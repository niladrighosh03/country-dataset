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na" sheetId="1" r:id="rId4"/>
    <sheet state="visible" name="Yeferas Guks" sheetId="2" r:id="rId5"/>
    <sheet state="visible" name="Traditional Running" sheetId="3" r:id="rId6"/>
    <sheet state="visible" name="Aba Geda Wrestling" sheetId="4" r:id="rId7"/>
    <sheet state="visible" name="Afalula" sheetId="5" r:id="rId8"/>
    <sheet state="visible" name="Sidama Wrestling" sheetId="6" r:id="rId9"/>
    <sheet state="visible" name="Gebeta (Mancala)" sheetId="7" r:id="rId10"/>
    <sheet state="visible" name="Cow Jumping (Ukuli Bula)" sheetId="8" r:id="rId11"/>
  </sheets>
  <definedNames/>
  <calcPr/>
</workbook>
</file>

<file path=xl/sharedStrings.xml><?xml version="1.0" encoding="utf-8"?>
<sst xmlns="http://schemas.openxmlformats.org/spreadsheetml/2006/main" count="4715" uniqueCount="3938">
  <si>
    <t>Question no.</t>
  </si>
  <si>
    <t>Questions</t>
  </si>
  <si>
    <t>Options</t>
  </si>
  <si>
    <t>Correct Answer</t>
  </si>
  <si>
    <t>Description</t>
  </si>
  <si>
    <t>ጥያቄዎች</t>
  </si>
  <si>
    <t>አማራጭ ሀ</t>
  </si>
  <si>
    <t>አማራጭ ለ</t>
  </si>
  <si>
    <t>አማራጭ ሐ</t>
  </si>
  <si>
    <t>አማራጭ ዲ</t>
  </si>
  <si>
    <t>What happens if a player crosses the foul line while throwing the ball?</t>
  </si>
  <si>
    <t>A. One point deducted B. The opponent gets an extra turn. C. The game starts again. D. Throwing is not acceptable.</t>
  </si>
  <si>
    <t>If a player crosses the wrong line, the throw is invalid and ineligible.</t>
  </si>
  <si>
    <t>How many points are awarded for knocking down all the quills in one throw?</t>
  </si>
  <si>
    <t>A. 8 points B. 10 points C. 15 points D. 10 points</t>
  </si>
  <si>
    <t>Knocking down all the balls in one throw gives the player 10 points.</t>
  </si>
  <si>
    <t>What happens if the ball knocks over two cue balls at once?</t>
  </si>
  <si>
    <t>A. Both quills count as points. B. No points were awarded. C. The rotation is repeated. D. Both quills count as points.</t>
  </si>
  <si>
    <t>I knocked out both quills with one throw, like a point.</t>
  </si>
  <si>
    <t>What is the maximum number of points a player can score in a round?</t>
  </si>
  <si>
    <t>A. 8 points B. 10 points C. 12 points D. 10 points</t>
  </si>
  <si>
    <t>The highest score in a round is 10 points for knocking down all the quills.</t>
  </si>
  <si>
    <t>What happens if the player's ball lands outside the boundary line?</t>
  </si>
  <si>
    <t>A. No penalty applies. B. The player loses a turn. C. The opponent scores a point. D. The throw is considered invalid.</t>
  </si>
  <si>
    <t>If the ball lands outside the boundary, the throw is invalid.</t>
  </si>
  <si>
    <t>How many quills are used in a typical Christmas game?</t>
  </si>
  <si>
    <t>A. 7 B. 9 C. 11 D. 9</t>
  </si>
  <si>
    <t>9</t>
  </si>
  <si>
    <t>What happens if a quill is hit by a ball that bounces off of something else?</t>
  </si>
  <si>
    <t>A. The points are invalid. B. A penalty has been imposed. C. The rotation is off. D. The points are correct.</t>
  </si>
  <si>
    <t>Points are counted even if the ball is returned before it hits the ground.</t>
  </si>
  <si>
    <t>How many players are allowed on a regular Christmas game team?</t>
  </si>
  <si>
    <t>A. 2-4 B. 3-5 C. 4-6 D. 2-4</t>
  </si>
  <si>
    <t>2-4</t>
  </si>
  <si>
    <t>What is the official weight range for a Christmas ball?</t>
  </si>
  <si>
    <t>A. 2-3 kg B. 3-4 kg C. 4-5 kg D. 3-4 kg</t>
  </si>
  <si>
    <t>The standard weight of a Christmas ball is 3-4 kg.</t>
  </si>
  <si>
    <t>What is the penalty for intentionally hitting another player with the ball?</t>
  </si>
  <si>
    <t>A. Warning B. There is no penalty. C. Losing points D. Ineligibility</t>
  </si>
  <si>
    <t>Intentionally hitting another player will result in a disqualification.</t>
  </si>
  <si>
    <t>What happens if a player throws the ball before the referee signals?</t>
  </si>
  <si>
    <t>A. Points deducted B. The player loses a turn. C. There is no penalty. D. The throw is invalid.</t>
  </si>
  <si>
    <t>Throws made before the referee's signal are considered invalid.</t>
  </si>
  <si>
    <t>What is the distance between the dirt line and the coils in the Christmas tree?</t>
  </si>
  <si>
    <t>A. 8 meters B. 10 meters C. 12 meters D. 10 meters</t>
  </si>
  <si>
    <t>The distance between the waste line and the coils is 10 meters.</t>
  </si>
  <si>
    <t>What happens if two players score the same number of points in a game?</t>
  </si>
  <si>
    <t>A. The player with the highest single throw wins. B. The game was announced to have ended in a draw. C. Both players share the win. D. The qualifying round has been played.</t>
  </si>
  <si>
    <t>If there is a qualifying competition, a qualifying round will be held.</t>
  </si>
  <si>
    <t>How many times should a player throw when it is his turn?</t>
  </si>
  <si>
    <t>A. 15 seconds B. 30 seconds C. 1 minute D. 30 seconds</t>
  </si>
  <si>
    <t>If a player is caught, he must be dropped within 30 seconds.</t>
  </si>
  <si>
    <t>What happens if a player steps on the quail preparation area?</t>
  </si>
  <si>
    <t>A. Points deducted B. The rotation is off. C. There is no penalty. D. The rotation is off.</t>
  </si>
  <si>
    <t>Players who step on the Quayle preparation area lose their turn.</t>
  </si>
  <si>
    <t>Can a player request a ball change during a game?</t>
  </si>
  <si>
    <t>A. Only if the ball is damaged. B. Only once per game C. No D. Only if the ball is damaged.</t>
  </si>
  <si>
    <t>Ball changes are only allowed if the ball is damaged.</t>
  </si>
  <si>
    <t>What happens if the ball is hit twice before hitting the quill?</t>
  </si>
  <si>
    <t>A. Half points awarded B. Full points awarded C. The rotation is off. D. Full points awarded</t>
  </si>
  <si>
    <t>Swinging the quill twice before striking it does not affect the result.</t>
  </si>
  <si>
    <t>What is the official material for quills in Christmas?</t>
  </si>
  <si>
    <t>A. Plastic B. Iron C. Rubber D. Wood</t>
  </si>
  <si>
    <t>Quills are traditionally made of wood in a Christmas tree.</t>
  </si>
  <si>
    <t>What are the consequences of unsportsmanlike conduct on Christmas?</t>
  </si>
  <si>
    <t>A. Ineligibility B. Losing points C. There is no penalty. D. Ineligibility</t>
  </si>
  <si>
    <t>Unsportsmanlike conduct will result in disqualification.</t>
  </si>
  <si>
    <t>What happens if the ball rolls backwards without hitting any balls?</t>
  </si>
  <si>
    <t>A. No points were awarded. B. The opponent scores a point. C. The game starts again. D. No points were awarded.</t>
  </si>
  <si>
    <t>If the ball rolls back without hitting the balls, no points are awarded.</t>
  </si>
  <si>
    <t>What happens if a player accidentally moves the quill while preparing?</t>
  </si>
  <si>
    <t>A. The opponent gets a point. B. A warning has been given. C. There is no penalty. D. A warning has been given.</t>
  </si>
  <si>
    <t>Accidentally moving the coil during setup will result in a warning.</t>
  </si>
  <si>
    <t>How many turns does each player get in a regular game?</t>
  </si>
  <si>
    <t>A. 5 B. 7 C. 10 D. 5</t>
  </si>
  <si>
    <t>5</t>
  </si>
  <si>
    <t>What is the rule if the ball touches the foul line but does not pass?</t>
  </si>
  <si>
    <t>A. The throw is correct. B. Points deducted C. The rotation is off. D. The throw is correct.</t>
  </si>
  <si>
    <t>If the ball is touched but does not cross the foul line, the throw is valid.</t>
  </si>
  <si>
    <t>What happens if a player uses the wrong ball for their turn?</t>
  </si>
  <si>
    <t>A. No penalty applies. B. The throw is invalid. C. The opponent scores a point. D. The throw is invalid.</t>
  </si>
  <si>
    <t>Using the wrong ball will invalidate the throw in the game.</t>
  </si>
  <si>
    <t>How does Quills restart after being knocked down?</t>
  </si>
  <si>
    <t>A. In their first place B. Close to the bad line C. Player-chosen D. In their first place</t>
  </si>
  <si>
    <t>Quills are always put back in their original position after being plucked.</t>
  </si>
  <si>
    <t>What is the minimum number of points needed to win the Christmas game?</t>
  </si>
  <si>
    <t>A. 30 points B. 40 points C. 50 points D. 50 points</t>
  </si>
  <si>
    <t>A player needs 50 points to win a regular Christmas game.</t>
  </si>
  <si>
    <t>What happens if the ball comes to rest without hitting any quills?</t>
  </si>
  <si>
    <t>A. No points were awarded. B. The rotation is off. C. The opponent scores a point. D. No points were awarded.</t>
  </si>
  <si>
    <t>If the ball does not hit any balls, no points are awarded.</t>
  </si>
  <si>
    <t>Can players change positions during their turn?</t>
  </si>
  <si>
    <t>A. Only once per game B. No, never. C. Only with the judge's approval. D. No, never.</t>
  </si>
  <si>
    <t>Players cannot change positions during their turn.</t>
  </si>
  <si>
    <t>What happens if the quill falls partially but remains upright?</t>
  </si>
  <si>
    <t>A. The quill doesn't count. B. Half points awarded C. The rotation is repeated. D. The quill doesn't count.</t>
  </si>
  <si>
    <t>A quill is only counted if it falls completely to the ground.</t>
  </si>
  <si>
    <t>What is the correct position when throwing a ball in a hoop?</t>
  </si>
  <si>
    <t>A. One foot in the air B. Knees are bent. C. Any position is allowed. D. Both feet on the ground</t>
  </si>
  <si>
    <t>Players must keep both feet on the ground when throwing the ball.</t>
  </si>
  <si>
    <t>What happens if the ball hits more than one quill but one falls out of bounds?</t>
  </si>
  <si>
    <t>A. Only the border square counts. B. Only a bound quill counts. C. No points were awarded. D. Only a bound quill counts.</t>
  </si>
  <si>
    <t>Points are awarded only for quills that remain within the boundary.</t>
  </si>
  <si>
    <t>What is the official diameter of a Christmas ball?</t>
  </si>
  <si>
    <t>A. 18 cm B. 20 cm C. 25 cm D. 18 cm</t>
  </si>
  <si>
    <t>The standard diameter of a Christmas ball is 18 cm.</t>
  </si>
  <si>
    <t>Can players adjust the positions of the quills during the game?</t>
  </si>
  <si>
    <t>A. Yes, anytime. B. No, never. C. Only after three rounds D. No, never.</t>
  </si>
  <si>
    <t>Players are not allowed to adjust the positions of the cue balls during the game.</t>
  </si>
  <si>
    <t>What happens if the ball touches the referee?</t>
  </si>
  <si>
    <t>A. The player loses a turn. B. The rotation is off. C. There is no penalty. D. The throw was repeated.</t>
  </si>
  <si>
    <t>If the ball touches the referee, the throw is repeated.</t>
  </si>
  <si>
    <t>What is the rule if the ball splits in two during a throw?</t>
  </si>
  <si>
    <t>A. The player gets another round. B. Points are awarded based on impact. C. The game starts again. D. The throw is invalid.</t>
  </si>
  <si>
    <t>Cracking the ball while throwing makes the throw invalid.</t>
  </si>
  <si>
    <t>What happens if a player intentionally delays their turn?</t>
  </si>
  <si>
    <t>A. Points deducted B. The rotation is off. C. There is no penalty. D. A warning has been given.</t>
  </si>
  <si>
    <t>Intentional delay will result in a warning from the referee.</t>
  </si>
  <si>
    <t>Can spectators interfere in the game?</t>
  </si>
  <si>
    <t>A. No, never. B. Only with the judge's approval. C. Yes, if the opponent agrees. D. No, never.</t>
  </si>
  <si>
    <t>Spectators may not interfere with the game under any circumstances.</t>
  </si>
  <si>
    <t>What is the maximum time for a Christmas game?</t>
  </si>
  <si>
    <t>A. 45 minutes B. 60 minutes C. 90 minutes D. 60 minutes</t>
  </si>
  <si>
    <t>A Christmas singles game is typically limited to 60 minutes.</t>
  </si>
  <si>
    <t>What happens if a quill is hit by the wind?</t>
  </si>
  <si>
    <t>A. The quill has started again. B. The player loses a turn. C. The opponent scores a point. D. The quill has started again.</t>
  </si>
  <si>
    <t>Quills that fall in the wind are restarted, and do not score any points.</t>
  </si>
  <si>
    <t>Can players change their ball mid-game?</t>
  </si>
  <si>
    <t>A. No, never. B. Only if it breaks. C. Only with the judge's approval. D. Only if it breaks.</t>
  </si>
  <si>
    <t>Ball substitutions are only allowed if the original ball is damaged.</t>
  </si>
  <si>
    <t>What happens if all the quills are hit and only 8 fall?</t>
  </si>
  <si>
    <t>A. No points were awarded. B. Points are counted for dropped quills. C. The rotation is repeated. D. Points are counted for dropped quills.</t>
  </si>
  <si>
    <t>Points are awarded only for fallen quills.</t>
  </si>
  <si>
    <t>What is the official size of the Christmas field?</t>
  </si>
  <si>
    <t>A. 8 meters B. 10 meters C. 12 meters D. 8 meters</t>
  </si>
  <si>
    <t>The official width of the Christmas field is 8 meters.</t>
  </si>
  <si>
    <t>What are the consequences of repeated offenses?</t>
  </si>
  <si>
    <t>A. Ineligibility B. Losing points C. The game starts again. D. Ineligibility</t>
  </si>
  <si>
    <t>Repeated bad throws result in loss of result.</t>
  </si>
  <si>
    <t>What happens if two balls collide in mid-air?</t>
  </si>
  <si>
    <t>A. The players lose their turn. B. Points shared. C. There is no penalty. D. Both throws are repeated.</t>
  </si>
  <si>
    <t>If two balls collide, both balls will bounce.</t>
  </si>
  <si>
    <t>What is the minimum age for Christmas players in official competitions?</t>
  </si>
  <si>
    <t>A. 12 years B. 15 years C. 18 years D. 12 years</t>
  </si>
  <si>
    <t>The minimum age for official Christmas competitions is 12 years old.</t>
  </si>
  <si>
    <t>Can a player leave the field during their turn?</t>
  </si>
  <si>
    <t>A. Yes, anytime. B. No, never. C. Only in emergencies D. Yes, with the judge's approval.</t>
  </si>
  <si>
    <t>Players may only leave the field during their turn with the referee's permission.</t>
  </si>
  <si>
    <t>What happens if a player runs out of time to throw?</t>
  </si>
  <si>
    <t>A. There is no penalty. B. A warning has been given. C. The game starts again. D. The throw is gone.</t>
  </si>
  <si>
    <t>Players who are over a certain age have lost their throwing ability.</t>
  </si>
  <si>
    <t>What happens if a player uses an unapproved ball?</t>
  </si>
  <si>
    <t>A. The throw is invalid. B. The ball has been replaced. C. The player has been rejected. D. The throw is invalid.</t>
  </si>
  <si>
    <t>Using an unapproved ball will result in a penalty.</t>
  </si>
  <si>
    <t>Can players challenge the referee's decision?</t>
  </si>
  <si>
    <t>A. Only once per game B. No, never. C. Only through the captain. D. Only through the captain.</t>
  </si>
  <si>
    <t>Players can only appeal decisions through their team captain.</t>
  </si>
  <si>
    <t>What happens if the quill is hit after the time has expired?</t>
  </si>
  <si>
    <t>A. Points deducted B. The hit is invalid. C. The rotation is repeated. D. The hit is invalid.</t>
  </si>
  <si>
    <t>Kicks taken after the time has expired are considered invalid.</t>
  </si>
  <si>
    <t>What happens if a player crosses the foul line while throwing?</t>
  </si>
  <si>
    <t>A. The throw is invalid. B. The player loses a point. C. The rotation is off. D. The throw is invalid.</t>
  </si>
  <si>
    <t>Going over the foul line is not worth the throw.</t>
  </si>
  <si>
    <t>A. 8 B. 10 C. 12 D. 10</t>
  </si>
  <si>
    <t>10</t>
  </si>
  <si>
    <t>What happens if the ball hits a quill and bounces back to another?</t>
  </si>
  <si>
    <t>A. Only the first quill counts. B. No quills count. C. The rotation is repeated. D. Both coils are counted.</t>
  </si>
  <si>
    <t>If the ball bounces back and hits multiple quills, they all count.</t>
  </si>
  <si>
    <t>What is the maximum time allowed for a throw?</t>
  </si>
  <si>
    <t>A. 15 seconds B. 20 seconds C. 30 seconds D. 20 seconds</t>
  </si>
  <si>
    <t>Players are allowed 20 seconds to complete their throw.</t>
  </si>
  <si>
    <t>Can a player intentionally distract an opponent?</t>
  </si>
  <si>
    <t>A. No, it is not allowed. B. Only if the judge allows it. C. Yes, if both players agree. D. No, it is not allowed.</t>
  </si>
  <si>
    <t>Distracting an opponent is against the law.</t>
  </si>
  <si>
    <t>What happens if a player knocks down all the quills in one throw?</t>
  </si>
  <si>
    <t>A. Bonus points awarded. B. The game starts again. C. The opponent skips the turn. D. Bonus points awarded.</t>
  </si>
  <si>
    <t>Knocking down all the quills in one throw awards bonus points.</t>
  </si>
  <si>
    <t>Can players wear gloves during the game?</t>
  </si>
  <si>
    <t>A. No, never. B. Only with the judge's approval. C. Only if medically necessary D. Only if medically necessary</t>
  </si>
  <si>
    <t>Gloves are only allowed with medical permission.</t>
  </si>
  <si>
    <t>What happens if a ball rolls over the boundary before hitting the wicket?</t>
  </si>
  <si>
    <t>A. The throw is invalid. B. Half points awarded C. The rotation is repeated. D. The throw is invalid.</t>
  </si>
  <si>
    <t>A ball that rolls out of bounds before hitting the quill is invalid.</t>
  </si>
  <si>
    <t>Can a player request a pause during their turn?</t>
  </si>
  <si>
    <t>A. No, never. B. Only once per game C. Only with the judge's approval. D. Only with the judge's approval.</t>
  </si>
  <si>
    <t>Players may only request a time-out with the referee's approval.</t>
  </si>
  <si>
    <t>What is the penalty for using illegal measures?</t>
  </si>
  <si>
    <t>A. Loss of rotation B. Ineligibility C. Losing points D. Loss of rotation</t>
  </si>
  <si>
    <t>Illegal activities result in loss of circulation.</t>
  </si>
  <si>
    <t>What happens if a quill is hit but stays in another zone?</t>
  </si>
  <si>
    <t>A. No points were awarded. B. Half points awarded C. The rotation is repeated. D. Points awarded</t>
  </si>
  <si>
    <t>Points are awarded as long as the quill is in a valid zone.</t>
  </si>
  <si>
    <t>How many players can participate in a team-based Christmas match?</t>
  </si>
  <si>
    <t>A. In group 3 B. In group 4 C. In group 5 D. In group 3</t>
  </si>
  <si>
    <t>Team-based Christmas matches allow 3 players per team.</t>
  </si>
  <si>
    <t>Can a player change the order of their throws during a round?</t>
  </si>
  <si>
    <t>A. No, never. B. Only with the judge's approval. C. Only once per game D. No, never.</t>
  </si>
  <si>
    <t>Players must strictly follow the throwing order and cannot change it.</t>
  </si>
  <si>
    <t>What are the consequences of unsportsmanlike conduct?</t>
  </si>
  <si>
    <t>A. Losing points B. Reject immediately C. Judge's decision D. Judge's decision</t>
  </si>
  <si>
    <t>Unsportsmanlike behavior will be punished at the referee's discretion.</t>
  </si>
  <si>
    <t>What happens if the ball accidentally hits the referee?</t>
  </si>
  <si>
    <t>A. The throw was repeated. B. There is no penalty. C. The player loses a point. D. The throw was repeated.</t>
  </si>
  <si>
    <t>If the ball hits the referee, the throw is repeated.</t>
  </si>
  <si>
    <t>How are relationships resolved in a Christmas match?</t>
  </si>
  <si>
    <t>A. Comparing total coils B. Comparing total points C. No quality, match tied. D. Playing more rounds</t>
  </si>
  <si>
    <t>Ties are resolved by playing additional rounds.</t>
  </si>
  <si>
    <t>What is the correct height for the quills in a Christmas tree?</t>
  </si>
  <si>
    <t>A. 15 cm B. 20 cm C. 25 cm D. 20 cm</t>
  </si>
  <si>
    <t>The quills in the wreath are 20 cm tall.</t>
  </si>
  <si>
    <t>What happens if a player breaks a quill while throwing?</t>
  </si>
  <si>
    <t>A. A new quill has been placed. B. The throw is invalid. C. The player loses a turn. D. A new quill has been placed.</t>
  </si>
  <si>
    <t>A broken quill will be replaced without penalty.</t>
  </si>
  <si>
    <t>What happens if a quill is hit into the opposing zone?</t>
  </si>
  <si>
    <t>A. Points are awarded to the opponent. B. The quill has started again. C. No points were awarded. D. No points were awarded.</t>
  </si>
  <si>
    <t>A knock into the opponent's zone does not count for a point.</t>
  </si>
  <si>
    <t>What happens if the ball lands on the cue without being knocked over?</t>
  </si>
  <si>
    <t>A. No points were awarded. B. Half points awarded C. The rotation is repeated. D. No points were awarded.</t>
  </si>
  <si>
    <t>A quill must fall completely to award points.</t>
  </si>
  <si>
    <t>What is the rule if a player accidentally drops the ball before it is thrown?</t>
  </si>
  <si>
    <t>A. The player gets another chance. B. The rotation is off. C. The throw was repeated. D. The throw was repeated.</t>
  </si>
  <si>
    <t>Sudden drops allow the player to repeat their throw.</t>
  </si>
  <si>
    <t>How does a beginner player decide on a harp?</t>
  </si>
  <si>
    <t>A. By decision of a judge B. By the biggest player C. Random drawing D. In a penny</t>
  </si>
  <si>
    <t>The starting player is determined by a coin toss.</t>
  </si>
  <si>
    <t>What happens if a ball hits two cues at once?</t>
  </si>
  <si>
    <t>A. Only the first few quills count. B. No points were awarded. C. The throw is invalid. D. Points are awarded to both.</t>
  </si>
  <si>
    <t>If a ball hits two cue balls at the same time, both will count for a point.</t>
  </si>
  <si>
    <t>What is the required distance between the waste line and the coils?</t>
  </si>
  <si>
    <t>A. 5 meters B. 7 meters C. 10 meters D. 5 meters</t>
  </si>
  <si>
    <t>The cutting line should be 5 meters away from the coils.</t>
  </si>
  <si>
    <t>Can a player intentionally delay the game?</t>
  </si>
  <si>
    <t>A. No, it's against the rules. B. Only if both players agree. C. Yes, but only once. D. No, it's against the rules.</t>
  </si>
  <si>
    <t>Intentional delay is against the rules of Christmas.</t>
  </si>
  <si>
    <t>What happens if a ball lands on the boundary but doesn't touch any quills?</t>
  </si>
  <si>
    <t>A. Half points awarded B. The rotation is off. C. The throw was repeated. D. No points were awarded.</t>
  </si>
  <si>
    <t>If no quills are touched, no points are awarded.</t>
  </si>
  <si>
    <t>What is the rule if a player throws in turn?</t>
  </si>
  <si>
    <t>A. The player loses a turn. B. The game starts again. C. The throw was repeated. D. The throw is invalid.</t>
  </si>
  <si>
    <t>Throws made in turn are not valid in Christmas.</t>
  </si>
  <si>
    <t>What happens if the ball hits the edge of the field and bounces back?</t>
  </si>
  <si>
    <t>A. No points were awarded. B. The rotation is off. C. The throw is invalid. D. Points awarded</t>
  </si>
  <si>
    <t>If the balls that are returned to play still hit the balls, they will score a point.</t>
  </si>
  <si>
    <t>What happens if a player forgets to announce the target zone before throwing?</t>
  </si>
  <si>
    <t>A. There is no penalty. B. Points halved C. The rotation is off. D. The throw is invalid.</t>
  </si>
  <si>
    <t>It is mandatory to announce the target zone before throwing.</t>
  </si>
  <si>
    <t>Can players change the ball they use during a game?</t>
  </si>
  <si>
    <t>A. No, it is not allowed. B. Only with the judge's approval. C. Only between rounds D. Only with the judge's approval.</t>
  </si>
  <si>
    <t>Players may only change their ball with the referee's approval.</t>
  </si>
  <si>
    <t>What happens if a ball is damaged while being thrown?</t>
  </si>
  <si>
    <t>A. A new ball is ready. B. The throw was repeated. C. The game is paused. D. A new ball is ready.</t>
  </si>
  <si>
    <t>A new ball will be provided to replace the damaged one.</t>
  </si>
  <si>
    <t>What is the maximum number of throws allowed in a round?</t>
  </si>
  <si>
    <t>A. 2 B. 3 C. 4 D. 1</t>
  </si>
  <si>
    <t>1</t>
  </si>
  <si>
    <t>What happens if a player uses a ball of the wrong weight?</t>
  </si>
  <si>
    <t>A. The throw is invalid. B. The player has been rejected. C. Points deducted D. The throw is invalid.</t>
  </si>
  <si>
    <t>Using a ball of incorrect weight will invalidate the throw.</t>
  </si>
  <si>
    <t>Can spectators give advice to players during a game?</t>
  </si>
  <si>
    <t>A. No, it is not allowed. B. Only during vacation C. Only if the judge allows it. D. No, it is not allowed.</t>
  </si>
  <si>
    <t>Spectators are not allowed to give advice during the game.</t>
  </si>
  <si>
    <t>What happens if a ball hits two zones at once?</t>
  </si>
  <si>
    <t>A. No points were awarded. B. High zone points count. C. Points from the lower zone count. D. High zone points count.</t>
  </si>
  <si>
    <t>Points are awarded for the highest value zone.</t>
  </si>
  <si>
    <t>How far from the foul line should players stand?</t>
  </si>
  <si>
    <t>A. 2 meters B. 3 meters C. 4 meters D. 3 meters</t>
  </si>
  <si>
    <t>Players must stand at least 3 meters from the foul line.</t>
  </si>
  <si>
    <t>What happens if a player throws a quill while another quill is still in motion?</t>
  </si>
  <si>
    <t>A. The rotation is off. B. The game is paused. C. The throw was repeated. D. The throw is invalid.</t>
  </si>
  <si>
    <t>Throws made while the quill is still in motion are invalid.</t>
  </si>
  <si>
    <t>Can a player request a place for a quail during their turn?</t>
  </si>
  <si>
    <t>A. No, never. B. Only with the judge's approval. C. Only if the quill is wrong. D. Only if the quill is wrong.</t>
  </si>
  <si>
    <t>Quills can only be put back in place if they are placed in the wrong place.</t>
  </si>
  <si>
    <t>What is the result of arguing with the judge?</t>
  </si>
  <si>
    <t>A. Reject immediately B. Loss of rotation C. Points deducted D. Loss of rotation</t>
  </si>
  <si>
    <t>Arguing with the referee will result in losing a turn.</t>
  </si>
  <si>
    <t>What happens if a player plays out of order?</t>
  </si>
  <si>
    <t>A. The rotation is off. B. Points deducted C. The game is paused. D. The throw is invalid.</t>
  </si>
  <si>
    <t>Throws made out of sequence are not valid.</t>
  </si>
  <si>
    <t>Can a team change players in turns?</t>
  </si>
  <si>
    <t>A. No, it is not allowed. B. Only with the judge's approval. C. Only after one round is over. D. Only after one round is over.</t>
  </si>
  <si>
    <t>Players can only switch between turns after the end of the round.</t>
  </si>
  <si>
    <t>What happens if the ball touches the boundary line but remains in the zone?</t>
  </si>
  <si>
    <t>A. No points were awarded. B. The rotation is repeated. C. Half points awarded D. Points awarded</t>
  </si>
  <si>
    <t>As long as the ball remains in the zone, points are awarded.</t>
  </si>
  <si>
    <t>How many zones are there on a regular Christmas playground?</t>
  </si>
  <si>
    <t>A. 3 B. 4 C. 5 D. 3</t>
  </si>
  <si>
    <t>3</t>
  </si>
  <si>
    <t>What happens if a quill falls but stays outside the scoring zone?</t>
  </si>
  <si>
    <t>To award points, the quills must fall within the scoring area.</t>
  </si>
  <si>
    <t>Can players change the playing field during a game?</t>
  </si>
  <si>
    <t>A. No, it is not allowed. B. Only with the judge's approval. C. Just before the game starts D. Only with the judge's approval.</t>
  </si>
  <si>
    <t>The playing field can only be changed with the referee's approval.</t>
  </si>
  <si>
    <t>What is the penalty for using offensive language during a game?</t>
  </si>
  <si>
    <t>A. Reject immediately B. Losing points C. Loss of rotation D. Loss of rotation</t>
  </si>
  <si>
    <t>Using offensive language can lead to loss of turn.</t>
  </si>
  <si>
    <t>Can a player challenge the result after the game is over?</t>
  </si>
  <si>
    <t>A. No, it is not allowed. B. In just 5 minutes C. Only with the judge's approval. D. In just 5 minutes</t>
  </si>
  <si>
    <t>Players can only dispute points within 5 minutes of the end of the game.</t>
  </si>
  <si>
    <t>What is the rule if two players are tied in the same round?</t>
  </si>
  <si>
    <t>A. Points are awarded. B. The round was replayed. C. No points were awarded. D. Points are awarded.</t>
  </si>
  <si>
    <t>Players who were tied forfeited their points for that round.</t>
  </si>
  <si>
    <t>What happens if the ball stops completely on the foul line?</t>
  </si>
  <si>
    <t>A. No points were awarded. B. The throw is invalid. C. The rotation is repeated. D. No points were awarded.</t>
  </si>
  <si>
    <t>Balls that land on the foul line do not count for points.</t>
  </si>
  <si>
    <t>Can a player intentionally skip their turn?</t>
  </si>
  <si>
    <t>A. No, it is not allowed. B. Only with the judge's approval. C. Only in group matches D. Only with the judge's approval.</t>
  </si>
  <si>
    <t>Players may skip their turn only with the referee's approval.</t>
  </si>
  <si>
    <t>What happens if a player loses his grip and throws it back?</t>
  </si>
  <si>
    <t>A. The throw is invalid. B. The rotation is off. C. The throw was repeated. D. The throw was repeated.</t>
  </si>
  <si>
    <t>Throwing back accidentally allows the player to repeat their turn.</t>
  </si>
  <si>
    <t>What is the maximum number of points allowed in a single throw?</t>
  </si>
  <si>
    <t>A. 10 B. 15 C. 20 D. 10</t>
  </si>
  <si>
    <t>A single throw can score a maximum of 10 points.</t>
  </si>
  <si>
    <t>What happens if a player accidentally touches the quill?</t>
  </si>
  <si>
    <t>A. The rotation is off. B. There is no penalty. C. Points deducted D. There is no penalty.</t>
  </si>
  <si>
    <t>Accidentally touching a quill does not result in a penalty.</t>
  </si>
  <si>
    <t>Can the referee pause the game for any reason?</t>
  </si>
  <si>
    <t>A. No, only for harm. B. Only if both groups agree C. Only during vacation D. Yes, anytime.</t>
  </si>
  <si>
    <t>The referee has the power to pause the game at any time.</t>
  </si>
  <si>
    <t>What is the required width of the Christmas playground?</t>
  </si>
  <si>
    <t>A. 3 meters B. 4 meters C. 5 meters D. 3 meters</t>
  </si>
  <si>
    <t>The width of a standard Christmas playground is 3 meters.</t>
  </si>
  <si>
    <t>What happens if a player intentionally delays the throw?</t>
  </si>
  <si>
    <t>A. The rotation is off. B. Points deducted C. The game is paused. D. A warning has been given.</t>
  </si>
  <si>
    <t>Intentional delays will result in a warning from the referee.</t>
  </si>
  <si>
    <t>What is the official color of Christmas balls?</t>
  </si>
  <si>
    <t>A. blue B. yellow C. Varies by region D. Varies by region</t>
  </si>
  <si>
    <t>The color of Christmas balls varies depending on the region and competition.</t>
  </si>
  <si>
    <t>What happens if the ball breaks in half?</t>
  </si>
  <si>
    <t>A. Points halved B. Points awarded C. The rotation is repeated. D. Points awarded</t>
  </si>
  <si>
    <t>Points are still awarded if a quill is broken.</t>
  </si>
  <si>
    <t>How long can a game go on without a referee calling it?</t>
  </si>
  <si>
    <t>A. 90 minutes B. 120 minutes C. 150 minutes D. 90 minutes</t>
  </si>
  <si>
    <t>Matches can last up to 90 minutes before being lost.</t>
  </si>
  <si>
    <t>What happens if a player forgets to bring the ball?</t>
  </si>
  <si>
    <t>A. A replacement has been provided. B. Borrowing another player's ball C. The match is delayed. D. A replacement has been provided.</t>
  </si>
  <si>
    <t>If a player forgets the ball, the referee will provide a replacement.</t>
  </si>
  <si>
    <t>What happens if a player's ball goes out of bounds before it touches the ball?</t>
  </si>
  <si>
    <t>A. The rotation is repeated. B. The player has been penalized. C. The throw is invalid. D. No points were awarded.</t>
  </si>
  <si>
    <t>No points are awarded if the ball rolls out of bounds.</t>
  </si>
  <si>
    <t>Can a player adjust his position after starting the throw?</t>
  </si>
  <si>
    <t>A. No, it is not allowed. B. Only if the ball is not released. C. Only with the judge's approval. D. Only if the ball is not released.</t>
  </si>
  <si>
    <t>Players can only adjust their position if the ball is not released.</t>
  </si>
  <si>
    <t>What happens if a player intentionally blocks the opponent's ball?</t>
  </si>
  <si>
    <t>A. The opponent gets more points. B. The blocked throw was repeated. C. A warning has been given. D. The blocked throw was repeated.</t>
  </si>
  <si>
    <t>If the player blocks the opponent's ball, the throw is repeated.</t>
  </si>
  <si>
    <t>What are the consequences of throwing before the referee signals?</t>
  </si>
  <si>
    <t>A. The rotation is off. B. Points deducted C. There is no penalty. D. The throw is invalid.</t>
  </si>
  <si>
    <t>If the throw is made before the referee's signal, the throw is invalid.</t>
  </si>
  <si>
    <t>How many points does a player score for knocking down all the balls in one throw?</t>
  </si>
  <si>
    <t>A. 10 points B. 15 points C. 20 points D. 10 points</t>
  </si>
  <si>
    <t>Knocking down all the quills in one throw earns 10 points.</t>
  </si>
  <si>
    <t>What happens if a player drops the ball while preparing to throw?</t>
  </si>
  <si>
    <t>A. The throw was repeated. B. There is no penalty. C. The game is paused. D. The throw was repeated.</t>
  </si>
  <si>
    <t>Dropping the ball during preparation allows the player to repeat the throw.</t>
  </si>
  <si>
    <t>Can a player consult their team during their turn?</t>
  </si>
  <si>
    <t>A. No, it is not allowed. B. Only during vacation C. Only with the judge's approval. D. No, it is not allowed.</t>
  </si>
  <si>
    <t>Players cannot consult their team during their turn.</t>
  </si>
  <si>
    <t>What happens if two players' balls hit the same cue ball at the same time?</t>
  </si>
  <si>
    <t>A. No points were awarded. B. The coil will be removed. C. The judge decides. D. Points are awarded.</t>
  </si>
  <si>
    <t>If two balls hit the same cue at the same time, the points are split.</t>
  </si>
  <si>
    <t>What is the minimum distance between the coils on the field?</t>
  </si>
  <si>
    <t>A. 2 meters B. 3 meters C. 4 meters D. 2 meters</t>
  </si>
  <si>
    <t>The coils should be placed at least 2 meters apart.</t>
  </si>
  <si>
    <t>What happens if the ball hits but doesn't knock the quill over?</t>
  </si>
  <si>
    <t>A. No points were awarded. B. The rotation is off. C. The throw is invalid. D. No points were awarded.</t>
  </si>
  <si>
    <t>A quill must fall to get a point.</t>
  </si>
  <si>
    <t>How much time does a player have to make the throw?</t>
  </si>
  <si>
    <t>A. 15 seconds B. 20 seconds C. 30 seconds D. 15 seconds</t>
  </si>
  <si>
    <t>Players have 15 seconds to make their throw.</t>
  </si>
  <si>
    <t>Can players wear gloves when throwing?</t>
  </si>
  <si>
    <t>A. No, it is not allowed. B. Only in cold weather C. Only with the judge's approval. D. Only with the judge's approval.</t>
  </si>
  <si>
    <t>Players may only wear gloves with the referee's approval.</t>
  </si>
  <si>
    <t>What happens if a quill lands outside the scoring zone?</t>
  </si>
  <si>
    <t>A. Points awarded B. No points were awarded. C. The quill has been changed again. D. No points were awarded.</t>
  </si>
  <si>
    <t>Quills outside the scoring range do not count for points.</t>
  </si>
  <si>
    <t>What is the penalty for throwing from the wrong place?</t>
  </si>
  <si>
    <t>Throws from the wrong place are not valid.</t>
  </si>
  <si>
    <t>Can a player request a break during their turn?</t>
  </si>
  <si>
    <t>A. No, it is not allowed. B. For emergencies only C. Only with the judge's approval. D. Only with the judge's approval.</t>
  </si>
  <si>
    <t>Breaks can only be requested with the approval of a judge.</t>
  </si>
  <si>
    <t>What happens if a player accidentally steps into the foul line?</t>
  </si>
  <si>
    <t>A. The rotation is off. B. The throw is invalid. C. There is no penalty. D. The throw is invalid.</t>
  </si>
  <si>
    <t>Stepping on the wrong line makes the throw invalid.</t>
  </si>
  <si>
    <t>Can players use custom balls during official matches?</t>
  </si>
  <si>
    <t>A. No, it is not allowed. B. Only with approval C. Only in regular matches D. Only with approval</t>
  </si>
  <si>
    <t>Custom balls can only be used with official permission.</t>
  </si>
  <si>
    <t>What are the consequences of distracting an opponent during their turn?</t>
  </si>
  <si>
    <t>A. The player has been rejected. B. The game is paused. C. Points deducted D. A warning has been given.</t>
  </si>
  <si>
    <t>Distracting an opponent will result in a warning.</t>
  </si>
  <si>
    <t>What is the official length of the Christmas playground?</t>
  </si>
  <si>
    <t>A. 15 meters B. 20 meters C. 25 meters D. 15 meters</t>
  </si>
  <si>
    <t>The official length of the Christmas playground is 15 meters.</t>
  </si>
  <si>
    <t>Can a referee overturn a player's decision to score a goal?</t>
  </si>
  <si>
    <t>A. No, it is not allowed. B. Only if the rules are broken. C. Only by group agreement D. Only if the rules are broken.</t>
  </si>
  <si>
    <t>The judge can only overturn decisions if the rules have been violated.</t>
  </si>
  <si>
    <t>What happens if a player intentionally delays the game?</t>
  </si>
  <si>
    <t>A. A warning has been given. B. Points deducted C. The match has stopped. D. A warning has been given.</t>
  </si>
  <si>
    <t>Intentional delays will result in a warning.</t>
  </si>
  <si>
    <t>How many players are allowed on a Christmas team?</t>
  </si>
  <si>
    <t>A. 3 B. 4 C. 5 D. 4</t>
  </si>
  <si>
    <t>Each Christmas team consists of 4 players.</t>
  </si>
  <si>
    <t>Can a player practice on the field before the game starts?</t>
  </si>
  <si>
    <t>A. No, it is not allowed. B. Only when warmed up C. Only with the judge's approval. D. Only when warmed up</t>
  </si>
  <si>
    <t>Players may only practice during their assigned warm-up times.</t>
  </si>
  <si>
    <t>What is the penalty for a false start?</t>
  </si>
  <si>
    <t>False start causes a warning.</t>
  </si>
  <si>
    <t>What is the maximum number of rounds in a Christmas match?</t>
  </si>
  <si>
    <t>A. 7 B. 10 C. 12 D. 10</t>
  </si>
  <si>
    <t>A Christmas match can have a maximum of 10 rounds.</t>
  </si>
  <si>
    <t>Can players challenge the referee's decision during a game?</t>
  </si>
  <si>
    <t>A. No, it is not allowed. B. Only with evidence C. Only during vacation D. Only with evidence</t>
  </si>
  <si>
    <t>Arguments can only be formed through evidence.</t>
  </si>
  <si>
    <t>What happens if a ball knocks down multiple quills in one throw?</t>
  </si>
  <si>
    <t>A. Only one quill counts. B. Points added together C. No points were awarded. D. Points added together</t>
  </si>
  <si>
    <t>The points for all knocked down quills are added together.</t>
  </si>
  <si>
    <t>A. The player has been rejected. B. Points deducted C. The match has stopped. D. A warning has been given.</t>
  </si>
  <si>
    <t>Unsportsmanlike behavior will result in a warning.</t>
  </si>
  <si>
    <t>Can a team voluntarily lose the game?</t>
  </si>
  <si>
    <t>A. No, it is not allowed. B. Only with the judge's approval. C. Only in emergencies D. Yes, anytime.</t>
  </si>
  <si>
    <t>Teams can voluntarily forfeit their game at any time.</t>
  </si>
  <si>
    <t>What happens if a match ends in a draw?</t>
  </si>
  <si>
    <t>A. The qualifying round has been played. B. Points are divided equally. C. The judge will decide the winner. D. The qualifying round has been played.</t>
  </si>
  <si>
    <t>Tied matches will be resolved in a qualifying round.</t>
  </si>
  <si>
    <t>Can spectators influence the outcome of the game?</t>
  </si>
  <si>
    <t>A. No, it is not allowed. B. Only with the judge's approval. C. Only during special events D. No, it is not allowed.</t>
  </si>
  <si>
    <t>Spectators cannot influence the outcome of the game.</t>
  </si>
  <si>
    <t>What is the maximum weight of a Christmas ball?</t>
  </si>
  <si>
    <t>A. 3 kg B. 4 kg C. 5 kg D. 3 kg</t>
  </si>
  <si>
    <t>The maximum weight of a Christmas ball is 3 kg.</t>
  </si>
  <si>
    <t>Can quills be replaced during a game?</t>
  </si>
  <si>
    <t>A. No, it is not allowed. B. Only if it breaks. C. Only by group agreement D. Only if it breaks.</t>
  </si>
  <si>
    <t>Coils can only be replaced if they are damaged.</t>
  </si>
  <si>
    <t>What happens if a player argues with the referee?</t>
  </si>
  <si>
    <t>A. The player has been rejected. B. The match has stopped. C. There is no penalty. D. A warning has been given.</t>
  </si>
  <si>
    <t>Arguing with the judge is a warning.</t>
  </si>
  <si>
    <t>How is the starter determined in a game?</t>
  </si>
  <si>
    <t>A. Group agreement B. By decision of a judge C. Results from previous matches D. In coins</t>
  </si>
  <si>
    <t>What is the penalty for exceeding the time limit in one month?</t>
  </si>
  <si>
    <t>A. The rotation is off. B. Points deducted C. The throw is invalid. D. The rotation is off.</t>
  </si>
  <si>
    <t>Exceeding the time limit will result in losing the turn.</t>
  </si>
  <si>
    <t>What happens if a player gets injured during the game?</t>
  </si>
  <si>
    <t>A. The player has been substituted. B. The team lost. C. The player continues. D. The match has stopped.</t>
  </si>
  <si>
    <t>The match was stopped for medical attention when the injury occurred.</t>
  </si>
  <si>
    <t>What is the minimum age to participate in Christmas competitions?</t>
  </si>
  <si>
    <t>A. 15 years B. 18 years C. 21 years D. 15 years</t>
  </si>
  <si>
    <t>The minimum age for Christmas competitions is 15 years old.</t>
  </si>
  <si>
    <t>What happens if a player uses an illegal ball?</t>
  </si>
  <si>
    <t>A. The ball has been replaced. B. The player has been rejected. C. The match has stopped. D. The ball has been replaced.</t>
  </si>
  <si>
    <t>Illegal balls are replaced by rules.</t>
  </si>
  <si>
    <t>Can a player request a timeout during their turn?</t>
  </si>
  <si>
    <t>A. No, it is not allowed. B. Only in emergencies C. Only with the judge's approval. D. Only with the judge's approval.</t>
  </si>
  <si>
    <t>An expiration date can only be requested with the approval of a judge.</t>
  </si>
  <si>
    <t>What happens if a player crosses the boundary line while throwing the stick?</t>
  </si>
  <si>
    <t>A. Penalty points B. Ineligibility C. Take the throw again. D. Penalty points</t>
  </si>
  <si>
    <t>Crossing the boundary while throwing will result in penalty points.</t>
  </si>
  <si>
    <t>What is the maximum number of bats a player can throw in one round?</t>
  </si>
  <si>
    <t>A. two B. three C. four D. three</t>
  </si>
  <si>
    <t>A player can throw a maximum of three sticks in a round.</t>
  </si>
  <si>
    <t>If two players hit the same target, who gets the point?</t>
  </si>
  <si>
    <t>A. Second player B. Both players C. nothing else D. First player</t>
  </si>
  <si>
    <t>Points are awarded to the player who hits the target first.</t>
  </si>
  <si>
    <t>How many points does a player score for hitting the central target?</t>
  </si>
  <si>
    <t>Hitting the central target awards 10 points.</t>
  </si>
  <si>
    <t>What happens if the stick bounces back and hits the player?</t>
  </si>
  <si>
    <t>A. Penalty points B. Ineligibility C. Take the throw again. D. There is no penalty.</t>
  </si>
  <si>
    <t>There is no penalty for recreating trees that create accidental contact.</t>
  </si>
  <si>
    <t>Can every Gux player throw wood at the same time?</t>
  </si>
  <si>
    <t>A. No B. Only in good times C. It depends on the judge. D. No</t>
  </si>
  <si>
    <t>Players must take turns throwing the stick.</t>
  </si>
  <si>
    <t>What is the penalty for intentionally obstructing another player?</t>
  </si>
  <si>
    <t>A. Warning B. Ineligibility C. Point deduction D. Point deduction</t>
  </si>
  <si>
    <t>Obstructing another player will result in a point deduction.</t>
  </si>
  <si>
    <t>How long do players have to take their turn?</t>
  </si>
  <si>
    <t>A. 15 seconds B. 30 seconds C. There is no time limit. D. 30 seconds</t>
  </si>
  <si>
    <t>Players have 30 seconds to take their turn.</t>
  </si>
  <si>
    <t>What is the rule if a player misses the target completely?</t>
  </si>
  <si>
    <t>A. Point deduction B. Retry allowed C. There is no point. D. There is no point.</t>
  </si>
  <si>
    <t>Missing the target does not award any points for that throw.</t>
  </si>
  <si>
    <t>Can a player take out his stick if it is out of bounds?</t>
  </si>
  <si>
    <t>A. No B. Only with permission C. It depends on the judge. D. Yes</t>
  </si>
  <si>
    <t>Players can take out their sticks if they are out of bounds.</t>
  </si>
  <si>
    <t>What happens if a player illegally hits the target?</t>
  </si>
  <si>
    <t>A. Half points B. Full points C. Ineligibility D. There is no point.</t>
  </si>
  <si>
    <t>An illegal throw does not result in any points.</t>
  </si>
  <si>
    <t>How many players can participate in a match?</t>
  </si>
  <si>
    <t>A. 4 B. 6 C. 10 D. 4</t>
  </si>
  <si>
    <t>4</t>
  </si>
  <si>
    <t>What is the minimum distance required for a legal throw?</t>
  </si>
  <si>
    <t>A. 10 meters B. 15 meters C. 20 meters D. 10 meters</t>
  </si>
  <si>
    <t>A throw must be at least 10 meters to be legal.</t>
  </si>
  <si>
    <t>A. No B. Just to help players C. Only if the judge allows it. D. No</t>
  </si>
  <si>
    <t>Spectators are not allowed to interfere with the game.</t>
  </si>
  <si>
    <t>What happens if a player throws more sticks than allowed?</t>
  </si>
  <si>
    <t>A. Ineligibility B. Lost in thought. C. Warning D. Lost in thought.</t>
  </si>
  <si>
    <t>Throwing extra sticks will result in losing the turn.</t>
  </si>
  <si>
    <t>What is the result if two players meet on points?</t>
  </si>
  <si>
    <t>A. Filter round B. There is no winner. C. Points are awarded. D. Filter round</t>
  </si>
  <si>
    <t>A playoff will be held to determine the winner.</t>
  </si>
  <si>
    <t>Can players change sticks during the game?</t>
  </si>
  <si>
    <t>A. No B. Only during vacation C. Only with the permission of a judge. D. Only with the permission of a judge.</t>
  </si>
  <si>
    <t>Players may only change sticks with the referee's permission.</t>
  </si>
  <si>
    <t>What is the scoring rule if a stick hits multiple targets?</t>
  </si>
  <si>
    <t>A. First target points B. There is no point. C. Half points D. Points for all targets</t>
  </si>
  <si>
    <t>Players scored points for all targets hit with a single throw.</t>
  </si>
  <si>
    <t>What happens if a player accidentally drops the stick before throwing?</t>
  </si>
  <si>
    <t>A. Lost in thought. B. Retake allowed C. Point deduction D. Retake allowed</t>
  </si>
  <si>
    <t>Players are allowed to retrieve the throw if they accidentally drop the stick.</t>
  </si>
  <si>
    <t>What is the penalty for arguing with the referee?</t>
  </si>
  <si>
    <t>A. Ineligibility B. Point deduction C. Lost in thought. D. Warning</t>
  </si>
  <si>
    <t>What is the maximum number of players allowed in a team?</t>
  </si>
  <si>
    <t>What happens if a player's stick hits the target but doesn't stick?</t>
  </si>
  <si>
    <t>A. Points for partial scoring B. Full points C. Half points D. There is no point.</t>
  </si>
  <si>
    <t>Points are awarded only if the stick sticks to the target.</t>
  </si>
  <si>
    <t>What is the rule if a bat goes out of bounds on a proper throw?</t>
  </si>
  <si>
    <t>A. Penalty points B. Retake allowed C. Ineligibility D. There is no penalty.</t>
  </si>
  <si>
    <t>There is no penalty if the stick goes out of bounds after being thrown.</t>
  </si>
  <si>
    <t>How many targets are there on the playing field?</t>
  </si>
  <si>
    <t>There are three targets on the playing field.</t>
  </si>
  <si>
    <t>What happens if a player throws the stick in the wrong direction?</t>
  </si>
  <si>
    <t>A. Penalty points B. Retake allowed C. Ineligibility D. There is no point.</t>
  </si>
  <si>
    <t>Throwing the stick in the wrong direction does not score any points.</t>
  </si>
  <si>
    <t>Can the player throw a stick under his arm?</t>
  </si>
  <si>
    <t>A. No B. For beginners only C. Only when attached D. Yes</t>
  </si>
  <si>
    <t>Players are allowed to throw sticks with their hands.</t>
  </si>
  <si>
    <t>How is a player scored when he hits the target with a curved throw?</t>
  </si>
  <si>
    <t>A. Full points B. Half points C. Bonus points D. Full points</t>
  </si>
  <si>
    <t>A curved throw that hits the target results in full points.</t>
  </si>
  <si>
    <t>What is the penalty if a player intentionally damages the target?</t>
  </si>
  <si>
    <t>A. Warning B. Ineligibility C. Point deduction D. Ineligibility</t>
  </si>
  <si>
    <t>Intentionally harming the target results in incompetence.</t>
  </si>
  <si>
    <t>Can a player use any stick they like during the game?</t>
  </si>
  <si>
    <t>A. No B. Only certain types of wood are allowed. C. Only wood approved by a judge. D. Yes</t>
  </si>
  <si>
    <t>Players can use any stick they want during the game.</t>
  </si>
  <si>
    <t>What happens if a player doesn't throw within the allotted time?</t>
  </si>
  <si>
    <t>A. Penalty points B. Warning C. Retake allowed D. Lost in thought.</t>
  </si>
  <si>
    <t>If a player does not throw within the allotted time, he loses his turn.</t>
  </si>
  <si>
    <t>How many points are awarded for hitting the outside target?</t>
  </si>
  <si>
    <t>A. 2 points B. 5 points C. 10 points D. 1 point</t>
  </si>
  <si>
    <t>1 point for hitting an outside target awards.</t>
  </si>
  <si>
    <t>Is it allowed to distract the opposing player during a fight?</t>
  </si>
  <si>
    <t>A. No B. Only if the judge allows it. C. Only when attached D. No</t>
  </si>
  <si>
    <t>Distracting the opposing player during a fight is not allowed.</t>
  </si>
  <si>
    <t>What happens if a player drops his bat while preparing to throw?</t>
  </si>
  <si>
    <t>A. Retake allowed B. Lost in thought. C. Penalty points D. Retake allowed</t>
  </si>
  <si>
    <t>If a player drops the stick while preparing to throw, they can take the throw back.</t>
  </si>
  <si>
    <t>What is the rule if two players hit the target at the same time?</t>
  </si>
  <si>
    <t>A. First player results B. Second player scored. C. No points were awarded. D. Both points are points.</t>
  </si>
  <si>
    <t>If two players hit the target at the same time, both players score a point.</t>
  </si>
  <si>
    <t>Can a player throw a stick after the game is over?</t>
  </si>
  <si>
    <t>A. No, the match ends immediately. B. Only with the permission of a judge. C. Yes, but it doesn't count. D. No, the match ends immediately.</t>
  </si>
  <si>
    <t>Once the game is over, the player cannot throw a stick.</t>
  </si>
  <si>
    <t>What happens if a player hits the target in the wrong order?</t>
  </si>
  <si>
    <t>A. Penalty points B. For the final target point C. Ineligibility D. There is no point.</t>
  </si>
  <si>
    <t>Hitting the target in the wrong order does not score any points.</t>
  </si>
  <si>
    <t>What is the rule for scoring if the stick partially hits the target?</t>
  </si>
  <si>
    <t>A. Half points B. Full points C. Bonus points D. Half points</t>
  </si>
  <si>
    <t>A partial hit on the target scored half a point.</t>
  </si>
  <si>
    <t>What happens if a player argues with the referee after a decision?</t>
  </si>
  <si>
    <t>A. Lost in thought. B. Ineligibility C. Penalty points D. Warning</t>
  </si>
  <si>
    <t>Can a player change his throwing technique during the game?</t>
  </si>
  <si>
    <t>A. No B. Only if they are losing. C. Only if you ask the judge. D. Yes</t>
  </si>
  <si>
    <t>Players are allowed to change their throwing technique during the game.</t>
  </si>
  <si>
    <t>What happens if a player steps outside the marked area while throwing?</t>
  </si>
  <si>
    <t>A. Penalty points B. Ineligibility C. Warning D. Penalty points</t>
  </si>
  <si>
    <t>Leaving the marked area during a throw-in will result in a penalty kick.</t>
  </si>
  <si>
    <t>What is the penalty if a player intentionally delays the game?</t>
  </si>
  <si>
    <t>A. Ineligibility B. Losing points C. Retake allowed D. Warning</t>
  </si>
  <si>
    <t>Intentionally delaying the game is a warning.</t>
  </si>
  <si>
    <t>How many rounds are typically played in each Feras Gux match?</t>
  </si>
  <si>
    <t>A. 3 rounds B. 5 rounds C. Unlimited rounds D. 3 rounds</t>
  </si>
  <si>
    <t>A Feras Gux match typically consists of 3 rounds.</t>
  </si>
  <si>
    <t>What happens if a player hits the target but their stick falls out of bounds?</t>
  </si>
  <si>
    <t>A. Full points B. Penalty points C. Half points D. Full points</t>
  </si>
  <si>
    <t>If the stick hits the target but falls out of bounds, the player still scores full points.</t>
  </si>
  <si>
    <t>Can players use more than one stick in a turn?</t>
  </si>
  <si>
    <t>A. No B. Yes C. Only in the filter D. No</t>
  </si>
  <si>
    <t>Players are only allowed to use one stick per turn.</t>
  </si>
  <si>
    <t>What happens if a player brings in negative points?</t>
  </si>
  <si>
    <t>A. Warning B. The round has been rejected. C. No points were deducted. D. The round has been rejected.</t>
  </si>
  <si>
    <t>Negative points will result in the round being rejected.</t>
  </si>
  <si>
    <t>How are ties between players resolved in a round?</t>
  </si>
  <si>
    <t>A. Both players lost. B. Both players win. C. Random drawing D. Extra round</t>
  </si>
  <si>
    <t>Connections within one round are resolved with an additional round.</t>
  </si>
  <si>
    <t>What happens if a player hits the stick and it lands in the wrong spot?</t>
  </si>
  <si>
    <t>A. Penalty points B. Full points C. Lost in thought. D. There is no point.</t>
  </si>
  <si>
    <t>If a stick lands in the wrong place, no points are awarded.</t>
  </si>
  <si>
    <t>Can the player choose to forfeit the match?</t>
  </si>
  <si>
    <t>A. No B. Only with the permission of a judge. C. Only in good times D. Yes</t>
  </si>
  <si>
    <t>The player can choose to forfeit the match.</t>
  </si>
  <si>
    <t>What happens if a player fails to arrive on time for their turn?</t>
  </si>
  <si>
    <t>A. Retake allowed B. Penalty points C. There is no point. D. Lost in thought.</t>
  </si>
  <si>
    <t>If a player fails to arrive on time for their turn, they lose their turn.</t>
  </si>
  <si>
    <t>What is the penalty for using an illegal stick?</t>
  </si>
  <si>
    <t>A. Warning B. Point deduction C. There is no penalty. D. Ineligibility</t>
  </si>
  <si>
    <t>Using an illegal stick will result in disqualification.</t>
  </si>
  <si>
    <t>How many targets are used in a competitive match?</t>
  </si>
  <si>
    <t>A. 2 targets B. 3 targets C. 4 targets D. 3 targets</t>
  </si>
  <si>
    <t>Three targets are typically used in a competitive match.</t>
  </si>
  <si>
    <t>Can players use the same stick for multiple rounds?</t>
  </si>
  <si>
    <t>A. No B. Only with permission C. Only in practice D. Yes</t>
  </si>
  <si>
    <t>Players can use the same stick for multiple rounds.</t>
  </si>
  <si>
    <t>What is the rule if a player intentionally distracts an opponent?</t>
  </si>
  <si>
    <t>A. Ineligibility B. Penalty points C. There is no penalty. D. Ineligibility</t>
  </si>
  <si>
    <t>Deliberately distracting a competitor will result in a loss of results.</t>
  </si>
  <si>
    <t>What happens if the player throws too hard and the bat misses?</t>
  </si>
  <si>
    <t>A. Penalty points B. Full points C. Retake allowed D. There is no point.</t>
  </si>
  <si>
    <t>A missed throw does not score any points.</t>
  </si>
  <si>
    <t>What happens if a player steps on the target during a throw?</t>
  </si>
  <si>
    <t>Stepping on the target during the throw will result in penalty points.</t>
  </si>
  <si>
    <t>What is the maximum time allowed for each throw?</t>
  </si>
  <si>
    <t>A. 1 minute B. 2 minutes C. 5 minutes D. 1 minute</t>
  </si>
  <si>
    <t>Players are allowed 1 minute per throw.</t>
  </si>
  <si>
    <t>What happens if a player's stick is thrown out of bounds?</t>
  </si>
  <si>
    <t>A stick thrown out of bounds does not score any points.</t>
  </si>
  <si>
    <t>How is the winner determined in a tie after the final round?</t>
  </si>
  <si>
    <t>A. Point-based system B. Random drawing C. With many targets D. Sudden death round</t>
  </si>
  <si>
    <t>If there is a tie after the final round, a sudden death round is played.</t>
  </si>
  <si>
    <t>Can a player change targets during a round?</t>
  </si>
  <si>
    <t>A. No B. Only at the beginning of the game C. Only in the last round D. No</t>
  </si>
  <si>
    <t>Once a round has started, players cannot change their target.</t>
  </si>
  <si>
    <t>What happens if two players throw their sticks at the same time?</t>
  </si>
  <si>
    <t>A. First player results B. Second player scored. C. There is no point. D. Both points are points.</t>
  </si>
  <si>
    <t>If both players throw their sticks at the same time, both score a point.</t>
  </si>
  <si>
    <t>What happens if a player throws his stick and it hits the opponent's stick?</t>
  </si>
  <si>
    <t>A. Dropping points B. Ineligibility C. Retry allowed D. Dropping points</t>
  </si>
  <si>
    <t>The throw is still valid and points are awarded for the hit.</t>
  </si>
  <si>
    <t>Can players use gloves when throwing their bats?</t>
  </si>
  <si>
    <t>A. No B. Only in winter C. Only with the judge's approval. D. Yes</t>
  </si>
  <si>
    <t>Players are allowed to use gloves while throwing the bat.</t>
  </si>
  <si>
    <t>What happens if a player's stick goes off target?</t>
  </si>
  <si>
    <t>A. Full points B. Half points C. Retake allowed D. Half points</t>
  </si>
  <si>
    <t>A stick that misses the target gets half a point.</t>
  </si>
  <si>
    <t>What happens if a player scores more points than needed to win?</t>
  </si>
  <si>
    <t>A. Extra round B. They win automatically. C. The result has been reset. D. They win automatically.</t>
  </si>
  <si>
    <t>If a player scores more points than required, he wins immediately.</t>
  </si>
  <si>
    <t>Can a player request a review of the referee's decision?</t>
  </si>
  <si>
    <t>A. No B. Only if the match is tied. C. Only in the last round D. Yes, with righteousness.</t>
  </si>
  <si>
    <t>Players can request a review of the referee's decision on grounds of merit.</t>
  </si>
  <si>
    <t>What is the penalty if a player is caught cheating?</t>
  </si>
  <si>
    <t>A. Warning B. Losing points C. The game has started again. D. Ineligibility</t>
  </si>
  <si>
    <t>Cheating leads to loss of results.</t>
  </si>
  <si>
    <t>What happens if a player scores zero points in a round?</t>
  </si>
  <si>
    <t>A. Penalty points B. Lost in thought. C. There is no penalty. D. There is no penalty.</t>
  </si>
  <si>
    <t>There is no penalty for scoring zero points in a round.</t>
  </si>
  <si>
    <t>Can a player sit down and throw the stick?</t>
  </si>
  <si>
    <t>A. No B. Only if they are injured C. Only in practice rounds. D. Yes</t>
  </si>
  <si>
    <t>Players can sit down and throw their sticks.</t>
  </si>
  <si>
    <t>What happens if a player misses the target by a small margin?</t>
  </si>
  <si>
    <t>A. Half points B. Full points C. Warning D. There is no point.</t>
  </si>
  <si>
    <t>If the target misses by a small margin, no points are awarded.</t>
  </si>
  <si>
    <t>How is the winner of a multi-round match determined?</t>
  </si>
  <si>
    <t>A. To reach the first target points B. Sudden death round C. To hit all targets first D. Scored a lot of points</t>
  </si>
  <si>
    <t>The winner is the player who scores the most points in all rounds.</t>
  </si>
  <si>
    <t>Can a player throw the stick with both hands?</t>
  </si>
  <si>
    <t>A. No B. Only with special permission C. Only during practice. D. Yes</t>
  </si>
  <si>
    <t>Players can throw their sticks with either hand.</t>
  </si>
  <si>
    <t>What happens if a player's stick lands on the target?</t>
  </si>
  <si>
    <t>A. Half points B. There is no point. C. Penalty points D. Full points</t>
  </si>
  <si>
    <t>Full points are awarded if a stick lands on the target.</t>
  </si>
  <si>
    <t>Can players change positions during a round?</t>
  </si>
  <si>
    <t>A. No B. Only between rounds C. Only in special circumstances D. No</t>
  </si>
  <si>
    <t>Players cannot change positions during a round.</t>
  </si>
  <si>
    <t>A. The game continues. B. Retake allowed C. The game is paused. D. Substitution allowed.</t>
  </si>
  <si>
    <t>If a player is injured, a substitute may be allowed to continue the game.</t>
  </si>
  <si>
    <t>How is a point awarded when a player hits the center target?</t>
  </si>
  <si>
    <t>A. 2 points B. 1 point C. Bonus points D. 2 points</t>
  </si>
  <si>
    <t>Hitting the middle target awards 2 points.</t>
  </si>
  <si>
    <t>What happens if a player throws the stick after the game is stopped?</t>
  </si>
  <si>
    <t>A. Retake allowed B. Warning C. Ineligibility D. There is no point.</t>
  </si>
  <si>
    <t>There's no point in throwing the baton after the match.</t>
  </si>
  <si>
    <t>Can a player throw the stick outside the playing area?</t>
  </si>
  <si>
    <t>A. No B. Only in practice C. Only in emergencies D. No</t>
  </si>
  <si>
    <t>A player must throw the stick into the designated playing area.</t>
  </si>
  <si>
    <t>What is the rule if a player throws the stick and it doesn't hit the target?</t>
  </si>
  <si>
    <t>A. Penalty points B. Retake allowed C. Warning D. There is no point.</t>
  </si>
  <si>
    <t>If the stick does not reach the target, no points are awarded.</t>
  </si>
  <si>
    <t>Can players use anything other than a stick to hit the target?</t>
  </si>
  <si>
    <t>A. No B. Only if they are losing. C. Only in the filter D. No</t>
  </si>
  <si>
    <t>Players must use the assigned stick to hit the target.</t>
  </si>
  <si>
    <t>What happens if the player's stick hits the target but falls to the ground?</t>
  </si>
  <si>
    <t>A. Full points B. Half points C. Warning D. Full points</t>
  </si>
  <si>
    <t>If the stick hits the target and falls to the ground, full points are awarded.</t>
  </si>
  <si>
    <t>How is the score calculated if a player hits multiple targets in one round?</t>
  </si>
  <si>
    <t>A. Bonus points B. Points only for the first target C. There is no point. D. Points for each target</t>
  </si>
  <si>
    <t>A point is awarded for each target in one round.</t>
  </si>
  <si>
    <t>Can a player throw the stick while sitting on the ground?</t>
  </si>
  <si>
    <t>A. No B. Only during practice. C. Only in special circumstances D. Yes</t>
  </si>
  <si>
    <t>Players can throw the stick even if they are sitting on the ground.</t>
  </si>
  <si>
    <t>What happens if a player is caught using illegal equipment?</t>
  </si>
  <si>
    <t>A. Warning B. Point deduction C. Retake allowed D. Ineligibility</t>
  </si>
  <si>
    <t>Using illegal devices will result in disqualification.</t>
  </si>
  <si>
    <t>Can a player throw multiple sticks in one round?</t>
  </si>
  <si>
    <t>A. No B. Only in special circumstances C. Only in good times D. No</t>
  </si>
  <si>
    <t>Players are only allowed one throw.</t>
  </si>
  <si>
    <t>A. Ineligibility B. Penalty points C. Lost in thought. D. Warning</t>
  </si>
  <si>
    <t>Intentionally delaying the game will result in a warning.</t>
  </si>
  <si>
    <t>What happens if a player throws the stick after a certain amount of time?</t>
  </si>
  <si>
    <t>After a certain time, throwing the stick will not score any points.</t>
  </si>
  <si>
    <t>What happens if a player throws the stick and another player touches it?</t>
  </si>
  <si>
    <t>A. Penalty points B. Full points C. Warning D. Penalty points</t>
  </si>
  <si>
    <t>Touching another player with the stick results in a penalty.</t>
  </si>
  <si>
    <t>What happens if the stick hits the target but the target is not in place?</t>
  </si>
  <si>
    <t>A. Full points B. Half points C. Retake allowed D. There is no point.</t>
  </si>
  <si>
    <t>If the target is not in place, no points are awarded.</t>
  </si>
  <si>
    <t>How many targets can a player hit in one round?</t>
  </si>
  <si>
    <t>A. two B. three C. Unlimited D. one</t>
  </si>
  <si>
    <t>A player can only hit one target per round.</t>
  </si>
  <si>
    <t>What happens if a player's stick rolls off the target?</t>
  </si>
  <si>
    <t>A. Full points B. Half points C. Penalty points D. Half points</t>
  </si>
  <si>
    <t>If the stick rolls off the target, half points are awarded.</t>
  </si>
  <si>
    <t>Can a player throw the stick behind the designated line?</t>
  </si>
  <si>
    <t>A. No B. Only with special permission C. Only in emergencies D. No</t>
  </si>
  <si>
    <t>Players must throw their bats on the designated line.</t>
  </si>
  <si>
    <t>What happens if two players hit the same target at the same time?</t>
  </si>
  <si>
    <t>A. Only the first player to score a goal. B. There is no point. C. Both lose points. D. Both points are points.</t>
  </si>
  <si>
    <t>Both players score a point if they hit the same target at the same time.</t>
  </si>
  <si>
    <t>Can a player score points if their ball hits the target and misses?</t>
  </si>
  <si>
    <t>If the stick hits the target and comes out, half points are awarded.</t>
  </si>
  <si>
    <t>What happens if a player throws the stick and it hits the ground before it reaches the target?</t>
  </si>
  <si>
    <t>A. Penalty points B. Full points C. Half points D. There is no point.</t>
  </si>
  <si>
    <t>If the stick hits the ground before reaching the target, no points are awarded.</t>
  </si>
  <si>
    <t>What happens if the player's stick lands outside the intended area?</t>
  </si>
  <si>
    <t>Landing a stick outside the target area does not result in any points.</t>
  </si>
  <si>
    <t>Can players use any type of stick during the game?</t>
  </si>
  <si>
    <t>A. No B. Only special gears C. Only wooden poles D. No</t>
  </si>
  <si>
    <t>Players must use the assigned stick during the game.</t>
  </si>
  <si>
    <t>What happens if a player hits the target with his stick but doesn't reach the desired score?</t>
  </si>
  <si>
    <t>If the player does not reach the required points, no points are awarded.</t>
  </si>
  <si>
    <t>What happens if a player's stick hits the target but falls outside the boundary?</t>
  </si>
  <si>
    <t>A stick that falls out of bounds does not score any points.</t>
  </si>
  <si>
    <t>What is the rule if a player throws the stick too late?</t>
  </si>
  <si>
    <t>A. Penalty points B. Full points C. Retake allowed D. Penalty points</t>
  </si>
  <si>
    <t>Throwing the stick too late will result in penalty points.</t>
  </si>
  <si>
    <t>Can players use their own special equipment during the game?</t>
  </si>
  <si>
    <t>A. No B. Only during vacation C. Only with prior approval. D. No</t>
  </si>
  <si>
    <t>Players may not use special equipment unless authorized by the referee.</t>
  </si>
  <si>
    <t>What happens if the player's stick lands near the target area but misses the target?</t>
  </si>
  <si>
    <t>If the stick lands near the target area but misses, no points are awarded.</t>
  </si>
  <si>
    <t>Can a player change their target between rounds?</t>
  </si>
  <si>
    <t>A. No B. Only at the beginning of the game C. Only during the final round D. Yes, if allowed by the judge.</t>
  </si>
  <si>
    <t>Players may change their targets between rounds if permitted by the referee.</t>
  </si>
  <si>
    <t>What happens if a player throws the bat and doesn't hit anything?</t>
  </si>
  <si>
    <t>A. Penalty points B. Retake allowed C. Full points D. There is no point.</t>
  </si>
  <si>
    <t>If the stick doesn't hit anything, no points are awarded.</t>
  </si>
  <si>
    <t>How is the winner determined if there is a tie?</t>
  </si>
  <si>
    <t>A. Sudden death round B. Random drawing C. Bonus points awarded D. Sudden death round</t>
  </si>
  <si>
    <t>A sudden death round will determine the winner in a tie.</t>
  </si>
  <si>
    <t>Can a player request a time-out during the game?</t>
  </si>
  <si>
    <t>A. No B. Only when injured C. Only between rounds D. Yes, once in a circle.</t>
  </si>
  <si>
    <t>Players can request a timeout once per round.</t>
  </si>
  <si>
    <t>What is the penalty for a player who intentionally targets an opponent?</t>
  </si>
  <si>
    <t>A. There is no penalty. B. Ineligibility C. Penalty points D. Ineligibility</t>
  </si>
  <si>
    <t>Deliberately targeting an opponent results in incompetence.</t>
  </si>
  <si>
    <t>What happens if a player's stick is thrown and lands outside the playing area?</t>
  </si>
  <si>
    <t>A stick thrown outside the playing area does not score any points.</t>
  </si>
  <si>
    <t>Can a player throw the stick in any direction?</t>
  </si>
  <si>
    <t>A. No B. Only in the future C. Back only D. No</t>
  </si>
  <si>
    <t>Players must throw the stick in the direction specified by the rules.</t>
  </si>
  <si>
    <t>What is the rule if a player touches the target while throwing?</t>
  </si>
  <si>
    <t>Touching the target during the throw does not score any points.</t>
  </si>
  <si>
    <t>Can a player change positions between rounds?</t>
  </si>
  <si>
    <t>A. No B. Only if they are injured C. Only in the last round D. Yes, with the judge's approval.</t>
  </si>
  <si>
    <t>Players may change positions between rounds if the referee allows.</t>
  </si>
  <si>
    <t>What happens if a player throws his stick and it hits another player's stick?</t>
  </si>
  <si>
    <t>A. Full points B. Penalty points C. Retake allowed D. There is no point.</t>
  </si>
  <si>
    <t>No points are awarded if a player hits another player's stick.</t>
  </si>
  <si>
    <t>Can the player throw the stick without aiming at the target?</t>
  </si>
  <si>
    <t>A. No B. Only in practice rounds C. Only in emergencies D. No</t>
  </si>
  <si>
    <t>Players must aim at the target when throwing the stick.</t>
  </si>
  <si>
    <t>What happens if a player throws the stick and it rolls off the playing field?</t>
  </si>
  <si>
    <t>No points are awarded if the stick rolls off the playing surface.</t>
  </si>
  <si>
    <t>What happens if a player's stick is dropped before the signal?</t>
  </si>
  <si>
    <t>A. Full points B. Penalty points C. Retake allowed D. Penalty points</t>
  </si>
  <si>
    <t>Throwing the stick before the signal results in penalty points.</t>
  </si>
  <si>
    <t>What happens if a player throws the bat and hits the target but doesn't stay in place?</t>
  </si>
  <si>
    <t>If the stick hits the target but does not stay on, half points are awarded.</t>
  </si>
  <si>
    <t>Can a player request a review of the score if he disagrees with the points awarded?</t>
  </si>
  <si>
    <t>A. No B. Only in the last round C. Only during vacation D. Yes, by the judge.</t>
  </si>
  <si>
    <t>If a player disagrees with the result, he or she may request a review, but only by the referee.</t>
  </si>
  <si>
    <t>If both players have the same score in a round, how is the score decided?</t>
  </si>
  <si>
    <t>A. Most points in previous rounds B. Bonus round C. Random drawing D. Sudden death round</t>
  </si>
  <si>
    <t>It is used to break a sudden death round when a tie occurs.</t>
  </si>
  <si>
    <t>What happens if a player's stick is thrown out of turn?</t>
  </si>
  <si>
    <t>A. Penalty points B. Retake allowed C. Full points D. Penalty points</t>
  </si>
  <si>
    <t>Continuously throwing the stick results in penalty points.</t>
  </si>
  <si>
    <t>What happens if a player touches the target before throwing the stick?</t>
  </si>
  <si>
    <t>Touching the target before throwing does not score any points.</t>
  </si>
  <si>
    <t>How is the number of points for a round determined?</t>
  </si>
  <si>
    <t>A. By the type of target used B. How many players are in the round? C. By the player's accuracy D. By the player's accuracy</t>
  </si>
  <si>
    <t>Points are awarded based on how accurately the player hits the target.</t>
  </si>
  <si>
    <t>A. No B. Only in the last round C. Only during practice. D. No</t>
  </si>
  <si>
    <t>A player can only throw one stick per round.</t>
  </si>
  <si>
    <t>What is the rule if a player's stick goes off target and hits another player?</t>
  </si>
  <si>
    <t>If the stick hits another player, penalty points are awarded.</t>
  </si>
  <si>
    <t>Can a player change the type of stick between rounds?</t>
  </si>
  <si>
    <t>A. No B. Only in emergencies C. Only in practice rounds D. Yes, if allowed by the judge.</t>
  </si>
  <si>
    <t>A player may change sticks between rounds if permitted by the referee.</t>
  </si>
  <si>
    <t>What happens if a player's bat is thrown but does not reach the target area?</t>
  </si>
  <si>
    <t>If the stick does not reach the target area, no points are awarded.</t>
  </si>
  <si>
    <t>What happens if a player is caught cheating during a game?</t>
  </si>
  <si>
    <t>A. Ineligibility B. Penalty points C. Retake allowed D. Ineligibility</t>
  </si>
  <si>
    <t>A player caught cheating will be out of the game.</t>
  </si>
  <si>
    <t>Can a player delay a throw to distract an opponent?</t>
  </si>
  <si>
    <t>A. No B. Only during vacation C. Only at the beginning of the game D. No</t>
  </si>
  <si>
    <t>Players are not allowed to delay their throw to distract their opponent.</t>
  </si>
  <si>
    <t>A. Full points B. Half points C. Penalty points D. There is no point.</t>
  </si>
  <si>
    <t>If the stick touches the ground before reaching the target, no points are awarded.</t>
  </si>
  <si>
    <t>How does a player earn points in a round?</t>
  </si>
  <si>
    <t>A. By the number of pieces of wood thrown B. How many targets were hit? C. In the color of a stick D. How close is the stick to the target?</t>
  </si>
  <si>
    <t>Points are awarded based on how close the stick is to the target.</t>
  </si>
  <si>
    <t>A. There is no point. B. Only the first player to score a goal. C. The second player scored the most points. D. There is no point.</t>
  </si>
  <si>
    <t>No points are awarded if two players fight at the same time.</t>
  </si>
  <si>
    <t>Can a player use his foot to adjust the target?</t>
  </si>
  <si>
    <t>Players are not allowed to use their feet to adjust the target.</t>
  </si>
  <si>
    <t>What happens if a player accidentally hits another player's stick while throwing?</t>
  </si>
  <si>
    <t>If the player accidentally hits another stick, no points are awarded.</t>
  </si>
  <si>
    <t>Can a player throw the stick from any distance during the game?</t>
  </si>
  <si>
    <t>A. No B. Only in the last round C. Only during vacation D. No</t>
  </si>
  <si>
    <t>Players must throw the stick from the designated distance.</t>
  </si>
  <si>
    <t>What happens if a player's stick goes into the target but does not make contact with the target?</t>
  </si>
  <si>
    <t>If the stick lands in the target area but does not make contact, half points are awarded.</t>
  </si>
  <si>
    <t>Can a player return the throw if he realizes it was a mistake?</t>
  </si>
  <si>
    <t>A. No B. Only in the first round C. Only if nothing happens. D. No</t>
  </si>
  <si>
    <t>Players cannot return their throw once it has been made.</t>
  </si>
  <si>
    <t>What happens if the player's stick lands in the target area but doesn't score enough points?</t>
  </si>
  <si>
    <t>If the stick does not score enough points, no points are awarded.</t>
  </si>
  <si>
    <t>If players are tied at the end of the game, how is the winner determined?</t>
  </si>
  <si>
    <t>A. In the final round B. Randomly selected C. By the judge's decision D. Won most rounds</t>
  </si>
  <si>
    <t>The winner is determined by the number of rounds won in the game.</t>
  </si>
  <si>
    <t>Can a player use his stick as a shield?</t>
  </si>
  <si>
    <t>A. No B. Only during vacation C. Only if the opponent agrees. D. No</t>
  </si>
  <si>
    <t>Players cannot use the stick as a shield during the game.</t>
  </si>
  <si>
    <t>What happens if a player's stick hits the target but doesn't stay in the area?</t>
  </si>
  <si>
    <t>If the stick does not stay in the target position, no points are awarded.</t>
  </si>
  <si>
    <t>Can a player change targets during the game?</t>
  </si>
  <si>
    <t>A. No B. Only in the last round C. Only during vacation D. Yes, if allowed by the judge.</t>
  </si>
  <si>
    <t>A player may change the target if permitted by the referee.</t>
  </si>
  <si>
    <t>How many rounds does it usually take to complete a game of Feras Gux?</t>
  </si>
  <si>
    <t>A. 5 rounds B. 10 rounds C. 20 rounds D. It depends on the players.</t>
  </si>
  <si>
    <t>The number of rounds depends on the players and the rules of the game.</t>
  </si>
  <si>
    <t>No points are awarded if a player's stick goes out of bounds.</t>
  </si>
  <si>
    <t>Can a player use their hands to change the position of the stick after it has been thrown?</t>
  </si>
  <si>
    <t>A. No B. Only if the target is lost. C. Only during vacation D. No</t>
  </si>
  <si>
    <t>Players are not allowed to change the position of the stick after it has been thrown.</t>
  </si>
  <si>
    <t>What happens if a player throws his stick and hits an umpire?</t>
  </si>
  <si>
    <t>If the stick hits the referee, no points are awarded.</t>
  </si>
  <si>
    <t>Can the player throw the stick in any direction?</t>
  </si>
  <si>
    <t>A. No B. Only during the final round C. Only during practice. D. No</t>
  </si>
  <si>
    <t>Players must throw the stick in the direction of the target.</t>
  </si>
  <si>
    <t>What happens if a player's stick is thrown and lands outside the marked area?</t>
  </si>
  <si>
    <t>No points are awarded if the stick lands outside the marked area.</t>
  </si>
  <si>
    <t>Can a player change the size of his stick?</t>
  </si>
  <si>
    <t>A. No B. Only in the first round C. Only during vacation D. Yes, if allowed by the judge.</t>
  </si>
  <si>
    <t>A player may change the size of his stick if permitted by the referee.</t>
  </si>
  <si>
    <t>What happens if two players throw their sticks at the same target?</t>
  </si>
  <si>
    <t>No points are awarded if two players fight on the same target.</t>
  </si>
  <si>
    <t>Can a player throw the baton multiple times in one round?</t>
  </si>
  <si>
    <t>A. No B. Only during the final round C. Only during vacation D. No</t>
  </si>
  <si>
    <t>Players are only allowed one throw per round.</t>
  </si>
  <si>
    <t>What happens if a player's stick is thrown but hits the ground too early?</t>
  </si>
  <si>
    <t>If the stick hits the ground too early, no points are awarded.</t>
  </si>
  <si>
    <t>What happens if a player hits the target but doesn't land in the target?</t>
  </si>
  <si>
    <t>If the stick hits the target but does not go in, half points are awarded.</t>
  </si>
  <si>
    <t>What is the standard length of a marathon?</t>
  </si>
  <si>
    <t>A. 40 km B. 45 km C. 50 km D. 42.195 km</t>
  </si>
  <si>
    <t>42.195 km</t>
  </si>
  <si>
    <t>The marathon race is officially 42.195 kilometers long.</t>
  </si>
  <si>
    <t>How many laps does a runner complete in a 400-meter race?</t>
  </si>
  <si>
    <t>A. 2 rounds B. 4 rounds C. 3 rounds D. 1 round</t>
  </si>
  <si>
    <t>1 round</t>
  </si>
  <si>
    <t>A 400-meter race is one lap around a track.</t>
  </si>
  <si>
    <t>What is the maximum height for the men's high jump competition?</t>
  </si>
  <si>
    <t>A. 2.20 meters B. 2.50 meters C. 2.35 meters D. 2.45 meters</t>
  </si>
  <si>
    <t>2.45 meters</t>
  </si>
  <si>
    <t>The men's high jump is 2.45 meters.</t>
  </si>
  <si>
    <t>How many attempts does an athlete make in the long jump?</t>
  </si>
  <si>
    <t>A. 2 attempts B. 5 attempts C. 1 attempt D. 3 attempts</t>
  </si>
  <si>
    <t>3 attempts</t>
  </si>
  <si>
    <t>Each athlete will make 3 attempts in the long jump.</t>
  </si>
  <si>
    <t>Which of the following is not a type of running in track and field?</t>
  </si>
  <si>
    <t>A. Distance B. Obstacle C. Pressure race D. Pressure race</t>
  </si>
  <si>
    <t>Pressure race</t>
  </si>
  <si>
    <t>The push-up competition is not an official event in track and field.</t>
  </si>
  <si>
    <t>What is the time limit for the 100 meter dash?</t>
  </si>
  <si>
    <t>A. 30 seconds B. 10 seconds C. 20 seconds D. There is no time limit.</t>
  </si>
  <si>
    <t>There is no time limit.</t>
  </si>
  <si>
    <t>The 100-meter dash has no set time limit; the fastest time wins.</t>
  </si>
  <si>
    <t>In which event is the 'discus' thrown?</t>
  </si>
  <si>
    <t>A. Javelin B. Hammer throwing C. Discus throw D. Discus throw</t>
  </si>
  <si>
    <t>Discus throw</t>
  </si>
  <si>
    <t>The discus is thrown in a discus throw event.</t>
  </si>
  <si>
    <t>What does the term 'false start' refer to in terms of events in a race?</t>
  </si>
  <si>
    <t>A. Starting too early B. Falling during the race C. Running off the track D. Starting too early</t>
  </si>
  <si>
    <t>Starting too early</t>
  </si>
  <si>
    <t>A false start occurs when a runner starts before the gun sounds.</t>
  </si>
  <si>
    <t>Which race is known as the 'longest' sprint?</t>
  </si>
  <si>
    <t>A. 800 meters B. 100 meters C. 200 meters D. 400 meters</t>
  </si>
  <si>
    <t>400 meters</t>
  </si>
  <si>
    <t>The 400 meters is known as the longest sprint.</t>
  </si>
  <si>
    <t>How many runners are there in each team in a race?</t>
  </si>
  <si>
    <t>A. 4 runners B. 5 runners C. 2 runners D. 4 runners</t>
  </si>
  <si>
    <t>4 runners</t>
  </si>
  <si>
    <t>Each race team consists of 4 runners.</t>
  </si>
  <si>
    <t>What happens if a runner goes off the track in a 200-meter race?</t>
  </si>
  <si>
    <t>A. Punished B. Warned C. Allowed to continue D. Unqualified</t>
  </si>
  <si>
    <t>Unqualified</t>
  </si>
  <si>
    <t>A runner who steps out of their lane will be disqualified.</t>
  </si>
  <si>
    <t>How many hurdles are there in the 110 meter hurdles race?</t>
  </si>
  <si>
    <t>A. 9 obstacles B. 10 obstacles C. 12 obstacles D. 10 obstacles</t>
  </si>
  <si>
    <t>10 obstacles</t>
  </si>
  <si>
    <t>The 110-meter hurdles race has 10 hurdles.</t>
  </si>
  <si>
    <t>What are the qualifying criteria for the men's 100-meter race at the Olympics?</t>
  </si>
  <si>
    <t>A. 10.00 seconds B. 10.50 seconds C. 9.50 seconds D. 9.80 seconds</t>
  </si>
  <si>
    <t>9.80 seconds</t>
  </si>
  <si>
    <t>The qualifying time for the 100 meters for men at the Olympics is typically 9.80 seconds.</t>
  </si>
  <si>
    <t>What is the main purpose of Decathlon?</t>
  </si>
  <si>
    <t>A. Jump B. throw up C. Complete 10 events D. Complete 10 events</t>
  </si>
  <si>
    <t>Complete 10 events</t>
  </si>
  <si>
    <t>The decathlon consists of 10 events to achieve the highest cumulative score.</t>
  </si>
  <si>
    <t>Which event in track and field requires athletes to clear the bar?</t>
  </si>
  <si>
    <t>A. High jump B. Shot dead C. Javelin D. High jump</t>
  </si>
  <si>
    <t>High jump</t>
  </si>
  <si>
    <t>It involves clearing the bar for high jumpers.</t>
  </si>
  <si>
    <t>Which track event has the longest distance?</t>
  </si>
  <si>
    <t>A. 5,000 meters B. Marathon C. Half marathon D. Marathon</t>
  </si>
  <si>
    <t>Marathon</t>
  </si>
  <si>
    <t>The marathon is the longest distance race.</t>
  </si>
  <si>
    <t>What does the word 'steeplechase' refer to?</t>
  </si>
  <si>
    <t>A. Sprint event B. Racing on the sand C. Mountain racing D. Obstacle and water hole race</t>
  </si>
  <si>
    <t>Obstacle and water hole race</t>
  </si>
  <si>
    <t>Steeplechase is a race with obstacles such as hurdles and water holes.</t>
  </si>
  <si>
    <t>What is the official weight for the women's shot put in track and field?</t>
  </si>
  <si>
    <t>A. 4 kg B. 5 kg C. 7 kg D. 4 kg</t>
  </si>
  <si>
    <t>4 kg</t>
  </si>
  <si>
    <t>The women's shot weighs 4 kilograms.</t>
  </si>
  <si>
    <t>How is the race winner determined?</t>
  </si>
  <si>
    <t>A. In the distance B. It has been cleared of numerous obstacles. C. At altitude D. In time</t>
  </si>
  <si>
    <t>In time</t>
  </si>
  <si>
    <t>The winner is determined by the fastest time or shortest distance.</t>
  </si>
  <si>
    <t>How long is a 100-meter race?</t>
  </si>
  <si>
    <t>A. 150 meters B. 200 meters C. 50 meters D. 100 meters</t>
  </si>
  <si>
    <t>100 meters</t>
  </si>
  <si>
    <t>The 100-meter dash is exactly 100 meters long.</t>
  </si>
  <si>
    <t>What is the maximum number of false starts allowed in a sprint race?</t>
  </si>
  <si>
    <t>What is the most common type of track for competitive running?</t>
  </si>
  <si>
    <t>A. Cinder B. Artificial C. Garbage D. Artificial</t>
  </si>
  <si>
    <t>Artificial</t>
  </si>
  <si>
    <t>Most competitive tracks are made of composite materials for speed and safety.</t>
  </si>
  <si>
    <t>What is the typical distance of a 4x100 meter relay?</t>
  </si>
  <si>
    <t>A. 400 meters B. 1,200 meters C. 1,600 meters D. 400 meters</t>
  </si>
  <si>
    <t>The 4x100 meter relay race covers a total of 400 meters.</t>
  </si>
  <si>
    <t>How do runners start in a sprint race?</t>
  </si>
  <si>
    <t>A. From the place where it was hung B. From where you are sitting C. From the kneeling position D. From the place where it was hung</t>
  </si>
  <si>
    <t>From the place where it was hung</t>
  </si>
  <si>
    <t>Runners start from a crouch in a sprint race.</t>
  </si>
  <si>
    <t>In which event do athletes try to throw the heaviest ball possible?</t>
  </si>
  <si>
    <t>A. Shot dead B. Javelin throw C. Hammer throwing D. Shot dead</t>
  </si>
  <si>
    <t>Shot dead</t>
  </si>
  <si>
    <t>Shot put involves throwing a heavy ball for distance.</t>
  </si>
  <si>
    <t>What is the basic format of a track and field relay race?</t>
  </si>
  <si>
    <t>A. Each team has 5 members. B. Each team has 4 members. C. Each team has 6 members. D. Each team has 4 members.</t>
  </si>
  <si>
    <t>Each team has 4 members.</t>
  </si>
  <si>
    <t>A relay race has 4 members per team passing the baton.</t>
  </si>
  <si>
    <t>How is the final stage of a race determined?</t>
  </si>
  <si>
    <t>A. In the distance B. Number of successful stick exchanges C. By the number of athletes D. With the fastest team time</t>
  </si>
  <si>
    <t>With the fastest team time</t>
  </si>
  <si>
    <t>The team with the fastest time wins the relay race.</t>
  </si>
  <si>
    <t>What is the purpose of a lane in track racing?</t>
  </si>
  <si>
    <t>A. To determine distance B. To add to the problem C. To prevent runners from falling D. To identify runners</t>
  </si>
  <si>
    <t>To identify runners</t>
  </si>
  <si>
    <t>During a race, lines are used to keep runners on their assigned route.</t>
  </si>
  <si>
    <t>How are records in events typically measured?</t>
  </si>
  <si>
    <t>A. Within hours B. In seconds C. In meters D. In seconds</t>
  </si>
  <si>
    <t>In seconds</t>
  </si>
  <si>
    <t>Running event records are measured in time, in seconds.</t>
  </si>
  <si>
    <t>What is the starting position for a sprinter in a 100-meter race?</t>
  </si>
  <si>
    <t>A. To bend over B. Saved C. On all four legs D. To bend over</t>
  </si>
  <si>
    <t>To bend over</t>
  </si>
  <si>
    <t>Runners start from a kneeling position in the 100-meter dash.</t>
  </si>
  <si>
    <t>How do athletes in pole vault try to clear the bar?</t>
  </si>
  <si>
    <t>A. By swinging the pole and clearing the bar. B. By leaping forward C. By throwing the pole D. By swinging the pole and clearing the bar.</t>
  </si>
  <si>
    <t>By swinging the pole and clearing the bar.</t>
  </si>
  <si>
    <t>In pole vault, athletes use a pole to help clear the bar.</t>
  </si>
  <si>
    <t>How do runners get eliminated in a race?</t>
  </si>
  <si>
    <t>A. Not finished B. By leaving the border C. Crossing the finish line first D. By leaving the border</t>
  </si>
  <si>
    <t>By leaving the border</t>
  </si>
  <si>
    <t>Walking outside the designated line can disqualify a runner from the relay.</t>
  </si>
  <si>
    <t>In which event do athletes jump into a sand pit?</t>
  </si>
  <si>
    <t>A. High jump B. Triple jump C. Pole mount D. Long jump</t>
  </si>
  <si>
    <t>Long jump</t>
  </si>
  <si>
    <t>In the long jump, athletes jump into a sand pit to measure the distance.</t>
  </si>
  <si>
    <t>What is the maximum height of the pole for women?</t>
  </si>
  <si>
    <t>A. 4.50 meters B. 4.00 meters C. 4.25 meters D. 4.50 meters</t>
  </si>
  <si>
    <t>4.50 meters</t>
  </si>
  <si>
    <t>The maximum height for women's poles is 4.50 meters.</t>
  </si>
  <si>
    <t>What is the official size of the track used in the Olympics?</t>
  </si>
  <si>
    <t>A. 350 meters B. 300 meters C. 500 meters D. 400 meters</t>
  </si>
  <si>
    <t>The Olympic track is 400 meters in circumference.</t>
  </si>
  <si>
    <t>How do runners in an 800-meter race approach the first lap?</t>
  </si>
  <si>
    <t>A. At a slow pace B. Walking C. they are running D. At a slow pace</t>
  </si>
  <si>
    <t>At a slow pace</t>
  </si>
  <si>
    <t>Runners in the 800 meters usually run in the first lap.</t>
  </si>
  <si>
    <t>What happens if a runner goes off the track in a 400-meter race?</t>
  </si>
  <si>
    <t>A. They are not qualified. B. They are allowed to continue. C. They receive a time penalty. D. They are not qualified.</t>
  </si>
  <si>
    <t>They are not qualified.</t>
  </si>
  <si>
    <t>A runner who goes off-road is disqualified from the 400-meter race.</t>
  </si>
  <si>
    <t>In track events, what type of surface is most commonly used for sprints?</t>
  </si>
  <si>
    <t>A. Asphalt B. Artificial C. Garbage D. Artificial</t>
  </si>
  <si>
    <t>Sprints are typically run on artificial surfaces for better grip.</t>
  </si>
  <si>
    <t>What is the typical time limit for a 10,000 meter race?</t>
  </si>
  <si>
    <t>A. 2 hours B. 3 hours C. There is no time limit. D. There is no time limit.</t>
  </si>
  <si>
    <t>There is usually no time limit for completing a 10,000-meter race.</t>
  </si>
  <si>
    <t>How far must each runner run in a 4x400 meter relay?</t>
  </si>
  <si>
    <t>A. 200 meters B. 300 meters C. 400 meters D. 400 meters</t>
  </si>
  <si>
    <t>Each runner in the 4x400 meter relay must run 400 meters.</t>
  </si>
  <si>
    <t>What is the distance of a marathon?</t>
  </si>
  <si>
    <t>A. 42.195 km B. 50 km C. 26.2 km D. 42.195 km</t>
  </si>
  <si>
    <t>The marathon is 42.195 kilometers long.</t>
  </si>
  <si>
    <t>In which event do athletes compete with a baton?</t>
  </si>
  <si>
    <t>A. Sprint B. Marathon C. Obstacles D. Transfer competition</t>
  </si>
  <si>
    <t>Transfer competition</t>
  </si>
  <si>
    <t>In a race, athletes pass the baton to the next runner.</t>
  </si>
  <si>
    <t>What is the standard size of a sprint lane in track events?</t>
  </si>
  <si>
    <t>A. 1 meter B. 1.5 meters C. 2 meters D. 1.22 meters</t>
  </si>
  <si>
    <t>1.22 meters</t>
  </si>
  <si>
    <t>Each lane in a Sprint Track event is 1.22 meters wide.</t>
  </si>
  <si>
    <t>What is the term used for the first leg of a relay race?</t>
  </si>
  <si>
    <t>A. To lead B. Midway C. Finish D. To lead</t>
  </si>
  <si>
    <t>To lead</t>
  </si>
  <si>
    <t>The first leg of a transfer competition is called the lead-off leg.</t>
  </si>
  <si>
    <t>Which event requires athletes to clear obstacles?</t>
  </si>
  <si>
    <t>A. Obstacles B. Pole mount C. Long jump D. Obstacles</t>
  </si>
  <si>
    <t>Obstacles</t>
  </si>
  <si>
    <t>In an obstacle race, athletes jump over obstacles as they run.</t>
  </si>
  <si>
    <t>How many laps does one mile take around a standard track?</t>
  </si>
  <si>
    <t>A. 5 B. 6 C. 8 D. 4</t>
  </si>
  <si>
    <t>What is the name of the event where runners complete multiple laps around the track?</t>
  </si>
  <si>
    <t>A. Distance race B. Transfer competition C. Marathon D. Distance race</t>
  </si>
  <si>
    <t>Distance race</t>
  </si>
  <si>
    <t>In distance races, athletes run multiple laps around a track.</t>
  </si>
  <si>
    <t>What is the time limit to complete the 1500 meter race?</t>
  </si>
  <si>
    <t>There is no time limit for the 1500 meter race.</t>
  </si>
  <si>
    <t>Which event is considered the shortest distance race on the track?</t>
  </si>
  <si>
    <t>A. 100 meters B. 400 meters C. 800 meters D. 100 meters</t>
  </si>
  <si>
    <t>The 100-meter dash is the shortest distance race on the track.</t>
  </si>
  <si>
    <t>What is the common method used in a 400-meter race?</t>
  </si>
  <si>
    <t>A. Running all the way B. Running back C. Towing D. shaking</t>
  </si>
  <si>
    <t>shaking</t>
  </si>
  <si>
    <t>Runners in a 400-meter race run faster after the first 200 meters.</t>
  </si>
  <si>
    <t>What is the primary challenge that marathon runners face?</t>
  </si>
  <si>
    <t>A. Perseverance. B. Jump C. Efficiency D. Perseverance.</t>
  </si>
  <si>
    <t>Perseverance.</t>
  </si>
  <si>
    <t>A marathon is a long-distance race, so it is a test of endurance.</t>
  </si>
  <si>
    <t>In a 4x100 meter relay, how is the baton passed?</t>
  </si>
  <si>
    <t>A. Under the arm B. Through the legs C. Over the head D. Hand in hand</t>
  </si>
  <si>
    <t>Hand in hand</t>
  </si>
  <si>
    <t>In the 4x100 meter relay, the baton is passed from hand to hand.</t>
  </si>
  <si>
    <t>What is the maximum time allowed to complete the 800 meter race?</t>
  </si>
  <si>
    <t>A. 10 minutes B. There is no time limit. C. 30 minutes D. There is no time limit.</t>
  </si>
  <si>
    <t>There is no time limit to complete the 800-meter race.</t>
  </si>
  <si>
    <t>What happens if a runner falls during a race?</t>
  </si>
  <si>
    <t>A. If you get up, you can continue. B. They have to walk. C. They must stop immediately. D. If you get up, you can continue.</t>
  </si>
  <si>
    <t>If you get up, you can continue.</t>
  </si>
  <si>
    <t>If a runner falls during a race, he can get back up and continue.</t>
  </si>
  <si>
    <t>In which event do athletes compete by jumping over obstacles?</t>
  </si>
  <si>
    <t>A. Obstacles B. Sprint C. Long jump D. Obstacles</t>
  </si>
  <si>
    <t>In the steeplechase event, athletes compete by jumping over obstacles.</t>
  </si>
  <si>
    <t>How is the start of a race signaled?</t>
  </si>
  <si>
    <t>A. Bullet B. Bell C. Signal flag D. Bullet</t>
  </si>
  <si>
    <t>Bullet</t>
  </si>
  <si>
    <t>The start of a race is typically marked by the sound of a gunshot.</t>
  </si>
  <si>
    <t>Where do runners start in a 200-meter race?</t>
  </si>
  <si>
    <t>A. To bend over B. Lying C. To sit D. Standing</t>
  </si>
  <si>
    <t>Standing</t>
  </si>
  <si>
    <t>Runners start the 200-meter race from a standing position.</t>
  </si>
  <si>
    <t>What is the best way to improve speed in running?</t>
  </si>
  <si>
    <t>A. Interval training B. Walking C. to run D. Interval training</t>
  </si>
  <si>
    <t>Interval training</t>
  </si>
  <si>
    <t>Interval training is a great way to improve speed in running.</t>
  </si>
  <si>
    <t>How often do runners drink water during a marathon?</t>
  </si>
  <si>
    <t>A. Every 10 km. B. Every 30 minutes C. Every 1 hour D. Every 5 km.</t>
  </si>
  <si>
    <t>Every 5 km.</t>
  </si>
  <si>
    <t>Runners drink water every 5 kilometers during a marathon.</t>
  </si>
  <si>
    <t>How does the finish line work in a marathon?</t>
  </si>
  <si>
    <t>A. It is posted with a large flag. B. It is a digital watch. C. It is a stretched tape. D. It is a stretched tape.</t>
  </si>
  <si>
    <t>It is a stretched tape.</t>
  </si>
  <si>
    <t>In a marathon, the finish line is typically marked with a stretch of tape.</t>
  </si>
  <si>
    <t>How does the transfer team know when to change the stick?</t>
  </si>
  <si>
    <t>A. When the runner gets tired B. When the leader signals the runner C. When the rod passes D. When the leader signals the runner</t>
  </si>
  <si>
    <t>When the leader signals the runner</t>
  </si>
  <si>
    <t>Relay runners know when to change the baton based on the signal given by the lead runner.</t>
  </si>
  <si>
    <t>In which race do runners turn a curve?</t>
  </si>
  <si>
    <t>A. 100 meters B. 800 meters C. 400 meters D. 400 meters</t>
  </si>
  <si>
    <t>In a 400-meter race, runners go around curves.</t>
  </si>
  <si>
    <t>Which event requires athletes to jump while running?</t>
  </si>
  <si>
    <t>A. High jump B. Long jump C. Pole mount D. Triple jump</t>
  </si>
  <si>
    <t>Triple jump</t>
  </si>
  <si>
    <t>In the triple jump, athletes jump while running.</t>
  </si>
  <si>
    <t>What kind of shoes are best for sprinters?</t>
  </si>
  <si>
    <t>A. Long-distance shoes B. Cones C. Casual shoes D. Cones</t>
  </si>
  <si>
    <t>Cones</t>
  </si>
  <si>
    <t>Sprinters wear spikes for better grip and speed.</t>
  </si>
  <si>
    <t>What is the maximum number of runners allowed on a regular route?</t>
  </si>
  <si>
    <t>In track events, what is the most important thing in a sprint race?</t>
  </si>
  <si>
    <t>A. Speed B. Strength C. Flexibility D. Speed</t>
  </si>
  <si>
    <t>Speed</t>
  </si>
  <si>
    <t>In a sprint race, speed is the most important thing.</t>
  </si>
  <si>
    <t>Which track event is known as a middle distance race?</t>
  </si>
  <si>
    <t>A. 100 meters B. 200 meters C. 400 meters D. 1500 meters</t>
  </si>
  <si>
    <t>1500 meters</t>
  </si>
  <si>
    <t>1500 meters is considered a middle distance race.</t>
  </si>
  <si>
    <t>How can athletes avoid injuries during competition?</t>
  </si>
  <si>
    <t>A. Running fast B. By eliminating waterlogging C. Wearing heavy shoes D. By heating</t>
  </si>
  <si>
    <t>By heating</t>
  </si>
  <si>
    <t>Athletes can prevent injury by warming up properly before a race.</t>
  </si>
  <si>
    <t>What is the distance to the halfway point in a marathon?</t>
  </si>
  <si>
    <t>A. 25 km B. 15 km C. 18 km D. 21 km</t>
  </si>
  <si>
    <t>21 km</t>
  </si>
  <si>
    <t>The halfway point of the marathon is at 21 kilometers.</t>
  </si>
  <si>
    <t>Which event involves using a pole to throw over a bar?</t>
  </si>
  <si>
    <t>A. High jump B. Obstacles C. Triple jump D. Pole mount</t>
  </si>
  <si>
    <t>Pole mount</t>
  </si>
  <si>
    <t>In pole vault, athletes use a pole to jump over a bar.</t>
  </si>
  <si>
    <t>What is the main goal of a 5K race?</t>
  </si>
  <si>
    <t>A. Perseverance. B. Jump C. throw up D. Perseverance.</t>
  </si>
  <si>
    <t>The main goal of a 5K race is to maintain endurance while running.</t>
  </si>
  <si>
    <t>Which track event is often considered a test of running and strength?</t>
  </si>
  <si>
    <t>A. 100 meters B. 1500 meters C. 800 meters D. 400 meters</t>
  </si>
  <si>
    <t>The 400-meter race tests speed and endurance.</t>
  </si>
  <si>
    <t>What is the fastest distance covered by sprinters in a regular race?</t>
  </si>
  <si>
    <t>A. 200 meters B. 1500 meters C. 800 meters D. 100 meters</t>
  </si>
  <si>
    <t>Athletes run fast in a 100-meter race.</t>
  </si>
  <si>
    <t>How can sprinters improve their start?</t>
  </si>
  <si>
    <t>A. Running backwards B. By doing distance running C. Stretching D. It starts with practicing the block.</t>
  </si>
  <si>
    <t>It starts with practicing the block.</t>
  </si>
  <si>
    <t>Sprinters improve their start by practicing block starts.</t>
  </si>
  <si>
    <t>Which event requires athletes to jump the highest?</t>
  </si>
  <si>
    <t>A. Pole mount B. Triple jump C. Long jump D. High jump</t>
  </si>
  <si>
    <t>In the high jump competition, athletes jump over the bar as high as possible.</t>
  </si>
  <si>
    <t>In a sprint, how many runners typically compete?</t>
  </si>
  <si>
    <t>A. 1-2 B. 7-8 C. 10-12 D. 7-8</t>
  </si>
  <si>
    <t>7-8</t>
  </si>
  <si>
    <t>What is the main strategy for the 400 meter race?</t>
  </si>
  <si>
    <t>A. You're going all out. B. Jump high. C. Running back D. Turn yourself around.</t>
  </si>
  <si>
    <t>Turn yourself around.</t>
  </si>
  <si>
    <t>In a 400-meter race, it's important to keep your stride from burning out too quickly.</t>
  </si>
  <si>
    <t>What type of track surface is best for sprinting?</t>
  </si>
  <si>
    <t>A. Concrete B. Grass C. sand D. Tartan</t>
  </si>
  <si>
    <t>Tartan</t>
  </si>
  <si>
    <t>Tartan is a type of artificial surface commonly used for spring (spring).</t>
  </si>
  <si>
    <t>Which event involves a competition over obstacles?</t>
  </si>
  <si>
    <t>A. Pole mount B. Triple jump C. Marathon D. Obstacles</t>
  </si>
  <si>
    <t>Runners race while clearing obstacles in the obstacle course.</t>
  </si>
  <si>
    <t>What is the distance of a typical relay race?</t>
  </si>
  <si>
    <t>A. 800 meters B. 1600 meters C. 100 meters D. 400 meters</t>
  </si>
  <si>
    <t>A typical relay race involves running 400 meters, usually divided between 4 runners.</t>
  </si>
  <si>
    <t>What is the minimum number of runners required for a relay race?</t>
  </si>
  <si>
    <t>A. 4 B. 6 C. 8 D. 2</t>
  </si>
  <si>
    <t>2</t>
  </si>
  <si>
    <t>In a 5K race, what is the main goal for most participants?</t>
  </si>
  <si>
    <t>A. To be completed in under 30 minutes B. To finish the race C. To get a medal D. To finish the race</t>
  </si>
  <si>
    <t>To finish the race</t>
  </si>
  <si>
    <t>For most participants, the goal is to finish the race.</t>
  </si>
  <si>
    <t>What is the rule for not competing in the 400m race?</t>
  </si>
  <si>
    <t>A. Lane violation B. False start C. It's not over. D. Lane violation</t>
  </si>
  <si>
    <t>Lane violation</t>
  </si>
  <si>
    <t>Runners are not eligible to leave their assigned lane.</t>
  </si>
  <si>
    <t>How many laps does a 1600 meter race take around a standard track?</t>
  </si>
  <si>
    <t>A. 2 rounds B. 4 rounds C. 6 rounds D. 4 rounds</t>
  </si>
  <si>
    <t>4 rounds</t>
  </si>
  <si>
    <t>The 1600 meter race consists of 4 laps around a standard track.</t>
  </si>
  <si>
    <t>What should sprinters do when the 100m race starts?</t>
  </si>
  <si>
    <t>A. Start standing. B. Run in a straight line. C. Skip D. Start in blocks</t>
  </si>
  <si>
    <t>Start in blocks</t>
  </si>
  <si>
    <t>Sprinters must start in blocks to ensure a fair start.</t>
  </si>
  <si>
    <t>What is the penalty for a false start in a sprint race?</t>
  </si>
  <si>
    <t>A. Ineligibility B. Warning C. Points deduction D. Ineligibility</t>
  </si>
  <si>
    <t>Ineligibility</t>
  </si>
  <si>
    <t>A false start will result in the runner being disqualified.</t>
  </si>
  <si>
    <t>What is the maximum time allowed to finish a marathon?</t>
  </si>
  <si>
    <t>A. 6 hours B. 5 hours C. 7 hours D. 6 hours</t>
  </si>
  <si>
    <t>6 hours</t>
  </si>
  <si>
    <t>They typically allow 6 hours to complete a marathon.</t>
  </si>
  <si>
    <t>In a relay race, how many runners typically participate?</t>
  </si>
  <si>
    <t>A. 4 B. 6 C. 8 D. 4</t>
  </si>
  <si>
    <t>What is the maximum number of baton exchanges allowed in a race?</t>
  </si>
  <si>
    <t>A. 2 B. 3 C. 4 D. 3</t>
  </si>
  <si>
    <t>What happens if a baton is dropped during a relay race?</t>
  </si>
  <si>
    <t>A. The race is stopped. B. The rod must be lifted. C. The runner receives a time penalty. D. The team was rejected.</t>
  </si>
  <si>
    <t>The team was rejected.</t>
  </si>
  <si>
    <t>Dropping the stick will result in rejection.</t>
  </si>
  <si>
    <t>What is the minimum number of runners for a 4x100 meter relay?</t>
  </si>
  <si>
    <t>A. 4 B. 5 C. 6 D. 4</t>
  </si>
  <si>
    <t>What is the lane usage rule in the 200 meter race?</t>
  </si>
  <si>
    <t>A. Runners can change lanes. B. Runners can cross lines. C. Runners may change lanes after the first turn. D. All runners must stay on their course.</t>
  </si>
  <si>
    <t>All runners must stay on their course.</t>
  </si>
  <si>
    <t>In the 200m race, runners must stay within their designated lanes.</t>
  </si>
  <si>
    <t>What is the maximum number of false starts allowed in a 100-meter race?</t>
  </si>
  <si>
    <t>What is the rule regarding hurdle height in the men's 110-meter hurdles?</t>
  </si>
  <si>
    <t>A. 1.1 meters B. 1.2 meters C. 1.3 meters D. 1.06 meters</t>
  </si>
  <si>
    <t>1.06 meters</t>
  </si>
  <si>
    <t>In the men's 110-meter hurdles, the hurdles are set at a height of 1.06 meters.</t>
  </si>
  <si>
    <t>In which event must athletes clear the high jump?</t>
  </si>
  <si>
    <t>A. High jump B. Long jump C. Triple jump D. High jump</t>
  </si>
  <si>
    <t>In the high jump, athletes must jump over a bar set at a certain height.</t>
  </si>
  <si>
    <t>What is the maximum number of attempts allowed in the long jump?</t>
  </si>
  <si>
    <t>What is the maximum number of laps in a typical 10K race?</t>
  </si>
  <si>
    <t>A. 5 B. 6 C. 8 D. 25</t>
  </si>
  <si>
    <t>25</t>
  </si>
  <si>
    <t>What is the minimum distance a runner must cover in a marathon?</t>
  </si>
  <si>
    <t>A. 25 miles B. 27 miles C. 28 miles D. 26.2 miles</t>
  </si>
  <si>
    <t>26.2 miles</t>
  </si>
  <si>
    <t>The minimum distance in a marathon is 26.2 miles (42.195 kilometers).</t>
  </si>
  <si>
    <t>What is the event that requires athletes to clear a height while jumping over a bar?</t>
  </si>
  <si>
    <t>In the high jump, athletes attempt to clear a bar set at a certain height.</t>
  </si>
  <si>
    <t>What is the length of a straight section of a 400-meter track?</t>
  </si>
  <si>
    <t>A. 200 meters B. 50 meters C. 300 meters D. 100 meters</t>
  </si>
  <si>
    <t>The straight section of a 400-meter track is 100 meters long.</t>
  </si>
  <si>
    <t>How many runners are there in a team in a regular 4x400 meter relay race?</t>
  </si>
  <si>
    <t>What is the typical format for a 100-meter dash?</t>
  </si>
  <si>
    <t>A. All runners compete at the same time. B. Timed event C. Round Robin D. Heats follow in the finals.</t>
  </si>
  <si>
    <t>Heats follow in the finals.</t>
  </si>
  <si>
    <t>The 100-meter race usually includes a heat in the final race.</t>
  </si>
  <si>
    <t>What is the usual strategy in an 800 meter race?</t>
  </si>
  <si>
    <t>A. Promote yourself. B. Sprint in the last 100 meters. C. Save energy. D. Promote yourself.</t>
  </si>
  <si>
    <t>Promote yourself.</t>
  </si>
  <si>
    <t>In an 800-meter race, pacing is crucial to maintaining speed throughout.</t>
  </si>
  <si>
    <t>What is the minimum distance for a marathon race?</t>
  </si>
  <si>
    <t>A. 25 miles B. 28 miles C. 27 miles D. 26.2 miles</t>
  </si>
  <si>
    <t>The minimum distance for a marathon is 26.2 miles (42.195 kilometers).</t>
  </si>
  <si>
    <t>How many laps must athletes run in a 1500 meter race?</t>
  </si>
  <si>
    <t>A. 4 B. 6 C. 8 D. 3</t>
  </si>
  <si>
    <t>How long is a standard marathon race?</t>
  </si>
  <si>
    <t>The standard marathon distance is 42.195 kilometers (26.2 miles).</t>
  </si>
  <si>
    <t>What is the main goal of the 100 meter race?</t>
  </si>
  <si>
    <t>A. Perseverance. B. Strength C. Perseverance. D. Speed</t>
  </si>
  <si>
    <t>The main goal in the 100-meter dash is to run as fast as possible.</t>
  </si>
  <si>
    <t>What is the typical speed for most runners in a 400-meter race?</t>
  </si>
  <si>
    <t>A. Running themselves B. Walking C. to run D. Running themselves</t>
  </si>
  <si>
    <t>Running themselves</t>
  </si>
  <si>
    <t>Runners should pace themselves during the 400-meter race to avoid fatigue.</t>
  </si>
  <si>
    <t>In a race, what is the minimum distance between runners?</t>
  </si>
  <si>
    <t>A. 20 meters B. 30 meters C. 40 meters D. 20 meters</t>
  </si>
  <si>
    <t>20 meters</t>
  </si>
  <si>
    <t>The distance between runners in a race is typically 20 meters.</t>
  </si>
  <si>
    <t>What happens if a runner goes off the track during a race?</t>
  </si>
  <si>
    <t>A. You will receive a time penalty. B. They have to start again. C. They will receive a warning. D. They are not qualified.</t>
  </si>
  <si>
    <t>Stepping outside the designated line in a race will result in disqualification.</t>
  </si>
  <si>
    <t>How many runners are on the 4x400 meter relay team?</t>
  </si>
  <si>
    <t>What should runners focus on in the first lap of a distance race?</t>
  </si>
  <si>
    <t>A. shaking B. Jump C. Starting quickly D. shaking</t>
  </si>
  <si>
    <t>Runners should focus on picking themselves up on the first lap of a distance race.</t>
  </si>
  <si>
    <t>What is the maximum number of runners allowed in a sprint event?</t>
  </si>
  <si>
    <t>A. 6 B. 8 C. 10 D. 8</t>
  </si>
  <si>
    <t>8</t>
  </si>
  <si>
    <t>What happens when an athlete crosses the finish line?</t>
  </si>
  <si>
    <t>A. They win. B. They stop running. C. They are not qualified. D. The competition ends.</t>
  </si>
  <si>
    <t>The competition ends.</t>
  </si>
  <si>
    <t>The race is over when an athlete crosses the finish line.</t>
  </si>
  <si>
    <t>In a 5000 meter race, how many laps should be run on a standard track?</t>
  </si>
  <si>
    <t>A. 12 B. 8 C. 6 D. 12</t>
  </si>
  <si>
    <t>12</t>
  </si>
  <si>
    <t>What is a common injury in long-distance running?</t>
  </si>
  <si>
    <t>A. Stress fracture B. Cut it out. C. Wounds D. Stress fracture</t>
  </si>
  <si>
    <t>Stress fracture</t>
  </si>
  <si>
    <t>Stress fractures are common injuries among long-distance runners.</t>
  </si>
  <si>
    <t>What is the maximum time a runner is allowed to complete the 800-meter race?</t>
  </si>
  <si>
    <t>A. 2 minutes B. 3 minutes C. 4 minutes D. 2 minutes</t>
  </si>
  <si>
    <t>2 minutes</t>
  </si>
  <si>
    <t>The 800-meter race is usually run for a maximum of 2 minutes.</t>
  </si>
  <si>
    <t>Which event is considered a marathon-distance event?</t>
  </si>
  <si>
    <t>A. Full marathon B. Ultra marathon C. 10k D. Full marathon</t>
  </si>
  <si>
    <t>Full marathon</t>
  </si>
  <si>
    <t>A full marathon is considered a standard marathon distance event.</t>
  </si>
  <si>
    <t>What is the key aspect of the 100 meter race?</t>
  </si>
  <si>
    <t>A. Explosive force B. Perseverance. C. shaking D. Explosive force</t>
  </si>
  <si>
    <t>Explosive force</t>
  </si>
  <si>
    <t>Sprinters need explosive power to start quickly and maintain speed.</t>
  </si>
  <si>
    <t>What happens if two runners finish at the same time in a race?</t>
  </si>
  <si>
    <t>A. A photo finish will be used to determine the winner. B. Both are winners. C. The competition has been repeated. D. A photo finish will be used to determine the winner.</t>
  </si>
  <si>
    <t>A photo finish will be used to determine the winner.</t>
  </si>
  <si>
    <t>A photo finish is used to determine the winner when two runners finish at the same time.</t>
  </si>
  <si>
    <t>What is the standard distance of a marathon?</t>
  </si>
  <si>
    <t>A. 30 km B. 42 km C. 50 km D. 42 km</t>
  </si>
  <si>
    <t>42 km</t>
  </si>
  <si>
    <t>A marathon is a standard 42-kilometer race.</t>
  </si>
  <si>
    <t>What is the purpose of warming up before a competition?</t>
  </si>
  <si>
    <t>A. Reduce the damage. B. Cooling the body C. Stretch the muscles. D. Reduce the damage.</t>
  </si>
  <si>
    <t>Reduce the damage.</t>
  </si>
  <si>
    <t>Warm-ups help prepare the body and reduce the risk of injury.</t>
  </si>
  <si>
    <t>What is the role of the baton in a relay race?</t>
  </si>
  <si>
    <t>A. Passing between runners B. To mark the finish line C. To time the race D. Passing between runners</t>
  </si>
  <si>
    <t>Passing between runners</t>
  </si>
  <si>
    <t>The baton is passed between the runners in the race.</t>
  </si>
  <si>
    <t>What is the fastest 100-meter time ever recorded?</t>
  </si>
  <si>
    <t>A. 10.05 seconds B. 9.89 seconds C. 9.78 seconds D. 9.58 seconds</t>
  </si>
  <si>
    <t>9.58 seconds</t>
  </si>
  <si>
    <t>The fastest 100-meter time ever recorded is 9.58 seconds.</t>
  </si>
  <si>
    <t>Which event is part of Decathlon?</t>
  </si>
  <si>
    <t>A. Pole mount B. High jump C. All of the above D. All of the above</t>
  </si>
  <si>
    <t>All of the above</t>
  </si>
  <si>
    <t>The decathlon includes events such as the 100-meter run, pole vault, and high jump.</t>
  </si>
  <si>
    <t>In track events, what is the purpose of a staggered start?</t>
  </si>
  <si>
    <t>A. To avoid lane interference B. To make the competition more exciting C. To benefit every runner D. To avoid lane interference</t>
  </si>
  <si>
    <t>To avoid lane interference</t>
  </si>
  <si>
    <t>A staggered start ensures that runners in different lanes run an equal distance.</t>
  </si>
  <si>
    <t>Which of the following is not a race?</t>
  </si>
  <si>
    <t>A. 400 meters B. 100 meters C. 200 meters D. 800 meters</t>
  </si>
  <si>
    <t>800 meters</t>
  </si>
  <si>
    <t>The 800 meters is a middle distance event, not a sprint race.</t>
  </si>
  <si>
    <t>What is the technique of running on the balls of the feet?</t>
  </si>
  <si>
    <t>A. Sprinter form B. Front foot race C. Heel-to-toe D. Front foot race</t>
  </si>
  <si>
    <t>Front foot race</t>
  </si>
  <si>
    <t>Forefoot running is a technique in which the runner lands on the balls of their feet.</t>
  </si>
  <si>
    <t>What is the negative part in running?</t>
  </si>
  <si>
    <t>A. Running slowly in the second half B. Running at the same speed throughout C. None of the above D. Running fast in the second half of the race</t>
  </si>
  <si>
    <t>Running fast in the second half of the race</t>
  </si>
  <si>
    <t>A negative split means running the second half of the race faster than the first.</t>
  </si>
  <si>
    <t>What is the distance of a half marathon?</t>
  </si>
  <si>
    <t>A. 42.2 km B. 10 km C. 50 km D. 21.1 km</t>
  </si>
  <si>
    <t>21.1 km</t>
  </si>
  <si>
    <t>A half marathon is a race with a distance of 21.1 kilometers.</t>
  </si>
  <si>
    <t>What is the role of heart rate monitoring in racing?</t>
  </si>
  <si>
    <t>A. To help the runners reach their target time B. To provide water during the competition C. To follow the progress of the competition D. To help the runners reach their target time</t>
  </si>
  <si>
    <t>To help the runners reach their target time</t>
  </si>
  <si>
    <t>A heart rate monitor helps set pace and help runners achieve their target time.</t>
  </si>
  <si>
    <t>What is the main goal of interval training?</t>
  </si>
  <si>
    <t>A. Improve speed B. Strengthening muscles C. Improving flexibility D. Improve speed</t>
  </si>
  <si>
    <t>Improve speed</t>
  </si>
  <si>
    <t>Interval training aims to improve speed and endurance by alternating between fast and slow running.</t>
  </si>
  <si>
    <t>What is the most important thing to maintain in long distance races?</t>
  </si>
  <si>
    <t>A. shaking B. Strength C. Perseverance. D. shaking</t>
  </si>
  <si>
    <t>Maintaining a steady pace is crucial to avoiding premature fatigue during long distance runs.</t>
  </si>
  <si>
    <t>What does a runner use in a race to improve hydration?</t>
  </si>
  <si>
    <t>A. Water stations B. Socks C. Sunscreen D. Water stations</t>
  </si>
  <si>
    <t>Water stations</t>
  </si>
  <si>
    <t>Water stations along the course will provide water supplies to runners during the race.</t>
  </si>
  <si>
    <t>What is the ideal stride length for runners?</t>
  </si>
  <si>
    <t>A. Long and slow B. Moderate C. Variable D. Short and quick</t>
  </si>
  <si>
    <t>Short and quick</t>
  </si>
  <si>
    <t>Sprinters typically use short, quick steps to increase speed and agility.</t>
  </si>
  <si>
    <t>What is the technique called when a runner kicks their legs back after each step?</t>
  </si>
  <si>
    <t>A. Heel drive B. Hamtrik C. Leg lift D. Heel drive</t>
  </si>
  <si>
    <t>Heel drive</t>
  </si>
  <si>
    <t>Heel drive is a technique where runners kick their feet for better propulsion.</t>
  </si>
  <si>
    <t>How many hurdles are there in a standard 110-meter hurdles race?</t>
  </si>
  <si>
    <t>What does it mean to run fast in the first half of a race and slow down in the second?</t>
  </si>
  <si>
    <t>A. Negative division B. Equal division C. Full throttle D. Positive division</t>
  </si>
  <si>
    <t>Positive division</t>
  </si>
  <si>
    <t>A positive split refers to running the first half of the race faster than the second half.</t>
  </si>
  <si>
    <t>What is the most common injury to scammers?</t>
  </si>
  <si>
    <t>A. Hamster injury B. Knee pain C. Shin splints D. Hamster injury</t>
  </si>
  <si>
    <t>Hamster injury</t>
  </si>
  <si>
    <t>Hamstring injuries are common among runners due to high-intensity running.</t>
  </si>
  <si>
    <t>What is the standard number of laps in a 1500 meter race?</t>
  </si>
  <si>
    <t>Which race distance is considered a middle distance?</t>
  </si>
  <si>
    <t>A. 800 meters B. 400 meters C. 5000 meters D. 800 meters</t>
  </si>
  <si>
    <t>The 800-meter race is considered a middle-distance race.</t>
  </si>
  <si>
    <t>What are the advantages of cross-country running over track running?</t>
  </si>
  <si>
    <t>A. Fast times B. Less competition C. Short runs D. More variation in terrain</t>
  </si>
  <si>
    <t>More variation in terrain</t>
  </si>
  <si>
    <t>Cross-country running involves running on a single track over different terrain and natural landscapes.</t>
  </si>
  <si>
    <t>What should runners avoid doing before a race?</t>
  </si>
  <si>
    <t>A. To expand B. Eating heavy meals C. Rest D. Eating heavy meals</t>
  </si>
  <si>
    <t>Eating heavy meals</t>
  </si>
  <si>
    <t>Runners should avoid eating heavy meals before the race because it can cause discomfort.</t>
  </si>
  <si>
    <t>Which race in track and field is often called a 'blue ribbon' event?</t>
  </si>
  <si>
    <t>A. Marathon B. 400 meters C. 200 meters D. 100 meters</t>
  </si>
  <si>
    <t>The 100-meter race is considered the first event in track and field.</t>
  </si>
  <si>
    <t>Which of these is a running technique that involves using the arms to propel the runner forward?</t>
  </si>
  <si>
    <t>A. Manual driving B. Lifting weights C. Foot swing D. Manual driving</t>
  </si>
  <si>
    <t>Manual driving</t>
  </si>
  <si>
    <t>Hand-driving helps runners generate more power and maintain speed.</t>
  </si>
  <si>
    <t>What is the word for running on a soft surface like grass or dirt?</t>
  </si>
  <si>
    <t>A. Cross-country running B. Trail running C. Road race D. Trail running</t>
  </si>
  <si>
    <t>Trail running</t>
  </si>
  <si>
    <t>Trail running takes place on natural, soft surfaces such as dirt and grass.</t>
  </si>
  <si>
    <t>What is the main purpose of running in shoes?</t>
  </si>
  <si>
    <t>A. Comfort B. Protection C. Speed D. Protection</t>
  </si>
  <si>
    <t>Protection</t>
  </si>
  <si>
    <t>Running shoes are primarily designed for foot protection and injury prevention.</t>
  </si>
  <si>
    <t>What does 'fartlek' mean in running?</t>
  </si>
  <si>
    <t>A. A speed technique B. Distance running C. Running on the roads D. Interval training type</t>
  </si>
  <si>
    <t>Interval training type</t>
  </si>
  <si>
    <t>Fartlek is a type of interval training where the intensity varies during the run.</t>
  </si>
  <si>
    <t>What is the main benefit of running uphill?</t>
  </si>
  <si>
    <t>A. Better cardiovascular care B. More speed C. Low impact D. Increased strength</t>
  </si>
  <si>
    <t>Increased strength</t>
  </si>
  <si>
    <t>Running uphill builds strength in the legs and helps improve overall stamina.</t>
  </si>
  <si>
    <t>What is the average number of aid stations in a marathon?</t>
  </si>
  <si>
    <t>A. 10 - 15 B. 15-20 C. 20-25 D. 30-40</t>
  </si>
  <si>
    <t>30-40</t>
  </si>
  <si>
    <t>15-20</t>
  </si>
  <si>
    <t xml:space="preserve">Options </t>
  </si>
  <si>
    <t>What is the main goal of the Aba Geda struggle?</t>
  </si>
  <si>
    <t>A. To pin an opponent to the ground B. To throw the opponent out of the ring C. To score points with strikes D. To defend the state</t>
  </si>
  <si>
    <t>To pin an opponent to the ground</t>
  </si>
  <si>
    <t>The main goal is to pin the opponent's shoulder to the ground.</t>
  </si>
  <si>
    <t>How many points does a wrestler earn for a successful takedown in Aba Geda Wrestling?</t>
  </si>
  <si>
    <t>A. 2 points B. 3 points C. 4 points D. 5 points</t>
  </si>
  <si>
    <t>2 points</t>
  </si>
  <si>
    <t>A successful download is worth 2 points.</t>
  </si>
  <si>
    <t>What kind of action is considered shameful in the struggle against Aba Geda?</t>
  </si>
  <si>
    <t>A. By holding the hair B. Downloading in progress C. Scoring D. Posting the opponent</t>
  </si>
  <si>
    <t>By holding the hair</t>
  </si>
  <si>
    <t>Grabbing an opponent's hair is considered bad manners.</t>
  </si>
  <si>
    <t>Can a wrestler win a match without pinning his opponent?</t>
  </si>
  <si>
    <t>A. Yes, by accumulating points B. No, plugging in is mandatory. C. Yes, by rejecting the opponent. D. No, plugging in is an option.</t>
  </si>
  <si>
    <t>Yes, by accumulating points</t>
  </si>
  <si>
    <t>The opponent can win by accumulating more points than the opponent without being pinned.</t>
  </si>
  <si>
    <t>How long does a typical round of wrestling last?</t>
  </si>
  <si>
    <t>A. 3 minutes B. 5 minutes C. 7 minutes D. 10 minutes</t>
  </si>
  <si>
    <t>3 minutes</t>
  </si>
  <si>
    <t>Rounds usually last 3 minutes.</t>
  </si>
  <si>
    <t>What happens if both fighters are out of bounds in the Aba Geda struggle?</t>
  </si>
  <si>
    <t>A. The match has restarted. B. Both are not qualified. C. The fighter with the most points wins. D. The game is suspended.</t>
  </si>
  <si>
    <t>The match has restarted.</t>
  </si>
  <si>
    <t>If both fighters go out of bounds, the match will restart.</t>
  </si>
  <si>
    <t>What happens if a wrestler intentionally injures his opponent?</t>
  </si>
  <si>
    <t>A. Ineligibility B. Warning C. Point deduction D. No action.</t>
  </si>
  <si>
    <t>Intentional damage leads to rejection.</t>
  </si>
  <si>
    <t>How is the winner of a match determined in Aba Geda wrestling?</t>
  </si>
  <si>
    <t>A. By pinning the opponent B. In point accumulation C. By knocking D. By submitting</t>
  </si>
  <si>
    <t>By pinning the opponent</t>
  </si>
  <si>
    <t>A match is won by pinning the opponent or by points accumulation.</t>
  </si>
  <si>
    <t>Is it permissible to do bodybuilding during the Aba Geda wrestling match?</t>
  </si>
  <si>
    <t>A. Yes, if done correctly. B. No, body shaming is illegal. C. Yes, but with restrictions. D. No, it leads to incompetence.</t>
  </si>
  <si>
    <t>Yes, if done correctly.</t>
  </si>
  <si>
    <t>Body shaming is permitted under the law if done properly.</t>
  </si>
  <si>
    <t>How does a wrestler score points in a wrestling match?</t>
  </si>
  <si>
    <t>A. By pinning, downloading and controlling B. By knocking the opponent unconscious C. Forcing the opponent out of the ring D. By hitting the opponent</t>
  </si>
  <si>
    <t>By pinning, downloading and controlling</t>
  </si>
  <si>
    <t>Points are scored by pinning, taking down, and controlling.</t>
  </si>
  <si>
    <t>Can a fighter in the Aba Geda struggle use an illegal strike?</t>
  </si>
  <si>
    <t>A. No B. Yes to prevent C. Yes, for the benefit of D. Yes, in some cases</t>
  </si>
  <si>
    <t>No</t>
  </si>
  <si>
    <t>Illegal strikes are not allowed in the Aba Geda struggle.</t>
  </si>
  <si>
    <t>What is the penalty for a false start in the Aba Geda struggle?</t>
  </si>
  <si>
    <t>A. Warning B. Point deduction C. Ineligibility D. The match has restarted.</t>
  </si>
  <si>
    <t>Warning</t>
  </si>
  <si>
    <t>When will the fighter in the Aba Geda struggle win?</t>
  </si>
  <si>
    <t>A. Only during PIN tests B. At any time during the game C. When caught in a lockdown D. After knocking</t>
  </si>
  <si>
    <t>At any time during the game</t>
  </si>
  <si>
    <t>If you choose a fighter, he can enter at any time during the match.</t>
  </si>
  <si>
    <t>What happens if a wrestler leaves the ring during a match?</t>
  </si>
  <si>
    <t>A. Losing points B. The match has restarted. C. Ineligibility D. No action.</t>
  </si>
  <si>
    <t>Leaving the ring will lead to a restart of the match.</t>
  </si>
  <si>
    <t>Is there a weight division in the Aba Geda struggle?</t>
  </si>
  <si>
    <t>A. Yes B. No C. Yes, but it is not mandatory. D. No, everyone competes together.</t>
  </si>
  <si>
    <t>Yes</t>
  </si>
  <si>
    <t>Aba Geda wrestling has weight categories to ensure fair competition.</t>
  </si>
  <si>
    <t>How many rounds does a standard Aba Geda wrestling match have?</t>
  </si>
  <si>
    <t>A. one B. two C. three D. four</t>
  </si>
  <si>
    <t>two</t>
  </si>
  <si>
    <t>Most of Aba Geda's wrestling matches are two rounds.</t>
  </si>
  <si>
    <t>What is the purpose of the massacre at Abba Geda?</t>
  </si>
  <si>
    <t>A. It is a tool used for striking. B. It indicates the boundary of the ring. C. Indicates the start of the game. D. It is worn by the warriors.</t>
  </si>
  <si>
    <t>It indicates the boundary of the ring.</t>
  </si>
  <si>
    <t>A boundary is used to indicate the boundary of a circle.</t>
  </si>
  <si>
    <t>Can a fighter be called for a break during a match?</t>
  </si>
  <si>
    <t>A. Yes, for harm. B. No C. Yes, for strategic reasons. D. Yes, only after the first round</t>
  </si>
  <si>
    <t>Yes, for harm.</t>
  </si>
  <si>
    <t>A timeout may be called if a fighter is injured during the match.</t>
  </si>
  <si>
    <t>What action does an arbitrator take when blood is being shed?</t>
  </si>
  <si>
    <t>A. Stop the match. B. Let the match continue. C. Warn the fighter. D. Reject the opponent.</t>
  </si>
  <si>
    <t>Stop the match.</t>
  </si>
  <si>
    <t>If a wrestler is bleeding, the referee may stop the match for a medical examination.</t>
  </si>
  <si>
    <t>In the battle of Aba Geda, can a fighter use submission?</t>
  </si>
  <si>
    <t>A. Yes B. No C. Yes, with restrictions. D. Just to finish the game</t>
  </si>
  <si>
    <t>Surrender is permitted in the struggle for Aba Gada.</t>
  </si>
  <si>
    <t>Can a wrestler fight in Abaga Gada?</t>
  </si>
  <si>
    <t>A. Yes, to finish the match. B. No C. Yes, but only for safety reasons. D. Yes, to surrender.</t>
  </si>
  <si>
    <t>Yes, to finish the match.</t>
  </si>
  <si>
    <t>A tap-out can be used by a fighter to end the game.</t>
  </si>
  <si>
    <t>What is the common method in the struggle against Aba Geda?</t>
  </si>
  <si>
    <t>A. Defensive stance B. Land control C. Strike-based damage D. Submission includes</t>
  </si>
  <si>
    <t>Land control</t>
  </si>
  <si>
    <t>Land control is a common tactic in the Aba Gada struggle.</t>
  </si>
  <si>
    <t>What is the role of the judge in the struggle for freedom?</t>
  </si>
  <si>
    <t>A. To lead the fighters B. To get points C. To ensure that the match follows the rules D. To help techniques</t>
  </si>
  <si>
    <t>To ensure that the match follows the rules</t>
  </si>
  <si>
    <t>The referee ensures that the game follows the rules and fair play.</t>
  </si>
  <si>
    <t>What is the punishment for a wrestler who ignores the referee's order?</t>
  </si>
  <si>
    <t>Ignoring the judge's order usually results in a warning.</t>
  </si>
  <si>
    <t>How will the game continue after the Aba Geda struggle?</t>
  </si>
  <si>
    <t>A. With standing position B. Timeout on layout. C. The judge decides. D. The match starts again.</t>
  </si>
  <si>
    <t>With standing position</t>
  </si>
  <si>
    <t>The matches continued with the stops.</t>
  </si>
  <si>
    <t>Can a fighter choke in a wrestling match?</t>
  </si>
  <si>
    <t>A. No B. Yes, with restrictions. C. Yes, to win the game D. Yes, but only for delivery.</t>
  </si>
  <si>
    <t>In the struggle for freedom, violence is not allowed.</t>
  </si>
  <si>
    <t>What does a wrestler have to do to win by knockout in Aba Geda Wrestling?</t>
  </si>
  <si>
    <t>A. They beat their opponent unconscious. B. Score a lot of points C. Force your opponent out of the ring. D. Pin the opponent.</t>
  </si>
  <si>
    <t>They beat their opponent unconscious.</t>
  </si>
  <si>
    <t>The winner is when the opponent is knocked unconscious.</t>
  </si>
  <si>
    <t>Is headbutting allowed in a wrestling match?</t>
  </si>
  <si>
    <t>A. No B. Yes, if it is a strategic move. C. Yes, but only in defense. D. Yes, to finish the match.</t>
  </si>
  <si>
    <t>Headbutting is not allowed in the Aba Geda fight.</t>
  </si>
  <si>
    <t>What is the minimum age requirement to participate in the Aba Geda struggle?</t>
  </si>
  <si>
    <t>A. 16 years old B. 18 years old C. 21 years old D. 14 years old</t>
  </si>
  <si>
    <t>16 years old</t>
  </si>
  <si>
    <t>Wrestlers must be at least 16 years old to compete.</t>
  </si>
  <si>
    <t>Can a wrestler use his legs to trip his opponent?</t>
  </si>
  <si>
    <t>A. Yes B. No C. Yes, but only in moderation. D. No, it leads to incompetence.</t>
  </si>
  <si>
    <t>Walks are allowed if done according to the rules.</t>
  </si>
  <si>
    <t>How many points are awarded for a successful pin in the Aba Geda struggle?</t>
  </si>
  <si>
    <t>A. 5 points B. 3 points C. 2 points D. 1 point</t>
  </si>
  <si>
    <t>5 points</t>
  </si>
  <si>
    <t>A successful pin earns 5 points.</t>
  </si>
  <si>
    <t>What is the maximum number of warnings a wrestler can receive before being disqualified from the competition in the Aba Geda Gedel?</t>
  </si>
  <si>
    <t>A. two B. three C. four D. one</t>
  </si>
  <si>
    <t>A wrestler will be disqualified after receiving two warnings.</t>
  </si>
  <si>
    <t>How can a wrestler control the game?</t>
  </si>
  <si>
    <t>A. By executing a successful download B. By scoring C. By binding their rivals D. By knocking out the opponent</t>
  </si>
  <si>
    <t>By executing a successful download</t>
  </si>
  <si>
    <t>A successful download will help you regain control.</t>
  </si>
  <si>
    <t>Is it permissible to use low blows in Aba Geda wrestling?</t>
  </si>
  <si>
    <t>A. No B. Yes, in some cases C. Yes, but only for protection. D. Yes to get points</t>
  </si>
  <si>
    <t>Low blows are strictly prohibited in the Aba Geda struggle.</t>
  </si>
  <si>
    <t>What action will be taken if a fighter is caught using performance-enhancing drugs?</t>
  </si>
  <si>
    <t>A. ban B. Ineligibility C. Warning D. Losing points</t>
  </si>
  <si>
    <t>The use of performance-enhancing drugs leads to failure.</t>
  </si>
  <si>
    <t>Can a fighter use their knee to hit?</t>
  </si>
  <si>
    <t>A. Yes B. No C. Yes, but only on the opponent's foot D. Yes, but only for defensive activities.</t>
  </si>
  <si>
    <t>It is forbidden to strike with the knees in a wrestling match.</t>
  </si>
  <si>
    <t>Can a wrestler compete in multiple weight classes in Aba Geda Wrestling?</t>
  </si>
  <si>
    <t>A. No B. Yes, with special permission. C. Yes, if under 18 years old D. Yes, if in different seasons</t>
  </si>
  <si>
    <t>A fighter must compete in only one weight class.</t>
  </si>
  <si>
    <t>What would be the result of the match if both fighters scored one point?</t>
  </si>
  <si>
    <t>A. Draw B. restart C. By the judge's decision D. Extra round</t>
  </si>
  <si>
    <t>Draw</t>
  </si>
  <si>
    <t>If both fighters have the same number of points, the match is decided by a draw.</t>
  </si>
  <si>
    <t>What is the role of the assistant referee in the Aba Geda struggle?</t>
  </si>
  <si>
    <t>A. To score the match B. To control the behavior of the fighters C. To help decide the winner D. To ensure safety</t>
  </si>
  <si>
    <t>To ensure safety</t>
  </si>
  <si>
    <t>The assistant referee ensures the safety and fair play of the game.</t>
  </si>
  <si>
    <t>What is the punishment for unnecessary roughness in the struggle for freedom?</t>
  </si>
  <si>
    <t>A. Point deduction B. Warning C. Ineligibility D. The match has restarted.</t>
  </si>
  <si>
    <t>Point deduction</t>
  </si>
  <si>
    <t>Unnecessary roughness results in point reduction.</t>
  </si>
  <si>
    <t>What is the purpose of the person who fought in the Aba Geda struggle?</t>
  </si>
  <si>
    <t>A. To pin the opponent B. To throw the opponent C. To get a lot of points D. To force the opponent to surrender</t>
  </si>
  <si>
    <t>To pin the opponent</t>
  </si>
  <si>
    <t>The goal is to pin the opponent to the ground for a count.</t>
  </si>
  <si>
    <t>Can a wrestler hit his head in a grappling match?</t>
  </si>
  <si>
    <t>A. Yes B. No C. Yes, but only in self-defense. D. Yes, but with his permission.</t>
  </si>
  <si>
    <t>Hitting the head is not allowed in the Aba Geda fight.</t>
  </si>
  <si>
    <t>How many points are awarded for a successful result in Aba Geda Wrestling?</t>
  </si>
  <si>
    <t>A. 3 points B. 5 points C. 2 points D. 1 point</t>
  </si>
  <si>
    <t>3 points</t>
  </si>
  <si>
    <t>A successful download earns 3 points.</t>
  </si>
  <si>
    <t>Is it permissible to pull out an opponent's hair during the Aba Geda struggle?</t>
  </si>
  <si>
    <t>A. No B. Yes C. Yes, but only in certain circumstances D. Yes, as a preventive measure</t>
  </si>
  <si>
    <t>Grabbing the opponent's hair is prohibited.</t>
  </si>
  <si>
    <t>What is the maximum time for a round in Aba Geda Wrestling?</t>
  </si>
  <si>
    <t>A. 5 minutes B. 10 minutes C. 3 minutes D. 15 minutes</t>
  </si>
  <si>
    <t>5 minutes</t>
  </si>
  <si>
    <t>One round lasts up to 5 minutes.</t>
  </si>
  <si>
    <t>What happens if a wrestler intentionally leaves the mat?</t>
  </si>
  <si>
    <t>A. Ineligibility B. Point deduction C. Warning D. Restart the match.</t>
  </si>
  <si>
    <t>Leaving the carpet will deliberately reject it.</t>
  </si>
  <si>
    <t>Can a wrestler use submission in a wrestling match?</t>
  </si>
  <si>
    <t>A. Yes B. No C. Yes, but only with certain activities. D. Yes, but only for a few seconds.</t>
  </si>
  <si>
    <t>Delivery containers are allowed within the rules.</t>
  </si>
  <si>
    <t>Is it allowed to wear jewelry during a match?</t>
  </si>
  <si>
    <t>A. Yes, but only a ring. B. No C. Yes, as long as it's small. D. Yes, if it doesn't affect performance.</t>
  </si>
  <si>
    <t>Wearing jewelry during matches is prohibited.</t>
  </si>
  <si>
    <t>What is the first step a fighter should take when starting a match?</t>
  </si>
  <si>
    <t>A. Shake hands with the opponent B. Get into position C. Participate in the warm-up D. Wait for the referee's signal.</t>
  </si>
  <si>
    <t>Wait for the referee's signal.</t>
  </si>
  <si>
    <t>A contestant must wait for the referee's signal before starting.</t>
  </si>
  <si>
    <t>How many points are awarded for a successful throw in the Aba Geda wrestling match?</t>
  </si>
  <si>
    <t>A. 4 points B. 2 points C. 3 points D. 5 points</t>
  </si>
  <si>
    <t>4 points</t>
  </si>
  <si>
    <t>A successful throw earns 4 points.</t>
  </si>
  <si>
    <t>Is double leg takedown allowed in Aba Geda Wrestling?</t>
  </si>
  <si>
    <t>A. Yes B. No C. Yes, but only if killed from behind. D. Yes, but only for defensive purposes.</t>
  </si>
  <si>
    <t>Double leg takedowns are allowed in Aba Geda wrestling.</t>
  </si>
  <si>
    <t>What is the penalty for unsportsmanlike conduct in wrestling?</t>
  </si>
  <si>
    <t>A. Point deduction B. Ineligibility C. Warning D. The match has restarted.</t>
  </si>
  <si>
    <t>Unsportsmanlike behavior will result in a point deduction.</t>
  </si>
  <si>
    <t>Can a fighter wear shoes during a match?</t>
  </si>
  <si>
    <t>A. No B. Yes, as long as they are soft. C. Yes, but only to catch up. D. Yes, if approved by the judge.</t>
  </si>
  <si>
    <t>Yes, as long as they are soft.</t>
  </si>
  <si>
    <t>Fighters are allowed to wear soft shoes or combat boots.</t>
  </si>
  <si>
    <t>How can a fighter in the Aba Geda struggle prevent being taken down?</t>
  </si>
  <si>
    <t>A. Maintaining balance B. Using cables C. Holding the opponent's hands D. By hitting the opponent</t>
  </si>
  <si>
    <t>Maintaining balance</t>
  </si>
  <si>
    <t>Preventing a takedown requires balance and positioning.</t>
  </si>
  <si>
    <t>What is the punishment for using excessive force in the Aba Geda struggle?</t>
  </si>
  <si>
    <t>Excessive force will cause a point reduction.</t>
  </si>
  <si>
    <t>Can a fighter change their weight during a competition?</t>
  </si>
  <si>
    <t>A. No B. Yes, with prior approval. C. Yes, before every match. D. Yes, but only after the first round.</t>
  </si>
  <si>
    <t>A fighter cannot change their weight class during a competition.</t>
  </si>
  <si>
    <t>Is hip throwing legal in wrestling?</t>
  </si>
  <si>
    <t>A. Yes B. No C. Yes, but only if the opponent is unbalanced. D. Yes, but only for defensive purposes.</t>
  </si>
  <si>
    <t>Hip thrusting is a legal and common move.</t>
  </si>
  <si>
    <t>What signal does the referee give when a wrestler makes a successful pin?</t>
  </si>
  <si>
    <t>A. Raised fist B. Loud noise C. Whistle D. Hand wave</t>
  </si>
  <si>
    <t>Raised fist</t>
  </si>
  <si>
    <t>A raised fist indicates a successful pin.</t>
  </si>
  <si>
    <t>What is the coach's role during a game?</t>
  </si>
  <si>
    <t>A. To give instructions B. To referee the game C. To rejoice loudly D. To help with scoring</t>
  </si>
  <si>
    <t>To give instructions</t>
  </si>
  <si>
    <t>The coach provides guidance and instruction during breaks.</t>
  </si>
  <si>
    <t>What is the role of the watchman in the struggle for Aba Geda?</t>
  </si>
  <si>
    <t>A. To control the duration of the match B. To help with scoring C. To control the judge D. To check the location of the victims.</t>
  </si>
  <si>
    <t>To control the duration of the match</t>
  </si>
  <si>
    <t>The timekeeper ensures that the duration of the match is kept.</t>
  </si>
  <si>
    <t>What happens if both fighters are injured in the Aba Geda struggle?</t>
  </si>
  <si>
    <t>A. The match will start again. B. Ineligibility of both C. Medical evaluation D. The match ended in a draw.</t>
  </si>
  <si>
    <t>Medical evaluation</t>
  </si>
  <si>
    <t>Injured fighters will undergo a medical evaluation before continuing.</t>
  </si>
  <si>
    <t>Is it allowed to lift the opponent off the ground?</t>
  </si>
  <si>
    <t>A. Yes, but only for a short time. B. No C. Yes, for a balanced situation D. Yes, if it leads to a pin.</t>
  </si>
  <si>
    <t>Yes, but only for a short time.</t>
  </si>
  <si>
    <t>Lifting the opponent briefly is permitted under the rules.</t>
  </si>
  <si>
    <t>What is the penalty for delaying a match in Aba Geda Wrestling?</t>
  </si>
  <si>
    <t>It is a warning to delay the match.</t>
  </si>
  <si>
    <t>Can a wrestler use their elbow to hit their opponent?</t>
  </si>
  <si>
    <t>A. Yes B. No C. Yes, but only for defensive purposes. D. Yes, with permission.</t>
  </si>
  <si>
    <t>Elbow strikes are prohibited in the Aba Geda struggle.</t>
  </si>
  <si>
    <t>How can a fighter surrender in the struggle for freedom?</t>
  </si>
  <si>
    <t>A. By locking the opponent's legs B. By pinning the opponent C. By knocking out the opponent D. Forcing the opponent to leave the ring</t>
  </si>
  <si>
    <t>By locking the opponent's legs</t>
  </si>
  <si>
    <t>Submission is achieved by locking the opponent's arms and legs.</t>
  </si>
  <si>
    <t>What is the ruling if a wrestler touches the ground with his hand during a throw?</t>
  </si>
  <si>
    <t>A. Point deduction B. There is no penalty. C. Throwing is not acceptable. D. The throw is considered valid.</t>
  </si>
  <si>
    <t>There is no penalty.</t>
  </si>
  <si>
    <t>Touching the ground with his hands does not eliminate throwing.</t>
  </si>
  <si>
    <t>How long does the gap between circles last?</t>
  </si>
  <si>
    <t>A. 1 minute B. 2 minutes C. 5 minutes D. 10 minutes</t>
  </si>
  <si>
    <t>1 minute</t>
  </si>
  <si>
    <t>The rest between rounds lasts 1 minute.</t>
  </si>
  <si>
    <t>Is it permissible to attack the opponent's leg in a wrestling match?</t>
  </si>
  <si>
    <t>A. Yes B. No C. Yes, but only for protection. D. Yes, but with restrictions.</t>
  </si>
  <si>
    <t>It is allowed to attack the opponent's leg.</t>
  </si>
  <si>
    <t>What is the final decision if there is no PIN after a certain period of time?</t>
  </si>
  <si>
    <t>A. Draw B. Victory by points C. Rematch D. The winner is determined by the judge.</t>
  </si>
  <si>
    <t>Victory by points</t>
  </si>
  <si>
    <t>If no pin occurs, the winner is determined by points.</t>
  </si>
  <si>
    <t>A. Yes B. No C. Yes, but only for protection. D. Yes, with permission.</t>
  </si>
  <si>
    <t>In certain circumstances, force majeure is permitted.</t>
  </si>
  <si>
    <t>What happens when both fighters are tied at the end of the match?</t>
  </si>
  <si>
    <t>A. The game was announced to have ended in a draw. B. More rounds will be played. C. The winner is determined by the judge. D. Both fighters are ineligible.</t>
  </si>
  <si>
    <t>More rounds will be played.</t>
  </si>
  <si>
    <t>If points are tied, additional rounds will be held to determine the winner.</t>
  </si>
  <si>
    <t>Can he defeat his opponent without pinning him?</t>
  </si>
  <si>
    <t>A. Yes, on point. B. No C. Yes, by handing it over. D. Yes, by throwing the opponent out.</t>
  </si>
  <si>
    <t>Yes, on point.</t>
  </si>
  <si>
    <t>If no pin is achieved, a wrestler may win on points.</t>
  </si>
  <si>
    <t>What is the penalty for intentionally harming an opponent in a wrestling match?</t>
  </si>
  <si>
    <t>A. Warning B. Ineligibility C. Point deduction D. The match has restarted.</t>
  </si>
  <si>
    <t>Intentionally harming an opponent results in disqualification.</t>
  </si>
  <si>
    <t>Is it legal to use an opponent's clothing for personal gain?</t>
  </si>
  <si>
    <t>A. Yes B. No C. Yes, if it is part of the activity. D. Yes, if the opponent agrees.</t>
  </si>
  <si>
    <t>It is forbidden to use an opponent's clothing for advantage.</t>
  </si>
  <si>
    <t>Can a fighter hold an opponent's wrist during a match?</t>
  </si>
  <si>
    <t>A. Yes B. No C. Yes, but only for protection. D. Yes, but only for pickup.</t>
  </si>
  <si>
    <t>Grabbing the opponent's wrists is permitted.</t>
  </si>
  <si>
    <t>What happens if a fighter fails to show up for their match?</t>
  </si>
  <si>
    <t>A. They are not qualified. B. They will lose by default. C. Punished D. The match has been postponed.</t>
  </si>
  <si>
    <t>They will lose by default.</t>
  </si>
  <si>
    <t>Failure to show will result in default.</t>
  </si>
  <si>
    <t>A. 5 points B. 2 points C. 10 points D. 8 points</t>
  </si>
  <si>
    <t>What does a wrestler have to do to earn points for a takedown?</t>
  </si>
  <si>
    <t>A. Control the opponent on the ground B. Throw the opponent out. C. Pin the opponent. D. Force the opponent to surrender</t>
  </si>
  <si>
    <t>Control the opponent on the ground</t>
  </si>
  <si>
    <t>To score points for a takedown, the wrestler must control the opponent on the ground.</t>
  </si>
  <si>
    <t>Is it legal for a wrestler to insult someone during a wrestling match?</t>
  </si>
  <si>
    <t>A. Yes B. No C. Yes, but only on the opponent's foot D. Yes, with the judge's approval.</t>
  </si>
  <si>
    <t>Peace is legal as long as you follow the rules.</t>
  </si>
  <si>
    <t>Can a wrestler choke his opponent in a grappling match?</t>
  </si>
  <si>
    <t>A. Yes B. No C. Yes, by handing it over. D. Yes, for a pin.</t>
  </si>
  <si>
    <t>It is forbidden to suppress opponents in the struggle for freedom.</t>
  </si>
  <si>
    <t>What is the punishment for standing up to the Aba Gada struggle?</t>
  </si>
  <si>
    <t>A. Point deduction B. Ineligibility C. Warning D. restart</t>
  </si>
  <si>
    <t>Stopping will result in a point deduction.</t>
  </si>
  <si>
    <t>How can a wrestler achieve submission?</t>
  </si>
  <si>
    <t>A. By locking the opponent's legs or neck B. By pinning the opponent C. By removing the opponent D. By throwing the opponent</t>
  </si>
  <si>
    <t>By locking the opponent's legs or neck</t>
  </si>
  <si>
    <t>Submission is achieved by locking the opponent's arms, legs, or neck.</t>
  </si>
  <si>
    <t>Can a wrestler use an opponent's head to use a throw?</t>
  </si>
  <si>
    <t>A. Yes B. No C. Yes, if it is part of the activity. D. Yes, but only in defense.</t>
  </si>
  <si>
    <t>It is permissible to use the opponent's head if it is part of the movement.</t>
  </si>
  <si>
    <t>Is a wrestler allowed to pull out a knockdown during an entry?</t>
  </si>
  <si>
    <t>A. Yes B. No C. Yes, but only after 10 seconds. D. Yes, but only with the judge's permission.</t>
  </si>
  <si>
    <t>A wrestler can tap to enter during the entry.</t>
  </si>
  <si>
    <t>In a wrestling match, can a wrestler use their opponent's legs to secure a pin?</t>
  </si>
  <si>
    <t>A. Yes B. No C. Yes, but only in defense. D. Yes, with the judge's permission.</t>
  </si>
  <si>
    <t>It is permissible to use the opponent's legs to secure the pin.</t>
  </si>
  <si>
    <t>A. To score the match B. To ensure fair play and enforce the rules C. To train the fighters D. To provide medical assistance</t>
  </si>
  <si>
    <t>To ensure fair play and enforce the rules</t>
  </si>
  <si>
    <t>The role of the judge is to ensure fairness and enforce the rules.</t>
  </si>
  <si>
    <t>How can a wrestler break free from a pin?</t>
  </si>
  <si>
    <t>A. By removing the opponent B. By bypassing the PIN setting C. Using a delivery container D. By knocking</t>
  </si>
  <si>
    <t>By bypassing the PIN setting</t>
  </si>
  <si>
    <t>A wrestler must escape the pin position to break free.</t>
  </si>
  <si>
    <t>What happens if the exposed knee touches the mat during the pin test?</t>
  </si>
  <si>
    <t>A. The PIN is invalid. B. The opponent lost the match. C. The pin is counted. D. The referee restarted the game.</t>
  </si>
  <si>
    <t>The PIN is invalid.</t>
  </si>
  <si>
    <t>If the wrestler's knee touches the mat, the pin attempt is invalid.</t>
  </si>
  <si>
    <t>What happens if the match ends in a draw at Aba Geda Wrestling?</t>
  </si>
  <si>
    <t>A. The game was announced to have ended in a draw. B. A sudden death round was played. C. The judge will decide the winner. D. The match was replayed.</t>
  </si>
  <si>
    <t>A sudden death round was played.</t>
  </si>
  <si>
    <t>If there is a tie, a sudden-death round is played.</t>
  </si>
  <si>
    <t>Will the wrestler be able to use their shoulders to push the opponent?</t>
  </si>
  <si>
    <t>A. Yes B. No C. Yes, but only for protection. D. Yes, but only with certain activities.</t>
  </si>
  <si>
    <t>It is allowed to use the shoulders to push the opponent.</t>
  </si>
  <si>
    <t>What is the purpose of the break in the struggle for Aba Geda?</t>
  </si>
  <si>
    <t>A. To allow rest B. To give the coach time to intervene C. To allow the referee to review the game D. To change strategies</t>
  </si>
  <si>
    <t>To allow rest</t>
  </si>
  <si>
    <t>It's time for a break and a change of strategy.</t>
  </si>
  <si>
    <t>How are points scored for a throw in Aba Geda Wrestling?</t>
  </si>
  <si>
    <t>A. Lifting the opponent off the ground B. Controlling the opponent after being thrown C. By landing the opponent on his back D. By throwing the opponent</t>
  </si>
  <si>
    <t>Controlling the opponent after being thrown</t>
  </si>
  <si>
    <t>Throwing points were awarded for controlling the opponent later.</t>
  </si>
  <si>
    <t>Is it allowed to throw the competitor headfirst to the floor?</t>
  </si>
  <si>
    <t>A. No B. Yes C. Yes, if it is part of the technique D. Yes, but only for protection.</t>
  </si>
  <si>
    <t>Headbutting an opponent is not allowed.</t>
  </si>
  <si>
    <t>Can a wrestler use their legs to trip an opponent?</t>
  </si>
  <si>
    <t>A. Yes B. No C. Yes, but only in self-defense. D. Yes, if the opponent is unbalanced.</t>
  </si>
  <si>
    <t>It is allowed to trip an opponent with the legs.</t>
  </si>
  <si>
    <t>What happens if a fighter uses excessive force in the Aba Geda struggle?</t>
  </si>
  <si>
    <t>A. To track the match time B. To score the match C. To ensure that safety measures are followed D. To referee the game</t>
  </si>
  <si>
    <t>To track the match time</t>
  </si>
  <si>
    <t>The timekeeper is responsible for keeping track of match time.</t>
  </si>
  <si>
    <t>Can a wrestler use illegal equipment in a wrestling match?</t>
  </si>
  <si>
    <t>A. No B. Yes C. Yes, if the judge allows it. D. Yes, but only with certain activities.</t>
  </si>
  <si>
    <t>The use of illegal containers is prohibited.</t>
  </si>
  <si>
    <t>What does a wrestler have to do to score a takedown?</t>
  </si>
  <si>
    <t>A. Take the opponent to the ground. B. Hold the opponent for about 5 seconds. C. Force the opponent into submission. D. Take out the opponent.</t>
  </si>
  <si>
    <t>Take the opponent to the ground.</t>
  </si>
  <si>
    <t>To score a takedown, the wrestler must take the opponent to the ground.</t>
  </si>
  <si>
    <t>What happens when a player's foot touches the boundary line during a match?</t>
  </si>
  <si>
    <t>A. The fighter has been punished. B. The fighter is incompetent. C. The match has restarted. D. The opponent scores a point.</t>
  </si>
  <si>
    <t>If a fighter's foot touches the boundary line, the match restarts.</t>
  </si>
  <si>
    <t>Can a wrestler use his head as a weapon in a bare-knuckle fight?</t>
  </si>
  <si>
    <t>A. No B. Yes, but only for prevention. C. Yes, if it is part of the technique D. Yes, if the opponent allows it.</t>
  </si>
  <si>
    <t>It is illegal to use the head as a weapon.</t>
  </si>
  <si>
    <t>What is the minimum number of rounds in a match in Aba Geda Wrestling?</t>
  </si>
  <si>
    <t>A. 1 B. 2 C. 3 D. 4</t>
  </si>
  <si>
    <t>A match typically consists of at least 2 rounds.</t>
  </si>
  <si>
    <t>Can a fighter use a knee strike on the opponent's body?</t>
  </si>
  <si>
    <t>A. Yes B. No C. Yes, but only in certain places D. Yes, if allowed by the judge.</t>
  </si>
  <si>
    <t>Punches to the body are permitted in certain areas.</t>
  </si>
  <si>
    <t>What should a wrestler do to escape a pin?</t>
  </si>
  <si>
    <t>A. Spin the opponent. B. Lift the opponent. C. Break the container. D. Tap</t>
  </si>
  <si>
    <t>Break the container.</t>
  </si>
  <si>
    <t>Escaping a pin requires breaking the grip.</t>
  </si>
  <si>
    <t>What is the penalty for intentionally avoiding a collision?</t>
  </si>
  <si>
    <t>A. Point deduction B. Ineligibility C. Warning D. time out</t>
  </si>
  <si>
    <t>Intentionally avoiding conflict will result in a point deduction.</t>
  </si>
  <si>
    <t>Can a competitor attempt a throw when the opponent is on his back?</t>
  </si>
  <si>
    <t>A. Yes B. No C. Yes, but only for protection. D. Yes, but only if it's a counter.</t>
  </si>
  <si>
    <t>It is not possible to attempt a throw when the opponent is already on their back.</t>
  </si>
  <si>
    <t>What is the maximum number of participants in a team for a team event?</t>
  </si>
  <si>
    <t>In team events, there are often two wrestlers per team.</t>
  </si>
  <si>
    <t>Can a wrestler perform a suplex move in Abba Geda Wrestling?</t>
  </si>
  <si>
    <t>A. Yes B. No C. Yes, but only for PIN. D. Yes, but only for delivery.</t>
  </si>
  <si>
    <t>Suplexes are allowed as long as the rules are followed.</t>
  </si>
  <si>
    <t>What happens if both wrestlers fall out of the ring at the same time?</t>
  </si>
  <si>
    <t>A. The match has restarted. B. The game is over. C. Both fighters are ineligible. D. The opponent wins by default.</t>
  </si>
  <si>
    <t>If both wrestlers fall out of the ring, the match will restart.</t>
  </si>
  <si>
    <t>Can a wrestler use his opponent's body weight to secure a pin?</t>
  </si>
  <si>
    <t>A. Yes B. No C. Yes, but only in a defensive position. D. Yes, but in certain throws</t>
  </si>
  <si>
    <t>A wrestler can use the opponent's body weight to secure a pin.</t>
  </si>
  <si>
    <t>What was the result of the illegal road closure during the Aba Geda struggle?</t>
  </si>
  <si>
    <t>Illegal headlocks will result in a point deduction.</t>
  </si>
  <si>
    <t>What happens if a wrestler holds onto the opponent's clothes for too long in a wrestling match?</t>
  </si>
  <si>
    <t>Holding the opponent's clothing for a long time will result in a point deduction.</t>
  </si>
  <si>
    <t>Can a wrestler use his strength to push his opponent?</t>
  </si>
  <si>
    <t>A. Yes B. No C. Yes, but only during pin time. D. Yes, but only for prevention.</t>
  </si>
  <si>
    <t>It is legal to use force to push an opponent.</t>
  </si>
  <si>
    <t>Is it legal to throw your opponent out of the ring in a bare-knuckle fight?</t>
  </si>
  <si>
    <t>A. Yes B. No C. Yes, if it is part of the throw. D. Yes, if the opponent is unbalanced.</t>
  </si>
  <si>
    <t>It is illegal to throw an opponent out of the ring.</t>
  </si>
  <si>
    <t>Can a wrestler perform a throw without lifting his opponent?</t>
  </si>
  <si>
    <t>A. Yes B. No C. Yes, but only in defense. D. Yes, but only in the counter</t>
  </si>
  <si>
    <t>In some cases, a throw can be made without lifting the opponent.</t>
  </si>
  <si>
    <t>What is the maximum time a wrestler can hold a pin in a wrestling match?</t>
  </si>
  <si>
    <t>A. 5 seconds B. 10 seconds C. 15 seconds D. 30 seconds</t>
  </si>
  <si>
    <t>10 seconds</t>
  </si>
  <si>
    <t>A wrestler must hold the pin for 10 seconds to score a point.</t>
  </si>
  <si>
    <t>Can a wrestler use an opponent's head to execute a throw?</t>
  </si>
  <si>
    <t>A. Yes B. No C. Yes, but only for self-defense. D. Yes, if it is part of the technique</t>
  </si>
  <si>
    <t>It is legal to use the opponent's head for a throw if it is part of the strategy.</t>
  </si>
  <si>
    <t>What is the primary purpose of presenting wrestling at Aba Geda?</t>
  </si>
  <si>
    <t>A. To pin the opponent B. To make the opponent go out of business C. To throw the opponent D. To weaken the opponent</t>
  </si>
  <si>
    <t>To make the opponent go out of business</t>
  </si>
  <si>
    <t>A submission hold is used to tap the opponent.</t>
  </si>
  <si>
    <t>How can he score points to control his opponent?</t>
  </si>
  <si>
    <t>A. By removing the opponent B. By forcing the opponent into a corner C. By putting down the opponent D. By making the opponent buy</t>
  </si>
  <si>
    <t>By putting down the opponent</t>
  </si>
  <si>
    <t>Control points are awarded when the opponent is put down.</t>
  </si>
  <si>
    <t>Can a fighter change his stance during a match?</t>
  </si>
  <si>
    <t>A. Yes B. No C. Yes, but only after a break. D. Yes, but only in defense.</t>
  </si>
  <si>
    <t>A fighter is allowed to change positions during a match.</t>
  </si>
  <si>
    <t>What happens if a wrestler gets knocked out during a match?</t>
  </si>
  <si>
    <t>A. The game is over. B. The opponent wins. C. The match has restarted. D. The opponent is not qualified.</t>
  </si>
  <si>
    <t>The opponent wins.</t>
  </si>
  <si>
    <t>Tapping indicates submission and results in victory for the opponent.</t>
  </si>
  <si>
    <t>Can a fighter perform a two-legged takedown?</t>
  </si>
  <si>
    <t>A. Yes B. No C. Yes, but only after a warning. D. Yes, if it's the last step</t>
  </si>
  <si>
    <t>What are the consequences if a wrestler intentionally leaves the ring?</t>
  </si>
  <si>
    <t>A. Point deduction B. Ineligibility C. Warning D. The opponent wins by default.</t>
  </si>
  <si>
    <t>Intentionally leaving the ring will result in a point deduction.</t>
  </si>
  <si>
    <t>What happens if a fighter uses too much force in a throw?</t>
  </si>
  <si>
    <t>Excessive force in a throw will lead to a point deduction.</t>
  </si>
  <si>
    <t>Can a wrestler use a leg sweep to bring his opponent to the ground?</t>
  </si>
  <si>
    <t>A. Yes B. No C. Yes, but only if the opponent is unbalanced. D. Yes, but only in defense.</t>
  </si>
  <si>
    <t>A leg sweep is a legal method of bringing an opponent to the ground.</t>
  </si>
  <si>
    <t>What is a wrestler's main goal during a match?</t>
  </si>
  <si>
    <t>A. To throw the opponent B. To control the opponent C. To present the opponent D. To avoid being pinned</t>
  </si>
  <si>
    <t>To control the opponent</t>
  </si>
  <si>
    <t>Controlling the opponent during a game is the primary goal.</t>
  </si>
  <si>
    <t>What will be the outcome for the wrestler when he attempts a move that is considered illegal?</t>
  </si>
  <si>
    <t>Illegal activities will lead to point deductions.</t>
  </si>
  <si>
    <t>How many points are awarded for successfully performing a throw in the Aba Geda wrestling match?</t>
  </si>
  <si>
    <t>A successful throw earns 2 points.</t>
  </si>
  <si>
    <t>A. No B. Yes, if it is a technical part C. Yes, but only with the judge's approval. D. Yes, but only as a last resort.</t>
  </si>
  <si>
    <t>When did Pin succeed in the struggle against Aba Gada?</t>
  </si>
  <si>
    <t>A. When the opponent is on his back for 5 seconds B. When the opponent leaves C. When the opponent is on his back for 10 seconds D. When the referee counts to 3</t>
  </si>
  <si>
    <t>When the opponent is on his back for 10 seconds</t>
  </si>
  <si>
    <t>A pin is successful if the opponent is held on their back for 10 seconds.</t>
  </si>
  <si>
    <t>Can a wrestler participate in a submission?</t>
  </si>
  <si>
    <t>A. Yes B. No C. Yes, but only if the opponent starts D. Yes, but only in the last round.</t>
  </si>
  <si>
    <t>Ground delivery containers are allowed.</t>
  </si>
  <si>
    <t>What happens if a fighter intentionally avoids a fight?</t>
  </si>
  <si>
    <t>A. The opponent gets a point. B. The fighter has been rejected. C. The match has restarted. D. The game continues.</t>
  </si>
  <si>
    <t>The opponent gets a point.</t>
  </si>
  <si>
    <t>Intentionally avoiding conflict scores points for the opponent.</t>
  </si>
  <si>
    <t>What should a wrestler do if they are in a vulnerable position and want to avoid being pinned?</t>
  </si>
  <si>
    <t>A. Escape from the cage. B. Tap C. Defend until the time is up. D. Call for timeout</t>
  </si>
  <si>
    <t>Escape from the cage.</t>
  </si>
  <si>
    <t>A wrestler must escape the hold to avoid being pinned.</t>
  </si>
  <si>
    <t>Can a fighter use excessive force during a throw?</t>
  </si>
  <si>
    <t>A. No B. Yes, but only during certain throws. C. Yes, if it is a preventive measure D. Yes, but only in the last round.</t>
  </si>
  <si>
    <t>Excessive force is not allowed in any throw.</t>
  </si>
  <si>
    <t>What was the role of the watchman during the Aba Geda struggle?</t>
  </si>
  <si>
    <t>A. To score the match B. To make sure both fighters are ready C. To track the match time D. To announce the winner</t>
  </si>
  <si>
    <t>The timekeeper is responsible for keeping track of the match time.</t>
  </si>
  <si>
    <t>Is it legal to pull an opponent's hair during the Aba Geda struggle?</t>
  </si>
  <si>
    <t>A. No B. Yes C. Yes, but only for prevention. D. Yes, but only if it is part of the technique.</t>
  </si>
  <si>
    <t>It is illegal to pull an opponent's hair.</t>
  </si>
  <si>
    <t>How many points are awarded for a successful outcome in the Aba Geda struggle?</t>
  </si>
  <si>
    <t>A. 2 B. 3 C. 4 D. 5</t>
  </si>
  <si>
    <t>A successful submission earns 3 points.</t>
  </si>
  <si>
    <t>Can a wrestler be qualified to hit an opponent?</t>
  </si>
  <si>
    <t>A. Yes B. No C. Yes, but only with the judge's permission. D. Yes, but only if it's knocked out.</t>
  </si>
  <si>
    <t>Hitting the opponent results in incompetence.</t>
  </si>
  <si>
    <t>Can a wrestler do a leg lock in a grappling match?</t>
  </si>
  <si>
    <t>A. Yes B. No C. Yes, but only if initiated by the opponent. D. Yes, but only in the last round.</t>
  </si>
  <si>
    <t>Leg locks are allowed in the Aba Geda wrestling match.</t>
  </si>
  <si>
    <t>What happens if both fighters leave the border at the same time?</t>
  </si>
  <si>
    <t>A. The match has restarted. B. The opponent wins by default. C. The game continues. D. One point is awarded to the opponent.</t>
  </si>
  <si>
    <t>If both wrestlers fall out of bounds, the match will restart.</t>
  </si>
  <si>
    <t>What is the time limit for a round in the Aba Geda struggle?</t>
  </si>
  <si>
    <t>A. 3 minutes B. 5 minutes C. 10 minutes D. 15 minutes</t>
  </si>
  <si>
    <t>Each round usually lasts 5 minutes.</t>
  </si>
  <si>
    <t>Can a fighter perform a submission from anywhere?</t>
  </si>
  <si>
    <t>A. No B. Yes, but only on the ground C. Yes, but only from where you are standing. D. Yes</t>
  </si>
  <si>
    <t>Delivery containers can only be made in certain locations.</t>
  </si>
  <si>
    <t>What is the purpose of the guard post in the Aba Geda struggle?</t>
  </si>
  <si>
    <t>A. To prevent throwing B. To control the opponent's movements C. To pin the opponent D. To rest and strategize</t>
  </si>
  <si>
    <t>To prevent throwing</t>
  </si>
  <si>
    <t>The guard position serves to prevent throws and maintain control.</t>
  </si>
  <si>
    <t>What is the maximum hold allowed during a throw?</t>
  </si>
  <si>
    <t>A. One hand B. Both hands C. Any container D. Two hands with control</t>
  </si>
  <si>
    <t>Both hands</t>
  </si>
  <si>
    <t>A fighter must control the throw with both hands.</t>
  </si>
  <si>
    <t>Is it legal to elbow an opponent?</t>
  </si>
  <si>
    <t>A. Yes B. No C. Yes, but only with the judge's approval. D. Yes, but only for prevention.</t>
  </si>
  <si>
    <t>It is illegal to elbow an opponent.</t>
  </si>
  <si>
    <t>What is the penalty for a wrestler intentionally standing during a match?</t>
  </si>
  <si>
    <t>Intentional stopping will lead to a point deduction.</t>
  </si>
  <si>
    <t>Can a wrestler do bodybuilding in a wrestling match?</t>
  </si>
  <si>
    <t>A. Yes B. No C. Yes, but only to escape the pin. D. Yes, but only in the entrance.</t>
  </si>
  <si>
    <t>Physical abuse is permitted in the Aba Geda struggle.</t>
  </si>
  <si>
    <t>A. Point deduction B. Ineligibility C. The opponent wins by default. D. The match has restarted.</t>
  </si>
  <si>
    <t>Can a wrestler make a splash in Aba Gada Wrestling?</t>
  </si>
  <si>
    <t>A. Yes B. No C. Yes, but only if initiated by the opponent. D. Yes, but only as a preventative measure.</t>
  </si>
  <si>
    <t>Drop kicks are allowed in Aba Geda Wrestling.</t>
  </si>
  <si>
    <t>What is the result if both fighters score at the same time?</t>
  </si>
  <si>
    <t>A. The game is a draw. B. The opponent gets an extra point. C. The points have been rejected. D. The game continues.</t>
  </si>
  <si>
    <t>The game continues.</t>
  </si>
  <si>
    <t>Points scored at the same time will not affect the match and it will continue.</t>
  </si>
  <si>
    <t>What happens if a fighter refuses to continue a match?</t>
  </si>
  <si>
    <t>A. The opponent wins. B. The match has been cancelled. C. The fighter has been rejected. D. The match has restarted.</t>
  </si>
  <si>
    <t>If a fighter refuses to continue, the opponent will win on their own.</t>
  </si>
  <si>
    <t>What happens if a player touches the boundary line while holding the ball?</t>
  </si>
  <si>
    <t>A. The rotation is off. B. A penalty point is awarded to the opponent. C. The player continues to play. D. The game has restarted.</t>
  </si>
  <si>
    <t>A penalty point is awarded to the opponent.</t>
  </si>
  <si>
    <t>Touching the boundary line with the ball results in a penalty for the opponent under the Afula Law.</t>
  </si>
  <si>
    <t>How many points are awarded for scoring in the central target zone?</t>
  </si>
  <si>
    <t>A. 10 points B. 5 points C. 15 points D. 20 points</t>
  </si>
  <si>
    <t>10 points</t>
  </si>
  <si>
    <t>The results of the central target zone were awarded 10 points by Afula.</t>
  </si>
  <si>
    <t>What is the maximum time a player can hold the ball before passing it?</t>
  </si>
  <si>
    <t>A. 5 seconds B. 3 seconds C. 10 seconds D. 15 seconds</t>
  </si>
  <si>
    <t>5 seconds</t>
  </si>
  <si>
    <t>Players are allowed to hold the ball for a maximum of 5 seconds before passing it.</t>
  </si>
  <si>
    <t>What happens if a player intentionally blocks another player without the ball?</t>
  </si>
  <si>
    <t>A. It's called destruction. B. The game continues. C. The player will receive a warning for the ban. D. The team lost by 1 point.</t>
  </si>
  <si>
    <t>It's called destruction.</t>
  </si>
  <si>
    <t>Deliberately blocking the ball is considered a foul by Afula.</t>
  </si>
  <si>
    <t>How many players are allowed on the field at a time for each team?</t>
  </si>
  <si>
    <t>A. 7 players B. 5 players C. 9 players D. 11 players</t>
  </si>
  <si>
    <t>7 players</t>
  </si>
  <si>
    <t>Each team is allowed to have 7 players on the field at a time.</t>
  </si>
  <si>
    <t>What is the penalty for going out of bounds with the ball?</t>
  </si>
  <si>
    <t>A. Loss of property B. Free throw for the opposing team C. Turnaround D. There is no penalty.</t>
  </si>
  <si>
    <t>Loss of property</t>
  </si>
  <si>
    <t>Going out of bounds with the ball will result in a loss of balls.</t>
  </si>
  <si>
    <t>What happens if the ball touches the ground during the game?</t>
  </si>
  <si>
    <t>A. The game continues. B. Changes in ownership C. The game has restarted. D. The team lost by 1 point.</t>
  </si>
  <si>
    <t>Changes in ownership</t>
  </si>
  <si>
    <t>If the ball touches the ground, possession is awarded to the opposing team.</t>
  </si>
  <si>
    <t>How does the game start after a goal is scored?</t>
  </si>
  <si>
    <t>A. The scoring team starts from their zone. B. The opposing team starts from their zone. C. A neutral toss will be made. D. The ball is thrown in the middle.</t>
  </si>
  <si>
    <t>The opposing team starts from their zone.</t>
  </si>
  <si>
    <t>After a goal, the opposing team starts the game from the assigned zone.</t>
  </si>
  <si>
    <t>How many points are deducted for a foul committed in the scoring area?</t>
  </si>
  <si>
    <t>A. 2 points B. 3 points C. 5 points D. 1 point</t>
  </si>
  <si>
    <t>A foul at the scoreboard will result in a 3-point penalty.</t>
  </si>
  <si>
    <t>What is the maximum number of substitutions allowed in a game?</t>
  </si>
  <si>
    <t>A. 3 replacements B. 5 successors C. Unlimited replacement D. 2 successors</t>
  </si>
  <si>
    <t>5 successors</t>
  </si>
  <si>
    <t>Teams are allowed a maximum of 5 substitutes per game in Afula.</t>
  </si>
  <si>
    <t>What is the maximum number of players allowed in an Afula team?</t>
  </si>
  <si>
    <t>A. 5 players B. 6 players C. 7 players D. 8 players</t>
  </si>
  <si>
    <t>6 players</t>
  </si>
  <si>
    <t>According to the official rules, each team can have a maximum of 6 players.</t>
  </si>
  <si>
    <t>How many points are awarded for successfully throwing the Afula disc into the center circle?</t>
  </si>
  <si>
    <t>A. 1 point B. 2 points C. 3 points D. 5 points</t>
  </si>
  <si>
    <t>Throwing the discus into the center circle earns 3 points according to the Afula Law.</t>
  </si>
  <si>
    <t>What happens if a player goes out of bounds while holding the disc?</t>
  </si>
  <si>
    <t>A. Penalty point B. Turnaround C. Bad warning D. nothing</t>
  </si>
  <si>
    <t>Turnaround</t>
  </si>
  <si>
    <t>Going out of bounds results in a transfer of ownership to the opposing team.</t>
  </si>
  <si>
    <t>How long does a player have to throw the disc after receiving it?</t>
  </si>
  <si>
    <t>A. 5 seconds B. 8 seconds C. 10 seconds D. 15 seconds</t>
  </si>
  <si>
    <t>8 seconds</t>
  </si>
  <si>
    <t>Players are allowed a maximum of 8 seconds to throw the disc after receiving it.</t>
  </si>
  <si>
    <t>What is the minimum distance an opposing player should maintain from the discus thrower?</t>
  </si>
  <si>
    <t>A. 1 meter B. 2 meters C. 3 meters D. There is no minimum distance.</t>
  </si>
  <si>
    <t>1 meter</t>
  </si>
  <si>
    <t>Opposing players must maintain a distance of at least 1 meter from the discus holder.</t>
  </si>
  <si>
    <t>What is the step to get out of the game quickly?</t>
  </si>
  <si>
    <t>A. Throwing the discus with force B. Verbally insulting the judge C. Holding the disc for more than 10 seconds D. Crossing the median line</t>
  </si>
  <si>
    <t>Verbally insulting the judge</t>
  </si>
  <si>
    <t>Verbal abuse of the referee will result in immediate expulsion from the game in order to maintain sportsmanship.</t>
  </si>
  <si>
    <t>How many seasons have you played in the regular season?</t>
  </si>
  <si>
    <t>A. 1 time B. 2 seasons C. 3 seasons D. 4 seasons</t>
  </si>
  <si>
    <t>4 seasons</t>
  </si>
  <si>
    <t>The game of Afula consists of 4 periods according to the official rules.</t>
  </si>
  <si>
    <t>How long is each period in the Afula match?</t>
  </si>
  <si>
    <t>A. 10 minutes B. 12 minutes C. 15 minutes D. 20 minutes</t>
  </si>
  <si>
    <t>15 minutes</t>
  </si>
  <si>
    <t>Each session in the amphitheater lasts 15 minutes.</t>
  </si>
  <si>
    <t>What happens if the disk lands outside the boundary?</t>
  </si>
  <si>
    <t>A. The disk is aligned to the center. B. The opposing team gains control of the ball. C. A penalty kick has been awarded. D. The same team continued the game.</t>
  </si>
  <si>
    <t>The opposing team gains control of the ball.</t>
  </si>
  <si>
    <t>If the disc lands out of bounds, possession is transferred to the opposing team.</t>
  </si>
  <si>
    <t>What is the main purpose of Afula?</t>
  </si>
  <si>
    <t>A. Score the highest score B. To retain possession. C. Eliminate opponents. D. Protect your team zone</t>
  </si>
  <si>
    <t>Score the highest score</t>
  </si>
  <si>
    <t>Afula's main goal is to score the highest points through skillful throwing and playing.</t>
  </si>
  <si>
    <t>What is the maximum time allowed for a group timeout in Afula?</t>
  </si>
  <si>
    <t>A. 30 seconds B. 1 minute C. 2 minutes D. 5 minutes</t>
  </si>
  <si>
    <t>Teams are allowed a maximum of 1 minute for a timeout in the Afalula.</t>
  </si>
  <si>
    <t>How many points are deducted for a single offense?</t>
  </si>
  <si>
    <t>A. There is no point. B. 1 point C. 2 points D. 5 points</t>
  </si>
  <si>
    <t>1 point</t>
  </si>
  <si>
    <t>1 point will be deducted as a penalty for each offense.</t>
  </si>
  <si>
    <t>What is the penalty for throwing the discus out of bounds?</t>
  </si>
  <si>
    <t>A. Free throw for the opposing team B. Turnaround C. Penalty point D. There is no penalty.</t>
  </si>
  <si>
    <t>Throwing the disc out of bounds results in a change of possession.</t>
  </si>
  <si>
    <t>What should a judge do if he is equal after the regular period?</t>
  </si>
  <si>
    <t>A. Predict the victory of both teams B. Play more time C. Decide by coin toss. D. Give a penalty kick.</t>
  </si>
  <si>
    <t>Play more time</t>
  </si>
  <si>
    <t>In the event of a tie, extra time will be played to determine the winner.</t>
  </si>
  <si>
    <t>Which player is allowed to intercept the disc in the Afalula?</t>
  </si>
  <si>
    <t>A. Any player B. Only defenders C. Attackers only D. No players</t>
  </si>
  <si>
    <t>Any player</t>
  </si>
  <si>
    <t>According to the rules, any player is allowed to steal the disc during the game.</t>
  </si>
  <si>
    <t>What happens if a player drops the disc while passing?</t>
  </si>
  <si>
    <t>A. The game continues. B. Turnaround C. Penalty shootout D. It's called time out.</t>
  </si>
  <si>
    <t>Dropping the disc results in a transfer of possession to the opposing team.</t>
  </si>
  <si>
    <t>How many players are needed to start a match?</t>
  </si>
  <si>
    <t>A. 4 players per team B. 6 players per team C. 8 players per team D. 10 players per team</t>
  </si>
  <si>
    <t>6 players per team</t>
  </si>
  <si>
    <t>Each team must have 6 players on the field to start the game.</t>
  </si>
  <si>
    <t>What is the penalty for unsportsmanlike behavior?</t>
  </si>
  <si>
    <t>A. There is no penalty. B. Warning C. Yellow card D. pull out</t>
  </si>
  <si>
    <t>Yellow card</t>
  </si>
  <si>
    <t>Unsportsmanlike conduct will result in a yellow card as a warning.</t>
  </si>
  <si>
    <t>What is the diameter of the center circle in the apocalypse?</t>
  </si>
  <si>
    <t>A. 5 meters B. 7 meters C. 10 meters D. 12 meters</t>
  </si>
  <si>
    <t>10 meters</t>
  </si>
  <si>
    <t>The center circle in official afala matches has a diameter of 10 meters.</t>
  </si>
  <si>
    <t>What happens if a team has fewer than 4 players during a game?</t>
  </si>
  <si>
    <t>A. The game continues. B. A deadline has been set. C. The game is lost. D. The opposing team is penalized.</t>
  </si>
  <si>
    <t>The game is lost.</t>
  </si>
  <si>
    <t>If a team has fewer than 4 players, the game is forfeited as per the rules.</t>
  </si>
  <si>
    <t>What happens if a team exceeds the time limit?</t>
  </si>
  <si>
    <t>A. There is no penalty. B. Loss of property C. 1-point deduction D. Opponent gets a free throw</t>
  </si>
  <si>
    <t>If a team exceeds the time limit, they lose possession of the disc.</t>
  </si>
  <si>
    <t>What is the maximum height allowed for a discus throw?</t>
  </si>
  <si>
    <t>A. 2 meters B. 3 meters C. 4 meters D. There is no limit.</t>
  </si>
  <si>
    <t>4 meters</t>
  </si>
  <si>
    <t>To remain within the boundaries of the game, the disc must not exceed 4 meters in height.</t>
  </si>
  <si>
    <t>Which player is responsible for starting the game after a break?</t>
  </si>
  <si>
    <t>A. Team leader B. Goalkeeper C. The last disk holder D. Any player</t>
  </si>
  <si>
    <t>The last disk holder</t>
  </si>
  <si>
    <t>The player who last held the disc continues playing after the time has expired.</t>
  </si>
  <si>
    <t>How many referees are there to oversee the Afula game?</t>
  </si>
  <si>
    <t>A. 1 judge B. 2 judges C. 3 judges D. 4 judges</t>
  </si>
  <si>
    <t>2 judges</t>
  </si>
  <si>
    <t>To ensure fair play, Afalla games are led by 2 referees.</t>
  </si>
  <si>
    <t>What is the penalty for intentionally delaying the game?</t>
  </si>
  <si>
    <t>A. Bad warning B. Yellow card C. Turnaround D. 2-point reduction</t>
  </si>
  <si>
    <t>Intentional delay results in a transfer of possession to the opposing team.</t>
  </si>
  <si>
    <t>How many substitute players can each team have?</t>
  </si>
  <si>
    <t>A. 2 players B. 3 players C. 4 players D. 5 players</t>
  </si>
  <si>
    <t>3 players</t>
  </si>
  <si>
    <t>Each team is allowed a maximum of 3 substitute players.</t>
  </si>
  <si>
    <t>What is the distance between the two goal ranges in Afula?</t>
  </si>
  <si>
    <t>A. 10 meters B. 15 meters C. 20 meters D. 25 meters</t>
  </si>
  <si>
    <t>The official distance between the goal area and the goalposts is 20 meters.</t>
  </si>
  <si>
    <t>What is the result of a penalty kick for the opposing team?</t>
  </si>
  <si>
    <t>A. Holding the disc for a long time B. Crossing the median line C. Illegally blocking the disk D. All of the above</t>
  </si>
  <si>
    <t>All of these actions—holding the disc too long, crossing the center line, and illegal blocking—result in a free throw.</t>
  </si>
  <si>
    <t>How many points are needed to win a regular game of Affalla?</t>
  </si>
  <si>
    <t>A. 15 points B. 20 points C. 25 points D. 30 points</t>
  </si>
  <si>
    <t>25 points</t>
  </si>
  <si>
    <t>A team must score 25 points to win in Afula.</t>
  </si>
  <si>
    <t>What is the penalty for crossing the center line without the disc?</t>
  </si>
  <si>
    <t>A. Turnaround B. Penalty shootout C. Bad warning D. There is no penalty.</t>
  </si>
  <si>
    <t>There is no penalty for crossing the center line without the disc.</t>
  </si>
  <si>
    <t>What does the shape of the Afalula field look like?</t>
  </si>
  <si>
    <t>A. Square B. Rectangle C. Circle D. Oval</t>
  </si>
  <si>
    <t>Rectangle</t>
  </si>
  <si>
    <t>Afalula is played on a rectangular field according to standard rules.</t>
  </si>
  <si>
    <t>How long is the break between menstrual periods in Afula?</t>
  </si>
  <si>
    <t>A. 2 minutes B. 5 minutes C. 8 minutes D. 10 minutes</t>
  </si>
  <si>
    <t>The break between periods lasts 5 minutes to allow the groups to regroup.</t>
  </si>
  <si>
    <t>What is the rule for passing the disc backwards?</t>
  </si>
  <si>
    <t>A. Allowed at any time B. Allowed only in protected zones C. Only allowed once per possession. D. not allowed.</t>
  </si>
  <si>
    <t>Allowed at any time</t>
  </si>
  <si>
    <t>Players may pass the disc backward at any time during the game.</t>
  </si>
  <si>
    <t>How is the starting team determined in the Afula game?</t>
  </si>
  <si>
    <t>A. Coin toss B. Previous match winner C. Judge's choice D. The home team starts</t>
  </si>
  <si>
    <t>Coin toss</t>
  </si>
  <si>
    <t>A coin toss determines which team starts the game.</t>
  </si>
  <si>
    <t>What happens if two players from opposing teams catch the disc at the same time?</t>
  </si>
  <si>
    <t>A. The judge will decide on possession. B. Turnaround C. It's called a jump ball. D. The game continues.</t>
  </si>
  <si>
    <t>The judge will decide on possession.</t>
  </si>
  <si>
    <t>The referee decides to hold the disc at one time.</t>
  </si>
  <si>
    <t>What is the rule for scoring from the defensive zone?</t>
  </si>
  <si>
    <t>A. Allowed B. not allowed. C. It is only permissible if there is no opposition. D. Requires judge approval.</t>
  </si>
  <si>
    <t>not allowed.</t>
  </si>
  <si>
    <t>According to the Afula Law, scoring from the defensive zone is not allowed.</t>
  </si>
  <si>
    <t>What is the maximum number of steps a player can take with the disc?</t>
  </si>
  <si>
    <t>A. 1 step B. 2 steps C. 3 steps D. There is no limit.</t>
  </si>
  <si>
    <t>3 steps</t>
  </si>
  <si>
    <t>A player can take a maximum of 3 steps with a disc.</t>
  </si>
  <si>
    <t>What happens if a disk lands on the boundary line?</t>
  </si>
  <si>
    <t>A. The game continues. B. Turnaround C. Free throw for the opposing team D. It's called Fol.</t>
  </si>
  <si>
    <t>If the disc lands on the boundary line, play continues as if it were still in bounds.</t>
  </si>
  <si>
    <t>What is the rule for substituting players during a game?</t>
  </si>
  <si>
    <t>A. Allowed at any time B. It is only allowed during the timeout period. C. Allowed during vacation D. not allowed.</t>
  </si>
  <si>
    <t>It is only allowed during the timeout period.</t>
  </si>
  <si>
    <t>Replacement is only allowed at the end of the Afalula period.</t>
  </si>
  <si>
    <t>What happens if a player intentionally hits the disc?</t>
  </si>
  <si>
    <t>A. There is no penalty. B. Turnaround C. Bad warning D. pull out</t>
  </si>
  <si>
    <t>Intentionally hitting the disc will result in a change of possession.</t>
  </si>
  <si>
    <t>What is the penalty for holding the disc for more than 10 seconds?</t>
  </si>
  <si>
    <t>A. Turnaround B. Bad warning C. 2-point reduction D. Free throw for the opposing team</t>
  </si>
  <si>
    <t>Holding the disc for more than 10 seconds makes a difference.</t>
  </si>
  <si>
    <t>What happens if the disc hits the referee during the game?</t>
  </si>
  <si>
    <t>A. The game continues. B. Turnaround C. Free throw for the opposing team D. Play the point again.</t>
  </si>
  <si>
    <t>Play the point again.</t>
  </si>
  <si>
    <t>If a disc hits the referee, the point is replayed.</t>
  </si>
  <si>
    <t>Can players block the disc with their feet?</t>
  </si>
  <si>
    <t>A. Yes, anytime. B. Yes, only when defending. C. No, never. D. Only with the judge's approval.</t>
  </si>
  <si>
    <t>No, never.</t>
  </si>
  <si>
    <t>Players are not allowed to block the disc with their feet.</t>
  </si>
  <si>
    <t>What is the maximum duration of an Afala match?</t>
  </si>
  <si>
    <t>A. 30 minutes B. 45 minutes C. 60 minutes D. 90 minutes</t>
  </si>
  <si>
    <t>60 minutes</t>
  </si>
  <si>
    <t>An Afala match lasts a maximum of 60 minutes.</t>
  </si>
  <si>
    <t>How many players should a team have on the field during a game?</t>
  </si>
  <si>
    <t>Each team must have 7 players on the field during the game.</t>
  </si>
  <si>
    <t>A. Turnaround B. Free throw for the opposing team C. The game continues. D. There is no penalty.</t>
  </si>
  <si>
    <t>Taking the disc out of bounds brings about change.</t>
  </si>
  <si>
    <t>How many points does a team get for a goal scored from the attacking zone?</t>
  </si>
  <si>
    <t>A. 1 point B. 2 points C. 3 points D. 4 points</t>
  </si>
  <si>
    <t>A goal scored from the attacking zone is worth 1 point.</t>
  </si>
  <si>
    <t>What is the penalty for a player arguing with a referee?</t>
  </si>
  <si>
    <t>Bad warning</t>
  </si>
  <si>
    <t>Arguing with the judge is a bad warning.</t>
  </si>
  <si>
    <t>What is the rule for passing the disc to a teammate in the defensive zone?</t>
  </si>
  <si>
    <t>A. Allowed at any time B. It is only allowed after 5 seconds. C. not allowed. D. Only allowed once per possession.</t>
  </si>
  <si>
    <t>Players may pass the disc to teammates in the defensive zone at any time.</t>
  </si>
  <si>
    <t>How many timeouts are allowed per team per match?</t>
  </si>
  <si>
    <t>A. 1 time expired B. 2 times over C. 3 times over D. 4 times over</t>
  </si>
  <si>
    <t>3 times over</t>
  </si>
  <si>
    <t>Each team is allowed 3 timeouts per match.</t>
  </si>
  <si>
    <t>What happens if the disc touches the ground during the game?</t>
  </si>
  <si>
    <t>If the disc touches the ground during play, it will result in a turnover.</t>
  </si>
  <si>
    <t>What is the official size of the Afula disk?</t>
  </si>
  <si>
    <t>A. 20 cm diameter B. 25 cm diameter C. 30 cm diameter D. 35 cm diameter</t>
  </si>
  <si>
    <t>25 cm diameter</t>
  </si>
  <si>
    <t>The official size of the Afala disc is 25 centimeters in diameter.</t>
  </si>
  <si>
    <t>Can a player score a goal by throwing the disc directly into the goal?</t>
  </si>
  <si>
    <t>A. Yes B. No C. Only if you don't object. D. Only with the judge's approval.</t>
  </si>
  <si>
    <t>Players can score by throwing the disc directly into the goal.</t>
  </si>
  <si>
    <t>What happens if a player catches the disc and it goes into the goal area?</t>
  </si>
  <si>
    <t>A. Turnaround B. Free throw for the opposing team C. Goal is given. D. The game continues.</t>
  </si>
  <si>
    <t>Catching the disc and getting it into the goal area makes a difference.</t>
  </si>
  <si>
    <t>What is the penalty for using both hands to hold the disc during play?</t>
  </si>
  <si>
    <t>A. There is no penalty. B. Turnaround C. Bad warning D. Free throw for the opposing team</t>
  </si>
  <si>
    <t>Players are allowed to hold the disc with both hands.</t>
  </si>
  <si>
    <t>What is the rule for continuing play after a foul?</t>
  </si>
  <si>
    <t>A. Free throw for the defeated team B. Turnaround C. Play the point again. D. The judge decides.</t>
  </si>
  <si>
    <t>Free throw for the defeated team</t>
  </si>
  <si>
    <t>After a foul is committed, the offending team is awarded a penalty kick.</t>
  </si>
  <si>
    <t>How many periods are there in a regular Afalula match?</t>
  </si>
  <si>
    <t>A. 2 seasons B. 3 seasons C. 4 seasons D. 5 seasons</t>
  </si>
  <si>
    <t>A standard Afala match consists of 4 periods.</t>
  </si>
  <si>
    <t>What happens if a player passes the disc out of bounds?</t>
  </si>
  <si>
    <t>A. Turnaround B. Free throw for the opposing team C. The game continues. D. Bad warning</t>
  </si>
  <si>
    <t>Passing the disc out of bounds results in a change.</t>
  </si>
  <si>
    <t>Can a player intercept the disc while standing in the goal area?</t>
  </si>
  <si>
    <t>Players can intercept the disc even while standing in the goal area.</t>
  </si>
  <si>
    <t>What is the rule for passing the disc across the center line?</t>
  </si>
  <si>
    <t>A. Allowed at any time B. It is only allowed after 5 seconds. C. Only allowed once per possession. D. not allowed.</t>
  </si>
  <si>
    <t>Players may pass the disc across the center line at any time during the game.</t>
  </si>
  <si>
    <t>What is the penalty for a team having more players on the field than allowed?</t>
  </si>
  <si>
    <t>Having more players on the field will result in a false alarm.</t>
  </si>
  <si>
    <t>What is the rule for scoring a goal when the disc goes over the goal post?</t>
  </si>
  <si>
    <t>A. Goal is given. B. There is no goal. C. The judge decides. D. Only if the goal is scored directly.</t>
  </si>
  <si>
    <t>There is no goal.</t>
  </si>
  <si>
    <t>A goal is not awarded if the disc goes over the goal post.</t>
  </si>
  <si>
    <t>Can a substitute player enter the field during a match in progress?</t>
  </si>
  <si>
    <t>A. Yes B. No C. Only with the judge's approval. D. Only during vacation</t>
  </si>
  <si>
    <t>Substitute players cannot enter the field during a match in progress.</t>
  </si>
  <si>
    <t>What happens if a team shows up for a match?</t>
  </si>
  <si>
    <t>A. The match is lost. B. It has been rescheduled. C. The judge decides. D. The opponent wins by default.</t>
  </si>
  <si>
    <t>The match is lost.</t>
  </si>
  <si>
    <t>If a team fails to emerge, the game is lost.</t>
  </si>
  <si>
    <t>What is the rule for blocking the disc with the body?</t>
  </si>
  <si>
    <t>A. Allowed B. not allowed. C. Only if it's unexpected. D. Only with the judge's approval.</t>
  </si>
  <si>
    <t>Blocking the disc with the body is not allowed in the afula.</t>
  </si>
  <si>
    <t>What happens if a player drops the disc during the game?</t>
  </si>
  <si>
    <t>Throwing the disc during the game makes a difference.</t>
  </si>
  <si>
    <t>Can a player hold the disc with one hand?</t>
  </si>
  <si>
    <t>A. Yes B. No C. Only with both hands D. Only with the judge's approval.</t>
  </si>
  <si>
    <t>A player is allowed to hold the disc with one hand.</t>
  </si>
  <si>
    <t>What is the rule for passing the disc after a goal?</t>
  </si>
  <si>
    <t>A. The game will resume immediately. B. The opposing team gets the ball. C. The possession belongs to the team that scored the goal. D. The judge decides.</t>
  </si>
  <si>
    <t>The possession belongs to the team that scored the goal.</t>
  </si>
  <si>
    <t>After a goal, possession of the ball goes to the team that scored the goal.</t>
  </si>
  <si>
    <t>A. Turnaround B. Bad warning C. Free throw for the opposing team D. 2-point reduction</t>
  </si>
  <si>
    <t>Intentionally hitting the discus makes a difference.</t>
  </si>
  <si>
    <t>How many points does a team get for a goal scored from the neutral zone?</t>
  </si>
  <si>
    <t>A goal scored from the neutral zone is worth 2 points.</t>
  </si>
  <si>
    <t>What is the penalty for a team with too few players on the field?</t>
  </si>
  <si>
    <t>A. Turnaround B. Bad warning C. Free throw for the opposing team D. There is no penalty.</t>
  </si>
  <si>
    <t>A team will be given a false warning if they have too few players on the field.</t>
  </si>
  <si>
    <t>What is the rule for substituting players during a timeout?</t>
  </si>
  <si>
    <t>A. Only one substitution is allowed. B. Unlimited replacement C. There is no substitution at the end of the time period. D. Substitution is only permitted with the approval of the judge.</t>
  </si>
  <si>
    <t>Unlimited replacement</t>
  </si>
  <si>
    <t>Unlimited substitutions are allowed during the timeout.</t>
  </si>
  <si>
    <t>What happens if a team scores a goal and immediately commits a foul?</t>
  </si>
  <si>
    <t>A. Foul is applied before the goal. B. Foul is applied after the goal. C. The goal has been broken. D. Foul gives away a penalty but the goal stands.</t>
  </si>
  <si>
    <t>Foul is applied before the goal.</t>
  </si>
  <si>
    <t>If a team scores a goal and immediately commits a foul, the foul is enforced before the goal.</t>
  </si>
  <si>
    <t>Can the player block the shot with their head?</t>
  </si>
  <si>
    <t>A. Yes B. No C. Only if it's unexpected. D. Only with the judge's approval.</t>
  </si>
  <si>
    <t>Blocking shots with the head is not allowed.</t>
  </si>
  <si>
    <t>What happens if a player commits a foul while attempting a goal?</t>
  </si>
  <si>
    <t>A. Penalty kick for the opposing team B. Turnaround C. Free throw for the opposing team D. The goal is invalid.</t>
  </si>
  <si>
    <t>Penalty kick for the opposing team</t>
  </si>
  <si>
    <t>The foul committed while attempting a goal resulted in a penalty kick being awarded to the opposing team.</t>
  </si>
  <si>
    <t>What is the penalty for excessive physical contact during a game?</t>
  </si>
  <si>
    <t>A. Bad warning B. Turnaround C. Free throw for the opposing team D. 2-point reduction</t>
  </si>
  <si>
    <t>Excessive physical contact carries a bad warning.</t>
  </si>
  <si>
    <t>What happens if the disc hits the goal post after it touches the ground?</t>
  </si>
  <si>
    <t>A. Turnaround B. Goal is given. C. Free throw for the opposing team D. The game continues.</t>
  </si>
  <si>
    <t>If the disc touches the ground and then hits the goal post, it will result in a turnover.</t>
  </si>
  <si>
    <t>What happens if the disc is thrown before the referee signals the start of the game?</t>
  </si>
  <si>
    <t>A. Turnaround B. There is no penalty. C. Free throw for the opposing team D. The judge decides.</t>
  </si>
  <si>
    <t>Throwing the discus before the referee signals the start of the game.</t>
  </si>
  <si>
    <t>What is the penalty for a player entering the attacking zone without the disc?</t>
  </si>
  <si>
    <t>Entering the offensive zone without the disc will result in a foul.</t>
  </si>
  <si>
    <t>Can a player throw the disc from the defensive zone to the offensive zone with one hand?</t>
  </si>
  <si>
    <t>A. Yes B. No C. Only with two hands D. Only after 10 seconds</t>
  </si>
  <si>
    <t>A player may throw the disc with one hand from the defensive zone to the offensive zone.</t>
  </si>
  <si>
    <t>What happens if the disc is thrown into the goal but out of bounds?</t>
  </si>
  <si>
    <t>A. There is no goal. B. Goal is given. C. Free throw for the opposing team D. Turnaround</t>
  </si>
  <si>
    <t>If the disc is thrown into the goal but out of bounds, no goal is awarded.</t>
  </si>
  <si>
    <t>How many points does a team get for a goal scored from inside the attacking zone?</t>
  </si>
  <si>
    <t>What happens if a player catches the disc but it goes out of bounds?</t>
  </si>
  <si>
    <t>If the player catches the disc but it goes out of bounds, it results in a turnover.</t>
  </si>
  <si>
    <t>Can a player throw the disc directly into the goal from the neutral zone?</t>
  </si>
  <si>
    <t>A. Yes B. No C. Only after 5 seconds D. Only if you don't object.</t>
  </si>
  <si>
    <t>A player is allowed to throw the disc directly into the goal from the neutral zone.</t>
  </si>
  <si>
    <t>What happens if the referee calls a timeout during the game?</t>
  </si>
  <si>
    <t>A. The game will stop immediately. B. Turnover for the opposing team C. Free throw for the opposing team D. Time out for the opposing team.</t>
  </si>
  <si>
    <t>The game will stop immediately.</t>
  </si>
  <si>
    <t>When the referee calls a timeout, the game stops immediately.</t>
  </si>
  <si>
    <t>What happens if a team scores a goal and the opposing team commits a foul?</t>
  </si>
  <si>
    <t>A. Foul is applied after the goal. B. The goal has been broken. C. Foul is applied before the goal. D. No impact on the goal</t>
  </si>
  <si>
    <t>Foul is applied after the goal.</t>
  </si>
  <si>
    <t>If a team scores a goal and the opposing team commits a foul, the foul is committed after the goal.</t>
  </si>
  <si>
    <t>What is the rule for throwing the discus from the center circle?</t>
  </si>
  <si>
    <t>A. Any player can throw. B. Only the player who touched the disc first wins. C. The opposing team throws. D. The team that loses the last point loses.</t>
  </si>
  <si>
    <t>Any player can throw.</t>
  </si>
  <si>
    <t>Any player may throw the disc from the center circle after a goal.</t>
  </si>
  <si>
    <t>What happens if one team uses a timeout while the other team has the disc?</t>
  </si>
  <si>
    <t>A. The game will stop immediately. B. Timeout only for the team in control of the ball C. It has been ignored for too long. D. Free throw for the opposing team</t>
  </si>
  <si>
    <t>If a team uses a timeout while the other team has the disc, the game stops immediately.</t>
  </si>
  <si>
    <t>What happens if a player touches the disc before it hits the ground?</t>
  </si>
  <si>
    <t>A. There is no penalty. B. Turnaround C. Free throw for the opposing team D. Goal is given.</t>
  </si>
  <si>
    <t>A player may touch the disc before it hits the ground without penalty.</t>
  </si>
  <si>
    <t>What is the rule for skipping to break the disc?</t>
  </si>
  <si>
    <t>A. Allowed at any time B. It is only allowed to stand with both feet on the ground. C. not allowed. D. Only with the judge's approval.</t>
  </si>
  <si>
    <t>Jumping to intercept the disc is allowed at any time.</t>
  </si>
  <si>
    <t>What happens if a player enters the neutral zone while holding the disc?</t>
  </si>
  <si>
    <t>Entering the neutral zone by holding the disc brings about a change.</t>
  </si>
  <si>
    <t>What happens if a goal is scored after the whistle is blown?</t>
  </si>
  <si>
    <t>A. The goal counts. B. The goal doesn't count. C. The game continues. D. For a late-fired bad deed</t>
  </si>
  <si>
    <t>The goal doesn't count.</t>
  </si>
  <si>
    <t>A goal scored after the sound of the loudspeaker does not count.</t>
  </si>
  <si>
    <t>Can a player use a head fake to pass the disc?</t>
  </si>
  <si>
    <t>A. Yes B. No C. Only if you don't object. D. Only after 10 seconds</t>
  </si>
  <si>
    <t>A player is allowed to use a head lie to pass the disc.</t>
  </si>
  <si>
    <t>What happens if a player catches the disc from an opponent?</t>
  </si>
  <si>
    <t>A. Bad B. Free throw for the opponent C. Turnaround D. There is no penalty.</t>
  </si>
  <si>
    <t>Bad</t>
  </si>
  <si>
    <t>It is considered bad form to snatch the disc from the opponents.</t>
  </si>
  <si>
    <t>What is the penalty for a team that violates the substitution rule?</t>
  </si>
  <si>
    <t>Violating the substitution rule will result in a bad warning.</t>
  </si>
  <si>
    <t>Can a player throw the discus with both hands while standing?</t>
  </si>
  <si>
    <t>A. Yes B. No C. Only after 10 seconds D. Only in the offensive zone</t>
  </si>
  <si>
    <t>A player may throw the discus with both hands while standing.</t>
  </si>
  <si>
    <t>A. Turnaround B. Bad warning C. Free throw for the opponent D. The goal is invalid.</t>
  </si>
  <si>
    <t>Going out of bounds when holding the disc will result in a change.</t>
  </si>
  <si>
    <t>What happens if the disc hits the ceiling during the game?</t>
  </si>
  <si>
    <t>A. Turnaround B. Free throw for the opposing team C. The game continues. D. The goal is invalid.</t>
  </si>
  <si>
    <t>If the disc hits the ceiling during the game, it will result in a turnover.</t>
  </si>
  <si>
    <t>What happens if a player catches the disc but drops it while jumping?</t>
  </si>
  <si>
    <t>A. Turnaround B. Bad warning C. Free throw for the opposing team D. Goal is given.</t>
  </si>
  <si>
    <t>It makes a difference if a player catches the disc but drops it while jumping.</t>
  </si>
  <si>
    <t>What happens if a team scores a timeout?</t>
  </si>
  <si>
    <t>A. The goal counts. B. The goal doesn't count. C. Bad warning for the team D. There is no penalty.</t>
  </si>
  <si>
    <t>A goal scored after the timeout whistle does not count.</t>
  </si>
  <si>
    <t>What happens if a player throws the disc but misses the goal area?</t>
  </si>
  <si>
    <t>A. Turnaround B. Free throw for the opposing team C. The goal has been broken. D. The game continues.</t>
  </si>
  <si>
    <t>It makes a difference if the player misses the goal area.</t>
  </si>
  <si>
    <t>Can a player throw the disc directly out of bounds?</t>
  </si>
  <si>
    <t>A. Yes, there is no penalty. B. Yes, a roundabout. C. No, the disk must remain within the limits. D. Only after 10 seconds</t>
  </si>
  <si>
    <t>Yes, a roundabout.</t>
  </si>
  <si>
    <t>Throwing out of bounds brings about change.</t>
  </si>
  <si>
    <t>What happens if a team fails to complete the task within the time limit?</t>
  </si>
  <si>
    <t>A. Turnaround B. Free throw for the opposing team C. Penalty kick for the opponent D. There is no penalty.</t>
  </si>
  <si>
    <t>Failure to make a pass within the time limit will result in a change.</t>
  </si>
  <si>
    <t>Can a player intercept the disc while it is in the air?</t>
  </si>
  <si>
    <t>A. Yes B. No C. Only if the player is in the neutral zone D. Only after 5 seconds</t>
  </si>
  <si>
    <t>A player is allowed to intercept the disc while it is in the air.</t>
  </si>
  <si>
    <t>What happens if a player steps over the goal line while attempting a goal?</t>
  </si>
  <si>
    <t>A. Bad B. Turnaround C. The goal has been broken. D. There is no penalty.</t>
  </si>
  <si>
    <t>Walking towards the goal line while attempting a goal is a foul.</t>
  </si>
  <si>
    <t>Can a player pass the disc using his head?</t>
  </si>
  <si>
    <t>A. Yes B. No C. Only if the opposing team allows it. D. Only with the judge's approval.</t>
  </si>
  <si>
    <t>It is not allowed to bend the disc with the head.</t>
  </si>
  <si>
    <t>What happens if the disc is thrown out of bounds during the timeout?</t>
  </si>
  <si>
    <t>A. There is no penalty. B. Turnaround C. Bad for game lag D. Free throw for the opposing team</t>
  </si>
  <si>
    <t>Throwing the disc out of bounds during a timeout does not result in any penalty.</t>
  </si>
  <si>
    <t>What happens if a player holds the disc for too long?</t>
  </si>
  <si>
    <t>Keeping the disc for a long time will cause a change.</t>
  </si>
  <si>
    <t>What happens if a team calls a timeout while the disc is in mid-air?</t>
  </si>
  <si>
    <t>A. The game will stop immediately. B. Turnaround C. Goal is given. D. Bad for being late.</t>
  </si>
  <si>
    <t>They play immediately after calling a timeout while the disc is in mid-air.</t>
  </si>
  <si>
    <t>Can a player use both hands to catch the disc?</t>
  </si>
  <si>
    <t>A. Yes B. No C. Only after 5 seconds D. Only in the isolation zone</t>
  </si>
  <si>
    <t>A player may use both hands to hold the disc.</t>
  </si>
  <si>
    <t>What happens if a player throws the discus and hits the referee?</t>
  </si>
  <si>
    <t>A. Turnaround B. Bad warning C. Free throw for the opposing team D. The goal has been broken.</t>
  </si>
  <si>
    <t>It makes a difference if the disc hits the referee.</t>
  </si>
  <si>
    <t>Can a player throw the disc with his hand?</t>
  </si>
  <si>
    <t>A. Yes B. No C. Only with the judge's approval. D. Only after 10 seconds</t>
  </si>
  <si>
    <t>A player is allowed to throw the disc with his hand.</t>
  </si>
  <si>
    <t>What happens if a player catches the disc outside the goal area?</t>
  </si>
  <si>
    <t>A. There is no goal. B. Turnaround C. Free throw for the opponent D. Goal is given.</t>
  </si>
  <si>
    <t>Holding the disc outside the goal area does not result in a goal.</t>
  </si>
  <si>
    <t>What happens if a team scores a point and the disc is thrown by the wrong player?</t>
  </si>
  <si>
    <t>A. There is no goal. B. Turnaround C. Goal is given. D. Bad warning</t>
  </si>
  <si>
    <t>A goal is not awarded if the disc is thrown by the wrong player.</t>
  </si>
  <si>
    <t>What happens if a team violates the substitution rule during a goal?</t>
  </si>
  <si>
    <t>A. Bad warning B. Turnaround C. The goal has been broken. D. Free throw for the opposing team</t>
  </si>
  <si>
    <t>Violating the substitution rule during a goal will result in a foul warning.</t>
  </si>
  <si>
    <t>Can a player throw the disc after it has gone out of bounds?</t>
  </si>
  <si>
    <t>A. Yes B. No C. Only with the judge's approval. D. Only in the isolation zone</t>
  </si>
  <si>
    <t>A player cannot throw the disc after it has gone out of bounds.</t>
  </si>
  <si>
    <t>What happens if a player catches the disc but his foot is out of bounds?</t>
  </si>
  <si>
    <t>A. Turnaround B. Free throw for the opposing team C. The goal is invalid. D. There is no penalty.</t>
  </si>
  <si>
    <t>Catching the disc with your foot out of bounds results in a turnover.</t>
  </si>
  <si>
    <t>What happens if a team scores a goal and commits a foul before the goal?</t>
  </si>
  <si>
    <t>A. The goal has been broken. B. Foul is applied after the goal. C. Foul is applied before the goal. D. There is no penalty.</t>
  </si>
  <si>
    <t>If a foul is committed before the goal, it is enforced before the goal.</t>
  </si>
  <si>
    <t>What is the penalty for a player who intentionally delays the game?</t>
  </si>
  <si>
    <t>A. Turnaround B. Bad warning C. Free throw for the opposing team D. Gives a goal to the opponent</t>
  </si>
  <si>
    <t>Intentionally delaying the game will result in a false warning.</t>
  </si>
  <si>
    <t>What happens if a player throws the disc into the goal area but no one catches it?</t>
  </si>
  <si>
    <t>Throwing the disc into the goal area without catching it makes a difference.</t>
  </si>
  <si>
    <t>Can a player catch the disc with their feet?</t>
  </si>
  <si>
    <t>A. Yes B. No C. Only with both feet D. Only after 10 seconds</t>
  </si>
  <si>
    <t>It is not allowed to hold the disc with the feet.</t>
  </si>
  <si>
    <t>What happens if a player catches the disc but it enters the neutral zone?</t>
  </si>
  <si>
    <t>A. Bad warning B. Turnaround C. Goal is given. D. There is no penalty.</t>
  </si>
  <si>
    <t>Entering the neutral zone after capturing the disk will result in a bad warning.</t>
  </si>
  <si>
    <t>Can a player throw the disc from the offensive zone to the neutral zone with one hand?</t>
  </si>
  <si>
    <t>A. Yes B. No C. Only if there is no objection D. Only with both hands</t>
  </si>
  <si>
    <t>A player is allowed to throw the disc with one hand from the attacking zone to the neutral zone.</t>
  </si>
  <si>
    <t>What happens if a player is caught dribbling the disc twice?</t>
  </si>
  <si>
    <t>A. Turnaround B. Bad warning C. Free throw for the opposing team D. The goal is invalid.</t>
  </si>
  <si>
    <t>Double-folding the disc will make a difference.</t>
  </si>
  <si>
    <t>What happens if the disc is thrown from the neutral zone but is intercepted?</t>
  </si>
  <si>
    <t>If the disc is stuck in the neutral zone, it will cause a change.</t>
  </si>
  <si>
    <t>Can a player pass the disc backward in the offensive zone?</t>
  </si>
  <si>
    <t>A. Yes B. No C. Only after 10 seconds D. Only with both hands</t>
  </si>
  <si>
    <t>A player is allowed to pass the disc backward in the offensive zone.</t>
  </si>
  <si>
    <t>What happens when a player elbows an opponent?</t>
  </si>
  <si>
    <t>A. Bad warning B. Turnaround C. Free throw for the opposing team D. The goal has been broken.</t>
  </si>
  <si>
    <t>Bowing to an opponent brings a bad warning.</t>
  </si>
  <si>
    <t>What happens if the disc is thrown behind the goal line but no player catches it?</t>
  </si>
  <si>
    <t>Throwing the disc behind the goal line makes a difference.</t>
  </si>
  <si>
    <t>Can a player pass the disc while lying down?</t>
  </si>
  <si>
    <t>A. Yes B. No C. With just one hand D. Only in the isolation zone</t>
  </si>
  <si>
    <t>A player can pass the disc while lying down.</t>
  </si>
  <si>
    <t>What happens if a player hits the disc during the game?</t>
  </si>
  <si>
    <t>A. Bad warning B. The goal has been broken. C. Turnaround D. Free throw for the opposing team</t>
  </si>
  <si>
    <t>Hitting the disc during play will result in a bad warning.</t>
  </si>
  <si>
    <t>Column 8</t>
  </si>
  <si>
    <t>What is the primary objective of the game in Sidama Wrestling?</t>
  </si>
  <si>
    <t>A. To pin the opponent's shoulders to the ground B. To throw the opponent out of the ring C. To lift an opponent off the ground D. To knock the opponent's head to the ground</t>
  </si>
  <si>
    <t>To pin the opponent's shoulders to the ground</t>
  </si>
  <si>
    <t>The goal is to achieve victory by pinning the opponent's shoulders to the ground.</t>
  </si>
  <si>
    <t>Which part of the body is connected to the ground to create a pin in Sidama wrestling?</t>
  </si>
  <si>
    <t>A. Shoulders B. The knees C. Back D. Head</t>
  </si>
  <si>
    <t>Shoulders</t>
  </si>
  <si>
    <t>A wrestler must pin their opponent's shoulder to the ground to win.</t>
  </si>
  <si>
    <t>What does it mean for the move to remove your competitor in Sidama Wrestling?</t>
  </si>
  <si>
    <t>A. Collision B. throw up C. throw up D. pick up</t>
  </si>
  <si>
    <t>pick up</t>
  </si>
  <si>
    <t>The act of lifting an opponent off the ground is called lifting in Sidama wrestling.</t>
  </si>
  <si>
    <t>How long does it take to count in Sidama Wrestling?</t>
  </si>
  <si>
    <t>A. 3 seconds B. 5 seconds C. 7 seconds D. 10 seconds</t>
  </si>
  <si>
    <t>3 seconds</t>
  </si>
  <si>
    <t>A wrestler must hold their opponent's shoulder for 3 seconds for a successful pin.</t>
  </si>
  <si>
    <t>What is the area where the Sidama Wrestling match takes place like?</t>
  </si>
  <si>
    <t>A. The carpet B. Sand pit C. Circle D. Ring</t>
  </si>
  <si>
    <t>Circle</t>
  </si>
  <si>
    <t>Sidama wrestling takes place in a circular area called the ring.</t>
  </si>
  <si>
    <t>Which of these actions is considered obscene in Sidama Wrestling?</t>
  </si>
  <si>
    <t>A. Grabbing the opponent's hair B. In progress. C. Posting the opponent D. To lift the opponent</t>
  </si>
  <si>
    <t>Grabbing the opponent's hair</t>
  </si>
  <si>
    <t>Holding hair is considered impolite and can lead to rejection.</t>
  </si>
  <si>
    <t>What is the first thing that should be done before a Sidama wrestling match starts?</t>
  </si>
  <si>
    <t>A. The fighters bow down. B. The referee announces the game. C. The fighters shake hands. D. The fighters respect each other.</t>
  </si>
  <si>
    <t>The fighters bow down.</t>
  </si>
  <si>
    <t>Before the match begins, the wrestlers bow to show respect.</t>
  </si>
  <si>
    <t>Which technique is prohibited in Sidama wrestling?</t>
  </si>
  <si>
    <t>A. Hitting the opponent B. Wiping feet C. Holding the opponent's hands D. Throwing the opponent on his back</t>
  </si>
  <si>
    <t>Hitting the opponent</t>
  </si>
  <si>
    <t>Hitting an opponent is prohibited and considered unsportsmanlike.</t>
  </si>
  <si>
    <t>What happens if a fighter touches the ground with his back, except during a pin?</t>
  </si>
  <si>
    <t>A. Lose points B. The opponent wins the game. C. The game continues. D. They will receive a warning.</t>
  </si>
  <si>
    <t>If a competitor touches their back, the match continues until a pin occurs.</t>
  </si>
  <si>
    <t>Which of the following positions is allowed in Sidama Wrestling?</t>
  </si>
  <si>
    <t>A. Sleeping on the stomach B. Lying on the back C. Stand up straight D. Kneel</t>
  </si>
  <si>
    <t>Stand up straight</t>
  </si>
  <si>
    <t>Fighters are allowed to stand upright to apply various techniques.</t>
  </si>
  <si>
    <t>What is the key feature of the Sidama Wrestling Belt?</t>
  </si>
  <si>
    <t>A. It is worn on the waist. B. Used for throwing methods C. The opening must be unlocked during the game. D. It is useful for holding the opponent by choking him.</t>
  </si>
  <si>
    <t>It is worn on the waist.</t>
  </si>
  <si>
    <t>A Sidama wrestling belt is worn around the waist and helps with various movements.</t>
  </si>
  <si>
    <t>What should a wrestler do to win in Sidama Wrestling?</t>
  </si>
  <si>
    <t>A. Pin the opponent's shoulder to the ground. B. Force the opponent out of the circle. C. They beat their opponent unconscious. D. Submit the opponent.</t>
  </si>
  <si>
    <t>Pin the opponent's shoulder to the ground.</t>
  </si>
  <si>
    <t>Victory is achieved when the opponent's shoulder is pinned to the ground for 3 seconds.</t>
  </si>
  <si>
    <t>Which of the following is not a permitted type of hold in Sidama Wrestling?</t>
  </si>
  <si>
    <t>A. Double overlap B. Hook C. Hair pulling D. Head lock</t>
  </si>
  <si>
    <t>Hair pulling</t>
  </si>
  <si>
    <t>Hair pulling is considered illegal in Sidama Wrestling.</t>
  </si>
  <si>
    <t>How many wrestlers compete in the Sidama Wrestling Tournament?</t>
  </si>
  <si>
    <t>A. two B. four C. five D. three</t>
  </si>
  <si>
    <t>A typical Sidama wrestling match was held between two wrestlers.</t>
  </si>
  <si>
    <t>What is the maximum weight for a lightweight wrestler in Sidama Wrestling?</t>
  </si>
  <si>
    <t>A. 65 kg B. 75 kg C. 85 kg D. 95 kg</t>
  </si>
  <si>
    <t>65 kg</t>
  </si>
  <si>
    <t>Lightweight wrestlers in Sidama Wrestling must weigh 65 kilograms or less.</t>
  </si>
  <si>
    <t>What is the main goal of the Sidama struggle?</t>
  </si>
  <si>
    <t>A. To entertain the audience B. To show strength C. To pin the opponent D. To present the opponent</t>
  </si>
  <si>
    <t>The goal is to pin the opponent's shoulder to the mat.</t>
  </si>
  <si>
    <t>Which part of the body is most often used for throwing in Sidama Wrestling?</t>
  </si>
  <si>
    <t>A. Feet B. Arms C. come back D. Neck</t>
  </si>
  <si>
    <t>Arms</t>
  </si>
  <si>
    <t>The arms are mainly used to throw and control the opponent.</t>
  </si>
  <si>
    <t>Which of the following is a common defensive strategy in Sidama Wrestling?</t>
  </si>
  <si>
    <t>A. Hitting the opponent B. Escape C. Head lock D. It beats with energy.</t>
  </si>
  <si>
    <t>Escape</t>
  </si>
  <si>
    <t>The escape is a defensive move to avoid being thrown or pinned.</t>
  </si>
  <si>
    <t>What is the most common place to start a throw?</t>
  </si>
  <si>
    <t>A. Side control B. Full load C. Clink D. Rear control</t>
  </si>
  <si>
    <t>Clink</t>
  </si>
  <si>
    <t>The clinch position is often used to set up throws in Sidama Wrestling.</t>
  </si>
  <si>
    <t>What is the first step when you face an opponent in Sidama Wrestling?</t>
  </si>
  <si>
    <t>A. Attack B. Start throwing. C. Prepare containers. D. Use symbols.</t>
  </si>
  <si>
    <t>Prepare containers.</t>
  </si>
  <si>
    <t>Grips are very important for controlling the opponent before applying techniques.</t>
  </si>
  <si>
    <t>What is the role of the referee in Sidama Wrestling?</t>
  </si>
  <si>
    <t>A. To help the fighters B. To give points C. To ensure safety and enforce regulations D. To determine the winner</t>
  </si>
  <si>
    <t>To ensure safety and enforce regulations</t>
  </si>
  <si>
    <t>The referee ensures fair play and safety during the game.</t>
  </si>
  <si>
    <t>Which of these is a prohibited act in Sidama Wrestling?</t>
  </si>
  <si>
    <t>A. To throw the opponent out of bounds B. Posting the opponent C. Grabbing the opponent's leg D. Attack with a shoulder charge</t>
  </si>
  <si>
    <t>Attack with a shoulder charge</t>
  </si>
  <si>
    <t>Shoulder charges that cause injury are not allowed in Sidama Wrestling.</t>
  </si>
  <si>
    <t>What happens if both wrestlers in Sidama Wrestling are equally matched?</t>
  </si>
  <si>
    <t>A. The match has stopped. B. The game ends in a draw. C. The referee called a timeout. D. The winner is determined by points.</t>
  </si>
  <si>
    <t>The game ends in a draw.</t>
  </si>
  <si>
    <t>If there is no clear winner, the game may end in a draw.</t>
  </si>
  <si>
    <t>What happens when a wrestler successfully executes a throw in Sidama Wrestling?</t>
  </si>
  <si>
    <t>A. They score points. B. They win automatically. C. They will receive punishment. D. They have been given a break.</t>
  </si>
  <si>
    <t>They score points.</t>
  </si>
  <si>
    <t>He throws successful punches, often bringing his opponent closer to victory.</t>
  </si>
  <si>
    <t>What is one way a wrestler can escape a pin?</t>
  </si>
  <si>
    <t>A. By removing the opponent B. By rolling pin C. by providing D. By hitting the opponent</t>
  </si>
  <si>
    <t>By rolling pin</t>
  </si>
  <si>
    <t>Getting out of a pin position is a common escape method.</t>
  </si>
  <si>
    <t>What part of the body should one target to successfully take down an opponent?</t>
  </si>
  <si>
    <t>A. Feet B. Shoulders C. come back D. Waist</t>
  </si>
  <si>
    <t>Waist</t>
  </si>
  <si>
    <t>Lifting the opponent by the waist allows for a controlled throw.</t>
  </si>
  <si>
    <t>What is a typical submission move in Sidama Wrestling?</t>
  </si>
  <si>
    <t>A. Armbar B. Foot lock C. Neck crutches D. nothing else</t>
  </si>
  <si>
    <t>nothing else</t>
  </si>
  <si>
    <t>Sidama's struggle does not typically involve surrender movements.</t>
  </si>
  <si>
    <t>Which of these grips is most commonly used in Sidama wrestling?</t>
  </si>
  <si>
    <t>A. Double hook B. Head lock C. Full Nelson D. Hug a bear</t>
  </si>
  <si>
    <t>Double hook</t>
  </si>
  <si>
    <t>The double-hook grip is typically used for control and setting up throws.</t>
  </si>
  <si>
    <t>Which move is used in Sidama Wrestling to break free from the opponent's grasp?</t>
  </si>
  <si>
    <t>A. Escape B. Download C. Escape package D. Judo throw jump</t>
  </si>
  <si>
    <t>Escape techniques are used to break free from congestion and to counter the movements of opponents.</t>
  </si>
  <si>
    <t>What should a wrestler do if he gets pinned in Sidama Wrestling?</t>
  </si>
  <si>
    <t>A. Call for help. B. Finish the game. C. Enter D. Escape or the match will end.</t>
  </si>
  <si>
    <t>Escape or the match will end.</t>
  </si>
  <si>
    <t>A wrestler must escape the pin or lose the match.</t>
  </si>
  <si>
    <t>What is one thing a fighter should avoid during the Sidama struggle?</t>
  </si>
  <si>
    <t>A. Reaching the feet B. Hitting the opponent's head C. Grabbing the opponent's shirt D. Holding the opponent's hands</t>
  </si>
  <si>
    <t>Hitting the opponent's head</t>
  </si>
  <si>
    <t>Headbutting is prohibited in Sidama wrestling.</t>
  </si>
  <si>
    <t>What is the role of the opponent's body position in Sidama Wrestling?</t>
  </si>
  <si>
    <t>A. To create offensive opportunities B. To block signals C. To confuse the opponent D. To control the opponent's balance</t>
  </si>
  <si>
    <t>To control the opponent's balance</t>
  </si>
  <si>
    <t>Fighters use body positioning to control the opponent's balance and set up throws.</t>
  </si>
  <si>
    <t>Which technique is illegal in Sidama Wrestling?</t>
  </si>
  <si>
    <t>A. Head B. Throwing the opponent by the neck C. Foot scrubbing D. Shoulder joint</t>
  </si>
  <si>
    <t>Head</t>
  </si>
  <si>
    <t>Head banging is not allowed as it can cause injury.</t>
  </si>
  <si>
    <t>What determines the winner of the Sidama wrestling match?</t>
  </si>
  <si>
    <t>A. The first to score B. The first to pin the opponent C. The warrior who remains standing D. A person who does a lot will be successful.</t>
  </si>
  <si>
    <t>The first to pin the opponent</t>
  </si>
  <si>
    <t>The match is fought by pinning the opponent's shoulders to the mat.</t>
  </si>
  <si>
    <t>How long does a Sidama wrestling match last?</t>
  </si>
  <si>
    <t>A. One round B. Two rounds C. Three rounds D. Five rounds</t>
  </si>
  <si>
    <t>One round</t>
  </si>
  <si>
    <t>Most matches last for one round, the duration of which is specified in the tournament rules.</t>
  </si>
  <si>
    <t>Which of these is not part of Sidama Wrestling?</t>
  </si>
  <si>
    <t>A. It throws B. Pins C. Submission includes D. Sweep</t>
  </si>
  <si>
    <t>Submission includes</t>
  </si>
  <si>
    <t>Submission holds are not typically part of Sidama wrestling techniques.</t>
  </si>
  <si>
    <t>What is the key to success in Sidama Wrestling?</t>
  </si>
  <si>
    <t>A. Size B. Speed C. Strength D. Techniques and time</t>
  </si>
  <si>
    <t>Techniques and time</t>
  </si>
  <si>
    <t>Good technique and perfect timing are more important than sheer strength.</t>
  </si>
  <si>
    <t>What is the most common move used to score points in Sidama Wrestling?</t>
  </si>
  <si>
    <t>A. To throw the opponent out of bounds B. Download C. Pin D. Escape</t>
  </si>
  <si>
    <t>Pin</t>
  </si>
  <si>
    <t>Pinning the opponent is the main way to score points.</t>
  </si>
  <si>
    <t>What body positions should be avoided to avoid injury in Sidama Wrestling?</t>
  </si>
  <si>
    <t>A. On the back B. On the side C. On your knees D. On the stomach</t>
  </si>
  <si>
    <t>On the back</t>
  </si>
  <si>
    <t>Being behind exposes the opponent to being pinned.</t>
  </si>
  <si>
    <t>What action can a fighter take if he is caught in the head?</t>
  </si>
  <si>
    <t>A. Enter B. Fight C. Hit D. Escape from the cage.</t>
  </si>
  <si>
    <t>Wrestlers can escape headlocks by using their body position and strength.</t>
  </si>
  <si>
    <t>Which of the following is not allowed in the Sidama struggle?</t>
  </si>
  <si>
    <t>A. Trying to wipe the feet B. Grabbing the opponent's shirt C. Pushing the opponent D. Grabbing the opponent's leg</t>
  </si>
  <si>
    <t>Grabbing the opponent's shirt</t>
  </si>
  <si>
    <t>It is illegal to wear a shirt or other clothing in Sidama wrestling.</t>
  </si>
  <si>
    <t>How can a wrestler regain control after being knocked out?</t>
  </si>
  <si>
    <t>A. By removing the opponent B. Using cables C. By performing a reverse D. By stopping and re-engaging</t>
  </si>
  <si>
    <t>By stopping and re-engaging</t>
  </si>
  <si>
    <t>Regaining control involves returning to a stable position and reengaging.</t>
  </si>
  <si>
    <t>Which skill is essential for the Sidama struggle?</t>
  </si>
  <si>
    <t>A. Flexibility B. Perseverance. C. Strength D. Balance and control</t>
  </si>
  <si>
    <t>Balance and control</t>
  </si>
  <si>
    <t>Maintaining balance and control is crucial to the success of Sidama Wrestling.</t>
  </si>
  <si>
    <t>What is the primary goal of Sidama Wrestling?</t>
  </si>
  <si>
    <t>A. To entertain the audience B. To control the opponent C. To pin the opponent D. To make the opponent buy</t>
  </si>
  <si>
    <t>The main goal is to pin the opponent's shoulder to the mat.</t>
  </si>
  <si>
    <t>Which method is most often used to get out of the clinic?</t>
  </si>
  <si>
    <t>A. Labor whipping B. Elbow strike C. Escape package D. Head lock</t>
  </si>
  <si>
    <t>Escape package</t>
  </si>
  <si>
    <t>An escape clause is a commonly used method for breaking free from a cliché.</t>
  </si>
  <si>
    <t>What kind of hold is necessary to control the opponent?</t>
  </si>
  <si>
    <t>A. Foot holding B. Clothes rack C. Wrist strap D. Hand grip</t>
  </si>
  <si>
    <t>Clothes rack</t>
  </si>
  <si>
    <t>Clothing restraints are commonly used to control the movements of opponents.</t>
  </si>
  <si>
    <t>What is the importance of the balance of opposition in the Sidama struggle?</t>
  </si>
  <si>
    <t>A. Not relevant. B. Helps control the match C. Decides the winner D. It's only for protection.</t>
  </si>
  <si>
    <t>Helps control the match</t>
  </si>
  <si>
    <t>Controlling the opponent's balance is crucial to setting up throws and pins.</t>
  </si>
  <si>
    <t>Which body part is not included in a Sidama wrestling throw?</t>
  </si>
  <si>
    <t>A. Arms B. Feet C. Neck D. come back</t>
  </si>
  <si>
    <t>Neck</t>
  </si>
  <si>
    <t>Although neck manipulation is used in some techniques, it is not commonly used in throwing.</t>
  </si>
  <si>
    <t>What is the correct position for a Sidama fighter?</t>
  </si>
  <si>
    <t>A. Cruel stance B. Neutral position C. Defensive stance D. Balanced position</t>
  </si>
  <si>
    <t>Balanced position</t>
  </si>
  <si>
    <t>Maintaining a balanced stance allows for both attack and defense in Sidama Wrestling.</t>
  </si>
  <si>
    <t>What happens if a wrestling shoulder is pinned to the mat for more than 3 seconds?</t>
  </si>
  <si>
    <t>A. The game continues. B. The opponent is not qualified. C. The opponent lost the match. D. The match goes into extra time.</t>
  </si>
  <si>
    <t>The opponent lost the match.</t>
  </si>
  <si>
    <t>A pin of 3 seconds or more results in a victory for the opponent.</t>
  </si>
  <si>
    <t>Which technique is considered a takedown in Sidama Wrestling?</t>
  </si>
  <si>
    <t>A. Throwing the opponent B. Download C. Escape package D. Body shaming</t>
  </si>
  <si>
    <t>An escape roll allows a wrestler to escape or gain control by reversing positions.</t>
  </si>
  <si>
    <t>What move can a fighter use to gain control after being thrown?</t>
  </si>
  <si>
    <t>A. Download B. Rear control C. Escape D. Submission</t>
  </si>
  <si>
    <t>Rear control</t>
  </si>
  <si>
    <t>Maintaining back control after a throw helps maintain dominance.</t>
  </si>
  <si>
    <t>What is the purpose of wrist control in Sidama Wrestling?</t>
  </si>
  <si>
    <t>A. To pin the opponent B. To get rid of the clutter C. To prepare presentations D. To prevent the opponent from escaping</t>
  </si>
  <si>
    <t>To prevent the opponent from escaping</t>
  </si>
  <si>
    <t>Wrist control is important to prevent the opponent from escaping or resisting.</t>
  </si>
  <si>
    <t>What position should a wrestler avoid when attempting a throw?</t>
  </si>
  <si>
    <t>A. Side control B. Head lock C. Clink D. on the floor</t>
  </si>
  <si>
    <t>on the floor</t>
  </si>
  <si>
    <t>Being on the ground reduces the chance of successfully executing the throw.</t>
  </si>
  <si>
    <t>What is the purpose of the Sidama wrestling game being outdated?</t>
  </si>
  <si>
    <t>A. To rest B. To make adjustments C. To discuss strategy D. To determine the winner</t>
  </si>
  <si>
    <t>To make adjustments</t>
  </si>
  <si>
    <t>Timeouts are used to make adjustments to a strategy or address security concerns.</t>
  </si>
  <si>
    <t>What happens if a wrestler fails to escape the pin in Sidama wrestling?</t>
  </si>
  <si>
    <t>A. The game continues. B. The opponent gets a penalty. C. The opponent wins. D. The fighter loses a point.</t>
  </si>
  <si>
    <t>Failure to escape the pin results in a victory for the opponent.</t>
  </si>
  <si>
    <t>What is the basic defensive move in Sidama Wrestling?</t>
  </si>
  <si>
    <t>A. Hit B. Pin C. Escape D. Submission</t>
  </si>
  <si>
    <t>Escape techniques are essential to prevent throws and pins.</t>
  </si>
  <si>
    <t>What is the role of the judge during the Sidama struggle?</t>
  </si>
  <si>
    <t>A. To help the fighters B. To give points C. To stop illegal activities D. To train the fighters</t>
  </si>
  <si>
    <t>To stop illegal activities</t>
  </si>
  <si>
    <t>The referee ensures that the game is fair and stops illegal actions during the game.</t>
  </si>
  <si>
    <t>Which of the following was not allowed in the Sidama struggle?</t>
  </si>
  <si>
    <t>A. throw up B. Sweep C. Kick D. Choke</t>
  </si>
  <si>
    <t>Choke</t>
  </si>
  <si>
    <t>Choking is prohibited as it can cause serious bodily harm.</t>
  </si>
  <si>
    <t>How can a wrestler resist an opponent's takedown attempt?</t>
  </si>
  <si>
    <t>A. Using an escape package B. By locking their legs C. By performing a reverse D. Maintaining balance</t>
  </si>
  <si>
    <t>By performing a reverse</t>
  </si>
  <si>
    <t>A successful reverse could turn the tables by resisting a takedown attempt.</t>
  </si>
  <si>
    <t>What is the primary difference between a throw and a sweep in Sidama Wrestling?</t>
  </si>
  <si>
    <t>A. Throws involve lifting, sweeping involves evading. B. Throwing involves tripping, sweeping involves lifting. C. Throwing involves jumping, and sweeping involves standing. D. Throwing is only defensive, sweeping is offensive.</t>
  </si>
  <si>
    <t>Throws involve lifting, sweeping involves evading.</t>
  </si>
  <si>
    <t>He throws, lifts his opponent, and sweeps, focusing on stability and stumbling.</t>
  </si>
  <si>
    <t>What should a fighter do if he gets caught in the head?</t>
  </si>
  <si>
    <t>A. Enter B. Fight C. Escape D. Shock</t>
  </si>
  <si>
    <t>The wrestler must escape the headlock by breaking the hold and using the handle.</t>
  </si>
  <si>
    <t>Which movement is typically used to transition from defense to offense?</t>
  </si>
  <si>
    <t>A. Pin B. Undo C. Escape D. Body shaming</t>
  </si>
  <si>
    <t>Undo</t>
  </si>
  <si>
    <t>The reversal turns a defensive position into an offensive opportunity.</t>
  </si>
  <si>
    <t>What happens if a wrestling foot touches the mat during a throw?</t>
  </si>
  <si>
    <t>A. The opponent wins. B. The throw is invalid. C. The throw is considered correct if it is made correctly. D. The match will start again.</t>
  </si>
  <si>
    <t>The throw is considered correct if it is made correctly.</t>
  </si>
  <si>
    <t>The throw is valid as long as it is executed correctly and the opponent is controlled.</t>
  </si>
  <si>
    <t>How are draws decided in Sidama Wrestling?</t>
  </si>
  <si>
    <t>A. In time B. In points C. By number of throws D. By decision of the judges</t>
  </si>
  <si>
    <t>In points</t>
  </si>
  <si>
    <t>If there is no winner, the game may end in a draw based on points.</t>
  </si>
  <si>
    <t>What action should be avoided to prevent punishment in Sidama Wrestling?</t>
  </si>
  <si>
    <t>A. Hit B. Head lock C. Downloads D. Kicks</t>
  </si>
  <si>
    <t>Hit</t>
  </si>
  <si>
    <t>Hitting an opponent in Sidama Wrestling is illegal and can lead to punishment.</t>
  </si>
  <si>
    <t>What is the correct position for the fighter to execute a successful takedown?</t>
  </si>
  <si>
    <t>A. On the side B. On the back C. On his feet D. On your knees</t>
  </si>
  <si>
    <t>On his feet</t>
  </si>
  <si>
    <t>Being on the feet allows for more movement and the opportunity to execute the takedown.</t>
  </si>
  <si>
    <t>What is the role of football in the Sidama struggle?</t>
  </si>
  <si>
    <t>A. To execute throws B. To control the opponent C. To move around the surface D. To avoid harm</t>
  </si>
  <si>
    <t>Walking is crucial for maintaining balance and controlling the opponent's movements.</t>
  </si>
  <si>
    <t>What happens if both wrestlers fall out of bounds in a Sidama fight?</t>
  </si>
  <si>
    <t>A. The match has stopped. B. The game continues. C. The fighter who starts the fall wins. D. The match has restarted.</t>
  </si>
  <si>
    <t>The match has stopped.</t>
  </si>
  <si>
    <t>The match is stopped and both wrestlers return to their positions.</t>
  </si>
  <si>
    <t>Which of these is not a typical Sidama wrestling throw?</t>
  </si>
  <si>
    <t>A. Hip thrust B. Body shaming C. Foot scrubbing D. Energy bomb</t>
  </si>
  <si>
    <t>Energy bomb</t>
  </si>
  <si>
    <t>The power bomb is not a well-known technique in Sidama Wrestling.</t>
  </si>
  <si>
    <t>What is the best defense against falling from opponents?</t>
  </si>
  <si>
    <t>A. Escape B. Jump C. Escape D. Fighting with the opposite sex</t>
  </si>
  <si>
    <t>Fighting with the opposite sex</t>
  </si>
  <si>
    <t>Countering with a counterattack can prevent the opponent from completing the takedown.</t>
  </si>
  <si>
    <t>What type of grip is used to initiate multiple throws in Sidama Wrestling?</t>
  </si>
  <si>
    <t>A. Neck strap B. Foot holding C. Clothes rack D. Wrist strap</t>
  </si>
  <si>
    <t>The clothesline is used to control the opponent and prepare for throws.</t>
  </si>
  <si>
    <t>Which move is commonly used to score points in Sidama Wrestling?</t>
  </si>
  <si>
    <t>A. Foot scrubbing B. Pin C. throw up D. Escape</t>
  </si>
  <si>
    <t>throw up</t>
  </si>
  <si>
    <t>A successful throw that lands the opponent on their back scores a point.</t>
  </si>
  <si>
    <t>What is the significance of the wrestling mat in the Sidama struggle?</t>
  </si>
  <si>
    <t>A. It's for safety's sake. B. Helps control activities C. It's for scoring. D. It is for decoration.</t>
  </si>
  <si>
    <t>It's for safety's sake.</t>
  </si>
  <si>
    <t>The mat is primarily used for safety purposes, to prevent injury when dropped.</t>
  </si>
  <si>
    <t>What should a wrestler focus on to dominate the game?</t>
  </si>
  <si>
    <t>A. Power B. Speed C. Control D. Strength</t>
  </si>
  <si>
    <t>Control</t>
  </si>
  <si>
    <t>Controlling the opponent's movements is key to controlling the game.</t>
  </si>
  <si>
    <t>A. To entertain the people B. To pin the opponent's shoulders to the mat C. To beat the opponent D. To escape from captivity</t>
  </si>
  <si>
    <t>To pin the opponent's shoulders to the mat</t>
  </si>
  <si>
    <t>The main objective is to pin the opponent's shoulders to the mat and secure victory.</t>
  </si>
  <si>
    <t>Which part of the body is most commonly used in Sidama wrestling throws?</t>
  </si>
  <si>
    <t>A. Feet B. Arms C. Neck D. Torso</t>
  </si>
  <si>
    <t>The arms are typically used to grab and move the opponent to throw them.</t>
  </si>
  <si>
    <t>Which of these is a typical Sidama struggle stance?</t>
  </si>
  <si>
    <t>A. A sad attitude B. Neutral position C. Side position D. High position</t>
  </si>
  <si>
    <t>Neutral position</t>
  </si>
  <si>
    <t>A neutral stance allows for flexibility and the ability to transition between offensive and defensive movements.</t>
  </si>
  <si>
    <t>What is the takedown in Sidama Wrestling?</t>
  </si>
  <si>
    <t>A. Jumping from a standing position B. Pinch method C. Delivery container D. Strike for the opposition</t>
  </si>
  <si>
    <t>Jumping from a standing position</t>
  </si>
  <si>
    <t>A takedown is a technique used to bring an opponent down from a standing position.</t>
  </si>
  <si>
    <t>What role do leg sweeps play in Sidama Wrestling?</t>
  </si>
  <si>
    <t>A. They are used for delivery. B. They destroy the opponent. C. They are used to pin the opponent. D. They help with hitting.</t>
  </si>
  <si>
    <t>They destroy the opponent.</t>
  </si>
  <si>
    <t>A leg sweep is designed to keep the opponent off balance and take them to the ground.</t>
  </si>
  <si>
    <t>What is the value of time in the Sidama struggle?</t>
  </si>
  <si>
    <t>A. Determines the strength of the throw B. Allows for effective counterattack C. Helps to execute submissions D. Not necessary</t>
  </si>
  <si>
    <t>Allows for effective counterattack</t>
  </si>
  <si>
    <t>Good timing helps the opponent to withstand attacks and control the game.</t>
  </si>
  <si>
    <t>Which part of the opponent's body is most often controlled in Sidama Wrestling?</t>
  </si>
  <si>
    <t>A. Arms B. Neck C. Head D. Feet</t>
  </si>
  <si>
    <t>Controlling the opponent's hands is key to setting up throws and submissions.</t>
  </si>
  <si>
    <t>What is the best way to escape a pin in a Sidama fight?</t>
  </si>
  <si>
    <t>A. By hitting B. Using an escape package C. By controlling the opponent's head D. by providing</t>
  </si>
  <si>
    <t>Using an escape package</t>
  </si>
  <si>
    <t>An escape package allows the fighter to break free from the position in which he is pinned.</t>
  </si>
  <si>
    <t>What is a cliché in Sidama Wrestling?</t>
  </si>
  <si>
    <t>A. Foot lock B. A wrestling match where both fighters are locked in a fight C. Throwing method D. Delivery container</t>
  </si>
  <si>
    <t>A wrestling match where both fighters are locked in a fight</t>
  </si>
  <si>
    <t>A clinch is when two wrestlers hold each other tightly, often preparing to throw.</t>
  </si>
  <si>
    <t>Which of these techniques is considered illegal in Sidama Wrestling?</t>
  </si>
  <si>
    <t>A. Labor whipping B. Elbow strike C. Choke D. throw up</t>
  </si>
  <si>
    <t>Choking is dangerous and can cause injury, so it is prohibited.</t>
  </si>
  <si>
    <t>How is throwing done in Sidama Wrestling?</t>
  </si>
  <si>
    <t>A. By lifting and spinning the opponent B. By wiping his feet C. By locking the opponent's hands D. By pushing the opponent out of the border</t>
  </si>
  <si>
    <t>By lifting and spinning the opponent</t>
  </si>
  <si>
    <t>The throw is performed by lifting and rotating the opponent in a controlled manner.</t>
  </si>
  <si>
    <t>What is the importance of maintaining balance in the Sidama struggle?</t>
  </si>
  <si>
    <t>A. Helps to execute throws B. The fighter can avoid failure. C. Helps prevent entries D. All of the above</t>
  </si>
  <si>
    <t>Maintaining a balance between attack and defense is key in Sidama Wrestling.</t>
  </si>
  <si>
    <t>What is the penalty for illegal activities in Sidama Wrestling?</t>
  </si>
  <si>
    <t>A. The fighter is incompetent. B. The opponent gets a point. C. The match has restarted. D. The opponent gets a warning.</t>
  </si>
  <si>
    <t>The fighter is incompetent.</t>
  </si>
  <si>
    <t>Illegal activities often result in disqualification or point deductions.</t>
  </si>
  <si>
    <t>What is a counter in Sidama Wrestling?</t>
  </si>
  <si>
    <t>A. A defensive move to turn the tables B. Delivery type C. Mounting type D. A way to beat the opponent</t>
  </si>
  <si>
    <t>A defensive move to turn the tables</t>
  </si>
  <si>
    <t>Counters are defensive moves that turn the tables and give the opponent an offensive advantage.</t>
  </si>
  <si>
    <t>What method is most commonly used to control an opponent's head?</t>
  </si>
  <si>
    <t>A. Head lock B. Armbar C. Foot lock D. Wrist lock</t>
  </si>
  <si>
    <t>Head lock</t>
  </si>
  <si>
    <t>A headlock is commonly used to control the opponent's head and neck.</t>
  </si>
  <si>
    <t>What is considered dominance in Sidama Wrestling?</t>
  </si>
  <si>
    <t>A. High place B. Bottom position C. Independent layout D. Side control</t>
  </si>
  <si>
    <t>High place</t>
  </si>
  <si>
    <t>The top position allows him to control his opponent and perform throws or pins.</t>
  </si>
  <si>
    <t>What is a common mistake in the Sidama struggle?</t>
  </si>
  <si>
    <t>A. Underestimating the opponent's strength B. Focus only on defense C. Ignoring the opponent's grip D. All of the above</t>
  </si>
  <si>
    <t>Mistakes include not focusing on the opponent's movement, holding on, or not being confident in defending.</t>
  </si>
  <si>
    <t>What actions should a Sidama wrestler avoid during a throw?</t>
  </si>
  <si>
    <t>A. pick up B. Over-commitment C. Hit D. plug in</t>
  </si>
  <si>
    <t>Over-commitment</t>
  </si>
  <si>
    <t>Over-throwing leads to loss of determination and leaves the opponent vulnerable.</t>
  </si>
  <si>
    <t>What is a good strategy in the Sidama struggle?</t>
  </si>
  <si>
    <t>A. Attack with force B. Oppose the opposition movement. C. Focus only on defense. D. Use force to control.</t>
  </si>
  <si>
    <t>Oppose the opposition movement.</t>
  </si>
  <si>
    <t>Countering the opponent's movement allows the opponent to switch from defense to offense.</t>
  </si>
  <si>
    <t>Which of these is a basic Sidama wrestling technique?</t>
  </si>
  <si>
    <t>A. Suplex B. Pin C. Escape package D. Storm surge</t>
  </si>
  <si>
    <t>Escape roll is a basic technique used to escape from being pinned or controlled.</t>
  </si>
  <si>
    <t>What is the best way to start downloading on Sidama Wrestling?</t>
  </si>
  <si>
    <t>A. By removing the opponent B. By wiping their feet C. By extending their endurance D. By hitting them</t>
  </si>
  <si>
    <t>By wiping their feet</t>
  </si>
  <si>
    <t>A leg sweep is often the most effective way to start a takedown by disorienting the opponent.</t>
  </si>
  <si>
    <t>What has changed in the Sidama struggle?</t>
  </si>
  <si>
    <t>A. Switching from defense to attack B. Delivery type C. Illegal action D. Download type</t>
  </si>
  <si>
    <t>Switching from defense to attack</t>
  </si>
  <si>
    <t>A reversal is when a wrestler changes from a defensive position to an offensive one.</t>
  </si>
  <si>
    <t>How does a Sidama wrestler typically end a game?</t>
  </si>
  <si>
    <t>A. By pinning the opponent B. By knocking out the opponent C. Escaping the clinic D. By surrendering the opponent</t>
  </si>
  <si>
    <t>The match typically ends with the opponent's shoulders pinned to the mat for a period of time.</t>
  </si>
  <si>
    <t>What is the key to winning a Sidama wrestling match?</t>
  </si>
  <si>
    <t>A. To weaken the opponent's strength. B. Executing a perfect throw C. Breaking the opponent's hold D. Controlling the opponent's movements</t>
  </si>
  <si>
    <t>Controlling the opponent's movements</t>
  </si>
  <si>
    <t>Controlling the opponent's movements allows the fighter to set the pace and win the match.</t>
  </si>
  <si>
    <t>Which grip is most often used to control the opponent's hands?</t>
  </si>
  <si>
    <t>A. Neck strap B. Clothes rack C. Wrist strap D. Foot holding</t>
  </si>
  <si>
    <t>Wrist strap</t>
  </si>
  <si>
    <t>A wrist hold helps control the opponent's hands and prevents escapes or counters.</t>
  </si>
  <si>
    <t>What is the purpose of using bodybuilding in Sidama Wrestling?</t>
  </si>
  <si>
    <t>A. To hurt the opponent B. To control the opponent's movements C. To push the opponent out of bounds D. To break the opponent's grip</t>
  </si>
  <si>
    <t>To control the opponent's movements</t>
  </si>
  <si>
    <t>Body slams are used to break an opponent's balance and control their movements.</t>
  </si>
  <si>
    <t>What is the first step to learning Sidama wrestling?</t>
  </si>
  <si>
    <t>A. Masters Strike B. Learning basic throws C. Construction strength D. Understanding the rules</t>
  </si>
  <si>
    <t>Learning basic throws</t>
  </si>
  <si>
    <t>Mastering basic throws is the foundation of Sidama Wrestling.</t>
  </si>
  <si>
    <t>How does a Sidama fighter get free from the clutches?</t>
  </si>
  <si>
    <t>A. By hitting B. By executing a quick throw C. Using a wrist lock D. Using foot pads</t>
  </si>
  <si>
    <t>By executing a quick throw</t>
  </si>
  <si>
    <t>Breaking away from clichés often requires quick and decisive throwing techniques.</t>
  </si>
  <si>
    <t>A. To get points B. To enforce the rules C. To train the fighters D. To provide medical assistance</t>
  </si>
  <si>
    <t>To enforce the rules</t>
  </si>
  <si>
    <t>The referee ensures that the game is fair and safe by enforcing the rules.</t>
  </si>
  <si>
    <t>What action is required to secure a pin in Sidama Wrestling?</t>
  </si>
  <si>
    <t>A. Both shoulders on the mat B. The opponent presents C. The opponent went outside. D. The opponent was knocked unconscious.</t>
  </si>
  <si>
    <t>Both shoulders on the mat</t>
  </si>
  <si>
    <t>Both of the opponent's shoulders must be on the mat for a certain amount of time to secure a pin.</t>
  </si>
  <si>
    <t>What is the common starting point in Sidama Wrestling?</t>
  </si>
  <si>
    <t>A. Standing position B. Kneeling position C. Seating arrangement D. False position</t>
  </si>
  <si>
    <t>Standing position</t>
  </si>
  <si>
    <t>Wrestlers often start in a standing position, preparing for their first move.</t>
  </si>
  <si>
    <t>What does it take to be successful in Sidama Wrestling?</t>
  </si>
  <si>
    <t>A. Strength and balance B. Speed ​​and agility C. Delivery ability D. Defensive skills</t>
  </si>
  <si>
    <t>Strength and balance</t>
  </si>
  <si>
    <t>A successful takedown requires a good combination of strength and balance to defeat the opponent.</t>
  </si>
  <si>
    <t>What is the role of wrist control in Sidama wrestling?</t>
  </si>
  <si>
    <t>A. To execute throws and catches B. To avoid being pinned C. To increase strength D. To maintain strength</t>
  </si>
  <si>
    <t>To execute throws and catches</t>
  </si>
  <si>
    <t>Wrist control is crucial for executing various throws and maintaining dominance.</t>
  </si>
  <si>
    <t>Which method is most commonly used to escape submission in Sidama Wrestling?</t>
  </si>
  <si>
    <t>A. Escape package B. Foot scrubbing C. Head lock D. Spinning back fist</t>
  </si>
  <si>
    <t>An escape package is a method used to break free from various delivery containers.</t>
  </si>
  <si>
    <t>How do Sidama wrestlers typically finish a match?</t>
  </si>
  <si>
    <t>A. By pinning the opponent B. By knocking them down C. By submitting D. By throwing it out of the ring</t>
  </si>
  <si>
    <t>A Sidama wrestling match ends when one wrestler pins their opponent's shoulder to the mat.</t>
  </si>
  <si>
    <t>A. To increase strength B. To throw the opponent off balance. C. To prevent throwing D. To execute the delivery</t>
  </si>
  <si>
    <t>To throw the opponent off balance.</t>
  </si>
  <si>
    <t>Foot sweeps are designed to disorient the opponent and set up other moves.</t>
  </si>
  <si>
    <t>What steps need to be taken to avoid the problems that have befallen Sidama Wrestling?</t>
  </si>
  <si>
    <t>A. Foot scrubbing B. Foot lock C. Armbar D. Escape package</t>
  </si>
  <si>
    <t>Escaping a cliché often requires an escape package or similar method to break free.</t>
  </si>
  <si>
    <t>What does the Sidama wrestling term 'taking down' refer to?</t>
  </si>
  <si>
    <t>A. Delivery container B. Preventive action C. A method of bringing an opponent to the ground D. Pinch method</t>
  </si>
  <si>
    <t>A method of bringing an opponent to the ground</t>
  </si>
  <si>
    <t>A takedown is a move to bring an opponent down from the ground.</t>
  </si>
  <si>
    <t>What is the most common method used to break an opponent's hand in Sidama Wrestling?</t>
  </si>
  <si>
    <t>A. Fight. B. Submission includes C. Choke D. Labor whipping</t>
  </si>
  <si>
    <t>Fight.</t>
  </si>
  <si>
    <t>Grappling is crucial to prevent your opponent from controlling your movements.</t>
  </si>
  <si>
    <t>What is the main focus of Sidama Wrestling training?</t>
  </si>
  <si>
    <t>A. Speed B. Strength C. Technique D. Endurance</t>
  </si>
  <si>
    <t>Technique</t>
  </si>
  <si>
    <t>The main focus is on mastering the various techniques needed to control and defeat the opponent.</t>
  </si>
  <si>
    <t>Which of the following is a common submission technique in Sidama wrestling?</t>
  </si>
  <si>
    <t>A. Armbar B. Triangle choke C. Head lock D. Facial appearance</t>
  </si>
  <si>
    <t>A headlock is a common submission hold used to control an opponent.</t>
  </si>
  <si>
    <t>How does a wrestler execute a successful throw in Sidama Wrestling?</t>
  </si>
  <si>
    <t>A. By using leg sweeps B. By overpowering the opponent's body C. By maintaining a strong grip on the opponent D. By jumping</t>
  </si>
  <si>
    <t>By overpowering the opponent's body</t>
  </si>
  <si>
    <t>Throws are executed by using leverage and controlling the opponent’s body to gain the advantage.</t>
  </si>
  <si>
    <t>In Sidama Wrestling, what does a counter technique refer to?</t>
  </si>
  <si>
    <t>A. A submission move B. A defensive move to reverse the attack C. A strike to the opponent D. A leg lock</t>
  </si>
  <si>
    <t>A defensive move to reverse the attack</t>
  </si>
  <si>
    <t>Counters involve using the opponent’s momentum against them to gain control.</t>
  </si>
  <si>
    <t>What is a common mistake that beginners make in Sidama Wrestling?</t>
  </si>
  <si>
    <t>A. Overcommitting to offensive moves B. Focusing too much on defense C. Neglecting footwork D. Lack of strength</t>
  </si>
  <si>
    <t>Overcommitting to offensive moves</t>
  </si>
  <si>
    <t>Beginners often overcommit to attacks and leave themselves vulnerable to counters.</t>
  </si>
  <si>
    <t>Which action is a wrestler allowed to do to break free from a pin in Sidama Wrestling?</t>
  </si>
  <si>
    <t>A. Submit B. Strike the opponent C. Escape roll D. Knee the opponent</t>
  </si>
  <si>
    <t>Escape roll</t>
  </si>
  <si>
    <t>To break free from a pin, a wrestler can use the escape roll technique.</t>
  </si>
  <si>
    <t>What is the role of stamina in Sidama Wrestling?</t>
  </si>
  <si>
    <t>A. It helps wrestlers execute more aggressive moves B. It helps maintain energy for longer matches C. It is not very important D. It only helps in defense</t>
  </si>
  <si>
    <t>It helps maintain energy for longer matches</t>
  </si>
  <si>
    <t>Stamina is essential for maintaining energy throughout the match, especially in longer bouts.</t>
  </si>
  <si>
    <t>What is the purpose of using a wrist lock in Sidama Wrestling?</t>
  </si>
  <si>
    <t>A. To control the opponent’s movements B. To gain a pinning advantage C. To force a submission D. To create space</t>
  </si>
  <si>
    <t>To control the opponent’s movements</t>
  </si>
  <si>
    <t>A wrist lock allows the wrestler to manipulate the opponent’s arms and set up throws or pins.</t>
  </si>
  <si>
    <t>Which position is considered advantageous in Sidama Wrestling?</t>
  </si>
  <si>
    <t>A. Top position B. Bottom position C. Side position D. Neutral position</t>
  </si>
  <si>
    <t>Top position</t>
  </si>
  <si>
    <t>The top position allows a wrestler to have control over the opponent and execute throws or pins.</t>
  </si>
  <si>
    <t>How do Sidama wrestlers defend against a takedown?</t>
  </si>
  <si>
    <t>A. By performing a counterthrow B. By maintaining good posture C. By avoiding eye contact D. By submitting the opponent</t>
  </si>
  <si>
    <t>By maintaining good posture</t>
  </si>
  <si>
    <t>Defending a takedown requires proper posture and balance to avoid being taken down.</t>
  </si>
  <si>
    <t>What is an arm drag in Sidama Wrestling?</t>
  </si>
  <si>
    <t>A. A submission hold B. A type of takedown C. A movement to pull the opponent’s arm across the body D. A throw</t>
  </si>
  <si>
    <t>A movement to pull the opponent’s arm across the body</t>
  </si>
  <si>
    <t>An arm drag is a move where a wrestler uses their opponent’s arm to pull them off balance and into a better position.</t>
  </si>
  <si>
    <t>Which type of grip is essential for successful Sidama Wrestling?</t>
  </si>
  <si>
    <t>A. Wrist grip B. Neck grip C. Body lock D. Leg hold</t>
  </si>
  <si>
    <t>Wrist grip</t>
  </si>
  <si>
    <t>A wrist grip is crucial for controlling the opponent and setting up various techniques.</t>
  </si>
  <si>
    <t>In Sidama Wrestling, what is the importance of timing?</t>
  </si>
  <si>
    <t>A. To execute throws at the right moment B. To confuse the opponent C. To win by speed alone D. To avoid injury</t>
  </si>
  <si>
    <t>To execute throws at the right moment</t>
  </si>
  <si>
    <t>Timing is critical for executing throws and counters at the most effective moment.</t>
  </si>
  <si>
    <t>What is the most common mistake when executing a throw in Sidama Wrestling?</t>
  </si>
  <si>
    <t>A. Lack of proper grip B. Not using enough speed C. Overreliance on strength D. Misjudging the opponent’s movements</t>
  </si>
  <si>
    <t>Lack of proper grip</t>
  </si>
  <si>
    <t>A lack of proper grip can cause a throw to fail or leave the wrestler vulnerable to counters.</t>
  </si>
  <si>
    <t>What is the purpose of a body lock in Sidama Wrestling?</t>
  </si>
  <si>
    <t>A. To control the opponent’s torso B. To break the opponent’s arms C. To escape from a submission hold D. To increase strength</t>
  </si>
  <si>
    <t>To control the opponent’s torso</t>
  </si>
  <si>
    <t>A body lock allows the wrestler to control the opponent’s upper body and prevent escapes.</t>
  </si>
  <si>
    <t>What does 'pinning' refer to in Sidama Wrestling?</t>
  </si>
  <si>
    <t>A. Holding the opponent’s shoulders to the mat B. Submitting the opponent C. Lifting the opponent D. Throwing the opponent out of the ring</t>
  </si>
  <si>
    <t>Holding the opponent’s shoulders to the mat</t>
  </si>
  <si>
    <t>Pinning involves holding the opponent's shoulders on the mat for a certain period to win the match.</t>
  </si>
  <si>
    <t>How do Sidama wrestlers typically win a match?</t>
  </si>
  <si>
    <t>A. By knocking out the opponent B. By pinning both shoulders to the mat C. By submitting the opponent D. By outlasting the opponent’s stamina</t>
  </si>
  <si>
    <t>By pinning both shoulders to the mat</t>
  </si>
  <si>
    <t>A win is achieved by pinning the opponent’s shoulders to the mat for a designated time.</t>
  </si>
  <si>
    <t>Which defensive technique is often used in Sidama Wrestling?</t>
  </si>
  <si>
    <t>A. Leg sweep B. Escape roll C. Headlock D. Submission</t>
  </si>
  <si>
    <t>The escape roll is a key defensive technique for breaking free from a pin or other holds.</t>
  </si>
  <si>
    <t>What does Sidama Wrestling emphasize the most in its training?</t>
  </si>
  <si>
    <t>A. Speed and power B. Flexibility and endurance C. Strength and technique D. Conditioning and stamina</t>
  </si>
  <si>
    <t>Strength and technique</t>
  </si>
  <si>
    <t>Sidama Wrestling places a strong emphasis on developing both strength and technical proficiency.</t>
  </si>
  <si>
    <t>Which of the following is a commonly used Sidama Wrestling grip?</t>
  </si>
  <si>
    <t>A. Overhand grip B. Underhand grip C. Palm grip D. Double wrist grip</t>
  </si>
  <si>
    <t>Double wrist grip</t>
  </si>
  <si>
    <t>The double wrist grip is a common method used to control the opponent’s hands and set up throws.</t>
  </si>
  <si>
    <t>What is the main goal when executing a throw in Sidama Wrestling?</t>
  </si>
  <si>
    <t>A. To knock the opponent out B. To bring the opponent to the ground C. To submit the opponent D. To execute a pin</t>
  </si>
  <si>
    <t>To bring the opponent to the ground</t>
  </si>
  <si>
    <t>The main goal is to bring the opponent to the ground in a controlled manner to set up a pin.</t>
  </si>
  <si>
    <t>What is the primary objective of Sidama Wrestling?</t>
  </si>
  <si>
    <t>A. To pin the opponent's shoulders to the mat B. To knock the opponent out C. To submit the opponent D. To force the opponent to tap out</t>
  </si>
  <si>
    <t>The primary goal is to pin both of the opponent's shoulders to the mat.</t>
  </si>
  <si>
    <t>In Sidama Wrestling, which area of the body is most commonly targeted for throws?</t>
  </si>
  <si>
    <t>A. Arms B. Legs C. Neck D. Torso</t>
  </si>
  <si>
    <t>Torso</t>
  </si>
  <si>
    <t>The torso is often the focus for throws due to its central location and control.</t>
  </si>
  <si>
    <t>What is the role of a clinch in Sidama Wrestling?</t>
  </si>
  <si>
    <t>A. To control the opponent's movements B. To prepare for a takedown C. To rest and regain energy D. To execute submissions</t>
  </si>
  <si>
    <t>The clinch allows the wrestler to control the opponent’s body and set up other techniques.</t>
  </si>
  <si>
    <t>Which of the following is a commonly used grip in Sidama Wrestling?</t>
  </si>
  <si>
    <t>A. Double leg grip B. Overhand grip C. Double wrist grip D. Underhand grip</t>
  </si>
  <si>
    <t>The double wrist grip is commonly used to control the opponent’s arms and set up throws.</t>
  </si>
  <si>
    <t>Which technique in Sidama Wrestling is used to maintain control over an opponent's torso?</t>
  </si>
  <si>
    <t>A. Arm drag B. Body lock C. Leg sweep D. Headlock</t>
  </si>
  <si>
    <t>Body lock</t>
  </si>
  <si>
    <t>The body lock is a key technique for controlling the opponent’s torso and preventing escapes.</t>
  </si>
  <si>
    <t>In Sidama Wrestling, what is the significance of proper footwork?</t>
  </si>
  <si>
    <t>A. It helps in executing throws and takedowns B. It is only important for defensive moves C. It improves the wrestler's endurance D. It prevents injuries</t>
  </si>
  <si>
    <t>It helps in executing throws and takedowns</t>
  </si>
  <si>
    <t>Good footwork is essential for balance, timing, and executing techniques effectively.</t>
  </si>
  <si>
    <t>How is Sidama Wrestling different from other forms of wrestling?</t>
  </si>
  <si>
    <t>A. It emphasizes takedowns and pinning B. It focuses only on submission holds C. It uses a ring for matches D. It prohibits any form of clinching</t>
  </si>
  <si>
    <t>It emphasizes takedowns and pinning</t>
  </si>
  <si>
    <t>Sidama Wrestling is known for its focus on takedowns and achieving pins.</t>
  </si>
  <si>
    <t>What type of training is commonly included in Sidama Wrestling preparation?</t>
  </si>
  <si>
    <t>A. Strength training and technique drills B. Cardio and endurance training C. Speed drills and agility training D. Flexibility and stretching exercises</t>
  </si>
  <si>
    <t>Strength training and technique drills</t>
  </si>
  <si>
    <t>Sidama Wrestling preparation includes a combination of strength training and technique practice.</t>
  </si>
  <si>
    <t>A. To execute takedowns and throws B. To tire out the opponent C. To lock the opponent's arms D. To prevent the opponent from escaping</t>
  </si>
  <si>
    <t>To execute takedowns and throws</t>
  </si>
  <si>
    <t>Wrist control is crucial for maintaining dominance and setting up throws.</t>
  </si>
  <si>
    <t>In Sidama Wrestling, which of the following is a common way to escape a pin?</t>
  </si>
  <si>
    <t>A. Rolling escape B. Foot sweep C. Neck crank D. Backflip</t>
  </si>
  <si>
    <t>Rolling escape</t>
  </si>
  <si>
    <t>A rolling escape allows the wrestler to break free from a pin and regain control.</t>
  </si>
  <si>
    <t>What does a successful takedown in Sidama Wrestling involve?</t>
  </si>
  <si>
    <t>A. Lifting the opponent off the ground B. Throwing the opponent onto the mat C. Pinning the opponent D. Using a submission hold</t>
  </si>
  <si>
    <t>Throwing the opponent onto the mat</t>
  </si>
  <si>
    <t>A successful takedown involves using leverage to bring the opponent to the mat.</t>
  </si>
  <si>
    <t>Which defensive technique can a Sidama wrestler use to counter a takedown?</t>
  </si>
  <si>
    <t>A. Foot sweep B. Leg lock C. Body lock D. Headlock</t>
  </si>
  <si>
    <t>A body lock can be used defensively to control the opponent during a takedown attempt.</t>
  </si>
  <si>
    <t>In Sidama Wrestling, what is the role of a leg sweep?</t>
  </si>
  <si>
    <t>A. To destabilize the opponent B. To submit the opponent C. To break the opponent’s grip D. To increase stamina</t>
  </si>
  <si>
    <t>To destabilize the opponent</t>
  </si>
  <si>
    <t>Leg sweeps are often used to off-balance an opponent and create opportunities for throws.</t>
  </si>
  <si>
    <t>What does 'throwing' refer to in Sidama Wrestling?</t>
  </si>
  <si>
    <t>A. Taking the opponent down by force B. Hitting the opponent C. Tapping the opponent D. Making the opponent submit</t>
  </si>
  <si>
    <t>Taking the opponent down by force</t>
  </si>
  <si>
    <t>Throwing involves using leverage to bring the opponent to the mat from a standing position.</t>
  </si>
  <si>
    <t>What is the term for a technique used to break the opponent's grip in Sidama Wrestling?</t>
  </si>
  <si>
    <t>A. Grip fighting B. Neck crank C. Leg sweep D. Escape roll</t>
  </si>
  <si>
    <t>Grip fighting</t>
  </si>
  <si>
    <t>Grip fighting is used to break or prevent the opponent from establishing strong control.</t>
  </si>
  <si>
    <t>Which area of the body does Sidama Wrestling focus on for takedowns?</t>
  </si>
  <si>
    <t>A. Legs and torso B. Arms and neck C. Head and back D. Legs and feet</t>
  </si>
  <si>
    <t>Legs and torso</t>
  </si>
  <si>
    <t>Takedowns in Sidama Wrestling typically focus on using the legs and torso to bring the opponent down.</t>
  </si>
  <si>
    <t>What is the key principle behind Sidama Wrestling techniques?</t>
  </si>
  <si>
    <t>A. Leverage and timing B. Strength and power C. Speed and agility D. Endurance and stamina</t>
  </si>
  <si>
    <t>Leverage and timing</t>
  </si>
  <si>
    <t>The effectiveness of Sidama Wrestling techniques is based on using leverage and precise timing.</t>
  </si>
  <si>
    <t>Which technique is often used in Sidama Wrestling to counter a headlock?</t>
  </si>
  <si>
    <t>A. Escape roll B. Arm drag C. Knee strike D. Body lock</t>
  </si>
  <si>
    <t>An escape roll can help a wrestler break free from a headlock and regain control.</t>
  </si>
  <si>
    <t>What is the purpose of a takedown in Sidama Wrestling?</t>
  </si>
  <si>
    <t>A. To bring the opponent to the ground B. To submit the opponent C. To score points D. To confuse the opponent</t>
  </si>
  <si>
    <t>A takedown is meant to bring the opponent from a standing position to the mat.</t>
  </si>
  <si>
    <t>Which Sidama Wrestling technique can be used to increase offensive pressure?</t>
  </si>
  <si>
    <t>A. Choking B. Grip fighting C. Takedown D. Defensive counter</t>
  </si>
  <si>
    <t>Takedown</t>
  </si>
  <si>
    <t>Executing a successful takedown increases offensive pressure by putting the opponent on the defensive.</t>
  </si>
  <si>
    <t>What role does timing play in executing a throw in Sidama Wrestling?</t>
  </si>
  <si>
    <t>A. Timing ensures that the throw is successful and effective B. Timing allows for a faster pin C. Timing helps in escaping D. Timing is not essential</t>
  </si>
  <si>
    <t>Timing ensures that the throw is successful and effective</t>
  </si>
  <si>
    <t>The right timing is essential for executing a throw at the perfect moment.</t>
  </si>
  <si>
    <t>What is the role of the neck in Sidama Wrestling?</t>
  </si>
  <si>
    <t>A. It is the target for submission holds B. It is a key area to control for throws C. It is a point of leverage for defensive moves D. It is not an important area</t>
  </si>
  <si>
    <t>It is a key area to control for throws</t>
  </si>
  <si>
    <t>The neck is an important area for controlling the opponent and setting up throws.</t>
  </si>
  <si>
    <t>What is an arm drag in Sidama Wrestling used for?</t>
  </si>
  <si>
    <t>A. To break the opponent’s grip B. To execute a takedown C. To control the opponent’s torso D. To maintain stamina</t>
  </si>
  <si>
    <t>To break the opponent’s grip</t>
  </si>
  <si>
    <t>An arm drag is a technique used to manipulate the opponent’s arm to create space or set up a move.</t>
  </si>
  <si>
    <t>Which of the following is a Sidama Wrestling technique for escaping a pin?</t>
  </si>
  <si>
    <t>A. Escape roll B. Neck crank C. Leg lock D. Chokehold</t>
  </si>
  <si>
    <t>The escape roll is one of the most common techniques for breaking free from a pin.</t>
  </si>
  <si>
    <t>What is a key aspect of Sidama Wrestling defense?</t>
  </si>
  <si>
    <t>A. Footwork and body positioning B. Speed and endurance C. Strength and submission techniques D. Aggression and dominance</t>
  </si>
  <si>
    <t>Footwork and body positioning</t>
  </si>
  <si>
    <t>Proper footwork and body positioning are essential to defending against takedowns and throws.</t>
  </si>
  <si>
    <t>In Sidama Wrestling, which grip is crucial for executing effective throws?</t>
  </si>
  <si>
    <t>A. Double wrist grip B. Underhand grip C. Leg grip D. Palm grip</t>
  </si>
  <si>
    <t>The double wrist grip is commonly used to control the opponent’s arms and create throw opportunities.</t>
  </si>
  <si>
    <t>What is the first step in executing a successful takedown in Sidama Wrestling?</t>
  </si>
  <si>
    <t>A. Establish control of the opponent’s body B. Gain wrist control C. Take down the opponent’s legs D. Use a submission hold</t>
  </si>
  <si>
    <t>Establish control of the opponent’s body</t>
  </si>
  <si>
    <t>Establishing control over the opponent’s body is the key to a successful takedown.</t>
  </si>
  <si>
    <t>How is Sidama Wrestling scored?</t>
  </si>
  <si>
    <t>A. Based on successful takedowns and pins B. By submission holds only C. Based on speed and agility D. By endurance and stamina</t>
  </si>
  <si>
    <t>Based on successful takedowns and pins</t>
  </si>
  <si>
    <t>Scoring in Sidama Wrestling is primarily based on achieving takedowns and pins.</t>
  </si>
  <si>
    <t>What is a crucial skill in Sidama Wrestling?</t>
  </si>
  <si>
    <t>A. Balance and body control B. Powerlifting C. Choking techniques D. Submission mastery</t>
  </si>
  <si>
    <t>Balance and body control</t>
  </si>
  <si>
    <t>Balance and body control are essential for executing throws and defending effectively.</t>
  </si>
  <si>
    <t>In Sidama Wrestling, what should a wrestler do after executing a successful takedown?</t>
  </si>
  <si>
    <t>A. Move quickly to a pinning position B. Escape to avoid being pinned C. Stand up to reset D. Submit the opponent</t>
  </si>
  <si>
    <t>Move quickly to a pinning position</t>
  </si>
  <si>
    <t>After a successful takedown, the wrestler should immediately transition to a pinning position to secure the win.</t>
  </si>
  <si>
    <t>What is the main purpose of a chart?</t>
  </si>
  <si>
    <t>A. To capture the opponent's seeds B. To fill all the holes with seeds C. To empty your wells first D. To suppress the activities of the opposition</t>
  </si>
  <si>
    <t>To capture the opponent's seeds</t>
  </si>
  <si>
    <t>The goal is to capture more seeds than the opponent.</t>
  </si>
  <si>
    <t>What is the name of the large hole at the end of each row in the chart?</t>
  </si>
  <si>
    <t>A. Warehouse B. House hole C. If you don't have D. Depot</t>
  </si>
  <si>
    <t>Warehouse</t>
  </si>
  <si>
    <t>The large pit called the storehouse collects captured seeds.</t>
  </si>
  <si>
    <t>What happens when a player's seed lands in an empty hole on their side?</t>
  </si>
  <si>
    <t>A. The turn ends. B. The player takes the seed. C. The player gets another round. D. The seeds are gone.</t>
  </si>
  <si>
    <t>The player takes the seed.</t>
  </si>
  <si>
    <t>If a seed lands in an empty hole, the player picks up the seeds on the opposite side.</t>
  </si>
  <si>
    <t>How does a player win at the table?</t>
  </si>
  <si>
    <t>A. Because there are many seeds B. Emptying all the holes C. By blocking activities D. By collecting 20 seeds</t>
  </si>
  <si>
    <t>Because there are many seeds</t>
  </si>
  <si>
    <t>The winner depends on who has the most seeds.</t>
  </si>
  <si>
    <t>What is the result if both players have the same number of seeds at the end?</t>
  </si>
  <si>
    <t>A. Draw B. Rematch C. Both win. D. The game continues.</t>
  </si>
  <si>
    <t>The game results in a draw if both players have the same seed.</t>
  </si>
  <si>
    <t>What is a common strategy in charting?</t>
  </si>
  <si>
    <t>A. Blocking the opponent B. Stealing the seeds of the opposition C. Sow carefully D. Jumping around</t>
  </si>
  <si>
    <t>Sow carefully</t>
  </si>
  <si>
    <t>Players use strategic seeding to maximize shots.</t>
  </si>
  <si>
    <t>In which regions is the chart popular?</t>
  </si>
  <si>
    <t>A. East Africa B. South Asia C. south america D. Western Europe</t>
  </si>
  <si>
    <t>East Africa</t>
  </si>
  <si>
    <t>Tabat is popular in Ethiopia and other parts of East Africa.</t>
  </si>
  <si>
    <t>What happens when the wells on one side are empty?</t>
  </si>
  <si>
    <t>A. The game ends. B. The opponent wins. C. The game continues. D. Player starts again</t>
  </si>
  <si>
    <t>The game ends.</t>
  </si>
  <si>
    <t>The game ends when one side has no seeds left.</t>
  </si>
  <si>
    <t>What is the act of distributing seeds in a chart called?</t>
  </si>
  <si>
    <t>A. Sow B. Dispersion C. Planting D. gathering</t>
  </si>
  <si>
    <t>Sow</t>
  </si>
  <si>
    <t>Sowing refers to spreading seeds in holes.</t>
  </si>
  <si>
    <t>Can the player capture seeds from their own side?</t>
  </si>
  <si>
    <t>A. No B. Yes C. Only at first D. Only at the end</t>
  </si>
  <si>
    <t>It can only be raised from the opposing side.</t>
  </si>
  <si>
    <t>What happens if a seed falls into the player's storage?</t>
  </si>
  <si>
    <t>A. Player gets another round B. The player wins immediately. C. The opponent gets a turn. D. Seeds are removed.</t>
  </si>
  <si>
    <t>Player gets another round</t>
  </si>
  <si>
    <t>Landing in the warehouse allows for additional rotation.</t>
  </si>
  <si>
    <t>What is the traditional material for chalkboards?</t>
  </si>
  <si>
    <t>A. Wood B. Iron C. Plastic D. Stone</t>
  </si>
  <si>
    <t>Wood</t>
  </si>
  <si>
    <t>Chart boards are typically made of wood.</t>
  </si>
  <si>
    <t>What happens if a player cannot make a legal move?</t>
  </si>
  <si>
    <t>A. The opponent wins. B. The game ends. C. The player jumps in turn. D. The seeds have been re-divided.</t>
  </si>
  <si>
    <t>If a player cannot make a legal move, the game ends.</t>
  </si>
  <si>
    <t>Which skill is essential for charting success?</t>
  </si>
  <si>
    <t>A. Strategic thinking B. Quick response C. Physical strength D. Memory of memory</t>
  </si>
  <si>
    <t>Strategic thinking</t>
  </si>
  <si>
    <t>Strategic thinking is key to winning the lottery.</t>
  </si>
  <si>
    <t>What is another name for a table?</t>
  </si>
  <si>
    <t>A. Mancala B. Oware C. Bao D. If you don't have</t>
  </si>
  <si>
    <t>Mancala</t>
  </si>
  <si>
    <t>Tableau is a family of Mancala games.</t>
  </si>
  <si>
    <t>Has the chart been played competitively?</t>
  </si>
  <si>
    <t>A. Yes B. No C. Only in local regions D. Only in the family</t>
  </si>
  <si>
    <t>The chart has been played competitively in some regions.</t>
  </si>
  <si>
    <t>What is the penalty for illegal activity on a map?</t>
  </si>
  <si>
    <t>A. Loss of direction B. Opponents will get seeds C. Immediate disappearance D. Restart the game.</t>
  </si>
  <si>
    <t>Loss of direction</t>
  </si>
  <si>
    <t>Illegal activity will result in loss of turn.</t>
  </si>
  <si>
    <t>Which hole is most important in a strategic game?</t>
  </si>
  <si>
    <t>A. Warehouse B. Left hole C. The right hole D. All holes are equal.</t>
  </si>
  <si>
    <t>The warehouse plays a key role in strategic activities.</t>
  </si>
  <si>
    <t>What should players do before starting the game?</t>
  </si>
  <si>
    <t>A. Count the seeds. B. Mix the seeds. C. Draw a lot. D. Flip the board.</t>
  </si>
  <si>
    <t>Count the seeds.</t>
  </si>
  <si>
    <t>Players must count the seeds to ensure fairness.</t>
  </si>
  <si>
    <t>What is the role of seeding in a chart?</t>
  </si>
  <si>
    <t>A. Seed distribution B. End of the game C. Holding an opponent D. Blocking activities</t>
  </si>
  <si>
    <t>Seed distribution</t>
  </si>
  <si>
    <t>Sowing spreads seeds in holes for strategic play.</t>
  </si>
  <si>
    <t>Which country is considered the birthplace of the map?</t>
  </si>
  <si>
    <t>A. Ethiopia B. Kenya C. Tanzania D. Sudan</t>
  </si>
  <si>
    <t>Ethiopia</t>
  </si>
  <si>
    <t>It is believed that the origin of the table is Ethiopia.</t>
  </si>
  <si>
    <t>What should players avoid while moving?</t>
  </si>
  <si>
    <t>A. Jumping over holes B. Touching seeds C. Sowing in the warehouse D. Gathering seeds of opposition</t>
  </si>
  <si>
    <t>Jumping over holes</t>
  </si>
  <si>
    <t>Players must not jump over holes while moving.</t>
  </si>
  <si>
    <t>How are seeds arranged in a chart?</t>
  </si>
  <si>
    <t>A. Resting in an empty hole B. Blocking activities C. Sowing in the warehouse D. Jumping around</t>
  </si>
  <si>
    <t>Resting in an empty hole</t>
  </si>
  <si>
    <t>Landing in an empty hole allows for seed to be captured.</t>
  </si>
  <si>
    <t>Which hole is the biggest in the chart?</t>
  </si>
  <si>
    <t>A. Warehouse B. Middle hole C. Left hole D. The right hole</t>
  </si>
  <si>
    <t>The warehouse is the biggest pit.</t>
  </si>
  <si>
    <t>What happens if a player has no seed?</t>
  </si>
  <si>
    <t>A. The game ends. B. The opponent wins. C. The player gets an extra turn. D. The holes are filled again.</t>
  </si>
  <si>
    <t>The game ends when the player has no seeds left.</t>
  </si>
  <si>
    <t>What is a typical movement in a chart called?</t>
  </si>
  <si>
    <t>A. Sow B. throw up C. Take a picture. D. pass</t>
  </si>
  <si>
    <t>A common activity on a chart is called seeding.</t>
  </si>
  <si>
    <t>How does a player lose at the table?</t>
  </si>
  <si>
    <t>A. Due to the presence of few retained seeds B. By losing all the seeds C. By skipping turns D. By mistake</t>
  </si>
  <si>
    <t>Due to the presence of few retained seeds</t>
  </si>
  <si>
    <t>The player with the fewest captured seeds loses.</t>
  </si>
  <si>
    <t>What happens if a hole contains 12 or more seeds?</t>
  </si>
  <si>
    <t>A. The seeds have been re-divided. B. The game ends. C. Player wins. D. The opponent loses the turn.</t>
  </si>
  <si>
    <t>The seeds have been re-divided.</t>
  </si>
  <si>
    <t>If a hole has 12 or more seeds, they are re-divided.</t>
  </si>
  <si>
    <t>Can a player choose the hole he plants in?</t>
  </si>
  <si>
    <t>A. No, only non-empty wells. B. Yes, any hole C. Left hole only D. Only the right holes</t>
  </si>
  <si>
    <t>No, only non-empty wells.</t>
  </si>
  <si>
    <t>Players can only sow from non-empty holes.</t>
  </si>
  <si>
    <t>How many seeds are needed to catch in one round?</t>
  </si>
  <si>
    <t>A. One seed B. All the remaining seeds C. At least one D. Two seeds</t>
  </si>
  <si>
    <t>At least one</t>
  </si>
  <si>
    <t>A player needs at least one seed to capture.</t>
  </si>
  <si>
    <t>What should a player avoid when seeding?</t>
  </si>
  <si>
    <t>A. Skip the barn B. Throwing more seeds C. Touching the opponent's holes D. Backsliding</t>
  </si>
  <si>
    <t>Throwing more seeds</t>
  </si>
  <si>
    <t>Players should avoid throwing extra seeds.</t>
  </si>
  <si>
    <t>What is the benefit of sowing into your barn?</t>
  </si>
  <si>
    <t>A. Getting more turns B. Instant win C. Stealing the seeds of the opposition D. Finishing the game</t>
  </si>
  <si>
    <t>Getting more turns</t>
  </si>
  <si>
    <t>Sowing to the barn gives an extra turn.</t>
  </si>
  <si>
    <t>Is it possible to reverse seeds in a chart?</t>
  </si>
  <si>
    <t>A. No B. Yes C. Only in certain cases D. By agreement only.</t>
  </si>
  <si>
    <t>Seeds can only move forward.</t>
  </si>
  <si>
    <t>What are the consequences of skipping a turn?</t>
  </si>
  <si>
    <t>A. Game loss B. There is no result. C. Opponents will get seeds D. The game ends.</t>
  </si>
  <si>
    <t>Opponents will get seeds</t>
  </si>
  <si>
    <t>Skipping turns gives the opponent an advantage.</t>
  </si>
  <si>
    <t>What should players consider before starting the game?</t>
  </si>
  <si>
    <t>A. Total seeds B. Opposing races C. Remaining holes D. Warehouse capacity</t>
  </si>
  <si>
    <t>Total seeds</t>
  </si>
  <si>
    <t>Players must count the total number of seeds.</t>
  </si>
  <si>
    <t>Which skill is critical to chart success?</t>
  </si>
  <si>
    <t>A. Mathematical logic B. Speed C. Physical strength D. Perseverance.</t>
  </si>
  <si>
    <t>Mathematical logic</t>
  </si>
  <si>
    <t>Mathematical reasoning helps in strategic play.</t>
  </si>
  <si>
    <t>Can a player win with fewer seeds held?</t>
  </si>
  <si>
    <t>A. No B. Yes C. By agreement only. D. Only during the rematch.</t>
  </si>
  <si>
    <t>Winning requires a lot of captured seeds.</t>
  </si>
  <si>
    <t>What should players avoid when redistributing seeds?</t>
  </si>
  <si>
    <t>A. Jumping over holes B. Touch the keyboard C. Sowing seeds D. Backsliding</t>
  </si>
  <si>
    <t>Players should avoid jumping over holes.</t>
  </si>
  <si>
    <t>How many rows are there in a spreadsheet?</t>
  </si>
  <si>
    <t>A. two B. three C. one D. four</t>
  </si>
  <si>
    <t>The board typically has two rows of holes.</t>
  </si>
  <si>
    <t>What happens if a player captures all of the opponent's seeds?</t>
  </si>
  <si>
    <t>A. The game ends. B. The opponent wins. C. The player gets a bonus round. D. The game starts again.</t>
  </si>
  <si>
    <t>The game ends when a player captures all of the opponent's seeds.</t>
  </si>
  <si>
    <t>How do players decide who goes first?</t>
  </si>
  <si>
    <t>A. By agreement B. By drawing a lot C. Flipping a coin D. Counting seeds</t>
  </si>
  <si>
    <t>By drawing a lot</t>
  </si>
  <si>
    <t>Players draw lots to decide who starts first.</t>
  </si>
  <si>
    <t>Can players change seed numbers within a hole?</t>
  </si>
  <si>
    <t>A. Yes, by mutual agreement. B. No C. Only after the first movement D. Just for the rematch.</t>
  </si>
  <si>
    <t>Yes, by mutual agreement.</t>
  </si>
  <si>
    <t>Players can agree to change the number of seeds in a hole.</t>
  </si>
  <si>
    <t>What is the right age to learn to chart?</t>
  </si>
  <si>
    <t>A. 6 years and above B. 10 years and above C. 12 years and older D. 15 years and above</t>
  </si>
  <si>
    <t>6 years and above</t>
  </si>
  <si>
    <t>Children aged 6 and above can easily learn the chart.</t>
  </si>
  <si>
    <t>What should players do at the end of the game?</t>
  </si>
  <si>
    <t>A. Count the seeds that have been collected. B. Restart the board. C. Mix the seeds. D. Sowing the remaining seeds</t>
  </si>
  <si>
    <t>Count the seeds that have been collected.</t>
  </si>
  <si>
    <t>Players count the seeds they have collected to determine the winner.</t>
  </si>
  <si>
    <t>Which hole in the chart is the most strategic?</t>
  </si>
  <si>
    <t>A. Warehouse B. The first hole C. The last hole D. Middle hole</t>
  </si>
  <si>
    <t>The warehouse plays a key strategic role.</t>
  </si>
  <si>
    <t>What is the process of seed germination called?</t>
  </si>
  <si>
    <t>A. Harvest B. Sow C. gathering D. Holding</t>
  </si>
  <si>
    <t>Holding</t>
  </si>
  <si>
    <t>Copying seeds in a chart is the main purpose.</t>
  </si>
  <si>
    <t>What happens if a player counts the seed incorrectly?</t>
  </si>
  <si>
    <t>A. Opponents will get seeds B. Game loss C. The game ends. D. There is no result.</t>
  </si>
  <si>
    <t>A miscalculation can give the opponent an advantage.</t>
  </si>
  <si>
    <t>What is the result of sowing all the seeds equally into the holes?</t>
  </si>
  <si>
    <t>A. Bonus round B. Loss of direction C. Draw D. The opponent wins.</t>
  </si>
  <si>
    <t>Bonus round</t>
  </si>
  <si>
    <t>Sowing all seeds equally can provide a bonus turn.</t>
  </si>
  <si>
    <t>Which country does the chart correspond to historically?</t>
  </si>
  <si>
    <t>A. Ethiopia B. Kenya C. Tanzania D. Uganda</t>
  </si>
  <si>
    <t>The chart has historical roots in Ethiopia.</t>
  </si>
  <si>
    <t>Can players agree to change the rules?</t>
  </si>
  <si>
    <t>A. Yes B. No C. Only during the rematch. D. Only at first</t>
  </si>
  <si>
    <t>Players can agree to modify the rules for regular games.</t>
  </si>
  <si>
    <t>What is the main defensive strategy in the chart?</t>
  </si>
  <si>
    <t>A. Remove empty holes B. Backsliding C. Skip the turns. D. Touch the opponent's seeds.</t>
  </si>
  <si>
    <t>Remove empty holes</t>
  </si>
  <si>
    <t>Filling holes is the main defense strategy.</t>
  </si>
  <si>
    <t>How are the winners of the chart recognized?</t>
  </si>
  <si>
    <t>A. Seed count B. Game duration C. Number of turns D. Number of activities</t>
  </si>
  <si>
    <t>Seed count</t>
  </si>
  <si>
    <t>The winner is determined by the number of seeds.</t>
  </si>
  <si>
    <t>What is considered a fair move in a chart?</t>
  </si>
  <si>
    <t>A. Sowing seeds forward B. Jumping over holes C. Touching the opponent's holes D. Backsliding</t>
  </si>
  <si>
    <t>Sowing seeds forward</t>
  </si>
  <si>
    <t>It is considered fair to sow in the future.</t>
  </si>
  <si>
    <t>Can a player still lose after holding seeds?</t>
  </si>
  <si>
    <t>A. Yes B. No C. Rematches only D. Only if the opponent agrees.</t>
  </si>
  <si>
    <t>A player may lose if he holds too few seeds.</t>
  </si>
  <si>
    <t>What happens when a player plants in an empty hole?</t>
  </si>
  <si>
    <t>A. There is no catch. B. More turns C. Hold the seeds of opposition D. The game ends.</t>
  </si>
  <si>
    <t>There is no catch.</t>
  </si>
  <si>
    <t>Sowing in an empty hole will not result in any germination.</t>
  </si>
  <si>
    <t>What seed does each hole in the chart start with?</t>
  </si>
  <si>
    <t>A. four B. two C. six D. eight</t>
  </si>
  <si>
    <t>four</t>
  </si>
  <si>
    <t>Each hole starts with four seeds in the chart.</t>
  </si>
  <si>
    <t>What is an effective way to win a lottery?</t>
  </si>
  <si>
    <t>A. Hold more seeds B. Sow evenly C. Skip the turns. D. Eliminate opponents' pitfalls</t>
  </si>
  <si>
    <t>Hold more seeds</t>
  </si>
  <si>
    <t>Capturing more seeds than your opponent ensures victory.</t>
  </si>
  <si>
    <t>Can the player capture seeds from their own holes?</t>
  </si>
  <si>
    <t>A. No B. Yes C. Only good agreement D. Only during the rematch.</t>
  </si>
  <si>
    <t>Players can only capture seeds from opponent's holes.</t>
  </si>
  <si>
    <t>What is the purpose of the chart?</t>
  </si>
  <si>
    <t>A. Hold too many seeds B. Protect the wells. C. Keep fewer seeds. D. Remove recording</t>
  </si>
  <si>
    <t>Hold too many seeds</t>
  </si>
  <si>
    <t>The goal is to capture as many seeds as possible.</t>
  </si>
  <si>
    <t>How many rows are used in a traditional chart?</t>
  </si>
  <si>
    <t>A traditional chart uses two rows of holes.</t>
  </si>
  <si>
    <t>What happens if a player has no seeds to sow?</t>
  </si>
  <si>
    <t>A. The game ends. B. The player loses a turn. C. The opponent wins. D. The game starts again.</t>
  </si>
  <si>
    <t>What is the role of strategy in the chart?</t>
  </si>
  <si>
    <t>A. Raising seed rates B. Avoiding capture C. Jumping around D. Playing fast</t>
  </si>
  <si>
    <t>Raising seed rates</t>
  </si>
  <si>
    <t>The strategy focuses on maximizing racial profiling.</t>
  </si>
  <si>
    <t>What is prohibited when sowing in a chart?</t>
  </si>
  <si>
    <t>A. Jumping over holes B. Touching the edges of the board C. To speak D. Stop where you are.</t>
  </si>
  <si>
    <t>It is forbidden to skip holes when sowing.</t>
  </si>
  <si>
    <t>Can a player adjust the board layout mid-game?</t>
  </si>
  <si>
    <t>A. No B. Yes C. Only during the rematch. D. Only if the opponent agrees.</t>
  </si>
  <si>
    <t>The board layout cannot be adjusted mid-game.</t>
  </si>
  <si>
    <t>What is the key to winning a competitive draw?</t>
  </si>
  <si>
    <t>A. Mathematical thinking B. Speed C. Random activities D. Opposite weaknesses of players</t>
  </si>
  <si>
    <t>Mathematical thinking</t>
  </si>
  <si>
    <t>Mathematical thinking is essential for success.</t>
  </si>
  <si>
    <t>Which row is strategic for long-term success?</t>
  </si>
  <si>
    <t>A. Front row B. Back row C. External wells D. Medium wells</t>
  </si>
  <si>
    <t>Back row</t>
  </si>
  <si>
    <t>The back row is often strategic for long-term play.</t>
  </si>
  <si>
    <t>What happens when all the wells are empty?</t>
  </si>
  <si>
    <t>A. The game ends. B. The opponent wins. C. The game has been paused. D. Game restart</t>
  </si>
  <si>
    <t>The game ends when all the holes are empty.</t>
  </si>
  <si>
    <t>Can a player voluntarily abandon a seed?</t>
  </si>
  <si>
    <t>A. No B. Yes C. For beginners only D. Only after agreement.</t>
  </si>
  <si>
    <t>The player cannot voluntarily abandon the race.</t>
  </si>
  <si>
    <t>What should players always keep an eye on during the game?</t>
  </si>
  <si>
    <t>A. It counts seeds. B. Plate colors C. Opposite signs D. Game time</t>
  </si>
  <si>
    <t>It counts seeds.</t>
  </si>
  <si>
    <t>Tracking racial censuses is important for strategy.</t>
  </si>
  <si>
    <t>Can the game end in a draw?</t>
  </si>
  <si>
    <t>A. Yes B. No C. Only in regular games D. Only in a rematch.</t>
  </si>
  <si>
    <t>A table game can end in a draw.</t>
  </si>
  <si>
    <t>What is considered a fair shot?</t>
  </si>
  <si>
    <t>A. By holding all the seeds in one round B. Follow the rules to catch C. Capturing half of the opponent's seeds D. Backsliding</t>
  </si>
  <si>
    <t>Follow the rules to catch</t>
  </si>
  <si>
    <t>A proper recording follows all official rules.</t>
  </si>
  <si>
    <t>Which hole should be prioritized for defense?</t>
  </si>
  <si>
    <t>A. External wells B. Warehouse C. Back row holes D. Medium wells</t>
  </si>
  <si>
    <t>The storage pit must be carefully protected.</t>
  </si>
  <si>
    <t>What should players do before starting a new game?</t>
  </si>
  <si>
    <t>A. Restart the seeds B. Discuss strategy C. Board shuffle D. Take a break.</t>
  </si>
  <si>
    <t>Restart the seeds</t>
  </si>
  <si>
    <t>Players must reset seeds before starting again.</t>
  </si>
  <si>
    <t>How are opponents typically selected in tournaments?</t>
  </si>
  <si>
    <t>A. Random selection B. Ability matching C. Volunteer foundation D. By request</t>
  </si>
  <si>
    <t>Random selection</t>
  </si>
  <si>
    <t>Opponents in tournaments are chosen randomly.</t>
  </si>
  <si>
    <t>What is a common beginner mistake?</t>
  </si>
  <si>
    <t>A. Jumping over holes B. Counting correctly C. win easily D. Avoiding capture</t>
  </si>
  <si>
    <t>Skipping holes is a common beginner mistake.</t>
  </si>
  <si>
    <t>What is needed to capture seeds?</t>
  </si>
  <si>
    <t>A. Correct sowing B. Board knowledge C. Opportunity D. Quick moves</t>
  </si>
  <si>
    <t>Correct sowing</t>
  </si>
  <si>
    <t>It is necessary to sow seeds correctly to get them.</t>
  </si>
  <si>
    <t>Is it possible to exchange seeds between players?</t>
  </si>
  <si>
    <t>A. No B. Yes C. Only after agreement. D. Only in a rematch.</t>
  </si>
  <si>
    <t>Players cannot swap races in the chart.</t>
  </si>
  <si>
    <t>What is a pit that holds captured seeds called?</t>
  </si>
  <si>
    <t>A. Warehouse B. The main well C. External hole D. Hold a hole</t>
  </si>
  <si>
    <t>The warehouse holds captured seeds.</t>
  </si>
  <si>
    <t>What happens when a player wins?</t>
  </si>
  <si>
    <t>A. Counts the seeds that have been caught. B. Game restart C. Opposite leaves D. He sows the remaining seeds.</t>
  </si>
  <si>
    <t>Counts the seeds that have been caught.</t>
  </si>
  <si>
    <t>The winner counts the seeds that were last caught.</t>
  </si>
  <si>
    <t>Can a player force an opponent to abandon a seed?</t>
  </si>
  <si>
    <t>A. No B. Yes C. Only if you agree. D. Just a casual game</t>
  </si>
  <si>
    <t>It is not permissible to force an opponent to give up their race.</t>
  </si>
  <si>
    <t>Which hole is most useful in a long-term strategy?</t>
  </si>
  <si>
    <t>A. Warehouse B. External wells C. Front row holes D. Random holes</t>
  </si>
  <si>
    <t>Storage plays a key role in the long-term strategy.</t>
  </si>
  <si>
    <t>What is strategic action?</t>
  </si>
  <si>
    <t>A. Recording setup B. Rebirth of the race C. Hole pass D. Backsliding</t>
  </si>
  <si>
    <t>Recording setup</t>
  </si>
  <si>
    <t>Preparing a recording is a strategic step.</t>
  </si>
  <si>
    <t>What is the recommended number of players for a table?</t>
  </si>
  <si>
    <t>A. Two players B. Three players C. One player D. Four players</t>
  </si>
  <si>
    <t>Two players</t>
  </si>
  <si>
    <t>The table is played by two players.</t>
  </si>
  <si>
    <t>Is it possible to redistribute seeds during the game?</t>
  </si>
  <si>
    <t>A. Yes B. No C. Only after being caught D. Only in regular games</t>
  </si>
  <si>
    <t>Seeds can be re-sorted according to rules.</t>
  </si>
  <si>
    <t>What is considered good sportsmanship in a game?</t>
  </si>
  <si>
    <t>A. Following the rules B. Win quickly C. Skipping activities D. Forced detention</t>
  </si>
  <si>
    <t>Following the rules</t>
  </si>
  <si>
    <t>Following the rules shows good sportsmanship.</t>
  </si>
  <si>
    <t>What should players avoid during competitive play?</t>
  </si>
  <si>
    <t>A. Violation of rules B. Thinking strategically C. By holding seeds D. Counting seeds</t>
  </si>
  <si>
    <t>Violation of rules</t>
  </si>
  <si>
    <t>Violations of the rules must be eliminated in the competition.</t>
  </si>
  <si>
    <t>How are disputes resolved in competitions?</t>
  </si>
  <si>
    <t>A. By the judge B. By players C. By majority vote D. In coins</t>
  </si>
  <si>
    <t>By the judge</t>
  </si>
  <si>
    <t>Judges resolve disputes in competitions.</t>
  </si>
  <si>
    <t>How long is a typical chart match?</t>
  </si>
  <si>
    <t>A. 30 minutes B. 10 minutes C. 20 minutes D. 1 hour</t>
  </si>
  <si>
    <t>30 minutes</t>
  </si>
  <si>
    <t>A typical match lasts around 30 minutes.</t>
  </si>
  <si>
    <t>What role does the observation in the chart play?</t>
  </si>
  <si>
    <t>A. Understanding opponents moves B. Distraction C. Pause the game. D. Re-starting seeds</t>
  </si>
  <si>
    <t>Understanding opponents moves</t>
  </si>
  <si>
    <t>Observation helps to understand the movements of the opposition.</t>
  </si>
  <si>
    <t>Can players communicate during matches?</t>
  </si>
  <si>
    <t>A. No B. Yes C. Just to clarify the rules. D. Only after permission</t>
  </si>
  <si>
    <t>Communication is not allowed during matches.</t>
  </si>
  <si>
    <t>Which hole helps maintain speed?</t>
  </si>
  <si>
    <t>A. Back hole B. External hole C. Middle hole D. Warehouse</t>
  </si>
  <si>
    <t>Back hole</t>
  </si>
  <si>
    <t>Back holes help maintain the pace of the game.</t>
  </si>
  <si>
    <t>What is recommended after a competitive match?</t>
  </si>
  <si>
    <t>A. Discuss strategies. B. Play fast. C. Force a rematch. D. Count the remaining seeds.</t>
  </si>
  <si>
    <t>Discuss strategies.</t>
  </si>
  <si>
    <t>Discussing strategies will improve future play.</t>
  </si>
  <si>
    <t>Which strategy will help you capture more seeds?</t>
  </si>
  <si>
    <t>A. Block B. expansion C. Aiming to capture holes D. Random game</t>
  </si>
  <si>
    <t>Aiming to capture holes</t>
  </si>
  <si>
    <t>Choosing wells that hold will help to hold more seeds.</t>
  </si>
  <si>
    <t>What is the benefit of controlling central wells?</t>
  </si>
  <si>
    <t>A. Protective benefit B. More seeds are being planted. C. Racial balance D. Quick moves</t>
  </si>
  <si>
    <t>Racial balance</t>
  </si>
  <si>
    <t>Controlling the center holes helps balance the seeds on the board.</t>
  </si>
  <si>
    <t>In a game, what does an extra turn result in?</t>
  </si>
  <si>
    <t>A. By holding seeds B. To sow into the warehouse C. Sowing the last seed in an empty hole D. Sowing the last seed into the storage house</t>
  </si>
  <si>
    <t>Sowing the last seed into the storage house</t>
  </si>
  <si>
    <t>Landing the last seed in your storage house gives an extra turn.</t>
  </si>
  <si>
    <t>Which side should a player defend from first?</t>
  </si>
  <si>
    <t>A. External wells B. Central wells C. Back holes D. Internal cavities</t>
  </si>
  <si>
    <t>Internal cavities</t>
  </si>
  <si>
    <t>Internal cavities are very important to prevent.</t>
  </si>
  <si>
    <t>What skills are critical to long-term success in Mancala?</t>
  </si>
  <si>
    <t>A. Opportunity B. Mathematical thinking C. Creativity D. Speed</t>
  </si>
  <si>
    <t>Mathematical thinking is essential for planning activities.</t>
  </si>
  <si>
    <t>What should you avoid when sowing seeds?</t>
  </si>
  <si>
    <t>A. To sow with force B. Sowing into opposing wells C. Sow carefully D. Thinking strategically</t>
  </si>
  <si>
    <t>Sowing into opposing wells</t>
  </si>
  <si>
    <t>Sowing into opposing wells benefits their barn.</t>
  </si>
  <si>
    <t>Which move can push the opponent aside?</t>
  </si>
  <si>
    <t>A. Playing the inner holes first B. Blocking central wells C. Playing even D. Playing the warehouse holes early</t>
  </si>
  <si>
    <t>Blocking central wells</t>
  </si>
  <si>
    <t>Blocking central wells limits your opponent's options.</t>
  </si>
  <si>
    <t>Which element brings an unexpected situation to the game?</t>
  </si>
  <si>
    <t>A. Time limits B. Race colors C. Opposition strategy D. Pre-drilled holes</t>
  </si>
  <si>
    <t>Opposition strategy</t>
  </si>
  <si>
    <t>Opponent strategies make every game unpredictable.</t>
  </si>
  <si>
    <t>When is the best time to harvest seeds?</t>
  </si>
  <si>
    <t>A. Early game B. Mid-game C. Late game D. no way</t>
  </si>
  <si>
    <t>Mid-game</t>
  </si>
  <si>
    <t>Picking up seeds during the mid-game increases points.</t>
  </si>
  <si>
    <t>What is important when counting seeds?</t>
  </si>
  <si>
    <t>A. Speed B. Accuracy C. Random guess D. Guess</t>
  </si>
  <si>
    <t>Accuracy</t>
  </si>
  <si>
    <t>Accurate seed counting helps create winning strategies.</t>
  </si>
  <si>
    <t>How can a player control the pace of the game?</t>
  </si>
  <si>
    <t>A. Play fast. B. Uneven sowing C. Control keyholes. D. Hold on tight</t>
  </si>
  <si>
    <t>Control keyholes.</t>
  </si>
  <si>
    <t>Controlling keyholes helps control game time.</t>
  </si>
  <si>
    <t>What is an effective opening strategy?</t>
  </si>
  <si>
    <t>A. Play back the holes. B. Grab it now C. Sowing from the middle holes D. Fill the holes.</t>
  </si>
  <si>
    <t>Sowing from the middle holes</t>
  </si>
  <si>
    <t>It sets up strategic shots, starting from the middle holes.</t>
  </si>
  <si>
    <t>What happens if a player does not have legal movement?</t>
  </si>
  <si>
    <t>A. He loses the game. B. The opponent wins all races. C. Round ends. D. Skip the line.</t>
  </si>
  <si>
    <t>Round ends.</t>
  </si>
  <si>
    <t>If there are no legal moves, the round ends.</t>
  </si>
  <si>
    <t>Which wells are called defensive wells?</t>
  </si>
  <si>
    <t>A. Back row holes B. Opposition pits C. Storage pits D. Central wells</t>
  </si>
  <si>
    <t>Back row holes</t>
  </si>
  <si>
    <t>The back row of holes protects the seed deposits.</t>
  </si>
  <si>
    <t>What defines a competitive player?</t>
  </si>
  <si>
    <t>A. Quick responders B. Strong memory C. Strategic thinking D. Lucky charm</t>
  </si>
  <si>
    <t>Strategic thinking defines competitive players.</t>
  </si>
  <si>
    <t>Which Mancala variation uses colored seeds?</t>
  </si>
  <si>
    <t>A. If you don't have B. Oware C. Bao D. nothing else</t>
  </si>
  <si>
    <t>Bao</t>
  </si>
  <si>
    <t>Bao often uses colorful seeds.</t>
  </si>
  <si>
    <t>What kind of wells does Kala use?</t>
  </si>
  <si>
    <t>A. Hold the holes. B. Storage pits C. Random holes D. Central wells</t>
  </si>
  <si>
    <t>Storage pits</t>
  </si>
  <si>
    <t>Kalah uses storage pits for scoring.</t>
  </si>
  <si>
    <t>How is the winner decided?</t>
  </si>
  <si>
    <t>A. Most of the seeds are harvested B. The last step C. Total activities D. Board status</t>
  </si>
  <si>
    <t>Most of the seeds are harvested</t>
  </si>
  <si>
    <t>The player with the most captured seeds wins.</t>
  </si>
  <si>
    <t>What happens if players get together?</t>
  </si>
  <si>
    <t>A. Play it again. B. Both win. C. Points are awarded. D. There is no solution.</t>
  </si>
  <si>
    <t>Play it again.</t>
  </si>
  <si>
    <t>A tie often results in a replay.</t>
  </si>
  <si>
    <t>How can the capture of opponents be reduced?</t>
  </si>
  <si>
    <t>A. Block the holes. B. Hold fast C. Sowing more seeds D. Control storage</t>
  </si>
  <si>
    <t>Block the holes.</t>
  </si>
  <si>
    <t>Blocking wells limits the possibilities of capture.</t>
  </si>
  <si>
    <t>What are the benefits of full wells?</t>
  </si>
  <si>
    <t>A. Quick moves B. Defense C. More options D. Quick shots</t>
  </si>
  <si>
    <t>More options</t>
  </si>
  <si>
    <t>Full holes provide additional planting options.</t>
  </si>
  <si>
    <t>What should be the priority in the early game?</t>
  </si>
  <si>
    <t>A. Defense B. Recording method C. Even sowing D. Random activities</t>
  </si>
  <si>
    <t>Recording method</t>
  </si>
  <si>
    <t>Early capture strategy establishes game dominance.</t>
  </si>
  <si>
    <t>What kind of hole pattern is there in the Owerri variation?</t>
  </si>
  <si>
    <t>A. Central wells B. Small holes C. Hold the holes. D. External wells</t>
  </si>
  <si>
    <t>Hold the holes.</t>
  </si>
  <si>
    <t>Oware includes designated holding pits.</t>
  </si>
  <si>
    <t>What is a common Mancala method?</t>
  </si>
  <si>
    <t>A. Sowing seeds in an unexpected way B. Jumping around C. Balancing sowing and harvesting D. Random hole moves</t>
  </si>
  <si>
    <t>Balancing sowing and harvesting</t>
  </si>
  <si>
    <t>Balancing sowing and harvesting increases success.</t>
  </si>
  <si>
    <t>What should players practice most often?</t>
  </si>
  <si>
    <t>A. Speed ​​sowing B. Counting seeds C. Blocking holes D. Standing opposition</t>
  </si>
  <si>
    <t>Counting seeds</t>
  </si>
  <si>
    <t>Counting seeds accurately ensures better strategies.</t>
  </si>
  <si>
    <t>Which region is Mancala popular?</t>
  </si>
  <si>
    <t>A. Asia B. Africa C. Europe D. North America</t>
  </si>
  <si>
    <t>Africa</t>
  </si>
  <si>
    <t>Mancala has strong roots in African culture.</t>
  </si>
  <si>
    <t>Which seeds give a beautiful feel to a mancala?</t>
  </si>
  <si>
    <t>A. Plastic seeds B. Stones C. Metal pieces D. Colored beads</t>
  </si>
  <si>
    <t>Stones</t>
  </si>
  <si>
    <t>Smooth stones add beauty to the game.</t>
  </si>
  <si>
    <t>What improves a player's concentration?</t>
  </si>
  <si>
    <t>A. Background music B. Silence C. Quick moves D. Random seeds</t>
  </si>
  <si>
    <t>Silence</t>
  </si>
  <si>
    <t>Silence helps players focus.</t>
  </si>
  <si>
    <t>What is the key to winning?</t>
  </si>
  <si>
    <t>A. Contains B. Storage control C. Defense D. Opportunity</t>
  </si>
  <si>
    <t>Storage control</t>
  </si>
  <si>
    <t>Storage control determines success.</t>
  </si>
  <si>
    <t>Which hole will be played first?</t>
  </si>
  <si>
    <t>A. Back hole B. Front hole C. External hole D. Central well</t>
  </si>
  <si>
    <t>The back holes are reserved for further strategy.</t>
  </si>
  <si>
    <t>What is the longest difference in Mancala?</t>
  </si>
  <si>
    <t>A. If you don't have B. Bao C. Cognac D. Oware</t>
  </si>
  <si>
    <t>Bao may take longer due to its complexity.</t>
  </si>
  <si>
    <t>What is a good response to a strong opponent?</t>
  </si>
  <si>
    <t>A. Retreat B. Hold on tight. C. Balanced strategy D. Focus on prevention.</t>
  </si>
  <si>
    <t>Balanced strategy</t>
  </si>
  <si>
    <t>Balanced strategies counter strong opponents.</t>
  </si>
  <si>
    <t>What kind of feeling does Mancala create?</t>
  </si>
  <si>
    <t>A. Frustration B. Patience C. Enjoyment D. Anger</t>
  </si>
  <si>
    <t>Patience</t>
  </si>
  <si>
    <t>Mancala develops patience over time.</t>
  </si>
  <si>
    <t>Which board material is the most durable?</t>
  </si>
  <si>
    <t>A. Plastic B. Wood C. Glass D. Iron</t>
  </si>
  <si>
    <t>Wooden boards last longer.</t>
  </si>
  <si>
    <t>What is important in mid-game activities?</t>
  </si>
  <si>
    <t>A. Defense B. Contains C. Storage house attention D. Genealogy</t>
  </si>
  <si>
    <t>Contains</t>
  </si>
  <si>
    <t>Midgame shots determine the flow of the game.</t>
  </si>
  <si>
    <t>What explains the cultural significance of Mancala?</t>
  </si>
  <si>
    <t>A. Regional strategies B. Game length C. Genetic design D. Historical roots</t>
  </si>
  <si>
    <t>Historical roots</t>
  </si>
  <si>
    <t>Mancala reflects rich cultural traditions.</t>
  </si>
  <si>
    <t>What happens when your last seed lands in an empty hole by your side?</t>
  </si>
  <si>
    <t>A. No points were found. B. Hold the seeds of opposition C. More turns D. Skip the turn.</t>
  </si>
  <si>
    <t>Hold the seeds of opposition</t>
  </si>
  <si>
    <t>Landing in an empty hole will hold the opponent's seeds directly opposite.</t>
  </si>
  <si>
    <t>What is the main goal of Mancala?</t>
  </si>
  <si>
    <t>A. Catch all the seeds B. Empty your wells. C. Collect many seeds D. Protect your wells.</t>
  </si>
  <si>
    <t>Collect many seeds</t>
  </si>
  <si>
    <t>Players aim to collect the most seeds to win.</t>
  </si>
  <si>
    <t>What is the legal action in Mancala?</t>
  </si>
  <si>
    <t>A. Skip the turns. B. Sow seeds clockwise C. Sow seeds counterclockwise D. Place the seeds randomly.</t>
  </si>
  <si>
    <t>Sow seeds counterclockwise</t>
  </si>
  <si>
    <t>Players sow seeds counterclockwise around the board.</t>
  </si>
  <si>
    <t>How do players get replaced?</t>
  </si>
  <si>
    <t>A. Random selection B. After planting seeds C. Each one an activity D. Two moves in one round</t>
  </si>
  <si>
    <t>Each one an activity</t>
  </si>
  <si>
    <t>Players take turns making one move.</t>
  </si>
  <si>
    <t>What happens if the well is empty?</t>
  </si>
  <si>
    <t>A. The game ends. B. The well remains empty. C. You will get opposing points. D. The player jumps in turn.</t>
  </si>
  <si>
    <t>The well remains empty.</t>
  </si>
  <si>
    <t>Empty wells cannot be used for further activities.</t>
  </si>
  <si>
    <t>What makes a mancala move strategic?</t>
  </si>
  <si>
    <t>A. Random sowing B. Defensive position C. Game speed D. By holding seeds</t>
  </si>
  <si>
    <t>By holding seeds</t>
  </si>
  <si>
    <t>Strategic activities focus on seed capture.</t>
  </si>
  <si>
    <t>What type of board is commonly used for Mancala?</t>
  </si>
  <si>
    <t>A. Round B. Rectangle C. Triangle D. Hexagonal</t>
  </si>
  <si>
    <t>Rectangular boards are standard in Mancala.</t>
  </si>
  <si>
    <t>What is the importance of warehouse pits?</t>
  </si>
  <si>
    <t>A. By holding the seeds B. Blocking activities C. Starting point D. Decoration</t>
  </si>
  <si>
    <t>By holding the seeds</t>
  </si>
  <si>
    <t>Storage pits hold captured seeds for storage.</t>
  </si>
  <si>
    <t>Which strategy can block your opponent's movement?</t>
  </si>
  <si>
    <t>A. Filling external cavities B. Leaving the wells empty C. Warehouse protection D. Sow evenly</t>
  </si>
  <si>
    <t>Leaving the wells empty</t>
  </si>
  <si>
    <t>Empty holes can limit opponents' chances of catching.</t>
  </si>
  <si>
    <t>A. The game continues. B. The game ends. C. The opponent gets more points. D. Reset the wells.</t>
  </si>
  <si>
    <t>The game ends when the holes on one side are empty.</t>
  </si>
  <si>
    <t>Which Mancala variation is the most complicated?</t>
  </si>
  <si>
    <t>A. If you don't have B. Oware C. Bantu D. Bao</t>
  </si>
  <si>
    <t>Bao is considered a very complex variation.</t>
  </si>
  <si>
    <t>What do the seeds represent in Mancala?</t>
  </si>
  <si>
    <t>A. Game rooms B. Points C. Decorations D. Indicators</t>
  </si>
  <si>
    <t>Game rooms</t>
  </si>
  <si>
    <t>Seeds are the main game pieces.</t>
  </si>
  <si>
    <t>What is the common well strategy?</t>
  </si>
  <si>
    <t>A. Random sowing B. Warehouse protection C. Balancing holes D. Jumping around</t>
  </si>
  <si>
    <t>Balancing holes</t>
  </si>
  <si>
    <t>Leveling the holes ensures even sowing and better movements.</t>
  </si>
  <si>
    <t>What happens if a player captures all the remaining seeds?</t>
  </si>
  <si>
    <t>A. Game restart B. Quick victory C. Bonus points D. The game ends.</t>
  </si>
  <si>
    <t>The game ends when all remaining seeds are captured.</t>
  </si>
  <si>
    <t>What is the benefit of early recordings?</t>
  </si>
  <si>
    <t>A. Quick victory B. Point advantage C. Opponent jump D. Defensive profit</t>
  </si>
  <si>
    <t>Point advantage</t>
  </si>
  <si>
    <t>Early shots give a scoring advantage.</t>
  </si>
  <si>
    <t>How does Mancala improve cognitive skills?</t>
  </si>
  <si>
    <t>A. Memory development B. Strategic thinking C. Creativity D. Ability to guess</t>
  </si>
  <si>
    <t>Mancala encourages strategic thinking.</t>
  </si>
  <si>
    <t>What is a common mistake in Mancala?</t>
  </si>
  <si>
    <t>A. Sow very slowly B. Unnecessarily blocking an opponent C. Leaving the captured wells open D. Preventing the warehouse too early</t>
  </si>
  <si>
    <t>Leaving the captured wells open</t>
  </si>
  <si>
    <t>Leaving occupied holes benefits the opposition.</t>
  </si>
  <si>
    <t>What is a holding tank?</t>
  </si>
  <si>
    <t>A. A hole for decoration B. Hole for bonus points C. The pit opposite the empty pit D. A pit for storing seeds</t>
  </si>
  <si>
    <t>The pit opposite the empty pit</t>
  </si>
  <si>
    <t>Keeping the holes will help you get more seeds.</t>
  </si>
  <si>
    <t>How do players reset the board after a game?</t>
  </si>
  <si>
    <t>A. Collect seeds by hand B. Holes in the ground C. Restarting is automatic. D. Clear storage only</t>
  </si>
  <si>
    <t>Collect seeds by hand</t>
  </si>
  <si>
    <t>Players collect and distribute seeds by hand.</t>
  </si>
  <si>
    <t>What is the winning strategy in Mancala?</t>
  </si>
  <si>
    <t>A. Warehouse protection B. Well balance C. Shoot frequently. D. Skip activities</t>
  </si>
  <si>
    <t>Shoot frequently.</t>
  </si>
  <si>
    <t>Repeated shots often lead to victory.</t>
  </si>
  <si>
    <t>Which Mancala rule affects the score?</t>
  </si>
  <si>
    <t>A. Turn the jump. B. Drilling more holes C. Seed bearing D. Hole swapping</t>
  </si>
  <si>
    <t>Seed bearing</t>
  </si>
  <si>
    <t>Taking seeds directly affects results.</t>
  </si>
  <si>
    <t>Which activity is the least effective?</t>
  </si>
  <si>
    <t>A. Random sowing B. Blocking holes C. Filling of occupied holes D. Warehouse protection</t>
  </si>
  <si>
    <t>Random sowing</t>
  </si>
  <si>
    <t>Random seeding is of little help in a strategic game.</t>
  </si>
  <si>
    <t>What is a storage pit?</t>
  </si>
  <si>
    <t>A. A hole for more seeds B. Pit for stored seeds C. Hole for decoration D. A hole to start activities</t>
  </si>
  <si>
    <t>Pit for stored seeds</t>
  </si>
  <si>
    <t>A storage pit stores the captured seeds.</t>
  </si>
  <si>
    <t>How does the number of races affect gameplay?</t>
  </si>
  <si>
    <t>A. Determines speed B. Limits turns. C. It influences strategies. D. Randomizes activities</t>
  </si>
  <si>
    <t>It influences strategies.</t>
  </si>
  <si>
    <t>The number of seeds affects the game strategies.</t>
  </si>
  <si>
    <t>What happens if a player only has one seed in a hole?</t>
  </si>
  <si>
    <t>A. The game ends. B. Limited activities C. The opponent wins. D. Bonus points</t>
  </si>
  <si>
    <t>Limited activities</t>
  </si>
  <si>
    <t>Having one seed per hole limits planting options.</t>
  </si>
  <si>
    <t>What is the Mancala defense strategy?</t>
  </si>
  <si>
    <t>A. Shoot frequently. B. Leave the holes full. C. Block opposition activities D. Random sowing</t>
  </si>
  <si>
    <t>Block opposition activities</t>
  </si>
  <si>
    <t>Blocking opposition movements prevents capture.</t>
  </si>
  <si>
    <t>What is the Mancala hole called in some variants?</t>
  </si>
  <si>
    <t>A. House hole B. Kalaha C. Seed pit D. Bao hole</t>
  </si>
  <si>
    <t>Kalaha</t>
  </si>
  <si>
    <t>Kalaha is a word used in some variations of Mancala.</t>
  </si>
  <si>
    <t>Which hole gives more spin?</t>
  </si>
  <si>
    <t>A. Storage pit B. Opposite word C. Own storage pit D. Central well</t>
  </si>
  <si>
    <t>Storage pit</t>
  </si>
  <si>
    <t>Sowing into the warehouse gives an extra turn.</t>
  </si>
  <si>
    <t>What happens if both players have the same race?</t>
  </si>
  <si>
    <t>A. Play it again. B. Both will lose. C. Draw D. The opponent wins.</t>
  </si>
  <si>
    <t>A draw occurs if both players have the same seed.</t>
  </si>
  <si>
    <t>How does Mancala promote education?</t>
  </si>
  <si>
    <t>A. By enforcing the rules B. Strategic gameplay C. By limiting activities D. By speeding up decisions</t>
  </si>
  <si>
    <t>Strategic gameplay</t>
  </si>
  <si>
    <t>Strategic play promotes cognitive development.</t>
  </si>
  <si>
    <t>Which material is best for Mancala boards?</t>
  </si>
  <si>
    <t>A. Glass B. Wood C. Plastic D. Iron</t>
  </si>
  <si>
    <t>Wooden boards are traditional and durable.</t>
  </si>
  <si>
    <t>What should players avoid doing early in the game?</t>
  </si>
  <si>
    <t>A. Hold on tight. B. Warehouse protection C. Well balance D. Random sowing</t>
  </si>
  <si>
    <t>Random seeding leads to poor strategies.</t>
  </si>
  <si>
    <t>How can a player recover from a poor performance?</t>
  </si>
  <si>
    <t>A. Defense game B. Sow quickly C. Be strategic. D. Skip the turns.</t>
  </si>
  <si>
    <t>Be strategic.</t>
  </si>
  <si>
    <t>Strategic shots can recover lost points.</t>
  </si>
  <si>
    <t>What is a good practice before a Mancala match?</t>
  </si>
  <si>
    <t>A. Counting seeds B. Reviewing past activities C. Setting up a timer D. Uneven filling of holes</t>
  </si>
  <si>
    <t>Reviewing past activities</t>
  </si>
  <si>
    <t>Reviewing past activities helps refine strategies.</t>
  </si>
  <si>
    <t>What happens when you plant the last seed in the opponent's hole?</t>
  </si>
  <si>
    <t>A. Opposing jumps turn B. There is no result. C. Bonus points D. Opponents will get seeds</t>
  </si>
  <si>
    <t>There is no result.</t>
  </si>
  <si>
    <t>Sowing into the opponent's hole has no effect.</t>
  </si>
  <si>
    <t>What is the maximum number of seeds a well can hold?</t>
  </si>
  <si>
    <t>A. Unlimited B. Fixed by rules C. Determined by board size D. Corrected by twisting</t>
  </si>
  <si>
    <t>Determined by board size</t>
  </si>
  <si>
    <t>The capacity of the well depends on the size of the board.</t>
  </si>
  <si>
    <t>Which hole has the lowest priority?</t>
  </si>
  <si>
    <t>A. Central well B. External hole C. Storage pit D. Back hole</t>
  </si>
  <si>
    <t>Back holes are not given much priority early in the game.</t>
  </si>
  <si>
    <t>What is the best Mancala strategy?</t>
  </si>
  <si>
    <t>A. Speed ​​moves. B. Hole balancing C. Protective sowing D. Holding a hole for sowing</t>
  </si>
  <si>
    <t>Holding a hole for sowing</t>
  </si>
  <si>
    <t>Advanced strategies focus on seeding captured wells.</t>
  </si>
  <si>
    <t>What is it called when a hole is dug?</t>
  </si>
  <si>
    <t>A. Dead hole B. Dead hole C. Blocked hole D. Hidden hole</t>
  </si>
  <si>
    <t>Dead hole</t>
  </si>
  <si>
    <t>Empty holes are considered inactive during play.</t>
  </si>
  <si>
    <t>In the Ethiopian cow jumping initiation, how many times must the initiate jump across the line of cattle to complete the ritual?</t>
  </si>
  <si>
    <t>A. 2 times B. 3 times C. 4 times D. 5 times</t>
  </si>
  <si>
    <t>C) 4 times</t>
  </si>
  <si>
    <t>The initiate must leap across the backs of the cattle four times consecutively without falling, symbolizing maturity and readiness for adulthood.</t>
  </si>
  <si>
    <t>What is the minimum requirement for the initiate during the jump?</t>
  </si>
  <si>
    <t>A. Jump over at least half the cows B. Land with both feet together C. Clear all the lined-up cows without falling D. Touch at least one cow with the hand</t>
  </si>
  <si>
    <t>C) Clear all the lined-up cows without falling</t>
  </si>
  <si>
    <t>The rule is that the initiate must cross the entire row of cows successfully; stumbling or falling invalidates the attempt.</t>
  </si>
  <si>
    <t>If an initiate falls during the first attempt, what is the traditional outcome?</t>
  </si>
  <si>
    <t>A. He is considered an adult anyway B. He must pay compensation C. He must wait until the next year to try again D. He gets a second attempt on the same day</t>
  </si>
  <si>
    <t>C) He must wait until the next year to try again</t>
  </si>
  <si>
    <t>Failure means postponement; he may retry only during the following year’s ceremony.</t>
  </si>
  <si>
    <t>Who usually organizes and oversees the ritual?</t>
  </si>
  <si>
    <t>A. Village elders B. Government officials C. Fellow initiates D. Local hunters</t>
  </si>
  <si>
    <t>A) Village elders</t>
  </si>
  <si>
    <t>Elders oversee the ritual, ensuring the rules are followed and the initiate is prepared.</t>
  </si>
  <si>
    <t>What role do women relatives play before the jumping ritual?</t>
  </si>
  <si>
    <t>A. They must remain silent observers B. They sing, dance, and sometimes undergo ritual whipping C. They arrange the cattle for the jump D. They decide the initiate’s success</t>
  </si>
  <si>
    <t>B) They sing, dance, and sometimes undergo ritual whipping</t>
  </si>
  <si>
    <t>Women encourage the initiate through songs and willingly take part in whipping rituals as a sign of loyalty and support.</t>
  </si>
  <si>
    <t>What is the symbolic meaning of clearing the cows without falling?</t>
  </si>
  <si>
    <t>A. The boy is fit to be a warrior B. He is accepted as an adult man ready for marriage C. He becomes eligible to herd more cattle D. He earns wealth from the community</t>
  </si>
  <si>
    <t>B) He is accepted as an adult man ready for marriage</t>
  </si>
  <si>
    <t>The ritual marks the passage into manhood and marital eligibility.</t>
  </si>
  <si>
    <t>What happens to the cows during the ritual?</t>
  </si>
  <si>
    <t>A. They are slaughtered afterwards B. They are lined up side by side for the jump C. They are decorated with paint and jewelry D. They are sold to pay for the ceremony</t>
  </si>
  <si>
    <t>B) They are lined up side by side for the jump</t>
  </si>
  <si>
    <t>The cattle are positioned closely together, forming the 'track' for the initiate to leap across.</t>
  </si>
  <si>
    <t>What is forbidden during the jump?</t>
  </si>
  <si>
    <t>A. Touching the cattle with hands B. Falling off the line of cows C. Skipping one of the four jumps D. All of the above</t>
  </si>
  <si>
    <t>D) All of the above</t>
  </si>
  <si>
    <t>Rules require strict discipline—no skipping, falling, or using hands to steady oneself.</t>
  </si>
  <si>
    <t>Why must the initiate jump naked or nearly naked?</t>
  </si>
  <si>
    <t>A. To symbolize purity and a new stage of life B. Because clothes restrict movement C. As punishment D. To show bravery against the cold</t>
  </si>
  <si>
    <t>A) To symbolize purity and a new stage of life</t>
  </si>
  <si>
    <t>Nudity represents shedding childhood and entering adulthood with symbolic rebirth.</t>
  </si>
  <si>
    <t>If the initiate succeeds, what is his new right?</t>
  </si>
  <si>
    <t>A. To own land B. To take part in tribal councils C. To marry and raise a family D. To lead war dances</t>
  </si>
  <si>
    <t>C) To marry and raise a family</t>
  </si>
  <si>
    <t>Success gives him the status of manhood, including marriage rights.</t>
  </si>
  <si>
    <t>How are the cows typically restrained during the jump?</t>
  </si>
  <si>
    <t>A. Tied with ropes B. Held in a tight line by helpers C. Left free to move around D. Buried partially in soil</t>
  </si>
  <si>
    <t>B) Held in a tight line by helpers</t>
  </si>
  <si>
    <t>Helpers hold the cattle still to ensure the initiate can safely leap across.</t>
  </si>
  <si>
    <t>What happens if the initiate refuses to attempt the ritual?</t>
  </si>
  <si>
    <t>A. He is disowned from the family B. He is mocked and cannot marry C. He is forced into exile D. He is fined cattle</t>
  </si>
  <si>
    <t>B) He is mocked and cannot marry</t>
  </si>
  <si>
    <t>Refusal is seen as cowardice; the man cannot be considered eligible for marriage.</t>
  </si>
  <si>
    <t>Why is whipping of women seen as part of the ceremony?</t>
  </si>
  <si>
    <t>A. To punish disobedience B. As a voluntary show of support and loyalty to the initiate C. To distract enemies D. To mark the end of the ritual</t>
  </si>
  <si>
    <t>B) As a voluntary show of support and loyalty to the initiate</t>
  </si>
  <si>
    <t>Women request whipping to demonstrate endurance and solidarity, marking family honor.</t>
  </si>
  <si>
    <t>What age are boys typically chosen for this initiation?</t>
  </si>
  <si>
    <t>A. 5–7 years B. 10–12 years C. Late teens or early twenties D. After marriage</t>
  </si>
  <si>
    <t>C) Late teens or early twenties</t>
  </si>
  <si>
    <t>The ceremony is for young men approaching adulthood and readiness for family life.</t>
  </si>
  <si>
    <t>What is the consequence if a boy falls in the last jump?</t>
  </si>
  <si>
    <t>A. He is still considered successful B. The entire attempt is invalid C. He must redo only the last jump D. He pays a symbolic fine</t>
  </si>
  <si>
    <t>B) The entire attempt is invalid</t>
  </si>
  <si>
    <t>Success requires all four jumps without a fall. Even failing at the last disqualifies the attempt.</t>
  </si>
  <si>
    <t>Which group of men usually prepares the cattle line?</t>
  </si>
  <si>
    <t>A. Other initiates B. Married men C. Uncles of the initiate D. Priests</t>
  </si>
  <si>
    <t>B) Married men</t>
  </si>
  <si>
    <t>Married men, already recognized as adults, help arrange the cows and guide the ritual.</t>
  </si>
  <si>
    <t>What does stumbling during a jump symbolize to the tribe?</t>
  </si>
  <si>
    <t>A. The boy is unfit for farming B. He is spiritually cursed C. He is not yet ready for adulthood D. He will face banishment</t>
  </si>
  <si>
    <t>C) He is not yet ready for adulthood</t>
  </si>
  <si>
    <t>Falling means the boy must wait and prove himself again later.</t>
  </si>
  <si>
    <t>Why is cattle central to the ritual?</t>
  </si>
  <si>
    <t>A. Cattle are considered sacred wealth and status symbols B. They are easy to line up for jumping C. They are abundant in Ethiopia D. To prepare them for slaughter</t>
  </si>
  <si>
    <t>A) Cattle are considered sacred wealth and status symbols</t>
  </si>
  <si>
    <t>In Hamar culture, cattle are the foundation of wealth, status, and spiritual life.</t>
  </si>
  <si>
    <t>How do the community members react after a successful jump?</t>
  </si>
  <si>
    <t>A. Silent observation B. They celebrate with dancing, songs, and feasting C. They immediately arrange his marriage D. They slaughter all the cows</t>
  </si>
  <si>
    <t>B) They celebrate with dancing, songs, and feasting</t>
  </si>
  <si>
    <t>Success is marked by joyful community celebration, symbolizing his new status.</t>
  </si>
  <si>
    <t>What does the ritual as a whole represent?</t>
  </si>
  <si>
    <t>A. A test of physical fitness B. A symbolic passage from boyhood to manhood C. A yearly festival for the tribe D. A cattle ownership ceremony</t>
  </si>
  <si>
    <t>B) A symbolic passage from boyhood to manhood</t>
  </si>
  <si>
    <t>The ritual is fundamentally an initiation rite, transforming a boy into a socially recognized man.</t>
  </si>
  <si>
    <t>Before the jumping begins, what ritual act is performed by the women relatives?</t>
  </si>
  <si>
    <t>A. They bless the cows with milk B. They sing and dance in a circle C. They mark the ground with ashes D. They cover the initiate with animal skin</t>
  </si>
  <si>
    <t>B) They sing and dance in a circle</t>
  </si>
  <si>
    <t>Women gather in groups, dancing and singing songs of encouragement to prepare the atmosphere.</t>
  </si>
  <si>
    <t>What must the initiate avoid doing when running across the cows’ backs?</t>
  </si>
  <si>
    <t>A. Hesitating in between cows B. Running too fast C. Singing while jumping D. Wearing ornaments</t>
  </si>
  <si>
    <t>A) Hesitating in between cows</t>
  </si>
  <si>
    <t>He must move swiftly and steadily without stopping; hesitation increases risk of falling.</t>
  </si>
  <si>
    <t>Which family member traditionally plays the biggest role in arranging the ceremony?</t>
  </si>
  <si>
    <t>A. Father B. Mother’s brother (maternal uncle) C. Elder brother D. Grandfather</t>
  </si>
  <si>
    <t>B) Mother’s brother (maternal uncle)</t>
  </si>
  <si>
    <t>In Hamar culture, the maternal uncle has a special role in overseeing the initiation.</t>
  </si>
  <si>
    <t>What is the significance of scars left by ritual whipping on women?</t>
  </si>
  <si>
    <t>A. Signs of weakness B. Proof of loyalty and family honor C. Marks of punishment D. Indications of marriage status</t>
  </si>
  <si>
    <t>B) Proof of loyalty and family honor</t>
  </si>
  <si>
    <t>Scars are carried with pride as a lifelong testament of support for their kin.</t>
  </si>
  <si>
    <t>What material is often rubbed on the cows before the ceremony?</t>
  </si>
  <si>
    <t>A. Butter and ash B. Clay and red ochre C. Oil and sand D. Salt water</t>
  </si>
  <si>
    <t>A) Butter and ash</t>
  </si>
  <si>
    <t>Cows are smeared with butter and ash to prepare and mark them for the sacred ritual.</t>
  </si>
  <si>
    <t>Who selects the cows to be lined up?</t>
  </si>
  <si>
    <t>A. The initiate himself B. Married men of the clan C. Women relatives D. Local priest</t>
  </si>
  <si>
    <t>B) Married men of the clan</t>
  </si>
  <si>
    <t>Married men prepare and arrange the cows, ensuring they are suitable for jumping.</t>
  </si>
  <si>
    <t>What do women blow during the celebration?</t>
  </si>
  <si>
    <t>A. Whistles B. Horns C. Metal bells D. Flutes</t>
  </si>
  <si>
    <t>B) Horns</t>
  </si>
  <si>
    <t>Horns are blown to signal joy and energy during the festive ritual.</t>
  </si>
  <si>
    <t>What is one of the initiates’ restrictions before the ritual?</t>
  </si>
  <si>
    <t>A. He must fast for a day B. He must not touch women C. He must not herd cattle D. He must not drink milk</t>
  </si>
  <si>
    <t>B) He must not touch women</t>
  </si>
  <si>
    <t>Before the jump, he avoids physical contact with women to symbolize purity and readiness.</t>
  </si>
  <si>
    <t>What group traditionally lashes women during the ceremony when they request it?</t>
  </si>
  <si>
    <t>A. Initiates themselves B. Elders C. The Maz (ritual men with whips) D. Hunters</t>
  </si>
  <si>
    <t>C) The Maz (ritual men with whips)</t>
  </si>
  <si>
    <t>The Maz are a distinct group who whip women during the ritual as part of tradition.</t>
  </si>
  <si>
    <t>What marks the boy’s transition after he succeeds?</t>
  </si>
  <si>
    <t>A. He receives new clothes B. He is smeared with butter and ash C. He is publicly blessed as a man D. He is given a spear</t>
  </si>
  <si>
    <t>C) He is publicly blessed as a man</t>
  </si>
  <si>
    <t>Community elders and family recognize him with blessings as an adult.</t>
  </si>
  <si>
    <t>What is forbidden for the initiate during the leap?</t>
  </si>
  <si>
    <t>A. Looking backward B. Jumping diagonally C. Falling onto the ground D. All of the above</t>
  </si>
  <si>
    <t>He must run straight, not look back, and avoid falling.</t>
  </si>
  <si>
    <t>How are the cows usually positioned?</t>
  </si>
  <si>
    <t>A. Heads facing east B. Lined tightly side by side C. Standing in a circle D. Facing the initiate</t>
  </si>
  <si>
    <t>B) Lined tightly side by side</t>
  </si>
  <si>
    <t>Cows form a straight line, creating a surface for the jumps.</t>
  </si>
  <si>
    <t>If an initiate shows fear before jumping, what is the cultural reaction?</t>
  </si>
  <si>
    <t>A. Encouragement from elders B. He is laughed at and shamed C. He is given less cows to jump D. Ceremony is postponed</t>
  </si>
  <si>
    <t>B) He is laughed at and shamed</t>
  </si>
  <si>
    <t>Fear is ridiculed because courage is essential to manhood.</t>
  </si>
  <si>
    <t>Why do women wear bead necklaces and decorate themselves?</t>
  </si>
  <si>
    <t>A. To show wealth B. To honor the initiate C. To distract evil spirits D. To compete with each other</t>
  </si>
  <si>
    <t>B) To honor the initiate</t>
  </si>
  <si>
    <t>They adorn themselves as part of the festive support for the young man.</t>
  </si>
  <si>
    <t>Who ensures that the initiate is ready to attempt the jumps?</t>
  </si>
  <si>
    <t>A. His father B. His maternal uncle and elders C. His brothers D. His peers</t>
  </si>
  <si>
    <t>B) His maternal uncle and elders</t>
  </si>
  <si>
    <t>They judge readiness and grant permission for the jump.</t>
  </si>
  <si>
    <t>Why is nudity required of the initiate?</t>
  </si>
  <si>
    <t>A. To prevent hiding charms or weapons B. To symbolize leaving childhood behind C. To avoid damaging clothes D. To impress spectators</t>
  </si>
  <si>
    <t>B) To symbolize leaving childhood behind</t>
  </si>
  <si>
    <t>Nudity represents shedding the old identity and entering adulthood.</t>
  </si>
  <si>
    <t>What happens immediately after the jump if the boy fails?</t>
  </si>
  <si>
    <t>A. He is taken into seclusion B. He is ridiculed C. The ceremony ends for him D. All of the above</t>
  </si>
  <si>
    <t>Failure means ridicule and exclusion until the next year.</t>
  </si>
  <si>
    <t>What do the scars from whipping mean for women later in life?</t>
  </si>
  <si>
    <t>A. Proof they attended the ritual B. Symbols of courage and kinship loyalty C. Marks of shame D. Sign of belonging to a rival clan</t>
  </si>
  <si>
    <t>B) Symbols of courage and kinship loyalty</t>
  </si>
  <si>
    <t>Women treat scars as honored evidence of their sacrifice and love for kin.</t>
  </si>
  <si>
    <t>Which season is cow jumping often linked to?</t>
  </si>
  <si>
    <t>A. After harvest B. During the dry season C. At the start of rainy season D. Around tribal festivals</t>
  </si>
  <si>
    <t>A) After harvest</t>
  </si>
  <si>
    <t>Ceremonies are often scheduled after harvest, when food and cattle are abundant.</t>
  </si>
  <si>
    <t>What is the initiate forbidden from doing once he begins the run?</t>
  </si>
  <si>
    <t>A. Touching helpers B. Slowing down mid-jump C. Grabbing a cow’s horn D. All of the above</t>
  </si>
  <si>
    <t>The rules demand swift, uninterrupted, unaided running.</t>
  </si>
  <si>
    <t>What is used to decorate women’s hair during the event?</t>
  </si>
  <si>
    <t>A. Clay and butter B. Ash C. Milk D. Henna</t>
  </si>
  <si>
    <t>A) Clay and butter</t>
  </si>
  <si>
    <t>Women’s hair is styled with a mix of butter and ochre clay as part of celebration.</t>
  </si>
  <si>
    <t>What happens to the whips after the ceremony?</t>
  </si>
  <si>
    <t>A. Kept as sacred items B. Given to the initiate C. Burned D. Returned to the Maz</t>
  </si>
  <si>
    <t>D) Returned to the Maz</t>
  </si>
  <si>
    <t>The whips belong to the Maz, who use them only for such rituals.</t>
  </si>
  <si>
    <t>Why is cattle wealth central to the ritual?</t>
  </si>
  <si>
    <t>A. They represent economic power and spirituality B. They are easy to gather C. They attract spectators D. They are owned by all clans</t>
  </si>
  <si>
    <t>A) They represent economic power and spirituality</t>
  </si>
  <si>
    <t>Cattle are the foundation of Hamar culture, wealth, and social status.</t>
  </si>
  <si>
    <t>How do men prepare themselves before the ritual?</t>
  </si>
  <si>
    <t>A. Smear their bodies with ash B. Fast overnight C. Drink milk and honey wine D. Wear warrior ornaments</t>
  </si>
  <si>
    <t>C) Drink milk and honey wine</t>
  </si>
  <si>
    <t>Honey wine is shared as part of celebration before the event.</t>
  </si>
  <si>
    <t>What is the role of younger boys in the event?</t>
  </si>
  <si>
    <t>A. They are silent B. They watch and learn traditions C. They help tie the cows D. They chase away spirits</t>
  </si>
  <si>
    <t>B) They watch and learn traditions</t>
  </si>
  <si>
    <t>Young boys attend to observe and prepare for their own future initiation.</t>
  </si>
  <si>
    <t>What natural object is often used for blessings during the ritual?</t>
  </si>
  <si>
    <t>A. Milk B. Cow dung C. Tree leaves D. Sacred stones</t>
  </si>
  <si>
    <t>A) Milk</t>
  </si>
  <si>
    <t>Milk is sprinkled as a symbol of purity and prosperity.</t>
  </si>
  <si>
    <t>Who decides the date of the initiation ceremony?</t>
  </si>
  <si>
    <t>A. Elders and family B. Government officials C. Initiate himself D. Women relatives</t>
  </si>
  <si>
    <t>A) Elders and family</t>
  </si>
  <si>
    <t>Timing is chosen collectively by elders and kin based on readiness and season.</t>
  </si>
  <si>
    <t>What cultural value is being tested most by the ritual?</t>
  </si>
  <si>
    <t>A. Wealth B. Bravery and endurance C. Intelligence D. Speed</t>
  </si>
  <si>
    <t>B) Bravery and endurance</t>
  </si>
  <si>
    <t>Courage and resilience are central values tested by this passage rite.</t>
  </si>
  <si>
    <t>Who lashes women if they do not show courage?</t>
  </si>
  <si>
    <t>A. Nobody; whipping is voluntary B. Elders force it C. The initiate himself D. Other women</t>
  </si>
  <si>
    <t>A) Nobody; whipping is voluntary</t>
  </si>
  <si>
    <t>Women choose to be whipped; it is never forced.</t>
  </si>
  <si>
    <t>What is one rule for spectators during the ceremony?</t>
  </si>
  <si>
    <t>A. They must not interfere with the jump B. They must sit quietly C. They must line up behind the cows D. They must donate cattle</t>
  </si>
  <si>
    <t>A) They must not interfere with the jump</t>
  </si>
  <si>
    <t>The ritual must proceed without obstruction from the crowd.</t>
  </si>
  <si>
    <t>What marks the initiate’s readiness before the jump?</t>
  </si>
  <si>
    <t>A. He is stripped and oiled B. He receives blessings from elders C. He is painted with clay D. He touches each cow</t>
  </si>
  <si>
    <t>B) He receives blessings from elders</t>
  </si>
  <si>
    <t>Elders pronounce blessings, authorizing him to attempt the leap.</t>
  </si>
  <si>
    <t>Why are women’s songs crucial in the ritual?</t>
  </si>
  <si>
    <t>A. They direct the cattle B. They attract spirits of ancestors C. They encourage the initiate’s courage D. They replace drumming</t>
  </si>
  <si>
    <t>C) They encourage the initiate’s courage</t>
  </si>
  <si>
    <t>Songs give strength and emotional support to the jumper.</t>
  </si>
  <si>
    <t>What happens after a man completes his jump successfully?</t>
  </si>
  <si>
    <t>A. He hosts a feast B. He receives cattle as a gift C. He is allowed to marry D. All of the above</t>
  </si>
  <si>
    <t>Marriage rights, feasting, and sometimes gifts of cattle follow success.</t>
  </si>
  <si>
    <t>Which body part must not touch the ground during the leap?</t>
  </si>
  <si>
    <t>A. Head B. Hand C. Feet (while mid-jump) D. All of the above</t>
  </si>
  <si>
    <t>Touching the ground or cows improperly invalidates the leap.</t>
  </si>
  <si>
    <t>Who usually guards the cows from running away?</t>
  </si>
  <si>
    <t>A. Elders B. Maz with whips C. Married men D. Women relatives</t>
  </si>
  <si>
    <t>C) Married men</t>
  </si>
  <si>
    <t>Married men ensure the cows stay in line.</t>
  </si>
  <si>
    <t>Why is the ritual called a “sport-like” activity?</t>
  </si>
  <si>
    <t>A. It requires physical skill, speed, and balance B. It is competitive C.  It has prizes D.  It is performed annually</t>
  </si>
  <si>
    <t>A) It requires physical skill, speed, and balance</t>
  </si>
  <si>
    <t>The leap mimics athletic challenges but with deep ritual meaning.</t>
  </si>
  <si>
    <t>What is the role of honey in the celebration?</t>
  </si>
  <si>
    <t>A. Used for cow decoration B. Consumed as honey wine for festivity C. Applied to scars D. Used as offering to spirits</t>
  </si>
  <si>
    <t>B) Consumed as honey wine for festivity</t>
  </si>
  <si>
    <t>Honey wine is a celebratory drink marking joy and unity.</t>
  </si>
  <si>
    <t>What marks the end of the ritual?</t>
  </si>
  <si>
    <t>A. Elders’ blessing feast B. Women stop singing C. Cows are released D. The Maz declare closure</t>
  </si>
  <si>
    <t>A) Elders’ blessing feast</t>
  </si>
  <si>
    <t>The final communal meal and blessings mark ritual completion.</t>
  </si>
  <si>
    <t>What does the act of jumping cattle specifically symbolize?</t>
  </si>
  <si>
    <t>A. Crossing from childhood to manhood B. Conquering fear of animals C. Respect for cattle D. Physical training</t>
  </si>
  <si>
    <t>A) Crossing from childhood to manhood</t>
  </si>
  <si>
    <t>The jump symbolizes transition across life stages.</t>
  </si>
  <si>
    <t>What is the broader purpose of the ritual for the tribe?</t>
  </si>
  <si>
    <t>A. To strengthen cultural unity B. To test agricultural skills C. To please spirits of rain D. To trade cattle</t>
  </si>
  <si>
    <t>A) To strengthen cultural unity</t>
  </si>
  <si>
    <t>The communal ritual binds families, reinforces values, and sustains identity.</t>
  </si>
  <si>
    <t>What must women do if they request whipping?</t>
  </si>
  <si>
    <t>A. Stand silently B. Sing louder C. Present their back willingly D. Pay a fee to the Maz</t>
  </si>
  <si>
    <t>C) Present their back willingly</t>
  </si>
  <si>
    <t>Whipping is voluntary; women show their readiness by turning their back.</t>
  </si>
  <si>
    <t>Why is the ritual considered dangerous?</t>
  </si>
  <si>
    <t>A. Cows may move or kick B. Initiate may fall badly C. Whipping can cause scars D. All of the above</t>
  </si>
  <si>
    <t>Physical risk exists for both men (jumping) and women (whipping).</t>
  </si>
  <si>
    <t>Which object is sometimes tied to women’s ankles for rhythm?</t>
  </si>
  <si>
    <t>A. Bells B. Beads C. Feathers D. Cow tails</t>
  </si>
  <si>
    <t>A) Bells</t>
  </si>
  <si>
    <t>Women wear ankle bells to add rhythm to their dances and songs.</t>
  </si>
  <si>
    <t>What is the role of clan members other than immediate family?</t>
  </si>
  <si>
    <t>A. Provide cattle and support B. Observe only C. Whip the initiate D. Sell food at the festival</t>
  </si>
  <si>
    <t>A) Provide cattle and support</t>
  </si>
  <si>
    <t>The entire clan contributes cattle and encouragement for the event.</t>
  </si>
  <si>
    <t>What is poured on women’s hair as part of decoration?</t>
  </si>
  <si>
    <t>A. Cow milk B. Oil mixed with red ochre C. River mud D. Salt water</t>
  </si>
  <si>
    <t>B) Oil mixed with red ochre</t>
  </si>
  <si>
    <t>Women’s hair is styled with butter or oil blended with ochre.</t>
  </si>
  <si>
    <t>Why must the initiate be sober during the jump?</t>
  </si>
  <si>
    <t>A. Alcohol weakens courage B. Rules forbid drunkenness in sacred ritual C. It may cause imbalance D. All of the above</t>
  </si>
  <si>
    <t>Balance and clarity are essential; alcohol is forbidden for jumpers.</t>
  </si>
  <si>
    <t>Who are the “Ukuli” in the ceremony?</t>
  </si>
  <si>
    <t>A. Married men B. Elders C. Young initiates D. Women relatives</t>
  </si>
  <si>
    <t>C) Young initiates</t>
  </si>
  <si>
    <t>“Ukuli” literally refers to boys undergoing initiation.</t>
  </si>
  <si>
    <t>What do elders often carry during the ceremony?</t>
  </si>
  <si>
    <t>A. Sticks or staffs B. Spears C. Sacred books D. Whips</t>
  </si>
  <si>
    <t>A) Sticks or staffs</t>
  </si>
  <si>
    <t>Elders use sticks as symbols of authority and order.</t>
  </si>
  <si>
    <t>What are the Maz not allowed to do while whipping women?</t>
  </si>
  <si>
    <t>A. Laugh at them B. Strike their faces C. Walk away mid-whip D. Wear clothes</t>
  </si>
  <si>
    <t>B) Strike their faces</t>
  </si>
  <si>
    <t>The whip is only for the back; hitting the face breaks ritual rules.</t>
  </si>
  <si>
    <t>What do women sometimes do after being whipped?</t>
  </si>
  <si>
    <t>A. Cry loudly B. Dance harder and sing louder C. Leave the event D. Demand compensation</t>
  </si>
  <si>
    <t>B) Dance harder and sing louder</t>
  </si>
  <si>
    <t>Women show endurance and pride by celebrating their scars with louder energy.</t>
  </si>
  <si>
    <t>Why is running speed important for the initiate?</t>
  </si>
  <si>
    <t>A. To impress spectators B. To maintain balance across the cows C. To finish before the horn stops D. To follow ancestral rules</t>
  </si>
  <si>
    <t>B) To maintain balance across the cows</t>
  </si>
  <si>
    <t>Fast, steady speed prevents hesitation and falling.</t>
  </si>
  <si>
    <t>What marks the beginning of the ritual sequence?</t>
  </si>
  <si>
    <t>A. Women’s dancing B. Lining up the cows C. Elders’ blessing D. Drinking honey wine</t>
  </si>
  <si>
    <t>C) Elders’ blessing</t>
  </si>
  <si>
    <t>Elders bless the initiate first, granting permission to start.</t>
  </si>
  <si>
    <t>Who ensures cows stay in a straight line?</t>
  </si>
  <si>
    <t>A. Boys B. Married men holding their tails C. Elders with sticks D. Women with songs</t>
  </si>
  <si>
    <t>B) Married men holding their tails</t>
  </si>
  <si>
    <t>Married men physically hold cows by tails or horns to keep them steady.</t>
  </si>
  <si>
    <t>What is the initiate symbolically “leaving behind” after the ritual?</t>
  </si>
  <si>
    <t>A. His cattle wealth B. His childhood identity C. His mother’s house D. His village</t>
  </si>
  <si>
    <t>B) His childhood identity</t>
  </si>
  <si>
    <t>The jump marks his transformation from boyhood to manhood.</t>
  </si>
  <si>
    <t>Which food is most associated with celebration afterwards?</t>
  </si>
  <si>
    <t>A. Roasted goat B. Milk and porridge C. Honey wine and meat D. Fish stew</t>
  </si>
  <si>
    <t>C) Honey wine and meat</t>
  </si>
  <si>
    <t>Meat and honey wine are central in the post-ceremony feast.</t>
  </si>
  <si>
    <t>What must the initiate avoid looking at during the leap?</t>
  </si>
  <si>
    <t>A. His mother B. The ground C. The sun D. The spectators</t>
  </si>
  <si>
    <t>B) The ground</t>
  </si>
  <si>
    <t>Looking down can cause fear and imbalance; focus must stay forward.</t>
  </si>
  <si>
    <t>Why do women sometimes paint their faces white during the event?</t>
  </si>
  <si>
    <t>A. To show mourning B. To repel evil spirits C. To appear more festive D. To symbolize fertility</t>
  </si>
  <si>
    <t>B) To repel evil spirits</t>
  </si>
  <si>
    <t>White paint is seen as protection against harmful spirits.</t>
  </si>
  <si>
    <t>What musical element accompanies the ceremony?</t>
  </si>
  <si>
    <t>A. Drumming and clapping B. Only whistling C. Harp music D. None</t>
  </si>
  <si>
    <t>A) Drumming and clapping</t>
  </si>
  <si>
    <t>Drums and claps set rhythm for dances and celebrations.</t>
  </si>
  <si>
    <t>What quality is most tested by the ritual for women?</t>
  </si>
  <si>
    <t>A. Beauty B. Loyalty and endurance C. Wealth D. Fertility</t>
  </si>
  <si>
    <t>B) Loyalty and endurance</t>
  </si>
  <si>
    <t>Their willingness to face pain reflects loyalty to kin.</t>
  </si>
  <si>
    <t>What happens if cows scatter during the ritual?</t>
  </si>
  <si>
    <t>A. Ceremony is paused and cows re-lined B. Initiate continues anyway C. Elders cancel the ritual D. Cows are replaced with goats</t>
  </si>
  <si>
    <t>A) Ceremony is paused and cows re-lined</t>
  </si>
  <si>
    <t>The line must be stable for valid jumping.</t>
  </si>
  <si>
    <t>Which clan members sing the loudest to motivate the jumper?</t>
  </si>
  <si>
    <t>A. Sisters and cousins B. Fathers C. Grandmothers D. Brothers</t>
  </si>
  <si>
    <t>A) Sisters and cousins</t>
  </si>
  <si>
    <t>Female relatives lead chants to boost morale.</t>
  </si>
  <si>
    <t>Which hand gesture is forbidden during the jump?</t>
  </si>
  <si>
    <t>A. Waving B. Touching a cow for support C. Raising both arms D. Clenching fists</t>
  </si>
  <si>
    <t>B) Touching a cow for support</t>
  </si>
  <si>
    <t>The initiate must not grab cattle; balance must be natural.</t>
  </si>
  <si>
    <t>Why is the ritual considered a communal rather than private act?</t>
  </si>
  <si>
    <t>A. Entire clan contributes cattle and songs B. Government records it C. Tourists attend D. It is done in markets</t>
  </si>
  <si>
    <t>A) Entire clan contributes cattle and songs</t>
  </si>
  <si>
    <t>The ritual strengthens unity by involving the whole clan.</t>
  </si>
  <si>
    <t>What happens if the initiate hesitates and refuses to jump midway?</t>
  </si>
  <si>
    <t>A. Elders encourage him to continue B. He is mocked and cannot retry until next year C. He is fined D. He is forced to marry immediately</t>
  </si>
  <si>
    <t>B) He is mocked and cannot retry until next year</t>
  </si>
  <si>
    <t>Cowardice is punished by ridicule and delay.</t>
  </si>
  <si>
    <t>What is applied to cows’ horns sometimes before the event?</t>
  </si>
  <si>
    <t>A. Ash B. Paint or ochre C. Butter D. Blood</t>
  </si>
  <si>
    <t>C) Butter</t>
  </si>
  <si>
    <t>Butter is rubbed to shine and prepare them for ceremony.</t>
  </si>
  <si>
    <t>What signals the crowd that the boy has succeeded?</t>
  </si>
  <si>
    <t>A. A horn is blown B. Elders raise their sticks C. Women scream celebratory ululations D. All of the above</t>
  </si>
  <si>
    <t>Multiple signs announce successful manhood.</t>
  </si>
  <si>
    <t>Who are forbidden to participate as jumpers?</t>
  </si>
  <si>
    <t>A. Married men B. Women C. Elders D. Children</t>
  </si>
  <si>
    <t>A) Married men</t>
  </si>
  <si>
    <t>Only unmarried boys undergo this initiation.</t>
  </si>
  <si>
    <t>What does the initiate gain socially after completion?</t>
  </si>
  <si>
    <t>A. Respect, adulthood status, and marriage rights B. A new name C. Wealth immediately D. Land inheritance</t>
  </si>
  <si>
    <t>A) Respect, adulthood status, and marriage rights</t>
  </si>
  <si>
    <t>Success marks official entry into manhood and social respect.</t>
  </si>
  <si>
    <t>Why is this ritual preserved even today despite risks?</t>
  </si>
  <si>
    <t>A. It is central to Hamar identity and cultural continuity B. It attracts tourists C. It increases cattle trade D. It entertains children</t>
  </si>
  <si>
    <t>A) It is central to Hamar identity and cultural continuity</t>
  </si>
  <si>
    <t>Cow jumping is a sacred initiation rite, deeply tied to cultural survival.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</si>
</sst>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color theme="1"/>
      <name val="Arial"/>
      <scheme val="minor"/>
    </font>
    <font>
      <b/>
      <color rgb="FFFFFFFF"/>
      <name val="Arial"/>
    </font>
    <font>
      <color theme="1"/>
      <name val="Arial"/>
    </font>
  </fonts>
  <fills count="3">
    <fill>
      <patternFill patternType="none"/>
    </fill>
    <fill>
      <patternFill patternType="lightGray"/>
    </fill>
    <fill>
      <patternFill patternType="solid">
        <fgColor rgb="FF356854"/>
        <bgColor rgb="FF356854"/>
      </patternFill>
    </fill>
  </fills>
  <borders count="4">
    <border/>
    <border>
      <left style="thin">
        <color rgb="FF284E3F"/>
      </left>
      <right style="thin">
        <color rgb="FF356854"/>
      </right>
      <top style="thin">
        <color rgb="FF284E3F"/>
      </top>
      <bottom style="thin">
        <color rgb="FF284E3F"/>
      </bottom>
    </border>
    <border>
      <right style="thin">
        <color rgb="FF356854"/>
      </right>
      <top style="thin">
        <color rgb="FF284E3F"/>
      </top>
      <bottom style="thin">
        <color rgb="FF284E3F"/>
      </bottom>
    </border>
    <border>
      <right style="thin">
        <color rgb="FF284E3F"/>
      </right>
      <top style="thin">
        <color rgb="FF284E3F"/>
      </top>
      <bottom style="thin">
        <color rgb="FF284E3F"/>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1" fillId="2" fontId="2" numFmtId="0" xfId="0" applyAlignment="1" applyBorder="1" applyFill="1" applyFont="1">
      <alignment horizontal="left" readingOrder="0" shrinkToFit="0" vertical="bottom" wrapText="0"/>
    </xf>
    <xf borderId="2" fillId="2" fontId="2" numFmtId="0" xfId="0" applyAlignment="1" applyBorder="1" applyFont="1">
      <alignment horizontal="left" readingOrder="0" shrinkToFit="0" vertical="bottom" wrapText="0"/>
    </xf>
    <xf borderId="3" fillId="2" fontId="2" numFmtId="0" xfId="0" applyAlignment="1" applyBorder="1" applyFont="1">
      <alignment horizontal="left" readingOrder="0" shrinkToFit="0" vertical="bottom"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shrinkToFit="0" vertical="bottom"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shrinkToFit="0" vertical="bottom" wrapText="0"/>
    </xf>
    <xf borderId="0" fillId="0" fontId="3"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6">
    <tableStyle count="4" pivot="0" name="Genna-style">
      <tableStyleElement dxfId="1" type="headerRow"/>
      <tableStyleElement dxfId="2" type="firstRowStripe"/>
      <tableStyleElement dxfId="3" type="secondRowStripe"/>
      <tableStyleElement dxfId="4" size="0" type="wholeTable"/>
    </tableStyle>
    <tableStyle count="4" pivot="0" name="Genna-style 2">
      <tableStyleElement dxfId="1" type="headerRow"/>
      <tableStyleElement dxfId="2" type="firstRowStripe"/>
      <tableStyleElement dxfId="3" type="secondRowStripe"/>
      <tableStyleElement dxfId="4" size="0" type="wholeTable"/>
    </tableStyle>
    <tableStyle count="4" pivot="0" name="Yeferas Guks-style">
      <tableStyleElement dxfId="1" type="headerRow"/>
      <tableStyleElement dxfId="2" type="firstRowStripe"/>
      <tableStyleElement dxfId="3" type="secondRowStripe"/>
      <tableStyleElement dxfId="4" size="0" type="wholeTable"/>
    </tableStyle>
    <tableStyle count="4" pivot="0" name="Yeferas Guks-style 2">
      <tableStyleElement dxfId="1" type="headerRow"/>
      <tableStyleElement dxfId="2" type="firstRowStripe"/>
      <tableStyleElement dxfId="3" type="secondRowStripe"/>
      <tableStyleElement dxfId="4" size="0" type="wholeTable"/>
    </tableStyle>
    <tableStyle count="4" pivot="0" name="Traditional Running-style">
      <tableStyleElement dxfId="1" type="headerRow"/>
      <tableStyleElement dxfId="2" type="firstRowStripe"/>
      <tableStyleElement dxfId="3" type="secondRowStripe"/>
      <tableStyleElement dxfId="4" size="0" type="wholeTable"/>
    </tableStyle>
    <tableStyle count="4" pivot="0" name="Traditional Running-style 2">
      <tableStyleElement dxfId="1" type="headerRow"/>
      <tableStyleElement dxfId="2" type="firstRowStripe"/>
      <tableStyleElement dxfId="3" type="secondRowStripe"/>
      <tableStyleElement dxfId="4" size="0" type="wholeTable"/>
    </tableStyle>
    <tableStyle count="4" pivot="0" name="Aba Geda Wrestling-style">
      <tableStyleElement dxfId="1" type="headerRow"/>
      <tableStyleElement dxfId="2" type="firstRowStripe"/>
      <tableStyleElement dxfId="3" type="secondRowStripe"/>
      <tableStyleElement dxfId="4" size="0" type="wholeTable"/>
    </tableStyle>
    <tableStyle count="4" pivot="0" name="Aba Geda Wrestling-style 2">
      <tableStyleElement dxfId="1" type="headerRow"/>
      <tableStyleElement dxfId="2" type="firstRowStripe"/>
      <tableStyleElement dxfId="3" type="secondRowStripe"/>
      <tableStyleElement dxfId="4" size="0" type="wholeTable"/>
    </tableStyle>
    <tableStyle count="4" pivot="0" name="Afalula-style">
      <tableStyleElement dxfId="1" type="headerRow"/>
      <tableStyleElement dxfId="2" type="firstRowStripe"/>
      <tableStyleElement dxfId="3" type="secondRowStripe"/>
      <tableStyleElement dxfId="4" size="0" type="wholeTable"/>
    </tableStyle>
    <tableStyle count="4" pivot="0" name="Afalula-style 2">
      <tableStyleElement dxfId="1" type="headerRow"/>
      <tableStyleElement dxfId="2" type="firstRowStripe"/>
      <tableStyleElement dxfId="3" type="secondRowStripe"/>
      <tableStyleElement dxfId="4" size="0" type="wholeTable"/>
    </tableStyle>
    <tableStyle count="4" pivot="0" name="Sidama Wrestling-style">
      <tableStyleElement dxfId="1" type="headerRow"/>
      <tableStyleElement dxfId="2" type="firstRowStripe"/>
      <tableStyleElement dxfId="3" type="secondRowStripe"/>
      <tableStyleElement dxfId="4" size="0" type="wholeTable"/>
    </tableStyle>
    <tableStyle count="4" pivot="0" name="Sidama Wrestling-style 2">
      <tableStyleElement dxfId="1" type="headerRow"/>
      <tableStyleElement dxfId="2" type="firstRowStripe"/>
      <tableStyleElement dxfId="3" type="secondRowStripe"/>
      <tableStyleElement dxfId="4" size="0" type="wholeTable"/>
    </tableStyle>
    <tableStyle count="4" pivot="0" name="Gebeta (Mancala)-style">
      <tableStyleElement dxfId="1" type="headerRow"/>
      <tableStyleElement dxfId="2" type="firstRowStripe"/>
      <tableStyleElement dxfId="3" type="secondRowStripe"/>
      <tableStyleElement dxfId="4" size="0" type="wholeTable"/>
    </tableStyle>
    <tableStyle count="4" pivot="0" name="Gebeta (Mancala)-style 2">
      <tableStyleElement dxfId="1" type="headerRow"/>
      <tableStyleElement dxfId="2" type="firstRowStripe"/>
      <tableStyleElement dxfId="3" type="secondRowStripe"/>
      <tableStyleElement dxfId="4" size="0" type="wholeTable"/>
    </tableStyle>
    <tableStyle count="4" pivot="0" name="Cow Jumping (Ukuli Bula)-style">
      <tableStyleElement dxfId="1" type="headerRow"/>
      <tableStyleElement dxfId="2" type="firstRowStripe"/>
      <tableStyleElement dxfId="3" type="secondRowStripe"/>
      <tableStyleElement dxfId="4" size="0" type="wholeTable"/>
    </tableStyle>
    <tableStyle count="4" pivot="0" name="Cow Jumping (Ukuli Bula)-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1" displayName="Table15" name="Table15" id="1">
  <tableColumns count="5">
    <tableColumn name="Question no." id="1"/>
    <tableColumn name="Questions" id="2"/>
    <tableColumn name="Options" id="3"/>
    <tableColumn name="Correct Answer" id="4"/>
    <tableColumn name="Description" id="5"/>
  </tableColumns>
  <tableStyleInfo name="Genna-style" showColumnStripes="0" showFirstColumn="1" showLastColumn="1" showRowStripes="1"/>
</table>
</file>

<file path=xl/tables/table2.xml><?xml version="1.0" encoding="utf-8"?>
<table xmlns="http://schemas.openxmlformats.org/spreadsheetml/2006/main" ref="G1:K151" displayName="Table16" name="Table16" id="2">
  <tableColumns count="5">
    <tableColumn name="ጥያቄዎች" id="1"/>
    <tableColumn name="አማራጭ ሀ" id="2"/>
    <tableColumn name="አማራጭ ለ" id="3"/>
    <tableColumn name="አማራጭ ሐ" id="4"/>
    <tableColumn name="አማራጭ ዲ" id="5"/>
  </tableColumns>
  <tableStyleInfo name="Genna-style 2" showColumnStripes="0" showFirstColumn="1" showLastColumn="1" showRowStripes="1"/>
</table>
</file>

<file path=xl/tables/table3.xml><?xml version="1.0" encoding="utf-8"?>
<table xmlns="http://schemas.openxmlformats.org/spreadsheetml/2006/main" ref="A1:E151" displayName="Table13" name="Table13" id="3">
  <tableColumns count="5">
    <tableColumn name="Question no." id="1"/>
    <tableColumn name="Questions" id="2"/>
    <tableColumn name="Options" id="3"/>
    <tableColumn name="Correct Answer" id="4"/>
    <tableColumn name="Description" id="5"/>
  </tableColumns>
  <tableStyleInfo name="Yeferas Guks-style" showColumnStripes="0" showFirstColumn="1" showLastColumn="1" showRowStripes="1"/>
</table>
</file>

<file path=xl/tables/table4.xml><?xml version="1.0" encoding="utf-8"?>
<table xmlns="http://schemas.openxmlformats.org/spreadsheetml/2006/main" ref="G1:K151" displayName="Table14" name="Table14" id="4">
  <tableColumns count="5">
    <tableColumn name="ጥያቄዎች" id="1"/>
    <tableColumn name="አማራጭ ሀ" id="2"/>
    <tableColumn name="አማራጭ ለ" id="3"/>
    <tableColumn name="አማራጭ ሐ" id="4"/>
    <tableColumn name="አማራጭ ዲ" id="5"/>
  </tableColumns>
  <tableStyleInfo name="Yeferas Guks-style 2" showColumnStripes="0" showFirstColumn="1" showLastColumn="1" showRowStripes="1"/>
</table>
</file>

<file path=xl/tables/table5.xml><?xml version="1.0" encoding="utf-8"?>
<table xmlns="http://schemas.openxmlformats.org/spreadsheetml/2006/main" ref="A1:E1000" displayName="Table11" name="Table11" id="5">
  <tableColumns count="5">
    <tableColumn name="Question no." id="1"/>
    <tableColumn name="Questions" id="2"/>
    <tableColumn name="Options" id="3"/>
    <tableColumn name="Correct Answer" id="4"/>
    <tableColumn name="Description" id="5"/>
  </tableColumns>
  <tableStyleInfo name="Traditional Running-style" showColumnStripes="0" showFirstColumn="1" showLastColumn="1" showRowStripes="1"/>
</table>
</file>

<file path=xl/tables/table6.xml><?xml version="1.0" encoding="utf-8"?>
<table xmlns="http://schemas.openxmlformats.org/spreadsheetml/2006/main" ref="G1:K151" displayName="Table12" name="Table12" id="6">
  <tableColumns count="5">
    <tableColumn name="ጥያቄዎች" id="1"/>
    <tableColumn name="አማራጭ ሀ" id="2"/>
    <tableColumn name="አማራጭ ለ" id="3"/>
    <tableColumn name="አማራጭ ሐ" id="4"/>
    <tableColumn name="አማራጭ ዲ" id="5"/>
  </tableColumns>
  <tableStyleInfo name="Traditional Running-style 2" showColumnStripes="0" showFirstColumn="1" showLastColumn="1" showRowStripes="1"/>
</table>
</file>

<file path=xl/tables/table7.xml><?xml version="1.0" encoding="utf-8"?>
<table xmlns="http://schemas.openxmlformats.org/spreadsheetml/2006/main" ref="A1:E1000" displayName="Table9" name="Table9" id="7">
  <tableColumns count="5">
    <tableColumn name="Question no." id="1"/>
    <tableColumn name="Questions" id="2"/>
    <tableColumn name="Options " id="3"/>
    <tableColumn name="Correct Answer" id="4"/>
    <tableColumn name="Description" id="5"/>
  </tableColumns>
  <tableStyleInfo name="Aba Geda Wrestling-style" showColumnStripes="0" showFirstColumn="1" showLastColumn="1" showRowStripes="1"/>
</table>
</file>

<file path=xl/tables/table8.xml><?xml version="1.0" encoding="utf-8"?>
<table xmlns="http://schemas.openxmlformats.org/spreadsheetml/2006/main" ref="G1:K151" displayName="Table10" name="Table10" id="8">
  <tableColumns count="5">
    <tableColumn name="ጥያቄዎች" id="1"/>
    <tableColumn name="አማራጭ ሀ" id="2"/>
    <tableColumn name="አማራጭ ለ" id="3"/>
    <tableColumn name="አማራጭ ሐ" id="4"/>
    <tableColumn name="አማራጭ ዲ" id="5"/>
  </tableColumns>
  <tableStyleInfo name="Aba Geda Wrestling-style 2" showColumnStripes="0" showFirstColumn="1" showLastColumn="1" showRowStripes="1"/>
</table>
</file>

<file path=xl/tables/table9.xml><?xml version="1.0" encoding="utf-8"?>
<table xmlns="http://schemas.openxmlformats.org/spreadsheetml/2006/main" ref="A1:E1001" displayName="Table7" name="Table7" id="9">
  <tableColumns count="5">
    <tableColumn name="Question no." id="1"/>
    <tableColumn name="Questions" id="2"/>
    <tableColumn name="Options" id="3"/>
    <tableColumn name="Correct Answer" id="4"/>
    <tableColumn name="Description" id="5"/>
  </tableColumns>
  <tableStyleInfo name="Afalula-style" showColumnStripes="0" showFirstColumn="1" showLastColumn="1" showRowStripes="1"/>
</table>
</file>

<file path=xl/tables/table10.xml><?xml version="1.0" encoding="utf-8"?>
<table xmlns="http://schemas.openxmlformats.org/spreadsheetml/2006/main" ref="G1:K141" displayName="Table8" name="Table8" id="10">
  <tableColumns count="5">
    <tableColumn name="ጥያቄዎች" id="1"/>
    <tableColumn name="አማራጭ ሀ" id="2"/>
    <tableColumn name="አማራጭ ለ" id="3"/>
    <tableColumn name="አማራጭ ሐ" id="4"/>
    <tableColumn name="አማራጭ ዲ" id="5"/>
  </tableColumns>
  <tableStyleInfo name="Afalula-style 2" showColumnStripes="0" showFirstColumn="1" showLastColumn="1" showRowStripes="1"/>
</table>
</file>

<file path=xl/tables/table11.xml><?xml version="1.0" encoding="utf-8"?>
<table xmlns="http://schemas.openxmlformats.org/spreadsheetml/2006/main" ref="A1:E1000" displayName="Table5" name="Table5" id="11">
  <tableColumns count="5">
    <tableColumn name="Question no." id="1"/>
    <tableColumn name="Questions" id="2"/>
    <tableColumn name="Column 8" id="3"/>
    <tableColumn name="Correct Answer" id="4"/>
    <tableColumn name="Description" id="5"/>
  </tableColumns>
  <tableStyleInfo name="Sidama Wrestling-style" showColumnStripes="0" showFirstColumn="1" showLastColumn="1" showRowStripes="1"/>
</table>
</file>

<file path=xl/tables/table12.xml><?xml version="1.0" encoding="utf-8"?>
<table xmlns="http://schemas.openxmlformats.org/spreadsheetml/2006/main" ref="G1:K166" displayName="Table6" name="Table6" id="12">
  <tableColumns count="5">
    <tableColumn name="ጥያቄዎች" id="1"/>
    <tableColumn name="አማራጭ ሀ" id="2"/>
    <tableColumn name="አማራጭ ለ" id="3"/>
    <tableColumn name="አማራጭ ሐ" id="4"/>
    <tableColumn name="አማራጭ ዲ" id="5"/>
  </tableColumns>
  <tableStyleInfo name="Sidama Wrestling-style 2" showColumnStripes="0" showFirstColumn="1" showLastColumn="1" showRowStripes="1"/>
</table>
</file>

<file path=xl/tables/table13.xml><?xml version="1.0" encoding="utf-8"?>
<table xmlns="http://schemas.openxmlformats.org/spreadsheetml/2006/main" ref="A1:E992" displayName="Table1" name="Table1" id="13">
  <tableColumns count="5">
    <tableColumn name="Question no." id="1"/>
    <tableColumn name="Questions" id="2"/>
    <tableColumn name="Options" id="3"/>
    <tableColumn name="Correct Answer" id="4"/>
    <tableColumn name="Description" id="5"/>
  </tableColumns>
  <tableStyleInfo name="Gebeta (Mancala)-style" showColumnStripes="0" showFirstColumn="1" showLastColumn="1" showRowStripes="1"/>
</table>
</file>

<file path=xl/tables/table14.xml><?xml version="1.0" encoding="utf-8"?>
<table xmlns="http://schemas.openxmlformats.org/spreadsheetml/2006/main" ref="G1:K168" displayName="Table2" name="Table2" id="14">
  <tableColumns count="5">
    <tableColumn name="ጥያቄዎች" id="1"/>
    <tableColumn name="አማራጭ ሀ" id="2"/>
    <tableColumn name="አማራጭ ለ" id="3"/>
    <tableColumn name="አማራጭ ሐ" id="4"/>
    <tableColumn name="አማራጭ ዲ" id="5"/>
  </tableColumns>
  <tableStyleInfo name="Gebeta (Mancala)-style 2" showColumnStripes="0" showFirstColumn="1" showLastColumn="1" showRowStripes="1"/>
</table>
</file>

<file path=xl/tables/table15.xml><?xml version="1.0" encoding="utf-8"?>
<table xmlns="http://schemas.openxmlformats.org/spreadsheetml/2006/main" ref="A1:E1000" displayName="Table3" name="Table3" id="15">
  <tableColumns count="5">
    <tableColumn name="Question no." id="1"/>
    <tableColumn name="Questions" id="2"/>
    <tableColumn name="Column 8" id="3"/>
    <tableColumn name="Correct Answer" id="4"/>
    <tableColumn name="Description" id="5"/>
  </tableColumns>
  <tableStyleInfo name="Cow Jumping (Ukuli Bula)-style" showColumnStripes="0" showFirstColumn="1" showLastColumn="1" showRowStripes="1"/>
</table>
</file>

<file path=xl/tables/table16.xml><?xml version="1.0" encoding="utf-8"?>
<table xmlns="http://schemas.openxmlformats.org/spreadsheetml/2006/main" ref="G1:K90" displayName="Table4" name="Table4" id="16">
  <tableColumns count="5">
    <tableColumn name="ጥያቄዎች" id="1"/>
    <tableColumn name="አማራጭ ሀ" id="2"/>
    <tableColumn name="አማራጭ ለ" id="3"/>
    <tableColumn name="አማራጭ ሐ" id="4"/>
    <tableColumn name="አማራጭ ዲ" id="5"/>
  </tableColumns>
  <tableStyleInfo name="Cow Jumping (Ukuli Bul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3.xml"/><Relationship Id="rId5"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5.xml"/><Relationship Id="rId5"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37.63"/>
    <col customWidth="1" min="3" max="3" width="25.13"/>
    <col customWidth="1" min="4" max="4" width="37.63"/>
    <col customWidth="1" min="7" max="7" width="9.0"/>
    <col customWidth="1" min="8" max="8" width="31.38"/>
    <col customWidth="1" min="9" max="9" width="30.13"/>
    <col customWidth="1" min="10" max="10" width="24.13"/>
    <col customWidth="1" min="11" max="11" width="27.88"/>
  </cols>
  <sheetData>
    <row r="1" ht="22.5" customHeight="1">
      <c r="A1" s="1" t="s">
        <v>0</v>
      </c>
      <c r="B1" s="1" t="s">
        <v>1</v>
      </c>
      <c r="C1" s="2" t="s">
        <v>2</v>
      </c>
      <c r="D1" s="1" t="s">
        <v>3</v>
      </c>
      <c r="E1" s="1" t="s">
        <v>4</v>
      </c>
      <c r="G1" s="3" t="s">
        <v>5</v>
      </c>
      <c r="H1" s="4" t="s">
        <v>6</v>
      </c>
      <c r="I1" s="4" t="s">
        <v>7</v>
      </c>
      <c r="J1" s="4" t="s">
        <v>8</v>
      </c>
      <c r="K1" s="5" t="s">
        <v>9</v>
      </c>
    </row>
    <row r="2" ht="22.5" customHeight="1">
      <c r="A2" s="6">
        <v>1.0</v>
      </c>
      <c r="B2" s="7" t="s">
        <v>10</v>
      </c>
      <c r="C2" s="7" t="s">
        <v>11</v>
      </c>
      <c r="D2" s="7" t="s">
        <v>12</v>
      </c>
      <c r="E2" s="7" t="s">
        <v>12</v>
      </c>
      <c r="G2" s="8" t="str">
        <f>IFERROR(__xludf.DUMMYFUNCTION(" GOOGLETRANSLATE(A2, ""en"", ""am"")"),"1")</f>
        <v>1</v>
      </c>
      <c r="H2" s="8" t="str">
        <f>IFERROR(__xludf.DUMMYFUNCTION(" GOOGLETRANSLATE(B2, ""en"", ""am"")"),"አንድ ተጫዋች ኳሱን እየወረወረ ጥፋት መስመሩን ቢያልፍ ምን ይሆናል?")</f>
        <v>አንድ ተጫዋች ኳሱን እየወረወረ ጥፋት መስመሩን ቢያልፍ ምን ይሆናል?</v>
      </c>
      <c r="I2" s="8" t="str">
        <f>IFERROR(__xludf.DUMMYFUNCTION(" GOOGLETRANSLATE(C2, ""en"", ""am"")"),"ሀ. አንድ ነጥብ ተቀንሷል ለ. ተቃዋሚው ተጨማሪ ተራ ያገኛል። ሐ. ጨዋታው እንደገና ይጀምራል። መ መወርወር ተቀባይነት የለውም።")</f>
        <v>ሀ. አንድ ነጥብ ተቀንሷል ለ. ተቃዋሚው ተጨማሪ ተራ ያገኛል። ሐ. ጨዋታው እንደገና ይጀምራል። መ መወርወር ተቀባይነት የለውም።</v>
      </c>
      <c r="J2" s="8" t="str">
        <f>IFERROR(__xludf.DUMMYFUNCTION(" GOOGLETRANSLATE(D2, ""en"", ""am"")"),"አንድ ተጫዋች የተሳሳተ መስመር ካቋረጠ መወርወሩ ልክ ያልሆነ እና ብቁ አይደለም።")</f>
        <v>አንድ ተጫዋች የተሳሳተ መስመር ካቋረጠ መወርወሩ ልክ ያልሆነ እና ብቁ አይደለም።</v>
      </c>
      <c r="K2" s="8" t="str">
        <f>IFERROR(__xludf.DUMMYFUNCTION(" GOOGLETRANSLATE(E2, ""en"", ""am"")"),"አንድ ተጫዋች የተሳሳተ መስመር ካቋረጠ መወርወሩ ልክ ያልሆነ እና ብቁ አይደለም።")</f>
        <v>አንድ ተጫዋች የተሳሳተ መስመር ካቋረጠ መወርወሩ ልክ ያልሆነ እና ብቁ አይደለም።</v>
      </c>
    </row>
    <row r="3" ht="22.5" customHeight="1">
      <c r="A3" s="6">
        <v>2.0</v>
      </c>
      <c r="B3" s="7" t="s">
        <v>13</v>
      </c>
      <c r="C3" s="7" t="s">
        <v>14</v>
      </c>
      <c r="D3" s="7" t="s">
        <v>15</v>
      </c>
      <c r="E3" s="7" t="s">
        <v>15</v>
      </c>
      <c r="G3" s="8" t="str">
        <f>IFERROR(__xludf.DUMMYFUNCTION(" GOOGLETRANSLATE(A3, ""en"", ""am"")"),"2")</f>
        <v>2</v>
      </c>
      <c r="H3" s="8" t="str">
        <f>IFERROR(__xludf.DUMMYFUNCTION(" GOOGLETRANSLATE(B3, ""en"", ""am"")"),"በአንድ ውርወራ ውስጥ ሁሉንም ኩዊሎች ለማንኳኳት ስንት ነጥብ ተሰጥቷል?")</f>
        <v>በአንድ ውርወራ ውስጥ ሁሉንም ኩዊሎች ለማንኳኳት ስንት ነጥብ ተሰጥቷል?</v>
      </c>
      <c r="I3" s="8" t="str">
        <f>IFERROR(__xludf.DUMMYFUNCTION(" GOOGLETRANSLATE(C3, ""en"", ""am"")"),"ሀ.8 ነጥቢ ለ. 10 ነጥበ ሐ. 15 ነጥበ D. 10 ነጥበ")</f>
        <v>ሀ.8 ነጥቢ ለ. 10 ነጥበ ሐ. 15 ነጥበ D. 10 ነጥበ</v>
      </c>
      <c r="J3" s="8" t="str">
        <f>IFERROR(__xludf.DUMMYFUNCTION(" GOOGLETRANSLATE(D3, ""en"", ""am"")"),"በአንድ ውርወራ ሁሉንም ኳሶች ማንኳኳቱ ለተጫዋቹ 10 ነጥብ ይሰጠዋል ።")</f>
        <v>በአንድ ውርወራ ሁሉንም ኳሶች ማንኳኳቱ ለተጫዋቹ 10 ነጥብ ይሰጠዋል ።</v>
      </c>
      <c r="K3" s="8" t="str">
        <f>IFERROR(__xludf.DUMMYFUNCTION(" GOOGLETRANSLATE(E3, ""en"", ""am"")"),"በአንድ ውርወራ ሁሉንም ኳሶች ማንኳኳቱ ለተጫዋቹ 10 ነጥብ ይሰጠዋል ።")</f>
        <v>በአንድ ውርወራ ሁሉንም ኳሶች ማንኳኳቱ ለተጫዋቹ 10 ነጥብ ይሰጠዋል ።</v>
      </c>
    </row>
    <row r="4" ht="22.5" customHeight="1">
      <c r="A4" s="6">
        <v>3.0</v>
      </c>
      <c r="B4" s="7" t="s">
        <v>16</v>
      </c>
      <c r="C4" s="7" t="s">
        <v>17</v>
      </c>
      <c r="D4" s="7" t="s">
        <v>18</v>
      </c>
      <c r="E4" s="7" t="s">
        <v>18</v>
      </c>
      <c r="G4" s="8" t="str">
        <f>IFERROR(__xludf.DUMMYFUNCTION(" GOOGLETRANSLATE(A4, ""en"", ""am"")"),"3")</f>
        <v>3</v>
      </c>
      <c r="H4" s="8" t="str">
        <f>IFERROR(__xludf.DUMMYFUNCTION(" GOOGLETRANSLATE(B4, ""en"", ""am"")"),"ኳሱ በአንድ ጊዜ ሁለት ኳሶችን ቢያንኳኳ ምን ይሆናል?")</f>
        <v>ኳሱ በአንድ ጊዜ ሁለት ኳሶችን ቢያንኳኳ ምን ይሆናል?</v>
      </c>
      <c r="I4" s="8" t="str">
        <f>IFERROR(__xludf.DUMMYFUNCTION(" GOOGLETRANSLATE(C4, ""en"", ""am"")"),"ሀ. ሁለቱም ኩዊሎች እንደ ነጥብ ይቆጠራሉ። ለ. ምንም ነጥብ አልተሰጠም። ሐ. መዞሩ ተደግሟል. መ. ሁለቱም ኩዊሎች እንደ ነጥብ ይቆጠራሉ።")</f>
        <v>ሀ. ሁለቱም ኩዊሎች እንደ ነጥብ ይቆጠራሉ። ለ. ምንም ነጥብ አልተሰጠም። ሐ. መዞሩ ተደግሟል. መ. ሁለቱም ኩዊሎች እንደ ነጥብ ይቆጠራሉ።</v>
      </c>
      <c r="J4" s="8" t="str">
        <f>IFERROR(__xludf.DUMMYFUNCTION(" GOOGLETRANSLATE(D4, ""en"", ""am"")"),"ሁለቱንም ኩዊሎች በአንድ ውርወራ እንደ ነጥብ አንኳኳሁ።")</f>
        <v>ሁለቱንም ኩዊሎች በአንድ ውርወራ እንደ ነጥብ አንኳኳሁ።</v>
      </c>
      <c r="K4" s="8" t="str">
        <f>IFERROR(__xludf.DUMMYFUNCTION(" GOOGLETRANSLATE(E4, ""en"", ""am"")"),"ሁለቱንም ኩዊሎች በአንድ ውርወራ እንደ ነጥብ አንኳኳሁ።")</f>
        <v>ሁለቱንም ኩዊሎች በአንድ ውርወራ እንደ ነጥብ አንኳኳሁ።</v>
      </c>
    </row>
    <row r="5" ht="22.5" customHeight="1">
      <c r="A5" s="6">
        <v>4.0</v>
      </c>
      <c r="B5" s="7" t="s">
        <v>19</v>
      </c>
      <c r="C5" s="7" t="s">
        <v>20</v>
      </c>
      <c r="D5" s="7" t="s">
        <v>21</v>
      </c>
      <c r="E5" s="7" t="s">
        <v>21</v>
      </c>
      <c r="G5" s="8" t="str">
        <f>IFERROR(__xludf.DUMMYFUNCTION(" GOOGLETRANSLATE(A5, ""en"", ""am"")"),"4")</f>
        <v>4</v>
      </c>
      <c r="H5" s="8" t="str">
        <f>IFERROR(__xludf.DUMMYFUNCTION(" GOOGLETRANSLATE(B5, ""en"", ""am"")"),"አንድ ተጫዋች በአንድ ዙር ሊያስቆጥር የሚችለው ከፍተኛው የነጥቦች ብዛት ስንት ነው?")</f>
        <v>አንድ ተጫዋች በአንድ ዙር ሊያስቆጥር የሚችለው ከፍተኛው የነጥቦች ብዛት ስንት ነው?</v>
      </c>
      <c r="I5" s="8" t="str">
        <f>IFERROR(__xludf.DUMMYFUNCTION(" GOOGLETRANSLATE(C5, ""en"", ""am"")"),"ሀ. 8 ነጥቢ ለ. 10 ነጥብ ሐ. 12 ነጥበ D. 10 ነጥበ")</f>
        <v>ሀ. 8 ነጥቢ ለ. 10 ነጥብ ሐ. 12 ነጥበ D. 10 ነጥበ</v>
      </c>
      <c r="J5" s="8" t="str">
        <f>IFERROR(__xludf.DUMMYFUNCTION(" GOOGLETRANSLATE(D5, ""en"", ""am"")"),"በአንድ ዙር ውስጥ ከፍተኛው ነጥብ ሁሉንም ኩዊሎች ለማንኳኳት 10 ነጥብ ነው።")</f>
        <v>በአንድ ዙር ውስጥ ከፍተኛው ነጥብ ሁሉንም ኩዊሎች ለማንኳኳት 10 ነጥብ ነው።</v>
      </c>
      <c r="K5" s="8" t="str">
        <f>IFERROR(__xludf.DUMMYFUNCTION(" GOOGLETRANSLATE(E5, ""en"", ""am"")"),"በአንድ ዙር ውስጥ ከፍተኛው ነጥብ ሁሉንም ኩዊሎች ለማንኳኳት 10 ነጥብ ነው።")</f>
        <v>በአንድ ዙር ውስጥ ከፍተኛው ነጥብ ሁሉንም ኩዊሎች ለማንኳኳት 10 ነጥብ ነው።</v>
      </c>
    </row>
    <row r="6" ht="22.5" customHeight="1">
      <c r="A6" s="6">
        <v>5.0</v>
      </c>
      <c r="B6" s="7" t="s">
        <v>22</v>
      </c>
      <c r="C6" s="7" t="s">
        <v>23</v>
      </c>
      <c r="D6" s="7" t="s">
        <v>24</v>
      </c>
      <c r="E6" s="7" t="s">
        <v>24</v>
      </c>
      <c r="G6" s="8" t="str">
        <f>IFERROR(__xludf.DUMMYFUNCTION(" GOOGLETRANSLATE(A6, ""en"", ""am"")"),"5")</f>
        <v>5</v>
      </c>
      <c r="H6" s="8" t="str">
        <f>IFERROR(__xludf.DUMMYFUNCTION(" GOOGLETRANSLATE(B6, ""en"", ""am"")"),"የተጫዋቹ ኳስ ከድንበር መስመር ውጭ ቢያርፍ ምን ይከሰታል?")</f>
        <v>የተጫዋቹ ኳስ ከድንበር መስመር ውጭ ቢያርፍ ምን ይከሰታል?</v>
      </c>
      <c r="I6" s="8" t="str">
        <f>IFERROR(__xludf.DUMMYFUNCTION(" GOOGLETRANSLATE(C6, ""en"", ""am"")"),"ሀ. ምንም ቅጣት አይተገበርም። ለ. ተጫዋቹ ተራ ያጣል. ሐ. ተቃዋሚው ነጥብ ያስመዘገበ ነው። መ. መወርወሩ ልክ እንዳልሆነ ይቆጠራል።")</f>
        <v>ሀ. ምንም ቅጣት አይተገበርም። ለ. ተጫዋቹ ተራ ያጣል. ሐ. ተቃዋሚው ነጥብ ያስመዘገበ ነው። መ. መወርወሩ ልክ እንዳልሆነ ይቆጠራል።</v>
      </c>
      <c r="J6" s="8" t="str">
        <f>IFERROR(__xludf.DUMMYFUNCTION(" GOOGLETRANSLATE(D6, ""en"", ""am"")"),"ኳሱ ከድንበሩ ውጭ ካረፈ, መወርወሩ ልክ ያልሆነ ነው.")</f>
        <v>ኳሱ ከድንበሩ ውጭ ካረፈ, መወርወሩ ልክ ያልሆነ ነው.</v>
      </c>
      <c r="K6" s="8" t="str">
        <f>IFERROR(__xludf.DUMMYFUNCTION(" GOOGLETRANSLATE(E6, ""en"", ""am"")"),"ኳሱ ከድንበሩ ውጭ ካረፈ, መወርወሩ ልክ ያልሆነ ነው.")</f>
        <v>ኳሱ ከድንበሩ ውጭ ካረፈ, መወርወሩ ልክ ያልሆነ ነው.</v>
      </c>
    </row>
    <row r="7" ht="22.5" customHeight="1">
      <c r="A7" s="6">
        <v>6.0</v>
      </c>
      <c r="B7" s="7" t="s">
        <v>25</v>
      </c>
      <c r="C7" s="7" t="s">
        <v>26</v>
      </c>
      <c r="D7" s="7" t="s">
        <v>27</v>
      </c>
      <c r="E7" s="9">
        <v>9.0</v>
      </c>
      <c r="G7" s="8" t="str">
        <f>IFERROR(__xludf.DUMMYFUNCTION(" GOOGLETRANSLATE(A7, ""en"", ""am"")"),"6")</f>
        <v>6</v>
      </c>
      <c r="H7" s="8" t="str">
        <f>IFERROR(__xludf.DUMMYFUNCTION(" GOOGLETRANSLATE(B7, ""en"", ""am"")"),"በተለመደው የገና ጨዋታ ውስጥ ስንት ኩዊሎች ጥቅም ላይ ይውላሉ?")</f>
        <v>በተለመደው የገና ጨዋታ ውስጥ ስንት ኩዊሎች ጥቅም ላይ ይውላሉ?</v>
      </c>
      <c r="I7" s="8" t="str">
        <f>IFERROR(__xludf.DUMMYFUNCTION(" GOOGLETRANSLATE(C7, ""en"", ""am"")"),"አ. 7 ለ 9 ሐ. 11 ዲ. 9")</f>
        <v>አ. 7 ለ 9 ሐ. 11 ዲ. 9</v>
      </c>
      <c r="J7" s="8" t="str">
        <f>IFERROR(__xludf.DUMMYFUNCTION(" GOOGLETRANSLATE(D7, ""en"", ""am"")"),"9")</f>
        <v>9</v>
      </c>
      <c r="K7" s="8" t="str">
        <f>IFERROR(__xludf.DUMMYFUNCTION(" GOOGLETRANSLATE(E7, ""en"", ""am"")"),"9")</f>
        <v>9</v>
      </c>
    </row>
    <row r="8" ht="22.5" customHeight="1">
      <c r="A8" s="6">
        <v>7.0</v>
      </c>
      <c r="B8" s="7" t="s">
        <v>28</v>
      </c>
      <c r="C8" s="7" t="s">
        <v>29</v>
      </c>
      <c r="D8" s="7" t="s">
        <v>30</v>
      </c>
      <c r="E8" s="7" t="s">
        <v>30</v>
      </c>
      <c r="G8" s="8" t="str">
        <f>IFERROR(__xludf.DUMMYFUNCTION(" GOOGLETRANSLATE(A8, ""en"", ""am"")"),"7")</f>
        <v>7</v>
      </c>
      <c r="H8" s="8" t="str">
        <f>IFERROR(__xludf.DUMMYFUNCTION(" GOOGLETRANSLATE(B8, ""en"", ""am"")"),"ኩዊል ከሌላ ነገር በሚወጣ ኳስ ቢመታ ምን ይከሰታል?")</f>
        <v>ኩዊል ከሌላ ነገር በሚወጣ ኳስ ቢመታ ምን ይከሰታል?</v>
      </c>
      <c r="I8" s="8" t="str">
        <f>IFERROR(__xludf.DUMMYFUNCTION(" GOOGLETRANSLATE(C8, ""en"", ""am"")"),"ሀ. ነጥቦቹ ልክ ያልሆኑ ናቸው። ለ. ቅጣት ተጥሏል። ሐ. መዞሩ ጠፍቷል። መ. ነጥቦቹ ትክክል ናቸው.")</f>
        <v>ሀ. ነጥቦቹ ልክ ያልሆኑ ናቸው። ለ. ቅጣት ተጥሏል። ሐ. መዞሩ ጠፍቷል። መ. ነጥቦቹ ትክክል ናቸው.</v>
      </c>
      <c r="J8" s="8" t="str">
        <f>IFERROR(__xludf.DUMMYFUNCTION(" GOOGLETRANSLATE(D8, ""en"", ""am"")"),"ኳሱ ወደ መሬት ከመምታቱ በፊት ቢመለስም ነጥቦች ይቆጠራሉ።")</f>
        <v>ኳሱ ወደ መሬት ከመምታቱ በፊት ቢመለስም ነጥቦች ይቆጠራሉ።</v>
      </c>
      <c r="K8" s="8" t="str">
        <f>IFERROR(__xludf.DUMMYFUNCTION(" GOOGLETRANSLATE(E8, ""en"", ""am"")"),"ኳሱ ወደ መሬት ከመምታቱ በፊት ቢመለስም ነጥቦች ይቆጠራሉ።")</f>
        <v>ኳሱ ወደ መሬት ከመምታቱ በፊት ቢመለስም ነጥቦች ይቆጠራሉ።</v>
      </c>
    </row>
    <row r="9" ht="22.5" customHeight="1">
      <c r="A9" s="6">
        <v>8.0</v>
      </c>
      <c r="B9" s="7" t="s">
        <v>31</v>
      </c>
      <c r="C9" s="7" t="s">
        <v>32</v>
      </c>
      <c r="D9" s="7" t="s">
        <v>33</v>
      </c>
      <c r="E9" s="10">
        <v>45692.0</v>
      </c>
      <c r="G9" s="8" t="str">
        <f>IFERROR(__xludf.DUMMYFUNCTION(" GOOGLETRANSLATE(A9, ""en"", ""am"")"),"8")</f>
        <v>8</v>
      </c>
      <c r="H9" s="8" t="str">
        <f>IFERROR(__xludf.DUMMYFUNCTION(" GOOGLETRANSLATE(B9, ""en"", ""am"")"),"በመደበኛ የገና ጨዋታ ቡድን ውስጥ ስንት ተጫዋቾች ይፈቀዳሉ?")</f>
        <v>በመደበኛ የገና ጨዋታ ቡድን ውስጥ ስንት ተጫዋቾች ይፈቀዳሉ?</v>
      </c>
      <c r="I9" s="8" t="str">
        <f>IFERROR(__xludf.DUMMYFUNCTION(" GOOGLETRANSLATE(C9, ""en"", ""am"")"),"አ.2-4 B. 3-5 C. 4-6 D. 2-4")</f>
        <v>አ.2-4 B. 3-5 C. 4-6 D. 2-4</v>
      </c>
      <c r="J9" s="8" t="str">
        <f>IFERROR(__xludf.DUMMYFUNCTION(" GOOGLETRANSLATE(D9, ""en"", ""am"")"),"2-4")</f>
        <v>2-4</v>
      </c>
      <c r="K9" s="8" t="str">
        <f>IFERROR(__xludf.DUMMYFUNCTION(" GOOGLETRANSLATE(E9, ""en"", ""am"")"),"2-4")</f>
        <v>2-4</v>
      </c>
    </row>
    <row r="10" ht="22.5" customHeight="1">
      <c r="A10" s="6">
        <v>9.0</v>
      </c>
      <c r="B10" s="7" t="s">
        <v>34</v>
      </c>
      <c r="C10" s="7" t="s">
        <v>35</v>
      </c>
      <c r="D10" s="7" t="s">
        <v>36</v>
      </c>
      <c r="E10" s="7" t="s">
        <v>36</v>
      </c>
      <c r="G10" s="8" t="str">
        <f>IFERROR(__xludf.DUMMYFUNCTION(" GOOGLETRANSLATE(A10, ""en"", ""am"")"),"9")</f>
        <v>9</v>
      </c>
      <c r="H10" s="8" t="str">
        <f>IFERROR(__xludf.DUMMYFUNCTION(" GOOGLETRANSLATE(B10, ""en"", ""am"")"),"ለገና ኳስ ኦፊሴላዊው የክብደት ክልል ምንድነው?")</f>
        <v>ለገና ኳስ ኦፊሴላዊው የክብደት ክልል ምንድነው?</v>
      </c>
      <c r="I10" s="8" t="str">
        <f>IFERROR(__xludf.DUMMYFUNCTION(" GOOGLETRANSLATE(C10, ""en"", ""am"")"),"ሀ 2-3 ኪ.ግ ለ. 3-4 ኪ.ግ. 4-5 ኪ.ግ መ. 3-4 ኪ.ግ.")</f>
        <v>ሀ 2-3 ኪ.ግ ለ. 3-4 ኪ.ግ. 4-5 ኪ.ግ መ. 3-4 ኪ.ግ.</v>
      </c>
      <c r="J10" s="8" t="str">
        <f>IFERROR(__xludf.DUMMYFUNCTION(" GOOGLETRANSLATE(D10, ""en"", ""am"")"),"የገና ኳስ መደበኛ ክብደት 3-4 ኪ.ግ ነው.")</f>
        <v>የገና ኳስ መደበኛ ክብደት 3-4 ኪ.ግ ነው.</v>
      </c>
      <c r="K10" s="8" t="str">
        <f>IFERROR(__xludf.DUMMYFUNCTION(" GOOGLETRANSLATE(E10, ""en"", ""am"")"),"የገና ኳስ መደበኛ ክብደት 3-4 ኪ.ግ ነው.")</f>
        <v>የገና ኳስ መደበኛ ክብደት 3-4 ኪ.ግ ነው.</v>
      </c>
    </row>
    <row r="11" ht="22.5" customHeight="1">
      <c r="A11" s="6">
        <v>10.0</v>
      </c>
      <c r="B11" s="7" t="s">
        <v>37</v>
      </c>
      <c r="C11" s="7" t="s">
        <v>38</v>
      </c>
      <c r="D11" s="7" t="s">
        <v>39</v>
      </c>
      <c r="E11" s="7" t="s">
        <v>39</v>
      </c>
      <c r="G11" s="8" t="str">
        <f>IFERROR(__xludf.DUMMYFUNCTION(" GOOGLETRANSLATE(A11, ""en"", ""am"")"),"10")</f>
        <v>10</v>
      </c>
      <c r="H11" s="8" t="str">
        <f>IFERROR(__xludf.DUMMYFUNCTION(" GOOGLETRANSLATE(B11, ""en"", ""am"")"),"ሆን ብሎ ሌላውን ተጫዋች ኳሱን በመምታት ቅጣቱ ምንድን ነው?")</f>
        <v>ሆን ብሎ ሌላውን ተጫዋች ኳሱን በመምታት ቅጣቱ ምንድን ነው?</v>
      </c>
      <c r="I11" s="8" t="str">
        <f>IFERROR(__xludf.DUMMYFUNCTION(" GOOGLETRANSLATE(C11, ""en"", ""am"")"),"ሀ. ማስጠንቀቂያ ለ. ቅጣት የለም። ሐ. ነጥቦችን ማጣት መ. ብቁ አለመሆን")</f>
        <v>ሀ. ማስጠንቀቂያ ለ. ቅጣት የለም። ሐ. ነጥቦችን ማጣት መ. ብቁ አለመሆን</v>
      </c>
      <c r="J11" s="8" t="str">
        <f>IFERROR(__xludf.DUMMYFUNCTION(" GOOGLETRANSLATE(D11, ""en"", ""am"")"),"ሆን ተብሎ ሌላ ተጫዋች መምታት ውድቅ ያደርገዋል።")</f>
        <v>ሆን ተብሎ ሌላ ተጫዋች መምታት ውድቅ ያደርገዋል።</v>
      </c>
      <c r="K11" s="8" t="str">
        <f>IFERROR(__xludf.DUMMYFUNCTION(" GOOGLETRANSLATE(E11, ""en"", ""am"")"),"ሆን ተብሎ ሌላ ተጫዋች መምታት ውድቅ ያደርገዋል።")</f>
        <v>ሆን ተብሎ ሌላ ተጫዋች መምታት ውድቅ ያደርገዋል።</v>
      </c>
    </row>
    <row r="12" ht="22.5" customHeight="1">
      <c r="A12" s="6">
        <v>11.0</v>
      </c>
      <c r="B12" s="7" t="s">
        <v>40</v>
      </c>
      <c r="C12" s="7" t="s">
        <v>41</v>
      </c>
      <c r="D12" s="7" t="s">
        <v>42</v>
      </c>
      <c r="E12" s="7" t="s">
        <v>42</v>
      </c>
      <c r="G12" s="8" t="str">
        <f>IFERROR(__xludf.DUMMYFUNCTION(" GOOGLETRANSLATE(A12, ""en"", ""am"")"),"11")</f>
        <v>11</v>
      </c>
      <c r="H12" s="8" t="str">
        <f>IFERROR(__xludf.DUMMYFUNCTION(" GOOGLETRANSLATE(B12, ""en"", ""am"")"),"አንድ ተጫዋች ዳኛው ምልክት ከማሳየቱ በፊት ኳሱን ቢወረውር ምን ይሆናል?")</f>
        <v>አንድ ተጫዋች ዳኛው ምልክት ከማሳየቱ በፊት ኳሱን ቢወረውር ምን ይሆናል?</v>
      </c>
      <c r="I12" s="8" t="str">
        <f>IFERROR(__xludf.DUMMYFUNCTION(" GOOGLETRANSLATE(C12, ""en"", ""am"")"),"ሀ. ነጥቦች ተቀንሰዋል ለ. ተጫዋቹ ተራ ያጣል. ሐ. ምንም ቅጣት የለም. መ. መወርወሩ ልክ ያልሆነ ነው።")</f>
        <v>ሀ. ነጥቦች ተቀንሰዋል ለ. ተጫዋቹ ተራ ያጣል. ሐ. ምንም ቅጣት የለም. መ. መወርወሩ ልክ ያልሆነ ነው።</v>
      </c>
      <c r="J12" s="8" t="str">
        <f>IFERROR(__xludf.DUMMYFUNCTION(" GOOGLETRANSLATE(D12, ""en"", ""am"")"),"ከዳኛው ምልክት በፊት የተደረጉ ውርወራዎች ልክ እንዳልሆኑ ይቆጠራሉ።")</f>
        <v>ከዳኛው ምልክት በፊት የተደረጉ ውርወራዎች ልክ እንዳልሆኑ ይቆጠራሉ።</v>
      </c>
      <c r="K12" s="8" t="str">
        <f>IFERROR(__xludf.DUMMYFUNCTION(" GOOGLETRANSLATE(E12, ""en"", ""am"")"),"ከዳኛው ምልክት በፊት የተደረጉ ውርወራዎች ልክ እንዳልሆኑ ይቆጠራሉ።")</f>
        <v>ከዳኛው ምልክት በፊት የተደረጉ ውርወራዎች ልክ እንዳልሆኑ ይቆጠራሉ።</v>
      </c>
    </row>
    <row r="13" ht="22.5" customHeight="1">
      <c r="A13" s="6">
        <v>12.0</v>
      </c>
      <c r="B13" s="7" t="s">
        <v>43</v>
      </c>
      <c r="C13" s="7" t="s">
        <v>44</v>
      </c>
      <c r="D13" s="7" t="s">
        <v>45</v>
      </c>
      <c r="E13" s="7" t="s">
        <v>45</v>
      </c>
      <c r="G13" s="8" t="str">
        <f>IFERROR(__xludf.DUMMYFUNCTION(" GOOGLETRANSLATE(A13, ""en"", ""am"")"),"12")</f>
        <v>12</v>
      </c>
      <c r="H13" s="8" t="str">
        <f>IFERROR(__xludf.DUMMYFUNCTION(" GOOGLETRANSLATE(B13, ""en"", ""am"")"),"በገና ዛፍ ውስጥ በቆሻሻ መስመር እና በጥቅል መካከል ያለው ርቀት ምን ያህል ነው?")</f>
        <v>በገና ዛፍ ውስጥ በቆሻሻ መስመር እና በጥቅል መካከል ያለው ርቀት ምን ያህል ነው?</v>
      </c>
      <c r="I13" s="8" t="str">
        <f>IFERROR(__xludf.DUMMYFUNCTION(" GOOGLETRANSLATE(C13, ""en"", ""am"")"),"አ. 8 ሜትር ለ 10 ሜትር ሐ. 12 ሜትር መ. 10 ሜትር")</f>
        <v>አ. 8 ሜትር ለ 10 ሜትር ሐ. 12 ሜትር መ. 10 ሜትር</v>
      </c>
      <c r="J13" s="8" t="str">
        <f>IFERROR(__xludf.DUMMYFUNCTION(" GOOGLETRANSLATE(D13, ""en"", ""am"")"),"በቆሻሻ መስመር እና በመጠምዘዣዎች መካከል ያለው ርቀት 10 ሜትር ነው.")</f>
        <v>በቆሻሻ መስመር እና በመጠምዘዣዎች መካከል ያለው ርቀት 10 ሜትር ነው.</v>
      </c>
      <c r="K13" s="8" t="str">
        <f>IFERROR(__xludf.DUMMYFUNCTION(" GOOGLETRANSLATE(E13, ""en"", ""am"")"),"በቆሻሻ መስመር እና በመጠምዘዣዎች መካከል ያለው ርቀት 10 ሜትር ነው.")</f>
        <v>በቆሻሻ መስመር እና በመጠምዘዣዎች መካከል ያለው ርቀት 10 ሜትር ነው.</v>
      </c>
    </row>
    <row r="14" ht="22.5" customHeight="1">
      <c r="A14" s="6">
        <v>13.0</v>
      </c>
      <c r="B14" s="7" t="s">
        <v>46</v>
      </c>
      <c r="C14" s="7" t="s">
        <v>47</v>
      </c>
      <c r="D14" s="7" t="s">
        <v>48</v>
      </c>
      <c r="E14" s="7" t="s">
        <v>48</v>
      </c>
      <c r="G14" s="8" t="str">
        <f>IFERROR(__xludf.DUMMYFUNCTION(" GOOGLETRANSLATE(A14, ""en"", ""am"")"),"13")</f>
        <v>13</v>
      </c>
      <c r="H14" s="8" t="str">
        <f>IFERROR(__xludf.DUMMYFUNCTION(" GOOGLETRANSLATE(B14, ""en"", ""am"")"),"በአንድ ጨዋታ ውስጥ ሁለት ተጫዋቾች ተመሳሳይ ነጥቦችን ቢያመጡ ምን ይከሰታል?")</f>
        <v>በአንድ ጨዋታ ውስጥ ሁለት ተጫዋቾች ተመሳሳይ ነጥቦችን ቢያመጡ ምን ይከሰታል?</v>
      </c>
      <c r="I14" s="8" t="str">
        <f>IFERROR(__xludf.DUMMYFUNCTION(" GOOGLETRANSLATE(C14, ""en"", ""am"")"),"ሀ ከፍተኛ ነጠላ ውርወራ ያለው ተጫዋች ያሸንፋል። ለ/ ጨዋታው በአቻ ውጤት መጠናቀቁ ተገለጸ። ሐ. ሁለቱም ተጫዋቾች ድሉን ይጋራሉ። መ. የማጣሪያው ዙር ተካሂዷል።")</f>
        <v>ሀ ከፍተኛ ነጠላ ውርወራ ያለው ተጫዋች ያሸንፋል። ለ/ ጨዋታው በአቻ ውጤት መጠናቀቁ ተገለጸ። ሐ. ሁለቱም ተጫዋቾች ድሉን ይጋራሉ። መ. የማጣሪያው ዙር ተካሂዷል።</v>
      </c>
      <c r="J14" s="8" t="str">
        <f>IFERROR(__xludf.DUMMYFUNCTION(" GOOGLETRANSLATE(D14, ""en"", ""am"")"),"የማጣሪያ ውድድር ካለ የማጣሪያ ዙር ይካሄዳል።")</f>
        <v>የማጣሪያ ውድድር ካለ የማጣሪያ ዙር ይካሄዳል።</v>
      </c>
      <c r="K14" s="8" t="str">
        <f>IFERROR(__xludf.DUMMYFUNCTION(" GOOGLETRANSLATE(E14, ""en"", ""am"")"),"የማጣሪያ ውድድር ካለ የማጣሪያ ዙር ይካሄዳል።")</f>
        <v>የማጣሪያ ውድድር ካለ የማጣሪያ ዙር ይካሄዳል።</v>
      </c>
    </row>
    <row r="15" ht="22.5" customHeight="1">
      <c r="A15" s="6">
        <v>14.0</v>
      </c>
      <c r="B15" s="7" t="s">
        <v>49</v>
      </c>
      <c r="C15" s="7" t="s">
        <v>50</v>
      </c>
      <c r="D15" s="7" t="s">
        <v>51</v>
      </c>
      <c r="E15" s="7" t="s">
        <v>51</v>
      </c>
      <c r="G15" s="8" t="str">
        <f>IFERROR(__xludf.DUMMYFUNCTION(" GOOGLETRANSLATE(A15, ""en"", ""am"")"),"14")</f>
        <v>14</v>
      </c>
      <c r="H15" s="8" t="str">
        <f>IFERROR(__xludf.DUMMYFUNCTION(" GOOGLETRANSLATE(B15, ""en"", ""am"")"),"አንድ ተጫዋች ተራው ሲደርስ ስንት ጊዜ መወርወር አለበት?")</f>
        <v>አንድ ተጫዋች ተራው ሲደርስ ስንት ጊዜ መወርወር አለበት?</v>
      </c>
      <c r="I15" s="8" t="str">
        <f>IFERROR(__xludf.DUMMYFUNCTION(" GOOGLETRANSLATE(C15, ""en"", ""am"")"),"ሀ. 15 ሰከንድ ለ. 30 ሰከንድ ሐ. 1 ደቂቃ መ. 30 ሰከንድ")</f>
        <v>ሀ. 15 ሰከንድ ለ. 30 ሰከንድ ሐ. 1 ደቂቃ መ. 30 ሰከንድ</v>
      </c>
      <c r="J15" s="8" t="str">
        <f>IFERROR(__xludf.DUMMYFUNCTION(" GOOGLETRANSLATE(D15, ""en"", ""am"")"),"አንድ ተጫዋች ከተያዘ በ30 ሰከንድ ውስጥ መጣል አለበት።")</f>
        <v>አንድ ተጫዋች ከተያዘ በ30 ሰከንድ ውስጥ መጣል አለበት።</v>
      </c>
      <c r="K15" s="8" t="str">
        <f>IFERROR(__xludf.DUMMYFUNCTION(" GOOGLETRANSLATE(E15, ""en"", ""am"")"),"አንድ ተጫዋች ከተያዘ በ30 ሰከንድ ውስጥ መጣል አለበት።")</f>
        <v>አንድ ተጫዋች ከተያዘ በ30 ሰከንድ ውስጥ መጣል አለበት።</v>
      </c>
    </row>
    <row r="16" ht="22.5" customHeight="1">
      <c r="A16" s="6">
        <v>15.0</v>
      </c>
      <c r="B16" s="7" t="s">
        <v>52</v>
      </c>
      <c r="C16" s="7" t="s">
        <v>53</v>
      </c>
      <c r="D16" s="7" t="s">
        <v>54</v>
      </c>
      <c r="E16" s="7" t="s">
        <v>54</v>
      </c>
      <c r="G16" s="8" t="str">
        <f>IFERROR(__xludf.DUMMYFUNCTION(" GOOGLETRANSLATE(A16, ""en"", ""am"")"),"15")</f>
        <v>15</v>
      </c>
      <c r="H16" s="8" t="str">
        <f>IFERROR(__xludf.DUMMYFUNCTION(" GOOGLETRANSLATE(B16, ""en"", ""am"")"),"አንድ ተጫዋች ድርጭቶችን በሚዘጋጅበት ቦታ ላይ ቢረግጥ ምን ይሆናል?")</f>
        <v>አንድ ተጫዋች ድርጭቶችን በሚዘጋጅበት ቦታ ላይ ቢረግጥ ምን ይሆናል?</v>
      </c>
      <c r="I16" s="8" t="str">
        <f>IFERROR(__xludf.DUMMYFUNCTION(" GOOGLETRANSLATE(C16, ""en"", ""am"")"),"ሀ. የተቀነሱ ነጥቦች ለ. መዞሩ ጠፍቷል። ሐ. ምንም ቅጣት የለም. መ. መዞሪያው ጠፍቷል።")</f>
        <v>ሀ. የተቀነሱ ነጥቦች ለ. መዞሩ ጠፍቷል። ሐ. ምንም ቅጣት የለም. መ. መዞሪያው ጠፍቷል።</v>
      </c>
      <c r="J16" s="8" t="str">
        <f>IFERROR(__xludf.DUMMYFUNCTION(" GOOGLETRANSLATE(D16, ""en"", ""am"")"),"የኳይል መሰናዶ ቦታ ላይ የረገጡ ተጫዋቾች ተራቸውን ያጣሉ።")</f>
        <v>የኳይል መሰናዶ ቦታ ላይ የረገጡ ተጫዋቾች ተራቸውን ያጣሉ።</v>
      </c>
      <c r="K16" s="8" t="str">
        <f>IFERROR(__xludf.DUMMYFUNCTION(" GOOGLETRANSLATE(E16, ""en"", ""am"")"),"የኳይል መሰናዶ ቦታ ላይ የረገጡ ተጫዋቾች ተራቸውን ያጣሉ።")</f>
        <v>የኳይል መሰናዶ ቦታ ላይ የረገጡ ተጫዋቾች ተራቸውን ያጣሉ።</v>
      </c>
    </row>
    <row r="17" ht="22.5" customHeight="1">
      <c r="A17" s="6">
        <v>16.0</v>
      </c>
      <c r="B17" s="7" t="s">
        <v>55</v>
      </c>
      <c r="C17" s="7" t="s">
        <v>56</v>
      </c>
      <c r="D17" s="7" t="s">
        <v>57</v>
      </c>
      <c r="E17" s="7" t="s">
        <v>57</v>
      </c>
      <c r="G17" s="8" t="str">
        <f>IFERROR(__xludf.DUMMYFUNCTION(" GOOGLETRANSLATE(A17, ""en"", ""am"")"),"16")</f>
        <v>16</v>
      </c>
      <c r="H17" s="8" t="str">
        <f>IFERROR(__xludf.DUMMYFUNCTION(" GOOGLETRANSLATE(B17, ""en"", ""am"")"),"አንድ ተጫዋች በጨዋታ ጊዜ የኳስ ለውጥ ሊጠይቅ ይችላል?")</f>
        <v>አንድ ተጫዋች በጨዋታ ጊዜ የኳስ ለውጥ ሊጠይቅ ይችላል?</v>
      </c>
      <c r="I17" s="8" t="str">
        <f>IFERROR(__xludf.DUMMYFUNCTION(" GOOGLETRANSLATE(C17, ""en"", ""am"")"),"ሀ. ኳሱ ከተበላሸ ብቻ. ለ. በጨዋታ አንድ ጊዜ ብቻ C. አይ ዲ. ኳሱ ከተጎዳ ብቻ።")</f>
        <v>ሀ. ኳሱ ከተበላሸ ብቻ. ለ. በጨዋታ አንድ ጊዜ ብቻ C. አይ ዲ. ኳሱ ከተጎዳ ብቻ።</v>
      </c>
      <c r="J17" s="8" t="str">
        <f>IFERROR(__xludf.DUMMYFUNCTION(" GOOGLETRANSLATE(D17, ""en"", ""am"")"),"የኳስ ለውጦች የሚፈቀዱት ኳሱ ከተበላሸ ብቻ ነው።")</f>
        <v>የኳስ ለውጦች የሚፈቀዱት ኳሱ ከተበላሸ ብቻ ነው።</v>
      </c>
      <c r="K17" s="8" t="str">
        <f>IFERROR(__xludf.DUMMYFUNCTION(" GOOGLETRANSLATE(E17, ""en"", ""am"")"),"የኳስ ለውጦች የሚፈቀዱት ኳሱ ከተበላሸ ብቻ ነው።")</f>
        <v>የኳስ ለውጦች የሚፈቀዱት ኳሱ ከተበላሸ ብቻ ነው።</v>
      </c>
    </row>
    <row r="18" ht="22.5" customHeight="1">
      <c r="A18" s="6">
        <v>17.0</v>
      </c>
      <c r="B18" s="7" t="s">
        <v>58</v>
      </c>
      <c r="C18" s="7" t="s">
        <v>59</v>
      </c>
      <c r="D18" s="7" t="s">
        <v>60</v>
      </c>
      <c r="E18" s="7" t="s">
        <v>60</v>
      </c>
      <c r="G18" s="8" t="str">
        <f>IFERROR(__xludf.DUMMYFUNCTION(" GOOGLETRANSLATE(A18, ""en"", ""am"")"),"17")</f>
        <v>17</v>
      </c>
      <c r="H18" s="8" t="str">
        <f>IFERROR(__xludf.DUMMYFUNCTION(" GOOGLETRANSLATE(B18, ""en"", ""am"")"),"ኳሱን ከመምታቱ በፊት ኳሱ ሁለት ጊዜ ቢመታ ምን ይከሰታል?")</f>
        <v>ኳሱን ከመምታቱ በፊት ኳሱ ሁለት ጊዜ ቢመታ ምን ይከሰታል?</v>
      </c>
      <c r="I18" s="8" t="str">
        <f>IFERROR(__xludf.DUMMYFUNCTION(" GOOGLETRANSLATE(C18, ""en"", ""am"")"),"ሀ. ግማሽ ነጥብ ተሸልሟል ለ. ሙሉ ነጥብ ተሸልሟል ሐ. ማዞሪያው ጠፍቷል። መ. ሙሉ ነጥቦች ተሸልሟል")</f>
        <v>ሀ. ግማሽ ነጥብ ተሸልሟል ለ. ሙሉ ነጥብ ተሸልሟል ሐ. ማዞሪያው ጠፍቷል። መ. ሙሉ ነጥቦች ተሸልሟል</v>
      </c>
      <c r="J18" s="8" t="str">
        <f>IFERROR(__xludf.DUMMYFUNCTION(" GOOGLETRANSLATE(D18, ""en"", ""am"")"),"ከመምታቱ በፊት ኩዊሉን ሁለት ጊዜ ማወዛወዝ ውጤቱን አይጎዳውም.")</f>
        <v>ከመምታቱ በፊት ኩዊሉን ሁለት ጊዜ ማወዛወዝ ውጤቱን አይጎዳውም.</v>
      </c>
      <c r="K18" s="8" t="str">
        <f>IFERROR(__xludf.DUMMYFUNCTION(" GOOGLETRANSLATE(E18, ""en"", ""am"")"),"ከመምታቱ በፊት ኩዊሉን ሁለት ጊዜ ማወዛወዝ ውጤቱን አይጎዳውም.")</f>
        <v>ከመምታቱ በፊት ኩዊሉን ሁለት ጊዜ ማወዛወዝ ውጤቱን አይጎዳውም.</v>
      </c>
    </row>
    <row r="19" ht="22.5" customHeight="1">
      <c r="A19" s="6">
        <v>18.0</v>
      </c>
      <c r="B19" s="7" t="s">
        <v>61</v>
      </c>
      <c r="C19" s="7" t="s">
        <v>62</v>
      </c>
      <c r="D19" s="7" t="s">
        <v>63</v>
      </c>
      <c r="E19" s="7" t="s">
        <v>63</v>
      </c>
      <c r="G19" s="8" t="str">
        <f>IFERROR(__xludf.DUMMYFUNCTION(" GOOGLETRANSLATE(A19, ""en"", ""am"")"),"18")</f>
        <v>18</v>
      </c>
      <c r="H19" s="8" t="str">
        <f>IFERROR(__xludf.DUMMYFUNCTION(" GOOGLETRANSLATE(B19, ""en"", ""am"")"),"በገና በዓል ላይ ለኩዊሎች ኦፊሴላዊው ቁሳቁስ ምንድነው?")</f>
        <v>በገና በዓል ላይ ለኩዊሎች ኦፊሴላዊው ቁሳቁስ ምንድነው?</v>
      </c>
      <c r="I19" s="8" t="str">
        <f>IFERROR(__xludf.DUMMYFUNCTION(" GOOGLETRANSLATE(C19, ""en"", ""am"")"),"ኤ ፕላስቲክ ቢ. ብረት ሲ. ጎማ ዲ እንጨት")</f>
        <v>ኤ ፕላስቲክ ቢ. ብረት ሲ. ጎማ ዲ እንጨት</v>
      </c>
      <c r="J19" s="8" t="str">
        <f>IFERROR(__xludf.DUMMYFUNCTION(" GOOGLETRANSLATE(D19, ""en"", ""am"")"),"ኩዊልስ በገና ዛፍ ውስጥ በባህላዊ መንገድ ከእንጨት የተሠሩ ናቸው.")</f>
        <v>ኩዊልስ በገና ዛፍ ውስጥ በባህላዊ መንገድ ከእንጨት የተሠሩ ናቸው.</v>
      </c>
      <c r="K19" s="8" t="str">
        <f>IFERROR(__xludf.DUMMYFUNCTION(" GOOGLETRANSLATE(E19, ""en"", ""am"")"),"ኩዊልስ በገና ዛፍ ውስጥ በባህላዊ መንገድ ከእንጨት የተሠሩ ናቸው.")</f>
        <v>ኩዊልስ በገና ዛፍ ውስጥ በባህላዊ መንገድ ከእንጨት የተሠሩ ናቸው.</v>
      </c>
    </row>
    <row r="20" ht="22.5" customHeight="1">
      <c r="A20" s="6">
        <v>19.0</v>
      </c>
      <c r="B20" s="7" t="s">
        <v>64</v>
      </c>
      <c r="C20" s="7" t="s">
        <v>65</v>
      </c>
      <c r="D20" s="7" t="s">
        <v>66</v>
      </c>
      <c r="E20" s="7" t="s">
        <v>66</v>
      </c>
      <c r="G20" s="8" t="str">
        <f>IFERROR(__xludf.DUMMYFUNCTION(" GOOGLETRANSLATE(A20, ""en"", ""am"")"),"19")</f>
        <v>19</v>
      </c>
      <c r="H20" s="8" t="str">
        <f>IFERROR(__xludf.DUMMYFUNCTION(" GOOGLETRANSLATE(B20, ""en"", ""am"")"),"ገና በገና በዓል ላይ ስፖርታዊ ጨዋነት የጎደለው ድርጊት ምን መዘዝ ያስከትላል?")</f>
        <v>ገና በገና በዓል ላይ ስፖርታዊ ጨዋነት የጎደለው ድርጊት ምን መዘዝ ያስከትላል?</v>
      </c>
      <c r="I20" s="8" t="str">
        <f>IFERROR(__xludf.DUMMYFUNCTION(" GOOGLETRANSLATE(C20, ""en"", ""am"")"),"ሀ. ብቁ አለመሆን ለ. ነጥቦችን ማጣት ሐ. ምንም ቅጣት የለም. መ. ብቁ አለመሆን")</f>
        <v>ሀ. ብቁ አለመሆን ለ. ነጥቦችን ማጣት ሐ. ምንም ቅጣት የለም. መ. ብቁ አለመሆን</v>
      </c>
      <c r="J20" s="8" t="str">
        <f>IFERROR(__xludf.DUMMYFUNCTION(" GOOGLETRANSLATE(D20, ""en"", ""am"")"),"ስፖርታዊ ጨዋነት የጎደለው ድርጊት ውድቅነትን ያስከትላል።")</f>
        <v>ስፖርታዊ ጨዋነት የጎደለው ድርጊት ውድቅነትን ያስከትላል።</v>
      </c>
      <c r="K20" s="8" t="str">
        <f>IFERROR(__xludf.DUMMYFUNCTION(" GOOGLETRANSLATE(E20, ""en"", ""am"")"),"ስፖርታዊ ጨዋነት የጎደለው ድርጊት ውድቅነትን ያስከትላል።")</f>
        <v>ስፖርታዊ ጨዋነት የጎደለው ድርጊት ውድቅነትን ያስከትላል።</v>
      </c>
    </row>
    <row r="21" ht="22.5" customHeight="1">
      <c r="A21" s="6">
        <v>20.0</v>
      </c>
      <c r="B21" s="7" t="s">
        <v>67</v>
      </c>
      <c r="C21" s="7" t="s">
        <v>68</v>
      </c>
      <c r="D21" s="7" t="s">
        <v>69</v>
      </c>
      <c r="E21" s="7" t="s">
        <v>69</v>
      </c>
      <c r="G21" s="8" t="str">
        <f>IFERROR(__xludf.DUMMYFUNCTION(" GOOGLETRANSLATE(A21, ""en"", ""am"")"),"20")</f>
        <v>20</v>
      </c>
      <c r="H21" s="8" t="str">
        <f>IFERROR(__xludf.DUMMYFUNCTION(" GOOGLETRANSLATE(B21, ""en"", ""am"")"),"ኳሱ ምንም ኳሶችን ሳይመታ ወደ ኋላ ቢያንከባለል ምን ይከሰታል?")</f>
        <v>ኳሱ ምንም ኳሶችን ሳይመታ ወደ ኋላ ቢያንከባለል ምን ይከሰታል?</v>
      </c>
      <c r="I21" s="8" t="str">
        <f>IFERROR(__xludf.DUMMYFUNCTION(" GOOGLETRANSLATE(C21, ""en"", ""am"")"),"ሀ. ምንም ነጥብ አልተሰጠም። ለ. ተቃዋሚው ነጥብ አስመዝግቧል። ሐ. ጨዋታው እንደገና ይጀምራል። መ. ምንም ነጥብ አልተሰጠም።")</f>
        <v>ሀ. ምንም ነጥብ አልተሰጠም። ለ. ተቃዋሚው ነጥብ አስመዝግቧል። ሐ. ጨዋታው እንደገና ይጀምራል። መ. ምንም ነጥብ አልተሰጠም።</v>
      </c>
      <c r="J21" s="8" t="str">
        <f>IFERROR(__xludf.DUMMYFUNCTION(" GOOGLETRANSLATE(D21, ""en"", ""am"")"),"ኳሱ ኳሶችን ሳይመታ ወደ ኋላ ከተንከባለል ምንም ነጥብ አይሰጥም።")</f>
        <v>ኳሱ ኳሶችን ሳይመታ ወደ ኋላ ከተንከባለል ምንም ነጥብ አይሰጥም።</v>
      </c>
      <c r="K21" s="8" t="str">
        <f>IFERROR(__xludf.DUMMYFUNCTION(" GOOGLETRANSLATE(E21, ""en"", ""am"")"),"ኳሱ ኳሶችን ሳይመታ ወደ ኋላ ከተንከባለል ምንም ነጥብ አይሰጥም።")</f>
        <v>ኳሱ ኳሶችን ሳይመታ ወደ ኋላ ከተንከባለል ምንም ነጥብ አይሰጥም።</v>
      </c>
    </row>
    <row r="22" ht="22.5" customHeight="1">
      <c r="A22" s="6">
        <v>21.0</v>
      </c>
      <c r="B22" s="7" t="s">
        <v>70</v>
      </c>
      <c r="C22" s="7" t="s">
        <v>71</v>
      </c>
      <c r="D22" s="7" t="s">
        <v>72</v>
      </c>
      <c r="E22" s="7" t="s">
        <v>72</v>
      </c>
      <c r="G22" s="8" t="str">
        <f>IFERROR(__xludf.DUMMYFUNCTION(" GOOGLETRANSLATE(A22, ""en"", ""am"")"),"21")</f>
        <v>21</v>
      </c>
      <c r="H22" s="8" t="str">
        <f>IFERROR(__xludf.DUMMYFUNCTION(" GOOGLETRANSLATE(B22, ""en"", ""am"")"),"ተጫዋቹ በማዘጋጀት ላይ እያለ በድንገት ኳሱን ቢያንቀሳቅስ ምን ይሆናል?")</f>
        <v>ተጫዋቹ በማዘጋጀት ላይ እያለ በድንገት ኳሱን ቢያንቀሳቅስ ምን ይሆናል?</v>
      </c>
      <c r="I22" s="8" t="str">
        <f>IFERROR(__xludf.DUMMYFUNCTION(" GOOGLETRANSLATE(C22, ""en"", ""am"")"),"ሀ. ተቃዋሚው ነጥብ ያገኛል። ለ. ማስጠንቀቂያ ተሰጥቷል። ሐ. ምንም ቅጣት የለም. መ. ማስጠንቀቂያ ተሰጥቷል።")</f>
        <v>ሀ. ተቃዋሚው ነጥብ ያገኛል። ለ. ማስጠንቀቂያ ተሰጥቷል። ሐ. ምንም ቅጣት የለም. መ. ማስጠንቀቂያ ተሰጥቷል።</v>
      </c>
      <c r="J22" s="8" t="str">
        <f>IFERROR(__xludf.DUMMYFUNCTION(" GOOGLETRANSLATE(D22, ""en"", ""am"")"),"በማዋቀር ጊዜ በድንገት ጥቅልሉን ማንቀሳቀስ ማስጠንቀቂያን ያስከትላል።")</f>
        <v>በማዋቀር ጊዜ በድንገት ጥቅልሉን ማንቀሳቀስ ማስጠንቀቂያን ያስከትላል።</v>
      </c>
      <c r="K22" s="8" t="str">
        <f>IFERROR(__xludf.DUMMYFUNCTION(" GOOGLETRANSLATE(E22, ""en"", ""am"")"),"በማዋቀር ጊዜ በድንገት ጥቅልሉን ማንቀሳቀስ ማስጠንቀቂያን ያስከትላል።")</f>
        <v>በማዋቀር ጊዜ በድንገት ጥቅልሉን ማንቀሳቀስ ማስጠንቀቂያን ያስከትላል።</v>
      </c>
    </row>
    <row r="23" ht="22.5" customHeight="1">
      <c r="A23" s="6">
        <v>22.0</v>
      </c>
      <c r="B23" s="7" t="s">
        <v>73</v>
      </c>
      <c r="C23" s="7" t="s">
        <v>74</v>
      </c>
      <c r="D23" s="7" t="s">
        <v>75</v>
      </c>
      <c r="E23" s="9">
        <v>5.0</v>
      </c>
      <c r="G23" s="8" t="str">
        <f>IFERROR(__xludf.DUMMYFUNCTION(" GOOGLETRANSLATE(A23, ""en"", ""am"")"),"22")</f>
        <v>22</v>
      </c>
      <c r="H23" s="8" t="str">
        <f>IFERROR(__xludf.DUMMYFUNCTION(" GOOGLETRANSLATE(B23, ""en"", ""am"")"),"እያንዳንዱ ተጫዋች በመደበኛ ጨዋታ ውስጥ ስንት ተራዎችን ያገኛል?")</f>
        <v>እያንዳንዱ ተጫዋች በመደበኛ ጨዋታ ውስጥ ስንት ተራዎችን ያገኛል?</v>
      </c>
      <c r="I23" s="8" t="str">
        <f>IFERROR(__xludf.DUMMYFUNCTION(" GOOGLETRANSLATE(C23, ""en"", ""am"")"),"አ.5 ለ. 7 ሐ. 10 ዲ. 5")</f>
        <v>አ.5 ለ. 7 ሐ. 10 ዲ. 5</v>
      </c>
      <c r="J23" s="8" t="str">
        <f>IFERROR(__xludf.DUMMYFUNCTION(" GOOGLETRANSLATE(D23, ""en"", ""am"")"),"5")</f>
        <v>5</v>
      </c>
      <c r="K23" s="8" t="str">
        <f>IFERROR(__xludf.DUMMYFUNCTION(" GOOGLETRANSLATE(E23, ""en"", ""am"")"),"5")</f>
        <v>5</v>
      </c>
    </row>
    <row r="24" ht="22.5" customHeight="1">
      <c r="A24" s="6">
        <v>23.0</v>
      </c>
      <c r="B24" s="7" t="s">
        <v>76</v>
      </c>
      <c r="C24" s="7" t="s">
        <v>77</v>
      </c>
      <c r="D24" s="7" t="s">
        <v>78</v>
      </c>
      <c r="E24" s="7" t="s">
        <v>78</v>
      </c>
      <c r="G24" s="8" t="str">
        <f>IFERROR(__xludf.DUMMYFUNCTION(" GOOGLETRANSLATE(A24, ""en"", ""am"")"),"23")</f>
        <v>23</v>
      </c>
      <c r="H24" s="8" t="str">
        <f>IFERROR(__xludf.DUMMYFUNCTION(" GOOGLETRANSLATE(B24, ""en"", ""am"")"),"ኳሱ የተሳሳተውን መስመር ቢነካ ግን ካላለፈ ህጉ ምንድን ነው?")</f>
        <v>ኳሱ የተሳሳተውን መስመር ቢነካ ግን ካላለፈ ህጉ ምንድን ነው?</v>
      </c>
      <c r="I24" s="8" t="str">
        <f>IFERROR(__xludf.DUMMYFUNCTION(" GOOGLETRANSLATE(C24, ""en"", ""am"")"),"ሀ. መወርወሩ ትክክል ነው። ለ. ነጥቦች ተቀንሰዋል ሐ. መዞሩ ጠፍቷል። መ መወርወሩ ትክክል ነው።")</f>
        <v>ሀ. መወርወሩ ትክክል ነው። ለ. ነጥቦች ተቀንሰዋል ሐ. መዞሩ ጠፍቷል። መ መወርወሩ ትክክል ነው።</v>
      </c>
      <c r="J24" s="8" t="str">
        <f>IFERROR(__xludf.DUMMYFUNCTION(" GOOGLETRANSLATE(D24, ""en"", ""am"")"),"ኳሱ ከተነካ ግን የስህተት መስመሩን ካላቋረጠ መወርወሩ ትክክለኛ ነው።")</f>
        <v>ኳሱ ከተነካ ግን የስህተት መስመሩን ካላቋረጠ መወርወሩ ትክክለኛ ነው።</v>
      </c>
      <c r="K24" s="8" t="str">
        <f>IFERROR(__xludf.DUMMYFUNCTION(" GOOGLETRANSLATE(E24, ""en"", ""am"")"),"ኳሱ ከተነካ ግን የስህተት መስመሩን ካላቋረጠ መወርወሩ ትክክለኛ ነው።")</f>
        <v>ኳሱ ከተነካ ግን የስህተት መስመሩን ካላቋረጠ መወርወሩ ትክክለኛ ነው።</v>
      </c>
    </row>
    <row r="25" ht="22.5" customHeight="1">
      <c r="A25" s="6">
        <v>24.0</v>
      </c>
      <c r="B25" s="7" t="s">
        <v>79</v>
      </c>
      <c r="C25" s="7" t="s">
        <v>80</v>
      </c>
      <c r="D25" s="7" t="s">
        <v>81</v>
      </c>
      <c r="E25" s="7" t="s">
        <v>81</v>
      </c>
      <c r="G25" s="8" t="str">
        <f>IFERROR(__xludf.DUMMYFUNCTION(" GOOGLETRANSLATE(A25, ""en"", ""am"")"),"24")</f>
        <v>24</v>
      </c>
      <c r="H25" s="8" t="str">
        <f>IFERROR(__xludf.DUMMYFUNCTION(" GOOGLETRANSLATE(B25, ""en"", ""am"")"),"አንድ ተጫዋች ለተራቸው የተሳሳተ ኳስ ቢጠቀም ምን ይከሰታል?")</f>
        <v>አንድ ተጫዋች ለተራቸው የተሳሳተ ኳስ ቢጠቀም ምን ይከሰታል?</v>
      </c>
      <c r="I25" s="8" t="str">
        <f>IFERROR(__xludf.DUMMYFUNCTION(" GOOGLETRANSLATE(C25, ""en"", ""am"")"),"ሀ. ምንም ቅጣት አይተገበርም። ለ. መወርወሩ ልክ ያልሆነ ነው። ሐ. ተቃዋሚው ነጥብ ያስመዘገበ ነው። መ. መወርወሩ ልክ ያልሆነ ነው።")</f>
        <v>ሀ. ምንም ቅጣት አይተገበርም። ለ. መወርወሩ ልክ ያልሆነ ነው። ሐ. ተቃዋሚው ነጥብ ያስመዘገበ ነው። መ. መወርወሩ ልክ ያልሆነ ነው።</v>
      </c>
      <c r="J25" s="8" t="str">
        <f>IFERROR(__xludf.DUMMYFUNCTION(" GOOGLETRANSLATE(D25, ""en"", ""am"")"),"የተሳሳተ ኳስ መጠቀም የጨዋታውን ውርወራ ዋጋ ያሳጣዋል።")</f>
        <v>የተሳሳተ ኳስ መጠቀም የጨዋታውን ውርወራ ዋጋ ያሳጣዋል።</v>
      </c>
      <c r="K25" s="8" t="str">
        <f>IFERROR(__xludf.DUMMYFUNCTION(" GOOGLETRANSLATE(E25, ""en"", ""am"")"),"የተሳሳተ ኳስ መጠቀም የጨዋታውን ውርወራ ዋጋ ያሳጣዋል።")</f>
        <v>የተሳሳተ ኳስ መጠቀም የጨዋታውን ውርወራ ዋጋ ያሳጣዋል።</v>
      </c>
    </row>
    <row r="26" ht="22.5" customHeight="1">
      <c r="A26" s="6">
        <v>25.0</v>
      </c>
      <c r="B26" s="7" t="s">
        <v>82</v>
      </c>
      <c r="C26" s="7" t="s">
        <v>83</v>
      </c>
      <c r="D26" s="7" t="s">
        <v>84</v>
      </c>
      <c r="E26" s="7" t="s">
        <v>84</v>
      </c>
      <c r="G26" s="8" t="str">
        <f>IFERROR(__xludf.DUMMYFUNCTION(" GOOGLETRANSLATE(A26, ""en"", ""am"")"),"25")</f>
        <v>25</v>
      </c>
      <c r="H26" s="8" t="str">
        <f>IFERROR(__xludf.DUMMYFUNCTION(" GOOGLETRANSLATE(B26, ""en"", ""am"")"),"ኩዊልስ ከተንኳኳ በኋላ እንዴት እንደገና ይጀምራል?")</f>
        <v>ኩዊልስ ከተንኳኳ በኋላ እንዴት እንደገና ይጀምራል?</v>
      </c>
      <c r="I26" s="8" t="str">
        <f>IFERROR(__xludf.DUMMYFUNCTION(" GOOGLETRANSLATE(C26, ""en"", ""am"")"),"ሀ. በመጀመሪያ ቦታቸው ለ. ወደ መጥፎው መስመር ዝጋ ሐ. በተጫዋች የተመረጠ ዲ. በመጀመሪያ ቦታቸው")</f>
        <v>ሀ. በመጀመሪያ ቦታቸው ለ. ወደ መጥፎው መስመር ዝጋ ሐ. በተጫዋች የተመረጠ ዲ. በመጀመሪያ ቦታቸው</v>
      </c>
      <c r="J26" s="8" t="str">
        <f>IFERROR(__xludf.DUMMYFUNCTION(" GOOGLETRANSLATE(D26, ""en"", ""am"")"),"ኩዊሎች ሁልጊዜ ከተነጠቁ በኋላ ወደ መጀመሪያ ቦታቸው ይመለሳሉ.")</f>
        <v>ኩዊሎች ሁልጊዜ ከተነጠቁ በኋላ ወደ መጀመሪያ ቦታቸው ይመለሳሉ.</v>
      </c>
      <c r="K26" s="8" t="str">
        <f>IFERROR(__xludf.DUMMYFUNCTION(" GOOGLETRANSLATE(E26, ""en"", ""am"")"),"ኩዊሎች ሁልጊዜ ከተነጠቁ በኋላ ወደ መጀመሪያ ቦታቸው ይመለሳሉ.")</f>
        <v>ኩዊሎች ሁልጊዜ ከተነጠቁ በኋላ ወደ መጀመሪያ ቦታቸው ይመለሳሉ.</v>
      </c>
    </row>
    <row r="27" ht="22.5" customHeight="1">
      <c r="A27" s="6">
        <v>26.0</v>
      </c>
      <c r="B27" s="7" t="s">
        <v>85</v>
      </c>
      <c r="C27" s="7" t="s">
        <v>86</v>
      </c>
      <c r="D27" s="7" t="s">
        <v>87</v>
      </c>
      <c r="E27" s="7" t="s">
        <v>87</v>
      </c>
      <c r="G27" s="8" t="str">
        <f>IFERROR(__xludf.DUMMYFUNCTION(" GOOGLETRANSLATE(A27, ""en"", ""am"")"),"26")</f>
        <v>26</v>
      </c>
      <c r="H27" s="8" t="str">
        <f>IFERROR(__xludf.DUMMYFUNCTION(" GOOGLETRANSLATE(B27, ""en"", ""am"")"),"የገና ጨዋታን ለማሸነፍ የሚያስፈልገው ዝቅተኛው የነጥብ ብዛት ስንት ነው?")</f>
        <v>የገና ጨዋታን ለማሸነፍ የሚያስፈልገው ዝቅተኛው የነጥብ ብዛት ስንት ነው?</v>
      </c>
      <c r="I27" s="8" t="str">
        <f>IFERROR(__xludf.DUMMYFUNCTION(" GOOGLETRANSLATE(C27, ""en"", ""am"")"),"ዓ.30 ነጥቢ ብ 40 ነጥቢ C. 50 ነጥቢ ድ. 50 ነጥቢ")</f>
        <v>ዓ.30 ነጥቢ ብ 40 ነጥቢ C. 50 ነጥቢ ድ. 50 ነጥቢ</v>
      </c>
      <c r="J27" s="8" t="str">
        <f>IFERROR(__xludf.DUMMYFUNCTION(" GOOGLETRANSLATE(D27, ""en"", ""am"")"),"አንድ ተጫዋች መደበኛውን የገና ጨዋታ ለማሸነፍ 50 ነጥብ ያስፈልገዋል።")</f>
        <v>አንድ ተጫዋች መደበኛውን የገና ጨዋታ ለማሸነፍ 50 ነጥብ ያስፈልገዋል።</v>
      </c>
      <c r="K27" s="8" t="str">
        <f>IFERROR(__xludf.DUMMYFUNCTION(" GOOGLETRANSLATE(E27, ""en"", ""am"")"),"አንድ ተጫዋች መደበኛውን የገና ጨዋታ ለማሸነፍ 50 ነጥብ ያስፈልገዋል።")</f>
        <v>አንድ ተጫዋች መደበኛውን የገና ጨዋታ ለማሸነፍ 50 ነጥብ ያስፈልገዋል።</v>
      </c>
    </row>
    <row r="28" ht="22.5" customHeight="1">
      <c r="A28" s="6">
        <v>27.0</v>
      </c>
      <c r="B28" s="7" t="s">
        <v>88</v>
      </c>
      <c r="C28" s="7" t="s">
        <v>89</v>
      </c>
      <c r="D28" s="7" t="s">
        <v>90</v>
      </c>
      <c r="E28" s="7" t="s">
        <v>90</v>
      </c>
      <c r="G28" s="8" t="str">
        <f>IFERROR(__xludf.DUMMYFUNCTION(" GOOGLETRANSLATE(A28, ""en"", ""am"")"),"27")</f>
        <v>27</v>
      </c>
      <c r="H28" s="8" t="str">
        <f>IFERROR(__xludf.DUMMYFUNCTION(" GOOGLETRANSLATE(B28, ""en"", ""am"")"),"ኳሱ ምንም አይነት ኳሶችን ሳይመታ ወደ እረፍት ቢመጣ ምን ይከሰታል?")</f>
        <v>ኳሱ ምንም አይነት ኳሶችን ሳይመታ ወደ እረፍት ቢመጣ ምን ይከሰታል?</v>
      </c>
      <c r="I28" s="8" t="str">
        <f>IFERROR(__xludf.DUMMYFUNCTION(" GOOGLETRANSLATE(C28, ""en"", ""am"")"),"ሀ. ምንም ነጥብ አልተሰጠም። ለ. መዞሩ ጠፍቷል። ሐ. ተቃዋሚው ነጥብ ያስመዘገበ ነው። መ. ምንም ነጥብ አልተሰጠም።")</f>
        <v>ሀ. ምንም ነጥብ አልተሰጠም። ለ. መዞሩ ጠፍቷል። ሐ. ተቃዋሚው ነጥብ ያስመዘገበ ነው። መ. ምንም ነጥብ አልተሰጠም።</v>
      </c>
      <c r="J28" s="8" t="str">
        <f>IFERROR(__xludf.DUMMYFUNCTION(" GOOGLETRANSLATE(D28, ""en"", ""am"")"),"ኳሱ ምንም ኳሶችን ካልመታ, ምንም ነጥብ አይሰጥም.")</f>
        <v>ኳሱ ምንም ኳሶችን ካልመታ, ምንም ነጥብ አይሰጥም.</v>
      </c>
      <c r="K28" s="8" t="str">
        <f>IFERROR(__xludf.DUMMYFUNCTION(" GOOGLETRANSLATE(E28, ""en"", ""am"")"),"ኳሱ ምንም ኳሶችን ካልመታ, ምንም ነጥብ አይሰጥም.")</f>
        <v>ኳሱ ምንም ኳሶችን ካልመታ, ምንም ነጥብ አይሰጥም.</v>
      </c>
    </row>
    <row r="29" ht="22.5" customHeight="1">
      <c r="A29" s="6">
        <v>28.0</v>
      </c>
      <c r="B29" s="7" t="s">
        <v>91</v>
      </c>
      <c r="C29" s="7" t="s">
        <v>92</v>
      </c>
      <c r="D29" s="7" t="s">
        <v>93</v>
      </c>
      <c r="E29" s="7" t="s">
        <v>93</v>
      </c>
      <c r="G29" s="8" t="str">
        <f>IFERROR(__xludf.DUMMYFUNCTION(" GOOGLETRANSLATE(A29, ""en"", ""am"")"),"28")</f>
        <v>28</v>
      </c>
      <c r="H29" s="8" t="str">
        <f>IFERROR(__xludf.DUMMYFUNCTION(" GOOGLETRANSLATE(B29, ""en"", ""am"")"),"ተጫዋቾች በተራቸው ጊዜ ቦታ መቀየር ይችላሉ?")</f>
        <v>ተጫዋቾች በተራቸው ጊዜ ቦታ መቀየር ይችላሉ?</v>
      </c>
      <c r="I29" s="8" t="str">
        <f>IFERROR(__xludf.DUMMYFUNCTION(" GOOGLETRANSLATE(C29, ""en"", ""am"")"),"ሀ. በጨዋታ አንድ ጊዜ ብቻ B. አይ፣ በጭራሽ። ሐ. በዳኛው ይሁንታ ብቻ። መ. አይ ፣ በጭራሽ።")</f>
        <v>ሀ. በጨዋታ አንድ ጊዜ ብቻ B. አይ፣ በጭራሽ። ሐ. በዳኛው ይሁንታ ብቻ። መ. አይ ፣ በጭራሽ።</v>
      </c>
      <c r="J29" s="8" t="str">
        <f>IFERROR(__xludf.DUMMYFUNCTION(" GOOGLETRANSLATE(D29, ""en"", ""am"")"),"ተጫዋቾች በተራቸው ጊዜ ቦታ መቀየር አይችሉም።")</f>
        <v>ተጫዋቾች በተራቸው ጊዜ ቦታ መቀየር አይችሉም።</v>
      </c>
      <c r="K29" s="8" t="str">
        <f>IFERROR(__xludf.DUMMYFUNCTION(" GOOGLETRANSLATE(E29, ""en"", ""am"")"),"ተጫዋቾች በተራቸው ጊዜ ቦታ መቀየር አይችሉም።")</f>
        <v>ተጫዋቾች በተራቸው ጊዜ ቦታ መቀየር አይችሉም።</v>
      </c>
    </row>
    <row r="30" ht="22.5" customHeight="1">
      <c r="A30" s="6">
        <v>29.0</v>
      </c>
      <c r="B30" s="7" t="s">
        <v>94</v>
      </c>
      <c r="C30" s="7" t="s">
        <v>95</v>
      </c>
      <c r="D30" s="7" t="s">
        <v>96</v>
      </c>
      <c r="E30" s="7" t="s">
        <v>96</v>
      </c>
      <c r="G30" s="8" t="str">
        <f>IFERROR(__xludf.DUMMYFUNCTION(" GOOGLETRANSLATE(A30, ""en"", ""am"")"),"29")</f>
        <v>29</v>
      </c>
      <c r="H30" s="8" t="str">
        <f>IFERROR(__xludf.DUMMYFUNCTION(" GOOGLETRANSLATE(B30, ""en"", ""am"")"),"ኩርባው በከፊል ቢወድቅ ግን ቀጥ ብሎ ቢቆይ ምን ይሆናል?")</f>
        <v>ኩርባው በከፊል ቢወድቅ ግን ቀጥ ብሎ ቢቆይ ምን ይሆናል?</v>
      </c>
      <c r="I30" s="8" t="str">
        <f>IFERROR(__xludf.DUMMYFUNCTION(" GOOGLETRANSLATE(C30, ""en"", ""am"")"),"ሀ. ኩዊሉ አይቆጠርም. ለ. ግማሽ ነጥብ ተሸልሟል ሐ. ሽክርክር ተደግሟል. መ. ኩዊሉ አይቆጠርም.")</f>
        <v>ሀ. ኩዊሉ አይቆጠርም. ለ. ግማሽ ነጥብ ተሸልሟል ሐ. ሽክርክር ተደግሟል. መ. ኩዊሉ አይቆጠርም.</v>
      </c>
      <c r="J30" s="8" t="str">
        <f>IFERROR(__xludf.DUMMYFUNCTION(" GOOGLETRANSLATE(D30, ""en"", ""am"")"),"አንድ ኩዊል ሙሉ በሙሉ መሬት ላይ ከወደቀ ብቻ ይቆጠራል.")</f>
        <v>አንድ ኩዊል ሙሉ በሙሉ መሬት ላይ ከወደቀ ብቻ ይቆጠራል.</v>
      </c>
      <c r="K30" s="8" t="str">
        <f>IFERROR(__xludf.DUMMYFUNCTION(" GOOGLETRANSLATE(E30, ""en"", ""am"")"),"አንድ ኩዊል ሙሉ በሙሉ መሬት ላይ ከወደቀ ብቻ ይቆጠራል.")</f>
        <v>አንድ ኩዊል ሙሉ በሙሉ መሬት ላይ ከወደቀ ብቻ ይቆጠራል.</v>
      </c>
    </row>
    <row r="31" ht="22.5" customHeight="1">
      <c r="A31" s="6">
        <v>30.0</v>
      </c>
      <c r="B31" s="7" t="s">
        <v>97</v>
      </c>
      <c r="C31" s="7" t="s">
        <v>98</v>
      </c>
      <c r="D31" s="7" t="s">
        <v>99</v>
      </c>
      <c r="E31" s="7" t="s">
        <v>99</v>
      </c>
      <c r="G31" s="8" t="str">
        <f>IFERROR(__xludf.DUMMYFUNCTION(" GOOGLETRANSLATE(A31, ""en"", ""am"")"),"30")</f>
        <v>30</v>
      </c>
      <c r="H31" s="8" t="str">
        <f>IFERROR(__xludf.DUMMYFUNCTION(" GOOGLETRANSLATE(B31, ""en"", ""am"")"),"ኳስ በሆፕ ውስጥ ሲወረውሩ ትክክለኛው ቦታ ምንድነው?")</f>
        <v>ኳስ በሆፕ ውስጥ ሲወረውሩ ትክክለኛው ቦታ ምንድነው?</v>
      </c>
      <c r="I31" s="8" t="str">
        <f>IFERROR(__xludf.DUMMYFUNCTION(" GOOGLETRANSLATE(C31, ""en"", ""am"")"),"ሀ. አንድ ጫማ በአየር ውስጥ B. ጉልበቶች ታጥፈዋል። ሐ. ማንኛውም ቦታ ይፈቀዳል. መ. ሁለቱም እግሮች መሬት ላይ")</f>
        <v>ሀ. አንድ ጫማ በአየር ውስጥ B. ጉልበቶች ታጥፈዋል። ሐ. ማንኛውም ቦታ ይፈቀዳል. መ. ሁለቱም እግሮች መሬት ላይ</v>
      </c>
      <c r="J31" s="8" t="str">
        <f>IFERROR(__xludf.DUMMYFUNCTION(" GOOGLETRANSLATE(D31, ""en"", ""am"")"),"ኳሱን በሚወረውሩበት ጊዜ ተጫዋቾች ሁለቱንም እግሮች መሬት ላይ ማቆየት አለባቸው።")</f>
        <v>ኳሱን በሚወረውሩበት ጊዜ ተጫዋቾች ሁለቱንም እግሮች መሬት ላይ ማቆየት አለባቸው።</v>
      </c>
      <c r="K31" s="8" t="str">
        <f>IFERROR(__xludf.DUMMYFUNCTION(" GOOGLETRANSLATE(E31, ""en"", ""am"")"),"ኳሱን በሚወረውሩበት ጊዜ ተጫዋቾች ሁለቱንም እግሮች መሬት ላይ ማቆየት አለባቸው።")</f>
        <v>ኳሱን በሚወረውሩበት ጊዜ ተጫዋቾች ሁለቱንም እግሮች መሬት ላይ ማቆየት አለባቸው።</v>
      </c>
    </row>
    <row r="32" ht="22.5" customHeight="1">
      <c r="A32" s="6">
        <v>31.0</v>
      </c>
      <c r="B32" s="7" t="s">
        <v>100</v>
      </c>
      <c r="C32" s="7" t="s">
        <v>101</v>
      </c>
      <c r="D32" s="7" t="s">
        <v>102</v>
      </c>
      <c r="E32" s="7" t="s">
        <v>102</v>
      </c>
      <c r="G32" s="8" t="str">
        <f>IFERROR(__xludf.DUMMYFUNCTION(" GOOGLETRANSLATE(A32, ""en"", ""am"")"),"31")</f>
        <v>31</v>
      </c>
      <c r="H32" s="8" t="str">
        <f>IFERROR(__xludf.DUMMYFUNCTION(" GOOGLETRANSLATE(B32, ""en"", ""am"")"),"ኳሱ ከአንድ በላይ ኳሶችን ቢመታ ግን አንዱ ከገደብ ውጭ ቢወድቅ ምን ይከሰታል?")</f>
        <v>ኳሱ ከአንድ በላይ ኳሶችን ቢመታ ግን አንዱ ከገደብ ውጭ ቢወድቅ ምን ይከሰታል?</v>
      </c>
      <c r="I32" s="8" t="str">
        <f>IFERROR(__xludf.DUMMYFUNCTION(" GOOGLETRANSLATE(C32, ""en"", ""am"")"),"ሀ. የድንበሩ ካሬ ብቻ ነው የሚቆጠረው። ለ. የታሰረ ኩዊል ብቻ ነው የሚቆጠረው። ሐ. ምንም ነጥብ አልተሰጠም። መ. የታሰረ ኩዊል ብቻ ነው የሚቆጠረው።")</f>
        <v>ሀ. የድንበሩ ካሬ ብቻ ነው የሚቆጠረው። ለ. የታሰረ ኩዊል ብቻ ነው የሚቆጠረው። ሐ. ምንም ነጥብ አልተሰጠም። መ. የታሰረ ኩዊል ብቻ ነው የሚቆጠረው።</v>
      </c>
      <c r="J32" s="8" t="str">
        <f>IFERROR(__xludf.DUMMYFUNCTION(" GOOGLETRANSLATE(D32, ""en"", ""am"")"),"ነጥቦች የሚሸለሙት በድንበሩ ውስጥ ለሚቀሩ ኩዊሎች ብቻ ነው።")</f>
        <v>ነጥቦች የሚሸለሙት በድንበሩ ውስጥ ለሚቀሩ ኩዊሎች ብቻ ነው።</v>
      </c>
      <c r="K32" s="8" t="str">
        <f>IFERROR(__xludf.DUMMYFUNCTION(" GOOGLETRANSLATE(E32, ""en"", ""am"")"),"ነጥቦች የሚሸለሙት በድንበሩ ውስጥ ለሚቀሩ ኩዊሎች ብቻ ነው።")</f>
        <v>ነጥቦች የሚሸለሙት በድንበሩ ውስጥ ለሚቀሩ ኩዊሎች ብቻ ነው።</v>
      </c>
    </row>
    <row r="33" ht="22.5" customHeight="1">
      <c r="A33" s="6">
        <v>32.0</v>
      </c>
      <c r="B33" s="7" t="s">
        <v>103</v>
      </c>
      <c r="C33" s="7" t="s">
        <v>104</v>
      </c>
      <c r="D33" s="7" t="s">
        <v>105</v>
      </c>
      <c r="E33" s="7" t="s">
        <v>105</v>
      </c>
      <c r="G33" s="8" t="str">
        <f>IFERROR(__xludf.DUMMYFUNCTION(" GOOGLETRANSLATE(A33, ""en"", ""am"")"),"32")</f>
        <v>32</v>
      </c>
      <c r="H33" s="8" t="str">
        <f>IFERROR(__xludf.DUMMYFUNCTION(" GOOGLETRANSLATE(B33, ""en"", ""am"")"),"የገና ኳስ ኦፊሴላዊው ዲያሜትር ስንት ነው?")</f>
        <v>የገና ኳስ ኦፊሴላዊው ዲያሜትር ስንት ነው?</v>
      </c>
      <c r="I33" s="8" t="str">
        <f>IFERROR(__xludf.DUMMYFUNCTION(" GOOGLETRANSLATE(C33, ""en"", ""am"")"),"ሀ 18 ሴሜ ለ 20 ሴ.ሜ 25 ሴሜ ዲ 18 ሴ.ሜ")</f>
        <v>ሀ 18 ሴሜ ለ 20 ሴ.ሜ 25 ሴሜ ዲ 18 ሴ.ሜ</v>
      </c>
      <c r="J33" s="8" t="str">
        <f>IFERROR(__xludf.DUMMYFUNCTION(" GOOGLETRANSLATE(D33, ""en"", ""am"")"),"የገና ኳስ መደበኛ ዲያሜትር 18 ሴ.ሜ ነው.")</f>
        <v>የገና ኳስ መደበኛ ዲያሜትር 18 ሴ.ሜ ነው.</v>
      </c>
      <c r="K33" s="8" t="str">
        <f>IFERROR(__xludf.DUMMYFUNCTION(" GOOGLETRANSLATE(E33, ""en"", ""am"")"),"የገና ኳስ መደበኛ ዲያሜትር 18 ሴ.ሜ ነው.")</f>
        <v>የገና ኳስ መደበኛ ዲያሜትር 18 ሴ.ሜ ነው.</v>
      </c>
    </row>
    <row r="34" ht="22.5" customHeight="1">
      <c r="A34" s="6">
        <v>33.0</v>
      </c>
      <c r="B34" s="7" t="s">
        <v>106</v>
      </c>
      <c r="C34" s="7" t="s">
        <v>107</v>
      </c>
      <c r="D34" s="7" t="s">
        <v>108</v>
      </c>
      <c r="E34" s="7" t="s">
        <v>108</v>
      </c>
      <c r="G34" s="8" t="str">
        <f>IFERROR(__xludf.DUMMYFUNCTION(" GOOGLETRANSLATE(A34, ""en"", ""am"")"),"33")</f>
        <v>33</v>
      </c>
      <c r="H34" s="8" t="str">
        <f>IFERROR(__xludf.DUMMYFUNCTION(" GOOGLETRANSLATE(B34, ""en"", ""am"")"),"በጨዋታው ወቅት ተጫዋቾች የኩይሎችን አቀማመጥ ማስተካከል ይችላሉ?")</f>
        <v>በጨዋታው ወቅት ተጫዋቾች የኩይሎችን አቀማመጥ ማስተካከል ይችላሉ?</v>
      </c>
      <c r="I34" s="8" t="str">
        <f>IFERROR(__xludf.DUMMYFUNCTION(" GOOGLETRANSLATE(C34, ""en"", ""am"")"),"መ. አዎ፣ በማንኛውም ጊዜ። ለ. አይ ፣ በጭራሽ። ሐ. ከሶስት ዙሮች በኋላ ብቻ መ. አይ ፣ በጭራሽ።")</f>
        <v>መ. አዎ፣ በማንኛውም ጊዜ። ለ. አይ ፣ በጭራሽ። ሐ. ከሶስት ዙሮች በኋላ ብቻ መ. አይ ፣ በጭራሽ።</v>
      </c>
      <c r="J34" s="8" t="str">
        <f>IFERROR(__xludf.DUMMYFUNCTION(" GOOGLETRANSLATE(D34, ""en"", ""am"")"),"በጨዋታው ወቅት ተጫዋቾች የኩይ ኳሶችን አቀማመጥ ማስተካከል አይፈቀድላቸውም.")</f>
        <v>በጨዋታው ወቅት ተጫዋቾች የኩይ ኳሶችን አቀማመጥ ማስተካከል አይፈቀድላቸውም.</v>
      </c>
      <c r="K34" s="8" t="str">
        <f>IFERROR(__xludf.DUMMYFUNCTION(" GOOGLETRANSLATE(E34, ""en"", ""am"")"),"በጨዋታው ወቅት ተጫዋቾች የኩይ ኳሶችን አቀማመጥ ማስተካከል አይፈቀድላቸውም.")</f>
        <v>በጨዋታው ወቅት ተጫዋቾች የኩይ ኳሶችን አቀማመጥ ማስተካከል አይፈቀድላቸውም.</v>
      </c>
    </row>
    <row r="35" ht="22.5" customHeight="1">
      <c r="A35" s="6">
        <v>34.0</v>
      </c>
      <c r="B35" s="7" t="s">
        <v>109</v>
      </c>
      <c r="C35" s="7" t="s">
        <v>110</v>
      </c>
      <c r="D35" s="7" t="s">
        <v>111</v>
      </c>
      <c r="E35" s="7" t="s">
        <v>111</v>
      </c>
      <c r="G35" s="8" t="str">
        <f>IFERROR(__xludf.DUMMYFUNCTION(" GOOGLETRANSLATE(A35, ""en"", ""am"")"),"34")</f>
        <v>34</v>
      </c>
      <c r="H35" s="8" t="str">
        <f>IFERROR(__xludf.DUMMYFUNCTION(" GOOGLETRANSLATE(B35, ""en"", ""am"")"),"ኳሱ ዳኛውን ቢነካው ምን ይሆናል?")</f>
        <v>ኳሱ ዳኛውን ቢነካው ምን ይሆናል?</v>
      </c>
      <c r="I35" s="8" t="str">
        <f>IFERROR(__xludf.DUMMYFUNCTION(" GOOGLETRANSLATE(C35, ""en"", ""am"")"),"ሀ. ተጫዋቹ ተራ ያጣል። ለ. መዞሩ ጠፍቷል። ሐ. ምንም ቅጣት የለም. መ መወርወሩ ተደግሟል።")</f>
        <v>ሀ. ተጫዋቹ ተራ ያጣል። ለ. መዞሩ ጠፍቷል። ሐ. ምንም ቅጣት የለም. መ መወርወሩ ተደግሟል።</v>
      </c>
      <c r="J35" s="8" t="str">
        <f>IFERROR(__xludf.DUMMYFUNCTION(" GOOGLETRANSLATE(D35, ""en"", ""am"")"),"ኳሱ ዳኛውን ከነካው ውርወራው ይደገማል።")</f>
        <v>ኳሱ ዳኛውን ከነካው ውርወራው ይደገማል።</v>
      </c>
      <c r="K35" s="8" t="str">
        <f>IFERROR(__xludf.DUMMYFUNCTION(" GOOGLETRANSLATE(E35, ""en"", ""am"")"),"ኳሱ ዳኛውን ከነካው ውርወራው ይደገማል።")</f>
        <v>ኳሱ ዳኛውን ከነካው ውርወራው ይደገማል።</v>
      </c>
    </row>
    <row r="36" ht="22.5" customHeight="1">
      <c r="A36" s="6">
        <v>35.0</v>
      </c>
      <c r="B36" s="7" t="s">
        <v>112</v>
      </c>
      <c r="C36" s="7" t="s">
        <v>113</v>
      </c>
      <c r="D36" s="7" t="s">
        <v>114</v>
      </c>
      <c r="E36" s="7" t="s">
        <v>114</v>
      </c>
      <c r="G36" s="8" t="str">
        <f>IFERROR(__xludf.DUMMYFUNCTION(" GOOGLETRANSLATE(A36, ""en"", ""am"")"),"35")</f>
        <v>35</v>
      </c>
      <c r="H36" s="8" t="str">
        <f>IFERROR(__xludf.DUMMYFUNCTION(" GOOGLETRANSLATE(B36, ""en"", ""am"")"),"በመወርወር ወቅት ኳሱ ለሁለት ከተከፈለ ህጉ ምንድን ነው?")</f>
        <v>በመወርወር ወቅት ኳሱ ለሁለት ከተከፈለ ህጉ ምንድን ነው?</v>
      </c>
      <c r="I36" s="8" t="str">
        <f>IFERROR(__xludf.DUMMYFUNCTION(" GOOGLETRANSLATE(C36, ""en"", ""am"")"),"ሀ. ተጫዋቹ ሌላ ዙር ያገኛል። ለ. ነጥቦች በተጽዕኖ ላይ ተመስርተው ይሰጣሉ. ሐ. ጨዋታው እንደገና ይጀምራል። መ. መወርወሩ ልክ ያልሆነ ነው።")</f>
        <v>ሀ. ተጫዋቹ ሌላ ዙር ያገኛል። ለ. ነጥቦች በተጽዕኖ ላይ ተመስርተው ይሰጣሉ. ሐ. ጨዋታው እንደገና ይጀምራል። መ. መወርወሩ ልክ ያልሆነ ነው።</v>
      </c>
      <c r="J36" s="8" t="str">
        <f>IFERROR(__xludf.DUMMYFUNCTION(" GOOGLETRANSLATE(D36, ""en"", ""am"")"),"እየወረወሩ ኳሱን መሰንጠቅ መወርወሩ ዋጋ የለውም።")</f>
        <v>እየወረወሩ ኳሱን መሰንጠቅ መወርወሩ ዋጋ የለውም።</v>
      </c>
      <c r="K36" s="8" t="str">
        <f>IFERROR(__xludf.DUMMYFUNCTION(" GOOGLETRANSLATE(E36, ""en"", ""am"")"),"እየወረወሩ ኳሱን መሰንጠቅ መወርወሩ ዋጋ የለውም።")</f>
        <v>እየወረወሩ ኳሱን መሰንጠቅ መወርወሩ ዋጋ የለውም።</v>
      </c>
    </row>
    <row r="37" ht="22.5" customHeight="1">
      <c r="A37" s="6">
        <v>36.0</v>
      </c>
      <c r="B37" s="7" t="s">
        <v>115</v>
      </c>
      <c r="C37" s="7" t="s">
        <v>116</v>
      </c>
      <c r="D37" s="7" t="s">
        <v>117</v>
      </c>
      <c r="E37" s="7" t="s">
        <v>117</v>
      </c>
      <c r="G37" s="8" t="str">
        <f>IFERROR(__xludf.DUMMYFUNCTION(" GOOGLETRANSLATE(A37, ""en"", ""am"")"),"36")</f>
        <v>36</v>
      </c>
      <c r="H37" s="8" t="str">
        <f>IFERROR(__xludf.DUMMYFUNCTION(" GOOGLETRANSLATE(B37, ""en"", ""am"")"),"አንድ ተጫዋች ሆን ብሎ ተራውን ቢዘገይ ምን ይሆናል?")</f>
        <v>አንድ ተጫዋች ሆን ብሎ ተራውን ቢዘገይ ምን ይሆናል?</v>
      </c>
      <c r="I37" s="8" t="str">
        <f>IFERROR(__xludf.DUMMYFUNCTION(" GOOGLETRANSLATE(C37, ""en"", ""am"")"),"ሀ. የተቀነሱ ነጥቦች ለ. መዞሩ ጠፍቷል። ሐ. ምንም ቅጣት የለም. መ. ማስጠንቀቂያ ተሰጥቷል።")</f>
        <v>ሀ. የተቀነሱ ነጥቦች ለ. መዞሩ ጠፍቷል። ሐ. ምንም ቅጣት የለም. መ. ማስጠንቀቂያ ተሰጥቷል።</v>
      </c>
      <c r="J37" s="8" t="str">
        <f>IFERROR(__xludf.DUMMYFUNCTION(" GOOGLETRANSLATE(D37, ""en"", ""am"")"),"ሆን ተብሎ መዘግየት ከዳኛው ማስጠንቀቂያ ያስከትላል።")</f>
        <v>ሆን ተብሎ መዘግየት ከዳኛው ማስጠንቀቂያ ያስከትላል።</v>
      </c>
      <c r="K37" s="8" t="str">
        <f>IFERROR(__xludf.DUMMYFUNCTION(" GOOGLETRANSLATE(E37, ""en"", ""am"")"),"ሆን ተብሎ መዘግየት ከዳኛው ማስጠንቀቂያ ያስከትላል።")</f>
        <v>ሆን ተብሎ መዘግየት ከዳኛው ማስጠንቀቂያ ያስከትላል።</v>
      </c>
    </row>
    <row r="38" ht="22.5" customHeight="1">
      <c r="A38" s="6">
        <v>37.0</v>
      </c>
      <c r="B38" s="7" t="s">
        <v>118</v>
      </c>
      <c r="C38" s="7" t="s">
        <v>119</v>
      </c>
      <c r="D38" s="7" t="s">
        <v>120</v>
      </c>
      <c r="E38" s="7" t="s">
        <v>120</v>
      </c>
      <c r="G38" s="8" t="str">
        <f>IFERROR(__xludf.DUMMYFUNCTION(" GOOGLETRANSLATE(A38, ""en"", ""am"")"),"37")</f>
        <v>37</v>
      </c>
      <c r="H38" s="8" t="str">
        <f>IFERROR(__xludf.DUMMYFUNCTION(" GOOGLETRANSLATE(B38, ""en"", ""am"")"),"ተመልካቾች በጨዋታው ውስጥ ጣልቃ መግባት ይችላሉ?")</f>
        <v>ተመልካቾች በጨዋታው ውስጥ ጣልቃ መግባት ይችላሉ?</v>
      </c>
      <c r="I38" s="8" t="str">
        <f>IFERROR(__xludf.DUMMYFUNCTION(" GOOGLETRANSLATE(C38, ""en"", ""am"")"),"አ. አይ ፣ በጭራሽ ለ. በዳኛው ይሁንታ ብቻ። ሐ. አዎ፣ ተቃዋሚው ከተስማማ። መ. አይ ፣ በጭራሽ።")</f>
        <v>አ. አይ ፣ በጭራሽ ለ. በዳኛው ይሁንታ ብቻ። ሐ. አዎ፣ ተቃዋሚው ከተስማማ። መ. አይ ፣ በጭራሽ።</v>
      </c>
      <c r="J38" s="8" t="str">
        <f>IFERROR(__xludf.DUMMYFUNCTION(" GOOGLETRANSLATE(D38, ""en"", ""am"")"),"ተመልካቾች በማንኛውም ሁኔታ በጨዋታው ውስጥ ጣልቃ ሊገቡ አይችሉም።")</f>
        <v>ተመልካቾች በማንኛውም ሁኔታ በጨዋታው ውስጥ ጣልቃ ሊገቡ አይችሉም።</v>
      </c>
      <c r="K38" s="8" t="str">
        <f>IFERROR(__xludf.DUMMYFUNCTION(" GOOGLETRANSLATE(E38, ""en"", ""am"")"),"ተመልካቾች በማንኛውም ሁኔታ በጨዋታው ውስጥ ጣልቃ ሊገቡ አይችሉም።")</f>
        <v>ተመልካቾች በማንኛውም ሁኔታ በጨዋታው ውስጥ ጣልቃ ሊገቡ አይችሉም።</v>
      </c>
    </row>
    <row r="39" ht="22.5" customHeight="1">
      <c r="A39" s="6">
        <v>38.0</v>
      </c>
      <c r="B39" s="7" t="s">
        <v>121</v>
      </c>
      <c r="C39" s="7" t="s">
        <v>122</v>
      </c>
      <c r="D39" s="7" t="s">
        <v>123</v>
      </c>
      <c r="E39" s="7" t="s">
        <v>123</v>
      </c>
      <c r="G39" s="8" t="str">
        <f>IFERROR(__xludf.DUMMYFUNCTION(" GOOGLETRANSLATE(A39, ""en"", ""am"")"),"38")</f>
        <v>38</v>
      </c>
      <c r="H39" s="8" t="str">
        <f>IFERROR(__xludf.DUMMYFUNCTION(" GOOGLETRANSLATE(B39, ""en"", ""am"")"),"ለገና ጨዋታ ከፍተኛው ጊዜ ስንት ነው?")</f>
        <v>ለገና ጨዋታ ከፍተኛው ጊዜ ስንት ነው?</v>
      </c>
      <c r="I39" s="8" t="str">
        <f>IFERROR(__xludf.DUMMYFUNCTION(" GOOGLETRANSLATE(C39, ""en"", ""am"")"),"ሀ.45 ደቂቃ ለ.60ደቂቃ ሐ.90ደቂቃ መ.60ደቂቃ")</f>
        <v>ሀ.45 ደቂቃ ለ.60ደቂቃ ሐ.90ደቂቃ መ.60ደቂቃ</v>
      </c>
      <c r="J39" s="8" t="str">
        <f>IFERROR(__xludf.DUMMYFUNCTION(" GOOGLETRANSLATE(D39, ""en"", ""am"")"),"ገና የነጠላዎች ጨዋታ በ60 ደቂቃ ብቻ የተገደበ ነው።")</f>
        <v>ገና የነጠላዎች ጨዋታ በ60 ደቂቃ ብቻ የተገደበ ነው።</v>
      </c>
      <c r="K39" s="8" t="str">
        <f>IFERROR(__xludf.DUMMYFUNCTION(" GOOGLETRANSLATE(E39, ""en"", ""am"")"),"ገና የነጠላዎች ጨዋታ በ60 ደቂቃ ብቻ የተገደበ ነው።")</f>
        <v>ገና የነጠላዎች ጨዋታ በ60 ደቂቃ ብቻ የተገደበ ነው።</v>
      </c>
    </row>
    <row r="40" ht="22.5" customHeight="1">
      <c r="A40" s="6">
        <v>39.0</v>
      </c>
      <c r="B40" s="7" t="s">
        <v>124</v>
      </c>
      <c r="C40" s="7" t="s">
        <v>125</v>
      </c>
      <c r="D40" s="7" t="s">
        <v>126</v>
      </c>
      <c r="E40" s="7" t="s">
        <v>126</v>
      </c>
      <c r="G40" s="8" t="str">
        <f>IFERROR(__xludf.DUMMYFUNCTION(" GOOGLETRANSLATE(A40, ""en"", ""am"")"),"39")</f>
        <v>39</v>
      </c>
      <c r="H40" s="8" t="str">
        <f>IFERROR(__xludf.DUMMYFUNCTION(" GOOGLETRANSLATE(B40, ""en"", ""am"")"),"ኩዊል በንፋስ ቢመታ ምን ይሆናል?")</f>
        <v>ኩዊል በንፋስ ቢመታ ምን ይሆናል?</v>
      </c>
      <c r="I40" s="8" t="str">
        <f>IFERROR(__xludf.DUMMYFUNCTION(" GOOGLETRANSLATE(C40, ""en"", ""am"")"),"ሀ. ኩዊሉ እንደገና ጀምሯል። ለ. ተጫዋቹ ተራ ያጣል. ሐ. ተቃዋሚው ነጥብ ያስመዘገበ ነው። መ. ኩዊሉ እንደገና ጀምሯል.")</f>
        <v>ሀ. ኩዊሉ እንደገና ጀምሯል። ለ. ተጫዋቹ ተራ ያጣል. ሐ. ተቃዋሚው ነጥብ ያስመዘገበ ነው። መ. ኩዊሉ እንደገና ጀምሯል.</v>
      </c>
      <c r="J40" s="8" t="str">
        <f>IFERROR(__xludf.DUMMYFUNCTION(" GOOGLETRANSLATE(D40, ""en"", ""am"")"),"በነፋስ ውስጥ የሚወድቁ ኩዊሎች እንደገና ተጀምረዋል፣ እና ምንም ነጥብ አያስገኙም።")</f>
        <v>በነፋስ ውስጥ የሚወድቁ ኩዊሎች እንደገና ተጀምረዋል፣ እና ምንም ነጥብ አያስገኙም።</v>
      </c>
      <c r="K40" s="8" t="str">
        <f>IFERROR(__xludf.DUMMYFUNCTION(" GOOGLETRANSLATE(E40, ""en"", ""am"")"),"በነፋስ ውስጥ የሚወድቁ ኩዊሎች እንደገና ተጀምረዋል፣ እና ምንም ነጥብ አያስገኙም።")</f>
        <v>በነፋስ ውስጥ የሚወድቁ ኩዊሎች እንደገና ተጀምረዋል፣ እና ምንም ነጥብ አያስገኙም።</v>
      </c>
    </row>
    <row r="41" ht="22.5" customHeight="1">
      <c r="A41" s="6">
        <v>40.0</v>
      </c>
      <c r="B41" s="7" t="s">
        <v>127</v>
      </c>
      <c r="C41" s="7" t="s">
        <v>128</v>
      </c>
      <c r="D41" s="7" t="s">
        <v>129</v>
      </c>
      <c r="E41" s="7" t="s">
        <v>129</v>
      </c>
      <c r="G41" s="8" t="str">
        <f>IFERROR(__xludf.DUMMYFUNCTION(" GOOGLETRANSLATE(A41, ""en"", ""am"")"),"40")</f>
        <v>40</v>
      </c>
      <c r="H41" s="8" t="str">
        <f>IFERROR(__xludf.DUMMYFUNCTION(" GOOGLETRANSLATE(B41, ""en"", ""am"")"),"በጨዋታው አጋማሽ ላይ ተጫዋቾች ኳሳቸውን መቀየር ይችላሉ?")</f>
        <v>በጨዋታው አጋማሽ ላይ ተጫዋቾች ኳሳቸውን መቀየር ይችላሉ?</v>
      </c>
      <c r="I41" s="8" t="str">
        <f>IFERROR(__xludf.DUMMYFUNCTION(" GOOGLETRANSLATE(C41, ""en"", ""am"")"),"አ. አይ ፣ በጭራሽ ቢ ቢሰበር ብቻ። ሐ. በዳኛው ይሁንታ ብቻ። መ. ከተሰበረ ብቻ.")</f>
        <v>አ. አይ ፣ በጭራሽ ቢ ቢሰበር ብቻ። ሐ. በዳኛው ይሁንታ ብቻ። መ. ከተሰበረ ብቻ.</v>
      </c>
      <c r="J41" s="8" t="str">
        <f>IFERROR(__xludf.DUMMYFUNCTION(" GOOGLETRANSLATE(D41, ""en"", ""am"")"),"የኳስ መተካት የሚፈቀደው ዋናው ኳስ ከተበላሸ ብቻ ነው።")</f>
        <v>የኳስ መተካት የሚፈቀደው ዋናው ኳስ ከተበላሸ ብቻ ነው።</v>
      </c>
      <c r="K41" s="8" t="str">
        <f>IFERROR(__xludf.DUMMYFUNCTION(" GOOGLETRANSLATE(E41, ""en"", ""am"")"),"የኳስ መተካት የሚፈቀደው ዋናው ኳስ ከተበላሸ ብቻ ነው።")</f>
        <v>የኳስ መተካት የሚፈቀደው ዋናው ኳስ ከተበላሸ ብቻ ነው።</v>
      </c>
    </row>
    <row r="42" ht="22.5" customHeight="1">
      <c r="A42" s="6">
        <v>41.0</v>
      </c>
      <c r="B42" s="7" t="s">
        <v>130</v>
      </c>
      <c r="C42" s="7" t="s">
        <v>131</v>
      </c>
      <c r="D42" s="7" t="s">
        <v>132</v>
      </c>
      <c r="E42" s="7" t="s">
        <v>132</v>
      </c>
      <c r="G42" s="8" t="str">
        <f>IFERROR(__xludf.DUMMYFUNCTION(" GOOGLETRANSLATE(A42, ""en"", ""am"")"),"41")</f>
        <v>41</v>
      </c>
      <c r="H42" s="8" t="str">
        <f>IFERROR(__xludf.DUMMYFUNCTION(" GOOGLETRANSLATE(B42, ""en"", ""am"")"),"ሁሉም ኩዊሎች ከተመቱ እና 8 ብቻ ቢወድቁ ምን ይከሰታል?")</f>
        <v>ሁሉም ኩዊሎች ከተመቱ እና 8 ብቻ ቢወድቁ ምን ይከሰታል?</v>
      </c>
      <c r="I42" s="8" t="str">
        <f>IFERROR(__xludf.DUMMYFUNCTION(" GOOGLETRANSLATE(C42, ""en"", ""am"")"),"ሀ. ምንም ነጥብ አልተሰጠም። ለ. ነጥቦች ለተጣሉ ኩዊሎች ይቆጠራሉ። ሐ. መዞሩ ተደግሟል. መ. ነጥቦች ለተጣሉ ኩዊሎች ይቆጠራሉ።")</f>
        <v>ሀ. ምንም ነጥብ አልተሰጠም። ለ. ነጥቦች ለተጣሉ ኩዊሎች ይቆጠራሉ። ሐ. መዞሩ ተደግሟል. መ. ነጥቦች ለተጣሉ ኩዊሎች ይቆጠራሉ።</v>
      </c>
      <c r="J42" s="8" t="str">
        <f>IFERROR(__xludf.DUMMYFUNCTION(" GOOGLETRANSLATE(D42, ""en"", ""am"")"),"ነጥቦች የሚሸለሙት ለወደቁ ኩዊሎች ብቻ ነው።")</f>
        <v>ነጥቦች የሚሸለሙት ለወደቁ ኩዊሎች ብቻ ነው።</v>
      </c>
      <c r="K42" s="8" t="str">
        <f>IFERROR(__xludf.DUMMYFUNCTION(" GOOGLETRANSLATE(E42, ""en"", ""am"")"),"ነጥቦች የሚሸለሙት ለወደቁ ኩዊሎች ብቻ ነው።")</f>
        <v>ነጥቦች የሚሸለሙት ለወደቁ ኩዊሎች ብቻ ነው።</v>
      </c>
    </row>
    <row r="43" ht="22.5" customHeight="1">
      <c r="A43" s="6">
        <v>42.0</v>
      </c>
      <c r="B43" s="7" t="s">
        <v>133</v>
      </c>
      <c r="C43" s="7" t="s">
        <v>134</v>
      </c>
      <c r="D43" s="7" t="s">
        <v>135</v>
      </c>
      <c r="E43" s="7" t="s">
        <v>135</v>
      </c>
      <c r="G43" s="8" t="str">
        <f>IFERROR(__xludf.DUMMYFUNCTION(" GOOGLETRANSLATE(A43, ""en"", ""am"")"),"42")</f>
        <v>42</v>
      </c>
      <c r="H43" s="8" t="str">
        <f>IFERROR(__xludf.DUMMYFUNCTION(" GOOGLETRANSLATE(B43, ""en"", ""am"")"),"የገና ሜዳ ኦፊሴላዊው መጠን ስንት ነው?")</f>
        <v>የገና ሜዳ ኦፊሴላዊው መጠን ስንት ነው?</v>
      </c>
      <c r="I43" s="8" t="str">
        <f>IFERROR(__xludf.DUMMYFUNCTION(" GOOGLETRANSLATE(C43, ""en"", ""am"")"),"አ. 8 ሜትር ለ 10 ሜትር ሐ. 12 ሜትር መ. 8 ሜትር")</f>
        <v>አ. 8 ሜትር ለ 10 ሜትር ሐ. 12 ሜትር መ. 8 ሜትር</v>
      </c>
      <c r="J43" s="8" t="str">
        <f>IFERROR(__xludf.DUMMYFUNCTION(" GOOGLETRANSLATE(D43, ""en"", ""am"")"),"የገና ሜዳ ኦፊሴላዊው ስፋት 8 ሜትር ነው.")</f>
        <v>የገና ሜዳ ኦፊሴላዊው ስፋት 8 ሜትር ነው.</v>
      </c>
      <c r="K43" s="8" t="str">
        <f>IFERROR(__xludf.DUMMYFUNCTION(" GOOGLETRANSLATE(E43, ""en"", ""am"")"),"የገና ሜዳ ኦፊሴላዊው ስፋት 8 ሜትር ነው.")</f>
        <v>የገና ሜዳ ኦፊሴላዊው ስፋት 8 ሜትር ነው.</v>
      </c>
    </row>
    <row r="44" ht="22.5" customHeight="1">
      <c r="A44" s="6">
        <v>43.0</v>
      </c>
      <c r="B44" s="7" t="s">
        <v>136</v>
      </c>
      <c r="C44" s="7" t="s">
        <v>137</v>
      </c>
      <c r="D44" s="7" t="s">
        <v>138</v>
      </c>
      <c r="E44" s="7" t="s">
        <v>138</v>
      </c>
      <c r="G44" s="8" t="str">
        <f>IFERROR(__xludf.DUMMYFUNCTION(" GOOGLETRANSLATE(A44, ""en"", ""am"")"),"43")</f>
        <v>43</v>
      </c>
      <c r="H44" s="8" t="str">
        <f>IFERROR(__xludf.DUMMYFUNCTION(" GOOGLETRANSLATE(B44, ""en"", ""am"")"),"ተደጋጋሚ ጥፋቶች ምን ውጤቶች ናቸው?")</f>
        <v>ተደጋጋሚ ጥፋቶች ምን ውጤቶች ናቸው?</v>
      </c>
      <c r="I44" s="8" t="str">
        <f>IFERROR(__xludf.DUMMYFUNCTION(" GOOGLETRANSLATE(C44, ""en"", ""am"")"),"ሀ. ብቁ አለመሆን ለ. ነጥብ ማጣት ሐ. ጨዋታው እንደገና ተጀመረ። መ. ብቁ አለመሆን")</f>
        <v>ሀ. ብቁ አለመሆን ለ. ነጥብ ማጣት ሐ. ጨዋታው እንደገና ተጀመረ። መ. ብቁ አለመሆን</v>
      </c>
      <c r="J44" s="8" t="str">
        <f>IFERROR(__xludf.DUMMYFUNCTION(" GOOGLETRANSLATE(D44, ""en"", ""am"")"),"ተደጋጋሚ መጥፎ ውርወራ ውጤት ማጣት ያስከትላል።")</f>
        <v>ተደጋጋሚ መጥፎ ውርወራ ውጤት ማጣት ያስከትላል።</v>
      </c>
      <c r="K44" s="8" t="str">
        <f>IFERROR(__xludf.DUMMYFUNCTION(" GOOGLETRANSLATE(E44, ""en"", ""am"")"),"ተደጋጋሚ መጥፎ ውርወራ ውጤት ማጣት ያስከትላል።")</f>
        <v>ተደጋጋሚ መጥፎ ውርወራ ውጤት ማጣት ያስከትላል።</v>
      </c>
    </row>
    <row r="45" ht="22.5" customHeight="1">
      <c r="A45" s="6">
        <v>44.0</v>
      </c>
      <c r="B45" s="7" t="s">
        <v>139</v>
      </c>
      <c r="C45" s="7" t="s">
        <v>140</v>
      </c>
      <c r="D45" s="7" t="s">
        <v>141</v>
      </c>
      <c r="E45" s="7" t="s">
        <v>141</v>
      </c>
      <c r="G45" s="8" t="str">
        <f>IFERROR(__xludf.DUMMYFUNCTION(" GOOGLETRANSLATE(A45, ""en"", ""am"")"),"44")</f>
        <v>44</v>
      </c>
      <c r="H45" s="8" t="str">
        <f>IFERROR(__xludf.DUMMYFUNCTION(" GOOGLETRANSLATE(B45, ""en"", ""am"")"),"በአየር መካከል ሁለት ኳሶች ቢጋጩ ምን ይከሰታል?")</f>
        <v>በአየር መካከል ሁለት ኳሶች ቢጋጩ ምን ይከሰታል?</v>
      </c>
      <c r="I45" s="8" t="str">
        <f>IFERROR(__xludf.DUMMYFUNCTION(" GOOGLETRANSLATE(C45, ""en"", ""am"")"),"ሀ. ተጫዋቾቹ ተራቸውን ያጣሉ. ለ. የተጋሩ ነጥቦች። ሐ. ምንም ቅጣት የለም. መ. ሁለቱም ውርወራዎች ይደጋገማሉ.")</f>
        <v>ሀ. ተጫዋቾቹ ተራቸውን ያጣሉ. ለ. የተጋሩ ነጥቦች። ሐ. ምንም ቅጣት የለም. መ. ሁለቱም ውርወራዎች ይደጋገማሉ.</v>
      </c>
      <c r="J45" s="8" t="str">
        <f>IFERROR(__xludf.DUMMYFUNCTION(" GOOGLETRANSLATE(D45, ""en"", ""am"")"),"ሁለት ኳሶች ከተጋጩ ሁለቱም ኳሶች ይነሳሉ.")</f>
        <v>ሁለት ኳሶች ከተጋጩ ሁለቱም ኳሶች ይነሳሉ.</v>
      </c>
      <c r="K45" s="8" t="str">
        <f>IFERROR(__xludf.DUMMYFUNCTION(" GOOGLETRANSLATE(E45, ""en"", ""am"")"),"ሁለት ኳሶች ከተጋጩ ሁለቱም ኳሶች ይነሳሉ.")</f>
        <v>ሁለት ኳሶች ከተጋጩ ሁለቱም ኳሶች ይነሳሉ.</v>
      </c>
    </row>
    <row r="46" ht="22.5" customHeight="1">
      <c r="A46" s="6">
        <v>45.0</v>
      </c>
      <c r="B46" s="7" t="s">
        <v>142</v>
      </c>
      <c r="C46" s="7" t="s">
        <v>143</v>
      </c>
      <c r="D46" s="7" t="s">
        <v>144</v>
      </c>
      <c r="E46" s="7" t="s">
        <v>144</v>
      </c>
      <c r="G46" s="8" t="str">
        <f>IFERROR(__xludf.DUMMYFUNCTION(" GOOGLETRANSLATE(A46, ""en"", ""am"")"),"45")</f>
        <v>45</v>
      </c>
      <c r="H46" s="8" t="str">
        <f>IFERROR(__xludf.DUMMYFUNCTION(" GOOGLETRANSLATE(B46, ""en"", ""am"")"),"በይፋዊ ውድድሮች ውስጥ ለገና ተጫዋቾች ዝቅተኛው ዕድሜ ስንት ነው?")</f>
        <v>በይፋዊ ውድድሮች ውስጥ ለገና ተጫዋቾች ዝቅተኛው ዕድሜ ስንት ነው?</v>
      </c>
      <c r="I46" s="8" t="str">
        <f>IFERROR(__xludf.DUMMYFUNCTION(" GOOGLETRANSLATE(C46, ""en"", ""am"")"),"ዓ.12 ዓመት ብ 15 ዓመት C. 18 ዓመት መ. 12 ዓመት")</f>
        <v>ዓ.12 ዓመት ብ 15 ዓመት C. 18 ዓመት መ. 12 ዓመት</v>
      </c>
      <c r="J46" s="8" t="str">
        <f>IFERROR(__xludf.DUMMYFUNCTION(" GOOGLETRANSLATE(D46, ""en"", ""am"")"),"ኦፊሴላዊ የገና ውድድሮች ዝቅተኛው ዕድሜ 12 ዓመት ነው።")</f>
        <v>ኦፊሴላዊ የገና ውድድሮች ዝቅተኛው ዕድሜ 12 ዓመት ነው።</v>
      </c>
      <c r="K46" s="8" t="str">
        <f>IFERROR(__xludf.DUMMYFUNCTION(" GOOGLETRANSLATE(E46, ""en"", ""am"")"),"ኦፊሴላዊ የገና ውድድሮች ዝቅተኛው ዕድሜ 12 ዓመት ነው።")</f>
        <v>ኦፊሴላዊ የገና ውድድሮች ዝቅተኛው ዕድሜ 12 ዓመት ነው።</v>
      </c>
    </row>
    <row r="47" ht="22.5" customHeight="1">
      <c r="A47" s="6">
        <v>46.0</v>
      </c>
      <c r="B47" s="7" t="s">
        <v>145</v>
      </c>
      <c r="C47" s="7" t="s">
        <v>146</v>
      </c>
      <c r="D47" s="7" t="s">
        <v>147</v>
      </c>
      <c r="E47" s="7" t="s">
        <v>147</v>
      </c>
      <c r="G47" s="8" t="str">
        <f>IFERROR(__xludf.DUMMYFUNCTION(" GOOGLETRANSLATE(A47, ""en"", ""am"")"),"46")</f>
        <v>46</v>
      </c>
      <c r="H47" s="8" t="str">
        <f>IFERROR(__xludf.DUMMYFUNCTION(" GOOGLETRANSLATE(B47, ""en"", ""am"")"),"አንድ ተጫዋች በተራቸው ጊዜ ሜዳውን መልቀቅ ይችላል?")</f>
        <v>አንድ ተጫዋች በተራቸው ጊዜ ሜዳውን መልቀቅ ይችላል?</v>
      </c>
      <c r="I47" s="8" t="str">
        <f>IFERROR(__xludf.DUMMYFUNCTION(" GOOGLETRANSLATE(C47, ""en"", ""am"")"),"መ. አዎ፣ በማንኛውም ጊዜ። ለ. አይ ፣ በጭራሽ። ሐ. በድንገተኛ ሁኔታዎች ብቻ D. አዎ፣ በዳኛው ይሁንታ።")</f>
        <v>መ. አዎ፣ በማንኛውም ጊዜ። ለ. አይ ፣ በጭራሽ። ሐ. በድንገተኛ ሁኔታዎች ብቻ D. አዎ፣ በዳኛው ይሁንታ።</v>
      </c>
      <c r="J47" s="8" t="str">
        <f>IFERROR(__xludf.DUMMYFUNCTION(" GOOGLETRANSLATE(D47, ""en"", ""am"")"),"ተጨዋቾች በተራቸው ጊዜ ሜዳውን መልቀቅ የሚችሉት በዳኛው ፍቃድ ብቻ ነው።")</f>
        <v>ተጨዋቾች በተራቸው ጊዜ ሜዳውን መልቀቅ የሚችሉት በዳኛው ፍቃድ ብቻ ነው።</v>
      </c>
      <c r="K47" s="8" t="str">
        <f>IFERROR(__xludf.DUMMYFUNCTION(" GOOGLETRANSLATE(E47, ""en"", ""am"")"),"ተጨዋቾች በተራቸው ጊዜ ሜዳውን መልቀቅ የሚችሉት በዳኛው ፍቃድ ብቻ ነው።")</f>
        <v>ተጨዋቾች በተራቸው ጊዜ ሜዳውን መልቀቅ የሚችሉት በዳኛው ፍቃድ ብቻ ነው።</v>
      </c>
    </row>
    <row r="48" ht="22.5" customHeight="1">
      <c r="A48" s="6">
        <v>47.0</v>
      </c>
      <c r="B48" s="7" t="s">
        <v>148</v>
      </c>
      <c r="C48" s="7" t="s">
        <v>149</v>
      </c>
      <c r="D48" s="7" t="s">
        <v>150</v>
      </c>
      <c r="E48" s="7" t="s">
        <v>150</v>
      </c>
      <c r="G48" s="8" t="str">
        <f>IFERROR(__xludf.DUMMYFUNCTION(" GOOGLETRANSLATE(A48, ""en"", ""am"")"),"47")</f>
        <v>47</v>
      </c>
      <c r="H48" s="8" t="str">
        <f>IFERROR(__xludf.DUMMYFUNCTION(" GOOGLETRANSLATE(B48, ""en"", ""am"")"),"አንድ ተጫዋች ለመወርወር ጊዜው ካበቃ ምን ይሆናል?")</f>
        <v>አንድ ተጫዋች ለመወርወር ጊዜው ካበቃ ምን ይሆናል?</v>
      </c>
      <c r="I48" s="8" t="str">
        <f>IFERROR(__xludf.DUMMYFUNCTION(" GOOGLETRANSLATE(C48, ""en"", ""am"")"),"ሀ. ምንም ቅጣት የለም. ለ. ማስጠንቀቂያ ተሰጥቷል። ሐ. ጨዋታው እንደገና ይጀምራል። መ መወርወሩ ጠፍቷል።")</f>
        <v>ሀ. ምንም ቅጣት የለም. ለ. ማስጠንቀቂያ ተሰጥቷል። ሐ. ጨዋታው እንደገና ይጀምራል። መ መወርወሩ ጠፍቷል።</v>
      </c>
      <c r="J48" s="8" t="str">
        <f>IFERROR(__xludf.DUMMYFUNCTION(" GOOGLETRANSLATE(D48, ""en"", ""am"")"),"ከተወሰነ ዕድሜ በላይ የሆኑ ተጫዋቾች የመወርወር አቅማቸውን አጥተዋል።")</f>
        <v>ከተወሰነ ዕድሜ በላይ የሆኑ ተጫዋቾች የመወርወር አቅማቸውን አጥተዋል።</v>
      </c>
      <c r="K48" s="8" t="str">
        <f>IFERROR(__xludf.DUMMYFUNCTION(" GOOGLETRANSLATE(E48, ""en"", ""am"")"),"ከተወሰነ ዕድሜ በላይ የሆኑ ተጫዋቾች የመወርወር አቅማቸውን አጥተዋል።")</f>
        <v>ከተወሰነ ዕድሜ በላይ የሆኑ ተጫዋቾች የመወርወር አቅማቸውን አጥተዋል።</v>
      </c>
    </row>
    <row r="49" ht="22.5" customHeight="1">
      <c r="A49" s="6">
        <v>48.0</v>
      </c>
      <c r="B49" s="7" t="s">
        <v>151</v>
      </c>
      <c r="C49" s="7" t="s">
        <v>152</v>
      </c>
      <c r="D49" s="7" t="s">
        <v>153</v>
      </c>
      <c r="E49" s="7" t="s">
        <v>153</v>
      </c>
      <c r="G49" s="8" t="str">
        <f>IFERROR(__xludf.DUMMYFUNCTION(" GOOGLETRANSLATE(A49, ""en"", ""am"")"),"48")</f>
        <v>48</v>
      </c>
      <c r="H49" s="8" t="str">
        <f>IFERROR(__xludf.DUMMYFUNCTION(" GOOGLETRANSLATE(B49, ""en"", ""am"")"),"አንድ ተጫዋች ያልፀደቀ ኳስ ቢጠቀም ምን ይሆናል?")</f>
        <v>አንድ ተጫዋች ያልፀደቀ ኳስ ቢጠቀም ምን ይሆናል?</v>
      </c>
      <c r="I49" s="8" t="str">
        <f>IFERROR(__xludf.DUMMYFUNCTION(" GOOGLETRANSLATE(C49, ""en"", ""am"")"),"ሀ. መወርወሩ ልክ ያልሆነ ነው። ለ. ኳሱ ተተክቷል. ሐ. ተጫዋቹ ውድቅ ተደርጓል። መ. መወርወሩ ልክ ያልሆነ ነው።")</f>
        <v>ሀ. መወርወሩ ልክ ያልሆነ ነው። ለ. ኳሱ ተተክቷል. ሐ. ተጫዋቹ ውድቅ ተደርጓል። መ. መወርወሩ ልክ ያልሆነ ነው።</v>
      </c>
      <c r="J49" s="8" t="str">
        <f>IFERROR(__xludf.DUMMYFUNCTION(" GOOGLETRANSLATE(D49, ""en"", ""am"")"),"ያልፀደቀ ኳስ መጠቀም ቅጣት ያስከትላል።")</f>
        <v>ያልፀደቀ ኳስ መጠቀም ቅጣት ያስከትላል።</v>
      </c>
      <c r="K49" s="8" t="str">
        <f>IFERROR(__xludf.DUMMYFUNCTION(" GOOGLETRANSLATE(E49, ""en"", ""am"")"),"ያልፀደቀ ኳስ መጠቀም ቅጣት ያስከትላል።")</f>
        <v>ያልፀደቀ ኳስ መጠቀም ቅጣት ያስከትላል።</v>
      </c>
    </row>
    <row r="50" ht="22.5" customHeight="1">
      <c r="A50" s="6">
        <v>49.0</v>
      </c>
      <c r="B50" s="7" t="s">
        <v>154</v>
      </c>
      <c r="C50" s="7" t="s">
        <v>155</v>
      </c>
      <c r="D50" s="7" t="s">
        <v>156</v>
      </c>
      <c r="E50" s="7" t="s">
        <v>156</v>
      </c>
      <c r="G50" s="8" t="str">
        <f>IFERROR(__xludf.DUMMYFUNCTION(" GOOGLETRANSLATE(A50, ""en"", ""am"")"),"49")</f>
        <v>49</v>
      </c>
      <c r="H50" s="8" t="str">
        <f>IFERROR(__xludf.DUMMYFUNCTION(" GOOGLETRANSLATE(B50, ""en"", ""am"")"),"ተጫዋቾች የዳኛውን ውሳኔ መቃወም ይችላሉ?")</f>
        <v>ተጫዋቾች የዳኛውን ውሳኔ መቃወም ይችላሉ?</v>
      </c>
      <c r="I50" s="8" t="str">
        <f>IFERROR(__xludf.DUMMYFUNCTION(" GOOGLETRANSLATE(C50, ""en"", ""am"")"),"ሀ. በጨዋታ አንድ ጊዜ ብቻ B. አይ፣ በጭራሽ። ሐ. በካፒቴኑ በኩል ብቻ. መ. በካፒቴኑ በኩል ብቻ.")</f>
        <v>ሀ. በጨዋታ አንድ ጊዜ ብቻ B. አይ፣ በጭራሽ። ሐ. በካፒቴኑ በኩል ብቻ. መ. በካፒቴኑ በኩል ብቻ.</v>
      </c>
      <c r="J50" s="8" t="str">
        <f>IFERROR(__xludf.DUMMYFUNCTION(" GOOGLETRANSLATE(D50, ""en"", ""am"")"),"ተጫዋቾች ውሳኔዎችን ይግባኝ ማለት የሚችሉት በቡድናቸው ካፒቴን በኩል ብቻ ነው።")</f>
        <v>ተጫዋቾች ውሳኔዎችን ይግባኝ ማለት የሚችሉት በቡድናቸው ካፒቴን በኩል ብቻ ነው።</v>
      </c>
      <c r="K50" s="8" t="str">
        <f>IFERROR(__xludf.DUMMYFUNCTION(" GOOGLETRANSLATE(E50, ""en"", ""am"")"),"ተጫዋቾች ውሳኔዎችን ይግባኝ ማለት የሚችሉት በቡድናቸው ካፒቴን በኩል ብቻ ነው።")</f>
        <v>ተጫዋቾች ውሳኔዎችን ይግባኝ ማለት የሚችሉት በቡድናቸው ካፒቴን በኩል ብቻ ነው።</v>
      </c>
    </row>
    <row r="51" ht="22.5" customHeight="1">
      <c r="A51" s="6">
        <v>50.0</v>
      </c>
      <c r="B51" s="7" t="s">
        <v>157</v>
      </c>
      <c r="C51" s="7" t="s">
        <v>158</v>
      </c>
      <c r="D51" s="7" t="s">
        <v>159</v>
      </c>
      <c r="E51" s="7" t="s">
        <v>159</v>
      </c>
      <c r="G51" s="8" t="str">
        <f>IFERROR(__xludf.DUMMYFUNCTION(" GOOGLETRANSLATE(A51, ""en"", ""am"")"),"50")</f>
        <v>50</v>
      </c>
      <c r="H51" s="8" t="str">
        <f>IFERROR(__xludf.DUMMYFUNCTION(" GOOGLETRANSLATE(B51, ""en"", ""am"")"),"ጊዜው ካለፈ በኋላ ኩይሉ ከተመታ ምን ይሆናል?")</f>
        <v>ጊዜው ካለፈ በኋላ ኩይሉ ከተመታ ምን ይሆናል?</v>
      </c>
      <c r="I51" s="8" t="str">
        <f>IFERROR(__xludf.DUMMYFUNCTION(" GOOGLETRANSLATE(C51, ""en"", ""am"")"),"ሀ. ነጥቦች ተቀንሰዋል ለ. መምታቱ ልክ ያልሆነ ነው። ሐ. መዞሩ ተደግሟል. መ. መምታቱ ልክ ያልሆነ ነው።")</f>
        <v>ሀ. ነጥቦች ተቀንሰዋል ለ. መምታቱ ልክ ያልሆነ ነው። ሐ. መዞሩ ተደግሟል. መ. መምታቱ ልክ ያልሆነ ነው።</v>
      </c>
      <c r="J51" s="8" t="str">
        <f>IFERROR(__xludf.DUMMYFUNCTION(" GOOGLETRANSLATE(D51, ""en"", ""am"")"),"ጊዜው ካለፈ በኋላ የሚወሰዱ ምቶች ልክ እንዳልሆኑ ይቆጠራሉ።")</f>
        <v>ጊዜው ካለፈ በኋላ የሚወሰዱ ምቶች ልክ እንዳልሆኑ ይቆጠራሉ።</v>
      </c>
      <c r="K51" s="8" t="str">
        <f>IFERROR(__xludf.DUMMYFUNCTION(" GOOGLETRANSLATE(E51, ""en"", ""am"")"),"ጊዜው ካለፈ በኋላ የሚወሰዱ ምቶች ልክ እንዳልሆኑ ይቆጠራሉ።")</f>
        <v>ጊዜው ካለፈ በኋላ የሚወሰዱ ምቶች ልክ እንዳልሆኑ ይቆጠራሉ።</v>
      </c>
    </row>
    <row r="52" ht="22.5" customHeight="1">
      <c r="A52" s="6">
        <v>51.0</v>
      </c>
      <c r="B52" s="7" t="s">
        <v>160</v>
      </c>
      <c r="C52" s="7" t="s">
        <v>161</v>
      </c>
      <c r="D52" s="7" t="s">
        <v>162</v>
      </c>
      <c r="E52" s="7" t="s">
        <v>162</v>
      </c>
      <c r="G52" s="8" t="str">
        <f>IFERROR(__xludf.DUMMYFUNCTION(" GOOGLETRANSLATE(A52, ""en"", ""am"")"),"51")</f>
        <v>51</v>
      </c>
      <c r="H52" s="8" t="str">
        <f>IFERROR(__xludf.DUMMYFUNCTION(" GOOGLETRANSLATE(B52, ""en"", ""am"")"),"አንድ ተጫዋች በሚጥልበት ጊዜ ጥፋት መስመሩን ቢያልፍ ምን ይከሰታል?")</f>
        <v>አንድ ተጫዋች በሚጥልበት ጊዜ ጥፋት መስመሩን ቢያልፍ ምን ይከሰታል?</v>
      </c>
      <c r="I52" s="8" t="str">
        <f>IFERROR(__xludf.DUMMYFUNCTION(" GOOGLETRANSLATE(C52, ""en"", ""am"")"),"ሀ. መወርወሩ ልክ ያልሆነ ነው። ለ. ተጫዋቹ ነጥብ ያጣል። ሐ. መዞሩ ጠፍቷል። መ. መወርወሩ ልክ ያልሆነ ነው።")</f>
        <v>ሀ. መወርወሩ ልክ ያልሆነ ነው። ለ. ተጫዋቹ ነጥብ ያጣል። ሐ. መዞሩ ጠፍቷል። መ. መወርወሩ ልክ ያልሆነ ነው።</v>
      </c>
      <c r="J52" s="8" t="str">
        <f>IFERROR(__xludf.DUMMYFUNCTION(" GOOGLETRANSLATE(D52, ""en"", ""am"")"),"በክፉ መስመር ላይ ማለፍ መወርወር ዋጋ የለውም።")</f>
        <v>በክፉ መስመር ላይ ማለፍ መወርወር ዋጋ የለውም።</v>
      </c>
      <c r="K52" s="8" t="str">
        <f>IFERROR(__xludf.DUMMYFUNCTION(" GOOGLETRANSLATE(E52, ""en"", ""am"")"),"በክፉ መስመር ላይ ማለፍ መወርወር ዋጋ የለውም።")</f>
        <v>በክፉ መስመር ላይ ማለፍ መወርወር ዋጋ የለውም።</v>
      </c>
    </row>
    <row r="53" ht="22.5" customHeight="1">
      <c r="A53" s="6">
        <v>52.0</v>
      </c>
      <c r="B53" s="7" t="s">
        <v>25</v>
      </c>
      <c r="C53" s="7" t="s">
        <v>163</v>
      </c>
      <c r="D53" s="7" t="s">
        <v>164</v>
      </c>
      <c r="E53" s="9">
        <v>10.0</v>
      </c>
      <c r="G53" s="8" t="str">
        <f>IFERROR(__xludf.DUMMYFUNCTION(" GOOGLETRANSLATE(A53, ""en"", ""am"")"),"52")</f>
        <v>52</v>
      </c>
      <c r="H53" s="8" t="str">
        <f>IFERROR(__xludf.DUMMYFUNCTION(" GOOGLETRANSLATE(B53, ""en"", ""am"")"),"በተለመደው የገና ጨዋታ ውስጥ ስንት ኩዊሎች ጥቅም ላይ ይውላሉ?")</f>
        <v>በተለመደው የገና ጨዋታ ውስጥ ስንት ኩዊሎች ጥቅም ላይ ይውላሉ?</v>
      </c>
      <c r="I53" s="8" t="str">
        <f>IFERROR(__xludf.DUMMYFUNCTION(" GOOGLETRANSLATE(C53, ""en"", ""am"")"),"አ. 8 ለ 10 ሐ. 12 ዲ. 10")</f>
        <v>አ. 8 ለ 10 ሐ. 12 ዲ. 10</v>
      </c>
      <c r="J53" s="8" t="str">
        <f>IFERROR(__xludf.DUMMYFUNCTION(" GOOGLETRANSLATE(D53, ""en"", ""am"")"),"10")</f>
        <v>10</v>
      </c>
      <c r="K53" s="8" t="str">
        <f>IFERROR(__xludf.DUMMYFUNCTION(" GOOGLETRANSLATE(E53, ""en"", ""am"")"),"10")</f>
        <v>10</v>
      </c>
    </row>
    <row r="54" ht="22.5" customHeight="1">
      <c r="A54" s="6">
        <v>53.0</v>
      </c>
      <c r="B54" s="7" t="s">
        <v>165</v>
      </c>
      <c r="C54" s="7" t="s">
        <v>166</v>
      </c>
      <c r="D54" s="7" t="s">
        <v>167</v>
      </c>
      <c r="E54" s="7" t="s">
        <v>167</v>
      </c>
      <c r="G54" s="8" t="str">
        <f>IFERROR(__xludf.DUMMYFUNCTION(" GOOGLETRANSLATE(A54, ""en"", ""am"")"),"53")</f>
        <v>53</v>
      </c>
      <c r="H54" s="8" t="str">
        <f>IFERROR(__xludf.DUMMYFUNCTION(" GOOGLETRANSLATE(B54, ""en"", ""am"")"),"ኳሱ ኳሱን በመምታት ወደ ሌላ ቢመለስ ምን ይከሰታል?")</f>
        <v>ኳሱ ኳሱን በመምታት ወደ ሌላ ቢመለስ ምን ይከሰታል?</v>
      </c>
      <c r="I54" s="8" t="str">
        <f>IFERROR(__xludf.DUMMYFUNCTION(" GOOGLETRANSLATE(C54, ""en"", ""am"")"),"ሀ. የመጀመሪያው ኩዊል ብቻ ነው የሚቆጠረው። ለ. ምንም ኩይሎች አይቆጠሩም. ሐ. መዞሩ ተደግሟል. መ. ሁለቱም ጥቅልሎች ተቆጥረዋል.")</f>
        <v>ሀ. የመጀመሪያው ኩዊል ብቻ ነው የሚቆጠረው። ለ. ምንም ኩይሎች አይቆጠሩም. ሐ. መዞሩ ተደግሟል. መ. ሁለቱም ጥቅልሎች ተቆጥረዋል.</v>
      </c>
      <c r="J54" s="8" t="str">
        <f>IFERROR(__xludf.DUMMYFUNCTION(" GOOGLETRANSLATE(D54, ""en"", ""am"")"),"ኳሱ ወደ ኋላ ተመልሶ ብዙ ኳሶችን ቢመታ ሁሉም ይቆጠራሉ።")</f>
        <v>ኳሱ ወደ ኋላ ተመልሶ ብዙ ኳሶችን ቢመታ ሁሉም ይቆጠራሉ።</v>
      </c>
      <c r="K54" s="8" t="str">
        <f>IFERROR(__xludf.DUMMYFUNCTION(" GOOGLETRANSLATE(E54, ""en"", ""am"")"),"ኳሱ ወደ ኋላ ተመልሶ ብዙ ኳሶችን ቢመታ ሁሉም ይቆጠራሉ።")</f>
        <v>ኳሱ ወደ ኋላ ተመልሶ ብዙ ኳሶችን ቢመታ ሁሉም ይቆጠራሉ።</v>
      </c>
    </row>
    <row r="55" ht="22.5" customHeight="1">
      <c r="A55" s="6">
        <v>54.0</v>
      </c>
      <c r="B55" s="7" t="s">
        <v>168</v>
      </c>
      <c r="C55" s="7" t="s">
        <v>169</v>
      </c>
      <c r="D55" s="7" t="s">
        <v>170</v>
      </c>
      <c r="E55" s="7" t="s">
        <v>170</v>
      </c>
      <c r="G55" s="8" t="str">
        <f>IFERROR(__xludf.DUMMYFUNCTION(" GOOGLETRANSLATE(A55, ""en"", ""am"")"),"54")</f>
        <v>54</v>
      </c>
      <c r="H55" s="8" t="str">
        <f>IFERROR(__xludf.DUMMYFUNCTION(" GOOGLETRANSLATE(B55, ""en"", ""am"")"),"ለመወርወር የሚፈቀደው ከፍተኛው ጊዜ ስንት ነው?")</f>
        <v>ለመወርወር የሚፈቀደው ከፍተኛው ጊዜ ስንት ነው?</v>
      </c>
      <c r="I55" s="8" t="str">
        <f>IFERROR(__xludf.DUMMYFUNCTION(" GOOGLETRANSLATE(C55, ""en"", ""am"")"),"አ. 15 ሰከንድ ለ. 20 ሰከንድ ሐ. 30 ሰከንድ መ. 20 ሰከንድ")</f>
        <v>አ. 15 ሰከንድ ለ. 20 ሰከንድ ሐ. 30 ሰከንድ መ. 20 ሰከንድ</v>
      </c>
      <c r="J55" s="8" t="str">
        <f>IFERROR(__xludf.DUMMYFUNCTION(" GOOGLETRANSLATE(D55, ""en"", ""am"")"),"ተጫዋቾች ውርወራቸውን ለማጠናቀቅ 20 ሰከንድ ተፈቅዶላቸዋል።")</f>
        <v>ተጫዋቾች ውርወራቸውን ለማጠናቀቅ 20 ሰከንድ ተፈቅዶላቸዋል።</v>
      </c>
      <c r="K55" s="8" t="str">
        <f>IFERROR(__xludf.DUMMYFUNCTION(" GOOGLETRANSLATE(E55, ""en"", ""am"")"),"ተጫዋቾች ውርወራቸውን ለማጠናቀቅ 20 ሰከንድ ተፈቅዶላቸዋል።")</f>
        <v>ተጫዋቾች ውርወራቸውን ለማጠናቀቅ 20 ሰከንድ ተፈቅዶላቸዋል።</v>
      </c>
    </row>
    <row r="56" ht="22.5" customHeight="1">
      <c r="A56" s="6">
        <v>55.0</v>
      </c>
      <c r="B56" s="7" t="s">
        <v>171</v>
      </c>
      <c r="C56" s="7" t="s">
        <v>172</v>
      </c>
      <c r="D56" s="7" t="s">
        <v>173</v>
      </c>
      <c r="E56" s="7" t="s">
        <v>173</v>
      </c>
      <c r="G56" s="8" t="str">
        <f>IFERROR(__xludf.DUMMYFUNCTION(" GOOGLETRANSLATE(A56, ""en"", ""am"")"),"55")</f>
        <v>55</v>
      </c>
      <c r="H56" s="8" t="str">
        <f>IFERROR(__xludf.DUMMYFUNCTION(" GOOGLETRANSLATE(B56, ""en"", ""am"")"),"አንድ ተጫዋች ሆን ብሎ ተቃዋሚውን ሊያዘናጋ ይችላል?")</f>
        <v>አንድ ተጫዋች ሆን ብሎ ተቃዋሚውን ሊያዘናጋ ይችላል?</v>
      </c>
      <c r="I56" s="8" t="str">
        <f>IFERROR(__xludf.DUMMYFUNCTION(" GOOGLETRANSLATE(C56, ""en"", ""am"")"),"A. አይ, አይፈቀድም. ለ. ዳኛው ከፈቀደ ብቻ ነው። ሐ. አዎ፣ ሁለቱም ተጫዋቾች ከተስማሙ። መ. አይ, አይፈቀድም.")</f>
        <v>A. አይ, አይፈቀድም. ለ. ዳኛው ከፈቀደ ብቻ ነው። ሐ. አዎ፣ ሁለቱም ተጫዋቾች ከተስማሙ። መ. አይ, አይፈቀድም.</v>
      </c>
      <c r="J56" s="8" t="str">
        <f>IFERROR(__xludf.DUMMYFUNCTION(" GOOGLETRANSLATE(D56, ""en"", ""am"")"),"ተቃዋሚን ማዘናጋት ከህግ ውጭ ነው።")</f>
        <v>ተቃዋሚን ማዘናጋት ከህግ ውጭ ነው።</v>
      </c>
      <c r="K56" s="8" t="str">
        <f>IFERROR(__xludf.DUMMYFUNCTION(" GOOGLETRANSLATE(E56, ""en"", ""am"")"),"ተቃዋሚን ማዘናጋት ከህግ ውጭ ነው።")</f>
        <v>ተቃዋሚን ማዘናጋት ከህግ ውጭ ነው።</v>
      </c>
    </row>
    <row r="57" ht="22.5" customHeight="1">
      <c r="A57" s="6">
        <v>56.0</v>
      </c>
      <c r="B57" s="7" t="s">
        <v>174</v>
      </c>
      <c r="C57" s="7" t="s">
        <v>175</v>
      </c>
      <c r="D57" s="7" t="s">
        <v>176</v>
      </c>
      <c r="E57" s="7" t="s">
        <v>176</v>
      </c>
      <c r="G57" s="8" t="str">
        <f>IFERROR(__xludf.DUMMYFUNCTION(" GOOGLETRANSLATE(A57, ""en"", ""am"")"),"56")</f>
        <v>56</v>
      </c>
      <c r="H57" s="8" t="str">
        <f>IFERROR(__xludf.DUMMYFUNCTION(" GOOGLETRANSLATE(B57, ""en"", ""am"")"),"አንድ ተጫዋች በአንድ ውርወራ ሁሉንም ኳሶች ቢያንኳኳ ምን ይሆናል?")</f>
        <v>አንድ ተጫዋች በአንድ ውርወራ ሁሉንም ኳሶች ቢያንኳኳ ምን ይሆናል?</v>
      </c>
      <c r="I57" s="8" t="str">
        <f>IFERROR(__xludf.DUMMYFUNCTION(" GOOGLETRANSLATE(C57, ""en"", ""am"")"),"ሀ. ጉርሻ ነጥቦች ተሸልሟል. ለ. ጨዋታው እንደገና ይጀምራል። ሐ. ተቃዋሚው ተራውን ይዘላል. መ. ጉርሻ ነጥቦች ተሸልሟል.")</f>
        <v>ሀ. ጉርሻ ነጥቦች ተሸልሟል. ለ. ጨዋታው እንደገና ይጀምራል። ሐ. ተቃዋሚው ተራውን ይዘላል. መ. ጉርሻ ነጥቦች ተሸልሟል.</v>
      </c>
      <c r="J57" s="8" t="str">
        <f>IFERROR(__xludf.DUMMYFUNCTION(" GOOGLETRANSLATE(D57, ""en"", ""am"")"),"በአንድ ውርወራ ሽልማቶች ጉርሻ ነጥቦች ውስጥ ሁሉንም quills ታች ማንኳኳት.")</f>
        <v>በአንድ ውርወራ ሽልማቶች ጉርሻ ነጥቦች ውስጥ ሁሉንም quills ታች ማንኳኳት.</v>
      </c>
      <c r="K57" s="8" t="str">
        <f>IFERROR(__xludf.DUMMYFUNCTION(" GOOGLETRANSLATE(E57, ""en"", ""am"")"),"በአንድ ውርወራ ሽልማቶች ጉርሻ ነጥቦች ውስጥ ሁሉንም quills ታች ማንኳኳት.")</f>
        <v>በአንድ ውርወራ ሽልማቶች ጉርሻ ነጥቦች ውስጥ ሁሉንም quills ታች ማንኳኳት.</v>
      </c>
    </row>
    <row r="58" ht="22.5" customHeight="1">
      <c r="A58" s="6">
        <v>57.0</v>
      </c>
      <c r="B58" s="7" t="s">
        <v>177</v>
      </c>
      <c r="C58" s="7" t="s">
        <v>178</v>
      </c>
      <c r="D58" s="7" t="s">
        <v>179</v>
      </c>
      <c r="E58" s="7" t="s">
        <v>179</v>
      </c>
      <c r="G58" s="8" t="str">
        <f>IFERROR(__xludf.DUMMYFUNCTION(" GOOGLETRANSLATE(A58, ""en"", ""am"")"),"57")</f>
        <v>57</v>
      </c>
      <c r="H58" s="8" t="str">
        <f>IFERROR(__xludf.DUMMYFUNCTION(" GOOGLETRANSLATE(B58, ""en"", ""am"")"),"በጨዋታው ወቅት ተጫዋቾች ጓንት ማድረግ ይችላሉ?")</f>
        <v>በጨዋታው ወቅት ተጫዋቾች ጓንት ማድረግ ይችላሉ?</v>
      </c>
      <c r="I58" s="8" t="str">
        <f>IFERROR(__xludf.DUMMYFUNCTION(" GOOGLETRANSLATE(C58, ""en"", ""am"")"),"አ. አይ ፣ በጭራሽ ለ. በዳኛው ይሁንታ ብቻ። ሐ. በሕክምና አስፈላጊ ከሆነ ብቻ D. በሕክምና አስፈላጊ ከሆነ ብቻ")</f>
        <v>አ. አይ ፣ በጭራሽ ለ. በዳኛው ይሁንታ ብቻ። ሐ. በሕክምና አስፈላጊ ከሆነ ብቻ D. በሕክምና አስፈላጊ ከሆነ ብቻ</v>
      </c>
      <c r="J58" s="8" t="str">
        <f>IFERROR(__xludf.DUMMYFUNCTION(" GOOGLETRANSLATE(D58, ""en"", ""am"")"),"ጓንት የሚፈቀደው በህክምና ፈቃድ ብቻ ነው።")</f>
        <v>ጓንት የሚፈቀደው በህክምና ፈቃድ ብቻ ነው።</v>
      </c>
      <c r="K58" s="8" t="str">
        <f>IFERROR(__xludf.DUMMYFUNCTION(" GOOGLETRANSLATE(E58, ""en"", ""am"")"),"ጓንት የሚፈቀደው በህክምና ፈቃድ ብቻ ነው።")</f>
        <v>ጓንት የሚፈቀደው በህክምና ፈቃድ ብቻ ነው።</v>
      </c>
    </row>
    <row r="59" ht="22.5" customHeight="1">
      <c r="A59" s="6">
        <v>58.0</v>
      </c>
      <c r="B59" s="7" t="s">
        <v>180</v>
      </c>
      <c r="C59" s="7" t="s">
        <v>181</v>
      </c>
      <c r="D59" s="7" t="s">
        <v>182</v>
      </c>
      <c r="E59" s="7" t="s">
        <v>182</v>
      </c>
      <c r="G59" s="8" t="str">
        <f>IFERROR(__xludf.DUMMYFUNCTION(" GOOGLETRANSLATE(A59, ""en"", ""am"")"),"58")</f>
        <v>58</v>
      </c>
      <c r="H59" s="8" t="str">
        <f>IFERROR(__xludf.DUMMYFUNCTION(" GOOGLETRANSLATE(B59, ""en"", ""am"")"),"ዊኬቱን ከመምታቱ በፊት ኳስ በድንበሩ ላይ ቢንከባለል ምን ይከሰታል?")</f>
        <v>ዊኬቱን ከመምታቱ በፊት ኳስ በድንበሩ ላይ ቢንከባለል ምን ይከሰታል?</v>
      </c>
      <c r="I59" s="8" t="str">
        <f>IFERROR(__xludf.DUMMYFUNCTION(" GOOGLETRANSLATE(C59, ""en"", ""am"")"),"ሀ. መወርወሩ ልክ ያልሆነ ነው። ለ. ግማሽ ነጥብ ተሸልሟል ሐ. ሽክርክር ተደግሟል. መ. መወርወሩ ልክ ያልሆነ ነው።")</f>
        <v>ሀ. መወርወሩ ልክ ያልሆነ ነው። ለ. ግማሽ ነጥብ ተሸልሟል ሐ. ሽክርክር ተደግሟል. መ. መወርወሩ ልክ ያልሆነ ነው።</v>
      </c>
      <c r="J59" s="8" t="str">
        <f>IFERROR(__xludf.DUMMYFUNCTION(" GOOGLETRANSLATE(D59, ""en"", ""am"")"),"ኳሱን ከመምታቱ በፊት ከድንበር ውጪ የሚንከባለል ኳስ ልክ ያልሆነ ነው።")</f>
        <v>ኳሱን ከመምታቱ በፊት ከድንበር ውጪ የሚንከባለል ኳስ ልክ ያልሆነ ነው።</v>
      </c>
      <c r="K59" s="8" t="str">
        <f>IFERROR(__xludf.DUMMYFUNCTION(" GOOGLETRANSLATE(E59, ""en"", ""am"")"),"ኳሱን ከመምታቱ በፊት ከድንበር ውጪ የሚንከባለል ኳስ ልክ ያልሆነ ነው።")</f>
        <v>ኳሱን ከመምታቱ በፊት ከድንበር ውጪ የሚንከባለል ኳስ ልክ ያልሆነ ነው።</v>
      </c>
    </row>
    <row r="60" ht="22.5" customHeight="1">
      <c r="A60" s="6">
        <v>59.0</v>
      </c>
      <c r="B60" s="7" t="s">
        <v>183</v>
      </c>
      <c r="C60" s="7" t="s">
        <v>184</v>
      </c>
      <c r="D60" s="7" t="s">
        <v>185</v>
      </c>
      <c r="E60" s="7" t="s">
        <v>185</v>
      </c>
      <c r="G60" s="8" t="str">
        <f>IFERROR(__xludf.DUMMYFUNCTION(" GOOGLETRANSLATE(A60, ""en"", ""am"")"),"59")</f>
        <v>59</v>
      </c>
      <c r="H60" s="8" t="str">
        <f>IFERROR(__xludf.DUMMYFUNCTION(" GOOGLETRANSLATE(B60, ""en"", ""am"")"),"አንድ ተጫዋች በተራቸው ጊዜ ለአፍታ ማቆም መጠየቅ ይችላል?")</f>
        <v>አንድ ተጫዋች በተራቸው ጊዜ ለአፍታ ማቆም መጠየቅ ይችላል?</v>
      </c>
      <c r="I60" s="8" t="str">
        <f>IFERROR(__xludf.DUMMYFUNCTION(" GOOGLETRANSLATE(C60, ""en"", ""am"")"),"አ. አይ ፣ በጭራሽ ለ. በጨዋታ አንድ ጊዜ ብቻ C. በዳኛው ይሁንታ ብቻ። መ. በዳኛው ይሁንታ ብቻ።")</f>
        <v>አ. አይ ፣ በጭራሽ ለ. በጨዋታ አንድ ጊዜ ብቻ C. በዳኛው ይሁንታ ብቻ። መ. በዳኛው ይሁንታ ብቻ።</v>
      </c>
      <c r="J60" s="8" t="str">
        <f>IFERROR(__xludf.DUMMYFUNCTION(" GOOGLETRANSLATE(D60, ""en"", ""am"")"),"ተጫዋቾች የእረፍት ጊዜን የሚጠይቁት በዳኛው ይሁንታ ብቻ ነው።")</f>
        <v>ተጫዋቾች የእረፍት ጊዜን የሚጠይቁት በዳኛው ይሁንታ ብቻ ነው።</v>
      </c>
      <c r="K60" s="8" t="str">
        <f>IFERROR(__xludf.DUMMYFUNCTION(" GOOGLETRANSLATE(E60, ""en"", ""am"")"),"ተጫዋቾች የእረፍት ጊዜን የሚጠይቁት በዳኛው ይሁንታ ብቻ ነው።")</f>
        <v>ተጫዋቾች የእረፍት ጊዜን የሚጠይቁት በዳኛው ይሁንታ ብቻ ነው።</v>
      </c>
    </row>
    <row r="61" ht="22.5" customHeight="1">
      <c r="A61" s="6">
        <v>60.0</v>
      </c>
      <c r="B61" s="7" t="s">
        <v>186</v>
      </c>
      <c r="C61" s="7" t="s">
        <v>187</v>
      </c>
      <c r="D61" s="7" t="s">
        <v>188</v>
      </c>
      <c r="E61" s="7" t="s">
        <v>188</v>
      </c>
      <c r="G61" s="8" t="str">
        <f>IFERROR(__xludf.DUMMYFUNCTION(" GOOGLETRANSLATE(A61, ""en"", ""am"")"),"60")</f>
        <v>60</v>
      </c>
      <c r="H61" s="8" t="str">
        <f>IFERROR(__xludf.DUMMYFUNCTION(" GOOGLETRANSLATE(B61, ""en"", ""am"")"),"ህገወጥ እርምጃዎችን ሲጠቀሙ ቅጣቱ ምንድን ነው?")</f>
        <v>ህገወጥ እርምጃዎችን ሲጠቀሙ ቅጣቱ ምንድን ነው?</v>
      </c>
      <c r="I61" s="8" t="str">
        <f>IFERROR(__xludf.DUMMYFUNCTION(" GOOGLETRANSLATE(C61, ""en"", ""am"")"),"ሀ. የማሽከርከር መጥፋት ለ. ብቁ አለመሆን ሐ. ነጥቦችን ማጣት መ. የማሽከርከር መጥፋት")</f>
        <v>ሀ. የማሽከርከር መጥፋት ለ. ብቁ አለመሆን ሐ. ነጥቦችን ማጣት መ. የማሽከርከር መጥፋት</v>
      </c>
      <c r="J61" s="8" t="str">
        <f>IFERROR(__xludf.DUMMYFUNCTION(" GOOGLETRANSLATE(D61, ""en"", ""am"")"),"ሕገ-ወጥ ድርጊቶች የደም ዝውውርን ያጣሉ.")</f>
        <v>ሕገ-ወጥ ድርጊቶች የደም ዝውውርን ያጣሉ.</v>
      </c>
      <c r="K61" s="8" t="str">
        <f>IFERROR(__xludf.DUMMYFUNCTION(" GOOGLETRANSLATE(E61, ""en"", ""am"")"),"ሕገ-ወጥ ድርጊቶች የደም ዝውውርን ያጣሉ.")</f>
        <v>ሕገ-ወጥ ድርጊቶች የደም ዝውውርን ያጣሉ.</v>
      </c>
    </row>
    <row r="62" ht="22.5" customHeight="1">
      <c r="A62" s="6">
        <v>61.0</v>
      </c>
      <c r="B62" s="7" t="s">
        <v>189</v>
      </c>
      <c r="C62" s="7" t="s">
        <v>190</v>
      </c>
      <c r="D62" s="7" t="s">
        <v>191</v>
      </c>
      <c r="E62" s="7" t="s">
        <v>191</v>
      </c>
      <c r="G62" s="8" t="str">
        <f>IFERROR(__xludf.DUMMYFUNCTION(" GOOGLETRANSLATE(A62, ""en"", ""am"")"),"61")</f>
        <v>61</v>
      </c>
      <c r="H62" s="8" t="str">
        <f>IFERROR(__xludf.DUMMYFUNCTION(" GOOGLETRANSLATE(B62, ""en"", ""am"")"),"ኩዊል ከተመታ ነገር ግን በሌላ ዞን ውስጥ ቢቆይ ምን ይከሰታል?")</f>
        <v>ኩዊል ከተመታ ነገር ግን በሌላ ዞን ውስጥ ቢቆይ ምን ይከሰታል?</v>
      </c>
      <c r="I62" s="8" t="str">
        <f>IFERROR(__xludf.DUMMYFUNCTION(" GOOGLETRANSLATE(C62, ""en"", ""am"")"),"ሀ. ምንም ነጥብ አልተሰጠም። ለ. ግማሽ ነጥብ ተሸልሟል ሐ. ሽክርክር ተደግሟል. መ. የተሸለሙ ነጥቦች")</f>
        <v>ሀ. ምንም ነጥብ አልተሰጠም። ለ. ግማሽ ነጥብ ተሸልሟል ሐ. ሽክርክር ተደግሟል. መ. የተሸለሙ ነጥቦች</v>
      </c>
      <c r="J62" s="8" t="str">
        <f>IFERROR(__xludf.DUMMYFUNCTION(" GOOGLETRANSLATE(D62, ""en"", ""am"")"),"ነጥቦቹ የሚሸለሙት ኩዊሉ ትክክለኛ በሆነ ዞን ውስጥ እስከሆነ ድረስ ነው።")</f>
        <v>ነጥቦቹ የሚሸለሙት ኩዊሉ ትክክለኛ በሆነ ዞን ውስጥ እስከሆነ ድረስ ነው።</v>
      </c>
      <c r="K62" s="8" t="str">
        <f>IFERROR(__xludf.DUMMYFUNCTION(" GOOGLETRANSLATE(E62, ""en"", ""am"")"),"ነጥቦቹ የሚሸለሙት ኩዊሉ ትክክለኛ በሆነ ዞን ውስጥ እስከሆነ ድረስ ነው።")</f>
        <v>ነጥቦቹ የሚሸለሙት ኩዊሉ ትክክለኛ በሆነ ዞን ውስጥ እስከሆነ ድረስ ነው።</v>
      </c>
    </row>
    <row r="63" ht="22.5" customHeight="1">
      <c r="A63" s="6">
        <v>62.0</v>
      </c>
      <c r="B63" s="7" t="s">
        <v>192</v>
      </c>
      <c r="C63" s="7" t="s">
        <v>193</v>
      </c>
      <c r="D63" s="7" t="s">
        <v>194</v>
      </c>
      <c r="E63" s="7" t="s">
        <v>194</v>
      </c>
      <c r="G63" s="8" t="str">
        <f>IFERROR(__xludf.DUMMYFUNCTION(" GOOGLETRANSLATE(A63, ""en"", ""am"")"),"62")</f>
        <v>62</v>
      </c>
      <c r="H63" s="8" t="str">
        <f>IFERROR(__xludf.DUMMYFUNCTION(" GOOGLETRANSLATE(B63, ""en"", ""am"")"),"ቡድንን መሰረት ባደረገ የገና ግጥሚያ ምን ያህል ተጫዋቾች መሳተፍ ይችላሉ?")</f>
        <v>ቡድንን መሰረት ባደረገ የገና ግጥሚያ ምን ያህል ተጫዋቾች መሳተፍ ይችላሉ?</v>
      </c>
      <c r="I63" s="8" t="str">
        <f>IFERROR(__xludf.DUMMYFUNCTION(" GOOGLETRANSLATE(C63, ""en"", ""am"")"),"ሀ. በቡድን 3 ለ. በቡድን 4 ሐ. በቡድን 5 መ. በቡድን 3")</f>
        <v>ሀ. በቡድን 3 ለ. በቡድን 4 ሐ. በቡድን 5 መ. በቡድን 3</v>
      </c>
      <c r="J63" s="8" t="str">
        <f>IFERROR(__xludf.DUMMYFUNCTION(" GOOGLETRANSLATE(D63, ""en"", ""am"")"),"ቡድን-ተኮር የገና ግጥሚያዎች በቡድን 3 ተጫዋቾችን ይፈቅዳል።")</f>
        <v>ቡድን-ተኮር የገና ግጥሚያዎች በቡድን 3 ተጫዋቾችን ይፈቅዳል።</v>
      </c>
      <c r="K63" s="8" t="str">
        <f>IFERROR(__xludf.DUMMYFUNCTION(" GOOGLETRANSLATE(E63, ""en"", ""am"")"),"ቡድን-ተኮር የገና ግጥሚያዎች በቡድን 3 ተጫዋቾችን ይፈቅዳል።")</f>
        <v>ቡድን-ተኮር የገና ግጥሚያዎች በቡድን 3 ተጫዋቾችን ይፈቅዳል።</v>
      </c>
    </row>
    <row r="64" ht="22.5" customHeight="1">
      <c r="A64" s="6">
        <v>63.0</v>
      </c>
      <c r="B64" s="7" t="s">
        <v>195</v>
      </c>
      <c r="C64" s="7" t="s">
        <v>196</v>
      </c>
      <c r="D64" s="7" t="s">
        <v>197</v>
      </c>
      <c r="E64" s="7" t="s">
        <v>197</v>
      </c>
      <c r="G64" s="8" t="str">
        <f>IFERROR(__xludf.DUMMYFUNCTION(" GOOGLETRANSLATE(A64, ""en"", ""am"")"),"63")</f>
        <v>63</v>
      </c>
      <c r="H64" s="8" t="str">
        <f>IFERROR(__xludf.DUMMYFUNCTION(" GOOGLETRANSLATE(B64, ""en"", ""am"")"),"አንድ ተጫዋች በአንድ ዙር ወቅት የመወርወሪያቸውን ቅደም ተከተል መቀየር ይችላል?")</f>
        <v>አንድ ተጫዋች በአንድ ዙር ወቅት የመወርወሪያቸውን ቅደም ተከተል መቀየር ይችላል?</v>
      </c>
      <c r="I64" s="8" t="str">
        <f>IFERROR(__xludf.DUMMYFUNCTION(" GOOGLETRANSLATE(C64, ""en"", ""am"")"),"አ. አይ ፣ በጭራሽ ለ. በዳኛው ይሁንታ ብቻ። ሐ. በጨዋታ አንድ ጊዜ ብቻ D. አይ፣ በጭራሽ።")</f>
        <v>አ. አይ ፣ በጭራሽ ለ. በዳኛው ይሁንታ ብቻ። ሐ. በጨዋታ አንድ ጊዜ ብቻ D. አይ፣ በጭራሽ።</v>
      </c>
      <c r="J64" s="8" t="str">
        <f>IFERROR(__xludf.DUMMYFUNCTION(" GOOGLETRANSLATE(D64, ""en"", ""am"")"),"ተጫዋቾች የመወርወር ትእዛዝን በጥብቅ መከተል አለባቸው እና ሊለውጡት አይችሉም።")</f>
        <v>ተጫዋቾች የመወርወር ትእዛዝን በጥብቅ መከተል አለባቸው እና ሊለውጡት አይችሉም።</v>
      </c>
      <c r="K64" s="8" t="str">
        <f>IFERROR(__xludf.DUMMYFUNCTION(" GOOGLETRANSLATE(E64, ""en"", ""am"")"),"ተጫዋቾች የመወርወር ትእዛዝን በጥብቅ መከተል አለባቸው እና ሊለውጡት አይችሉም።")</f>
        <v>ተጫዋቾች የመወርወር ትእዛዝን በጥብቅ መከተል አለባቸው እና ሊለውጡት አይችሉም።</v>
      </c>
    </row>
    <row r="65" ht="22.5" customHeight="1">
      <c r="A65" s="6">
        <v>64.0</v>
      </c>
      <c r="B65" s="7" t="s">
        <v>198</v>
      </c>
      <c r="C65" s="7" t="s">
        <v>199</v>
      </c>
      <c r="D65" s="7" t="s">
        <v>200</v>
      </c>
      <c r="E65" s="7" t="s">
        <v>200</v>
      </c>
      <c r="G65" s="8" t="str">
        <f>IFERROR(__xludf.DUMMYFUNCTION(" GOOGLETRANSLATE(A65, ""en"", ""am"")"),"64")</f>
        <v>64</v>
      </c>
      <c r="H65" s="8" t="str">
        <f>IFERROR(__xludf.DUMMYFUNCTION(" GOOGLETRANSLATE(B65, ""en"", ""am"")"),"ስፖርታዊ ጨዋነት የጎደለው ድርጊት ምን መዘዝ ያስከትላል?")</f>
        <v>ስፖርታዊ ጨዋነት የጎደለው ድርጊት ምን መዘዝ ያስከትላል?</v>
      </c>
      <c r="I65" s="8" t="str">
        <f>IFERROR(__xludf.DUMMYFUNCTION(" GOOGLETRANSLATE(C65, ""en"", ""am"")"),"ሀ. ነጥቦችን ማጣት ለ. ወዲያውኑ ውድቅ ያድርጉ ሐ. የዳኛ ውሳኔ መ. የዳኛ ውሳኔ")</f>
        <v>ሀ. ነጥቦችን ማጣት ለ. ወዲያውኑ ውድቅ ያድርጉ ሐ. የዳኛ ውሳኔ መ. የዳኛ ውሳኔ</v>
      </c>
      <c r="J65" s="8" t="str">
        <f>IFERROR(__xludf.DUMMYFUNCTION(" GOOGLETRANSLATE(D65, ""en"", ""am"")"),"ስፖርታዊ ጨዋነት የጎደለው ድርጊት በዳኛው ውሳኔ ይቀጣል።")</f>
        <v>ስፖርታዊ ጨዋነት የጎደለው ድርጊት በዳኛው ውሳኔ ይቀጣል።</v>
      </c>
      <c r="K65" s="8" t="str">
        <f>IFERROR(__xludf.DUMMYFUNCTION(" GOOGLETRANSLATE(E65, ""en"", ""am"")"),"ስፖርታዊ ጨዋነት የጎደለው ድርጊት በዳኛው ውሳኔ ይቀጣል።")</f>
        <v>ስፖርታዊ ጨዋነት የጎደለው ድርጊት በዳኛው ውሳኔ ይቀጣል።</v>
      </c>
    </row>
    <row r="66" ht="22.5" customHeight="1">
      <c r="A66" s="6">
        <v>65.0</v>
      </c>
      <c r="B66" s="7" t="s">
        <v>201</v>
      </c>
      <c r="C66" s="7" t="s">
        <v>202</v>
      </c>
      <c r="D66" s="7" t="s">
        <v>203</v>
      </c>
      <c r="E66" s="7" t="s">
        <v>203</v>
      </c>
      <c r="G66" s="8" t="str">
        <f>IFERROR(__xludf.DUMMYFUNCTION(" GOOGLETRANSLATE(A66, ""en"", ""am"")"),"65")</f>
        <v>65</v>
      </c>
      <c r="H66" s="8" t="str">
        <f>IFERROR(__xludf.DUMMYFUNCTION(" GOOGLETRANSLATE(B66, ""en"", ""am"")"),"ኳሱ በድንገት ዳኛውን ቢመታ ምን ይሆናል?")</f>
        <v>ኳሱ በድንገት ዳኛውን ቢመታ ምን ይሆናል?</v>
      </c>
      <c r="I66" s="8" t="str">
        <f>IFERROR(__xludf.DUMMYFUNCTION(" GOOGLETRANSLATE(C66, ""en"", ""am"")"),"ሀ. መወርወሩ ተደግሟል። ለ. ምንም ቅጣት የለም. ሐ. ተጫዋቹ ነጥብ ያጣል። መ መወርወሩ ተደግሟል።")</f>
        <v>ሀ. መወርወሩ ተደግሟል። ለ. ምንም ቅጣት የለም. ሐ. ተጫዋቹ ነጥብ ያጣል። መ መወርወሩ ተደግሟል።</v>
      </c>
      <c r="J66" s="8" t="str">
        <f>IFERROR(__xludf.DUMMYFUNCTION(" GOOGLETRANSLATE(D66, ""en"", ""am"")"),"ኳሱ ዳኛውን ቢመታ ውርወራው ይደጋገማል።")</f>
        <v>ኳሱ ዳኛውን ቢመታ ውርወራው ይደጋገማል።</v>
      </c>
      <c r="K66" s="8" t="str">
        <f>IFERROR(__xludf.DUMMYFUNCTION(" GOOGLETRANSLATE(E66, ""en"", ""am"")"),"ኳሱ ዳኛውን ቢመታ ውርወራው ይደጋገማል።")</f>
        <v>ኳሱ ዳኛውን ቢመታ ውርወራው ይደጋገማል።</v>
      </c>
    </row>
    <row r="67" ht="22.5" customHeight="1">
      <c r="A67" s="6">
        <v>66.0</v>
      </c>
      <c r="B67" s="7" t="s">
        <v>204</v>
      </c>
      <c r="C67" s="7" t="s">
        <v>205</v>
      </c>
      <c r="D67" s="7" t="s">
        <v>206</v>
      </c>
      <c r="E67" s="7" t="s">
        <v>206</v>
      </c>
      <c r="G67" s="8" t="str">
        <f>IFERROR(__xludf.DUMMYFUNCTION(" GOOGLETRANSLATE(A67, ""en"", ""am"")"),"66")</f>
        <v>66</v>
      </c>
      <c r="H67" s="8" t="str">
        <f>IFERROR(__xludf.DUMMYFUNCTION(" GOOGLETRANSLATE(B67, ""en"", ""am"")"),"በገና ግጥሚያ ላይ ግንኙነቶች እንዴት ይፈታሉ?")</f>
        <v>በገና ግጥሚያ ላይ ግንኙነቶች እንዴት ይፈታሉ?</v>
      </c>
      <c r="I67" s="8" t="str">
        <f>IFERROR(__xludf.DUMMYFUNCTION(" GOOGLETRANSLATE(C67, ""en"", ""am"")"),"ሀ. አጠቃላይ መጠምጠሚያዎችን ማወዳደር B. ጠቅላላ ነጥቦችን ማወዳደር ሐ. ጥራት የለውም፣ ተዛማጅ የተሳሰረ። መ. ተጨማሪ ዙሮች በመጫወት ላይ")</f>
        <v>ሀ. አጠቃላይ መጠምጠሚያዎችን ማወዳደር B. ጠቅላላ ነጥቦችን ማወዳደር ሐ. ጥራት የለውም፣ ተዛማጅ የተሳሰረ። መ. ተጨማሪ ዙሮች በመጫወት ላይ</v>
      </c>
      <c r="J67" s="8" t="str">
        <f>IFERROR(__xludf.DUMMYFUNCTION(" GOOGLETRANSLATE(D67, ""en"", ""am"")"),"ትስስሮች ተጨማሪ ዙሮችን በመጫወት ይፈታሉ።")</f>
        <v>ትስስሮች ተጨማሪ ዙሮችን በመጫወት ይፈታሉ።</v>
      </c>
      <c r="K67" s="8" t="str">
        <f>IFERROR(__xludf.DUMMYFUNCTION(" GOOGLETRANSLATE(E67, ""en"", ""am"")"),"ትስስሮች ተጨማሪ ዙሮችን በመጫወት ይፈታሉ።")</f>
        <v>ትስስሮች ተጨማሪ ዙሮችን በመጫወት ይፈታሉ።</v>
      </c>
    </row>
    <row r="68" ht="22.5" customHeight="1">
      <c r="A68" s="6">
        <v>67.0</v>
      </c>
      <c r="B68" s="7" t="s">
        <v>207</v>
      </c>
      <c r="C68" s="7" t="s">
        <v>208</v>
      </c>
      <c r="D68" s="7" t="s">
        <v>209</v>
      </c>
      <c r="E68" s="7" t="s">
        <v>209</v>
      </c>
      <c r="G68" s="8" t="str">
        <f>IFERROR(__xludf.DUMMYFUNCTION(" GOOGLETRANSLATE(A68, ""en"", ""am"")"),"67")</f>
        <v>67</v>
      </c>
      <c r="H68" s="8" t="str">
        <f>IFERROR(__xludf.DUMMYFUNCTION(" GOOGLETRANSLATE(B68, ""en"", ""am"")"),"በገና ዛፍ ላይ ለኩይሎች ትክክለኛው ቁመት ምን ያህል ነው?")</f>
        <v>በገና ዛፍ ላይ ለኩይሎች ትክክለኛው ቁመት ምን ያህል ነው?</v>
      </c>
      <c r="I68" s="8" t="str">
        <f>IFERROR(__xludf.DUMMYFUNCTION(" GOOGLETRANSLATE(C68, ""en"", ""am"")"),"ሀ 15 ሴሜ ለ 20 ሴ.ሜ ሲ 25 ሴሜ ዲ 20 ሴ.ሜ")</f>
        <v>ሀ 15 ሴሜ ለ 20 ሴ.ሜ ሲ 25 ሴሜ ዲ 20 ሴ.ሜ</v>
      </c>
      <c r="J68" s="8" t="str">
        <f>IFERROR(__xludf.DUMMYFUNCTION(" GOOGLETRANSLATE(D68, ""en"", ""am"")"),"በአበባው ውስጥ ያሉት ኩዊሎች 20 ሴ.ሜ ቁመት አላቸው.")</f>
        <v>በአበባው ውስጥ ያሉት ኩዊሎች 20 ሴ.ሜ ቁመት አላቸው.</v>
      </c>
      <c r="K68" s="8" t="str">
        <f>IFERROR(__xludf.DUMMYFUNCTION(" GOOGLETRANSLATE(E68, ""en"", ""am"")"),"በአበባው ውስጥ ያሉት ኩዊሎች 20 ሴ.ሜ ቁመት አላቸው.")</f>
        <v>በአበባው ውስጥ ያሉት ኩዊሎች 20 ሴ.ሜ ቁመት አላቸው.</v>
      </c>
    </row>
    <row r="69" ht="22.5" customHeight="1">
      <c r="A69" s="6">
        <v>68.0</v>
      </c>
      <c r="B69" s="7" t="s">
        <v>210</v>
      </c>
      <c r="C69" s="7" t="s">
        <v>211</v>
      </c>
      <c r="D69" s="7" t="s">
        <v>212</v>
      </c>
      <c r="E69" s="7" t="s">
        <v>212</v>
      </c>
      <c r="G69" s="8" t="str">
        <f>IFERROR(__xludf.DUMMYFUNCTION(" GOOGLETRANSLATE(A69, ""en"", ""am"")"),"68")</f>
        <v>68</v>
      </c>
      <c r="H69" s="8" t="str">
        <f>IFERROR(__xludf.DUMMYFUNCTION(" GOOGLETRANSLATE(B69, ""en"", ""am"")"),"አንድ ተጫዋች በሚጥልበት ጊዜ ኩዊል ቢሰበር ምን ይከሰታል?")</f>
        <v>አንድ ተጫዋች በሚጥልበት ጊዜ ኩዊል ቢሰበር ምን ይከሰታል?</v>
      </c>
      <c r="I69" s="8" t="str">
        <f>IFERROR(__xludf.DUMMYFUNCTION(" GOOGLETRANSLATE(C69, ""en"", ""am"")"),"ሀ. አዲስ ኩዊል ተቀምጧል። ለ. መወርወሩ ልክ ያልሆነ ነው። ሐ. ተጫዋቹ ተራ ያጣል። መ. አዲስ ኩዊል ተቀምጧል።")</f>
        <v>ሀ. አዲስ ኩዊል ተቀምጧል። ለ. መወርወሩ ልክ ያልሆነ ነው። ሐ. ተጫዋቹ ተራ ያጣል። መ. አዲስ ኩዊል ተቀምጧል።</v>
      </c>
      <c r="J69" s="8" t="str">
        <f>IFERROR(__xludf.DUMMYFUNCTION(" GOOGLETRANSLATE(D69, ""en"", ""am"")"),"የተሰበረ ኩዊል ያለ ቅጣት ይተካል።")</f>
        <v>የተሰበረ ኩዊል ያለ ቅጣት ይተካል።</v>
      </c>
      <c r="K69" s="8" t="str">
        <f>IFERROR(__xludf.DUMMYFUNCTION(" GOOGLETRANSLATE(E69, ""en"", ""am"")"),"የተሰበረ ኩዊል ያለ ቅጣት ይተካል።")</f>
        <v>የተሰበረ ኩዊል ያለ ቅጣት ይተካል።</v>
      </c>
    </row>
    <row r="70" ht="22.5" customHeight="1">
      <c r="A70" s="6">
        <v>69.0</v>
      </c>
      <c r="B70" s="7" t="s">
        <v>213</v>
      </c>
      <c r="C70" s="7" t="s">
        <v>214</v>
      </c>
      <c r="D70" s="7" t="s">
        <v>215</v>
      </c>
      <c r="E70" s="7" t="s">
        <v>215</v>
      </c>
      <c r="G70" s="8" t="str">
        <f>IFERROR(__xludf.DUMMYFUNCTION(" GOOGLETRANSLATE(A70, ""en"", ""am"")"),"69")</f>
        <v>69</v>
      </c>
      <c r="H70" s="8" t="str">
        <f>IFERROR(__xludf.DUMMYFUNCTION(" GOOGLETRANSLATE(B70, ""en"", ""am"")"),"ኩዊል ወደ ተቃራኒው ዞን ቢመታ ምን ይከሰታል?")</f>
        <v>ኩዊል ወደ ተቃራኒው ዞን ቢመታ ምን ይከሰታል?</v>
      </c>
      <c r="I70" s="8" t="str">
        <f>IFERROR(__xludf.DUMMYFUNCTION(" GOOGLETRANSLATE(C70, ""en"", ""am"")"),"ሀ ነጥብ ለተጋጣሚው ተሰጥቷል። ለ. ኩዊሉ እንደገና ጀምሯል. ሐ. ምንም ነጥብ አልተሰጠም። መ. ምንም ነጥብ አልተሰጠም።")</f>
        <v>ሀ ነጥብ ለተጋጣሚው ተሰጥቷል። ለ. ኩዊሉ እንደገና ጀምሯል. ሐ. ምንም ነጥብ አልተሰጠም። መ. ምንም ነጥብ አልተሰጠም።</v>
      </c>
      <c r="J70" s="8" t="str">
        <f>IFERROR(__xludf.DUMMYFUNCTION(" GOOGLETRANSLATE(D70, ""en"", ""am"")"),"ወደ ተቀናቃኙ ዞን ማንኳኳት ለአንድ ነጥብ አይቆጠርም።")</f>
        <v>ወደ ተቀናቃኙ ዞን ማንኳኳት ለአንድ ነጥብ አይቆጠርም።</v>
      </c>
      <c r="K70" s="8" t="str">
        <f>IFERROR(__xludf.DUMMYFUNCTION(" GOOGLETRANSLATE(E70, ""en"", ""am"")"),"ወደ ተቀናቃኙ ዞን ማንኳኳት ለአንድ ነጥብ አይቆጠርም።")</f>
        <v>ወደ ተቀናቃኙ ዞን ማንኳኳት ለአንድ ነጥብ አይቆጠርም።</v>
      </c>
    </row>
    <row r="71" ht="22.5" customHeight="1">
      <c r="A71" s="6">
        <v>70.0</v>
      </c>
      <c r="B71" s="7" t="s">
        <v>216</v>
      </c>
      <c r="C71" s="7" t="s">
        <v>217</v>
      </c>
      <c r="D71" s="7" t="s">
        <v>218</v>
      </c>
      <c r="E71" s="7" t="s">
        <v>218</v>
      </c>
      <c r="G71" s="8" t="str">
        <f>IFERROR(__xludf.DUMMYFUNCTION(" GOOGLETRANSLATE(A71, ""en"", ""am"")"),"70")</f>
        <v>70</v>
      </c>
      <c r="H71" s="8" t="str">
        <f>IFERROR(__xludf.DUMMYFUNCTION(" GOOGLETRANSLATE(B71, ""en"", ""am"")"),"ኳሱ ሳይነካው ኳሱ ላይ ቢወድቅ ምን ይሆናል?")</f>
        <v>ኳሱ ሳይነካው ኳሱ ላይ ቢወድቅ ምን ይሆናል?</v>
      </c>
      <c r="I71" s="8" t="str">
        <f>IFERROR(__xludf.DUMMYFUNCTION(" GOOGLETRANSLATE(C71, ""en"", ""am"")"),"ሀ. ምንም ነጥብ አልተሰጠም። ለ. ግማሽ ነጥብ ተሸልሟል ሐ. ሽክርክር ተደግሟል. መ. ምንም ነጥብ አልተሰጠም።")</f>
        <v>ሀ. ምንም ነጥብ አልተሰጠም። ለ. ግማሽ ነጥብ ተሸልሟል ሐ. ሽክርክር ተደግሟል. መ. ምንም ነጥብ አልተሰጠም።</v>
      </c>
      <c r="J71" s="8" t="str">
        <f>IFERROR(__xludf.DUMMYFUNCTION(" GOOGLETRANSLATE(D71, ""en"", ""am"")"),"ነጥቦችን ለመስጠት ኩዊል ሙሉ በሙሉ መውደቅ አለበት።")</f>
        <v>ነጥቦችን ለመስጠት ኩዊል ሙሉ በሙሉ መውደቅ አለበት።</v>
      </c>
      <c r="K71" s="8" t="str">
        <f>IFERROR(__xludf.DUMMYFUNCTION(" GOOGLETRANSLATE(E71, ""en"", ""am"")"),"ነጥቦችን ለመስጠት ኩዊል ሙሉ በሙሉ መውደቅ አለበት።")</f>
        <v>ነጥቦችን ለመስጠት ኩዊል ሙሉ በሙሉ መውደቅ አለበት።</v>
      </c>
    </row>
    <row r="72" ht="22.5" customHeight="1">
      <c r="A72" s="6">
        <v>71.0</v>
      </c>
      <c r="B72" s="7" t="s">
        <v>219</v>
      </c>
      <c r="C72" s="7" t="s">
        <v>220</v>
      </c>
      <c r="D72" s="7" t="s">
        <v>221</v>
      </c>
      <c r="E72" s="7" t="s">
        <v>221</v>
      </c>
      <c r="G72" s="8" t="str">
        <f>IFERROR(__xludf.DUMMYFUNCTION(" GOOGLETRANSLATE(A72, ""en"", ""am"")"),"71")</f>
        <v>71</v>
      </c>
      <c r="H72" s="8" t="str">
        <f>IFERROR(__xludf.DUMMYFUNCTION(" GOOGLETRANSLATE(B72, ""en"", ""am"")"),"አንድ ተጫዋች በድንገት ኳሱን ከመወርወሩ በፊት ቢጥል ህጉ ምንድን ነው?")</f>
        <v>አንድ ተጫዋች በድንገት ኳሱን ከመወርወሩ በፊት ቢጥል ህጉ ምንድን ነው?</v>
      </c>
      <c r="I72" s="8" t="str">
        <f>IFERROR(__xludf.DUMMYFUNCTION(" GOOGLETRANSLATE(C72, ""en"", ""am"")"),"ሀ. ተጫዋቹ ሌላ እድል ያገኛል። ለ. መዞሩ ጠፍቷል። ሐ. መወርወሩ ተደግሟል። መ መወርወሩ ተደግሟል።")</f>
        <v>ሀ. ተጫዋቹ ሌላ እድል ያገኛል። ለ. መዞሩ ጠፍቷል። ሐ. መወርወሩ ተደግሟል። መ መወርወሩ ተደግሟል።</v>
      </c>
      <c r="J72" s="8" t="str">
        <f>IFERROR(__xludf.DUMMYFUNCTION(" GOOGLETRANSLATE(D72, ""en"", ""am"")"),"ድንገተኛ ጠብታዎች ተጫዋቹ ውርወራቸውን እንዲደግሙ ያስችላቸዋል።")</f>
        <v>ድንገተኛ ጠብታዎች ተጫዋቹ ውርወራቸውን እንዲደግሙ ያስችላቸዋል።</v>
      </c>
      <c r="K72" s="8" t="str">
        <f>IFERROR(__xludf.DUMMYFUNCTION(" GOOGLETRANSLATE(E72, ""en"", ""am"")"),"ድንገተኛ ጠብታዎች ተጫዋቹ ውርወራቸውን እንዲደግሙ ያስችላቸዋል።")</f>
        <v>ድንገተኛ ጠብታዎች ተጫዋቹ ውርወራቸውን እንዲደግሙ ያስችላቸዋል።</v>
      </c>
    </row>
    <row r="73" ht="22.5" customHeight="1">
      <c r="A73" s="6">
        <v>72.0</v>
      </c>
      <c r="B73" s="7" t="s">
        <v>222</v>
      </c>
      <c r="C73" s="7" t="s">
        <v>223</v>
      </c>
      <c r="D73" s="7" t="s">
        <v>224</v>
      </c>
      <c r="E73" s="7" t="s">
        <v>224</v>
      </c>
      <c r="G73" s="8" t="str">
        <f>IFERROR(__xludf.DUMMYFUNCTION(" GOOGLETRANSLATE(A73, ""en"", ""am"")"),"72")</f>
        <v>72</v>
      </c>
      <c r="H73" s="8" t="str">
        <f>IFERROR(__xludf.DUMMYFUNCTION(" GOOGLETRANSLATE(B73, ""en"", ""am"")"),"ጀማሪ ተጫዋች በበገና እንዴት ይወስናል?")</f>
        <v>ጀማሪ ተጫዋች በበገና እንዴት ይወስናል?</v>
      </c>
      <c r="I73" s="8" t="str">
        <f>IFERROR(__xludf.DUMMYFUNCTION(" GOOGLETRANSLATE(C73, ""en"", ""am"")"),"ሀ. በዳኛ ውሳኔ ለ. በትልቁ ተጫዋች ሐ. የዘፈቀደ ስዕል መ. በአንድ ሳንቲም")</f>
        <v>ሀ. በዳኛ ውሳኔ ለ. በትልቁ ተጫዋች ሐ. የዘፈቀደ ስዕል መ. በአንድ ሳንቲም</v>
      </c>
      <c r="J73" s="8" t="str">
        <f>IFERROR(__xludf.DUMMYFUNCTION(" GOOGLETRANSLATE(D73, ""en"", ""am"")"),"የመነሻ ተጫዋች የሚወሰነው በሳንቲም መጣል ነው።")</f>
        <v>የመነሻ ተጫዋች የሚወሰነው በሳንቲም መጣል ነው።</v>
      </c>
      <c r="K73" s="8" t="str">
        <f>IFERROR(__xludf.DUMMYFUNCTION(" GOOGLETRANSLATE(E73, ""en"", ""am"")"),"የመነሻ ተጫዋች የሚወሰነው በሳንቲም መጣል ነው።")</f>
        <v>የመነሻ ተጫዋች የሚወሰነው በሳንቲም መጣል ነው።</v>
      </c>
    </row>
    <row r="74" ht="22.5" customHeight="1">
      <c r="A74" s="6">
        <v>73.0</v>
      </c>
      <c r="B74" s="7" t="s">
        <v>225</v>
      </c>
      <c r="C74" s="7" t="s">
        <v>226</v>
      </c>
      <c r="D74" s="7" t="s">
        <v>227</v>
      </c>
      <c r="E74" s="7" t="s">
        <v>227</v>
      </c>
      <c r="G74" s="8" t="str">
        <f>IFERROR(__xludf.DUMMYFUNCTION(" GOOGLETRANSLATE(A74, ""en"", ""am"")"),"73")</f>
        <v>73</v>
      </c>
      <c r="H74" s="8" t="str">
        <f>IFERROR(__xludf.DUMMYFUNCTION(" GOOGLETRANSLATE(B74, ""en"", ""am"")"),"ኳሱ በአንድ ጊዜ ሁለት ምልክቶችን ቢመታ ምን ይሆናል?")</f>
        <v>ኳሱ በአንድ ጊዜ ሁለት ምልክቶችን ቢመታ ምን ይሆናል?</v>
      </c>
      <c r="I74" s="8" t="str">
        <f>IFERROR(__xludf.DUMMYFUNCTION(" GOOGLETRANSLATE(C74, ""en"", ""am"")"),"ሀ. የመጀመሪያዎቹ ጥቂት ኩዊሎች ብቻ ይቆጠራሉ። ለ. ምንም ነጥብ አልተሰጠም። ሐ. መወርወሩ ልክ ያልሆነ ነው። መ. ነጥቦች ለሁለቱም ተሰጥተዋል.")</f>
        <v>ሀ. የመጀመሪያዎቹ ጥቂት ኩዊሎች ብቻ ይቆጠራሉ። ለ. ምንም ነጥብ አልተሰጠም። ሐ. መወርወሩ ልክ ያልሆነ ነው። መ. ነጥቦች ለሁለቱም ተሰጥተዋል.</v>
      </c>
      <c r="J74" s="8" t="str">
        <f>IFERROR(__xludf.DUMMYFUNCTION(" GOOGLETRANSLATE(D74, ""en"", ""am"")"),"አንድ ኳስ በአንድ ጊዜ ሁለት የኩይ ኳሶችን ቢመታ ሁለቱም ለአንድ ነጥብ ይቆጠራሉ።")</f>
        <v>አንድ ኳስ በአንድ ጊዜ ሁለት የኩይ ኳሶችን ቢመታ ሁለቱም ለአንድ ነጥብ ይቆጠራሉ።</v>
      </c>
      <c r="K74" s="8" t="str">
        <f>IFERROR(__xludf.DUMMYFUNCTION(" GOOGLETRANSLATE(E74, ""en"", ""am"")"),"አንድ ኳስ በአንድ ጊዜ ሁለት የኩይ ኳሶችን ቢመታ ሁለቱም ለአንድ ነጥብ ይቆጠራሉ።")</f>
        <v>አንድ ኳስ በአንድ ጊዜ ሁለት የኩይ ኳሶችን ቢመታ ሁለቱም ለአንድ ነጥብ ይቆጠራሉ።</v>
      </c>
    </row>
    <row r="75" ht="22.5" customHeight="1">
      <c r="A75" s="6">
        <v>74.0</v>
      </c>
      <c r="B75" s="7" t="s">
        <v>228</v>
      </c>
      <c r="C75" s="7" t="s">
        <v>229</v>
      </c>
      <c r="D75" s="7" t="s">
        <v>230</v>
      </c>
      <c r="E75" s="7" t="s">
        <v>230</v>
      </c>
      <c r="G75" s="8" t="str">
        <f>IFERROR(__xludf.DUMMYFUNCTION(" GOOGLETRANSLATE(A75, ""en"", ""am"")"),"74")</f>
        <v>74</v>
      </c>
      <c r="H75" s="8" t="str">
        <f>IFERROR(__xludf.DUMMYFUNCTION(" GOOGLETRANSLATE(B75, ""en"", ""am"")"),"በቆሻሻ መስመር እና በመጠምዘዣዎች መካከል የሚፈለገው ርቀት ምን ያህል ነው?")</f>
        <v>በቆሻሻ መስመር እና በመጠምዘዣዎች መካከል የሚፈለገው ርቀት ምን ያህል ነው?</v>
      </c>
      <c r="I75" s="8" t="str">
        <f>IFERROR(__xludf.DUMMYFUNCTION(" GOOGLETRANSLATE(C75, ""en"", ""am"")"),"አ. 5 ሜትር ለ 7 ሜትር ሐ. 10 ሜትር መ. 5 ሜትር")</f>
        <v>አ. 5 ሜትር ለ 7 ሜትር ሐ. 10 ሜትር መ. 5 ሜትር</v>
      </c>
      <c r="J75" s="8" t="str">
        <f>IFERROR(__xludf.DUMMYFUNCTION(" GOOGLETRANSLATE(D75, ""en"", ""am"")"),"የመቁረጫው መስመር ከመጠምዘዣዎቹ 5 ሜትር ርቀት ላይ መሆን አለበት.")</f>
        <v>የመቁረጫው መስመር ከመጠምዘዣዎቹ 5 ሜትር ርቀት ላይ መሆን አለበት.</v>
      </c>
      <c r="K75" s="8" t="str">
        <f>IFERROR(__xludf.DUMMYFUNCTION(" GOOGLETRANSLATE(E75, ""en"", ""am"")"),"የመቁረጫው መስመር ከመጠምዘዣዎቹ 5 ሜትር ርቀት ላይ መሆን አለበት.")</f>
        <v>የመቁረጫው መስመር ከመጠምዘዣዎቹ 5 ሜትር ርቀት ላይ መሆን አለበት.</v>
      </c>
    </row>
    <row r="76" ht="22.5" customHeight="1">
      <c r="A76" s="6">
        <v>75.0</v>
      </c>
      <c r="B76" s="7" t="s">
        <v>231</v>
      </c>
      <c r="C76" s="7" t="s">
        <v>232</v>
      </c>
      <c r="D76" s="7" t="s">
        <v>233</v>
      </c>
      <c r="E76" s="7" t="s">
        <v>233</v>
      </c>
      <c r="G76" s="8" t="str">
        <f>IFERROR(__xludf.DUMMYFUNCTION(" GOOGLETRANSLATE(A76, ""en"", ""am"")"),"75")</f>
        <v>75</v>
      </c>
      <c r="H76" s="8" t="str">
        <f>IFERROR(__xludf.DUMMYFUNCTION(" GOOGLETRANSLATE(B76, ""en"", ""am"")"),"አንድ ተጫዋች ሆን ብሎ ጨዋታውን ሊያዘገየው ይችላል?")</f>
        <v>አንድ ተጫዋች ሆን ብሎ ጨዋታውን ሊያዘገየው ይችላል?</v>
      </c>
      <c r="I76" s="8" t="str">
        <f>IFERROR(__xludf.DUMMYFUNCTION(" GOOGLETRANSLATE(C76, ""en"", ""am"")"),"መ. አይደለም፣ ከህጎቹ ጋር የሚጋጭ ነው። ለ. ሁለቱም ተጫዋቾች ከተስማሙ ብቻ። ሐ. አዎ፣ ግን አንድ ጊዜ ብቻ። መ. አይ፣ ከህጎቹ ጋር የሚጋጭ ነው።")</f>
        <v>መ. አይደለም፣ ከህጎቹ ጋር የሚጋጭ ነው። ለ. ሁለቱም ተጫዋቾች ከተስማሙ ብቻ። ሐ. አዎ፣ ግን አንድ ጊዜ ብቻ። መ. አይ፣ ከህጎቹ ጋር የሚጋጭ ነው።</v>
      </c>
      <c r="J76" s="8" t="str">
        <f>IFERROR(__xludf.DUMMYFUNCTION(" GOOGLETRANSLATE(D76, ""en"", ""am"")"),"ሆን ተብሎ መዘግየት የገናን ህግ ይቃረናል.")</f>
        <v>ሆን ተብሎ መዘግየት የገናን ህግ ይቃረናል.</v>
      </c>
      <c r="K76" s="8" t="str">
        <f>IFERROR(__xludf.DUMMYFUNCTION(" GOOGLETRANSLATE(E76, ""en"", ""am"")"),"ሆን ተብሎ መዘግየት የገናን ህግ ይቃረናል.")</f>
        <v>ሆን ተብሎ መዘግየት የገናን ህግ ይቃረናል.</v>
      </c>
    </row>
    <row r="77" ht="22.5" customHeight="1">
      <c r="A77" s="6">
        <v>76.0</v>
      </c>
      <c r="B77" s="7" t="s">
        <v>234</v>
      </c>
      <c r="C77" s="7" t="s">
        <v>235</v>
      </c>
      <c r="D77" s="7" t="s">
        <v>236</v>
      </c>
      <c r="E77" s="7" t="s">
        <v>236</v>
      </c>
      <c r="G77" s="8" t="str">
        <f>IFERROR(__xludf.DUMMYFUNCTION(" GOOGLETRANSLATE(A77, ""en"", ""am"")"),"76")</f>
        <v>76</v>
      </c>
      <c r="H77" s="8" t="str">
        <f>IFERROR(__xludf.DUMMYFUNCTION(" GOOGLETRANSLATE(B77, ""en"", ""am"")"),"ኳስ ድንበሩ ላይ ቢያርፍ ነገር ግን ምንም አይነት ኩዊልስ ካልነካው ምን ይከሰታል?")</f>
        <v>ኳስ ድንበሩ ላይ ቢያርፍ ነገር ግን ምንም አይነት ኩዊልስ ካልነካው ምን ይከሰታል?</v>
      </c>
      <c r="I77" s="8" t="str">
        <f>IFERROR(__xludf.DUMMYFUNCTION(" GOOGLETRANSLATE(C77, ""en"", ""am"")"),"ሀ. ግማሽ ነጥብ ተሸልሟል ለ. ሽክርክሩ ጠፍቷል። ሐ. መወርወሩ ተደግሟል። መ. ምንም ነጥብ አልተሰጠም።")</f>
        <v>ሀ. ግማሽ ነጥብ ተሸልሟል ለ. ሽክርክሩ ጠፍቷል። ሐ. መወርወሩ ተደግሟል። መ. ምንም ነጥብ አልተሰጠም።</v>
      </c>
      <c r="J77" s="8" t="str">
        <f>IFERROR(__xludf.DUMMYFUNCTION(" GOOGLETRANSLATE(D77, ""en"", ""am"")"),"ምንም ኩዊሎች ካልተነኩ ምንም ነጥብ አይሰጡም.")</f>
        <v>ምንም ኩዊሎች ካልተነኩ ምንም ነጥብ አይሰጡም.</v>
      </c>
      <c r="K77" s="8" t="str">
        <f>IFERROR(__xludf.DUMMYFUNCTION(" GOOGLETRANSLATE(E77, ""en"", ""am"")"),"ምንም ኩዊሎች ካልተነኩ ምንም ነጥብ አይሰጡም.")</f>
        <v>ምንም ኩዊሎች ካልተነኩ ምንም ነጥብ አይሰጡም.</v>
      </c>
    </row>
    <row r="78" ht="22.5" customHeight="1">
      <c r="A78" s="6">
        <v>77.0</v>
      </c>
      <c r="B78" s="7" t="s">
        <v>237</v>
      </c>
      <c r="C78" s="7" t="s">
        <v>238</v>
      </c>
      <c r="D78" s="7" t="s">
        <v>239</v>
      </c>
      <c r="E78" s="7" t="s">
        <v>239</v>
      </c>
      <c r="G78" s="8" t="str">
        <f>IFERROR(__xludf.DUMMYFUNCTION(" GOOGLETRANSLATE(A78, ""en"", ""am"")"),"77")</f>
        <v>77</v>
      </c>
      <c r="H78" s="8" t="str">
        <f>IFERROR(__xludf.DUMMYFUNCTION(" GOOGLETRANSLATE(B78, ""en"", ""am"")"),"አንድ ተጫዋች በተራ ቢወረውር ህጉ ምንድን ነው?")</f>
        <v>አንድ ተጫዋች በተራ ቢወረውር ህጉ ምንድን ነው?</v>
      </c>
      <c r="I78" s="8" t="str">
        <f>IFERROR(__xludf.DUMMYFUNCTION(" GOOGLETRANSLATE(C78, ""en"", ""am"")"),"ሀ. ተጫዋቹ ተራ ያጣል። ለ. ጨዋታው እንደገና ይጀምራል። ሐ. መወርወሩ ተደግሟል። መ. መወርወሩ ልክ ያልሆነ ነው።")</f>
        <v>ሀ. ተጫዋቹ ተራ ያጣል። ለ. ጨዋታው እንደገና ይጀምራል። ሐ. መወርወሩ ተደግሟል። መ. መወርወሩ ልክ ያልሆነ ነው።</v>
      </c>
      <c r="J78" s="8" t="str">
        <f>IFERROR(__xludf.DUMMYFUNCTION(" GOOGLETRANSLATE(D78, ""en"", ""am"")"),"በተራው የተሰሩ ውርወራዎች ገና በገና ላይ የሚሰሩ አይደሉም።")</f>
        <v>በተራው የተሰሩ ውርወራዎች ገና በገና ላይ የሚሰሩ አይደሉም።</v>
      </c>
      <c r="K78" s="8" t="str">
        <f>IFERROR(__xludf.DUMMYFUNCTION(" GOOGLETRANSLATE(E78, ""en"", ""am"")"),"በተራው የተሰሩ ውርወራዎች ገና በገና ላይ የሚሰሩ አይደሉም።")</f>
        <v>በተራው የተሰሩ ውርወራዎች ገና በገና ላይ የሚሰሩ አይደሉም።</v>
      </c>
    </row>
    <row r="79" ht="22.5" customHeight="1">
      <c r="A79" s="6">
        <v>78.0</v>
      </c>
      <c r="B79" s="7" t="s">
        <v>240</v>
      </c>
      <c r="C79" s="7" t="s">
        <v>241</v>
      </c>
      <c r="D79" s="7" t="s">
        <v>242</v>
      </c>
      <c r="E79" s="7" t="s">
        <v>242</v>
      </c>
      <c r="G79" s="8" t="str">
        <f>IFERROR(__xludf.DUMMYFUNCTION(" GOOGLETRANSLATE(A79, ""en"", ""am"")"),"78")</f>
        <v>78</v>
      </c>
      <c r="H79" s="8" t="str">
        <f>IFERROR(__xludf.DUMMYFUNCTION(" GOOGLETRANSLATE(B79, ""en"", ""am"")"),"ኳሱ የሜዳውን ጠርዝ በመምታት ወደ ኋላ ቢመለስ ምን ይሆናል?")</f>
        <v>ኳሱ የሜዳውን ጠርዝ በመምታት ወደ ኋላ ቢመለስ ምን ይሆናል?</v>
      </c>
      <c r="I79" s="8" t="str">
        <f>IFERROR(__xludf.DUMMYFUNCTION(" GOOGLETRANSLATE(C79, ""en"", ""am"")"),"ሀ. ምንም ነጥብ አልተሰጠም። ለ. መዞሩ ጠፍቷል። ሐ. መወርወሩ ልክ ያልሆነ ነው። መ. የተሸለሙ ነጥቦች")</f>
        <v>ሀ. ምንም ነጥብ አልተሰጠም። ለ. መዞሩ ጠፍቷል። ሐ. መወርወሩ ልክ ያልሆነ ነው። መ. የተሸለሙ ነጥቦች</v>
      </c>
      <c r="J79" s="8" t="str">
        <f>IFERROR(__xludf.DUMMYFUNCTION(" GOOGLETRANSLATE(D79, ""en"", ""am"")"),"ወደ ጨዋታ የተመለሱት ኳሶች አሁንም ኳሶችን ቢመቱ ነጥብ ያገኛሉ።")</f>
        <v>ወደ ጨዋታ የተመለሱት ኳሶች አሁንም ኳሶችን ቢመቱ ነጥብ ያገኛሉ።</v>
      </c>
      <c r="K79" s="8" t="str">
        <f>IFERROR(__xludf.DUMMYFUNCTION(" GOOGLETRANSLATE(E79, ""en"", ""am"")"),"ወደ ጨዋታ የተመለሱት ኳሶች አሁንም ኳሶችን ቢመቱ ነጥብ ያገኛሉ።")</f>
        <v>ወደ ጨዋታ የተመለሱት ኳሶች አሁንም ኳሶችን ቢመቱ ነጥብ ያገኛሉ።</v>
      </c>
    </row>
    <row r="80" ht="22.5" customHeight="1">
      <c r="A80" s="6">
        <v>79.0</v>
      </c>
      <c r="B80" s="7" t="s">
        <v>243</v>
      </c>
      <c r="C80" s="7" t="s">
        <v>244</v>
      </c>
      <c r="D80" s="7" t="s">
        <v>245</v>
      </c>
      <c r="E80" s="7" t="s">
        <v>245</v>
      </c>
      <c r="G80" s="8" t="str">
        <f>IFERROR(__xludf.DUMMYFUNCTION(" GOOGLETRANSLATE(A80, ""en"", ""am"")"),"79")</f>
        <v>79</v>
      </c>
      <c r="H80" s="8" t="str">
        <f>IFERROR(__xludf.DUMMYFUNCTION(" GOOGLETRANSLATE(B80, ""en"", ""am"")"),"አንድ ተጫዋች ከመወርወሩ በፊት የዒላማውን ዞን ማስታወቅ ቢረሳው ምን ይሆናል?")</f>
        <v>አንድ ተጫዋች ከመወርወሩ በፊት የዒላማውን ዞን ማስታወቅ ቢረሳው ምን ይሆናል?</v>
      </c>
      <c r="I80" s="8" t="str">
        <f>IFERROR(__xludf.DUMMYFUNCTION(" GOOGLETRANSLATE(C80, ""en"", ""am"")"),"ሀ. ምንም ቅጣት የለም. ለ. ነጥቦቹ በግማሽ ተከፍለዋል ሐ. መዞሩ ጠፍቷል። መ. መወርወሩ ልክ ያልሆነ ነው።")</f>
        <v>ሀ. ምንም ቅጣት የለም. ለ. ነጥቦቹ በግማሽ ተከፍለዋል ሐ. መዞሩ ጠፍቷል። መ. መወርወሩ ልክ ያልሆነ ነው።</v>
      </c>
      <c r="J80" s="8" t="str">
        <f>IFERROR(__xludf.DUMMYFUNCTION(" GOOGLETRANSLATE(D80, ""en"", ""am"")"),"ከመወርወሩ በፊት የታለመውን ዞን ማስታወቅ ግዴታ ነው.")</f>
        <v>ከመወርወሩ በፊት የታለመውን ዞን ማስታወቅ ግዴታ ነው.</v>
      </c>
      <c r="K80" s="8" t="str">
        <f>IFERROR(__xludf.DUMMYFUNCTION(" GOOGLETRANSLATE(E80, ""en"", ""am"")"),"ከመወርወሩ በፊት የታለመውን ዞን ማስታወቅ ግዴታ ነው.")</f>
        <v>ከመወርወሩ በፊት የታለመውን ዞን ማስታወቅ ግዴታ ነው.</v>
      </c>
    </row>
    <row r="81" ht="22.5" customHeight="1">
      <c r="A81" s="6">
        <v>80.0</v>
      </c>
      <c r="B81" s="7" t="s">
        <v>246</v>
      </c>
      <c r="C81" s="7" t="s">
        <v>247</v>
      </c>
      <c r="D81" s="7" t="s">
        <v>248</v>
      </c>
      <c r="E81" s="7" t="s">
        <v>248</v>
      </c>
      <c r="G81" s="8" t="str">
        <f>IFERROR(__xludf.DUMMYFUNCTION(" GOOGLETRANSLATE(A81, ""en"", ""am"")"),"80")</f>
        <v>80</v>
      </c>
      <c r="H81" s="8" t="str">
        <f>IFERROR(__xludf.DUMMYFUNCTION(" GOOGLETRANSLATE(B81, ""en"", ""am"")"),"ተጫዋቾች በጨዋታ ጊዜ የሚጠቀሙበትን ኳስ መቀየር ይችላሉ?")</f>
        <v>ተጫዋቾች በጨዋታ ጊዜ የሚጠቀሙበትን ኳስ መቀየር ይችላሉ?</v>
      </c>
      <c r="I81" s="8" t="str">
        <f>IFERROR(__xludf.DUMMYFUNCTION(" GOOGLETRANSLATE(C81, ""en"", ""am"")"),"A. አይ, አይፈቀድም. ለ. በዳኛው ይሁንታ ብቻ። ሐ. በ D ዙሮች መካከል ብቻ። በዳኛው ይሁንታ ብቻ።")</f>
        <v>A. አይ, አይፈቀድም. ለ. በዳኛው ይሁንታ ብቻ። ሐ. በ D ዙሮች መካከል ብቻ። በዳኛው ይሁንታ ብቻ።</v>
      </c>
      <c r="J81" s="8" t="str">
        <f>IFERROR(__xludf.DUMMYFUNCTION(" GOOGLETRANSLATE(D81, ""en"", ""am"")"),"ተጫዋቾች ኳሳቸውን መቀየር የሚችሉት በዳኛው ይሁንታ ብቻ ነው።")</f>
        <v>ተጫዋቾች ኳሳቸውን መቀየር የሚችሉት በዳኛው ይሁንታ ብቻ ነው።</v>
      </c>
      <c r="K81" s="8" t="str">
        <f>IFERROR(__xludf.DUMMYFUNCTION(" GOOGLETRANSLATE(E81, ""en"", ""am"")"),"ተጫዋቾች ኳሳቸውን መቀየር የሚችሉት በዳኛው ይሁንታ ብቻ ነው።")</f>
        <v>ተጫዋቾች ኳሳቸውን መቀየር የሚችሉት በዳኛው ይሁንታ ብቻ ነው።</v>
      </c>
    </row>
    <row r="82" ht="22.5" customHeight="1">
      <c r="A82" s="6">
        <v>81.0</v>
      </c>
      <c r="B82" s="7" t="s">
        <v>249</v>
      </c>
      <c r="C82" s="7" t="s">
        <v>250</v>
      </c>
      <c r="D82" s="7" t="s">
        <v>251</v>
      </c>
      <c r="E82" s="7" t="s">
        <v>251</v>
      </c>
      <c r="G82" s="8" t="str">
        <f>IFERROR(__xludf.DUMMYFUNCTION(" GOOGLETRANSLATE(A82, ""en"", ""am"")"),"81")</f>
        <v>81</v>
      </c>
      <c r="H82" s="8" t="str">
        <f>IFERROR(__xludf.DUMMYFUNCTION(" GOOGLETRANSLATE(B82, ""en"", ""am"")"),"በሚወረወርበት ጊዜ ኳስ ከተጎዳ ምን ይከሰታል?")</f>
        <v>በሚወረወርበት ጊዜ ኳስ ከተጎዳ ምን ይከሰታል?</v>
      </c>
      <c r="I82" s="8" t="str">
        <f>IFERROR(__xludf.DUMMYFUNCTION(" GOOGLETRANSLATE(C82, ""en"", ""am"")"),"ሀ አዲስ ኳስ ዝግጁ ነው። ለ. መወርወሩ ተደግሟል። ሐ. ጨዋታው ባለበት ቆሟል። መ. አዲስ ኳስ ዝግጁ ነው።")</f>
        <v>ሀ አዲስ ኳስ ዝግጁ ነው። ለ. መወርወሩ ተደግሟል። ሐ. ጨዋታው ባለበት ቆሟል። መ. አዲስ ኳስ ዝግጁ ነው።</v>
      </c>
      <c r="J82" s="8" t="str">
        <f>IFERROR(__xludf.DUMMYFUNCTION(" GOOGLETRANSLATE(D82, ""en"", ""am"")"),"የተበላሸውን ለመተካት አዲስ ኳስ ይቀርባል.")</f>
        <v>የተበላሸውን ለመተካት አዲስ ኳስ ይቀርባል.</v>
      </c>
      <c r="K82" s="8" t="str">
        <f>IFERROR(__xludf.DUMMYFUNCTION(" GOOGLETRANSLATE(E82, ""en"", ""am"")"),"የተበላሸውን ለመተካት አዲስ ኳስ ይቀርባል.")</f>
        <v>የተበላሸውን ለመተካት አዲስ ኳስ ይቀርባል.</v>
      </c>
    </row>
    <row r="83" ht="22.5" customHeight="1">
      <c r="A83" s="6">
        <v>82.0</v>
      </c>
      <c r="B83" s="7" t="s">
        <v>252</v>
      </c>
      <c r="C83" s="7" t="s">
        <v>253</v>
      </c>
      <c r="D83" s="7" t="s">
        <v>254</v>
      </c>
      <c r="E83" s="9">
        <v>1.0</v>
      </c>
      <c r="G83" s="8" t="str">
        <f>IFERROR(__xludf.DUMMYFUNCTION(" GOOGLETRANSLATE(A83, ""en"", ""am"")"),"82")</f>
        <v>82</v>
      </c>
      <c r="H83" s="8" t="str">
        <f>IFERROR(__xludf.DUMMYFUNCTION(" GOOGLETRANSLATE(B83, ""en"", ""am"")"),"በአንድ ዙር ውስጥ የሚፈቀደው ከፍተኛው የመወርወር ብዛት ስንት ነው?")</f>
        <v>በአንድ ዙር ውስጥ የሚፈቀደው ከፍተኛው የመወርወር ብዛት ስንት ነው?</v>
      </c>
      <c r="I83" s="8" t="str">
        <f>IFERROR(__xludf.DUMMYFUNCTION(" GOOGLETRANSLATE(C83, ""en"", ""am"")"),"አ.2 ለ. 3 ሐ. 4 ዲ. 1")</f>
        <v>አ.2 ለ. 3 ሐ. 4 ዲ. 1</v>
      </c>
      <c r="J83" s="8" t="str">
        <f>IFERROR(__xludf.DUMMYFUNCTION(" GOOGLETRANSLATE(D83, ""en"", ""am"")"),"1")</f>
        <v>1</v>
      </c>
      <c r="K83" s="8" t="str">
        <f>IFERROR(__xludf.DUMMYFUNCTION(" GOOGLETRANSLATE(E83, ""en"", ""am"")"),"1")</f>
        <v>1</v>
      </c>
    </row>
    <row r="84" ht="22.5" customHeight="1">
      <c r="A84" s="6">
        <v>83.0</v>
      </c>
      <c r="B84" s="7" t="s">
        <v>255</v>
      </c>
      <c r="C84" s="7" t="s">
        <v>256</v>
      </c>
      <c r="D84" s="7" t="s">
        <v>257</v>
      </c>
      <c r="E84" s="7" t="s">
        <v>257</v>
      </c>
      <c r="G84" s="8" t="str">
        <f>IFERROR(__xludf.DUMMYFUNCTION(" GOOGLETRANSLATE(A84, ""en"", ""am"")"),"83")</f>
        <v>83</v>
      </c>
      <c r="H84" s="8" t="str">
        <f>IFERROR(__xludf.DUMMYFUNCTION(" GOOGLETRANSLATE(B84, ""en"", ""am"")"),"አንድ ተጫዋች የተሳሳተ ክብደት ያለው ኳስ ቢጠቀም ምን ይከሰታል?")</f>
        <v>አንድ ተጫዋች የተሳሳተ ክብደት ያለው ኳስ ቢጠቀም ምን ይከሰታል?</v>
      </c>
      <c r="I84" s="8" t="str">
        <f>IFERROR(__xludf.DUMMYFUNCTION(" GOOGLETRANSLATE(C84, ""en"", ""am"")"),"ሀ. መወርወሩ ልክ ያልሆነ ነው። ለ. ተጫዋቹ ውድቅ ተደርጓል። ሐ. ነጥቦች ተቀንሰዋል መ. መወርወሩ ልክ ያልሆነ ነው።")</f>
        <v>ሀ. መወርወሩ ልክ ያልሆነ ነው። ለ. ተጫዋቹ ውድቅ ተደርጓል። ሐ. ነጥቦች ተቀንሰዋል መ. መወርወሩ ልክ ያልሆነ ነው።</v>
      </c>
      <c r="J84" s="8" t="str">
        <f>IFERROR(__xludf.DUMMYFUNCTION(" GOOGLETRANSLATE(D84, ""en"", ""am"")"),"ትክክል ያልሆነ ክብደት ያለው ኳስ መጠቀም መወርወሩን ያበላሻል።")</f>
        <v>ትክክል ያልሆነ ክብደት ያለው ኳስ መጠቀም መወርወሩን ያበላሻል።</v>
      </c>
      <c r="K84" s="8" t="str">
        <f>IFERROR(__xludf.DUMMYFUNCTION(" GOOGLETRANSLATE(E84, ""en"", ""am"")"),"ትክክል ያልሆነ ክብደት ያለው ኳስ መጠቀም መወርወሩን ያበላሻል።")</f>
        <v>ትክክል ያልሆነ ክብደት ያለው ኳስ መጠቀም መወርወሩን ያበላሻል።</v>
      </c>
    </row>
    <row r="85" ht="22.5" customHeight="1">
      <c r="A85" s="6">
        <v>84.0</v>
      </c>
      <c r="B85" s="7" t="s">
        <v>258</v>
      </c>
      <c r="C85" s="7" t="s">
        <v>259</v>
      </c>
      <c r="D85" s="7" t="s">
        <v>260</v>
      </c>
      <c r="E85" s="7" t="s">
        <v>260</v>
      </c>
      <c r="G85" s="8" t="str">
        <f>IFERROR(__xludf.DUMMYFUNCTION(" GOOGLETRANSLATE(A85, ""en"", ""am"")"),"84")</f>
        <v>84</v>
      </c>
      <c r="H85" s="8" t="str">
        <f>IFERROR(__xludf.DUMMYFUNCTION(" GOOGLETRANSLATE(B85, ""en"", ""am"")"),"በጨዋታ ጊዜ ተመልካቾች ለተጫዋቾች ምክር ሊሰጡ ይችላሉ?")</f>
        <v>በጨዋታ ጊዜ ተመልካቾች ለተጫዋቾች ምክር ሊሰጡ ይችላሉ?</v>
      </c>
      <c r="I85" s="8" t="str">
        <f>IFERROR(__xludf.DUMMYFUNCTION(" GOOGLETRANSLATE(C85, ""en"", ""am"")"),"A. አይ, አይፈቀድም. ለ. በእረፍት ጊዜ ብቻ ሐ. ዳኛው ከፈቀደ ብቻ ነው. መ. አይ, አይፈቀድም.")</f>
        <v>A. አይ, አይፈቀድም. ለ. በእረፍት ጊዜ ብቻ ሐ. ዳኛው ከፈቀደ ብቻ ነው. መ. አይ, አይፈቀድም.</v>
      </c>
      <c r="J85" s="8" t="str">
        <f>IFERROR(__xludf.DUMMYFUNCTION(" GOOGLETRANSLATE(D85, ""en"", ""am"")"),"በጨዋታው ወቅት ተመልካቾች ምክር እንዲሰጡ አይፈቀድላቸውም.")</f>
        <v>በጨዋታው ወቅት ተመልካቾች ምክር እንዲሰጡ አይፈቀድላቸውም.</v>
      </c>
      <c r="K85" s="8" t="str">
        <f>IFERROR(__xludf.DUMMYFUNCTION(" GOOGLETRANSLATE(E85, ""en"", ""am"")"),"በጨዋታው ወቅት ተመልካቾች ምክር እንዲሰጡ አይፈቀድላቸውም.")</f>
        <v>በጨዋታው ወቅት ተመልካቾች ምክር እንዲሰጡ አይፈቀድላቸውም.</v>
      </c>
    </row>
    <row r="86" ht="22.5" customHeight="1">
      <c r="A86" s="6">
        <v>85.0</v>
      </c>
      <c r="B86" s="7" t="s">
        <v>261</v>
      </c>
      <c r="C86" s="7" t="s">
        <v>262</v>
      </c>
      <c r="D86" s="7" t="s">
        <v>263</v>
      </c>
      <c r="E86" s="7" t="s">
        <v>263</v>
      </c>
      <c r="G86" s="8" t="str">
        <f>IFERROR(__xludf.DUMMYFUNCTION(" GOOGLETRANSLATE(A86, ""en"", ""am"")"),"85")</f>
        <v>85</v>
      </c>
      <c r="H86" s="8" t="str">
        <f>IFERROR(__xludf.DUMMYFUNCTION(" GOOGLETRANSLATE(B86, ""en"", ""am"")"),"ኳስ በአንድ ጊዜ ሁለት ዞኖችን ቢመታ ምን ይሆናል?")</f>
        <v>ኳስ በአንድ ጊዜ ሁለት ዞኖችን ቢመታ ምን ይሆናል?</v>
      </c>
      <c r="I86" s="8" t="str">
        <f>IFERROR(__xludf.DUMMYFUNCTION(" GOOGLETRANSLATE(C86, ""en"", ""am"")"),"ሀ. ምንም ነጥብ አልተሰጠም። ለ. ከፍተኛ ዞን ነጥቦች ቆጠራ. ሐ. ከታችኛው ዞን ቆጠራ. መ. ከፍተኛ ዞን ነጥቦች ቆጠራ.")</f>
        <v>ሀ. ምንም ነጥብ አልተሰጠም። ለ. ከፍተኛ ዞን ነጥቦች ቆጠራ. ሐ. ከታችኛው ዞን ቆጠራ. መ. ከፍተኛ ዞን ነጥቦች ቆጠራ.</v>
      </c>
      <c r="J86" s="8" t="str">
        <f>IFERROR(__xludf.DUMMYFUNCTION(" GOOGLETRANSLATE(D86, ""en"", ""am"")"),"ነጥቦች ለከፍተኛው የእሴት ዞን ተሸልመዋል።")</f>
        <v>ነጥቦች ለከፍተኛው የእሴት ዞን ተሸልመዋል።</v>
      </c>
      <c r="K86" s="8" t="str">
        <f>IFERROR(__xludf.DUMMYFUNCTION(" GOOGLETRANSLATE(E86, ""en"", ""am"")"),"ነጥቦች ለከፍተኛው የእሴት ዞን ተሸልመዋል።")</f>
        <v>ነጥቦች ለከፍተኛው የእሴት ዞን ተሸልመዋል።</v>
      </c>
    </row>
    <row r="87" ht="22.5" customHeight="1">
      <c r="A87" s="6">
        <v>86.0</v>
      </c>
      <c r="B87" s="7" t="s">
        <v>264</v>
      </c>
      <c r="C87" s="7" t="s">
        <v>265</v>
      </c>
      <c r="D87" s="7" t="s">
        <v>266</v>
      </c>
      <c r="E87" s="7" t="s">
        <v>266</v>
      </c>
      <c r="G87" s="8" t="str">
        <f>IFERROR(__xludf.DUMMYFUNCTION(" GOOGLETRANSLATE(A87, ""en"", ""am"")"),"86")</f>
        <v>86</v>
      </c>
      <c r="H87" s="8" t="str">
        <f>IFERROR(__xludf.DUMMYFUNCTION(" GOOGLETRANSLATE(B87, ""en"", ""am"")"),"ተጨዋቾች ከመስመር ምን ያህል ርቀው መቆም አለባቸው?")</f>
        <v>ተጨዋቾች ከመስመር ምን ያህል ርቀው መቆም አለባቸው?</v>
      </c>
      <c r="I87" s="8" t="str">
        <f>IFERROR(__xludf.DUMMYFUNCTION(" GOOGLETRANSLATE(C87, ""en"", ""am"")"),"አ.2 ሜትር B. 3 ሜትር ሐ. 4 ሜትር መ. 3 ሜትር")</f>
        <v>አ.2 ሜትር B. 3 ሜትር ሐ. 4 ሜትር መ. 3 ሜትር</v>
      </c>
      <c r="J87" s="8" t="str">
        <f>IFERROR(__xludf.DUMMYFUNCTION(" GOOGLETRANSLATE(D87, ""en"", ""am"")"),"ተጫዋቾች ከከፋው መስመር ቢያንስ 3 ሜትር ርቀት ላይ መቆም አለባቸው።")</f>
        <v>ተጫዋቾች ከከፋው መስመር ቢያንስ 3 ሜትር ርቀት ላይ መቆም አለባቸው።</v>
      </c>
      <c r="K87" s="8" t="str">
        <f>IFERROR(__xludf.DUMMYFUNCTION(" GOOGLETRANSLATE(E87, ""en"", ""am"")"),"ተጫዋቾች ከከፋው መስመር ቢያንስ 3 ሜትር ርቀት ላይ መቆም አለባቸው።")</f>
        <v>ተጫዋቾች ከከፋው መስመር ቢያንስ 3 ሜትር ርቀት ላይ መቆም አለባቸው።</v>
      </c>
    </row>
    <row r="88" ht="22.5" customHeight="1">
      <c r="A88" s="6">
        <v>87.0</v>
      </c>
      <c r="B88" s="7" t="s">
        <v>267</v>
      </c>
      <c r="C88" s="7" t="s">
        <v>268</v>
      </c>
      <c r="D88" s="7" t="s">
        <v>269</v>
      </c>
      <c r="E88" s="7" t="s">
        <v>269</v>
      </c>
      <c r="G88" s="8" t="str">
        <f>IFERROR(__xludf.DUMMYFUNCTION(" GOOGLETRANSLATE(A88, ""en"", ""am"")"),"87")</f>
        <v>87</v>
      </c>
      <c r="H88" s="8" t="str">
        <f>IFERROR(__xludf.DUMMYFUNCTION(" GOOGLETRANSLATE(B88, ""en"", ""am"")"),"ሌላ ኩዊል ገና በእንቅስቃሴ ላይ እያለ አንድ ተጫዋች ኩዊል ቢጥል ምን ይሆናል?")</f>
        <v>ሌላ ኩዊል ገና በእንቅስቃሴ ላይ እያለ አንድ ተጫዋች ኩዊል ቢጥል ምን ይሆናል?</v>
      </c>
      <c r="I88" s="8" t="str">
        <f>IFERROR(__xludf.DUMMYFUNCTION(" GOOGLETRANSLATE(C88, ""en"", ""am"")"),"ሀ. መዞሩ ጠፍቷል። ለ. ጨዋታው ባለበት ቆሟል። ሐ. መወርወሩ ተደግሟል። መ. መወርወሩ ልክ ያልሆነ ነው።")</f>
        <v>ሀ. መዞሩ ጠፍቷል። ለ. ጨዋታው ባለበት ቆሟል። ሐ. መወርወሩ ተደግሟል። መ. መወርወሩ ልክ ያልሆነ ነው።</v>
      </c>
      <c r="J88" s="8" t="str">
        <f>IFERROR(__xludf.DUMMYFUNCTION(" GOOGLETRANSLATE(D88, ""en"", ""am"")"),"ኳሱ ገና በእንቅስቃሴ ላይ እያለ የሚደረጉ ውርወራዎች ልክ አይደሉም።")</f>
        <v>ኳሱ ገና በእንቅስቃሴ ላይ እያለ የሚደረጉ ውርወራዎች ልክ አይደሉም።</v>
      </c>
      <c r="K88" s="8" t="str">
        <f>IFERROR(__xludf.DUMMYFUNCTION(" GOOGLETRANSLATE(E88, ""en"", ""am"")"),"ኳሱ ገና በእንቅስቃሴ ላይ እያለ የሚደረጉ ውርወራዎች ልክ አይደሉም።")</f>
        <v>ኳሱ ገና በእንቅስቃሴ ላይ እያለ የሚደረጉ ውርወራዎች ልክ አይደሉም።</v>
      </c>
    </row>
    <row r="89" ht="22.5" customHeight="1">
      <c r="A89" s="6">
        <v>88.0</v>
      </c>
      <c r="B89" s="7" t="s">
        <v>270</v>
      </c>
      <c r="C89" s="7" t="s">
        <v>271</v>
      </c>
      <c r="D89" s="7" t="s">
        <v>272</v>
      </c>
      <c r="E89" s="7" t="s">
        <v>272</v>
      </c>
      <c r="G89" s="8" t="str">
        <f>IFERROR(__xludf.DUMMYFUNCTION(" GOOGLETRANSLATE(A89, ""en"", ""am"")"),"88")</f>
        <v>88</v>
      </c>
      <c r="H89" s="8" t="str">
        <f>IFERROR(__xludf.DUMMYFUNCTION(" GOOGLETRANSLATE(B89, ""en"", ""am"")"),"አንድ ተጫዋች በተራቸው ጊዜ ድርጭቶችን ቦታ መጠየቅ ይችላል?")</f>
        <v>አንድ ተጫዋች በተራቸው ጊዜ ድርጭቶችን ቦታ መጠየቅ ይችላል?</v>
      </c>
      <c r="I89" s="8" t="str">
        <f>IFERROR(__xludf.DUMMYFUNCTION(" GOOGLETRANSLATE(C89, ""en"", ""am"")"),"አ. አይ ፣ በጭራሽ ለ. በዳኛው ይሁንታ ብቻ። ሐ. ኩዊሉ የተሳሳተ ከሆነ ብቻ። መ. ኩዊሉ የተሳሳተ ከሆነ ብቻ።")</f>
        <v>አ. አይ ፣ በጭራሽ ለ. በዳኛው ይሁንታ ብቻ። ሐ. ኩዊሉ የተሳሳተ ከሆነ ብቻ። መ. ኩዊሉ የተሳሳተ ከሆነ ብቻ።</v>
      </c>
      <c r="J89" s="8" t="str">
        <f>IFERROR(__xludf.DUMMYFUNCTION(" GOOGLETRANSLATE(D89, ""en"", ""am"")"),"ኩዊልስ ወደ ቦታው መመለስ የሚቻለው በተሳሳተ ቦታ ላይ ከተቀመጡ ብቻ ነው.")</f>
        <v>ኩዊልስ ወደ ቦታው መመለስ የሚቻለው በተሳሳተ ቦታ ላይ ከተቀመጡ ብቻ ነው.</v>
      </c>
      <c r="K89" s="8" t="str">
        <f>IFERROR(__xludf.DUMMYFUNCTION(" GOOGLETRANSLATE(E89, ""en"", ""am"")"),"ኩዊልስ ወደ ቦታው መመለስ የሚቻለው በተሳሳተ ቦታ ላይ ከተቀመጡ ብቻ ነው.")</f>
        <v>ኩዊልስ ወደ ቦታው መመለስ የሚቻለው በተሳሳተ ቦታ ላይ ከተቀመጡ ብቻ ነው.</v>
      </c>
    </row>
    <row r="90" ht="22.5" customHeight="1">
      <c r="A90" s="6">
        <v>89.0</v>
      </c>
      <c r="B90" s="7" t="s">
        <v>273</v>
      </c>
      <c r="C90" s="7" t="s">
        <v>274</v>
      </c>
      <c r="D90" s="7" t="s">
        <v>275</v>
      </c>
      <c r="E90" s="7" t="s">
        <v>275</v>
      </c>
      <c r="G90" s="8" t="str">
        <f>IFERROR(__xludf.DUMMYFUNCTION(" GOOGLETRANSLATE(A90, ""en"", ""am"")"),"89")</f>
        <v>89</v>
      </c>
      <c r="H90" s="8" t="str">
        <f>IFERROR(__xludf.DUMMYFUNCTION(" GOOGLETRANSLATE(B90, ""en"", ""am"")"),"ከዳኛው ጋር መጨቃጨቅ ውጤቱ ምን ይሆን?")</f>
        <v>ከዳኛው ጋር መጨቃጨቅ ውጤቱ ምን ይሆን?</v>
      </c>
      <c r="I90" s="8" t="str">
        <f>IFERROR(__xludf.DUMMYFUNCTION(" GOOGLETRANSLATE(C90, ""en"", ""am"")"),"ሀ. ወዲያውኑ ውድቅ ያድርጉ ለ. የማሽከርከር መጥፋት ሐ. የተቀነሱ ነጥቦች መ. የማሽከርከር መጥፋት")</f>
        <v>ሀ. ወዲያውኑ ውድቅ ያድርጉ ለ. የማሽከርከር መጥፋት ሐ. የተቀነሱ ነጥቦች መ. የማሽከርከር መጥፋት</v>
      </c>
      <c r="J90" s="8" t="str">
        <f>IFERROR(__xludf.DUMMYFUNCTION(" GOOGLETRANSLATE(D90, ""en"", ""am"")"),"ከዳኛው ጋር መጨቃጨቅ ተራ ማጣትን ያስከትላል።")</f>
        <v>ከዳኛው ጋር መጨቃጨቅ ተራ ማጣትን ያስከትላል።</v>
      </c>
      <c r="K90" s="8" t="str">
        <f>IFERROR(__xludf.DUMMYFUNCTION(" GOOGLETRANSLATE(E90, ""en"", ""am"")"),"ከዳኛው ጋር መጨቃጨቅ ተራ ማጣትን ያስከትላል።")</f>
        <v>ከዳኛው ጋር መጨቃጨቅ ተራ ማጣትን ያስከትላል።</v>
      </c>
    </row>
    <row r="91" ht="22.5" customHeight="1">
      <c r="A91" s="6">
        <v>90.0</v>
      </c>
      <c r="B91" s="7" t="s">
        <v>276</v>
      </c>
      <c r="C91" s="7" t="s">
        <v>277</v>
      </c>
      <c r="D91" s="7" t="s">
        <v>278</v>
      </c>
      <c r="E91" s="7" t="s">
        <v>278</v>
      </c>
      <c r="G91" s="8" t="str">
        <f>IFERROR(__xludf.DUMMYFUNCTION(" GOOGLETRANSLATE(A91, ""en"", ""am"")"),"90")</f>
        <v>90</v>
      </c>
      <c r="H91" s="8" t="str">
        <f>IFERROR(__xludf.DUMMYFUNCTION(" GOOGLETRANSLATE(B91, ""en"", ""am"")"),"አንድ ተጫዋች ከትዕዛዝ ውጪ ቢጫወት ምን ይሆናል?")</f>
        <v>አንድ ተጫዋች ከትዕዛዝ ውጪ ቢጫወት ምን ይሆናል?</v>
      </c>
      <c r="I91" s="8" t="str">
        <f>IFERROR(__xludf.DUMMYFUNCTION(" GOOGLETRANSLATE(C91, ""en"", ""am"")"),"ሀ. መዞሩ ጠፍቷል። ለ. ነጥቦች ተቀንሰዋል ሐ. ጨዋታው ባለበት ቆሟል። መ. መወርወሩ ልክ ያልሆነ ነው።")</f>
        <v>ሀ. መዞሩ ጠፍቷል። ለ. ነጥቦች ተቀንሰዋል ሐ. ጨዋታው ባለበት ቆሟል። መ. መወርወሩ ልክ ያልሆነ ነው።</v>
      </c>
      <c r="J91" s="8" t="str">
        <f>IFERROR(__xludf.DUMMYFUNCTION(" GOOGLETRANSLATE(D91, ""en"", ""am"")"),"ከቅደም ተከተል የተሰሩ ውርወራዎች ልክ አይደሉም።")</f>
        <v>ከቅደም ተከተል የተሰሩ ውርወራዎች ልክ አይደሉም።</v>
      </c>
      <c r="K91" s="8" t="str">
        <f>IFERROR(__xludf.DUMMYFUNCTION(" GOOGLETRANSLATE(E91, ""en"", ""am"")"),"ከቅደም ተከተል የተሰሩ ውርወራዎች ልክ አይደሉም።")</f>
        <v>ከቅደም ተከተል የተሰሩ ውርወራዎች ልክ አይደሉም።</v>
      </c>
    </row>
    <row r="92" ht="22.5" customHeight="1">
      <c r="A92" s="6">
        <v>91.0</v>
      </c>
      <c r="B92" s="7" t="s">
        <v>279</v>
      </c>
      <c r="C92" s="7" t="s">
        <v>280</v>
      </c>
      <c r="D92" s="7" t="s">
        <v>281</v>
      </c>
      <c r="E92" s="7" t="s">
        <v>281</v>
      </c>
      <c r="G92" s="8" t="str">
        <f>IFERROR(__xludf.DUMMYFUNCTION(" GOOGLETRANSLATE(A92, ""en"", ""am"")"),"91")</f>
        <v>91</v>
      </c>
      <c r="H92" s="8" t="str">
        <f>IFERROR(__xludf.DUMMYFUNCTION(" GOOGLETRANSLATE(B92, ""en"", ""am"")"),"አንድ ቡድን ተራ በተራ ተጫዋቾችን መቀየር ይችላል?")</f>
        <v>አንድ ቡድን ተራ በተራ ተጫዋቾችን መቀየር ይችላል?</v>
      </c>
      <c r="I92" s="8" t="str">
        <f>IFERROR(__xludf.DUMMYFUNCTION(" GOOGLETRANSLATE(C92, ""en"", ""am"")"),"A. አይ, አይፈቀድም. ለ. በዳኛው ይሁንታ ብቻ። ሐ. አንድ ዙር ካለቀ በኋላ ብቻ። መ. አንድ ዙር ካለቀ በኋላ ብቻ።")</f>
        <v>A. አይ, አይፈቀድም. ለ. በዳኛው ይሁንታ ብቻ። ሐ. አንድ ዙር ካለቀ በኋላ ብቻ። መ. አንድ ዙር ካለቀ በኋላ ብቻ።</v>
      </c>
      <c r="J92" s="8" t="str">
        <f>IFERROR(__xludf.DUMMYFUNCTION(" GOOGLETRANSLATE(D92, ""en"", ""am"")"),"ተጫዋቾች በየተራ መሀል መቀያየር የሚችሉት ከዙሩ መጨረሻ በኋላ ብቻ ነው።")</f>
        <v>ተጫዋቾች በየተራ መሀል መቀያየር የሚችሉት ከዙሩ መጨረሻ በኋላ ብቻ ነው።</v>
      </c>
      <c r="K92" s="8" t="str">
        <f>IFERROR(__xludf.DUMMYFUNCTION(" GOOGLETRANSLATE(E92, ""en"", ""am"")"),"ተጫዋቾች በየተራ መሀል መቀያየር የሚችሉት ከዙሩ መጨረሻ በኋላ ብቻ ነው።")</f>
        <v>ተጫዋቾች በየተራ መሀል መቀያየር የሚችሉት ከዙሩ መጨረሻ በኋላ ብቻ ነው።</v>
      </c>
    </row>
    <row r="93" ht="22.5" customHeight="1">
      <c r="A93" s="6">
        <v>92.0</v>
      </c>
      <c r="B93" s="7" t="s">
        <v>282</v>
      </c>
      <c r="C93" s="7" t="s">
        <v>283</v>
      </c>
      <c r="D93" s="7" t="s">
        <v>284</v>
      </c>
      <c r="E93" s="7" t="s">
        <v>284</v>
      </c>
      <c r="G93" s="8" t="str">
        <f>IFERROR(__xludf.DUMMYFUNCTION(" GOOGLETRANSLATE(A93, ""en"", ""am"")"),"92")</f>
        <v>92</v>
      </c>
      <c r="H93" s="8" t="str">
        <f>IFERROR(__xludf.DUMMYFUNCTION(" GOOGLETRANSLATE(B93, ""en"", ""am"")"),"ኳሱ የድንበሩን መስመር ቢነካው ግን በዞኑ ውስጥ ቢቆይ ምን ይሆናል?")</f>
        <v>ኳሱ የድንበሩን መስመር ቢነካው ግን በዞኑ ውስጥ ቢቆይ ምን ይሆናል?</v>
      </c>
      <c r="I93" s="8" t="str">
        <f>IFERROR(__xludf.DUMMYFUNCTION(" GOOGLETRANSLATE(C93, ""en"", ""am"")"),"ሀ. ምንም ነጥብ አልተሰጠም። ለ. መዞሩ ተደግሟል. ሐ. ግማሽ ነጥብ ተሸልሟል D. ነጥቦች ተሸልሟል")</f>
        <v>ሀ. ምንም ነጥብ አልተሰጠም። ለ. መዞሩ ተደግሟል. ሐ. ግማሽ ነጥብ ተሸልሟል D. ነጥቦች ተሸልሟል</v>
      </c>
      <c r="J93" s="8" t="str">
        <f>IFERROR(__xludf.DUMMYFUNCTION(" GOOGLETRANSLATE(D93, ""en"", ""am"")"),"ኳሱ በዞኑ ውስጥ እስካለ ድረስ, ነጥቦች ተሰጥተዋል.")</f>
        <v>ኳሱ በዞኑ ውስጥ እስካለ ድረስ, ነጥቦች ተሰጥተዋል.</v>
      </c>
      <c r="K93" s="8" t="str">
        <f>IFERROR(__xludf.DUMMYFUNCTION(" GOOGLETRANSLATE(E93, ""en"", ""am"")"),"ኳሱ በዞኑ ውስጥ እስካለ ድረስ, ነጥቦች ተሰጥተዋል.")</f>
        <v>ኳሱ በዞኑ ውስጥ እስካለ ድረስ, ነጥቦች ተሰጥተዋል.</v>
      </c>
    </row>
    <row r="94" ht="22.5" customHeight="1">
      <c r="A94" s="6">
        <v>93.0</v>
      </c>
      <c r="B94" s="7" t="s">
        <v>285</v>
      </c>
      <c r="C94" s="7" t="s">
        <v>286</v>
      </c>
      <c r="D94" s="7" t="s">
        <v>287</v>
      </c>
      <c r="E94" s="9">
        <v>3.0</v>
      </c>
      <c r="G94" s="8" t="str">
        <f>IFERROR(__xludf.DUMMYFUNCTION(" GOOGLETRANSLATE(A94, ""en"", ""am"")"),"93")</f>
        <v>93</v>
      </c>
      <c r="H94" s="8" t="str">
        <f>IFERROR(__xludf.DUMMYFUNCTION(" GOOGLETRANSLATE(B94, ""en"", ""am"")"),"በመደበኛ የገና መጫወቻ ሜዳ ላይ ስንት ዞኖች አሉ?")</f>
        <v>በመደበኛ የገና መጫወቻ ሜዳ ላይ ስንት ዞኖች አሉ?</v>
      </c>
      <c r="I94" s="8" t="str">
        <f>IFERROR(__xludf.DUMMYFUNCTION(" GOOGLETRANSLATE(C94, ""en"", ""am"")"),"አ.3 ለ 4 ሐ. 5 ዲ. 3")</f>
        <v>አ.3 ለ 4 ሐ. 5 ዲ. 3</v>
      </c>
      <c r="J94" s="8" t="str">
        <f>IFERROR(__xludf.DUMMYFUNCTION(" GOOGLETRANSLATE(D94, ""en"", ""am"")"),"3")</f>
        <v>3</v>
      </c>
      <c r="K94" s="8" t="str">
        <f>IFERROR(__xludf.DUMMYFUNCTION(" GOOGLETRANSLATE(E94, ""en"", ""am"")"),"3")</f>
        <v>3</v>
      </c>
    </row>
    <row r="95" ht="22.5" customHeight="1">
      <c r="A95" s="6">
        <v>94.0</v>
      </c>
      <c r="B95" s="7" t="s">
        <v>288</v>
      </c>
      <c r="C95" s="7" t="s">
        <v>217</v>
      </c>
      <c r="D95" s="7" t="s">
        <v>289</v>
      </c>
      <c r="E95" s="7" t="s">
        <v>289</v>
      </c>
      <c r="G95" s="8" t="str">
        <f>IFERROR(__xludf.DUMMYFUNCTION(" GOOGLETRANSLATE(A95, ""en"", ""am"")"),"94")</f>
        <v>94</v>
      </c>
      <c r="H95" s="8" t="str">
        <f>IFERROR(__xludf.DUMMYFUNCTION(" GOOGLETRANSLATE(B95, ""en"", ""am"")"),"ኩዊል ቢወድቅ ነገር ግን ከነጥብ ዞኑ ውጭ ቢቆይ ምን ይከሰታል?")</f>
        <v>ኩዊል ቢወድቅ ነገር ግን ከነጥብ ዞኑ ውጭ ቢቆይ ምን ይከሰታል?</v>
      </c>
      <c r="I95" s="8" t="str">
        <f>IFERROR(__xludf.DUMMYFUNCTION(" GOOGLETRANSLATE(C95, ""en"", ""am"")"),"ሀ. ምንም ነጥብ አልተሰጠም። ለ. ግማሽ ነጥብ ተሸልሟል ሐ. ሽክርክር ተደግሟል. መ. ምንም ነጥብ አልተሰጠም።")</f>
        <v>ሀ. ምንም ነጥብ አልተሰጠም። ለ. ግማሽ ነጥብ ተሸልሟል ሐ. ሽክርክር ተደግሟል. መ. ምንም ነጥብ አልተሰጠም።</v>
      </c>
      <c r="J95" s="8" t="str">
        <f>IFERROR(__xludf.DUMMYFUNCTION(" GOOGLETRANSLATE(D95, ""en"", ""am"")"),"ነጥቦችን ለመስጠት፣ ኩዊሎቹ በውጤት መስጫ ቦታ ውስጥ መውደቅ አለባቸው።")</f>
        <v>ነጥቦችን ለመስጠት፣ ኩዊሎቹ በውጤት መስጫ ቦታ ውስጥ መውደቅ አለባቸው።</v>
      </c>
      <c r="K95" s="8" t="str">
        <f>IFERROR(__xludf.DUMMYFUNCTION(" GOOGLETRANSLATE(E95, ""en"", ""am"")"),"ነጥቦችን ለመስጠት፣ ኩዊሎቹ በውጤት መስጫ ቦታ ውስጥ መውደቅ አለባቸው።")</f>
        <v>ነጥቦችን ለመስጠት፣ ኩዊሎቹ በውጤት መስጫ ቦታ ውስጥ መውደቅ አለባቸው።</v>
      </c>
    </row>
    <row r="96" ht="22.5" customHeight="1">
      <c r="A96" s="6">
        <v>95.0</v>
      </c>
      <c r="B96" s="7" t="s">
        <v>290</v>
      </c>
      <c r="C96" s="7" t="s">
        <v>291</v>
      </c>
      <c r="D96" s="7" t="s">
        <v>292</v>
      </c>
      <c r="E96" s="7" t="s">
        <v>292</v>
      </c>
      <c r="G96" s="8" t="str">
        <f>IFERROR(__xludf.DUMMYFUNCTION(" GOOGLETRANSLATE(A96, ""en"", ""am"")"),"95")</f>
        <v>95</v>
      </c>
      <c r="H96" s="8" t="str">
        <f>IFERROR(__xludf.DUMMYFUNCTION(" GOOGLETRANSLATE(B96, ""en"", ""am"")"),"በጨዋታ ጊዜ ተጫዋቾች የመጫወቻ ሜዳውን መቀየር ይችላሉ?")</f>
        <v>በጨዋታ ጊዜ ተጫዋቾች የመጫወቻ ሜዳውን መቀየር ይችላሉ?</v>
      </c>
      <c r="I96" s="8" t="str">
        <f>IFERROR(__xludf.DUMMYFUNCTION(" GOOGLETRANSLATE(C96, ""en"", ""am"")"),"A. አይ, አይፈቀድም. ለ. በዳኛው ይሁንታ ብቻ። ሐ. ጨዋታው ከመጀመሩ በፊት መ. በዳኛው ይሁንታ ብቻ።")</f>
        <v>A. አይ, አይፈቀድም. ለ. በዳኛው ይሁንታ ብቻ። ሐ. ጨዋታው ከመጀመሩ በፊት መ. በዳኛው ይሁንታ ብቻ።</v>
      </c>
      <c r="J96" s="8" t="str">
        <f>IFERROR(__xludf.DUMMYFUNCTION(" GOOGLETRANSLATE(D96, ""en"", ""am"")"),"የመጫወቻ ሜዳው መቀየር የሚቻለው በዳኛው ይሁንታ ብቻ ነው።")</f>
        <v>የመጫወቻ ሜዳው መቀየር የሚቻለው በዳኛው ይሁንታ ብቻ ነው።</v>
      </c>
      <c r="K96" s="8" t="str">
        <f>IFERROR(__xludf.DUMMYFUNCTION(" GOOGLETRANSLATE(E96, ""en"", ""am"")"),"የመጫወቻ ሜዳው መቀየር የሚቻለው በዳኛው ይሁንታ ብቻ ነው።")</f>
        <v>የመጫወቻ ሜዳው መቀየር የሚቻለው በዳኛው ይሁንታ ብቻ ነው።</v>
      </c>
    </row>
    <row r="97" ht="22.5" customHeight="1">
      <c r="A97" s="6">
        <v>96.0</v>
      </c>
      <c r="B97" s="7" t="s">
        <v>293</v>
      </c>
      <c r="C97" s="7" t="s">
        <v>294</v>
      </c>
      <c r="D97" s="7" t="s">
        <v>295</v>
      </c>
      <c r="E97" s="7" t="s">
        <v>295</v>
      </c>
      <c r="G97" s="8" t="str">
        <f>IFERROR(__xludf.DUMMYFUNCTION(" GOOGLETRANSLATE(A97, ""en"", ""am"")"),"96")</f>
        <v>96</v>
      </c>
      <c r="H97" s="8" t="str">
        <f>IFERROR(__xludf.DUMMYFUNCTION(" GOOGLETRANSLATE(B97, ""en"", ""am"")"),"በጨዋታ ጊዜ አፀያፊ ቃላትን መጠቀም ቅጣቱ ምንድን ነው?")</f>
        <v>በጨዋታ ጊዜ አፀያፊ ቃላትን መጠቀም ቅጣቱ ምንድን ነው?</v>
      </c>
      <c r="I97" s="8" t="str">
        <f>IFERROR(__xludf.DUMMYFUNCTION(" GOOGLETRANSLATE(C97, ""en"", ""am"")"),"ሀ. ወዲያውኑ ውድቅ ያድርጉ B. ነጥቦችን ማጣት ሐ. የማሽከርከር መጥፋት መ. የማሽከርከር መጥፋት")</f>
        <v>ሀ. ወዲያውኑ ውድቅ ያድርጉ B. ነጥቦችን ማጣት ሐ. የማሽከርከር መጥፋት መ. የማሽከርከር መጥፋት</v>
      </c>
      <c r="J97" s="8" t="str">
        <f>IFERROR(__xludf.DUMMYFUNCTION(" GOOGLETRANSLATE(D97, ""en"", ""am"")"),"አፀያፊ ቃላትን መጠቀም መዞርን ወደ ማጣት ሊያመራ ይችላል።")</f>
        <v>አፀያፊ ቃላትን መጠቀም መዞርን ወደ ማጣት ሊያመራ ይችላል።</v>
      </c>
      <c r="K97" s="8" t="str">
        <f>IFERROR(__xludf.DUMMYFUNCTION(" GOOGLETRANSLATE(E97, ""en"", ""am"")"),"አፀያፊ ቃላትን መጠቀም መዞርን ወደ ማጣት ሊያመራ ይችላል።")</f>
        <v>አፀያፊ ቃላትን መጠቀም መዞርን ወደ ማጣት ሊያመራ ይችላል።</v>
      </c>
    </row>
    <row r="98" ht="22.5" customHeight="1">
      <c r="A98" s="6">
        <v>97.0</v>
      </c>
      <c r="B98" s="7" t="s">
        <v>296</v>
      </c>
      <c r="C98" s="7" t="s">
        <v>297</v>
      </c>
      <c r="D98" s="7" t="s">
        <v>298</v>
      </c>
      <c r="E98" s="7" t="s">
        <v>298</v>
      </c>
      <c r="G98" s="8" t="str">
        <f>IFERROR(__xludf.DUMMYFUNCTION(" GOOGLETRANSLATE(A98, ""en"", ""am"")"),"97")</f>
        <v>97</v>
      </c>
      <c r="H98" s="8" t="str">
        <f>IFERROR(__xludf.DUMMYFUNCTION(" GOOGLETRANSLATE(B98, ""en"", ""am"")"),"አንድ ተጫዋች ጨዋታው ካለቀ በኋላ ውጤቱን መቃወም ይችላል?")</f>
        <v>አንድ ተጫዋች ጨዋታው ካለቀ በኋላ ውጤቱን መቃወም ይችላል?</v>
      </c>
      <c r="I98" s="8" t="str">
        <f>IFERROR(__xludf.DUMMYFUNCTION(" GOOGLETRANSLATE(C98, ""en"", ""am"")"),"A. አይ, አይፈቀድም. ለ. በ5 ደቂቃ ብቻ ሐ. በዳኛው ይሁንታ ብቻ። መ. በ 5 ደቂቃዎች ውስጥ")</f>
        <v>A. አይ, አይፈቀድም. ለ. በ5 ደቂቃ ብቻ ሐ. በዳኛው ይሁንታ ብቻ። መ. በ 5 ደቂቃዎች ውስጥ</v>
      </c>
      <c r="J98" s="8" t="str">
        <f>IFERROR(__xludf.DUMMYFUNCTION(" GOOGLETRANSLATE(D98, ""en"", ""am"")"),"ተጫዋቾች ነጥቦችን መጨቃጨቅ የሚችሉት ጨዋታው ካለቀ በ5 ደቂቃ ውስጥ ብቻ ነው።")</f>
        <v>ተጫዋቾች ነጥቦችን መጨቃጨቅ የሚችሉት ጨዋታው ካለቀ በ5 ደቂቃ ውስጥ ብቻ ነው።</v>
      </c>
      <c r="K98" s="8" t="str">
        <f>IFERROR(__xludf.DUMMYFUNCTION(" GOOGLETRANSLATE(E98, ""en"", ""am"")"),"ተጫዋቾች ነጥቦችን መጨቃጨቅ የሚችሉት ጨዋታው ካለቀ በ5 ደቂቃ ውስጥ ብቻ ነው።")</f>
        <v>ተጫዋቾች ነጥቦችን መጨቃጨቅ የሚችሉት ጨዋታው ካለቀ በ5 ደቂቃ ውስጥ ብቻ ነው።</v>
      </c>
    </row>
    <row r="99" ht="22.5" customHeight="1">
      <c r="A99" s="6">
        <v>98.0</v>
      </c>
      <c r="B99" s="7" t="s">
        <v>299</v>
      </c>
      <c r="C99" s="7" t="s">
        <v>300</v>
      </c>
      <c r="D99" s="7" t="s">
        <v>301</v>
      </c>
      <c r="E99" s="7" t="s">
        <v>301</v>
      </c>
      <c r="G99" s="8" t="str">
        <f>IFERROR(__xludf.DUMMYFUNCTION(" GOOGLETRANSLATE(A99, ""en"", ""am"")"),"98")</f>
        <v>98</v>
      </c>
      <c r="H99" s="8" t="str">
        <f>IFERROR(__xludf.DUMMYFUNCTION(" GOOGLETRANSLATE(B99, ""en"", ""am"")"),"ሁለት ተጫዋቾች በአንድ ዙር ቢታሰሩ ህጉ ምንድን ነው?")</f>
        <v>ሁለት ተጫዋቾች በአንድ ዙር ቢታሰሩ ህጉ ምንድን ነው?</v>
      </c>
      <c r="I99" s="8" t="str">
        <f>IFERROR(__xludf.DUMMYFUNCTION(" GOOGLETRANSLATE(C99, ""en"", ""am"")"),"ሀ ነጥብ ተሰጥቷል። ለ. ዙሩ በድጋሚ ተጫውቷል። ሐ. ምንም ነጥብ አልተሰጠም። መ. ነጥቦች ተሸልመዋል.")</f>
        <v>ሀ ነጥብ ተሰጥቷል። ለ. ዙሩ በድጋሚ ተጫውቷል። ሐ. ምንም ነጥብ አልተሰጠም። መ. ነጥቦች ተሸልመዋል.</v>
      </c>
      <c r="J99" s="8" t="str">
        <f>IFERROR(__xludf.DUMMYFUNCTION(" GOOGLETRANSLATE(D99, ""en"", ""am"")"),"ለዚያ ዙር የተገናኙ ተጫዋቾች ነጥባቸውን አጥተዋል።")</f>
        <v>ለዚያ ዙር የተገናኙ ተጫዋቾች ነጥባቸውን አጥተዋል።</v>
      </c>
      <c r="K99" s="8" t="str">
        <f>IFERROR(__xludf.DUMMYFUNCTION(" GOOGLETRANSLATE(E99, ""en"", ""am"")"),"ለዚያ ዙር የተገናኙ ተጫዋቾች ነጥባቸውን አጥተዋል።")</f>
        <v>ለዚያ ዙር የተገናኙ ተጫዋቾች ነጥባቸውን አጥተዋል።</v>
      </c>
    </row>
    <row r="100" ht="22.5" customHeight="1">
      <c r="A100" s="6">
        <v>99.0</v>
      </c>
      <c r="B100" s="7" t="s">
        <v>302</v>
      </c>
      <c r="C100" s="7" t="s">
        <v>303</v>
      </c>
      <c r="D100" s="7" t="s">
        <v>304</v>
      </c>
      <c r="E100" s="7" t="s">
        <v>304</v>
      </c>
      <c r="G100" s="8" t="str">
        <f>IFERROR(__xludf.DUMMYFUNCTION(" GOOGLETRANSLATE(A100, ""en"", ""am"")"),"99")</f>
        <v>99</v>
      </c>
      <c r="H100" s="8" t="str">
        <f>IFERROR(__xludf.DUMMYFUNCTION(" GOOGLETRANSLATE(B100, ""en"", ""am"")"),"ኳሱ ሙሉ በሙሉ በስህተት መስመር ላይ ቢቆም ምን ይሆናል?")</f>
        <v>ኳሱ ሙሉ በሙሉ በስህተት መስመር ላይ ቢቆም ምን ይሆናል?</v>
      </c>
      <c r="I100" s="8" t="str">
        <f>IFERROR(__xludf.DUMMYFUNCTION(" GOOGLETRANSLATE(C100, ""en"", ""am"")"),"ሀ. ምንም ነጥብ አልተሰጠም። ለ. መወርወሩ ልክ ያልሆነ ነው። ሐ. መዞሩ ተደግሟል. መ. ምንም ነጥብ አልተሰጠም።")</f>
        <v>ሀ. ምንም ነጥብ አልተሰጠም። ለ. መወርወሩ ልክ ያልሆነ ነው። ሐ. መዞሩ ተደግሟል. መ. ምንም ነጥብ አልተሰጠም።</v>
      </c>
      <c r="J100" s="8" t="str">
        <f>IFERROR(__xludf.DUMMYFUNCTION(" GOOGLETRANSLATE(D100, ""en"", ""am"")"),"በክፉው መስመር ላይ የሚያርፉ ኳሶች ለነጥብ አይቆጠሩም።")</f>
        <v>በክፉው መስመር ላይ የሚያርፉ ኳሶች ለነጥብ አይቆጠሩም።</v>
      </c>
      <c r="K100" s="8" t="str">
        <f>IFERROR(__xludf.DUMMYFUNCTION(" GOOGLETRANSLATE(E100, ""en"", ""am"")"),"በክፉው መስመር ላይ የሚያርፉ ኳሶች ለነጥብ አይቆጠሩም።")</f>
        <v>በክፉው መስመር ላይ የሚያርፉ ኳሶች ለነጥብ አይቆጠሩም።</v>
      </c>
    </row>
    <row r="101" ht="22.5" customHeight="1">
      <c r="A101" s="6">
        <v>100.0</v>
      </c>
      <c r="B101" s="7" t="s">
        <v>305</v>
      </c>
      <c r="C101" s="7" t="s">
        <v>306</v>
      </c>
      <c r="D101" s="7" t="s">
        <v>307</v>
      </c>
      <c r="E101" s="7" t="s">
        <v>307</v>
      </c>
      <c r="G101" s="8" t="str">
        <f>IFERROR(__xludf.DUMMYFUNCTION(" GOOGLETRANSLATE(A101, ""en"", ""am"")"),"100")</f>
        <v>100</v>
      </c>
      <c r="H101" s="8" t="str">
        <f>IFERROR(__xludf.DUMMYFUNCTION(" GOOGLETRANSLATE(B101, ""en"", ""am"")"),"አንድ ተጫዋች ሆን ብሎ ተራውን መዝለል ይችላል?")</f>
        <v>አንድ ተጫዋች ሆን ብሎ ተራውን መዝለል ይችላል?</v>
      </c>
      <c r="I101" s="8" t="str">
        <f>IFERROR(__xludf.DUMMYFUNCTION(" GOOGLETRANSLATE(C101, ""en"", ""am"")"),"A. አይ, አይፈቀድም. ለ. በዳኛው ይሁንታ ብቻ። ሐ. በቡድን ብቻ ​​D. በዳኛው ይሁንታ ብቻ።")</f>
        <v>A. አይ, አይፈቀድም. ለ. በዳኛው ይሁንታ ብቻ። ሐ. በቡድን ብቻ ​​D. በዳኛው ይሁንታ ብቻ።</v>
      </c>
      <c r="J101" s="8" t="str">
        <f>IFERROR(__xludf.DUMMYFUNCTION(" GOOGLETRANSLATE(D101, ""en"", ""am"")"),"ተጫዋቾች ተራቸውን መዝለል የሚችሉት በዳኛው ይሁንታ ብቻ ነው።")</f>
        <v>ተጫዋቾች ተራቸውን መዝለል የሚችሉት በዳኛው ይሁንታ ብቻ ነው።</v>
      </c>
      <c r="K101" s="8" t="str">
        <f>IFERROR(__xludf.DUMMYFUNCTION(" GOOGLETRANSLATE(E101, ""en"", ""am"")"),"ተጫዋቾች ተራቸውን መዝለል የሚችሉት በዳኛው ይሁንታ ብቻ ነው።")</f>
        <v>ተጫዋቾች ተራቸውን መዝለል የሚችሉት በዳኛው ይሁንታ ብቻ ነው።</v>
      </c>
    </row>
    <row r="102" ht="22.5" customHeight="1">
      <c r="A102" s="6">
        <v>101.0</v>
      </c>
      <c r="B102" s="7" t="s">
        <v>308</v>
      </c>
      <c r="C102" s="7" t="s">
        <v>309</v>
      </c>
      <c r="D102" s="7" t="s">
        <v>310</v>
      </c>
      <c r="E102" s="7" t="s">
        <v>310</v>
      </c>
      <c r="G102" s="8" t="str">
        <f>IFERROR(__xludf.DUMMYFUNCTION(" GOOGLETRANSLATE(A102, ""en"", ""am"")"),"101")</f>
        <v>101</v>
      </c>
      <c r="H102" s="8" t="str">
        <f>IFERROR(__xludf.DUMMYFUNCTION(" GOOGLETRANSLATE(B102, ""en"", ""am"")"),"አንድ ተጫዋች የሚጨብጠውን አጥቶ መልሶ ቢወረውረው ምን ይሆናል?")</f>
        <v>አንድ ተጫዋች የሚጨብጠውን አጥቶ መልሶ ቢወረውረው ምን ይሆናል?</v>
      </c>
      <c r="I102" s="8" t="str">
        <f>IFERROR(__xludf.DUMMYFUNCTION(" GOOGLETRANSLATE(C102, ""en"", ""am"")"),"ሀ. መወርወሩ ልክ ያልሆነ ነው። ለ. መዞሩ ጠፍቷል። ሐ. መወርወሩ ተደግሟል። መ መወርወሩ ተደግሟል።")</f>
        <v>ሀ. መወርወሩ ልክ ያልሆነ ነው። ለ. መዞሩ ጠፍቷል። ሐ. መወርወሩ ተደግሟል። መ መወርወሩ ተደግሟል።</v>
      </c>
      <c r="J102" s="8" t="str">
        <f>IFERROR(__xludf.DUMMYFUNCTION(" GOOGLETRANSLATE(D102, ""en"", ""am"")"),"በድንገት ወደ ኋላ መወርወር ተጫዋቹ ተራውን እንዲደግም ያስችለዋል።")</f>
        <v>በድንገት ወደ ኋላ መወርወር ተጫዋቹ ተራውን እንዲደግም ያስችለዋል።</v>
      </c>
      <c r="K102" s="8" t="str">
        <f>IFERROR(__xludf.DUMMYFUNCTION(" GOOGLETRANSLATE(E102, ""en"", ""am"")"),"በድንገት ወደ ኋላ መወርወር ተጫዋቹ ተራውን እንዲደግም ያስችለዋል።")</f>
        <v>በድንገት ወደ ኋላ መወርወር ተጫዋቹ ተራውን እንዲደግም ያስችለዋል።</v>
      </c>
    </row>
    <row r="103" ht="22.5" customHeight="1">
      <c r="A103" s="6">
        <v>102.0</v>
      </c>
      <c r="B103" s="7" t="s">
        <v>311</v>
      </c>
      <c r="C103" s="7" t="s">
        <v>312</v>
      </c>
      <c r="D103" s="7" t="s">
        <v>313</v>
      </c>
      <c r="E103" s="7" t="s">
        <v>313</v>
      </c>
      <c r="G103" s="8" t="str">
        <f>IFERROR(__xludf.DUMMYFUNCTION(" GOOGLETRANSLATE(A103, ""en"", ""am"")"),"102")</f>
        <v>102</v>
      </c>
      <c r="H103" s="8" t="str">
        <f>IFERROR(__xludf.DUMMYFUNCTION(" GOOGLETRANSLATE(B103, ""en"", ""am"")"),"በአንድ ውርወራ ውስጥ የሚፈቀደው ከፍተኛው የነጥቦች ብዛት ስንት ነው?")</f>
        <v>በአንድ ውርወራ ውስጥ የሚፈቀደው ከፍተኛው የነጥቦች ብዛት ስንት ነው?</v>
      </c>
      <c r="I103" s="8" t="str">
        <f>IFERROR(__xludf.DUMMYFUNCTION(" GOOGLETRANSLATE(C103, ""en"", ""am"")"),"አ.10 ለ 15 ሐ. 20 ዲ. 10")</f>
        <v>አ.10 ለ 15 ሐ. 20 ዲ. 10</v>
      </c>
      <c r="J103" s="8" t="str">
        <f>IFERROR(__xludf.DUMMYFUNCTION(" GOOGLETRANSLATE(D103, ""en"", ""am"")"),"አንድ ውርወራ ቢበዛ 10 ነጥብ ሊያስመዘግብ ይችላል።")</f>
        <v>አንድ ውርወራ ቢበዛ 10 ነጥብ ሊያስመዘግብ ይችላል።</v>
      </c>
      <c r="K103" s="8" t="str">
        <f>IFERROR(__xludf.DUMMYFUNCTION(" GOOGLETRANSLATE(E103, ""en"", ""am"")"),"አንድ ውርወራ ቢበዛ 10 ነጥብ ሊያስመዘግብ ይችላል።")</f>
        <v>አንድ ውርወራ ቢበዛ 10 ነጥብ ሊያስመዘግብ ይችላል።</v>
      </c>
    </row>
    <row r="104" ht="22.5" customHeight="1">
      <c r="A104" s="6">
        <v>103.0</v>
      </c>
      <c r="B104" s="7" t="s">
        <v>314</v>
      </c>
      <c r="C104" s="7" t="s">
        <v>315</v>
      </c>
      <c r="D104" s="7" t="s">
        <v>316</v>
      </c>
      <c r="E104" s="7" t="s">
        <v>316</v>
      </c>
      <c r="G104" s="8" t="str">
        <f>IFERROR(__xludf.DUMMYFUNCTION(" GOOGLETRANSLATE(A104, ""en"", ""am"")"),"103")</f>
        <v>103</v>
      </c>
      <c r="H104" s="8" t="str">
        <f>IFERROR(__xludf.DUMMYFUNCTION(" GOOGLETRANSLATE(B104, ""en"", ""am"")"),"አንድ ተጫዋች በድንገት ኳሱን ቢነካው ምን ይሆናል?")</f>
        <v>አንድ ተጫዋች በድንገት ኳሱን ቢነካው ምን ይሆናል?</v>
      </c>
      <c r="I104" s="8" t="str">
        <f>IFERROR(__xludf.DUMMYFUNCTION(" GOOGLETRANSLATE(C104, ""en"", ""am"")"),"ሀ. መዞሩ ጠፍቷል። ለ. ምንም ቅጣት የለም. ሐ. ነጥቦች ተቀንሰዋል መ. ምንም ቅጣት የለም.")</f>
        <v>ሀ. መዞሩ ጠፍቷል። ለ. ምንም ቅጣት የለም. ሐ. ነጥቦች ተቀንሰዋል መ. ምንም ቅጣት የለም.</v>
      </c>
      <c r="J104" s="8" t="str">
        <f>IFERROR(__xludf.DUMMYFUNCTION(" GOOGLETRANSLATE(D104, ""en"", ""am"")"),"በአጋጣሚ ኩዊል መንካት ቅጣትን አያስከትልም።")</f>
        <v>በአጋጣሚ ኩዊል መንካት ቅጣትን አያስከትልም።</v>
      </c>
      <c r="K104" s="8" t="str">
        <f>IFERROR(__xludf.DUMMYFUNCTION(" GOOGLETRANSLATE(E104, ""en"", ""am"")"),"በአጋጣሚ ኩዊል መንካት ቅጣትን አያስከትልም።")</f>
        <v>በአጋጣሚ ኩዊል መንካት ቅጣትን አያስከትልም።</v>
      </c>
    </row>
    <row r="105" ht="22.5" customHeight="1">
      <c r="A105" s="6">
        <v>104.0</v>
      </c>
      <c r="B105" s="7" t="s">
        <v>317</v>
      </c>
      <c r="C105" s="7" t="s">
        <v>318</v>
      </c>
      <c r="D105" s="7" t="s">
        <v>319</v>
      </c>
      <c r="E105" s="7" t="s">
        <v>319</v>
      </c>
      <c r="G105" s="8" t="str">
        <f>IFERROR(__xludf.DUMMYFUNCTION(" GOOGLETRANSLATE(A105, ""en"", ""am"")"),"104")</f>
        <v>104</v>
      </c>
      <c r="H105" s="8" t="str">
        <f>IFERROR(__xludf.DUMMYFUNCTION(" GOOGLETRANSLATE(B105, ""en"", ""am"")"),"ዳኛው በማንኛውም ምክንያት ጨዋታውን ለአፍታ ማቆም ይችላል?")</f>
        <v>ዳኛው በማንኛውም ምክንያት ጨዋታውን ለአፍታ ማቆም ይችላል?</v>
      </c>
      <c r="I105" s="8" t="str">
        <f>IFERROR(__xludf.DUMMYFUNCTION(" GOOGLETRANSLATE(C105, ""en"", ""am"")"),"A. አይደለም፣ ለጉዳት ብቻ። ለ. ሁለቱም ቡድኖች ከተስማሙ ብቻ ነው ሐ. በእረፍት ጊዜ ብቻ D. አዎ, በማንኛውም ጊዜ.")</f>
        <v>A. አይደለም፣ ለጉዳት ብቻ። ለ. ሁለቱም ቡድኖች ከተስማሙ ብቻ ነው ሐ. በእረፍት ጊዜ ብቻ D. አዎ, በማንኛውም ጊዜ.</v>
      </c>
      <c r="J105" s="8" t="str">
        <f>IFERROR(__xludf.DUMMYFUNCTION(" GOOGLETRANSLATE(D105, ""en"", ""am"")"),"ዳኛው በማንኛውም ጊዜ ጨዋታውን ለአፍታ የማቆም ስልጣን አለው።")</f>
        <v>ዳኛው በማንኛውም ጊዜ ጨዋታውን ለአፍታ የማቆም ስልጣን አለው።</v>
      </c>
      <c r="K105" s="8" t="str">
        <f>IFERROR(__xludf.DUMMYFUNCTION(" GOOGLETRANSLATE(E105, ""en"", ""am"")"),"ዳኛው በማንኛውም ጊዜ ጨዋታውን ለአፍታ የማቆም ስልጣን አለው።")</f>
        <v>ዳኛው በማንኛውም ጊዜ ጨዋታውን ለአፍታ የማቆም ስልጣን አለው።</v>
      </c>
    </row>
    <row r="106" ht="22.5" customHeight="1">
      <c r="A106" s="6">
        <v>105.0</v>
      </c>
      <c r="B106" s="7" t="s">
        <v>320</v>
      </c>
      <c r="C106" s="7" t="s">
        <v>321</v>
      </c>
      <c r="D106" s="7" t="s">
        <v>322</v>
      </c>
      <c r="E106" s="7" t="s">
        <v>322</v>
      </c>
      <c r="G106" s="8" t="str">
        <f>IFERROR(__xludf.DUMMYFUNCTION(" GOOGLETRANSLATE(A106, ""en"", ""am"")"),"105")</f>
        <v>105</v>
      </c>
      <c r="H106" s="8" t="str">
        <f>IFERROR(__xludf.DUMMYFUNCTION(" GOOGLETRANSLATE(B106, ""en"", ""am"")"),"የገና መጫወቻ ቦታ የሚፈለገው ስፋት ምን ያህል ነው?")</f>
        <v>የገና መጫወቻ ቦታ የሚፈለገው ስፋት ምን ያህል ነው?</v>
      </c>
      <c r="I106" s="8" t="str">
        <f>IFERROR(__xludf.DUMMYFUNCTION(" GOOGLETRANSLATE(C106, ""en"", ""am"")"),"አ. 3 ሜትር ለ. 4 ሜትር ሐ. 5 ሜትር መ. 3 ሜትር")</f>
        <v>አ. 3 ሜትር ለ. 4 ሜትር ሐ. 5 ሜትር መ. 3 ሜትር</v>
      </c>
      <c r="J106" s="8" t="str">
        <f>IFERROR(__xludf.DUMMYFUNCTION(" GOOGLETRANSLATE(D106, ""en"", ""am"")"),"የመደበኛ የገና መጫወቻ ቦታ ስፋት 3 ሜትር ነው.")</f>
        <v>የመደበኛ የገና መጫወቻ ቦታ ስፋት 3 ሜትር ነው.</v>
      </c>
      <c r="K106" s="8" t="str">
        <f>IFERROR(__xludf.DUMMYFUNCTION(" GOOGLETRANSLATE(E106, ""en"", ""am"")"),"የመደበኛ የገና መጫወቻ ቦታ ስፋት 3 ሜትር ነው.")</f>
        <v>የመደበኛ የገና መጫወቻ ቦታ ስፋት 3 ሜትር ነው.</v>
      </c>
    </row>
    <row r="107" ht="22.5" customHeight="1">
      <c r="A107" s="6">
        <v>106.0</v>
      </c>
      <c r="B107" s="7" t="s">
        <v>323</v>
      </c>
      <c r="C107" s="7" t="s">
        <v>324</v>
      </c>
      <c r="D107" s="7" t="s">
        <v>325</v>
      </c>
      <c r="E107" s="7" t="s">
        <v>325</v>
      </c>
      <c r="G107" s="8" t="str">
        <f>IFERROR(__xludf.DUMMYFUNCTION(" GOOGLETRANSLATE(A107, ""en"", ""am"")"),"106")</f>
        <v>106</v>
      </c>
      <c r="H107" s="8" t="str">
        <f>IFERROR(__xludf.DUMMYFUNCTION(" GOOGLETRANSLATE(B107, ""en"", ""am"")"),"አንድ ተጫዋች ሆን ብሎ መወርወሩን ቢያዘገይ ምን ይሆናል?")</f>
        <v>አንድ ተጫዋች ሆን ብሎ መወርወሩን ቢያዘገይ ምን ይሆናል?</v>
      </c>
      <c r="I107" s="8" t="str">
        <f>IFERROR(__xludf.DUMMYFUNCTION(" GOOGLETRANSLATE(C107, ""en"", ""am"")"),"ሀ. መዞሩ ጠፍቷል። ለ. ነጥቦች ተቀንሰዋል ሐ. ጨዋታው ባለበት ቆሟል። መ. ማስጠንቀቂያ ተሰጥቷል።")</f>
        <v>ሀ. መዞሩ ጠፍቷል። ለ. ነጥቦች ተቀንሰዋል ሐ. ጨዋታው ባለበት ቆሟል። መ. ማስጠንቀቂያ ተሰጥቷል።</v>
      </c>
      <c r="J107" s="8" t="str">
        <f>IFERROR(__xludf.DUMMYFUNCTION(" GOOGLETRANSLATE(D107, ""en"", ""am"")"),"ሆን ተብሎ መዘግየት ከዳኛው ማስጠንቀቂያ ያስከትላል።")</f>
        <v>ሆን ተብሎ መዘግየት ከዳኛው ማስጠንቀቂያ ያስከትላል።</v>
      </c>
      <c r="K107" s="8" t="str">
        <f>IFERROR(__xludf.DUMMYFUNCTION(" GOOGLETRANSLATE(E107, ""en"", ""am"")"),"ሆን ተብሎ መዘግየት ከዳኛው ማስጠንቀቂያ ያስከትላል።")</f>
        <v>ሆን ተብሎ መዘግየት ከዳኛው ማስጠንቀቂያ ያስከትላል።</v>
      </c>
    </row>
    <row r="108" ht="22.5" customHeight="1">
      <c r="A108" s="6">
        <v>107.0</v>
      </c>
      <c r="B108" s="7" t="s">
        <v>326</v>
      </c>
      <c r="C108" s="7" t="s">
        <v>327</v>
      </c>
      <c r="D108" s="7" t="s">
        <v>328</v>
      </c>
      <c r="E108" s="7" t="s">
        <v>328</v>
      </c>
      <c r="G108" s="8" t="str">
        <f>IFERROR(__xludf.DUMMYFUNCTION(" GOOGLETRANSLATE(A108, ""en"", ""am"")"),"107")</f>
        <v>107</v>
      </c>
      <c r="H108" s="8" t="str">
        <f>IFERROR(__xludf.DUMMYFUNCTION(" GOOGLETRANSLATE(B108, ""en"", ""am"")"),"የገና ኳሶች ኦፊሴላዊ ቀለም ምንድነው?")</f>
        <v>የገና ኳሶች ኦፊሴላዊ ቀለም ምንድነው?</v>
      </c>
      <c r="I108" s="8" t="str">
        <f>IFERROR(__xludf.DUMMYFUNCTION(" GOOGLETRANSLATE(C108, ""en"", ""am"")"),"ሀ. ሰማያዊ ለ. ቢጫ ሐ. በክልል ይለያያል መ. በክልል ይለያያል")</f>
        <v>ሀ. ሰማያዊ ለ. ቢጫ ሐ. በክልል ይለያያል መ. በክልል ይለያያል</v>
      </c>
      <c r="J108" s="8" t="str">
        <f>IFERROR(__xludf.DUMMYFUNCTION(" GOOGLETRANSLATE(D108, ""en"", ""am"")"),"የገና ኳሶች ቀለም እንደ ክልል እና ውድድር ይለያያል.")</f>
        <v>የገና ኳሶች ቀለም እንደ ክልል እና ውድድር ይለያያል.</v>
      </c>
      <c r="K108" s="8" t="str">
        <f>IFERROR(__xludf.DUMMYFUNCTION(" GOOGLETRANSLATE(E108, ""en"", ""am"")"),"የገና ኳሶች ቀለም እንደ ክልል እና ውድድር ይለያያል.")</f>
        <v>የገና ኳሶች ቀለም እንደ ክልል እና ውድድር ይለያያል.</v>
      </c>
    </row>
    <row r="109" ht="22.5" customHeight="1">
      <c r="A109" s="6">
        <v>108.0</v>
      </c>
      <c r="B109" s="7" t="s">
        <v>329</v>
      </c>
      <c r="C109" s="7" t="s">
        <v>330</v>
      </c>
      <c r="D109" s="7" t="s">
        <v>331</v>
      </c>
      <c r="E109" s="7" t="s">
        <v>331</v>
      </c>
      <c r="G109" s="8" t="str">
        <f>IFERROR(__xludf.DUMMYFUNCTION(" GOOGLETRANSLATE(A109, ""en"", ""am"")"),"108")</f>
        <v>108</v>
      </c>
      <c r="H109" s="8" t="str">
        <f>IFERROR(__xludf.DUMMYFUNCTION(" GOOGLETRANSLATE(B109, ""en"", ""am"")"),"ኳሱ በግማሽ ቢሰበር ምን ይሆናል?")</f>
        <v>ኳሱ በግማሽ ቢሰበር ምን ይሆናል?</v>
      </c>
      <c r="I109" s="8" t="str">
        <f>IFERROR(__xludf.DUMMYFUNCTION(" GOOGLETRANSLATE(C109, ""en"", ""am"")"),"ሀ. ነጥቦቹ በግማሽ ተከፍለዋል ለ. ነጥብ የተሸለሙት ሐ. ሽክርክሩ ተደግሟል። መ. የተሸለሙ ነጥቦች")</f>
        <v>ሀ. ነጥቦቹ በግማሽ ተከፍለዋል ለ. ነጥብ የተሸለሙት ሐ. ሽክርክሩ ተደግሟል። መ. የተሸለሙ ነጥቦች</v>
      </c>
      <c r="J109" s="8" t="str">
        <f>IFERROR(__xludf.DUMMYFUNCTION(" GOOGLETRANSLATE(D109, ""en"", ""am"")"),"አንድ ኩዊል ከተሰበረ ነጥቦች አሁንም ይሸለማሉ።")</f>
        <v>አንድ ኩዊል ከተሰበረ ነጥቦች አሁንም ይሸለማሉ።</v>
      </c>
      <c r="K109" s="8" t="str">
        <f>IFERROR(__xludf.DUMMYFUNCTION(" GOOGLETRANSLATE(E109, ""en"", ""am"")"),"አንድ ኩዊል ከተሰበረ ነጥቦች አሁንም ይሸለማሉ።")</f>
        <v>አንድ ኩዊል ከተሰበረ ነጥቦች አሁንም ይሸለማሉ።</v>
      </c>
    </row>
    <row r="110" ht="22.5" customHeight="1">
      <c r="A110" s="6">
        <v>109.0</v>
      </c>
      <c r="B110" s="7" t="s">
        <v>332</v>
      </c>
      <c r="C110" s="7" t="s">
        <v>333</v>
      </c>
      <c r="D110" s="7" t="s">
        <v>334</v>
      </c>
      <c r="E110" s="7" t="s">
        <v>334</v>
      </c>
      <c r="G110" s="8" t="str">
        <f>IFERROR(__xludf.DUMMYFUNCTION(" GOOGLETRANSLATE(A110, ""en"", ""am"")"),"109")</f>
        <v>109</v>
      </c>
      <c r="H110" s="8" t="str">
        <f>IFERROR(__xludf.DUMMYFUNCTION(" GOOGLETRANSLATE(B110, ""en"", ""am"")"),"ዳኛ ሳይጠራው ጨዋታ እስከመቼ ሊቀጥል ይችላል?")</f>
        <v>ዳኛ ሳይጠራው ጨዋታ እስከመቼ ሊቀጥል ይችላል?</v>
      </c>
      <c r="I110" s="8" t="str">
        <f>IFERROR(__xludf.DUMMYFUNCTION(" GOOGLETRANSLATE(C110, ""en"", ""am"")"),"ሀ.90 ደቂቃ ለ.120ደቂቃ ሐ.150ደቂቃ መ.90ደቂቃ")</f>
        <v>ሀ.90 ደቂቃ ለ.120ደቂቃ ሐ.150ደቂቃ መ.90ደቂቃ</v>
      </c>
      <c r="J110" s="8" t="str">
        <f>IFERROR(__xludf.DUMMYFUNCTION(" GOOGLETRANSLATE(D110, ""en"", ""am"")"),"ግጥሚያዎች ከመጥፋታቸው በፊት እስከ 90 ደቂቃዎች ሊቆዩ ይችላሉ.")</f>
        <v>ግጥሚያዎች ከመጥፋታቸው በፊት እስከ 90 ደቂቃዎች ሊቆዩ ይችላሉ.</v>
      </c>
      <c r="K110" s="8" t="str">
        <f>IFERROR(__xludf.DUMMYFUNCTION(" GOOGLETRANSLATE(E110, ""en"", ""am"")"),"ግጥሚያዎች ከመጥፋታቸው በፊት እስከ 90 ደቂቃዎች ሊቆዩ ይችላሉ.")</f>
        <v>ግጥሚያዎች ከመጥፋታቸው በፊት እስከ 90 ደቂቃዎች ሊቆዩ ይችላሉ.</v>
      </c>
    </row>
    <row r="111" ht="22.5" customHeight="1">
      <c r="A111" s="6">
        <v>110.0</v>
      </c>
      <c r="B111" s="7" t="s">
        <v>335</v>
      </c>
      <c r="C111" s="7" t="s">
        <v>336</v>
      </c>
      <c r="D111" s="7" t="s">
        <v>337</v>
      </c>
      <c r="E111" s="7" t="s">
        <v>337</v>
      </c>
      <c r="G111" s="8" t="str">
        <f>IFERROR(__xludf.DUMMYFUNCTION(" GOOGLETRANSLATE(A111, ""en"", ""am"")"),"110")</f>
        <v>110</v>
      </c>
      <c r="H111" s="8" t="str">
        <f>IFERROR(__xludf.DUMMYFUNCTION(" GOOGLETRANSLATE(B111, ""en"", ""am"")"),"አንድ ተጫዋች ኳሱን ማምጣት ቢረሳው ምን ይሆናል?")</f>
        <v>አንድ ተጫዋች ኳሱን ማምጣት ቢረሳው ምን ይሆናል?</v>
      </c>
      <c r="I111" s="8" t="str">
        <f>IFERROR(__xludf.DUMMYFUNCTION(" GOOGLETRANSLATE(C111, ""en"", ""am"")"),"A. ምትክ ተሰጥቷል. ለ. የሌላ ተጫዋች ኳስ መበደር ሐ. ግጥሚያው ዘግይቷል። መ. ምትክ ተሰጥቷል.")</f>
        <v>A. ምትክ ተሰጥቷል. ለ. የሌላ ተጫዋች ኳስ መበደር ሐ. ግጥሚያው ዘግይቷል። መ. ምትክ ተሰጥቷል.</v>
      </c>
      <c r="J111" s="8" t="str">
        <f>IFERROR(__xludf.DUMMYFUNCTION(" GOOGLETRANSLATE(D111, ""en"", ""am"")"),"አንድ ተጫዋች ኳሱን ከረሳው ዳኛው ምትክ ይሰጣል።")</f>
        <v>አንድ ተጫዋች ኳሱን ከረሳው ዳኛው ምትክ ይሰጣል።</v>
      </c>
      <c r="K111" s="8" t="str">
        <f>IFERROR(__xludf.DUMMYFUNCTION(" GOOGLETRANSLATE(E111, ""en"", ""am"")"),"አንድ ተጫዋች ኳሱን ከረሳው ዳኛው ምትክ ይሰጣል።")</f>
        <v>አንድ ተጫዋች ኳሱን ከረሳው ዳኛው ምትክ ይሰጣል።</v>
      </c>
    </row>
    <row r="112" ht="22.5" customHeight="1">
      <c r="A112" s="6">
        <v>111.0</v>
      </c>
      <c r="B112" s="7" t="s">
        <v>338</v>
      </c>
      <c r="C112" s="7" t="s">
        <v>339</v>
      </c>
      <c r="D112" s="7" t="s">
        <v>340</v>
      </c>
      <c r="E112" s="7" t="s">
        <v>340</v>
      </c>
      <c r="G112" s="8" t="str">
        <f>IFERROR(__xludf.DUMMYFUNCTION(" GOOGLETRANSLATE(A112, ""en"", ""am"")"),"111")</f>
        <v>111</v>
      </c>
      <c r="H112" s="8" t="str">
        <f>IFERROR(__xludf.DUMMYFUNCTION(" GOOGLETRANSLATE(B112, ""en"", ""am"")"),"የተጫዋቹ ኳስ ኳሱን ከመንካት በፊት ከገደብ ቢወጣ ምን ይከሰታል?")</f>
        <v>የተጫዋቹ ኳስ ኳሱን ከመንካት በፊት ከገደብ ቢወጣ ምን ይከሰታል?</v>
      </c>
      <c r="I112" s="8" t="str">
        <f>IFERROR(__xludf.DUMMYFUNCTION(" GOOGLETRANSLATE(C112, ""en"", ""am"")"),"A. መዞሩ ተደግሟል. ለ/ ተጫዋቹ ተቀጥቷል። ሐ. መወርወሩ ልክ ያልሆነ ነው። መ. ምንም ነጥብ አልተሰጠም።")</f>
        <v>A. መዞሩ ተደግሟል. ለ/ ተጫዋቹ ተቀጥቷል። ሐ. መወርወሩ ልክ ያልሆነ ነው። መ. ምንም ነጥብ አልተሰጠም።</v>
      </c>
      <c r="J112" s="8" t="str">
        <f>IFERROR(__xludf.DUMMYFUNCTION(" GOOGLETRANSLATE(D112, ""en"", ""am"")"),"ኳሱ ከድንበር ውጭ ከወጣ ምንም ነጥብ አይሰጥም።")</f>
        <v>ኳሱ ከድንበር ውጭ ከወጣ ምንም ነጥብ አይሰጥም።</v>
      </c>
      <c r="K112" s="8" t="str">
        <f>IFERROR(__xludf.DUMMYFUNCTION(" GOOGLETRANSLATE(E112, ""en"", ""am"")"),"ኳሱ ከድንበር ውጭ ከወጣ ምንም ነጥብ አይሰጥም።")</f>
        <v>ኳሱ ከድንበር ውጭ ከወጣ ምንም ነጥብ አይሰጥም።</v>
      </c>
    </row>
    <row r="113" ht="22.5" customHeight="1">
      <c r="A113" s="6">
        <v>112.0</v>
      </c>
      <c r="B113" s="7" t="s">
        <v>341</v>
      </c>
      <c r="C113" s="7" t="s">
        <v>342</v>
      </c>
      <c r="D113" s="7" t="s">
        <v>343</v>
      </c>
      <c r="E113" s="7" t="s">
        <v>343</v>
      </c>
      <c r="G113" s="8" t="str">
        <f>IFERROR(__xludf.DUMMYFUNCTION(" GOOGLETRANSLATE(A113, ""en"", ""am"")"),"112")</f>
        <v>112</v>
      </c>
      <c r="H113" s="8" t="str">
        <f>IFERROR(__xludf.DUMMYFUNCTION(" GOOGLETRANSLATE(B113, ""en"", ""am"")"),"አንድ ተጫዋች ውርወራውን ከጀመረ በኋላ ቦታውን ማስተካከል ይችላል?")</f>
        <v>አንድ ተጫዋች ውርወራውን ከጀመረ በኋላ ቦታውን ማስተካከል ይችላል?</v>
      </c>
      <c r="I113" s="8" t="str">
        <f>IFERROR(__xludf.DUMMYFUNCTION(" GOOGLETRANSLATE(C113, ""en"", ""am"")"),"A. አይ, አይፈቀድም. ለ. ኳሱ ካልተለቀቀ ብቻ ነው. ሐ. በዳኛው ይሁንታ ብቻ። መ. ኳሱ ካልተለቀቀ ብቻ ነው.")</f>
        <v>A. አይ, አይፈቀድም. ለ. ኳሱ ካልተለቀቀ ብቻ ነው. ሐ. በዳኛው ይሁንታ ብቻ። መ. ኳሱ ካልተለቀቀ ብቻ ነው.</v>
      </c>
      <c r="J113" s="8" t="str">
        <f>IFERROR(__xludf.DUMMYFUNCTION(" GOOGLETRANSLATE(D113, ""en"", ""am"")"),"ተጫዋቾች ቦታቸውን ማስተካከል የሚችሉት ኳሱ ካልተለቀቀ ብቻ ነው።")</f>
        <v>ተጫዋቾች ቦታቸውን ማስተካከል የሚችሉት ኳሱ ካልተለቀቀ ብቻ ነው።</v>
      </c>
      <c r="K113" s="8" t="str">
        <f>IFERROR(__xludf.DUMMYFUNCTION(" GOOGLETRANSLATE(E113, ""en"", ""am"")"),"ተጫዋቾች ቦታቸውን ማስተካከል የሚችሉት ኳሱ ካልተለቀቀ ብቻ ነው።")</f>
        <v>ተጫዋቾች ቦታቸውን ማስተካከል የሚችሉት ኳሱ ካልተለቀቀ ብቻ ነው።</v>
      </c>
    </row>
    <row r="114" ht="22.5" customHeight="1">
      <c r="A114" s="6">
        <v>113.0</v>
      </c>
      <c r="B114" s="7" t="s">
        <v>344</v>
      </c>
      <c r="C114" s="7" t="s">
        <v>345</v>
      </c>
      <c r="D114" s="7" t="s">
        <v>346</v>
      </c>
      <c r="E114" s="7" t="s">
        <v>346</v>
      </c>
      <c r="G114" s="8" t="str">
        <f>IFERROR(__xludf.DUMMYFUNCTION(" GOOGLETRANSLATE(A114, ""en"", ""am"")"),"113")</f>
        <v>113</v>
      </c>
      <c r="H114" s="8" t="str">
        <f>IFERROR(__xludf.DUMMYFUNCTION(" GOOGLETRANSLATE(B114, ""en"", ""am"")"),"አንድ ተጫዋች ሆን ብሎ የተጋጣሚውን ኳስ ቢያግድ ምን ይሆናል?")</f>
        <v>አንድ ተጫዋች ሆን ብሎ የተጋጣሚውን ኳስ ቢያግድ ምን ይሆናል?</v>
      </c>
      <c r="I114" s="8" t="str">
        <f>IFERROR(__xludf.DUMMYFUNCTION(" GOOGLETRANSLATE(C114, ""en"", ""am"")"),"ሀ. ተቃዋሚው ብዙ ነጥቦችን ያገኛል። ለ. የታገደው ውርወራ ተደግሟል። ሐ. ማስጠንቀቂያ ተሰጥቷል። መ. የታገደው ውርወራ ተደግሟል።")</f>
        <v>ሀ. ተቃዋሚው ብዙ ነጥቦችን ያገኛል። ለ. የታገደው ውርወራ ተደግሟል። ሐ. ማስጠንቀቂያ ተሰጥቷል። መ. የታገደው ውርወራ ተደግሟል።</v>
      </c>
      <c r="J114" s="8" t="str">
        <f>IFERROR(__xludf.DUMMYFUNCTION(" GOOGLETRANSLATE(D114, ""en"", ""am"")"),"ተጫዋቹ የተቃዋሚውን ኳስ ከከለከለ, መወርወሩ ይደገማል.")</f>
        <v>ተጫዋቹ የተቃዋሚውን ኳስ ከከለከለ, መወርወሩ ይደገማል.</v>
      </c>
      <c r="K114" s="8" t="str">
        <f>IFERROR(__xludf.DUMMYFUNCTION(" GOOGLETRANSLATE(E114, ""en"", ""am"")"),"ተጫዋቹ የተቃዋሚውን ኳስ ከከለከለ, መወርወሩ ይደገማል.")</f>
        <v>ተጫዋቹ የተቃዋሚውን ኳስ ከከለከለ, መወርወሩ ይደገማል.</v>
      </c>
    </row>
    <row r="115" ht="22.5" customHeight="1">
      <c r="A115" s="6">
        <v>114.0</v>
      </c>
      <c r="B115" s="7" t="s">
        <v>347</v>
      </c>
      <c r="C115" s="7" t="s">
        <v>348</v>
      </c>
      <c r="D115" s="7" t="s">
        <v>349</v>
      </c>
      <c r="E115" s="7" t="s">
        <v>349</v>
      </c>
      <c r="G115" s="8" t="str">
        <f>IFERROR(__xludf.DUMMYFUNCTION(" GOOGLETRANSLATE(A115, ""en"", ""am"")"),"114")</f>
        <v>114</v>
      </c>
      <c r="H115" s="8" t="str">
        <f>IFERROR(__xludf.DUMMYFUNCTION(" GOOGLETRANSLATE(B115, ""en"", ""am"")"),"ዳኛው ምልክት ከማሳየቱ በፊት መወርወር የሚያስከትለው መዘዝ ምንድን ነው?")</f>
        <v>ዳኛው ምልክት ከማሳየቱ በፊት መወርወር የሚያስከትለው መዘዝ ምንድን ነው?</v>
      </c>
      <c r="I115" s="8" t="str">
        <f>IFERROR(__xludf.DUMMYFUNCTION(" GOOGLETRANSLATE(C115, ""en"", ""am"")"),"ሀ. መዞሩ ጠፍቷል። ለ. ነጥቦች ተቀንሰዋል ሐ. ምንም ቅጣት የለም. መ. መወርወሩ ልክ ያልሆነ ነው።")</f>
        <v>ሀ. መዞሩ ጠፍቷል። ለ. ነጥቦች ተቀንሰዋል ሐ. ምንም ቅጣት የለም. መ. መወርወሩ ልክ ያልሆነ ነው።</v>
      </c>
      <c r="J115" s="8" t="str">
        <f>IFERROR(__xludf.DUMMYFUNCTION(" GOOGLETRANSLATE(D115, ""en"", ""am"")"),"ውርወራው ከዳኛው ምልክት በፊት ከተሰራ ውርወራው ልክ ያልሆነ ነው።")</f>
        <v>ውርወራው ከዳኛው ምልክት በፊት ከተሰራ ውርወራው ልክ ያልሆነ ነው።</v>
      </c>
      <c r="K115" s="8" t="str">
        <f>IFERROR(__xludf.DUMMYFUNCTION(" GOOGLETRANSLATE(E115, ""en"", ""am"")"),"ውርወራው ከዳኛው ምልክት በፊት ከተሰራ ውርወራው ልክ ያልሆነ ነው።")</f>
        <v>ውርወራው ከዳኛው ምልክት በፊት ከተሰራ ውርወራው ልክ ያልሆነ ነው።</v>
      </c>
    </row>
    <row r="116" ht="22.5" customHeight="1">
      <c r="A116" s="6">
        <v>115.0</v>
      </c>
      <c r="B116" s="7" t="s">
        <v>350</v>
      </c>
      <c r="C116" s="7" t="s">
        <v>351</v>
      </c>
      <c r="D116" s="7" t="s">
        <v>352</v>
      </c>
      <c r="E116" s="7" t="s">
        <v>352</v>
      </c>
      <c r="G116" s="8" t="str">
        <f>IFERROR(__xludf.DUMMYFUNCTION(" GOOGLETRANSLATE(A116, ""en"", ""am"")"),"115")</f>
        <v>115</v>
      </c>
      <c r="H116" s="8" t="str">
        <f>IFERROR(__xludf.DUMMYFUNCTION(" GOOGLETRANSLATE(B116, ""en"", ""am"")"),"አንድ ተጫዋች በአንድ ወርውሮ ሁሉንም ኳሶች በማንኳኳቱ ስንት ነጥብ ያስቆጥራል?")</f>
        <v>አንድ ተጫዋች በአንድ ወርውሮ ሁሉንም ኳሶች በማንኳኳቱ ስንት ነጥብ ያስቆጥራል?</v>
      </c>
      <c r="I116" s="8" t="str">
        <f>IFERROR(__xludf.DUMMYFUNCTION(" GOOGLETRANSLATE(C116, ""en"", ""am"")"),"ዓ.10 ነጥቢ ለ. 15 ነጥቢ ሐ. 20 ነጥበ D. 10 ነጥበ")</f>
        <v>ዓ.10 ነጥቢ ለ. 15 ነጥቢ ሐ. 20 ነጥበ D. 10 ነጥበ</v>
      </c>
      <c r="J116" s="8" t="str">
        <f>IFERROR(__xludf.DUMMYFUNCTION(" GOOGLETRANSLATE(D116, ""en"", ""am"")"),"በአንድ ውርወራ ሁሉንም ኩዊሎች ማንኳኳት 10 ነጥብ ያስገኛል።")</f>
        <v>በአንድ ውርወራ ሁሉንም ኩዊሎች ማንኳኳት 10 ነጥብ ያስገኛል።</v>
      </c>
      <c r="K116" s="8" t="str">
        <f>IFERROR(__xludf.DUMMYFUNCTION(" GOOGLETRANSLATE(E116, ""en"", ""am"")"),"በአንድ ውርወራ ሁሉንም ኩዊሎች ማንኳኳት 10 ነጥብ ያስገኛል።")</f>
        <v>በአንድ ውርወራ ሁሉንም ኩዊሎች ማንኳኳት 10 ነጥብ ያስገኛል።</v>
      </c>
    </row>
    <row r="117" ht="22.5" customHeight="1">
      <c r="A117" s="6">
        <v>116.0</v>
      </c>
      <c r="B117" s="7" t="s">
        <v>353</v>
      </c>
      <c r="C117" s="7" t="s">
        <v>354</v>
      </c>
      <c r="D117" s="7" t="s">
        <v>355</v>
      </c>
      <c r="E117" s="7" t="s">
        <v>355</v>
      </c>
      <c r="G117" s="8" t="str">
        <f>IFERROR(__xludf.DUMMYFUNCTION(" GOOGLETRANSLATE(A117, ""en"", ""am"")"),"116")</f>
        <v>116</v>
      </c>
      <c r="H117" s="8" t="str">
        <f>IFERROR(__xludf.DUMMYFUNCTION(" GOOGLETRANSLATE(B117, ""en"", ""am"")"),"አንድ ተጫዋች ለመጣል ሲዘጋጅ ኳሱን ቢጥል ምን ይሆናል?")</f>
        <v>አንድ ተጫዋች ለመጣል ሲዘጋጅ ኳሱን ቢጥል ምን ይሆናል?</v>
      </c>
      <c r="I117" s="8" t="str">
        <f>IFERROR(__xludf.DUMMYFUNCTION(" GOOGLETRANSLATE(C117, ""en"", ""am"")"),"ሀ. መወርወሩ ተደግሟል። ለ. ምንም ቅጣት የለም. ሐ. ጨዋታው ባለበት ቆሟል። መ መወርወሩ ተደግሟል።")</f>
        <v>ሀ. መወርወሩ ተደግሟል። ለ. ምንም ቅጣት የለም. ሐ. ጨዋታው ባለበት ቆሟል። መ መወርወሩ ተደግሟል።</v>
      </c>
      <c r="J117" s="8" t="str">
        <f>IFERROR(__xludf.DUMMYFUNCTION(" GOOGLETRANSLATE(D117, ""en"", ""am"")"),"በዝግጅት ወቅት ኳሱን መጣል ተጫዋቹ ውርወራውን እንዲደግመው ያስችለዋል።")</f>
        <v>በዝግጅት ወቅት ኳሱን መጣል ተጫዋቹ ውርወራውን እንዲደግመው ያስችለዋል።</v>
      </c>
      <c r="K117" s="8" t="str">
        <f>IFERROR(__xludf.DUMMYFUNCTION(" GOOGLETRANSLATE(E117, ""en"", ""am"")"),"በዝግጅት ወቅት ኳሱን መጣል ተጫዋቹ ውርወራውን እንዲደግመው ያስችለዋል።")</f>
        <v>በዝግጅት ወቅት ኳሱን መጣል ተጫዋቹ ውርወራውን እንዲደግመው ያስችለዋል።</v>
      </c>
    </row>
    <row r="118" ht="22.5" customHeight="1">
      <c r="A118" s="6">
        <v>117.0</v>
      </c>
      <c r="B118" s="7" t="s">
        <v>356</v>
      </c>
      <c r="C118" s="7" t="s">
        <v>357</v>
      </c>
      <c r="D118" s="7" t="s">
        <v>358</v>
      </c>
      <c r="E118" s="7" t="s">
        <v>358</v>
      </c>
      <c r="G118" s="8" t="str">
        <f>IFERROR(__xludf.DUMMYFUNCTION(" GOOGLETRANSLATE(A118, ""en"", ""am"")"),"117")</f>
        <v>117</v>
      </c>
      <c r="H118" s="8" t="str">
        <f>IFERROR(__xludf.DUMMYFUNCTION(" GOOGLETRANSLATE(B118, ""en"", ""am"")"),"አንድ ተጫዋች በተራቸው ጊዜ ቡድናቸውን ማማከር ይችላል?")</f>
        <v>አንድ ተጫዋች በተራቸው ጊዜ ቡድናቸውን ማማከር ይችላል?</v>
      </c>
      <c r="I118" s="8" t="str">
        <f>IFERROR(__xludf.DUMMYFUNCTION(" GOOGLETRANSLATE(C118, ""en"", ""am"")"),"A. አይ, አይፈቀድም. ለ. በእረፍት ጊዜ ብቻ ሐ. በዳኛው ይሁንታ ብቻ። መ. አይ, አይፈቀድም.")</f>
        <v>A. አይ, አይፈቀድም. ለ. በእረፍት ጊዜ ብቻ ሐ. በዳኛው ይሁንታ ብቻ። መ. አይ, አይፈቀድም.</v>
      </c>
      <c r="J118" s="8" t="str">
        <f>IFERROR(__xludf.DUMMYFUNCTION(" GOOGLETRANSLATE(D118, ""en"", ""am"")"),"ተጫዋቾች በተራቸው ጊዜ ቡድናቸውን ማማከር አይችሉም።")</f>
        <v>ተጫዋቾች በተራቸው ጊዜ ቡድናቸውን ማማከር አይችሉም።</v>
      </c>
      <c r="K118" s="8" t="str">
        <f>IFERROR(__xludf.DUMMYFUNCTION(" GOOGLETRANSLATE(E118, ""en"", ""am"")"),"ተጫዋቾች በተራቸው ጊዜ ቡድናቸውን ማማከር አይችሉም።")</f>
        <v>ተጫዋቾች በተራቸው ጊዜ ቡድናቸውን ማማከር አይችሉም።</v>
      </c>
    </row>
    <row r="119" ht="22.5" customHeight="1">
      <c r="A119" s="6">
        <v>118.0</v>
      </c>
      <c r="B119" s="7" t="s">
        <v>359</v>
      </c>
      <c r="C119" s="7" t="s">
        <v>360</v>
      </c>
      <c r="D119" s="7" t="s">
        <v>361</v>
      </c>
      <c r="E119" s="7" t="s">
        <v>361</v>
      </c>
      <c r="G119" s="8" t="str">
        <f>IFERROR(__xludf.DUMMYFUNCTION(" GOOGLETRANSLATE(A119, ""en"", ""am"")"),"118")</f>
        <v>118</v>
      </c>
      <c r="H119" s="8" t="str">
        <f>IFERROR(__xludf.DUMMYFUNCTION(" GOOGLETRANSLATE(B119, ""en"", ""am"")"),"የሁለት ተጫዋቾች ኳሶች በአንድ ጊዜ አንድ አይነት ኳስ ቢመቱ ምን ይከሰታል?")</f>
        <v>የሁለት ተጫዋቾች ኳሶች በአንድ ጊዜ አንድ አይነት ኳስ ቢመቱ ምን ይከሰታል?</v>
      </c>
      <c r="I119" s="8" t="str">
        <f>IFERROR(__xludf.DUMMYFUNCTION(" GOOGLETRANSLATE(C119, ""en"", ""am"")"),"ሀ. ምንም ነጥብ አልተሰጠም። ለ. ጠመዝማዛው ይወገዳል. ሐ. ዳኛው ይወስናሉ. መ. ነጥቦች ተሸልመዋል.")</f>
        <v>ሀ. ምንም ነጥብ አልተሰጠም። ለ. ጠመዝማዛው ይወገዳል. ሐ. ዳኛው ይወስናሉ. መ. ነጥቦች ተሸልመዋል.</v>
      </c>
      <c r="J119" s="8" t="str">
        <f>IFERROR(__xludf.DUMMYFUNCTION(" GOOGLETRANSLATE(D119, ""en"", ""am"")"),"ሁለት ኳሶች በአንድ ጊዜ አንድ አይነት ምልክት ቢመታ ነጥቦቹ ይከፈላሉ.")</f>
        <v>ሁለት ኳሶች በአንድ ጊዜ አንድ አይነት ምልክት ቢመታ ነጥቦቹ ይከፈላሉ.</v>
      </c>
      <c r="K119" s="8" t="str">
        <f>IFERROR(__xludf.DUMMYFUNCTION(" GOOGLETRANSLATE(E119, ""en"", ""am"")"),"ሁለት ኳሶች በአንድ ጊዜ አንድ አይነት ምልክት ቢመታ ነጥቦቹ ይከፈላሉ.")</f>
        <v>ሁለት ኳሶች በአንድ ጊዜ አንድ አይነት ምልክት ቢመታ ነጥቦቹ ይከፈላሉ.</v>
      </c>
    </row>
    <row r="120" ht="22.5" customHeight="1">
      <c r="A120" s="6">
        <v>119.0</v>
      </c>
      <c r="B120" s="7" t="s">
        <v>362</v>
      </c>
      <c r="C120" s="7" t="s">
        <v>363</v>
      </c>
      <c r="D120" s="7" t="s">
        <v>364</v>
      </c>
      <c r="E120" s="7" t="s">
        <v>364</v>
      </c>
      <c r="G120" s="8" t="str">
        <f>IFERROR(__xludf.DUMMYFUNCTION(" GOOGLETRANSLATE(A120, ""en"", ""am"")"),"119")</f>
        <v>119</v>
      </c>
      <c r="H120" s="8" t="str">
        <f>IFERROR(__xludf.DUMMYFUNCTION(" GOOGLETRANSLATE(B120, ""en"", ""am"")"),"በሜዳው ላይ ባሉ ጥቅልሎች መካከል ያለው ዝቅተኛው ርቀት ምን ያህል ነው?")</f>
        <v>በሜዳው ላይ ባሉ ጥቅልሎች መካከል ያለው ዝቅተኛው ርቀት ምን ያህል ነው?</v>
      </c>
      <c r="I120" s="8" t="str">
        <f>IFERROR(__xludf.DUMMYFUNCTION(" GOOGLETRANSLATE(C120, ""en"", ""am"")"),"አ.2 ሜትር B. 3 ሜትር ሐ. 4 ሜትር መ. 2 ሜትር")</f>
        <v>አ.2 ሜትር B. 3 ሜትር ሐ. 4 ሜትር መ. 2 ሜትር</v>
      </c>
      <c r="J120" s="8" t="str">
        <f>IFERROR(__xludf.DUMMYFUNCTION(" GOOGLETRANSLATE(D120, ""en"", ""am"")"),"ጠመዝማዛዎቹ ቢያንስ 2 ሜትር ርቀት ላይ መቀመጥ አለባቸው.")</f>
        <v>ጠመዝማዛዎቹ ቢያንስ 2 ሜትር ርቀት ላይ መቀመጥ አለባቸው.</v>
      </c>
      <c r="K120" s="8" t="str">
        <f>IFERROR(__xludf.DUMMYFUNCTION(" GOOGLETRANSLATE(E120, ""en"", ""am"")"),"ጠመዝማዛዎቹ ቢያንስ 2 ሜትር ርቀት ላይ መቀመጥ አለባቸው.")</f>
        <v>ጠመዝማዛዎቹ ቢያንስ 2 ሜትር ርቀት ላይ መቀመጥ አለባቸው.</v>
      </c>
    </row>
    <row r="121" ht="22.5" customHeight="1">
      <c r="A121" s="6">
        <v>120.0</v>
      </c>
      <c r="B121" s="7" t="s">
        <v>365</v>
      </c>
      <c r="C121" s="7" t="s">
        <v>366</v>
      </c>
      <c r="D121" s="7" t="s">
        <v>367</v>
      </c>
      <c r="E121" s="7" t="s">
        <v>367</v>
      </c>
      <c r="G121" s="8" t="str">
        <f>IFERROR(__xludf.DUMMYFUNCTION(" GOOGLETRANSLATE(A121, ""en"", ""am"")"),"120")</f>
        <v>120</v>
      </c>
      <c r="H121" s="8" t="str">
        <f>IFERROR(__xludf.DUMMYFUNCTION(" GOOGLETRANSLATE(B121, ""en"", ""am"")"),"ኳሱ ቢመታ ነገር ግን ኳሱን ካላንኳኳ ምን ይሆናል?")</f>
        <v>ኳሱ ቢመታ ነገር ግን ኳሱን ካላንኳኳ ምን ይሆናል?</v>
      </c>
      <c r="I121" s="8" t="str">
        <f>IFERROR(__xludf.DUMMYFUNCTION(" GOOGLETRANSLATE(C121, ""en"", ""am"")"),"ሀ. ምንም ነጥብ አልተሰጠም። ለ. መዞሩ ጠፍቷል። ሐ. መወርወሩ ልክ ያልሆነ ነው። መ. ምንም ነጥብ አልተሰጠም።")</f>
        <v>ሀ. ምንም ነጥብ አልተሰጠም። ለ. መዞሩ ጠፍቷል። ሐ. መወርወሩ ልክ ያልሆነ ነው። መ. ምንም ነጥብ አልተሰጠም።</v>
      </c>
      <c r="J121" s="8" t="str">
        <f>IFERROR(__xludf.DUMMYFUNCTION(" GOOGLETRANSLATE(D121, ""en"", ""am"")"),"ነጥብ ለማግኘት ኩዊል መውደቅ አለበት።")</f>
        <v>ነጥብ ለማግኘት ኩዊል መውደቅ አለበት።</v>
      </c>
      <c r="K121" s="8" t="str">
        <f>IFERROR(__xludf.DUMMYFUNCTION(" GOOGLETRANSLATE(E121, ""en"", ""am"")"),"ነጥብ ለማግኘት ኩዊል መውደቅ አለበት።")</f>
        <v>ነጥብ ለማግኘት ኩዊል መውደቅ አለበት።</v>
      </c>
    </row>
    <row r="122" ht="22.5" customHeight="1">
      <c r="A122" s="6">
        <v>121.0</v>
      </c>
      <c r="B122" s="7" t="s">
        <v>368</v>
      </c>
      <c r="C122" s="7" t="s">
        <v>369</v>
      </c>
      <c r="D122" s="7" t="s">
        <v>370</v>
      </c>
      <c r="E122" s="7" t="s">
        <v>370</v>
      </c>
      <c r="G122" s="8" t="str">
        <f>IFERROR(__xludf.DUMMYFUNCTION(" GOOGLETRANSLATE(A122, ""en"", ""am"")"),"121")</f>
        <v>121</v>
      </c>
      <c r="H122" s="8" t="str">
        <f>IFERROR(__xludf.DUMMYFUNCTION(" GOOGLETRANSLATE(B122, ""en"", ""am"")"),"አንድ ተጫዋች ለመወርወር ምን ያህል ጊዜ ይወስዳል?")</f>
        <v>አንድ ተጫዋች ለመወርወር ምን ያህል ጊዜ ይወስዳል?</v>
      </c>
      <c r="I122" s="8" t="str">
        <f>IFERROR(__xludf.DUMMYFUNCTION(" GOOGLETRANSLATE(C122, ""en"", ""am"")"),"አ. 15 ሰከንድ ለ. 20 ሰከንድ ሐ. 30 ሰከንድ መ. 15 ሰከንድ")</f>
        <v>አ. 15 ሰከንድ ለ. 20 ሰከንድ ሐ. 30 ሰከንድ መ. 15 ሰከንድ</v>
      </c>
      <c r="J122" s="8" t="str">
        <f>IFERROR(__xludf.DUMMYFUNCTION(" GOOGLETRANSLATE(D122, ""en"", ""am"")"),"ተጫዋቾች ውርወራቸውን ለመስራት 15 ሰከንድ አላቸው።")</f>
        <v>ተጫዋቾች ውርወራቸውን ለመስራት 15 ሰከንድ አላቸው።</v>
      </c>
      <c r="K122" s="8" t="str">
        <f>IFERROR(__xludf.DUMMYFUNCTION(" GOOGLETRANSLATE(E122, ""en"", ""am"")"),"ተጫዋቾች ውርወራቸውን ለመስራት 15 ሰከንድ አላቸው።")</f>
        <v>ተጫዋቾች ውርወራቸውን ለመስራት 15 ሰከንድ አላቸው።</v>
      </c>
    </row>
    <row r="123" ht="22.5" customHeight="1">
      <c r="A123" s="6">
        <v>122.0</v>
      </c>
      <c r="B123" s="7" t="s">
        <v>371</v>
      </c>
      <c r="C123" s="7" t="s">
        <v>372</v>
      </c>
      <c r="D123" s="7" t="s">
        <v>373</v>
      </c>
      <c r="E123" s="7" t="s">
        <v>373</v>
      </c>
      <c r="G123" s="8" t="str">
        <f>IFERROR(__xludf.DUMMYFUNCTION(" GOOGLETRANSLATE(A123, ""en"", ""am"")"),"122")</f>
        <v>122</v>
      </c>
      <c r="H123" s="8" t="str">
        <f>IFERROR(__xludf.DUMMYFUNCTION(" GOOGLETRANSLATE(B123, ""en"", ""am"")"),"ተጫዋቾች በሚወረወሩበት ጊዜ ጓንት ማድረግ ይችላሉ?")</f>
        <v>ተጫዋቾች በሚወረወሩበት ጊዜ ጓንት ማድረግ ይችላሉ?</v>
      </c>
      <c r="I123" s="8" t="str">
        <f>IFERROR(__xludf.DUMMYFUNCTION(" GOOGLETRANSLATE(C123, ""en"", ""am"")"),"A. አይ, አይፈቀድም. ለ. በቀዝቃዛ የአየር ሁኔታ ብቻ ሐ. በዳኛው ፈቃድ ብቻ። መ. በዳኛው ይሁንታ ብቻ።")</f>
        <v>A. አይ, አይፈቀድም. ለ. በቀዝቃዛ የአየር ሁኔታ ብቻ ሐ. በዳኛው ፈቃድ ብቻ። መ. በዳኛው ይሁንታ ብቻ።</v>
      </c>
      <c r="J123" s="8" t="str">
        <f>IFERROR(__xludf.DUMMYFUNCTION(" GOOGLETRANSLATE(D123, ""en"", ""am"")"),"ተጫዋቾች ጓንት ሊለብሱ የሚችሉት በዳኛው ይሁንታ ብቻ ነው።")</f>
        <v>ተጫዋቾች ጓንት ሊለብሱ የሚችሉት በዳኛው ይሁንታ ብቻ ነው።</v>
      </c>
      <c r="K123" s="8" t="str">
        <f>IFERROR(__xludf.DUMMYFUNCTION(" GOOGLETRANSLATE(E123, ""en"", ""am"")"),"ተጫዋቾች ጓንት ሊለብሱ የሚችሉት በዳኛው ይሁንታ ብቻ ነው።")</f>
        <v>ተጫዋቾች ጓንት ሊለብሱ የሚችሉት በዳኛው ይሁንታ ብቻ ነው።</v>
      </c>
    </row>
    <row r="124" ht="22.5" customHeight="1">
      <c r="A124" s="6">
        <v>123.0</v>
      </c>
      <c r="B124" s="7" t="s">
        <v>374</v>
      </c>
      <c r="C124" s="7" t="s">
        <v>375</v>
      </c>
      <c r="D124" s="7" t="s">
        <v>376</v>
      </c>
      <c r="E124" s="7" t="s">
        <v>376</v>
      </c>
      <c r="G124" s="8" t="str">
        <f>IFERROR(__xludf.DUMMYFUNCTION(" GOOGLETRANSLATE(A124, ""en"", ""am"")"),"123")</f>
        <v>123</v>
      </c>
      <c r="H124" s="8" t="str">
        <f>IFERROR(__xludf.DUMMYFUNCTION(" GOOGLETRANSLATE(B124, ""en"", ""am"")"),"አንድ ኩዊል ከነጥብ ዞኑ ውጪ ቢያርፍ ምን ይከሰታል?")</f>
        <v>አንድ ኩዊል ከነጥብ ዞኑ ውጪ ቢያርፍ ምን ይከሰታል?</v>
      </c>
      <c r="I124" s="8" t="str">
        <f>IFERROR(__xludf.DUMMYFUNCTION(" GOOGLETRANSLATE(C124, ""en"", ""am"")"),"ሀ. የተሸለሙ ነጥቦች ለ. ምንም ነጥብ አልተሰጠም። ሐ. ኩዊሉ እንደገና ተቀይሯል። መ. ምንም ነጥብ አልተሰጠም።")</f>
        <v>ሀ. የተሸለሙ ነጥቦች ለ. ምንም ነጥብ አልተሰጠም። ሐ. ኩዊሉ እንደገና ተቀይሯል። መ. ምንም ነጥብ አልተሰጠም።</v>
      </c>
      <c r="J124" s="8" t="str">
        <f>IFERROR(__xludf.DUMMYFUNCTION(" GOOGLETRANSLATE(D124, ""en"", ""am"")"),"ከነጥብ ክልል ውጪ ያሉ ኩዊሎች ለነጥብ አይቆጠሩም።")</f>
        <v>ከነጥብ ክልል ውጪ ያሉ ኩዊሎች ለነጥብ አይቆጠሩም።</v>
      </c>
      <c r="K124" s="8" t="str">
        <f>IFERROR(__xludf.DUMMYFUNCTION(" GOOGLETRANSLATE(E124, ""en"", ""am"")"),"ከነጥብ ክልል ውጪ ያሉ ኩዊሎች ለነጥብ አይቆጠሩም።")</f>
        <v>ከነጥብ ክልል ውጪ ያሉ ኩዊሎች ለነጥብ አይቆጠሩም።</v>
      </c>
    </row>
    <row r="125" ht="22.5" customHeight="1">
      <c r="A125" s="6">
        <v>124.0</v>
      </c>
      <c r="B125" s="7" t="s">
        <v>377</v>
      </c>
      <c r="C125" s="7" t="s">
        <v>348</v>
      </c>
      <c r="D125" s="7" t="s">
        <v>378</v>
      </c>
      <c r="E125" s="7" t="s">
        <v>378</v>
      </c>
      <c r="G125" s="8" t="str">
        <f>IFERROR(__xludf.DUMMYFUNCTION(" GOOGLETRANSLATE(A125, ""en"", ""am"")"),"124")</f>
        <v>124</v>
      </c>
      <c r="H125" s="8" t="str">
        <f>IFERROR(__xludf.DUMMYFUNCTION(" GOOGLETRANSLATE(B125, ""en"", ""am"")"),"ከተሳሳተ ቦታ መወርወር ቅጣቱ ምንድን ነው?")</f>
        <v>ከተሳሳተ ቦታ መወርወር ቅጣቱ ምንድን ነው?</v>
      </c>
      <c r="I125" s="8" t="str">
        <f>IFERROR(__xludf.DUMMYFUNCTION(" GOOGLETRANSLATE(C125, ""en"", ""am"")"),"ሀ. መዞሩ ጠፍቷል። ለ. ነጥቦች ተቀንሰዋል ሐ. ምንም ቅጣት የለም. መ. መወርወሩ ልክ ያልሆነ ነው።")</f>
        <v>ሀ. መዞሩ ጠፍቷል። ለ. ነጥቦች ተቀንሰዋል ሐ. ምንም ቅጣት የለም. መ. መወርወሩ ልክ ያልሆነ ነው።</v>
      </c>
      <c r="J125" s="8" t="str">
        <f>IFERROR(__xludf.DUMMYFUNCTION(" GOOGLETRANSLATE(D125, ""en"", ""am"")"),"ከተሳሳተ ቦታ የሚመጡ ውርወራዎች ልክ አይደሉም።")</f>
        <v>ከተሳሳተ ቦታ የሚመጡ ውርወራዎች ልክ አይደሉም።</v>
      </c>
      <c r="K125" s="8" t="str">
        <f>IFERROR(__xludf.DUMMYFUNCTION(" GOOGLETRANSLATE(E125, ""en"", ""am"")"),"ከተሳሳተ ቦታ የሚመጡ ውርወራዎች ልክ አይደሉም።")</f>
        <v>ከተሳሳተ ቦታ የሚመጡ ውርወራዎች ልክ አይደሉም።</v>
      </c>
    </row>
    <row r="126" ht="22.5" customHeight="1">
      <c r="A126" s="6">
        <v>125.0</v>
      </c>
      <c r="B126" s="7" t="s">
        <v>379</v>
      </c>
      <c r="C126" s="7" t="s">
        <v>380</v>
      </c>
      <c r="D126" s="7" t="s">
        <v>381</v>
      </c>
      <c r="E126" s="7" t="s">
        <v>381</v>
      </c>
      <c r="G126" s="8" t="str">
        <f>IFERROR(__xludf.DUMMYFUNCTION(" GOOGLETRANSLATE(A126, ""en"", ""am"")"),"125")</f>
        <v>125</v>
      </c>
      <c r="H126" s="8" t="str">
        <f>IFERROR(__xludf.DUMMYFUNCTION(" GOOGLETRANSLATE(B126, ""en"", ""am"")"),"አንድ ተጫዋች በተራቸው ጊዜ እረፍት መጠየቅ ይችላል?")</f>
        <v>አንድ ተጫዋች በተራቸው ጊዜ እረፍት መጠየቅ ይችላል?</v>
      </c>
      <c r="I126" s="8" t="str">
        <f>IFERROR(__xludf.DUMMYFUNCTION(" GOOGLETRANSLATE(C126, ""en"", ""am"")"),"A. አይ, አይፈቀድም. ለ. ለአደጋ ጊዜ ብቻ ሐ. በዳኛው ይሁንታ ብቻ። መ. በዳኛው ይሁንታ ብቻ።")</f>
        <v>A. አይ, አይፈቀድም. ለ. ለአደጋ ጊዜ ብቻ ሐ. በዳኛው ይሁንታ ብቻ። መ. በዳኛው ይሁንታ ብቻ።</v>
      </c>
      <c r="J126" s="8" t="str">
        <f>IFERROR(__xludf.DUMMYFUNCTION(" GOOGLETRANSLATE(D126, ""en"", ""am"")"),"እረፍቶች ሊጠየቁ የሚችሉት በዳኛ ይሁንታ ብቻ ነው።")</f>
        <v>እረፍቶች ሊጠየቁ የሚችሉት በዳኛ ይሁንታ ብቻ ነው።</v>
      </c>
      <c r="K126" s="8" t="str">
        <f>IFERROR(__xludf.DUMMYFUNCTION(" GOOGLETRANSLATE(E126, ""en"", ""am"")"),"እረፍቶች ሊጠየቁ የሚችሉት በዳኛ ይሁንታ ብቻ ነው።")</f>
        <v>እረፍቶች ሊጠየቁ የሚችሉት በዳኛ ይሁንታ ብቻ ነው።</v>
      </c>
    </row>
    <row r="127" ht="22.5" customHeight="1">
      <c r="A127" s="6">
        <v>126.0</v>
      </c>
      <c r="B127" s="7" t="s">
        <v>382</v>
      </c>
      <c r="C127" s="7" t="s">
        <v>383</v>
      </c>
      <c r="D127" s="7" t="s">
        <v>384</v>
      </c>
      <c r="E127" s="7" t="s">
        <v>384</v>
      </c>
      <c r="G127" s="8" t="str">
        <f>IFERROR(__xludf.DUMMYFUNCTION(" GOOGLETRANSLATE(A127, ""en"", ""am"")"),"126")</f>
        <v>126</v>
      </c>
      <c r="H127" s="8" t="str">
        <f>IFERROR(__xludf.DUMMYFUNCTION(" GOOGLETRANSLATE(B127, ""en"", ""am"")"),"አንድ ተጫዋች በድንገት ወደ ጥፋት መስመሩ ቢገባ ምን ይከሰታል?")</f>
        <v>አንድ ተጫዋች በድንገት ወደ ጥፋት መስመሩ ቢገባ ምን ይከሰታል?</v>
      </c>
      <c r="I127" s="8" t="str">
        <f>IFERROR(__xludf.DUMMYFUNCTION(" GOOGLETRANSLATE(C127, ""en"", ""am"")"),"ሀ. መዞሩ ጠፍቷል። ለ. መወርወሩ ልክ ያልሆነ ነው። ሐ. ምንም ቅጣት የለም. መ. መወርወሩ ልክ ያልሆነ ነው።")</f>
        <v>ሀ. መዞሩ ጠፍቷል። ለ. መወርወሩ ልክ ያልሆነ ነው። ሐ. ምንም ቅጣት የለም. መ. መወርወሩ ልክ ያልሆነ ነው።</v>
      </c>
      <c r="J127" s="8" t="str">
        <f>IFERROR(__xludf.DUMMYFUNCTION(" GOOGLETRANSLATE(D127, ""en"", ""am"")"),"በተሳሳተ መስመር ላይ መርገጥ መወርወሩን ዋጋ የለውም።")</f>
        <v>በተሳሳተ መስመር ላይ መርገጥ መወርወሩን ዋጋ የለውም።</v>
      </c>
      <c r="K127" s="8" t="str">
        <f>IFERROR(__xludf.DUMMYFUNCTION(" GOOGLETRANSLATE(E127, ""en"", ""am"")"),"በተሳሳተ መስመር ላይ መርገጥ መወርወሩን ዋጋ የለውም።")</f>
        <v>በተሳሳተ መስመር ላይ መርገጥ መወርወሩን ዋጋ የለውም።</v>
      </c>
    </row>
    <row r="128" ht="22.5" customHeight="1">
      <c r="A128" s="6">
        <v>127.0</v>
      </c>
      <c r="B128" s="7" t="s">
        <v>385</v>
      </c>
      <c r="C128" s="7" t="s">
        <v>386</v>
      </c>
      <c r="D128" s="7" t="s">
        <v>387</v>
      </c>
      <c r="E128" s="7" t="s">
        <v>387</v>
      </c>
      <c r="G128" s="8" t="str">
        <f>IFERROR(__xludf.DUMMYFUNCTION(" GOOGLETRANSLATE(A128, ""en"", ""am"")"),"127")</f>
        <v>127</v>
      </c>
      <c r="H128" s="8" t="str">
        <f>IFERROR(__xludf.DUMMYFUNCTION(" GOOGLETRANSLATE(B128, ""en"", ""am"")"),"በይፋ ግጥሚያዎች ወቅት ተጫዋቾች ብጁ ኳሶችን መጠቀም ይችላሉ?")</f>
        <v>በይፋ ግጥሚያዎች ወቅት ተጫዋቾች ብጁ ኳሶችን መጠቀም ይችላሉ?</v>
      </c>
      <c r="I128" s="8" t="str">
        <f>IFERROR(__xludf.DUMMYFUNCTION(" GOOGLETRANSLATE(C128, ""en"", ""am"")"),"A. አይ, አይፈቀድም. ለ. በማጽደቅ ብቻ C. በመደበኛ ግጥሚያዎች ብቻ D. ከፀደቀ ጋር ብቻ")</f>
        <v>A. አይ, አይፈቀድም. ለ. በማጽደቅ ብቻ C. በመደበኛ ግጥሚያዎች ብቻ D. ከፀደቀ ጋር ብቻ</v>
      </c>
      <c r="J128" s="8" t="str">
        <f>IFERROR(__xludf.DUMMYFUNCTION(" GOOGLETRANSLATE(D128, ""en"", ""am"")"),"ብጁ ኳሶችን መጠቀም የሚቻለው በይፋ ፈቃድ ብቻ ነው።")</f>
        <v>ብጁ ኳሶችን መጠቀም የሚቻለው በይፋ ፈቃድ ብቻ ነው።</v>
      </c>
      <c r="K128" s="8" t="str">
        <f>IFERROR(__xludf.DUMMYFUNCTION(" GOOGLETRANSLATE(E128, ""en"", ""am"")"),"ብጁ ኳሶችን መጠቀም የሚቻለው በይፋ ፈቃድ ብቻ ነው።")</f>
        <v>ብጁ ኳሶችን መጠቀም የሚቻለው በይፋ ፈቃድ ብቻ ነው።</v>
      </c>
    </row>
    <row r="129" ht="22.5" customHeight="1">
      <c r="A129" s="6">
        <v>128.0</v>
      </c>
      <c r="B129" s="7" t="s">
        <v>388</v>
      </c>
      <c r="C129" s="7" t="s">
        <v>389</v>
      </c>
      <c r="D129" s="7" t="s">
        <v>390</v>
      </c>
      <c r="E129" s="7" t="s">
        <v>390</v>
      </c>
      <c r="G129" s="8" t="str">
        <f>IFERROR(__xludf.DUMMYFUNCTION(" GOOGLETRANSLATE(A129, ""en"", ""am"")"),"128")</f>
        <v>128</v>
      </c>
      <c r="H129" s="8" t="str">
        <f>IFERROR(__xludf.DUMMYFUNCTION(" GOOGLETRANSLATE(B129, ""en"", ""am"")"),"በተራቸው ጊዜ ተቃዋሚን ማዘናጋት የሚያስከትለው መዘዝ ምንድን ነው?")</f>
        <v>በተራቸው ጊዜ ተቃዋሚን ማዘናጋት የሚያስከትለው መዘዝ ምንድን ነው?</v>
      </c>
      <c r="I129" s="8" t="str">
        <f>IFERROR(__xludf.DUMMYFUNCTION(" GOOGLETRANSLATE(C129, ""en"", ""am"")"),"ሀ. ተጫዋቹ ውድቅ ተደርጓል። ለ. ጨዋታው ባለበት ቆሟል። ሐ. የተቀነሱ ነጥቦች መ. ማስጠንቀቂያ ተሰጥቷል።")</f>
        <v>ሀ. ተጫዋቹ ውድቅ ተደርጓል። ለ. ጨዋታው ባለበት ቆሟል። ሐ. የተቀነሱ ነጥቦች መ. ማስጠንቀቂያ ተሰጥቷል።</v>
      </c>
      <c r="J129" s="8" t="str">
        <f>IFERROR(__xludf.DUMMYFUNCTION(" GOOGLETRANSLATE(D129, ""en"", ""am"")"),"ተቃዋሚን ማዘናጋት ማስጠንቀቂያን ያስከትላል።")</f>
        <v>ተቃዋሚን ማዘናጋት ማስጠንቀቂያን ያስከትላል።</v>
      </c>
      <c r="K129" s="8" t="str">
        <f>IFERROR(__xludf.DUMMYFUNCTION(" GOOGLETRANSLATE(E129, ""en"", ""am"")"),"ተቃዋሚን ማዘናጋት ማስጠንቀቂያን ያስከትላል።")</f>
        <v>ተቃዋሚን ማዘናጋት ማስጠንቀቂያን ያስከትላል።</v>
      </c>
    </row>
    <row r="130" ht="22.5" customHeight="1">
      <c r="A130" s="6">
        <v>129.0</v>
      </c>
      <c r="B130" s="7" t="s">
        <v>391</v>
      </c>
      <c r="C130" s="7" t="s">
        <v>392</v>
      </c>
      <c r="D130" s="7" t="s">
        <v>393</v>
      </c>
      <c r="E130" s="7" t="s">
        <v>393</v>
      </c>
      <c r="G130" s="8" t="str">
        <f>IFERROR(__xludf.DUMMYFUNCTION(" GOOGLETRANSLATE(A130, ""en"", ""am"")"),"129")</f>
        <v>129</v>
      </c>
      <c r="H130" s="8" t="str">
        <f>IFERROR(__xludf.DUMMYFUNCTION(" GOOGLETRANSLATE(B130, ""en"", ""am"")"),"የገና የመጫወቻ ሜዳው ኦፊሴላዊ ርዝመት ስንት ነው?")</f>
        <v>የገና የመጫወቻ ሜዳው ኦፊሴላዊ ርዝመት ስንት ነው?</v>
      </c>
      <c r="I130" s="8" t="str">
        <f>IFERROR(__xludf.DUMMYFUNCTION(" GOOGLETRANSLATE(C130, ""en"", ""am"")"),"አ. 15 ሜትር ለ 20 ሜትር ሐ. 25 ሜትር መ 15 ሜትር")</f>
        <v>አ. 15 ሜትር ለ 20 ሜትር ሐ. 25 ሜትር መ 15 ሜትር</v>
      </c>
      <c r="J130" s="8" t="str">
        <f>IFERROR(__xludf.DUMMYFUNCTION(" GOOGLETRANSLATE(D130, ""en"", ""am"")"),"የገና መጫወቻ ሜዳው ኦፊሴላዊ ርዝመት 15 ሜትር ነው.")</f>
        <v>የገና መጫወቻ ሜዳው ኦፊሴላዊ ርዝመት 15 ሜትር ነው.</v>
      </c>
      <c r="K130" s="8" t="str">
        <f>IFERROR(__xludf.DUMMYFUNCTION(" GOOGLETRANSLATE(E130, ""en"", ""am"")"),"የገና መጫወቻ ሜዳው ኦፊሴላዊ ርዝመት 15 ሜትር ነው.")</f>
        <v>የገና መጫወቻ ሜዳው ኦፊሴላዊ ርዝመት 15 ሜትር ነው.</v>
      </c>
    </row>
    <row r="131" ht="22.5" customHeight="1">
      <c r="A131" s="6">
        <v>130.0</v>
      </c>
      <c r="B131" s="7" t="s">
        <v>394</v>
      </c>
      <c r="C131" s="7" t="s">
        <v>395</v>
      </c>
      <c r="D131" s="7" t="s">
        <v>396</v>
      </c>
      <c r="E131" s="7" t="s">
        <v>396</v>
      </c>
      <c r="G131" s="8" t="str">
        <f>IFERROR(__xludf.DUMMYFUNCTION(" GOOGLETRANSLATE(A131, ""en"", ""am"")"),"130")</f>
        <v>130</v>
      </c>
      <c r="H131" s="8" t="str">
        <f>IFERROR(__xludf.DUMMYFUNCTION(" GOOGLETRANSLATE(B131, ""en"", ""am"")"),"ዳኛ የተጫዋቹን ጎል የማስቆጠር ውሳኔ መሻር ይችላል?")</f>
        <v>ዳኛ የተጫዋቹን ጎል የማስቆጠር ውሳኔ መሻር ይችላል?</v>
      </c>
      <c r="I131" s="8" t="str">
        <f>IFERROR(__xludf.DUMMYFUNCTION(" GOOGLETRANSLATE(C131, ""en"", ""am"")"),"A. አይ, አይፈቀድም. ለ. ደንቦቹ ከተጣሱ ብቻ. ሐ. በቡድን ስምምነት ብቻ መ. ህጎቹ ከተጣሱ ብቻ ነው.")</f>
        <v>A. አይ, አይፈቀድም. ለ. ደንቦቹ ከተጣሱ ብቻ. ሐ. በቡድን ስምምነት ብቻ መ. ህጎቹ ከተጣሱ ብቻ ነው.</v>
      </c>
      <c r="J131" s="8" t="str">
        <f>IFERROR(__xludf.DUMMYFUNCTION(" GOOGLETRANSLATE(D131, ""en"", ""am"")"),"ዳኛው ውሳኔዎችን መሻር የሚችሉት ህጎቹ ከተጣሱ ብቻ ነው.")</f>
        <v>ዳኛው ውሳኔዎችን መሻር የሚችሉት ህጎቹ ከተጣሱ ብቻ ነው.</v>
      </c>
      <c r="K131" s="8" t="str">
        <f>IFERROR(__xludf.DUMMYFUNCTION(" GOOGLETRANSLATE(E131, ""en"", ""am"")"),"ዳኛው ውሳኔዎችን መሻር የሚችሉት ህጎቹ ከተጣሱ ብቻ ነው.")</f>
        <v>ዳኛው ውሳኔዎችን መሻር የሚችሉት ህጎቹ ከተጣሱ ብቻ ነው.</v>
      </c>
    </row>
    <row r="132" ht="22.5" customHeight="1">
      <c r="A132" s="6">
        <v>131.0</v>
      </c>
      <c r="B132" s="7" t="s">
        <v>397</v>
      </c>
      <c r="C132" s="7" t="s">
        <v>398</v>
      </c>
      <c r="D132" s="7" t="s">
        <v>399</v>
      </c>
      <c r="E132" s="7" t="s">
        <v>399</v>
      </c>
      <c r="G132" s="8" t="str">
        <f>IFERROR(__xludf.DUMMYFUNCTION(" GOOGLETRANSLATE(A132, ""en"", ""am"")"),"131")</f>
        <v>131</v>
      </c>
      <c r="H132" s="8" t="str">
        <f>IFERROR(__xludf.DUMMYFUNCTION(" GOOGLETRANSLATE(B132, ""en"", ""am"")"),"አንድ ተጫዋች ሆን ብሎ ጨዋታውን ቢዘገይ ምን ይሆናል?")</f>
        <v>አንድ ተጫዋች ሆን ብሎ ጨዋታውን ቢዘገይ ምን ይሆናል?</v>
      </c>
      <c r="I132" s="8" t="str">
        <f>IFERROR(__xludf.DUMMYFUNCTION(" GOOGLETRANSLATE(C132, ""en"", ""am"")"),"ሀ. ማስጠንቀቂያ ተሰጥቷል። ለ. ነጥብ ተቀንሷል ሐ. ግጥሚያው ቆሟል። መ. ማስጠንቀቂያ ተሰጥቷል።")</f>
        <v>ሀ. ማስጠንቀቂያ ተሰጥቷል። ለ. ነጥብ ተቀንሷል ሐ. ግጥሚያው ቆሟል። መ. ማስጠንቀቂያ ተሰጥቷል።</v>
      </c>
      <c r="J132" s="8" t="str">
        <f>IFERROR(__xludf.DUMMYFUNCTION(" GOOGLETRANSLATE(D132, ""en"", ""am"")"),"ሆን ተብሎ መዘግየት ማስጠንቀቂያን ያስከትላል።")</f>
        <v>ሆን ተብሎ መዘግየት ማስጠንቀቂያን ያስከትላል።</v>
      </c>
      <c r="K132" s="8" t="str">
        <f>IFERROR(__xludf.DUMMYFUNCTION(" GOOGLETRANSLATE(E132, ""en"", ""am"")"),"ሆን ተብሎ መዘግየት ማስጠንቀቂያን ያስከትላል።")</f>
        <v>ሆን ተብሎ መዘግየት ማስጠንቀቂያን ያስከትላል።</v>
      </c>
    </row>
    <row r="133" ht="22.5" customHeight="1">
      <c r="A133" s="6">
        <v>132.0</v>
      </c>
      <c r="B133" s="7" t="s">
        <v>400</v>
      </c>
      <c r="C133" s="7" t="s">
        <v>401</v>
      </c>
      <c r="D133" s="7" t="s">
        <v>402</v>
      </c>
      <c r="E133" s="7" t="s">
        <v>402</v>
      </c>
      <c r="G133" s="8" t="str">
        <f>IFERROR(__xludf.DUMMYFUNCTION(" GOOGLETRANSLATE(A133, ""en"", ""am"")"),"132")</f>
        <v>132</v>
      </c>
      <c r="H133" s="8" t="str">
        <f>IFERROR(__xludf.DUMMYFUNCTION(" GOOGLETRANSLATE(B133, ""en"", ""am"")"),"በገና ቡድን ውስጥ ስንት ተጫዋቾች ይፈቀዳሉ?")</f>
        <v>በገና ቡድን ውስጥ ስንት ተጫዋቾች ይፈቀዳሉ?</v>
      </c>
      <c r="I133" s="8" t="str">
        <f>IFERROR(__xludf.DUMMYFUNCTION(" GOOGLETRANSLATE(C133, ""en"", ""am"")"),"አ.3 ለ 4 ሐ. 5 ዲ. 4")</f>
        <v>አ.3 ለ 4 ሐ. 5 ዲ. 4</v>
      </c>
      <c r="J133" s="8" t="str">
        <f>IFERROR(__xludf.DUMMYFUNCTION(" GOOGLETRANSLATE(D133, ""en"", ""am"")"),"እያንዳንዱ የገና ቡድን 4 ተጫዋቾችን ያቀፈ ነው።")</f>
        <v>እያንዳንዱ የገና ቡድን 4 ተጫዋቾችን ያቀፈ ነው።</v>
      </c>
      <c r="K133" s="8" t="str">
        <f>IFERROR(__xludf.DUMMYFUNCTION(" GOOGLETRANSLATE(E133, ""en"", ""am"")"),"እያንዳንዱ የገና ቡድን 4 ተጫዋቾችን ያቀፈ ነው።")</f>
        <v>እያንዳንዱ የገና ቡድን 4 ተጫዋቾችን ያቀፈ ነው።</v>
      </c>
    </row>
    <row r="134" ht="22.5" customHeight="1">
      <c r="A134" s="6">
        <v>133.0</v>
      </c>
      <c r="B134" s="7" t="s">
        <v>403</v>
      </c>
      <c r="C134" s="7" t="s">
        <v>404</v>
      </c>
      <c r="D134" s="7" t="s">
        <v>405</v>
      </c>
      <c r="E134" s="7" t="s">
        <v>405</v>
      </c>
      <c r="G134" s="8" t="str">
        <f>IFERROR(__xludf.DUMMYFUNCTION(" GOOGLETRANSLATE(A134, ""en"", ""am"")"),"133")</f>
        <v>133</v>
      </c>
      <c r="H134" s="8" t="str">
        <f>IFERROR(__xludf.DUMMYFUNCTION(" GOOGLETRANSLATE(B134, ""en"", ""am"")"),"አንድ ተጫዋች ጨዋታው ከመጀመሩ በፊት ሜዳ ላይ ልምምድ ማድረግ ይችላል?")</f>
        <v>አንድ ተጫዋች ጨዋታው ከመጀመሩ በፊት ሜዳ ላይ ልምምድ ማድረግ ይችላል?</v>
      </c>
      <c r="I134" s="8" t="str">
        <f>IFERROR(__xludf.DUMMYFUNCTION(" GOOGLETRANSLATE(C134, ""en"", ""am"")"),"A. አይ, አይፈቀድም. ለ. ሲሞቅ ብቻ ሐ. በዳኛው ይሁንታ ብቻ። መ. ሲሞቅ ብቻ")</f>
        <v>A. አይ, አይፈቀድም. ለ. ሲሞቅ ብቻ ሐ. በዳኛው ይሁንታ ብቻ። መ. ሲሞቅ ብቻ</v>
      </c>
      <c r="J134" s="8" t="str">
        <f>IFERROR(__xludf.DUMMYFUNCTION(" GOOGLETRANSLATE(D134, ""en"", ""am"")"),"ተጫዋቾች በተመደቡት የማሞቅ ጊዜ ብቻ ልምምድ ማድረግ ይችላሉ።")</f>
        <v>ተጫዋቾች በተመደቡት የማሞቅ ጊዜ ብቻ ልምምድ ማድረግ ይችላሉ።</v>
      </c>
      <c r="K134" s="8" t="str">
        <f>IFERROR(__xludf.DUMMYFUNCTION(" GOOGLETRANSLATE(E134, ""en"", ""am"")"),"ተጫዋቾች በተመደቡት የማሞቅ ጊዜ ብቻ ልምምድ ማድረግ ይችላሉ።")</f>
        <v>ተጫዋቾች በተመደቡት የማሞቅ ጊዜ ብቻ ልምምድ ማድረግ ይችላሉ።</v>
      </c>
    </row>
    <row r="135" ht="22.5" customHeight="1">
      <c r="A135" s="6">
        <v>134.0</v>
      </c>
      <c r="B135" s="7" t="s">
        <v>406</v>
      </c>
      <c r="C135" s="7" t="s">
        <v>324</v>
      </c>
      <c r="D135" s="7" t="s">
        <v>407</v>
      </c>
      <c r="E135" s="7" t="s">
        <v>407</v>
      </c>
      <c r="G135" s="8" t="str">
        <f>IFERROR(__xludf.DUMMYFUNCTION(" GOOGLETRANSLATE(A135, ""en"", ""am"")"),"134")</f>
        <v>134</v>
      </c>
      <c r="H135" s="8" t="str">
        <f>IFERROR(__xludf.DUMMYFUNCTION(" GOOGLETRANSLATE(B135, ""en"", ""am"")"),"የውሸት ጅምር ቅጣቱ ምንድን ነው?")</f>
        <v>የውሸት ጅምር ቅጣቱ ምንድን ነው?</v>
      </c>
      <c r="I135" s="8" t="str">
        <f>IFERROR(__xludf.DUMMYFUNCTION(" GOOGLETRANSLATE(C135, ""en"", ""am"")"),"ሀ. መዞሩ ጠፍቷል። ለ. ነጥቦች ተቀንሰዋል ሐ. ጨዋታው ባለበት ቆሟል። መ. ማስጠንቀቂያ ተሰጥቷል።")</f>
        <v>ሀ. መዞሩ ጠፍቷል። ለ. ነጥቦች ተቀንሰዋል ሐ. ጨዋታው ባለበት ቆሟል። መ. ማስጠንቀቂያ ተሰጥቷል።</v>
      </c>
      <c r="J135" s="8" t="str">
        <f>IFERROR(__xludf.DUMMYFUNCTION(" GOOGLETRANSLATE(D135, ""en"", ""am"")"),"የውሸት ጅምር ማስጠንቀቂያ ያስከትላል።")</f>
        <v>የውሸት ጅምር ማስጠንቀቂያ ያስከትላል።</v>
      </c>
      <c r="K135" s="8" t="str">
        <f>IFERROR(__xludf.DUMMYFUNCTION(" GOOGLETRANSLATE(E135, ""en"", ""am"")"),"የውሸት ጅምር ማስጠንቀቂያ ያስከትላል።")</f>
        <v>የውሸት ጅምር ማስጠንቀቂያ ያስከትላል።</v>
      </c>
    </row>
    <row r="136" ht="22.5" customHeight="1">
      <c r="A136" s="6">
        <v>135.0</v>
      </c>
      <c r="B136" s="7" t="s">
        <v>408</v>
      </c>
      <c r="C136" s="7" t="s">
        <v>409</v>
      </c>
      <c r="D136" s="7" t="s">
        <v>410</v>
      </c>
      <c r="E136" s="7" t="s">
        <v>410</v>
      </c>
      <c r="G136" s="8" t="str">
        <f>IFERROR(__xludf.DUMMYFUNCTION(" GOOGLETRANSLATE(A136, ""en"", ""am"")"),"135")</f>
        <v>135</v>
      </c>
      <c r="H136" s="8" t="str">
        <f>IFERROR(__xludf.DUMMYFUNCTION(" GOOGLETRANSLATE(B136, ""en"", ""am"")"),"በገና ግጥሚያ ውስጥ ከፍተኛው የዙሮች ብዛት ስንት ነው?")</f>
        <v>በገና ግጥሚያ ውስጥ ከፍተኛው የዙሮች ብዛት ስንት ነው?</v>
      </c>
      <c r="I136" s="8" t="str">
        <f>IFERROR(__xludf.DUMMYFUNCTION(" GOOGLETRANSLATE(C136, ""en"", ""am"")"),"አ. 7 ለ 10 ሐ. 12 ዲ. 10")</f>
        <v>አ. 7 ለ 10 ሐ. 12 ዲ. 10</v>
      </c>
      <c r="J136" s="8" t="str">
        <f>IFERROR(__xludf.DUMMYFUNCTION(" GOOGLETRANSLATE(D136, ""en"", ""am"")"),"የገና ግጥሚያ ቢበዛ 10 ዙሮች ሊኖሩት ይችላል።")</f>
        <v>የገና ግጥሚያ ቢበዛ 10 ዙሮች ሊኖሩት ይችላል።</v>
      </c>
      <c r="K136" s="8" t="str">
        <f>IFERROR(__xludf.DUMMYFUNCTION(" GOOGLETRANSLATE(E136, ""en"", ""am"")"),"የገና ግጥሚያ ቢበዛ 10 ዙሮች ሊኖሩት ይችላል።")</f>
        <v>የገና ግጥሚያ ቢበዛ 10 ዙሮች ሊኖሩት ይችላል።</v>
      </c>
    </row>
    <row r="137" ht="22.5" customHeight="1">
      <c r="A137" s="6">
        <v>136.0</v>
      </c>
      <c r="B137" s="7" t="s">
        <v>411</v>
      </c>
      <c r="C137" s="7" t="s">
        <v>412</v>
      </c>
      <c r="D137" s="7" t="s">
        <v>413</v>
      </c>
      <c r="E137" s="7" t="s">
        <v>413</v>
      </c>
      <c r="G137" s="8" t="str">
        <f>IFERROR(__xludf.DUMMYFUNCTION(" GOOGLETRANSLATE(A137, ""en"", ""am"")"),"136")</f>
        <v>136</v>
      </c>
      <c r="H137" s="8" t="str">
        <f>IFERROR(__xludf.DUMMYFUNCTION(" GOOGLETRANSLATE(B137, ""en"", ""am"")"),"ተጫዋቾች በጨዋታ ጊዜ የዳኛውን ውሳኔ መቃወም ይችላሉ?")</f>
        <v>ተጫዋቾች በጨዋታ ጊዜ የዳኛውን ውሳኔ መቃወም ይችላሉ?</v>
      </c>
      <c r="I137" s="8" t="str">
        <f>IFERROR(__xludf.DUMMYFUNCTION(" GOOGLETRANSLATE(C137, ""en"", ""am"")"),"A. አይ, አይፈቀድም. ለ. በማስረጃ ብቻ ሐ. በእረፍት ጊዜ ብቻ መ. በማስረጃ ብቻ")</f>
        <v>A. አይ, አይፈቀድም. ለ. በማስረጃ ብቻ ሐ. በእረፍት ጊዜ ብቻ መ. በማስረጃ ብቻ</v>
      </c>
      <c r="J137" s="8" t="str">
        <f>IFERROR(__xludf.DUMMYFUNCTION(" GOOGLETRANSLATE(D137, ""en"", ""am"")"),"ክርክሮች ሊፈጠሩ የሚችሉት በማስረጃ ብቻ ነው።")</f>
        <v>ክርክሮች ሊፈጠሩ የሚችሉት በማስረጃ ብቻ ነው።</v>
      </c>
      <c r="K137" s="8" t="str">
        <f>IFERROR(__xludf.DUMMYFUNCTION(" GOOGLETRANSLATE(E137, ""en"", ""am"")"),"ክርክሮች ሊፈጠሩ የሚችሉት በማስረጃ ብቻ ነው።")</f>
        <v>ክርክሮች ሊፈጠሩ የሚችሉት በማስረጃ ብቻ ነው።</v>
      </c>
    </row>
    <row r="138" ht="22.5" customHeight="1">
      <c r="A138" s="6">
        <v>137.0</v>
      </c>
      <c r="B138" s="7" t="s">
        <v>414</v>
      </c>
      <c r="C138" s="7" t="s">
        <v>415</v>
      </c>
      <c r="D138" s="7" t="s">
        <v>416</v>
      </c>
      <c r="E138" s="7" t="s">
        <v>416</v>
      </c>
      <c r="G138" s="8" t="str">
        <f>IFERROR(__xludf.DUMMYFUNCTION(" GOOGLETRANSLATE(A138, ""en"", ""am"")"),"137")</f>
        <v>137</v>
      </c>
      <c r="H138" s="8" t="str">
        <f>IFERROR(__xludf.DUMMYFUNCTION(" GOOGLETRANSLATE(B138, ""en"", ""am"")"),"አንድ ኳስ በአንድ ውርወራ ውስጥ ብዙ ኩዊሎችን ቢያንኳኳ ምን ይሆናል?")</f>
        <v>አንድ ኳስ በአንድ ውርወራ ውስጥ ብዙ ኩዊሎችን ቢያንኳኳ ምን ይሆናል?</v>
      </c>
      <c r="I138" s="8" t="str">
        <f>IFERROR(__xludf.DUMMYFUNCTION(" GOOGLETRANSLATE(C138, ""en"", ""am"")"),"ሀ. አንድ ኩዊል ብቻ ነው የሚቆጠረው። ለ. ነጥቦች አንድ ላይ ተደምረው ሐ. ምንም ነጥብ አልተሰጠም። መ. ነጥቦች አንድ ላይ ተጨምረዋል")</f>
        <v>ሀ. አንድ ኩዊል ብቻ ነው የሚቆጠረው። ለ. ነጥቦች አንድ ላይ ተደምረው ሐ. ምንም ነጥብ አልተሰጠም። መ. ነጥቦች አንድ ላይ ተጨምረዋል</v>
      </c>
      <c r="J138" s="8" t="str">
        <f>IFERROR(__xludf.DUMMYFUNCTION(" GOOGLETRANSLATE(D138, ""en"", ""am"")"),"የሁሉም የተቀነሱ ኩዊሎች ነጥቦች አንድ ላይ ተጨምረዋል።")</f>
        <v>የሁሉም የተቀነሱ ኩዊሎች ነጥቦች አንድ ላይ ተጨምረዋል።</v>
      </c>
      <c r="K138" s="8" t="str">
        <f>IFERROR(__xludf.DUMMYFUNCTION(" GOOGLETRANSLATE(E138, ""en"", ""am"")"),"የሁሉም የተቀነሱ ኩዊሎች ነጥቦች አንድ ላይ ተጨምረዋል።")</f>
        <v>የሁሉም የተቀነሱ ኩዊሎች ነጥቦች አንድ ላይ ተጨምረዋል።</v>
      </c>
    </row>
    <row r="139" ht="22.5" customHeight="1">
      <c r="A139" s="6">
        <v>138.0</v>
      </c>
      <c r="B139" s="7" t="s">
        <v>198</v>
      </c>
      <c r="C139" s="7" t="s">
        <v>417</v>
      </c>
      <c r="D139" s="7" t="s">
        <v>418</v>
      </c>
      <c r="E139" s="7" t="s">
        <v>418</v>
      </c>
      <c r="G139" s="8" t="str">
        <f>IFERROR(__xludf.DUMMYFUNCTION(" GOOGLETRANSLATE(A139, ""en"", ""am"")"),"138")</f>
        <v>138</v>
      </c>
      <c r="H139" s="8" t="str">
        <f>IFERROR(__xludf.DUMMYFUNCTION(" GOOGLETRANSLATE(B139, ""en"", ""am"")"),"ስፖርታዊ ጨዋነት የጎደለው ድርጊት ምን መዘዝ ያስከትላል?")</f>
        <v>ስፖርታዊ ጨዋነት የጎደለው ድርጊት ምን መዘዝ ያስከትላል?</v>
      </c>
      <c r="I139" s="8" t="str">
        <f>IFERROR(__xludf.DUMMYFUNCTION(" GOOGLETRANSLATE(C139, ""en"", ""am"")"),"ሀ. ተጫዋቹ ውድቅ ተደርጓል። ለ. ነጥብ ተቀንሷል ሐ. ግጥሚያው ቆሟል። መ. ማስጠንቀቂያ ተሰጥቷል።")</f>
        <v>ሀ. ተጫዋቹ ውድቅ ተደርጓል። ለ. ነጥብ ተቀንሷል ሐ. ግጥሚያው ቆሟል። መ. ማስጠንቀቂያ ተሰጥቷል።</v>
      </c>
      <c r="J139" s="8" t="str">
        <f>IFERROR(__xludf.DUMMYFUNCTION(" GOOGLETRANSLATE(D139, ""en"", ""am"")"),"ስፖርታዊ ያልሆነ ባህሪ ማስጠንቀቂያን ያስከትላል።")</f>
        <v>ስፖርታዊ ያልሆነ ባህሪ ማስጠንቀቂያን ያስከትላል።</v>
      </c>
      <c r="K139" s="8" t="str">
        <f>IFERROR(__xludf.DUMMYFUNCTION(" GOOGLETRANSLATE(E139, ""en"", ""am"")"),"ስፖርታዊ ያልሆነ ባህሪ ማስጠንቀቂያን ያስከትላል።")</f>
        <v>ስፖርታዊ ያልሆነ ባህሪ ማስጠንቀቂያን ያስከትላል።</v>
      </c>
    </row>
    <row r="140" ht="22.5" customHeight="1">
      <c r="A140" s="6">
        <v>139.0</v>
      </c>
      <c r="B140" s="7" t="s">
        <v>419</v>
      </c>
      <c r="C140" s="7" t="s">
        <v>420</v>
      </c>
      <c r="D140" s="7" t="s">
        <v>421</v>
      </c>
      <c r="E140" s="7" t="s">
        <v>421</v>
      </c>
      <c r="G140" s="8" t="str">
        <f>IFERROR(__xludf.DUMMYFUNCTION(" GOOGLETRANSLATE(A140, ""en"", ""am"")"),"139")</f>
        <v>139</v>
      </c>
      <c r="H140" s="8" t="str">
        <f>IFERROR(__xludf.DUMMYFUNCTION(" GOOGLETRANSLATE(B140, ""en"", ""am"")"),"አንድ ቡድን በገዛ ፈቃዱ ጨዋታውን ሊሸነፍ ይችላል?")</f>
        <v>አንድ ቡድን በገዛ ፈቃዱ ጨዋታውን ሊሸነፍ ይችላል?</v>
      </c>
      <c r="I140" s="8" t="str">
        <f>IFERROR(__xludf.DUMMYFUNCTION(" GOOGLETRANSLATE(C140, ""en"", ""am"")"),"A. አይ, አይፈቀድም. ለ. በዳኛው ይሁንታ ብቻ። ሐ. በድንገተኛ ሁኔታዎች ብቻ D. አዎ፣ በማንኛውም ጊዜ።")</f>
        <v>A. አይ, አይፈቀድም. ለ. በዳኛው ይሁንታ ብቻ። ሐ. በድንገተኛ ሁኔታዎች ብቻ D. አዎ፣ በማንኛውም ጊዜ።</v>
      </c>
      <c r="J140" s="8" t="str">
        <f>IFERROR(__xludf.DUMMYFUNCTION(" GOOGLETRANSLATE(D140, ""en"", ""am"")"),"ቡድኖች በማንኛውም ጊዜ ጨዋታቸውን በፈቃደኝነት ሊያጡ ይችላሉ።")</f>
        <v>ቡድኖች በማንኛውም ጊዜ ጨዋታቸውን በፈቃደኝነት ሊያጡ ይችላሉ።</v>
      </c>
      <c r="K140" s="8" t="str">
        <f>IFERROR(__xludf.DUMMYFUNCTION(" GOOGLETRANSLATE(E140, ""en"", ""am"")"),"ቡድኖች በማንኛውም ጊዜ ጨዋታቸውን በፈቃደኝነት ሊያጡ ይችላሉ።")</f>
        <v>ቡድኖች በማንኛውም ጊዜ ጨዋታቸውን በፈቃደኝነት ሊያጡ ይችላሉ።</v>
      </c>
    </row>
    <row r="141" ht="22.5" customHeight="1">
      <c r="A141" s="6">
        <v>140.0</v>
      </c>
      <c r="B141" s="7" t="s">
        <v>422</v>
      </c>
      <c r="C141" s="7" t="s">
        <v>423</v>
      </c>
      <c r="D141" s="7" t="s">
        <v>424</v>
      </c>
      <c r="E141" s="7" t="s">
        <v>424</v>
      </c>
      <c r="G141" s="8" t="str">
        <f>IFERROR(__xludf.DUMMYFUNCTION(" GOOGLETRANSLATE(A141, ""en"", ""am"")"),"140")</f>
        <v>140</v>
      </c>
      <c r="H141" s="8" t="str">
        <f>IFERROR(__xludf.DUMMYFUNCTION(" GOOGLETRANSLATE(B141, ""en"", ""am"")"),"ግጥሚያ በአቻ ውጤት ከተጠናቀቀ ምን ይከሰታል?")</f>
        <v>ግጥሚያ በአቻ ውጤት ከተጠናቀቀ ምን ይከሰታል?</v>
      </c>
      <c r="I141" s="8" t="str">
        <f>IFERROR(__xludf.DUMMYFUNCTION(" GOOGLETRANSLATE(C141, ""en"", ""am"")"),"ሀ. የማጣሪያው ዙር ተካሂዷል። ለ. ነጥቦች በእኩል ይከፈላሉ. ሐ. ዳኛው አሸናፊውን ይወስናል. መ. የማጣሪያው ዙር ተካሂዷል።")</f>
        <v>ሀ. የማጣሪያው ዙር ተካሂዷል። ለ. ነጥቦች በእኩል ይከፈላሉ. ሐ. ዳኛው አሸናፊውን ይወስናል. መ. የማጣሪያው ዙር ተካሂዷል።</v>
      </c>
      <c r="J141" s="8" t="str">
        <f>IFERROR(__xludf.DUMMYFUNCTION(" GOOGLETRANSLATE(D141, ""en"", ""am"")"),"የተሳሰሩ ግጥሚያዎች በማጣርያ ዙር መፍትሄ ያገኛሉ።")</f>
        <v>የተሳሰሩ ግጥሚያዎች በማጣርያ ዙር መፍትሄ ያገኛሉ።</v>
      </c>
      <c r="K141" s="8" t="str">
        <f>IFERROR(__xludf.DUMMYFUNCTION(" GOOGLETRANSLATE(E141, ""en"", ""am"")"),"የተሳሰሩ ግጥሚያዎች በማጣርያ ዙር መፍትሄ ያገኛሉ።")</f>
        <v>የተሳሰሩ ግጥሚያዎች በማጣርያ ዙር መፍትሄ ያገኛሉ።</v>
      </c>
    </row>
    <row r="142" ht="22.5" customHeight="1">
      <c r="A142" s="6">
        <v>141.0</v>
      </c>
      <c r="B142" s="7" t="s">
        <v>425</v>
      </c>
      <c r="C142" s="7" t="s">
        <v>426</v>
      </c>
      <c r="D142" s="7" t="s">
        <v>427</v>
      </c>
      <c r="E142" s="7" t="s">
        <v>427</v>
      </c>
      <c r="G142" s="8" t="str">
        <f>IFERROR(__xludf.DUMMYFUNCTION(" GOOGLETRANSLATE(A142, ""en"", ""am"")"),"141")</f>
        <v>141</v>
      </c>
      <c r="H142" s="8" t="str">
        <f>IFERROR(__xludf.DUMMYFUNCTION(" GOOGLETRANSLATE(B142, ""en"", ""am"")"),"ተመልካቾች በጨዋታው ውጤት ላይ ተጽዕኖ ሊያሳድሩ ይችላሉ?")</f>
        <v>ተመልካቾች በጨዋታው ውጤት ላይ ተጽዕኖ ሊያሳድሩ ይችላሉ?</v>
      </c>
      <c r="I142" s="8" t="str">
        <f>IFERROR(__xludf.DUMMYFUNCTION(" GOOGLETRANSLATE(C142, ""en"", ""am"")"),"A. አይ, አይፈቀድም. ለ. በዳኛው ይሁንታ ብቻ። ሐ. በልዩ ዝግጅቶች ጊዜ ብቻ መ. አይ, አይፈቀድም.")</f>
        <v>A. አይ, አይፈቀድም. ለ. በዳኛው ይሁንታ ብቻ። ሐ. በልዩ ዝግጅቶች ጊዜ ብቻ መ. አይ, አይፈቀድም.</v>
      </c>
      <c r="J142" s="8" t="str">
        <f>IFERROR(__xludf.DUMMYFUNCTION(" GOOGLETRANSLATE(D142, ""en"", ""am"")"),"ተመልካቾች በጨዋታው ውጤት ላይ ተጽዕኖ ማሳደር አይችሉም።")</f>
        <v>ተመልካቾች በጨዋታው ውጤት ላይ ተጽዕኖ ማሳደር አይችሉም።</v>
      </c>
      <c r="K142" s="8" t="str">
        <f>IFERROR(__xludf.DUMMYFUNCTION(" GOOGLETRANSLATE(E142, ""en"", ""am"")"),"ተመልካቾች በጨዋታው ውጤት ላይ ተጽዕኖ ማሳደር አይችሉም።")</f>
        <v>ተመልካቾች በጨዋታው ውጤት ላይ ተጽዕኖ ማሳደር አይችሉም።</v>
      </c>
    </row>
    <row r="143" ht="22.5" customHeight="1">
      <c r="A143" s="6">
        <v>142.0</v>
      </c>
      <c r="B143" s="7" t="s">
        <v>428</v>
      </c>
      <c r="C143" s="7" t="s">
        <v>429</v>
      </c>
      <c r="D143" s="7" t="s">
        <v>430</v>
      </c>
      <c r="E143" s="7" t="s">
        <v>430</v>
      </c>
      <c r="G143" s="8" t="str">
        <f>IFERROR(__xludf.DUMMYFUNCTION(" GOOGLETRANSLATE(A143, ""en"", ""am"")"),"142")</f>
        <v>142</v>
      </c>
      <c r="H143" s="8" t="str">
        <f>IFERROR(__xludf.DUMMYFUNCTION(" GOOGLETRANSLATE(B143, ""en"", ""am"")"),"የገና ኳስ ከፍተኛው ክብደት ስንት ነው?")</f>
        <v>የገና ኳስ ከፍተኛው ክብደት ስንት ነው?</v>
      </c>
      <c r="I143" s="8" t="str">
        <f>IFERROR(__xludf.DUMMYFUNCTION(" GOOGLETRANSLATE(C143, ""en"", ""am"")"),"ሀ 3 ኪ.ግ ለ 4 ኪ.ግ ሐ. 5 ኪ.ግ መ. 3 ኪ.ግ")</f>
        <v>ሀ 3 ኪ.ግ ለ 4 ኪ.ግ ሐ. 5 ኪ.ግ መ. 3 ኪ.ግ</v>
      </c>
      <c r="J143" s="8" t="str">
        <f>IFERROR(__xludf.DUMMYFUNCTION(" GOOGLETRANSLATE(D143, ""en"", ""am"")"),"የገና ኳስ ከፍተኛው ክብደት 3 ኪ.ግ ነው.")</f>
        <v>የገና ኳስ ከፍተኛው ክብደት 3 ኪ.ግ ነው.</v>
      </c>
      <c r="K143" s="8" t="str">
        <f>IFERROR(__xludf.DUMMYFUNCTION(" GOOGLETRANSLATE(E143, ""en"", ""am"")"),"የገና ኳስ ከፍተኛው ክብደት 3 ኪ.ግ ነው.")</f>
        <v>የገና ኳስ ከፍተኛው ክብደት 3 ኪ.ግ ነው.</v>
      </c>
    </row>
    <row r="144" ht="22.5" customHeight="1">
      <c r="A144" s="6">
        <v>143.0</v>
      </c>
      <c r="B144" s="7" t="s">
        <v>431</v>
      </c>
      <c r="C144" s="7" t="s">
        <v>432</v>
      </c>
      <c r="D144" s="7" t="s">
        <v>433</v>
      </c>
      <c r="E144" s="7" t="s">
        <v>433</v>
      </c>
      <c r="G144" s="8" t="str">
        <f>IFERROR(__xludf.DUMMYFUNCTION(" GOOGLETRANSLATE(A144, ""en"", ""am"")"),"143")</f>
        <v>143</v>
      </c>
      <c r="H144" s="8" t="str">
        <f>IFERROR(__xludf.DUMMYFUNCTION(" GOOGLETRANSLATE(B144, ""en"", ""am"")"),"በጨዋታ ጊዜ ኩዊልስ መተካት ይቻላል?")</f>
        <v>በጨዋታ ጊዜ ኩዊልስ መተካት ይቻላል?</v>
      </c>
      <c r="I144" s="8" t="str">
        <f>IFERROR(__xludf.DUMMYFUNCTION(" GOOGLETRANSLATE(C144, ""en"", ""am"")"),"A. አይ, አይፈቀድም. ቢ ቢሰበር ብቻ። ሐ. በቡድን ስምምነት ብቻ መ. ከተበላሸ ብቻ.")</f>
        <v>A. አይ, አይፈቀድም. ቢ ቢሰበር ብቻ። ሐ. በቡድን ስምምነት ብቻ መ. ከተበላሸ ብቻ.</v>
      </c>
      <c r="J144" s="8" t="str">
        <f>IFERROR(__xludf.DUMMYFUNCTION(" GOOGLETRANSLATE(D144, ""en"", ""am"")"),"ጥቅልሎች ከተበላሹ ብቻ ሊተኩ ይችላሉ.")</f>
        <v>ጥቅልሎች ከተበላሹ ብቻ ሊተኩ ይችላሉ.</v>
      </c>
      <c r="K144" s="8" t="str">
        <f>IFERROR(__xludf.DUMMYFUNCTION(" GOOGLETRANSLATE(E144, ""en"", ""am"")"),"ጥቅልሎች ከተበላሹ ብቻ ሊተኩ ይችላሉ.")</f>
        <v>ጥቅልሎች ከተበላሹ ብቻ ሊተኩ ይችላሉ.</v>
      </c>
    </row>
    <row r="145" ht="22.5" customHeight="1">
      <c r="A145" s="6">
        <v>144.0</v>
      </c>
      <c r="B145" s="7" t="s">
        <v>434</v>
      </c>
      <c r="C145" s="7" t="s">
        <v>435</v>
      </c>
      <c r="D145" s="7" t="s">
        <v>436</v>
      </c>
      <c r="E145" s="7" t="s">
        <v>436</v>
      </c>
      <c r="G145" s="8" t="str">
        <f>IFERROR(__xludf.DUMMYFUNCTION(" GOOGLETRANSLATE(A145, ""en"", ""am"")"),"144")</f>
        <v>144</v>
      </c>
      <c r="H145" s="8" t="str">
        <f>IFERROR(__xludf.DUMMYFUNCTION(" GOOGLETRANSLATE(B145, ""en"", ""am"")"),"አንድ ተጫዋች ከዳኛው ጋር ቢጨቃጨቅ ምን ይሆናል?")</f>
        <v>አንድ ተጫዋች ከዳኛው ጋር ቢጨቃጨቅ ምን ይሆናል?</v>
      </c>
      <c r="I145" s="8" t="str">
        <f>IFERROR(__xludf.DUMMYFUNCTION(" GOOGLETRANSLATE(C145, ""en"", ""am"")"),"ሀ. ተጫዋቹ ውድቅ ተደርጓል። ለ. ግጥሚያው ቆሟል። ሐ. ምንም ቅጣት የለም. መ. ማስጠንቀቂያ ተሰጥቷል።")</f>
        <v>ሀ. ተጫዋቹ ውድቅ ተደርጓል። ለ. ግጥሚያው ቆሟል። ሐ. ምንም ቅጣት የለም. መ. ማስጠንቀቂያ ተሰጥቷል።</v>
      </c>
      <c r="J145" s="8" t="str">
        <f>IFERROR(__xludf.DUMMYFUNCTION(" GOOGLETRANSLATE(D145, ""en"", ""am"")"),"ከዳኛው ጋር መጨቃጨቅ ማስጠንቀቂያ ነው።")</f>
        <v>ከዳኛው ጋር መጨቃጨቅ ማስጠንቀቂያ ነው።</v>
      </c>
      <c r="K145" s="8" t="str">
        <f>IFERROR(__xludf.DUMMYFUNCTION(" GOOGLETRANSLATE(E145, ""en"", ""am"")"),"ከዳኛው ጋር መጨቃጨቅ ማስጠንቀቂያ ነው።")</f>
        <v>ከዳኛው ጋር መጨቃጨቅ ማስጠንቀቂያ ነው።</v>
      </c>
    </row>
    <row r="146" ht="22.5" customHeight="1">
      <c r="A146" s="6">
        <v>145.0</v>
      </c>
      <c r="B146" s="7" t="s">
        <v>437</v>
      </c>
      <c r="C146" s="7" t="s">
        <v>438</v>
      </c>
      <c r="D146" s="7" t="s">
        <v>224</v>
      </c>
      <c r="E146" s="7" t="s">
        <v>224</v>
      </c>
      <c r="G146" s="8" t="str">
        <f>IFERROR(__xludf.DUMMYFUNCTION(" GOOGLETRANSLATE(A146, ""en"", ""am"")"),"145")</f>
        <v>145</v>
      </c>
      <c r="H146" s="8" t="str">
        <f>IFERROR(__xludf.DUMMYFUNCTION(" GOOGLETRANSLATE(B146, ""en"", ""am"")"),"ጀማሪው በጨዋታ እንዴት ይወሰናል?")</f>
        <v>ጀማሪው በጨዋታ እንዴት ይወሰናል?</v>
      </c>
      <c r="I146" s="8" t="str">
        <f>IFERROR(__xludf.DUMMYFUNCTION(" GOOGLETRANSLATE(C146, ""en"", ""am"")"),"ሀ. የቡድን ስምምነት ለ. በዳኛ ውሳኔ ሐ. ካለፉት ግጥሚያዎች የተገኙ ውጤቶች መ. በሳንቲሞች")</f>
        <v>ሀ. የቡድን ስምምነት ለ. በዳኛ ውሳኔ ሐ. ካለፉት ግጥሚያዎች የተገኙ ውጤቶች መ. በሳንቲሞች</v>
      </c>
      <c r="J146" s="8" t="str">
        <f>IFERROR(__xludf.DUMMYFUNCTION(" GOOGLETRANSLATE(D146, ""en"", ""am"")"),"የመነሻ ተጫዋች የሚወሰነው በሳንቲም መጣል ነው።")</f>
        <v>የመነሻ ተጫዋች የሚወሰነው በሳንቲም መጣል ነው።</v>
      </c>
      <c r="K146" s="8" t="str">
        <f>IFERROR(__xludf.DUMMYFUNCTION(" GOOGLETRANSLATE(E146, ""en"", ""am"")"),"የመነሻ ተጫዋች የሚወሰነው በሳንቲም መጣል ነው።")</f>
        <v>የመነሻ ተጫዋች የሚወሰነው በሳንቲም መጣል ነው።</v>
      </c>
    </row>
    <row r="147" ht="22.5" customHeight="1">
      <c r="A147" s="6">
        <v>146.0</v>
      </c>
      <c r="B147" s="7" t="s">
        <v>439</v>
      </c>
      <c r="C147" s="7" t="s">
        <v>440</v>
      </c>
      <c r="D147" s="7" t="s">
        <v>441</v>
      </c>
      <c r="E147" s="7" t="s">
        <v>441</v>
      </c>
      <c r="G147" s="8" t="str">
        <f>IFERROR(__xludf.DUMMYFUNCTION(" GOOGLETRANSLATE(A147, ""en"", ""am"")"),"146")</f>
        <v>146</v>
      </c>
      <c r="H147" s="8" t="str">
        <f>IFERROR(__xludf.DUMMYFUNCTION(" GOOGLETRANSLATE(B147, ""en"", ""am"")"),"በአንድ ወር ውስጥ ከተወሰነው ጊዜ ያለፈ ቅጣት ምን ያህል ነው?")</f>
        <v>በአንድ ወር ውስጥ ከተወሰነው ጊዜ ያለፈ ቅጣት ምን ያህል ነው?</v>
      </c>
      <c r="I147" s="8" t="str">
        <f>IFERROR(__xludf.DUMMYFUNCTION(" GOOGLETRANSLATE(C147, ""en"", ""am"")"),"ሀ. መዞሩ ጠፍቷል። ለ. ነጥቦች ተቀንሰዋል ሐ. መወርወሩ ልክ ያልሆነ ነው። መ. መዞሪያው ጠፍቷል።")</f>
        <v>ሀ. መዞሩ ጠፍቷል። ለ. ነጥቦች ተቀንሰዋል ሐ. መወርወሩ ልክ ያልሆነ ነው። መ. መዞሪያው ጠፍቷል።</v>
      </c>
      <c r="J147" s="8" t="str">
        <f>IFERROR(__xludf.DUMMYFUNCTION(" GOOGLETRANSLATE(D147, ""en"", ""am"")"),"የጊዜ ገደቡ ማለፍ ተራውን ማጣትን ያስከትላል።")</f>
        <v>የጊዜ ገደቡ ማለፍ ተራውን ማጣትን ያስከትላል።</v>
      </c>
      <c r="K147" s="8" t="str">
        <f>IFERROR(__xludf.DUMMYFUNCTION(" GOOGLETRANSLATE(E147, ""en"", ""am"")"),"የጊዜ ገደቡ ማለፍ ተራውን ማጣትን ያስከትላል።")</f>
        <v>የጊዜ ገደቡ ማለፍ ተራውን ማጣትን ያስከትላል።</v>
      </c>
    </row>
    <row r="148" ht="22.5" customHeight="1">
      <c r="A148" s="6">
        <v>147.0</v>
      </c>
      <c r="B148" s="7" t="s">
        <v>442</v>
      </c>
      <c r="C148" s="7" t="s">
        <v>443</v>
      </c>
      <c r="D148" s="7" t="s">
        <v>444</v>
      </c>
      <c r="E148" s="7" t="s">
        <v>444</v>
      </c>
      <c r="G148" s="8" t="str">
        <f>IFERROR(__xludf.DUMMYFUNCTION(" GOOGLETRANSLATE(A148, ""en"", ""am"")"),"147")</f>
        <v>147</v>
      </c>
      <c r="H148" s="8" t="str">
        <f>IFERROR(__xludf.DUMMYFUNCTION(" GOOGLETRANSLATE(B148, ""en"", ""am"")"),"በጨዋታው ወቅት አንድ ተጫዋች ቢጎዳ ምን ይሆናል?")</f>
        <v>በጨዋታው ወቅት አንድ ተጫዋች ቢጎዳ ምን ይሆናል?</v>
      </c>
      <c r="I148" s="8" t="str">
        <f>IFERROR(__xludf.DUMMYFUNCTION(" GOOGLETRANSLATE(C148, ""en"", ""am"")"),"ሀ/ ተጫዋቹ ተቀይሯል። ለ. ቡድኑ ተሸንፏል። ሐ. ተጫዋቹ ይቀጥላል. መ. ግጥሚያው ቆሟል።")</f>
        <v>ሀ/ ተጫዋቹ ተቀይሯል። ለ. ቡድኑ ተሸንፏል። ሐ. ተጫዋቹ ይቀጥላል. መ. ግጥሚያው ቆሟል።</v>
      </c>
      <c r="J148" s="8" t="str">
        <f>IFERROR(__xludf.DUMMYFUNCTION(" GOOGLETRANSLATE(D148, ""en"", ""am"")"),"ጉዳቱ በደረሰ ጊዜ ጨዋታው ለህክምና ተቋርጧል።")</f>
        <v>ጉዳቱ በደረሰ ጊዜ ጨዋታው ለህክምና ተቋርጧል።</v>
      </c>
      <c r="K148" s="8" t="str">
        <f>IFERROR(__xludf.DUMMYFUNCTION(" GOOGLETRANSLATE(E148, ""en"", ""am"")"),"ጉዳቱ በደረሰ ጊዜ ጨዋታው ለህክምና ተቋርጧል።")</f>
        <v>ጉዳቱ በደረሰ ጊዜ ጨዋታው ለህክምና ተቋርጧል።</v>
      </c>
    </row>
    <row r="149" ht="22.5" customHeight="1">
      <c r="A149" s="6">
        <v>148.0</v>
      </c>
      <c r="B149" s="7" t="s">
        <v>445</v>
      </c>
      <c r="C149" s="7" t="s">
        <v>446</v>
      </c>
      <c r="D149" s="7" t="s">
        <v>447</v>
      </c>
      <c r="E149" s="7" t="s">
        <v>447</v>
      </c>
      <c r="G149" s="8" t="str">
        <f>IFERROR(__xludf.DUMMYFUNCTION(" GOOGLETRANSLATE(A149, ""en"", ""am"")"),"148")</f>
        <v>148</v>
      </c>
      <c r="H149" s="8" t="str">
        <f>IFERROR(__xludf.DUMMYFUNCTION(" GOOGLETRANSLATE(B149, ""en"", ""am"")"),"በገና ውድድሮች ለመሳተፍ ዝቅተኛው ዕድሜ ስንት ነው?")</f>
        <v>በገና ውድድሮች ለመሳተፍ ዝቅተኛው ዕድሜ ስንት ነው?</v>
      </c>
      <c r="I149" s="8" t="str">
        <f>IFERROR(__xludf.DUMMYFUNCTION(" GOOGLETRANSLATE(C149, ""en"", ""am"")"),"ዓ.15 ዓመታት ብ 18 ዓመት ሐ. 21 ዓመት መ. 15 ዓመት")</f>
        <v>ዓ.15 ዓመታት ብ 18 ዓመት ሐ. 21 ዓመት መ. 15 ዓመት</v>
      </c>
      <c r="J149" s="8" t="str">
        <f>IFERROR(__xludf.DUMMYFUNCTION(" GOOGLETRANSLATE(D149, ""en"", ""am"")"),"ለገና ውድድሮች ዝቅተኛው ዕድሜ 15 ዓመት ነው.")</f>
        <v>ለገና ውድድሮች ዝቅተኛው ዕድሜ 15 ዓመት ነው.</v>
      </c>
      <c r="K149" s="8" t="str">
        <f>IFERROR(__xludf.DUMMYFUNCTION(" GOOGLETRANSLATE(E149, ""en"", ""am"")"),"ለገና ውድድሮች ዝቅተኛው ዕድሜ 15 ዓመት ነው.")</f>
        <v>ለገና ውድድሮች ዝቅተኛው ዕድሜ 15 ዓመት ነው.</v>
      </c>
    </row>
    <row r="150" ht="22.5" customHeight="1">
      <c r="A150" s="6">
        <v>149.0</v>
      </c>
      <c r="B150" s="7" t="s">
        <v>448</v>
      </c>
      <c r="C150" s="7" t="s">
        <v>449</v>
      </c>
      <c r="D150" s="7" t="s">
        <v>450</v>
      </c>
      <c r="E150" s="7" t="s">
        <v>450</v>
      </c>
      <c r="G150" s="8" t="str">
        <f>IFERROR(__xludf.DUMMYFUNCTION(" GOOGLETRANSLATE(A150, ""en"", ""am"")"),"149")</f>
        <v>149</v>
      </c>
      <c r="H150" s="8" t="str">
        <f>IFERROR(__xludf.DUMMYFUNCTION(" GOOGLETRANSLATE(B150, ""en"", ""am"")"),"አንድ ተጫዋች ህገወጥ ኳስ ቢጠቀም ምን ይሆናል?")</f>
        <v>አንድ ተጫዋች ህገወጥ ኳስ ቢጠቀም ምን ይሆናል?</v>
      </c>
      <c r="I150" s="8" t="str">
        <f>IFERROR(__xludf.DUMMYFUNCTION(" GOOGLETRANSLATE(C150, ""en"", ""am"")"),"ሀ. ኳሱ ተተክቷል. ለ. ተጫዋቹ ውድቅ ተደርጓል። ሐ. ግጥሚያው ቆሟል። መ. ኳሱ ተተክቷል.")</f>
        <v>ሀ. ኳሱ ተተክቷል. ለ. ተጫዋቹ ውድቅ ተደርጓል። ሐ. ግጥሚያው ቆሟል። መ. ኳሱ ተተክቷል.</v>
      </c>
      <c r="J150" s="8" t="str">
        <f>IFERROR(__xludf.DUMMYFUNCTION(" GOOGLETRANSLATE(D150, ""en"", ""am"")"),"ሕገ-ወጥ ኳሶች በደንቦች ይተካሉ.")</f>
        <v>ሕገ-ወጥ ኳሶች በደንቦች ይተካሉ.</v>
      </c>
      <c r="K150" s="8" t="str">
        <f>IFERROR(__xludf.DUMMYFUNCTION(" GOOGLETRANSLATE(E150, ""en"", ""am"")"),"ሕገ-ወጥ ኳሶች በደንቦች ይተካሉ.")</f>
        <v>ሕገ-ወጥ ኳሶች በደንቦች ይተካሉ.</v>
      </c>
    </row>
    <row r="151" ht="22.5" customHeight="1">
      <c r="A151" s="6">
        <v>150.0</v>
      </c>
      <c r="B151" s="7" t="s">
        <v>451</v>
      </c>
      <c r="C151" s="7" t="s">
        <v>452</v>
      </c>
      <c r="D151" s="7" t="s">
        <v>453</v>
      </c>
      <c r="E151" s="7" t="s">
        <v>453</v>
      </c>
      <c r="G151" s="8" t="str">
        <f>IFERROR(__xludf.DUMMYFUNCTION(" GOOGLETRANSLATE(A151, ""en"", ""am"")"),"150")</f>
        <v>150</v>
      </c>
      <c r="H151" s="8" t="str">
        <f>IFERROR(__xludf.DUMMYFUNCTION(" GOOGLETRANSLATE(B151, ""en"", ""am"")"),"አንድ ተጫዋች በተራቸው ጊዜ የማለቂያ ጊዜ መጠየቅ ይችላል?")</f>
        <v>አንድ ተጫዋች በተራቸው ጊዜ የማለቂያ ጊዜ መጠየቅ ይችላል?</v>
      </c>
      <c r="I151" s="8" t="str">
        <f>IFERROR(__xludf.DUMMYFUNCTION(" GOOGLETRANSLATE(C151, ""en"", ""am"")"),"A. አይ, አይፈቀድም. ለ. በድንገተኛ ሁኔታዎች ብቻ ሐ. በዳኛው ይሁንታ ብቻ። መ. በዳኛው ይሁንታ ብቻ።")</f>
        <v>A. አይ, አይፈቀድም. ለ. በድንገተኛ ሁኔታዎች ብቻ ሐ. በዳኛው ይሁንታ ብቻ። መ. በዳኛው ይሁንታ ብቻ።</v>
      </c>
      <c r="J151" s="8" t="str">
        <f>IFERROR(__xludf.DUMMYFUNCTION(" GOOGLETRANSLATE(D151, ""en"", ""am"")"),"የማለቂያ ቀን ሊጠየቅ የሚችለው ዳኛ ሲፈቀድ ብቻ ነው።")</f>
        <v>የማለቂያ ቀን ሊጠየቅ የሚችለው ዳኛ ሲፈቀድ ብቻ ነው።</v>
      </c>
      <c r="K151" s="8" t="str">
        <f>IFERROR(__xludf.DUMMYFUNCTION(" GOOGLETRANSLATE(E151, ""en"", ""am"")"),"የማለቂያ ቀን ሊጠየቅ የሚችለው ዳኛ ሲፈቀድ ብቻ ነው።")</f>
        <v>የማለቂያ ቀን ሊጠየቅ የሚችለው ዳኛ ሲፈቀድ ብቻ ነው።</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37.63"/>
    <col customWidth="1" min="3" max="3" width="17.25"/>
    <col customWidth="1" min="4" max="4" width="37.63"/>
    <col customWidth="1" min="7" max="7" width="18.75"/>
    <col customWidth="1" min="8" max="8" width="20.13"/>
    <col customWidth="1" min="9" max="9" width="19.13"/>
    <col customWidth="1" min="10" max="10" width="22.75"/>
    <col customWidth="1" min="11" max="11" width="18.75"/>
  </cols>
  <sheetData>
    <row r="1" ht="22.5" customHeight="1">
      <c r="A1" s="11" t="s">
        <v>0</v>
      </c>
      <c r="B1" s="11" t="s">
        <v>1</v>
      </c>
      <c r="C1" s="12" t="s">
        <v>2</v>
      </c>
      <c r="D1" s="11" t="s">
        <v>3</v>
      </c>
      <c r="E1" s="11" t="s">
        <v>4</v>
      </c>
      <c r="G1" s="3" t="s">
        <v>5</v>
      </c>
      <c r="H1" s="4" t="s">
        <v>6</v>
      </c>
      <c r="I1" s="4" t="s">
        <v>7</v>
      </c>
      <c r="J1" s="4" t="s">
        <v>8</v>
      </c>
      <c r="K1" s="5" t="s">
        <v>9</v>
      </c>
    </row>
    <row r="2" ht="22.5" customHeight="1">
      <c r="A2" s="13">
        <v>1.0</v>
      </c>
      <c r="B2" s="14" t="s">
        <v>454</v>
      </c>
      <c r="C2" s="14" t="s">
        <v>455</v>
      </c>
      <c r="D2" s="14" t="s">
        <v>456</v>
      </c>
      <c r="E2" s="14" t="s">
        <v>456</v>
      </c>
      <c r="G2" s="8" t="str">
        <f>IFERROR(__xludf.DUMMYFUNCTION(" GOOGLETRANSLATE(A2, ""en"", ""am"")"),"1")</f>
        <v>1</v>
      </c>
      <c r="H2" s="8" t="str">
        <f>IFERROR(__xludf.DUMMYFUNCTION(" GOOGLETRANSLATE(B2, ""en"", ""am"")"),"ዱላውን እየወረወረ አንድ ተጫዋች የድንበሩን መስመር ቢያልፍ ምን ይከሰታል?")</f>
        <v>ዱላውን እየወረወረ አንድ ተጫዋች የድንበሩን መስመር ቢያልፍ ምን ይከሰታል?</v>
      </c>
      <c r="I2" s="8" t="str">
        <f>IFERROR(__xludf.DUMMYFUNCTION(" GOOGLETRANSLATE(C2, ""en"", ""am"")"),"ሀ. የቅጣት ነጥቦች ለ. ብቁ አለመሆን ሐ. ወረወሩን እንደገና ይውሰዱ። መ. የቅጣት ነጥቦች")</f>
        <v>ሀ. የቅጣት ነጥቦች ለ. ብቁ አለመሆን ሐ. ወረወሩን እንደገና ይውሰዱ። መ. የቅጣት ነጥቦች</v>
      </c>
      <c r="J2" s="8" t="str">
        <f>IFERROR(__xludf.DUMMYFUNCTION(" GOOGLETRANSLATE(D2, ""en"", ""am"")"),"በመወርወር ላይ ድንበሩን ማቋረጥ የቅጣት ነጥቦችን ያስከትላል.")</f>
        <v>በመወርወር ላይ ድንበሩን ማቋረጥ የቅጣት ነጥቦችን ያስከትላል.</v>
      </c>
      <c r="K2" s="8" t="str">
        <f>IFERROR(__xludf.DUMMYFUNCTION(" GOOGLETRANSLATE(E2, ""en"", ""am"")"),"በመወርወር ላይ ድንበሩን ማቋረጥ የቅጣት ነጥቦችን ያስከትላል.")</f>
        <v>በመወርወር ላይ ድንበሩን ማቋረጥ የቅጣት ነጥቦችን ያስከትላል.</v>
      </c>
    </row>
    <row r="3" ht="22.5" customHeight="1">
      <c r="A3" s="13">
        <v>2.0</v>
      </c>
      <c r="B3" s="14" t="s">
        <v>457</v>
      </c>
      <c r="C3" s="14" t="s">
        <v>458</v>
      </c>
      <c r="D3" s="14" t="s">
        <v>459</v>
      </c>
      <c r="E3" s="14" t="s">
        <v>459</v>
      </c>
      <c r="G3" s="8" t="str">
        <f>IFERROR(__xludf.DUMMYFUNCTION(" GOOGLETRANSLATE(A3, ""en"", ""am"")"),"2")</f>
        <v>2</v>
      </c>
      <c r="H3" s="8" t="str">
        <f>IFERROR(__xludf.DUMMYFUNCTION(" GOOGLETRANSLATE(B3, ""en"", ""am"")"),"አንድ ተጫዋች በአንድ ዙር ሊወረውር የሚችለው ከፍተኛው የሌሊት ወፍ ብዛት ስንት ነው?")</f>
        <v>አንድ ተጫዋች በአንድ ዙር ሊወረውር የሚችለው ከፍተኛው የሌሊት ወፍ ብዛት ስንት ነው?</v>
      </c>
      <c r="I3" s="8" t="str">
        <f>IFERROR(__xludf.DUMMYFUNCTION(" GOOGLETRANSLATE(C3, ""en"", ""am"")"),"ሀ ሁለት ለ ሶስት ሐ. አራት መ. ሶስት")</f>
        <v>ሀ ሁለት ለ ሶስት ሐ. አራት መ. ሶስት</v>
      </c>
      <c r="J3" s="8" t="str">
        <f>IFERROR(__xludf.DUMMYFUNCTION(" GOOGLETRANSLATE(D3, ""en"", ""am"")"),"አንድ ተጫዋች በአንድ ዙር ውስጥ ቢበዛ ሶስት እንጨቶችን መጣል ይችላል።")</f>
        <v>አንድ ተጫዋች በአንድ ዙር ውስጥ ቢበዛ ሶስት እንጨቶችን መጣል ይችላል።</v>
      </c>
      <c r="K3" s="8" t="str">
        <f>IFERROR(__xludf.DUMMYFUNCTION(" GOOGLETRANSLATE(E3, ""en"", ""am"")"),"አንድ ተጫዋች በአንድ ዙር ውስጥ ቢበዛ ሶስት እንጨቶችን መጣል ይችላል።")</f>
        <v>አንድ ተጫዋች በአንድ ዙር ውስጥ ቢበዛ ሶስት እንጨቶችን መጣል ይችላል።</v>
      </c>
    </row>
    <row r="4" ht="22.5" customHeight="1">
      <c r="A4" s="13">
        <v>3.0</v>
      </c>
      <c r="B4" s="14" t="s">
        <v>460</v>
      </c>
      <c r="C4" s="14" t="s">
        <v>461</v>
      </c>
      <c r="D4" s="14" t="s">
        <v>462</v>
      </c>
      <c r="E4" s="14" t="s">
        <v>462</v>
      </c>
      <c r="G4" s="8" t="str">
        <f>IFERROR(__xludf.DUMMYFUNCTION(" GOOGLETRANSLATE(A4, ""en"", ""am"")"),"3")</f>
        <v>3</v>
      </c>
      <c r="H4" s="8" t="str">
        <f>IFERROR(__xludf.DUMMYFUNCTION(" GOOGLETRANSLATE(B4, ""en"", ""am"")"),"ሁለት ተጫዋቾች አንድ ኢላማ ቢመታ ነጥቡን የሚያገኘው ማነው?")</f>
        <v>ሁለት ተጫዋቾች አንድ ኢላማ ቢመታ ነጥቡን የሚያገኘው ማነው?</v>
      </c>
      <c r="I4" s="8" t="str">
        <f>IFERROR(__xludf.DUMMYFUNCTION(" GOOGLETRANSLATE(C4, ""en"", ""am"")"),"ሀ. ሁለተኛ ተጫዋች ለ. ሁለቱም ተጫዋቾች ሐ. ምንም ሌላ የለም D. የመጀመሪያ ተጫዋች")</f>
        <v>ሀ. ሁለተኛ ተጫዋች ለ. ሁለቱም ተጫዋቾች ሐ. ምንም ሌላ የለም D. የመጀመሪያ ተጫዋች</v>
      </c>
      <c r="J4" s="8" t="str">
        <f>IFERROR(__xludf.DUMMYFUNCTION(" GOOGLETRANSLATE(D4, ""en"", ""am"")"),"ነጥቦቹ መጀመሪያ ዒላማውን ለሚመታ ተጫዋች ተሰጥተዋል።")</f>
        <v>ነጥቦቹ መጀመሪያ ዒላማውን ለሚመታ ተጫዋች ተሰጥተዋል።</v>
      </c>
      <c r="K4" s="8" t="str">
        <f>IFERROR(__xludf.DUMMYFUNCTION(" GOOGLETRANSLATE(E4, ""en"", ""am"")"),"ነጥቦቹ መጀመሪያ ዒላማውን ለሚመታ ተጫዋች ተሰጥተዋል።")</f>
        <v>ነጥቦቹ መጀመሪያ ዒላማውን ለሚመታ ተጫዋች ተሰጥተዋል።</v>
      </c>
    </row>
    <row r="5" ht="22.5" customHeight="1">
      <c r="A5" s="13">
        <v>4.0</v>
      </c>
      <c r="B5" s="14" t="s">
        <v>463</v>
      </c>
      <c r="C5" s="14" t="s">
        <v>351</v>
      </c>
      <c r="D5" s="14" t="s">
        <v>464</v>
      </c>
      <c r="E5" s="14" t="s">
        <v>464</v>
      </c>
      <c r="G5" s="8" t="str">
        <f>IFERROR(__xludf.DUMMYFUNCTION(" GOOGLETRANSLATE(A5, ""en"", ""am"")"),"4")</f>
        <v>4</v>
      </c>
      <c r="H5" s="8" t="str">
        <f>IFERROR(__xludf.DUMMYFUNCTION(" GOOGLETRANSLATE(B5, ""en"", ""am"")"),"አንድ ተጫዋች ማዕከላዊ ኢላማውን ለመምታት ምን ያህል ነጥቦችን ያስቆጥራል?")</f>
        <v>አንድ ተጫዋች ማዕከላዊ ኢላማውን ለመምታት ምን ያህል ነጥቦችን ያስቆጥራል?</v>
      </c>
      <c r="I5" s="8" t="str">
        <f>IFERROR(__xludf.DUMMYFUNCTION(" GOOGLETRANSLATE(C5, ""en"", ""am"")"),"ዓ.10 ነጥቢ ለ. 15 ነጥቢ ሐ. 20 ነጥበ D. 10 ነጥበ")</f>
        <v>ዓ.10 ነጥቢ ለ. 15 ነጥቢ ሐ. 20 ነጥበ D. 10 ነጥበ</v>
      </c>
      <c r="J5" s="8" t="str">
        <f>IFERROR(__xludf.DUMMYFUNCTION(" GOOGLETRANSLATE(D5, ""en"", ""am"")"),"የማዕከላዊ ኢላማ ሽልማቶችን 10 ነጥቦችን መምታት።")</f>
        <v>የማዕከላዊ ኢላማ ሽልማቶችን 10 ነጥቦችን መምታት።</v>
      </c>
      <c r="K5" s="8" t="str">
        <f>IFERROR(__xludf.DUMMYFUNCTION(" GOOGLETRANSLATE(E5, ""en"", ""am"")"),"የማዕከላዊ ኢላማ ሽልማቶችን 10 ነጥቦችን መምታት።")</f>
        <v>የማዕከላዊ ኢላማ ሽልማቶችን 10 ነጥቦችን መምታት።</v>
      </c>
    </row>
    <row r="6" ht="22.5" customHeight="1">
      <c r="A6" s="13">
        <v>5.0</v>
      </c>
      <c r="B6" s="14" t="s">
        <v>465</v>
      </c>
      <c r="C6" s="14" t="s">
        <v>466</v>
      </c>
      <c r="D6" s="14" t="s">
        <v>467</v>
      </c>
      <c r="E6" s="14" t="s">
        <v>467</v>
      </c>
      <c r="G6" s="8" t="str">
        <f>IFERROR(__xludf.DUMMYFUNCTION(" GOOGLETRANSLATE(A6, ""en"", ""am"")"),"5")</f>
        <v>5</v>
      </c>
      <c r="H6" s="8" t="str">
        <f>IFERROR(__xludf.DUMMYFUNCTION(" GOOGLETRANSLATE(B6, ""en"", ""am"")"),"ዱላው ወደ ኋላ ተመልሶ ተጫዋቹን ቢመታው ምን ይከሰታል?")</f>
        <v>ዱላው ወደ ኋላ ተመልሶ ተጫዋቹን ቢመታው ምን ይከሰታል?</v>
      </c>
      <c r="I6" s="8" t="str">
        <f>IFERROR(__xludf.DUMMYFUNCTION(" GOOGLETRANSLATE(C6, ""en"", ""am"")"),"ሀ. የቅጣት ነጥቦች ለ. ብቁ አለመሆን ሐ. ወረወሩን እንደገና ይውሰዱ። መ. ምንም ቅጣት የለም.")</f>
        <v>ሀ. የቅጣት ነጥቦች ለ. ብቁ አለመሆን ሐ. ወረወሩን እንደገና ይውሰዱ። መ. ምንም ቅጣት የለም.</v>
      </c>
      <c r="J6" s="8" t="str">
        <f>IFERROR(__xludf.DUMMYFUNCTION(" GOOGLETRANSLATE(D6, ""en"", ""am"")"),"ድንገተኛ ግንኙነት የሚፈጥሩ ዛፎችን እንደገና ለመፍጠር ምንም ቅጣት የለም.")</f>
        <v>ድንገተኛ ግንኙነት የሚፈጥሩ ዛፎችን እንደገና ለመፍጠር ምንም ቅጣት የለም.</v>
      </c>
      <c r="K6" s="8" t="str">
        <f>IFERROR(__xludf.DUMMYFUNCTION(" GOOGLETRANSLATE(E6, ""en"", ""am"")"),"ድንገተኛ ግንኙነት የሚፈጥሩ ዛፎችን እንደገና ለመፍጠር ምንም ቅጣት የለም.")</f>
        <v>ድንገተኛ ግንኙነት የሚፈጥሩ ዛፎችን እንደገና ለመፍጠር ምንም ቅጣት የለም.</v>
      </c>
    </row>
    <row r="7" ht="22.5" customHeight="1">
      <c r="A7" s="13">
        <v>6.0</v>
      </c>
      <c r="B7" s="14" t="s">
        <v>468</v>
      </c>
      <c r="C7" s="14" t="s">
        <v>469</v>
      </c>
      <c r="D7" s="14" t="s">
        <v>470</v>
      </c>
      <c r="E7" s="14" t="s">
        <v>470</v>
      </c>
      <c r="G7" s="8" t="str">
        <f>IFERROR(__xludf.DUMMYFUNCTION(" GOOGLETRANSLATE(A7, ""en"", ""am"")"),"6")</f>
        <v>6</v>
      </c>
      <c r="H7" s="8" t="str">
        <f>IFERROR(__xludf.DUMMYFUNCTION(" GOOGLETRANSLATE(B7, ""en"", ""am"")"),"እያንዳንዱ የ Gux ተጫዋች በተመሳሳይ ጊዜ እንጨት መጣል ይችላል?")</f>
        <v>እያንዳንዱ የ Gux ተጫዋች በተመሳሳይ ጊዜ እንጨት መጣል ይችላል?</v>
      </c>
      <c r="I7" s="8" t="str">
        <f>IFERROR(__xludf.DUMMYFUNCTION(" GOOGLETRANSLATE(C7, ""en"", ""am"")"),"A. አይ ለ. በጥሩ ጊዜ ብቻ ሐ. በዳኛው ላይ የተመሰረተ ነው. መ. አይ")</f>
        <v>A. አይ ለ. በጥሩ ጊዜ ብቻ ሐ. በዳኛው ላይ የተመሰረተ ነው. መ. አይ</v>
      </c>
      <c r="J7" s="8" t="str">
        <f>IFERROR(__xludf.DUMMYFUNCTION(" GOOGLETRANSLATE(D7, ""en"", ""am"")"),"ተጫዋቾች ተራ በተራ ዱላውን መወርወር አለባቸው።")</f>
        <v>ተጫዋቾች ተራ በተራ ዱላውን መወርወር አለባቸው።</v>
      </c>
      <c r="K7" s="8" t="str">
        <f>IFERROR(__xludf.DUMMYFUNCTION(" GOOGLETRANSLATE(E7, ""en"", ""am"")"),"ተጫዋቾች ተራ በተራ ዱላውን መወርወር አለባቸው።")</f>
        <v>ተጫዋቾች ተራ በተራ ዱላውን መወርወር አለባቸው።</v>
      </c>
    </row>
    <row r="8" ht="22.5" customHeight="1">
      <c r="A8" s="13">
        <v>7.0</v>
      </c>
      <c r="B8" s="14" t="s">
        <v>471</v>
      </c>
      <c r="C8" s="14" t="s">
        <v>472</v>
      </c>
      <c r="D8" s="14" t="s">
        <v>473</v>
      </c>
      <c r="E8" s="14" t="s">
        <v>473</v>
      </c>
      <c r="G8" s="8" t="str">
        <f>IFERROR(__xludf.DUMMYFUNCTION(" GOOGLETRANSLATE(A8, ""en"", ""am"")"),"7")</f>
        <v>7</v>
      </c>
      <c r="H8" s="8" t="str">
        <f>IFERROR(__xludf.DUMMYFUNCTION(" GOOGLETRANSLATE(B8, ""en"", ""am"")"),"ሌላ ተጫዋች ሆን ብሎ ማደናቀፍ ቅጣቱ ምንድን ነው?")</f>
        <v>ሌላ ተጫዋች ሆን ብሎ ማደናቀፍ ቅጣቱ ምንድን ነው?</v>
      </c>
      <c r="I8" s="8" t="str">
        <f>IFERROR(__xludf.DUMMYFUNCTION(" GOOGLETRANSLATE(C8, ""en"", ""am"")"),"ሀ. ማስጠንቀቂያ ለ. ብቁ አለመሆን ሐ. የነጥብ ቅነሳ መ. ነጥብ መቀነስ")</f>
        <v>ሀ. ማስጠንቀቂያ ለ. ብቁ አለመሆን ሐ. የነጥብ ቅነሳ መ. ነጥብ መቀነስ</v>
      </c>
      <c r="J8" s="8" t="str">
        <f>IFERROR(__xludf.DUMMYFUNCTION(" GOOGLETRANSLATE(D8, ""en"", ""am"")"),"ሌላ ተጫዋች ማደናቀፍ የነጥብ ቅነሳን ያስከትላል።")</f>
        <v>ሌላ ተጫዋች ማደናቀፍ የነጥብ ቅነሳን ያስከትላል።</v>
      </c>
      <c r="K8" s="8" t="str">
        <f>IFERROR(__xludf.DUMMYFUNCTION(" GOOGLETRANSLATE(E8, ""en"", ""am"")"),"ሌላ ተጫዋች ማደናቀፍ የነጥብ ቅነሳን ያስከትላል።")</f>
        <v>ሌላ ተጫዋች ማደናቀፍ የነጥብ ቅነሳን ያስከትላል።</v>
      </c>
    </row>
    <row r="9" ht="22.5" customHeight="1">
      <c r="A9" s="13">
        <v>8.0</v>
      </c>
      <c r="B9" s="14" t="s">
        <v>474</v>
      </c>
      <c r="C9" s="14" t="s">
        <v>475</v>
      </c>
      <c r="D9" s="14" t="s">
        <v>476</v>
      </c>
      <c r="E9" s="14" t="s">
        <v>476</v>
      </c>
      <c r="G9" s="8" t="str">
        <f>IFERROR(__xludf.DUMMYFUNCTION(" GOOGLETRANSLATE(A9, ""en"", ""am"")"),"8")</f>
        <v>8</v>
      </c>
      <c r="H9" s="8" t="str">
        <f>IFERROR(__xludf.DUMMYFUNCTION(" GOOGLETRANSLATE(B9, ""en"", ""am"")"),"ተጫዋቾቹ ለምን ያህል ጊዜ ተራቸውን መግጠም አለባቸው?")</f>
        <v>ተጫዋቾቹ ለምን ያህል ጊዜ ተራቸውን መግጠም አለባቸው?</v>
      </c>
      <c r="I9" s="8" t="str">
        <f>IFERROR(__xludf.DUMMYFUNCTION(" GOOGLETRANSLATE(C9, ""en"", ""am"")"),"ሀ. 15 ሰከንድ B. 30 ሰከንድ ሐ. የጊዜ ገደብ የለም። መ. 30 ሰከንድ")</f>
        <v>ሀ. 15 ሰከንድ B. 30 ሰከንድ ሐ. የጊዜ ገደብ የለም። መ. 30 ሰከንድ</v>
      </c>
      <c r="J9" s="8" t="str">
        <f>IFERROR(__xludf.DUMMYFUNCTION(" GOOGLETRANSLATE(D9, ""en"", ""am"")"),"ተጨዋቾች ተራቸውን ለመውሰድ 30 ሰከንድ አላቸው።")</f>
        <v>ተጨዋቾች ተራቸውን ለመውሰድ 30 ሰከንድ አላቸው።</v>
      </c>
      <c r="K9" s="8" t="str">
        <f>IFERROR(__xludf.DUMMYFUNCTION(" GOOGLETRANSLATE(E9, ""en"", ""am"")"),"ተጨዋቾች ተራቸውን ለመውሰድ 30 ሰከንድ አላቸው።")</f>
        <v>ተጨዋቾች ተራቸውን ለመውሰድ 30 ሰከንድ አላቸው።</v>
      </c>
    </row>
    <row r="10" ht="22.5" customHeight="1">
      <c r="A10" s="13">
        <v>9.0</v>
      </c>
      <c r="B10" s="14" t="s">
        <v>477</v>
      </c>
      <c r="C10" s="14" t="s">
        <v>478</v>
      </c>
      <c r="D10" s="14" t="s">
        <v>479</v>
      </c>
      <c r="E10" s="14" t="s">
        <v>479</v>
      </c>
      <c r="G10" s="8" t="str">
        <f>IFERROR(__xludf.DUMMYFUNCTION(" GOOGLETRANSLATE(A10, ""en"", ""am"")"),"9")</f>
        <v>9</v>
      </c>
      <c r="H10" s="8" t="str">
        <f>IFERROR(__xludf.DUMMYFUNCTION(" GOOGLETRANSLATE(B10, ""en"", ""am"")"),"አንድ ተጫዋች ኢላማውን ሙሉ በሙሉ ካጣ ህጉ ምንድን ነው?")</f>
        <v>አንድ ተጫዋች ኢላማውን ሙሉ በሙሉ ካጣ ህጉ ምንድን ነው?</v>
      </c>
      <c r="I10" s="8" t="str">
        <f>IFERROR(__xludf.DUMMYFUNCTION(" GOOGLETRANSLATE(C10, ""en"", ""am"")"),"ሀ. ነጥብ መቀነስ ለ. እንደገና ይሞክሩ የተፈቀደ ሐ. ምንም ነጥብ የለም. መ. ምንም ነጥብ የለም.")</f>
        <v>ሀ. ነጥብ መቀነስ ለ. እንደገና ይሞክሩ የተፈቀደ ሐ. ምንም ነጥብ የለም. መ. ምንም ነጥብ የለም.</v>
      </c>
      <c r="J10" s="8" t="str">
        <f>IFERROR(__xludf.DUMMYFUNCTION(" GOOGLETRANSLATE(D10, ""en"", ""am"")"),"ዒላማውን ማጣት ለዚያ ውርወራ ምንም ነጥብ አይሰጥም።")</f>
        <v>ዒላማውን ማጣት ለዚያ ውርወራ ምንም ነጥብ አይሰጥም።</v>
      </c>
      <c r="K10" s="8" t="str">
        <f>IFERROR(__xludf.DUMMYFUNCTION(" GOOGLETRANSLATE(E10, ""en"", ""am"")"),"ዒላማውን ማጣት ለዚያ ውርወራ ምንም ነጥብ አይሰጥም።")</f>
        <v>ዒላማውን ማጣት ለዚያ ውርወራ ምንም ነጥብ አይሰጥም።</v>
      </c>
    </row>
    <row r="11" ht="22.5" customHeight="1">
      <c r="A11" s="13">
        <v>10.0</v>
      </c>
      <c r="B11" s="14" t="s">
        <v>480</v>
      </c>
      <c r="C11" s="14" t="s">
        <v>481</v>
      </c>
      <c r="D11" s="14" t="s">
        <v>482</v>
      </c>
      <c r="E11" s="14" t="s">
        <v>482</v>
      </c>
      <c r="G11" s="8" t="str">
        <f>IFERROR(__xludf.DUMMYFUNCTION(" GOOGLETRANSLATE(A11, ""en"", ""am"")"),"10")</f>
        <v>10</v>
      </c>
      <c r="H11" s="8" t="str">
        <f>IFERROR(__xludf.DUMMYFUNCTION(" GOOGLETRANSLATE(B11, ""en"", ""am"")"),"አንድ ተጫዋች ከድንበር ውጭ ከሆነ ዱላውን ማውጣት ይችላል?")</f>
        <v>አንድ ተጫዋች ከድንበር ውጭ ከሆነ ዱላውን ማውጣት ይችላል?</v>
      </c>
      <c r="I11" s="8" t="str">
        <f>IFERROR(__xludf.DUMMYFUNCTION(" GOOGLETRANSLATE(C11, ""en"", ""am"")"),"ሀ. አይ ለ. በፍቃድ ብቻ ሐ. በዳኛው ይወሰናል. መ. አዎ")</f>
        <v>ሀ. አይ ለ. በፍቃድ ብቻ ሐ. በዳኛው ይወሰናል. መ. አዎ</v>
      </c>
      <c r="J11" s="8" t="str">
        <f>IFERROR(__xludf.DUMMYFUNCTION(" GOOGLETRANSLATE(D11, ""en"", ""am"")"),"ተጫዋቾች ከድንበር ውጪ ከሆኑ ዱላዎቻቸውን ማውጣት ይችላሉ።")</f>
        <v>ተጫዋቾች ከድንበር ውጪ ከሆኑ ዱላዎቻቸውን ማውጣት ይችላሉ።</v>
      </c>
      <c r="K11" s="8" t="str">
        <f>IFERROR(__xludf.DUMMYFUNCTION(" GOOGLETRANSLATE(E11, ""en"", ""am"")"),"ተጫዋቾች ከድንበር ውጪ ከሆኑ ዱላዎቻቸውን ማውጣት ይችላሉ።")</f>
        <v>ተጫዋቾች ከድንበር ውጪ ከሆኑ ዱላዎቻቸውን ማውጣት ይችላሉ።</v>
      </c>
    </row>
    <row r="12" ht="22.5" customHeight="1">
      <c r="A12" s="13">
        <v>11.0</v>
      </c>
      <c r="B12" s="14" t="s">
        <v>483</v>
      </c>
      <c r="C12" s="14" t="s">
        <v>484</v>
      </c>
      <c r="D12" s="14" t="s">
        <v>485</v>
      </c>
      <c r="E12" s="14" t="s">
        <v>485</v>
      </c>
      <c r="G12" s="8" t="str">
        <f>IFERROR(__xludf.DUMMYFUNCTION(" GOOGLETRANSLATE(A12, ""en"", ""am"")"),"11")</f>
        <v>11</v>
      </c>
      <c r="H12" s="8" t="str">
        <f>IFERROR(__xludf.DUMMYFUNCTION(" GOOGLETRANSLATE(B12, ""en"", ""am"")"),"አንድ ተጫዋች በህገ ወጥ መንገድ ኢላማውን ቢመታ ምን ይሆናል?")</f>
        <v>አንድ ተጫዋች በህገ ወጥ መንገድ ኢላማውን ቢመታ ምን ይሆናል?</v>
      </c>
      <c r="I12" s="8" t="str">
        <f>IFERROR(__xludf.DUMMYFUNCTION(" GOOGLETRANSLATE(C12, ""en"", ""am"")"),"ሀ. ግማሽ ነጥብ ለ. ሙሉ ነጥብ ሐ. ብቁ አለመሆን መ. ምንም ነጥብ የለም.")</f>
        <v>ሀ. ግማሽ ነጥብ ለ. ሙሉ ነጥብ ሐ. ብቁ አለመሆን መ. ምንም ነጥብ የለም.</v>
      </c>
      <c r="J12" s="8" t="str">
        <f>IFERROR(__xludf.DUMMYFUNCTION(" GOOGLETRANSLATE(D12, ""en"", ""am"")"),"ህገወጥ ውርወራ ምንም ነጥብ አያስከትልም።")</f>
        <v>ህገወጥ ውርወራ ምንም ነጥብ አያስከትልም።</v>
      </c>
      <c r="K12" s="8" t="str">
        <f>IFERROR(__xludf.DUMMYFUNCTION(" GOOGLETRANSLATE(E12, ""en"", ""am"")"),"ህገወጥ ውርወራ ምንም ነጥብ አያስከትልም።")</f>
        <v>ህገወጥ ውርወራ ምንም ነጥብ አያስከትልም።</v>
      </c>
    </row>
    <row r="13" ht="22.5" customHeight="1">
      <c r="A13" s="13">
        <v>12.0</v>
      </c>
      <c r="B13" s="14" t="s">
        <v>486</v>
      </c>
      <c r="C13" s="14" t="s">
        <v>487</v>
      </c>
      <c r="D13" s="14" t="s">
        <v>488</v>
      </c>
      <c r="E13" s="14" t="s">
        <v>488</v>
      </c>
      <c r="G13" s="8" t="str">
        <f>IFERROR(__xludf.DUMMYFUNCTION(" GOOGLETRANSLATE(A13, ""en"", ""am"")"),"12")</f>
        <v>12</v>
      </c>
      <c r="H13" s="8" t="str">
        <f>IFERROR(__xludf.DUMMYFUNCTION(" GOOGLETRANSLATE(B13, ""en"", ""am"")"),"በአንድ ግጥሚያ ላይ ስንት ተጫዋቾች መሳተፍ ይችላሉ?")</f>
        <v>በአንድ ግጥሚያ ላይ ስንት ተጫዋቾች መሳተፍ ይችላሉ?</v>
      </c>
      <c r="I13" s="8" t="str">
        <f>IFERROR(__xludf.DUMMYFUNCTION(" GOOGLETRANSLATE(C13, ""en"", ""am"")"),"አ.4 ለ.6 ሐ. 10 ዲ. 4")</f>
        <v>አ.4 ለ.6 ሐ. 10 ዲ. 4</v>
      </c>
      <c r="J13" s="8" t="str">
        <f>IFERROR(__xludf.DUMMYFUNCTION(" GOOGLETRANSLATE(D13, ""en"", ""am"")"),"4")</f>
        <v>4</v>
      </c>
      <c r="K13" s="8" t="str">
        <f>IFERROR(__xludf.DUMMYFUNCTION(" GOOGLETRANSLATE(E13, ""en"", ""am"")"),"4")</f>
        <v>4</v>
      </c>
    </row>
    <row r="14" ht="22.5" customHeight="1">
      <c r="A14" s="13">
        <v>13.0</v>
      </c>
      <c r="B14" s="14" t="s">
        <v>489</v>
      </c>
      <c r="C14" s="14" t="s">
        <v>490</v>
      </c>
      <c r="D14" s="14" t="s">
        <v>491</v>
      </c>
      <c r="E14" s="14" t="s">
        <v>491</v>
      </c>
      <c r="G14" s="8" t="str">
        <f>IFERROR(__xludf.DUMMYFUNCTION(" GOOGLETRANSLATE(A14, ""en"", ""am"")"),"13")</f>
        <v>13</v>
      </c>
      <c r="H14" s="8" t="str">
        <f>IFERROR(__xludf.DUMMYFUNCTION(" GOOGLETRANSLATE(B14, ""en"", ""am"")"),"ለህጋዊ ውርወራ የሚያስፈልገው ዝቅተኛው ርቀት ምን ያህል ነው?")</f>
        <v>ለህጋዊ ውርወራ የሚያስፈልገው ዝቅተኛው ርቀት ምን ያህል ነው?</v>
      </c>
      <c r="I14" s="8" t="str">
        <f>IFERROR(__xludf.DUMMYFUNCTION(" GOOGLETRANSLATE(C14, ""en"", ""am"")"),"ሀ. 10 ሜትር ለ 15 ሜትር ሲ 20 ሜትር መ 10 ሜትር")</f>
        <v>ሀ. 10 ሜትር ለ 15 ሜትር ሲ 20 ሜትር መ 10 ሜትር</v>
      </c>
      <c r="J14" s="8" t="str">
        <f>IFERROR(__xludf.DUMMYFUNCTION(" GOOGLETRANSLATE(D14, ""en"", ""am"")"),"ውርወራ ህጋዊ ለመሆን ቢያንስ 10 ሜትር መሆን አለበት።")</f>
        <v>ውርወራ ህጋዊ ለመሆን ቢያንስ 10 ሜትር መሆን አለበት።</v>
      </c>
      <c r="K14" s="8" t="str">
        <f>IFERROR(__xludf.DUMMYFUNCTION(" GOOGLETRANSLATE(E14, ""en"", ""am"")"),"ውርወራ ህጋዊ ለመሆን ቢያንስ 10 ሜትር መሆን አለበት።")</f>
        <v>ውርወራ ህጋዊ ለመሆን ቢያንስ 10 ሜትር መሆን አለበት።</v>
      </c>
    </row>
    <row r="15" ht="22.5" customHeight="1">
      <c r="A15" s="13">
        <v>14.0</v>
      </c>
      <c r="B15" s="14" t="s">
        <v>118</v>
      </c>
      <c r="C15" s="14" t="s">
        <v>492</v>
      </c>
      <c r="D15" s="14" t="s">
        <v>493</v>
      </c>
      <c r="E15" s="14" t="s">
        <v>493</v>
      </c>
      <c r="G15" s="8" t="str">
        <f>IFERROR(__xludf.DUMMYFUNCTION(" GOOGLETRANSLATE(A15, ""en"", ""am"")"),"14")</f>
        <v>14</v>
      </c>
      <c r="H15" s="8" t="str">
        <f>IFERROR(__xludf.DUMMYFUNCTION(" GOOGLETRANSLATE(B15, ""en"", ""am"")"),"ተመልካቾች በጨዋታው ውስጥ ጣልቃ መግባት ይችላሉ?")</f>
        <v>ተመልካቾች በጨዋታው ውስጥ ጣልቃ መግባት ይችላሉ?</v>
      </c>
      <c r="I15" s="8" t="str">
        <f>IFERROR(__xludf.DUMMYFUNCTION(" GOOGLETRANSLATE(C15, ""en"", ""am"")"),"ሀ. አይ ለ. ተጫዋቾችን ለመርዳት ብቻ C. ዳኛው ከፈቀደ ብቻ ነው። መ. አይ")</f>
        <v>ሀ. አይ ለ. ተጫዋቾችን ለመርዳት ብቻ C. ዳኛው ከፈቀደ ብቻ ነው። መ. አይ</v>
      </c>
      <c r="J15" s="8" t="str">
        <f>IFERROR(__xludf.DUMMYFUNCTION(" GOOGLETRANSLATE(D15, ""en"", ""am"")"),"ተመልካቾች በጨዋታው ውስጥ ጣልቃ እንዲገቡ አይፈቀድላቸውም.")</f>
        <v>ተመልካቾች በጨዋታው ውስጥ ጣልቃ እንዲገቡ አይፈቀድላቸውም.</v>
      </c>
      <c r="K15" s="8" t="str">
        <f>IFERROR(__xludf.DUMMYFUNCTION(" GOOGLETRANSLATE(E15, ""en"", ""am"")"),"ተመልካቾች በጨዋታው ውስጥ ጣልቃ እንዲገቡ አይፈቀድላቸውም.")</f>
        <v>ተመልካቾች በጨዋታው ውስጥ ጣልቃ እንዲገቡ አይፈቀድላቸውም.</v>
      </c>
    </row>
    <row r="16" ht="22.5" customHeight="1">
      <c r="A16" s="13">
        <v>15.0</v>
      </c>
      <c r="B16" s="14" t="s">
        <v>494</v>
      </c>
      <c r="C16" s="14" t="s">
        <v>495</v>
      </c>
      <c r="D16" s="14" t="s">
        <v>496</v>
      </c>
      <c r="E16" s="14" t="s">
        <v>496</v>
      </c>
      <c r="G16" s="8" t="str">
        <f>IFERROR(__xludf.DUMMYFUNCTION(" GOOGLETRANSLATE(A16, ""en"", ""am"")"),"15")</f>
        <v>15</v>
      </c>
      <c r="H16" s="8" t="str">
        <f>IFERROR(__xludf.DUMMYFUNCTION(" GOOGLETRANSLATE(B16, ""en"", ""am"")"),"አንድ ተጫዋች ከተፈቀደው በላይ ብዙ እንጨቶችን ቢወረውር ምን ይከሰታል?")</f>
        <v>አንድ ተጫዋች ከተፈቀደው በላይ ብዙ እንጨቶችን ቢወረውር ምን ይከሰታል?</v>
      </c>
      <c r="I16" s="8" t="str">
        <f>IFERROR(__xludf.DUMMYFUNCTION(" GOOGLETRANSLATE(C16, ""en"", ""am"")"),"ሀ. ብቁ አለመሆን ለ. በሃሳብ የጠፋ። ሐ. ማስጠንቀቂያ መ. በሃሳብ የጠፋ።")</f>
        <v>ሀ. ብቁ አለመሆን ለ. በሃሳብ የጠፋ። ሐ. ማስጠንቀቂያ መ. በሃሳብ የጠፋ።</v>
      </c>
      <c r="J16" s="8" t="str">
        <f>IFERROR(__xludf.DUMMYFUNCTION(" GOOGLETRANSLATE(D16, ""en"", ""am"")"),"ተጨማሪ እንጨቶችን መወርወር መዞሪያውን ማጣት ያስከትላል.")</f>
        <v>ተጨማሪ እንጨቶችን መወርወር መዞሪያውን ማጣት ያስከትላል.</v>
      </c>
      <c r="K16" s="8" t="str">
        <f>IFERROR(__xludf.DUMMYFUNCTION(" GOOGLETRANSLATE(E16, ""en"", ""am"")"),"ተጨማሪ እንጨቶችን መወርወር መዞሪያውን ማጣት ያስከትላል.")</f>
        <v>ተጨማሪ እንጨቶችን መወርወር መዞሪያውን ማጣት ያስከትላል.</v>
      </c>
    </row>
    <row r="17" ht="22.5" customHeight="1">
      <c r="A17" s="13">
        <v>16.0</v>
      </c>
      <c r="B17" s="14" t="s">
        <v>497</v>
      </c>
      <c r="C17" s="14" t="s">
        <v>498</v>
      </c>
      <c r="D17" s="14" t="s">
        <v>499</v>
      </c>
      <c r="E17" s="14" t="s">
        <v>499</v>
      </c>
      <c r="G17" s="8" t="str">
        <f>IFERROR(__xludf.DUMMYFUNCTION(" GOOGLETRANSLATE(A17, ""en"", ""am"")"),"16")</f>
        <v>16</v>
      </c>
      <c r="H17" s="8" t="str">
        <f>IFERROR(__xludf.DUMMYFUNCTION(" GOOGLETRANSLATE(B17, ""en"", ""am"")"),"ሁለት ተጫዋቾች በነጥብ ቢገናኙ ውጤቱ ምን ይመስላል?")</f>
        <v>ሁለት ተጫዋቾች በነጥብ ቢገናኙ ውጤቱ ምን ይመስላል?</v>
      </c>
      <c r="I17" s="8" t="str">
        <f>IFERROR(__xludf.DUMMYFUNCTION(" GOOGLETRANSLATE(C17, ""en"", ""am"")"),"A. ማጣሪያ ዙር B. አሸናፊ የለም። ሐ. ነጥቦች ተሰጥተዋል. መ. ዙር ማጣሪያ")</f>
        <v>A. ማጣሪያ ዙር B. አሸናፊ የለም። ሐ. ነጥቦች ተሰጥተዋል. መ. ዙር ማጣሪያ</v>
      </c>
      <c r="J17" s="8" t="str">
        <f>IFERROR(__xludf.DUMMYFUNCTION(" GOOGLETRANSLATE(D17, ""en"", ""am"")"),"አሸናፊውን ለመለየት የጥሎ ማለፍ ውድድር ይካሄዳል።")</f>
        <v>አሸናፊውን ለመለየት የጥሎ ማለፍ ውድድር ይካሄዳል።</v>
      </c>
      <c r="K17" s="8" t="str">
        <f>IFERROR(__xludf.DUMMYFUNCTION(" GOOGLETRANSLATE(E17, ""en"", ""am"")"),"አሸናፊውን ለመለየት የጥሎ ማለፍ ውድድር ይካሄዳል።")</f>
        <v>አሸናፊውን ለመለየት የጥሎ ማለፍ ውድድር ይካሄዳል።</v>
      </c>
    </row>
    <row r="18" ht="22.5" customHeight="1">
      <c r="A18" s="13">
        <v>17.0</v>
      </c>
      <c r="B18" s="14" t="s">
        <v>500</v>
      </c>
      <c r="C18" s="14" t="s">
        <v>501</v>
      </c>
      <c r="D18" s="14" t="s">
        <v>502</v>
      </c>
      <c r="E18" s="14" t="s">
        <v>502</v>
      </c>
      <c r="G18" s="8" t="str">
        <f>IFERROR(__xludf.DUMMYFUNCTION(" GOOGLETRANSLATE(A18, ""en"", ""am"")"),"17")</f>
        <v>17</v>
      </c>
      <c r="H18" s="8" t="str">
        <f>IFERROR(__xludf.DUMMYFUNCTION(" GOOGLETRANSLATE(B18, ""en"", ""am"")"),"በጨዋታው ወቅት ተጫዋቾች ዱላ መቀየር ይችላሉ?")</f>
        <v>በጨዋታው ወቅት ተጫዋቾች ዱላ መቀየር ይችላሉ?</v>
      </c>
      <c r="I18" s="8" t="str">
        <f>IFERROR(__xludf.DUMMYFUNCTION(" GOOGLETRANSLATE(C18, ""en"", ""am"")"),"ሀ. አይ ለ. በእረፍት ጊዜ ብቻ C. በዳኛ ፍቃድ ብቻ። መ. በዳኛ ፈቃድ ብቻ።")</f>
        <v>ሀ. አይ ለ. በእረፍት ጊዜ ብቻ C. በዳኛ ፍቃድ ብቻ። መ. በዳኛ ፈቃድ ብቻ።</v>
      </c>
      <c r="J18" s="8" t="str">
        <f>IFERROR(__xludf.DUMMYFUNCTION(" GOOGLETRANSLATE(D18, ""en"", ""am"")"),"ተጫዋቾች ዱላውን መቀየር የሚችሉት በዳኛው ፈቃድ ብቻ ነው።")</f>
        <v>ተጫዋቾች ዱላውን መቀየር የሚችሉት በዳኛው ፈቃድ ብቻ ነው።</v>
      </c>
      <c r="K18" s="8" t="str">
        <f>IFERROR(__xludf.DUMMYFUNCTION(" GOOGLETRANSLATE(E18, ""en"", ""am"")"),"ተጫዋቾች ዱላውን መቀየር የሚችሉት በዳኛው ፈቃድ ብቻ ነው።")</f>
        <v>ተጫዋቾች ዱላውን መቀየር የሚችሉት በዳኛው ፈቃድ ብቻ ነው።</v>
      </c>
    </row>
    <row r="19" ht="22.5" customHeight="1">
      <c r="A19" s="13">
        <v>18.0</v>
      </c>
      <c r="B19" s="14" t="s">
        <v>503</v>
      </c>
      <c r="C19" s="14" t="s">
        <v>504</v>
      </c>
      <c r="D19" s="14" t="s">
        <v>505</v>
      </c>
      <c r="E19" s="14" t="s">
        <v>505</v>
      </c>
      <c r="G19" s="8" t="str">
        <f>IFERROR(__xludf.DUMMYFUNCTION(" GOOGLETRANSLATE(A19, ""en"", ""am"")"),"18")</f>
        <v>18</v>
      </c>
      <c r="H19" s="8" t="str">
        <f>IFERROR(__xludf.DUMMYFUNCTION(" GOOGLETRANSLATE(B19, ""en"", ""am"")"),"ዱላ ብዙ ኢላማዎችን ቢመታ የውጤት አሰጣጥ ደንቡ ምንድን ነው?")</f>
        <v>ዱላ ብዙ ኢላማዎችን ቢመታ የውጤት አሰጣጥ ደንቡ ምንድን ነው?</v>
      </c>
      <c r="I19" s="8" t="str">
        <f>IFERROR(__xludf.DUMMYFUNCTION(" GOOGLETRANSLATE(C19, ""en"", ""am"")"),"ሀ. የመጀመሪያ ዒላማ ነጥቦች ለ. ምንም ነጥብ የለም. ሐ. ግማሽ ነጥብ መ. የሁሉም ኢላማዎች ነጥቦች")</f>
        <v>ሀ. የመጀመሪያ ዒላማ ነጥቦች ለ. ምንም ነጥብ የለም. ሐ. ግማሽ ነጥብ መ. የሁሉም ኢላማዎች ነጥቦች</v>
      </c>
      <c r="J19" s="8" t="str">
        <f>IFERROR(__xludf.DUMMYFUNCTION(" GOOGLETRANSLATE(D19, ""en"", ""am"")"),"በአንድ ውርወራ ለተመቱት ሁሉም ኢላማዎች ተጫዋቾች ነጥብ አስመዝግበዋል።")</f>
        <v>በአንድ ውርወራ ለተመቱት ሁሉም ኢላማዎች ተጫዋቾች ነጥብ አስመዝግበዋል።</v>
      </c>
      <c r="K19" s="8" t="str">
        <f>IFERROR(__xludf.DUMMYFUNCTION(" GOOGLETRANSLATE(E19, ""en"", ""am"")"),"በአንድ ውርወራ ለተመቱት ሁሉም ኢላማዎች ተጫዋቾች ነጥብ አስመዝግበዋል።")</f>
        <v>በአንድ ውርወራ ለተመቱት ሁሉም ኢላማዎች ተጫዋቾች ነጥብ አስመዝግበዋል።</v>
      </c>
    </row>
    <row r="20" ht="22.5" customHeight="1">
      <c r="A20" s="13">
        <v>19.0</v>
      </c>
      <c r="B20" s="14" t="s">
        <v>506</v>
      </c>
      <c r="C20" s="14" t="s">
        <v>507</v>
      </c>
      <c r="D20" s="14" t="s">
        <v>508</v>
      </c>
      <c r="E20" s="14" t="s">
        <v>508</v>
      </c>
      <c r="G20" s="8" t="str">
        <f>IFERROR(__xludf.DUMMYFUNCTION(" GOOGLETRANSLATE(A20, ""en"", ""am"")"),"19")</f>
        <v>19</v>
      </c>
      <c r="H20" s="8" t="str">
        <f>IFERROR(__xludf.DUMMYFUNCTION(" GOOGLETRANSLATE(B20, ""en"", ""am"")"),"አንድ ተጫዋች ከመወርወሩ በፊት በድንገት ዱላውን ቢጥል ምን ይከሰታል?")</f>
        <v>አንድ ተጫዋች ከመወርወሩ በፊት በድንገት ዱላውን ቢጥል ምን ይከሰታል?</v>
      </c>
      <c r="I20" s="8" t="str">
        <f>IFERROR(__xludf.DUMMYFUNCTION(" GOOGLETRANSLATE(C20, ""en"", ""am"")"),"ሀ. በሃሳብ ጠፋ። ለ. ድጋሚ መውሰድ የተፈቀደ ሐ. ነጥብ መቀነስ መ. እንደገና መውሰድ ተፈቅዷል")</f>
        <v>ሀ. በሃሳብ ጠፋ። ለ. ድጋሚ መውሰድ የተፈቀደ ሐ. ነጥብ መቀነስ መ. እንደገና መውሰድ ተፈቅዷል</v>
      </c>
      <c r="J20" s="8" t="str">
        <f>IFERROR(__xludf.DUMMYFUNCTION(" GOOGLETRANSLATE(D20, ""en"", ""am"")"),"ተጫዋቾቹ በአጋጣሚ ዱላውን ከጣሉ ወረወሩን እንዲያነሱ ይፈቀድላቸዋል።")</f>
        <v>ተጫዋቾቹ በአጋጣሚ ዱላውን ከጣሉ ወረወሩን እንዲያነሱ ይፈቀድላቸዋል።</v>
      </c>
      <c r="K20" s="8" t="str">
        <f>IFERROR(__xludf.DUMMYFUNCTION(" GOOGLETRANSLATE(E20, ""en"", ""am"")"),"ተጫዋቾቹ በአጋጣሚ ዱላውን ከጣሉ ወረወሩን እንዲያነሱ ይፈቀድላቸዋል።")</f>
        <v>ተጫዋቾቹ በአጋጣሚ ዱላውን ከጣሉ ወረወሩን እንዲያነሱ ይፈቀድላቸዋል።</v>
      </c>
    </row>
    <row r="21" ht="22.5" customHeight="1">
      <c r="A21" s="13">
        <v>20.0</v>
      </c>
      <c r="B21" s="14" t="s">
        <v>509</v>
      </c>
      <c r="C21" s="14" t="s">
        <v>510</v>
      </c>
      <c r="D21" s="14" t="s">
        <v>436</v>
      </c>
      <c r="E21" s="14" t="s">
        <v>436</v>
      </c>
      <c r="G21" s="8" t="str">
        <f>IFERROR(__xludf.DUMMYFUNCTION(" GOOGLETRANSLATE(A21, ""en"", ""am"")"),"20")</f>
        <v>20</v>
      </c>
      <c r="H21" s="8" t="str">
        <f>IFERROR(__xludf.DUMMYFUNCTION(" GOOGLETRANSLATE(B21, ""en"", ""am"")"),"ከዳኛው ጋር ሲጨቃጨቁ ቅጣቱ ምንድን ነው?")</f>
        <v>ከዳኛው ጋር ሲጨቃጨቁ ቅጣቱ ምንድን ነው?</v>
      </c>
      <c r="I21" s="8" t="str">
        <f>IFERROR(__xludf.DUMMYFUNCTION(" GOOGLETRANSLATE(C21, ""en"", ""am"")"),"ሀ. ብቁ አለመሆን ለ. ነጥብ መቀነስ ሐ. በሃሳብ የጠፋ። መ. ማስጠንቀቂያ")</f>
        <v>ሀ. ብቁ አለመሆን ለ. ነጥብ መቀነስ ሐ. በሃሳብ የጠፋ። መ. ማስጠንቀቂያ</v>
      </c>
      <c r="J21" s="8" t="str">
        <f>IFERROR(__xludf.DUMMYFUNCTION(" GOOGLETRANSLATE(D21, ""en"", ""am"")"),"ከዳኛው ጋር መጨቃጨቅ ማስጠንቀቂያ ነው።")</f>
        <v>ከዳኛው ጋር መጨቃጨቅ ማስጠንቀቂያ ነው።</v>
      </c>
      <c r="K21" s="8" t="str">
        <f>IFERROR(__xludf.DUMMYFUNCTION(" GOOGLETRANSLATE(E21, ""en"", ""am"")"),"ከዳኛው ጋር መጨቃጨቅ ማስጠንቀቂያ ነው።")</f>
        <v>ከዳኛው ጋር መጨቃጨቅ ማስጠንቀቂያ ነው።</v>
      </c>
    </row>
    <row r="22" ht="22.5" customHeight="1">
      <c r="A22" s="13">
        <v>21.0</v>
      </c>
      <c r="B22" s="14" t="s">
        <v>511</v>
      </c>
      <c r="C22" s="14" t="s">
        <v>401</v>
      </c>
      <c r="D22" s="14" t="s">
        <v>488</v>
      </c>
      <c r="E22" s="14" t="s">
        <v>488</v>
      </c>
      <c r="G22" s="8" t="str">
        <f>IFERROR(__xludf.DUMMYFUNCTION(" GOOGLETRANSLATE(A22, ""en"", ""am"")"),"21")</f>
        <v>21</v>
      </c>
      <c r="H22" s="8" t="str">
        <f>IFERROR(__xludf.DUMMYFUNCTION(" GOOGLETRANSLATE(B22, ""en"", ""am"")"),"በቡድን ውስጥ የሚፈቀደው ከፍተኛ የተጫዋቾች ብዛት ስንት ነው?")</f>
        <v>በቡድን ውስጥ የሚፈቀደው ከፍተኛ የተጫዋቾች ብዛት ስንት ነው?</v>
      </c>
      <c r="I22" s="8" t="str">
        <f>IFERROR(__xludf.DUMMYFUNCTION(" GOOGLETRANSLATE(C22, ""en"", ""am"")"),"አ.3 ለ 4 ሐ. 5 ዲ. 4")</f>
        <v>አ.3 ለ 4 ሐ. 5 ዲ. 4</v>
      </c>
      <c r="J22" s="8" t="str">
        <f>IFERROR(__xludf.DUMMYFUNCTION(" GOOGLETRANSLATE(D22, ""en"", ""am"")"),"4")</f>
        <v>4</v>
      </c>
      <c r="K22" s="8" t="str">
        <f>IFERROR(__xludf.DUMMYFUNCTION(" GOOGLETRANSLATE(E22, ""en"", ""am"")"),"4")</f>
        <v>4</v>
      </c>
    </row>
    <row r="23" ht="22.5" customHeight="1">
      <c r="A23" s="13">
        <v>22.0</v>
      </c>
      <c r="B23" s="14" t="s">
        <v>512</v>
      </c>
      <c r="C23" s="14" t="s">
        <v>513</v>
      </c>
      <c r="D23" s="14" t="s">
        <v>514</v>
      </c>
      <c r="E23" s="14" t="s">
        <v>514</v>
      </c>
      <c r="G23" s="8" t="str">
        <f>IFERROR(__xludf.DUMMYFUNCTION(" GOOGLETRANSLATE(A23, ""en"", ""am"")"),"22")</f>
        <v>22</v>
      </c>
      <c r="H23" s="8" t="str">
        <f>IFERROR(__xludf.DUMMYFUNCTION(" GOOGLETRANSLATE(B23, ""en"", ""am"")"),"የተጫዋች ዱላ ዒላማውን ቢመታ ነገር ግን የማይጣበቅ ከሆነ ምን ይከሰታል?")</f>
        <v>የተጫዋች ዱላ ዒላማውን ቢመታ ነገር ግን የማይጣበቅ ከሆነ ምን ይከሰታል?</v>
      </c>
      <c r="I23" s="8" t="str">
        <f>IFERROR(__xludf.DUMMYFUNCTION(" GOOGLETRANSLATE(C23, ""en"", ""am"")"),"ሀ. ከፊል ነጥብ ነጥብ ለ. ሙሉ ነጥብ ሐ. ግማሽ ነጥብ መ. ምንም ነጥብ የለም።")</f>
        <v>ሀ. ከፊል ነጥብ ነጥብ ለ. ሙሉ ነጥብ ሐ. ግማሽ ነጥብ መ. ምንም ነጥብ የለም።</v>
      </c>
      <c r="J23" s="8" t="str">
        <f>IFERROR(__xludf.DUMMYFUNCTION(" GOOGLETRANSLATE(D23, ""en"", ""am"")"),"ነጥቦች የሚሸለሙት ዱላው ከዒላማው ጋር ከተጣበቀ ብቻ ነው።")</f>
        <v>ነጥቦች የሚሸለሙት ዱላው ከዒላማው ጋር ከተጣበቀ ብቻ ነው።</v>
      </c>
      <c r="K23" s="8" t="str">
        <f>IFERROR(__xludf.DUMMYFUNCTION(" GOOGLETRANSLATE(E23, ""en"", ""am"")"),"ነጥቦች የሚሸለሙት ዱላው ከዒላማው ጋር ከተጣበቀ ብቻ ነው።")</f>
        <v>ነጥቦች የሚሸለሙት ዱላው ከዒላማው ጋር ከተጣበቀ ብቻ ነው።</v>
      </c>
    </row>
    <row r="24" ht="22.5" customHeight="1">
      <c r="A24" s="13">
        <v>23.0</v>
      </c>
      <c r="B24" s="14" t="s">
        <v>515</v>
      </c>
      <c r="C24" s="14" t="s">
        <v>516</v>
      </c>
      <c r="D24" s="14" t="s">
        <v>517</v>
      </c>
      <c r="E24" s="14" t="s">
        <v>517</v>
      </c>
      <c r="G24" s="8" t="str">
        <f>IFERROR(__xludf.DUMMYFUNCTION(" GOOGLETRANSLATE(A24, ""en"", ""am"")"),"23")</f>
        <v>23</v>
      </c>
      <c r="H24" s="8" t="str">
        <f>IFERROR(__xludf.DUMMYFUNCTION(" GOOGLETRANSLATE(B24, ""en"", ""am"")"),"የሌሊት ወፍ በተገቢው ውርወራ ላይ ከድንበር ቢወጣ ህጉ ምንድን ነው?")</f>
        <v>የሌሊት ወፍ በተገቢው ውርወራ ላይ ከድንበር ቢወጣ ህጉ ምንድን ነው?</v>
      </c>
      <c r="I24" s="8" t="str">
        <f>IFERROR(__xludf.DUMMYFUNCTION(" GOOGLETRANSLATE(C24, ""en"", ""am"")"),"ሀ. የቅጣት ነጥቦች ለ. እንደገና መውሰድ የተፈቀደ ሐ. ብቁ አለመሆን መ. ምንም ቅጣት የለም።")</f>
        <v>ሀ. የቅጣት ነጥቦች ለ. እንደገና መውሰድ የተፈቀደ ሐ. ብቁ አለመሆን መ. ምንም ቅጣት የለም።</v>
      </c>
      <c r="J24" s="8" t="str">
        <f>IFERROR(__xludf.DUMMYFUNCTION(" GOOGLETRANSLATE(D24, ""en"", ""am"")"),"ዱላው ከተጣለ በኋላ ከድንበር ቢወጣ ምንም ቅጣት አይኖርም.")</f>
        <v>ዱላው ከተጣለ በኋላ ከድንበር ቢወጣ ምንም ቅጣት አይኖርም.</v>
      </c>
      <c r="K24" s="8" t="str">
        <f>IFERROR(__xludf.DUMMYFUNCTION(" GOOGLETRANSLATE(E24, ""en"", ""am"")"),"ዱላው ከተጣለ በኋላ ከድንበር ቢወጣ ምንም ቅጣት አይኖርም.")</f>
        <v>ዱላው ከተጣለ በኋላ ከድንበር ቢወጣ ምንም ቅጣት አይኖርም.</v>
      </c>
    </row>
    <row r="25" ht="22.5" customHeight="1">
      <c r="A25" s="13">
        <v>24.0</v>
      </c>
      <c r="B25" s="14" t="s">
        <v>518</v>
      </c>
      <c r="C25" s="14" t="s">
        <v>458</v>
      </c>
      <c r="D25" s="14" t="s">
        <v>519</v>
      </c>
      <c r="E25" s="14" t="s">
        <v>519</v>
      </c>
      <c r="G25" s="8" t="str">
        <f>IFERROR(__xludf.DUMMYFUNCTION(" GOOGLETRANSLATE(A25, ""en"", ""am"")"),"24")</f>
        <v>24</v>
      </c>
      <c r="H25" s="8" t="str">
        <f>IFERROR(__xludf.DUMMYFUNCTION(" GOOGLETRANSLATE(B25, ""en"", ""am"")"),"በመጫወቻ ሜዳ ላይ ስንት ኢላማዎች አሉ?")</f>
        <v>በመጫወቻ ሜዳ ላይ ስንት ኢላማዎች አሉ?</v>
      </c>
      <c r="I25" s="8" t="str">
        <f>IFERROR(__xludf.DUMMYFUNCTION(" GOOGLETRANSLATE(C25, ""en"", ""am"")"),"ሀ ሁለት ለ ሶስት ሐ. አራት መ. ሶስት")</f>
        <v>ሀ ሁለት ለ ሶስት ሐ. አራት መ. ሶስት</v>
      </c>
      <c r="J25" s="8" t="str">
        <f>IFERROR(__xludf.DUMMYFUNCTION(" GOOGLETRANSLATE(D25, ""en"", ""am"")"),"በመጫወቻ ሜዳ ላይ ሶስት ኢላማዎች አሉ።")</f>
        <v>በመጫወቻ ሜዳ ላይ ሶስት ኢላማዎች አሉ።</v>
      </c>
      <c r="K25" s="8" t="str">
        <f>IFERROR(__xludf.DUMMYFUNCTION(" GOOGLETRANSLATE(E25, ""en"", ""am"")"),"በመጫወቻ ሜዳ ላይ ሶስት ኢላማዎች አሉ።")</f>
        <v>በመጫወቻ ሜዳ ላይ ሶስት ኢላማዎች አሉ።</v>
      </c>
    </row>
    <row r="26" ht="22.5" customHeight="1">
      <c r="A26" s="13">
        <v>25.0</v>
      </c>
      <c r="B26" s="14" t="s">
        <v>520</v>
      </c>
      <c r="C26" s="14" t="s">
        <v>521</v>
      </c>
      <c r="D26" s="14" t="s">
        <v>522</v>
      </c>
      <c r="E26" s="14" t="s">
        <v>522</v>
      </c>
      <c r="G26" s="8" t="str">
        <f>IFERROR(__xludf.DUMMYFUNCTION(" GOOGLETRANSLATE(A26, ""en"", ""am"")"),"25")</f>
        <v>25</v>
      </c>
      <c r="H26" s="8" t="str">
        <f>IFERROR(__xludf.DUMMYFUNCTION(" GOOGLETRANSLATE(B26, ""en"", ""am"")"),"አንድ ተጫዋች ዱላውን ወደ ተሳሳተ አቅጣጫ ቢወረውረው ምን ይሆናል?")</f>
        <v>አንድ ተጫዋች ዱላውን ወደ ተሳሳተ አቅጣጫ ቢወረውረው ምን ይሆናል?</v>
      </c>
      <c r="I26" s="8" t="str">
        <f>IFERROR(__xludf.DUMMYFUNCTION(" GOOGLETRANSLATE(C26, ""en"", ""am"")"),"ሀ. የቅጣት ነጥቦች ለ. ዳግም መውሰድ የተፈቀደ ሐ. ብቁ አለመሆን መ. ምንም ነጥብ የለም።")</f>
        <v>ሀ. የቅጣት ነጥቦች ለ. ዳግም መውሰድ የተፈቀደ ሐ. ብቁ አለመሆን መ. ምንም ነጥብ የለም።</v>
      </c>
      <c r="J26" s="8" t="str">
        <f>IFERROR(__xludf.DUMMYFUNCTION(" GOOGLETRANSLATE(D26, ""en"", ""am"")"),"ዱላውን ወደ ተሳሳተ አቅጣጫ መወርወር ምንም ነጥብ አያመጣም።")</f>
        <v>ዱላውን ወደ ተሳሳተ አቅጣጫ መወርወር ምንም ነጥብ አያመጣም።</v>
      </c>
      <c r="K26" s="8" t="str">
        <f>IFERROR(__xludf.DUMMYFUNCTION(" GOOGLETRANSLATE(E26, ""en"", ""am"")"),"ዱላውን ወደ ተሳሳተ አቅጣጫ መወርወር ምንም ነጥብ አያመጣም።")</f>
        <v>ዱላውን ወደ ተሳሳተ አቅጣጫ መወርወር ምንም ነጥብ አያመጣም።</v>
      </c>
    </row>
    <row r="27" ht="22.5" customHeight="1">
      <c r="A27" s="13">
        <v>26.0</v>
      </c>
      <c r="B27" s="14" t="s">
        <v>523</v>
      </c>
      <c r="C27" s="14" t="s">
        <v>524</v>
      </c>
      <c r="D27" s="14" t="s">
        <v>525</v>
      </c>
      <c r="E27" s="14" t="s">
        <v>525</v>
      </c>
      <c r="G27" s="8" t="str">
        <f>IFERROR(__xludf.DUMMYFUNCTION(" GOOGLETRANSLATE(A27, ""en"", ""am"")"),"26")</f>
        <v>26</v>
      </c>
      <c r="H27" s="8" t="str">
        <f>IFERROR(__xludf.DUMMYFUNCTION(" GOOGLETRANSLATE(B27, ""en"", ""am"")"),"ተጫዋቹ ከእጁ በታች ዱላ መጣል ይችላል?")</f>
        <v>ተጫዋቹ ከእጁ በታች ዱላ መጣል ይችላል?</v>
      </c>
      <c r="I27" s="8" t="str">
        <f>IFERROR(__xludf.DUMMYFUNCTION(" GOOGLETRANSLATE(C27, ""en"", ""am"")"),"A. አይ ለ. ለጀማሪዎች ብቻ ሐ. ሲያያዝ ብቻ D. አዎ")</f>
        <v>A. አይ ለ. ለጀማሪዎች ብቻ ሐ. ሲያያዝ ብቻ D. አዎ</v>
      </c>
      <c r="J27" s="8" t="str">
        <f>IFERROR(__xludf.DUMMYFUNCTION(" GOOGLETRANSLATE(D27, ""en"", ""am"")"),"ተጫዋቾች በእጃቸው እንጨቶችን እንዲጥሉ ይፈቀድላቸዋል.")</f>
        <v>ተጫዋቾች በእጃቸው እንጨቶችን እንዲጥሉ ይፈቀድላቸዋል.</v>
      </c>
      <c r="K27" s="8" t="str">
        <f>IFERROR(__xludf.DUMMYFUNCTION(" GOOGLETRANSLATE(E27, ""en"", ""am"")"),"ተጫዋቾች በእጃቸው እንጨቶችን እንዲጥሉ ይፈቀድላቸዋል.")</f>
        <v>ተጫዋቾች በእጃቸው እንጨቶችን እንዲጥሉ ይፈቀድላቸዋል.</v>
      </c>
    </row>
    <row r="28" ht="22.5" customHeight="1">
      <c r="A28" s="13">
        <v>27.0</v>
      </c>
      <c r="B28" s="14" t="s">
        <v>526</v>
      </c>
      <c r="C28" s="14" t="s">
        <v>527</v>
      </c>
      <c r="D28" s="14" t="s">
        <v>528</v>
      </c>
      <c r="E28" s="14" t="s">
        <v>528</v>
      </c>
      <c r="G28" s="8" t="str">
        <f>IFERROR(__xludf.DUMMYFUNCTION(" GOOGLETRANSLATE(A28, ""en"", ""am"")"),"27")</f>
        <v>27</v>
      </c>
      <c r="H28" s="8" t="str">
        <f>IFERROR(__xludf.DUMMYFUNCTION(" GOOGLETRANSLATE(B28, ""en"", ""am"")"),"አንድ ተጫዋች በተጠማዘዘ ውርወራ ኢላማውን ሲመታ እንዴት ነው ጎል የሚያገኘው?")</f>
        <v>አንድ ተጫዋች በተጠማዘዘ ውርወራ ኢላማውን ሲመታ እንዴት ነው ጎል የሚያገኘው?</v>
      </c>
      <c r="I28" s="8" t="str">
        <f>IFERROR(__xludf.DUMMYFUNCTION(" GOOGLETRANSLATE(C28, ""en"", ""am"")"),"ሀ. ሙሉ ነጥብ ለ. ግማሽ ነጥብ ሐ. የጉርሻ ነጥቦች መ. ሙሉ ነጥቦች")</f>
        <v>ሀ. ሙሉ ነጥብ ለ. ግማሽ ነጥብ ሐ. የጉርሻ ነጥቦች መ. ሙሉ ነጥቦች</v>
      </c>
      <c r="J28" s="8" t="str">
        <f>IFERROR(__xludf.DUMMYFUNCTION(" GOOGLETRANSLATE(D28, ""en"", ""am"")"),"ዒላማውን የሚመታ የተጠማዘዘ ውርወራ ሙሉ ነጥቦችን ያስከትላል።")</f>
        <v>ዒላማውን የሚመታ የተጠማዘዘ ውርወራ ሙሉ ነጥቦችን ያስከትላል።</v>
      </c>
      <c r="K28" s="8" t="str">
        <f>IFERROR(__xludf.DUMMYFUNCTION(" GOOGLETRANSLATE(E28, ""en"", ""am"")"),"ዒላማውን የሚመታ የተጠማዘዘ ውርወራ ሙሉ ነጥቦችን ያስከትላል።")</f>
        <v>ዒላማውን የሚመታ የተጠማዘዘ ውርወራ ሙሉ ነጥቦችን ያስከትላል።</v>
      </c>
    </row>
    <row r="29" ht="22.5" customHeight="1">
      <c r="A29" s="13">
        <v>28.0</v>
      </c>
      <c r="B29" s="14" t="s">
        <v>529</v>
      </c>
      <c r="C29" s="14" t="s">
        <v>530</v>
      </c>
      <c r="D29" s="14" t="s">
        <v>531</v>
      </c>
      <c r="E29" s="14" t="s">
        <v>531</v>
      </c>
      <c r="G29" s="8" t="str">
        <f>IFERROR(__xludf.DUMMYFUNCTION(" GOOGLETRANSLATE(A29, ""en"", ""am"")"),"28")</f>
        <v>28</v>
      </c>
      <c r="H29" s="8" t="str">
        <f>IFERROR(__xludf.DUMMYFUNCTION(" GOOGLETRANSLATE(B29, ""en"", ""am"")"),"አንድ ተጫዋች ሆን ብሎ ኢላማውን ቢጎዳ ቅጣቱ ምንድን ነው?")</f>
        <v>አንድ ተጫዋች ሆን ብሎ ኢላማውን ቢጎዳ ቅጣቱ ምንድን ነው?</v>
      </c>
      <c r="I29" s="8" t="str">
        <f>IFERROR(__xludf.DUMMYFUNCTION(" GOOGLETRANSLATE(C29, ""en"", ""am"")"),"ሀ. ማስጠንቀቂያ ለ. ብቁ አለመሆን ሐ. ነጥብ መቀነስ መ. ብቁ አለመሆን")</f>
        <v>ሀ. ማስጠንቀቂያ ለ. ብቁ አለመሆን ሐ. ነጥብ መቀነስ መ. ብቁ አለመሆን</v>
      </c>
      <c r="J29" s="8" t="str">
        <f>IFERROR(__xludf.DUMMYFUNCTION(" GOOGLETRANSLATE(D29, ""en"", ""am"")"),"ሆን ተብሎ ዒላማውን መጉዳት ብቃት ማነስን ያስከትላል።")</f>
        <v>ሆን ተብሎ ዒላማውን መጉዳት ብቃት ማነስን ያስከትላል።</v>
      </c>
      <c r="K29" s="8" t="str">
        <f>IFERROR(__xludf.DUMMYFUNCTION(" GOOGLETRANSLATE(E29, ""en"", ""am"")"),"ሆን ተብሎ ዒላማውን መጉዳት ብቃት ማነስን ያስከትላል።")</f>
        <v>ሆን ተብሎ ዒላማውን መጉዳት ብቃት ማነስን ያስከትላል።</v>
      </c>
    </row>
    <row r="30" ht="22.5" customHeight="1">
      <c r="A30" s="13">
        <v>29.0</v>
      </c>
      <c r="B30" s="14" t="s">
        <v>532</v>
      </c>
      <c r="C30" s="14" t="s">
        <v>533</v>
      </c>
      <c r="D30" s="14" t="s">
        <v>534</v>
      </c>
      <c r="E30" s="14" t="s">
        <v>534</v>
      </c>
      <c r="G30" s="8" t="str">
        <f>IFERROR(__xludf.DUMMYFUNCTION(" GOOGLETRANSLATE(A30, ""en"", ""am"")"),"29")</f>
        <v>29</v>
      </c>
      <c r="H30" s="8" t="str">
        <f>IFERROR(__xludf.DUMMYFUNCTION(" GOOGLETRANSLATE(B30, ""en"", ""am"")"),"አንድ ተጫዋች በጨዋታው ወቅት የሚወዱትን ማንኛውንም ዱላ መጠቀም ይችላል?")</f>
        <v>አንድ ተጫዋች በጨዋታው ወቅት የሚወዱትን ማንኛውንም ዱላ መጠቀም ይችላል?</v>
      </c>
      <c r="I30" s="8" t="str">
        <f>IFERROR(__xludf.DUMMYFUNCTION(" GOOGLETRANSLATE(C30, ""en"", ""am"")"),"A. አይ ለ. የተወሰኑ የእንጨት ዓይነቶች ብቻ ይፈቀዳሉ. ሐ. በዳኛ የተፈቀደ እንጨት ብቻ። መ. አዎ")</f>
        <v>A. አይ ለ. የተወሰኑ የእንጨት ዓይነቶች ብቻ ይፈቀዳሉ. ሐ. በዳኛ የተፈቀደ እንጨት ብቻ። መ. አዎ</v>
      </c>
      <c r="J30" s="8" t="str">
        <f>IFERROR(__xludf.DUMMYFUNCTION(" GOOGLETRANSLATE(D30, ""en"", ""am"")"),"ተጫዋቾች በጨዋታው ወቅት የሚፈልጉትን ማንኛውንም ዱላ መጠቀም ይችላሉ።")</f>
        <v>ተጫዋቾች በጨዋታው ወቅት የሚፈልጉትን ማንኛውንም ዱላ መጠቀም ይችላሉ።</v>
      </c>
      <c r="K30" s="8" t="str">
        <f>IFERROR(__xludf.DUMMYFUNCTION(" GOOGLETRANSLATE(E30, ""en"", ""am"")"),"ተጫዋቾች በጨዋታው ወቅት የሚፈልጉትን ማንኛውንም ዱላ መጠቀም ይችላሉ።")</f>
        <v>ተጫዋቾች በጨዋታው ወቅት የሚፈልጉትን ማንኛውንም ዱላ መጠቀም ይችላሉ።</v>
      </c>
    </row>
    <row r="31" ht="22.5" customHeight="1">
      <c r="A31" s="13">
        <v>30.0</v>
      </c>
      <c r="B31" s="14" t="s">
        <v>535</v>
      </c>
      <c r="C31" s="14" t="s">
        <v>536</v>
      </c>
      <c r="D31" s="14" t="s">
        <v>537</v>
      </c>
      <c r="E31" s="14" t="s">
        <v>537</v>
      </c>
      <c r="G31" s="8" t="str">
        <f>IFERROR(__xludf.DUMMYFUNCTION(" GOOGLETRANSLATE(A31, ""en"", ""am"")"),"30")</f>
        <v>30</v>
      </c>
      <c r="H31" s="8" t="str">
        <f>IFERROR(__xludf.DUMMYFUNCTION(" GOOGLETRANSLATE(B31, ""en"", ""am"")"),"አንድ ተጫዋች በተሰጠው ጊዜ ውስጥ ካልጣለ ምን ይሆናል?")</f>
        <v>አንድ ተጫዋች በተሰጠው ጊዜ ውስጥ ካልጣለ ምን ይሆናል?</v>
      </c>
      <c r="I31" s="8" t="str">
        <f>IFERROR(__xludf.DUMMYFUNCTION(" GOOGLETRANSLATE(C31, ""en"", ""am"")"),"ሀ. የቅጣት ነጥቦች ለ. ማስጠንቀቂያ ሐ. እንደገና መውሰድ ተፈቅዶለታል መ. በሃሳብ የጠፋ።")</f>
        <v>ሀ. የቅጣት ነጥቦች ለ. ማስጠንቀቂያ ሐ. እንደገና መውሰድ ተፈቅዶለታል መ. በሃሳብ የጠፋ።</v>
      </c>
      <c r="J31" s="8" t="str">
        <f>IFERROR(__xludf.DUMMYFUNCTION(" GOOGLETRANSLATE(D31, ""en"", ""am"")"),"አንድ ተጫዋች በተሰጠው ጊዜ ውስጥ ካልጣለ ተራውን ያጣል።")</f>
        <v>አንድ ተጫዋች በተሰጠው ጊዜ ውስጥ ካልጣለ ተራውን ያጣል።</v>
      </c>
      <c r="K31" s="8" t="str">
        <f>IFERROR(__xludf.DUMMYFUNCTION(" GOOGLETRANSLATE(E31, ""en"", ""am"")"),"አንድ ተጫዋች በተሰጠው ጊዜ ውስጥ ካልጣለ ተራውን ያጣል።")</f>
        <v>አንድ ተጫዋች በተሰጠው ጊዜ ውስጥ ካልጣለ ተራውን ያጣል።</v>
      </c>
    </row>
    <row r="32" ht="22.5" customHeight="1">
      <c r="A32" s="13">
        <v>31.0</v>
      </c>
      <c r="B32" s="14" t="s">
        <v>538</v>
      </c>
      <c r="C32" s="14" t="s">
        <v>539</v>
      </c>
      <c r="D32" s="14" t="s">
        <v>540</v>
      </c>
      <c r="E32" s="14" t="s">
        <v>540</v>
      </c>
      <c r="G32" s="8" t="str">
        <f>IFERROR(__xludf.DUMMYFUNCTION(" GOOGLETRANSLATE(A32, ""en"", ""am"")"),"31")</f>
        <v>31</v>
      </c>
      <c r="H32" s="8" t="str">
        <f>IFERROR(__xludf.DUMMYFUNCTION(" GOOGLETRANSLATE(B32, ""en"", ""am"")"),"የውጪውን ኢላማ ለመምታት ስንት ነጥብ ተሰጥቷል?")</f>
        <v>የውጪውን ኢላማ ለመምታት ስንት ነጥብ ተሰጥቷል?</v>
      </c>
      <c r="I32" s="8" t="str">
        <f>IFERROR(__xludf.DUMMYFUNCTION(" GOOGLETRANSLATE(C32, ""en"", ""am"")"),"ሀ.2 ነጥብ ለ. 5 ነጥብ ሐ. 10 ነጥብ መ. 1 ነጥብ")</f>
        <v>ሀ.2 ነጥብ ለ. 5 ነጥብ ሐ. 10 ነጥብ መ. 1 ነጥብ</v>
      </c>
      <c r="J32" s="8" t="str">
        <f>IFERROR(__xludf.DUMMYFUNCTION(" GOOGLETRANSLATE(D32, ""en"", ""am"")"),"የውጭ ኢላማ ሽልማቶችን ለመምታት 1 ነጥብ።")</f>
        <v>የውጭ ኢላማ ሽልማቶችን ለመምታት 1 ነጥብ።</v>
      </c>
      <c r="K32" s="8" t="str">
        <f>IFERROR(__xludf.DUMMYFUNCTION(" GOOGLETRANSLATE(E32, ""en"", ""am"")"),"የውጭ ኢላማ ሽልማቶችን ለመምታት 1 ነጥብ።")</f>
        <v>የውጭ ኢላማ ሽልማቶችን ለመምታት 1 ነጥብ።</v>
      </c>
    </row>
    <row r="33" ht="22.5" customHeight="1">
      <c r="A33" s="13">
        <v>32.0</v>
      </c>
      <c r="B33" s="14" t="s">
        <v>541</v>
      </c>
      <c r="C33" s="14" t="s">
        <v>542</v>
      </c>
      <c r="D33" s="14" t="s">
        <v>543</v>
      </c>
      <c r="E33" s="14" t="s">
        <v>543</v>
      </c>
      <c r="G33" s="8" t="str">
        <f>IFERROR(__xludf.DUMMYFUNCTION(" GOOGLETRANSLATE(A33, ""en"", ""am"")"),"32")</f>
        <v>32</v>
      </c>
      <c r="H33" s="8" t="str">
        <f>IFERROR(__xludf.DUMMYFUNCTION(" GOOGLETRANSLATE(B33, ""en"", ""am"")"),"በትግል ጊዜ ተቃራኒውን ተጫዋች ማዘናጋት ይፈቀዳል?")</f>
        <v>በትግል ጊዜ ተቃራኒውን ተጫዋች ማዘናጋት ይፈቀዳል?</v>
      </c>
      <c r="I33" s="8" t="str">
        <f>IFERROR(__xludf.DUMMYFUNCTION(" GOOGLETRANSLATE(C33, ""en"", ""am"")"),"A. አይ ለ. ዳኛው ከፈቀደ ብቻ ነው። ሐ. ሲያያዝ ብቻ D. No")</f>
        <v>A. አይ ለ. ዳኛው ከፈቀደ ብቻ ነው። ሐ. ሲያያዝ ብቻ D. No</v>
      </c>
      <c r="J33" s="8" t="str">
        <f>IFERROR(__xludf.DUMMYFUNCTION(" GOOGLETRANSLATE(D33, ""en"", ""am"")"),"በትግል ጊዜ ተቃራኒውን ተጫዋች ማዘናጋት አይፈቀድም።")</f>
        <v>በትግል ጊዜ ተቃራኒውን ተጫዋች ማዘናጋት አይፈቀድም።</v>
      </c>
      <c r="K33" s="8" t="str">
        <f>IFERROR(__xludf.DUMMYFUNCTION(" GOOGLETRANSLATE(E33, ""en"", ""am"")"),"በትግል ጊዜ ተቃራኒውን ተጫዋች ማዘናጋት አይፈቀድም።")</f>
        <v>በትግል ጊዜ ተቃራኒውን ተጫዋች ማዘናጋት አይፈቀድም።</v>
      </c>
    </row>
    <row r="34" ht="22.5" customHeight="1">
      <c r="A34" s="13">
        <v>33.0</v>
      </c>
      <c r="B34" s="14" t="s">
        <v>544</v>
      </c>
      <c r="C34" s="14" t="s">
        <v>545</v>
      </c>
      <c r="D34" s="14" t="s">
        <v>546</v>
      </c>
      <c r="E34" s="14" t="s">
        <v>546</v>
      </c>
      <c r="G34" s="8" t="str">
        <f>IFERROR(__xludf.DUMMYFUNCTION(" GOOGLETRANSLATE(A34, ""en"", ""am"")"),"33")</f>
        <v>33</v>
      </c>
      <c r="H34" s="8" t="str">
        <f>IFERROR(__xludf.DUMMYFUNCTION(" GOOGLETRANSLATE(B34, ""en"", ""am"")"),"አንድ ተጫዋች ለመጣል በዝግጅት ላይ እያለ ባቱን ቢጥል ምን ይሆናል?")</f>
        <v>አንድ ተጫዋች ለመጣል በዝግጅት ላይ እያለ ባቱን ቢጥል ምን ይሆናል?</v>
      </c>
      <c r="I34" s="8" t="str">
        <f>IFERROR(__xludf.DUMMYFUNCTION(" GOOGLETRANSLATE(C34, ""en"", ""am"")"),"ሀ. ድጋሚ መውሰድ የተፈቀደ ለ. በሃሳብ የጠፋ። ሐ. የቅጣት ነጥቦች D. እንደገና መውሰድ ተፈቅዷል")</f>
        <v>ሀ. ድጋሚ መውሰድ የተፈቀደ ለ. በሃሳብ የጠፋ። ሐ. የቅጣት ነጥቦች D. እንደገና መውሰድ ተፈቅዷል</v>
      </c>
      <c r="J34" s="8" t="str">
        <f>IFERROR(__xludf.DUMMYFUNCTION(" GOOGLETRANSLATE(D34, ""en"", ""am"")"),"አንድ ተጫዋች ለመጣል ሲዘጋጅ ዱላውን ከጣለ ወረወሩን መልሰው መውሰድ ይችላሉ።")</f>
        <v>አንድ ተጫዋች ለመጣል ሲዘጋጅ ዱላውን ከጣለ ወረወሩን መልሰው መውሰድ ይችላሉ።</v>
      </c>
      <c r="K34" s="8" t="str">
        <f>IFERROR(__xludf.DUMMYFUNCTION(" GOOGLETRANSLATE(E34, ""en"", ""am"")"),"አንድ ተጫዋች ለመጣል ሲዘጋጅ ዱላውን ከጣለ ወረወሩን መልሰው መውሰድ ይችላሉ።")</f>
        <v>አንድ ተጫዋች ለመጣል ሲዘጋጅ ዱላውን ከጣለ ወረወሩን መልሰው መውሰድ ይችላሉ።</v>
      </c>
    </row>
    <row r="35" ht="22.5" customHeight="1">
      <c r="A35" s="13">
        <v>34.0</v>
      </c>
      <c r="B35" s="14" t="s">
        <v>547</v>
      </c>
      <c r="C35" s="14" t="s">
        <v>548</v>
      </c>
      <c r="D35" s="14" t="s">
        <v>549</v>
      </c>
      <c r="E35" s="14" t="s">
        <v>549</v>
      </c>
      <c r="G35" s="8" t="str">
        <f>IFERROR(__xludf.DUMMYFUNCTION(" GOOGLETRANSLATE(A35, ""en"", ""am"")"),"34")</f>
        <v>34</v>
      </c>
      <c r="H35" s="8" t="str">
        <f>IFERROR(__xludf.DUMMYFUNCTION(" GOOGLETRANSLATE(B35, ""en"", ""am"")"),"ሁለት ተጫዋቾች ዒላማውን በአንድ ጊዜ ቢመቱ ህጉ ምንድን ነው?")</f>
        <v>ሁለት ተጫዋቾች ዒላማውን በአንድ ጊዜ ቢመቱ ህጉ ምንድን ነው?</v>
      </c>
      <c r="I35" s="8" t="str">
        <f>IFERROR(__xludf.DUMMYFUNCTION(" GOOGLETRANSLATE(C35, ""en"", ""am"")"),"ሀ. የመጀመሪያ ተጫዋች ውጤቶች ለ. ሁለተኛ ተጫዋች አስቆጥሯል። ሐ. ምንም ነጥብ አልተሰጠም። መ. ሁለቱም ነጥቦች ነጥቦች ናቸው.")</f>
        <v>ሀ. የመጀመሪያ ተጫዋች ውጤቶች ለ. ሁለተኛ ተጫዋች አስቆጥሯል። ሐ. ምንም ነጥብ አልተሰጠም። መ. ሁለቱም ነጥቦች ነጥቦች ናቸው.</v>
      </c>
      <c r="J35" s="8" t="str">
        <f>IFERROR(__xludf.DUMMYFUNCTION(" GOOGLETRANSLATE(D35, ""en"", ""am"")"),"ሁለት ተጫዋቾች ዒላማውን በአንድ ጊዜ ቢመታ ሁለቱም ተጫዋቾች ነጥብ ያመጣሉ.")</f>
        <v>ሁለት ተጫዋቾች ዒላማውን በአንድ ጊዜ ቢመታ ሁለቱም ተጫዋቾች ነጥብ ያመጣሉ.</v>
      </c>
      <c r="K35" s="8" t="str">
        <f>IFERROR(__xludf.DUMMYFUNCTION(" GOOGLETRANSLATE(E35, ""en"", ""am"")"),"ሁለት ተጫዋቾች ዒላማውን በአንድ ጊዜ ቢመታ ሁለቱም ተጫዋቾች ነጥብ ያመጣሉ.")</f>
        <v>ሁለት ተጫዋቾች ዒላማውን በአንድ ጊዜ ቢመታ ሁለቱም ተጫዋቾች ነጥብ ያመጣሉ.</v>
      </c>
    </row>
    <row r="36" ht="22.5" customHeight="1">
      <c r="A36" s="13">
        <v>35.0</v>
      </c>
      <c r="B36" s="14" t="s">
        <v>550</v>
      </c>
      <c r="C36" s="14" t="s">
        <v>551</v>
      </c>
      <c r="D36" s="14" t="s">
        <v>552</v>
      </c>
      <c r="E36" s="14" t="s">
        <v>552</v>
      </c>
      <c r="G36" s="8" t="str">
        <f>IFERROR(__xludf.DUMMYFUNCTION(" GOOGLETRANSLATE(A36, ""en"", ""am"")"),"35")</f>
        <v>35</v>
      </c>
      <c r="H36" s="8" t="str">
        <f>IFERROR(__xludf.DUMMYFUNCTION(" GOOGLETRANSLATE(B36, ""en"", ""am"")"),"ጨዋታው ካለቀ በኋላ አንድ ተጫዋች ዱላ መጣል ይችላል?")</f>
        <v>ጨዋታው ካለቀ በኋላ አንድ ተጫዋች ዱላ መጣል ይችላል?</v>
      </c>
      <c r="I36" s="8" t="str">
        <f>IFERROR(__xludf.DUMMYFUNCTION(" GOOGLETRANSLATE(C36, ""en"", ""am"")"),"መ. አይ፣ ግጥሚያው ወዲያው ያበቃል። ለ. በዳኛ ፈቃድ ብቻ። ሐ. አዎ፣ ግን አይቆጠርም። መ. አይ፣ ግጥሚያው ወዲያው ያበቃል።")</f>
        <v>መ. አይ፣ ግጥሚያው ወዲያው ያበቃል። ለ. በዳኛ ፈቃድ ብቻ። ሐ. አዎ፣ ግን አይቆጠርም። መ. አይ፣ ግጥሚያው ወዲያው ያበቃል።</v>
      </c>
      <c r="J36" s="8" t="str">
        <f>IFERROR(__xludf.DUMMYFUNCTION(" GOOGLETRANSLATE(D36, ""en"", ""am"")"),"ጨዋታው ካለቀ በኋላ ተጫዋቹ ዱላ መጣል አይችልም።")</f>
        <v>ጨዋታው ካለቀ በኋላ ተጫዋቹ ዱላ መጣል አይችልም።</v>
      </c>
      <c r="K36" s="8" t="str">
        <f>IFERROR(__xludf.DUMMYFUNCTION(" GOOGLETRANSLATE(E36, ""en"", ""am"")"),"ጨዋታው ካለቀ በኋላ ተጫዋቹ ዱላ መጣል አይችልም።")</f>
        <v>ጨዋታው ካለቀ በኋላ ተጫዋቹ ዱላ መጣል አይችልም።</v>
      </c>
    </row>
    <row r="37" ht="22.5" customHeight="1">
      <c r="A37" s="13">
        <v>36.0</v>
      </c>
      <c r="B37" s="14" t="s">
        <v>553</v>
      </c>
      <c r="C37" s="14" t="s">
        <v>554</v>
      </c>
      <c r="D37" s="14" t="s">
        <v>555</v>
      </c>
      <c r="E37" s="14" t="s">
        <v>555</v>
      </c>
      <c r="G37" s="8" t="str">
        <f>IFERROR(__xludf.DUMMYFUNCTION(" GOOGLETRANSLATE(A37, ""en"", ""am"")"),"36")</f>
        <v>36</v>
      </c>
      <c r="H37" s="8" t="str">
        <f>IFERROR(__xludf.DUMMYFUNCTION(" GOOGLETRANSLATE(B37, ""en"", ""am"")"),"አንድ ተጫዋች ዒላማውን በተሳሳተ ቅደም ተከተል ቢመታ ምን ይሆናል?")</f>
        <v>አንድ ተጫዋች ዒላማውን በተሳሳተ ቅደም ተከተል ቢመታ ምን ይሆናል?</v>
      </c>
      <c r="I37" s="8" t="str">
        <f>IFERROR(__xludf.DUMMYFUNCTION(" GOOGLETRANSLATE(C37, ""en"", ""am"")"),"ሀ. የቅጣት ነጥቦች ለ. ለመጨረሻው ዒላማ ነጥብ ሐ. ብቁ አለመሆን መ. ምንም ነጥብ የለም.")</f>
        <v>ሀ. የቅጣት ነጥቦች ለ. ለመጨረሻው ዒላማ ነጥብ ሐ. ብቁ አለመሆን መ. ምንም ነጥብ የለም.</v>
      </c>
      <c r="J37" s="8" t="str">
        <f>IFERROR(__xludf.DUMMYFUNCTION(" GOOGLETRANSLATE(D37, ""en"", ""am"")"),"ኢላማውን በተሳሳተ ቅደም ተከተል መምታት ምንም ነጥብ አያስገኝም።")</f>
        <v>ኢላማውን በተሳሳተ ቅደም ተከተል መምታት ምንም ነጥብ አያስገኝም።</v>
      </c>
      <c r="K37" s="8" t="str">
        <f>IFERROR(__xludf.DUMMYFUNCTION(" GOOGLETRANSLATE(E37, ""en"", ""am"")"),"ኢላማውን በተሳሳተ ቅደም ተከተል መምታት ምንም ነጥብ አያስገኝም።")</f>
        <v>ኢላማውን በተሳሳተ ቅደም ተከተል መምታት ምንም ነጥብ አያስገኝም።</v>
      </c>
    </row>
    <row r="38" ht="22.5" customHeight="1">
      <c r="A38" s="13">
        <v>37.0</v>
      </c>
      <c r="B38" s="14" t="s">
        <v>556</v>
      </c>
      <c r="C38" s="14" t="s">
        <v>557</v>
      </c>
      <c r="D38" s="14" t="s">
        <v>558</v>
      </c>
      <c r="E38" s="14" t="s">
        <v>558</v>
      </c>
      <c r="G38" s="8" t="str">
        <f>IFERROR(__xludf.DUMMYFUNCTION(" GOOGLETRANSLATE(A38, ""en"", ""am"")"),"37")</f>
        <v>37</v>
      </c>
      <c r="H38" s="8" t="str">
        <f>IFERROR(__xludf.DUMMYFUNCTION(" GOOGLETRANSLATE(B38, ""en"", ""am"")"),"ዱላው በከፊል ኢላማውን ቢመታ የነጥብ አሰጣጥ ህግ ምንድን ነው?")</f>
        <v>ዱላው በከፊል ኢላማውን ቢመታ የነጥብ አሰጣጥ ህግ ምንድን ነው?</v>
      </c>
      <c r="I38" s="8" t="str">
        <f>IFERROR(__xludf.DUMMYFUNCTION(" GOOGLETRANSLATE(C38, ""en"", ""am"")"),"ሀ. ግማሽ ነጥብ ለ. ሙሉ ነጥብ ሐ. የጉርሻ ነጥቦች D. ግማሽ ነጥብ")</f>
        <v>ሀ. ግማሽ ነጥብ ለ. ሙሉ ነጥብ ሐ. የጉርሻ ነጥቦች D. ግማሽ ነጥብ</v>
      </c>
      <c r="J38" s="8" t="str">
        <f>IFERROR(__xludf.DUMMYFUNCTION(" GOOGLETRANSLATE(D38, ""en"", ""am"")"),"ኢላማው ላይ ከፊል መምታት ግማሽ ነጥብ አስመዝግቧል።")</f>
        <v>ኢላማው ላይ ከፊል መምታት ግማሽ ነጥብ አስመዝግቧል።</v>
      </c>
      <c r="K38" s="8" t="str">
        <f>IFERROR(__xludf.DUMMYFUNCTION(" GOOGLETRANSLATE(E38, ""en"", ""am"")"),"ኢላማው ላይ ከፊል መምታት ግማሽ ነጥብ አስመዝግቧል።")</f>
        <v>ኢላማው ላይ ከፊል መምታት ግማሽ ነጥብ አስመዝግቧል።</v>
      </c>
    </row>
    <row r="39" ht="22.5" customHeight="1">
      <c r="A39" s="13">
        <v>38.0</v>
      </c>
      <c r="B39" s="14" t="s">
        <v>559</v>
      </c>
      <c r="C39" s="14" t="s">
        <v>560</v>
      </c>
      <c r="D39" s="14" t="s">
        <v>436</v>
      </c>
      <c r="E39" s="14" t="s">
        <v>436</v>
      </c>
      <c r="G39" s="8" t="str">
        <f>IFERROR(__xludf.DUMMYFUNCTION(" GOOGLETRANSLATE(A39, ""en"", ""am"")"),"38")</f>
        <v>38</v>
      </c>
      <c r="H39" s="8" t="str">
        <f>IFERROR(__xludf.DUMMYFUNCTION(" GOOGLETRANSLATE(B39, ""en"", ""am"")"),"አንድ ተጫዋች ከውሳኔ በኋላ ከዳኛው ጋር ቢጨቃጨቅ ምን ይሆናል?")</f>
        <v>አንድ ተጫዋች ከውሳኔ በኋላ ከዳኛው ጋር ቢጨቃጨቅ ምን ይሆናል?</v>
      </c>
      <c r="I39" s="8" t="str">
        <f>IFERROR(__xludf.DUMMYFUNCTION(" GOOGLETRANSLATE(C39, ""en"", ""am"")"),"ሀ. በሃሳብ ጠፋ። ለ. ብቁ አለመሆን ሐ. የቅጣት ነጥቦች መ. ማስጠንቀቂያ")</f>
        <v>ሀ. በሃሳብ ጠፋ። ለ. ብቁ አለመሆን ሐ. የቅጣት ነጥቦች መ. ማስጠንቀቂያ</v>
      </c>
      <c r="J39" s="8" t="str">
        <f>IFERROR(__xludf.DUMMYFUNCTION(" GOOGLETRANSLATE(D39, ""en"", ""am"")"),"ከዳኛው ጋር መጨቃጨቅ ማስጠንቀቂያ ነው።")</f>
        <v>ከዳኛው ጋር መጨቃጨቅ ማስጠንቀቂያ ነው።</v>
      </c>
      <c r="K39" s="8" t="str">
        <f>IFERROR(__xludf.DUMMYFUNCTION(" GOOGLETRANSLATE(E39, ""en"", ""am"")"),"ከዳኛው ጋር መጨቃጨቅ ማስጠንቀቂያ ነው።")</f>
        <v>ከዳኛው ጋር መጨቃጨቅ ማስጠንቀቂያ ነው።</v>
      </c>
    </row>
    <row r="40" ht="22.5" customHeight="1">
      <c r="A40" s="13">
        <v>39.0</v>
      </c>
      <c r="B40" s="14" t="s">
        <v>561</v>
      </c>
      <c r="C40" s="14" t="s">
        <v>562</v>
      </c>
      <c r="D40" s="14" t="s">
        <v>563</v>
      </c>
      <c r="E40" s="14" t="s">
        <v>563</v>
      </c>
      <c r="G40" s="8" t="str">
        <f>IFERROR(__xludf.DUMMYFUNCTION(" GOOGLETRANSLATE(A40, ""en"", ""am"")"),"39")</f>
        <v>39</v>
      </c>
      <c r="H40" s="8" t="str">
        <f>IFERROR(__xludf.DUMMYFUNCTION(" GOOGLETRANSLATE(B40, ""en"", ""am"")"),"አንድ ተጫዋች በጨዋታው ወቅት የመወርወር ዘዴውን መቀየር ይችላል?")</f>
        <v>አንድ ተጫዋች በጨዋታው ወቅት የመወርወር ዘዴውን መቀየር ይችላል?</v>
      </c>
      <c r="I40" s="8" t="str">
        <f>IFERROR(__xludf.DUMMYFUNCTION(" GOOGLETRANSLATE(C40, ""en"", ""am"")"),"A. አይ ለ. የሚሸነፉ ከሆነ ብቻ ነው። ሐ. ዳኛውን ከጠየቁ ብቻ። መ. አዎ")</f>
        <v>A. አይ ለ. የሚሸነፉ ከሆነ ብቻ ነው። ሐ. ዳኛውን ከጠየቁ ብቻ። መ. አዎ</v>
      </c>
      <c r="J40" s="8" t="str">
        <f>IFERROR(__xludf.DUMMYFUNCTION(" GOOGLETRANSLATE(D40, ""en"", ""am"")"),"በጨዋታው ወቅት ተጫዋቾች የመወርወር ቴክኒካቸውን እንዲቀይሩ ተፈቅዶላቸዋል።")</f>
        <v>በጨዋታው ወቅት ተጫዋቾች የመወርወር ቴክኒካቸውን እንዲቀይሩ ተፈቅዶላቸዋል።</v>
      </c>
      <c r="K40" s="8" t="str">
        <f>IFERROR(__xludf.DUMMYFUNCTION(" GOOGLETRANSLATE(E40, ""en"", ""am"")"),"በጨዋታው ወቅት ተጫዋቾች የመወርወር ቴክኒካቸውን እንዲቀይሩ ተፈቅዶላቸዋል።")</f>
        <v>በጨዋታው ወቅት ተጫዋቾች የመወርወር ቴክኒካቸውን እንዲቀይሩ ተፈቅዶላቸዋል።</v>
      </c>
    </row>
    <row r="41" ht="22.5" customHeight="1">
      <c r="A41" s="13">
        <v>40.0</v>
      </c>
      <c r="B41" s="14" t="s">
        <v>564</v>
      </c>
      <c r="C41" s="14" t="s">
        <v>565</v>
      </c>
      <c r="D41" s="14" t="s">
        <v>566</v>
      </c>
      <c r="E41" s="14" t="s">
        <v>566</v>
      </c>
      <c r="G41" s="8" t="str">
        <f>IFERROR(__xludf.DUMMYFUNCTION(" GOOGLETRANSLATE(A41, ""en"", ""am"")"),"40")</f>
        <v>40</v>
      </c>
      <c r="H41" s="8" t="str">
        <f>IFERROR(__xludf.DUMMYFUNCTION(" GOOGLETRANSLATE(B41, ""en"", ""am"")"),"አንድ ተጫዋች በሚጥልበት ጊዜ ምልክት ከተደረገበት ቦታ ውጭ ቢወጣ ምን ይከሰታል?")</f>
        <v>አንድ ተጫዋች በሚጥልበት ጊዜ ምልክት ከተደረገበት ቦታ ውጭ ቢወጣ ምን ይከሰታል?</v>
      </c>
      <c r="I41" s="8" t="str">
        <f>IFERROR(__xludf.DUMMYFUNCTION(" GOOGLETRANSLATE(C41, ""en"", ""am"")"),"ሀ. የቅጣት ነጥቦች ለ. ብቁ አለመሆን ሐ. ማስጠንቀቂያ መ. የቅጣት ነጥቦች")</f>
        <v>ሀ. የቅጣት ነጥቦች ለ. ብቁ አለመሆን ሐ. ማስጠንቀቂያ መ. የቅጣት ነጥቦች</v>
      </c>
      <c r="J41" s="8" t="str">
        <f>IFERROR(__xludf.DUMMYFUNCTION(" GOOGLETRANSLATE(D41, ""en"", ""am"")"),"በተጣለበት ወቅት ምልክት የተደረገበትን ቦታ ለቆ መውጣት ቅጣትን ያስከትላል።")</f>
        <v>በተጣለበት ወቅት ምልክት የተደረገበትን ቦታ ለቆ መውጣት ቅጣትን ያስከትላል።</v>
      </c>
      <c r="K41" s="8" t="str">
        <f>IFERROR(__xludf.DUMMYFUNCTION(" GOOGLETRANSLATE(E41, ""en"", ""am"")"),"በተጣለበት ወቅት ምልክት የተደረገበትን ቦታ ለቆ መውጣት ቅጣትን ያስከትላል።")</f>
        <v>በተጣለበት ወቅት ምልክት የተደረገበትን ቦታ ለቆ መውጣት ቅጣትን ያስከትላል።</v>
      </c>
    </row>
    <row r="42" ht="22.5" customHeight="1">
      <c r="A42" s="13">
        <v>41.0</v>
      </c>
      <c r="B42" s="14" t="s">
        <v>567</v>
      </c>
      <c r="C42" s="14" t="s">
        <v>568</v>
      </c>
      <c r="D42" s="14" t="s">
        <v>569</v>
      </c>
      <c r="E42" s="14" t="s">
        <v>569</v>
      </c>
      <c r="G42" s="8" t="str">
        <f>IFERROR(__xludf.DUMMYFUNCTION(" GOOGLETRANSLATE(A42, ""en"", ""am"")"),"41")</f>
        <v>41</v>
      </c>
      <c r="H42" s="8" t="str">
        <f>IFERROR(__xludf.DUMMYFUNCTION(" GOOGLETRANSLATE(B42, ""en"", ""am"")"),"አንድ ተጫዋች ሆን ብሎ ጨዋታውን ካዘገየ ቅጣቱ ምንድን ነው?")</f>
        <v>አንድ ተጫዋች ሆን ብሎ ጨዋታውን ካዘገየ ቅጣቱ ምንድን ነው?</v>
      </c>
      <c r="I42" s="8" t="str">
        <f>IFERROR(__xludf.DUMMYFUNCTION(" GOOGLETRANSLATE(C42, ""en"", ""am"")"),"ሀ. ብቁ አለመሆን ለ. ነጥቦችን ማጣት ሐ. እንደገና መውሰድ የተፈቀደ መ. ማስጠንቀቂያ")</f>
        <v>ሀ. ብቁ አለመሆን ለ. ነጥቦችን ማጣት ሐ. እንደገና መውሰድ የተፈቀደ መ. ማስጠንቀቂያ</v>
      </c>
      <c r="J42" s="8" t="str">
        <f>IFERROR(__xludf.DUMMYFUNCTION(" GOOGLETRANSLATE(D42, ""en"", ""am"")"),"ሆን ተብሎ ጨዋታውን ማዘግየት ማስጠንቀቂያ ነው።")</f>
        <v>ሆን ተብሎ ጨዋታውን ማዘግየት ማስጠንቀቂያ ነው።</v>
      </c>
      <c r="K42" s="8" t="str">
        <f>IFERROR(__xludf.DUMMYFUNCTION(" GOOGLETRANSLATE(E42, ""en"", ""am"")"),"ሆን ተብሎ ጨዋታውን ማዘግየት ማስጠንቀቂያ ነው።")</f>
        <v>ሆን ተብሎ ጨዋታውን ማዘግየት ማስጠንቀቂያ ነው።</v>
      </c>
    </row>
    <row r="43" ht="22.5" customHeight="1">
      <c r="A43" s="13">
        <v>42.0</v>
      </c>
      <c r="B43" s="14" t="s">
        <v>570</v>
      </c>
      <c r="C43" s="14" t="s">
        <v>571</v>
      </c>
      <c r="D43" s="14" t="s">
        <v>572</v>
      </c>
      <c r="E43" s="14" t="s">
        <v>572</v>
      </c>
      <c r="G43" s="8" t="str">
        <f>IFERROR(__xludf.DUMMYFUNCTION(" GOOGLETRANSLATE(A43, ""en"", ""am"")"),"42")</f>
        <v>42</v>
      </c>
      <c r="H43" s="8" t="str">
        <f>IFERROR(__xludf.DUMMYFUNCTION(" GOOGLETRANSLATE(B43, ""en"", ""am"")"),"በእያንዳንዱ የፌራስ ጉክስ ግጥሚያ ምን ያህል ዙሮች በተለምዶ ይጫወታሉ?")</f>
        <v>በእያንዳንዱ የፌራስ ጉክስ ግጥሚያ ምን ያህል ዙሮች በተለምዶ ይጫወታሉ?</v>
      </c>
      <c r="I43" s="8" t="str">
        <f>IFERROR(__xludf.DUMMYFUNCTION(" GOOGLETRANSLATE(C43, ""en"", ""am"")"),"A. 3 ዙሮች B. 5 ዙሮች ሐ. ያልተገደበ ዙሮች D. 3 ዙሮች")</f>
        <v>A. 3 ዙሮች B. 5 ዙሮች ሐ. ያልተገደበ ዙሮች D. 3 ዙሮች</v>
      </c>
      <c r="J43" s="8" t="str">
        <f>IFERROR(__xludf.DUMMYFUNCTION(" GOOGLETRANSLATE(D43, ""en"", ""am"")"),"የፌራስ ጉክስ ግጥሚያ በተለምዶ 3 ዙሮችን ያካትታል።")</f>
        <v>የፌራስ ጉክስ ግጥሚያ በተለምዶ 3 ዙሮችን ያካትታል።</v>
      </c>
      <c r="K43" s="8" t="str">
        <f>IFERROR(__xludf.DUMMYFUNCTION(" GOOGLETRANSLATE(E43, ""en"", ""am"")"),"የፌራስ ጉክስ ግጥሚያ በተለምዶ 3 ዙሮችን ያካትታል።")</f>
        <v>የፌራስ ጉክስ ግጥሚያ በተለምዶ 3 ዙሮችን ያካትታል።</v>
      </c>
    </row>
    <row r="44" ht="22.5" customHeight="1">
      <c r="A44" s="13">
        <v>43.0</v>
      </c>
      <c r="B44" s="14" t="s">
        <v>573</v>
      </c>
      <c r="C44" s="14" t="s">
        <v>574</v>
      </c>
      <c r="D44" s="14" t="s">
        <v>575</v>
      </c>
      <c r="E44" s="14" t="s">
        <v>575</v>
      </c>
      <c r="G44" s="8" t="str">
        <f>IFERROR(__xludf.DUMMYFUNCTION(" GOOGLETRANSLATE(A44, ""en"", ""am"")"),"43")</f>
        <v>43</v>
      </c>
      <c r="H44" s="8" t="str">
        <f>IFERROR(__xludf.DUMMYFUNCTION(" GOOGLETRANSLATE(B44, ""en"", ""am"")"),"አንድ ተጫዋች ኢላማውን ቢመታ ነገር ግን ዱላቸዉ ከወሰን ውጪ ቢወድቅ ምን ይሆናል?")</f>
        <v>አንድ ተጫዋች ኢላማውን ቢመታ ነገር ግን ዱላቸዉ ከወሰን ውጪ ቢወድቅ ምን ይሆናል?</v>
      </c>
      <c r="I44" s="8" t="str">
        <f>IFERROR(__xludf.DUMMYFUNCTION(" GOOGLETRANSLATE(C44, ""en"", ""am"")"),"ሀ. ሙሉ ነጥብ ለ. የቅጣት ነጥብ ሐ. ግማሽ ነጥብ መ. ሙሉ ነጥብ")</f>
        <v>ሀ. ሙሉ ነጥብ ለ. የቅጣት ነጥብ ሐ. ግማሽ ነጥብ መ. ሙሉ ነጥብ</v>
      </c>
      <c r="J44" s="8" t="str">
        <f>IFERROR(__xludf.DUMMYFUNCTION(" GOOGLETRANSLATE(D44, ""en"", ""am"")"),"ዱላው ኢላማውን ቢመታ ነገር ግን ከወሰን ውጭ ከወደቀ ተጫዋቹ አሁንም ሙሉ ነጥቦችን ያስመዘግባል።")</f>
        <v>ዱላው ኢላማውን ቢመታ ነገር ግን ከወሰን ውጭ ከወደቀ ተጫዋቹ አሁንም ሙሉ ነጥቦችን ያስመዘግባል።</v>
      </c>
      <c r="K44" s="8" t="str">
        <f>IFERROR(__xludf.DUMMYFUNCTION(" GOOGLETRANSLATE(E44, ""en"", ""am"")"),"ዱላው ኢላማውን ቢመታ ነገር ግን ከወሰን ውጭ ከወደቀ ተጫዋቹ አሁንም ሙሉ ነጥቦችን ያስመዘግባል።")</f>
        <v>ዱላው ኢላማውን ቢመታ ነገር ግን ከወሰን ውጭ ከወደቀ ተጫዋቹ አሁንም ሙሉ ነጥቦችን ያስመዘግባል።</v>
      </c>
    </row>
    <row r="45" ht="22.5" customHeight="1">
      <c r="A45" s="13">
        <v>44.0</v>
      </c>
      <c r="B45" s="14" t="s">
        <v>576</v>
      </c>
      <c r="C45" s="14" t="s">
        <v>577</v>
      </c>
      <c r="D45" s="14" t="s">
        <v>578</v>
      </c>
      <c r="E45" s="14" t="s">
        <v>578</v>
      </c>
      <c r="G45" s="8" t="str">
        <f>IFERROR(__xludf.DUMMYFUNCTION(" GOOGLETRANSLATE(A45, ""en"", ""am"")"),"44")</f>
        <v>44</v>
      </c>
      <c r="H45" s="8" t="str">
        <f>IFERROR(__xludf.DUMMYFUNCTION(" GOOGLETRANSLATE(B45, ""en"", ""am"")"),"ተጫዋቾች በተራ ከአንድ በላይ ዱላ መጠቀም ይችላሉ?")</f>
        <v>ተጫዋቾች በተራ ከአንድ በላይ ዱላ መጠቀም ይችላሉ?</v>
      </c>
      <c r="I45" s="8" t="str">
        <f>IFERROR(__xludf.DUMMYFUNCTION(" GOOGLETRANSLATE(C45, ""en"", ""am"")"),"A. አይ ለ. አዎ ሐ. በማጣሪያው ውስጥ ብቻ D. አይ")</f>
        <v>A. አይ ለ. አዎ ሐ. በማጣሪያው ውስጥ ብቻ D. አይ</v>
      </c>
      <c r="J45" s="8" t="str">
        <f>IFERROR(__xludf.DUMMYFUNCTION(" GOOGLETRANSLATE(D45, ""en"", ""am"")"),"ተጫዋቾች በአንድ ዱላ ብቻ እንዲጠቀሙ ይፈቀድላቸዋል።")</f>
        <v>ተጫዋቾች በአንድ ዱላ ብቻ እንዲጠቀሙ ይፈቀድላቸዋል።</v>
      </c>
      <c r="K45" s="8" t="str">
        <f>IFERROR(__xludf.DUMMYFUNCTION(" GOOGLETRANSLATE(E45, ""en"", ""am"")"),"ተጫዋቾች በአንድ ዱላ ብቻ እንዲጠቀሙ ይፈቀድላቸዋል።")</f>
        <v>ተጫዋቾች በአንድ ዱላ ብቻ እንዲጠቀሙ ይፈቀድላቸዋል።</v>
      </c>
    </row>
    <row r="46" ht="22.5" customHeight="1">
      <c r="A46" s="13">
        <v>45.0</v>
      </c>
      <c r="B46" s="14" t="s">
        <v>579</v>
      </c>
      <c r="C46" s="14" t="s">
        <v>580</v>
      </c>
      <c r="D46" s="14" t="s">
        <v>581</v>
      </c>
      <c r="E46" s="14" t="s">
        <v>581</v>
      </c>
      <c r="G46" s="8" t="str">
        <f>IFERROR(__xludf.DUMMYFUNCTION(" GOOGLETRANSLATE(A46, ""en"", ""am"")"),"45")</f>
        <v>45</v>
      </c>
      <c r="H46" s="8" t="str">
        <f>IFERROR(__xludf.DUMMYFUNCTION(" GOOGLETRANSLATE(B46, ""en"", ""am"")"),"አንድ ተጫዋች አሉታዊ ነጥቦችን ቢያመጣ ምን ይሆናል?")</f>
        <v>አንድ ተጫዋች አሉታዊ ነጥቦችን ቢያመጣ ምን ይሆናል?</v>
      </c>
      <c r="I46" s="8" t="str">
        <f>IFERROR(__xludf.DUMMYFUNCTION(" GOOGLETRANSLATE(C46, ""en"", ""am"")"),"ሀ. ማስጠንቀቂያ ለ. ዙሩ ውድቅ ተደርጓል። ሐ. ምንም ነጥብ አልተቀነሰም። መ. ዙሩ ውድቅ ተደርጓል።")</f>
        <v>ሀ. ማስጠንቀቂያ ለ. ዙሩ ውድቅ ተደርጓል። ሐ. ምንም ነጥብ አልተቀነሰም። መ. ዙሩ ውድቅ ተደርጓል።</v>
      </c>
      <c r="J46" s="8" t="str">
        <f>IFERROR(__xludf.DUMMYFUNCTION(" GOOGLETRANSLATE(D46, ""en"", ""am"")"),"አሉታዊ ነጥቦች ዙሩ ውድቅ እንዲደረግ ያደርጋል.")</f>
        <v>አሉታዊ ነጥቦች ዙሩ ውድቅ እንዲደረግ ያደርጋል.</v>
      </c>
      <c r="K46" s="8" t="str">
        <f>IFERROR(__xludf.DUMMYFUNCTION(" GOOGLETRANSLATE(E46, ""en"", ""am"")"),"አሉታዊ ነጥቦች ዙሩ ውድቅ እንዲደረግ ያደርጋል.")</f>
        <v>አሉታዊ ነጥቦች ዙሩ ውድቅ እንዲደረግ ያደርጋል.</v>
      </c>
    </row>
    <row r="47" ht="22.5" customHeight="1">
      <c r="A47" s="13">
        <v>46.0</v>
      </c>
      <c r="B47" s="14" t="s">
        <v>582</v>
      </c>
      <c r="C47" s="14" t="s">
        <v>583</v>
      </c>
      <c r="D47" s="14" t="s">
        <v>584</v>
      </c>
      <c r="E47" s="14" t="s">
        <v>584</v>
      </c>
      <c r="G47" s="8" t="str">
        <f>IFERROR(__xludf.DUMMYFUNCTION(" GOOGLETRANSLATE(A47, ""en"", ""am"")"),"46")</f>
        <v>46</v>
      </c>
      <c r="H47" s="8" t="str">
        <f>IFERROR(__xludf.DUMMYFUNCTION(" GOOGLETRANSLATE(B47, ""en"", ""am"")"),"በተጫዋቾች መካከል ያለው ትስስር በአንድ ዙር እንዴት ይፈታል?")</f>
        <v>በተጫዋቾች መካከል ያለው ትስስር በአንድ ዙር እንዴት ይፈታል?</v>
      </c>
      <c r="I47" s="8" t="str">
        <f>IFERROR(__xludf.DUMMYFUNCTION(" GOOGLETRANSLATE(C47, ""en"", ""am"")"),"ሀ. ሁለቱም ተጫዋቾች ተሸንፈዋል። ለ. ሁለቱም ተጫዋቾች ያሸንፋሉ። ሐ. የዘፈቀደ ስዕል መ. ተጨማሪ ዙር")</f>
        <v>ሀ. ሁለቱም ተጫዋቾች ተሸንፈዋል። ለ. ሁለቱም ተጫዋቾች ያሸንፋሉ። ሐ. የዘፈቀደ ስዕል መ. ተጨማሪ ዙር</v>
      </c>
      <c r="J47" s="8" t="str">
        <f>IFERROR(__xludf.DUMMYFUNCTION(" GOOGLETRANSLATE(D47, ""en"", ""am"")"),"በአንድ ዙር ውስጥ ያሉ ግንኙነቶች ከተጨማሪ ዙር ጋር ይፈታሉ.")</f>
        <v>በአንድ ዙር ውስጥ ያሉ ግንኙነቶች ከተጨማሪ ዙር ጋር ይፈታሉ.</v>
      </c>
      <c r="K47" s="8" t="str">
        <f>IFERROR(__xludf.DUMMYFUNCTION(" GOOGLETRANSLATE(E47, ""en"", ""am"")"),"በአንድ ዙር ውስጥ ያሉ ግንኙነቶች ከተጨማሪ ዙር ጋር ይፈታሉ.")</f>
        <v>በአንድ ዙር ውስጥ ያሉ ግንኙነቶች ከተጨማሪ ዙር ጋር ይፈታሉ.</v>
      </c>
    </row>
    <row r="48" ht="22.5" customHeight="1">
      <c r="A48" s="13">
        <v>47.0</v>
      </c>
      <c r="B48" s="14" t="s">
        <v>585</v>
      </c>
      <c r="C48" s="14" t="s">
        <v>586</v>
      </c>
      <c r="D48" s="14" t="s">
        <v>587</v>
      </c>
      <c r="E48" s="14" t="s">
        <v>587</v>
      </c>
      <c r="G48" s="8" t="str">
        <f>IFERROR(__xludf.DUMMYFUNCTION(" GOOGLETRANSLATE(A48, ""en"", ""am"")"),"47")</f>
        <v>47</v>
      </c>
      <c r="H48" s="8" t="str">
        <f>IFERROR(__xludf.DUMMYFUNCTION(" GOOGLETRANSLATE(B48, ""en"", ""am"")"),"አንድ ተጫዋች ዱላውን ቢመታ እና የተሳሳተ ቦታ ላይ ቢያርፍ ምን ይከሰታል?")</f>
        <v>አንድ ተጫዋች ዱላውን ቢመታ እና የተሳሳተ ቦታ ላይ ቢያርፍ ምን ይከሰታል?</v>
      </c>
      <c r="I48" s="8" t="str">
        <f>IFERROR(__xludf.DUMMYFUNCTION(" GOOGLETRANSLATE(C48, ""en"", ""am"")"),"ሀ. የቅጣት ነጥብ ለ. ሙሉ ነጥብ ሐ. በሃሳብ የጠፋ። መ. ምንም ነጥብ የለም.")</f>
        <v>ሀ. የቅጣት ነጥብ ለ. ሙሉ ነጥብ ሐ. በሃሳብ የጠፋ። መ. ምንም ነጥብ የለም.</v>
      </c>
      <c r="J48" s="8" t="str">
        <f>IFERROR(__xludf.DUMMYFUNCTION(" GOOGLETRANSLATE(D48, ""en"", ""am"")"),"አንድ ዱላ በተሳሳተ ቦታ ላይ ካረፈ, ምንም ነጥብ አይሰጥም.")</f>
        <v>አንድ ዱላ በተሳሳተ ቦታ ላይ ካረፈ, ምንም ነጥብ አይሰጥም.</v>
      </c>
      <c r="K48" s="8" t="str">
        <f>IFERROR(__xludf.DUMMYFUNCTION(" GOOGLETRANSLATE(E48, ""en"", ""am"")"),"አንድ ዱላ በተሳሳተ ቦታ ላይ ካረፈ, ምንም ነጥብ አይሰጥም.")</f>
        <v>አንድ ዱላ በተሳሳተ ቦታ ላይ ካረፈ, ምንም ነጥብ አይሰጥም.</v>
      </c>
    </row>
    <row r="49" ht="22.5" customHeight="1">
      <c r="A49" s="13">
        <v>48.0</v>
      </c>
      <c r="B49" s="14" t="s">
        <v>588</v>
      </c>
      <c r="C49" s="14" t="s">
        <v>589</v>
      </c>
      <c r="D49" s="14" t="s">
        <v>590</v>
      </c>
      <c r="E49" s="14" t="s">
        <v>590</v>
      </c>
      <c r="G49" s="8" t="str">
        <f>IFERROR(__xludf.DUMMYFUNCTION(" GOOGLETRANSLATE(A49, ""en"", ""am"")"),"48")</f>
        <v>48</v>
      </c>
      <c r="H49" s="8" t="str">
        <f>IFERROR(__xludf.DUMMYFUNCTION(" GOOGLETRANSLATE(B49, ""en"", ""am"")"),"ተጫዋቹ ግጥሚያውን ለመተው መምረጥ ይችላል?")</f>
        <v>ተጫዋቹ ግጥሚያውን ለመተው መምረጥ ይችላል?</v>
      </c>
      <c r="I49" s="8" t="str">
        <f>IFERROR(__xludf.DUMMYFUNCTION(" GOOGLETRANSLATE(C49, ""en"", ""am"")"),"ሀ. አይ ለ. በዳኛ ፈቃድ ብቻ። ሐ. በደህና ጊዜ ብቻ D. አዎ")</f>
        <v>ሀ. አይ ለ. በዳኛ ፈቃድ ብቻ። ሐ. በደህና ጊዜ ብቻ D. አዎ</v>
      </c>
      <c r="J49" s="8" t="str">
        <f>IFERROR(__xludf.DUMMYFUNCTION(" GOOGLETRANSLATE(D49, ""en"", ""am"")"),"ተጫዋቹ ግጥሚያውን ለማጣት መምረጥ ይችላል።")</f>
        <v>ተጫዋቹ ግጥሚያውን ለማጣት መምረጥ ይችላል።</v>
      </c>
      <c r="K49" s="8" t="str">
        <f>IFERROR(__xludf.DUMMYFUNCTION(" GOOGLETRANSLATE(E49, ""en"", ""am"")"),"ተጫዋቹ ግጥሚያውን ለማጣት መምረጥ ይችላል።")</f>
        <v>ተጫዋቹ ግጥሚያውን ለማጣት መምረጥ ይችላል።</v>
      </c>
    </row>
    <row r="50" ht="22.5" customHeight="1">
      <c r="A50" s="13">
        <v>49.0</v>
      </c>
      <c r="B50" s="14" t="s">
        <v>591</v>
      </c>
      <c r="C50" s="14" t="s">
        <v>592</v>
      </c>
      <c r="D50" s="14" t="s">
        <v>593</v>
      </c>
      <c r="E50" s="14" t="s">
        <v>593</v>
      </c>
      <c r="G50" s="8" t="str">
        <f>IFERROR(__xludf.DUMMYFUNCTION(" GOOGLETRANSLATE(A50, ""en"", ""am"")"),"49")</f>
        <v>49</v>
      </c>
      <c r="H50" s="8" t="str">
        <f>IFERROR(__xludf.DUMMYFUNCTION(" GOOGLETRANSLATE(B50, ""en"", ""am"")"),"አንድ ተጫዋች ለተራቸው በሰዓቱ መድረስ ካልቻለ ምን ይከሰታል?")</f>
        <v>አንድ ተጫዋች ለተራቸው በሰዓቱ መድረስ ካልቻለ ምን ይከሰታል?</v>
      </c>
      <c r="I50" s="8" t="str">
        <f>IFERROR(__xludf.DUMMYFUNCTION(" GOOGLETRANSLATE(C50, ""en"", ""am"")"),"ሀ. የተፈቀደውን እንደገና መውሰድ ለ. የቅጣት ነጥቦች ሐ. ምንም ነጥብ የለም. መ. በሃሳብ ጠፋ።")</f>
        <v>ሀ. የተፈቀደውን እንደገና መውሰድ ለ. የቅጣት ነጥቦች ሐ. ምንም ነጥብ የለም. መ. በሃሳብ ጠፋ።</v>
      </c>
      <c r="J50" s="8" t="str">
        <f>IFERROR(__xludf.DUMMYFUNCTION(" GOOGLETRANSLATE(D50, ""en"", ""am"")"),"አንድ ተጫዋች ለተራቸው በሰዓቱ መድረስ ካልቻለ ተራውን ያጣል።")</f>
        <v>አንድ ተጫዋች ለተራቸው በሰዓቱ መድረስ ካልቻለ ተራውን ያጣል።</v>
      </c>
      <c r="K50" s="8" t="str">
        <f>IFERROR(__xludf.DUMMYFUNCTION(" GOOGLETRANSLATE(E50, ""en"", ""am"")"),"አንድ ተጫዋች ለተራቸው በሰዓቱ መድረስ ካልቻለ ተራውን ያጣል።")</f>
        <v>አንድ ተጫዋች ለተራቸው በሰዓቱ መድረስ ካልቻለ ተራውን ያጣል።</v>
      </c>
    </row>
    <row r="51" ht="22.5" customHeight="1">
      <c r="A51" s="13">
        <v>50.0</v>
      </c>
      <c r="B51" s="14" t="s">
        <v>594</v>
      </c>
      <c r="C51" s="14" t="s">
        <v>595</v>
      </c>
      <c r="D51" s="14" t="s">
        <v>596</v>
      </c>
      <c r="E51" s="14" t="s">
        <v>596</v>
      </c>
      <c r="G51" s="8" t="str">
        <f>IFERROR(__xludf.DUMMYFUNCTION(" GOOGLETRANSLATE(A51, ""en"", ""am"")"),"50")</f>
        <v>50</v>
      </c>
      <c r="H51" s="8" t="str">
        <f>IFERROR(__xludf.DUMMYFUNCTION(" GOOGLETRANSLATE(B51, ""en"", ""am"")"),"ህገወጥ ዱላ መጠቀም ቅጣቱ ምንድን ነው?")</f>
        <v>ህገወጥ ዱላ መጠቀም ቅጣቱ ምንድን ነው?</v>
      </c>
      <c r="I51" s="8" t="str">
        <f>IFERROR(__xludf.DUMMYFUNCTION(" GOOGLETRANSLATE(C51, ""en"", ""am"")"),"ሀ. ማስጠንቀቂያ ለ. ነጥብ ቅነሳ ሐ. ምንም ቅጣት የለም. መ. ብቁ አለመሆን")</f>
        <v>ሀ. ማስጠንቀቂያ ለ. ነጥብ ቅነሳ ሐ. ምንም ቅጣት የለም. መ. ብቁ አለመሆን</v>
      </c>
      <c r="J51" s="8" t="str">
        <f>IFERROR(__xludf.DUMMYFUNCTION(" GOOGLETRANSLATE(D51, ""en"", ""am"")"),"ህገወጥ ዱላ መጠቀም ውድቅ ያደርገዋል።")</f>
        <v>ህገወጥ ዱላ መጠቀም ውድቅ ያደርገዋል።</v>
      </c>
      <c r="K51" s="8" t="str">
        <f>IFERROR(__xludf.DUMMYFUNCTION(" GOOGLETRANSLATE(E51, ""en"", ""am"")"),"ህገወጥ ዱላ መጠቀም ውድቅ ያደርገዋል።")</f>
        <v>ህገወጥ ዱላ መጠቀም ውድቅ ያደርገዋል።</v>
      </c>
    </row>
    <row r="52" ht="22.5" customHeight="1">
      <c r="A52" s="13">
        <v>51.0</v>
      </c>
      <c r="B52" s="14" t="s">
        <v>597</v>
      </c>
      <c r="C52" s="14" t="s">
        <v>598</v>
      </c>
      <c r="D52" s="14" t="s">
        <v>599</v>
      </c>
      <c r="E52" s="14" t="s">
        <v>599</v>
      </c>
      <c r="G52" s="8" t="str">
        <f>IFERROR(__xludf.DUMMYFUNCTION(" GOOGLETRANSLATE(A52, ""en"", ""am"")"),"51")</f>
        <v>51</v>
      </c>
      <c r="H52" s="8" t="str">
        <f>IFERROR(__xludf.DUMMYFUNCTION(" GOOGLETRANSLATE(B52, ""en"", ""am"")"),"በውድድር ግጥሚያ ውስጥ ስንት ኢላማዎች ጥቅም ላይ ይውላሉ?")</f>
        <v>በውድድር ግጥሚያ ውስጥ ስንት ኢላማዎች ጥቅም ላይ ይውላሉ?</v>
      </c>
      <c r="I52" s="8" t="str">
        <f>IFERROR(__xludf.DUMMYFUNCTION(" GOOGLETRANSLATE(C52, ""en"", ""am"")"),"ሀ.2 ኢላማዎች ለ. 3 ኢላማዎች ሐ. 4 ኢላማዎች መ. 3 ኢላማዎች")</f>
        <v>ሀ.2 ኢላማዎች ለ. 3 ኢላማዎች ሐ. 4 ኢላማዎች መ. 3 ኢላማዎች</v>
      </c>
      <c r="J52" s="8" t="str">
        <f>IFERROR(__xludf.DUMMYFUNCTION(" GOOGLETRANSLATE(D52, ""en"", ""am"")"),"ሶስት ኢላማዎች በተለምዶ በተወዳዳሪ ግጥሚያ ውስጥ ጥቅም ላይ ይውላሉ።")</f>
        <v>ሶስት ኢላማዎች በተለምዶ በተወዳዳሪ ግጥሚያ ውስጥ ጥቅም ላይ ይውላሉ።</v>
      </c>
      <c r="K52" s="8" t="str">
        <f>IFERROR(__xludf.DUMMYFUNCTION(" GOOGLETRANSLATE(E52, ""en"", ""am"")"),"ሶስት ኢላማዎች በተለምዶ በተወዳዳሪ ግጥሚያ ውስጥ ጥቅም ላይ ይውላሉ።")</f>
        <v>ሶስት ኢላማዎች በተለምዶ በተወዳዳሪ ግጥሚያ ውስጥ ጥቅም ላይ ይውላሉ።</v>
      </c>
    </row>
    <row r="53" ht="22.5" customHeight="1">
      <c r="A53" s="13">
        <v>52.0</v>
      </c>
      <c r="B53" s="14" t="s">
        <v>600</v>
      </c>
      <c r="C53" s="14" t="s">
        <v>601</v>
      </c>
      <c r="D53" s="14" t="s">
        <v>602</v>
      </c>
      <c r="E53" s="14" t="s">
        <v>602</v>
      </c>
      <c r="G53" s="8" t="str">
        <f>IFERROR(__xludf.DUMMYFUNCTION(" GOOGLETRANSLATE(A53, ""en"", ""am"")"),"52")</f>
        <v>52</v>
      </c>
      <c r="H53" s="8" t="str">
        <f>IFERROR(__xludf.DUMMYFUNCTION(" GOOGLETRANSLATE(B53, ""en"", ""am"")"),"ተጫዋቾች አንድ አይነት ዱላ ለብዙ ዙሮች መጠቀም ይችላሉ?")</f>
        <v>ተጫዋቾች አንድ አይነት ዱላ ለብዙ ዙሮች መጠቀም ይችላሉ?</v>
      </c>
      <c r="I53" s="8" t="str">
        <f>IFERROR(__xludf.DUMMYFUNCTION(" GOOGLETRANSLATE(C53, ""en"", ""am"")"),"A. አይ ለ. በፍቃድ ብቻ C. በተግባር ብቻ D. አዎ")</f>
        <v>A. አይ ለ. በፍቃድ ብቻ C. በተግባር ብቻ D. አዎ</v>
      </c>
      <c r="J53" s="8" t="str">
        <f>IFERROR(__xludf.DUMMYFUNCTION(" GOOGLETRANSLATE(D53, ""en"", ""am"")"),"ተጫዋቾች አንድ አይነት ዱላ ለብዙ ዙሮች መጠቀም ይችላሉ።")</f>
        <v>ተጫዋቾች አንድ አይነት ዱላ ለብዙ ዙሮች መጠቀም ይችላሉ።</v>
      </c>
      <c r="K53" s="8" t="str">
        <f>IFERROR(__xludf.DUMMYFUNCTION(" GOOGLETRANSLATE(E53, ""en"", ""am"")"),"ተጫዋቾች አንድ አይነት ዱላ ለብዙ ዙሮች መጠቀም ይችላሉ።")</f>
        <v>ተጫዋቾች አንድ አይነት ዱላ ለብዙ ዙሮች መጠቀም ይችላሉ።</v>
      </c>
    </row>
    <row r="54" ht="22.5" customHeight="1">
      <c r="A54" s="13">
        <v>53.0</v>
      </c>
      <c r="B54" s="14" t="s">
        <v>603</v>
      </c>
      <c r="C54" s="14" t="s">
        <v>604</v>
      </c>
      <c r="D54" s="14" t="s">
        <v>605</v>
      </c>
      <c r="E54" s="14" t="s">
        <v>605</v>
      </c>
      <c r="G54" s="8" t="str">
        <f>IFERROR(__xludf.DUMMYFUNCTION(" GOOGLETRANSLATE(A54, ""en"", ""am"")"),"53")</f>
        <v>53</v>
      </c>
      <c r="H54" s="8" t="str">
        <f>IFERROR(__xludf.DUMMYFUNCTION(" GOOGLETRANSLATE(B54, ""en"", ""am"")"),"አንድ ተጫዋች ሆን ብሎ ተቃዋሚውን ቢያዘናጋ ህጉ ምንድን ነው?")</f>
        <v>አንድ ተጫዋች ሆን ብሎ ተቃዋሚውን ቢያዘናጋ ህጉ ምንድን ነው?</v>
      </c>
      <c r="I54" s="8" t="str">
        <f>IFERROR(__xludf.DUMMYFUNCTION(" GOOGLETRANSLATE(C54, ""en"", ""am"")"),"ሀ. ብቁ አለመሆን ለ. የቅጣት ነጥብ ሐ. ቅጣት የለም። መ. ብቁ አለመሆን")</f>
        <v>ሀ. ብቁ አለመሆን ለ. የቅጣት ነጥብ ሐ. ቅጣት የለም። መ. ብቁ አለመሆን</v>
      </c>
      <c r="J54" s="8" t="str">
        <f>IFERROR(__xludf.DUMMYFUNCTION(" GOOGLETRANSLATE(D54, ""en"", ""am"")"),"ተፎካካሪን ሆን ብሎ ማዘናጋት የውጤት ማጣትን ያስከትላል።")</f>
        <v>ተፎካካሪን ሆን ብሎ ማዘናጋት የውጤት ማጣትን ያስከትላል።</v>
      </c>
      <c r="K54" s="8" t="str">
        <f>IFERROR(__xludf.DUMMYFUNCTION(" GOOGLETRANSLATE(E54, ""en"", ""am"")"),"ተፎካካሪን ሆን ብሎ ማዘናጋት የውጤት ማጣትን ያስከትላል።")</f>
        <v>ተፎካካሪን ሆን ብሎ ማዘናጋት የውጤት ማጣትን ያስከትላል።</v>
      </c>
    </row>
    <row r="55" ht="22.5" customHeight="1">
      <c r="A55" s="13">
        <v>54.0</v>
      </c>
      <c r="B55" s="14" t="s">
        <v>606</v>
      </c>
      <c r="C55" s="14" t="s">
        <v>607</v>
      </c>
      <c r="D55" s="14" t="s">
        <v>608</v>
      </c>
      <c r="E55" s="14" t="s">
        <v>608</v>
      </c>
      <c r="G55" s="8" t="str">
        <f>IFERROR(__xludf.DUMMYFUNCTION(" GOOGLETRANSLATE(A55, ""en"", ""am"")"),"54")</f>
        <v>54</v>
      </c>
      <c r="H55" s="8" t="str">
        <f>IFERROR(__xludf.DUMMYFUNCTION(" GOOGLETRANSLATE(B55, ""en"", ""am"")"),"ተጫዋቹ በጣም ጠንክሮ ቢወረውር እና የሌሊት ወፍ ካመለጠ ምን ይከሰታል?")</f>
        <v>ተጫዋቹ በጣም ጠንክሮ ቢወረውር እና የሌሊት ወፍ ካመለጠ ምን ይከሰታል?</v>
      </c>
      <c r="I55" s="8" t="str">
        <f>IFERROR(__xludf.DUMMYFUNCTION(" GOOGLETRANSLATE(C55, ""en"", ""am"")"),"ሀ. የቅጣት ነጥቦች ለ. ሙሉ ነጥብ ሐ. እንደገና መውሰድ የተፈቀደ መ. ምንም ነጥብ የለም.")</f>
        <v>ሀ. የቅጣት ነጥቦች ለ. ሙሉ ነጥብ ሐ. እንደገና መውሰድ የተፈቀደ መ. ምንም ነጥብ የለም.</v>
      </c>
      <c r="J55" s="8" t="str">
        <f>IFERROR(__xludf.DUMMYFUNCTION(" GOOGLETRANSLATE(D55, ""en"", ""am"")"),"ያመለጠ ውርወራ ምንም ነጥብ አያመጣም።")</f>
        <v>ያመለጠ ውርወራ ምንም ነጥብ አያመጣም።</v>
      </c>
      <c r="K55" s="8" t="str">
        <f>IFERROR(__xludf.DUMMYFUNCTION(" GOOGLETRANSLATE(E55, ""en"", ""am"")"),"ያመለጠ ውርወራ ምንም ነጥብ አያመጣም።")</f>
        <v>ያመለጠ ውርወራ ምንም ነጥብ አያመጣም።</v>
      </c>
    </row>
    <row r="56" ht="22.5" customHeight="1">
      <c r="A56" s="13">
        <v>55.0</v>
      </c>
      <c r="B56" s="14" t="s">
        <v>609</v>
      </c>
      <c r="C56" s="14" t="s">
        <v>565</v>
      </c>
      <c r="D56" s="14" t="s">
        <v>610</v>
      </c>
      <c r="E56" s="14" t="s">
        <v>610</v>
      </c>
      <c r="G56" s="8" t="str">
        <f>IFERROR(__xludf.DUMMYFUNCTION(" GOOGLETRANSLATE(A56, ""en"", ""am"")"),"55")</f>
        <v>55</v>
      </c>
      <c r="H56" s="8" t="str">
        <f>IFERROR(__xludf.DUMMYFUNCTION(" GOOGLETRANSLATE(B56, ""en"", ""am"")"),"በውርወራ ጊዜ አንድ ተጫዋች ዒላማውን ቢረግጥ ምን ይከሰታል?")</f>
        <v>በውርወራ ጊዜ አንድ ተጫዋች ዒላማውን ቢረግጥ ምን ይከሰታል?</v>
      </c>
      <c r="I56" s="8" t="str">
        <f>IFERROR(__xludf.DUMMYFUNCTION(" GOOGLETRANSLATE(C56, ""en"", ""am"")"),"ሀ. የቅጣት ነጥቦች ለ. ብቁ አለመሆን ሐ. ማስጠንቀቂያ መ. የቅጣት ነጥቦች")</f>
        <v>ሀ. የቅጣት ነጥቦች ለ. ብቁ አለመሆን ሐ. ማስጠንቀቂያ መ. የቅጣት ነጥቦች</v>
      </c>
      <c r="J56" s="8" t="str">
        <f>IFERROR(__xludf.DUMMYFUNCTION(" GOOGLETRANSLATE(D56, ""en"", ""am"")"),"በመወርወር ወቅት ዒላማውን ረግጦ መውጣት የቅጣት ነጥቦችን ያስከትላል።")</f>
        <v>በመወርወር ወቅት ዒላማውን ረግጦ መውጣት የቅጣት ነጥቦችን ያስከትላል።</v>
      </c>
      <c r="K56" s="8" t="str">
        <f>IFERROR(__xludf.DUMMYFUNCTION(" GOOGLETRANSLATE(E56, ""en"", ""am"")"),"በመወርወር ወቅት ዒላማውን ረግጦ መውጣት የቅጣት ነጥቦችን ያስከትላል።")</f>
        <v>በመወርወር ወቅት ዒላማውን ረግጦ መውጣት የቅጣት ነጥቦችን ያስከትላል።</v>
      </c>
    </row>
    <row r="57" ht="22.5" customHeight="1">
      <c r="A57" s="13">
        <v>56.0</v>
      </c>
      <c r="B57" s="14" t="s">
        <v>611</v>
      </c>
      <c r="C57" s="14" t="s">
        <v>612</v>
      </c>
      <c r="D57" s="14" t="s">
        <v>613</v>
      </c>
      <c r="E57" s="14" t="s">
        <v>613</v>
      </c>
      <c r="G57" s="8" t="str">
        <f>IFERROR(__xludf.DUMMYFUNCTION(" GOOGLETRANSLATE(A57, ""en"", ""am"")"),"56")</f>
        <v>56</v>
      </c>
      <c r="H57" s="8" t="str">
        <f>IFERROR(__xludf.DUMMYFUNCTION(" GOOGLETRANSLATE(B57, ""en"", ""am"")"),"ለእያንዳንዱ ውርወራ የሚፈቀደው ከፍተኛው ጊዜ ስንት ነው?")</f>
        <v>ለእያንዳንዱ ውርወራ የሚፈቀደው ከፍተኛው ጊዜ ስንት ነው?</v>
      </c>
      <c r="I57" s="8" t="str">
        <f>IFERROR(__xludf.DUMMYFUNCTION(" GOOGLETRANSLATE(C57, ""en"", ""am"")"),"ሀ. 1 ደቂቃ ለ. 2 ደቂቃ ሐ. 5 ደቂቃ መ. 1 ደቂቃ")</f>
        <v>ሀ. 1 ደቂቃ ለ. 2 ደቂቃ ሐ. 5 ደቂቃ መ. 1 ደቂቃ</v>
      </c>
      <c r="J57" s="8" t="str">
        <f>IFERROR(__xludf.DUMMYFUNCTION(" GOOGLETRANSLATE(D57, ""en"", ""am"")"),"ተጫዋቾች በአንድ ውርወራ 1 ደቂቃ ይፈቀዳሉ።")</f>
        <v>ተጫዋቾች በአንድ ውርወራ 1 ደቂቃ ይፈቀዳሉ።</v>
      </c>
      <c r="K57" s="8" t="str">
        <f>IFERROR(__xludf.DUMMYFUNCTION(" GOOGLETRANSLATE(E57, ""en"", ""am"")"),"ተጫዋቾች በአንድ ውርወራ 1 ደቂቃ ይፈቀዳሉ።")</f>
        <v>ተጫዋቾች በአንድ ውርወራ 1 ደቂቃ ይፈቀዳሉ።</v>
      </c>
    </row>
    <row r="58" ht="22.5" customHeight="1">
      <c r="A58" s="13">
        <v>57.0</v>
      </c>
      <c r="B58" s="14" t="s">
        <v>614</v>
      </c>
      <c r="C58" s="14" t="s">
        <v>521</v>
      </c>
      <c r="D58" s="14" t="s">
        <v>615</v>
      </c>
      <c r="E58" s="14" t="s">
        <v>615</v>
      </c>
      <c r="G58" s="8" t="str">
        <f>IFERROR(__xludf.DUMMYFUNCTION(" GOOGLETRANSLATE(A58, ""en"", ""am"")"),"57")</f>
        <v>57</v>
      </c>
      <c r="H58" s="8" t="str">
        <f>IFERROR(__xludf.DUMMYFUNCTION(" GOOGLETRANSLATE(B58, ""en"", ""am"")"),"የተጫዋች ዱላ ከድንበር ከተጣለ ምን ይሆናል?")</f>
        <v>የተጫዋች ዱላ ከድንበር ከተጣለ ምን ይሆናል?</v>
      </c>
      <c r="I58" s="8" t="str">
        <f>IFERROR(__xludf.DUMMYFUNCTION(" GOOGLETRANSLATE(C58, ""en"", ""am"")"),"ሀ. የቅጣት ነጥቦች ለ. ዳግም መውሰድ የተፈቀደ ሐ. ብቁ አለመሆን መ. ምንም ነጥብ የለም።")</f>
        <v>ሀ. የቅጣት ነጥቦች ለ. ዳግም መውሰድ የተፈቀደ ሐ. ብቁ አለመሆን መ. ምንም ነጥብ የለም።</v>
      </c>
      <c r="J58" s="8" t="str">
        <f>IFERROR(__xludf.DUMMYFUNCTION(" GOOGLETRANSLATE(D58, ""en"", ""am"")"),"ከድንበር የተወረወረ ዱላ ምንም ነጥብ አያመጣም።")</f>
        <v>ከድንበር የተወረወረ ዱላ ምንም ነጥብ አያመጣም።</v>
      </c>
      <c r="K58" s="8" t="str">
        <f>IFERROR(__xludf.DUMMYFUNCTION(" GOOGLETRANSLATE(E58, ""en"", ""am"")"),"ከድንበር የተወረወረ ዱላ ምንም ነጥብ አያመጣም።")</f>
        <v>ከድንበር የተወረወረ ዱላ ምንም ነጥብ አያመጣም።</v>
      </c>
    </row>
    <row r="59" ht="22.5" customHeight="1">
      <c r="A59" s="13">
        <v>58.0</v>
      </c>
      <c r="B59" s="14" t="s">
        <v>616</v>
      </c>
      <c r="C59" s="14" t="s">
        <v>617</v>
      </c>
      <c r="D59" s="14" t="s">
        <v>618</v>
      </c>
      <c r="E59" s="14" t="s">
        <v>618</v>
      </c>
      <c r="G59" s="8" t="str">
        <f>IFERROR(__xludf.DUMMYFUNCTION(" GOOGLETRANSLATE(A59, ""en"", ""am"")"),"58")</f>
        <v>58</v>
      </c>
      <c r="H59" s="8" t="str">
        <f>IFERROR(__xludf.DUMMYFUNCTION(" GOOGLETRANSLATE(B59, ""en"", ""am"")"),"ከመጨረሻው ዙር በኋላ አሸናፊው በእኩል እኩልነት እንዴት ይወሰናል?")</f>
        <v>ከመጨረሻው ዙር በኋላ አሸናፊው በእኩል እኩልነት እንዴት ይወሰናል?</v>
      </c>
      <c r="I59" s="8" t="str">
        <f>IFERROR(__xludf.DUMMYFUNCTION(" GOOGLETRANSLATE(C59, ""en"", ""am"")"),"ሀ. ነጥብ ላይ የተመሰረተ ስርዓት ለ. የዘፈቀደ ስዕል ሐ. ከብዙ ዒላማዎች ጋር መ. ድንገተኛ ሞት ዙር")</f>
        <v>ሀ. ነጥብ ላይ የተመሰረተ ስርዓት ለ. የዘፈቀደ ስዕል ሐ. ከብዙ ዒላማዎች ጋር መ. ድንገተኛ ሞት ዙር</v>
      </c>
      <c r="J59" s="8" t="str">
        <f>IFERROR(__xludf.DUMMYFUNCTION(" GOOGLETRANSLATE(D59, ""en"", ""am"")"),"ከመጨረሻው ዙር በኋላ እኩል ከሆነ, ድንገተኛ የሞት ዙር ይጫወታል.")</f>
        <v>ከመጨረሻው ዙር በኋላ እኩል ከሆነ, ድንገተኛ የሞት ዙር ይጫወታል.</v>
      </c>
      <c r="K59" s="8" t="str">
        <f>IFERROR(__xludf.DUMMYFUNCTION(" GOOGLETRANSLATE(E59, ""en"", ""am"")"),"ከመጨረሻው ዙር በኋላ እኩል ከሆነ, ድንገተኛ የሞት ዙር ይጫወታል.")</f>
        <v>ከመጨረሻው ዙር በኋላ እኩል ከሆነ, ድንገተኛ የሞት ዙር ይጫወታል.</v>
      </c>
    </row>
    <row r="60" ht="22.5" customHeight="1">
      <c r="A60" s="13">
        <v>59.0</v>
      </c>
      <c r="B60" s="14" t="s">
        <v>619</v>
      </c>
      <c r="C60" s="14" t="s">
        <v>620</v>
      </c>
      <c r="D60" s="14" t="s">
        <v>621</v>
      </c>
      <c r="E60" s="14" t="s">
        <v>621</v>
      </c>
      <c r="G60" s="8" t="str">
        <f>IFERROR(__xludf.DUMMYFUNCTION(" GOOGLETRANSLATE(A60, ""en"", ""am"")"),"59")</f>
        <v>59</v>
      </c>
      <c r="H60" s="8" t="str">
        <f>IFERROR(__xludf.DUMMYFUNCTION(" GOOGLETRANSLATE(B60, ""en"", ""am"")"),"አንድ ተጫዋች በአንድ ዙር ወቅት ኢላማዎችን መቀየር ይችላል?")</f>
        <v>አንድ ተጫዋች በአንድ ዙር ወቅት ኢላማዎችን መቀየር ይችላል?</v>
      </c>
      <c r="I60" s="8" t="str">
        <f>IFERROR(__xludf.DUMMYFUNCTION(" GOOGLETRANSLATE(C60, ""en"", ""am"")"),"A. አይ ለ. በጨዋታው መጀመሪያ ላይ ብቻ C. በመጨረሻው ዙር ብቻ D. ቁ")</f>
        <v>A. አይ ለ. በጨዋታው መጀመሪያ ላይ ብቻ C. በመጨረሻው ዙር ብቻ D. ቁ</v>
      </c>
      <c r="J60" s="8" t="str">
        <f>IFERROR(__xludf.DUMMYFUNCTION(" GOOGLETRANSLATE(D60, ""en"", ""am"")"),"አንዴ ዙር ከተጀመረ ተጫዋቾች ኢላማቸውን መቀየር አይችሉም።")</f>
        <v>አንዴ ዙር ከተጀመረ ተጫዋቾች ኢላማቸውን መቀየር አይችሉም።</v>
      </c>
      <c r="K60" s="8" t="str">
        <f>IFERROR(__xludf.DUMMYFUNCTION(" GOOGLETRANSLATE(E60, ""en"", ""am"")"),"አንዴ ዙር ከተጀመረ ተጫዋቾች ኢላማቸውን መቀየር አይችሉም።")</f>
        <v>አንዴ ዙር ከተጀመረ ተጫዋቾች ኢላማቸውን መቀየር አይችሉም።</v>
      </c>
    </row>
    <row r="61" ht="22.5" customHeight="1">
      <c r="A61" s="13">
        <v>60.0</v>
      </c>
      <c r="B61" s="14" t="s">
        <v>622</v>
      </c>
      <c r="C61" s="14" t="s">
        <v>623</v>
      </c>
      <c r="D61" s="14" t="s">
        <v>624</v>
      </c>
      <c r="E61" s="14" t="s">
        <v>624</v>
      </c>
      <c r="G61" s="8" t="str">
        <f>IFERROR(__xludf.DUMMYFUNCTION(" GOOGLETRANSLATE(A61, ""en"", ""am"")"),"60")</f>
        <v>60</v>
      </c>
      <c r="H61" s="8" t="str">
        <f>IFERROR(__xludf.DUMMYFUNCTION(" GOOGLETRANSLATE(B61, ""en"", ""am"")"),"ሁለት ተጫዋቾች ዱላዎቻቸውን በአንድ ጊዜ ቢጥሉ ምን ይከሰታል?")</f>
        <v>ሁለት ተጫዋቾች ዱላዎቻቸውን በአንድ ጊዜ ቢጥሉ ምን ይከሰታል?</v>
      </c>
      <c r="I61" s="8" t="str">
        <f>IFERROR(__xludf.DUMMYFUNCTION(" GOOGLETRANSLATE(C61, ""en"", ""am"")"),"ሀ. የመጀመሪያ ተጫዋች ውጤቶች ለ. ሁለተኛ ተጫዋች አስቆጥሯል። ሐ. ምንም ነጥብ የለም. መ. ሁለቱም ነጥቦች ነጥቦች ናቸው.")</f>
        <v>ሀ. የመጀመሪያ ተጫዋች ውጤቶች ለ. ሁለተኛ ተጫዋች አስቆጥሯል። ሐ. ምንም ነጥብ የለም. መ. ሁለቱም ነጥቦች ነጥቦች ናቸው.</v>
      </c>
      <c r="J61" s="8" t="str">
        <f>IFERROR(__xludf.DUMMYFUNCTION(" GOOGLETRANSLATE(D61, ""en"", ""am"")"),"ሁለቱም ተጫዋቾች ዱላዎቻቸውን በአንድ ጊዜ ከጣሉ፣ ሁለቱም አንድ ነጥብ ያስመዘገቡ ናቸው።")</f>
        <v>ሁለቱም ተጫዋቾች ዱላዎቻቸውን በአንድ ጊዜ ከጣሉ፣ ሁለቱም አንድ ነጥብ ያስመዘገቡ ናቸው።</v>
      </c>
      <c r="K61" s="8" t="str">
        <f>IFERROR(__xludf.DUMMYFUNCTION(" GOOGLETRANSLATE(E61, ""en"", ""am"")"),"ሁለቱም ተጫዋቾች ዱላዎቻቸውን በአንድ ጊዜ ከጣሉ፣ ሁለቱም አንድ ነጥብ ያስመዘገቡ ናቸው።")</f>
        <v>ሁለቱም ተጫዋቾች ዱላዎቻቸውን በአንድ ጊዜ ከጣሉ፣ ሁለቱም አንድ ነጥብ ያስመዘገቡ ናቸው።</v>
      </c>
    </row>
    <row r="62" ht="22.5" customHeight="1">
      <c r="A62" s="13">
        <v>61.0</v>
      </c>
      <c r="B62" s="14" t="s">
        <v>625</v>
      </c>
      <c r="C62" s="14" t="s">
        <v>626</v>
      </c>
      <c r="D62" s="14" t="s">
        <v>627</v>
      </c>
      <c r="E62" s="14" t="s">
        <v>627</v>
      </c>
      <c r="G62" s="8" t="str">
        <f>IFERROR(__xludf.DUMMYFUNCTION(" GOOGLETRANSLATE(A62, ""en"", ""am"")"),"61")</f>
        <v>61</v>
      </c>
      <c r="H62" s="8" t="str">
        <f>IFERROR(__xludf.DUMMYFUNCTION(" GOOGLETRANSLATE(B62, ""en"", ""am"")"),"አንድ ተጫዋች ዱላውን ቢወረውር እና የተቃዋሚውን ዱላ ቢመታ ምን ይሆናል?")</f>
        <v>አንድ ተጫዋች ዱላውን ቢወረውር እና የተቃዋሚውን ዱላ ቢመታ ምን ይሆናል?</v>
      </c>
      <c r="I62" s="8" t="str">
        <f>IFERROR(__xludf.DUMMYFUNCTION(" GOOGLETRANSLATE(C62, ""en"", ""am"")"),"ሀ. የማውረድ ነጥቦች ለ. ብቁ አለመሆን ሐ. የተፈቀደላቸው ድጋሚ ይሞክሩ D. ነጥቦችን መጣል")</f>
        <v>ሀ. የማውረድ ነጥቦች ለ. ብቁ አለመሆን ሐ. የተፈቀደላቸው ድጋሚ ይሞክሩ D. ነጥቦችን መጣል</v>
      </c>
      <c r="J62" s="8" t="str">
        <f>IFERROR(__xludf.DUMMYFUNCTION(" GOOGLETRANSLATE(D62, ""en"", ""am"")"),"መወርወሩ አሁንም ልክ ነው እና ነጥቦች ለተመታ ተሰጥተዋል።")</f>
        <v>መወርወሩ አሁንም ልክ ነው እና ነጥቦች ለተመታ ተሰጥተዋል።</v>
      </c>
      <c r="K62" s="8" t="str">
        <f>IFERROR(__xludf.DUMMYFUNCTION(" GOOGLETRANSLATE(E62, ""en"", ""am"")"),"መወርወሩ አሁንም ልክ ነው እና ነጥቦች ለተመታ ተሰጥተዋል።")</f>
        <v>መወርወሩ አሁንም ልክ ነው እና ነጥቦች ለተመታ ተሰጥተዋል።</v>
      </c>
    </row>
    <row r="63" ht="22.5" customHeight="1">
      <c r="A63" s="13">
        <v>62.0</v>
      </c>
      <c r="B63" s="14" t="s">
        <v>628</v>
      </c>
      <c r="C63" s="14" t="s">
        <v>629</v>
      </c>
      <c r="D63" s="14" t="s">
        <v>630</v>
      </c>
      <c r="E63" s="14" t="s">
        <v>630</v>
      </c>
      <c r="G63" s="8" t="str">
        <f>IFERROR(__xludf.DUMMYFUNCTION(" GOOGLETRANSLATE(A63, ""en"", ""am"")"),"62")</f>
        <v>62</v>
      </c>
      <c r="H63" s="8" t="str">
        <f>IFERROR(__xludf.DUMMYFUNCTION(" GOOGLETRANSLATE(B63, ""en"", ""am"")"),"ተጫዋቾች የሌሊት ወፍ ሲወረውሩ ጓንት መጠቀም ይችላሉ?")</f>
        <v>ተጫዋቾች የሌሊት ወፍ ሲወረውሩ ጓንት መጠቀም ይችላሉ?</v>
      </c>
      <c r="I63" s="8" t="str">
        <f>IFERROR(__xludf.DUMMYFUNCTION(" GOOGLETRANSLATE(C63, ""en"", ""am"")"),"ሀ. አይ ለ. በክረምት ብቻ ሐ. በዳኛው ይሁንታ ብቻ። መ. አዎ")</f>
        <v>ሀ. አይ ለ. በክረምት ብቻ ሐ. በዳኛው ይሁንታ ብቻ። መ. አዎ</v>
      </c>
      <c r="J63" s="8" t="str">
        <f>IFERROR(__xludf.DUMMYFUNCTION(" GOOGLETRANSLATE(D63, ""en"", ""am"")"),"የሌሊት ወፍ በሚወረውሩበት ጊዜ ተጫዋቾች ጓንት እንዲጠቀሙ ይፈቀድላቸዋል።")</f>
        <v>የሌሊት ወፍ በሚወረውሩበት ጊዜ ተጫዋቾች ጓንት እንዲጠቀሙ ይፈቀድላቸዋል።</v>
      </c>
      <c r="K63" s="8" t="str">
        <f>IFERROR(__xludf.DUMMYFUNCTION(" GOOGLETRANSLATE(E63, ""en"", ""am"")"),"የሌሊት ወፍ በሚወረውሩበት ጊዜ ተጫዋቾች ጓንት እንዲጠቀሙ ይፈቀድላቸዋል።")</f>
        <v>የሌሊት ወፍ በሚወረውሩበት ጊዜ ተጫዋቾች ጓንት እንዲጠቀሙ ይፈቀድላቸዋል።</v>
      </c>
    </row>
    <row r="64" ht="22.5" customHeight="1">
      <c r="A64" s="13">
        <v>63.0</v>
      </c>
      <c r="B64" s="14" t="s">
        <v>631</v>
      </c>
      <c r="C64" s="14" t="s">
        <v>632</v>
      </c>
      <c r="D64" s="14" t="s">
        <v>633</v>
      </c>
      <c r="E64" s="14" t="s">
        <v>633</v>
      </c>
      <c r="G64" s="8" t="str">
        <f>IFERROR(__xludf.DUMMYFUNCTION(" GOOGLETRANSLATE(A64, ""en"", ""am"")"),"63")</f>
        <v>63</v>
      </c>
      <c r="H64" s="8" t="str">
        <f>IFERROR(__xludf.DUMMYFUNCTION(" GOOGLETRANSLATE(B64, ""en"", ""am"")"),"የተጫዋች ዱላ ከዒላማው ውጪ ከሆነ ምን ይከሰታል?")</f>
        <v>የተጫዋች ዱላ ከዒላማው ውጪ ከሆነ ምን ይከሰታል?</v>
      </c>
      <c r="I64" s="8" t="str">
        <f>IFERROR(__xludf.DUMMYFUNCTION(" GOOGLETRANSLATE(C64, ""en"", ""am"")"),"ሀ. ሙሉ ነጥብ ለ. ግማሽ ነጥብ ሐ. እንደገና መውሰድ የተፈቀደ መ. ግማሽ ነጥብ")</f>
        <v>ሀ. ሙሉ ነጥብ ለ. ግማሽ ነጥብ ሐ. እንደገና መውሰድ የተፈቀደ መ. ግማሽ ነጥብ</v>
      </c>
      <c r="J64" s="8" t="str">
        <f>IFERROR(__xludf.DUMMYFUNCTION(" GOOGLETRANSLATE(D64, ""en"", ""am"")"),"ዒላማውን ያጣ ዱላ ግማሽ ነጥብ ያገኛል።")</f>
        <v>ዒላማውን ያጣ ዱላ ግማሽ ነጥብ ያገኛል።</v>
      </c>
      <c r="K64" s="8" t="str">
        <f>IFERROR(__xludf.DUMMYFUNCTION(" GOOGLETRANSLATE(E64, ""en"", ""am"")"),"ዒላማውን ያጣ ዱላ ግማሽ ነጥብ ያገኛል።")</f>
        <v>ዒላማውን ያጣ ዱላ ግማሽ ነጥብ ያገኛል።</v>
      </c>
    </row>
    <row r="65" ht="22.5" customHeight="1">
      <c r="A65" s="13">
        <v>64.0</v>
      </c>
      <c r="B65" s="14" t="s">
        <v>634</v>
      </c>
      <c r="C65" s="14" t="s">
        <v>635</v>
      </c>
      <c r="D65" s="14" t="s">
        <v>636</v>
      </c>
      <c r="E65" s="14" t="s">
        <v>636</v>
      </c>
      <c r="G65" s="8" t="str">
        <f>IFERROR(__xludf.DUMMYFUNCTION(" GOOGLETRANSLATE(A65, ""en"", ""am"")"),"64")</f>
        <v>64</v>
      </c>
      <c r="H65" s="8" t="str">
        <f>IFERROR(__xludf.DUMMYFUNCTION(" GOOGLETRANSLATE(B65, ""en"", ""am"")"),"አንድ ተጫዋች ለማሸነፍ ከሚያስፈልገው በላይ ነጥብ ቢያመጣ ምን ይከሰታል?")</f>
        <v>አንድ ተጫዋች ለማሸነፍ ከሚያስፈልገው በላይ ነጥብ ቢያመጣ ምን ይከሰታል?</v>
      </c>
      <c r="I65" s="8" t="str">
        <f>IFERROR(__xludf.DUMMYFUNCTION(" GOOGLETRANSLATE(C65, ""en"", ""am"")"),"ሀ.ተጨማሪ ዙር ለ. በራስ ሰር ያሸንፋሉ። ሐ. ውጤቱ እንደገና ተጀምሯል። መ. በራስ-ሰር ያሸንፋሉ።")</f>
        <v>ሀ.ተጨማሪ ዙር ለ. በራስ ሰር ያሸንፋሉ። ሐ. ውጤቱ እንደገና ተጀምሯል። መ. በራስ-ሰር ያሸንፋሉ።</v>
      </c>
      <c r="J65" s="8" t="str">
        <f>IFERROR(__xludf.DUMMYFUNCTION(" GOOGLETRANSLATE(D65, ""en"", ""am"")"),"አንድ ተጫዋች ከሚፈለገው በላይ ነጥብ ካመጣ ወዲያውኑ ያሸንፋል።")</f>
        <v>አንድ ተጫዋች ከሚፈለገው በላይ ነጥብ ካመጣ ወዲያውኑ ያሸንፋል።</v>
      </c>
      <c r="K65" s="8" t="str">
        <f>IFERROR(__xludf.DUMMYFUNCTION(" GOOGLETRANSLATE(E65, ""en"", ""am"")"),"አንድ ተጫዋች ከሚፈለገው በላይ ነጥብ ካመጣ ወዲያውኑ ያሸንፋል።")</f>
        <v>አንድ ተጫዋች ከሚፈለገው በላይ ነጥብ ካመጣ ወዲያውኑ ያሸንፋል።</v>
      </c>
    </row>
    <row r="66" ht="22.5" customHeight="1">
      <c r="A66" s="13">
        <v>65.0</v>
      </c>
      <c r="B66" s="14" t="s">
        <v>637</v>
      </c>
      <c r="C66" s="14" t="s">
        <v>638</v>
      </c>
      <c r="D66" s="14" t="s">
        <v>639</v>
      </c>
      <c r="E66" s="14" t="s">
        <v>639</v>
      </c>
      <c r="G66" s="8" t="str">
        <f>IFERROR(__xludf.DUMMYFUNCTION(" GOOGLETRANSLATE(A66, ""en"", ""am"")"),"65")</f>
        <v>65</v>
      </c>
      <c r="H66" s="8" t="str">
        <f>IFERROR(__xludf.DUMMYFUNCTION(" GOOGLETRANSLATE(B66, ""en"", ""am"")"),"አንድ ተጫዋች የዳኛውን ውሳኔ እንዲገመገም መጠየቅ ይችላል?")</f>
        <v>አንድ ተጫዋች የዳኛውን ውሳኔ እንዲገመገም መጠየቅ ይችላል?</v>
      </c>
      <c r="I66" s="8" t="str">
        <f>IFERROR(__xludf.DUMMYFUNCTION(" GOOGLETRANSLATE(C66, ""en"", ""am"")"),"A. አይ ለ. ግጥሚያው የታሰረ ከሆነ ብቻ። ሐ. በመጨረሻው ዙር ብቻ መ. አዎ፣ በጽድቅ።")</f>
        <v>A. አይ ለ. ግጥሚያው የታሰረ ከሆነ ብቻ። ሐ. በመጨረሻው ዙር ብቻ መ. አዎ፣ በጽድቅ።</v>
      </c>
      <c r="J66" s="8" t="str">
        <f>IFERROR(__xludf.DUMMYFUNCTION(" GOOGLETRANSLATE(D66, ""en"", ""am"")"),"ተጨዋቾች በጨዋነት ምክንያት የዳኛውን ውሳኔ እንዲገመገም መጠየቅ ይችላሉ።")</f>
        <v>ተጨዋቾች በጨዋነት ምክንያት የዳኛውን ውሳኔ እንዲገመገም መጠየቅ ይችላሉ።</v>
      </c>
      <c r="K66" s="8" t="str">
        <f>IFERROR(__xludf.DUMMYFUNCTION(" GOOGLETRANSLATE(E66, ""en"", ""am"")"),"ተጨዋቾች በጨዋነት ምክንያት የዳኛውን ውሳኔ እንዲገመገም መጠየቅ ይችላሉ።")</f>
        <v>ተጨዋቾች በጨዋነት ምክንያት የዳኛውን ውሳኔ እንዲገመገም መጠየቅ ይችላሉ።</v>
      </c>
    </row>
    <row r="67" ht="22.5" customHeight="1">
      <c r="A67" s="13">
        <v>66.0</v>
      </c>
      <c r="B67" s="14" t="s">
        <v>640</v>
      </c>
      <c r="C67" s="14" t="s">
        <v>641</v>
      </c>
      <c r="D67" s="14" t="s">
        <v>642</v>
      </c>
      <c r="E67" s="14" t="s">
        <v>642</v>
      </c>
      <c r="G67" s="8" t="str">
        <f>IFERROR(__xludf.DUMMYFUNCTION(" GOOGLETRANSLATE(A67, ""en"", ""am"")"),"66")</f>
        <v>66</v>
      </c>
      <c r="H67" s="8" t="str">
        <f>IFERROR(__xludf.DUMMYFUNCTION(" GOOGLETRANSLATE(B67, ""en"", ""am"")"),"አንድ ተጫዋች ሲያጭበረብር ከተያዘ ቅጣቱ ምንድን ነው?")</f>
        <v>አንድ ተጫዋች ሲያጭበረብር ከተያዘ ቅጣቱ ምንድን ነው?</v>
      </c>
      <c r="I67" s="8" t="str">
        <f>IFERROR(__xludf.DUMMYFUNCTION(" GOOGLETRANSLATE(C67, ""en"", ""am"")"),"ሀ. ማስጠንቀቂያ ለ. ነጥብ ማጣት ሐ. ጨዋታው እንደገና ተጀምሯል። መ. ብቁ አለመሆን")</f>
        <v>ሀ. ማስጠንቀቂያ ለ. ነጥብ ማጣት ሐ. ጨዋታው እንደገና ተጀምሯል። መ. ብቁ አለመሆን</v>
      </c>
      <c r="J67" s="8" t="str">
        <f>IFERROR(__xludf.DUMMYFUNCTION(" GOOGLETRANSLATE(D67, ""en"", ""am"")"),"ማጭበርበር ወደ ውጤት ማጣት ይመራል.")</f>
        <v>ማጭበርበር ወደ ውጤት ማጣት ይመራል.</v>
      </c>
      <c r="K67" s="8" t="str">
        <f>IFERROR(__xludf.DUMMYFUNCTION(" GOOGLETRANSLATE(E67, ""en"", ""am"")"),"ማጭበርበር ወደ ውጤት ማጣት ይመራል.")</f>
        <v>ማጭበርበር ወደ ውጤት ማጣት ይመራል.</v>
      </c>
    </row>
    <row r="68" ht="22.5" customHeight="1">
      <c r="A68" s="13">
        <v>67.0</v>
      </c>
      <c r="B68" s="14" t="s">
        <v>643</v>
      </c>
      <c r="C68" s="14" t="s">
        <v>644</v>
      </c>
      <c r="D68" s="14" t="s">
        <v>645</v>
      </c>
      <c r="E68" s="14" t="s">
        <v>645</v>
      </c>
      <c r="G68" s="8" t="str">
        <f>IFERROR(__xludf.DUMMYFUNCTION(" GOOGLETRANSLATE(A68, ""en"", ""am"")"),"67")</f>
        <v>67</v>
      </c>
      <c r="H68" s="8" t="str">
        <f>IFERROR(__xludf.DUMMYFUNCTION(" GOOGLETRANSLATE(B68, ""en"", ""am"")"),"አንድ ተጫዋች በአንድ ዙር ዜሮ ነጥብ ቢያመጣ ምን ይከሰታል?")</f>
        <v>አንድ ተጫዋች በአንድ ዙር ዜሮ ነጥብ ቢያመጣ ምን ይከሰታል?</v>
      </c>
      <c r="I68" s="8" t="str">
        <f>IFERROR(__xludf.DUMMYFUNCTION(" GOOGLETRANSLATE(C68, ""en"", ""am"")"),"ሀ. የቅጣት ነጥቦች ለ. በሃሳብ የጠፉ። ሐ. ምንም ቅጣት የለም. መ. ምንም ቅጣት የለም.")</f>
        <v>ሀ. የቅጣት ነጥቦች ለ. በሃሳብ የጠፉ። ሐ. ምንም ቅጣት የለም. መ. ምንም ቅጣት የለም.</v>
      </c>
      <c r="J68" s="8" t="str">
        <f>IFERROR(__xludf.DUMMYFUNCTION(" GOOGLETRANSLATE(D68, ""en"", ""am"")"),"በአንድ ዙር ዜሮ ነጥብ ለማግኘት ምንም አይነት ቅጣት የለም።")</f>
        <v>በአንድ ዙር ዜሮ ነጥብ ለማግኘት ምንም አይነት ቅጣት የለም።</v>
      </c>
      <c r="K68" s="8" t="str">
        <f>IFERROR(__xludf.DUMMYFUNCTION(" GOOGLETRANSLATE(E68, ""en"", ""am"")"),"በአንድ ዙር ዜሮ ነጥብ ለማግኘት ምንም አይነት ቅጣት የለም።")</f>
        <v>በአንድ ዙር ዜሮ ነጥብ ለማግኘት ምንም አይነት ቅጣት የለም።</v>
      </c>
    </row>
    <row r="69" ht="22.5" customHeight="1">
      <c r="A69" s="13">
        <v>68.0</v>
      </c>
      <c r="B69" s="14" t="s">
        <v>646</v>
      </c>
      <c r="C69" s="14" t="s">
        <v>647</v>
      </c>
      <c r="D69" s="14" t="s">
        <v>648</v>
      </c>
      <c r="E69" s="14" t="s">
        <v>648</v>
      </c>
      <c r="G69" s="8" t="str">
        <f>IFERROR(__xludf.DUMMYFUNCTION(" GOOGLETRANSLATE(A69, ""en"", ""am"")"),"68")</f>
        <v>68</v>
      </c>
      <c r="H69" s="8" t="str">
        <f>IFERROR(__xludf.DUMMYFUNCTION(" GOOGLETRANSLATE(B69, ""en"", ""am"")"),"አንድ ተጫዋች ቁጭ ብሎ ዱላውን መጣል ይችላል?")</f>
        <v>አንድ ተጫዋች ቁጭ ብሎ ዱላውን መጣል ይችላል?</v>
      </c>
      <c r="I69" s="8" t="str">
        <f>IFERROR(__xludf.DUMMYFUNCTION(" GOOGLETRANSLATE(C69, ""en"", ""am"")"),"A. አይ ለ. ጉዳት ከደረሰባቸው ብቻ ነው ሐ. በተግባር ዙሮች ብቻ። መ. አዎ")</f>
        <v>A. አይ ለ. ጉዳት ከደረሰባቸው ብቻ ነው ሐ. በተግባር ዙሮች ብቻ። መ. አዎ</v>
      </c>
      <c r="J69" s="8" t="str">
        <f>IFERROR(__xludf.DUMMYFUNCTION(" GOOGLETRANSLATE(D69, ""en"", ""am"")"),"ተጫዋቾች ቁጭ ብለው ዱላዎቻቸውን መጣል ይችላሉ።")</f>
        <v>ተጫዋቾች ቁጭ ብለው ዱላዎቻቸውን መጣል ይችላሉ።</v>
      </c>
      <c r="K69" s="8" t="str">
        <f>IFERROR(__xludf.DUMMYFUNCTION(" GOOGLETRANSLATE(E69, ""en"", ""am"")"),"ተጫዋቾች ቁጭ ብለው ዱላዎቻቸውን መጣል ይችላሉ።")</f>
        <v>ተጫዋቾች ቁጭ ብለው ዱላዎቻቸውን መጣል ይችላሉ።</v>
      </c>
    </row>
    <row r="70" ht="22.5" customHeight="1">
      <c r="A70" s="13">
        <v>69.0</v>
      </c>
      <c r="B70" s="14" t="s">
        <v>649</v>
      </c>
      <c r="C70" s="14" t="s">
        <v>650</v>
      </c>
      <c r="D70" s="14" t="s">
        <v>651</v>
      </c>
      <c r="E70" s="14" t="s">
        <v>651</v>
      </c>
      <c r="G70" s="8" t="str">
        <f>IFERROR(__xludf.DUMMYFUNCTION(" GOOGLETRANSLATE(A70, ""en"", ""am"")"),"69")</f>
        <v>69</v>
      </c>
      <c r="H70" s="8" t="str">
        <f>IFERROR(__xludf.DUMMYFUNCTION(" GOOGLETRANSLATE(B70, ""en"", ""am"")"),"አንድ ተጫዋች በትንሽ ህዳግ ኢላማውን ካጣ ምን ይሆናል?")</f>
        <v>አንድ ተጫዋች በትንሽ ህዳግ ኢላማውን ካጣ ምን ይሆናል?</v>
      </c>
      <c r="I70" s="8" t="str">
        <f>IFERROR(__xludf.DUMMYFUNCTION(" GOOGLETRANSLATE(C70, ""en"", ""am"")"),"ሀ. ግማሽ ነጥብ ለ. ሙሉ ነጥብ ሐ. ማስጠንቀቂያ መ. ምንም ነጥብ የለም.")</f>
        <v>ሀ. ግማሽ ነጥብ ለ. ሙሉ ነጥብ ሐ. ማስጠንቀቂያ መ. ምንም ነጥብ የለም.</v>
      </c>
      <c r="J70" s="8" t="str">
        <f>IFERROR(__xludf.DUMMYFUNCTION(" GOOGLETRANSLATE(D70, ""en"", ""am"")"),"ኢላማው በትንሽ ህዳግ ካመለጠ ምንም ነጥብ አይሰጥም።")</f>
        <v>ኢላማው በትንሽ ህዳግ ካመለጠ ምንም ነጥብ አይሰጥም።</v>
      </c>
      <c r="K70" s="8" t="str">
        <f>IFERROR(__xludf.DUMMYFUNCTION(" GOOGLETRANSLATE(E70, ""en"", ""am"")"),"ኢላማው በትንሽ ህዳግ ካመለጠ ምንም ነጥብ አይሰጥም።")</f>
        <v>ኢላማው በትንሽ ህዳግ ካመለጠ ምንም ነጥብ አይሰጥም።</v>
      </c>
    </row>
    <row r="71" ht="22.5" customHeight="1">
      <c r="A71" s="13">
        <v>70.0</v>
      </c>
      <c r="B71" s="14" t="s">
        <v>652</v>
      </c>
      <c r="C71" s="14" t="s">
        <v>653</v>
      </c>
      <c r="D71" s="14" t="s">
        <v>654</v>
      </c>
      <c r="E71" s="14" t="s">
        <v>654</v>
      </c>
      <c r="G71" s="8" t="str">
        <f>IFERROR(__xludf.DUMMYFUNCTION(" GOOGLETRANSLATE(A71, ""en"", ""am"")"),"70")</f>
        <v>70</v>
      </c>
      <c r="H71" s="8" t="str">
        <f>IFERROR(__xludf.DUMMYFUNCTION(" GOOGLETRANSLATE(B71, ""en"", ""am"")"),"የባለብዙ ዙር ግጥሚያ አሸናፊው እንዴት ይታወቃል?")</f>
        <v>የባለብዙ ዙር ግጥሚያ አሸናፊው እንዴት ይታወቃል?</v>
      </c>
      <c r="I71" s="8" t="str">
        <f>IFERROR(__xludf.DUMMYFUNCTION(" GOOGLETRANSLATE(C71, ""en"", ""am"")"),"ሀ. የመጀመሪያ ዒላማ ነጥቦችን ለመድረስ ለ. ድንገተኛ ሞት ዙር ሐ. ሁሉንም ኢላማዎች በቅድሚያ ለመምታት መ. ብዙ ነጥብ አስመዝግቧል.")</f>
        <v>ሀ. የመጀመሪያ ዒላማ ነጥቦችን ለመድረስ ለ. ድንገተኛ ሞት ዙር ሐ. ሁሉንም ኢላማዎች በቅድሚያ ለመምታት መ. ብዙ ነጥብ አስመዝግቧል.</v>
      </c>
      <c r="J71" s="8" t="str">
        <f>IFERROR(__xludf.DUMMYFUNCTION(" GOOGLETRANSLATE(D71, ""en"", ""am"")"),"አሸናፊው በሁሉም ዙሮች ብዙ ነጥብ ያስመዘገበ ተጫዋች ነው።")</f>
        <v>አሸናፊው በሁሉም ዙሮች ብዙ ነጥብ ያስመዘገበ ተጫዋች ነው።</v>
      </c>
      <c r="K71" s="8" t="str">
        <f>IFERROR(__xludf.DUMMYFUNCTION(" GOOGLETRANSLATE(E71, ""en"", ""am"")"),"አሸናፊው በሁሉም ዙሮች ብዙ ነጥብ ያስመዘገበ ተጫዋች ነው።")</f>
        <v>አሸናፊው በሁሉም ዙሮች ብዙ ነጥብ ያስመዘገበ ተጫዋች ነው።</v>
      </c>
    </row>
    <row r="72" ht="22.5" customHeight="1">
      <c r="A72" s="13">
        <v>71.0</v>
      </c>
      <c r="B72" s="14" t="s">
        <v>655</v>
      </c>
      <c r="C72" s="14" t="s">
        <v>656</v>
      </c>
      <c r="D72" s="14" t="s">
        <v>657</v>
      </c>
      <c r="E72" s="14" t="s">
        <v>657</v>
      </c>
      <c r="G72" s="8" t="str">
        <f>IFERROR(__xludf.DUMMYFUNCTION(" GOOGLETRANSLATE(A72, ""en"", ""am"")"),"71")</f>
        <v>71</v>
      </c>
      <c r="H72" s="8" t="str">
        <f>IFERROR(__xludf.DUMMYFUNCTION(" GOOGLETRANSLATE(B72, ""en"", ""am"")"),"አንድ ተጫዋች ዱላውን በሁለት እጆቹ መጣል ይችላል?")</f>
        <v>አንድ ተጫዋች ዱላውን በሁለት እጆቹ መጣል ይችላል?</v>
      </c>
      <c r="I72" s="8" t="str">
        <f>IFERROR(__xludf.DUMMYFUNCTION(" GOOGLETRANSLATE(C72, ""en"", ""am"")"),"A. አይ ለ. በልዩ ፈቃድ ብቻ C. በልምምድ ወቅት ብቻ። መ. አዎ")</f>
        <v>A. አይ ለ. በልዩ ፈቃድ ብቻ C. በልምምድ ወቅት ብቻ። መ. አዎ</v>
      </c>
      <c r="J72" s="8" t="str">
        <f>IFERROR(__xludf.DUMMYFUNCTION(" GOOGLETRANSLATE(D72, ""en"", ""am"")"),"ተጫዋቾች በሁለቱም እጆች ዱላዎቻቸውን መወርወር ይችላሉ.")</f>
        <v>ተጫዋቾች በሁለቱም እጆች ዱላዎቻቸውን መወርወር ይችላሉ.</v>
      </c>
      <c r="K72" s="8" t="str">
        <f>IFERROR(__xludf.DUMMYFUNCTION(" GOOGLETRANSLATE(E72, ""en"", ""am"")"),"ተጫዋቾች በሁለቱም እጆች ዱላዎቻቸውን መወርወር ይችላሉ.")</f>
        <v>ተጫዋቾች በሁለቱም እጆች ዱላዎቻቸውን መወርወር ይችላሉ.</v>
      </c>
    </row>
    <row r="73" ht="22.5" customHeight="1">
      <c r="A73" s="13">
        <v>72.0</v>
      </c>
      <c r="B73" s="14" t="s">
        <v>658</v>
      </c>
      <c r="C73" s="14" t="s">
        <v>659</v>
      </c>
      <c r="D73" s="14" t="s">
        <v>660</v>
      </c>
      <c r="E73" s="14" t="s">
        <v>660</v>
      </c>
      <c r="G73" s="8" t="str">
        <f>IFERROR(__xludf.DUMMYFUNCTION(" GOOGLETRANSLATE(A73, ""en"", ""am"")"),"72")</f>
        <v>72</v>
      </c>
      <c r="H73" s="8" t="str">
        <f>IFERROR(__xludf.DUMMYFUNCTION(" GOOGLETRANSLATE(B73, ""en"", ""am"")"),"የተጫዋች ዱላ ዒላማው ላይ ቢያርፍ ምን ይከሰታል?")</f>
        <v>የተጫዋች ዱላ ዒላማው ላይ ቢያርፍ ምን ይከሰታል?</v>
      </c>
      <c r="I73" s="8" t="str">
        <f>IFERROR(__xludf.DUMMYFUNCTION(" GOOGLETRANSLATE(C73, ""en"", ""am"")"),"ሀ. ግማሽ ነጥብ ለ. ምንም ነጥብ የለም. ሐ. የቅጣት ነጥቦች መ. ሙሉ ነጥብ")</f>
        <v>ሀ. ግማሽ ነጥብ ለ. ምንም ነጥብ የለም. ሐ. የቅጣት ነጥቦች መ. ሙሉ ነጥብ</v>
      </c>
      <c r="J73" s="8" t="str">
        <f>IFERROR(__xludf.DUMMYFUNCTION(" GOOGLETRANSLATE(D73, ""en"", ""am"")"),"አንድ ዱላ ዒላማው ላይ ካረፈ ሙሉ ነጥቦች ይሸለማሉ።")</f>
        <v>አንድ ዱላ ዒላማው ላይ ካረፈ ሙሉ ነጥቦች ይሸለማሉ።</v>
      </c>
      <c r="K73" s="8" t="str">
        <f>IFERROR(__xludf.DUMMYFUNCTION(" GOOGLETRANSLATE(E73, ""en"", ""am"")"),"አንድ ዱላ ዒላማው ላይ ካረፈ ሙሉ ነጥቦች ይሸለማሉ።")</f>
        <v>አንድ ዱላ ዒላማው ላይ ካረፈ ሙሉ ነጥቦች ይሸለማሉ።</v>
      </c>
    </row>
    <row r="74" ht="22.5" customHeight="1">
      <c r="A74" s="13">
        <v>73.0</v>
      </c>
      <c r="B74" s="14" t="s">
        <v>661</v>
      </c>
      <c r="C74" s="14" t="s">
        <v>662</v>
      </c>
      <c r="D74" s="14" t="s">
        <v>663</v>
      </c>
      <c r="E74" s="14" t="s">
        <v>663</v>
      </c>
      <c r="G74" s="8" t="str">
        <f>IFERROR(__xludf.DUMMYFUNCTION(" GOOGLETRANSLATE(A74, ""en"", ""am"")"),"73")</f>
        <v>73</v>
      </c>
      <c r="H74" s="8" t="str">
        <f>IFERROR(__xludf.DUMMYFUNCTION(" GOOGLETRANSLATE(B74, ""en"", ""am"")"),"በአንድ ዙር ጊዜ ተጫዋቾች ቦታ መቀየር ይችላሉ?")</f>
        <v>በአንድ ዙር ጊዜ ተጫዋቾች ቦታ መቀየር ይችላሉ?</v>
      </c>
      <c r="I74" s="8" t="str">
        <f>IFERROR(__xludf.DUMMYFUNCTION(" GOOGLETRANSLATE(C74, ""en"", ""am"")"),"ሀ. አይ ለ. በ ዙሮች ሐ መካከል ብቻ. በልዩ ሁኔታዎች ውስጥ ብቻ መ. ቁ")</f>
        <v>ሀ. አይ ለ. በ ዙሮች ሐ መካከል ብቻ. በልዩ ሁኔታዎች ውስጥ ብቻ መ. ቁ</v>
      </c>
      <c r="J74" s="8" t="str">
        <f>IFERROR(__xludf.DUMMYFUNCTION(" GOOGLETRANSLATE(D74, ""en"", ""am"")"),"በአንድ ዙር ጊዜ ተጫዋቾች ቦታ መቀየር አይችሉም።")</f>
        <v>በአንድ ዙር ጊዜ ተጫዋቾች ቦታ መቀየር አይችሉም።</v>
      </c>
      <c r="K74" s="8" t="str">
        <f>IFERROR(__xludf.DUMMYFUNCTION(" GOOGLETRANSLATE(E74, ""en"", ""am"")"),"በአንድ ዙር ጊዜ ተጫዋቾች ቦታ መቀየር አይችሉም።")</f>
        <v>በአንድ ዙር ጊዜ ተጫዋቾች ቦታ መቀየር አይችሉም።</v>
      </c>
    </row>
    <row r="75" ht="22.5" customHeight="1">
      <c r="A75" s="13">
        <v>74.0</v>
      </c>
      <c r="B75" s="14" t="s">
        <v>442</v>
      </c>
      <c r="C75" s="14" t="s">
        <v>664</v>
      </c>
      <c r="D75" s="14" t="s">
        <v>665</v>
      </c>
      <c r="E75" s="14" t="s">
        <v>665</v>
      </c>
      <c r="G75" s="8" t="str">
        <f>IFERROR(__xludf.DUMMYFUNCTION(" GOOGLETRANSLATE(A75, ""en"", ""am"")"),"74")</f>
        <v>74</v>
      </c>
      <c r="H75" s="8" t="str">
        <f>IFERROR(__xludf.DUMMYFUNCTION(" GOOGLETRANSLATE(B75, ""en"", ""am"")"),"በጨዋታው ወቅት አንድ ተጫዋች ቢጎዳ ምን ይሆናል?")</f>
        <v>በጨዋታው ወቅት አንድ ተጫዋች ቢጎዳ ምን ይሆናል?</v>
      </c>
      <c r="I75" s="8" t="str">
        <f>IFERROR(__xludf.DUMMYFUNCTION(" GOOGLETRANSLATE(C75, ""en"", ""am"")"),"ሀ ጨዋታው ቀጥሏል። ለ. ዳግም መውሰድ የተፈቀደ ሐ. ጨዋታው ባለበት ቆሟል። መ መተካት ተፈቅዷል።")</f>
        <v>ሀ ጨዋታው ቀጥሏል። ለ. ዳግም መውሰድ የተፈቀደ ሐ. ጨዋታው ባለበት ቆሟል። መ መተካት ተፈቅዷል።</v>
      </c>
      <c r="J75" s="8" t="str">
        <f>IFERROR(__xludf.DUMMYFUNCTION(" GOOGLETRANSLATE(D75, ""en"", ""am"")"),"ተጫዋቹ ጉዳት ከደረሰበት ተተኪ ጨዋታውን እንዲቀጥል ሊፈቀድለት ይችላል።")</f>
        <v>ተጫዋቹ ጉዳት ከደረሰበት ተተኪ ጨዋታውን እንዲቀጥል ሊፈቀድለት ይችላል።</v>
      </c>
      <c r="K75" s="8" t="str">
        <f>IFERROR(__xludf.DUMMYFUNCTION(" GOOGLETRANSLATE(E75, ""en"", ""am"")"),"ተጫዋቹ ጉዳት ከደረሰበት ተተኪ ጨዋታውን እንዲቀጥል ሊፈቀድለት ይችላል።")</f>
        <v>ተጫዋቹ ጉዳት ከደረሰበት ተተኪ ጨዋታውን እንዲቀጥል ሊፈቀድለት ይችላል።</v>
      </c>
    </row>
    <row r="76" ht="22.5" customHeight="1">
      <c r="A76" s="13">
        <v>75.0</v>
      </c>
      <c r="B76" s="14" t="s">
        <v>666</v>
      </c>
      <c r="C76" s="14" t="s">
        <v>667</v>
      </c>
      <c r="D76" s="14" t="s">
        <v>668</v>
      </c>
      <c r="E76" s="14" t="s">
        <v>668</v>
      </c>
      <c r="G76" s="8" t="str">
        <f>IFERROR(__xludf.DUMMYFUNCTION(" GOOGLETRANSLATE(A76, ""en"", ""am"")"),"75")</f>
        <v>75</v>
      </c>
      <c r="H76" s="8" t="str">
        <f>IFERROR(__xludf.DUMMYFUNCTION(" GOOGLETRANSLATE(B76, ""en"", ""am"")"),"አንድ ተጫዋች የመሀል ኢላማውን ሲመታ ነጥብ የሚሰጠው እንዴት ነው?")</f>
        <v>አንድ ተጫዋች የመሀል ኢላማውን ሲመታ ነጥብ የሚሰጠው እንዴት ነው?</v>
      </c>
      <c r="I76" s="8" t="str">
        <f>IFERROR(__xludf.DUMMYFUNCTION(" GOOGLETRANSLATE(C76, ""en"", ""am"")"),"ሀ.2 ነጥብ B. 1 ነጥብ ሐ. የጉርሻ ነጥብ መ. 2 ነጥብ")</f>
        <v>ሀ.2 ነጥብ B. 1 ነጥብ ሐ. የጉርሻ ነጥብ መ. 2 ነጥብ</v>
      </c>
      <c r="J76" s="8" t="str">
        <f>IFERROR(__xludf.DUMMYFUNCTION(" GOOGLETRANSLATE(D76, ""en"", ""am"")"),"የመካከለኛው ኢላማ ሽልማቶችን 2 ነጥብ መምታት።")</f>
        <v>የመካከለኛው ኢላማ ሽልማቶችን 2 ነጥብ መምታት።</v>
      </c>
      <c r="K76" s="8" t="str">
        <f>IFERROR(__xludf.DUMMYFUNCTION(" GOOGLETRANSLATE(E76, ""en"", ""am"")"),"የመካከለኛው ኢላማ ሽልማቶችን 2 ነጥብ መምታት።")</f>
        <v>የመካከለኛው ኢላማ ሽልማቶችን 2 ነጥብ መምታት።</v>
      </c>
    </row>
    <row r="77" ht="22.5" customHeight="1">
      <c r="A77" s="13">
        <v>76.0</v>
      </c>
      <c r="B77" s="14" t="s">
        <v>669</v>
      </c>
      <c r="C77" s="14" t="s">
        <v>670</v>
      </c>
      <c r="D77" s="14" t="s">
        <v>671</v>
      </c>
      <c r="E77" s="14" t="s">
        <v>671</v>
      </c>
      <c r="G77" s="8" t="str">
        <f>IFERROR(__xludf.DUMMYFUNCTION(" GOOGLETRANSLATE(A77, ""en"", ""am"")"),"76")</f>
        <v>76</v>
      </c>
      <c r="H77" s="8" t="str">
        <f>IFERROR(__xludf.DUMMYFUNCTION(" GOOGLETRANSLATE(B77, ""en"", ""am"")"),"ጨዋታው ከተቋረጠ በኋላ አንድ ተጫዋች ዱላውን ቢወረውረው ምን ይሆናል?")</f>
        <v>ጨዋታው ከተቋረጠ በኋላ አንድ ተጫዋች ዱላውን ቢወረውረው ምን ይሆናል?</v>
      </c>
      <c r="I77" s="8" t="str">
        <f>IFERROR(__xludf.DUMMYFUNCTION(" GOOGLETRANSLATE(C77, ""en"", ""am"")"),"ሀ. ዳግም መውሰድ የተፈቀደ ለ. ማስጠንቀቂያ ሐ. ብቁ አለመሆን መ. ምንም ነጥብ የለም።")</f>
        <v>ሀ. ዳግም መውሰድ የተፈቀደ ለ. ማስጠንቀቂያ ሐ. ብቁ አለመሆን መ. ምንም ነጥብ የለም።</v>
      </c>
      <c r="J77" s="8" t="str">
        <f>IFERROR(__xludf.DUMMYFUNCTION(" GOOGLETRANSLATE(D77, ""en"", ""am"")"),"ከጨዋታው በኋላ ዱላውን መወርወር ምንም ፋይዳ የለውም።")</f>
        <v>ከጨዋታው በኋላ ዱላውን መወርወር ምንም ፋይዳ የለውም።</v>
      </c>
      <c r="K77" s="8" t="str">
        <f>IFERROR(__xludf.DUMMYFUNCTION(" GOOGLETRANSLATE(E77, ""en"", ""am"")"),"ከጨዋታው በኋላ ዱላውን መወርወር ምንም ፋይዳ የለውም።")</f>
        <v>ከጨዋታው በኋላ ዱላውን መወርወር ምንም ፋይዳ የለውም።</v>
      </c>
    </row>
    <row r="78" ht="22.5" customHeight="1">
      <c r="A78" s="13">
        <v>77.0</v>
      </c>
      <c r="B78" s="14" t="s">
        <v>672</v>
      </c>
      <c r="C78" s="14" t="s">
        <v>673</v>
      </c>
      <c r="D78" s="14" t="s">
        <v>674</v>
      </c>
      <c r="E78" s="14" t="s">
        <v>674</v>
      </c>
      <c r="G78" s="8" t="str">
        <f>IFERROR(__xludf.DUMMYFUNCTION(" GOOGLETRANSLATE(A78, ""en"", ""am"")"),"77")</f>
        <v>77</v>
      </c>
      <c r="H78" s="8" t="str">
        <f>IFERROR(__xludf.DUMMYFUNCTION(" GOOGLETRANSLATE(B78, ""en"", ""am"")"),"አንድ ተጫዋች ዱላውን ከመጫወቻ ስፍራው ውጭ መጣል ይችላል?")</f>
        <v>አንድ ተጫዋች ዱላውን ከመጫወቻ ስፍራው ውጭ መጣል ይችላል?</v>
      </c>
      <c r="I78" s="8" t="str">
        <f>IFERROR(__xludf.DUMMYFUNCTION(" GOOGLETRANSLATE(C78, ""en"", ""am"")"),"A. አይ ለ. በተግባር ብቻ ሐ. በድንገተኛ ጊዜ ብቻ D. No")</f>
        <v>A. አይ ለ. በተግባር ብቻ ሐ. በድንገተኛ ጊዜ ብቻ D. No</v>
      </c>
      <c r="J78" s="8" t="str">
        <f>IFERROR(__xludf.DUMMYFUNCTION(" GOOGLETRANSLATE(D78, ""en"", ""am"")"),"አንድ ተጫዋች ዱላውን ወደተዘጋጀው የመጫወቻ ቦታ መጣል አለበት።")</f>
        <v>አንድ ተጫዋች ዱላውን ወደተዘጋጀው የመጫወቻ ቦታ መጣል አለበት።</v>
      </c>
      <c r="K78" s="8" t="str">
        <f>IFERROR(__xludf.DUMMYFUNCTION(" GOOGLETRANSLATE(E78, ""en"", ""am"")"),"አንድ ተጫዋች ዱላውን ወደተዘጋጀው የመጫወቻ ቦታ መጣል አለበት።")</f>
        <v>አንድ ተጫዋች ዱላውን ወደተዘጋጀው የመጫወቻ ቦታ መጣል አለበት።</v>
      </c>
    </row>
    <row r="79" ht="22.5" customHeight="1">
      <c r="A79" s="13">
        <v>78.0</v>
      </c>
      <c r="B79" s="14" t="s">
        <v>675</v>
      </c>
      <c r="C79" s="14" t="s">
        <v>676</v>
      </c>
      <c r="D79" s="14" t="s">
        <v>677</v>
      </c>
      <c r="E79" s="14" t="s">
        <v>677</v>
      </c>
      <c r="G79" s="8" t="str">
        <f>IFERROR(__xludf.DUMMYFUNCTION(" GOOGLETRANSLATE(A79, ""en"", ""am"")"),"78")</f>
        <v>78</v>
      </c>
      <c r="H79" s="8" t="str">
        <f>IFERROR(__xludf.DUMMYFUNCTION(" GOOGLETRANSLATE(B79, ""en"", ""am"")"),"አንድ ተጫዋች ዱላውን ቢወረውር እና ኢላማውን ካልመታ ህጉ ምንድን ነው?")</f>
        <v>አንድ ተጫዋች ዱላውን ቢወረውር እና ኢላማውን ካልመታ ህጉ ምንድን ነው?</v>
      </c>
      <c r="I79" s="8" t="str">
        <f>IFERROR(__xludf.DUMMYFUNCTION(" GOOGLETRANSLATE(C79, ""en"", ""am"")"),"ሀ. የቅጣት ነጥቦች ለ. ዳግም መውሰድ የተፈቀደ ሐ. ማስጠንቀቂያ መ. ምንም ነጥብ የለም።")</f>
        <v>ሀ. የቅጣት ነጥቦች ለ. ዳግም መውሰድ የተፈቀደ ሐ. ማስጠንቀቂያ መ. ምንም ነጥብ የለም።</v>
      </c>
      <c r="J79" s="8" t="str">
        <f>IFERROR(__xludf.DUMMYFUNCTION(" GOOGLETRANSLATE(D79, ""en"", ""am"")"),"ዱላው ዒላማው ላይ ካልደረሰ ምንም ነጥብ አይሰጥም።")</f>
        <v>ዱላው ዒላማው ላይ ካልደረሰ ምንም ነጥብ አይሰጥም።</v>
      </c>
      <c r="K79" s="8" t="str">
        <f>IFERROR(__xludf.DUMMYFUNCTION(" GOOGLETRANSLATE(E79, ""en"", ""am"")"),"ዱላው ዒላማው ላይ ካልደረሰ ምንም ነጥብ አይሰጥም።")</f>
        <v>ዱላው ዒላማው ላይ ካልደረሰ ምንም ነጥብ አይሰጥም።</v>
      </c>
    </row>
    <row r="80" ht="22.5" customHeight="1">
      <c r="A80" s="13">
        <v>79.0</v>
      </c>
      <c r="B80" s="14" t="s">
        <v>678</v>
      </c>
      <c r="C80" s="14" t="s">
        <v>679</v>
      </c>
      <c r="D80" s="14" t="s">
        <v>680</v>
      </c>
      <c r="E80" s="14" t="s">
        <v>680</v>
      </c>
      <c r="G80" s="8" t="str">
        <f>IFERROR(__xludf.DUMMYFUNCTION(" GOOGLETRANSLATE(A80, ""en"", ""am"")"),"79")</f>
        <v>79</v>
      </c>
      <c r="H80" s="8" t="str">
        <f>IFERROR(__xludf.DUMMYFUNCTION(" GOOGLETRANSLATE(B80, ""en"", ""am"")"),"ተጫዋቾች ኢላማውን ለመምታት ከዱላ ሌላ ማንኛውንም ነገር መጠቀም ይችላሉ?")</f>
        <v>ተጫዋቾች ኢላማውን ለመምታት ከዱላ ሌላ ማንኛውንም ነገር መጠቀም ይችላሉ?</v>
      </c>
      <c r="I80" s="8" t="str">
        <f>IFERROR(__xludf.DUMMYFUNCTION(" GOOGLETRANSLATE(C80, ""en"", ""am"")"),"A. አይ ለ. የሚሸነፉ ከሆነ ብቻ ነው። ሐ. በማጣሪያው ውስጥ ብቻ D. No")</f>
        <v>A. አይ ለ. የሚሸነፉ ከሆነ ብቻ ነው። ሐ. በማጣሪያው ውስጥ ብቻ D. No</v>
      </c>
      <c r="J80" s="8" t="str">
        <f>IFERROR(__xludf.DUMMYFUNCTION(" GOOGLETRANSLATE(D80, ""en"", ""am"")"),"ተጫዋቾች ኢላማውን ለመምታት የተመደበውን ዱላ መጠቀም አለባቸው።")</f>
        <v>ተጫዋቾች ኢላማውን ለመምታት የተመደበውን ዱላ መጠቀም አለባቸው።</v>
      </c>
      <c r="K80" s="8" t="str">
        <f>IFERROR(__xludf.DUMMYFUNCTION(" GOOGLETRANSLATE(E80, ""en"", ""am"")"),"ተጫዋቾች ኢላማውን ለመምታት የተመደበውን ዱላ መጠቀም አለባቸው።")</f>
        <v>ተጫዋቾች ኢላማውን ለመምታት የተመደበውን ዱላ መጠቀም አለባቸው።</v>
      </c>
    </row>
    <row r="81" ht="22.5" customHeight="1">
      <c r="A81" s="13">
        <v>80.0</v>
      </c>
      <c r="B81" s="14" t="s">
        <v>681</v>
      </c>
      <c r="C81" s="14" t="s">
        <v>682</v>
      </c>
      <c r="D81" s="14" t="s">
        <v>683</v>
      </c>
      <c r="E81" s="14" t="s">
        <v>683</v>
      </c>
      <c r="G81" s="8" t="str">
        <f>IFERROR(__xludf.DUMMYFUNCTION(" GOOGLETRANSLATE(A81, ""en"", ""am"")"),"80")</f>
        <v>80</v>
      </c>
      <c r="H81" s="8" t="str">
        <f>IFERROR(__xludf.DUMMYFUNCTION(" GOOGLETRANSLATE(B81, ""en"", ""am"")"),"የተጫዋቹ ዱላ ኢላማውን ቢመታ ነገር ግን መሬት ላይ ቢወድቅ ምን ይሆናል?")</f>
        <v>የተጫዋቹ ዱላ ኢላማውን ቢመታ ነገር ግን መሬት ላይ ቢወድቅ ምን ይሆናል?</v>
      </c>
      <c r="I81" s="8" t="str">
        <f>IFERROR(__xludf.DUMMYFUNCTION(" GOOGLETRANSLATE(C81, ""en"", ""am"")"),"ሀ. ሙሉ ነጥብ ለ. ግማሽ ነጥብ ሐ. ማስጠንቀቂያ መ. ሙሉ ነጥብ")</f>
        <v>ሀ. ሙሉ ነጥብ ለ. ግማሽ ነጥብ ሐ. ማስጠንቀቂያ መ. ሙሉ ነጥብ</v>
      </c>
      <c r="J81" s="8" t="str">
        <f>IFERROR(__xludf.DUMMYFUNCTION(" GOOGLETRANSLATE(D81, ""en"", ""am"")"),"ዱላው ዒላማውን በመምታት መሬት ላይ ከወደቀ, ሙሉ ነጥቦች ይሸለማሉ.")</f>
        <v>ዱላው ዒላማውን በመምታት መሬት ላይ ከወደቀ, ሙሉ ነጥቦች ይሸለማሉ.</v>
      </c>
      <c r="K81" s="8" t="str">
        <f>IFERROR(__xludf.DUMMYFUNCTION(" GOOGLETRANSLATE(E81, ""en"", ""am"")"),"ዱላው ዒላማውን በመምታት መሬት ላይ ከወደቀ, ሙሉ ነጥቦች ይሸለማሉ.")</f>
        <v>ዱላው ዒላማውን በመምታት መሬት ላይ ከወደቀ, ሙሉ ነጥቦች ይሸለማሉ.</v>
      </c>
    </row>
    <row r="82" ht="22.5" customHeight="1">
      <c r="A82" s="13">
        <v>81.0</v>
      </c>
      <c r="B82" s="14" t="s">
        <v>684</v>
      </c>
      <c r="C82" s="14" t="s">
        <v>685</v>
      </c>
      <c r="D82" s="14" t="s">
        <v>686</v>
      </c>
      <c r="E82" s="14" t="s">
        <v>686</v>
      </c>
      <c r="G82" s="8" t="str">
        <f>IFERROR(__xludf.DUMMYFUNCTION(" GOOGLETRANSLATE(A82, ""en"", ""am"")"),"81")</f>
        <v>81</v>
      </c>
      <c r="H82" s="8" t="str">
        <f>IFERROR(__xludf.DUMMYFUNCTION(" GOOGLETRANSLATE(B82, ""en"", ""am"")"),"አንድ ተጫዋች በአንድ ዙር ብዙ ኢላማዎችን ቢመታ ውጤቱ እንዴት ይሰላል?")</f>
        <v>አንድ ተጫዋች በአንድ ዙር ብዙ ኢላማዎችን ቢመታ ውጤቱ እንዴት ይሰላል?</v>
      </c>
      <c r="I82" s="8" t="str">
        <f>IFERROR(__xludf.DUMMYFUNCTION(" GOOGLETRANSLATE(C82, ""en"", ""am"")"),"ሀ. የጉርሻ ነጥቦች ለ. ነጥቦች ለመጀመሪያው ዒላማ ሐ. ምንም ነጥብ የለም. መ. ለእያንዳንዱ ዒላማ ነጥቦች")</f>
        <v>ሀ. የጉርሻ ነጥቦች ለ. ነጥቦች ለመጀመሪያው ዒላማ ሐ. ምንም ነጥብ የለም. መ. ለእያንዳንዱ ዒላማ ነጥቦች</v>
      </c>
      <c r="J82" s="8" t="str">
        <f>IFERROR(__xludf.DUMMYFUNCTION(" GOOGLETRANSLATE(D82, ""en"", ""am"")"),"በአንድ ዙር ለእያንዳንዱ ኢላማ አንድ ነጥብ ተሰጥቷል።")</f>
        <v>በአንድ ዙር ለእያንዳንዱ ኢላማ አንድ ነጥብ ተሰጥቷል።</v>
      </c>
      <c r="K82" s="8" t="str">
        <f>IFERROR(__xludf.DUMMYFUNCTION(" GOOGLETRANSLATE(E82, ""en"", ""am"")"),"በአንድ ዙር ለእያንዳንዱ ኢላማ አንድ ነጥብ ተሰጥቷል።")</f>
        <v>በአንድ ዙር ለእያንዳንዱ ኢላማ አንድ ነጥብ ተሰጥቷል።</v>
      </c>
    </row>
    <row r="83" ht="22.5" customHeight="1">
      <c r="A83" s="13">
        <v>82.0</v>
      </c>
      <c r="B83" s="14" t="s">
        <v>687</v>
      </c>
      <c r="C83" s="14" t="s">
        <v>688</v>
      </c>
      <c r="D83" s="14" t="s">
        <v>689</v>
      </c>
      <c r="E83" s="14" t="s">
        <v>689</v>
      </c>
      <c r="G83" s="8" t="str">
        <f>IFERROR(__xludf.DUMMYFUNCTION(" GOOGLETRANSLATE(A83, ""en"", ""am"")"),"82")</f>
        <v>82</v>
      </c>
      <c r="H83" s="8" t="str">
        <f>IFERROR(__xludf.DUMMYFUNCTION(" GOOGLETRANSLATE(B83, ""en"", ""am"")"),"አንድ ተጫዋች መሬት ላይ ተቀምጦ ዱላውን መጣል ይችላል?")</f>
        <v>አንድ ተጫዋች መሬት ላይ ተቀምጦ ዱላውን መጣል ይችላል?</v>
      </c>
      <c r="I83" s="8" t="str">
        <f>IFERROR(__xludf.DUMMYFUNCTION(" GOOGLETRANSLATE(C83, ""en"", ""am"")"),"A. አይ ለ. በልምምድ ወቅት ብቻ። ሐ. በልዩ ሁኔታዎች ውስጥ ብቻ D. አዎ")</f>
        <v>A. አይ ለ. በልምምድ ወቅት ብቻ። ሐ. በልዩ ሁኔታዎች ውስጥ ብቻ D. አዎ</v>
      </c>
      <c r="J83" s="8" t="str">
        <f>IFERROR(__xludf.DUMMYFUNCTION(" GOOGLETRANSLATE(D83, ""en"", ""am"")"),"ተጫዋቾች መሬት ላይ ቢቀመጡም ዱላውን መጣል ይችላሉ.")</f>
        <v>ተጫዋቾች መሬት ላይ ቢቀመጡም ዱላውን መጣል ይችላሉ.</v>
      </c>
      <c r="K83" s="8" t="str">
        <f>IFERROR(__xludf.DUMMYFUNCTION(" GOOGLETRANSLATE(E83, ""en"", ""am"")"),"ተጫዋቾች መሬት ላይ ቢቀመጡም ዱላውን መጣል ይችላሉ.")</f>
        <v>ተጫዋቾች መሬት ላይ ቢቀመጡም ዱላውን መጣል ይችላሉ.</v>
      </c>
    </row>
    <row r="84" ht="22.5" customHeight="1">
      <c r="A84" s="13">
        <v>83.0</v>
      </c>
      <c r="B84" s="14" t="s">
        <v>690</v>
      </c>
      <c r="C84" s="14" t="s">
        <v>691</v>
      </c>
      <c r="D84" s="14" t="s">
        <v>692</v>
      </c>
      <c r="E84" s="14" t="s">
        <v>692</v>
      </c>
      <c r="G84" s="8" t="str">
        <f>IFERROR(__xludf.DUMMYFUNCTION(" GOOGLETRANSLATE(A84, ""en"", ""am"")"),"83")</f>
        <v>83</v>
      </c>
      <c r="H84" s="8" t="str">
        <f>IFERROR(__xludf.DUMMYFUNCTION(" GOOGLETRANSLATE(B84, ""en"", ""am"")"),"አንድ ተጫዋች ህገወጥ መሳሪያዎችን ሲጠቀም ከተያዘ ምን ይከሰታል?")</f>
        <v>አንድ ተጫዋች ህገወጥ መሳሪያዎችን ሲጠቀም ከተያዘ ምን ይከሰታል?</v>
      </c>
      <c r="I84" s="8" t="str">
        <f>IFERROR(__xludf.DUMMYFUNCTION(" GOOGLETRANSLATE(C84, ""en"", ""am"")"),"ሀ. ማስጠንቀቂያ ለ. ነጥብ መቀነስ ሐ. እንደገና መውሰድ የተፈቀደ መ. ብቁ አለመሆን")</f>
        <v>ሀ. ማስጠንቀቂያ ለ. ነጥብ መቀነስ ሐ. እንደገና መውሰድ የተፈቀደ መ. ብቁ አለመሆን</v>
      </c>
      <c r="J84" s="8" t="str">
        <f>IFERROR(__xludf.DUMMYFUNCTION(" GOOGLETRANSLATE(D84, ""en"", ""am"")"),"ህገወጥ መሳሪያዎችን መጠቀም ብቁ አለመሆንን ያስከትላል።")</f>
        <v>ህገወጥ መሳሪያዎችን መጠቀም ብቁ አለመሆንን ያስከትላል።</v>
      </c>
      <c r="K84" s="8" t="str">
        <f>IFERROR(__xludf.DUMMYFUNCTION(" GOOGLETRANSLATE(E84, ""en"", ""am"")"),"ህገወጥ መሳሪያዎችን መጠቀም ብቁ አለመሆንን ያስከትላል።")</f>
        <v>ህገወጥ መሳሪያዎችን መጠቀም ብቁ አለመሆንን ያስከትላል።</v>
      </c>
    </row>
    <row r="85" ht="22.5" customHeight="1">
      <c r="A85" s="13">
        <v>84.0</v>
      </c>
      <c r="B85" s="14" t="s">
        <v>693</v>
      </c>
      <c r="C85" s="14" t="s">
        <v>694</v>
      </c>
      <c r="D85" s="14" t="s">
        <v>695</v>
      </c>
      <c r="E85" s="14" t="s">
        <v>695</v>
      </c>
      <c r="G85" s="8" t="str">
        <f>IFERROR(__xludf.DUMMYFUNCTION(" GOOGLETRANSLATE(A85, ""en"", ""am"")"),"84")</f>
        <v>84</v>
      </c>
      <c r="H85" s="8" t="str">
        <f>IFERROR(__xludf.DUMMYFUNCTION(" GOOGLETRANSLATE(B85, ""en"", ""am"")"),"አንድ ተጫዋች በአንድ ዙር ውስጥ ብዙ እንጨቶችን መጣል ይችላል?")</f>
        <v>አንድ ተጫዋች በአንድ ዙር ውስጥ ብዙ እንጨቶችን መጣል ይችላል?</v>
      </c>
      <c r="I85" s="8" t="str">
        <f>IFERROR(__xludf.DUMMYFUNCTION(" GOOGLETRANSLATE(C85, ""en"", ""am"")"),"ሀ. አይ ለ. በልዩ ሁኔታ ብቻ ሐ. በጥሩ ጊዜ ብቻ መ. አይ")</f>
        <v>ሀ. አይ ለ. በልዩ ሁኔታ ብቻ ሐ. በጥሩ ጊዜ ብቻ መ. አይ</v>
      </c>
      <c r="J85" s="8" t="str">
        <f>IFERROR(__xludf.DUMMYFUNCTION(" GOOGLETRANSLATE(D85, ""en"", ""am"")"),"ተጫዋቾች አንድ ውርወራ ብቻ ነው የሚፈቀዱት።")</f>
        <v>ተጫዋቾች አንድ ውርወራ ብቻ ነው የሚፈቀዱት።</v>
      </c>
      <c r="K85" s="8" t="str">
        <f>IFERROR(__xludf.DUMMYFUNCTION(" GOOGLETRANSLATE(E85, ""en"", ""am"")"),"ተጫዋቾች አንድ ውርወራ ብቻ ነው የሚፈቀዱት።")</f>
        <v>ተጫዋቾች አንድ ውርወራ ብቻ ነው የሚፈቀዱት።</v>
      </c>
    </row>
    <row r="86" ht="22.5" customHeight="1">
      <c r="A86" s="13">
        <v>85.0</v>
      </c>
      <c r="B86" s="14" t="s">
        <v>567</v>
      </c>
      <c r="C86" s="14" t="s">
        <v>696</v>
      </c>
      <c r="D86" s="14" t="s">
        <v>697</v>
      </c>
      <c r="E86" s="14" t="s">
        <v>697</v>
      </c>
      <c r="G86" s="8" t="str">
        <f>IFERROR(__xludf.DUMMYFUNCTION(" GOOGLETRANSLATE(A86, ""en"", ""am"")"),"85")</f>
        <v>85</v>
      </c>
      <c r="H86" s="8" t="str">
        <f>IFERROR(__xludf.DUMMYFUNCTION(" GOOGLETRANSLATE(B86, ""en"", ""am"")"),"አንድ ተጫዋች ሆን ብሎ ጨዋታውን ካዘገየ ቅጣቱ ምንድን ነው?")</f>
        <v>አንድ ተጫዋች ሆን ብሎ ጨዋታውን ካዘገየ ቅጣቱ ምንድን ነው?</v>
      </c>
      <c r="I86" s="8" t="str">
        <f>IFERROR(__xludf.DUMMYFUNCTION(" GOOGLETRANSLATE(C86, ""en"", ""am"")"),"ሀ. ብቁ አለመሆን ለ. የቅጣት ነጥቦች ሐ. በሃሳብ የጠፋ። መ. ማስጠንቀቂያ")</f>
        <v>ሀ. ብቁ አለመሆን ለ. የቅጣት ነጥቦች ሐ. በሃሳብ የጠፋ። መ. ማስጠንቀቂያ</v>
      </c>
      <c r="J86" s="8" t="str">
        <f>IFERROR(__xludf.DUMMYFUNCTION(" GOOGLETRANSLATE(D86, ""en"", ""am"")"),"ሆን ተብሎ ጨዋታውን ማዘግየቱ ማስጠንቀቂያ ያስከትላል።")</f>
        <v>ሆን ተብሎ ጨዋታውን ማዘግየቱ ማስጠንቀቂያ ያስከትላል።</v>
      </c>
      <c r="K86" s="8" t="str">
        <f>IFERROR(__xludf.DUMMYFUNCTION(" GOOGLETRANSLATE(E86, ""en"", ""am"")"),"ሆን ተብሎ ጨዋታውን ማዘግየቱ ማስጠንቀቂያ ያስከትላል።")</f>
        <v>ሆን ተብሎ ጨዋታውን ማዘግየቱ ማስጠንቀቂያ ያስከትላል።</v>
      </c>
    </row>
    <row r="87" ht="22.5" customHeight="1">
      <c r="A87" s="13">
        <v>86.0</v>
      </c>
      <c r="B87" s="14" t="s">
        <v>698</v>
      </c>
      <c r="C87" s="14" t="s">
        <v>521</v>
      </c>
      <c r="D87" s="14" t="s">
        <v>699</v>
      </c>
      <c r="E87" s="14" t="s">
        <v>699</v>
      </c>
      <c r="G87" s="8" t="str">
        <f>IFERROR(__xludf.DUMMYFUNCTION(" GOOGLETRANSLATE(A87, ""en"", ""am"")"),"86")</f>
        <v>86</v>
      </c>
      <c r="H87" s="8" t="str">
        <f>IFERROR(__xludf.DUMMYFUNCTION(" GOOGLETRANSLATE(B87, ""en"", ""am"")"),"አንድ ተጫዋች ከተወሰነ ጊዜ በኋላ ዱላውን ቢወረውረው ምን ይሆናል?")</f>
        <v>አንድ ተጫዋች ከተወሰነ ጊዜ በኋላ ዱላውን ቢወረውረው ምን ይሆናል?</v>
      </c>
      <c r="I87" s="8" t="str">
        <f>IFERROR(__xludf.DUMMYFUNCTION(" GOOGLETRANSLATE(C87, ""en"", ""am"")"),"ሀ. የቅጣት ነጥቦች ለ. ዳግም መውሰድ የተፈቀደ ሐ. ብቁ አለመሆን መ. ምንም ነጥብ የለም።")</f>
        <v>ሀ. የቅጣት ነጥቦች ለ. ዳግም መውሰድ የተፈቀደ ሐ. ብቁ አለመሆን መ. ምንም ነጥብ የለም።</v>
      </c>
      <c r="J87" s="8" t="str">
        <f>IFERROR(__xludf.DUMMYFUNCTION(" GOOGLETRANSLATE(D87, ""en"", ""am"")"),"ከተወሰነ ጊዜ በኋላ ዱላውን መወርወር ምንም ነጥብ አያመጣም.")</f>
        <v>ከተወሰነ ጊዜ በኋላ ዱላውን መወርወር ምንም ነጥብ አያመጣም.</v>
      </c>
      <c r="K87" s="8" t="str">
        <f>IFERROR(__xludf.DUMMYFUNCTION(" GOOGLETRANSLATE(E87, ""en"", ""am"")"),"ከተወሰነ ጊዜ በኋላ ዱላውን መወርወር ምንም ነጥብ አያመጣም.")</f>
        <v>ከተወሰነ ጊዜ በኋላ ዱላውን መወርወር ምንም ነጥብ አያመጣም.</v>
      </c>
    </row>
    <row r="88" ht="22.5" customHeight="1">
      <c r="A88" s="13">
        <v>87.0</v>
      </c>
      <c r="B88" s="14" t="s">
        <v>700</v>
      </c>
      <c r="C88" s="14" t="s">
        <v>701</v>
      </c>
      <c r="D88" s="14" t="s">
        <v>702</v>
      </c>
      <c r="E88" s="14" t="s">
        <v>702</v>
      </c>
      <c r="G88" s="8" t="str">
        <f>IFERROR(__xludf.DUMMYFUNCTION(" GOOGLETRANSLATE(A88, ""en"", ""am"")"),"87")</f>
        <v>87</v>
      </c>
      <c r="H88" s="8" t="str">
        <f>IFERROR(__xludf.DUMMYFUNCTION(" GOOGLETRANSLATE(B88, ""en"", ""am"")"),"አንድ ተጫዋች ዱላውን ቢወረውር እና ሌላ ተጫዋች ቢነካው ምን ይሆናል?")</f>
        <v>አንድ ተጫዋች ዱላውን ቢወረውር እና ሌላ ተጫዋች ቢነካው ምን ይሆናል?</v>
      </c>
      <c r="I88" s="8" t="str">
        <f>IFERROR(__xludf.DUMMYFUNCTION(" GOOGLETRANSLATE(C88, ""en"", ""am"")"),"ሀ. የቅጣት ነጥብ ለ. ሙሉ ነጥብ ሐ. ማስጠንቀቂያ መ. የቅጣት ነጥቦች")</f>
        <v>ሀ. የቅጣት ነጥብ ለ. ሙሉ ነጥብ ሐ. ማስጠንቀቂያ መ. የቅጣት ነጥቦች</v>
      </c>
      <c r="J88" s="8" t="str">
        <f>IFERROR(__xludf.DUMMYFUNCTION(" GOOGLETRANSLATE(D88, ""en"", ""am"")"),"በዱላ ሌላ ተጫዋች መንካት ቅጣት ያስከትላል።")</f>
        <v>በዱላ ሌላ ተጫዋች መንካት ቅጣት ያስከትላል።</v>
      </c>
      <c r="K88" s="8" t="str">
        <f>IFERROR(__xludf.DUMMYFUNCTION(" GOOGLETRANSLATE(E88, ""en"", ""am"")"),"በዱላ ሌላ ተጫዋች መንካት ቅጣት ያስከትላል።")</f>
        <v>በዱላ ሌላ ተጫዋች መንካት ቅጣት ያስከትላል።</v>
      </c>
    </row>
    <row r="89" ht="22.5" customHeight="1">
      <c r="A89" s="13">
        <v>88.0</v>
      </c>
      <c r="B89" s="14" t="s">
        <v>703</v>
      </c>
      <c r="C89" s="14" t="s">
        <v>704</v>
      </c>
      <c r="D89" s="14" t="s">
        <v>705</v>
      </c>
      <c r="E89" s="14" t="s">
        <v>705</v>
      </c>
      <c r="G89" s="8" t="str">
        <f>IFERROR(__xludf.DUMMYFUNCTION(" GOOGLETRANSLATE(A89, ""en"", ""am"")"),"88")</f>
        <v>88</v>
      </c>
      <c r="H89" s="8" t="str">
        <f>IFERROR(__xludf.DUMMYFUNCTION(" GOOGLETRANSLATE(B89, ""en"", ""am"")"),"ዱላው ኢላማውን ቢመታ ግን ዒላማው በቦታው ላይ ካልሆነ ምን ይከሰታል?")</f>
        <v>ዱላው ኢላማውን ቢመታ ግን ዒላማው በቦታው ላይ ካልሆነ ምን ይከሰታል?</v>
      </c>
      <c r="I89" s="8" t="str">
        <f>IFERROR(__xludf.DUMMYFUNCTION(" GOOGLETRANSLATE(C89, ""en"", ""am"")"),"ሀ. ሙሉ ነጥብ ለ. ግማሽ ነጥብ ሐ. እንደገና መውሰድ የተፈቀደ መ. ምንም ነጥብ የለም.")</f>
        <v>ሀ. ሙሉ ነጥብ ለ. ግማሽ ነጥብ ሐ. እንደገና መውሰድ የተፈቀደ መ. ምንም ነጥብ የለም.</v>
      </c>
      <c r="J89" s="8" t="str">
        <f>IFERROR(__xludf.DUMMYFUNCTION(" GOOGLETRANSLATE(D89, ""en"", ""am"")"),"ዒላማው በቦታው ላይ ካልሆነ, ምንም ነጥብ አይሰጥም.")</f>
        <v>ዒላማው በቦታው ላይ ካልሆነ, ምንም ነጥብ አይሰጥም.</v>
      </c>
      <c r="K89" s="8" t="str">
        <f>IFERROR(__xludf.DUMMYFUNCTION(" GOOGLETRANSLATE(E89, ""en"", ""am"")"),"ዒላማው በቦታው ላይ ካልሆነ, ምንም ነጥብ አይሰጥም.")</f>
        <v>ዒላማው በቦታው ላይ ካልሆነ, ምንም ነጥብ አይሰጥም.</v>
      </c>
    </row>
    <row r="90" ht="22.5" customHeight="1">
      <c r="A90" s="13">
        <v>89.0</v>
      </c>
      <c r="B90" s="14" t="s">
        <v>706</v>
      </c>
      <c r="C90" s="14" t="s">
        <v>707</v>
      </c>
      <c r="D90" s="14" t="s">
        <v>708</v>
      </c>
      <c r="E90" s="14" t="s">
        <v>708</v>
      </c>
      <c r="G90" s="8" t="str">
        <f>IFERROR(__xludf.DUMMYFUNCTION(" GOOGLETRANSLATE(A90, ""en"", ""am"")"),"89")</f>
        <v>89</v>
      </c>
      <c r="H90" s="8" t="str">
        <f>IFERROR(__xludf.DUMMYFUNCTION(" GOOGLETRANSLATE(B90, ""en"", ""am"")"),"አንድ ተጫዋች በአንድ ዙር ስንት ኢላማዎችን ሊመታ ይችላል?")</f>
        <v>አንድ ተጫዋች በአንድ ዙር ስንት ኢላማዎችን ሊመታ ይችላል?</v>
      </c>
      <c r="I90" s="8" t="str">
        <f>IFERROR(__xludf.DUMMYFUNCTION(" GOOGLETRANSLATE(C90, ""en"", ""am"")"),"ሀ. ሁለት ለ. ሶስት ሐ. ያልተገደበ መ. አንድ")</f>
        <v>ሀ. ሁለት ለ. ሶስት ሐ. ያልተገደበ መ. አንድ</v>
      </c>
      <c r="J90" s="8" t="str">
        <f>IFERROR(__xludf.DUMMYFUNCTION(" GOOGLETRANSLATE(D90, ""en"", ""am"")"),"አንድ ተጫዋች በአንድ ዙር አንድ ኢላማ ብቻ መምታት ይችላል።")</f>
        <v>አንድ ተጫዋች በአንድ ዙር አንድ ኢላማ ብቻ መምታት ይችላል።</v>
      </c>
      <c r="K90" s="8" t="str">
        <f>IFERROR(__xludf.DUMMYFUNCTION(" GOOGLETRANSLATE(E90, ""en"", ""am"")"),"አንድ ተጫዋች በአንድ ዙር አንድ ኢላማ ብቻ መምታት ይችላል።")</f>
        <v>አንድ ተጫዋች በአንድ ዙር አንድ ኢላማ ብቻ መምታት ይችላል።</v>
      </c>
    </row>
    <row r="91" ht="22.5" customHeight="1">
      <c r="A91" s="13">
        <v>90.0</v>
      </c>
      <c r="B91" s="14" t="s">
        <v>709</v>
      </c>
      <c r="C91" s="14" t="s">
        <v>710</v>
      </c>
      <c r="D91" s="14" t="s">
        <v>711</v>
      </c>
      <c r="E91" s="14" t="s">
        <v>711</v>
      </c>
      <c r="G91" s="8" t="str">
        <f>IFERROR(__xludf.DUMMYFUNCTION(" GOOGLETRANSLATE(A91, ""en"", ""am"")"),"90")</f>
        <v>90</v>
      </c>
      <c r="H91" s="8" t="str">
        <f>IFERROR(__xludf.DUMMYFUNCTION(" GOOGLETRANSLATE(B91, ""en"", ""am"")"),"የተጫዋች ዱላ ከዒላማው ላይ ተንከባሎ ከሆነ ምን ይከሰታል?")</f>
        <v>የተጫዋች ዱላ ከዒላማው ላይ ተንከባሎ ከሆነ ምን ይከሰታል?</v>
      </c>
      <c r="I91" s="8" t="str">
        <f>IFERROR(__xludf.DUMMYFUNCTION(" GOOGLETRANSLATE(C91, ""en"", ""am"")"),"ሀ. ሙሉ ነጥብ ለ. ግማሽ ነጥብ ሐ. የቅጣት ነጥብ D. ግማሽ ነጥብ")</f>
        <v>ሀ. ሙሉ ነጥብ ለ. ግማሽ ነጥብ ሐ. የቅጣት ነጥብ D. ግማሽ ነጥብ</v>
      </c>
      <c r="J91" s="8" t="str">
        <f>IFERROR(__xludf.DUMMYFUNCTION(" GOOGLETRANSLATE(D91, ""en"", ""am"")"),"ዱላው ከዒላማው ላይ ከተንከባለል, ግማሽ ነጥቦች ይሸለማሉ.")</f>
        <v>ዱላው ከዒላማው ላይ ከተንከባለል, ግማሽ ነጥቦች ይሸለማሉ.</v>
      </c>
      <c r="K91" s="8" t="str">
        <f>IFERROR(__xludf.DUMMYFUNCTION(" GOOGLETRANSLATE(E91, ""en"", ""am"")"),"ዱላው ከዒላማው ላይ ከተንከባለል, ግማሽ ነጥቦች ይሸለማሉ.")</f>
        <v>ዱላው ከዒላማው ላይ ከተንከባለል, ግማሽ ነጥቦች ይሸለማሉ.</v>
      </c>
    </row>
    <row r="92" ht="22.5" customHeight="1">
      <c r="A92" s="13">
        <v>91.0</v>
      </c>
      <c r="B92" s="14" t="s">
        <v>712</v>
      </c>
      <c r="C92" s="14" t="s">
        <v>713</v>
      </c>
      <c r="D92" s="14" t="s">
        <v>714</v>
      </c>
      <c r="E92" s="14" t="s">
        <v>714</v>
      </c>
      <c r="G92" s="8" t="str">
        <f>IFERROR(__xludf.DUMMYFUNCTION(" GOOGLETRANSLATE(A92, ""en"", ""am"")"),"91")</f>
        <v>91</v>
      </c>
      <c r="H92" s="8" t="str">
        <f>IFERROR(__xludf.DUMMYFUNCTION(" GOOGLETRANSLATE(B92, ""en"", ""am"")"),"አንድ ተጫዋች ዱላውን ከተሰየመው መስመር ጀርባ መጣል ይችላል?")</f>
        <v>አንድ ተጫዋች ዱላውን ከተሰየመው መስመር ጀርባ መጣል ይችላል?</v>
      </c>
      <c r="I92" s="8" t="str">
        <f>IFERROR(__xludf.DUMMYFUNCTION(" GOOGLETRANSLATE(C92, ""en"", ""am"")"),"A. አይ ለ. በልዩ ፈቃድ ብቻ C. በድንገተኛ ጊዜ ብቻ መ. ቁ")</f>
        <v>A. አይ ለ. በልዩ ፈቃድ ብቻ C. በድንገተኛ ጊዜ ብቻ መ. ቁ</v>
      </c>
      <c r="J92" s="8" t="str">
        <f>IFERROR(__xludf.DUMMYFUNCTION(" GOOGLETRANSLATE(D92, ""en"", ""am"")"),"ተጨዋቾች የሌሊት ወፍዎቻቸውን በተዘጋጀው መስመር ላይ መጣል አለባቸው።")</f>
        <v>ተጨዋቾች የሌሊት ወፍዎቻቸውን በተዘጋጀው መስመር ላይ መጣል አለባቸው።</v>
      </c>
      <c r="K92" s="8" t="str">
        <f>IFERROR(__xludf.DUMMYFUNCTION(" GOOGLETRANSLATE(E92, ""en"", ""am"")"),"ተጨዋቾች የሌሊት ወፍዎቻቸውን በተዘጋጀው መስመር ላይ መጣል አለባቸው።")</f>
        <v>ተጨዋቾች የሌሊት ወፍዎቻቸውን በተዘጋጀው መስመር ላይ መጣል አለባቸው።</v>
      </c>
    </row>
    <row r="93" ht="22.5" customHeight="1">
      <c r="A93" s="13">
        <v>92.0</v>
      </c>
      <c r="B93" s="14" t="s">
        <v>715</v>
      </c>
      <c r="C93" s="14" t="s">
        <v>716</v>
      </c>
      <c r="D93" s="14" t="s">
        <v>717</v>
      </c>
      <c r="E93" s="14" t="s">
        <v>717</v>
      </c>
      <c r="G93" s="8" t="str">
        <f>IFERROR(__xludf.DUMMYFUNCTION(" GOOGLETRANSLATE(A93, ""en"", ""am"")"),"92")</f>
        <v>92</v>
      </c>
      <c r="H93" s="8" t="str">
        <f>IFERROR(__xludf.DUMMYFUNCTION(" GOOGLETRANSLATE(B93, ""en"", ""am"")"),"ሁለት ተጫዋቾች በአንድ ጊዜ አንድ ኢላማ ቢመቱ ምን ይከሰታል?")</f>
        <v>ሁለት ተጫዋቾች በአንድ ጊዜ አንድ ኢላማ ቢመቱ ምን ይከሰታል?</v>
      </c>
      <c r="I93" s="8" t="str">
        <f>IFERROR(__xludf.DUMMYFUNCTION(" GOOGLETRANSLATE(C93, ""en"", ""am"")"),"ሀ. ጎል ያስቆጠረ የመጀመሪያው ተጫዋች ብቻ ነው። ለ. ምንም ነጥብ የለም. ሐ. ሁለቱም ነጥቦችን ያጣሉ. መ. ሁለቱም ነጥቦች ነጥቦች ናቸው.")</f>
        <v>ሀ. ጎል ያስቆጠረ የመጀመሪያው ተጫዋች ብቻ ነው። ለ. ምንም ነጥብ የለም. ሐ. ሁለቱም ነጥቦችን ያጣሉ. መ. ሁለቱም ነጥቦች ነጥቦች ናቸው.</v>
      </c>
      <c r="J93" s="8" t="str">
        <f>IFERROR(__xludf.DUMMYFUNCTION(" GOOGLETRANSLATE(D93, ""en"", ""am"")"),"ሁለቱም ተጫዋቾች አንድን ኢላማ በአንድ ጊዜ ቢመቱ ነጥብ ያስመዘግባሉ።")</f>
        <v>ሁለቱም ተጫዋቾች አንድን ኢላማ በአንድ ጊዜ ቢመቱ ነጥብ ያስመዘግባሉ።</v>
      </c>
      <c r="K93" s="8" t="str">
        <f>IFERROR(__xludf.DUMMYFUNCTION(" GOOGLETRANSLATE(E93, ""en"", ""am"")"),"ሁለቱም ተጫዋቾች አንድን ኢላማ በአንድ ጊዜ ቢመቱ ነጥብ ያስመዘግባሉ።")</f>
        <v>ሁለቱም ተጫዋቾች አንድን ኢላማ በአንድ ጊዜ ቢመቱ ነጥብ ያስመዘግባሉ።</v>
      </c>
    </row>
    <row r="94" ht="22.5" customHeight="1">
      <c r="A94" s="13">
        <v>93.0</v>
      </c>
      <c r="B94" s="14" t="s">
        <v>718</v>
      </c>
      <c r="C94" s="14" t="s">
        <v>632</v>
      </c>
      <c r="D94" s="14" t="s">
        <v>719</v>
      </c>
      <c r="E94" s="14" t="s">
        <v>719</v>
      </c>
      <c r="G94" s="8" t="str">
        <f>IFERROR(__xludf.DUMMYFUNCTION(" GOOGLETRANSLATE(A94, ""en"", ""am"")"),"93")</f>
        <v>93</v>
      </c>
      <c r="H94" s="8" t="str">
        <f>IFERROR(__xludf.DUMMYFUNCTION(" GOOGLETRANSLATE(B94, ""en"", ""am"")"),"አንድ ተጫዋች ኳሱ ኢላማውን ቢመታ እና ካመለጠ ነጥብ ማግኘት ይችላል?")</f>
        <v>አንድ ተጫዋች ኳሱ ኢላማውን ቢመታ እና ካመለጠ ነጥብ ማግኘት ይችላል?</v>
      </c>
      <c r="I94" s="8" t="str">
        <f>IFERROR(__xludf.DUMMYFUNCTION(" GOOGLETRANSLATE(C94, ""en"", ""am"")"),"ሀ. ሙሉ ነጥብ ለ. ግማሽ ነጥብ ሐ. እንደገና መውሰድ የተፈቀደ መ. ግማሽ ነጥብ")</f>
        <v>ሀ. ሙሉ ነጥብ ለ. ግማሽ ነጥብ ሐ. እንደገና መውሰድ የተፈቀደ መ. ግማሽ ነጥብ</v>
      </c>
      <c r="J94" s="8" t="str">
        <f>IFERROR(__xludf.DUMMYFUNCTION(" GOOGLETRANSLATE(D94, ""en"", ""am"")"),"ዱላው ኢላማውን በመምታት ከወጣ, ግማሽ ነጥቦች ይሸለማሉ.")</f>
        <v>ዱላው ኢላማውን በመምታት ከወጣ, ግማሽ ነጥቦች ይሸለማሉ.</v>
      </c>
      <c r="K94" s="8" t="str">
        <f>IFERROR(__xludf.DUMMYFUNCTION(" GOOGLETRANSLATE(E94, ""en"", ""am"")"),"ዱላው ኢላማውን በመምታት ከወጣ, ግማሽ ነጥቦች ይሸለማሉ.")</f>
        <v>ዱላው ኢላማውን በመምታት ከወጣ, ግማሽ ነጥቦች ይሸለማሉ.</v>
      </c>
    </row>
    <row r="95" ht="22.5" customHeight="1">
      <c r="A95" s="13">
        <v>94.0</v>
      </c>
      <c r="B95" s="14" t="s">
        <v>720</v>
      </c>
      <c r="C95" s="14" t="s">
        <v>721</v>
      </c>
      <c r="D95" s="14" t="s">
        <v>722</v>
      </c>
      <c r="E95" s="14" t="s">
        <v>722</v>
      </c>
      <c r="G95" s="8" t="str">
        <f>IFERROR(__xludf.DUMMYFUNCTION(" GOOGLETRANSLATE(A95, ""en"", ""am"")"),"94")</f>
        <v>94</v>
      </c>
      <c r="H95" s="8" t="str">
        <f>IFERROR(__xludf.DUMMYFUNCTION(" GOOGLETRANSLATE(B95, ""en"", ""am"")"),"አንድ ተጫዋች ዱላውን ቢወረውር እና ዒላማው ላይ ከመድረሱ በፊት መሬት ቢመታ ምን ይሆናል?")</f>
        <v>አንድ ተጫዋች ዱላውን ቢወረውር እና ዒላማው ላይ ከመድረሱ በፊት መሬት ቢመታ ምን ይሆናል?</v>
      </c>
      <c r="I95" s="8" t="str">
        <f>IFERROR(__xludf.DUMMYFUNCTION(" GOOGLETRANSLATE(C95, ""en"", ""am"")"),"ሀ. የቅጣት ነጥብ ለ. ሙሉ ነጥብ ሐ. ግማሽ ነጥብ መ. ምንም ነጥብ የለም.")</f>
        <v>ሀ. የቅጣት ነጥብ ለ. ሙሉ ነጥብ ሐ. ግማሽ ነጥብ መ. ምንም ነጥብ የለም.</v>
      </c>
      <c r="J95" s="8" t="str">
        <f>IFERROR(__xludf.DUMMYFUNCTION(" GOOGLETRANSLATE(D95, ""en"", ""am"")"),"ዱላው ወደ ዒላማው ከመድረሱ በፊት መሬት ላይ ቢመታ, ምንም ነጥብ አይሰጥም.")</f>
        <v>ዱላው ወደ ዒላማው ከመድረሱ በፊት መሬት ላይ ቢመታ, ምንም ነጥብ አይሰጥም.</v>
      </c>
      <c r="K95" s="8" t="str">
        <f>IFERROR(__xludf.DUMMYFUNCTION(" GOOGLETRANSLATE(E95, ""en"", ""am"")"),"ዱላው ወደ ዒላማው ከመድረሱ በፊት መሬት ላይ ቢመታ, ምንም ነጥብ አይሰጥም.")</f>
        <v>ዱላው ወደ ዒላማው ከመድረሱ በፊት መሬት ላይ ቢመታ, ምንም ነጥብ አይሰጥም.</v>
      </c>
    </row>
    <row r="96" ht="22.5" customHeight="1">
      <c r="A96" s="13">
        <v>95.0</v>
      </c>
      <c r="B96" s="14" t="s">
        <v>723</v>
      </c>
      <c r="C96" s="14" t="s">
        <v>676</v>
      </c>
      <c r="D96" s="14" t="s">
        <v>724</v>
      </c>
      <c r="E96" s="14" t="s">
        <v>724</v>
      </c>
      <c r="G96" s="8" t="str">
        <f>IFERROR(__xludf.DUMMYFUNCTION(" GOOGLETRANSLATE(A96, ""en"", ""am"")"),"95")</f>
        <v>95</v>
      </c>
      <c r="H96" s="8" t="str">
        <f>IFERROR(__xludf.DUMMYFUNCTION(" GOOGLETRANSLATE(B96, ""en"", ""am"")"),"የተጫዋቹ ዱላ ከታሰበው ቦታ ውጭ ቢያርፍ ምን ይከሰታል?")</f>
        <v>የተጫዋቹ ዱላ ከታሰበው ቦታ ውጭ ቢያርፍ ምን ይከሰታል?</v>
      </c>
      <c r="I96" s="8" t="str">
        <f>IFERROR(__xludf.DUMMYFUNCTION(" GOOGLETRANSLATE(C96, ""en"", ""am"")"),"ሀ. የቅጣት ነጥቦች ለ. ዳግም መውሰድ የተፈቀደ ሐ. ማስጠንቀቂያ መ. ምንም ነጥብ የለም።")</f>
        <v>ሀ. የቅጣት ነጥቦች ለ. ዳግም መውሰድ የተፈቀደ ሐ. ማስጠንቀቂያ መ. ምንም ነጥብ የለም።</v>
      </c>
      <c r="J96" s="8" t="str">
        <f>IFERROR(__xludf.DUMMYFUNCTION(" GOOGLETRANSLATE(D96, ""en"", ""am"")"),"ከዒላማው ቦታ ውጭ ዱላ ማረፍ ምንም ነጥብ አያስከትልም።")</f>
        <v>ከዒላማው ቦታ ውጭ ዱላ ማረፍ ምንም ነጥብ አያስከትልም።</v>
      </c>
      <c r="K96" s="8" t="str">
        <f>IFERROR(__xludf.DUMMYFUNCTION(" GOOGLETRANSLATE(E96, ""en"", ""am"")"),"ከዒላማው ቦታ ውጭ ዱላ ማረፍ ምንም ነጥብ አያስከትልም።")</f>
        <v>ከዒላማው ቦታ ውጭ ዱላ ማረፍ ምንም ነጥብ አያስከትልም።</v>
      </c>
    </row>
    <row r="97" ht="22.5" customHeight="1">
      <c r="A97" s="13">
        <v>96.0</v>
      </c>
      <c r="B97" s="14" t="s">
        <v>725</v>
      </c>
      <c r="C97" s="14" t="s">
        <v>726</v>
      </c>
      <c r="D97" s="14" t="s">
        <v>727</v>
      </c>
      <c r="E97" s="14" t="s">
        <v>727</v>
      </c>
      <c r="G97" s="8" t="str">
        <f>IFERROR(__xludf.DUMMYFUNCTION(" GOOGLETRANSLATE(A97, ""en"", ""am"")"),"96")</f>
        <v>96</v>
      </c>
      <c r="H97" s="8" t="str">
        <f>IFERROR(__xludf.DUMMYFUNCTION(" GOOGLETRANSLATE(B97, ""en"", ""am"")"),"በጨዋታው ወቅት ተጫዋቾች ማንኛውንም አይነት ዱላ መጠቀም ይችላሉ?")</f>
        <v>በጨዋታው ወቅት ተጫዋቾች ማንኛውንም አይነት ዱላ መጠቀም ይችላሉ?</v>
      </c>
      <c r="I97" s="8" t="str">
        <f>IFERROR(__xludf.DUMMYFUNCTION(" GOOGLETRANSLATE(C97, ""en"", ""am"")"),"ሀ. አይ ለ. ልዩ ጊርስ ብቻ ሐ. የእንጨት ምሰሶዎች ብቻ D. ቁ")</f>
        <v>ሀ. አይ ለ. ልዩ ጊርስ ብቻ ሐ. የእንጨት ምሰሶዎች ብቻ D. ቁ</v>
      </c>
      <c r="J97" s="8" t="str">
        <f>IFERROR(__xludf.DUMMYFUNCTION(" GOOGLETRANSLATE(D97, ""en"", ""am"")"),"በጨዋታው ወቅት ተጫዋቾች የተመደበውን ዱላ መጠቀም አለባቸው።")</f>
        <v>በጨዋታው ወቅት ተጫዋቾች የተመደበውን ዱላ መጠቀም አለባቸው።</v>
      </c>
      <c r="K97" s="8" t="str">
        <f>IFERROR(__xludf.DUMMYFUNCTION(" GOOGLETRANSLATE(E97, ""en"", ""am"")"),"በጨዋታው ወቅት ተጫዋቾች የተመደበውን ዱላ መጠቀም አለባቸው።")</f>
        <v>በጨዋታው ወቅት ተጫዋቾች የተመደበውን ዱላ መጠቀም አለባቸው።</v>
      </c>
    </row>
    <row r="98" ht="22.5" customHeight="1">
      <c r="A98" s="13">
        <v>97.0</v>
      </c>
      <c r="B98" s="14" t="s">
        <v>728</v>
      </c>
      <c r="C98" s="14" t="s">
        <v>484</v>
      </c>
      <c r="D98" s="14" t="s">
        <v>729</v>
      </c>
      <c r="E98" s="14" t="s">
        <v>729</v>
      </c>
      <c r="G98" s="8" t="str">
        <f>IFERROR(__xludf.DUMMYFUNCTION(" GOOGLETRANSLATE(A98, ""en"", ""am"")"),"97")</f>
        <v>97</v>
      </c>
      <c r="H98" s="8" t="str">
        <f>IFERROR(__xludf.DUMMYFUNCTION(" GOOGLETRANSLATE(B98, ""en"", ""am"")"),"አንድ ተጫዋች ኢላማውን በበትሩ ቢመታ ነገር ግን የሚፈለገውን ነጥብ ላይ መድረስ ካልቻለ ምን ይሆናል?")</f>
        <v>አንድ ተጫዋች ኢላማውን በበትሩ ቢመታ ነገር ግን የሚፈለገውን ነጥብ ላይ መድረስ ካልቻለ ምን ይሆናል?</v>
      </c>
      <c r="I98" s="8" t="str">
        <f>IFERROR(__xludf.DUMMYFUNCTION(" GOOGLETRANSLATE(C98, ""en"", ""am"")"),"ሀ. ግማሽ ነጥብ ለ. ሙሉ ነጥብ ሐ. ብቁ አለመሆን መ. ምንም ነጥብ የለም.")</f>
        <v>ሀ. ግማሽ ነጥብ ለ. ሙሉ ነጥብ ሐ. ብቁ አለመሆን መ. ምንም ነጥብ የለም.</v>
      </c>
      <c r="J98" s="8" t="str">
        <f>IFERROR(__xludf.DUMMYFUNCTION(" GOOGLETRANSLATE(D98, ""en"", ""am"")"),"ተጫዋቹ የሚፈለጉትን ነጥቦች ካልደረሰ ምንም ነጥብ አይሰጥም።")</f>
        <v>ተጫዋቹ የሚፈለጉትን ነጥቦች ካልደረሰ ምንም ነጥብ አይሰጥም።</v>
      </c>
      <c r="K98" s="8" t="str">
        <f>IFERROR(__xludf.DUMMYFUNCTION(" GOOGLETRANSLATE(E98, ""en"", ""am"")"),"ተጫዋቹ የሚፈለጉትን ነጥቦች ካልደረሰ ምንም ነጥብ አይሰጥም።")</f>
        <v>ተጫዋቹ የሚፈለጉትን ነጥቦች ካልደረሰ ምንም ነጥብ አይሰጥም።</v>
      </c>
    </row>
    <row r="99" ht="22.5" customHeight="1">
      <c r="A99" s="13">
        <v>98.0</v>
      </c>
      <c r="B99" s="14" t="s">
        <v>730</v>
      </c>
      <c r="C99" s="14" t="s">
        <v>704</v>
      </c>
      <c r="D99" s="14" t="s">
        <v>731</v>
      </c>
      <c r="E99" s="14" t="s">
        <v>731</v>
      </c>
      <c r="G99" s="8" t="str">
        <f>IFERROR(__xludf.DUMMYFUNCTION(" GOOGLETRANSLATE(A99, ""en"", ""am"")"),"98")</f>
        <v>98</v>
      </c>
      <c r="H99" s="8" t="str">
        <f>IFERROR(__xludf.DUMMYFUNCTION(" GOOGLETRANSLATE(B99, ""en"", ""am"")"),"የተጫዋች ዱላ ዒላማውን ቢመታ ነገር ግን ከድንበሩ ውጭ ቢወድቅ ምን ይከሰታል?")</f>
        <v>የተጫዋች ዱላ ዒላማውን ቢመታ ነገር ግን ከድንበሩ ውጭ ቢወድቅ ምን ይከሰታል?</v>
      </c>
      <c r="I99" s="8" t="str">
        <f>IFERROR(__xludf.DUMMYFUNCTION(" GOOGLETRANSLATE(C99, ""en"", ""am"")"),"ሀ. ሙሉ ነጥብ ለ. ግማሽ ነጥብ ሐ. እንደገና መውሰድ የተፈቀደ መ. ምንም ነጥብ የለም.")</f>
        <v>ሀ. ሙሉ ነጥብ ለ. ግማሽ ነጥብ ሐ. እንደገና መውሰድ የተፈቀደ መ. ምንም ነጥብ የለም.</v>
      </c>
      <c r="J99" s="8" t="str">
        <f>IFERROR(__xludf.DUMMYFUNCTION(" GOOGLETRANSLATE(D99, ""en"", ""am"")"),"ከድንበር ውጭ የወደቀ ዱላ ምንም ነጥብ አያመጣም።")</f>
        <v>ከድንበር ውጭ የወደቀ ዱላ ምንም ነጥብ አያመጣም።</v>
      </c>
      <c r="K99" s="8" t="str">
        <f>IFERROR(__xludf.DUMMYFUNCTION(" GOOGLETRANSLATE(E99, ""en"", ""am"")"),"ከድንበር ውጭ የወደቀ ዱላ ምንም ነጥብ አያመጣም።")</f>
        <v>ከድንበር ውጭ የወደቀ ዱላ ምንም ነጥብ አያመጣም።</v>
      </c>
    </row>
    <row r="100" ht="22.5" customHeight="1">
      <c r="A100" s="13">
        <v>99.0</v>
      </c>
      <c r="B100" s="14" t="s">
        <v>732</v>
      </c>
      <c r="C100" s="14" t="s">
        <v>733</v>
      </c>
      <c r="D100" s="14" t="s">
        <v>734</v>
      </c>
      <c r="E100" s="14" t="s">
        <v>734</v>
      </c>
      <c r="G100" s="8" t="str">
        <f>IFERROR(__xludf.DUMMYFUNCTION(" GOOGLETRANSLATE(A100, ""en"", ""am"")"),"99")</f>
        <v>99</v>
      </c>
      <c r="H100" s="8" t="str">
        <f>IFERROR(__xludf.DUMMYFUNCTION(" GOOGLETRANSLATE(B100, ""en"", ""am"")"),"አንድ ተጫዋች ዱላውን በጣም ዘግይቶ ቢወረውር ህጉ ምንድን ነው?")</f>
        <v>አንድ ተጫዋች ዱላውን በጣም ዘግይቶ ቢወረውር ህጉ ምንድን ነው?</v>
      </c>
      <c r="I100" s="8" t="str">
        <f>IFERROR(__xludf.DUMMYFUNCTION(" GOOGLETRANSLATE(C100, ""en"", ""am"")"),"ሀ. የቅጣት ነጥቦች ለ. ሙሉ ነጥብ ሐ. የተፈቀዱ ድጋሚ መውሰድ መ. የቅጣት ነጥቦች")</f>
        <v>ሀ. የቅጣት ነጥቦች ለ. ሙሉ ነጥብ ሐ. የተፈቀዱ ድጋሚ መውሰድ መ. የቅጣት ነጥቦች</v>
      </c>
      <c r="J100" s="8" t="str">
        <f>IFERROR(__xludf.DUMMYFUNCTION(" GOOGLETRANSLATE(D100, ""en"", ""am"")"),"ዱላውን በጣም ዘግይቶ መወርወር የቅጣት ነጥቦችን ያስከትላል።")</f>
        <v>ዱላውን በጣም ዘግይቶ መወርወር የቅጣት ነጥቦችን ያስከትላል።</v>
      </c>
      <c r="K100" s="8" t="str">
        <f>IFERROR(__xludf.DUMMYFUNCTION(" GOOGLETRANSLATE(E100, ""en"", ""am"")"),"ዱላውን በጣም ዘግይቶ መወርወር የቅጣት ነጥቦችን ያስከትላል።")</f>
        <v>ዱላውን በጣም ዘግይቶ መወርወር የቅጣት ነጥቦችን ያስከትላል።</v>
      </c>
    </row>
    <row r="101" ht="22.5" customHeight="1">
      <c r="A101" s="13">
        <v>100.0</v>
      </c>
      <c r="B101" s="14" t="s">
        <v>735</v>
      </c>
      <c r="C101" s="14" t="s">
        <v>736</v>
      </c>
      <c r="D101" s="14" t="s">
        <v>737</v>
      </c>
      <c r="E101" s="14" t="s">
        <v>737</v>
      </c>
      <c r="G101" s="8" t="str">
        <f>IFERROR(__xludf.DUMMYFUNCTION(" GOOGLETRANSLATE(A101, ""en"", ""am"")"),"100")</f>
        <v>100</v>
      </c>
      <c r="H101" s="8" t="str">
        <f>IFERROR(__xludf.DUMMYFUNCTION(" GOOGLETRANSLATE(B101, ""en"", ""am"")"),"በጨዋታው ወቅት ተጫዋቾች የራሳቸውን ልዩ መሣሪያ መጠቀም ይችላሉ?")</f>
        <v>በጨዋታው ወቅት ተጫዋቾች የራሳቸውን ልዩ መሣሪያ መጠቀም ይችላሉ?</v>
      </c>
      <c r="I101" s="8" t="str">
        <f>IFERROR(__xludf.DUMMYFUNCTION(" GOOGLETRANSLATE(C101, ""en"", ""am"")"),"ሀ. አይ ለ. በእረፍት ጊዜ ብቻ C. ከቅድመ ፍቃድ ጋር ብቻ። መ. አይ")</f>
        <v>ሀ. አይ ለ. በእረፍት ጊዜ ብቻ C. ከቅድመ ፍቃድ ጋር ብቻ። መ. አይ</v>
      </c>
      <c r="J101" s="8" t="str">
        <f>IFERROR(__xludf.DUMMYFUNCTION(" GOOGLETRANSLATE(D101, ""en"", ""am"")"),"በዳኛው ካልተፈቀዱ በስተቀር ተጫዋቾች ልዩ መሳሪያዎችን መጠቀም አይችሉም።")</f>
        <v>በዳኛው ካልተፈቀዱ በስተቀር ተጫዋቾች ልዩ መሳሪያዎችን መጠቀም አይችሉም።</v>
      </c>
      <c r="K101" s="8" t="str">
        <f>IFERROR(__xludf.DUMMYFUNCTION(" GOOGLETRANSLATE(E101, ""en"", ""am"")"),"በዳኛው ካልተፈቀዱ በስተቀር ተጫዋቾች ልዩ መሳሪያዎችን መጠቀም አይችሉም።")</f>
        <v>በዳኛው ካልተፈቀዱ በስተቀር ተጫዋቾች ልዩ መሳሪያዎችን መጠቀም አይችሉም።</v>
      </c>
    </row>
    <row r="102" ht="22.5" customHeight="1">
      <c r="A102" s="13">
        <v>101.0</v>
      </c>
      <c r="B102" s="14" t="s">
        <v>738</v>
      </c>
      <c r="C102" s="14" t="s">
        <v>704</v>
      </c>
      <c r="D102" s="14" t="s">
        <v>739</v>
      </c>
      <c r="E102" s="14" t="s">
        <v>739</v>
      </c>
      <c r="G102" s="8" t="str">
        <f>IFERROR(__xludf.DUMMYFUNCTION(" GOOGLETRANSLATE(A102, ""en"", ""am"")"),"101")</f>
        <v>101</v>
      </c>
      <c r="H102" s="8" t="str">
        <f>IFERROR(__xludf.DUMMYFUNCTION(" GOOGLETRANSLATE(B102, ""en"", ""am"")"),"የተጫዋቹ ዱላ ወደ ዒላማው አካባቢ ቢያርፍ ነገር ግን ኢላማውን ካጣው ምን ይከሰታል?")</f>
        <v>የተጫዋቹ ዱላ ወደ ዒላማው አካባቢ ቢያርፍ ነገር ግን ኢላማውን ካጣው ምን ይከሰታል?</v>
      </c>
      <c r="I102" s="8" t="str">
        <f>IFERROR(__xludf.DUMMYFUNCTION(" GOOGLETRANSLATE(C102, ""en"", ""am"")"),"ሀ. ሙሉ ነጥብ ለ. ግማሽ ነጥብ ሐ. እንደገና መውሰድ የተፈቀደ መ. ምንም ነጥብ የለም.")</f>
        <v>ሀ. ሙሉ ነጥብ ለ. ግማሽ ነጥብ ሐ. እንደገና መውሰድ የተፈቀደ መ. ምንም ነጥብ የለም.</v>
      </c>
      <c r="J102" s="8" t="str">
        <f>IFERROR(__xludf.DUMMYFUNCTION(" GOOGLETRANSLATE(D102, ""en"", ""am"")"),"ዱላው ወደ ዒላማው አካባቢ ቢያርፍ ነገር ግን ካመለጠ ምንም ነጥብ አይሰጥም።")</f>
        <v>ዱላው ወደ ዒላማው አካባቢ ቢያርፍ ነገር ግን ካመለጠ ምንም ነጥብ አይሰጥም።</v>
      </c>
      <c r="K102" s="8" t="str">
        <f>IFERROR(__xludf.DUMMYFUNCTION(" GOOGLETRANSLATE(E102, ""en"", ""am"")"),"ዱላው ወደ ዒላማው አካባቢ ቢያርፍ ነገር ግን ካመለጠ ምንም ነጥብ አይሰጥም።")</f>
        <v>ዱላው ወደ ዒላማው አካባቢ ቢያርፍ ነገር ግን ካመለጠ ምንም ነጥብ አይሰጥም።</v>
      </c>
    </row>
    <row r="103" ht="22.5" customHeight="1">
      <c r="A103" s="13">
        <v>102.0</v>
      </c>
      <c r="B103" s="14" t="s">
        <v>740</v>
      </c>
      <c r="C103" s="14" t="s">
        <v>741</v>
      </c>
      <c r="D103" s="14" t="s">
        <v>742</v>
      </c>
      <c r="E103" s="14" t="s">
        <v>742</v>
      </c>
      <c r="G103" s="8" t="str">
        <f>IFERROR(__xludf.DUMMYFUNCTION(" GOOGLETRANSLATE(A103, ""en"", ""am"")"),"102")</f>
        <v>102</v>
      </c>
      <c r="H103" s="8" t="str">
        <f>IFERROR(__xludf.DUMMYFUNCTION(" GOOGLETRANSLATE(B103, ""en"", ""am"")"),"አንድ ተጫዋች ኢላማውን በዙሮች መካከል መቀየር ይችላል?")</f>
        <v>አንድ ተጫዋች ኢላማውን በዙሮች መካከል መቀየር ይችላል?</v>
      </c>
      <c r="I103" s="8" t="str">
        <f>IFERROR(__xludf.DUMMYFUNCTION(" GOOGLETRANSLATE(C103, ""en"", ""am"")"),"A. አይ ለ. በጨዋታው መጀመሪያ ላይ ብቻ C. በመጨረሻው ዙር ብቻ D. አዎ፣ በዳኛው ከተፈቀደ።")</f>
        <v>A. አይ ለ. በጨዋታው መጀመሪያ ላይ ብቻ C. በመጨረሻው ዙር ብቻ D. አዎ፣ በዳኛው ከተፈቀደ።</v>
      </c>
      <c r="J103" s="8" t="str">
        <f>IFERROR(__xludf.DUMMYFUNCTION(" GOOGLETRANSLATE(D103, ""en"", ""am"")"),"ተጫዋቾቹ በዳኛው ከፈቀዱ በዙሮች መካከል ኢላማቸውን ሊቀይሩ ይችላሉ።")</f>
        <v>ተጫዋቾቹ በዳኛው ከፈቀዱ በዙሮች መካከል ኢላማቸውን ሊቀይሩ ይችላሉ።</v>
      </c>
      <c r="K103" s="8" t="str">
        <f>IFERROR(__xludf.DUMMYFUNCTION(" GOOGLETRANSLATE(E103, ""en"", ""am"")"),"ተጫዋቾቹ በዳኛው ከፈቀዱ በዙሮች መካከል ኢላማቸውን ሊቀይሩ ይችላሉ።")</f>
        <v>ተጫዋቾቹ በዳኛው ከፈቀዱ በዙሮች መካከል ኢላማቸውን ሊቀይሩ ይችላሉ።</v>
      </c>
    </row>
    <row r="104" ht="22.5" customHeight="1">
      <c r="A104" s="13">
        <v>103.0</v>
      </c>
      <c r="B104" s="14" t="s">
        <v>743</v>
      </c>
      <c r="C104" s="14" t="s">
        <v>744</v>
      </c>
      <c r="D104" s="14" t="s">
        <v>745</v>
      </c>
      <c r="E104" s="14" t="s">
        <v>745</v>
      </c>
      <c r="G104" s="8" t="str">
        <f>IFERROR(__xludf.DUMMYFUNCTION(" GOOGLETRANSLATE(A104, ""en"", ""am"")"),"103")</f>
        <v>103</v>
      </c>
      <c r="H104" s="8" t="str">
        <f>IFERROR(__xludf.DUMMYFUNCTION(" GOOGLETRANSLATE(B104, ""en"", ""am"")"),"አንድ ተጫዋች የሌሊት ወፍ ቢወረውር እና ምንም ነገር ካልመታ ምን ይከሰታል?")</f>
        <v>አንድ ተጫዋች የሌሊት ወፍ ቢወረውር እና ምንም ነገር ካልመታ ምን ይከሰታል?</v>
      </c>
      <c r="I104" s="8" t="str">
        <f>IFERROR(__xludf.DUMMYFUNCTION(" GOOGLETRANSLATE(C104, ""en"", ""am"")"),"ሀ. የቅጣት ነጥቦች ለ. እንደገና መውሰድ የተፈቀደ ሐ. ሙሉ ነጥብ መ. ምንም ነጥብ የለም.")</f>
        <v>ሀ. የቅጣት ነጥቦች ለ. እንደገና መውሰድ የተፈቀደ ሐ. ሙሉ ነጥብ መ. ምንም ነጥብ የለም.</v>
      </c>
      <c r="J104" s="8" t="str">
        <f>IFERROR(__xludf.DUMMYFUNCTION(" GOOGLETRANSLATE(D104, ""en"", ""am"")"),"ዱላው ምንም ነገር ካልመታ ምንም ነጥብ አይሰጥም።")</f>
        <v>ዱላው ምንም ነገር ካልመታ ምንም ነጥብ አይሰጥም።</v>
      </c>
      <c r="K104" s="8" t="str">
        <f>IFERROR(__xludf.DUMMYFUNCTION(" GOOGLETRANSLATE(E104, ""en"", ""am"")"),"ዱላው ምንም ነገር ካልመታ ምንም ነጥብ አይሰጥም።")</f>
        <v>ዱላው ምንም ነገር ካልመታ ምንም ነጥብ አይሰጥም።</v>
      </c>
    </row>
    <row r="105" ht="22.5" customHeight="1">
      <c r="A105" s="13">
        <v>104.0</v>
      </c>
      <c r="B105" s="14" t="s">
        <v>746</v>
      </c>
      <c r="C105" s="14" t="s">
        <v>747</v>
      </c>
      <c r="D105" s="14" t="s">
        <v>748</v>
      </c>
      <c r="E105" s="14" t="s">
        <v>748</v>
      </c>
      <c r="G105" s="8" t="str">
        <f>IFERROR(__xludf.DUMMYFUNCTION(" GOOGLETRANSLATE(A105, ""en"", ""am"")"),"104")</f>
        <v>104</v>
      </c>
      <c r="H105" s="8" t="str">
        <f>IFERROR(__xludf.DUMMYFUNCTION(" GOOGLETRANSLATE(B105, ""en"", ""am"")"),"አሸናፊው እኩል ከሆነ እንዴት ይወሰናል?")</f>
        <v>አሸናፊው እኩል ከሆነ እንዴት ይወሰናል?</v>
      </c>
      <c r="I105" s="8" t="str">
        <f>IFERROR(__xludf.DUMMYFUNCTION(" GOOGLETRANSLATE(C105, ""en"", ""am"")"),"ሀ. ድንገተኛ ሞት ዙር ለ. የዘፈቀደ ስዕል ሐ. የጉርሻ ነጥቦች ተሸልመዋል D. ድንገተኛ ሞት ዙር")</f>
        <v>ሀ. ድንገተኛ ሞት ዙር ለ. የዘፈቀደ ስዕል ሐ. የጉርሻ ነጥቦች ተሸልመዋል D. ድንገተኛ ሞት ዙር</v>
      </c>
      <c r="J105" s="8" t="str">
        <f>IFERROR(__xludf.DUMMYFUNCTION(" GOOGLETRANSLATE(D105, ""en"", ""am"")"),"ድንገተኛ የሞት ዙር አሸናፊውን በእኩል እኩል ይወስነዋል።")</f>
        <v>ድንገተኛ የሞት ዙር አሸናፊውን በእኩል እኩል ይወስነዋል።</v>
      </c>
      <c r="K105" s="8" t="str">
        <f>IFERROR(__xludf.DUMMYFUNCTION(" GOOGLETRANSLATE(E105, ""en"", ""am"")"),"ድንገተኛ የሞት ዙር አሸናፊውን በእኩል እኩል ይወስነዋል።")</f>
        <v>ድንገተኛ የሞት ዙር አሸናፊውን በእኩል እኩል ይወስነዋል።</v>
      </c>
    </row>
    <row r="106" ht="22.5" customHeight="1">
      <c r="A106" s="13">
        <v>105.0</v>
      </c>
      <c r="B106" s="14" t="s">
        <v>749</v>
      </c>
      <c r="C106" s="14" t="s">
        <v>750</v>
      </c>
      <c r="D106" s="14" t="s">
        <v>751</v>
      </c>
      <c r="E106" s="14" t="s">
        <v>751</v>
      </c>
      <c r="G106" s="8" t="str">
        <f>IFERROR(__xludf.DUMMYFUNCTION(" GOOGLETRANSLATE(A106, ""en"", ""am"")"),"105")</f>
        <v>105</v>
      </c>
      <c r="H106" s="8" t="str">
        <f>IFERROR(__xludf.DUMMYFUNCTION(" GOOGLETRANSLATE(B106, ""en"", ""am"")"),"አንድ ተጫዋች በጨዋታው ወቅት የእረፍት ጊዜ መጠየቅ ይችላል?")</f>
        <v>አንድ ተጫዋች በጨዋታው ወቅት የእረፍት ጊዜ መጠየቅ ይችላል?</v>
      </c>
      <c r="I106" s="8" t="str">
        <f>IFERROR(__xludf.DUMMYFUNCTION(" GOOGLETRANSLATE(C106, ""en"", ""am"")"),"ሀ. አይ ለ. ሲጎዳ ብቻ C. በክብ መሀከል ብቻ. አዎ፣ በክበብ ውስጥ አንድ ጊዜ።")</f>
        <v>ሀ. አይ ለ. ሲጎዳ ብቻ C. በክብ መሀከል ብቻ. አዎ፣ በክበብ ውስጥ አንድ ጊዜ።</v>
      </c>
      <c r="J106" s="8" t="str">
        <f>IFERROR(__xludf.DUMMYFUNCTION(" GOOGLETRANSLATE(D106, ""en"", ""am"")"),"ተጫዋቾች በአንድ ዙር አንድ ጊዜ የጊዜ ማብቂያ መጠየቅ ይችላሉ።")</f>
        <v>ተጫዋቾች በአንድ ዙር አንድ ጊዜ የጊዜ ማብቂያ መጠየቅ ይችላሉ።</v>
      </c>
      <c r="K106" s="8" t="str">
        <f>IFERROR(__xludf.DUMMYFUNCTION(" GOOGLETRANSLATE(E106, ""en"", ""am"")"),"ተጫዋቾች በአንድ ዙር አንድ ጊዜ የጊዜ ማብቂያ መጠየቅ ይችላሉ።")</f>
        <v>ተጫዋቾች በአንድ ዙር አንድ ጊዜ የጊዜ ማብቂያ መጠየቅ ይችላሉ።</v>
      </c>
    </row>
    <row r="107" ht="22.5" customHeight="1">
      <c r="A107" s="13">
        <v>106.0</v>
      </c>
      <c r="B107" s="14" t="s">
        <v>752</v>
      </c>
      <c r="C107" s="14" t="s">
        <v>753</v>
      </c>
      <c r="D107" s="14" t="s">
        <v>754</v>
      </c>
      <c r="E107" s="14" t="s">
        <v>754</v>
      </c>
      <c r="G107" s="8" t="str">
        <f>IFERROR(__xludf.DUMMYFUNCTION(" GOOGLETRANSLATE(A107, ""en"", ""am"")"),"106")</f>
        <v>106</v>
      </c>
      <c r="H107" s="8" t="str">
        <f>IFERROR(__xludf.DUMMYFUNCTION(" GOOGLETRANSLATE(B107, ""en"", ""am"")"),"ሆን ብሎ ተቃዋሚን ያነጣጠረ ተጫዋች ቅጣቱ ምንድን ነው?")</f>
        <v>ሆን ብሎ ተቃዋሚን ያነጣጠረ ተጫዋች ቅጣቱ ምንድን ነው?</v>
      </c>
      <c r="I107" s="8" t="str">
        <f>IFERROR(__xludf.DUMMYFUNCTION(" GOOGLETRANSLATE(C107, ""en"", ""am"")"),"ሀ. ምንም ቅጣት የለም. ለ. ብቁ አለመሆን ሐ. የቅጣት ነጥቦች መ. ብቁ አለመሆን")</f>
        <v>ሀ. ምንም ቅጣት የለም. ለ. ብቁ አለመሆን ሐ. የቅጣት ነጥቦች መ. ብቁ አለመሆን</v>
      </c>
      <c r="J107" s="8" t="str">
        <f>IFERROR(__xludf.DUMMYFUNCTION(" GOOGLETRANSLATE(D107, ""en"", ""am"")"),"ሆን ብሎ ተቃዋሚን ማነጣጠር ብቃት ማነስን ያስከትላል።")</f>
        <v>ሆን ብሎ ተቃዋሚን ማነጣጠር ብቃት ማነስን ያስከትላል።</v>
      </c>
      <c r="K107" s="8" t="str">
        <f>IFERROR(__xludf.DUMMYFUNCTION(" GOOGLETRANSLATE(E107, ""en"", ""am"")"),"ሆን ብሎ ተቃዋሚን ማነጣጠር ብቃት ማነስን ያስከትላል።")</f>
        <v>ሆን ብሎ ተቃዋሚን ማነጣጠር ብቃት ማነስን ያስከትላል።</v>
      </c>
    </row>
    <row r="108" ht="22.5" customHeight="1">
      <c r="A108" s="13">
        <v>107.0</v>
      </c>
      <c r="B108" s="14" t="s">
        <v>755</v>
      </c>
      <c r="C108" s="14" t="s">
        <v>704</v>
      </c>
      <c r="D108" s="14" t="s">
        <v>756</v>
      </c>
      <c r="E108" s="14" t="s">
        <v>756</v>
      </c>
      <c r="G108" s="8" t="str">
        <f>IFERROR(__xludf.DUMMYFUNCTION(" GOOGLETRANSLATE(A108, ""en"", ""am"")"),"107")</f>
        <v>107</v>
      </c>
      <c r="H108" s="8" t="str">
        <f>IFERROR(__xludf.DUMMYFUNCTION(" GOOGLETRANSLATE(B108, ""en"", ""am"")"),"የተጫዋች ዱላ ከተጣለ እና ከመጫወቻ ቦታ ውጭ ቢያርፍ ምን ይከሰታል?")</f>
        <v>የተጫዋች ዱላ ከተጣለ እና ከመጫወቻ ቦታ ውጭ ቢያርፍ ምን ይከሰታል?</v>
      </c>
      <c r="I108" s="8" t="str">
        <f>IFERROR(__xludf.DUMMYFUNCTION(" GOOGLETRANSLATE(C108, ""en"", ""am"")"),"ሀ. ሙሉ ነጥብ ለ. ግማሽ ነጥብ ሐ. እንደገና መውሰድ የተፈቀደ መ. ምንም ነጥብ የለም.")</f>
        <v>ሀ. ሙሉ ነጥብ ለ. ግማሽ ነጥብ ሐ. እንደገና መውሰድ የተፈቀደ መ. ምንም ነጥብ የለም.</v>
      </c>
      <c r="J108" s="8" t="str">
        <f>IFERROR(__xludf.DUMMYFUNCTION(" GOOGLETRANSLATE(D108, ""en"", ""am"")"),"ከመጫወቻ ቦታ ውጭ የተወረወረ ዱላ ምንም ነጥብ አያመጣም።")</f>
        <v>ከመጫወቻ ቦታ ውጭ የተወረወረ ዱላ ምንም ነጥብ አያመጣም።</v>
      </c>
      <c r="K108" s="8" t="str">
        <f>IFERROR(__xludf.DUMMYFUNCTION(" GOOGLETRANSLATE(E108, ""en"", ""am"")"),"ከመጫወቻ ቦታ ውጭ የተወረወረ ዱላ ምንም ነጥብ አያመጣም።")</f>
        <v>ከመጫወቻ ቦታ ውጭ የተወረወረ ዱላ ምንም ነጥብ አያመጣም።</v>
      </c>
    </row>
    <row r="109" ht="22.5" customHeight="1">
      <c r="A109" s="13">
        <v>108.0</v>
      </c>
      <c r="B109" s="14" t="s">
        <v>757</v>
      </c>
      <c r="C109" s="14" t="s">
        <v>758</v>
      </c>
      <c r="D109" s="14" t="s">
        <v>759</v>
      </c>
      <c r="E109" s="14" t="s">
        <v>759</v>
      </c>
      <c r="G109" s="8" t="str">
        <f>IFERROR(__xludf.DUMMYFUNCTION(" GOOGLETRANSLATE(A109, ""en"", ""am"")"),"108")</f>
        <v>108</v>
      </c>
      <c r="H109" s="8" t="str">
        <f>IFERROR(__xludf.DUMMYFUNCTION(" GOOGLETRANSLATE(B109, ""en"", ""am"")"),"አንድ ተጫዋች ዱላውን ወደ የትኛውም አቅጣጫ መጣል ይችላል?")</f>
        <v>አንድ ተጫዋች ዱላውን ወደ የትኛውም አቅጣጫ መጣል ይችላል?</v>
      </c>
      <c r="I109" s="8" t="str">
        <f>IFERROR(__xludf.DUMMYFUNCTION(" GOOGLETRANSLATE(C109, ""en"", ""am"")"),"ሀ. አይ ለ. ወደፊት ብቻ C. ወደ ኋላ ብቻ መ. ቁጥር")</f>
        <v>ሀ. አይ ለ. ወደፊት ብቻ C. ወደ ኋላ ብቻ መ. ቁጥር</v>
      </c>
      <c r="J109" s="8" t="str">
        <f>IFERROR(__xludf.DUMMYFUNCTION(" GOOGLETRANSLATE(D109, ""en"", ""am"")"),"ተጫዋቾቹ ዱላውን በደንቡ በተገለፀው አቅጣጫ መጣል አለባቸው።")</f>
        <v>ተጫዋቾቹ ዱላውን በደንቡ በተገለፀው አቅጣጫ መጣል አለባቸው።</v>
      </c>
      <c r="K109" s="8" t="str">
        <f>IFERROR(__xludf.DUMMYFUNCTION(" GOOGLETRANSLATE(E109, ""en"", ""am"")"),"ተጫዋቾቹ ዱላውን በደንቡ በተገለፀው አቅጣጫ መጣል አለባቸው።")</f>
        <v>ተጫዋቾቹ ዱላውን በደንቡ በተገለፀው አቅጣጫ መጣል አለባቸው።</v>
      </c>
    </row>
    <row r="110" ht="22.5" customHeight="1">
      <c r="A110" s="13">
        <v>109.0</v>
      </c>
      <c r="B110" s="14" t="s">
        <v>760</v>
      </c>
      <c r="C110" s="14" t="s">
        <v>704</v>
      </c>
      <c r="D110" s="14" t="s">
        <v>761</v>
      </c>
      <c r="E110" s="14" t="s">
        <v>761</v>
      </c>
      <c r="G110" s="8" t="str">
        <f>IFERROR(__xludf.DUMMYFUNCTION(" GOOGLETRANSLATE(A110, ""en"", ""am"")"),"109")</f>
        <v>109</v>
      </c>
      <c r="H110" s="8" t="str">
        <f>IFERROR(__xludf.DUMMYFUNCTION(" GOOGLETRANSLATE(B110, ""en"", ""am"")"),"አንድ ተጫዋች እየወረወረ ኢላማውን ቢነካ ህጉ ምንድን ነው?")</f>
        <v>አንድ ተጫዋች እየወረወረ ኢላማውን ቢነካ ህጉ ምንድን ነው?</v>
      </c>
      <c r="I110" s="8" t="str">
        <f>IFERROR(__xludf.DUMMYFUNCTION(" GOOGLETRANSLATE(C110, ""en"", ""am"")"),"ሀ. ሙሉ ነጥብ ለ. ግማሽ ነጥብ ሐ. እንደገና መውሰድ የተፈቀደ መ. ምንም ነጥብ የለም.")</f>
        <v>ሀ. ሙሉ ነጥብ ለ. ግማሽ ነጥብ ሐ. እንደገና መውሰድ የተፈቀደ መ. ምንም ነጥብ የለም.</v>
      </c>
      <c r="J110" s="8" t="str">
        <f>IFERROR(__xludf.DUMMYFUNCTION(" GOOGLETRANSLATE(D110, ""en"", ""am"")"),"በመወርወር ወቅት ዒላማውን መንካት ምንም ነጥብ አያመጣም።")</f>
        <v>በመወርወር ወቅት ዒላማውን መንካት ምንም ነጥብ አያመጣም።</v>
      </c>
      <c r="K110" s="8" t="str">
        <f>IFERROR(__xludf.DUMMYFUNCTION(" GOOGLETRANSLATE(E110, ""en"", ""am"")"),"በመወርወር ወቅት ዒላማውን መንካት ምንም ነጥብ አያመጣም።")</f>
        <v>በመወርወር ወቅት ዒላማውን መንካት ምንም ነጥብ አያመጣም።</v>
      </c>
    </row>
    <row r="111" ht="22.5" customHeight="1">
      <c r="A111" s="13">
        <v>110.0</v>
      </c>
      <c r="B111" s="14" t="s">
        <v>762</v>
      </c>
      <c r="C111" s="14" t="s">
        <v>763</v>
      </c>
      <c r="D111" s="14" t="s">
        <v>764</v>
      </c>
      <c r="E111" s="14" t="s">
        <v>764</v>
      </c>
      <c r="G111" s="8" t="str">
        <f>IFERROR(__xludf.DUMMYFUNCTION(" GOOGLETRANSLATE(A111, ""en"", ""am"")"),"110")</f>
        <v>110</v>
      </c>
      <c r="H111" s="8" t="str">
        <f>IFERROR(__xludf.DUMMYFUNCTION(" GOOGLETRANSLATE(B111, ""en"", ""am"")"),"አንድ ተጫዋች በዙሮች መካከል ቦታዎችን መቀየር ይችላል?")</f>
        <v>አንድ ተጫዋች በዙሮች መካከል ቦታዎችን መቀየር ይችላል?</v>
      </c>
      <c r="I111" s="8" t="str">
        <f>IFERROR(__xludf.DUMMYFUNCTION(" GOOGLETRANSLATE(C111, ""en"", ""am"")"),"ሀ. አይ ለ. ጉዳት ከደረሰባቸው ብቻ ነው ሐ. በመጨረሻው ዙር መ. አዎ፣ በዳኛው ይሁንታ።")</f>
        <v>ሀ. አይ ለ. ጉዳት ከደረሰባቸው ብቻ ነው ሐ. በመጨረሻው ዙር መ. አዎ፣ በዳኛው ይሁንታ።</v>
      </c>
      <c r="J111" s="8" t="str">
        <f>IFERROR(__xludf.DUMMYFUNCTION(" GOOGLETRANSLATE(D111, ""en"", ""am"")"),"ዳኛው ከፈቀደ ተጫዋቾቹ በዙሮች መካከል ያሉ ቦታዎችን ሊቀይሩ ይችላሉ።")</f>
        <v>ዳኛው ከፈቀደ ተጫዋቾቹ በዙሮች መካከል ያሉ ቦታዎችን ሊቀይሩ ይችላሉ።</v>
      </c>
      <c r="K111" s="8" t="str">
        <f>IFERROR(__xludf.DUMMYFUNCTION(" GOOGLETRANSLATE(E111, ""en"", ""am"")"),"ዳኛው ከፈቀደ ተጫዋቾቹ በዙሮች መካከል ያሉ ቦታዎችን ሊቀይሩ ይችላሉ።")</f>
        <v>ዳኛው ከፈቀደ ተጫዋቾቹ በዙሮች መካከል ያሉ ቦታዎችን ሊቀይሩ ይችላሉ።</v>
      </c>
    </row>
    <row r="112" ht="22.5" customHeight="1">
      <c r="A112" s="13">
        <v>111.0</v>
      </c>
      <c r="B112" s="14" t="s">
        <v>765</v>
      </c>
      <c r="C112" s="14" t="s">
        <v>766</v>
      </c>
      <c r="D112" s="14" t="s">
        <v>767</v>
      </c>
      <c r="E112" s="14" t="s">
        <v>767</v>
      </c>
      <c r="G112" s="8" t="str">
        <f>IFERROR(__xludf.DUMMYFUNCTION(" GOOGLETRANSLATE(A112, ""en"", ""am"")"),"111")</f>
        <v>111</v>
      </c>
      <c r="H112" s="8" t="str">
        <f>IFERROR(__xludf.DUMMYFUNCTION(" GOOGLETRANSLATE(B112, ""en"", ""am"")"),"አንድ ተጫዋች ዱላውን ቢወረውር እና የሌላ ተጫዋች ዱላ ቢመታ ምን ይሆናል?")</f>
        <v>አንድ ተጫዋች ዱላውን ቢወረውር እና የሌላ ተጫዋች ዱላ ቢመታ ምን ይሆናል?</v>
      </c>
      <c r="I112" s="8" t="str">
        <f>IFERROR(__xludf.DUMMYFUNCTION(" GOOGLETRANSLATE(C112, ""en"", ""am"")"),"ሀ. ሙሉ ነጥቦች ለ. የቅጣት ነጥቦች ሐ. እንደገና መውሰድ የተፈቀደ መ. ምንም ነጥብ የለም.")</f>
        <v>ሀ. ሙሉ ነጥቦች ለ. የቅጣት ነጥቦች ሐ. እንደገና መውሰድ የተፈቀደ መ. ምንም ነጥብ የለም.</v>
      </c>
      <c r="J112" s="8" t="str">
        <f>IFERROR(__xludf.DUMMYFUNCTION(" GOOGLETRANSLATE(D112, ""en"", ""am"")"),"አንድ ተጫዋች የሌላ ተጫዋች ዱላ ቢመታ ምንም ነጥብ አይሰጥም።")</f>
        <v>አንድ ተጫዋች የሌላ ተጫዋች ዱላ ቢመታ ምንም ነጥብ አይሰጥም።</v>
      </c>
      <c r="K112" s="8" t="str">
        <f>IFERROR(__xludf.DUMMYFUNCTION(" GOOGLETRANSLATE(E112, ""en"", ""am"")"),"አንድ ተጫዋች የሌላ ተጫዋች ዱላ ቢመታ ምንም ነጥብ አይሰጥም።")</f>
        <v>አንድ ተጫዋች የሌላ ተጫዋች ዱላ ቢመታ ምንም ነጥብ አይሰጥም።</v>
      </c>
    </row>
    <row r="113" ht="22.5" customHeight="1">
      <c r="A113" s="13">
        <v>112.0</v>
      </c>
      <c r="B113" s="14" t="s">
        <v>768</v>
      </c>
      <c r="C113" s="14" t="s">
        <v>769</v>
      </c>
      <c r="D113" s="14" t="s">
        <v>770</v>
      </c>
      <c r="E113" s="14" t="s">
        <v>770</v>
      </c>
      <c r="G113" s="8" t="str">
        <f>IFERROR(__xludf.DUMMYFUNCTION(" GOOGLETRANSLATE(A113, ""en"", ""am"")"),"112")</f>
        <v>112</v>
      </c>
      <c r="H113" s="8" t="str">
        <f>IFERROR(__xludf.DUMMYFUNCTION(" GOOGLETRANSLATE(B113, ""en"", ""am"")"),"ተጫዋቹ ወደ ዒላማው ሳያነጣጠር ዱላውን መጣል ይችላል?")</f>
        <v>ተጫዋቹ ወደ ዒላማው ሳያነጣጠር ዱላውን መጣል ይችላል?</v>
      </c>
      <c r="I113" s="8" t="str">
        <f>IFERROR(__xludf.DUMMYFUNCTION(" GOOGLETRANSLATE(C113, ""en"", ""am"")"),"A. አይ ለ. በተግባር ዙሮች ብቻ C. በድንገተኛ ጊዜ ብቻ D. No")</f>
        <v>A. አይ ለ. በተግባር ዙሮች ብቻ C. በድንገተኛ ጊዜ ብቻ D. No</v>
      </c>
      <c r="J113" s="8" t="str">
        <f>IFERROR(__xludf.DUMMYFUNCTION(" GOOGLETRANSLATE(D113, ""en"", ""am"")"),"ዱላውን ሲወረውሩ ተጫዋቾች ዒላማው ላይ ማነጣጠር አለባቸው።")</f>
        <v>ዱላውን ሲወረውሩ ተጫዋቾች ዒላማው ላይ ማነጣጠር አለባቸው።</v>
      </c>
      <c r="K113" s="8" t="str">
        <f>IFERROR(__xludf.DUMMYFUNCTION(" GOOGLETRANSLATE(E113, ""en"", ""am"")"),"ዱላውን ሲወረውሩ ተጫዋቾች ዒላማው ላይ ማነጣጠር አለባቸው።")</f>
        <v>ዱላውን ሲወረውሩ ተጫዋቾች ዒላማው ላይ ማነጣጠር አለባቸው።</v>
      </c>
    </row>
    <row r="114" ht="22.5" customHeight="1">
      <c r="A114" s="13">
        <v>113.0</v>
      </c>
      <c r="B114" s="14" t="s">
        <v>771</v>
      </c>
      <c r="C114" s="14" t="s">
        <v>766</v>
      </c>
      <c r="D114" s="14" t="s">
        <v>772</v>
      </c>
      <c r="E114" s="14" t="s">
        <v>772</v>
      </c>
      <c r="G114" s="8" t="str">
        <f>IFERROR(__xludf.DUMMYFUNCTION(" GOOGLETRANSLATE(A114, ""en"", ""am"")"),"113")</f>
        <v>113</v>
      </c>
      <c r="H114" s="8" t="str">
        <f>IFERROR(__xludf.DUMMYFUNCTION(" GOOGLETRANSLATE(B114, ""en"", ""am"")"),"አንድ ተጫዋች ዱላውን ቢወረውር እና ከመጫወቻ ሜዳው ላይ ተንከባሎ ከሆነ ምን ይከሰታል?")</f>
        <v>አንድ ተጫዋች ዱላውን ቢወረውር እና ከመጫወቻ ሜዳው ላይ ተንከባሎ ከሆነ ምን ይከሰታል?</v>
      </c>
      <c r="I114" s="8" t="str">
        <f>IFERROR(__xludf.DUMMYFUNCTION(" GOOGLETRANSLATE(C114, ""en"", ""am"")"),"ሀ. ሙሉ ነጥቦች ለ. የቅጣት ነጥቦች ሐ. እንደገና መውሰድ የተፈቀደ መ. ምንም ነጥብ የለም.")</f>
        <v>ሀ. ሙሉ ነጥቦች ለ. የቅጣት ነጥቦች ሐ. እንደገና መውሰድ የተፈቀደ መ. ምንም ነጥብ የለም.</v>
      </c>
      <c r="J114" s="8" t="str">
        <f>IFERROR(__xludf.DUMMYFUNCTION(" GOOGLETRANSLATE(D114, ""en"", ""am"")"),"ዱላው ከመጫወቻው ወለል ላይ ተንከባሎ ከሆነ ምንም ነጥብ አይሰጥም።")</f>
        <v>ዱላው ከመጫወቻው ወለል ላይ ተንከባሎ ከሆነ ምንም ነጥብ አይሰጥም።</v>
      </c>
      <c r="K114" s="8" t="str">
        <f>IFERROR(__xludf.DUMMYFUNCTION(" GOOGLETRANSLATE(E114, ""en"", ""am"")"),"ዱላው ከመጫወቻው ወለል ላይ ተንከባሎ ከሆነ ምንም ነጥብ አይሰጥም።")</f>
        <v>ዱላው ከመጫወቻው ወለል ላይ ተንከባሎ ከሆነ ምንም ነጥብ አይሰጥም።</v>
      </c>
    </row>
    <row r="115" ht="22.5" customHeight="1">
      <c r="A115" s="13">
        <v>114.0</v>
      </c>
      <c r="B115" s="14" t="s">
        <v>773</v>
      </c>
      <c r="C115" s="14" t="s">
        <v>774</v>
      </c>
      <c r="D115" s="14" t="s">
        <v>775</v>
      </c>
      <c r="E115" s="14" t="s">
        <v>775</v>
      </c>
      <c r="G115" s="8" t="str">
        <f>IFERROR(__xludf.DUMMYFUNCTION(" GOOGLETRANSLATE(A115, ""en"", ""am"")"),"114")</f>
        <v>114</v>
      </c>
      <c r="H115" s="8" t="str">
        <f>IFERROR(__xludf.DUMMYFUNCTION(" GOOGLETRANSLATE(B115, ""en"", ""am"")"),"ከምልክቱ በፊት የተጫዋች ዱላ ከተጣለ ምን ይከሰታል?")</f>
        <v>ከምልክቱ በፊት የተጫዋች ዱላ ከተጣለ ምን ይከሰታል?</v>
      </c>
      <c r="I115" s="8" t="str">
        <f>IFERROR(__xludf.DUMMYFUNCTION(" GOOGLETRANSLATE(C115, ""en"", ""am"")"),"ሀ. ሙሉ ነጥብ ለ. የቅጣት ነጥብ ሐ. የተፈቀዱ ድጋሚ መውሰድ መ. የቅጣት ነጥቦች")</f>
        <v>ሀ. ሙሉ ነጥብ ለ. የቅጣት ነጥብ ሐ. የተፈቀዱ ድጋሚ መውሰድ መ. የቅጣት ነጥቦች</v>
      </c>
      <c r="J115" s="8" t="str">
        <f>IFERROR(__xludf.DUMMYFUNCTION(" GOOGLETRANSLATE(D115, ""en"", ""am"")"),"ከሲግናል በፊት ዱላውን መወርወር የቅጣት ነጥቦችን ያስከትላል።")</f>
        <v>ከሲግናል በፊት ዱላውን መወርወር የቅጣት ነጥቦችን ያስከትላል።</v>
      </c>
      <c r="K115" s="8" t="str">
        <f>IFERROR(__xludf.DUMMYFUNCTION(" GOOGLETRANSLATE(E115, ""en"", ""am"")"),"ከሲግናል በፊት ዱላውን መወርወር የቅጣት ነጥቦችን ያስከትላል።")</f>
        <v>ከሲግናል በፊት ዱላውን መወርወር የቅጣት ነጥቦችን ያስከትላል።</v>
      </c>
    </row>
    <row r="116" ht="22.5" customHeight="1">
      <c r="A116" s="13">
        <v>115.0</v>
      </c>
      <c r="B116" s="14" t="s">
        <v>776</v>
      </c>
      <c r="C116" s="14" t="s">
        <v>632</v>
      </c>
      <c r="D116" s="14" t="s">
        <v>777</v>
      </c>
      <c r="E116" s="14" t="s">
        <v>777</v>
      </c>
      <c r="G116" s="8" t="str">
        <f>IFERROR(__xludf.DUMMYFUNCTION(" GOOGLETRANSLATE(A116, ""en"", ""am"")"),"115")</f>
        <v>115</v>
      </c>
      <c r="H116" s="8" t="str">
        <f>IFERROR(__xludf.DUMMYFUNCTION(" GOOGLETRANSLATE(B116, ""en"", ""am"")"),"አንድ ተጫዋች የሌሊት ወፍ ቢወረውር እና ኢላማውን ቢመታ ነገር ግን በቦታው ካልቆየ ምን ይከሰታል?")</f>
        <v>አንድ ተጫዋች የሌሊት ወፍ ቢወረውር እና ኢላማውን ቢመታ ነገር ግን በቦታው ካልቆየ ምን ይከሰታል?</v>
      </c>
      <c r="I116" s="8" t="str">
        <f>IFERROR(__xludf.DUMMYFUNCTION(" GOOGLETRANSLATE(C116, ""en"", ""am"")"),"ሀ. ሙሉ ነጥብ ለ. ግማሽ ነጥብ ሐ. እንደገና መውሰድ የተፈቀደ መ. ግማሽ ነጥብ")</f>
        <v>ሀ. ሙሉ ነጥብ ለ. ግማሽ ነጥብ ሐ. እንደገና መውሰድ የተፈቀደ መ. ግማሽ ነጥብ</v>
      </c>
      <c r="J116" s="8" t="str">
        <f>IFERROR(__xludf.DUMMYFUNCTION(" GOOGLETRANSLATE(D116, ""en"", ""am"")"),"ዱላው ዒላማውን ቢመታ ግን በ ላይ ካልቆየ ግማሽ ነጥቦች ይሸለማሉ።")</f>
        <v>ዱላው ዒላማውን ቢመታ ግን በ ላይ ካልቆየ ግማሽ ነጥቦች ይሸለማሉ።</v>
      </c>
      <c r="K116" s="8" t="str">
        <f>IFERROR(__xludf.DUMMYFUNCTION(" GOOGLETRANSLATE(E116, ""en"", ""am"")"),"ዱላው ዒላማውን ቢመታ ግን በ ላይ ካልቆየ ግማሽ ነጥቦች ይሸለማሉ።")</f>
        <v>ዱላው ዒላማውን ቢመታ ግን በ ላይ ካልቆየ ግማሽ ነጥቦች ይሸለማሉ።</v>
      </c>
    </row>
    <row r="117" ht="22.5" customHeight="1">
      <c r="A117" s="13">
        <v>116.0</v>
      </c>
      <c r="B117" s="14" t="s">
        <v>778</v>
      </c>
      <c r="C117" s="14" t="s">
        <v>779</v>
      </c>
      <c r="D117" s="14" t="s">
        <v>780</v>
      </c>
      <c r="E117" s="14" t="s">
        <v>780</v>
      </c>
      <c r="G117" s="8" t="str">
        <f>IFERROR(__xludf.DUMMYFUNCTION(" GOOGLETRANSLATE(A117, ""en"", ""am"")"),"116")</f>
        <v>116</v>
      </c>
      <c r="H117" s="8" t="str">
        <f>IFERROR(__xludf.DUMMYFUNCTION(" GOOGLETRANSLATE(B117, ""en"", ""am"")"),"አንድ ተጫዋች በተሰጡት ነጥቦች ካልተስማማ ውጤቱ እንዲገመገም መጠየቅ ይችላል?")</f>
        <v>አንድ ተጫዋች በተሰጡት ነጥቦች ካልተስማማ ውጤቱ እንዲገመገም መጠየቅ ይችላል?</v>
      </c>
      <c r="I117" s="8" t="str">
        <f>IFERROR(__xludf.DUMMYFUNCTION(" GOOGLETRANSLATE(C117, ""en"", ""am"")"),"A. አይ ለ. በመጨረሻው ዙር ሐ. በእረፍት ጊዜ ብቻ D. አዎ፣ በዳኛው።")</f>
        <v>A. አይ ለ. በመጨረሻው ዙር ሐ. በእረፍት ጊዜ ብቻ D. አዎ፣ በዳኛው።</v>
      </c>
      <c r="J117" s="8" t="str">
        <f>IFERROR(__xludf.DUMMYFUNCTION(" GOOGLETRANSLATE(D117, ""en"", ""am"")"),"አንድ ተጫዋች በውጤቱ ካልተስማማ ፣ እሱ ወይም እሷ እንዲገመገሙ ሊጠይቁ ይችላሉ ፣ ግን በዳኛው ብቻ።")</f>
        <v>አንድ ተጫዋች በውጤቱ ካልተስማማ ፣ እሱ ወይም እሷ እንዲገመገሙ ሊጠይቁ ይችላሉ ፣ ግን በዳኛው ብቻ።</v>
      </c>
      <c r="K117" s="8" t="str">
        <f>IFERROR(__xludf.DUMMYFUNCTION(" GOOGLETRANSLATE(E117, ""en"", ""am"")"),"አንድ ተጫዋች በውጤቱ ካልተስማማ ፣ እሱ ወይም እሷ እንዲገመገሙ ሊጠይቁ ይችላሉ ፣ ግን በዳኛው ብቻ።")</f>
        <v>አንድ ተጫዋች በውጤቱ ካልተስማማ ፣ እሱ ወይም እሷ እንዲገመገሙ ሊጠይቁ ይችላሉ ፣ ግን በዳኛው ብቻ።</v>
      </c>
    </row>
    <row r="118" ht="22.5" customHeight="1">
      <c r="A118" s="13">
        <v>117.0</v>
      </c>
      <c r="B118" s="14" t="s">
        <v>781</v>
      </c>
      <c r="C118" s="14" t="s">
        <v>782</v>
      </c>
      <c r="D118" s="14" t="s">
        <v>783</v>
      </c>
      <c r="E118" s="14" t="s">
        <v>783</v>
      </c>
      <c r="G118" s="8" t="str">
        <f>IFERROR(__xludf.DUMMYFUNCTION(" GOOGLETRANSLATE(A118, ""en"", ""am"")"),"117")</f>
        <v>117</v>
      </c>
      <c r="H118" s="8" t="str">
        <f>IFERROR(__xludf.DUMMYFUNCTION(" GOOGLETRANSLATE(B118, ""en"", ""am"")"),"ሁለቱም ተጫዋቾች በአንድ ዙር ተመሳሳይ ነጥብ ካላቸው ነጥቡ እንዴት ይወሰናል?")</f>
        <v>ሁለቱም ተጫዋቾች በአንድ ዙር ተመሳሳይ ነጥብ ካላቸው ነጥቡ እንዴት ይወሰናል?</v>
      </c>
      <c r="I118" s="8" t="str">
        <f>IFERROR(__xludf.DUMMYFUNCTION(" GOOGLETRANSLATE(C118, ""en"", ""am"")"),"ሀ. በቀደሙት ዙሮች ውስጥ አብዛኛዎቹ ነጥቦች ለ. የጉርሻ ዙር ሐ. የዘፈቀደ ስዕል መ. ድንገተኛ ሞት ዙር")</f>
        <v>ሀ. በቀደሙት ዙሮች ውስጥ አብዛኛዎቹ ነጥቦች ለ. የጉርሻ ዙር ሐ. የዘፈቀደ ስዕል መ. ድንገተኛ ሞት ዙር</v>
      </c>
      <c r="J118" s="8" t="str">
        <f>IFERROR(__xludf.DUMMYFUNCTION(" GOOGLETRANSLATE(D118, ""en"", ""am"")"),"ክራባት ሲፈጠር ድንገተኛ ሞትን ለመስበር ይጠቅማል።")</f>
        <v>ክራባት ሲፈጠር ድንገተኛ ሞትን ለመስበር ይጠቅማል።</v>
      </c>
      <c r="K118" s="8" t="str">
        <f>IFERROR(__xludf.DUMMYFUNCTION(" GOOGLETRANSLATE(E118, ""en"", ""am"")"),"ክራባት ሲፈጠር ድንገተኛ ሞትን ለመስበር ይጠቅማል።")</f>
        <v>ክራባት ሲፈጠር ድንገተኛ ሞትን ለመስበር ይጠቅማል።</v>
      </c>
    </row>
    <row r="119" ht="22.5" customHeight="1">
      <c r="A119" s="13">
        <v>118.0</v>
      </c>
      <c r="B119" s="14" t="s">
        <v>784</v>
      </c>
      <c r="C119" s="14" t="s">
        <v>785</v>
      </c>
      <c r="D119" s="14" t="s">
        <v>786</v>
      </c>
      <c r="E119" s="14" t="s">
        <v>786</v>
      </c>
      <c r="G119" s="8" t="str">
        <f>IFERROR(__xludf.DUMMYFUNCTION(" GOOGLETRANSLATE(A119, ""en"", ""am"")"),"118")</f>
        <v>118</v>
      </c>
      <c r="H119" s="8" t="str">
        <f>IFERROR(__xludf.DUMMYFUNCTION(" GOOGLETRANSLATE(B119, ""en"", ""am"")"),"የተጫዋች ዱላ በተራ ከተጣለ ምን ይሆናል?")</f>
        <v>የተጫዋች ዱላ በተራ ከተጣለ ምን ይሆናል?</v>
      </c>
      <c r="I119" s="8" t="str">
        <f>IFERROR(__xludf.DUMMYFUNCTION(" GOOGLETRANSLATE(C119, ""en"", ""am"")"),"ሀ. የቅጣት ነጥቦች ለ. እንደገና መውሰድ የተፈቀደ ሐ. ሙሉ ነጥብ መ. የቅጣት ነጥቦች")</f>
        <v>ሀ. የቅጣት ነጥቦች ለ. እንደገና መውሰድ የተፈቀደ ሐ. ሙሉ ነጥብ መ. የቅጣት ነጥቦች</v>
      </c>
      <c r="J119" s="8" t="str">
        <f>IFERROR(__xludf.DUMMYFUNCTION(" GOOGLETRANSLATE(D119, ""en"", ""am"")"),"ዱላውን ያለማቋረጥ መወርወር የቅጣት ነጥቦችን ያስከትላል።")</f>
        <v>ዱላውን ያለማቋረጥ መወርወር የቅጣት ነጥቦችን ያስከትላል።</v>
      </c>
      <c r="K119" s="8" t="str">
        <f>IFERROR(__xludf.DUMMYFUNCTION(" GOOGLETRANSLATE(E119, ""en"", ""am"")"),"ዱላውን ያለማቋረጥ መወርወር የቅጣት ነጥቦችን ያስከትላል።")</f>
        <v>ዱላውን ያለማቋረጥ መወርወር የቅጣት ነጥቦችን ያስከትላል።</v>
      </c>
    </row>
    <row r="120" ht="22.5" customHeight="1">
      <c r="A120" s="13">
        <v>119.0</v>
      </c>
      <c r="B120" s="14" t="s">
        <v>787</v>
      </c>
      <c r="C120" s="14" t="s">
        <v>766</v>
      </c>
      <c r="D120" s="14" t="s">
        <v>788</v>
      </c>
      <c r="E120" s="14" t="s">
        <v>788</v>
      </c>
      <c r="G120" s="8" t="str">
        <f>IFERROR(__xludf.DUMMYFUNCTION(" GOOGLETRANSLATE(A120, ""en"", ""am"")"),"119")</f>
        <v>119</v>
      </c>
      <c r="H120" s="8" t="str">
        <f>IFERROR(__xludf.DUMMYFUNCTION(" GOOGLETRANSLATE(B120, ""en"", ""am"")"),"አንድ ተጫዋች ዱላውን ከመወርወሩ በፊት ዒላማውን ቢነካ ምን ይሆናል?")</f>
        <v>አንድ ተጫዋች ዱላውን ከመወርወሩ በፊት ዒላማውን ቢነካ ምን ይሆናል?</v>
      </c>
      <c r="I120" s="8" t="str">
        <f>IFERROR(__xludf.DUMMYFUNCTION(" GOOGLETRANSLATE(C120, ""en"", ""am"")"),"ሀ. ሙሉ ነጥቦች ለ. የቅጣት ነጥቦች ሐ. እንደገና መውሰድ የተፈቀደ መ. ምንም ነጥብ የለም.")</f>
        <v>ሀ. ሙሉ ነጥቦች ለ. የቅጣት ነጥቦች ሐ. እንደገና መውሰድ የተፈቀደ መ. ምንም ነጥብ የለም.</v>
      </c>
      <c r="J120" s="8" t="str">
        <f>IFERROR(__xludf.DUMMYFUNCTION(" GOOGLETRANSLATE(D120, ""en"", ""am"")"),"ከመወርወሩ በፊት ዒላማውን መንካት ምንም ነጥብ አያመጣም።")</f>
        <v>ከመወርወሩ በፊት ዒላማውን መንካት ምንም ነጥብ አያመጣም።</v>
      </c>
      <c r="K120" s="8" t="str">
        <f>IFERROR(__xludf.DUMMYFUNCTION(" GOOGLETRANSLATE(E120, ""en"", ""am"")"),"ከመወርወሩ በፊት ዒላማውን መንካት ምንም ነጥብ አያመጣም።")</f>
        <v>ከመወርወሩ በፊት ዒላማውን መንካት ምንም ነጥብ አያመጣም።</v>
      </c>
    </row>
    <row r="121" ht="22.5" customHeight="1">
      <c r="A121" s="13">
        <v>120.0</v>
      </c>
      <c r="B121" s="14" t="s">
        <v>789</v>
      </c>
      <c r="C121" s="14" t="s">
        <v>790</v>
      </c>
      <c r="D121" s="14" t="s">
        <v>791</v>
      </c>
      <c r="E121" s="14" t="s">
        <v>791</v>
      </c>
      <c r="G121" s="8" t="str">
        <f>IFERROR(__xludf.DUMMYFUNCTION(" GOOGLETRANSLATE(A121, ""en"", ""am"")"),"120")</f>
        <v>120</v>
      </c>
      <c r="H121" s="8" t="str">
        <f>IFERROR(__xludf.DUMMYFUNCTION(" GOOGLETRANSLATE(B121, ""en"", ""am"")"),"ለአንድ ዙር የነጥቦች ብዛት እንዴት ይወሰናል?")</f>
        <v>ለአንድ ዙር የነጥቦች ብዛት እንዴት ይወሰናል?</v>
      </c>
      <c r="I121" s="8" t="str">
        <f>IFERROR(__xludf.DUMMYFUNCTION(" GOOGLETRANSLATE(C121, ""en"", ""am"")"),"ሀ. በተጠቀመበት የዒላማ አይነት ለ. በዙሩ ውስጥ ስንት ተጫዋቾች አሉ? ሐ. በተጫዋቹ ትክክለኛነት መ. በተጫዋቹ ትክክለኛነት")</f>
        <v>ሀ. በተጠቀመበት የዒላማ አይነት ለ. በዙሩ ውስጥ ስንት ተጫዋቾች አሉ? ሐ. በተጫዋቹ ትክክለኛነት መ. በተጫዋቹ ትክክለኛነት</v>
      </c>
      <c r="J121" s="8" t="str">
        <f>IFERROR(__xludf.DUMMYFUNCTION(" GOOGLETRANSLATE(D121, ""en"", ""am"")"),"ነጥቦች የተሸለሙት ተጫዋቹ ዒላማውን በምን ያህል በትክክል እንደመታ ላይ በመመስረት ነው።")</f>
        <v>ነጥቦች የተሸለሙት ተጫዋቹ ዒላማውን በምን ያህል በትክክል እንደመታ ላይ በመመስረት ነው።</v>
      </c>
      <c r="K121" s="8" t="str">
        <f>IFERROR(__xludf.DUMMYFUNCTION(" GOOGLETRANSLATE(E121, ""en"", ""am"")"),"ነጥቦች የተሸለሙት ተጫዋቹ ዒላማውን በምን ያህል በትክክል እንደመታ ላይ በመመስረት ነው።")</f>
        <v>ነጥቦች የተሸለሙት ተጫዋቹ ዒላማውን በምን ያህል በትክክል እንደመታ ላይ በመመስረት ነው።</v>
      </c>
    </row>
    <row r="122" ht="22.5" customHeight="1">
      <c r="A122" s="13">
        <v>121.0</v>
      </c>
      <c r="B122" s="14" t="s">
        <v>693</v>
      </c>
      <c r="C122" s="14" t="s">
        <v>792</v>
      </c>
      <c r="D122" s="14" t="s">
        <v>793</v>
      </c>
      <c r="E122" s="14" t="s">
        <v>793</v>
      </c>
      <c r="G122" s="8" t="str">
        <f>IFERROR(__xludf.DUMMYFUNCTION(" GOOGLETRANSLATE(A122, ""en"", ""am"")"),"121")</f>
        <v>121</v>
      </c>
      <c r="H122" s="8" t="str">
        <f>IFERROR(__xludf.DUMMYFUNCTION(" GOOGLETRANSLATE(B122, ""en"", ""am"")"),"አንድ ተጫዋች በአንድ ዙር ውስጥ ብዙ እንጨቶችን መጣል ይችላል?")</f>
        <v>አንድ ተጫዋች በአንድ ዙር ውስጥ ብዙ እንጨቶችን መጣል ይችላል?</v>
      </c>
      <c r="I122" s="8" t="str">
        <f>IFERROR(__xludf.DUMMYFUNCTION(" GOOGLETRANSLATE(C122, ""en"", ""am"")"),"A. አይ ለ. በመጨረሻው ዙር ሐ. በልምምድ ወቅት ብቻ። መ. አይ")</f>
        <v>A. አይ ለ. በመጨረሻው ዙር ሐ. በልምምድ ወቅት ብቻ። መ. አይ</v>
      </c>
      <c r="J122" s="8" t="str">
        <f>IFERROR(__xludf.DUMMYFUNCTION(" GOOGLETRANSLATE(D122, ""en"", ""am"")"),"አንድ ተጫዋች በአንድ ዙር አንድ ዱላ ብቻ መጣል ይችላል።")</f>
        <v>አንድ ተጫዋች በአንድ ዙር አንድ ዱላ ብቻ መጣል ይችላል።</v>
      </c>
      <c r="K122" s="8" t="str">
        <f>IFERROR(__xludf.DUMMYFUNCTION(" GOOGLETRANSLATE(E122, ""en"", ""am"")"),"አንድ ተጫዋች በአንድ ዙር አንድ ዱላ ብቻ መጣል ይችላል።")</f>
        <v>አንድ ተጫዋች በአንድ ዙር አንድ ዱላ ብቻ መጣል ይችላል።</v>
      </c>
    </row>
    <row r="123" ht="22.5" customHeight="1">
      <c r="A123" s="13">
        <v>122.0</v>
      </c>
      <c r="B123" s="14" t="s">
        <v>794</v>
      </c>
      <c r="C123" s="14" t="s">
        <v>774</v>
      </c>
      <c r="D123" s="14" t="s">
        <v>795</v>
      </c>
      <c r="E123" s="14" t="s">
        <v>795</v>
      </c>
      <c r="G123" s="8" t="str">
        <f>IFERROR(__xludf.DUMMYFUNCTION(" GOOGLETRANSLATE(A123, ""en"", ""am"")"),"122")</f>
        <v>122</v>
      </c>
      <c r="H123" s="8" t="str">
        <f>IFERROR(__xludf.DUMMYFUNCTION(" GOOGLETRANSLATE(B123, ""en"", ""am"")"),"የተጫዋች ዱላ ከዒላማው ወጥቶ ሌላ ተጫዋች ቢመታ ህጉ ምንድን ነው?")</f>
        <v>የተጫዋች ዱላ ከዒላማው ወጥቶ ሌላ ተጫዋች ቢመታ ህጉ ምንድን ነው?</v>
      </c>
      <c r="I123" s="8" t="str">
        <f>IFERROR(__xludf.DUMMYFUNCTION(" GOOGLETRANSLATE(C123, ""en"", ""am"")"),"ሀ. ሙሉ ነጥብ ለ. የቅጣት ነጥብ ሐ. የተፈቀዱ ድጋሚ መውሰድ መ. የቅጣት ነጥቦች")</f>
        <v>ሀ. ሙሉ ነጥብ ለ. የቅጣት ነጥብ ሐ. የተፈቀዱ ድጋሚ መውሰድ መ. የቅጣት ነጥቦች</v>
      </c>
      <c r="J123" s="8" t="str">
        <f>IFERROR(__xludf.DUMMYFUNCTION(" GOOGLETRANSLATE(D123, ""en"", ""am"")"),"ዱላው ሌላ ተጫዋች ቢመታ፣ የቅጣት ነጥቦች ተሰጥተዋል።")</f>
        <v>ዱላው ሌላ ተጫዋች ቢመታ፣ የቅጣት ነጥቦች ተሰጥተዋል።</v>
      </c>
      <c r="K123" s="8" t="str">
        <f>IFERROR(__xludf.DUMMYFUNCTION(" GOOGLETRANSLATE(E123, ""en"", ""am"")"),"ዱላው ሌላ ተጫዋች ቢመታ፣ የቅጣት ነጥቦች ተሰጥተዋል።")</f>
        <v>ዱላው ሌላ ተጫዋች ቢመታ፣ የቅጣት ነጥቦች ተሰጥተዋል።</v>
      </c>
    </row>
    <row r="124" ht="22.5" customHeight="1">
      <c r="A124" s="13">
        <v>123.0</v>
      </c>
      <c r="B124" s="14" t="s">
        <v>796</v>
      </c>
      <c r="C124" s="14" t="s">
        <v>797</v>
      </c>
      <c r="D124" s="14" t="s">
        <v>798</v>
      </c>
      <c r="E124" s="14" t="s">
        <v>798</v>
      </c>
      <c r="G124" s="8" t="str">
        <f>IFERROR(__xludf.DUMMYFUNCTION(" GOOGLETRANSLATE(A124, ""en"", ""am"")"),"123")</f>
        <v>123</v>
      </c>
      <c r="H124" s="8" t="str">
        <f>IFERROR(__xludf.DUMMYFUNCTION(" GOOGLETRANSLATE(B124, ""en"", ""am"")"),"አንድ ተጫዋች በክብ መካከል ያለውን የዱላ አይነት መቀየር ይችላል?")</f>
        <v>አንድ ተጫዋች በክብ መካከል ያለውን የዱላ አይነት መቀየር ይችላል?</v>
      </c>
      <c r="I124" s="8" t="str">
        <f>IFERROR(__xludf.DUMMYFUNCTION(" GOOGLETRANSLATE(C124, ""en"", ""am"")"),"A. አይ ለ. በድንገተኛ ጊዜ ብቻ C. በተግባር ዙሮች ብቻ D. አዎ፣ በዳኛው ከተፈቀደ።")</f>
        <v>A. አይ ለ. በድንገተኛ ጊዜ ብቻ C. በተግባር ዙሮች ብቻ D. አዎ፣ በዳኛው ከተፈቀደ።</v>
      </c>
      <c r="J124" s="8" t="str">
        <f>IFERROR(__xludf.DUMMYFUNCTION(" GOOGLETRANSLATE(D124, ""en"", ""am"")"),"አንድ ተጫዋች በዳኛው ከተፈቀደው በክብ መካከል ያለውን እንጨት መቀየር ይችላል።")</f>
        <v>አንድ ተጫዋች በዳኛው ከተፈቀደው በክብ መካከል ያለውን እንጨት መቀየር ይችላል።</v>
      </c>
      <c r="K124" s="8" t="str">
        <f>IFERROR(__xludf.DUMMYFUNCTION(" GOOGLETRANSLATE(E124, ""en"", ""am"")"),"አንድ ተጫዋች በዳኛው ከተፈቀደው በክብ መካከል ያለውን እንጨት መቀየር ይችላል።")</f>
        <v>አንድ ተጫዋች በዳኛው ከተፈቀደው በክብ መካከል ያለውን እንጨት መቀየር ይችላል።</v>
      </c>
    </row>
    <row r="125" ht="22.5" customHeight="1">
      <c r="A125" s="13">
        <v>124.0</v>
      </c>
      <c r="B125" s="14" t="s">
        <v>799</v>
      </c>
      <c r="C125" s="14" t="s">
        <v>704</v>
      </c>
      <c r="D125" s="14" t="s">
        <v>800</v>
      </c>
      <c r="E125" s="14" t="s">
        <v>800</v>
      </c>
      <c r="G125" s="8" t="str">
        <f>IFERROR(__xludf.DUMMYFUNCTION(" GOOGLETRANSLATE(A125, ""en"", ""am"")"),"124")</f>
        <v>124</v>
      </c>
      <c r="H125" s="8" t="str">
        <f>IFERROR(__xludf.DUMMYFUNCTION(" GOOGLETRANSLATE(B125, ""en"", ""am"")"),"የተጫዋች የሌሊት ወፍ ቢወረወር ግን የታለመው ቦታ ላይ ካልደረሰ ምን ይከሰታል?")</f>
        <v>የተጫዋች የሌሊት ወፍ ቢወረወር ግን የታለመው ቦታ ላይ ካልደረሰ ምን ይከሰታል?</v>
      </c>
      <c r="I125" s="8" t="str">
        <f>IFERROR(__xludf.DUMMYFUNCTION(" GOOGLETRANSLATE(C125, ""en"", ""am"")"),"ሀ. ሙሉ ነጥብ ለ. ግማሽ ነጥብ ሐ. እንደገና መውሰድ የተፈቀደ መ. ምንም ነጥብ የለም.")</f>
        <v>ሀ. ሙሉ ነጥብ ለ. ግማሽ ነጥብ ሐ. እንደገና መውሰድ የተፈቀደ መ. ምንም ነጥብ የለም.</v>
      </c>
      <c r="J125" s="8" t="str">
        <f>IFERROR(__xludf.DUMMYFUNCTION(" GOOGLETRANSLATE(D125, ""en"", ""am"")"),"ዱላው ወደ ዒላማው ቦታ ካልደረሰ ምንም ነጥብ አይሰጥም።")</f>
        <v>ዱላው ወደ ዒላማው ቦታ ካልደረሰ ምንም ነጥብ አይሰጥም።</v>
      </c>
      <c r="K125" s="8" t="str">
        <f>IFERROR(__xludf.DUMMYFUNCTION(" GOOGLETRANSLATE(E125, ""en"", ""am"")"),"ዱላው ወደ ዒላማው ቦታ ካልደረሰ ምንም ነጥብ አይሰጥም።")</f>
        <v>ዱላው ወደ ዒላማው ቦታ ካልደረሰ ምንም ነጥብ አይሰጥም።</v>
      </c>
    </row>
    <row r="126" ht="22.5" customHeight="1">
      <c r="A126" s="13">
        <v>125.0</v>
      </c>
      <c r="B126" s="14" t="s">
        <v>801</v>
      </c>
      <c r="C126" s="14" t="s">
        <v>802</v>
      </c>
      <c r="D126" s="14" t="s">
        <v>803</v>
      </c>
      <c r="E126" s="14" t="s">
        <v>803</v>
      </c>
      <c r="G126" s="8" t="str">
        <f>IFERROR(__xludf.DUMMYFUNCTION(" GOOGLETRANSLATE(A126, ""en"", ""am"")"),"125")</f>
        <v>125</v>
      </c>
      <c r="H126" s="8" t="str">
        <f>IFERROR(__xludf.DUMMYFUNCTION(" GOOGLETRANSLATE(B126, ""en"", ""am"")"),"አንድ ተጫዋች በጨዋታ ጊዜ ሲያጭበረብር ከተያዘ ምን ይከሰታል?")</f>
        <v>አንድ ተጫዋች በጨዋታ ጊዜ ሲያጭበረብር ከተያዘ ምን ይከሰታል?</v>
      </c>
      <c r="I126" s="8" t="str">
        <f>IFERROR(__xludf.DUMMYFUNCTION(" GOOGLETRANSLATE(C126, ""en"", ""am"")"),"ሀ. ብቁ አለመሆን ለ. የቅጣት ነጥቦች ሐ. እንደገና መውሰድ የተፈቀደ መ. ብቁ አለመሆን")</f>
        <v>ሀ. ብቁ አለመሆን ለ. የቅጣት ነጥቦች ሐ. እንደገና መውሰድ የተፈቀደ መ. ብቁ አለመሆን</v>
      </c>
      <c r="J126" s="8" t="str">
        <f>IFERROR(__xludf.DUMMYFUNCTION(" GOOGLETRANSLATE(D126, ""en"", ""am"")"),"በማጭበርበር የተያዘ ተጫዋች ከጨዋታው ውጪ ይሆናል።")</f>
        <v>በማጭበርበር የተያዘ ተጫዋች ከጨዋታው ውጪ ይሆናል።</v>
      </c>
      <c r="K126" s="8" t="str">
        <f>IFERROR(__xludf.DUMMYFUNCTION(" GOOGLETRANSLATE(E126, ""en"", ""am"")"),"በማጭበርበር የተያዘ ተጫዋች ከጨዋታው ውጪ ይሆናል።")</f>
        <v>በማጭበርበር የተያዘ ተጫዋች ከጨዋታው ውጪ ይሆናል።</v>
      </c>
    </row>
    <row r="127" ht="22.5" customHeight="1">
      <c r="A127" s="13">
        <v>126.0</v>
      </c>
      <c r="B127" s="14" t="s">
        <v>804</v>
      </c>
      <c r="C127" s="14" t="s">
        <v>805</v>
      </c>
      <c r="D127" s="14" t="s">
        <v>806</v>
      </c>
      <c r="E127" s="14" t="s">
        <v>806</v>
      </c>
      <c r="G127" s="8" t="str">
        <f>IFERROR(__xludf.DUMMYFUNCTION(" GOOGLETRANSLATE(A127, ""en"", ""am"")"),"126")</f>
        <v>126</v>
      </c>
      <c r="H127" s="8" t="str">
        <f>IFERROR(__xludf.DUMMYFUNCTION(" GOOGLETRANSLATE(B127, ""en"", ""am"")"),"ተጫዋቹ ተቃዋሚን ለማዘናጋት ውርወራውን ሊያዘገይ ይችላል?")</f>
        <v>ተጫዋቹ ተቃዋሚን ለማዘናጋት ውርወራውን ሊያዘገይ ይችላል?</v>
      </c>
      <c r="I127" s="8" t="str">
        <f>IFERROR(__xludf.DUMMYFUNCTION(" GOOGLETRANSLATE(C127, ""en"", ""am"")"),"A. አይ ለ. በእረፍት ጊዜ ብቻ C. በጨዋታው መጀመሪያ ላይ ብቻ D. No")</f>
        <v>A. አይ ለ. በእረፍት ጊዜ ብቻ C. በጨዋታው መጀመሪያ ላይ ብቻ D. No</v>
      </c>
      <c r="J127" s="8" t="str">
        <f>IFERROR(__xludf.DUMMYFUNCTION(" GOOGLETRANSLATE(D127, ""en"", ""am"")"),"ተጨዋቾች ተጋጣሚያቸውን ለማዘናጋት ውርወራቸውን ማዘግየት አይፈቀድላቸውም።")</f>
        <v>ተጨዋቾች ተጋጣሚያቸውን ለማዘናጋት ውርወራቸውን ማዘግየት አይፈቀድላቸውም።</v>
      </c>
      <c r="K127" s="8" t="str">
        <f>IFERROR(__xludf.DUMMYFUNCTION(" GOOGLETRANSLATE(E127, ""en"", ""am"")"),"ተጨዋቾች ተጋጣሚያቸውን ለማዘናጋት ውርወራቸውን ማዘግየት አይፈቀድላቸውም።")</f>
        <v>ተጨዋቾች ተጋጣሚያቸውን ለማዘናጋት ውርወራቸውን ማዘግየት አይፈቀድላቸውም።</v>
      </c>
    </row>
    <row r="128" ht="22.5" customHeight="1">
      <c r="A128" s="13">
        <v>127.0</v>
      </c>
      <c r="B128" s="14" t="s">
        <v>720</v>
      </c>
      <c r="C128" s="14" t="s">
        <v>807</v>
      </c>
      <c r="D128" s="14" t="s">
        <v>808</v>
      </c>
      <c r="E128" s="14" t="s">
        <v>808</v>
      </c>
      <c r="G128" s="8" t="str">
        <f>IFERROR(__xludf.DUMMYFUNCTION(" GOOGLETRANSLATE(A128, ""en"", ""am"")"),"127")</f>
        <v>127</v>
      </c>
      <c r="H128" s="8" t="str">
        <f>IFERROR(__xludf.DUMMYFUNCTION(" GOOGLETRANSLATE(B128, ""en"", ""am"")"),"አንድ ተጫዋች ዱላውን ቢወረውር እና ዒላማው ላይ ከመድረሱ በፊት መሬት ቢመታ ምን ይሆናል?")</f>
        <v>አንድ ተጫዋች ዱላውን ቢወረውር እና ዒላማው ላይ ከመድረሱ በፊት መሬት ቢመታ ምን ይሆናል?</v>
      </c>
      <c r="I128" s="8" t="str">
        <f>IFERROR(__xludf.DUMMYFUNCTION(" GOOGLETRANSLATE(C128, ""en"", ""am"")"),"ሀ. ሙሉ ነጥብ ለ. ግማሽ ነጥብ ሐ. ቅጣት ነጥብ መ. ምንም ነጥብ የለም.")</f>
        <v>ሀ. ሙሉ ነጥብ ለ. ግማሽ ነጥብ ሐ. ቅጣት ነጥብ መ. ምንም ነጥብ የለም.</v>
      </c>
      <c r="J128" s="8" t="str">
        <f>IFERROR(__xludf.DUMMYFUNCTION(" GOOGLETRANSLATE(D128, ""en"", ""am"")"),"ዱላው ወደ ዒላማው ከመድረሱ በፊት መሬቱን ከነካ ምንም ነጥብ አይሰጥም.")</f>
        <v>ዱላው ወደ ዒላማው ከመድረሱ በፊት መሬቱን ከነካ ምንም ነጥብ አይሰጥም.</v>
      </c>
      <c r="K128" s="8" t="str">
        <f>IFERROR(__xludf.DUMMYFUNCTION(" GOOGLETRANSLATE(E128, ""en"", ""am"")"),"ዱላው ወደ ዒላማው ከመድረሱ በፊት መሬቱን ከነካ ምንም ነጥብ አይሰጥም.")</f>
        <v>ዱላው ወደ ዒላማው ከመድረሱ በፊት መሬቱን ከነካ ምንም ነጥብ አይሰጥም.</v>
      </c>
    </row>
    <row r="129" ht="22.5" customHeight="1">
      <c r="A129" s="13">
        <v>128.0</v>
      </c>
      <c r="B129" s="14" t="s">
        <v>809</v>
      </c>
      <c r="C129" s="14" t="s">
        <v>810</v>
      </c>
      <c r="D129" s="14" t="s">
        <v>811</v>
      </c>
      <c r="E129" s="14" t="s">
        <v>811</v>
      </c>
      <c r="G129" s="8" t="str">
        <f>IFERROR(__xludf.DUMMYFUNCTION(" GOOGLETRANSLATE(A129, ""en"", ""am"")"),"128")</f>
        <v>128</v>
      </c>
      <c r="H129" s="8" t="str">
        <f>IFERROR(__xludf.DUMMYFUNCTION(" GOOGLETRANSLATE(B129, ""en"", ""am"")"),"አንድ ተጫዋች በአንድ ዙር እንዴት ነጥቦችን ያገኛል?")</f>
        <v>አንድ ተጫዋች በአንድ ዙር እንዴት ነጥቦችን ያገኛል?</v>
      </c>
      <c r="I129" s="8" t="str">
        <f>IFERROR(__xludf.DUMMYFUNCTION(" GOOGLETRANSLATE(C129, ""en"", ""am"")"),"ሀ. በተወረወረው እንጨት ብዛት ለ. ምን ያህል ኢላማዎች ተመቱ? ሐ. በዱላ ቀለም መ. ዱላው ወደ ኢላማው ምን ያህል ቅርብ ነው?")</f>
        <v>ሀ. በተወረወረው እንጨት ብዛት ለ. ምን ያህል ኢላማዎች ተመቱ? ሐ. በዱላ ቀለም መ. ዱላው ወደ ኢላማው ምን ያህል ቅርብ ነው?</v>
      </c>
      <c r="J129" s="8" t="str">
        <f>IFERROR(__xludf.DUMMYFUNCTION(" GOOGLETRANSLATE(D129, ""en"", ""am"")"),"ነጥቦቹ የተሸለሙት ዱላው ወደ ዒላማው ምን ያህል ቅርብ እንደሆነ ላይ በመመስረት ነው።")</f>
        <v>ነጥቦቹ የተሸለሙት ዱላው ወደ ዒላማው ምን ያህል ቅርብ እንደሆነ ላይ በመመስረት ነው።</v>
      </c>
      <c r="K129" s="8" t="str">
        <f>IFERROR(__xludf.DUMMYFUNCTION(" GOOGLETRANSLATE(E129, ""en"", ""am"")"),"ነጥቦቹ የተሸለሙት ዱላው ወደ ዒላማው ምን ያህል ቅርብ እንደሆነ ላይ በመመስረት ነው።")</f>
        <v>ነጥቦቹ የተሸለሙት ዱላው ወደ ዒላማው ምን ያህል ቅርብ እንደሆነ ላይ በመመስረት ነው።</v>
      </c>
    </row>
    <row r="130" ht="22.5" customHeight="1">
      <c r="A130" s="13">
        <v>129.0</v>
      </c>
      <c r="B130" s="14" t="s">
        <v>622</v>
      </c>
      <c r="C130" s="14" t="s">
        <v>812</v>
      </c>
      <c r="D130" s="14" t="s">
        <v>813</v>
      </c>
      <c r="E130" s="14" t="s">
        <v>813</v>
      </c>
      <c r="G130" s="8" t="str">
        <f>IFERROR(__xludf.DUMMYFUNCTION(" GOOGLETRANSLATE(A130, ""en"", ""am"")"),"129")</f>
        <v>129</v>
      </c>
      <c r="H130" s="8" t="str">
        <f>IFERROR(__xludf.DUMMYFUNCTION(" GOOGLETRANSLATE(B130, ""en"", ""am"")"),"ሁለት ተጫዋቾች ዱላዎቻቸውን በአንድ ጊዜ ቢጥሉ ምን ይከሰታል?")</f>
        <v>ሁለት ተጫዋቾች ዱላዎቻቸውን በአንድ ጊዜ ቢጥሉ ምን ይከሰታል?</v>
      </c>
      <c r="I130" s="8" t="str">
        <f>IFERROR(__xludf.DUMMYFUNCTION(" GOOGLETRANSLATE(C130, ""en"", ""am"")"),"ሀ. ምንም ነጥብ የለም. ለ. ጎል ያስቆጠረ የመጀመሪያው ተጫዋች ብቻ ነው። ሐ. ሁለተኛው ተጫዋች ብዙ ነጥብ አስመዝግቧል። መ. ምንም ነጥብ የለም.")</f>
        <v>ሀ. ምንም ነጥብ የለም. ለ. ጎል ያስቆጠረ የመጀመሪያው ተጫዋች ብቻ ነው። ሐ. ሁለተኛው ተጫዋች ብዙ ነጥብ አስመዝግቧል። መ. ምንም ነጥብ የለም.</v>
      </c>
      <c r="J130" s="8" t="str">
        <f>IFERROR(__xludf.DUMMYFUNCTION(" GOOGLETRANSLATE(D130, ""en"", ""am"")"),"ሁለት ተጫዋቾች በአንድ ጊዜ ቢጣሉ ምንም ነጥብ አይሰጥም።")</f>
        <v>ሁለት ተጫዋቾች በአንድ ጊዜ ቢጣሉ ምንም ነጥብ አይሰጥም።</v>
      </c>
      <c r="K130" s="8" t="str">
        <f>IFERROR(__xludf.DUMMYFUNCTION(" GOOGLETRANSLATE(E130, ""en"", ""am"")"),"ሁለት ተጫዋቾች በአንድ ጊዜ ቢጣሉ ምንም ነጥብ አይሰጥም።")</f>
        <v>ሁለት ተጫዋቾች በአንድ ጊዜ ቢጣሉ ምንም ነጥብ አይሰጥም።</v>
      </c>
    </row>
    <row r="131" ht="22.5" customHeight="1">
      <c r="A131" s="13">
        <v>130.0</v>
      </c>
      <c r="B131" s="14" t="s">
        <v>814</v>
      </c>
      <c r="C131" s="14" t="s">
        <v>792</v>
      </c>
      <c r="D131" s="14" t="s">
        <v>815</v>
      </c>
      <c r="E131" s="14" t="s">
        <v>815</v>
      </c>
      <c r="G131" s="8" t="str">
        <f>IFERROR(__xludf.DUMMYFUNCTION(" GOOGLETRANSLATE(A131, ""en"", ""am"")"),"130")</f>
        <v>130</v>
      </c>
      <c r="H131" s="8" t="str">
        <f>IFERROR(__xludf.DUMMYFUNCTION(" GOOGLETRANSLATE(B131, ""en"", ""am"")"),"አንድ ተጫዋች ዒላማውን ለማስተካከል እግሩን መጠቀም ይችላል?")</f>
        <v>አንድ ተጫዋች ዒላማውን ለማስተካከል እግሩን መጠቀም ይችላል?</v>
      </c>
      <c r="I131" s="8" t="str">
        <f>IFERROR(__xludf.DUMMYFUNCTION(" GOOGLETRANSLATE(C131, ""en"", ""am"")"),"A. አይ ለ. በመጨረሻው ዙር ሐ. በልምምድ ወቅት ብቻ። መ. አይ")</f>
        <v>A. አይ ለ. በመጨረሻው ዙር ሐ. በልምምድ ወቅት ብቻ። መ. አይ</v>
      </c>
      <c r="J131" s="8" t="str">
        <f>IFERROR(__xludf.DUMMYFUNCTION(" GOOGLETRANSLATE(D131, ""en"", ""am"")"),"ተጫዋቾች ዒላማውን ለማስተካከል እግሮቻቸውን እንዲጠቀሙ አይፈቀድላቸውም.")</f>
        <v>ተጫዋቾች ዒላማውን ለማስተካከል እግሮቻቸውን እንዲጠቀሙ አይፈቀድላቸውም.</v>
      </c>
      <c r="K131" s="8" t="str">
        <f>IFERROR(__xludf.DUMMYFUNCTION(" GOOGLETRANSLATE(E131, ""en"", ""am"")"),"ተጫዋቾች ዒላማውን ለማስተካከል እግሮቻቸውን እንዲጠቀሙ አይፈቀድላቸውም.")</f>
        <v>ተጫዋቾች ዒላማውን ለማስተካከል እግሮቻቸውን እንዲጠቀሙ አይፈቀድላቸውም.</v>
      </c>
    </row>
    <row r="132" ht="22.5" customHeight="1">
      <c r="A132" s="13">
        <v>131.0</v>
      </c>
      <c r="B132" s="14" t="s">
        <v>816</v>
      </c>
      <c r="C132" s="14" t="s">
        <v>766</v>
      </c>
      <c r="D132" s="14" t="s">
        <v>817</v>
      </c>
      <c r="E132" s="14" t="s">
        <v>817</v>
      </c>
      <c r="G132" s="8" t="str">
        <f>IFERROR(__xludf.DUMMYFUNCTION(" GOOGLETRANSLATE(A132, ""en"", ""am"")"),"131")</f>
        <v>131</v>
      </c>
      <c r="H132" s="8" t="str">
        <f>IFERROR(__xludf.DUMMYFUNCTION(" GOOGLETRANSLATE(B132, ""en"", ""am"")"),"አንድ ተጫዋች በሚጥልበት ጊዜ በድንገት የሌላ ተጫዋች ዱላ ቢመታ ምን ይከሰታል?")</f>
        <v>አንድ ተጫዋች በሚጥልበት ጊዜ በድንገት የሌላ ተጫዋች ዱላ ቢመታ ምን ይከሰታል?</v>
      </c>
      <c r="I132" s="8" t="str">
        <f>IFERROR(__xludf.DUMMYFUNCTION(" GOOGLETRANSLATE(C132, ""en"", ""am"")"),"ሀ. ሙሉ ነጥቦች ለ. የቅጣት ነጥቦች ሐ. እንደገና መውሰድ የተፈቀደ መ. ምንም ነጥብ የለም.")</f>
        <v>ሀ. ሙሉ ነጥቦች ለ. የቅጣት ነጥቦች ሐ. እንደገና መውሰድ የተፈቀደ መ. ምንም ነጥብ የለም.</v>
      </c>
      <c r="J132" s="8" t="str">
        <f>IFERROR(__xludf.DUMMYFUNCTION(" GOOGLETRANSLATE(D132, ""en"", ""am"")"),"ተጫዋቹ በድንገት ሌላ ዱላ ቢመታ ምንም ነጥብ አይሰጥም።")</f>
        <v>ተጫዋቹ በድንገት ሌላ ዱላ ቢመታ ምንም ነጥብ አይሰጥም።</v>
      </c>
      <c r="K132" s="8" t="str">
        <f>IFERROR(__xludf.DUMMYFUNCTION(" GOOGLETRANSLATE(E132, ""en"", ""am"")"),"ተጫዋቹ በድንገት ሌላ ዱላ ቢመታ ምንም ነጥብ አይሰጥም።")</f>
        <v>ተጫዋቹ በድንገት ሌላ ዱላ ቢመታ ምንም ነጥብ አይሰጥም።</v>
      </c>
    </row>
    <row r="133" ht="22.5" customHeight="1">
      <c r="A133" s="13">
        <v>132.0</v>
      </c>
      <c r="B133" s="14" t="s">
        <v>818</v>
      </c>
      <c r="C133" s="14" t="s">
        <v>819</v>
      </c>
      <c r="D133" s="14" t="s">
        <v>820</v>
      </c>
      <c r="E133" s="14" t="s">
        <v>820</v>
      </c>
      <c r="G133" s="8" t="str">
        <f>IFERROR(__xludf.DUMMYFUNCTION(" GOOGLETRANSLATE(A133, ""en"", ""am"")"),"132")</f>
        <v>132</v>
      </c>
      <c r="H133" s="8" t="str">
        <f>IFERROR(__xludf.DUMMYFUNCTION(" GOOGLETRANSLATE(B133, ""en"", ""am"")"),"በጨዋታው ወቅት አንድ ተጫዋች ዱላውን ከየትኛውም ርቀት ሊወረውር ይችላል?")</f>
        <v>በጨዋታው ወቅት አንድ ተጫዋች ዱላውን ከየትኛውም ርቀት ሊወረውር ይችላል?</v>
      </c>
      <c r="I133" s="8" t="str">
        <f>IFERROR(__xludf.DUMMYFUNCTION(" GOOGLETRANSLATE(C133, ""en"", ""am"")"),"A. አይ ለ. በመጨረሻው ዙር ሐ. በእረፍት ጊዜ ብቻ D. No")</f>
        <v>A. አይ ለ. በመጨረሻው ዙር ሐ. በእረፍት ጊዜ ብቻ D. No</v>
      </c>
      <c r="J133" s="8" t="str">
        <f>IFERROR(__xludf.DUMMYFUNCTION(" GOOGLETRANSLATE(D133, ""en"", ""am"")"),"ተጫዋቾች ዱላውን ከተሰየመው ርቀት ላይ መጣል አለባቸው.")</f>
        <v>ተጫዋቾች ዱላውን ከተሰየመው ርቀት ላይ መጣል አለባቸው.</v>
      </c>
      <c r="K133" s="8" t="str">
        <f>IFERROR(__xludf.DUMMYFUNCTION(" GOOGLETRANSLATE(E133, ""en"", ""am"")"),"ተጫዋቾች ዱላውን ከተሰየመው ርቀት ላይ መጣል አለባቸው.")</f>
        <v>ተጫዋቾች ዱላውን ከተሰየመው ርቀት ላይ መጣል አለባቸው.</v>
      </c>
    </row>
    <row r="134" ht="22.5" customHeight="1">
      <c r="A134" s="13">
        <v>133.0</v>
      </c>
      <c r="B134" s="14" t="s">
        <v>821</v>
      </c>
      <c r="C134" s="14" t="s">
        <v>632</v>
      </c>
      <c r="D134" s="14" t="s">
        <v>822</v>
      </c>
      <c r="E134" s="14" t="s">
        <v>822</v>
      </c>
      <c r="G134" s="8" t="str">
        <f>IFERROR(__xludf.DUMMYFUNCTION(" GOOGLETRANSLATE(A134, ""en"", ""am"")"),"133")</f>
        <v>133</v>
      </c>
      <c r="H134" s="8" t="str">
        <f>IFERROR(__xludf.DUMMYFUNCTION(" GOOGLETRANSLATE(B134, ""en"", ""am"")"),"የተጫዋች ዱላ ወደ ዒላማው ውስጥ ቢገባ ነገር ግን ከዒላማው ጋር ግንኙነት ካልፈጠረ ምን ይከሰታል?")</f>
        <v>የተጫዋች ዱላ ወደ ዒላማው ውስጥ ቢገባ ነገር ግን ከዒላማው ጋር ግንኙነት ካልፈጠረ ምን ይከሰታል?</v>
      </c>
      <c r="I134" s="8" t="str">
        <f>IFERROR(__xludf.DUMMYFUNCTION(" GOOGLETRANSLATE(C134, ""en"", ""am"")"),"ሀ. ሙሉ ነጥብ ለ. ግማሽ ነጥብ ሐ. እንደገና መውሰድ የተፈቀደ መ. ግማሽ ነጥብ")</f>
        <v>ሀ. ሙሉ ነጥብ ለ. ግማሽ ነጥብ ሐ. እንደገና መውሰድ የተፈቀደ መ. ግማሽ ነጥብ</v>
      </c>
      <c r="J134" s="8" t="str">
        <f>IFERROR(__xludf.DUMMYFUNCTION(" GOOGLETRANSLATE(D134, ""en"", ""am"")"),"ዱላው በዒላማው ላይ ካረፈ ግን ግንኙነት ካልፈጠረ ግማሽ ነጥቦች ይሸለማሉ።")</f>
        <v>ዱላው በዒላማው ላይ ካረፈ ግን ግንኙነት ካልፈጠረ ግማሽ ነጥቦች ይሸለማሉ።</v>
      </c>
      <c r="K134" s="8" t="str">
        <f>IFERROR(__xludf.DUMMYFUNCTION(" GOOGLETRANSLATE(E134, ""en"", ""am"")"),"ዱላው በዒላማው ላይ ካረፈ ግን ግንኙነት ካልፈጠረ ግማሽ ነጥቦች ይሸለማሉ።")</f>
        <v>ዱላው በዒላማው ላይ ካረፈ ግን ግንኙነት ካልፈጠረ ግማሽ ነጥቦች ይሸለማሉ።</v>
      </c>
    </row>
    <row r="135" ht="22.5" customHeight="1">
      <c r="A135" s="13">
        <v>134.0</v>
      </c>
      <c r="B135" s="14" t="s">
        <v>823</v>
      </c>
      <c r="C135" s="14" t="s">
        <v>824</v>
      </c>
      <c r="D135" s="14" t="s">
        <v>825</v>
      </c>
      <c r="E135" s="14" t="s">
        <v>825</v>
      </c>
      <c r="G135" s="8" t="str">
        <f>IFERROR(__xludf.DUMMYFUNCTION(" GOOGLETRANSLATE(A135, ""en"", ""am"")"),"134")</f>
        <v>134</v>
      </c>
      <c r="H135" s="8" t="str">
        <f>IFERROR(__xludf.DUMMYFUNCTION(" GOOGLETRANSLATE(B135, ""en"", ""am"")"),"አንድ ተጫዋች ስህተት መሆኑን ከተረዳ ውርወራውን መመለስ ይችላል?")</f>
        <v>አንድ ተጫዋች ስህተት መሆኑን ከተረዳ ውርወራውን መመለስ ይችላል?</v>
      </c>
      <c r="I135" s="8" t="str">
        <f>IFERROR(__xludf.DUMMYFUNCTION(" GOOGLETRANSLATE(C135, ""en"", ""am"")"),"A. አይ ለ. በመጀመርያው ዙር ሐ ብቻ ምንም ነገር ካልተፈጠረ ብቻ። መ. አይ")</f>
        <v>A. አይ ለ. በመጀመርያው ዙር ሐ ብቻ ምንም ነገር ካልተፈጠረ ብቻ። መ. አይ</v>
      </c>
      <c r="J135" s="8" t="str">
        <f>IFERROR(__xludf.DUMMYFUNCTION(" GOOGLETRANSLATE(D135, ""en"", ""am"")"),"ተጫዋቾች ውርወራቸውን አንዴ ከተሰራ መመለስ አይችሉም።")</f>
        <v>ተጫዋቾች ውርወራቸውን አንዴ ከተሰራ መመለስ አይችሉም።</v>
      </c>
      <c r="K135" s="8" t="str">
        <f>IFERROR(__xludf.DUMMYFUNCTION(" GOOGLETRANSLATE(E135, ""en"", ""am"")"),"ተጫዋቾች ውርወራቸውን አንዴ ከተሰራ መመለስ አይችሉም።")</f>
        <v>ተጫዋቾች ውርወራቸውን አንዴ ከተሰራ መመለስ አይችሉም።</v>
      </c>
    </row>
    <row r="136" ht="22.5" customHeight="1">
      <c r="A136" s="13">
        <v>135.0</v>
      </c>
      <c r="B136" s="14" t="s">
        <v>826</v>
      </c>
      <c r="C136" s="14" t="s">
        <v>704</v>
      </c>
      <c r="D136" s="14" t="s">
        <v>827</v>
      </c>
      <c r="E136" s="14" t="s">
        <v>827</v>
      </c>
      <c r="G136" s="8" t="str">
        <f>IFERROR(__xludf.DUMMYFUNCTION(" GOOGLETRANSLATE(A136, ""en"", ""am"")"),"135")</f>
        <v>135</v>
      </c>
      <c r="H136" s="8" t="str">
        <f>IFERROR(__xludf.DUMMYFUNCTION(" GOOGLETRANSLATE(B136, ""en"", ""am"")"),"የተጫዋቹ ዱላ ዒላማው ላይ ቢያርፍ ግን በቂ ነጥብ ካላስመዘገበ ምን ይሆናል?")</f>
        <v>የተጫዋቹ ዱላ ዒላማው ላይ ቢያርፍ ግን በቂ ነጥብ ካላስመዘገበ ምን ይሆናል?</v>
      </c>
      <c r="I136" s="8" t="str">
        <f>IFERROR(__xludf.DUMMYFUNCTION(" GOOGLETRANSLATE(C136, ""en"", ""am"")"),"ሀ. ሙሉ ነጥብ ለ. ግማሽ ነጥብ ሐ. እንደገና መውሰድ የተፈቀደ መ. ምንም ነጥብ የለም.")</f>
        <v>ሀ. ሙሉ ነጥብ ለ. ግማሽ ነጥብ ሐ. እንደገና መውሰድ የተፈቀደ መ. ምንም ነጥብ የለም.</v>
      </c>
      <c r="J136" s="8" t="str">
        <f>IFERROR(__xludf.DUMMYFUNCTION(" GOOGLETRANSLATE(D136, ""en"", ""am"")"),"ዱላው በቂ ነጥብ ካላስመዘገበ ምንም ነጥብ አይሰጥም።")</f>
        <v>ዱላው በቂ ነጥብ ካላስመዘገበ ምንም ነጥብ አይሰጥም።</v>
      </c>
      <c r="K136" s="8" t="str">
        <f>IFERROR(__xludf.DUMMYFUNCTION(" GOOGLETRANSLATE(E136, ""en"", ""am"")"),"ዱላው በቂ ነጥብ ካላስመዘገበ ምንም ነጥብ አይሰጥም።")</f>
        <v>ዱላው በቂ ነጥብ ካላስመዘገበ ምንም ነጥብ አይሰጥም።</v>
      </c>
    </row>
    <row r="137" ht="22.5" customHeight="1">
      <c r="A137" s="13">
        <v>136.0</v>
      </c>
      <c r="B137" s="14" t="s">
        <v>828</v>
      </c>
      <c r="C137" s="14" t="s">
        <v>829</v>
      </c>
      <c r="D137" s="14" t="s">
        <v>830</v>
      </c>
      <c r="E137" s="14" t="s">
        <v>830</v>
      </c>
      <c r="G137" s="8" t="str">
        <f>IFERROR(__xludf.DUMMYFUNCTION(" GOOGLETRANSLATE(A137, ""en"", ""am"")"),"136")</f>
        <v>136</v>
      </c>
      <c r="H137" s="8" t="str">
        <f>IFERROR(__xludf.DUMMYFUNCTION(" GOOGLETRANSLATE(B137, ""en"", ""am"")"),"በጨዋታው መጨረሻ ላይ ተጫዋቾች የተሳሰሩ ከሆነ አሸናፊው እንዴት ይወሰናል?")</f>
        <v>በጨዋታው መጨረሻ ላይ ተጫዋቾች የተሳሰሩ ከሆነ አሸናፊው እንዴት ይወሰናል?</v>
      </c>
      <c r="I137" s="8" t="str">
        <f>IFERROR(__xludf.DUMMYFUNCTION(" GOOGLETRANSLATE(C137, ""en"", ""am"")"),"ሀ. በመጨረሻው ዙር ለ. በዘፈቀደ የተመረጠ ሐ. በዳኛው ውሳኔ መ. ብዙ ዙር አሸንፏል")</f>
        <v>ሀ. በመጨረሻው ዙር ለ. በዘፈቀደ የተመረጠ ሐ. በዳኛው ውሳኔ መ. ብዙ ዙር አሸንፏል</v>
      </c>
      <c r="J137" s="8" t="str">
        <f>IFERROR(__xludf.DUMMYFUNCTION(" GOOGLETRANSLATE(D137, ""en"", ""am"")"),"አሸናፊው የሚወሰነው በጨዋታው ውስጥ በተሸነፉት ዙሮች ብዛት ነው።")</f>
        <v>አሸናፊው የሚወሰነው በጨዋታው ውስጥ በተሸነፉት ዙሮች ብዛት ነው።</v>
      </c>
      <c r="K137" s="8" t="str">
        <f>IFERROR(__xludf.DUMMYFUNCTION(" GOOGLETRANSLATE(E137, ""en"", ""am"")"),"አሸናፊው የሚወሰነው በጨዋታው ውስጥ በተሸነፉት ዙሮች ብዛት ነው።")</f>
        <v>አሸናፊው የሚወሰነው በጨዋታው ውስጥ በተሸነፉት ዙሮች ብዛት ነው።</v>
      </c>
    </row>
    <row r="138" ht="22.5" customHeight="1">
      <c r="A138" s="13">
        <v>137.0</v>
      </c>
      <c r="B138" s="14" t="s">
        <v>831</v>
      </c>
      <c r="C138" s="14" t="s">
        <v>832</v>
      </c>
      <c r="D138" s="14" t="s">
        <v>833</v>
      </c>
      <c r="E138" s="14" t="s">
        <v>833</v>
      </c>
      <c r="G138" s="8" t="str">
        <f>IFERROR(__xludf.DUMMYFUNCTION(" GOOGLETRANSLATE(A138, ""en"", ""am"")"),"137")</f>
        <v>137</v>
      </c>
      <c r="H138" s="8" t="str">
        <f>IFERROR(__xludf.DUMMYFUNCTION(" GOOGLETRANSLATE(B138, ""en"", ""am"")"),"አንድ ተጫዋች ዱላውን እንደ ጋሻ መጠቀም ይችላል?")</f>
        <v>አንድ ተጫዋች ዱላውን እንደ ጋሻ መጠቀም ይችላል?</v>
      </c>
      <c r="I138" s="8" t="str">
        <f>IFERROR(__xludf.DUMMYFUNCTION(" GOOGLETRANSLATE(C138, ""en"", ""am"")"),"A. አይ ለ. በእረፍት ጊዜ ብቻ C. ተቃዋሚው ከተስማማ ብቻ ነው. መ. አይ")</f>
        <v>A. አይ ለ. በእረፍት ጊዜ ብቻ C. ተቃዋሚው ከተስማማ ብቻ ነው. መ. አይ</v>
      </c>
      <c r="J138" s="8" t="str">
        <f>IFERROR(__xludf.DUMMYFUNCTION(" GOOGLETRANSLATE(D138, ""en"", ""am"")"),"በጨዋታው ወቅት ተጫዋቾች ዱላውን እንደ ጋሻ መጠቀም አይችሉም።")</f>
        <v>በጨዋታው ወቅት ተጫዋቾች ዱላውን እንደ ጋሻ መጠቀም አይችሉም።</v>
      </c>
      <c r="K138" s="8" t="str">
        <f>IFERROR(__xludf.DUMMYFUNCTION(" GOOGLETRANSLATE(E138, ""en"", ""am"")"),"በጨዋታው ወቅት ተጫዋቾች ዱላውን እንደ ጋሻ መጠቀም አይችሉም።")</f>
        <v>በጨዋታው ወቅት ተጫዋቾች ዱላውን እንደ ጋሻ መጠቀም አይችሉም።</v>
      </c>
    </row>
    <row r="139" ht="22.5" customHeight="1">
      <c r="A139" s="13">
        <v>138.0</v>
      </c>
      <c r="B139" s="14" t="s">
        <v>834</v>
      </c>
      <c r="C139" s="14" t="s">
        <v>704</v>
      </c>
      <c r="D139" s="14" t="s">
        <v>835</v>
      </c>
      <c r="E139" s="14" t="s">
        <v>835</v>
      </c>
      <c r="G139" s="8" t="str">
        <f>IFERROR(__xludf.DUMMYFUNCTION(" GOOGLETRANSLATE(A139, ""en"", ""am"")"),"138")</f>
        <v>138</v>
      </c>
      <c r="H139" s="8" t="str">
        <f>IFERROR(__xludf.DUMMYFUNCTION(" GOOGLETRANSLATE(B139, ""en"", ""am"")"),"የተጫዋች ዱላ ኢላማውን ቢመታ ነገር ግን በአካባቢው ካልቆየ ምን ይከሰታል?")</f>
        <v>የተጫዋች ዱላ ኢላማውን ቢመታ ነገር ግን በአካባቢው ካልቆየ ምን ይከሰታል?</v>
      </c>
      <c r="I139" s="8" t="str">
        <f>IFERROR(__xludf.DUMMYFUNCTION(" GOOGLETRANSLATE(C139, ""en"", ""am"")"),"ሀ. ሙሉ ነጥብ ለ. ግማሽ ነጥብ ሐ. እንደገና መውሰድ የተፈቀደ መ. ምንም ነጥብ የለም.")</f>
        <v>ሀ. ሙሉ ነጥብ ለ. ግማሽ ነጥብ ሐ. እንደገና መውሰድ የተፈቀደ መ. ምንም ነጥብ የለም.</v>
      </c>
      <c r="J139" s="8" t="str">
        <f>IFERROR(__xludf.DUMMYFUNCTION(" GOOGLETRANSLATE(D139, ""en"", ""am"")"),"ዱላው በዒላማው ቦታ ላይ ካልቆየ, ምንም ነጥብ አይሰጥም.")</f>
        <v>ዱላው በዒላማው ቦታ ላይ ካልቆየ, ምንም ነጥብ አይሰጥም.</v>
      </c>
      <c r="K139" s="8" t="str">
        <f>IFERROR(__xludf.DUMMYFUNCTION(" GOOGLETRANSLATE(E139, ""en"", ""am"")"),"ዱላው በዒላማው ቦታ ላይ ካልቆየ, ምንም ነጥብ አይሰጥም.")</f>
        <v>ዱላው በዒላማው ቦታ ላይ ካልቆየ, ምንም ነጥብ አይሰጥም.</v>
      </c>
    </row>
    <row r="140" ht="22.5" customHeight="1">
      <c r="A140" s="13">
        <v>139.0</v>
      </c>
      <c r="B140" s="14" t="s">
        <v>836</v>
      </c>
      <c r="C140" s="14" t="s">
        <v>837</v>
      </c>
      <c r="D140" s="14" t="s">
        <v>838</v>
      </c>
      <c r="E140" s="14" t="s">
        <v>838</v>
      </c>
      <c r="G140" s="8" t="str">
        <f>IFERROR(__xludf.DUMMYFUNCTION(" GOOGLETRANSLATE(A140, ""en"", ""am"")"),"139")</f>
        <v>139</v>
      </c>
      <c r="H140" s="8" t="str">
        <f>IFERROR(__xludf.DUMMYFUNCTION(" GOOGLETRANSLATE(B140, ""en"", ""am"")"),"አንድ ተጫዋች በጨዋታው ወቅት ኢላማዎችን መቀየር ይችላል?")</f>
        <v>አንድ ተጫዋች በጨዋታው ወቅት ኢላማዎችን መቀየር ይችላል?</v>
      </c>
      <c r="I140" s="8" t="str">
        <f>IFERROR(__xludf.DUMMYFUNCTION(" GOOGLETRANSLATE(C140, ""en"", ""am"")"),"A. አይ ለ. በመጨረሻው ዙር ሐ. በእረፍት ጊዜ ብቻ D. አዎ፣ በዳኛው ከተፈቀደ።")</f>
        <v>A. አይ ለ. በመጨረሻው ዙር ሐ. በእረፍት ጊዜ ብቻ D. አዎ፣ በዳኛው ከተፈቀደ።</v>
      </c>
      <c r="J140" s="8" t="str">
        <f>IFERROR(__xludf.DUMMYFUNCTION(" GOOGLETRANSLATE(D140, ""en"", ""am"")"),"አንድ ተጫዋች በዳኛው ከተፈቀደ ኢላማውን ሊቀይር ይችላል።")</f>
        <v>አንድ ተጫዋች በዳኛው ከተፈቀደ ኢላማውን ሊቀይር ይችላል።</v>
      </c>
      <c r="K140" s="8" t="str">
        <f>IFERROR(__xludf.DUMMYFUNCTION(" GOOGLETRANSLATE(E140, ""en"", ""am"")"),"አንድ ተጫዋች በዳኛው ከተፈቀደ ኢላማውን ሊቀይር ይችላል።")</f>
        <v>አንድ ተጫዋች በዳኛው ከተፈቀደ ኢላማውን ሊቀይር ይችላል።</v>
      </c>
    </row>
    <row r="141" ht="22.5" customHeight="1">
      <c r="A141" s="13">
        <v>140.0</v>
      </c>
      <c r="B141" s="14" t="s">
        <v>839</v>
      </c>
      <c r="C141" s="14" t="s">
        <v>840</v>
      </c>
      <c r="D141" s="14" t="s">
        <v>841</v>
      </c>
      <c r="E141" s="14" t="s">
        <v>841</v>
      </c>
      <c r="G141" s="8" t="str">
        <f>IFERROR(__xludf.DUMMYFUNCTION(" GOOGLETRANSLATE(A141, ""en"", ""am"")"),"140")</f>
        <v>140</v>
      </c>
      <c r="H141" s="8" t="str">
        <f>IFERROR(__xludf.DUMMYFUNCTION(" GOOGLETRANSLATE(B141, ""en"", ""am"")"),"ብዙውን ጊዜ የፌራስ ጉክስ ጨዋታን ለማጠናቀቅ ስንት ዙሮች ይወስዳል?")</f>
        <v>ብዙውን ጊዜ የፌራስ ጉክስ ጨዋታን ለማጠናቀቅ ስንት ዙሮች ይወስዳል?</v>
      </c>
      <c r="I141" s="8" t="str">
        <f>IFERROR(__xludf.DUMMYFUNCTION(" GOOGLETRANSLATE(C141, ""en"", ""am"")"),"A. 5 ዙሮች ለ. 10 ዙሮች C. 20 ዙሮች መ. በተጫዋቾች ላይ የተመሰረተ ነው.")</f>
        <v>A. 5 ዙሮች ለ. 10 ዙሮች C. 20 ዙሮች መ. በተጫዋቾች ላይ የተመሰረተ ነው.</v>
      </c>
      <c r="J141" s="8" t="str">
        <f>IFERROR(__xludf.DUMMYFUNCTION(" GOOGLETRANSLATE(D141, ""en"", ""am"")"),"የዙሮች ብዛት በተጫዋቾች እና በጨዋታው ህጎች ላይ የተመሰረተ ነው.")</f>
        <v>የዙሮች ብዛት በተጫዋቾች እና በጨዋታው ህጎች ላይ የተመሰረተ ነው.</v>
      </c>
      <c r="K141" s="8" t="str">
        <f>IFERROR(__xludf.DUMMYFUNCTION(" GOOGLETRANSLATE(E141, ""en"", ""am"")"),"የዙሮች ብዛት በተጫዋቾች እና በጨዋታው ህጎች ላይ የተመሰረተ ነው.")</f>
        <v>የዙሮች ብዛት በተጫዋቾች እና በጨዋታው ህጎች ላይ የተመሰረተ ነው.</v>
      </c>
    </row>
    <row r="142" ht="22.5" customHeight="1">
      <c r="A142" s="13">
        <v>141.0</v>
      </c>
      <c r="B142" s="14" t="s">
        <v>614</v>
      </c>
      <c r="C142" s="14" t="s">
        <v>766</v>
      </c>
      <c r="D142" s="14" t="s">
        <v>842</v>
      </c>
      <c r="E142" s="14" t="s">
        <v>842</v>
      </c>
      <c r="G142" s="8" t="str">
        <f>IFERROR(__xludf.DUMMYFUNCTION(" GOOGLETRANSLATE(A142, ""en"", ""am"")"),"141")</f>
        <v>141</v>
      </c>
      <c r="H142" s="8" t="str">
        <f>IFERROR(__xludf.DUMMYFUNCTION(" GOOGLETRANSLATE(B142, ""en"", ""am"")"),"የተጫዋች ዱላ ከድንበር ከተጣለ ምን ይሆናል?")</f>
        <v>የተጫዋች ዱላ ከድንበር ከተጣለ ምን ይሆናል?</v>
      </c>
      <c r="I142" s="8" t="str">
        <f>IFERROR(__xludf.DUMMYFUNCTION(" GOOGLETRANSLATE(C142, ""en"", ""am"")"),"ሀ. ሙሉ ነጥቦች ለ. የቅጣት ነጥቦች ሐ. እንደገና መውሰድ የተፈቀደ መ. ምንም ነጥብ የለም.")</f>
        <v>ሀ. ሙሉ ነጥቦች ለ. የቅጣት ነጥቦች ሐ. እንደገና መውሰድ የተፈቀደ መ. ምንም ነጥብ የለም.</v>
      </c>
      <c r="J142" s="8" t="str">
        <f>IFERROR(__xludf.DUMMYFUNCTION(" GOOGLETRANSLATE(D142, ""en"", ""am"")"),"የተጫዋች ዱላ ከድንበር ከወጣ ምንም ነጥብ አይሰጥም።")</f>
        <v>የተጫዋች ዱላ ከድንበር ከወጣ ምንም ነጥብ አይሰጥም።</v>
      </c>
      <c r="K142" s="8" t="str">
        <f>IFERROR(__xludf.DUMMYFUNCTION(" GOOGLETRANSLATE(E142, ""en"", ""am"")"),"የተጫዋች ዱላ ከድንበር ከወጣ ምንም ነጥብ አይሰጥም።")</f>
        <v>የተጫዋች ዱላ ከድንበር ከወጣ ምንም ነጥብ አይሰጥም።</v>
      </c>
    </row>
    <row r="143" ht="22.5" customHeight="1">
      <c r="A143" s="13">
        <v>142.0</v>
      </c>
      <c r="B143" s="14" t="s">
        <v>843</v>
      </c>
      <c r="C143" s="14" t="s">
        <v>844</v>
      </c>
      <c r="D143" s="14" t="s">
        <v>845</v>
      </c>
      <c r="E143" s="14" t="s">
        <v>845</v>
      </c>
      <c r="G143" s="8" t="str">
        <f>IFERROR(__xludf.DUMMYFUNCTION(" GOOGLETRANSLATE(A143, ""en"", ""am"")"),"142")</f>
        <v>142</v>
      </c>
      <c r="H143" s="8" t="str">
        <f>IFERROR(__xludf.DUMMYFUNCTION(" GOOGLETRANSLATE(B143, ""en"", ""am"")"),"አንድ ተጫዋች ከተጣለ በኋላ የዱላውን ቦታ ለመለወጥ እጆቹን መጠቀም ይችላል?")</f>
        <v>አንድ ተጫዋች ከተጣለ በኋላ የዱላውን ቦታ ለመለወጥ እጆቹን መጠቀም ይችላል?</v>
      </c>
      <c r="I143" s="8" t="str">
        <f>IFERROR(__xludf.DUMMYFUNCTION(" GOOGLETRANSLATE(C143, ""en"", ""am"")"),"ሀ. አይ ለ. ኢላማው ከጠፋ ብቻ። ሐ. በእረፍት ጊዜ ብቻ D. No")</f>
        <v>ሀ. አይ ለ. ኢላማው ከጠፋ ብቻ። ሐ. በእረፍት ጊዜ ብቻ D. No</v>
      </c>
      <c r="J143" s="8" t="str">
        <f>IFERROR(__xludf.DUMMYFUNCTION(" GOOGLETRANSLATE(D143, ""en"", ""am"")"),"ተጫዋቾቹ የዱላውን አቀማመጥ ከተጣለ በኋላ እንዲቀይሩ አይፈቀድላቸውም.")</f>
        <v>ተጫዋቾቹ የዱላውን አቀማመጥ ከተጣለ በኋላ እንዲቀይሩ አይፈቀድላቸውም.</v>
      </c>
      <c r="K143" s="8" t="str">
        <f>IFERROR(__xludf.DUMMYFUNCTION(" GOOGLETRANSLATE(E143, ""en"", ""am"")"),"ተጫዋቾቹ የዱላውን አቀማመጥ ከተጣለ በኋላ እንዲቀይሩ አይፈቀድላቸውም.")</f>
        <v>ተጫዋቾቹ የዱላውን አቀማመጥ ከተጣለ በኋላ እንዲቀይሩ አይፈቀድላቸውም.</v>
      </c>
    </row>
    <row r="144" ht="22.5" customHeight="1">
      <c r="A144" s="13">
        <v>143.0</v>
      </c>
      <c r="B144" s="14" t="s">
        <v>846</v>
      </c>
      <c r="C144" s="14" t="s">
        <v>766</v>
      </c>
      <c r="D144" s="14" t="s">
        <v>847</v>
      </c>
      <c r="E144" s="14" t="s">
        <v>847</v>
      </c>
      <c r="G144" s="8" t="str">
        <f>IFERROR(__xludf.DUMMYFUNCTION(" GOOGLETRANSLATE(A144, ""en"", ""am"")"),"143")</f>
        <v>143</v>
      </c>
      <c r="H144" s="8" t="str">
        <f>IFERROR(__xludf.DUMMYFUNCTION(" GOOGLETRANSLATE(B144, ""en"", ""am"")"),"አንድ ተጫዋች ዱላውን ቢወረውር እና ዳኛ ቢመታ ምን ይሆናል?")</f>
        <v>አንድ ተጫዋች ዱላውን ቢወረውር እና ዳኛ ቢመታ ምን ይሆናል?</v>
      </c>
      <c r="I144" s="8" t="str">
        <f>IFERROR(__xludf.DUMMYFUNCTION(" GOOGLETRANSLATE(C144, ""en"", ""am"")"),"ሀ. ሙሉ ነጥቦች ለ. የቅጣት ነጥቦች ሐ. እንደገና መውሰድ የተፈቀደ መ. ምንም ነጥብ የለም.")</f>
        <v>ሀ. ሙሉ ነጥቦች ለ. የቅጣት ነጥቦች ሐ. እንደገና መውሰድ የተፈቀደ መ. ምንም ነጥብ የለም.</v>
      </c>
      <c r="J144" s="8" t="str">
        <f>IFERROR(__xludf.DUMMYFUNCTION(" GOOGLETRANSLATE(D144, ""en"", ""am"")"),"ዱላው ዳኛውን ቢመታ ምንም ነጥብ አይሰጥም።")</f>
        <v>ዱላው ዳኛውን ቢመታ ምንም ነጥብ አይሰጥም።</v>
      </c>
      <c r="K144" s="8" t="str">
        <f>IFERROR(__xludf.DUMMYFUNCTION(" GOOGLETRANSLATE(E144, ""en"", ""am"")"),"ዱላው ዳኛውን ቢመታ ምንም ነጥብ አይሰጥም።")</f>
        <v>ዱላው ዳኛውን ቢመታ ምንም ነጥብ አይሰጥም።</v>
      </c>
    </row>
    <row r="145" ht="22.5" customHeight="1">
      <c r="A145" s="13">
        <v>144.0</v>
      </c>
      <c r="B145" s="14" t="s">
        <v>848</v>
      </c>
      <c r="C145" s="14" t="s">
        <v>849</v>
      </c>
      <c r="D145" s="14" t="s">
        <v>850</v>
      </c>
      <c r="E145" s="14" t="s">
        <v>850</v>
      </c>
      <c r="G145" s="8" t="str">
        <f>IFERROR(__xludf.DUMMYFUNCTION(" GOOGLETRANSLATE(A145, ""en"", ""am"")"),"144")</f>
        <v>144</v>
      </c>
      <c r="H145" s="8" t="str">
        <f>IFERROR(__xludf.DUMMYFUNCTION(" GOOGLETRANSLATE(B145, ""en"", ""am"")"),"ተጫዋቹ ዱላውን ወደ የትኛውም አቅጣጫ መጣል ይችላል?")</f>
        <v>ተጫዋቹ ዱላውን ወደ የትኛውም አቅጣጫ መጣል ይችላል?</v>
      </c>
      <c r="I145" s="8" t="str">
        <f>IFERROR(__xludf.DUMMYFUNCTION(" GOOGLETRANSLATE(C145, ""en"", ""am"")"),"A. አይ ለ. በመጨረሻው ዙር ሐ. በልምምድ ወቅት ብቻ። መ. አይ")</f>
        <v>A. አይ ለ. በመጨረሻው ዙር ሐ. በልምምድ ወቅት ብቻ። መ. አይ</v>
      </c>
      <c r="J145" s="8" t="str">
        <f>IFERROR(__xludf.DUMMYFUNCTION(" GOOGLETRANSLATE(D145, ""en"", ""am"")"),"ተጫዋቾች ዱላውን ወደ ዒላማው አቅጣጫ መጣል አለባቸው።")</f>
        <v>ተጫዋቾች ዱላውን ወደ ዒላማው አቅጣጫ መጣል አለባቸው።</v>
      </c>
      <c r="K145" s="8" t="str">
        <f>IFERROR(__xludf.DUMMYFUNCTION(" GOOGLETRANSLATE(E145, ""en"", ""am"")"),"ተጫዋቾች ዱላውን ወደ ዒላማው አቅጣጫ መጣል አለባቸው።")</f>
        <v>ተጫዋቾች ዱላውን ወደ ዒላማው አቅጣጫ መጣል አለባቸው።</v>
      </c>
    </row>
    <row r="146" ht="22.5" customHeight="1">
      <c r="A146" s="13">
        <v>145.0</v>
      </c>
      <c r="B146" s="14" t="s">
        <v>851</v>
      </c>
      <c r="C146" s="14" t="s">
        <v>704</v>
      </c>
      <c r="D146" s="14" t="s">
        <v>852</v>
      </c>
      <c r="E146" s="14" t="s">
        <v>852</v>
      </c>
      <c r="G146" s="8" t="str">
        <f>IFERROR(__xludf.DUMMYFUNCTION(" GOOGLETRANSLATE(A146, ""en"", ""am"")"),"145")</f>
        <v>145</v>
      </c>
      <c r="H146" s="8" t="str">
        <f>IFERROR(__xludf.DUMMYFUNCTION(" GOOGLETRANSLATE(B146, ""en"", ""am"")"),"የተጫዋች ዱላ ከተጣለ እና ምልክት ከተደረገበት ቦታ ውጭ ቢያርፍ ምን ይከሰታል?")</f>
        <v>የተጫዋች ዱላ ከተጣለ እና ምልክት ከተደረገበት ቦታ ውጭ ቢያርፍ ምን ይከሰታል?</v>
      </c>
      <c r="I146" s="8" t="str">
        <f>IFERROR(__xludf.DUMMYFUNCTION(" GOOGLETRANSLATE(C146, ""en"", ""am"")"),"ሀ. ሙሉ ነጥብ ለ. ግማሽ ነጥብ ሐ. እንደገና መውሰድ የተፈቀደ መ. ምንም ነጥብ የለም.")</f>
        <v>ሀ. ሙሉ ነጥብ ለ. ግማሽ ነጥብ ሐ. እንደገና መውሰድ የተፈቀደ መ. ምንም ነጥብ የለም.</v>
      </c>
      <c r="J146" s="8" t="str">
        <f>IFERROR(__xludf.DUMMYFUNCTION(" GOOGLETRANSLATE(D146, ""en"", ""am"")"),"ዱላው ምልክት ከተደረገበት ቦታ ውጭ ካረፈ ምንም ነጥብ አይሰጥም።")</f>
        <v>ዱላው ምልክት ከተደረገበት ቦታ ውጭ ካረፈ ምንም ነጥብ አይሰጥም።</v>
      </c>
      <c r="K146" s="8" t="str">
        <f>IFERROR(__xludf.DUMMYFUNCTION(" GOOGLETRANSLATE(E146, ""en"", ""am"")"),"ዱላው ምልክት ከተደረገበት ቦታ ውጭ ካረፈ ምንም ነጥብ አይሰጥም።")</f>
        <v>ዱላው ምልክት ከተደረገበት ቦታ ውጭ ካረፈ ምንም ነጥብ አይሰጥም።</v>
      </c>
    </row>
    <row r="147" ht="22.5" customHeight="1">
      <c r="A147" s="13">
        <v>146.0</v>
      </c>
      <c r="B147" s="14" t="s">
        <v>853</v>
      </c>
      <c r="C147" s="14" t="s">
        <v>854</v>
      </c>
      <c r="D147" s="14" t="s">
        <v>855</v>
      </c>
      <c r="E147" s="14" t="s">
        <v>855</v>
      </c>
      <c r="G147" s="8" t="str">
        <f>IFERROR(__xludf.DUMMYFUNCTION(" GOOGLETRANSLATE(A147, ""en"", ""am"")"),"146")</f>
        <v>146</v>
      </c>
      <c r="H147" s="8" t="str">
        <f>IFERROR(__xludf.DUMMYFUNCTION(" GOOGLETRANSLATE(B147, ""en"", ""am"")"),"አንድ ተጫዋች የዱላውን መጠን መለወጥ ይችላል?")</f>
        <v>አንድ ተጫዋች የዱላውን መጠን መለወጥ ይችላል?</v>
      </c>
      <c r="I147" s="8" t="str">
        <f>IFERROR(__xludf.DUMMYFUNCTION(" GOOGLETRANSLATE(C147, ""en"", ""am"")"),"A. አይ ለ. በመጀመሪያው ዙር ሐ ብቻ. በእረፍት ጊዜ ብቻ D. አዎ፣ በዳኛው ከተፈቀደ።")</f>
        <v>A. አይ ለ. በመጀመሪያው ዙር ሐ ብቻ. በእረፍት ጊዜ ብቻ D. አዎ፣ በዳኛው ከተፈቀደ።</v>
      </c>
      <c r="J147" s="8" t="str">
        <f>IFERROR(__xludf.DUMMYFUNCTION(" GOOGLETRANSLATE(D147, ""en"", ""am"")"),"አንድ ተጫዋች በዳኛው ከተፈቀደ የዱላውን መጠን ሊለውጥ ይችላል።")</f>
        <v>አንድ ተጫዋች በዳኛው ከተፈቀደ የዱላውን መጠን ሊለውጥ ይችላል።</v>
      </c>
      <c r="K147" s="8" t="str">
        <f>IFERROR(__xludf.DUMMYFUNCTION(" GOOGLETRANSLATE(E147, ""en"", ""am"")"),"አንድ ተጫዋች በዳኛው ከተፈቀደ የዱላውን መጠን ሊለውጥ ይችላል።")</f>
        <v>አንድ ተጫዋች በዳኛው ከተፈቀደ የዱላውን መጠን ሊለውጥ ይችላል።</v>
      </c>
    </row>
    <row r="148" ht="22.5" customHeight="1">
      <c r="A148" s="13">
        <v>147.0</v>
      </c>
      <c r="B148" s="14" t="s">
        <v>856</v>
      </c>
      <c r="C148" s="14" t="s">
        <v>812</v>
      </c>
      <c r="D148" s="14" t="s">
        <v>857</v>
      </c>
      <c r="E148" s="14" t="s">
        <v>857</v>
      </c>
      <c r="G148" s="8" t="str">
        <f>IFERROR(__xludf.DUMMYFUNCTION(" GOOGLETRANSLATE(A148, ""en"", ""am"")"),"147")</f>
        <v>147</v>
      </c>
      <c r="H148" s="8" t="str">
        <f>IFERROR(__xludf.DUMMYFUNCTION(" GOOGLETRANSLATE(B148, ""en"", ""am"")"),"ሁለት ተጫዋቾች ዱላቸውን በአንድ ኢላማ ላይ ቢጥሉ ምን ይሆናል?")</f>
        <v>ሁለት ተጫዋቾች ዱላቸውን በአንድ ኢላማ ላይ ቢጥሉ ምን ይሆናል?</v>
      </c>
      <c r="I148" s="8" t="str">
        <f>IFERROR(__xludf.DUMMYFUNCTION(" GOOGLETRANSLATE(C148, ""en"", ""am"")"),"ሀ. ምንም ነጥብ የለም. ለ. ጎል ያስቆጠረ የመጀመሪያው ተጫዋች ብቻ ነው። ሐ. ሁለተኛው ተጫዋች ብዙ ነጥብ አስመዝግቧል። መ. ምንም ነጥብ የለም.")</f>
        <v>ሀ. ምንም ነጥብ የለም. ለ. ጎል ያስቆጠረ የመጀመሪያው ተጫዋች ብቻ ነው። ሐ. ሁለተኛው ተጫዋች ብዙ ነጥብ አስመዝግቧል። መ. ምንም ነጥብ የለም.</v>
      </c>
      <c r="J148" s="8" t="str">
        <f>IFERROR(__xludf.DUMMYFUNCTION(" GOOGLETRANSLATE(D148, ""en"", ""am"")"),"ሁለት ተጫዋቾች በአንድ ኢላማ ላይ ቢጣሉ ምንም ነጥብ አይሰጥም።")</f>
        <v>ሁለት ተጫዋቾች በአንድ ኢላማ ላይ ቢጣሉ ምንም ነጥብ አይሰጥም።</v>
      </c>
      <c r="K148" s="8" t="str">
        <f>IFERROR(__xludf.DUMMYFUNCTION(" GOOGLETRANSLATE(E148, ""en"", ""am"")"),"ሁለት ተጫዋቾች በአንድ ኢላማ ላይ ቢጣሉ ምንም ነጥብ አይሰጥም።")</f>
        <v>ሁለት ተጫዋቾች በአንድ ኢላማ ላይ ቢጣሉ ምንም ነጥብ አይሰጥም።</v>
      </c>
    </row>
    <row r="149" ht="22.5" customHeight="1">
      <c r="A149" s="13">
        <v>148.0</v>
      </c>
      <c r="B149" s="14" t="s">
        <v>858</v>
      </c>
      <c r="C149" s="14" t="s">
        <v>859</v>
      </c>
      <c r="D149" s="14" t="s">
        <v>860</v>
      </c>
      <c r="E149" s="14" t="s">
        <v>860</v>
      </c>
      <c r="G149" s="8" t="str">
        <f>IFERROR(__xludf.DUMMYFUNCTION(" GOOGLETRANSLATE(A149, ""en"", ""am"")"),"148")</f>
        <v>148</v>
      </c>
      <c r="H149" s="8" t="str">
        <f>IFERROR(__xludf.DUMMYFUNCTION(" GOOGLETRANSLATE(B149, ""en"", ""am"")"),"አንድ ተጫዋች በአንድ ዙር ውስጥ በትሩን ብዙ ጊዜ መወርወር ይችላል?")</f>
        <v>አንድ ተጫዋች በአንድ ዙር ውስጥ በትሩን ብዙ ጊዜ መወርወር ይችላል?</v>
      </c>
      <c r="I149" s="8" t="str">
        <f>IFERROR(__xludf.DUMMYFUNCTION(" GOOGLETRANSLATE(C149, ""en"", ""am"")"),"A. አይ ለ. በመጨረሻው ዙር ሐ. በእረፍት ጊዜ ብቻ D. ቁ")</f>
        <v>A. አይ ለ. በመጨረሻው ዙር ሐ. በእረፍት ጊዜ ብቻ D. ቁ</v>
      </c>
      <c r="J149" s="8" t="str">
        <f>IFERROR(__xludf.DUMMYFUNCTION(" GOOGLETRANSLATE(D149, ""en"", ""am"")"),"ተጫዋቾች በአንድ ዙር አንድ ውርወራ ብቻ ይፈቀዳሉ።")</f>
        <v>ተጫዋቾች በአንድ ዙር አንድ ውርወራ ብቻ ይፈቀዳሉ።</v>
      </c>
      <c r="K149" s="8" t="str">
        <f>IFERROR(__xludf.DUMMYFUNCTION(" GOOGLETRANSLATE(E149, ""en"", ""am"")"),"ተጫዋቾች በአንድ ዙር አንድ ውርወራ ብቻ ይፈቀዳሉ።")</f>
        <v>ተጫዋቾች በአንድ ዙር አንድ ውርወራ ብቻ ይፈቀዳሉ።</v>
      </c>
    </row>
    <row r="150" ht="22.5" customHeight="1">
      <c r="A150" s="13">
        <v>149.0</v>
      </c>
      <c r="B150" s="14" t="s">
        <v>861</v>
      </c>
      <c r="C150" s="14" t="s">
        <v>766</v>
      </c>
      <c r="D150" s="14" t="s">
        <v>862</v>
      </c>
      <c r="E150" s="14" t="s">
        <v>862</v>
      </c>
      <c r="G150" s="8" t="str">
        <f>IFERROR(__xludf.DUMMYFUNCTION(" GOOGLETRANSLATE(A150, ""en"", ""am"")"),"149")</f>
        <v>149</v>
      </c>
      <c r="H150" s="8" t="str">
        <f>IFERROR(__xludf.DUMMYFUNCTION(" GOOGLETRANSLATE(B150, ""en"", ""am"")"),"የተጫዋች ዱላ ከተጣለ ነገር ግን በጣም ቀደም ብሎ መሬት ላይ ቢመታ ምን ይከሰታል?")</f>
        <v>የተጫዋች ዱላ ከተጣለ ነገር ግን በጣም ቀደም ብሎ መሬት ላይ ቢመታ ምን ይከሰታል?</v>
      </c>
      <c r="I150" s="8" t="str">
        <f>IFERROR(__xludf.DUMMYFUNCTION(" GOOGLETRANSLATE(C150, ""en"", ""am"")"),"ሀ. ሙሉ ነጥቦች ለ. የቅጣት ነጥቦች ሐ. እንደገና መውሰድ የተፈቀደ መ. ምንም ነጥብ የለም.")</f>
        <v>ሀ. ሙሉ ነጥቦች ለ. የቅጣት ነጥቦች ሐ. እንደገና መውሰድ የተፈቀደ መ. ምንም ነጥብ የለም.</v>
      </c>
      <c r="J150" s="8" t="str">
        <f>IFERROR(__xludf.DUMMYFUNCTION(" GOOGLETRANSLATE(D150, ""en"", ""am"")"),"ዱላው በጣም ቀደም ብሎ መሬት ላይ ቢመታ ምንም ነጥብ አይሰጥም።")</f>
        <v>ዱላው በጣም ቀደም ብሎ መሬት ላይ ቢመታ ምንም ነጥብ አይሰጥም።</v>
      </c>
      <c r="K150" s="8" t="str">
        <f>IFERROR(__xludf.DUMMYFUNCTION(" GOOGLETRANSLATE(E150, ""en"", ""am"")"),"ዱላው በጣም ቀደም ብሎ መሬት ላይ ቢመታ ምንም ነጥብ አይሰጥም።")</f>
        <v>ዱላው በጣም ቀደም ብሎ መሬት ላይ ቢመታ ምንም ነጥብ አይሰጥም።</v>
      </c>
    </row>
    <row r="151" ht="22.5" customHeight="1">
      <c r="A151" s="13">
        <v>150.0</v>
      </c>
      <c r="B151" s="14" t="s">
        <v>863</v>
      </c>
      <c r="C151" s="14" t="s">
        <v>632</v>
      </c>
      <c r="D151" s="14" t="s">
        <v>864</v>
      </c>
      <c r="E151" s="14" t="s">
        <v>864</v>
      </c>
      <c r="G151" s="8" t="str">
        <f>IFERROR(__xludf.DUMMYFUNCTION(" GOOGLETRANSLATE(A151, ""en"", ""am"")"),"150")</f>
        <v>150</v>
      </c>
      <c r="H151" s="8" t="str">
        <f>IFERROR(__xludf.DUMMYFUNCTION(" GOOGLETRANSLATE(B151, ""en"", ""am"")"),"አንድ ተጫዋች ኢላማውን ቢመታ ነገር ግን ዒላማው ላይ ካላረፈ ምን ይከሰታል?")</f>
        <v>አንድ ተጫዋች ኢላማውን ቢመታ ነገር ግን ዒላማው ላይ ካላረፈ ምን ይከሰታል?</v>
      </c>
      <c r="I151" s="8" t="str">
        <f>IFERROR(__xludf.DUMMYFUNCTION(" GOOGLETRANSLATE(C151, ""en"", ""am"")"),"ሀ. ሙሉ ነጥብ ለ. ግማሽ ነጥብ ሐ. እንደገና መውሰድ የተፈቀደ መ. ግማሽ ነጥብ")</f>
        <v>ሀ. ሙሉ ነጥብ ለ. ግማሽ ነጥብ ሐ. እንደገና መውሰድ የተፈቀደ መ. ግማሽ ነጥብ</v>
      </c>
      <c r="J151" s="8" t="str">
        <f>IFERROR(__xludf.DUMMYFUNCTION(" GOOGLETRANSLATE(D151, ""en"", ""am"")"),"ዱላው ኢላማውን ቢመታ ነገር ግን ካልገባ ግማሽ ነጥብ ይሸለማል።")</f>
        <v>ዱላው ኢላማውን ቢመታ ነገር ግን ካልገባ ግማሽ ነጥብ ይሸለማል።</v>
      </c>
      <c r="K151" s="8" t="str">
        <f>IFERROR(__xludf.DUMMYFUNCTION(" GOOGLETRANSLATE(E151, ""en"", ""am"")"),"ዱላው ኢላማውን ቢመታ ነገር ግን ካልገባ ግማሽ ነጥብ ይሸለማል።")</f>
        <v>ዱላው ኢላማውን ቢመታ ነገር ግን ካልገባ ግማሽ ነጥብ ይሸለማል።</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37.63"/>
    <col customWidth="1" min="3" max="3" width="30.25"/>
    <col customWidth="1" min="4" max="4" width="17.0"/>
    <col customWidth="1" min="5" max="5" width="36.0"/>
    <col customWidth="1" min="7" max="7" width="10.63"/>
    <col customWidth="1" min="8" max="8" width="19.75"/>
    <col customWidth="1" min="9" max="9" width="20.5"/>
    <col customWidth="1" min="10" max="10" width="17.13"/>
    <col customWidth="1" min="11" max="11" width="30.0"/>
  </cols>
  <sheetData>
    <row r="1" ht="22.5" customHeight="1">
      <c r="A1" s="11" t="s">
        <v>0</v>
      </c>
      <c r="B1" s="11" t="s">
        <v>1</v>
      </c>
      <c r="C1" s="12" t="s">
        <v>2</v>
      </c>
      <c r="D1" s="11" t="s">
        <v>3</v>
      </c>
      <c r="E1" s="11" t="s">
        <v>4</v>
      </c>
      <c r="G1" s="3" t="s">
        <v>5</v>
      </c>
      <c r="H1" s="4" t="s">
        <v>6</v>
      </c>
      <c r="I1" s="4" t="s">
        <v>7</v>
      </c>
      <c r="J1" s="4" t="s">
        <v>8</v>
      </c>
      <c r="K1" s="5" t="s">
        <v>9</v>
      </c>
    </row>
    <row r="2" ht="22.5" customHeight="1">
      <c r="A2" s="13">
        <v>1.0</v>
      </c>
      <c r="B2" s="14" t="s">
        <v>865</v>
      </c>
      <c r="C2" s="14" t="s">
        <v>866</v>
      </c>
      <c r="D2" s="14" t="s">
        <v>867</v>
      </c>
      <c r="E2" s="14" t="s">
        <v>868</v>
      </c>
      <c r="G2" s="8" t="str">
        <f>IFERROR(__xludf.DUMMYFUNCTION(" GOOGLETRANSLATE(A2, ""en"", ""am"")"),"1")</f>
        <v>1</v>
      </c>
      <c r="H2" s="8" t="str">
        <f>IFERROR(__xludf.DUMMYFUNCTION(" GOOGLETRANSLATE(B2, ""en"", ""am"")"),"የማራቶን መደበኛ ርዝመት ስንት ነው?")</f>
        <v>የማራቶን መደበኛ ርዝመት ስንት ነው?</v>
      </c>
      <c r="I2" s="8" t="str">
        <f>IFERROR(__xludf.DUMMYFUNCTION(" GOOGLETRANSLATE(C2, ""en"", ""am"")"),"አ.40 ኪ.ሜ ለ.45 ኪ.ሜ. 50 ኪ.ሜ መ. 42.195 ኪ.ሜ.")</f>
        <v>አ.40 ኪ.ሜ ለ.45 ኪ.ሜ. 50 ኪ.ሜ መ. 42.195 ኪ.ሜ.</v>
      </c>
      <c r="J2" s="8" t="str">
        <f>IFERROR(__xludf.DUMMYFUNCTION(" GOOGLETRANSLATE(D2, ""en"", ""am"")"),"42.195 ኪ.ሜ")</f>
        <v>42.195 ኪ.ሜ</v>
      </c>
      <c r="K2" s="8" t="str">
        <f>IFERROR(__xludf.DUMMYFUNCTION(" GOOGLETRANSLATE(E2, ""en"", ""am"")"),"የማራቶን ውድድር በይፋ 42.195 ኪሎ ሜትር ይረዝማል።")</f>
        <v>የማራቶን ውድድር በይፋ 42.195 ኪሎ ሜትር ይረዝማል።</v>
      </c>
    </row>
    <row r="3" ht="22.5" customHeight="1">
      <c r="A3" s="13">
        <v>2.0</v>
      </c>
      <c r="B3" s="14" t="s">
        <v>869</v>
      </c>
      <c r="C3" s="14" t="s">
        <v>870</v>
      </c>
      <c r="D3" s="14" t="s">
        <v>871</v>
      </c>
      <c r="E3" s="14" t="s">
        <v>872</v>
      </c>
      <c r="G3" s="8" t="str">
        <f>IFERROR(__xludf.DUMMYFUNCTION(" GOOGLETRANSLATE(A3, ""en"", ""am"")"),"2")</f>
        <v>2</v>
      </c>
      <c r="H3" s="8" t="str">
        <f>IFERROR(__xludf.DUMMYFUNCTION(" GOOGLETRANSLATE(B3, ""en"", ""am"")"),"በ400 ሜትር ውድድር አንድ ሯጭ ስንት ዙር ያጠናቅቃል?")</f>
        <v>በ400 ሜትር ውድድር አንድ ሯጭ ስንት ዙር ያጠናቅቃል?</v>
      </c>
      <c r="I3" s="8" t="str">
        <f>IFERROR(__xludf.DUMMYFUNCTION(" GOOGLETRANSLATE(C3, ""en"", ""am"")"),"A. 2 ዙሮች ለ. 4 ዙር ሐ. 3 ዙር መ. 1 ዙር")</f>
        <v>A. 2 ዙሮች ለ. 4 ዙር ሐ. 3 ዙር መ. 1 ዙር</v>
      </c>
      <c r="J3" s="8" t="str">
        <f>IFERROR(__xludf.DUMMYFUNCTION(" GOOGLETRANSLATE(D3, ""en"", ""am"")"),"1 ዙር")</f>
        <v>1 ዙር</v>
      </c>
      <c r="K3" s="8" t="str">
        <f>IFERROR(__xludf.DUMMYFUNCTION(" GOOGLETRANSLATE(E3, ""en"", ""am"")"),"የ400 ሜትር ውድድር በትራክ ዙሪያ አንድ ዙር ነው።")</f>
        <v>የ400 ሜትር ውድድር በትራክ ዙሪያ አንድ ዙር ነው።</v>
      </c>
    </row>
    <row r="4" ht="22.5" customHeight="1">
      <c r="A4" s="13">
        <v>3.0</v>
      </c>
      <c r="B4" s="14" t="s">
        <v>873</v>
      </c>
      <c r="C4" s="14" t="s">
        <v>874</v>
      </c>
      <c r="D4" s="14" t="s">
        <v>875</v>
      </c>
      <c r="E4" s="14" t="s">
        <v>876</v>
      </c>
      <c r="G4" s="8" t="str">
        <f>IFERROR(__xludf.DUMMYFUNCTION(" GOOGLETRANSLATE(A4, ""en"", ""am"")"),"3")</f>
        <v>3</v>
      </c>
      <c r="H4" s="8" t="str">
        <f>IFERROR(__xludf.DUMMYFUNCTION(" GOOGLETRANSLATE(B4, ""en"", ""am"")"),"ለወንዶች የከፍተኛ ዝላይ ውድድር ከፍተኛው ቁመት ስንት ነው?")</f>
        <v>ለወንዶች የከፍተኛ ዝላይ ውድድር ከፍተኛው ቁመት ስንት ነው?</v>
      </c>
      <c r="I4" s="8" t="str">
        <f>IFERROR(__xludf.DUMMYFUNCTION(" GOOGLETRANSLATE(C4, ""en"", ""am"")"),"አ. 2.20 ሜትር ለ. 2.50 ሜትር ሲ. 2.35 ሜትር መ. 2.45 ሜትር")</f>
        <v>አ. 2.20 ሜትር ለ. 2.50 ሜትር ሲ. 2.35 ሜትር መ. 2.45 ሜትር</v>
      </c>
      <c r="J4" s="8" t="str">
        <f>IFERROR(__xludf.DUMMYFUNCTION(" GOOGLETRANSLATE(D4, ""en"", ""am"")"),"2.45 ሜትር")</f>
        <v>2.45 ሜትር</v>
      </c>
      <c r="K4" s="8" t="str">
        <f>IFERROR(__xludf.DUMMYFUNCTION(" GOOGLETRANSLATE(E4, ""en"", ""am"")"),"የወንዶች ከፍተኛ ዝላይ 2.45 ሜትር ነው።")</f>
        <v>የወንዶች ከፍተኛ ዝላይ 2.45 ሜትር ነው።</v>
      </c>
    </row>
    <row r="5" ht="22.5" customHeight="1">
      <c r="A5" s="13">
        <v>4.0</v>
      </c>
      <c r="B5" s="14" t="s">
        <v>877</v>
      </c>
      <c r="C5" s="14" t="s">
        <v>878</v>
      </c>
      <c r="D5" s="14" t="s">
        <v>879</v>
      </c>
      <c r="E5" s="14" t="s">
        <v>880</v>
      </c>
      <c r="G5" s="8" t="str">
        <f>IFERROR(__xludf.DUMMYFUNCTION(" GOOGLETRANSLATE(A5, ""en"", ""am"")"),"4")</f>
        <v>4</v>
      </c>
      <c r="H5" s="8" t="str">
        <f>IFERROR(__xludf.DUMMYFUNCTION(" GOOGLETRANSLATE(B5, ""en"", ""am"")"),"አንድ አትሌት በረዥም ዝላይ ውስጥ ስንት ሙከራዎችን ያደርጋል?")</f>
        <v>አንድ አትሌት በረዥም ዝላይ ውስጥ ስንት ሙከራዎችን ያደርጋል?</v>
      </c>
      <c r="I5" s="8" t="str">
        <f>IFERROR(__xludf.DUMMYFUNCTION(" GOOGLETRANSLATE(C5, ""en"", ""am"")"),"ሀ.2 ሙከራዎች ለ. 5 ሙከራዎች ሐ. 1 ሙከራ መ. 3 ሙከራዎች")</f>
        <v>ሀ.2 ሙከራዎች ለ. 5 ሙከራዎች ሐ. 1 ሙከራ መ. 3 ሙከራዎች</v>
      </c>
      <c r="J5" s="8" t="str">
        <f>IFERROR(__xludf.DUMMYFUNCTION(" GOOGLETRANSLATE(D5, ""en"", ""am"")"),"3 ሙከራዎች")</f>
        <v>3 ሙከራዎች</v>
      </c>
      <c r="K5" s="8" t="str">
        <f>IFERROR(__xludf.DUMMYFUNCTION(" GOOGLETRANSLATE(E5, ""en"", ""am"")"),"እያንዳንዱ አትሌት በረዥም ዝላይ 3 ሙከራዎችን ያደርጋል።")</f>
        <v>እያንዳንዱ አትሌት በረዥም ዝላይ 3 ሙከራዎችን ያደርጋል።</v>
      </c>
    </row>
    <row r="6" ht="22.5" customHeight="1">
      <c r="A6" s="13">
        <v>5.0</v>
      </c>
      <c r="B6" s="14" t="s">
        <v>881</v>
      </c>
      <c r="C6" s="14" t="s">
        <v>882</v>
      </c>
      <c r="D6" s="14" t="s">
        <v>883</v>
      </c>
      <c r="E6" s="14" t="s">
        <v>884</v>
      </c>
      <c r="G6" s="8" t="str">
        <f>IFERROR(__xludf.DUMMYFUNCTION(" GOOGLETRANSLATE(A6, ""en"", ""am"")"),"5")</f>
        <v>5</v>
      </c>
      <c r="H6" s="8" t="str">
        <f>IFERROR(__xludf.DUMMYFUNCTION(" GOOGLETRANSLATE(B6, ""en"", ""am"")"),"ከሚከተሉት ውስጥ በትራክ እና በሜዳ ላይ የሩጫ አይነት ያልሆነው የትኛው ነው?")</f>
        <v>ከሚከተሉት ውስጥ በትራክ እና በሜዳ ላይ የሩጫ አይነት ያልሆነው የትኛው ነው?</v>
      </c>
      <c r="I6" s="8" t="str">
        <f>IFERROR(__xludf.DUMMYFUNCTION(" GOOGLETRANSLATE(C6, ""en"", ""am"")"),"ሀ. ርቀት ለ. መሰናክል ሐ. የግፊት ውድድር D. የግፊት ውድድር")</f>
        <v>ሀ. ርቀት ለ. መሰናክል ሐ. የግፊት ውድድር D. የግፊት ውድድር</v>
      </c>
      <c r="J6" s="8" t="str">
        <f>IFERROR(__xludf.DUMMYFUNCTION(" GOOGLETRANSLATE(D6, ""en"", ""am"")"),"የግፊት ውድድር")</f>
        <v>የግፊት ውድድር</v>
      </c>
      <c r="K6" s="8" t="str">
        <f>IFERROR(__xludf.DUMMYFUNCTION(" GOOGLETRANSLATE(E6, ""en"", ""am"")"),"የፑሽ አፕ ውድድር በትራክ እና ሜዳ ላይ ይፋዊ ክስተት አይደለም።")</f>
        <v>የፑሽ አፕ ውድድር በትራክ እና ሜዳ ላይ ይፋዊ ክስተት አይደለም።</v>
      </c>
    </row>
    <row r="7" ht="22.5" customHeight="1">
      <c r="A7" s="13">
        <v>6.0</v>
      </c>
      <c r="B7" s="14" t="s">
        <v>885</v>
      </c>
      <c r="C7" s="14" t="s">
        <v>886</v>
      </c>
      <c r="D7" s="14" t="s">
        <v>887</v>
      </c>
      <c r="E7" s="14" t="s">
        <v>888</v>
      </c>
      <c r="G7" s="8" t="str">
        <f>IFERROR(__xludf.DUMMYFUNCTION(" GOOGLETRANSLATE(A7, ""en"", ""am"")"),"6")</f>
        <v>6</v>
      </c>
      <c r="H7" s="8" t="str">
        <f>IFERROR(__xludf.DUMMYFUNCTION(" GOOGLETRANSLATE(B7, ""en"", ""am"")"),"የ100 ሜትር ሩጫ የጊዜ ገደብ ስንት ነው?")</f>
        <v>የ100 ሜትር ሩጫ የጊዜ ገደብ ስንት ነው?</v>
      </c>
      <c r="I7" s="8" t="str">
        <f>IFERROR(__xludf.DUMMYFUNCTION(" GOOGLETRANSLATE(C7, ""en"", ""am"")"),"ሀ. 30 ሰከንድ ለ. 10 ሰከንድ ሐ. 20 ሰከንድ መ. የጊዜ ገደብ የለም።")</f>
        <v>ሀ. 30 ሰከንድ ለ. 10 ሰከንድ ሐ. 20 ሰከንድ መ. የጊዜ ገደብ የለም።</v>
      </c>
      <c r="J7" s="8" t="str">
        <f>IFERROR(__xludf.DUMMYFUNCTION(" GOOGLETRANSLATE(D7, ""en"", ""am"")"),"የጊዜ ገደብ የለም.")</f>
        <v>የጊዜ ገደብ የለም.</v>
      </c>
      <c r="K7" s="8" t="str">
        <f>IFERROR(__xludf.DUMMYFUNCTION(" GOOGLETRANSLATE(E7, ""en"", ""am"")"),"የ 100 ሜትር ሰረዝ የተወሰነ የጊዜ ገደብ የለውም; በጣም ፈጣን ጊዜ ያሸንፋል።")</f>
        <v>የ 100 ሜትር ሰረዝ የተወሰነ የጊዜ ገደብ የለውም; በጣም ፈጣን ጊዜ ያሸንፋል።</v>
      </c>
    </row>
    <row r="8" ht="22.5" customHeight="1">
      <c r="A8" s="13">
        <v>7.0</v>
      </c>
      <c r="B8" s="14" t="s">
        <v>889</v>
      </c>
      <c r="C8" s="14" t="s">
        <v>890</v>
      </c>
      <c r="D8" s="14" t="s">
        <v>891</v>
      </c>
      <c r="E8" s="14" t="s">
        <v>892</v>
      </c>
      <c r="G8" s="8" t="str">
        <f>IFERROR(__xludf.DUMMYFUNCTION(" GOOGLETRANSLATE(A8, ""en"", ""am"")"),"7")</f>
        <v>7</v>
      </c>
      <c r="H8" s="8" t="str">
        <f>IFERROR(__xludf.DUMMYFUNCTION(" GOOGLETRANSLATE(B8, ""en"", ""am"")"),"በየትኛው ክስተት ላይ 'ዲስከስ' ይጣላል?")</f>
        <v>በየትኛው ክስተት ላይ 'ዲስከስ' ይጣላል?</v>
      </c>
      <c r="I8" s="8" t="str">
        <f>IFERROR(__xludf.DUMMYFUNCTION(" GOOGLETRANSLATE(C8, ""en"", ""am"")"),"A. Javelin B. Hammer መወርወር ሐ. የዲስክ መወርወር D. Discus ውርወራ")</f>
        <v>A. Javelin B. Hammer መወርወር ሐ. የዲስክ መወርወር D. Discus ውርወራ</v>
      </c>
      <c r="J8" s="8" t="str">
        <f>IFERROR(__xludf.DUMMYFUNCTION(" GOOGLETRANSLATE(D8, ""en"", ""am"")"),"የዲስክ ውርወራ")</f>
        <v>የዲስክ ውርወራ</v>
      </c>
      <c r="K8" s="8" t="str">
        <f>IFERROR(__xludf.DUMMYFUNCTION(" GOOGLETRANSLATE(E8, ""en"", ""am"")"),"ዲስኩ በዲስክ ውርወራ ክስተት ውስጥ ይጣላል.")</f>
        <v>ዲስኩ በዲስክ ውርወራ ክስተት ውስጥ ይጣላል.</v>
      </c>
    </row>
    <row r="9" ht="22.5" customHeight="1">
      <c r="A9" s="13">
        <v>8.0</v>
      </c>
      <c r="B9" s="14" t="s">
        <v>893</v>
      </c>
      <c r="C9" s="14" t="s">
        <v>894</v>
      </c>
      <c r="D9" s="14" t="s">
        <v>895</v>
      </c>
      <c r="E9" s="14" t="s">
        <v>896</v>
      </c>
      <c r="G9" s="8" t="str">
        <f>IFERROR(__xludf.DUMMYFUNCTION(" GOOGLETRANSLATE(A9, ""en"", ""am"")"),"8")</f>
        <v>8</v>
      </c>
      <c r="H9" s="8" t="str">
        <f>IFERROR(__xludf.DUMMYFUNCTION(" GOOGLETRANSLATE(B9, ""en"", ""am"")"),"‘የውሸት ጅምር’ የሚለው ቃል በሩጫ ውስጥ ካሉ ክስተቶች አንፃር ምንን ያመለክታል?")</f>
        <v>‘የውሸት ጅምር’ የሚለው ቃል በሩጫ ውስጥ ካሉ ክስተቶች አንፃር ምንን ያመለክታል?</v>
      </c>
      <c r="I9" s="8" t="str">
        <f>IFERROR(__xludf.DUMMYFUNCTION(" GOOGLETRANSLATE(C9, ""en"", ""am"")"),"ሀ. በጣም ቀደም ብሎ መጀመር ለ. በሩጫው ወቅት መውደቅ ሐ. ከትራክ መሮጥ መ. በጣም ቀደም ብሎ መጀመር")</f>
        <v>ሀ. በጣም ቀደም ብሎ መጀመር ለ. በሩጫው ወቅት መውደቅ ሐ. ከትራክ መሮጥ መ. በጣም ቀደም ብሎ መጀመር</v>
      </c>
      <c r="J9" s="8" t="str">
        <f>IFERROR(__xludf.DUMMYFUNCTION(" GOOGLETRANSLATE(D9, ""en"", ""am"")"),"በጣም ቀደም ብሎ መጀመር")</f>
        <v>በጣም ቀደም ብሎ መጀመር</v>
      </c>
      <c r="K9" s="8" t="str">
        <f>IFERROR(__xludf.DUMMYFUNCTION(" GOOGLETRANSLATE(E9, ""en"", ""am"")"),"የውሸት ጅምር የሚከሰተው ሽጉጡ ከመሰማቱ በፊት ሯጭ ሲጀምር ነው።")</f>
        <v>የውሸት ጅምር የሚከሰተው ሽጉጡ ከመሰማቱ በፊት ሯጭ ሲጀምር ነው።</v>
      </c>
    </row>
    <row r="10" ht="22.5" customHeight="1">
      <c r="A10" s="13">
        <v>9.0</v>
      </c>
      <c r="B10" s="14" t="s">
        <v>897</v>
      </c>
      <c r="C10" s="14" t="s">
        <v>898</v>
      </c>
      <c r="D10" s="14" t="s">
        <v>899</v>
      </c>
      <c r="E10" s="14" t="s">
        <v>900</v>
      </c>
      <c r="G10" s="8" t="str">
        <f>IFERROR(__xludf.DUMMYFUNCTION(" GOOGLETRANSLATE(A10, ""en"", ""am"")"),"9")</f>
        <v>9</v>
      </c>
      <c r="H10" s="8" t="str">
        <f>IFERROR(__xludf.DUMMYFUNCTION(" GOOGLETRANSLATE(B10, ""en"", ""am"")"),"የትኛው ዘር 'ረጅሙ' sprint በመባል ይታወቃል?")</f>
        <v>የትኛው ዘር 'ረጅሙ' sprint በመባል ይታወቃል?</v>
      </c>
      <c r="I10" s="8" t="str">
        <f>IFERROR(__xludf.DUMMYFUNCTION(" GOOGLETRANSLATE(C10, ""en"", ""am"")"),"አ. 800 ሜትር ለ. 100 ሜትር ሴ. 200 ሜትር ዲ. 400 ሜትር.")</f>
        <v>አ. 800 ሜትር ለ. 100 ሜትር ሴ. 200 ሜትር ዲ. 400 ሜትር.</v>
      </c>
      <c r="J10" s="8" t="str">
        <f>IFERROR(__xludf.DUMMYFUNCTION(" GOOGLETRANSLATE(D10, ""en"", ""am"")"),"400 ሜትር")</f>
        <v>400 ሜትር</v>
      </c>
      <c r="K10" s="8" t="str">
        <f>IFERROR(__xludf.DUMMYFUNCTION(" GOOGLETRANSLATE(E10, ""en"", ""am"")"),"400 ሜትሮች ረጅሙ ስፕሪት በመባል ይታወቃል።")</f>
        <v>400 ሜትሮች ረጅሙ ስፕሪት በመባል ይታወቃል።</v>
      </c>
    </row>
    <row r="11" ht="22.5" customHeight="1">
      <c r="A11" s="13">
        <v>10.0</v>
      </c>
      <c r="B11" s="14" t="s">
        <v>901</v>
      </c>
      <c r="C11" s="14" t="s">
        <v>902</v>
      </c>
      <c r="D11" s="14" t="s">
        <v>903</v>
      </c>
      <c r="E11" s="14" t="s">
        <v>904</v>
      </c>
      <c r="G11" s="8" t="str">
        <f>IFERROR(__xludf.DUMMYFUNCTION(" GOOGLETRANSLATE(A11, ""en"", ""am"")"),"10")</f>
        <v>10</v>
      </c>
      <c r="H11" s="8" t="str">
        <f>IFERROR(__xludf.DUMMYFUNCTION(" GOOGLETRANSLATE(B11, ""en"", ""am"")"),"በሩጫ ውስጥ በእያንዳንዱ ቡድን ውስጥ ስንት ሯጮች አሉ?")</f>
        <v>በሩጫ ውስጥ በእያንዳንዱ ቡድን ውስጥ ስንት ሯጮች አሉ?</v>
      </c>
      <c r="I11" s="8" t="str">
        <f>IFERROR(__xludf.DUMMYFUNCTION(" GOOGLETRANSLATE(C11, ""en"", ""am"")"),"ሀ. 4 ሯጮች ለ. 5 ሯጮች C. 2 ሯጮች D. 4 ሯጮች")</f>
        <v>ሀ. 4 ሯጮች ለ. 5 ሯጮች C. 2 ሯጮች D. 4 ሯጮች</v>
      </c>
      <c r="J11" s="8" t="str">
        <f>IFERROR(__xludf.DUMMYFUNCTION(" GOOGLETRANSLATE(D11, ""en"", ""am"")"),"4 ሯጮች")</f>
        <v>4 ሯጮች</v>
      </c>
      <c r="K11" s="8" t="str">
        <f>IFERROR(__xludf.DUMMYFUNCTION(" GOOGLETRANSLATE(E11, ""en"", ""am"")"),"እያንዳንዱ የውድድር ቡድን 4 ሯጮችን ያቀፈ ነው።")</f>
        <v>እያንዳንዱ የውድድር ቡድን 4 ሯጮችን ያቀፈ ነው።</v>
      </c>
    </row>
    <row r="12" ht="22.5" customHeight="1">
      <c r="A12" s="13">
        <v>11.0</v>
      </c>
      <c r="B12" s="14" t="s">
        <v>905</v>
      </c>
      <c r="C12" s="14" t="s">
        <v>906</v>
      </c>
      <c r="D12" s="14" t="s">
        <v>907</v>
      </c>
      <c r="E12" s="14" t="s">
        <v>908</v>
      </c>
      <c r="G12" s="8" t="str">
        <f>IFERROR(__xludf.DUMMYFUNCTION(" GOOGLETRANSLATE(A12, ""en"", ""am"")"),"11")</f>
        <v>11</v>
      </c>
      <c r="H12" s="8" t="str">
        <f>IFERROR(__xludf.DUMMYFUNCTION(" GOOGLETRANSLATE(B12, ""en"", ""am"")"),"አንድ ሯጭ በ200 ሜትር ውድድር ከትራክ ቢወጣ ምን ይሆናል?")</f>
        <v>አንድ ሯጭ በ200 ሜትር ውድድር ከትራክ ቢወጣ ምን ይሆናል?</v>
      </c>
      <c r="I12" s="8" t="str">
        <f>IFERROR(__xludf.DUMMYFUNCTION(" GOOGLETRANSLATE(C12, ""en"", ""am"")"),"ሀ. የተቀጣ ለ. አስጠንቅቋል ሐ. እንዲቀጥል ተፈቅዶለታል መ. ብቃት የሌለው")</f>
        <v>ሀ. የተቀጣ ለ. አስጠንቅቋል ሐ. እንዲቀጥል ተፈቅዶለታል መ. ብቃት የሌለው</v>
      </c>
      <c r="J12" s="8" t="str">
        <f>IFERROR(__xludf.DUMMYFUNCTION(" GOOGLETRANSLATE(D12, ""en"", ""am"")"),"ብቁ ያልሆነ")</f>
        <v>ብቁ ያልሆነ</v>
      </c>
      <c r="K12" s="8" t="str">
        <f>IFERROR(__xludf.DUMMYFUNCTION(" GOOGLETRANSLATE(E12, ""en"", ""am"")"),"ከመንገዳቸው የወጣ ሯጭ ከውድድሩ ውጪ ይሆናል።")</f>
        <v>ከመንገዳቸው የወጣ ሯጭ ከውድድሩ ውጪ ይሆናል።</v>
      </c>
    </row>
    <row r="13" ht="22.5" customHeight="1">
      <c r="A13" s="13">
        <v>12.0</v>
      </c>
      <c r="B13" s="14" t="s">
        <v>909</v>
      </c>
      <c r="C13" s="14" t="s">
        <v>910</v>
      </c>
      <c r="D13" s="14" t="s">
        <v>911</v>
      </c>
      <c r="E13" s="14" t="s">
        <v>912</v>
      </c>
      <c r="G13" s="8" t="str">
        <f>IFERROR(__xludf.DUMMYFUNCTION(" GOOGLETRANSLATE(A13, ""en"", ""am"")"),"12")</f>
        <v>12</v>
      </c>
      <c r="H13" s="8" t="str">
        <f>IFERROR(__xludf.DUMMYFUNCTION(" GOOGLETRANSLATE(B13, ""en"", ""am"")"),"በ110 ሜትር መሰናክል ውድድር ውስጥ ስንት መሰናክሎች አሉ?")</f>
        <v>በ110 ሜትር መሰናክል ውድድር ውስጥ ስንት መሰናክሎች አሉ?</v>
      </c>
      <c r="I13" s="8" t="str">
        <f>IFERROR(__xludf.DUMMYFUNCTION(" GOOGLETRANSLATE(C13, ""en"", ""am"")"),"ሀ.9 እንቅፋት ለ. 10 እንቅፋት ሐ. 12 እንቅፋት መ. 10 እንቅፋት")</f>
        <v>ሀ.9 እንቅፋት ለ. 10 እንቅፋት ሐ. 12 እንቅፋት መ. 10 እንቅፋት</v>
      </c>
      <c r="J13" s="8" t="str">
        <f>IFERROR(__xludf.DUMMYFUNCTION(" GOOGLETRANSLATE(D13, ""en"", ""am"")"),"10 እንቅፋቶች")</f>
        <v>10 እንቅፋቶች</v>
      </c>
      <c r="K13" s="8" t="str">
        <f>IFERROR(__xludf.DUMMYFUNCTION(" GOOGLETRANSLATE(E13, ""en"", ""am"")"),"የ110 ሜትር መሰናክል ውድድር 10 መሰናክሎች አሉት።")</f>
        <v>የ110 ሜትር መሰናክል ውድድር 10 መሰናክሎች አሉት።</v>
      </c>
    </row>
    <row r="14" ht="22.5" customHeight="1">
      <c r="A14" s="13">
        <v>13.0</v>
      </c>
      <c r="B14" s="14" t="s">
        <v>913</v>
      </c>
      <c r="C14" s="14" t="s">
        <v>914</v>
      </c>
      <c r="D14" s="14" t="s">
        <v>915</v>
      </c>
      <c r="E14" s="14" t="s">
        <v>916</v>
      </c>
      <c r="G14" s="8" t="str">
        <f>IFERROR(__xludf.DUMMYFUNCTION(" GOOGLETRANSLATE(A14, ""en"", ""am"")"),"13")</f>
        <v>13</v>
      </c>
      <c r="H14" s="8" t="str">
        <f>IFERROR(__xludf.DUMMYFUNCTION(" GOOGLETRANSLATE(B14, ""en"", ""am"")"),"በኦሎምፒክ የወንዶች 100 ሜትር ውድድር የማጣሪያ መስፈርት ምን ይመስላል?")</f>
        <v>በኦሎምፒክ የወንዶች 100 ሜትር ውድድር የማጣሪያ መስፈርት ምን ይመስላል?</v>
      </c>
      <c r="I14" s="8" t="str">
        <f>IFERROR(__xludf.DUMMYFUNCTION(" GOOGLETRANSLATE(C14, ""en"", ""am"")"),"አ. 10.00 ሰከንድ ለ. 10.50 ሰከንድ ሐ. 9.50 ሰከንድ መ. 9.80 ሴኮንድ")</f>
        <v>አ. 10.00 ሰከንድ ለ. 10.50 ሰከንድ ሐ. 9.50 ሰከንድ መ. 9.80 ሴኮንድ</v>
      </c>
      <c r="J14" s="8" t="str">
        <f>IFERROR(__xludf.DUMMYFUNCTION(" GOOGLETRANSLATE(D14, ""en"", ""am"")"),"9.80 ሰከንድ")</f>
        <v>9.80 ሰከንድ</v>
      </c>
      <c r="K14" s="8" t="str">
        <f>IFERROR(__xludf.DUMMYFUNCTION(" GOOGLETRANSLATE(E14, ""en"", ""am"")"),"በኦሎምፒክ ለወንዶች 100 ሜትር የማጣሪያ ጊዜ በተለምዶ 9.80 ሰከንድ ነው።")</f>
        <v>በኦሎምፒክ ለወንዶች 100 ሜትር የማጣሪያ ጊዜ በተለምዶ 9.80 ሰከንድ ነው።</v>
      </c>
    </row>
    <row r="15" ht="22.5" customHeight="1">
      <c r="A15" s="13">
        <v>14.0</v>
      </c>
      <c r="B15" s="14" t="s">
        <v>917</v>
      </c>
      <c r="C15" s="14" t="s">
        <v>918</v>
      </c>
      <c r="D15" s="14" t="s">
        <v>919</v>
      </c>
      <c r="E15" s="14" t="s">
        <v>920</v>
      </c>
      <c r="G15" s="8" t="str">
        <f>IFERROR(__xludf.DUMMYFUNCTION(" GOOGLETRANSLATE(A15, ""en"", ""am"")"),"14")</f>
        <v>14</v>
      </c>
      <c r="H15" s="8" t="str">
        <f>IFERROR(__xludf.DUMMYFUNCTION(" GOOGLETRANSLATE(B15, ""en"", ""am"")"),"የ Decathlon ዋና ዓላማ ምንድን ነው?")</f>
        <v>የ Decathlon ዋና ዓላማ ምንድን ነው?</v>
      </c>
      <c r="I15" s="8" t="str">
        <f>IFERROR(__xludf.DUMMYFUNCTION(" GOOGLETRANSLATE(C15, ""en"", ""am"")"),"ሀ. ዝለል ለ. መወርወር ሐ. 10 ዝግጅቶችን አጠናቅቅ. 10 ክስተቶችን አጠናቅቅ")</f>
        <v>ሀ. ዝለል ለ. መወርወር ሐ. 10 ዝግጅቶችን አጠናቅቅ. 10 ክስተቶችን አጠናቅቅ</v>
      </c>
      <c r="J15" s="8" t="str">
        <f>IFERROR(__xludf.DUMMYFUNCTION(" GOOGLETRANSLATE(D15, ""en"", ""am"")"),"10 ዝግጅቶችን ያጠናቅቁ")</f>
        <v>10 ዝግጅቶችን ያጠናቅቁ</v>
      </c>
      <c r="K15" s="8" t="str">
        <f>IFERROR(__xludf.DUMMYFUNCTION(" GOOGLETRANSLATE(E15, ""en"", ""am"")"),"ከፍተኛ ድምር ውጤት ለማግኘት ዲካትሎን 10 ክስተቶችን ያካትታል።")</f>
        <v>ከፍተኛ ድምር ውጤት ለማግኘት ዲካትሎን 10 ክስተቶችን ያካትታል።</v>
      </c>
    </row>
    <row r="16" ht="22.5" customHeight="1">
      <c r="A16" s="13">
        <v>15.0</v>
      </c>
      <c r="B16" s="14" t="s">
        <v>921</v>
      </c>
      <c r="C16" s="14" t="s">
        <v>922</v>
      </c>
      <c r="D16" s="14" t="s">
        <v>923</v>
      </c>
      <c r="E16" s="14" t="s">
        <v>924</v>
      </c>
      <c r="G16" s="8" t="str">
        <f>IFERROR(__xludf.DUMMYFUNCTION(" GOOGLETRANSLATE(A16, ""en"", ""am"")"),"15")</f>
        <v>15</v>
      </c>
      <c r="H16" s="8" t="str">
        <f>IFERROR(__xludf.DUMMYFUNCTION(" GOOGLETRANSLATE(B16, ""en"", ""am"")"),"በትራክ እና በሜዳ ላይ የትኛው ክስተት አትሌቶች ባር እንዲያጸዱ የሚፈልግ?")</f>
        <v>በትራክ እና በሜዳ ላይ የትኛው ክስተት አትሌቶች ባር እንዲያጸዱ የሚፈልግ?</v>
      </c>
      <c r="I16" s="8" t="str">
        <f>IFERROR(__xludf.DUMMYFUNCTION(" GOOGLETRANSLATE(C16, ""en"", ""am"")"),"ሀ. ከፍተኛ ዝላይ ለ. በጥይት ሙት ሲ. ጄቭሊን ዲ. ከፍተኛ ዝላይ")</f>
        <v>ሀ. ከፍተኛ ዝላይ ለ. በጥይት ሙት ሲ. ጄቭሊን ዲ. ከፍተኛ ዝላይ</v>
      </c>
      <c r="J16" s="8" t="str">
        <f>IFERROR(__xludf.DUMMYFUNCTION(" GOOGLETRANSLATE(D16, ""en"", ""am"")"),"ከፍተኛ ዝላይ")</f>
        <v>ከፍተኛ ዝላይ</v>
      </c>
      <c r="K16" s="8" t="str">
        <f>IFERROR(__xludf.DUMMYFUNCTION(" GOOGLETRANSLATE(E16, ""en"", ""am"")"),"ለከፍተኛ መዝለያዎች ባር ማጽዳትን ያካትታል.")</f>
        <v>ለከፍተኛ መዝለያዎች ባር ማጽዳትን ያካትታል.</v>
      </c>
    </row>
    <row r="17" ht="22.5" customHeight="1">
      <c r="A17" s="13">
        <v>16.0</v>
      </c>
      <c r="B17" s="14" t="s">
        <v>925</v>
      </c>
      <c r="C17" s="14" t="s">
        <v>926</v>
      </c>
      <c r="D17" s="14" t="s">
        <v>927</v>
      </c>
      <c r="E17" s="14" t="s">
        <v>928</v>
      </c>
      <c r="G17" s="8" t="str">
        <f>IFERROR(__xludf.DUMMYFUNCTION(" GOOGLETRANSLATE(A17, ""en"", ""am"")"),"16")</f>
        <v>16</v>
      </c>
      <c r="H17" s="8" t="str">
        <f>IFERROR(__xludf.DUMMYFUNCTION(" GOOGLETRANSLATE(B17, ""en"", ""am"")"),"የትኛው የትራክ ክስተት ረዥሙ ርቀት አለው?")</f>
        <v>የትኛው የትራክ ክስተት ረዥሙ ርቀት አለው?</v>
      </c>
      <c r="I17" s="8" t="str">
        <f>IFERROR(__xludf.DUMMYFUNCTION(" GOOGLETRANSLATE(C17, ""en"", ""am"")"),"ሀ 5,000 ሜትር B. ማራቶን ሲ. የግማሽ ማራቶን ዲ. ማራቶን")</f>
        <v>ሀ 5,000 ሜትር B. ማራቶን ሲ. የግማሽ ማራቶን ዲ. ማራቶን</v>
      </c>
      <c r="J17" s="8" t="str">
        <f>IFERROR(__xludf.DUMMYFUNCTION(" GOOGLETRANSLATE(D17, ""en"", ""am"")"),"ማራቶን")</f>
        <v>ማራቶን</v>
      </c>
      <c r="K17" s="8" t="str">
        <f>IFERROR(__xludf.DUMMYFUNCTION(" GOOGLETRANSLATE(E17, ""en"", ""am"")"),"ማራቶን ረጅሙ የርቀት ውድድር ነው።")</f>
        <v>ማራቶን ረጅሙ የርቀት ውድድር ነው።</v>
      </c>
    </row>
    <row r="18" ht="22.5" customHeight="1">
      <c r="A18" s="13">
        <v>17.0</v>
      </c>
      <c r="B18" s="14" t="s">
        <v>929</v>
      </c>
      <c r="C18" s="14" t="s">
        <v>930</v>
      </c>
      <c r="D18" s="14" t="s">
        <v>931</v>
      </c>
      <c r="E18" s="14" t="s">
        <v>932</v>
      </c>
      <c r="G18" s="8" t="str">
        <f>IFERROR(__xludf.DUMMYFUNCTION(" GOOGLETRANSLATE(A18, ""en"", ""am"")"),"17")</f>
        <v>17</v>
      </c>
      <c r="H18" s="8" t="str">
        <f>IFERROR(__xludf.DUMMYFUNCTION(" GOOGLETRANSLATE(B18, ""en"", ""am"")"),"'steeplechase' የሚለው ቃል ምንን ያመለክታል?")</f>
        <v>'steeplechase' የሚለው ቃል ምንን ያመለክታል?</v>
      </c>
      <c r="I18" s="8" t="str">
        <f>IFERROR(__xludf.DUMMYFUNCTION(" GOOGLETRANSLATE(C18, ""en"", ""am"")"),"A. Sprint ክስተት ለ. በአሸዋ ላይ እሽቅድምድም ሐ. የተራራ እሽቅድምድም D. መሰናክል እና የውሃ ጉድጓድ ውድድር")</f>
        <v>A. Sprint ክስተት ለ. በአሸዋ ላይ እሽቅድምድም ሐ. የተራራ እሽቅድምድም D. መሰናክል እና የውሃ ጉድጓድ ውድድር</v>
      </c>
      <c r="J18" s="8" t="str">
        <f>IFERROR(__xludf.DUMMYFUNCTION(" GOOGLETRANSLATE(D18, ""en"", ""am"")"),"እንቅፋት እና የውሃ ጉድጓድ ውድድር")</f>
        <v>እንቅፋት እና የውሃ ጉድጓድ ውድድር</v>
      </c>
      <c r="K18" s="8" t="str">
        <f>IFERROR(__xludf.DUMMYFUNCTION(" GOOGLETRANSLATE(E18, ""en"", ""am"")"),"Steeplechase እንደ መሰናክሎች እና የውሃ ጉድጓዶች ያሉ መሰናክሎች ያሉት ውድድር ነው።")</f>
        <v>Steeplechase እንደ መሰናክሎች እና የውሃ ጉድጓዶች ያሉ መሰናክሎች ያሉት ውድድር ነው።</v>
      </c>
    </row>
    <row r="19" ht="22.5" customHeight="1">
      <c r="A19" s="13">
        <v>18.0</v>
      </c>
      <c r="B19" s="14" t="s">
        <v>933</v>
      </c>
      <c r="C19" s="14" t="s">
        <v>934</v>
      </c>
      <c r="D19" s="14" t="s">
        <v>935</v>
      </c>
      <c r="E19" s="14" t="s">
        <v>936</v>
      </c>
      <c r="G19" s="8" t="str">
        <f>IFERROR(__xludf.DUMMYFUNCTION(" GOOGLETRANSLATE(A19, ""en"", ""am"")"),"18")</f>
        <v>18</v>
      </c>
      <c r="H19" s="8" t="str">
        <f>IFERROR(__xludf.DUMMYFUNCTION(" GOOGLETRANSLATE(B19, ""en"", ""am"")"),"በትራክ እና በሜዳ ላይ የሴቶች ተኩስ ይፋዊ ክብደት ምን ያህል ነው?")</f>
        <v>በትራክ እና በሜዳ ላይ የሴቶች ተኩስ ይፋዊ ክብደት ምን ያህል ነው?</v>
      </c>
      <c r="I19" s="8" t="str">
        <f>IFERROR(__xludf.DUMMYFUNCTION(" GOOGLETRANSLATE(C19, ""en"", ""am"")"),"ሀ 4 ኪ.ግ ለ 5 ኪ.ግ ሐ. 7 ኪ.ግ ዲ 4 ኪ.ግ")</f>
        <v>ሀ 4 ኪ.ግ ለ 5 ኪ.ግ ሐ. 7 ኪ.ግ ዲ 4 ኪ.ግ</v>
      </c>
      <c r="J19" s="8" t="str">
        <f>IFERROR(__xludf.DUMMYFUNCTION(" GOOGLETRANSLATE(D19, ""en"", ""am"")"),"4 ኪ.ግ")</f>
        <v>4 ኪ.ግ</v>
      </c>
      <c r="K19" s="8" t="str">
        <f>IFERROR(__xludf.DUMMYFUNCTION(" GOOGLETRANSLATE(E19, ""en"", ""am"")"),"የሴቶች ሾት 4 ኪሎ ግራም ይመዝናል.")</f>
        <v>የሴቶች ሾት 4 ኪሎ ግራም ይመዝናል.</v>
      </c>
    </row>
    <row r="20" ht="22.5" customHeight="1">
      <c r="A20" s="13">
        <v>19.0</v>
      </c>
      <c r="B20" s="14" t="s">
        <v>937</v>
      </c>
      <c r="C20" s="14" t="s">
        <v>938</v>
      </c>
      <c r="D20" s="14" t="s">
        <v>939</v>
      </c>
      <c r="E20" s="14" t="s">
        <v>940</v>
      </c>
      <c r="G20" s="8" t="str">
        <f>IFERROR(__xludf.DUMMYFUNCTION(" GOOGLETRANSLATE(A20, ""en"", ""am"")"),"19")</f>
        <v>19</v>
      </c>
      <c r="H20" s="8" t="str">
        <f>IFERROR(__xludf.DUMMYFUNCTION(" GOOGLETRANSLATE(B20, ""en"", ""am"")"),"የሩጫ አሸናፊው እንዴት ይወሰናል?")</f>
        <v>የሩጫ አሸናፊው እንዴት ይወሰናል?</v>
      </c>
      <c r="I20" s="8" t="str">
        <f>IFERROR(__xludf.DUMMYFUNCTION(" GOOGLETRANSLATE(C20, ""en"", ""am"")"),"ሀ. በርቀት ለ. ከብዙ መሰናክሎች ተጠርጓል። ሐ. በከፍታ ላይ D. በጊዜ")</f>
        <v>ሀ. በርቀት ለ. ከብዙ መሰናክሎች ተጠርጓል። ሐ. በከፍታ ላይ D. በጊዜ</v>
      </c>
      <c r="J20" s="8" t="str">
        <f>IFERROR(__xludf.DUMMYFUNCTION(" GOOGLETRANSLATE(D20, ""en"", ""am"")"),"በጊዜ")</f>
        <v>በጊዜ</v>
      </c>
      <c r="K20" s="8" t="str">
        <f>IFERROR(__xludf.DUMMYFUNCTION(" GOOGLETRANSLATE(E20, ""en"", ""am"")"),"አሸናፊው የሚወሰነው በፈጣኑ ሰዓት ወይም በአጭር ርቀት ነው።")</f>
        <v>አሸናፊው የሚወሰነው በፈጣኑ ሰዓት ወይም በአጭር ርቀት ነው።</v>
      </c>
    </row>
    <row r="21" ht="22.5" customHeight="1">
      <c r="A21" s="13">
        <v>20.0</v>
      </c>
      <c r="B21" s="14" t="s">
        <v>941</v>
      </c>
      <c r="C21" s="14" t="s">
        <v>942</v>
      </c>
      <c r="D21" s="14" t="s">
        <v>943</v>
      </c>
      <c r="E21" s="14" t="s">
        <v>944</v>
      </c>
      <c r="G21" s="8" t="str">
        <f>IFERROR(__xludf.DUMMYFUNCTION(" GOOGLETRANSLATE(A21, ""en"", ""am"")"),"20")</f>
        <v>20</v>
      </c>
      <c r="H21" s="8" t="str">
        <f>IFERROR(__xludf.DUMMYFUNCTION(" GOOGLETRANSLATE(B21, ""en"", ""am"")"),"የ100 ሜትር ውድድር ምን ያህል ነው?")</f>
        <v>የ100 ሜትር ውድድር ምን ያህል ነው?</v>
      </c>
      <c r="I21" s="8" t="str">
        <f>IFERROR(__xludf.DUMMYFUNCTION(" GOOGLETRANSLATE(C21, ""en"", ""am"")"),"አ. 150 ሜትር B. 200 ሜትር ሴ. 50 ሜትር መ. 100 ሜትር")</f>
        <v>አ. 150 ሜትር B. 200 ሜትር ሴ. 50 ሜትር መ. 100 ሜትር</v>
      </c>
      <c r="J21" s="8" t="str">
        <f>IFERROR(__xludf.DUMMYFUNCTION(" GOOGLETRANSLATE(D21, ""en"", ""am"")"),"100 ሜትር")</f>
        <v>100 ሜትር</v>
      </c>
      <c r="K21" s="8" t="str">
        <f>IFERROR(__xludf.DUMMYFUNCTION(" GOOGLETRANSLATE(E21, ""en"", ""am"")"),"የ100 ሜትር ሩጫ በትክክል 100 ሜትር ርዝመት አለው።")</f>
        <v>የ100 ሜትር ሩጫ በትክክል 100 ሜትር ርዝመት አለው።</v>
      </c>
    </row>
    <row r="22" ht="22.5" customHeight="1">
      <c r="A22" s="13">
        <v>21.0</v>
      </c>
      <c r="B22" s="14" t="s">
        <v>945</v>
      </c>
      <c r="C22" s="14" t="e">
        <v>#VALUE!</v>
      </c>
      <c r="D22" s="14" t="s">
        <v>254</v>
      </c>
      <c r="E22" s="14" t="s">
        <v>254</v>
      </c>
      <c r="G22" s="8" t="str">
        <f>IFERROR(__xludf.DUMMYFUNCTION(" GOOGLETRANSLATE(A22, ""en"", ""am"")"),"21")</f>
        <v>21</v>
      </c>
      <c r="H22" s="8" t="str">
        <f>IFERROR(__xludf.DUMMYFUNCTION(" GOOGLETRANSLATE(B22, ""en"", ""am"")"),"በስፕሪት ውድድር ውስጥ የሚፈቀደው ከፍተኛው የውሸት ጅምር ቁጥር ስንት ነው?")</f>
        <v>በስፕሪት ውድድር ውስጥ የሚፈቀደው ከፍተኛው የውሸት ጅምር ቁጥር ስንት ነው?</v>
      </c>
      <c r="I22" s="8" t="str">
        <f>IFERROR(__xludf.DUMMYFUNCTION(" GOOGLETRANSLATE(C22, ""en"", ""am"")"),"#VALUE!")</f>
        <v>#VALUE!</v>
      </c>
      <c r="J22" s="8" t="str">
        <f>IFERROR(__xludf.DUMMYFUNCTION(" GOOGLETRANSLATE(D22, ""en"", ""am"")"),"1")</f>
        <v>1</v>
      </c>
      <c r="K22" s="8" t="str">
        <f>IFERROR(__xludf.DUMMYFUNCTION(" GOOGLETRANSLATE(E22, ""en"", ""am"")"),"1")</f>
        <v>1</v>
      </c>
    </row>
    <row r="23" ht="22.5" customHeight="1">
      <c r="A23" s="13">
        <v>22.0</v>
      </c>
      <c r="B23" s="14" t="s">
        <v>946</v>
      </c>
      <c r="C23" s="14" t="s">
        <v>947</v>
      </c>
      <c r="D23" s="14" t="s">
        <v>948</v>
      </c>
      <c r="E23" s="14" t="s">
        <v>949</v>
      </c>
      <c r="G23" s="8" t="str">
        <f>IFERROR(__xludf.DUMMYFUNCTION(" GOOGLETRANSLATE(A23, ""en"", ""am"")"),"22")</f>
        <v>22</v>
      </c>
      <c r="H23" s="8" t="str">
        <f>IFERROR(__xludf.DUMMYFUNCTION(" GOOGLETRANSLATE(B23, ""en"", ""am"")"),"ለተወዳዳሪ ሩጫ በጣም የተለመደው የትራክ አይነት ምንድነው?")</f>
        <v>ለተወዳዳሪ ሩጫ በጣም የተለመደው የትራክ አይነት ምንድነው?</v>
      </c>
      <c r="I23" s="8" t="str">
        <f>IFERROR(__xludf.DUMMYFUNCTION(" GOOGLETRANSLATE(C23, ""en"", ""am"")"),"ሀ. ሲንደር ቢ. አርቲፊሻል ሐ. ቆሻሻ ዲ. አርቲፊሻል")</f>
        <v>ሀ. ሲንደር ቢ. አርቲፊሻል ሐ. ቆሻሻ ዲ. አርቲፊሻል</v>
      </c>
      <c r="J23" s="8" t="str">
        <f>IFERROR(__xludf.DUMMYFUNCTION(" GOOGLETRANSLATE(D23, ""en"", ""am"")"),"ሰው ሰራሽ")</f>
        <v>ሰው ሰራሽ</v>
      </c>
      <c r="K23" s="8" t="str">
        <f>IFERROR(__xludf.DUMMYFUNCTION(" GOOGLETRANSLATE(E23, ""en"", ""am"")"),"አብዛኞቹ ተወዳዳሪ ትራኮች ለፍጥነት እና ለደህንነት ሲባል ከተዋሃዱ ነገሮች የተሠሩ ናቸው።")</f>
        <v>አብዛኞቹ ተወዳዳሪ ትራኮች ለፍጥነት እና ለደህንነት ሲባል ከተዋሃዱ ነገሮች የተሠሩ ናቸው።</v>
      </c>
    </row>
    <row r="24" ht="22.5" customHeight="1">
      <c r="A24" s="13">
        <v>23.0</v>
      </c>
      <c r="B24" s="14" t="s">
        <v>950</v>
      </c>
      <c r="C24" s="14" t="s">
        <v>951</v>
      </c>
      <c r="D24" s="14" t="s">
        <v>899</v>
      </c>
      <c r="E24" s="14" t="s">
        <v>952</v>
      </c>
      <c r="G24" s="8" t="str">
        <f>IFERROR(__xludf.DUMMYFUNCTION(" GOOGLETRANSLATE(A24, ""en"", ""am"")"),"23")</f>
        <v>23</v>
      </c>
      <c r="H24" s="8" t="str">
        <f>IFERROR(__xludf.DUMMYFUNCTION(" GOOGLETRANSLATE(B24, ""en"", ""am"")"),"የ 4x100 ሜትር ቅብብል የተለመደው ርቀት ምን ያህል ነው?")</f>
        <v>የ 4x100 ሜትር ቅብብል የተለመደው ርቀት ምን ያህል ነው?</v>
      </c>
      <c r="I24" s="8" t="str">
        <f>IFERROR(__xludf.DUMMYFUNCTION(" GOOGLETRANSLATE(C24, ""en"", ""am"")"),"አ. 400 ሜትር ለ. 1,200 ሜትር ሐ. 1,600 ሜትር መ. 400 ሜትር")</f>
        <v>አ. 400 ሜትር ለ. 1,200 ሜትር ሐ. 1,600 ሜትር መ. 400 ሜትር</v>
      </c>
      <c r="J24" s="8" t="str">
        <f>IFERROR(__xludf.DUMMYFUNCTION(" GOOGLETRANSLATE(D24, ""en"", ""am"")"),"400 ሜትር")</f>
        <v>400 ሜትር</v>
      </c>
      <c r="K24" s="8" t="str">
        <f>IFERROR(__xludf.DUMMYFUNCTION(" GOOGLETRANSLATE(E24, ""en"", ""am"")"),"የ 4x100 ሜትር ቅብብል ውድድር በአጠቃላይ 400 ሜትር ይሸፍናል.")</f>
        <v>የ 4x100 ሜትር ቅብብል ውድድር በአጠቃላይ 400 ሜትር ይሸፍናል.</v>
      </c>
    </row>
    <row r="25" ht="22.5" customHeight="1">
      <c r="A25" s="13">
        <v>24.0</v>
      </c>
      <c r="B25" s="14" t="s">
        <v>953</v>
      </c>
      <c r="C25" s="14" t="s">
        <v>954</v>
      </c>
      <c r="D25" s="14" t="s">
        <v>955</v>
      </c>
      <c r="E25" s="14" t="s">
        <v>956</v>
      </c>
      <c r="G25" s="8" t="str">
        <f>IFERROR(__xludf.DUMMYFUNCTION(" GOOGLETRANSLATE(A25, ""en"", ""am"")"),"24")</f>
        <v>24</v>
      </c>
      <c r="H25" s="8" t="str">
        <f>IFERROR(__xludf.DUMMYFUNCTION(" GOOGLETRANSLATE(B25, ""en"", ""am"")"),"ሯጮች በስፕሪት ውድድር እንዴት ይጀምራሉ?")</f>
        <v>ሯጮች በስፕሪት ውድድር እንዴት ይጀምራሉ?</v>
      </c>
      <c r="I25" s="8" t="str">
        <f>IFERROR(__xludf.DUMMYFUNCTION(" GOOGLETRANSLATE(C25, ""en"", ""am"")"),"ሀ. ከተሰቀለበት ቦታ ለ. ከተቀመጡበት ቦታ ሐ. ከተንበረከኩበት ቦታ D. ከተሰቀለበት ቦታ.")</f>
        <v>ሀ. ከተሰቀለበት ቦታ ለ. ከተቀመጡበት ቦታ ሐ. ከተንበረከኩበት ቦታ D. ከተሰቀለበት ቦታ.</v>
      </c>
      <c r="J25" s="8" t="str">
        <f>IFERROR(__xludf.DUMMYFUNCTION(" GOOGLETRANSLATE(D25, ""en"", ""am"")"),"ከተሰቀለበት ቦታ")</f>
        <v>ከተሰቀለበት ቦታ</v>
      </c>
      <c r="K25" s="8" t="str">
        <f>IFERROR(__xludf.DUMMYFUNCTION(" GOOGLETRANSLATE(E25, ""en"", ""am"")"),"ሯጮች በስፕሪት ፉክክር ውስጥ ከኮረብታ ይጀምራሉ።")</f>
        <v>ሯጮች በስፕሪት ፉክክር ውስጥ ከኮረብታ ይጀምራሉ።</v>
      </c>
    </row>
    <row r="26" ht="22.5" customHeight="1">
      <c r="A26" s="13">
        <v>25.0</v>
      </c>
      <c r="B26" s="14" t="s">
        <v>957</v>
      </c>
      <c r="C26" s="14" t="s">
        <v>958</v>
      </c>
      <c r="D26" s="14" t="s">
        <v>959</v>
      </c>
      <c r="E26" s="14" t="s">
        <v>960</v>
      </c>
      <c r="G26" s="8" t="str">
        <f>IFERROR(__xludf.DUMMYFUNCTION(" GOOGLETRANSLATE(A26, ""en"", ""am"")"),"25")</f>
        <v>25</v>
      </c>
      <c r="H26" s="8" t="str">
        <f>IFERROR(__xludf.DUMMYFUNCTION(" GOOGLETRANSLATE(B26, ""en"", ""am"")"),"አትሌቶች በተቻለ መጠን በጣም ከባድ የሆነውን ኳስ ለመጣል የሚሞክሩት በየትኛው ክስተት ነው?")</f>
        <v>አትሌቶች በተቻለ መጠን በጣም ከባድ የሆነውን ኳስ ለመጣል የሚሞክሩት በየትኛው ክስተት ነው?</v>
      </c>
      <c r="I26" s="8" t="str">
        <f>IFERROR(__xludf.DUMMYFUNCTION(" GOOGLETRANSLATE(C26, ""en"", ""am"")"),"ሀ. በጥይት ሞተ ቢ.Javelin ወረወረው ሐ.መዶሻ መወርወር D. Shot dead")</f>
        <v>ሀ. በጥይት ሞተ ቢ.Javelin ወረወረው ሐ.መዶሻ መወርወር D. Shot dead</v>
      </c>
      <c r="J26" s="8" t="str">
        <f>IFERROR(__xludf.DUMMYFUNCTION(" GOOGLETRANSLATE(D26, ""en"", ""am"")"),"በጥይት ሞቱ")</f>
        <v>በጥይት ሞቱ</v>
      </c>
      <c r="K26" s="8" t="str">
        <f>IFERROR(__xludf.DUMMYFUNCTION(" GOOGLETRANSLATE(E26, ""en"", ""am"")"),"በጥይት መቀመጥ ለርቀት ከባድ ኳስ መወርወርን ያካትታል።")</f>
        <v>በጥይት መቀመጥ ለርቀት ከባድ ኳስ መወርወርን ያካትታል።</v>
      </c>
    </row>
    <row r="27" ht="22.5" customHeight="1">
      <c r="A27" s="13">
        <v>26.0</v>
      </c>
      <c r="B27" s="14" t="s">
        <v>961</v>
      </c>
      <c r="C27" s="14" t="s">
        <v>962</v>
      </c>
      <c r="D27" s="14" t="s">
        <v>963</v>
      </c>
      <c r="E27" s="14" t="s">
        <v>964</v>
      </c>
      <c r="G27" s="8" t="str">
        <f>IFERROR(__xludf.DUMMYFUNCTION(" GOOGLETRANSLATE(A27, ""en"", ""am"")"),"26")</f>
        <v>26</v>
      </c>
      <c r="H27" s="8" t="str">
        <f>IFERROR(__xludf.DUMMYFUNCTION(" GOOGLETRANSLATE(B27, ""en"", ""am"")"),"የትራክ እና የመስክ ቅብብሎሽ ውድድር መሰረታዊ ቅርጸት ምንድነው?")</f>
        <v>የትራክ እና የመስክ ቅብብሎሽ ውድድር መሰረታዊ ቅርጸት ምንድነው?</v>
      </c>
      <c r="I27" s="8" t="str">
        <f>IFERROR(__xludf.DUMMYFUNCTION(" GOOGLETRANSLATE(C27, ""en"", ""am"")"),"ሀ. እያንዳንዱ ቡድን 5 አባላት አሉት። ለ. እያንዳንዱ ቡድን 4 አባላት አሉት. ሐ. እያንዳንዱ ቡድን 6 አባላት አሉት። መ.እያንዳንዱ ቡድን 4 አባላት አሉት።")</f>
        <v>ሀ. እያንዳንዱ ቡድን 5 አባላት አሉት። ለ. እያንዳንዱ ቡድን 4 አባላት አሉት. ሐ. እያንዳንዱ ቡድን 6 አባላት አሉት። መ.እያንዳንዱ ቡድን 4 አባላት አሉት።</v>
      </c>
      <c r="J27" s="8" t="str">
        <f>IFERROR(__xludf.DUMMYFUNCTION(" GOOGLETRANSLATE(D27, ""en"", ""am"")"),"እያንዳንዱ ቡድን 4 አባላት አሉት.")</f>
        <v>እያንዳንዱ ቡድን 4 አባላት አሉት.</v>
      </c>
      <c r="K27" s="8" t="str">
        <f>IFERROR(__xludf.DUMMYFUNCTION(" GOOGLETRANSLATE(E27, ""en"", ""am"")"),"የዝውውር ውድድር በትሩን በሚያልፉ ቡድኖች 4 አባላት አሉት።")</f>
        <v>የዝውውር ውድድር በትሩን በሚያልፉ ቡድኖች 4 አባላት አሉት።</v>
      </c>
    </row>
    <row r="28" ht="22.5" customHeight="1">
      <c r="A28" s="13">
        <v>27.0</v>
      </c>
      <c r="B28" s="14" t="s">
        <v>965</v>
      </c>
      <c r="C28" s="14" t="s">
        <v>966</v>
      </c>
      <c r="D28" s="14" t="s">
        <v>967</v>
      </c>
      <c r="E28" s="14" t="s">
        <v>968</v>
      </c>
      <c r="G28" s="8" t="str">
        <f>IFERROR(__xludf.DUMMYFUNCTION(" GOOGLETRANSLATE(A28, ""en"", ""am"")"),"27")</f>
        <v>27</v>
      </c>
      <c r="H28" s="8" t="str">
        <f>IFERROR(__xludf.DUMMYFUNCTION(" GOOGLETRANSLATE(B28, ""en"", ""am"")"),"የአንድ ውድድር የመጨረሻ ደረጃ እንዴት ይወሰናል?")</f>
        <v>የአንድ ውድድር የመጨረሻ ደረጃ እንዴት ይወሰናል?</v>
      </c>
      <c r="I28" s="8" t="str">
        <f>IFERROR(__xludf.DUMMYFUNCTION(" GOOGLETRANSLATE(C28, ""en"", ""am"")"),"ሀ. በርቀት ለ. የተሳካላቸው የዱላ ልውውጦች ብዛት ሐ. በአትሌቶች ብዛት መ. በቡድን ፈጣን ሰዓት")</f>
        <v>ሀ. በርቀት ለ. የተሳካላቸው የዱላ ልውውጦች ብዛት ሐ. በአትሌቶች ብዛት መ. በቡድን ፈጣን ሰዓት</v>
      </c>
      <c r="J28" s="8" t="str">
        <f>IFERROR(__xludf.DUMMYFUNCTION(" GOOGLETRANSLATE(D28, ""en"", ""am"")"),"በጣም ፈጣን በሆነ የቡድን ጊዜ")</f>
        <v>በጣም ፈጣን በሆነ የቡድን ጊዜ</v>
      </c>
      <c r="K28" s="8" t="str">
        <f>IFERROR(__xludf.DUMMYFUNCTION(" GOOGLETRANSLATE(E28, ""en"", ""am"")"),"ፈጣን ሰአት ያለው ቡድን የድጋሚ ውድድርን አሸንፏል።")</f>
        <v>ፈጣን ሰአት ያለው ቡድን የድጋሚ ውድድርን አሸንፏል።</v>
      </c>
    </row>
    <row r="29" ht="22.5" customHeight="1">
      <c r="A29" s="13">
        <v>28.0</v>
      </c>
      <c r="B29" s="14" t="s">
        <v>969</v>
      </c>
      <c r="C29" s="14" t="s">
        <v>970</v>
      </c>
      <c r="D29" s="14" t="s">
        <v>971</v>
      </c>
      <c r="E29" s="14" t="s">
        <v>972</v>
      </c>
      <c r="G29" s="8" t="str">
        <f>IFERROR(__xludf.DUMMYFUNCTION(" GOOGLETRANSLATE(A29, ""en"", ""am"")"),"28")</f>
        <v>28</v>
      </c>
      <c r="H29" s="8" t="str">
        <f>IFERROR(__xludf.DUMMYFUNCTION(" GOOGLETRANSLATE(B29, ""en"", ""am"")"),"በትራክ እሽቅድምድም ውስጥ የአንድ መስመር ዓላማ ምንድን ነው?")</f>
        <v>በትራክ እሽቅድምድም ውስጥ የአንድ መስመር ዓላማ ምንድን ነው?</v>
      </c>
      <c r="I29" s="8" t="str">
        <f>IFERROR(__xludf.DUMMYFUNCTION(" GOOGLETRANSLATE(C29, ""en"", ""am"")"),"ሀ. ርቀቱን ለመወሰን B. ወደ ችግሩ መጨመር ሐ. ሯጮች እንዳይወድቁ ለመከላከል መ. ሯጮችን ለመለየት.")</f>
        <v>ሀ. ርቀቱን ለመወሰን B. ወደ ችግሩ መጨመር ሐ. ሯጮች እንዳይወድቁ ለመከላከል መ. ሯጮችን ለመለየት.</v>
      </c>
      <c r="J29" s="8" t="str">
        <f>IFERROR(__xludf.DUMMYFUNCTION(" GOOGLETRANSLATE(D29, ""en"", ""am"")"),"ሯጮችን ለመለየት")</f>
        <v>ሯጮችን ለመለየት</v>
      </c>
      <c r="K29" s="8" t="str">
        <f>IFERROR(__xludf.DUMMYFUNCTION(" GOOGLETRANSLATE(E29, ""en"", ""am"")"),"በሩጫ ወቅት፣ ሯጮች በተሰጣቸው መስመር ላይ እንዲቆዩ መስመሮች ይጠቅማሉ።")</f>
        <v>በሩጫ ወቅት፣ ሯጮች በተሰጣቸው መስመር ላይ እንዲቆዩ መስመሮች ይጠቅማሉ።</v>
      </c>
    </row>
    <row r="30" ht="22.5" customHeight="1">
      <c r="A30" s="13">
        <v>29.0</v>
      </c>
      <c r="B30" s="14" t="s">
        <v>973</v>
      </c>
      <c r="C30" s="14" t="s">
        <v>974</v>
      </c>
      <c r="D30" s="14" t="s">
        <v>975</v>
      </c>
      <c r="E30" s="14" t="s">
        <v>976</v>
      </c>
      <c r="G30" s="8" t="str">
        <f>IFERROR(__xludf.DUMMYFUNCTION(" GOOGLETRANSLATE(A30, ""en"", ""am"")"),"29")</f>
        <v>29</v>
      </c>
      <c r="H30" s="8" t="str">
        <f>IFERROR(__xludf.DUMMYFUNCTION(" GOOGLETRANSLATE(B30, ""en"", ""am"")"),"በክስተቶች ውስጥ ያሉ መዝገቦች በተለምዶ እንዴት ይለካሉ?")</f>
        <v>በክስተቶች ውስጥ ያሉ መዝገቦች በተለምዶ እንዴት ይለካሉ?</v>
      </c>
      <c r="I30" s="8" t="str">
        <f>IFERROR(__xludf.DUMMYFUNCTION(" GOOGLETRANSLATE(C30, ""en"", ""am"")"),"A. በሰአታት ውስጥ B. በሰከንድ ሐ. በሜትር መ. በሰከንድ")</f>
        <v>A. በሰአታት ውስጥ B. በሰከንድ ሐ. በሜትር መ. በሰከንድ</v>
      </c>
      <c r="J30" s="8" t="str">
        <f>IFERROR(__xludf.DUMMYFUNCTION(" GOOGLETRANSLATE(D30, ""en"", ""am"")"),"በሰከንዶች ውስጥ")</f>
        <v>በሰከንዶች ውስጥ</v>
      </c>
      <c r="K30" s="8" t="str">
        <f>IFERROR(__xludf.DUMMYFUNCTION(" GOOGLETRANSLATE(E30, ""en"", ""am"")"),"የሩጫ ክስተት መዝገቦች በጊዜ፣ በሰከንዶች ይለካሉ።")</f>
        <v>የሩጫ ክስተት መዝገቦች በጊዜ፣ በሰከንዶች ይለካሉ።</v>
      </c>
    </row>
    <row r="31" ht="22.5" customHeight="1">
      <c r="A31" s="13">
        <v>30.0</v>
      </c>
      <c r="B31" s="14" t="s">
        <v>977</v>
      </c>
      <c r="C31" s="14" t="s">
        <v>978</v>
      </c>
      <c r="D31" s="14" t="s">
        <v>979</v>
      </c>
      <c r="E31" s="14" t="s">
        <v>980</v>
      </c>
      <c r="G31" s="8" t="str">
        <f>IFERROR(__xludf.DUMMYFUNCTION(" GOOGLETRANSLATE(A31, ""en"", ""am"")"),"30")</f>
        <v>30</v>
      </c>
      <c r="H31" s="8" t="str">
        <f>IFERROR(__xludf.DUMMYFUNCTION(" GOOGLETRANSLATE(B31, ""en"", ""am"")"),"በ 100 ሜትር ውድድር ውስጥ ለ Sprinter መነሻ ቦታ ምንድነው?")</f>
        <v>በ 100 ሜትር ውድድር ውስጥ ለ Sprinter መነሻ ቦታ ምንድነው?</v>
      </c>
      <c r="I31" s="8" t="str">
        <f>IFERROR(__xludf.DUMMYFUNCTION(" GOOGLETRANSLATE(C31, ""en"", ""am"")"),"ሀ. በ B ላይ መታጠፍ የተቀመጠ ሐ. በአራቱም እግሮች መ. መታጠፍ")</f>
        <v>ሀ. በ B ላይ መታጠፍ የተቀመጠ ሐ. በአራቱም እግሮች መ. መታጠፍ</v>
      </c>
      <c r="J31" s="8" t="str">
        <f>IFERROR(__xludf.DUMMYFUNCTION(" GOOGLETRANSLATE(D31, ""en"", ""am"")"),"ለመታጠፍ")</f>
        <v>ለመታጠፍ</v>
      </c>
      <c r="K31" s="8" t="str">
        <f>IFERROR(__xludf.DUMMYFUNCTION(" GOOGLETRANSLATE(E31, ""en"", ""am"")"),"በ100 ሜትር ሩጫ ሯጮች ከጉልበት ቦታ ይጀምራሉ።")</f>
        <v>በ100 ሜትር ሩጫ ሯጮች ከጉልበት ቦታ ይጀምራሉ።</v>
      </c>
    </row>
    <row r="32" ht="22.5" customHeight="1">
      <c r="A32" s="13">
        <v>31.0</v>
      </c>
      <c r="B32" s="14" t="s">
        <v>981</v>
      </c>
      <c r="C32" s="14" t="s">
        <v>982</v>
      </c>
      <c r="D32" s="14" t="s">
        <v>983</v>
      </c>
      <c r="E32" s="14" t="s">
        <v>984</v>
      </c>
      <c r="G32" s="8" t="str">
        <f>IFERROR(__xludf.DUMMYFUNCTION(" GOOGLETRANSLATE(A32, ""en"", ""am"")"),"31")</f>
        <v>31</v>
      </c>
      <c r="H32" s="8" t="str">
        <f>IFERROR(__xludf.DUMMYFUNCTION(" GOOGLETRANSLATE(B32, ""en"", ""am"")"),"በፖል ቮልት ውስጥ ያሉ አትሌቶች አሞሌውን ለማጽዳት የሚሞክሩት እንዴት ነው?")</f>
        <v>በፖል ቮልት ውስጥ ያሉ አትሌቶች አሞሌውን ለማጽዳት የሚሞክሩት እንዴት ነው?</v>
      </c>
      <c r="I32" s="8" t="str">
        <f>IFERROR(__xludf.DUMMYFUNCTION(" GOOGLETRANSLATE(C32, ""en"", ""am"")"),"ሀ. ምሰሶውን በማወዛወዝ እና አሞሌውን በማጽዳት. ለ. ወደፊት በመዝለል ሐ. ምሰሶውን በመወርወር መ. ምሰሶውን በማወዛወዝ እና አሞሌውን በማጽዳት.")</f>
        <v>ሀ. ምሰሶውን በማወዛወዝ እና አሞሌውን በማጽዳት. ለ. ወደፊት በመዝለል ሐ. ምሰሶውን በመወርወር መ. ምሰሶውን በማወዛወዝ እና አሞሌውን በማጽዳት.</v>
      </c>
      <c r="J32" s="8" t="str">
        <f>IFERROR(__xludf.DUMMYFUNCTION(" GOOGLETRANSLATE(D32, ""en"", ""am"")"),"ምሰሶውን በማወዛወዝ እና አሞሌውን በማጽዳት.")</f>
        <v>ምሰሶውን በማወዛወዝ እና አሞሌውን በማጽዳት.</v>
      </c>
      <c r="K32" s="8" t="str">
        <f>IFERROR(__xludf.DUMMYFUNCTION(" GOOGLETRANSLATE(E32, ""en"", ""am"")"),"በፖል ቮልት ውስጥ፣ አትሌቶች አሞሌውን ለማጥራት የሚረዳውን ምሰሶ ይጠቀማሉ።")</f>
        <v>በፖል ቮልት ውስጥ፣ አትሌቶች አሞሌውን ለማጥራት የሚረዳውን ምሰሶ ይጠቀማሉ።</v>
      </c>
    </row>
    <row r="33" ht="22.5" customHeight="1">
      <c r="A33" s="13">
        <v>32.0</v>
      </c>
      <c r="B33" s="14" t="s">
        <v>985</v>
      </c>
      <c r="C33" s="14" t="s">
        <v>986</v>
      </c>
      <c r="D33" s="14" t="s">
        <v>987</v>
      </c>
      <c r="E33" s="14" t="s">
        <v>988</v>
      </c>
      <c r="G33" s="8" t="str">
        <f>IFERROR(__xludf.DUMMYFUNCTION(" GOOGLETRANSLATE(A33, ""en"", ""am"")"),"32")</f>
        <v>32</v>
      </c>
      <c r="H33" s="8" t="str">
        <f>IFERROR(__xludf.DUMMYFUNCTION(" GOOGLETRANSLATE(B33, ""en"", ""am"")"),"በሩጫ ውድድር ውስጥ ሯጮች እንዴት ይወገዳሉ?")</f>
        <v>በሩጫ ውድድር ውስጥ ሯጮች እንዴት ይወገዳሉ?</v>
      </c>
      <c r="I33" s="8" t="str">
        <f>IFERROR(__xludf.DUMMYFUNCTION(" GOOGLETRANSLATE(C33, ""en"", ""am"")"),"ሀ. አላለቀም ለ. ድንበሩን በመተው ሐ. የማጠናቀቂያ መስመሩን መጀመሪያ ማለፍ መ. ድንበሩን በመልቀቅ")</f>
        <v>ሀ. አላለቀም ለ. ድንበሩን በመተው ሐ. የማጠናቀቂያ መስመሩን መጀመሪያ ማለፍ መ. ድንበሩን በመልቀቅ</v>
      </c>
      <c r="J33" s="8" t="str">
        <f>IFERROR(__xludf.DUMMYFUNCTION(" GOOGLETRANSLATE(D33, ""en"", ""am"")"),"ድንበሩን በመተው")</f>
        <v>ድንበሩን በመተው</v>
      </c>
      <c r="K33" s="8" t="str">
        <f>IFERROR(__xludf.DUMMYFUNCTION(" GOOGLETRANSLATE(E33, ""en"", ""am"")"),"ከተመደበው መስመር ውጭ መራመድ ሯጩን ከቅብብሎሽ ውድድር ሊያሳጣው ይችላል።")</f>
        <v>ከተመደበው መስመር ውጭ መራመድ ሯጩን ከቅብብሎሽ ውድድር ሊያሳጣው ይችላል።</v>
      </c>
    </row>
    <row r="34" ht="22.5" customHeight="1">
      <c r="A34" s="13">
        <v>33.0</v>
      </c>
      <c r="B34" s="14" t="s">
        <v>989</v>
      </c>
      <c r="C34" s="14" t="s">
        <v>990</v>
      </c>
      <c r="D34" s="14" t="s">
        <v>991</v>
      </c>
      <c r="E34" s="14" t="s">
        <v>992</v>
      </c>
      <c r="G34" s="8" t="str">
        <f>IFERROR(__xludf.DUMMYFUNCTION(" GOOGLETRANSLATE(A34, ""en"", ""am"")"),"33")</f>
        <v>33</v>
      </c>
      <c r="H34" s="8" t="str">
        <f>IFERROR(__xludf.DUMMYFUNCTION(" GOOGLETRANSLATE(B34, ""en"", ""am"")"),"አትሌቶች ወደ አሸዋ ጉድጓድ ውስጥ የሚዘሉት በየትኛው ክስተት ነው?")</f>
        <v>አትሌቶች ወደ አሸዋ ጉድጓድ ውስጥ የሚዘሉት በየትኛው ክስተት ነው?</v>
      </c>
      <c r="I34" s="8" t="str">
        <f>IFERROR(__xludf.DUMMYFUNCTION(" GOOGLETRANSLATE(C34, ""en"", ""am"")"),"ሀ. ከፍተኛ ዝላይ ለ. ሶስቴ ዝላይ ሐ. ምሰሶ ተራራ D. ረጅም ዝላይ")</f>
        <v>ሀ. ከፍተኛ ዝላይ ለ. ሶስቴ ዝላይ ሐ. ምሰሶ ተራራ D. ረጅም ዝላይ</v>
      </c>
      <c r="J34" s="8" t="str">
        <f>IFERROR(__xludf.DUMMYFUNCTION(" GOOGLETRANSLATE(D34, ""en"", ""am"")"),"ረጅም ዝላይ")</f>
        <v>ረጅም ዝላይ</v>
      </c>
      <c r="K34" s="8" t="str">
        <f>IFERROR(__xludf.DUMMYFUNCTION(" GOOGLETRANSLATE(E34, ""en"", ""am"")"),"በረዥም ዝላይ ውስጥ አትሌቶች ርቀቱን ለመለካት ወደ አሸዋ ጉድጓድ ውስጥ ይዝለሉ.")</f>
        <v>በረዥም ዝላይ ውስጥ አትሌቶች ርቀቱን ለመለካት ወደ አሸዋ ጉድጓድ ውስጥ ይዝለሉ.</v>
      </c>
    </row>
    <row r="35" ht="22.5" customHeight="1">
      <c r="A35" s="13">
        <v>34.0</v>
      </c>
      <c r="B35" s="14" t="s">
        <v>993</v>
      </c>
      <c r="C35" s="14" t="s">
        <v>994</v>
      </c>
      <c r="D35" s="14" t="s">
        <v>995</v>
      </c>
      <c r="E35" s="14" t="s">
        <v>996</v>
      </c>
      <c r="G35" s="8" t="str">
        <f>IFERROR(__xludf.DUMMYFUNCTION(" GOOGLETRANSLATE(A35, ""en"", ""am"")"),"34")</f>
        <v>34</v>
      </c>
      <c r="H35" s="8" t="str">
        <f>IFERROR(__xludf.DUMMYFUNCTION(" GOOGLETRANSLATE(B35, ""en"", ""am"")"),"የሴት ምሰሶው ከፍተኛው ቁመት ስንት ነው?")</f>
        <v>የሴት ምሰሶው ከፍተኛው ቁመት ስንት ነው?</v>
      </c>
      <c r="I35" s="8" t="str">
        <f>IFERROR(__xludf.DUMMYFUNCTION(" GOOGLETRANSLATE(C35, ""en"", ""am"")"),"አ. 4.50 ሜትር ለ. 4.00 ሜትር ሲ. 4.25 ሜትር መ. 4.50 ሜትር.")</f>
        <v>አ. 4.50 ሜትር ለ. 4.00 ሜትር ሲ. 4.25 ሜትር መ. 4.50 ሜትር.</v>
      </c>
      <c r="J35" s="8" t="str">
        <f>IFERROR(__xludf.DUMMYFUNCTION(" GOOGLETRANSLATE(D35, ""en"", ""am"")"),"4.50 ሜትር")</f>
        <v>4.50 ሜትር</v>
      </c>
      <c r="K35" s="8" t="str">
        <f>IFERROR(__xludf.DUMMYFUNCTION(" GOOGLETRANSLATE(E35, ""en"", ""am"")"),"የሴቶች ምሰሶዎች ከፍተኛው ቁመት 4.50 ሜትር ነው.")</f>
        <v>የሴቶች ምሰሶዎች ከፍተኛው ቁመት 4.50 ሜትር ነው.</v>
      </c>
    </row>
    <row r="36" ht="22.5" customHeight="1">
      <c r="A36" s="13">
        <v>35.0</v>
      </c>
      <c r="B36" s="14" t="s">
        <v>997</v>
      </c>
      <c r="C36" s="14" t="s">
        <v>998</v>
      </c>
      <c r="D36" s="14" t="s">
        <v>899</v>
      </c>
      <c r="E36" s="14" t="s">
        <v>999</v>
      </c>
      <c r="G36" s="8" t="str">
        <f>IFERROR(__xludf.DUMMYFUNCTION(" GOOGLETRANSLATE(A36, ""en"", ""am"")"),"35")</f>
        <v>35</v>
      </c>
      <c r="H36" s="8" t="str">
        <f>IFERROR(__xludf.DUMMYFUNCTION(" GOOGLETRANSLATE(B36, ""en"", ""am"")"),"በኦሎምፒክ ውስጥ ጥቅም ላይ የዋለው የትራክ ኦፊሴላዊ መጠን ስንት ነው?")</f>
        <v>በኦሎምፒክ ውስጥ ጥቅም ላይ የዋለው የትራክ ኦፊሴላዊ መጠን ስንት ነው?</v>
      </c>
      <c r="I36" s="8" t="str">
        <f>IFERROR(__xludf.DUMMYFUNCTION(" GOOGLETRANSLATE(C36, ""en"", ""am"")"),"አ. 350 ሜትር B. 300 ሜትር ሲ. 500 ሜትር ደ 400 ሜትር")</f>
        <v>አ. 350 ሜትር B. 300 ሜትር ሲ. 500 ሜትር ደ 400 ሜትር</v>
      </c>
      <c r="J36" s="8" t="str">
        <f>IFERROR(__xludf.DUMMYFUNCTION(" GOOGLETRANSLATE(D36, ""en"", ""am"")"),"400 ሜትር")</f>
        <v>400 ሜትር</v>
      </c>
      <c r="K36" s="8" t="str">
        <f>IFERROR(__xludf.DUMMYFUNCTION(" GOOGLETRANSLATE(E36, ""en"", ""am"")"),"የኦሎምፒክ ትራክ በክብ 400 ሜትር ነው።")</f>
        <v>የኦሎምፒክ ትራክ በክብ 400 ሜትር ነው።</v>
      </c>
    </row>
    <row r="37" ht="22.5" customHeight="1">
      <c r="A37" s="13">
        <v>36.0</v>
      </c>
      <c r="B37" s="14" t="s">
        <v>1000</v>
      </c>
      <c r="C37" s="14" t="s">
        <v>1001</v>
      </c>
      <c r="D37" s="14" t="s">
        <v>1002</v>
      </c>
      <c r="E37" s="14" t="s">
        <v>1003</v>
      </c>
      <c r="G37" s="8" t="str">
        <f>IFERROR(__xludf.DUMMYFUNCTION(" GOOGLETRANSLATE(A37, ""en"", ""am"")"),"36")</f>
        <v>36</v>
      </c>
      <c r="H37" s="8" t="str">
        <f>IFERROR(__xludf.DUMMYFUNCTION(" GOOGLETRANSLATE(B37, ""en"", ""am"")"),"በ800 ሜትር ውድድር ውስጥ ያሉ ሯጮች ወደ መጀመሪያ ዙር እንዴት ይቀርባሉ?")</f>
        <v>በ800 ሜትር ውድድር ውስጥ ያሉ ሯጮች ወደ መጀመሪያ ዙር እንዴት ይቀርባሉ?</v>
      </c>
      <c r="I37" s="8" t="str">
        <f>IFERROR(__xludf.DUMMYFUNCTION(" GOOGLETRANSLATE(C37, ""en"", ""am"")"),"A. በዝግታ ፍጥነት ለ. መራመድ ሐ. እየሮጡ ያሉት D. በዝግታ ፍጥነት")</f>
        <v>A. በዝግታ ፍጥነት ለ. መራመድ ሐ. እየሮጡ ያሉት D. በዝግታ ፍጥነት</v>
      </c>
      <c r="J37" s="8" t="str">
        <f>IFERROR(__xludf.DUMMYFUNCTION(" GOOGLETRANSLATE(D37, ""en"", ""am"")"),"በዝግታ ፍጥነት")</f>
        <v>በዝግታ ፍጥነት</v>
      </c>
      <c r="K37" s="8" t="str">
        <f>IFERROR(__xludf.DUMMYFUNCTION(" GOOGLETRANSLATE(E37, ""en"", ""am"")"),"በ800 ሜትር ሯጮች ብዙውን ጊዜ የሚሮጡት በመጀመሪያ ዙር ነው።")</f>
        <v>በ800 ሜትር ሯጮች ብዙውን ጊዜ የሚሮጡት በመጀመሪያ ዙር ነው።</v>
      </c>
    </row>
    <row r="38" ht="22.5" customHeight="1">
      <c r="A38" s="13">
        <v>37.0</v>
      </c>
      <c r="B38" s="14" t="s">
        <v>1004</v>
      </c>
      <c r="C38" s="14" t="s">
        <v>1005</v>
      </c>
      <c r="D38" s="14" t="s">
        <v>1006</v>
      </c>
      <c r="E38" s="14" t="s">
        <v>1007</v>
      </c>
      <c r="G38" s="8" t="str">
        <f>IFERROR(__xludf.DUMMYFUNCTION(" GOOGLETRANSLATE(A38, ""en"", ""am"")"),"37")</f>
        <v>37</v>
      </c>
      <c r="H38" s="8" t="str">
        <f>IFERROR(__xludf.DUMMYFUNCTION(" GOOGLETRANSLATE(B38, ""en"", ""am"")"),"አንድ ሯጭ በ400 ሜትር ውድድር ከትራክ ቢወጣ ምን ይሆናል?")</f>
        <v>አንድ ሯጭ በ400 ሜትር ውድድር ከትራክ ቢወጣ ምን ይሆናል?</v>
      </c>
      <c r="I38" s="8" t="str">
        <f>IFERROR(__xludf.DUMMYFUNCTION(" GOOGLETRANSLATE(C38, ""en"", ""am"")"),"ሀ. ብቁ አይደሉም። ለ. እንዲቀጥሉ ተፈቅዶላቸዋል። ሐ. የጊዜ ቅጣት ይቀበላሉ። መ. ብቁ አይደሉም።")</f>
        <v>ሀ. ብቁ አይደሉም። ለ. እንዲቀጥሉ ተፈቅዶላቸዋል። ሐ. የጊዜ ቅጣት ይቀበላሉ። መ. ብቁ አይደሉም።</v>
      </c>
      <c r="J38" s="8" t="str">
        <f>IFERROR(__xludf.DUMMYFUNCTION(" GOOGLETRANSLATE(D38, ""en"", ""am"")"),"ብቁ አይደሉም።")</f>
        <v>ብቁ አይደሉም።</v>
      </c>
      <c r="K38" s="8" t="str">
        <f>IFERROR(__xludf.DUMMYFUNCTION(" GOOGLETRANSLATE(E38, ""en"", ""am"")"),"ከመንገድ ውጪ የሚሮጥ ሯጭ ከ400 ሜትር ውድድር ውጪ ነው።")</f>
        <v>ከመንገድ ውጪ የሚሮጥ ሯጭ ከ400 ሜትር ውድድር ውጪ ነው።</v>
      </c>
    </row>
    <row r="39" ht="22.5" customHeight="1">
      <c r="A39" s="13">
        <v>38.0</v>
      </c>
      <c r="B39" s="14" t="s">
        <v>1008</v>
      </c>
      <c r="C39" s="14" t="s">
        <v>1009</v>
      </c>
      <c r="D39" s="14" t="s">
        <v>948</v>
      </c>
      <c r="E39" s="14" t="s">
        <v>1010</v>
      </c>
      <c r="G39" s="8" t="str">
        <f>IFERROR(__xludf.DUMMYFUNCTION(" GOOGLETRANSLATE(A39, ""en"", ""am"")"),"38")</f>
        <v>38</v>
      </c>
      <c r="H39" s="8" t="str">
        <f>IFERROR(__xludf.DUMMYFUNCTION(" GOOGLETRANSLATE(B39, ""en"", ""am"")"),"በትራክ ክንውኖች፣ ምን አይነት ወለል በብዛት ለsprints ጥቅም ላይ ይውላል?")</f>
        <v>በትራክ ክንውኖች፣ ምን አይነት ወለል በብዛት ለsprints ጥቅም ላይ ይውላል?</v>
      </c>
      <c r="I39" s="8" t="str">
        <f>IFERROR(__xludf.DUMMYFUNCTION(" GOOGLETRANSLATE(C39, ""en"", ""am"")"),"ሀ. አስፋልት ለ. አርቴፊሻል ሐ. ቆሻሻ ዲ. አርቲፊሻል")</f>
        <v>ሀ. አስፋልት ለ. አርቴፊሻል ሐ. ቆሻሻ ዲ. አርቲፊሻል</v>
      </c>
      <c r="J39" s="8" t="str">
        <f>IFERROR(__xludf.DUMMYFUNCTION(" GOOGLETRANSLATE(D39, ""en"", ""am"")"),"ሰው ሰራሽ")</f>
        <v>ሰው ሰራሽ</v>
      </c>
      <c r="K39" s="8" t="str">
        <f>IFERROR(__xludf.DUMMYFUNCTION(" GOOGLETRANSLATE(E39, ""en"", ""am"")"),"Sprints በተለምዶ አርቲፊሻል ንጣፎችን በተሻለ ሁኔታ ለመያዝ ይሮጣሉ።")</f>
        <v>Sprints በተለምዶ አርቲፊሻል ንጣፎችን በተሻለ ሁኔታ ለመያዝ ይሮጣሉ።</v>
      </c>
    </row>
    <row r="40" ht="22.5" customHeight="1">
      <c r="A40" s="13">
        <v>39.0</v>
      </c>
      <c r="B40" s="14" t="s">
        <v>1011</v>
      </c>
      <c r="C40" s="14" t="s">
        <v>1012</v>
      </c>
      <c r="D40" s="14" t="s">
        <v>887</v>
      </c>
      <c r="E40" s="14" t="s">
        <v>1013</v>
      </c>
      <c r="G40" s="8" t="str">
        <f>IFERROR(__xludf.DUMMYFUNCTION(" GOOGLETRANSLATE(A40, ""en"", ""am"")"),"39")</f>
        <v>39</v>
      </c>
      <c r="H40" s="8" t="str">
        <f>IFERROR(__xludf.DUMMYFUNCTION(" GOOGLETRANSLATE(B40, ""en"", ""am"")"),"ለ10,000 ሜትር ውድድር የተለመደው የጊዜ ገደብ ስንት ነው?")</f>
        <v>ለ10,000 ሜትር ውድድር የተለመደው የጊዜ ገደብ ስንት ነው?</v>
      </c>
      <c r="I40" s="8" t="str">
        <f>IFERROR(__xludf.DUMMYFUNCTION(" GOOGLETRANSLATE(C40, ""en"", ""am"")"),"A. 2 hours B. 3 hours C. የጊዜ ገደብ የለም። መ. ምንም የጊዜ ገደብ የለም.")</f>
        <v>A. 2 hours B. 3 hours C. የጊዜ ገደብ የለም። መ. ምንም የጊዜ ገደብ የለም.</v>
      </c>
      <c r="J40" s="8" t="str">
        <f>IFERROR(__xludf.DUMMYFUNCTION(" GOOGLETRANSLATE(D40, ""en"", ""am"")"),"የጊዜ ገደብ የለም.")</f>
        <v>የጊዜ ገደብ የለም.</v>
      </c>
      <c r="K40" s="8" t="str">
        <f>IFERROR(__xludf.DUMMYFUNCTION(" GOOGLETRANSLATE(E40, ""en"", ""am"")"),"ብዙውን ጊዜ የ10,000 ሜትር ሩጫን ለማጠናቀቅ የጊዜ ገደብ የለም።")</f>
        <v>ብዙውን ጊዜ የ10,000 ሜትር ሩጫን ለማጠናቀቅ የጊዜ ገደብ የለም።</v>
      </c>
    </row>
    <row r="41" ht="22.5" customHeight="1">
      <c r="A41" s="13">
        <v>40.0</v>
      </c>
      <c r="B41" s="14" t="s">
        <v>1014</v>
      </c>
      <c r="C41" s="14" t="s">
        <v>1015</v>
      </c>
      <c r="D41" s="14" t="s">
        <v>899</v>
      </c>
      <c r="E41" s="14" t="s">
        <v>1016</v>
      </c>
      <c r="G41" s="8" t="str">
        <f>IFERROR(__xludf.DUMMYFUNCTION(" GOOGLETRANSLATE(A41, ""en"", ""am"")"),"40")</f>
        <v>40</v>
      </c>
      <c r="H41" s="8" t="str">
        <f>IFERROR(__xludf.DUMMYFUNCTION(" GOOGLETRANSLATE(B41, ""en"", ""am"")"),"እያንዳንዱ ሯጭ በ 4x400 ሜትር ቅብብል ውስጥ ምን ያህል ርቀት መሮጥ አለበት?")</f>
        <v>እያንዳንዱ ሯጭ በ 4x400 ሜትር ቅብብል ውስጥ ምን ያህል ርቀት መሮጥ አለበት?</v>
      </c>
      <c r="I41" s="8" t="str">
        <f>IFERROR(__xludf.DUMMYFUNCTION(" GOOGLETRANSLATE(C41, ""en"", ""am"")"),"አ.200 ሜትር B. 300 ሜትር ሲ. 400 ሜትር ደ 400 ሜትር")</f>
        <v>አ.200 ሜትር B. 300 ሜትር ሲ. 400 ሜትር ደ 400 ሜትር</v>
      </c>
      <c r="J41" s="8" t="str">
        <f>IFERROR(__xludf.DUMMYFUNCTION(" GOOGLETRANSLATE(D41, ""en"", ""am"")"),"400 ሜትር")</f>
        <v>400 ሜትር</v>
      </c>
      <c r="K41" s="8" t="str">
        <f>IFERROR(__xludf.DUMMYFUNCTION(" GOOGLETRANSLATE(E41, ""en"", ""am"")"),"በ4x400 ሜትር ቅብብል ውስጥ ያለው እያንዳንዱ ሯጭ 400 ሜትር መሮጥ አለበት።")</f>
        <v>በ4x400 ሜትር ቅብብል ውስጥ ያለው እያንዳንዱ ሯጭ 400 ሜትር መሮጥ አለበት።</v>
      </c>
    </row>
    <row r="42" ht="22.5" customHeight="1">
      <c r="A42" s="13">
        <v>41.0</v>
      </c>
      <c r="B42" s="14" t="s">
        <v>1017</v>
      </c>
      <c r="C42" s="14" t="s">
        <v>1018</v>
      </c>
      <c r="D42" s="14" t="s">
        <v>867</v>
      </c>
      <c r="E42" s="14" t="s">
        <v>1019</v>
      </c>
      <c r="G42" s="8" t="str">
        <f>IFERROR(__xludf.DUMMYFUNCTION(" GOOGLETRANSLATE(A42, ""en"", ""am"")"),"41")</f>
        <v>41</v>
      </c>
      <c r="H42" s="8" t="str">
        <f>IFERROR(__xludf.DUMMYFUNCTION(" GOOGLETRANSLATE(B42, ""en"", ""am"")"),"የማራቶን ርቀት ስንት ነው?")</f>
        <v>የማራቶን ርቀት ስንት ነው?</v>
      </c>
      <c r="I42" s="8" t="str">
        <f>IFERROR(__xludf.DUMMYFUNCTION(" GOOGLETRANSLATE(C42, ""en"", ""am"")"),"አ.42.195 ኪ.ሜ ለ.50 ኪ.ሜ. 26.2 ኪ.ሜ መ. 42.195 ኪ.ሜ.")</f>
        <v>አ.42.195 ኪ.ሜ ለ.50 ኪ.ሜ. 26.2 ኪ.ሜ መ. 42.195 ኪ.ሜ.</v>
      </c>
      <c r="J42" s="8" t="str">
        <f>IFERROR(__xludf.DUMMYFUNCTION(" GOOGLETRANSLATE(D42, ""en"", ""am"")"),"42.195 ኪ.ሜ")</f>
        <v>42.195 ኪ.ሜ</v>
      </c>
      <c r="K42" s="8" t="str">
        <f>IFERROR(__xludf.DUMMYFUNCTION(" GOOGLETRANSLATE(E42, ""en"", ""am"")"),"ማራቶን 42.195 ኪሎ ሜትር ርዝመት አለው።")</f>
        <v>ማራቶን 42.195 ኪሎ ሜትር ርዝመት አለው።</v>
      </c>
    </row>
    <row r="43" ht="22.5" customHeight="1">
      <c r="A43" s="13">
        <v>42.0</v>
      </c>
      <c r="B43" s="14" t="s">
        <v>1020</v>
      </c>
      <c r="C43" s="14" t="s">
        <v>1021</v>
      </c>
      <c r="D43" s="14" t="s">
        <v>1022</v>
      </c>
      <c r="E43" s="14" t="s">
        <v>1023</v>
      </c>
      <c r="G43" s="8" t="str">
        <f>IFERROR(__xludf.DUMMYFUNCTION(" GOOGLETRANSLATE(A43, ""en"", ""am"")"),"42")</f>
        <v>42</v>
      </c>
      <c r="H43" s="8" t="str">
        <f>IFERROR(__xludf.DUMMYFUNCTION(" GOOGLETRANSLATE(B43, ""en"", ""am"")"),"አትሌቶች በዱላ የሚወዳደሩት በየትኛው ክስተት ነው?")</f>
        <v>አትሌቶች በዱላ የሚወዳደሩት በየትኛው ክስተት ነው?</v>
      </c>
      <c r="I43" s="8" t="str">
        <f>IFERROR(__xludf.DUMMYFUNCTION(" GOOGLETRANSLATE(C43, ""en"", ""am"")"),"A. Sprint B. Marathon C. መሰናክሎች D. የዝውውር ውድድር")</f>
        <v>A. Sprint B. Marathon C. መሰናክሎች D. የዝውውር ውድድር</v>
      </c>
      <c r="J43" s="8" t="str">
        <f>IFERROR(__xludf.DUMMYFUNCTION(" GOOGLETRANSLATE(D43, ""en"", ""am"")"),"የዝውውር ውድድር")</f>
        <v>የዝውውር ውድድር</v>
      </c>
      <c r="K43" s="8" t="str">
        <f>IFERROR(__xludf.DUMMYFUNCTION(" GOOGLETRANSLATE(E43, ""en"", ""am"")"),"በሩጫ ውድድር አትሌቶች ዱላውን ለሚቀጥለው ሯጭ ያስተላልፋሉ።")</f>
        <v>በሩጫ ውድድር አትሌቶች ዱላውን ለሚቀጥለው ሯጭ ያስተላልፋሉ።</v>
      </c>
    </row>
    <row r="44" ht="22.5" customHeight="1">
      <c r="A44" s="13">
        <v>43.0</v>
      </c>
      <c r="B44" s="14" t="s">
        <v>1024</v>
      </c>
      <c r="C44" s="14" t="s">
        <v>1025</v>
      </c>
      <c r="D44" s="14" t="s">
        <v>1026</v>
      </c>
      <c r="E44" s="14" t="s">
        <v>1027</v>
      </c>
      <c r="G44" s="8" t="str">
        <f>IFERROR(__xludf.DUMMYFUNCTION(" GOOGLETRANSLATE(A44, ""en"", ""am"")"),"43")</f>
        <v>43</v>
      </c>
      <c r="H44" s="8" t="str">
        <f>IFERROR(__xludf.DUMMYFUNCTION(" GOOGLETRANSLATE(B44, ""en"", ""am"")"),"በትራክ ክስተቶች ውስጥ የSprint ሌይን መደበኛ መጠን ስንት ነው?")</f>
        <v>በትራክ ክስተቶች ውስጥ የSprint ሌይን መደበኛ መጠን ስንት ነው?</v>
      </c>
      <c r="I44" s="8" t="str">
        <f>IFERROR(__xludf.DUMMYFUNCTION(" GOOGLETRANSLATE(C44, ""en"", ""am"")"),"አ. 1 ሜትር B. 1.5 ሜትር ሴ. 2 ሜትር D. 1.22 ሜትር")</f>
        <v>አ. 1 ሜትር B. 1.5 ሜትር ሴ. 2 ሜትር D. 1.22 ሜትር</v>
      </c>
      <c r="J44" s="8" t="str">
        <f>IFERROR(__xludf.DUMMYFUNCTION(" GOOGLETRANSLATE(D44, ""en"", ""am"")"),"1.22 ሜትር")</f>
        <v>1.22 ሜትር</v>
      </c>
      <c r="K44" s="8" t="str">
        <f>IFERROR(__xludf.DUMMYFUNCTION(" GOOGLETRANSLATE(E44, ""en"", ""am"")"),"በSprint Track ክስተት ውስጥ ያለው እያንዳንዱ መስመር 1.22 ሜትር ስፋት አለው።")</f>
        <v>በSprint Track ክስተት ውስጥ ያለው እያንዳንዱ መስመር 1.22 ሜትር ስፋት አለው።</v>
      </c>
    </row>
    <row r="45" ht="22.5" customHeight="1">
      <c r="A45" s="13">
        <v>44.0</v>
      </c>
      <c r="B45" s="14" t="s">
        <v>1028</v>
      </c>
      <c r="C45" s="14" t="s">
        <v>1029</v>
      </c>
      <c r="D45" s="14" t="s">
        <v>1030</v>
      </c>
      <c r="E45" s="14" t="s">
        <v>1031</v>
      </c>
      <c r="G45" s="8" t="str">
        <f>IFERROR(__xludf.DUMMYFUNCTION(" GOOGLETRANSLATE(A45, ""en"", ""am"")"),"44")</f>
        <v>44</v>
      </c>
      <c r="H45" s="8" t="str">
        <f>IFERROR(__xludf.DUMMYFUNCTION(" GOOGLETRANSLATE(B45, ""en"", ""am"")"),"ለቅብብል ውድድር የመጀመሪያ እግር ጥቅም ላይ የሚውለው ቃል ምንድን ነው?")</f>
        <v>ለቅብብል ውድድር የመጀመሪያ እግር ጥቅም ላይ የሚውለው ቃል ምንድን ነው?</v>
      </c>
      <c r="I45" s="8" t="str">
        <f>IFERROR(__xludf.DUMMYFUNCTION(" GOOGLETRANSLATE(C45, ""en"", ""am"")"),"ሀ. B. ሚድዌይን ለመምራት. ጨርስ D. ለመምራት")</f>
        <v>ሀ. B. ሚድዌይን ለመምራት. ጨርስ D. ለመምራት</v>
      </c>
      <c r="J45" s="8" t="str">
        <f>IFERROR(__xludf.DUMMYFUNCTION(" GOOGLETRANSLATE(D45, ""en"", ""am"")"),"ለመምራት")</f>
        <v>ለመምራት</v>
      </c>
      <c r="K45" s="8" t="str">
        <f>IFERROR(__xludf.DUMMYFUNCTION(" GOOGLETRANSLATE(E45, ""en"", ""am"")"),"የዝውውር ውድድር የመጀመርያው እግር መሪ-ኦፍ እግር ይባላል።")</f>
        <v>የዝውውር ውድድር የመጀመርያው እግር መሪ-ኦፍ እግር ይባላል።</v>
      </c>
    </row>
    <row r="46" ht="22.5" customHeight="1">
      <c r="A46" s="13">
        <v>45.0</v>
      </c>
      <c r="B46" s="14" t="s">
        <v>1032</v>
      </c>
      <c r="C46" s="14" t="s">
        <v>1033</v>
      </c>
      <c r="D46" s="14" t="s">
        <v>1034</v>
      </c>
      <c r="E46" s="14" t="s">
        <v>1035</v>
      </c>
      <c r="G46" s="8" t="str">
        <f>IFERROR(__xludf.DUMMYFUNCTION(" GOOGLETRANSLATE(A46, ""en"", ""am"")"),"45")</f>
        <v>45</v>
      </c>
      <c r="H46" s="8" t="str">
        <f>IFERROR(__xludf.DUMMYFUNCTION(" GOOGLETRANSLATE(B46, ""en"", ""am"")"),"አትሌቶች እንቅፋቶችን እንዲያጸዱ የሚያስፈልገው የትኛው ክስተት ነው?")</f>
        <v>አትሌቶች እንቅፋቶችን እንዲያጸዱ የሚያስፈልገው የትኛው ክስተት ነው?</v>
      </c>
      <c r="I46" s="8" t="str">
        <f>IFERROR(__xludf.DUMMYFUNCTION(" GOOGLETRANSLATE(C46, ""en"", ""am"")"),"ሀ. መሰናክሎች ለ. ዋልታ ተራራ ሐ. ረጅም ዝላይ D. እንቅፋቶች")</f>
        <v>ሀ. መሰናክሎች ለ. ዋልታ ተራራ ሐ. ረጅም ዝላይ D. እንቅፋቶች</v>
      </c>
      <c r="J46" s="8" t="str">
        <f>IFERROR(__xludf.DUMMYFUNCTION(" GOOGLETRANSLATE(D46, ""en"", ""am"")"),"እንቅፋቶች")</f>
        <v>እንቅፋቶች</v>
      </c>
      <c r="K46" s="8" t="str">
        <f>IFERROR(__xludf.DUMMYFUNCTION(" GOOGLETRANSLATE(E46, ""en"", ""am"")"),"በእንቅፋት ውድድር ውስጥ, አትሌቶች በሚሮጡበት ጊዜ እንቅፋቶችን ይዝለሉ.")</f>
        <v>በእንቅፋት ውድድር ውስጥ, አትሌቶች በሚሮጡበት ጊዜ እንቅፋቶችን ይዝለሉ.</v>
      </c>
    </row>
    <row r="47" ht="22.5" customHeight="1">
      <c r="A47" s="13">
        <v>46.0</v>
      </c>
      <c r="B47" s="14" t="s">
        <v>1036</v>
      </c>
      <c r="C47" s="14" t="s">
        <v>1037</v>
      </c>
      <c r="D47" s="14" t="s">
        <v>488</v>
      </c>
      <c r="E47" s="14" t="s">
        <v>488</v>
      </c>
      <c r="G47" s="8" t="str">
        <f>IFERROR(__xludf.DUMMYFUNCTION(" GOOGLETRANSLATE(A47, ""en"", ""am"")"),"46")</f>
        <v>46</v>
      </c>
      <c r="H47" s="8" t="str">
        <f>IFERROR(__xludf.DUMMYFUNCTION(" GOOGLETRANSLATE(B47, ""en"", ""am"")"),"አንድ ማይል በመደበኛ ትራክ ዙሪያ ስንት ዙር ይወስዳል?")</f>
        <v>አንድ ማይል በመደበኛ ትራክ ዙሪያ ስንት ዙር ይወስዳል?</v>
      </c>
      <c r="I47" s="8" t="str">
        <f>IFERROR(__xludf.DUMMYFUNCTION(" GOOGLETRANSLATE(C47, ""en"", ""am"")"),"አ.5 ለ.6 ሐ. 8 ዲ. 4")</f>
        <v>አ.5 ለ.6 ሐ. 8 ዲ. 4</v>
      </c>
      <c r="J47" s="8" t="str">
        <f>IFERROR(__xludf.DUMMYFUNCTION(" GOOGLETRANSLATE(D47, ""en"", ""am"")"),"4")</f>
        <v>4</v>
      </c>
      <c r="K47" s="8" t="str">
        <f>IFERROR(__xludf.DUMMYFUNCTION(" GOOGLETRANSLATE(E47, ""en"", ""am"")"),"4")</f>
        <v>4</v>
      </c>
    </row>
    <row r="48" ht="22.5" customHeight="1">
      <c r="A48" s="13">
        <v>47.0</v>
      </c>
      <c r="B48" s="14" t="s">
        <v>1038</v>
      </c>
      <c r="C48" s="14" t="s">
        <v>1039</v>
      </c>
      <c r="D48" s="14" t="s">
        <v>1040</v>
      </c>
      <c r="E48" s="14" t="s">
        <v>1041</v>
      </c>
      <c r="G48" s="8" t="str">
        <f>IFERROR(__xludf.DUMMYFUNCTION(" GOOGLETRANSLATE(A48, ""en"", ""am"")"),"47")</f>
        <v>47</v>
      </c>
      <c r="H48" s="8" t="str">
        <f>IFERROR(__xludf.DUMMYFUNCTION(" GOOGLETRANSLATE(B48, ""en"", ""am"")"),"ሯጮች በትራኩ ዙሪያ ብዙ ዙር የሚያጠናቅቁበት የዝግጅቱ ስም ማን ይባላል?")</f>
        <v>ሯጮች በትራኩ ዙሪያ ብዙ ዙር የሚያጠናቅቁበት የዝግጅቱ ስም ማን ይባላል?</v>
      </c>
      <c r="I48" s="8" t="str">
        <f>IFERROR(__xludf.DUMMYFUNCTION(" GOOGLETRANSLATE(C48, ""en"", ""am"")"),"ሀ. የርቀት ውድድር ለ. የዝውውር ውድድር ሐ.ማራቶን D. የርቀት ውድድር")</f>
        <v>ሀ. የርቀት ውድድር ለ. የዝውውር ውድድር ሐ.ማራቶን D. የርቀት ውድድር</v>
      </c>
      <c r="J48" s="8" t="str">
        <f>IFERROR(__xludf.DUMMYFUNCTION(" GOOGLETRANSLATE(D48, ""en"", ""am"")"),"የርቀት ውድድር")</f>
        <v>የርቀት ውድድር</v>
      </c>
      <c r="K48" s="8" t="str">
        <f>IFERROR(__xludf.DUMMYFUNCTION(" GOOGLETRANSLATE(E48, ""en"", ""am"")"),"በርቀት ውድድር አትሌቶች በትራክ ዙሪያ ብዙ ዙር ይሮጣሉ።")</f>
        <v>በርቀት ውድድር አትሌቶች በትራክ ዙሪያ ብዙ ዙር ይሮጣሉ።</v>
      </c>
    </row>
    <row r="49" ht="22.5" customHeight="1">
      <c r="A49" s="13">
        <v>48.0</v>
      </c>
      <c r="B49" s="14" t="s">
        <v>1042</v>
      </c>
      <c r="C49" s="14" t="s">
        <v>1012</v>
      </c>
      <c r="D49" s="14" t="s">
        <v>887</v>
      </c>
      <c r="E49" s="14" t="s">
        <v>1043</v>
      </c>
      <c r="G49" s="8" t="str">
        <f>IFERROR(__xludf.DUMMYFUNCTION(" GOOGLETRANSLATE(A49, ""en"", ""am"")"),"48")</f>
        <v>48</v>
      </c>
      <c r="H49" s="8" t="str">
        <f>IFERROR(__xludf.DUMMYFUNCTION(" GOOGLETRANSLATE(B49, ""en"", ""am"")"),"የ1500 ሜትር ሩጫውን ለማጠናቀቅ የጊዜ ገደቡ ስንት ነው?")</f>
        <v>የ1500 ሜትር ሩጫውን ለማጠናቀቅ የጊዜ ገደቡ ስንት ነው?</v>
      </c>
      <c r="I49" s="8" t="str">
        <f>IFERROR(__xludf.DUMMYFUNCTION(" GOOGLETRANSLATE(C49, ""en"", ""am"")"),"A. 2 hours B. 3 hours C. የጊዜ ገደብ የለም። መ. ምንም የጊዜ ገደብ የለም.")</f>
        <v>A. 2 hours B. 3 hours C. የጊዜ ገደብ የለም። መ. ምንም የጊዜ ገደብ የለም.</v>
      </c>
      <c r="J49" s="8" t="str">
        <f>IFERROR(__xludf.DUMMYFUNCTION(" GOOGLETRANSLATE(D49, ""en"", ""am"")"),"የጊዜ ገደብ የለም.")</f>
        <v>የጊዜ ገደብ የለም.</v>
      </c>
      <c r="K49" s="8" t="str">
        <f>IFERROR(__xludf.DUMMYFUNCTION(" GOOGLETRANSLATE(E49, ""en"", ""am"")"),"ለ1500 ሜትር ውድድር የጊዜ ገደብ የለም።")</f>
        <v>ለ1500 ሜትር ውድድር የጊዜ ገደብ የለም።</v>
      </c>
    </row>
    <row r="50" ht="22.5" customHeight="1">
      <c r="A50" s="13">
        <v>49.0</v>
      </c>
      <c r="B50" s="14" t="s">
        <v>1044</v>
      </c>
      <c r="C50" s="14" t="s">
        <v>1045</v>
      </c>
      <c r="D50" s="14" t="s">
        <v>943</v>
      </c>
      <c r="E50" s="14" t="s">
        <v>1046</v>
      </c>
      <c r="G50" s="8" t="str">
        <f>IFERROR(__xludf.DUMMYFUNCTION(" GOOGLETRANSLATE(A50, ""en"", ""am"")"),"49")</f>
        <v>49</v>
      </c>
      <c r="H50" s="8" t="str">
        <f>IFERROR(__xludf.DUMMYFUNCTION(" GOOGLETRANSLATE(B50, ""en"", ""am"")"),"በትራክ ላይ በጣም አጭር የርቀት ውድድር ተደርጎ የሚወሰደው የትኛው ክስተት ነው?")</f>
        <v>በትራክ ላይ በጣም አጭር የርቀት ውድድር ተደርጎ የሚወሰደው የትኛው ክስተት ነው?</v>
      </c>
      <c r="I50" s="8" t="str">
        <f>IFERROR(__xludf.DUMMYFUNCTION(" GOOGLETRANSLATE(C50, ""en"", ""am"")"),"አ. 100 ሜትር ለ. 400 ሜትር ሴ. 800 ሜትር ዲ. 100 ሜትር.")</f>
        <v>አ. 100 ሜትር ለ. 400 ሜትር ሴ. 800 ሜትር ዲ. 100 ሜትር.</v>
      </c>
      <c r="J50" s="8" t="str">
        <f>IFERROR(__xludf.DUMMYFUNCTION(" GOOGLETRANSLATE(D50, ""en"", ""am"")"),"100 ሜትር")</f>
        <v>100 ሜትር</v>
      </c>
      <c r="K50" s="8" t="str">
        <f>IFERROR(__xludf.DUMMYFUNCTION(" GOOGLETRANSLATE(E50, ""en"", ""am"")"),"የ100 ሜትር ሩጫ በትራክ ላይ ያለው አጭሩ የርቀት ውድድር ነው።")</f>
        <v>የ100 ሜትር ሩጫ በትራክ ላይ ያለው አጭሩ የርቀት ውድድር ነው።</v>
      </c>
    </row>
    <row r="51" ht="22.5" customHeight="1">
      <c r="A51" s="13">
        <v>50.0</v>
      </c>
      <c r="B51" s="14" t="s">
        <v>1047</v>
      </c>
      <c r="C51" s="14" t="s">
        <v>1048</v>
      </c>
      <c r="D51" s="14" t="s">
        <v>1049</v>
      </c>
      <c r="E51" s="14" t="s">
        <v>1050</v>
      </c>
      <c r="G51" s="8" t="str">
        <f>IFERROR(__xludf.DUMMYFUNCTION(" GOOGLETRANSLATE(A51, ""en"", ""am"")"),"50")</f>
        <v>50</v>
      </c>
      <c r="H51" s="8" t="str">
        <f>IFERROR(__xludf.DUMMYFUNCTION(" GOOGLETRANSLATE(B51, ""en"", ""am"")"),"በ 400 ሜትር ውድድር ውስጥ የተለመደው ዘዴ ምንድነው?")</f>
        <v>በ 400 ሜትር ውድድር ውስጥ የተለመደው ዘዴ ምንድነው?</v>
      </c>
      <c r="I51" s="8" t="str">
        <f>IFERROR(__xludf.DUMMYFUNCTION(" GOOGLETRANSLATE(C51, ""en"", ""am"")"),"ሀ. በሁሉም መንገድ መሮጥ ለ. ወደ ኋላ መሮጥ ሐ. መጎተት D. መንቀጥቀጥ")</f>
        <v>ሀ. በሁሉም መንገድ መሮጥ ለ. ወደ ኋላ መሮጥ ሐ. መጎተት D. መንቀጥቀጥ</v>
      </c>
      <c r="J51" s="8" t="str">
        <f>IFERROR(__xludf.DUMMYFUNCTION(" GOOGLETRANSLATE(D51, ""en"", ""am"")"),"መንቀጥቀጥ")</f>
        <v>መንቀጥቀጥ</v>
      </c>
      <c r="K51" s="8" t="str">
        <f>IFERROR(__xludf.DUMMYFUNCTION(" GOOGLETRANSLATE(E51, ""en"", ""am"")"),"በ400 ሜትር ሩጫ የሚሮጡ ሯጮች ከመጀመሪያው 200 ሜትር በኋላ በፍጥነት ይሮጣሉ።")</f>
        <v>በ400 ሜትር ሩጫ የሚሮጡ ሯጮች ከመጀመሪያው 200 ሜትር በኋላ በፍጥነት ይሮጣሉ።</v>
      </c>
    </row>
    <row r="52" ht="22.5" customHeight="1">
      <c r="A52" s="13">
        <v>51.0</v>
      </c>
      <c r="B52" s="14" t="s">
        <v>1051</v>
      </c>
      <c r="C52" s="14" t="s">
        <v>1052</v>
      </c>
      <c r="D52" s="14" t="s">
        <v>1053</v>
      </c>
      <c r="E52" s="14" t="s">
        <v>1054</v>
      </c>
      <c r="G52" s="8" t="str">
        <f>IFERROR(__xludf.DUMMYFUNCTION(" GOOGLETRANSLATE(A52, ""en"", ""am"")"),"51")</f>
        <v>51</v>
      </c>
      <c r="H52" s="8" t="str">
        <f>IFERROR(__xludf.DUMMYFUNCTION(" GOOGLETRANSLATE(B52, ""en"", ""am"")"),"የማራቶን ሯጮች የሚያጋጥሟቸው ቀዳሚ ፈተና ምንድን ነው?")</f>
        <v>የማራቶን ሯጮች የሚያጋጥሟቸው ቀዳሚ ፈተና ምንድን ነው?</v>
      </c>
      <c r="I52" s="8" t="str">
        <f>IFERROR(__xludf.DUMMYFUNCTION(" GOOGLETRANSLATE(C52, ""en"", ""am"")"),"ሀ. ጽናት። B. ዝብሉ C. ቅልጥፍና ዲ. ጽንዓት።")</f>
        <v>ሀ. ጽናት። B. ዝብሉ C. ቅልጥፍና ዲ. ጽንዓት።</v>
      </c>
      <c r="J52" s="8" t="str">
        <f>IFERROR(__xludf.DUMMYFUNCTION(" GOOGLETRANSLATE(D52, ""en"", ""am"")"),"ጽናት።")</f>
        <v>ጽናት።</v>
      </c>
      <c r="K52" s="8" t="str">
        <f>IFERROR(__xludf.DUMMYFUNCTION(" GOOGLETRANSLATE(E52, ""en"", ""am"")"),"ማራቶን የረጅም ርቀት ውድድር ነው, ስለዚህ የጽናት ፈተና ነው.")</f>
        <v>ማራቶን የረጅም ርቀት ውድድር ነው, ስለዚህ የጽናት ፈተና ነው.</v>
      </c>
    </row>
    <row r="53" ht="22.5" customHeight="1">
      <c r="A53" s="13">
        <v>52.0</v>
      </c>
      <c r="B53" s="14" t="s">
        <v>1055</v>
      </c>
      <c r="C53" s="14" t="s">
        <v>1056</v>
      </c>
      <c r="D53" s="14" t="s">
        <v>1057</v>
      </c>
      <c r="E53" s="14" t="s">
        <v>1058</v>
      </c>
      <c r="G53" s="8" t="str">
        <f>IFERROR(__xludf.DUMMYFUNCTION(" GOOGLETRANSLATE(A53, ""en"", ""am"")"),"52")</f>
        <v>52</v>
      </c>
      <c r="H53" s="8" t="str">
        <f>IFERROR(__xludf.DUMMYFUNCTION(" GOOGLETRANSLATE(B53, ""en"", ""am"")"),"በ 4x100 ሜትር ቅብብል, በትሩ እንዴት ይተላለፋል?")</f>
        <v>በ 4x100 ሜትር ቅብብል, በትሩ እንዴት ይተላለፋል?</v>
      </c>
      <c r="I53" s="8" t="str">
        <f>IFERROR(__xludf.DUMMYFUNCTION(" GOOGLETRANSLATE(C53, ""en"", ""am"")"),"ሀ. በክንድ ስር ለ. በእግሮች በኩል ሐ. ከጭንቅላቱ በላይ መ. እጅ ለእጅ")</f>
        <v>ሀ. በክንድ ስር ለ. በእግሮች በኩል ሐ. ከጭንቅላቱ በላይ መ. እጅ ለእጅ</v>
      </c>
      <c r="J53" s="8" t="str">
        <f>IFERROR(__xludf.DUMMYFUNCTION(" GOOGLETRANSLATE(D53, ""en"", ""am"")"),"እጅ ለእጅ")</f>
        <v>እጅ ለእጅ</v>
      </c>
      <c r="K53" s="8" t="str">
        <f>IFERROR(__xludf.DUMMYFUNCTION(" GOOGLETRANSLATE(E53, ""en"", ""am"")"),"በ 4x100 ሜትር ቅብብል, በትሩ ከእጅ ወደ እጅ ይተላለፋል.")</f>
        <v>በ 4x100 ሜትር ቅብብል, በትሩ ከእጅ ወደ እጅ ይተላለፋል.</v>
      </c>
    </row>
    <row r="54" ht="22.5" customHeight="1">
      <c r="A54" s="13">
        <v>53.0</v>
      </c>
      <c r="B54" s="14" t="s">
        <v>1059</v>
      </c>
      <c r="C54" s="14" t="s">
        <v>1060</v>
      </c>
      <c r="D54" s="14" t="s">
        <v>887</v>
      </c>
      <c r="E54" s="14" t="s">
        <v>1061</v>
      </c>
      <c r="G54" s="8" t="str">
        <f>IFERROR(__xludf.DUMMYFUNCTION(" GOOGLETRANSLATE(A54, ""en"", ""am"")"),"53")</f>
        <v>53</v>
      </c>
      <c r="H54" s="8" t="str">
        <f>IFERROR(__xludf.DUMMYFUNCTION(" GOOGLETRANSLATE(B54, ""en"", ""am"")"),"የ800 ሜትር ሩጫውን ለማጠናቀቅ የሚፈቀደው ከፍተኛ ጊዜ ስንት ነው?")</f>
        <v>የ800 ሜትር ሩጫውን ለማጠናቀቅ የሚፈቀደው ከፍተኛ ጊዜ ስንት ነው?</v>
      </c>
      <c r="I54" s="8" t="str">
        <f>IFERROR(__xludf.DUMMYFUNCTION(" GOOGLETRANSLATE(C54, ""en"", ""am"")"),"ሀ. 10 ደቂቃ ለ. የጊዜ ገደብ የለም። ሐ. 30 ደቂቃ መ. የጊዜ ገደብ የለም።")</f>
        <v>ሀ. 10 ደቂቃ ለ. የጊዜ ገደብ የለም። ሐ. 30 ደቂቃ መ. የጊዜ ገደብ የለም።</v>
      </c>
      <c r="J54" s="8" t="str">
        <f>IFERROR(__xludf.DUMMYFUNCTION(" GOOGLETRANSLATE(D54, ""en"", ""am"")"),"የጊዜ ገደብ የለም.")</f>
        <v>የጊዜ ገደብ የለም.</v>
      </c>
      <c r="K54" s="8" t="str">
        <f>IFERROR(__xludf.DUMMYFUNCTION(" GOOGLETRANSLATE(E54, ""en"", ""am"")"),"የ800 ሜትር ሩጫውን ለማጠናቀቅ የጊዜ ገደብ የለም።")</f>
        <v>የ800 ሜትር ሩጫውን ለማጠናቀቅ የጊዜ ገደብ የለም።</v>
      </c>
    </row>
    <row r="55" ht="22.5" customHeight="1">
      <c r="A55" s="13">
        <v>54.0</v>
      </c>
      <c r="B55" s="14" t="s">
        <v>1062</v>
      </c>
      <c r="C55" s="14" t="s">
        <v>1063</v>
      </c>
      <c r="D55" s="14" t="s">
        <v>1064</v>
      </c>
      <c r="E55" s="14" t="s">
        <v>1065</v>
      </c>
      <c r="G55" s="8" t="str">
        <f>IFERROR(__xludf.DUMMYFUNCTION(" GOOGLETRANSLATE(A55, ""en"", ""am"")"),"54")</f>
        <v>54</v>
      </c>
      <c r="H55" s="8" t="str">
        <f>IFERROR(__xludf.DUMMYFUNCTION(" GOOGLETRANSLATE(B55, ""en"", ""am"")"),"በሩጫ ወቅት ሯጭ ቢወድቅ ምን ይሆናል?")</f>
        <v>በሩጫ ወቅት ሯጭ ቢወድቅ ምን ይሆናል?</v>
      </c>
      <c r="I55" s="8" t="str">
        <f>IFERROR(__xludf.DUMMYFUNCTION(" GOOGLETRANSLATE(C55, ""en"", ""am"")"),"ሀ. ከተነሳህ መቀጠል ትችላለህ። ለ. መራመድ አለባቸው. ሐ. ወዲያውኑ ማቆም አለባቸው. መ. ከተነሱ, መቀጠል ይችላሉ.")</f>
        <v>ሀ. ከተነሳህ መቀጠል ትችላለህ። ለ. መራመድ አለባቸው. ሐ. ወዲያውኑ ማቆም አለባቸው. መ. ከተነሱ, መቀጠል ይችላሉ.</v>
      </c>
      <c r="J55" s="8" t="str">
        <f>IFERROR(__xludf.DUMMYFUNCTION(" GOOGLETRANSLATE(D55, ""en"", ""am"")"),"ከተነሱ, መቀጠል ይችላሉ.")</f>
        <v>ከተነሱ, መቀጠል ይችላሉ.</v>
      </c>
      <c r="K55" s="8" t="str">
        <f>IFERROR(__xludf.DUMMYFUNCTION(" GOOGLETRANSLATE(E55, ""en"", ""am"")"),"በሩጫ ወቅት አንድ ሯጭ ቢወድቅ ተመልሶ ተነስቶ መቀጠል ይችላል።")</f>
        <v>በሩጫ ወቅት አንድ ሯጭ ቢወድቅ ተመልሶ ተነስቶ መቀጠል ይችላል።</v>
      </c>
    </row>
    <row r="56" ht="22.5" customHeight="1">
      <c r="A56" s="13">
        <v>55.0</v>
      </c>
      <c r="B56" s="14" t="s">
        <v>1066</v>
      </c>
      <c r="C56" s="14" t="s">
        <v>1067</v>
      </c>
      <c r="D56" s="14" t="s">
        <v>1034</v>
      </c>
      <c r="E56" s="14" t="s">
        <v>1068</v>
      </c>
      <c r="G56" s="8" t="str">
        <f>IFERROR(__xludf.DUMMYFUNCTION(" GOOGLETRANSLATE(A56, ""en"", ""am"")"),"55")</f>
        <v>55</v>
      </c>
      <c r="H56" s="8" t="str">
        <f>IFERROR(__xludf.DUMMYFUNCTION(" GOOGLETRANSLATE(B56, ""en"", ""am"")"),"እንቅፋት ላይ በመዝለል አትሌቶች የሚወዳደሩት በየትኛው ክስተት ነው?")</f>
        <v>እንቅፋት ላይ በመዝለል አትሌቶች የሚወዳደሩት በየትኛው ክስተት ነው?</v>
      </c>
      <c r="I56" s="8" t="str">
        <f>IFERROR(__xludf.DUMMYFUNCTION(" GOOGLETRANSLATE(C56, ""en"", ""am"")"),"ሀ. እንቅፋት B. Sprint C. ረጅም ዝላይ መ. እንቅፋት")</f>
        <v>ሀ. እንቅፋት B. Sprint C. ረጅም ዝላይ መ. እንቅፋት</v>
      </c>
      <c r="J56" s="8" t="str">
        <f>IFERROR(__xludf.DUMMYFUNCTION(" GOOGLETRANSLATE(D56, ""en"", ""am"")"),"እንቅፋቶች")</f>
        <v>እንቅፋቶች</v>
      </c>
      <c r="K56" s="8" t="str">
        <f>IFERROR(__xludf.DUMMYFUNCTION(" GOOGLETRANSLATE(E56, ""en"", ""am"")"),"በ steeplechase ውድድር አትሌቶች የሚወዳደሩት መሰናክሎችን በመዝለል ነው።")</f>
        <v>በ steeplechase ውድድር አትሌቶች የሚወዳደሩት መሰናክሎችን በመዝለል ነው።</v>
      </c>
    </row>
    <row r="57" ht="22.5" customHeight="1">
      <c r="A57" s="13">
        <v>56.0</v>
      </c>
      <c r="B57" s="14" t="s">
        <v>1069</v>
      </c>
      <c r="C57" s="14" t="s">
        <v>1070</v>
      </c>
      <c r="D57" s="14" t="s">
        <v>1071</v>
      </c>
      <c r="E57" s="14" t="s">
        <v>1072</v>
      </c>
      <c r="G57" s="8" t="str">
        <f>IFERROR(__xludf.DUMMYFUNCTION(" GOOGLETRANSLATE(A57, ""en"", ""am"")"),"56")</f>
        <v>56</v>
      </c>
      <c r="H57" s="8" t="str">
        <f>IFERROR(__xludf.DUMMYFUNCTION(" GOOGLETRANSLATE(B57, ""en"", ""am"")"),"የሩጫ ውድድር እንዴት ይገለጻል?")</f>
        <v>የሩጫ ውድድር እንዴት ይገለጻል?</v>
      </c>
      <c r="I57" s="8" t="str">
        <f>IFERROR(__xludf.DUMMYFUNCTION(" GOOGLETRANSLATE(C57, ""en"", ""am"")"),"A. Bullet B. Bell C. የሲግናል ባንዲራ D. Bullet")</f>
        <v>A. Bullet B. Bell C. የሲግናል ባንዲራ D. Bullet</v>
      </c>
      <c r="J57" s="8" t="str">
        <f>IFERROR(__xludf.DUMMYFUNCTION(" GOOGLETRANSLATE(D57, ""en"", ""am"")"),"ጥይት")</f>
        <v>ጥይት</v>
      </c>
      <c r="K57" s="8" t="str">
        <f>IFERROR(__xludf.DUMMYFUNCTION(" GOOGLETRANSLATE(E57, ""en"", ""am"")"),"የሩጫ ውድድር ጅማሬ በተለምዶ በጥይት ድምጽ ነው።")</f>
        <v>የሩጫ ውድድር ጅማሬ በተለምዶ በጥይት ድምጽ ነው።</v>
      </c>
    </row>
    <row r="58" ht="22.5" customHeight="1">
      <c r="A58" s="13">
        <v>57.0</v>
      </c>
      <c r="B58" s="14" t="s">
        <v>1073</v>
      </c>
      <c r="C58" s="14" t="s">
        <v>1074</v>
      </c>
      <c r="D58" s="14" t="s">
        <v>1075</v>
      </c>
      <c r="E58" s="14" t="s">
        <v>1076</v>
      </c>
      <c r="G58" s="8" t="str">
        <f>IFERROR(__xludf.DUMMYFUNCTION(" GOOGLETRANSLATE(A58, ""en"", ""am"")"),"57")</f>
        <v>57</v>
      </c>
      <c r="H58" s="8" t="str">
        <f>IFERROR(__xludf.DUMMYFUNCTION(" GOOGLETRANSLATE(B58, ""en"", ""am"")"),"በ200 ሜትር ውድድር ሯጮች የት ይጀምራሉ?")</f>
        <v>በ200 ሜትር ውድድር ሯጮች የት ይጀምራሉ?</v>
      </c>
      <c r="I58" s="8" t="str">
        <f>IFERROR(__xludf.DUMMYFUNCTION(" GOOGLETRANSLATE(C58, ""en"", ""am"")"),"ሀ. ለመታጠፍ ለ. ውሸት ሐ. ለመቀመጥ መ. ቆሞ")</f>
        <v>ሀ. ለመታጠፍ ለ. ውሸት ሐ. ለመቀመጥ መ. ቆሞ</v>
      </c>
      <c r="J58" s="8" t="str">
        <f>IFERROR(__xludf.DUMMYFUNCTION(" GOOGLETRANSLATE(D58, ""en"", ""am"")"),"የቆመ")</f>
        <v>የቆመ</v>
      </c>
      <c r="K58" s="8" t="str">
        <f>IFERROR(__xludf.DUMMYFUNCTION(" GOOGLETRANSLATE(E58, ""en"", ""am"")"),"ሯጮች የ200 ሜትር ሩጫውን ከቆመበት ይጀምራሉ።")</f>
        <v>ሯጮች የ200 ሜትር ሩጫውን ከቆመበት ይጀምራሉ።</v>
      </c>
    </row>
    <row r="59" ht="22.5" customHeight="1">
      <c r="A59" s="13">
        <v>58.0</v>
      </c>
      <c r="B59" s="14" t="s">
        <v>1077</v>
      </c>
      <c r="C59" s="14" t="s">
        <v>1078</v>
      </c>
      <c r="D59" s="14" t="s">
        <v>1079</v>
      </c>
      <c r="E59" s="14" t="s">
        <v>1080</v>
      </c>
      <c r="G59" s="8" t="str">
        <f>IFERROR(__xludf.DUMMYFUNCTION(" GOOGLETRANSLATE(A59, ""en"", ""am"")"),"58")</f>
        <v>58</v>
      </c>
      <c r="H59" s="8" t="str">
        <f>IFERROR(__xludf.DUMMYFUNCTION(" GOOGLETRANSLATE(B59, ""en"", ""am"")"),"በሩጫ ውስጥ ፍጥነትን ለማሻሻል ምርጡ መንገድ ምንድነው?")</f>
        <v>በሩጫ ውስጥ ፍጥነትን ለማሻሻል ምርጡ መንገድ ምንድነው?</v>
      </c>
      <c r="I59" s="8" t="str">
        <f>IFERROR(__xludf.DUMMYFUNCTION(" GOOGLETRANSLATE(C59, ""en"", ""am"")"),"ሀ. የጊዜ ክፍተት ስልጠና ለ. የእግር ጉዞ C. ለመሮጥ መ. የኢንተርቫል ስልጠና")</f>
        <v>ሀ. የጊዜ ክፍተት ስልጠና ለ. የእግር ጉዞ C. ለመሮጥ መ. የኢንተርቫል ስልጠና</v>
      </c>
      <c r="J59" s="8" t="str">
        <f>IFERROR(__xludf.DUMMYFUNCTION(" GOOGLETRANSLATE(D59, ""en"", ""am"")"),"የጊዜ ክፍተት ስልጠና")</f>
        <v>የጊዜ ክፍተት ስልጠና</v>
      </c>
      <c r="K59" s="8" t="str">
        <f>IFERROR(__xludf.DUMMYFUNCTION(" GOOGLETRANSLATE(E59, ""en"", ""am"")"),"የጊዜ ክፍተት ስልጠና በሩጫ ውስጥ ፍጥነትን ለማሻሻል ጥሩ መንገድ ነው።")</f>
        <v>የጊዜ ክፍተት ስልጠና በሩጫ ውስጥ ፍጥነትን ለማሻሻል ጥሩ መንገድ ነው።</v>
      </c>
    </row>
    <row r="60" ht="22.5" customHeight="1">
      <c r="A60" s="13">
        <v>59.0</v>
      </c>
      <c r="B60" s="14" t="s">
        <v>1081</v>
      </c>
      <c r="C60" s="14" t="s">
        <v>1082</v>
      </c>
      <c r="D60" s="14" t="s">
        <v>1083</v>
      </c>
      <c r="E60" s="14" t="s">
        <v>1084</v>
      </c>
      <c r="G60" s="8" t="str">
        <f>IFERROR(__xludf.DUMMYFUNCTION(" GOOGLETRANSLATE(A60, ""en"", ""am"")"),"59")</f>
        <v>59</v>
      </c>
      <c r="H60" s="8" t="str">
        <f>IFERROR(__xludf.DUMMYFUNCTION(" GOOGLETRANSLATE(B60, ""en"", ""am"")"),"በማራቶን ወቅት ሯጮች ምን ያህል ጊዜ ውሃ ይጠጣሉ?")</f>
        <v>በማራቶን ወቅት ሯጮች ምን ያህል ጊዜ ውሃ ይጠጣሉ?</v>
      </c>
      <c r="I60" s="8" t="str">
        <f>IFERROR(__xludf.DUMMYFUNCTION(" GOOGLETRANSLATE(C60, ""en"", ""am"")"),"አ. በየ10 ኪ.ሜ. ለ. በየ 30 ደቂቃው C. በየ 1 ሰዓቱ መ. በየ 5 ኪ.ሜ.")</f>
        <v>አ. በየ10 ኪ.ሜ. ለ. በየ 30 ደቂቃው C. በየ 1 ሰዓቱ መ. በየ 5 ኪ.ሜ.</v>
      </c>
      <c r="J60" s="8" t="str">
        <f>IFERROR(__xludf.DUMMYFUNCTION(" GOOGLETRANSLATE(D60, ""en"", ""am"")"),"በየ 5 ኪ.ሜ.")</f>
        <v>በየ 5 ኪ.ሜ.</v>
      </c>
      <c r="K60" s="8" t="str">
        <f>IFERROR(__xludf.DUMMYFUNCTION(" GOOGLETRANSLATE(E60, ""en"", ""am"")"),"ሯጮች በማራቶን በየ5 ኪሎ ሜትር ውሃ ይጠጣሉ።")</f>
        <v>ሯጮች በማራቶን በየ5 ኪሎ ሜትር ውሃ ይጠጣሉ።</v>
      </c>
    </row>
    <row r="61" ht="22.5" customHeight="1">
      <c r="A61" s="13">
        <v>60.0</v>
      </c>
      <c r="B61" s="14" t="s">
        <v>1085</v>
      </c>
      <c r="C61" s="14" t="s">
        <v>1086</v>
      </c>
      <c r="D61" s="14" t="s">
        <v>1087</v>
      </c>
      <c r="E61" s="14" t="s">
        <v>1088</v>
      </c>
      <c r="G61" s="8" t="str">
        <f>IFERROR(__xludf.DUMMYFUNCTION(" GOOGLETRANSLATE(A61, ""en"", ""am"")"),"60")</f>
        <v>60</v>
      </c>
      <c r="H61" s="8" t="str">
        <f>IFERROR(__xludf.DUMMYFUNCTION(" GOOGLETRANSLATE(B61, ""en"", ""am"")"),"የማጠናቀቂያው መስመር በማራቶን ውስጥ እንዴት ይሠራል?")</f>
        <v>የማጠናቀቂያው መስመር በማራቶን ውስጥ እንዴት ይሠራል?</v>
      </c>
      <c r="I61" s="8" t="str">
        <f>IFERROR(__xludf.DUMMYFUNCTION(" GOOGLETRANSLATE(C61, ""en"", ""am"")"),"ሀ. በትልቅ ባንዲራ ተለጥፏል። ለ. ዲጂታል ሰዓት ነው። ሐ. የተዘረጋ ቴፕ ነው። መ. የተዘረጋ ቴፕ ነው።")</f>
        <v>ሀ. በትልቅ ባንዲራ ተለጥፏል። ለ. ዲጂታል ሰዓት ነው። ሐ. የተዘረጋ ቴፕ ነው። መ. የተዘረጋ ቴፕ ነው።</v>
      </c>
      <c r="J61" s="8" t="str">
        <f>IFERROR(__xludf.DUMMYFUNCTION(" GOOGLETRANSLATE(D61, ""en"", ""am"")"),"የተዘረጋ ቴፕ ነው።")</f>
        <v>የተዘረጋ ቴፕ ነው።</v>
      </c>
      <c r="K61" s="8" t="str">
        <f>IFERROR(__xludf.DUMMYFUNCTION(" GOOGLETRANSLATE(E61, ""en"", ""am"")"),"በማራቶን፣ የማጠናቀቂያው መስመር በተለምዶ በተለጠጠ ቴፕ ምልክት ተደርጎበታል።")</f>
        <v>በማራቶን፣ የማጠናቀቂያው መስመር በተለምዶ በተለጠጠ ቴፕ ምልክት ተደርጎበታል።</v>
      </c>
    </row>
    <row r="62" ht="22.5" customHeight="1">
      <c r="A62" s="13">
        <v>61.0</v>
      </c>
      <c r="B62" s="14" t="s">
        <v>1089</v>
      </c>
      <c r="C62" s="14" t="s">
        <v>1090</v>
      </c>
      <c r="D62" s="14" t="s">
        <v>1091</v>
      </c>
      <c r="E62" s="14" t="s">
        <v>1092</v>
      </c>
      <c r="G62" s="8" t="str">
        <f>IFERROR(__xludf.DUMMYFUNCTION(" GOOGLETRANSLATE(A62, ""en"", ""am"")"),"61")</f>
        <v>61</v>
      </c>
      <c r="H62" s="8" t="str">
        <f>IFERROR(__xludf.DUMMYFUNCTION(" GOOGLETRANSLATE(B62, ""en"", ""am"")"),"የዝውውር ቡድኑ ዱላውን መቼ መቀየር እንዳለበት እንዴት ያውቃል?")</f>
        <v>የዝውውር ቡድኑ ዱላውን መቼ መቀየር እንዳለበት እንዴት ያውቃል?</v>
      </c>
      <c r="I62" s="8" t="str">
        <f>IFERROR(__xludf.DUMMYFUNCTION(" GOOGLETRANSLATE(C62, ""en"", ""am"")"),"ሀ. ሯጩ ሲደክም ለ. መሪው ሯጩን ሲጠቁም C. በትሩ ሲያልፍ መ.")</f>
        <v>ሀ. ሯጩ ሲደክም ለ. መሪው ሯጩን ሲጠቁም C. በትሩ ሲያልፍ መ.</v>
      </c>
      <c r="J62" s="8" t="str">
        <f>IFERROR(__xludf.DUMMYFUNCTION(" GOOGLETRANSLATE(D62, ""en"", ""am"")"),"መሪው ሯጩን ሲያመለክት")</f>
        <v>መሪው ሯጩን ሲያመለክት</v>
      </c>
      <c r="K62" s="8" t="str">
        <f>IFERROR(__xludf.DUMMYFUNCTION(" GOOGLETRANSLATE(E62, ""en"", ""am"")"),"የሪሌይ ሯጮች መሪው በሚሰጠው ምልክት ላይ በመመስረት ዱላውን መቼ እንደሚቀይሩ ያውቃሉ።")</f>
        <v>የሪሌይ ሯጮች መሪው በሚሰጠው ምልክት ላይ በመመስረት ዱላውን መቼ እንደሚቀይሩ ያውቃሉ።</v>
      </c>
    </row>
    <row r="63" ht="22.5" customHeight="1">
      <c r="A63" s="13">
        <v>62.0</v>
      </c>
      <c r="B63" s="14" t="s">
        <v>1093</v>
      </c>
      <c r="C63" s="14" t="s">
        <v>1094</v>
      </c>
      <c r="D63" s="14" t="s">
        <v>899</v>
      </c>
      <c r="E63" s="14" t="s">
        <v>1095</v>
      </c>
      <c r="G63" s="8" t="str">
        <f>IFERROR(__xludf.DUMMYFUNCTION(" GOOGLETRANSLATE(A63, ""en"", ""am"")"),"62")</f>
        <v>62</v>
      </c>
      <c r="H63" s="8" t="str">
        <f>IFERROR(__xludf.DUMMYFUNCTION(" GOOGLETRANSLATE(B63, ""en"", ""am"")"),"በየትኛው ውድድር ነው ሯጮች ወደ ኩርባ የሚዞሩት?")</f>
        <v>በየትኛው ውድድር ነው ሯጮች ወደ ኩርባ የሚዞሩት?</v>
      </c>
      <c r="I63" s="8" t="str">
        <f>IFERROR(__xludf.DUMMYFUNCTION(" GOOGLETRANSLATE(C63, ""en"", ""am"")"),"አ. 100 ሜትር B. 800 ሜትር ሲ. 400 ሜትር ዲ. 400 ሜትር.")</f>
        <v>አ. 100 ሜትር B. 800 ሜትር ሲ. 400 ሜትር ዲ. 400 ሜትር.</v>
      </c>
      <c r="J63" s="8" t="str">
        <f>IFERROR(__xludf.DUMMYFUNCTION(" GOOGLETRANSLATE(D63, ""en"", ""am"")"),"400 ሜትር")</f>
        <v>400 ሜትር</v>
      </c>
      <c r="K63" s="8" t="str">
        <f>IFERROR(__xludf.DUMMYFUNCTION(" GOOGLETRANSLATE(E63, ""en"", ""am"")"),"በ400 ሜትር ውድድር ሯጮች ከርቮች ይዞራሉ።")</f>
        <v>በ400 ሜትር ውድድር ሯጮች ከርቮች ይዞራሉ።</v>
      </c>
    </row>
    <row r="64" ht="22.5" customHeight="1">
      <c r="A64" s="13">
        <v>63.0</v>
      </c>
      <c r="B64" s="14" t="s">
        <v>1096</v>
      </c>
      <c r="C64" s="14" t="s">
        <v>1097</v>
      </c>
      <c r="D64" s="14" t="s">
        <v>1098</v>
      </c>
      <c r="E64" s="14" t="s">
        <v>1099</v>
      </c>
      <c r="G64" s="8" t="str">
        <f>IFERROR(__xludf.DUMMYFUNCTION(" GOOGLETRANSLATE(A64, ""en"", ""am"")"),"63")</f>
        <v>63</v>
      </c>
      <c r="H64" s="8" t="str">
        <f>IFERROR(__xludf.DUMMYFUNCTION(" GOOGLETRANSLATE(B64, ""en"", ""am"")"),"አትሌቶች በሚሮጡበት ጊዜ መዝለል ያለባቸው የትኛው ክስተት ነው?")</f>
        <v>አትሌቶች በሚሮጡበት ጊዜ መዝለል ያለባቸው የትኛው ክስተት ነው?</v>
      </c>
      <c r="I64" s="8" t="str">
        <f>IFERROR(__xludf.DUMMYFUNCTION(" GOOGLETRANSLATE(C64, ""en"", ""am"")"),"ሀ. ከፍተኛ ዝላይ ለ. ረጅም ዝላይ ሐ. ምሰሶ ተራራ D. ባለሶስት ዝላይ")</f>
        <v>ሀ. ከፍተኛ ዝላይ ለ. ረጅም ዝላይ ሐ. ምሰሶ ተራራ D. ባለሶስት ዝላይ</v>
      </c>
      <c r="J64" s="8" t="str">
        <f>IFERROR(__xludf.DUMMYFUNCTION(" GOOGLETRANSLATE(D64, ""en"", ""am"")"),"የሶስትዮሽ ዝላይ")</f>
        <v>የሶስትዮሽ ዝላይ</v>
      </c>
      <c r="K64" s="8" t="str">
        <f>IFERROR(__xludf.DUMMYFUNCTION(" GOOGLETRANSLATE(E64, ""en"", ""am"")"),"በሶስት እጥፍ ዝላይ፣ አትሌቶች እየሮጡ ይዝላሉ።")</f>
        <v>በሶስት እጥፍ ዝላይ፣ አትሌቶች እየሮጡ ይዝላሉ።</v>
      </c>
    </row>
    <row r="65" ht="22.5" customHeight="1">
      <c r="A65" s="13">
        <v>64.0</v>
      </c>
      <c r="B65" s="14" t="s">
        <v>1100</v>
      </c>
      <c r="C65" s="14" t="s">
        <v>1101</v>
      </c>
      <c r="D65" s="14" t="s">
        <v>1102</v>
      </c>
      <c r="E65" s="14" t="s">
        <v>1103</v>
      </c>
      <c r="G65" s="8" t="str">
        <f>IFERROR(__xludf.DUMMYFUNCTION(" GOOGLETRANSLATE(A65, ""en"", ""am"")"),"64")</f>
        <v>64</v>
      </c>
      <c r="H65" s="8" t="str">
        <f>IFERROR(__xludf.DUMMYFUNCTION(" GOOGLETRANSLATE(B65, ""en"", ""am"")"),"ለስፕሪስቶች ምን ዓይነት ጫማዎች የተሻሉ ናቸው?")</f>
        <v>ለስፕሪስቶች ምን ዓይነት ጫማዎች የተሻሉ ናቸው?</v>
      </c>
      <c r="I65" s="8" t="str">
        <f>IFERROR(__xludf.DUMMYFUNCTION(" GOOGLETRANSLATE(C65, ""en"", ""am"")"),"ሀ. የረጅም ርቀት ጫማዎች ቢ. ኮንስ ሐ. የተለመዱ ጫማዎች D. Cones")</f>
        <v>ሀ. የረጅም ርቀት ጫማዎች ቢ. ኮንስ ሐ. የተለመዱ ጫማዎች D. Cones</v>
      </c>
      <c r="J65" s="8" t="str">
        <f>IFERROR(__xludf.DUMMYFUNCTION(" GOOGLETRANSLATE(D65, ""en"", ""am"")"),"ኮኖች")</f>
        <v>ኮኖች</v>
      </c>
      <c r="K65" s="8" t="str">
        <f>IFERROR(__xludf.DUMMYFUNCTION(" GOOGLETRANSLATE(E65, ""en"", ""am"")"),"Sprinters ለተሻለ ለመያዝ እና ፍጥነት ሹል ይለብሳሉ።")</f>
        <v>Sprinters ለተሻለ ለመያዝ እና ፍጥነት ሹል ይለብሳሉ።</v>
      </c>
    </row>
    <row r="66" ht="22.5" customHeight="1">
      <c r="A66" s="13">
        <v>65.0</v>
      </c>
      <c r="B66" s="14" t="s">
        <v>1104</v>
      </c>
      <c r="C66" s="14" t="s">
        <v>253</v>
      </c>
      <c r="D66" s="14" t="s">
        <v>254</v>
      </c>
      <c r="E66" s="14" t="s">
        <v>254</v>
      </c>
      <c r="G66" s="8" t="str">
        <f>IFERROR(__xludf.DUMMYFUNCTION(" GOOGLETRANSLATE(A66, ""en"", ""am"")"),"65")</f>
        <v>65</v>
      </c>
      <c r="H66" s="8" t="str">
        <f>IFERROR(__xludf.DUMMYFUNCTION(" GOOGLETRANSLATE(B66, ""en"", ""am"")"),"በመደበኛ መንገድ የሚፈቀደው ከፍተኛው የሯጮች ብዛት ስንት ነው?")</f>
        <v>በመደበኛ መንገድ የሚፈቀደው ከፍተኛው የሯጮች ብዛት ስንት ነው?</v>
      </c>
      <c r="I66" s="8" t="str">
        <f>IFERROR(__xludf.DUMMYFUNCTION(" GOOGLETRANSLATE(C66, ""en"", ""am"")"),"አ.2 ለ. 3 ሐ. 4 ዲ. 1")</f>
        <v>አ.2 ለ. 3 ሐ. 4 ዲ. 1</v>
      </c>
      <c r="J66" s="8" t="str">
        <f>IFERROR(__xludf.DUMMYFUNCTION(" GOOGLETRANSLATE(D66, ""en"", ""am"")"),"1")</f>
        <v>1</v>
      </c>
      <c r="K66" s="8" t="str">
        <f>IFERROR(__xludf.DUMMYFUNCTION(" GOOGLETRANSLATE(E66, ""en"", ""am"")"),"1")</f>
        <v>1</v>
      </c>
    </row>
    <row r="67" ht="22.5" customHeight="1">
      <c r="A67" s="13">
        <v>66.0</v>
      </c>
      <c r="B67" s="14" t="s">
        <v>1105</v>
      </c>
      <c r="C67" s="14" t="s">
        <v>1106</v>
      </c>
      <c r="D67" s="14" t="s">
        <v>1107</v>
      </c>
      <c r="E67" s="14" t="s">
        <v>1108</v>
      </c>
      <c r="G67" s="8" t="str">
        <f>IFERROR(__xludf.DUMMYFUNCTION(" GOOGLETRANSLATE(A67, ""en"", ""am"")"),"66")</f>
        <v>66</v>
      </c>
      <c r="H67" s="8" t="str">
        <f>IFERROR(__xludf.DUMMYFUNCTION(" GOOGLETRANSLATE(B67, ""en"", ""am"")"),"በትራክ ዝግጅቶች፣ በስፕሪት ውድድር ውስጥ በጣም አስፈላጊው ነገር ምንድን ነው?")</f>
        <v>በትራክ ዝግጅቶች፣ በስፕሪት ውድድር ውስጥ በጣም አስፈላጊው ነገር ምንድን ነው?</v>
      </c>
      <c r="I67" s="8" t="str">
        <f>IFERROR(__xludf.DUMMYFUNCTION(" GOOGLETRANSLATE(C67, ""en"", ""am"")"),"ሀ. ፍጥነት ለ. ጥንካሬ ሐ. ተለዋዋጭነት D. ፍጥነት")</f>
        <v>ሀ. ፍጥነት ለ. ጥንካሬ ሐ. ተለዋዋጭነት D. ፍጥነት</v>
      </c>
      <c r="J67" s="8" t="str">
        <f>IFERROR(__xludf.DUMMYFUNCTION(" GOOGLETRANSLATE(D67, ""en"", ""am"")"),"ፍጥነት")</f>
        <v>ፍጥነት</v>
      </c>
      <c r="K67" s="8" t="str">
        <f>IFERROR(__xludf.DUMMYFUNCTION(" GOOGLETRANSLATE(E67, ""en"", ""am"")"),"በስፕሪንት ውድድር ውስጥ በጣም አስፈላጊው ነገር ፍጥነት ነው.")</f>
        <v>በስፕሪንት ውድድር ውስጥ በጣም አስፈላጊው ነገር ፍጥነት ነው.</v>
      </c>
    </row>
    <row r="68" ht="22.5" customHeight="1">
      <c r="A68" s="13">
        <v>67.0</v>
      </c>
      <c r="B68" s="14" t="s">
        <v>1109</v>
      </c>
      <c r="C68" s="14" t="s">
        <v>1110</v>
      </c>
      <c r="D68" s="14" t="s">
        <v>1111</v>
      </c>
      <c r="E68" s="14" t="s">
        <v>1112</v>
      </c>
      <c r="G68" s="8" t="str">
        <f>IFERROR(__xludf.DUMMYFUNCTION(" GOOGLETRANSLATE(A68, ""en"", ""am"")"),"67")</f>
        <v>67</v>
      </c>
      <c r="H68" s="8" t="str">
        <f>IFERROR(__xludf.DUMMYFUNCTION(" GOOGLETRANSLATE(B68, ""en"", ""am"")"),"የመካከለኛ ርቀት ውድድር ተብሎ የሚታወቀው የትኛው የትራክ ውድድር ነው?")</f>
        <v>የመካከለኛ ርቀት ውድድር ተብሎ የሚታወቀው የትኛው የትራክ ውድድር ነው?</v>
      </c>
      <c r="I68" s="8" t="str">
        <f>IFERROR(__xludf.DUMMYFUNCTION(" GOOGLETRANSLATE(C68, ""en"", ""am"")"),"አ. 100 ሜትር ለ. 200 ሜትር ሴ. 400 ሜትር ዲ. 1500 ሜትር.")</f>
        <v>አ. 100 ሜትር ለ. 200 ሜትር ሴ. 400 ሜትር ዲ. 1500 ሜትር.</v>
      </c>
      <c r="J68" s="8" t="str">
        <f>IFERROR(__xludf.DUMMYFUNCTION(" GOOGLETRANSLATE(D68, ""en"", ""am"")"),"1500 ሜትር")</f>
        <v>1500 ሜትር</v>
      </c>
      <c r="K68" s="8" t="str">
        <f>IFERROR(__xludf.DUMMYFUNCTION(" GOOGLETRANSLATE(E68, ""en"", ""am"")"),"1500 ሜትር የመካከለኛ ርቀት ውድድር ተደርጎ ይቆጠራል።")</f>
        <v>1500 ሜትር የመካከለኛ ርቀት ውድድር ተደርጎ ይቆጠራል።</v>
      </c>
    </row>
    <row r="69" ht="22.5" customHeight="1">
      <c r="A69" s="13">
        <v>68.0</v>
      </c>
      <c r="B69" s="14" t="s">
        <v>1113</v>
      </c>
      <c r="C69" s="14" t="s">
        <v>1114</v>
      </c>
      <c r="D69" s="14" t="s">
        <v>1115</v>
      </c>
      <c r="E69" s="14" t="s">
        <v>1116</v>
      </c>
      <c r="G69" s="8" t="str">
        <f>IFERROR(__xludf.DUMMYFUNCTION(" GOOGLETRANSLATE(A69, ""en"", ""am"")"),"68")</f>
        <v>68</v>
      </c>
      <c r="H69" s="8" t="str">
        <f>IFERROR(__xludf.DUMMYFUNCTION(" GOOGLETRANSLATE(B69, ""en"", ""am"")"),"አትሌቶች በውድድር ወቅት ጉዳቶችን እንዴት ማስወገድ ይችላሉ?")</f>
        <v>አትሌቶች በውድድር ወቅት ጉዳቶችን እንዴት ማስወገድ ይችላሉ?</v>
      </c>
      <c r="I69" s="8" t="str">
        <f>IFERROR(__xludf.DUMMYFUNCTION(" GOOGLETRANSLATE(C69, ""en"", ""am"")"),"ሀ. በፍጥነት መሮጥ ለ. የውሃ መጨናነቅን በማስወገድ ሐ. ከባድ ጫማ ማድረግ መ. በማሞቅ")</f>
        <v>ሀ. በፍጥነት መሮጥ ለ. የውሃ መጨናነቅን በማስወገድ ሐ. ከባድ ጫማ ማድረግ መ. በማሞቅ</v>
      </c>
      <c r="J69" s="8" t="str">
        <f>IFERROR(__xludf.DUMMYFUNCTION(" GOOGLETRANSLATE(D69, ""en"", ""am"")"),"በማሞቅ")</f>
        <v>በማሞቅ</v>
      </c>
      <c r="K69" s="8" t="str">
        <f>IFERROR(__xludf.DUMMYFUNCTION(" GOOGLETRANSLATE(E69, ""en"", ""am"")"),"አትሌቶች ከሩጫ በፊት በደንብ በመሞቅ ጉዳት እንዳይደርስባቸው መከላከል ይችላሉ።")</f>
        <v>አትሌቶች ከሩጫ በፊት በደንብ በመሞቅ ጉዳት እንዳይደርስባቸው መከላከል ይችላሉ።</v>
      </c>
    </row>
    <row r="70" ht="22.5" customHeight="1">
      <c r="A70" s="13">
        <v>69.0</v>
      </c>
      <c r="B70" s="14" t="s">
        <v>1117</v>
      </c>
      <c r="C70" s="14" t="s">
        <v>1118</v>
      </c>
      <c r="D70" s="14" t="s">
        <v>1119</v>
      </c>
      <c r="E70" s="14" t="s">
        <v>1120</v>
      </c>
      <c r="G70" s="8" t="str">
        <f>IFERROR(__xludf.DUMMYFUNCTION(" GOOGLETRANSLATE(A70, ""en"", ""am"")"),"69")</f>
        <v>69</v>
      </c>
      <c r="H70" s="8" t="str">
        <f>IFERROR(__xludf.DUMMYFUNCTION(" GOOGLETRANSLATE(B70, ""en"", ""am"")"),"በማራቶን ውስጥ ወደ ግማሽ ነጥብ ያለው ርቀት ስንት ነው?")</f>
        <v>በማራቶን ውስጥ ወደ ግማሽ ነጥብ ያለው ርቀት ስንት ነው?</v>
      </c>
      <c r="I70" s="8" t="str">
        <f>IFERROR(__xludf.DUMMYFUNCTION(" GOOGLETRANSLATE(C70, ""en"", ""am"")"),"ሀ 25 ኪ.ሜ ለ 15 ኪ.ሜ. 18 ኪ.ሜ ዲ 21 ኪ.ሜ")</f>
        <v>ሀ 25 ኪ.ሜ ለ 15 ኪ.ሜ. 18 ኪ.ሜ ዲ 21 ኪ.ሜ</v>
      </c>
      <c r="J70" s="8" t="str">
        <f>IFERROR(__xludf.DUMMYFUNCTION(" GOOGLETRANSLATE(D70, ""en"", ""am"")"),"21 ኪ.ሜ")</f>
        <v>21 ኪ.ሜ</v>
      </c>
      <c r="K70" s="8" t="str">
        <f>IFERROR(__xludf.DUMMYFUNCTION(" GOOGLETRANSLATE(E70, ""en"", ""am"")"),"የማራቶን ግማሽ መንገድ 21 ኪሎ ሜትር ላይ ነው።")</f>
        <v>የማራቶን ግማሽ መንገድ 21 ኪሎ ሜትር ላይ ነው።</v>
      </c>
    </row>
    <row r="71" ht="22.5" customHeight="1">
      <c r="A71" s="13">
        <v>70.0</v>
      </c>
      <c r="B71" s="14" t="s">
        <v>1121</v>
      </c>
      <c r="C71" s="14" t="s">
        <v>1122</v>
      </c>
      <c r="D71" s="14" t="s">
        <v>1123</v>
      </c>
      <c r="E71" s="14" t="s">
        <v>1124</v>
      </c>
      <c r="G71" s="8" t="str">
        <f>IFERROR(__xludf.DUMMYFUNCTION(" GOOGLETRANSLATE(A71, ""en"", ""am"")"),"70")</f>
        <v>70</v>
      </c>
      <c r="H71" s="8" t="str">
        <f>IFERROR(__xludf.DUMMYFUNCTION(" GOOGLETRANSLATE(B71, ""en"", ""am"")"),"ባር ላይ ለመጣል ምሰሶ መጠቀምን የሚያካትተው የትኛው ክስተት ነው?")</f>
        <v>ባር ላይ ለመጣል ምሰሶ መጠቀምን የሚያካትተው የትኛው ክስተት ነው?</v>
      </c>
      <c r="I71" s="8" t="str">
        <f>IFERROR(__xludf.DUMMYFUNCTION(" GOOGLETRANSLATE(C71, ""en"", ""am"")"),"ሀ. ከፍተኛ ዝላይ ለ. መሰናክሎች ሐ. ሶስቴ ዝላይ D. ምሰሶ ተራራ")</f>
        <v>ሀ. ከፍተኛ ዝላይ ለ. መሰናክሎች ሐ. ሶስቴ ዝላይ D. ምሰሶ ተራራ</v>
      </c>
      <c r="J71" s="8" t="str">
        <f>IFERROR(__xludf.DUMMYFUNCTION(" GOOGLETRANSLATE(D71, ""en"", ""am"")"),"ምሰሶ ተራራ")</f>
        <v>ምሰሶ ተራራ</v>
      </c>
      <c r="K71" s="8" t="str">
        <f>IFERROR(__xludf.DUMMYFUNCTION(" GOOGLETRANSLATE(E71, ""en"", ""am"")"),"በፖል ቮልት ውስጥ አትሌቶች ባር ላይ ለመዝለል ምሰሶ ይጠቀማሉ።")</f>
        <v>በፖል ቮልት ውስጥ አትሌቶች ባር ላይ ለመዝለል ምሰሶ ይጠቀማሉ።</v>
      </c>
    </row>
    <row r="72" ht="22.5" customHeight="1">
      <c r="A72" s="13">
        <v>71.0</v>
      </c>
      <c r="B72" s="14" t="s">
        <v>1125</v>
      </c>
      <c r="C72" s="14" t="s">
        <v>1126</v>
      </c>
      <c r="D72" s="14" t="s">
        <v>1053</v>
      </c>
      <c r="E72" s="14" t="s">
        <v>1127</v>
      </c>
      <c r="G72" s="8" t="str">
        <f>IFERROR(__xludf.DUMMYFUNCTION(" GOOGLETRANSLATE(A72, ""en"", ""am"")"),"71")</f>
        <v>71</v>
      </c>
      <c r="H72" s="8" t="str">
        <f>IFERROR(__xludf.DUMMYFUNCTION(" GOOGLETRANSLATE(B72, ""en"", ""am"")"),"የ5ኬ ውድድር ዋና ግብ ምንድነው?")</f>
        <v>የ5ኬ ውድድር ዋና ግብ ምንድነው?</v>
      </c>
      <c r="I72" s="8" t="str">
        <f>IFERROR(__xludf.DUMMYFUNCTION(" GOOGLETRANSLATE(C72, ""en"", ""am"")"),"ሀ. ጽናት። B. ዝብሉ C. መወርወር ዲ. ጽናት።")</f>
        <v>ሀ. ጽናት። B. ዝብሉ C. መወርወር ዲ. ጽናት።</v>
      </c>
      <c r="J72" s="8" t="str">
        <f>IFERROR(__xludf.DUMMYFUNCTION(" GOOGLETRANSLATE(D72, ""en"", ""am"")"),"ጽናት።")</f>
        <v>ጽናት።</v>
      </c>
      <c r="K72" s="8" t="str">
        <f>IFERROR(__xludf.DUMMYFUNCTION(" GOOGLETRANSLATE(E72, ""en"", ""am"")"),"የ5ኪሎ ውድድር ዋና ግብ እየሮጡ ጽናትን መጠበቅ ነው።")</f>
        <v>የ5ኪሎ ውድድር ዋና ግብ እየሮጡ ጽናትን መጠበቅ ነው።</v>
      </c>
    </row>
    <row r="73" ht="22.5" customHeight="1">
      <c r="A73" s="13">
        <v>72.0</v>
      </c>
      <c r="B73" s="14" t="s">
        <v>1128</v>
      </c>
      <c r="C73" s="14" t="s">
        <v>1129</v>
      </c>
      <c r="D73" s="14" t="s">
        <v>899</v>
      </c>
      <c r="E73" s="14" t="s">
        <v>1130</v>
      </c>
      <c r="G73" s="8" t="str">
        <f>IFERROR(__xludf.DUMMYFUNCTION(" GOOGLETRANSLATE(A73, ""en"", ""am"")"),"72")</f>
        <v>72</v>
      </c>
      <c r="H73" s="8" t="str">
        <f>IFERROR(__xludf.DUMMYFUNCTION(" GOOGLETRANSLATE(B73, ""en"", ""am"")"),"የትኛው የትራክ ክስተት ብዙውን ጊዜ የሩጫ እና የጥንካሬ ሙከራ ተደርጎ ይወሰዳል?")</f>
        <v>የትኛው የትራክ ክስተት ብዙውን ጊዜ የሩጫ እና የጥንካሬ ሙከራ ተደርጎ ይወሰዳል?</v>
      </c>
      <c r="I73" s="8" t="str">
        <f>IFERROR(__xludf.DUMMYFUNCTION(" GOOGLETRANSLATE(C73, ""en"", ""am"")"),"አ. 100 ሜትር ለ. 1500 ሜትር ሴ. 800 ሜትር ዲ. 400 ሜትር.")</f>
        <v>አ. 100 ሜትር ለ. 1500 ሜትር ሴ. 800 ሜትር ዲ. 400 ሜትር.</v>
      </c>
      <c r="J73" s="8" t="str">
        <f>IFERROR(__xludf.DUMMYFUNCTION(" GOOGLETRANSLATE(D73, ""en"", ""am"")"),"400 ሜትር")</f>
        <v>400 ሜትር</v>
      </c>
      <c r="K73" s="8" t="str">
        <f>IFERROR(__xludf.DUMMYFUNCTION(" GOOGLETRANSLATE(E73, ""en"", ""am"")"),"የ400 ሜትር ሩጫ ፍጥነት እና ጽናትን ይፈትሻል።")</f>
        <v>የ400 ሜትር ሩጫ ፍጥነት እና ጽናትን ይፈትሻል።</v>
      </c>
    </row>
    <row r="74" ht="22.5" customHeight="1">
      <c r="A74" s="13">
        <v>73.0</v>
      </c>
      <c r="B74" s="14" t="s">
        <v>1131</v>
      </c>
      <c r="C74" s="14" t="s">
        <v>1132</v>
      </c>
      <c r="D74" s="14" t="s">
        <v>943</v>
      </c>
      <c r="E74" s="14" t="s">
        <v>1133</v>
      </c>
      <c r="G74" s="8" t="str">
        <f>IFERROR(__xludf.DUMMYFUNCTION(" GOOGLETRANSLATE(A74, ""en"", ""am"")"),"73")</f>
        <v>73</v>
      </c>
      <c r="H74" s="8" t="str">
        <f>IFERROR(__xludf.DUMMYFUNCTION(" GOOGLETRANSLATE(B74, ""en"", ""am"")"),"በመደበኛ ውድድር በአጭበርባሪዎች የሚሸፈነው ፈጣን ርቀት ምን ያህል ነው?")</f>
        <v>በመደበኛ ውድድር በአጭበርባሪዎች የሚሸፈነው ፈጣን ርቀት ምን ያህል ነው?</v>
      </c>
      <c r="I74" s="8" t="str">
        <f>IFERROR(__xludf.DUMMYFUNCTION(" GOOGLETRANSLATE(C74, ""en"", ""am"")"),"አ.200 ሜትር B. 1500 ሜትር ሲ 800 ሜትር ደ 100 ሜትር")</f>
        <v>አ.200 ሜትር B. 1500 ሜትር ሲ 800 ሜትር ደ 100 ሜትር</v>
      </c>
      <c r="J74" s="8" t="str">
        <f>IFERROR(__xludf.DUMMYFUNCTION(" GOOGLETRANSLATE(D74, ""en"", ""am"")"),"100 ሜትር")</f>
        <v>100 ሜትር</v>
      </c>
      <c r="K74" s="8" t="str">
        <f>IFERROR(__xludf.DUMMYFUNCTION(" GOOGLETRANSLATE(E74, ""en"", ""am"")"),"በ100 ሜትር ውድድር አትሌቶች በፍጥነት ይሮጣሉ።")</f>
        <v>በ100 ሜትር ውድድር አትሌቶች በፍጥነት ይሮጣሉ።</v>
      </c>
    </row>
    <row r="75" ht="22.5" customHeight="1">
      <c r="A75" s="13">
        <v>74.0</v>
      </c>
      <c r="B75" s="14" t="s">
        <v>1134</v>
      </c>
      <c r="C75" s="14" t="s">
        <v>1135</v>
      </c>
      <c r="D75" s="14" t="s">
        <v>1136</v>
      </c>
      <c r="E75" s="14" t="s">
        <v>1137</v>
      </c>
      <c r="G75" s="8" t="str">
        <f>IFERROR(__xludf.DUMMYFUNCTION(" GOOGLETRANSLATE(A75, ""en"", ""am"")"),"74")</f>
        <v>74</v>
      </c>
      <c r="H75" s="8" t="str">
        <f>IFERROR(__xludf.DUMMYFUNCTION(" GOOGLETRANSLATE(B75, ""en"", ""am"")"),"sprinters አጀማመሩን እንዴት ማሻሻል ይችላሉ?")</f>
        <v>sprinters አጀማመሩን እንዴት ማሻሻል ይችላሉ?</v>
      </c>
      <c r="I75" s="8" t="str">
        <f>IFERROR(__xludf.DUMMYFUNCTION(" GOOGLETRANSLATE(C75, ""en"", ""am"")"),"ሀ. ወደ ኋላ መሮጥ ለ. የርቀት ሩጫን በማድረግ ሐ. Stretching D. ብሎክን በመለማመድ ይጀምራል።")</f>
        <v>ሀ. ወደ ኋላ መሮጥ ለ. የርቀት ሩጫን በማድረግ ሐ. Stretching D. ብሎክን በመለማመድ ይጀምራል።</v>
      </c>
      <c r="J75" s="8" t="str">
        <f>IFERROR(__xludf.DUMMYFUNCTION(" GOOGLETRANSLATE(D75, ""en"", ""am"")"),"ብሎክን በመለማመድ ይጀምራል።")</f>
        <v>ብሎክን በመለማመድ ይጀምራል።</v>
      </c>
      <c r="K75" s="8" t="str">
        <f>IFERROR(__xludf.DUMMYFUNCTION(" GOOGLETRANSLATE(E75, ""en"", ""am"")"),"Sprinters የማገጃ ጅምርን በመለማመድ አጀማመሩን ያሻሽላሉ።")</f>
        <v>Sprinters የማገጃ ጅምርን በመለማመድ አጀማመሩን ያሻሽላሉ።</v>
      </c>
    </row>
    <row r="76" ht="22.5" customHeight="1">
      <c r="A76" s="13">
        <v>75.0</v>
      </c>
      <c r="B76" s="14" t="s">
        <v>1138</v>
      </c>
      <c r="C76" s="14" t="s">
        <v>1139</v>
      </c>
      <c r="D76" s="14" t="s">
        <v>923</v>
      </c>
      <c r="E76" s="14" t="s">
        <v>1140</v>
      </c>
      <c r="G76" s="8" t="str">
        <f>IFERROR(__xludf.DUMMYFUNCTION(" GOOGLETRANSLATE(A76, ""en"", ""am"")"),"75")</f>
        <v>75</v>
      </c>
      <c r="H76" s="8" t="str">
        <f>IFERROR(__xludf.DUMMYFUNCTION(" GOOGLETRANSLATE(B76, ""en"", ""am"")"),"አትሌቶች ከፍተኛውን ለመዝለል የሚያስፈልገው የትኛው ክስተት ነው?")</f>
        <v>አትሌቶች ከፍተኛውን ለመዝለል የሚያስፈልገው የትኛው ክስተት ነው?</v>
      </c>
      <c r="I76" s="8" t="str">
        <f>IFERROR(__xludf.DUMMYFUNCTION(" GOOGLETRANSLATE(C76, ""en"", ""am"")"),"ሀ. ምሰሶ ተራራ ለ. ሶስቴ ዝላይ ሐ. ረጅም ዝላይ መ. ከፍተኛ ዝላይ")</f>
        <v>ሀ. ምሰሶ ተራራ ለ. ሶስቴ ዝላይ ሐ. ረጅም ዝላይ መ. ከፍተኛ ዝላይ</v>
      </c>
      <c r="J76" s="8" t="str">
        <f>IFERROR(__xludf.DUMMYFUNCTION(" GOOGLETRANSLATE(D76, ""en"", ""am"")"),"ከፍተኛ ዝላይ")</f>
        <v>ከፍተኛ ዝላይ</v>
      </c>
      <c r="K76" s="8" t="str">
        <f>IFERROR(__xludf.DUMMYFUNCTION(" GOOGLETRANSLATE(E76, ""en"", ""am"")"),"በከፍተኛ ዝላይ ውድድር ውስጥ አትሌቶች በተቻለ መጠን ከፍ ብለው በትሩ ላይ ይዝለሉ።")</f>
        <v>በከፍተኛ ዝላይ ውድድር ውስጥ አትሌቶች በተቻለ መጠን ከፍ ብለው በትሩ ላይ ይዝለሉ።</v>
      </c>
    </row>
    <row r="77" ht="22.5" customHeight="1">
      <c r="A77" s="13">
        <v>76.0</v>
      </c>
      <c r="B77" s="14" t="s">
        <v>1141</v>
      </c>
      <c r="C77" s="14" t="s">
        <v>1142</v>
      </c>
      <c r="D77" s="14" t="s">
        <v>1143</v>
      </c>
      <c r="E77" s="14" t="s">
        <v>1143</v>
      </c>
      <c r="G77" s="8" t="str">
        <f>IFERROR(__xludf.DUMMYFUNCTION(" GOOGLETRANSLATE(A77, ""en"", ""am"")"),"76")</f>
        <v>76</v>
      </c>
      <c r="H77" s="8" t="str">
        <f>IFERROR(__xludf.DUMMYFUNCTION(" GOOGLETRANSLATE(B77, ""en"", ""am"")"),"በስፕሪት ውስጥ፣ በተለምዶ ስንት ሯጮች ይወዳደራሉ?")</f>
        <v>በስፕሪት ውስጥ፣ በተለምዶ ስንት ሯጮች ይወዳደራሉ?</v>
      </c>
      <c r="I77" s="8" t="str">
        <f>IFERROR(__xludf.DUMMYFUNCTION(" GOOGLETRANSLATE(C77, ""en"", ""am"")"),"አ.1-2 ለ. 7-8 ሐ. 10-12 ዲ. 7-8")</f>
        <v>አ.1-2 ለ. 7-8 ሐ. 10-12 ዲ. 7-8</v>
      </c>
      <c r="J77" s="8" t="str">
        <f>IFERROR(__xludf.DUMMYFUNCTION(" GOOGLETRANSLATE(D77, ""en"", ""am"")"),"7-8")</f>
        <v>7-8</v>
      </c>
      <c r="K77" s="8" t="str">
        <f>IFERROR(__xludf.DUMMYFUNCTION(" GOOGLETRANSLATE(E77, ""en"", ""am"")"),"7-8")</f>
        <v>7-8</v>
      </c>
    </row>
    <row r="78" ht="22.5" customHeight="1">
      <c r="A78" s="13">
        <v>77.0</v>
      </c>
      <c r="B78" s="14" t="s">
        <v>1144</v>
      </c>
      <c r="C78" s="14" t="s">
        <v>1145</v>
      </c>
      <c r="D78" s="14" t="s">
        <v>1146</v>
      </c>
      <c r="E78" s="14" t="s">
        <v>1147</v>
      </c>
      <c r="G78" s="8" t="str">
        <f>IFERROR(__xludf.DUMMYFUNCTION(" GOOGLETRANSLATE(A78, ""en"", ""am"")"),"77")</f>
        <v>77</v>
      </c>
      <c r="H78" s="8" t="str">
        <f>IFERROR(__xludf.DUMMYFUNCTION(" GOOGLETRANSLATE(B78, ""en"", ""am"")"),"የ400 ሜትር ውድድር ዋናው ስልት ምንድን ነው?")</f>
        <v>የ400 ሜትር ውድድር ዋናው ስልት ምንድን ነው?</v>
      </c>
      <c r="I78" s="8" t="str">
        <f>IFERROR(__xludf.DUMMYFUNCTION(" GOOGLETRANSLATE(C78, ""en"", ""am"")"),"ሀ. ሁሉንም ትወጣለህ። ለ. ወደ ላይ ይዝለሉ. C. ወደ ኋላ መሮጥ መ. ራስዎን ያዙሩ።")</f>
        <v>ሀ. ሁሉንም ትወጣለህ። ለ. ወደ ላይ ይዝለሉ. C. ወደ ኋላ መሮጥ መ. ራስዎን ያዙሩ።</v>
      </c>
      <c r="J78" s="8" t="str">
        <f>IFERROR(__xludf.DUMMYFUNCTION(" GOOGLETRANSLATE(D78, ""en"", ""am"")"),"እራስህን አዙር።")</f>
        <v>እራስህን አዙር።</v>
      </c>
      <c r="K78" s="8" t="str">
        <f>IFERROR(__xludf.DUMMYFUNCTION(" GOOGLETRANSLATE(E78, ""en"", ""am"")"),"በ400 ሜትር ውድድር፣ እግረ መንገዳችሁን በፍጥነት እንዳይቃጠል ማድረግ አስፈላጊ ነው።")</f>
        <v>በ400 ሜትር ውድድር፣ እግረ መንገዳችሁን በፍጥነት እንዳይቃጠል ማድረግ አስፈላጊ ነው።</v>
      </c>
    </row>
    <row r="79" ht="22.5" customHeight="1">
      <c r="A79" s="13">
        <v>78.0</v>
      </c>
      <c r="B79" s="14" t="s">
        <v>1148</v>
      </c>
      <c r="C79" s="14" t="s">
        <v>1149</v>
      </c>
      <c r="D79" s="14" t="s">
        <v>1150</v>
      </c>
      <c r="E79" s="14" t="s">
        <v>1151</v>
      </c>
      <c r="G79" s="8" t="str">
        <f>IFERROR(__xludf.DUMMYFUNCTION(" GOOGLETRANSLATE(A79, ""en"", ""am"")"),"78")</f>
        <v>78</v>
      </c>
      <c r="H79" s="8" t="str">
        <f>IFERROR(__xludf.DUMMYFUNCTION(" GOOGLETRANSLATE(B79, ""en"", ""am"")"),"ለስፕሪንግ ምን ዓይነት የትራክ ወለል የተሻለ ነው?")</f>
        <v>ለስፕሪንግ ምን ዓይነት የትራክ ወለል የተሻለ ነው?</v>
      </c>
      <c r="I79" s="8" t="str">
        <f>IFERROR(__xludf.DUMMYFUNCTION(" GOOGLETRANSLATE(C79, ""en"", ""am"")"),"ሀ. ኮንክሪት ቢ. ሳር ሐ. አሸዋ ዲ. ታርታን")</f>
        <v>ሀ. ኮንክሪት ቢ. ሳር ሐ. አሸዋ ዲ. ታርታን</v>
      </c>
      <c r="J79" s="8" t="str">
        <f>IFERROR(__xludf.DUMMYFUNCTION(" GOOGLETRANSLATE(D79, ""en"", ""am"")"),"ታርታን")</f>
        <v>ታርታን</v>
      </c>
      <c r="K79" s="8" t="str">
        <f>IFERROR(__xludf.DUMMYFUNCTION(" GOOGLETRANSLATE(E79, ""en"", ""am"")"),"ታርታን በተለምዶ ለፀደይ (ፀደይ) ጥቅም ላይ የሚውል ሰው ሰራሽ ገጽታ ነው።")</f>
        <v>ታርታን በተለምዶ ለፀደይ (ፀደይ) ጥቅም ላይ የሚውል ሰው ሰራሽ ገጽታ ነው።</v>
      </c>
    </row>
    <row r="80" ht="22.5" customHeight="1">
      <c r="A80" s="13">
        <v>79.0</v>
      </c>
      <c r="B80" s="14" t="s">
        <v>1152</v>
      </c>
      <c r="C80" s="14" t="s">
        <v>1153</v>
      </c>
      <c r="D80" s="14" t="s">
        <v>1034</v>
      </c>
      <c r="E80" s="14" t="s">
        <v>1154</v>
      </c>
      <c r="G80" s="8" t="str">
        <f>IFERROR(__xludf.DUMMYFUNCTION(" GOOGLETRANSLATE(A80, ""en"", ""am"")"),"79")</f>
        <v>79</v>
      </c>
      <c r="H80" s="8" t="str">
        <f>IFERROR(__xludf.DUMMYFUNCTION(" GOOGLETRANSLATE(B80, ""en"", ""am"")"),"በእንቅፋቶች ላይ ውድድርን የሚያካትት የትኛው ክስተት ነው?")</f>
        <v>በእንቅፋቶች ላይ ውድድርን የሚያካትት የትኛው ክስተት ነው?</v>
      </c>
      <c r="I80" s="8" t="str">
        <f>IFERROR(__xludf.DUMMYFUNCTION(" GOOGLETRANSLATE(C80, ""en"", ""am"")"),"A. Pole mount B. Triple jump C. Marathon D. መሰናክሎች")</f>
        <v>A. Pole mount B. Triple jump C. Marathon D. መሰናክሎች</v>
      </c>
      <c r="J80" s="8" t="str">
        <f>IFERROR(__xludf.DUMMYFUNCTION(" GOOGLETRANSLATE(D80, ""en"", ""am"")"),"እንቅፋቶች")</f>
        <v>እንቅፋቶች</v>
      </c>
      <c r="K80" s="8" t="str">
        <f>IFERROR(__xludf.DUMMYFUNCTION(" GOOGLETRANSLATE(E80, ""en"", ""am"")"),"መሰናክሎችን እያጸዱ ሯጮች ይሽቀዳደማሉ።")</f>
        <v>መሰናክሎችን እያጸዱ ሯጮች ይሽቀዳደማሉ።</v>
      </c>
    </row>
    <row r="81" ht="22.5" customHeight="1">
      <c r="A81" s="13">
        <v>80.0</v>
      </c>
      <c r="B81" s="14" t="s">
        <v>1155</v>
      </c>
      <c r="C81" s="14" t="s">
        <v>1156</v>
      </c>
      <c r="D81" s="14" t="s">
        <v>899</v>
      </c>
      <c r="E81" s="14" t="s">
        <v>1157</v>
      </c>
      <c r="G81" s="8" t="str">
        <f>IFERROR(__xludf.DUMMYFUNCTION(" GOOGLETRANSLATE(A81, ""en"", ""am"")"),"80")</f>
        <v>80</v>
      </c>
      <c r="H81" s="8" t="str">
        <f>IFERROR(__xludf.DUMMYFUNCTION(" GOOGLETRANSLATE(B81, ""en"", ""am"")"),"የተለመደው የዝውውር ውድድር ርቀት ምን ያህል ነው?")</f>
        <v>የተለመደው የዝውውር ውድድር ርቀት ምን ያህል ነው?</v>
      </c>
      <c r="I81" s="8" t="str">
        <f>IFERROR(__xludf.DUMMYFUNCTION(" GOOGLETRANSLATE(C81, ""en"", ""am"")"),"አ. 800 ሜትር B. 1600 ሜትር ሐ. 100 ሜትር ዲ. 400 ሜትር")</f>
        <v>አ. 800 ሜትር B. 1600 ሜትር ሐ. 100 ሜትር ዲ. 400 ሜትር</v>
      </c>
      <c r="J81" s="8" t="str">
        <f>IFERROR(__xludf.DUMMYFUNCTION(" GOOGLETRANSLATE(D81, ""en"", ""am"")"),"400 ሜትር")</f>
        <v>400 ሜትር</v>
      </c>
      <c r="K81" s="8" t="str">
        <f>IFERROR(__xludf.DUMMYFUNCTION(" GOOGLETRANSLATE(E81, ""en"", ""am"")"),"የተለመደው የዝውውር ውድድር 400 ሜትር ሩጫን ያካትታል፣ አብዛኛውን ጊዜ በ4 ሯጮች መካከል ይከፈላል።")</f>
        <v>የተለመደው የዝውውር ውድድር 400 ሜትር ሩጫን ያካትታል፣ አብዛኛውን ጊዜ በ4 ሯጮች መካከል ይከፈላል።</v>
      </c>
    </row>
    <row r="82" ht="22.5" customHeight="1">
      <c r="A82" s="13">
        <v>81.0</v>
      </c>
      <c r="B82" s="14" t="s">
        <v>1158</v>
      </c>
      <c r="C82" s="14" t="s">
        <v>1159</v>
      </c>
      <c r="D82" s="14" t="s">
        <v>1160</v>
      </c>
      <c r="E82" s="14" t="s">
        <v>1160</v>
      </c>
      <c r="G82" s="8" t="str">
        <f>IFERROR(__xludf.DUMMYFUNCTION(" GOOGLETRANSLATE(A82, ""en"", ""am"")"),"81")</f>
        <v>81</v>
      </c>
      <c r="H82" s="8" t="str">
        <f>IFERROR(__xludf.DUMMYFUNCTION(" GOOGLETRANSLATE(B82, ""en"", ""am"")"),"ለቅብብል ውድድር የሚፈለገው ዝቅተኛው የሯጮች ብዛት ስንት ነው?")</f>
        <v>ለቅብብል ውድድር የሚፈለገው ዝቅተኛው የሯጮች ብዛት ስንት ነው?</v>
      </c>
      <c r="I82" s="8" t="str">
        <f>IFERROR(__xludf.DUMMYFUNCTION(" GOOGLETRANSLATE(C82, ""en"", ""am"")"),"አ.4 ለ.6 ሐ. 8 ዲ. 2")</f>
        <v>አ.4 ለ.6 ሐ. 8 ዲ. 2</v>
      </c>
      <c r="J82" s="8" t="str">
        <f>IFERROR(__xludf.DUMMYFUNCTION(" GOOGLETRANSLATE(D82, ""en"", ""am"")"),"2")</f>
        <v>2</v>
      </c>
      <c r="K82" s="8" t="str">
        <f>IFERROR(__xludf.DUMMYFUNCTION(" GOOGLETRANSLATE(E82, ""en"", ""am"")"),"2")</f>
        <v>2</v>
      </c>
    </row>
    <row r="83" ht="22.5" customHeight="1">
      <c r="A83" s="13">
        <v>82.0</v>
      </c>
      <c r="B83" s="14" t="s">
        <v>1161</v>
      </c>
      <c r="C83" s="14" t="s">
        <v>1162</v>
      </c>
      <c r="D83" s="14" t="s">
        <v>1163</v>
      </c>
      <c r="E83" s="14" t="s">
        <v>1164</v>
      </c>
      <c r="G83" s="8" t="str">
        <f>IFERROR(__xludf.DUMMYFUNCTION(" GOOGLETRANSLATE(A83, ""en"", ""am"")"),"82")</f>
        <v>82</v>
      </c>
      <c r="H83" s="8" t="str">
        <f>IFERROR(__xludf.DUMMYFUNCTION(" GOOGLETRANSLATE(B83, ""en"", ""am"")"),"በ5ኬ ውድድር፣ ለአብዛኞቹ ተሳታፊዎች ዋናው ግብ ምንድን ነው?")</f>
        <v>በ5ኬ ውድድር፣ ለአብዛኞቹ ተሳታፊዎች ዋናው ግብ ምንድን ነው?</v>
      </c>
      <c r="I83" s="8" t="str">
        <f>IFERROR(__xludf.DUMMYFUNCTION(" GOOGLETRANSLATE(C83, ""en"", ""am"")"),"ሀ. ከ30 ደቂቃ በታች የሚጠናቀቅ ለ. ውድድሩን ለመጨረስ ሐ. ሜዳሊያ ለማግኘት መ. ውድድሩን ለመጨረስ")</f>
        <v>ሀ. ከ30 ደቂቃ በታች የሚጠናቀቅ ለ. ውድድሩን ለመጨረስ ሐ. ሜዳሊያ ለማግኘት መ. ውድድሩን ለመጨረስ</v>
      </c>
      <c r="J83" s="8" t="str">
        <f>IFERROR(__xludf.DUMMYFUNCTION(" GOOGLETRANSLATE(D83, ""en"", ""am"")"),"ሩጫውን ለመጨረስ")</f>
        <v>ሩጫውን ለመጨረስ</v>
      </c>
      <c r="K83" s="8" t="str">
        <f>IFERROR(__xludf.DUMMYFUNCTION(" GOOGLETRANSLATE(E83, ""en"", ""am"")"),"ለአብዛኛዎቹ ተሳታፊዎች ግቡ ውድድሩን ማጠናቀቅ ነው።")</f>
        <v>ለአብዛኛዎቹ ተሳታፊዎች ግቡ ውድድሩን ማጠናቀቅ ነው።</v>
      </c>
    </row>
    <row r="84" ht="22.5" customHeight="1">
      <c r="A84" s="13">
        <v>83.0</v>
      </c>
      <c r="B84" s="14" t="s">
        <v>1165</v>
      </c>
      <c r="C84" s="14" t="s">
        <v>1166</v>
      </c>
      <c r="D84" s="14" t="s">
        <v>1167</v>
      </c>
      <c r="E84" s="14" t="s">
        <v>1168</v>
      </c>
      <c r="G84" s="8" t="str">
        <f>IFERROR(__xludf.DUMMYFUNCTION(" GOOGLETRANSLATE(A84, ""en"", ""am"")"),"83")</f>
        <v>83</v>
      </c>
      <c r="H84" s="8" t="str">
        <f>IFERROR(__xludf.DUMMYFUNCTION(" GOOGLETRANSLATE(B84, ""en"", ""am"")"),"በ400ሜ ውድድር ያለመወዳደር ህግ ምንድን ነው?")</f>
        <v>በ400ሜ ውድድር ያለመወዳደር ህግ ምንድን ነው?</v>
      </c>
      <c r="I84" s="8" t="str">
        <f>IFERROR(__xludf.DUMMYFUNCTION(" GOOGLETRANSLATE(C84, ""en"", ""am"")"),"ሀ. የሌይን ጥሰት ለ. የውሸት ጅምር ሐ. አላለቀም። D. ሌን መጣስ")</f>
        <v>ሀ. የሌይን ጥሰት ለ. የውሸት ጅምር ሐ. አላለቀም። D. ሌን መጣስ</v>
      </c>
      <c r="J84" s="8" t="str">
        <f>IFERROR(__xludf.DUMMYFUNCTION(" GOOGLETRANSLATE(D84, ""en"", ""am"")"),"የመንገድ ጥሰት")</f>
        <v>የመንገድ ጥሰት</v>
      </c>
      <c r="K84" s="8" t="str">
        <f>IFERROR(__xludf.DUMMYFUNCTION(" GOOGLETRANSLATE(E84, ""en"", ""am"")"),"ሯጮች የተመደቡበትን መስመር ለመልቀቅ ብቁ አይደሉም።")</f>
        <v>ሯጮች የተመደቡበትን መስመር ለመልቀቅ ብቁ አይደሉም።</v>
      </c>
    </row>
    <row r="85" ht="22.5" customHeight="1">
      <c r="A85" s="13">
        <v>84.0</v>
      </c>
      <c r="B85" s="14" t="s">
        <v>1169</v>
      </c>
      <c r="C85" s="14" t="s">
        <v>1170</v>
      </c>
      <c r="D85" s="14" t="s">
        <v>1171</v>
      </c>
      <c r="E85" s="14" t="s">
        <v>1172</v>
      </c>
      <c r="G85" s="8" t="str">
        <f>IFERROR(__xludf.DUMMYFUNCTION(" GOOGLETRANSLATE(A85, ""en"", ""am"")"),"84")</f>
        <v>84</v>
      </c>
      <c r="H85" s="8" t="str">
        <f>IFERROR(__xludf.DUMMYFUNCTION(" GOOGLETRANSLATE(B85, ""en"", ""am"")"),"የ1600 ሜትር ውድድር በመደበኛ ትራክ ዙሪያ ስንት ዙር ይወስዳል?")</f>
        <v>የ1600 ሜትር ውድድር በመደበኛ ትራክ ዙሪያ ስንት ዙር ይወስዳል?</v>
      </c>
      <c r="I85" s="8" t="str">
        <f>IFERROR(__xludf.DUMMYFUNCTION(" GOOGLETRANSLATE(C85, ""en"", ""am"")"),"A. 2 ዙሮች ለ. 4 ዙር ሐ. 6 ዙር D. 4 ዙሮች")</f>
        <v>A. 2 ዙሮች ለ. 4 ዙር ሐ. 6 ዙር D. 4 ዙሮች</v>
      </c>
      <c r="J85" s="8" t="str">
        <f>IFERROR(__xludf.DUMMYFUNCTION(" GOOGLETRANSLATE(D85, ""en"", ""am"")"),"4 ዙር")</f>
        <v>4 ዙር</v>
      </c>
      <c r="K85" s="8" t="str">
        <f>IFERROR(__xludf.DUMMYFUNCTION(" GOOGLETRANSLATE(E85, ""en"", ""am"")"),"የ1600 ሜትር ውድድር በመደበኛ ትራክ ዙሪያ 4 ዙርዎችን ያቀፈ ነው።")</f>
        <v>የ1600 ሜትር ውድድር በመደበኛ ትራክ ዙሪያ 4 ዙርዎችን ያቀፈ ነው።</v>
      </c>
    </row>
    <row r="86" ht="22.5" customHeight="1">
      <c r="A86" s="13">
        <v>85.0</v>
      </c>
      <c r="B86" s="14" t="s">
        <v>1173</v>
      </c>
      <c r="C86" s="14" t="s">
        <v>1174</v>
      </c>
      <c r="D86" s="14" t="s">
        <v>1175</v>
      </c>
      <c r="E86" s="14" t="s">
        <v>1176</v>
      </c>
      <c r="G86" s="8" t="str">
        <f>IFERROR(__xludf.DUMMYFUNCTION(" GOOGLETRANSLATE(A86, ""en"", ""am"")"),"85")</f>
        <v>85</v>
      </c>
      <c r="H86" s="8" t="str">
        <f>IFERROR(__xludf.DUMMYFUNCTION(" GOOGLETRANSLATE(B86, ""en"", ""am"")"),"የ100ሜው ውድድር ሲጀመር ሯጮች ምን ማድረግ አለባቸው?")</f>
        <v>የ100ሜው ውድድር ሲጀመር ሯጮች ምን ማድረግ አለባቸው?</v>
      </c>
      <c r="I86" s="8" t="str">
        <f>IFERROR(__xludf.DUMMYFUNCTION(" GOOGLETRANSLATE(C86, ""en"", ""am"")"),"ሀ. መቆም ጀምር። ለ.በቀጥታ መስመር ሩጡ። C. ዝለል መ. በብሎኮች ይጀምሩ")</f>
        <v>ሀ. መቆም ጀምር። ለ.በቀጥታ መስመር ሩጡ። C. ዝለል መ. በብሎኮች ይጀምሩ</v>
      </c>
      <c r="J86" s="8" t="str">
        <f>IFERROR(__xludf.DUMMYFUNCTION(" GOOGLETRANSLATE(D86, ""en"", ""am"")"),"በብሎኮች ይጀምሩ")</f>
        <v>በብሎኮች ይጀምሩ</v>
      </c>
      <c r="K86" s="8" t="str">
        <f>IFERROR(__xludf.DUMMYFUNCTION(" GOOGLETRANSLATE(E86, ""en"", ""am"")"),"ፍትሃዊ ጅምርን ለማረጋገጥ Sprinters በብሎኮች መጀመር አለባቸው።")</f>
        <v>ፍትሃዊ ጅምርን ለማረጋገጥ Sprinters በብሎኮች መጀመር አለባቸው።</v>
      </c>
    </row>
    <row r="87" ht="22.5" customHeight="1">
      <c r="A87" s="13">
        <v>86.0</v>
      </c>
      <c r="B87" s="14" t="s">
        <v>1177</v>
      </c>
      <c r="C87" s="14" t="s">
        <v>1178</v>
      </c>
      <c r="D87" s="14" t="s">
        <v>1179</v>
      </c>
      <c r="E87" s="14" t="s">
        <v>1180</v>
      </c>
      <c r="G87" s="8" t="str">
        <f>IFERROR(__xludf.DUMMYFUNCTION(" GOOGLETRANSLATE(A87, ""en"", ""am"")"),"86")</f>
        <v>86</v>
      </c>
      <c r="H87" s="8" t="str">
        <f>IFERROR(__xludf.DUMMYFUNCTION(" GOOGLETRANSLATE(B87, ""en"", ""am"")"),"በስፕሪት ውድድር ውስጥ የውሸት ጅምር ቅጣቱ ምንድን ነው?")</f>
        <v>በስፕሪት ውድድር ውስጥ የውሸት ጅምር ቅጣቱ ምንድን ነው?</v>
      </c>
      <c r="I87" s="8" t="str">
        <f>IFERROR(__xludf.DUMMYFUNCTION(" GOOGLETRANSLATE(C87, ""en"", ""am"")"),"ሀ. ብቁ አለመሆን ለ. ማስጠንቀቂያ ሐ. የነጥብ ቅነሳ መ. ብቁ አለመሆን")</f>
        <v>ሀ. ብቁ አለመሆን ለ. ማስጠንቀቂያ ሐ. የነጥብ ቅነሳ መ. ብቁ አለመሆን</v>
      </c>
      <c r="J87" s="8" t="str">
        <f>IFERROR(__xludf.DUMMYFUNCTION(" GOOGLETRANSLATE(D87, ""en"", ""am"")"),"ብቁ አለመሆን")</f>
        <v>ብቁ አለመሆን</v>
      </c>
      <c r="K87" s="8" t="str">
        <f>IFERROR(__xludf.DUMMYFUNCTION(" GOOGLETRANSLATE(E87, ""en"", ""am"")"),"የውሸት ጅምር ሯጩ ውድቅ እንዳይሆን ያደርጋል።")</f>
        <v>የውሸት ጅምር ሯጩ ውድቅ እንዳይሆን ያደርጋል።</v>
      </c>
    </row>
    <row r="88" ht="22.5" customHeight="1">
      <c r="A88" s="13">
        <v>87.0</v>
      </c>
      <c r="B88" s="14" t="s">
        <v>1181</v>
      </c>
      <c r="C88" s="14" t="s">
        <v>1182</v>
      </c>
      <c r="D88" s="14" t="s">
        <v>1183</v>
      </c>
      <c r="E88" s="14" t="s">
        <v>1184</v>
      </c>
      <c r="G88" s="8" t="str">
        <f>IFERROR(__xludf.DUMMYFUNCTION(" GOOGLETRANSLATE(A88, ""en"", ""am"")"),"87")</f>
        <v>87</v>
      </c>
      <c r="H88" s="8" t="str">
        <f>IFERROR(__xludf.DUMMYFUNCTION(" GOOGLETRANSLATE(B88, ""en"", ""am"")"),"ማራቶን ለመጨረስ የሚፈቀደው ከፍተኛው ጊዜ ስንት ነው?")</f>
        <v>ማራቶን ለመጨረስ የሚፈቀደው ከፍተኛው ጊዜ ስንት ነው?</v>
      </c>
      <c r="I88" s="8" t="str">
        <f>IFERROR(__xludf.DUMMYFUNCTION(" GOOGLETRANSLATE(C88, ""en"", ""am"")"),"ሀ. 6 ሰአት ለ.5 ሰአት ሐ. 7 ሰአት መ. 6 ሰአት")</f>
        <v>ሀ. 6 ሰአት ለ.5 ሰአት ሐ. 7 ሰአት መ. 6 ሰአት</v>
      </c>
      <c r="J88" s="8" t="str">
        <f>IFERROR(__xludf.DUMMYFUNCTION(" GOOGLETRANSLATE(D88, ""en"", ""am"")"),"6 ሰዓታት")</f>
        <v>6 ሰዓታት</v>
      </c>
      <c r="K88" s="8" t="str">
        <f>IFERROR(__xludf.DUMMYFUNCTION(" GOOGLETRANSLATE(E88, ""en"", ""am"")"),"በተለምዶ ማራቶንን ለመጨረስ 6 ሰአታት ይፈቅዳሉ።")</f>
        <v>በተለምዶ ማራቶንን ለመጨረስ 6 ሰአታት ይፈቅዳሉ።</v>
      </c>
    </row>
    <row r="89" ht="22.5" customHeight="1">
      <c r="A89" s="13">
        <v>88.0</v>
      </c>
      <c r="B89" s="14" t="s">
        <v>1185</v>
      </c>
      <c r="C89" s="14" t="s">
        <v>1186</v>
      </c>
      <c r="D89" s="14" t="s">
        <v>488</v>
      </c>
      <c r="E89" s="14" t="s">
        <v>488</v>
      </c>
      <c r="G89" s="8" t="str">
        <f>IFERROR(__xludf.DUMMYFUNCTION(" GOOGLETRANSLATE(A89, ""en"", ""am"")"),"88")</f>
        <v>88</v>
      </c>
      <c r="H89" s="8" t="str">
        <f>IFERROR(__xludf.DUMMYFUNCTION(" GOOGLETRANSLATE(B89, ""en"", ""am"")"),"በቅብብሎሽ ውድድር፣ በተለምዶ ስንት ሯጮች ይሳተፋሉ?")</f>
        <v>በቅብብሎሽ ውድድር፣ በተለምዶ ስንት ሯጮች ይሳተፋሉ?</v>
      </c>
      <c r="I89" s="8" t="str">
        <f>IFERROR(__xludf.DUMMYFUNCTION(" GOOGLETRANSLATE(C89, ""en"", ""am"")"),"አ.4 ለ.6 ሐ. 8 ዲ. 4")</f>
        <v>አ.4 ለ.6 ሐ. 8 ዲ. 4</v>
      </c>
      <c r="J89" s="8" t="str">
        <f>IFERROR(__xludf.DUMMYFUNCTION(" GOOGLETRANSLATE(D89, ""en"", ""am"")"),"4")</f>
        <v>4</v>
      </c>
      <c r="K89" s="8" t="str">
        <f>IFERROR(__xludf.DUMMYFUNCTION(" GOOGLETRANSLATE(E89, ""en"", ""am"")"),"4")</f>
        <v>4</v>
      </c>
    </row>
    <row r="90" ht="22.5" customHeight="1">
      <c r="A90" s="13">
        <v>89.0</v>
      </c>
      <c r="B90" s="14" t="s">
        <v>1187</v>
      </c>
      <c r="C90" s="14" t="s">
        <v>1188</v>
      </c>
      <c r="D90" s="14" t="s">
        <v>287</v>
      </c>
      <c r="E90" s="14" t="s">
        <v>287</v>
      </c>
      <c r="G90" s="8" t="str">
        <f>IFERROR(__xludf.DUMMYFUNCTION(" GOOGLETRANSLATE(A90, ""en"", ""am"")"),"89")</f>
        <v>89</v>
      </c>
      <c r="H90" s="8" t="str">
        <f>IFERROR(__xludf.DUMMYFUNCTION(" GOOGLETRANSLATE(B90, ""en"", ""am"")"),"በእሽቅድምድም ውስጥ የሚፈቀደው ከፍተኛው የዱላ ልውውጥ ብዛት ስንት ነው?")</f>
        <v>በእሽቅድምድም ውስጥ የሚፈቀደው ከፍተኛው የዱላ ልውውጥ ብዛት ስንት ነው?</v>
      </c>
      <c r="I90" s="8" t="str">
        <f>IFERROR(__xludf.DUMMYFUNCTION(" GOOGLETRANSLATE(C90, ""en"", ""am"")"),"አ.2 ለ. 3 ሐ. 4 ዲ. 3")</f>
        <v>አ.2 ለ. 3 ሐ. 4 ዲ. 3</v>
      </c>
      <c r="J90" s="8" t="str">
        <f>IFERROR(__xludf.DUMMYFUNCTION(" GOOGLETRANSLATE(D90, ""en"", ""am"")"),"3")</f>
        <v>3</v>
      </c>
      <c r="K90" s="8" t="str">
        <f>IFERROR(__xludf.DUMMYFUNCTION(" GOOGLETRANSLATE(E90, ""en"", ""am"")"),"3")</f>
        <v>3</v>
      </c>
    </row>
    <row r="91" ht="22.5" customHeight="1">
      <c r="A91" s="13">
        <v>90.0</v>
      </c>
      <c r="B91" s="14" t="s">
        <v>1189</v>
      </c>
      <c r="C91" s="14" t="s">
        <v>1190</v>
      </c>
      <c r="D91" s="14" t="s">
        <v>1191</v>
      </c>
      <c r="E91" s="14" t="s">
        <v>1192</v>
      </c>
      <c r="G91" s="8" t="str">
        <f>IFERROR(__xludf.DUMMYFUNCTION(" GOOGLETRANSLATE(A91, ""en"", ""am"")"),"90")</f>
        <v>90</v>
      </c>
      <c r="H91" s="8" t="str">
        <f>IFERROR(__xludf.DUMMYFUNCTION(" GOOGLETRANSLATE(B91, ""en"", ""am"")"),"በሬሌይ ውድድር ወቅት ዱላ ቢጣል ምን ይከሰታል?")</f>
        <v>በሬሌይ ውድድር ወቅት ዱላ ቢጣል ምን ይከሰታል?</v>
      </c>
      <c r="I91" s="8" t="str">
        <f>IFERROR(__xludf.DUMMYFUNCTION(" GOOGLETRANSLATE(C91, ""en"", ""am"")"),"ሀ. ውድድሩ ቆሟል። ለ. በትሩ መነሳት አለበት. ሐ. ሯጩ የጊዜ ቅጣት ይቀበላል። መ. ቡድኑ ውድቅ ተደርጓል።")</f>
        <v>ሀ. ውድድሩ ቆሟል። ለ. በትሩ መነሳት አለበት. ሐ. ሯጩ የጊዜ ቅጣት ይቀበላል። መ. ቡድኑ ውድቅ ተደርጓል።</v>
      </c>
      <c r="J91" s="8" t="str">
        <f>IFERROR(__xludf.DUMMYFUNCTION(" GOOGLETRANSLATE(D91, ""en"", ""am"")"),"ቡድኑ ውድቅ ተደርጓል።")</f>
        <v>ቡድኑ ውድቅ ተደርጓል።</v>
      </c>
      <c r="K91" s="8" t="str">
        <f>IFERROR(__xludf.DUMMYFUNCTION(" GOOGLETRANSLATE(E91, ""en"", ""am"")"),"ዱላውን መጣል ውድቅ ያደርገዋል.")</f>
        <v>ዱላውን መጣል ውድቅ ያደርገዋል.</v>
      </c>
    </row>
    <row r="92" ht="22.5" customHeight="1">
      <c r="A92" s="13">
        <v>91.0</v>
      </c>
      <c r="B92" s="14" t="s">
        <v>1193</v>
      </c>
      <c r="C92" s="14" t="s">
        <v>1194</v>
      </c>
      <c r="D92" s="14" t="s">
        <v>488</v>
      </c>
      <c r="E92" s="14" t="s">
        <v>488</v>
      </c>
      <c r="G92" s="8" t="str">
        <f>IFERROR(__xludf.DUMMYFUNCTION(" GOOGLETRANSLATE(A92, ""en"", ""am"")"),"91")</f>
        <v>91</v>
      </c>
      <c r="H92" s="8" t="str">
        <f>IFERROR(__xludf.DUMMYFUNCTION(" GOOGLETRANSLATE(B92, ""en"", ""am"")"),"ለ 4x100 ሜትር ቅብብል ዝቅተኛው የሯጮች ብዛት ስንት ነው?")</f>
        <v>ለ 4x100 ሜትር ቅብብል ዝቅተኛው የሯጮች ብዛት ስንት ነው?</v>
      </c>
      <c r="I92" s="8" t="str">
        <f>IFERROR(__xludf.DUMMYFUNCTION(" GOOGLETRANSLATE(C92, ""en"", ""am"")"),"አ.4 ለ.5 ሐ. 6 ዲ. 4")</f>
        <v>አ.4 ለ.5 ሐ. 6 ዲ. 4</v>
      </c>
      <c r="J92" s="8" t="str">
        <f>IFERROR(__xludf.DUMMYFUNCTION(" GOOGLETRANSLATE(D92, ""en"", ""am"")"),"4")</f>
        <v>4</v>
      </c>
      <c r="K92" s="8" t="str">
        <f>IFERROR(__xludf.DUMMYFUNCTION(" GOOGLETRANSLATE(E92, ""en"", ""am"")"),"4")</f>
        <v>4</v>
      </c>
    </row>
    <row r="93" ht="22.5" customHeight="1">
      <c r="A93" s="13">
        <v>92.0</v>
      </c>
      <c r="B93" s="14" t="s">
        <v>1195</v>
      </c>
      <c r="C93" s="14" t="s">
        <v>1196</v>
      </c>
      <c r="D93" s="14" t="s">
        <v>1197</v>
      </c>
      <c r="E93" s="14" t="s">
        <v>1198</v>
      </c>
      <c r="G93" s="8" t="str">
        <f>IFERROR(__xludf.DUMMYFUNCTION(" GOOGLETRANSLATE(A93, ""en"", ""am"")"),"92")</f>
        <v>92</v>
      </c>
      <c r="H93" s="8" t="str">
        <f>IFERROR(__xludf.DUMMYFUNCTION(" GOOGLETRANSLATE(B93, ""en"", ""am"")"),"በ200 ሜትር ውድድር የሌይን አጠቃቀም ህግ ምንድን ነው?")</f>
        <v>በ200 ሜትር ውድድር የሌይን አጠቃቀም ህግ ምንድን ነው?</v>
      </c>
      <c r="I93" s="8" t="str">
        <f>IFERROR(__xludf.DUMMYFUNCTION(" GOOGLETRANSLATE(C93, ""en"", ""am"")"),"ሀ. ሯጮች መስመሮችን መቀየር ይችላሉ። ለ. ሯጮች መስመሮችን መሻገር ይችላሉ። ሐ. ከመጀመሪያው መዞር በኋላ ሯጮች መስመሮችን ሊቀይሩ ይችላሉ። መ. ሁሉም ሯጮች በአካሄዳቸው ላይ መቆየት አለባቸው።")</f>
        <v>ሀ. ሯጮች መስመሮችን መቀየር ይችላሉ። ለ. ሯጮች መስመሮችን መሻገር ይችላሉ። ሐ. ከመጀመሪያው መዞር በኋላ ሯጮች መስመሮችን ሊቀይሩ ይችላሉ። መ. ሁሉም ሯጮች በአካሄዳቸው ላይ መቆየት አለባቸው።</v>
      </c>
      <c r="J93" s="8" t="str">
        <f>IFERROR(__xludf.DUMMYFUNCTION(" GOOGLETRANSLATE(D93, ""en"", ""am"")"),"ሁሉም ሯጮች በአካሄዳቸው መቀጠል አለባቸው።")</f>
        <v>ሁሉም ሯጮች በአካሄዳቸው መቀጠል አለባቸው።</v>
      </c>
      <c r="K93" s="8" t="str">
        <f>IFERROR(__xludf.DUMMYFUNCTION(" GOOGLETRANSLATE(E93, ""en"", ""am"")"),"በ200ሜ ውድድር ሯጮች በተሰየሙት መስመር ላይ መቆየት አለባቸው።")</f>
        <v>በ200ሜ ውድድር ሯጮች በተሰየሙት መስመር ላይ መቆየት አለባቸው።</v>
      </c>
    </row>
    <row r="94" ht="22.5" customHeight="1">
      <c r="A94" s="13">
        <v>93.0</v>
      </c>
      <c r="B94" s="14" t="s">
        <v>1199</v>
      </c>
      <c r="C94" s="14" t="e">
        <v>#VALUE!</v>
      </c>
      <c r="D94" s="14" t="e">
        <v>#VALUE!</v>
      </c>
      <c r="E94" s="14" t="s">
        <v>287</v>
      </c>
      <c r="G94" s="8" t="str">
        <f>IFERROR(__xludf.DUMMYFUNCTION(" GOOGLETRANSLATE(A94, ""en"", ""am"")"),"93")</f>
        <v>93</v>
      </c>
      <c r="H94" s="8" t="str">
        <f>IFERROR(__xludf.DUMMYFUNCTION(" GOOGLETRANSLATE(B94, ""en"", ""am"")"),"በ100 ሜትር ውድድር የሚፈቀደው ከፍተኛ የውሸት ጅምር ቁጥር ስንት ነው?")</f>
        <v>በ100 ሜትር ውድድር የሚፈቀደው ከፍተኛ የውሸት ጅምር ቁጥር ስንት ነው?</v>
      </c>
      <c r="I94" s="8" t="str">
        <f>IFERROR(__xludf.DUMMYFUNCTION(" GOOGLETRANSLATE(C94, ""en"", ""am"")"),"#VALUE!")</f>
        <v>#VALUE!</v>
      </c>
      <c r="J94" s="8" t="str">
        <f>IFERROR(__xludf.DUMMYFUNCTION(" GOOGLETRANSLATE(D94, ""en"", ""am"")"),"#VALUE!")</f>
        <v>#VALUE!</v>
      </c>
      <c r="K94" s="8" t="str">
        <f>IFERROR(__xludf.DUMMYFUNCTION(" GOOGLETRANSLATE(E94, ""en"", ""am"")"),"3")</f>
        <v>3</v>
      </c>
    </row>
    <row r="95" ht="22.5" customHeight="1">
      <c r="A95" s="13">
        <v>94.0</v>
      </c>
      <c r="B95" s="14" t="s">
        <v>1200</v>
      </c>
      <c r="C95" s="14" t="s">
        <v>1201</v>
      </c>
      <c r="D95" s="14" t="s">
        <v>1202</v>
      </c>
      <c r="E95" s="14" t="s">
        <v>1203</v>
      </c>
      <c r="G95" s="8" t="str">
        <f>IFERROR(__xludf.DUMMYFUNCTION(" GOOGLETRANSLATE(A95, ""en"", ""am"")"),"94")</f>
        <v>94</v>
      </c>
      <c r="H95" s="8" t="str">
        <f>IFERROR(__xludf.DUMMYFUNCTION(" GOOGLETRANSLATE(B95, ""en"", ""am"")"),"በወንዶች 110 ሜትር መሰናክል ውስጥ መሰናክል ቁመትን በተመለከተ ህጉ ምንድን ነው?")</f>
        <v>በወንዶች 110 ሜትር መሰናክል ውስጥ መሰናክል ቁመትን በተመለከተ ህጉ ምንድን ነው?</v>
      </c>
      <c r="I95" s="8" t="str">
        <f>IFERROR(__xludf.DUMMYFUNCTION(" GOOGLETRANSLATE(C95, ""en"", ""am"")"),"አ. 1.1 ሜትር ለ. 1.2 ሜትር ሲ. 1.3 ሜትር መ. 1.06 ሜትር")</f>
        <v>አ. 1.1 ሜትር ለ. 1.2 ሜትር ሲ. 1.3 ሜትር መ. 1.06 ሜትር</v>
      </c>
      <c r="J95" s="8" t="str">
        <f>IFERROR(__xludf.DUMMYFUNCTION(" GOOGLETRANSLATE(D95, ""en"", ""am"")"),"1.06 ሜትር")</f>
        <v>1.06 ሜትር</v>
      </c>
      <c r="K95" s="8" t="str">
        <f>IFERROR(__xludf.DUMMYFUNCTION(" GOOGLETRANSLATE(E95, ""en"", ""am"")"),"በወንዶች 110 ሜትር መሰናክል፣ መሰናክሎቹ በ1.06 ሜትር ከፍታ ላይ ተቀምጠዋል።")</f>
        <v>በወንዶች 110 ሜትር መሰናክል፣ መሰናክሎቹ በ1.06 ሜትር ከፍታ ላይ ተቀምጠዋል።</v>
      </c>
    </row>
    <row r="96" ht="22.5" customHeight="1">
      <c r="A96" s="13">
        <v>95.0</v>
      </c>
      <c r="B96" s="14" t="s">
        <v>1204</v>
      </c>
      <c r="C96" s="14" t="s">
        <v>1205</v>
      </c>
      <c r="D96" s="14" t="s">
        <v>923</v>
      </c>
      <c r="E96" s="14" t="s">
        <v>1206</v>
      </c>
      <c r="G96" s="8" t="str">
        <f>IFERROR(__xludf.DUMMYFUNCTION(" GOOGLETRANSLATE(A96, ""en"", ""am"")"),"95")</f>
        <v>95</v>
      </c>
      <c r="H96" s="8" t="str">
        <f>IFERROR(__xludf.DUMMYFUNCTION(" GOOGLETRANSLATE(B96, ""en"", ""am"")"),"በየትኛው ክስተት አትሌቶች ከፍ ያለ ዝላይን ማጽዳት አለባቸው?")</f>
        <v>በየትኛው ክስተት አትሌቶች ከፍ ያለ ዝላይን ማጽዳት አለባቸው?</v>
      </c>
      <c r="I96" s="8" t="str">
        <f>IFERROR(__xludf.DUMMYFUNCTION(" GOOGLETRANSLATE(C96, ""en"", ""am"")"),"ሀ. ከፍተኛ ዝላይ ለ. ረጅም ዝላይ ሐ. ባለሶስት ዝላይ መ. ከፍተኛ ዝላይ")</f>
        <v>ሀ. ከፍተኛ ዝላይ ለ. ረጅም ዝላይ ሐ. ባለሶስት ዝላይ መ. ከፍተኛ ዝላይ</v>
      </c>
      <c r="J96" s="8" t="str">
        <f>IFERROR(__xludf.DUMMYFUNCTION(" GOOGLETRANSLATE(D96, ""en"", ""am"")"),"ከፍተኛ ዝላይ")</f>
        <v>ከፍተኛ ዝላይ</v>
      </c>
      <c r="K96" s="8" t="str">
        <f>IFERROR(__xludf.DUMMYFUNCTION(" GOOGLETRANSLATE(E96, ""en"", ""am"")"),"በከፍታ ዝላይ ላይ አትሌቶች በተወሰነ ከፍታ ላይ በተዘጋጀ ባር ላይ መዝለል አለባቸው።")</f>
        <v>በከፍታ ዝላይ ላይ አትሌቶች በተወሰነ ከፍታ ላይ በተዘጋጀ ባር ላይ መዝለል አለባቸው።</v>
      </c>
    </row>
    <row r="97" ht="22.5" customHeight="1">
      <c r="A97" s="13">
        <v>96.0</v>
      </c>
      <c r="B97" s="14" t="s">
        <v>1207</v>
      </c>
      <c r="C97" s="14" t="s">
        <v>1188</v>
      </c>
      <c r="D97" s="14" t="s">
        <v>287</v>
      </c>
      <c r="E97" s="14" t="s">
        <v>287</v>
      </c>
      <c r="G97" s="8" t="str">
        <f>IFERROR(__xludf.DUMMYFUNCTION(" GOOGLETRANSLATE(A97, ""en"", ""am"")"),"96")</f>
        <v>96</v>
      </c>
      <c r="H97" s="8" t="str">
        <f>IFERROR(__xludf.DUMMYFUNCTION(" GOOGLETRANSLATE(B97, ""en"", ""am"")"),"በረዥም ዝላይ ውስጥ የሚፈቀደው ከፍተኛው የሙከራ ብዛት ስንት ነው?")</f>
        <v>በረዥም ዝላይ ውስጥ የሚፈቀደው ከፍተኛው የሙከራ ብዛት ስንት ነው?</v>
      </c>
      <c r="I97" s="8" t="str">
        <f>IFERROR(__xludf.DUMMYFUNCTION(" GOOGLETRANSLATE(C97, ""en"", ""am"")"),"አ.2 ለ. 3 ሐ. 4 ዲ. 3")</f>
        <v>አ.2 ለ. 3 ሐ. 4 ዲ. 3</v>
      </c>
      <c r="J97" s="8" t="str">
        <f>IFERROR(__xludf.DUMMYFUNCTION(" GOOGLETRANSLATE(D97, ""en"", ""am"")"),"3")</f>
        <v>3</v>
      </c>
      <c r="K97" s="8" t="str">
        <f>IFERROR(__xludf.DUMMYFUNCTION(" GOOGLETRANSLATE(E97, ""en"", ""am"")"),"3")</f>
        <v>3</v>
      </c>
    </row>
    <row r="98" ht="22.5" customHeight="1">
      <c r="A98" s="13">
        <v>97.0</v>
      </c>
      <c r="B98" s="14" t="s">
        <v>1208</v>
      </c>
      <c r="C98" s="14" t="s">
        <v>1209</v>
      </c>
      <c r="D98" s="14" t="s">
        <v>1210</v>
      </c>
      <c r="E98" s="14" t="s">
        <v>1210</v>
      </c>
      <c r="G98" s="8" t="str">
        <f>IFERROR(__xludf.DUMMYFUNCTION(" GOOGLETRANSLATE(A98, ""en"", ""am"")"),"97")</f>
        <v>97</v>
      </c>
      <c r="H98" s="8" t="str">
        <f>IFERROR(__xludf.DUMMYFUNCTION(" GOOGLETRANSLATE(B98, ""en"", ""am"")"),"በተለመደው የ10ሺህ ውድድር ከፍተኛው የዙሮች ብዛት ስንት ነው?")</f>
        <v>በተለመደው የ10ሺህ ውድድር ከፍተኛው የዙሮች ብዛት ስንት ነው?</v>
      </c>
      <c r="I98" s="8" t="str">
        <f>IFERROR(__xludf.DUMMYFUNCTION(" GOOGLETRANSLATE(C98, ""en"", ""am"")"),"አ.5 ለ.6 ሐ. 8 ዲ. 25")</f>
        <v>አ.5 ለ.6 ሐ. 8 ዲ. 25</v>
      </c>
      <c r="J98" s="8" t="str">
        <f>IFERROR(__xludf.DUMMYFUNCTION(" GOOGLETRANSLATE(D98, ""en"", ""am"")"),"25")</f>
        <v>25</v>
      </c>
      <c r="K98" s="8" t="str">
        <f>IFERROR(__xludf.DUMMYFUNCTION(" GOOGLETRANSLATE(E98, ""en"", ""am"")"),"25")</f>
        <v>25</v>
      </c>
    </row>
    <row r="99" ht="22.5" customHeight="1">
      <c r="A99" s="13">
        <v>98.0</v>
      </c>
      <c r="B99" s="14" t="s">
        <v>1211</v>
      </c>
      <c r="C99" s="14" t="s">
        <v>1212</v>
      </c>
      <c r="D99" s="14" t="s">
        <v>1213</v>
      </c>
      <c r="E99" s="14" t="s">
        <v>1214</v>
      </c>
      <c r="G99" s="8" t="str">
        <f>IFERROR(__xludf.DUMMYFUNCTION(" GOOGLETRANSLATE(A99, ""en"", ""am"")"),"98")</f>
        <v>98</v>
      </c>
      <c r="H99" s="8" t="str">
        <f>IFERROR(__xludf.DUMMYFUNCTION(" GOOGLETRANSLATE(B99, ""en"", ""am"")"),"አንድ ሯጭ በማራቶን ውስጥ መሸፈን ያለበት ዝቅተኛው ርቀት ምን ያህል ነው?")</f>
        <v>አንድ ሯጭ በማራቶን ውስጥ መሸፈን ያለበት ዝቅተኛው ርቀት ምን ያህል ነው?</v>
      </c>
      <c r="I99" s="8" t="str">
        <f>IFERROR(__xludf.DUMMYFUNCTION(" GOOGLETRANSLATE(C99, ""en"", ""am"")"),"ሀ 25 ማይል ለ 27 ማይል ሲ 28 ማይል ደ 26.2 ማይል")</f>
        <v>ሀ 25 ማይል ለ 27 ማይል ሲ 28 ማይል ደ 26.2 ማይል</v>
      </c>
      <c r="J99" s="8" t="str">
        <f>IFERROR(__xludf.DUMMYFUNCTION(" GOOGLETRANSLATE(D99, ""en"", ""am"")"),"26.2 ማይል")</f>
        <v>26.2 ማይል</v>
      </c>
      <c r="K99" s="8" t="str">
        <f>IFERROR(__xludf.DUMMYFUNCTION(" GOOGLETRANSLATE(E99, ""en"", ""am"")"),"በማራቶን ውስጥ ያለው ዝቅተኛው ርቀት 26.2 ማይል (42.195 ኪሎሜትር) ነው።")</f>
        <v>በማራቶን ውስጥ ያለው ዝቅተኛው ርቀት 26.2 ማይል (42.195 ኪሎሜትር) ነው።</v>
      </c>
    </row>
    <row r="100" ht="22.5" customHeight="1">
      <c r="A100" s="13">
        <v>99.0</v>
      </c>
      <c r="B100" s="14" t="s">
        <v>1215</v>
      </c>
      <c r="C100" s="14" t="s">
        <v>1139</v>
      </c>
      <c r="D100" s="14" t="s">
        <v>923</v>
      </c>
      <c r="E100" s="14" t="s">
        <v>1216</v>
      </c>
      <c r="G100" s="8" t="str">
        <f>IFERROR(__xludf.DUMMYFUNCTION(" GOOGLETRANSLATE(A100, ""en"", ""am"")"),"99")</f>
        <v>99</v>
      </c>
      <c r="H100" s="8" t="str">
        <f>IFERROR(__xludf.DUMMYFUNCTION(" GOOGLETRANSLATE(B100, ""en"", ""am"")"),"ባር ላይ እየዘለሉ አትሌቶች ቁመትን እንዲያፀዱ የሚያስገድድ ክስተት ምንድን ነው?")</f>
        <v>ባር ላይ እየዘለሉ አትሌቶች ቁመትን እንዲያፀዱ የሚያስገድድ ክስተት ምንድን ነው?</v>
      </c>
      <c r="I100" s="8" t="str">
        <f>IFERROR(__xludf.DUMMYFUNCTION(" GOOGLETRANSLATE(C100, ""en"", ""am"")"),"ሀ. ምሰሶ ተራራ ለ. ሶስቴ ዝላይ ሐ. ረጅም ዝላይ መ. ከፍተኛ ዝላይ")</f>
        <v>ሀ. ምሰሶ ተራራ ለ. ሶስቴ ዝላይ ሐ. ረጅም ዝላይ መ. ከፍተኛ ዝላይ</v>
      </c>
      <c r="J100" s="8" t="str">
        <f>IFERROR(__xludf.DUMMYFUNCTION(" GOOGLETRANSLATE(D100, ""en"", ""am"")"),"ከፍተኛ ዝላይ")</f>
        <v>ከፍተኛ ዝላይ</v>
      </c>
      <c r="K100" s="8" t="str">
        <f>IFERROR(__xludf.DUMMYFUNCTION(" GOOGLETRANSLATE(E100, ""en"", ""am"")"),"በከፍተኛ ዝላይ ላይ፣ አትሌቶች በተወሰነ ከፍታ ላይ የተቀመጠውን ባር ለማጽዳት ይሞክራሉ።")</f>
        <v>በከፍተኛ ዝላይ ላይ፣ አትሌቶች በተወሰነ ከፍታ ላይ የተቀመጠውን ባር ለማጽዳት ይሞክራሉ።</v>
      </c>
    </row>
    <row r="101" ht="22.5" customHeight="1">
      <c r="A101" s="13">
        <v>100.0</v>
      </c>
      <c r="B101" s="14" t="s">
        <v>1217</v>
      </c>
      <c r="C101" s="14" t="s">
        <v>1218</v>
      </c>
      <c r="D101" s="14" t="s">
        <v>943</v>
      </c>
      <c r="E101" s="14" t="s">
        <v>1219</v>
      </c>
      <c r="G101" s="8" t="str">
        <f>IFERROR(__xludf.DUMMYFUNCTION(" GOOGLETRANSLATE(A101, ""en"", ""am"")"),"100")</f>
        <v>100</v>
      </c>
      <c r="H101" s="8" t="str">
        <f>IFERROR(__xludf.DUMMYFUNCTION(" GOOGLETRANSLATE(B101, ""en"", ""am"")"),"የ 400 ሜትር ትራክ ቀጥተኛ ክፍል ርዝመት ስንት ነው?")</f>
        <v>የ 400 ሜትር ትራክ ቀጥተኛ ክፍል ርዝመት ስንት ነው?</v>
      </c>
      <c r="I101" s="8" t="str">
        <f>IFERROR(__xludf.DUMMYFUNCTION(" GOOGLETRANSLATE(C101, ""en"", ""am"")"),"አ. 200 ሜትር ለ. 50 ሜትር ሲ. 300 ሜትር መ. 100 ሜትር")</f>
        <v>አ. 200 ሜትር ለ. 50 ሜትር ሲ. 300 ሜትር መ. 100 ሜትር</v>
      </c>
      <c r="J101" s="8" t="str">
        <f>IFERROR(__xludf.DUMMYFUNCTION(" GOOGLETRANSLATE(D101, ""en"", ""am"")"),"100 ሜትር")</f>
        <v>100 ሜትር</v>
      </c>
      <c r="K101" s="8" t="str">
        <f>IFERROR(__xludf.DUMMYFUNCTION(" GOOGLETRANSLATE(E101, ""en"", ""am"")"),"የ 400 ሜትር ትራክ ቀጥተኛ ክፍል 100 ሜትር ርዝመት አለው.")</f>
        <v>የ 400 ሜትር ትራክ ቀጥተኛ ክፍል 100 ሜትር ርዝመት አለው.</v>
      </c>
    </row>
    <row r="102" ht="22.5" customHeight="1">
      <c r="A102" s="13">
        <v>101.0</v>
      </c>
      <c r="B102" s="14" t="s">
        <v>1220</v>
      </c>
      <c r="C102" s="14" t="s">
        <v>401</v>
      </c>
      <c r="D102" s="14" t="s">
        <v>488</v>
      </c>
      <c r="E102" s="14" t="s">
        <v>488</v>
      </c>
      <c r="G102" s="8" t="str">
        <f>IFERROR(__xludf.DUMMYFUNCTION(" GOOGLETRANSLATE(A102, ""en"", ""am"")"),"101")</f>
        <v>101</v>
      </c>
      <c r="H102" s="8" t="str">
        <f>IFERROR(__xludf.DUMMYFUNCTION(" GOOGLETRANSLATE(B102, ""en"", ""am"")"),"በመደበኛ 4x400 ሜትር የዝውውር ውድድር በቡድን ውስጥ ስንት ሯጮች አሉ?")</f>
        <v>በመደበኛ 4x400 ሜትር የዝውውር ውድድር በቡድን ውስጥ ስንት ሯጮች አሉ?</v>
      </c>
      <c r="I102" s="8" t="str">
        <f>IFERROR(__xludf.DUMMYFUNCTION(" GOOGLETRANSLATE(C102, ""en"", ""am"")"),"አ.3 ለ 4 ሐ. 5 ዲ. 4")</f>
        <v>አ.3 ለ 4 ሐ. 5 ዲ. 4</v>
      </c>
      <c r="J102" s="8" t="str">
        <f>IFERROR(__xludf.DUMMYFUNCTION(" GOOGLETRANSLATE(D102, ""en"", ""am"")"),"4")</f>
        <v>4</v>
      </c>
      <c r="K102" s="8" t="str">
        <f>IFERROR(__xludf.DUMMYFUNCTION(" GOOGLETRANSLATE(E102, ""en"", ""am"")"),"4")</f>
        <v>4</v>
      </c>
    </row>
    <row r="103" ht="22.5" customHeight="1">
      <c r="A103" s="13">
        <v>102.0</v>
      </c>
      <c r="B103" s="14" t="s">
        <v>1221</v>
      </c>
      <c r="C103" s="14" t="s">
        <v>1222</v>
      </c>
      <c r="D103" s="14" t="s">
        <v>1223</v>
      </c>
      <c r="E103" s="14" t="s">
        <v>1224</v>
      </c>
      <c r="G103" s="8" t="str">
        <f>IFERROR(__xludf.DUMMYFUNCTION(" GOOGLETRANSLATE(A103, ""en"", ""am"")"),"102")</f>
        <v>102</v>
      </c>
      <c r="H103" s="8" t="str">
        <f>IFERROR(__xludf.DUMMYFUNCTION(" GOOGLETRANSLATE(B103, ""en"", ""am"")"),"ለ100 ሜትር ዳሽ የተለመደው ቅርጸት ምንድነው?")</f>
        <v>ለ100 ሜትር ዳሽ የተለመደው ቅርጸት ምንድነው?</v>
      </c>
      <c r="I103" s="8" t="str">
        <f>IFERROR(__xludf.DUMMYFUNCTION(" GOOGLETRANSLATE(C103, ""en"", ""am"")"),"ሀ. ሁሉም ሯጮች በተመሳሳይ ጊዜ ይወዳደራሉ። ለ. በሰዓቱ የተያዘ ክስተት C. Round Robin D. ሙቀት በመጨረሻው ውድድር ይከተላል።")</f>
        <v>ሀ. ሁሉም ሯጮች በተመሳሳይ ጊዜ ይወዳደራሉ። ለ. በሰዓቱ የተያዘ ክስተት C. Round Robin D. ሙቀት በመጨረሻው ውድድር ይከተላል።</v>
      </c>
      <c r="J103" s="8" t="str">
        <f>IFERROR(__xludf.DUMMYFUNCTION(" GOOGLETRANSLATE(D103, ""en"", ""am"")"),"ሙቀቶች በመጨረሻው ውስጥ ይከተላሉ.")</f>
        <v>ሙቀቶች በመጨረሻው ውስጥ ይከተላሉ.</v>
      </c>
      <c r="K103" s="8" t="str">
        <f>IFERROR(__xludf.DUMMYFUNCTION(" GOOGLETRANSLATE(E103, ""en"", ""am"")"),"የ100 ሜትር ውድድር አብዛኛውን ጊዜ በመጨረሻው ውድድር ላይ ሙቀትን ያካትታል።")</f>
        <v>የ100 ሜትር ውድድር አብዛኛውን ጊዜ በመጨረሻው ውድድር ላይ ሙቀትን ያካትታል።</v>
      </c>
    </row>
    <row r="104" ht="22.5" customHeight="1">
      <c r="A104" s="13">
        <v>103.0</v>
      </c>
      <c r="B104" s="14" t="s">
        <v>1225</v>
      </c>
      <c r="C104" s="14" t="s">
        <v>1226</v>
      </c>
      <c r="D104" s="14" t="s">
        <v>1227</v>
      </c>
      <c r="E104" s="14" t="s">
        <v>1228</v>
      </c>
      <c r="G104" s="8" t="str">
        <f>IFERROR(__xludf.DUMMYFUNCTION(" GOOGLETRANSLATE(A104, ""en"", ""am"")"),"103")</f>
        <v>103</v>
      </c>
      <c r="H104" s="8" t="str">
        <f>IFERROR(__xludf.DUMMYFUNCTION(" GOOGLETRANSLATE(B104, ""en"", ""am"")"),"በ800 ሜትር ውድድር የተለመደው ስልት ምንድን ነው?")</f>
        <v>በ800 ሜትር ውድድር የተለመደው ስልት ምንድን ነው?</v>
      </c>
      <c r="I104" s="8" t="str">
        <f>IFERROR(__xludf.DUMMYFUNCTION(" GOOGLETRANSLATE(C104, ""en"", ""am"")"),"ሀ. እራስዎን ያስተዋውቁ። ለ. በመጨረሻዎቹ 100 ሜትሮች ውስጥ Sprint. ሐ. ጉልበት ይቆጥቡ። መ. እራስዎን ያስተዋውቁ.")</f>
        <v>ሀ. እራስዎን ያስተዋውቁ። ለ. በመጨረሻዎቹ 100 ሜትሮች ውስጥ Sprint. ሐ. ጉልበት ይቆጥቡ። መ. እራስዎን ያስተዋውቁ.</v>
      </c>
      <c r="J104" s="8" t="str">
        <f>IFERROR(__xludf.DUMMYFUNCTION(" GOOGLETRANSLATE(D104, ""en"", ""am"")"),"እራስዎን ያስተዋውቁ።")</f>
        <v>እራስዎን ያስተዋውቁ።</v>
      </c>
      <c r="K104" s="8" t="str">
        <f>IFERROR(__xludf.DUMMYFUNCTION(" GOOGLETRANSLATE(E104, ""en"", ""am"")"),"በ800 ሜትር ውድድር፣ ፍጥነትን በጠቅላላ ለማስቀጠል መራመድ ወሳኝ ነው።")</f>
        <v>በ800 ሜትር ውድድር፣ ፍጥነትን በጠቅላላ ለማስቀጠል መራመድ ወሳኝ ነው።</v>
      </c>
    </row>
    <row r="105" ht="22.5" customHeight="1">
      <c r="A105" s="13">
        <v>104.0</v>
      </c>
      <c r="B105" s="14" t="s">
        <v>1229</v>
      </c>
      <c r="C105" s="14" t="s">
        <v>1230</v>
      </c>
      <c r="D105" s="14" t="s">
        <v>1213</v>
      </c>
      <c r="E105" s="14" t="s">
        <v>1231</v>
      </c>
      <c r="G105" s="8" t="str">
        <f>IFERROR(__xludf.DUMMYFUNCTION(" GOOGLETRANSLATE(A105, ""en"", ""am"")"),"104")</f>
        <v>104</v>
      </c>
      <c r="H105" s="8" t="str">
        <f>IFERROR(__xludf.DUMMYFUNCTION(" GOOGLETRANSLATE(B105, ""en"", ""am"")"),"የማራቶን ውድድር ዝቅተኛው ርቀት ስንት ነው?")</f>
        <v>የማራቶን ውድድር ዝቅተኛው ርቀት ስንት ነው?</v>
      </c>
      <c r="I105" s="8" t="str">
        <f>IFERROR(__xludf.DUMMYFUNCTION(" GOOGLETRANSLATE(C105, ""en"", ""am"")"),"ሀ 25 ማይል ለ 28 ማይል ሲ 27 ማይል ደ 26.2 ማይል")</f>
        <v>ሀ 25 ማይል ለ 28 ማይል ሲ 27 ማይል ደ 26.2 ማይል</v>
      </c>
      <c r="J105" s="8" t="str">
        <f>IFERROR(__xludf.DUMMYFUNCTION(" GOOGLETRANSLATE(D105, ""en"", ""am"")"),"26.2 ማይል")</f>
        <v>26.2 ማይል</v>
      </c>
      <c r="K105" s="8" t="str">
        <f>IFERROR(__xludf.DUMMYFUNCTION(" GOOGLETRANSLATE(E105, ""en"", ""am"")"),"የማራቶን ዝቅተኛው ርቀት 26.2 ማይል (42.195 ኪሎ ሜትር) ነው።")</f>
        <v>የማራቶን ዝቅተኛው ርቀት 26.2 ማይል (42.195 ኪሎ ሜትር) ነው።</v>
      </c>
    </row>
    <row r="106" ht="22.5" customHeight="1">
      <c r="A106" s="13">
        <v>105.0</v>
      </c>
      <c r="B106" s="14" t="s">
        <v>1232</v>
      </c>
      <c r="C106" s="14" t="s">
        <v>1233</v>
      </c>
      <c r="D106" s="14" t="s">
        <v>287</v>
      </c>
      <c r="E106" s="14" t="s">
        <v>287</v>
      </c>
      <c r="G106" s="8" t="str">
        <f>IFERROR(__xludf.DUMMYFUNCTION(" GOOGLETRANSLATE(A106, ""en"", ""am"")"),"105")</f>
        <v>105</v>
      </c>
      <c r="H106" s="8" t="str">
        <f>IFERROR(__xludf.DUMMYFUNCTION(" GOOGLETRANSLATE(B106, ""en"", ""am"")"),"በ1500 ሜትር ውድድር አትሌቶች ስንት ዙር መሮጥ አለባቸው?")</f>
        <v>በ1500 ሜትር ውድድር አትሌቶች ስንት ዙር መሮጥ አለባቸው?</v>
      </c>
      <c r="I106" s="8" t="str">
        <f>IFERROR(__xludf.DUMMYFUNCTION(" GOOGLETRANSLATE(C106, ""en"", ""am"")"),"አ.4 ለ.6 ሐ. 8 ዲ. 3")</f>
        <v>አ.4 ለ.6 ሐ. 8 ዲ. 3</v>
      </c>
      <c r="J106" s="8" t="str">
        <f>IFERROR(__xludf.DUMMYFUNCTION(" GOOGLETRANSLATE(D106, ""en"", ""am"")"),"3")</f>
        <v>3</v>
      </c>
      <c r="K106" s="8" t="str">
        <f>IFERROR(__xludf.DUMMYFUNCTION(" GOOGLETRANSLATE(E106, ""en"", ""am"")"),"3")</f>
        <v>3</v>
      </c>
    </row>
    <row r="107" ht="22.5" customHeight="1">
      <c r="A107" s="13">
        <v>106.0</v>
      </c>
      <c r="B107" s="14" t="s">
        <v>1234</v>
      </c>
      <c r="C107" s="14" t="s">
        <v>866</v>
      </c>
      <c r="D107" s="14" t="s">
        <v>867</v>
      </c>
      <c r="E107" s="14" t="s">
        <v>1235</v>
      </c>
      <c r="G107" s="8" t="str">
        <f>IFERROR(__xludf.DUMMYFUNCTION(" GOOGLETRANSLATE(A107, ""en"", ""am"")"),"106")</f>
        <v>106</v>
      </c>
      <c r="H107" s="8" t="str">
        <f>IFERROR(__xludf.DUMMYFUNCTION(" GOOGLETRANSLATE(B107, ""en"", ""am"")"),"ደረጃውን የጠበቀ የማራቶን ውድድር ለምን ያህል ጊዜ ይቆያል?")</f>
        <v>ደረጃውን የጠበቀ የማራቶን ውድድር ለምን ያህል ጊዜ ይቆያል?</v>
      </c>
      <c r="I107" s="8" t="str">
        <f>IFERROR(__xludf.DUMMYFUNCTION(" GOOGLETRANSLATE(C107, ""en"", ""am"")"),"አ.40 ኪ.ሜ ለ.45 ኪ.ሜ. 50 ኪ.ሜ መ. 42.195 ኪ.ሜ.")</f>
        <v>አ.40 ኪ.ሜ ለ.45 ኪ.ሜ. 50 ኪ.ሜ መ. 42.195 ኪ.ሜ.</v>
      </c>
      <c r="J107" s="8" t="str">
        <f>IFERROR(__xludf.DUMMYFUNCTION(" GOOGLETRANSLATE(D107, ""en"", ""am"")"),"42.195 ኪ.ሜ")</f>
        <v>42.195 ኪ.ሜ</v>
      </c>
      <c r="K107" s="8" t="str">
        <f>IFERROR(__xludf.DUMMYFUNCTION(" GOOGLETRANSLATE(E107, ""en"", ""am"")"),"መደበኛው የማራቶን ርቀት 42.195 ኪሎ ሜትር (26.2 ማይል) ነው።")</f>
        <v>መደበኛው የማራቶን ርቀት 42.195 ኪሎ ሜትር (26.2 ማይል) ነው።</v>
      </c>
    </row>
    <row r="108" ht="22.5" customHeight="1">
      <c r="A108" s="13">
        <v>107.0</v>
      </c>
      <c r="B108" s="14" t="s">
        <v>1236</v>
      </c>
      <c r="C108" s="14" t="s">
        <v>1237</v>
      </c>
      <c r="D108" s="14" t="s">
        <v>1107</v>
      </c>
      <c r="E108" s="14" t="s">
        <v>1238</v>
      </c>
      <c r="G108" s="8" t="str">
        <f>IFERROR(__xludf.DUMMYFUNCTION(" GOOGLETRANSLATE(A108, ""en"", ""am"")"),"107")</f>
        <v>107</v>
      </c>
      <c r="H108" s="8" t="str">
        <f>IFERROR(__xludf.DUMMYFUNCTION(" GOOGLETRANSLATE(B108, ""en"", ""am"")"),"የ100 ሜትር ውድድር ዋና ግብ ምንድነው?")</f>
        <v>የ100 ሜትር ውድድር ዋና ግብ ምንድነው?</v>
      </c>
      <c r="I108" s="8" t="str">
        <f>IFERROR(__xludf.DUMMYFUNCTION(" GOOGLETRANSLATE(C108, ""en"", ""am"")"),"ሀ. ጽናት። B. ጥንካሬ ሐ. ጽናት. ዲ ፍጥነት")</f>
        <v>ሀ. ጽናት። B. ጥንካሬ ሐ. ጽናት. ዲ ፍጥነት</v>
      </c>
      <c r="J108" s="8" t="str">
        <f>IFERROR(__xludf.DUMMYFUNCTION(" GOOGLETRANSLATE(D108, ""en"", ""am"")"),"ፍጥነት")</f>
        <v>ፍጥነት</v>
      </c>
      <c r="K108" s="8" t="str">
        <f>IFERROR(__xludf.DUMMYFUNCTION(" GOOGLETRANSLATE(E108, ""en"", ""am"")"),"የ100 ሜትር ሩጫ ዋናው ግብ በተቻለ ፍጥነት መሮጥ ነው።")</f>
        <v>የ100 ሜትር ሩጫ ዋናው ግብ በተቻለ ፍጥነት መሮጥ ነው።</v>
      </c>
    </row>
    <row r="109" ht="22.5" customHeight="1">
      <c r="A109" s="13">
        <v>108.0</v>
      </c>
      <c r="B109" s="14" t="s">
        <v>1239</v>
      </c>
      <c r="C109" s="14" t="s">
        <v>1240</v>
      </c>
      <c r="D109" s="14" t="s">
        <v>1241</v>
      </c>
      <c r="E109" s="14" t="s">
        <v>1242</v>
      </c>
      <c r="G109" s="8" t="str">
        <f>IFERROR(__xludf.DUMMYFUNCTION(" GOOGLETRANSLATE(A109, ""en"", ""am"")"),"108")</f>
        <v>108</v>
      </c>
      <c r="H109" s="8" t="str">
        <f>IFERROR(__xludf.DUMMYFUNCTION(" GOOGLETRANSLATE(B109, ""en"", ""am"")"),"በ400 ሜትር ውድድር ለአብዛኞቹ ሯጮች የተለመደው ፍጥነት ምን ያህል ነው?")</f>
        <v>በ400 ሜትር ውድድር ለአብዛኞቹ ሯጮች የተለመደው ፍጥነት ምን ያህል ነው?</v>
      </c>
      <c r="I109" s="8" t="str">
        <f>IFERROR(__xludf.DUMMYFUNCTION(" GOOGLETRANSLATE(C109, ""en"", ""am"")"),"ሀ. ራሳቸውን መሮጥ B. መራመድ ሐ. ለመሮጥ መ. ራሳቸውን መሮጥ")</f>
        <v>ሀ. ራሳቸውን መሮጥ B. መራመድ ሐ. ለመሮጥ መ. ራሳቸውን መሮጥ</v>
      </c>
      <c r="J109" s="8" t="str">
        <f>IFERROR(__xludf.DUMMYFUNCTION(" GOOGLETRANSLATE(D109, ""en"", ""am"")"),"ራሳቸውን እየሮጡ ነው።")</f>
        <v>ራሳቸውን እየሮጡ ነው።</v>
      </c>
      <c r="K109" s="8" t="str">
        <f>IFERROR(__xludf.DUMMYFUNCTION(" GOOGLETRANSLATE(E109, ""en"", ""am"")"),"ሯጮች ድካምን ለማስወገድ በ400 ሜትር ሩጫ ራሳቸውን መራመድ አለባቸው።")</f>
        <v>ሯጮች ድካምን ለማስወገድ በ400 ሜትር ሩጫ ራሳቸውን መራመድ አለባቸው።</v>
      </c>
    </row>
    <row r="110" ht="22.5" customHeight="1">
      <c r="A110" s="13">
        <v>109.0</v>
      </c>
      <c r="B110" s="14" t="s">
        <v>1243</v>
      </c>
      <c r="C110" s="14" t="s">
        <v>1244</v>
      </c>
      <c r="D110" s="14" t="s">
        <v>1245</v>
      </c>
      <c r="E110" s="14" t="s">
        <v>1246</v>
      </c>
      <c r="G110" s="8" t="str">
        <f>IFERROR(__xludf.DUMMYFUNCTION(" GOOGLETRANSLATE(A110, ""en"", ""am"")"),"109")</f>
        <v>109</v>
      </c>
      <c r="H110" s="8" t="str">
        <f>IFERROR(__xludf.DUMMYFUNCTION(" GOOGLETRANSLATE(B110, ""en"", ""am"")"),"በሩጫ ውድድር፣ ሯጮች መካከል ያለው ዝቅተኛው ርቀት ስንት ነው?")</f>
        <v>በሩጫ ውድድር፣ ሯጮች መካከል ያለው ዝቅተኛው ርቀት ስንት ነው?</v>
      </c>
      <c r="I110" s="8" t="str">
        <f>IFERROR(__xludf.DUMMYFUNCTION(" GOOGLETRANSLATE(C110, ""en"", ""am"")"),"ሀ 20 ሜትር ለ 30 ሜትር ሲ 40 ሜትር መ 20 ሜትር")</f>
        <v>ሀ 20 ሜትር ለ 30 ሜትር ሲ 40 ሜትር መ 20 ሜትር</v>
      </c>
      <c r="J110" s="8" t="str">
        <f>IFERROR(__xludf.DUMMYFUNCTION(" GOOGLETRANSLATE(D110, ""en"", ""am"")"),"20 ሜትር")</f>
        <v>20 ሜትር</v>
      </c>
      <c r="K110" s="8" t="str">
        <f>IFERROR(__xludf.DUMMYFUNCTION(" GOOGLETRANSLATE(E110, ""en"", ""am"")"),"በሩጫ ሯጮች መካከል ያለው ርቀት በተለምዶ 20 ሜትር ነው።")</f>
        <v>በሩጫ ሯጮች መካከል ያለው ርቀት በተለምዶ 20 ሜትር ነው።</v>
      </c>
    </row>
    <row r="111" ht="22.5" customHeight="1">
      <c r="A111" s="13">
        <v>110.0</v>
      </c>
      <c r="B111" s="14" t="s">
        <v>1247</v>
      </c>
      <c r="C111" s="14" t="s">
        <v>1248</v>
      </c>
      <c r="D111" s="14" t="s">
        <v>1006</v>
      </c>
      <c r="E111" s="14" t="s">
        <v>1249</v>
      </c>
      <c r="G111" s="8" t="str">
        <f>IFERROR(__xludf.DUMMYFUNCTION(" GOOGLETRANSLATE(A111, ""en"", ""am"")"),"110")</f>
        <v>110</v>
      </c>
      <c r="H111" s="8" t="str">
        <f>IFERROR(__xludf.DUMMYFUNCTION(" GOOGLETRANSLATE(B111, ""en"", ""am"")"),"በሩጫ ወቅት አንድ ሯጭ ከትራክ ቢወጣ ምን ይሆናል?")</f>
        <v>በሩጫ ወቅት አንድ ሯጭ ከትራክ ቢወጣ ምን ይሆናል?</v>
      </c>
      <c r="I111" s="8" t="str">
        <f>IFERROR(__xludf.DUMMYFUNCTION(" GOOGLETRANSLATE(C111, ""en"", ""am"")"),"ሀ. የጊዜ ቅጣት ይደርስዎታል። ለ. እንደገና መጀመር አለባቸው. ሐ. ማስጠንቀቂያ ይደርሳቸዋል። መ. ብቁ አይደሉም።")</f>
        <v>ሀ. የጊዜ ቅጣት ይደርስዎታል። ለ. እንደገና መጀመር አለባቸው. ሐ. ማስጠንቀቂያ ይደርሳቸዋል። መ. ብቁ አይደሉም።</v>
      </c>
      <c r="J111" s="8" t="str">
        <f>IFERROR(__xludf.DUMMYFUNCTION(" GOOGLETRANSLATE(D111, ""en"", ""am"")"),"ብቁ አይደሉም።")</f>
        <v>ብቁ አይደሉም።</v>
      </c>
      <c r="K111" s="8" t="str">
        <f>IFERROR(__xludf.DUMMYFUNCTION(" GOOGLETRANSLATE(E111, ""en"", ""am"")"),"በእሽቅድምድም ከተመደበው መስመር ውጭ መውጣት ከውድድሩ ውድቅ ያደርጋል።")</f>
        <v>በእሽቅድምድም ከተመደበው መስመር ውጭ መውጣት ከውድድሩ ውድቅ ያደርጋል።</v>
      </c>
    </row>
    <row r="112" ht="22.5" customHeight="1">
      <c r="A112" s="13">
        <v>111.0</v>
      </c>
      <c r="B112" s="14" t="s">
        <v>1250</v>
      </c>
      <c r="C112" s="14" t="s">
        <v>1186</v>
      </c>
      <c r="D112" s="14" t="s">
        <v>488</v>
      </c>
      <c r="E112" s="14" t="s">
        <v>488</v>
      </c>
      <c r="G112" s="8" t="str">
        <f>IFERROR(__xludf.DUMMYFUNCTION(" GOOGLETRANSLATE(A112, ""en"", ""am"")"),"111")</f>
        <v>111</v>
      </c>
      <c r="H112" s="8" t="str">
        <f>IFERROR(__xludf.DUMMYFUNCTION(" GOOGLETRANSLATE(B112, ""en"", ""am"")"),"በ4x400 ሜትር ቅብብል ቡድን ላይ ስንት ሯጮች አሉ?")</f>
        <v>በ4x400 ሜትር ቅብብል ቡድን ላይ ስንት ሯጮች አሉ?</v>
      </c>
      <c r="I112" s="8" t="str">
        <f>IFERROR(__xludf.DUMMYFUNCTION(" GOOGLETRANSLATE(C112, ""en"", ""am"")"),"አ.4 ለ.6 ሐ. 8 ዲ. 4")</f>
        <v>አ.4 ለ.6 ሐ. 8 ዲ. 4</v>
      </c>
      <c r="J112" s="8" t="str">
        <f>IFERROR(__xludf.DUMMYFUNCTION(" GOOGLETRANSLATE(D112, ""en"", ""am"")"),"4")</f>
        <v>4</v>
      </c>
      <c r="K112" s="8" t="str">
        <f>IFERROR(__xludf.DUMMYFUNCTION(" GOOGLETRANSLATE(E112, ""en"", ""am"")"),"4")</f>
        <v>4</v>
      </c>
    </row>
    <row r="113" ht="22.5" customHeight="1">
      <c r="A113" s="13">
        <v>112.0</v>
      </c>
      <c r="B113" s="14" t="s">
        <v>1251</v>
      </c>
      <c r="C113" s="14" t="s">
        <v>1252</v>
      </c>
      <c r="D113" s="14" t="s">
        <v>1049</v>
      </c>
      <c r="E113" s="14" t="s">
        <v>1253</v>
      </c>
      <c r="G113" s="8" t="str">
        <f>IFERROR(__xludf.DUMMYFUNCTION(" GOOGLETRANSLATE(A113, ""en"", ""am"")"),"112")</f>
        <v>112</v>
      </c>
      <c r="H113" s="8" t="str">
        <f>IFERROR(__xludf.DUMMYFUNCTION(" GOOGLETRANSLATE(B113, ""en"", ""am"")"),"በርቀት ውድድር የመጀመሪያ ዙር ላይ ሯጮች ምን ላይ ማተኮር አለባቸው?")</f>
        <v>በርቀት ውድድር የመጀመሪያ ዙር ላይ ሯጮች ምን ላይ ማተኮር አለባቸው?</v>
      </c>
      <c r="I113" s="8" t="str">
        <f>IFERROR(__xludf.DUMMYFUNCTION(" GOOGLETRANSLATE(C113, ""en"", ""am"")"),"ሀ. መንቀጥቀጥ B. ዝለል ሐ. በፍጥነት በመጀመር መ. መንቀጥቀጥ")</f>
        <v>ሀ. መንቀጥቀጥ B. ዝለል ሐ. በፍጥነት በመጀመር መ. መንቀጥቀጥ</v>
      </c>
      <c r="J113" s="8" t="str">
        <f>IFERROR(__xludf.DUMMYFUNCTION(" GOOGLETRANSLATE(D113, ""en"", ""am"")"),"መንቀጥቀጥ")</f>
        <v>መንቀጥቀጥ</v>
      </c>
      <c r="K113" s="8" t="str">
        <f>IFERROR(__xludf.DUMMYFUNCTION(" GOOGLETRANSLATE(E113, ""en"", ""am"")"),"ሯጮች በርቀት ውድድር የመጀመሪያ ዙር ላይ እራሳቸውን በማንሳት ላይ ማተኮር አለባቸው።")</f>
        <v>ሯጮች በርቀት ውድድር የመጀመሪያ ዙር ላይ እራሳቸውን በማንሳት ላይ ማተኮር አለባቸው።</v>
      </c>
    </row>
    <row r="114" ht="22.5" customHeight="1">
      <c r="A114" s="13">
        <v>113.0</v>
      </c>
      <c r="B114" s="14" t="s">
        <v>1254</v>
      </c>
      <c r="C114" s="14" t="s">
        <v>1255</v>
      </c>
      <c r="D114" s="14" t="s">
        <v>1256</v>
      </c>
      <c r="E114" s="14" t="s">
        <v>1256</v>
      </c>
      <c r="G114" s="8" t="str">
        <f>IFERROR(__xludf.DUMMYFUNCTION(" GOOGLETRANSLATE(A114, ""en"", ""am"")"),"113")</f>
        <v>113</v>
      </c>
      <c r="H114" s="8" t="str">
        <f>IFERROR(__xludf.DUMMYFUNCTION(" GOOGLETRANSLATE(B114, ""en"", ""am"")"),"በስፕሪንት ክስተት የሚፈቀደው ከፍተኛው የሯጮች ብዛት ስንት ነው?")</f>
        <v>በስፕሪንት ክስተት የሚፈቀደው ከፍተኛው የሯጮች ብዛት ስንት ነው?</v>
      </c>
      <c r="I114" s="8" t="str">
        <f>IFERROR(__xludf.DUMMYFUNCTION(" GOOGLETRANSLATE(C114, ""en"", ""am"")"),"አ. 6 ለ 8 ሐ. 10 ዲ. 8")</f>
        <v>አ. 6 ለ 8 ሐ. 10 ዲ. 8</v>
      </c>
      <c r="J114" s="8" t="str">
        <f>IFERROR(__xludf.DUMMYFUNCTION(" GOOGLETRANSLATE(D114, ""en"", ""am"")"),"8")</f>
        <v>8</v>
      </c>
      <c r="K114" s="8" t="str">
        <f>IFERROR(__xludf.DUMMYFUNCTION(" GOOGLETRANSLATE(E114, ""en"", ""am"")"),"8")</f>
        <v>8</v>
      </c>
    </row>
    <row r="115" ht="22.5" customHeight="1">
      <c r="A115" s="13">
        <v>114.0</v>
      </c>
      <c r="B115" s="14" t="s">
        <v>1257</v>
      </c>
      <c r="C115" s="14" t="s">
        <v>1258</v>
      </c>
      <c r="D115" s="14" t="s">
        <v>1259</v>
      </c>
      <c r="E115" s="14" t="s">
        <v>1260</v>
      </c>
      <c r="G115" s="8" t="str">
        <f>IFERROR(__xludf.DUMMYFUNCTION(" GOOGLETRANSLATE(A115, ""en"", ""am"")"),"114")</f>
        <v>114</v>
      </c>
      <c r="H115" s="8" t="str">
        <f>IFERROR(__xludf.DUMMYFUNCTION(" GOOGLETRANSLATE(B115, ""en"", ""am"")"),"አንድ አትሌት የመጨረሻውን መስመር ሲያልፍ ምን ይሆናል?")</f>
        <v>አንድ አትሌት የመጨረሻውን መስመር ሲያልፍ ምን ይሆናል?</v>
      </c>
      <c r="I115" s="8" t="str">
        <f>IFERROR(__xludf.DUMMYFUNCTION(" GOOGLETRANSLATE(C115, ""en"", ""am"")"),"ሀ. ያሸንፋሉ። ለ. መሮጥ ያቆማሉ። ሐ. ብቁ አይደሉም። መ. ውድድሩ ያበቃል።")</f>
        <v>ሀ. ያሸንፋሉ። ለ. መሮጥ ያቆማሉ። ሐ. ብቁ አይደሉም። መ. ውድድሩ ያበቃል።</v>
      </c>
      <c r="J115" s="8" t="str">
        <f>IFERROR(__xludf.DUMMYFUNCTION(" GOOGLETRANSLATE(D115, ""en"", ""am"")"),"ውድድሩ ያበቃል።")</f>
        <v>ውድድሩ ያበቃል።</v>
      </c>
      <c r="K115" s="8" t="str">
        <f>IFERROR(__xludf.DUMMYFUNCTION(" GOOGLETRANSLATE(E115, ""en"", ""am"")"),"አንድ አትሌት የመጨረሻውን መስመር ሲያልፍ ውድድሩ ያበቃል።")</f>
        <v>አንድ አትሌት የመጨረሻውን መስመር ሲያልፍ ውድድሩ ያበቃል።</v>
      </c>
    </row>
    <row r="116" ht="22.5" customHeight="1">
      <c r="A116" s="13">
        <v>115.0</v>
      </c>
      <c r="B116" s="14" t="s">
        <v>1261</v>
      </c>
      <c r="C116" s="14" t="s">
        <v>1262</v>
      </c>
      <c r="D116" s="14" t="s">
        <v>1263</v>
      </c>
      <c r="E116" s="14" t="s">
        <v>1263</v>
      </c>
      <c r="G116" s="8" t="str">
        <f>IFERROR(__xludf.DUMMYFUNCTION(" GOOGLETRANSLATE(A116, ""en"", ""am"")"),"115")</f>
        <v>115</v>
      </c>
      <c r="H116" s="8" t="str">
        <f>IFERROR(__xludf.DUMMYFUNCTION(" GOOGLETRANSLATE(B116, ""en"", ""am"")"),"በ5000 ሜትር ውድድር፣ በመደበኛ ትራክ ላይ ስንት ዙር መሮጥ አለበት?")</f>
        <v>በ5000 ሜትር ውድድር፣ በመደበኛ ትራክ ላይ ስንት ዙር መሮጥ አለበት?</v>
      </c>
      <c r="I116" s="8" t="str">
        <f>IFERROR(__xludf.DUMMYFUNCTION(" GOOGLETRANSLATE(C116, ""en"", ""am"")"),"አ. 12 ለ. 8 ሐ. 6 ዲ. 12")</f>
        <v>አ. 12 ለ. 8 ሐ. 6 ዲ. 12</v>
      </c>
      <c r="J116" s="8" t="str">
        <f>IFERROR(__xludf.DUMMYFUNCTION(" GOOGLETRANSLATE(D116, ""en"", ""am"")"),"12")</f>
        <v>12</v>
      </c>
      <c r="K116" s="8" t="str">
        <f>IFERROR(__xludf.DUMMYFUNCTION(" GOOGLETRANSLATE(E116, ""en"", ""am"")"),"12")</f>
        <v>12</v>
      </c>
    </row>
    <row r="117" ht="22.5" customHeight="1">
      <c r="A117" s="13">
        <v>116.0</v>
      </c>
      <c r="B117" s="14" t="s">
        <v>1264</v>
      </c>
      <c r="C117" s="14" t="s">
        <v>1265</v>
      </c>
      <c r="D117" s="14" t="s">
        <v>1266</v>
      </c>
      <c r="E117" s="14" t="s">
        <v>1267</v>
      </c>
      <c r="G117" s="8" t="str">
        <f>IFERROR(__xludf.DUMMYFUNCTION(" GOOGLETRANSLATE(A117, ""en"", ""am"")"),"116")</f>
        <v>116</v>
      </c>
      <c r="H117" s="8" t="str">
        <f>IFERROR(__xludf.DUMMYFUNCTION(" GOOGLETRANSLATE(B117, ""en"", ""am"")"),"በረጅም ርቀት ሩጫ ላይ የተለመደ ጉዳት ምንድን ነው?")</f>
        <v>በረጅም ርቀት ሩጫ ላይ የተለመደ ጉዳት ምንድን ነው?</v>
      </c>
      <c r="I117" s="8" t="str">
        <f>IFERROR(__xludf.DUMMYFUNCTION(" GOOGLETRANSLATE(C117, ""en"", ""am"")"),"ሀ. የጭንቀት ስብራት ለ. ቆርጠህ አውጣው። ሐ. ቁስሎች መ. የጭንቀት ስብራት")</f>
        <v>ሀ. የጭንቀት ስብራት ለ. ቆርጠህ አውጣው። ሐ. ቁስሎች መ. የጭንቀት ስብራት</v>
      </c>
      <c r="J117" s="8" t="str">
        <f>IFERROR(__xludf.DUMMYFUNCTION(" GOOGLETRANSLATE(D117, ""en"", ""am"")"),"የጭንቀት ስብራት")</f>
        <v>የጭንቀት ስብራት</v>
      </c>
      <c r="K117" s="8" t="str">
        <f>IFERROR(__xludf.DUMMYFUNCTION(" GOOGLETRANSLATE(E117, ""en"", ""am"")"),"የጭንቀት ስብራት በረጅም ርቀት ሯጮች መካከል የተለመዱ ጉዳቶች ናቸው።")</f>
        <v>የጭንቀት ስብራት በረጅም ርቀት ሯጮች መካከል የተለመዱ ጉዳቶች ናቸው።</v>
      </c>
    </row>
    <row r="118" ht="22.5" customHeight="1">
      <c r="A118" s="13">
        <v>117.0</v>
      </c>
      <c r="B118" s="14" t="s">
        <v>1268</v>
      </c>
      <c r="C118" s="14" t="s">
        <v>1269</v>
      </c>
      <c r="D118" s="14" t="s">
        <v>1270</v>
      </c>
      <c r="E118" s="14" t="s">
        <v>1271</v>
      </c>
      <c r="G118" s="8" t="str">
        <f>IFERROR(__xludf.DUMMYFUNCTION(" GOOGLETRANSLATE(A118, ""en"", ""am"")"),"117")</f>
        <v>117</v>
      </c>
      <c r="H118" s="8" t="str">
        <f>IFERROR(__xludf.DUMMYFUNCTION(" GOOGLETRANSLATE(B118, ""en"", ""am"")"),"አንድ ሯጭ የ800 ሜትር ሩጫውን እንዲያጠናቅቅ የሚፈቀደው ከፍተኛው ጊዜ ስንት ነው?")</f>
        <v>አንድ ሯጭ የ800 ሜትር ሩጫውን እንዲያጠናቅቅ የሚፈቀደው ከፍተኛው ጊዜ ስንት ነው?</v>
      </c>
      <c r="I118" s="8" t="str">
        <f>IFERROR(__xludf.DUMMYFUNCTION(" GOOGLETRANSLATE(C118, ""en"", ""am"")"),"ሀ. 2 ደቂቃ ለ. 3 ደቂቃ ሐ. 4 ደቂቃ መ. 2 ደቂቃ")</f>
        <v>ሀ. 2 ደቂቃ ለ. 3 ደቂቃ ሐ. 4 ደቂቃ መ. 2 ደቂቃ</v>
      </c>
      <c r="J118" s="8" t="str">
        <f>IFERROR(__xludf.DUMMYFUNCTION(" GOOGLETRANSLATE(D118, ""en"", ""am"")"),"2 ደቂቃዎች")</f>
        <v>2 ደቂቃዎች</v>
      </c>
      <c r="K118" s="8" t="str">
        <f>IFERROR(__xludf.DUMMYFUNCTION(" GOOGLETRANSLATE(E118, ""en"", ""am"")"),"የ800 ሜትር ሩጫው አብዛኛውን ጊዜ የሚካሄደው ቢበዛ 2 ደቂቃ ነው።")</f>
        <v>የ800 ሜትር ሩጫው አብዛኛውን ጊዜ የሚካሄደው ቢበዛ 2 ደቂቃ ነው።</v>
      </c>
    </row>
    <row r="119" ht="22.5" customHeight="1">
      <c r="A119" s="13">
        <v>118.0</v>
      </c>
      <c r="B119" s="14" t="s">
        <v>1272</v>
      </c>
      <c r="C119" s="14" t="s">
        <v>1273</v>
      </c>
      <c r="D119" s="14" t="s">
        <v>1274</v>
      </c>
      <c r="E119" s="14" t="s">
        <v>1275</v>
      </c>
      <c r="G119" s="8" t="str">
        <f>IFERROR(__xludf.DUMMYFUNCTION(" GOOGLETRANSLATE(A119, ""en"", ""am"")"),"118")</f>
        <v>118</v>
      </c>
      <c r="H119" s="8" t="str">
        <f>IFERROR(__xludf.DUMMYFUNCTION(" GOOGLETRANSLATE(B119, ""en"", ""am"")"),"የትኛው ክስተት እንደ ማራቶን-ርቀት ክስተት ይቆጠራል?")</f>
        <v>የትኛው ክስተት እንደ ማራቶን-ርቀት ክስተት ይቆጠራል?</v>
      </c>
      <c r="I119" s="8" t="str">
        <f>IFERROR(__xludf.DUMMYFUNCTION(" GOOGLETRANSLATE(C119, ""en"", ""am"")"),"ሀ. ሙሉ ማራቶን ቢ. Ultra ማራቶን ሲ. 10k ዲ. ሙሉ ማራቶን")</f>
        <v>ሀ. ሙሉ ማራቶን ቢ. Ultra ማራቶን ሲ. 10k ዲ. ሙሉ ማራቶን</v>
      </c>
      <c r="J119" s="8" t="str">
        <f>IFERROR(__xludf.DUMMYFUNCTION(" GOOGLETRANSLATE(D119, ""en"", ""am"")"),"ሙሉ ማራቶን")</f>
        <v>ሙሉ ማራቶን</v>
      </c>
      <c r="K119" s="8" t="str">
        <f>IFERROR(__xludf.DUMMYFUNCTION(" GOOGLETRANSLATE(E119, ""en"", ""am"")"),"ሙሉ ማራቶን እንደ መደበኛ የማራቶን ርቀት ክስተት ይቆጠራል።")</f>
        <v>ሙሉ ማራቶን እንደ መደበኛ የማራቶን ርቀት ክስተት ይቆጠራል።</v>
      </c>
    </row>
    <row r="120" ht="22.5" customHeight="1">
      <c r="A120" s="13">
        <v>119.0</v>
      </c>
      <c r="B120" s="14" t="s">
        <v>1276</v>
      </c>
      <c r="C120" s="14" t="s">
        <v>1277</v>
      </c>
      <c r="D120" s="14" t="s">
        <v>1278</v>
      </c>
      <c r="E120" s="14" t="s">
        <v>1279</v>
      </c>
      <c r="G120" s="8" t="str">
        <f>IFERROR(__xludf.DUMMYFUNCTION(" GOOGLETRANSLATE(A120, ""en"", ""am"")"),"119")</f>
        <v>119</v>
      </c>
      <c r="H120" s="8" t="str">
        <f>IFERROR(__xludf.DUMMYFUNCTION(" GOOGLETRANSLATE(B120, ""en"", ""am"")"),"የ100 ሜትር ውድድር ቁልፍ ገጽታ ምንድን ነው?")</f>
        <v>የ100 ሜትር ውድድር ቁልፍ ገጽታ ምንድን ነው?</v>
      </c>
      <c r="I120" s="8" t="str">
        <f>IFERROR(__xludf.DUMMYFUNCTION(" GOOGLETRANSLATE(C120, ""en"", ""am"")"),"ሀ. የሚፈነዳ ኃይል ለ. ጽናት። ሐ. መንቀጥቀጥ D. የሚፈነዳ ኃይል")</f>
        <v>ሀ. የሚፈነዳ ኃይል ለ. ጽናት። ሐ. መንቀጥቀጥ D. የሚፈነዳ ኃይል</v>
      </c>
      <c r="J120" s="8" t="str">
        <f>IFERROR(__xludf.DUMMYFUNCTION(" GOOGLETRANSLATE(D120, ""en"", ""am"")"),"የሚፈነዳ ኃይል")</f>
        <v>የሚፈነዳ ኃይል</v>
      </c>
      <c r="K120" s="8" t="str">
        <f>IFERROR(__xludf.DUMMYFUNCTION(" GOOGLETRANSLATE(E120, ""en"", ""am"")"),"Sprinters በፍጥነት ለመጀመር እና ፍጥነትን ለመጠበቅ የፈንጂ ኃይል ያስፈልጋቸዋል።")</f>
        <v>Sprinters በፍጥነት ለመጀመር እና ፍጥነትን ለመጠበቅ የፈንጂ ኃይል ያስፈልጋቸዋል።</v>
      </c>
    </row>
    <row r="121" ht="22.5" customHeight="1">
      <c r="A121" s="13">
        <v>120.0</v>
      </c>
      <c r="B121" s="14" t="s">
        <v>1280</v>
      </c>
      <c r="C121" s="14" t="s">
        <v>1281</v>
      </c>
      <c r="D121" s="14" t="s">
        <v>1282</v>
      </c>
      <c r="E121" s="14" t="s">
        <v>1283</v>
      </c>
      <c r="G121" s="8" t="str">
        <f>IFERROR(__xludf.DUMMYFUNCTION(" GOOGLETRANSLATE(A121, ""en"", ""am"")"),"120")</f>
        <v>120</v>
      </c>
      <c r="H121" s="8" t="str">
        <f>IFERROR(__xludf.DUMMYFUNCTION(" GOOGLETRANSLATE(B121, ""en"", ""am"")"),"በሩጫ ውስጥ ሁለት ሯጮች በአንድ ጊዜ ቢጨርሱ ምን ይሆናል?")</f>
        <v>በሩጫ ውስጥ ሁለት ሯጮች በአንድ ጊዜ ቢጨርሱ ምን ይሆናል?</v>
      </c>
      <c r="I121" s="8" t="str">
        <f>IFERROR(__xludf.DUMMYFUNCTION(" GOOGLETRANSLATE(C121, ""en"", ""am"")"),"ሀ. አሸናፊውን ለመለየት የፎቶ አጨራረስ ስራ ላይ ይውላል። ለ. ሁለቱም አሸናፊዎች ናቸው። ሐ. ውድድሩ ተደግሟል። መ. አሸናፊውን ለመለየት የፎቶ አጨራረስ ስራ ላይ ይውላል።")</f>
        <v>ሀ. አሸናፊውን ለመለየት የፎቶ አጨራረስ ስራ ላይ ይውላል። ለ. ሁለቱም አሸናፊዎች ናቸው። ሐ. ውድድሩ ተደግሟል። መ. አሸናፊውን ለመለየት የፎቶ አጨራረስ ስራ ላይ ይውላል።</v>
      </c>
      <c r="J121" s="8" t="str">
        <f>IFERROR(__xludf.DUMMYFUNCTION(" GOOGLETRANSLATE(D121, ""en"", ""am"")"),"አሸናፊውን ለመለየት የፎቶ አጨራረስ ስራ ላይ ይውላል።")</f>
        <v>አሸናፊውን ለመለየት የፎቶ አጨራረስ ስራ ላይ ይውላል።</v>
      </c>
      <c r="K121" s="8" t="str">
        <f>IFERROR(__xludf.DUMMYFUNCTION(" GOOGLETRANSLATE(E121, ""en"", ""am"")"),"ሁለት ሯጮች በተመሳሳይ ጊዜ ሲያጠናቅቁ አሸናፊውን ለመለየት የፎቶ አጨራረስ ጥቅም ላይ ይውላል።")</f>
        <v>ሁለት ሯጮች በተመሳሳይ ጊዜ ሲያጠናቅቁ አሸናፊውን ለመለየት የፎቶ አጨራረስ ጥቅም ላይ ይውላል።</v>
      </c>
    </row>
    <row r="122" ht="22.5" customHeight="1">
      <c r="A122" s="13">
        <v>121.0</v>
      </c>
      <c r="B122" s="14" t="s">
        <v>1284</v>
      </c>
      <c r="C122" s="14" t="s">
        <v>1285</v>
      </c>
      <c r="D122" s="14" t="s">
        <v>1286</v>
      </c>
      <c r="E122" s="14" t="s">
        <v>1287</v>
      </c>
      <c r="G122" s="8" t="str">
        <f>IFERROR(__xludf.DUMMYFUNCTION(" GOOGLETRANSLATE(A122, ""en"", ""am"")"),"121")</f>
        <v>121</v>
      </c>
      <c r="H122" s="8" t="str">
        <f>IFERROR(__xludf.DUMMYFUNCTION(" GOOGLETRANSLATE(B122, ""en"", ""am"")"),"የማራቶን መደበኛ ርቀት ስንት ነው?")</f>
        <v>የማራቶን መደበኛ ርቀት ስንት ነው?</v>
      </c>
      <c r="I122" s="8" t="str">
        <f>IFERROR(__xludf.DUMMYFUNCTION(" GOOGLETRANSLATE(C122, ""en"", ""am"")"),"አ.30 ኪ.ሜ B. 42 ኪ.ሜ. 50 ኪ.ሜ መ. 42 ኪ.ሜ")</f>
        <v>አ.30 ኪ.ሜ B. 42 ኪ.ሜ. 50 ኪ.ሜ መ. 42 ኪ.ሜ</v>
      </c>
      <c r="J122" s="8" t="str">
        <f>IFERROR(__xludf.DUMMYFUNCTION(" GOOGLETRANSLATE(D122, ""en"", ""am"")"),"42 ኪ.ሜ")</f>
        <v>42 ኪ.ሜ</v>
      </c>
      <c r="K122" s="8" t="str">
        <f>IFERROR(__xludf.DUMMYFUNCTION(" GOOGLETRANSLATE(E122, ""en"", ""am"")"),"ማራቶን መደበኛ የ42 ኪሎ ሜትር ውድድር ነው።")</f>
        <v>ማራቶን መደበኛ የ42 ኪሎ ሜትር ውድድር ነው።</v>
      </c>
    </row>
    <row r="123" ht="22.5" customHeight="1">
      <c r="A123" s="13">
        <v>122.0</v>
      </c>
      <c r="B123" s="14" t="s">
        <v>1288</v>
      </c>
      <c r="C123" s="14" t="s">
        <v>1289</v>
      </c>
      <c r="D123" s="14" t="s">
        <v>1290</v>
      </c>
      <c r="E123" s="14" t="s">
        <v>1291</v>
      </c>
      <c r="G123" s="8" t="str">
        <f>IFERROR(__xludf.DUMMYFUNCTION(" GOOGLETRANSLATE(A123, ""en"", ""am"")"),"122")</f>
        <v>122</v>
      </c>
      <c r="H123" s="8" t="str">
        <f>IFERROR(__xludf.DUMMYFUNCTION(" GOOGLETRANSLATE(B123, ""en"", ""am"")"),"ከውድድር በፊት የማሞቅ አላማ ምንድን ነው?")</f>
        <v>ከውድድር በፊት የማሞቅ አላማ ምንድን ነው?</v>
      </c>
      <c r="I123" s="8" t="str">
        <f>IFERROR(__xludf.DUMMYFUNCTION(" GOOGLETRANSLATE(C123, ""en"", ""am"")"),"ሀ. ጉዳቱን ይቀንሱ። ለ. አካልን ማቀዝቀዝ ሐ. ጡንቻዎችን ዘርጋ. መ. ጉዳቱን ይቀንሱ.")</f>
        <v>ሀ. ጉዳቱን ይቀንሱ። ለ. አካልን ማቀዝቀዝ ሐ. ጡንቻዎችን ዘርጋ. መ. ጉዳቱን ይቀንሱ.</v>
      </c>
      <c r="J123" s="8" t="str">
        <f>IFERROR(__xludf.DUMMYFUNCTION(" GOOGLETRANSLATE(D123, ""en"", ""am"")"),"ጉዳቱን ይቀንሱ.")</f>
        <v>ጉዳቱን ይቀንሱ.</v>
      </c>
      <c r="K123" s="8" t="str">
        <f>IFERROR(__xludf.DUMMYFUNCTION(" GOOGLETRANSLATE(E123, ""en"", ""am"")"),"ማሞቂያዎች ሰውነትን ለማዘጋጀት እና የመቁሰል አደጋን ለመቀነስ ይረዳሉ.")</f>
        <v>ማሞቂያዎች ሰውነትን ለማዘጋጀት እና የመቁሰል አደጋን ለመቀነስ ይረዳሉ.</v>
      </c>
    </row>
    <row r="124" ht="22.5" customHeight="1">
      <c r="A124" s="13">
        <v>123.0</v>
      </c>
      <c r="B124" s="14" t="s">
        <v>1292</v>
      </c>
      <c r="C124" s="14" t="s">
        <v>1293</v>
      </c>
      <c r="D124" s="14" t="s">
        <v>1294</v>
      </c>
      <c r="E124" s="14" t="s">
        <v>1295</v>
      </c>
      <c r="G124" s="8" t="str">
        <f>IFERROR(__xludf.DUMMYFUNCTION(" GOOGLETRANSLATE(A124, ""en"", ""am"")"),"123")</f>
        <v>123</v>
      </c>
      <c r="H124" s="8" t="str">
        <f>IFERROR(__xludf.DUMMYFUNCTION(" GOOGLETRANSLATE(B124, ""en"", ""am"")"),"በዱላ ቅብብል ውድድር ውስጥ ያለው ሚና ምንድን ነው?")</f>
        <v>በዱላ ቅብብል ውድድር ውስጥ ያለው ሚና ምንድን ነው?</v>
      </c>
      <c r="I124" s="8" t="str">
        <f>IFERROR(__xludf.DUMMYFUNCTION(" GOOGLETRANSLATE(C124, ""en"", ""am"")"),"A. ሯጮች መካከል ማለፍ ለ. የፍጻሜውን መስመር ምልክት ለማድረግ ሐ. ውድድሩን በጊዜው ለማካሄድ መ. በሩጫዎች መካከል ማለፍ")</f>
        <v>A. ሯጮች መካከል ማለፍ ለ. የፍጻሜውን መስመር ምልክት ለማድረግ ሐ. ውድድሩን በጊዜው ለማካሄድ መ. በሩጫዎች መካከል ማለፍ</v>
      </c>
      <c r="J124" s="8" t="str">
        <f>IFERROR(__xludf.DUMMYFUNCTION(" GOOGLETRANSLATE(D124, ""en"", ""am"")"),"በሯጮች መካከል ማለፍ")</f>
        <v>በሯጮች መካከል ማለፍ</v>
      </c>
      <c r="K124" s="8" t="str">
        <f>IFERROR(__xludf.DUMMYFUNCTION(" GOOGLETRANSLATE(E124, ""en"", ""am"")"),"በትሩ በሩጫው ውስጥ ባሉ ሯጮች መካከል ይተላለፋል።")</f>
        <v>በትሩ በሩጫው ውስጥ ባሉ ሯጮች መካከል ይተላለፋል።</v>
      </c>
    </row>
    <row r="125" ht="22.5" customHeight="1">
      <c r="A125" s="13">
        <v>124.0</v>
      </c>
      <c r="B125" s="14" t="s">
        <v>1296</v>
      </c>
      <c r="C125" s="14" t="s">
        <v>1297</v>
      </c>
      <c r="D125" s="14" t="s">
        <v>1298</v>
      </c>
      <c r="E125" s="14" t="s">
        <v>1299</v>
      </c>
      <c r="G125" s="8" t="str">
        <f>IFERROR(__xludf.DUMMYFUNCTION(" GOOGLETRANSLATE(A125, ""en"", ""am"")"),"124")</f>
        <v>124</v>
      </c>
      <c r="H125" s="8" t="str">
        <f>IFERROR(__xludf.DUMMYFUNCTION(" GOOGLETRANSLATE(B125, ""en"", ""am"")"),"እስካሁን የተመዘገበው የ100 ሜትር ፈጣኑ ጊዜ ምንድነው?")</f>
        <v>እስካሁን የተመዘገበው የ100 ሜትር ፈጣኑ ጊዜ ምንድነው?</v>
      </c>
      <c r="I125" s="8" t="str">
        <f>IFERROR(__xludf.DUMMYFUNCTION(" GOOGLETRANSLATE(C125, ""en"", ""am"")"),"አ. 10.05 ሰከንድ ለ. 9.89 ሰከንድ ሐ. 9.78 ሴኮንድ መ. 9.58 ሴኮንድ")</f>
        <v>አ. 10.05 ሰከንድ ለ. 9.89 ሰከንድ ሐ. 9.78 ሴኮንድ መ. 9.58 ሴኮንድ</v>
      </c>
      <c r="J125" s="8" t="str">
        <f>IFERROR(__xludf.DUMMYFUNCTION(" GOOGLETRANSLATE(D125, ""en"", ""am"")"),"9.58 ሰከንድ")</f>
        <v>9.58 ሰከንድ</v>
      </c>
      <c r="K125" s="8" t="str">
        <f>IFERROR(__xludf.DUMMYFUNCTION(" GOOGLETRANSLATE(E125, ""en"", ""am"")"),"እስካሁን የተመዘገበው የ100 ሜትር ፈጣን ጊዜ 9.58 ሰከንድ ነው።")</f>
        <v>እስካሁን የተመዘገበው የ100 ሜትር ፈጣን ጊዜ 9.58 ሰከንድ ነው።</v>
      </c>
    </row>
    <row r="126" ht="22.5" customHeight="1">
      <c r="A126" s="13">
        <v>125.0</v>
      </c>
      <c r="B126" s="14" t="s">
        <v>1300</v>
      </c>
      <c r="C126" s="14" t="s">
        <v>1301</v>
      </c>
      <c r="D126" s="14" t="s">
        <v>1302</v>
      </c>
      <c r="E126" s="14" t="s">
        <v>1303</v>
      </c>
      <c r="G126" s="8" t="str">
        <f>IFERROR(__xludf.DUMMYFUNCTION(" GOOGLETRANSLATE(A126, ""en"", ""am"")"),"125")</f>
        <v>125</v>
      </c>
      <c r="H126" s="8" t="str">
        <f>IFERROR(__xludf.DUMMYFUNCTION(" GOOGLETRANSLATE(B126, ""en"", ""am"")"),"የ Decathlon አካል የሆነው የትኛው ክስተት ነው?")</f>
        <v>የ Decathlon አካል የሆነው የትኛው ክስተት ነው?</v>
      </c>
      <c r="I126" s="8" t="str">
        <f>IFERROR(__xludf.DUMMYFUNCTION(" GOOGLETRANSLATE(C126, ""en"", ""am"")"),"ሀ. ምሰሶ ተራራ ለ. ከፍተኛ ዝላይ ሐ. ሁሉም ከላይ ያሉት D. ሁሉም ከላይ ያሉት")</f>
        <v>ሀ. ምሰሶ ተራራ ለ. ከፍተኛ ዝላይ ሐ. ሁሉም ከላይ ያሉት D. ሁሉም ከላይ ያሉት</v>
      </c>
      <c r="J126" s="8" t="str">
        <f>IFERROR(__xludf.DUMMYFUNCTION(" GOOGLETRANSLATE(D126, ""en"", ""am"")"),"ከላይ ያሉት ሁሉም")</f>
        <v>ከላይ ያሉት ሁሉም</v>
      </c>
      <c r="K126" s="8" t="str">
        <f>IFERROR(__xludf.DUMMYFUNCTION(" GOOGLETRANSLATE(E126, ""en"", ""am"")"),"ዴካትሎን እንደ 100 ሜትር ሩጫ፣ ምሰሶ ቫልት እና ከፍተኛ ዝላይ ያሉ ክስተቶችን ያካትታል።")</f>
        <v>ዴካትሎን እንደ 100 ሜትር ሩጫ፣ ምሰሶ ቫልት እና ከፍተኛ ዝላይ ያሉ ክስተቶችን ያካትታል።</v>
      </c>
    </row>
    <row r="127" ht="22.5" customHeight="1">
      <c r="A127" s="13">
        <v>126.0</v>
      </c>
      <c r="B127" s="14" t="s">
        <v>1304</v>
      </c>
      <c r="C127" s="14" t="s">
        <v>1305</v>
      </c>
      <c r="D127" s="14" t="s">
        <v>1306</v>
      </c>
      <c r="E127" s="14" t="s">
        <v>1307</v>
      </c>
      <c r="G127" s="8" t="str">
        <f>IFERROR(__xludf.DUMMYFUNCTION(" GOOGLETRANSLATE(A127, ""en"", ""am"")"),"126")</f>
        <v>126</v>
      </c>
      <c r="H127" s="8" t="str">
        <f>IFERROR(__xludf.DUMMYFUNCTION(" GOOGLETRANSLATE(B127, ""en"", ""am"")"),"በትራክ ክንውኖች ውስጥ፣ የተደናገጠ ጅምር ዓላማ ምንድን ነው?")</f>
        <v>በትራክ ክንውኖች ውስጥ፣ የተደናገጠ ጅምር ዓላማ ምንድን ነው?</v>
      </c>
      <c r="I127" s="8" t="str">
        <f>IFERROR(__xludf.DUMMYFUNCTION(" GOOGLETRANSLATE(C127, ""en"", ""am"")"),"ሀ. የሌይን ጣልቃገብነትን ለማስወገድ ለ. ውድድሩን የበለጠ አስደሳች ለማድረግ ሐ. እያንዳንዱን ሯጭ ተጠቃሚ ለማድረግ መ. የሌይን ጣልቃ ገብነትን ለማስወገድ")</f>
        <v>ሀ. የሌይን ጣልቃገብነትን ለማስወገድ ለ. ውድድሩን የበለጠ አስደሳች ለማድረግ ሐ. እያንዳንዱን ሯጭ ተጠቃሚ ለማድረግ መ. የሌይን ጣልቃ ገብነትን ለማስወገድ</v>
      </c>
      <c r="J127" s="8" t="str">
        <f>IFERROR(__xludf.DUMMYFUNCTION(" GOOGLETRANSLATE(D127, ""en"", ""am"")"),"የሌይን ጣልቃገብነትን ለማስወገድ")</f>
        <v>የሌይን ጣልቃገብነትን ለማስወገድ</v>
      </c>
      <c r="K127" s="8" t="str">
        <f>IFERROR(__xludf.DUMMYFUNCTION(" GOOGLETRANSLATE(E127, ""en"", ""am"")"),"የተደናገጠ ጅምር በተለያዩ መስመሮች ውስጥ ያሉ ሯጮች በእኩል ርቀት መሮጣቸውን ያረጋግጣል።")</f>
        <v>የተደናገጠ ጅምር በተለያዩ መስመሮች ውስጥ ያሉ ሯጮች በእኩል ርቀት መሮጣቸውን ያረጋግጣል።</v>
      </c>
    </row>
    <row r="128" ht="22.5" customHeight="1">
      <c r="A128" s="13">
        <v>127.0</v>
      </c>
      <c r="B128" s="14" t="s">
        <v>1308</v>
      </c>
      <c r="C128" s="14" t="s">
        <v>1309</v>
      </c>
      <c r="D128" s="14" t="s">
        <v>1310</v>
      </c>
      <c r="E128" s="14" t="s">
        <v>1311</v>
      </c>
      <c r="G128" s="8" t="str">
        <f>IFERROR(__xludf.DUMMYFUNCTION(" GOOGLETRANSLATE(A128, ""en"", ""am"")"),"127")</f>
        <v>127</v>
      </c>
      <c r="H128" s="8" t="str">
        <f>IFERROR(__xludf.DUMMYFUNCTION(" GOOGLETRANSLATE(B128, ""en"", ""am"")"),"ከሚከተሉት ውስጥ ዘር ያልሆነ የትኛው ነው?")</f>
        <v>ከሚከተሉት ውስጥ ዘር ያልሆነ የትኛው ነው?</v>
      </c>
      <c r="I128" s="8" t="str">
        <f>IFERROR(__xludf.DUMMYFUNCTION(" GOOGLETRANSLATE(C128, ""en"", ""am"")"),"አ. 400 ሜትር ለ. 100 ሜትር ሲ. 200 ሜትር ዲ. 800 ሜትር.")</f>
        <v>አ. 400 ሜትር ለ. 100 ሜትር ሲ. 200 ሜትር ዲ. 800 ሜትር.</v>
      </c>
      <c r="J128" s="8" t="str">
        <f>IFERROR(__xludf.DUMMYFUNCTION(" GOOGLETRANSLATE(D128, ""en"", ""am"")"),"800 ሜትር")</f>
        <v>800 ሜትር</v>
      </c>
      <c r="K128" s="8" t="str">
        <f>IFERROR(__xludf.DUMMYFUNCTION(" GOOGLETRANSLATE(E128, ""en"", ""am"")"),"800 ሜትር የመካከለኛ ርቀት ውድድር እንጂ የሩጫ ውድድር አይደለም።")</f>
        <v>800 ሜትር የመካከለኛ ርቀት ውድድር እንጂ የሩጫ ውድድር አይደለም።</v>
      </c>
    </row>
    <row r="129" ht="22.5" customHeight="1">
      <c r="A129" s="13">
        <v>128.0</v>
      </c>
      <c r="B129" s="14" t="s">
        <v>1312</v>
      </c>
      <c r="C129" s="14" t="s">
        <v>1313</v>
      </c>
      <c r="D129" s="14" t="s">
        <v>1314</v>
      </c>
      <c r="E129" s="14" t="s">
        <v>1315</v>
      </c>
      <c r="G129" s="8" t="str">
        <f>IFERROR(__xludf.DUMMYFUNCTION(" GOOGLETRANSLATE(A129, ""en"", ""am"")"),"128")</f>
        <v>128</v>
      </c>
      <c r="H129" s="8" t="str">
        <f>IFERROR(__xludf.DUMMYFUNCTION(" GOOGLETRANSLATE(B129, ""en"", ""am"")"),"በእግሮች ኳሶች ላይ የመሮጥ ዘዴ ምንድነው?")</f>
        <v>በእግሮች ኳሶች ላይ የመሮጥ ዘዴ ምንድነው?</v>
      </c>
      <c r="I129" s="8" t="str">
        <f>IFERROR(__xludf.DUMMYFUNCTION(" GOOGLETRANSLATE(C129, ""en"", ""am"")"),"A. Sprinter ቅጽ B. የፊት እግር ውድድር ሐ. ከተረከዝ እስከ ጣት D. የፊት እግር ውድድር")</f>
        <v>A. Sprinter ቅጽ B. የፊት እግር ውድድር ሐ. ከተረከዝ እስከ ጣት D. የፊት እግር ውድድር</v>
      </c>
      <c r="J129" s="8" t="str">
        <f>IFERROR(__xludf.DUMMYFUNCTION(" GOOGLETRANSLATE(D129, ""en"", ""am"")"),"የፊት እግር ውድድር")</f>
        <v>የፊት እግር ውድድር</v>
      </c>
      <c r="K129" s="8" t="str">
        <f>IFERROR(__xludf.DUMMYFUNCTION(" GOOGLETRANSLATE(E129, ""en"", ""am"")"),"የፊት እግር ሩጫ ሯጭ በእግራቸው ኳሶች ላይ የሚያርፍበት ዘዴ ነው።")</f>
        <v>የፊት እግር ሩጫ ሯጭ በእግራቸው ኳሶች ላይ የሚያርፍበት ዘዴ ነው።</v>
      </c>
    </row>
    <row r="130" ht="22.5" customHeight="1">
      <c r="A130" s="13">
        <v>129.0</v>
      </c>
      <c r="B130" s="14" t="s">
        <v>1316</v>
      </c>
      <c r="C130" s="14" t="s">
        <v>1317</v>
      </c>
      <c r="D130" s="14" t="s">
        <v>1318</v>
      </c>
      <c r="E130" s="14" t="s">
        <v>1319</v>
      </c>
      <c r="G130" s="8" t="str">
        <f>IFERROR(__xludf.DUMMYFUNCTION(" GOOGLETRANSLATE(A130, ""en"", ""am"")"),"129")</f>
        <v>129</v>
      </c>
      <c r="H130" s="8" t="str">
        <f>IFERROR(__xludf.DUMMYFUNCTION(" GOOGLETRANSLATE(B130, ""en"", ""am"")"),"በመሮጥ ውስጥ ያለው አሉታዊ ክፍል ምንድን ነው?")</f>
        <v>በመሮጥ ውስጥ ያለው አሉታዊ ክፍል ምንድን ነው?</v>
      </c>
      <c r="I130" s="8" t="str">
        <f>IFERROR(__xludf.DUMMYFUNCTION(" GOOGLETRANSLATE(C130, ""en"", ""am"")"),"ሀ. በሁለተኛው አጋማሽ በቀስታ መሮጥ ለ. በተመሳሳይ ፍጥነት መሮጥ ሐ. ከላይ ከተጠቀሱት መካከል አንዳቸውም መሮጥ የለም. በሩጫው ሁለተኛ አጋማሽ በፍጥነት መሮጥ")</f>
        <v>ሀ. በሁለተኛው አጋማሽ በቀስታ መሮጥ ለ. በተመሳሳይ ፍጥነት መሮጥ ሐ. ከላይ ከተጠቀሱት መካከል አንዳቸውም መሮጥ የለም. በሩጫው ሁለተኛ አጋማሽ በፍጥነት መሮጥ</v>
      </c>
      <c r="J130" s="8" t="str">
        <f>IFERROR(__xludf.DUMMYFUNCTION(" GOOGLETRANSLATE(D130, ""en"", ""am"")"),"በውድድሩ ሁለተኛ አጋማሽ በፍጥነት መሮጥ")</f>
        <v>በውድድሩ ሁለተኛ አጋማሽ በፍጥነት መሮጥ</v>
      </c>
      <c r="K130" s="8" t="str">
        <f>IFERROR(__xludf.DUMMYFUNCTION(" GOOGLETRANSLATE(E130, ""en"", ""am"")"),"አሉታዊ መለያየት ማለት የውድድሩን ሁለተኛ አጋማሽ ከመጀመሪያው በበለጠ ፍጥነት መሮጥ ማለት ነው።")</f>
        <v>አሉታዊ መለያየት ማለት የውድድሩን ሁለተኛ አጋማሽ ከመጀመሪያው በበለጠ ፍጥነት መሮጥ ማለት ነው።</v>
      </c>
    </row>
    <row r="131" ht="22.5" customHeight="1">
      <c r="A131" s="13">
        <v>130.0</v>
      </c>
      <c r="B131" s="14" t="s">
        <v>1320</v>
      </c>
      <c r="C131" s="14" t="s">
        <v>1321</v>
      </c>
      <c r="D131" s="14" t="s">
        <v>1322</v>
      </c>
      <c r="E131" s="14" t="s">
        <v>1323</v>
      </c>
      <c r="G131" s="8" t="str">
        <f>IFERROR(__xludf.DUMMYFUNCTION(" GOOGLETRANSLATE(A131, ""en"", ""am"")"),"130")</f>
        <v>130</v>
      </c>
      <c r="H131" s="8" t="str">
        <f>IFERROR(__xludf.DUMMYFUNCTION(" GOOGLETRANSLATE(B131, ""en"", ""am"")"),"የግማሽ ማራቶን ርቀት ስንት ነው?")</f>
        <v>የግማሽ ማራቶን ርቀት ስንት ነው?</v>
      </c>
      <c r="I131" s="8" t="str">
        <f>IFERROR(__xludf.DUMMYFUNCTION(" GOOGLETRANSLATE(C131, ""en"", ""am"")"),"አ.42.2 ኪ.ሜ ለ 10 ኪ.ሜ. 50 ኪ.ሜ መ. 21.1 ኪ.ሜ.")</f>
        <v>አ.42.2 ኪ.ሜ ለ 10 ኪ.ሜ. 50 ኪ.ሜ መ. 21.1 ኪ.ሜ.</v>
      </c>
      <c r="J131" s="8" t="str">
        <f>IFERROR(__xludf.DUMMYFUNCTION(" GOOGLETRANSLATE(D131, ""en"", ""am"")"),"21.1 ኪ.ሜ")</f>
        <v>21.1 ኪ.ሜ</v>
      </c>
      <c r="K131" s="8" t="str">
        <f>IFERROR(__xludf.DUMMYFUNCTION(" GOOGLETRANSLATE(E131, ""en"", ""am"")"),"የግማሽ ማራቶን ውድድር 21.1 ኪሎ ሜትር ርቀት ያለው ውድድር ነው።")</f>
        <v>የግማሽ ማራቶን ውድድር 21.1 ኪሎ ሜትር ርቀት ያለው ውድድር ነው።</v>
      </c>
    </row>
    <row r="132" ht="22.5" customHeight="1">
      <c r="A132" s="13">
        <v>131.0</v>
      </c>
      <c r="B132" s="14" t="s">
        <v>1324</v>
      </c>
      <c r="C132" s="14" t="s">
        <v>1325</v>
      </c>
      <c r="D132" s="14" t="s">
        <v>1326</v>
      </c>
      <c r="E132" s="14" t="s">
        <v>1327</v>
      </c>
      <c r="G132" s="8" t="str">
        <f>IFERROR(__xludf.DUMMYFUNCTION(" GOOGLETRANSLATE(A132, ""en"", ""am"")"),"131")</f>
        <v>131</v>
      </c>
      <c r="H132" s="8" t="str">
        <f>IFERROR(__xludf.DUMMYFUNCTION(" GOOGLETRANSLATE(B132, ""en"", ""am"")"),"በእሽቅድምድም ውስጥ የልብ ምት መቆጣጠሪያ ሚና ምንድነው?")</f>
        <v>በእሽቅድምድም ውስጥ የልብ ምት መቆጣጠሪያ ሚና ምንድነው?</v>
      </c>
      <c r="I132" s="8" t="str">
        <f>IFERROR(__xludf.DUMMYFUNCTION(" GOOGLETRANSLATE(C132, ""en"", ""am"")"),"ሀ/ ሯጮች የታለመላቸው ሰአት ላይ እንዲደርሱ መርዳት ለ/ በውድድር ወቅት ውሃ መስጠት ሐ. የውድድሩን ሂደት መከታተል መ.")</f>
        <v>ሀ/ ሯጮች የታለመላቸው ሰአት ላይ እንዲደርሱ መርዳት ለ/ በውድድር ወቅት ውሃ መስጠት ሐ. የውድድሩን ሂደት መከታተል መ.</v>
      </c>
      <c r="J132" s="8" t="str">
        <f>IFERROR(__xludf.DUMMYFUNCTION(" GOOGLETRANSLATE(D132, ""en"", ""am"")"),"ሯጮቹ የታለመላቸው ጊዜ ላይ እንዲደርሱ ለመርዳት")</f>
        <v>ሯጮቹ የታለመላቸው ጊዜ ላይ እንዲደርሱ ለመርዳት</v>
      </c>
      <c r="K132" s="8" t="str">
        <f>IFERROR(__xludf.DUMMYFUNCTION(" GOOGLETRANSLATE(E132, ""en"", ""am"")"),"የልብ ምት መቆጣጠሪያ ፍጥነትን ለማዘጋጀት ይረዳል እና ሯጮች የታለመላቸውን ጊዜ እንዲያሳኩ ያግዛል።")</f>
        <v>የልብ ምት መቆጣጠሪያ ፍጥነትን ለማዘጋጀት ይረዳል እና ሯጮች የታለመላቸውን ጊዜ እንዲያሳኩ ያግዛል።</v>
      </c>
    </row>
    <row r="133" ht="22.5" customHeight="1">
      <c r="A133" s="13">
        <v>132.0</v>
      </c>
      <c r="B133" s="14" t="s">
        <v>1328</v>
      </c>
      <c r="C133" s="14" t="s">
        <v>1329</v>
      </c>
      <c r="D133" s="14" t="s">
        <v>1330</v>
      </c>
      <c r="E133" s="14" t="s">
        <v>1331</v>
      </c>
      <c r="G133" s="8" t="str">
        <f>IFERROR(__xludf.DUMMYFUNCTION(" GOOGLETRANSLATE(A133, ""en"", ""am"")"),"132")</f>
        <v>132</v>
      </c>
      <c r="H133" s="8" t="str">
        <f>IFERROR(__xludf.DUMMYFUNCTION(" GOOGLETRANSLATE(B133, ""en"", ""am"")"),"የጊዜ ክፍተት ስልጠና ዋና ግብ ምንድን ነው?")</f>
        <v>የጊዜ ክፍተት ስልጠና ዋና ግብ ምንድን ነው?</v>
      </c>
      <c r="I133" s="8" t="str">
        <f>IFERROR(__xludf.DUMMYFUNCTION(" GOOGLETRANSLATE(C133, ""en"", ""am"")"),"ሀ. ፍጥነትን አሻሽል B. ጡንቻዎችን ማጠናከር ሐ. ተለዋዋጭነትን ማሻሻል መ. ፍጥነትን ማሻሻል")</f>
        <v>ሀ. ፍጥነትን አሻሽል B. ጡንቻዎችን ማጠናከር ሐ. ተለዋዋጭነትን ማሻሻል መ. ፍጥነትን ማሻሻል</v>
      </c>
      <c r="J133" s="8" t="str">
        <f>IFERROR(__xludf.DUMMYFUNCTION(" GOOGLETRANSLATE(D133, ""en"", ""am"")"),"ፍጥነትን አሻሽል።")</f>
        <v>ፍጥነትን አሻሽል።</v>
      </c>
      <c r="K133" s="8" t="str">
        <f>IFERROR(__xludf.DUMMYFUNCTION(" GOOGLETRANSLATE(E133, ""en"", ""am"")"),"የጊዜ ክፍተት ስልጠና በፈጣን እና በዝግተኛ ሩጫ መካከል በመቀያየር ፍጥነትን እና ጽናትን ለማሻሻል ያለመ ነው።")</f>
        <v>የጊዜ ክፍተት ስልጠና በፈጣን እና በዝግተኛ ሩጫ መካከል በመቀያየር ፍጥነትን እና ጽናትን ለማሻሻል ያለመ ነው።</v>
      </c>
    </row>
    <row r="134" ht="22.5" customHeight="1">
      <c r="A134" s="13">
        <v>133.0</v>
      </c>
      <c r="B134" s="14" t="s">
        <v>1332</v>
      </c>
      <c r="C134" s="14" t="s">
        <v>1333</v>
      </c>
      <c r="D134" s="14" t="s">
        <v>1049</v>
      </c>
      <c r="E134" s="14" t="s">
        <v>1334</v>
      </c>
      <c r="G134" s="8" t="str">
        <f>IFERROR(__xludf.DUMMYFUNCTION(" GOOGLETRANSLATE(A134, ""en"", ""am"")"),"133")</f>
        <v>133</v>
      </c>
      <c r="H134" s="8" t="str">
        <f>IFERROR(__xludf.DUMMYFUNCTION(" GOOGLETRANSLATE(B134, ""en"", ""am"")"),"በረጅም ርቀት ሩጫዎች ለመጠበቅ በጣም አስፈላጊው ነገር ምንድን ነው?")</f>
        <v>በረጅም ርቀት ሩጫዎች ለመጠበቅ በጣም አስፈላጊው ነገር ምንድን ነው?</v>
      </c>
      <c r="I134" s="8" t="str">
        <f>IFERROR(__xludf.DUMMYFUNCTION(" GOOGLETRANSLATE(C134, ""en"", ""am"")"),"ሀ. መንቀጥቀጥ ለ. ጥንካሬ ሐ. ጽናት። መ. መንቀጥቀጥ")</f>
        <v>ሀ. መንቀጥቀጥ ለ. ጥንካሬ ሐ. ጽናት። መ. መንቀጥቀጥ</v>
      </c>
      <c r="J134" s="8" t="str">
        <f>IFERROR(__xludf.DUMMYFUNCTION(" GOOGLETRANSLATE(D134, ""en"", ""am"")"),"መንቀጥቀጥ")</f>
        <v>መንቀጥቀጥ</v>
      </c>
      <c r="K134" s="8" t="str">
        <f>IFERROR(__xludf.DUMMYFUNCTION(" GOOGLETRANSLATE(E134, ""en"", ""am"")"),"በረዥም ርቀት ሩጫዎች ያለጊዜው ድካምን ለማስወገድ የተረጋጋ ፍጥነትን መጠበቅ ወሳኝ ነው።")</f>
        <v>በረዥም ርቀት ሩጫዎች ያለጊዜው ድካምን ለማስወገድ የተረጋጋ ፍጥነትን መጠበቅ ወሳኝ ነው።</v>
      </c>
    </row>
    <row r="135" ht="22.5" customHeight="1">
      <c r="A135" s="13">
        <v>134.0</v>
      </c>
      <c r="B135" s="14" t="s">
        <v>1335</v>
      </c>
      <c r="C135" s="14" t="s">
        <v>1336</v>
      </c>
      <c r="D135" s="14" t="s">
        <v>1337</v>
      </c>
      <c r="E135" s="14" t="s">
        <v>1338</v>
      </c>
      <c r="G135" s="8" t="str">
        <f>IFERROR(__xludf.DUMMYFUNCTION(" GOOGLETRANSLATE(A135, ""en"", ""am"")"),"134")</f>
        <v>134</v>
      </c>
      <c r="H135" s="8" t="str">
        <f>IFERROR(__xludf.DUMMYFUNCTION(" GOOGLETRANSLATE(B135, ""en"", ""am"")"),"እርጥበትን ለማሻሻል ሯጭ በሩጫ ውስጥ ምን ይጠቀማል?")</f>
        <v>እርጥበትን ለማሻሻል ሯጭ በሩጫ ውስጥ ምን ይጠቀማል?</v>
      </c>
      <c r="I135" s="8" t="str">
        <f>IFERROR(__xludf.DUMMYFUNCTION(" GOOGLETRANSLATE(C135, ""en"", ""am"")"),"ሀ. የውሃ ጣቢያዎች ለ. ካልሲዎች ሐ. የፀሐይ መከላከያ መ. የውሃ ጣቢያዎች")</f>
        <v>ሀ. የውሃ ጣቢያዎች ለ. ካልሲዎች ሐ. የፀሐይ መከላከያ መ. የውሃ ጣቢያዎች</v>
      </c>
      <c r="J135" s="8" t="str">
        <f>IFERROR(__xludf.DUMMYFUNCTION(" GOOGLETRANSLATE(D135, ""en"", ""am"")"),"የውሃ ጣቢያዎች")</f>
        <v>የውሃ ጣቢያዎች</v>
      </c>
      <c r="K135" s="8" t="str">
        <f>IFERROR(__xludf.DUMMYFUNCTION(" GOOGLETRANSLATE(E135, ""en"", ""am"")"),"በኮርሱ ላይ ያሉ የውሃ ጣቢያዎች በሩጫው ወቅት ለሯጮች የውሃ አቅርቦትን ይሰጣሉ።")</f>
        <v>በኮርሱ ላይ ያሉ የውሃ ጣቢያዎች በሩጫው ወቅት ለሯጮች የውሃ አቅርቦትን ይሰጣሉ።</v>
      </c>
    </row>
    <row r="136" ht="22.5" customHeight="1">
      <c r="A136" s="13">
        <v>135.0</v>
      </c>
      <c r="B136" s="14" t="s">
        <v>1339</v>
      </c>
      <c r="C136" s="14" t="s">
        <v>1340</v>
      </c>
      <c r="D136" s="14" t="s">
        <v>1341</v>
      </c>
      <c r="E136" s="14" t="s">
        <v>1342</v>
      </c>
      <c r="G136" s="8" t="str">
        <f>IFERROR(__xludf.DUMMYFUNCTION(" GOOGLETRANSLATE(A136, ""en"", ""am"")"),"135")</f>
        <v>135</v>
      </c>
      <c r="H136" s="8" t="str">
        <f>IFERROR(__xludf.DUMMYFUNCTION(" GOOGLETRANSLATE(B136, ""en"", ""am"")"),"ለሯጮች ተስማሚ የእርምጃ ርዝመት ምን ያህል ነው?")</f>
        <v>ለሯጮች ተስማሚ የእርምጃ ርዝመት ምን ያህል ነው?</v>
      </c>
      <c r="I136" s="8" t="str">
        <f>IFERROR(__xludf.DUMMYFUNCTION(" GOOGLETRANSLATE(C136, ""en"", ""am"")"),"ሀ. ረጅም እና ቀርፋፋ ለ. መካከለኛ ሐ. ተለዋዋጭ መ. አጭር እና ፈጣን")</f>
        <v>ሀ. ረጅም እና ቀርፋፋ ለ. መካከለኛ ሐ. ተለዋዋጭ መ. አጭር እና ፈጣን</v>
      </c>
      <c r="J136" s="8" t="str">
        <f>IFERROR(__xludf.DUMMYFUNCTION(" GOOGLETRANSLATE(D136, ""en"", ""am"")"),"አጭር እና ፈጣን")</f>
        <v>አጭር እና ፈጣን</v>
      </c>
      <c r="K136" s="8" t="str">
        <f>IFERROR(__xludf.DUMMYFUNCTION(" GOOGLETRANSLATE(E136, ""en"", ""am"")"),"Sprinters በተለምዶ ፍጥነትን እና ቅልጥፍናን ለመጨመር አጭር እና ፈጣን እርምጃዎችን ይጠቀማሉ።")</f>
        <v>Sprinters በተለምዶ ፍጥነትን እና ቅልጥፍናን ለመጨመር አጭር እና ፈጣን እርምጃዎችን ይጠቀማሉ።</v>
      </c>
    </row>
    <row r="137" ht="22.5" customHeight="1">
      <c r="A137" s="13">
        <v>136.0</v>
      </c>
      <c r="B137" s="14" t="s">
        <v>1343</v>
      </c>
      <c r="C137" s="14" t="s">
        <v>1344</v>
      </c>
      <c r="D137" s="14" t="s">
        <v>1345</v>
      </c>
      <c r="E137" s="14" t="s">
        <v>1346</v>
      </c>
      <c r="G137" s="8" t="str">
        <f>IFERROR(__xludf.DUMMYFUNCTION(" GOOGLETRANSLATE(A137, ""en"", ""am"")"),"136")</f>
        <v>136</v>
      </c>
      <c r="H137" s="8" t="str">
        <f>IFERROR(__xludf.DUMMYFUNCTION(" GOOGLETRANSLATE(B137, ""en"", ""am"")"),"አንድ ሯጭ ከእያንዳንዱ እርምጃ በኋላ እግሮቹን ወደ ኋላ ሲመታ ዘዴው ምን ይባላል?")</f>
        <v>አንድ ሯጭ ከእያንዳንዱ እርምጃ በኋላ እግሮቹን ወደ ኋላ ሲመታ ዘዴው ምን ይባላል?</v>
      </c>
      <c r="I137" s="8" t="str">
        <f>IFERROR(__xludf.DUMMYFUNCTION(" GOOGLETRANSLATE(C137, ""en"", ""am"")"),"ሀ. የተረከዝ መንዳት B. Hamtrik C. Leg lift D. Heel drive")</f>
        <v>ሀ. የተረከዝ መንዳት B. Hamtrik C. Leg lift D. Heel drive</v>
      </c>
      <c r="J137" s="8" t="str">
        <f>IFERROR(__xludf.DUMMYFUNCTION(" GOOGLETRANSLATE(D137, ""en"", ""am"")"),"ተረከዝ መንዳት")</f>
        <v>ተረከዝ መንዳት</v>
      </c>
      <c r="K137" s="8" t="str">
        <f>IFERROR(__xludf.DUMMYFUNCTION(" GOOGLETRANSLATE(E137, ""en"", ""am"")"),"ተረከዝ መንዳት ሯጮች ለተሻለ ተነሳሽነት እግራቸውን የሚረግጡበት ዘዴ ነው።")</f>
        <v>ተረከዝ መንዳት ሯጮች ለተሻለ ተነሳሽነት እግራቸውን የሚረግጡበት ዘዴ ነው።</v>
      </c>
    </row>
    <row r="138" ht="22.5" customHeight="1">
      <c r="A138" s="13">
        <v>137.0</v>
      </c>
      <c r="B138" s="14" t="s">
        <v>1347</v>
      </c>
      <c r="C138" s="14" t="s">
        <v>163</v>
      </c>
      <c r="D138" s="14" t="s">
        <v>164</v>
      </c>
      <c r="E138" s="14" t="s">
        <v>164</v>
      </c>
      <c r="G138" s="8" t="str">
        <f>IFERROR(__xludf.DUMMYFUNCTION(" GOOGLETRANSLATE(A138, ""en"", ""am"")"),"137")</f>
        <v>137</v>
      </c>
      <c r="H138" s="8" t="str">
        <f>IFERROR(__xludf.DUMMYFUNCTION(" GOOGLETRANSLATE(B138, ""en"", ""am"")"),"በመደበኛ የ110 ሜትር መሰናክል ውድድር ውስጥ ስንት መሰናክሎች አሉ?")</f>
        <v>በመደበኛ የ110 ሜትር መሰናክል ውድድር ውስጥ ስንት መሰናክሎች አሉ?</v>
      </c>
      <c r="I138" s="8" t="str">
        <f>IFERROR(__xludf.DUMMYFUNCTION(" GOOGLETRANSLATE(C138, ""en"", ""am"")"),"አ. 8 ለ 10 ሐ. 12 ዲ. 10")</f>
        <v>አ. 8 ለ 10 ሐ. 12 ዲ. 10</v>
      </c>
      <c r="J138" s="8" t="str">
        <f>IFERROR(__xludf.DUMMYFUNCTION(" GOOGLETRANSLATE(D138, ""en"", ""am"")"),"10")</f>
        <v>10</v>
      </c>
      <c r="K138" s="8" t="str">
        <f>IFERROR(__xludf.DUMMYFUNCTION(" GOOGLETRANSLATE(E138, ""en"", ""am"")"),"10")</f>
        <v>10</v>
      </c>
    </row>
    <row r="139" ht="22.5" customHeight="1">
      <c r="A139" s="13">
        <v>138.0</v>
      </c>
      <c r="B139" s="14" t="s">
        <v>1348</v>
      </c>
      <c r="C139" s="14" t="s">
        <v>1349</v>
      </c>
      <c r="D139" s="14" t="s">
        <v>1350</v>
      </c>
      <c r="E139" s="14" t="s">
        <v>1351</v>
      </c>
      <c r="G139" s="8" t="str">
        <f>IFERROR(__xludf.DUMMYFUNCTION(" GOOGLETRANSLATE(A139, ""en"", ""am"")"),"138")</f>
        <v>138</v>
      </c>
      <c r="H139" s="8" t="str">
        <f>IFERROR(__xludf.DUMMYFUNCTION(" GOOGLETRANSLATE(B139, ""en"", ""am"")"),"በሩጫ የመጀመሪያ አጋማሽ በፍጥነት መሮጥ እና በሁለተኛው ፍጥነት መቀነስ ማለት ምን ማለት ነው?")</f>
        <v>በሩጫ የመጀመሪያ አጋማሽ በፍጥነት መሮጥ እና በሁለተኛው ፍጥነት መቀነስ ማለት ምን ማለት ነው?</v>
      </c>
      <c r="I139" s="8" t="str">
        <f>IFERROR(__xludf.DUMMYFUNCTION(" GOOGLETRANSLATE(C139, ""en"", ""am"")"),"ሀ. አሉታዊ ክፍፍል ለ. እኩል ክፍፍል ሐ. ሙሉ ስሮትል D. አዎንታዊ ክፍፍል")</f>
        <v>ሀ. አሉታዊ ክፍፍል ለ. እኩል ክፍፍል ሐ. ሙሉ ስሮትል D. አዎንታዊ ክፍፍል</v>
      </c>
      <c r="J139" s="8" t="str">
        <f>IFERROR(__xludf.DUMMYFUNCTION(" GOOGLETRANSLATE(D139, ""en"", ""am"")"),"አዎንታዊ ክፍፍል")</f>
        <v>አዎንታዊ ክፍፍል</v>
      </c>
      <c r="K139" s="8" t="str">
        <f>IFERROR(__xludf.DUMMYFUNCTION(" GOOGLETRANSLATE(E139, ""en"", ""am"")"),"አዎንታዊ መለያየት የውድድሩን የመጀመሪያ አጋማሽ ከሁለተኛው አጋማሽ በበለጠ ፍጥነት መሮጥን ያመለክታል።")</f>
        <v>አዎንታዊ መለያየት የውድድሩን የመጀመሪያ አጋማሽ ከሁለተኛው አጋማሽ በበለጠ ፍጥነት መሮጥን ያመለክታል።</v>
      </c>
    </row>
    <row r="140" ht="22.5" customHeight="1">
      <c r="A140" s="13">
        <v>139.0</v>
      </c>
      <c r="B140" s="14" t="s">
        <v>1352</v>
      </c>
      <c r="C140" s="14" t="s">
        <v>1353</v>
      </c>
      <c r="D140" s="14" t="s">
        <v>1354</v>
      </c>
      <c r="E140" s="14" t="s">
        <v>1355</v>
      </c>
      <c r="G140" s="8" t="str">
        <f>IFERROR(__xludf.DUMMYFUNCTION(" GOOGLETRANSLATE(A140, ""en"", ""am"")"),"139")</f>
        <v>139</v>
      </c>
      <c r="H140" s="8" t="str">
        <f>IFERROR(__xludf.DUMMYFUNCTION(" GOOGLETRANSLATE(B140, ""en"", ""am"")"),"በአጭበርባሪዎች ላይ በጣም የተለመደው ጉዳት ምንድነው?")</f>
        <v>በአጭበርባሪዎች ላይ በጣም የተለመደው ጉዳት ምንድነው?</v>
      </c>
      <c r="I140" s="8" t="str">
        <f>IFERROR(__xludf.DUMMYFUNCTION(" GOOGLETRANSLATE(C140, ""en"", ""am"")"),"ሀ.ሃምስተር ጉዳት ቢ.የጉልበት ህመም ሐ.ሺን ስፕሊንት ዲ.ሃምስተር ጉዳት")</f>
        <v>ሀ.ሃምስተር ጉዳት ቢ.የጉልበት ህመም ሐ.ሺን ስፕሊንት ዲ.ሃምስተር ጉዳት</v>
      </c>
      <c r="J140" s="8" t="str">
        <f>IFERROR(__xludf.DUMMYFUNCTION(" GOOGLETRANSLATE(D140, ""en"", ""am"")"),"የሃምስተር ጉዳት")</f>
        <v>የሃምስተር ጉዳት</v>
      </c>
      <c r="K140" s="8" t="str">
        <f>IFERROR(__xludf.DUMMYFUNCTION(" GOOGLETRANSLATE(E140, ""en"", ""am"")"),"በከፍተኛ ኃይለኛ ሩጫ ምክንያት የ Hamstring ጉዳቶች ሯጮች የተለመዱ ናቸው።")</f>
        <v>በከፍተኛ ኃይለኛ ሩጫ ምክንያት የ Hamstring ጉዳቶች ሯጮች የተለመዱ ናቸው።</v>
      </c>
    </row>
    <row r="141" ht="22.5" customHeight="1">
      <c r="A141" s="13">
        <v>140.0</v>
      </c>
      <c r="B141" s="14" t="s">
        <v>1356</v>
      </c>
      <c r="C141" s="14" t="s">
        <v>286</v>
      </c>
      <c r="D141" s="14" t="s">
        <v>287</v>
      </c>
      <c r="E141" s="14" t="s">
        <v>287</v>
      </c>
      <c r="G141" s="8" t="str">
        <f>IFERROR(__xludf.DUMMYFUNCTION(" GOOGLETRANSLATE(A141, ""en"", ""am"")"),"140")</f>
        <v>140</v>
      </c>
      <c r="H141" s="8" t="str">
        <f>IFERROR(__xludf.DUMMYFUNCTION(" GOOGLETRANSLATE(B141, ""en"", ""am"")"),"በ1500 ሜትር ውድድር ውስጥ የዙሮች መደበኛ ቁጥር ስንት ነው?")</f>
        <v>በ1500 ሜትር ውድድር ውስጥ የዙሮች መደበኛ ቁጥር ስንት ነው?</v>
      </c>
      <c r="I141" s="8" t="str">
        <f>IFERROR(__xludf.DUMMYFUNCTION(" GOOGLETRANSLATE(C141, ""en"", ""am"")"),"አ.3 ለ 4 ሐ. 5 ዲ. 3")</f>
        <v>አ.3 ለ 4 ሐ. 5 ዲ. 3</v>
      </c>
      <c r="J141" s="8" t="str">
        <f>IFERROR(__xludf.DUMMYFUNCTION(" GOOGLETRANSLATE(D141, ""en"", ""am"")"),"3")</f>
        <v>3</v>
      </c>
      <c r="K141" s="8" t="str">
        <f>IFERROR(__xludf.DUMMYFUNCTION(" GOOGLETRANSLATE(E141, ""en"", ""am"")"),"3")</f>
        <v>3</v>
      </c>
    </row>
    <row r="142" ht="22.5" customHeight="1">
      <c r="A142" s="13">
        <v>141.0</v>
      </c>
      <c r="B142" s="14" t="s">
        <v>1357</v>
      </c>
      <c r="C142" s="14" t="s">
        <v>1358</v>
      </c>
      <c r="D142" s="14" t="s">
        <v>1310</v>
      </c>
      <c r="E142" s="14" t="s">
        <v>1359</v>
      </c>
      <c r="G142" s="8" t="str">
        <f>IFERROR(__xludf.DUMMYFUNCTION(" GOOGLETRANSLATE(A142, ""en"", ""am"")"),"141")</f>
        <v>141</v>
      </c>
      <c r="H142" s="8" t="str">
        <f>IFERROR(__xludf.DUMMYFUNCTION(" GOOGLETRANSLATE(B142, ""en"", ""am"")"),"የትኛው የሩጫ ርቀት እንደ መካከለኛ ርቀት ይቆጠራል?")</f>
        <v>የትኛው የሩጫ ርቀት እንደ መካከለኛ ርቀት ይቆጠራል?</v>
      </c>
      <c r="I142" s="8" t="str">
        <f>IFERROR(__xludf.DUMMYFUNCTION(" GOOGLETRANSLATE(C142, ""en"", ""am"")"),"አ. 800 ሜትር ለ. 400 ሜትር ሲ. 5000 ሜትር ዲ. 800 ሜትር.")</f>
        <v>አ. 800 ሜትር ለ. 400 ሜትር ሲ. 5000 ሜትር ዲ. 800 ሜትር.</v>
      </c>
      <c r="J142" s="8" t="str">
        <f>IFERROR(__xludf.DUMMYFUNCTION(" GOOGLETRANSLATE(D142, ""en"", ""am"")"),"800 ሜትር")</f>
        <v>800 ሜትር</v>
      </c>
      <c r="K142" s="8" t="str">
        <f>IFERROR(__xludf.DUMMYFUNCTION(" GOOGLETRANSLATE(E142, ""en"", ""am"")"),"የ800 ሜትር ውድድር የመካከለኛ ርቀት ውድድር ተደርጎ ይወሰዳል።")</f>
        <v>የ800 ሜትር ውድድር የመካከለኛ ርቀት ውድድር ተደርጎ ይወሰዳል።</v>
      </c>
    </row>
    <row r="143" ht="22.5" customHeight="1">
      <c r="A143" s="13">
        <v>142.0</v>
      </c>
      <c r="B143" s="14" t="s">
        <v>1360</v>
      </c>
      <c r="C143" s="14" t="s">
        <v>1361</v>
      </c>
      <c r="D143" s="14" t="s">
        <v>1362</v>
      </c>
      <c r="E143" s="14" t="s">
        <v>1363</v>
      </c>
      <c r="G143" s="8" t="str">
        <f>IFERROR(__xludf.DUMMYFUNCTION(" GOOGLETRANSLATE(A143, ""en"", ""am"")"),"142")</f>
        <v>142</v>
      </c>
      <c r="H143" s="8" t="str">
        <f>IFERROR(__xludf.DUMMYFUNCTION(" GOOGLETRANSLATE(B143, ""en"", ""am"")"),"በትራክ ሩጫ ላይ አገር አቋራጭ መሮጥ ምን ጥቅሞች አሉት?")</f>
        <v>በትራክ ሩጫ ላይ አገር አቋራጭ መሮጥ ምን ጥቅሞች አሉት?</v>
      </c>
      <c r="I143" s="8" t="str">
        <f>IFERROR(__xludf.DUMMYFUNCTION(" GOOGLETRANSLATE(C143, ""en"", ""am"")"),"ሀ. ፈጣን ጊዜ ለ. አነስተኛ ውድድር ሐ. አጫጭር ሩጫዎች መ. በመሬት አቀማመጥ ላይ ያለው ልዩነት")</f>
        <v>ሀ. ፈጣን ጊዜ ለ. አነስተኛ ውድድር ሐ. አጫጭር ሩጫዎች መ. በመሬት አቀማመጥ ላይ ያለው ልዩነት</v>
      </c>
      <c r="J143" s="8" t="str">
        <f>IFERROR(__xludf.DUMMYFUNCTION(" GOOGLETRANSLATE(D143, ""en"", ""am"")"),"ተጨማሪ የመሬት አቀማመጥ ልዩነት")</f>
        <v>ተጨማሪ የመሬት አቀማመጥ ልዩነት</v>
      </c>
      <c r="K143" s="8" t="str">
        <f>IFERROR(__xludf.DUMMYFUNCTION(" GOOGLETRANSLATE(E143, ""en"", ""am"")"),"አገር አቋራጭ ሩጫ በተለያዩ መልከዓ ምድር እና ተፈጥሯዊ መልክዓ ምድሮች ላይ በአንድ ትራክ ላይ መሮጥን ያካትታል።")</f>
        <v>አገር አቋራጭ ሩጫ በተለያዩ መልከዓ ምድር እና ተፈጥሯዊ መልክዓ ምድሮች ላይ በአንድ ትራክ ላይ መሮጥን ያካትታል።</v>
      </c>
    </row>
    <row r="144" ht="22.5" customHeight="1">
      <c r="A144" s="13">
        <v>143.0</v>
      </c>
      <c r="B144" s="14" t="s">
        <v>1364</v>
      </c>
      <c r="C144" s="14" t="s">
        <v>1365</v>
      </c>
      <c r="D144" s="14" t="s">
        <v>1366</v>
      </c>
      <c r="E144" s="14" t="s">
        <v>1367</v>
      </c>
      <c r="G144" s="8" t="str">
        <f>IFERROR(__xludf.DUMMYFUNCTION(" GOOGLETRANSLATE(A144, ""en"", ""am"")"),"143")</f>
        <v>143</v>
      </c>
      <c r="H144" s="8" t="str">
        <f>IFERROR(__xludf.DUMMYFUNCTION(" GOOGLETRANSLATE(B144, ""en"", ""am"")"),"ሯጮች ከሩጫ በፊት ምን ከማድረግ መቆጠብ አለባቸው?")</f>
        <v>ሯጮች ከሩጫ በፊት ምን ከማድረግ መቆጠብ አለባቸው?</v>
      </c>
      <c r="I144" s="8" t="str">
        <f>IFERROR(__xludf.DUMMYFUNCTION(" GOOGLETRANSLATE(C144, ""en"", ""am"")"),"ሀ. ለማስፋፋት ለ. ከባድ ምግቦችን መመገብ C. እረፍት መ. ከባድ ምግቦችን መብላት")</f>
        <v>ሀ. ለማስፋፋት ለ. ከባድ ምግቦችን መመገብ C. እረፍት መ. ከባድ ምግቦችን መብላት</v>
      </c>
      <c r="J144" s="8" t="str">
        <f>IFERROR(__xludf.DUMMYFUNCTION(" GOOGLETRANSLATE(D144, ""en"", ""am"")"),"ከባድ ምግቦችን መመገብ")</f>
        <v>ከባድ ምግቦችን መመገብ</v>
      </c>
      <c r="K144" s="8" t="str">
        <f>IFERROR(__xludf.DUMMYFUNCTION(" GOOGLETRANSLATE(E144, ""en"", ""am"")"),"ሯጮች ከሩጫው በፊት ከባድ ምግቦችን ከመመገብ መቆጠብ አለባቸው ምክንያቱም ምቾትን ያስከትላል ።")</f>
        <v>ሯጮች ከሩጫው በፊት ከባድ ምግቦችን ከመመገብ መቆጠብ አለባቸው ምክንያቱም ምቾትን ያስከትላል ።</v>
      </c>
    </row>
    <row r="145" ht="22.5" customHeight="1">
      <c r="A145" s="13">
        <v>144.0</v>
      </c>
      <c r="B145" s="14" t="s">
        <v>1368</v>
      </c>
      <c r="C145" s="14" t="s">
        <v>1369</v>
      </c>
      <c r="D145" s="14" t="s">
        <v>943</v>
      </c>
      <c r="E145" s="14" t="s">
        <v>1370</v>
      </c>
      <c r="G145" s="8" t="str">
        <f>IFERROR(__xludf.DUMMYFUNCTION(" GOOGLETRANSLATE(A145, ""en"", ""am"")"),"144")</f>
        <v>144</v>
      </c>
      <c r="H145" s="8" t="str">
        <f>IFERROR(__xludf.DUMMYFUNCTION(" GOOGLETRANSLATE(B145, ""en"", ""am"")"),"የትኛው ሩጫ በትራክ እና ሜዳ ብዙ ጊዜ 'ሰማያዊ ሪባን' ክስተት ይባላል?")</f>
        <v>የትኛው ሩጫ በትራክ እና ሜዳ ብዙ ጊዜ 'ሰማያዊ ሪባን' ክስተት ይባላል?</v>
      </c>
      <c r="I145" s="8" t="str">
        <f>IFERROR(__xludf.DUMMYFUNCTION(" GOOGLETRANSLATE(C145, ""en"", ""am"")"),"አ.ማራቶን ቢ 400 ሜትር ሲ 200 ሜትር ዲ 100 ሜትር")</f>
        <v>አ.ማራቶን ቢ 400 ሜትር ሲ 200 ሜትር ዲ 100 ሜትር</v>
      </c>
      <c r="J145" s="8" t="str">
        <f>IFERROR(__xludf.DUMMYFUNCTION(" GOOGLETRANSLATE(D145, ""en"", ""am"")"),"100 ሜትር")</f>
        <v>100 ሜትር</v>
      </c>
      <c r="K145" s="8" t="str">
        <f>IFERROR(__xludf.DUMMYFUNCTION(" GOOGLETRANSLATE(E145, ""en"", ""am"")"),"የ100 ሜትር ውድድር በትራክ እና የሜዳ የመጀመሪያ ውድድር ተደርጎ ይወሰዳል።")</f>
        <v>የ100 ሜትር ውድድር በትራክ እና የሜዳ የመጀመሪያ ውድድር ተደርጎ ይወሰዳል።</v>
      </c>
    </row>
    <row r="146" ht="22.5" customHeight="1">
      <c r="A146" s="13">
        <v>145.0</v>
      </c>
      <c r="B146" s="14" t="s">
        <v>1371</v>
      </c>
      <c r="C146" s="14" t="s">
        <v>1372</v>
      </c>
      <c r="D146" s="14" t="s">
        <v>1373</v>
      </c>
      <c r="E146" s="14" t="s">
        <v>1374</v>
      </c>
      <c r="G146" s="8" t="str">
        <f>IFERROR(__xludf.DUMMYFUNCTION(" GOOGLETRANSLATE(A146, ""en"", ""am"")"),"145")</f>
        <v>145</v>
      </c>
      <c r="H146" s="8" t="str">
        <f>IFERROR(__xludf.DUMMYFUNCTION(" GOOGLETRANSLATE(B146, ""en"", ""am"")"),"ከእነዚህ ውስጥ ሯጩን ወደፊት ለማራመድ ክንዶችን መጠቀምን የሚያካትት የሩጫ ዘዴ የትኛው ነው?")</f>
        <v>ከእነዚህ ውስጥ ሯጩን ወደፊት ለማራመድ ክንዶችን መጠቀምን የሚያካትት የሩጫ ዘዴ የትኛው ነው?</v>
      </c>
      <c r="I146" s="8" t="str">
        <f>IFERROR(__xludf.DUMMYFUNCTION(" GOOGLETRANSLATE(C146, ""en"", ""am"")"),"ሀ. በእጅ መንዳት ለ. ክብደት ማንሳት ሐ. የእግር ማወዛወዝ D. በእጅ መንዳት")</f>
        <v>ሀ. በእጅ መንዳት ለ. ክብደት ማንሳት ሐ. የእግር ማወዛወዝ D. በእጅ መንዳት</v>
      </c>
      <c r="J146" s="8" t="str">
        <f>IFERROR(__xludf.DUMMYFUNCTION(" GOOGLETRANSLATE(D146, ""en"", ""am"")"),"በእጅ መንዳት")</f>
        <v>በእጅ መንዳት</v>
      </c>
      <c r="K146" s="8" t="str">
        <f>IFERROR(__xludf.DUMMYFUNCTION(" GOOGLETRANSLATE(E146, ""en"", ""am"")"),"በእጅ መንዳት ሯጮች የበለጠ ኃይል እንዲያመነጩ እና ፍጥነት እንዲጠብቁ ይረዳል።")</f>
        <v>በእጅ መንዳት ሯጮች የበለጠ ኃይል እንዲያመነጩ እና ፍጥነት እንዲጠብቁ ይረዳል።</v>
      </c>
    </row>
    <row r="147" ht="22.5" customHeight="1">
      <c r="A147" s="13">
        <v>146.0</v>
      </c>
      <c r="B147" s="14" t="s">
        <v>1375</v>
      </c>
      <c r="C147" s="14" t="s">
        <v>1376</v>
      </c>
      <c r="D147" s="14" t="s">
        <v>1377</v>
      </c>
      <c r="E147" s="14" t="s">
        <v>1378</v>
      </c>
      <c r="G147" s="8" t="str">
        <f>IFERROR(__xludf.DUMMYFUNCTION(" GOOGLETRANSLATE(A147, ""en"", ""am"")"),"146")</f>
        <v>146</v>
      </c>
      <c r="H147" s="8" t="str">
        <f>IFERROR(__xludf.DUMMYFUNCTION(" GOOGLETRANSLATE(B147, ""en"", ""am"")"),"እንደ ሳር ወይም ቆሻሻ ባለ ለስላሳ መሬት ላይ ለመሮጥ ቃሉ ምንድ ነው?")</f>
        <v>እንደ ሳር ወይም ቆሻሻ ባለ ለስላሳ መሬት ላይ ለመሮጥ ቃሉ ምንድ ነው?</v>
      </c>
      <c r="I147" s="8" t="str">
        <f>IFERROR(__xludf.DUMMYFUNCTION(" GOOGLETRANSLATE(C147, ""en"", ""am"")"),"ሀ. አገር አቋራጭ ሩጫ ለ. መሄጃ ሩጫ ሐ. የመንገድ ውድድር D. የዱካ ሩጫ")</f>
        <v>ሀ. አገር አቋራጭ ሩጫ ለ. መሄጃ ሩጫ ሐ. የመንገድ ውድድር D. የዱካ ሩጫ</v>
      </c>
      <c r="J147" s="8" t="str">
        <f>IFERROR(__xludf.DUMMYFUNCTION(" GOOGLETRANSLATE(D147, ""en"", ""am"")"),"የዱካ ሩጫ")</f>
        <v>የዱካ ሩጫ</v>
      </c>
      <c r="K147" s="8" t="str">
        <f>IFERROR(__xludf.DUMMYFUNCTION(" GOOGLETRANSLATE(E147, ""en"", ""am"")"),"የእግረኛ መንገድ መሮጥ የሚከናወነው በተፈጥሮ ለስላሳ በሆኑ እንደ ቆሻሻ እና ሳር ባሉ ቦታዎች ላይ ነው።")</f>
        <v>የእግረኛ መንገድ መሮጥ የሚከናወነው በተፈጥሮ ለስላሳ በሆኑ እንደ ቆሻሻ እና ሳር ባሉ ቦታዎች ላይ ነው።</v>
      </c>
    </row>
    <row r="148" ht="22.5" customHeight="1">
      <c r="A148" s="13">
        <v>147.0</v>
      </c>
      <c r="B148" s="14" t="s">
        <v>1379</v>
      </c>
      <c r="C148" s="14" t="s">
        <v>1380</v>
      </c>
      <c r="D148" s="14" t="s">
        <v>1381</v>
      </c>
      <c r="E148" s="14" t="s">
        <v>1382</v>
      </c>
      <c r="G148" s="8" t="str">
        <f>IFERROR(__xludf.DUMMYFUNCTION(" GOOGLETRANSLATE(A148, ""en"", ""am"")"),"147")</f>
        <v>147</v>
      </c>
      <c r="H148" s="8" t="str">
        <f>IFERROR(__xludf.DUMMYFUNCTION(" GOOGLETRANSLATE(B148, ""en"", ""am"")"),"በጫማ ውስጥ የመሮጥ ዋና ዓላማ ምንድነው?")</f>
        <v>በጫማ ውስጥ የመሮጥ ዋና ዓላማ ምንድነው?</v>
      </c>
      <c r="I148" s="8" t="str">
        <f>IFERROR(__xludf.DUMMYFUNCTION(" GOOGLETRANSLATE(C148, ""en"", ""am"")"),"ሀ. መጽናኛ ለ. ጥበቃ ሐ. ፍጥነት ዲ. ጥበቃ")</f>
        <v>ሀ. መጽናኛ ለ. ጥበቃ ሐ. ፍጥነት ዲ. ጥበቃ</v>
      </c>
      <c r="J148" s="8" t="str">
        <f>IFERROR(__xludf.DUMMYFUNCTION(" GOOGLETRANSLATE(D148, ""en"", ""am"")"),"ጥበቃ")</f>
        <v>ጥበቃ</v>
      </c>
      <c r="K148" s="8" t="str">
        <f>IFERROR(__xludf.DUMMYFUNCTION(" GOOGLETRANSLATE(E148, ""en"", ""am"")"),"የሩጫ ጫማዎች በዋነኝነት የተነደፉት ለእግር መከላከያ እና ጉዳትን ለመከላከል ነው.")</f>
        <v>የሩጫ ጫማዎች በዋነኝነት የተነደፉት ለእግር መከላከያ እና ጉዳትን ለመከላከል ነው.</v>
      </c>
    </row>
    <row r="149" ht="22.5" customHeight="1">
      <c r="A149" s="13">
        <v>148.0</v>
      </c>
      <c r="B149" s="14" t="s">
        <v>1383</v>
      </c>
      <c r="C149" s="14" t="s">
        <v>1384</v>
      </c>
      <c r="D149" s="14" t="s">
        <v>1385</v>
      </c>
      <c r="E149" s="14" t="s">
        <v>1386</v>
      </c>
      <c r="G149" s="8" t="str">
        <f>IFERROR(__xludf.DUMMYFUNCTION(" GOOGLETRANSLATE(A149, ""en"", ""am"")"),"148")</f>
        <v>148</v>
      </c>
      <c r="H149" s="8" t="str">
        <f>IFERROR(__xludf.DUMMYFUNCTION(" GOOGLETRANSLATE(B149, ""en"", ""am"")"),"በሩጫ ውስጥ 'ፋርትሌክ' ምን ማለት ነው?")</f>
        <v>በሩጫ ውስጥ 'ፋርትሌክ' ምን ማለት ነው?</v>
      </c>
      <c r="I149" s="8" t="str">
        <f>IFERROR(__xludf.DUMMYFUNCTION(" GOOGLETRANSLATE(C149, ""en"", ""am"")"),"ሀ. የፍጥነት ቴክኒክ ለ. የርቀት ሩጫ ሐ. በመንገዶች ላይ መሮጥ መ. የኢንተርቫል የሥልጠና ዓይነት")</f>
        <v>ሀ. የፍጥነት ቴክኒክ ለ. የርቀት ሩጫ ሐ. በመንገዶች ላይ መሮጥ መ. የኢንተርቫል የሥልጠና ዓይነት</v>
      </c>
      <c r="J149" s="8" t="str">
        <f>IFERROR(__xludf.DUMMYFUNCTION(" GOOGLETRANSLATE(D149, ""en"", ""am"")"),"የጊዜ ክፍተት ስልጠና ዓይነት")</f>
        <v>የጊዜ ክፍተት ስልጠና ዓይነት</v>
      </c>
      <c r="K149" s="8" t="str">
        <f>IFERROR(__xludf.DUMMYFUNCTION(" GOOGLETRANSLATE(E149, ""en"", ""am"")"),"ፋርትሌክ በሩጫው ወቅት ጥንካሬው የሚለያይበት የጊዜ ክፍተት ስልጠና አይነት ነው።")</f>
        <v>ፋርትሌክ በሩጫው ወቅት ጥንካሬው የሚለያይበት የጊዜ ክፍተት ስልጠና አይነት ነው።</v>
      </c>
    </row>
    <row r="150" ht="22.5" customHeight="1">
      <c r="A150" s="13">
        <v>149.0</v>
      </c>
      <c r="B150" s="14" t="s">
        <v>1387</v>
      </c>
      <c r="C150" s="14" t="s">
        <v>1388</v>
      </c>
      <c r="D150" s="14" t="s">
        <v>1389</v>
      </c>
      <c r="E150" s="14" t="s">
        <v>1390</v>
      </c>
      <c r="G150" s="8" t="str">
        <f>IFERROR(__xludf.DUMMYFUNCTION(" GOOGLETRANSLATE(A150, ""en"", ""am"")"),"149")</f>
        <v>149</v>
      </c>
      <c r="H150" s="8" t="str">
        <f>IFERROR(__xludf.DUMMYFUNCTION(" GOOGLETRANSLATE(B150, ""en"", ""am"")"),"ዳገት መሮጥ ዋናው ጥቅም ምንድነው?")</f>
        <v>ዳገት መሮጥ ዋናው ጥቅም ምንድነው?</v>
      </c>
      <c r="I150" s="8" t="str">
        <f>IFERROR(__xludf.DUMMYFUNCTION(" GOOGLETRANSLATE(C150, ""en"", ""am"")"),"ሀ የተሻለ የልብና የደም ህክምና እንክብካቤ ለ. የበለጠ ፍጥነት ሐ. ዝቅተኛ ተጽእኖ መ. ጥንካሬን ይጨምራል")</f>
        <v>ሀ የተሻለ የልብና የደም ህክምና እንክብካቤ ለ. የበለጠ ፍጥነት ሐ. ዝቅተኛ ተጽእኖ መ. ጥንካሬን ይጨምራል</v>
      </c>
      <c r="J150" s="8" t="str">
        <f>IFERROR(__xludf.DUMMYFUNCTION(" GOOGLETRANSLATE(D150, ""en"", ""am"")"),"ጥንካሬን ጨምሯል")</f>
        <v>ጥንካሬን ጨምሯል</v>
      </c>
      <c r="K150" s="8" t="str">
        <f>IFERROR(__xludf.DUMMYFUNCTION(" GOOGLETRANSLATE(E150, ""en"", ""am"")"),"ሽቅብ መሮጥ በእግሮች ላይ ጥንካሬን ይፈጥራል እና አጠቃላይ ጥንካሬን ለማሻሻል ይረዳል።")</f>
        <v>ሽቅብ መሮጥ በእግሮች ላይ ጥንካሬን ይፈጥራል እና አጠቃላይ ጥንካሬን ለማሻሻል ይረዳል።</v>
      </c>
    </row>
    <row r="151" ht="22.5" customHeight="1">
      <c r="A151" s="13">
        <v>150.0</v>
      </c>
      <c r="B151" s="14" t="s">
        <v>1391</v>
      </c>
      <c r="C151" s="14" t="s">
        <v>1392</v>
      </c>
      <c r="D151" s="14" t="s">
        <v>1393</v>
      </c>
      <c r="E151" s="14" t="s">
        <v>1394</v>
      </c>
      <c r="G151" s="8" t="str">
        <f>IFERROR(__xludf.DUMMYFUNCTION(" GOOGLETRANSLATE(A151, ""en"", ""am"")"),"150")</f>
        <v>150</v>
      </c>
      <c r="H151" s="8" t="str">
        <f>IFERROR(__xludf.DUMMYFUNCTION(" GOOGLETRANSLATE(B151, ""en"", ""am"")"),"በማራቶን ውስጥ ያሉት የእርዳታ ጣቢያዎች አማካይ ቁጥር ስንት ነው?")</f>
        <v>በማራቶን ውስጥ ያሉት የእርዳታ ጣቢያዎች አማካይ ቁጥር ስንት ነው?</v>
      </c>
      <c r="I151" s="8" t="str">
        <f>IFERROR(__xludf.DUMMYFUNCTION(" GOOGLETRANSLATE(C151, ""en"", ""am"")"),"አ.10 - 15 ለ. 15-20 ሐ. 20-25 ዲ. 30-40")</f>
        <v>አ.10 - 15 ለ. 15-20 ሐ. 20-25 ዲ. 30-40</v>
      </c>
      <c r="J151" s="8" t="str">
        <f>IFERROR(__xludf.DUMMYFUNCTION(" GOOGLETRANSLATE(D151, ""en"", ""am"")"),"30-40")</f>
        <v>30-40</v>
      </c>
      <c r="K151" s="8" t="str">
        <f>IFERROR(__xludf.DUMMYFUNCTION(" GOOGLETRANSLATE(E151, ""en"", ""am"")"),"15-20")</f>
        <v>15-20</v>
      </c>
    </row>
    <row r="152" ht="22.5" customHeight="1">
      <c r="A152" s="7"/>
      <c r="B152" s="7"/>
      <c r="C152" s="7"/>
      <c r="D152" s="7"/>
      <c r="E152" s="7"/>
    </row>
    <row r="153" ht="22.5" customHeight="1">
      <c r="A153" s="7"/>
      <c r="B153" s="7"/>
      <c r="C153" s="7"/>
      <c r="D153" s="7"/>
      <c r="E153" s="7"/>
    </row>
    <row r="154" ht="22.5" customHeight="1">
      <c r="A154" s="7"/>
      <c r="B154" s="7"/>
      <c r="C154" s="7"/>
      <c r="D154" s="7"/>
      <c r="E154" s="7"/>
    </row>
    <row r="155" ht="22.5" customHeight="1">
      <c r="A155" s="7"/>
      <c r="B155" s="7"/>
      <c r="C155" s="7"/>
      <c r="D155" s="7"/>
      <c r="E155" s="7"/>
    </row>
    <row r="156" ht="22.5" customHeight="1">
      <c r="A156" s="7"/>
      <c r="B156" s="7"/>
      <c r="C156" s="7"/>
      <c r="D156" s="7"/>
      <c r="E156" s="7"/>
    </row>
    <row r="157" ht="22.5" customHeight="1">
      <c r="A157" s="7"/>
      <c r="B157" s="7"/>
      <c r="C157" s="7"/>
      <c r="D157" s="7"/>
      <c r="E157" s="7"/>
    </row>
    <row r="158" ht="22.5" customHeight="1">
      <c r="A158" s="7"/>
      <c r="B158" s="7"/>
      <c r="C158" s="7"/>
      <c r="D158" s="7"/>
      <c r="E158" s="7"/>
    </row>
    <row r="159" ht="22.5" customHeight="1">
      <c r="A159" s="7"/>
      <c r="B159" s="7"/>
      <c r="C159" s="7"/>
      <c r="D159" s="7"/>
      <c r="E159" s="7"/>
    </row>
    <row r="160" ht="22.5" customHeight="1">
      <c r="A160" s="7"/>
      <c r="B160" s="7"/>
      <c r="C160" s="7"/>
      <c r="D160" s="7"/>
      <c r="E160" s="7"/>
    </row>
    <row r="161" ht="22.5" customHeight="1">
      <c r="A161" s="7"/>
      <c r="B161" s="7"/>
      <c r="C161" s="7"/>
      <c r="D161" s="7"/>
      <c r="E161" s="7"/>
    </row>
    <row r="162" ht="22.5" customHeight="1">
      <c r="A162" s="7"/>
      <c r="B162" s="7"/>
      <c r="C162" s="7"/>
      <c r="D162" s="7"/>
      <c r="E162" s="7"/>
    </row>
    <row r="163" ht="22.5" customHeight="1">
      <c r="A163" s="7"/>
      <c r="B163" s="7"/>
      <c r="C163" s="7"/>
      <c r="D163" s="7"/>
      <c r="E163" s="7"/>
    </row>
    <row r="164" ht="22.5" customHeight="1">
      <c r="A164" s="7"/>
      <c r="B164" s="7"/>
      <c r="C164" s="7"/>
      <c r="D164" s="7"/>
      <c r="E164" s="7"/>
    </row>
    <row r="165" ht="22.5" customHeight="1">
      <c r="A165" s="7"/>
      <c r="B165" s="7"/>
      <c r="C165" s="7"/>
      <c r="D165" s="7"/>
      <c r="E165" s="7"/>
    </row>
    <row r="166" ht="22.5" customHeight="1">
      <c r="A166" s="7"/>
      <c r="B166" s="7"/>
      <c r="C166" s="7"/>
      <c r="D166" s="7"/>
      <c r="E166" s="7"/>
    </row>
    <row r="167" ht="22.5" customHeight="1">
      <c r="A167" s="7"/>
      <c r="B167" s="7"/>
      <c r="C167" s="7"/>
      <c r="D167" s="7"/>
      <c r="E167" s="7"/>
    </row>
    <row r="168" ht="22.5" customHeight="1">
      <c r="A168" s="7"/>
      <c r="B168" s="7"/>
      <c r="C168" s="7"/>
      <c r="D168" s="7"/>
      <c r="E168" s="7"/>
    </row>
    <row r="169" ht="22.5" customHeight="1">
      <c r="A169" s="7"/>
      <c r="B169" s="7"/>
      <c r="C169" s="7"/>
      <c r="D169" s="7"/>
      <c r="E169" s="7"/>
    </row>
    <row r="170" ht="22.5" customHeight="1">
      <c r="A170" s="7"/>
      <c r="B170" s="7"/>
      <c r="C170" s="7"/>
      <c r="D170" s="7"/>
      <c r="E170" s="7"/>
    </row>
    <row r="171" ht="22.5" customHeight="1">
      <c r="A171" s="7"/>
      <c r="B171" s="7"/>
      <c r="C171" s="7"/>
      <c r="D171" s="7"/>
      <c r="E171" s="7"/>
    </row>
    <row r="172" ht="22.5" customHeight="1">
      <c r="A172" s="7"/>
      <c r="B172" s="7"/>
      <c r="C172" s="7"/>
      <c r="D172" s="7"/>
      <c r="E172" s="7"/>
    </row>
    <row r="173" ht="22.5" customHeight="1">
      <c r="A173" s="7"/>
      <c r="B173" s="7"/>
      <c r="C173" s="7"/>
      <c r="D173" s="7"/>
      <c r="E173" s="7"/>
    </row>
    <row r="174" ht="22.5" customHeight="1">
      <c r="A174" s="7"/>
      <c r="B174" s="7"/>
      <c r="C174" s="7"/>
      <c r="D174" s="7"/>
      <c r="E174" s="7"/>
    </row>
    <row r="175" ht="22.5" customHeight="1">
      <c r="A175" s="7"/>
      <c r="B175" s="7"/>
      <c r="C175" s="7"/>
      <c r="D175" s="7"/>
      <c r="E175" s="7"/>
    </row>
    <row r="176" ht="22.5" customHeight="1">
      <c r="A176" s="7"/>
      <c r="B176" s="7"/>
      <c r="C176" s="7"/>
      <c r="D176" s="7"/>
      <c r="E176" s="7"/>
    </row>
    <row r="177" ht="22.5" customHeight="1">
      <c r="A177" s="7"/>
      <c r="B177" s="7"/>
      <c r="C177" s="7"/>
      <c r="D177" s="7"/>
      <c r="E177" s="7"/>
    </row>
    <row r="178" ht="22.5" customHeight="1">
      <c r="A178" s="7"/>
      <c r="B178" s="7"/>
      <c r="C178" s="7"/>
      <c r="D178" s="7"/>
      <c r="E178" s="7"/>
    </row>
    <row r="179" ht="22.5" customHeight="1">
      <c r="A179" s="7"/>
      <c r="B179" s="7"/>
      <c r="C179" s="7"/>
      <c r="D179" s="7"/>
      <c r="E179" s="7"/>
    </row>
    <row r="180" ht="22.5" customHeight="1">
      <c r="A180" s="7"/>
      <c r="B180" s="7"/>
      <c r="C180" s="7"/>
      <c r="D180" s="7"/>
      <c r="E180" s="7"/>
    </row>
    <row r="181" ht="22.5" customHeight="1">
      <c r="A181" s="7"/>
      <c r="B181" s="7"/>
      <c r="C181" s="7"/>
      <c r="D181" s="7"/>
      <c r="E181" s="7"/>
    </row>
    <row r="182" ht="22.5" customHeight="1">
      <c r="A182" s="7"/>
      <c r="B182" s="7"/>
      <c r="C182" s="7"/>
      <c r="D182" s="7"/>
      <c r="E182" s="7"/>
    </row>
    <row r="183" ht="22.5" customHeight="1">
      <c r="A183" s="7"/>
      <c r="B183" s="7"/>
      <c r="C183" s="7"/>
      <c r="D183" s="7"/>
      <c r="E183" s="7"/>
    </row>
    <row r="184" ht="22.5" customHeight="1">
      <c r="A184" s="7"/>
      <c r="B184" s="7"/>
      <c r="C184" s="7"/>
      <c r="D184" s="7"/>
      <c r="E184" s="7"/>
    </row>
    <row r="185" ht="22.5" customHeight="1">
      <c r="A185" s="7"/>
      <c r="B185" s="7"/>
      <c r="C185" s="7"/>
      <c r="D185" s="7"/>
      <c r="E185" s="7"/>
    </row>
    <row r="186" ht="22.5" customHeight="1">
      <c r="A186" s="7"/>
      <c r="B186" s="7"/>
      <c r="C186" s="7"/>
      <c r="D186" s="7"/>
      <c r="E186" s="7"/>
    </row>
    <row r="187" ht="22.5" customHeight="1">
      <c r="A187" s="7"/>
      <c r="B187" s="7"/>
      <c r="C187" s="7"/>
      <c r="D187" s="7"/>
      <c r="E187" s="7"/>
    </row>
    <row r="188" ht="22.5" customHeight="1">
      <c r="A188" s="7"/>
      <c r="B188" s="7"/>
      <c r="C188" s="7"/>
      <c r="D188" s="7"/>
      <c r="E188" s="7"/>
    </row>
    <row r="189" ht="22.5" customHeight="1">
      <c r="A189" s="7"/>
      <c r="B189" s="7"/>
      <c r="C189" s="7"/>
      <c r="D189" s="7"/>
      <c r="E189" s="7"/>
    </row>
    <row r="190" ht="22.5" customHeight="1">
      <c r="A190" s="7"/>
      <c r="B190" s="7"/>
      <c r="C190" s="7"/>
      <c r="D190" s="7"/>
      <c r="E190" s="7"/>
    </row>
    <row r="191" ht="22.5" customHeight="1">
      <c r="A191" s="7"/>
      <c r="B191" s="7"/>
      <c r="C191" s="7"/>
      <c r="D191" s="7"/>
      <c r="E191" s="7"/>
    </row>
    <row r="192" ht="22.5" customHeight="1">
      <c r="A192" s="7"/>
      <c r="B192" s="7"/>
      <c r="C192" s="7"/>
      <c r="D192" s="7"/>
      <c r="E192" s="7"/>
    </row>
    <row r="193" ht="22.5" customHeight="1">
      <c r="A193" s="7"/>
      <c r="B193" s="7"/>
      <c r="C193" s="7"/>
      <c r="D193" s="7"/>
      <c r="E193" s="7"/>
    </row>
    <row r="194" ht="22.5" customHeight="1">
      <c r="A194" s="7"/>
      <c r="B194" s="7"/>
      <c r="C194" s="7"/>
      <c r="D194" s="7"/>
      <c r="E194" s="7"/>
    </row>
    <row r="195" ht="22.5" customHeight="1">
      <c r="A195" s="7"/>
      <c r="B195" s="7"/>
      <c r="C195" s="7"/>
      <c r="D195" s="7"/>
      <c r="E195" s="7"/>
    </row>
    <row r="196" ht="22.5" customHeight="1">
      <c r="A196" s="7"/>
      <c r="B196" s="7"/>
      <c r="C196" s="7"/>
      <c r="D196" s="7"/>
      <c r="E196" s="7"/>
    </row>
    <row r="197" ht="22.5" customHeight="1">
      <c r="A197" s="7"/>
      <c r="B197" s="7"/>
      <c r="C197" s="7"/>
      <c r="D197" s="7"/>
      <c r="E197" s="7"/>
    </row>
    <row r="198" ht="22.5" customHeight="1">
      <c r="A198" s="7"/>
      <c r="B198" s="7"/>
      <c r="C198" s="7"/>
      <c r="D198" s="7"/>
      <c r="E198" s="7"/>
    </row>
    <row r="199" ht="22.5" customHeight="1">
      <c r="A199" s="7"/>
      <c r="B199" s="7"/>
      <c r="C199" s="7"/>
      <c r="D199" s="7"/>
      <c r="E199" s="7"/>
    </row>
    <row r="200" ht="22.5" customHeight="1">
      <c r="A200" s="7"/>
      <c r="B200" s="7"/>
      <c r="C200" s="7"/>
      <c r="D200" s="7"/>
      <c r="E200" s="7"/>
    </row>
    <row r="201" ht="22.5" customHeight="1">
      <c r="A201" s="7"/>
      <c r="B201" s="7"/>
      <c r="C201" s="7"/>
      <c r="D201" s="7"/>
      <c r="E201" s="7"/>
    </row>
    <row r="202" ht="22.5" customHeight="1">
      <c r="A202" s="7"/>
      <c r="B202" s="7"/>
      <c r="C202" s="7"/>
      <c r="D202" s="7"/>
      <c r="E202" s="7"/>
    </row>
    <row r="203" ht="22.5" customHeight="1">
      <c r="A203" s="7"/>
      <c r="B203" s="7"/>
      <c r="C203" s="7"/>
      <c r="D203" s="7"/>
      <c r="E203" s="7"/>
    </row>
    <row r="204" ht="22.5" customHeight="1">
      <c r="A204" s="7"/>
      <c r="B204" s="7"/>
      <c r="C204" s="7"/>
      <c r="D204" s="7"/>
      <c r="E204" s="7"/>
    </row>
    <row r="205" ht="22.5" customHeight="1">
      <c r="A205" s="7"/>
      <c r="B205" s="7"/>
      <c r="C205" s="7"/>
      <c r="D205" s="7"/>
      <c r="E205" s="7"/>
    </row>
    <row r="206" ht="22.5" customHeight="1">
      <c r="A206" s="7"/>
      <c r="B206" s="7"/>
      <c r="C206" s="7"/>
      <c r="D206" s="7"/>
      <c r="E206" s="7"/>
    </row>
    <row r="207" ht="22.5" customHeight="1">
      <c r="A207" s="7"/>
      <c r="B207" s="7"/>
      <c r="C207" s="7"/>
      <c r="D207" s="7"/>
      <c r="E207" s="7"/>
    </row>
    <row r="208" ht="22.5" customHeight="1">
      <c r="A208" s="7"/>
      <c r="B208" s="7"/>
      <c r="C208" s="7"/>
      <c r="D208" s="7"/>
      <c r="E208" s="7"/>
    </row>
    <row r="209" ht="22.5" customHeight="1">
      <c r="A209" s="7"/>
      <c r="B209" s="7"/>
      <c r="C209" s="7"/>
      <c r="D209" s="7"/>
      <c r="E209" s="7"/>
    </row>
    <row r="210" ht="22.5" customHeight="1">
      <c r="A210" s="7"/>
      <c r="B210" s="7"/>
      <c r="C210" s="7"/>
      <c r="D210" s="7"/>
      <c r="E210" s="7"/>
    </row>
    <row r="211" ht="22.5" customHeight="1">
      <c r="A211" s="7"/>
      <c r="B211" s="7"/>
      <c r="C211" s="7"/>
      <c r="D211" s="7"/>
      <c r="E211" s="7"/>
    </row>
    <row r="212" ht="22.5" customHeight="1">
      <c r="A212" s="7"/>
      <c r="B212" s="7"/>
      <c r="C212" s="7"/>
      <c r="D212" s="7"/>
      <c r="E212" s="7"/>
    </row>
    <row r="213" ht="22.5" customHeight="1">
      <c r="A213" s="7"/>
      <c r="B213" s="7"/>
      <c r="C213" s="7"/>
      <c r="D213" s="7"/>
      <c r="E213" s="7"/>
    </row>
    <row r="214" ht="22.5" customHeight="1">
      <c r="A214" s="7"/>
      <c r="B214" s="7"/>
      <c r="C214" s="7"/>
      <c r="D214" s="7"/>
      <c r="E214" s="7"/>
    </row>
    <row r="215" ht="22.5" customHeight="1">
      <c r="A215" s="7"/>
      <c r="B215" s="7"/>
      <c r="C215" s="7"/>
      <c r="D215" s="7"/>
      <c r="E215" s="7"/>
    </row>
    <row r="216" ht="22.5" customHeight="1">
      <c r="A216" s="7"/>
      <c r="B216" s="7"/>
      <c r="C216" s="7"/>
      <c r="D216" s="7"/>
      <c r="E216" s="7"/>
    </row>
    <row r="217" ht="22.5" customHeight="1">
      <c r="A217" s="7"/>
      <c r="B217" s="7"/>
      <c r="C217" s="7"/>
      <c r="D217" s="7"/>
      <c r="E217" s="7"/>
    </row>
    <row r="218" ht="22.5" customHeight="1">
      <c r="A218" s="7"/>
      <c r="B218" s="7"/>
      <c r="C218" s="7"/>
      <c r="D218" s="7"/>
      <c r="E218" s="7"/>
    </row>
    <row r="219" ht="22.5" customHeight="1">
      <c r="A219" s="7"/>
      <c r="B219" s="7"/>
      <c r="C219" s="7"/>
      <c r="D219" s="7"/>
      <c r="E219" s="7"/>
    </row>
    <row r="220" ht="22.5" customHeight="1">
      <c r="A220" s="7"/>
      <c r="B220" s="7"/>
      <c r="C220" s="7"/>
      <c r="D220" s="7"/>
      <c r="E220" s="7"/>
    </row>
    <row r="221" ht="22.5" customHeight="1">
      <c r="A221" s="7"/>
      <c r="B221" s="7"/>
      <c r="C221" s="7"/>
      <c r="D221" s="7"/>
      <c r="E221" s="7"/>
    </row>
    <row r="222" ht="22.5" customHeight="1">
      <c r="A222" s="7"/>
      <c r="B222" s="7"/>
      <c r="C222" s="7"/>
      <c r="D222" s="7"/>
      <c r="E222" s="7"/>
    </row>
    <row r="223" ht="22.5" customHeight="1">
      <c r="A223" s="7"/>
      <c r="B223" s="7"/>
      <c r="C223" s="7"/>
      <c r="D223" s="7"/>
      <c r="E223" s="7"/>
    </row>
    <row r="224" ht="22.5" customHeight="1">
      <c r="A224" s="7"/>
      <c r="B224" s="7"/>
      <c r="C224" s="7"/>
      <c r="D224" s="7"/>
      <c r="E224" s="7"/>
    </row>
    <row r="225" ht="22.5" customHeight="1">
      <c r="A225" s="7"/>
      <c r="B225" s="7"/>
      <c r="C225" s="7"/>
      <c r="D225" s="7"/>
      <c r="E225" s="7"/>
    </row>
    <row r="226" ht="22.5" customHeight="1">
      <c r="A226" s="7"/>
      <c r="B226" s="7"/>
      <c r="C226" s="7"/>
      <c r="D226" s="7"/>
      <c r="E226" s="7"/>
    </row>
    <row r="227" ht="22.5" customHeight="1">
      <c r="A227" s="7"/>
      <c r="B227" s="7"/>
      <c r="C227" s="7"/>
      <c r="D227" s="7"/>
      <c r="E227" s="7"/>
    </row>
    <row r="228" ht="22.5" customHeight="1">
      <c r="A228" s="7"/>
      <c r="B228" s="7"/>
      <c r="C228" s="7"/>
      <c r="D228" s="7"/>
      <c r="E228" s="7"/>
    </row>
    <row r="229" ht="22.5" customHeight="1">
      <c r="A229" s="7"/>
      <c r="B229" s="7"/>
      <c r="C229" s="7"/>
      <c r="D229" s="7"/>
      <c r="E229" s="7"/>
    </row>
    <row r="230" ht="22.5" customHeight="1">
      <c r="A230" s="7"/>
      <c r="B230" s="7"/>
      <c r="C230" s="7"/>
      <c r="D230" s="7"/>
      <c r="E230" s="7"/>
    </row>
    <row r="231" ht="22.5" customHeight="1">
      <c r="A231" s="7"/>
      <c r="B231" s="7"/>
      <c r="C231" s="7"/>
      <c r="D231" s="7"/>
      <c r="E231" s="7"/>
    </row>
    <row r="232" ht="22.5" customHeight="1">
      <c r="A232" s="7"/>
      <c r="B232" s="7"/>
      <c r="C232" s="7"/>
      <c r="D232" s="7"/>
      <c r="E232" s="7"/>
    </row>
    <row r="233" ht="22.5" customHeight="1">
      <c r="A233" s="7"/>
      <c r="B233" s="7"/>
      <c r="C233" s="7"/>
      <c r="D233" s="7"/>
      <c r="E233" s="7"/>
    </row>
    <row r="234" ht="22.5" customHeight="1">
      <c r="A234" s="7"/>
      <c r="B234" s="7"/>
      <c r="C234" s="7"/>
      <c r="D234" s="7"/>
      <c r="E234" s="7"/>
    </row>
    <row r="235" ht="22.5" customHeight="1">
      <c r="A235" s="7"/>
      <c r="B235" s="7"/>
      <c r="C235" s="7"/>
      <c r="D235" s="7"/>
      <c r="E235" s="7"/>
    </row>
    <row r="236" ht="22.5" customHeight="1">
      <c r="A236" s="7"/>
      <c r="B236" s="7"/>
      <c r="C236" s="7"/>
      <c r="D236" s="7"/>
      <c r="E236" s="7"/>
    </row>
    <row r="237" ht="22.5" customHeight="1">
      <c r="A237" s="7"/>
      <c r="B237" s="7"/>
      <c r="C237" s="7"/>
      <c r="D237" s="7"/>
      <c r="E237" s="7"/>
    </row>
    <row r="238" ht="22.5" customHeight="1">
      <c r="A238" s="7"/>
      <c r="B238" s="7"/>
      <c r="C238" s="7"/>
      <c r="D238" s="7"/>
      <c r="E238" s="7"/>
    </row>
    <row r="239" ht="22.5" customHeight="1">
      <c r="A239" s="7"/>
      <c r="B239" s="7"/>
      <c r="C239" s="7"/>
      <c r="D239" s="7"/>
      <c r="E239" s="7"/>
    </row>
    <row r="240" ht="22.5" customHeight="1">
      <c r="A240" s="7"/>
      <c r="B240" s="7"/>
      <c r="C240" s="7"/>
      <c r="D240" s="7"/>
      <c r="E240" s="7"/>
    </row>
    <row r="241" ht="22.5" customHeight="1">
      <c r="A241" s="7"/>
      <c r="B241" s="7"/>
      <c r="C241" s="7"/>
      <c r="D241" s="7"/>
      <c r="E241" s="7"/>
    </row>
    <row r="242" ht="22.5" customHeight="1">
      <c r="A242" s="7"/>
      <c r="B242" s="7"/>
      <c r="C242" s="7"/>
      <c r="D242" s="7"/>
      <c r="E242" s="7"/>
    </row>
    <row r="243" ht="22.5" customHeight="1">
      <c r="A243" s="7"/>
      <c r="B243" s="7"/>
      <c r="C243" s="7"/>
      <c r="D243" s="7"/>
      <c r="E243" s="7"/>
    </row>
    <row r="244" ht="22.5" customHeight="1">
      <c r="A244" s="7"/>
      <c r="B244" s="7"/>
      <c r="C244" s="7"/>
      <c r="D244" s="7"/>
      <c r="E244" s="7"/>
    </row>
    <row r="245" ht="22.5" customHeight="1">
      <c r="A245" s="7"/>
      <c r="B245" s="7"/>
      <c r="C245" s="7"/>
      <c r="D245" s="7"/>
      <c r="E245" s="7"/>
    </row>
    <row r="246" ht="22.5" customHeight="1">
      <c r="A246" s="7"/>
      <c r="B246" s="7"/>
      <c r="C246" s="7"/>
      <c r="D246" s="7"/>
      <c r="E246" s="7"/>
    </row>
    <row r="247" ht="22.5" customHeight="1">
      <c r="A247" s="7"/>
      <c r="B247" s="7"/>
      <c r="C247" s="7"/>
      <c r="D247" s="7"/>
      <c r="E247" s="7"/>
    </row>
    <row r="248" ht="22.5" customHeight="1">
      <c r="A248" s="7"/>
      <c r="B248" s="7"/>
      <c r="C248" s="7"/>
      <c r="D248" s="7"/>
      <c r="E248" s="7"/>
    </row>
    <row r="249" ht="22.5" customHeight="1">
      <c r="A249" s="7"/>
      <c r="B249" s="7"/>
      <c r="C249" s="7"/>
      <c r="D249" s="7"/>
      <c r="E249" s="7"/>
    </row>
    <row r="250" ht="22.5" customHeight="1">
      <c r="A250" s="7"/>
      <c r="B250" s="7"/>
      <c r="C250" s="7"/>
      <c r="D250" s="7"/>
      <c r="E250" s="7"/>
    </row>
    <row r="251" ht="22.5" customHeight="1">
      <c r="A251" s="7"/>
      <c r="B251" s="7"/>
      <c r="C251" s="7"/>
      <c r="D251" s="7"/>
      <c r="E251" s="7"/>
    </row>
    <row r="252" ht="22.5" customHeight="1">
      <c r="A252" s="7"/>
      <c r="B252" s="7"/>
      <c r="C252" s="7"/>
      <c r="D252" s="7"/>
      <c r="E252" s="7"/>
    </row>
    <row r="253" ht="22.5" customHeight="1">
      <c r="A253" s="7"/>
      <c r="B253" s="7"/>
      <c r="C253" s="7"/>
      <c r="D253" s="7"/>
      <c r="E253" s="7"/>
    </row>
    <row r="254" ht="22.5" customHeight="1">
      <c r="A254" s="7"/>
      <c r="B254" s="7"/>
      <c r="C254" s="7"/>
      <c r="D254" s="7"/>
      <c r="E254" s="7"/>
    </row>
    <row r="255" ht="22.5" customHeight="1">
      <c r="A255" s="7"/>
      <c r="B255" s="7"/>
      <c r="C255" s="7"/>
      <c r="D255" s="7"/>
      <c r="E255" s="7"/>
    </row>
    <row r="256" ht="22.5" customHeight="1">
      <c r="A256" s="7"/>
      <c r="B256" s="7"/>
      <c r="C256" s="7"/>
      <c r="D256" s="7"/>
      <c r="E256" s="7"/>
    </row>
    <row r="257" ht="22.5" customHeight="1">
      <c r="A257" s="7"/>
      <c r="B257" s="7"/>
      <c r="C257" s="7"/>
      <c r="D257" s="7"/>
      <c r="E257" s="7"/>
    </row>
    <row r="258" ht="22.5" customHeight="1">
      <c r="A258" s="7"/>
      <c r="B258" s="7"/>
      <c r="C258" s="7"/>
      <c r="D258" s="7"/>
      <c r="E258" s="7"/>
    </row>
    <row r="259" ht="22.5" customHeight="1">
      <c r="A259" s="7"/>
      <c r="B259" s="7"/>
      <c r="C259" s="7"/>
      <c r="D259" s="7"/>
      <c r="E259" s="7"/>
    </row>
    <row r="260" ht="22.5" customHeight="1">
      <c r="A260" s="7"/>
      <c r="B260" s="7"/>
      <c r="C260" s="7"/>
      <c r="D260" s="7"/>
      <c r="E260" s="7"/>
    </row>
    <row r="261" ht="22.5" customHeight="1">
      <c r="A261" s="7"/>
      <c r="B261" s="7"/>
      <c r="C261" s="7"/>
      <c r="D261" s="7"/>
      <c r="E261" s="7"/>
    </row>
    <row r="262" ht="22.5" customHeight="1">
      <c r="A262" s="7"/>
      <c r="B262" s="7"/>
      <c r="C262" s="7"/>
      <c r="D262" s="7"/>
      <c r="E262" s="7"/>
    </row>
    <row r="263" ht="22.5" customHeight="1">
      <c r="A263" s="7"/>
      <c r="B263" s="7"/>
      <c r="C263" s="7"/>
      <c r="D263" s="7"/>
      <c r="E263" s="7"/>
    </row>
    <row r="264" ht="22.5" customHeight="1">
      <c r="A264" s="7"/>
      <c r="B264" s="7"/>
      <c r="C264" s="7"/>
      <c r="D264" s="7"/>
      <c r="E264" s="7"/>
    </row>
    <row r="265" ht="22.5" customHeight="1">
      <c r="A265" s="7"/>
      <c r="B265" s="7"/>
      <c r="C265" s="7"/>
      <c r="D265" s="7"/>
      <c r="E265" s="7"/>
    </row>
    <row r="266" ht="22.5" customHeight="1">
      <c r="A266" s="7"/>
      <c r="B266" s="7"/>
      <c r="C266" s="7"/>
      <c r="D266" s="7"/>
      <c r="E266" s="7"/>
    </row>
    <row r="267" ht="22.5" customHeight="1">
      <c r="A267" s="7"/>
      <c r="B267" s="7"/>
      <c r="C267" s="7"/>
      <c r="D267" s="7"/>
      <c r="E267" s="7"/>
    </row>
    <row r="268" ht="22.5" customHeight="1">
      <c r="A268" s="7"/>
      <c r="B268" s="7"/>
      <c r="C268" s="7"/>
      <c r="D268" s="7"/>
      <c r="E268" s="7"/>
    </row>
    <row r="269" ht="22.5" customHeight="1">
      <c r="A269" s="7"/>
      <c r="B269" s="7"/>
      <c r="C269" s="7"/>
      <c r="D269" s="7"/>
      <c r="E269" s="7"/>
    </row>
    <row r="270" ht="22.5" customHeight="1">
      <c r="A270" s="7"/>
      <c r="B270" s="7"/>
      <c r="C270" s="7"/>
      <c r="D270" s="7"/>
      <c r="E270" s="7"/>
    </row>
    <row r="271" ht="22.5" customHeight="1">
      <c r="A271" s="7"/>
      <c r="B271" s="7"/>
      <c r="C271" s="7"/>
      <c r="D271" s="7"/>
      <c r="E271" s="7"/>
    </row>
    <row r="272" ht="22.5" customHeight="1">
      <c r="A272" s="7"/>
      <c r="B272" s="7"/>
      <c r="C272" s="7"/>
      <c r="D272" s="7"/>
      <c r="E272" s="7"/>
    </row>
    <row r="273" ht="22.5" customHeight="1">
      <c r="A273" s="7"/>
      <c r="B273" s="7"/>
      <c r="C273" s="7"/>
      <c r="D273" s="7"/>
      <c r="E273" s="7"/>
    </row>
    <row r="274" ht="22.5" customHeight="1">
      <c r="A274" s="7"/>
      <c r="B274" s="7"/>
      <c r="C274" s="7"/>
      <c r="D274" s="7"/>
      <c r="E274" s="7"/>
    </row>
    <row r="275" ht="22.5" customHeight="1">
      <c r="A275" s="7"/>
      <c r="B275" s="7"/>
      <c r="C275" s="7"/>
      <c r="D275" s="7"/>
      <c r="E275" s="7"/>
    </row>
    <row r="276" ht="22.5" customHeight="1">
      <c r="A276" s="7"/>
      <c r="B276" s="7"/>
      <c r="C276" s="7"/>
      <c r="D276" s="7"/>
      <c r="E276" s="7"/>
    </row>
    <row r="277" ht="22.5" customHeight="1">
      <c r="A277" s="7"/>
      <c r="B277" s="7"/>
      <c r="C277" s="7"/>
      <c r="D277" s="7"/>
      <c r="E277" s="7"/>
    </row>
    <row r="278" ht="22.5" customHeight="1">
      <c r="A278" s="7"/>
      <c r="B278" s="7"/>
      <c r="C278" s="7"/>
      <c r="D278" s="7"/>
      <c r="E278" s="7"/>
    </row>
    <row r="279" ht="22.5" customHeight="1">
      <c r="A279" s="7"/>
      <c r="B279" s="7"/>
      <c r="C279" s="7"/>
      <c r="D279" s="7"/>
      <c r="E279" s="7"/>
    </row>
    <row r="280" ht="22.5" customHeight="1">
      <c r="A280" s="7"/>
      <c r="B280" s="7"/>
      <c r="C280" s="7"/>
      <c r="D280" s="7"/>
      <c r="E280" s="7"/>
    </row>
    <row r="281" ht="22.5" customHeight="1">
      <c r="A281" s="7"/>
      <c r="B281" s="7"/>
      <c r="C281" s="7"/>
      <c r="D281" s="7"/>
      <c r="E281" s="7"/>
    </row>
    <row r="282" ht="22.5" customHeight="1">
      <c r="A282" s="7"/>
      <c r="B282" s="7"/>
      <c r="C282" s="7"/>
      <c r="D282" s="7"/>
      <c r="E282" s="7"/>
    </row>
    <row r="283" ht="22.5" customHeight="1">
      <c r="A283" s="7"/>
      <c r="B283" s="7"/>
      <c r="C283" s="7"/>
      <c r="D283" s="7"/>
      <c r="E283" s="7"/>
    </row>
    <row r="284" ht="22.5" customHeight="1">
      <c r="A284" s="7"/>
      <c r="B284" s="7"/>
      <c r="C284" s="7"/>
      <c r="D284" s="7"/>
      <c r="E284" s="7"/>
    </row>
    <row r="285" ht="22.5" customHeight="1">
      <c r="A285" s="7"/>
      <c r="B285" s="7"/>
      <c r="C285" s="7"/>
      <c r="D285" s="7"/>
      <c r="E285" s="7"/>
    </row>
    <row r="286" ht="22.5" customHeight="1">
      <c r="A286" s="7"/>
      <c r="B286" s="7"/>
      <c r="C286" s="7"/>
      <c r="D286" s="7"/>
      <c r="E286" s="7"/>
    </row>
    <row r="287" ht="22.5" customHeight="1">
      <c r="A287" s="7"/>
      <c r="B287" s="7"/>
      <c r="C287" s="7"/>
      <c r="D287" s="7"/>
      <c r="E287" s="7"/>
    </row>
    <row r="288" ht="22.5" customHeight="1">
      <c r="A288" s="7"/>
      <c r="B288" s="7"/>
      <c r="C288" s="7"/>
      <c r="D288" s="7"/>
      <c r="E288" s="7"/>
    </row>
    <row r="289" ht="22.5" customHeight="1">
      <c r="A289" s="7"/>
      <c r="B289" s="7"/>
      <c r="C289" s="7"/>
      <c r="D289" s="7"/>
      <c r="E289" s="7"/>
    </row>
    <row r="290" ht="22.5" customHeight="1">
      <c r="A290" s="7"/>
      <c r="B290" s="7"/>
      <c r="C290" s="7"/>
      <c r="D290" s="7"/>
      <c r="E290" s="7"/>
    </row>
    <row r="291" ht="22.5" customHeight="1">
      <c r="A291" s="7"/>
      <c r="B291" s="7"/>
      <c r="C291" s="7"/>
      <c r="D291" s="7"/>
      <c r="E291" s="7"/>
    </row>
    <row r="292" ht="22.5" customHeight="1">
      <c r="A292" s="7"/>
      <c r="B292" s="7"/>
      <c r="C292" s="7"/>
      <c r="D292" s="7"/>
      <c r="E292" s="7"/>
    </row>
    <row r="293" ht="22.5" customHeight="1">
      <c r="A293" s="7"/>
      <c r="B293" s="7"/>
      <c r="C293" s="7"/>
      <c r="D293" s="7"/>
      <c r="E293" s="7"/>
    </row>
    <row r="294" ht="22.5" customHeight="1">
      <c r="A294" s="7"/>
      <c r="B294" s="7"/>
      <c r="C294" s="7"/>
      <c r="D294" s="7"/>
      <c r="E294" s="7"/>
    </row>
    <row r="295" ht="22.5" customHeight="1">
      <c r="A295" s="7"/>
      <c r="B295" s="7"/>
      <c r="C295" s="7"/>
      <c r="D295" s="7"/>
      <c r="E295" s="7"/>
    </row>
    <row r="296" ht="22.5" customHeight="1">
      <c r="A296" s="7"/>
      <c r="B296" s="7"/>
      <c r="C296" s="7"/>
      <c r="D296" s="7"/>
      <c r="E296" s="7"/>
    </row>
    <row r="297" ht="22.5" customHeight="1">
      <c r="A297" s="7"/>
      <c r="B297" s="7"/>
      <c r="C297" s="7"/>
      <c r="D297" s="7"/>
      <c r="E297" s="7"/>
    </row>
    <row r="298" ht="22.5" customHeight="1">
      <c r="A298" s="7"/>
      <c r="B298" s="7"/>
      <c r="C298" s="7"/>
      <c r="D298" s="7"/>
      <c r="E298" s="7"/>
    </row>
    <row r="299" ht="22.5" customHeight="1">
      <c r="A299" s="7"/>
      <c r="B299" s="7"/>
      <c r="C299" s="7"/>
      <c r="D299" s="7"/>
      <c r="E299" s="7"/>
    </row>
    <row r="300" ht="22.5" customHeight="1">
      <c r="A300" s="7"/>
      <c r="B300" s="7"/>
      <c r="C300" s="7"/>
      <c r="D300" s="7"/>
      <c r="E300" s="7"/>
    </row>
    <row r="301" ht="22.5" customHeight="1">
      <c r="A301" s="7"/>
      <c r="B301" s="7"/>
      <c r="C301" s="7"/>
      <c r="D301" s="7"/>
      <c r="E301" s="7"/>
    </row>
    <row r="302" ht="22.5" customHeight="1">
      <c r="A302" s="7"/>
      <c r="B302" s="7"/>
      <c r="C302" s="7"/>
      <c r="D302" s="7"/>
      <c r="E302" s="7"/>
    </row>
    <row r="303" ht="22.5" customHeight="1">
      <c r="A303" s="7"/>
      <c r="B303" s="7"/>
      <c r="C303" s="7"/>
      <c r="D303" s="7"/>
      <c r="E303" s="7"/>
    </row>
    <row r="304" ht="22.5" customHeight="1">
      <c r="A304" s="7"/>
      <c r="B304" s="7"/>
      <c r="C304" s="7"/>
      <c r="D304" s="7"/>
      <c r="E304" s="7"/>
    </row>
    <row r="305" ht="22.5" customHeight="1">
      <c r="A305" s="7"/>
      <c r="B305" s="7"/>
      <c r="C305" s="7"/>
      <c r="D305" s="7"/>
      <c r="E305" s="7"/>
    </row>
    <row r="306" ht="22.5" customHeight="1">
      <c r="A306" s="7"/>
      <c r="B306" s="7"/>
      <c r="C306" s="7"/>
      <c r="D306" s="7"/>
      <c r="E306" s="7"/>
    </row>
    <row r="307" ht="22.5" customHeight="1">
      <c r="A307" s="7"/>
      <c r="B307" s="7"/>
      <c r="C307" s="7"/>
      <c r="D307" s="7"/>
      <c r="E307" s="7"/>
    </row>
    <row r="308" ht="22.5" customHeight="1">
      <c r="A308" s="7"/>
      <c r="B308" s="7"/>
      <c r="C308" s="7"/>
      <c r="D308" s="7"/>
      <c r="E308" s="7"/>
    </row>
    <row r="309" ht="22.5" customHeight="1">
      <c r="A309" s="7"/>
      <c r="B309" s="7"/>
      <c r="C309" s="7"/>
      <c r="D309" s="7"/>
      <c r="E309" s="7"/>
    </row>
    <row r="310" ht="22.5" customHeight="1">
      <c r="A310" s="7"/>
      <c r="B310" s="7"/>
      <c r="C310" s="7"/>
      <c r="D310" s="7"/>
      <c r="E310" s="7"/>
    </row>
    <row r="311" ht="22.5" customHeight="1">
      <c r="A311" s="7"/>
      <c r="B311" s="7"/>
      <c r="C311" s="7"/>
      <c r="D311" s="7"/>
      <c r="E311" s="7"/>
    </row>
    <row r="312" ht="22.5" customHeight="1">
      <c r="A312" s="7"/>
      <c r="B312" s="7"/>
      <c r="C312" s="7"/>
      <c r="D312" s="7"/>
      <c r="E312" s="7"/>
    </row>
    <row r="313" ht="22.5" customHeight="1">
      <c r="A313" s="7"/>
      <c r="B313" s="7"/>
      <c r="C313" s="7"/>
      <c r="D313" s="7"/>
      <c r="E313" s="7"/>
    </row>
    <row r="314" ht="22.5" customHeight="1">
      <c r="A314" s="7"/>
      <c r="B314" s="7"/>
      <c r="C314" s="7"/>
      <c r="D314" s="7"/>
      <c r="E314" s="7"/>
    </row>
    <row r="315" ht="22.5" customHeight="1">
      <c r="A315" s="7"/>
      <c r="B315" s="7"/>
      <c r="C315" s="7"/>
      <c r="D315" s="7"/>
      <c r="E315" s="7"/>
    </row>
    <row r="316" ht="22.5" customHeight="1">
      <c r="A316" s="7"/>
      <c r="B316" s="7"/>
      <c r="C316" s="7"/>
      <c r="D316" s="7"/>
      <c r="E316" s="7"/>
    </row>
    <row r="317" ht="22.5" customHeight="1">
      <c r="A317" s="7"/>
      <c r="B317" s="7"/>
      <c r="C317" s="7"/>
      <c r="D317" s="7"/>
      <c r="E317" s="7"/>
    </row>
    <row r="318" ht="22.5" customHeight="1">
      <c r="A318" s="7"/>
      <c r="B318" s="7"/>
      <c r="C318" s="7"/>
      <c r="D318" s="7"/>
      <c r="E318" s="7"/>
    </row>
    <row r="319" ht="22.5" customHeight="1">
      <c r="A319" s="7"/>
      <c r="B319" s="7"/>
      <c r="C319" s="7"/>
      <c r="D319" s="7"/>
      <c r="E319" s="7"/>
    </row>
    <row r="320" ht="22.5" customHeight="1">
      <c r="A320" s="7"/>
      <c r="B320" s="7"/>
      <c r="C320" s="7"/>
      <c r="D320" s="7"/>
      <c r="E320" s="7"/>
    </row>
    <row r="321" ht="22.5" customHeight="1">
      <c r="A321" s="7"/>
      <c r="B321" s="7"/>
      <c r="C321" s="7"/>
      <c r="D321" s="7"/>
      <c r="E321" s="7"/>
    </row>
    <row r="322" ht="22.5" customHeight="1">
      <c r="A322" s="7"/>
      <c r="B322" s="7"/>
      <c r="C322" s="7"/>
      <c r="D322" s="7"/>
      <c r="E322" s="7"/>
    </row>
    <row r="323" ht="22.5" customHeight="1">
      <c r="A323" s="7"/>
      <c r="B323" s="7"/>
      <c r="C323" s="7"/>
      <c r="D323" s="7"/>
      <c r="E323" s="7"/>
    </row>
    <row r="324" ht="22.5" customHeight="1">
      <c r="A324" s="7"/>
      <c r="B324" s="7"/>
      <c r="C324" s="7"/>
      <c r="D324" s="7"/>
      <c r="E324" s="7"/>
    </row>
    <row r="325" ht="22.5" customHeight="1">
      <c r="A325" s="7"/>
      <c r="B325" s="7"/>
      <c r="C325" s="7"/>
      <c r="D325" s="7"/>
      <c r="E325" s="7"/>
    </row>
    <row r="326" ht="22.5" customHeight="1">
      <c r="A326" s="7"/>
      <c r="B326" s="7"/>
      <c r="C326" s="7"/>
      <c r="D326" s="7"/>
      <c r="E326" s="7"/>
    </row>
    <row r="327" ht="22.5" customHeight="1">
      <c r="A327" s="7"/>
      <c r="B327" s="7"/>
      <c r="C327" s="7"/>
      <c r="D327" s="7"/>
      <c r="E327" s="7"/>
    </row>
    <row r="328" ht="22.5" customHeight="1">
      <c r="A328" s="7"/>
      <c r="B328" s="7"/>
      <c r="C328" s="7"/>
      <c r="D328" s="7"/>
      <c r="E328" s="7"/>
    </row>
    <row r="329" ht="22.5" customHeight="1">
      <c r="A329" s="7"/>
      <c r="B329" s="7"/>
      <c r="C329" s="7"/>
      <c r="D329" s="7"/>
      <c r="E329" s="7"/>
    </row>
    <row r="330" ht="22.5" customHeight="1">
      <c r="A330" s="7"/>
      <c r="B330" s="7"/>
      <c r="C330" s="7"/>
      <c r="D330" s="7"/>
      <c r="E330" s="7"/>
    </row>
    <row r="331" ht="22.5" customHeight="1">
      <c r="A331" s="7"/>
      <c r="B331" s="7"/>
      <c r="C331" s="7"/>
      <c r="D331" s="7"/>
      <c r="E331" s="7"/>
    </row>
    <row r="332" ht="22.5" customHeight="1">
      <c r="A332" s="7"/>
      <c r="B332" s="7"/>
      <c r="C332" s="7"/>
      <c r="D332" s="7"/>
      <c r="E332" s="7"/>
    </row>
    <row r="333" ht="22.5" customHeight="1">
      <c r="A333" s="7"/>
      <c r="B333" s="7"/>
      <c r="C333" s="7"/>
      <c r="D333" s="7"/>
      <c r="E333" s="7"/>
    </row>
    <row r="334" ht="22.5" customHeight="1">
      <c r="A334" s="7"/>
      <c r="B334" s="7"/>
      <c r="C334" s="7"/>
      <c r="D334" s="7"/>
      <c r="E334" s="7"/>
    </row>
    <row r="335" ht="22.5" customHeight="1">
      <c r="A335" s="7"/>
      <c r="B335" s="7"/>
      <c r="C335" s="7"/>
      <c r="D335" s="7"/>
      <c r="E335" s="7"/>
    </row>
    <row r="336" ht="22.5" customHeight="1">
      <c r="A336" s="7"/>
      <c r="B336" s="7"/>
      <c r="C336" s="7"/>
      <c r="D336" s="7"/>
      <c r="E336" s="7"/>
    </row>
    <row r="337" ht="22.5" customHeight="1">
      <c r="A337" s="7"/>
      <c r="B337" s="7"/>
      <c r="C337" s="7"/>
      <c r="D337" s="7"/>
      <c r="E337" s="7"/>
    </row>
    <row r="338" ht="22.5" customHeight="1">
      <c r="A338" s="7"/>
      <c r="B338" s="7"/>
      <c r="C338" s="7"/>
      <c r="D338" s="7"/>
      <c r="E338" s="7"/>
    </row>
    <row r="339" ht="22.5" customHeight="1">
      <c r="A339" s="7"/>
      <c r="B339" s="7"/>
      <c r="C339" s="7"/>
      <c r="D339" s="7"/>
      <c r="E339" s="7"/>
    </row>
    <row r="340" ht="22.5" customHeight="1">
      <c r="A340" s="7"/>
      <c r="B340" s="7"/>
      <c r="C340" s="7"/>
      <c r="D340" s="7"/>
      <c r="E340" s="7"/>
    </row>
    <row r="341" ht="22.5" customHeight="1">
      <c r="A341" s="7"/>
      <c r="B341" s="7"/>
      <c r="C341" s="7"/>
      <c r="D341" s="7"/>
      <c r="E341" s="7"/>
    </row>
    <row r="342" ht="22.5" customHeight="1">
      <c r="A342" s="7"/>
      <c r="B342" s="7"/>
      <c r="C342" s="7"/>
      <c r="D342" s="7"/>
      <c r="E342" s="7"/>
    </row>
    <row r="343" ht="22.5" customHeight="1">
      <c r="A343" s="7"/>
      <c r="B343" s="7"/>
      <c r="C343" s="7"/>
      <c r="D343" s="7"/>
      <c r="E343" s="7"/>
    </row>
    <row r="344" ht="22.5" customHeight="1">
      <c r="A344" s="7"/>
      <c r="B344" s="7"/>
      <c r="C344" s="7"/>
      <c r="D344" s="7"/>
      <c r="E344" s="7"/>
    </row>
    <row r="345" ht="22.5" customHeight="1">
      <c r="A345" s="7"/>
      <c r="B345" s="7"/>
      <c r="C345" s="7"/>
      <c r="D345" s="7"/>
      <c r="E345" s="7"/>
    </row>
    <row r="346" ht="22.5" customHeight="1">
      <c r="A346" s="7"/>
      <c r="B346" s="7"/>
      <c r="C346" s="7"/>
      <c r="D346" s="7"/>
      <c r="E346" s="7"/>
    </row>
    <row r="347" ht="22.5" customHeight="1">
      <c r="A347" s="7"/>
      <c r="B347" s="7"/>
      <c r="C347" s="7"/>
      <c r="D347" s="7"/>
      <c r="E347" s="7"/>
    </row>
    <row r="348" ht="22.5" customHeight="1">
      <c r="A348" s="7"/>
      <c r="B348" s="7"/>
      <c r="C348" s="7"/>
      <c r="D348" s="7"/>
      <c r="E348" s="7"/>
    </row>
    <row r="349" ht="22.5" customHeight="1">
      <c r="A349" s="7"/>
      <c r="B349" s="7"/>
      <c r="C349" s="7"/>
      <c r="D349" s="7"/>
      <c r="E349" s="7"/>
    </row>
    <row r="350" ht="22.5" customHeight="1">
      <c r="A350" s="7"/>
      <c r="B350" s="7"/>
      <c r="C350" s="7"/>
      <c r="D350" s="7"/>
      <c r="E350" s="7"/>
    </row>
    <row r="351" ht="22.5" customHeight="1">
      <c r="A351" s="7"/>
      <c r="B351" s="7"/>
      <c r="C351" s="7"/>
      <c r="D351" s="7"/>
      <c r="E351" s="7"/>
    </row>
    <row r="352" ht="22.5" customHeight="1">
      <c r="A352" s="7"/>
      <c r="B352" s="7"/>
      <c r="C352" s="7"/>
      <c r="D352" s="7"/>
      <c r="E352" s="7"/>
    </row>
    <row r="353" ht="22.5" customHeight="1">
      <c r="A353" s="7"/>
      <c r="B353" s="7"/>
      <c r="C353" s="7"/>
      <c r="D353" s="7"/>
      <c r="E353" s="7"/>
    </row>
    <row r="354" ht="22.5" customHeight="1">
      <c r="A354" s="7"/>
      <c r="B354" s="7"/>
      <c r="C354" s="7"/>
      <c r="D354" s="7"/>
      <c r="E354" s="7"/>
    </row>
    <row r="355" ht="22.5" customHeight="1">
      <c r="A355" s="7"/>
      <c r="B355" s="7"/>
      <c r="C355" s="7"/>
      <c r="D355" s="7"/>
      <c r="E355" s="7"/>
    </row>
    <row r="356" ht="22.5" customHeight="1">
      <c r="A356" s="7"/>
      <c r="B356" s="7"/>
      <c r="C356" s="7"/>
      <c r="D356" s="7"/>
      <c r="E356" s="7"/>
    </row>
    <row r="357" ht="22.5" customHeight="1">
      <c r="A357" s="7"/>
      <c r="B357" s="7"/>
      <c r="C357" s="7"/>
      <c r="D357" s="7"/>
      <c r="E357" s="7"/>
    </row>
    <row r="358" ht="22.5" customHeight="1">
      <c r="A358" s="7"/>
      <c r="B358" s="7"/>
      <c r="C358" s="7"/>
      <c r="D358" s="7"/>
      <c r="E358" s="7"/>
    </row>
    <row r="359" ht="22.5" customHeight="1">
      <c r="A359" s="7"/>
      <c r="B359" s="7"/>
      <c r="C359" s="7"/>
      <c r="D359" s="7"/>
      <c r="E359" s="7"/>
    </row>
    <row r="360" ht="22.5" customHeight="1">
      <c r="A360" s="7"/>
      <c r="B360" s="7"/>
      <c r="C360" s="7"/>
      <c r="D360" s="7"/>
      <c r="E360" s="7"/>
    </row>
    <row r="361" ht="22.5" customHeight="1">
      <c r="A361" s="7"/>
      <c r="B361" s="7"/>
      <c r="C361" s="7"/>
      <c r="D361" s="7"/>
      <c r="E361" s="7"/>
    </row>
    <row r="362" ht="22.5" customHeight="1">
      <c r="A362" s="7"/>
      <c r="B362" s="7"/>
      <c r="C362" s="7"/>
      <c r="D362" s="7"/>
      <c r="E362" s="7"/>
    </row>
    <row r="363" ht="22.5" customHeight="1">
      <c r="A363" s="7"/>
      <c r="B363" s="7"/>
      <c r="C363" s="7"/>
      <c r="D363" s="7"/>
      <c r="E363" s="7"/>
    </row>
    <row r="364" ht="22.5" customHeight="1">
      <c r="A364" s="7"/>
      <c r="B364" s="7"/>
      <c r="C364" s="7"/>
      <c r="D364" s="7"/>
      <c r="E364" s="7"/>
    </row>
    <row r="365" ht="22.5" customHeight="1">
      <c r="A365" s="7"/>
      <c r="B365" s="7"/>
      <c r="C365" s="7"/>
      <c r="D365" s="7"/>
      <c r="E365" s="7"/>
    </row>
    <row r="366" ht="22.5" customHeight="1">
      <c r="A366" s="7"/>
      <c r="B366" s="7"/>
      <c r="C366" s="7"/>
      <c r="D366" s="7"/>
      <c r="E366" s="7"/>
    </row>
    <row r="367" ht="22.5" customHeight="1">
      <c r="A367" s="7"/>
      <c r="B367" s="7"/>
      <c r="C367" s="7"/>
      <c r="D367" s="7"/>
      <c r="E367" s="7"/>
    </row>
    <row r="368" ht="22.5" customHeight="1">
      <c r="A368" s="7"/>
      <c r="B368" s="7"/>
      <c r="C368" s="7"/>
      <c r="D368" s="7"/>
      <c r="E368" s="7"/>
    </row>
    <row r="369" ht="22.5" customHeight="1">
      <c r="A369" s="7"/>
      <c r="B369" s="7"/>
      <c r="C369" s="7"/>
      <c r="D369" s="7"/>
      <c r="E369" s="7"/>
    </row>
    <row r="370" ht="22.5" customHeight="1">
      <c r="A370" s="7"/>
      <c r="B370" s="7"/>
      <c r="C370" s="7"/>
      <c r="D370" s="7"/>
      <c r="E370" s="7"/>
    </row>
    <row r="371" ht="22.5" customHeight="1">
      <c r="A371" s="7"/>
      <c r="B371" s="7"/>
      <c r="C371" s="7"/>
      <c r="D371" s="7"/>
      <c r="E371" s="7"/>
    </row>
    <row r="372" ht="22.5" customHeight="1">
      <c r="A372" s="7"/>
      <c r="B372" s="7"/>
      <c r="C372" s="7"/>
      <c r="D372" s="7"/>
      <c r="E372" s="7"/>
    </row>
    <row r="373" ht="22.5" customHeight="1">
      <c r="A373" s="7"/>
      <c r="B373" s="7"/>
      <c r="C373" s="7"/>
      <c r="D373" s="7"/>
      <c r="E373" s="7"/>
    </row>
    <row r="374" ht="22.5" customHeight="1">
      <c r="A374" s="7"/>
      <c r="B374" s="7"/>
      <c r="C374" s="7"/>
      <c r="D374" s="7"/>
      <c r="E374" s="7"/>
    </row>
    <row r="375" ht="22.5" customHeight="1">
      <c r="A375" s="7"/>
      <c r="B375" s="7"/>
      <c r="C375" s="7"/>
      <c r="D375" s="7"/>
      <c r="E375" s="7"/>
    </row>
    <row r="376" ht="22.5" customHeight="1">
      <c r="A376" s="7"/>
      <c r="B376" s="7"/>
      <c r="C376" s="7"/>
      <c r="D376" s="7"/>
      <c r="E376" s="7"/>
    </row>
    <row r="377" ht="22.5" customHeight="1">
      <c r="A377" s="7"/>
      <c r="B377" s="7"/>
      <c r="C377" s="7"/>
      <c r="D377" s="7"/>
      <c r="E377" s="7"/>
    </row>
    <row r="378" ht="22.5" customHeight="1">
      <c r="A378" s="7"/>
      <c r="B378" s="7"/>
      <c r="C378" s="7"/>
      <c r="D378" s="7"/>
      <c r="E378" s="7"/>
    </row>
    <row r="379" ht="22.5" customHeight="1">
      <c r="A379" s="7"/>
      <c r="B379" s="7"/>
      <c r="C379" s="7"/>
      <c r="D379" s="7"/>
      <c r="E379" s="7"/>
    </row>
    <row r="380" ht="22.5" customHeight="1">
      <c r="A380" s="7"/>
      <c r="B380" s="7"/>
      <c r="C380" s="7"/>
      <c r="D380" s="7"/>
      <c r="E380" s="7"/>
    </row>
    <row r="381" ht="22.5" customHeight="1">
      <c r="A381" s="7"/>
      <c r="B381" s="7"/>
      <c r="C381" s="7"/>
      <c r="D381" s="7"/>
      <c r="E381" s="7"/>
    </row>
    <row r="382" ht="22.5" customHeight="1">
      <c r="A382" s="7"/>
      <c r="B382" s="7"/>
      <c r="C382" s="7"/>
      <c r="D382" s="7"/>
      <c r="E382" s="7"/>
    </row>
    <row r="383" ht="22.5" customHeight="1">
      <c r="A383" s="7"/>
      <c r="B383" s="7"/>
      <c r="C383" s="7"/>
      <c r="D383" s="7"/>
      <c r="E383" s="7"/>
    </row>
    <row r="384" ht="22.5" customHeight="1">
      <c r="A384" s="7"/>
      <c r="B384" s="7"/>
      <c r="C384" s="7"/>
      <c r="D384" s="7"/>
      <c r="E384" s="7"/>
    </row>
    <row r="385" ht="22.5" customHeight="1">
      <c r="A385" s="7"/>
      <c r="B385" s="7"/>
      <c r="C385" s="7"/>
      <c r="D385" s="7"/>
      <c r="E385" s="7"/>
    </row>
    <row r="386" ht="22.5" customHeight="1">
      <c r="A386" s="7"/>
      <c r="B386" s="7"/>
      <c r="C386" s="7"/>
      <c r="D386" s="7"/>
      <c r="E386" s="7"/>
    </row>
    <row r="387" ht="22.5" customHeight="1">
      <c r="A387" s="7"/>
      <c r="B387" s="7"/>
      <c r="C387" s="7"/>
      <c r="D387" s="7"/>
      <c r="E387" s="7"/>
    </row>
    <row r="388" ht="22.5" customHeight="1">
      <c r="A388" s="7"/>
      <c r="B388" s="7"/>
      <c r="C388" s="7"/>
      <c r="D388" s="7"/>
      <c r="E388" s="7"/>
    </row>
    <row r="389" ht="22.5" customHeight="1">
      <c r="A389" s="7"/>
      <c r="B389" s="7"/>
      <c r="C389" s="7"/>
      <c r="D389" s="7"/>
      <c r="E389" s="7"/>
    </row>
    <row r="390" ht="22.5" customHeight="1">
      <c r="A390" s="7"/>
      <c r="B390" s="7"/>
      <c r="C390" s="7"/>
      <c r="D390" s="7"/>
      <c r="E390" s="7"/>
    </row>
    <row r="391" ht="22.5" customHeight="1">
      <c r="A391" s="7"/>
      <c r="B391" s="7"/>
      <c r="C391" s="7"/>
      <c r="D391" s="7"/>
      <c r="E391" s="7"/>
    </row>
    <row r="392" ht="22.5" customHeight="1">
      <c r="A392" s="7"/>
      <c r="B392" s="7"/>
      <c r="C392" s="7"/>
      <c r="D392" s="7"/>
      <c r="E392" s="7"/>
    </row>
    <row r="393" ht="22.5" customHeight="1">
      <c r="A393" s="7"/>
      <c r="B393" s="7"/>
      <c r="C393" s="7"/>
      <c r="D393" s="7"/>
      <c r="E393" s="7"/>
    </row>
    <row r="394" ht="22.5" customHeight="1">
      <c r="A394" s="7"/>
      <c r="B394" s="7"/>
      <c r="C394" s="7"/>
      <c r="D394" s="7"/>
      <c r="E394" s="7"/>
    </row>
    <row r="395" ht="22.5" customHeight="1">
      <c r="A395" s="7"/>
      <c r="B395" s="7"/>
      <c r="C395" s="7"/>
      <c r="D395" s="7"/>
      <c r="E395" s="7"/>
    </row>
    <row r="396" ht="22.5" customHeight="1">
      <c r="A396" s="7"/>
      <c r="B396" s="7"/>
      <c r="C396" s="7"/>
      <c r="D396" s="7"/>
      <c r="E396" s="7"/>
    </row>
    <row r="397" ht="22.5" customHeight="1">
      <c r="A397" s="7"/>
      <c r="B397" s="7"/>
      <c r="C397" s="7"/>
      <c r="D397" s="7"/>
      <c r="E397" s="7"/>
    </row>
    <row r="398" ht="22.5" customHeight="1">
      <c r="A398" s="7"/>
      <c r="B398" s="7"/>
      <c r="C398" s="7"/>
      <c r="D398" s="7"/>
      <c r="E398" s="7"/>
    </row>
    <row r="399" ht="22.5" customHeight="1">
      <c r="A399" s="7"/>
      <c r="B399" s="7"/>
      <c r="C399" s="7"/>
      <c r="D399" s="7"/>
      <c r="E399" s="7"/>
    </row>
    <row r="400" ht="22.5" customHeight="1">
      <c r="A400" s="7"/>
      <c r="B400" s="7"/>
      <c r="C400" s="7"/>
      <c r="D400" s="7"/>
      <c r="E400" s="7"/>
    </row>
    <row r="401" ht="22.5" customHeight="1">
      <c r="A401" s="7"/>
      <c r="B401" s="7"/>
      <c r="C401" s="7"/>
      <c r="D401" s="7"/>
      <c r="E401" s="7"/>
    </row>
    <row r="402" ht="22.5" customHeight="1">
      <c r="A402" s="7"/>
      <c r="B402" s="7"/>
      <c r="C402" s="7"/>
      <c r="D402" s="7"/>
      <c r="E402" s="7"/>
    </row>
    <row r="403" ht="22.5" customHeight="1">
      <c r="A403" s="7"/>
      <c r="B403" s="7"/>
      <c r="C403" s="7"/>
      <c r="D403" s="7"/>
      <c r="E403" s="7"/>
    </row>
    <row r="404" ht="22.5" customHeight="1">
      <c r="A404" s="7"/>
      <c r="B404" s="7"/>
      <c r="C404" s="7"/>
      <c r="D404" s="7"/>
      <c r="E404" s="7"/>
    </row>
    <row r="405" ht="22.5" customHeight="1">
      <c r="A405" s="7"/>
      <c r="B405" s="7"/>
      <c r="C405" s="7"/>
      <c r="D405" s="7"/>
      <c r="E405" s="7"/>
    </row>
    <row r="406" ht="22.5" customHeight="1">
      <c r="A406" s="7"/>
      <c r="B406" s="7"/>
      <c r="C406" s="7"/>
      <c r="D406" s="7"/>
      <c r="E406" s="7"/>
    </row>
    <row r="407" ht="22.5" customHeight="1">
      <c r="A407" s="7"/>
      <c r="B407" s="7"/>
      <c r="C407" s="7"/>
      <c r="D407" s="7"/>
      <c r="E407" s="7"/>
    </row>
    <row r="408" ht="22.5" customHeight="1">
      <c r="A408" s="7"/>
      <c r="B408" s="7"/>
      <c r="C408" s="7"/>
      <c r="D408" s="7"/>
      <c r="E408" s="7"/>
    </row>
    <row r="409" ht="22.5" customHeight="1">
      <c r="A409" s="7"/>
      <c r="B409" s="7"/>
      <c r="C409" s="7"/>
      <c r="D409" s="7"/>
      <c r="E409" s="7"/>
    </row>
    <row r="410" ht="22.5" customHeight="1">
      <c r="A410" s="7"/>
      <c r="B410" s="7"/>
      <c r="C410" s="7"/>
      <c r="D410" s="7"/>
      <c r="E410" s="7"/>
    </row>
    <row r="411" ht="22.5" customHeight="1">
      <c r="A411" s="7"/>
      <c r="B411" s="7"/>
      <c r="C411" s="7"/>
      <c r="D411" s="7"/>
      <c r="E411" s="7"/>
    </row>
    <row r="412" ht="22.5" customHeight="1">
      <c r="A412" s="7"/>
      <c r="B412" s="7"/>
      <c r="C412" s="7"/>
      <c r="D412" s="7"/>
      <c r="E412" s="7"/>
    </row>
    <row r="413" ht="22.5" customHeight="1">
      <c r="A413" s="7"/>
      <c r="B413" s="7"/>
      <c r="C413" s="7"/>
      <c r="D413" s="7"/>
      <c r="E413" s="7"/>
    </row>
    <row r="414" ht="22.5" customHeight="1">
      <c r="A414" s="7"/>
      <c r="B414" s="7"/>
      <c r="C414" s="7"/>
      <c r="D414" s="7"/>
      <c r="E414" s="7"/>
    </row>
    <row r="415" ht="22.5" customHeight="1">
      <c r="A415" s="7"/>
      <c r="B415" s="7"/>
      <c r="C415" s="7"/>
      <c r="D415" s="7"/>
      <c r="E415" s="7"/>
    </row>
    <row r="416" ht="22.5" customHeight="1">
      <c r="A416" s="7"/>
      <c r="B416" s="7"/>
      <c r="C416" s="7"/>
      <c r="D416" s="7"/>
      <c r="E416" s="7"/>
    </row>
    <row r="417" ht="22.5" customHeight="1">
      <c r="A417" s="7"/>
      <c r="B417" s="7"/>
      <c r="C417" s="7"/>
      <c r="D417" s="7"/>
      <c r="E417" s="7"/>
    </row>
    <row r="418" ht="22.5" customHeight="1">
      <c r="A418" s="7"/>
      <c r="B418" s="7"/>
      <c r="C418" s="7"/>
      <c r="D418" s="7"/>
      <c r="E418" s="7"/>
    </row>
    <row r="419" ht="22.5" customHeight="1">
      <c r="A419" s="7"/>
      <c r="B419" s="7"/>
      <c r="C419" s="7"/>
      <c r="D419" s="7"/>
      <c r="E419" s="7"/>
    </row>
    <row r="420" ht="22.5" customHeight="1">
      <c r="A420" s="7"/>
      <c r="B420" s="7"/>
      <c r="C420" s="7"/>
      <c r="D420" s="7"/>
      <c r="E420" s="7"/>
    </row>
    <row r="421" ht="22.5" customHeight="1">
      <c r="A421" s="7"/>
      <c r="B421" s="7"/>
      <c r="C421" s="7"/>
      <c r="D421" s="7"/>
      <c r="E421" s="7"/>
    </row>
    <row r="422" ht="22.5" customHeight="1">
      <c r="A422" s="7"/>
      <c r="B422" s="7"/>
      <c r="C422" s="7"/>
      <c r="D422" s="7"/>
      <c r="E422" s="7"/>
    </row>
    <row r="423" ht="22.5" customHeight="1">
      <c r="A423" s="7"/>
      <c r="B423" s="7"/>
      <c r="C423" s="7"/>
      <c r="D423" s="7"/>
      <c r="E423" s="7"/>
    </row>
    <row r="424" ht="22.5" customHeight="1">
      <c r="A424" s="7"/>
      <c r="B424" s="7"/>
      <c r="C424" s="7"/>
      <c r="D424" s="7"/>
      <c r="E424" s="7"/>
    </row>
    <row r="425" ht="22.5" customHeight="1">
      <c r="A425" s="7"/>
      <c r="B425" s="7"/>
      <c r="C425" s="7"/>
      <c r="D425" s="7"/>
      <c r="E425" s="7"/>
    </row>
    <row r="426" ht="22.5" customHeight="1">
      <c r="A426" s="7"/>
      <c r="B426" s="7"/>
      <c r="C426" s="7"/>
      <c r="D426" s="7"/>
      <c r="E426" s="7"/>
    </row>
    <row r="427" ht="22.5" customHeight="1">
      <c r="A427" s="7"/>
      <c r="B427" s="7"/>
      <c r="C427" s="7"/>
      <c r="D427" s="7"/>
      <c r="E427" s="7"/>
    </row>
    <row r="428" ht="22.5" customHeight="1">
      <c r="A428" s="7"/>
      <c r="B428" s="7"/>
      <c r="C428" s="7"/>
      <c r="D428" s="7"/>
      <c r="E428" s="7"/>
    </row>
    <row r="429" ht="22.5" customHeight="1">
      <c r="A429" s="7"/>
      <c r="B429" s="7"/>
      <c r="C429" s="7"/>
      <c r="D429" s="7"/>
      <c r="E429" s="7"/>
    </row>
    <row r="430" ht="22.5" customHeight="1">
      <c r="A430" s="7"/>
      <c r="B430" s="7"/>
      <c r="C430" s="7"/>
      <c r="D430" s="7"/>
      <c r="E430" s="7"/>
    </row>
    <row r="431" ht="22.5" customHeight="1">
      <c r="A431" s="7"/>
      <c r="B431" s="7"/>
      <c r="C431" s="7"/>
      <c r="D431" s="7"/>
      <c r="E431" s="7"/>
    </row>
    <row r="432" ht="22.5" customHeight="1">
      <c r="A432" s="7"/>
      <c r="B432" s="7"/>
      <c r="C432" s="7"/>
      <c r="D432" s="7"/>
      <c r="E432" s="7"/>
    </row>
    <row r="433" ht="22.5" customHeight="1">
      <c r="A433" s="7"/>
      <c r="B433" s="7"/>
      <c r="C433" s="7"/>
      <c r="D433" s="7"/>
      <c r="E433" s="7"/>
    </row>
    <row r="434" ht="22.5" customHeight="1">
      <c r="A434" s="7"/>
      <c r="B434" s="7"/>
      <c r="C434" s="7"/>
      <c r="D434" s="7"/>
      <c r="E434" s="7"/>
    </row>
    <row r="435" ht="22.5" customHeight="1">
      <c r="A435" s="7"/>
      <c r="B435" s="7"/>
      <c r="C435" s="7"/>
      <c r="D435" s="7"/>
      <c r="E435" s="7"/>
    </row>
    <row r="436" ht="22.5" customHeight="1">
      <c r="A436" s="7"/>
      <c r="B436" s="7"/>
      <c r="C436" s="7"/>
      <c r="D436" s="7"/>
      <c r="E436" s="7"/>
    </row>
    <row r="437" ht="22.5" customHeight="1">
      <c r="A437" s="7"/>
      <c r="B437" s="7"/>
      <c r="C437" s="7"/>
      <c r="D437" s="7"/>
      <c r="E437" s="7"/>
    </row>
    <row r="438" ht="22.5" customHeight="1">
      <c r="A438" s="7"/>
      <c r="B438" s="7"/>
      <c r="C438" s="7"/>
      <c r="D438" s="7"/>
      <c r="E438" s="7"/>
    </row>
    <row r="439" ht="22.5" customHeight="1">
      <c r="A439" s="7"/>
      <c r="B439" s="7"/>
      <c r="C439" s="7"/>
      <c r="D439" s="7"/>
      <c r="E439" s="7"/>
    </row>
    <row r="440" ht="22.5" customHeight="1">
      <c r="A440" s="7"/>
      <c r="B440" s="7"/>
      <c r="C440" s="7"/>
      <c r="D440" s="7"/>
      <c r="E440" s="7"/>
    </row>
    <row r="441" ht="22.5" customHeight="1">
      <c r="A441" s="7"/>
      <c r="B441" s="7"/>
      <c r="C441" s="7"/>
      <c r="D441" s="7"/>
      <c r="E441" s="7"/>
    </row>
    <row r="442" ht="22.5" customHeight="1">
      <c r="A442" s="7"/>
      <c r="B442" s="7"/>
      <c r="C442" s="7"/>
      <c r="D442" s="7"/>
      <c r="E442" s="7"/>
    </row>
    <row r="443" ht="22.5" customHeight="1">
      <c r="A443" s="7"/>
      <c r="B443" s="7"/>
      <c r="C443" s="7"/>
      <c r="D443" s="7"/>
      <c r="E443" s="7"/>
    </row>
    <row r="444" ht="22.5" customHeight="1">
      <c r="A444" s="7"/>
      <c r="B444" s="7"/>
      <c r="C444" s="7"/>
      <c r="D444" s="7"/>
      <c r="E444" s="7"/>
    </row>
    <row r="445" ht="22.5" customHeight="1">
      <c r="A445" s="7"/>
      <c r="B445" s="7"/>
      <c r="C445" s="7"/>
      <c r="D445" s="7"/>
      <c r="E445" s="7"/>
    </row>
    <row r="446" ht="22.5" customHeight="1">
      <c r="A446" s="7"/>
      <c r="B446" s="7"/>
      <c r="C446" s="7"/>
      <c r="D446" s="7"/>
      <c r="E446" s="7"/>
    </row>
    <row r="447" ht="22.5" customHeight="1">
      <c r="A447" s="7"/>
      <c r="B447" s="7"/>
      <c r="C447" s="7"/>
      <c r="D447" s="7"/>
      <c r="E447" s="7"/>
    </row>
    <row r="448" ht="22.5" customHeight="1">
      <c r="A448" s="7"/>
      <c r="B448" s="7"/>
      <c r="C448" s="7"/>
      <c r="D448" s="7"/>
      <c r="E448" s="7"/>
    </row>
    <row r="449" ht="22.5" customHeight="1">
      <c r="A449" s="7"/>
      <c r="B449" s="7"/>
      <c r="C449" s="7"/>
      <c r="D449" s="7"/>
      <c r="E449" s="7"/>
    </row>
    <row r="450" ht="22.5" customHeight="1">
      <c r="A450" s="7"/>
      <c r="B450" s="7"/>
      <c r="C450" s="7"/>
      <c r="D450" s="7"/>
      <c r="E450" s="7"/>
    </row>
    <row r="451" ht="22.5" customHeight="1">
      <c r="A451" s="7"/>
      <c r="B451" s="7"/>
      <c r="C451" s="7"/>
      <c r="D451" s="7"/>
      <c r="E451" s="7"/>
    </row>
    <row r="452" ht="22.5" customHeight="1">
      <c r="A452" s="7"/>
      <c r="B452" s="7"/>
      <c r="C452" s="7"/>
      <c r="D452" s="7"/>
      <c r="E452" s="7"/>
    </row>
    <row r="453" ht="22.5" customHeight="1">
      <c r="A453" s="7"/>
      <c r="B453" s="7"/>
      <c r="C453" s="7"/>
      <c r="D453" s="7"/>
      <c r="E453" s="7"/>
    </row>
    <row r="454" ht="22.5" customHeight="1">
      <c r="A454" s="7"/>
      <c r="B454" s="7"/>
      <c r="C454" s="7"/>
      <c r="D454" s="7"/>
      <c r="E454" s="7"/>
    </row>
    <row r="455" ht="22.5" customHeight="1">
      <c r="A455" s="7"/>
      <c r="B455" s="7"/>
      <c r="C455" s="7"/>
      <c r="D455" s="7"/>
      <c r="E455" s="7"/>
    </row>
    <row r="456" ht="22.5" customHeight="1">
      <c r="A456" s="7"/>
      <c r="B456" s="7"/>
      <c r="C456" s="7"/>
      <c r="D456" s="7"/>
      <c r="E456" s="7"/>
    </row>
    <row r="457" ht="22.5" customHeight="1">
      <c r="A457" s="7"/>
      <c r="B457" s="7"/>
      <c r="C457" s="7"/>
      <c r="D457" s="7"/>
      <c r="E457" s="7"/>
    </row>
    <row r="458" ht="22.5" customHeight="1">
      <c r="A458" s="7"/>
      <c r="B458" s="7"/>
      <c r="C458" s="7"/>
      <c r="D458" s="7"/>
      <c r="E458" s="7"/>
    </row>
    <row r="459" ht="22.5" customHeight="1">
      <c r="A459" s="7"/>
      <c r="B459" s="7"/>
      <c r="C459" s="7"/>
      <c r="D459" s="7"/>
      <c r="E459" s="7"/>
    </row>
    <row r="460" ht="22.5" customHeight="1">
      <c r="A460" s="7"/>
      <c r="B460" s="7"/>
      <c r="C460" s="7"/>
      <c r="D460" s="7"/>
      <c r="E460" s="7"/>
    </row>
    <row r="461" ht="22.5" customHeight="1">
      <c r="A461" s="7"/>
      <c r="B461" s="7"/>
      <c r="C461" s="7"/>
      <c r="D461" s="7"/>
      <c r="E461" s="7"/>
    </row>
    <row r="462" ht="22.5" customHeight="1">
      <c r="A462" s="7"/>
      <c r="B462" s="7"/>
      <c r="C462" s="7"/>
      <c r="D462" s="7"/>
      <c r="E462" s="7"/>
    </row>
    <row r="463" ht="22.5" customHeight="1">
      <c r="A463" s="7"/>
      <c r="B463" s="7"/>
      <c r="C463" s="7"/>
      <c r="D463" s="7"/>
      <c r="E463" s="7"/>
    </row>
    <row r="464" ht="22.5" customHeight="1">
      <c r="A464" s="7"/>
      <c r="B464" s="7"/>
      <c r="C464" s="7"/>
      <c r="D464" s="7"/>
      <c r="E464" s="7"/>
    </row>
    <row r="465" ht="22.5" customHeight="1">
      <c r="A465" s="7"/>
      <c r="B465" s="7"/>
      <c r="C465" s="7"/>
      <c r="D465" s="7"/>
      <c r="E465" s="7"/>
    </row>
    <row r="466" ht="22.5" customHeight="1">
      <c r="A466" s="7"/>
      <c r="B466" s="7"/>
      <c r="C466" s="7"/>
      <c r="D466" s="7"/>
      <c r="E466" s="7"/>
    </row>
    <row r="467" ht="22.5" customHeight="1">
      <c r="A467" s="7"/>
      <c r="B467" s="7"/>
      <c r="C467" s="7"/>
      <c r="D467" s="7"/>
      <c r="E467" s="7"/>
    </row>
    <row r="468" ht="22.5" customHeight="1">
      <c r="A468" s="7"/>
      <c r="B468" s="7"/>
      <c r="C468" s="7"/>
      <c r="D468" s="7"/>
      <c r="E468" s="7"/>
    </row>
    <row r="469" ht="22.5" customHeight="1">
      <c r="A469" s="7"/>
      <c r="B469" s="7"/>
      <c r="C469" s="7"/>
      <c r="D469" s="7"/>
      <c r="E469" s="7"/>
    </row>
    <row r="470" ht="22.5" customHeight="1">
      <c r="A470" s="7"/>
      <c r="B470" s="7"/>
      <c r="C470" s="7"/>
      <c r="D470" s="7"/>
      <c r="E470" s="7"/>
    </row>
    <row r="471" ht="22.5" customHeight="1">
      <c r="A471" s="7"/>
      <c r="B471" s="7"/>
      <c r="C471" s="7"/>
      <c r="D471" s="7"/>
      <c r="E471" s="7"/>
    </row>
    <row r="472" ht="22.5" customHeight="1">
      <c r="A472" s="7"/>
      <c r="B472" s="7"/>
      <c r="C472" s="7"/>
      <c r="D472" s="7"/>
      <c r="E472" s="7"/>
    </row>
    <row r="473" ht="22.5" customHeight="1">
      <c r="A473" s="7"/>
      <c r="B473" s="7"/>
      <c r="C473" s="7"/>
      <c r="D473" s="7"/>
      <c r="E473" s="7"/>
    </row>
    <row r="474" ht="22.5" customHeight="1">
      <c r="A474" s="7"/>
      <c r="B474" s="7"/>
      <c r="C474" s="7"/>
      <c r="D474" s="7"/>
      <c r="E474" s="7"/>
    </row>
    <row r="475" ht="22.5" customHeight="1">
      <c r="A475" s="7"/>
      <c r="B475" s="7"/>
      <c r="C475" s="7"/>
      <c r="D475" s="7"/>
      <c r="E475" s="7"/>
    </row>
    <row r="476" ht="22.5" customHeight="1">
      <c r="A476" s="7"/>
      <c r="B476" s="7"/>
      <c r="C476" s="7"/>
      <c r="D476" s="7"/>
      <c r="E476" s="7"/>
    </row>
    <row r="477" ht="22.5" customHeight="1">
      <c r="A477" s="7"/>
      <c r="B477" s="7"/>
      <c r="C477" s="7"/>
      <c r="D477" s="7"/>
      <c r="E477" s="7"/>
    </row>
    <row r="478" ht="22.5" customHeight="1">
      <c r="A478" s="7"/>
      <c r="B478" s="7"/>
      <c r="C478" s="7"/>
      <c r="D478" s="7"/>
      <c r="E478" s="7"/>
    </row>
    <row r="479" ht="22.5" customHeight="1">
      <c r="A479" s="7"/>
      <c r="B479" s="7"/>
      <c r="C479" s="7"/>
      <c r="D479" s="7"/>
      <c r="E479" s="7"/>
    </row>
    <row r="480" ht="22.5" customHeight="1">
      <c r="A480" s="7"/>
      <c r="B480" s="7"/>
      <c r="C480" s="7"/>
      <c r="D480" s="7"/>
      <c r="E480" s="7"/>
    </row>
    <row r="481" ht="22.5" customHeight="1">
      <c r="A481" s="7"/>
      <c r="B481" s="7"/>
      <c r="C481" s="7"/>
      <c r="D481" s="7"/>
      <c r="E481" s="7"/>
    </row>
    <row r="482" ht="22.5" customHeight="1">
      <c r="A482" s="7"/>
      <c r="B482" s="7"/>
      <c r="C482" s="7"/>
      <c r="D482" s="7"/>
      <c r="E482" s="7"/>
    </row>
    <row r="483" ht="22.5" customHeight="1">
      <c r="A483" s="7"/>
      <c r="B483" s="7"/>
      <c r="C483" s="7"/>
      <c r="D483" s="7"/>
      <c r="E483" s="7"/>
    </row>
    <row r="484" ht="22.5" customHeight="1">
      <c r="A484" s="7"/>
      <c r="B484" s="7"/>
      <c r="C484" s="7"/>
      <c r="D484" s="7"/>
      <c r="E484" s="7"/>
    </row>
    <row r="485" ht="22.5" customHeight="1">
      <c r="A485" s="7"/>
      <c r="B485" s="7"/>
      <c r="C485" s="7"/>
      <c r="D485" s="7"/>
      <c r="E485" s="7"/>
    </row>
    <row r="486" ht="22.5" customHeight="1">
      <c r="A486" s="7"/>
      <c r="B486" s="7"/>
      <c r="C486" s="7"/>
      <c r="D486" s="7"/>
      <c r="E486" s="7"/>
    </row>
    <row r="487" ht="22.5" customHeight="1">
      <c r="A487" s="7"/>
      <c r="B487" s="7"/>
      <c r="C487" s="7"/>
      <c r="D487" s="7"/>
      <c r="E487" s="7"/>
    </row>
    <row r="488" ht="22.5" customHeight="1">
      <c r="A488" s="7"/>
      <c r="B488" s="7"/>
      <c r="C488" s="7"/>
      <c r="D488" s="7"/>
      <c r="E488" s="7"/>
    </row>
    <row r="489" ht="22.5" customHeight="1">
      <c r="A489" s="7"/>
      <c r="B489" s="7"/>
      <c r="C489" s="7"/>
      <c r="D489" s="7"/>
      <c r="E489" s="7"/>
    </row>
    <row r="490" ht="22.5" customHeight="1">
      <c r="A490" s="7"/>
      <c r="B490" s="7"/>
      <c r="C490" s="7"/>
      <c r="D490" s="7"/>
      <c r="E490" s="7"/>
    </row>
    <row r="491" ht="22.5" customHeight="1">
      <c r="A491" s="7"/>
      <c r="B491" s="7"/>
      <c r="C491" s="7"/>
      <c r="D491" s="7"/>
      <c r="E491" s="7"/>
    </row>
    <row r="492" ht="22.5" customHeight="1">
      <c r="A492" s="7"/>
      <c r="B492" s="7"/>
      <c r="C492" s="7"/>
      <c r="D492" s="7"/>
      <c r="E492" s="7"/>
    </row>
    <row r="493" ht="22.5" customHeight="1">
      <c r="A493" s="7"/>
      <c r="B493" s="7"/>
      <c r="C493" s="7"/>
      <c r="D493" s="7"/>
      <c r="E493" s="7"/>
    </row>
    <row r="494" ht="22.5" customHeight="1">
      <c r="A494" s="7"/>
      <c r="B494" s="7"/>
      <c r="C494" s="7"/>
      <c r="D494" s="7"/>
      <c r="E494" s="7"/>
    </row>
    <row r="495" ht="22.5" customHeight="1">
      <c r="A495" s="7"/>
      <c r="B495" s="7"/>
      <c r="C495" s="7"/>
      <c r="D495" s="7"/>
      <c r="E495" s="7"/>
    </row>
    <row r="496" ht="22.5" customHeight="1">
      <c r="A496" s="7"/>
      <c r="B496" s="7"/>
      <c r="C496" s="7"/>
      <c r="D496" s="7"/>
      <c r="E496" s="7"/>
    </row>
    <row r="497" ht="22.5" customHeight="1">
      <c r="A497" s="7"/>
      <c r="B497" s="7"/>
      <c r="C497" s="7"/>
      <c r="D497" s="7"/>
      <c r="E497" s="7"/>
    </row>
    <row r="498" ht="22.5" customHeight="1">
      <c r="A498" s="7"/>
      <c r="B498" s="7"/>
      <c r="C498" s="7"/>
      <c r="D498" s="7"/>
      <c r="E498" s="7"/>
    </row>
    <row r="499" ht="22.5" customHeight="1">
      <c r="A499" s="7"/>
      <c r="B499" s="7"/>
      <c r="C499" s="7"/>
      <c r="D499" s="7"/>
      <c r="E499" s="7"/>
    </row>
    <row r="500" ht="22.5" customHeight="1">
      <c r="A500" s="7"/>
      <c r="B500" s="7"/>
      <c r="C500" s="7"/>
      <c r="D500" s="7"/>
      <c r="E500" s="7"/>
    </row>
    <row r="501" ht="22.5" customHeight="1">
      <c r="A501" s="7"/>
      <c r="B501" s="7"/>
      <c r="C501" s="7"/>
      <c r="D501" s="7"/>
      <c r="E501" s="7"/>
    </row>
    <row r="502" ht="22.5" customHeight="1">
      <c r="A502" s="7"/>
      <c r="B502" s="7"/>
      <c r="C502" s="7"/>
      <c r="D502" s="7"/>
      <c r="E502" s="7"/>
    </row>
    <row r="503" ht="22.5" customHeight="1">
      <c r="A503" s="7"/>
      <c r="B503" s="7"/>
      <c r="C503" s="7"/>
      <c r="D503" s="7"/>
      <c r="E503" s="7"/>
    </row>
    <row r="504" ht="22.5" customHeight="1">
      <c r="A504" s="7"/>
      <c r="B504" s="7"/>
      <c r="C504" s="7"/>
      <c r="D504" s="7"/>
      <c r="E504" s="7"/>
    </row>
    <row r="505" ht="22.5" customHeight="1">
      <c r="A505" s="7"/>
      <c r="B505" s="7"/>
      <c r="C505" s="7"/>
      <c r="D505" s="7"/>
      <c r="E505" s="7"/>
    </row>
    <row r="506" ht="22.5" customHeight="1">
      <c r="A506" s="7"/>
      <c r="B506" s="7"/>
      <c r="C506" s="7"/>
      <c r="D506" s="7"/>
      <c r="E506" s="7"/>
    </row>
    <row r="507" ht="22.5" customHeight="1">
      <c r="A507" s="7"/>
      <c r="B507" s="7"/>
      <c r="C507" s="7"/>
      <c r="D507" s="7"/>
      <c r="E507" s="7"/>
    </row>
    <row r="508" ht="22.5" customHeight="1">
      <c r="A508" s="7"/>
      <c r="B508" s="7"/>
      <c r="C508" s="7"/>
      <c r="D508" s="7"/>
      <c r="E508" s="7"/>
    </row>
    <row r="509" ht="22.5" customHeight="1">
      <c r="A509" s="7"/>
      <c r="B509" s="7"/>
      <c r="C509" s="7"/>
      <c r="D509" s="7"/>
      <c r="E509" s="7"/>
    </row>
    <row r="510" ht="22.5" customHeight="1">
      <c r="A510" s="7"/>
      <c r="B510" s="7"/>
      <c r="C510" s="7"/>
      <c r="D510" s="7"/>
      <c r="E510" s="7"/>
    </row>
    <row r="511" ht="22.5" customHeight="1">
      <c r="A511" s="7"/>
      <c r="B511" s="7"/>
      <c r="C511" s="7"/>
      <c r="D511" s="7"/>
      <c r="E511" s="7"/>
    </row>
    <row r="512" ht="22.5" customHeight="1">
      <c r="A512" s="7"/>
      <c r="B512" s="7"/>
      <c r="C512" s="7"/>
      <c r="D512" s="7"/>
      <c r="E512" s="7"/>
    </row>
    <row r="513" ht="22.5" customHeight="1">
      <c r="A513" s="7"/>
      <c r="B513" s="7"/>
      <c r="C513" s="7"/>
      <c r="D513" s="7"/>
      <c r="E513" s="7"/>
    </row>
    <row r="514" ht="22.5" customHeight="1">
      <c r="A514" s="7"/>
      <c r="B514" s="7"/>
      <c r="C514" s="7"/>
      <c r="D514" s="7"/>
      <c r="E514" s="7"/>
    </row>
    <row r="515" ht="22.5" customHeight="1">
      <c r="A515" s="7"/>
      <c r="B515" s="7"/>
      <c r="C515" s="7"/>
      <c r="D515" s="7"/>
      <c r="E515" s="7"/>
    </row>
    <row r="516" ht="22.5" customHeight="1">
      <c r="A516" s="7"/>
      <c r="B516" s="7"/>
      <c r="C516" s="7"/>
      <c r="D516" s="7"/>
      <c r="E516" s="7"/>
    </row>
    <row r="517" ht="22.5" customHeight="1">
      <c r="A517" s="7"/>
      <c r="B517" s="7"/>
      <c r="C517" s="7"/>
      <c r="D517" s="7"/>
      <c r="E517" s="7"/>
    </row>
    <row r="518" ht="22.5" customHeight="1">
      <c r="A518" s="7"/>
      <c r="B518" s="7"/>
      <c r="C518" s="7"/>
      <c r="D518" s="7"/>
      <c r="E518" s="7"/>
    </row>
    <row r="519" ht="22.5" customHeight="1">
      <c r="A519" s="7"/>
      <c r="B519" s="7"/>
      <c r="C519" s="7"/>
      <c r="D519" s="7"/>
      <c r="E519" s="7"/>
    </row>
    <row r="520" ht="22.5" customHeight="1">
      <c r="A520" s="7"/>
      <c r="B520" s="7"/>
      <c r="C520" s="7"/>
      <c r="D520" s="7"/>
      <c r="E520" s="7"/>
    </row>
    <row r="521" ht="22.5" customHeight="1">
      <c r="A521" s="7"/>
      <c r="B521" s="7"/>
      <c r="C521" s="7"/>
      <c r="D521" s="7"/>
      <c r="E521" s="7"/>
    </row>
    <row r="522" ht="22.5" customHeight="1">
      <c r="A522" s="7"/>
      <c r="B522" s="7"/>
      <c r="C522" s="7"/>
      <c r="D522" s="7"/>
      <c r="E522" s="7"/>
    </row>
    <row r="523" ht="22.5" customHeight="1">
      <c r="A523" s="7"/>
      <c r="B523" s="7"/>
      <c r="C523" s="7"/>
      <c r="D523" s="7"/>
      <c r="E523" s="7"/>
    </row>
    <row r="524" ht="22.5" customHeight="1">
      <c r="A524" s="7"/>
      <c r="B524" s="7"/>
      <c r="C524" s="7"/>
      <c r="D524" s="7"/>
      <c r="E524" s="7"/>
    </row>
    <row r="525" ht="22.5" customHeight="1">
      <c r="A525" s="7"/>
      <c r="B525" s="7"/>
      <c r="C525" s="7"/>
      <c r="D525" s="7"/>
      <c r="E525" s="7"/>
    </row>
    <row r="526" ht="22.5" customHeight="1">
      <c r="A526" s="7"/>
      <c r="B526" s="7"/>
      <c r="C526" s="7"/>
      <c r="D526" s="7"/>
      <c r="E526" s="7"/>
    </row>
    <row r="527" ht="22.5" customHeight="1">
      <c r="A527" s="7"/>
      <c r="B527" s="7"/>
      <c r="C527" s="7"/>
      <c r="D527" s="7"/>
      <c r="E527" s="7"/>
    </row>
    <row r="528" ht="22.5" customHeight="1">
      <c r="A528" s="7"/>
      <c r="B528" s="7"/>
      <c r="C528" s="7"/>
      <c r="D528" s="7"/>
      <c r="E528" s="7"/>
    </row>
    <row r="529" ht="22.5" customHeight="1">
      <c r="A529" s="7"/>
      <c r="B529" s="7"/>
      <c r="C529" s="7"/>
      <c r="D529" s="7"/>
      <c r="E529" s="7"/>
    </row>
    <row r="530" ht="22.5" customHeight="1">
      <c r="A530" s="7"/>
      <c r="B530" s="7"/>
      <c r="C530" s="7"/>
      <c r="D530" s="7"/>
      <c r="E530" s="7"/>
    </row>
    <row r="531" ht="22.5" customHeight="1">
      <c r="A531" s="7"/>
      <c r="B531" s="7"/>
      <c r="C531" s="7"/>
      <c r="D531" s="7"/>
      <c r="E531" s="7"/>
    </row>
    <row r="532" ht="22.5" customHeight="1">
      <c r="A532" s="7"/>
      <c r="B532" s="7"/>
      <c r="C532" s="7"/>
      <c r="D532" s="7"/>
      <c r="E532" s="7"/>
    </row>
    <row r="533" ht="22.5" customHeight="1">
      <c r="A533" s="7"/>
      <c r="B533" s="7"/>
      <c r="C533" s="7"/>
      <c r="D533" s="7"/>
      <c r="E533" s="7"/>
    </row>
    <row r="534" ht="22.5" customHeight="1">
      <c r="A534" s="7"/>
      <c r="B534" s="7"/>
      <c r="C534" s="7"/>
      <c r="D534" s="7"/>
      <c r="E534" s="7"/>
    </row>
    <row r="535" ht="22.5" customHeight="1">
      <c r="A535" s="7"/>
      <c r="B535" s="7"/>
      <c r="C535" s="7"/>
      <c r="D535" s="7"/>
      <c r="E535" s="7"/>
    </row>
    <row r="536" ht="22.5" customHeight="1">
      <c r="A536" s="7"/>
      <c r="B536" s="7"/>
      <c r="C536" s="7"/>
      <c r="D536" s="7"/>
      <c r="E536" s="7"/>
    </row>
    <row r="537" ht="22.5" customHeight="1">
      <c r="A537" s="7"/>
      <c r="B537" s="7"/>
      <c r="C537" s="7"/>
      <c r="D537" s="7"/>
      <c r="E537" s="7"/>
    </row>
    <row r="538" ht="22.5" customHeight="1">
      <c r="A538" s="7"/>
      <c r="B538" s="7"/>
      <c r="C538" s="7"/>
      <c r="D538" s="7"/>
      <c r="E538" s="7"/>
    </row>
    <row r="539" ht="22.5" customHeight="1">
      <c r="A539" s="7"/>
      <c r="B539" s="7"/>
      <c r="C539" s="7"/>
      <c r="D539" s="7"/>
      <c r="E539" s="7"/>
    </row>
    <row r="540" ht="22.5" customHeight="1">
      <c r="A540" s="7"/>
      <c r="B540" s="7"/>
      <c r="C540" s="7"/>
      <c r="D540" s="7"/>
      <c r="E540" s="7"/>
    </row>
    <row r="541" ht="22.5" customHeight="1">
      <c r="A541" s="7"/>
      <c r="B541" s="7"/>
      <c r="C541" s="7"/>
      <c r="D541" s="7"/>
      <c r="E541" s="7"/>
    </row>
    <row r="542" ht="22.5" customHeight="1">
      <c r="A542" s="7"/>
      <c r="B542" s="7"/>
      <c r="C542" s="7"/>
      <c r="D542" s="7"/>
      <c r="E542" s="7"/>
    </row>
    <row r="543" ht="22.5" customHeight="1">
      <c r="A543" s="7"/>
      <c r="B543" s="7"/>
      <c r="C543" s="7"/>
      <c r="D543" s="7"/>
      <c r="E543" s="7"/>
    </row>
    <row r="544" ht="22.5" customHeight="1">
      <c r="A544" s="7"/>
      <c r="B544" s="7"/>
      <c r="C544" s="7"/>
      <c r="D544" s="7"/>
      <c r="E544" s="7"/>
    </row>
    <row r="545" ht="22.5" customHeight="1">
      <c r="A545" s="7"/>
      <c r="B545" s="7"/>
      <c r="C545" s="7"/>
      <c r="D545" s="7"/>
      <c r="E545" s="7"/>
    </row>
    <row r="546" ht="22.5" customHeight="1">
      <c r="A546" s="7"/>
      <c r="B546" s="7"/>
      <c r="C546" s="7"/>
      <c r="D546" s="7"/>
      <c r="E546" s="7"/>
    </row>
    <row r="547" ht="22.5" customHeight="1">
      <c r="A547" s="7"/>
      <c r="B547" s="7"/>
      <c r="C547" s="7"/>
      <c r="D547" s="7"/>
      <c r="E547" s="7"/>
    </row>
    <row r="548" ht="22.5" customHeight="1">
      <c r="A548" s="7"/>
      <c r="B548" s="7"/>
      <c r="C548" s="7"/>
      <c r="D548" s="7"/>
      <c r="E548" s="7"/>
    </row>
    <row r="549" ht="22.5" customHeight="1">
      <c r="A549" s="7"/>
      <c r="B549" s="7"/>
      <c r="C549" s="7"/>
      <c r="D549" s="7"/>
      <c r="E549" s="7"/>
    </row>
    <row r="550" ht="22.5" customHeight="1">
      <c r="A550" s="7"/>
      <c r="B550" s="7"/>
      <c r="C550" s="7"/>
      <c r="D550" s="7"/>
      <c r="E550" s="7"/>
    </row>
    <row r="551" ht="22.5" customHeight="1">
      <c r="A551" s="7"/>
      <c r="B551" s="7"/>
      <c r="C551" s="7"/>
      <c r="D551" s="7"/>
      <c r="E551" s="7"/>
    </row>
    <row r="552" ht="22.5" customHeight="1">
      <c r="A552" s="7"/>
      <c r="B552" s="7"/>
      <c r="C552" s="7"/>
      <c r="D552" s="7"/>
      <c r="E552" s="7"/>
    </row>
    <row r="553" ht="22.5" customHeight="1">
      <c r="A553" s="7"/>
      <c r="B553" s="7"/>
      <c r="C553" s="7"/>
      <c r="D553" s="7"/>
      <c r="E553" s="7"/>
    </row>
    <row r="554" ht="22.5" customHeight="1">
      <c r="A554" s="7"/>
      <c r="B554" s="7"/>
      <c r="C554" s="7"/>
      <c r="D554" s="7"/>
      <c r="E554" s="7"/>
    </row>
    <row r="555" ht="22.5" customHeight="1">
      <c r="A555" s="7"/>
      <c r="B555" s="7"/>
      <c r="C555" s="7"/>
      <c r="D555" s="7"/>
      <c r="E555" s="7"/>
    </row>
    <row r="556" ht="22.5" customHeight="1">
      <c r="A556" s="7"/>
      <c r="B556" s="7"/>
      <c r="C556" s="7"/>
      <c r="D556" s="7"/>
      <c r="E556" s="7"/>
    </row>
    <row r="557" ht="22.5" customHeight="1">
      <c r="A557" s="7"/>
      <c r="B557" s="7"/>
      <c r="C557" s="7"/>
      <c r="D557" s="7"/>
      <c r="E557" s="7"/>
    </row>
    <row r="558" ht="22.5" customHeight="1">
      <c r="A558" s="7"/>
      <c r="B558" s="7"/>
      <c r="C558" s="7"/>
      <c r="D558" s="7"/>
      <c r="E558" s="7"/>
    </row>
    <row r="559" ht="22.5" customHeight="1">
      <c r="A559" s="7"/>
      <c r="B559" s="7"/>
      <c r="C559" s="7"/>
      <c r="D559" s="7"/>
      <c r="E559" s="7"/>
    </row>
    <row r="560" ht="22.5" customHeight="1">
      <c r="A560" s="7"/>
      <c r="B560" s="7"/>
      <c r="C560" s="7"/>
      <c r="D560" s="7"/>
      <c r="E560" s="7"/>
    </row>
    <row r="561" ht="22.5" customHeight="1">
      <c r="A561" s="7"/>
      <c r="B561" s="7"/>
      <c r="C561" s="7"/>
      <c r="D561" s="7"/>
      <c r="E561" s="7"/>
    </row>
    <row r="562" ht="22.5" customHeight="1">
      <c r="A562" s="7"/>
      <c r="B562" s="7"/>
      <c r="C562" s="7"/>
      <c r="D562" s="7"/>
      <c r="E562" s="7"/>
    </row>
    <row r="563" ht="22.5" customHeight="1">
      <c r="A563" s="7"/>
      <c r="B563" s="7"/>
      <c r="C563" s="7"/>
      <c r="D563" s="7"/>
      <c r="E563" s="7"/>
    </row>
    <row r="564" ht="22.5" customHeight="1">
      <c r="A564" s="7"/>
      <c r="B564" s="7"/>
      <c r="C564" s="7"/>
      <c r="D564" s="7"/>
      <c r="E564" s="7"/>
    </row>
    <row r="565" ht="22.5" customHeight="1">
      <c r="A565" s="7"/>
      <c r="B565" s="7"/>
      <c r="C565" s="7"/>
      <c r="D565" s="7"/>
      <c r="E565" s="7"/>
    </row>
    <row r="566" ht="22.5" customHeight="1">
      <c r="A566" s="7"/>
      <c r="B566" s="7"/>
      <c r="C566" s="7"/>
      <c r="D566" s="7"/>
      <c r="E566" s="7"/>
    </row>
    <row r="567" ht="22.5" customHeight="1">
      <c r="A567" s="7"/>
      <c r="B567" s="7"/>
      <c r="C567" s="7"/>
      <c r="D567" s="7"/>
      <c r="E567" s="7"/>
    </row>
    <row r="568" ht="22.5" customHeight="1">
      <c r="A568" s="7"/>
      <c r="B568" s="7"/>
      <c r="C568" s="7"/>
      <c r="D568" s="7"/>
      <c r="E568" s="7"/>
    </row>
    <row r="569" ht="22.5" customHeight="1">
      <c r="A569" s="7"/>
      <c r="B569" s="7"/>
      <c r="C569" s="7"/>
      <c r="D569" s="7"/>
      <c r="E569" s="7"/>
    </row>
    <row r="570" ht="22.5" customHeight="1">
      <c r="A570" s="7"/>
      <c r="B570" s="7"/>
      <c r="C570" s="7"/>
      <c r="D570" s="7"/>
      <c r="E570" s="7"/>
    </row>
    <row r="571" ht="22.5" customHeight="1">
      <c r="A571" s="7"/>
      <c r="B571" s="7"/>
      <c r="C571" s="7"/>
      <c r="D571" s="7"/>
      <c r="E571" s="7"/>
    </row>
    <row r="572" ht="22.5" customHeight="1">
      <c r="A572" s="7"/>
      <c r="B572" s="7"/>
      <c r="C572" s="7"/>
      <c r="D572" s="7"/>
      <c r="E572" s="7"/>
    </row>
    <row r="573" ht="22.5" customHeight="1">
      <c r="A573" s="7"/>
      <c r="B573" s="7"/>
      <c r="C573" s="7"/>
      <c r="D573" s="7"/>
      <c r="E573" s="7"/>
    </row>
    <row r="574" ht="22.5" customHeight="1">
      <c r="A574" s="7"/>
      <c r="B574" s="7"/>
      <c r="C574" s="7"/>
      <c r="D574" s="7"/>
      <c r="E574" s="7"/>
    </row>
    <row r="575" ht="22.5" customHeight="1">
      <c r="A575" s="7"/>
      <c r="B575" s="7"/>
      <c r="C575" s="7"/>
      <c r="D575" s="7"/>
      <c r="E575" s="7"/>
    </row>
    <row r="576" ht="22.5" customHeight="1">
      <c r="A576" s="7"/>
      <c r="B576" s="7"/>
      <c r="C576" s="7"/>
      <c r="D576" s="7"/>
      <c r="E576" s="7"/>
    </row>
    <row r="577" ht="22.5" customHeight="1">
      <c r="A577" s="7"/>
      <c r="B577" s="7"/>
      <c r="C577" s="7"/>
      <c r="D577" s="7"/>
      <c r="E577" s="7"/>
    </row>
    <row r="578" ht="22.5" customHeight="1">
      <c r="A578" s="7"/>
      <c r="B578" s="7"/>
      <c r="C578" s="7"/>
      <c r="D578" s="7"/>
      <c r="E578" s="7"/>
    </row>
    <row r="579" ht="22.5" customHeight="1">
      <c r="A579" s="7"/>
      <c r="B579" s="7"/>
      <c r="C579" s="7"/>
      <c r="D579" s="7"/>
      <c r="E579" s="7"/>
    </row>
    <row r="580" ht="22.5" customHeight="1">
      <c r="A580" s="7"/>
      <c r="B580" s="7"/>
      <c r="C580" s="7"/>
      <c r="D580" s="7"/>
      <c r="E580" s="7"/>
    </row>
    <row r="581" ht="22.5" customHeight="1">
      <c r="A581" s="7"/>
      <c r="B581" s="7"/>
      <c r="C581" s="7"/>
      <c r="D581" s="7"/>
      <c r="E581" s="7"/>
    </row>
    <row r="582" ht="22.5" customHeight="1">
      <c r="A582" s="7"/>
      <c r="B582" s="7"/>
      <c r="C582" s="7"/>
      <c r="D582" s="7"/>
      <c r="E582" s="7"/>
    </row>
    <row r="583" ht="22.5" customHeight="1">
      <c r="A583" s="7"/>
      <c r="B583" s="7"/>
      <c r="C583" s="7"/>
      <c r="D583" s="7"/>
      <c r="E583" s="7"/>
    </row>
    <row r="584" ht="22.5" customHeight="1">
      <c r="A584" s="7"/>
      <c r="B584" s="7"/>
      <c r="C584" s="7"/>
      <c r="D584" s="7"/>
      <c r="E584" s="7"/>
    </row>
    <row r="585" ht="22.5" customHeight="1">
      <c r="A585" s="7"/>
      <c r="B585" s="7"/>
      <c r="C585" s="7"/>
      <c r="D585" s="7"/>
      <c r="E585" s="7"/>
    </row>
    <row r="586" ht="22.5" customHeight="1">
      <c r="A586" s="7"/>
      <c r="B586" s="7"/>
      <c r="C586" s="7"/>
      <c r="D586" s="7"/>
      <c r="E586" s="7"/>
    </row>
    <row r="587" ht="22.5" customHeight="1">
      <c r="A587" s="7"/>
      <c r="B587" s="7"/>
      <c r="C587" s="7"/>
      <c r="D587" s="7"/>
      <c r="E587" s="7"/>
    </row>
    <row r="588" ht="22.5" customHeight="1">
      <c r="A588" s="7"/>
      <c r="B588" s="7"/>
      <c r="C588" s="7"/>
      <c r="D588" s="7"/>
      <c r="E588" s="7"/>
    </row>
    <row r="589" ht="22.5" customHeight="1">
      <c r="A589" s="7"/>
      <c r="B589" s="7"/>
      <c r="C589" s="7"/>
      <c r="D589" s="7"/>
      <c r="E589" s="7"/>
    </row>
    <row r="590" ht="22.5" customHeight="1">
      <c r="A590" s="7"/>
      <c r="B590" s="7"/>
      <c r="C590" s="7"/>
      <c r="D590" s="7"/>
      <c r="E590" s="7"/>
    </row>
    <row r="591" ht="22.5" customHeight="1">
      <c r="A591" s="7"/>
      <c r="B591" s="7"/>
      <c r="C591" s="7"/>
      <c r="D591" s="7"/>
      <c r="E591" s="7"/>
    </row>
    <row r="592" ht="22.5" customHeight="1">
      <c r="A592" s="7"/>
      <c r="B592" s="7"/>
      <c r="C592" s="7"/>
      <c r="D592" s="7"/>
      <c r="E592" s="7"/>
    </row>
    <row r="593" ht="22.5" customHeight="1">
      <c r="A593" s="7"/>
      <c r="B593" s="7"/>
      <c r="C593" s="7"/>
      <c r="D593" s="7"/>
      <c r="E593" s="7"/>
    </row>
    <row r="594" ht="22.5" customHeight="1">
      <c r="A594" s="7"/>
      <c r="B594" s="7"/>
      <c r="C594" s="7"/>
      <c r="D594" s="7"/>
      <c r="E594" s="7"/>
    </row>
    <row r="595" ht="22.5" customHeight="1">
      <c r="A595" s="7"/>
      <c r="B595" s="7"/>
      <c r="C595" s="7"/>
      <c r="D595" s="7"/>
      <c r="E595" s="7"/>
    </row>
    <row r="596" ht="22.5" customHeight="1">
      <c r="A596" s="7"/>
      <c r="B596" s="7"/>
      <c r="C596" s="7"/>
      <c r="D596" s="7"/>
      <c r="E596" s="7"/>
    </row>
    <row r="597" ht="22.5" customHeight="1">
      <c r="A597" s="7"/>
      <c r="B597" s="7"/>
      <c r="C597" s="7"/>
      <c r="D597" s="7"/>
      <c r="E597" s="7"/>
    </row>
    <row r="598" ht="22.5" customHeight="1">
      <c r="A598" s="7"/>
      <c r="B598" s="7"/>
      <c r="C598" s="7"/>
      <c r="D598" s="7"/>
      <c r="E598" s="7"/>
    </row>
    <row r="599" ht="22.5" customHeight="1">
      <c r="A599" s="7"/>
      <c r="B599" s="7"/>
      <c r="C599" s="7"/>
      <c r="D599" s="7"/>
      <c r="E599" s="7"/>
    </row>
    <row r="600" ht="22.5" customHeight="1">
      <c r="A600" s="7"/>
      <c r="B600" s="7"/>
      <c r="C600" s="7"/>
      <c r="D600" s="7"/>
      <c r="E600" s="7"/>
    </row>
    <row r="601" ht="22.5" customHeight="1">
      <c r="A601" s="7"/>
      <c r="B601" s="7"/>
      <c r="C601" s="7"/>
      <c r="D601" s="7"/>
      <c r="E601" s="7"/>
    </row>
    <row r="602" ht="22.5" customHeight="1">
      <c r="A602" s="7"/>
      <c r="B602" s="7"/>
      <c r="C602" s="7"/>
      <c r="D602" s="7"/>
      <c r="E602" s="7"/>
    </row>
    <row r="603" ht="22.5" customHeight="1">
      <c r="A603" s="7"/>
      <c r="B603" s="7"/>
      <c r="C603" s="7"/>
      <c r="D603" s="7"/>
      <c r="E603" s="7"/>
    </row>
    <row r="604" ht="22.5" customHeight="1">
      <c r="A604" s="7"/>
      <c r="B604" s="7"/>
      <c r="C604" s="7"/>
      <c r="D604" s="7"/>
      <c r="E604" s="7"/>
    </row>
    <row r="605" ht="22.5" customHeight="1">
      <c r="A605" s="7"/>
      <c r="B605" s="7"/>
      <c r="C605" s="7"/>
      <c r="D605" s="7"/>
      <c r="E605" s="7"/>
    </row>
    <row r="606" ht="22.5" customHeight="1">
      <c r="A606" s="7"/>
      <c r="B606" s="7"/>
      <c r="C606" s="7"/>
      <c r="D606" s="7"/>
      <c r="E606" s="7"/>
    </row>
    <row r="607" ht="22.5" customHeight="1">
      <c r="A607" s="7"/>
      <c r="B607" s="7"/>
      <c r="C607" s="7"/>
      <c r="D607" s="7"/>
      <c r="E607" s="7"/>
    </row>
    <row r="608" ht="22.5" customHeight="1">
      <c r="A608" s="7"/>
      <c r="B608" s="7"/>
      <c r="C608" s="7"/>
      <c r="D608" s="7"/>
      <c r="E608" s="7"/>
    </row>
    <row r="609" ht="22.5" customHeight="1">
      <c r="A609" s="7"/>
      <c r="B609" s="7"/>
      <c r="C609" s="7"/>
      <c r="D609" s="7"/>
      <c r="E609" s="7"/>
    </row>
    <row r="610" ht="22.5" customHeight="1">
      <c r="A610" s="7"/>
      <c r="B610" s="7"/>
      <c r="C610" s="7"/>
      <c r="D610" s="7"/>
      <c r="E610" s="7"/>
    </row>
    <row r="611" ht="22.5" customHeight="1">
      <c r="A611" s="7"/>
      <c r="B611" s="7"/>
      <c r="C611" s="7"/>
      <c r="D611" s="7"/>
      <c r="E611" s="7"/>
    </row>
    <row r="612" ht="22.5" customHeight="1">
      <c r="A612" s="7"/>
      <c r="B612" s="7"/>
      <c r="C612" s="7"/>
      <c r="D612" s="7"/>
      <c r="E612" s="7"/>
    </row>
    <row r="613" ht="22.5" customHeight="1">
      <c r="A613" s="7"/>
      <c r="B613" s="7"/>
      <c r="C613" s="7"/>
      <c r="D613" s="7"/>
      <c r="E613" s="7"/>
    </row>
    <row r="614" ht="22.5" customHeight="1">
      <c r="A614" s="7"/>
      <c r="B614" s="7"/>
      <c r="C614" s="7"/>
      <c r="D614" s="7"/>
      <c r="E614" s="7"/>
    </row>
    <row r="615" ht="22.5" customHeight="1">
      <c r="A615" s="7"/>
      <c r="B615" s="7"/>
      <c r="C615" s="7"/>
      <c r="D615" s="7"/>
      <c r="E615" s="7"/>
    </row>
    <row r="616" ht="22.5" customHeight="1">
      <c r="A616" s="7"/>
      <c r="B616" s="7"/>
      <c r="C616" s="7"/>
      <c r="D616" s="7"/>
      <c r="E616" s="7"/>
    </row>
    <row r="617" ht="22.5" customHeight="1">
      <c r="A617" s="7"/>
      <c r="B617" s="7"/>
      <c r="C617" s="7"/>
      <c r="D617" s="7"/>
      <c r="E617" s="7"/>
    </row>
    <row r="618" ht="22.5" customHeight="1">
      <c r="A618" s="7"/>
      <c r="B618" s="7"/>
      <c r="C618" s="7"/>
      <c r="D618" s="7"/>
      <c r="E618" s="7"/>
    </row>
    <row r="619" ht="22.5" customHeight="1">
      <c r="A619" s="7"/>
      <c r="B619" s="7"/>
      <c r="C619" s="7"/>
      <c r="D619" s="7"/>
      <c r="E619" s="7"/>
    </row>
    <row r="620" ht="22.5" customHeight="1">
      <c r="A620" s="7"/>
      <c r="B620" s="7"/>
      <c r="C620" s="7"/>
      <c r="D620" s="7"/>
      <c r="E620" s="7"/>
    </row>
    <row r="621" ht="22.5" customHeight="1">
      <c r="A621" s="7"/>
      <c r="B621" s="7"/>
      <c r="C621" s="7"/>
      <c r="D621" s="7"/>
      <c r="E621" s="7"/>
    </row>
    <row r="622" ht="22.5" customHeight="1">
      <c r="A622" s="7"/>
      <c r="B622" s="7"/>
      <c r="C622" s="7"/>
      <c r="D622" s="7"/>
      <c r="E622" s="7"/>
    </row>
    <row r="623" ht="22.5" customHeight="1">
      <c r="A623" s="7"/>
      <c r="B623" s="7"/>
      <c r="C623" s="7"/>
      <c r="D623" s="7"/>
      <c r="E623" s="7"/>
    </row>
    <row r="624" ht="22.5" customHeight="1">
      <c r="A624" s="7"/>
      <c r="B624" s="7"/>
      <c r="C624" s="7"/>
      <c r="D624" s="7"/>
      <c r="E624" s="7"/>
    </row>
    <row r="625" ht="22.5" customHeight="1">
      <c r="A625" s="7"/>
      <c r="B625" s="7"/>
      <c r="C625" s="7"/>
      <c r="D625" s="7"/>
      <c r="E625" s="7"/>
    </row>
    <row r="626" ht="22.5" customHeight="1">
      <c r="A626" s="7"/>
      <c r="B626" s="7"/>
      <c r="C626" s="7"/>
      <c r="D626" s="7"/>
      <c r="E626" s="7"/>
    </row>
    <row r="627" ht="22.5" customHeight="1">
      <c r="A627" s="7"/>
      <c r="B627" s="7"/>
      <c r="C627" s="7"/>
      <c r="D627" s="7"/>
      <c r="E627" s="7"/>
    </row>
    <row r="628" ht="22.5" customHeight="1">
      <c r="A628" s="7"/>
      <c r="B628" s="7"/>
      <c r="C628" s="7"/>
      <c r="D628" s="7"/>
      <c r="E628" s="7"/>
    </row>
    <row r="629" ht="22.5" customHeight="1">
      <c r="A629" s="7"/>
      <c r="B629" s="7"/>
      <c r="C629" s="7"/>
      <c r="D629" s="7"/>
      <c r="E629" s="7"/>
    </row>
    <row r="630" ht="22.5" customHeight="1">
      <c r="A630" s="7"/>
      <c r="B630" s="7"/>
      <c r="C630" s="7"/>
      <c r="D630" s="7"/>
      <c r="E630" s="7"/>
    </row>
    <row r="631" ht="22.5" customHeight="1">
      <c r="A631" s="7"/>
      <c r="B631" s="7"/>
      <c r="C631" s="7"/>
      <c r="D631" s="7"/>
      <c r="E631" s="7"/>
    </row>
    <row r="632" ht="22.5" customHeight="1">
      <c r="A632" s="7"/>
      <c r="B632" s="7"/>
      <c r="C632" s="7"/>
      <c r="D632" s="7"/>
      <c r="E632" s="7"/>
    </row>
    <row r="633" ht="22.5" customHeight="1">
      <c r="A633" s="7"/>
      <c r="B633" s="7"/>
      <c r="C633" s="7"/>
      <c r="D633" s="7"/>
      <c r="E633" s="7"/>
    </row>
    <row r="634" ht="22.5" customHeight="1">
      <c r="A634" s="7"/>
      <c r="B634" s="7"/>
      <c r="C634" s="7"/>
      <c r="D634" s="7"/>
      <c r="E634" s="7"/>
    </row>
    <row r="635" ht="22.5" customHeight="1">
      <c r="A635" s="7"/>
      <c r="B635" s="7"/>
      <c r="C635" s="7"/>
      <c r="D635" s="7"/>
      <c r="E635" s="7"/>
    </row>
    <row r="636" ht="22.5" customHeight="1">
      <c r="A636" s="7"/>
      <c r="B636" s="7"/>
      <c r="C636" s="7"/>
      <c r="D636" s="7"/>
      <c r="E636" s="7"/>
    </row>
    <row r="637" ht="22.5" customHeight="1">
      <c r="A637" s="7"/>
      <c r="B637" s="7"/>
      <c r="C637" s="7"/>
      <c r="D637" s="7"/>
      <c r="E637" s="7"/>
    </row>
    <row r="638" ht="22.5" customHeight="1">
      <c r="A638" s="7"/>
      <c r="B638" s="7"/>
      <c r="C638" s="7"/>
      <c r="D638" s="7"/>
      <c r="E638" s="7"/>
    </row>
    <row r="639" ht="22.5" customHeight="1">
      <c r="A639" s="7"/>
      <c r="B639" s="7"/>
      <c r="C639" s="7"/>
      <c r="D639" s="7"/>
      <c r="E639" s="7"/>
    </row>
    <row r="640" ht="22.5" customHeight="1">
      <c r="A640" s="7"/>
      <c r="B640" s="7"/>
      <c r="C640" s="7"/>
      <c r="D640" s="7"/>
      <c r="E640" s="7"/>
    </row>
    <row r="641" ht="22.5" customHeight="1">
      <c r="A641" s="7"/>
      <c r="B641" s="7"/>
      <c r="C641" s="7"/>
      <c r="D641" s="7"/>
      <c r="E641" s="7"/>
    </row>
    <row r="642" ht="22.5" customHeight="1">
      <c r="A642" s="7"/>
      <c r="B642" s="7"/>
      <c r="C642" s="7"/>
      <c r="D642" s="7"/>
      <c r="E642" s="7"/>
    </row>
    <row r="643" ht="22.5" customHeight="1">
      <c r="A643" s="7"/>
      <c r="B643" s="7"/>
      <c r="C643" s="7"/>
      <c r="D643" s="7"/>
      <c r="E643" s="7"/>
    </row>
    <row r="644" ht="22.5" customHeight="1">
      <c r="A644" s="7"/>
      <c r="B644" s="7"/>
      <c r="C644" s="7"/>
      <c r="D644" s="7"/>
      <c r="E644" s="7"/>
    </row>
    <row r="645" ht="22.5" customHeight="1">
      <c r="A645" s="7"/>
      <c r="B645" s="7"/>
      <c r="C645" s="7"/>
      <c r="D645" s="7"/>
      <c r="E645" s="7"/>
    </row>
    <row r="646" ht="22.5" customHeight="1">
      <c r="A646" s="7"/>
      <c r="B646" s="7"/>
      <c r="C646" s="7"/>
      <c r="D646" s="7"/>
      <c r="E646" s="7"/>
    </row>
    <row r="647" ht="22.5" customHeight="1">
      <c r="A647" s="7"/>
      <c r="B647" s="7"/>
      <c r="C647" s="7"/>
      <c r="D647" s="7"/>
      <c r="E647" s="7"/>
    </row>
    <row r="648" ht="22.5" customHeight="1">
      <c r="A648" s="7"/>
      <c r="B648" s="7"/>
      <c r="C648" s="7"/>
      <c r="D648" s="7"/>
      <c r="E648" s="7"/>
    </row>
    <row r="649" ht="22.5" customHeight="1">
      <c r="A649" s="7"/>
      <c r="B649" s="7"/>
      <c r="C649" s="7"/>
      <c r="D649" s="7"/>
      <c r="E649" s="7"/>
    </row>
    <row r="650" ht="22.5" customHeight="1">
      <c r="A650" s="7"/>
      <c r="B650" s="7"/>
      <c r="C650" s="7"/>
      <c r="D650" s="7"/>
      <c r="E650" s="7"/>
    </row>
    <row r="651" ht="22.5" customHeight="1">
      <c r="A651" s="7"/>
      <c r="B651" s="7"/>
      <c r="C651" s="7"/>
      <c r="D651" s="7"/>
      <c r="E651" s="7"/>
    </row>
    <row r="652" ht="22.5" customHeight="1">
      <c r="A652" s="7"/>
      <c r="B652" s="7"/>
      <c r="C652" s="7"/>
      <c r="D652" s="7"/>
      <c r="E652" s="7"/>
    </row>
    <row r="653" ht="22.5" customHeight="1">
      <c r="A653" s="7"/>
      <c r="B653" s="7"/>
      <c r="C653" s="7"/>
      <c r="D653" s="7"/>
      <c r="E653" s="7"/>
    </row>
    <row r="654" ht="22.5" customHeight="1">
      <c r="A654" s="7"/>
      <c r="B654" s="7"/>
      <c r="C654" s="7"/>
      <c r="D654" s="7"/>
      <c r="E654" s="7"/>
    </row>
    <row r="655" ht="22.5" customHeight="1">
      <c r="A655" s="7"/>
      <c r="B655" s="7"/>
      <c r="C655" s="7"/>
      <c r="D655" s="7"/>
      <c r="E655" s="7"/>
    </row>
    <row r="656" ht="22.5" customHeight="1">
      <c r="A656" s="7"/>
      <c r="B656" s="7"/>
      <c r="C656" s="7"/>
      <c r="D656" s="7"/>
      <c r="E656" s="7"/>
    </row>
    <row r="657" ht="22.5" customHeight="1">
      <c r="A657" s="7"/>
      <c r="B657" s="7"/>
      <c r="C657" s="7"/>
      <c r="D657" s="7"/>
      <c r="E657" s="7"/>
    </row>
    <row r="658" ht="22.5" customHeight="1">
      <c r="A658" s="7"/>
      <c r="B658" s="7"/>
      <c r="C658" s="7"/>
      <c r="D658" s="7"/>
      <c r="E658" s="7"/>
    </row>
    <row r="659" ht="22.5" customHeight="1">
      <c r="A659" s="7"/>
      <c r="B659" s="7"/>
      <c r="C659" s="7"/>
      <c r="D659" s="7"/>
      <c r="E659" s="7"/>
    </row>
    <row r="660" ht="22.5" customHeight="1">
      <c r="A660" s="7"/>
      <c r="B660" s="7"/>
      <c r="C660" s="7"/>
      <c r="D660" s="7"/>
      <c r="E660" s="7"/>
    </row>
    <row r="661" ht="22.5" customHeight="1">
      <c r="A661" s="7"/>
      <c r="B661" s="7"/>
      <c r="C661" s="7"/>
      <c r="D661" s="7"/>
      <c r="E661" s="7"/>
    </row>
    <row r="662" ht="22.5" customHeight="1">
      <c r="A662" s="7"/>
      <c r="B662" s="7"/>
      <c r="C662" s="7"/>
      <c r="D662" s="7"/>
      <c r="E662" s="7"/>
    </row>
    <row r="663" ht="22.5" customHeight="1">
      <c r="A663" s="7"/>
      <c r="B663" s="7"/>
      <c r="C663" s="7"/>
      <c r="D663" s="7"/>
      <c r="E663" s="7"/>
    </row>
    <row r="664" ht="22.5" customHeight="1">
      <c r="A664" s="7"/>
      <c r="B664" s="7"/>
      <c r="C664" s="7"/>
      <c r="D664" s="7"/>
      <c r="E664" s="7"/>
    </row>
    <row r="665" ht="22.5" customHeight="1">
      <c r="A665" s="7"/>
      <c r="B665" s="7"/>
      <c r="C665" s="7"/>
      <c r="D665" s="7"/>
      <c r="E665" s="7"/>
    </row>
    <row r="666" ht="22.5" customHeight="1">
      <c r="A666" s="7"/>
      <c r="B666" s="7"/>
      <c r="C666" s="7"/>
      <c r="D666" s="7"/>
      <c r="E666" s="7"/>
    </row>
    <row r="667" ht="22.5" customHeight="1">
      <c r="A667" s="7"/>
      <c r="B667" s="7"/>
      <c r="C667" s="7"/>
      <c r="D667" s="7"/>
      <c r="E667" s="7"/>
    </row>
    <row r="668" ht="22.5" customHeight="1">
      <c r="A668" s="7"/>
      <c r="B668" s="7"/>
      <c r="C668" s="7"/>
      <c r="D668" s="7"/>
      <c r="E668" s="7"/>
    </row>
    <row r="669" ht="22.5" customHeight="1">
      <c r="A669" s="7"/>
      <c r="B669" s="7"/>
      <c r="C669" s="7"/>
      <c r="D669" s="7"/>
      <c r="E669" s="7"/>
    </row>
    <row r="670" ht="22.5" customHeight="1">
      <c r="A670" s="7"/>
      <c r="B670" s="7"/>
      <c r="C670" s="7"/>
      <c r="D670" s="7"/>
      <c r="E670" s="7"/>
    </row>
    <row r="671" ht="22.5" customHeight="1">
      <c r="A671" s="7"/>
      <c r="B671" s="7"/>
      <c r="C671" s="7"/>
      <c r="D671" s="7"/>
      <c r="E671" s="7"/>
    </row>
    <row r="672" ht="22.5" customHeight="1">
      <c r="A672" s="7"/>
      <c r="B672" s="7"/>
      <c r="C672" s="7"/>
      <c r="D672" s="7"/>
      <c r="E672" s="7"/>
    </row>
    <row r="673" ht="22.5" customHeight="1">
      <c r="A673" s="7"/>
      <c r="B673" s="7"/>
      <c r="C673" s="7"/>
      <c r="D673" s="7"/>
      <c r="E673" s="7"/>
    </row>
    <row r="674" ht="22.5" customHeight="1">
      <c r="A674" s="7"/>
      <c r="B674" s="7"/>
      <c r="C674" s="7"/>
      <c r="D674" s="7"/>
      <c r="E674" s="7"/>
    </row>
    <row r="675" ht="22.5" customHeight="1">
      <c r="A675" s="7"/>
      <c r="B675" s="7"/>
      <c r="C675" s="7"/>
      <c r="D675" s="7"/>
      <c r="E675" s="7"/>
    </row>
    <row r="676" ht="22.5" customHeight="1">
      <c r="A676" s="7"/>
      <c r="B676" s="7"/>
      <c r="C676" s="7"/>
      <c r="D676" s="7"/>
      <c r="E676" s="7"/>
    </row>
    <row r="677" ht="22.5" customHeight="1">
      <c r="A677" s="7"/>
      <c r="B677" s="7"/>
      <c r="C677" s="7"/>
      <c r="D677" s="7"/>
      <c r="E677" s="7"/>
    </row>
    <row r="678" ht="22.5" customHeight="1">
      <c r="A678" s="7"/>
      <c r="B678" s="7"/>
      <c r="C678" s="7"/>
      <c r="D678" s="7"/>
      <c r="E678" s="7"/>
    </row>
    <row r="679" ht="22.5" customHeight="1">
      <c r="A679" s="7"/>
      <c r="B679" s="7"/>
      <c r="C679" s="7"/>
      <c r="D679" s="7"/>
      <c r="E679" s="7"/>
    </row>
    <row r="680" ht="22.5" customHeight="1">
      <c r="A680" s="7"/>
      <c r="B680" s="7"/>
      <c r="C680" s="7"/>
      <c r="D680" s="7"/>
      <c r="E680" s="7"/>
    </row>
    <row r="681" ht="22.5" customHeight="1">
      <c r="A681" s="7"/>
      <c r="B681" s="7"/>
      <c r="C681" s="7"/>
      <c r="D681" s="7"/>
      <c r="E681" s="7"/>
    </row>
    <row r="682" ht="22.5" customHeight="1">
      <c r="A682" s="7"/>
      <c r="B682" s="7"/>
      <c r="C682" s="7"/>
      <c r="D682" s="7"/>
      <c r="E682" s="7"/>
    </row>
    <row r="683" ht="22.5" customHeight="1">
      <c r="A683" s="7"/>
      <c r="B683" s="7"/>
      <c r="C683" s="7"/>
      <c r="D683" s="7"/>
      <c r="E683" s="7"/>
    </row>
    <row r="684" ht="22.5" customHeight="1">
      <c r="A684" s="7"/>
      <c r="B684" s="7"/>
      <c r="C684" s="7"/>
      <c r="D684" s="7"/>
      <c r="E684" s="7"/>
    </row>
    <row r="685" ht="22.5" customHeight="1">
      <c r="A685" s="7"/>
      <c r="B685" s="7"/>
      <c r="C685" s="7"/>
      <c r="D685" s="7"/>
      <c r="E685" s="7"/>
    </row>
    <row r="686" ht="22.5" customHeight="1">
      <c r="A686" s="7"/>
      <c r="B686" s="7"/>
      <c r="C686" s="7"/>
      <c r="D686" s="7"/>
      <c r="E686" s="7"/>
    </row>
    <row r="687" ht="22.5" customHeight="1">
      <c r="A687" s="7"/>
      <c r="B687" s="7"/>
      <c r="C687" s="7"/>
      <c r="D687" s="7"/>
      <c r="E687" s="7"/>
    </row>
    <row r="688" ht="22.5" customHeight="1">
      <c r="A688" s="7"/>
      <c r="B688" s="7"/>
      <c r="C688" s="7"/>
      <c r="D688" s="7"/>
      <c r="E688" s="7"/>
    </row>
    <row r="689" ht="22.5" customHeight="1">
      <c r="A689" s="7"/>
      <c r="B689" s="7"/>
      <c r="C689" s="7"/>
      <c r="D689" s="7"/>
      <c r="E689" s="7"/>
    </row>
    <row r="690" ht="22.5" customHeight="1">
      <c r="A690" s="7"/>
      <c r="B690" s="7"/>
      <c r="C690" s="7"/>
      <c r="D690" s="7"/>
      <c r="E690" s="7"/>
    </row>
    <row r="691" ht="22.5" customHeight="1">
      <c r="A691" s="7"/>
      <c r="B691" s="7"/>
      <c r="C691" s="7"/>
      <c r="D691" s="7"/>
      <c r="E691" s="7"/>
    </row>
    <row r="692" ht="22.5" customHeight="1">
      <c r="A692" s="7"/>
      <c r="B692" s="7"/>
      <c r="C692" s="7"/>
      <c r="D692" s="7"/>
      <c r="E692" s="7"/>
    </row>
    <row r="693" ht="22.5" customHeight="1">
      <c r="A693" s="7"/>
      <c r="B693" s="7"/>
      <c r="C693" s="7"/>
      <c r="D693" s="7"/>
      <c r="E693" s="7"/>
    </row>
    <row r="694" ht="22.5" customHeight="1">
      <c r="A694" s="7"/>
      <c r="B694" s="7"/>
      <c r="C694" s="7"/>
      <c r="D694" s="7"/>
      <c r="E694" s="7"/>
    </row>
    <row r="695" ht="22.5" customHeight="1">
      <c r="A695" s="7"/>
      <c r="B695" s="7"/>
      <c r="C695" s="7"/>
      <c r="D695" s="7"/>
      <c r="E695" s="7"/>
    </row>
    <row r="696" ht="22.5" customHeight="1">
      <c r="A696" s="7"/>
      <c r="B696" s="7"/>
      <c r="C696" s="7"/>
      <c r="D696" s="7"/>
      <c r="E696" s="7"/>
    </row>
    <row r="697" ht="22.5" customHeight="1">
      <c r="A697" s="7"/>
      <c r="B697" s="7"/>
      <c r="C697" s="7"/>
      <c r="D697" s="7"/>
      <c r="E697" s="7"/>
    </row>
    <row r="698" ht="22.5" customHeight="1">
      <c r="A698" s="7"/>
      <c r="B698" s="7"/>
      <c r="C698" s="7"/>
      <c r="D698" s="7"/>
      <c r="E698" s="7"/>
    </row>
    <row r="699" ht="22.5" customHeight="1">
      <c r="A699" s="7"/>
      <c r="B699" s="7"/>
      <c r="C699" s="7"/>
      <c r="D699" s="7"/>
      <c r="E699" s="7"/>
    </row>
    <row r="700" ht="22.5" customHeight="1">
      <c r="A700" s="7"/>
      <c r="B700" s="7"/>
      <c r="C700" s="7"/>
      <c r="D700" s="7"/>
      <c r="E700" s="7"/>
    </row>
    <row r="701" ht="22.5" customHeight="1">
      <c r="A701" s="7"/>
      <c r="B701" s="7"/>
      <c r="C701" s="7"/>
      <c r="D701" s="7"/>
      <c r="E701" s="7"/>
    </row>
    <row r="702" ht="22.5" customHeight="1">
      <c r="A702" s="7"/>
      <c r="B702" s="7"/>
      <c r="C702" s="7"/>
      <c r="D702" s="7"/>
      <c r="E702" s="7"/>
    </row>
    <row r="703" ht="22.5" customHeight="1">
      <c r="A703" s="7"/>
      <c r="B703" s="7"/>
      <c r="C703" s="7"/>
      <c r="D703" s="7"/>
      <c r="E703" s="7"/>
    </row>
    <row r="704" ht="22.5" customHeight="1">
      <c r="A704" s="7"/>
      <c r="B704" s="7"/>
      <c r="C704" s="7"/>
      <c r="D704" s="7"/>
      <c r="E704" s="7"/>
    </row>
    <row r="705" ht="22.5" customHeight="1">
      <c r="A705" s="7"/>
      <c r="B705" s="7"/>
      <c r="C705" s="7"/>
      <c r="D705" s="7"/>
      <c r="E705" s="7"/>
    </row>
    <row r="706" ht="22.5" customHeight="1">
      <c r="A706" s="7"/>
      <c r="B706" s="7"/>
      <c r="C706" s="7"/>
      <c r="D706" s="7"/>
      <c r="E706" s="7"/>
    </row>
    <row r="707" ht="22.5" customHeight="1">
      <c r="A707" s="7"/>
      <c r="B707" s="7"/>
      <c r="C707" s="7"/>
      <c r="D707" s="7"/>
      <c r="E707" s="7"/>
    </row>
    <row r="708" ht="22.5" customHeight="1">
      <c r="A708" s="7"/>
      <c r="B708" s="7"/>
      <c r="C708" s="7"/>
      <c r="D708" s="7"/>
      <c r="E708" s="7"/>
    </row>
    <row r="709" ht="22.5" customHeight="1">
      <c r="A709" s="7"/>
      <c r="B709" s="7"/>
      <c r="C709" s="7"/>
      <c r="D709" s="7"/>
      <c r="E709" s="7"/>
    </row>
    <row r="710" ht="22.5" customHeight="1">
      <c r="A710" s="7"/>
      <c r="B710" s="7"/>
      <c r="C710" s="7"/>
      <c r="D710" s="7"/>
      <c r="E710" s="7"/>
    </row>
    <row r="711" ht="22.5" customHeight="1">
      <c r="A711" s="7"/>
      <c r="B711" s="7"/>
      <c r="C711" s="7"/>
      <c r="D711" s="7"/>
      <c r="E711" s="7"/>
    </row>
    <row r="712" ht="22.5" customHeight="1">
      <c r="A712" s="7"/>
      <c r="B712" s="7"/>
      <c r="C712" s="7"/>
      <c r="D712" s="7"/>
      <c r="E712" s="7"/>
    </row>
    <row r="713" ht="22.5" customHeight="1">
      <c r="A713" s="7"/>
      <c r="B713" s="7"/>
      <c r="C713" s="7"/>
      <c r="D713" s="7"/>
      <c r="E713" s="7"/>
    </row>
    <row r="714" ht="22.5" customHeight="1">
      <c r="A714" s="7"/>
      <c r="B714" s="7"/>
      <c r="C714" s="7"/>
      <c r="D714" s="7"/>
      <c r="E714" s="7"/>
    </row>
    <row r="715" ht="22.5" customHeight="1">
      <c r="A715" s="7"/>
      <c r="B715" s="7"/>
      <c r="C715" s="7"/>
      <c r="D715" s="7"/>
      <c r="E715" s="7"/>
    </row>
    <row r="716" ht="22.5" customHeight="1">
      <c r="A716" s="7"/>
      <c r="B716" s="7"/>
      <c r="C716" s="7"/>
      <c r="D716" s="7"/>
      <c r="E716" s="7"/>
    </row>
    <row r="717" ht="22.5" customHeight="1">
      <c r="A717" s="7"/>
      <c r="B717" s="7"/>
      <c r="C717" s="7"/>
      <c r="D717" s="7"/>
      <c r="E717" s="7"/>
    </row>
    <row r="718" ht="22.5" customHeight="1">
      <c r="A718" s="7"/>
      <c r="B718" s="7"/>
      <c r="C718" s="7"/>
      <c r="D718" s="7"/>
      <c r="E718" s="7"/>
    </row>
    <row r="719" ht="22.5" customHeight="1">
      <c r="A719" s="7"/>
      <c r="B719" s="7"/>
      <c r="C719" s="7"/>
      <c r="D719" s="7"/>
      <c r="E719" s="7"/>
    </row>
    <row r="720" ht="22.5" customHeight="1">
      <c r="A720" s="7"/>
      <c r="B720" s="7"/>
      <c r="C720" s="7"/>
      <c r="D720" s="7"/>
      <c r="E720" s="7"/>
    </row>
    <row r="721" ht="22.5" customHeight="1">
      <c r="A721" s="7"/>
      <c r="B721" s="7"/>
      <c r="C721" s="7"/>
      <c r="D721" s="7"/>
      <c r="E721" s="7"/>
    </row>
    <row r="722" ht="22.5" customHeight="1">
      <c r="A722" s="7"/>
      <c r="B722" s="7"/>
      <c r="C722" s="7"/>
      <c r="D722" s="7"/>
      <c r="E722" s="7"/>
    </row>
    <row r="723" ht="22.5" customHeight="1">
      <c r="A723" s="7"/>
      <c r="B723" s="7"/>
      <c r="C723" s="7"/>
      <c r="D723" s="7"/>
      <c r="E723" s="7"/>
    </row>
    <row r="724" ht="22.5" customHeight="1">
      <c r="A724" s="7"/>
      <c r="B724" s="7"/>
      <c r="C724" s="7"/>
      <c r="D724" s="7"/>
      <c r="E724" s="7"/>
    </row>
    <row r="725" ht="22.5" customHeight="1">
      <c r="A725" s="7"/>
      <c r="B725" s="7"/>
      <c r="C725" s="7"/>
      <c r="D725" s="7"/>
      <c r="E725" s="7"/>
    </row>
    <row r="726" ht="22.5" customHeight="1">
      <c r="A726" s="7"/>
      <c r="B726" s="7"/>
      <c r="C726" s="7"/>
      <c r="D726" s="7"/>
      <c r="E726" s="7"/>
    </row>
    <row r="727" ht="22.5" customHeight="1">
      <c r="A727" s="7"/>
      <c r="B727" s="7"/>
      <c r="C727" s="7"/>
      <c r="D727" s="7"/>
      <c r="E727" s="7"/>
    </row>
    <row r="728" ht="22.5" customHeight="1">
      <c r="A728" s="7"/>
      <c r="B728" s="7"/>
      <c r="C728" s="7"/>
      <c r="D728" s="7"/>
      <c r="E728" s="7"/>
    </row>
    <row r="729" ht="22.5" customHeight="1">
      <c r="A729" s="7"/>
      <c r="B729" s="7"/>
      <c r="C729" s="7"/>
      <c r="D729" s="7"/>
      <c r="E729" s="7"/>
    </row>
    <row r="730" ht="22.5" customHeight="1">
      <c r="A730" s="7"/>
      <c r="B730" s="7"/>
      <c r="C730" s="7"/>
      <c r="D730" s="7"/>
      <c r="E730" s="7"/>
    </row>
    <row r="731" ht="22.5" customHeight="1">
      <c r="A731" s="7"/>
      <c r="B731" s="7"/>
      <c r="C731" s="7"/>
      <c r="D731" s="7"/>
      <c r="E731" s="7"/>
    </row>
    <row r="732" ht="22.5" customHeight="1">
      <c r="A732" s="7"/>
      <c r="B732" s="7"/>
      <c r="C732" s="7"/>
      <c r="D732" s="7"/>
      <c r="E732" s="7"/>
    </row>
    <row r="733" ht="22.5" customHeight="1">
      <c r="A733" s="7"/>
      <c r="B733" s="7"/>
      <c r="C733" s="7"/>
      <c r="D733" s="7"/>
      <c r="E733" s="7"/>
    </row>
    <row r="734" ht="22.5" customHeight="1">
      <c r="A734" s="7"/>
      <c r="B734" s="7"/>
      <c r="C734" s="7"/>
      <c r="D734" s="7"/>
      <c r="E734" s="7"/>
    </row>
    <row r="735" ht="22.5" customHeight="1">
      <c r="A735" s="7"/>
      <c r="B735" s="7"/>
      <c r="C735" s="7"/>
      <c r="D735" s="7"/>
      <c r="E735" s="7"/>
    </row>
    <row r="736" ht="22.5" customHeight="1">
      <c r="A736" s="7"/>
      <c r="B736" s="7"/>
      <c r="C736" s="7"/>
      <c r="D736" s="7"/>
      <c r="E736" s="7"/>
    </row>
    <row r="737" ht="22.5" customHeight="1">
      <c r="A737" s="7"/>
      <c r="B737" s="7"/>
      <c r="C737" s="7"/>
      <c r="D737" s="7"/>
      <c r="E737" s="7"/>
    </row>
    <row r="738" ht="22.5" customHeight="1">
      <c r="A738" s="7"/>
      <c r="B738" s="7"/>
      <c r="C738" s="7"/>
      <c r="D738" s="7"/>
      <c r="E738" s="7"/>
    </row>
    <row r="739" ht="22.5" customHeight="1">
      <c r="A739" s="7"/>
      <c r="B739" s="7"/>
      <c r="C739" s="7"/>
      <c r="D739" s="7"/>
      <c r="E739" s="7"/>
    </row>
    <row r="740" ht="22.5" customHeight="1">
      <c r="A740" s="7"/>
      <c r="B740" s="7"/>
      <c r="C740" s="7"/>
      <c r="D740" s="7"/>
      <c r="E740" s="7"/>
    </row>
    <row r="741" ht="22.5" customHeight="1">
      <c r="A741" s="7"/>
      <c r="B741" s="7"/>
      <c r="C741" s="7"/>
      <c r="D741" s="7"/>
      <c r="E741" s="7"/>
    </row>
    <row r="742" ht="22.5" customHeight="1">
      <c r="A742" s="7"/>
      <c r="B742" s="7"/>
      <c r="C742" s="7"/>
      <c r="D742" s="7"/>
      <c r="E742" s="7"/>
    </row>
    <row r="743" ht="22.5" customHeight="1">
      <c r="A743" s="7"/>
      <c r="B743" s="7"/>
      <c r="C743" s="7"/>
      <c r="D743" s="7"/>
      <c r="E743" s="7"/>
    </row>
    <row r="744" ht="22.5" customHeight="1">
      <c r="A744" s="7"/>
      <c r="B744" s="7"/>
      <c r="C744" s="7"/>
      <c r="D744" s="7"/>
      <c r="E744" s="7"/>
    </row>
    <row r="745" ht="22.5" customHeight="1">
      <c r="A745" s="7"/>
      <c r="B745" s="7"/>
      <c r="C745" s="7"/>
      <c r="D745" s="7"/>
      <c r="E745" s="7"/>
    </row>
    <row r="746" ht="22.5" customHeight="1">
      <c r="A746" s="7"/>
      <c r="B746" s="7"/>
      <c r="C746" s="7"/>
      <c r="D746" s="7"/>
      <c r="E746" s="7"/>
    </row>
    <row r="747" ht="22.5" customHeight="1">
      <c r="A747" s="7"/>
      <c r="B747" s="7"/>
      <c r="C747" s="7"/>
      <c r="D747" s="7"/>
      <c r="E747" s="7"/>
    </row>
    <row r="748" ht="22.5" customHeight="1">
      <c r="A748" s="7"/>
      <c r="B748" s="7"/>
      <c r="C748" s="7"/>
      <c r="D748" s="7"/>
      <c r="E748" s="7"/>
    </row>
    <row r="749" ht="22.5" customHeight="1">
      <c r="A749" s="7"/>
      <c r="B749" s="7"/>
      <c r="C749" s="7"/>
      <c r="D749" s="7"/>
      <c r="E749" s="7"/>
    </row>
    <row r="750" ht="22.5" customHeight="1">
      <c r="A750" s="7"/>
      <c r="B750" s="7"/>
      <c r="C750" s="7"/>
      <c r="D750" s="7"/>
      <c r="E750" s="7"/>
    </row>
    <row r="751" ht="22.5" customHeight="1">
      <c r="A751" s="7"/>
      <c r="B751" s="7"/>
      <c r="C751" s="7"/>
      <c r="D751" s="7"/>
      <c r="E751" s="7"/>
    </row>
    <row r="752" ht="22.5" customHeight="1">
      <c r="A752" s="7"/>
      <c r="B752" s="7"/>
      <c r="C752" s="7"/>
      <c r="D752" s="7"/>
      <c r="E752" s="7"/>
    </row>
    <row r="753" ht="22.5" customHeight="1">
      <c r="A753" s="7"/>
      <c r="B753" s="7"/>
      <c r="C753" s="7"/>
      <c r="D753" s="7"/>
      <c r="E753" s="7"/>
    </row>
    <row r="754" ht="22.5" customHeight="1">
      <c r="A754" s="7"/>
      <c r="B754" s="7"/>
      <c r="C754" s="7"/>
      <c r="D754" s="7"/>
      <c r="E754" s="7"/>
    </row>
    <row r="755" ht="22.5" customHeight="1">
      <c r="A755" s="7"/>
      <c r="B755" s="7"/>
      <c r="C755" s="7"/>
      <c r="D755" s="7"/>
      <c r="E755" s="7"/>
    </row>
    <row r="756" ht="22.5" customHeight="1">
      <c r="A756" s="7"/>
      <c r="B756" s="7"/>
      <c r="C756" s="7"/>
      <c r="D756" s="7"/>
      <c r="E756" s="7"/>
    </row>
    <row r="757" ht="22.5" customHeight="1">
      <c r="A757" s="7"/>
      <c r="B757" s="7"/>
      <c r="C757" s="7"/>
      <c r="D757" s="7"/>
      <c r="E757" s="7"/>
    </row>
    <row r="758" ht="22.5" customHeight="1">
      <c r="A758" s="7"/>
      <c r="B758" s="7"/>
      <c r="C758" s="7"/>
      <c r="D758" s="7"/>
      <c r="E758" s="7"/>
    </row>
    <row r="759" ht="22.5" customHeight="1">
      <c r="A759" s="7"/>
      <c r="B759" s="7"/>
      <c r="C759" s="7"/>
      <c r="D759" s="7"/>
      <c r="E759" s="7"/>
    </row>
    <row r="760" ht="22.5" customHeight="1">
      <c r="A760" s="7"/>
      <c r="B760" s="7"/>
      <c r="C760" s="7"/>
      <c r="D760" s="7"/>
      <c r="E760" s="7"/>
    </row>
    <row r="761" ht="22.5" customHeight="1">
      <c r="A761" s="7"/>
      <c r="B761" s="7"/>
      <c r="C761" s="7"/>
      <c r="D761" s="7"/>
      <c r="E761" s="7"/>
    </row>
    <row r="762" ht="22.5" customHeight="1">
      <c r="A762" s="7"/>
      <c r="B762" s="7"/>
      <c r="C762" s="7"/>
      <c r="D762" s="7"/>
      <c r="E762" s="7"/>
    </row>
    <row r="763" ht="22.5" customHeight="1">
      <c r="A763" s="7"/>
      <c r="B763" s="7"/>
      <c r="C763" s="7"/>
      <c r="D763" s="7"/>
      <c r="E763" s="7"/>
    </row>
    <row r="764" ht="22.5" customHeight="1">
      <c r="A764" s="7"/>
      <c r="B764" s="7"/>
      <c r="C764" s="7"/>
      <c r="D764" s="7"/>
      <c r="E764" s="7"/>
    </row>
    <row r="765" ht="22.5" customHeight="1">
      <c r="A765" s="7"/>
      <c r="B765" s="7"/>
      <c r="C765" s="7"/>
      <c r="D765" s="7"/>
      <c r="E765" s="7"/>
    </row>
    <row r="766" ht="22.5" customHeight="1">
      <c r="A766" s="7"/>
      <c r="B766" s="7"/>
      <c r="C766" s="7"/>
      <c r="D766" s="7"/>
      <c r="E766" s="7"/>
    </row>
    <row r="767" ht="22.5" customHeight="1">
      <c r="A767" s="7"/>
      <c r="B767" s="7"/>
      <c r="C767" s="7"/>
      <c r="D767" s="7"/>
      <c r="E767" s="7"/>
    </row>
    <row r="768" ht="22.5" customHeight="1">
      <c r="A768" s="7"/>
      <c r="B768" s="7"/>
      <c r="C768" s="7"/>
      <c r="D768" s="7"/>
      <c r="E768" s="7"/>
    </row>
    <row r="769" ht="22.5" customHeight="1">
      <c r="A769" s="7"/>
      <c r="B769" s="7"/>
      <c r="C769" s="7"/>
      <c r="D769" s="7"/>
      <c r="E769" s="7"/>
    </row>
    <row r="770" ht="22.5" customHeight="1">
      <c r="A770" s="7"/>
      <c r="B770" s="7"/>
      <c r="C770" s="7"/>
      <c r="D770" s="7"/>
      <c r="E770" s="7"/>
    </row>
    <row r="771" ht="22.5" customHeight="1">
      <c r="A771" s="7"/>
      <c r="B771" s="7"/>
      <c r="C771" s="7"/>
      <c r="D771" s="7"/>
      <c r="E771" s="7"/>
    </row>
    <row r="772" ht="22.5" customHeight="1">
      <c r="A772" s="7"/>
      <c r="B772" s="7"/>
      <c r="C772" s="7"/>
      <c r="D772" s="7"/>
      <c r="E772" s="7"/>
    </row>
    <row r="773" ht="22.5" customHeight="1">
      <c r="A773" s="7"/>
      <c r="B773" s="7"/>
      <c r="C773" s="7"/>
      <c r="D773" s="7"/>
      <c r="E773" s="7"/>
    </row>
    <row r="774" ht="22.5" customHeight="1">
      <c r="A774" s="7"/>
      <c r="B774" s="7"/>
      <c r="C774" s="7"/>
      <c r="D774" s="7"/>
      <c r="E774" s="7"/>
    </row>
    <row r="775" ht="22.5" customHeight="1">
      <c r="A775" s="7"/>
      <c r="B775" s="7"/>
      <c r="C775" s="7"/>
      <c r="D775" s="7"/>
      <c r="E775" s="7"/>
    </row>
    <row r="776" ht="22.5" customHeight="1">
      <c r="A776" s="7"/>
      <c r="B776" s="7"/>
      <c r="C776" s="7"/>
      <c r="D776" s="7"/>
      <c r="E776" s="7"/>
    </row>
    <row r="777" ht="22.5" customHeight="1">
      <c r="A777" s="7"/>
      <c r="B777" s="7"/>
      <c r="C777" s="7"/>
      <c r="D777" s="7"/>
      <c r="E777" s="7"/>
    </row>
    <row r="778" ht="22.5" customHeight="1">
      <c r="A778" s="7"/>
      <c r="B778" s="7"/>
      <c r="C778" s="7"/>
      <c r="D778" s="7"/>
      <c r="E778" s="7"/>
    </row>
    <row r="779" ht="22.5" customHeight="1">
      <c r="A779" s="7"/>
      <c r="B779" s="7"/>
      <c r="C779" s="7"/>
      <c r="D779" s="7"/>
      <c r="E779" s="7"/>
    </row>
    <row r="780" ht="22.5" customHeight="1">
      <c r="A780" s="7"/>
      <c r="B780" s="7"/>
      <c r="C780" s="7"/>
      <c r="D780" s="7"/>
      <c r="E780" s="7"/>
    </row>
    <row r="781" ht="22.5" customHeight="1">
      <c r="A781" s="7"/>
      <c r="B781" s="7"/>
      <c r="C781" s="7"/>
      <c r="D781" s="7"/>
      <c r="E781" s="7"/>
    </row>
    <row r="782" ht="22.5" customHeight="1">
      <c r="A782" s="7"/>
      <c r="B782" s="7"/>
      <c r="C782" s="7"/>
      <c r="D782" s="7"/>
      <c r="E782" s="7"/>
    </row>
    <row r="783" ht="22.5" customHeight="1">
      <c r="A783" s="7"/>
      <c r="B783" s="7"/>
      <c r="C783" s="7"/>
      <c r="D783" s="7"/>
      <c r="E783" s="7"/>
    </row>
    <row r="784" ht="22.5" customHeight="1">
      <c r="A784" s="7"/>
      <c r="B784" s="7"/>
      <c r="C784" s="7"/>
      <c r="D784" s="7"/>
      <c r="E784" s="7"/>
    </row>
    <row r="785" ht="22.5" customHeight="1">
      <c r="A785" s="7"/>
      <c r="B785" s="7"/>
      <c r="C785" s="7"/>
      <c r="D785" s="7"/>
      <c r="E785" s="7"/>
    </row>
    <row r="786" ht="22.5" customHeight="1">
      <c r="A786" s="7"/>
      <c r="B786" s="7"/>
      <c r="C786" s="7"/>
      <c r="D786" s="7"/>
      <c r="E786" s="7"/>
    </row>
    <row r="787" ht="22.5" customHeight="1">
      <c r="A787" s="7"/>
      <c r="B787" s="7"/>
      <c r="C787" s="7"/>
      <c r="D787" s="7"/>
      <c r="E787" s="7"/>
    </row>
    <row r="788" ht="22.5" customHeight="1">
      <c r="A788" s="7"/>
      <c r="B788" s="7"/>
      <c r="C788" s="7"/>
      <c r="D788" s="7"/>
      <c r="E788" s="7"/>
    </row>
    <row r="789" ht="22.5" customHeight="1">
      <c r="A789" s="7"/>
      <c r="B789" s="7"/>
      <c r="C789" s="7"/>
      <c r="D789" s="7"/>
      <c r="E789" s="7"/>
    </row>
    <row r="790" ht="22.5" customHeight="1">
      <c r="A790" s="7"/>
      <c r="B790" s="7"/>
      <c r="C790" s="7"/>
      <c r="D790" s="7"/>
      <c r="E790" s="7"/>
    </row>
    <row r="791" ht="22.5" customHeight="1">
      <c r="A791" s="7"/>
      <c r="B791" s="7"/>
      <c r="C791" s="7"/>
      <c r="D791" s="7"/>
      <c r="E791" s="7"/>
    </row>
    <row r="792" ht="22.5" customHeight="1">
      <c r="A792" s="7"/>
      <c r="B792" s="7"/>
      <c r="C792" s="7"/>
      <c r="D792" s="7"/>
      <c r="E792" s="7"/>
    </row>
    <row r="793" ht="22.5" customHeight="1">
      <c r="A793" s="7"/>
      <c r="B793" s="7"/>
      <c r="C793" s="7"/>
      <c r="D793" s="7"/>
      <c r="E793" s="7"/>
    </row>
    <row r="794" ht="22.5" customHeight="1">
      <c r="A794" s="7"/>
      <c r="B794" s="7"/>
      <c r="C794" s="7"/>
      <c r="D794" s="7"/>
      <c r="E794" s="7"/>
    </row>
    <row r="795" ht="22.5" customHeight="1">
      <c r="A795" s="7"/>
      <c r="B795" s="7"/>
      <c r="C795" s="7"/>
      <c r="D795" s="7"/>
      <c r="E795" s="7"/>
    </row>
    <row r="796" ht="22.5" customHeight="1">
      <c r="A796" s="7"/>
      <c r="B796" s="7"/>
      <c r="C796" s="7"/>
      <c r="D796" s="7"/>
      <c r="E796" s="7"/>
    </row>
    <row r="797" ht="22.5" customHeight="1">
      <c r="A797" s="7"/>
      <c r="B797" s="7"/>
      <c r="C797" s="7"/>
      <c r="D797" s="7"/>
      <c r="E797" s="7"/>
    </row>
    <row r="798" ht="22.5" customHeight="1">
      <c r="A798" s="7"/>
      <c r="B798" s="7"/>
      <c r="C798" s="7"/>
      <c r="D798" s="7"/>
      <c r="E798" s="7"/>
    </row>
    <row r="799" ht="22.5" customHeight="1">
      <c r="A799" s="7"/>
      <c r="B799" s="7"/>
      <c r="C799" s="7"/>
      <c r="D799" s="7"/>
      <c r="E799" s="7"/>
    </row>
    <row r="800" ht="22.5" customHeight="1">
      <c r="A800" s="7"/>
      <c r="B800" s="7"/>
      <c r="C800" s="7"/>
      <c r="D800" s="7"/>
      <c r="E800" s="7"/>
    </row>
    <row r="801" ht="22.5" customHeight="1">
      <c r="A801" s="7"/>
      <c r="B801" s="7"/>
      <c r="C801" s="7"/>
      <c r="D801" s="7"/>
      <c r="E801" s="7"/>
    </row>
    <row r="802" ht="22.5" customHeight="1">
      <c r="A802" s="7"/>
      <c r="B802" s="7"/>
      <c r="C802" s="7"/>
      <c r="D802" s="7"/>
      <c r="E802" s="7"/>
    </row>
    <row r="803" ht="22.5" customHeight="1">
      <c r="A803" s="7"/>
      <c r="B803" s="7"/>
      <c r="C803" s="7"/>
      <c r="D803" s="7"/>
      <c r="E803" s="7"/>
    </row>
    <row r="804" ht="22.5" customHeight="1">
      <c r="A804" s="7"/>
      <c r="B804" s="7"/>
      <c r="C804" s="7"/>
      <c r="D804" s="7"/>
      <c r="E804" s="7"/>
    </row>
    <row r="805" ht="22.5" customHeight="1">
      <c r="A805" s="7"/>
      <c r="B805" s="7"/>
      <c r="C805" s="7"/>
      <c r="D805" s="7"/>
      <c r="E805" s="7"/>
    </row>
    <row r="806" ht="22.5" customHeight="1">
      <c r="A806" s="7"/>
      <c r="B806" s="7"/>
      <c r="C806" s="7"/>
      <c r="D806" s="7"/>
      <c r="E806" s="7"/>
    </row>
    <row r="807" ht="22.5" customHeight="1">
      <c r="A807" s="7"/>
      <c r="B807" s="7"/>
      <c r="C807" s="7"/>
      <c r="D807" s="7"/>
      <c r="E807" s="7"/>
    </row>
    <row r="808" ht="22.5" customHeight="1">
      <c r="A808" s="7"/>
      <c r="B808" s="7"/>
      <c r="C808" s="7"/>
      <c r="D808" s="7"/>
      <c r="E808" s="7"/>
    </row>
    <row r="809" ht="22.5" customHeight="1">
      <c r="A809" s="7"/>
      <c r="B809" s="7"/>
      <c r="C809" s="7"/>
      <c r="D809" s="7"/>
      <c r="E809" s="7"/>
    </row>
    <row r="810" ht="22.5" customHeight="1">
      <c r="A810" s="7"/>
      <c r="B810" s="7"/>
      <c r="C810" s="7"/>
      <c r="D810" s="7"/>
      <c r="E810" s="7"/>
    </row>
    <row r="811" ht="22.5" customHeight="1">
      <c r="A811" s="7"/>
      <c r="B811" s="7"/>
      <c r="C811" s="7"/>
      <c r="D811" s="7"/>
      <c r="E811" s="7"/>
    </row>
    <row r="812" ht="22.5" customHeight="1">
      <c r="A812" s="7"/>
      <c r="B812" s="7"/>
      <c r="C812" s="7"/>
      <c r="D812" s="7"/>
      <c r="E812" s="7"/>
    </row>
    <row r="813" ht="22.5" customHeight="1">
      <c r="A813" s="7"/>
      <c r="B813" s="7"/>
      <c r="C813" s="7"/>
      <c r="D813" s="7"/>
      <c r="E813" s="7"/>
    </row>
    <row r="814" ht="22.5" customHeight="1">
      <c r="A814" s="7"/>
      <c r="B814" s="7"/>
      <c r="C814" s="7"/>
      <c r="D814" s="7"/>
      <c r="E814" s="7"/>
    </row>
    <row r="815" ht="22.5" customHeight="1">
      <c r="A815" s="7"/>
      <c r="B815" s="7"/>
      <c r="C815" s="7"/>
      <c r="D815" s="7"/>
      <c r="E815" s="7"/>
    </row>
    <row r="816" ht="22.5" customHeight="1">
      <c r="A816" s="7"/>
      <c r="B816" s="7"/>
      <c r="C816" s="7"/>
      <c r="D816" s="7"/>
      <c r="E816" s="7"/>
    </row>
    <row r="817" ht="22.5" customHeight="1">
      <c r="A817" s="7"/>
      <c r="B817" s="7"/>
      <c r="C817" s="7"/>
      <c r="D817" s="7"/>
      <c r="E817" s="7"/>
    </row>
    <row r="818" ht="22.5" customHeight="1">
      <c r="A818" s="7"/>
      <c r="B818" s="7"/>
      <c r="C818" s="7"/>
      <c r="D818" s="7"/>
      <c r="E818" s="7"/>
    </row>
    <row r="819" ht="22.5" customHeight="1">
      <c r="A819" s="7"/>
      <c r="B819" s="7"/>
      <c r="C819" s="7"/>
      <c r="D819" s="7"/>
      <c r="E819" s="7"/>
    </row>
    <row r="820" ht="22.5" customHeight="1">
      <c r="A820" s="7"/>
      <c r="B820" s="7"/>
      <c r="C820" s="7"/>
      <c r="D820" s="7"/>
      <c r="E820" s="7"/>
    </row>
    <row r="821" ht="22.5" customHeight="1">
      <c r="A821" s="7"/>
      <c r="B821" s="7"/>
      <c r="C821" s="7"/>
      <c r="D821" s="7"/>
      <c r="E821" s="7"/>
    </row>
    <row r="822" ht="22.5" customHeight="1">
      <c r="A822" s="7"/>
      <c r="B822" s="7"/>
      <c r="C822" s="7"/>
      <c r="D822" s="7"/>
      <c r="E822" s="7"/>
    </row>
    <row r="823" ht="22.5" customHeight="1">
      <c r="A823" s="7"/>
      <c r="B823" s="7"/>
      <c r="C823" s="7"/>
      <c r="D823" s="7"/>
      <c r="E823" s="7"/>
    </row>
    <row r="824" ht="22.5" customHeight="1">
      <c r="A824" s="7"/>
      <c r="B824" s="7"/>
      <c r="C824" s="7"/>
      <c r="D824" s="7"/>
      <c r="E824" s="7"/>
    </row>
    <row r="825" ht="22.5" customHeight="1">
      <c r="A825" s="7"/>
      <c r="B825" s="7"/>
      <c r="C825" s="7"/>
      <c r="D825" s="7"/>
      <c r="E825" s="7"/>
    </row>
    <row r="826" ht="22.5" customHeight="1">
      <c r="A826" s="7"/>
      <c r="B826" s="7"/>
      <c r="C826" s="7"/>
      <c r="D826" s="7"/>
      <c r="E826" s="7"/>
    </row>
    <row r="827" ht="22.5" customHeight="1">
      <c r="A827" s="7"/>
      <c r="B827" s="7"/>
      <c r="C827" s="7"/>
      <c r="D827" s="7"/>
      <c r="E827" s="7"/>
    </row>
    <row r="828" ht="22.5" customHeight="1">
      <c r="A828" s="7"/>
      <c r="B828" s="7"/>
      <c r="C828" s="7"/>
      <c r="D828" s="7"/>
      <c r="E828" s="7"/>
    </row>
    <row r="829" ht="22.5" customHeight="1">
      <c r="A829" s="7"/>
      <c r="B829" s="7"/>
      <c r="C829" s="7"/>
      <c r="D829" s="7"/>
      <c r="E829" s="7"/>
    </row>
    <row r="830" ht="22.5" customHeight="1">
      <c r="A830" s="7"/>
      <c r="B830" s="7"/>
      <c r="C830" s="7"/>
      <c r="D830" s="7"/>
      <c r="E830" s="7"/>
    </row>
    <row r="831" ht="22.5" customHeight="1">
      <c r="A831" s="7"/>
      <c r="B831" s="7"/>
      <c r="C831" s="7"/>
      <c r="D831" s="7"/>
      <c r="E831" s="7"/>
    </row>
    <row r="832" ht="22.5" customHeight="1">
      <c r="A832" s="7"/>
      <c r="B832" s="7"/>
      <c r="C832" s="7"/>
      <c r="D832" s="7"/>
      <c r="E832" s="7"/>
    </row>
    <row r="833" ht="22.5" customHeight="1">
      <c r="A833" s="7"/>
      <c r="B833" s="7"/>
      <c r="C833" s="7"/>
      <c r="D833" s="7"/>
      <c r="E833" s="7"/>
    </row>
    <row r="834" ht="22.5" customHeight="1">
      <c r="A834" s="7"/>
      <c r="B834" s="7"/>
      <c r="C834" s="7"/>
      <c r="D834" s="7"/>
      <c r="E834" s="7"/>
    </row>
    <row r="835" ht="22.5" customHeight="1">
      <c r="A835" s="7"/>
      <c r="B835" s="7"/>
      <c r="C835" s="7"/>
      <c r="D835" s="7"/>
      <c r="E835" s="7"/>
    </row>
    <row r="836" ht="22.5" customHeight="1">
      <c r="A836" s="7"/>
      <c r="B836" s="7"/>
      <c r="C836" s="7"/>
      <c r="D836" s="7"/>
      <c r="E836" s="7"/>
    </row>
    <row r="837" ht="22.5" customHeight="1">
      <c r="A837" s="7"/>
      <c r="B837" s="7"/>
      <c r="C837" s="7"/>
      <c r="D837" s="7"/>
      <c r="E837" s="7"/>
    </row>
    <row r="838" ht="22.5" customHeight="1">
      <c r="A838" s="7"/>
      <c r="B838" s="7"/>
      <c r="C838" s="7"/>
      <c r="D838" s="7"/>
      <c r="E838" s="7"/>
    </row>
    <row r="839" ht="22.5" customHeight="1">
      <c r="A839" s="7"/>
      <c r="B839" s="7"/>
      <c r="C839" s="7"/>
      <c r="D839" s="7"/>
      <c r="E839" s="7"/>
    </row>
    <row r="840" ht="22.5" customHeight="1">
      <c r="A840" s="7"/>
      <c r="B840" s="7"/>
      <c r="C840" s="7"/>
      <c r="D840" s="7"/>
      <c r="E840" s="7"/>
    </row>
    <row r="841" ht="22.5" customHeight="1">
      <c r="A841" s="7"/>
      <c r="B841" s="7"/>
      <c r="C841" s="7"/>
      <c r="D841" s="7"/>
      <c r="E841" s="7"/>
    </row>
    <row r="842" ht="22.5" customHeight="1">
      <c r="A842" s="7"/>
      <c r="B842" s="7"/>
      <c r="C842" s="7"/>
      <c r="D842" s="7"/>
      <c r="E842" s="7"/>
    </row>
    <row r="843" ht="22.5" customHeight="1">
      <c r="A843" s="7"/>
      <c r="B843" s="7"/>
      <c r="C843" s="7"/>
      <c r="D843" s="7"/>
      <c r="E843" s="7"/>
    </row>
    <row r="844" ht="22.5" customHeight="1">
      <c r="A844" s="7"/>
      <c r="B844" s="7"/>
      <c r="C844" s="7"/>
      <c r="D844" s="7"/>
      <c r="E844" s="7"/>
    </row>
    <row r="845" ht="22.5" customHeight="1">
      <c r="A845" s="7"/>
      <c r="B845" s="7"/>
      <c r="C845" s="7"/>
      <c r="D845" s="7"/>
      <c r="E845" s="7"/>
    </row>
    <row r="846" ht="22.5" customHeight="1">
      <c r="A846" s="7"/>
      <c r="B846" s="7"/>
      <c r="C846" s="7"/>
      <c r="D846" s="7"/>
      <c r="E846" s="7"/>
    </row>
    <row r="847" ht="22.5" customHeight="1">
      <c r="A847" s="7"/>
      <c r="B847" s="7"/>
      <c r="C847" s="7"/>
      <c r="D847" s="7"/>
      <c r="E847" s="7"/>
    </row>
    <row r="848" ht="22.5" customHeight="1">
      <c r="A848" s="7"/>
      <c r="B848" s="7"/>
      <c r="C848" s="7"/>
      <c r="D848" s="7"/>
      <c r="E848" s="7"/>
    </row>
    <row r="849" ht="22.5" customHeight="1">
      <c r="A849" s="7"/>
      <c r="B849" s="7"/>
      <c r="C849" s="7"/>
      <c r="D849" s="7"/>
      <c r="E849" s="7"/>
    </row>
    <row r="850" ht="22.5" customHeight="1">
      <c r="A850" s="7"/>
      <c r="B850" s="7"/>
      <c r="C850" s="7"/>
      <c r="D850" s="7"/>
      <c r="E850" s="7"/>
    </row>
    <row r="851" ht="22.5" customHeight="1">
      <c r="A851" s="7"/>
      <c r="B851" s="7"/>
      <c r="C851" s="7"/>
      <c r="D851" s="7"/>
      <c r="E851" s="7"/>
    </row>
    <row r="852" ht="22.5" customHeight="1">
      <c r="A852" s="7"/>
      <c r="B852" s="7"/>
      <c r="C852" s="7"/>
      <c r="D852" s="7"/>
      <c r="E852" s="7"/>
    </row>
    <row r="853" ht="22.5" customHeight="1">
      <c r="A853" s="7"/>
      <c r="B853" s="7"/>
      <c r="C853" s="7"/>
      <c r="D853" s="7"/>
      <c r="E853" s="7"/>
    </row>
    <row r="854" ht="22.5" customHeight="1">
      <c r="A854" s="7"/>
      <c r="B854" s="7"/>
      <c r="C854" s="7"/>
      <c r="D854" s="7"/>
      <c r="E854" s="7"/>
    </row>
    <row r="855" ht="22.5" customHeight="1">
      <c r="A855" s="7"/>
      <c r="B855" s="7"/>
      <c r="C855" s="7"/>
      <c r="D855" s="7"/>
      <c r="E855" s="7"/>
    </row>
    <row r="856" ht="22.5" customHeight="1">
      <c r="A856" s="7"/>
      <c r="B856" s="7"/>
      <c r="C856" s="7"/>
      <c r="D856" s="7"/>
      <c r="E856" s="7"/>
    </row>
    <row r="857" ht="22.5" customHeight="1">
      <c r="A857" s="7"/>
      <c r="B857" s="7"/>
      <c r="C857" s="7"/>
      <c r="D857" s="7"/>
      <c r="E857" s="7"/>
    </row>
    <row r="858" ht="22.5" customHeight="1">
      <c r="A858" s="7"/>
      <c r="B858" s="7"/>
      <c r="C858" s="7"/>
      <c r="D858" s="7"/>
      <c r="E858" s="7"/>
    </row>
    <row r="859" ht="22.5" customHeight="1">
      <c r="A859" s="7"/>
      <c r="B859" s="7"/>
      <c r="C859" s="7"/>
      <c r="D859" s="7"/>
      <c r="E859" s="7"/>
    </row>
    <row r="860" ht="22.5" customHeight="1">
      <c r="A860" s="7"/>
      <c r="B860" s="7"/>
      <c r="C860" s="7"/>
      <c r="D860" s="7"/>
      <c r="E860" s="7"/>
    </row>
    <row r="861" ht="22.5" customHeight="1">
      <c r="A861" s="7"/>
      <c r="B861" s="7"/>
      <c r="C861" s="7"/>
      <c r="D861" s="7"/>
      <c r="E861" s="7"/>
    </row>
    <row r="862" ht="22.5" customHeight="1">
      <c r="A862" s="7"/>
      <c r="B862" s="7"/>
      <c r="C862" s="7"/>
      <c r="D862" s="7"/>
      <c r="E862" s="7"/>
    </row>
    <row r="863" ht="22.5" customHeight="1">
      <c r="A863" s="7"/>
      <c r="B863" s="7"/>
      <c r="C863" s="7"/>
      <c r="D863" s="7"/>
      <c r="E863" s="7"/>
    </row>
    <row r="864" ht="22.5" customHeight="1">
      <c r="A864" s="7"/>
      <c r="B864" s="7"/>
      <c r="C864" s="7"/>
      <c r="D864" s="7"/>
      <c r="E864" s="7"/>
    </row>
    <row r="865" ht="22.5" customHeight="1">
      <c r="A865" s="7"/>
      <c r="B865" s="7"/>
      <c r="C865" s="7"/>
      <c r="D865" s="7"/>
      <c r="E865" s="7"/>
    </row>
    <row r="866" ht="22.5" customHeight="1">
      <c r="A866" s="7"/>
      <c r="B866" s="7"/>
      <c r="C866" s="7"/>
      <c r="D866" s="7"/>
      <c r="E866" s="7"/>
    </row>
    <row r="867" ht="22.5" customHeight="1">
      <c r="A867" s="7"/>
      <c r="B867" s="7"/>
      <c r="C867" s="7"/>
      <c r="D867" s="7"/>
      <c r="E867" s="7"/>
    </row>
    <row r="868" ht="22.5" customHeight="1">
      <c r="A868" s="7"/>
      <c r="B868" s="7"/>
      <c r="C868" s="7"/>
      <c r="D868" s="7"/>
      <c r="E868" s="7"/>
    </row>
    <row r="869" ht="22.5" customHeight="1">
      <c r="A869" s="7"/>
      <c r="B869" s="7"/>
      <c r="C869" s="7"/>
      <c r="D869" s="7"/>
      <c r="E869" s="7"/>
    </row>
    <row r="870" ht="22.5" customHeight="1">
      <c r="A870" s="7"/>
      <c r="B870" s="7"/>
      <c r="C870" s="7"/>
      <c r="D870" s="7"/>
      <c r="E870" s="7"/>
    </row>
    <row r="871" ht="22.5" customHeight="1">
      <c r="A871" s="7"/>
      <c r="B871" s="7"/>
      <c r="C871" s="7"/>
      <c r="D871" s="7"/>
      <c r="E871" s="7"/>
    </row>
    <row r="872" ht="22.5" customHeight="1">
      <c r="A872" s="7"/>
      <c r="B872" s="7"/>
      <c r="C872" s="7"/>
      <c r="D872" s="7"/>
      <c r="E872" s="7"/>
    </row>
    <row r="873" ht="22.5" customHeight="1">
      <c r="A873" s="7"/>
      <c r="B873" s="7"/>
      <c r="C873" s="7"/>
      <c r="D873" s="7"/>
      <c r="E873" s="7"/>
    </row>
    <row r="874" ht="22.5" customHeight="1">
      <c r="A874" s="7"/>
      <c r="B874" s="7"/>
      <c r="C874" s="7"/>
      <c r="D874" s="7"/>
      <c r="E874" s="7"/>
    </row>
    <row r="875" ht="22.5" customHeight="1">
      <c r="A875" s="7"/>
      <c r="B875" s="7"/>
      <c r="C875" s="7"/>
      <c r="D875" s="7"/>
      <c r="E875" s="7"/>
    </row>
    <row r="876" ht="22.5" customHeight="1">
      <c r="A876" s="7"/>
      <c r="B876" s="7"/>
      <c r="C876" s="7"/>
      <c r="D876" s="7"/>
      <c r="E876" s="7"/>
    </row>
    <row r="877" ht="22.5" customHeight="1">
      <c r="A877" s="7"/>
      <c r="B877" s="7"/>
      <c r="C877" s="7"/>
      <c r="D877" s="7"/>
      <c r="E877" s="7"/>
    </row>
    <row r="878" ht="22.5" customHeight="1">
      <c r="A878" s="7"/>
      <c r="B878" s="7"/>
      <c r="C878" s="7"/>
      <c r="D878" s="7"/>
      <c r="E878" s="7"/>
    </row>
    <row r="879" ht="22.5" customHeight="1">
      <c r="A879" s="7"/>
      <c r="B879" s="7"/>
      <c r="C879" s="7"/>
      <c r="D879" s="7"/>
      <c r="E879" s="7"/>
    </row>
    <row r="880" ht="22.5" customHeight="1">
      <c r="A880" s="7"/>
      <c r="B880" s="7"/>
      <c r="C880" s="7"/>
      <c r="D880" s="7"/>
      <c r="E880" s="7"/>
    </row>
    <row r="881" ht="22.5" customHeight="1">
      <c r="A881" s="7"/>
      <c r="B881" s="7"/>
      <c r="C881" s="7"/>
      <c r="D881" s="7"/>
      <c r="E881" s="7"/>
    </row>
    <row r="882" ht="22.5" customHeight="1">
      <c r="A882" s="7"/>
      <c r="B882" s="7"/>
      <c r="C882" s="7"/>
      <c r="D882" s="7"/>
      <c r="E882" s="7"/>
    </row>
    <row r="883" ht="22.5" customHeight="1">
      <c r="A883" s="7"/>
      <c r="B883" s="7"/>
      <c r="C883" s="7"/>
      <c r="D883" s="7"/>
      <c r="E883" s="7"/>
    </row>
    <row r="884" ht="22.5" customHeight="1">
      <c r="A884" s="7"/>
      <c r="B884" s="7"/>
      <c r="C884" s="7"/>
      <c r="D884" s="7"/>
      <c r="E884" s="7"/>
    </row>
    <row r="885" ht="22.5" customHeight="1">
      <c r="A885" s="7"/>
      <c r="B885" s="7"/>
      <c r="C885" s="7"/>
      <c r="D885" s="7"/>
      <c r="E885" s="7"/>
    </row>
    <row r="886" ht="22.5" customHeight="1">
      <c r="A886" s="7"/>
      <c r="B886" s="7"/>
      <c r="C886" s="7"/>
      <c r="D886" s="7"/>
      <c r="E886" s="7"/>
    </row>
    <row r="887" ht="22.5" customHeight="1">
      <c r="A887" s="7"/>
      <c r="B887" s="7"/>
      <c r="C887" s="7"/>
      <c r="D887" s="7"/>
      <c r="E887" s="7"/>
    </row>
    <row r="888" ht="22.5" customHeight="1">
      <c r="A888" s="7"/>
      <c r="B888" s="7"/>
      <c r="C888" s="7"/>
      <c r="D888" s="7"/>
      <c r="E888" s="7"/>
    </row>
    <row r="889" ht="22.5" customHeight="1">
      <c r="A889" s="7"/>
      <c r="B889" s="7"/>
      <c r="C889" s="7"/>
      <c r="D889" s="7"/>
      <c r="E889" s="7"/>
    </row>
    <row r="890" ht="22.5" customHeight="1">
      <c r="A890" s="7"/>
      <c r="B890" s="7"/>
      <c r="C890" s="7"/>
      <c r="D890" s="7"/>
      <c r="E890" s="7"/>
    </row>
    <row r="891" ht="22.5" customHeight="1">
      <c r="A891" s="7"/>
      <c r="B891" s="7"/>
      <c r="C891" s="7"/>
      <c r="D891" s="7"/>
      <c r="E891" s="7"/>
    </row>
    <row r="892" ht="22.5" customHeight="1">
      <c r="A892" s="7"/>
      <c r="B892" s="7"/>
      <c r="C892" s="7"/>
      <c r="D892" s="7"/>
      <c r="E892" s="7"/>
    </row>
    <row r="893" ht="22.5" customHeight="1">
      <c r="A893" s="7"/>
      <c r="B893" s="7"/>
      <c r="C893" s="7"/>
      <c r="D893" s="7"/>
      <c r="E893" s="7"/>
    </row>
    <row r="894" ht="22.5" customHeight="1">
      <c r="A894" s="7"/>
      <c r="B894" s="7"/>
      <c r="C894" s="7"/>
      <c r="D894" s="7"/>
      <c r="E894" s="7"/>
    </row>
    <row r="895" ht="22.5" customHeight="1">
      <c r="A895" s="7"/>
      <c r="B895" s="7"/>
      <c r="C895" s="7"/>
      <c r="D895" s="7"/>
      <c r="E895" s="7"/>
    </row>
    <row r="896" ht="22.5" customHeight="1">
      <c r="A896" s="7"/>
      <c r="B896" s="7"/>
      <c r="C896" s="7"/>
      <c r="D896" s="7"/>
      <c r="E896" s="7"/>
    </row>
    <row r="897" ht="22.5" customHeight="1">
      <c r="A897" s="7"/>
      <c r="B897" s="7"/>
      <c r="C897" s="7"/>
      <c r="D897" s="7"/>
      <c r="E897" s="7"/>
    </row>
    <row r="898" ht="22.5" customHeight="1">
      <c r="A898" s="7"/>
      <c r="B898" s="7"/>
      <c r="C898" s="7"/>
      <c r="D898" s="7"/>
      <c r="E898" s="7"/>
    </row>
    <row r="899" ht="22.5" customHeight="1">
      <c r="A899" s="7"/>
      <c r="B899" s="7"/>
      <c r="C899" s="7"/>
      <c r="D899" s="7"/>
      <c r="E899" s="7"/>
    </row>
    <row r="900" ht="22.5" customHeight="1">
      <c r="A900" s="7"/>
      <c r="B900" s="7"/>
      <c r="C900" s="7"/>
      <c r="D900" s="7"/>
      <c r="E900" s="7"/>
    </row>
    <row r="901" ht="22.5" customHeight="1">
      <c r="A901" s="7"/>
      <c r="B901" s="7"/>
      <c r="C901" s="7"/>
      <c r="D901" s="7"/>
      <c r="E901" s="7"/>
    </row>
    <row r="902" ht="22.5" customHeight="1">
      <c r="A902" s="7"/>
      <c r="B902" s="7"/>
      <c r="C902" s="7"/>
      <c r="D902" s="7"/>
      <c r="E902" s="7"/>
    </row>
    <row r="903" ht="22.5" customHeight="1">
      <c r="A903" s="7"/>
      <c r="B903" s="7"/>
      <c r="C903" s="7"/>
      <c r="D903" s="7"/>
      <c r="E903" s="7"/>
    </row>
    <row r="904" ht="22.5" customHeight="1">
      <c r="A904" s="7"/>
      <c r="B904" s="7"/>
      <c r="C904" s="7"/>
      <c r="D904" s="7"/>
      <c r="E904" s="7"/>
    </row>
    <row r="905" ht="22.5" customHeight="1">
      <c r="A905" s="7"/>
      <c r="B905" s="7"/>
      <c r="C905" s="7"/>
      <c r="D905" s="7"/>
      <c r="E905" s="7"/>
    </row>
    <row r="906" ht="22.5" customHeight="1">
      <c r="A906" s="7"/>
      <c r="B906" s="7"/>
      <c r="C906" s="7"/>
      <c r="D906" s="7"/>
      <c r="E906" s="7"/>
    </row>
    <row r="907" ht="22.5" customHeight="1">
      <c r="A907" s="7"/>
      <c r="B907" s="7"/>
      <c r="C907" s="7"/>
      <c r="D907" s="7"/>
      <c r="E907" s="7"/>
    </row>
    <row r="908" ht="22.5" customHeight="1">
      <c r="A908" s="7"/>
      <c r="B908" s="7"/>
      <c r="C908" s="7"/>
      <c r="D908" s="7"/>
      <c r="E908" s="7"/>
    </row>
    <row r="909" ht="22.5" customHeight="1">
      <c r="A909" s="7"/>
      <c r="B909" s="7"/>
      <c r="C909" s="7"/>
      <c r="D909" s="7"/>
      <c r="E909" s="7"/>
    </row>
    <row r="910" ht="22.5" customHeight="1">
      <c r="A910" s="7"/>
      <c r="B910" s="7"/>
      <c r="C910" s="7"/>
      <c r="D910" s="7"/>
      <c r="E910" s="7"/>
    </row>
    <row r="911" ht="22.5" customHeight="1">
      <c r="A911" s="7"/>
      <c r="B911" s="7"/>
      <c r="C911" s="7"/>
      <c r="D911" s="7"/>
      <c r="E911" s="7"/>
    </row>
    <row r="912" ht="22.5" customHeight="1">
      <c r="A912" s="7"/>
      <c r="B912" s="7"/>
      <c r="C912" s="7"/>
      <c r="D912" s="7"/>
      <c r="E912" s="7"/>
    </row>
    <row r="913" ht="22.5" customHeight="1">
      <c r="A913" s="7"/>
      <c r="B913" s="7"/>
      <c r="C913" s="7"/>
      <c r="D913" s="7"/>
      <c r="E913" s="7"/>
    </row>
    <row r="914" ht="22.5" customHeight="1">
      <c r="A914" s="7"/>
      <c r="B914" s="7"/>
      <c r="C914" s="7"/>
      <c r="D914" s="7"/>
      <c r="E914" s="7"/>
    </row>
    <row r="915" ht="22.5" customHeight="1">
      <c r="A915" s="7"/>
      <c r="B915" s="7"/>
      <c r="C915" s="7"/>
      <c r="D915" s="7"/>
      <c r="E915" s="7"/>
    </row>
    <row r="916" ht="22.5" customHeight="1">
      <c r="A916" s="7"/>
      <c r="B916" s="7"/>
      <c r="C916" s="7"/>
      <c r="D916" s="7"/>
      <c r="E916" s="7"/>
    </row>
    <row r="917" ht="22.5" customHeight="1">
      <c r="A917" s="7"/>
      <c r="B917" s="7"/>
      <c r="C917" s="7"/>
      <c r="D917" s="7"/>
      <c r="E917" s="7"/>
    </row>
    <row r="918" ht="22.5" customHeight="1">
      <c r="A918" s="7"/>
      <c r="B918" s="7"/>
      <c r="C918" s="7"/>
      <c r="D918" s="7"/>
      <c r="E918" s="7"/>
    </row>
    <row r="919" ht="22.5" customHeight="1">
      <c r="A919" s="7"/>
      <c r="B919" s="7"/>
      <c r="C919" s="7"/>
      <c r="D919" s="7"/>
      <c r="E919" s="7"/>
    </row>
    <row r="920" ht="22.5" customHeight="1">
      <c r="A920" s="7"/>
      <c r="B920" s="7"/>
      <c r="C920" s="7"/>
      <c r="D920" s="7"/>
      <c r="E920" s="7"/>
    </row>
    <row r="921" ht="22.5" customHeight="1">
      <c r="A921" s="7"/>
      <c r="B921" s="7"/>
      <c r="C921" s="7"/>
      <c r="D921" s="7"/>
      <c r="E921" s="7"/>
    </row>
    <row r="922" ht="22.5" customHeight="1">
      <c r="A922" s="7"/>
      <c r="B922" s="7"/>
      <c r="C922" s="7"/>
      <c r="D922" s="7"/>
      <c r="E922" s="7"/>
    </row>
    <row r="923" ht="22.5" customHeight="1">
      <c r="A923" s="7"/>
      <c r="B923" s="7"/>
      <c r="C923" s="7"/>
      <c r="D923" s="7"/>
      <c r="E923" s="7"/>
    </row>
    <row r="924" ht="22.5" customHeight="1">
      <c r="A924" s="7"/>
      <c r="B924" s="7"/>
      <c r="C924" s="7"/>
      <c r="D924" s="7"/>
      <c r="E924" s="7"/>
    </row>
    <row r="925" ht="22.5" customHeight="1">
      <c r="A925" s="7"/>
      <c r="B925" s="7"/>
      <c r="C925" s="7"/>
      <c r="D925" s="7"/>
      <c r="E925" s="7"/>
    </row>
    <row r="926" ht="22.5" customHeight="1">
      <c r="A926" s="7"/>
      <c r="B926" s="7"/>
      <c r="C926" s="7"/>
      <c r="D926" s="7"/>
      <c r="E926" s="7"/>
    </row>
    <row r="927" ht="22.5" customHeight="1">
      <c r="A927" s="7"/>
      <c r="B927" s="7"/>
      <c r="C927" s="7"/>
      <c r="D927" s="7"/>
      <c r="E927" s="7"/>
    </row>
    <row r="928" ht="22.5" customHeight="1">
      <c r="A928" s="7"/>
      <c r="B928" s="7"/>
      <c r="C928" s="7"/>
      <c r="D928" s="7"/>
      <c r="E928" s="7"/>
    </row>
    <row r="929" ht="22.5" customHeight="1">
      <c r="A929" s="7"/>
      <c r="B929" s="7"/>
      <c r="C929" s="7"/>
      <c r="D929" s="7"/>
      <c r="E929" s="7"/>
    </row>
    <row r="930" ht="22.5" customHeight="1">
      <c r="A930" s="7"/>
      <c r="B930" s="7"/>
      <c r="C930" s="7"/>
      <c r="D930" s="7"/>
      <c r="E930" s="7"/>
    </row>
    <row r="931" ht="22.5" customHeight="1">
      <c r="A931" s="7"/>
      <c r="B931" s="7"/>
      <c r="C931" s="7"/>
      <c r="D931" s="7"/>
      <c r="E931" s="7"/>
    </row>
    <row r="932" ht="22.5" customHeight="1">
      <c r="A932" s="7"/>
      <c r="B932" s="7"/>
      <c r="C932" s="7"/>
      <c r="D932" s="7"/>
      <c r="E932" s="7"/>
    </row>
    <row r="933" ht="22.5" customHeight="1">
      <c r="A933" s="7"/>
      <c r="B933" s="7"/>
      <c r="C933" s="7"/>
      <c r="D933" s="7"/>
      <c r="E933" s="7"/>
    </row>
    <row r="934" ht="22.5" customHeight="1">
      <c r="A934" s="7"/>
      <c r="B934" s="7"/>
      <c r="C934" s="7"/>
      <c r="D934" s="7"/>
      <c r="E934" s="7"/>
    </row>
    <row r="935" ht="22.5" customHeight="1">
      <c r="A935" s="7"/>
      <c r="B935" s="7"/>
      <c r="C935" s="7"/>
      <c r="D935" s="7"/>
      <c r="E935" s="7"/>
    </row>
    <row r="936" ht="22.5" customHeight="1">
      <c r="A936" s="7"/>
      <c r="B936" s="7"/>
      <c r="C936" s="7"/>
      <c r="D936" s="7"/>
      <c r="E936" s="7"/>
    </row>
    <row r="937" ht="22.5" customHeight="1">
      <c r="A937" s="7"/>
      <c r="B937" s="7"/>
      <c r="C937" s="7"/>
      <c r="D937" s="7"/>
      <c r="E937" s="7"/>
    </row>
    <row r="938" ht="22.5" customHeight="1">
      <c r="A938" s="7"/>
      <c r="B938" s="7"/>
      <c r="C938" s="7"/>
      <c r="D938" s="7"/>
      <c r="E938" s="7"/>
    </row>
    <row r="939" ht="22.5" customHeight="1">
      <c r="A939" s="7"/>
      <c r="B939" s="7"/>
      <c r="C939" s="7"/>
      <c r="D939" s="7"/>
      <c r="E939" s="7"/>
    </row>
    <row r="940" ht="22.5" customHeight="1">
      <c r="A940" s="7"/>
      <c r="B940" s="7"/>
      <c r="C940" s="7"/>
      <c r="D940" s="7"/>
      <c r="E940" s="7"/>
    </row>
    <row r="941" ht="22.5" customHeight="1">
      <c r="A941" s="7"/>
      <c r="B941" s="7"/>
      <c r="C941" s="7"/>
      <c r="D941" s="7"/>
      <c r="E941" s="7"/>
    </row>
    <row r="942" ht="22.5" customHeight="1">
      <c r="A942" s="7"/>
      <c r="B942" s="7"/>
      <c r="C942" s="7"/>
      <c r="D942" s="7"/>
      <c r="E942" s="7"/>
    </row>
    <row r="943" ht="22.5" customHeight="1">
      <c r="A943" s="7"/>
      <c r="B943" s="7"/>
      <c r="C943" s="7"/>
      <c r="D943" s="7"/>
      <c r="E943" s="7"/>
    </row>
    <row r="944" ht="22.5" customHeight="1">
      <c r="A944" s="7"/>
      <c r="B944" s="7"/>
      <c r="C944" s="7"/>
      <c r="D944" s="7"/>
      <c r="E944" s="7"/>
    </row>
    <row r="945" ht="22.5" customHeight="1">
      <c r="A945" s="7"/>
      <c r="B945" s="7"/>
      <c r="C945" s="7"/>
      <c r="D945" s="7"/>
      <c r="E945" s="7"/>
    </row>
    <row r="946" ht="22.5" customHeight="1">
      <c r="A946" s="7"/>
      <c r="B946" s="7"/>
      <c r="C946" s="7"/>
      <c r="D946" s="7"/>
      <c r="E946" s="7"/>
    </row>
    <row r="947" ht="22.5" customHeight="1">
      <c r="A947" s="7"/>
      <c r="B947" s="7"/>
      <c r="C947" s="7"/>
      <c r="D947" s="7"/>
      <c r="E947" s="7"/>
    </row>
    <row r="948" ht="22.5" customHeight="1">
      <c r="A948" s="7"/>
      <c r="B948" s="7"/>
      <c r="C948" s="7"/>
      <c r="D948" s="7"/>
      <c r="E948" s="7"/>
    </row>
    <row r="949" ht="22.5" customHeight="1">
      <c r="A949" s="7"/>
      <c r="B949" s="7"/>
      <c r="C949" s="7"/>
      <c r="D949" s="7"/>
      <c r="E949" s="7"/>
    </row>
    <row r="950" ht="22.5" customHeight="1">
      <c r="A950" s="7"/>
      <c r="B950" s="7"/>
      <c r="C950" s="7"/>
      <c r="D950" s="7"/>
      <c r="E950" s="7"/>
    </row>
    <row r="951" ht="22.5" customHeight="1">
      <c r="A951" s="7"/>
      <c r="B951" s="7"/>
      <c r="C951" s="7"/>
      <c r="D951" s="7"/>
      <c r="E951" s="7"/>
    </row>
    <row r="952" ht="22.5" customHeight="1">
      <c r="A952" s="7"/>
      <c r="B952" s="7"/>
      <c r="C952" s="7"/>
      <c r="D952" s="7"/>
      <c r="E952" s="7"/>
    </row>
    <row r="953" ht="22.5" customHeight="1">
      <c r="A953" s="7"/>
      <c r="B953" s="7"/>
      <c r="C953" s="7"/>
      <c r="D953" s="7"/>
      <c r="E953" s="7"/>
    </row>
    <row r="954" ht="22.5" customHeight="1">
      <c r="A954" s="7"/>
      <c r="B954" s="7"/>
      <c r="C954" s="7"/>
      <c r="D954" s="7"/>
      <c r="E954" s="7"/>
    </row>
    <row r="955" ht="22.5" customHeight="1">
      <c r="A955" s="7"/>
      <c r="B955" s="7"/>
      <c r="C955" s="7"/>
      <c r="D955" s="7"/>
      <c r="E955" s="7"/>
    </row>
    <row r="956" ht="22.5" customHeight="1">
      <c r="A956" s="7"/>
      <c r="B956" s="7"/>
      <c r="C956" s="7"/>
      <c r="D956" s="7"/>
      <c r="E956" s="7"/>
    </row>
    <row r="957" ht="22.5" customHeight="1">
      <c r="A957" s="7"/>
      <c r="B957" s="7"/>
      <c r="C957" s="7"/>
      <c r="D957" s="7"/>
      <c r="E957" s="7"/>
    </row>
    <row r="958" ht="22.5" customHeight="1">
      <c r="A958" s="7"/>
      <c r="B958" s="7"/>
      <c r="C958" s="7"/>
      <c r="D958" s="7"/>
      <c r="E958" s="7"/>
    </row>
    <row r="959" ht="22.5" customHeight="1">
      <c r="A959" s="7"/>
      <c r="B959" s="7"/>
      <c r="C959" s="7"/>
      <c r="D959" s="7"/>
      <c r="E959" s="7"/>
    </row>
    <row r="960" ht="22.5" customHeight="1">
      <c r="A960" s="7"/>
      <c r="B960" s="7"/>
      <c r="C960" s="7"/>
      <c r="D960" s="7"/>
      <c r="E960" s="7"/>
    </row>
    <row r="961" ht="22.5" customHeight="1">
      <c r="A961" s="7"/>
      <c r="B961" s="7"/>
      <c r="C961" s="7"/>
      <c r="D961" s="7"/>
      <c r="E961" s="7"/>
    </row>
    <row r="962" ht="22.5" customHeight="1">
      <c r="A962" s="7"/>
      <c r="B962" s="7"/>
      <c r="C962" s="7"/>
      <c r="D962" s="7"/>
      <c r="E962" s="7"/>
    </row>
    <row r="963" ht="22.5" customHeight="1">
      <c r="A963" s="7"/>
      <c r="B963" s="7"/>
      <c r="C963" s="7"/>
      <c r="D963" s="7"/>
      <c r="E963" s="7"/>
    </row>
    <row r="964" ht="22.5" customHeight="1">
      <c r="A964" s="7"/>
      <c r="B964" s="7"/>
      <c r="C964" s="7"/>
      <c r="D964" s="7"/>
      <c r="E964" s="7"/>
    </row>
    <row r="965" ht="22.5" customHeight="1">
      <c r="A965" s="7"/>
      <c r="B965" s="7"/>
      <c r="C965" s="7"/>
      <c r="D965" s="7"/>
      <c r="E965" s="7"/>
    </row>
    <row r="966" ht="22.5" customHeight="1">
      <c r="A966" s="7"/>
      <c r="B966" s="7"/>
      <c r="C966" s="7"/>
      <c r="D966" s="7"/>
      <c r="E966" s="7"/>
    </row>
    <row r="967" ht="22.5" customHeight="1">
      <c r="A967" s="7"/>
      <c r="B967" s="7"/>
      <c r="C967" s="7"/>
      <c r="D967" s="7"/>
      <c r="E967" s="7"/>
    </row>
    <row r="968" ht="22.5" customHeight="1">
      <c r="A968" s="7"/>
      <c r="B968" s="7"/>
      <c r="C968" s="7"/>
      <c r="D968" s="7"/>
      <c r="E968" s="7"/>
    </row>
    <row r="969" ht="22.5" customHeight="1">
      <c r="A969" s="7"/>
      <c r="B969" s="7"/>
      <c r="C969" s="7"/>
      <c r="D969" s="7"/>
      <c r="E969" s="7"/>
    </row>
    <row r="970" ht="22.5" customHeight="1">
      <c r="A970" s="7"/>
      <c r="B970" s="7"/>
      <c r="C970" s="7"/>
      <c r="D970" s="7"/>
      <c r="E970" s="7"/>
    </row>
    <row r="971" ht="22.5" customHeight="1">
      <c r="A971" s="7"/>
      <c r="B971" s="7"/>
      <c r="C971" s="7"/>
      <c r="D971" s="7"/>
      <c r="E971" s="7"/>
    </row>
    <row r="972" ht="22.5" customHeight="1">
      <c r="A972" s="7"/>
      <c r="B972" s="7"/>
      <c r="C972" s="7"/>
      <c r="D972" s="7"/>
      <c r="E972" s="7"/>
    </row>
    <row r="973" ht="22.5" customHeight="1">
      <c r="A973" s="7"/>
      <c r="B973" s="7"/>
      <c r="C973" s="7"/>
      <c r="D973" s="7"/>
      <c r="E973" s="7"/>
    </row>
    <row r="974" ht="22.5" customHeight="1">
      <c r="A974" s="7"/>
      <c r="B974" s="7"/>
      <c r="C974" s="7"/>
      <c r="D974" s="7"/>
      <c r="E974" s="7"/>
    </row>
    <row r="975" ht="22.5" customHeight="1">
      <c r="A975" s="7"/>
      <c r="B975" s="7"/>
      <c r="C975" s="7"/>
      <c r="D975" s="7"/>
      <c r="E975" s="7"/>
    </row>
    <row r="976" ht="22.5" customHeight="1">
      <c r="A976" s="7"/>
      <c r="B976" s="7"/>
      <c r="C976" s="7"/>
      <c r="D976" s="7"/>
      <c r="E976" s="7"/>
    </row>
    <row r="977" ht="22.5" customHeight="1">
      <c r="A977" s="7"/>
      <c r="B977" s="7"/>
      <c r="C977" s="7"/>
      <c r="D977" s="7"/>
      <c r="E977" s="7"/>
    </row>
    <row r="978" ht="22.5" customHeight="1">
      <c r="A978" s="7"/>
      <c r="B978" s="7"/>
      <c r="C978" s="7"/>
      <c r="D978" s="7"/>
      <c r="E978" s="7"/>
    </row>
    <row r="979" ht="22.5" customHeight="1">
      <c r="A979" s="7"/>
      <c r="B979" s="7"/>
      <c r="C979" s="7"/>
      <c r="D979" s="7"/>
      <c r="E979" s="7"/>
    </row>
    <row r="980" ht="22.5" customHeight="1">
      <c r="A980" s="7"/>
      <c r="B980" s="7"/>
      <c r="C980" s="7"/>
      <c r="D980" s="7"/>
      <c r="E980" s="7"/>
    </row>
    <row r="981" ht="22.5" customHeight="1">
      <c r="A981" s="7"/>
      <c r="B981" s="7"/>
      <c r="C981" s="7"/>
      <c r="D981" s="7"/>
      <c r="E981" s="7"/>
    </row>
    <row r="982" ht="22.5" customHeight="1">
      <c r="A982" s="7"/>
      <c r="B982" s="7"/>
      <c r="C982" s="7"/>
      <c r="D982" s="7"/>
      <c r="E982" s="7"/>
    </row>
    <row r="983" ht="22.5" customHeight="1">
      <c r="A983" s="7"/>
      <c r="B983" s="7"/>
      <c r="C983" s="7"/>
      <c r="D983" s="7"/>
      <c r="E983" s="7"/>
    </row>
    <row r="984" ht="22.5" customHeight="1">
      <c r="A984" s="7"/>
      <c r="B984" s="7"/>
      <c r="C984" s="7"/>
      <c r="D984" s="7"/>
      <c r="E984" s="7"/>
    </row>
    <row r="985" ht="22.5" customHeight="1">
      <c r="A985" s="7"/>
      <c r="B985" s="7"/>
      <c r="C985" s="7"/>
      <c r="D985" s="7"/>
      <c r="E985" s="7"/>
    </row>
    <row r="986" ht="22.5" customHeight="1">
      <c r="A986" s="7"/>
      <c r="B986" s="7"/>
      <c r="C986" s="7"/>
      <c r="D986" s="7"/>
      <c r="E986" s="7"/>
    </row>
    <row r="987" ht="22.5" customHeight="1">
      <c r="A987" s="7"/>
      <c r="B987" s="7"/>
      <c r="C987" s="7"/>
      <c r="D987" s="7"/>
      <c r="E987" s="7"/>
    </row>
    <row r="988" ht="22.5" customHeight="1">
      <c r="A988" s="7"/>
      <c r="B988" s="7"/>
      <c r="C988" s="7"/>
      <c r="D988" s="7"/>
      <c r="E988" s="7"/>
    </row>
    <row r="989" ht="22.5" customHeight="1">
      <c r="A989" s="7"/>
      <c r="B989" s="7"/>
      <c r="C989" s="7"/>
      <c r="D989" s="7"/>
      <c r="E989" s="7"/>
    </row>
    <row r="990" ht="22.5" customHeight="1">
      <c r="A990" s="7"/>
      <c r="B990" s="7"/>
      <c r="C990" s="7"/>
      <c r="D990" s="7"/>
      <c r="E990" s="7"/>
    </row>
    <row r="991" ht="22.5" customHeight="1">
      <c r="A991" s="7"/>
      <c r="B991" s="7"/>
      <c r="C991" s="7"/>
      <c r="D991" s="7"/>
      <c r="E991" s="7"/>
    </row>
    <row r="992" ht="22.5" customHeight="1">
      <c r="A992" s="7"/>
      <c r="B992" s="7"/>
      <c r="C992" s="7"/>
      <c r="D992" s="7"/>
      <c r="E992" s="7"/>
    </row>
    <row r="993" ht="22.5" customHeight="1">
      <c r="A993" s="7"/>
      <c r="B993" s="7"/>
      <c r="C993" s="7"/>
      <c r="D993" s="7"/>
      <c r="E993" s="7"/>
    </row>
    <row r="994" ht="22.5" customHeight="1">
      <c r="A994" s="7"/>
      <c r="B994" s="7"/>
      <c r="C994" s="7"/>
      <c r="D994" s="7"/>
      <c r="E994" s="7"/>
    </row>
    <row r="995" ht="22.5" customHeight="1">
      <c r="A995" s="7"/>
      <c r="B995" s="7"/>
      <c r="C995" s="7"/>
      <c r="D995" s="7"/>
      <c r="E995" s="7"/>
    </row>
    <row r="996" ht="22.5" customHeight="1">
      <c r="A996" s="7"/>
      <c r="B996" s="7"/>
      <c r="C996" s="7"/>
      <c r="D996" s="7"/>
      <c r="E996" s="7"/>
    </row>
    <row r="997" ht="22.5" customHeight="1">
      <c r="A997" s="7"/>
      <c r="B997" s="7"/>
      <c r="C997" s="7"/>
      <c r="D997" s="7"/>
      <c r="E997" s="7"/>
    </row>
    <row r="998" ht="22.5" customHeight="1">
      <c r="A998" s="7"/>
      <c r="B998" s="7"/>
      <c r="C998" s="7"/>
      <c r="D998" s="7"/>
      <c r="E998" s="7"/>
    </row>
    <row r="999" ht="22.5" customHeight="1">
      <c r="A999" s="7"/>
      <c r="B999" s="7"/>
      <c r="C999" s="7"/>
      <c r="D999" s="7"/>
      <c r="E999" s="7"/>
    </row>
    <row r="1000" ht="22.5" customHeight="1">
      <c r="A1000" s="7"/>
      <c r="B1000" s="7"/>
      <c r="C1000" s="7"/>
      <c r="D1000" s="7"/>
      <c r="E1000" s="7"/>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37.63"/>
    <col customWidth="1" min="3" max="4" width="31.63"/>
    <col customWidth="1" min="5" max="5" width="37.63"/>
    <col customWidth="1" min="7" max="7" width="10.13"/>
    <col customWidth="1" min="8" max="8" width="25.75"/>
    <col customWidth="1" min="9" max="9" width="28.0"/>
    <col customWidth="1" min="10" max="10" width="24.0"/>
    <col customWidth="1" min="11" max="11" width="28.25"/>
  </cols>
  <sheetData>
    <row r="1" ht="22.5" customHeight="1">
      <c r="A1" s="11" t="s">
        <v>0</v>
      </c>
      <c r="B1" s="11" t="s">
        <v>1</v>
      </c>
      <c r="C1" s="12" t="s">
        <v>1395</v>
      </c>
      <c r="D1" s="11" t="s">
        <v>3</v>
      </c>
      <c r="E1" s="11" t="s">
        <v>4</v>
      </c>
      <c r="G1" s="3" t="s">
        <v>5</v>
      </c>
      <c r="H1" s="4" t="s">
        <v>6</v>
      </c>
      <c r="I1" s="4" t="s">
        <v>7</v>
      </c>
      <c r="J1" s="4" t="s">
        <v>8</v>
      </c>
      <c r="K1" s="5" t="s">
        <v>9</v>
      </c>
    </row>
    <row r="2" ht="22.5" customHeight="1">
      <c r="A2" s="13">
        <v>1.0</v>
      </c>
      <c r="B2" s="14" t="s">
        <v>1396</v>
      </c>
      <c r="C2" s="14" t="s">
        <v>1397</v>
      </c>
      <c r="D2" s="14" t="s">
        <v>1398</v>
      </c>
      <c r="E2" s="14" t="s">
        <v>1399</v>
      </c>
      <c r="G2" s="8" t="str">
        <f>IFERROR(__xludf.DUMMYFUNCTION(" GOOGLETRANSLATE(A2, ""en"", ""am"")"),"1")</f>
        <v>1</v>
      </c>
      <c r="H2" s="8" t="str">
        <f>IFERROR(__xludf.DUMMYFUNCTION(" GOOGLETRANSLATE(B2, ""en"", ""am"")"),"የአባ ገዳ ትግል ዋና ግብ ምንድን ነው?")</f>
        <v>የአባ ገዳ ትግል ዋና ግብ ምንድን ነው?</v>
      </c>
      <c r="I2" s="8" t="str">
        <f>IFERROR(__xludf.DUMMYFUNCTION(" GOOGLETRANSLATE(C2, ""en"", ""am"")"),"ሀ. ተቃዋሚን መሬት ላይ ለመሰካት ለ. ተቃዋሚውን ከቀለበት ማውጣቱ ሐ. በመምታት ነጥቦችን ማስቆጠር መ. ግዛቱን ለመከላከል")</f>
        <v>ሀ. ተቃዋሚን መሬት ላይ ለመሰካት ለ. ተቃዋሚውን ከቀለበት ማውጣቱ ሐ. በመምታት ነጥቦችን ማስቆጠር መ. ግዛቱን ለመከላከል</v>
      </c>
      <c r="J2" s="8" t="str">
        <f>IFERROR(__xludf.DUMMYFUNCTION(" GOOGLETRANSLATE(D2, ""en"", ""am"")"),"ተቃዋሚን መሬት ላይ ለመሰካት")</f>
        <v>ተቃዋሚን መሬት ላይ ለመሰካት</v>
      </c>
      <c r="K2" s="8" t="str">
        <f>IFERROR(__xludf.DUMMYFUNCTION(" GOOGLETRANSLATE(E2, ""en"", ""am"")"),"ዋናው ግብ የተቃዋሚውን ትከሻ መሬት ላይ መሰካት ነው።")</f>
        <v>ዋናው ግብ የተቃዋሚውን ትከሻ መሬት ላይ መሰካት ነው።</v>
      </c>
    </row>
    <row r="3" ht="22.5" customHeight="1">
      <c r="A3" s="13">
        <v>2.0</v>
      </c>
      <c r="B3" s="14" t="s">
        <v>1400</v>
      </c>
      <c r="C3" s="14" t="s">
        <v>1401</v>
      </c>
      <c r="D3" s="14" t="s">
        <v>1402</v>
      </c>
      <c r="E3" s="14" t="s">
        <v>1403</v>
      </c>
      <c r="G3" s="8" t="str">
        <f>IFERROR(__xludf.DUMMYFUNCTION(" GOOGLETRANSLATE(A3, ""en"", ""am"")"),"2")</f>
        <v>2</v>
      </c>
      <c r="H3" s="8" t="str">
        <f>IFERROR(__xludf.DUMMYFUNCTION(" GOOGLETRANSLATE(B3, ""en"", ""am"")"),"በአባ ገዳ ሬስሊንግ ላይ በተሳካ ሁኔታ ለማውረድ አንድ ታጋይ ስንት ነጥብ ያገኛል?")</f>
        <v>በአባ ገዳ ሬስሊንግ ላይ በተሳካ ሁኔታ ለማውረድ አንድ ታጋይ ስንት ነጥብ ያገኛል?</v>
      </c>
      <c r="I3" s="8" t="str">
        <f>IFERROR(__xludf.DUMMYFUNCTION(" GOOGLETRANSLATE(C3, ""en"", ""am"")"),"ሀ.2 ነጥበ B. 3 ነጥበ ሐ. 4 ነጥበ መ. 5 ነጥብ")</f>
        <v>ሀ.2 ነጥበ B. 3 ነጥበ ሐ. 4 ነጥበ መ. 5 ነጥብ</v>
      </c>
      <c r="J3" s="8" t="str">
        <f>IFERROR(__xludf.DUMMYFUNCTION(" GOOGLETRANSLATE(D3, ""en"", ""am"")"),"2 ነጥብ")</f>
        <v>2 ነጥብ</v>
      </c>
      <c r="K3" s="8" t="str">
        <f>IFERROR(__xludf.DUMMYFUNCTION(" GOOGLETRANSLATE(E3, ""en"", ""am"")"),"የተሳካ ማውረድ 2 ነጥብ ነው።")</f>
        <v>የተሳካ ማውረድ 2 ነጥብ ነው።</v>
      </c>
    </row>
    <row r="4" ht="22.5" customHeight="1">
      <c r="A4" s="13">
        <v>3.0</v>
      </c>
      <c r="B4" s="14" t="s">
        <v>1404</v>
      </c>
      <c r="C4" s="14" t="s">
        <v>1405</v>
      </c>
      <c r="D4" s="14" t="s">
        <v>1406</v>
      </c>
      <c r="E4" s="14" t="s">
        <v>1407</v>
      </c>
      <c r="G4" s="8" t="str">
        <f>IFERROR(__xludf.DUMMYFUNCTION(" GOOGLETRANSLATE(A4, ""en"", ""am"")"),"3")</f>
        <v>3</v>
      </c>
      <c r="H4" s="8" t="str">
        <f>IFERROR(__xludf.DUMMYFUNCTION(" GOOGLETRANSLATE(B4, ""en"", ""am"")"),"በአባ ገዳ ላይ በተደረገው ትግል ምን አይነት ነውር ነው የሚባለው?")</f>
        <v>በአባ ገዳ ላይ በተደረገው ትግል ምን አይነት ነውር ነው የሚባለው?</v>
      </c>
      <c r="I4" s="8" t="str">
        <f>IFERROR(__xludf.DUMMYFUNCTION(" GOOGLETRANSLATE(C4, ""en"", ""am"")"),"ሀ. ፀጉሩን በመያዝ ለ. በማውረድ ላይ በሂደት ላይ ሐ. ውጤት ማስመዝገብ D. ተቃዋሚውን በመለጠፍ")</f>
        <v>ሀ. ፀጉሩን በመያዝ ለ. በማውረድ ላይ በሂደት ላይ ሐ. ውጤት ማስመዝገብ D. ተቃዋሚውን በመለጠፍ</v>
      </c>
      <c r="J4" s="8" t="str">
        <f>IFERROR(__xludf.DUMMYFUNCTION(" GOOGLETRANSLATE(D4, ""en"", ""am"")"),"ፀጉርን በመያዝ")</f>
        <v>ፀጉርን በመያዝ</v>
      </c>
      <c r="K4" s="8" t="str">
        <f>IFERROR(__xludf.DUMMYFUNCTION(" GOOGLETRANSLATE(E4, ""en"", ""am"")"),"የተቃዋሚን ፀጉር መንጠቅ እንደ መጥፎ ጠባይ ይቆጠራል።")</f>
        <v>የተቃዋሚን ፀጉር መንጠቅ እንደ መጥፎ ጠባይ ይቆጠራል።</v>
      </c>
    </row>
    <row r="5" ht="22.5" customHeight="1">
      <c r="A5" s="13">
        <v>4.0</v>
      </c>
      <c r="B5" s="14" t="s">
        <v>1408</v>
      </c>
      <c r="C5" s="14" t="s">
        <v>1409</v>
      </c>
      <c r="D5" s="14" t="s">
        <v>1410</v>
      </c>
      <c r="E5" s="14" t="s">
        <v>1411</v>
      </c>
      <c r="G5" s="8" t="str">
        <f>IFERROR(__xludf.DUMMYFUNCTION(" GOOGLETRANSLATE(A5, ""en"", ""am"")"),"4")</f>
        <v>4</v>
      </c>
      <c r="H5" s="8" t="str">
        <f>IFERROR(__xludf.DUMMYFUNCTION(" GOOGLETRANSLATE(B5, ""en"", ""am"")"),"ተጋጣሚው ተጋጣሚውን ሳይሰካ ግጥሚያ ማሸነፍ ይችላል?")</f>
        <v>ተጋጣሚው ተጋጣሚውን ሳይሰካ ግጥሚያ ማሸነፍ ይችላል?</v>
      </c>
      <c r="I5" s="8" t="str">
        <f>IFERROR(__xludf.DUMMYFUNCTION(" GOOGLETRANSLATE(C5, ""en"", ""am"")"),"መ. አዎ፣ ነጥቦችን በማከማቸት B. አይደለም፣ መሰካት ግዴታ ነው። ሐ. አዎ፣ ተቃዋሚውን በመቃወም። መ. አይ፣ መሰካት አማራጭ ነው።")</f>
        <v>መ. አዎ፣ ነጥቦችን በማከማቸት B. አይደለም፣ መሰካት ግዴታ ነው። ሐ. አዎ፣ ተቃዋሚውን በመቃወም። መ. አይ፣ መሰካት አማራጭ ነው።</v>
      </c>
      <c r="J5" s="8" t="str">
        <f>IFERROR(__xludf.DUMMYFUNCTION(" GOOGLETRANSLATE(D5, ""en"", ""am"")"),"አዎ, ነጥቦችን በማከማቸት")</f>
        <v>አዎ, ነጥቦችን በማከማቸት</v>
      </c>
      <c r="K5" s="8" t="str">
        <f>IFERROR(__xludf.DUMMYFUNCTION(" GOOGLETRANSLATE(E5, ""en"", ""am"")"),"ተቃዋሚው ሳይሰካ ከተጋጣሚው የበለጠ ነጥቦችን በማከማቸት ማሸነፍ ይችላል።")</f>
        <v>ተቃዋሚው ሳይሰካ ከተጋጣሚው የበለጠ ነጥቦችን በማከማቸት ማሸነፍ ይችላል።</v>
      </c>
    </row>
    <row r="6" ht="22.5" customHeight="1">
      <c r="A6" s="13">
        <v>5.0</v>
      </c>
      <c r="B6" s="14" t="s">
        <v>1412</v>
      </c>
      <c r="C6" s="14" t="s">
        <v>1413</v>
      </c>
      <c r="D6" s="14" t="s">
        <v>1414</v>
      </c>
      <c r="E6" s="14" t="s">
        <v>1415</v>
      </c>
      <c r="G6" s="8" t="str">
        <f>IFERROR(__xludf.DUMMYFUNCTION(" GOOGLETRANSLATE(A6, ""en"", ""am"")"),"5")</f>
        <v>5</v>
      </c>
      <c r="H6" s="8" t="str">
        <f>IFERROR(__xludf.DUMMYFUNCTION(" GOOGLETRANSLATE(B6, ""en"", ""am"")"),"የተለመደው የትግል ዙር ለምን ያህል ጊዜ ይቆያል?")</f>
        <v>የተለመደው የትግል ዙር ለምን ያህል ጊዜ ይቆያል?</v>
      </c>
      <c r="I6" s="8" t="str">
        <f>IFERROR(__xludf.DUMMYFUNCTION(" GOOGLETRANSLATE(C6, ""en"", ""am"")"),"ሀ.3 ደቂቃ ለ.5ደቂቃ ሐ.7ደቂቃ መ.10ደቂቃ")</f>
        <v>ሀ.3 ደቂቃ ለ.5ደቂቃ ሐ.7ደቂቃ መ.10ደቂቃ</v>
      </c>
      <c r="J6" s="8" t="str">
        <f>IFERROR(__xludf.DUMMYFUNCTION(" GOOGLETRANSLATE(D6, ""en"", ""am"")"),"3 ደቂቃዎች")</f>
        <v>3 ደቂቃዎች</v>
      </c>
      <c r="K6" s="8" t="str">
        <f>IFERROR(__xludf.DUMMYFUNCTION(" GOOGLETRANSLATE(E6, ""en"", ""am"")"),"ዙሮች አብዛኛውን ጊዜ ለ 3 ደቂቃዎች ይቆያሉ.")</f>
        <v>ዙሮች አብዛኛውን ጊዜ ለ 3 ደቂቃዎች ይቆያሉ.</v>
      </c>
    </row>
    <row r="7" ht="22.5" customHeight="1">
      <c r="A7" s="13">
        <v>6.0</v>
      </c>
      <c r="B7" s="14" t="s">
        <v>1416</v>
      </c>
      <c r="C7" s="14" t="s">
        <v>1417</v>
      </c>
      <c r="D7" s="14" t="s">
        <v>1418</v>
      </c>
      <c r="E7" s="14" t="s">
        <v>1419</v>
      </c>
      <c r="G7" s="8" t="str">
        <f>IFERROR(__xludf.DUMMYFUNCTION(" GOOGLETRANSLATE(A7, ""en"", ""am"")"),"6")</f>
        <v>6</v>
      </c>
      <c r="H7" s="8" t="str">
        <f>IFERROR(__xludf.DUMMYFUNCTION(" GOOGLETRANSLATE(B7, ""en"", ""am"")"),"በአባ ገዳ ትግል ሁለቱም ታጋዮች ከድንበር ውጪ ከሆኑ ምን ይሆናል?")</f>
        <v>በአባ ገዳ ትግል ሁለቱም ታጋዮች ከድንበር ውጪ ከሆኑ ምን ይሆናል?</v>
      </c>
      <c r="I7" s="8" t="str">
        <f>IFERROR(__xludf.DUMMYFUNCTION(" GOOGLETRANSLATE(C7, ""en"", ""am"")"),"ሀ. ግጥሚያው እንደገና ተጀምሯል። ለ. ሁለቱም ብቁ አይደሉም። ሐ. ብዙ ነጥብ ያለው ተዋጊ ያሸንፋል። መ. ጨዋታው ታግዷል።")</f>
        <v>ሀ. ግጥሚያው እንደገና ተጀምሯል። ለ. ሁለቱም ብቁ አይደሉም። ሐ. ብዙ ነጥብ ያለው ተዋጊ ያሸንፋል። መ. ጨዋታው ታግዷል።</v>
      </c>
      <c r="J7" s="8" t="str">
        <f>IFERROR(__xludf.DUMMYFUNCTION(" GOOGLETRANSLATE(D7, ""en"", ""am"")"),"ጨዋታው እንደገና ተጀምሯል።")</f>
        <v>ጨዋታው እንደገና ተጀምሯል።</v>
      </c>
      <c r="K7" s="8" t="str">
        <f>IFERROR(__xludf.DUMMYFUNCTION(" GOOGLETRANSLATE(E7, ""en"", ""am"")"),"ሁለቱም ተዋጊዎች ከድንበር ከወጡ ጨዋታው እንደገና ይጀምራል።")</f>
        <v>ሁለቱም ተዋጊዎች ከድንበር ከወጡ ጨዋታው እንደገና ይጀምራል።</v>
      </c>
    </row>
    <row r="8" ht="22.5" customHeight="1">
      <c r="A8" s="13">
        <v>7.0</v>
      </c>
      <c r="B8" s="14" t="s">
        <v>1420</v>
      </c>
      <c r="C8" s="14" t="s">
        <v>1421</v>
      </c>
      <c r="D8" s="14" t="s">
        <v>1179</v>
      </c>
      <c r="E8" s="14" t="s">
        <v>1422</v>
      </c>
      <c r="G8" s="8" t="str">
        <f>IFERROR(__xludf.DUMMYFUNCTION(" GOOGLETRANSLATE(A8, ""en"", ""am"")"),"7")</f>
        <v>7</v>
      </c>
      <c r="H8" s="8" t="str">
        <f>IFERROR(__xludf.DUMMYFUNCTION(" GOOGLETRANSLATE(B8, ""en"", ""am"")"),"አንድ ታጋይ ሆን ብሎ ተቃዋሚውን ቢጎዳ ምን ይሆናል?")</f>
        <v>አንድ ታጋይ ሆን ብሎ ተቃዋሚውን ቢጎዳ ምን ይሆናል?</v>
      </c>
      <c r="I8" s="8" t="str">
        <f>IFERROR(__xludf.DUMMYFUNCTION(" GOOGLETRANSLATE(C8, ""en"", ""am"")"),"ሀ. ብቁ አለመሆን ለ. ማስጠንቀቂያ ሐ. ነጥብ መቀነስ መ. ምንም እርምጃ የለም።")</f>
        <v>ሀ. ብቁ አለመሆን ለ. ማስጠንቀቂያ ሐ. ነጥብ መቀነስ መ. ምንም እርምጃ የለም።</v>
      </c>
      <c r="J8" s="8" t="str">
        <f>IFERROR(__xludf.DUMMYFUNCTION(" GOOGLETRANSLATE(D8, ""en"", ""am"")"),"ብቁ አለመሆን")</f>
        <v>ብቁ አለመሆን</v>
      </c>
      <c r="K8" s="8" t="str">
        <f>IFERROR(__xludf.DUMMYFUNCTION(" GOOGLETRANSLATE(E8, ""en"", ""am"")"),"ሆን ተብሎ የሚደርስ ጉዳት ወደ ውድቅነት ይመራል.")</f>
        <v>ሆን ተብሎ የሚደርስ ጉዳት ወደ ውድቅነት ይመራል.</v>
      </c>
    </row>
    <row r="9" ht="22.5" customHeight="1">
      <c r="A9" s="13">
        <v>8.0</v>
      </c>
      <c r="B9" s="14" t="s">
        <v>1423</v>
      </c>
      <c r="C9" s="14" t="s">
        <v>1424</v>
      </c>
      <c r="D9" s="14" t="s">
        <v>1425</v>
      </c>
      <c r="E9" s="14" t="s">
        <v>1426</v>
      </c>
      <c r="G9" s="8" t="str">
        <f>IFERROR(__xludf.DUMMYFUNCTION(" GOOGLETRANSLATE(A9, ""en"", ""am"")"),"8")</f>
        <v>8</v>
      </c>
      <c r="H9" s="8" t="str">
        <f>IFERROR(__xludf.DUMMYFUNCTION(" GOOGLETRANSLATE(B9, ""en"", ""am"")"),"በአባ ገዳ ትግል አሸናፊው እንዴት ይታወቃል?")</f>
        <v>በአባ ገዳ ትግል አሸናፊው እንዴት ይታወቃል?</v>
      </c>
      <c r="I9" s="8" t="str">
        <f>IFERROR(__xludf.DUMMYFUNCTION(" GOOGLETRANSLATE(C9, ""en"", ""am"")"),"ሀ. ተቃዋሚውን በመሰካት ለ. በነጥብ ክምችት ሐ. D በማንኳኳት. በማስረከብ")</f>
        <v>ሀ. ተቃዋሚውን በመሰካት ለ. በነጥብ ክምችት ሐ. D በማንኳኳት. በማስረከብ</v>
      </c>
      <c r="J9" s="8" t="str">
        <f>IFERROR(__xludf.DUMMYFUNCTION(" GOOGLETRANSLATE(D9, ""en"", ""am"")"),"ተቃዋሚውን በማያያዝ")</f>
        <v>ተቃዋሚውን በማያያዝ</v>
      </c>
      <c r="K9" s="8" t="str">
        <f>IFERROR(__xludf.DUMMYFUNCTION(" GOOGLETRANSLATE(E9, ""en"", ""am"")"),"ግጥሚያ የሚሸነፈው ተቃዋሚውን በመሰካት ወይም በነጥብ ክምችት ነው።")</f>
        <v>ግጥሚያ የሚሸነፈው ተቃዋሚውን በመሰካት ወይም በነጥብ ክምችት ነው።</v>
      </c>
    </row>
    <row r="10" ht="22.5" customHeight="1">
      <c r="A10" s="13">
        <v>9.0</v>
      </c>
      <c r="B10" s="14" t="s">
        <v>1427</v>
      </c>
      <c r="C10" s="14" t="s">
        <v>1428</v>
      </c>
      <c r="D10" s="14" t="s">
        <v>1429</v>
      </c>
      <c r="E10" s="14" t="s">
        <v>1430</v>
      </c>
      <c r="G10" s="8" t="str">
        <f>IFERROR(__xludf.DUMMYFUNCTION(" GOOGLETRANSLATE(A10, ""en"", ""am"")"),"9")</f>
        <v>9</v>
      </c>
      <c r="H10" s="8" t="str">
        <f>IFERROR(__xludf.DUMMYFUNCTION(" GOOGLETRANSLATE(B10, ""en"", ""am"")"),"በአባ ገዳ ትግል ወቅት የሰውነት ግንባታ ማድረግ ይቻላል?")</f>
        <v>በአባ ገዳ ትግል ወቅት የሰውነት ግንባታ ማድረግ ይቻላል?</v>
      </c>
      <c r="I10" s="8" t="str">
        <f>IFERROR(__xludf.DUMMYFUNCTION(" GOOGLETRANSLATE(C10, ""en"", ""am"")"),"መ. አዎ፣ በትክክል ከተሰራ። ለ. አይ፣ አካልን ማዋረድ ሕገወጥ ነው። ሐ. አዎ፣ ግን ከእገዳዎች ጋር። መ. አይደለም፣ ወደ ብቃት ማነስ ይመራል።")</f>
        <v>መ. አዎ፣ በትክክል ከተሰራ። ለ. አይ፣ አካልን ማዋረድ ሕገወጥ ነው። ሐ. አዎ፣ ግን ከእገዳዎች ጋር። መ. አይደለም፣ ወደ ብቃት ማነስ ይመራል።</v>
      </c>
      <c r="J10" s="8" t="str">
        <f>IFERROR(__xludf.DUMMYFUNCTION(" GOOGLETRANSLATE(D10, ""en"", ""am"")"),"አዎ፣ በትክክል ከተሰራ።")</f>
        <v>አዎ፣ በትክክል ከተሰራ።</v>
      </c>
      <c r="K10" s="8" t="str">
        <f>IFERROR(__xludf.DUMMYFUNCTION(" GOOGLETRANSLATE(E10, ""en"", ""am"")"),"በአግባቡ ከተሰራ ሰውነትን ማዋረድ በህጉ መሰረት ይፈቀዳል።")</f>
        <v>በአግባቡ ከተሰራ ሰውነትን ማዋረድ በህጉ መሰረት ይፈቀዳል።</v>
      </c>
    </row>
    <row r="11" ht="22.5" customHeight="1">
      <c r="A11" s="13">
        <v>10.0</v>
      </c>
      <c r="B11" s="14" t="s">
        <v>1431</v>
      </c>
      <c r="C11" s="14" t="s">
        <v>1432</v>
      </c>
      <c r="D11" s="14" t="s">
        <v>1433</v>
      </c>
      <c r="E11" s="14" t="s">
        <v>1434</v>
      </c>
      <c r="G11" s="8" t="str">
        <f>IFERROR(__xludf.DUMMYFUNCTION(" GOOGLETRANSLATE(A11, ""en"", ""am"")"),"10")</f>
        <v>10</v>
      </c>
      <c r="H11" s="8" t="str">
        <f>IFERROR(__xludf.DUMMYFUNCTION(" GOOGLETRANSLATE(B11, ""en"", ""am"")"),"አንድ ታጋይ በትግል ግጥሚያ ላይ እንዴት ነጥቦችን ያገኛል?")</f>
        <v>አንድ ታጋይ በትግል ግጥሚያ ላይ እንዴት ነጥቦችን ያገኛል?</v>
      </c>
      <c r="I11" s="8" t="str">
        <f>IFERROR(__xludf.DUMMYFUNCTION(" GOOGLETRANSLATE(C11, ""en"", ""am"")"),"ሀ. በመሰካት፣ በማውረድ እና በመቆጣጠር ለ. ተቃዋሚውን ሳያውቅ በመምታት ሐ. ተቃዋሚውን ከቀለበት ማስወጣት መ. ተቃዋሚውን በመምታት")</f>
        <v>ሀ. በመሰካት፣ በማውረድ እና በመቆጣጠር ለ. ተቃዋሚውን ሳያውቅ በመምታት ሐ. ተቃዋሚውን ከቀለበት ማስወጣት መ. ተቃዋሚውን በመምታት</v>
      </c>
      <c r="J11" s="8" t="str">
        <f>IFERROR(__xludf.DUMMYFUNCTION(" GOOGLETRANSLATE(D11, ""en"", ""am"")"),"በመሰካት፣ በማውረድ እና በመቆጣጠር")</f>
        <v>በመሰካት፣ በማውረድ እና በመቆጣጠር</v>
      </c>
      <c r="K11" s="8" t="str">
        <f>IFERROR(__xludf.DUMMYFUNCTION(" GOOGLETRANSLATE(E11, ""en"", ""am"")"),"ነጥቦች የሚመዘገቡት በመሰካት፣ በማውረድ እና በመቆጣጠር ነው።")</f>
        <v>ነጥቦች የሚመዘገቡት በመሰካት፣ በማውረድ እና በመቆጣጠር ነው።</v>
      </c>
    </row>
    <row r="12" ht="22.5" customHeight="1">
      <c r="A12" s="13">
        <v>11.0</v>
      </c>
      <c r="B12" s="14" t="s">
        <v>1435</v>
      </c>
      <c r="C12" s="14" t="s">
        <v>1436</v>
      </c>
      <c r="D12" s="14" t="s">
        <v>1437</v>
      </c>
      <c r="E12" s="14" t="s">
        <v>1438</v>
      </c>
      <c r="G12" s="8" t="str">
        <f>IFERROR(__xludf.DUMMYFUNCTION(" GOOGLETRANSLATE(A12, ""en"", ""am"")"),"11")</f>
        <v>11</v>
      </c>
      <c r="H12" s="8" t="str">
        <f>IFERROR(__xludf.DUMMYFUNCTION(" GOOGLETRANSLATE(B12, ""en"", ""am"")"),"በአባ ገዳ ትግል ውስጥ ያለ ታጋይ ህገወጥ የስራ ማቆም አድማ መጠቀም ይችላል?")</f>
        <v>በአባ ገዳ ትግል ውስጥ ያለ ታጋይ ህገወጥ የስራ ማቆም አድማ መጠቀም ይችላል?</v>
      </c>
      <c r="I12" s="8" t="str">
        <f>IFERROR(__xludf.DUMMYFUNCTION(" GOOGLETRANSLATE(C12, ""en"", ""am"")"),"A. አይ ለ. አዎ C ለመከላከል. አዎ፣ ለ D. አዎ፣ በአንዳንድ ሁኔታዎች")</f>
        <v>A. አይ ለ. አዎ C ለመከላከል. አዎ፣ ለ D. አዎ፣ በአንዳንድ ሁኔታዎች</v>
      </c>
      <c r="J12" s="8" t="str">
        <f>IFERROR(__xludf.DUMMYFUNCTION(" GOOGLETRANSLATE(D12, ""en"", ""am"")"),"አይ")</f>
        <v>አይ</v>
      </c>
      <c r="K12" s="8" t="str">
        <f>IFERROR(__xludf.DUMMYFUNCTION(" GOOGLETRANSLATE(E12, ""en"", ""am"")"),"በአባ ገዳ ትግል ህገወጥ የስራ ማቆም አድማ አይፈቀድም።")</f>
        <v>በአባ ገዳ ትግል ህገወጥ የስራ ማቆም አድማ አይፈቀድም።</v>
      </c>
    </row>
    <row r="13" ht="22.5" customHeight="1">
      <c r="A13" s="13">
        <v>12.0</v>
      </c>
      <c r="B13" s="14" t="s">
        <v>1439</v>
      </c>
      <c r="C13" s="14" t="s">
        <v>1440</v>
      </c>
      <c r="D13" s="14" t="s">
        <v>1441</v>
      </c>
      <c r="E13" s="14" t="s">
        <v>407</v>
      </c>
      <c r="G13" s="8" t="str">
        <f>IFERROR(__xludf.DUMMYFUNCTION(" GOOGLETRANSLATE(A13, ""en"", ""am"")"),"12")</f>
        <v>12</v>
      </c>
      <c r="H13" s="8" t="str">
        <f>IFERROR(__xludf.DUMMYFUNCTION(" GOOGLETRANSLATE(B13, ""en"", ""am"")"),"በአባ ገዳ ትግል የውሸት ጅምር ቅጣቱ ምንድን ነው?")</f>
        <v>በአባ ገዳ ትግል የውሸት ጅምር ቅጣቱ ምንድን ነው?</v>
      </c>
      <c r="I13" s="8" t="str">
        <f>IFERROR(__xludf.DUMMYFUNCTION(" GOOGLETRANSLATE(C13, ""en"", ""am"")"),"ሀ. ማስጠንቀቂያ ለ. ነጥብ መቀነስ ሐ. ብቁ አለመሆን መ. ግጥሚያው እንደገና ተጀምሯል።")</f>
        <v>ሀ. ማስጠንቀቂያ ለ. ነጥብ መቀነስ ሐ. ብቁ አለመሆን መ. ግጥሚያው እንደገና ተጀምሯል።</v>
      </c>
      <c r="J13" s="8" t="str">
        <f>IFERROR(__xludf.DUMMYFUNCTION(" GOOGLETRANSLATE(D13, ""en"", ""am"")"),"ማስጠንቀቂያ")</f>
        <v>ማስጠንቀቂያ</v>
      </c>
      <c r="K13" s="8" t="str">
        <f>IFERROR(__xludf.DUMMYFUNCTION(" GOOGLETRANSLATE(E13, ""en"", ""am"")"),"የውሸት ጅምር ማስጠንቀቂያ ያስከትላል።")</f>
        <v>የውሸት ጅምር ማስጠንቀቂያ ያስከትላል።</v>
      </c>
    </row>
    <row r="14" ht="22.5" customHeight="1">
      <c r="A14" s="13">
        <v>13.0</v>
      </c>
      <c r="B14" s="14" t="s">
        <v>1442</v>
      </c>
      <c r="C14" s="14" t="s">
        <v>1443</v>
      </c>
      <c r="D14" s="14" t="s">
        <v>1444</v>
      </c>
      <c r="E14" s="14" t="s">
        <v>1445</v>
      </c>
      <c r="G14" s="8" t="str">
        <f>IFERROR(__xludf.DUMMYFUNCTION(" GOOGLETRANSLATE(A14, ""en"", ""am"")"),"13")</f>
        <v>13</v>
      </c>
      <c r="H14" s="8" t="str">
        <f>IFERROR(__xludf.DUMMYFUNCTION(" GOOGLETRANSLATE(B14, ""en"", ""am"")"),"በአባ ገዳ ትግል ውስጥ ያለው ታጋይ መቼ ነው የሚያሸንፈው?")</f>
        <v>በአባ ገዳ ትግል ውስጥ ያለው ታጋይ መቼ ነው የሚያሸንፈው?</v>
      </c>
      <c r="I14" s="8" t="str">
        <f>IFERROR(__xludf.DUMMYFUNCTION(" GOOGLETRANSLATE(C14, ""en"", ""am"")"),"ሀ. በፒን ፈተናዎች ጊዜ ብቻ B. በማንኛውም ጊዜ በጨዋታው ውስጥ C. በተቆለፈበት ጊዜ D. ካንኳኳ በኋላ")</f>
        <v>ሀ. በፒን ፈተናዎች ጊዜ ብቻ B. በማንኛውም ጊዜ በጨዋታው ውስጥ C. በተቆለፈበት ጊዜ D. ካንኳኳ በኋላ</v>
      </c>
      <c r="J14" s="8" t="str">
        <f>IFERROR(__xludf.DUMMYFUNCTION(" GOOGLETRANSLATE(D14, ""en"", ""am"")"),"በጨዋታው ውስጥ በማንኛውም ጊዜ")</f>
        <v>በጨዋታው ውስጥ በማንኛውም ጊዜ</v>
      </c>
      <c r="K14" s="8" t="str">
        <f>IFERROR(__xludf.DUMMYFUNCTION(" GOOGLETRANSLATE(E14, ""en"", ""am"")"),"ተዋጊ ከመረጡ በጨዋታው ውስጥ በማንኛውም ጊዜ መግባት ይችላል።")</f>
        <v>ተዋጊ ከመረጡ በጨዋታው ውስጥ በማንኛውም ጊዜ መግባት ይችላል።</v>
      </c>
    </row>
    <row r="15" ht="22.5" customHeight="1">
      <c r="A15" s="13">
        <v>14.0</v>
      </c>
      <c r="B15" s="14" t="s">
        <v>1446</v>
      </c>
      <c r="C15" s="14" t="s">
        <v>1447</v>
      </c>
      <c r="D15" s="14" t="s">
        <v>1418</v>
      </c>
      <c r="E15" s="14" t="s">
        <v>1448</v>
      </c>
      <c r="G15" s="8" t="str">
        <f>IFERROR(__xludf.DUMMYFUNCTION(" GOOGLETRANSLATE(A15, ""en"", ""am"")"),"14")</f>
        <v>14</v>
      </c>
      <c r="H15" s="8" t="str">
        <f>IFERROR(__xludf.DUMMYFUNCTION(" GOOGLETRANSLATE(B15, ""en"", ""am"")"),"አንድ ተጋዳላ በግጥሚያ ወቅት ቀለበቱን ቢተው ምን ይሆናል?")</f>
        <v>አንድ ተጋዳላ በግጥሚያ ወቅት ቀለበቱን ቢተው ምን ይሆናል?</v>
      </c>
      <c r="I15" s="8" t="str">
        <f>IFERROR(__xludf.DUMMYFUNCTION(" GOOGLETRANSLATE(C15, ""en"", ""am"")"),"ሀ. ነጥቦችን ማጣት ለ. ግጥሚያው እንደገና ተጀምሯል። ሐ. ብቁ አለመሆን መ. ምንም እርምጃ የለም።")</f>
        <v>ሀ. ነጥቦችን ማጣት ለ. ግጥሚያው እንደገና ተጀምሯል። ሐ. ብቁ አለመሆን መ. ምንም እርምጃ የለም።</v>
      </c>
      <c r="J15" s="8" t="str">
        <f>IFERROR(__xludf.DUMMYFUNCTION(" GOOGLETRANSLATE(D15, ""en"", ""am"")"),"ጨዋታው እንደገና ተጀምሯል።")</f>
        <v>ጨዋታው እንደገና ተጀምሯል።</v>
      </c>
      <c r="K15" s="8" t="str">
        <f>IFERROR(__xludf.DUMMYFUNCTION(" GOOGLETRANSLATE(E15, ""en"", ""am"")"),"ቀለበቱን መልቀቅ ወደ ግጥሚያው ዳግም ማስጀመር ይመራል።")</f>
        <v>ቀለበቱን መልቀቅ ወደ ግጥሚያው ዳግም ማስጀመር ይመራል።</v>
      </c>
    </row>
    <row r="16" ht="22.5" customHeight="1">
      <c r="A16" s="13">
        <v>15.0</v>
      </c>
      <c r="B16" s="14" t="s">
        <v>1449</v>
      </c>
      <c r="C16" s="14" t="s">
        <v>1450</v>
      </c>
      <c r="D16" s="14" t="s">
        <v>1451</v>
      </c>
      <c r="E16" s="14" t="s">
        <v>1452</v>
      </c>
      <c r="G16" s="8" t="str">
        <f>IFERROR(__xludf.DUMMYFUNCTION(" GOOGLETRANSLATE(A16, ""en"", ""am"")"),"15")</f>
        <v>15</v>
      </c>
      <c r="H16" s="8" t="str">
        <f>IFERROR(__xludf.DUMMYFUNCTION(" GOOGLETRANSLATE(B16, ""en"", ""am"")"),"በአባ ገዳ ትግል ውስጥ የክብደት ክፍፍል አለ?")</f>
        <v>በአባ ገዳ ትግል ውስጥ የክብደት ክፍፍል አለ?</v>
      </c>
      <c r="I16" s="8" t="str">
        <f>IFERROR(__xludf.DUMMYFUNCTION(" GOOGLETRANSLATE(C16, ""en"", ""am"")"),"ሀ. አዎ ለ. አይ ሐ. አዎ፣ ግን ግዴታ አይደለም። መ. አይደለም ሁሉም በአንድ ላይ ይወዳደራል።")</f>
        <v>ሀ. አዎ ለ. አይ ሐ. አዎ፣ ግን ግዴታ አይደለም። መ. አይደለም ሁሉም በአንድ ላይ ይወዳደራል።</v>
      </c>
      <c r="J16" s="8" t="str">
        <f>IFERROR(__xludf.DUMMYFUNCTION(" GOOGLETRANSLATE(D16, ""en"", ""am"")"),"አዎ")</f>
        <v>አዎ</v>
      </c>
      <c r="K16" s="8" t="str">
        <f>IFERROR(__xludf.DUMMYFUNCTION(" GOOGLETRANSLATE(E16, ""en"", ""am"")"),"የአባ ገዳ ትግል ፍትሃዊ ውድድርን ለማረጋገጥ የክብደት ምድቦች አሉት።")</f>
        <v>የአባ ገዳ ትግል ፍትሃዊ ውድድርን ለማረጋገጥ የክብደት ምድቦች አሉት።</v>
      </c>
    </row>
    <row r="17" ht="22.5" customHeight="1">
      <c r="A17" s="13">
        <v>16.0</v>
      </c>
      <c r="B17" s="14" t="s">
        <v>1453</v>
      </c>
      <c r="C17" s="14" t="s">
        <v>1454</v>
      </c>
      <c r="D17" s="14" t="s">
        <v>1455</v>
      </c>
      <c r="E17" s="14" t="s">
        <v>1456</v>
      </c>
      <c r="G17" s="8" t="str">
        <f>IFERROR(__xludf.DUMMYFUNCTION(" GOOGLETRANSLATE(A17, ""en"", ""am"")"),"16")</f>
        <v>16</v>
      </c>
      <c r="H17" s="8" t="str">
        <f>IFERROR(__xludf.DUMMYFUNCTION(" GOOGLETRANSLATE(B17, ""en"", ""am"")"),"ደረጃውን የጠበቀ የአባ ገዳ ትግል ውድድር ስንት ዙር አለው?")</f>
        <v>ደረጃውን የጠበቀ የአባ ገዳ ትግል ውድድር ስንት ዙር አለው?</v>
      </c>
      <c r="I17" s="8" t="str">
        <f>IFERROR(__xludf.DUMMYFUNCTION(" GOOGLETRANSLATE(C17, ""en"", ""am"")"),"ሀ.አንድ ለ.ሁለት ሐ.ሶስት መ.አራት")</f>
        <v>ሀ.አንድ ለ.ሁለት ሐ.ሶስት መ.አራት</v>
      </c>
      <c r="J17" s="8" t="str">
        <f>IFERROR(__xludf.DUMMYFUNCTION(" GOOGLETRANSLATE(D17, ""en"", ""am"")"),"ሁለት")</f>
        <v>ሁለት</v>
      </c>
      <c r="K17" s="8" t="str">
        <f>IFERROR(__xludf.DUMMYFUNCTION(" GOOGLETRANSLATE(E17, ""en"", ""am"")"),"አብዛኞቹ የአባ ገዳ የትግል ግጥሚያዎች ሁለት ዙር ናቸው።")</f>
        <v>አብዛኞቹ የአባ ገዳ የትግል ግጥሚያዎች ሁለት ዙር ናቸው።</v>
      </c>
    </row>
    <row r="18" ht="22.5" customHeight="1">
      <c r="A18" s="13">
        <v>17.0</v>
      </c>
      <c r="B18" s="14" t="s">
        <v>1457</v>
      </c>
      <c r="C18" s="14" t="s">
        <v>1458</v>
      </c>
      <c r="D18" s="14" t="s">
        <v>1459</v>
      </c>
      <c r="E18" s="14" t="s">
        <v>1460</v>
      </c>
      <c r="G18" s="8" t="str">
        <f>IFERROR(__xludf.DUMMYFUNCTION(" GOOGLETRANSLATE(A18, ""en"", ""am"")"),"17")</f>
        <v>17</v>
      </c>
      <c r="H18" s="8" t="str">
        <f>IFERROR(__xludf.DUMMYFUNCTION(" GOOGLETRANSLATE(B18, ""en"", ""am"")"),"በአባ ገዳ የተፈፀመው እልቂት ዓላማው ምንድን ነው?")</f>
        <v>በአባ ገዳ የተፈፀመው እልቂት ዓላማው ምንድን ነው?</v>
      </c>
      <c r="I18" s="8" t="str">
        <f>IFERROR(__xludf.DUMMYFUNCTION(" GOOGLETRANSLATE(C18, ""en"", ""am"")"),"ሀ. ለመምታት የሚያገለግል መሳሪያ ነው። ለ. የቀለበቱን ወሰን ያመለክታል. ሐ. የጨዋታውን መጀመር ያመለክታል። መ. በጦረኞች ይለብሳል.")</f>
        <v>ሀ. ለመምታት የሚያገለግል መሳሪያ ነው። ለ. የቀለበቱን ወሰን ያመለክታል. ሐ. የጨዋታውን መጀመር ያመለክታል። መ. በጦረኞች ይለብሳል.</v>
      </c>
      <c r="J18" s="8" t="str">
        <f>IFERROR(__xludf.DUMMYFUNCTION(" GOOGLETRANSLATE(D18, ""en"", ""am"")"),"የቀለበቱን ወሰን ያመለክታል.")</f>
        <v>የቀለበቱን ወሰን ያመለክታል.</v>
      </c>
      <c r="K18" s="8" t="str">
        <f>IFERROR(__xludf.DUMMYFUNCTION(" GOOGLETRANSLATE(E18, ""en"", ""am"")"),"የክበብ ወሰንን ለማመልከት ድንበር ጥቅም ላይ ይውላል.")</f>
        <v>የክበብ ወሰንን ለማመልከት ድንበር ጥቅም ላይ ይውላል.</v>
      </c>
    </row>
    <row r="19" ht="22.5" customHeight="1">
      <c r="A19" s="13">
        <v>18.0</v>
      </c>
      <c r="B19" s="14" t="s">
        <v>1461</v>
      </c>
      <c r="C19" s="14" t="s">
        <v>1462</v>
      </c>
      <c r="D19" s="14" t="s">
        <v>1463</v>
      </c>
      <c r="E19" s="14" t="s">
        <v>1464</v>
      </c>
      <c r="G19" s="8" t="str">
        <f>IFERROR(__xludf.DUMMYFUNCTION(" GOOGLETRANSLATE(A19, ""en"", ""am"")"),"18")</f>
        <v>18</v>
      </c>
      <c r="H19" s="8" t="str">
        <f>IFERROR(__xludf.DUMMYFUNCTION(" GOOGLETRANSLATE(B19, ""en"", ""am"")"),"በጨዋታ ጊዜ ተዋጊ ለእረፍት ሊጠራ ይችላል?")</f>
        <v>በጨዋታ ጊዜ ተዋጊ ለእረፍት ሊጠራ ይችላል?</v>
      </c>
      <c r="I19" s="8" t="str">
        <f>IFERROR(__xludf.DUMMYFUNCTION(" GOOGLETRANSLATE(C19, ""en"", ""am"")"),"ሀ. አዎ፣ ለጉዳት። ለ. አይ ሐ. አዎ፣ ለስልታዊ ምክንያቶች። መ. አዎ፣ ከመጀመሪያው ዙር በኋላ ብቻ")</f>
        <v>ሀ. አዎ፣ ለጉዳት። ለ. አይ ሐ. አዎ፣ ለስልታዊ ምክንያቶች። መ. አዎ፣ ከመጀመሪያው ዙር በኋላ ብቻ</v>
      </c>
      <c r="J19" s="8" t="str">
        <f>IFERROR(__xludf.DUMMYFUNCTION(" GOOGLETRANSLATE(D19, ""en"", ""am"")"),"አዎ, ለጉዳት.")</f>
        <v>አዎ, ለጉዳት.</v>
      </c>
      <c r="K19" s="8" t="str">
        <f>IFERROR(__xludf.DUMMYFUNCTION(" GOOGLETRANSLATE(E19, ""en"", ""am"")"),"በጨዋታው ወቅት ተዋጊ ከተጎዳ የጊዜ ማብቂያ ሊጠራ ይችላል።")</f>
        <v>በጨዋታው ወቅት ተዋጊ ከተጎዳ የጊዜ ማብቂያ ሊጠራ ይችላል።</v>
      </c>
    </row>
    <row r="20" ht="22.5" customHeight="1">
      <c r="A20" s="13">
        <v>19.0</v>
      </c>
      <c r="B20" s="14" t="s">
        <v>1465</v>
      </c>
      <c r="C20" s="14" t="s">
        <v>1466</v>
      </c>
      <c r="D20" s="14" t="s">
        <v>1467</v>
      </c>
      <c r="E20" s="14" t="s">
        <v>1468</v>
      </c>
      <c r="G20" s="8" t="str">
        <f>IFERROR(__xludf.DUMMYFUNCTION(" GOOGLETRANSLATE(A20, ""en"", ""am"")"),"19")</f>
        <v>19</v>
      </c>
      <c r="H20" s="8" t="str">
        <f>IFERROR(__xludf.DUMMYFUNCTION(" GOOGLETRANSLATE(B20, ""en"", ""am"")"),"አርቢትር ደም በሚፈስበት ጊዜ ምን እርምጃ ይወስዳል?")</f>
        <v>አርቢትር ደም በሚፈስበት ጊዜ ምን እርምጃ ይወስዳል?</v>
      </c>
      <c r="I20" s="8" t="str">
        <f>IFERROR(__xludf.DUMMYFUNCTION(" GOOGLETRANSLATE(C20, ""en"", ""am"")"),"ሀ. ግጥሚያውን አቁም። B. ግጥሚያው ይቀጥል። ሐ. ተዋጊውን አስጠንቅቅ። መ. ተቃዋሚውን ውድቅ ያድርጉ።")</f>
        <v>ሀ. ግጥሚያውን አቁም። B. ግጥሚያው ይቀጥል። ሐ. ተዋጊውን አስጠንቅቅ። መ. ተቃዋሚውን ውድቅ ያድርጉ።</v>
      </c>
      <c r="J20" s="8" t="str">
        <f>IFERROR(__xludf.DUMMYFUNCTION(" GOOGLETRANSLATE(D20, ""en"", ""am"")"),"ግጥሚያውን አቁም።")</f>
        <v>ግጥሚያውን አቁም።</v>
      </c>
      <c r="K20" s="8" t="str">
        <f>IFERROR(__xludf.DUMMYFUNCTION(" GOOGLETRANSLATE(E20, ""en"", ""am"")"),"አንድ ተጋዳላይ እየደማ ከሆነ ዳኛው ለህክምና ምርመራ ጨዋታውን ሊያቆም ይችላል።")</f>
        <v>አንድ ተጋዳላይ እየደማ ከሆነ ዳኛው ለህክምና ምርመራ ጨዋታውን ሊያቆም ይችላል።</v>
      </c>
    </row>
    <row r="21" ht="22.5" customHeight="1">
      <c r="A21" s="13">
        <v>20.0</v>
      </c>
      <c r="B21" s="14" t="s">
        <v>1469</v>
      </c>
      <c r="C21" s="14" t="s">
        <v>1470</v>
      </c>
      <c r="D21" s="14" t="s">
        <v>1451</v>
      </c>
      <c r="E21" s="14" t="s">
        <v>1471</v>
      </c>
      <c r="G21" s="8" t="str">
        <f>IFERROR(__xludf.DUMMYFUNCTION(" GOOGLETRANSLATE(A21, ""en"", ""am"")"),"20")</f>
        <v>20</v>
      </c>
      <c r="H21" s="8" t="str">
        <f>IFERROR(__xludf.DUMMYFUNCTION(" GOOGLETRANSLATE(B21, ""en"", ""am"")"),"በአባ ገዳ ጦርነት ተዋጊ መገዛትን መጠቀም ይችላል?")</f>
        <v>በአባ ገዳ ጦርነት ተዋጊ መገዛትን መጠቀም ይችላል?</v>
      </c>
      <c r="I21" s="8" t="str">
        <f>IFERROR(__xludf.DUMMYFUNCTION(" GOOGLETRANSLATE(C21, ""en"", ""am"")"),"ሀ. አዎ ለ. አይ ሐ. አዎ፣ ከእገዳዎች ጋር። መ. ጨዋታውን ለመጨረስ ብቻ")</f>
        <v>ሀ. አዎ ለ. አይ ሐ. አዎ፣ ከእገዳዎች ጋር። መ. ጨዋታውን ለመጨረስ ብቻ</v>
      </c>
      <c r="J21" s="8" t="str">
        <f>IFERROR(__xludf.DUMMYFUNCTION(" GOOGLETRANSLATE(D21, ""en"", ""am"")"),"አዎ")</f>
        <v>አዎ</v>
      </c>
      <c r="K21" s="8" t="str">
        <f>IFERROR(__xludf.DUMMYFUNCTION(" GOOGLETRANSLATE(E21, ""en"", ""am"")"),"ለአባ ገዳ በሚደረገው ትግል እጅ መስጠት የተፈቀደ ነው።")</f>
        <v>ለአባ ገዳ በሚደረገው ትግል እጅ መስጠት የተፈቀደ ነው።</v>
      </c>
    </row>
    <row r="22" ht="22.5" customHeight="1">
      <c r="A22" s="13">
        <v>21.0</v>
      </c>
      <c r="B22" s="14" t="s">
        <v>1472</v>
      </c>
      <c r="C22" s="14" t="s">
        <v>1473</v>
      </c>
      <c r="D22" s="14" t="s">
        <v>1474</v>
      </c>
      <c r="E22" s="14" t="s">
        <v>1475</v>
      </c>
      <c r="G22" s="8" t="str">
        <f>IFERROR(__xludf.DUMMYFUNCTION(" GOOGLETRANSLATE(A22, ""en"", ""am"")"),"21")</f>
        <v>21</v>
      </c>
      <c r="H22" s="8" t="str">
        <f>IFERROR(__xludf.DUMMYFUNCTION(" GOOGLETRANSLATE(B22, ""en"", ""am"")"),"ተጋዳላይ በአባጋ ጋዳ ሊዋጋ ይችላል?")</f>
        <v>ተጋዳላይ በአባጋ ጋዳ ሊዋጋ ይችላል?</v>
      </c>
      <c r="I22" s="8" t="str">
        <f>IFERROR(__xludf.DUMMYFUNCTION(" GOOGLETRANSLATE(C22, ""en"", ""am"")"),"መ. አዎ፣ ግጥሚያውን ለመጨረስ። ለ. አይ ሐ. አዎ፣ ግን ለደህንነት ሲባል ብቻ። መ. አዎ፣ እጅ መስጠት።")</f>
        <v>መ. አዎ፣ ግጥሚያውን ለመጨረስ። ለ. አይ ሐ. አዎ፣ ግን ለደህንነት ሲባል ብቻ። መ. አዎ፣ እጅ መስጠት።</v>
      </c>
      <c r="J22" s="8" t="str">
        <f>IFERROR(__xludf.DUMMYFUNCTION(" GOOGLETRANSLATE(D22, ""en"", ""am"")"),"አዎ ግጥሚያውን ለመጨረስ።")</f>
        <v>አዎ ግጥሚያውን ለመጨረስ።</v>
      </c>
      <c r="K22" s="8" t="str">
        <f>IFERROR(__xludf.DUMMYFUNCTION(" GOOGLETRANSLATE(E22, ""en"", ""am"")"),"ጨዋታውን ለመጨረስ መታ መውጣት በአንድ ተዋጊ ሊጠቀም ይችላል።")</f>
        <v>ጨዋታውን ለመጨረስ መታ መውጣት በአንድ ተዋጊ ሊጠቀም ይችላል።</v>
      </c>
    </row>
    <row r="23" ht="22.5" customHeight="1">
      <c r="A23" s="13">
        <v>22.0</v>
      </c>
      <c r="B23" s="14" t="s">
        <v>1476</v>
      </c>
      <c r="C23" s="14" t="s">
        <v>1477</v>
      </c>
      <c r="D23" s="14" t="s">
        <v>1478</v>
      </c>
      <c r="E23" s="14" t="s">
        <v>1479</v>
      </c>
      <c r="G23" s="8" t="str">
        <f>IFERROR(__xludf.DUMMYFUNCTION(" GOOGLETRANSLATE(A23, ""en"", ""am"")"),"22")</f>
        <v>22</v>
      </c>
      <c r="H23" s="8" t="str">
        <f>IFERROR(__xludf.DUMMYFUNCTION(" GOOGLETRANSLATE(B23, ""en"", ""am"")"),"በአባ ገዳ ላይ በሚደረገው ትግል የተለመደው ዘዴ ምንድነው?")</f>
        <v>በአባ ገዳ ላይ በሚደረገው ትግል የተለመደው ዘዴ ምንድነው?</v>
      </c>
      <c r="I23" s="8" t="str">
        <f>IFERROR(__xludf.DUMMYFUNCTION(" GOOGLETRANSLATE(C23, ""en"", ""am"")"),"ሀ. የመከላከያ አቋም ለ. የመሬት ቁጥጥር ሐ. በአድማ ላይ የተመሰረተ ጉዳት መ. ማስገባትን ያካትታል")</f>
        <v>ሀ. የመከላከያ አቋም ለ. የመሬት ቁጥጥር ሐ. በአድማ ላይ የተመሰረተ ጉዳት መ. ማስገባትን ያካትታል</v>
      </c>
      <c r="J23" s="8" t="str">
        <f>IFERROR(__xludf.DUMMYFUNCTION(" GOOGLETRANSLATE(D23, ""en"", ""am"")"),"የመሬት ቁጥጥር")</f>
        <v>የመሬት ቁጥጥር</v>
      </c>
      <c r="K23" s="8" t="str">
        <f>IFERROR(__xludf.DUMMYFUNCTION(" GOOGLETRANSLATE(E23, ""en"", ""am"")"),"በአባ ገዳ ትግል ውስጥ የመሬት ቁጥጥር የተለመደ ስልት ነው።")</f>
        <v>በአባ ገዳ ትግል ውስጥ የመሬት ቁጥጥር የተለመደ ስልት ነው።</v>
      </c>
    </row>
    <row r="24" ht="22.5" customHeight="1">
      <c r="A24" s="13">
        <v>23.0</v>
      </c>
      <c r="B24" s="14" t="s">
        <v>1480</v>
      </c>
      <c r="C24" s="14" t="s">
        <v>1481</v>
      </c>
      <c r="D24" s="14" t="s">
        <v>1482</v>
      </c>
      <c r="E24" s="14" t="s">
        <v>1483</v>
      </c>
      <c r="G24" s="8" t="str">
        <f>IFERROR(__xludf.DUMMYFUNCTION(" GOOGLETRANSLATE(A24, ""en"", ""am"")"),"23")</f>
        <v>23</v>
      </c>
      <c r="H24" s="8" t="str">
        <f>IFERROR(__xludf.DUMMYFUNCTION(" GOOGLETRANSLATE(B24, ""en"", ""am"")"),"ዳኛው ለነጻነት በሚደረገው ትግል ውስጥ ያለው ሚና ምንድን ነው?")</f>
        <v>ዳኛው ለነጻነት በሚደረገው ትግል ውስጥ ያለው ሚና ምንድን ነው?</v>
      </c>
      <c r="I24" s="8" t="str">
        <f>IFERROR(__xludf.DUMMYFUNCTION(" GOOGLETRANSLATE(C24, ""en"", ""am"")"),"ሀ. ተዋጊዎቹን ለመምራት ለ. ነጥብ ለማግኘት ሐ. ግጥሚያው ደንቦቹን መከተሉን ለማረጋገጥ መ. ዘዴዎችን ለመርዳት")</f>
        <v>ሀ. ተዋጊዎቹን ለመምራት ለ. ነጥብ ለማግኘት ሐ. ግጥሚያው ደንቦቹን መከተሉን ለማረጋገጥ መ. ዘዴዎችን ለመርዳት</v>
      </c>
      <c r="J24" s="8" t="str">
        <f>IFERROR(__xludf.DUMMYFUNCTION(" GOOGLETRANSLATE(D24, ""en"", ""am"")"),"ግጥሚያው ህጎቹን የሚከተል መሆኑን ለማረጋገጥ")</f>
        <v>ግጥሚያው ህጎቹን የሚከተል መሆኑን ለማረጋገጥ</v>
      </c>
      <c r="K24" s="8" t="str">
        <f>IFERROR(__xludf.DUMMYFUNCTION(" GOOGLETRANSLATE(E24, ""en"", ""am"")"),"ዳኛው ጨዋታው ህግን እና ፍትሃዊ ጨዋታን የተከተለ መሆኑን ያረጋግጣል።")</f>
        <v>ዳኛው ጨዋታው ህግን እና ፍትሃዊ ጨዋታን የተከተለ መሆኑን ያረጋግጣል።</v>
      </c>
    </row>
    <row r="25" ht="22.5" customHeight="1">
      <c r="A25" s="13">
        <v>24.0</v>
      </c>
      <c r="B25" s="14" t="s">
        <v>1484</v>
      </c>
      <c r="C25" s="14" t="s">
        <v>1440</v>
      </c>
      <c r="D25" s="14" t="s">
        <v>1441</v>
      </c>
      <c r="E25" s="14" t="s">
        <v>1485</v>
      </c>
      <c r="G25" s="8" t="str">
        <f>IFERROR(__xludf.DUMMYFUNCTION(" GOOGLETRANSLATE(A25, ""en"", ""am"")"),"24")</f>
        <v>24</v>
      </c>
      <c r="H25" s="8" t="str">
        <f>IFERROR(__xludf.DUMMYFUNCTION(" GOOGLETRANSLATE(B25, ""en"", ""am"")"),"የዳኛውን ትእዛዝ ችላ የሚል ታጋይ ቅጣቱ ምንድን ነው?")</f>
        <v>የዳኛውን ትእዛዝ ችላ የሚል ታጋይ ቅጣቱ ምንድን ነው?</v>
      </c>
      <c r="I25" s="8" t="str">
        <f>IFERROR(__xludf.DUMMYFUNCTION(" GOOGLETRANSLATE(C25, ""en"", ""am"")"),"ሀ. ማስጠንቀቂያ ለ. ነጥብ መቀነስ ሐ. ብቁ አለመሆን መ. ግጥሚያው እንደገና ተጀምሯል።")</f>
        <v>ሀ. ማስጠንቀቂያ ለ. ነጥብ መቀነስ ሐ. ብቁ አለመሆን መ. ግጥሚያው እንደገና ተጀምሯል።</v>
      </c>
      <c r="J25" s="8" t="str">
        <f>IFERROR(__xludf.DUMMYFUNCTION(" GOOGLETRANSLATE(D25, ""en"", ""am"")"),"ማስጠንቀቂያ")</f>
        <v>ማስጠንቀቂያ</v>
      </c>
      <c r="K25" s="8" t="str">
        <f>IFERROR(__xludf.DUMMYFUNCTION(" GOOGLETRANSLATE(E25, ""en"", ""am"")"),"የዳኛውን ትእዛዝ ችላ ማለት ብዙውን ጊዜ ማስጠንቀቂያ ያስከትላል።")</f>
        <v>የዳኛውን ትእዛዝ ችላ ማለት ብዙውን ጊዜ ማስጠንቀቂያ ያስከትላል።</v>
      </c>
    </row>
    <row r="26" ht="22.5" customHeight="1">
      <c r="A26" s="13">
        <v>25.0</v>
      </c>
      <c r="B26" s="14" t="s">
        <v>1486</v>
      </c>
      <c r="C26" s="14" t="s">
        <v>1487</v>
      </c>
      <c r="D26" s="14" t="s">
        <v>1488</v>
      </c>
      <c r="E26" s="14" t="s">
        <v>1489</v>
      </c>
      <c r="G26" s="8" t="str">
        <f>IFERROR(__xludf.DUMMYFUNCTION(" GOOGLETRANSLATE(A26, ""en"", ""am"")"),"25")</f>
        <v>25</v>
      </c>
      <c r="H26" s="8" t="str">
        <f>IFERROR(__xludf.DUMMYFUNCTION(" GOOGLETRANSLATE(B26, ""en"", ""am"")"),"ከአባ ገዳ ትግል በኋላ ጨዋታው እንዴት ይቀጥላል?")</f>
        <v>ከአባ ገዳ ትግል በኋላ ጨዋታው እንዴት ይቀጥላል?</v>
      </c>
      <c r="I26" s="8" t="str">
        <f>IFERROR(__xludf.DUMMYFUNCTION(" GOOGLETRANSLATE(C26, ""en"", ""am"")"),"ሀ. ከቆመ ቦታ ጋር B. በአቀማመጥ ላይ ያለ ጊዜ። ሐ. ዳኛው ይወስናሉ. መ. ግጥሚያው እንደገና ይጀምራል።")</f>
        <v>ሀ. ከቆመ ቦታ ጋር B. በአቀማመጥ ላይ ያለ ጊዜ። ሐ. ዳኛው ይወስናሉ. መ. ግጥሚያው እንደገና ይጀምራል።</v>
      </c>
      <c r="J26" s="8" t="str">
        <f>IFERROR(__xludf.DUMMYFUNCTION(" GOOGLETRANSLATE(D26, ""en"", ""am"")"),"ከቆመ አቀማመጥ ጋር")</f>
        <v>ከቆመ አቀማመጥ ጋር</v>
      </c>
      <c r="K26" s="8" t="str">
        <f>IFERROR(__xludf.DUMMYFUNCTION(" GOOGLETRANSLATE(E26, ""en"", ""am"")"),"ግጥሚያዎቹ በማቆሚያዎች ቀጥለዋል።")</f>
        <v>ግጥሚያዎቹ በማቆሚያዎች ቀጥለዋል።</v>
      </c>
    </row>
    <row r="27" ht="22.5" customHeight="1">
      <c r="A27" s="13">
        <v>26.0</v>
      </c>
      <c r="B27" s="14" t="s">
        <v>1490</v>
      </c>
      <c r="C27" s="14" t="s">
        <v>1491</v>
      </c>
      <c r="D27" s="14" t="s">
        <v>1437</v>
      </c>
      <c r="E27" s="14" t="s">
        <v>1492</v>
      </c>
      <c r="G27" s="8" t="str">
        <f>IFERROR(__xludf.DUMMYFUNCTION(" GOOGLETRANSLATE(A27, ""en"", ""am"")"),"26")</f>
        <v>26</v>
      </c>
      <c r="H27" s="8" t="str">
        <f>IFERROR(__xludf.DUMMYFUNCTION(" GOOGLETRANSLATE(B27, ""en"", ""am"")"),"ተዋጊ በትግል ግጥሚያ ያንቃል?")</f>
        <v>ተዋጊ በትግል ግጥሚያ ያንቃል?</v>
      </c>
      <c r="I27" s="8" t="str">
        <f>IFERROR(__xludf.DUMMYFUNCTION(" GOOGLETRANSLATE(C27, ""en"", ""am"")"),"A. አይ ለ. አዎ፣ ከእገዳዎች ጋር። C. አዎ ጨዋታውን ለማሸነፍ D. አዎ፣ ግን ለማድረስ ብቻ።")</f>
        <v>A. አይ ለ. አዎ፣ ከእገዳዎች ጋር። C. አዎ ጨዋታውን ለማሸነፍ D. አዎ፣ ግን ለማድረስ ብቻ።</v>
      </c>
      <c r="J27" s="8" t="str">
        <f>IFERROR(__xludf.DUMMYFUNCTION(" GOOGLETRANSLATE(D27, ""en"", ""am"")"),"አይ")</f>
        <v>አይ</v>
      </c>
      <c r="K27" s="8" t="str">
        <f>IFERROR(__xludf.DUMMYFUNCTION(" GOOGLETRANSLATE(E27, ""en"", ""am"")"),"ለነጻነት በሚደረገው ትግል ሁከት አይፈቀድም።")</f>
        <v>ለነጻነት በሚደረገው ትግል ሁከት አይፈቀድም።</v>
      </c>
    </row>
    <row r="28" ht="22.5" customHeight="1">
      <c r="A28" s="13">
        <v>27.0</v>
      </c>
      <c r="B28" s="14" t="s">
        <v>1493</v>
      </c>
      <c r="C28" s="14" t="s">
        <v>1494</v>
      </c>
      <c r="D28" s="14" t="s">
        <v>1495</v>
      </c>
      <c r="E28" s="14" t="s">
        <v>1496</v>
      </c>
      <c r="G28" s="8" t="str">
        <f>IFERROR(__xludf.DUMMYFUNCTION(" GOOGLETRANSLATE(A28, ""en"", ""am"")"),"27")</f>
        <v>27</v>
      </c>
      <c r="H28" s="8" t="str">
        <f>IFERROR(__xludf.DUMMYFUNCTION(" GOOGLETRANSLATE(B28, ""en"", ""am"")"),"በአባ ገዳ ሬስሊንግ አንድ ታጋይ በማንኳኳት ለማሸነፍ ምን ማድረግ አለበት?")</f>
        <v>በአባ ገዳ ሬስሊንግ አንድ ታጋይ በማንኳኳት ለማሸነፍ ምን ማድረግ አለበት?</v>
      </c>
      <c r="I28" s="8" t="str">
        <f>IFERROR(__xludf.DUMMYFUNCTION(" GOOGLETRANSLATE(C28, ""en"", ""am"")"),"ሀ/ ተፎካካሪያቸውን ሳያውቁ ደበደቡት። ለ. ብዙ ነጥቦችን ያስመዝግቡ ሐ. ተቃዋሚዎን ከቀለበት ያስገድዱት። መ. ተቃዋሚውን ይሰኩት.")</f>
        <v>ሀ/ ተፎካካሪያቸውን ሳያውቁ ደበደቡት። ለ. ብዙ ነጥቦችን ያስመዝግቡ ሐ. ተቃዋሚዎን ከቀለበት ያስገድዱት። መ. ተቃዋሚውን ይሰኩት.</v>
      </c>
      <c r="J28" s="8" t="str">
        <f>IFERROR(__xludf.DUMMYFUNCTION(" GOOGLETRANSLATE(D28, ""en"", ""am"")"),"ተፎካካሪያቸውን ሳያውቁ ደበደቡት።")</f>
        <v>ተፎካካሪያቸውን ሳያውቁ ደበደቡት።</v>
      </c>
      <c r="K28" s="8" t="str">
        <f>IFERROR(__xludf.DUMMYFUNCTION(" GOOGLETRANSLATE(E28, ""en"", ""am"")"),"አሸናፊው ተቃዋሚው ራሱን ስቶ ሲመታ ነው።")</f>
        <v>አሸናፊው ተቃዋሚው ራሱን ስቶ ሲመታ ነው።</v>
      </c>
    </row>
    <row r="29" ht="22.5" customHeight="1">
      <c r="A29" s="13">
        <v>28.0</v>
      </c>
      <c r="B29" s="14" t="s">
        <v>1497</v>
      </c>
      <c r="C29" s="14" t="s">
        <v>1498</v>
      </c>
      <c r="D29" s="14" t="s">
        <v>1437</v>
      </c>
      <c r="E29" s="14" t="s">
        <v>1499</v>
      </c>
      <c r="G29" s="8" t="str">
        <f>IFERROR(__xludf.DUMMYFUNCTION(" GOOGLETRANSLATE(A29, ""en"", ""am"")"),"28")</f>
        <v>28</v>
      </c>
      <c r="H29" s="8" t="str">
        <f>IFERROR(__xludf.DUMMYFUNCTION(" GOOGLETRANSLATE(B29, ""en"", ""am"")"),"በትግል ግጥሚያ ላይ ጭንቅላት መምታት ይፈቀዳል?")</f>
        <v>በትግል ግጥሚያ ላይ ጭንቅላት መምታት ይፈቀዳል?</v>
      </c>
      <c r="I29" s="8" t="str">
        <f>IFERROR(__xludf.DUMMYFUNCTION(" GOOGLETRANSLATE(C29, ""en"", ""am"")"),"A. አይ ለ. አዎ፣ ስልታዊ እርምጃ ከሆነ። ሐ. አዎ፣ ግን በመከላከያ ውስጥ ብቻ። መ. አዎ፣ ግጥሚያውን ለመጨረስ።")</f>
        <v>A. አይ ለ. አዎ፣ ስልታዊ እርምጃ ከሆነ። ሐ. አዎ፣ ግን በመከላከያ ውስጥ ብቻ። መ. አዎ፣ ግጥሚያውን ለመጨረስ።</v>
      </c>
      <c r="J29" s="8" t="str">
        <f>IFERROR(__xludf.DUMMYFUNCTION(" GOOGLETRANSLATE(D29, ""en"", ""am"")"),"አይ")</f>
        <v>አይ</v>
      </c>
      <c r="K29" s="8" t="str">
        <f>IFERROR(__xludf.DUMMYFUNCTION(" GOOGLETRANSLATE(E29, ""en"", ""am"")"),"በአባ ገዳ ትግል ውስጥ ጭንቅላት መምታት አይፈቀድም።")</f>
        <v>በአባ ገዳ ትግል ውስጥ ጭንቅላት መምታት አይፈቀድም።</v>
      </c>
    </row>
    <row r="30" ht="22.5" customHeight="1">
      <c r="A30" s="13">
        <v>29.0</v>
      </c>
      <c r="B30" s="14" t="s">
        <v>1500</v>
      </c>
      <c r="C30" s="14" t="s">
        <v>1501</v>
      </c>
      <c r="D30" s="14" t="s">
        <v>1502</v>
      </c>
      <c r="E30" s="14" t="s">
        <v>1503</v>
      </c>
      <c r="G30" s="8" t="str">
        <f>IFERROR(__xludf.DUMMYFUNCTION(" GOOGLETRANSLATE(A30, ""en"", ""am"")"),"29")</f>
        <v>29</v>
      </c>
      <c r="H30" s="8" t="str">
        <f>IFERROR(__xludf.DUMMYFUNCTION(" GOOGLETRANSLATE(B30, ""en"", ""am"")"),"በአባ ገዳ ትግል ውስጥ ለመሳተፍ የሚፈቀደው ዝቅተኛው የዕድሜ መስፈርት ስንት ነው?")</f>
        <v>በአባ ገዳ ትግል ውስጥ ለመሳተፍ የሚፈቀደው ዝቅተኛው የዕድሜ መስፈርት ስንት ነው?</v>
      </c>
      <c r="I30" s="8" t="str">
        <f>IFERROR(__xludf.DUMMYFUNCTION(" GOOGLETRANSLATE(C30, ""en"", ""am"")"),"ኣብ 16 ዓመት ብ 18 ዓመት ሲ 21 ደ. 14 ዓመት ዕድሚኡ")</f>
        <v>ኣብ 16 ዓመት ብ 18 ዓመት ሲ 21 ደ. 14 ዓመት ዕድሚኡ</v>
      </c>
      <c r="J30" s="8" t="str">
        <f>IFERROR(__xludf.DUMMYFUNCTION(" GOOGLETRANSLATE(D30, ""en"", ""am"")"),"16 አመት")</f>
        <v>16 አመት</v>
      </c>
      <c r="K30" s="8" t="str">
        <f>IFERROR(__xludf.DUMMYFUNCTION(" GOOGLETRANSLATE(E30, ""en"", ""am"")"),"ተፋላሚዎች ለመወዳደር ቢያንስ 16 አመት መሆን አለባቸው።")</f>
        <v>ተፋላሚዎች ለመወዳደር ቢያንስ 16 አመት መሆን አለባቸው።</v>
      </c>
    </row>
    <row r="31" ht="22.5" customHeight="1">
      <c r="A31" s="13">
        <v>30.0</v>
      </c>
      <c r="B31" s="14" t="s">
        <v>1504</v>
      </c>
      <c r="C31" s="14" t="s">
        <v>1505</v>
      </c>
      <c r="D31" s="14" t="s">
        <v>1451</v>
      </c>
      <c r="E31" s="14" t="s">
        <v>1506</v>
      </c>
      <c r="G31" s="8" t="str">
        <f>IFERROR(__xludf.DUMMYFUNCTION(" GOOGLETRANSLATE(A31, ""en"", ""am"")"),"30")</f>
        <v>30</v>
      </c>
      <c r="H31" s="8" t="str">
        <f>IFERROR(__xludf.DUMMYFUNCTION(" GOOGLETRANSLATE(B31, ""en"", ""am"")"),"ታጋይ ተቃዋሚውን ለማደናቀፍ እግሩን ሊጠቀም ይችላል?")</f>
        <v>ታጋይ ተቃዋሚውን ለማደናቀፍ እግሩን ሊጠቀም ይችላል?</v>
      </c>
      <c r="I31" s="8" t="str">
        <f>IFERROR(__xludf.DUMMYFUNCTION(" GOOGLETRANSLATE(C31, ""en"", ""am"")"),"ሀ. አዎ ለ. አይ ሐ. አዎ፣ ግን በመጠኑ ብቻ። መ. አይደለም፣ ወደ ብቃት ማነስ ይመራል።")</f>
        <v>ሀ. አዎ ለ. አይ ሐ. አዎ፣ ግን በመጠኑ ብቻ። መ. አይደለም፣ ወደ ብቃት ማነስ ይመራል።</v>
      </c>
      <c r="J31" s="8" t="str">
        <f>IFERROR(__xludf.DUMMYFUNCTION(" GOOGLETRANSLATE(D31, ""en"", ""am"")"),"አዎ")</f>
        <v>አዎ</v>
      </c>
      <c r="K31" s="8" t="str">
        <f>IFERROR(__xludf.DUMMYFUNCTION(" GOOGLETRANSLATE(E31, ""en"", ""am"")"),"እንደ ደንቦቹ ከተደረጉ የእግር ጉዞዎች ይፈቀዳሉ.")</f>
        <v>እንደ ደንቦቹ ከተደረጉ የእግር ጉዞዎች ይፈቀዳሉ.</v>
      </c>
    </row>
    <row r="32" ht="22.5" customHeight="1">
      <c r="A32" s="13">
        <v>31.0</v>
      </c>
      <c r="B32" s="14" t="s">
        <v>1507</v>
      </c>
      <c r="C32" s="14" t="s">
        <v>1508</v>
      </c>
      <c r="D32" s="14" t="s">
        <v>1509</v>
      </c>
      <c r="E32" s="14" t="s">
        <v>1510</v>
      </c>
      <c r="G32" s="8" t="str">
        <f>IFERROR(__xludf.DUMMYFUNCTION(" GOOGLETRANSLATE(A32, ""en"", ""am"")"),"31")</f>
        <v>31</v>
      </c>
      <c r="H32" s="8" t="str">
        <f>IFERROR(__xludf.DUMMYFUNCTION(" GOOGLETRANSLATE(B32, ""en"", ""am"")"),"ለአባ ገዳ ትግል ስኬታማ ፒን ስንት ነጥብ ተሰጥቷል?")</f>
        <v>ለአባ ገዳ ትግል ስኬታማ ፒን ስንት ነጥብ ተሰጥቷል?</v>
      </c>
      <c r="I32" s="8" t="str">
        <f>IFERROR(__xludf.DUMMYFUNCTION(" GOOGLETRANSLATE(C32, ""en"", ""am"")"),"ሀ.5 ነጥብ ለ. 3 ነጥብ ሐ. 2 ነጥብ መ. 1 ነጥብ")</f>
        <v>ሀ.5 ነጥብ ለ. 3 ነጥብ ሐ. 2 ነጥብ መ. 1 ነጥብ</v>
      </c>
      <c r="J32" s="8" t="str">
        <f>IFERROR(__xludf.DUMMYFUNCTION(" GOOGLETRANSLATE(D32, ""en"", ""am"")"),"5 ነጥብ")</f>
        <v>5 ነጥብ</v>
      </c>
      <c r="K32" s="8" t="str">
        <f>IFERROR(__xludf.DUMMYFUNCTION(" GOOGLETRANSLATE(E32, ""en"", ""am"")"),"የተሳካ ፒን 5 ነጥብ ያገኛል።")</f>
        <v>የተሳካ ፒን 5 ነጥብ ያገኛል።</v>
      </c>
    </row>
    <row r="33" ht="22.5" customHeight="1">
      <c r="A33" s="13">
        <v>32.0</v>
      </c>
      <c r="B33" s="14" t="s">
        <v>1511</v>
      </c>
      <c r="C33" s="14" t="s">
        <v>1512</v>
      </c>
      <c r="D33" s="14" t="s">
        <v>1455</v>
      </c>
      <c r="E33" s="14" t="s">
        <v>1513</v>
      </c>
      <c r="G33" s="8" t="str">
        <f>IFERROR(__xludf.DUMMYFUNCTION(" GOOGLETRANSLATE(A33, ""en"", ""am"")"),"32")</f>
        <v>32</v>
      </c>
      <c r="H33" s="8" t="str">
        <f>IFERROR(__xludf.DUMMYFUNCTION(" GOOGLETRANSLATE(B33, ""en"", ""am"")"),"አንድ ተጋዳይ በአባ ገዳ ገደል ከውድድር ከመውጣቱ በፊት የሚደርሰው ከፍተኛው ማስጠንቀቂያ ስንት ነው?")</f>
        <v>አንድ ተጋዳይ በአባ ገዳ ገደል ከውድድር ከመውጣቱ በፊት የሚደርሰው ከፍተኛው ማስጠንቀቂያ ስንት ነው?</v>
      </c>
      <c r="I33" s="8" t="str">
        <f>IFERROR(__xludf.DUMMYFUNCTION(" GOOGLETRANSLATE(C33, ""en"", ""am"")"),"አ.ሁለት ለ.ሦስት ሐ.አራት መ.አንድ")</f>
        <v>አ.ሁለት ለ.ሦስት ሐ.አራት መ.አንድ</v>
      </c>
      <c r="J33" s="8" t="str">
        <f>IFERROR(__xludf.DUMMYFUNCTION(" GOOGLETRANSLATE(D33, ""en"", ""am"")"),"ሁለት")</f>
        <v>ሁለት</v>
      </c>
      <c r="K33" s="8" t="str">
        <f>IFERROR(__xludf.DUMMYFUNCTION(" GOOGLETRANSLATE(E33, ""en"", ""am"")"),"አንድ ታጋይ ሁለት ማስጠንቀቂያ ከተቀበለ በኋላ ውድቅ ይደረጋል።")</f>
        <v>አንድ ታጋይ ሁለት ማስጠንቀቂያ ከተቀበለ በኋላ ውድቅ ይደረጋል።</v>
      </c>
    </row>
    <row r="34" ht="22.5" customHeight="1">
      <c r="A34" s="13">
        <v>33.0</v>
      </c>
      <c r="B34" s="14" t="s">
        <v>1514</v>
      </c>
      <c r="C34" s="14" t="s">
        <v>1515</v>
      </c>
      <c r="D34" s="14" t="s">
        <v>1516</v>
      </c>
      <c r="E34" s="14" t="s">
        <v>1517</v>
      </c>
      <c r="G34" s="8" t="str">
        <f>IFERROR(__xludf.DUMMYFUNCTION(" GOOGLETRANSLATE(A34, ""en"", ""am"")"),"33")</f>
        <v>33</v>
      </c>
      <c r="H34" s="8" t="str">
        <f>IFERROR(__xludf.DUMMYFUNCTION(" GOOGLETRANSLATE(B34, ""en"", ""am"")"),"አንድ ታጋይ ጨዋታውን እንዴት መቆጣጠር ይችላል?")</f>
        <v>አንድ ታጋይ ጨዋታውን እንዴት መቆጣጠር ይችላል?</v>
      </c>
      <c r="I34" s="8" t="str">
        <f>IFERROR(__xludf.DUMMYFUNCTION(" GOOGLETRANSLATE(C34, ""en"", ""am"")"),"ሀ. የተሳካ አውርድን በማስፈጸም ለ. በማስቆጠር ሐ. ተቀናቃኞቻቸውን በማሰር መ. ተቃዋሚውን በማንኳኳት")</f>
        <v>ሀ. የተሳካ አውርድን በማስፈጸም ለ. በማስቆጠር ሐ. ተቀናቃኞቻቸውን በማሰር መ. ተቃዋሚውን በማንኳኳት</v>
      </c>
      <c r="J34" s="8" t="str">
        <f>IFERROR(__xludf.DUMMYFUNCTION(" GOOGLETRANSLATE(D34, ""en"", ""am"")"),"የተሳካ ማውረድን በማስፈጸም")</f>
        <v>የተሳካ ማውረድን በማስፈጸም</v>
      </c>
      <c r="K34" s="8" t="str">
        <f>IFERROR(__xludf.DUMMYFUNCTION(" GOOGLETRANSLATE(E34, ""en"", ""am"")"),"የተሳካ ማውረድ እንደገና ለመቆጣጠር ይረዳዎታል።")</f>
        <v>የተሳካ ማውረድ እንደገና ለመቆጣጠር ይረዳዎታል።</v>
      </c>
    </row>
    <row r="35" ht="22.5" customHeight="1">
      <c r="A35" s="13">
        <v>34.0</v>
      </c>
      <c r="B35" s="14" t="s">
        <v>1518</v>
      </c>
      <c r="C35" s="14" t="s">
        <v>1519</v>
      </c>
      <c r="D35" s="14" t="s">
        <v>1437</v>
      </c>
      <c r="E35" s="14" t="s">
        <v>1520</v>
      </c>
      <c r="G35" s="8" t="str">
        <f>IFERROR(__xludf.DUMMYFUNCTION(" GOOGLETRANSLATE(A35, ""en"", ""am"")"),"34")</f>
        <v>34</v>
      </c>
      <c r="H35" s="8" t="str">
        <f>IFERROR(__xludf.DUMMYFUNCTION(" GOOGLETRANSLATE(B35, ""en"", ""am"")"),"በአባ ገዳ ትግል ዝቅተኛ ምት መጠቀም ይፈቀዳል?")</f>
        <v>በአባ ገዳ ትግል ዝቅተኛ ምት መጠቀም ይፈቀዳል?</v>
      </c>
      <c r="I35" s="8" t="str">
        <f>IFERROR(__xludf.DUMMYFUNCTION(" GOOGLETRANSLATE(C35, ""en"", ""am"")"),"A. አይ ለ. አዎ፣ በአንዳንድ ሁኔታዎች ሐ. አዎ፣ ግን ለጥበቃ ብቻ። መ. ነጥቦች ለማግኘት")</f>
        <v>A. አይ ለ. አዎ፣ በአንዳንድ ሁኔታዎች ሐ. አዎ፣ ግን ለጥበቃ ብቻ። መ. ነጥቦች ለማግኘት</v>
      </c>
      <c r="J35" s="8" t="str">
        <f>IFERROR(__xludf.DUMMYFUNCTION(" GOOGLETRANSLATE(D35, ""en"", ""am"")"),"አይ")</f>
        <v>አይ</v>
      </c>
      <c r="K35" s="8" t="str">
        <f>IFERROR(__xludf.DUMMYFUNCTION(" GOOGLETRANSLATE(E35, ""en"", ""am"")"),"በአባ ገዳ ትግል ዝቅተኛ ድብደባ በጥብቅ የተከለከለ ነው።")</f>
        <v>በአባ ገዳ ትግል ዝቅተኛ ድብደባ በጥብቅ የተከለከለ ነው።</v>
      </c>
    </row>
    <row r="36" ht="22.5" customHeight="1">
      <c r="A36" s="13">
        <v>35.0</v>
      </c>
      <c r="B36" s="14" t="s">
        <v>1521</v>
      </c>
      <c r="C36" s="14" t="s">
        <v>1522</v>
      </c>
      <c r="D36" s="14" t="s">
        <v>1179</v>
      </c>
      <c r="E36" s="14" t="s">
        <v>1523</v>
      </c>
      <c r="G36" s="8" t="str">
        <f>IFERROR(__xludf.DUMMYFUNCTION(" GOOGLETRANSLATE(A36, ""en"", ""am"")"),"35")</f>
        <v>35</v>
      </c>
      <c r="H36" s="8" t="str">
        <f>IFERROR(__xludf.DUMMYFUNCTION(" GOOGLETRANSLATE(B36, ""en"", ""am"")"),"ተዋጊ አበረታች መድሃኒት ሲጠቀም ከተያዘ ምን እርምጃ ይወሰዳል?")</f>
        <v>ተዋጊ አበረታች መድሃኒት ሲጠቀም ከተያዘ ምን እርምጃ ይወሰዳል?</v>
      </c>
      <c r="I36" s="8" t="str">
        <f>IFERROR(__xludf.DUMMYFUNCTION(" GOOGLETRANSLATE(C36, ""en"", ""am"")"),"ሀ. እገዳ ለ. ብቁ አለመሆን ሐ. ማስጠንቀቂያ መ. ነጥቦችን ማጣት")</f>
        <v>ሀ. እገዳ ለ. ብቁ አለመሆን ሐ. ማስጠንቀቂያ መ. ነጥቦችን ማጣት</v>
      </c>
      <c r="J36" s="8" t="str">
        <f>IFERROR(__xludf.DUMMYFUNCTION(" GOOGLETRANSLATE(D36, ""en"", ""am"")"),"ብቁ አለመሆን")</f>
        <v>ብቁ አለመሆን</v>
      </c>
      <c r="K36" s="8" t="str">
        <f>IFERROR(__xludf.DUMMYFUNCTION(" GOOGLETRANSLATE(E36, ""en"", ""am"")"),"አፈፃፀምን የሚያሻሽሉ መድሃኒቶችን መጠቀም ወደ ውድቀት ይመራል.")</f>
        <v>አፈፃፀምን የሚያሻሽሉ መድሃኒቶችን መጠቀም ወደ ውድቀት ይመራል.</v>
      </c>
    </row>
    <row r="37" ht="22.5" customHeight="1">
      <c r="A37" s="13">
        <v>36.0</v>
      </c>
      <c r="B37" s="14" t="s">
        <v>1524</v>
      </c>
      <c r="C37" s="14" t="s">
        <v>1525</v>
      </c>
      <c r="D37" s="14" t="s">
        <v>1437</v>
      </c>
      <c r="E37" s="14" t="s">
        <v>1526</v>
      </c>
      <c r="G37" s="8" t="str">
        <f>IFERROR(__xludf.DUMMYFUNCTION(" GOOGLETRANSLATE(A37, ""en"", ""am"")"),"36")</f>
        <v>36</v>
      </c>
      <c r="H37" s="8" t="str">
        <f>IFERROR(__xludf.DUMMYFUNCTION(" GOOGLETRANSLATE(B37, ""en"", ""am"")"),"ተዋጊ ለመምታት ጉልበቱን ሊጠቀም ይችላል?")</f>
        <v>ተዋጊ ለመምታት ጉልበቱን ሊጠቀም ይችላል?</v>
      </c>
      <c r="I37" s="8" t="str">
        <f>IFERROR(__xludf.DUMMYFUNCTION(" GOOGLETRANSLATE(C37, ""en"", ""am"")"),"ሀ.አዎ ለ አይ ሐ. አዎ፣ ግን በተቃዋሚው እግር ላይ ብቻ D. አዎ፣ ግን ለመከላከያ እንቅስቃሴዎች ብቻ።")</f>
        <v>ሀ.አዎ ለ አይ ሐ. አዎ፣ ግን በተቃዋሚው እግር ላይ ብቻ D. አዎ፣ ግን ለመከላከያ እንቅስቃሴዎች ብቻ።</v>
      </c>
      <c r="J37" s="8" t="str">
        <f>IFERROR(__xludf.DUMMYFUNCTION(" GOOGLETRANSLATE(D37, ""en"", ""am"")"),"አይ")</f>
        <v>አይ</v>
      </c>
      <c r="K37" s="8" t="str">
        <f>IFERROR(__xludf.DUMMYFUNCTION(" GOOGLETRANSLATE(E37, ""en"", ""am"")"),"በትግል ግጥሚያ በጉልበቶች መምታት ክልክል ነው።")</f>
        <v>በትግል ግጥሚያ በጉልበቶች መምታት ክልክል ነው።</v>
      </c>
    </row>
    <row r="38" ht="22.5" customHeight="1">
      <c r="A38" s="13">
        <v>37.0</v>
      </c>
      <c r="B38" s="14" t="s">
        <v>1527</v>
      </c>
      <c r="C38" s="14" t="s">
        <v>1528</v>
      </c>
      <c r="D38" s="14" t="s">
        <v>1437</v>
      </c>
      <c r="E38" s="14" t="s">
        <v>1529</v>
      </c>
      <c r="G38" s="8" t="str">
        <f>IFERROR(__xludf.DUMMYFUNCTION(" GOOGLETRANSLATE(A38, ""en"", ""am"")"),"37")</f>
        <v>37</v>
      </c>
      <c r="H38" s="8" t="str">
        <f>IFERROR(__xludf.DUMMYFUNCTION(" GOOGLETRANSLATE(B38, ""en"", ""am"")"),"ተጋዳላይ በአባ ገዳ ትግል ውስጥ በበርካታ የክብደት ክፍሎች መወዳደር ይችላል?")</f>
        <v>ተጋዳላይ በአባ ገዳ ትግል ውስጥ በበርካታ የክብደት ክፍሎች መወዳደር ይችላል?</v>
      </c>
      <c r="I38" s="8" t="str">
        <f>IFERROR(__xludf.DUMMYFUNCTION(" GOOGLETRANSLATE(C38, ""en"", ""am"")"),"A. አይ ለ. አዎ፣ በልዩ ፈቃድ። ሐ. አዎ፣ ከ18 ዓመት በታች ከሆነ መ. አዎ፣ በተለያዩ ወቅቶች ከሆነ")</f>
        <v>A. አይ ለ. አዎ፣ በልዩ ፈቃድ። ሐ. አዎ፣ ከ18 ዓመት በታች ከሆነ መ. አዎ፣ በተለያዩ ወቅቶች ከሆነ</v>
      </c>
      <c r="J38" s="8" t="str">
        <f>IFERROR(__xludf.DUMMYFUNCTION(" GOOGLETRANSLATE(D38, ""en"", ""am"")"),"አይ")</f>
        <v>አይ</v>
      </c>
      <c r="K38" s="8" t="str">
        <f>IFERROR(__xludf.DUMMYFUNCTION(" GOOGLETRANSLATE(E38, ""en"", ""am"")"),"ተዋጊ በአንድ የክብደት ክፍል ውስጥ ብቻ መወዳደር አለበት።")</f>
        <v>ተዋጊ በአንድ የክብደት ክፍል ውስጥ ብቻ መወዳደር አለበት።</v>
      </c>
    </row>
    <row r="39" ht="22.5" customHeight="1">
      <c r="A39" s="13">
        <v>38.0</v>
      </c>
      <c r="B39" s="14" t="s">
        <v>1530</v>
      </c>
      <c r="C39" s="14" t="s">
        <v>1531</v>
      </c>
      <c r="D39" s="14" t="s">
        <v>1532</v>
      </c>
      <c r="E39" s="14" t="s">
        <v>1533</v>
      </c>
      <c r="G39" s="8" t="str">
        <f>IFERROR(__xludf.DUMMYFUNCTION(" GOOGLETRANSLATE(A39, ""en"", ""am"")"),"38")</f>
        <v>38</v>
      </c>
      <c r="H39" s="8" t="str">
        <f>IFERROR(__xludf.DUMMYFUNCTION(" GOOGLETRANSLATE(B39, ""en"", ""am"")"),"ሁለቱም ተዋጊዎች አንድ ነጥብ ቢያመጡ የጨዋታው ውጤት ምን ይሆን?")</f>
        <v>ሁለቱም ተዋጊዎች አንድ ነጥብ ቢያመጡ የጨዋታው ውጤት ምን ይሆን?</v>
      </c>
      <c r="I39" s="8" t="str">
        <f>IFERROR(__xludf.DUMMYFUNCTION(" GOOGLETRANSLATE(C39, ""en"", ""am"")"),"ሀ. መሳል ለ. እንደገና ይጀምራል ሐ. በዳኛው ውሳኔ መ. ተጨማሪ ዙር")</f>
        <v>ሀ. መሳል ለ. እንደገና ይጀምራል ሐ. በዳኛው ውሳኔ መ. ተጨማሪ ዙር</v>
      </c>
      <c r="J39" s="8" t="str">
        <f>IFERROR(__xludf.DUMMYFUNCTION(" GOOGLETRANSLATE(D39, ""en"", ""am"")"),"ይሳሉ")</f>
        <v>ይሳሉ</v>
      </c>
      <c r="K39" s="8" t="str">
        <f>IFERROR(__xludf.DUMMYFUNCTION(" GOOGLETRANSLATE(E39, ""en"", ""am"")"),"ሁለቱም ተዋጊዎች ተመሳሳይ የነጥብ ብዛት ካላቸው ጨዋታው በአቻ ውጤት ይወሰናል።")</f>
        <v>ሁለቱም ተዋጊዎች ተመሳሳይ የነጥብ ብዛት ካላቸው ጨዋታው በአቻ ውጤት ይወሰናል።</v>
      </c>
    </row>
    <row r="40" ht="22.5" customHeight="1">
      <c r="A40" s="13">
        <v>39.0</v>
      </c>
      <c r="B40" s="14" t="s">
        <v>1534</v>
      </c>
      <c r="C40" s="14" t="s">
        <v>1535</v>
      </c>
      <c r="D40" s="14" t="s">
        <v>1536</v>
      </c>
      <c r="E40" s="14" t="s">
        <v>1537</v>
      </c>
      <c r="G40" s="8" t="str">
        <f>IFERROR(__xludf.DUMMYFUNCTION(" GOOGLETRANSLATE(A40, ""en"", ""am"")"),"39")</f>
        <v>39</v>
      </c>
      <c r="H40" s="8" t="str">
        <f>IFERROR(__xludf.DUMMYFUNCTION(" GOOGLETRANSLATE(B40, ""en"", ""am"")"),"በአባ ገዳ ትግል ውስጥ የረዳት ዳኛው ሚና ምን ይመስላል?")</f>
        <v>በአባ ገዳ ትግል ውስጥ የረዳት ዳኛው ሚና ምን ይመስላል?</v>
      </c>
      <c r="I40" s="8" t="str">
        <f>IFERROR(__xludf.DUMMYFUNCTION(" GOOGLETRANSLATE(C40, ""en"", ""am"")"),"ሀ. ግጥሚያውን ለ. የተፋላሚዎችን ባህሪ ለመቆጣጠር ሐ. አሸናፊውን ለመወሰን ለመርዳት መ. ደህንነትን ለማረጋገጥ")</f>
        <v>ሀ. ግጥሚያውን ለ. የተፋላሚዎችን ባህሪ ለመቆጣጠር ሐ. አሸናፊውን ለመወሰን ለመርዳት መ. ደህንነትን ለማረጋገጥ</v>
      </c>
      <c r="J40" s="8" t="str">
        <f>IFERROR(__xludf.DUMMYFUNCTION(" GOOGLETRANSLATE(D40, ""en"", ""am"")"),"ደህንነትን ለማረጋገጥ")</f>
        <v>ደህንነትን ለማረጋገጥ</v>
      </c>
      <c r="K40" s="8" t="str">
        <f>IFERROR(__xludf.DUMMYFUNCTION(" GOOGLETRANSLATE(E40, ""en"", ""am"")"),"ረዳት ዳኛው የጨዋታውን ደህንነት እና ፍትሃዊ ጨዋታ ያረጋግጣል።")</f>
        <v>ረዳት ዳኛው የጨዋታውን ደህንነት እና ፍትሃዊ ጨዋታ ያረጋግጣል።</v>
      </c>
    </row>
    <row r="41" ht="22.5" customHeight="1">
      <c r="A41" s="13">
        <v>40.0</v>
      </c>
      <c r="B41" s="14" t="s">
        <v>1538</v>
      </c>
      <c r="C41" s="14" t="s">
        <v>1539</v>
      </c>
      <c r="D41" s="14" t="s">
        <v>1540</v>
      </c>
      <c r="E41" s="14" t="s">
        <v>1541</v>
      </c>
      <c r="G41" s="8" t="str">
        <f>IFERROR(__xludf.DUMMYFUNCTION(" GOOGLETRANSLATE(A41, ""en"", ""am"")"),"40")</f>
        <v>40</v>
      </c>
      <c r="H41" s="8" t="str">
        <f>IFERROR(__xludf.DUMMYFUNCTION(" GOOGLETRANSLATE(B41, ""en"", ""am"")"),"ለነጻነት በሚደረገው ትግል ውስጥ አላስፈላጊ ሻካራነት ቅጣቱ ምንድን ነው?")</f>
        <v>ለነጻነት በሚደረገው ትግል ውስጥ አላስፈላጊ ሻካራነት ቅጣቱ ምንድን ነው?</v>
      </c>
      <c r="I41" s="8" t="str">
        <f>IFERROR(__xludf.DUMMYFUNCTION(" GOOGLETRANSLATE(C41, ""en"", ""am"")"),"ሀ. ነጥብ ቅነሳ ለ. ማስጠንቀቂያ ሐ. ብቁ አለመሆን መ. ግጥሚያው እንደገና ተጀምሯል።")</f>
        <v>ሀ. ነጥብ ቅነሳ ለ. ማስጠንቀቂያ ሐ. ብቁ አለመሆን መ. ግጥሚያው እንደገና ተጀምሯል።</v>
      </c>
      <c r="J41" s="8" t="str">
        <f>IFERROR(__xludf.DUMMYFUNCTION(" GOOGLETRANSLATE(D41, ""en"", ""am"")"),"የነጥብ ቅነሳ")</f>
        <v>የነጥብ ቅነሳ</v>
      </c>
      <c r="K41" s="8" t="str">
        <f>IFERROR(__xludf.DUMMYFUNCTION(" GOOGLETRANSLATE(E41, ""en"", ""am"")"),"አላስፈላጊ ሸካራነት ነጥብ መቀነስን ያስከትላል።")</f>
        <v>አላስፈላጊ ሸካራነት ነጥብ መቀነስን ያስከትላል።</v>
      </c>
    </row>
    <row r="42" ht="22.5" customHeight="1">
      <c r="A42" s="13">
        <v>41.0</v>
      </c>
      <c r="B42" s="14" t="s">
        <v>1542</v>
      </c>
      <c r="C42" s="14" t="s">
        <v>1543</v>
      </c>
      <c r="D42" s="14" t="s">
        <v>1544</v>
      </c>
      <c r="E42" s="14" t="s">
        <v>1545</v>
      </c>
      <c r="G42" s="8" t="str">
        <f>IFERROR(__xludf.DUMMYFUNCTION(" GOOGLETRANSLATE(A42, ""en"", ""am"")"),"41")</f>
        <v>41</v>
      </c>
      <c r="H42" s="8" t="str">
        <f>IFERROR(__xludf.DUMMYFUNCTION(" GOOGLETRANSLATE(B42, ""en"", ""am"")"),"በአባ ገዳ ትግል ውስጥ የታገለ ሰው አላማው ምንድን ነው?")</f>
        <v>በአባ ገዳ ትግል ውስጥ የታገለ ሰው አላማው ምንድን ነው?</v>
      </c>
      <c r="I42" s="8" t="str">
        <f>IFERROR(__xludf.DUMMYFUNCTION(" GOOGLETRANSLATE(C42, ""en"", ""am"")"),"ሀ. ተቀናቃኙን ለመሰካት ለ. ተቀናቃኙን መወርወር ሐ. ብዙ ነጥቦችን ለማግኘት መ. ተቃዋሚውን እንዲገዛ ማስገደድ")</f>
        <v>ሀ. ተቀናቃኙን ለመሰካት ለ. ተቀናቃኙን መወርወር ሐ. ብዙ ነጥቦችን ለማግኘት መ. ተቃዋሚውን እንዲገዛ ማስገደድ</v>
      </c>
      <c r="J42" s="8" t="str">
        <f>IFERROR(__xludf.DUMMYFUNCTION(" GOOGLETRANSLATE(D42, ""en"", ""am"")"),"ተቃዋሚውን ለመሰካት")</f>
        <v>ተቃዋሚውን ለመሰካት</v>
      </c>
      <c r="K42" s="8" t="str">
        <f>IFERROR(__xludf.DUMMYFUNCTION(" GOOGLETRANSLATE(E42, ""en"", ""am"")"),"ግቡ ተቃዋሚውን ለመቁጠር መሬት ላይ መሰካት ነው።")</f>
        <v>ግቡ ተቃዋሚውን ለመቁጠር መሬት ላይ መሰካት ነው።</v>
      </c>
    </row>
    <row r="43" ht="22.5" customHeight="1">
      <c r="A43" s="13">
        <v>42.0</v>
      </c>
      <c r="B43" s="14" t="s">
        <v>1546</v>
      </c>
      <c r="C43" s="14" t="s">
        <v>1547</v>
      </c>
      <c r="D43" s="14" t="s">
        <v>1437</v>
      </c>
      <c r="E43" s="14" t="s">
        <v>1548</v>
      </c>
      <c r="G43" s="8" t="str">
        <f>IFERROR(__xludf.DUMMYFUNCTION(" GOOGLETRANSLATE(A43, ""en"", ""am"")"),"42")</f>
        <v>42</v>
      </c>
      <c r="H43" s="8" t="str">
        <f>IFERROR(__xludf.DUMMYFUNCTION(" GOOGLETRANSLATE(B43, ""en"", ""am"")"),"በትግል ግጥሚያ ላይ አንድ ታጋይ ራሱን መምታት ይችላል?")</f>
        <v>በትግል ግጥሚያ ላይ አንድ ታጋይ ራሱን መምታት ይችላል?</v>
      </c>
      <c r="I43" s="8" t="str">
        <f>IFERROR(__xludf.DUMMYFUNCTION(" GOOGLETRANSLATE(C43, ""en"", ""am"")"),"ሀ. አዎ ለ. አይ ሐ. አዎ፣ ግን ራስን በመከላከል ላይ ብቻ። መ. አዎ፣ ግን በእሱ ፈቃድ።")</f>
        <v>ሀ. አዎ ለ. አይ ሐ. አዎ፣ ግን ራስን በመከላከል ላይ ብቻ። መ. አዎ፣ ግን በእሱ ፈቃድ።</v>
      </c>
      <c r="J43" s="8" t="str">
        <f>IFERROR(__xludf.DUMMYFUNCTION(" GOOGLETRANSLATE(D43, ""en"", ""am"")"),"አይ")</f>
        <v>አይ</v>
      </c>
      <c r="K43" s="8" t="str">
        <f>IFERROR(__xludf.DUMMYFUNCTION(" GOOGLETRANSLATE(E43, ""en"", ""am"")"),"በአባ ገዳ ትግል ጭንቅላት መምታት አይፈቀድም።")</f>
        <v>በአባ ገዳ ትግል ጭንቅላት መምታት አይፈቀድም።</v>
      </c>
    </row>
    <row r="44" ht="22.5" customHeight="1">
      <c r="A44" s="13">
        <v>43.0</v>
      </c>
      <c r="B44" s="14" t="s">
        <v>1549</v>
      </c>
      <c r="C44" s="14" t="s">
        <v>1550</v>
      </c>
      <c r="D44" s="14" t="s">
        <v>1551</v>
      </c>
      <c r="E44" s="14" t="s">
        <v>1552</v>
      </c>
      <c r="G44" s="8" t="str">
        <f>IFERROR(__xludf.DUMMYFUNCTION(" GOOGLETRANSLATE(A44, ""en"", ""am"")"),"43")</f>
        <v>43</v>
      </c>
      <c r="H44" s="8" t="str">
        <f>IFERROR(__xludf.DUMMYFUNCTION(" GOOGLETRANSLATE(B44, ""en"", ""am"")"),"በአባ ገዳ ትግል ለተሳካ ውጤት ስንት ነጥብ ተሰጥቷል?")</f>
        <v>በአባ ገዳ ትግል ለተሳካ ውጤት ስንት ነጥብ ተሰጥቷል?</v>
      </c>
      <c r="I44" s="8" t="str">
        <f>IFERROR(__xludf.DUMMYFUNCTION(" GOOGLETRANSLATE(C44, ""en"", ""am"")"),"ሀ.3 ነጥብ B. 5 ነጥብ ሐ. 2 ነጥብ መ. 1 ነጥብ")</f>
        <v>ሀ.3 ነጥብ B. 5 ነጥብ ሐ. 2 ነጥብ መ. 1 ነጥብ</v>
      </c>
      <c r="J44" s="8" t="str">
        <f>IFERROR(__xludf.DUMMYFUNCTION(" GOOGLETRANSLATE(D44, ""en"", ""am"")"),"3 ነጥብ")</f>
        <v>3 ነጥብ</v>
      </c>
      <c r="K44" s="8" t="str">
        <f>IFERROR(__xludf.DUMMYFUNCTION(" GOOGLETRANSLATE(E44, ""en"", ""am"")"),"የተሳካ ማውረድ 3 ነጥብ ያገኛል።")</f>
        <v>የተሳካ ማውረድ 3 ነጥብ ያገኛል።</v>
      </c>
    </row>
    <row r="45" ht="22.5" customHeight="1">
      <c r="A45" s="13">
        <v>44.0</v>
      </c>
      <c r="B45" s="14" t="s">
        <v>1553</v>
      </c>
      <c r="C45" s="14" t="s">
        <v>1554</v>
      </c>
      <c r="D45" s="14" t="s">
        <v>1437</v>
      </c>
      <c r="E45" s="14" t="s">
        <v>1555</v>
      </c>
      <c r="G45" s="8" t="str">
        <f>IFERROR(__xludf.DUMMYFUNCTION(" GOOGLETRANSLATE(A45, ""en"", ""am"")"),"44")</f>
        <v>44</v>
      </c>
      <c r="H45" s="8" t="str">
        <f>IFERROR(__xludf.DUMMYFUNCTION(" GOOGLETRANSLATE(B45, ""en"", ""am"")"),"በአባ ገዳ ትግል የተቃዋሚን ፀጉር መንቀል ይፈቀዳል?")</f>
        <v>በአባ ገዳ ትግል የተቃዋሚን ፀጉር መንቀል ይፈቀዳል?</v>
      </c>
      <c r="I45" s="8" t="str">
        <f>IFERROR(__xludf.DUMMYFUNCTION(" GOOGLETRANSLATE(C45, ""en"", ""am"")"),"A. አይ ለ. አዎ ሐ. አዎ፣ ግን በተወሰኑ ሁኔታዎች ብቻ መ. አዎ፣ እንደ መከላከያ እርምጃ")</f>
        <v>A. አይ ለ. አዎ ሐ. አዎ፣ ግን በተወሰኑ ሁኔታዎች ብቻ መ. አዎ፣ እንደ መከላከያ እርምጃ</v>
      </c>
      <c r="J45" s="8" t="str">
        <f>IFERROR(__xludf.DUMMYFUNCTION(" GOOGLETRANSLATE(D45, ""en"", ""am"")"),"አይ")</f>
        <v>አይ</v>
      </c>
      <c r="K45" s="8" t="str">
        <f>IFERROR(__xludf.DUMMYFUNCTION(" GOOGLETRANSLATE(E45, ""en"", ""am"")"),"የተቃዋሚውን ፀጉር መያዝ የተከለከለ ነው.")</f>
        <v>የተቃዋሚውን ፀጉር መያዝ የተከለከለ ነው.</v>
      </c>
    </row>
    <row r="46" ht="22.5" customHeight="1">
      <c r="A46" s="13">
        <v>45.0</v>
      </c>
      <c r="B46" s="14" t="s">
        <v>1556</v>
      </c>
      <c r="C46" s="14" t="s">
        <v>1557</v>
      </c>
      <c r="D46" s="14" t="s">
        <v>1558</v>
      </c>
      <c r="E46" s="14" t="s">
        <v>1559</v>
      </c>
      <c r="G46" s="8" t="str">
        <f>IFERROR(__xludf.DUMMYFUNCTION(" GOOGLETRANSLATE(A46, ""en"", ""am"")"),"45")</f>
        <v>45</v>
      </c>
      <c r="H46" s="8" t="str">
        <f>IFERROR(__xludf.DUMMYFUNCTION(" GOOGLETRANSLATE(B46, ""en"", ""am"")"),"በአባ ገዳ ትግል ከፍተኛው ሰአት ስንት ነው?")</f>
        <v>በአባ ገዳ ትግል ከፍተኛው ሰአት ስንት ነው?</v>
      </c>
      <c r="I46" s="8" t="str">
        <f>IFERROR(__xludf.DUMMYFUNCTION(" GOOGLETRANSLATE(C46, ""en"", ""am"")"),"ሀ.5 ደቂቃ ለ.10ደቂቃ ሐ.3ደቂቃ መ.15ደቂቃ")</f>
        <v>ሀ.5 ደቂቃ ለ.10ደቂቃ ሐ.3ደቂቃ መ.15ደቂቃ</v>
      </c>
      <c r="J46" s="8" t="str">
        <f>IFERROR(__xludf.DUMMYFUNCTION(" GOOGLETRANSLATE(D46, ""en"", ""am"")"),"5 ደቂቃዎች")</f>
        <v>5 ደቂቃዎች</v>
      </c>
      <c r="K46" s="8" t="str">
        <f>IFERROR(__xludf.DUMMYFUNCTION(" GOOGLETRANSLATE(E46, ""en"", ""am"")"),"አንድ ዙር እስከ 5 ደቂቃዎች ድረስ ይቆያል.")</f>
        <v>አንድ ዙር እስከ 5 ደቂቃዎች ድረስ ይቆያል.</v>
      </c>
    </row>
    <row r="47" ht="22.5" customHeight="1">
      <c r="A47" s="13">
        <v>46.0</v>
      </c>
      <c r="B47" s="14" t="s">
        <v>1560</v>
      </c>
      <c r="C47" s="14" t="s">
        <v>1561</v>
      </c>
      <c r="D47" s="14" t="s">
        <v>1179</v>
      </c>
      <c r="E47" s="14" t="s">
        <v>1562</v>
      </c>
      <c r="G47" s="8" t="str">
        <f>IFERROR(__xludf.DUMMYFUNCTION(" GOOGLETRANSLATE(A47, ""en"", ""am"")"),"46")</f>
        <v>46</v>
      </c>
      <c r="H47" s="8" t="str">
        <f>IFERROR(__xludf.DUMMYFUNCTION(" GOOGLETRANSLATE(B47, ""en"", ""am"")"),"አንድ ታጋይ ሆን ብሎ ምንጣፉን ቢተው ምን ይሆናል?")</f>
        <v>አንድ ታጋይ ሆን ብሎ ምንጣፉን ቢተው ምን ይሆናል?</v>
      </c>
      <c r="I47" s="8" t="str">
        <f>IFERROR(__xludf.DUMMYFUNCTION(" GOOGLETRANSLATE(C47, ""en"", ""am"")"),"ሀ. ብቁ አለመሆን ለ. ነጥብ መቀነስ ሐ. ማስጠንቀቂያ መ. ግጥሚያውን እንደገና ያስጀምሩ።")</f>
        <v>ሀ. ብቁ አለመሆን ለ. ነጥብ መቀነስ ሐ. ማስጠንቀቂያ መ. ግጥሚያውን እንደገና ያስጀምሩ።</v>
      </c>
      <c r="J47" s="8" t="str">
        <f>IFERROR(__xludf.DUMMYFUNCTION(" GOOGLETRANSLATE(D47, ""en"", ""am"")"),"ብቁ አለመሆን")</f>
        <v>ብቁ አለመሆን</v>
      </c>
      <c r="K47" s="8" t="str">
        <f>IFERROR(__xludf.DUMMYFUNCTION(" GOOGLETRANSLATE(E47, ""en"", ""am"")"),"ምንጣፉን መተው ሆን ብሎ ውድቅ ያደርገዋል.")</f>
        <v>ምንጣፉን መተው ሆን ብሎ ውድቅ ያደርገዋል.</v>
      </c>
    </row>
    <row r="48" ht="22.5" customHeight="1">
      <c r="A48" s="13">
        <v>47.0</v>
      </c>
      <c r="B48" s="14" t="s">
        <v>1563</v>
      </c>
      <c r="C48" s="14" t="s">
        <v>1564</v>
      </c>
      <c r="D48" s="14" t="s">
        <v>1451</v>
      </c>
      <c r="E48" s="14" t="s">
        <v>1565</v>
      </c>
      <c r="G48" s="8" t="str">
        <f>IFERROR(__xludf.DUMMYFUNCTION(" GOOGLETRANSLATE(A48, ""en"", ""am"")"),"47")</f>
        <v>47</v>
      </c>
      <c r="H48" s="8" t="str">
        <f>IFERROR(__xludf.DUMMYFUNCTION(" GOOGLETRANSLATE(B48, ""en"", ""am"")"),"አንድ ተዋጊ በትግል ግጥሚያ ውስጥ መገዛትን መጠቀም ይችላል?")</f>
        <v>አንድ ተዋጊ በትግል ግጥሚያ ውስጥ መገዛትን መጠቀም ይችላል?</v>
      </c>
      <c r="I48" s="8" t="str">
        <f>IFERROR(__xludf.DUMMYFUNCTION(" GOOGLETRANSLATE(C48, ""en"", ""am"")"),"ሀ. አዎ ለ. አይ ሐ. አዎ፣ ግን በተወሰኑ እንቅስቃሴዎች ብቻ። መ. አዎ፣ ግን ለጥቂት ሰከንዶች ብቻ።")</f>
        <v>ሀ. አዎ ለ. አይ ሐ. አዎ፣ ግን በተወሰኑ እንቅስቃሴዎች ብቻ። መ. አዎ፣ ግን ለጥቂት ሰከንዶች ብቻ።</v>
      </c>
      <c r="J48" s="8" t="str">
        <f>IFERROR(__xludf.DUMMYFUNCTION(" GOOGLETRANSLATE(D48, ""en"", ""am"")"),"አዎ")</f>
        <v>አዎ</v>
      </c>
      <c r="K48" s="8" t="str">
        <f>IFERROR(__xludf.DUMMYFUNCTION(" GOOGLETRANSLATE(E48, ""en"", ""am"")"),"የመላኪያ ኮንቴይነሮች በደንቡ ውስጥ ይፈቀዳሉ.")</f>
        <v>የመላኪያ ኮንቴይነሮች በደንቡ ውስጥ ይፈቀዳሉ.</v>
      </c>
    </row>
    <row r="49" ht="22.5" customHeight="1">
      <c r="A49" s="13">
        <v>48.0</v>
      </c>
      <c r="B49" s="14" t="s">
        <v>1566</v>
      </c>
      <c r="C49" s="14" t="s">
        <v>1567</v>
      </c>
      <c r="D49" s="14" t="s">
        <v>1437</v>
      </c>
      <c r="E49" s="14" t="s">
        <v>1568</v>
      </c>
      <c r="G49" s="8" t="str">
        <f>IFERROR(__xludf.DUMMYFUNCTION(" GOOGLETRANSLATE(A49, ""en"", ""am"")"),"48")</f>
        <v>48</v>
      </c>
      <c r="H49" s="8" t="str">
        <f>IFERROR(__xludf.DUMMYFUNCTION(" GOOGLETRANSLATE(B49, ""en"", ""am"")"),"በግጥሚያ ወቅት ጌጣጌጥ ማድረግ ይፈቀዳል?")</f>
        <v>በግጥሚያ ወቅት ጌጣጌጥ ማድረግ ይፈቀዳል?</v>
      </c>
      <c r="I49" s="8" t="str">
        <f>IFERROR(__xludf.DUMMYFUNCTION(" GOOGLETRANSLATE(C49, ""en"", ""am"")"),"A. አዎ፣ ግን ቀለበት ብቻ። ለ. አይ ሐ. አዎ፣ ትንሽ እስከሆነ ድረስ። መ. አዎ፣ አፈፃፀሙን የማይጎዳ ከሆነ።")</f>
        <v>A. አዎ፣ ግን ቀለበት ብቻ። ለ. አይ ሐ. አዎ፣ ትንሽ እስከሆነ ድረስ። መ. አዎ፣ አፈፃፀሙን የማይጎዳ ከሆነ።</v>
      </c>
      <c r="J49" s="8" t="str">
        <f>IFERROR(__xludf.DUMMYFUNCTION(" GOOGLETRANSLATE(D49, ""en"", ""am"")"),"አይ")</f>
        <v>አይ</v>
      </c>
      <c r="K49" s="8" t="str">
        <f>IFERROR(__xludf.DUMMYFUNCTION(" GOOGLETRANSLATE(E49, ""en"", ""am"")"),"በግጥሚያ ወቅት ጌጣጌጥ ማድረግ የተከለከለ ነው።")</f>
        <v>በግጥሚያ ወቅት ጌጣጌጥ ማድረግ የተከለከለ ነው።</v>
      </c>
    </row>
    <row r="50" ht="22.5" customHeight="1">
      <c r="A50" s="13">
        <v>49.0</v>
      </c>
      <c r="B50" s="14" t="s">
        <v>1569</v>
      </c>
      <c r="C50" s="14" t="s">
        <v>1570</v>
      </c>
      <c r="D50" s="14" t="s">
        <v>1571</v>
      </c>
      <c r="E50" s="14" t="s">
        <v>1572</v>
      </c>
      <c r="G50" s="8" t="str">
        <f>IFERROR(__xludf.DUMMYFUNCTION(" GOOGLETRANSLATE(A50, ""en"", ""am"")"),"49")</f>
        <v>49</v>
      </c>
      <c r="H50" s="8" t="str">
        <f>IFERROR(__xludf.DUMMYFUNCTION(" GOOGLETRANSLATE(B50, ""en"", ""am"")"),"አንድ ተዋጊ ግጥሚያ ሲጀምር ሊወስድ የሚገባው የመጀመሪያ እርምጃ ምንድን ነው?")</f>
        <v>አንድ ተዋጊ ግጥሚያ ሲጀምር ሊወስድ የሚገባው የመጀመሪያ እርምጃ ምንድን ነው?</v>
      </c>
      <c r="I50" s="8" t="str">
        <f>IFERROR(__xludf.DUMMYFUNCTION(" GOOGLETRANSLATE(C50, ""en"", ""am"")"),"ሀ. ከተጋጣሚው ጋር መጨባበጥ ለ. ወደ ቦታው ይግቡ ሐ. በማሞቂያው ውስጥ ይሳተፉ D. የዳኛውን ምልክት ይጠብቁ።")</f>
        <v>ሀ. ከተጋጣሚው ጋር መጨባበጥ ለ. ወደ ቦታው ይግቡ ሐ. በማሞቂያው ውስጥ ይሳተፉ D. የዳኛውን ምልክት ይጠብቁ።</v>
      </c>
      <c r="J50" s="8" t="str">
        <f>IFERROR(__xludf.DUMMYFUNCTION(" GOOGLETRANSLATE(D50, ""en"", ""am"")"),"የዳኛውን ምልክት ይጠብቁ።")</f>
        <v>የዳኛውን ምልክት ይጠብቁ።</v>
      </c>
      <c r="K50" s="8" t="str">
        <f>IFERROR(__xludf.DUMMYFUNCTION(" GOOGLETRANSLATE(E50, ""en"", ""am"")"),"አንድ ተወዳዳሪ ከመጀመሩ በፊት የዳኛውን ምልክት መጠበቅ አለበት።")</f>
        <v>አንድ ተወዳዳሪ ከመጀመሩ በፊት የዳኛውን ምልክት መጠበቅ አለበት።</v>
      </c>
    </row>
    <row r="51" ht="22.5" customHeight="1">
      <c r="A51" s="13">
        <v>50.0</v>
      </c>
      <c r="B51" s="14" t="s">
        <v>1573</v>
      </c>
      <c r="C51" s="14" t="s">
        <v>1574</v>
      </c>
      <c r="D51" s="14" t="s">
        <v>1575</v>
      </c>
      <c r="E51" s="14" t="s">
        <v>1576</v>
      </c>
      <c r="G51" s="8" t="str">
        <f>IFERROR(__xludf.DUMMYFUNCTION(" GOOGLETRANSLATE(A51, ""en"", ""am"")"),"50")</f>
        <v>50</v>
      </c>
      <c r="H51" s="8" t="str">
        <f>IFERROR(__xludf.DUMMYFUNCTION(" GOOGLETRANSLATE(B51, ""en"", ""am"")"),"በአባ ገዳ የትግል ጨዋታ በስኬት ለመጣል ስንት ነጥብ ተሰጥቷል?")</f>
        <v>በአባ ገዳ የትግል ጨዋታ በስኬት ለመጣል ስንት ነጥብ ተሰጥቷል?</v>
      </c>
      <c r="I51" s="8" t="str">
        <f>IFERROR(__xludf.DUMMYFUNCTION(" GOOGLETRANSLATE(C51, ""en"", ""am"")"),"ሀ. 4 ነጥበ B. 2 ነጥበ ሐ. 3 ነጥበ D. 5 ነጥብ")</f>
        <v>ሀ. 4 ነጥበ B. 2 ነጥበ ሐ. 3 ነጥበ D. 5 ነጥብ</v>
      </c>
      <c r="J51" s="8" t="str">
        <f>IFERROR(__xludf.DUMMYFUNCTION(" GOOGLETRANSLATE(D51, ""en"", ""am"")"),"4 ነጥብ")</f>
        <v>4 ነጥብ</v>
      </c>
      <c r="K51" s="8" t="str">
        <f>IFERROR(__xludf.DUMMYFUNCTION(" GOOGLETRANSLATE(E51, ""en"", ""am"")"),"የተሳካ ውርወራ 4 ነጥብ ያገኛል።")</f>
        <v>የተሳካ ውርወራ 4 ነጥብ ያገኛል።</v>
      </c>
    </row>
    <row r="52" ht="22.5" customHeight="1">
      <c r="A52" s="13">
        <v>51.0</v>
      </c>
      <c r="B52" s="14" t="s">
        <v>1577</v>
      </c>
      <c r="C52" s="14" t="s">
        <v>1578</v>
      </c>
      <c r="D52" s="14" t="s">
        <v>1451</v>
      </c>
      <c r="E52" s="14" t="s">
        <v>1579</v>
      </c>
      <c r="G52" s="8" t="str">
        <f>IFERROR(__xludf.DUMMYFUNCTION(" GOOGLETRANSLATE(A52, ""en"", ""am"")"),"51")</f>
        <v>51</v>
      </c>
      <c r="H52" s="8" t="str">
        <f>IFERROR(__xludf.DUMMYFUNCTION(" GOOGLETRANSLATE(B52, ""en"", ""am"")"),"በአባ ገዳ ትግል ድርብ እግር ማውረድ ይፈቀዳል?")</f>
        <v>በአባ ገዳ ትግል ድርብ እግር ማውረድ ይፈቀዳል?</v>
      </c>
      <c r="I52" s="8" t="str">
        <f>IFERROR(__xludf.DUMMYFUNCTION(" GOOGLETRANSLATE(C52, ""en"", ""am"")"),"ሀ. አዎ ለ. አይ ሐ. አዎ፣ ግን ከኋላ ከተገደለ ብቻ። መ. አዎ፣ ግን ለመከላከያ ዓላማዎች ብቻ።")</f>
        <v>ሀ. አዎ ለ. አይ ሐ. አዎ፣ ግን ከኋላ ከተገደለ ብቻ። መ. አዎ፣ ግን ለመከላከያ ዓላማዎች ብቻ።</v>
      </c>
      <c r="J52" s="8" t="str">
        <f>IFERROR(__xludf.DUMMYFUNCTION(" GOOGLETRANSLATE(D52, ""en"", ""am"")"),"አዎ")</f>
        <v>አዎ</v>
      </c>
      <c r="K52" s="8" t="str">
        <f>IFERROR(__xludf.DUMMYFUNCTION(" GOOGLETRANSLATE(E52, ""en"", ""am"")"),"በአባ ገዳ ትግል ድርብ እግር ማውረድ ይፈቀዳል።")</f>
        <v>በአባ ገዳ ትግል ድርብ እግር ማውረድ ይፈቀዳል።</v>
      </c>
    </row>
    <row r="53" ht="22.5" customHeight="1">
      <c r="A53" s="13">
        <v>52.0</v>
      </c>
      <c r="B53" s="14" t="s">
        <v>1580</v>
      </c>
      <c r="C53" s="14" t="s">
        <v>1581</v>
      </c>
      <c r="D53" s="14" t="s">
        <v>1540</v>
      </c>
      <c r="E53" s="14" t="s">
        <v>1582</v>
      </c>
      <c r="G53" s="8" t="str">
        <f>IFERROR(__xludf.DUMMYFUNCTION(" GOOGLETRANSLATE(A53, ""en"", ""am"")"),"52")</f>
        <v>52</v>
      </c>
      <c r="H53" s="8" t="str">
        <f>IFERROR(__xludf.DUMMYFUNCTION(" GOOGLETRANSLATE(B53, ""en"", ""am"")"),"በትግል ወቅት ከስፖርታዊ ጨዋነት የጎደለው ድርጊት ቅጣቱ ምንድን ነው?")</f>
        <v>በትግል ወቅት ከስፖርታዊ ጨዋነት የጎደለው ድርጊት ቅጣቱ ምንድን ነው?</v>
      </c>
      <c r="I53" s="8" t="str">
        <f>IFERROR(__xludf.DUMMYFUNCTION(" GOOGLETRANSLATE(C53, ""en"", ""am"")"),"ሀ. ነጥብ መቀነስ ለ. ብቁ አለመሆን ሐ. ማስጠንቀቂያ መ. ግጥሚያው እንደገና ተጀምሯል።")</f>
        <v>ሀ. ነጥብ መቀነስ ለ. ብቁ አለመሆን ሐ. ማስጠንቀቂያ መ. ግጥሚያው እንደገና ተጀምሯል።</v>
      </c>
      <c r="J53" s="8" t="str">
        <f>IFERROR(__xludf.DUMMYFUNCTION(" GOOGLETRANSLATE(D53, ""en"", ""am"")"),"የነጥብ ቅነሳ")</f>
        <v>የነጥብ ቅነሳ</v>
      </c>
      <c r="K53" s="8" t="str">
        <f>IFERROR(__xludf.DUMMYFUNCTION(" GOOGLETRANSLATE(E53, ""en"", ""am"")"),"ስፖርታዊ ጨዋነት የጎደለው ባህሪ የነጥብ ቅነሳን ያስከትላል።")</f>
        <v>ስፖርታዊ ጨዋነት የጎደለው ባህሪ የነጥብ ቅነሳን ያስከትላል።</v>
      </c>
    </row>
    <row r="54" ht="22.5" customHeight="1">
      <c r="A54" s="13">
        <v>53.0</v>
      </c>
      <c r="B54" s="14" t="s">
        <v>1583</v>
      </c>
      <c r="C54" s="14" t="s">
        <v>1584</v>
      </c>
      <c r="D54" s="14" t="s">
        <v>1585</v>
      </c>
      <c r="E54" s="14" t="s">
        <v>1586</v>
      </c>
      <c r="G54" s="8" t="str">
        <f>IFERROR(__xludf.DUMMYFUNCTION(" GOOGLETRANSLATE(A54, ""en"", ""am"")"),"53")</f>
        <v>53</v>
      </c>
      <c r="H54" s="8" t="str">
        <f>IFERROR(__xludf.DUMMYFUNCTION(" GOOGLETRANSLATE(B54, ""en"", ""am"")"),"ተዋጊ በጨዋታ ጊዜ ጫማ ማድረግ ይችላል?")</f>
        <v>ተዋጊ በጨዋታ ጊዜ ጫማ ማድረግ ይችላል?</v>
      </c>
      <c r="I54" s="8" t="str">
        <f>IFERROR(__xludf.DUMMYFUNCTION(" GOOGLETRANSLATE(C54, ""en"", ""am"")"),"A. አይ ለ. አዎ፣ ለስላሳ እስከሆኑ ድረስ። ሐ. አዎ፣ ግን ለመያዝ ብቻ። መ. አዎ፣ በዳኛው ተቀባይነት ካገኘ።")</f>
        <v>A. አይ ለ. አዎ፣ ለስላሳ እስከሆኑ ድረስ። ሐ. አዎ፣ ግን ለመያዝ ብቻ። መ. አዎ፣ በዳኛው ተቀባይነት ካገኘ።</v>
      </c>
      <c r="J54" s="8" t="str">
        <f>IFERROR(__xludf.DUMMYFUNCTION(" GOOGLETRANSLATE(D54, ""en"", ""am"")"),"አዎን, ለስላሳ እስከሆኑ ድረስ.")</f>
        <v>አዎን, ለስላሳ እስከሆኑ ድረስ.</v>
      </c>
      <c r="K54" s="8" t="str">
        <f>IFERROR(__xludf.DUMMYFUNCTION(" GOOGLETRANSLATE(E54, ""en"", ""am"")"),"ተዋጊዎች ለስላሳ ጫማዎች ወይም የውጊያ ቦት ጫማዎች እንዲለብሱ ይፈቀድላቸዋል.")</f>
        <v>ተዋጊዎች ለስላሳ ጫማዎች ወይም የውጊያ ቦት ጫማዎች እንዲለብሱ ይፈቀድላቸዋል.</v>
      </c>
    </row>
    <row r="55" ht="22.5" customHeight="1">
      <c r="A55" s="13">
        <v>54.0</v>
      </c>
      <c r="B55" s="14" t="s">
        <v>1587</v>
      </c>
      <c r="C55" s="14" t="s">
        <v>1588</v>
      </c>
      <c r="D55" s="14" t="s">
        <v>1589</v>
      </c>
      <c r="E55" s="14" t="s">
        <v>1590</v>
      </c>
      <c r="G55" s="8" t="str">
        <f>IFERROR(__xludf.DUMMYFUNCTION(" GOOGLETRANSLATE(A55, ""en"", ""am"")"),"54")</f>
        <v>54</v>
      </c>
      <c r="H55" s="8" t="str">
        <f>IFERROR(__xludf.DUMMYFUNCTION(" GOOGLETRANSLATE(B55, ""en"", ""am"")"),"በአባ ገዳ ትግል ውስጥ ያለ ታጋይ ከመውረድ እንዴት ይከላከላል?")</f>
        <v>በአባ ገዳ ትግል ውስጥ ያለ ታጋይ ከመውረድ እንዴት ይከላከላል?</v>
      </c>
      <c r="I55" s="8" t="str">
        <f>IFERROR(__xludf.DUMMYFUNCTION(" GOOGLETRANSLATE(C55, ""en"", ""am"")"),"ሀ. ሚዛንን መጠበቅ ለ. ኬብሎችን መጠቀም ሐ. የተቃዋሚውን እጆች መያዝ መ. ተቃዋሚውን በመምታት")</f>
        <v>ሀ. ሚዛንን መጠበቅ ለ. ኬብሎችን መጠቀም ሐ. የተቃዋሚውን እጆች መያዝ መ. ተቃዋሚውን በመምታት</v>
      </c>
      <c r="J55" s="8" t="str">
        <f>IFERROR(__xludf.DUMMYFUNCTION(" GOOGLETRANSLATE(D55, ""en"", ""am"")"),"ሚዛን መጠበቅ")</f>
        <v>ሚዛን መጠበቅ</v>
      </c>
      <c r="K55" s="8" t="str">
        <f>IFERROR(__xludf.DUMMYFUNCTION(" GOOGLETRANSLATE(E55, ""en"", ""am"")"),"ማውረዱን መከላከል ሚዛን እና አቀማመጥ ይጠይቃል።")</f>
        <v>ማውረዱን መከላከል ሚዛን እና አቀማመጥ ይጠይቃል።</v>
      </c>
    </row>
    <row r="56" ht="22.5" customHeight="1">
      <c r="A56" s="13">
        <v>55.0</v>
      </c>
      <c r="B56" s="14" t="s">
        <v>1591</v>
      </c>
      <c r="C56" s="14" t="s">
        <v>1581</v>
      </c>
      <c r="D56" s="14" t="s">
        <v>1540</v>
      </c>
      <c r="E56" s="14" t="s">
        <v>1592</v>
      </c>
      <c r="G56" s="8" t="str">
        <f>IFERROR(__xludf.DUMMYFUNCTION(" GOOGLETRANSLATE(A56, ""en"", ""am"")"),"55")</f>
        <v>55</v>
      </c>
      <c r="H56" s="8" t="str">
        <f>IFERROR(__xludf.DUMMYFUNCTION(" GOOGLETRANSLATE(B56, ""en"", ""am"")"),"በአባ ገዳ ትግል ውስጥ ከመጠን ያለፈ ሃይል የተጠቀሙበት ቅጣቱ ምንድን ነው?")</f>
        <v>በአባ ገዳ ትግል ውስጥ ከመጠን ያለፈ ሃይል የተጠቀሙበት ቅጣቱ ምንድን ነው?</v>
      </c>
      <c r="I56" s="8" t="str">
        <f>IFERROR(__xludf.DUMMYFUNCTION(" GOOGLETRANSLATE(C56, ""en"", ""am"")"),"ሀ. ነጥብ መቀነስ ለ. ብቁ አለመሆን ሐ. ማስጠንቀቂያ መ. ግጥሚያው እንደገና ተጀምሯል።")</f>
        <v>ሀ. ነጥብ መቀነስ ለ. ብቁ አለመሆን ሐ. ማስጠንቀቂያ መ. ግጥሚያው እንደገና ተጀምሯል።</v>
      </c>
      <c r="J56" s="8" t="str">
        <f>IFERROR(__xludf.DUMMYFUNCTION(" GOOGLETRANSLATE(D56, ""en"", ""am"")"),"የነጥብ ቅነሳ")</f>
        <v>የነጥብ ቅነሳ</v>
      </c>
      <c r="K56" s="8" t="str">
        <f>IFERROR(__xludf.DUMMYFUNCTION(" GOOGLETRANSLATE(E56, ""en"", ""am"")"),"ከመጠን በላይ ኃይል የነጥብ ቅነሳን ያስከትላል.")</f>
        <v>ከመጠን በላይ ኃይል የነጥብ ቅነሳን ያስከትላል.</v>
      </c>
    </row>
    <row r="57" ht="22.5" customHeight="1">
      <c r="A57" s="13">
        <v>56.0</v>
      </c>
      <c r="B57" s="14" t="s">
        <v>1593</v>
      </c>
      <c r="C57" s="14" t="s">
        <v>1594</v>
      </c>
      <c r="D57" s="14" t="s">
        <v>1437</v>
      </c>
      <c r="E57" s="14" t="s">
        <v>1595</v>
      </c>
      <c r="G57" s="8" t="str">
        <f>IFERROR(__xludf.DUMMYFUNCTION(" GOOGLETRANSLATE(A57, ""en"", ""am"")"),"56")</f>
        <v>56</v>
      </c>
      <c r="H57" s="8" t="str">
        <f>IFERROR(__xludf.DUMMYFUNCTION(" GOOGLETRANSLATE(B57, ""en"", ""am"")"),"በውድድር ወቅት ተዋጊ ክብደታቸውን ሊለውጥ ይችላል?")</f>
        <v>በውድድር ወቅት ተዋጊ ክብደታቸውን ሊለውጥ ይችላል?</v>
      </c>
      <c r="I57" s="8" t="str">
        <f>IFERROR(__xludf.DUMMYFUNCTION(" GOOGLETRANSLATE(C57, ""en"", ""am"")"),"A. አይ ለ. አዎ፣ ከቅድመ ይሁንታ ጋር። ሐ. አዎ፣ ከእያንዳንዱ ግጥሚያ በፊት። መ. አዎ፣ ግን ከመጀመሪያው ዙር በኋላ ብቻ።")</f>
        <v>A. አይ ለ. አዎ፣ ከቅድመ ይሁንታ ጋር። ሐ. አዎ፣ ከእያንዳንዱ ግጥሚያ በፊት። መ. አዎ፣ ግን ከመጀመሪያው ዙር በኋላ ብቻ።</v>
      </c>
      <c r="J57" s="8" t="str">
        <f>IFERROR(__xludf.DUMMYFUNCTION(" GOOGLETRANSLATE(D57, ""en"", ""am"")"),"አይ")</f>
        <v>አይ</v>
      </c>
      <c r="K57" s="8" t="str">
        <f>IFERROR(__xludf.DUMMYFUNCTION(" GOOGLETRANSLATE(E57, ""en"", ""am"")"),"አንድ ተዋጊ በውድድር ወቅት የክብደታቸውን ክፍል መለወጥ አይችልም።")</f>
        <v>አንድ ተዋጊ በውድድር ወቅት የክብደታቸውን ክፍል መለወጥ አይችልም።</v>
      </c>
    </row>
    <row r="58" ht="22.5" customHeight="1">
      <c r="A58" s="13">
        <v>57.0</v>
      </c>
      <c r="B58" s="14" t="s">
        <v>1596</v>
      </c>
      <c r="C58" s="14" t="s">
        <v>1597</v>
      </c>
      <c r="D58" s="14" t="s">
        <v>1451</v>
      </c>
      <c r="E58" s="14" t="s">
        <v>1598</v>
      </c>
      <c r="G58" s="8" t="str">
        <f>IFERROR(__xludf.DUMMYFUNCTION(" GOOGLETRANSLATE(A58, ""en"", ""am"")"),"57")</f>
        <v>57</v>
      </c>
      <c r="H58" s="8" t="str">
        <f>IFERROR(__xludf.DUMMYFUNCTION(" GOOGLETRANSLATE(B58, ""en"", ""am"")"),"በትግል ውስጥ ሂፕ መወርወር ህጋዊ ነው?")</f>
        <v>በትግል ውስጥ ሂፕ መወርወር ህጋዊ ነው?</v>
      </c>
      <c r="I58" s="8" t="str">
        <f>IFERROR(__xludf.DUMMYFUNCTION(" GOOGLETRANSLATE(C58, ""en"", ""am"")"),"ሀ. አዎ ለ. አይ ሐ. አዎ፣ ግን ተቃዋሚው ሚዛናዊ ካልሆነ ብቻ ነው። መ. አዎ፣ ግን ለመከላከያ ዓላማዎች ብቻ።")</f>
        <v>ሀ. አዎ ለ. አይ ሐ. አዎ፣ ግን ተቃዋሚው ሚዛናዊ ካልሆነ ብቻ ነው። መ. አዎ፣ ግን ለመከላከያ ዓላማዎች ብቻ።</v>
      </c>
      <c r="J58" s="8" t="str">
        <f>IFERROR(__xludf.DUMMYFUNCTION(" GOOGLETRANSLATE(D58, ""en"", ""am"")"),"አዎ")</f>
        <v>አዎ</v>
      </c>
      <c r="K58" s="8" t="str">
        <f>IFERROR(__xludf.DUMMYFUNCTION(" GOOGLETRANSLATE(E58, ""en"", ""am"")"),"ሂፕ መጎተት ህጋዊ እና የተለመደ እርምጃ ነው።")</f>
        <v>ሂፕ መጎተት ህጋዊ እና የተለመደ እርምጃ ነው።</v>
      </c>
    </row>
    <row r="59" ht="22.5" customHeight="1">
      <c r="A59" s="13">
        <v>58.0</v>
      </c>
      <c r="B59" s="14" t="s">
        <v>1599</v>
      </c>
      <c r="C59" s="14" t="s">
        <v>1600</v>
      </c>
      <c r="D59" s="14" t="s">
        <v>1601</v>
      </c>
      <c r="E59" s="14" t="s">
        <v>1602</v>
      </c>
      <c r="G59" s="8" t="str">
        <f>IFERROR(__xludf.DUMMYFUNCTION(" GOOGLETRANSLATE(A59, ""en"", ""am"")"),"58")</f>
        <v>58</v>
      </c>
      <c r="H59" s="8" t="str">
        <f>IFERROR(__xludf.DUMMYFUNCTION(" GOOGLETRANSLATE(B59, ""en"", ""am"")"),"አንድ ተጋጣሚ የተሳካ ፒን ሲሰራ ዳኛው ምን ምልክት ይሰጣል?")</f>
        <v>አንድ ተጋጣሚ የተሳካ ፒን ሲሰራ ዳኛው ምን ምልክት ይሰጣል?</v>
      </c>
      <c r="I59" s="8" t="str">
        <f>IFERROR(__xludf.DUMMYFUNCTION(" GOOGLETRANSLATE(C59, ""en"", ""am"")"),"ሀ. የተነሣ ቡጢ ለ. ከፍተኛ ድምፅ ሐ. ፉጨት D. የእጅ ሞገድ")</f>
        <v>ሀ. የተነሣ ቡጢ ለ. ከፍተኛ ድምፅ ሐ. ፉጨት D. የእጅ ሞገድ</v>
      </c>
      <c r="J59" s="8" t="str">
        <f>IFERROR(__xludf.DUMMYFUNCTION(" GOOGLETRANSLATE(D59, ""en"", ""am"")"),"የተነሣ ቡጢ")</f>
        <v>የተነሣ ቡጢ</v>
      </c>
      <c r="K59" s="8" t="str">
        <f>IFERROR(__xludf.DUMMYFUNCTION(" GOOGLETRANSLATE(E59, ""en"", ""am"")"),"ከፍ ያለ ቡጢ የተሳካ ፒን ያሳያል።")</f>
        <v>ከፍ ያለ ቡጢ የተሳካ ፒን ያሳያል።</v>
      </c>
    </row>
    <row r="60" ht="22.5" customHeight="1">
      <c r="A60" s="13">
        <v>59.0</v>
      </c>
      <c r="B60" s="14" t="s">
        <v>1603</v>
      </c>
      <c r="C60" s="14" t="s">
        <v>1604</v>
      </c>
      <c r="D60" s="14" t="s">
        <v>1605</v>
      </c>
      <c r="E60" s="14" t="s">
        <v>1606</v>
      </c>
      <c r="G60" s="8" t="str">
        <f>IFERROR(__xludf.DUMMYFUNCTION(" GOOGLETRANSLATE(A60, ""en"", ""am"")"),"59")</f>
        <v>59</v>
      </c>
      <c r="H60" s="8" t="str">
        <f>IFERROR(__xludf.DUMMYFUNCTION(" GOOGLETRANSLATE(B60, ""en"", ""am"")"),"በጨዋታ ጊዜ የአሰልጣኙ ሚና ምንድነው?")</f>
        <v>በጨዋታ ጊዜ የአሰልጣኙ ሚና ምንድነው?</v>
      </c>
      <c r="I60" s="8" t="str">
        <f>IFERROR(__xludf.DUMMYFUNCTION(" GOOGLETRANSLATE(C60, ""en"", ""am"")"),"ሀ. መመሪያዎችን ለመስጠት ለ. ጨዋታውን ለመዳኘት ሐ. ጮክ ብሎ ለመደሰት መ. ጎል በማስቆጠር መርዳት")</f>
        <v>ሀ. መመሪያዎችን ለመስጠት ለ. ጨዋታውን ለመዳኘት ሐ. ጮክ ብሎ ለመደሰት መ. ጎል በማስቆጠር መርዳት</v>
      </c>
      <c r="J60" s="8" t="str">
        <f>IFERROR(__xludf.DUMMYFUNCTION(" GOOGLETRANSLATE(D60, ""en"", ""am"")"),"መመሪያዎችን ለመስጠት")</f>
        <v>መመሪያዎችን ለመስጠት</v>
      </c>
      <c r="K60" s="8" t="str">
        <f>IFERROR(__xludf.DUMMYFUNCTION(" GOOGLETRANSLATE(E60, ""en"", ""am"")"),"አሰልጣኙ በእረፍት ጊዜ መመሪያ እና መመሪያ ይሰጣል.")</f>
        <v>አሰልጣኙ በእረፍት ጊዜ መመሪያ እና መመሪያ ይሰጣል.</v>
      </c>
    </row>
    <row r="61" ht="22.5" customHeight="1">
      <c r="A61" s="13">
        <v>60.0</v>
      </c>
      <c r="B61" s="14" t="s">
        <v>1607</v>
      </c>
      <c r="C61" s="14" t="s">
        <v>1608</v>
      </c>
      <c r="D61" s="14" t="s">
        <v>1609</v>
      </c>
      <c r="E61" s="14" t="s">
        <v>1610</v>
      </c>
      <c r="G61" s="8" t="str">
        <f>IFERROR(__xludf.DUMMYFUNCTION(" GOOGLETRANSLATE(A61, ""en"", ""am"")"),"60")</f>
        <v>60</v>
      </c>
      <c r="H61" s="8" t="str">
        <f>IFERROR(__xludf.DUMMYFUNCTION(" GOOGLETRANSLATE(B61, ""en"", ""am"")"),"በአባ ገዳ ትግል ውስጥ የዘበኛው ሚና ምን ይመስላል?")</f>
        <v>በአባ ገዳ ትግል ውስጥ የዘበኛው ሚና ምን ይመስላል?</v>
      </c>
      <c r="I61" s="8" t="str">
        <f>IFERROR(__xludf.DUMMYFUNCTION(" GOOGLETRANSLATE(C61, ""en"", ""am"")"),"ሀ. የግጥሚያውን ቆይታ ለመቆጣጠር B. በማስቆጠር ላይ ለመርዳት C. ዳኛውን ለመቆጣጠር መ. የተጎጂዎችን ቦታ ማረጋገጥ.")</f>
        <v>ሀ. የግጥሚያውን ቆይታ ለመቆጣጠር B. በማስቆጠር ላይ ለመርዳት C. ዳኛውን ለመቆጣጠር መ. የተጎጂዎችን ቦታ ማረጋገጥ.</v>
      </c>
      <c r="J61" s="8" t="str">
        <f>IFERROR(__xludf.DUMMYFUNCTION(" GOOGLETRANSLATE(D61, ""en"", ""am"")"),"የግጥሚያውን ቆይታ ለመቆጣጠር")</f>
        <v>የግጥሚያውን ቆይታ ለመቆጣጠር</v>
      </c>
      <c r="K61" s="8" t="str">
        <f>IFERROR(__xludf.DUMMYFUNCTION(" GOOGLETRANSLATE(E61, ""en"", ""am"")"),"የጊዜ ጠባቂው የግጥሚያው ቆይታ መያዙን ያረጋግጣል።")</f>
        <v>የጊዜ ጠባቂው የግጥሚያው ቆይታ መያዙን ያረጋግጣል።</v>
      </c>
    </row>
    <row r="62" ht="22.5" customHeight="1">
      <c r="A62" s="13">
        <v>61.0</v>
      </c>
      <c r="B62" s="14" t="s">
        <v>1611</v>
      </c>
      <c r="C62" s="14" t="s">
        <v>1612</v>
      </c>
      <c r="D62" s="14" t="s">
        <v>1613</v>
      </c>
      <c r="E62" s="14" t="s">
        <v>1614</v>
      </c>
      <c r="G62" s="8" t="str">
        <f>IFERROR(__xludf.DUMMYFUNCTION(" GOOGLETRANSLATE(A62, ""en"", ""am"")"),"61")</f>
        <v>61</v>
      </c>
      <c r="H62" s="8" t="str">
        <f>IFERROR(__xludf.DUMMYFUNCTION(" GOOGLETRANSLATE(B62, ""en"", ""am"")"),"በአባ ገዳ ትግል ሁለቱም ታጋዮች ቢጎዱ ምን ይሆናል?")</f>
        <v>በአባ ገዳ ትግል ሁለቱም ታጋዮች ቢጎዱ ምን ይሆናል?</v>
      </c>
      <c r="I62" s="8" t="str">
        <f>IFERROR(__xludf.DUMMYFUNCTION(" GOOGLETRANSLATE(C62, ""en"", ""am"")"),"ሀ. ግጥሚያው እንደገና ይጀምራል። ለ. ለሁለቱም ብቁ አለመሆን ሐ.የህክምና ግምገማ መ.ጨዋታው በአቻ ውጤት ተጠናቋል።")</f>
        <v>ሀ. ግጥሚያው እንደገና ይጀምራል። ለ. ለሁለቱም ብቁ አለመሆን ሐ.የህክምና ግምገማ መ.ጨዋታው በአቻ ውጤት ተጠናቋል።</v>
      </c>
      <c r="J62" s="8" t="str">
        <f>IFERROR(__xludf.DUMMYFUNCTION(" GOOGLETRANSLATE(D62, ""en"", ""am"")"),"የሕክምና ግምገማ")</f>
        <v>የሕክምና ግምገማ</v>
      </c>
      <c r="K62" s="8" t="str">
        <f>IFERROR(__xludf.DUMMYFUNCTION(" GOOGLETRANSLATE(E62, ""en"", ""am"")"),"የተጎዱ ተዋጊዎች ከመቀጠላቸው በፊት የሕክምና ግምገማ ይደረግባቸዋል.")</f>
        <v>የተጎዱ ተዋጊዎች ከመቀጠላቸው በፊት የሕክምና ግምገማ ይደረግባቸዋል.</v>
      </c>
    </row>
    <row r="63" ht="22.5" customHeight="1">
      <c r="A63" s="13">
        <v>62.0</v>
      </c>
      <c r="B63" s="14" t="s">
        <v>1615</v>
      </c>
      <c r="C63" s="14" t="s">
        <v>1616</v>
      </c>
      <c r="D63" s="14" t="s">
        <v>1617</v>
      </c>
      <c r="E63" s="14" t="s">
        <v>1618</v>
      </c>
      <c r="G63" s="8" t="str">
        <f>IFERROR(__xludf.DUMMYFUNCTION(" GOOGLETRANSLATE(A63, ""en"", ""am"")"),"62")</f>
        <v>62</v>
      </c>
      <c r="H63" s="8" t="str">
        <f>IFERROR(__xludf.DUMMYFUNCTION(" GOOGLETRANSLATE(B63, ""en"", ""am"")"),"ተቃዋሚውን ከመሬት ላይ ማንሳት ይፈቀዳል?")</f>
        <v>ተቃዋሚውን ከመሬት ላይ ማንሳት ይፈቀዳል?</v>
      </c>
      <c r="I63" s="8" t="str">
        <f>IFERROR(__xludf.DUMMYFUNCTION(" GOOGLETRANSLATE(C63, ""en"", ""am"")"),"A. አዎ፣ ግን ለአጭር ጊዜ ብቻ። ለ. አይ ሐ. አዎ፣ ለተመጣጠነ ሁኔታ መ. አዎ፣ ወደ ፒን የሚወስድ ከሆነ።")</f>
        <v>A. አዎ፣ ግን ለአጭር ጊዜ ብቻ። ለ. አይ ሐ. አዎ፣ ለተመጣጠነ ሁኔታ መ. አዎ፣ ወደ ፒን የሚወስድ ከሆነ።</v>
      </c>
      <c r="J63" s="8" t="str">
        <f>IFERROR(__xludf.DUMMYFUNCTION(" GOOGLETRANSLATE(D63, ""en"", ""am"")"),"አዎ, ግን ለአጭር ጊዜ ብቻ.")</f>
        <v>አዎ, ግን ለአጭር ጊዜ ብቻ.</v>
      </c>
      <c r="K63" s="8" t="str">
        <f>IFERROR(__xludf.DUMMYFUNCTION(" GOOGLETRANSLATE(E63, ""en"", ""am"")"),"ተቃዋሚውን ለአጭር ጊዜ ማንሳት በሕጉ መሠረት ይፈቀዳል።")</f>
        <v>ተቃዋሚውን ለአጭር ጊዜ ማንሳት በሕጉ መሠረት ይፈቀዳል።</v>
      </c>
    </row>
    <row r="64" ht="22.5" customHeight="1">
      <c r="A64" s="13">
        <v>63.0</v>
      </c>
      <c r="B64" s="14" t="s">
        <v>1619</v>
      </c>
      <c r="C64" s="14" t="s">
        <v>1440</v>
      </c>
      <c r="D64" s="14" t="s">
        <v>1441</v>
      </c>
      <c r="E64" s="14" t="s">
        <v>1620</v>
      </c>
      <c r="G64" s="8" t="str">
        <f>IFERROR(__xludf.DUMMYFUNCTION(" GOOGLETRANSLATE(A64, ""en"", ""am"")"),"63")</f>
        <v>63</v>
      </c>
      <c r="H64" s="8" t="str">
        <f>IFERROR(__xludf.DUMMYFUNCTION(" GOOGLETRANSLATE(B64, ""en"", ""am"")"),"በአባ ገዳ ሬስሊንግ ጨዋታን በማዘግየት ቅጣቱ ምንድን ነው?")</f>
        <v>በአባ ገዳ ሬስሊንግ ጨዋታን በማዘግየት ቅጣቱ ምንድን ነው?</v>
      </c>
      <c r="I64" s="8" t="str">
        <f>IFERROR(__xludf.DUMMYFUNCTION(" GOOGLETRANSLATE(C64, ""en"", ""am"")"),"ሀ. ማስጠንቀቂያ ለ. ነጥብ መቀነስ ሐ. ብቁ አለመሆን መ. ግጥሚያው እንደገና ተጀምሯል።")</f>
        <v>ሀ. ማስጠንቀቂያ ለ. ነጥብ መቀነስ ሐ. ብቁ አለመሆን መ. ግጥሚያው እንደገና ተጀምሯል።</v>
      </c>
      <c r="J64" s="8" t="str">
        <f>IFERROR(__xludf.DUMMYFUNCTION(" GOOGLETRANSLATE(D64, ""en"", ""am"")"),"ማስጠንቀቂያ")</f>
        <v>ማስጠንቀቂያ</v>
      </c>
      <c r="K64" s="8" t="str">
        <f>IFERROR(__xludf.DUMMYFUNCTION(" GOOGLETRANSLATE(E64, ""en"", ""am"")"),"ጨዋታው እንዲዘገይ ማስጠንቀቂያ ነው።")</f>
        <v>ጨዋታው እንዲዘገይ ማስጠንቀቂያ ነው።</v>
      </c>
    </row>
    <row r="65" ht="22.5" customHeight="1">
      <c r="A65" s="13">
        <v>64.0</v>
      </c>
      <c r="B65" s="14" t="s">
        <v>1621</v>
      </c>
      <c r="C65" s="14" t="s">
        <v>1622</v>
      </c>
      <c r="D65" s="14" t="s">
        <v>1437</v>
      </c>
      <c r="E65" s="14" t="s">
        <v>1623</v>
      </c>
      <c r="G65" s="8" t="str">
        <f>IFERROR(__xludf.DUMMYFUNCTION(" GOOGLETRANSLATE(A65, ""en"", ""am"")"),"64")</f>
        <v>64</v>
      </c>
      <c r="H65" s="8" t="str">
        <f>IFERROR(__xludf.DUMMYFUNCTION(" GOOGLETRANSLATE(B65, ""en"", ""am"")"),"አንድ ታጋይ ተቃዋሚውን ለመምታት ክርኑን ሊጠቀም ይችላል?")</f>
        <v>አንድ ታጋይ ተቃዋሚውን ለመምታት ክርኑን ሊጠቀም ይችላል?</v>
      </c>
      <c r="I65" s="8" t="str">
        <f>IFERROR(__xludf.DUMMYFUNCTION(" GOOGLETRANSLATE(C65, ""en"", ""am"")"),"ሀ. አዎ ለ. አይ ሐ. አዎ፣ ግን ለመከላከያ ዓላማዎች ብቻ። መ. አዎ፣ ከፍቃድ ጋር።")</f>
        <v>ሀ. አዎ ለ. አይ ሐ. አዎ፣ ግን ለመከላከያ ዓላማዎች ብቻ። መ. አዎ፣ ከፍቃድ ጋር።</v>
      </c>
      <c r="J65" s="8" t="str">
        <f>IFERROR(__xludf.DUMMYFUNCTION(" GOOGLETRANSLATE(D65, ""en"", ""am"")"),"አይ")</f>
        <v>አይ</v>
      </c>
      <c r="K65" s="8" t="str">
        <f>IFERROR(__xludf.DUMMYFUNCTION(" GOOGLETRANSLATE(E65, ""en"", ""am"")"),"በአባ ገዳ ትግል የክርን መምታት የተከለከለ ነው።")</f>
        <v>በአባ ገዳ ትግል የክርን መምታት የተከለከለ ነው።</v>
      </c>
    </row>
    <row r="66" ht="22.5" customHeight="1">
      <c r="A66" s="13">
        <v>65.0</v>
      </c>
      <c r="B66" s="14" t="s">
        <v>1624</v>
      </c>
      <c r="C66" s="14" t="s">
        <v>1625</v>
      </c>
      <c r="D66" s="14" t="s">
        <v>1626</v>
      </c>
      <c r="E66" s="14" t="s">
        <v>1627</v>
      </c>
      <c r="G66" s="8" t="str">
        <f>IFERROR(__xludf.DUMMYFUNCTION(" GOOGLETRANSLATE(A66, ""en"", ""am"")"),"65")</f>
        <v>65</v>
      </c>
      <c r="H66" s="8" t="str">
        <f>IFERROR(__xludf.DUMMYFUNCTION(" GOOGLETRANSLATE(B66, ""en"", ""am"")"),"ታጋይ እንዴት ለነፃነት ትግል እጁን ይሰጣል?")</f>
        <v>ታጋይ እንዴት ለነፃነት ትግል እጁን ይሰጣል?</v>
      </c>
      <c r="I66" s="8" t="str">
        <f>IFERROR(__xludf.DUMMYFUNCTION(" GOOGLETRANSLATE(C66, ""en"", ""am"")"),"ሀ. የተቃዋሚውን እግር በመቆለፍ ለ. ተቃዋሚውን በመሰካት ሐ. ተቃዋሚውን በማንኳኳት መ. ተቃዋሚውን ቀለበቱን እንዲለቅ ማስገደድ")</f>
        <v>ሀ. የተቃዋሚውን እግር በመቆለፍ ለ. ተቃዋሚውን በመሰካት ሐ. ተቃዋሚውን በማንኳኳት መ. ተቃዋሚውን ቀለበቱን እንዲለቅ ማስገደድ</v>
      </c>
      <c r="J66" s="8" t="str">
        <f>IFERROR(__xludf.DUMMYFUNCTION(" GOOGLETRANSLATE(D66, ""en"", ""am"")"),"የተቃዋሚውን እግሮች በመቆለፍ")</f>
        <v>የተቃዋሚውን እግሮች በመቆለፍ</v>
      </c>
      <c r="K66" s="8" t="str">
        <f>IFERROR(__xludf.DUMMYFUNCTION(" GOOGLETRANSLATE(E66, ""en"", ""am"")"),"መገዛት የተቃዋሚውን እጆች እና እግሮች በመቆለፍ ነው.")</f>
        <v>መገዛት የተቃዋሚውን እጆች እና እግሮች በመቆለፍ ነው.</v>
      </c>
    </row>
    <row r="67" ht="22.5" customHeight="1">
      <c r="A67" s="13">
        <v>66.0</v>
      </c>
      <c r="B67" s="14" t="s">
        <v>1628</v>
      </c>
      <c r="C67" s="14" t="s">
        <v>1629</v>
      </c>
      <c r="D67" s="14" t="s">
        <v>1630</v>
      </c>
      <c r="E67" s="14" t="s">
        <v>1631</v>
      </c>
      <c r="G67" s="8" t="str">
        <f>IFERROR(__xludf.DUMMYFUNCTION(" GOOGLETRANSLATE(A67, ""en"", ""am"")"),"66")</f>
        <v>66</v>
      </c>
      <c r="H67" s="8" t="str">
        <f>IFERROR(__xludf.DUMMYFUNCTION(" GOOGLETRANSLATE(B67, ""en"", ""am"")"),"አንድ ታጋይ በውርወራ ጊዜ በእጁ መሬት ቢነካ ፍርዱ ምንድን ነው?")</f>
        <v>አንድ ታጋይ በውርወራ ጊዜ በእጁ መሬት ቢነካ ፍርዱ ምንድን ነው?</v>
      </c>
      <c r="I67" s="8" t="str">
        <f>IFERROR(__xludf.DUMMYFUNCTION(" GOOGLETRANSLATE(C67, ""en"", ""am"")"),"ሀ. ነጥብ ቅነሳ ለ. ምንም ቅጣት የለም. ሐ. መወርወር ተቀባይነት የለውም። መ መወርወሩ ልክ እንደሆነ ይቆጠራል።")</f>
        <v>ሀ. ነጥብ ቅነሳ ለ. ምንም ቅጣት የለም. ሐ. መወርወር ተቀባይነት የለውም። መ መወርወሩ ልክ እንደሆነ ይቆጠራል።</v>
      </c>
      <c r="J67" s="8" t="str">
        <f>IFERROR(__xludf.DUMMYFUNCTION(" GOOGLETRANSLATE(D67, ""en"", ""am"")"),"ምንም ቅጣት የለም.")</f>
        <v>ምንም ቅጣት የለም.</v>
      </c>
      <c r="K67" s="8" t="str">
        <f>IFERROR(__xludf.DUMMYFUNCTION(" GOOGLETRANSLATE(E67, ""en"", ""am"")"),"መሬቱን በእጆቹ መንካት መወርወርን አያጠፋም.")</f>
        <v>መሬቱን በእጆቹ መንካት መወርወርን አያጠፋም.</v>
      </c>
    </row>
    <row r="68" ht="22.5" customHeight="1">
      <c r="A68" s="13">
        <v>67.0</v>
      </c>
      <c r="B68" s="14" t="s">
        <v>1632</v>
      </c>
      <c r="C68" s="14" t="s">
        <v>1633</v>
      </c>
      <c r="D68" s="14" t="s">
        <v>1634</v>
      </c>
      <c r="E68" s="14" t="s">
        <v>1635</v>
      </c>
      <c r="G68" s="8" t="str">
        <f>IFERROR(__xludf.DUMMYFUNCTION(" GOOGLETRANSLATE(A68, ""en"", ""am"")"),"67")</f>
        <v>67</v>
      </c>
      <c r="H68" s="8" t="str">
        <f>IFERROR(__xludf.DUMMYFUNCTION(" GOOGLETRANSLATE(B68, ""en"", ""am"")"),"በክበቦች መካከል ያለው ክፍተት ለምን ያህል ጊዜ ይቆያል?")</f>
        <v>በክበቦች መካከል ያለው ክፍተት ለምን ያህል ጊዜ ይቆያል?</v>
      </c>
      <c r="I68" s="8" t="str">
        <f>IFERROR(__xludf.DUMMYFUNCTION(" GOOGLETRANSLATE(C68, ""en"", ""am"")"),"ሀ. 1 ደቂቃ ለ 2 ደቂቃ ሐ. 5 ደቂቃ መ. 10 ደቂቃ")</f>
        <v>ሀ. 1 ደቂቃ ለ 2 ደቂቃ ሐ. 5 ደቂቃ መ. 10 ደቂቃ</v>
      </c>
      <c r="J68" s="8" t="str">
        <f>IFERROR(__xludf.DUMMYFUNCTION(" GOOGLETRANSLATE(D68, ""en"", ""am"")"),"1 ደቂቃ")</f>
        <v>1 ደቂቃ</v>
      </c>
      <c r="K68" s="8" t="str">
        <f>IFERROR(__xludf.DUMMYFUNCTION(" GOOGLETRANSLATE(E68, ""en"", ""am"")"),"በዙሮች መካከል ያለው ቀሪው 1 ደቂቃ ይቆያል።")</f>
        <v>በዙሮች መካከል ያለው ቀሪው 1 ደቂቃ ይቆያል።</v>
      </c>
    </row>
    <row r="69" ht="22.5" customHeight="1">
      <c r="A69" s="13">
        <v>68.0</v>
      </c>
      <c r="B69" s="14" t="s">
        <v>1636</v>
      </c>
      <c r="C69" s="14" t="s">
        <v>1637</v>
      </c>
      <c r="D69" s="14" t="s">
        <v>1451</v>
      </c>
      <c r="E69" s="14" t="s">
        <v>1638</v>
      </c>
      <c r="G69" s="8" t="str">
        <f>IFERROR(__xludf.DUMMYFUNCTION(" GOOGLETRANSLATE(A69, ""en"", ""am"")"),"68")</f>
        <v>68</v>
      </c>
      <c r="H69" s="8" t="str">
        <f>IFERROR(__xludf.DUMMYFUNCTION(" GOOGLETRANSLATE(B69, ""en"", ""am"")"),"በትግል ግጥሚያ የተቃዋሚውን እግር ማጥቃት ይፈቀዳል?")</f>
        <v>በትግል ግጥሚያ የተቃዋሚውን እግር ማጥቃት ይፈቀዳል?</v>
      </c>
      <c r="I69" s="8" t="str">
        <f>IFERROR(__xludf.DUMMYFUNCTION(" GOOGLETRANSLATE(C69, ""en"", ""am"")"),"ሀ. አዎ ለ. አይ ሐ. አዎ፣ ግን ለጥበቃ ብቻ። መ. አዎ፣ ግን ከእገዳዎች ጋር።")</f>
        <v>ሀ. አዎ ለ. አይ ሐ. አዎ፣ ግን ለጥበቃ ብቻ። መ. አዎ፣ ግን ከእገዳዎች ጋር።</v>
      </c>
      <c r="J69" s="8" t="str">
        <f>IFERROR(__xludf.DUMMYFUNCTION(" GOOGLETRANSLATE(D69, ""en"", ""am"")"),"አዎ")</f>
        <v>አዎ</v>
      </c>
      <c r="K69" s="8" t="str">
        <f>IFERROR(__xludf.DUMMYFUNCTION(" GOOGLETRANSLATE(E69, ""en"", ""am"")"),"የተቃዋሚውን እግር ማጥቃት ይፈቀዳል.")</f>
        <v>የተቃዋሚውን እግር ማጥቃት ይፈቀዳል.</v>
      </c>
    </row>
    <row r="70" ht="22.5" customHeight="1">
      <c r="A70" s="13">
        <v>69.0</v>
      </c>
      <c r="B70" s="14" t="s">
        <v>1639</v>
      </c>
      <c r="C70" s="14" t="s">
        <v>1640</v>
      </c>
      <c r="D70" s="14" t="s">
        <v>1641</v>
      </c>
      <c r="E70" s="14" t="s">
        <v>1642</v>
      </c>
      <c r="G70" s="8" t="str">
        <f>IFERROR(__xludf.DUMMYFUNCTION(" GOOGLETRANSLATE(A70, ""en"", ""am"")"),"69")</f>
        <v>69</v>
      </c>
      <c r="H70" s="8" t="str">
        <f>IFERROR(__xludf.DUMMYFUNCTION(" GOOGLETRANSLATE(B70, ""en"", ""am"")"),"ከተወሰነ ጊዜ በኋላ ፒን ከሌለ የመጨረሻው ውሳኔ ምንድነው?")</f>
        <v>ከተወሰነ ጊዜ በኋላ ፒን ከሌለ የመጨረሻው ውሳኔ ምንድነው?</v>
      </c>
      <c r="I70" s="8" t="str">
        <f>IFERROR(__xludf.DUMMYFUNCTION(" GOOGLETRANSLATE(C70, ""en"", ""am"")"),"ሀ. አቻ ለ. ድል በነጥብ ሐ. ድጋሚ ጨዋታ መ. አሸናፊው የሚወሰነው በዳኛው ነው።")</f>
        <v>ሀ. አቻ ለ. ድል በነጥብ ሐ. ድጋሚ ጨዋታ መ. አሸናፊው የሚወሰነው በዳኛው ነው።</v>
      </c>
      <c r="J70" s="8" t="str">
        <f>IFERROR(__xludf.DUMMYFUNCTION(" GOOGLETRANSLATE(D70, ""en"", ""am"")"),"ድል ​​በነጥብ")</f>
        <v>ድል ​​በነጥብ</v>
      </c>
      <c r="K70" s="8" t="str">
        <f>IFERROR(__xludf.DUMMYFUNCTION(" GOOGLETRANSLATE(E70, ""en"", ""am"")"),"ምንም ፒን ካልተከሰተ, አሸናፊው በነጥቦች ይወሰናል.")</f>
        <v>ምንም ፒን ካልተከሰተ, አሸናፊው በነጥቦች ይወሰናል.</v>
      </c>
    </row>
    <row r="71" ht="22.5" customHeight="1">
      <c r="A71" s="13">
        <v>70.0</v>
      </c>
      <c r="B71" s="14" t="s">
        <v>1524</v>
      </c>
      <c r="C71" s="14" t="s">
        <v>1643</v>
      </c>
      <c r="D71" s="14" t="s">
        <v>1451</v>
      </c>
      <c r="E71" s="14" t="s">
        <v>1644</v>
      </c>
      <c r="G71" s="8" t="str">
        <f>IFERROR(__xludf.DUMMYFUNCTION(" GOOGLETRANSLATE(A71, ""en"", ""am"")"),"70")</f>
        <v>70</v>
      </c>
      <c r="H71" s="8" t="str">
        <f>IFERROR(__xludf.DUMMYFUNCTION(" GOOGLETRANSLATE(B71, ""en"", ""am"")"),"ተዋጊ ለመምታት ጉልበቱን ሊጠቀም ይችላል?")</f>
        <v>ተዋጊ ለመምታት ጉልበቱን ሊጠቀም ይችላል?</v>
      </c>
      <c r="I71" s="8" t="str">
        <f>IFERROR(__xludf.DUMMYFUNCTION(" GOOGLETRANSLATE(C71, ""en"", ""am"")"),"ሀ. አዎ ለ. አይ ሐ. አዎ፣ ግን ለጥበቃ ብቻ። መ. አዎ፣ ከፍቃድ ጋር።")</f>
        <v>ሀ. አዎ ለ. አይ ሐ. አዎ፣ ግን ለጥበቃ ብቻ። መ. አዎ፣ ከፍቃድ ጋር።</v>
      </c>
      <c r="J71" s="8" t="str">
        <f>IFERROR(__xludf.DUMMYFUNCTION(" GOOGLETRANSLATE(D71, ""en"", ""am"")"),"አዎ")</f>
        <v>አዎ</v>
      </c>
      <c r="K71" s="8" t="str">
        <f>IFERROR(__xludf.DUMMYFUNCTION(" GOOGLETRANSLATE(E71, ""en"", ""am"")"),"በአንዳንድ ሁኔታዎች, ከአቅም በላይ የሆነ ኃይል ይፈቀዳል.")</f>
        <v>በአንዳንድ ሁኔታዎች, ከአቅም በላይ የሆነ ኃይል ይፈቀዳል.</v>
      </c>
    </row>
    <row r="72" ht="22.5" customHeight="1">
      <c r="A72" s="13">
        <v>71.0</v>
      </c>
      <c r="B72" s="14" t="s">
        <v>1645</v>
      </c>
      <c r="C72" s="14" t="s">
        <v>1646</v>
      </c>
      <c r="D72" s="14" t="s">
        <v>1647</v>
      </c>
      <c r="E72" s="14" t="s">
        <v>1648</v>
      </c>
      <c r="G72" s="8" t="str">
        <f>IFERROR(__xludf.DUMMYFUNCTION(" GOOGLETRANSLATE(A72, ""en"", ""am"")"),"71")</f>
        <v>71</v>
      </c>
      <c r="H72" s="8" t="str">
        <f>IFERROR(__xludf.DUMMYFUNCTION(" GOOGLETRANSLATE(B72, ""en"", ""am"")"),"በጨዋታው መጨረሻ ላይ ሁለቱም ተዋጊዎች ሲታሰሩ ምን ይሆናል?")</f>
        <v>በጨዋታው መጨረሻ ላይ ሁለቱም ተዋጊዎች ሲታሰሩ ምን ይሆናል?</v>
      </c>
      <c r="I72" s="8" t="str">
        <f>IFERROR(__xludf.DUMMYFUNCTION(" GOOGLETRANSLATE(C72, ""en"", ""am"")"),"ሀ/ ጨዋታው በአቻ ውጤት መጠናቀቁ ተገለጸ። ለ. ተጨማሪ ዙሮች ይጫወታሉ። ሐ. አሸናፊው የሚወሰነው በዳኛው ነው። መ. ሁለቱም ተዋጊዎች ብቁ አይደሉም።")</f>
        <v>ሀ/ ጨዋታው በአቻ ውጤት መጠናቀቁ ተገለጸ። ለ. ተጨማሪ ዙሮች ይጫወታሉ። ሐ. አሸናፊው የሚወሰነው በዳኛው ነው። መ. ሁለቱም ተዋጊዎች ብቁ አይደሉም።</v>
      </c>
      <c r="J72" s="8" t="str">
        <f>IFERROR(__xludf.DUMMYFUNCTION(" GOOGLETRANSLATE(D72, ""en"", ""am"")"),"ተጨማሪ ዙሮች ይጫወታሉ።")</f>
        <v>ተጨማሪ ዙሮች ይጫወታሉ።</v>
      </c>
      <c r="K72" s="8" t="str">
        <f>IFERROR(__xludf.DUMMYFUNCTION(" GOOGLETRANSLATE(E72, ""en"", ""am"")"),"ነጥቦች ከተጣመሩ አሸናፊውን ለመለየት ተጨማሪ ዙሮች ይደረጋሉ።")</f>
        <v>ነጥቦች ከተጣመሩ አሸናፊውን ለመለየት ተጨማሪ ዙሮች ይደረጋሉ።</v>
      </c>
    </row>
    <row r="73" ht="22.5" customHeight="1">
      <c r="A73" s="13">
        <v>72.0</v>
      </c>
      <c r="B73" s="14" t="s">
        <v>1649</v>
      </c>
      <c r="C73" s="14" t="s">
        <v>1650</v>
      </c>
      <c r="D73" s="14" t="s">
        <v>1651</v>
      </c>
      <c r="E73" s="14" t="s">
        <v>1652</v>
      </c>
      <c r="G73" s="8" t="str">
        <f>IFERROR(__xludf.DUMMYFUNCTION(" GOOGLETRANSLATE(A73, ""en"", ""am"")"),"72")</f>
        <v>72</v>
      </c>
      <c r="H73" s="8" t="str">
        <f>IFERROR(__xludf.DUMMYFUNCTION(" GOOGLETRANSLATE(B73, ""en"", ""am"")"),"እሱን ሳይሰካ ተቃዋሚውን ማሸነፍ ይችላል?")</f>
        <v>እሱን ሳይሰካ ተቃዋሚውን ማሸነፍ ይችላል?</v>
      </c>
      <c r="I73" s="8" t="str">
        <f>IFERROR(__xludf.DUMMYFUNCTION(" GOOGLETRANSLATE(C73, ""en"", ""am"")"),"A. አዎ፣ በነጥብ ላይ። ለ. አይ ሐ. አዎ፣ በማስረከብ። መ. አዎ፣ ተቃዋሚውን በመጣል።")</f>
        <v>A. አዎ፣ በነጥብ ላይ። ለ. አይ ሐ. አዎ፣ በማስረከብ። መ. አዎ፣ ተቃዋሚውን በመጣል።</v>
      </c>
      <c r="J73" s="8" t="str">
        <f>IFERROR(__xludf.DUMMYFUNCTION(" GOOGLETRANSLATE(D73, ""en"", ""am"")"),"አዎ ፣ በነጥብ ላይ።")</f>
        <v>አዎ ፣ በነጥብ ላይ።</v>
      </c>
      <c r="K73" s="8" t="str">
        <f>IFERROR(__xludf.DUMMYFUNCTION(" GOOGLETRANSLATE(E73, ""en"", ""am"")"),"ምንም ፒን ካልተገኘ፣ ተፋላሚው በነጥብ ሊያሸንፍ ይችላል።")</f>
        <v>ምንም ፒን ካልተገኘ፣ ተፋላሚው በነጥብ ሊያሸንፍ ይችላል።</v>
      </c>
    </row>
    <row r="74" ht="22.5" customHeight="1">
      <c r="A74" s="13">
        <v>73.0</v>
      </c>
      <c r="B74" s="14" t="s">
        <v>1653</v>
      </c>
      <c r="C74" s="14" t="s">
        <v>1654</v>
      </c>
      <c r="D74" s="14" t="s">
        <v>1179</v>
      </c>
      <c r="E74" s="14" t="s">
        <v>1655</v>
      </c>
      <c r="G74" s="8" t="str">
        <f>IFERROR(__xludf.DUMMYFUNCTION(" GOOGLETRANSLATE(A74, ""en"", ""am"")"),"73")</f>
        <v>73</v>
      </c>
      <c r="H74" s="8" t="str">
        <f>IFERROR(__xludf.DUMMYFUNCTION(" GOOGLETRANSLATE(B74, ""en"", ""am"")"),"በትግል ጨዋታ ሆን ብሎ ተቃዋሚን ቢጎዳ ቅጣቱ ምንድን ነው?")</f>
        <v>በትግል ጨዋታ ሆን ብሎ ተቃዋሚን ቢጎዳ ቅጣቱ ምንድን ነው?</v>
      </c>
      <c r="I74" s="8" t="str">
        <f>IFERROR(__xludf.DUMMYFUNCTION(" GOOGLETRANSLATE(C74, ""en"", ""am"")"),"ሀ. ማስጠንቀቂያ ለ. ብቁ አለመሆን ሐ. ነጥብ መቀነስ መ. ግጥሚያው እንደገና ተጀምሯል።")</f>
        <v>ሀ. ማስጠንቀቂያ ለ. ብቁ አለመሆን ሐ. ነጥብ መቀነስ መ. ግጥሚያው እንደገና ተጀምሯል።</v>
      </c>
      <c r="J74" s="8" t="str">
        <f>IFERROR(__xludf.DUMMYFUNCTION(" GOOGLETRANSLATE(D74, ""en"", ""am"")"),"ብቁ አለመሆን")</f>
        <v>ብቁ አለመሆን</v>
      </c>
      <c r="K74" s="8" t="str">
        <f>IFERROR(__xludf.DUMMYFUNCTION(" GOOGLETRANSLATE(E74, ""en"", ""am"")"),"ሆን ብሎ ተቃዋሚን መጉዳት ብቃት ማጣትን ያስከትላል።")</f>
        <v>ሆን ብሎ ተቃዋሚን መጉዳት ብቃት ማጣትን ያስከትላል።</v>
      </c>
    </row>
    <row r="75" ht="22.5" customHeight="1">
      <c r="A75" s="13">
        <v>74.0</v>
      </c>
      <c r="B75" s="14" t="s">
        <v>1656</v>
      </c>
      <c r="C75" s="14" t="s">
        <v>1657</v>
      </c>
      <c r="D75" s="14" t="s">
        <v>1437</v>
      </c>
      <c r="E75" s="14" t="s">
        <v>1658</v>
      </c>
      <c r="G75" s="8" t="str">
        <f>IFERROR(__xludf.DUMMYFUNCTION(" GOOGLETRANSLATE(A75, ""en"", ""am"")"),"74")</f>
        <v>74</v>
      </c>
      <c r="H75" s="8" t="str">
        <f>IFERROR(__xludf.DUMMYFUNCTION(" GOOGLETRANSLATE(B75, ""en"", ""am"")"),"የተቃዋሚን ልብስ ለግል ጥቅም መጠቀም ህጋዊ ነው?")</f>
        <v>የተቃዋሚን ልብስ ለግል ጥቅም መጠቀም ህጋዊ ነው?</v>
      </c>
      <c r="I75" s="8" t="str">
        <f>IFERROR(__xludf.DUMMYFUNCTION(" GOOGLETRANSLATE(C75, ""en"", ""am"")"),"ሀ. አዎ ለ. አይ ሐ. አዎ፣ የእንቅስቃሴው አካል ከሆነ። መ. አዎ፣ ተቃዋሚው ከተስማማ።")</f>
        <v>ሀ. አዎ ለ. አይ ሐ. አዎ፣ የእንቅስቃሴው አካል ከሆነ። መ. አዎ፣ ተቃዋሚው ከተስማማ።</v>
      </c>
      <c r="J75" s="8" t="str">
        <f>IFERROR(__xludf.DUMMYFUNCTION(" GOOGLETRANSLATE(D75, ""en"", ""am"")"),"አይ")</f>
        <v>አይ</v>
      </c>
      <c r="K75" s="8" t="str">
        <f>IFERROR(__xludf.DUMMYFUNCTION(" GOOGLETRANSLATE(E75, ""en"", ""am"")"),"ለጥቅም ሲባል የተቃዋሚን ልብስ መጠቀም ክልክል ነው።")</f>
        <v>ለጥቅም ሲባል የተቃዋሚን ልብስ መጠቀም ክልክል ነው።</v>
      </c>
    </row>
    <row r="76" ht="22.5" customHeight="1">
      <c r="A76" s="13">
        <v>75.0</v>
      </c>
      <c r="B76" s="14" t="s">
        <v>1659</v>
      </c>
      <c r="C76" s="14" t="s">
        <v>1660</v>
      </c>
      <c r="D76" s="14" t="s">
        <v>1451</v>
      </c>
      <c r="E76" s="14" t="s">
        <v>1661</v>
      </c>
      <c r="G76" s="8" t="str">
        <f>IFERROR(__xludf.DUMMYFUNCTION(" GOOGLETRANSLATE(A76, ""en"", ""am"")"),"75")</f>
        <v>75</v>
      </c>
      <c r="H76" s="8" t="str">
        <f>IFERROR(__xludf.DUMMYFUNCTION(" GOOGLETRANSLATE(B76, ""en"", ""am"")"),"በጨዋታ ጊዜ ተዋጊ የተቃዋሚን አንጓ መያዝ ይችላል?")</f>
        <v>በጨዋታ ጊዜ ተዋጊ የተቃዋሚን አንጓ መያዝ ይችላል?</v>
      </c>
      <c r="I76" s="8" t="str">
        <f>IFERROR(__xludf.DUMMYFUNCTION(" GOOGLETRANSLATE(C76, ""en"", ""am"")"),"ሀ. አዎ ለ. አይ ሐ. አዎ፣ ግን ለጥበቃ ብቻ። መ. አዎ፣ ግን ለማንሳት ብቻ።")</f>
        <v>ሀ. አዎ ለ. አይ ሐ. አዎ፣ ግን ለጥበቃ ብቻ። መ. አዎ፣ ግን ለማንሳት ብቻ።</v>
      </c>
      <c r="J76" s="8" t="str">
        <f>IFERROR(__xludf.DUMMYFUNCTION(" GOOGLETRANSLATE(D76, ""en"", ""am"")"),"አዎ")</f>
        <v>አዎ</v>
      </c>
      <c r="K76" s="8" t="str">
        <f>IFERROR(__xludf.DUMMYFUNCTION(" GOOGLETRANSLATE(E76, ""en"", ""am"")"),"የተቃዋሚውን የእጅ አንጓዎች መያዝ ይፈቀዳል.")</f>
        <v>የተቃዋሚውን የእጅ አንጓዎች መያዝ ይፈቀዳል.</v>
      </c>
    </row>
    <row r="77" ht="22.5" customHeight="1">
      <c r="A77" s="13">
        <v>76.0</v>
      </c>
      <c r="B77" s="14" t="s">
        <v>1662</v>
      </c>
      <c r="C77" s="14" t="s">
        <v>1663</v>
      </c>
      <c r="D77" s="14" t="s">
        <v>1664</v>
      </c>
      <c r="E77" s="14" t="s">
        <v>1665</v>
      </c>
      <c r="G77" s="8" t="str">
        <f>IFERROR(__xludf.DUMMYFUNCTION(" GOOGLETRANSLATE(A77, ""en"", ""am"")"),"76")</f>
        <v>76</v>
      </c>
      <c r="H77" s="8" t="str">
        <f>IFERROR(__xludf.DUMMYFUNCTION(" GOOGLETRANSLATE(B77, ""en"", ""am"")"),"አንድ ተዋጊ ለግጥሚያው ብቅ ማለት ካልቻለ ምን ይከሰታል?")</f>
        <v>አንድ ተዋጊ ለግጥሚያው ብቅ ማለት ካልቻለ ምን ይከሰታል?</v>
      </c>
      <c r="I77" s="8" t="str">
        <f>IFERROR(__xludf.DUMMYFUNCTION(" GOOGLETRANSLATE(C77, ""en"", ""am"")"),"ሀ. ብቁ አይደሉም። ለ. በነባሪነት ይሸነፋሉ. ሐ. ተቀጣ D. ጨዋታው ለሌላ ጊዜ ተላልፏል።")</f>
        <v>ሀ. ብቁ አይደሉም። ለ. በነባሪነት ይሸነፋሉ. ሐ. ተቀጣ D. ጨዋታው ለሌላ ጊዜ ተላልፏል።</v>
      </c>
      <c r="J77" s="8" t="str">
        <f>IFERROR(__xludf.DUMMYFUNCTION(" GOOGLETRANSLATE(D77, ""en"", ""am"")"),"በነባሪነት ይሸነፋሉ።")</f>
        <v>በነባሪነት ይሸነፋሉ።</v>
      </c>
      <c r="K77" s="8" t="str">
        <f>IFERROR(__xludf.DUMMYFUNCTION(" GOOGLETRANSLATE(E77, ""en"", ""am"")"),"አለማሳየት ነባሪ ያስከትላል።")</f>
        <v>አለማሳየት ነባሪ ያስከትላል።</v>
      </c>
    </row>
    <row r="78" ht="22.5" customHeight="1">
      <c r="A78" s="13">
        <v>77.0</v>
      </c>
      <c r="B78" s="14" t="s">
        <v>1507</v>
      </c>
      <c r="C78" s="14" t="s">
        <v>1666</v>
      </c>
      <c r="D78" s="14" t="s">
        <v>1509</v>
      </c>
      <c r="E78" s="14" t="s">
        <v>1510</v>
      </c>
      <c r="G78" s="8" t="str">
        <f>IFERROR(__xludf.DUMMYFUNCTION(" GOOGLETRANSLATE(A78, ""en"", ""am"")"),"77")</f>
        <v>77</v>
      </c>
      <c r="H78" s="8" t="str">
        <f>IFERROR(__xludf.DUMMYFUNCTION(" GOOGLETRANSLATE(B78, ""en"", ""am"")"),"ለአባ ገዳ ትግል ስኬታማ ፒን ስንት ነጥብ ተሰጥቷል?")</f>
        <v>ለአባ ገዳ ትግል ስኬታማ ፒን ስንት ነጥብ ተሰጥቷል?</v>
      </c>
      <c r="I78" s="8" t="str">
        <f>IFERROR(__xludf.DUMMYFUNCTION(" GOOGLETRANSLATE(C78, ""en"", ""am"")"),"ሀ.5 ነጥቢ ለ. 2 ነጥበ ሐ. 10 ነጥበ D. 8 ነጥብ")</f>
        <v>ሀ.5 ነጥቢ ለ. 2 ነጥበ ሐ. 10 ነጥበ D. 8 ነጥብ</v>
      </c>
      <c r="J78" s="8" t="str">
        <f>IFERROR(__xludf.DUMMYFUNCTION(" GOOGLETRANSLATE(D78, ""en"", ""am"")"),"5 ነጥብ")</f>
        <v>5 ነጥብ</v>
      </c>
      <c r="K78" s="8" t="str">
        <f>IFERROR(__xludf.DUMMYFUNCTION(" GOOGLETRANSLATE(E78, ""en"", ""am"")"),"የተሳካ ፒን 5 ነጥብ ያገኛል።")</f>
        <v>የተሳካ ፒን 5 ነጥብ ያገኛል።</v>
      </c>
    </row>
    <row r="79" ht="22.5" customHeight="1">
      <c r="A79" s="13">
        <v>78.0</v>
      </c>
      <c r="B79" s="14" t="s">
        <v>1667</v>
      </c>
      <c r="C79" s="14" t="s">
        <v>1668</v>
      </c>
      <c r="D79" s="14" t="s">
        <v>1669</v>
      </c>
      <c r="E79" s="14" t="s">
        <v>1670</v>
      </c>
      <c r="G79" s="8" t="str">
        <f>IFERROR(__xludf.DUMMYFUNCTION(" GOOGLETRANSLATE(A79, ""en"", ""am"")"),"78")</f>
        <v>78</v>
      </c>
      <c r="H79" s="8" t="str">
        <f>IFERROR(__xludf.DUMMYFUNCTION(" GOOGLETRANSLATE(B79, ""en"", ""am"")"),"አንድ ትግል ለማውረድ ነጥቦችን ለማግኘት ምን ማድረግ አለበት?")</f>
        <v>አንድ ትግል ለማውረድ ነጥቦችን ለማግኘት ምን ማድረግ አለበት?</v>
      </c>
      <c r="I79" s="8" t="str">
        <f>IFERROR(__xludf.DUMMYFUNCTION(" GOOGLETRANSLATE(C79, ""en"", ""am"")"),"ሀ. ተቃዋሚውን መሬት ላይ ይቆጣጠሩ B. ተቃዋሚውን ወደ ውጭ ይጥሉት። ሐ. ተቃዋሚውን ይሰኩት. መ. ተቃዋሚውን እንዲገዛ ማስገደድ")</f>
        <v>ሀ. ተቃዋሚውን መሬት ላይ ይቆጣጠሩ B. ተቃዋሚውን ወደ ውጭ ይጥሉት። ሐ. ተቃዋሚውን ይሰኩት. መ. ተቃዋሚውን እንዲገዛ ማስገደድ</v>
      </c>
      <c r="J79" s="8" t="str">
        <f>IFERROR(__xludf.DUMMYFUNCTION(" GOOGLETRANSLATE(D79, ""en"", ""am"")"),"ተቃዋሚውን መሬት ላይ ይቆጣጠሩ")</f>
        <v>ተቃዋሚውን መሬት ላይ ይቆጣጠሩ</v>
      </c>
      <c r="K79" s="8" t="str">
        <f>IFERROR(__xludf.DUMMYFUNCTION(" GOOGLETRANSLATE(E79, ""en"", ""am"")"),"ለማውረድ ነጥቦችን ለማግኘት ተፋላሚው ተጋጣሚውን መሬት ላይ መቆጣጠር አለበት።")</f>
        <v>ለማውረድ ነጥቦችን ለማግኘት ተፋላሚው ተጋጣሚውን መሬት ላይ መቆጣጠር አለበት።</v>
      </c>
    </row>
    <row r="80" ht="22.5" customHeight="1">
      <c r="A80" s="13">
        <v>79.0</v>
      </c>
      <c r="B80" s="14" t="s">
        <v>1671</v>
      </c>
      <c r="C80" s="14" t="s">
        <v>1672</v>
      </c>
      <c r="D80" s="14" t="s">
        <v>1451</v>
      </c>
      <c r="E80" s="14" t="s">
        <v>1673</v>
      </c>
      <c r="G80" s="8" t="str">
        <f>IFERROR(__xludf.DUMMYFUNCTION(" GOOGLETRANSLATE(A80, ""en"", ""am"")"),"79")</f>
        <v>79</v>
      </c>
      <c r="H80" s="8" t="str">
        <f>IFERROR(__xludf.DUMMYFUNCTION(" GOOGLETRANSLATE(B80, ""en"", ""am"")"),"ታጋይ በትግል ወቅት ሰውን መሳደብ ህጋዊ ነው?")</f>
        <v>ታጋይ በትግል ወቅት ሰውን መሳደብ ህጋዊ ነው?</v>
      </c>
      <c r="I80" s="8" t="str">
        <f>IFERROR(__xludf.DUMMYFUNCTION(" GOOGLETRANSLATE(C80, ""en"", ""am"")"),"ሀ. አዎ ለ. አይ ሐ. አዎ፣ ግን በተቃዋሚው እግር ላይ ብቻ D. አዎ፣ በዳኛው ይሁንታ።")</f>
        <v>ሀ. አዎ ለ. አይ ሐ. አዎ፣ ግን በተቃዋሚው እግር ላይ ብቻ D. አዎ፣ በዳኛው ይሁንታ።</v>
      </c>
      <c r="J80" s="8" t="str">
        <f>IFERROR(__xludf.DUMMYFUNCTION(" GOOGLETRANSLATE(D80, ""en"", ""am"")"),"አዎ")</f>
        <v>አዎ</v>
      </c>
      <c r="K80" s="8" t="str">
        <f>IFERROR(__xludf.DUMMYFUNCTION(" GOOGLETRANSLATE(E80, ""en"", ""am"")"),"ህግን እስከተከተልክ ድረስ ሰላም ህጋዊ ነው።")</f>
        <v>ህግን እስከተከተልክ ድረስ ሰላም ህጋዊ ነው።</v>
      </c>
    </row>
    <row r="81" ht="22.5" customHeight="1">
      <c r="A81" s="13">
        <v>80.0</v>
      </c>
      <c r="B81" s="14" t="s">
        <v>1674</v>
      </c>
      <c r="C81" s="14" t="s">
        <v>1675</v>
      </c>
      <c r="D81" s="14" t="s">
        <v>1437</v>
      </c>
      <c r="E81" s="14" t="s">
        <v>1676</v>
      </c>
      <c r="G81" s="8" t="str">
        <f>IFERROR(__xludf.DUMMYFUNCTION(" GOOGLETRANSLATE(A81, ""en"", ""am"")"),"80")</f>
        <v>80</v>
      </c>
      <c r="H81" s="8" t="str">
        <f>IFERROR(__xludf.DUMMYFUNCTION(" GOOGLETRANSLATE(B81, ""en"", ""am"")"),"በትግል ውስጥ ታጋይ ተቃዋሚውን ማነቅ ይችላል?")</f>
        <v>በትግል ውስጥ ታጋይ ተቃዋሚውን ማነቅ ይችላል?</v>
      </c>
      <c r="I81" s="8" t="str">
        <f>IFERROR(__xludf.DUMMYFUNCTION(" GOOGLETRANSLATE(C81, ""en"", ""am"")"),"ሀ. አዎ ለ. አይ ሐ. አዎ፣ በማስረከብ። መ. አዎ፣ ለአንድ ፒን")</f>
        <v>ሀ. አዎ ለ. አይ ሐ. አዎ፣ በማስረከብ። መ. አዎ፣ ለአንድ ፒን</v>
      </c>
      <c r="J81" s="8" t="str">
        <f>IFERROR(__xludf.DUMMYFUNCTION(" GOOGLETRANSLATE(D81, ""en"", ""am"")"),"አይ")</f>
        <v>አይ</v>
      </c>
      <c r="K81" s="8" t="str">
        <f>IFERROR(__xludf.DUMMYFUNCTION(" GOOGLETRANSLATE(E81, ""en"", ""am"")"),"ለነጻነት በሚደረገው ትግል ተቃዋሚዎችን ማፈን የተከለከለ ነው።")</f>
        <v>ለነጻነት በሚደረገው ትግል ተቃዋሚዎችን ማፈን የተከለከለ ነው።</v>
      </c>
    </row>
    <row r="82" ht="22.5" customHeight="1">
      <c r="A82" s="13">
        <v>81.0</v>
      </c>
      <c r="B82" s="14" t="s">
        <v>1677</v>
      </c>
      <c r="C82" s="14" t="s">
        <v>1678</v>
      </c>
      <c r="D82" s="14" t="s">
        <v>1540</v>
      </c>
      <c r="E82" s="14" t="s">
        <v>1679</v>
      </c>
      <c r="G82" s="8" t="str">
        <f>IFERROR(__xludf.DUMMYFUNCTION(" GOOGLETRANSLATE(A82, ""en"", ""am"")"),"81")</f>
        <v>81</v>
      </c>
      <c r="H82" s="8" t="str">
        <f>IFERROR(__xludf.DUMMYFUNCTION(" GOOGLETRANSLATE(B82, ""en"", ""am"")"),"የአባ ገዳን ትግል በመቃወም ቅጣቱ ምንድን ነው?")</f>
        <v>የአባ ገዳን ትግል በመቃወም ቅጣቱ ምንድን ነው?</v>
      </c>
      <c r="I82" s="8" t="str">
        <f>IFERROR(__xludf.DUMMYFUNCTION(" GOOGLETRANSLATE(C82, ""en"", ""am"")"),"ሀ. ነጥብ መቀነስ ለ. ብቁ አለመሆን ሐ. ማስጠንቀቂያ መ. እንደገና መጀመር")</f>
        <v>ሀ. ነጥብ መቀነስ ለ. ብቁ አለመሆን ሐ. ማስጠንቀቂያ መ. እንደገና መጀመር</v>
      </c>
      <c r="J82" s="8" t="str">
        <f>IFERROR(__xludf.DUMMYFUNCTION(" GOOGLETRANSLATE(D82, ""en"", ""am"")"),"የነጥብ ቅነሳ")</f>
        <v>የነጥብ ቅነሳ</v>
      </c>
      <c r="K82" s="8" t="str">
        <f>IFERROR(__xludf.DUMMYFUNCTION(" GOOGLETRANSLATE(E82, ""en"", ""am"")"),"ማቆም የነጥብ ቅነሳን ያስከትላል.")</f>
        <v>ማቆም የነጥብ ቅነሳን ያስከትላል.</v>
      </c>
    </row>
    <row r="83" ht="22.5" customHeight="1">
      <c r="A83" s="13">
        <v>82.0</v>
      </c>
      <c r="B83" s="14" t="s">
        <v>1680</v>
      </c>
      <c r="C83" s="14" t="s">
        <v>1681</v>
      </c>
      <c r="D83" s="14" t="s">
        <v>1682</v>
      </c>
      <c r="E83" s="14" t="s">
        <v>1683</v>
      </c>
      <c r="G83" s="8" t="str">
        <f>IFERROR(__xludf.DUMMYFUNCTION(" GOOGLETRANSLATE(A83, ""en"", ""am"")"),"82")</f>
        <v>82</v>
      </c>
      <c r="H83" s="8" t="str">
        <f>IFERROR(__xludf.DUMMYFUNCTION(" GOOGLETRANSLATE(B83, ""en"", ""am"")"),"ታጋይ እንዴት መገዛት ይችላል?")</f>
        <v>ታጋይ እንዴት መገዛት ይችላል?</v>
      </c>
      <c r="I83" s="8" t="str">
        <f>IFERROR(__xludf.DUMMYFUNCTION(" GOOGLETRANSLATE(C83, ""en"", ""am"")"),"ሀ. የተቃዋሚውን እግር ወይም አንገት በመቆለፍ ለ. ተቃዋሚውን በመሰካት ሐ. ተቃዋሚውን በማስወገድ መ. ተቃዋሚውን በመወርወር")</f>
        <v>ሀ. የተቃዋሚውን እግር ወይም አንገት በመቆለፍ ለ. ተቃዋሚውን በመሰካት ሐ. ተቃዋሚውን በማስወገድ መ. ተቃዋሚውን በመወርወር</v>
      </c>
      <c r="J83" s="8" t="str">
        <f>IFERROR(__xludf.DUMMYFUNCTION(" GOOGLETRANSLATE(D83, ""en"", ""am"")"),"የተቃዋሚውን እግር ወይም አንገት በመቆለፍ")</f>
        <v>የተቃዋሚውን እግር ወይም አንገት በመቆለፍ</v>
      </c>
      <c r="K83" s="8" t="str">
        <f>IFERROR(__xludf.DUMMYFUNCTION(" GOOGLETRANSLATE(E83, ""en"", ""am"")"),"መገዛት የተቃዋሚውን እጆች፣ እግሮች ወይም አንገት በመቆለፍ ነው።")</f>
        <v>መገዛት የተቃዋሚውን እጆች፣ እግሮች ወይም አንገት በመቆለፍ ነው።</v>
      </c>
    </row>
    <row r="84" ht="22.5" customHeight="1">
      <c r="A84" s="13">
        <v>83.0</v>
      </c>
      <c r="B84" s="14" t="s">
        <v>1684</v>
      </c>
      <c r="C84" s="14" t="s">
        <v>1685</v>
      </c>
      <c r="D84" s="14" t="s">
        <v>1451</v>
      </c>
      <c r="E84" s="14" t="s">
        <v>1686</v>
      </c>
      <c r="G84" s="8" t="str">
        <f>IFERROR(__xludf.DUMMYFUNCTION(" GOOGLETRANSLATE(A84, ""en"", ""am"")"),"83")</f>
        <v>83</v>
      </c>
      <c r="H84" s="8" t="str">
        <f>IFERROR(__xludf.DUMMYFUNCTION(" GOOGLETRANSLATE(B84, ""en"", ""am"")"),"ታጋይ ውርወራ ለመጠቀም የተቃዋሚን ጭንቅላት ሊጠቀም ይችላል?")</f>
        <v>ታጋይ ውርወራ ለመጠቀም የተቃዋሚን ጭንቅላት ሊጠቀም ይችላል?</v>
      </c>
      <c r="I84" s="8" t="str">
        <f>IFERROR(__xludf.DUMMYFUNCTION(" GOOGLETRANSLATE(C84, ""en"", ""am"")"),"ሀ. አዎ ለ. አይ ሐ. አዎ፣ የእንቅስቃሴው አካል ከሆነ። D. አዎ፣ ግን በመከላከያ ውስጥ ብቻ።")</f>
        <v>ሀ. አዎ ለ. አይ ሐ. አዎ፣ የእንቅስቃሴው አካል ከሆነ። D. አዎ፣ ግን በመከላከያ ውስጥ ብቻ።</v>
      </c>
      <c r="J84" s="8" t="str">
        <f>IFERROR(__xludf.DUMMYFUNCTION(" GOOGLETRANSLATE(D84, ""en"", ""am"")"),"አዎ")</f>
        <v>አዎ</v>
      </c>
      <c r="K84" s="8" t="str">
        <f>IFERROR(__xludf.DUMMYFUNCTION(" GOOGLETRANSLATE(E84, ""en"", ""am"")"),"የእንቅስቃሴው አካል ከሆነ የተቃዋሚውን ጭንቅላት መጠቀም ይፈቀዳል.")</f>
        <v>የእንቅስቃሴው አካል ከሆነ የተቃዋሚውን ጭንቅላት መጠቀም ይፈቀዳል.</v>
      </c>
    </row>
    <row r="85" ht="22.5" customHeight="1">
      <c r="A85" s="13">
        <v>84.0</v>
      </c>
      <c r="B85" s="14" t="s">
        <v>1687</v>
      </c>
      <c r="C85" s="14" t="s">
        <v>1688</v>
      </c>
      <c r="D85" s="14" t="s">
        <v>1451</v>
      </c>
      <c r="E85" s="14" t="s">
        <v>1689</v>
      </c>
      <c r="G85" s="8" t="str">
        <f>IFERROR(__xludf.DUMMYFUNCTION(" GOOGLETRANSLATE(A85, ""en"", ""am"")"),"84")</f>
        <v>84</v>
      </c>
      <c r="H85" s="8" t="str">
        <f>IFERROR(__xludf.DUMMYFUNCTION(" GOOGLETRANSLATE(B85, ""en"", ""am"")"),"አንድ ተጋዳላይ በመግቢያው ወቅት ግርዶሹን እንዲያወጣ ተፈቅዶለታል?")</f>
        <v>አንድ ተጋዳላይ በመግቢያው ወቅት ግርዶሹን እንዲያወጣ ተፈቅዶለታል?</v>
      </c>
      <c r="I85" s="8" t="str">
        <f>IFERROR(__xludf.DUMMYFUNCTION(" GOOGLETRANSLATE(C85, ""en"", ""am"")"),"A. አዎ ለ. አይ ሐ. አዎ፣ ግን ከ10 ሰከንድ በኋላ ብቻ። መ. አዎ፣ ግን በዳኛው ፈቃድ ብቻ።")</f>
        <v>A. አዎ ለ. አይ ሐ. አዎ፣ ግን ከ10 ሰከንድ በኋላ ብቻ። መ. አዎ፣ ግን በዳኛው ፈቃድ ብቻ።</v>
      </c>
      <c r="J85" s="8" t="str">
        <f>IFERROR(__xludf.DUMMYFUNCTION(" GOOGLETRANSLATE(D85, ""en"", ""am"")"),"አዎ")</f>
        <v>አዎ</v>
      </c>
      <c r="K85" s="8" t="str">
        <f>IFERROR(__xludf.DUMMYFUNCTION(" GOOGLETRANSLATE(E85, ""en"", ""am"")"),"በመግቢያው ወቅት አንድ ተዋጊ ለመግባት መታ ማድረግ ይችላል።")</f>
        <v>በመግቢያው ወቅት አንድ ተዋጊ ለመግባት መታ ማድረግ ይችላል።</v>
      </c>
    </row>
    <row r="86" ht="22.5" customHeight="1">
      <c r="A86" s="13">
        <v>85.0</v>
      </c>
      <c r="B86" s="14" t="s">
        <v>1690</v>
      </c>
      <c r="C86" s="14" t="s">
        <v>1691</v>
      </c>
      <c r="D86" s="14" t="s">
        <v>1451</v>
      </c>
      <c r="E86" s="14" t="s">
        <v>1692</v>
      </c>
      <c r="G86" s="8" t="str">
        <f>IFERROR(__xludf.DUMMYFUNCTION(" GOOGLETRANSLATE(A86, ""en"", ""am"")"),"85")</f>
        <v>85</v>
      </c>
      <c r="H86" s="8" t="str">
        <f>IFERROR(__xludf.DUMMYFUNCTION(" GOOGLETRANSLATE(B86, ""en"", ""am"")"),"በትግል ግጥሚያ፣ አንድ ተፋላሚ የተቃዋሚውን እግር ተጠቅሞ ፒን ማስያዝ ይችላል?")</f>
        <v>በትግል ግጥሚያ፣ አንድ ተፋላሚ የተቃዋሚውን እግር ተጠቅሞ ፒን ማስያዝ ይችላል?</v>
      </c>
      <c r="I86" s="8" t="str">
        <f>IFERROR(__xludf.DUMMYFUNCTION(" GOOGLETRANSLATE(C86, ""en"", ""am"")"),"ሀ. አዎ ለ. አይ ሐ. አዎ፣ ግን በመከላከያ ውስጥ ብቻ። መ. አዎ፣ ከዳኛው ፈቃድ ጋር።")</f>
        <v>ሀ. አዎ ለ. አይ ሐ. አዎ፣ ግን በመከላከያ ውስጥ ብቻ። መ. አዎ፣ ከዳኛው ፈቃድ ጋር።</v>
      </c>
      <c r="J86" s="8" t="str">
        <f>IFERROR(__xludf.DUMMYFUNCTION(" GOOGLETRANSLATE(D86, ""en"", ""am"")"),"አዎ")</f>
        <v>አዎ</v>
      </c>
      <c r="K86" s="8" t="str">
        <f>IFERROR(__xludf.DUMMYFUNCTION(" GOOGLETRANSLATE(E86, ""en"", ""am"")"),"ፒኑን ለመጠበቅ የተቃዋሚውን እግሮች መጠቀም ይፈቀዳል.")</f>
        <v>ፒኑን ለመጠበቅ የተቃዋሚውን እግሮች መጠቀም ይፈቀዳል.</v>
      </c>
    </row>
    <row r="87" ht="22.5" customHeight="1">
      <c r="A87" s="13">
        <v>86.0</v>
      </c>
      <c r="B87" s="14" t="s">
        <v>1480</v>
      </c>
      <c r="C87" s="14" t="s">
        <v>1693</v>
      </c>
      <c r="D87" s="14" t="s">
        <v>1694</v>
      </c>
      <c r="E87" s="14" t="s">
        <v>1695</v>
      </c>
      <c r="G87" s="8" t="str">
        <f>IFERROR(__xludf.DUMMYFUNCTION(" GOOGLETRANSLATE(A87, ""en"", ""am"")"),"86")</f>
        <v>86</v>
      </c>
      <c r="H87" s="8" t="str">
        <f>IFERROR(__xludf.DUMMYFUNCTION(" GOOGLETRANSLATE(B87, ""en"", ""am"")"),"ዳኛው ለነጻነት በሚደረገው ትግል ውስጥ ያለው ሚና ምንድን ነው?")</f>
        <v>ዳኛው ለነጻነት በሚደረገው ትግል ውስጥ ያለው ሚና ምንድን ነው?</v>
      </c>
      <c r="I87" s="8" t="str">
        <f>IFERROR(__xludf.DUMMYFUNCTION(" GOOGLETRANSLATE(C87, ""en"", ""am"")"),"ሀ. ግጥሚያውን ማስቆጠር ለ. ፍትሃዊ ጨዋታን ማረጋገጥ እና ህጎቹን ማስከበር ሐ. ተዋጊዎችን ማሰልጠን D. የህክምና እርዳታ መስጠት")</f>
        <v>ሀ. ግጥሚያውን ማስቆጠር ለ. ፍትሃዊ ጨዋታን ማረጋገጥ እና ህጎቹን ማስከበር ሐ. ተዋጊዎችን ማሰልጠን D. የህክምና እርዳታ መስጠት</v>
      </c>
      <c r="J87" s="8" t="str">
        <f>IFERROR(__xludf.DUMMYFUNCTION(" GOOGLETRANSLATE(D87, ""en"", ""am"")"),"ፍትሃዊ ጨዋታን ለማረጋገጥ እና ህጎችን ለማስከበር")</f>
        <v>ፍትሃዊ ጨዋታን ለማረጋገጥ እና ህጎችን ለማስከበር</v>
      </c>
      <c r="K87" s="8" t="str">
        <f>IFERROR(__xludf.DUMMYFUNCTION(" GOOGLETRANSLATE(E87, ""en"", ""am"")"),"የዳኛው ሚና ፍትሃዊነትን ማረጋገጥ እና ህጎችን ማስከበር ነው።")</f>
        <v>የዳኛው ሚና ፍትሃዊነትን ማረጋገጥ እና ህጎችን ማስከበር ነው።</v>
      </c>
    </row>
    <row r="88" ht="22.5" customHeight="1">
      <c r="A88" s="13">
        <v>87.0</v>
      </c>
      <c r="B88" s="14" t="s">
        <v>1696</v>
      </c>
      <c r="C88" s="14" t="s">
        <v>1697</v>
      </c>
      <c r="D88" s="14" t="s">
        <v>1698</v>
      </c>
      <c r="E88" s="14" t="s">
        <v>1699</v>
      </c>
      <c r="G88" s="8" t="str">
        <f>IFERROR(__xludf.DUMMYFUNCTION(" GOOGLETRANSLATE(A88, ""en"", ""am"")"),"87")</f>
        <v>87</v>
      </c>
      <c r="H88" s="8" t="str">
        <f>IFERROR(__xludf.DUMMYFUNCTION(" GOOGLETRANSLATE(B88, ""en"", ""am"")"),"ታጋይ ከፒን እንዴት ሊላቀቅ ይችላል?")</f>
        <v>ታጋይ ከፒን እንዴት ሊላቀቅ ይችላል?</v>
      </c>
      <c r="I88" s="8" t="str">
        <f>IFERROR(__xludf.DUMMYFUNCTION(" GOOGLETRANSLATE(C88, ""en"", ""am"")"),"ሀ. ተቃዋሚውን በማስወገድ ለ. የፒን ቅንብርን በማለፍ ሐ. የማድረስ መያዣን በመጠቀም መ. በማንኳኳት")</f>
        <v>ሀ. ተቃዋሚውን በማስወገድ ለ. የፒን ቅንብርን በማለፍ ሐ. የማድረስ መያዣን በመጠቀም መ. በማንኳኳት</v>
      </c>
      <c r="J88" s="8" t="str">
        <f>IFERROR(__xludf.DUMMYFUNCTION(" GOOGLETRANSLATE(D88, ""en"", ""am"")"),"የፒን ቅንብርን በማለፍ")</f>
        <v>የፒን ቅንብርን በማለፍ</v>
      </c>
      <c r="K88" s="8" t="str">
        <f>IFERROR(__xludf.DUMMYFUNCTION(" GOOGLETRANSLATE(E88, ""en"", ""am"")"),"ተፋላሚ ነፃ ለመውጣት ከፒን ቦታ ማምለጥ አለበት።")</f>
        <v>ተፋላሚ ነፃ ለመውጣት ከፒን ቦታ ማምለጥ አለበት።</v>
      </c>
    </row>
    <row r="89" ht="22.5" customHeight="1">
      <c r="A89" s="13">
        <v>88.0</v>
      </c>
      <c r="B89" s="14" t="s">
        <v>1700</v>
      </c>
      <c r="C89" s="14" t="s">
        <v>1701</v>
      </c>
      <c r="D89" s="14" t="s">
        <v>1702</v>
      </c>
      <c r="E89" s="14" t="s">
        <v>1703</v>
      </c>
      <c r="G89" s="8" t="str">
        <f>IFERROR(__xludf.DUMMYFUNCTION(" GOOGLETRANSLATE(A89, ""en"", ""am"")"),"88")</f>
        <v>88</v>
      </c>
      <c r="H89" s="8" t="str">
        <f>IFERROR(__xludf.DUMMYFUNCTION(" GOOGLETRANSLATE(B89, ""en"", ""am"")"),"በፒን ምርመራ ወቅት የተጋለጠው ጉልበቱ ምንጣፉን ቢነካው ምን ይከሰታል?")</f>
        <v>በፒን ምርመራ ወቅት የተጋለጠው ጉልበቱ ምንጣፉን ቢነካው ምን ይከሰታል?</v>
      </c>
      <c r="I89" s="8" t="str">
        <f>IFERROR(__xludf.DUMMYFUNCTION(" GOOGLETRANSLATE(C89, ""en"", ""am"")"),"ሀ. ፒኑ ልክ ያልሆነ ነው። ለ. ተጋጣሚው በጨዋታው ተሸንፏል። ሐ. ፒኑ ተቆጥሯል. መ/ ዳኛው ጨዋታውን እንደገና ጀመሩ።")</f>
        <v>ሀ. ፒኑ ልክ ያልሆነ ነው። ለ. ተጋጣሚው በጨዋታው ተሸንፏል። ሐ. ፒኑ ተቆጥሯል. መ/ ዳኛው ጨዋታውን እንደገና ጀመሩ።</v>
      </c>
      <c r="J89" s="8" t="str">
        <f>IFERROR(__xludf.DUMMYFUNCTION(" GOOGLETRANSLATE(D89, ""en"", ""am"")"),"ፒኑ ልክ ያልሆነ ነው።")</f>
        <v>ፒኑ ልክ ያልሆነ ነው።</v>
      </c>
      <c r="K89" s="8" t="str">
        <f>IFERROR(__xludf.DUMMYFUNCTION(" GOOGLETRANSLATE(E89, ""en"", ""am"")"),"የትግሉ ጉልበቱ ምንጣፉን ከነካ፣ የፒን ሙከራው ትክክል አይደለም።")</f>
        <v>የትግሉ ጉልበቱ ምንጣፉን ከነካ፣ የፒን ሙከራው ትክክል አይደለም።</v>
      </c>
    </row>
    <row r="90" ht="22.5" customHeight="1">
      <c r="A90" s="13">
        <v>89.0</v>
      </c>
      <c r="B90" s="14" t="s">
        <v>1704</v>
      </c>
      <c r="C90" s="14" t="s">
        <v>1705</v>
      </c>
      <c r="D90" s="14" t="s">
        <v>1706</v>
      </c>
      <c r="E90" s="14" t="s">
        <v>1707</v>
      </c>
      <c r="G90" s="8" t="str">
        <f>IFERROR(__xludf.DUMMYFUNCTION(" GOOGLETRANSLATE(A90, ""en"", ""am"")"),"89")</f>
        <v>89</v>
      </c>
      <c r="H90" s="8" t="str">
        <f>IFERROR(__xludf.DUMMYFUNCTION(" GOOGLETRANSLATE(B90, ""en"", ""am"")"),"ጨዋታው በአባ ገዳ ሬስሊንግ በአቻ ውጤት ቢጠናቀቅስ?")</f>
        <v>ጨዋታው በአባ ገዳ ሬስሊንግ በአቻ ውጤት ቢጠናቀቅስ?</v>
      </c>
      <c r="I90" s="8" t="str">
        <f>IFERROR(__xludf.DUMMYFUNCTION(" GOOGLETRANSLATE(C90, ""en"", ""am"")"),"ሀ/ ጨዋታው በአቻ ውጤት መጠናቀቁ ተገለጸ። ለ. ድንገተኛ የሞት ዙር ተጫውቷል። ሐ. ዳኛው አሸናፊውን ይወስናል. መ. ግጥሚያው በድጋሚ ተካሂዷል።")</f>
        <v>ሀ/ ጨዋታው በአቻ ውጤት መጠናቀቁ ተገለጸ። ለ. ድንገተኛ የሞት ዙር ተጫውቷል። ሐ. ዳኛው አሸናፊውን ይወስናል. መ. ግጥሚያው በድጋሚ ተካሂዷል።</v>
      </c>
      <c r="J90" s="8" t="str">
        <f>IFERROR(__xludf.DUMMYFUNCTION(" GOOGLETRANSLATE(D90, ""en"", ""am"")"),"ድንገተኛ የሞት ዙር ተጫውቷል።")</f>
        <v>ድንገተኛ የሞት ዙር ተጫውቷል።</v>
      </c>
      <c r="K90" s="8" t="str">
        <f>IFERROR(__xludf.DUMMYFUNCTION(" GOOGLETRANSLATE(E90, ""en"", ""am"")"),"እኩልነት ካለ, ድንገተኛ-ሞት ዙር ይጫወታል.")</f>
        <v>እኩልነት ካለ, ድንገተኛ-ሞት ዙር ይጫወታል.</v>
      </c>
    </row>
    <row r="91" ht="22.5" customHeight="1">
      <c r="A91" s="13">
        <v>90.0</v>
      </c>
      <c r="B91" s="14" t="s">
        <v>1708</v>
      </c>
      <c r="C91" s="14" t="s">
        <v>1709</v>
      </c>
      <c r="D91" s="14" t="s">
        <v>1451</v>
      </c>
      <c r="E91" s="14" t="s">
        <v>1710</v>
      </c>
      <c r="G91" s="8" t="str">
        <f>IFERROR(__xludf.DUMMYFUNCTION(" GOOGLETRANSLATE(A91, ""en"", ""am"")"),"90")</f>
        <v>90</v>
      </c>
      <c r="H91" s="8" t="str">
        <f>IFERROR(__xludf.DUMMYFUNCTION(" GOOGLETRANSLATE(B91, ""en"", ""am"")"),"ታጋዮቹ ትከሻቸውን ተጠቅመው ተቃዋሚውን መግፋት ይችሉ ይሆን?")</f>
        <v>ታጋዮቹ ትከሻቸውን ተጠቅመው ተቃዋሚውን መግፋት ይችሉ ይሆን?</v>
      </c>
      <c r="I91" s="8" t="str">
        <f>IFERROR(__xludf.DUMMYFUNCTION(" GOOGLETRANSLATE(C91, ""en"", ""am"")"),"ሀ. አዎ ለ. አይ ሐ. አዎ፣ ግን ለጥበቃ ብቻ። መ. አዎ፣ ግን በተወሰኑ እንቅስቃሴዎች ብቻ።")</f>
        <v>ሀ. አዎ ለ. አይ ሐ. አዎ፣ ግን ለጥበቃ ብቻ። መ. አዎ፣ ግን በተወሰኑ እንቅስቃሴዎች ብቻ።</v>
      </c>
      <c r="J91" s="8" t="str">
        <f>IFERROR(__xludf.DUMMYFUNCTION(" GOOGLETRANSLATE(D91, ""en"", ""am"")"),"አዎ")</f>
        <v>አዎ</v>
      </c>
      <c r="K91" s="8" t="str">
        <f>IFERROR(__xludf.DUMMYFUNCTION(" GOOGLETRANSLATE(E91, ""en"", ""am"")"),"ተቃዋሚውን ለመግፋት ትከሻዎችን መጠቀም ይፈቀዳል.")</f>
        <v>ተቃዋሚውን ለመግፋት ትከሻዎችን መጠቀም ይፈቀዳል.</v>
      </c>
    </row>
    <row r="92" ht="22.5" customHeight="1">
      <c r="A92" s="13">
        <v>91.0</v>
      </c>
      <c r="B92" s="14" t="s">
        <v>1711</v>
      </c>
      <c r="C92" s="14" t="s">
        <v>1712</v>
      </c>
      <c r="D92" s="14" t="s">
        <v>1713</v>
      </c>
      <c r="E92" s="14" t="s">
        <v>1714</v>
      </c>
      <c r="G92" s="8" t="str">
        <f>IFERROR(__xludf.DUMMYFUNCTION(" GOOGLETRANSLATE(A92, ""en"", ""am"")"),"91")</f>
        <v>91</v>
      </c>
      <c r="H92" s="8" t="str">
        <f>IFERROR(__xludf.DUMMYFUNCTION(" GOOGLETRANSLATE(B92, ""en"", ""am"")"),"ለአባ ገዳ የትግሉ መቋረጥ ዓላማው ምንድን ነው?")</f>
        <v>ለአባ ገዳ የትግሉ መቋረጥ ዓላማው ምንድን ነው?</v>
      </c>
      <c r="I92" s="8" t="str">
        <f>IFERROR(__xludf.DUMMYFUNCTION(" GOOGLETRANSLATE(C92, ""en"", ""am"")"),"ሀ. እረፍት ለመፍቀድ ለ. አሰልጣኙ ጣልቃ እንዲገባ ጊዜ መስጠት ሐ. ዳኛው ጨዋታውን እንዲገመግም መፍቀድ መ. ስትራቴጂዎችን ለመቀየር")</f>
        <v>ሀ. እረፍት ለመፍቀድ ለ. አሰልጣኙ ጣልቃ እንዲገባ ጊዜ መስጠት ሐ. ዳኛው ጨዋታውን እንዲገመግም መፍቀድ መ. ስትራቴጂዎችን ለመቀየር</v>
      </c>
      <c r="J92" s="8" t="str">
        <f>IFERROR(__xludf.DUMMYFUNCTION(" GOOGLETRANSLATE(D92, ""en"", ""am"")"),"እረፍት ለመፍቀድ")</f>
        <v>እረፍት ለመፍቀድ</v>
      </c>
      <c r="K92" s="8" t="str">
        <f>IFERROR(__xludf.DUMMYFUNCTION(" GOOGLETRANSLATE(E92, ""en"", ""am"")"),"ጊዜው የእረፍት እና የስትራቴጂ ለውጥ ነው።")</f>
        <v>ጊዜው የእረፍት እና የስትራቴጂ ለውጥ ነው።</v>
      </c>
    </row>
    <row r="93" ht="22.5" customHeight="1">
      <c r="A93" s="13">
        <v>92.0</v>
      </c>
      <c r="B93" s="14" t="s">
        <v>1715</v>
      </c>
      <c r="C93" s="14" t="s">
        <v>1716</v>
      </c>
      <c r="D93" s="14" t="s">
        <v>1717</v>
      </c>
      <c r="E93" s="14" t="s">
        <v>1718</v>
      </c>
      <c r="G93" s="8" t="str">
        <f>IFERROR(__xludf.DUMMYFUNCTION(" GOOGLETRANSLATE(A93, ""en"", ""am"")"),"92")</f>
        <v>92</v>
      </c>
      <c r="H93" s="8" t="str">
        <f>IFERROR(__xludf.DUMMYFUNCTION(" GOOGLETRANSLATE(B93, ""en"", ""am"")"),"ለአባ ገዳ ሬስሊንግ ውርወራ እንዴት ይመዘገባል?")</f>
        <v>ለአባ ገዳ ሬስሊንግ ውርወራ እንዴት ይመዘገባል?</v>
      </c>
      <c r="I93" s="8" t="str">
        <f>IFERROR(__xludf.DUMMYFUNCTION(" GOOGLETRANSLATE(C93, ""en"", ""am"")"),"ሀ. ተቃዋሚውን ከመሬት ላይ ማንሳት ለ. ተቃዋሚውን ከተወረወረ በኋላ መቆጣጠር ሐ. ተቃዋሚውን በጀርባው ላይ በማረፍ መ. ተቃዋሚውን በመጣል")</f>
        <v>ሀ. ተቃዋሚውን ከመሬት ላይ ማንሳት ለ. ተቃዋሚውን ከተወረወረ በኋላ መቆጣጠር ሐ. ተቃዋሚውን በጀርባው ላይ በማረፍ መ. ተቃዋሚውን በመጣል</v>
      </c>
      <c r="J93" s="8" t="str">
        <f>IFERROR(__xludf.DUMMYFUNCTION(" GOOGLETRANSLATE(D93, ""en"", ""am"")"),"ከተጣለ በኋላ ተቃዋሚውን መቆጣጠር")</f>
        <v>ከተጣለ በኋላ ተቃዋሚውን መቆጣጠር</v>
      </c>
      <c r="K93" s="8" t="str">
        <f>IFERROR(__xludf.DUMMYFUNCTION(" GOOGLETRANSLATE(E93, ""en"", ""am"")"),"በኋላ ላይ ተቀናቃኙን ለመቆጣጠር የመወርወር ነጥቦች ተሰጥተዋል።")</f>
        <v>በኋላ ላይ ተቀናቃኙን ለመቆጣጠር የመወርወር ነጥቦች ተሰጥተዋል።</v>
      </c>
    </row>
    <row r="94" ht="22.5" customHeight="1">
      <c r="A94" s="13">
        <v>93.0</v>
      </c>
      <c r="B94" s="14" t="s">
        <v>1719</v>
      </c>
      <c r="C94" s="14" t="s">
        <v>1720</v>
      </c>
      <c r="D94" s="14" t="s">
        <v>1437</v>
      </c>
      <c r="E94" s="14" t="s">
        <v>1721</v>
      </c>
      <c r="G94" s="8" t="str">
        <f>IFERROR(__xludf.DUMMYFUNCTION(" GOOGLETRANSLATE(A94, ""en"", ""am"")"),"93")</f>
        <v>93</v>
      </c>
      <c r="H94" s="8" t="str">
        <f>IFERROR(__xludf.DUMMYFUNCTION(" GOOGLETRANSLATE(B94, ""en"", ""am"")"),"ተፎካካሪውን በቅድሚያ ወደ ወለሉ መጣል ይፈቀዳል?")</f>
        <v>ተፎካካሪውን በቅድሚያ ወደ ወለሉ መጣል ይፈቀዳል?</v>
      </c>
      <c r="I94" s="8" t="str">
        <f>IFERROR(__xludf.DUMMYFUNCTION(" GOOGLETRANSLATE(C94, ""en"", ""am"")"),"A. አይ ለ. አዎ ሐ. አዎ፣ የቴክኒኩ አካል ከሆነ D. አዎ፣ ግን ለጥበቃ ብቻ።")</f>
        <v>A. አይ ለ. አዎ ሐ. አዎ፣ የቴክኒኩ አካል ከሆነ D. አዎ፣ ግን ለጥበቃ ብቻ።</v>
      </c>
      <c r="J94" s="8" t="str">
        <f>IFERROR(__xludf.DUMMYFUNCTION(" GOOGLETRANSLATE(D94, ""en"", ""am"")"),"አይ")</f>
        <v>አይ</v>
      </c>
      <c r="K94" s="8" t="str">
        <f>IFERROR(__xludf.DUMMYFUNCTION(" GOOGLETRANSLATE(E94, ""en"", ""am"")"),"ተቃዋሚን ጭንቅላት መምታት አይፈቀድም።")</f>
        <v>ተቃዋሚን ጭንቅላት መምታት አይፈቀድም።</v>
      </c>
    </row>
    <row r="95" ht="22.5" customHeight="1">
      <c r="A95" s="13">
        <v>94.0</v>
      </c>
      <c r="B95" s="14" t="s">
        <v>1722</v>
      </c>
      <c r="C95" s="14" t="s">
        <v>1723</v>
      </c>
      <c r="D95" s="14" t="s">
        <v>1451</v>
      </c>
      <c r="E95" s="14" t="s">
        <v>1724</v>
      </c>
      <c r="G95" s="8" t="str">
        <f>IFERROR(__xludf.DUMMYFUNCTION(" GOOGLETRANSLATE(A95, ""en"", ""am"")"),"94")</f>
        <v>94</v>
      </c>
      <c r="H95" s="8" t="str">
        <f>IFERROR(__xludf.DUMMYFUNCTION(" GOOGLETRANSLATE(B95, ""en"", ""am"")"),"ታጋይ እግራቸውን ተጠቅመው ተቃዋሚን ሊያደናቅፉ ይችላሉ?")</f>
        <v>ታጋይ እግራቸውን ተጠቅመው ተቃዋሚን ሊያደናቅፉ ይችላሉ?</v>
      </c>
      <c r="I95" s="8" t="str">
        <f>IFERROR(__xludf.DUMMYFUNCTION(" GOOGLETRANSLATE(C95, ""en"", ""am"")"),"ሀ. አዎ ለ. አይ ሐ. አዎ፣ ግን ራስን በመከላከል ላይ ብቻ። መ. አዎ፣ ተቃዋሚው ሚዛናዊ ካልሆነ።")</f>
        <v>ሀ. አዎ ለ. አይ ሐ. አዎ፣ ግን ራስን በመከላከል ላይ ብቻ። መ. አዎ፣ ተቃዋሚው ሚዛናዊ ካልሆነ።</v>
      </c>
      <c r="J95" s="8" t="str">
        <f>IFERROR(__xludf.DUMMYFUNCTION(" GOOGLETRANSLATE(D95, ""en"", ""am"")"),"አዎ")</f>
        <v>አዎ</v>
      </c>
      <c r="K95" s="8" t="str">
        <f>IFERROR(__xludf.DUMMYFUNCTION(" GOOGLETRANSLATE(E95, ""en"", ""am"")"),"ተቃዋሚን በእግሮቹ እንዲያደናቅፍ ተፈቅዶለታል።")</f>
        <v>ተቃዋሚን በእግሮቹ እንዲያደናቅፍ ተፈቅዶለታል።</v>
      </c>
    </row>
    <row r="96" ht="22.5" customHeight="1">
      <c r="A96" s="13">
        <v>95.0</v>
      </c>
      <c r="B96" s="14" t="s">
        <v>1725</v>
      </c>
      <c r="C96" s="14" t="s">
        <v>1440</v>
      </c>
      <c r="D96" s="14" t="s">
        <v>1540</v>
      </c>
      <c r="E96" s="14" t="s">
        <v>1592</v>
      </c>
      <c r="G96" s="8" t="str">
        <f>IFERROR(__xludf.DUMMYFUNCTION(" GOOGLETRANSLATE(A96, ""en"", ""am"")"),"95")</f>
        <v>95</v>
      </c>
      <c r="H96" s="8" t="str">
        <f>IFERROR(__xludf.DUMMYFUNCTION(" GOOGLETRANSLATE(B96, ""en"", ""am"")"),"በአባ ገዳ ትግል ውስጥ ታጋይ ከመጠን ያለፈ ሃይል ቢጠቀም ምን ይሆናል?")</f>
        <v>በአባ ገዳ ትግል ውስጥ ታጋይ ከመጠን ያለፈ ሃይል ቢጠቀም ምን ይሆናል?</v>
      </c>
      <c r="I96" s="8" t="str">
        <f>IFERROR(__xludf.DUMMYFUNCTION(" GOOGLETRANSLATE(C96, ""en"", ""am"")"),"ሀ. ማስጠንቀቂያ ለ. ነጥብ መቀነስ ሐ. ብቁ አለመሆን መ. ግጥሚያው እንደገና ተጀምሯል።")</f>
        <v>ሀ. ማስጠንቀቂያ ለ. ነጥብ መቀነስ ሐ. ብቁ አለመሆን መ. ግጥሚያው እንደገና ተጀምሯል።</v>
      </c>
      <c r="J96" s="8" t="str">
        <f>IFERROR(__xludf.DUMMYFUNCTION(" GOOGLETRANSLATE(D96, ""en"", ""am"")"),"የነጥብ ቅነሳ")</f>
        <v>የነጥብ ቅነሳ</v>
      </c>
      <c r="K96" s="8" t="str">
        <f>IFERROR(__xludf.DUMMYFUNCTION(" GOOGLETRANSLATE(E96, ""en"", ""am"")"),"ከመጠን በላይ ኃይል የነጥብ ቅነሳን ያስከትላል.")</f>
        <v>ከመጠን በላይ ኃይል የነጥብ ቅነሳን ያስከትላል.</v>
      </c>
    </row>
    <row r="97" ht="22.5" customHeight="1">
      <c r="A97" s="13">
        <v>96.0</v>
      </c>
      <c r="B97" s="14" t="s">
        <v>1607</v>
      </c>
      <c r="C97" s="14" t="s">
        <v>1726</v>
      </c>
      <c r="D97" s="14" t="s">
        <v>1727</v>
      </c>
      <c r="E97" s="14" t="s">
        <v>1728</v>
      </c>
      <c r="G97" s="8" t="str">
        <f>IFERROR(__xludf.DUMMYFUNCTION(" GOOGLETRANSLATE(A97, ""en"", ""am"")"),"96")</f>
        <v>96</v>
      </c>
      <c r="H97" s="8" t="str">
        <f>IFERROR(__xludf.DUMMYFUNCTION(" GOOGLETRANSLATE(B97, ""en"", ""am"")"),"በአባ ገዳ ትግል ውስጥ የዘበኛው ሚና ምን ይመስላል?")</f>
        <v>በአባ ገዳ ትግል ውስጥ የዘበኛው ሚና ምን ይመስላል?</v>
      </c>
      <c r="I97" s="8" t="str">
        <f>IFERROR(__xludf.DUMMYFUNCTION(" GOOGLETRANSLATE(C97, ""en"", ""am"")"),"ሀ. የጨዋታውን ሰአት ለመከታተል B. ግጥሚያውን ለማስቆጠር C. የደህንነት እርምጃዎች መከበራቸውን ለማረጋገጥ መ. ጨዋታውን ለመዳኘት")</f>
        <v>ሀ. የጨዋታውን ሰአት ለመከታተል B. ግጥሚያውን ለማስቆጠር C. የደህንነት እርምጃዎች መከበራቸውን ለማረጋገጥ መ. ጨዋታውን ለመዳኘት</v>
      </c>
      <c r="J97" s="8" t="str">
        <f>IFERROR(__xludf.DUMMYFUNCTION(" GOOGLETRANSLATE(D97, ""en"", ""am"")"),"የጨዋታውን ጊዜ ለመከታተል")</f>
        <v>የጨዋታውን ጊዜ ለመከታተል</v>
      </c>
      <c r="K97" s="8" t="str">
        <f>IFERROR(__xludf.DUMMYFUNCTION(" GOOGLETRANSLATE(E97, ""en"", ""am"")"),"የጊዜ ጠባቂው የግጥሚያ ጊዜን የመከታተል ሃላፊነት አለበት።")</f>
        <v>የጊዜ ጠባቂው የግጥሚያ ጊዜን የመከታተል ሃላፊነት አለበት።</v>
      </c>
    </row>
    <row r="98" ht="22.5" customHeight="1">
      <c r="A98" s="13">
        <v>97.0</v>
      </c>
      <c r="B98" s="14" t="s">
        <v>1729</v>
      </c>
      <c r="C98" s="14" t="s">
        <v>1730</v>
      </c>
      <c r="D98" s="14" t="s">
        <v>1437</v>
      </c>
      <c r="E98" s="14" t="s">
        <v>1731</v>
      </c>
      <c r="G98" s="8" t="str">
        <f>IFERROR(__xludf.DUMMYFUNCTION(" GOOGLETRANSLATE(A98, ""en"", ""am"")"),"97")</f>
        <v>97</v>
      </c>
      <c r="H98" s="8" t="str">
        <f>IFERROR(__xludf.DUMMYFUNCTION(" GOOGLETRANSLATE(B98, ""en"", ""am"")"),"አንድ ታጋይ በትግል ግጥሚያ ላይ ህገወጥ መሳሪያዎችን መጠቀም ይችላል?")</f>
        <v>አንድ ታጋይ በትግል ግጥሚያ ላይ ህገወጥ መሳሪያዎችን መጠቀም ይችላል?</v>
      </c>
      <c r="I98" s="8" t="str">
        <f>IFERROR(__xludf.DUMMYFUNCTION(" GOOGLETRANSLATE(C98, ""en"", ""am"")"),"A. አይ ለ. አዎ ሐ. አዎ፣ ዳኛው ከፈቀደ። መ. አዎ፣ ግን በተወሰኑ እንቅስቃሴዎች ብቻ።")</f>
        <v>A. አይ ለ. አዎ ሐ. አዎ፣ ዳኛው ከፈቀደ። መ. አዎ፣ ግን በተወሰኑ እንቅስቃሴዎች ብቻ።</v>
      </c>
      <c r="J98" s="8" t="str">
        <f>IFERROR(__xludf.DUMMYFUNCTION(" GOOGLETRANSLATE(D98, ""en"", ""am"")"),"አይ")</f>
        <v>አይ</v>
      </c>
      <c r="K98" s="8" t="str">
        <f>IFERROR(__xludf.DUMMYFUNCTION(" GOOGLETRANSLATE(E98, ""en"", ""am"")"),"ህገወጥ ኮንቴይነሮችን መጠቀም የተከለከለ ነው።")</f>
        <v>ህገወጥ ኮንቴይነሮችን መጠቀም የተከለከለ ነው።</v>
      </c>
    </row>
    <row r="99" ht="22.5" customHeight="1">
      <c r="A99" s="13">
        <v>98.0</v>
      </c>
      <c r="B99" s="14" t="s">
        <v>1732</v>
      </c>
      <c r="C99" s="14" t="s">
        <v>1733</v>
      </c>
      <c r="D99" s="14" t="s">
        <v>1734</v>
      </c>
      <c r="E99" s="14" t="s">
        <v>1735</v>
      </c>
      <c r="G99" s="8" t="str">
        <f>IFERROR(__xludf.DUMMYFUNCTION(" GOOGLETRANSLATE(A99, ""en"", ""am"")"),"98")</f>
        <v>98</v>
      </c>
      <c r="H99" s="8" t="str">
        <f>IFERROR(__xludf.DUMMYFUNCTION(" GOOGLETRANSLATE(B99, ""en"", ""am"")"),"አንድ ታጋይ ማውረዱን ለማስቆጠር ምን ማድረግ አለበት?")</f>
        <v>አንድ ታጋይ ማውረዱን ለማስቆጠር ምን ማድረግ አለበት?</v>
      </c>
      <c r="I99" s="8" t="str">
        <f>IFERROR(__xludf.DUMMYFUNCTION(" GOOGLETRANSLATE(C99, ""en"", ""am"")"),"ሀ. ተቃዋሚውን ወደ መሬት ይውሰዱት። ለ. ተቃዋሚውን ለ 5 ሰከንድ ያህል ይያዙ. ሐ. ተቃዋሚውን እንዲገዛ አስገድደው። መ. ተቃዋሚውን አውጣ.")</f>
        <v>ሀ. ተቃዋሚውን ወደ መሬት ይውሰዱት። ለ. ተቃዋሚውን ለ 5 ሰከንድ ያህል ይያዙ. ሐ. ተቃዋሚውን እንዲገዛ አስገድደው። መ. ተቃዋሚውን አውጣ.</v>
      </c>
      <c r="J99" s="8" t="str">
        <f>IFERROR(__xludf.DUMMYFUNCTION(" GOOGLETRANSLATE(D99, ""en"", ""am"")"),"ተቃዋሚውን ወደ መሬት ይውሰዱት.")</f>
        <v>ተቃዋሚውን ወደ መሬት ይውሰዱት.</v>
      </c>
      <c r="K99" s="8" t="str">
        <f>IFERROR(__xludf.DUMMYFUNCTION(" GOOGLETRANSLATE(E99, ""en"", ""am"")"),"ማውረዱን ለማስቆጠር ተጋጣሚው ተጋጣሚውን መሬት ላይ መውሰድ አለበት።")</f>
        <v>ማውረዱን ለማስቆጠር ተጋጣሚው ተጋጣሚውን መሬት ላይ መውሰድ አለበት።</v>
      </c>
    </row>
    <row r="100" ht="22.5" customHeight="1">
      <c r="A100" s="13">
        <v>99.0</v>
      </c>
      <c r="B100" s="14" t="s">
        <v>1736</v>
      </c>
      <c r="C100" s="14" t="s">
        <v>1737</v>
      </c>
      <c r="D100" s="14" t="s">
        <v>1418</v>
      </c>
      <c r="E100" s="14" t="s">
        <v>1738</v>
      </c>
      <c r="G100" s="8" t="str">
        <f>IFERROR(__xludf.DUMMYFUNCTION(" GOOGLETRANSLATE(A100, ""en"", ""am"")"),"99")</f>
        <v>99</v>
      </c>
      <c r="H100" s="8" t="str">
        <f>IFERROR(__xludf.DUMMYFUNCTION(" GOOGLETRANSLATE(B100, ""en"", ""am"")"),"በግጥሚያ ወቅት የተጫዋቹ እግር የድንበሩን መስመር ሲነካ ምን ይከሰታል?")</f>
        <v>በግጥሚያ ወቅት የተጫዋቹ እግር የድንበሩን መስመር ሲነካ ምን ይከሰታል?</v>
      </c>
      <c r="I100" s="8" t="str">
        <f>IFERROR(__xludf.DUMMYFUNCTION(" GOOGLETRANSLATE(C100, ""en"", ""am"")"),"ሀ. ተዋጊው ተቀጥቷል። ለ. ተዋጊው ብቃት የለውም። ሐ. ግጥሚያው እንደገና ተጀምሯል። መ. ተቃዋሚው ነጥብ አስመዝግቧል።")</f>
        <v>ሀ. ተዋጊው ተቀጥቷል። ለ. ተዋጊው ብቃት የለውም። ሐ. ግጥሚያው እንደገና ተጀምሯል። መ. ተቃዋሚው ነጥብ አስመዝግቧል።</v>
      </c>
      <c r="J100" s="8" t="str">
        <f>IFERROR(__xludf.DUMMYFUNCTION(" GOOGLETRANSLATE(D100, ""en"", ""am"")"),"ጨዋታው እንደገና ተጀምሯል።")</f>
        <v>ጨዋታው እንደገና ተጀምሯል።</v>
      </c>
      <c r="K100" s="8" t="str">
        <f>IFERROR(__xludf.DUMMYFUNCTION(" GOOGLETRANSLATE(E100, ""en"", ""am"")"),"የአንድ ተዋጊ እግር የድንበሩን መስመር ከነካው ግጥሚያው እንደገና ይጀምራል።")</f>
        <v>የአንድ ተዋጊ እግር የድንበሩን መስመር ከነካው ግጥሚያው እንደገና ይጀምራል።</v>
      </c>
    </row>
    <row r="101" ht="22.5" customHeight="1">
      <c r="A101" s="13">
        <v>100.0</v>
      </c>
      <c r="B101" s="14" t="s">
        <v>1739</v>
      </c>
      <c r="C101" s="14" t="s">
        <v>1740</v>
      </c>
      <c r="D101" s="14" t="s">
        <v>1437</v>
      </c>
      <c r="E101" s="14" t="s">
        <v>1741</v>
      </c>
      <c r="G101" s="8" t="str">
        <f>IFERROR(__xludf.DUMMYFUNCTION(" GOOGLETRANSLATE(A101, ""en"", ""am"")"),"100")</f>
        <v>100</v>
      </c>
      <c r="H101" s="8" t="str">
        <f>IFERROR(__xludf.DUMMYFUNCTION(" GOOGLETRANSLATE(B101, ""en"", ""am"")"),"በባዶ ክንድ ውጊያ ውስጥ ታጋይ ራሱን እንደ መሣሪያ ሊጠቀም ይችላል?")</f>
        <v>በባዶ ክንድ ውጊያ ውስጥ ታጋይ ራሱን እንደ መሣሪያ ሊጠቀም ይችላል?</v>
      </c>
      <c r="I101" s="8" t="str">
        <f>IFERROR(__xludf.DUMMYFUNCTION(" GOOGLETRANSLATE(C101, ""en"", ""am"")"),"A. አይ ለ. አዎ፣ ግን ለመከላከል ብቻ። C. አዎ፣ የቴክኒኩ አካል ከሆነ D. አዎ፣ ተቃዋሚው ከፈቀደ።")</f>
        <v>A. አይ ለ. አዎ፣ ግን ለመከላከል ብቻ። C. አዎ፣ የቴክኒኩ አካል ከሆነ D. አዎ፣ ተቃዋሚው ከፈቀደ።</v>
      </c>
      <c r="J101" s="8" t="str">
        <f>IFERROR(__xludf.DUMMYFUNCTION(" GOOGLETRANSLATE(D101, ""en"", ""am"")"),"አይ")</f>
        <v>አይ</v>
      </c>
      <c r="K101" s="8" t="str">
        <f>IFERROR(__xludf.DUMMYFUNCTION(" GOOGLETRANSLATE(E101, ""en"", ""am"")"),"ጭንቅላትን እንደ መሳሪያ መጠቀም ህገወጥ ነው.")</f>
        <v>ጭንቅላትን እንደ መሳሪያ መጠቀም ህገወጥ ነው.</v>
      </c>
    </row>
    <row r="102" ht="22.5" customHeight="1">
      <c r="A102" s="13">
        <v>101.0</v>
      </c>
      <c r="B102" s="14" t="s">
        <v>1742</v>
      </c>
      <c r="C102" s="14" t="s">
        <v>1743</v>
      </c>
      <c r="D102" s="14" t="s">
        <v>1160</v>
      </c>
      <c r="E102" s="14" t="s">
        <v>1744</v>
      </c>
      <c r="G102" s="8" t="str">
        <f>IFERROR(__xludf.DUMMYFUNCTION(" GOOGLETRANSLATE(A102, ""en"", ""am"")"),"101")</f>
        <v>101</v>
      </c>
      <c r="H102" s="8" t="str">
        <f>IFERROR(__xludf.DUMMYFUNCTION(" GOOGLETRANSLATE(B102, ""en"", ""am"")"),"በአባ ገዳ ትግል ዝቅተኛው የዙሮች ብዛት ስንት ነው?")</f>
        <v>በአባ ገዳ ትግል ዝቅተኛው የዙሮች ብዛት ስንት ነው?</v>
      </c>
      <c r="I102" s="8" t="str">
        <f>IFERROR(__xludf.DUMMYFUNCTION(" GOOGLETRANSLATE(C102, ""en"", ""am"")"),"አ. 1 ለ 2 ሐ. 3 ዲ. 4")</f>
        <v>አ. 1 ለ 2 ሐ. 3 ዲ. 4</v>
      </c>
      <c r="J102" s="8" t="str">
        <f>IFERROR(__xludf.DUMMYFUNCTION(" GOOGLETRANSLATE(D102, ""en"", ""am"")"),"2")</f>
        <v>2</v>
      </c>
      <c r="K102" s="8" t="str">
        <f>IFERROR(__xludf.DUMMYFUNCTION(" GOOGLETRANSLATE(E102, ""en"", ""am"")"),"አንድ ግጥሚያ በተለምዶ ቢያንስ 2 ዙሮች ያካትታል።")</f>
        <v>አንድ ግጥሚያ በተለምዶ ቢያንስ 2 ዙሮች ያካትታል።</v>
      </c>
    </row>
    <row r="103" ht="22.5" customHeight="1">
      <c r="A103" s="13">
        <v>102.0</v>
      </c>
      <c r="B103" s="14" t="s">
        <v>1745</v>
      </c>
      <c r="C103" s="14" t="s">
        <v>1746</v>
      </c>
      <c r="D103" s="14" t="s">
        <v>1451</v>
      </c>
      <c r="E103" s="14" t="s">
        <v>1747</v>
      </c>
      <c r="G103" s="8" t="str">
        <f>IFERROR(__xludf.DUMMYFUNCTION(" GOOGLETRANSLATE(A103, ""en"", ""am"")"),"102")</f>
        <v>102</v>
      </c>
      <c r="H103" s="8" t="str">
        <f>IFERROR(__xludf.DUMMYFUNCTION(" GOOGLETRANSLATE(B103, ""en"", ""am"")"),"ተዋጊ በተቃዋሚው አካል ላይ የጉልበት ድብደባ ሊጠቀም ይችላል?")</f>
        <v>ተዋጊ በተቃዋሚው አካል ላይ የጉልበት ድብደባ ሊጠቀም ይችላል?</v>
      </c>
      <c r="I103" s="8" t="str">
        <f>IFERROR(__xludf.DUMMYFUNCTION(" GOOGLETRANSLATE(C103, ""en"", ""am"")"),"ሀ. አዎ ለ. አይ ሐ. አዎ፣ ግን በተወሰኑ ቦታዎች ብቻ D. አዎ፣ በዳኛው ከተፈቀደ።")</f>
        <v>ሀ. አዎ ለ. አይ ሐ. አዎ፣ ግን በተወሰኑ ቦታዎች ብቻ D. አዎ፣ በዳኛው ከተፈቀደ።</v>
      </c>
      <c r="J103" s="8" t="str">
        <f>IFERROR(__xludf.DUMMYFUNCTION(" GOOGLETRANSLATE(D103, ""en"", ""am"")"),"አዎ")</f>
        <v>አዎ</v>
      </c>
      <c r="K103" s="8" t="str">
        <f>IFERROR(__xludf.DUMMYFUNCTION(" GOOGLETRANSLATE(E103, ""en"", ""am"")"),"በተወሰኑ ቦታዎች ላይ በሰውነት ላይ ድብደባ ይፈቀዳል.")</f>
        <v>በተወሰኑ ቦታዎች ላይ በሰውነት ላይ ድብደባ ይፈቀዳል.</v>
      </c>
    </row>
    <row r="104" ht="22.5" customHeight="1">
      <c r="A104" s="13">
        <v>103.0</v>
      </c>
      <c r="B104" s="14" t="s">
        <v>1748</v>
      </c>
      <c r="C104" s="14" t="s">
        <v>1749</v>
      </c>
      <c r="D104" s="14" t="s">
        <v>1750</v>
      </c>
      <c r="E104" s="14" t="s">
        <v>1751</v>
      </c>
      <c r="G104" s="8" t="str">
        <f>IFERROR(__xludf.DUMMYFUNCTION(" GOOGLETRANSLATE(A104, ""en"", ""am"")"),"103")</f>
        <v>103</v>
      </c>
      <c r="H104" s="8" t="str">
        <f>IFERROR(__xludf.DUMMYFUNCTION(" GOOGLETRANSLATE(B104, ""en"", ""am"")"),"አንድ ታጋይ ከፒን ለማምለጥ ምን ማድረግ አለበት?")</f>
        <v>አንድ ታጋይ ከፒን ለማምለጥ ምን ማድረግ አለበት?</v>
      </c>
      <c r="I104" s="8" t="str">
        <f>IFERROR(__xludf.DUMMYFUNCTION(" GOOGLETRANSLATE(C104, ""en"", ""am"")"),"ሀ. ተቃዋሚውን ያሽከርክሩ። ለ. ተቃዋሚውን አንሳ. ሐ. መያዣውን ይሰብሩ. መ. መታ ያድርጉ")</f>
        <v>ሀ. ተቃዋሚውን ያሽከርክሩ። ለ. ተቃዋሚውን አንሳ. ሐ. መያዣውን ይሰብሩ. መ. መታ ያድርጉ</v>
      </c>
      <c r="J104" s="8" t="str">
        <f>IFERROR(__xludf.DUMMYFUNCTION(" GOOGLETRANSLATE(D104, ""en"", ""am"")"),"መያዣውን ይሰብሩ.")</f>
        <v>መያዣውን ይሰብሩ.</v>
      </c>
      <c r="K104" s="8" t="str">
        <f>IFERROR(__xludf.DUMMYFUNCTION(" GOOGLETRANSLATE(E104, ""en"", ""am"")"),"ፒን ማምለጥ መያዣውን መስበር ይጠይቃል።")</f>
        <v>ፒን ማምለጥ መያዣውን መስበር ይጠይቃል።</v>
      </c>
    </row>
    <row r="105" ht="22.5" customHeight="1">
      <c r="A105" s="13">
        <v>104.0</v>
      </c>
      <c r="B105" s="14" t="s">
        <v>1752</v>
      </c>
      <c r="C105" s="14" t="s">
        <v>1753</v>
      </c>
      <c r="D105" s="14" t="s">
        <v>1540</v>
      </c>
      <c r="E105" s="14" t="s">
        <v>1754</v>
      </c>
      <c r="G105" s="8" t="str">
        <f>IFERROR(__xludf.DUMMYFUNCTION(" GOOGLETRANSLATE(A105, ""en"", ""am"")"),"104")</f>
        <v>104</v>
      </c>
      <c r="H105" s="8" t="str">
        <f>IFERROR(__xludf.DUMMYFUNCTION(" GOOGLETRANSLATE(B105, ""en"", ""am"")"),"ሆን ተብሎ ግጭትን ለማስወገድ ቅጣቱ ምንድን ነው?")</f>
        <v>ሆን ተብሎ ግጭትን ለማስወገድ ቅጣቱ ምንድን ነው?</v>
      </c>
      <c r="I105" s="8" t="str">
        <f>IFERROR(__xludf.DUMMYFUNCTION(" GOOGLETRANSLATE(C105, ""en"", ""am"")"),"ሀ. ነጥብ ቅነሳ ለ. ብቁ አለመሆን ሐ. ማስጠንቀቂያ መ. ጊዜው አልፏል")</f>
        <v>ሀ. ነጥብ ቅነሳ ለ. ብቁ አለመሆን ሐ. ማስጠንቀቂያ መ. ጊዜው አልፏል</v>
      </c>
      <c r="J105" s="8" t="str">
        <f>IFERROR(__xludf.DUMMYFUNCTION(" GOOGLETRANSLATE(D105, ""en"", ""am"")"),"የነጥብ ቅነሳ")</f>
        <v>የነጥብ ቅነሳ</v>
      </c>
      <c r="K105" s="8" t="str">
        <f>IFERROR(__xludf.DUMMYFUNCTION(" GOOGLETRANSLATE(E105, ""en"", ""am"")"),"ሆን ተብሎ ግጭትን ማስወገድ የነጥብ ቅነሳን ያስከትላል።")</f>
        <v>ሆን ተብሎ ግጭትን ማስወገድ የነጥብ ቅነሳን ያስከትላል።</v>
      </c>
    </row>
    <row r="106" ht="22.5" customHeight="1">
      <c r="A106" s="13">
        <v>105.0</v>
      </c>
      <c r="B106" s="14" t="s">
        <v>1755</v>
      </c>
      <c r="C106" s="14" t="s">
        <v>1756</v>
      </c>
      <c r="D106" s="14" t="s">
        <v>1437</v>
      </c>
      <c r="E106" s="14" t="s">
        <v>1757</v>
      </c>
      <c r="G106" s="8" t="str">
        <f>IFERROR(__xludf.DUMMYFUNCTION(" GOOGLETRANSLATE(A106, ""en"", ""am"")"),"105")</f>
        <v>105</v>
      </c>
      <c r="H106" s="8" t="str">
        <f>IFERROR(__xludf.DUMMYFUNCTION(" GOOGLETRANSLATE(B106, ""en"", ""am"")"),"ተፎካካሪው ጀርባው ላይ በሚሆንበት ጊዜ ተፎካካሪ ለመወርወር መሞከር ይችላል?")</f>
        <v>ተፎካካሪው ጀርባው ላይ በሚሆንበት ጊዜ ተፎካካሪ ለመወርወር መሞከር ይችላል?</v>
      </c>
      <c r="I106" s="8" t="str">
        <f>IFERROR(__xludf.DUMMYFUNCTION(" GOOGLETRANSLATE(C106, ""en"", ""am"")"),"ሀ. አዎ ለ. አይ ሐ. አዎ፣ ግን ለጥበቃ ብቻ። መ. አዎ፣ ግን ቆጣሪ ከሆነ ብቻ።")</f>
        <v>ሀ. አዎ ለ. አይ ሐ. አዎ፣ ግን ለጥበቃ ብቻ። መ. አዎ፣ ግን ቆጣሪ ከሆነ ብቻ።</v>
      </c>
      <c r="J106" s="8" t="str">
        <f>IFERROR(__xludf.DUMMYFUNCTION(" GOOGLETRANSLATE(D106, ""en"", ""am"")"),"አይ")</f>
        <v>አይ</v>
      </c>
      <c r="K106" s="8" t="str">
        <f>IFERROR(__xludf.DUMMYFUNCTION(" GOOGLETRANSLATE(E106, ""en"", ""am"")"),"ተቃዋሚው ቀድሞውኑ በጀርባው ላይ በሚሆንበት ጊዜ ለመወርወር መሞከር አይቻልም.")</f>
        <v>ተቃዋሚው ቀድሞውኑ በጀርባው ላይ በሚሆንበት ጊዜ ለመወርወር መሞከር አይቻልም.</v>
      </c>
    </row>
    <row r="107" ht="22.5" customHeight="1">
      <c r="A107" s="13">
        <v>106.0</v>
      </c>
      <c r="B107" s="14" t="s">
        <v>1758</v>
      </c>
      <c r="C107" s="14" t="s">
        <v>1743</v>
      </c>
      <c r="D107" s="14" t="s">
        <v>1160</v>
      </c>
      <c r="E107" s="14" t="s">
        <v>1759</v>
      </c>
      <c r="G107" s="8" t="str">
        <f>IFERROR(__xludf.DUMMYFUNCTION(" GOOGLETRANSLATE(A107, ""en"", ""am"")"),"106")</f>
        <v>106</v>
      </c>
      <c r="H107" s="8" t="str">
        <f>IFERROR(__xludf.DUMMYFUNCTION(" GOOGLETRANSLATE(B107, ""en"", ""am"")"),"ለአንድ ቡድን ክስተት በቡድን ውስጥ ከፍተኛው የተሳታፊዎች ብዛት ስንት ነው?")</f>
        <v>ለአንድ ቡድን ክስተት በቡድን ውስጥ ከፍተኛው የተሳታፊዎች ብዛት ስንት ነው?</v>
      </c>
      <c r="I107" s="8" t="str">
        <f>IFERROR(__xludf.DUMMYFUNCTION(" GOOGLETRANSLATE(C107, ""en"", ""am"")"),"አ. 1 ለ 2 ሐ. 3 ዲ. 4")</f>
        <v>አ. 1 ለ 2 ሐ. 3 ዲ. 4</v>
      </c>
      <c r="J107" s="8" t="str">
        <f>IFERROR(__xludf.DUMMYFUNCTION(" GOOGLETRANSLATE(D107, ""en"", ""am"")"),"2")</f>
        <v>2</v>
      </c>
      <c r="K107" s="8" t="str">
        <f>IFERROR(__xludf.DUMMYFUNCTION(" GOOGLETRANSLATE(E107, ""en"", ""am"")"),"በቡድን ሁነቶች ብዙ ጊዜ በቡድን ሁለት ተፋላሚዎች አሉ።")</f>
        <v>በቡድን ሁነቶች ብዙ ጊዜ በቡድን ሁለት ተፋላሚዎች አሉ።</v>
      </c>
    </row>
    <row r="108" ht="22.5" customHeight="1">
      <c r="A108" s="13">
        <v>107.0</v>
      </c>
      <c r="B108" s="14" t="s">
        <v>1760</v>
      </c>
      <c r="C108" s="14" t="s">
        <v>1761</v>
      </c>
      <c r="D108" s="14" t="s">
        <v>1451</v>
      </c>
      <c r="E108" s="14" t="s">
        <v>1762</v>
      </c>
      <c r="G108" s="8" t="str">
        <f>IFERROR(__xludf.DUMMYFUNCTION(" GOOGLETRANSLATE(A108, ""en"", ""am"")"),"107")</f>
        <v>107</v>
      </c>
      <c r="H108" s="8" t="str">
        <f>IFERROR(__xludf.DUMMYFUNCTION(" GOOGLETRANSLATE(B108, ""en"", ""am"")"),"ተጋዳላይ በአባ ገዳ ሬስሊንግ ሱፕሌክስ እንቅስቃሴ ማድረግ ይችላል?")</f>
        <v>ተጋዳላይ በአባ ገዳ ሬስሊንግ ሱፕሌክስ እንቅስቃሴ ማድረግ ይችላል?</v>
      </c>
      <c r="I108" s="8" t="str">
        <f>IFERROR(__xludf.DUMMYFUNCTION(" GOOGLETRANSLATE(C108, ""en"", ""am"")"),"A. አዎ ለ. አይ ሐ. አዎ፣ ግን ለፒን ብቻ። መ. አዎ፣ ግን ለማድረስ ብቻ።")</f>
        <v>A. አዎ ለ. አይ ሐ. አዎ፣ ግን ለፒን ብቻ። መ. አዎ፣ ግን ለማድረስ ብቻ።</v>
      </c>
      <c r="J108" s="8" t="str">
        <f>IFERROR(__xludf.DUMMYFUNCTION(" GOOGLETRANSLATE(D108, ""en"", ""am"")"),"አዎ")</f>
        <v>አዎ</v>
      </c>
      <c r="K108" s="8" t="str">
        <f>IFERROR(__xludf.DUMMYFUNCTION(" GOOGLETRANSLATE(E108, ""en"", ""am"")"),"ደንቦቹ እስከተከተሉ ድረስ ሱፕሌክስ ይፈቀዳል.")</f>
        <v>ደንቦቹ እስከተከተሉ ድረስ ሱፕሌክስ ይፈቀዳል.</v>
      </c>
    </row>
    <row r="109" ht="22.5" customHeight="1">
      <c r="A109" s="13">
        <v>108.0</v>
      </c>
      <c r="B109" s="14" t="s">
        <v>1763</v>
      </c>
      <c r="C109" s="14" t="s">
        <v>1764</v>
      </c>
      <c r="D109" s="14" t="s">
        <v>1418</v>
      </c>
      <c r="E109" s="14" t="s">
        <v>1765</v>
      </c>
      <c r="G109" s="8" t="str">
        <f>IFERROR(__xludf.DUMMYFUNCTION(" GOOGLETRANSLATE(A109, ""en"", ""am"")"),"108")</f>
        <v>108</v>
      </c>
      <c r="H109" s="8" t="str">
        <f>IFERROR(__xludf.DUMMYFUNCTION(" GOOGLETRANSLATE(B109, ""en"", ""am"")"),"ሁለቱም ተዋጊዎች በአንድ ጊዜ ከቀለበት ቢወድቁ ምን ይከሰታል?")</f>
        <v>ሁለቱም ተዋጊዎች በአንድ ጊዜ ከቀለበት ቢወድቁ ምን ይከሰታል?</v>
      </c>
      <c r="I109" s="8" t="str">
        <f>IFERROR(__xludf.DUMMYFUNCTION(" GOOGLETRANSLATE(C109, ""en"", ""am"")"),"ሀ. ግጥሚያው እንደገና ተጀምሯል። ለ. ጨዋታው አልቋል። ሐ. ሁለቱም ተዋጊዎች ብቁ አይደሉም። መ. ተቃዋሚው በነባሪ ያሸንፋል።")</f>
        <v>ሀ. ግጥሚያው እንደገና ተጀምሯል። ለ. ጨዋታው አልቋል። ሐ. ሁለቱም ተዋጊዎች ብቁ አይደሉም። መ. ተቃዋሚው በነባሪ ያሸንፋል።</v>
      </c>
      <c r="J109" s="8" t="str">
        <f>IFERROR(__xludf.DUMMYFUNCTION(" GOOGLETRANSLATE(D109, ""en"", ""am"")"),"ጨዋታው እንደገና ተጀምሯል።")</f>
        <v>ጨዋታው እንደገና ተጀምሯል።</v>
      </c>
      <c r="K109" s="8" t="str">
        <f>IFERROR(__xludf.DUMMYFUNCTION(" GOOGLETRANSLATE(E109, ""en"", ""am"")"),"ሁለቱም ተዋጊዎች ከቀለበት ውስጥ ከወደቁ ግጥሚያው እንደገና ይጀምራል።")</f>
        <v>ሁለቱም ተዋጊዎች ከቀለበት ውስጥ ከወደቁ ግጥሚያው እንደገና ይጀምራል።</v>
      </c>
    </row>
    <row r="110" ht="22.5" customHeight="1">
      <c r="A110" s="13">
        <v>109.0</v>
      </c>
      <c r="B110" s="14" t="s">
        <v>1766</v>
      </c>
      <c r="C110" s="14" t="s">
        <v>1767</v>
      </c>
      <c r="D110" s="14" t="s">
        <v>1451</v>
      </c>
      <c r="E110" s="14" t="s">
        <v>1768</v>
      </c>
      <c r="G110" s="8" t="str">
        <f>IFERROR(__xludf.DUMMYFUNCTION(" GOOGLETRANSLATE(A110, ""en"", ""am"")"),"109")</f>
        <v>109</v>
      </c>
      <c r="H110" s="8" t="str">
        <f>IFERROR(__xludf.DUMMYFUNCTION(" GOOGLETRANSLATE(B110, ""en"", ""am"")"),"አንድ ታጋይ ፒን ለመጠበቅ የተቃዋሚውን የሰውነት ክብደት መጠቀም ይችላል?")</f>
        <v>አንድ ታጋይ ፒን ለመጠበቅ የተቃዋሚውን የሰውነት ክብደት መጠቀም ይችላል?</v>
      </c>
      <c r="I110" s="8" t="str">
        <f>IFERROR(__xludf.DUMMYFUNCTION(" GOOGLETRANSLATE(C110, ""en"", ""am"")"),"ሀ. አዎ ለ. አይ ሐ. አዎ፣ ግን በመከላከያ ቦታ ብቻ። መ. አዎ፣ ግን በተወሰኑ ውርወራዎች")</f>
        <v>ሀ. አዎ ለ. አይ ሐ. አዎ፣ ግን በመከላከያ ቦታ ብቻ። መ. አዎ፣ ግን በተወሰኑ ውርወራዎች</v>
      </c>
      <c r="J110" s="8" t="str">
        <f>IFERROR(__xludf.DUMMYFUNCTION(" GOOGLETRANSLATE(D110, ""en"", ""am"")"),"አዎ")</f>
        <v>አዎ</v>
      </c>
      <c r="K110" s="8" t="str">
        <f>IFERROR(__xludf.DUMMYFUNCTION(" GOOGLETRANSLATE(E110, ""en"", ""am"")"),"አንድ ተፋላሚ ፒን ለመጠበቅ የተቃዋሚውን የሰውነት ክብደት መጠቀም ይችላል።")</f>
        <v>አንድ ተፋላሚ ፒን ለመጠበቅ የተቃዋሚውን የሰውነት ክብደት መጠቀም ይችላል።</v>
      </c>
    </row>
    <row r="111" ht="22.5" customHeight="1">
      <c r="A111" s="13">
        <v>110.0</v>
      </c>
      <c r="B111" s="14" t="s">
        <v>1769</v>
      </c>
      <c r="C111" s="14" t="s">
        <v>1581</v>
      </c>
      <c r="D111" s="14" t="s">
        <v>1540</v>
      </c>
      <c r="E111" s="14" t="s">
        <v>1770</v>
      </c>
      <c r="G111" s="8" t="str">
        <f>IFERROR(__xludf.DUMMYFUNCTION(" GOOGLETRANSLATE(A111, ""en"", ""am"")"),"110")</f>
        <v>110</v>
      </c>
      <c r="H111" s="8" t="str">
        <f>IFERROR(__xludf.DUMMYFUNCTION(" GOOGLETRANSLATE(B111, ""en"", ""am"")"),"በአባ ገዳ ትግል ወቅት የተደረገው ህገወጥ መንገድ መዝጋት ውጤቱ ምን ነበር?")</f>
        <v>በአባ ገዳ ትግል ወቅት የተደረገው ህገወጥ መንገድ መዝጋት ውጤቱ ምን ነበር?</v>
      </c>
      <c r="I111" s="8" t="str">
        <f>IFERROR(__xludf.DUMMYFUNCTION(" GOOGLETRANSLATE(C111, ""en"", ""am"")"),"ሀ. ነጥብ መቀነስ ለ. ብቁ አለመሆን ሐ. ማስጠንቀቂያ መ. ግጥሚያው እንደገና ተጀምሯል።")</f>
        <v>ሀ. ነጥብ መቀነስ ለ. ብቁ አለመሆን ሐ. ማስጠንቀቂያ መ. ግጥሚያው እንደገና ተጀምሯል።</v>
      </c>
      <c r="J111" s="8" t="str">
        <f>IFERROR(__xludf.DUMMYFUNCTION(" GOOGLETRANSLATE(D111, ""en"", ""am"")"),"የነጥብ ቅነሳ")</f>
        <v>የነጥብ ቅነሳ</v>
      </c>
      <c r="K111" s="8" t="str">
        <f>IFERROR(__xludf.DUMMYFUNCTION(" GOOGLETRANSLATE(E111, ""en"", ""am"")"),"ህገወጥ የጭንቅላት መቆለፍ የነጥብ ቅነሳን ያስከትላል።")</f>
        <v>ህገወጥ የጭንቅላት መቆለፍ የነጥብ ቅነሳን ያስከትላል።</v>
      </c>
    </row>
    <row r="112" ht="22.5" customHeight="1">
      <c r="A112" s="13">
        <v>111.0</v>
      </c>
      <c r="B112" s="14" t="s">
        <v>1771</v>
      </c>
      <c r="C112" s="14" t="s">
        <v>1581</v>
      </c>
      <c r="D112" s="14" t="s">
        <v>1540</v>
      </c>
      <c r="E112" s="14" t="s">
        <v>1772</v>
      </c>
      <c r="G112" s="8" t="str">
        <f>IFERROR(__xludf.DUMMYFUNCTION(" GOOGLETRANSLATE(A112, ""en"", ""am"")"),"111")</f>
        <v>111</v>
      </c>
      <c r="H112" s="8" t="str">
        <f>IFERROR(__xludf.DUMMYFUNCTION(" GOOGLETRANSLATE(B112, ""en"", ""am"")"),"አንድ ታጋይ በትግል ግጥሚያ ላይ የተቃዋሚውን ልብስ ለረጅም ጊዜ ከያዘ ምን ይሆናል?")</f>
        <v>አንድ ታጋይ በትግል ግጥሚያ ላይ የተቃዋሚውን ልብስ ለረጅም ጊዜ ከያዘ ምን ይሆናል?</v>
      </c>
      <c r="I112" s="8" t="str">
        <f>IFERROR(__xludf.DUMMYFUNCTION(" GOOGLETRANSLATE(C112, ""en"", ""am"")"),"ሀ. ነጥብ መቀነስ ለ. ብቁ አለመሆን ሐ. ማስጠንቀቂያ መ. ግጥሚያው እንደገና ተጀምሯል።")</f>
        <v>ሀ. ነጥብ መቀነስ ለ. ብቁ አለመሆን ሐ. ማስጠንቀቂያ መ. ግጥሚያው እንደገና ተጀምሯል።</v>
      </c>
      <c r="J112" s="8" t="str">
        <f>IFERROR(__xludf.DUMMYFUNCTION(" GOOGLETRANSLATE(D112, ""en"", ""am"")"),"የነጥብ ቅነሳ")</f>
        <v>የነጥብ ቅነሳ</v>
      </c>
      <c r="K112" s="8" t="str">
        <f>IFERROR(__xludf.DUMMYFUNCTION(" GOOGLETRANSLATE(E112, ""en"", ""am"")"),"የተቃዋሚውን ልብስ ለረጅም ጊዜ ማቆየት የነጥብ ቅነሳን ያስከትላል.")</f>
        <v>የተቃዋሚውን ልብስ ለረጅም ጊዜ ማቆየት የነጥብ ቅነሳን ያስከትላል.</v>
      </c>
    </row>
    <row r="113" ht="22.5" customHeight="1">
      <c r="A113" s="13">
        <v>112.0</v>
      </c>
      <c r="B113" s="14" t="s">
        <v>1773</v>
      </c>
      <c r="C113" s="14" t="s">
        <v>1774</v>
      </c>
      <c r="D113" s="14" t="s">
        <v>1451</v>
      </c>
      <c r="E113" s="14" t="s">
        <v>1775</v>
      </c>
      <c r="G113" s="8" t="str">
        <f>IFERROR(__xludf.DUMMYFUNCTION(" GOOGLETRANSLATE(A113, ""en"", ""am"")"),"112")</f>
        <v>112</v>
      </c>
      <c r="H113" s="8" t="str">
        <f>IFERROR(__xludf.DUMMYFUNCTION(" GOOGLETRANSLATE(B113, ""en"", ""am"")"),"ታጋይ ተቃዋሚውን ለመግፋት ጉልበቱን ሊጠቀም ይችላል?")</f>
        <v>ታጋይ ተቃዋሚውን ለመግፋት ጉልበቱን ሊጠቀም ይችላል?</v>
      </c>
      <c r="I113" s="8" t="str">
        <f>IFERROR(__xludf.DUMMYFUNCTION(" GOOGLETRANSLATE(C113, ""en"", ""am"")"),"ሀ. አዎ ለ. አይ ሐ. አዎ፣ ግን በፒን ጊዜ ብቻ። መ. አዎ፣ ግን ለመከላከል ብቻ።")</f>
        <v>ሀ. አዎ ለ. አይ ሐ. አዎ፣ ግን በፒን ጊዜ ብቻ። መ. አዎ፣ ግን ለመከላከል ብቻ።</v>
      </c>
      <c r="J113" s="8" t="str">
        <f>IFERROR(__xludf.DUMMYFUNCTION(" GOOGLETRANSLATE(D113, ""en"", ""am"")"),"አዎ")</f>
        <v>አዎ</v>
      </c>
      <c r="K113" s="8" t="str">
        <f>IFERROR(__xludf.DUMMYFUNCTION(" GOOGLETRANSLATE(E113, ""en"", ""am"")"),"ተቃዋሚን ለመግፋት ኃይል መጠቀም ህጋዊ ነው።")</f>
        <v>ተቃዋሚን ለመግፋት ኃይል መጠቀም ህጋዊ ነው።</v>
      </c>
    </row>
    <row r="114" ht="22.5" customHeight="1">
      <c r="A114" s="13">
        <v>113.0</v>
      </c>
      <c r="B114" s="14" t="s">
        <v>1776</v>
      </c>
      <c r="C114" s="14" t="s">
        <v>1777</v>
      </c>
      <c r="D114" s="14" t="s">
        <v>1437</v>
      </c>
      <c r="E114" s="14" t="s">
        <v>1778</v>
      </c>
      <c r="G114" s="8" t="str">
        <f>IFERROR(__xludf.DUMMYFUNCTION(" GOOGLETRANSLATE(A114, ""en"", ""am"")"),"113")</f>
        <v>113</v>
      </c>
      <c r="H114" s="8" t="str">
        <f>IFERROR(__xludf.DUMMYFUNCTION(" GOOGLETRANSLATE(B114, ""en"", ""am"")"),"ባላንጣዎን በባዶ-አንኳኳ ውጊያ ከቀለበት ማስወጣት ህጋዊ ነው?")</f>
        <v>ባላንጣዎን በባዶ-አንኳኳ ውጊያ ከቀለበት ማስወጣት ህጋዊ ነው?</v>
      </c>
      <c r="I114" s="8" t="str">
        <f>IFERROR(__xludf.DUMMYFUNCTION(" GOOGLETRANSLATE(C114, ""en"", ""am"")"),"A. አዎ ለ. አይ ሐ. አዎ፣ የመወርወሩ አካል ከሆነ። መ. አዎ፣ ተቃዋሚው ሚዛናዊ ካልሆነ።")</f>
        <v>A. አዎ ለ. አይ ሐ. አዎ፣ የመወርወሩ አካል ከሆነ። መ. አዎ፣ ተቃዋሚው ሚዛናዊ ካልሆነ።</v>
      </c>
      <c r="J114" s="8" t="str">
        <f>IFERROR(__xludf.DUMMYFUNCTION(" GOOGLETRANSLATE(D114, ""en"", ""am"")"),"አይ")</f>
        <v>አይ</v>
      </c>
      <c r="K114" s="8" t="str">
        <f>IFERROR(__xludf.DUMMYFUNCTION(" GOOGLETRANSLATE(E114, ""en"", ""am"")"),"ተቃዋሚን ከቀለበት ማስወጣት ህገወጥ ነው።")</f>
        <v>ተቃዋሚን ከቀለበት ማስወጣት ህገወጥ ነው።</v>
      </c>
    </row>
    <row r="115" ht="22.5" customHeight="1">
      <c r="A115" s="13">
        <v>114.0</v>
      </c>
      <c r="B115" s="14" t="s">
        <v>1779</v>
      </c>
      <c r="C115" s="14" t="s">
        <v>1780</v>
      </c>
      <c r="D115" s="14" t="s">
        <v>1451</v>
      </c>
      <c r="E115" s="14" t="s">
        <v>1781</v>
      </c>
      <c r="G115" s="8" t="str">
        <f>IFERROR(__xludf.DUMMYFUNCTION(" GOOGLETRANSLATE(A115, ""en"", ""am"")"),"114")</f>
        <v>114</v>
      </c>
      <c r="H115" s="8" t="str">
        <f>IFERROR(__xludf.DUMMYFUNCTION(" GOOGLETRANSLATE(B115, ""en"", ""am"")"),"ታጋይ ተቃዋሚውን ሳያነሳ መወርወር ይችላል?")</f>
        <v>ታጋይ ተቃዋሚውን ሳያነሳ መወርወር ይችላል?</v>
      </c>
      <c r="I115" s="8" t="str">
        <f>IFERROR(__xludf.DUMMYFUNCTION(" GOOGLETRANSLATE(C115, ""en"", ""am"")"),"ሀ. አዎ ለ. አይ ሐ. አዎ፣ ግን በመከላከያ ውስጥ ብቻ። D. አዎ፣ ግን በመደርደሪያው ውስጥ ብቻ")</f>
        <v>ሀ. አዎ ለ. አይ ሐ. አዎ፣ ግን በመከላከያ ውስጥ ብቻ። D. አዎ፣ ግን በመደርደሪያው ውስጥ ብቻ</v>
      </c>
      <c r="J115" s="8" t="str">
        <f>IFERROR(__xludf.DUMMYFUNCTION(" GOOGLETRANSLATE(D115, ""en"", ""am"")"),"አዎ")</f>
        <v>አዎ</v>
      </c>
      <c r="K115" s="8" t="str">
        <f>IFERROR(__xludf.DUMMYFUNCTION(" GOOGLETRANSLATE(E115, ""en"", ""am"")"),"በአንዳንድ ሁኔታዎች ተቃዋሚውን ሳያነሱ ውርወራ ሊደረግ ይችላል.")</f>
        <v>በአንዳንድ ሁኔታዎች ተቃዋሚውን ሳያነሱ ውርወራ ሊደረግ ይችላል.</v>
      </c>
    </row>
    <row r="116" ht="22.5" customHeight="1">
      <c r="A116" s="13">
        <v>115.0</v>
      </c>
      <c r="B116" s="14" t="s">
        <v>1782</v>
      </c>
      <c r="C116" s="14" t="s">
        <v>1783</v>
      </c>
      <c r="D116" s="14" t="s">
        <v>1784</v>
      </c>
      <c r="E116" s="14" t="s">
        <v>1785</v>
      </c>
      <c r="G116" s="8" t="str">
        <f>IFERROR(__xludf.DUMMYFUNCTION(" GOOGLETRANSLATE(A116, ""en"", ""am"")"),"115")</f>
        <v>115</v>
      </c>
      <c r="H116" s="8" t="str">
        <f>IFERROR(__xludf.DUMMYFUNCTION(" GOOGLETRANSLATE(B116, ""en"", ""am"")"),"አንድ ታጋይ በትግል ግጥሚያ ላይ ፒን የሚይዝበት ከፍተኛው ጊዜ ስንት ነው?")</f>
        <v>አንድ ታጋይ በትግል ግጥሚያ ላይ ፒን የሚይዝበት ከፍተኛው ጊዜ ስንት ነው?</v>
      </c>
      <c r="I116" s="8" t="str">
        <f>IFERROR(__xludf.DUMMYFUNCTION(" GOOGLETRANSLATE(C116, ""en"", ""am"")"),"አ. 5 ሰከንድ ለ 10 ሰከንድ ሐ. 15 ሰከንድ መ. 30 ሰከንድ")</f>
        <v>አ. 5 ሰከንድ ለ 10 ሰከንድ ሐ. 15 ሰከንድ መ. 30 ሰከንድ</v>
      </c>
      <c r="J116" s="8" t="str">
        <f>IFERROR(__xludf.DUMMYFUNCTION(" GOOGLETRANSLATE(D116, ""en"", ""am"")"),"10 ሰከንድ")</f>
        <v>10 ሰከንድ</v>
      </c>
      <c r="K116" s="8" t="str">
        <f>IFERROR(__xludf.DUMMYFUNCTION(" GOOGLETRANSLATE(E116, ""en"", ""am"")"),"አንድ ተፋላሚ ነጥብ ለማግኘት ፒኑን ለ10 ሰከንድ መያዝ አለበት።")</f>
        <v>አንድ ተፋላሚ ነጥብ ለማግኘት ፒኑን ለ10 ሰከንድ መያዝ አለበት።</v>
      </c>
    </row>
    <row r="117" ht="22.5" customHeight="1">
      <c r="A117" s="13">
        <v>116.0</v>
      </c>
      <c r="B117" s="14" t="s">
        <v>1786</v>
      </c>
      <c r="C117" s="14" t="s">
        <v>1787</v>
      </c>
      <c r="D117" s="14" t="s">
        <v>1451</v>
      </c>
      <c r="E117" s="14" t="s">
        <v>1788</v>
      </c>
      <c r="G117" s="8" t="str">
        <f>IFERROR(__xludf.DUMMYFUNCTION(" GOOGLETRANSLATE(A117, ""en"", ""am"")"),"116")</f>
        <v>116</v>
      </c>
      <c r="H117" s="8" t="str">
        <f>IFERROR(__xludf.DUMMYFUNCTION(" GOOGLETRANSLATE(B117, ""en"", ""am"")"),"አንድ ታጋይ ውርወራ ለማስፈጸም የተቃዋሚን ጭንቅላት ሊጠቀም ይችላል?")</f>
        <v>አንድ ታጋይ ውርወራ ለማስፈጸም የተቃዋሚን ጭንቅላት ሊጠቀም ይችላል?</v>
      </c>
      <c r="I117" s="8" t="str">
        <f>IFERROR(__xludf.DUMMYFUNCTION(" GOOGLETRANSLATE(C117, ""en"", ""am"")"),"ሀ. አዎ ለ. አይ ሐ. አዎ፣ ግን ራስን ለመከላከል ብቻ። መ. አዎ, የቴክኒኩ አካል ከሆነ")</f>
        <v>ሀ. አዎ ለ. አይ ሐ. አዎ፣ ግን ራስን ለመከላከል ብቻ። መ. አዎ, የቴክኒኩ አካል ከሆነ</v>
      </c>
      <c r="J117" s="8" t="str">
        <f>IFERROR(__xludf.DUMMYFUNCTION(" GOOGLETRANSLATE(D117, ""en"", ""am"")"),"አዎ")</f>
        <v>አዎ</v>
      </c>
      <c r="K117" s="8" t="str">
        <f>IFERROR(__xludf.DUMMYFUNCTION(" GOOGLETRANSLATE(E117, ""en"", ""am"")"),"የስትራቴጂው አካል ከሆነ የተቃዋሚውን ጭንቅላት ለመወርወር መጠቀም ህጋዊ ነው።")</f>
        <v>የስትራቴጂው አካል ከሆነ የተቃዋሚውን ጭንቅላት ለመወርወር መጠቀም ህጋዊ ነው።</v>
      </c>
    </row>
    <row r="118" ht="22.5" customHeight="1">
      <c r="A118" s="13">
        <v>117.0</v>
      </c>
      <c r="B118" s="14" t="s">
        <v>1789</v>
      </c>
      <c r="C118" s="14" t="s">
        <v>1790</v>
      </c>
      <c r="D118" s="14" t="s">
        <v>1791</v>
      </c>
      <c r="E118" s="14" t="s">
        <v>1792</v>
      </c>
      <c r="G118" s="8" t="str">
        <f>IFERROR(__xludf.DUMMYFUNCTION(" GOOGLETRANSLATE(A118, ""en"", ""am"")"),"117")</f>
        <v>117</v>
      </c>
      <c r="H118" s="8" t="str">
        <f>IFERROR(__xludf.DUMMYFUNCTION(" GOOGLETRANSLATE(B118, ""en"", ""am"")"),"ተጋድሎ በአባ ገዳ የማቅረቡ ዋና ዓላማ ምንድን ነው?")</f>
        <v>ተጋድሎ በአባ ገዳ የማቅረቡ ዋና ዓላማ ምንድን ነው?</v>
      </c>
      <c r="I118" s="8" t="str">
        <f>IFERROR(__xludf.DUMMYFUNCTION(" GOOGLETRANSLATE(C118, ""en"", ""am"")"),"ሀ. ተቀናቃኙን ለመሰካት ለ. ተቃዋሚውን ከንግድ ውጪ ማድረግ ሐ. ተቃዋሚውን መወርወር መ. ተቃዋሚውን ለማዳከም")</f>
        <v>ሀ. ተቀናቃኙን ለመሰካት ለ. ተቃዋሚውን ከንግድ ውጪ ማድረግ ሐ. ተቃዋሚውን መወርወር መ. ተቃዋሚውን ለማዳከም</v>
      </c>
      <c r="J118" s="8" t="str">
        <f>IFERROR(__xludf.DUMMYFUNCTION(" GOOGLETRANSLATE(D118, ""en"", ""am"")"),"ተቃዋሚው ከንግድ ስራ እንዲወጣ ለማድረግ")</f>
        <v>ተቃዋሚው ከንግድ ስራ እንዲወጣ ለማድረግ</v>
      </c>
      <c r="K118" s="8" t="str">
        <f>IFERROR(__xludf.DUMMYFUNCTION(" GOOGLETRANSLATE(E118, ""en"", ""am"")"),"የማስረከቢያ መያዣ ተቃዋሚውን ለመንካት ይጠቅማል።")</f>
        <v>የማስረከቢያ መያዣ ተቃዋሚውን ለመንካት ይጠቅማል።</v>
      </c>
    </row>
    <row r="119" ht="22.5" customHeight="1">
      <c r="A119" s="13">
        <v>118.0</v>
      </c>
      <c r="B119" s="14" t="s">
        <v>1793</v>
      </c>
      <c r="C119" s="14" t="s">
        <v>1794</v>
      </c>
      <c r="D119" s="14" t="s">
        <v>1795</v>
      </c>
      <c r="E119" s="14" t="s">
        <v>1796</v>
      </c>
      <c r="G119" s="8" t="str">
        <f>IFERROR(__xludf.DUMMYFUNCTION(" GOOGLETRANSLATE(A119, ""en"", ""am"")"),"118")</f>
        <v>118</v>
      </c>
      <c r="H119" s="8" t="str">
        <f>IFERROR(__xludf.DUMMYFUNCTION(" GOOGLETRANSLATE(B119, ""en"", ""am"")"),"ተጋጣሚውን ለመቆጣጠር እንዴት ነጥብ ማስቆጠር ይችላል?")</f>
        <v>ተጋጣሚውን ለመቆጣጠር እንዴት ነጥብ ማስቆጠር ይችላል?</v>
      </c>
      <c r="I119" s="8" t="str">
        <f>IFERROR(__xludf.DUMMYFUNCTION(" GOOGLETRANSLATE(C119, ""en"", ""am"")"),"ሀ. ተቃዋሚውን በማስወገድ ለ. ተቃዋሚውን ወደ ጥግ በማስገደድ ሐ. ተቃዋሚውን በማስቀመጥ መ. ተቃዋሚውን እንዲገዛ በማድረግ")</f>
        <v>ሀ. ተቃዋሚውን በማስወገድ ለ. ተቃዋሚውን ወደ ጥግ በማስገደድ ሐ. ተቃዋሚውን በማስቀመጥ መ. ተቃዋሚውን እንዲገዛ በማድረግ</v>
      </c>
      <c r="J119" s="8" t="str">
        <f>IFERROR(__xludf.DUMMYFUNCTION(" GOOGLETRANSLATE(D119, ""en"", ""am"")"),"ተቃዋሚውን በማስቀመጥ")</f>
        <v>ተቃዋሚውን በማስቀመጥ</v>
      </c>
      <c r="K119" s="8" t="str">
        <f>IFERROR(__xludf.DUMMYFUNCTION(" GOOGLETRANSLATE(E119, ""en"", ""am"")"),"የመቆጣጠሪያ ነጥቦች ተቃዋሚው ሲወርድ ይሸለማል.")</f>
        <v>የመቆጣጠሪያ ነጥቦች ተቃዋሚው ሲወርድ ይሸለማል.</v>
      </c>
    </row>
    <row r="120" ht="22.5" customHeight="1">
      <c r="A120" s="13">
        <v>119.0</v>
      </c>
      <c r="B120" s="14" t="s">
        <v>1797</v>
      </c>
      <c r="C120" s="14" t="s">
        <v>1798</v>
      </c>
      <c r="D120" s="14" t="s">
        <v>1451</v>
      </c>
      <c r="E120" s="14" t="s">
        <v>1799</v>
      </c>
      <c r="G120" s="8" t="str">
        <f>IFERROR(__xludf.DUMMYFUNCTION(" GOOGLETRANSLATE(A120, ""en"", ""am"")"),"119")</f>
        <v>119</v>
      </c>
      <c r="H120" s="8" t="str">
        <f>IFERROR(__xludf.DUMMYFUNCTION(" GOOGLETRANSLATE(B120, ""en"", ""am"")"),"ተዋጊ በጨዋታ ጊዜ አቋሙን ሊለውጥ ይችላል?")</f>
        <v>ተዋጊ በጨዋታ ጊዜ አቋሙን ሊለውጥ ይችላል?</v>
      </c>
      <c r="I120" s="8" t="str">
        <f>IFERROR(__xludf.DUMMYFUNCTION(" GOOGLETRANSLATE(C120, ""en"", ""am"")"),"ሀ. አዎ ለ. አይ ሐ. አዎ፣ ግን ከእረፍት በኋላ ብቻ። D. አዎ፣ ግን በመከላከያ ውስጥ ብቻ።")</f>
        <v>ሀ. አዎ ለ. አይ ሐ. አዎ፣ ግን ከእረፍት በኋላ ብቻ። D. አዎ፣ ግን በመከላከያ ውስጥ ብቻ።</v>
      </c>
      <c r="J120" s="8" t="str">
        <f>IFERROR(__xludf.DUMMYFUNCTION(" GOOGLETRANSLATE(D120, ""en"", ""am"")"),"አዎ")</f>
        <v>አዎ</v>
      </c>
      <c r="K120" s="8" t="str">
        <f>IFERROR(__xludf.DUMMYFUNCTION(" GOOGLETRANSLATE(E120, ""en"", ""am"")"),"አንድ ተዋጊ በጨዋታ ጊዜ ቦታውን እንዲቀይር ይፈቀድለታል።")</f>
        <v>አንድ ተዋጊ በጨዋታ ጊዜ ቦታውን እንዲቀይር ይፈቀድለታል።</v>
      </c>
    </row>
    <row r="121" ht="22.5" customHeight="1">
      <c r="A121" s="13">
        <v>120.0</v>
      </c>
      <c r="B121" s="14" t="s">
        <v>1800</v>
      </c>
      <c r="C121" s="14" t="s">
        <v>1801</v>
      </c>
      <c r="D121" s="14" t="s">
        <v>1802</v>
      </c>
      <c r="E121" s="14" t="s">
        <v>1803</v>
      </c>
      <c r="G121" s="8" t="str">
        <f>IFERROR(__xludf.DUMMYFUNCTION(" GOOGLETRANSLATE(A121, ""en"", ""am"")"),"120")</f>
        <v>120</v>
      </c>
      <c r="H121" s="8" t="str">
        <f>IFERROR(__xludf.DUMMYFUNCTION(" GOOGLETRANSLATE(B121, ""en"", ""am"")"),"በግጥሚያ ወቅት አንድ ታጋይ ቢመታ ምን ይሆናል?")</f>
        <v>በግጥሚያ ወቅት አንድ ታጋይ ቢመታ ምን ይሆናል?</v>
      </c>
      <c r="I121" s="8" t="str">
        <f>IFERROR(__xludf.DUMMYFUNCTION(" GOOGLETRANSLATE(C121, ""en"", ""am"")"),"ሀ. ጨዋታው አልቋል። ለ. ተቃዋሚው ያሸንፋል። ሐ. ግጥሚያው እንደገና ተጀምሯል። መ. ተቃዋሚው ብቃት የለውም።")</f>
        <v>ሀ. ጨዋታው አልቋል። ለ. ተቃዋሚው ያሸንፋል። ሐ. ግጥሚያው እንደገና ተጀምሯል። መ. ተቃዋሚው ብቃት የለውም።</v>
      </c>
      <c r="J121" s="8" t="str">
        <f>IFERROR(__xludf.DUMMYFUNCTION(" GOOGLETRANSLATE(D121, ""en"", ""am"")"),"ተቃዋሚው ያሸንፋል።")</f>
        <v>ተቃዋሚው ያሸንፋል።</v>
      </c>
      <c r="K121" s="8" t="str">
        <f>IFERROR(__xludf.DUMMYFUNCTION(" GOOGLETRANSLATE(E121, ""en"", ""am"")"),"መታ ማድረግ መገዛትን ያሳያል እና ለተቃዋሚው ድል ያስገኛል ።")</f>
        <v>መታ ማድረግ መገዛትን ያሳያል እና ለተቃዋሚው ድል ያስገኛል ።</v>
      </c>
    </row>
    <row r="122" ht="22.5" customHeight="1">
      <c r="A122" s="13">
        <v>121.0</v>
      </c>
      <c r="B122" s="14" t="s">
        <v>1804</v>
      </c>
      <c r="C122" s="14" t="s">
        <v>1805</v>
      </c>
      <c r="D122" s="14" t="s">
        <v>1451</v>
      </c>
      <c r="E122" s="14" t="s">
        <v>1579</v>
      </c>
      <c r="G122" s="8" t="str">
        <f>IFERROR(__xludf.DUMMYFUNCTION(" GOOGLETRANSLATE(A122, ""en"", ""am"")"),"121")</f>
        <v>121</v>
      </c>
      <c r="H122" s="8" t="str">
        <f>IFERROR(__xludf.DUMMYFUNCTION(" GOOGLETRANSLATE(B122, ""en"", ""am"")"),"ተዋጊ ባለ ሁለት እግር ማውረጃ ማድረግ ይችላል?")</f>
        <v>ተዋጊ ባለ ሁለት እግር ማውረጃ ማድረግ ይችላል?</v>
      </c>
      <c r="I122" s="8" t="str">
        <f>IFERROR(__xludf.DUMMYFUNCTION(" GOOGLETRANSLATE(C122, ""en"", ""am"")"),"ሀ. አዎ ለ. አይ ሐ. አዎ፣ ግን ከማስጠንቀቂያ በኋላ ብቻ። መ. አዎ፣ የመጨረሻው ደረጃ ከሆነ")</f>
        <v>ሀ. አዎ ለ. አይ ሐ. አዎ፣ ግን ከማስጠንቀቂያ በኋላ ብቻ። መ. አዎ፣ የመጨረሻው ደረጃ ከሆነ</v>
      </c>
      <c r="J122" s="8" t="str">
        <f>IFERROR(__xludf.DUMMYFUNCTION(" GOOGLETRANSLATE(D122, ""en"", ""am"")"),"አዎ")</f>
        <v>አዎ</v>
      </c>
      <c r="K122" s="8" t="str">
        <f>IFERROR(__xludf.DUMMYFUNCTION(" GOOGLETRANSLATE(E122, ""en"", ""am"")"),"በአባ ገዳ ትግል ድርብ እግር ማውረድ ይፈቀዳል።")</f>
        <v>በአባ ገዳ ትግል ድርብ እግር ማውረድ ይፈቀዳል።</v>
      </c>
    </row>
    <row r="123" ht="22.5" customHeight="1">
      <c r="A123" s="13">
        <v>122.0</v>
      </c>
      <c r="B123" s="14" t="s">
        <v>1806</v>
      </c>
      <c r="C123" s="14" t="s">
        <v>1807</v>
      </c>
      <c r="D123" s="14" t="s">
        <v>1540</v>
      </c>
      <c r="E123" s="14" t="s">
        <v>1808</v>
      </c>
      <c r="G123" s="8" t="str">
        <f>IFERROR(__xludf.DUMMYFUNCTION(" GOOGLETRANSLATE(A123, ""en"", ""am"")"),"122")</f>
        <v>122</v>
      </c>
      <c r="H123" s="8" t="str">
        <f>IFERROR(__xludf.DUMMYFUNCTION(" GOOGLETRANSLATE(B123, ""en"", ""am"")"),"አንድ ታጋይ ሆን ብሎ ቀለበቱን ቢለቅ ውጤቱ ምንድ ነው?")</f>
        <v>አንድ ታጋይ ሆን ብሎ ቀለበቱን ቢለቅ ውጤቱ ምንድ ነው?</v>
      </c>
      <c r="I123" s="8" t="str">
        <f>IFERROR(__xludf.DUMMYFUNCTION(" GOOGLETRANSLATE(C123, ""en"", ""am"")"),"ሀ. የነጥብ ቅነሳ ለ. ብቁ አለመሆን ሐ. ማስጠንቀቂያ መ. ተቃዋሚው በነባሪነት ያሸንፋል።")</f>
        <v>ሀ. የነጥብ ቅነሳ ለ. ብቁ አለመሆን ሐ. ማስጠንቀቂያ መ. ተቃዋሚው በነባሪነት ያሸንፋል።</v>
      </c>
      <c r="J123" s="8" t="str">
        <f>IFERROR(__xludf.DUMMYFUNCTION(" GOOGLETRANSLATE(D123, ""en"", ""am"")"),"የነጥብ ቅነሳ")</f>
        <v>የነጥብ ቅነሳ</v>
      </c>
      <c r="K123" s="8" t="str">
        <f>IFERROR(__xludf.DUMMYFUNCTION(" GOOGLETRANSLATE(E123, ""en"", ""am"")"),"ሆን ብሎ ቀለበቱን መተው የነጥብ ቅነሳን ያስከትላል.")</f>
        <v>ሆን ብሎ ቀለበቱን መተው የነጥብ ቅነሳን ያስከትላል.</v>
      </c>
    </row>
    <row r="124" ht="22.5" customHeight="1">
      <c r="A124" s="13">
        <v>123.0</v>
      </c>
      <c r="B124" s="14" t="s">
        <v>1809</v>
      </c>
      <c r="C124" s="14" t="s">
        <v>1581</v>
      </c>
      <c r="D124" s="14" t="s">
        <v>1540</v>
      </c>
      <c r="E124" s="14" t="s">
        <v>1810</v>
      </c>
      <c r="G124" s="8" t="str">
        <f>IFERROR(__xludf.DUMMYFUNCTION(" GOOGLETRANSLATE(A124, ""en"", ""am"")"),"123")</f>
        <v>123</v>
      </c>
      <c r="H124" s="8" t="str">
        <f>IFERROR(__xludf.DUMMYFUNCTION(" GOOGLETRANSLATE(B124, ""en"", ""am"")"),"አንድ ተዋጊ በውርወራ ውስጥ በጣም ብዙ ኃይል ቢጠቀም ምን ይከሰታል?")</f>
        <v>አንድ ተዋጊ በውርወራ ውስጥ በጣም ብዙ ኃይል ቢጠቀም ምን ይከሰታል?</v>
      </c>
      <c r="I124" s="8" t="str">
        <f>IFERROR(__xludf.DUMMYFUNCTION(" GOOGLETRANSLATE(C124, ""en"", ""am"")"),"ሀ. ነጥብ መቀነስ ለ. ብቁ አለመሆን ሐ. ማስጠንቀቂያ መ. ግጥሚያው እንደገና ተጀምሯል።")</f>
        <v>ሀ. ነጥብ መቀነስ ለ. ብቁ አለመሆን ሐ. ማስጠንቀቂያ መ. ግጥሚያው እንደገና ተጀምሯል።</v>
      </c>
      <c r="J124" s="8" t="str">
        <f>IFERROR(__xludf.DUMMYFUNCTION(" GOOGLETRANSLATE(D124, ""en"", ""am"")"),"የነጥብ ቅነሳ")</f>
        <v>የነጥብ ቅነሳ</v>
      </c>
      <c r="K124" s="8" t="str">
        <f>IFERROR(__xludf.DUMMYFUNCTION(" GOOGLETRANSLATE(E124, ""en"", ""am"")"),"በመወርወር ውስጥ ከመጠን ያለፈ ኃይል ወደ ነጥብ ቅነሳ ይመራል።")</f>
        <v>በመወርወር ውስጥ ከመጠን ያለፈ ኃይል ወደ ነጥብ ቅነሳ ይመራል።</v>
      </c>
    </row>
    <row r="125" ht="22.5" customHeight="1">
      <c r="A125" s="13">
        <v>124.0</v>
      </c>
      <c r="B125" s="14" t="s">
        <v>1811</v>
      </c>
      <c r="C125" s="14" t="s">
        <v>1812</v>
      </c>
      <c r="D125" s="14" t="s">
        <v>1451</v>
      </c>
      <c r="E125" s="14" t="s">
        <v>1813</v>
      </c>
      <c r="G125" s="8" t="str">
        <f>IFERROR(__xludf.DUMMYFUNCTION(" GOOGLETRANSLATE(A125, ""en"", ""am"")"),"124")</f>
        <v>124</v>
      </c>
      <c r="H125" s="8" t="str">
        <f>IFERROR(__xludf.DUMMYFUNCTION(" GOOGLETRANSLATE(B125, ""en"", ""am"")"),"ታጋይ ተቃዋሚውን መሬት ላይ ለማምጣት እግሩን ጠራርጎ መጠቀም ይችላል?")</f>
        <v>ታጋይ ተቃዋሚውን መሬት ላይ ለማምጣት እግሩን ጠራርጎ መጠቀም ይችላል?</v>
      </c>
      <c r="I125" s="8" t="str">
        <f>IFERROR(__xludf.DUMMYFUNCTION(" GOOGLETRANSLATE(C125, ""en"", ""am"")"),"ሀ. አዎ ለ. አይ ሐ. አዎ፣ ግን ተቃዋሚው ሚዛናዊ ካልሆነ ብቻ ነው። D. አዎ፣ ግን በመከላከያ ውስጥ ብቻ።")</f>
        <v>ሀ. አዎ ለ. አይ ሐ. አዎ፣ ግን ተቃዋሚው ሚዛናዊ ካልሆነ ብቻ ነው። D. አዎ፣ ግን በመከላከያ ውስጥ ብቻ።</v>
      </c>
      <c r="J125" s="8" t="str">
        <f>IFERROR(__xludf.DUMMYFUNCTION(" GOOGLETRANSLATE(D125, ""en"", ""am"")"),"አዎ")</f>
        <v>አዎ</v>
      </c>
      <c r="K125" s="8" t="str">
        <f>IFERROR(__xludf.DUMMYFUNCTION(" GOOGLETRANSLATE(E125, ""en"", ""am"")"),"እግር መጥረግ ተቃዋሚን ወደ መሬት የማምጣት ሕጋዊ ዘዴ ነው።")</f>
        <v>እግር መጥረግ ተቃዋሚን ወደ መሬት የማምጣት ሕጋዊ ዘዴ ነው።</v>
      </c>
    </row>
    <row r="126" ht="22.5" customHeight="1">
      <c r="A126" s="13">
        <v>125.0</v>
      </c>
      <c r="B126" s="14" t="s">
        <v>1814</v>
      </c>
      <c r="C126" s="14" t="s">
        <v>1815</v>
      </c>
      <c r="D126" s="14" t="s">
        <v>1816</v>
      </c>
      <c r="E126" s="14" t="s">
        <v>1817</v>
      </c>
      <c r="G126" s="8" t="str">
        <f>IFERROR(__xludf.DUMMYFUNCTION(" GOOGLETRANSLATE(A126, ""en"", ""am"")"),"125")</f>
        <v>125</v>
      </c>
      <c r="H126" s="8" t="str">
        <f>IFERROR(__xludf.DUMMYFUNCTION(" GOOGLETRANSLATE(B126, ""en"", ""am"")"),"በአንድ ግጥሚያ ወቅት የአንድ ታጋይ ዋና ግብ ምንድነው?")</f>
        <v>በአንድ ግጥሚያ ወቅት የአንድ ታጋይ ዋና ግብ ምንድነው?</v>
      </c>
      <c r="I126" s="8" t="str">
        <f>IFERROR(__xludf.DUMMYFUNCTION(" GOOGLETRANSLATE(C126, ""en"", ""am"")"),"ሀ. ተቀናቃኙን መጣል ለ. ተቃዋሚውን ለመቆጣጠር ሐ. ተቀናቃኙን ለማቅረብ መ. እንዳይሰካ")</f>
        <v>ሀ. ተቀናቃኙን መጣል ለ. ተቃዋሚውን ለመቆጣጠር ሐ. ተቀናቃኙን ለማቅረብ መ. እንዳይሰካ</v>
      </c>
      <c r="J126" s="8" t="str">
        <f>IFERROR(__xludf.DUMMYFUNCTION(" GOOGLETRANSLATE(D126, ""en"", ""am"")"),"ተቃዋሚውን ለመቆጣጠር")</f>
        <v>ተቃዋሚውን ለመቆጣጠር</v>
      </c>
      <c r="K126" s="8" t="str">
        <f>IFERROR(__xludf.DUMMYFUNCTION(" GOOGLETRANSLATE(E126, ""en"", ""am"")"),"በጨዋታ ጊዜ ተጋጣሚውን መቆጣጠር ዋናው ግብ ነው።")</f>
        <v>በጨዋታ ጊዜ ተጋጣሚውን መቆጣጠር ዋናው ግብ ነው።</v>
      </c>
    </row>
    <row r="127" ht="22.5" customHeight="1">
      <c r="A127" s="13">
        <v>126.0</v>
      </c>
      <c r="B127" s="14" t="s">
        <v>1818</v>
      </c>
      <c r="C127" s="14" t="s">
        <v>1581</v>
      </c>
      <c r="D127" s="14" t="s">
        <v>1540</v>
      </c>
      <c r="E127" s="14" t="s">
        <v>1819</v>
      </c>
      <c r="G127" s="8" t="str">
        <f>IFERROR(__xludf.DUMMYFUNCTION(" GOOGLETRANSLATE(A127, ""en"", ""am"")"),"126")</f>
        <v>126</v>
      </c>
      <c r="H127" s="8" t="str">
        <f>IFERROR(__xludf.DUMMYFUNCTION(" GOOGLETRANSLATE(B127, ""en"", ""am"")"),"ህገወጥ ነው ተብሎ የሚታሰበውን እርምጃ ሲሞክር ታጋዩ ውጤቱ ምን ይሆን?")</f>
        <v>ህገወጥ ነው ተብሎ የሚታሰበውን እርምጃ ሲሞክር ታጋዩ ውጤቱ ምን ይሆን?</v>
      </c>
      <c r="I127" s="8" t="str">
        <f>IFERROR(__xludf.DUMMYFUNCTION(" GOOGLETRANSLATE(C127, ""en"", ""am"")"),"ሀ. ነጥብ መቀነስ ለ. ብቁ አለመሆን ሐ. ማስጠንቀቂያ መ. ግጥሚያው እንደገና ተጀምሯል።")</f>
        <v>ሀ. ነጥብ መቀነስ ለ. ብቁ አለመሆን ሐ. ማስጠንቀቂያ መ. ግጥሚያው እንደገና ተጀምሯል።</v>
      </c>
      <c r="J127" s="8" t="str">
        <f>IFERROR(__xludf.DUMMYFUNCTION(" GOOGLETRANSLATE(D127, ""en"", ""am"")"),"የነጥብ ቅነሳ")</f>
        <v>የነጥብ ቅነሳ</v>
      </c>
      <c r="K127" s="8" t="str">
        <f>IFERROR(__xludf.DUMMYFUNCTION(" GOOGLETRANSLATE(E127, ""en"", ""am"")"),"ሕገ-ወጥ ድርጊቶች ወደ ነጥብ ቅነሳ ይመራሉ.")</f>
        <v>ሕገ-ወጥ ድርጊቶች ወደ ነጥብ ቅነሳ ይመራሉ.</v>
      </c>
    </row>
    <row r="128" ht="22.5" customHeight="1">
      <c r="A128" s="13">
        <v>127.0</v>
      </c>
      <c r="B128" s="14" t="s">
        <v>1820</v>
      </c>
      <c r="C128" s="14" t="s">
        <v>1743</v>
      </c>
      <c r="D128" s="14" t="s">
        <v>1160</v>
      </c>
      <c r="E128" s="14" t="s">
        <v>1821</v>
      </c>
      <c r="G128" s="8" t="str">
        <f>IFERROR(__xludf.DUMMYFUNCTION(" GOOGLETRANSLATE(A128, ""en"", ""am"")"),"127")</f>
        <v>127</v>
      </c>
      <c r="H128" s="8" t="str">
        <f>IFERROR(__xludf.DUMMYFUNCTION(" GOOGLETRANSLATE(B128, ""en"", ""am"")"),"በአባ ገዳ የትግል ጨዋታ በተሳካ ሁኔታ ውርወራ በማሳየቱ ስንት ነጥብ ተሰጥቷል?")</f>
        <v>በአባ ገዳ የትግል ጨዋታ በተሳካ ሁኔታ ውርወራ በማሳየቱ ስንት ነጥብ ተሰጥቷል?</v>
      </c>
      <c r="I128" s="8" t="str">
        <f>IFERROR(__xludf.DUMMYFUNCTION(" GOOGLETRANSLATE(C128, ""en"", ""am"")"),"አ. 1 ለ 2 ሐ. 3 ዲ. 4")</f>
        <v>አ. 1 ለ 2 ሐ. 3 ዲ. 4</v>
      </c>
      <c r="J128" s="8" t="str">
        <f>IFERROR(__xludf.DUMMYFUNCTION(" GOOGLETRANSLATE(D128, ""en"", ""am"")"),"2")</f>
        <v>2</v>
      </c>
      <c r="K128" s="8" t="str">
        <f>IFERROR(__xludf.DUMMYFUNCTION(" GOOGLETRANSLATE(E128, ""en"", ""am"")"),"የተሳካ ውርወራ 2 ነጥብ ያገኛል።")</f>
        <v>የተሳካ ውርወራ 2 ነጥብ ያገኛል።</v>
      </c>
    </row>
    <row r="129" ht="22.5" customHeight="1">
      <c r="A129" s="13">
        <v>128.0</v>
      </c>
      <c r="B129" s="14" t="s">
        <v>1490</v>
      </c>
      <c r="C129" s="14" t="s">
        <v>1822</v>
      </c>
      <c r="D129" s="14" t="s">
        <v>1437</v>
      </c>
      <c r="E129" s="14" t="s">
        <v>1492</v>
      </c>
      <c r="G129" s="8" t="str">
        <f>IFERROR(__xludf.DUMMYFUNCTION(" GOOGLETRANSLATE(A129, ""en"", ""am"")"),"128")</f>
        <v>128</v>
      </c>
      <c r="H129" s="8" t="str">
        <f>IFERROR(__xludf.DUMMYFUNCTION(" GOOGLETRANSLATE(B129, ""en"", ""am"")"),"ተዋጊ በትግል ግጥሚያ ያንቃል?")</f>
        <v>ተዋጊ በትግል ግጥሚያ ያንቃል?</v>
      </c>
      <c r="I129" s="8" t="str">
        <f>IFERROR(__xludf.DUMMYFUNCTION(" GOOGLETRANSLATE(C129, ""en"", ""am"")"),"A. አይ ለ. አዎ፣ ቴክኒካዊ ክፍል ከሆነ ሐ. አዎ፣ ግን በዳኛው ይሁንታ ብቻ። መ. አዎ፣ ግን እንደ የመጨረሻ አማራጭ ብቻ።")</f>
        <v>A. አይ ለ. አዎ፣ ቴክኒካዊ ክፍል ከሆነ ሐ. አዎ፣ ግን በዳኛው ይሁንታ ብቻ። መ. አዎ፣ ግን እንደ የመጨረሻ አማራጭ ብቻ።</v>
      </c>
      <c r="J129" s="8" t="str">
        <f>IFERROR(__xludf.DUMMYFUNCTION(" GOOGLETRANSLATE(D129, ""en"", ""am"")"),"አይ")</f>
        <v>አይ</v>
      </c>
      <c r="K129" s="8" t="str">
        <f>IFERROR(__xludf.DUMMYFUNCTION(" GOOGLETRANSLATE(E129, ""en"", ""am"")"),"ለነጻነት በሚደረገው ትግል ሁከት አይፈቀድም።")</f>
        <v>ለነጻነት በሚደረገው ትግል ሁከት አይፈቀድም።</v>
      </c>
    </row>
    <row r="130" ht="22.5" customHeight="1">
      <c r="A130" s="13">
        <v>129.0</v>
      </c>
      <c r="B130" s="14" t="s">
        <v>1823</v>
      </c>
      <c r="C130" s="14" t="s">
        <v>1824</v>
      </c>
      <c r="D130" s="14" t="s">
        <v>1825</v>
      </c>
      <c r="E130" s="14" t="s">
        <v>1826</v>
      </c>
      <c r="G130" s="8" t="str">
        <f>IFERROR(__xludf.DUMMYFUNCTION(" GOOGLETRANSLATE(A130, ""en"", ""am"")"),"129")</f>
        <v>129</v>
      </c>
      <c r="H130" s="8" t="str">
        <f>IFERROR(__xludf.DUMMYFUNCTION(" GOOGLETRANSLATE(B130, ""en"", ""am"")"),"ፒን መቼ ነው ከአባ ገዳ ጋር በተደረገው ትግል የተሳካው?")</f>
        <v>ፒን መቼ ነው ከአባ ገዳ ጋር በተደረገው ትግል የተሳካው?</v>
      </c>
      <c r="I130" s="8" t="str">
        <f>IFERROR(__xludf.DUMMYFUNCTION(" GOOGLETRANSLATE(C130, ""en"", ""am"")"),"ሀ/ ተቃዋሚው ለ 5 ሰከንድ በጀርባው ላይ ሲቀመጥ ለ. ተጋጣሚው ሐ ሲወጣ.")</f>
        <v>ሀ/ ተቃዋሚው ለ 5 ሰከንድ በጀርባው ላይ ሲቀመጥ ለ. ተጋጣሚው ሐ ሲወጣ.</v>
      </c>
      <c r="J130" s="8" t="str">
        <f>IFERROR(__xludf.DUMMYFUNCTION(" GOOGLETRANSLATE(D130, ""en"", ""am"")"),"ተቃዋሚው ለ 10 ሰከንድ በጀርባው ላይ በሚሆንበት ጊዜ")</f>
        <v>ተቃዋሚው ለ 10 ሰከንድ በጀርባው ላይ በሚሆንበት ጊዜ</v>
      </c>
      <c r="K130" s="8" t="str">
        <f>IFERROR(__xludf.DUMMYFUNCTION(" GOOGLETRANSLATE(E130, ""en"", ""am"")"),"ተቃዋሚው ለ 10 ሰከንድ በጀርባው ላይ ከተያዘ ፒን ስኬታማ ይሆናል.")</f>
        <v>ተቃዋሚው ለ 10 ሰከንድ በጀርባው ላይ ከተያዘ ፒን ስኬታማ ይሆናል.</v>
      </c>
    </row>
    <row r="131" ht="22.5" customHeight="1">
      <c r="A131" s="13">
        <v>130.0</v>
      </c>
      <c r="B131" s="14" t="s">
        <v>1827</v>
      </c>
      <c r="C131" s="14" t="s">
        <v>1828</v>
      </c>
      <c r="D131" s="14" t="s">
        <v>1451</v>
      </c>
      <c r="E131" s="14" t="s">
        <v>1829</v>
      </c>
      <c r="G131" s="8" t="str">
        <f>IFERROR(__xludf.DUMMYFUNCTION(" GOOGLETRANSLATE(A131, ""en"", ""am"")"),"130")</f>
        <v>130</v>
      </c>
      <c r="H131" s="8" t="str">
        <f>IFERROR(__xludf.DUMMYFUNCTION(" GOOGLETRANSLATE(B131, ""en"", ""am"")"),"አንድ ታጋይ በግቤት ውስጥ መሳተፍ ይችላል?")</f>
        <v>አንድ ታጋይ በግቤት ውስጥ መሳተፍ ይችላል?</v>
      </c>
      <c r="I131" s="8" t="str">
        <f>IFERROR(__xludf.DUMMYFUNCTION(" GOOGLETRANSLATE(C131, ""en"", ""am"")"),"ሀ. አዎ ለ. አይ ሐ. አዎ፣ ግን ተቃዋሚው መ ከጀመረ ብቻ ነው፣ ግን በመጨረሻው ዙር ብቻ።")</f>
        <v>ሀ. አዎ ለ. አይ ሐ. አዎ፣ ግን ተቃዋሚው መ ከጀመረ ብቻ ነው፣ ግን በመጨረሻው ዙር ብቻ።</v>
      </c>
      <c r="J131" s="8" t="str">
        <f>IFERROR(__xludf.DUMMYFUNCTION(" GOOGLETRANSLATE(D131, ""en"", ""am"")"),"አዎ")</f>
        <v>አዎ</v>
      </c>
      <c r="K131" s="8" t="str">
        <f>IFERROR(__xludf.DUMMYFUNCTION(" GOOGLETRANSLATE(E131, ""en"", ""am"")"),"የመሬት ማጓጓዣ መያዣዎች ይፈቀዳሉ.")</f>
        <v>የመሬት ማጓጓዣ መያዣዎች ይፈቀዳሉ.</v>
      </c>
    </row>
    <row r="132" ht="22.5" customHeight="1">
      <c r="A132" s="13">
        <v>131.0</v>
      </c>
      <c r="B132" s="14" t="s">
        <v>1830</v>
      </c>
      <c r="C132" s="14" t="s">
        <v>1831</v>
      </c>
      <c r="D132" s="14" t="s">
        <v>1832</v>
      </c>
      <c r="E132" s="14" t="s">
        <v>1833</v>
      </c>
      <c r="G132" s="8" t="str">
        <f>IFERROR(__xludf.DUMMYFUNCTION(" GOOGLETRANSLATE(A132, ""en"", ""am"")"),"131")</f>
        <v>131</v>
      </c>
      <c r="H132" s="8" t="str">
        <f>IFERROR(__xludf.DUMMYFUNCTION(" GOOGLETRANSLATE(B132, ""en"", ""am"")"),"አንድ ተዋጊ ሆን ብሎ ከጠብ ቢርቅ ምን ይሆናል?")</f>
        <v>አንድ ተዋጊ ሆን ብሎ ከጠብ ቢርቅ ምን ይሆናል?</v>
      </c>
      <c r="I132" s="8" t="str">
        <f>IFERROR(__xludf.DUMMYFUNCTION(" GOOGLETRANSLATE(C132, ""en"", ""am"")"),"ሀ. ተቃዋሚው ነጥብ ያገኛል። ለ. ተዋጊው ውድቅ ተደርጓል። ሐ. ግጥሚያው እንደገና ተጀምሯል። D. ጨዋታው ቀጥሏል።")</f>
        <v>ሀ. ተቃዋሚው ነጥብ ያገኛል። ለ. ተዋጊው ውድቅ ተደርጓል። ሐ. ግጥሚያው እንደገና ተጀምሯል። D. ጨዋታው ቀጥሏል።</v>
      </c>
      <c r="J132" s="8" t="str">
        <f>IFERROR(__xludf.DUMMYFUNCTION(" GOOGLETRANSLATE(D132, ""en"", ""am"")"),"ተቃዋሚው ነጥብ ያገኛል።")</f>
        <v>ተቃዋሚው ነጥብ ያገኛል።</v>
      </c>
      <c r="K132" s="8" t="str">
        <f>IFERROR(__xludf.DUMMYFUNCTION(" GOOGLETRANSLATE(E132, ""en"", ""am"")"),"ሆን ተብሎ ግጭትን ማስወገድ ለተጋጣሚው ነጥብ ያስገኛል።")</f>
        <v>ሆን ተብሎ ግጭትን ማስወገድ ለተጋጣሚው ነጥብ ያስገኛል።</v>
      </c>
    </row>
    <row r="133" ht="22.5" customHeight="1">
      <c r="A133" s="13">
        <v>132.0</v>
      </c>
      <c r="B133" s="14" t="s">
        <v>1834</v>
      </c>
      <c r="C133" s="14" t="s">
        <v>1835</v>
      </c>
      <c r="D133" s="14" t="s">
        <v>1836</v>
      </c>
      <c r="E133" s="14" t="s">
        <v>1837</v>
      </c>
      <c r="G133" s="8" t="str">
        <f>IFERROR(__xludf.DUMMYFUNCTION(" GOOGLETRANSLATE(A133, ""en"", ""am"")"),"132")</f>
        <v>132</v>
      </c>
      <c r="H133" s="8" t="str">
        <f>IFERROR(__xludf.DUMMYFUNCTION(" GOOGLETRANSLATE(B133, ""en"", ""am"")"),"አንድ ተጋዳላይ በተጋላጭ ቦታ ላይ ከሆኑ እና መሰካትን ለማስወገድ ከፈለጉ ምን ማድረግ አለባቸው?")</f>
        <v>አንድ ተጋዳላይ በተጋላጭ ቦታ ላይ ከሆኑ እና መሰካትን ለማስወገድ ከፈለጉ ምን ማድረግ አለባቸው?</v>
      </c>
      <c r="I133" s="8" t="str">
        <f>IFERROR(__xludf.DUMMYFUNCTION(" GOOGLETRANSLATE(C133, ""en"", ""am"")"),"ሀ. ከቤቱ አምልጥ። ለ. C ን ይንኩ። ጊዜው እስኪያልፍ ድረስ ይከላከሉ። መ. ለጊዜ ማብቂያ ይደውሉ")</f>
        <v>ሀ. ከቤቱ አምልጥ። ለ. C ን ይንኩ። ጊዜው እስኪያልፍ ድረስ ይከላከሉ። መ. ለጊዜ ማብቂያ ይደውሉ</v>
      </c>
      <c r="J133" s="8" t="str">
        <f>IFERROR(__xludf.DUMMYFUNCTION(" GOOGLETRANSLATE(D133, ""en"", ""am"")"),"ከቤቱ አምልጥ።")</f>
        <v>ከቤቱ አምልጥ።</v>
      </c>
      <c r="K133" s="8" t="str">
        <f>IFERROR(__xludf.DUMMYFUNCTION(" GOOGLETRANSLATE(E133, ""en"", ""am"")"),"አንድ ታጋይ እንዳይሰካ ከመያዣው ማምለጥ አለበት።")</f>
        <v>አንድ ታጋይ እንዳይሰካ ከመያዣው ማምለጥ አለበት።</v>
      </c>
    </row>
    <row r="134" ht="22.5" customHeight="1">
      <c r="A134" s="13">
        <v>133.0</v>
      </c>
      <c r="B134" s="14" t="s">
        <v>1838</v>
      </c>
      <c r="C134" s="14" t="s">
        <v>1839</v>
      </c>
      <c r="D134" s="14" t="s">
        <v>1437</v>
      </c>
      <c r="E134" s="14" t="s">
        <v>1840</v>
      </c>
      <c r="G134" s="8" t="str">
        <f>IFERROR(__xludf.DUMMYFUNCTION(" GOOGLETRANSLATE(A134, ""en"", ""am"")"),"133")</f>
        <v>133</v>
      </c>
      <c r="H134" s="8" t="str">
        <f>IFERROR(__xludf.DUMMYFUNCTION(" GOOGLETRANSLATE(B134, ""en"", ""am"")"),"አንድ ተዋጊ በውርወራ ጊዜ ከመጠን በላይ ኃይል መጠቀም ይችላል?")</f>
        <v>አንድ ተዋጊ በውርወራ ጊዜ ከመጠን በላይ ኃይል መጠቀም ይችላል?</v>
      </c>
      <c r="I134" s="8" t="str">
        <f>IFERROR(__xludf.DUMMYFUNCTION(" GOOGLETRANSLATE(C134, ""en"", ""am"")"),"A. አይ ለ. አዎ፣ ግን በተወሰኑ ውርወራዎች ጊዜ ብቻ። C. አዎ፣ የመከላከያ መለኪያ ከሆነ D. አዎ፣ ግን በመጨረሻው ዙር ብቻ።")</f>
        <v>A. አይ ለ. አዎ፣ ግን በተወሰኑ ውርወራዎች ጊዜ ብቻ። C. አዎ፣ የመከላከያ መለኪያ ከሆነ D. አዎ፣ ግን በመጨረሻው ዙር ብቻ።</v>
      </c>
      <c r="J134" s="8" t="str">
        <f>IFERROR(__xludf.DUMMYFUNCTION(" GOOGLETRANSLATE(D134, ""en"", ""am"")"),"አይ")</f>
        <v>አይ</v>
      </c>
      <c r="K134" s="8" t="str">
        <f>IFERROR(__xludf.DUMMYFUNCTION(" GOOGLETRANSLATE(E134, ""en"", ""am"")"),"ከመጠን በላይ ኃይል በማንኛውም ውርወራ ውስጥ አይፈቀድም.")</f>
        <v>ከመጠን በላይ ኃይል በማንኛውም ውርወራ ውስጥ አይፈቀድም.</v>
      </c>
    </row>
    <row r="135" ht="22.5" customHeight="1">
      <c r="A135" s="13">
        <v>134.0</v>
      </c>
      <c r="B135" s="14" t="s">
        <v>1841</v>
      </c>
      <c r="C135" s="14" t="s">
        <v>1842</v>
      </c>
      <c r="D135" s="14" t="s">
        <v>1727</v>
      </c>
      <c r="E135" s="14" t="s">
        <v>1843</v>
      </c>
      <c r="G135" s="8" t="str">
        <f>IFERROR(__xludf.DUMMYFUNCTION(" GOOGLETRANSLATE(A135, ""en"", ""am"")"),"134")</f>
        <v>134</v>
      </c>
      <c r="H135" s="8" t="str">
        <f>IFERROR(__xludf.DUMMYFUNCTION(" GOOGLETRANSLATE(B135, ""en"", ""am"")"),"በአባ ገዳ ትግል ወቅት የዘበኛው ሚና ምን ነበር?")</f>
        <v>በአባ ገዳ ትግል ወቅት የዘበኛው ሚና ምን ነበር?</v>
      </c>
      <c r="I135" s="8" t="str">
        <f>IFERROR(__xludf.DUMMYFUNCTION(" GOOGLETRANSLATE(C135, ""en"", ""am"")"),"ሀ. ግጥሚያውን ለማስቆጠር ለ. ሁለቱም ተዋጊዎች ዝግጁ መሆናቸውን ለማረጋገጥ ሐ. የግጥሚያ ሰዓቱን መከታተል መ. አሸናፊውን ለማሳወቅ")</f>
        <v>ሀ. ግጥሚያውን ለማስቆጠር ለ. ሁለቱም ተዋጊዎች ዝግጁ መሆናቸውን ለማረጋገጥ ሐ. የግጥሚያ ሰዓቱን መከታተል መ. አሸናፊውን ለማሳወቅ</v>
      </c>
      <c r="J135" s="8" t="str">
        <f>IFERROR(__xludf.DUMMYFUNCTION(" GOOGLETRANSLATE(D135, ""en"", ""am"")"),"የጨዋታውን ጊዜ ለመከታተል")</f>
        <v>የጨዋታውን ጊዜ ለመከታተል</v>
      </c>
      <c r="K135" s="8" t="str">
        <f>IFERROR(__xludf.DUMMYFUNCTION(" GOOGLETRANSLATE(E135, ""en"", ""am"")"),"የግጥሚያውን ጊዜ የመከታተል ኃላፊነት ያለበት ጊዜ ጠባቂው ነው።")</f>
        <v>የግጥሚያውን ጊዜ የመከታተል ኃላፊነት ያለበት ጊዜ ጠባቂው ነው።</v>
      </c>
    </row>
    <row r="136" ht="22.5" customHeight="1">
      <c r="A136" s="13">
        <v>135.0</v>
      </c>
      <c r="B136" s="14" t="s">
        <v>1844</v>
      </c>
      <c r="C136" s="14" t="s">
        <v>1845</v>
      </c>
      <c r="D136" s="14" t="s">
        <v>1437</v>
      </c>
      <c r="E136" s="14" t="s">
        <v>1846</v>
      </c>
      <c r="G136" s="8" t="str">
        <f>IFERROR(__xludf.DUMMYFUNCTION(" GOOGLETRANSLATE(A136, ""en"", ""am"")"),"135")</f>
        <v>135</v>
      </c>
      <c r="H136" s="8" t="str">
        <f>IFERROR(__xludf.DUMMYFUNCTION(" GOOGLETRANSLATE(B136, ""en"", ""am"")"),"በአባ ገዳ ትግል ወቅት የተቃዋሚን ፀጉር መጎተት ህጋዊ ነው?")</f>
        <v>በአባ ገዳ ትግል ወቅት የተቃዋሚን ፀጉር መጎተት ህጋዊ ነው?</v>
      </c>
      <c r="I136" s="8" t="str">
        <f>IFERROR(__xludf.DUMMYFUNCTION(" GOOGLETRANSLATE(C136, ""en"", ""am"")"),"A. አይ ለ. አዎ ሐ. አዎ፣ ግን ለመከላከል ብቻ። D. አዎ, ግን የቴክኒኩ አካል ከሆነ ብቻ ነው.")</f>
        <v>A. አይ ለ. አዎ ሐ. አዎ፣ ግን ለመከላከል ብቻ። D. አዎ, ግን የቴክኒኩ አካል ከሆነ ብቻ ነው.</v>
      </c>
      <c r="J136" s="8" t="str">
        <f>IFERROR(__xludf.DUMMYFUNCTION(" GOOGLETRANSLATE(D136, ""en"", ""am"")"),"አይ")</f>
        <v>አይ</v>
      </c>
      <c r="K136" s="8" t="str">
        <f>IFERROR(__xludf.DUMMYFUNCTION(" GOOGLETRANSLATE(E136, ""en"", ""am"")"),"የተቃዋሚን ፀጉር መሳብ ሕገወጥ ነው።")</f>
        <v>የተቃዋሚን ፀጉር መሳብ ሕገወጥ ነው።</v>
      </c>
    </row>
    <row r="137" ht="22.5" customHeight="1">
      <c r="A137" s="13">
        <v>136.0</v>
      </c>
      <c r="B137" s="14" t="s">
        <v>1847</v>
      </c>
      <c r="C137" s="14" t="s">
        <v>1848</v>
      </c>
      <c r="D137" s="14" t="s">
        <v>287</v>
      </c>
      <c r="E137" s="14" t="s">
        <v>1849</v>
      </c>
      <c r="G137" s="8" t="str">
        <f>IFERROR(__xludf.DUMMYFUNCTION(" GOOGLETRANSLATE(A137, ""en"", ""am"")"),"136")</f>
        <v>136</v>
      </c>
      <c r="H137" s="8" t="str">
        <f>IFERROR(__xludf.DUMMYFUNCTION(" GOOGLETRANSLATE(B137, ""en"", ""am"")"),"በአባ ገዳ ትግል ለተሳካ ውጤት ስንት ነጥብ ተሰጥቷል?")</f>
        <v>በአባ ገዳ ትግል ለተሳካ ውጤት ስንት ነጥብ ተሰጥቷል?</v>
      </c>
      <c r="I137" s="8" t="str">
        <f>IFERROR(__xludf.DUMMYFUNCTION(" GOOGLETRANSLATE(C137, ""en"", ""am"")"),"አ.2 ለ. 3 ሐ. 4 ዲ. 5")</f>
        <v>አ.2 ለ. 3 ሐ. 4 ዲ. 5</v>
      </c>
      <c r="J137" s="8" t="str">
        <f>IFERROR(__xludf.DUMMYFUNCTION(" GOOGLETRANSLATE(D137, ""en"", ""am"")"),"3")</f>
        <v>3</v>
      </c>
      <c r="K137" s="8" t="str">
        <f>IFERROR(__xludf.DUMMYFUNCTION(" GOOGLETRANSLATE(E137, ""en"", ""am"")"),"የተሳካ ማስረከብ 3 ነጥብ ያገኛል።")</f>
        <v>የተሳካ ማስረከብ 3 ነጥብ ያገኛል።</v>
      </c>
    </row>
    <row r="138" ht="22.5" customHeight="1">
      <c r="A138" s="13">
        <v>137.0</v>
      </c>
      <c r="B138" s="14" t="s">
        <v>1850</v>
      </c>
      <c r="C138" s="14" t="s">
        <v>1851</v>
      </c>
      <c r="D138" s="14" t="s">
        <v>1451</v>
      </c>
      <c r="E138" s="14" t="s">
        <v>1852</v>
      </c>
      <c r="G138" s="8" t="str">
        <f>IFERROR(__xludf.DUMMYFUNCTION(" GOOGLETRANSLATE(A138, ""en"", ""am"")"),"137")</f>
        <v>137</v>
      </c>
      <c r="H138" s="8" t="str">
        <f>IFERROR(__xludf.DUMMYFUNCTION(" GOOGLETRANSLATE(B138, ""en"", ""am"")"),"ታጋይ ተቃዋሚን ለመምታት ብቁ ሊሆን ይችላል?")</f>
        <v>ታጋይ ተቃዋሚን ለመምታት ብቁ ሊሆን ይችላል?</v>
      </c>
      <c r="I138" s="8" t="str">
        <f>IFERROR(__xludf.DUMMYFUNCTION(" GOOGLETRANSLATE(C138, ""en"", ""am"")"),"ሀ. አዎ ለ. አይ ሐ. አዎ፣ ግን በዳኛው ፈቃድ ብቻ። መ. አዎ፣ ነገር ግን ከተመታ ብቻ።")</f>
        <v>ሀ. አዎ ለ. አይ ሐ. አዎ፣ ግን በዳኛው ፈቃድ ብቻ። መ. አዎ፣ ነገር ግን ከተመታ ብቻ።</v>
      </c>
      <c r="J138" s="8" t="str">
        <f>IFERROR(__xludf.DUMMYFUNCTION(" GOOGLETRANSLATE(D138, ""en"", ""am"")"),"አዎ")</f>
        <v>አዎ</v>
      </c>
      <c r="K138" s="8" t="str">
        <f>IFERROR(__xludf.DUMMYFUNCTION(" GOOGLETRANSLATE(E138, ""en"", ""am"")"),"ተቃዋሚውን መምታት ብቃት ማነስን ያስከትላል።")</f>
        <v>ተቃዋሚውን መምታት ብቃት ማነስን ያስከትላል።</v>
      </c>
    </row>
    <row r="139" ht="22.5" customHeight="1">
      <c r="A139" s="13">
        <v>138.0</v>
      </c>
      <c r="B139" s="14" t="s">
        <v>1853</v>
      </c>
      <c r="C139" s="14" t="s">
        <v>1854</v>
      </c>
      <c r="D139" s="14" t="s">
        <v>1451</v>
      </c>
      <c r="E139" s="14" t="s">
        <v>1855</v>
      </c>
      <c r="G139" s="8" t="str">
        <f>IFERROR(__xludf.DUMMYFUNCTION(" GOOGLETRANSLATE(A139, ""en"", ""am"")"),"138")</f>
        <v>138</v>
      </c>
      <c r="H139" s="8" t="str">
        <f>IFERROR(__xludf.DUMMYFUNCTION(" GOOGLETRANSLATE(B139, ""en"", ""am"")"),"ተፋላሚ በግጥሚያ ግጥሚያ ላይ የእግር መቆለፍ ይችላል?")</f>
        <v>ተፋላሚ በግጥሚያ ግጥሚያ ላይ የእግር መቆለፍ ይችላል?</v>
      </c>
      <c r="I139" s="8" t="str">
        <f>IFERROR(__xludf.DUMMYFUNCTION(" GOOGLETRANSLATE(C139, ""en"", ""am"")"),"ሀ. አዎ ለ. አይ ሐ. አዎ፣ ግን በተቃዋሚው ከተጀመረ ብቻ ነው። መ. አዎ፣ ግን በመጨረሻው ዙር ብቻ።")</f>
        <v>ሀ. አዎ ለ. አይ ሐ. አዎ፣ ግን በተቃዋሚው ከተጀመረ ብቻ ነው። መ. አዎ፣ ግን በመጨረሻው ዙር ብቻ።</v>
      </c>
      <c r="J139" s="8" t="str">
        <f>IFERROR(__xludf.DUMMYFUNCTION(" GOOGLETRANSLATE(D139, ""en"", ""am"")"),"አዎ")</f>
        <v>አዎ</v>
      </c>
      <c r="K139" s="8" t="str">
        <f>IFERROR(__xludf.DUMMYFUNCTION(" GOOGLETRANSLATE(E139, ""en"", ""am"")"),"በአባ ገዳ የትግል ውድድር የእግር መቆለፍ ተፈቅዶለታል።")</f>
        <v>በአባ ገዳ የትግል ውድድር የእግር መቆለፍ ተፈቅዶለታል።</v>
      </c>
    </row>
    <row r="140" ht="22.5" customHeight="1">
      <c r="A140" s="13">
        <v>139.0</v>
      </c>
      <c r="B140" s="14" t="s">
        <v>1856</v>
      </c>
      <c r="C140" s="14" t="s">
        <v>1857</v>
      </c>
      <c r="D140" s="14" t="s">
        <v>1418</v>
      </c>
      <c r="E140" s="14" t="s">
        <v>1858</v>
      </c>
      <c r="G140" s="8" t="str">
        <f>IFERROR(__xludf.DUMMYFUNCTION(" GOOGLETRANSLATE(A140, ""en"", ""am"")"),"139")</f>
        <v>139</v>
      </c>
      <c r="H140" s="8" t="str">
        <f>IFERROR(__xludf.DUMMYFUNCTION(" GOOGLETRANSLATE(B140, ""en"", ""am"")"),"ሁለቱም ተዋጊዎች በአንድ ጊዜ ድንበሩን ቢለቁ ምን ይሆናል?")</f>
        <v>ሁለቱም ተዋጊዎች በአንድ ጊዜ ድንበሩን ቢለቁ ምን ይሆናል?</v>
      </c>
      <c r="I140" s="8" t="str">
        <f>IFERROR(__xludf.DUMMYFUNCTION(" GOOGLETRANSLATE(C140, ""en"", ""am"")"),"ሀ. ግጥሚያው እንደገና ተጀምሯል። ለ. ተቃዋሚው በነባሪ ያሸንፋል። C. ጨዋታው ቀጥሏል። መ. አንድ ነጥብ ለተቃዋሚው ይሰጣል.")</f>
        <v>ሀ. ግጥሚያው እንደገና ተጀምሯል። ለ. ተቃዋሚው በነባሪ ያሸንፋል። C. ጨዋታው ቀጥሏል። መ. አንድ ነጥብ ለተቃዋሚው ይሰጣል.</v>
      </c>
      <c r="J140" s="8" t="str">
        <f>IFERROR(__xludf.DUMMYFUNCTION(" GOOGLETRANSLATE(D140, ""en"", ""am"")"),"ጨዋታው እንደገና ተጀምሯል።")</f>
        <v>ጨዋታው እንደገና ተጀምሯል።</v>
      </c>
      <c r="K140" s="8" t="str">
        <f>IFERROR(__xludf.DUMMYFUNCTION(" GOOGLETRANSLATE(E140, ""en"", ""am"")"),"ሁለቱም ተፋላሚዎች ከወሰን ውጪ ከወደቁ ግጥሚያው እንደገና ይጀምራል።")</f>
        <v>ሁለቱም ተፋላሚዎች ከወሰን ውጪ ከወደቁ ግጥሚያው እንደገና ይጀምራል።</v>
      </c>
    </row>
    <row r="141" ht="22.5" customHeight="1">
      <c r="A141" s="13">
        <v>140.0</v>
      </c>
      <c r="B141" s="14" t="s">
        <v>1859</v>
      </c>
      <c r="C141" s="14" t="s">
        <v>1860</v>
      </c>
      <c r="D141" s="14" t="s">
        <v>1558</v>
      </c>
      <c r="E141" s="14" t="s">
        <v>1861</v>
      </c>
      <c r="G141" s="8" t="str">
        <f>IFERROR(__xludf.DUMMYFUNCTION(" GOOGLETRANSLATE(A141, ""en"", ""am"")"),"140")</f>
        <v>140</v>
      </c>
      <c r="H141" s="8" t="str">
        <f>IFERROR(__xludf.DUMMYFUNCTION(" GOOGLETRANSLATE(B141, ""en"", ""am"")"),"በአባ ገዳ ትግል ውስጥ የዙር ጊዜ ገደብ ስንት ነው?")</f>
        <v>በአባ ገዳ ትግል ውስጥ የዙር ጊዜ ገደብ ስንት ነው?</v>
      </c>
      <c r="I141" s="8" t="str">
        <f>IFERROR(__xludf.DUMMYFUNCTION(" GOOGLETRANSLATE(C141, ""en"", ""am"")"),"ሀ.3ደቂቃ ለ.5ደቂቃ ሐ.10ደቂቃ መ.15ደቂቃ")</f>
        <v>ሀ.3ደቂቃ ለ.5ደቂቃ ሐ.10ደቂቃ መ.15ደቂቃ</v>
      </c>
      <c r="J141" s="8" t="str">
        <f>IFERROR(__xludf.DUMMYFUNCTION(" GOOGLETRANSLATE(D141, ""en"", ""am"")"),"5 ደቂቃዎች")</f>
        <v>5 ደቂቃዎች</v>
      </c>
      <c r="K141" s="8" t="str">
        <f>IFERROR(__xludf.DUMMYFUNCTION(" GOOGLETRANSLATE(E141, ""en"", ""am"")"),"እያንዳንዱ ዙር አብዛኛውን ጊዜ ለ 5 ደቂቃዎች ይቆያል.")</f>
        <v>እያንዳንዱ ዙር አብዛኛውን ጊዜ ለ 5 ደቂቃዎች ይቆያል.</v>
      </c>
    </row>
    <row r="142" ht="22.5" customHeight="1">
      <c r="A142" s="13">
        <v>141.0</v>
      </c>
      <c r="B142" s="14" t="s">
        <v>1862</v>
      </c>
      <c r="C142" s="14" t="s">
        <v>1863</v>
      </c>
      <c r="D142" s="14" t="s">
        <v>1437</v>
      </c>
      <c r="E142" s="14" t="s">
        <v>1864</v>
      </c>
      <c r="G142" s="8" t="str">
        <f>IFERROR(__xludf.DUMMYFUNCTION(" GOOGLETRANSLATE(A142, ""en"", ""am"")"),"141")</f>
        <v>141</v>
      </c>
      <c r="H142" s="8" t="str">
        <f>IFERROR(__xludf.DUMMYFUNCTION(" GOOGLETRANSLATE(B142, ""en"", ""am"")"),"ተዋጊ ከየትኛውም ቦታ ሆኖ ማስረከብ ይችላል?")</f>
        <v>ተዋጊ ከየትኛውም ቦታ ሆኖ ማስረከብ ይችላል?</v>
      </c>
      <c r="I142" s="8" t="str">
        <f>IFERROR(__xludf.DUMMYFUNCTION(" GOOGLETRANSLATE(C142, ""en"", ""am"")"),"A. አይ ለ. አዎ፣ ግን መሬት ላይ ብቻ ሐ. አዎ፣ ግን ከቆሙበት ብቻ። መ. አዎ")</f>
        <v>A. አይ ለ. አዎ፣ ግን መሬት ላይ ብቻ ሐ. አዎ፣ ግን ከቆሙበት ብቻ። መ. አዎ</v>
      </c>
      <c r="J142" s="8" t="str">
        <f>IFERROR(__xludf.DUMMYFUNCTION(" GOOGLETRANSLATE(D142, ""en"", ""am"")"),"አይ")</f>
        <v>አይ</v>
      </c>
      <c r="K142" s="8" t="str">
        <f>IFERROR(__xludf.DUMMYFUNCTION(" GOOGLETRANSLATE(E142, ""en"", ""am"")"),"የማስረከቢያ መያዣዎች በተወሰኑ ቦታዎች ላይ ብቻ ሊሠሩ ይችላሉ.")</f>
        <v>የማስረከቢያ መያዣዎች በተወሰኑ ቦታዎች ላይ ብቻ ሊሠሩ ይችላሉ.</v>
      </c>
    </row>
    <row r="143" ht="22.5" customHeight="1">
      <c r="A143" s="13">
        <v>142.0</v>
      </c>
      <c r="B143" s="14" t="s">
        <v>1865</v>
      </c>
      <c r="C143" s="14" t="s">
        <v>1866</v>
      </c>
      <c r="D143" s="14" t="s">
        <v>1867</v>
      </c>
      <c r="E143" s="14" t="s">
        <v>1868</v>
      </c>
      <c r="G143" s="8" t="str">
        <f>IFERROR(__xludf.DUMMYFUNCTION(" GOOGLETRANSLATE(A143, ""en"", ""am"")"),"142")</f>
        <v>142</v>
      </c>
      <c r="H143" s="8" t="str">
        <f>IFERROR(__xludf.DUMMYFUNCTION(" GOOGLETRANSLATE(B143, ""en"", ""am"")"),"በአባ ገዳ ትግል ውስጥ የጥበቃ ቦታው ዓላማው ምንድን ነው?")</f>
        <v>በአባ ገዳ ትግል ውስጥ የጥበቃ ቦታው ዓላማው ምንድን ነው?</v>
      </c>
      <c r="I143" s="8" t="str">
        <f>IFERROR(__xludf.DUMMYFUNCTION(" GOOGLETRANSLATE(C143, ""en"", ""am"")"),"ሀ. መወርወርን ለመከላከል ለ. የተቃዋሚውን እንቅስቃሴ ለመቆጣጠር ሐ. ተቀናቃኙን ለመሰካት መ. ለማረፍ እና ስልት ለማውጣት")</f>
        <v>ሀ. መወርወርን ለመከላከል ለ. የተቃዋሚውን እንቅስቃሴ ለመቆጣጠር ሐ. ተቀናቃኙን ለመሰካት መ. ለማረፍ እና ስልት ለማውጣት</v>
      </c>
      <c r="J143" s="8" t="str">
        <f>IFERROR(__xludf.DUMMYFUNCTION(" GOOGLETRANSLATE(D143, ""en"", ""am"")"),"መወርወርን ለመከላከል")</f>
        <v>መወርወርን ለመከላከል</v>
      </c>
      <c r="K143" s="8" t="str">
        <f>IFERROR(__xludf.DUMMYFUNCTION(" GOOGLETRANSLATE(E143, ""en"", ""am"")"),"የጠባቂው ቦታ ውርወራዎችን ለመከላከል እና ቁጥጥርን ለመጠበቅ ያገለግላል.")</f>
        <v>የጠባቂው ቦታ ውርወራዎችን ለመከላከል እና ቁጥጥርን ለመጠበቅ ያገለግላል.</v>
      </c>
    </row>
    <row r="144" ht="22.5" customHeight="1">
      <c r="A144" s="13">
        <v>143.0</v>
      </c>
      <c r="B144" s="14" t="s">
        <v>1869</v>
      </c>
      <c r="C144" s="14" t="s">
        <v>1870</v>
      </c>
      <c r="D144" s="14" t="s">
        <v>1871</v>
      </c>
      <c r="E144" s="14" t="s">
        <v>1872</v>
      </c>
      <c r="G144" s="8" t="str">
        <f>IFERROR(__xludf.DUMMYFUNCTION(" GOOGLETRANSLATE(A144, ""en"", ""am"")"),"143")</f>
        <v>143</v>
      </c>
      <c r="H144" s="8" t="str">
        <f>IFERROR(__xludf.DUMMYFUNCTION(" GOOGLETRANSLATE(B144, ""en"", ""am"")"),"በመወርወር ጊዜ የሚፈቀደው ከፍተኛው መያዣ ምንድን ነው?")</f>
        <v>በመወርወር ጊዜ የሚፈቀደው ከፍተኛው መያዣ ምንድን ነው?</v>
      </c>
      <c r="I144" s="8" t="str">
        <f>IFERROR(__xludf.DUMMYFUNCTION(" GOOGLETRANSLATE(C144, ""en"", ""am"")"),"ሀ. አንድ እጅ ለ. ሁለቱም እጆች ሐ. ማንኛውም መያዣ D. ሁለት እጆች ከቁጥጥር ጋር")</f>
        <v>ሀ. አንድ እጅ ለ. ሁለቱም እጆች ሐ. ማንኛውም መያዣ D. ሁለት እጆች ከቁጥጥር ጋር</v>
      </c>
      <c r="J144" s="8" t="str">
        <f>IFERROR(__xludf.DUMMYFUNCTION(" GOOGLETRANSLATE(D144, ""en"", ""am"")"),"ሁለቱም እጆች")</f>
        <v>ሁለቱም እጆች</v>
      </c>
      <c r="K144" s="8" t="str">
        <f>IFERROR(__xludf.DUMMYFUNCTION(" GOOGLETRANSLATE(E144, ""en"", ""am"")"),"አንድ ተዋጊ በሁለት እጆቹ ውርወራውን መቆጣጠር አለበት።")</f>
        <v>አንድ ተዋጊ በሁለት እጆቹ ውርወራውን መቆጣጠር አለበት።</v>
      </c>
    </row>
    <row r="145" ht="22.5" customHeight="1">
      <c r="A145" s="13">
        <v>144.0</v>
      </c>
      <c r="B145" s="14" t="s">
        <v>1873</v>
      </c>
      <c r="C145" s="14" t="s">
        <v>1874</v>
      </c>
      <c r="D145" s="14" t="s">
        <v>1437</v>
      </c>
      <c r="E145" s="14" t="s">
        <v>1875</v>
      </c>
      <c r="G145" s="8" t="str">
        <f>IFERROR(__xludf.DUMMYFUNCTION(" GOOGLETRANSLATE(A145, ""en"", ""am"")"),"144")</f>
        <v>144</v>
      </c>
      <c r="H145" s="8" t="str">
        <f>IFERROR(__xludf.DUMMYFUNCTION(" GOOGLETRANSLATE(B145, ""en"", ""am"")"),"ተቃዋሚን በክርን ማሰር ህጋዊ ነው?")</f>
        <v>ተቃዋሚን በክርን ማሰር ህጋዊ ነው?</v>
      </c>
      <c r="I145" s="8" t="str">
        <f>IFERROR(__xludf.DUMMYFUNCTION(" GOOGLETRANSLATE(C145, ""en"", ""am"")"),"ሀ. አዎ ለ. አይ ሐ. አዎ፣ ግን በዳኛው ይሁንታ ብቻ። መ. አዎ፣ ግን ለመከላከል ብቻ።")</f>
        <v>ሀ. አዎ ለ. አይ ሐ. አዎ፣ ግን በዳኛው ይሁንታ ብቻ። መ. አዎ፣ ግን ለመከላከል ብቻ።</v>
      </c>
      <c r="J145" s="8" t="str">
        <f>IFERROR(__xludf.DUMMYFUNCTION(" GOOGLETRANSLATE(D145, ""en"", ""am"")"),"አይ")</f>
        <v>አይ</v>
      </c>
      <c r="K145" s="8" t="str">
        <f>IFERROR(__xludf.DUMMYFUNCTION(" GOOGLETRANSLATE(E145, ""en"", ""am"")"),"ተቃዋሚን በክርን ማሰር ህገወጥ ነው።")</f>
        <v>ተቃዋሚን በክርን ማሰር ህገወጥ ነው።</v>
      </c>
    </row>
    <row r="146" ht="22.5" customHeight="1">
      <c r="A146" s="13">
        <v>145.0</v>
      </c>
      <c r="B146" s="14" t="s">
        <v>1876</v>
      </c>
      <c r="C146" s="14" t="s">
        <v>1581</v>
      </c>
      <c r="D146" s="14" t="s">
        <v>1540</v>
      </c>
      <c r="E146" s="14" t="s">
        <v>1877</v>
      </c>
      <c r="G146" s="8" t="str">
        <f>IFERROR(__xludf.DUMMYFUNCTION(" GOOGLETRANSLATE(A146, ""en"", ""am"")"),"145")</f>
        <v>145</v>
      </c>
      <c r="H146" s="8" t="str">
        <f>IFERROR(__xludf.DUMMYFUNCTION(" GOOGLETRANSLATE(B146, ""en"", ""am"")"),"በጨዋታ ጊዜ ሆን ብሎ የቆመ ታጋይ ቅጣቱ ምንድን ነው?")</f>
        <v>በጨዋታ ጊዜ ሆን ብሎ የቆመ ታጋይ ቅጣቱ ምንድን ነው?</v>
      </c>
      <c r="I146" s="8" t="str">
        <f>IFERROR(__xludf.DUMMYFUNCTION(" GOOGLETRANSLATE(C146, ""en"", ""am"")"),"ሀ. ነጥብ መቀነስ ለ. ብቁ አለመሆን ሐ. ማስጠንቀቂያ መ. ግጥሚያው እንደገና ተጀምሯል።")</f>
        <v>ሀ. ነጥብ መቀነስ ለ. ብቁ አለመሆን ሐ. ማስጠንቀቂያ መ. ግጥሚያው እንደገና ተጀምሯል።</v>
      </c>
      <c r="J146" s="8" t="str">
        <f>IFERROR(__xludf.DUMMYFUNCTION(" GOOGLETRANSLATE(D146, ""en"", ""am"")"),"የነጥብ ቅነሳ")</f>
        <v>የነጥብ ቅነሳ</v>
      </c>
      <c r="K146" s="8" t="str">
        <f>IFERROR(__xludf.DUMMYFUNCTION(" GOOGLETRANSLATE(E146, ""en"", ""am"")"),"ሆን ተብሎ ማቆም ወደ ነጥብ ቅነሳ ይመራል.")</f>
        <v>ሆን ተብሎ ማቆም ወደ ነጥብ ቅነሳ ይመራል.</v>
      </c>
    </row>
    <row r="147" ht="22.5" customHeight="1">
      <c r="A147" s="13">
        <v>146.0</v>
      </c>
      <c r="B147" s="14" t="s">
        <v>1878</v>
      </c>
      <c r="C147" s="14" t="s">
        <v>1879</v>
      </c>
      <c r="D147" s="14" t="s">
        <v>1451</v>
      </c>
      <c r="E147" s="14" t="s">
        <v>1880</v>
      </c>
      <c r="G147" s="8" t="str">
        <f>IFERROR(__xludf.DUMMYFUNCTION(" GOOGLETRANSLATE(A147, ""en"", ""am"")"),"146")</f>
        <v>146</v>
      </c>
      <c r="H147" s="8" t="str">
        <f>IFERROR(__xludf.DUMMYFUNCTION(" GOOGLETRANSLATE(B147, ""en"", ""am"")"),"ተጋዳላይ በትግል ግጥሚያ ላይ የሰውነት ግንባታ ማድረግ ይችላል?")</f>
        <v>ተጋዳላይ በትግል ግጥሚያ ላይ የሰውነት ግንባታ ማድረግ ይችላል?</v>
      </c>
      <c r="I147" s="8" t="str">
        <f>IFERROR(__xludf.DUMMYFUNCTION(" GOOGLETRANSLATE(C147, ""en"", ""am"")"),"ሀ. አዎ ለ. አይ ሐ. አዎ፣ ግን ከፒን ለማምለጥ ብቻ። D. አዎ, ግን በመግቢያው ውስጥ ብቻ.")</f>
        <v>ሀ. አዎ ለ. አይ ሐ. አዎ፣ ግን ከፒን ለማምለጥ ብቻ። D. አዎ, ግን በመግቢያው ውስጥ ብቻ.</v>
      </c>
      <c r="J147" s="8" t="str">
        <f>IFERROR(__xludf.DUMMYFUNCTION(" GOOGLETRANSLATE(D147, ""en"", ""am"")"),"አዎ")</f>
        <v>አዎ</v>
      </c>
      <c r="K147" s="8" t="str">
        <f>IFERROR(__xludf.DUMMYFUNCTION(" GOOGLETRANSLATE(E147, ""en"", ""am"")"),"በአባ ገዳ ትግል አካላዊ ጥቃት ተፈቅዷል።")</f>
        <v>በአባ ገዳ ትግል አካላዊ ጥቃት ተፈቅዷል።</v>
      </c>
    </row>
    <row r="148" ht="22.5" customHeight="1">
      <c r="A148" s="13">
        <v>147.0</v>
      </c>
      <c r="B148" s="14" t="s">
        <v>1420</v>
      </c>
      <c r="C148" s="14" t="s">
        <v>1881</v>
      </c>
      <c r="D148" s="14" t="s">
        <v>1179</v>
      </c>
      <c r="E148" s="14" t="s">
        <v>1655</v>
      </c>
      <c r="G148" s="8" t="str">
        <f>IFERROR(__xludf.DUMMYFUNCTION(" GOOGLETRANSLATE(A148, ""en"", ""am"")"),"147")</f>
        <v>147</v>
      </c>
      <c r="H148" s="8" t="str">
        <f>IFERROR(__xludf.DUMMYFUNCTION(" GOOGLETRANSLATE(B148, ""en"", ""am"")"),"አንድ ታጋይ ሆን ብሎ ተቃዋሚውን ቢጎዳ ምን ይሆናል?")</f>
        <v>አንድ ታጋይ ሆን ብሎ ተቃዋሚውን ቢጎዳ ምን ይሆናል?</v>
      </c>
      <c r="I148" s="8" t="str">
        <f>IFERROR(__xludf.DUMMYFUNCTION(" GOOGLETRANSLATE(C148, ""en"", ""am"")"),"ሀ. የነጥብ ቅነሳ ለ. ብቁ አለመሆን ሐ. ተቃዋሚው በነባሪነት ያሸንፋል። መ. ግጥሚያው እንደገና ተጀምሯል።")</f>
        <v>ሀ. የነጥብ ቅነሳ ለ. ብቁ አለመሆን ሐ. ተቃዋሚው በነባሪነት ያሸንፋል። መ. ግጥሚያው እንደገና ተጀምሯል።</v>
      </c>
      <c r="J148" s="8" t="str">
        <f>IFERROR(__xludf.DUMMYFUNCTION(" GOOGLETRANSLATE(D148, ""en"", ""am"")"),"ብቁ አለመሆን")</f>
        <v>ብቁ አለመሆን</v>
      </c>
      <c r="K148" s="8" t="str">
        <f>IFERROR(__xludf.DUMMYFUNCTION(" GOOGLETRANSLATE(E148, ""en"", ""am"")"),"ሆን ብሎ ተቃዋሚን መጉዳት ብቃት ማጣትን ያስከትላል።")</f>
        <v>ሆን ብሎ ተቃዋሚን መጉዳት ብቃት ማጣትን ያስከትላል።</v>
      </c>
    </row>
    <row r="149" ht="22.5" customHeight="1">
      <c r="A149" s="13">
        <v>148.0</v>
      </c>
      <c r="B149" s="14" t="s">
        <v>1882</v>
      </c>
      <c r="C149" s="14" t="s">
        <v>1883</v>
      </c>
      <c r="D149" s="14" t="s">
        <v>1451</v>
      </c>
      <c r="E149" s="14" t="s">
        <v>1884</v>
      </c>
      <c r="G149" s="8" t="str">
        <f>IFERROR(__xludf.DUMMYFUNCTION(" GOOGLETRANSLATE(A149, ""en"", ""am"")"),"148")</f>
        <v>148</v>
      </c>
      <c r="H149" s="8" t="str">
        <f>IFERROR(__xludf.DUMMYFUNCTION(" GOOGLETRANSLATE(B149, ""en"", ""am"")"),"ተጋዳላይ በአባ ገዳ ሬስሊንግ ውስጥ ብልጭታ ማድረግ ይችላል?")</f>
        <v>ተጋዳላይ በአባ ገዳ ሬስሊንግ ውስጥ ብልጭታ ማድረግ ይችላል?</v>
      </c>
      <c r="I149" s="8" t="str">
        <f>IFERROR(__xludf.DUMMYFUNCTION(" GOOGLETRANSLATE(C149, ""en"", ""am"")"),"ሀ. አዎ ለ. አይ ሐ. አዎ፣ ግን በተቃዋሚው ከተጀመረ ብቻ ነው። መ. አዎ፣ ግን እንደ መከላከያ እርምጃ ብቻ።")</f>
        <v>ሀ. አዎ ለ. አይ ሐ. አዎ፣ ግን በተቃዋሚው ከተጀመረ ብቻ ነው። መ. አዎ፣ ግን እንደ መከላከያ እርምጃ ብቻ።</v>
      </c>
      <c r="J149" s="8" t="str">
        <f>IFERROR(__xludf.DUMMYFUNCTION(" GOOGLETRANSLATE(D149, ""en"", ""am"")"),"አዎ")</f>
        <v>አዎ</v>
      </c>
      <c r="K149" s="8" t="str">
        <f>IFERROR(__xludf.DUMMYFUNCTION(" GOOGLETRANSLATE(E149, ""en"", ""am"")"),"በአባ ገዳ ትግል ውስጥ ጥሎ ማለፍ ይፈቀዳል።")</f>
        <v>በአባ ገዳ ትግል ውስጥ ጥሎ ማለፍ ይፈቀዳል።</v>
      </c>
    </row>
    <row r="150" ht="22.5" customHeight="1">
      <c r="A150" s="13">
        <v>149.0</v>
      </c>
      <c r="B150" s="14" t="s">
        <v>1885</v>
      </c>
      <c r="C150" s="14" t="s">
        <v>1886</v>
      </c>
      <c r="D150" s="14" t="s">
        <v>1887</v>
      </c>
      <c r="E150" s="14" t="s">
        <v>1888</v>
      </c>
      <c r="G150" s="8" t="str">
        <f>IFERROR(__xludf.DUMMYFUNCTION(" GOOGLETRANSLATE(A150, ""en"", ""am"")"),"149")</f>
        <v>149</v>
      </c>
      <c r="H150" s="8" t="str">
        <f>IFERROR(__xludf.DUMMYFUNCTION(" GOOGLETRANSLATE(B150, ""en"", ""am"")"),"ሁለቱም ተዋጊዎች በአንድ ጊዜ ቢቆጠሩ ውጤቱ ምንድነው?")</f>
        <v>ሁለቱም ተዋጊዎች በአንድ ጊዜ ቢቆጠሩ ውጤቱ ምንድነው?</v>
      </c>
      <c r="I150" s="8" t="str">
        <f>IFERROR(__xludf.DUMMYFUNCTION(" GOOGLETRANSLATE(C150, ""en"", ""am"")"),"ሀ. ጨዋታው በአቻ ውጤት ነው። ለ. ተቃዋሚው ተጨማሪ ነጥብ ያገኛል. ሐ. ነጥቦቹ ውድቅ ሆነዋል። D. ጨዋታው ቀጥሏል።")</f>
        <v>ሀ. ጨዋታው በአቻ ውጤት ነው። ለ. ተቃዋሚው ተጨማሪ ነጥብ ያገኛል. ሐ. ነጥቦቹ ውድቅ ሆነዋል። D. ጨዋታው ቀጥሏል።</v>
      </c>
      <c r="J150" s="8" t="str">
        <f>IFERROR(__xludf.DUMMYFUNCTION(" GOOGLETRANSLATE(D150, ""en"", ""am"")"),"ጨዋታው ቀጥሏል።")</f>
        <v>ጨዋታው ቀጥሏል።</v>
      </c>
      <c r="K150" s="8" t="str">
        <f>IFERROR(__xludf.DUMMYFUNCTION(" GOOGLETRANSLATE(E150, ""en"", ""am"")"),"በተመሳሳይ ጊዜ የተቆጠሩ ነጥቦች በጨዋታው ላይ ተጽዕኖ አይኖራቸውም እና ይቀጥላል.")</f>
        <v>በተመሳሳይ ጊዜ የተቆጠሩ ነጥቦች በጨዋታው ላይ ተጽዕኖ አይኖራቸውም እና ይቀጥላል.</v>
      </c>
    </row>
    <row r="151" ht="22.5" customHeight="1">
      <c r="A151" s="13">
        <v>150.0</v>
      </c>
      <c r="B151" s="14" t="s">
        <v>1889</v>
      </c>
      <c r="C151" s="14" t="s">
        <v>1890</v>
      </c>
      <c r="D151" s="14" t="s">
        <v>1802</v>
      </c>
      <c r="E151" s="14" t="s">
        <v>1891</v>
      </c>
      <c r="G151" s="8" t="str">
        <f>IFERROR(__xludf.DUMMYFUNCTION(" GOOGLETRANSLATE(A151, ""en"", ""am"")"),"150")</f>
        <v>150</v>
      </c>
      <c r="H151" s="8" t="str">
        <f>IFERROR(__xludf.DUMMYFUNCTION(" GOOGLETRANSLATE(B151, ""en"", ""am"")"),"አንድ ተዋጊ ግጥሚያውን ለመቀጠል ፈቃደኛ ካልሆነ ምን ይከሰታል?")</f>
        <v>አንድ ተዋጊ ግጥሚያውን ለመቀጠል ፈቃደኛ ካልሆነ ምን ይከሰታል?</v>
      </c>
      <c r="I151" s="8" t="str">
        <f>IFERROR(__xludf.DUMMYFUNCTION(" GOOGLETRANSLATE(C151, ""en"", ""am"")"),"ሀ. ተቃዋሚው ያሸንፋል። ለ. ግጥሚያው ተሰርዟል። ሐ. ተዋጊው ውድቅ ተደርጓል። መ. ግጥሚያው እንደገና ተጀምሯል።")</f>
        <v>ሀ. ተቃዋሚው ያሸንፋል። ለ. ግጥሚያው ተሰርዟል። ሐ. ተዋጊው ውድቅ ተደርጓል። መ. ግጥሚያው እንደገና ተጀምሯል።</v>
      </c>
      <c r="J151" s="8" t="str">
        <f>IFERROR(__xludf.DUMMYFUNCTION(" GOOGLETRANSLATE(D151, ""en"", ""am"")"),"ተቃዋሚው ያሸንፋል።")</f>
        <v>ተቃዋሚው ያሸንፋል።</v>
      </c>
      <c r="K151" s="8" t="str">
        <f>IFERROR(__xludf.DUMMYFUNCTION(" GOOGLETRANSLATE(E151, ""en"", ""am"")"),"ተዋጊ ለመቀጠል ፈቃደኛ ካልሆነ ተቃዋሚው በራሱ ያሸንፋል።")</f>
        <v>ተዋጊ ለመቀጠል ፈቃደኛ ካልሆነ ተቃዋሚው በራሱ ያሸንፋል።</v>
      </c>
    </row>
    <row r="152" ht="22.5" customHeight="1">
      <c r="B152" s="7"/>
      <c r="C152" s="7"/>
      <c r="D152" s="7"/>
      <c r="E152" s="7"/>
    </row>
    <row r="153" ht="22.5" customHeight="1">
      <c r="A153" s="7"/>
      <c r="B153" s="7"/>
      <c r="C153" s="7"/>
      <c r="D153" s="7"/>
      <c r="E153" s="7"/>
    </row>
    <row r="154" ht="22.5" customHeight="1">
      <c r="A154" s="7"/>
      <c r="B154" s="7"/>
      <c r="C154" s="7"/>
      <c r="D154" s="7"/>
      <c r="E154" s="7"/>
    </row>
    <row r="155" ht="22.5" customHeight="1">
      <c r="A155" s="7"/>
      <c r="B155" s="7"/>
      <c r="C155" s="7"/>
      <c r="D155" s="7"/>
      <c r="E155" s="7"/>
    </row>
    <row r="156" ht="22.5" customHeight="1">
      <c r="A156" s="7"/>
      <c r="B156" s="7"/>
      <c r="C156" s="7"/>
      <c r="D156" s="7"/>
      <c r="E156" s="7"/>
    </row>
    <row r="157" ht="22.5" customHeight="1">
      <c r="A157" s="7"/>
      <c r="B157" s="7"/>
      <c r="C157" s="7"/>
      <c r="D157" s="7"/>
      <c r="E157" s="7"/>
    </row>
    <row r="158" ht="22.5" customHeight="1">
      <c r="A158" s="7"/>
      <c r="B158" s="7"/>
      <c r="C158" s="7"/>
      <c r="D158" s="7"/>
      <c r="E158" s="7"/>
    </row>
    <row r="159" ht="22.5" customHeight="1">
      <c r="A159" s="7"/>
      <c r="B159" s="7"/>
      <c r="C159" s="7"/>
      <c r="D159" s="7"/>
      <c r="E159" s="7"/>
    </row>
    <row r="160" ht="22.5" customHeight="1">
      <c r="A160" s="7"/>
      <c r="B160" s="7"/>
      <c r="C160" s="7"/>
      <c r="D160" s="7"/>
      <c r="E160" s="7"/>
    </row>
    <row r="161" ht="22.5" customHeight="1">
      <c r="A161" s="7"/>
      <c r="B161" s="7"/>
      <c r="C161" s="7"/>
      <c r="D161" s="7"/>
      <c r="E161" s="7"/>
    </row>
    <row r="162" ht="22.5" customHeight="1">
      <c r="A162" s="7"/>
      <c r="B162" s="7"/>
      <c r="C162" s="7"/>
      <c r="D162" s="7"/>
      <c r="E162" s="7"/>
    </row>
    <row r="163" ht="22.5" customHeight="1">
      <c r="A163" s="7"/>
      <c r="B163" s="7"/>
      <c r="C163" s="7"/>
      <c r="D163" s="7"/>
      <c r="E163" s="7"/>
    </row>
    <row r="164" ht="22.5" customHeight="1">
      <c r="A164" s="7"/>
      <c r="B164" s="7"/>
      <c r="C164" s="7"/>
      <c r="D164" s="7"/>
      <c r="E164" s="7"/>
    </row>
    <row r="165" ht="22.5" customHeight="1">
      <c r="A165" s="7"/>
      <c r="B165" s="7"/>
      <c r="C165" s="7"/>
      <c r="D165" s="7"/>
      <c r="E165" s="7"/>
    </row>
    <row r="166" ht="22.5" customHeight="1">
      <c r="A166" s="7"/>
      <c r="B166" s="7"/>
      <c r="C166" s="7"/>
      <c r="D166" s="7"/>
      <c r="E166" s="7"/>
    </row>
    <row r="167" ht="22.5" customHeight="1">
      <c r="A167" s="7"/>
      <c r="B167" s="7"/>
      <c r="C167" s="7"/>
      <c r="D167" s="7"/>
      <c r="E167" s="7"/>
    </row>
    <row r="168" ht="22.5" customHeight="1">
      <c r="A168" s="7"/>
      <c r="B168" s="7"/>
      <c r="C168" s="7"/>
      <c r="D168" s="7"/>
      <c r="E168" s="7"/>
    </row>
    <row r="169" ht="22.5" customHeight="1">
      <c r="A169" s="7"/>
      <c r="B169" s="7"/>
      <c r="C169" s="7"/>
      <c r="D169" s="7"/>
      <c r="E169" s="7"/>
    </row>
    <row r="170" ht="22.5" customHeight="1">
      <c r="A170" s="7"/>
      <c r="B170" s="7"/>
      <c r="C170" s="7"/>
      <c r="D170" s="7"/>
      <c r="E170" s="7"/>
    </row>
    <row r="171" ht="22.5" customHeight="1">
      <c r="A171" s="7"/>
      <c r="B171" s="7"/>
      <c r="C171" s="7"/>
      <c r="D171" s="7"/>
      <c r="E171" s="7"/>
    </row>
    <row r="172" ht="22.5" customHeight="1">
      <c r="A172" s="7"/>
      <c r="B172" s="7"/>
      <c r="C172" s="7"/>
      <c r="D172" s="7"/>
      <c r="E172" s="7"/>
    </row>
    <row r="173" ht="22.5" customHeight="1">
      <c r="A173" s="7"/>
      <c r="B173" s="7"/>
      <c r="C173" s="7"/>
      <c r="D173" s="7"/>
      <c r="E173" s="7"/>
    </row>
    <row r="174" ht="22.5" customHeight="1">
      <c r="A174" s="7"/>
      <c r="B174" s="7"/>
      <c r="C174" s="7"/>
      <c r="D174" s="7"/>
      <c r="E174" s="7"/>
    </row>
    <row r="175" ht="22.5" customHeight="1">
      <c r="A175" s="7"/>
      <c r="B175" s="7"/>
      <c r="C175" s="7"/>
      <c r="D175" s="7"/>
      <c r="E175" s="7"/>
    </row>
    <row r="176" ht="22.5" customHeight="1">
      <c r="A176" s="7"/>
      <c r="B176" s="7"/>
      <c r="C176" s="7"/>
      <c r="D176" s="7"/>
      <c r="E176" s="7"/>
    </row>
    <row r="177" ht="22.5" customHeight="1">
      <c r="A177" s="7"/>
      <c r="B177" s="7"/>
      <c r="C177" s="7"/>
      <c r="D177" s="7"/>
      <c r="E177" s="7"/>
    </row>
    <row r="178" ht="22.5" customHeight="1">
      <c r="A178" s="7"/>
      <c r="B178" s="7"/>
      <c r="C178" s="7"/>
      <c r="D178" s="7"/>
      <c r="E178" s="7"/>
    </row>
    <row r="179" ht="22.5" customHeight="1">
      <c r="A179" s="7"/>
      <c r="B179" s="7"/>
      <c r="C179" s="7"/>
      <c r="D179" s="7"/>
      <c r="E179" s="7"/>
    </row>
    <row r="180" ht="22.5" customHeight="1">
      <c r="A180" s="7"/>
      <c r="B180" s="7"/>
      <c r="C180" s="7"/>
      <c r="D180" s="7"/>
      <c r="E180" s="7"/>
    </row>
    <row r="181" ht="22.5" customHeight="1">
      <c r="A181" s="7"/>
      <c r="B181" s="7"/>
      <c r="C181" s="7"/>
      <c r="D181" s="7"/>
      <c r="E181" s="7"/>
    </row>
    <row r="182" ht="22.5" customHeight="1">
      <c r="A182" s="7"/>
      <c r="B182" s="7"/>
      <c r="C182" s="7"/>
      <c r="D182" s="7"/>
      <c r="E182" s="7"/>
    </row>
    <row r="183" ht="22.5" customHeight="1">
      <c r="A183" s="7"/>
      <c r="B183" s="7"/>
      <c r="C183" s="7"/>
      <c r="D183" s="7"/>
      <c r="E183" s="7"/>
    </row>
    <row r="184" ht="22.5" customHeight="1">
      <c r="A184" s="7"/>
      <c r="B184" s="7"/>
      <c r="C184" s="7"/>
      <c r="D184" s="7"/>
      <c r="E184" s="7"/>
    </row>
    <row r="185" ht="22.5" customHeight="1">
      <c r="A185" s="7"/>
      <c r="B185" s="7"/>
      <c r="C185" s="7"/>
      <c r="D185" s="7"/>
      <c r="E185" s="7"/>
    </row>
    <row r="186" ht="22.5" customHeight="1">
      <c r="A186" s="7"/>
      <c r="B186" s="7"/>
      <c r="C186" s="7"/>
      <c r="D186" s="7"/>
      <c r="E186" s="7"/>
    </row>
    <row r="187" ht="22.5" customHeight="1">
      <c r="A187" s="7"/>
      <c r="B187" s="7"/>
      <c r="C187" s="7"/>
      <c r="D187" s="7"/>
      <c r="E187" s="7"/>
    </row>
    <row r="188" ht="22.5" customHeight="1">
      <c r="A188" s="7"/>
      <c r="B188" s="7"/>
      <c r="C188" s="7"/>
      <c r="D188" s="7"/>
      <c r="E188" s="7"/>
    </row>
    <row r="189" ht="22.5" customHeight="1">
      <c r="A189" s="7"/>
      <c r="B189" s="7"/>
      <c r="C189" s="7"/>
      <c r="D189" s="7"/>
      <c r="E189" s="7"/>
    </row>
    <row r="190" ht="22.5" customHeight="1">
      <c r="A190" s="7"/>
      <c r="B190" s="7"/>
      <c r="C190" s="7"/>
      <c r="D190" s="7"/>
      <c r="E190" s="7"/>
    </row>
    <row r="191" ht="22.5" customHeight="1">
      <c r="A191" s="7"/>
      <c r="B191" s="7"/>
      <c r="C191" s="7"/>
      <c r="D191" s="7"/>
      <c r="E191" s="7"/>
    </row>
    <row r="192" ht="22.5" customHeight="1">
      <c r="A192" s="7"/>
      <c r="B192" s="7"/>
      <c r="C192" s="7"/>
      <c r="D192" s="7"/>
      <c r="E192" s="7"/>
    </row>
    <row r="193" ht="22.5" customHeight="1">
      <c r="A193" s="7"/>
      <c r="B193" s="7"/>
      <c r="C193" s="7"/>
      <c r="D193" s="7"/>
      <c r="E193" s="7"/>
    </row>
    <row r="194" ht="22.5" customHeight="1">
      <c r="A194" s="7"/>
      <c r="B194" s="7"/>
      <c r="C194" s="7"/>
      <c r="D194" s="7"/>
      <c r="E194" s="7"/>
    </row>
    <row r="195" ht="22.5" customHeight="1">
      <c r="A195" s="7"/>
      <c r="B195" s="7"/>
      <c r="C195" s="7"/>
      <c r="D195" s="7"/>
      <c r="E195" s="7"/>
    </row>
    <row r="196" ht="22.5" customHeight="1">
      <c r="A196" s="7"/>
      <c r="B196" s="7"/>
      <c r="C196" s="7"/>
      <c r="D196" s="7"/>
      <c r="E196" s="7"/>
    </row>
    <row r="197" ht="22.5" customHeight="1">
      <c r="A197" s="7"/>
      <c r="B197" s="7"/>
      <c r="C197" s="7"/>
      <c r="D197" s="7"/>
      <c r="E197" s="7"/>
    </row>
    <row r="198" ht="22.5" customHeight="1">
      <c r="A198" s="7"/>
      <c r="B198" s="7"/>
      <c r="C198" s="7"/>
      <c r="D198" s="7"/>
      <c r="E198" s="7"/>
    </row>
    <row r="199" ht="22.5" customHeight="1">
      <c r="A199" s="7"/>
      <c r="B199" s="7"/>
      <c r="C199" s="7"/>
      <c r="D199" s="7"/>
      <c r="E199" s="7"/>
    </row>
    <row r="200" ht="22.5" customHeight="1">
      <c r="A200" s="7"/>
      <c r="B200" s="7"/>
      <c r="C200" s="7"/>
      <c r="D200" s="7"/>
      <c r="E200" s="7"/>
    </row>
    <row r="201" ht="22.5" customHeight="1">
      <c r="A201" s="7"/>
      <c r="B201" s="7"/>
      <c r="C201" s="7"/>
      <c r="D201" s="7"/>
      <c r="E201" s="7"/>
    </row>
    <row r="202" ht="22.5" customHeight="1">
      <c r="A202" s="7"/>
      <c r="B202" s="7"/>
      <c r="C202" s="7"/>
      <c r="D202" s="7"/>
      <c r="E202" s="7"/>
    </row>
    <row r="203" ht="22.5" customHeight="1">
      <c r="A203" s="7"/>
      <c r="B203" s="7"/>
      <c r="C203" s="7"/>
      <c r="D203" s="7"/>
      <c r="E203" s="7"/>
    </row>
    <row r="204" ht="22.5" customHeight="1">
      <c r="A204" s="7"/>
      <c r="B204" s="7"/>
      <c r="C204" s="7"/>
      <c r="D204" s="7"/>
      <c r="E204" s="7"/>
    </row>
    <row r="205" ht="22.5" customHeight="1">
      <c r="A205" s="7"/>
      <c r="B205" s="7"/>
      <c r="C205" s="7"/>
      <c r="D205" s="7"/>
      <c r="E205" s="7"/>
    </row>
    <row r="206" ht="22.5" customHeight="1">
      <c r="A206" s="7"/>
      <c r="B206" s="7"/>
      <c r="C206" s="7"/>
      <c r="D206" s="7"/>
      <c r="E206" s="7"/>
    </row>
    <row r="207" ht="22.5" customHeight="1">
      <c r="A207" s="7"/>
      <c r="B207" s="7"/>
      <c r="C207" s="7"/>
      <c r="D207" s="7"/>
      <c r="E207" s="7"/>
    </row>
    <row r="208" ht="22.5" customHeight="1">
      <c r="A208" s="7"/>
      <c r="B208" s="7"/>
      <c r="C208" s="7"/>
      <c r="D208" s="7"/>
      <c r="E208" s="7"/>
    </row>
    <row r="209" ht="22.5" customHeight="1">
      <c r="A209" s="7"/>
      <c r="B209" s="7"/>
      <c r="C209" s="7"/>
      <c r="D209" s="7"/>
      <c r="E209" s="7"/>
    </row>
    <row r="210" ht="22.5" customHeight="1">
      <c r="A210" s="7"/>
      <c r="B210" s="7"/>
      <c r="C210" s="7"/>
      <c r="D210" s="7"/>
      <c r="E210" s="7"/>
    </row>
    <row r="211" ht="22.5" customHeight="1">
      <c r="A211" s="7"/>
      <c r="B211" s="7"/>
      <c r="C211" s="7"/>
      <c r="D211" s="7"/>
      <c r="E211" s="7"/>
    </row>
    <row r="212" ht="22.5" customHeight="1">
      <c r="A212" s="7"/>
      <c r="B212" s="7"/>
      <c r="C212" s="7"/>
      <c r="D212" s="7"/>
      <c r="E212" s="7"/>
    </row>
    <row r="213" ht="22.5" customHeight="1">
      <c r="A213" s="7"/>
      <c r="B213" s="7"/>
      <c r="C213" s="7"/>
      <c r="D213" s="7"/>
      <c r="E213" s="7"/>
    </row>
    <row r="214" ht="22.5" customHeight="1">
      <c r="A214" s="7"/>
      <c r="B214" s="7"/>
      <c r="C214" s="7"/>
      <c r="D214" s="7"/>
      <c r="E214" s="7"/>
    </row>
    <row r="215" ht="22.5" customHeight="1">
      <c r="A215" s="7"/>
      <c r="B215" s="7"/>
      <c r="C215" s="7"/>
      <c r="D215" s="7"/>
      <c r="E215" s="7"/>
    </row>
    <row r="216" ht="22.5" customHeight="1">
      <c r="A216" s="7"/>
      <c r="B216" s="7"/>
      <c r="C216" s="7"/>
      <c r="D216" s="7"/>
      <c r="E216" s="7"/>
    </row>
    <row r="217" ht="22.5" customHeight="1">
      <c r="A217" s="7"/>
      <c r="B217" s="7"/>
      <c r="C217" s="7"/>
      <c r="D217" s="7"/>
      <c r="E217" s="7"/>
    </row>
    <row r="218" ht="22.5" customHeight="1">
      <c r="A218" s="7"/>
      <c r="B218" s="7"/>
      <c r="C218" s="7"/>
      <c r="D218" s="7"/>
      <c r="E218" s="7"/>
    </row>
    <row r="219" ht="22.5" customHeight="1">
      <c r="A219" s="7"/>
      <c r="B219" s="7"/>
      <c r="C219" s="7"/>
      <c r="D219" s="7"/>
      <c r="E219" s="7"/>
    </row>
    <row r="220" ht="22.5" customHeight="1">
      <c r="A220" s="7"/>
      <c r="B220" s="7"/>
      <c r="C220" s="7"/>
      <c r="D220" s="7"/>
      <c r="E220" s="7"/>
    </row>
    <row r="221" ht="22.5" customHeight="1">
      <c r="A221" s="7"/>
      <c r="B221" s="7"/>
      <c r="C221" s="7"/>
      <c r="D221" s="7"/>
      <c r="E221" s="7"/>
    </row>
    <row r="222" ht="22.5" customHeight="1">
      <c r="A222" s="7"/>
      <c r="B222" s="7"/>
      <c r="C222" s="7"/>
      <c r="D222" s="7"/>
      <c r="E222" s="7"/>
    </row>
    <row r="223" ht="22.5" customHeight="1">
      <c r="A223" s="7"/>
      <c r="B223" s="7"/>
      <c r="C223" s="7"/>
      <c r="D223" s="7"/>
      <c r="E223" s="7"/>
    </row>
    <row r="224" ht="22.5" customHeight="1">
      <c r="A224" s="7"/>
      <c r="B224" s="7"/>
      <c r="C224" s="7"/>
      <c r="D224" s="7"/>
      <c r="E224" s="7"/>
    </row>
    <row r="225" ht="22.5" customHeight="1">
      <c r="A225" s="7"/>
      <c r="B225" s="7"/>
      <c r="C225" s="7"/>
      <c r="D225" s="7"/>
      <c r="E225" s="7"/>
    </row>
    <row r="226" ht="22.5" customHeight="1">
      <c r="A226" s="7"/>
      <c r="B226" s="7"/>
      <c r="C226" s="7"/>
      <c r="D226" s="7"/>
      <c r="E226" s="7"/>
    </row>
    <row r="227" ht="22.5" customHeight="1">
      <c r="A227" s="7"/>
      <c r="B227" s="7"/>
      <c r="C227" s="7"/>
      <c r="D227" s="7"/>
      <c r="E227" s="7"/>
    </row>
    <row r="228" ht="22.5" customHeight="1">
      <c r="A228" s="7"/>
      <c r="B228" s="7"/>
      <c r="C228" s="7"/>
      <c r="D228" s="7"/>
      <c r="E228" s="7"/>
    </row>
    <row r="229" ht="22.5" customHeight="1">
      <c r="A229" s="7"/>
      <c r="B229" s="7"/>
      <c r="C229" s="7"/>
      <c r="D229" s="7"/>
      <c r="E229" s="7"/>
    </row>
    <row r="230" ht="22.5" customHeight="1">
      <c r="A230" s="7"/>
      <c r="B230" s="7"/>
      <c r="C230" s="7"/>
      <c r="D230" s="7"/>
      <c r="E230" s="7"/>
    </row>
    <row r="231" ht="22.5" customHeight="1">
      <c r="A231" s="7"/>
      <c r="B231" s="7"/>
      <c r="C231" s="7"/>
      <c r="D231" s="7"/>
      <c r="E231" s="7"/>
    </row>
    <row r="232" ht="22.5" customHeight="1">
      <c r="A232" s="7"/>
      <c r="B232" s="7"/>
      <c r="C232" s="7"/>
      <c r="D232" s="7"/>
      <c r="E232" s="7"/>
    </row>
    <row r="233" ht="22.5" customHeight="1">
      <c r="A233" s="7"/>
      <c r="B233" s="7"/>
      <c r="C233" s="7"/>
      <c r="D233" s="7"/>
      <c r="E233" s="7"/>
    </row>
    <row r="234" ht="22.5" customHeight="1">
      <c r="A234" s="7"/>
      <c r="B234" s="7"/>
      <c r="C234" s="7"/>
      <c r="D234" s="7"/>
      <c r="E234" s="7"/>
    </row>
    <row r="235" ht="22.5" customHeight="1">
      <c r="A235" s="7"/>
      <c r="B235" s="7"/>
      <c r="C235" s="7"/>
      <c r="D235" s="7"/>
      <c r="E235" s="7"/>
    </row>
    <row r="236" ht="22.5" customHeight="1">
      <c r="A236" s="7"/>
      <c r="B236" s="7"/>
      <c r="C236" s="7"/>
      <c r="D236" s="7"/>
      <c r="E236" s="7"/>
    </row>
    <row r="237" ht="22.5" customHeight="1">
      <c r="A237" s="7"/>
      <c r="B237" s="7"/>
      <c r="C237" s="7"/>
      <c r="D237" s="7"/>
      <c r="E237" s="7"/>
    </row>
    <row r="238" ht="22.5" customHeight="1">
      <c r="A238" s="7"/>
      <c r="B238" s="7"/>
      <c r="C238" s="7"/>
      <c r="D238" s="7"/>
      <c r="E238" s="7"/>
    </row>
    <row r="239" ht="22.5" customHeight="1">
      <c r="A239" s="7"/>
      <c r="B239" s="7"/>
      <c r="C239" s="7"/>
      <c r="D239" s="7"/>
      <c r="E239" s="7"/>
    </row>
    <row r="240" ht="22.5" customHeight="1">
      <c r="A240" s="7"/>
      <c r="B240" s="7"/>
      <c r="C240" s="7"/>
      <c r="D240" s="7"/>
      <c r="E240" s="7"/>
    </row>
    <row r="241" ht="22.5" customHeight="1">
      <c r="A241" s="7"/>
      <c r="B241" s="7"/>
      <c r="C241" s="7"/>
      <c r="D241" s="7"/>
      <c r="E241" s="7"/>
    </row>
    <row r="242" ht="22.5" customHeight="1">
      <c r="A242" s="7"/>
      <c r="B242" s="7"/>
      <c r="C242" s="7"/>
      <c r="D242" s="7"/>
      <c r="E242" s="7"/>
    </row>
    <row r="243" ht="22.5" customHeight="1">
      <c r="A243" s="7"/>
      <c r="B243" s="7"/>
      <c r="C243" s="7"/>
      <c r="D243" s="7"/>
      <c r="E243" s="7"/>
    </row>
    <row r="244" ht="22.5" customHeight="1">
      <c r="A244" s="7"/>
      <c r="B244" s="7"/>
      <c r="C244" s="7"/>
      <c r="D244" s="7"/>
      <c r="E244" s="7"/>
    </row>
    <row r="245" ht="22.5" customHeight="1">
      <c r="A245" s="7"/>
      <c r="B245" s="7"/>
      <c r="C245" s="7"/>
      <c r="D245" s="7"/>
      <c r="E245" s="7"/>
    </row>
    <row r="246" ht="22.5" customHeight="1">
      <c r="A246" s="7"/>
      <c r="B246" s="7"/>
      <c r="C246" s="7"/>
      <c r="D246" s="7"/>
      <c r="E246" s="7"/>
    </row>
    <row r="247" ht="22.5" customHeight="1">
      <c r="A247" s="7"/>
      <c r="B247" s="7"/>
      <c r="C247" s="7"/>
      <c r="D247" s="7"/>
      <c r="E247" s="7"/>
    </row>
    <row r="248" ht="22.5" customHeight="1">
      <c r="A248" s="7"/>
      <c r="B248" s="7"/>
      <c r="C248" s="7"/>
      <c r="D248" s="7"/>
      <c r="E248" s="7"/>
    </row>
    <row r="249" ht="22.5" customHeight="1">
      <c r="A249" s="7"/>
      <c r="B249" s="7"/>
      <c r="C249" s="7"/>
      <c r="D249" s="7"/>
      <c r="E249" s="7"/>
    </row>
    <row r="250" ht="22.5" customHeight="1">
      <c r="A250" s="7"/>
      <c r="B250" s="7"/>
      <c r="C250" s="7"/>
      <c r="D250" s="7"/>
      <c r="E250" s="7"/>
    </row>
    <row r="251" ht="22.5" customHeight="1">
      <c r="A251" s="7"/>
      <c r="B251" s="7"/>
      <c r="C251" s="7"/>
      <c r="D251" s="7"/>
      <c r="E251" s="7"/>
    </row>
    <row r="252" ht="22.5" customHeight="1">
      <c r="A252" s="7"/>
      <c r="B252" s="7"/>
      <c r="C252" s="7"/>
      <c r="D252" s="7"/>
      <c r="E252" s="7"/>
    </row>
    <row r="253" ht="22.5" customHeight="1">
      <c r="A253" s="7"/>
      <c r="B253" s="7"/>
      <c r="C253" s="7"/>
      <c r="D253" s="7"/>
      <c r="E253" s="7"/>
    </row>
    <row r="254" ht="22.5" customHeight="1">
      <c r="A254" s="7"/>
      <c r="B254" s="7"/>
      <c r="C254" s="7"/>
      <c r="D254" s="7"/>
      <c r="E254" s="7"/>
    </row>
    <row r="255" ht="22.5" customHeight="1">
      <c r="A255" s="7"/>
      <c r="B255" s="7"/>
      <c r="C255" s="7"/>
      <c r="D255" s="7"/>
      <c r="E255" s="7"/>
    </row>
    <row r="256" ht="22.5" customHeight="1">
      <c r="A256" s="7"/>
      <c r="B256" s="7"/>
      <c r="C256" s="7"/>
      <c r="D256" s="7"/>
      <c r="E256" s="7"/>
    </row>
    <row r="257" ht="22.5" customHeight="1">
      <c r="A257" s="7"/>
      <c r="B257" s="7"/>
      <c r="C257" s="7"/>
      <c r="D257" s="7"/>
      <c r="E257" s="7"/>
    </row>
    <row r="258" ht="22.5" customHeight="1">
      <c r="A258" s="7"/>
      <c r="B258" s="7"/>
      <c r="C258" s="7"/>
      <c r="D258" s="7"/>
      <c r="E258" s="7"/>
    </row>
    <row r="259" ht="22.5" customHeight="1">
      <c r="A259" s="7"/>
      <c r="B259" s="7"/>
      <c r="C259" s="7"/>
      <c r="D259" s="7"/>
      <c r="E259" s="7"/>
    </row>
    <row r="260" ht="22.5" customHeight="1">
      <c r="A260" s="7"/>
      <c r="B260" s="7"/>
      <c r="C260" s="7"/>
      <c r="D260" s="7"/>
      <c r="E260" s="7"/>
    </row>
    <row r="261" ht="22.5" customHeight="1">
      <c r="A261" s="7"/>
      <c r="B261" s="7"/>
      <c r="C261" s="7"/>
      <c r="D261" s="7"/>
      <c r="E261" s="7"/>
    </row>
    <row r="262" ht="22.5" customHeight="1">
      <c r="A262" s="7"/>
      <c r="B262" s="7"/>
      <c r="C262" s="7"/>
      <c r="D262" s="7"/>
      <c r="E262" s="7"/>
    </row>
    <row r="263" ht="22.5" customHeight="1">
      <c r="A263" s="7"/>
      <c r="B263" s="7"/>
      <c r="C263" s="7"/>
      <c r="D263" s="7"/>
      <c r="E263" s="7"/>
    </row>
    <row r="264" ht="22.5" customHeight="1">
      <c r="A264" s="7"/>
      <c r="B264" s="7"/>
      <c r="C264" s="7"/>
      <c r="D264" s="7"/>
      <c r="E264" s="7"/>
    </row>
    <row r="265" ht="22.5" customHeight="1">
      <c r="A265" s="7"/>
      <c r="B265" s="7"/>
      <c r="C265" s="7"/>
      <c r="D265" s="7"/>
      <c r="E265" s="7"/>
    </row>
    <row r="266" ht="22.5" customHeight="1">
      <c r="A266" s="7"/>
      <c r="B266" s="7"/>
      <c r="C266" s="7"/>
      <c r="D266" s="7"/>
      <c r="E266" s="7"/>
    </row>
    <row r="267" ht="22.5" customHeight="1">
      <c r="A267" s="7"/>
      <c r="B267" s="7"/>
      <c r="C267" s="7"/>
      <c r="D267" s="7"/>
      <c r="E267" s="7"/>
    </row>
    <row r="268" ht="22.5" customHeight="1">
      <c r="A268" s="7"/>
      <c r="B268" s="7"/>
      <c r="C268" s="7"/>
      <c r="D268" s="7"/>
      <c r="E268" s="7"/>
    </row>
    <row r="269" ht="22.5" customHeight="1">
      <c r="A269" s="7"/>
      <c r="B269" s="7"/>
      <c r="C269" s="7"/>
      <c r="D269" s="7"/>
      <c r="E269" s="7"/>
    </row>
    <row r="270" ht="22.5" customHeight="1">
      <c r="A270" s="7"/>
      <c r="B270" s="7"/>
      <c r="C270" s="7"/>
      <c r="D270" s="7"/>
      <c r="E270" s="7"/>
    </row>
    <row r="271" ht="22.5" customHeight="1">
      <c r="A271" s="7"/>
      <c r="B271" s="7"/>
      <c r="C271" s="7"/>
      <c r="D271" s="7"/>
      <c r="E271" s="7"/>
    </row>
    <row r="272" ht="22.5" customHeight="1">
      <c r="A272" s="7"/>
      <c r="B272" s="7"/>
      <c r="C272" s="7"/>
      <c r="D272" s="7"/>
      <c r="E272" s="7"/>
    </row>
    <row r="273" ht="22.5" customHeight="1">
      <c r="A273" s="7"/>
      <c r="B273" s="7"/>
      <c r="C273" s="7"/>
      <c r="D273" s="7"/>
      <c r="E273" s="7"/>
    </row>
    <row r="274" ht="22.5" customHeight="1">
      <c r="A274" s="7"/>
      <c r="B274" s="7"/>
      <c r="C274" s="7"/>
      <c r="D274" s="7"/>
      <c r="E274" s="7"/>
    </row>
    <row r="275" ht="22.5" customHeight="1">
      <c r="A275" s="7"/>
      <c r="B275" s="7"/>
      <c r="C275" s="7"/>
      <c r="D275" s="7"/>
      <c r="E275" s="7"/>
    </row>
    <row r="276" ht="22.5" customHeight="1">
      <c r="A276" s="7"/>
      <c r="B276" s="7"/>
      <c r="C276" s="7"/>
      <c r="D276" s="7"/>
      <c r="E276" s="7"/>
    </row>
    <row r="277" ht="22.5" customHeight="1">
      <c r="A277" s="7"/>
      <c r="B277" s="7"/>
      <c r="C277" s="7"/>
      <c r="D277" s="7"/>
      <c r="E277" s="7"/>
    </row>
    <row r="278" ht="22.5" customHeight="1">
      <c r="A278" s="7"/>
      <c r="B278" s="7"/>
      <c r="C278" s="7"/>
      <c r="D278" s="7"/>
      <c r="E278" s="7"/>
    </row>
    <row r="279" ht="22.5" customHeight="1">
      <c r="A279" s="7"/>
      <c r="B279" s="7"/>
      <c r="C279" s="7"/>
      <c r="D279" s="7"/>
      <c r="E279" s="7"/>
    </row>
    <row r="280" ht="22.5" customHeight="1">
      <c r="A280" s="7"/>
      <c r="B280" s="7"/>
      <c r="C280" s="7"/>
      <c r="D280" s="7"/>
      <c r="E280" s="7"/>
    </row>
    <row r="281" ht="22.5" customHeight="1">
      <c r="A281" s="7"/>
      <c r="B281" s="7"/>
      <c r="C281" s="7"/>
      <c r="D281" s="7"/>
      <c r="E281" s="7"/>
    </row>
    <row r="282" ht="22.5" customHeight="1">
      <c r="A282" s="7"/>
      <c r="B282" s="7"/>
      <c r="C282" s="7"/>
      <c r="D282" s="7"/>
      <c r="E282" s="7"/>
    </row>
    <row r="283" ht="22.5" customHeight="1">
      <c r="A283" s="7"/>
      <c r="B283" s="7"/>
      <c r="C283" s="7"/>
      <c r="D283" s="7"/>
      <c r="E283" s="7"/>
    </row>
    <row r="284" ht="22.5" customHeight="1">
      <c r="A284" s="7"/>
      <c r="B284" s="7"/>
      <c r="C284" s="7"/>
      <c r="D284" s="7"/>
      <c r="E284" s="7"/>
    </row>
    <row r="285" ht="22.5" customHeight="1">
      <c r="A285" s="7"/>
      <c r="B285" s="7"/>
      <c r="C285" s="7"/>
      <c r="D285" s="7"/>
      <c r="E285" s="7"/>
    </row>
    <row r="286" ht="22.5" customHeight="1">
      <c r="A286" s="7"/>
      <c r="B286" s="7"/>
      <c r="C286" s="7"/>
      <c r="D286" s="7"/>
      <c r="E286" s="7"/>
    </row>
    <row r="287" ht="22.5" customHeight="1">
      <c r="A287" s="7"/>
      <c r="B287" s="7"/>
      <c r="C287" s="7"/>
      <c r="D287" s="7"/>
      <c r="E287" s="7"/>
    </row>
    <row r="288" ht="22.5" customHeight="1">
      <c r="A288" s="7"/>
      <c r="B288" s="7"/>
      <c r="C288" s="7"/>
      <c r="D288" s="7"/>
      <c r="E288" s="7"/>
    </row>
    <row r="289" ht="22.5" customHeight="1">
      <c r="A289" s="7"/>
      <c r="B289" s="7"/>
      <c r="C289" s="7"/>
      <c r="D289" s="7"/>
      <c r="E289" s="7"/>
    </row>
    <row r="290" ht="22.5" customHeight="1">
      <c r="A290" s="7"/>
      <c r="B290" s="7"/>
      <c r="C290" s="7"/>
      <c r="D290" s="7"/>
      <c r="E290" s="7"/>
    </row>
    <row r="291" ht="22.5" customHeight="1">
      <c r="A291" s="7"/>
      <c r="B291" s="7"/>
      <c r="C291" s="7"/>
      <c r="D291" s="7"/>
      <c r="E291" s="7"/>
    </row>
    <row r="292" ht="22.5" customHeight="1">
      <c r="A292" s="7"/>
      <c r="B292" s="7"/>
      <c r="C292" s="7"/>
      <c r="D292" s="7"/>
      <c r="E292" s="7"/>
    </row>
    <row r="293" ht="22.5" customHeight="1">
      <c r="A293" s="7"/>
      <c r="B293" s="7"/>
      <c r="C293" s="7"/>
      <c r="D293" s="7"/>
      <c r="E293" s="7"/>
    </row>
    <row r="294" ht="22.5" customHeight="1">
      <c r="A294" s="7"/>
      <c r="B294" s="7"/>
      <c r="C294" s="7"/>
      <c r="D294" s="7"/>
      <c r="E294" s="7"/>
    </row>
    <row r="295" ht="22.5" customHeight="1">
      <c r="A295" s="7"/>
      <c r="B295" s="7"/>
      <c r="C295" s="7"/>
      <c r="D295" s="7"/>
      <c r="E295" s="7"/>
    </row>
    <row r="296" ht="22.5" customHeight="1">
      <c r="A296" s="7"/>
      <c r="B296" s="7"/>
      <c r="C296" s="7"/>
      <c r="D296" s="7"/>
      <c r="E296" s="7"/>
    </row>
    <row r="297" ht="22.5" customHeight="1">
      <c r="A297" s="7"/>
      <c r="B297" s="7"/>
      <c r="C297" s="7"/>
      <c r="D297" s="7"/>
      <c r="E297" s="7"/>
    </row>
    <row r="298" ht="22.5" customHeight="1">
      <c r="A298" s="7"/>
      <c r="B298" s="7"/>
      <c r="C298" s="7"/>
      <c r="D298" s="7"/>
      <c r="E298" s="7"/>
    </row>
    <row r="299" ht="22.5" customHeight="1">
      <c r="A299" s="7"/>
      <c r="B299" s="7"/>
      <c r="C299" s="7"/>
      <c r="D299" s="7"/>
      <c r="E299" s="7"/>
    </row>
    <row r="300" ht="22.5" customHeight="1">
      <c r="A300" s="7"/>
      <c r="B300" s="7"/>
      <c r="C300" s="7"/>
      <c r="D300" s="7"/>
      <c r="E300" s="7"/>
    </row>
    <row r="301" ht="22.5" customHeight="1">
      <c r="A301" s="7"/>
      <c r="B301" s="7"/>
      <c r="C301" s="7"/>
      <c r="D301" s="7"/>
      <c r="E301" s="7"/>
    </row>
    <row r="302" ht="22.5" customHeight="1">
      <c r="A302" s="7"/>
      <c r="B302" s="7"/>
      <c r="C302" s="7"/>
      <c r="D302" s="7"/>
      <c r="E302" s="7"/>
    </row>
    <row r="303" ht="22.5" customHeight="1">
      <c r="A303" s="7"/>
      <c r="B303" s="7"/>
      <c r="C303" s="7"/>
      <c r="D303" s="7"/>
      <c r="E303" s="7"/>
    </row>
    <row r="304" ht="22.5" customHeight="1">
      <c r="A304" s="7"/>
      <c r="B304" s="7"/>
      <c r="C304" s="7"/>
      <c r="D304" s="7"/>
      <c r="E304" s="7"/>
    </row>
    <row r="305" ht="22.5" customHeight="1">
      <c r="A305" s="7"/>
      <c r="B305" s="7"/>
      <c r="C305" s="7"/>
      <c r="D305" s="7"/>
      <c r="E305" s="7"/>
    </row>
    <row r="306" ht="22.5" customHeight="1">
      <c r="A306" s="7"/>
      <c r="B306" s="7"/>
      <c r="C306" s="7"/>
      <c r="D306" s="7"/>
      <c r="E306" s="7"/>
    </row>
    <row r="307" ht="22.5" customHeight="1">
      <c r="A307" s="7"/>
      <c r="B307" s="7"/>
      <c r="C307" s="7"/>
      <c r="D307" s="7"/>
      <c r="E307" s="7"/>
    </row>
    <row r="308" ht="22.5" customHeight="1">
      <c r="A308" s="7"/>
      <c r="B308" s="7"/>
      <c r="C308" s="7"/>
      <c r="D308" s="7"/>
      <c r="E308" s="7"/>
    </row>
    <row r="309" ht="22.5" customHeight="1">
      <c r="A309" s="7"/>
      <c r="B309" s="7"/>
      <c r="C309" s="7"/>
      <c r="D309" s="7"/>
      <c r="E309" s="7"/>
    </row>
    <row r="310" ht="22.5" customHeight="1">
      <c r="A310" s="7"/>
      <c r="B310" s="7"/>
      <c r="C310" s="7"/>
      <c r="D310" s="7"/>
      <c r="E310" s="7"/>
    </row>
    <row r="311" ht="22.5" customHeight="1">
      <c r="A311" s="7"/>
      <c r="B311" s="7"/>
      <c r="C311" s="7"/>
      <c r="D311" s="7"/>
      <c r="E311" s="7"/>
    </row>
    <row r="312" ht="22.5" customHeight="1">
      <c r="A312" s="7"/>
      <c r="B312" s="7"/>
      <c r="C312" s="7"/>
      <c r="D312" s="7"/>
      <c r="E312" s="7"/>
    </row>
    <row r="313" ht="22.5" customHeight="1">
      <c r="A313" s="7"/>
      <c r="B313" s="7"/>
      <c r="C313" s="7"/>
      <c r="D313" s="7"/>
      <c r="E313" s="7"/>
    </row>
    <row r="314" ht="22.5" customHeight="1">
      <c r="A314" s="7"/>
      <c r="B314" s="7"/>
      <c r="C314" s="7"/>
      <c r="D314" s="7"/>
      <c r="E314" s="7"/>
    </row>
    <row r="315" ht="22.5" customHeight="1">
      <c r="A315" s="7"/>
      <c r="B315" s="7"/>
      <c r="C315" s="7"/>
      <c r="D315" s="7"/>
      <c r="E315" s="7"/>
    </row>
    <row r="316" ht="22.5" customHeight="1">
      <c r="A316" s="7"/>
      <c r="B316" s="7"/>
      <c r="C316" s="7"/>
      <c r="D316" s="7"/>
      <c r="E316" s="7"/>
    </row>
    <row r="317" ht="22.5" customHeight="1">
      <c r="A317" s="7"/>
      <c r="B317" s="7"/>
      <c r="C317" s="7"/>
      <c r="D317" s="7"/>
      <c r="E317" s="7"/>
    </row>
    <row r="318" ht="22.5" customHeight="1">
      <c r="A318" s="7"/>
      <c r="B318" s="7"/>
      <c r="C318" s="7"/>
      <c r="D318" s="7"/>
      <c r="E318" s="7"/>
    </row>
    <row r="319" ht="22.5" customHeight="1">
      <c r="A319" s="7"/>
      <c r="B319" s="7"/>
      <c r="C319" s="7"/>
      <c r="D319" s="7"/>
      <c r="E319" s="7"/>
    </row>
    <row r="320" ht="22.5" customHeight="1">
      <c r="A320" s="7"/>
      <c r="B320" s="7"/>
      <c r="C320" s="7"/>
      <c r="D320" s="7"/>
      <c r="E320" s="7"/>
    </row>
    <row r="321" ht="22.5" customHeight="1">
      <c r="A321" s="7"/>
      <c r="B321" s="7"/>
      <c r="C321" s="7"/>
      <c r="D321" s="7"/>
      <c r="E321" s="7"/>
    </row>
    <row r="322" ht="22.5" customHeight="1">
      <c r="A322" s="7"/>
      <c r="B322" s="7"/>
      <c r="C322" s="7"/>
      <c r="D322" s="7"/>
      <c r="E322" s="7"/>
    </row>
    <row r="323" ht="22.5" customHeight="1">
      <c r="A323" s="7"/>
      <c r="B323" s="7"/>
      <c r="C323" s="7"/>
      <c r="D323" s="7"/>
      <c r="E323" s="7"/>
    </row>
    <row r="324" ht="22.5" customHeight="1">
      <c r="A324" s="7"/>
      <c r="B324" s="7"/>
      <c r="C324" s="7"/>
      <c r="D324" s="7"/>
      <c r="E324" s="7"/>
    </row>
    <row r="325" ht="22.5" customHeight="1">
      <c r="A325" s="7"/>
      <c r="B325" s="7"/>
      <c r="C325" s="7"/>
      <c r="D325" s="7"/>
      <c r="E325" s="7"/>
    </row>
    <row r="326" ht="22.5" customHeight="1">
      <c r="A326" s="7"/>
      <c r="B326" s="7"/>
      <c r="C326" s="7"/>
      <c r="D326" s="7"/>
      <c r="E326" s="7"/>
    </row>
    <row r="327" ht="22.5" customHeight="1">
      <c r="A327" s="7"/>
      <c r="B327" s="7"/>
      <c r="C327" s="7"/>
      <c r="D327" s="7"/>
      <c r="E327" s="7"/>
    </row>
    <row r="328" ht="22.5" customHeight="1">
      <c r="A328" s="7"/>
      <c r="B328" s="7"/>
      <c r="C328" s="7"/>
      <c r="D328" s="7"/>
      <c r="E328" s="7"/>
    </row>
    <row r="329" ht="22.5" customHeight="1">
      <c r="A329" s="7"/>
      <c r="B329" s="7"/>
      <c r="C329" s="7"/>
      <c r="D329" s="7"/>
      <c r="E329" s="7"/>
    </row>
    <row r="330" ht="22.5" customHeight="1">
      <c r="A330" s="7"/>
      <c r="B330" s="7"/>
      <c r="C330" s="7"/>
      <c r="D330" s="7"/>
      <c r="E330" s="7"/>
    </row>
    <row r="331" ht="22.5" customHeight="1">
      <c r="A331" s="7"/>
      <c r="B331" s="7"/>
      <c r="C331" s="7"/>
      <c r="D331" s="7"/>
      <c r="E331" s="7"/>
    </row>
    <row r="332" ht="22.5" customHeight="1">
      <c r="A332" s="7"/>
      <c r="B332" s="7"/>
      <c r="C332" s="7"/>
      <c r="D332" s="7"/>
      <c r="E332" s="7"/>
    </row>
    <row r="333" ht="22.5" customHeight="1">
      <c r="A333" s="7"/>
      <c r="B333" s="7"/>
      <c r="C333" s="7"/>
      <c r="D333" s="7"/>
      <c r="E333" s="7"/>
    </row>
    <row r="334" ht="22.5" customHeight="1">
      <c r="A334" s="7"/>
      <c r="B334" s="7"/>
      <c r="C334" s="7"/>
      <c r="D334" s="7"/>
      <c r="E334" s="7"/>
    </row>
    <row r="335" ht="22.5" customHeight="1">
      <c r="A335" s="7"/>
      <c r="B335" s="7"/>
      <c r="C335" s="7"/>
      <c r="D335" s="7"/>
      <c r="E335" s="7"/>
    </row>
    <row r="336" ht="22.5" customHeight="1">
      <c r="A336" s="7"/>
      <c r="B336" s="7"/>
      <c r="C336" s="7"/>
      <c r="D336" s="7"/>
      <c r="E336" s="7"/>
    </row>
    <row r="337" ht="22.5" customHeight="1">
      <c r="A337" s="7"/>
      <c r="B337" s="7"/>
      <c r="C337" s="7"/>
      <c r="D337" s="7"/>
      <c r="E337" s="7"/>
    </row>
    <row r="338" ht="22.5" customHeight="1">
      <c r="A338" s="7"/>
      <c r="B338" s="7"/>
      <c r="C338" s="7"/>
      <c r="D338" s="7"/>
      <c r="E338" s="7"/>
    </row>
    <row r="339" ht="22.5" customHeight="1">
      <c r="A339" s="7"/>
      <c r="B339" s="7"/>
      <c r="C339" s="7"/>
      <c r="D339" s="7"/>
      <c r="E339" s="7"/>
    </row>
    <row r="340" ht="22.5" customHeight="1">
      <c r="A340" s="7"/>
      <c r="B340" s="7"/>
      <c r="C340" s="7"/>
      <c r="D340" s="7"/>
      <c r="E340" s="7"/>
    </row>
    <row r="341" ht="22.5" customHeight="1">
      <c r="A341" s="7"/>
      <c r="B341" s="7"/>
      <c r="C341" s="7"/>
      <c r="D341" s="7"/>
      <c r="E341" s="7"/>
    </row>
    <row r="342" ht="22.5" customHeight="1">
      <c r="A342" s="7"/>
      <c r="B342" s="7"/>
      <c r="C342" s="7"/>
      <c r="D342" s="7"/>
      <c r="E342" s="7"/>
    </row>
    <row r="343" ht="22.5" customHeight="1">
      <c r="A343" s="7"/>
      <c r="B343" s="7"/>
      <c r="C343" s="7"/>
      <c r="D343" s="7"/>
      <c r="E343" s="7"/>
    </row>
    <row r="344" ht="22.5" customHeight="1">
      <c r="A344" s="7"/>
      <c r="B344" s="7"/>
      <c r="C344" s="7"/>
      <c r="D344" s="7"/>
      <c r="E344" s="7"/>
    </row>
    <row r="345" ht="22.5" customHeight="1">
      <c r="A345" s="7"/>
      <c r="B345" s="7"/>
      <c r="C345" s="7"/>
      <c r="D345" s="7"/>
      <c r="E345" s="7"/>
    </row>
    <row r="346" ht="22.5" customHeight="1">
      <c r="A346" s="7"/>
      <c r="B346" s="7"/>
      <c r="C346" s="7"/>
      <c r="D346" s="7"/>
      <c r="E346" s="7"/>
    </row>
    <row r="347" ht="22.5" customHeight="1">
      <c r="A347" s="7"/>
      <c r="B347" s="7"/>
      <c r="C347" s="7"/>
      <c r="D347" s="7"/>
      <c r="E347" s="7"/>
    </row>
    <row r="348" ht="22.5" customHeight="1">
      <c r="A348" s="7"/>
      <c r="B348" s="7"/>
      <c r="C348" s="7"/>
      <c r="D348" s="7"/>
      <c r="E348" s="7"/>
    </row>
    <row r="349" ht="22.5" customHeight="1">
      <c r="A349" s="7"/>
      <c r="B349" s="7"/>
      <c r="C349" s="7"/>
      <c r="D349" s="7"/>
      <c r="E349" s="7"/>
    </row>
    <row r="350" ht="22.5" customHeight="1">
      <c r="A350" s="7"/>
      <c r="B350" s="7"/>
      <c r="C350" s="7"/>
      <c r="D350" s="7"/>
      <c r="E350" s="7"/>
    </row>
    <row r="351" ht="22.5" customHeight="1">
      <c r="A351" s="7"/>
      <c r="B351" s="7"/>
      <c r="C351" s="7"/>
      <c r="D351" s="7"/>
      <c r="E351" s="7"/>
    </row>
    <row r="352" ht="22.5" customHeight="1">
      <c r="A352" s="7"/>
      <c r="B352" s="7"/>
      <c r="C352" s="7"/>
      <c r="D352" s="7"/>
      <c r="E352" s="7"/>
    </row>
    <row r="353" ht="22.5" customHeight="1">
      <c r="A353" s="7"/>
      <c r="B353" s="7"/>
      <c r="C353" s="7"/>
      <c r="D353" s="7"/>
      <c r="E353" s="7"/>
    </row>
    <row r="354" ht="22.5" customHeight="1">
      <c r="A354" s="7"/>
      <c r="B354" s="7"/>
      <c r="C354" s="7"/>
      <c r="D354" s="7"/>
      <c r="E354" s="7"/>
    </row>
    <row r="355" ht="22.5" customHeight="1">
      <c r="A355" s="7"/>
      <c r="B355" s="7"/>
      <c r="C355" s="7"/>
      <c r="D355" s="7"/>
      <c r="E355" s="7"/>
    </row>
    <row r="356" ht="22.5" customHeight="1">
      <c r="A356" s="7"/>
      <c r="B356" s="7"/>
      <c r="C356" s="7"/>
      <c r="D356" s="7"/>
      <c r="E356" s="7"/>
    </row>
    <row r="357" ht="22.5" customHeight="1">
      <c r="A357" s="7"/>
      <c r="B357" s="7"/>
      <c r="C357" s="7"/>
      <c r="D357" s="7"/>
      <c r="E357" s="7"/>
    </row>
    <row r="358" ht="22.5" customHeight="1">
      <c r="A358" s="7"/>
      <c r="B358" s="7"/>
      <c r="C358" s="7"/>
      <c r="D358" s="7"/>
      <c r="E358" s="7"/>
    </row>
    <row r="359" ht="22.5" customHeight="1">
      <c r="A359" s="7"/>
      <c r="B359" s="7"/>
      <c r="C359" s="7"/>
      <c r="D359" s="7"/>
      <c r="E359" s="7"/>
    </row>
    <row r="360" ht="22.5" customHeight="1">
      <c r="A360" s="7"/>
      <c r="B360" s="7"/>
      <c r="C360" s="7"/>
      <c r="D360" s="7"/>
      <c r="E360" s="7"/>
    </row>
    <row r="361" ht="22.5" customHeight="1">
      <c r="A361" s="7"/>
      <c r="B361" s="7"/>
      <c r="C361" s="7"/>
      <c r="D361" s="7"/>
      <c r="E361" s="7"/>
    </row>
    <row r="362" ht="22.5" customHeight="1">
      <c r="A362" s="7"/>
      <c r="B362" s="7"/>
      <c r="C362" s="7"/>
      <c r="D362" s="7"/>
      <c r="E362" s="7"/>
    </row>
    <row r="363" ht="22.5" customHeight="1">
      <c r="A363" s="7"/>
      <c r="B363" s="7"/>
      <c r="C363" s="7"/>
      <c r="D363" s="7"/>
      <c r="E363" s="7"/>
    </row>
    <row r="364" ht="22.5" customHeight="1">
      <c r="A364" s="7"/>
      <c r="B364" s="7"/>
      <c r="C364" s="7"/>
      <c r="D364" s="7"/>
      <c r="E364" s="7"/>
    </row>
    <row r="365" ht="22.5" customHeight="1">
      <c r="A365" s="7"/>
      <c r="B365" s="7"/>
      <c r="C365" s="7"/>
      <c r="D365" s="7"/>
      <c r="E365" s="7"/>
    </row>
    <row r="366" ht="22.5" customHeight="1">
      <c r="A366" s="7"/>
      <c r="B366" s="7"/>
      <c r="C366" s="7"/>
      <c r="D366" s="7"/>
      <c r="E366" s="7"/>
    </row>
    <row r="367" ht="22.5" customHeight="1">
      <c r="A367" s="7"/>
      <c r="B367" s="7"/>
      <c r="C367" s="7"/>
      <c r="D367" s="7"/>
      <c r="E367" s="7"/>
    </row>
    <row r="368" ht="22.5" customHeight="1">
      <c r="A368" s="7"/>
      <c r="B368" s="7"/>
      <c r="C368" s="7"/>
      <c r="D368" s="7"/>
      <c r="E368" s="7"/>
    </row>
    <row r="369" ht="22.5" customHeight="1">
      <c r="A369" s="7"/>
      <c r="B369" s="7"/>
      <c r="C369" s="7"/>
      <c r="D369" s="7"/>
      <c r="E369" s="7"/>
    </row>
    <row r="370" ht="22.5" customHeight="1">
      <c r="A370" s="7"/>
      <c r="B370" s="7"/>
      <c r="C370" s="7"/>
      <c r="D370" s="7"/>
      <c r="E370" s="7"/>
    </row>
    <row r="371" ht="22.5" customHeight="1">
      <c r="A371" s="7"/>
      <c r="B371" s="7"/>
      <c r="C371" s="7"/>
      <c r="D371" s="7"/>
      <c r="E371" s="7"/>
    </row>
    <row r="372" ht="22.5" customHeight="1">
      <c r="A372" s="7"/>
      <c r="B372" s="7"/>
      <c r="C372" s="7"/>
      <c r="D372" s="7"/>
      <c r="E372" s="7"/>
    </row>
    <row r="373" ht="22.5" customHeight="1">
      <c r="A373" s="7"/>
      <c r="B373" s="7"/>
      <c r="C373" s="7"/>
      <c r="D373" s="7"/>
      <c r="E373" s="7"/>
    </row>
    <row r="374" ht="22.5" customHeight="1">
      <c r="A374" s="7"/>
      <c r="B374" s="7"/>
      <c r="C374" s="7"/>
      <c r="D374" s="7"/>
      <c r="E374" s="7"/>
    </row>
    <row r="375" ht="22.5" customHeight="1">
      <c r="A375" s="7"/>
      <c r="B375" s="7"/>
      <c r="C375" s="7"/>
      <c r="D375" s="7"/>
      <c r="E375" s="7"/>
    </row>
    <row r="376" ht="22.5" customHeight="1">
      <c r="A376" s="7"/>
      <c r="B376" s="7"/>
      <c r="C376" s="7"/>
      <c r="D376" s="7"/>
      <c r="E376" s="7"/>
    </row>
    <row r="377" ht="22.5" customHeight="1">
      <c r="A377" s="7"/>
      <c r="B377" s="7"/>
      <c r="C377" s="7"/>
      <c r="D377" s="7"/>
      <c r="E377" s="7"/>
    </row>
    <row r="378" ht="22.5" customHeight="1">
      <c r="A378" s="7"/>
      <c r="B378" s="7"/>
      <c r="C378" s="7"/>
      <c r="D378" s="7"/>
      <c r="E378" s="7"/>
    </row>
    <row r="379" ht="22.5" customHeight="1">
      <c r="A379" s="7"/>
      <c r="B379" s="7"/>
      <c r="C379" s="7"/>
      <c r="D379" s="7"/>
      <c r="E379" s="7"/>
    </row>
    <row r="380" ht="22.5" customHeight="1">
      <c r="A380" s="7"/>
      <c r="B380" s="7"/>
      <c r="C380" s="7"/>
      <c r="D380" s="7"/>
      <c r="E380" s="7"/>
    </row>
    <row r="381" ht="22.5" customHeight="1">
      <c r="A381" s="7"/>
      <c r="B381" s="7"/>
      <c r="C381" s="7"/>
      <c r="D381" s="7"/>
      <c r="E381" s="7"/>
    </row>
    <row r="382" ht="22.5" customHeight="1">
      <c r="A382" s="7"/>
      <c r="B382" s="7"/>
      <c r="C382" s="7"/>
      <c r="D382" s="7"/>
      <c r="E382" s="7"/>
    </row>
    <row r="383" ht="22.5" customHeight="1">
      <c r="A383" s="7"/>
      <c r="B383" s="7"/>
      <c r="C383" s="7"/>
      <c r="D383" s="7"/>
      <c r="E383" s="7"/>
    </row>
    <row r="384" ht="22.5" customHeight="1">
      <c r="A384" s="7"/>
      <c r="B384" s="7"/>
      <c r="C384" s="7"/>
      <c r="D384" s="7"/>
      <c r="E384" s="7"/>
    </row>
    <row r="385" ht="22.5" customHeight="1">
      <c r="A385" s="7"/>
      <c r="B385" s="7"/>
      <c r="C385" s="7"/>
      <c r="D385" s="7"/>
      <c r="E385" s="7"/>
    </row>
    <row r="386" ht="22.5" customHeight="1">
      <c r="A386" s="7"/>
      <c r="B386" s="7"/>
      <c r="C386" s="7"/>
      <c r="D386" s="7"/>
      <c r="E386" s="7"/>
    </row>
    <row r="387" ht="22.5" customHeight="1">
      <c r="A387" s="7"/>
      <c r="B387" s="7"/>
      <c r="C387" s="7"/>
      <c r="D387" s="7"/>
      <c r="E387" s="7"/>
    </row>
    <row r="388" ht="22.5" customHeight="1">
      <c r="A388" s="7"/>
      <c r="B388" s="7"/>
      <c r="C388" s="7"/>
      <c r="D388" s="7"/>
      <c r="E388" s="7"/>
    </row>
    <row r="389" ht="22.5" customHeight="1">
      <c r="A389" s="7"/>
      <c r="B389" s="7"/>
      <c r="C389" s="7"/>
      <c r="D389" s="7"/>
      <c r="E389" s="7"/>
    </row>
    <row r="390" ht="22.5" customHeight="1">
      <c r="A390" s="7"/>
      <c r="B390" s="7"/>
      <c r="C390" s="7"/>
      <c r="D390" s="7"/>
      <c r="E390" s="7"/>
    </row>
    <row r="391" ht="22.5" customHeight="1">
      <c r="A391" s="7"/>
      <c r="B391" s="7"/>
      <c r="C391" s="7"/>
      <c r="D391" s="7"/>
      <c r="E391" s="7"/>
    </row>
    <row r="392" ht="22.5" customHeight="1">
      <c r="A392" s="7"/>
      <c r="B392" s="7"/>
      <c r="C392" s="7"/>
      <c r="D392" s="7"/>
      <c r="E392" s="7"/>
    </row>
    <row r="393" ht="22.5" customHeight="1">
      <c r="A393" s="7"/>
      <c r="B393" s="7"/>
      <c r="C393" s="7"/>
      <c r="D393" s="7"/>
      <c r="E393" s="7"/>
    </row>
    <row r="394" ht="22.5" customHeight="1">
      <c r="A394" s="7"/>
      <c r="B394" s="7"/>
      <c r="C394" s="7"/>
      <c r="D394" s="7"/>
      <c r="E394" s="7"/>
    </row>
    <row r="395" ht="22.5" customHeight="1">
      <c r="A395" s="7"/>
      <c r="B395" s="7"/>
      <c r="C395" s="7"/>
      <c r="D395" s="7"/>
      <c r="E395" s="7"/>
    </row>
    <row r="396" ht="22.5" customHeight="1">
      <c r="A396" s="7"/>
      <c r="B396" s="7"/>
      <c r="C396" s="7"/>
      <c r="D396" s="7"/>
      <c r="E396" s="7"/>
    </row>
    <row r="397" ht="22.5" customHeight="1">
      <c r="A397" s="7"/>
      <c r="B397" s="7"/>
      <c r="C397" s="7"/>
      <c r="D397" s="7"/>
      <c r="E397" s="7"/>
    </row>
    <row r="398" ht="22.5" customHeight="1">
      <c r="A398" s="7"/>
      <c r="B398" s="7"/>
      <c r="C398" s="7"/>
      <c r="D398" s="7"/>
      <c r="E398" s="7"/>
    </row>
    <row r="399" ht="22.5" customHeight="1">
      <c r="A399" s="7"/>
      <c r="B399" s="7"/>
      <c r="C399" s="7"/>
      <c r="D399" s="7"/>
      <c r="E399" s="7"/>
    </row>
    <row r="400" ht="22.5" customHeight="1">
      <c r="A400" s="7"/>
      <c r="B400" s="7"/>
      <c r="C400" s="7"/>
      <c r="D400" s="7"/>
      <c r="E400" s="7"/>
    </row>
    <row r="401" ht="22.5" customHeight="1">
      <c r="A401" s="7"/>
      <c r="B401" s="7"/>
      <c r="C401" s="7"/>
      <c r="D401" s="7"/>
      <c r="E401" s="7"/>
    </row>
    <row r="402" ht="22.5" customHeight="1">
      <c r="A402" s="7"/>
      <c r="B402" s="7"/>
      <c r="C402" s="7"/>
      <c r="D402" s="7"/>
      <c r="E402" s="7"/>
    </row>
    <row r="403" ht="22.5" customHeight="1">
      <c r="A403" s="7"/>
      <c r="B403" s="7"/>
      <c r="C403" s="7"/>
      <c r="D403" s="7"/>
      <c r="E403" s="7"/>
    </row>
    <row r="404" ht="22.5" customHeight="1">
      <c r="A404" s="7"/>
      <c r="B404" s="7"/>
      <c r="C404" s="7"/>
      <c r="D404" s="7"/>
      <c r="E404" s="7"/>
    </row>
    <row r="405" ht="22.5" customHeight="1">
      <c r="A405" s="7"/>
      <c r="B405" s="7"/>
      <c r="C405" s="7"/>
      <c r="D405" s="7"/>
      <c r="E405" s="7"/>
    </row>
    <row r="406" ht="22.5" customHeight="1">
      <c r="A406" s="7"/>
      <c r="B406" s="7"/>
      <c r="C406" s="7"/>
      <c r="D406" s="7"/>
      <c r="E406" s="7"/>
    </row>
    <row r="407" ht="22.5" customHeight="1">
      <c r="A407" s="7"/>
      <c r="B407" s="7"/>
      <c r="C407" s="7"/>
      <c r="D407" s="7"/>
      <c r="E407" s="7"/>
    </row>
    <row r="408" ht="22.5" customHeight="1">
      <c r="A408" s="7"/>
      <c r="B408" s="7"/>
      <c r="C408" s="7"/>
      <c r="D408" s="7"/>
      <c r="E408" s="7"/>
    </row>
    <row r="409" ht="22.5" customHeight="1">
      <c r="A409" s="7"/>
      <c r="B409" s="7"/>
      <c r="C409" s="7"/>
      <c r="D409" s="7"/>
      <c r="E409" s="7"/>
    </row>
    <row r="410" ht="22.5" customHeight="1">
      <c r="A410" s="7"/>
      <c r="B410" s="7"/>
      <c r="C410" s="7"/>
      <c r="D410" s="7"/>
      <c r="E410" s="7"/>
    </row>
    <row r="411" ht="22.5" customHeight="1">
      <c r="A411" s="7"/>
      <c r="B411" s="7"/>
      <c r="C411" s="7"/>
      <c r="D411" s="7"/>
      <c r="E411" s="7"/>
    </row>
    <row r="412" ht="22.5" customHeight="1">
      <c r="A412" s="7"/>
      <c r="B412" s="7"/>
      <c r="C412" s="7"/>
      <c r="D412" s="7"/>
      <c r="E412" s="7"/>
    </row>
    <row r="413" ht="22.5" customHeight="1">
      <c r="A413" s="7"/>
      <c r="B413" s="7"/>
      <c r="C413" s="7"/>
      <c r="D413" s="7"/>
      <c r="E413" s="7"/>
    </row>
    <row r="414" ht="22.5" customHeight="1">
      <c r="A414" s="7"/>
      <c r="B414" s="7"/>
      <c r="C414" s="7"/>
      <c r="D414" s="7"/>
      <c r="E414" s="7"/>
    </row>
    <row r="415" ht="22.5" customHeight="1">
      <c r="A415" s="7"/>
      <c r="B415" s="7"/>
      <c r="C415" s="7"/>
      <c r="D415" s="7"/>
      <c r="E415" s="7"/>
    </row>
    <row r="416" ht="22.5" customHeight="1">
      <c r="A416" s="7"/>
      <c r="B416" s="7"/>
      <c r="C416" s="7"/>
      <c r="D416" s="7"/>
      <c r="E416" s="7"/>
    </row>
    <row r="417" ht="22.5" customHeight="1">
      <c r="A417" s="7"/>
      <c r="B417" s="7"/>
      <c r="C417" s="7"/>
      <c r="D417" s="7"/>
      <c r="E417" s="7"/>
    </row>
    <row r="418" ht="22.5" customHeight="1">
      <c r="A418" s="7"/>
      <c r="B418" s="7"/>
      <c r="C418" s="7"/>
      <c r="D418" s="7"/>
      <c r="E418" s="7"/>
    </row>
    <row r="419" ht="22.5" customHeight="1">
      <c r="A419" s="7"/>
      <c r="B419" s="7"/>
      <c r="C419" s="7"/>
      <c r="D419" s="7"/>
      <c r="E419" s="7"/>
    </row>
    <row r="420" ht="22.5" customHeight="1">
      <c r="A420" s="7"/>
      <c r="B420" s="7"/>
      <c r="C420" s="7"/>
      <c r="D420" s="7"/>
      <c r="E420" s="7"/>
    </row>
    <row r="421" ht="22.5" customHeight="1">
      <c r="A421" s="7"/>
      <c r="B421" s="7"/>
      <c r="C421" s="7"/>
      <c r="D421" s="7"/>
      <c r="E421" s="7"/>
    </row>
    <row r="422" ht="22.5" customHeight="1">
      <c r="A422" s="7"/>
      <c r="B422" s="7"/>
      <c r="C422" s="7"/>
      <c r="D422" s="7"/>
      <c r="E422" s="7"/>
    </row>
    <row r="423" ht="22.5" customHeight="1">
      <c r="A423" s="7"/>
      <c r="B423" s="7"/>
      <c r="C423" s="7"/>
      <c r="D423" s="7"/>
      <c r="E423" s="7"/>
    </row>
    <row r="424" ht="22.5" customHeight="1">
      <c r="A424" s="7"/>
      <c r="B424" s="7"/>
      <c r="C424" s="7"/>
      <c r="D424" s="7"/>
      <c r="E424" s="7"/>
    </row>
    <row r="425" ht="22.5" customHeight="1">
      <c r="A425" s="7"/>
      <c r="B425" s="7"/>
      <c r="C425" s="7"/>
      <c r="D425" s="7"/>
      <c r="E425" s="7"/>
    </row>
    <row r="426" ht="22.5" customHeight="1">
      <c r="A426" s="7"/>
      <c r="B426" s="7"/>
      <c r="C426" s="7"/>
      <c r="D426" s="7"/>
      <c r="E426" s="7"/>
    </row>
    <row r="427" ht="22.5" customHeight="1">
      <c r="A427" s="7"/>
      <c r="B427" s="7"/>
      <c r="C427" s="7"/>
      <c r="D427" s="7"/>
      <c r="E427" s="7"/>
    </row>
    <row r="428" ht="22.5" customHeight="1">
      <c r="A428" s="7"/>
      <c r="B428" s="7"/>
      <c r="C428" s="7"/>
      <c r="D428" s="7"/>
      <c r="E428" s="7"/>
    </row>
    <row r="429" ht="22.5" customHeight="1">
      <c r="A429" s="7"/>
      <c r="B429" s="7"/>
      <c r="C429" s="7"/>
      <c r="D429" s="7"/>
      <c r="E429" s="7"/>
    </row>
    <row r="430" ht="22.5" customHeight="1">
      <c r="A430" s="7"/>
      <c r="B430" s="7"/>
      <c r="C430" s="7"/>
      <c r="D430" s="7"/>
      <c r="E430" s="7"/>
    </row>
    <row r="431" ht="22.5" customHeight="1">
      <c r="A431" s="7"/>
      <c r="B431" s="7"/>
      <c r="C431" s="7"/>
      <c r="D431" s="7"/>
      <c r="E431" s="7"/>
    </row>
    <row r="432" ht="22.5" customHeight="1">
      <c r="A432" s="7"/>
      <c r="B432" s="7"/>
      <c r="C432" s="7"/>
      <c r="D432" s="7"/>
      <c r="E432" s="7"/>
    </row>
    <row r="433" ht="22.5" customHeight="1">
      <c r="A433" s="7"/>
      <c r="B433" s="7"/>
      <c r="C433" s="7"/>
      <c r="D433" s="7"/>
      <c r="E433" s="7"/>
    </row>
    <row r="434" ht="22.5" customHeight="1">
      <c r="A434" s="7"/>
      <c r="B434" s="7"/>
      <c r="C434" s="7"/>
      <c r="D434" s="7"/>
      <c r="E434" s="7"/>
    </row>
    <row r="435" ht="22.5" customHeight="1">
      <c r="A435" s="7"/>
      <c r="B435" s="7"/>
      <c r="C435" s="7"/>
      <c r="D435" s="7"/>
      <c r="E435" s="7"/>
    </row>
    <row r="436" ht="22.5" customHeight="1">
      <c r="A436" s="7"/>
      <c r="B436" s="7"/>
      <c r="C436" s="7"/>
      <c r="D436" s="7"/>
      <c r="E436" s="7"/>
    </row>
    <row r="437" ht="22.5" customHeight="1">
      <c r="A437" s="7"/>
      <c r="B437" s="7"/>
      <c r="C437" s="7"/>
      <c r="D437" s="7"/>
      <c r="E437" s="7"/>
    </row>
    <row r="438" ht="22.5" customHeight="1">
      <c r="A438" s="7"/>
      <c r="B438" s="7"/>
      <c r="C438" s="7"/>
      <c r="D438" s="7"/>
      <c r="E438" s="7"/>
    </row>
    <row r="439" ht="22.5" customHeight="1">
      <c r="A439" s="7"/>
      <c r="B439" s="7"/>
      <c r="C439" s="7"/>
      <c r="D439" s="7"/>
      <c r="E439" s="7"/>
    </row>
    <row r="440" ht="22.5" customHeight="1">
      <c r="A440" s="7"/>
      <c r="B440" s="7"/>
      <c r="C440" s="7"/>
      <c r="D440" s="7"/>
      <c r="E440" s="7"/>
    </row>
    <row r="441" ht="22.5" customHeight="1">
      <c r="A441" s="7"/>
      <c r="B441" s="7"/>
      <c r="C441" s="7"/>
      <c r="D441" s="7"/>
      <c r="E441" s="7"/>
    </row>
    <row r="442" ht="22.5" customHeight="1">
      <c r="A442" s="7"/>
      <c r="B442" s="7"/>
      <c r="C442" s="7"/>
      <c r="D442" s="7"/>
      <c r="E442" s="7"/>
    </row>
    <row r="443" ht="22.5" customHeight="1">
      <c r="A443" s="7"/>
      <c r="B443" s="7"/>
      <c r="C443" s="7"/>
      <c r="D443" s="7"/>
      <c r="E443" s="7"/>
    </row>
    <row r="444" ht="22.5" customHeight="1">
      <c r="A444" s="7"/>
      <c r="B444" s="7"/>
      <c r="C444" s="7"/>
      <c r="D444" s="7"/>
      <c r="E444" s="7"/>
    </row>
    <row r="445" ht="22.5" customHeight="1">
      <c r="A445" s="7"/>
      <c r="B445" s="7"/>
      <c r="C445" s="7"/>
      <c r="D445" s="7"/>
      <c r="E445" s="7"/>
    </row>
    <row r="446" ht="22.5" customHeight="1">
      <c r="A446" s="7"/>
      <c r="B446" s="7"/>
      <c r="C446" s="7"/>
      <c r="D446" s="7"/>
      <c r="E446" s="7"/>
    </row>
    <row r="447" ht="22.5" customHeight="1">
      <c r="A447" s="7"/>
      <c r="B447" s="7"/>
      <c r="C447" s="7"/>
      <c r="D447" s="7"/>
      <c r="E447" s="7"/>
    </row>
    <row r="448" ht="22.5" customHeight="1">
      <c r="A448" s="7"/>
      <c r="B448" s="7"/>
      <c r="C448" s="7"/>
      <c r="D448" s="7"/>
      <c r="E448" s="7"/>
    </row>
    <row r="449" ht="22.5" customHeight="1">
      <c r="A449" s="7"/>
      <c r="B449" s="7"/>
      <c r="C449" s="7"/>
      <c r="D449" s="7"/>
      <c r="E449" s="7"/>
    </row>
    <row r="450" ht="22.5" customHeight="1">
      <c r="A450" s="7"/>
      <c r="B450" s="7"/>
      <c r="C450" s="7"/>
      <c r="D450" s="7"/>
      <c r="E450" s="7"/>
    </row>
    <row r="451" ht="22.5" customHeight="1">
      <c r="A451" s="7"/>
      <c r="B451" s="7"/>
      <c r="C451" s="7"/>
      <c r="D451" s="7"/>
      <c r="E451" s="7"/>
    </row>
    <row r="452" ht="22.5" customHeight="1">
      <c r="A452" s="7"/>
      <c r="B452" s="7"/>
      <c r="C452" s="7"/>
      <c r="D452" s="7"/>
      <c r="E452" s="7"/>
    </row>
    <row r="453" ht="22.5" customHeight="1">
      <c r="A453" s="7"/>
      <c r="B453" s="7"/>
      <c r="C453" s="7"/>
      <c r="D453" s="7"/>
      <c r="E453" s="7"/>
    </row>
    <row r="454" ht="22.5" customHeight="1">
      <c r="A454" s="7"/>
      <c r="B454" s="7"/>
      <c r="C454" s="7"/>
      <c r="D454" s="7"/>
      <c r="E454" s="7"/>
    </row>
    <row r="455" ht="22.5" customHeight="1">
      <c r="A455" s="7"/>
      <c r="B455" s="7"/>
      <c r="C455" s="7"/>
      <c r="D455" s="7"/>
      <c r="E455" s="7"/>
    </row>
    <row r="456" ht="22.5" customHeight="1">
      <c r="A456" s="7"/>
      <c r="B456" s="7"/>
      <c r="C456" s="7"/>
      <c r="D456" s="7"/>
      <c r="E456" s="7"/>
    </row>
    <row r="457" ht="22.5" customHeight="1">
      <c r="A457" s="7"/>
      <c r="B457" s="7"/>
      <c r="C457" s="7"/>
      <c r="D457" s="7"/>
      <c r="E457" s="7"/>
    </row>
    <row r="458" ht="22.5" customHeight="1">
      <c r="A458" s="7"/>
      <c r="B458" s="7"/>
      <c r="C458" s="7"/>
      <c r="D458" s="7"/>
      <c r="E458" s="7"/>
    </row>
    <row r="459" ht="22.5" customHeight="1">
      <c r="A459" s="7"/>
      <c r="B459" s="7"/>
      <c r="C459" s="7"/>
      <c r="D459" s="7"/>
      <c r="E459" s="7"/>
    </row>
    <row r="460" ht="22.5" customHeight="1">
      <c r="A460" s="7"/>
      <c r="B460" s="7"/>
      <c r="C460" s="7"/>
      <c r="D460" s="7"/>
      <c r="E460" s="7"/>
    </row>
    <row r="461" ht="22.5" customHeight="1">
      <c r="A461" s="7"/>
      <c r="B461" s="7"/>
      <c r="C461" s="7"/>
      <c r="D461" s="7"/>
      <c r="E461" s="7"/>
    </row>
    <row r="462" ht="22.5" customHeight="1">
      <c r="A462" s="7"/>
      <c r="B462" s="7"/>
      <c r="C462" s="7"/>
      <c r="D462" s="7"/>
      <c r="E462" s="7"/>
    </row>
    <row r="463" ht="22.5" customHeight="1">
      <c r="A463" s="7"/>
      <c r="B463" s="7"/>
      <c r="C463" s="7"/>
      <c r="D463" s="7"/>
      <c r="E463" s="7"/>
    </row>
    <row r="464" ht="22.5" customHeight="1">
      <c r="A464" s="7"/>
      <c r="B464" s="7"/>
      <c r="C464" s="7"/>
      <c r="D464" s="7"/>
      <c r="E464" s="7"/>
    </row>
    <row r="465" ht="22.5" customHeight="1">
      <c r="A465" s="7"/>
      <c r="B465" s="7"/>
      <c r="C465" s="7"/>
      <c r="D465" s="7"/>
      <c r="E465" s="7"/>
    </row>
    <row r="466" ht="22.5" customHeight="1">
      <c r="A466" s="7"/>
      <c r="B466" s="7"/>
      <c r="C466" s="7"/>
      <c r="D466" s="7"/>
      <c r="E466" s="7"/>
    </row>
    <row r="467" ht="22.5" customHeight="1">
      <c r="A467" s="7"/>
      <c r="B467" s="7"/>
      <c r="C467" s="7"/>
      <c r="D467" s="7"/>
      <c r="E467" s="7"/>
    </row>
    <row r="468" ht="22.5" customHeight="1">
      <c r="A468" s="7"/>
      <c r="B468" s="7"/>
      <c r="C468" s="7"/>
      <c r="D468" s="7"/>
      <c r="E468" s="7"/>
    </row>
    <row r="469" ht="22.5" customHeight="1">
      <c r="A469" s="7"/>
      <c r="B469" s="7"/>
      <c r="C469" s="7"/>
      <c r="D469" s="7"/>
      <c r="E469" s="7"/>
    </row>
    <row r="470" ht="22.5" customHeight="1">
      <c r="A470" s="7"/>
      <c r="B470" s="7"/>
      <c r="C470" s="7"/>
      <c r="D470" s="7"/>
      <c r="E470" s="7"/>
    </row>
    <row r="471" ht="22.5" customHeight="1">
      <c r="A471" s="7"/>
      <c r="B471" s="7"/>
      <c r="C471" s="7"/>
      <c r="D471" s="7"/>
      <c r="E471" s="7"/>
    </row>
    <row r="472" ht="22.5" customHeight="1">
      <c r="A472" s="7"/>
      <c r="B472" s="7"/>
      <c r="C472" s="7"/>
      <c r="D472" s="7"/>
      <c r="E472" s="7"/>
    </row>
    <row r="473" ht="22.5" customHeight="1">
      <c r="A473" s="7"/>
      <c r="B473" s="7"/>
      <c r="C473" s="7"/>
      <c r="D473" s="7"/>
      <c r="E473" s="7"/>
    </row>
    <row r="474" ht="22.5" customHeight="1">
      <c r="A474" s="7"/>
      <c r="B474" s="7"/>
      <c r="C474" s="7"/>
      <c r="D474" s="7"/>
      <c r="E474" s="7"/>
    </row>
    <row r="475" ht="22.5" customHeight="1">
      <c r="A475" s="7"/>
      <c r="B475" s="7"/>
      <c r="C475" s="7"/>
      <c r="D475" s="7"/>
      <c r="E475" s="7"/>
    </row>
    <row r="476" ht="22.5" customHeight="1">
      <c r="A476" s="7"/>
      <c r="B476" s="7"/>
      <c r="C476" s="7"/>
      <c r="D476" s="7"/>
      <c r="E476" s="7"/>
    </row>
    <row r="477" ht="22.5" customHeight="1">
      <c r="A477" s="7"/>
      <c r="B477" s="7"/>
      <c r="C477" s="7"/>
      <c r="D477" s="7"/>
      <c r="E477" s="7"/>
    </row>
    <row r="478" ht="22.5" customHeight="1">
      <c r="A478" s="7"/>
      <c r="B478" s="7"/>
      <c r="C478" s="7"/>
      <c r="D478" s="7"/>
      <c r="E478" s="7"/>
    </row>
    <row r="479" ht="22.5" customHeight="1">
      <c r="A479" s="7"/>
      <c r="B479" s="7"/>
      <c r="C479" s="7"/>
      <c r="D479" s="7"/>
      <c r="E479" s="7"/>
    </row>
    <row r="480" ht="22.5" customHeight="1">
      <c r="A480" s="7"/>
      <c r="B480" s="7"/>
      <c r="C480" s="7"/>
      <c r="D480" s="7"/>
      <c r="E480" s="7"/>
    </row>
    <row r="481" ht="22.5" customHeight="1">
      <c r="A481" s="7"/>
      <c r="B481" s="7"/>
      <c r="C481" s="7"/>
      <c r="D481" s="7"/>
      <c r="E481" s="7"/>
    </row>
    <row r="482" ht="22.5" customHeight="1">
      <c r="A482" s="7"/>
      <c r="B482" s="7"/>
      <c r="C482" s="7"/>
      <c r="D482" s="7"/>
      <c r="E482" s="7"/>
    </row>
    <row r="483" ht="22.5" customHeight="1">
      <c r="A483" s="7"/>
      <c r="B483" s="7"/>
      <c r="C483" s="7"/>
      <c r="D483" s="7"/>
      <c r="E483" s="7"/>
    </row>
    <row r="484" ht="22.5" customHeight="1">
      <c r="A484" s="7"/>
      <c r="B484" s="7"/>
      <c r="C484" s="7"/>
      <c r="D484" s="7"/>
      <c r="E484" s="7"/>
    </row>
    <row r="485" ht="22.5" customHeight="1">
      <c r="A485" s="7"/>
      <c r="B485" s="7"/>
      <c r="C485" s="7"/>
      <c r="D485" s="7"/>
      <c r="E485" s="7"/>
    </row>
    <row r="486" ht="22.5" customHeight="1">
      <c r="A486" s="7"/>
      <c r="B486" s="7"/>
      <c r="C486" s="7"/>
      <c r="D486" s="7"/>
      <c r="E486" s="7"/>
    </row>
    <row r="487" ht="22.5" customHeight="1">
      <c r="A487" s="7"/>
      <c r="B487" s="7"/>
      <c r="C487" s="7"/>
      <c r="D487" s="7"/>
      <c r="E487" s="7"/>
    </row>
    <row r="488" ht="22.5" customHeight="1">
      <c r="A488" s="7"/>
      <c r="B488" s="7"/>
      <c r="C488" s="7"/>
      <c r="D488" s="7"/>
      <c r="E488" s="7"/>
    </row>
    <row r="489" ht="22.5" customHeight="1">
      <c r="A489" s="7"/>
      <c r="B489" s="7"/>
      <c r="C489" s="7"/>
      <c r="D489" s="7"/>
      <c r="E489" s="7"/>
    </row>
    <row r="490" ht="22.5" customHeight="1">
      <c r="A490" s="7"/>
      <c r="B490" s="7"/>
      <c r="C490" s="7"/>
      <c r="D490" s="7"/>
      <c r="E490" s="7"/>
    </row>
    <row r="491" ht="22.5" customHeight="1">
      <c r="A491" s="7"/>
      <c r="B491" s="7"/>
      <c r="C491" s="7"/>
      <c r="D491" s="7"/>
      <c r="E491" s="7"/>
    </row>
    <row r="492" ht="22.5" customHeight="1">
      <c r="A492" s="7"/>
      <c r="B492" s="7"/>
      <c r="C492" s="7"/>
      <c r="D492" s="7"/>
      <c r="E492" s="7"/>
    </row>
    <row r="493" ht="22.5" customHeight="1">
      <c r="A493" s="7"/>
      <c r="B493" s="7"/>
      <c r="C493" s="7"/>
      <c r="D493" s="7"/>
      <c r="E493" s="7"/>
    </row>
    <row r="494" ht="22.5" customHeight="1">
      <c r="A494" s="7"/>
      <c r="B494" s="7"/>
      <c r="C494" s="7"/>
      <c r="D494" s="7"/>
      <c r="E494" s="7"/>
    </row>
    <row r="495" ht="22.5" customHeight="1">
      <c r="A495" s="7"/>
      <c r="B495" s="7"/>
      <c r="C495" s="7"/>
      <c r="D495" s="7"/>
      <c r="E495" s="7"/>
    </row>
    <row r="496" ht="22.5" customHeight="1">
      <c r="A496" s="7"/>
      <c r="B496" s="7"/>
      <c r="C496" s="7"/>
      <c r="D496" s="7"/>
      <c r="E496" s="7"/>
    </row>
    <row r="497" ht="22.5" customHeight="1">
      <c r="A497" s="7"/>
      <c r="B497" s="7"/>
      <c r="C497" s="7"/>
      <c r="D497" s="7"/>
      <c r="E497" s="7"/>
    </row>
    <row r="498" ht="22.5" customHeight="1">
      <c r="A498" s="7"/>
      <c r="B498" s="7"/>
      <c r="C498" s="7"/>
      <c r="D498" s="7"/>
      <c r="E498" s="7"/>
    </row>
    <row r="499" ht="22.5" customHeight="1">
      <c r="A499" s="7"/>
      <c r="B499" s="7"/>
      <c r="C499" s="7"/>
      <c r="D499" s="7"/>
      <c r="E499" s="7"/>
    </row>
    <row r="500" ht="22.5" customHeight="1">
      <c r="A500" s="7"/>
      <c r="B500" s="7"/>
      <c r="C500" s="7"/>
      <c r="D500" s="7"/>
      <c r="E500" s="7"/>
    </row>
    <row r="501" ht="22.5" customHeight="1">
      <c r="A501" s="7"/>
      <c r="B501" s="7"/>
      <c r="C501" s="7"/>
      <c r="D501" s="7"/>
      <c r="E501" s="7"/>
    </row>
    <row r="502" ht="22.5" customHeight="1">
      <c r="A502" s="7"/>
      <c r="B502" s="7"/>
      <c r="C502" s="7"/>
      <c r="D502" s="7"/>
      <c r="E502" s="7"/>
    </row>
    <row r="503" ht="22.5" customHeight="1">
      <c r="A503" s="7"/>
      <c r="B503" s="7"/>
      <c r="C503" s="7"/>
      <c r="D503" s="7"/>
      <c r="E503" s="7"/>
    </row>
    <row r="504" ht="22.5" customHeight="1">
      <c r="A504" s="7"/>
      <c r="B504" s="7"/>
      <c r="C504" s="7"/>
      <c r="D504" s="7"/>
      <c r="E504" s="7"/>
    </row>
    <row r="505" ht="22.5" customHeight="1">
      <c r="A505" s="7"/>
      <c r="B505" s="7"/>
      <c r="C505" s="7"/>
      <c r="D505" s="7"/>
      <c r="E505" s="7"/>
    </row>
    <row r="506" ht="22.5" customHeight="1">
      <c r="A506" s="7"/>
      <c r="B506" s="7"/>
      <c r="C506" s="7"/>
      <c r="D506" s="7"/>
      <c r="E506" s="7"/>
    </row>
    <row r="507" ht="22.5" customHeight="1">
      <c r="A507" s="7"/>
      <c r="B507" s="7"/>
      <c r="C507" s="7"/>
      <c r="D507" s="7"/>
      <c r="E507" s="7"/>
    </row>
    <row r="508" ht="22.5" customHeight="1">
      <c r="A508" s="7"/>
      <c r="B508" s="7"/>
      <c r="C508" s="7"/>
      <c r="D508" s="7"/>
      <c r="E508" s="7"/>
    </row>
    <row r="509" ht="22.5" customHeight="1">
      <c r="A509" s="7"/>
      <c r="B509" s="7"/>
      <c r="C509" s="7"/>
      <c r="D509" s="7"/>
      <c r="E509" s="7"/>
    </row>
    <row r="510" ht="22.5" customHeight="1">
      <c r="A510" s="7"/>
      <c r="B510" s="7"/>
      <c r="C510" s="7"/>
      <c r="D510" s="7"/>
      <c r="E510" s="7"/>
    </row>
    <row r="511" ht="22.5" customHeight="1">
      <c r="A511" s="7"/>
      <c r="B511" s="7"/>
      <c r="C511" s="7"/>
      <c r="D511" s="7"/>
      <c r="E511" s="7"/>
    </row>
    <row r="512" ht="22.5" customHeight="1">
      <c r="A512" s="7"/>
      <c r="B512" s="7"/>
      <c r="C512" s="7"/>
      <c r="D512" s="7"/>
      <c r="E512" s="7"/>
    </row>
    <row r="513" ht="22.5" customHeight="1">
      <c r="A513" s="7"/>
      <c r="B513" s="7"/>
      <c r="C513" s="7"/>
      <c r="D513" s="7"/>
      <c r="E513" s="7"/>
    </row>
    <row r="514" ht="22.5" customHeight="1">
      <c r="A514" s="7"/>
      <c r="B514" s="7"/>
      <c r="C514" s="7"/>
      <c r="D514" s="7"/>
      <c r="E514" s="7"/>
    </row>
    <row r="515" ht="22.5" customHeight="1">
      <c r="A515" s="7"/>
      <c r="B515" s="7"/>
      <c r="C515" s="7"/>
      <c r="D515" s="7"/>
      <c r="E515" s="7"/>
    </row>
    <row r="516" ht="22.5" customHeight="1">
      <c r="A516" s="7"/>
      <c r="B516" s="7"/>
      <c r="C516" s="7"/>
      <c r="D516" s="7"/>
      <c r="E516" s="7"/>
    </row>
    <row r="517" ht="22.5" customHeight="1">
      <c r="A517" s="7"/>
      <c r="B517" s="7"/>
      <c r="C517" s="7"/>
      <c r="D517" s="7"/>
      <c r="E517" s="7"/>
    </row>
    <row r="518" ht="22.5" customHeight="1">
      <c r="A518" s="7"/>
      <c r="B518" s="7"/>
      <c r="C518" s="7"/>
      <c r="D518" s="7"/>
      <c r="E518" s="7"/>
    </row>
    <row r="519" ht="22.5" customHeight="1">
      <c r="A519" s="7"/>
      <c r="B519" s="7"/>
      <c r="C519" s="7"/>
      <c r="D519" s="7"/>
      <c r="E519" s="7"/>
    </row>
    <row r="520" ht="22.5" customHeight="1">
      <c r="A520" s="7"/>
      <c r="B520" s="7"/>
      <c r="C520" s="7"/>
      <c r="D520" s="7"/>
      <c r="E520" s="7"/>
    </row>
    <row r="521" ht="22.5" customHeight="1">
      <c r="A521" s="7"/>
      <c r="B521" s="7"/>
      <c r="C521" s="7"/>
      <c r="D521" s="7"/>
      <c r="E521" s="7"/>
    </row>
    <row r="522" ht="22.5" customHeight="1">
      <c r="A522" s="7"/>
      <c r="B522" s="7"/>
      <c r="C522" s="7"/>
      <c r="D522" s="7"/>
      <c r="E522" s="7"/>
    </row>
    <row r="523" ht="22.5" customHeight="1">
      <c r="A523" s="7"/>
      <c r="B523" s="7"/>
      <c r="C523" s="7"/>
      <c r="D523" s="7"/>
      <c r="E523" s="7"/>
    </row>
    <row r="524" ht="22.5" customHeight="1">
      <c r="A524" s="7"/>
      <c r="B524" s="7"/>
      <c r="C524" s="7"/>
      <c r="D524" s="7"/>
      <c r="E524" s="7"/>
    </row>
    <row r="525" ht="22.5" customHeight="1">
      <c r="A525" s="7"/>
      <c r="B525" s="7"/>
      <c r="C525" s="7"/>
      <c r="D525" s="7"/>
      <c r="E525" s="7"/>
    </row>
    <row r="526" ht="22.5" customHeight="1">
      <c r="A526" s="7"/>
      <c r="B526" s="7"/>
      <c r="C526" s="7"/>
      <c r="D526" s="7"/>
      <c r="E526" s="7"/>
    </row>
    <row r="527" ht="22.5" customHeight="1">
      <c r="A527" s="7"/>
      <c r="B527" s="7"/>
      <c r="C527" s="7"/>
      <c r="D527" s="7"/>
      <c r="E527" s="7"/>
    </row>
    <row r="528" ht="22.5" customHeight="1">
      <c r="A528" s="7"/>
      <c r="B528" s="7"/>
      <c r="C528" s="7"/>
      <c r="D528" s="7"/>
      <c r="E528" s="7"/>
    </row>
    <row r="529" ht="22.5" customHeight="1">
      <c r="A529" s="7"/>
      <c r="B529" s="7"/>
      <c r="C529" s="7"/>
      <c r="D529" s="7"/>
      <c r="E529" s="7"/>
    </row>
    <row r="530" ht="22.5" customHeight="1">
      <c r="A530" s="7"/>
      <c r="B530" s="7"/>
      <c r="C530" s="7"/>
      <c r="D530" s="7"/>
      <c r="E530" s="7"/>
    </row>
    <row r="531" ht="22.5" customHeight="1">
      <c r="A531" s="7"/>
      <c r="B531" s="7"/>
      <c r="C531" s="7"/>
      <c r="D531" s="7"/>
      <c r="E531" s="7"/>
    </row>
    <row r="532" ht="22.5" customHeight="1">
      <c r="A532" s="7"/>
      <c r="B532" s="7"/>
      <c r="C532" s="7"/>
      <c r="D532" s="7"/>
      <c r="E532" s="7"/>
    </row>
    <row r="533" ht="22.5" customHeight="1">
      <c r="A533" s="7"/>
      <c r="B533" s="7"/>
      <c r="C533" s="7"/>
      <c r="D533" s="7"/>
      <c r="E533" s="7"/>
    </row>
    <row r="534" ht="22.5" customHeight="1">
      <c r="A534" s="7"/>
      <c r="B534" s="7"/>
      <c r="C534" s="7"/>
      <c r="D534" s="7"/>
      <c r="E534" s="7"/>
    </row>
    <row r="535" ht="22.5" customHeight="1">
      <c r="A535" s="7"/>
      <c r="B535" s="7"/>
      <c r="C535" s="7"/>
      <c r="D535" s="7"/>
      <c r="E535" s="7"/>
    </row>
    <row r="536" ht="22.5" customHeight="1">
      <c r="A536" s="7"/>
      <c r="B536" s="7"/>
      <c r="C536" s="7"/>
      <c r="D536" s="7"/>
      <c r="E536" s="7"/>
    </row>
    <row r="537" ht="22.5" customHeight="1">
      <c r="A537" s="7"/>
      <c r="B537" s="7"/>
      <c r="C537" s="7"/>
      <c r="D537" s="7"/>
      <c r="E537" s="7"/>
    </row>
    <row r="538" ht="22.5" customHeight="1">
      <c r="A538" s="7"/>
      <c r="B538" s="7"/>
      <c r="C538" s="7"/>
      <c r="D538" s="7"/>
      <c r="E538" s="7"/>
    </row>
    <row r="539" ht="22.5" customHeight="1">
      <c r="A539" s="7"/>
      <c r="B539" s="7"/>
      <c r="C539" s="7"/>
      <c r="D539" s="7"/>
      <c r="E539" s="7"/>
    </row>
    <row r="540" ht="22.5" customHeight="1">
      <c r="A540" s="7"/>
      <c r="B540" s="7"/>
      <c r="C540" s="7"/>
      <c r="D540" s="7"/>
      <c r="E540" s="7"/>
    </row>
    <row r="541" ht="22.5" customHeight="1">
      <c r="A541" s="7"/>
      <c r="B541" s="7"/>
      <c r="C541" s="7"/>
      <c r="D541" s="7"/>
      <c r="E541" s="7"/>
    </row>
    <row r="542" ht="22.5" customHeight="1">
      <c r="A542" s="7"/>
      <c r="B542" s="7"/>
      <c r="C542" s="7"/>
      <c r="D542" s="7"/>
      <c r="E542" s="7"/>
    </row>
    <row r="543" ht="22.5" customHeight="1">
      <c r="A543" s="7"/>
      <c r="B543" s="7"/>
      <c r="C543" s="7"/>
      <c r="D543" s="7"/>
      <c r="E543" s="7"/>
    </row>
    <row r="544" ht="22.5" customHeight="1">
      <c r="A544" s="7"/>
      <c r="B544" s="7"/>
      <c r="C544" s="7"/>
      <c r="D544" s="7"/>
      <c r="E544" s="7"/>
    </row>
    <row r="545" ht="22.5" customHeight="1">
      <c r="A545" s="7"/>
      <c r="B545" s="7"/>
      <c r="C545" s="7"/>
      <c r="D545" s="7"/>
      <c r="E545" s="7"/>
    </row>
    <row r="546" ht="22.5" customHeight="1">
      <c r="A546" s="7"/>
      <c r="B546" s="7"/>
      <c r="C546" s="7"/>
      <c r="D546" s="7"/>
      <c r="E546" s="7"/>
    </row>
    <row r="547" ht="22.5" customHeight="1">
      <c r="A547" s="7"/>
      <c r="B547" s="7"/>
      <c r="C547" s="7"/>
      <c r="D547" s="7"/>
      <c r="E547" s="7"/>
    </row>
    <row r="548" ht="22.5" customHeight="1">
      <c r="A548" s="7"/>
      <c r="B548" s="7"/>
      <c r="C548" s="7"/>
      <c r="D548" s="7"/>
      <c r="E548" s="7"/>
    </row>
    <row r="549" ht="22.5" customHeight="1">
      <c r="A549" s="7"/>
      <c r="B549" s="7"/>
      <c r="C549" s="7"/>
      <c r="D549" s="7"/>
      <c r="E549" s="7"/>
    </row>
    <row r="550" ht="22.5" customHeight="1">
      <c r="A550" s="7"/>
      <c r="B550" s="7"/>
      <c r="C550" s="7"/>
      <c r="D550" s="7"/>
      <c r="E550" s="7"/>
    </row>
    <row r="551" ht="22.5" customHeight="1">
      <c r="A551" s="7"/>
      <c r="B551" s="7"/>
      <c r="C551" s="7"/>
      <c r="D551" s="7"/>
      <c r="E551" s="7"/>
    </row>
    <row r="552" ht="22.5" customHeight="1">
      <c r="A552" s="7"/>
      <c r="B552" s="7"/>
      <c r="C552" s="7"/>
      <c r="D552" s="7"/>
      <c r="E552" s="7"/>
    </row>
    <row r="553" ht="22.5" customHeight="1">
      <c r="A553" s="7"/>
      <c r="B553" s="7"/>
      <c r="C553" s="7"/>
      <c r="D553" s="7"/>
      <c r="E553" s="7"/>
    </row>
    <row r="554" ht="22.5" customHeight="1">
      <c r="A554" s="7"/>
      <c r="B554" s="7"/>
      <c r="C554" s="7"/>
      <c r="D554" s="7"/>
      <c r="E554" s="7"/>
    </row>
    <row r="555" ht="22.5" customHeight="1">
      <c r="A555" s="7"/>
      <c r="B555" s="7"/>
      <c r="C555" s="7"/>
      <c r="D555" s="7"/>
      <c r="E555" s="7"/>
    </row>
    <row r="556" ht="22.5" customHeight="1">
      <c r="A556" s="7"/>
      <c r="B556" s="7"/>
      <c r="C556" s="7"/>
      <c r="D556" s="7"/>
      <c r="E556" s="7"/>
    </row>
    <row r="557" ht="22.5" customHeight="1">
      <c r="A557" s="7"/>
      <c r="B557" s="7"/>
      <c r="C557" s="7"/>
      <c r="D557" s="7"/>
      <c r="E557" s="7"/>
    </row>
    <row r="558" ht="22.5" customHeight="1">
      <c r="A558" s="7"/>
      <c r="B558" s="7"/>
      <c r="C558" s="7"/>
      <c r="D558" s="7"/>
      <c r="E558" s="7"/>
    </row>
    <row r="559" ht="22.5" customHeight="1">
      <c r="A559" s="7"/>
      <c r="B559" s="7"/>
      <c r="C559" s="7"/>
      <c r="D559" s="7"/>
      <c r="E559" s="7"/>
    </row>
    <row r="560" ht="22.5" customHeight="1">
      <c r="A560" s="7"/>
      <c r="B560" s="7"/>
      <c r="C560" s="7"/>
      <c r="D560" s="7"/>
      <c r="E560" s="7"/>
    </row>
    <row r="561" ht="22.5" customHeight="1">
      <c r="A561" s="7"/>
      <c r="B561" s="7"/>
      <c r="C561" s="7"/>
      <c r="D561" s="7"/>
      <c r="E561" s="7"/>
    </row>
    <row r="562" ht="22.5" customHeight="1">
      <c r="A562" s="7"/>
      <c r="B562" s="7"/>
      <c r="C562" s="7"/>
      <c r="D562" s="7"/>
      <c r="E562" s="7"/>
    </row>
    <row r="563" ht="22.5" customHeight="1">
      <c r="A563" s="7"/>
      <c r="B563" s="7"/>
      <c r="C563" s="7"/>
      <c r="D563" s="7"/>
      <c r="E563" s="7"/>
    </row>
    <row r="564" ht="22.5" customHeight="1">
      <c r="A564" s="7"/>
      <c r="B564" s="7"/>
      <c r="C564" s="7"/>
      <c r="D564" s="7"/>
      <c r="E564" s="7"/>
    </row>
    <row r="565" ht="22.5" customHeight="1">
      <c r="A565" s="7"/>
      <c r="B565" s="7"/>
      <c r="C565" s="7"/>
      <c r="D565" s="7"/>
      <c r="E565" s="7"/>
    </row>
    <row r="566" ht="22.5" customHeight="1">
      <c r="A566" s="7"/>
      <c r="B566" s="7"/>
      <c r="C566" s="7"/>
      <c r="D566" s="7"/>
      <c r="E566" s="7"/>
    </row>
    <row r="567" ht="22.5" customHeight="1">
      <c r="A567" s="7"/>
      <c r="B567" s="7"/>
      <c r="C567" s="7"/>
      <c r="D567" s="7"/>
      <c r="E567" s="7"/>
    </row>
    <row r="568" ht="22.5" customHeight="1">
      <c r="A568" s="7"/>
      <c r="B568" s="7"/>
      <c r="C568" s="7"/>
      <c r="D568" s="7"/>
      <c r="E568" s="7"/>
    </row>
    <row r="569" ht="22.5" customHeight="1">
      <c r="A569" s="7"/>
      <c r="B569" s="7"/>
      <c r="C569" s="7"/>
      <c r="D569" s="7"/>
      <c r="E569" s="7"/>
    </row>
    <row r="570" ht="22.5" customHeight="1">
      <c r="A570" s="7"/>
      <c r="B570" s="7"/>
      <c r="C570" s="7"/>
      <c r="D570" s="7"/>
      <c r="E570" s="7"/>
    </row>
    <row r="571" ht="22.5" customHeight="1">
      <c r="A571" s="7"/>
      <c r="B571" s="7"/>
      <c r="C571" s="7"/>
      <c r="D571" s="7"/>
      <c r="E571" s="7"/>
    </row>
    <row r="572" ht="22.5" customHeight="1">
      <c r="A572" s="7"/>
      <c r="B572" s="7"/>
      <c r="C572" s="7"/>
      <c r="D572" s="7"/>
      <c r="E572" s="7"/>
    </row>
    <row r="573" ht="22.5" customHeight="1">
      <c r="A573" s="7"/>
      <c r="B573" s="7"/>
      <c r="C573" s="7"/>
      <c r="D573" s="7"/>
      <c r="E573" s="7"/>
    </row>
    <row r="574" ht="22.5" customHeight="1">
      <c r="A574" s="7"/>
      <c r="B574" s="7"/>
      <c r="C574" s="7"/>
      <c r="D574" s="7"/>
      <c r="E574" s="7"/>
    </row>
    <row r="575" ht="22.5" customHeight="1">
      <c r="A575" s="7"/>
      <c r="B575" s="7"/>
      <c r="C575" s="7"/>
      <c r="D575" s="7"/>
      <c r="E575" s="7"/>
    </row>
    <row r="576" ht="22.5" customHeight="1">
      <c r="A576" s="7"/>
      <c r="B576" s="7"/>
      <c r="C576" s="7"/>
      <c r="D576" s="7"/>
      <c r="E576" s="7"/>
    </row>
    <row r="577" ht="22.5" customHeight="1">
      <c r="A577" s="7"/>
      <c r="B577" s="7"/>
      <c r="C577" s="7"/>
      <c r="D577" s="7"/>
      <c r="E577" s="7"/>
    </row>
    <row r="578" ht="22.5" customHeight="1">
      <c r="A578" s="7"/>
      <c r="B578" s="7"/>
      <c r="C578" s="7"/>
      <c r="D578" s="7"/>
      <c r="E578" s="7"/>
    </row>
    <row r="579" ht="22.5" customHeight="1">
      <c r="A579" s="7"/>
      <c r="B579" s="7"/>
      <c r="C579" s="7"/>
      <c r="D579" s="7"/>
      <c r="E579" s="7"/>
    </row>
    <row r="580" ht="22.5" customHeight="1">
      <c r="A580" s="7"/>
      <c r="B580" s="7"/>
      <c r="C580" s="7"/>
      <c r="D580" s="7"/>
      <c r="E580" s="7"/>
    </row>
    <row r="581" ht="22.5" customHeight="1">
      <c r="A581" s="7"/>
      <c r="B581" s="7"/>
      <c r="C581" s="7"/>
      <c r="D581" s="7"/>
      <c r="E581" s="7"/>
    </row>
    <row r="582" ht="22.5" customHeight="1">
      <c r="A582" s="7"/>
      <c r="B582" s="7"/>
      <c r="C582" s="7"/>
      <c r="D582" s="7"/>
      <c r="E582" s="7"/>
    </row>
    <row r="583" ht="22.5" customHeight="1">
      <c r="A583" s="7"/>
      <c r="B583" s="7"/>
      <c r="C583" s="7"/>
      <c r="D583" s="7"/>
      <c r="E583" s="7"/>
    </row>
    <row r="584" ht="22.5" customHeight="1">
      <c r="A584" s="7"/>
      <c r="B584" s="7"/>
      <c r="C584" s="7"/>
      <c r="D584" s="7"/>
      <c r="E584" s="7"/>
    </row>
    <row r="585" ht="22.5" customHeight="1">
      <c r="A585" s="7"/>
      <c r="B585" s="7"/>
      <c r="C585" s="7"/>
      <c r="D585" s="7"/>
      <c r="E585" s="7"/>
    </row>
    <row r="586" ht="22.5" customHeight="1">
      <c r="A586" s="7"/>
      <c r="B586" s="7"/>
      <c r="C586" s="7"/>
      <c r="D586" s="7"/>
      <c r="E586" s="7"/>
    </row>
    <row r="587" ht="22.5" customHeight="1">
      <c r="A587" s="7"/>
      <c r="B587" s="7"/>
      <c r="C587" s="7"/>
      <c r="D587" s="7"/>
      <c r="E587" s="7"/>
    </row>
    <row r="588" ht="22.5" customHeight="1">
      <c r="A588" s="7"/>
      <c r="B588" s="7"/>
      <c r="C588" s="7"/>
      <c r="D588" s="7"/>
      <c r="E588" s="7"/>
    </row>
    <row r="589" ht="22.5" customHeight="1">
      <c r="A589" s="7"/>
      <c r="B589" s="7"/>
      <c r="C589" s="7"/>
      <c r="D589" s="7"/>
      <c r="E589" s="7"/>
    </row>
    <row r="590" ht="22.5" customHeight="1">
      <c r="A590" s="7"/>
      <c r="B590" s="7"/>
      <c r="C590" s="7"/>
      <c r="D590" s="7"/>
      <c r="E590" s="7"/>
    </row>
    <row r="591" ht="22.5" customHeight="1">
      <c r="A591" s="7"/>
      <c r="B591" s="7"/>
      <c r="C591" s="7"/>
      <c r="D591" s="7"/>
      <c r="E591" s="7"/>
    </row>
    <row r="592" ht="22.5" customHeight="1">
      <c r="A592" s="7"/>
      <c r="B592" s="7"/>
      <c r="C592" s="7"/>
      <c r="D592" s="7"/>
      <c r="E592" s="7"/>
    </row>
    <row r="593" ht="22.5" customHeight="1">
      <c r="A593" s="7"/>
      <c r="B593" s="7"/>
      <c r="C593" s="7"/>
      <c r="D593" s="7"/>
      <c r="E593" s="7"/>
    </row>
    <row r="594" ht="22.5" customHeight="1">
      <c r="A594" s="7"/>
      <c r="B594" s="7"/>
      <c r="C594" s="7"/>
      <c r="D594" s="7"/>
      <c r="E594" s="7"/>
    </row>
    <row r="595" ht="22.5" customHeight="1">
      <c r="A595" s="7"/>
      <c r="B595" s="7"/>
      <c r="C595" s="7"/>
      <c r="D595" s="7"/>
      <c r="E595" s="7"/>
    </row>
    <row r="596" ht="22.5" customHeight="1">
      <c r="A596" s="7"/>
      <c r="B596" s="7"/>
      <c r="C596" s="7"/>
      <c r="D596" s="7"/>
      <c r="E596" s="7"/>
    </row>
    <row r="597" ht="22.5" customHeight="1">
      <c r="A597" s="7"/>
      <c r="B597" s="7"/>
      <c r="C597" s="7"/>
      <c r="D597" s="7"/>
      <c r="E597" s="7"/>
    </row>
    <row r="598" ht="22.5" customHeight="1">
      <c r="A598" s="7"/>
      <c r="B598" s="7"/>
      <c r="C598" s="7"/>
      <c r="D598" s="7"/>
      <c r="E598" s="7"/>
    </row>
    <row r="599" ht="22.5" customHeight="1">
      <c r="A599" s="7"/>
      <c r="B599" s="7"/>
      <c r="C599" s="7"/>
      <c r="D599" s="7"/>
      <c r="E599" s="7"/>
    </row>
    <row r="600" ht="22.5" customHeight="1">
      <c r="A600" s="7"/>
      <c r="B600" s="7"/>
      <c r="C600" s="7"/>
      <c r="D600" s="7"/>
      <c r="E600" s="7"/>
    </row>
    <row r="601" ht="22.5" customHeight="1">
      <c r="A601" s="7"/>
      <c r="B601" s="7"/>
      <c r="C601" s="7"/>
      <c r="D601" s="7"/>
      <c r="E601" s="7"/>
    </row>
    <row r="602" ht="22.5" customHeight="1">
      <c r="A602" s="7"/>
      <c r="B602" s="7"/>
      <c r="C602" s="7"/>
      <c r="D602" s="7"/>
      <c r="E602" s="7"/>
    </row>
    <row r="603" ht="22.5" customHeight="1">
      <c r="A603" s="7"/>
      <c r="B603" s="7"/>
      <c r="C603" s="7"/>
      <c r="D603" s="7"/>
      <c r="E603" s="7"/>
    </row>
    <row r="604" ht="22.5" customHeight="1">
      <c r="A604" s="7"/>
      <c r="B604" s="7"/>
      <c r="C604" s="7"/>
      <c r="D604" s="7"/>
      <c r="E604" s="7"/>
    </row>
    <row r="605" ht="22.5" customHeight="1">
      <c r="A605" s="7"/>
      <c r="B605" s="7"/>
      <c r="C605" s="7"/>
      <c r="D605" s="7"/>
      <c r="E605" s="7"/>
    </row>
    <row r="606" ht="22.5" customHeight="1">
      <c r="A606" s="7"/>
      <c r="B606" s="7"/>
      <c r="C606" s="7"/>
      <c r="D606" s="7"/>
      <c r="E606" s="7"/>
    </row>
    <row r="607" ht="22.5" customHeight="1">
      <c r="A607" s="7"/>
      <c r="B607" s="7"/>
      <c r="C607" s="7"/>
      <c r="D607" s="7"/>
      <c r="E607" s="7"/>
    </row>
    <row r="608" ht="22.5" customHeight="1">
      <c r="A608" s="7"/>
      <c r="B608" s="7"/>
      <c r="C608" s="7"/>
      <c r="D608" s="7"/>
      <c r="E608" s="7"/>
    </row>
    <row r="609" ht="22.5" customHeight="1">
      <c r="A609" s="7"/>
      <c r="B609" s="7"/>
      <c r="C609" s="7"/>
      <c r="D609" s="7"/>
      <c r="E609" s="7"/>
    </row>
    <row r="610" ht="22.5" customHeight="1">
      <c r="A610" s="7"/>
      <c r="B610" s="7"/>
      <c r="C610" s="7"/>
      <c r="D610" s="7"/>
      <c r="E610" s="7"/>
    </row>
    <row r="611" ht="22.5" customHeight="1">
      <c r="A611" s="7"/>
      <c r="B611" s="7"/>
      <c r="C611" s="7"/>
      <c r="D611" s="7"/>
      <c r="E611" s="7"/>
    </row>
    <row r="612" ht="22.5" customHeight="1">
      <c r="A612" s="7"/>
      <c r="B612" s="7"/>
      <c r="C612" s="7"/>
      <c r="D612" s="7"/>
      <c r="E612" s="7"/>
    </row>
    <row r="613" ht="22.5" customHeight="1">
      <c r="A613" s="7"/>
      <c r="B613" s="7"/>
      <c r="C613" s="7"/>
      <c r="D613" s="7"/>
      <c r="E613" s="7"/>
    </row>
    <row r="614" ht="22.5" customHeight="1">
      <c r="A614" s="7"/>
      <c r="B614" s="7"/>
      <c r="C614" s="7"/>
      <c r="D614" s="7"/>
      <c r="E614" s="7"/>
    </row>
    <row r="615" ht="22.5" customHeight="1">
      <c r="A615" s="7"/>
      <c r="B615" s="7"/>
      <c r="C615" s="7"/>
      <c r="D615" s="7"/>
      <c r="E615" s="7"/>
    </row>
    <row r="616" ht="22.5" customHeight="1">
      <c r="A616" s="7"/>
      <c r="B616" s="7"/>
      <c r="C616" s="7"/>
      <c r="D616" s="7"/>
      <c r="E616" s="7"/>
    </row>
    <row r="617" ht="22.5" customHeight="1">
      <c r="A617" s="7"/>
      <c r="B617" s="7"/>
      <c r="C617" s="7"/>
      <c r="D617" s="7"/>
      <c r="E617" s="7"/>
    </row>
    <row r="618" ht="22.5" customHeight="1">
      <c r="A618" s="7"/>
      <c r="B618" s="7"/>
      <c r="C618" s="7"/>
      <c r="D618" s="7"/>
      <c r="E618" s="7"/>
    </row>
    <row r="619" ht="22.5" customHeight="1">
      <c r="A619" s="7"/>
      <c r="B619" s="7"/>
      <c r="C619" s="7"/>
      <c r="D619" s="7"/>
      <c r="E619" s="7"/>
    </row>
    <row r="620" ht="22.5" customHeight="1">
      <c r="A620" s="7"/>
      <c r="B620" s="7"/>
      <c r="C620" s="7"/>
      <c r="D620" s="7"/>
      <c r="E620" s="7"/>
    </row>
    <row r="621" ht="22.5" customHeight="1">
      <c r="A621" s="7"/>
      <c r="B621" s="7"/>
      <c r="C621" s="7"/>
      <c r="D621" s="7"/>
      <c r="E621" s="7"/>
    </row>
    <row r="622" ht="22.5" customHeight="1">
      <c r="A622" s="7"/>
      <c r="B622" s="7"/>
      <c r="C622" s="7"/>
      <c r="D622" s="7"/>
      <c r="E622" s="7"/>
    </row>
    <row r="623" ht="22.5" customHeight="1">
      <c r="A623" s="7"/>
      <c r="B623" s="7"/>
      <c r="C623" s="7"/>
      <c r="D623" s="7"/>
      <c r="E623" s="7"/>
    </row>
    <row r="624" ht="22.5" customHeight="1">
      <c r="A624" s="7"/>
      <c r="B624" s="7"/>
      <c r="C624" s="7"/>
      <c r="D624" s="7"/>
      <c r="E624" s="7"/>
    </row>
    <row r="625" ht="22.5" customHeight="1">
      <c r="A625" s="7"/>
      <c r="B625" s="7"/>
      <c r="C625" s="7"/>
      <c r="D625" s="7"/>
      <c r="E625" s="7"/>
    </row>
    <row r="626" ht="22.5" customHeight="1">
      <c r="A626" s="7"/>
      <c r="B626" s="7"/>
      <c r="C626" s="7"/>
      <c r="D626" s="7"/>
      <c r="E626" s="7"/>
    </row>
    <row r="627" ht="22.5" customHeight="1">
      <c r="A627" s="7"/>
      <c r="B627" s="7"/>
      <c r="C627" s="7"/>
      <c r="D627" s="7"/>
      <c r="E627" s="7"/>
    </row>
    <row r="628" ht="22.5" customHeight="1">
      <c r="A628" s="7"/>
      <c r="B628" s="7"/>
      <c r="C628" s="7"/>
      <c r="D628" s="7"/>
      <c r="E628" s="7"/>
    </row>
    <row r="629" ht="22.5" customHeight="1">
      <c r="A629" s="7"/>
      <c r="B629" s="7"/>
      <c r="C629" s="7"/>
      <c r="D629" s="7"/>
      <c r="E629" s="7"/>
    </row>
    <row r="630" ht="22.5" customHeight="1">
      <c r="A630" s="7"/>
      <c r="B630" s="7"/>
      <c r="C630" s="7"/>
      <c r="D630" s="7"/>
      <c r="E630" s="7"/>
    </row>
    <row r="631" ht="22.5" customHeight="1">
      <c r="A631" s="7"/>
      <c r="B631" s="7"/>
      <c r="C631" s="7"/>
      <c r="D631" s="7"/>
      <c r="E631" s="7"/>
    </row>
    <row r="632" ht="22.5" customHeight="1">
      <c r="A632" s="7"/>
      <c r="B632" s="7"/>
      <c r="C632" s="7"/>
      <c r="D632" s="7"/>
      <c r="E632" s="7"/>
    </row>
    <row r="633" ht="22.5" customHeight="1">
      <c r="A633" s="7"/>
      <c r="B633" s="7"/>
      <c r="C633" s="7"/>
      <c r="D633" s="7"/>
      <c r="E633" s="7"/>
    </row>
    <row r="634" ht="22.5" customHeight="1">
      <c r="A634" s="7"/>
      <c r="B634" s="7"/>
      <c r="C634" s="7"/>
      <c r="D634" s="7"/>
      <c r="E634" s="7"/>
    </row>
    <row r="635" ht="22.5" customHeight="1">
      <c r="A635" s="7"/>
      <c r="B635" s="7"/>
      <c r="C635" s="7"/>
      <c r="D635" s="7"/>
      <c r="E635" s="7"/>
    </row>
    <row r="636" ht="22.5" customHeight="1">
      <c r="A636" s="7"/>
      <c r="B636" s="7"/>
      <c r="C636" s="7"/>
      <c r="D636" s="7"/>
      <c r="E636" s="7"/>
    </row>
    <row r="637" ht="22.5" customHeight="1">
      <c r="A637" s="7"/>
      <c r="B637" s="7"/>
      <c r="C637" s="7"/>
      <c r="D637" s="7"/>
      <c r="E637" s="7"/>
    </row>
    <row r="638" ht="22.5" customHeight="1">
      <c r="A638" s="7"/>
      <c r="B638" s="7"/>
      <c r="C638" s="7"/>
      <c r="D638" s="7"/>
      <c r="E638" s="7"/>
    </row>
    <row r="639" ht="22.5" customHeight="1">
      <c r="A639" s="7"/>
      <c r="B639" s="7"/>
      <c r="C639" s="7"/>
      <c r="D639" s="7"/>
      <c r="E639" s="7"/>
    </row>
    <row r="640" ht="22.5" customHeight="1">
      <c r="A640" s="7"/>
      <c r="B640" s="7"/>
      <c r="C640" s="7"/>
      <c r="D640" s="7"/>
      <c r="E640" s="7"/>
    </row>
    <row r="641" ht="22.5" customHeight="1">
      <c r="A641" s="7"/>
      <c r="B641" s="7"/>
      <c r="C641" s="7"/>
      <c r="D641" s="7"/>
      <c r="E641" s="7"/>
    </row>
    <row r="642" ht="22.5" customHeight="1">
      <c r="A642" s="7"/>
      <c r="B642" s="7"/>
      <c r="C642" s="7"/>
      <c r="D642" s="7"/>
      <c r="E642" s="7"/>
    </row>
    <row r="643" ht="22.5" customHeight="1">
      <c r="A643" s="7"/>
      <c r="B643" s="7"/>
      <c r="C643" s="7"/>
      <c r="D643" s="7"/>
      <c r="E643" s="7"/>
    </row>
    <row r="644" ht="22.5" customHeight="1">
      <c r="A644" s="7"/>
      <c r="B644" s="7"/>
      <c r="C644" s="7"/>
      <c r="D644" s="7"/>
      <c r="E644" s="7"/>
    </row>
    <row r="645" ht="22.5" customHeight="1">
      <c r="A645" s="7"/>
      <c r="B645" s="7"/>
      <c r="C645" s="7"/>
      <c r="D645" s="7"/>
      <c r="E645" s="7"/>
    </row>
    <row r="646" ht="22.5" customHeight="1">
      <c r="A646" s="7"/>
      <c r="B646" s="7"/>
      <c r="C646" s="7"/>
      <c r="D646" s="7"/>
      <c r="E646" s="7"/>
    </row>
    <row r="647" ht="22.5" customHeight="1">
      <c r="A647" s="7"/>
      <c r="B647" s="7"/>
      <c r="C647" s="7"/>
      <c r="D647" s="7"/>
      <c r="E647" s="7"/>
    </row>
    <row r="648" ht="22.5" customHeight="1">
      <c r="A648" s="7"/>
      <c r="B648" s="7"/>
      <c r="C648" s="7"/>
      <c r="D648" s="7"/>
      <c r="E648" s="7"/>
    </row>
    <row r="649" ht="22.5" customHeight="1">
      <c r="A649" s="7"/>
      <c r="B649" s="7"/>
      <c r="C649" s="7"/>
      <c r="D649" s="7"/>
      <c r="E649" s="7"/>
    </row>
    <row r="650" ht="22.5" customHeight="1">
      <c r="A650" s="7"/>
      <c r="B650" s="7"/>
      <c r="C650" s="7"/>
      <c r="D650" s="7"/>
      <c r="E650" s="7"/>
    </row>
    <row r="651" ht="22.5" customHeight="1">
      <c r="A651" s="7"/>
      <c r="B651" s="7"/>
      <c r="C651" s="7"/>
      <c r="D651" s="7"/>
      <c r="E651" s="7"/>
    </row>
    <row r="652" ht="22.5" customHeight="1">
      <c r="A652" s="7"/>
      <c r="B652" s="7"/>
      <c r="C652" s="7"/>
      <c r="D652" s="7"/>
      <c r="E652" s="7"/>
    </row>
    <row r="653" ht="22.5" customHeight="1">
      <c r="A653" s="7"/>
      <c r="B653" s="7"/>
      <c r="C653" s="7"/>
      <c r="D653" s="7"/>
      <c r="E653" s="7"/>
    </row>
    <row r="654" ht="22.5" customHeight="1">
      <c r="A654" s="7"/>
      <c r="B654" s="7"/>
      <c r="C654" s="7"/>
      <c r="D654" s="7"/>
      <c r="E654" s="7"/>
    </row>
    <row r="655" ht="22.5" customHeight="1">
      <c r="A655" s="7"/>
      <c r="B655" s="7"/>
      <c r="C655" s="7"/>
      <c r="D655" s="7"/>
      <c r="E655" s="7"/>
    </row>
    <row r="656" ht="22.5" customHeight="1">
      <c r="A656" s="7"/>
      <c r="B656" s="7"/>
      <c r="C656" s="7"/>
      <c r="D656" s="7"/>
      <c r="E656" s="7"/>
    </row>
    <row r="657" ht="22.5" customHeight="1">
      <c r="A657" s="7"/>
      <c r="B657" s="7"/>
      <c r="C657" s="7"/>
      <c r="D657" s="7"/>
      <c r="E657" s="7"/>
    </row>
    <row r="658" ht="22.5" customHeight="1">
      <c r="A658" s="7"/>
      <c r="B658" s="7"/>
      <c r="C658" s="7"/>
      <c r="D658" s="7"/>
      <c r="E658" s="7"/>
    </row>
    <row r="659" ht="22.5" customHeight="1">
      <c r="A659" s="7"/>
      <c r="B659" s="7"/>
      <c r="C659" s="7"/>
      <c r="D659" s="7"/>
      <c r="E659" s="7"/>
    </row>
    <row r="660" ht="22.5" customHeight="1">
      <c r="A660" s="7"/>
      <c r="B660" s="7"/>
      <c r="C660" s="7"/>
      <c r="D660" s="7"/>
      <c r="E660" s="7"/>
    </row>
    <row r="661" ht="22.5" customHeight="1">
      <c r="A661" s="7"/>
      <c r="B661" s="7"/>
      <c r="C661" s="7"/>
      <c r="D661" s="7"/>
      <c r="E661" s="7"/>
    </row>
    <row r="662" ht="22.5" customHeight="1">
      <c r="A662" s="7"/>
      <c r="B662" s="7"/>
      <c r="C662" s="7"/>
      <c r="D662" s="7"/>
      <c r="E662" s="7"/>
    </row>
    <row r="663" ht="22.5" customHeight="1">
      <c r="A663" s="7"/>
      <c r="B663" s="7"/>
      <c r="C663" s="7"/>
      <c r="D663" s="7"/>
      <c r="E663" s="7"/>
    </row>
    <row r="664" ht="22.5" customHeight="1">
      <c r="A664" s="7"/>
      <c r="B664" s="7"/>
      <c r="C664" s="7"/>
      <c r="D664" s="7"/>
      <c r="E664" s="7"/>
    </row>
    <row r="665" ht="22.5" customHeight="1">
      <c r="A665" s="7"/>
      <c r="B665" s="7"/>
      <c r="C665" s="7"/>
      <c r="D665" s="7"/>
      <c r="E665" s="7"/>
    </row>
    <row r="666" ht="22.5" customHeight="1">
      <c r="A666" s="7"/>
      <c r="B666" s="7"/>
      <c r="C666" s="7"/>
      <c r="D666" s="7"/>
      <c r="E666" s="7"/>
    </row>
    <row r="667" ht="22.5" customHeight="1">
      <c r="A667" s="7"/>
      <c r="B667" s="7"/>
      <c r="C667" s="7"/>
      <c r="D667" s="7"/>
      <c r="E667" s="7"/>
    </row>
    <row r="668" ht="22.5" customHeight="1">
      <c r="A668" s="7"/>
      <c r="B668" s="7"/>
      <c r="C668" s="7"/>
      <c r="D668" s="7"/>
      <c r="E668" s="7"/>
    </row>
    <row r="669" ht="22.5" customHeight="1">
      <c r="A669" s="7"/>
      <c r="B669" s="7"/>
      <c r="C669" s="7"/>
      <c r="D669" s="7"/>
      <c r="E669" s="7"/>
    </row>
    <row r="670" ht="22.5" customHeight="1">
      <c r="A670" s="7"/>
      <c r="B670" s="7"/>
      <c r="C670" s="7"/>
      <c r="D670" s="7"/>
      <c r="E670" s="7"/>
    </row>
    <row r="671" ht="22.5" customHeight="1">
      <c r="A671" s="7"/>
      <c r="B671" s="7"/>
      <c r="C671" s="7"/>
      <c r="D671" s="7"/>
      <c r="E671" s="7"/>
    </row>
    <row r="672" ht="22.5" customHeight="1">
      <c r="A672" s="7"/>
      <c r="B672" s="7"/>
      <c r="C672" s="7"/>
      <c r="D672" s="7"/>
      <c r="E672" s="7"/>
    </row>
    <row r="673" ht="22.5" customHeight="1">
      <c r="A673" s="7"/>
      <c r="B673" s="7"/>
      <c r="C673" s="7"/>
      <c r="D673" s="7"/>
      <c r="E673" s="7"/>
    </row>
    <row r="674" ht="22.5" customHeight="1">
      <c r="A674" s="7"/>
      <c r="B674" s="7"/>
      <c r="C674" s="7"/>
      <c r="D674" s="7"/>
      <c r="E674" s="7"/>
    </row>
    <row r="675" ht="22.5" customHeight="1">
      <c r="A675" s="7"/>
      <c r="B675" s="7"/>
      <c r="C675" s="7"/>
      <c r="D675" s="7"/>
      <c r="E675" s="7"/>
    </row>
    <row r="676" ht="22.5" customHeight="1">
      <c r="A676" s="7"/>
      <c r="B676" s="7"/>
      <c r="C676" s="7"/>
      <c r="D676" s="7"/>
      <c r="E676" s="7"/>
    </row>
    <row r="677" ht="22.5" customHeight="1">
      <c r="A677" s="7"/>
      <c r="B677" s="7"/>
      <c r="C677" s="7"/>
      <c r="D677" s="7"/>
      <c r="E677" s="7"/>
    </row>
    <row r="678" ht="22.5" customHeight="1">
      <c r="A678" s="7"/>
      <c r="B678" s="7"/>
      <c r="C678" s="7"/>
      <c r="D678" s="7"/>
      <c r="E678" s="7"/>
    </row>
    <row r="679" ht="22.5" customHeight="1">
      <c r="A679" s="7"/>
      <c r="B679" s="7"/>
      <c r="C679" s="7"/>
      <c r="D679" s="7"/>
      <c r="E679" s="7"/>
    </row>
    <row r="680" ht="22.5" customHeight="1">
      <c r="A680" s="7"/>
      <c r="B680" s="7"/>
      <c r="C680" s="7"/>
      <c r="D680" s="7"/>
      <c r="E680" s="7"/>
    </row>
    <row r="681" ht="22.5" customHeight="1">
      <c r="A681" s="7"/>
      <c r="B681" s="7"/>
      <c r="C681" s="7"/>
      <c r="D681" s="7"/>
      <c r="E681" s="7"/>
    </row>
    <row r="682" ht="22.5" customHeight="1">
      <c r="A682" s="7"/>
      <c r="B682" s="7"/>
      <c r="C682" s="7"/>
      <c r="D682" s="7"/>
      <c r="E682" s="7"/>
    </row>
    <row r="683" ht="22.5" customHeight="1">
      <c r="A683" s="7"/>
      <c r="B683" s="7"/>
      <c r="C683" s="7"/>
      <c r="D683" s="7"/>
      <c r="E683" s="7"/>
    </row>
    <row r="684" ht="22.5" customHeight="1">
      <c r="A684" s="7"/>
      <c r="B684" s="7"/>
      <c r="C684" s="7"/>
      <c r="D684" s="7"/>
      <c r="E684" s="7"/>
    </row>
    <row r="685" ht="22.5" customHeight="1">
      <c r="A685" s="7"/>
      <c r="B685" s="7"/>
      <c r="C685" s="7"/>
      <c r="D685" s="7"/>
      <c r="E685" s="7"/>
    </row>
    <row r="686" ht="22.5" customHeight="1">
      <c r="A686" s="7"/>
      <c r="B686" s="7"/>
      <c r="C686" s="7"/>
      <c r="D686" s="7"/>
      <c r="E686" s="7"/>
    </row>
    <row r="687" ht="22.5" customHeight="1">
      <c r="A687" s="7"/>
      <c r="B687" s="7"/>
      <c r="C687" s="7"/>
      <c r="D687" s="7"/>
      <c r="E687" s="7"/>
    </row>
    <row r="688" ht="22.5" customHeight="1">
      <c r="A688" s="7"/>
      <c r="B688" s="7"/>
      <c r="C688" s="7"/>
      <c r="D688" s="7"/>
      <c r="E688" s="7"/>
    </row>
    <row r="689" ht="22.5" customHeight="1">
      <c r="A689" s="7"/>
      <c r="B689" s="7"/>
      <c r="C689" s="7"/>
      <c r="D689" s="7"/>
      <c r="E689" s="7"/>
    </row>
    <row r="690" ht="22.5" customHeight="1">
      <c r="A690" s="7"/>
      <c r="B690" s="7"/>
      <c r="C690" s="7"/>
      <c r="D690" s="7"/>
      <c r="E690" s="7"/>
    </row>
    <row r="691" ht="22.5" customHeight="1">
      <c r="A691" s="7"/>
      <c r="B691" s="7"/>
      <c r="C691" s="7"/>
      <c r="D691" s="7"/>
      <c r="E691" s="7"/>
    </row>
    <row r="692" ht="22.5" customHeight="1">
      <c r="A692" s="7"/>
      <c r="B692" s="7"/>
      <c r="C692" s="7"/>
      <c r="D692" s="7"/>
      <c r="E692" s="7"/>
    </row>
    <row r="693" ht="22.5" customHeight="1">
      <c r="A693" s="7"/>
      <c r="B693" s="7"/>
      <c r="C693" s="7"/>
      <c r="D693" s="7"/>
      <c r="E693" s="7"/>
    </row>
    <row r="694" ht="22.5" customHeight="1">
      <c r="A694" s="7"/>
      <c r="B694" s="7"/>
      <c r="C694" s="7"/>
      <c r="D694" s="7"/>
      <c r="E694" s="7"/>
    </row>
    <row r="695" ht="22.5" customHeight="1">
      <c r="A695" s="7"/>
      <c r="B695" s="7"/>
      <c r="C695" s="7"/>
      <c r="D695" s="7"/>
      <c r="E695" s="7"/>
    </row>
    <row r="696" ht="22.5" customHeight="1">
      <c r="A696" s="7"/>
      <c r="B696" s="7"/>
      <c r="C696" s="7"/>
      <c r="D696" s="7"/>
      <c r="E696" s="7"/>
    </row>
    <row r="697" ht="22.5" customHeight="1">
      <c r="A697" s="7"/>
      <c r="B697" s="7"/>
      <c r="C697" s="7"/>
      <c r="D697" s="7"/>
      <c r="E697" s="7"/>
    </row>
    <row r="698" ht="22.5" customHeight="1">
      <c r="A698" s="7"/>
      <c r="B698" s="7"/>
      <c r="C698" s="7"/>
      <c r="D698" s="7"/>
      <c r="E698" s="7"/>
    </row>
    <row r="699" ht="22.5" customHeight="1">
      <c r="A699" s="7"/>
      <c r="B699" s="7"/>
      <c r="C699" s="7"/>
      <c r="D699" s="7"/>
      <c r="E699" s="7"/>
    </row>
    <row r="700" ht="22.5" customHeight="1">
      <c r="A700" s="7"/>
      <c r="B700" s="7"/>
      <c r="C700" s="7"/>
      <c r="D700" s="7"/>
      <c r="E700" s="7"/>
    </row>
    <row r="701" ht="22.5" customHeight="1">
      <c r="A701" s="7"/>
      <c r="B701" s="7"/>
      <c r="C701" s="7"/>
      <c r="D701" s="7"/>
      <c r="E701" s="7"/>
    </row>
    <row r="702" ht="22.5" customHeight="1">
      <c r="A702" s="7"/>
      <c r="B702" s="7"/>
      <c r="C702" s="7"/>
      <c r="D702" s="7"/>
      <c r="E702" s="7"/>
    </row>
    <row r="703" ht="22.5" customHeight="1">
      <c r="A703" s="7"/>
      <c r="B703" s="7"/>
      <c r="C703" s="7"/>
      <c r="D703" s="7"/>
      <c r="E703" s="7"/>
    </row>
    <row r="704" ht="22.5" customHeight="1">
      <c r="A704" s="7"/>
      <c r="B704" s="7"/>
      <c r="C704" s="7"/>
      <c r="D704" s="7"/>
      <c r="E704" s="7"/>
    </row>
    <row r="705" ht="22.5" customHeight="1">
      <c r="A705" s="7"/>
      <c r="B705" s="7"/>
      <c r="C705" s="7"/>
      <c r="D705" s="7"/>
      <c r="E705" s="7"/>
    </row>
    <row r="706" ht="22.5" customHeight="1">
      <c r="A706" s="7"/>
      <c r="B706" s="7"/>
      <c r="C706" s="7"/>
      <c r="D706" s="7"/>
      <c r="E706" s="7"/>
    </row>
    <row r="707" ht="22.5" customHeight="1">
      <c r="A707" s="7"/>
      <c r="B707" s="7"/>
      <c r="C707" s="7"/>
      <c r="D707" s="7"/>
      <c r="E707" s="7"/>
    </row>
    <row r="708" ht="22.5" customHeight="1">
      <c r="A708" s="7"/>
      <c r="B708" s="7"/>
      <c r="C708" s="7"/>
      <c r="D708" s="7"/>
      <c r="E708" s="7"/>
    </row>
    <row r="709" ht="22.5" customHeight="1">
      <c r="A709" s="7"/>
      <c r="B709" s="7"/>
      <c r="C709" s="7"/>
      <c r="D709" s="7"/>
      <c r="E709" s="7"/>
    </row>
    <row r="710" ht="22.5" customHeight="1">
      <c r="A710" s="7"/>
      <c r="B710" s="7"/>
      <c r="C710" s="7"/>
      <c r="D710" s="7"/>
      <c r="E710" s="7"/>
    </row>
    <row r="711" ht="22.5" customHeight="1">
      <c r="A711" s="7"/>
      <c r="B711" s="7"/>
      <c r="C711" s="7"/>
      <c r="D711" s="7"/>
      <c r="E711" s="7"/>
    </row>
    <row r="712" ht="22.5" customHeight="1">
      <c r="A712" s="7"/>
      <c r="B712" s="7"/>
      <c r="C712" s="7"/>
      <c r="D712" s="7"/>
      <c r="E712" s="7"/>
    </row>
    <row r="713" ht="22.5" customHeight="1">
      <c r="A713" s="7"/>
      <c r="B713" s="7"/>
      <c r="C713" s="7"/>
      <c r="D713" s="7"/>
      <c r="E713" s="7"/>
    </row>
    <row r="714" ht="22.5" customHeight="1">
      <c r="A714" s="7"/>
      <c r="B714" s="7"/>
      <c r="C714" s="7"/>
      <c r="D714" s="7"/>
      <c r="E714" s="7"/>
    </row>
    <row r="715" ht="22.5" customHeight="1">
      <c r="A715" s="7"/>
      <c r="B715" s="7"/>
      <c r="C715" s="7"/>
      <c r="D715" s="7"/>
      <c r="E715" s="7"/>
    </row>
    <row r="716" ht="22.5" customHeight="1">
      <c r="A716" s="7"/>
      <c r="B716" s="7"/>
      <c r="C716" s="7"/>
      <c r="D716" s="7"/>
      <c r="E716" s="7"/>
    </row>
    <row r="717" ht="22.5" customHeight="1">
      <c r="A717" s="7"/>
      <c r="B717" s="7"/>
      <c r="C717" s="7"/>
      <c r="D717" s="7"/>
      <c r="E717" s="7"/>
    </row>
    <row r="718" ht="22.5" customHeight="1">
      <c r="A718" s="7"/>
      <c r="B718" s="7"/>
      <c r="C718" s="7"/>
      <c r="D718" s="7"/>
      <c r="E718" s="7"/>
    </row>
    <row r="719" ht="22.5" customHeight="1">
      <c r="A719" s="7"/>
      <c r="B719" s="7"/>
      <c r="C719" s="7"/>
      <c r="D719" s="7"/>
      <c r="E719" s="7"/>
    </row>
    <row r="720" ht="22.5" customHeight="1">
      <c r="A720" s="7"/>
      <c r="B720" s="7"/>
      <c r="C720" s="7"/>
      <c r="D720" s="7"/>
      <c r="E720" s="7"/>
    </row>
    <row r="721" ht="22.5" customHeight="1">
      <c r="A721" s="7"/>
      <c r="B721" s="7"/>
      <c r="C721" s="7"/>
      <c r="D721" s="7"/>
      <c r="E721" s="7"/>
    </row>
    <row r="722" ht="22.5" customHeight="1">
      <c r="A722" s="7"/>
      <c r="B722" s="7"/>
      <c r="C722" s="7"/>
      <c r="D722" s="7"/>
      <c r="E722" s="7"/>
    </row>
    <row r="723" ht="22.5" customHeight="1">
      <c r="A723" s="7"/>
      <c r="B723" s="7"/>
      <c r="C723" s="7"/>
      <c r="D723" s="7"/>
      <c r="E723" s="7"/>
    </row>
    <row r="724" ht="22.5" customHeight="1">
      <c r="A724" s="7"/>
      <c r="B724" s="7"/>
      <c r="C724" s="7"/>
      <c r="D724" s="7"/>
      <c r="E724" s="7"/>
    </row>
    <row r="725" ht="22.5" customHeight="1">
      <c r="A725" s="7"/>
      <c r="B725" s="7"/>
      <c r="C725" s="7"/>
      <c r="D725" s="7"/>
      <c r="E725" s="7"/>
    </row>
    <row r="726" ht="22.5" customHeight="1">
      <c r="A726" s="7"/>
      <c r="B726" s="7"/>
      <c r="C726" s="7"/>
      <c r="D726" s="7"/>
      <c r="E726" s="7"/>
    </row>
    <row r="727" ht="22.5" customHeight="1">
      <c r="A727" s="7"/>
      <c r="B727" s="7"/>
      <c r="C727" s="7"/>
      <c r="D727" s="7"/>
      <c r="E727" s="7"/>
    </row>
    <row r="728" ht="22.5" customHeight="1">
      <c r="A728" s="7"/>
      <c r="B728" s="7"/>
      <c r="C728" s="7"/>
      <c r="D728" s="7"/>
      <c r="E728" s="7"/>
    </row>
    <row r="729" ht="22.5" customHeight="1">
      <c r="A729" s="7"/>
      <c r="B729" s="7"/>
      <c r="C729" s="7"/>
      <c r="D729" s="7"/>
      <c r="E729" s="7"/>
    </row>
    <row r="730" ht="22.5" customHeight="1">
      <c r="A730" s="7"/>
      <c r="B730" s="7"/>
      <c r="C730" s="7"/>
      <c r="D730" s="7"/>
      <c r="E730" s="7"/>
    </row>
    <row r="731" ht="22.5" customHeight="1">
      <c r="A731" s="7"/>
      <c r="B731" s="7"/>
      <c r="C731" s="7"/>
      <c r="D731" s="7"/>
      <c r="E731" s="7"/>
    </row>
    <row r="732" ht="22.5" customHeight="1">
      <c r="A732" s="7"/>
      <c r="B732" s="7"/>
      <c r="C732" s="7"/>
      <c r="D732" s="7"/>
      <c r="E732" s="7"/>
    </row>
    <row r="733" ht="22.5" customHeight="1">
      <c r="A733" s="7"/>
      <c r="B733" s="7"/>
      <c r="C733" s="7"/>
      <c r="D733" s="7"/>
      <c r="E733" s="7"/>
    </row>
    <row r="734" ht="22.5" customHeight="1">
      <c r="A734" s="7"/>
      <c r="B734" s="7"/>
      <c r="C734" s="7"/>
      <c r="D734" s="7"/>
      <c r="E734" s="7"/>
    </row>
    <row r="735" ht="22.5" customHeight="1">
      <c r="A735" s="7"/>
      <c r="B735" s="7"/>
      <c r="C735" s="7"/>
      <c r="D735" s="7"/>
      <c r="E735" s="7"/>
    </row>
    <row r="736" ht="22.5" customHeight="1">
      <c r="A736" s="7"/>
      <c r="B736" s="7"/>
      <c r="C736" s="7"/>
      <c r="D736" s="7"/>
      <c r="E736" s="7"/>
    </row>
    <row r="737" ht="22.5" customHeight="1">
      <c r="A737" s="7"/>
      <c r="B737" s="7"/>
      <c r="C737" s="7"/>
      <c r="D737" s="7"/>
      <c r="E737" s="7"/>
    </row>
    <row r="738" ht="22.5" customHeight="1">
      <c r="A738" s="7"/>
      <c r="B738" s="7"/>
      <c r="C738" s="7"/>
      <c r="D738" s="7"/>
      <c r="E738" s="7"/>
    </row>
    <row r="739" ht="22.5" customHeight="1">
      <c r="A739" s="7"/>
      <c r="B739" s="7"/>
      <c r="C739" s="7"/>
      <c r="D739" s="7"/>
      <c r="E739" s="7"/>
    </row>
    <row r="740" ht="22.5" customHeight="1">
      <c r="A740" s="7"/>
      <c r="B740" s="7"/>
      <c r="C740" s="7"/>
      <c r="D740" s="7"/>
      <c r="E740" s="7"/>
    </row>
    <row r="741" ht="22.5" customHeight="1">
      <c r="A741" s="7"/>
      <c r="B741" s="7"/>
      <c r="C741" s="7"/>
      <c r="D741" s="7"/>
      <c r="E741" s="7"/>
    </row>
    <row r="742" ht="22.5" customHeight="1">
      <c r="A742" s="7"/>
      <c r="B742" s="7"/>
      <c r="C742" s="7"/>
      <c r="D742" s="7"/>
      <c r="E742" s="7"/>
    </row>
    <row r="743" ht="22.5" customHeight="1">
      <c r="A743" s="7"/>
      <c r="B743" s="7"/>
      <c r="C743" s="7"/>
      <c r="D743" s="7"/>
      <c r="E743" s="7"/>
    </row>
    <row r="744" ht="22.5" customHeight="1">
      <c r="A744" s="7"/>
      <c r="B744" s="7"/>
      <c r="C744" s="7"/>
      <c r="D744" s="7"/>
      <c r="E744" s="7"/>
    </row>
    <row r="745" ht="22.5" customHeight="1">
      <c r="A745" s="7"/>
      <c r="B745" s="7"/>
      <c r="C745" s="7"/>
      <c r="D745" s="7"/>
      <c r="E745" s="7"/>
    </row>
    <row r="746" ht="22.5" customHeight="1">
      <c r="A746" s="7"/>
      <c r="B746" s="7"/>
      <c r="C746" s="7"/>
      <c r="D746" s="7"/>
      <c r="E746" s="7"/>
    </row>
    <row r="747" ht="22.5" customHeight="1">
      <c r="A747" s="7"/>
      <c r="B747" s="7"/>
      <c r="C747" s="7"/>
      <c r="D747" s="7"/>
      <c r="E747" s="7"/>
    </row>
    <row r="748" ht="22.5" customHeight="1">
      <c r="A748" s="7"/>
      <c r="B748" s="7"/>
      <c r="C748" s="7"/>
      <c r="D748" s="7"/>
      <c r="E748" s="7"/>
    </row>
    <row r="749" ht="22.5" customHeight="1">
      <c r="A749" s="7"/>
      <c r="B749" s="7"/>
      <c r="C749" s="7"/>
      <c r="D749" s="7"/>
      <c r="E749" s="7"/>
    </row>
    <row r="750" ht="22.5" customHeight="1">
      <c r="A750" s="7"/>
      <c r="B750" s="7"/>
      <c r="C750" s="7"/>
      <c r="D750" s="7"/>
      <c r="E750" s="7"/>
    </row>
    <row r="751" ht="22.5" customHeight="1">
      <c r="A751" s="7"/>
      <c r="B751" s="7"/>
      <c r="C751" s="7"/>
      <c r="D751" s="7"/>
      <c r="E751" s="7"/>
    </row>
    <row r="752" ht="22.5" customHeight="1">
      <c r="A752" s="7"/>
      <c r="B752" s="7"/>
      <c r="C752" s="7"/>
      <c r="D752" s="7"/>
      <c r="E752" s="7"/>
    </row>
    <row r="753" ht="22.5" customHeight="1">
      <c r="A753" s="7"/>
      <c r="B753" s="7"/>
      <c r="C753" s="7"/>
      <c r="D753" s="7"/>
      <c r="E753" s="7"/>
    </row>
    <row r="754" ht="22.5" customHeight="1">
      <c r="A754" s="7"/>
      <c r="B754" s="7"/>
      <c r="C754" s="7"/>
      <c r="D754" s="7"/>
      <c r="E754" s="7"/>
    </row>
    <row r="755" ht="22.5" customHeight="1">
      <c r="A755" s="7"/>
      <c r="B755" s="7"/>
      <c r="C755" s="7"/>
      <c r="D755" s="7"/>
      <c r="E755" s="7"/>
    </row>
    <row r="756" ht="22.5" customHeight="1">
      <c r="A756" s="7"/>
      <c r="B756" s="7"/>
      <c r="C756" s="7"/>
      <c r="D756" s="7"/>
      <c r="E756" s="7"/>
    </row>
    <row r="757" ht="22.5" customHeight="1">
      <c r="A757" s="7"/>
      <c r="B757" s="7"/>
      <c r="C757" s="7"/>
      <c r="D757" s="7"/>
      <c r="E757" s="7"/>
    </row>
    <row r="758" ht="22.5" customHeight="1">
      <c r="A758" s="7"/>
      <c r="B758" s="7"/>
      <c r="C758" s="7"/>
      <c r="D758" s="7"/>
      <c r="E758" s="7"/>
    </row>
    <row r="759" ht="22.5" customHeight="1">
      <c r="A759" s="7"/>
      <c r="B759" s="7"/>
      <c r="C759" s="7"/>
      <c r="D759" s="7"/>
      <c r="E759" s="7"/>
    </row>
    <row r="760" ht="22.5" customHeight="1">
      <c r="A760" s="7"/>
      <c r="B760" s="7"/>
      <c r="C760" s="7"/>
      <c r="D760" s="7"/>
      <c r="E760" s="7"/>
    </row>
    <row r="761" ht="22.5" customHeight="1">
      <c r="A761" s="7"/>
      <c r="B761" s="7"/>
      <c r="C761" s="7"/>
      <c r="D761" s="7"/>
      <c r="E761" s="7"/>
    </row>
    <row r="762" ht="22.5" customHeight="1">
      <c r="A762" s="7"/>
      <c r="B762" s="7"/>
      <c r="C762" s="7"/>
      <c r="D762" s="7"/>
      <c r="E762" s="7"/>
    </row>
    <row r="763" ht="22.5" customHeight="1">
      <c r="A763" s="7"/>
      <c r="B763" s="7"/>
      <c r="C763" s="7"/>
      <c r="D763" s="7"/>
      <c r="E763" s="7"/>
    </row>
    <row r="764" ht="22.5" customHeight="1">
      <c r="A764" s="7"/>
      <c r="B764" s="7"/>
      <c r="C764" s="7"/>
      <c r="D764" s="7"/>
      <c r="E764" s="7"/>
    </row>
    <row r="765" ht="22.5" customHeight="1">
      <c r="A765" s="7"/>
      <c r="B765" s="7"/>
      <c r="C765" s="7"/>
      <c r="D765" s="7"/>
      <c r="E765" s="7"/>
    </row>
    <row r="766" ht="22.5" customHeight="1">
      <c r="A766" s="7"/>
      <c r="B766" s="7"/>
      <c r="C766" s="7"/>
      <c r="D766" s="7"/>
      <c r="E766" s="7"/>
    </row>
    <row r="767" ht="22.5" customHeight="1">
      <c r="A767" s="7"/>
      <c r="B767" s="7"/>
      <c r="C767" s="7"/>
      <c r="D767" s="7"/>
      <c r="E767" s="7"/>
    </row>
    <row r="768" ht="22.5" customHeight="1">
      <c r="A768" s="7"/>
      <c r="B768" s="7"/>
      <c r="C768" s="7"/>
      <c r="D768" s="7"/>
      <c r="E768" s="7"/>
    </row>
    <row r="769" ht="22.5" customHeight="1">
      <c r="A769" s="7"/>
      <c r="B769" s="7"/>
      <c r="C769" s="7"/>
      <c r="D769" s="7"/>
      <c r="E769" s="7"/>
    </row>
    <row r="770" ht="22.5" customHeight="1">
      <c r="A770" s="7"/>
      <c r="B770" s="7"/>
      <c r="C770" s="7"/>
      <c r="D770" s="7"/>
      <c r="E770" s="7"/>
    </row>
    <row r="771" ht="22.5" customHeight="1">
      <c r="A771" s="7"/>
      <c r="B771" s="7"/>
      <c r="C771" s="7"/>
      <c r="D771" s="7"/>
      <c r="E771" s="7"/>
    </row>
    <row r="772" ht="22.5" customHeight="1">
      <c r="A772" s="7"/>
      <c r="B772" s="7"/>
      <c r="C772" s="7"/>
      <c r="D772" s="7"/>
      <c r="E772" s="7"/>
    </row>
    <row r="773" ht="22.5" customHeight="1">
      <c r="A773" s="7"/>
      <c r="B773" s="7"/>
      <c r="C773" s="7"/>
      <c r="D773" s="7"/>
      <c r="E773" s="7"/>
    </row>
    <row r="774" ht="22.5" customHeight="1">
      <c r="A774" s="7"/>
      <c r="B774" s="7"/>
      <c r="C774" s="7"/>
      <c r="D774" s="7"/>
      <c r="E774" s="7"/>
    </row>
    <row r="775" ht="22.5" customHeight="1">
      <c r="A775" s="7"/>
      <c r="B775" s="7"/>
      <c r="C775" s="7"/>
      <c r="D775" s="7"/>
      <c r="E775" s="7"/>
    </row>
    <row r="776" ht="22.5" customHeight="1">
      <c r="A776" s="7"/>
      <c r="B776" s="7"/>
      <c r="C776" s="7"/>
      <c r="D776" s="7"/>
      <c r="E776" s="7"/>
    </row>
    <row r="777" ht="22.5" customHeight="1">
      <c r="A777" s="7"/>
      <c r="B777" s="7"/>
      <c r="C777" s="7"/>
      <c r="D777" s="7"/>
      <c r="E777" s="7"/>
    </row>
    <row r="778" ht="22.5" customHeight="1">
      <c r="A778" s="7"/>
      <c r="B778" s="7"/>
      <c r="C778" s="7"/>
      <c r="D778" s="7"/>
      <c r="E778" s="7"/>
    </row>
    <row r="779" ht="22.5" customHeight="1">
      <c r="A779" s="7"/>
      <c r="B779" s="7"/>
      <c r="C779" s="7"/>
      <c r="D779" s="7"/>
      <c r="E779" s="7"/>
    </row>
    <row r="780" ht="22.5" customHeight="1">
      <c r="A780" s="7"/>
      <c r="B780" s="7"/>
      <c r="C780" s="7"/>
      <c r="D780" s="7"/>
      <c r="E780" s="7"/>
    </row>
    <row r="781" ht="22.5" customHeight="1">
      <c r="A781" s="7"/>
      <c r="B781" s="7"/>
      <c r="C781" s="7"/>
      <c r="D781" s="7"/>
      <c r="E781" s="7"/>
    </row>
    <row r="782" ht="22.5" customHeight="1">
      <c r="A782" s="7"/>
      <c r="B782" s="7"/>
      <c r="C782" s="7"/>
      <c r="D782" s="7"/>
      <c r="E782" s="7"/>
    </row>
    <row r="783" ht="22.5" customHeight="1">
      <c r="A783" s="7"/>
      <c r="B783" s="7"/>
      <c r="C783" s="7"/>
      <c r="D783" s="7"/>
      <c r="E783" s="7"/>
    </row>
    <row r="784" ht="22.5" customHeight="1">
      <c r="A784" s="7"/>
      <c r="B784" s="7"/>
      <c r="C784" s="7"/>
      <c r="D784" s="7"/>
      <c r="E784" s="7"/>
    </row>
    <row r="785" ht="22.5" customHeight="1">
      <c r="A785" s="7"/>
      <c r="B785" s="7"/>
      <c r="C785" s="7"/>
      <c r="D785" s="7"/>
      <c r="E785" s="7"/>
    </row>
    <row r="786" ht="22.5" customHeight="1">
      <c r="A786" s="7"/>
      <c r="B786" s="7"/>
      <c r="C786" s="7"/>
      <c r="D786" s="7"/>
      <c r="E786" s="7"/>
    </row>
    <row r="787" ht="22.5" customHeight="1">
      <c r="A787" s="7"/>
      <c r="B787" s="7"/>
      <c r="C787" s="7"/>
      <c r="D787" s="7"/>
      <c r="E787" s="7"/>
    </row>
    <row r="788" ht="22.5" customHeight="1">
      <c r="A788" s="7"/>
      <c r="B788" s="7"/>
      <c r="C788" s="7"/>
      <c r="D788" s="7"/>
      <c r="E788" s="7"/>
    </row>
    <row r="789" ht="22.5" customHeight="1">
      <c r="A789" s="7"/>
      <c r="B789" s="7"/>
      <c r="C789" s="7"/>
      <c r="D789" s="7"/>
      <c r="E789" s="7"/>
    </row>
    <row r="790" ht="22.5" customHeight="1">
      <c r="A790" s="7"/>
      <c r="B790" s="7"/>
      <c r="C790" s="7"/>
      <c r="D790" s="7"/>
      <c r="E790" s="7"/>
    </row>
    <row r="791" ht="22.5" customHeight="1">
      <c r="A791" s="7"/>
      <c r="B791" s="7"/>
      <c r="C791" s="7"/>
      <c r="D791" s="7"/>
      <c r="E791" s="7"/>
    </row>
    <row r="792" ht="22.5" customHeight="1">
      <c r="A792" s="7"/>
      <c r="B792" s="7"/>
      <c r="C792" s="7"/>
      <c r="D792" s="7"/>
      <c r="E792" s="7"/>
    </row>
    <row r="793" ht="22.5" customHeight="1">
      <c r="A793" s="7"/>
      <c r="B793" s="7"/>
      <c r="C793" s="7"/>
      <c r="D793" s="7"/>
      <c r="E793" s="7"/>
    </row>
    <row r="794" ht="22.5" customHeight="1">
      <c r="A794" s="7"/>
      <c r="B794" s="7"/>
      <c r="C794" s="7"/>
      <c r="D794" s="7"/>
      <c r="E794" s="7"/>
    </row>
    <row r="795" ht="22.5" customHeight="1">
      <c r="A795" s="7"/>
      <c r="B795" s="7"/>
      <c r="C795" s="7"/>
      <c r="D795" s="7"/>
      <c r="E795" s="7"/>
    </row>
    <row r="796" ht="22.5" customHeight="1">
      <c r="A796" s="7"/>
      <c r="B796" s="7"/>
      <c r="C796" s="7"/>
      <c r="D796" s="7"/>
      <c r="E796" s="7"/>
    </row>
    <row r="797" ht="22.5" customHeight="1">
      <c r="A797" s="7"/>
      <c r="B797" s="7"/>
      <c r="C797" s="7"/>
      <c r="D797" s="7"/>
      <c r="E797" s="7"/>
    </row>
    <row r="798" ht="22.5" customHeight="1">
      <c r="A798" s="7"/>
      <c r="B798" s="7"/>
      <c r="C798" s="7"/>
      <c r="D798" s="7"/>
      <c r="E798" s="7"/>
    </row>
    <row r="799" ht="22.5" customHeight="1">
      <c r="A799" s="7"/>
      <c r="B799" s="7"/>
      <c r="C799" s="7"/>
      <c r="D799" s="7"/>
      <c r="E799" s="7"/>
    </row>
    <row r="800" ht="22.5" customHeight="1">
      <c r="A800" s="7"/>
      <c r="B800" s="7"/>
      <c r="C800" s="7"/>
      <c r="D800" s="7"/>
      <c r="E800" s="7"/>
    </row>
    <row r="801" ht="22.5" customHeight="1">
      <c r="A801" s="7"/>
      <c r="B801" s="7"/>
      <c r="C801" s="7"/>
      <c r="D801" s="7"/>
      <c r="E801" s="7"/>
    </row>
    <row r="802" ht="22.5" customHeight="1">
      <c r="A802" s="7"/>
      <c r="B802" s="7"/>
      <c r="C802" s="7"/>
      <c r="D802" s="7"/>
      <c r="E802" s="7"/>
    </row>
    <row r="803" ht="22.5" customHeight="1">
      <c r="A803" s="7"/>
      <c r="B803" s="7"/>
      <c r="C803" s="7"/>
      <c r="D803" s="7"/>
      <c r="E803" s="7"/>
    </row>
    <row r="804" ht="22.5" customHeight="1">
      <c r="A804" s="7"/>
      <c r="B804" s="7"/>
      <c r="C804" s="7"/>
      <c r="D804" s="7"/>
      <c r="E804" s="7"/>
    </row>
    <row r="805" ht="22.5" customHeight="1">
      <c r="A805" s="7"/>
      <c r="B805" s="7"/>
      <c r="C805" s="7"/>
      <c r="D805" s="7"/>
      <c r="E805" s="7"/>
    </row>
    <row r="806" ht="22.5" customHeight="1">
      <c r="A806" s="7"/>
      <c r="B806" s="7"/>
      <c r="C806" s="7"/>
      <c r="D806" s="7"/>
      <c r="E806" s="7"/>
    </row>
    <row r="807" ht="22.5" customHeight="1">
      <c r="A807" s="7"/>
      <c r="B807" s="7"/>
      <c r="C807" s="7"/>
      <c r="D807" s="7"/>
      <c r="E807" s="7"/>
    </row>
    <row r="808" ht="22.5" customHeight="1">
      <c r="A808" s="7"/>
      <c r="B808" s="7"/>
      <c r="C808" s="7"/>
      <c r="D808" s="7"/>
      <c r="E808" s="7"/>
    </row>
    <row r="809" ht="22.5" customHeight="1">
      <c r="A809" s="7"/>
      <c r="B809" s="7"/>
      <c r="C809" s="7"/>
      <c r="D809" s="7"/>
      <c r="E809" s="7"/>
    </row>
    <row r="810" ht="22.5" customHeight="1">
      <c r="A810" s="7"/>
      <c r="B810" s="7"/>
      <c r="C810" s="7"/>
      <c r="D810" s="7"/>
      <c r="E810" s="7"/>
    </row>
    <row r="811" ht="22.5" customHeight="1">
      <c r="A811" s="7"/>
      <c r="B811" s="7"/>
      <c r="C811" s="7"/>
      <c r="D811" s="7"/>
      <c r="E811" s="7"/>
    </row>
    <row r="812" ht="22.5" customHeight="1">
      <c r="A812" s="7"/>
      <c r="B812" s="7"/>
      <c r="C812" s="7"/>
      <c r="D812" s="7"/>
      <c r="E812" s="7"/>
    </row>
    <row r="813" ht="22.5" customHeight="1">
      <c r="A813" s="7"/>
      <c r="B813" s="7"/>
      <c r="C813" s="7"/>
      <c r="D813" s="7"/>
      <c r="E813" s="7"/>
    </row>
    <row r="814" ht="22.5" customHeight="1">
      <c r="A814" s="7"/>
      <c r="B814" s="7"/>
      <c r="C814" s="7"/>
      <c r="D814" s="7"/>
      <c r="E814" s="7"/>
    </row>
    <row r="815" ht="22.5" customHeight="1">
      <c r="A815" s="7"/>
      <c r="B815" s="7"/>
      <c r="C815" s="7"/>
      <c r="D815" s="7"/>
      <c r="E815" s="7"/>
    </row>
    <row r="816" ht="22.5" customHeight="1">
      <c r="A816" s="7"/>
      <c r="B816" s="7"/>
      <c r="C816" s="7"/>
      <c r="D816" s="7"/>
      <c r="E816" s="7"/>
    </row>
    <row r="817" ht="22.5" customHeight="1">
      <c r="A817" s="7"/>
      <c r="B817" s="7"/>
      <c r="C817" s="7"/>
      <c r="D817" s="7"/>
      <c r="E817" s="7"/>
    </row>
    <row r="818" ht="22.5" customHeight="1">
      <c r="A818" s="7"/>
      <c r="B818" s="7"/>
      <c r="C818" s="7"/>
      <c r="D818" s="7"/>
      <c r="E818" s="7"/>
    </row>
    <row r="819" ht="22.5" customHeight="1">
      <c r="A819" s="7"/>
      <c r="B819" s="7"/>
      <c r="C819" s="7"/>
      <c r="D819" s="7"/>
      <c r="E819" s="7"/>
    </row>
    <row r="820" ht="22.5" customHeight="1">
      <c r="A820" s="7"/>
      <c r="B820" s="7"/>
      <c r="C820" s="7"/>
      <c r="D820" s="7"/>
      <c r="E820" s="7"/>
    </row>
    <row r="821" ht="22.5" customHeight="1">
      <c r="A821" s="7"/>
      <c r="B821" s="7"/>
      <c r="C821" s="7"/>
      <c r="D821" s="7"/>
      <c r="E821" s="7"/>
    </row>
    <row r="822" ht="22.5" customHeight="1">
      <c r="A822" s="7"/>
      <c r="B822" s="7"/>
      <c r="C822" s="7"/>
      <c r="D822" s="7"/>
      <c r="E822" s="7"/>
    </row>
    <row r="823" ht="22.5" customHeight="1">
      <c r="A823" s="7"/>
      <c r="B823" s="7"/>
      <c r="C823" s="7"/>
      <c r="D823" s="7"/>
      <c r="E823" s="7"/>
    </row>
    <row r="824" ht="22.5" customHeight="1">
      <c r="A824" s="7"/>
      <c r="B824" s="7"/>
      <c r="C824" s="7"/>
      <c r="D824" s="7"/>
      <c r="E824" s="7"/>
    </row>
    <row r="825" ht="22.5" customHeight="1">
      <c r="A825" s="7"/>
      <c r="B825" s="7"/>
      <c r="C825" s="7"/>
      <c r="D825" s="7"/>
      <c r="E825" s="7"/>
    </row>
    <row r="826" ht="22.5" customHeight="1">
      <c r="A826" s="7"/>
      <c r="B826" s="7"/>
      <c r="C826" s="7"/>
      <c r="D826" s="7"/>
      <c r="E826" s="7"/>
    </row>
    <row r="827" ht="22.5" customHeight="1">
      <c r="A827" s="7"/>
      <c r="B827" s="7"/>
      <c r="C827" s="7"/>
      <c r="D827" s="7"/>
      <c r="E827" s="7"/>
    </row>
    <row r="828" ht="22.5" customHeight="1">
      <c r="A828" s="7"/>
      <c r="B828" s="7"/>
      <c r="C828" s="7"/>
      <c r="D828" s="7"/>
      <c r="E828" s="7"/>
    </row>
    <row r="829" ht="22.5" customHeight="1">
      <c r="A829" s="7"/>
      <c r="B829" s="7"/>
      <c r="C829" s="7"/>
      <c r="D829" s="7"/>
      <c r="E829" s="7"/>
    </row>
    <row r="830" ht="22.5" customHeight="1">
      <c r="A830" s="7"/>
      <c r="B830" s="7"/>
      <c r="C830" s="7"/>
      <c r="D830" s="7"/>
      <c r="E830" s="7"/>
    </row>
    <row r="831" ht="22.5" customHeight="1">
      <c r="A831" s="7"/>
      <c r="B831" s="7"/>
      <c r="C831" s="7"/>
      <c r="D831" s="7"/>
      <c r="E831" s="7"/>
    </row>
    <row r="832" ht="22.5" customHeight="1">
      <c r="A832" s="7"/>
      <c r="B832" s="7"/>
      <c r="C832" s="7"/>
      <c r="D832" s="7"/>
      <c r="E832" s="7"/>
    </row>
    <row r="833" ht="22.5" customHeight="1">
      <c r="A833" s="7"/>
      <c r="B833" s="7"/>
      <c r="C833" s="7"/>
      <c r="D833" s="7"/>
      <c r="E833" s="7"/>
    </row>
    <row r="834" ht="22.5" customHeight="1">
      <c r="A834" s="7"/>
      <c r="B834" s="7"/>
      <c r="C834" s="7"/>
      <c r="D834" s="7"/>
      <c r="E834" s="7"/>
    </row>
    <row r="835" ht="22.5" customHeight="1">
      <c r="A835" s="7"/>
      <c r="B835" s="7"/>
      <c r="C835" s="7"/>
      <c r="D835" s="7"/>
      <c r="E835" s="7"/>
    </row>
    <row r="836" ht="22.5" customHeight="1">
      <c r="A836" s="7"/>
      <c r="B836" s="7"/>
      <c r="C836" s="7"/>
      <c r="D836" s="7"/>
      <c r="E836" s="7"/>
    </row>
    <row r="837" ht="22.5" customHeight="1">
      <c r="A837" s="7"/>
      <c r="B837" s="7"/>
      <c r="C837" s="7"/>
      <c r="D837" s="7"/>
      <c r="E837" s="7"/>
    </row>
    <row r="838" ht="22.5" customHeight="1">
      <c r="A838" s="7"/>
      <c r="B838" s="7"/>
      <c r="C838" s="7"/>
      <c r="D838" s="7"/>
      <c r="E838" s="7"/>
    </row>
    <row r="839" ht="22.5" customHeight="1">
      <c r="A839" s="7"/>
      <c r="B839" s="7"/>
      <c r="C839" s="7"/>
      <c r="D839" s="7"/>
      <c r="E839" s="7"/>
    </row>
    <row r="840" ht="22.5" customHeight="1">
      <c r="A840" s="7"/>
      <c r="B840" s="7"/>
      <c r="C840" s="7"/>
      <c r="D840" s="7"/>
      <c r="E840" s="7"/>
    </row>
    <row r="841" ht="22.5" customHeight="1">
      <c r="A841" s="7"/>
      <c r="B841" s="7"/>
      <c r="C841" s="7"/>
      <c r="D841" s="7"/>
      <c r="E841" s="7"/>
    </row>
    <row r="842" ht="22.5" customHeight="1">
      <c r="A842" s="7"/>
      <c r="B842" s="7"/>
      <c r="C842" s="7"/>
      <c r="D842" s="7"/>
      <c r="E842" s="7"/>
    </row>
    <row r="843" ht="22.5" customHeight="1">
      <c r="A843" s="7"/>
      <c r="B843" s="7"/>
      <c r="C843" s="7"/>
      <c r="D843" s="7"/>
      <c r="E843" s="7"/>
    </row>
    <row r="844" ht="22.5" customHeight="1">
      <c r="A844" s="7"/>
      <c r="B844" s="7"/>
      <c r="C844" s="7"/>
      <c r="D844" s="7"/>
      <c r="E844" s="7"/>
    </row>
    <row r="845" ht="22.5" customHeight="1">
      <c r="A845" s="7"/>
      <c r="B845" s="7"/>
      <c r="C845" s="7"/>
      <c r="D845" s="7"/>
      <c r="E845" s="7"/>
    </row>
    <row r="846" ht="22.5" customHeight="1">
      <c r="A846" s="7"/>
      <c r="B846" s="7"/>
      <c r="C846" s="7"/>
      <c r="D846" s="7"/>
      <c r="E846" s="7"/>
    </row>
    <row r="847" ht="22.5" customHeight="1">
      <c r="A847" s="7"/>
      <c r="B847" s="7"/>
      <c r="C847" s="7"/>
      <c r="D847" s="7"/>
      <c r="E847" s="7"/>
    </row>
    <row r="848" ht="22.5" customHeight="1">
      <c r="A848" s="7"/>
      <c r="B848" s="7"/>
      <c r="C848" s="7"/>
      <c r="D848" s="7"/>
      <c r="E848" s="7"/>
    </row>
    <row r="849" ht="22.5" customHeight="1">
      <c r="A849" s="7"/>
      <c r="B849" s="7"/>
      <c r="C849" s="7"/>
      <c r="D849" s="7"/>
      <c r="E849" s="7"/>
    </row>
    <row r="850" ht="22.5" customHeight="1">
      <c r="A850" s="7"/>
      <c r="B850" s="7"/>
      <c r="C850" s="7"/>
      <c r="D850" s="7"/>
      <c r="E850" s="7"/>
    </row>
    <row r="851" ht="22.5" customHeight="1">
      <c r="A851" s="7"/>
      <c r="B851" s="7"/>
      <c r="C851" s="7"/>
      <c r="D851" s="7"/>
      <c r="E851" s="7"/>
    </row>
    <row r="852" ht="22.5" customHeight="1">
      <c r="A852" s="7"/>
      <c r="B852" s="7"/>
      <c r="C852" s="7"/>
      <c r="D852" s="7"/>
      <c r="E852" s="7"/>
    </row>
    <row r="853" ht="22.5" customHeight="1">
      <c r="A853" s="7"/>
      <c r="B853" s="7"/>
      <c r="C853" s="7"/>
      <c r="D853" s="7"/>
      <c r="E853" s="7"/>
    </row>
    <row r="854" ht="22.5" customHeight="1">
      <c r="A854" s="7"/>
      <c r="B854" s="7"/>
      <c r="C854" s="7"/>
      <c r="D854" s="7"/>
      <c r="E854" s="7"/>
    </row>
    <row r="855" ht="22.5" customHeight="1">
      <c r="A855" s="7"/>
      <c r="B855" s="7"/>
      <c r="C855" s="7"/>
      <c r="D855" s="7"/>
      <c r="E855" s="7"/>
    </row>
    <row r="856" ht="22.5" customHeight="1">
      <c r="A856" s="7"/>
      <c r="B856" s="7"/>
      <c r="C856" s="7"/>
      <c r="D856" s="7"/>
      <c r="E856" s="7"/>
    </row>
    <row r="857" ht="22.5" customHeight="1">
      <c r="A857" s="7"/>
      <c r="B857" s="7"/>
      <c r="C857" s="7"/>
      <c r="D857" s="7"/>
      <c r="E857" s="7"/>
    </row>
    <row r="858" ht="22.5" customHeight="1">
      <c r="A858" s="7"/>
      <c r="B858" s="7"/>
      <c r="C858" s="7"/>
      <c r="D858" s="7"/>
      <c r="E858" s="7"/>
    </row>
    <row r="859" ht="22.5" customHeight="1">
      <c r="A859" s="7"/>
      <c r="B859" s="7"/>
      <c r="C859" s="7"/>
      <c r="D859" s="7"/>
      <c r="E859" s="7"/>
    </row>
    <row r="860" ht="22.5" customHeight="1">
      <c r="A860" s="7"/>
      <c r="B860" s="7"/>
      <c r="C860" s="7"/>
      <c r="D860" s="7"/>
      <c r="E860" s="7"/>
    </row>
    <row r="861" ht="22.5" customHeight="1">
      <c r="A861" s="7"/>
      <c r="B861" s="7"/>
      <c r="C861" s="7"/>
      <c r="D861" s="7"/>
      <c r="E861" s="7"/>
    </row>
    <row r="862" ht="22.5" customHeight="1">
      <c r="A862" s="7"/>
      <c r="B862" s="7"/>
      <c r="C862" s="7"/>
      <c r="D862" s="7"/>
      <c r="E862" s="7"/>
    </row>
    <row r="863" ht="22.5" customHeight="1">
      <c r="A863" s="7"/>
      <c r="B863" s="7"/>
      <c r="C863" s="7"/>
      <c r="D863" s="7"/>
      <c r="E863" s="7"/>
    </row>
    <row r="864" ht="22.5" customHeight="1">
      <c r="A864" s="7"/>
      <c r="B864" s="7"/>
      <c r="C864" s="7"/>
      <c r="D864" s="7"/>
      <c r="E864" s="7"/>
    </row>
    <row r="865" ht="22.5" customHeight="1">
      <c r="A865" s="7"/>
      <c r="B865" s="7"/>
      <c r="C865" s="7"/>
      <c r="D865" s="7"/>
      <c r="E865" s="7"/>
    </row>
    <row r="866" ht="22.5" customHeight="1">
      <c r="A866" s="7"/>
      <c r="B866" s="7"/>
      <c r="C866" s="7"/>
      <c r="D866" s="7"/>
      <c r="E866" s="7"/>
    </row>
    <row r="867" ht="22.5" customHeight="1">
      <c r="A867" s="7"/>
      <c r="B867" s="7"/>
      <c r="C867" s="7"/>
      <c r="D867" s="7"/>
      <c r="E867" s="7"/>
    </row>
    <row r="868" ht="22.5" customHeight="1">
      <c r="A868" s="7"/>
      <c r="B868" s="7"/>
      <c r="C868" s="7"/>
      <c r="D868" s="7"/>
      <c r="E868" s="7"/>
    </row>
    <row r="869" ht="22.5" customHeight="1">
      <c r="A869" s="7"/>
      <c r="B869" s="7"/>
      <c r="C869" s="7"/>
      <c r="D869" s="7"/>
      <c r="E869" s="7"/>
    </row>
    <row r="870" ht="22.5" customHeight="1">
      <c r="A870" s="7"/>
      <c r="B870" s="7"/>
      <c r="C870" s="7"/>
      <c r="D870" s="7"/>
      <c r="E870" s="7"/>
    </row>
    <row r="871" ht="22.5" customHeight="1">
      <c r="A871" s="7"/>
      <c r="B871" s="7"/>
      <c r="C871" s="7"/>
      <c r="D871" s="7"/>
      <c r="E871" s="7"/>
    </row>
    <row r="872" ht="22.5" customHeight="1">
      <c r="A872" s="7"/>
      <c r="B872" s="7"/>
      <c r="C872" s="7"/>
      <c r="D872" s="7"/>
      <c r="E872" s="7"/>
    </row>
    <row r="873" ht="22.5" customHeight="1">
      <c r="A873" s="7"/>
      <c r="B873" s="7"/>
      <c r="C873" s="7"/>
      <c r="D873" s="7"/>
      <c r="E873" s="7"/>
    </row>
    <row r="874" ht="22.5" customHeight="1">
      <c r="A874" s="7"/>
      <c r="B874" s="7"/>
      <c r="C874" s="7"/>
      <c r="D874" s="7"/>
      <c r="E874" s="7"/>
    </row>
    <row r="875" ht="22.5" customHeight="1">
      <c r="A875" s="7"/>
      <c r="B875" s="7"/>
      <c r="C875" s="7"/>
      <c r="D875" s="7"/>
      <c r="E875" s="7"/>
    </row>
    <row r="876" ht="22.5" customHeight="1">
      <c r="A876" s="7"/>
      <c r="B876" s="7"/>
      <c r="C876" s="7"/>
      <c r="D876" s="7"/>
      <c r="E876" s="7"/>
    </row>
    <row r="877" ht="22.5" customHeight="1">
      <c r="A877" s="7"/>
      <c r="B877" s="7"/>
      <c r="C877" s="7"/>
      <c r="D877" s="7"/>
      <c r="E877" s="7"/>
    </row>
    <row r="878" ht="22.5" customHeight="1">
      <c r="A878" s="7"/>
      <c r="B878" s="7"/>
      <c r="C878" s="7"/>
      <c r="D878" s="7"/>
      <c r="E878" s="7"/>
    </row>
    <row r="879" ht="22.5" customHeight="1">
      <c r="A879" s="7"/>
      <c r="B879" s="7"/>
      <c r="C879" s="7"/>
      <c r="D879" s="7"/>
      <c r="E879" s="7"/>
    </row>
    <row r="880" ht="22.5" customHeight="1">
      <c r="A880" s="7"/>
      <c r="B880" s="7"/>
      <c r="C880" s="7"/>
      <c r="D880" s="7"/>
      <c r="E880" s="7"/>
    </row>
    <row r="881" ht="22.5" customHeight="1">
      <c r="A881" s="7"/>
      <c r="B881" s="7"/>
      <c r="C881" s="7"/>
      <c r="D881" s="7"/>
      <c r="E881" s="7"/>
    </row>
    <row r="882" ht="22.5" customHeight="1">
      <c r="A882" s="7"/>
      <c r="B882" s="7"/>
      <c r="C882" s="7"/>
      <c r="D882" s="7"/>
      <c r="E882" s="7"/>
    </row>
    <row r="883" ht="22.5" customHeight="1">
      <c r="A883" s="7"/>
      <c r="B883" s="7"/>
      <c r="C883" s="7"/>
      <c r="D883" s="7"/>
      <c r="E883" s="7"/>
    </row>
    <row r="884" ht="22.5" customHeight="1">
      <c r="A884" s="7"/>
      <c r="B884" s="7"/>
      <c r="C884" s="7"/>
      <c r="D884" s="7"/>
      <c r="E884" s="7"/>
    </row>
    <row r="885" ht="22.5" customHeight="1">
      <c r="A885" s="7"/>
      <c r="B885" s="7"/>
      <c r="C885" s="7"/>
      <c r="D885" s="7"/>
      <c r="E885" s="7"/>
    </row>
    <row r="886" ht="22.5" customHeight="1">
      <c r="A886" s="7"/>
      <c r="B886" s="7"/>
      <c r="C886" s="7"/>
      <c r="D886" s="7"/>
      <c r="E886" s="7"/>
    </row>
    <row r="887" ht="22.5" customHeight="1">
      <c r="A887" s="7"/>
      <c r="B887" s="7"/>
      <c r="C887" s="7"/>
      <c r="D887" s="7"/>
      <c r="E887" s="7"/>
    </row>
    <row r="888" ht="22.5" customHeight="1">
      <c r="A888" s="7"/>
      <c r="B888" s="7"/>
      <c r="C888" s="7"/>
      <c r="D888" s="7"/>
      <c r="E888" s="7"/>
    </row>
    <row r="889" ht="22.5" customHeight="1">
      <c r="A889" s="7"/>
      <c r="B889" s="7"/>
      <c r="C889" s="7"/>
      <c r="D889" s="7"/>
      <c r="E889" s="7"/>
    </row>
    <row r="890" ht="22.5" customHeight="1">
      <c r="A890" s="7"/>
      <c r="B890" s="7"/>
      <c r="C890" s="7"/>
      <c r="D890" s="7"/>
      <c r="E890" s="7"/>
    </row>
    <row r="891" ht="22.5" customHeight="1">
      <c r="A891" s="7"/>
      <c r="B891" s="7"/>
      <c r="C891" s="7"/>
      <c r="D891" s="7"/>
      <c r="E891" s="7"/>
    </row>
    <row r="892" ht="22.5" customHeight="1">
      <c r="A892" s="7"/>
      <c r="B892" s="7"/>
      <c r="C892" s="7"/>
      <c r="D892" s="7"/>
      <c r="E892" s="7"/>
    </row>
    <row r="893" ht="22.5" customHeight="1">
      <c r="A893" s="7"/>
      <c r="B893" s="7"/>
      <c r="C893" s="7"/>
      <c r="D893" s="7"/>
      <c r="E893" s="7"/>
    </row>
    <row r="894" ht="22.5" customHeight="1">
      <c r="A894" s="7"/>
      <c r="B894" s="7"/>
      <c r="C894" s="7"/>
      <c r="D894" s="7"/>
      <c r="E894" s="7"/>
    </row>
    <row r="895" ht="22.5" customHeight="1">
      <c r="A895" s="7"/>
      <c r="B895" s="7"/>
      <c r="C895" s="7"/>
      <c r="D895" s="7"/>
      <c r="E895" s="7"/>
    </row>
    <row r="896" ht="22.5" customHeight="1">
      <c r="A896" s="7"/>
      <c r="B896" s="7"/>
      <c r="C896" s="7"/>
      <c r="D896" s="7"/>
      <c r="E896" s="7"/>
    </row>
    <row r="897" ht="22.5" customHeight="1">
      <c r="A897" s="7"/>
      <c r="B897" s="7"/>
      <c r="C897" s="7"/>
      <c r="D897" s="7"/>
      <c r="E897" s="7"/>
    </row>
    <row r="898" ht="22.5" customHeight="1">
      <c r="A898" s="7"/>
      <c r="B898" s="7"/>
      <c r="C898" s="7"/>
      <c r="D898" s="7"/>
      <c r="E898" s="7"/>
    </row>
    <row r="899" ht="22.5" customHeight="1">
      <c r="A899" s="7"/>
      <c r="B899" s="7"/>
      <c r="C899" s="7"/>
      <c r="D899" s="7"/>
      <c r="E899" s="7"/>
    </row>
    <row r="900" ht="22.5" customHeight="1">
      <c r="A900" s="7"/>
      <c r="B900" s="7"/>
      <c r="C900" s="7"/>
      <c r="D900" s="7"/>
      <c r="E900" s="7"/>
    </row>
    <row r="901" ht="22.5" customHeight="1">
      <c r="A901" s="7"/>
      <c r="B901" s="7"/>
      <c r="C901" s="7"/>
      <c r="D901" s="7"/>
      <c r="E901" s="7"/>
    </row>
    <row r="902" ht="22.5" customHeight="1">
      <c r="A902" s="7"/>
      <c r="B902" s="7"/>
      <c r="C902" s="7"/>
      <c r="D902" s="7"/>
      <c r="E902" s="7"/>
    </row>
    <row r="903" ht="22.5" customHeight="1">
      <c r="A903" s="7"/>
      <c r="B903" s="7"/>
      <c r="C903" s="7"/>
      <c r="D903" s="7"/>
      <c r="E903" s="7"/>
    </row>
    <row r="904" ht="22.5" customHeight="1">
      <c r="A904" s="7"/>
      <c r="B904" s="7"/>
      <c r="C904" s="7"/>
      <c r="D904" s="7"/>
      <c r="E904" s="7"/>
    </row>
    <row r="905" ht="22.5" customHeight="1">
      <c r="A905" s="7"/>
      <c r="B905" s="7"/>
      <c r="C905" s="7"/>
      <c r="D905" s="7"/>
      <c r="E905" s="7"/>
    </row>
    <row r="906" ht="22.5" customHeight="1">
      <c r="A906" s="7"/>
      <c r="B906" s="7"/>
      <c r="C906" s="7"/>
      <c r="D906" s="7"/>
      <c r="E906" s="7"/>
    </row>
    <row r="907" ht="22.5" customHeight="1">
      <c r="A907" s="7"/>
      <c r="B907" s="7"/>
      <c r="C907" s="7"/>
      <c r="D907" s="7"/>
      <c r="E907" s="7"/>
    </row>
    <row r="908" ht="22.5" customHeight="1">
      <c r="A908" s="7"/>
      <c r="B908" s="7"/>
      <c r="C908" s="7"/>
      <c r="D908" s="7"/>
      <c r="E908" s="7"/>
    </row>
    <row r="909" ht="22.5" customHeight="1">
      <c r="A909" s="7"/>
      <c r="B909" s="7"/>
      <c r="C909" s="7"/>
      <c r="D909" s="7"/>
      <c r="E909" s="7"/>
    </row>
    <row r="910" ht="22.5" customHeight="1">
      <c r="A910" s="7"/>
      <c r="B910" s="7"/>
      <c r="C910" s="7"/>
      <c r="D910" s="7"/>
      <c r="E910" s="7"/>
    </row>
    <row r="911" ht="22.5" customHeight="1">
      <c r="A911" s="7"/>
      <c r="B911" s="7"/>
      <c r="C911" s="7"/>
      <c r="D911" s="7"/>
      <c r="E911" s="7"/>
    </row>
    <row r="912" ht="22.5" customHeight="1">
      <c r="A912" s="7"/>
      <c r="B912" s="7"/>
      <c r="C912" s="7"/>
      <c r="D912" s="7"/>
      <c r="E912" s="7"/>
    </row>
    <row r="913" ht="22.5" customHeight="1">
      <c r="A913" s="7"/>
      <c r="B913" s="7"/>
      <c r="C913" s="7"/>
      <c r="D913" s="7"/>
      <c r="E913" s="7"/>
    </row>
    <row r="914" ht="22.5" customHeight="1">
      <c r="A914" s="7"/>
      <c r="B914" s="7"/>
      <c r="C914" s="7"/>
      <c r="D914" s="7"/>
      <c r="E914" s="7"/>
    </row>
    <row r="915" ht="22.5" customHeight="1">
      <c r="A915" s="7"/>
      <c r="B915" s="7"/>
      <c r="C915" s="7"/>
      <c r="D915" s="7"/>
      <c r="E915" s="7"/>
    </row>
    <row r="916" ht="22.5" customHeight="1">
      <c r="A916" s="7"/>
      <c r="B916" s="7"/>
      <c r="C916" s="7"/>
      <c r="D916" s="7"/>
      <c r="E916" s="7"/>
    </row>
    <row r="917" ht="22.5" customHeight="1">
      <c r="A917" s="7"/>
      <c r="B917" s="7"/>
      <c r="C917" s="7"/>
      <c r="D917" s="7"/>
      <c r="E917" s="7"/>
    </row>
    <row r="918" ht="22.5" customHeight="1">
      <c r="A918" s="7"/>
      <c r="B918" s="7"/>
      <c r="C918" s="7"/>
      <c r="D918" s="7"/>
      <c r="E918" s="7"/>
    </row>
    <row r="919" ht="22.5" customHeight="1">
      <c r="A919" s="7"/>
      <c r="B919" s="7"/>
      <c r="C919" s="7"/>
      <c r="D919" s="7"/>
      <c r="E919" s="7"/>
    </row>
    <row r="920" ht="22.5" customHeight="1">
      <c r="A920" s="7"/>
      <c r="B920" s="7"/>
      <c r="C920" s="7"/>
      <c r="D920" s="7"/>
      <c r="E920" s="7"/>
    </row>
    <row r="921" ht="22.5" customHeight="1">
      <c r="A921" s="7"/>
      <c r="B921" s="7"/>
      <c r="C921" s="7"/>
      <c r="D921" s="7"/>
      <c r="E921" s="7"/>
    </row>
    <row r="922" ht="22.5" customHeight="1">
      <c r="A922" s="7"/>
      <c r="B922" s="7"/>
      <c r="C922" s="7"/>
      <c r="D922" s="7"/>
      <c r="E922" s="7"/>
    </row>
    <row r="923" ht="22.5" customHeight="1">
      <c r="A923" s="7"/>
      <c r="B923" s="7"/>
      <c r="C923" s="7"/>
      <c r="D923" s="7"/>
      <c r="E923" s="7"/>
    </row>
    <row r="924" ht="22.5" customHeight="1">
      <c r="A924" s="7"/>
      <c r="B924" s="7"/>
      <c r="C924" s="7"/>
      <c r="D924" s="7"/>
      <c r="E924" s="7"/>
    </row>
    <row r="925" ht="22.5" customHeight="1">
      <c r="A925" s="7"/>
      <c r="B925" s="7"/>
      <c r="C925" s="7"/>
      <c r="D925" s="7"/>
      <c r="E925" s="7"/>
    </row>
    <row r="926" ht="22.5" customHeight="1">
      <c r="A926" s="7"/>
      <c r="B926" s="7"/>
      <c r="C926" s="7"/>
      <c r="D926" s="7"/>
      <c r="E926" s="7"/>
    </row>
    <row r="927" ht="22.5" customHeight="1">
      <c r="A927" s="7"/>
      <c r="B927" s="7"/>
      <c r="C927" s="7"/>
      <c r="D927" s="7"/>
      <c r="E927" s="7"/>
    </row>
    <row r="928" ht="22.5" customHeight="1">
      <c r="A928" s="7"/>
      <c r="B928" s="7"/>
      <c r="C928" s="7"/>
      <c r="D928" s="7"/>
      <c r="E928" s="7"/>
    </row>
    <row r="929" ht="22.5" customHeight="1">
      <c r="A929" s="7"/>
      <c r="B929" s="7"/>
      <c r="C929" s="7"/>
      <c r="D929" s="7"/>
      <c r="E929" s="7"/>
    </row>
    <row r="930" ht="22.5" customHeight="1">
      <c r="A930" s="7"/>
      <c r="B930" s="7"/>
      <c r="C930" s="7"/>
      <c r="D930" s="7"/>
      <c r="E930" s="7"/>
    </row>
    <row r="931" ht="22.5" customHeight="1">
      <c r="A931" s="7"/>
      <c r="B931" s="7"/>
      <c r="C931" s="7"/>
      <c r="D931" s="7"/>
      <c r="E931" s="7"/>
    </row>
    <row r="932" ht="22.5" customHeight="1">
      <c r="A932" s="7"/>
      <c r="B932" s="7"/>
      <c r="C932" s="7"/>
      <c r="D932" s="7"/>
      <c r="E932" s="7"/>
    </row>
    <row r="933" ht="22.5" customHeight="1">
      <c r="A933" s="7"/>
      <c r="B933" s="7"/>
      <c r="C933" s="7"/>
      <c r="D933" s="7"/>
      <c r="E933" s="7"/>
    </row>
    <row r="934" ht="22.5" customHeight="1">
      <c r="A934" s="7"/>
      <c r="B934" s="7"/>
      <c r="C934" s="7"/>
      <c r="D934" s="7"/>
      <c r="E934" s="7"/>
    </row>
    <row r="935" ht="22.5" customHeight="1">
      <c r="A935" s="7"/>
      <c r="B935" s="7"/>
      <c r="C935" s="7"/>
      <c r="D935" s="7"/>
      <c r="E935" s="7"/>
    </row>
    <row r="936" ht="22.5" customHeight="1">
      <c r="A936" s="7"/>
      <c r="B936" s="7"/>
      <c r="C936" s="7"/>
      <c r="D936" s="7"/>
      <c r="E936" s="7"/>
    </row>
    <row r="937" ht="22.5" customHeight="1">
      <c r="A937" s="7"/>
      <c r="B937" s="7"/>
      <c r="C937" s="7"/>
      <c r="D937" s="7"/>
      <c r="E937" s="7"/>
    </row>
    <row r="938" ht="22.5" customHeight="1">
      <c r="A938" s="7"/>
      <c r="B938" s="7"/>
      <c r="C938" s="7"/>
      <c r="D938" s="7"/>
      <c r="E938" s="7"/>
    </row>
    <row r="939" ht="22.5" customHeight="1">
      <c r="A939" s="7"/>
      <c r="B939" s="7"/>
      <c r="C939" s="7"/>
      <c r="D939" s="7"/>
      <c r="E939" s="7"/>
    </row>
    <row r="940" ht="22.5" customHeight="1">
      <c r="A940" s="7"/>
      <c r="B940" s="7"/>
      <c r="C940" s="7"/>
      <c r="D940" s="7"/>
      <c r="E940" s="7"/>
    </row>
    <row r="941" ht="22.5" customHeight="1">
      <c r="A941" s="7"/>
      <c r="B941" s="7"/>
      <c r="C941" s="7"/>
      <c r="D941" s="7"/>
      <c r="E941" s="7"/>
    </row>
    <row r="942" ht="22.5" customHeight="1">
      <c r="A942" s="7"/>
      <c r="B942" s="7"/>
      <c r="C942" s="7"/>
      <c r="D942" s="7"/>
      <c r="E942" s="7"/>
    </row>
    <row r="943" ht="22.5" customHeight="1">
      <c r="A943" s="7"/>
      <c r="B943" s="7"/>
      <c r="C943" s="7"/>
      <c r="D943" s="7"/>
      <c r="E943" s="7"/>
    </row>
    <row r="944" ht="22.5" customHeight="1">
      <c r="A944" s="7"/>
      <c r="B944" s="7"/>
      <c r="C944" s="7"/>
      <c r="D944" s="7"/>
      <c r="E944" s="7"/>
    </row>
    <row r="945" ht="22.5" customHeight="1">
      <c r="A945" s="7"/>
      <c r="B945" s="7"/>
      <c r="C945" s="7"/>
      <c r="D945" s="7"/>
      <c r="E945" s="7"/>
    </row>
    <row r="946" ht="22.5" customHeight="1">
      <c r="A946" s="7"/>
      <c r="B946" s="7"/>
      <c r="C946" s="7"/>
      <c r="D946" s="7"/>
      <c r="E946" s="7"/>
    </row>
    <row r="947" ht="22.5" customHeight="1">
      <c r="A947" s="7"/>
      <c r="B947" s="7"/>
      <c r="C947" s="7"/>
      <c r="D947" s="7"/>
      <c r="E947" s="7"/>
    </row>
    <row r="948" ht="22.5" customHeight="1">
      <c r="A948" s="7"/>
      <c r="B948" s="7"/>
      <c r="C948" s="7"/>
      <c r="D948" s="7"/>
      <c r="E948" s="7"/>
    </row>
    <row r="949" ht="22.5" customHeight="1">
      <c r="A949" s="7"/>
      <c r="B949" s="7"/>
      <c r="C949" s="7"/>
      <c r="D949" s="7"/>
      <c r="E949" s="7"/>
    </row>
    <row r="950" ht="22.5" customHeight="1">
      <c r="A950" s="7"/>
      <c r="B950" s="7"/>
      <c r="C950" s="7"/>
      <c r="D950" s="7"/>
      <c r="E950" s="7"/>
    </row>
    <row r="951" ht="22.5" customHeight="1">
      <c r="A951" s="7"/>
      <c r="B951" s="7"/>
      <c r="C951" s="7"/>
      <c r="D951" s="7"/>
      <c r="E951" s="7"/>
    </row>
    <row r="952" ht="22.5" customHeight="1">
      <c r="A952" s="7"/>
      <c r="B952" s="7"/>
      <c r="C952" s="7"/>
      <c r="D952" s="7"/>
      <c r="E952" s="7"/>
    </row>
    <row r="953" ht="22.5" customHeight="1">
      <c r="A953" s="7"/>
      <c r="B953" s="7"/>
      <c r="C953" s="7"/>
      <c r="D953" s="7"/>
      <c r="E953" s="7"/>
    </row>
    <row r="954" ht="22.5" customHeight="1">
      <c r="A954" s="7"/>
      <c r="B954" s="7"/>
      <c r="C954" s="7"/>
      <c r="D954" s="7"/>
      <c r="E954" s="7"/>
    </row>
    <row r="955" ht="22.5" customHeight="1">
      <c r="A955" s="7"/>
      <c r="B955" s="7"/>
      <c r="C955" s="7"/>
      <c r="D955" s="7"/>
      <c r="E955" s="7"/>
    </row>
    <row r="956" ht="22.5" customHeight="1">
      <c r="A956" s="7"/>
      <c r="B956" s="7"/>
      <c r="C956" s="7"/>
      <c r="D956" s="7"/>
      <c r="E956" s="7"/>
    </row>
    <row r="957" ht="22.5" customHeight="1">
      <c r="A957" s="7"/>
      <c r="B957" s="7"/>
      <c r="C957" s="7"/>
      <c r="D957" s="7"/>
      <c r="E957" s="7"/>
    </row>
    <row r="958" ht="22.5" customHeight="1">
      <c r="A958" s="7"/>
      <c r="B958" s="7"/>
      <c r="C958" s="7"/>
      <c r="D958" s="7"/>
      <c r="E958" s="7"/>
    </row>
    <row r="959" ht="22.5" customHeight="1">
      <c r="A959" s="7"/>
      <c r="B959" s="7"/>
      <c r="C959" s="7"/>
      <c r="D959" s="7"/>
      <c r="E959" s="7"/>
    </row>
    <row r="960" ht="22.5" customHeight="1">
      <c r="A960" s="7"/>
      <c r="B960" s="7"/>
      <c r="C960" s="7"/>
      <c r="D960" s="7"/>
      <c r="E960" s="7"/>
    </row>
    <row r="961" ht="22.5" customHeight="1">
      <c r="A961" s="7"/>
      <c r="B961" s="7"/>
      <c r="C961" s="7"/>
      <c r="D961" s="7"/>
      <c r="E961" s="7"/>
    </row>
    <row r="962" ht="22.5" customHeight="1">
      <c r="A962" s="7"/>
      <c r="B962" s="7"/>
      <c r="C962" s="7"/>
      <c r="D962" s="7"/>
      <c r="E962" s="7"/>
    </row>
    <row r="963" ht="22.5" customHeight="1">
      <c r="A963" s="7"/>
      <c r="B963" s="7"/>
      <c r="C963" s="7"/>
      <c r="D963" s="7"/>
      <c r="E963" s="7"/>
    </row>
    <row r="964" ht="22.5" customHeight="1">
      <c r="A964" s="7"/>
      <c r="B964" s="7"/>
      <c r="C964" s="7"/>
      <c r="D964" s="7"/>
      <c r="E964" s="7"/>
    </row>
    <row r="965" ht="22.5" customHeight="1">
      <c r="A965" s="7"/>
      <c r="B965" s="7"/>
      <c r="C965" s="7"/>
      <c r="D965" s="7"/>
      <c r="E965" s="7"/>
    </row>
    <row r="966" ht="22.5" customHeight="1">
      <c r="A966" s="7"/>
      <c r="B966" s="7"/>
      <c r="C966" s="7"/>
      <c r="D966" s="7"/>
      <c r="E966" s="7"/>
    </row>
    <row r="967" ht="22.5" customHeight="1">
      <c r="A967" s="7"/>
      <c r="B967" s="7"/>
      <c r="C967" s="7"/>
      <c r="D967" s="7"/>
      <c r="E967" s="7"/>
    </row>
    <row r="968" ht="22.5" customHeight="1">
      <c r="A968" s="7"/>
      <c r="B968" s="7"/>
      <c r="C968" s="7"/>
      <c r="D968" s="7"/>
      <c r="E968" s="7"/>
    </row>
    <row r="969" ht="22.5" customHeight="1">
      <c r="A969" s="7"/>
      <c r="B969" s="7"/>
      <c r="C969" s="7"/>
      <c r="D969" s="7"/>
      <c r="E969" s="7"/>
    </row>
    <row r="970" ht="22.5" customHeight="1">
      <c r="A970" s="7"/>
      <c r="B970" s="7"/>
      <c r="C970" s="7"/>
      <c r="D970" s="7"/>
      <c r="E970" s="7"/>
    </row>
    <row r="971" ht="22.5" customHeight="1">
      <c r="A971" s="7"/>
      <c r="B971" s="7"/>
      <c r="C971" s="7"/>
      <c r="D971" s="7"/>
      <c r="E971" s="7"/>
    </row>
    <row r="972" ht="22.5" customHeight="1">
      <c r="A972" s="7"/>
      <c r="B972" s="7"/>
      <c r="C972" s="7"/>
      <c r="D972" s="7"/>
      <c r="E972" s="7"/>
    </row>
    <row r="973" ht="22.5" customHeight="1">
      <c r="A973" s="7"/>
      <c r="B973" s="7"/>
      <c r="C973" s="7"/>
      <c r="D973" s="7"/>
      <c r="E973" s="7"/>
    </row>
    <row r="974" ht="22.5" customHeight="1">
      <c r="A974" s="7"/>
      <c r="B974" s="7"/>
      <c r="C974" s="7"/>
      <c r="D974" s="7"/>
      <c r="E974" s="7"/>
    </row>
    <row r="975" ht="22.5" customHeight="1">
      <c r="A975" s="7"/>
      <c r="B975" s="7"/>
      <c r="C975" s="7"/>
      <c r="D975" s="7"/>
      <c r="E975" s="7"/>
    </row>
    <row r="976" ht="22.5" customHeight="1">
      <c r="A976" s="7"/>
      <c r="B976" s="7"/>
      <c r="C976" s="7"/>
      <c r="D976" s="7"/>
      <c r="E976" s="7"/>
    </row>
    <row r="977" ht="22.5" customHeight="1">
      <c r="A977" s="7"/>
      <c r="B977" s="7"/>
      <c r="C977" s="7"/>
      <c r="D977" s="7"/>
      <c r="E977" s="7"/>
    </row>
    <row r="978" ht="22.5" customHeight="1">
      <c r="A978" s="7"/>
      <c r="B978" s="7"/>
      <c r="C978" s="7"/>
      <c r="D978" s="7"/>
      <c r="E978" s="7"/>
    </row>
    <row r="979" ht="22.5" customHeight="1">
      <c r="A979" s="7"/>
      <c r="B979" s="7"/>
      <c r="C979" s="7"/>
      <c r="D979" s="7"/>
      <c r="E979" s="7"/>
    </row>
    <row r="980" ht="22.5" customHeight="1">
      <c r="A980" s="7"/>
      <c r="B980" s="7"/>
      <c r="C980" s="7"/>
      <c r="D980" s="7"/>
      <c r="E980" s="7"/>
    </row>
    <row r="981" ht="22.5" customHeight="1">
      <c r="A981" s="7"/>
      <c r="B981" s="7"/>
      <c r="C981" s="7"/>
      <c r="D981" s="7"/>
      <c r="E981" s="7"/>
    </row>
    <row r="982" ht="22.5" customHeight="1">
      <c r="A982" s="7"/>
      <c r="B982" s="7"/>
      <c r="C982" s="7"/>
      <c r="D982" s="7"/>
      <c r="E982" s="7"/>
    </row>
    <row r="983" ht="22.5" customHeight="1">
      <c r="A983" s="7"/>
      <c r="B983" s="7"/>
      <c r="C983" s="7"/>
      <c r="D983" s="7"/>
      <c r="E983" s="7"/>
    </row>
    <row r="984" ht="22.5" customHeight="1">
      <c r="A984" s="7"/>
      <c r="B984" s="7"/>
      <c r="C984" s="7"/>
      <c r="D984" s="7"/>
      <c r="E984" s="7"/>
    </row>
    <row r="985" ht="22.5" customHeight="1">
      <c r="A985" s="7"/>
      <c r="B985" s="7"/>
      <c r="C985" s="7"/>
      <c r="D985" s="7"/>
      <c r="E985" s="7"/>
    </row>
    <row r="986" ht="22.5" customHeight="1">
      <c r="A986" s="7"/>
      <c r="B986" s="7"/>
      <c r="C986" s="7"/>
      <c r="D986" s="7"/>
      <c r="E986" s="7"/>
    </row>
    <row r="987" ht="22.5" customHeight="1">
      <c r="A987" s="7"/>
      <c r="B987" s="7"/>
      <c r="C987" s="7"/>
      <c r="D987" s="7"/>
      <c r="E987" s="7"/>
    </row>
    <row r="988" ht="22.5" customHeight="1">
      <c r="A988" s="7"/>
      <c r="B988" s="7"/>
      <c r="C988" s="7"/>
      <c r="D988" s="7"/>
      <c r="E988" s="7"/>
    </row>
    <row r="989" ht="22.5" customHeight="1">
      <c r="A989" s="7"/>
      <c r="B989" s="7"/>
      <c r="C989" s="7"/>
      <c r="D989" s="7"/>
      <c r="E989" s="7"/>
    </row>
    <row r="990" ht="22.5" customHeight="1">
      <c r="A990" s="7"/>
      <c r="B990" s="7"/>
      <c r="C990" s="7"/>
      <c r="D990" s="7"/>
      <c r="E990" s="7"/>
    </row>
    <row r="991" ht="22.5" customHeight="1">
      <c r="A991" s="7"/>
      <c r="B991" s="7"/>
      <c r="C991" s="7"/>
      <c r="D991" s="7"/>
      <c r="E991" s="7"/>
    </row>
    <row r="992" ht="22.5" customHeight="1">
      <c r="A992" s="7"/>
      <c r="B992" s="7"/>
      <c r="C992" s="7"/>
      <c r="D992" s="7"/>
      <c r="E992" s="7"/>
    </row>
    <row r="993" ht="22.5" customHeight="1">
      <c r="A993" s="7"/>
      <c r="B993" s="7"/>
      <c r="C993" s="7"/>
      <c r="D993" s="7"/>
      <c r="E993" s="7"/>
    </row>
    <row r="994" ht="22.5" customHeight="1">
      <c r="A994" s="7"/>
      <c r="B994" s="7"/>
      <c r="C994" s="7"/>
      <c r="D994" s="7"/>
      <c r="E994" s="7"/>
    </row>
    <row r="995" ht="22.5" customHeight="1">
      <c r="A995" s="7"/>
      <c r="B995" s="7"/>
      <c r="C995" s="7"/>
      <c r="D995" s="7"/>
      <c r="E995" s="7"/>
    </row>
    <row r="996" ht="22.5" customHeight="1">
      <c r="A996" s="7"/>
      <c r="B996" s="7"/>
      <c r="C996" s="7"/>
      <c r="D996" s="7"/>
      <c r="E996" s="7"/>
    </row>
    <row r="997" ht="22.5" customHeight="1">
      <c r="A997" s="7"/>
      <c r="B997" s="7"/>
      <c r="C997" s="7"/>
      <c r="D997" s="7"/>
      <c r="E997" s="7"/>
    </row>
    <row r="998" ht="22.5" customHeight="1">
      <c r="A998" s="7"/>
      <c r="B998" s="7"/>
      <c r="C998" s="7"/>
      <c r="D998" s="7"/>
      <c r="E998" s="7"/>
    </row>
    <row r="999" ht="22.5" customHeight="1">
      <c r="A999" s="7"/>
      <c r="B999" s="7"/>
      <c r="C999" s="7"/>
      <c r="D999" s="7"/>
      <c r="E999" s="7"/>
    </row>
    <row r="1000" ht="22.5" customHeight="1">
      <c r="A1000" s="7"/>
      <c r="B1000" s="7"/>
      <c r="C1000" s="7"/>
      <c r="D1000" s="7"/>
      <c r="E1000" s="7"/>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37.63"/>
    <col customWidth="1" min="3" max="3" width="31.63"/>
    <col customWidth="1" min="4" max="4" width="31.25"/>
    <col customWidth="1" min="5" max="5" width="37.63"/>
    <col customWidth="1" min="7" max="7" width="10.38"/>
    <col customWidth="1" min="8" max="8" width="27.0"/>
    <col customWidth="1" min="9" max="9" width="27.5"/>
    <col customWidth="1" min="10" max="10" width="25.38"/>
    <col customWidth="1" min="11" max="11" width="25.75"/>
  </cols>
  <sheetData>
    <row r="1" ht="22.5" customHeight="1">
      <c r="A1" s="11" t="s">
        <v>0</v>
      </c>
      <c r="B1" s="11" t="s">
        <v>1</v>
      </c>
      <c r="C1" s="12" t="s">
        <v>2</v>
      </c>
      <c r="D1" s="11" t="s">
        <v>3</v>
      </c>
      <c r="E1" s="11" t="s">
        <v>4</v>
      </c>
      <c r="G1" s="3" t="s">
        <v>5</v>
      </c>
      <c r="H1" s="4" t="s">
        <v>6</v>
      </c>
      <c r="I1" s="4" t="s">
        <v>7</v>
      </c>
      <c r="J1" s="4" t="s">
        <v>8</v>
      </c>
      <c r="K1" s="5" t="s">
        <v>9</v>
      </c>
    </row>
    <row r="2" ht="22.5" customHeight="1">
      <c r="A2" s="13">
        <v>1.0</v>
      </c>
      <c r="B2" s="14" t="s">
        <v>1892</v>
      </c>
      <c r="C2" s="14" t="s">
        <v>1893</v>
      </c>
      <c r="D2" s="14" t="s">
        <v>1894</v>
      </c>
      <c r="E2" s="14" t="s">
        <v>1895</v>
      </c>
      <c r="G2" s="8" t="str">
        <f>IFERROR(__xludf.DUMMYFUNCTION(" GOOGLETRANSLATE(A2, ""en"", ""am"")"),"1")</f>
        <v>1</v>
      </c>
      <c r="H2" s="8" t="str">
        <f>IFERROR(__xludf.DUMMYFUNCTION(" GOOGLETRANSLATE(B2, ""en"", ""am"")"),"አንድ ተጫዋች ኳሱን ሲይዝ የድንበሩን መስመር ቢነካ ምን ይሆናል?")</f>
        <v>አንድ ተጫዋች ኳሱን ሲይዝ የድንበሩን መስመር ቢነካ ምን ይሆናል?</v>
      </c>
      <c r="I2" s="8" t="str">
        <f>IFERROR(__xludf.DUMMYFUNCTION(" GOOGLETRANSLATE(C2, ""en"", ""am"")"),"ሀ. መዞሩ ጠፍቷል። ለ. የቅጣት ነጥብ ለተጋጣሚው ይሰጣል። ሐ. ተጫዋቹ መጫወቱን ቀጥሏል። መ. ጨዋታው እንደገና ተጀምሯል።")</f>
        <v>ሀ. መዞሩ ጠፍቷል። ለ. የቅጣት ነጥብ ለተጋጣሚው ይሰጣል። ሐ. ተጫዋቹ መጫወቱን ቀጥሏል። መ. ጨዋታው እንደገና ተጀምሯል።</v>
      </c>
      <c r="J2" s="8" t="str">
        <f>IFERROR(__xludf.DUMMYFUNCTION(" GOOGLETRANSLATE(D2, ""en"", ""am"")"),"ለተቃዋሚው የቅጣት ነጥብ ተሰጥቷል።")</f>
        <v>ለተቃዋሚው የቅጣት ነጥብ ተሰጥቷል።</v>
      </c>
      <c r="K2" s="8" t="str">
        <f>IFERROR(__xludf.DUMMYFUNCTION(" GOOGLETRANSLATE(E2, ""en"", ""am"")"),"የድንበሩን መስመር በኳሱ መንካት በአፉላ ህግ መሰረት ለተቃዋሚው ቅጣት ያስከትላል።")</f>
        <v>የድንበሩን መስመር በኳሱ መንካት በአፉላ ህግ መሰረት ለተቃዋሚው ቅጣት ያስከትላል።</v>
      </c>
    </row>
    <row r="3" ht="22.5" customHeight="1">
      <c r="A3" s="13">
        <v>2.0</v>
      </c>
      <c r="B3" s="14" t="s">
        <v>1896</v>
      </c>
      <c r="C3" s="14" t="s">
        <v>1897</v>
      </c>
      <c r="D3" s="14" t="s">
        <v>1898</v>
      </c>
      <c r="E3" s="14" t="s">
        <v>1899</v>
      </c>
      <c r="G3" s="8" t="str">
        <f>IFERROR(__xludf.DUMMYFUNCTION(" GOOGLETRANSLATE(A3, ""en"", ""am"")"),"2")</f>
        <v>2</v>
      </c>
      <c r="H3" s="8" t="str">
        <f>IFERROR(__xludf.DUMMYFUNCTION(" GOOGLETRANSLATE(B3, ""en"", ""am"")"),"በማዕከላዊ ዒላማ ዞን ውስጥ ለማስቆጠር ስንት ነጥብ ተሰጥቷል?")</f>
        <v>በማዕከላዊ ዒላማ ዞን ውስጥ ለማስቆጠር ስንት ነጥብ ተሰጥቷል?</v>
      </c>
      <c r="I3" s="8" t="str">
        <f>IFERROR(__xludf.DUMMYFUNCTION(" GOOGLETRANSLATE(C3, ""en"", ""am"")"),"ዓ.10 ነጥቢ B. 5 ነጥቢ C. 15 ነጥቢ መ. 20 ነጥቢ")</f>
        <v>ዓ.10 ነጥቢ B. 5 ነጥቢ C. 15 ነጥቢ መ. 20 ነጥቢ</v>
      </c>
      <c r="J3" s="8" t="str">
        <f>IFERROR(__xludf.DUMMYFUNCTION(" GOOGLETRANSLATE(D3, ""en"", ""am"")"),"10 ነጥብ")</f>
        <v>10 ነጥብ</v>
      </c>
      <c r="K3" s="8" t="str">
        <f>IFERROR(__xludf.DUMMYFUNCTION(" GOOGLETRANSLATE(E3, ""en"", ""am"")"),"የማዕከላዊ ኢላማ ዞን ውጤት በአፉላ 10 ነጥብ ተሸልሟል።")</f>
        <v>የማዕከላዊ ኢላማ ዞን ውጤት በአፉላ 10 ነጥብ ተሸልሟል።</v>
      </c>
    </row>
    <row r="4" ht="22.5" customHeight="1">
      <c r="A4" s="13">
        <v>3.0</v>
      </c>
      <c r="B4" s="14" t="s">
        <v>1900</v>
      </c>
      <c r="C4" s="14" t="s">
        <v>1901</v>
      </c>
      <c r="D4" s="14" t="s">
        <v>1902</v>
      </c>
      <c r="E4" s="14" t="s">
        <v>1903</v>
      </c>
      <c r="G4" s="8" t="str">
        <f>IFERROR(__xludf.DUMMYFUNCTION(" GOOGLETRANSLATE(A4, ""en"", ""am"")"),"3")</f>
        <v>3</v>
      </c>
      <c r="H4" s="8" t="str">
        <f>IFERROR(__xludf.DUMMYFUNCTION(" GOOGLETRANSLATE(B4, ""en"", ""am"")"),"አንድ ተጫዋች ኳሱን ከማለፉ በፊት የሚይዘው ከፍተኛው ጊዜ ስንት ነው?")</f>
        <v>አንድ ተጫዋች ኳሱን ከማለፉ በፊት የሚይዘው ከፍተኛው ጊዜ ስንት ነው?</v>
      </c>
      <c r="I4" s="8" t="str">
        <f>IFERROR(__xludf.DUMMYFUNCTION(" GOOGLETRANSLATE(C4, ""en"", ""am"")"),"ሀ. 5 ሰከንድ ለ. 3 ሰከንድ ሐ. 10 ሰከንድ መ. 15 ሰከንድ")</f>
        <v>ሀ. 5 ሰከንድ ለ. 3 ሰከንድ ሐ. 10 ሰከንድ መ. 15 ሰከንድ</v>
      </c>
      <c r="J4" s="8" t="str">
        <f>IFERROR(__xludf.DUMMYFUNCTION(" GOOGLETRANSLATE(D4, ""en"", ""am"")"),"5 ሰከንድ")</f>
        <v>5 ሰከንድ</v>
      </c>
      <c r="K4" s="8" t="str">
        <f>IFERROR(__xludf.DUMMYFUNCTION(" GOOGLETRANSLATE(E4, ""en"", ""am"")"),"ተጫዋቾች ኳሱን ከማለፉ በፊት ቢበዛ ለ 5 ሰከንድ እንዲይዙ ይፈቀድላቸዋል።")</f>
        <v>ተጫዋቾች ኳሱን ከማለፉ በፊት ቢበዛ ለ 5 ሰከንድ እንዲይዙ ይፈቀድላቸዋል።</v>
      </c>
    </row>
    <row r="5" ht="22.5" customHeight="1">
      <c r="A5" s="13">
        <v>4.0</v>
      </c>
      <c r="B5" s="14" t="s">
        <v>1904</v>
      </c>
      <c r="C5" s="14" t="s">
        <v>1905</v>
      </c>
      <c r="D5" s="14" t="s">
        <v>1906</v>
      </c>
      <c r="E5" s="14" t="s">
        <v>1907</v>
      </c>
      <c r="G5" s="8" t="str">
        <f>IFERROR(__xludf.DUMMYFUNCTION(" GOOGLETRANSLATE(A5, ""en"", ""am"")"),"4")</f>
        <v>4</v>
      </c>
      <c r="H5" s="8" t="str">
        <f>IFERROR(__xludf.DUMMYFUNCTION(" GOOGLETRANSLATE(B5, ""en"", ""am"")"),"አንድ ተጫዋች ሆን ብሎ ኳሱን ከሌለ ሌላ ተጫዋች ቢያግድ ምን ይሆናል?")</f>
        <v>አንድ ተጫዋች ሆን ብሎ ኳሱን ከሌለ ሌላ ተጫዋች ቢያግድ ምን ይሆናል?</v>
      </c>
      <c r="I5" s="8" t="str">
        <f>IFERROR(__xludf.DUMMYFUNCTION(" GOOGLETRANSLATE(C5, ""en"", ""am"")"),"ሀ. ጥፋት ይባላል። ለ. ጨዋታው ቀጥሏል። ሐ. ተጫዋቹ ለእገዳው ማስጠንቀቂያ ይደርሰዋል። መ. ቡድኑ በ1 ነጥብ ተሸንፏል።")</f>
        <v>ሀ. ጥፋት ይባላል። ለ. ጨዋታው ቀጥሏል። ሐ. ተጫዋቹ ለእገዳው ማስጠንቀቂያ ይደርሰዋል። መ. ቡድኑ በ1 ነጥብ ተሸንፏል።</v>
      </c>
      <c r="J5" s="8" t="str">
        <f>IFERROR(__xludf.DUMMYFUNCTION(" GOOGLETRANSLATE(D5, ""en"", ""am"")"),"ጥፋት ይባላል።")</f>
        <v>ጥፋት ይባላል።</v>
      </c>
      <c r="K5" s="8" t="str">
        <f>IFERROR(__xludf.DUMMYFUNCTION(" GOOGLETRANSLATE(E5, ""en"", ""am"")"),"ሆን ብሎ ኳስን መከልከል በአፉላ እንደ ጥፋት ይቆጠራል።")</f>
        <v>ሆን ብሎ ኳስን መከልከል በአፉላ እንደ ጥፋት ይቆጠራል።</v>
      </c>
    </row>
    <row r="6" ht="22.5" customHeight="1">
      <c r="A6" s="13">
        <v>5.0</v>
      </c>
      <c r="B6" s="14" t="s">
        <v>1908</v>
      </c>
      <c r="C6" s="14" t="s">
        <v>1909</v>
      </c>
      <c r="D6" s="14" t="s">
        <v>1910</v>
      </c>
      <c r="E6" s="14" t="s">
        <v>1911</v>
      </c>
      <c r="G6" s="8" t="str">
        <f>IFERROR(__xludf.DUMMYFUNCTION(" GOOGLETRANSLATE(A6, ""en"", ""am"")"),"5")</f>
        <v>5</v>
      </c>
      <c r="H6" s="8" t="str">
        <f>IFERROR(__xludf.DUMMYFUNCTION(" GOOGLETRANSLATE(B6, ""en"", ""am"")"),"ለእያንዳንዱ ቡድን በአንድ ጊዜ ምን ያህል ተጫዋቾች በሜዳ ላይ ይፈቀድላቸዋል?")</f>
        <v>ለእያንዳንዱ ቡድን በአንድ ጊዜ ምን ያህል ተጫዋቾች በሜዳ ላይ ይፈቀድላቸዋል?</v>
      </c>
      <c r="I6" s="8" t="str">
        <f>IFERROR(__xludf.DUMMYFUNCTION(" GOOGLETRANSLATE(C6, ""en"", ""am"")"),"ሀ. 7 ተጫዋቾች ለ. 5 ተጫዋቾች ሐ. 9 ተጫዋቾች D. 11 ተጫዋቾች")</f>
        <v>ሀ. 7 ተጫዋቾች ለ. 5 ተጫዋቾች ሐ. 9 ተጫዋቾች D. 11 ተጫዋቾች</v>
      </c>
      <c r="J6" s="8" t="str">
        <f>IFERROR(__xludf.DUMMYFUNCTION(" GOOGLETRANSLATE(D6, ""en"", ""am"")"),"7 ተጫዋቾች")</f>
        <v>7 ተጫዋቾች</v>
      </c>
      <c r="K6" s="8" t="str">
        <f>IFERROR(__xludf.DUMMYFUNCTION(" GOOGLETRANSLATE(E6, ""en"", ""am"")"),"እያንዳንዱ ቡድን በአንድ ጊዜ 7 ተጫዋቾች በሜዳ ላይ እንዲኖራቸው ተፈቅዶላቸዋል።")</f>
        <v>እያንዳንዱ ቡድን በአንድ ጊዜ 7 ተጫዋቾች በሜዳ ላይ እንዲኖራቸው ተፈቅዶላቸዋል።</v>
      </c>
    </row>
    <row r="7" ht="22.5" customHeight="1">
      <c r="A7" s="13">
        <v>6.0</v>
      </c>
      <c r="B7" s="14" t="s">
        <v>1912</v>
      </c>
      <c r="C7" s="14" t="s">
        <v>1913</v>
      </c>
      <c r="D7" s="14" t="s">
        <v>1914</v>
      </c>
      <c r="E7" s="14" t="s">
        <v>1915</v>
      </c>
      <c r="G7" s="8" t="str">
        <f>IFERROR(__xludf.DUMMYFUNCTION(" GOOGLETRANSLATE(A7, ""en"", ""am"")"),"6")</f>
        <v>6</v>
      </c>
      <c r="H7" s="8" t="str">
        <f>IFERROR(__xludf.DUMMYFUNCTION(" GOOGLETRANSLATE(B7, ""en"", ""am"")"),"ኳሱን ይዞ ከወሰን ውጪ የመውጣት ቅጣት ምንድነው?")</f>
        <v>ኳሱን ይዞ ከወሰን ውጪ የመውጣት ቅጣት ምንድነው?</v>
      </c>
      <c r="I7" s="8" t="str">
        <f>IFERROR(__xludf.DUMMYFUNCTION(" GOOGLETRANSLATE(C7, ""en"", ""am"")"),"ሀ. ንብረት መጥፋት ለ. ለተቃራኒ ቡድን ነፃ ውርወራ C. Turnaround D. ምንም ቅጣት የለም።")</f>
        <v>ሀ. ንብረት መጥፋት ለ. ለተቃራኒ ቡድን ነፃ ውርወራ C. Turnaround D. ምንም ቅጣት የለም።</v>
      </c>
      <c r="J7" s="8" t="str">
        <f>IFERROR(__xludf.DUMMYFUNCTION(" GOOGLETRANSLATE(D7, ""en"", ""am"")"),"የንብረት መጥፋት")</f>
        <v>የንብረት መጥፋት</v>
      </c>
      <c r="K7" s="8" t="str">
        <f>IFERROR(__xludf.DUMMYFUNCTION(" GOOGLETRANSLATE(E7, ""en"", ""am"")"),"ከኳስ ጋር ከድንበር መውጣት የኳስ መጥፋት ያስከትላል።")</f>
        <v>ከኳስ ጋር ከድንበር መውጣት የኳስ መጥፋት ያስከትላል።</v>
      </c>
    </row>
    <row r="8" ht="22.5" customHeight="1">
      <c r="A8" s="13">
        <v>7.0</v>
      </c>
      <c r="B8" s="14" t="s">
        <v>1916</v>
      </c>
      <c r="C8" s="14" t="s">
        <v>1917</v>
      </c>
      <c r="D8" s="14" t="s">
        <v>1918</v>
      </c>
      <c r="E8" s="14" t="s">
        <v>1919</v>
      </c>
      <c r="G8" s="8" t="str">
        <f>IFERROR(__xludf.DUMMYFUNCTION(" GOOGLETRANSLATE(A8, ""en"", ""am"")"),"7")</f>
        <v>7</v>
      </c>
      <c r="H8" s="8" t="str">
        <f>IFERROR(__xludf.DUMMYFUNCTION(" GOOGLETRANSLATE(B8, ""en"", ""am"")"),"በጨዋታው ወቅት ኳሱ መሬት ቢነካ ምን ይሆናል?")</f>
        <v>በጨዋታው ወቅት ኳሱ መሬት ቢነካ ምን ይሆናል?</v>
      </c>
      <c r="I8" s="8" t="str">
        <f>IFERROR(__xludf.DUMMYFUNCTION(" GOOGLETRANSLATE(C8, ""en"", ""am"")"),"ሀ ጨዋታው ቀጥሏል። ለ. በባለቤትነት ላይ የተደረጉ ለውጦች ሐ. ጨዋታው እንደገና ተጀምሯል። መ. ቡድኑ በ1 ነጥብ ተሸንፏል።")</f>
        <v>ሀ ጨዋታው ቀጥሏል። ለ. በባለቤትነት ላይ የተደረጉ ለውጦች ሐ. ጨዋታው እንደገና ተጀምሯል። መ. ቡድኑ በ1 ነጥብ ተሸንፏል።</v>
      </c>
      <c r="J8" s="8" t="str">
        <f>IFERROR(__xludf.DUMMYFUNCTION(" GOOGLETRANSLATE(D8, ""en"", ""am"")"),"የባለቤትነት ለውጦች")</f>
        <v>የባለቤትነት ለውጦች</v>
      </c>
      <c r="K8" s="8" t="str">
        <f>IFERROR(__xludf.DUMMYFUNCTION(" GOOGLETRANSLATE(E8, ""en"", ""am"")"),"ኳሱ መሬት ከነካ የኳስ ቁጥጥር ለተቃራኒ ቡድን ይሰጣል።")</f>
        <v>ኳሱ መሬት ከነካ የኳስ ቁጥጥር ለተቃራኒ ቡድን ይሰጣል።</v>
      </c>
    </row>
    <row r="9" ht="22.5" customHeight="1">
      <c r="A9" s="13">
        <v>8.0</v>
      </c>
      <c r="B9" s="14" t="s">
        <v>1920</v>
      </c>
      <c r="C9" s="14" t="s">
        <v>1921</v>
      </c>
      <c r="D9" s="14" t="s">
        <v>1922</v>
      </c>
      <c r="E9" s="14" t="s">
        <v>1923</v>
      </c>
      <c r="G9" s="8" t="str">
        <f>IFERROR(__xludf.DUMMYFUNCTION(" GOOGLETRANSLATE(A9, ""en"", ""am"")"),"8")</f>
        <v>8</v>
      </c>
      <c r="H9" s="8" t="str">
        <f>IFERROR(__xludf.DUMMYFUNCTION(" GOOGLETRANSLATE(B9, ""en"", ""am"")"),"ጎል ከተቆጠረ በኋላ ጨዋታው እንዴት ይጀምራል?")</f>
        <v>ጎል ከተቆጠረ በኋላ ጨዋታው እንዴት ይጀምራል?</v>
      </c>
      <c r="I9" s="8" t="str">
        <f>IFERROR(__xludf.DUMMYFUNCTION(" GOOGLETRANSLATE(C9, ""en"", ""am"")"),"ሀ/ ጎል አስቆጣሪ ቡድን ከዞናቸው ይጀምራል። ለ) ተቃራኒ ቡድን ከዞናቸው ይጀምራል። ሐ. ገለልተኛ መወርወር ይደረጋል. መ. ኳሱ መሃል ላይ ይጣላል.")</f>
        <v>ሀ/ ጎል አስቆጣሪ ቡድን ከዞናቸው ይጀምራል። ለ) ተቃራኒ ቡድን ከዞናቸው ይጀምራል። ሐ. ገለልተኛ መወርወር ይደረጋል. መ. ኳሱ መሃል ላይ ይጣላል.</v>
      </c>
      <c r="J9" s="8" t="str">
        <f>IFERROR(__xludf.DUMMYFUNCTION(" GOOGLETRANSLATE(D9, ""en"", ""am"")"),"ተጋጣሚው ቡድን ከዞናቸው ይጀምራል።")</f>
        <v>ተጋጣሚው ቡድን ከዞናቸው ይጀምራል።</v>
      </c>
      <c r="K9" s="8" t="str">
        <f>IFERROR(__xludf.DUMMYFUNCTION(" GOOGLETRANSLATE(E9, ""en"", ""am"")"),"ከጎል በኋላ ተጋጣሚው ቡድን ጨዋታውን ከተመደበው ዞን ይጀምራል።")</f>
        <v>ከጎል በኋላ ተጋጣሚው ቡድን ጨዋታውን ከተመደበው ዞን ይጀምራል።</v>
      </c>
    </row>
    <row r="10" ht="22.5" customHeight="1">
      <c r="A10" s="13">
        <v>9.0</v>
      </c>
      <c r="B10" s="14" t="s">
        <v>1924</v>
      </c>
      <c r="C10" s="14" t="s">
        <v>1925</v>
      </c>
      <c r="D10" s="14" t="s">
        <v>1551</v>
      </c>
      <c r="E10" s="14" t="s">
        <v>1926</v>
      </c>
      <c r="G10" s="8" t="str">
        <f>IFERROR(__xludf.DUMMYFUNCTION(" GOOGLETRANSLATE(A10, ""en"", ""am"")"),"9")</f>
        <v>9</v>
      </c>
      <c r="H10" s="8" t="str">
        <f>IFERROR(__xludf.DUMMYFUNCTION(" GOOGLETRANSLATE(B10, ""en"", ""am"")"),"በውጤት መስጫ ቦታ ላይ ለተፈፀመው ጥፋት ስንት ነጥብ ይቀነሳል?")</f>
        <v>በውጤት መስጫ ቦታ ላይ ለተፈፀመው ጥፋት ስንት ነጥብ ይቀነሳል?</v>
      </c>
      <c r="I10" s="8" t="str">
        <f>IFERROR(__xludf.DUMMYFUNCTION(" GOOGLETRANSLATE(C10, ""en"", ""am"")"),"ሀ.2 ነጥብ ለ. 3 ነጥብ ሐ. 5 ነጥብ መ. 1 ነጥብ")</f>
        <v>ሀ.2 ነጥብ ለ. 3 ነጥብ ሐ. 5 ነጥብ መ. 1 ነጥብ</v>
      </c>
      <c r="J10" s="8" t="str">
        <f>IFERROR(__xludf.DUMMYFUNCTION(" GOOGLETRANSLATE(D10, ""en"", ""am"")"),"3 ነጥብ")</f>
        <v>3 ነጥብ</v>
      </c>
      <c r="K10" s="8" t="str">
        <f>IFERROR(__xludf.DUMMYFUNCTION(" GOOGLETRANSLATE(E10, ""en"", ""am"")"),"በውጤት ሰሌዳው ላይ የተፈጸመ ጥፋት 3-ነጥብ ቅጣት ያስከትላል።")</f>
        <v>በውጤት ሰሌዳው ላይ የተፈጸመ ጥፋት 3-ነጥብ ቅጣት ያስከትላል።</v>
      </c>
    </row>
    <row r="11" ht="22.5" customHeight="1">
      <c r="A11" s="13">
        <v>10.0</v>
      </c>
      <c r="B11" s="14" t="s">
        <v>1927</v>
      </c>
      <c r="C11" s="14" t="s">
        <v>1928</v>
      </c>
      <c r="D11" s="14" t="s">
        <v>1929</v>
      </c>
      <c r="E11" s="14" t="s">
        <v>1930</v>
      </c>
      <c r="G11" s="8" t="str">
        <f>IFERROR(__xludf.DUMMYFUNCTION(" GOOGLETRANSLATE(A11, ""en"", ""am"")"),"10")</f>
        <v>10</v>
      </c>
      <c r="H11" s="8" t="str">
        <f>IFERROR(__xludf.DUMMYFUNCTION(" GOOGLETRANSLATE(B11, ""en"", ""am"")"),"በአንድ ጨዋታ ውስጥ የሚፈቀደው ከፍተኛው የመተካት ብዛት ስንት ነው?")</f>
        <v>በአንድ ጨዋታ ውስጥ የሚፈቀደው ከፍተኛው የመተካት ብዛት ስንት ነው?</v>
      </c>
      <c r="I11" s="8" t="str">
        <f>IFERROR(__xludf.DUMMYFUNCTION(" GOOGLETRANSLATE(C11, ""en"", ""am"")"),"ሀ.3 ተተኪዎች ለ. 5 ተተኪዎች ሐ. ያልተገደበ ምትክ መ. 2 ተተኪዎች")</f>
        <v>ሀ.3 ተተኪዎች ለ. 5 ተተኪዎች ሐ. ያልተገደበ ምትክ መ. 2 ተተኪዎች</v>
      </c>
      <c r="J11" s="8" t="str">
        <f>IFERROR(__xludf.DUMMYFUNCTION(" GOOGLETRANSLATE(D11, ""en"", ""am"")"),"5 ተተኪዎች")</f>
        <v>5 ተተኪዎች</v>
      </c>
      <c r="K11" s="8" t="str">
        <f>IFERROR(__xludf.DUMMYFUNCTION(" GOOGLETRANSLATE(E11, ""en"", ""am"")"),"ቡድኖች በአፉላ ውስጥ በአንድ ጨዋታ ቢበዛ 5 ተተኪዎች ተፈቅዶላቸዋል።")</f>
        <v>ቡድኖች በአፉላ ውስጥ በአንድ ጨዋታ ቢበዛ 5 ተተኪዎች ተፈቅዶላቸዋል።</v>
      </c>
    </row>
    <row r="12" ht="22.5" customHeight="1">
      <c r="A12" s="13">
        <v>11.0</v>
      </c>
      <c r="B12" s="14" t="s">
        <v>1931</v>
      </c>
      <c r="C12" s="14" t="s">
        <v>1932</v>
      </c>
      <c r="D12" s="14" t="s">
        <v>1933</v>
      </c>
      <c r="E12" s="14" t="s">
        <v>1934</v>
      </c>
      <c r="G12" s="8" t="str">
        <f>IFERROR(__xludf.DUMMYFUNCTION(" GOOGLETRANSLATE(A12, ""en"", ""am"")"),"11")</f>
        <v>11</v>
      </c>
      <c r="H12" s="8" t="str">
        <f>IFERROR(__xludf.DUMMYFUNCTION(" GOOGLETRANSLATE(B12, ""en"", ""am"")"),"በአፉላ ቡድን ውስጥ የሚፈቀደው ከፍተኛው የተጫዋቾች ብዛት ስንት ነው?")</f>
        <v>በአፉላ ቡድን ውስጥ የሚፈቀደው ከፍተኛው የተጫዋቾች ብዛት ስንት ነው?</v>
      </c>
      <c r="I12" s="8" t="str">
        <f>IFERROR(__xludf.DUMMYFUNCTION(" GOOGLETRANSLATE(C12, ""en"", ""am"")"),"ሀ. 5 ተጫዋቾች ለ. 6 ተጫዋቾች ሐ. 7 ተጫዋቾች D. 8 ተጫዋቾች")</f>
        <v>ሀ. 5 ተጫዋቾች ለ. 6 ተጫዋቾች ሐ. 7 ተጫዋቾች D. 8 ተጫዋቾች</v>
      </c>
      <c r="J12" s="8" t="str">
        <f>IFERROR(__xludf.DUMMYFUNCTION(" GOOGLETRANSLATE(D12, ""en"", ""am"")"),"6 ተጫዋቾች")</f>
        <v>6 ተጫዋቾች</v>
      </c>
      <c r="K12" s="8" t="str">
        <f>IFERROR(__xludf.DUMMYFUNCTION(" GOOGLETRANSLATE(E12, ""en"", ""am"")"),"በይፋዊው ህግ መሰረት እያንዳንዱ ቡድን ቢበዛ 6 ተጫዋቾች ሊኖሩት ይችላል።")</f>
        <v>በይፋዊው ህግ መሰረት እያንዳንዱ ቡድን ቢበዛ 6 ተጫዋቾች ሊኖሩት ይችላል።</v>
      </c>
    </row>
    <row r="13" ht="22.5" customHeight="1">
      <c r="A13" s="13">
        <v>12.0</v>
      </c>
      <c r="B13" s="14" t="s">
        <v>1935</v>
      </c>
      <c r="C13" s="14" t="s">
        <v>1936</v>
      </c>
      <c r="D13" s="14" t="s">
        <v>1551</v>
      </c>
      <c r="E13" s="14" t="s">
        <v>1937</v>
      </c>
      <c r="G13" s="8" t="str">
        <f>IFERROR(__xludf.DUMMYFUNCTION(" GOOGLETRANSLATE(A13, ""en"", ""am"")"),"12")</f>
        <v>12</v>
      </c>
      <c r="H13" s="8" t="str">
        <f>IFERROR(__xludf.DUMMYFUNCTION(" GOOGLETRANSLATE(B13, ""en"", ""am"")"),"የአፉላ ዲስኩን በተሳካ ሁኔታ ወደ መሃል ክበብ ለመጣል ስንት ነጥቦች ተሰጥተዋል?")</f>
        <v>የአፉላ ዲስኩን በተሳካ ሁኔታ ወደ መሃል ክበብ ለመጣል ስንት ነጥቦች ተሰጥተዋል?</v>
      </c>
      <c r="I13" s="8" t="str">
        <f>IFERROR(__xludf.DUMMYFUNCTION(" GOOGLETRANSLATE(C13, ""en"", ""am"")"),"ሀ. 1 ነጥብ ለ. 2 ነጥብ ሐ. 3 ነጥብ መ. 5 ነጥብ")</f>
        <v>ሀ. 1 ነጥብ ለ. 2 ነጥብ ሐ. 3 ነጥብ መ. 5 ነጥብ</v>
      </c>
      <c r="J13" s="8" t="str">
        <f>IFERROR(__xludf.DUMMYFUNCTION(" GOOGLETRANSLATE(D13, ""en"", ""am"")"),"3 ነጥብ")</f>
        <v>3 ነጥብ</v>
      </c>
      <c r="K13" s="8" t="str">
        <f>IFERROR(__xludf.DUMMYFUNCTION(" GOOGLETRANSLATE(E13, ""en"", ""am"")"),"ዲስኩን ወደ መሃል ክበብ መወርወር በአፉላ ህግ መሰረት 3 ነጥብ ያገኛል።")</f>
        <v>ዲስኩን ወደ መሃል ክበብ መወርወር በአፉላ ህግ መሰረት 3 ነጥብ ያገኛል።</v>
      </c>
    </row>
    <row r="14" ht="22.5" customHeight="1">
      <c r="A14" s="13">
        <v>13.0</v>
      </c>
      <c r="B14" s="14" t="s">
        <v>1938</v>
      </c>
      <c r="C14" s="14" t="s">
        <v>1939</v>
      </c>
      <c r="D14" s="14" t="s">
        <v>1940</v>
      </c>
      <c r="E14" s="14" t="s">
        <v>1941</v>
      </c>
      <c r="G14" s="8" t="str">
        <f>IFERROR(__xludf.DUMMYFUNCTION(" GOOGLETRANSLATE(A14, ""en"", ""am"")"),"13")</f>
        <v>13</v>
      </c>
      <c r="H14" s="8" t="str">
        <f>IFERROR(__xludf.DUMMYFUNCTION(" GOOGLETRANSLATE(B14, ""en"", ""am"")"),"አንድ ተጫዋች ዲስኩን ሲይዝ ከድንበር ቢወጣ ምን ይከሰታል?")</f>
        <v>አንድ ተጫዋች ዲስኩን ሲይዝ ከድንበር ቢወጣ ምን ይከሰታል?</v>
      </c>
      <c r="I14" s="8" t="str">
        <f>IFERROR(__xludf.DUMMYFUNCTION(" GOOGLETRANSLATE(C14, ""en"", ""am"")"),"ሀ. የቅጣት ነጥብ ለ. መዞር ሐ. መጥፎ ማስጠንቀቂያ መ. ምንም")</f>
        <v>ሀ. የቅጣት ነጥብ ለ. መዞር ሐ. መጥፎ ማስጠንቀቂያ መ. ምንም</v>
      </c>
      <c r="J14" s="8" t="str">
        <f>IFERROR(__xludf.DUMMYFUNCTION(" GOOGLETRANSLATE(D14, ""en"", ""am"")"),"መዞር")</f>
        <v>መዞር</v>
      </c>
      <c r="K14" s="8" t="str">
        <f>IFERROR(__xludf.DUMMYFUNCTION(" GOOGLETRANSLATE(E14, ""en"", ""am"")"),"ከድንበር መውጣት የባለቤትነት መብትን ወደ ተቃራኒ ቡድን ማስተላለፍን ያስከትላል።")</f>
        <v>ከድንበር መውጣት የባለቤትነት መብትን ወደ ተቃራኒ ቡድን ማስተላለፍን ያስከትላል።</v>
      </c>
    </row>
    <row r="15" ht="22.5" customHeight="1">
      <c r="A15" s="13">
        <v>14.0</v>
      </c>
      <c r="B15" s="14" t="s">
        <v>1942</v>
      </c>
      <c r="C15" s="14" t="s">
        <v>1943</v>
      </c>
      <c r="D15" s="14" t="s">
        <v>1944</v>
      </c>
      <c r="E15" s="14" t="s">
        <v>1945</v>
      </c>
      <c r="G15" s="8" t="str">
        <f>IFERROR(__xludf.DUMMYFUNCTION(" GOOGLETRANSLATE(A15, ""en"", ""am"")"),"14")</f>
        <v>14</v>
      </c>
      <c r="H15" s="8" t="str">
        <f>IFERROR(__xludf.DUMMYFUNCTION(" GOOGLETRANSLATE(B15, ""en"", ""am"")"),"አንድ ተጫዋች ዲስኩን ከተቀበለ በኋላ ለምን ያህል ጊዜ መጣል አለበት?")</f>
        <v>አንድ ተጫዋች ዲስኩን ከተቀበለ በኋላ ለምን ያህል ጊዜ መጣል አለበት?</v>
      </c>
      <c r="I15" s="8" t="str">
        <f>IFERROR(__xludf.DUMMYFUNCTION(" GOOGLETRANSLATE(C15, ""en"", ""am"")"),"ሀ. 5 ሰከንድ ለ. 8 ሰከንድ ሐ. 10 ሰከንድ መ. 15 ሰከንድ")</f>
        <v>ሀ. 5 ሰከንድ ለ. 8 ሰከንድ ሐ. 10 ሰከንድ መ. 15 ሰከንድ</v>
      </c>
      <c r="J15" s="8" t="str">
        <f>IFERROR(__xludf.DUMMYFUNCTION(" GOOGLETRANSLATE(D15, ""en"", ""am"")"),"8 ሰከንድ")</f>
        <v>8 ሰከንድ</v>
      </c>
      <c r="K15" s="8" t="str">
        <f>IFERROR(__xludf.DUMMYFUNCTION(" GOOGLETRANSLATE(E15, ""en"", ""am"")"),"ተጫዋቾች ዲስኩን ከተቀበሉ በኋላ እንዲወረውሩ ቢበዛ 8 ሰከንድ ይፈቀድላቸዋል።")</f>
        <v>ተጫዋቾች ዲስኩን ከተቀበሉ በኋላ እንዲወረውሩ ቢበዛ 8 ሰከንድ ይፈቀድላቸዋል።</v>
      </c>
    </row>
    <row r="16" ht="22.5" customHeight="1">
      <c r="A16" s="13">
        <v>15.0</v>
      </c>
      <c r="B16" s="14" t="s">
        <v>1946</v>
      </c>
      <c r="C16" s="14" t="s">
        <v>1947</v>
      </c>
      <c r="D16" s="14" t="s">
        <v>1948</v>
      </c>
      <c r="E16" s="14" t="s">
        <v>1949</v>
      </c>
      <c r="G16" s="8" t="str">
        <f>IFERROR(__xludf.DUMMYFUNCTION(" GOOGLETRANSLATE(A16, ""en"", ""am"")"),"15")</f>
        <v>15</v>
      </c>
      <c r="H16" s="8" t="str">
        <f>IFERROR(__xludf.DUMMYFUNCTION(" GOOGLETRANSLATE(B16, ""en"", ""am"")"),"አንድ ተቃራኒ ተጫዋች ከዲስከስ ተወርዋሪው መጠበቅ ያለበት ዝቅተኛው ርቀት ምን ያህል ነው?")</f>
        <v>አንድ ተቃራኒ ተጫዋች ከዲስከስ ተወርዋሪው መጠበቅ ያለበት ዝቅተኛው ርቀት ምን ያህል ነው?</v>
      </c>
      <c r="I16" s="8" t="str">
        <f>IFERROR(__xludf.DUMMYFUNCTION(" GOOGLETRANSLATE(C16, ""en"", ""am"")"),"A. 1 ሜትር B. 2m C. 3 meters D. ዝቅተኛ ርቀት የለም።")</f>
        <v>A. 1 ሜትር B. 2m C. 3 meters D. ዝቅተኛ ርቀት የለም።</v>
      </c>
      <c r="J16" s="8" t="str">
        <f>IFERROR(__xludf.DUMMYFUNCTION(" GOOGLETRANSLATE(D16, ""en"", ""am"")"),"1 ሜትር")</f>
        <v>1 ሜትር</v>
      </c>
      <c r="K16" s="8" t="str">
        <f>IFERROR(__xludf.DUMMYFUNCTION(" GOOGLETRANSLATE(E16, ""en"", ""am"")"),"ተቃዋሚ ተጫዋቾች ከዲስክ መያዣው ቢያንስ 1 ሜትር ርቀት መጠበቅ አለባቸው።")</f>
        <v>ተቃዋሚ ተጫዋቾች ከዲስክ መያዣው ቢያንስ 1 ሜትር ርቀት መጠበቅ አለባቸው።</v>
      </c>
    </row>
    <row r="17" ht="22.5" customHeight="1">
      <c r="A17" s="13">
        <v>16.0</v>
      </c>
      <c r="B17" s="14" t="s">
        <v>1950</v>
      </c>
      <c r="C17" s="14" t="s">
        <v>1951</v>
      </c>
      <c r="D17" s="14" t="s">
        <v>1952</v>
      </c>
      <c r="E17" s="14" t="s">
        <v>1953</v>
      </c>
      <c r="G17" s="8" t="str">
        <f>IFERROR(__xludf.DUMMYFUNCTION(" GOOGLETRANSLATE(A17, ""en"", ""am"")"),"16")</f>
        <v>16</v>
      </c>
      <c r="H17" s="8" t="str">
        <f>IFERROR(__xludf.DUMMYFUNCTION(" GOOGLETRANSLATE(B17, ""en"", ""am"")"),"ከጨዋታው በፍጥነት ለመውጣት ምን እርምጃ ነው?")</f>
        <v>ከጨዋታው በፍጥነት ለመውጣት ምን እርምጃ ነው?</v>
      </c>
      <c r="I17" s="8" t="str">
        <f>IFERROR(__xludf.DUMMYFUNCTION(" GOOGLETRANSLATE(C17, ""en"", ""am"")"),"ሀ. ዲስኩን በሀይል መወርወር B. ዳኛውን በቃላት መሳደብ ሐ. ዲስኩን ከ10 ሰከንድ በላይ በመያዝ መ. መካከለኛውን መስመር ማለፍ")</f>
        <v>ሀ. ዲስኩን በሀይል መወርወር B. ዳኛውን በቃላት መሳደብ ሐ. ዲስኩን ከ10 ሰከንድ በላይ በመያዝ መ. መካከለኛውን መስመር ማለፍ</v>
      </c>
      <c r="J17" s="8" t="str">
        <f>IFERROR(__xludf.DUMMYFUNCTION(" GOOGLETRANSLATE(D17, ""en"", ""am"")"),"ዳኛውን በቃል መሳደብ")</f>
        <v>ዳኛውን በቃል መሳደብ</v>
      </c>
      <c r="K17" s="8" t="str">
        <f>IFERROR(__xludf.DUMMYFUNCTION(" GOOGLETRANSLATE(E17, ""en"", ""am"")"),"ስፖርታዊ ጨዋነትን ለማስጠበቅ በዳኛው ላይ የሚደርስ የቃላት ስድብ ወዲያውኑ ከጨዋታው መባረርን ያስከትላል።")</f>
        <v>ስፖርታዊ ጨዋነትን ለማስጠበቅ በዳኛው ላይ የሚደርስ የቃላት ስድብ ወዲያውኑ ከጨዋታው መባረርን ያስከትላል።</v>
      </c>
    </row>
    <row r="18" ht="22.5" customHeight="1">
      <c r="A18" s="13">
        <v>17.0</v>
      </c>
      <c r="B18" s="14" t="s">
        <v>1954</v>
      </c>
      <c r="C18" s="14" t="s">
        <v>1955</v>
      </c>
      <c r="D18" s="14" t="s">
        <v>1956</v>
      </c>
      <c r="E18" s="14" t="s">
        <v>1957</v>
      </c>
      <c r="G18" s="8" t="str">
        <f>IFERROR(__xludf.DUMMYFUNCTION(" GOOGLETRANSLATE(A18, ""en"", ""am"")"),"17")</f>
        <v>17</v>
      </c>
      <c r="H18" s="8" t="str">
        <f>IFERROR(__xludf.DUMMYFUNCTION(" GOOGLETRANSLATE(B18, ""en"", ""am"")"),"በመደበኛው ሲዝን ስንት የውድድር ዘመን ተጫውተዋል?")</f>
        <v>በመደበኛው ሲዝን ስንት የውድድር ዘመን ተጫውተዋል?</v>
      </c>
      <c r="I18" s="8" t="str">
        <f>IFERROR(__xludf.DUMMYFUNCTION(" GOOGLETRANSLATE(C18, ""en"", ""am"")"),"ሀ. 1 ጊዜ ለ. 2 ወቅቶች ሐ. 3 ወቅቶች መ. 4 ወቅቶች")</f>
        <v>ሀ. 1 ጊዜ ለ. 2 ወቅቶች ሐ. 3 ወቅቶች መ. 4 ወቅቶች</v>
      </c>
      <c r="J18" s="8" t="str">
        <f>IFERROR(__xludf.DUMMYFUNCTION(" GOOGLETRANSLATE(D18, ""en"", ""am"")"),"4 ወቅቶች")</f>
        <v>4 ወቅቶች</v>
      </c>
      <c r="K18" s="8" t="str">
        <f>IFERROR(__xludf.DUMMYFUNCTION(" GOOGLETRANSLATE(E18, ""en"", ""am"")"),"የአፉላ ጨዋታ በኦፊሴላዊው ህግ መሰረት 4 ጊዜዎችን ያካትታል።")</f>
        <v>የአፉላ ጨዋታ በኦፊሴላዊው ህግ መሰረት 4 ጊዜዎችን ያካትታል።</v>
      </c>
    </row>
    <row r="19" ht="22.5" customHeight="1">
      <c r="A19" s="13">
        <v>18.0</v>
      </c>
      <c r="B19" s="14" t="s">
        <v>1958</v>
      </c>
      <c r="C19" s="14" t="s">
        <v>1959</v>
      </c>
      <c r="D19" s="14" t="s">
        <v>1960</v>
      </c>
      <c r="E19" s="14" t="s">
        <v>1961</v>
      </c>
      <c r="G19" s="8" t="str">
        <f>IFERROR(__xludf.DUMMYFUNCTION(" GOOGLETRANSLATE(A19, ""en"", ""am"")"),"18")</f>
        <v>18</v>
      </c>
      <c r="H19" s="8" t="str">
        <f>IFERROR(__xludf.DUMMYFUNCTION(" GOOGLETRANSLATE(B19, ""en"", ""am"")"),"በአፉላ ግጥሚያ ውስጥ ያለው እያንዳንዱ የወር አበባ ምን ያህል ጊዜ ነው?")</f>
        <v>በአፉላ ግጥሚያ ውስጥ ያለው እያንዳንዱ የወር አበባ ምን ያህል ጊዜ ነው?</v>
      </c>
      <c r="I19" s="8" t="str">
        <f>IFERROR(__xludf.DUMMYFUNCTION(" GOOGLETRANSLATE(C19, ""en"", ""am"")"),"ሀ. 10 ደቂቃ ለ. 12 ደቂቃ ሐ. 15 ደቂቃ መ. 20 ደቂቃ")</f>
        <v>ሀ. 10 ደቂቃ ለ. 12 ደቂቃ ሐ. 15 ደቂቃ መ. 20 ደቂቃ</v>
      </c>
      <c r="J19" s="8" t="str">
        <f>IFERROR(__xludf.DUMMYFUNCTION(" GOOGLETRANSLATE(D19, ""en"", ""am"")"),"15 ደቂቃዎች")</f>
        <v>15 ደቂቃዎች</v>
      </c>
      <c r="K19" s="8" t="str">
        <f>IFERROR(__xludf.DUMMYFUNCTION(" GOOGLETRANSLATE(E19, ""en"", ""am"")"),"በአምፊቲያትር ውስጥ ያለው እያንዳንዱ ክፍለ ጊዜ 15 ደቂቃዎች ይቆያል.")</f>
        <v>በአምፊቲያትር ውስጥ ያለው እያንዳንዱ ክፍለ ጊዜ 15 ደቂቃዎች ይቆያል.</v>
      </c>
    </row>
    <row r="20" ht="22.5" customHeight="1">
      <c r="A20" s="13">
        <v>19.0</v>
      </c>
      <c r="B20" s="14" t="s">
        <v>1962</v>
      </c>
      <c r="C20" s="14" t="s">
        <v>1963</v>
      </c>
      <c r="D20" s="14" t="s">
        <v>1964</v>
      </c>
      <c r="E20" s="14" t="s">
        <v>1965</v>
      </c>
      <c r="G20" s="8" t="str">
        <f>IFERROR(__xludf.DUMMYFUNCTION(" GOOGLETRANSLATE(A20, ""en"", ""am"")"),"19")</f>
        <v>19</v>
      </c>
      <c r="H20" s="8" t="str">
        <f>IFERROR(__xludf.DUMMYFUNCTION(" GOOGLETRANSLATE(B20, ""en"", ""am"")"),"ዲስኩ ከድንበሩ ውጭ ካረፈ ምን ይከሰታል?")</f>
        <v>ዲስኩ ከድንበሩ ውጭ ካረፈ ምን ይከሰታል?</v>
      </c>
      <c r="I20" s="8" t="str">
        <f>IFERROR(__xludf.DUMMYFUNCTION(" GOOGLETRANSLATE(C20, ""en"", ""am"")"),"ሀ. ዲስኩ ከመሃል ጋር ተስተካክሏል። ለ/ ተጋጣሚ ቡድን የኳስ ቁጥጥርን ያገኛል። ሐ. ቅጣት ምት ተሰጥቷል። መ.ያው ቡድን ጨዋታውን ቀጠለ።")</f>
        <v>ሀ. ዲስኩ ከመሃል ጋር ተስተካክሏል። ለ/ ተጋጣሚ ቡድን የኳስ ቁጥጥርን ያገኛል። ሐ. ቅጣት ምት ተሰጥቷል። መ.ያው ቡድን ጨዋታውን ቀጠለ።</v>
      </c>
      <c r="J20" s="8" t="str">
        <f>IFERROR(__xludf.DUMMYFUNCTION(" GOOGLETRANSLATE(D20, ""en"", ""am"")"),"ተጋጣሚው ቡድን የኳስ ቁጥጥርን ያገኛል።")</f>
        <v>ተጋጣሚው ቡድን የኳስ ቁጥጥርን ያገኛል።</v>
      </c>
      <c r="K20" s="8" t="str">
        <f>IFERROR(__xludf.DUMMYFUNCTION(" GOOGLETRANSLATE(E20, ""en"", ""am"")"),"ዲስኩ ከገደብ ውጭ ካረፈ, ይዞታ ወደ ተቃራኒው ቡድን ይተላለፋል.")</f>
        <v>ዲስኩ ከገደብ ውጭ ካረፈ, ይዞታ ወደ ተቃራኒው ቡድን ይተላለፋል.</v>
      </c>
    </row>
    <row r="21" ht="22.5" customHeight="1">
      <c r="A21" s="13">
        <v>20.0</v>
      </c>
      <c r="B21" s="14" t="s">
        <v>1966</v>
      </c>
      <c r="C21" s="14" t="s">
        <v>1967</v>
      </c>
      <c r="D21" s="14" t="s">
        <v>1968</v>
      </c>
      <c r="E21" s="14" t="s">
        <v>1969</v>
      </c>
      <c r="G21" s="8" t="str">
        <f>IFERROR(__xludf.DUMMYFUNCTION(" GOOGLETRANSLATE(A21, ""en"", ""am"")"),"20")</f>
        <v>20</v>
      </c>
      <c r="H21" s="8" t="str">
        <f>IFERROR(__xludf.DUMMYFUNCTION(" GOOGLETRANSLATE(B21, ""en"", ""am"")"),"የአፉላ ዋና ዓላማ ምንድን ነው?")</f>
        <v>የአፉላ ዋና ዓላማ ምንድን ነው?</v>
      </c>
      <c r="I21" s="8" t="str">
        <f>IFERROR(__xludf.DUMMYFUNCTION(" GOOGLETRANSLATE(C21, ""en"", ""am"")"),"ሀ. ከፍተኛውን ነጥብ ያስመዘግብ B. ይዞታ ለመያዝ። ሐ. ተቃዋሚዎችን ማስወገድ. መ. የቡድንዎን ዞን ይጠብቁ")</f>
        <v>ሀ. ከፍተኛውን ነጥብ ያስመዘግብ B. ይዞታ ለመያዝ። ሐ. ተቃዋሚዎችን ማስወገድ. መ. የቡድንዎን ዞን ይጠብቁ</v>
      </c>
      <c r="J21" s="8" t="str">
        <f>IFERROR(__xludf.DUMMYFUNCTION(" GOOGLETRANSLATE(D21, ""en"", ""am"")"),"ከፍተኛውን ነጥብ ያስመዝግቡ")</f>
        <v>ከፍተኛውን ነጥብ ያስመዝግቡ</v>
      </c>
      <c r="K21" s="8" t="str">
        <f>IFERROR(__xludf.DUMMYFUNCTION(" GOOGLETRANSLATE(E21, ""en"", ""am"")"),"የአፉላ ዋና አላማ በችሎታ በመወርወር እና በመጫወት ከፍተኛ ነጥቦችን ማስመዝገብ ነው።")</f>
        <v>የአፉላ ዋና አላማ በችሎታ በመወርወር እና በመጫወት ከፍተኛ ነጥቦችን ማስመዝገብ ነው።</v>
      </c>
    </row>
    <row r="22" ht="22.5" customHeight="1">
      <c r="A22" s="13">
        <v>21.0</v>
      </c>
      <c r="B22" s="14" t="s">
        <v>1970</v>
      </c>
      <c r="C22" s="14" t="s">
        <v>1971</v>
      </c>
      <c r="D22" s="14" t="s">
        <v>1634</v>
      </c>
      <c r="E22" s="14" t="s">
        <v>1972</v>
      </c>
      <c r="G22" s="8" t="str">
        <f>IFERROR(__xludf.DUMMYFUNCTION(" GOOGLETRANSLATE(A22, ""en"", ""am"")"),"21")</f>
        <v>21</v>
      </c>
      <c r="H22" s="8" t="str">
        <f>IFERROR(__xludf.DUMMYFUNCTION(" GOOGLETRANSLATE(B22, ""en"", ""am"")"),"በአፉላ ውስጥ ለቡድን ጊዜ ማብቂያ የሚፈቀደው ከፍተኛው ጊዜ ስንት ነው?")</f>
        <v>በአፉላ ውስጥ ለቡድን ጊዜ ማብቂያ የሚፈቀደው ከፍተኛው ጊዜ ስንት ነው?</v>
      </c>
      <c r="I22" s="8" t="str">
        <f>IFERROR(__xludf.DUMMYFUNCTION(" GOOGLETRANSLATE(C22, ""en"", ""am"")"),"ሀ. 30 ሰከንድ ለ. 1 ደቂቃ ሐ. 2 ደቂቃ መ. 5 ደቂቃ")</f>
        <v>ሀ. 30 ሰከንድ ለ. 1 ደቂቃ ሐ. 2 ደቂቃ መ. 5 ደቂቃ</v>
      </c>
      <c r="J22" s="8" t="str">
        <f>IFERROR(__xludf.DUMMYFUNCTION(" GOOGLETRANSLATE(D22, ""en"", ""am"")"),"1 ደቂቃ")</f>
        <v>1 ደቂቃ</v>
      </c>
      <c r="K22" s="8" t="str">
        <f>IFERROR(__xludf.DUMMYFUNCTION(" GOOGLETRANSLATE(E22, ""en"", ""am"")"),"ቡድኖች በአፋሉላ ውስጥ ለተወሰነ ጊዜ ቢበዛ 1 ደቂቃ ይፈቀዳሉ።")</f>
        <v>ቡድኖች በአፋሉላ ውስጥ ለተወሰነ ጊዜ ቢበዛ 1 ደቂቃ ይፈቀዳሉ።</v>
      </c>
    </row>
    <row r="23" ht="22.5" customHeight="1">
      <c r="A23" s="13">
        <v>22.0</v>
      </c>
      <c r="B23" s="14" t="s">
        <v>1973</v>
      </c>
      <c r="C23" s="14" t="s">
        <v>1974</v>
      </c>
      <c r="D23" s="14" t="s">
        <v>1975</v>
      </c>
      <c r="E23" s="14" t="s">
        <v>1976</v>
      </c>
      <c r="G23" s="8" t="str">
        <f>IFERROR(__xludf.DUMMYFUNCTION(" GOOGLETRANSLATE(A23, ""en"", ""am"")"),"22")</f>
        <v>22</v>
      </c>
      <c r="H23" s="8" t="str">
        <f>IFERROR(__xludf.DUMMYFUNCTION(" GOOGLETRANSLATE(B23, ""en"", ""am"")"),"ለአንድ ጥፋት ስንት ነጥብ ይቀነሳል?")</f>
        <v>ለአንድ ጥፋት ስንት ነጥብ ይቀነሳል?</v>
      </c>
      <c r="I23" s="8" t="str">
        <f>IFERROR(__xludf.DUMMYFUNCTION(" GOOGLETRANSLATE(C23, ""en"", ""am"")"),"ሀ. ምንም ነጥብ የለም. B. 1 ነጥብ C. 2 ነጥብ D. 5 ነጥብ")</f>
        <v>ሀ. ምንም ነጥብ የለም. B. 1 ነጥብ C. 2 ነጥብ D. 5 ነጥብ</v>
      </c>
      <c r="J23" s="8" t="str">
        <f>IFERROR(__xludf.DUMMYFUNCTION(" GOOGLETRANSLATE(D23, ""en"", ""am"")"),"1 ነጥብ")</f>
        <v>1 ነጥብ</v>
      </c>
      <c r="K23" s="8" t="str">
        <f>IFERROR(__xludf.DUMMYFUNCTION(" GOOGLETRANSLATE(E23, ""en"", ""am"")"),"ለእያንዳንዱ ጥፋት 1 ነጥብ እንደ ቅጣት ይቀነሳል።")</f>
        <v>ለእያንዳንዱ ጥፋት 1 ነጥብ እንደ ቅጣት ይቀነሳል።</v>
      </c>
    </row>
    <row r="24" ht="22.5" customHeight="1">
      <c r="A24" s="13">
        <v>23.0</v>
      </c>
      <c r="B24" s="14" t="s">
        <v>1977</v>
      </c>
      <c r="C24" s="14" t="s">
        <v>1978</v>
      </c>
      <c r="D24" s="14" t="s">
        <v>1940</v>
      </c>
      <c r="E24" s="14" t="s">
        <v>1979</v>
      </c>
      <c r="G24" s="8" t="str">
        <f>IFERROR(__xludf.DUMMYFUNCTION(" GOOGLETRANSLATE(A24, ""en"", ""am"")"),"23")</f>
        <v>23</v>
      </c>
      <c r="H24" s="8" t="str">
        <f>IFERROR(__xludf.DUMMYFUNCTION(" GOOGLETRANSLATE(B24, ""en"", ""am"")"),"ዲስኩን ከድንበር ውጪ የመጣል ቅጣት ምንድን ነው?")</f>
        <v>ዲስኩን ከድንበር ውጪ የመጣል ቅጣት ምንድን ነው?</v>
      </c>
      <c r="I24" s="8" t="str">
        <f>IFERROR(__xludf.DUMMYFUNCTION(" GOOGLETRANSLATE(C24, ""en"", ""am"")"),"ሀ. ለተቃራኒ ቡድን ነፃ ውርወራ ቢ. መዞር ሐ. የቅጣት ነጥብ መ. ምንም ቅጣት የለም።")</f>
        <v>ሀ. ለተቃራኒ ቡድን ነፃ ውርወራ ቢ. መዞር ሐ. የቅጣት ነጥብ መ. ምንም ቅጣት የለም።</v>
      </c>
      <c r="J24" s="8" t="str">
        <f>IFERROR(__xludf.DUMMYFUNCTION(" GOOGLETRANSLATE(D24, ""en"", ""am"")"),"መዞር")</f>
        <v>መዞር</v>
      </c>
      <c r="K24" s="8" t="str">
        <f>IFERROR(__xludf.DUMMYFUNCTION(" GOOGLETRANSLATE(E24, ""en"", ""am"")"),"ዲስኩን ከድንበር መወርወር የንብረት ለውጥ ያስከትላል.")</f>
        <v>ዲስኩን ከድንበር መወርወር የንብረት ለውጥ ያስከትላል.</v>
      </c>
    </row>
    <row r="25" ht="22.5" customHeight="1">
      <c r="A25" s="13">
        <v>24.0</v>
      </c>
      <c r="B25" s="14" t="s">
        <v>1980</v>
      </c>
      <c r="C25" s="14" t="s">
        <v>1981</v>
      </c>
      <c r="D25" s="14" t="s">
        <v>1982</v>
      </c>
      <c r="E25" s="14" t="s">
        <v>1983</v>
      </c>
      <c r="G25" s="8" t="str">
        <f>IFERROR(__xludf.DUMMYFUNCTION(" GOOGLETRANSLATE(A25, ""en"", ""am"")"),"24")</f>
        <v>24</v>
      </c>
      <c r="H25" s="8" t="str">
        <f>IFERROR(__xludf.DUMMYFUNCTION(" GOOGLETRANSLATE(B25, ""en"", ""am"")"),"አንድ ዳኛ ከመደበኛው ጊዜ በኋላ እኩል ከሆነ ምን ማድረግ አለበት?")</f>
        <v>አንድ ዳኛ ከመደበኛው ጊዜ በኋላ እኩል ከሆነ ምን ማድረግ አለበት?</v>
      </c>
      <c r="I25" s="8" t="str">
        <f>IFERROR(__xludf.DUMMYFUNCTION(" GOOGLETRANSLATE(C25, ""en"", ""am"")"),"ሀ. የሁለቱም ቡድኖች ድል መተንበይ ለ. ብዙ ጊዜ ይጫወቱ ሐ. በሳንቲም መጣል ይወስኑ። መ. ቅጣት ምት ስጥ።")</f>
        <v>ሀ. የሁለቱም ቡድኖች ድል መተንበይ ለ. ብዙ ጊዜ ይጫወቱ ሐ. በሳንቲም መጣል ይወስኑ። መ. ቅጣት ምት ስጥ።</v>
      </c>
      <c r="J25" s="8" t="str">
        <f>IFERROR(__xludf.DUMMYFUNCTION(" GOOGLETRANSLATE(D25, ""en"", ""am"")"),"ተጨማሪ ጊዜ ይጫወቱ")</f>
        <v>ተጨማሪ ጊዜ ይጫወቱ</v>
      </c>
      <c r="K25" s="8" t="str">
        <f>IFERROR(__xludf.DUMMYFUNCTION(" GOOGLETRANSLATE(E25, ""en"", ""am"")"),"የነጥብ ልዩነት ሲፈጠር አሸናፊውን ለመለየት ተጨማሪ ሰዓት ይደረጋል።")</f>
        <v>የነጥብ ልዩነት ሲፈጠር አሸናፊውን ለመለየት ተጨማሪ ሰዓት ይደረጋል።</v>
      </c>
    </row>
    <row r="26" ht="22.5" customHeight="1">
      <c r="A26" s="13">
        <v>25.0</v>
      </c>
      <c r="B26" s="14" t="s">
        <v>1984</v>
      </c>
      <c r="C26" s="14" t="s">
        <v>1985</v>
      </c>
      <c r="D26" s="14" t="s">
        <v>1986</v>
      </c>
      <c r="E26" s="14" t="s">
        <v>1987</v>
      </c>
      <c r="G26" s="8" t="str">
        <f>IFERROR(__xludf.DUMMYFUNCTION(" GOOGLETRANSLATE(A26, ""en"", ""am"")"),"25")</f>
        <v>25</v>
      </c>
      <c r="H26" s="8" t="str">
        <f>IFERROR(__xludf.DUMMYFUNCTION(" GOOGLETRANSLATE(B26, ""en"", ""am"")"),"በአፋሉላ ውስጥ ዲስኩን ለመጥለፍ የተፈቀደው የትኛው ተጫዋች ነው?")</f>
        <v>በአፋሉላ ውስጥ ዲስኩን ለመጥለፍ የተፈቀደው የትኛው ተጫዋች ነው?</v>
      </c>
      <c r="I26" s="8" t="str">
        <f>IFERROR(__xludf.DUMMYFUNCTION(" GOOGLETRANSLATE(C26, ""en"", ""am"")"),"ሀ. ማንኛውም ተጫዋች ለ. ተከላካዮች ብቻ ሲ. አጥቂዎች ብቻ መ. ምንም ተጫዋቾች የሉም")</f>
        <v>ሀ. ማንኛውም ተጫዋች ለ. ተከላካዮች ብቻ ሲ. አጥቂዎች ብቻ መ. ምንም ተጫዋቾች የሉም</v>
      </c>
      <c r="J26" s="8" t="str">
        <f>IFERROR(__xludf.DUMMYFUNCTION(" GOOGLETRANSLATE(D26, ""en"", ""am"")"),"ማንኛውም ተጫዋች")</f>
        <v>ማንኛውም ተጫዋች</v>
      </c>
      <c r="K26" s="8" t="str">
        <f>IFERROR(__xludf.DUMMYFUNCTION(" GOOGLETRANSLATE(E26, ""en"", ""am"")"),"እንደ ደንቡ ማንኛውም ተጫዋች በጨዋታው ወቅት ዲስኩን እንዲሰርቅ ይፈቀድለታል.")</f>
        <v>እንደ ደንቡ ማንኛውም ተጫዋች በጨዋታው ወቅት ዲስኩን እንዲሰርቅ ይፈቀድለታል.</v>
      </c>
    </row>
    <row r="27" ht="22.5" customHeight="1">
      <c r="A27" s="13">
        <v>26.0</v>
      </c>
      <c r="B27" s="14" t="s">
        <v>1988</v>
      </c>
      <c r="C27" s="14" t="s">
        <v>1989</v>
      </c>
      <c r="D27" s="14" t="s">
        <v>1940</v>
      </c>
      <c r="E27" s="14" t="s">
        <v>1990</v>
      </c>
      <c r="G27" s="8" t="str">
        <f>IFERROR(__xludf.DUMMYFUNCTION(" GOOGLETRANSLATE(A27, ""en"", ""am"")"),"26")</f>
        <v>26</v>
      </c>
      <c r="H27" s="8" t="str">
        <f>IFERROR(__xludf.DUMMYFUNCTION(" GOOGLETRANSLATE(B27, ""en"", ""am"")"),"አንድ ተጫዋች በሚያልፉበት ጊዜ ዲስኩን ቢጥል ምን ይከሰታል?")</f>
        <v>አንድ ተጫዋች በሚያልፉበት ጊዜ ዲስኩን ቢጥል ምን ይከሰታል?</v>
      </c>
      <c r="I27" s="8" t="str">
        <f>IFERROR(__xludf.DUMMYFUNCTION(" GOOGLETRANSLATE(C27, ""en"", ""am"")"),"ሀ ጨዋታው ቀጥሏል። B. turnaround C. የቅጣት ምት መ. ጊዜው መውጣቱ ይባላል።")</f>
        <v>ሀ ጨዋታው ቀጥሏል። B. turnaround C. የቅጣት ምት መ. ጊዜው መውጣቱ ይባላል።</v>
      </c>
      <c r="J27" s="8" t="str">
        <f>IFERROR(__xludf.DUMMYFUNCTION(" GOOGLETRANSLATE(D27, ""en"", ""am"")"),"መዞር")</f>
        <v>መዞር</v>
      </c>
      <c r="K27" s="8" t="str">
        <f>IFERROR(__xludf.DUMMYFUNCTION(" GOOGLETRANSLATE(E27, ""en"", ""am"")"),"ዲስኩን መጣል ወደ ተቃራኒው ቡድን ይዞታ ማስተላለፍን ያስከትላል.")</f>
        <v>ዲስኩን መጣል ወደ ተቃራኒው ቡድን ይዞታ ማስተላለፍን ያስከትላል.</v>
      </c>
    </row>
    <row r="28" ht="22.5" customHeight="1">
      <c r="A28" s="13">
        <v>27.0</v>
      </c>
      <c r="B28" s="14" t="s">
        <v>1991</v>
      </c>
      <c r="C28" s="14" t="s">
        <v>1992</v>
      </c>
      <c r="D28" s="14" t="s">
        <v>1993</v>
      </c>
      <c r="E28" s="14" t="s">
        <v>1994</v>
      </c>
      <c r="G28" s="8" t="str">
        <f>IFERROR(__xludf.DUMMYFUNCTION(" GOOGLETRANSLATE(A28, ""en"", ""am"")"),"27")</f>
        <v>27</v>
      </c>
      <c r="H28" s="8" t="str">
        <f>IFERROR(__xludf.DUMMYFUNCTION(" GOOGLETRANSLATE(B28, ""en"", ""am"")"),"ግጥሚያ ለመጀመር ስንት ተጫዋቾች ያስፈልጋሉ?")</f>
        <v>ግጥሚያ ለመጀመር ስንት ተጫዋቾች ያስፈልጋሉ?</v>
      </c>
      <c r="I28" s="8" t="str">
        <f>IFERROR(__xludf.DUMMYFUNCTION(" GOOGLETRANSLATE(C28, ""en"", ""am"")"),"ሀ. 4 ተጫዋቾች በቡድን B. 6 ተጫዋቾች በቡድን C. 8 ተጫዋቾች በቡድን D. 10 ተጫዋቾች በቡድን")</f>
        <v>ሀ. 4 ተጫዋቾች በቡድን B. 6 ተጫዋቾች በቡድን C. 8 ተጫዋቾች በቡድን D. 10 ተጫዋቾች በቡድን</v>
      </c>
      <c r="J28" s="8" t="str">
        <f>IFERROR(__xludf.DUMMYFUNCTION(" GOOGLETRANSLATE(D28, ""en"", ""am"")"),"በቡድን 6 ተጫዋቾች")</f>
        <v>በቡድን 6 ተጫዋቾች</v>
      </c>
      <c r="K28" s="8" t="str">
        <f>IFERROR(__xludf.DUMMYFUNCTION(" GOOGLETRANSLATE(E28, ""en"", ""am"")"),"ጨዋታውን ለመጀመር እያንዳንዱ ቡድን በሜዳው ላይ 6 ተጫዋቾች ሊኖሩት ይገባል።")</f>
        <v>ጨዋታውን ለመጀመር እያንዳንዱ ቡድን በሜዳው ላይ 6 ተጫዋቾች ሊኖሩት ይገባል።</v>
      </c>
    </row>
    <row r="29" ht="22.5" customHeight="1">
      <c r="A29" s="13">
        <v>28.0</v>
      </c>
      <c r="B29" s="14" t="s">
        <v>1995</v>
      </c>
      <c r="C29" s="14" t="s">
        <v>1996</v>
      </c>
      <c r="D29" s="14" t="s">
        <v>1997</v>
      </c>
      <c r="E29" s="14" t="s">
        <v>1998</v>
      </c>
      <c r="G29" s="8" t="str">
        <f>IFERROR(__xludf.DUMMYFUNCTION(" GOOGLETRANSLATE(A29, ""en"", ""am"")"),"28")</f>
        <v>28</v>
      </c>
      <c r="H29" s="8" t="str">
        <f>IFERROR(__xludf.DUMMYFUNCTION(" GOOGLETRANSLATE(B29, ""en"", ""am"")"),"ከስፖርታዊ ጨዋነት ውጪ የሆነ ባህሪ ቅጣቱ ምንድን ነው?")</f>
        <v>ከስፖርታዊ ጨዋነት ውጪ የሆነ ባህሪ ቅጣቱ ምንድን ነው?</v>
      </c>
      <c r="I29" s="8" t="str">
        <f>IFERROR(__xludf.DUMMYFUNCTION(" GOOGLETRANSLATE(C29, ""en"", ""am"")"),"ሀ. ምንም ቅጣት የለም. ለ. ማስጠንቀቂያ ሐ. ቢጫ ካርድ D. አወጣ")</f>
        <v>ሀ. ምንም ቅጣት የለም. ለ. ማስጠንቀቂያ ሐ. ቢጫ ካርድ D. አወጣ</v>
      </c>
      <c r="J29" s="8" t="str">
        <f>IFERROR(__xludf.DUMMYFUNCTION(" GOOGLETRANSLATE(D29, ""en"", ""am"")"),"ቢጫ ካርድ")</f>
        <v>ቢጫ ካርድ</v>
      </c>
      <c r="K29" s="8" t="str">
        <f>IFERROR(__xludf.DUMMYFUNCTION(" GOOGLETRANSLATE(E29, ""en"", ""am"")"),"ስፖርታዊ ጨዋነት የጎደለው ድርጊት እንደ ማስጠንቀቂያ ቢጫ ካርድ ያስከትላል።")</f>
        <v>ስፖርታዊ ጨዋነት የጎደለው ድርጊት እንደ ማስጠንቀቂያ ቢጫ ካርድ ያስከትላል።</v>
      </c>
    </row>
    <row r="30" ht="22.5" customHeight="1">
      <c r="A30" s="13">
        <v>29.0</v>
      </c>
      <c r="B30" s="14" t="s">
        <v>1999</v>
      </c>
      <c r="C30" s="14" t="s">
        <v>2000</v>
      </c>
      <c r="D30" s="14" t="s">
        <v>2001</v>
      </c>
      <c r="E30" s="14" t="s">
        <v>2002</v>
      </c>
      <c r="G30" s="8" t="str">
        <f>IFERROR(__xludf.DUMMYFUNCTION(" GOOGLETRANSLATE(A30, ""en"", ""am"")"),"29")</f>
        <v>29</v>
      </c>
      <c r="H30" s="8" t="str">
        <f>IFERROR(__xludf.DUMMYFUNCTION(" GOOGLETRANSLATE(B30, ""en"", ""am"")"),"በአፖካሊፕስ ውስጥ ያለው የመሃል ክበብ ዲያሜትር ምን ያህል ነው?")</f>
        <v>በአፖካሊፕስ ውስጥ ያለው የመሃል ክበብ ዲያሜትር ምን ያህል ነው?</v>
      </c>
      <c r="I30" s="8" t="str">
        <f>IFERROR(__xludf.DUMMYFUNCTION(" GOOGLETRANSLATE(C30, ""en"", ""am"")"),"አ. 5 ሜትር ለ 7 ሜትር ሐ. 10 ሜትር መ 12 ሜትር")</f>
        <v>አ. 5 ሜትር ለ 7 ሜትር ሐ. 10 ሜትር መ 12 ሜትር</v>
      </c>
      <c r="J30" s="8" t="str">
        <f>IFERROR(__xludf.DUMMYFUNCTION(" GOOGLETRANSLATE(D30, ""en"", ""am"")"),"10 ሜትር")</f>
        <v>10 ሜትር</v>
      </c>
      <c r="K30" s="8" t="str">
        <f>IFERROR(__xludf.DUMMYFUNCTION(" GOOGLETRANSLATE(E30, ""en"", ""am"")"),"በይፋ የአፋላ ግጥሚያዎች ውስጥ ያለው የመሃል ክበብ 10 ሜትር ዲያሜትር አለው።")</f>
        <v>በይፋ የአፋላ ግጥሚያዎች ውስጥ ያለው የመሃል ክበብ 10 ሜትር ዲያሜትር አለው።</v>
      </c>
    </row>
    <row r="31" ht="22.5" customHeight="1">
      <c r="A31" s="13">
        <v>30.0</v>
      </c>
      <c r="B31" s="14" t="s">
        <v>2003</v>
      </c>
      <c r="C31" s="14" t="s">
        <v>2004</v>
      </c>
      <c r="D31" s="14" t="s">
        <v>2005</v>
      </c>
      <c r="E31" s="14" t="s">
        <v>2006</v>
      </c>
      <c r="G31" s="8" t="str">
        <f>IFERROR(__xludf.DUMMYFUNCTION(" GOOGLETRANSLATE(A31, ""en"", ""am"")"),"30")</f>
        <v>30</v>
      </c>
      <c r="H31" s="8" t="str">
        <f>IFERROR(__xludf.DUMMYFUNCTION(" GOOGLETRANSLATE(B31, ""en"", ""am"")"),"አንድ ቡድን በጨዋታ ጊዜ ከ 4 ያነሱ ተጫዋቾች ካሉት ምን ይሆናል?")</f>
        <v>አንድ ቡድን በጨዋታ ጊዜ ከ 4 ያነሱ ተጫዋቾች ካሉት ምን ይሆናል?</v>
      </c>
      <c r="I31" s="8" t="str">
        <f>IFERROR(__xludf.DUMMYFUNCTION(" GOOGLETRANSLATE(C31, ""en"", ""am"")"),"ሀ ጨዋታው ቀጥሏል። ለ. ቀነ ገደብ ተወስኗል። ሐ. ጨዋታው ጠፋ። መ. የተጋጣሚ ቡድን ተቀጥቷል።")</f>
        <v>ሀ ጨዋታው ቀጥሏል። ለ. ቀነ ገደብ ተወስኗል። ሐ. ጨዋታው ጠፋ። መ. የተጋጣሚ ቡድን ተቀጥቷል።</v>
      </c>
      <c r="J31" s="8" t="str">
        <f>IFERROR(__xludf.DUMMYFUNCTION(" GOOGLETRANSLATE(D31, ""en"", ""am"")"),"ጨዋታው ጠፋ።")</f>
        <v>ጨዋታው ጠፋ።</v>
      </c>
      <c r="K31" s="8" t="str">
        <f>IFERROR(__xludf.DUMMYFUNCTION(" GOOGLETRANSLATE(E31, ""en"", ""am"")"),"አንድ ቡድን ከ 4 ያነሰ ተጫዋቾች ካሉት, ጨዋታው በህጉ መሰረት ይሸነፋል.")</f>
        <v>አንድ ቡድን ከ 4 ያነሰ ተጫዋቾች ካሉት, ጨዋታው በህጉ መሰረት ይሸነፋል.</v>
      </c>
    </row>
    <row r="32" ht="22.5" customHeight="1">
      <c r="A32" s="13">
        <v>31.0</v>
      </c>
      <c r="B32" s="14" t="s">
        <v>2007</v>
      </c>
      <c r="C32" s="14" t="s">
        <v>2008</v>
      </c>
      <c r="D32" s="14" t="s">
        <v>1914</v>
      </c>
      <c r="E32" s="14" t="s">
        <v>2009</v>
      </c>
      <c r="G32" s="8" t="str">
        <f>IFERROR(__xludf.DUMMYFUNCTION(" GOOGLETRANSLATE(A32, ""en"", ""am"")"),"31")</f>
        <v>31</v>
      </c>
      <c r="H32" s="8" t="str">
        <f>IFERROR(__xludf.DUMMYFUNCTION(" GOOGLETRANSLATE(B32, ""en"", ""am"")"),"አንድ ቡድን የጊዜ ገደቡ ካለፈ ምን ይከሰታል?")</f>
        <v>አንድ ቡድን የጊዜ ገደቡ ካለፈ ምን ይከሰታል?</v>
      </c>
      <c r="I32" s="8" t="str">
        <f>IFERROR(__xludf.DUMMYFUNCTION(" GOOGLETRANSLATE(C32, ""en"", ""am"")"),"ሀ. ምንም ቅጣት የለም. ለ. ንብረት መጥፋት ሐ. 1-ነጥብ ተቀናሽ መ. ተቃዋሚ ነፃ ውርወራ ያገኛል")</f>
        <v>ሀ. ምንም ቅጣት የለም. ለ. ንብረት መጥፋት ሐ. 1-ነጥብ ተቀናሽ መ. ተቃዋሚ ነፃ ውርወራ ያገኛል</v>
      </c>
      <c r="J32" s="8" t="str">
        <f>IFERROR(__xludf.DUMMYFUNCTION(" GOOGLETRANSLATE(D32, ""en"", ""am"")"),"የንብረት መጥፋት")</f>
        <v>የንብረት መጥፋት</v>
      </c>
      <c r="K32" s="8" t="str">
        <f>IFERROR(__xludf.DUMMYFUNCTION(" GOOGLETRANSLATE(E32, ""en"", ""am"")"),"አንድ ቡድን የጊዜ ገደቡ ካለፈ ዲስኩን መያዝ ያጣሉ.")</f>
        <v>አንድ ቡድን የጊዜ ገደቡ ካለፈ ዲስኩን መያዝ ያጣሉ.</v>
      </c>
    </row>
    <row r="33" ht="22.5" customHeight="1">
      <c r="A33" s="13">
        <v>32.0</v>
      </c>
      <c r="B33" s="14" t="s">
        <v>2010</v>
      </c>
      <c r="C33" s="14" t="s">
        <v>2011</v>
      </c>
      <c r="D33" s="14" t="s">
        <v>2012</v>
      </c>
      <c r="E33" s="14" t="s">
        <v>2013</v>
      </c>
      <c r="G33" s="8" t="str">
        <f>IFERROR(__xludf.DUMMYFUNCTION(" GOOGLETRANSLATE(A33, ""en"", ""am"")"),"32")</f>
        <v>32</v>
      </c>
      <c r="H33" s="8" t="str">
        <f>IFERROR(__xludf.DUMMYFUNCTION(" GOOGLETRANSLATE(B33, ""en"", ""am"")"),"ለዲስክ ውርወራ የሚፈቀደው ከፍተኛው ቁመት ስንት ነው?")</f>
        <v>ለዲስክ ውርወራ የሚፈቀደው ከፍተኛው ቁመት ስንት ነው?</v>
      </c>
      <c r="I33" s="8" t="str">
        <f>IFERROR(__xludf.DUMMYFUNCTION(" GOOGLETRANSLATE(C33, ""en"", ""am"")"),"አ.2 ሜትር B. 3 ሜትር ሐ 4 ሜትር መ. ገደብ የለዉም።")</f>
        <v>አ.2 ሜትር B. 3 ሜትር ሐ 4 ሜትር መ. ገደብ የለዉም።</v>
      </c>
      <c r="J33" s="8" t="str">
        <f>IFERROR(__xludf.DUMMYFUNCTION(" GOOGLETRANSLATE(D33, ""en"", ""am"")"),"4 ሜትር")</f>
        <v>4 ሜትር</v>
      </c>
      <c r="K33" s="8" t="str">
        <f>IFERROR(__xludf.DUMMYFUNCTION(" GOOGLETRANSLATE(E33, ""en"", ""am"")"),"በጨዋታው ወሰን ውስጥ ለመቆየት, ዲስኩ ቁመቱ ከ 4 ሜትር መብለጥ የለበትም.")</f>
        <v>በጨዋታው ወሰን ውስጥ ለመቆየት, ዲስኩ ቁመቱ ከ 4 ሜትር መብለጥ የለበትም.</v>
      </c>
    </row>
    <row r="34" ht="22.5" customHeight="1">
      <c r="A34" s="13">
        <v>33.0</v>
      </c>
      <c r="B34" s="14" t="s">
        <v>2014</v>
      </c>
      <c r="C34" s="14" t="s">
        <v>2015</v>
      </c>
      <c r="D34" s="14" t="s">
        <v>2016</v>
      </c>
      <c r="E34" s="14" t="s">
        <v>2017</v>
      </c>
      <c r="G34" s="8" t="str">
        <f>IFERROR(__xludf.DUMMYFUNCTION(" GOOGLETRANSLATE(A34, ""en"", ""am"")"),"33")</f>
        <v>33</v>
      </c>
      <c r="H34" s="8" t="str">
        <f>IFERROR(__xludf.DUMMYFUNCTION(" GOOGLETRANSLATE(B34, ""en"", ""am"")"),"ከእረፍት በኋላ ጨዋታውን ለመጀመር ሃላፊነት ያለው የትኛው ተጫዋች ነው?")</f>
        <v>ከእረፍት በኋላ ጨዋታውን ለመጀመር ሃላፊነት ያለው የትኛው ተጫዋች ነው?</v>
      </c>
      <c r="I34" s="8" t="str">
        <f>IFERROR(__xludf.DUMMYFUNCTION(" GOOGLETRANSLATE(C34, ""en"", ""am"")"),"ሀ. የቡድን መሪ ለ. ግብ ጠባቂ ሐ. የመጨረሻው ዲስክ ያዥ D. ማንኛውም ተጫዋች")</f>
        <v>ሀ. የቡድን መሪ ለ. ግብ ጠባቂ ሐ. የመጨረሻው ዲስክ ያዥ D. ማንኛውም ተጫዋች</v>
      </c>
      <c r="J34" s="8" t="str">
        <f>IFERROR(__xludf.DUMMYFUNCTION(" GOOGLETRANSLATE(D34, ""en"", ""am"")"),"የመጨረሻው የዲስክ መያዣ")</f>
        <v>የመጨረሻው የዲስክ መያዣ</v>
      </c>
      <c r="K34" s="8" t="str">
        <f>IFERROR(__xludf.DUMMYFUNCTION(" GOOGLETRANSLATE(E34, ""en"", ""am"")"),"ዲስኩን ለመጨረሻ ጊዜ የያዘው ተጫዋች ጊዜው ካለፈ በኋላ መጫወቱን ይቀጥላል።")</f>
        <v>ዲስኩን ለመጨረሻ ጊዜ የያዘው ተጫዋች ጊዜው ካለፈ በኋላ መጫወቱን ይቀጥላል።</v>
      </c>
    </row>
    <row r="35" ht="22.5" customHeight="1">
      <c r="A35" s="13">
        <v>34.0</v>
      </c>
      <c r="B35" s="14" t="s">
        <v>2018</v>
      </c>
      <c r="C35" s="14" t="s">
        <v>2019</v>
      </c>
      <c r="D35" s="14" t="s">
        <v>2020</v>
      </c>
      <c r="E35" s="14" t="s">
        <v>2021</v>
      </c>
      <c r="G35" s="8" t="str">
        <f>IFERROR(__xludf.DUMMYFUNCTION(" GOOGLETRANSLATE(A35, ""en"", ""am"")"),"34")</f>
        <v>34</v>
      </c>
      <c r="H35" s="8" t="str">
        <f>IFERROR(__xludf.DUMMYFUNCTION(" GOOGLETRANSLATE(B35, ""en"", ""am"")"),"የአፉላን ጨዋታ የሚቆጣጠሩት ዳኞች ስንት ናቸው?")</f>
        <v>የአፉላን ጨዋታ የሚቆጣጠሩት ዳኞች ስንት ናቸው?</v>
      </c>
      <c r="I35" s="8" t="str">
        <f>IFERROR(__xludf.DUMMYFUNCTION(" GOOGLETRANSLATE(C35, ""en"", ""am"")"),"ሀ. 1 ዳኛ ለ. 2 ዳኞች ሐ. 3 ዳኞች ዲ. 4 ዳኞች")</f>
        <v>ሀ. 1 ዳኛ ለ. 2 ዳኞች ሐ. 3 ዳኞች ዲ. 4 ዳኞች</v>
      </c>
      <c r="J35" s="8" t="str">
        <f>IFERROR(__xludf.DUMMYFUNCTION(" GOOGLETRANSLATE(D35, ""en"", ""am"")"),"2 ዳኞች")</f>
        <v>2 ዳኞች</v>
      </c>
      <c r="K35" s="8" t="str">
        <f>IFERROR(__xludf.DUMMYFUNCTION(" GOOGLETRANSLATE(E35, ""en"", ""am"")"),"ፍትሃዊ ጨዋታን ለማረጋገጥ የአፋላ ጨዋታዎች በ2 ዳኞች ይመራል።")</f>
        <v>ፍትሃዊ ጨዋታን ለማረጋገጥ የአፋላ ጨዋታዎች በ2 ዳኞች ይመራል።</v>
      </c>
    </row>
    <row r="36" ht="22.5" customHeight="1">
      <c r="A36" s="13">
        <v>35.0</v>
      </c>
      <c r="B36" s="14" t="s">
        <v>2022</v>
      </c>
      <c r="C36" s="14" t="s">
        <v>2023</v>
      </c>
      <c r="D36" s="14" t="s">
        <v>1940</v>
      </c>
      <c r="E36" s="14" t="s">
        <v>2024</v>
      </c>
      <c r="G36" s="8" t="str">
        <f>IFERROR(__xludf.DUMMYFUNCTION(" GOOGLETRANSLATE(A36, ""en"", ""am"")"),"35")</f>
        <v>35</v>
      </c>
      <c r="H36" s="8" t="str">
        <f>IFERROR(__xludf.DUMMYFUNCTION(" GOOGLETRANSLATE(B36, ""en"", ""am"")"),"ጨዋታውን ሆን ብሎ በማዘግየት ቅጣቱ ምንድን ነው?")</f>
        <v>ጨዋታውን ሆን ብሎ በማዘግየት ቅጣቱ ምንድን ነው?</v>
      </c>
      <c r="I36" s="8" t="str">
        <f>IFERROR(__xludf.DUMMYFUNCTION(" GOOGLETRANSLATE(C36, ""en"", ""am"")"),"ሀ. መጥፎ ማስጠንቀቂያ ለ. ቢጫ ካርድ ሐ. መዞር D. ባለ2-ነጥብ መቀነስ")</f>
        <v>ሀ. መጥፎ ማስጠንቀቂያ ለ. ቢጫ ካርድ ሐ. መዞር D. ባለ2-ነጥብ መቀነስ</v>
      </c>
      <c r="J36" s="8" t="str">
        <f>IFERROR(__xludf.DUMMYFUNCTION(" GOOGLETRANSLATE(D36, ""en"", ""am"")"),"መዞር")</f>
        <v>መዞር</v>
      </c>
      <c r="K36" s="8" t="str">
        <f>IFERROR(__xludf.DUMMYFUNCTION(" GOOGLETRANSLATE(E36, ""en"", ""am"")"),"ሆን ተብሎ መዘግየቱ ይዞታን ወደ ተቃራኒ ቡድን ማስተላለፍን ያስከትላል።")</f>
        <v>ሆን ተብሎ መዘግየቱ ይዞታን ወደ ተቃራኒ ቡድን ማስተላለፍን ያስከትላል።</v>
      </c>
    </row>
    <row r="37" ht="22.5" customHeight="1">
      <c r="A37" s="13">
        <v>36.0</v>
      </c>
      <c r="B37" s="14" t="s">
        <v>2025</v>
      </c>
      <c r="C37" s="14" t="s">
        <v>2026</v>
      </c>
      <c r="D37" s="14" t="s">
        <v>2027</v>
      </c>
      <c r="E37" s="14" t="s">
        <v>2028</v>
      </c>
      <c r="G37" s="8" t="str">
        <f>IFERROR(__xludf.DUMMYFUNCTION(" GOOGLETRANSLATE(A37, ""en"", ""am"")"),"36")</f>
        <v>36</v>
      </c>
      <c r="H37" s="8" t="str">
        <f>IFERROR(__xludf.DUMMYFUNCTION(" GOOGLETRANSLATE(B37, ""en"", ""am"")"),"ለእያንዳንዱ ቡድን ምን ያህል ተተኪ ተጫዋቾች ሊኖሩት ይችላል?")</f>
        <v>ለእያንዳንዱ ቡድን ምን ያህል ተተኪ ተጫዋቾች ሊኖሩት ይችላል?</v>
      </c>
      <c r="I37" s="8" t="str">
        <f>IFERROR(__xludf.DUMMYFUNCTION(" GOOGLETRANSLATE(C37, ""en"", ""am"")"),"ሀ.2 ተጫዋቾች ለ. 3 ተጫዋቾች ሐ. 4 ተጫዋቾች D. 5 ተጫዋቾች")</f>
        <v>ሀ.2 ተጫዋቾች ለ. 3 ተጫዋቾች ሐ. 4 ተጫዋቾች D. 5 ተጫዋቾች</v>
      </c>
      <c r="J37" s="8" t="str">
        <f>IFERROR(__xludf.DUMMYFUNCTION(" GOOGLETRANSLATE(D37, ""en"", ""am"")"),"3 ተጫዋቾች")</f>
        <v>3 ተጫዋቾች</v>
      </c>
      <c r="K37" s="8" t="str">
        <f>IFERROR(__xludf.DUMMYFUNCTION(" GOOGLETRANSLATE(E37, ""en"", ""am"")"),"እያንዳንዱ ቡድን ቢበዛ 3 ተተኪ ተጫዋቾች ይፈቀዳል።")</f>
        <v>እያንዳንዱ ቡድን ቢበዛ 3 ተተኪ ተጫዋቾች ይፈቀዳል።</v>
      </c>
    </row>
    <row r="38" ht="22.5" customHeight="1">
      <c r="A38" s="13">
        <v>37.0</v>
      </c>
      <c r="B38" s="14" t="s">
        <v>2029</v>
      </c>
      <c r="C38" s="14" t="s">
        <v>2030</v>
      </c>
      <c r="D38" s="14" t="s">
        <v>1245</v>
      </c>
      <c r="E38" s="14" t="s">
        <v>2031</v>
      </c>
      <c r="G38" s="8" t="str">
        <f>IFERROR(__xludf.DUMMYFUNCTION(" GOOGLETRANSLATE(A38, ""en"", ""am"")"),"37")</f>
        <v>37</v>
      </c>
      <c r="H38" s="8" t="str">
        <f>IFERROR(__xludf.DUMMYFUNCTION(" GOOGLETRANSLATE(B38, ""en"", ""am"")"),"በአፉላ በሁለቱ የግብ ክልል መካከል ያለው ርቀት ምን ያህል ነው?")</f>
        <v>በአፉላ በሁለቱ የግብ ክልል መካከል ያለው ርቀት ምን ያህል ነው?</v>
      </c>
      <c r="I38" s="8" t="str">
        <f>IFERROR(__xludf.DUMMYFUNCTION(" GOOGLETRANSLATE(C38, ""en"", ""am"")"),"አ. 10 ሜትር ለ 15 ሜትር ሲ 20 ሜትር መ 25 ሜትር")</f>
        <v>አ. 10 ሜትር ለ 15 ሜትር ሲ 20 ሜትር መ 25 ሜትር</v>
      </c>
      <c r="J38" s="8" t="str">
        <f>IFERROR(__xludf.DUMMYFUNCTION(" GOOGLETRANSLATE(D38, ""en"", ""am"")"),"20 ሜትር")</f>
        <v>20 ሜትር</v>
      </c>
      <c r="K38" s="8" t="str">
        <f>IFERROR(__xludf.DUMMYFUNCTION(" GOOGLETRANSLATE(E38, ""en"", ""am"")"),"በግብ ክልል እና በጎል ምሰሶዎች መካከል ያለው ኦፊሴላዊ ርቀት 20 ሜትር ነው።")</f>
        <v>በግብ ክልል እና በጎል ምሰሶዎች መካከል ያለው ኦፊሴላዊ ርቀት 20 ሜትር ነው።</v>
      </c>
    </row>
    <row r="39" ht="22.5" customHeight="1">
      <c r="A39" s="13">
        <v>38.0</v>
      </c>
      <c r="B39" s="14" t="s">
        <v>2032</v>
      </c>
      <c r="C39" s="14" t="s">
        <v>2033</v>
      </c>
      <c r="D39" s="14" t="s">
        <v>1302</v>
      </c>
      <c r="E39" s="14" t="s">
        <v>2034</v>
      </c>
      <c r="G39" s="8" t="str">
        <f>IFERROR(__xludf.DUMMYFUNCTION(" GOOGLETRANSLATE(A39, ""en"", ""am"")"),"38")</f>
        <v>38</v>
      </c>
      <c r="H39" s="8" t="str">
        <f>IFERROR(__xludf.DUMMYFUNCTION(" GOOGLETRANSLATE(B39, ""en"", ""am"")"),"በተጋጣሚ ቡድን ላይ የፍፁም ቅጣት ምት ውጤቱ ምን ይመስላል?")</f>
        <v>በተጋጣሚ ቡድን ላይ የፍፁም ቅጣት ምት ውጤቱ ምን ይመስላል?</v>
      </c>
      <c r="I39" s="8" t="str">
        <f>IFERROR(__xludf.DUMMYFUNCTION(" GOOGLETRANSLATE(C39, ""en"", ""am"")"),"ሀ. ዲስኩን ለረጅም ጊዜ በመያዝ ለ. ሚዲያን መስመር ማለፍ ሐ. ዲስኩን በህገ-ወጥ መንገድ ማገድ D. ሁሉም ከላይ ያሉት")</f>
        <v>ሀ. ዲስኩን ለረጅም ጊዜ በመያዝ ለ. ሚዲያን መስመር ማለፍ ሐ. ዲስኩን በህገ-ወጥ መንገድ ማገድ D. ሁሉም ከላይ ያሉት</v>
      </c>
      <c r="J39" s="8" t="str">
        <f>IFERROR(__xludf.DUMMYFUNCTION(" GOOGLETRANSLATE(D39, ""en"", ""am"")"),"ከላይ ያሉት ሁሉም")</f>
        <v>ከላይ ያሉት ሁሉም</v>
      </c>
      <c r="K39" s="8" t="str">
        <f>IFERROR(__xludf.DUMMYFUNCTION(" GOOGLETRANSLATE(E39, ""en"", ""am"")"),"እነዚህ ሁሉ ድርጊቶች - ዲስኩን በጣም ረጅም ጊዜ በመያዝ, መሃከለኛውን መስመር ማቋረጥ እና ህገ-ወጥ እገዳ - የነፃ ውርወራ ውጤት.")</f>
        <v>እነዚህ ሁሉ ድርጊቶች - ዲስኩን በጣም ረጅም ጊዜ በመያዝ, መሃከለኛውን መስመር ማቋረጥ እና ህገ-ወጥ እገዳ - የነፃ ውርወራ ውጤት.</v>
      </c>
    </row>
    <row r="40" ht="22.5" customHeight="1">
      <c r="A40" s="13">
        <v>39.0</v>
      </c>
      <c r="B40" s="14" t="s">
        <v>2035</v>
      </c>
      <c r="C40" s="14" t="s">
        <v>2036</v>
      </c>
      <c r="D40" s="14" t="s">
        <v>2037</v>
      </c>
      <c r="E40" s="14" t="s">
        <v>2038</v>
      </c>
      <c r="G40" s="8" t="str">
        <f>IFERROR(__xludf.DUMMYFUNCTION(" GOOGLETRANSLATE(A40, ""en"", ""am"")"),"39")</f>
        <v>39</v>
      </c>
      <c r="H40" s="8" t="str">
        <f>IFERROR(__xludf.DUMMYFUNCTION(" GOOGLETRANSLATE(B40, ""en"", ""am"")"),"መደበኛውን የአፋላ ጨዋታ ለማሸነፍ ስንት ነጥብ ያስፈልጋል?")</f>
        <v>መደበኛውን የአፋላ ጨዋታ ለማሸነፍ ስንት ነጥብ ያስፈልጋል?</v>
      </c>
      <c r="I40" s="8" t="str">
        <f>IFERROR(__xludf.DUMMYFUNCTION(" GOOGLETRANSLATE(C40, ""en"", ""am"")"),"ዓ.15 ነጥቢ ብ 20 ነጥቢ C. 25 ነጥቢ ድ. 30 ነጥቢ")</f>
        <v>ዓ.15 ነጥቢ ብ 20 ነጥቢ C. 25 ነጥቢ ድ. 30 ነጥቢ</v>
      </c>
      <c r="J40" s="8" t="str">
        <f>IFERROR(__xludf.DUMMYFUNCTION(" GOOGLETRANSLATE(D40, ""en"", ""am"")"),"25 ነጥብ")</f>
        <v>25 ነጥብ</v>
      </c>
      <c r="K40" s="8" t="str">
        <f>IFERROR(__xludf.DUMMYFUNCTION(" GOOGLETRANSLATE(E40, ""en"", ""am"")"),"አንድ ቡድን በአፉላ ለማሸነፍ 25 ነጥብ ማግኘት አለበት።")</f>
        <v>አንድ ቡድን በአፉላ ለማሸነፍ 25 ነጥብ ማግኘት አለበት።</v>
      </c>
    </row>
    <row r="41" ht="22.5" customHeight="1">
      <c r="A41" s="13">
        <v>40.0</v>
      </c>
      <c r="B41" s="14" t="s">
        <v>2039</v>
      </c>
      <c r="C41" s="14" t="s">
        <v>2040</v>
      </c>
      <c r="D41" s="14" t="s">
        <v>1630</v>
      </c>
      <c r="E41" s="14" t="s">
        <v>2041</v>
      </c>
      <c r="G41" s="8" t="str">
        <f>IFERROR(__xludf.DUMMYFUNCTION(" GOOGLETRANSLATE(A41, ""en"", ""am"")"),"40")</f>
        <v>40</v>
      </c>
      <c r="H41" s="8" t="str">
        <f>IFERROR(__xludf.DUMMYFUNCTION(" GOOGLETRANSLATE(B41, ""en"", ""am"")"),"ዲስኩ ሳይኖር ማዕከላዊውን መስመር ለማቋረጥ ቅጣቱ ምንድን ነው?")</f>
        <v>ዲስኩ ሳይኖር ማዕከላዊውን መስመር ለማቋረጥ ቅጣቱ ምንድን ነው?</v>
      </c>
      <c r="I41" s="8" t="str">
        <f>IFERROR(__xludf.DUMMYFUNCTION(" GOOGLETRANSLATE(C41, ""en"", ""am"")"),"ሀ. መዞር ለ. ቅጣት ምት ሐ. መጥፎ ማስጠንቀቂያ መ. ምንም ቅጣት የለም።")</f>
        <v>ሀ. መዞር ለ. ቅጣት ምት ሐ. መጥፎ ማስጠንቀቂያ መ. ምንም ቅጣት የለም።</v>
      </c>
      <c r="J41" s="8" t="str">
        <f>IFERROR(__xludf.DUMMYFUNCTION(" GOOGLETRANSLATE(D41, ""en"", ""am"")"),"ምንም ቅጣት የለም.")</f>
        <v>ምንም ቅጣት የለም.</v>
      </c>
      <c r="K41" s="8" t="str">
        <f>IFERROR(__xludf.DUMMYFUNCTION(" GOOGLETRANSLATE(E41, ""en"", ""am"")"),"ዲስኩ ሳይኖር ማዕከላዊውን መስመር ለማቋረጥ ምንም ቅጣት የለም.")</f>
        <v>ዲስኩ ሳይኖር ማዕከላዊውን መስመር ለማቋረጥ ምንም ቅጣት የለም.</v>
      </c>
    </row>
    <row r="42" ht="22.5" customHeight="1">
      <c r="A42" s="13">
        <v>41.0</v>
      </c>
      <c r="B42" s="14" t="s">
        <v>2042</v>
      </c>
      <c r="C42" s="14" t="s">
        <v>2043</v>
      </c>
      <c r="D42" s="14" t="s">
        <v>2044</v>
      </c>
      <c r="E42" s="14" t="s">
        <v>2045</v>
      </c>
      <c r="G42" s="8" t="str">
        <f>IFERROR(__xludf.DUMMYFUNCTION(" GOOGLETRANSLATE(A42, ""en"", ""am"")"),"41")</f>
        <v>41</v>
      </c>
      <c r="H42" s="8" t="str">
        <f>IFERROR(__xludf.DUMMYFUNCTION(" GOOGLETRANSLATE(B42, ""en"", ""am"")"),"የአፋሉላ ሜዳ ቅርፅ ምን ይመስላል?")</f>
        <v>የአፋሉላ ሜዳ ቅርፅ ምን ይመስላል?</v>
      </c>
      <c r="I42" s="8" t="str">
        <f>IFERROR(__xludf.DUMMYFUNCTION(" GOOGLETRANSLATE(C42, ""en"", ""am"")"),"A. ስኩዌር ለ. አራት ማዕዘን ሐ. ክበብ D. ኦቫል")</f>
        <v>A. ስኩዌር ለ. አራት ማዕዘን ሐ. ክበብ D. ኦቫል</v>
      </c>
      <c r="J42" s="8" t="str">
        <f>IFERROR(__xludf.DUMMYFUNCTION(" GOOGLETRANSLATE(D42, ""en"", ""am"")"),"አራት ማዕዘን")</f>
        <v>አራት ማዕዘን</v>
      </c>
      <c r="K42" s="8" t="str">
        <f>IFERROR(__xludf.DUMMYFUNCTION(" GOOGLETRANSLATE(E42, ""en"", ""am"")"),"አፋሉላ በመደበኛ ደንቦች መሰረት አራት ማዕዘን ቅርጽ ባለው ሜዳ ላይ ይጫወታል.")</f>
        <v>አፋሉላ በመደበኛ ደንቦች መሰረት አራት ማዕዘን ቅርጽ ባለው ሜዳ ላይ ይጫወታል.</v>
      </c>
    </row>
    <row r="43" ht="22.5" customHeight="1">
      <c r="A43" s="13">
        <v>42.0</v>
      </c>
      <c r="B43" s="14" t="s">
        <v>2046</v>
      </c>
      <c r="C43" s="14" t="s">
        <v>2047</v>
      </c>
      <c r="D43" s="14" t="s">
        <v>1558</v>
      </c>
      <c r="E43" s="14" t="s">
        <v>2048</v>
      </c>
      <c r="G43" s="8" t="str">
        <f>IFERROR(__xludf.DUMMYFUNCTION(" GOOGLETRANSLATE(A43, ""en"", ""am"")"),"42")</f>
        <v>42</v>
      </c>
      <c r="H43" s="8" t="str">
        <f>IFERROR(__xludf.DUMMYFUNCTION(" GOOGLETRANSLATE(B43, ""en"", ""am"")"),"በአፉላ በወር አበባ መካከል ያለው እረፍት ምን ያህል ነው?")</f>
        <v>በአፉላ በወር አበባ መካከል ያለው እረፍት ምን ያህል ነው?</v>
      </c>
      <c r="I43" s="8" t="str">
        <f>IFERROR(__xludf.DUMMYFUNCTION(" GOOGLETRANSLATE(C43, ""en"", ""am"")"),"ሀ.2ደቂቃ ለ.5ደቂቃ ሐ.8ደቂቃ መ.10ደቂቃ")</f>
        <v>ሀ.2ደቂቃ ለ.5ደቂቃ ሐ.8ደቂቃ መ.10ደቂቃ</v>
      </c>
      <c r="J43" s="8" t="str">
        <f>IFERROR(__xludf.DUMMYFUNCTION(" GOOGLETRANSLATE(D43, ""en"", ""am"")"),"5 ደቂቃዎች")</f>
        <v>5 ደቂቃዎች</v>
      </c>
      <c r="K43" s="8" t="str">
        <f>IFERROR(__xludf.DUMMYFUNCTION(" GOOGLETRANSLATE(E43, ""en"", ""am"")"),"ቡድኖቹ እንደገና እንዲሰባሰቡ ለማስቻል በወር አበባ መካከል ያለው እረፍት 5 ደቂቃ ይቆያል።")</f>
        <v>ቡድኖቹ እንደገና እንዲሰባሰቡ ለማስቻል በወር አበባ መካከል ያለው እረፍት 5 ደቂቃ ይቆያል።</v>
      </c>
    </row>
    <row r="44" ht="22.5" customHeight="1">
      <c r="A44" s="13">
        <v>43.0</v>
      </c>
      <c r="B44" s="14" t="s">
        <v>2049</v>
      </c>
      <c r="C44" s="14" t="s">
        <v>2050</v>
      </c>
      <c r="D44" s="14" t="s">
        <v>2051</v>
      </c>
      <c r="E44" s="14" t="s">
        <v>2052</v>
      </c>
      <c r="G44" s="8" t="str">
        <f>IFERROR(__xludf.DUMMYFUNCTION(" GOOGLETRANSLATE(A44, ""en"", ""am"")"),"43")</f>
        <v>43</v>
      </c>
      <c r="H44" s="8" t="str">
        <f>IFERROR(__xludf.DUMMYFUNCTION(" GOOGLETRANSLATE(B44, ""en"", ""am"")"),"ዲስኩን ወደ ኋላ ለማለፍ ህጉ ምንድን ነው?")</f>
        <v>ዲስኩን ወደ ኋላ ለማለፍ ህጉ ምንድን ነው?</v>
      </c>
      <c r="I44" s="8" t="str">
        <f>IFERROR(__xludf.DUMMYFUNCTION(" GOOGLETRANSLATE(C44, ""en"", ""am"")"),"ሀ. በማንኛውም ጊዜ የተፈቀደ ለ. የሚፈቀደው በተከለሉ ዞኖች ብቻ ነው ሐ. በአንድ ይዞታ አንድ ጊዜ ብቻ ይፈቀዳል። መ. አይፈቀድም።")</f>
        <v>ሀ. በማንኛውም ጊዜ የተፈቀደ ለ. የሚፈቀደው በተከለሉ ዞኖች ብቻ ነው ሐ. በአንድ ይዞታ አንድ ጊዜ ብቻ ይፈቀዳል። መ. አይፈቀድም።</v>
      </c>
      <c r="J44" s="8" t="str">
        <f>IFERROR(__xludf.DUMMYFUNCTION(" GOOGLETRANSLATE(D44, ""en"", ""am"")"),"በማንኛውም ጊዜ ተፈቅዷል")</f>
        <v>በማንኛውም ጊዜ ተፈቅዷል</v>
      </c>
      <c r="K44" s="8" t="str">
        <f>IFERROR(__xludf.DUMMYFUNCTION(" GOOGLETRANSLATE(E44, ""en"", ""am"")"),"በጨዋታው ወቅት ተጫዋቾች በማንኛውም ጊዜ ዲስኩን ወደ ኋላ ሊያልፉ ይችላሉ።")</f>
        <v>በጨዋታው ወቅት ተጫዋቾች በማንኛውም ጊዜ ዲስኩን ወደ ኋላ ሊያልፉ ይችላሉ።</v>
      </c>
    </row>
    <row r="45" ht="22.5" customHeight="1">
      <c r="A45" s="13">
        <v>44.0</v>
      </c>
      <c r="B45" s="14" t="s">
        <v>2053</v>
      </c>
      <c r="C45" s="14" t="s">
        <v>2054</v>
      </c>
      <c r="D45" s="14" t="s">
        <v>2055</v>
      </c>
      <c r="E45" s="14" t="s">
        <v>2056</v>
      </c>
      <c r="G45" s="8" t="str">
        <f>IFERROR(__xludf.DUMMYFUNCTION(" GOOGLETRANSLATE(A45, ""en"", ""am"")"),"44")</f>
        <v>44</v>
      </c>
      <c r="H45" s="8" t="str">
        <f>IFERROR(__xludf.DUMMYFUNCTION(" GOOGLETRANSLATE(B45, ""en"", ""am"")"),"በአፉላ ጨዋታ መነሻው ቡድን እንዴት ይወሰናል?")</f>
        <v>በአፉላ ጨዋታ መነሻው ቡድን እንዴት ይወሰናል?</v>
      </c>
      <c r="I45" s="8" t="str">
        <f>IFERROR(__xludf.DUMMYFUNCTION(" GOOGLETRANSLATE(C45, ""en"", ""am"")"),"ሀ. ሳንቲም መወርወር ለ. የቀድሞ ግጥሚያ አሸናፊ ሐ. የዳኛ ምርጫ መ. የቤት ቡድን ይጀምራል")</f>
        <v>ሀ. ሳንቲም መወርወር ለ. የቀድሞ ግጥሚያ አሸናፊ ሐ. የዳኛ ምርጫ መ. የቤት ቡድን ይጀምራል</v>
      </c>
      <c r="J45" s="8" t="str">
        <f>IFERROR(__xludf.DUMMYFUNCTION(" GOOGLETRANSLATE(D45, ""en"", ""am"")"),"ሳንቲም መወርወር")</f>
        <v>ሳንቲም መወርወር</v>
      </c>
      <c r="K45" s="8" t="str">
        <f>IFERROR(__xludf.DUMMYFUNCTION(" GOOGLETRANSLATE(E45, ""en"", ""am"")"),"የሳንቲም ውርወራ የትኛው ቡድን ጨዋታውን እንደሚጀምር ይወስናል።")</f>
        <v>የሳንቲም ውርወራ የትኛው ቡድን ጨዋታውን እንደሚጀምር ይወስናል።</v>
      </c>
    </row>
    <row r="46" ht="22.5" customHeight="1">
      <c r="A46" s="13">
        <v>45.0</v>
      </c>
      <c r="B46" s="14" t="s">
        <v>2057</v>
      </c>
      <c r="C46" s="14" t="s">
        <v>2058</v>
      </c>
      <c r="D46" s="14" t="s">
        <v>2059</v>
      </c>
      <c r="E46" s="14" t="s">
        <v>2060</v>
      </c>
      <c r="G46" s="8" t="str">
        <f>IFERROR(__xludf.DUMMYFUNCTION(" GOOGLETRANSLATE(A46, ""en"", ""am"")"),"45")</f>
        <v>45</v>
      </c>
      <c r="H46" s="8" t="str">
        <f>IFERROR(__xludf.DUMMYFUNCTION(" GOOGLETRANSLATE(B46, ""en"", ""am"")"),"ከተቃራኒ ቡድኖች ሁለት ተጫዋቾች ዲስኩን በአንድ ጊዜ ቢይዙ ምን ይከሰታል?")</f>
        <v>ከተቃራኒ ቡድኖች ሁለት ተጫዋቾች ዲስኩን በአንድ ጊዜ ቢይዙ ምን ይከሰታል?</v>
      </c>
      <c r="I46" s="8" t="str">
        <f>IFERROR(__xludf.DUMMYFUNCTION(" GOOGLETRANSLATE(C46, ""en"", ""am"")"),"ሀ. ዳኛው ይዞታ ላይ ውሳኔ ይሰጣል። B. Turnaround C. ዝላይ ኳስ ይባላል። D. ጨዋታው ቀጥሏል።")</f>
        <v>ሀ. ዳኛው ይዞታ ላይ ውሳኔ ይሰጣል። B. Turnaround C. ዝላይ ኳስ ይባላል። D. ጨዋታው ቀጥሏል።</v>
      </c>
      <c r="J46" s="8" t="str">
        <f>IFERROR(__xludf.DUMMYFUNCTION(" GOOGLETRANSLATE(D46, ""en"", ""am"")"),"ዳኛው በይዞታ ላይ ውሳኔ ይሰጣል.")</f>
        <v>ዳኛው በይዞታ ላይ ውሳኔ ይሰጣል.</v>
      </c>
      <c r="K46" s="8" t="str">
        <f>IFERROR(__xludf.DUMMYFUNCTION(" GOOGLETRANSLATE(E46, ""en"", ""am"")"),"ዳኛው ዲስኩን በአንድ ጊዜ ለመያዝ ይወስናል.")</f>
        <v>ዳኛው ዲስኩን በአንድ ጊዜ ለመያዝ ይወስናል.</v>
      </c>
    </row>
    <row r="47" ht="22.5" customHeight="1">
      <c r="A47" s="13">
        <v>46.0</v>
      </c>
      <c r="B47" s="14" t="s">
        <v>2061</v>
      </c>
      <c r="C47" s="14" t="s">
        <v>2062</v>
      </c>
      <c r="D47" s="14" t="s">
        <v>2063</v>
      </c>
      <c r="E47" s="14" t="s">
        <v>2064</v>
      </c>
      <c r="G47" s="8" t="str">
        <f>IFERROR(__xludf.DUMMYFUNCTION(" GOOGLETRANSLATE(A47, ""en"", ""am"")"),"46")</f>
        <v>46</v>
      </c>
      <c r="H47" s="8" t="str">
        <f>IFERROR(__xludf.DUMMYFUNCTION(" GOOGLETRANSLATE(B47, ""en"", ""am"")"),"ከመከላከያ ዞን ነጥብ የማስቆጠር ህግ ምንድን ነው?")</f>
        <v>ከመከላከያ ዞን ነጥብ የማስቆጠር ህግ ምንድን ነው?</v>
      </c>
      <c r="I47" s="8" t="str">
        <f>IFERROR(__xludf.DUMMYFUNCTION(" GOOGLETRANSLATE(C47, ""en"", ""am"")"),"ሀ. የተፈቀደ ለ. አይፈቀድም። ሐ. የሚፈቀደው ተቃዋሚ ከሌለ ብቻ ነው። መ. የዳኛ ፍቃድ ያስፈልገዋል።")</f>
        <v>ሀ. የተፈቀደ ለ. አይፈቀድም። ሐ. የሚፈቀደው ተቃዋሚ ከሌለ ብቻ ነው። መ. የዳኛ ፍቃድ ያስፈልገዋል።</v>
      </c>
      <c r="J47" s="8" t="str">
        <f>IFERROR(__xludf.DUMMYFUNCTION(" GOOGLETRANSLATE(D47, ""en"", ""am"")"),"አይፈቀድም.")</f>
        <v>አይፈቀድም.</v>
      </c>
      <c r="K47" s="8" t="str">
        <f>IFERROR(__xludf.DUMMYFUNCTION(" GOOGLETRANSLATE(E47, ""en"", ""am"")"),"በአፉላ ህግ መሰረት ከመከላከያ ዞን ነጥብ ማስቆጠር አይፈቀድም።")</f>
        <v>በአፉላ ህግ መሰረት ከመከላከያ ዞን ነጥብ ማስቆጠር አይፈቀድም።</v>
      </c>
    </row>
    <row r="48" ht="22.5" customHeight="1">
      <c r="A48" s="13">
        <v>47.0</v>
      </c>
      <c r="B48" s="14" t="s">
        <v>2065</v>
      </c>
      <c r="C48" s="14" t="s">
        <v>2066</v>
      </c>
      <c r="D48" s="14" t="s">
        <v>2067</v>
      </c>
      <c r="E48" s="14" t="s">
        <v>2068</v>
      </c>
      <c r="G48" s="8" t="str">
        <f>IFERROR(__xludf.DUMMYFUNCTION(" GOOGLETRANSLATE(A48, ""en"", ""am"")"),"47")</f>
        <v>47</v>
      </c>
      <c r="H48" s="8" t="str">
        <f>IFERROR(__xludf.DUMMYFUNCTION(" GOOGLETRANSLATE(B48, ""en"", ""am"")"),"አንድ ተጫዋች በዲስክ ሊወስድ የሚችለው ከፍተኛው የእርምጃዎች ብዛት ስንት ነው?")</f>
        <v>አንድ ተጫዋች በዲስክ ሊወስድ የሚችለው ከፍተኛው የእርምጃዎች ብዛት ስንት ነው?</v>
      </c>
      <c r="I48" s="8" t="str">
        <f>IFERROR(__xludf.DUMMYFUNCTION(" GOOGLETRANSLATE(C48, ""en"", ""am"")"),"A. 1 ደረጃ B. 2 ደረጃዎች C. 3 ደረጃዎች መ. ምንም ገደብ የለም.")</f>
        <v>A. 1 ደረጃ B. 2 ደረጃዎች C. 3 ደረጃዎች መ. ምንም ገደብ የለም.</v>
      </c>
      <c r="J48" s="8" t="str">
        <f>IFERROR(__xludf.DUMMYFUNCTION(" GOOGLETRANSLATE(D48, ""en"", ""am"")"),"3 እርምጃዎች")</f>
        <v>3 እርምጃዎች</v>
      </c>
      <c r="K48" s="8" t="str">
        <f>IFERROR(__xludf.DUMMYFUNCTION(" GOOGLETRANSLATE(E48, ""en"", ""am"")"),"አንድ ተጫዋች በዲስክ ቢበዛ 3 እርምጃዎችን መውሰድ ይችላል።")</f>
        <v>አንድ ተጫዋች በዲስክ ቢበዛ 3 እርምጃዎችን መውሰድ ይችላል።</v>
      </c>
    </row>
    <row r="49" ht="22.5" customHeight="1">
      <c r="A49" s="13">
        <v>48.0</v>
      </c>
      <c r="B49" s="14" t="s">
        <v>2069</v>
      </c>
      <c r="C49" s="14" t="s">
        <v>2070</v>
      </c>
      <c r="D49" s="14" t="s">
        <v>1887</v>
      </c>
      <c r="E49" s="14" t="s">
        <v>2071</v>
      </c>
      <c r="G49" s="8" t="str">
        <f>IFERROR(__xludf.DUMMYFUNCTION(" GOOGLETRANSLATE(A49, ""en"", ""am"")"),"48")</f>
        <v>48</v>
      </c>
      <c r="H49" s="8" t="str">
        <f>IFERROR(__xludf.DUMMYFUNCTION(" GOOGLETRANSLATE(B49, ""en"", ""am"")"),"አንድ ዲስክ በድንበሩ መስመር ላይ ቢያርፍ ምን ይሆናል?")</f>
        <v>አንድ ዲስክ በድንበሩ መስመር ላይ ቢያርፍ ምን ይሆናል?</v>
      </c>
      <c r="I49" s="8" t="str">
        <f>IFERROR(__xludf.DUMMYFUNCTION(" GOOGLETRANSLATE(C49, ""en"", ""am"")"),"ሀ ጨዋታው ቀጥሏል። ለ. መዞር ሐ. ለተቃራኒ ቡድን ነፃ ውርወራ መ. ፎል ይባላል።")</f>
        <v>ሀ ጨዋታው ቀጥሏል። ለ. መዞር ሐ. ለተቃራኒ ቡድን ነፃ ውርወራ መ. ፎል ይባላል።</v>
      </c>
      <c r="J49" s="8" t="str">
        <f>IFERROR(__xludf.DUMMYFUNCTION(" GOOGLETRANSLATE(D49, ""en"", ""am"")"),"ጨዋታው ቀጥሏል።")</f>
        <v>ጨዋታው ቀጥሏል።</v>
      </c>
      <c r="K49" s="8" t="str">
        <f>IFERROR(__xludf.DUMMYFUNCTION(" GOOGLETRANSLATE(E49, ""en"", ""am"")"),"ዲስኩ በድንበር መስመር ላይ ካረፈ, ጨዋታው አሁንም ገደብ እንዳለ ሆኖ ይቀጥላል.")</f>
        <v>ዲስኩ በድንበር መስመር ላይ ካረፈ, ጨዋታው አሁንም ገደብ እንዳለ ሆኖ ይቀጥላል.</v>
      </c>
    </row>
    <row r="50" ht="22.5" customHeight="1">
      <c r="A50" s="13">
        <v>49.0</v>
      </c>
      <c r="B50" s="14" t="s">
        <v>2072</v>
      </c>
      <c r="C50" s="14" t="s">
        <v>2073</v>
      </c>
      <c r="D50" s="14" t="s">
        <v>2074</v>
      </c>
      <c r="E50" s="14" t="s">
        <v>2075</v>
      </c>
      <c r="G50" s="8" t="str">
        <f>IFERROR(__xludf.DUMMYFUNCTION(" GOOGLETRANSLATE(A50, ""en"", ""am"")"),"49")</f>
        <v>49</v>
      </c>
      <c r="H50" s="8" t="str">
        <f>IFERROR(__xludf.DUMMYFUNCTION(" GOOGLETRANSLATE(B50, ""en"", ""am"")"),"በጨዋታ ጊዜ ተጫዋቾችን የመተካት ህግ ምንድን ነው?")</f>
        <v>በጨዋታ ጊዜ ተጫዋቾችን የመተካት ህግ ምንድን ነው?</v>
      </c>
      <c r="I50" s="8" t="str">
        <f>IFERROR(__xludf.DUMMYFUNCTION(" GOOGLETRANSLATE(C50, ""en"", ""am"")"),"ሀ. በማንኛውም ጊዜ የተፈቀደ ለ. የሚፈቀደው በጊዜ ማብቂያ ጊዜ ብቻ ነው. ሐ. በእረፍት ጊዜ የተፈቀደ መ. አይፈቀድም.")</f>
        <v>ሀ. በማንኛውም ጊዜ የተፈቀደ ለ. የሚፈቀደው በጊዜ ማብቂያ ጊዜ ብቻ ነው. ሐ. በእረፍት ጊዜ የተፈቀደ መ. አይፈቀድም.</v>
      </c>
      <c r="J50" s="8" t="str">
        <f>IFERROR(__xludf.DUMMYFUNCTION(" GOOGLETRANSLATE(D50, ""en"", ""am"")"),"የሚፈቀደው በጊዜ ማብቂያ ጊዜ ብቻ ነው.")</f>
        <v>የሚፈቀደው በጊዜ ማብቂያ ጊዜ ብቻ ነው.</v>
      </c>
      <c r="K50" s="8" t="str">
        <f>IFERROR(__xludf.DUMMYFUNCTION(" GOOGLETRANSLATE(E50, ""en"", ""am"")"),"መተካት የሚፈቀደው በአፋሉላ ጊዜ መጨረሻ ላይ ብቻ ነው።")</f>
        <v>መተካት የሚፈቀደው በአፋሉላ ጊዜ መጨረሻ ላይ ብቻ ነው።</v>
      </c>
    </row>
    <row r="51" ht="22.5" customHeight="1">
      <c r="A51" s="13">
        <v>50.0</v>
      </c>
      <c r="B51" s="14" t="s">
        <v>2076</v>
      </c>
      <c r="C51" s="14" t="s">
        <v>2077</v>
      </c>
      <c r="D51" s="14" t="s">
        <v>1940</v>
      </c>
      <c r="E51" s="14" t="s">
        <v>2078</v>
      </c>
      <c r="G51" s="8" t="str">
        <f>IFERROR(__xludf.DUMMYFUNCTION(" GOOGLETRANSLATE(A51, ""en"", ""am"")"),"50")</f>
        <v>50</v>
      </c>
      <c r="H51" s="8" t="str">
        <f>IFERROR(__xludf.DUMMYFUNCTION(" GOOGLETRANSLATE(B51, ""en"", ""am"")"),"አንድ ተጫዋች ሆን ብሎ ዲስኩን ቢመታ ምን ይሆናል?")</f>
        <v>አንድ ተጫዋች ሆን ብሎ ዲስኩን ቢመታ ምን ይሆናል?</v>
      </c>
      <c r="I51" s="8" t="str">
        <f>IFERROR(__xludf.DUMMYFUNCTION(" GOOGLETRANSLATE(C51, ""en"", ""am"")"),"ሀ. ምንም ቅጣት የለም. ለ. መዞር ሐ. መጥፎ ማስጠንቀቂያ D. አወጣ")</f>
        <v>ሀ. ምንም ቅጣት የለም. ለ. መዞር ሐ. መጥፎ ማስጠንቀቂያ D. አወጣ</v>
      </c>
      <c r="J51" s="8" t="str">
        <f>IFERROR(__xludf.DUMMYFUNCTION(" GOOGLETRANSLATE(D51, ""en"", ""am"")"),"መዞር")</f>
        <v>መዞር</v>
      </c>
      <c r="K51" s="8" t="str">
        <f>IFERROR(__xludf.DUMMYFUNCTION(" GOOGLETRANSLATE(E51, ""en"", ""am"")"),"ሆን ተብሎ ዲስኩን መምታት የንብረቱን ለውጥ ያመጣል.")</f>
        <v>ሆን ተብሎ ዲስኩን መምታት የንብረቱን ለውጥ ያመጣል.</v>
      </c>
    </row>
    <row r="52" ht="22.5" customHeight="1">
      <c r="A52" s="13">
        <v>51.0</v>
      </c>
      <c r="B52" s="14" t="s">
        <v>2079</v>
      </c>
      <c r="C52" s="14" t="s">
        <v>2080</v>
      </c>
      <c r="D52" s="14" t="s">
        <v>1940</v>
      </c>
      <c r="E52" s="14" t="s">
        <v>2081</v>
      </c>
      <c r="G52" s="8" t="str">
        <f>IFERROR(__xludf.DUMMYFUNCTION(" GOOGLETRANSLATE(A52, ""en"", ""am"")"),"51")</f>
        <v>51</v>
      </c>
      <c r="H52" s="8" t="str">
        <f>IFERROR(__xludf.DUMMYFUNCTION(" GOOGLETRANSLATE(B52, ""en"", ""am"")"),"ዲስኩን ከ 10 ሰከንድ በላይ በመያዝ ቅጣቱ ምንድን ነው?")</f>
        <v>ዲስኩን ከ 10 ሰከንድ በላይ በመያዝ ቅጣቱ ምንድን ነው?</v>
      </c>
      <c r="I52" s="8" t="str">
        <f>IFERROR(__xludf.DUMMYFUNCTION(" GOOGLETRANSLATE(C52, ""en"", ""am"")"),"ሀ. መዞር ለ. መጥፎ ማስጠንቀቂያ ሐ. 2-ነጥብ መቀነስ መ. ለተቃራኒ ቡድን ነፃ ውርወራ")</f>
        <v>ሀ. መዞር ለ. መጥፎ ማስጠንቀቂያ ሐ. 2-ነጥብ መቀነስ መ. ለተቃራኒ ቡድን ነፃ ውርወራ</v>
      </c>
      <c r="J52" s="8" t="str">
        <f>IFERROR(__xludf.DUMMYFUNCTION(" GOOGLETRANSLATE(D52, ""en"", ""am"")"),"መዞር")</f>
        <v>መዞር</v>
      </c>
      <c r="K52" s="8" t="str">
        <f>IFERROR(__xludf.DUMMYFUNCTION(" GOOGLETRANSLATE(E52, ""en"", ""am"")"),"ዲስኩን ከ 10 ሰከንድ በላይ ማቆየት ለውጥ ያመጣል.")</f>
        <v>ዲስኩን ከ 10 ሰከንድ በላይ ማቆየት ለውጥ ያመጣል.</v>
      </c>
    </row>
    <row r="53" ht="22.5" customHeight="1">
      <c r="A53" s="13">
        <v>52.0</v>
      </c>
      <c r="B53" s="14" t="s">
        <v>2082</v>
      </c>
      <c r="C53" s="14" t="s">
        <v>2083</v>
      </c>
      <c r="D53" s="14" t="s">
        <v>2084</v>
      </c>
      <c r="E53" s="14" t="s">
        <v>2085</v>
      </c>
      <c r="G53" s="8" t="str">
        <f>IFERROR(__xludf.DUMMYFUNCTION(" GOOGLETRANSLATE(A53, ""en"", ""am"")"),"52")</f>
        <v>52</v>
      </c>
      <c r="H53" s="8" t="str">
        <f>IFERROR(__xludf.DUMMYFUNCTION(" GOOGLETRANSLATE(B53, ""en"", ""am"")"),"በጨዋታው ወቅት ዲስኩ ዳኛውን ቢመታ ምን ይሆናል?")</f>
        <v>በጨዋታው ወቅት ዲስኩ ዳኛውን ቢመታ ምን ይሆናል?</v>
      </c>
      <c r="I53" s="8" t="str">
        <f>IFERROR(__xludf.DUMMYFUNCTION(" GOOGLETRANSLATE(C53, ""en"", ""am"")"),"ሀ ጨዋታው ቀጥሏል። ለ. መዞር ሐ. ለተቃራኒ ቡድን ነፃ ውርወራ መ. ነጥቡን እንደገና ይጫወቱ።")</f>
        <v>ሀ ጨዋታው ቀጥሏል። ለ. መዞር ሐ. ለተቃራኒ ቡድን ነፃ ውርወራ መ. ነጥቡን እንደገና ይጫወቱ።</v>
      </c>
      <c r="J53" s="8" t="str">
        <f>IFERROR(__xludf.DUMMYFUNCTION(" GOOGLETRANSLATE(D53, ""en"", ""am"")"),"ነጥቡን እንደገና ይጫወቱ።")</f>
        <v>ነጥቡን እንደገና ይጫወቱ።</v>
      </c>
      <c r="K53" s="8" t="str">
        <f>IFERROR(__xludf.DUMMYFUNCTION(" GOOGLETRANSLATE(E53, ""en"", ""am"")"),"አንድ ዲስክ ዳኛውን ቢመታ ነጥቡ እንደገና ይጫወታል.")</f>
        <v>አንድ ዲስክ ዳኛውን ቢመታ ነጥቡ እንደገና ይጫወታል.</v>
      </c>
    </row>
    <row r="54" ht="22.5" customHeight="1">
      <c r="A54" s="13">
        <v>53.0</v>
      </c>
      <c r="B54" s="14" t="s">
        <v>2086</v>
      </c>
      <c r="C54" s="14" t="s">
        <v>2087</v>
      </c>
      <c r="D54" s="14" t="s">
        <v>2088</v>
      </c>
      <c r="E54" s="14" t="s">
        <v>2089</v>
      </c>
      <c r="G54" s="8" t="str">
        <f>IFERROR(__xludf.DUMMYFUNCTION(" GOOGLETRANSLATE(A54, ""en"", ""am"")"),"53")</f>
        <v>53</v>
      </c>
      <c r="H54" s="8" t="str">
        <f>IFERROR(__xludf.DUMMYFUNCTION(" GOOGLETRANSLATE(B54, ""en"", ""am"")"),"ተጫዋቾች ዲስኩን በእግራቸው ማገድ ይችላሉ?")</f>
        <v>ተጫዋቾች ዲስኩን በእግራቸው ማገድ ይችላሉ?</v>
      </c>
      <c r="I54" s="8" t="str">
        <f>IFERROR(__xludf.DUMMYFUNCTION(" GOOGLETRANSLATE(C54, ""en"", ""am"")"),"መ. አዎ፣ በማንኛውም ጊዜ። ለ. አዎ፣ ሲከላከል ብቻ። ሐ. አይ፣ በጭራሽ። መ. በዳኛው ይሁንታ ብቻ።")</f>
        <v>መ. አዎ፣ በማንኛውም ጊዜ። ለ. አዎ፣ ሲከላከል ብቻ። ሐ. አይ፣ በጭራሽ። መ. በዳኛው ይሁንታ ብቻ።</v>
      </c>
      <c r="J54" s="8" t="str">
        <f>IFERROR(__xludf.DUMMYFUNCTION(" GOOGLETRANSLATE(D54, ""en"", ""am"")"),"አይ፣ በጭራሽ።")</f>
        <v>አይ፣ በጭራሽ።</v>
      </c>
      <c r="K54" s="8" t="str">
        <f>IFERROR(__xludf.DUMMYFUNCTION(" GOOGLETRANSLATE(E54, ""en"", ""am"")"),"ተጫዋቾች ዲስኩን በእግራቸው እንዲዘጉ አይፈቀድላቸውም።")</f>
        <v>ተጫዋቾች ዲስኩን በእግራቸው እንዲዘጉ አይፈቀድላቸውም።</v>
      </c>
    </row>
    <row r="55" ht="22.5" customHeight="1">
      <c r="A55" s="13">
        <v>54.0</v>
      </c>
      <c r="B55" s="14" t="s">
        <v>2090</v>
      </c>
      <c r="C55" s="14" t="s">
        <v>2091</v>
      </c>
      <c r="D55" s="14" t="s">
        <v>2092</v>
      </c>
      <c r="E55" s="14" t="s">
        <v>2093</v>
      </c>
      <c r="G55" s="8" t="str">
        <f>IFERROR(__xludf.DUMMYFUNCTION(" GOOGLETRANSLATE(A55, ""en"", ""am"")"),"54")</f>
        <v>54</v>
      </c>
      <c r="H55" s="8" t="str">
        <f>IFERROR(__xludf.DUMMYFUNCTION(" GOOGLETRANSLATE(B55, ""en"", ""am"")"),"የአፋላ ግጥሚያ ከፍተኛው ቆይታ ስንት ነው?")</f>
        <v>የአፋላ ግጥሚያ ከፍተኛው ቆይታ ስንት ነው?</v>
      </c>
      <c r="I55" s="8" t="str">
        <f>IFERROR(__xludf.DUMMYFUNCTION(" GOOGLETRANSLATE(C55, ""en"", ""am"")"),"ሀ.30 ደቂቃ ለ.45ደቂቃ ሐ.60ደቂቃ መ.90ደቂቃ")</f>
        <v>ሀ.30 ደቂቃ ለ.45ደቂቃ ሐ.60ደቂቃ መ.90ደቂቃ</v>
      </c>
      <c r="J55" s="8" t="str">
        <f>IFERROR(__xludf.DUMMYFUNCTION(" GOOGLETRANSLATE(D55, ""en"", ""am"")"),"60 ደቂቃዎች")</f>
        <v>60 ደቂቃዎች</v>
      </c>
      <c r="K55" s="8" t="str">
        <f>IFERROR(__xludf.DUMMYFUNCTION(" GOOGLETRANSLATE(E55, ""en"", ""am"")"),"የአፋላ ግጥሚያ ቢበዛ 60 ደቂቃ ይቆያል።")</f>
        <v>የአፋላ ግጥሚያ ቢበዛ 60 ደቂቃ ይቆያል።</v>
      </c>
    </row>
    <row r="56" ht="22.5" customHeight="1">
      <c r="A56" s="13">
        <v>55.0</v>
      </c>
      <c r="B56" s="14" t="s">
        <v>2094</v>
      </c>
      <c r="C56" s="14" t="s">
        <v>1932</v>
      </c>
      <c r="D56" s="14" t="s">
        <v>1910</v>
      </c>
      <c r="E56" s="14" t="s">
        <v>2095</v>
      </c>
      <c r="G56" s="8" t="str">
        <f>IFERROR(__xludf.DUMMYFUNCTION(" GOOGLETRANSLATE(A56, ""en"", ""am"")"),"55")</f>
        <v>55</v>
      </c>
      <c r="H56" s="8" t="str">
        <f>IFERROR(__xludf.DUMMYFUNCTION(" GOOGLETRANSLATE(B56, ""en"", ""am"")"),"በጨዋታ ጊዜ አንድ ቡድን በሜዳ ላይ ምን ያህል ተጫዋቾች ሊኖሩት ይገባል?")</f>
        <v>በጨዋታ ጊዜ አንድ ቡድን በሜዳ ላይ ምን ያህል ተጫዋቾች ሊኖሩት ይገባል?</v>
      </c>
      <c r="I56" s="8" t="str">
        <f>IFERROR(__xludf.DUMMYFUNCTION(" GOOGLETRANSLATE(C56, ""en"", ""am"")"),"ሀ. 5 ተጫዋቾች ለ. 6 ተጫዋቾች ሐ. 7 ተጫዋቾች D. 8 ተጫዋቾች")</f>
        <v>ሀ. 5 ተጫዋቾች ለ. 6 ተጫዋቾች ሐ. 7 ተጫዋቾች D. 8 ተጫዋቾች</v>
      </c>
      <c r="J56" s="8" t="str">
        <f>IFERROR(__xludf.DUMMYFUNCTION(" GOOGLETRANSLATE(D56, ""en"", ""am"")"),"7 ተጫዋቾች")</f>
        <v>7 ተጫዋቾች</v>
      </c>
      <c r="K56" s="8" t="str">
        <f>IFERROR(__xludf.DUMMYFUNCTION(" GOOGLETRANSLATE(E56, ""en"", ""am"")"),"በጨዋታው ወቅት እያንዳንዱ ቡድን በሜዳው ላይ 7 ተጫዋቾች ሊኖሩት ይገባል።")</f>
        <v>በጨዋታው ወቅት እያንዳንዱ ቡድን በሜዳው ላይ 7 ተጫዋቾች ሊኖሩት ይገባል።</v>
      </c>
    </row>
    <row r="57" ht="22.5" customHeight="1">
      <c r="A57" s="13">
        <v>56.0</v>
      </c>
      <c r="B57" s="14" t="s">
        <v>1938</v>
      </c>
      <c r="C57" s="14" t="s">
        <v>2096</v>
      </c>
      <c r="D57" s="14" t="s">
        <v>1940</v>
      </c>
      <c r="E57" s="14" t="s">
        <v>2097</v>
      </c>
      <c r="G57" s="8" t="str">
        <f>IFERROR(__xludf.DUMMYFUNCTION(" GOOGLETRANSLATE(A57, ""en"", ""am"")"),"56")</f>
        <v>56</v>
      </c>
      <c r="H57" s="8" t="str">
        <f>IFERROR(__xludf.DUMMYFUNCTION(" GOOGLETRANSLATE(B57, ""en"", ""am"")"),"አንድ ተጫዋች ዲስኩን ሲይዝ ከድንበር ቢወጣ ምን ይከሰታል?")</f>
        <v>አንድ ተጫዋች ዲስኩን ሲይዝ ከድንበር ቢወጣ ምን ይከሰታል?</v>
      </c>
      <c r="I57" s="8" t="str">
        <f>IFERROR(__xludf.DUMMYFUNCTION(" GOOGLETRANSLATE(C57, ""en"", ""am"")"),"A. turnaround B. ለተቃራኒ ቡድን ነፃ ውርወራ C. ጨዋታው ቀጥሏል። መ. ምንም ቅጣት የለም.")</f>
        <v>A. turnaround B. ለተቃራኒ ቡድን ነፃ ውርወራ C. ጨዋታው ቀጥሏል። መ. ምንም ቅጣት የለም.</v>
      </c>
      <c r="J57" s="8" t="str">
        <f>IFERROR(__xludf.DUMMYFUNCTION(" GOOGLETRANSLATE(D57, ""en"", ""am"")"),"መዞር")</f>
        <v>መዞር</v>
      </c>
      <c r="K57" s="8" t="str">
        <f>IFERROR(__xludf.DUMMYFUNCTION(" GOOGLETRANSLATE(E57, ""en"", ""am"")"),"ዲስኩን ከድንበር ማውጣት ለውጥ ያመጣል.")</f>
        <v>ዲስኩን ከድንበር ማውጣት ለውጥ ያመጣል.</v>
      </c>
    </row>
    <row r="58" ht="22.5" customHeight="1">
      <c r="A58" s="13">
        <v>57.0</v>
      </c>
      <c r="B58" s="14" t="s">
        <v>2098</v>
      </c>
      <c r="C58" s="14" t="s">
        <v>2099</v>
      </c>
      <c r="D58" s="14" t="s">
        <v>1975</v>
      </c>
      <c r="E58" s="14" t="s">
        <v>2100</v>
      </c>
      <c r="G58" s="8" t="str">
        <f>IFERROR(__xludf.DUMMYFUNCTION(" GOOGLETRANSLATE(A58, ""en"", ""am"")"),"57")</f>
        <v>57</v>
      </c>
      <c r="H58" s="8" t="str">
        <f>IFERROR(__xludf.DUMMYFUNCTION(" GOOGLETRANSLATE(B58, ""en"", ""am"")"),"አንድ ቡድን ከአጥቂ ክልል ለተገኘው ጎል ስንት ነጥብ ያገኛል?")</f>
        <v>አንድ ቡድን ከአጥቂ ክልል ለተገኘው ጎል ስንት ነጥብ ያገኛል?</v>
      </c>
      <c r="I58" s="8" t="str">
        <f>IFERROR(__xludf.DUMMYFUNCTION(" GOOGLETRANSLATE(C58, ""en"", ""am"")"),"ሀ. 1 ነጥብ ለ. 2 ነጥብ ሐ. 3 ነጥብ መ. 4 ነጥብ")</f>
        <v>ሀ. 1 ነጥብ ለ. 2 ነጥብ ሐ. 3 ነጥብ መ. 4 ነጥብ</v>
      </c>
      <c r="J58" s="8" t="str">
        <f>IFERROR(__xludf.DUMMYFUNCTION(" GOOGLETRANSLATE(D58, ""en"", ""am"")"),"1 ነጥብ")</f>
        <v>1 ነጥብ</v>
      </c>
      <c r="K58" s="8" t="str">
        <f>IFERROR(__xludf.DUMMYFUNCTION(" GOOGLETRANSLATE(E58, ""en"", ""am"")"),"ከአጥቂ ክልል የተቆጠረው ጎል 1 ነጥብ ነው።")</f>
        <v>ከአጥቂ ክልል የተቆጠረው ጎል 1 ነጥብ ነው።</v>
      </c>
    </row>
    <row r="59" ht="22.5" customHeight="1">
      <c r="A59" s="13">
        <v>58.0</v>
      </c>
      <c r="B59" s="14" t="s">
        <v>2101</v>
      </c>
      <c r="C59" s="14" t="s">
        <v>2023</v>
      </c>
      <c r="D59" s="14" t="s">
        <v>2102</v>
      </c>
      <c r="E59" s="14" t="s">
        <v>2103</v>
      </c>
      <c r="G59" s="8" t="str">
        <f>IFERROR(__xludf.DUMMYFUNCTION(" GOOGLETRANSLATE(A59, ""en"", ""am"")"),"58")</f>
        <v>58</v>
      </c>
      <c r="H59" s="8" t="str">
        <f>IFERROR(__xludf.DUMMYFUNCTION(" GOOGLETRANSLATE(B59, ""en"", ""am"")"),"አንድ ተጫዋች ከዳኛ ጋር ሲጨቃጨቅ ቅጣቱ ምንድን ነው?")</f>
        <v>አንድ ተጫዋች ከዳኛ ጋር ሲጨቃጨቅ ቅጣቱ ምንድን ነው?</v>
      </c>
      <c r="I59" s="8" t="str">
        <f>IFERROR(__xludf.DUMMYFUNCTION(" GOOGLETRANSLATE(C59, ""en"", ""am"")"),"ሀ. መጥፎ ማስጠንቀቂያ ለ. ቢጫ ካርድ ሐ. መዞር D. ባለ2-ነጥብ መቀነስ")</f>
        <v>ሀ. መጥፎ ማስጠንቀቂያ ለ. ቢጫ ካርድ ሐ. መዞር D. ባለ2-ነጥብ መቀነስ</v>
      </c>
      <c r="J59" s="8" t="str">
        <f>IFERROR(__xludf.DUMMYFUNCTION(" GOOGLETRANSLATE(D59, ""en"", ""am"")"),"መጥፎ ማስጠንቀቂያ")</f>
        <v>መጥፎ ማስጠንቀቂያ</v>
      </c>
      <c r="K59" s="8" t="str">
        <f>IFERROR(__xludf.DUMMYFUNCTION(" GOOGLETRANSLATE(E59, ""en"", ""am"")"),"ከዳኛው ጋር መጨቃጨቅ መጥፎ ማስጠንቀቂያ ነው።")</f>
        <v>ከዳኛው ጋር መጨቃጨቅ መጥፎ ማስጠንቀቂያ ነው።</v>
      </c>
    </row>
    <row r="60" ht="22.5" customHeight="1">
      <c r="A60" s="13">
        <v>59.0</v>
      </c>
      <c r="B60" s="14" t="s">
        <v>2104</v>
      </c>
      <c r="C60" s="14" t="s">
        <v>2105</v>
      </c>
      <c r="D60" s="14" t="s">
        <v>2051</v>
      </c>
      <c r="E60" s="14" t="s">
        <v>2106</v>
      </c>
      <c r="G60" s="8" t="str">
        <f>IFERROR(__xludf.DUMMYFUNCTION(" GOOGLETRANSLATE(A60, ""en"", ""am"")"),"59")</f>
        <v>59</v>
      </c>
      <c r="H60" s="8" t="str">
        <f>IFERROR(__xludf.DUMMYFUNCTION(" GOOGLETRANSLATE(B60, ""en"", ""am"")"),"በመከላከያ ዞን ውስጥ ዲስኩን ለቡድን ጓደኛ ለማለፍ ህጉ ምንድን ነው?")</f>
        <v>በመከላከያ ዞን ውስጥ ዲስኩን ለቡድን ጓደኛ ለማለፍ ህጉ ምንድን ነው?</v>
      </c>
      <c r="I60" s="8" t="str">
        <f>IFERROR(__xludf.DUMMYFUNCTION(" GOOGLETRANSLATE(C60, ""en"", ""am"")"),"ሀ. በማንኛውም ጊዜ ይፈቀዳል B. የሚፈቀደው ከ5 ሰከንድ በኋላ ብቻ ነው። ሐ. አይፈቀድም. መ. በአንድ ይዞታ አንድ ጊዜ ብቻ ይፈቀዳል።")</f>
        <v>ሀ. በማንኛውም ጊዜ ይፈቀዳል B. የሚፈቀደው ከ5 ሰከንድ በኋላ ብቻ ነው። ሐ. አይፈቀድም. መ. በአንድ ይዞታ አንድ ጊዜ ብቻ ይፈቀዳል።</v>
      </c>
      <c r="J60" s="8" t="str">
        <f>IFERROR(__xludf.DUMMYFUNCTION(" GOOGLETRANSLATE(D60, ""en"", ""am"")"),"በማንኛውም ጊዜ ተፈቅዷል")</f>
        <v>በማንኛውም ጊዜ ተፈቅዷል</v>
      </c>
      <c r="K60" s="8" t="str">
        <f>IFERROR(__xludf.DUMMYFUNCTION(" GOOGLETRANSLATE(E60, ""en"", ""am"")"),"ተጫዋቾች በማንኛውም ጊዜ ዲስኩን በመከላከያ ዞን ውስጥ ላሉ የቡድን አጋሮች ማስተላለፍ ይችላሉ።")</f>
        <v>ተጫዋቾች በማንኛውም ጊዜ ዲስኩን በመከላከያ ዞን ውስጥ ላሉ የቡድን አጋሮች ማስተላለፍ ይችላሉ።</v>
      </c>
    </row>
    <row r="61" ht="22.5" customHeight="1">
      <c r="A61" s="13">
        <v>60.0</v>
      </c>
      <c r="B61" s="14" t="s">
        <v>2107</v>
      </c>
      <c r="C61" s="14" t="s">
        <v>2108</v>
      </c>
      <c r="D61" s="14" t="s">
        <v>2109</v>
      </c>
      <c r="E61" s="14" t="s">
        <v>2110</v>
      </c>
      <c r="G61" s="8" t="str">
        <f>IFERROR(__xludf.DUMMYFUNCTION(" GOOGLETRANSLATE(A61, ""en"", ""am"")"),"60")</f>
        <v>60</v>
      </c>
      <c r="H61" s="8" t="str">
        <f>IFERROR(__xludf.DUMMYFUNCTION(" GOOGLETRANSLATE(B61, ""en"", ""am"")"),"ለአንድ ቡድን በአንድ ግጥሚያ ስንት ጊዜ ማብቂያዎች ይፈቀዳሉ?")</f>
        <v>ለአንድ ቡድን በአንድ ግጥሚያ ስንት ጊዜ ማብቂያዎች ይፈቀዳሉ?</v>
      </c>
      <c r="I61" s="8" t="str">
        <f>IFERROR(__xludf.DUMMYFUNCTION(" GOOGLETRANSLATE(C61, ""en"", ""am"")"),"ሀ. 1 ጊዜ ጊዜው አልፎበታል ለ. 2 ጊዜ በሲ. 3 ጊዜ በዲ 4 ጊዜ በላይ")</f>
        <v>ሀ. 1 ጊዜ ጊዜው አልፎበታል ለ. 2 ጊዜ በሲ. 3 ጊዜ በዲ 4 ጊዜ በላይ</v>
      </c>
      <c r="J61" s="8" t="str">
        <f>IFERROR(__xludf.DUMMYFUNCTION(" GOOGLETRANSLATE(D61, ""en"", ""am"")"),"3 ጊዜ በላይ")</f>
        <v>3 ጊዜ በላይ</v>
      </c>
      <c r="K61" s="8" t="str">
        <f>IFERROR(__xludf.DUMMYFUNCTION(" GOOGLETRANSLATE(E61, ""en"", ""am"")"),"እያንዳንዱ ቡድን በአንድ ግጥሚያ 3 ጊዜ ማብቂያዎች ይፈቀዳል።")</f>
        <v>እያንዳንዱ ቡድን በአንድ ግጥሚያ 3 ጊዜ ማብቂያዎች ይፈቀዳል።</v>
      </c>
    </row>
    <row r="62" ht="22.5" customHeight="1">
      <c r="A62" s="13">
        <v>61.0</v>
      </c>
      <c r="B62" s="14" t="s">
        <v>2111</v>
      </c>
      <c r="C62" s="14" t="s">
        <v>2096</v>
      </c>
      <c r="D62" s="14" t="s">
        <v>1940</v>
      </c>
      <c r="E62" s="14" t="s">
        <v>2112</v>
      </c>
      <c r="G62" s="8" t="str">
        <f>IFERROR(__xludf.DUMMYFUNCTION(" GOOGLETRANSLATE(A62, ""en"", ""am"")"),"61")</f>
        <v>61</v>
      </c>
      <c r="H62" s="8" t="str">
        <f>IFERROR(__xludf.DUMMYFUNCTION(" GOOGLETRANSLATE(B62, ""en"", ""am"")"),"በጨዋታው ወቅት ዲስኩ መሬቱን ቢነካው ምን ይሆናል?")</f>
        <v>በጨዋታው ወቅት ዲስኩ መሬቱን ቢነካው ምን ይሆናል?</v>
      </c>
      <c r="I62" s="8" t="str">
        <f>IFERROR(__xludf.DUMMYFUNCTION(" GOOGLETRANSLATE(C62, ""en"", ""am"")"),"A. turnaround B. ለተቃራኒ ቡድን ነፃ ውርወራ C. ጨዋታው ቀጥሏል። መ. ምንም ቅጣት የለም.")</f>
        <v>A. turnaround B. ለተቃራኒ ቡድን ነፃ ውርወራ C. ጨዋታው ቀጥሏል። መ. ምንም ቅጣት የለም.</v>
      </c>
      <c r="J62" s="8" t="str">
        <f>IFERROR(__xludf.DUMMYFUNCTION(" GOOGLETRANSLATE(D62, ""en"", ""am"")"),"መዞር")</f>
        <v>መዞር</v>
      </c>
      <c r="K62" s="8" t="str">
        <f>IFERROR(__xludf.DUMMYFUNCTION(" GOOGLETRANSLATE(E62, ""en"", ""am"")"),"በጨዋታው ወቅት ዲስኩ መሬቱን ከነካው መዞርን ያመጣል.")</f>
        <v>በጨዋታው ወቅት ዲስኩ መሬቱን ከነካው መዞርን ያመጣል.</v>
      </c>
    </row>
    <row r="63" ht="22.5" customHeight="1">
      <c r="A63" s="13">
        <v>62.0</v>
      </c>
      <c r="B63" s="14" t="s">
        <v>2113</v>
      </c>
      <c r="C63" s="14" t="s">
        <v>2114</v>
      </c>
      <c r="D63" s="14" t="s">
        <v>2115</v>
      </c>
      <c r="E63" s="14" t="s">
        <v>2116</v>
      </c>
      <c r="G63" s="8" t="str">
        <f>IFERROR(__xludf.DUMMYFUNCTION(" GOOGLETRANSLATE(A63, ""en"", ""am"")"),"62")</f>
        <v>62</v>
      </c>
      <c r="H63" s="8" t="str">
        <f>IFERROR(__xludf.DUMMYFUNCTION(" GOOGLETRANSLATE(B63, ""en"", ""am"")"),"የአፉላ ዲስክ ኦፊሴላዊ መጠን ስንት ነው?")</f>
        <v>የአፉላ ዲስክ ኦፊሴላዊ መጠን ስንት ነው?</v>
      </c>
      <c r="I63" s="8" t="str">
        <f>IFERROR(__xludf.DUMMYFUNCTION(" GOOGLETRANSLATE(C63, ""en"", ""am"")"),"ሀ 20 ሴሜ ዲያሜት B. 25 ሴሜ ዲያሜትር ሐ. 30 ሴሜ ዲያሜትር መ. 35 ሴሜ ዲያሜትር")</f>
        <v>ሀ 20 ሴሜ ዲያሜት B. 25 ሴሜ ዲያሜትር ሐ. 30 ሴሜ ዲያሜትር መ. 35 ሴሜ ዲያሜትር</v>
      </c>
      <c r="J63" s="8" t="str">
        <f>IFERROR(__xludf.DUMMYFUNCTION(" GOOGLETRANSLATE(D63, ""en"", ""am"")"),"25 ሴንቲ ሜትር ዲያሜትር")</f>
        <v>25 ሴንቲ ሜትር ዲያሜትር</v>
      </c>
      <c r="K63" s="8" t="str">
        <f>IFERROR(__xludf.DUMMYFUNCTION(" GOOGLETRANSLATE(E63, ""en"", ""am"")"),"የአፋላ ዲስክ ኦፊሴላዊ መጠን በዲያሜትር 25 ሴንቲሜትር ነው።")</f>
        <v>የአፋላ ዲስክ ኦፊሴላዊ መጠን በዲያሜትር 25 ሴንቲሜትር ነው።</v>
      </c>
    </row>
    <row r="64" ht="22.5" customHeight="1">
      <c r="A64" s="13">
        <v>63.0</v>
      </c>
      <c r="B64" s="14" t="s">
        <v>2117</v>
      </c>
      <c r="C64" s="14" t="s">
        <v>2118</v>
      </c>
      <c r="D64" s="14" t="s">
        <v>1451</v>
      </c>
      <c r="E64" s="14" t="s">
        <v>2119</v>
      </c>
      <c r="G64" s="8" t="str">
        <f>IFERROR(__xludf.DUMMYFUNCTION(" GOOGLETRANSLATE(A64, ""en"", ""am"")"),"63")</f>
        <v>63</v>
      </c>
      <c r="H64" s="8" t="str">
        <f>IFERROR(__xludf.DUMMYFUNCTION(" GOOGLETRANSLATE(B64, ""en"", ""am"")"),"አንድ ተጫዋች ዲስኩን በቀጥታ ወደ ጎል ውስጥ በመወርወር ጎል ማስቆጠር ይችላል?")</f>
        <v>አንድ ተጫዋች ዲስኩን በቀጥታ ወደ ጎል ውስጥ በመወርወር ጎል ማስቆጠር ይችላል?</v>
      </c>
      <c r="I64" s="8" t="str">
        <f>IFERROR(__xludf.DUMMYFUNCTION(" GOOGLETRANSLATE(C64, ""en"", ""am"")"),"ሀ. አዎ ለ. አይ ሐ. ካልተቃወሙ ብቻ። መ. በዳኛው ይሁንታ ብቻ።")</f>
        <v>ሀ. አዎ ለ. አይ ሐ. ካልተቃወሙ ብቻ። መ. በዳኛው ይሁንታ ብቻ።</v>
      </c>
      <c r="J64" s="8" t="str">
        <f>IFERROR(__xludf.DUMMYFUNCTION(" GOOGLETRANSLATE(D64, ""en"", ""am"")"),"አዎ")</f>
        <v>አዎ</v>
      </c>
      <c r="K64" s="8" t="str">
        <f>IFERROR(__xludf.DUMMYFUNCTION(" GOOGLETRANSLATE(E64, ""en"", ""am"")"),"ተጨዋቾች ዲስኩን በቀጥታ ወደ ጎል በመወርወር ማስቆጠር ይችላሉ።")</f>
        <v>ተጨዋቾች ዲስኩን በቀጥታ ወደ ጎል በመወርወር ማስቆጠር ይችላሉ።</v>
      </c>
    </row>
    <row r="65" ht="22.5" customHeight="1">
      <c r="A65" s="13">
        <v>64.0</v>
      </c>
      <c r="B65" s="14" t="s">
        <v>2120</v>
      </c>
      <c r="C65" s="14" t="s">
        <v>2121</v>
      </c>
      <c r="D65" s="14" t="s">
        <v>1940</v>
      </c>
      <c r="E65" s="14" t="s">
        <v>2122</v>
      </c>
      <c r="G65" s="8" t="str">
        <f>IFERROR(__xludf.DUMMYFUNCTION(" GOOGLETRANSLATE(A65, ""en"", ""am"")"),"64")</f>
        <v>64</v>
      </c>
      <c r="H65" s="8" t="str">
        <f>IFERROR(__xludf.DUMMYFUNCTION(" GOOGLETRANSLATE(B65, ""en"", ""am"")"),"አንድ ተጫዋች ዲስኩን ቢይዝ እና ወደ ግብ ክልል ውስጥ ቢገባ ምን ይከሰታል?")</f>
        <v>አንድ ተጫዋች ዲስኩን ቢይዝ እና ወደ ግብ ክልል ውስጥ ቢገባ ምን ይከሰታል?</v>
      </c>
      <c r="I65" s="8" t="str">
        <f>IFERROR(__xludf.DUMMYFUNCTION(" GOOGLETRANSLATE(C65, ""en"", ""am"")"),"ሀ. መዞር ለ. ለተቃራኒ ቡድን ነፃ ውርወራ C. ግብ ተሰጥቷል። D. ጨዋታው ቀጥሏል።")</f>
        <v>ሀ. መዞር ለ. ለተቃራኒ ቡድን ነፃ ውርወራ C. ግብ ተሰጥቷል። D. ጨዋታው ቀጥሏል።</v>
      </c>
      <c r="J65" s="8" t="str">
        <f>IFERROR(__xludf.DUMMYFUNCTION(" GOOGLETRANSLATE(D65, ""en"", ""am"")"),"መዞር")</f>
        <v>መዞር</v>
      </c>
      <c r="K65" s="8" t="str">
        <f>IFERROR(__xludf.DUMMYFUNCTION(" GOOGLETRANSLATE(E65, ""en"", ""am"")"),"ዲስኩን በመያዝ ወደ ግብ ክልል ውስጥ መግባቱ ለውጥ ያመጣል።")</f>
        <v>ዲስኩን በመያዝ ወደ ግብ ክልል ውስጥ መግባቱ ለውጥ ያመጣል።</v>
      </c>
    </row>
    <row r="66" ht="22.5" customHeight="1">
      <c r="A66" s="13">
        <v>65.0</v>
      </c>
      <c r="B66" s="14" t="s">
        <v>2123</v>
      </c>
      <c r="C66" s="14" t="s">
        <v>2124</v>
      </c>
      <c r="D66" s="14" t="s">
        <v>1630</v>
      </c>
      <c r="E66" s="14" t="s">
        <v>2125</v>
      </c>
      <c r="G66" s="8" t="str">
        <f>IFERROR(__xludf.DUMMYFUNCTION(" GOOGLETRANSLATE(A66, ""en"", ""am"")"),"65")</f>
        <v>65</v>
      </c>
      <c r="H66" s="8" t="str">
        <f>IFERROR(__xludf.DUMMYFUNCTION(" GOOGLETRANSLATE(B66, ""en"", ""am"")"),"በጨዋታ ጊዜ ዲስኩን ለመያዝ ሁለቱንም እጆች መጠቀም ቅጣቱ ምንድን ነው?")</f>
        <v>በጨዋታ ጊዜ ዲስኩን ለመያዝ ሁለቱንም እጆች መጠቀም ቅጣቱ ምንድን ነው?</v>
      </c>
      <c r="I66" s="8" t="str">
        <f>IFERROR(__xludf.DUMMYFUNCTION(" GOOGLETRANSLATE(C66, ""en"", ""am"")"),"ሀ. ምንም ቅጣት የለም. ለ. መዞር ሐ. መጥፎ ማስጠንቀቂያ መ. ለተቃራኒ ቡድን ነፃ ውርወራ")</f>
        <v>ሀ. ምንም ቅጣት የለም. ለ. መዞር ሐ. መጥፎ ማስጠንቀቂያ መ. ለተቃራኒ ቡድን ነፃ ውርወራ</v>
      </c>
      <c r="J66" s="8" t="str">
        <f>IFERROR(__xludf.DUMMYFUNCTION(" GOOGLETRANSLATE(D66, ""en"", ""am"")"),"ምንም ቅጣት የለም.")</f>
        <v>ምንም ቅጣት የለም.</v>
      </c>
      <c r="K66" s="8" t="str">
        <f>IFERROR(__xludf.DUMMYFUNCTION(" GOOGLETRANSLATE(E66, ""en"", ""am"")"),"ተጫዋቾች ዲስኩን በሁለቱም እጆች እንዲይዙ ይፈቀድላቸዋል.")</f>
        <v>ተጫዋቾች ዲስኩን በሁለቱም እጆች እንዲይዙ ይፈቀድላቸዋል.</v>
      </c>
    </row>
    <row r="67" ht="22.5" customHeight="1">
      <c r="A67" s="13">
        <v>66.0</v>
      </c>
      <c r="B67" s="14" t="s">
        <v>2126</v>
      </c>
      <c r="C67" s="14" t="s">
        <v>2127</v>
      </c>
      <c r="D67" s="14" t="s">
        <v>2128</v>
      </c>
      <c r="E67" s="14" t="s">
        <v>2129</v>
      </c>
      <c r="G67" s="8" t="str">
        <f>IFERROR(__xludf.DUMMYFUNCTION(" GOOGLETRANSLATE(A67, ""en"", ""am"")"),"66")</f>
        <v>66</v>
      </c>
      <c r="H67" s="8" t="str">
        <f>IFERROR(__xludf.DUMMYFUNCTION(" GOOGLETRANSLATE(B67, ""en"", ""am"")"),"ከጥፋት በኋላ ጨዋታውን ለመቀጠል ህጉ ምንድን ነው?")</f>
        <v>ከጥፋት በኋላ ጨዋታውን ለመቀጠል ህጉ ምንድን ነው?</v>
      </c>
      <c r="I67" s="8" t="str">
        <f>IFERROR(__xludf.DUMMYFUNCTION(" GOOGLETRANSLATE(C67, ""en"", ""am"")"),"ሀ. ለተሸነፈው ቡድን ነፃ ውርወራ B. Turnaround C. ነጥቡን እንደገና ይጫወቱ። መ. ዳኛው ይወስናል.")</f>
        <v>ሀ. ለተሸነፈው ቡድን ነፃ ውርወራ B. Turnaround C. ነጥቡን እንደገና ይጫወቱ። መ. ዳኛው ይወስናል.</v>
      </c>
      <c r="J67" s="8" t="str">
        <f>IFERROR(__xludf.DUMMYFUNCTION(" GOOGLETRANSLATE(D67, ""en"", ""am"")"),"ለተሸነፈው ቡድን ነፃ ውርወራ")</f>
        <v>ለተሸነፈው ቡድን ነፃ ውርወራ</v>
      </c>
      <c r="K67" s="8" t="str">
        <f>IFERROR(__xludf.DUMMYFUNCTION(" GOOGLETRANSLATE(E67, ""en"", ""am"")"),"ጥፋት ከተፈፀመ በኋላ አጥቂው ቡድን የፍፁም ቅጣት ምት ይሰጣል።")</f>
        <v>ጥፋት ከተፈፀመ በኋላ አጥቂው ቡድን የፍፁም ቅጣት ምት ይሰጣል።</v>
      </c>
    </row>
    <row r="68" ht="22.5" customHeight="1">
      <c r="A68" s="13">
        <v>67.0</v>
      </c>
      <c r="B68" s="14" t="s">
        <v>2130</v>
      </c>
      <c r="C68" s="14" t="s">
        <v>2131</v>
      </c>
      <c r="D68" s="14" t="s">
        <v>1956</v>
      </c>
      <c r="E68" s="14" t="s">
        <v>2132</v>
      </c>
      <c r="G68" s="8" t="str">
        <f>IFERROR(__xludf.DUMMYFUNCTION(" GOOGLETRANSLATE(A68, ""en"", ""am"")"),"67")</f>
        <v>67</v>
      </c>
      <c r="H68" s="8" t="str">
        <f>IFERROR(__xludf.DUMMYFUNCTION(" GOOGLETRANSLATE(B68, ""en"", ""am"")"),"በመደበኛ አፋሉላ ግጥሚያ ውስጥ ስንት ወቅቶች አሉ?")</f>
        <v>በመደበኛ አፋሉላ ግጥሚያ ውስጥ ስንት ወቅቶች አሉ?</v>
      </c>
      <c r="I68" s="8" t="str">
        <f>IFERROR(__xludf.DUMMYFUNCTION(" GOOGLETRANSLATE(C68, ""en"", ""am"")"),"ሀ.2 ወቅቶች ለ. 3 ወቅቶች ሐ. 4 ወቅቶች መ. 5 ወቅቶች")</f>
        <v>ሀ.2 ወቅቶች ለ. 3 ወቅቶች ሐ. 4 ወቅቶች መ. 5 ወቅቶች</v>
      </c>
      <c r="J68" s="8" t="str">
        <f>IFERROR(__xludf.DUMMYFUNCTION(" GOOGLETRANSLATE(D68, ""en"", ""am"")"),"4 ወቅቶች")</f>
        <v>4 ወቅቶች</v>
      </c>
      <c r="K68" s="8" t="str">
        <f>IFERROR(__xludf.DUMMYFUNCTION(" GOOGLETRANSLATE(E68, ""en"", ""am"")"),"መደበኛ የአፋላ ግጥሚያ 4 ጊዜዎችን ያካትታል።")</f>
        <v>መደበኛ የአፋላ ግጥሚያ 4 ጊዜዎችን ያካትታል።</v>
      </c>
    </row>
    <row r="69" ht="22.5" customHeight="1">
      <c r="A69" s="13">
        <v>68.0</v>
      </c>
      <c r="B69" s="14" t="s">
        <v>2133</v>
      </c>
      <c r="C69" s="14" t="s">
        <v>2134</v>
      </c>
      <c r="D69" s="14" t="s">
        <v>1940</v>
      </c>
      <c r="E69" s="14" t="s">
        <v>2135</v>
      </c>
      <c r="G69" s="8" t="str">
        <f>IFERROR(__xludf.DUMMYFUNCTION(" GOOGLETRANSLATE(A69, ""en"", ""am"")"),"68")</f>
        <v>68</v>
      </c>
      <c r="H69" s="8" t="str">
        <f>IFERROR(__xludf.DUMMYFUNCTION(" GOOGLETRANSLATE(B69, ""en"", ""am"")"),"አንድ ተጫዋች ዲስኩን ከድንበር ውጭ ካለፈ ምን ይከሰታል?")</f>
        <v>አንድ ተጫዋች ዲስኩን ከድንበር ውጭ ካለፈ ምን ይከሰታል?</v>
      </c>
      <c r="I69" s="8" t="str">
        <f>IFERROR(__xludf.DUMMYFUNCTION(" GOOGLETRANSLATE(C69, ""en"", ""am"")"),"A. turnaround B. ለተቃራኒ ቡድን ነፃ ውርወራ C. ጨዋታው ቀጥሏል። መ. መጥፎ ማስጠንቀቂያ")</f>
        <v>A. turnaround B. ለተቃራኒ ቡድን ነፃ ውርወራ C. ጨዋታው ቀጥሏል። መ. መጥፎ ማስጠንቀቂያ</v>
      </c>
      <c r="J69" s="8" t="str">
        <f>IFERROR(__xludf.DUMMYFUNCTION(" GOOGLETRANSLATE(D69, ""en"", ""am"")"),"መዞር")</f>
        <v>መዞር</v>
      </c>
      <c r="K69" s="8" t="str">
        <f>IFERROR(__xludf.DUMMYFUNCTION(" GOOGLETRANSLATE(E69, ""en"", ""am"")"),"ዲስኩን ከወሰን ውጭ ማለፍ ለውጥን ያስከትላል።")</f>
        <v>ዲስኩን ከወሰን ውጭ ማለፍ ለውጥን ያስከትላል።</v>
      </c>
    </row>
    <row r="70" ht="22.5" customHeight="1">
      <c r="A70" s="13">
        <v>69.0</v>
      </c>
      <c r="B70" s="14" t="s">
        <v>2136</v>
      </c>
      <c r="C70" s="14" t="s">
        <v>2118</v>
      </c>
      <c r="D70" s="14" t="s">
        <v>1451</v>
      </c>
      <c r="E70" s="14" t="s">
        <v>2137</v>
      </c>
      <c r="G70" s="8" t="str">
        <f>IFERROR(__xludf.DUMMYFUNCTION(" GOOGLETRANSLATE(A70, ""en"", ""am"")"),"69")</f>
        <v>69</v>
      </c>
      <c r="H70" s="8" t="str">
        <f>IFERROR(__xludf.DUMMYFUNCTION(" GOOGLETRANSLATE(B70, ""en"", ""am"")"),"አንድ ተጫዋች በግብ ክልል ላይ ቆሞ ዲስኩን መጥለፍ ይችላል?")</f>
        <v>አንድ ተጫዋች በግብ ክልል ላይ ቆሞ ዲስኩን መጥለፍ ይችላል?</v>
      </c>
      <c r="I70" s="8" t="str">
        <f>IFERROR(__xludf.DUMMYFUNCTION(" GOOGLETRANSLATE(C70, ""en"", ""am"")"),"ሀ. አዎ ለ. አይ ሐ. ካልተቃወሙ ብቻ። መ. በዳኛው ይሁንታ ብቻ።")</f>
        <v>ሀ. አዎ ለ. አይ ሐ. ካልተቃወሙ ብቻ። መ. በዳኛው ይሁንታ ብቻ።</v>
      </c>
      <c r="J70" s="8" t="str">
        <f>IFERROR(__xludf.DUMMYFUNCTION(" GOOGLETRANSLATE(D70, ""en"", ""am"")"),"አዎ")</f>
        <v>አዎ</v>
      </c>
      <c r="K70" s="8" t="str">
        <f>IFERROR(__xludf.DUMMYFUNCTION(" GOOGLETRANSLATE(E70, ""en"", ""am"")"),"ተጫዋቾቹ በጎል ክልል ላይ ቆመው እንኳን ዲስኩን መጥለፍ ይችላሉ።")</f>
        <v>ተጫዋቾቹ በጎል ክልል ላይ ቆመው እንኳን ዲስኩን መጥለፍ ይችላሉ።</v>
      </c>
    </row>
    <row r="71" ht="22.5" customHeight="1">
      <c r="A71" s="13">
        <v>70.0</v>
      </c>
      <c r="B71" s="14" t="s">
        <v>2138</v>
      </c>
      <c r="C71" s="14" t="s">
        <v>2139</v>
      </c>
      <c r="D71" s="14" t="s">
        <v>2051</v>
      </c>
      <c r="E71" s="14" t="s">
        <v>2140</v>
      </c>
      <c r="G71" s="8" t="str">
        <f>IFERROR(__xludf.DUMMYFUNCTION(" GOOGLETRANSLATE(A71, ""en"", ""am"")"),"70")</f>
        <v>70</v>
      </c>
      <c r="H71" s="8" t="str">
        <f>IFERROR(__xludf.DUMMYFUNCTION(" GOOGLETRANSLATE(B71, ""en"", ""am"")"),"ዲስኩን በማዕከላዊው መስመር ላይ ለማለፍ ህጉ ምንድን ነው?")</f>
        <v>ዲስኩን በማዕከላዊው መስመር ላይ ለማለፍ ህጉ ምንድን ነው?</v>
      </c>
      <c r="I71" s="8" t="str">
        <f>IFERROR(__xludf.DUMMYFUNCTION(" GOOGLETRANSLATE(C71, ""en"", ""am"")"),"ሀ. በማንኛውም ጊዜ ይፈቀዳል B. የሚፈቀደው ከ5 ሰከንድ በኋላ ብቻ ነው። ሐ. በአንድ ይዞታ አንድ ጊዜ ብቻ ይፈቀዳል። መ. አይፈቀድም።")</f>
        <v>ሀ. በማንኛውም ጊዜ ይፈቀዳል B. የሚፈቀደው ከ5 ሰከንድ በኋላ ብቻ ነው። ሐ. በአንድ ይዞታ አንድ ጊዜ ብቻ ይፈቀዳል። መ. አይፈቀድም።</v>
      </c>
      <c r="J71" s="8" t="str">
        <f>IFERROR(__xludf.DUMMYFUNCTION(" GOOGLETRANSLATE(D71, ""en"", ""am"")"),"በማንኛውም ጊዜ ተፈቅዷል")</f>
        <v>በማንኛውም ጊዜ ተፈቅዷል</v>
      </c>
      <c r="K71" s="8" t="str">
        <f>IFERROR(__xludf.DUMMYFUNCTION(" GOOGLETRANSLATE(E71, ""en"", ""am"")"),"ተጫዋቾቹ በጨዋታው ውስጥ በማንኛውም ጊዜ ዲስኩን መሃል መስመር ላይ ማለፍ ይችላሉ።")</f>
        <v>ተጫዋቾቹ በጨዋታው ውስጥ በማንኛውም ጊዜ ዲስኩን መሃል መስመር ላይ ማለፍ ይችላሉ።</v>
      </c>
    </row>
    <row r="72" ht="22.5" customHeight="1">
      <c r="A72" s="13">
        <v>71.0</v>
      </c>
      <c r="B72" s="14" t="s">
        <v>2141</v>
      </c>
      <c r="C72" s="14" t="s">
        <v>2080</v>
      </c>
      <c r="D72" s="14" t="s">
        <v>2102</v>
      </c>
      <c r="E72" s="14" t="s">
        <v>2142</v>
      </c>
      <c r="G72" s="8" t="str">
        <f>IFERROR(__xludf.DUMMYFUNCTION(" GOOGLETRANSLATE(A72, ""en"", ""am"")"),"71")</f>
        <v>71</v>
      </c>
      <c r="H72" s="8" t="str">
        <f>IFERROR(__xludf.DUMMYFUNCTION(" GOOGLETRANSLATE(B72, ""en"", ""am"")"),"ከተፈቀደው በላይ በሜዳ ላይ ብዙ ተጫዋቾችን የያዘ ቡድን ቅጣቱ ምንድን ነው?")</f>
        <v>ከተፈቀደው በላይ በሜዳ ላይ ብዙ ተጫዋቾችን የያዘ ቡድን ቅጣቱ ምንድን ነው?</v>
      </c>
      <c r="I72" s="8" t="str">
        <f>IFERROR(__xludf.DUMMYFUNCTION(" GOOGLETRANSLATE(C72, ""en"", ""am"")"),"ሀ. መዞር ለ. መጥፎ ማስጠንቀቂያ ሐ. 2-ነጥብ መቀነስ መ. ለተቃራኒ ቡድን ነፃ ውርወራ")</f>
        <v>ሀ. መዞር ለ. መጥፎ ማስጠንቀቂያ ሐ. 2-ነጥብ መቀነስ መ. ለተቃራኒ ቡድን ነፃ ውርወራ</v>
      </c>
      <c r="J72" s="8" t="str">
        <f>IFERROR(__xludf.DUMMYFUNCTION(" GOOGLETRANSLATE(D72, ""en"", ""am"")"),"መጥፎ ማስጠንቀቂያ")</f>
        <v>መጥፎ ማስጠንቀቂያ</v>
      </c>
      <c r="K72" s="8" t="str">
        <f>IFERROR(__xludf.DUMMYFUNCTION(" GOOGLETRANSLATE(E72, ""en"", ""am"")"),"በሜዳ ላይ ብዙ ተጫዋቾች መኖራቸው የውሸት ማንቂያ ያስከትላል።")</f>
        <v>በሜዳ ላይ ብዙ ተጫዋቾች መኖራቸው የውሸት ማንቂያ ያስከትላል።</v>
      </c>
    </row>
    <row r="73" ht="22.5" customHeight="1">
      <c r="A73" s="13">
        <v>72.0</v>
      </c>
      <c r="B73" s="14" t="s">
        <v>2143</v>
      </c>
      <c r="C73" s="14" t="s">
        <v>2144</v>
      </c>
      <c r="D73" s="14" t="s">
        <v>2145</v>
      </c>
      <c r="E73" s="14" t="s">
        <v>2146</v>
      </c>
      <c r="G73" s="8" t="str">
        <f>IFERROR(__xludf.DUMMYFUNCTION(" GOOGLETRANSLATE(A73, ""en"", ""am"")"),"72")</f>
        <v>72</v>
      </c>
      <c r="H73" s="8" t="str">
        <f>IFERROR(__xludf.DUMMYFUNCTION(" GOOGLETRANSLATE(B73, ""en"", ""am"")"),"ዲስኩ ከግብ ፖስታ በላይ ሲያልፍ ግብ የማስቆጠር ህግ ምንድን ነው?")</f>
        <v>ዲስኩ ከግብ ፖስታ በላይ ሲያልፍ ግብ የማስቆጠር ህግ ምንድን ነው?</v>
      </c>
      <c r="I73" s="8" t="str">
        <f>IFERROR(__xludf.DUMMYFUNCTION(" GOOGLETRANSLATE(C73, ""en"", ""am"")"),"ሀ. ግብ ተሰጥቷል. ለ. ምንም ግብ የለም. ሐ. ዳኛው ይወስናሉ. መ. ጎል በቀጥታ ከተገባ ብቻ።")</f>
        <v>ሀ. ግብ ተሰጥቷል. ለ. ምንም ግብ የለም. ሐ. ዳኛው ይወስናሉ. መ. ጎል በቀጥታ ከተገባ ብቻ።</v>
      </c>
      <c r="J73" s="8" t="str">
        <f>IFERROR(__xludf.DUMMYFUNCTION(" GOOGLETRANSLATE(D73, ""en"", ""am"")"),"ምንም ግብ የለም.")</f>
        <v>ምንም ግብ የለም.</v>
      </c>
      <c r="K73" s="8" t="str">
        <f>IFERROR(__xludf.DUMMYFUNCTION(" GOOGLETRANSLATE(E73, ""en"", ""am"")"),"ዲስኩ ከግብ ልጥፍ በላይ ከሄደ ግብ አይሰጥም።")</f>
        <v>ዲስኩ ከግብ ልጥፍ በላይ ከሄደ ግብ አይሰጥም።</v>
      </c>
    </row>
    <row r="74" ht="22.5" customHeight="1">
      <c r="A74" s="13">
        <v>73.0</v>
      </c>
      <c r="B74" s="14" t="s">
        <v>2147</v>
      </c>
      <c r="C74" s="14" t="s">
        <v>2148</v>
      </c>
      <c r="D74" s="14" t="s">
        <v>1437</v>
      </c>
      <c r="E74" s="14" t="s">
        <v>2149</v>
      </c>
      <c r="G74" s="8" t="str">
        <f>IFERROR(__xludf.DUMMYFUNCTION(" GOOGLETRANSLATE(A74, ""en"", ""am"")"),"73")</f>
        <v>73</v>
      </c>
      <c r="H74" s="8" t="str">
        <f>IFERROR(__xludf.DUMMYFUNCTION(" GOOGLETRANSLATE(B74, ""en"", ""am"")"),"ተተኪ ተጫዋች በሂደት ላይ እያለ ወደ ሜዳ መግባት ይችላል?")</f>
        <v>ተተኪ ተጫዋች በሂደት ላይ እያለ ወደ ሜዳ መግባት ይችላል?</v>
      </c>
      <c r="I74" s="8" t="str">
        <f>IFERROR(__xludf.DUMMYFUNCTION(" GOOGLETRANSLATE(C74, ""en"", ""am"")"),"ሀ. አዎ ለ. አይደለም ሐ. በዳኛው ይሁንታ ብቻ። መ. በእረፍት ጊዜ ብቻ")</f>
        <v>ሀ. አዎ ለ. አይደለም ሐ. በዳኛው ይሁንታ ብቻ። መ. በእረፍት ጊዜ ብቻ</v>
      </c>
      <c r="J74" s="8" t="str">
        <f>IFERROR(__xludf.DUMMYFUNCTION(" GOOGLETRANSLATE(D74, ""en"", ""am"")"),"አይ")</f>
        <v>አይ</v>
      </c>
      <c r="K74" s="8" t="str">
        <f>IFERROR(__xludf.DUMMYFUNCTION(" GOOGLETRANSLATE(E74, ""en"", ""am"")"),"በጨዋታው ላይ ተተኪ ተጫዋቾች ወደ ሜዳ መግባት አይችሉም።")</f>
        <v>በጨዋታው ላይ ተተኪ ተጫዋቾች ወደ ሜዳ መግባት አይችሉም።</v>
      </c>
    </row>
    <row r="75" ht="22.5" customHeight="1">
      <c r="A75" s="13">
        <v>74.0</v>
      </c>
      <c r="B75" s="14" t="s">
        <v>2150</v>
      </c>
      <c r="C75" s="14" t="s">
        <v>2151</v>
      </c>
      <c r="D75" s="14" t="s">
        <v>2152</v>
      </c>
      <c r="E75" s="14" t="s">
        <v>2153</v>
      </c>
      <c r="G75" s="8" t="str">
        <f>IFERROR(__xludf.DUMMYFUNCTION(" GOOGLETRANSLATE(A75, ""en"", ""am"")"),"74")</f>
        <v>74</v>
      </c>
      <c r="H75" s="8" t="str">
        <f>IFERROR(__xludf.DUMMYFUNCTION(" GOOGLETRANSLATE(B75, ""en"", ""am"")"),"አንድ ቡድን ለግጥሚያ ብቅ ካለ ምን ይከሰታል?")</f>
        <v>አንድ ቡድን ለግጥሚያ ብቅ ካለ ምን ይከሰታል?</v>
      </c>
      <c r="I75" s="8" t="str">
        <f>IFERROR(__xludf.DUMMYFUNCTION(" GOOGLETRANSLATE(C75, ""en"", ""am"")"),"ሀ. ግጥሚያው ጠፍቷል። ለ/ ለሌላ ጊዜ ተላልፏል። ሐ. ዳኛው ይወስናሉ. መ. ተቃዋሚው በነባሪ ያሸንፋል።")</f>
        <v>ሀ. ግጥሚያው ጠፍቷል። ለ/ ለሌላ ጊዜ ተላልፏል። ሐ. ዳኛው ይወስናሉ. መ. ተቃዋሚው በነባሪ ያሸንፋል።</v>
      </c>
      <c r="J75" s="8" t="str">
        <f>IFERROR(__xludf.DUMMYFUNCTION(" GOOGLETRANSLATE(D75, ""en"", ""am"")"),"ግጥሚያው ተሸንፏል።")</f>
        <v>ግጥሚያው ተሸንፏል።</v>
      </c>
      <c r="K75" s="8" t="str">
        <f>IFERROR(__xludf.DUMMYFUNCTION(" GOOGLETRANSLATE(E75, ""en"", ""am"")"),"ቡድን መውጣት ካልቻለ ጨዋታው ይጠፋል።")</f>
        <v>ቡድን መውጣት ካልቻለ ጨዋታው ይጠፋል።</v>
      </c>
    </row>
    <row r="76" ht="22.5" customHeight="1">
      <c r="A76" s="13">
        <v>75.0</v>
      </c>
      <c r="B76" s="14" t="s">
        <v>2154</v>
      </c>
      <c r="C76" s="14" t="s">
        <v>2155</v>
      </c>
      <c r="D76" s="14" t="s">
        <v>2063</v>
      </c>
      <c r="E76" s="14" t="s">
        <v>2156</v>
      </c>
      <c r="G76" s="8" t="str">
        <f>IFERROR(__xludf.DUMMYFUNCTION(" GOOGLETRANSLATE(A76, ""en"", ""am"")"),"75")</f>
        <v>75</v>
      </c>
      <c r="H76" s="8" t="str">
        <f>IFERROR(__xludf.DUMMYFUNCTION(" GOOGLETRANSLATE(B76, ""en"", ""am"")"),"ዲስኩን ከሰውነት ጋር ለማገድ ህጉ ምንድን ነው?")</f>
        <v>ዲስኩን ከሰውነት ጋር ለማገድ ህጉ ምንድን ነው?</v>
      </c>
      <c r="I76" s="8" t="str">
        <f>IFERROR(__xludf.DUMMYFUNCTION(" GOOGLETRANSLATE(C76, ""en"", ""am"")"),"ሀ. የተፈቀደ ለ. አይፈቀድም። ሐ. ያልተጠበቀ ከሆነ ብቻ። መ. በዳኛው ይሁንታ ብቻ።")</f>
        <v>ሀ. የተፈቀደ ለ. አይፈቀድም። ሐ. ያልተጠበቀ ከሆነ ብቻ። መ. በዳኛው ይሁንታ ብቻ።</v>
      </c>
      <c r="J76" s="8" t="str">
        <f>IFERROR(__xludf.DUMMYFUNCTION(" GOOGLETRANSLATE(D76, ""en"", ""am"")"),"አይፈቀድም.")</f>
        <v>አይፈቀድም.</v>
      </c>
      <c r="K76" s="8" t="str">
        <f>IFERROR(__xludf.DUMMYFUNCTION(" GOOGLETRANSLATE(E76, ""en"", ""am"")"),"ዲስኩን ከሰውነት ጋር ማገድ በአፉላ ውስጥ አይፈቀድም.")</f>
        <v>ዲስኩን ከሰውነት ጋር ማገድ በአፉላ ውስጥ አይፈቀድም.</v>
      </c>
    </row>
    <row r="77" ht="22.5" customHeight="1">
      <c r="A77" s="13">
        <v>76.0</v>
      </c>
      <c r="B77" s="14" t="s">
        <v>2157</v>
      </c>
      <c r="C77" s="14" t="s">
        <v>2096</v>
      </c>
      <c r="D77" s="14" t="s">
        <v>1940</v>
      </c>
      <c r="E77" s="14" t="s">
        <v>2158</v>
      </c>
      <c r="G77" s="8" t="str">
        <f>IFERROR(__xludf.DUMMYFUNCTION(" GOOGLETRANSLATE(A77, ""en"", ""am"")"),"76")</f>
        <v>76</v>
      </c>
      <c r="H77" s="8" t="str">
        <f>IFERROR(__xludf.DUMMYFUNCTION(" GOOGLETRANSLATE(B77, ""en"", ""am"")"),"በጨዋታው ወቅት አንድ ተጫዋች ዲስኩን ቢጥለው ምን ይሆናል?")</f>
        <v>በጨዋታው ወቅት አንድ ተጫዋች ዲስኩን ቢጥለው ምን ይሆናል?</v>
      </c>
      <c r="I77" s="8" t="str">
        <f>IFERROR(__xludf.DUMMYFUNCTION(" GOOGLETRANSLATE(C77, ""en"", ""am"")"),"A. turnaround B. ለተቃራኒ ቡድን ነፃ ውርወራ C. ጨዋታው ቀጥሏል። መ. ምንም ቅጣት የለም.")</f>
        <v>A. turnaround B. ለተቃራኒ ቡድን ነፃ ውርወራ C. ጨዋታው ቀጥሏል። መ. ምንም ቅጣት የለም.</v>
      </c>
      <c r="J77" s="8" t="str">
        <f>IFERROR(__xludf.DUMMYFUNCTION(" GOOGLETRANSLATE(D77, ""en"", ""am"")"),"መዞር")</f>
        <v>መዞር</v>
      </c>
      <c r="K77" s="8" t="str">
        <f>IFERROR(__xludf.DUMMYFUNCTION(" GOOGLETRANSLATE(E77, ""en"", ""am"")"),"በጨዋታው ወቅት ዲስኩን መወርወር ለውጥ ያመጣል.")</f>
        <v>በጨዋታው ወቅት ዲስኩን መወርወር ለውጥ ያመጣል.</v>
      </c>
    </row>
    <row r="78" ht="22.5" customHeight="1">
      <c r="A78" s="13">
        <v>77.0</v>
      </c>
      <c r="B78" s="14" t="s">
        <v>2159</v>
      </c>
      <c r="C78" s="14" t="s">
        <v>2160</v>
      </c>
      <c r="D78" s="14" t="s">
        <v>1451</v>
      </c>
      <c r="E78" s="14" t="s">
        <v>2161</v>
      </c>
      <c r="G78" s="8" t="str">
        <f>IFERROR(__xludf.DUMMYFUNCTION(" GOOGLETRANSLATE(A78, ""en"", ""am"")"),"77")</f>
        <v>77</v>
      </c>
      <c r="H78" s="8" t="str">
        <f>IFERROR(__xludf.DUMMYFUNCTION(" GOOGLETRANSLATE(B78, ""en"", ""am"")"),"አንድ ተጫዋች ዲስኩን በአንድ እጅ መያዝ ይችላል?")</f>
        <v>አንድ ተጫዋች ዲስኩን በአንድ እጅ መያዝ ይችላል?</v>
      </c>
      <c r="I78" s="8" t="str">
        <f>IFERROR(__xludf.DUMMYFUNCTION(" GOOGLETRANSLATE(C78, ""en"", ""am"")"),"ሀ. አዎ ለ. አይ ሐ. በሁለቱም እጆች ብቻ መ. በዳኛው ይሁንታ ብቻ።")</f>
        <v>ሀ. አዎ ለ. አይ ሐ. በሁለቱም እጆች ብቻ መ. በዳኛው ይሁንታ ብቻ።</v>
      </c>
      <c r="J78" s="8" t="str">
        <f>IFERROR(__xludf.DUMMYFUNCTION(" GOOGLETRANSLATE(D78, ""en"", ""am"")"),"አዎ")</f>
        <v>አዎ</v>
      </c>
      <c r="K78" s="8" t="str">
        <f>IFERROR(__xludf.DUMMYFUNCTION(" GOOGLETRANSLATE(E78, ""en"", ""am"")"),"አንድ ተጫዋች ዲስኩን በአንድ እጅ እንዲይዝ ይፈቀድለታል።")</f>
        <v>አንድ ተጫዋች ዲስኩን በአንድ እጅ እንዲይዝ ይፈቀድለታል።</v>
      </c>
    </row>
    <row r="79" ht="22.5" customHeight="1">
      <c r="A79" s="13">
        <v>78.0</v>
      </c>
      <c r="B79" s="14" t="s">
        <v>2162</v>
      </c>
      <c r="C79" s="14" t="s">
        <v>2163</v>
      </c>
      <c r="D79" s="14" t="s">
        <v>2164</v>
      </c>
      <c r="E79" s="14" t="s">
        <v>2165</v>
      </c>
      <c r="G79" s="8" t="str">
        <f>IFERROR(__xludf.DUMMYFUNCTION(" GOOGLETRANSLATE(A79, ""en"", ""am"")"),"78")</f>
        <v>78</v>
      </c>
      <c r="H79" s="8" t="str">
        <f>IFERROR(__xludf.DUMMYFUNCTION(" GOOGLETRANSLATE(B79, ""en"", ""am"")"),"ከግብ በኋላ ዲስኩን ለማለፍ ህጉ ምንድን ነው?")</f>
        <v>ከግብ በኋላ ዲስኩን ለማለፍ ህጉ ምንድን ነው?</v>
      </c>
      <c r="I79" s="8" t="str">
        <f>IFERROR(__xludf.DUMMYFUNCTION(" GOOGLETRANSLATE(C79, ""en"", ""am"")"),"ሀ. ጨዋታው ወዲያውኑ ይቀጥላል። ለ/ ተጋጣሚ ቡድን ኳሱን ያገኛል። ሐ/ የኳስ ቁጥጥር ጎል ያስቆጠረው ቡድን ነው። መ. ዳኛው ይወስናል.")</f>
        <v>ሀ. ጨዋታው ወዲያውኑ ይቀጥላል። ለ/ ተጋጣሚ ቡድን ኳሱን ያገኛል። ሐ/ የኳስ ቁጥጥር ጎል ያስቆጠረው ቡድን ነው። መ. ዳኛው ይወስናል.</v>
      </c>
      <c r="J79" s="8" t="str">
        <f>IFERROR(__xludf.DUMMYFUNCTION(" GOOGLETRANSLATE(D79, ""en"", ""am"")"),"ኳሱ ጎል ያስቆጠረው ቡድን ነው።")</f>
        <v>ኳሱ ጎል ያስቆጠረው ቡድን ነው።</v>
      </c>
      <c r="K79" s="8" t="str">
        <f>IFERROR(__xludf.DUMMYFUNCTION(" GOOGLETRANSLATE(E79, ""en"", ""am"")"),"ከጎል በኋላ የኳስ ቁጥጥር ጎል ያስቆጠረው ቡድን ነው።")</f>
        <v>ከጎል በኋላ የኳስ ቁጥጥር ጎል ያስቆጠረው ቡድን ነው።</v>
      </c>
    </row>
    <row r="80" ht="22.5" customHeight="1">
      <c r="A80" s="13">
        <v>79.0</v>
      </c>
      <c r="B80" s="14" t="s">
        <v>2076</v>
      </c>
      <c r="C80" s="14" t="s">
        <v>2166</v>
      </c>
      <c r="D80" s="14" t="s">
        <v>1940</v>
      </c>
      <c r="E80" s="14" t="s">
        <v>2167</v>
      </c>
      <c r="G80" s="8" t="str">
        <f>IFERROR(__xludf.DUMMYFUNCTION(" GOOGLETRANSLATE(A80, ""en"", ""am"")"),"79")</f>
        <v>79</v>
      </c>
      <c r="H80" s="8" t="str">
        <f>IFERROR(__xludf.DUMMYFUNCTION(" GOOGLETRANSLATE(B80, ""en"", ""am"")"),"አንድ ተጫዋች ሆን ብሎ ዲስኩን ቢመታ ምን ይሆናል?")</f>
        <v>አንድ ተጫዋች ሆን ብሎ ዲስኩን ቢመታ ምን ይሆናል?</v>
      </c>
      <c r="I80" s="8" t="str">
        <f>IFERROR(__xludf.DUMMYFUNCTION(" GOOGLETRANSLATE(C80, ""en"", ""am"")"),"ሀ. መዞር ለ. መጥፎ ማስጠንቀቂያ ሐ. ለተቃራኒ ቡድን ነፃ ውርወራ መ. 2-ነጥብ መቀነስ")</f>
        <v>ሀ. መዞር ለ. መጥፎ ማስጠንቀቂያ ሐ. ለተቃራኒ ቡድን ነፃ ውርወራ መ. 2-ነጥብ መቀነስ</v>
      </c>
      <c r="J80" s="8" t="str">
        <f>IFERROR(__xludf.DUMMYFUNCTION(" GOOGLETRANSLATE(D80, ""en"", ""am"")"),"መዞር")</f>
        <v>መዞር</v>
      </c>
      <c r="K80" s="8" t="str">
        <f>IFERROR(__xludf.DUMMYFUNCTION(" GOOGLETRANSLATE(E80, ""en"", ""am"")"),"ሆን ብሎ ዲስኩን መምታት ለውጥ ያመጣል።")</f>
        <v>ሆን ብሎ ዲስኩን መምታት ለውጥ ያመጣል።</v>
      </c>
    </row>
    <row r="81" ht="22.5" customHeight="1">
      <c r="A81" s="13">
        <v>80.0</v>
      </c>
      <c r="B81" s="14" t="s">
        <v>2168</v>
      </c>
      <c r="C81" s="14" t="s">
        <v>2099</v>
      </c>
      <c r="D81" s="14" t="s">
        <v>1402</v>
      </c>
      <c r="E81" s="14" t="s">
        <v>2169</v>
      </c>
      <c r="G81" s="8" t="str">
        <f>IFERROR(__xludf.DUMMYFUNCTION(" GOOGLETRANSLATE(A81, ""en"", ""am"")"),"80")</f>
        <v>80</v>
      </c>
      <c r="H81" s="8" t="str">
        <f>IFERROR(__xludf.DUMMYFUNCTION(" GOOGLETRANSLATE(B81, ""en"", ""am"")"),"አንድ ቡድን ከገለልተኛ ዞን ለተመዘገበው ግብ ስንት ነጥብ ያገኛል?")</f>
        <v>አንድ ቡድን ከገለልተኛ ዞን ለተመዘገበው ግብ ስንት ነጥብ ያገኛል?</v>
      </c>
      <c r="I81" s="8" t="str">
        <f>IFERROR(__xludf.DUMMYFUNCTION(" GOOGLETRANSLATE(C81, ""en"", ""am"")"),"ሀ. 1 ነጥብ ለ. 2 ነጥብ ሐ. 3 ነጥብ መ. 4 ነጥብ")</f>
        <v>ሀ. 1 ነጥብ ለ. 2 ነጥብ ሐ. 3 ነጥብ መ. 4 ነጥብ</v>
      </c>
      <c r="J81" s="8" t="str">
        <f>IFERROR(__xludf.DUMMYFUNCTION(" GOOGLETRANSLATE(D81, ""en"", ""am"")"),"2 ነጥብ")</f>
        <v>2 ነጥብ</v>
      </c>
      <c r="K81" s="8" t="str">
        <f>IFERROR(__xludf.DUMMYFUNCTION(" GOOGLETRANSLATE(E81, ""en"", ""am"")"),"ከገለልተኛ ዞን የተቆጠረ ግብ 2 ነጥብ ነው።")</f>
        <v>ከገለልተኛ ዞን የተቆጠረ ግብ 2 ነጥብ ነው።</v>
      </c>
    </row>
    <row r="82" ht="22.5" customHeight="1">
      <c r="A82" s="13">
        <v>81.0</v>
      </c>
      <c r="B82" s="14" t="s">
        <v>2170</v>
      </c>
      <c r="C82" s="14" t="s">
        <v>2171</v>
      </c>
      <c r="D82" s="14" t="s">
        <v>2102</v>
      </c>
      <c r="E82" s="14" t="s">
        <v>2172</v>
      </c>
      <c r="G82" s="8" t="str">
        <f>IFERROR(__xludf.DUMMYFUNCTION(" GOOGLETRANSLATE(A82, ""en"", ""am"")"),"81")</f>
        <v>81</v>
      </c>
      <c r="H82" s="8" t="str">
        <f>IFERROR(__xludf.DUMMYFUNCTION(" GOOGLETRANSLATE(B82, ""en"", ""am"")"),"በሜዳ ላይ በጣም ጥቂት ተጫዋቾች ያሉት ቡድን ቅጣቱ ምንድን ነው?")</f>
        <v>በሜዳ ላይ በጣም ጥቂት ተጫዋቾች ያሉት ቡድን ቅጣቱ ምንድን ነው?</v>
      </c>
      <c r="I82" s="8" t="str">
        <f>IFERROR(__xludf.DUMMYFUNCTION(" GOOGLETRANSLATE(C82, ""en"", ""am"")"),"ሀ. መዞር ለ. መጥፎ ማስጠንቀቂያ ሐ. ለተቃራኒ ቡድን ነፃ ውርወራ መ. ምንም ቅጣት የለም.")</f>
        <v>ሀ. መዞር ለ. መጥፎ ማስጠንቀቂያ ሐ. ለተቃራኒ ቡድን ነፃ ውርወራ መ. ምንም ቅጣት የለም.</v>
      </c>
      <c r="J82" s="8" t="str">
        <f>IFERROR(__xludf.DUMMYFUNCTION(" GOOGLETRANSLATE(D82, ""en"", ""am"")"),"መጥፎ ማስጠንቀቂያ")</f>
        <v>መጥፎ ማስጠንቀቂያ</v>
      </c>
      <c r="K82" s="8" t="str">
        <f>IFERROR(__xludf.DUMMYFUNCTION(" GOOGLETRANSLATE(E82, ""en"", ""am"")"),"አንድ ቡድን በሜዳ ላይ በጣም ጥቂት ተጫዋቾች ካሉት የውሸት ማስጠንቀቂያ ይሰጠዋል ።")</f>
        <v>አንድ ቡድን በሜዳ ላይ በጣም ጥቂት ተጫዋቾች ካሉት የውሸት ማስጠንቀቂያ ይሰጠዋል ።</v>
      </c>
    </row>
    <row r="83" ht="22.5" customHeight="1">
      <c r="A83" s="13">
        <v>82.0</v>
      </c>
      <c r="B83" s="14" t="s">
        <v>2173</v>
      </c>
      <c r="C83" s="14" t="s">
        <v>2174</v>
      </c>
      <c r="D83" s="14" t="s">
        <v>2175</v>
      </c>
      <c r="E83" s="14" t="s">
        <v>2176</v>
      </c>
      <c r="G83" s="8" t="str">
        <f>IFERROR(__xludf.DUMMYFUNCTION(" GOOGLETRANSLATE(A83, ""en"", ""am"")"),"82")</f>
        <v>82</v>
      </c>
      <c r="H83" s="8" t="str">
        <f>IFERROR(__xludf.DUMMYFUNCTION(" GOOGLETRANSLATE(B83, ""en"", ""am"")"),"በጊዜ ማብቂያ ጊዜ ተጫዋቾችን የመተካት ህግ ምንድን ነው?")</f>
        <v>በጊዜ ማብቂያ ጊዜ ተጫዋቾችን የመተካት ህግ ምንድን ነው?</v>
      </c>
      <c r="I83" s="8" t="str">
        <f>IFERROR(__xludf.DUMMYFUNCTION(" GOOGLETRANSLATE(C83, ""en"", ""am"")"),"ሀ. አንድ ብቻ መተካት ይፈቀዳል። ለ. ያልተገደበ ምትክ ሐ. በጊዜው ማብቂያ ላይ ምንም ምትክ የለም. መ. መተካት የሚፈቀደው በዳኛው ይሁንታ ብቻ ነው።")</f>
        <v>ሀ. አንድ ብቻ መተካት ይፈቀዳል። ለ. ያልተገደበ ምትክ ሐ. በጊዜው ማብቂያ ላይ ምንም ምትክ የለም. መ. መተካት የሚፈቀደው በዳኛው ይሁንታ ብቻ ነው።</v>
      </c>
      <c r="J83" s="8" t="str">
        <f>IFERROR(__xludf.DUMMYFUNCTION(" GOOGLETRANSLATE(D83, ""en"", ""am"")"),"ያልተገደበ ምትክ")</f>
        <v>ያልተገደበ ምትክ</v>
      </c>
      <c r="K83" s="8" t="str">
        <f>IFERROR(__xludf.DUMMYFUNCTION(" GOOGLETRANSLATE(E83, ""en"", ""am"")"),"በጊዜ ማብቂያ ጊዜ ያልተገደበ ምትክ ይፈቀዳል።")</f>
        <v>በጊዜ ማብቂያ ጊዜ ያልተገደበ ምትክ ይፈቀዳል።</v>
      </c>
    </row>
    <row r="84" ht="22.5" customHeight="1">
      <c r="A84" s="13">
        <v>83.0</v>
      </c>
      <c r="B84" s="14" t="s">
        <v>2177</v>
      </c>
      <c r="C84" s="14" t="s">
        <v>2178</v>
      </c>
      <c r="D84" s="14" t="s">
        <v>2179</v>
      </c>
      <c r="E84" s="14" t="s">
        <v>2180</v>
      </c>
      <c r="G84" s="8" t="str">
        <f>IFERROR(__xludf.DUMMYFUNCTION(" GOOGLETRANSLATE(A84, ""en"", ""am"")"),"83")</f>
        <v>83</v>
      </c>
      <c r="H84" s="8" t="str">
        <f>IFERROR(__xludf.DUMMYFUNCTION(" GOOGLETRANSLATE(B84, ""en"", ""am"")"),"አንድ ቡድን ጎል አስቆጥሮ ወዲያው ጥፋት ቢሰራ ምን ይሆናል?")</f>
        <v>አንድ ቡድን ጎል አስቆጥሮ ወዲያው ጥፋት ቢሰራ ምን ይሆናል?</v>
      </c>
      <c r="I84" s="8" t="str">
        <f>IFERROR(__xludf.DUMMYFUNCTION(" GOOGLETRANSLATE(C84, ""en"", ""am"")"),"ሀ. ፎውል ከግቡ በፊት ይተገበራል። ለ. ፎውል ከግቡ በኋላ ይተገበራል. ሐ. ግቡ ተበላሽቷል. ዲ. ፉል ቅጣት ምት ቢሰጥም ግቡ ቆመ።")</f>
        <v>ሀ. ፎውል ከግቡ በፊት ይተገበራል። ለ. ፎውል ከግቡ በኋላ ይተገበራል. ሐ. ግቡ ተበላሽቷል. ዲ. ፉል ቅጣት ምት ቢሰጥም ግቡ ቆመ።</v>
      </c>
      <c r="J84" s="8" t="str">
        <f>IFERROR(__xludf.DUMMYFUNCTION(" GOOGLETRANSLATE(D84, ""en"", ""am"")"),"ፎውል ከግቡ በፊት ይተገበራል።")</f>
        <v>ፎውል ከግቡ በፊት ይተገበራል።</v>
      </c>
      <c r="K84" s="8" t="str">
        <f>IFERROR(__xludf.DUMMYFUNCTION(" GOOGLETRANSLATE(E84, ""en"", ""am"")"),"አንድ ቡድን ጎል አስቆጥሮ ወዲያው ጥፋት ከሰራ ጥፋቱ ከጎል በፊት ተፈጻሚ ይሆናል።")</f>
        <v>አንድ ቡድን ጎል አስቆጥሮ ወዲያው ጥፋት ከሰራ ጥፋቱ ከጎል በፊት ተፈጻሚ ይሆናል።</v>
      </c>
    </row>
    <row r="85" ht="22.5" customHeight="1">
      <c r="A85" s="13">
        <v>84.0</v>
      </c>
      <c r="B85" s="14" t="s">
        <v>2181</v>
      </c>
      <c r="C85" s="14" t="s">
        <v>2182</v>
      </c>
      <c r="D85" s="14" t="s">
        <v>1437</v>
      </c>
      <c r="E85" s="14" t="s">
        <v>2183</v>
      </c>
      <c r="G85" s="8" t="str">
        <f>IFERROR(__xludf.DUMMYFUNCTION(" GOOGLETRANSLATE(A85, ""en"", ""am"")"),"84")</f>
        <v>84</v>
      </c>
      <c r="H85" s="8" t="str">
        <f>IFERROR(__xludf.DUMMYFUNCTION(" GOOGLETRANSLATE(B85, ""en"", ""am"")"),"ተጫዋቹ ተኩሱን በጭንቅላታቸው ማገድ ይችላል?")</f>
        <v>ተጫዋቹ ተኩሱን በጭንቅላታቸው ማገድ ይችላል?</v>
      </c>
      <c r="I85" s="8" t="str">
        <f>IFERROR(__xludf.DUMMYFUNCTION(" GOOGLETRANSLATE(C85, ""en"", ""am"")"),"ሀ. አዎ ለ. አይ ሐ. ያልተጠበቀ ከሆነ ብቻ። መ. በዳኛው ይሁንታ ብቻ።")</f>
        <v>ሀ. አዎ ለ. አይ ሐ. ያልተጠበቀ ከሆነ ብቻ። መ. በዳኛው ይሁንታ ብቻ።</v>
      </c>
      <c r="J85" s="8" t="str">
        <f>IFERROR(__xludf.DUMMYFUNCTION(" GOOGLETRANSLATE(D85, ""en"", ""am"")"),"አይ")</f>
        <v>አይ</v>
      </c>
      <c r="K85" s="8" t="str">
        <f>IFERROR(__xludf.DUMMYFUNCTION(" GOOGLETRANSLATE(E85, ""en"", ""am"")"),"ከጭንቅላቱ ጋር የተኩስ ማገድ አይፈቀድም.")</f>
        <v>ከጭንቅላቱ ጋር የተኩስ ማገድ አይፈቀድም.</v>
      </c>
    </row>
    <row r="86" ht="22.5" customHeight="1">
      <c r="A86" s="13">
        <v>85.0</v>
      </c>
      <c r="B86" s="14" t="s">
        <v>2184</v>
      </c>
      <c r="C86" s="14" t="s">
        <v>2185</v>
      </c>
      <c r="D86" s="14" t="s">
        <v>2186</v>
      </c>
      <c r="E86" s="14" t="s">
        <v>2187</v>
      </c>
      <c r="G86" s="8" t="str">
        <f>IFERROR(__xludf.DUMMYFUNCTION(" GOOGLETRANSLATE(A86, ""en"", ""am"")"),"85")</f>
        <v>85</v>
      </c>
      <c r="H86" s="8" t="str">
        <f>IFERROR(__xludf.DUMMYFUNCTION(" GOOGLETRANSLATE(B86, ""en"", ""am"")"),"አንድ ተጫዋች ጎል ሲሞክር ጥፋት ቢሰራ ምን ይሆናል?")</f>
        <v>አንድ ተጫዋች ጎል ሲሞክር ጥፋት ቢሰራ ምን ይሆናል?</v>
      </c>
      <c r="I86" s="8" t="str">
        <f>IFERROR(__xludf.DUMMYFUNCTION(" GOOGLETRANSLATE(C86, ""en"", ""am"")"),"ሀ. ለተጋጣሚ ቡድን የፍፁም ቅጣት ምት B. turnaround C. ለተቃራኒ ቡድን ነፃ ውርወራ መ. ግቡ ልክ ያልሆነ ነው።")</f>
        <v>ሀ. ለተጋጣሚ ቡድን የፍፁም ቅጣት ምት B. turnaround C. ለተቃራኒ ቡድን ነፃ ውርወራ መ. ግቡ ልክ ያልሆነ ነው።</v>
      </c>
      <c r="J86" s="8" t="str">
        <f>IFERROR(__xludf.DUMMYFUNCTION(" GOOGLETRANSLATE(D86, ""en"", ""am"")"),"ለተጋጣሚ ቡድን ቅጣት ምት")</f>
        <v>ለተጋጣሚ ቡድን ቅጣት ምት</v>
      </c>
      <c r="K86" s="8" t="str">
        <f>IFERROR(__xludf.DUMMYFUNCTION(" GOOGLETRANSLATE(E86, ""en"", ""am"")"),"የጎል ሙከራ ሲደረግ የተፈፀመው ጥፋት ለተጋጣሚ ቡድን ቅጣት ምት ተሰጥቷል።")</f>
        <v>የጎል ሙከራ ሲደረግ የተፈፀመው ጥፋት ለተጋጣሚ ቡድን ቅጣት ምት ተሰጥቷል።</v>
      </c>
    </row>
    <row r="87" ht="22.5" customHeight="1">
      <c r="A87" s="13">
        <v>86.0</v>
      </c>
      <c r="B87" s="14" t="s">
        <v>2188</v>
      </c>
      <c r="C87" s="14" t="s">
        <v>2189</v>
      </c>
      <c r="D87" s="14" t="s">
        <v>2102</v>
      </c>
      <c r="E87" s="14" t="s">
        <v>2190</v>
      </c>
      <c r="G87" s="8" t="str">
        <f>IFERROR(__xludf.DUMMYFUNCTION(" GOOGLETRANSLATE(A87, ""en"", ""am"")"),"86")</f>
        <v>86</v>
      </c>
      <c r="H87" s="8" t="str">
        <f>IFERROR(__xludf.DUMMYFUNCTION(" GOOGLETRANSLATE(B87, ""en"", ""am"")"),"በጨዋታ ጊዜ ከልክ ያለፈ አካላዊ ንክኪ ሲኖር ቅጣቱ ምንድን ነው?")</f>
        <v>በጨዋታ ጊዜ ከልክ ያለፈ አካላዊ ንክኪ ሲኖር ቅጣቱ ምንድን ነው?</v>
      </c>
      <c r="I87" s="8" t="str">
        <f>IFERROR(__xludf.DUMMYFUNCTION(" GOOGLETRANSLATE(C87, ""en"", ""am"")"),"ሀ. መጥፎ ማስጠንቀቂያ ለ. መዞር ሐ. ለተቃራኒ ቡድን ነፃ ውርወራ መ. 2-ነጥብ መቀነስ")</f>
        <v>ሀ. መጥፎ ማስጠንቀቂያ ለ. መዞር ሐ. ለተቃራኒ ቡድን ነፃ ውርወራ መ. 2-ነጥብ መቀነስ</v>
      </c>
      <c r="J87" s="8" t="str">
        <f>IFERROR(__xludf.DUMMYFUNCTION(" GOOGLETRANSLATE(D87, ""en"", ""am"")"),"መጥፎ ማስጠንቀቂያ")</f>
        <v>መጥፎ ማስጠንቀቂያ</v>
      </c>
      <c r="K87" s="8" t="str">
        <f>IFERROR(__xludf.DUMMYFUNCTION(" GOOGLETRANSLATE(E87, ""en"", ""am"")"),"ከመጠን በላይ አካላዊ ግንኙነት መጥፎ ማስጠንቀቂያ ነው.")</f>
        <v>ከመጠን በላይ አካላዊ ግንኙነት መጥፎ ማስጠንቀቂያ ነው.</v>
      </c>
    </row>
    <row r="88" ht="22.5" customHeight="1">
      <c r="A88" s="13">
        <v>87.0</v>
      </c>
      <c r="B88" s="14" t="s">
        <v>2191</v>
      </c>
      <c r="C88" s="14" t="s">
        <v>2192</v>
      </c>
      <c r="D88" s="14" t="s">
        <v>1940</v>
      </c>
      <c r="E88" s="14" t="s">
        <v>2193</v>
      </c>
      <c r="G88" s="8" t="str">
        <f>IFERROR(__xludf.DUMMYFUNCTION(" GOOGLETRANSLATE(A88, ""en"", ""am"")"),"87")</f>
        <v>87</v>
      </c>
      <c r="H88" s="8" t="str">
        <f>IFERROR(__xludf.DUMMYFUNCTION(" GOOGLETRANSLATE(B88, ""en"", ""am"")"),"መሬቱን ከነካ በኋላ ዲስኩ የግብ ፖስታውን ቢመታ ምን ይሆናል?")</f>
        <v>መሬቱን ከነካ በኋላ ዲስኩ የግብ ፖስታውን ቢመታ ምን ይሆናል?</v>
      </c>
      <c r="I88" s="8" t="str">
        <f>IFERROR(__xludf.DUMMYFUNCTION(" GOOGLETRANSLATE(C88, ""en"", ""am"")"),"A. turnaround B. ግብ ተሰጥቷል። ሐ. ለተቃራኒ ቡድን ነፃ ውርወራ መ. ጨዋታው ቀጥሏል።")</f>
        <v>A. turnaround B. ግብ ተሰጥቷል። ሐ. ለተቃራኒ ቡድን ነፃ ውርወራ መ. ጨዋታው ቀጥሏል።</v>
      </c>
      <c r="J88" s="8" t="str">
        <f>IFERROR(__xludf.DUMMYFUNCTION(" GOOGLETRANSLATE(D88, ""en"", ""am"")"),"መዞር")</f>
        <v>መዞር</v>
      </c>
      <c r="K88" s="8" t="str">
        <f>IFERROR(__xludf.DUMMYFUNCTION(" GOOGLETRANSLATE(E88, ""en"", ""am"")"),"ዲስኩ መሬቱን ከነካው እና ከዚያም የግብ ፖስታውን ቢመታ, ለውጥን ያመጣል.")</f>
        <v>ዲስኩ መሬቱን ከነካው እና ከዚያም የግብ ፖስታውን ቢመታ, ለውጥን ያመጣል.</v>
      </c>
    </row>
    <row r="89" ht="22.5" customHeight="1">
      <c r="A89" s="13">
        <v>88.0</v>
      </c>
      <c r="B89" s="14" t="s">
        <v>2194</v>
      </c>
      <c r="C89" s="14" t="s">
        <v>2195</v>
      </c>
      <c r="D89" s="14" t="s">
        <v>1940</v>
      </c>
      <c r="E89" s="14" t="s">
        <v>2196</v>
      </c>
      <c r="G89" s="8" t="str">
        <f>IFERROR(__xludf.DUMMYFUNCTION(" GOOGLETRANSLATE(A89, ""en"", ""am"")"),"88")</f>
        <v>88</v>
      </c>
      <c r="H89" s="8" t="str">
        <f>IFERROR(__xludf.DUMMYFUNCTION(" GOOGLETRANSLATE(B89, ""en"", ""am"")"),"ዳኛው የጨዋታውን መጀመሪያ ከማመልከቱ በፊት ዲስኩ ከተጣለ ምን ይሆናል?")</f>
        <v>ዳኛው የጨዋታውን መጀመሪያ ከማመልከቱ በፊት ዲስኩ ከተጣለ ምን ይሆናል?</v>
      </c>
      <c r="I89" s="8" t="str">
        <f>IFERROR(__xludf.DUMMYFUNCTION(" GOOGLETRANSLATE(C89, ""en"", ""am"")"),"A. turnaround B. ምንም ቅጣት የለም። ሐ. ለተቃራኒ ቡድን ነፃ ውርወራ መ. ዳኛው ይወስናል።")</f>
        <v>A. turnaround B. ምንም ቅጣት የለም። ሐ. ለተቃራኒ ቡድን ነፃ ውርወራ መ. ዳኛው ይወስናል።</v>
      </c>
      <c r="J89" s="8" t="str">
        <f>IFERROR(__xludf.DUMMYFUNCTION(" GOOGLETRANSLATE(D89, ""en"", ""am"")"),"መዞር")</f>
        <v>መዞር</v>
      </c>
      <c r="K89" s="8" t="str">
        <f>IFERROR(__xludf.DUMMYFUNCTION(" GOOGLETRANSLATE(E89, ""en"", ""am"")"),"ከዳኛው በፊት ዲስኩን መወርወር ጨዋታው መጀመሩን ያሳያል።")</f>
        <v>ከዳኛው በፊት ዲስኩን መወርወር ጨዋታው መጀመሩን ያሳያል።</v>
      </c>
    </row>
    <row r="90" ht="22.5" customHeight="1">
      <c r="A90" s="13">
        <v>89.0</v>
      </c>
      <c r="B90" s="14" t="s">
        <v>2197</v>
      </c>
      <c r="C90" s="14" t="s">
        <v>2171</v>
      </c>
      <c r="D90" s="14" t="s">
        <v>2102</v>
      </c>
      <c r="E90" s="14" t="s">
        <v>2198</v>
      </c>
      <c r="G90" s="8" t="str">
        <f>IFERROR(__xludf.DUMMYFUNCTION(" GOOGLETRANSLATE(A90, ""en"", ""am"")"),"89")</f>
        <v>89</v>
      </c>
      <c r="H90" s="8" t="str">
        <f>IFERROR(__xludf.DUMMYFUNCTION(" GOOGLETRANSLATE(B90, ""en"", ""am"")"),"ዲስኩ ሳይኖር ወደ አጥቂ ዞን የገባ ተጫዋች ቅጣቱ ምንድን ነው?")</f>
        <v>ዲስኩ ሳይኖር ወደ አጥቂ ዞን የገባ ተጫዋች ቅጣቱ ምንድን ነው?</v>
      </c>
      <c r="I90" s="8" t="str">
        <f>IFERROR(__xludf.DUMMYFUNCTION(" GOOGLETRANSLATE(C90, ""en"", ""am"")"),"ሀ. መዞር ለ. መጥፎ ማስጠንቀቂያ ሐ. ለተቃራኒ ቡድን ነፃ ውርወራ መ. ምንም ቅጣት የለም.")</f>
        <v>ሀ. መዞር ለ. መጥፎ ማስጠንቀቂያ ሐ. ለተቃራኒ ቡድን ነፃ ውርወራ መ. ምንም ቅጣት የለም.</v>
      </c>
      <c r="J90" s="8" t="str">
        <f>IFERROR(__xludf.DUMMYFUNCTION(" GOOGLETRANSLATE(D90, ""en"", ""am"")"),"መጥፎ ማስጠንቀቂያ")</f>
        <v>መጥፎ ማስጠንቀቂያ</v>
      </c>
      <c r="K90" s="8" t="str">
        <f>IFERROR(__xludf.DUMMYFUNCTION(" GOOGLETRANSLATE(E90, ""en"", ""am"")"),"ዲስኩ ሳይኖር ወደ አስጸያፊው ዞን መግባቱ ጥፋት ያስከትላል.")</f>
        <v>ዲስኩ ሳይኖር ወደ አስጸያፊው ዞን መግባቱ ጥፋት ያስከትላል.</v>
      </c>
    </row>
    <row r="91" ht="22.5" customHeight="1">
      <c r="A91" s="13">
        <v>90.0</v>
      </c>
      <c r="B91" s="14" t="s">
        <v>2199</v>
      </c>
      <c r="C91" s="14" t="s">
        <v>2200</v>
      </c>
      <c r="D91" s="14" t="s">
        <v>1451</v>
      </c>
      <c r="E91" s="14" t="s">
        <v>2201</v>
      </c>
      <c r="G91" s="8" t="str">
        <f>IFERROR(__xludf.DUMMYFUNCTION(" GOOGLETRANSLATE(A91, ""en"", ""am"")"),"90")</f>
        <v>90</v>
      </c>
      <c r="H91" s="8" t="str">
        <f>IFERROR(__xludf.DUMMYFUNCTION(" GOOGLETRANSLATE(B91, ""en"", ""am"")"),"አንድ ተጫዋች ዲስኩን ከመከላከያ ዞን ወደ አጥቂ ዞን በአንድ እጁ መጣል ይችላል?")</f>
        <v>አንድ ተጫዋች ዲስኩን ከመከላከያ ዞን ወደ አጥቂ ዞን በአንድ እጁ መጣል ይችላል?</v>
      </c>
      <c r="I91" s="8" t="str">
        <f>IFERROR(__xludf.DUMMYFUNCTION(" GOOGLETRANSLATE(C91, ""en"", ""am"")"),"ሀ. አዎ ለ. አይ ሐ. በሁለት እጅ ብቻ መ. ከ10 ሰከንድ በኋላ ብቻ")</f>
        <v>ሀ. አዎ ለ. አይ ሐ. በሁለት እጅ ብቻ መ. ከ10 ሰከንድ በኋላ ብቻ</v>
      </c>
      <c r="J91" s="8" t="str">
        <f>IFERROR(__xludf.DUMMYFUNCTION(" GOOGLETRANSLATE(D91, ""en"", ""am"")"),"አዎ")</f>
        <v>አዎ</v>
      </c>
      <c r="K91" s="8" t="str">
        <f>IFERROR(__xludf.DUMMYFUNCTION(" GOOGLETRANSLATE(E91, ""en"", ""am"")"),"አንድ ተጫዋች ዲስኩን በአንድ እጁ ከመከላከያ ዞን ወደ አጥቂ ዞን ሊወረውር ይችላል።")</f>
        <v>አንድ ተጫዋች ዲስኩን በአንድ እጁ ከመከላከያ ዞን ወደ አጥቂ ዞን ሊወረውር ይችላል።</v>
      </c>
    </row>
    <row r="92" ht="22.5" customHeight="1">
      <c r="A92" s="13">
        <v>91.0</v>
      </c>
      <c r="B92" s="14" t="s">
        <v>2202</v>
      </c>
      <c r="C92" s="14" t="s">
        <v>2203</v>
      </c>
      <c r="D92" s="14" t="s">
        <v>2145</v>
      </c>
      <c r="E92" s="14" t="s">
        <v>2204</v>
      </c>
      <c r="G92" s="8" t="str">
        <f>IFERROR(__xludf.DUMMYFUNCTION(" GOOGLETRANSLATE(A92, ""en"", ""am"")"),"91")</f>
        <v>91</v>
      </c>
      <c r="H92" s="8" t="str">
        <f>IFERROR(__xludf.DUMMYFUNCTION(" GOOGLETRANSLATE(B92, ""en"", ""am"")"),"ዲስኩ ወደ ግቡ ከተጣለ ግን ከወሰን ውጭ ከሆነ ምን ይከሰታል?")</f>
        <v>ዲስኩ ወደ ግቡ ከተጣለ ግን ከወሰን ውጭ ከሆነ ምን ይከሰታል?</v>
      </c>
      <c r="I92" s="8" t="str">
        <f>IFERROR(__xludf.DUMMYFUNCTION(" GOOGLETRANSLATE(C92, ""en"", ""am"")"),"ሀ. ምንም ግብ የለም. ለ. ግብ ተሰጥቷል. ሐ. ነፃ ውርወራ ለተቃራኒ ቡድን D. Turnaround")</f>
        <v>ሀ. ምንም ግብ የለም. ለ. ግብ ተሰጥቷል. ሐ. ነፃ ውርወራ ለተቃራኒ ቡድን D. Turnaround</v>
      </c>
      <c r="J92" s="8" t="str">
        <f>IFERROR(__xludf.DUMMYFUNCTION(" GOOGLETRANSLATE(D92, ""en"", ""am"")"),"ምንም ግብ የለም.")</f>
        <v>ምንም ግብ የለም.</v>
      </c>
      <c r="K92" s="8" t="str">
        <f>IFERROR(__xludf.DUMMYFUNCTION(" GOOGLETRANSLATE(E92, ""en"", ""am"")"),"ዲስኩ ወደ ግቡ ከተጣለ ነገር ግን ከወሰን ውጭ ከሆነ ምንም ግብ አይሰጥም.")</f>
        <v>ዲስኩ ወደ ግቡ ከተጣለ ነገር ግን ከወሰን ውጭ ከሆነ ምንም ግብ አይሰጥም.</v>
      </c>
    </row>
    <row r="93" ht="22.5" customHeight="1">
      <c r="A93" s="13">
        <v>92.0</v>
      </c>
      <c r="B93" s="14" t="s">
        <v>2205</v>
      </c>
      <c r="C93" s="14" t="s">
        <v>2099</v>
      </c>
      <c r="D93" s="14" t="s">
        <v>1975</v>
      </c>
      <c r="E93" s="14" t="s">
        <v>2100</v>
      </c>
      <c r="G93" s="8" t="str">
        <f>IFERROR(__xludf.DUMMYFUNCTION(" GOOGLETRANSLATE(A93, ""en"", ""am"")"),"92")</f>
        <v>92</v>
      </c>
      <c r="H93" s="8" t="str">
        <f>IFERROR(__xludf.DUMMYFUNCTION(" GOOGLETRANSLATE(B93, ""en"", ""am"")"),"አንድ ቡድን ከአጥቂ ክልል ውስጥ ለገባው ጎል ስንት ነጥብ ያገኛል?")</f>
        <v>አንድ ቡድን ከአጥቂ ክልል ውስጥ ለገባው ጎል ስንት ነጥብ ያገኛል?</v>
      </c>
      <c r="I93" s="8" t="str">
        <f>IFERROR(__xludf.DUMMYFUNCTION(" GOOGLETRANSLATE(C93, ""en"", ""am"")"),"ሀ. 1 ነጥብ ለ. 2 ነጥብ ሐ. 3 ነጥብ መ. 4 ነጥብ")</f>
        <v>ሀ. 1 ነጥብ ለ. 2 ነጥብ ሐ. 3 ነጥብ መ. 4 ነጥብ</v>
      </c>
      <c r="J93" s="8" t="str">
        <f>IFERROR(__xludf.DUMMYFUNCTION(" GOOGLETRANSLATE(D93, ""en"", ""am"")"),"1 ነጥብ")</f>
        <v>1 ነጥብ</v>
      </c>
      <c r="K93" s="8" t="str">
        <f>IFERROR(__xludf.DUMMYFUNCTION(" GOOGLETRANSLATE(E93, ""en"", ""am"")"),"ከአጥቂ ክልል የተቆጠረው ጎል 1 ነጥብ ነው።")</f>
        <v>ከአጥቂ ክልል የተቆጠረው ጎል 1 ነጥብ ነው።</v>
      </c>
    </row>
    <row r="94" ht="22.5" customHeight="1">
      <c r="A94" s="13">
        <v>93.0</v>
      </c>
      <c r="B94" s="14" t="s">
        <v>2206</v>
      </c>
      <c r="C94" s="14" t="s">
        <v>2121</v>
      </c>
      <c r="D94" s="14" t="s">
        <v>1940</v>
      </c>
      <c r="E94" s="14" t="s">
        <v>2207</v>
      </c>
      <c r="G94" s="8" t="str">
        <f>IFERROR(__xludf.DUMMYFUNCTION(" GOOGLETRANSLATE(A94, ""en"", ""am"")"),"93")</f>
        <v>93</v>
      </c>
      <c r="H94" s="8" t="str">
        <f>IFERROR(__xludf.DUMMYFUNCTION(" GOOGLETRANSLATE(B94, ""en"", ""am"")"),"አንድ ተጫዋች ዲስኩን ቢይዝ ነገር ግን ከወሰን ውጭ ከሆነ ምን ይከሰታል?")</f>
        <v>አንድ ተጫዋች ዲስኩን ቢይዝ ነገር ግን ከወሰን ውጭ ከሆነ ምን ይከሰታል?</v>
      </c>
      <c r="I94" s="8" t="str">
        <f>IFERROR(__xludf.DUMMYFUNCTION(" GOOGLETRANSLATE(C94, ""en"", ""am"")"),"ሀ. መዞር ለ. ለተቃራኒ ቡድን ነፃ ውርወራ C. ግብ ተሰጥቷል። D. ጨዋታው ቀጥሏል።")</f>
        <v>ሀ. መዞር ለ. ለተቃራኒ ቡድን ነፃ ውርወራ C. ግብ ተሰጥቷል። D. ጨዋታው ቀጥሏል።</v>
      </c>
      <c r="J94" s="8" t="str">
        <f>IFERROR(__xludf.DUMMYFUNCTION(" GOOGLETRANSLATE(D94, ""en"", ""am"")"),"መዞር")</f>
        <v>መዞር</v>
      </c>
      <c r="K94" s="8" t="str">
        <f>IFERROR(__xludf.DUMMYFUNCTION(" GOOGLETRANSLATE(E94, ""en"", ""am"")"),"ተጫዋቹ ዲስኩን ቢይዝ ግን ከድንበር ውጭ ከሆነ, ለውጥን ያመጣል.")</f>
        <v>ተጫዋቹ ዲስኩን ቢይዝ ግን ከድንበር ውጭ ከሆነ, ለውጥን ያመጣል.</v>
      </c>
    </row>
    <row r="95" ht="22.5" customHeight="1">
      <c r="A95" s="13">
        <v>94.0</v>
      </c>
      <c r="B95" s="14" t="s">
        <v>2208</v>
      </c>
      <c r="C95" s="14" t="s">
        <v>2209</v>
      </c>
      <c r="D95" s="14" t="s">
        <v>1451</v>
      </c>
      <c r="E95" s="14" t="s">
        <v>2210</v>
      </c>
      <c r="G95" s="8" t="str">
        <f>IFERROR(__xludf.DUMMYFUNCTION(" GOOGLETRANSLATE(A95, ""en"", ""am"")"),"94")</f>
        <v>94</v>
      </c>
      <c r="H95" s="8" t="str">
        <f>IFERROR(__xludf.DUMMYFUNCTION(" GOOGLETRANSLATE(B95, ""en"", ""am"")"),"አንድ ተጫዋች ዲስኩን ከገለልተኛ ዞን በቀጥታ ወደ ግብ መጣል ይችላል?")</f>
        <v>አንድ ተጫዋች ዲስኩን ከገለልተኛ ዞን በቀጥታ ወደ ግብ መጣል ይችላል?</v>
      </c>
      <c r="I95" s="8" t="str">
        <f>IFERROR(__xludf.DUMMYFUNCTION(" GOOGLETRANSLATE(C95, ""en"", ""am"")"),"A. አዎ ለ. አይ ሐ. ከ5 ሰከንድ በኋላ ብቻ መ. ካልተቃወሙ ብቻ።")</f>
        <v>A. አዎ ለ. አይ ሐ. ከ5 ሰከንድ በኋላ ብቻ መ. ካልተቃወሙ ብቻ።</v>
      </c>
      <c r="J95" s="8" t="str">
        <f>IFERROR(__xludf.DUMMYFUNCTION(" GOOGLETRANSLATE(D95, ""en"", ""am"")"),"አዎ")</f>
        <v>አዎ</v>
      </c>
      <c r="K95" s="8" t="str">
        <f>IFERROR(__xludf.DUMMYFUNCTION(" GOOGLETRANSLATE(E95, ""en"", ""am"")"),"አንድ ተጫዋች ዲስኩን ከገለልተኛ ዞን በቀጥታ ወደ ግቡ እንዲጥል ይፈቀድለታል.")</f>
        <v>አንድ ተጫዋች ዲስኩን ከገለልተኛ ዞን በቀጥታ ወደ ግቡ እንዲጥል ይፈቀድለታል.</v>
      </c>
    </row>
    <row r="96" ht="22.5" customHeight="1">
      <c r="A96" s="13">
        <v>95.0</v>
      </c>
      <c r="B96" s="14" t="s">
        <v>2211</v>
      </c>
      <c r="C96" s="14" t="s">
        <v>2212</v>
      </c>
      <c r="D96" s="14" t="s">
        <v>2213</v>
      </c>
      <c r="E96" s="14" t="s">
        <v>2214</v>
      </c>
      <c r="G96" s="8" t="str">
        <f>IFERROR(__xludf.DUMMYFUNCTION(" GOOGLETRANSLATE(A96, ""en"", ""am"")"),"95")</f>
        <v>95</v>
      </c>
      <c r="H96" s="8" t="str">
        <f>IFERROR(__xludf.DUMMYFUNCTION(" GOOGLETRANSLATE(B96, ""en"", ""am"")"),"ዳኛው በጨዋታው ጊዜ ማብቂያ ከጠራ ምን ይሆናል?")</f>
        <v>ዳኛው በጨዋታው ጊዜ ማብቂያ ከጠራ ምን ይሆናል?</v>
      </c>
      <c r="I96" s="8" t="str">
        <f>IFERROR(__xludf.DUMMYFUNCTION(" GOOGLETRANSLATE(C96, ""en"", ""am"")"),"ሀ ጨዋታው ወዲያው ይቆማል። ለ. ለተጋጣሚ ቡድን መዞር ሐ. ለተቃራኒ ቡድን ነፃ ውርወራ መ. ለተቃራኒ ቡድን ጊዜው አልፏል።")</f>
        <v>ሀ ጨዋታው ወዲያው ይቆማል። ለ. ለተጋጣሚ ቡድን መዞር ሐ. ለተቃራኒ ቡድን ነፃ ውርወራ መ. ለተቃራኒ ቡድን ጊዜው አልፏል።</v>
      </c>
      <c r="J96" s="8" t="str">
        <f>IFERROR(__xludf.DUMMYFUNCTION(" GOOGLETRANSLATE(D96, ""en"", ""am"")"),"ጨዋታው ወዲያውኑ ይቆማል።")</f>
        <v>ጨዋታው ወዲያውኑ ይቆማል።</v>
      </c>
      <c r="K96" s="8" t="str">
        <f>IFERROR(__xludf.DUMMYFUNCTION(" GOOGLETRANSLATE(E96, ""en"", ""am"")"),"ዳኛው የጊዜ ማብቂያ ሲጠራ ጨዋታው ወዲያው ይቆማል።")</f>
        <v>ዳኛው የጊዜ ማብቂያ ሲጠራ ጨዋታው ወዲያው ይቆማል።</v>
      </c>
    </row>
    <row r="97" ht="22.5" customHeight="1">
      <c r="A97" s="13">
        <v>96.0</v>
      </c>
      <c r="B97" s="14" t="s">
        <v>2215</v>
      </c>
      <c r="C97" s="14" t="s">
        <v>2216</v>
      </c>
      <c r="D97" s="14" t="s">
        <v>2217</v>
      </c>
      <c r="E97" s="14" t="s">
        <v>2218</v>
      </c>
      <c r="G97" s="8" t="str">
        <f>IFERROR(__xludf.DUMMYFUNCTION(" GOOGLETRANSLATE(A97, ""en"", ""am"")"),"96")</f>
        <v>96</v>
      </c>
      <c r="H97" s="8" t="str">
        <f>IFERROR(__xludf.DUMMYFUNCTION(" GOOGLETRANSLATE(B97, ""en"", ""am"")"),"ቡድን ጎል አስቆጥሮ ተጋጣሚው ቡድን ጥፋት ቢሰራ ምን ይሆናል?")</f>
        <v>ቡድን ጎል አስቆጥሮ ተጋጣሚው ቡድን ጥፋት ቢሰራ ምን ይሆናል?</v>
      </c>
      <c r="I97" s="8" t="str">
        <f>IFERROR(__xludf.DUMMYFUNCTION(" GOOGLETRANSLATE(C97, ""en"", ""am"")"),"ሀ. ፎውል ከግቡ በኋላ ይተገበራል። ለ. ግቡ ተበላሽቷል. ሐ. ፎውል ከግቡ በፊት ይተገበራል። መ. በግቡ ላይ ምንም ተጽእኖ የለም")</f>
        <v>ሀ. ፎውል ከግቡ በኋላ ይተገበራል። ለ. ግቡ ተበላሽቷል. ሐ. ፎውል ከግቡ በፊት ይተገበራል። መ. በግቡ ላይ ምንም ተጽእኖ የለም</v>
      </c>
      <c r="J97" s="8" t="str">
        <f>IFERROR(__xludf.DUMMYFUNCTION(" GOOGLETRANSLATE(D97, ""en"", ""am"")"),"ፎል ከግቡ በኋላ ይተገበራል.")</f>
        <v>ፎል ከግቡ በኋላ ይተገበራል.</v>
      </c>
      <c r="K97" s="8" t="str">
        <f>IFERROR(__xludf.DUMMYFUNCTION(" GOOGLETRANSLATE(E97, ""en"", ""am"")"),"አንድ ቡድን ጎል አስቆጥሮ ተጋጣሚው ቡድን ጥፋት ከሰራ ጥፋቱ የሚፈጸመው ከጎል በኋላ ነው።")</f>
        <v>አንድ ቡድን ጎል አስቆጥሮ ተጋጣሚው ቡድን ጥፋት ከሰራ ጥፋቱ የሚፈጸመው ከጎል በኋላ ነው።</v>
      </c>
    </row>
    <row r="98" ht="22.5" customHeight="1">
      <c r="A98" s="13">
        <v>97.0</v>
      </c>
      <c r="B98" s="14" t="s">
        <v>2219</v>
      </c>
      <c r="C98" s="14" t="s">
        <v>2220</v>
      </c>
      <c r="D98" s="14" t="s">
        <v>2221</v>
      </c>
      <c r="E98" s="14" t="s">
        <v>2222</v>
      </c>
      <c r="G98" s="8" t="str">
        <f>IFERROR(__xludf.DUMMYFUNCTION(" GOOGLETRANSLATE(A98, ""en"", ""am"")"),"97")</f>
        <v>97</v>
      </c>
      <c r="H98" s="8" t="str">
        <f>IFERROR(__xludf.DUMMYFUNCTION(" GOOGLETRANSLATE(B98, ""en"", ""am"")"),"ዲስኩን ከመሃል ክበብ ለመጣል ህጉ ምንድን ነው?")</f>
        <v>ዲስኩን ከመሃል ክበብ ለመጣል ህጉ ምንድን ነው?</v>
      </c>
      <c r="I98" s="8" t="str">
        <f>IFERROR(__xludf.DUMMYFUNCTION(" GOOGLETRANSLATE(C98, ""en"", ""am"")"),"ሀ ማንኛውም ተጫዋች መጣል ይችላል። ለ. በመጀመሪያ ዲስኩን የነካው ተጫዋች ብቻ ነው የሚያሸንፈው። ሐ. ተቃራኒው ቡድን ይጥላል. መ. የመጨረሻውን ነጥብ ያሸነፈው ቡድን ይሸነፋል.")</f>
        <v>ሀ ማንኛውም ተጫዋች መጣል ይችላል። ለ. በመጀመሪያ ዲስኩን የነካው ተጫዋች ብቻ ነው የሚያሸንፈው። ሐ. ተቃራኒው ቡድን ይጥላል. መ. የመጨረሻውን ነጥብ ያሸነፈው ቡድን ይሸነፋል.</v>
      </c>
      <c r="J98" s="8" t="str">
        <f>IFERROR(__xludf.DUMMYFUNCTION(" GOOGLETRANSLATE(D98, ""en"", ""am"")"),"ማንኛውም ተጫዋች መጣል ይችላል።")</f>
        <v>ማንኛውም ተጫዋች መጣል ይችላል።</v>
      </c>
      <c r="K98" s="8" t="str">
        <f>IFERROR(__xludf.DUMMYFUNCTION(" GOOGLETRANSLATE(E98, ""en"", ""am"")"),"ማንኛውም ተጫዋች ከጎል በኋላ ዲስኩን ከመሃል ክበብ ሊወረውር ይችላል።")</f>
        <v>ማንኛውም ተጫዋች ከጎል በኋላ ዲስኩን ከመሃል ክበብ ሊወረውር ይችላል።</v>
      </c>
    </row>
    <row r="99" ht="22.5" customHeight="1">
      <c r="A99" s="13">
        <v>98.0</v>
      </c>
      <c r="B99" s="14" t="s">
        <v>2223</v>
      </c>
      <c r="C99" s="14" t="s">
        <v>2224</v>
      </c>
      <c r="D99" s="14" t="s">
        <v>2213</v>
      </c>
      <c r="E99" s="14" t="s">
        <v>2225</v>
      </c>
      <c r="G99" s="8" t="str">
        <f>IFERROR(__xludf.DUMMYFUNCTION(" GOOGLETRANSLATE(A99, ""en"", ""am"")"),"98")</f>
        <v>98</v>
      </c>
      <c r="H99" s="8" t="str">
        <f>IFERROR(__xludf.DUMMYFUNCTION(" GOOGLETRANSLATE(B99, ""en"", ""am"")"),"ሌላኛው ቡድን ዲስኩ ሲኖረው አንዱ ቡድን የጊዜ ማብቂያ ከተጠቀመ ምን ይከሰታል?")</f>
        <v>ሌላኛው ቡድን ዲስኩ ሲኖረው አንዱ ቡድን የጊዜ ማብቂያ ከተጠቀመ ምን ይከሰታል?</v>
      </c>
      <c r="I99" s="8" t="str">
        <f>IFERROR(__xludf.DUMMYFUNCTION(" GOOGLETRANSLATE(C99, ""en"", ""am"")"),"ሀ ጨዋታው ወዲያው ይቆማል። B. ኳሱን ለሚቆጣጠረው ቡድን ብቻ ​​ጊዜው አልፎበታል ሐ. ለረጅም ጊዜ ችላ ተብሏል. መ. ለተቃራኒ ቡድን ነፃ ውርወራ")</f>
        <v>ሀ ጨዋታው ወዲያው ይቆማል። B. ኳሱን ለሚቆጣጠረው ቡድን ብቻ ​​ጊዜው አልፎበታል ሐ. ለረጅም ጊዜ ችላ ተብሏል. መ. ለተቃራኒ ቡድን ነፃ ውርወራ</v>
      </c>
      <c r="J99" s="8" t="str">
        <f>IFERROR(__xludf.DUMMYFUNCTION(" GOOGLETRANSLATE(D99, ""en"", ""am"")"),"ጨዋታው ወዲያውኑ ይቆማል።")</f>
        <v>ጨዋታው ወዲያውኑ ይቆማል።</v>
      </c>
      <c r="K99" s="8" t="str">
        <f>IFERROR(__xludf.DUMMYFUNCTION(" GOOGLETRANSLATE(E99, ""en"", ""am"")"),"ሌላኛው ቡድን ዲስኩ ሲኖረው አንድ ቡድን የጊዜ ማብቂያ ከተጠቀመ ጨዋታው ወዲያውኑ ይቆማል።")</f>
        <v>ሌላኛው ቡድን ዲስኩ ሲኖረው አንድ ቡድን የጊዜ ማብቂያ ከተጠቀመ ጨዋታው ወዲያውኑ ይቆማል።</v>
      </c>
    </row>
    <row r="100" ht="22.5" customHeight="1">
      <c r="A100" s="13">
        <v>99.0</v>
      </c>
      <c r="B100" s="14" t="s">
        <v>2226</v>
      </c>
      <c r="C100" s="14" t="s">
        <v>2227</v>
      </c>
      <c r="D100" s="14" t="s">
        <v>1630</v>
      </c>
      <c r="E100" s="14" t="s">
        <v>2228</v>
      </c>
      <c r="G100" s="8" t="str">
        <f>IFERROR(__xludf.DUMMYFUNCTION(" GOOGLETRANSLATE(A100, ""en"", ""am"")"),"99")</f>
        <v>99</v>
      </c>
      <c r="H100" s="8" t="str">
        <f>IFERROR(__xludf.DUMMYFUNCTION(" GOOGLETRANSLATE(B100, ""en"", ""am"")"),"አንድ ተጫዋች መሬት ላይ ከመድረሱ በፊት ዲስኩን ቢነካው ምን ይሆናል?")</f>
        <v>አንድ ተጫዋች መሬት ላይ ከመድረሱ በፊት ዲስኩን ቢነካው ምን ይሆናል?</v>
      </c>
      <c r="I100" s="8" t="str">
        <f>IFERROR(__xludf.DUMMYFUNCTION(" GOOGLETRANSLATE(C100, ""en"", ""am"")"),"ሀ. ምንም ቅጣት የለም. B. turnaround C. ለተቃራኒ ቡድን ነፃ ውርወራ መ. ጎል ተሰጥቷል።")</f>
        <v>ሀ. ምንም ቅጣት የለም. B. turnaround C. ለተቃራኒ ቡድን ነፃ ውርወራ መ. ጎል ተሰጥቷል።</v>
      </c>
      <c r="J100" s="8" t="str">
        <f>IFERROR(__xludf.DUMMYFUNCTION(" GOOGLETRANSLATE(D100, ""en"", ""am"")"),"ምንም ቅጣት የለም.")</f>
        <v>ምንም ቅጣት የለም.</v>
      </c>
      <c r="K100" s="8" t="str">
        <f>IFERROR(__xludf.DUMMYFUNCTION(" GOOGLETRANSLATE(E100, ""en"", ""am"")"),"አንድ ተጫዋች ያለ ቅጣት ወደ መሬት ከመምታቱ በፊት ዲስኩን ሊነካው ይችላል።")</f>
        <v>አንድ ተጫዋች ያለ ቅጣት ወደ መሬት ከመምታቱ በፊት ዲስኩን ሊነካው ይችላል።</v>
      </c>
    </row>
    <row r="101" ht="22.5" customHeight="1">
      <c r="A101" s="13">
        <v>100.0</v>
      </c>
      <c r="B101" s="14" t="s">
        <v>2229</v>
      </c>
      <c r="C101" s="14" t="s">
        <v>2230</v>
      </c>
      <c r="D101" s="14" t="s">
        <v>2051</v>
      </c>
      <c r="E101" s="14" t="s">
        <v>2231</v>
      </c>
      <c r="G101" s="8" t="str">
        <f>IFERROR(__xludf.DUMMYFUNCTION(" GOOGLETRANSLATE(A101, ""en"", ""am"")"),"100")</f>
        <v>100</v>
      </c>
      <c r="H101" s="8" t="str">
        <f>IFERROR(__xludf.DUMMYFUNCTION(" GOOGLETRANSLATE(B101, ""en"", ""am"")"),"ዲስኩን ለመስበር ለመዝለል ህጉ ምንድን ነው?")</f>
        <v>ዲስኩን ለመስበር ለመዝለል ህጉ ምንድን ነው?</v>
      </c>
      <c r="I101" s="8" t="str">
        <f>IFERROR(__xludf.DUMMYFUNCTION(" GOOGLETRANSLATE(C101, ""en"", ""am"")"),"ሀ. በማንኛውም ጊዜ ይፈቀዳል B. በሁለቱም እግሮች መሬት ላይ ብቻ መቆም ይፈቀዳል. ሐ. አይፈቀድም. መ. በዳኛው ይሁንታ ብቻ።")</f>
        <v>ሀ. በማንኛውም ጊዜ ይፈቀዳል B. በሁለቱም እግሮች መሬት ላይ ብቻ መቆም ይፈቀዳል. ሐ. አይፈቀድም. መ. በዳኛው ይሁንታ ብቻ።</v>
      </c>
      <c r="J101" s="8" t="str">
        <f>IFERROR(__xludf.DUMMYFUNCTION(" GOOGLETRANSLATE(D101, ""en"", ""am"")"),"በማንኛውም ጊዜ ተፈቅዷል")</f>
        <v>በማንኛውም ጊዜ ተፈቅዷል</v>
      </c>
      <c r="K101" s="8" t="str">
        <f>IFERROR(__xludf.DUMMYFUNCTION(" GOOGLETRANSLATE(E101, ""en"", ""am"")"),"ዲስኩን ለመጥለፍ መዝለል በማንኛውም ጊዜ ይፈቀዳል።")</f>
        <v>ዲስኩን ለመጥለፍ መዝለል በማንኛውም ጊዜ ይፈቀዳል።</v>
      </c>
    </row>
    <row r="102" ht="22.5" customHeight="1">
      <c r="A102" s="13">
        <v>101.0</v>
      </c>
      <c r="B102" s="14" t="s">
        <v>2232</v>
      </c>
      <c r="C102" s="14" t="s">
        <v>2121</v>
      </c>
      <c r="D102" s="14" t="s">
        <v>1940</v>
      </c>
      <c r="E102" s="14" t="s">
        <v>2233</v>
      </c>
      <c r="G102" s="8" t="str">
        <f>IFERROR(__xludf.DUMMYFUNCTION(" GOOGLETRANSLATE(A102, ""en"", ""am"")"),"101")</f>
        <v>101</v>
      </c>
      <c r="H102" s="8" t="str">
        <f>IFERROR(__xludf.DUMMYFUNCTION(" GOOGLETRANSLATE(B102, ""en"", ""am"")"),"አንድ ተጫዋች ዲስኩን ሲይዝ ወደ ገለልተኛ ዞን ቢገባ ምን ይከሰታል?")</f>
        <v>አንድ ተጫዋች ዲስኩን ሲይዝ ወደ ገለልተኛ ዞን ቢገባ ምን ይከሰታል?</v>
      </c>
      <c r="I102" s="8" t="str">
        <f>IFERROR(__xludf.DUMMYFUNCTION(" GOOGLETRANSLATE(C102, ""en"", ""am"")"),"ሀ. መዞር ለ. ለተቃራኒ ቡድን ነፃ ውርወራ C. ግብ ተሰጥቷል። D. ጨዋታው ቀጥሏል።")</f>
        <v>ሀ. መዞር ለ. ለተቃራኒ ቡድን ነፃ ውርወራ C. ግብ ተሰጥቷል። D. ጨዋታው ቀጥሏል።</v>
      </c>
      <c r="J102" s="8" t="str">
        <f>IFERROR(__xludf.DUMMYFUNCTION(" GOOGLETRANSLATE(D102, ""en"", ""am"")"),"መዞር")</f>
        <v>መዞር</v>
      </c>
      <c r="K102" s="8" t="str">
        <f>IFERROR(__xludf.DUMMYFUNCTION(" GOOGLETRANSLATE(E102, ""en"", ""am"")"),"ዲስኩን በመያዝ ወደ ገለልተኛ ዞን መግባት ለውጥ ያመጣል.")</f>
        <v>ዲስኩን በመያዝ ወደ ገለልተኛ ዞን መግባት ለውጥ ያመጣል.</v>
      </c>
    </row>
    <row r="103" ht="22.5" customHeight="1">
      <c r="A103" s="13">
        <v>102.0</v>
      </c>
      <c r="B103" s="14" t="s">
        <v>2234</v>
      </c>
      <c r="C103" s="14" t="s">
        <v>2235</v>
      </c>
      <c r="D103" s="14" t="s">
        <v>2236</v>
      </c>
      <c r="E103" s="14" t="s">
        <v>2237</v>
      </c>
      <c r="G103" s="8" t="str">
        <f>IFERROR(__xludf.DUMMYFUNCTION(" GOOGLETRANSLATE(A103, ""en"", ""am"")"),"102")</f>
        <v>102</v>
      </c>
      <c r="H103" s="8" t="str">
        <f>IFERROR(__xludf.DUMMYFUNCTION(" GOOGLETRANSLATE(B103, ""en"", ""am"")"),"ፊሽካ ከተነፋ በኋላ ጎል ቢቆጠር ምን ይሆናል?")</f>
        <v>ፊሽካ ከተነፋ በኋላ ጎል ቢቆጠር ምን ይሆናል?</v>
      </c>
      <c r="I103" s="8" t="str">
        <f>IFERROR(__xludf.DUMMYFUNCTION(" GOOGLETRANSLATE(C103, ""en"", ""am"")"),"ሀ. ግቡ ይቆጠራል። ለ. ግቡ አይቆጠርም. C. ጨዋታው ቀጥሏል። መ. ዘግይቶ ለተተኮሰ መጥፎ ተግባር")</f>
        <v>ሀ. ግቡ ይቆጠራል። ለ. ግቡ አይቆጠርም. C. ጨዋታው ቀጥሏል። መ. ዘግይቶ ለተተኮሰ መጥፎ ተግባር</v>
      </c>
      <c r="J103" s="8" t="str">
        <f>IFERROR(__xludf.DUMMYFUNCTION(" GOOGLETRANSLATE(D103, ""en"", ""am"")"),"ግቡ አይቆጠርም.")</f>
        <v>ግቡ አይቆጠርም.</v>
      </c>
      <c r="K103" s="8" t="str">
        <f>IFERROR(__xludf.DUMMYFUNCTION(" GOOGLETRANSLATE(E103, ""en"", ""am"")"),"ከድምጽ ማጉያው ድምጽ በኋላ የተቆጠረው ግብ አይቆጠርም።")</f>
        <v>ከድምጽ ማጉያው ድምጽ በኋላ የተቆጠረው ግብ አይቆጠርም።</v>
      </c>
    </row>
    <row r="104" ht="22.5" customHeight="1">
      <c r="A104" s="13">
        <v>103.0</v>
      </c>
      <c r="B104" s="14" t="s">
        <v>2238</v>
      </c>
      <c r="C104" s="14" t="s">
        <v>2239</v>
      </c>
      <c r="D104" s="14" t="s">
        <v>1451</v>
      </c>
      <c r="E104" s="14" t="s">
        <v>2240</v>
      </c>
      <c r="G104" s="8" t="str">
        <f>IFERROR(__xludf.DUMMYFUNCTION(" GOOGLETRANSLATE(A104, ""en"", ""am"")"),"103")</f>
        <v>103</v>
      </c>
      <c r="H104" s="8" t="str">
        <f>IFERROR(__xludf.DUMMYFUNCTION(" GOOGLETRANSLATE(B104, ""en"", ""am"")"),"አንድ ተጫዋች ዲስኩን ለማለፍ የጭንቅላት የውሸት መጠቀም ይችላል?")</f>
        <v>አንድ ተጫዋች ዲስኩን ለማለፍ የጭንቅላት የውሸት መጠቀም ይችላል?</v>
      </c>
      <c r="I104" s="8" t="str">
        <f>IFERROR(__xludf.DUMMYFUNCTION(" GOOGLETRANSLATE(C104, ""en"", ""am"")"),"ሀ. አዎ ለ. አይ ሐ. ካልተቃወሙ ብቻ። መ. ከ10 ሰከንድ በኋላ ብቻ")</f>
        <v>ሀ. አዎ ለ. አይ ሐ. ካልተቃወሙ ብቻ። መ. ከ10 ሰከንድ በኋላ ብቻ</v>
      </c>
      <c r="J104" s="8" t="str">
        <f>IFERROR(__xludf.DUMMYFUNCTION(" GOOGLETRANSLATE(D104, ""en"", ""am"")"),"አዎ")</f>
        <v>አዎ</v>
      </c>
      <c r="K104" s="8" t="str">
        <f>IFERROR(__xludf.DUMMYFUNCTION(" GOOGLETRANSLATE(E104, ""en"", ""am"")"),"አንድ ተጫዋች ዲስኩን ለማለፍ የጭንቅላት ውሸት እንዲጠቀም ይፈቀድለታል።")</f>
        <v>አንድ ተጫዋች ዲስኩን ለማለፍ የጭንቅላት ውሸት እንዲጠቀም ይፈቀድለታል።</v>
      </c>
    </row>
    <row r="105" ht="22.5" customHeight="1">
      <c r="A105" s="13">
        <v>104.0</v>
      </c>
      <c r="B105" s="14" t="s">
        <v>2241</v>
      </c>
      <c r="C105" s="14" t="s">
        <v>2242</v>
      </c>
      <c r="D105" s="14" t="s">
        <v>2243</v>
      </c>
      <c r="E105" s="14" t="s">
        <v>2244</v>
      </c>
      <c r="G105" s="8" t="str">
        <f>IFERROR(__xludf.DUMMYFUNCTION(" GOOGLETRANSLATE(A105, ""en"", ""am"")"),"104")</f>
        <v>104</v>
      </c>
      <c r="H105" s="8" t="str">
        <f>IFERROR(__xludf.DUMMYFUNCTION(" GOOGLETRANSLATE(B105, ""en"", ""am"")"),"አንድ ተጫዋች ዲስኩን ከተቃዋሚው ቢይዝ ምን ይሆናል?")</f>
        <v>አንድ ተጫዋች ዲስኩን ከተቃዋሚው ቢይዝ ምን ይሆናል?</v>
      </c>
      <c r="I105" s="8" t="str">
        <f>IFERROR(__xludf.DUMMYFUNCTION(" GOOGLETRANSLATE(C105, ""en"", ""am"")"),"A. Bad B. ለተቃዋሚው ነፃ ውርወራ C. Turnaround D. ምንም ቅጣት የለም።")</f>
        <v>A. Bad B. ለተቃዋሚው ነፃ ውርወራ C. Turnaround D. ምንም ቅጣት የለም።</v>
      </c>
      <c r="J105" s="8" t="str">
        <f>IFERROR(__xludf.DUMMYFUNCTION(" GOOGLETRANSLATE(D105, ""en"", ""am"")"),"መጥፎ")</f>
        <v>መጥፎ</v>
      </c>
      <c r="K105" s="8" t="str">
        <f>IFERROR(__xludf.DUMMYFUNCTION(" GOOGLETRANSLATE(E105, ""en"", ""am"")"),"ዲስኩን ከተቃዋሚዎች ለመንጠቅ እንደ መጥፎ ቅርጽ ይቆጠራል.")</f>
        <v>ዲስኩን ከተቃዋሚዎች ለመንጠቅ እንደ መጥፎ ቅርጽ ይቆጠራል.</v>
      </c>
    </row>
    <row r="106" ht="22.5" customHeight="1">
      <c r="A106" s="13">
        <v>105.0</v>
      </c>
      <c r="B106" s="14" t="s">
        <v>2245</v>
      </c>
      <c r="C106" s="14" t="s">
        <v>2171</v>
      </c>
      <c r="D106" s="14" t="s">
        <v>2102</v>
      </c>
      <c r="E106" s="14" t="s">
        <v>2246</v>
      </c>
      <c r="G106" s="8" t="str">
        <f>IFERROR(__xludf.DUMMYFUNCTION(" GOOGLETRANSLATE(A106, ""en"", ""am"")"),"105")</f>
        <v>105</v>
      </c>
      <c r="H106" s="8" t="str">
        <f>IFERROR(__xludf.DUMMYFUNCTION(" GOOGLETRANSLATE(B106, ""en"", ""am"")"),"የመተካት ህግን የሚጥስ ቡድን ቅጣቱ ምንድን ነው?")</f>
        <v>የመተካት ህግን የሚጥስ ቡድን ቅጣቱ ምንድን ነው?</v>
      </c>
      <c r="I106" s="8" t="str">
        <f>IFERROR(__xludf.DUMMYFUNCTION(" GOOGLETRANSLATE(C106, ""en"", ""am"")"),"ሀ. መዞር ለ. መጥፎ ማስጠንቀቂያ ሐ. ለተቃራኒ ቡድን ነፃ ውርወራ መ. ምንም ቅጣት የለም.")</f>
        <v>ሀ. መዞር ለ. መጥፎ ማስጠንቀቂያ ሐ. ለተቃራኒ ቡድን ነፃ ውርወራ መ. ምንም ቅጣት የለም.</v>
      </c>
      <c r="J106" s="8" t="str">
        <f>IFERROR(__xludf.DUMMYFUNCTION(" GOOGLETRANSLATE(D106, ""en"", ""am"")"),"መጥፎ ማስጠንቀቂያ")</f>
        <v>መጥፎ ማስጠንቀቂያ</v>
      </c>
      <c r="K106" s="8" t="str">
        <f>IFERROR(__xludf.DUMMYFUNCTION(" GOOGLETRANSLATE(E106, ""en"", ""am"")"),"የመተኪያ ደንቡን መጣስ መጥፎ ማስጠንቀቂያ ያስከትላል።")</f>
        <v>የመተኪያ ደንቡን መጣስ መጥፎ ማስጠንቀቂያ ያስከትላል።</v>
      </c>
    </row>
    <row r="107" ht="22.5" customHeight="1">
      <c r="A107" s="13">
        <v>106.0</v>
      </c>
      <c r="B107" s="14" t="s">
        <v>2247</v>
      </c>
      <c r="C107" s="14" t="s">
        <v>2248</v>
      </c>
      <c r="D107" s="14" t="s">
        <v>1451</v>
      </c>
      <c r="E107" s="14" t="s">
        <v>2249</v>
      </c>
      <c r="G107" s="8" t="str">
        <f>IFERROR(__xludf.DUMMYFUNCTION(" GOOGLETRANSLATE(A107, ""en"", ""am"")"),"106")</f>
        <v>106</v>
      </c>
      <c r="H107" s="8" t="str">
        <f>IFERROR(__xludf.DUMMYFUNCTION(" GOOGLETRANSLATE(B107, ""en"", ""am"")"),"አንድ ተጫዋች ቆሞ ዲስኩን በሁለት እጆቹ መጣል ይችላል?")</f>
        <v>አንድ ተጫዋች ቆሞ ዲስኩን በሁለት እጆቹ መጣል ይችላል?</v>
      </c>
      <c r="I107" s="8" t="str">
        <f>IFERROR(__xludf.DUMMYFUNCTION(" GOOGLETRANSLATE(C107, ""en"", ""am"")"),"ሀ. አዎ ለ. አይ ሐ. ከ10 ሰከንድ በኋላ ብቻ መ. በአጥቂ ዞን ውስጥ ብቻ")</f>
        <v>ሀ. አዎ ለ. አይ ሐ. ከ10 ሰከንድ በኋላ ብቻ መ. በአጥቂ ዞን ውስጥ ብቻ</v>
      </c>
      <c r="J107" s="8" t="str">
        <f>IFERROR(__xludf.DUMMYFUNCTION(" GOOGLETRANSLATE(D107, ""en"", ""am"")"),"አዎ")</f>
        <v>አዎ</v>
      </c>
      <c r="K107" s="8" t="str">
        <f>IFERROR(__xludf.DUMMYFUNCTION(" GOOGLETRANSLATE(E107, ""en"", ""am"")"),"አንድ ተጫዋች ቆሞ ዲስኩን በሁለት እጆቹ ሊወረውር ይችላል።")</f>
        <v>አንድ ተጫዋች ቆሞ ዲስኩን በሁለት እጆቹ ሊወረውር ይችላል።</v>
      </c>
    </row>
    <row r="108" ht="22.5" customHeight="1">
      <c r="A108" s="13">
        <v>107.0</v>
      </c>
      <c r="B108" s="14" t="s">
        <v>1938</v>
      </c>
      <c r="C108" s="14" t="s">
        <v>2250</v>
      </c>
      <c r="D108" s="14" t="s">
        <v>1940</v>
      </c>
      <c r="E108" s="14" t="s">
        <v>2251</v>
      </c>
      <c r="G108" s="8" t="str">
        <f>IFERROR(__xludf.DUMMYFUNCTION(" GOOGLETRANSLATE(A108, ""en"", ""am"")"),"107")</f>
        <v>107</v>
      </c>
      <c r="H108" s="8" t="str">
        <f>IFERROR(__xludf.DUMMYFUNCTION(" GOOGLETRANSLATE(B108, ""en"", ""am"")"),"አንድ ተጫዋች ዲስኩን ሲይዝ ከድንበር ቢወጣ ምን ይከሰታል?")</f>
        <v>አንድ ተጫዋች ዲስኩን ሲይዝ ከድንበር ቢወጣ ምን ይከሰታል?</v>
      </c>
      <c r="I108" s="8" t="str">
        <f>IFERROR(__xludf.DUMMYFUNCTION(" GOOGLETRANSLATE(C108, ""en"", ""am"")"),"ሀ. መዞር ለ. መጥፎ ማስጠንቀቂያ ሐ. ለተቃዋሚው ነፃ ውርወራ መ. ግቡ የተሳሳተ ነው።")</f>
        <v>ሀ. መዞር ለ. መጥፎ ማስጠንቀቂያ ሐ. ለተቃዋሚው ነፃ ውርወራ መ. ግቡ የተሳሳተ ነው።</v>
      </c>
      <c r="J108" s="8" t="str">
        <f>IFERROR(__xludf.DUMMYFUNCTION(" GOOGLETRANSLATE(D108, ""en"", ""am"")"),"መዞር")</f>
        <v>መዞር</v>
      </c>
      <c r="K108" s="8" t="str">
        <f>IFERROR(__xludf.DUMMYFUNCTION(" GOOGLETRANSLATE(E108, ""en"", ""am"")"),"ዲስኩን ሲይዙ ከድንበር መውጣት ለውጥን ያመጣል.")</f>
        <v>ዲስኩን ሲይዙ ከድንበር መውጣት ለውጥን ያመጣል.</v>
      </c>
    </row>
    <row r="109" ht="22.5" customHeight="1">
      <c r="A109" s="13">
        <v>108.0</v>
      </c>
      <c r="B109" s="14" t="s">
        <v>2252</v>
      </c>
      <c r="C109" s="14" t="s">
        <v>2253</v>
      </c>
      <c r="D109" s="14" t="s">
        <v>1940</v>
      </c>
      <c r="E109" s="14" t="s">
        <v>2254</v>
      </c>
      <c r="G109" s="8" t="str">
        <f>IFERROR(__xludf.DUMMYFUNCTION(" GOOGLETRANSLATE(A109, ""en"", ""am"")"),"108")</f>
        <v>108</v>
      </c>
      <c r="H109" s="8" t="str">
        <f>IFERROR(__xludf.DUMMYFUNCTION(" GOOGLETRANSLATE(B109, ""en"", ""am"")"),"በጨዋታው ወቅት ዲስኩ ወደ ጣሪያው ቢመታ ምን ይሆናል?")</f>
        <v>በጨዋታው ወቅት ዲስኩ ወደ ጣሪያው ቢመታ ምን ይሆናል?</v>
      </c>
      <c r="I109" s="8" t="str">
        <f>IFERROR(__xludf.DUMMYFUNCTION(" GOOGLETRANSLATE(C109, ""en"", ""am"")"),"A. turnaround B. ለተቃራኒ ቡድን ነፃ ውርወራ C. ጨዋታው ቀጥሏል። መ. ግቡ ልክ ያልሆነ ነው።")</f>
        <v>A. turnaround B. ለተቃራኒ ቡድን ነፃ ውርወራ C. ጨዋታው ቀጥሏል። መ. ግቡ ልክ ያልሆነ ነው።</v>
      </c>
      <c r="J109" s="8" t="str">
        <f>IFERROR(__xludf.DUMMYFUNCTION(" GOOGLETRANSLATE(D109, ""en"", ""am"")"),"መዞር")</f>
        <v>መዞር</v>
      </c>
      <c r="K109" s="8" t="str">
        <f>IFERROR(__xludf.DUMMYFUNCTION(" GOOGLETRANSLATE(E109, ""en"", ""am"")"),"በጨዋታው ወቅት ዲስኩ ወደ ጣሪያው ከተመታ, ለውጥን ያመጣል.")</f>
        <v>በጨዋታው ወቅት ዲስኩ ወደ ጣሪያው ከተመታ, ለውጥን ያመጣል.</v>
      </c>
    </row>
    <row r="110" ht="22.5" customHeight="1">
      <c r="A110" s="13">
        <v>109.0</v>
      </c>
      <c r="B110" s="14" t="s">
        <v>2255</v>
      </c>
      <c r="C110" s="14" t="s">
        <v>2256</v>
      </c>
      <c r="D110" s="14" t="s">
        <v>1940</v>
      </c>
      <c r="E110" s="14" t="s">
        <v>2257</v>
      </c>
      <c r="G110" s="8" t="str">
        <f>IFERROR(__xludf.DUMMYFUNCTION(" GOOGLETRANSLATE(A110, ""en"", ""am"")"),"109")</f>
        <v>109</v>
      </c>
      <c r="H110" s="8" t="str">
        <f>IFERROR(__xludf.DUMMYFUNCTION(" GOOGLETRANSLATE(B110, ""en"", ""am"")"),"አንድ ተጫዋች ዲስኩን ቢይዝ ነገር ግን እየዘለለ ቢወድቅ ምን ይሆናል?")</f>
        <v>አንድ ተጫዋች ዲስኩን ቢይዝ ነገር ግን እየዘለለ ቢወድቅ ምን ይሆናል?</v>
      </c>
      <c r="I110" s="8" t="str">
        <f>IFERROR(__xludf.DUMMYFUNCTION(" GOOGLETRANSLATE(C110, ""en"", ""am"")"),"ሀ. መዞር ለ. መጥፎ ማስጠንቀቂያ ሐ. ለተቃራኒ ቡድን ነፃ ውርወራ መ. ጎል ተሰጥቷል።")</f>
        <v>ሀ. መዞር ለ. መጥፎ ማስጠንቀቂያ ሐ. ለተቃራኒ ቡድን ነፃ ውርወራ መ. ጎል ተሰጥቷል።</v>
      </c>
      <c r="J110" s="8" t="str">
        <f>IFERROR(__xludf.DUMMYFUNCTION(" GOOGLETRANSLATE(D110, ""en"", ""am"")"),"መዞር")</f>
        <v>መዞር</v>
      </c>
      <c r="K110" s="8" t="str">
        <f>IFERROR(__xludf.DUMMYFUNCTION(" GOOGLETRANSLATE(E110, ""en"", ""am"")"),"ተጫዋቹ ዲስኩን ቢይዝ ነገር ግን እየዘለለ ቢወድቅ ለውጥ ያመጣል።")</f>
        <v>ተጫዋቹ ዲስኩን ቢይዝ ነገር ግን እየዘለለ ቢወድቅ ለውጥ ያመጣል።</v>
      </c>
    </row>
    <row r="111" ht="22.5" customHeight="1">
      <c r="A111" s="13">
        <v>110.0</v>
      </c>
      <c r="B111" s="14" t="s">
        <v>2258</v>
      </c>
      <c r="C111" s="14" t="s">
        <v>2259</v>
      </c>
      <c r="D111" s="14" t="s">
        <v>2236</v>
      </c>
      <c r="E111" s="14" t="s">
        <v>2260</v>
      </c>
      <c r="G111" s="8" t="str">
        <f>IFERROR(__xludf.DUMMYFUNCTION(" GOOGLETRANSLATE(A111, ""en"", ""am"")"),"110")</f>
        <v>110</v>
      </c>
      <c r="H111" s="8" t="str">
        <f>IFERROR(__xludf.DUMMYFUNCTION(" GOOGLETRANSLATE(B111, ""en"", ""am"")"),"አንድ ቡድን በጊዜ ማብቂያ ላይ ውጤት ካመጣ ምን ይሆናል?")</f>
        <v>አንድ ቡድን በጊዜ ማብቂያ ላይ ውጤት ካመጣ ምን ይሆናል?</v>
      </c>
      <c r="I111" s="8" t="str">
        <f>IFERROR(__xludf.DUMMYFUNCTION(" GOOGLETRANSLATE(C111, ""en"", ""am"")"),"ሀ. ግቡ ይቆጠራል። ለ. ግቡ አይቆጠርም. ሐ. ለቡድኑ መጥፎ ማስጠንቀቂያ መ. ምንም ቅጣት የለም.")</f>
        <v>ሀ. ግቡ ይቆጠራል። ለ. ግቡ አይቆጠርም. ሐ. ለቡድኑ መጥፎ ማስጠንቀቂያ መ. ምንም ቅጣት የለም.</v>
      </c>
      <c r="J111" s="8" t="str">
        <f>IFERROR(__xludf.DUMMYFUNCTION(" GOOGLETRANSLATE(D111, ""en"", ""am"")"),"ግቡ አይቆጠርም.")</f>
        <v>ግቡ አይቆጠርም.</v>
      </c>
      <c r="K111" s="8" t="str">
        <f>IFERROR(__xludf.DUMMYFUNCTION(" GOOGLETRANSLATE(E111, ""en"", ""am"")"),"ጊዜው ካለፈበት ፊሽካ በኋላ የተቆጠረው ግብ አይቆጠርም።")</f>
        <v>ጊዜው ካለፈበት ፊሽካ በኋላ የተቆጠረው ግብ አይቆጠርም።</v>
      </c>
    </row>
    <row r="112" ht="22.5" customHeight="1">
      <c r="A112" s="13">
        <v>111.0</v>
      </c>
      <c r="B112" s="14" t="s">
        <v>2261</v>
      </c>
      <c r="C112" s="14" t="s">
        <v>2262</v>
      </c>
      <c r="D112" s="14" t="s">
        <v>1940</v>
      </c>
      <c r="E112" s="14" t="s">
        <v>2263</v>
      </c>
      <c r="G112" s="8" t="str">
        <f>IFERROR(__xludf.DUMMYFUNCTION(" GOOGLETRANSLATE(A112, ""en"", ""am"")"),"111")</f>
        <v>111</v>
      </c>
      <c r="H112" s="8" t="str">
        <f>IFERROR(__xludf.DUMMYFUNCTION(" GOOGLETRANSLATE(B112, ""en"", ""am"")"),"አንድ ተጫዋች ዲስኩን ቢወረውር ግን የግብ ክልል ቢያመልጠው ምን ይሆናል?")</f>
        <v>አንድ ተጫዋች ዲስኩን ቢወረውር ግን የግብ ክልል ቢያመልጠው ምን ይሆናል?</v>
      </c>
      <c r="I112" s="8" t="str">
        <f>IFERROR(__xludf.DUMMYFUNCTION(" GOOGLETRANSLATE(C112, ""en"", ""am"")"),"A. turnaround B. ለተቃራኒ ቡድን ነፃ ውርወራ C. ግቡ ተበላሽቷል። D. ጨዋታው ቀጥሏል።")</f>
        <v>A. turnaround B. ለተቃራኒ ቡድን ነፃ ውርወራ C. ግቡ ተበላሽቷል። D. ጨዋታው ቀጥሏል።</v>
      </c>
      <c r="J112" s="8" t="str">
        <f>IFERROR(__xludf.DUMMYFUNCTION(" GOOGLETRANSLATE(D112, ""en"", ""am"")"),"መዞር")</f>
        <v>መዞር</v>
      </c>
      <c r="K112" s="8" t="str">
        <f>IFERROR(__xludf.DUMMYFUNCTION(" GOOGLETRANSLATE(E112, ""en"", ""am"")"),"ተጫዋቹ የግብ ክልል ካጣው ለውጥ ያመጣል።")</f>
        <v>ተጫዋቹ የግብ ክልል ካጣው ለውጥ ያመጣል።</v>
      </c>
    </row>
    <row r="113" ht="22.5" customHeight="1">
      <c r="A113" s="13">
        <v>112.0</v>
      </c>
      <c r="B113" s="14" t="s">
        <v>2264</v>
      </c>
      <c r="C113" s="14" t="s">
        <v>2265</v>
      </c>
      <c r="D113" s="14" t="s">
        <v>2266</v>
      </c>
      <c r="E113" s="14" t="s">
        <v>2267</v>
      </c>
      <c r="G113" s="8" t="str">
        <f>IFERROR(__xludf.DUMMYFUNCTION(" GOOGLETRANSLATE(A113, ""en"", ""am"")"),"112")</f>
        <v>112</v>
      </c>
      <c r="H113" s="8" t="str">
        <f>IFERROR(__xludf.DUMMYFUNCTION(" GOOGLETRANSLATE(B113, ""en"", ""am"")"),"አንድ ተጫዋች ዲስኩን በቀጥታ ከድንበር ውጭ መጣል ይችላል?")</f>
        <v>አንድ ተጫዋች ዲስኩን በቀጥታ ከድንበር ውጭ መጣል ይችላል?</v>
      </c>
      <c r="I113" s="8" t="str">
        <f>IFERROR(__xludf.DUMMYFUNCTION(" GOOGLETRANSLATE(C113, ""en"", ""am"")"),"መ. አዎ፣ ምንም ቅጣት የለም። ለ. አዎ፣ አደባባዩ ሐ. አይ፣ ዲስኩ በገደብ ውስጥ መቆየት አለበት። መ. ከ10 ሰከንድ በኋላ ብቻ")</f>
        <v>መ. አዎ፣ ምንም ቅጣት የለም። ለ. አዎ፣ አደባባዩ ሐ. አይ፣ ዲስኩ በገደብ ውስጥ መቆየት አለበት። መ. ከ10 ሰከንድ በኋላ ብቻ</v>
      </c>
      <c r="J113" s="8" t="str">
        <f>IFERROR(__xludf.DUMMYFUNCTION(" GOOGLETRANSLATE(D113, ""en"", ""am"")"),"አዎ አደባባዩ")</f>
        <v>አዎ አደባባዩ</v>
      </c>
      <c r="K113" s="8" t="str">
        <f>IFERROR(__xludf.DUMMYFUNCTION(" GOOGLETRANSLATE(E113, ""en"", ""am"")"),"ከድንበር መውጣት ለውጥ ያመጣል።")</f>
        <v>ከድንበር መውጣት ለውጥ ያመጣል።</v>
      </c>
    </row>
    <row r="114" ht="22.5" customHeight="1">
      <c r="A114" s="13">
        <v>113.0</v>
      </c>
      <c r="B114" s="14" t="s">
        <v>2268</v>
      </c>
      <c r="C114" s="14" t="s">
        <v>2269</v>
      </c>
      <c r="D114" s="14" t="s">
        <v>1940</v>
      </c>
      <c r="E114" s="14" t="s">
        <v>2270</v>
      </c>
      <c r="G114" s="8" t="str">
        <f>IFERROR(__xludf.DUMMYFUNCTION(" GOOGLETRANSLATE(A114, ""en"", ""am"")"),"113")</f>
        <v>113</v>
      </c>
      <c r="H114" s="8" t="str">
        <f>IFERROR(__xludf.DUMMYFUNCTION(" GOOGLETRANSLATE(B114, ""en"", ""am"")"),"አንድ ቡድን በጊዜ ገደቡ ውስጥ ተግባሩን ካላጠናቀቀ ምን ይሆናል?")</f>
        <v>አንድ ቡድን በጊዜ ገደቡ ውስጥ ተግባሩን ካላጠናቀቀ ምን ይሆናል?</v>
      </c>
      <c r="I114" s="8" t="str">
        <f>IFERROR(__xludf.DUMMYFUNCTION(" GOOGLETRANSLATE(C114, ""en"", ""am"")"),"አ.ማዞሪያ ለ. ለተቃራኒ ቡድን የፍፁም ቅጣት ምት ሀ. ለተጋጣሚው የፍፁም ቅጣት ምት መ. ምንም አይነት ቅጣት የለም።")</f>
        <v>አ.ማዞሪያ ለ. ለተቃራኒ ቡድን የፍፁም ቅጣት ምት ሀ. ለተጋጣሚው የፍፁም ቅጣት ምት መ. ምንም አይነት ቅጣት የለም።</v>
      </c>
      <c r="J114" s="8" t="str">
        <f>IFERROR(__xludf.DUMMYFUNCTION(" GOOGLETRANSLATE(D114, ""en"", ""am"")"),"መዞር")</f>
        <v>መዞር</v>
      </c>
      <c r="K114" s="8" t="str">
        <f>IFERROR(__xludf.DUMMYFUNCTION(" GOOGLETRANSLATE(E114, ""en"", ""am"")"),"በጊዜ ገደቡ ውስጥ ማለፍ አለመቻል ለውጥን ያስከትላል።")</f>
        <v>በጊዜ ገደቡ ውስጥ ማለፍ አለመቻል ለውጥን ያስከትላል።</v>
      </c>
    </row>
    <row r="115" ht="22.5" customHeight="1">
      <c r="A115" s="13">
        <v>114.0</v>
      </c>
      <c r="B115" s="14" t="s">
        <v>2271</v>
      </c>
      <c r="C115" s="14" t="s">
        <v>2272</v>
      </c>
      <c r="D115" s="14" t="s">
        <v>1451</v>
      </c>
      <c r="E115" s="14" t="s">
        <v>2273</v>
      </c>
      <c r="G115" s="8" t="str">
        <f>IFERROR(__xludf.DUMMYFUNCTION(" GOOGLETRANSLATE(A115, ""en"", ""am"")"),"114")</f>
        <v>114</v>
      </c>
      <c r="H115" s="8" t="str">
        <f>IFERROR(__xludf.DUMMYFUNCTION(" GOOGLETRANSLATE(B115, ""en"", ""am"")"),"አንድ ተጫዋች በአየር ውስጥ እያለ ዲስኩን መጥለፍ ይችላል?")</f>
        <v>አንድ ተጫዋች በአየር ውስጥ እያለ ዲስኩን መጥለፍ ይችላል?</v>
      </c>
      <c r="I115" s="8" t="str">
        <f>IFERROR(__xludf.DUMMYFUNCTION(" GOOGLETRANSLATE(C115, ""en"", ""am"")"),"ሀ. አዎ ለ. አይ ሐ. ተጫዋቹ በገለልተኛ ዞን ውስጥ ከሆነ ብቻ መ. ከ5 ሰከንድ በኋላ ብቻ")</f>
        <v>ሀ. አዎ ለ. አይ ሐ. ተጫዋቹ በገለልተኛ ዞን ውስጥ ከሆነ ብቻ መ. ከ5 ሰከንድ በኋላ ብቻ</v>
      </c>
      <c r="J115" s="8" t="str">
        <f>IFERROR(__xludf.DUMMYFUNCTION(" GOOGLETRANSLATE(D115, ""en"", ""am"")"),"አዎ")</f>
        <v>አዎ</v>
      </c>
      <c r="K115" s="8" t="str">
        <f>IFERROR(__xludf.DUMMYFUNCTION(" GOOGLETRANSLATE(E115, ""en"", ""am"")"),"አንድ ተጫዋች በአየር ውስጥ እያለ ዲስኩን መጥለፍ ይፈቀድለታል።")</f>
        <v>አንድ ተጫዋች በአየር ውስጥ እያለ ዲስኩን መጥለፍ ይፈቀድለታል።</v>
      </c>
    </row>
    <row r="116" ht="22.5" customHeight="1">
      <c r="A116" s="13">
        <v>115.0</v>
      </c>
      <c r="B116" s="14" t="s">
        <v>2274</v>
      </c>
      <c r="C116" s="14" t="s">
        <v>2275</v>
      </c>
      <c r="D116" s="14" t="s">
        <v>2243</v>
      </c>
      <c r="E116" s="14" t="s">
        <v>2276</v>
      </c>
      <c r="G116" s="8" t="str">
        <f>IFERROR(__xludf.DUMMYFUNCTION(" GOOGLETRANSLATE(A116, ""en"", ""am"")"),"115")</f>
        <v>115</v>
      </c>
      <c r="H116" s="8" t="str">
        <f>IFERROR(__xludf.DUMMYFUNCTION(" GOOGLETRANSLATE(B116, ""en"", ""am"")"),"አንድ ተጫዋች ጎል ሲሞክር ከጎል መስመር በላይ ቢወጣ ምን ይከሰታል?")</f>
        <v>አንድ ተጫዋች ጎል ሲሞክር ከጎል መስመር በላይ ቢወጣ ምን ይከሰታል?</v>
      </c>
      <c r="I116" s="8" t="str">
        <f>IFERROR(__xludf.DUMMYFUNCTION(" GOOGLETRANSLATE(C116, ""en"", ""am"")"),"A. Bad B. Turnaround C. ግቡ ተበላሽቷል። መ. ምንም ቅጣት የለም.")</f>
        <v>A. Bad B. Turnaround C. ግቡ ተበላሽቷል። መ. ምንም ቅጣት የለም.</v>
      </c>
      <c r="J116" s="8" t="str">
        <f>IFERROR(__xludf.DUMMYFUNCTION(" GOOGLETRANSLATE(D116, ""en"", ""am"")"),"መጥፎ")</f>
        <v>መጥፎ</v>
      </c>
      <c r="K116" s="8" t="str">
        <f>IFERROR(__xludf.DUMMYFUNCTION(" GOOGLETRANSLATE(E116, ""en"", ""am"")"),"ጎል እየሞከሩ ወደ ግብ መስመር መሄድ ጥፋት ነው።")</f>
        <v>ጎል እየሞከሩ ወደ ግብ መስመር መሄድ ጥፋት ነው።</v>
      </c>
    </row>
    <row r="117" ht="22.5" customHeight="1">
      <c r="A117" s="13">
        <v>116.0</v>
      </c>
      <c r="B117" s="14" t="s">
        <v>2277</v>
      </c>
      <c r="C117" s="14" t="s">
        <v>2278</v>
      </c>
      <c r="D117" s="14" t="s">
        <v>1437</v>
      </c>
      <c r="E117" s="14" t="s">
        <v>2279</v>
      </c>
      <c r="G117" s="8" t="str">
        <f>IFERROR(__xludf.DUMMYFUNCTION(" GOOGLETRANSLATE(A117, ""en"", ""am"")"),"116")</f>
        <v>116</v>
      </c>
      <c r="H117" s="8" t="str">
        <f>IFERROR(__xludf.DUMMYFUNCTION(" GOOGLETRANSLATE(B117, ""en"", ""am"")"),"አንድ ተጫዋች ጭንቅላቱን ተጠቅሞ ዲስኩን ማለፍ ይችላል?")</f>
        <v>አንድ ተጫዋች ጭንቅላቱን ተጠቅሞ ዲስኩን ማለፍ ይችላል?</v>
      </c>
      <c r="I117" s="8" t="str">
        <f>IFERROR(__xludf.DUMMYFUNCTION(" GOOGLETRANSLATE(C117, ""en"", ""am"")"),"ሀ. አዎ ለ. አይ ሐ. ተቃዋሚው ቡድን ከፈቀደ ብቻ ነው። መ. በዳኛው ይሁንታ ብቻ።")</f>
        <v>ሀ. አዎ ለ. አይ ሐ. ተቃዋሚው ቡድን ከፈቀደ ብቻ ነው። መ. በዳኛው ይሁንታ ብቻ።</v>
      </c>
      <c r="J117" s="8" t="str">
        <f>IFERROR(__xludf.DUMMYFUNCTION(" GOOGLETRANSLATE(D117, ""en"", ""am"")"),"አይ")</f>
        <v>አይ</v>
      </c>
      <c r="K117" s="8" t="str">
        <f>IFERROR(__xludf.DUMMYFUNCTION(" GOOGLETRANSLATE(E117, ""en"", ""am"")"),"ዲስኩን ከጭንቅላቱ ጋር ማጠፍ አይፈቀድም.")</f>
        <v>ዲስኩን ከጭንቅላቱ ጋር ማጠፍ አይፈቀድም.</v>
      </c>
    </row>
    <row r="118" ht="22.5" customHeight="1">
      <c r="A118" s="13">
        <v>117.0</v>
      </c>
      <c r="B118" s="14" t="s">
        <v>2280</v>
      </c>
      <c r="C118" s="14" t="s">
        <v>2281</v>
      </c>
      <c r="D118" s="14" t="s">
        <v>1630</v>
      </c>
      <c r="E118" s="14" t="s">
        <v>2282</v>
      </c>
      <c r="G118" s="8" t="str">
        <f>IFERROR(__xludf.DUMMYFUNCTION(" GOOGLETRANSLATE(A118, ""en"", ""am"")"),"117")</f>
        <v>117</v>
      </c>
      <c r="H118" s="8" t="str">
        <f>IFERROR(__xludf.DUMMYFUNCTION(" GOOGLETRANSLATE(B118, ""en"", ""am"")"),"በጊዜ ማብቂያ ጊዜ ዲስኩ ከድንበር ከተጣለ ምን ይከሰታል?")</f>
        <v>በጊዜ ማብቂያ ጊዜ ዲስኩ ከድንበር ከተጣለ ምን ይከሰታል?</v>
      </c>
      <c r="I118" s="8" t="str">
        <f>IFERROR(__xludf.DUMMYFUNCTION(" GOOGLETRANSLATE(C118, ""en"", ""am"")"),"ሀ. ምንም ቅጣት የለም. ለ. መዞር ሐ. ለጨዋታ መዘግየት መጥፎ D. ለተቃራኒ ቡድን ነፃ ውርወራ")</f>
        <v>ሀ. ምንም ቅጣት የለም. ለ. መዞር ሐ. ለጨዋታ መዘግየት መጥፎ D. ለተቃራኒ ቡድን ነፃ ውርወራ</v>
      </c>
      <c r="J118" s="8" t="str">
        <f>IFERROR(__xludf.DUMMYFUNCTION(" GOOGLETRANSLATE(D118, ""en"", ""am"")"),"ምንም ቅጣት የለም.")</f>
        <v>ምንም ቅጣት የለም.</v>
      </c>
      <c r="K118" s="8" t="str">
        <f>IFERROR(__xludf.DUMMYFUNCTION(" GOOGLETRANSLATE(E118, ""en"", ""am"")"),"በጊዜ ማብቂያ ጊዜ ዲስኩን ከድንበር መጣል ምንም አይነት ቅጣት አያስከትልም.")</f>
        <v>በጊዜ ማብቂያ ጊዜ ዲስኩን ከድንበር መጣል ምንም አይነት ቅጣት አያስከትልም.</v>
      </c>
    </row>
    <row r="119" ht="22.5" customHeight="1">
      <c r="A119" s="13">
        <v>118.0</v>
      </c>
      <c r="B119" s="14" t="s">
        <v>2283</v>
      </c>
      <c r="C119" s="14" t="s">
        <v>2256</v>
      </c>
      <c r="D119" s="14" t="s">
        <v>1940</v>
      </c>
      <c r="E119" s="14" t="s">
        <v>2284</v>
      </c>
      <c r="G119" s="8" t="str">
        <f>IFERROR(__xludf.DUMMYFUNCTION(" GOOGLETRANSLATE(A119, ""en"", ""am"")"),"118")</f>
        <v>118</v>
      </c>
      <c r="H119" s="8" t="str">
        <f>IFERROR(__xludf.DUMMYFUNCTION(" GOOGLETRANSLATE(B119, ""en"", ""am"")"),"አንድ ተጫዋች ዲስኩን ለረጅም ጊዜ ከያዘ ምን ይሆናል?")</f>
        <v>አንድ ተጫዋች ዲስኩን ለረጅም ጊዜ ከያዘ ምን ይሆናል?</v>
      </c>
      <c r="I119" s="8" t="str">
        <f>IFERROR(__xludf.DUMMYFUNCTION(" GOOGLETRANSLATE(C119, ""en"", ""am"")"),"ሀ. መዞር ለ. መጥፎ ማስጠንቀቂያ ሐ. ለተቃራኒ ቡድን ነፃ ውርወራ መ. ጎል ተሰጥቷል።")</f>
        <v>ሀ. መዞር ለ. መጥፎ ማስጠንቀቂያ ሐ. ለተቃራኒ ቡድን ነፃ ውርወራ መ. ጎል ተሰጥቷል።</v>
      </c>
      <c r="J119" s="8" t="str">
        <f>IFERROR(__xludf.DUMMYFUNCTION(" GOOGLETRANSLATE(D119, ""en"", ""am"")"),"መዞር")</f>
        <v>መዞር</v>
      </c>
      <c r="K119" s="8" t="str">
        <f>IFERROR(__xludf.DUMMYFUNCTION(" GOOGLETRANSLATE(E119, ""en"", ""am"")"),"ዲስኩን ለረጅም ጊዜ ማቆየት ለውጥ ያመጣል.")</f>
        <v>ዲስኩን ለረጅም ጊዜ ማቆየት ለውጥ ያመጣል.</v>
      </c>
    </row>
    <row r="120" ht="22.5" customHeight="1">
      <c r="A120" s="13">
        <v>119.0</v>
      </c>
      <c r="B120" s="14" t="s">
        <v>2285</v>
      </c>
      <c r="C120" s="14" t="s">
        <v>2286</v>
      </c>
      <c r="D120" s="14" t="s">
        <v>2213</v>
      </c>
      <c r="E120" s="14" t="s">
        <v>2287</v>
      </c>
      <c r="G120" s="8" t="str">
        <f>IFERROR(__xludf.DUMMYFUNCTION(" GOOGLETRANSLATE(A120, ""en"", ""am"")"),"119")</f>
        <v>119</v>
      </c>
      <c r="H120" s="8" t="str">
        <f>IFERROR(__xludf.DUMMYFUNCTION(" GOOGLETRANSLATE(B120, ""en"", ""am"")"),"ዲስኩ በአየር መሃል ላይ እያለ አንድ ቡድን የጊዜ ማብቂያ ከጠራ ምን ይከሰታል?")</f>
        <v>ዲስኩ በአየር መሃል ላይ እያለ አንድ ቡድን የጊዜ ማብቂያ ከጠራ ምን ይከሰታል?</v>
      </c>
      <c r="I120" s="8" t="str">
        <f>IFERROR(__xludf.DUMMYFUNCTION(" GOOGLETRANSLATE(C120, ""en"", ""am"")"),"ሀ ጨዋታው ወዲያው ይቆማል። B. Turnaround C. ግብ ተሰጥቷል። መ. ለመዘግየት መጥፎ።")</f>
        <v>ሀ ጨዋታው ወዲያው ይቆማል። B. Turnaround C. ግብ ተሰጥቷል። መ. ለመዘግየት መጥፎ።</v>
      </c>
      <c r="J120" s="8" t="str">
        <f>IFERROR(__xludf.DUMMYFUNCTION(" GOOGLETRANSLATE(D120, ""en"", ""am"")"),"ጨዋታው ወዲያውኑ ይቆማል።")</f>
        <v>ጨዋታው ወዲያውኑ ይቆማል።</v>
      </c>
      <c r="K120" s="8" t="str">
        <f>IFERROR(__xludf.DUMMYFUNCTION(" GOOGLETRANSLATE(E120, ""en"", ""am"")"),"ዲስኩ በአየር መሃል ላይ እያለ የጊዜ ማብቂያ ከጠራ በኋላ ወዲያውኑ ይጫወታሉ።")</f>
        <v>ዲስኩ በአየር መሃል ላይ እያለ የጊዜ ማብቂያ ከጠራ በኋላ ወዲያውኑ ይጫወታሉ።</v>
      </c>
    </row>
    <row r="121" ht="22.5" customHeight="1">
      <c r="A121" s="13">
        <v>120.0</v>
      </c>
      <c r="B121" s="14" t="s">
        <v>2288</v>
      </c>
      <c r="C121" s="14" t="s">
        <v>2289</v>
      </c>
      <c r="D121" s="14" t="s">
        <v>1451</v>
      </c>
      <c r="E121" s="14" t="s">
        <v>2290</v>
      </c>
      <c r="G121" s="8" t="str">
        <f>IFERROR(__xludf.DUMMYFUNCTION(" GOOGLETRANSLATE(A121, ""en"", ""am"")"),"120")</f>
        <v>120</v>
      </c>
      <c r="H121" s="8" t="str">
        <f>IFERROR(__xludf.DUMMYFUNCTION(" GOOGLETRANSLATE(B121, ""en"", ""am"")"),"አንድ ተጫዋች ዲስኩን ለመያዝ ሁለቱንም እጆች መጠቀም ይችላል?")</f>
        <v>አንድ ተጫዋች ዲስኩን ለመያዝ ሁለቱንም እጆች መጠቀም ይችላል?</v>
      </c>
      <c r="I121" s="8" t="str">
        <f>IFERROR(__xludf.DUMMYFUNCTION(" GOOGLETRANSLATE(C121, ""en"", ""am"")"),"ሀ. አዎ ለ. አይ ሐ. ከ5 ሰከንድ በኋላ ብቻ መ. በገለልተኛ ዞን ውስጥ ብቻ")</f>
        <v>ሀ. አዎ ለ. አይ ሐ. ከ5 ሰከንድ በኋላ ብቻ መ. በገለልተኛ ዞን ውስጥ ብቻ</v>
      </c>
      <c r="J121" s="8" t="str">
        <f>IFERROR(__xludf.DUMMYFUNCTION(" GOOGLETRANSLATE(D121, ""en"", ""am"")"),"አዎ")</f>
        <v>አዎ</v>
      </c>
      <c r="K121" s="8" t="str">
        <f>IFERROR(__xludf.DUMMYFUNCTION(" GOOGLETRANSLATE(E121, ""en"", ""am"")"),"አንድ ተጫዋች ዲስኩን ለመያዝ ሁለቱንም እጆች ሊጠቀም ይችላል።")</f>
        <v>አንድ ተጫዋች ዲስኩን ለመያዝ ሁለቱንም እጆች ሊጠቀም ይችላል።</v>
      </c>
    </row>
    <row r="122" ht="22.5" customHeight="1">
      <c r="A122" s="13">
        <v>121.0</v>
      </c>
      <c r="B122" s="14" t="s">
        <v>2291</v>
      </c>
      <c r="C122" s="14" t="s">
        <v>2292</v>
      </c>
      <c r="D122" s="14" t="s">
        <v>1940</v>
      </c>
      <c r="E122" s="14" t="s">
        <v>2293</v>
      </c>
      <c r="G122" s="8" t="str">
        <f>IFERROR(__xludf.DUMMYFUNCTION(" GOOGLETRANSLATE(A122, ""en"", ""am"")"),"121")</f>
        <v>121</v>
      </c>
      <c r="H122" s="8" t="str">
        <f>IFERROR(__xludf.DUMMYFUNCTION(" GOOGLETRANSLATE(B122, ""en"", ""am"")"),"አንድ ተጫዋች ዲስኩን ወርውሮ ዳኛውን ቢመታ ምን ይሆናል?")</f>
        <v>አንድ ተጫዋች ዲስኩን ወርውሮ ዳኛውን ቢመታ ምን ይሆናል?</v>
      </c>
      <c r="I122" s="8" t="str">
        <f>IFERROR(__xludf.DUMMYFUNCTION(" GOOGLETRANSLATE(C122, ""en"", ""am"")"),"ሀ. መዞር ለ. መጥፎ ማስጠንቀቂያ ሐ. ለተቃራኒ ቡድን ነፃ ውርወራ መ. ግቡ ተበላሽቷል።")</f>
        <v>ሀ. መዞር ለ. መጥፎ ማስጠንቀቂያ ሐ. ለተቃራኒ ቡድን ነፃ ውርወራ መ. ግቡ ተበላሽቷል።</v>
      </c>
      <c r="J122" s="8" t="str">
        <f>IFERROR(__xludf.DUMMYFUNCTION(" GOOGLETRANSLATE(D122, ""en"", ""am"")"),"መዞር")</f>
        <v>መዞር</v>
      </c>
      <c r="K122" s="8" t="str">
        <f>IFERROR(__xludf.DUMMYFUNCTION(" GOOGLETRANSLATE(E122, ""en"", ""am"")"),"ዲስኩ ዳኛውን ቢመታ ለውጥ ያመጣል.")</f>
        <v>ዲስኩ ዳኛውን ቢመታ ለውጥ ያመጣል.</v>
      </c>
    </row>
    <row r="123" ht="22.5" customHeight="1">
      <c r="A123" s="13">
        <v>122.0</v>
      </c>
      <c r="B123" s="14" t="s">
        <v>2294</v>
      </c>
      <c r="C123" s="14" t="s">
        <v>2295</v>
      </c>
      <c r="D123" s="14" t="s">
        <v>1451</v>
      </c>
      <c r="E123" s="14" t="s">
        <v>2296</v>
      </c>
      <c r="G123" s="8" t="str">
        <f>IFERROR(__xludf.DUMMYFUNCTION(" GOOGLETRANSLATE(A123, ""en"", ""am"")"),"122")</f>
        <v>122</v>
      </c>
      <c r="H123" s="8" t="str">
        <f>IFERROR(__xludf.DUMMYFUNCTION(" GOOGLETRANSLATE(B123, ""en"", ""am"")"),"አንድ ተጫዋች ዲስኩን በእጁ መጣል ይችላል?")</f>
        <v>አንድ ተጫዋች ዲስኩን በእጁ መጣል ይችላል?</v>
      </c>
      <c r="I123" s="8" t="str">
        <f>IFERROR(__xludf.DUMMYFUNCTION(" GOOGLETRANSLATE(C123, ""en"", ""am"")"),"ሀ. አዎ ለ. አይደለም ሐ. በዳኛው ይሁንታ ብቻ። መ. ከ10 ሰከንድ በኋላ ብቻ")</f>
        <v>ሀ. አዎ ለ. አይደለም ሐ. በዳኛው ይሁንታ ብቻ። መ. ከ10 ሰከንድ በኋላ ብቻ</v>
      </c>
      <c r="J123" s="8" t="str">
        <f>IFERROR(__xludf.DUMMYFUNCTION(" GOOGLETRANSLATE(D123, ""en"", ""am"")"),"አዎ")</f>
        <v>አዎ</v>
      </c>
      <c r="K123" s="8" t="str">
        <f>IFERROR(__xludf.DUMMYFUNCTION(" GOOGLETRANSLATE(E123, ""en"", ""am"")"),"አንድ ተጫዋች ዲስኩን በእጁ እንዲጥል ይፈቀድለታል.")</f>
        <v>አንድ ተጫዋች ዲስኩን በእጁ እንዲጥል ይፈቀድለታል.</v>
      </c>
    </row>
    <row r="124" ht="22.5" customHeight="1">
      <c r="A124" s="13">
        <v>123.0</v>
      </c>
      <c r="B124" s="14" t="s">
        <v>2297</v>
      </c>
      <c r="C124" s="14" t="s">
        <v>2298</v>
      </c>
      <c r="D124" s="14" t="s">
        <v>2145</v>
      </c>
      <c r="E124" s="14" t="s">
        <v>2299</v>
      </c>
      <c r="G124" s="8" t="str">
        <f>IFERROR(__xludf.DUMMYFUNCTION(" GOOGLETRANSLATE(A124, ""en"", ""am"")"),"123")</f>
        <v>123</v>
      </c>
      <c r="H124" s="8" t="str">
        <f>IFERROR(__xludf.DUMMYFUNCTION(" GOOGLETRANSLATE(B124, ""en"", ""am"")"),"አንድ ተጫዋች ከግብ ክልል ውጭ ዲስኩን ቢይዝ ምን ይሆናል?")</f>
        <v>አንድ ተጫዋች ከግብ ክልል ውጭ ዲስኩን ቢይዝ ምን ይሆናል?</v>
      </c>
      <c r="I124" s="8" t="str">
        <f>IFERROR(__xludf.DUMMYFUNCTION(" GOOGLETRANSLATE(C124, ""en"", ""am"")"),"ሀ. ምንም ግብ የለም. ለ. መዞር ሐ. ለተቃዋሚው ነፃ ውርወራ መ. ግብ ተሰጥቷል።")</f>
        <v>ሀ. ምንም ግብ የለም. ለ. መዞር ሐ. ለተቃዋሚው ነፃ ውርወራ መ. ግብ ተሰጥቷል።</v>
      </c>
      <c r="J124" s="8" t="str">
        <f>IFERROR(__xludf.DUMMYFUNCTION(" GOOGLETRANSLATE(D124, ""en"", ""am"")"),"ምንም ግብ የለም.")</f>
        <v>ምንም ግብ የለም.</v>
      </c>
      <c r="K124" s="8" t="str">
        <f>IFERROR(__xludf.DUMMYFUNCTION(" GOOGLETRANSLATE(E124, ""en"", ""am"")"),"ዲስኩን ከግብ ክልል ውጭ መያዙ ግቡን አያስከትልም።")</f>
        <v>ዲስኩን ከግብ ክልል ውጭ መያዙ ግቡን አያስከትልም።</v>
      </c>
    </row>
    <row r="125" ht="22.5" customHeight="1">
      <c r="A125" s="13">
        <v>124.0</v>
      </c>
      <c r="B125" s="14" t="s">
        <v>2300</v>
      </c>
      <c r="C125" s="14" t="s">
        <v>2301</v>
      </c>
      <c r="D125" s="14" t="s">
        <v>2145</v>
      </c>
      <c r="E125" s="14" t="s">
        <v>2302</v>
      </c>
      <c r="G125" s="8" t="str">
        <f>IFERROR(__xludf.DUMMYFUNCTION(" GOOGLETRANSLATE(A125, ""en"", ""am"")"),"124")</f>
        <v>124</v>
      </c>
      <c r="H125" s="8" t="str">
        <f>IFERROR(__xludf.DUMMYFUNCTION(" GOOGLETRANSLATE(B125, ""en"", ""am"")"),"አንድ ቡድን ነጥብ ቢያመጣ እና ዲስኩ በተሳሳተ ተጫዋች ቢወረወር ምን ይከሰታል?")</f>
        <v>አንድ ቡድን ነጥብ ቢያመጣ እና ዲስኩ በተሳሳተ ተጫዋች ቢወረወር ምን ይከሰታል?</v>
      </c>
      <c r="I125" s="8" t="str">
        <f>IFERROR(__xludf.DUMMYFUNCTION(" GOOGLETRANSLATE(C125, ""en"", ""am"")"),"ሀ. ምንም ግብ የለም. B. Turnaround C. ግብ ተሰጥቷል። መ. መጥፎ ማስጠንቀቂያ")</f>
        <v>ሀ. ምንም ግብ የለም. B. Turnaround C. ግብ ተሰጥቷል። መ. መጥፎ ማስጠንቀቂያ</v>
      </c>
      <c r="J125" s="8" t="str">
        <f>IFERROR(__xludf.DUMMYFUNCTION(" GOOGLETRANSLATE(D125, ""en"", ""am"")"),"ምንም ግብ የለም.")</f>
        <v>ምንም ግብ የለም.</v>
      </c>
      <c r="K125" s="8" t="str">
        <f>IFERROR(__xludf.DUMMYFUNCTION(" GOOGLETRANSLATE(E125, ""en"", ""am"")"),"ዲስኩ በተሳሳተ ተጫዋች ከተጣለ ግብ አይሰጥም።")</f>
        <v>ዲስኩ በተሳሳተ ተጫዋች ከተጣለ ግብ አይሰጥም።</v>
      </c>
    </row>
    <row r="126" ht="22.5" customHeight="1">
      <c r="A126" s="13">
        <v>125.0</v>
      </c>
      <c r="B126" s="14" t="s">
        <v>2303</v>
      </c>
      <c r="C126" s="14" t="s">
        <v>2304</v>
      </c>
      <c r="D126" s="14" t="s">
        <v>2102</v>
      </c>
      <c r="E126" s="14" t="s">
        <v>2305</v>
      </c>
      <c r="G126" s="8" t="str">
        <f>IFERROR(__xludf.DUMMYFUNCTION(" GOOGLETRANSLATE(A126, ""en"", ""am"")"),"125")</f>
        <v>125</v>
      </c>
      <c r="H126" s="8" t="str">
        <f>IFERROR(__xludf.DUMMYFUNCTION(" GOOGLETRANSLATE(B126, ""en"", ""am"")"),"አንድ ቡድን በግብ ጊዜ የመተካት ህግን ቢጥስ ምን ይሆናል?")</f>
        <v>አንድ ቡድን በግብ ጊዜ የመተካት ህግን ቢጥስ ምን ይሆናል?</v>
      </c>
      <c r="I126" s="8" t="str">
        <f>IFERROR(__xludf.DUMMYFUNCTION(" GOOGLETRANSLATE(C126, ""en"", ""am"")"),"ሀ. መጥፎ ማስጠንቀቂያ ለ. መዞር ሐ. ግቡ ተሰብሯል። መ. ለተቃራኒ ቡድን ነፃ ውርወራ")</f>
        <v>ሀ. መጥፎ ማስጠንቀቂያ ለ. መዞር ሐ. ግቡ ተሰብሯል። መ. ለተቃራኒ ቡድን ነፃ ውርወራ</v>
      </c>
      <c r="J126" s="8" t="str">
        <f>IFERROR(__xludf.DUMMYFUNCTION(" GOOGLETRANSLATE(D126, ""en"", ""am"")"),"መጥፎ ማስጠንቀቂያ")</f>
        <v>መጥፎ ማስጠንቀቂያ</v>
      </c>
      <c r="K126" s="8" t="str">
        <f>IFERROR(__xludf.DUMMYFUNCTION(" GOOGLETRANSLATE(E126, ""en"", ""am"")"),"በግብ ጊዜ የመተካት ህግን መጣስ መጥፎ ማስጠንቀቂያ ያስከትላል።")</f>
        <v>በግብ ጊዜ የመተካት ህግን መጣስ መጥፎ ማስጠንቀቂያ ያስከትላል።</v>
      </c>
    </row>
    <row r="127" ht="22.5" customHeight="1">
      <c r="A127" s="13">
        <v>126.0</v>
      </c>
      <c r="B127" s="14" t="s">
        <v>2306</v>
      </c>
      <c r="C127" s="14" t="s">
        <v>2307</v>
      </c>
      <c r="D127" s="14" t="s">
        <v>1437</v>
      </c>
      <c r="E127" s="14" t="s">
        <v>2308</v>
      </c>
      <c r="G127" s="8" t="str">
        <f>IFERROR(__xludf.DUMMYFUNCTION(" GOOGLETRANSLATE(A127, ""en"", ""am"")"),"126")</f>
        <v>126</v>
      </c>
      <c r="H127" s="8" t="str">
        <f>IFERROR(__xludf.DUMMYFUNCTION(" GOOGLETRANSLATE(B127, ""en"", ""am"")"),"አንድ ተጫዋች ዲስኩን ከድንበር ከወጣ በኋላ መጣል ይችላል?")</f>
        <v>አንድ ተጫዋች ዲስኩን ከድንበር ከወጣ በኋላ መጣል ይችላል?</v>
      </c>
      <c r="I127" s="8" t="str">
        <f>IFERROR(__xludf.DUMMYFUNCTION(" GOOGLETRANSLATE(C127, ""en"", ""am"")"),"ሀ. አዎ ለ. አይደለም ሐ. በዳኛው ይሁንታ ብቻ። መ. በገለልተኛ ዞን ብቻ")</f>
        <v>ሀ. አዎ ለ. አይደለም ሐ. በዳኛው ይሁንታ ብቻ። መ. በገለልተኛ ዞን ብቻ</v>
      </c>
      <c r="J127" s="8" t="str">
        <f>IFERROR(__xludf.DUMMYFUNCTION(" GOOGLETRANSLATE(D127, ""en"", ""am"")"),"አይ")</f>
        <v>አይ</v>
      </c>
      <c r="K127" s="8" t="str">
        <f>IFERROR(__xludf.DUMMYFUNCTION(" GOOGLETRANSLATE(E127, ""en"", ""am"")"),"አንድ ተጫዋች ዲስኩን ከገደቡ ከወጣ በኋላ መጣል አይችልም.")</f>
        <v>አንድ ተጫዋች ዲስኩን ከገደቡ ከወጣ በኋላ መጣል አይችልም.</v>
      </c>
    </row>
    <row r="128" ht="22.5" customHeight="1">
      <c r="A128" s="13">
        <v>127.0</v>
      </c>
      <c r="B128" s="14" t="s">
        <v>2309</v>
      </c>
      <c r="C128" s="14" t="s">
        <v>2310</v>
      </c>
      <c r="D128" s="14" t="s">
        <v>1940</v>
      </c>
      <c r="E128" s="14" t="s">
        <v>2311</v>
      </c>
      <c r="G128" s="8" t="str">
        <f>IFERROR(__xludf.DUMMYFUNCTION(" GOOGLETRANSLATE(A128, ""en"", ""am"")"),"127")</f>
        <v>127</v>
      </c>
      <c r="H128" s="8" t="str">
        <f>IFERROR(__xludf.DUMMYFUNCTION(" GOOGLETRANSLATE(B128, ""en"", ""am"")"),"አንድ ተጫዋች ዲስኩን ቢይዝ ግን እግሩ ከወሰን ውጭ ከሆነ ምን ይከሰታል?")</f>
        <v>አንድ ተጫዋች ዲስኩን ቢይዝ ግን እግሩ ከወሰን ውጭ ከሆነ ምን ይከሰታል?</v>
      </c>
      <c r="I128" s="8" t="str">
        <f>IFERROR(__xludf.DUMMYFUNCTION(" GOOGLETRANSLATE(C128, ""en"", ""am"")"),"ሀ. መዞር ለ. ለተቃራኒ ቡድን ነፃ ውርወራ C. ግቡ ልክ ያልሆነ ነው። መ. ምንም ቅጣት የለም.")</f>
        <v>ሀ. መዞር ለ. ለተቃራኒ ቡድን ነፃ ውርወራ C. ግቡ ልክ ያልሆነ ነው። መ. ምንም ቅጣት የለም.</v>
      </c>
      <c r="J128" s="8" t="str">
        <f>IFERROR(__xludf.DUMMYFUNCTION(" GOOGLETRANSLATE(D128, ""en"", ""am"")"),"መዞር")</f>
        <v>መዞር</v>
      </c>
      <c r="K128" s="8" t="str">
        <f>IFERROR(__xludf.DUMMYFUNCTION(" GOOGLETRANSLATE(E128, ""en"", ""am"")"),"ዲስኩን በእግርዎ ከወሰን ውጪ መያዝ ለውጥን ያመጣል።")</f>
        <v>ዲስኩን በእግርዎ ከወሰን ውጪ መያዝ ለውጥን ያመጣል።</v>
      </c>
    </row>
    <row r="129" ht="22.5" customHeight="1">
      <c r="A129" s="13">
        <v>128.0</v>
      </c>
      <c r="B129" s="14" t="s">
        <v>2312</v>
      </c>
      <c r="C129" s="14" t="s">
        <v>2313</v>
      </c>
      <c r="D129" s="14" t="s">
        <v>2179</v>
      </c>
      <c r="E129" s="14" t="s">
        <v>2314</v>
      </c>
      <c r="G129" s="8" t="str">
        <f>IFERROR(__xludf.DUMMYFUNCTION(" GOOGLETRANSLATE(A129, ""en"", ""am"")"),"128")</f>
        <v>128</v>
      </c>
      <c r="H129" s="8" t="str">
        <f>IFERROR(__xludf.DUMMYFUNCTION(" GOOGLETRANSLATE(B129, ""en"", ""am"")"),"አንድ ቡድን ጎል አስቆጥሮ ከጎል በፊት ጥፋት ቢሰራ ምን ይሆናል?")</f>
        <v>አንድ ቡድን ጎል አስቆጥሮ ከጎል በፊት ጥፋት ቢሰራ ምን ይሆናል?</v>
      </c>
      <c r="I129" s="8" t="str">
        <f>IFERROR(__xludf.DUMMYFUNCTION(" GOOGLETRANSLATE(C129, ""en"", ""am"")"),"ሀ. ግቡ ተበላሽቷል. ለ. ፎውል ከግቡ በኋላ ይተገበራል. ሐ. ፎውል ከግቡ በፊት ይተገበራል። መ. ምንም ቅጣት የለም.")</f>
        <v>ሀ. ግቡ ተበላሽቷል. ለ. ፎውል ከግቡ በኋላ ይተገበራል. ሐ. ፎውል ከግቡ በፊት ይተገበራል። መ. ምንም ቅጣት የለም.</v>
      </c>
      <c r="J129" s="8" t="str">
        <f>IFERROR(__xludf.DUMMYFUNCTION(" GOOGLETRANSLATE(D129, ""en"", ""am"")"),"ፎውል ከግቡ በፊት ይተገበራል።")</f>
        <v>ፎውል ከግቡ በፊት ይተገበራል።</v>
      </c>
      <c r="K129" s="8" t="str">
        <f>IFERROR(__xludf.DUMMYFUNCTION(" GOOGLETRANSLATE(E129, ""en"", ""am"")"),"ከግቡ በፊት ጥፋት ከተፈፀመ ከዓላማው በፊት ተፈጻሚ ይሆናል።")</f>
        <v>ከግቡ በፊት ጥፋት ከተፈፀመ ከዓላማው በፊት ተፈጻሚ ይሆናል።</v>
      </c>
    </row>
    <row r="130" ht="22.5" customHeight="1">
      <c r="A130" s="13">
        <v>129.0</v>
      </c>
      <c r="B130" s="14" t="s">
        <v>2315</v>
      </c>
      <c r="C130" s="14" t="s">
        <v>2316</v>
      </c>
      <c r="D130" s="14" t="s">
        <v>2102</v>
      </c>
      <c r="E130" s="14" t="s">
        <v>2317</v>
      </c>
      <c r="G130" s="8" t="str">
        <f>IFERROR(__xludf.DUMMYFUNCTION(" GOOGLETRANSLATE(A130, ""en"", ""am"")"),"129")</f>
        <v>129</v>
      </c>
      <c r="H130" s="8" t="str">
        <f>IFERROR(__xludf.DUMMYFUNCTION(" GOOGLETRANSLATE(B130, ""en"", ""am"")"),"ሆን ብሎ ጨዋታውን ያዘገየው ተጫዋች ቅጣቱ ምንድን ነው?")</f>
        <v>ሆን ብሎ ጨዋታውን ያዘገየው ተጫዋች ቅጣቱ ምንድን ነው?</v>
      </c>
      <c r="I130" s="8" t="str">
        <f>IFERROR(__xludf.DUMMYFUNCTION(" GOOGLETRANSLATE(C130, ""en"", ""am"")"),"ሀ. መዞር ለ. መጥፎ ማስጠንቀቂያ ሐ. ለተቃራኒ ቡድን ነፃ ውርወራ መ. ለተጋጣሚው ግብ ሰጠ")</f>
        <v>ሀ. መዞር ለ. መጥፎ ማስጠንቀቂያ ሐ. ለተቃራኒ ቡድን ነፃ ውርወራ መ. ለተጋጣሚው ግብ ሰጠ</v>
      </c>
      <c r="J130" s="8" t="str">
        <f>IFERROR(__xludf.DUMMYFUNCTION(" GOOGLETRANSLATE(D130, ""en"", ""am"")"),"መጥፎ ማስጠንቀቂያ")</f>
        <v>መጥፎ ማስጠንቀቂያ</v>
      </c>
      <c r="K130" s="8" t="str">
        <f>IFERROR(__xludf.DUMMYFUNCTION(" GOOGLETRANSLATE(E130, ""en"", ""am"")"),"ሆን ተብሎ ጨዋታውን ማዘግየት የውሸት ማስጠንቀቂያ ያስከትላል።")</f>
        <v>ሆን ተብሎ ጨዋታውን ማዘግየት የውሸት ማስጠንቀቂያ ያስከትላል።</v>
      </c>
    </row>
    <row r="131" ht="22.5" customHeight="1">
      <c r="A131" s="13">
        <v>130.0</v>
      </c>
      <c r="B131" s="14" t="s">
        <v>2318</v>
      </c>
      <c r="C131" s="14" t="s">
        <v>2262</v>
      </c>
      <c r="D131" s="14" t="s">
        <v>1940</v>
      </c>
      <c r="E131" s="14" t="s">
        <v>2319</v>
      </c>
      <c r="G131" s="8" t="str">
        <f>IFERROR(__xludf.DUMMYFUNCTION(" GOOGLETRANSLATE(A131, ""en"", ""am"")"),"130")</f>
        <v>130</v>
      </c>
      <c r="H131" s="8" t="str">
        <f>IFERROR(__xludf.DUMMYFUNCTION(" GOOGLETRANSLATE(B131, ""en"", ""am"")"),"አንድ ተጫዋች ዲስኩን ወደ ጎል ክልል ቢወረውረው ግን ማንም አልያዘው?")</f>
        <v>አንድ ተጫዋች ዲስኩን ወደ ጎል ክልል ቢወረውረው ግን ማንም አልያዘው?</v>
      </c>
      <c r="I131" s="8" t="str">
        <f>IFERROR(__xludf.DUMMYFUNCTION(" GOOGLETRANSLATE(C131, ""en"", ""am"")"),"A. turnaround B. ለተቃራኒ ቡድን ነፃ ውርወራ C. ግቡ ተበላሽቷል። D. ጨዋታው ቀጥሏል።")</f>
        <v>A. turnaround B. ለተቃራኒ ቡድን ነፃ ውርወራ C. ግቡ ተበላሽቷል። D. ጨዋታው ቀጥሏል።</v>
      </c>
      <c r="J131" s="8" t="str">
        <f>IFERROR(__xludf.DUMMYFUNCTION(" GOOGLETRANSLATE(D131, ""en"", ""am"")"),"መዞር")</f>
        <v>መዞር</v>
      </c>
      <c r="K131" s="8" t="str">
        <f>IFERROR(__xludf.DUMMYFUNCTION(" GOOGLETRANSLATE(E131, ""en"", ""am"")"),"ዲስኩን ሳይይዙ ወደ ጎል አከባቢ መወርወር ለውጥ ያመጣል.")</f>
        <v>ዲስኩን ሳይይዙ ወደ ጎል አከባቢ መወርወር ለውጥ ያመጣል.</v>
      </c>
    </row>
    <row r="132" ht="22.5" customHeight="1">
      <c r="A132" s="13">
        <v>131.0</v>
      </c>
      <c r="B132" s="14" t="s">
        <v>2320</v>
      </c>
      <c r="C132" s="14" t="s">
        <v>2321</v>
      </c>
      <c r="D132" s="14" t="s">
        <v>1437</v>
      </c>
      <c r="E132" s="14" t="s">
        <v>2322</v>
      </c>
      <c r="G132" s="8" t="str">
        <f>IFERROR(__xludf.DUMMYFUNCTION(" GOOGLETRANSLATE(A132, ""en"", ""am"")"),"131")</f>
        <v>131</v>
      </c>
      <c r="H132" s="8" t="str">
        <f>IFERROR(__xludf.DUMMYFUNCTION(" GOOGLETRANSLATE(B132, ""en"", ""am"")"),"አንድ ተጫዋች ዲስኩን በእግራቸው መያዝ ይችላል?")</f>
        <v>አንድ ተጫዋች ዲስኩን በእግራቸው መያዝ ይችላል?</v>
      </c>
      <c r="I132" s="8" t="str">
        <f>IFERROR(__xludf.DUMMYFUNCTION(" GOOGLETRANSLATE(C132, ""en"", ""am"")"),"ሀ. አዎ ለ. አይ ሐ. በሁለቱም እግሮች ብቻ መ. ከ10 ሰከንድ በኋላ ብቻ")</f>
        <v>ሀ. አዎ ለ. አይ ሐ. በሁለቱም እግሮች ብቻ መ. ከ10 ሰከንድ በኋላ ብቻ</v>
      </c>
      <c r="J132" s="8" t="str">
        <f>IFERROR(__xludf.DUMMYFUNCTION(" GOOGLETRANSLATE(D132, ""en"", ""am"")"),"አይ")</f>
        <v>አይ</v>
      </c>
      <c r="K132" s="8" t="str">
        <f>IFERROR(__xludf.DUMMYFUNCTION(" GOOGLETRANSLATE(E132, ""en"", ""am"")"),"ዲስኩን በእግሮቹ እንዲይዝ አይፈቀድለትም.")</f>
        <v>ዲስኩን በእግሮቹ እንዲይዝ አይፈቀድለትም.</v>
      </c>
    </row>
    <row r="133" ht="22.5" customHeight="1">
      <c r="A133" s="13">
        <v>132.0</v>
      </c>
      <c r="B133" s="14" t="s">
        <v>2323</v>
      </c>
      <c r="C133" s="14" t="s">
        <v>2324</v>
      </c>
      <c r="D133" s="14" t="s">
        <v>2102</v>
      </c>
      <c r="E133" s="14" t="s">
        <v>2325</v>
      </c>
      <c r="G133" s="8" t="str">
        <f>IFERROR(__xludf.DUMMYFUNCTION(" GOOGLETRANSLATE(A133, ""en"", ""am"")"),"132")</f>
        <v>132</v>
      </c>
      <c r="H133" s="8" t="str">
        <f>IFERROR(__xludf.DUMMYFUNCTION(" GOOGLETRANSLATE(B133, ""en"", ""am"")"),"አንድ ተጫዋች ዲስኩን ቢይዝ ግን ወደ ገለልተኛ ዞን ቢገባ ምን ይሆናል?")</f>
        <v>አንድ ተጫዋች ዲስኩን ቢይዝ ግን ወደ ገለልተኛ ዞን ቢገባ ምን ይሆናል?</v>
      </c>
      <c r="I133" s="8" t="str">
        <f>IFERROR(__xludf.DUMMYFUNCTION(" GOOGLETRANSLATE(C133, ""en"", ""am"")"),"ሀ. መጥፎ ማስጠንቀቂያ ለ. መዞር ሐ. ግብ ተሰጥቷል። መ. ምንም ቅጣት የለም.")</f>
        <v>ሀ. መጥፎ ማስጠንቀቂያ ለ. መዞር ሐ. ግብ ተሰጥቷል። መ. ምንም ቅጣት የለም.</v>
      </c>
      <c r="J133" s="8" t="str">
        <f>IFERROR(__xludf.DUMMYFUNCTION(" GOOGLETRANSLATE(D133, ""en"", ""am"")"),"መጥፎ ማስጠንቀቂያ")</f>
        <v>መጥፎ ማስጠንቀቂያ</v>
      </c>
      <c r="K133" s="8" t="str">
        <f>IFERROR(__xludf.DUMMYFUNCTION(" GOOGLETRANSLATE(E133, ""en"", ""am"")"),"ዲስኩን ከያዙ በኋላ ወደ ገለልተኛ ዞን መግባት መጥፎ ማስጠንቀቂያ ያስከትላል.")</f>
        <v>ዲስኩን ከያዙ በኋላ ወደ ገለልተኛ ዞን መግባት መጥፎ ማስጠንቀቂያ ያስከትላል.</v>
      </c>
    </row>
    <row r="134" ht="22.5" customHeight="1">
      <c r="A134" s="13">
        <v>133.0</v>
      </c>
      <c r="B134" s="14" t="s">
        <v>2326</v>
      </c>
      <c r="C134" s="14" t="s">
        <v>2327</v>
      </c>
      <c r="D134" s="14" t="s">
        <v>1451</v>
      </c>
      <c r="E134" s="14" t="s">
        <v>2328</v>
      </c>
      <c r="G134" s="8" t="str">
        <f>IFERROR(__xludf.DUMMYFUNCTION(" GOOGLETRANSLATE(A134, ""en"", ""am"")"),"133")</f>
        <v>133</v>
      </c>
      <c r="H134" s="8" t="str">
        <f>IFERROR(__xludf.DUMMYFUNCTION(" GOOGLETRANSLATE(B134, ""en"", ""am"")"),"አንድ ተጫዋች ዲስኩን ከአጥቂ ዞን ወደ ገለልተኛ ዞን በአንድ እጁ መጣል ይችላል?")</f>
        <v>አንድ ተጫዋች ዲስኩን ከአጥቂ ዞን ወደ ገለልተኛ ዞን በአንድ እጁ መጣል ይችላል?</v>
      </c>
      <c r="I134" s="8" t="str">
        <f>IFERROR(__xludf.DUMMYFUNCTION(" GOOGLETRANSLATE(C134, ""en"", ""am"")"),"ሀ. አዎ ለ. አይ ሐ. ተቃውሞ ከሌለ ብቻ መ. በሁለቱም እጆች ብቻ")</f>
        <v>ሀ. አዎ ለ. አይ ሐ. ተቃውሞ ከሌለ ብቻ መ. በሁለቱም እጆች ብቻ</v>
      </c>
      <c r="J134" s="8" t="str">
        <f>IFERROR(__xludf.DUMMYFUNCTION(" GOOGLETRANSLATE(D134, ""en"", ""am"")"),"አዎ")</f>
        <v>አዎ</v>
      </c>
      <c r="K134" s="8" t="str">
        <f>IFERROR(__xludf.DUMMYFUNCTION(" GOOGLETRANSLATE(E134, ""en"", ""am"")"),"አንድ ተጫዋች ዲስኩን በአንድ እጁ ከአጥቂ ዞን ወደ ገለልተኛ ዞን እንዲወረውር ይፈቀድለታል።")</f>
        <v>አንድ ተጫዋች ዲስኩን በአንድ እጁ ከአጥቂ ዞን ወደ ገለልተኛ ዞን እንዲወረውር ይፈቀድለታል።</v>
      </c>
    </row>
    <row r="135" ht="22.5" customHeight="1">
      <c r="A135" s="13">
        <v>134.0</v>
      </c>
      <c r="B135" s="14" t="s">
        <v>2329</v>
      </c>
      <c r="C135" s="14" t="s">
        <v>2330</v>
      </c>
      <c r="D135" s="14" t="s">
        <v>1940</v>
      </c>
      <c r="E135" s="14" t="s">
        <v>2331</v>
      </c>
      <c r="G135" s="8" t="str">
        <f>IFERROR(__xludf.DUMMYFUNCTION(" GOOGLETRANSLATE(A135, ""en"", ""am"")"),"134")</f>
        <v>134</v>
      </c>
      <c r="H135" s="8" t="str">
        <f>IFERROR(__xludf.DUMMYFUNCTION(" GOOGLETRANSLATE(B135, ""en"", ""am"")"),"አንድ ተጫዋች ዲስኩን ሁለት ጊዜ ሲያንጠባጥብ ከተያዘ ምን ይከሰታል?")</f>
        <v>አንድ ተጫዋች ዲስኩን ሁለት ጊዜ ሲያንጠባጥብ ከተያዘ ምን ይከሰታል?</v>
      </c>
      <c r="I135" s="8" t="str">
        <f>IFERROR(__xludf.DUMMYFUNCTION(" GOOGLETRANSLATE(C135, ""en"", ""am"")"),"ሀ. መዞር ለ. መጥፎ ማስጠንቀቂያ ሐ. ለተቃራኒ ቡድን ነፃ ውርወራ መ. ግቡ ልክ ያልሆነ ነው።")</f>
        <v>ሀ. መዞር ለ. መጥፎ ማስጠንቀቂያ ሐ. ለተቃራኒ ቡድን ነፃ ውርወራ መ. ግቡ ልክ ያልሆነ ነው።</v>
      </c>
      <c r="J135" s="8" t="str">
        <f>IFERROR(__xludf.DUMMYFUNCTION(" GOOGLETRANSLATE(D135, ""en"", ""am"")"),"መዞር")</f>
        <v>መዞር</v>
      </c>
      <c r="K135" s="8" t="str">
        <f>IFERROR(__xludf.DUMMYFUNCTION(" GOOGLETRANSLATE(E135, ""en"", ""am"")"),"ዲስኩን ሁለት ጊዜ መታጠፍ ለውጥ ያመጣል.")</f>
        <v>ዲስኩን ሁለት ጊዜ መታጠፍ ለውጥ ያመጣል.</v>
      </c>
    </row>
    <row r="136" ht="22.5" customHeight="1">
      <c r="A136" s="13">
        <v>135.0</v>
      </c>
      <c r="B136" s="14" t="s">
        <v>2332</v>
      </c>
      <c r="C136" s="14" t="s">
        <v>2121</v>
      </c>
      <c r="D136" s="14" t="s">
        <v>1940</v>
      </c>
      <c r="E136" s="14" t="s">
        <v>2333</v>
      </c>
      <c r="G136" s="8" t="str">
        <f>IFERROR(__xludf.DUMMYFUNCTION(" GOOGLETRANSLATE(A136, ""en"", ""am"")"),"135")</f>
        <v>135</v>
      </c>
      <c r="H136" s="8" t="str">
        <f>IFERROR(__xludf.DUMMYFUNCTION(" GOOGLETRANSLATE(B136, ""en"", ""am"")"),"ዲስኩ ከገለልተኛ ዞን ከተጣለ ነገር ግን ከተጠለፈ ምን ይሆናል?")</f>
        <v>ዲስኩ ከገለልተኛ ዞን ከተጣለ ነገር ግን ከተጠለፈ ምን ይሆናል?</v>
      </c>
      <c r="I136" s="8" t="str">
        <f>IFERROR(__xludf.DUMMYFUNCTION(" GOOGLETRANSLATE(C136, ""en"", ""am"")"),"ሀ. መዞር ለ. ለተቃራኒ ቡድን ነፃ ውርወራ C. ግብ ተሰጥቷል። D. ጨዋታው ቀጥሏል።")</f>
        <v>ሀ. መዞር ለ. ለተቃራኒ ቡድን ነፃ ውርወራ C. ግብ ተሰጥቷል። D. ጨዋታው ቀጥሏል።</v>
      </c>
      <c r="J136" s="8" t="str">
        <f>IFERROR(__xludf.DUMMYFUNCTION(" GOOGLETRANSLATE(D136, ""en"", ""am"")"),"መዞር")</f>
        <v>መዞር</v>
      </c>
      <c r="K136" s="8" t="str">
        <f>IFERROR(__xludf.DUMMYFUNCTION(" GOOGLETRANSLATE(E136, ""en"", ""am"")"),"ዲስኩ በገለልተኛ ዞን ውስጥ ከተጣበቀ ለውጥ ያመጣል.")</f>
        <v>ዲስኩ በገለልተኛ ዞን ውስጥ ከተጣበቀ ለውጥ ያመጣል.</v>
      </c>
    </row>
    <row r="137" ht="22.5" customHeight="1">
      <c r="A137" s="13">
        <v>136.0</v>
      </c>
      <c r="B137" s="14" t="s">
        <v>2334</v>
      </c>
      <c r="C137" s="14" t="s">
        <v>2335</v>
      </c>
      <c r="D137" s="14" t="s">
        <v>1451</v>
      </c>
      <c r="E137" s="14" t="s">
        <v>2336</v>
      </c>
      <c r="G137" s="8" t="str">
        <f>IFERROR(__xludf.DUMMYFUNCTION(" GOOGLETRANSLATE(A137, ""en"", ""am"")"),"136")</f>
        <v>136</v>
      </c>
      <c r="H137" s="8" t="str">
        <f>IFERROR(__xludf.DUMMYFUNCTION(" GOOGLETRANSLATE(B137, ""en"", ""am"")"),"አንድ ተጫዋች በአጥቂ ዞን ውስጥ ዲስኩን ወደ ኋላ ማለፍ ይችላል?")</f>
        <v>አንድ ተጫዋች በአጥቂ ዞን ውስጥ ዲስኩን ወደ ኋላ ማለፍ ይችላል?</v>
      </c>
      <c r="I137" s="8" t="str">
        <f>IFERROR(__xludf.DUMMYFUNCTION(" GOOGLETRANSLATE(C137, ""en"", ""am"")"),"A. አዎ ለ. አይ ሐ. ከ10 ሰከንድ በኋላ ብቻ መ. በሁለቱም እጆች ብቻ")</f>
        <v>A. አዎ ለ. አይ ሐ. ከ10 ሰከንድ በኋላ ብቻ መ. በሁለቱም እጆች ብቻ</v>
      </c>
      <c r="J137" s="8" t="str">
        <f>IFERROR(__xludf.DUMMYFUNCTION(" GOOGLETRANSLATE(D137, ""en"", ""am"")"),"አዎ")</f>
        <v>አዎ</v>
      </c>
      <c r="K137" s="8" t="str">
        <f>IFERROR(__xludf.DUMMYFUNCTION(" GOOGLETRANSLATE(E137, ""en"", ""am"")"),"አንድ ተጫዋች በአጥቂ ዞን ውስጥ ዲስኩን ወደ ኋላ እንዲያሳልፍ ይፈቀድለታል።")</f>
        <v>አንድ ተጫዋች በአጥቂ ዞን ውስጥ ዲስኩን ወደ ኋላ እንዲያሳልፍ ይፈቀድለታል።</v>
      </c>
    </row>
    <row r="138" ht="22.5" customHeight="1">
      <c r="A138" s="13">
        <v>137.0</v>
      </c>
      <c r="B138" s="14" t="s">
        <v>2337</v>
      </c>
      <c r="C138" s="14" t="s">
        <v>2338</v>
      </c>
      <c r="D138" s="14" t="s">
        <v>2102</v>
      </c>
      <c r="E138" s="14" t="s">
        <v>2339</v>
      </c>
      <c r="G138" s="8" t="str">
        <f>IFERROR(__xludf.DUMMYFUNCTION(" GOOGLETRANSLATE(A138, ""en"", ""am"")"),"137")</f>
        <v>137</v>
      </c>
      <c r="H138" s="8" t="str">
        <f>IFERROR(__xludf.DUMMYFUNCTION(" GOOGLETRANSLATE(B138, ""en"", ""am"")"),"አንድ ተጫዋች ተቃዋሚውን በክርን ሲይዝ ምን ይሆናል?")</f>
        <v>አንድ ተጫዋች ተቃዋሚውን በክርን ሲይዝ ምን ይሆናል?</v>
      </c>
      <c r="I138" s="8" t="str">
        <f>IFERROR(__xludf.DUMMYFUNCTION(" GOOGLETRANSLATE(C138, ""en"", ""am"")"),"ሀ. መጥፎ ማስጠንቀቂያ ለ. መዞር ሐ. ለተቃራኒ ቡድን ነፃ ውርወራ መ. ግቡ ተበላሽቷል።")</f>
        <v>ሀ. መጥፎ ማስጠንቀቂያ ለ. መዞር ሐ. ለተቃራኒ ቡድን ነፃ ውርወራ መ. ግቡ ተበላሽቷል።</v>
      </c>
      <c r="J138" s="8" t="str">
        <f>IFERROR(__xludf.DUMMYFUNCTION(" GOOGLETRANSLATE(D138, ""en"", ""am"")"),"መጥፎ ማስጠንቀቂያ")</f>
        <v>መጥፎ ማስጠንቀቂያ</v>
      </c>
      <c r="K138" s="8" t="str">
        <f>IFERROR(__xludf.DUMMYFUNCTION(" GOOGLETRANSLATE(E138, ""en"", ""am"")"),"ለተቃዋሚ መስገድ መጥፎ ማስጠንቀቂያ ያመጣል።")</f>
        <v>ለተቃዋሚ መስገድ መጥፎ ማስጠንቀቂያ ያመጣል።</v>
      </c>
    </row>
    <row r="139" ht="22.5" customHeight="1">
      <c r="A139" s="13">
        <v>138.0</v>
      </c>
      <c r="B139" s="14" t="s">
        <v>2340</v>
      </c>
      <c r="C139" s="14" t="s">
        <v>2192</v>
      </c>
      <c r="D139" s="14" t="s">
        <v>1940</v>
      </c>
      <c r="E139" s="14" t="s">
        <v>2341</v>
      </c>
      <c r="G139" s="8" t="str">
        <f>IFERROR(__xludf.DUMMYFUNCTION(" GOOGLETRANSLATE(A139, ""en"", ""am"")"),"138")</f>
        <v>138</v>
      </c>
      <c r="H139" s="8" t="str">
        <f>IFERROR(__xludf.DUMMYFUNCTION(" GOOGLETRANSLATE(B139, ""en"", ""am"")"),"ዲስኩ ከጎል መስመሩ በስተጀርባ ቢጣል ነገር ግን ምንም ተጫዋች ካልያዘው ምን ይሆናል?")</f>
        <v>ዲስኩ ከጎል መስመሩ በስተጀርባ ቢጣል ነገር ግን ምንም ተጫዋች ካልያዘው ምን ይሆናል?</v>
      </c>
      <c r="I139" s="8" t="str">
        <f>IFERROR(__xludf.DUMMYFUNCTION(" GOOGLETRANSLATE(C139, ""en"", ""am"")"),"A. turnaround B. ግብ ተሰጥቷል። ሐ. ለተቃራኒ ቡድን ነፃ ውርወራ መ. ጨዋታው ቀጥሏል።")</f>
        <v>A. turnaround B. ግብ ተሰጥቷል። ሐ. ለተቃራኒ ቡድን ነፃ ውርወራ መ. ጨዋታው ቀጥሏል።</v>
      </c>
      <c r="J139" s="8" t="str">
        <f>IFERROR(__xludf.DUMMYFUNCTION(" GOOGLETRANSLATE(D139, ""en"", ""am"")"),"መዞር")</f>
        <v>መዞር</v>
      </c>
      <c r="K139" s="8" t="str">
        <f>IFERROR(__xludf.DUMMYFUNCTION(" GOOGLETRANSLATE(E139, ""en"", ""am"")"),"ዲስኩን ከግብ መስመሩ ጀርባ መወርወር ለውጥ ያመጣል።")</f>
        <v>ዲስኩን ከግብ መስመሩ ጀርባ መወርወር ለውጥ ያመጣል።</v>
      </c>
    </row>
    <row r="140" ht="22.5" customHeight="1">
      <c r="A140" s="13">
        <v>139.0</v>
      </c>
      <c r="B140" s="14" t="s">
        <v>2342</v>
      </c>
      <c r="C140" s="14" t="s">
        <v>2343</v>
      </c>
      <c r="D140" s="14" t="s">
        <v>1451</v>
      </c>
      <c r="E140" s="14" t="s">
        <v>2344</v>
      </c>
      <c r="G140" s="8" t="str">
        <f>IFERROR(__xludf.DUMMYFUNCTION(" GOOGLETRANSLATE(A140, ""en"", ""am"")"),"139")</f>
        <v>139</v>
      </c>
      <c r="H140" s="8" t="str">
        <f>IFERROR(__xludf.DUMMYFUNCTION(" GOOGLETRANSLATE(B140, ""en"", ""am"")"),"አንድ ተጫዋች ተኝቶ እያለ ዲስኩን ማለፍ ይችላል?")</f>
        <v>አንድ ተጫዋች ተኝቶ እያለ ዲስኩን ማለፍ ይችላል?</v>
      </c>
      <c r="I140" s="8" t="str">
        <f>IFERROR(__xludf.DUMMYFUNCTION(" GOOGLETRANSLATE(C140, ""en"", ""am"")"),"ሀ. አዎ ለ. አይ ሐ. በአንድ እጅ ብቻ መ. በገለልተኛ ዞን ውስጥ ብቻ")</f>
        <v>ሀ. አዎ ለ. አይ ሐ. በአንድ እጅ ብቻ መ. በገለልተኛ ዞን ውስጥ ብቻ</v>
      </c>
      <c r="J140" s="8" t="str">
        <f>IFERROR(__xludf.DUMMYFUNCTION(" GOOGLETRANSLATE(D140, ""en"", ""am"")"),"አዎ")</f>
        <v>አዎ</v>
      </c>
      <c r="K140" s="8" t="str">
        <f>IFERROR(__xludf.DUMMYFUNCTION(" GOOGLETRANSLATE(E140, ""en"", ""am"")"),"አንድ ተጫዋች ተኝቶ እያለ ዲስኩን ማለፍ ይችላል።")</f>
        <v>አንድ ተጫዋች ተኝቶ እያለ ዲስኩን ማለፍ ይችላል።</v>
      </c>
    </row>
    <row r="141" ht="22.5" customHeight="1">
      <c r="A141" s="13">
        <v>140.0</v>
      </c>
      <c r="B141" s="14" t="s">
        <v>2345</v>
      </c>
      <c r="C141" s="14" t="s">
        <v>2346</v>
      </c>
      <c r="D141" s="14" t="s">
        <v>2102</v>
      </c>
      <c r="E141" s="14" t="s">
        <v>2347</v>
      </c>
      <c r="G141" s="8" t="str">
        <f>IFERROR(__xludf.DUMMYFUNCTION(" GOOGLETRANSLATE(A141, ""en"", ""am"")"),"140")</f>
        <v>140</v>
      </c>
      <c r="H141" s="8" t="str">
        <f>IFERROR(__xludf.DUMMYFUNCTION(" GOOGLETRANSLATE(B141, ""en"", ""am"")"),"በጨዋታው ወቅት አንድ ተጫዋች ዲስኩን ቢመታ ምን ይሆናል?")</f>
        <v>በጨዋታው ወቅት አንድ ተጫዋች ዲስኩን ቢመታ ምን ይሆናል?</v>
      </c>
      <c r="I141" s="8" t="str">
        <f>IFERROR(__xludf.DUMMYFUNCTION(" GOOGLETRANSLATE(C141, ""en"", ""am"")"),"ሀ. መጥፎ ማስጠንቀቂያ ለ. ግቡ ተበላሽቷል። C. turnaround D. ለተቃራኒ ቡድን ነፃ ውርወራ")</f>
        <v>ሀ. መጥፎ ማስጠንቀቂያ ለ. ግቡ ተበላሽቷል። C. turnaround D. ለተቃራኒ ቡድን ነፃ ውርወራ</v>
      </c>
      <c r="J141" s="8" t="str">
        <f>IFERROR(__xludf.DUMMYFUNCTION(" GOOGLETRANSLATE(D141, ""en"", ""am"")"),"መጥፎ ማስጠንቀቂያ")</f>
        <v>መጥፎ ማስጠንቀቂያ</v>
      </c>
      <c r="K141" s="8" t="str">
        <f>IFERROR(__xludf.DUMMYFUNCTION(" GOOGLETRANSLATE(E141, ""en"", ""am"")"),"በጨዋታው ጊዜ ዲስኩን መምታት መጥፎ ማስጠንቀቂያ ያስከትላል.")</f>
        <v>በጨዋታው ጊዜ ዲስኩን መምታት መጥፎ ማስጠንቀቂያ ያስከትላል.</v>
      </c>
    </row>
    <row r="142" ht="22.5" customHeight="1">
      <c r="A142" s="7"/>
      <c r="B142" s="7"/>
      <c r="C142" s="7"/>
      <c r="D142" s="7"/>
      <c r="E142" s="7"/>
    </row>
    <row r="143" ht="22.5" customHeight="1">
      <c r="A143" s="7"/>
      <c r="B143" s="7"/>
      <c r="C143" s="7"/>
      <c r="D143" s="7"/>
      <c r="E143" s="7"/>
    </row>
    <row r="144" ht="22.5" customHeight="1">
      <c r="A144" s="7"/>
      <c r="B144" s="7"/>
      <c r="C144" s="7"/>
      <c r="D144" s="7"/>
      <c r="E144" s="7"/>
    </row>
    <row r="145" ht="22.5" customHeight="1">
      <c r="A145" s="7"/>
      <c r="B145" s="7"/>
      <c r="C145" s="7"/>
      <c r="D145" s="7"/>
      <c r="E145" s="7"/>
    </row>
    <row r="146" ht="22.5" customHeight="1">
      <c r="A146" s="7"/>
      <c r="B146" s="7"/>
      <c r="C146" s="7"/>
      <c r="D146" s="7"/>
      <c r="E146" s="7"/>
    </row>
    <row r="147" ht="22.5" customHeight="1">
      <c r="A147" s="7"/>
      <c r="B147" s="7"/>
      <c r="C147" s="7"/>
      <c r="D147" s="7"/>
      <c r="E147" s="7"/>
    </row>
    <row r="148" ht="22.5" customHeight="1">
      <c r="A148" s="7"/>
      <c r="B148" s="7"/>
      <c r="C148" s="7"/>
      <c r="D148" s="7"/>
      <c r="E148" s="7"/>
    </row>
    <row r="149" ht="22.5" customHeight="1">
      <c r="A149" s="7"/>
      <c r="B149" s="7"/>
      <c r="C149" s="7"/>
      <c r="D149" s="7"/>
      <c r="E149" s="7"/>
    </row>
    <row r="150" ht="22.5" customHeight="1">
      <c r="A150" s="7"/>
      <c r="B150" s="7"/>
      <c r="C150" s="7"/>
      <c r="D150" s="7"/>
      <c r="E150" s="7"/>
    </row>
    <row r="151" ht="22.5" customHeight="1">
      <c r="A151" s="7"/>
      <c r="B151" s="7"/>
      <c r="C151" s="7"/>
      <c r="D151" s="7"/>
      <c r="E151" s="7"/>
    </row>
    <row r="152" ht="22.5" customHeight="1">
      <c r="A152" s="7"/>
      <c r="B152" s="7"/>
      <c r="C152" s="7"/>
      <c r="D152" s="7"/>
      <c r="E152" s="7"/>
    </row>
    <row r="153" ht="22.5" customHeight="1">
      <c r="A153" s="7"/>
      <c r="B153" s="7"/>
      <c r="C153" s="7"/>
      <c r="D153" s="7"/>
      <c r="E153" s="7"/>
    </row>
    <row r="154" ht="22.5" customHeight="1">
      <c r="A154" s="7"/>
      <c r="B154" s="7"/>
      <c r="C154" s="7"/>
      <c r="D154" s="7"/>
      <c r="E154" s="7"/>
    </row>
    <row r="155" ht="22.5" customHeight="1">
      <c r="A155" s="7"/>
      <c r="B155" s="7"/>
      <c r="C155" s="7"/>
      <c r="D155" s="7"/>
      <c r="E155" s="7"/>
    </row>
    <row r="156" ht="22.5" customHeight="1">
      <c r="A156" s="7"/>
      <c r="B156" s="7"/>
      <c r="C156" s="7"/>
      <c r="D156" s="7"/>
      <c r="E156" s="7"/>
    </row>
    <row r="157" ht="22.5" customHeight="1">
      <c r="A157" s="7"/>
      <c r="B157" s="7"/>
      <c r="C157" s="7"/>
      <c r="D157" s="7"/>
      <c r="E157" s="7"/>
    </row>
    <row r="158" ht="22.5" customHeight="1">
      <c r="A158" s="7"/>
      <c r="B158" s="7"/>
      <c r="C158" s="7"/>
      <c r="D158" s="7"/>
      <c r="E158" s="7"/>
    </row>
    <row r="159" ht="22.5" customHeight="1">
      <c r="A159" s="7"/>
      <c r="B159" s="7"/>
      <c r="C159" s="7"/>
      <c r="D159" s="7"/>
      <c r="E159" s="7"/>
    </row>
    <row r="160" ht="22.5" customHeight="1">
      <c r="A160" s="7"/>
      <c r="B160" s="7"/>
      <c r="C160" s="7"/>
      <c r="D160" s="7"/>
      <c r="E160" s="7"/>
    </row>
    <row r="161" ht="22.5" customHeight="1">
      <c r="A161" s="7"/>
      <c r="B161" s="7"/>
      <c r="C161" s="7"/>
      <c r="D161" s="7"/>
      <c r="E161" s="7"/>
    </row>
    <row r="162" ht="22.5" customHeight="1">
      <c r="A162" s="7"/>
      <c r="B162" s="7"/>
      <c r="C162" s="7"/>
      <c r="D162" s="7"/>
      <c r="E162" s="7"/>
    </row>
    <row r="163" ht="22.5" customHeight="1">
      <c r="A163" s="7"/>
      <c r="B163" s="7"/>
      <c r="C163" s="7"/>
      <c r="D163" s="7"/>
      <c r="E163" s="7"/>
    </row>
    <row r="164" ht="22.5" customHeight="1">
      <c r="A164" s="7"/>
      <c r="B164" s="7"/>
      <c r="C164" s="7"/>
      <c r="D164" s="7"/>
      <c r="E164" s="7"/>
    </row>
    <row r="165" ht="22.5" customHeight="1">
      <c r="A165" s="7"/>
      <c r="B165" s="7"/>
      <c r="C165" s="7"/>
      <c r="D165" s="7"/>
      <c r="E165" s="7"/>
    </row>
    <row r="166" ht="22.5" customHeight="1">
      <c r="A166" s="7"/>
      <c r="B166" s="7"/>
      <c r="C166" s="7"/>
      <c r="D166" s="7"/>
      <c r="E166" s="7"/>
    </row>
    <row r="167" ht="22.5" customHeight="1">
      <c r="A167" s="7"/>
      <c r="B167" s="7"/>
      <c r="C167" s="7"/>
      <c r="D167" s="7"/>
      <c r="E167" s="7"/>
    </row>
    <row r="168" ht="22.5" customHeight="1">
      <c r="A168" s="7"/>
      <c r="B168" s="7"/>
      <c r="C168" s="7"/>
      <c r="D168" s="7"/>
      <c r="E168" s="7"/>
    </row>
    <row r="169" ht="22.5" customHeight="1">
      <c r="A169" s="7"/>
      <c r="B169" s="7"/>
      <c r="C169" s="7"/>
      <c r="D169" s="7"/>
      <c r="E169" s="7"/>
    </row>
    <row r="170" ht="22.5" customHeight="1">
      <c r="A170" s="7"/>
      <c r="B170" s="7"/>
      <c r="C170" s="7"/>
      <c r="D170" s="7"/>
      <c r="E170" s="7"/>
    </row>
    <row r="171" ht="22.5" customHeight="1">
      <c r="A171" s="7"/>
      <c r="B171" s="7"/>
      <c r="C171" s="7"/>
      <c r="D171" s="7"/>
      <c r="E171" s="7"/>
    </row>
    <row r="172" ht="22.5" customHeight="1">
      <c r="A172" s="7"/>
      <c r="B172" s="7"/>
      <c r="C172" s="7"/>
      <c r="D172" s="7"/>
      <c r="E172" s="7"/>
    </row>
    <row r="173" ht="22.5" customHeight="1">
      <c r="A173" s="7"/>
      <c r="B173" s="7"/>
      <c r="C173" s="7"/>
      <c r="D173" s="7"/>
      <c r="E173" s="7"/>
    </row>
    <row r="174" ht="22.5" customHeight="1">
      <c r="A174" s="7"/>
      <c r="B174" s="7"/>
      <c r="C174" s="7"/>
      <c r="D174" s="7"/>
      <c r="E174" s="7"/>
    </row>
    <row r="175" ht="22.5" customHeight="1">
      <c r="A175" s="7"/>
      <c r="B175" s="7"/>
      <c r="C175" s="7"/>
      <c r="D175" s="7"/>
      <c r="E175" s="7"/>
    </row>
    <row r="176" ht="22.5" customHeight="1">
      <c r="A176" s="7"/>
      <c r="B176" s="7"/>
      <c r="C176" s="7"/>
      <c r="D176" s="7"/>
      <c r="E176" s="7"/>
    </row>
    <row r="177" ht="22.5" customHeight="1">
      <c r="A177" s="7"/>
      <c r="B177" s="7"/>
      <c r="C177" s="7"/>
      <c r="D177" s="7"/>
      <c r="E177" s="7"/>
    </row>
    <row r="178" ht="22.5" customHeight="1">
      <c r="A178" s="7"/>
      <c r="B178" s="7"/>
      <c r="C178" s="7"/>
      <c r="D178" s="7"/>
      <c r="E178" s="7"/>
    </row>
    <row r="179" ht="22.5" customHeight="1">
      <c r="A179" s="7"/>
      <c r="B179" s="7"/>
      <c r="C179" s="7"/>
      <c r="D179" s="7"/>
      <c r="E179" s="7"/>
    </row>
    <row r="180" ht="22.5" customHeight="1">
      <c r="A180" s="7"/>
      <c r="B180" s="7"/>
      <c r="C180" s="7"/>
      <c r="D180" s="7"/>
      <c r="E180" s="7"/>
    </row>
    <row r="181" ht="22.5" customHeight="1">
      <c r="A181" s="7"/>
      <c r="B181" s="7"/>
      <c r="C181" s="7"/>
      <c r="D181" s="7"/>
      <c r="E181" s="7"/>
    </row>
    <row r="182" ht="22.5" customHeight="1">
      <c r="A182" s="7"/>
      <c r="B182" s="7"/>
      <c r="C182" s="7"/>
      <c r="D182" s="7"/>
      <c r="E182" s="7"/>
    </row>
    <row r="183" ht="22.5" customHeight="1">
      <c r="A183" s="7"/>
      <c r="B183" s="7"/>
      <c r="C183" s="7"/>
      <c r="D183" s="7"/>
      <c r="E183" s="7"/>
    </row>
    <row r="184" ht="22.5" customHeight="1">
      <c r="A184" s="7"/>
      <c r="B184" s="7"/>
      <c r="C184" s="7"/>
      <c r="D184" s="7"/>
      <c r="E184" s="7"/>
    </row>
    <row r="185" ht="22.5" customHeight="1">
      <c r="A185" s="7"/>
      <c r="B185" s="7"/>
      <c r="C185" s="7"/>
      <c r="D185" s="7"/>
      <c r="E185" s="7"/>
    </row>
    <row r="186" ht="22.5" customHeight="1">
      <c r="A186" s="7"/>
      <c r="B186" s="7"/>
      <c r="C186" s="7"/>
      <c r="D186" s="7"/>
      <c r="E186" s="7"/>
    </row>
    <row r="187" ht="22.5" customHeight="1">
      <c r="A187" s="7"/>
      <c r="B187" s="7"/>
      <c r="C187" s="7"/>
      <c r="D187" s="7"/>
      <c r="E187" s="7"/>
    </row>
    <row r="188" ht="22.5" customHeight="1">
      <c r="A188" s="7"/>
      <c r="B188" s="7"/>
      <c r="C188" s="7"/>
      <c r="D188" s="7"/>
      <c r="E188" s="7"/>
    </row>
    <row r="189" ht="22.5" customHeight="1">
      <c r="A189" s="7"/>
      <c r="B189" s="7"/>
      <c r="C189" s="7"/>
      <c r="D189" s="7"/>
      <c r="E189" s="7"/>
    </row>
    <row r="190" ht="22.5" customHeight="1">
      <c r="A190" s="7"/>
      <c r="B190" s="7"/>
      <c r="C190" s="7"/>
      <c r="D190" s="7"/>
      <c r="E190" s="7"/>
    </row>
    <row r="191" ht="22.5" customHeight="1">
      <c r="A191" s="7"/>
      <c r="B191" s="7"/>
      <c r="C191" s="7"/>
      <c r="D191" s="7"/>
      <c r="E191" s="7"/>
    </row>
    <row r="192" ht="22.5" customHeight="1">
      <c r="A192" s="7"/>
      <c r="B192" s="7"/>
      <c r="C192" s="7"/>
      <c r="D192" s="7"/>
      <c r="E192" s="7"/>
    </row>
    <row r="193" ht="22.5" customHeight="1">
      <c r="A193" s="7"/>
      <c r="B193" s="7"/>
      <c r="C193" s="7"/>
      <c r="D193" s="7"/>
      <c r="E193" s="7"/>
    </row>
    <row r="194" ht="22.5" customHeight="1">
      <c r="A194" s="7"/>
      <c r="B194" s="7"/>
      <c r="C194" s="7"/>
      <c r="D194" s="7"/>
      <c r="E194" s="7"/>
    </row>
    <row r="195" ht="22.5" customHeight="1">
      <c r="A195" s="7"/>
      <c r="B195" s="7"/>
      <c r="C195" s="7"/>
      <c r="D195" s="7"/>
      <c r="E195" s="7"/>
    </row>
    <row r="196" ht="22.5" customHeight="1">
      <c r="A196" s="7"/>
      <c r="B196" s="7"/>
      <c r="C196" s="7"/>
      <c r="D196" s="7"/>
      <c r="E196" s="7"/>
    </row>
    <row r="197" ht="22.5" customHeight="1">
      <c r="A197" s="7"/>
      <c r="B197" s="7"/>
      <c r="C197" s="7"/>
      <c r="D197" s="7"/>
      <c r="E197" s="7"/>
    </row>
    <row r="198" ht="22.5" customHeight="1">
      <c r="A198" s="7"/>
      <c r="B198" s="7"/>
      <c r="C198" s="7"/>
      <c r="D198" s="7"/>
      <c r="E198" s="7"/>
    </row>
    <row r="199" ht="22.5" customHeight="1">
      <c r="A199" s="7"/>
      <c r="B199" s="7"/>
      <c r="C199" s="7"/>
      <c r="D199" s="7"/>
      <c r="E199" s="7"/>
    </row>
    <row r="200" ht="22.5" customHeight="1">
      <c r="A200" s="7"/>
      <c r="B200" s="7"/>
      <c r="C200" s="7"/>
      <c r="D200" s="7"/>
      <c r="E200" s="7"/>
    </row>
    <row r="201" ht="22.5" customHeight="1">
      <c r="A201" s="7"/>
      <c r="B201" s="7"/>
      <c r="C201" s="7"/>
      <c r="D201" s="7"/>
      <c r="E201" s="7"/>
    </row>
    <row r="202" ht="22.5" customHeight="1">
      <c r="A202" s="7"/>
      <c r="B202" s="7"/>
      <c r="C202" s="7"/>
      <c r="D202" s="7"/>
      <c r="E202" s="7"/>
    </row>
    <row r="203" ht="22.5" customHeight="1">
      <c r="A203" s="7"/>
      <c r="B203" s="7"/>
      <c r="C203" s="7"/>
      <c r="D203" s="7"/>
      <c r="E203" s="7"/>
    </row>
    <row r="204" ht="22.5" customHeight="1">
      <c r="A204" s="7"/>
      <c r="B204" s="7"/>
      <c r="C204" s="7"/>
      <c r="D204" s="7"/>
      <c r="E204" s="7"/>
    </row>
    <row r="205" ht="22.5" customHeight="1">
      <c r="A205" s="7"/>
      <c r="B205" s="7"/>
      <c r="C205" s="7"/>
      <c r="D205" s="7"/>
      <c r="E205" s="7"/>
    </row>
    <row r="206" ht="22.5" customHeight="1">
      <c r="A206" s="7"/>
      <c r="B206" s="7"/>
      <c r="C206" s="7"/>
      <c r="D206" s="7"/>
      <c r="E206" s="7"/>
    </row>
    <row r="207" ht="22.5" customHeight="1">
      <c r="A207" s="7"/>
      <c r="B207" s="7"/>
      <c r="C207" s="7"/>
      <c r="D207" s="7"/>
      <c r="E207" s="7"/>
    </row>
    <row r="208" ht="22.5" customHeight="1">
      <c r="A208" s="7"/>
      <c r="B208" s="7"/>
      <c r="C208" s="7"/>
      <c r="D208" s="7"/>
      <c r="E208" s="7"/>
    </row>
    <row r="209" ht="22.5" customHeight="1">
      <c r="A209" s="7"/>
      <c r="B209" s="7"/>
      <c r="C209" s="7"/>
      <c r="D209" s="7"/>
      <c r="E209" s="7"/>
    </row>
    <row r="210" ht="22.5" customHeight="1">
      <c r="A210" s="7"/>
      <c r="B210" s="7"/>
      <c r="C210" s="7"/>
      <c r="D210" s="7"/>
      <c r="E210" s="7"/>
    </row>
    <row r="211" ht="22.5" customHeight="1">
      <c r="A211" s="7"/>
      <c r="B211" s="7"/>
      <c r="C211" s="7"/>
      <c r="D211" s="7"/>
      <c r="E211" s="7"/>
    </row>
    <row r="212" ht="22.5" customHeight="1">
      <c r="A212" s="7"/>
      <c r="B212" s="7"/>
      <c r="C212" s="7"/>
      <c r="D212" s="7"/>
      <c r="E212" s="7"/>
    </row>
    <row r="213" ht="22.5" customHeight="1">
      <c r="A213" s="7"/>
      <c r="B213" s="7"/>
      <c r="C213" s="7"/>
      <c r="D213" s="7"/>
      <c r="E213" s="7"/>
    </row>
    <row r="214" ht="22.5" customHeight="1">
      <c r="A214" s="7"/>
      <c r="B214" s="7"/>
      <c r="C214" s="7"/>
      <c r="D214" s="7"/>
      <c r="E214" s="7"/>
    </row>
    <row r="215" ht="22.5" customHeight="1">
      <c r="A215" s="7"/>
      <c r="B215" s="7"/>
      <c r="C215" s="7"/>
      <c r="D215" s="7"/>
      <c r="E215" s="7"/>
    </row>
    <row r="216" ht="22.5" customHeight="1">
      <c r="A216" s="7"/>
      <c r="B216" s="7"/>
      <c r="C216" s="7"/>
      <c r="D216" s="7"/>
      <c r="E216" s="7"/>
    </row>
    <row r="217" ht="22.5" customHeight="1">
      <c r="A217" s="7"/>
      <c r="B217" s="7"/>
      <c r="C217" s="7"/>
      <c r="D217" s="7"/>
      <c r="E217" s="7"/>
    </row>
    <row r="218" ht="22.5" customHeight="1">
      <c r="A218" s="7"/>
      <c r="B218" s="7"/>
      <c r="C218" s="7"/>
      <c r="D218" s="7"/>
      <c r="E218" s="7"/>
    </row>
    <row r="219" ht="22.5" customHeight="1">
      <c r="A219" s="7"/>
      <c r="B219" s="7"/>
      <c r="C219" s="7"/>
      <c r="D219" s="7"/>
      <c r="E219" s="7"/>
    </row>
    <row r="220" ht="22.5" customHeight="1">
      <c r="A220" s="7"/>
      <c r="B220" s="7"/>
      <c r="C220" s="7"/>
      <c r="D220" s="7"/>
      <c r="E220" s="7"/>
    </row>
    <row r="221" ht="22.5" customHeight="1">
      <c r="A221" s="7"/>
      <c r="B221" s="7"/>
      <c r="C221" s="7"/>
      <c r="D221" s="7"/>
      <c r="E221" s="7"/>
    </row>
    <row r="222" ht="22.5" customHeight="1">
      <c r="A222" s="7"/>
      <c r="B222" s="7"/>
      <c r="C222" s="7"/>
      <c r="D222" s="7"/>
      <c r="E222" s="7"/>
    </row>
    <row r="223" ht="22.5" customHeight="1">
      <c r="A223" s="7"/>
      <c r="B223" s="7"/>
      <c r="C223" s="7"/>
      <c r="D223" s="7"/>
      <c r="E223" s="7"/>
    </row>
    <row r="224" ht="22.5" customHeight="1">
      <c r="A224" s="7"/>
      <c r="B224" s="7"/>
      <c r="C224" s="7"/>
      <c r="D224" s="7"/>
      <c r="E224" s="7"/>
    </row>
    <row r="225" ht="22.5" customHeight="1">
      <c r="A225" s="7"/>
      <c r="B225" s="7"/>
      <c r="C225" s="7"/>
      <c r="D225" s="7"/>
      <c r="E225" s="7"/>
    </row>
    <row r="226" ht="22.5" customHeight="1">
      <c r="A226" s="7"/>
      <c r="B226" s="7"/>
      <c r="C226" s="7"/>
      <c r="D226" s="7"/>
      <c r="E226" s="7"/>
    </row>
    <row r="227" ht="22.5" customHeight="1">
      <c r="A227" s="7"/>
      <c r="B227" s="7"/>
      <c r="C227" s="7"/>
      <c r="D227" s="7"/>
      <c r="E227" s="7"/>
    </row>
    <row r="228" ht="22.5" customHeight="1">
      <c r="A228" s="7"/>
      <c r="B228" s="7"/>
      <c r="C228" s="7"/>
      <c r="D228" s="7"/>
      <c r="E228" s="7"/>
    </row>
    <row r="229" ht="22.5" customHeight="1">
      <c r="A229" s="7"/>
      <c r="B229" s="7"/>
      <c r="C229" s="7"/>
      <c r="D229" s="7"/>
      <c r="E229" s="7"/>
    </row>
    <row r="230" ht="22.5" customHeight="1">
      <c r="A230" s="7"/>
      <c r="B230" s="7"/>
      <c r="C230" s="7"/>
      <c r="D230" s="7"/>
      <c r="E230" s="7"/>
    </row>
    <row r="231" ht="22.5" customHeight="1">
      <c r="A231" s="7"/>
      <c r="B231" s="7"/>
      <c r="C231" s="7"/>
      <c r="D231" s="7"/>
      <c r="E231" s="7"/>
    </row>
    <row r="232" ht="22.5" customHeight="1">
      <c r="A232" s="7"/>
      <c r="B232" s="7"/>
      <c r="C232" s="7"/>
      <c r="D232" s="7"/>
      <c r="E232" s="7"/>
    </row>
    <row r="233" ht="22.5" customHeight="1">
      <c r="A233" s="7"/>
      <c r="B233" s="7"/>
      <c r="C233" s="7"/>
      <c r="D233" s="7"/>
      <c r="E233" s="7"/>
    </row>
    <row r="234" ht="22.5" customHeight="1">
      <c r="A234" s="7"/>
      <c r="B234" s="7"/>
      <c r="C234" s="7"/>
      <c r="D234" s="7"/>
      <c r="E234" s="7"/>
    </row>
    <row r="235" ht="22.5" customHeight="1">
      <c r="A235" s="7"/>
      <c r="B235" s="7"/>
      <c r="C235" s="7"/>
      <c r="D235" s="7"/>
      <c r="E235" s="7"/>
    </row>
    <row r="236" ht="22.5" customHeight="1">
      <c r="A236" s="7"/>
      <c r="B236" s="7"/>
      <c r="C236" s="7"/>
      <c r="D236" s="7"/>
      <c r="E236" s="7"/>
    </row>
    <row r="237" ht="22.5" customHeight="1">
      <c r="A237" s="7"/>
      <c r="B237" s="7"/>
      <c r="C237" s="7"/>
      <c r="D237" s="7"/>
      <c r="E237" s="7"/>
    </row>
    <row r="238" ht="22.5" customHeight="1">
      <c r="A238" s="7"/>
      <c r="B238" s="7"/>
      <c r="C238" s="7"/>
      <c r="D238" s="7"/>
      <c r="E238" s="7"/>
    </row>
    <row r="239" ht="22.5" customHeight="1">
      <c r="A239" s="7"/>
      <c r="B239" s="7"/>
      <c r="C239" s="7"/>
      <c r="D239" s="7"/>
      <c r="E239" s="7"/>
    </row>
    <row r="240" ht="22.5" customHeight="1">
      <c r="A240" s="7"/>
      <c r="B240" s="7"/>
      <c r="C240" s="7"/>
      <c r="D240" s="7"/>
      <c r="E240" s="7"/>
    </row>
    <row r="241" ht="22.5" customHeight="1">
      <c r="A241" s="7"/>
      <c r="B241" s="7"/>
      <c r="C241" s="7"/>
      <c r="D241" s="7"/>
      <c r="E241" s="7"/>
    </row>
    <row r="242" ht="22.5" customHeight="1">
      <c r="A242" s="7"/>
      <c r="B242" s="7"/>
      <c r="C242" s="7"/>
      <c r="D242" s="7"/>
      <c r="E242" s="7"/>
    </row>
    <row r="243" ht="22.5" customHeight="1">
      <c r="A243" s="7"/>
      <c r="B243" s="7"/>
      <c r="C243" s="7"/>
      <c r="D243" s="7"/>
      <c r="E243" s="7"/>
    </row>
    <row r="244" ht="22.5" customHeight="1">
      <c r="A244" s="7"/>
      <c r="B244" s="7"/>
      <c r="C244" s="7"/>
      <c r="D244" s="7"/>
      <c r="E244" s="7"/>
    </row>
    <row r="245" ht="22.5" customHeight="1">
      <c r="A245" s="7"/>
      <c r="B245" s="7"/>
      <c r="C245" s="7"/>
      <c r="D245" s="7"/>
      <c r="E245" s="7"/>
    </row>
    <row r="246" ht="22.5" customHeight="1">
      <c r="A246" s="7"/>
      <c r="B246" s="7"/>
      <c r="C246" s="7"/>
      <c r="D246" s="7"/>
      <c r="E246" s="7"/>
    </row>
    <row r="247" ht="22.5" customHeight="1">
      <c r="A247" s="7"/>
      <c r="B247" s="7"/>
      <c r="C247" s="7"/>
      <c r="D247" s="7"/>
      <c r="E247" s="7"/>
    </row>
    <row r="248" ht="22.5" customHeight="1">
      <c r="A248" s="7"/>
      <c r="B248" s="7"/>
      <c r="C248" s="7"/>
      <c r="D248" s="7"/>
      <c r="E248" s="7"/>
    </row>
    <row r="249" ht="22.5" customHeight="1">
      <c r="A249" s="7"/>
      <c r="B249" s="7"/>
      <c r="C249" s="7"/>
      <c r="D249" s="7"/>
      <c r="E249" s="7"/>
    </row>
    <row r="250" ht="22.5" customHeight="1">
      <c r="A250" s="7"/>
      <c r="B250" s="7"/>
      <c r="C250" s="7"/>
      <c r="D250" s="7"/>
      <c r="E250" s="7"/>
    </row>
    <row r="251" ht="22.5" customHeight="1">
      <c r="A251" s="7"/>
      <c r="B251" s="7"/>
      <c r="C251" s="7"/>
      <c r="D251" s="7"/>
      <c r="E251" s="7"/>
    </row>
    <row r="252" ht="22.5" customHeight="1">
      <c r="A252" s="7"/>
      <c r="B252" s="7"/>
      <c r="C252" s="7"/>
      <c r="D252" s="7"/>
      <c r="E252" s="7"/>
    </row>
    <row r="253" ht="22.5" customHeight="1">
      <c r="A253" s="7"/>
      <c r="B253" s="7"/>
      <c r="C253" s="7"/>
      <c r="D253" s="7"/>
      <c r="E253" s="7"/>
    </row>
    <row r="254" ht="22.5" customHeight="1">
      <c r="A254" s="7"/>
      <c r="B254" s="7"/>
      <c r="C254" s="7"/>
      <c r="D254" s="7"/>
      <c r="E254" s="7"/>
    </row>
    <row r="255" ht="22.5" customHeight="1">
      <c r="A255" s="7"/>
      <c r="B255" s="7"/>
      <c r="C255" s="7"/>
      <c r="D255" s="7"/>
      <c r="E255" s="7"/>
    </row>
    <row r="256" ht="22.5" customHeight="1">
      <c r="A256" s="7"/>
      <c r="B256" s="7"/>
      <c r="C256" s="7"/>
      <c r="D256" s="7"/>
      <c r="E256" s="7"/>
    </row>
    <row r="257" ht="22.5" customHeight="1">
      <c r="A257" s="7"/>
      <c r="B257" s="7"/>
      <c r="C257" s="7"/>
      <c r="D257" s="7"/>
      <c r="E257" s="7"/>
    </row>
    <row r="258" ht="22.5" customHeight="1">
      <c r="A258" s="7"/>
      <c r="B258" s="7"/>
      <c r="C258" s="7"/>
      <c r="D258" s="7"/>
      <c r="E258" s="7"/>
    </row>
    <row r="259" ht="22.5" customHeight="1">
      <c r="A259" s="7"/>
      <c r="B259" s="7"/>
      <c r="C259" s="7"/>
      <c r="D259" s="7"/>
      <c r="E259" s="7"/>
    </row>
    <row r="260" ht="22.5" customHeight="1">
      <c r="A260" s="7"/>
      <c r="B260" s="7"/>
      <c r="C260" s="7"/>
      <c r="D260" s="7"/>
      <c r="E260" s="7"/>
    </row>
    <row r="261" ht="22.5" customHeight="1">
      <c r="A261" s="7"/>
      <c r="B261" s="7"/>
      <c r="C261" s="7"/>
      <c r="D261" s="7"/>
      <c r="E261" s="7"/>
    </row>
    <row r="262" ht="22.5" customHeight="1">
      <c r="A262" s="7"/>
      <c r="B262" s="7"/>
      <c r="C262" s="7"/>
      <c r="D262" s="7"/>
      <c r="E262" s="7"/>
    </row>
    <row r="263" ht="22.5" customHeight="1">
      <c r="A263" s="7"/>
      <c r="B263" s="7"/>
      <c r="C263" s="7"/>
      <c r="D263" s="7"/>
      <c r="E263" s="7"/>
    </row>
    <row r="264" ht="22.5" customHeight="1">
      <c r="A264" s="7"/>
      <c r="B264" s="7"/>
      <c r="C264" s="7"/>
      <c r="D264" s="7"/>
      <c r="E264" s="7"/>
    </row>
    <row r="265" ht="22.5" customHeight="1">
      <c r="A265" s="7"/>
      <c r="B265" s="7"/>
      <c r="C265" s="7"/>
      <c r="D265" s="7"/>
      <c r="E265" s="7"/>
    </row>
    <row r="266" ht="22.5" customHeight="1">
      <c r="A266" s="7"/>
      <c r="B266" s="7"/>
      <c r="C266" s="7"/>
      <c r="D266" s="7"/>
      <c r="E266" s="7"/>
    </row>
    <row r="267" ht="22.5" customHeight="1">
      <c r="A267" s="7"/>
      <c r="B267" s="7"/>
      <c r="C267" s="7"/>
      <c r="D267" s="7"/>
      <c r="E267" s="7"/>
    </row>
    <row r="268" ht="22.5" customHeight="1">
      <c r="A268" s="7"/>
      <c r="B268" s="7"/>
      <c r="C268" s="7"/>
      <c r="D268" s="7"/>
      <c r="E268" s="7"/>
    </row>
    <row r="269" ht="22.5" customHeight="1">
      <c r="A269" s="7"/>
      <c r="B269" s="7"/>
      <c r="C269" s="7"/>
      <c r="D269" s="7"/>
      <c r="E269" s="7"/>
    </row>
    <row r="270" ht="22.5" customHeight="1">
      <c r="A270" s="7"/>
      <c r="B270" s="7"/>
      <c r="C270" s="7"/>
      <c r="D270" s="7"/>
      <c r="E270" s="7"/>
    </row>
    <row r="271" ht="22.5" customHeight="1">
      <c r="A271" s="7"/>
      <c r="B271" s="7"/>
      <c r="C271" s="7"/>
      <c r="D271" s="7"/>
      <c r="E271" s="7"/>
    </row>
    <row r="272" ht="22.5" customHeight="1">
      <c r="A272" s="7"/>
      <c r="B272" s="7"/>
      <c r="C272" s="7"/>
      <c r="D272" s="7"/>
      <c r="E272" s="7"/>
    </row>
    <row r="273" ht="22.5" customHeight="1">
      <c r="A273" s="7"/>
      <c r="B273" s="7"/>
      <c r="C273" s="7"/>
      <c r="D273" s="7"/>
      <c r="E273" s="7"/>
    </row>
    <row r="274" ht="22.5" customHeight="1">
      <c r="A274" s="7"/>
      <c r="B274" s="7"/>
      <c r="C274" s="7"/>
      <c r="D274" s="7"/>
      <c r="E274" s="7"/>
    </row>
    <row r="275" ht="22.5" customHeight="1">
      <c r="A275" s="7"/>
      <c r="B275" s="7"/>
      <c r="C275" s="7"/>
      <c r="D275" s="7"/>
      <c r="E275" s="7"/>
    </row>
    <row r="276" ht="22.5" customHeight="1">
      <c r="A276" s="7"/>
      <c r="B276" s="7"/>
      <c r="C276" s="7"/>
      <c r="D276" s="7"/>
      <c r="E276" s="7"/>
    </row>
    <row r="277" ht="22.5" customHeight="1">
      <c r="A277" s="7"/>
      <c r="B277" s="7"/>
      <c r="C277" s="7"/>
      <c r="D277" s="7"/>
      <c r="E277" s="7"/>
    </row>
    <row r="278" ht="22.5" customHeight="1">
      <c r="A278" s="7"/>
      <c r="B278" s="7"/>
      <c r="C278" s="7"/>
      <c r="D278" s="7"/>
      <c r="E278" s="7"/>
    </row>
    <row r="279" ht="22.5" customHeight="1">
      <c r="A279" s="7"/>
      <c r="B279" s="7"/>
      <c r="C279" s="7"/>
      <c r="D279" s="7"/>
      <c r="E279" s="7"/>
    </row>
    <row r="280" ht="22.5" customHeight="1">
      <c r="A280" s="7"/>
      <c r="B280" s="7"/>
      <c r="C280" s="7"/>
      <c r="D280" s="7"/>
      <c r="E280" s="7"/>
    </row>
    <row r="281" ht="22.5" customHeight="1">
      <c r="A281" s="7"/>
      <c r="B281" s="7"/>
      <c r="C281" s="7"/>
      <c r="D281" s="7"/>
      <c r="E281" s="7"/>
    </row>
    <row r="282" ht="22.5" customHeight="1">
      <c r="A282" s="7"/>
      <c r="B282" s="7"/>
      <c r="C282" s="7"/>
      <c r="D282" s="7"/>
      <c r="E282" s="7"/>
    </row>
    <row r="283" ht="22.5" customHeight="1">
      <c r="A283" s="7"/>
      <c r="B283" s="7"/>
      <c r="C283" s="7"/>
      <c r="D283" s="7"/>
      <c r="E283" s="7"/>
    </row>
    <row r="284" ht="22.5" customHeight="1">
      <c r="A284" s="7"/>
      <c r="B284" s="7"/>
      <c r="C284" s="7"/>
      <c r="D284" s="7"/>
      <c r="E284" s="7"/>
    </row>
    <row r="285" ht="22.5" customHeight="1">
      <c r="A285" s="7"/>
      <c r="B285" s="7"/>
      <c r="C285" s="7"/>
      <c r="D285" s="7"/>
      <c r="E285" s="7"/>
    </row>
    <row r="286" ht="22.5" customHeight="1">
      <c r="A286" s="7"/>
      <c r="B286" s="7"/>
      <c r="C286" s="7"/>
      <c r="D286" s="7"/>
      <c r="E286" s="7"/>
    </row>
    <row r="287" ht="22.5" customHeight="1">
      <c r="A287" s="7"/>
      <c r="B287" s="7"/>
      <c r="C287" s="7"/>
      <c r="D287" s="7"/>
      <c r="E287" s="7"/>
    </row>
    <row r="288" ht="22.5" customHeight="1">
      <c r="A288" s="7"/>
      <c r="B288" s="7"/>
      <c r="C288" s="7"/>
      <c r="D288" s="7"/>
      <c r="E288" s="7"/>
    </row>
    <row r="289" ht="22.5" customHeight="1">
      <c r="A289" s="7"/>
      <c r="B289" s="7"/>
      <c r="C289" s="7"/>
      <c r="D289" s="7"/>
      <c r="E289" s="7"/>
    </row>
    <row r="290" ht="22.5" customHeight="1">
      <c r="A290" s="7"/>
      <c r="B290" s="7"/>
      <c r="C290" s="7"/>
      <c r="D290" s="7"/>
      <c r="E290" s="7"/>
    </row>
    <row r="291" ht="22.5" customHeight="1">
      <c r="A291" s="7"/>
      <c r="B291" s="7"/>
      <c r="C291" s="7"/>
      <c r="D291" s="7"/>
      <c r="E291" s="7"/>
    </row>
    <row r="292" ht="22.5" customHeight="1">
      <c r="A292" s="7"/>
      <c r="B292" s="7"/>
      <c r="C292" s="7"/>
      <c r="D292" s="7"/>
      <c r="E292" s="7"/>
    </row>
    <row r="293" ht="22.5" customHeight="1">
      <c r="A293" s="7"/>
      <c r="B293" s="7"/>
      <c r="C293" s="7"/>
      <c r="D293" s="7"/>
      <c r="E293" s="7"/>
    </row>
    <row r="294" ht="22.5" customHeight="1">
      <c r="A294" s="7"/>
      <c r="B294" s="7"/>
      <c r="C294" s="7"/>
      <c r="D294" s="7"/>
      <c r="E294" s="7"/>
    </row>
    <row r="295" ht="22.5" customHeight="1">
      <c r="A295" s="7"/>
      <c r="B295" s="7"/>
      <c r="C295" s="7"/>
      <c r="D295" s="7"/>
      <c r="E295" s="7"/>
    </row>
    <row r="296" ht="22.5" customHeight="1">
      <c r="A296" s="7"/>
      <c r="B296" s="7"/>
      <c r="C296" s="7"/>
      <c r="D296" s="7"/>
      <c r="E296" s="7"/>
    </row>
    <row r="297" ht="22.5" customHeight="1">
      <c r="A297" s="7"/>
      <c r="B297" s="7"/>
      <c r="C297" s="7"/>
      <c r="D297" s="7"/>
      <c r="E297" s="7"/>
    </row>
    <row r="298" ht="22.5" customHeight="1">
      <c r="A298" s="7"/>
      <c r="B298" s="7"/>
      <c r="C298" s="7"/>
      <c r="D298" s="7"/>
      <c r="E298" s="7"/>
    </row>
    <row r="299" ht="22.5" customHeight="1">
      <c r="A299" s="7"/>
      <c r="B299" s="7"/>
      <c r="C299" s="7"/>
      <c r="D299" s="7"/>
      <c r="E299" s="7"/>
    </row>
    <row r="300" ht="22.5" customHeight="1">
      <c r="A300" s="7"/>
      <c r="B300" s="7"/>
      <c r="C300" s="7"/>
      <c r="D300" s="7"/>
      <c r="E300" s="7"/>
    </row>
    <row r="301" ht="22.5" customHeight="1">
      <c r="A301" s="7"/>
      <c r="B301" s="7"/>
      <c r="C301" s="7"/>
      <c r="D301" s="7"/>
      <c r="E301" s="7"/>
    </row>
    <row r="302" ht="22.5" customHeight="1">
      <c r="A302" s="7"/>
      <c r="B302" s="7"/>
      <c r="C302" s="7"/>
      <c r="D302" s="7"/>
      <c r="E302" s="7"/>
    </row>
    <row r="303" ht="22.5" customHeight="1">
      <c r="A303" s="7"/>
      <c r="B303" s="7"/>
      <c r="C303" s="7"/>
      <c r="D303" s="7"/>
      <c r="E303" s="7"/>
    </row>
    <row r="304" ht="22.5" customHeight="1">
      <c r="A304" s="7"/>
      <c r="B304" s="7"/>
      <c r="C304" s="7"/>
      <c r="D304" s="7"/>
      <c r="E304" s="7"/>
    </row>
    <row r="305" ht="22.5" customHeight="1">
      <c r="A305" s="7"/>
      <c r="B305" s="7"/>
      <c r="C305" s="7"/>
      <c r="D305" s="7"/>
      <c r="E305" s="7"/>
    </row>
    <row r="306" ht="22.5" customHeight="1">
      <c r="A306" s="7"/>
      <c r="B306" s="7"/>
      <c r="C306" s="7"/>
      <c r="D306" s="7"/>
      <c r="E306" s="7"/>
    </row>
    <row r="307" ht="22.5" customHeight="1">
      <c r="A307" s="7"/>
      <c r="B307" s="7"/>
      <c r="C307" s="7"/>
      <c r="D307" s="7"/>
      <c r="E307" s="7"/>
    </row>
    <row r="308" ht="22.5" customHeight="1">
      <c r="A308" s="7"/>
      <c r="B308" s="7"/>
      <c r="C308" s="7"/>
      <c r="D308" s="7"/>
      <c r="E308" s="7"/>
    </row>
    <row r="309" ht="22.5" customHeight="1">
      <c r="A309" s="7"/>
      <c r="B309" s="7"/>
      <c r="C309" s="7"/>
      <c r="D309" s="7"/>
      <c r="E309" s="7"/>
    </row>
    <row r="310" ht="22.5" customHeight="1">
      <c r="A310" s="7"/>
      <c r="B310" s="7"/>
      <c r="C310" s="7"/>
      <c r="D310" s="7"/>
      <c r="E310" s="7"/>
    </row>
    <row r="311" ht="22.5" customHeight="1">
      <c r="A311" s="7"/>
      <c r="B311" s="7"/>
      <c r="C311" s="7"/>
      <c r="D311" s="7"/>
      <c r="E311" s="7"/>
    </row>
    <row r="312" ht="22.5" customHeight="1">
      <c r="A312" s="7"/>
      <c r="B312" s="7"/>
      <c r="C312" s="7"/>
      <c r="D312" s="7"/>
      <c r="E312" s="7"/>
    </row>
    <row r="313" ht="22.5" customHeight="1">
      <c r="A313" s="7"/>
      <c r="B313" s="7"/>
      <c r="C313" s="7"/>
      <c r="D313" s="7"/>
      <c r="E313" s="7"/>
    </row>
    <row r="314" ht="22.5" customHeight="1">
      <c r="A314" s="7"/>
      <c r="B314" s="7"/>
      <c r="C314" s="7"/>
      <c r="D314" s="7"/>
      <c r="E314" s="7"/>
    </row>
    <row r="315" ht="22.5" customHeight="1">
      <c r="A315" s="7"/>
      <c r="B315" s="7"/>
      <c r="C315" s="7"/>
      <c r="D315" s="7"/>
      <c r="E315" s="7"/>
    </row>
    <row r="316" ht="22.5" customHeight="1">
      <c r="A316" s="7"/>
      <c r="B316" s="7"/>
      <c r="C316" s="7"/>
      <c r="D316" s="7"/>
      <c r="E316" s="7"/>
    </row>
    <row r="317" ht="22.5" customHeight="1">
      <c r="A317" s="7"/>
      <c r="B317" s="7"/>
      <c r="C317" s="7"/>
      <c r="D317" s="7"/>
      <c r="E317" s="7"/>
    </row>
    <row r="318" ht="22.5" customHeight="1">
      <c r="A318" s="7"/>
      <c r="B318" s="7"/>
      <c r="C318" s="7"/>
      <c r="D318" s="7"/>
      <c r="E318" s="7"/>
    </row>
    <row r="319" ht="22.5" customHeight="1">
      <c r="A319" s="7"/>
      <c r="B319" s="7"/>
      <c r="C319" s="7"/>
      <c r="D319" s="7"/>
      <c r="E319" s="7"/>
    </row>
    <row r="320" ht="22.5" customHeight="1">
      <c r="A320" s="7"/>
      <c r="B320" s="7"/>
      <c r="C320" s="7"/>
      <c r="D320" s="7"/>
      <c r="E320" s="7"/>
    </row>
    <row r="321" ht="22.5" customHeight="1">
      <c r="A321" s="7"/>
      <c r="B321" s="7"/>
      <c r="C321" s="7"/>
      <c r="D321" s="7"/>
      <c r="E321" s="7"/>
    </row>
    <row r="322" ht="22.5" customHeight="1">
      <c r="A322" s="7"/>
      <c r="B322" s="7"/>
      <c r="C322" s="7"/>
      <c r="D322" s="7"/>
      <c r="E322" s="7"/>
    </row>
    <row r="323" ht="22.5" customHeight="1">
      <c r="A323" s="7"/>
      <c r="B323" s="7"/>
      <c r="C323" s="7"/>
      <c r="D323" s="7"/>
      <c r="E323" s="7"/>
    </row>
    <row r="324" ht="22.5" customHeight="1">
      <c r="A324" s="7"/>
      <c r="B324" s="7"/>
      <c r="C324" s="7"/>
      <c r="D324" s="7"/>
      <c r="E324" s="7"/>
    </row>
    <row r="325" ht="22.5" customHeight="1">
      <c r="A325" s="7"/>
      <c r="B325" s="7"/>
      <c r="C325" s="7"/>
      <c r="D325" s="7"/>
      <c r="E325" s="7"/>
    </row>
    <row r="326" ht="22.5" customHeight="1">
      <c r="A326" s="7"/>
      <c r="B326" s="7"/>
      <c r="C326" s="7"/>
      <c r="D326" s="7"/>
      <c r="E326" s="7"/>
    </row>
    <row r="327" ht="22.5" customHeight="1">
      <c r="A327" s="7"/>
      <c r="B327" s="7"/>
      <c r="C327" s="7"/>
      <c r="D327" s="7"/>
      <c r="E327" s="7"/>
    </row>
    <row r="328" ht="22.5" customHeight="1">
      <c r="A328" s="7"/>
      <c r="B328" s="7"/>
      <c r="C328" s="7"/>
      <c r="D328" s="7"/>
      <c r="E328" s="7"/>
    </row>
    <row r="329" ht="22.5" customHeight="1">
      <c r="A329" s="7"/>
      <c r="B329" s="7"/>
      <c r="C329" s="7"/>
      <c r="D329" s="7"/>
      <c r="E329" s="7"/>
    </row>
    <row r="330" ht="22.5" customHeight="1">
      <c r="A330" s="7"/>
      <c r="B330" s="7"/>
      <c r="C330" s="7"/>
      <c r="D330" s="7"/>
      <c r="E330" s="7"/>
    </row>
    <row r="331" ht="22.5" customHeight="1">
      <c r="A331" s="7"/>
      <c r="B331" s="7"/>
      <c r="C331" s="7"/>
      <c r="D331" s="7"/>
      <c r="E331" s="7"/>
    </row>
    <row r="332" ht="22.5" customHeight="1">
      <c r="A332" s="7"/>
      <c r="B332" s="7"/>
      <c r="C332" s="7"/>
      <c r="D332" s="7"/>
      <c r="E332" s="7"/>
    </row>
    <row r="333" ht="22.5" customHeight="1">
      <c r="A333" s="7"/>
      <c r="B333" s="7"/>
      <c r="C333" s="7"/>
      <c r="D333" s="7"/>
      <c r="E333" s="7"/>
    </row>
    <row r="334" ht="22.5" customHeight="1">
      <c r="A334" s="7"/>
      <c r="B334" s="7"/>
      <c r="C334" s="7"/>
      <c r="D334" s="7"/>
      <c r="E334" s="7"/>
    </row>
    <row r="335" ht="22.5" customHeight="1">
      <c r="A335" s="7"/>
      <c r="B335" s="7"/>
      <c r="C335" s="7"/>
      <c r="D335" s="7"/>
      <c r="E335" s="7"/>
    </row>
    <row r="336" ht="22.5" customHeight="1">
      <c r="A336" s="7"/>
      <c r="B336" s="7"/>
      <c r="C336" s="7"/>
      <c r="D336" s="7"/>
      <c r="E336" s="7"/>
    </row>
    <row r="337" ht="22.5" customHeight="1">
      <c r="A337" s="7"/>
      <c r="B337" s="7"/>
      <c r="C337" s="7"/>
      <c r="D337" s="7"/>
      <c r="E337" s="7"/>
    </row>
    <row r="338" ht="22.5" customHeight="1">
      <c r="A338" s="7"/>
      <c r="B338" s="7"/>
      <c r="C338" s="7"/>
      <c r="D338" s="7"/>
      <c r="E338" s="7"/>
    </row>
    <row r="339" ht="22.5" customHeight="1">
      <c r="A339" s="7"/>
      <c r="B339" s="7"/>
      <c r="C339" s="7"/>
      <c r="D339" s="7"/>
      <c r="E339" s="7"/>
    </row>
    <row r="340" ht="22.5" customHeight="1">
      <c r="A340" s="7"/>
      <c r="B340" s="7"/>
      <c r="C340" s="7"/>
      <c r="D340" s="7"/>
      <c r="E340" s="7"/>
    </row>
    <row r="341" ht="22.5" customHeight="1">
      <c r="A341" s="7"/>
      <c r="B341" s="7"/>
      <c r="C341" s="7"/>
      <c r="D341" s="7"/>
      <c r="E341" s="7"/>
    </row>
    <row r="342" ht="22.5" customHeight="1">
      <c r="A342" s="7"/>
      <c r="B342" s="7"/>
      <c r="C342" s="7"/>
      <c r="D342" s="7"/>
      <c r="E342" s="7"/>
    </row>
    <row r="343" ht="22.5" customHeight="1">
      <c r="A343" s="7"/>
      <c r="B343" s="7"/>
      <c r="C343" s="7"/>
      <c r="D343" s="7"/>
      <c r="E343" s="7"/>
    </row>
    <row r="344" ht="22.5" customHeight="1">
      <c r="A344" s="7"/>
      <c r="B344" s="7"/>
      <c r="C344" s="7"/>
      <c r="D344" s="7"/>
      <c r="E344" s="7"/>
    </row>
    <row r="345" ht="22.5" customHeight="1">
      <c r="A345" s="7"/>
      <c r="B345" s="7"/>
      <c r="C345" s="7"/>
      <c r="D345" s="7"/>
      <c r="E345" s="7"/>
    </row>
    <row r="346" ht="22.5" customHeight="1">
      <c r="A346" s="7"/>
      <c r="B346" s="7"/>
      <c r="C346" s="7"/>
      <c r="D346" s="7"/>
      <c r="E346" s="7"/>
    </row>
    <row r="347" ht="22.5" customHeight="1">
      <c r="A347" s="7"/>
      <c r="B347" s="7"/>
      <c r="C347" s="7"/>
      <c r="D347" s="7"/>
      <c r="E347" s="7"/>
    </row>
    <row r="348" ht="22.5" customHeight="1">
      <c r="A348" s="7"/>
      <c r="B348" s="7"/>
      <c r="C348" s="7"/>
      <c r="D348" s="7"/>
      <c r="E348" s="7"/>
    </row>
    <row r="349" ht="22.5" customHeight="1">
      <c r="A349" s="7"/>
      <c r="B349" s="7"/>
      <c r="C349" s="7"/>
      <c r="D349" s="7"/>
      <c r="E349" s="7"/>
    </row>
    <row r="350" ht="22.5" customHeight="1">
      <c r="A350" s="7"/>
      <c r="B350" s="7"/>
      <c r="C350" s="7"/>
      <c r="D350" s="7"/>
      <c r="E350" s="7"/>
    </row>
    <row r="351" ht="22.5" customHeight="1">
      <c r="A351" s="7"/>
      <c r="B351" s="7"/>
      <c r="C351" s="7"/>
      <c r="D351" s="7"/>
      <c r="E351" s="7"/>
    </row>
    <row r="352" ht="22.5" customHeight="1">
      <c r="A352" s="7"/>
      <c r="B352" s="7"/>
      <c r="C352" s="7"/>
      <c r="D352" s="7"/>
      <c r="E352" s="7"/>
    </row>
    <row r="353" ht="22.5" customHeight="1">
      <c r="A353" s="7"/>
      <c r="B353" s="7"/>
      <c r="C353" s="7"/>
      <c r="D353" s="7"/>
      <c r="E353" s="7"/>
    </row>
    <row r="354" ht="22.5" customHeight="1">
      <c r="A354" s="7"/>
      <c r="B354" s="7"/>
      <c r="C354" s="7"/>
      <c r="D354" s="7"/>
      <c r="E354" s="7"/>
    </row>
    <row r="355" ht="22.5" customHeight="1">
      <c r="A355" s="7"/>
      <c r="B355" s="7"/>
      <c r="C355" s="7"/>
      <c r="D355" s="7"/>
      <c r="E355" s="7"/>
    </row>
    <row r="356" ht="22.5" customHeight="1">
      <c r="A356" s="7"/>
      <c r="B356" s="7"/>
      <c r="C356" s="7"/>
      <c r="D356" s="7"/>
      <c r="E356" s="7"/>
    </row>
    <row r="357" ht="22.5" customHeight="1">
      <c r="A357" s="7"/>
      <c r="B357" s="7"/>
      <c r="C357" s="7"/>
      <c r="D357" s="7"/>
      <c r="E357" s="7"/>
    </row>
    <row r="358" ht="22.5" customHeight="1">
      <c r="A358" s="7"/>
      <c r="B358" s="7"/>
      <c r="C358" s="7"/>
      <c r="D358" s="7"/>
      <c r="E358" s="7"/>
    </row>
    <row r="359" ht="22.5" customHeight="1">
      <c r="A359" s="7"/>
      <c r="B359" s="7"/>
      <c r="C359" s="7"/>
      <c r="D359" s="7"/>
      <c r="E359" s="7"/>
    </row>
    <row r="360" ht="22.5" customHeight="1">
      <c r="A360" s="7"/>
      <c r="B360" s="7"/>
      <c r="C360" s="7"/>
      <c r="D360" s="7"/>
      <c r="E360" s="7"/>
    </row>
    <row r="361" ht="22.5" customHeight="1">
      <c r="A361" s="7"/>
      <c r="B361" s="7"/>
      <c r="C361" s="7"/>
      <c r="D361" s="7"/>
      <c r="E361" s="7"/>
    </row>
    <row r="362" ht="22.5" customHeight="1">
      <c r="A362" s="7"/>
      <c r="B362" s="7"/>
      <c r="C362" s="7"/>
      <c r="D362" s="7"/>
      <c r="E362" s="7"/>
    </row>
    <row r="363" ht="22.5" customHeight="1">
      <c r="A363" s="7"/>
      <c r="B363" s="7"/>
      <c r="C363" s="7"/>
      <c r="D363" s="7"/>
      <c r="E363" s="7"/>
    </row>
    <row r="364" ht="22.5" customHeight="1">
      <c r="A364" s="7"/>
      <c r="B364" s="7"/>
      <c r="C364" s="7"/>
      <c r="D364" s="7"/>
      <c r="E364" s="7"/>
    </row>
    <row r="365" ht="22.5" customHeight="1">
      <c r="A365" s="7"/>
      <c r="B365" s="7"/>
      <c r="C365" s="7"/>
      <c r="D365" s="7"/>
      <c r="E365" s="7"/>
    </row>
    <row r="366" ht="22.5" customHeight="1">
      <c r="A366" s="7"/>
      <c r="B366" s="7"/>
      <c r="C366" s="7"/>
      <c r="D366" s="7"/>
      <c r="E366" s="7"/>
    </row>
    <row r="367" ht="22.5" customHeight="1">
      <c r="A367" s="7"/>
      <c r="B367" s="7"/>
      <c r="C367" s="7"/>
      <c r="D367" s="7"/>
      <c r="E367" s="7"/>
    </row>
    <row r="368" ht="22.5" customHeight="1">
      <c r="A368" s="7"/>
      <c r="B368" s="7"/>
      <c r="C368" s="7"/>
      <c r="D368" s="7"/>
      <c r="E368" s="7"/>
    </row>
    <row r="369" ht="22.5" customHeight="1">
      <c r="A369" s="7"/>
      <c r="B369" s="7"/>
      <c r="C369" s="7"/>
      <c r="D369" s="7"/>
      <c r="E369" s="7"/>
    </row>
    <row r="370" ht="22.5" customHeight="1">
      <c r="A370" s="7"/>
      <c r="B370" s="7"/>
      <c r="C370" s="7"/>
      <c r="D370" s="7"/>
      <c r="E370" s="7"/>
    </row>
    <row r="371" ht="22.5" customHeight="1">
      <c r="A371" s="7"/>
      <c r="B371" s="7"/>
      <c r="C371" s="7"/>
      <c r="D371" s="7"/>
      <c r="E371" s="7"/>
    </row>
    <row r="372" ht="22.5" customHeight="1">
      <c r="A372" s="7"/>
      <c r="B372" s="7"/>
      <c r="C372" s="7"/>
      <c r="D372" s="7"/>
      <c r="E372" s="7"/>
    </row>
    <row r="373" ht="22.5" customHeight="1">
      <c r="A373" s="7"/>
      <c r="B373" s="7"/>
      <c r="C373" s="7"/>
      <c r="D373" s="7"/>
      <c r="E373" s="7"/>
    </row>
    <row r="374" ht="22.5" customHeight="1">
      <c r="A374" s="7"/>
      <c r="B374" s="7"/>
      <c r="C374" s="7"/>
      <c r="D374" s="7"/>
      <c r="E374" s="7"/>
    </row>
    <row r="375" ht="22.5" customHeight="1">
      <c r="A375" s="7"/>
      <c r="B375" s="7"/>
      <c r="C375" s="7"/>
      <c r="D375" s="7"/>
      <c r="E375" s="7"/>
    </row>
    <row r="376" ht="22.5" customHeight="1">
      <c r="A376" s="7"/>
      <c r="B376" s="7"/>
      <c r="C376" s="7"/>
      <c r="D376" s="7"/>
      <c r="E376" s="7"/>
    </row>
    <row r="377" ht="22.5" customHeight="1">
      <c r="A377" s="7"/>
      <c r="B377" s="7"/>
      <c r="C377" s="7"/>
      <c r="D377" s="7"/>
      <c r="E377" s="7"/>
    </row>
    <row r="378" ht="22.5" customHeight="1">
      <c r="A378" s="7"/>
      <c r="B378" s="7"/>
      <c r="C378" s="7"/>
      <c r="D378" s="7"/>
      <c r="E378" s="7"/>
    </row>
    <row r="379" ht="22.5" customHeight="1">
      <c r="A379" s="7"/>
      <c r="B379" s="7"/>
      <c r="C379" s="7"/>
      <c r="D379" s="7"/>
      <c r="E379" s="7"/>
    </row>
    <row r="380" ht="22.5" customHeight="1">
      <c r="A380" s="7"/>
      <c r="B380" s="7"/>
      <c r="C380" s="7"/>
      <c r="D380" s="7"/>
      <c r="E380" s="7"/>
    </row>
    <row r="381" ht="22.5" customHeight="1">
      <c r="A381" s="7"/>
      <c r="B381" s="7"/>
      <c r="C381" s="7"/>
      <c r="D381" s="7"/>
      <c r="E381" s="7"/>
    </row>
    <row r="382" ht="22.5" customHeight="1">
      <c r="A382" s="7"/>
      <c r="B382" s="7"/>
      <c r="C382" s="7"/>
      <c r="D382" s="7"/>
      <c r="E382" s="7"/>
    </row>
    <row r="383" ht="22.5" customHeight="1">
      <c r="A383" s="7"/>
      <c r="B383" s="7"/>
      <c r="C383" s="7"/>
      <c r="D383" s="7"/>
      <c r="E383" s="7"/>
    </row>
    <row r="384" ht="22.5" customHeight="1">
      <c r="A384" s="7"/>
      <c r="B384" s="7"/>
      <c r="C384" s="7"/>
      <c r="D384" s="7"/>
      <c r="E384" s="7"/>
    </row>
    <row r="385" ht="22.5" customHeight="1">
      <c r="A385" s="7"/>
      <c r="B385" s="7"/>
      <c r="C385" s="7"/>
      <c r="D385" s="7"/>
      <c r="E385" s="7"/>
    </row>
    <row r="386" ht="22.5" customHeight="1">
      <c r="A386" s="7"/>
      <c r="B386" s="7"/>
      <c r="C386" s="7"/>
      <c r="D386" s="7"/>
      <c r="E386" s="7"/>
    </row>
    <row r="387" ht="22.5" customHeight="1">
      <c r="A387" s="7"/>
      <c r="B387" s="7"/>
      <c r="C387" s="7"/>
      <c r="D387" s="7"/>
      <c r="E387" s="7"/>
    </row>
    <row r="388" ht="22.5" customHeight="1">
      <c r="A388" s="7"/>
      <c r="B388" s="7"/>
      <c r="C388" s="7"/>
      <c r="D388" s="7"/>
      <c r="E388" s="7"/>
    </row>
    <row r="389" ht="22.5" customHeight="1">
      <c r="A389" s="7"/>
      <c r="B389" s="7"/>
      <c r="C389" s="7"/>
      <c r="D389" s="7"/>
      <c r="E389" s="7"/>
    </row>
    <row r="390" ht="22.5" customHeight="1">
      <c r="A390" s="7"/>
      <c r="B390" s="7"/>
      <c r="C390" s="7"/>
      <c r="D390" s="7"/>
      <c r="E390" s="7"/>
    </row>
    <row r="391" ht="22.5" customHeight="1">
      <c r="A391" s="7"/>
      <c r="B391" s="7"/>
      <c r="C391" s="7"/>
      <c r="D391" s="7"/>
      <c r="E391" s="7"/>
    </row>
    <row r="392" ht="22.5" customHeight="1">
      <c r="A392" s="7"/>
      <c r="B392" s="7"/>
      <c r="C392" s="7"/>
      <c r="D392" s="7"/>
      <c r="E392" s="7"/>
    </row>
    <row r="393" ht="22.5" customHeight="1">
      <c r="A393" s="7"/>
      <c r="B393" s="7"/>
      <c r="C393" s="7"/>
      <c r="D393" s="7"/>
      <c r="E393" s="7"/>
    </row>
    <row r="394" ht="22.5" customHeight="1">
      <c r="A394" s="7"/>
      <c r="B394" s="7"/>
      <c r="C394" s="7"/>
      <c r="D394" s="7"/>
      <c r="E394" s="7"/>
    </row>
    <row r="395" ht="22.5" customHeight="1">
      <c r="A395" s="7"/>
      <c r="B395" s="7"/>
      <c r="C395" s="7"/>
      <c r="D395" s="7"/>
      <c r="E395" s="7"/>
    </row>
    <row r="396" ht="22.5" customHeight="1">
      <c r="A396" s="7"/>
      <c r="B396" s="7"/>
      <c r="C396" s="7"/>
      <c r="D396" s="7"/>
      <c r="E396" s="7"/>
    </row>
    <row r="397" ht="22.5" customHeight="1">
      <c r="A397" s="7"/>
      <c r="B397" s="7"/>
      <c r="C397" s="7"/>
      <c r="D397" s="7"/>
      <c r="E397" s="7"/>
    </row>
    <row r="398" ht="22.5" customHeight="1">
      <c r="A398" s="7"/>
      <c r="B398" s="7"/>
      <c r="C398" s="7"/>
      <c r="D398" s="7"/>
      <c r="E398" s="7"/>
    </row>
    <row r="399" ht="22.5" customHeight="1">
      <c r="A399" s="7"/>
      <c r="B399" s="7"/>
      <c r="C399" s="7"/>
      <c r="D399" s="7"/>
      <c r="E399" s="7"/>
    </row>
    <row r="400" ht="22.5" customHeight="1">
      <c r="A400" s="7"/>
      <c r="B400" s="7"/>
      <c r="C400" s="7"/>
      <c r="D400" s="7"/>
      <c r="E400" s="7"/>
    </row>
    <row r="401" ht="22.5" customHeight="1">
      <c r="A401" s="7"/>
      <c r="B401" s="7"/>
      <c r="C401" s="7"/>
      <c r="D401" s="7"/>
      <c r="E401" s="7"/>
    </row>
    <row r="402" ht="22.5" customHeight="1">
      <c r="A402" s="7"/>
      <c r="B402" s="7"/>
      <c r="C402" s="7"/>
      <c r="D402" s="7"/>
      <c r="E402" s="7"/>
    </row>
    <row r="403" ht="22.5" customHeight="1">
      <c r="A403" s="7"/>
      <c r="B403" s="7"/>
      <c r="C403" s="7"/>
      <c r="D403" s="7"/>
      <c r="E403" s="7"/>
    </row>
    <row r="404" ht="22.5" customHeight="1">
      <c r="A404" s="7"/>
      <c r="B404" s="7"/>
      <c r="C404" s="7"/>
      <c r="D404" s="7"/>
      <c r="E404" s="7"/>
    </row>
    <row r="405" ht="22.5" customHeight="1">
      <c r="A405" s="7"/>
      <c r="B405" s="7"/>
      <c r="C405" s="7"/>
      <c r="D405" s="7"/>
      <c r="E405" s="7"/>
    </row>
    <row r="406" ht="22.5" customHeight="1">
      <c r="A406" s="7"/>
      <c r="B406" s="7"/>
      <c r="C406" s="7"/>
      <c r="D406" s="7"/>
      <c r="E406" s="7"/>
    </row>
    <row r="407" ht="22.5" customHeight="1">
      <c r="A407" s="7"/>
      <c r="B407" s="7"/>
      <c r="C407" s="7"/>
      <c r="D407" s="7"/>
      <c r="E407" s="7"/>
    </row>
    <row r="408" ht="22.5" customHeight="1">
      <c r="A408" s="7"/>
      <c r="B408" s="7"/>
      <c r="C408" s="7"/>
      <c r="D408" s="7"/>
      <c r="E408" s="7"/>
    </row>
    <row r="409" ht="22.5" customHeight="1">
      <c r="A409" s="7"/>
      <c r="B409" s="7"/>
      <c r="C409" s="7"/>
      <c r="D409" s="7"/>
      <c r="E409" s="7"/>
    </row>
    <row r="410" ht="22.5" customHeight="1">
      <c r="A410" s="7"/>
      <c r="B410" s="7"/>
      <c r="C410" s="7"/>
      <c r="D410" s="7"/>
      <c r="E410" s="7"/>
    </row>
    <row r="411" ht="22.5" customHeight="1">
      <c r="A411" s="7"/>
      <c r="B411" s="7"/>
      <c r="C411" s="7"/>
      <c r="D411" s="7"/>
      <c r="E411" s="7"/>
    </row>
    <row r="412" ht="22.5" customHeight="1">
      <c r="A412" s="7"/>
      <c r="B412" s="7"/>
      <c r="C412" s="7"/>
      <c r="D412" s="7"/>
      <c r="E412" s="7"/>
    </row>
    <row r="413" ht="22.5" customHeight="1">
      <c r="A413" s="7"/>
      <c r="B413" s="7"/>
      <c r="C413" s="7"/>
      <c r="D413" s="7"/>
      <c r="E413" s="7"/>
    </row>
    <row r="414" ht="22.5" customHeight="1">
      <c r="A414" s="7"/>
      <c r="B414" s="7"/>
      <c r="C414" s="7"/>
      <c r="D414" s="7"/>
      <c r="E414" s="7"/>
    </row>
    <row r="415" ht="22.5" customHeight="1">
      <c r="A415" s="7"/>
      <c r="B415" s="7"/>
      <c r="C415" s="7"/>
      <c r="D415" s="7"/>
      <c r="E415" s="7"/>
    </row>
    <row r="416" ht="22.5" customHeight="1">
      <c r="A416" s="7"/>
      <c r="B416" s="7"/>
      <c r="C416" s="7"/>
      <c r="D416" s="7"/>
      <c r="E416" s="7"/>
    </row>
    <row r="417" ht="22.5" customHeight="1">
      <c r="A417" s="7"/>
      <c r="B417" s="7"/>
      <c r="C417" s="7"/>
      <c r="D417" s="7"/>
      <c r="E417" s="7"/>
    </row>
    <row r="418" ht="22.5" customHeight="1">
      <c r="A418" s="7"/>
      <c r="B418" s="7"/>
      <c r="C418" s="7"/>
      <c r="D418" s="7"/>
      <c r="E418" s="7"/>
    </row>
    <row r="419" ht="22.5" customHeight="1">
      <c r="A419" s="7"/>
      <c r="B419" s="7"/>
      <c r="C419" s="7"/>
      <c r="D419" s="7"/>
      <c r="E419" s="7"/>
    </row>
    <row r="420" ht="22.5" customHeight="1">
      <c r="A420" s="7"/>
      <c r="B420" s="7"/>
      <c r="C420" s="7"/>
      <c r="D420" s="7"/>
      <c r="E420" s="7"/>
    </row>
    <row r="421" ht="22.5" customHeight="1">
      <c r="A421" s="7"/>
      <c r="B421" s="7"/>
      <c r="C421" s="7"/>
      <c r="D421" s="7"/>
      <c r="E421" s="7"/>
    </row>
    <row r="422" ht="22.5" customHeight="1">
      <c r="A422" s="7"/>
      <c r="B422" s="7"/>
      <c r="C422" s="7"/>
      <c r="D422" s="7"/>
      <c r="E422" s="7"/>
    </row>
    <row r="423" ht="22.5" customHeight="1">
      <c r="A423" s="7"/>
      <c r="B423" s="7"/>
      <c r="C423" s="7"/>
      <c r="D423" s="7"/>
      <c r="E423" s="7"/>
    </row>
    <row r="424" ht="22.5" customHeight="1">
      <c r="A424" s="7"/>
      <c r="B424" s="7"/>
      <c r="C424" s="7"/>
      <c r="D424" s="7"/>
      <c r="E424" s="7"/>
    </row>
    <row r="425" ht="22.5" customHeight="1">
      <c r="A425" s="7"/>
      <c r="B425" s="7"/>
      <c r="C425" s="7"/>
      <c r="D425" s="7"/>
      <c r="E425" s="7"/>
    </row>
    <row r="426" ht="22.5" customHeight="1">
      <c r="A426" s="7"/>
      <c r="B426" s="7"/>
      <c r="C426" s="7"/>
      <c r="D426" s="7"/>
      <c r="E426" s="7"/>
    </row>
    <row r="427" ht="22.5" customHeight="1">
      <c r="A427" s="7"/>
      <c r="B427" s="7"/>
      <c r="C427" s="7"/>
      <c r="D427" s="7"/>
      <c r="E427" s="7"/>
    </row>
    <row r="428" ht="22.5" customHeight="1">
      <c r="A428" s="7"/>
      <c r="B428" s="7"/>
      <c r="C428" s="7"/>
      <c r="D428" s="7"/>
      <c r="E428" s="7"/>
    </row>
    <row r="429" ht="22.5" customHeight="1">
      <c r="A429" s="7"/>
      <c r="B429" s="7"/>
      <c r="C429" s="7"/>
      <c r="D429" s="7"/>
      <c r="E429" s="7"/>
    </row>
    <row r="430" ht="22.5" customHeight="1">
      <c r="A430" s="7"/>
      <c r="B430" s="7"/>
      <c r="C430" s="7"/>
      <c r="D430" s="7"/>
      <c r="E430" s="7"/>
    </row>
    <row r="431" ht="22.5" customHeight="1">
      <c r="A431" s="7"/>
      <c r="B431" s="7"/>
      <c r="C431" s="7"/>
      <c r="D431" s="7"/>
      <c r="E431" s="7"/>
    </row>
    <row r="432" ht="22.5" customHeight="1">
      <c r="A432" s="7"/>
      <c r="B432" s="7"/>
      <c r="C432" s="7"/>
      <c r="D432" s="7"/>
      <c r="E432" s="7"/>
    </row>
    <row r="433" ht="22.5" customHeight="1">
      <c r="A433" s="7"/>
      <c r="B433" s="7"/>
      <c r="C433" s="7"/>
      <c r="D433" s="7"/>
      <c r="E433" s="7"/>
    </row>
    <row r="434" ht="22.5" customHeight="1">
      <c r="A434" s="7"/>
      <c r="B434" s="7"/>
      <c r="C434" s="7"/>
      <c r="D434" s="7"/>
      <c r="E434" s="7"/>
    </row>
    <row r="435" ht="22.5" customHeight="1">
      <c r="A435" s="7"/>
      <c r="B435" s="7"/>
      <c r="C435" s="7"/>
      <c r="D435" s="7"/>
      <c r="E435" s="7"/>
    </row>
    <row r="436" ht="22.5" customHeight="1">
      <c r="A436" s="7"/>
      <c r="B436" s="7"/>
      <c r="C436" s="7"/>
      <c r="D436" s="7"/>
      <c r="E436" s="7"/>
    </row>
    <row r="437" ht="22.5" customHeight="1">
      <c r="A437" s="7"/>
      <c r="B437" s="7"/>
      <c r="C437" s="7"/>
      <c r="D437" s="7"/>
      <c r="E437" s="7"/>
    </row>
    <row r="438" ht="22.5" customHeight="1">
      <c r="A438" s="7"/>
      <c r="B438" s="7"/>
      <c r="C438" s="7"/>
      <c r="D438" s="7"/>
      <c r="E438" s="7"/>
    </row>
    <row r="439" ht="22.5" customHeight="1">
      <c r="A439" s="7"/>
      <c r="B439" s="7"/>
      <c r="C439" s="7"/>
      <c r="D439" s="7"/>
      <c r="E439" s="7"/>
    </row>
    <row r="440" ht="22.5" customHeight="1">
      <c r="A440" s="7"/>
      <c r="B440" s="7"/>
      <c r="C440" s="7"/>
      <c r="D440" s="7"/>
      <c r="E440" s="7"/>
    </row>
    <row r="441" ht="22.5" customHeight="1">
      <c r="A441" s="7"/>
      <c r="B441" s="7"/>
      <c r="C441" s="7"/>
      <c r="D441" s="7"/>
      <c r="E441" s="7"/>
    </row>
    <row r="442" ht="22.5" customHeight="1">
      <c r="A442" s="7"/>
      <c r="B442" s="7"/>
      <c r="C442" s="7"/>
      <c r="D442" s="7"/>
      <c r="E442" s="7"/>
    </row>
    <row r="443" ht="22.5" customHeight="1">
      <c r="A443" s="7"/>
      <c r="B443" s="7"/>
      <c r="C443" s="7"/>
      <c r="D443" s="7"/>
      <c r="E443" s="7"/>
    </row>
    <row r="444" ht="22.5" customHeight="1">
      <c r="A444" s="7"/>
      <c r="B444" s="7"/>
      <c r="C444" s="7"/>
      <c r="D444" s="7"/>
      <c r="E444" s="7"/>
    </row>
    <row r="445" ht="22.5" customHeight="1">
      <c r="A445" s="7"/>
      <c r="B445" s="7"/>
      <c r="C445" s="7"/>
      <c r="D445" s="7"/>
      <c r="E445" s="7"/>
    </row>
    <row r="446" ht="22.5" customHeight="1">
      <c r="A446" s="7"/>
      <c r="B446" s="7"/>
      <c r="C446" s="7"/>
      <c r="D446" s="7"/>
      <c r="E446" s="7"/>
    </row>
    <row r="447" ht="22.5" customHeight="1">
      <c r="A447" s="7"/>
      <c r="B447" s="7"/>
      <c r="C447" s="7"/>
      <c r="D447" s="7"/>
      <c r="E447" s="7"/>
    </row>
    <row r="448" ht="22.5" customHeight="1">
      <c r="A448" s="7"/>
      <c r="B448" s="7"/>
      <c r="C448" s="7"/>
      <c r="D448" s="7"/>
      <c r="E448" s="7"/>
    </row>
    <row r="449" ht="22.5" customHeight="1">
      <c r="A449" s="7"/>
      <c r="B449" s="7"/>
      <c r="C449" s="7"/>
      <c r="D449" s="7"/>
      <c r="E449" s="7"/>
    </row>
    <row r="450" ht="22.5" customHeight="1">
      <c r="A450" s="7"/>
      <c r="B450" s="7"/>
      <c r="C450" s="7"/>
      <c r="D450" s="7"/>
      <c r="E450" s="7"/>
    </row>
    <row r="451" ht="22.5" customHeight="1">
      <c r="A451" s="7"/>
      <c r="B451" s="7"/>
      <c r="C451" s="7"/>
      <c r="D451" s="7"/>
      <c r="E451" s="7"/>
    </row>
    <row r="452" ht="22.5" customHeight="1">
      <c r="A452" s="7"/>
      <c r="B452" s="7"/>
      <c r="C452" s="7"/>
      <c r="D452" s="7"/>
      <c r="E452" s="7"/>
    </row>
    <row r="453" ht="22.5" customHeight="1">
      <c r="A453" s="7"/>
      <c r="B453" s="7"/>
      <c r="C453" s="7"/>
      <c r="D453" s="7"/>
      <c r="E453" s="7"/>
    </row>
    <row r="454" ht="22.5" customHeight="1">
      <c r="A454" s="7"/>
      <c r="B454" s="7"/>
      <c r="C454" s="7"/>
      <c r="D454" s="7"/>
      <c r="E454" s="7"/>
    </row>
    <row r="455" ht="22.5" customHeight="1">
      <c r="A455" s="7"/>
      <c r="B455" s="7"/>
      <c r="C455" s="7"/>
      <c r="D455" s="7"/>
      <c r="E455" s="7"/>
    </row>
    <row r="456" ht="22.5" customHeight="1">
      <c r="A456" s="7"/>
      <c r="B456" s="7"/>
      <c r="C456" s="7"/>
      <c r="D456" s="7"/>
      <c r="E456" s="7"/>
    </row>
    <row r="457" ht="22.5" customHeight="1">
      <c r="A457" s="7"/>
      <c r="B457" s="7"/>
      <c r="C457" s="7"/>
      <c r="D457" s="7"/>
      <c r="E457" s="7"/>
    </row>
    <row r="458" ht="22.5" customHeight="1">
      <c r="A458" s="7"/>
      <c r="B458" s="7"/>
      <c r="C458" s="7"/>
      <c r="D458" s="7"/>
      <c r="E458" s="7"/>
    </row>
    <row r="459" ht="22.5" customHeight="1">
      <c r="A459" s="7"/>
      <c r="B459" s="7"/>
      <c r="C459" s="7"/>
      <c r="D459" s="7"/>
      <c r="E459" s="7"/>
    </row>
    <row r="460" ht="22.5" customHeight="1">
      <c r="A460" s="7"/>
      <c r="B460" s="7"/>
      <c r="C460" s="7"/>
      <c r="D460" s="7"/>
      <c r="E460" s="7"/>
    </row>
    <row r="461" ht="22.5" customHeight="1">
      <c r="A461" s="7"/>
      <c r="B461" s="7"/>
      <c r="C461" s="7"/>
      <c r="D461" s="7"/>
      <c r="E461" s="7"/>
    </row>
    <row r="462" ht="22.5" customHeight="1">
      <c r="A462" s="7"/>
      <c r="B462" s="7"/>
      <c r="C462" s="7"/>
      <c r="D462" s="7"/>
      <c r="E462" s="7"/>
    </row>
    <row r="463" ht="22.5" customHeight="1">
      <c r="A463" s="7"/>
      <c r="B463" s="7"/>
      <c r="C463" s="7"/>
      <c r="D463" s="7"/>
      <c r="E463" s="7"/>
    </row>
    <row r="464" ht="22.5" customHeight="1">
      <c r="A464" s="7"/>
      <c r="B464" s="7"/>
      <c r="C464" s="7"/>
      <c r="D464" s="7"/>
      <c r="E464" s="7"/>
    </row>
    <row r="465" ht="22.5" customHeight="1">
      <c r="A465" s="7"/>
      <c r="B465" s="7"/>
      <c r="C465" s="7"/>
      <c r="D465" s="7"/>
      <c r="E465" s="7"/>
    </row>
    <row r="466" ht="22.5" customHeight="1">
      <c r="A466" s="7"/>
      <c r="B466" s="7"/>
      <c r="C466" s="7"/>
      <c r="D466" s="7"/>
      <c r="E466" s="7"/>
    </row>
    <row r="467" ht="22.5" customHeight="1">
      <c r="A467" s="7"/>
      <c r="B467" s="7"/>
      <c r="C467" s="7"/>
      <c r="D467" s="7"/>
      <c r="E467" s="7"/>
    </row>
    <row r="468" ht="22.5" customHeight="1">
      <c r="A468" s="7"/>
      <c r="B468" s="7"/>
      <c r="C468" s="7"/>
      <c r="D468" s="7"/>
      <c r="E468" s="7"/>
    </row>
    <row r="469" ht="22.5" customHeight="1">
      <c r="A469" s="7"/>
      <c r="B469" s="7"/>
      <c r="C469" s="7"/>
      <c r="D469" s="7"/>
      <c r="E469" s="7"/>
    </row>
    <row r="470" ht="22.5" customHeight="1">
      <c r="A470" s="7"/>
      <c r="B470" s="7"/>
      <c r="C470" s="7"/>
      <c r="D470" s="7"/>
      <c r="E470" s="7"/>
    </row>
    <row r="471" ht="22.5" customHeight="1">
      <c r="A471" s="7"/>
      <c r="B471" s="7"/>
      <c r="C471" s="7"/>
      <c r="D471" s="7"/>
      <c r="E471" s="7"/>
    </row>
    <row r="472" ht="22.5" customHeight="1">
      <c r="A472" s="7"/>
      <c r="B472" s="7"/>
      <c r="C472" s="7"/>
      <c r="D472" s="7"/>
      <c r="E472" s="7"/>
    </row>
    <row r="473" ht="22.5" customHeight="1">
      <c r="A473" s="7"/>
      <c r="B473" s="7"/>
      <c r="C473" s="7"/>
      <c r="D473" s="7"/>
      <c r="E473" s="7"/>
    </row>
    <row r="474" ht="22.5" customHeight="1">
      <c r="A474" s="7"/>
      <c r="B474" s="7"/>
      <c r="C474" s="7"/>
      <c r="D474" s="7"/>
      <c r="E474" s="7"/>
    </row>
    <row r="475" ht="22.5" customHeight="1">
      <c r="A475" s="7"/>
      <c r="B475" s="7"/>
      <c r="C475" s="7"/>
      <c r="D475" s="7"/>
      <c r="E475" s="7"/>
    </row>
    <row r="476" ht="22.5" customHeight="1">
      <c r="A476" s="7"/>
      <c r="B476" s="7"/>
      <c r="C476" s="7"/>
      <c r="D476" s="7"/>
      <c r="E476" s="7"/>
    </row>
    <row r="477" ht="22.5" customHeight="1">
      <c r="A477" s="7"/>
      <c r="B477" s="7"/>
      <c r="C477" s="7"/>
      <c r="D477" s="7"/>
      <c r="E477" s="7"/>
    </row>
    <row r="478" ht="22.5" customHeight="1">
      <c r="A478" s="7"/>
      <c r="B478" s="7"/>
      <c r="C478" s="7"/>
      <c r="D478" s="7"/>
      <c r="E478" s="7"/>
    </row>
    <row r="479" ht="22.5" customHeight="1">
      <c r="A479" s="7"/>
      <c r="B479" s="7"/>
      <c r="C479" s="7"/>
      <c r="D479" s="7"/>
      <c r="E479" s="7"/>
    </row>
    <row r="480" ht="22.5" customHeight="1">
      <c r="A480" s="7"/>
      <c r="B480" s="7"/>
      <c r="C480" s="7"/>
      <c r="D480" s="7"/>
      <c r="E480" s="7"/>
    </row>
    <row r="481" ht="22.5" customHeight="1">
      <c r="A481" s="7"/>
      <c r="B481" s="7"/>
      <c r="C481" s="7"/>
      <c r="D481" s="7"/>
      <c r="E481" s="7"/>
    </row>
    <row r="482" ht="22.5" customHeight="1">
      <c r="A482" s="7"/>
      <c r="B482" s="7"/>
      <c r="C482" s="7"/>
      <c r="D482" s="7"/>
      <c r="E482" s="7"/>
    </row>
    <row r="483" ht="22.5" customHeight="1">
      <c r="A483" s="7"/>
      <c r="B483" s="7"/>
      <c r="C483" s="7"/>
      <c r="D483" s="7"/>
      <c r="E483" s="7"/>
    </row>
    <row r="484" ht="22.5" customHeight="1">
      <c r="A484" s="7"/>
      <c r="B484" s="7"/>
      <c r="C484" s="7"/>
      <c r="D484" s="7"/>
      <c r="E484" s="7"/>
    </row>
    <row r="485" ht="22.5" customHeight="1">
      <c r="A485" s="7"/>
      <c r="B485" s="7"/>
      <c r="C485" s="7"/>
      <c r="D485" s="7"/>
      <c r="E485" s="7"/>
    </row>
    <row r="486" ht="22.5" customHeight="1">
      <c r="A486" s="7"/>
      <c r="B486" s="7"/>
      <c r="C486" s="7"/>
      <c r="D486" s="7"/>
      <c r="E486" s="7"/>
    </row>
    <row r="487" ht="22.5" customHeight="1">
      <c r="A487" s="7"/>
      <c r="B487" s="7"/>
      <c r="C487" s="7"/>
      <c r="D487" s="7"/>
      <c r="E487" s="7"/>
    </row>
    <row r="488" ht="22.5" customHeight="1">
      <c r="A488" s="7"/>
      <c r="B488" s="7"/>
      <c r="C488" s="7"/>
      <c r="D488" s="7"/>
      <c r="E488" s="7"/>
    </row>
    <row r="489" ht="22.5" customHeight="1">
      <c r="A489" s="7"/>
      <c r="B489" s="7"/>
      <c r="C489" s="7"/>
      <c r="D489" s="7"/>
      <c r="E489" s="7"/>
    </row>
    <row r="490" ht="22.5" customHeight="1">
      <c r="A490" s="7"/>
      <c r="B490" s="7"/>
      <c r="C490" s="7"/>
      <c r="D490" s="7"/>
      <c r="E490" s="7"/>
    </row>
    <row r="491" ht="22.5" customHeight="1">
      <c r="A491" s="7"/>
      <c r="B491" s="7"/>
      <c r="C491" s="7"/>
      <c r="D491" s="7"/>
      <c r="E491" s="7"/>
    </row>
    <row r="492" ht="22.5" customHeight="1">
      <c r="A492" s="7"/>
      <c r="B492" s="7"/>
      <c r="C492" s="7"/>
      <c r="D492" s="7"/>
      <c r="E492" s="7"/>
    </row>
    <row r="493" ht="22.5" customHeight="1">
      <c r="A493" s="7"/>
      <c r="B493" s="7"/>
      <c r="C493" s="7"/>
      <c r="D493" s="7"/>
      <c r="E493" s="7"/>
    </row>
    <row r="494" ht="22.5" customHeight="1">
      <c r="A494" s="7"/>
      <c r="B494" s="7"/>
      <c r="C494" s="7"/>
      <c r="D494" s="7"/>
      <c r="E494" s="7"/>
    </row>
    <row r="495" ht="22.5" customHeight="1">
      <c r="A495" s="7"/>
      <c r="B495" s="7"/>
      <c r="C495" s="7"/>
      <c r="D495" s="7"/>
      <c r="E495" s="7"/>
    </row>
    <row r="496" ht="22.5" customHeight="1">
      <c r="A496" s="7"/>
      <c r="B496" s="7"/>
      <c r="C496" s="7"/>
      <c r="D496" s="7"/>
      <c r="E496" s="7"/>
    </row>
    <row r="497" ht="22.5" customHeight="1">
      <c r="A497" s="7"/>
      <c r="B497" s="7"/>
      <c r="C497" s="7"/>
      <c r="D497" s="7"/>
      <c r="E497" s="7"/>
    </row>
    <row r="498" ht="22.5" customHeight="1">
      <c r="A498" s="7"/>
      <c r="B498" s="7"/>
      <c r="C498" s="7"/>
      <c r="D498" s="7"/>
      <c r="E498" s="7"/>
    </row>
    <row r="499" ht="22.5" customHeight="1">
      <c r="A499" s="7"/>
      <c r="B499" s="7"/>
      <c r="C499" s="7"/>
      <c r="D499" s="7"/>
      <c r="E499" s="7"/>
    </row>
    <row r="500" ht="22.5" customHeight="1">
      <c r="A500" s="7"/>
      <c r="B500" s="7"/>
      <c r="C500" s="7"/>
      <c r="D500" s="7"/>
      <c r="E500" s="7"/>
    </row>
    <row r="501" ht="22.5" customHeight="1">
      <c r="A501" s="7"/>
      <c r="B501" s="7"/>
      <c r="C501" s="7"/>
      <c r="D501" s="7"/>
      <c r="E501" s="7"/>
    </row>
    <row r="502" ht="22.5" customHeight="1">
      <c r="A502" s="7"/>
      <c r="B502" s="7"/>
      <c r="C502" s="7"/>
      <c r="D502" s="7"/>
      <c r="E502" s="7"/>
    </row>
    <row r="503" ht="22.5" customHeight="1">
      <c r="A503" s="7"/>
      <c r="B503" s="7"/>
      <c r="C503" s="7"/>
      <c r="D503" s="7"/>
      <c r="E503" s="7"/>
    </row>
    <row r="504" ht="22.5" customHeight="1">
      <c r="A504" s="7"/>
      <c r="B504" s="7"/>
      <c r="C504" s="7"/>
      <c r="D504" s="7"/>
      <c r="E504" s="7"/>
    </row>
    <row r="505" ht="22.5" customHeight="1">
      <c r="A505" s="7"/>
      <c r="B505" s="7"/>
      <c r="C505" s="7"/>
      <c r="D505" s="7"/>
      <c r="E505" s="7"/>
    </row>
    <row r="506" ht="22.5" customHeight="1">
      <c r="A506" s="7"/>
      <c r="B506" s="7"/>
      <c r="C506" s="7"/>
      <c r="D506" s="7"/>
      <c r="E506" s="7"/>
    </row>
    <row r="507" ht="22.5" customHeight="1">
      <c r="A507" s="7"/>
      <c r="B507" s="7"/>
      <c r="C507" s="7"/>
      <c r="D507" s="7"/>
      <c r="E507" s="7"/>
    </row>
    <row r="508" ht="22.5" customHeight="1">
      <c r="A508" s="7"/>
      <c r="B508" s="7"/>
      <c r="C508" s="7"/>
      <c r="D508" s="7"/>
      <c r="E508" s="7"/>
    </row>
    <row r="509" ht="22.5" customHeight="1">
      <c r="A509" s="7"/>
      <c r="B509" s="7"/>
      <c r="C509" s="7"/>
      <c r="D509" s="7"/>
      <c r="E509" s="7"/>
    </row>
    <row r="510" ht="22.5" customHeight="1">
      <c r="A510" s="7"/>
      <c r="B510" s="7"/>
      <c r="C510" s="7"/>
      <c r="D510" s="7"/>
      <c r="E510" s="7"/>
    </row>
    <row r="511" ht="22.5" customHeight="1">
      <c r="A511" s="7"/>
      <c r="B511" s="7"/>
      <c r="C511" s="7"/>
      <c r="D511" s="7"/>
      <c r="E511" s="7"/>
    </row>
    <row r="512" ht="22.5" customHeight="1">
      <c r="A512" s="7"/>
      <c r="B512" s="7"/>
      <c r="C512" s="7"/>
      <c r="D512" s="7"/>
      <c r="E512" s="7"/>
    </row>
    <row r="513" ht="22.5" customHeight="1">
      <c r="A513" s="7"/>
      <c r="B513" s="7"/>
      <c r="C513" s="7"/>
      <c r="D513" s="7"/>
      <c r="E513" s="7"/>
    </row>
    <row r="514" ht="22.5" customHeight="1">
      <c r="A514" s="7"/>
      <c r="B514" s="7"/>
      <c r="C514" s="7"/>
      <c r="D514" s="7"/>
      <c r="E514" s="7"/>
    </row>
    <row r="515" ht="22.5" customHeight="1">
      <c r="A515" s="7"/>
      <c r="B515" s="7"/>
      <c r="C515" s="7"/>
      <c r="D515" s="7"/>
      <c r="E515" s="7"/>
    </row>
    <row r="516" ht="22.5" customHeight="1">
      <c r="A516" s="7"/>
      <c r="B516" s="7"/>
      <c r="C516" s="7"/>
      <c r="D516" s="7"/>
      <c r="E516" s="7"/>
    </row>
    <row r="517" ht="22.5" customHeight="1">
      <c r="A517" s="7"/>
      <c r="B517" s="7"/>
      <c r="C517" s="7"/>
      <c r="D517" s="7"/>
      <c r="E517" s="7"/>
    </row>
    <row r="518" ht="22.5" customHeight="1">
      <c r="A518" s="7"/>
      <c r="B518" s="7"/>
      <c r="C518" s="7"/>
      <c r="D518" s="7"/>
      <c r="E518" s="7"/>
    </row>
    <row r="519" ht="22.5" customHeight="1">
      <c r="A519" s="7"/>
      <c r="B519" s="7"/>
      <c r="C519" s="7"/>
      <c r="D519" s="7"/>
      <c r="E519" s="7"/>
    </row>
    <row r="520" ht="22.5" customHeight="1">
      <c r="A520" s="7"/>
      <c r="B520" s="7"/>
      <c r="C520" s="7"/>
      <c r="D520" s="7"/>
      <c r="E520" s="7"/>
    </row>
    <row r="521" ht="22.5" customHeight="1">
      <c r="A521" s="7"/>
      <c r="B521" s="7"/>
      <c r="C521" s="7"/>
      <c r="D521" s="7"/>
      <c r="E521" s="7"/>
    </row>
    <row r="522" ht="22.5" customHeight="1">
      <c r="A522" s="7"/>
      <c r="B522" s="7"/>
      <c r="C522" s="7"/>
      <c r="D522" s="7"/>
      <c r="E522" s="7"/>
    </row>
    <row r="523" ht="22.5" customHeight="1">
      <c r="A523" s="7"/>
      <c r="B523" s="7"/>
      <c r="C523" s="7"/>
      <c r="D523" s="7"/>
      <c r="E523" s="7"/>
    </row>
    <row r="524" ht="22.5" customHeight="1">
      <c r="A524" s="7"/>
      <c r="B524" s="7"/>
      <c r="C524" s="7"/>
      <c r="D524" s="7"/>
      <c r="E524" s="7"/>
    </row>
    <row r="525" ht="22.5" customHeight="1">
      <c r="A525" s="7"/>
      <c r="B525" s="7"/>
      <c r="C525" s="7"/>
      <c r="D525" s="7"/>
      <c r="E525" s="7"/>
    </row>
    <row r="526" ht="22.5" customHeight="1">
      <c r="A526" s="7"/>
      <c r="B526" s="7"/>
      <c r="C526" s="7"/>
      <c r="D526" s="7"/>
      <c r="E526" s="7"/>
    </row>
    <row r="527" ht="22.5" customHeight="1">
      <c r="A527" s="7"/>
      <c r="B527" s="7"/>
      <c r="C527" s="7"/>
      <c r="D527" s="7"/>
      <c r="E527" s="7"/>
    </row>
    <row r="528" ht="22.5" customHeight="1">
      <c r="A528" s="7"/>
      <c r="B528" s="7"/>
      <c r="C528" s="7"/>
      <c r="D528" s="7"/>
      <c r="E528" s="7"/>
    </row>
    <row r="529" ht="22.5" customHeight="1">
      <c r="A529" s="7"/>
      <c r="B529" s="7"/>
      <c r="C529" s="7"/>
      <c r="D529" s="7"/>
      <c r="E529" s="7"/>
    </row>
    <row r="530" ht="22.5" customHeight="1">
      <c r="A530" s="7"/>
      <c r="B530" s="7"/>
      <c r="C530" s="7"/>
      <c r="D530" s="7"/>
      <c r="E530" s="7"/>
    </row>
    <row r="531" ht="22.5" customHeight="1">
      <c r="A531" s="7"/>
      <c r="B531" s="7"/>
      <c r="C531" s="7"/>
      <c r="D531" s="7"/>
      <c r="E531" s="7"/>
    </row>
    <row r="532" ht="22.5" customHeight="1">
      <c r="A532" s="7"/>
      <c r="B532" s="7"/>
      <c r="C532" s="7"/>
      <c r="D532" s="7"/>
      <c r="E532" s="7"/>
    </row>
    <row r="533" ht="22.5" customHeight="1">
      <c r="A533" s="7"/>
      <c r="B533" s="7"/>
      <c r="C533" s="7"/>
      <c r="D533" s="7"/>
      <c r="E533" s="7"/>
    </row>
    <row r="534" ht="22.5" customHeight="1">
      <c r="A534" s="7"/>
      <c r="B534" s="7"/>
      <c r="C534" s="7"/>
      <c r="D534" s="7"/>
      <c r="E534" s="7"/>
    </row>
    <row r="535" ht="22.5" customHeight="1">
      <c r="A535" s="7"/>
      <c r="B535" s="7"/>
      <c r="C535" s="7"/>
      <c r="D535" s="7"/>
      <c r="E535" s="7"/>
    </row>
    <row r="536" ht="22.5" customHeight="1">
      <c r="A536" s="7"/>
      <c r="B536" s="7"/>
      <c r="C536" s="7"/>
      <c r="D536" s="7"/>
      <c r="E536" s="7"/>
    </row>
    <row r="537" ht="22.5" customHeight="1">
      <c r="A537" s="7"/>
      <c r="B537" s="7"/>
      <c r="C537" s="7"/>
      <c r="D537" s="7"/>
      <c r="E537" s="7"/>
    </row>
    <row r="538" ht="22.5" customHeight="1">
      <c r="A538" s="7"/>
      <c r="B538" s="7"/>
      <c r="C538" s="7"/>
      <c r="D538" s="7"/>
      <c r="E538" s="7"/>
    </row>
    <row r="539" ht="22.5" customHeight="1">
      <c r="A539" s="7"/>
      <c r="B539" s="7"/>
      <c r="C539" s="7"/>
      <c r="D539" s="7"/>
      <c r="E539" s="7"/>
    </row>
    <row r="540" ht="22.5" customHeight="1">
      <c r="A540" s="7"/>
      <c r="B540" s="7"/>
      <c r="C540" s="7"/>
      <c r="D540" s="7"/>
      <c r="E540" s="7"/>
    </row>
    <row r="541" ht="22.5" customHeight="1">
      <c r="A541" s="7"/>
      <c r="B541" s="7"/>
      <c r="C541" s="7"/>
      <c r="D541" s="7"/>
      <c r="E541" s="7"/>
    </row>
    <row r="542" ht="22.5" customHeight="1">
      <c r="A542" s="7"/>
      <c r="B542" s="7"/>
      <c r="C542" s="7"/>
      <c r="D542" s="7"/>
      <c r="E542" s="7"/>
    </row>
    <row r="543" ht="22.5" customHeight="1">
      <c r="A543" s="7"/>
      <c r="B543" s="7"/>
      <c r="C543" s="7"/>
      <c r="D543" s="7"/>
      <c r="E543" s="7"/>
    </row>
    <row r="544" ht="22.5" customHeight="1">
      <c r="A544" s="7"/>
      <c r="B544" s="7"/>
      <c r="C544" s="7"/>
      <c r="D544" s="7"/>
      <c r="E544" s="7"/>
    </row>
    <row r="545" ht="22.5" customHeight="1">
      <c r="A545" s="7"/>
      <c r="B545" s="7"/>
      <c r="C545" s="7"/>
      <c r="D545" s="7"/>
      <c r="E545" s="7"/>
    </row>
    <row r="546" ht="22.5" customHeight="1">
      <c r="A546" s="7"/>
      <c r="B546" s="7"/>
      <c r="C546" s="7"/>
      <c r="D546" s="7"/>
      <c r="E546" s="7"/>
    </row>
    <row r="547" ht="22.5" customHeight="1">
      <c r="A547" s="7"/>
      <c r="B547" s="7"/>
      <c r="C547" s="7"/>
      <c r="D547" s="7"/>
      <c r="E547" s="7"/>
    </row>
    <row r="548" ht="22.5" customHeight="1">
      <c r="A548" s="7"/>
      <c r="B548" s="7"/>
      <c r="C548" s="7"/>
      <c r="D548" s="7"/>
      <c r="E548" s="7"/>
    </row>
    <row r="549" ht="22.5" customHeight="1">
      <c r="A549" s="7"/>
      <c r="B549" s="7"/>
      <c r="C549" s="7"/>
      <c r="D549" s="7"/>
      <c r="E549" s="7"/>
    </row>
    <row r="550" ht="22.5" customHeight="1">
      <c r="A550" s="7"/>
      <c r="B550" s="7"/>
      <c r="C550" s="7"/>
      <c r="D550" s="7"/>
      <c r="E550" s="7"/>
    </row>
    <row r="551" ht="22.5" customHeight="1">
      <c r="A551" s="7"/>
      <c r="B551" s="7"/>
      <c r="C551" s="7"/>
      <c r="D551" s="7"/>
      <c r="E551" s="7"/>
    </row>
    <row r="552" ht="22.5" customHeight="1">
      <c r="A552" s="7"/>
      <c r="B552" s="7"/>
      <c r="C552" s="7"/>
      <c r="D552" s="7"/>
      <c r="E552" s="7"/>
    </row>
    <row r="553" ht="22.5" customHeight="1">
      <c r="A553" s="7"/>
      <c r="B553" s="7"/>
      <c r="C553" s="7"/>
      <c r="D553" s="7"/>
      <c r="E553" s="7"/>
    </row>
    <row r="554" ht="22.5" customHeight="1">
      <c r="A554" s="7"/>
      <c r="B554" s="7"/>
      <c r="C554" s="7"/>
      <c r="D554" s="7"/>
      <c r="E554" s="7"/>
    </row>
    <row r="555" ht="22.5" customHeight="1">
      <c r="A555" s="7"/>
      <c r="B555" s="7"/>
      <c r="C555" s="7"/>
      <c r="D555" s="7"/>
      <c r="E555" s="7"/>
    </row>
    <row r="556" ht="22.5" customHeight="1">
      <c r="A556" s="7"/>
      <c r="B556" s="7"/>
      <c r="C556" s="7"/>
      <c r="D556" s="7"/>
      <c r="E556" s="7"/>
    </row>
    <row r="557" ht="22.5" customHeight="1">
      <c r="A557" s="7"/>
      <c r="B557" s="7"/>
      <c r="C557" s="7"/>
      <c r="D557" s="7"/>
      <c r="E557" s="7"/>
    </row>
    <row r="558" ht="22.5" customHeight="1">
      <c r="A558" s="7"/>
      <c r="B558" s="7"/>
      <c r="C558" s="7"/>
      <c r="D558" s="7"/>
      <c r="E558" s="7"/>
    </row>
    <row r="559" ht="22.5" customHeight="1">
      <c r="A559" s="7"/>
      <c r="B559" s="7"/>
      <c r="C559" s="7"/>
      <c r="D559" s="7"/>
      <c r="E559" s="7"/>
    </row>
    <row r="560" ht="22.5" customHeight="1">
      <c r="A560" s="7"/>
      <c r="B560" s="7"/>
      <c r="C560" s="7"/>
      <c r="D560" s="7"/>
      <c r="E560" s="7"/>
    </row>
    <row r="561" ht="22.5" customHeight="1">
      <c r="A561" s="7"/>
      <c r="B561" s="7"/>
      <c r="C561" s="7"/>
      <c r="D561" s="7"/>
      <c r="E561" s="7"/>
    </row>
    <row r="562" ht="22.5" customHeight="1">
      <c r="A562" s="7"/>
      <c r="B562" s="7"/>
      <c r="C562" s="7"/>
      <c r="D562" s="7"/>
      <c r="E562" s="7"/>
    </row>
    <row r="563" ht="22.5" customHeight="1">
      <c r="A563" s="7"/>
      <c r="B563" s="7"/>
      <c r="C563" s="7"/>
      <c r="D563" s="7"/>
      <c r="E563" s="7"/>
    </row>
    <row r="564" ht="22.5" customHeight="1">
      <c r="A564" s="7"/>
      <c r="B564" s="7"/>
      <c r="C564" s="7"/>
      <c r="D564" s="7"/>
      <c r="E564" s="7"/>
    </row>
    <row r="565" ht="22.5" customHeight="1">
      <c r="A565" s="7"/>
      <c r="B565" s="7"/>
      <c r="C565" s="7"/>
      <c r="D565" s="7"/>
      <c r="E565" s="7"/>
    </row>
    <row r="566" ht="22.5" customHeight="1">
      <c r="A566" s="7"/>
      <c r="B566" s="7"/>
      <c r="C566" s="7"/>
      <c r="D566" s="7"/>
      <c r="E566" s="7"/>
    </row>
    <row r="567" ht="22.5" customHeight="1">
      <c r="A567" s="7"/>
      <c r="B567" s="7"/>
      <c r="C567" s="7"/>
      <c r="D567" s="7"/>
      <c r="E567" s="7"/>
    </row>
    <row r="568" ht="22.5" customHeight="1">
      <c r="A568" s="7"/>
      <c r="B568" s="7"/>
      <c r="C568" s="7"/>
      <c r="D568" s="7"/>
      <c r="E568" s="7"/>
    </row>
    <row r="569" ht="22.5" customHeight="1">
      <c r="A569" s="7"/>
      <c r="B569" s="7"/>
      <c r="C569" s="7"/>
      <c r="D569" s="7"/>
      <c r="E569" s="7"/>
    </row>
    <row r="570" ht="22.5" customHeight="1">
      <c r="A570" s="7"/>
      <c r="B570" s="7"/>
      <c r="C570" s="7"/>
      <c r="D570" s="7"/>
      <c r="E570" s="7"/>
    </row>
    <row r="571" ht="22.5" customHeight="1">
      <c r="A571" s="7"/>
      <c r="B571" s="7"/>
      <c r="C571" s="7"/>
      <c r="D571" s="7"/>
      <c r="E571" s="7"/>
    </row>
    <row r="572" ht="22.5" customHeight="1">
      <c r="A572" s="7"/>
      <c r="B572" s="7"/>
      <c r="C572" s="7"/>
      <c r="D572" s="7"/>
      <c r="E572" s="7"/>
    </row>
    <row r="573" ht="22.5" customHeight="1">
      <c r="A573" s="7"/>
      <c r="B573" s="7"/>
      <c r="C573" s="7"/>
      <c r="D573" s="7"/>
      <c r="E573" s="7"/>
    </row>
    <row r="574" ht="22.5" customHeight="1">
      <c r="A574" s="7"/>
      <c r="B574" s="7"/>
      <c r="C574" s="7"/>
      <c r="D574" s="7"/>
      <c r="E574" s="7"/>
    </row>
    <row r="575" ht="22.5" customHeight="1">
      <c r="A575" s="7"/>
      <c r="B575" s="7"/>
      <c r="C575" s="7"/>
      <c r="D575" s="7"/>
      <c r="E575" s="7"/>
    </row>
    <row r="576" ht="22.5" customHeight="1">
      <c r="A576" s="7"/>
      <c r="B576" s="7"/>
      <c r="C576" s="7"/>
      <c r="D576" s="7"/>
      <c r="E576" s="7"/>
    </row>
    <row r="577" ht="22.5" customHeight="1">
      <c r="A577" s="7"/>
      <c r="B577" s="7"/>
      <c r="C577" s="7"/>
      <c r="D577" s="7"/>
      <c r="E577" s="7"/>
    </row>
    <row r="578" ht="22.5" customHeight="1">
      <c r="A578" s="7"/>
      <c r="B578" s="7"/>
      <c r="C578" s="7"/>
      <c r="D578" s="7"/>
      <c r="E578" s="7"/>
    </row>
    <row r="579" ht="22.5" customHeight="1">
      <c r="A579" s="7"/>
      <c r="B579" s="7"/>
      <c r="C579" s="7"/>
      <c r="D579" s="7"/>
      <c r="E579" s="7"/>
    </row>
    <row r="580" ht="22.5" customHeight="1">
      <c r="A580" s="7"/>
      <c r="B580" s="7"/>
      <c r="C580" s="7"/>
      <c r="D580" s="7"/>
      <c r="E580" s="7"/>
    </row>
    <row r="581" ht="22.5" customHeight="1">
      <c r="A581" s="7"/>
      <c r="B581" s="7"/>
      <c r="C581" s="7"/>
      <c r="D581" s="7"/>
      <c r="E581" s="7"/>
    </row>
    <row r="582" ht="22.5" customHeight="1">
      <c r="A582" s="7"/>
      <c r="B582" s="7"/>
      <c r="C582" s="7"/>
      <c r="D582" s="7"/>
      <c r="E582" s="7"/>
    </row>
    <row r="583" ht="22.5" customHeight="1">
      <c r="A583" s="7"/>
      <c r="B583" s="7"/>
      <c r="C583" s="7"/>
      <c r="D583" s="7"/>
      <c r="E583" s="7"/>
    </row>
    <row r="584" ht="22.5" customHeight="1">
      <c r="A584" s="7"/>
      <c r="B584" s="7"/>
      <c r="C584" s="7"/>
      <c r="D584" s="7"/>
      <c r="E584" s="7"/>
    </row>
    <row r="585" ht="22.5" customHeight="1">
      <c r="A585" s="7"/>
      <c r="B585" s="7"/>
      <c r="C585" s="7"/>
      <c r="D585" s="7"/>
      <c r="E585" s="7"/>
    </row>
    <row r="586" ht="22.5" customHeight="1">
      <c r="A586" s="7"/>
      <c r="B586" s="7"/>
      <c r="C586" s="7"/>
      <c r="D586" s="7"/>
      <c r="E586" s="7"/>
    </row>
    <row r="587" ht="22.5" customHeight="1">
      <c r="A587" s="7"/>
      <c r="B587" s="7"/>
      <c r="C587" s="7"/>
      <c r="D587" s="7"/>
      <c r="E587" s="7"/>
    </row>
    <row r="588" ht="22.5" customHeight="1">
      <c r="A588" s="7"/>
      <c r="B588" s="7"/>
      <c r="C588" s="7"/>
      <c r="D588" s="7"/>
      <c r="E588" s="7"/>
    </row>
    <row r="589" ht="22.5" customHeight="1">
      <c r="A589" s="7"/>
      <c r="B589" s="7"/>
      <c r="C589" s="7"/>
      <c r="D589" s="7"/>
      <c r="E589" s="7"/>
    </row>
    <row r="590" ht="22.5" customHeight="1">
      <c r="A590" s="7"/>
      <c r="B590" s="7"/>
      <c r="C590" s="7"/>
      <c r="D590" s="7"/>
      <c r="E590" s="7"/>
    </row>
    <row r="591" ht="22.5" customHeight="1">
      <c r="A591" s="7"/>
      <c r="B591" s="7"/>
      <c r="C591" s="7"/>
      <c r="D591" s="7"/>
      <c r="E591" s="7"/>
    </row>
    <row r="592" ht="22.5" customHeight="1">
      <c r="A592" s="7"/>
      <c r="B592" s="7"/>
      <c r="C592" s="7"/>
      <c r="D592" s="7"/>
      <c r="E592" s="7"/>
    </row>
    <row r="593" ht="22.5" customHeight="1">
      <c r="A593" s="7"/>
      <c r="B593" s="7"/>
      <c r="C593" s="7"/>
      <c r="D593" s="7"/>
      <c r="E593" s="7"/>
    </row>
    <row r="594" ht="22.5" customHeight="1">
      <c r="A594" s="7"/>
      <c r="B594" s="7"/>
      <c r="C594" s="7"/>
      <c r="D594" s="7"/>
      <c r="E594" s="7"/>
    </row>
    <row r="595" ht="22.5" customHeight="1">
      <c r="A595" s="7"/>
      <c r="B595" s="7"/>
      <c r="C595" s="7"/>
      <c r="D595" s="7"/>
      <c r="E595" s="7"/>
    </row>
    <row r="596" ht="22.5" customHeight="1">
      <c r="A596" s="7"/>
      <c r="B596" s="7"/>
      <c r="C596" s="7"/>
      <c r="D596" s="7"/>
      <c r="E596" s="7"/>
    </row>
    <row r="597" ht="22.5" customHeight="1">
      <c r="A597" s="7"/>
      <c r="B597" s="7"/>
      <c r="C597" s="7"/>
      <c r="D597" s="7"/>
      <c r="E597" s="7"/>
    </row>
    <row r="598" ht="22.5" customHeight="1">
      <c r="A598" s="7"/>
      <c r="B598" s="7"/>
      <c r="C598" s="7"/>
      <c r="D598" s="7"/>
      <c r="E598" s="7"/>
    </row>
    <row r="599" ht="22.5" customHeight="1">
      <c r="A599" s="7"/>
      <c r="B599" s="7"/>
      <c r="C599" s="7"/>
      <c r="D599" s="7"/>
      <c r="E599" s="7"/>
    </row>
    <row r="600" ht="22.5" customHeight="1">
      <c r="A600" s="7"/>
      <c r="B600" s="7"/>
      <c r="C600" s="7"/>
      <c r="D600" s="7"/>
      <c r="E600" s="7"/>
    </row>
    <row r="601" ht="22.5" customHeight="1">
      <c r="A601" s="7"/>
      <c r="B601" s="7"/>
      <c r="C601" s="7"/>
      <c r="D601" s="7"/>
      <c r="E601" s="7"/>
    </row>
    <row r="602" ht="22.5" customHeight="1">
      <c r="A602" s="7"/>
      <c r="B602" s="7"/>
      <c r="C602" s="7"/>
      <c r="D602" s="7"/>
      <c r="E602" s="7"/>
    </row>
    <row r="603" ht="22.5" customHeight="1">
      <c r="A603" s="7"/>
      <c r="B603" s="7"/>
      <c r="C603" s="7"/>
      <c r="D603" s="7"/>
      <c r="E603" s="7"/>
    </row>
    <row r="604" ht="22.5" customHeight="1">
      <c r="A604" s="7"/>
      <c r="B604" s="7"/>
      <c r="C604" s="7"/>
      <c r="D604" s="7"/>
      <c r="E604" s="7"/>
    </row>
    <row r="605" ht="22.5" customHeight="1">
      <c r="A605" s="7"/>
      <c r="B605" s="7"/>
      <c r="C605" s="7"/>
      <c r="D605" s="7"/>
      <c r="E605" s="7"/>
    </row>
    <row r="606" ht="22.5" customHeight="1">
      <c r="A606" s="7"/>
      <c r="B606" s="7"/>
      <c r="C606" s="7"/>
      <c r="D606" s="7"/>
      <c r="E606" s="7"/>
    </row>
    <row r="607" ht="22.5" customHeight="1">
      <c r="A607" s="7"/>
      <c r="B607" s="7"/>
      <c r="C607" s="7"/>
      <c r="D607" s="7"/>
      <c r="E607" s="7"/>
    </row>
    <row r="608" ht="22.5" customHeight="1">
      <c r="A608" s="7"/>
      <c r="B608" s="7"/>
      <c r="C608" s="7"/>
      <c r="D608" s="7"/>
      <c r="E608" s="7"/>
    </row>
    <row r="609" ht="22.5" customHeight="1">
      <c r="A609" s="7"/>
      <c r="B609" s="7"/>
      <c r="C609" s="7"/>
      <c r="D609" s="7"/>
      <c r="E609" s="7"/>
    </row>
    <row r="610" ht="22.5" customHeight="1">
      <c r="A610" s="7"/>
      <c r="B610" s="7"/>
      <c r="C610" s="7"/>
      <c r="D610" s="7"/>
      <c r="E610" s="7"/>
    </row>
    <row r="611" ht="22.5" customHeight="1">
      <c r="A611" s="7"/>
      <c r="B611" s="7"/>
      <c r="C611" s="7"/>
      <c r="D611" s="7"/>
      <c r="E611" s="7"/>
    </row>
    <row r="612" ht="22.5" customHeight="1">
      <c r="A612" s="7"/>
      <c r="B612" s="7"/>
      <c r="C612" s="7"/>
      <c r="D612" s="7"/>
      <c r="E612" s="7"/>
    </row>
    <row r="613" ht="22.5" customHeight="1">
      <c r="A613" s="7"/>
      <c r="B613" s="7"/>
      <c r="C613" s="7"/>
      <c r="D613" s="7"/>
      <c r="E613" s="7"/>
    </row>
    <row r="614" ht="22.5" customHeight="1">
      <c r="A614" s="7"/>
      <c r="B614" s="7"/>
      <c r="C614" s="7"/>
      <c r="D614" s="7"/>
      <c r="E614" s="7"/>
    </row>
    <row r="615" ht="22.5" customHeight="1">
      <c r="A615" s="7"/>
      <c r="B615" s="7"/>
      <c r="C615" s="7"/>
      <c r="D615" s="7"/>
      <c r="E615" s="7"/>
    </row>
    <row r="616" ht="22.5" customHeight="1">
      <c r="A616" s="7"/>
      <c r="B616" s="7"/>
      <c r="C616" s="7"/>
      <c r="D616" s="7"/>
      <c r="E616" s="7"/>
    </row>
    <row r="617" ht="22.5" customHeight="1">
      <c r="A617" s="7"/>
      <c r="B617" s="7"/>
      <c r="C617" s="7"/>
      <c r="D617" s="7"/>
      <c r="E617" s="7"/>
    </row>
    <row r="618" ht="22.5" customHeight="1">
      <c r="A618" s="7"/>
      <c r="B618" s="7"/>
      <c r="C618" s="7"/>
      <c r="D618" s="7"/>
      <c r="E618" s="7"/>
    </row>
    <row r="619" ht="22.5" customHeight="1">
      <c r="A619" s="7"/>
      <c r="B619" s="7"/>
      <c r="C619" s="7"/>
      <c r="D619" s="7"/>
      <c r="E619" s="7"/>
    </row>
    <row r="620" ht="22.5" customHeight="1">
      <c r="A620" s="7"/>
      <c r="B620" s="7"/>
      <c r="C620" s="7"/>
      <c r="D620" s="7"/>
      <c r="E620" s="7"/>
    </row>
    <row r="621" ht="22.5" customHeight="1">
      <c r="A621" s="7"/>
      <c r="B621" s="7"/>
      <c r="C621" s="7"/>
      <c r="D621" s="7"/>
      <c r="E621" s="7"/>
    </row>
    <row r="622" ht="22.5" customHeight="1">
      <c r="A622" s="7"/>
      <c r="B622" s="7"/>
      <c r="C622" s="7"/>
      <c r="D622" s="7"/>
      <c r="E622" s="7"/>
    </row>
    <row r="623" ht="22.5" customHeight="1">
      <c r="A623" s="7"/>
      <c r="B623" s="7"/>
      <c r="C623" s="7"/>
      <c r="D623" s="7"/>
      <c r="E623" s="7"/>
    </row>
    <row r="624" ht="22.5" customHeight="1">
      <c r="A624" s="7"/>
      <c r="B624" s="7"/>
      <c r="C624" s="7"/>
      <c r="D624" s="7"/>
      <c r="E624" s="7"/>
    </row>
    <row r="625" ht="22.5" customHeight="1">
      <c r="A625" s="7"/>
      <c r="B625" s="7"/>
      <c r="C625" s="7"/>
      <c r="D625" s="7"/>
      <c r="E625" s="7"/>
    </row>
    <row r="626" ht="22.5" customHeight="1">
      <c r="A626" s="7"/>
      <c r="B626" s="7"/>
      <c r="C626" s="7"/>
      <c r="D626" s="7"/>
      <c r="E626" s="7"/>
    </row>
    <row r="627" ht="22.5" customHeight="1">
      <c r="A627" s="7"/>
      <c r="B627" s="7"/>
      <c r="C627" s="7"/>
      <c r="D627" s="7"/>
      <c r="E627" s="7"/>
    </row>
    <row r="628" ht="22.5" customHeight="1">
      <c r="A628" s="7"/>
      <c r="B628" s="7"/>
      <c r="C628" s="7"/>
      <c r="D628" s="7"/>
      <c r="E628" s="7"/>
    </row>
    <row r="629" ht="22.5" customHeight="1">
      <c r="A629" s="7"/>
      <c r="B629" s="7"/>
      <c r="C629" s="7"/>
      <c r="D629" s="7"/>
      <c r="E629" s="7"/>
    </row>
    <row r="630" ht="22.5" customHeight="1">
      <c r="A630" s="7"/>
      <c r="B630" s="7"/>
      <c r="C630" s="7"/>
      <c r="D630" s="7"/>
      <c r="E630" s="7"/>
    </row>
    <row r="631" ht="22.5" customHeight="1">
      <c r="A631" s="7"/>
      <c r="B631" s="7"/>
      <c r="C631" s="7"/>
      <c r="D631" s="7"/>
      <c r="E631" s="7"/>
    </row>
    <row r="632" ht="22.5" customHeight="1">
      <c r="A632" s="7"/>
      <c r="B632" s="7"/>
      <c r="C632" s="7"/>
      <c r="D632" s="7"/>
      <c r="E632" s="7"/>
    </row>
    <row r="633" ht="22.5" customHeight="1">
      <c r="A633" s="7"/>
      <c r="B633" s="7"/>
      <c r="C633" s="7"/>
      <c r="D633" s="7"/>
      <c r="E633" s="7"/>
    </row>
    <row r="634" ht="22.5" customHeight="1">
      <c r="A634" s="7"/>
      <c r="B634" s="7"/>
      <c r="C634" s="7"/>
      <c r="D634" s="7"/>
      <c r="E634" s="7"/>
    </row>
    <row r="635" ht="22.5" customHeight="1">
      <c r="A635" s="7"/>
      <c r="B635" s="7"/>
      <c r="C635" s="7"/>
      <c r="D635" s="7"/>
      <c r="E635" s="7"/>
    </row>
    <row r="636" ht="22.5" customHeight="1">
      <c r="A636" s="7"/>
      <c r="B636" s="7"/>
      <c r="C636" s="7"/>
      <c r="D636" s="7"/>
      <c r="E636" s="7"/>
    </row>
    <row r="637" ht="22.5" customHeight="1">
      <c r="A637" s="7"/>
      <c r="B637" s="7"/>
      <c r="C637" s="7"/>
      <c r="D637" s="7"/>
      <c r="E637" s="7"/>
    </row>
    <row r="638" ht="22.5" customHeight="1">
      <c r="A638" s="7"/>
      <c r="B638" s="7"/>
      <c r="C638" s="7"/>
      <c r="D638" s="7"/>
      <c r="E638" s="7"/>
    </row>
    <row r="639" ht="22.5" customHeight="1">
      <c r="A639" s="7"/>
      <c r="B639" s="7"/>
      <c r="C639" s="7"/>
      <c r="D639" s="7"/>
      <c r="E639" s="7"/>
    </row>
    <row r="640" ht="22.5" customHeight="1">
      <c r="A640" s="7"/>
      <c r="B640" s="7"/>
      <c r="C640" s="7"/>
      <c r="D640" s="7"/>
      <c r="E640" s="7"/>
    </row>
    <row r="641" ht="22.5" customHeight="1">
      <c r="A641" s="7"/>
      <c r="B641" s="7"/>
      <c r="C641" s="7"/>
      <c r="D641" s="7"/>
      <c r="E641" s="7"/>
    </row>
    <row r="642" ht="22.5" customHeight="1">
      <c r="A642" s="7"/>
      <c r="B642" s="7"/>
      <c r="C642" s="7"/>
      <c r="D642" s="7"/>
      <c r="E642" s="7"/>
    </row>
    <row r="643" ht="22.5" customHeight="1">
      <c r="A643" s="7"/>
      <c r="B643" s="7"/>
      <c r="C643" s="7"/>
      <c r="D643" s="7"/>
      <c r="E643" s="7"/>
    </row>
    <row r="644" ht="22.5" customHeight="1">
      <c r="A644" s="7"/>
      <c r="B644" s="7"/>
      <c r="C644" s="7"/>
      <c r="D644" s="7"/>
      <c r="E644" s="7"/>
    </row>
    <row r="645" ht="22.5" customHeight="1">
      <c r="A645" s="7"/>
      <c r="B645" s="7"/>
      <c r="C645" s="7"/>
      <c r="D645" s="7"/>
      <c r="E645" s="7"/>
    </row>
    <row r="646" ht="22.5" customHeight="1">
      <c r="A646" s="7"/>
      <c r="B646" s="7"/>
      <c r="C646" s="7"/>
      <c r="D646" s="7"/>
      <c r="E646" s="7"/>
    </row>
    <row r="647" ht="22.5" customHeight="1">
      <c r="A647" s="7"/>
      <c r="B647" s="7"/>
      <c r="C647" s="7"/>
      <c r="D647" s="7"/>
      <c r="E647" s="7"/>
    </row>
    <row r="648" ht="22.5" customHeight="1">
      <c r="A648" s="7"/>
      <c r="B648" s="7"/>
      <c r="C648" s="7"/>
      <c r="D648" s="7"/>
      <c r="E648" s="7"/>
    </row>
    <row r="649" ht="22.5" customHeight="1">
      <c r="A649" s="7"/>
      <c r="B649" s="7"/>
      <c r="C649" s="7"/>
      <c r="D649" s="7"/>
      <c r="E649" s="7"/>
    </row>
    <row r="650" ht="22.5" customHeight="1">
      <c r="A650" s="7"/>
      <c r="B650" s="7"/>
      <c r="C650" s="7"/>
      <c r="D650" s="7"/>
      <c r="E650" s="7"/>
    </row>
    <row r="651" ht="22.5" customHeight="1">
      <c r="A651" s="7"/>
      <c r="B651" s="7"/>
      <c r="C651" s="7"/>
      <c r="D651" s="7"/>
      <c r="E651" s="7"/>
    </row>
    <row r="652" ht="22.5" customHeight="1">
      <c r="A652" s="7"/>
      <c r="B652" s="7"/>
      <c r="C652" s="7"/>
      <c r="D652" s="7"/>
      <c r="E652" s="7"/>
    </row>
    <row r="653" ht="22.5" customHeight="1">
      <c r="A653" s="7"/>
      <c r="B653" s="7"/>
      <c r="C653" s="7"/>
      <c r="D653" s="7"/>
      <c r="E653" s="7"/>
    </row>
    <row r="654" ht="22.5" customHeight="1">
      <c r="A654" s="7"/>
      <c r="B654" s="7"/>
      <c r="C654" s="7"/>
      <c r="D654" s="7"/>
      <c r="E654" s="7"/>
    </row>
    <row r="655" ht="22.5" customHeight="1">
      <c r="A655" s="7"/>
      <c r="B655" s="7"/>
      <c r="C655" s="7"/>
      <c r="D655" s="7"/>
      <c r="E655" s="7"/>
    </row>
    <row r="656" ht="22.5" customHeight="1">
      <c r="A656" s="7"/>
      <c r="B656" s="7"/>
      <c r="C656" s="7"/>
      <c r="D656" s="7"/>
      <c r="E656" s="7"/>
    </row>
    <row r="657" ht="22.5" customHeight="1">
      <c r="A657" s="7"/>
      <c r="B657" s="7"/>
      <c r="C657" s="7"/>
      <c r="D657" s="7"/>
      <c r="E657" s="7"/>
    </row>
    <row r="658" ht="22.5" customHeight="1">
      <c r="A658" s="7"/>
      <c r="B658" s="7"/>
      <c r="C658" s="7"/>
      <c r="D658" s="7"/>
      <c r="E658" s="7"/>
    </row>
    <row r="659" ht="22.5" customHeight="1">
      <c r="A659" s="7"/>
      <c r="B659" s="7"/>
      <c r="C659" s="7"/>
      <c r="D659" s="7"/>
      <c r="E659" s="7"/>
    </row>
    <row r="660" ht="22.5" customHeight="1">
      <c r="A660" s="7"/>
      <c r="B660" s="7"/>
      <c r="C660" s="7"/>
      <c r="D660" s="7"/>
      <c r="E660" s="7"/>
    </row>
    <row r="661" ht="22.5" customHeight="1">
      <c r="A661" s="7"/>
      <c r="B661" s="7"/>
      <c r="C661" s="7"/>
      <c r="D661" s="7"/>
      <c r="E661" s="7"/>
    </row>
    <row r="662" ht="22.5" customHeight="1">
      <c r="A662" s="7"/>
      <c r="B662" s="7"/>
      <c r="C662" s="7"/>
      <c r="D662" s="7"/>
      <c r="E662" s="7"/>
    </row>
    <row r="663" ht="22.5" customHeight="1">
      <c r="A663" s="7"/>
      <c r="B663" s="7"/>
      <c r="C663" s="7"/>
      <c r="D663" s="7"/>
      <c r="E663" s="7"/>
    </row>
    <row r="664" ht="22.5" customHeight="1">
      <c r="A664" s="7"/>
      <c r="B664" s="7"/>
      <c r="C664" s="7"/>
      <c r="D664" s="7"/>
      <c r="E664" s="7"/>
    </row>
    <row r="665" ht="22.5" customHeight="1">
      <c r="A665" s="7"/>
      <c r="B665" s="7"/>
      <c r="C665" s="7"/>
      <c r="D665" s="7"/>
      <c r="E665" s="7"/>
    </row>
    <row r="666" ht="22.5" customHeight="1">
      <c r="A666" s="7"/>
      <c r="B666" s="7"/>
      <c r="C666" s="7"/>
      <c r="D666" s="7"/>
      <c r="E666" s="7"/>
    </row>
    <row r="667" ht="22.5" customHeight="1">
      <c r="A667" s="7"/>
      <c r="B667" s="7"/>
      <c r="C667" s="7"/>
      <c r="D667" s="7"/>
      <c r="E667" s="7"/>
    </row>
    <row r="668" ht="22.5" customHeight="1">
      <c r="A668" s="7"/>
      <c r="B668" s="7"/>
      <c r="C668" s="7"/>
      <c r="D668" s="7"/>
      <c r="E668" s="7"/>
    </row>
    <row r="669" ht="22.5" customHeight="1">
      <c r="A669" s="7"/>
      <c r="B669" s="7"/>
      <c r="C669" s="7"/>
      <c r="D669" s="7"/>
      <c r="E669" s="7"/>
    </row>
    <row r="670" ht="22.5" customHeight="1">
      <c r="A670" s="7"/>
      <c r="B670" s="7"/>
      <c r="C670" s="7"/>
      <c r="D670" s="7"/>
      <c r="E670" s="7"/>
    </row>
    <row r="671" ht="22.5" customHeight="1">
      <c r="A671" s="7"/>
      <c r="B671" s="7"/>
      <c r="C671" s="7"/>
      <c r="D671" s="7"/>
      <c r="E671" s="7"/>
    </row>
    <row r="672" ht="22.5" customHeight="1">
      <c r="A672" s="7"/>
      <c r="B672" s="7"/>
      <c r="C672" s="7"/>
      <c r="D672" s="7"/>
      <c r="E672" s="7"/>
    </row>
    <row r="673" ht="22.5" customHeight="1">
      <c r="A673" s="7"/>
      <c r="B673" s="7"/>
      <c r="C673" s="7"/>
      <c r="D673" s="7"/>
      <c r="E673" s="7"/>
    </row>
    <row r="674" ht="22.5" customHeight="1">
      <c r="A674" s="7"/>
      <c r="B674" s="7"/>
      <c r="C674" s="7"/>
      <c r="D674" s="7"/>
      <c r="E674" s="7"/>
    </row>
    <row r="675" ht="22.5" customHeight="1">
      <c r="A675" s="7"/>
      <c r="B675" s="7"/>
      <c r="C675" s="7"/>
      <c r="D675" s="7"/>
      <c r="E675" s="7"/>
    </row>
    <row r="676" ht="22.5" customHeight="1">
      <c r="A676" s="7"/>
      <c r="B676" s="7"/>
      <c r="C676" s="7"/>
      <c r="D676" s="7"/>
      <c r="E676" s="7"/>
    </row>
    <row r="677" ht="22.5" customHeight="1">
      <c r="A677" s="7"/>
      <c r="B677" s="7"/>
      <c r="C677" s="7"/>
      <c r="D677" s="7"/>
      <c r="E677" s="7"/>
    </row>
    <row r="678" ht="22.5" customHeight="1">
      <c r="A678" s="7"/>
      <c r="B678" s="7"/>
      <c r="C678" s="7"/>
      <c r="D678" s="7"/>
      <c r="E678" s="7"/>
    </row>
    <row r="679" ht="22.5" customHeight="1">
      <c r="A679" s="7"/>
      <c r="B679" s="7"/>
      <c r="C679" s="7"/>
      <c r="D679" s="7"/>
      <c r="E679" s="7"/>
    </row>
    <row r="680" ht="22.5" customHeight="1">
      <c r="A680" s="7"/>
      <c r="B680" s="7"/>
      <c r="C680" s="7"/>
      <c r="D680" s="7"/>
      <c r="E680" s="7"/>
    </row>
    <row r="681" ht="22.5" customHeight="1">
      <c r="A681" s="7"/>
      <c r="B681" s="7"/>
      <c r="C681" s="7"/>
      <c r="D681" s="7"/>
      <c r="E681" s="7"/>
    </row>
    <row r="682" ht="22.5" customHeight="1">
      <c r="A682" s="7"/>
      <c r="B682" s="7"/>
      <c r="C682" s="7"/>
      <c r="D682" s="7"/>
      <c r="E682" s="7"/>
    </row>
    <row r="683" ht="22.5" customHeight="1">
      <c r="A683" s="7"/>
      <c r="B683" s="7"/>
      <c r="C683" s="7"/>
      <c r="D683" s="7"/>
      <c r="E683" s="7"/>
    </row>
    <row r="684" ht="22.5" customHeight="1">
      <c r="A684" s="7"/>
      <c r="B684" s="7"/>
      <c r="C684" s="7"/>
      <c r="D684" s="7"/>
      <c r="E684" s="7"/>
    </row>
    <row r="685" ht="22.5" customHeight="1">
      <c r="A685" s="7"/>
      <c r="B685" s="7"/>
      <c r="C685" s="7"/>
      <c r="D685" s="7"/>
      <c r="E685" s="7"/>
    </row>
    <row r="686" ht="22.5" customHeight="1">
      <c r="A686" s="7"/>
      <c r="B686" s="7"/>
      <c r="C686" s="7"/>
      <c r="D686" s="7"/>
      <c r="E686" s="7"/>
    </row>
    <row r="687" ht="22.5" customHeight="1">
      <c r="A687" s="7"/>
      <c r="B687" s="7"/>
      <c r="C687" s="7"/>
      <c r="D687" s="7"/>
      <c r="E687" s="7"/>
    </row>
    <row r="688" ht="22.5" customHeight="1">
      <c r="A688" s="7"/>
      <c r="B688" s="7"/>
      <c r="C688" s="7"/>
      <c r="D688" s="7"/>
      <c r="E688" s="7"/>
    </row>
    <row r="689" ht="22.5" customHeight="1">
      <c r="A689" s="7"/>
      <c r="B689" s="7"/>
      <c r="C689" s="7"/>
      <c r="D689" s="7"/>
      <c r="E689" s="7"/>
    </row>
    <row r="690" ht="22.5" customHeight="1">
      <c r="A690" s="7"/>
      <c r="B690" s="7"/>
      <c r="C690" s="7"/>
      <c r="D690" s="7"/>
      <c r="E690" s="7"/>
    </row>
    <row r="691" ht="22.5" customHeight="1">
      <c r="A691" s="7"/>
      <c r="B691" s="7"/>
      <c r="C691" s="7"/>
      <c r="D691" s="7"/>
      <c r="E691" s="7"/>
    </row>
    <row r="692" ht="22.5" customHeight="1">
      <c r="A692" s="7"/>
      <c r="B692" s="7"/>
      <c r="C692" s="7"/>
      <c r="D692" s="7"/>
      <c r="E692" s="7"/>
    </row>
    <row r="693" ht="22.5" customHeight="1">
      <c r="A693" s="7"/>
      <c r="B693" s="7"/>
      <c r="C693" s="7"/>
      <c r="D693" s="7"/>
      <c r="E693" s="7"/>
    </row>
    <row r="694" ht="22.5" customHeight="1">
      <c r="A694" s="7"/>
      <c r="B694" s="7"/>
      <c r="C694" s="7"/>
      <c r="D694" s="7"/>
      <c r="E694" s="7"/>
    </row>
    <row r="695" ht="22.5" customHeight="1">
      <c r="A695" s="7"/>
      <c r="B695" s="7"/>
      <c r="C695" s="7"/>
      <c r="D695" s="7"/>
      <c r="E695" s="7"/>
    </row>
    <row r="696" ht="22.5" customHeight="1">
      <c r="A696" s="7"/>
      <c r="B696" s="7"/>
      <c r="C696" s="7"/>
      <c r="D696" s="7"/>
      <c r="E696" s="7"/>
    </row>
    <row r="697" ht="22.5" customHeight="1">
      <c r="A697" s="7"/>
      <c r="B697" s="7"/>
      <c r="C697" s="7"/>
      <c r="D697" s="7"/>
      <c r="E697" s="7"/>
    </row>
    <row r="698" ht="22.5" customHeight="1">
      <c r="A698" s="7"/>
      <c r="B698" s="7"/>
      <c r="C698" s="7"/>
      <c r="D698" s="7"/>
      <c r="E698" s="7"/>
    </row>
    <row r="699" ht="22.5" customHeight="1">
      <c r="A699" s="7"/>
      <c r="B699" s="7"/>
      <c r="C699" s="7"/>
      <c r="D699" s="7"/>
      <c r="E699" s="7"/>
    </row>
    <row r="700" ht="22.5" customHeight="1">
      <c r="A700" s="7"/>
      <c r="B700" s="7"/>
      <c r="C700" s="7"/>
      <c r="D700" s="7"/>
      <c r="E700" s="7"/>
    </row>
    <row r="701" ht="22.5" customHeight="1">
      <c r="A701" s="7"/>
      <c r="B701" s="7"/>
      <c r="C701" s="7"/>
      <c r="D701" s="7"/>
      <c r="E701" s="7"/>
    </row>
    <row r="702" ht="22.5" customHeight="1">
      <c r="A702" s="7"/>
      <c r="B702" s="7"/>
      <c r="C702" s="7"/>
      <c r="D702" s="7"/>
      <c r="E702" s="7"/>
    </row>
    <row r="703" ht="22.5" customHeight="1">
      <c r="A703" s="7"/>
      <c r="B703" s="7"/>
      <c r="C703" s="7"/>
      <c r="D703" s="7"/>
      <c r="E703" s="7"/>
    </row>
    <row r="704" ht="22.5" customHeight="1">
      <c r="A704" s="7"/>
      <c r="B704" s="7"/>
      <c r="C704" s="7"/>
      <c r="D704" s="7"/>
      <c r="E704" s="7"/>
    </row>
    <row r="705" ht="22.5" customHeight="1">
      <c r="A705" s="7"/>
      <c r="B705" s="7"/>
      <c r="C705" s="7"/>
      <c r="D705" s="7"/>
      <c r="E705" s="7"/>
    </row>
    <row r="706" ht="22.5" customHeight="1">
      <c r="A706" s="7"/>
      <c r="B706" s="7"/>
      <c r="C706" s="7"/>
      <c r="D706" s="7"/>
      <c r="E706" s="7"/>
    </row>
    <row r="707" ht="22.5" customHeight="1">
      <c r="A707" s="7"/>
      <c r="B707" s="7"/>
      <c r="C707" s="7"/>
      <c r="D707" s="7"/>
      <c r="E707" s="7"/>
    </row>
    <row r="708" ht="22.5" customHeight="1">
      <c r="A708" s="7"/>
      <c r="B708" s="7"/>
      <c r="C708" s="7"/>
      <c r="D708" s="7"/>
      <c r="E708" s="7"/>
    </row>
    <row r="709" ht="22.5" customHeight="1">
      <c r="A709" s="7"/>
      <c r="B709" s="7"/>
      <c r="C709" s="7"/>
      <c r="D709" s="7"/>
      <c r="E709" s="7"/>
    </row>
    <row r="710" ht="22.5" customHeight="1">
      <c r="A710" s="7"/>
      <c r="B710" s="7"/>
      <c r="C710" s="7"/>
      <c r="D710" s="7"/>
      <c r="E710" s="7"/>
    </row>
    <row r="711" ht="22.5" customHeight="1">
      <c r="A711" s="7"/>
      <c r="B711" s="7"/>
      <c r="C711" s="7"/>
      <c r="D711" s="7"/>
      <c r="E711" s="7"/>
    </row>
    <row r="712" ht="22.5" customHeight="1">
      <c r="A712" s="7"/>
      <c r="B712" s="7"/>
      <c r="C712" s="7"/>
      <c r="D712" s="7"/>
      <c r="E712" s="7"/>
    </row>
    <row r="713" ht="22.5" customHeight="1">
      <c r="A713" s="7"/>
      <c r="B713" s="7"/>
      <c r="C713" s="7"/>
      <c r="D713" s="7"/>
      <c r="E713" s="7"/>
    </row>
    <row r="714" ht="22.5" customHeight="1">
      <c r="A714" s="7"/>
      <c r="B714" s="7"/>
      <c r="C714" s="7"/>
      <c r="D714" s="7"/>
      <c r="E714" s="7"/>
    </row>
    <row r="715" ht="22.5" customHeight="1">
      <c r="A715" s="7"/>
      <c r="B715" s="7"/>
      <c r="C715" s="7"/>
      <c r="D715" s="7"/>
      <c r="E715" s="7"/>
    </row>
    <row r="716" ht="22.5" customHeight="1">
      <c r="A716" s="7"/>
      <c r="B716" s="7"/>
      <c r="C716" s="7"/>
      <c r="D716" s="7"/>
      <c r="E716" s="7"/>
    </row>
    <row r="717" ht="22.5" customHeight="1">
      <c r="A717" s="7"/>
      <c r="B717" s="7"/>
      <c r="C717" s="7"/>
      <c r="D717" s="7"/>
      <c r="E717" s="7"/>
    </row>
    <row r="718" ht="22.5" customHeight="1">
      <c r="A718" s="7"/>
      <c r="B718" s="7"/>
      <c r="C718" s="7"/>
      <c r="D718" s="7"/>
      <c r="E718" s="7"/>
    </row>
    <row r="719" ht="22.5" customHeight="1">
      <c r="A719" s="7"/>
      <c r="B719" s="7"/>
      <c r="C719" s="7"/>
      <c r="D719" s="7"/>
      <c r="E719" s="7"/>
    </row>
    <row r="720" ht="22.5" customHeight="1">
      <c r="A720" s="7"/>
      <c r="B720" s="7"/>
      <c r="C720" s="7"/>
      <c r="D720" s="7"/>
      <c r="E720" s="7"/>
    </row>
    <row r="721" ht="22.5" customHeight="1">
      <c r="A721" s="7"/>
      <c r="B721" s="7"/>
      <c r="C721" s="7"/>
      <c r="D721" s="7"/>
      <c r="E721" s="7"/>
    </row>
    <row r="722" ht="22.5" customHeight="1">
      <c r="A722" s="7"/>
      <c r="B722" s="7"/>
      <c r="C722" s="7"/>
      <c r="D722" s="7"/>
      <c r="E722" s="7"/>
    </row>
    <row r="723" ht="22.5" customHeight="1">
      <c r="A723" s="7"/>
      <c r="B723" s="7"/>
      <c r="C723" s="7"/>
      <c r="D723" s="7"/>
      <c r="E723" s="7"/>
    </row>
    <row r="724" ht="22.5" customHeight="1">
      <c r="A724" s="7"/>
      <c r="B724" s="7"/>
      <c r="C724" s="7"/>
      <c r="D724" s="7"/>
      <c r="E724" s="7"/>
    </row>
    <row r="725" ht="22.5" customHeight="1">
      <c r="A725" s="7"/>
      <c r="B725" s="7"/>
      <c r="C725" s="7"/>
      <c r="D725" s="7"/>
      <c r="E725" s="7"/>
    </row>
    <row r="726" ht="22.5" customHeight="1">
      <c r="A726" s="7"/>
      <c r="B726" s="7"/>
      <c r="C726" s="7"/>
      <c r="D726" s="7"/>
      <c r="E726" s="7"/>
    </row>
    <row r="727" ht="22.5" customHeight="1">
      <c r="A727" s="7"/>
      <c r="B727" s="7"/>
      <c r="C727" s="7"/>
      <c r="D727" s="7"/>
      <c r="E727" s="7"/>
    </row>
    <row r="728" ht="22.5" customHeight="1">
      <c r="A728" s="7"/>
      <c r="B728" s="7"/>
      <c r="C728" s="7"/>
      <c r="D728" s="7"/>
      <c r="E728" s="7"/>
    </row>
    <row r="729" ht="22.5" customHeight="1">
      <c r="A729" s="7"/>
      <c r="B729" s="7"/>
      <c r="C729" s="7"/>
      <c r="D729" s="7"/>
      <c r="E729" s="7"/>
    </row>
    <row r="730" ht="22.5" customHeight="1">
      <c r="A730" s="7"/>
      <c r="B730" s="7"/>
      <c r="C730" s="7"/>
      <c r="D730" s="7"/>
      <c r="E730" s="7"/>
    </row>
    <row r="731" ht="22.5" customHeight="1">
      <c r="A731" s="7"/>
      <c r="B731" s="7"/>
      <c r="C731" s="7"/>
      <c r="D731" s="7"/>
      <c r="E731" s="7"/>
    </row>
    <row r="732" ht="22.5" customHeight="1">
      <c r="A732" s="7"/>
      <c r="B732" s="7"/>
      <c r="C732" s="7"/>
      <c r="D732" s="7"/>
      <c r="E732" s="7"/>
    </row>
    <row r="733" ht="22.5" customHeight="1">
      <c r="A733" s="7"/>
      <c r="B733" s="7"/>
      <c r="C733" s="7"/>
      <c r="D733" s="7"/>
      <c r="E733" s="7"/>
    </row>
    <row r="734" ht="22.5" customHeight="1">
      <c r="A734" s="7"/>
      <c r="B734" s="7"/>
      <c r="C734" s="7"/>
      <c r="D734" s="7"/>
      <c r="E734" s="7"/>
    </row>
    <row r="735" ht="22.5" customHeight="1">
      <c r="A735" s="7"/>
      <c r="B735" s="7"/>
      <c r="C735" s="7"/>
      <c r="D735" s="7"/>
      <c r="E735" s="7"/>
    </row>
    <row r="736" ht="22.5" customHeight="1">
      <c r="A736" s="7"/>
      <c r="B736" s="7"/>
      <c r="C736" s="7"/>
      <c r="D736" s="7"/>
      <c r="E736" s="7"/>
    </row>
    <row r="737" ht="22.5" customHeight="1">
      <c r="A737" s="7"/>
      <c r="B737" s="7"/>
      <c r="C737" s="7"/>
      <c r="D737" s="7"/>
      <c r="E737" s="7"/>
    </row>
    <row r="738" ht="22.5" customHeight="1">
      <c r="A738" s="7"/>
      <c r="B738" s="7"/>
      <c r="C738" s="7"/>
      <c r="D738" s="7"/>
      <c r="E738" s="7"/>
    </row>
    <row r="739" ht="22.5" customHeight="1">
      <c r="A739" s="7"/>
      <c r="B739" s="7"/>
      <c r="C739" s="7"/>
      <c r="D739" s="7"/>
      <c r="E739" s="7"/>
    </row>
    <row r="740" ht="22.5" customHeight="1">
      <c r="A740" s="7"/>
      <c r="B740" s="7"/>
      <c r="C740" s="7"/>
      <c r="D740" s="7"/>
      <c r="E740" s="7"/>
    </row>
    <row r="741" ht="22.5" customHeight="1">
      <c r="A741" s="7"/>
      <c r="B741" s="7"/>
      <c r="C741" s="7"/>
      <c r="D741" s="7"/>
      <c r="E741" s="7"/>
    </row>
    <row r="742" ht="22.5" customHeight="1">
      <c r="A742" s="7"/>
      <c r="B742" s="7"/>
      <c r="C742" s="7"/>
      <c r="D742" s="7"/>
      <c r="E742" s="7"/>
    </row>
    <row r="743" ht="22.5" customHeight="1">
      <c r="A743" s="7"/>
      <c r="B743" s="7"/>
      <c r="C743" s="7"/>
      <c r="D743" s="7"/>
      <c r="E743" s="7"/>
    </row>
    <row r="744" ht="22.5" customHeight="1">
      <c r="A744" s="7"/>
      <c r="B744" s="7"/>
      <c r="C744" s="7"/>
      <c r="D744" s="7"/>
      <c r="E744" s="7"/>
    </row>
    <row r="745" ht="22.5" customHeight="1">
      <c r="A745" s="7"/>
      <c r="B745" s="7"/>
      <c r="C745" s="7"/>
      <c r="D745" s="7"/>
      <c r="E745" s="7"/>
    </row>
    <row r="746" ht="22.5" customHeight="1">
      <c r="A746" s="7"/>
      <c r="B746" s="7"/>
      <c r="C746" s="7"/>
      <c r="D746" s="7"/>
      <c r="E746" s="7"/>
    </row>
    <row r="747" ht="22.5" customHeight="1">
      <c r="A747" s="7"/>
      <c r="B747" s="7"/>
      <c r="C747" s="7"/>
      <c r="D747" s="7"/>
      <c r="E747" s="7"/>
    </row>
    <row r="748" ht="22.5" customHeight="1">
      <c r="A748" s="7"/>
      <c r="B748" s="7"/>
      <c r="C748" s="7"/>
      <c r="D748" s="7"/>
      <c r="E748" s="7"/>
    </row>
    <row r="749" ht="22.5" customHeight="1">
      <c r="A749" s="7"/>
      <c r="B749" s="7"/>
      <c r="C749" s="7"/>
      <c r="D749" s="7"/>
      <c r="E749" s="7"/>
    </row>
    <row r="750" ht="22.5" customHeight="1">
      <c r="A750" s="7"/>
      <c r="B750" s="7"/>
      <c r="C750" s="7"/>
      <c r="D750" s="7"/>
      <c r="E750" s="7"/>
    </row>
    <row r="751" ht="22.5" customHeight="1">
      <c r="A751" s="7"/>
      <c r="B751" s="7"/>
      <c r="C751" s="7"/>
      <c r="D751" s="7"/>
      <c r="E751" s="7"/>
    </row>
    <row r="752" ht="22.5" customHeight="1">
      <c r="A752" s="7"/>
      <c r="B752" s="7"/>
      <c r="C752" s="7"/>
      <c r="D752" s="7"/>
      <c r="E752" s="7"/>
    </row>
    <row r="753" ht="22.5" customHeight="1">
      <c r="A753" s="7"/>
      <c r="B753" s="7"/>
      <c r="C753" s="7"/>
      <c r="D753" s="7"/>
      <c r="E753" s="7"/>
    </row>
    <row r="754" ht="22.5" customHeight="1">
      <c r="A754" s="7"/>
      <c r="B754" s="7"/>
      <c r="C754" s="7"/>
      <c r="D754" s="7"/>
      <c r="E754" s="7"/>
    </row>
    <row r="755" ht="22.5" customHeight="1">
      <c r="A755" s="7"/>
      <c r="B755" s="7"/>
      <c r="C755" s="7"/>
      <c r="D755" s="7"/>
      <c r="E755" s="7"/>
    </row>
    <row r="756" ht="22.5" customHeight="1">
      <c r="A756" s="7"/>
      <c r="B756" s="7"/>
      <c r="C756" s="7"/>
      <c r="D756" s="7"/>
      <c r="E756" s="7"/>
    </row>
    <row r="757" ht="22.5" customHeight="1">
      <c r="A757" s="7"/>
      <c r="B757" s="7"/>
      <c r="C757" s="7"/>
      <c r="D757" s="7"/>
      <c r="E757" s="7"/>
    </row>
    <row r="758" ht="22.5" customHeight="1">
      <c r="A758" s="7"/>
      <c r="B758" s="7"/>
      <c r="C758" s="7"/>
      <c r="D758" s="7"/>
      <c r="E758" s="7"/>
    </row>
    <row r="759" ht="22.5" customHeight="1">
      <c r="A759" s="7"/>
      <c r="B759" s="7"/>
      <c r="C759" s="7"/>
      <c r="D759" s="7"/>
      <c r="E759" s="7"/>
    </row>
    <row r="760" ht="22.5" customHeight="1">
      <c r="A760" s="7"/>
      <c r="B760" s="7"/>
      <c r="C760" s="7"/>
      <c r="D760" s="7"/>
      <c r="E760" s="7"/>
    </row>
    <row r="761" ht="22.5" customHeight="1">
      <c r="A761" s="7"/>
      <c r="B761" s="7"/>
      <c r="C761" s="7"/>
      <c r="D761" s="7"/>
      <c r="E761" s="7"/>
    </row>
    <row r="762" ht="22.5" customHeight="1">
      <c r="A762" s="7"/>
      <c r="B762" s="7"/>
      <c r="C762" s="7"/>
      <c r="D762" s="7"/>
      <c r="E762" s="7"/>
    </row>
    <row r="763" ht="22.5" customHeight="1">
      <c r="A763" s="7"/>
      <c r="B763" s="7"/>
      <c r="C763" s="7"/>
      <c r="D763" s="7"/>
      <c r="E763" s="7"/>
    </row>
    <row r="764" ht="22.5" customHeight="1">
      <c r="A764" s="7"/>
      <c r="B764" s="7"/>
      <c r="C764" s="7"/>
      <c r="D764" s="7"/>
      <c r="E764" s="7"/>
    </row>
    <row r="765" ht="22.5" customHeight="1">
      <c r="A765" s="7"/>
      <c r="B765" s="7"/>
      <c r="C765" s="7"/>
      <c r="D765" s="7"/>
      <c r="E765" s="7"/>
    </row>
    <row r="766" ht="22.5" customHeight="1">
      <c r="A766" s="7"/>
      <c r="B766" s="7"/>
      <c r="C766" s="7"/>
      <c r="D766" s="7"/>
      <c r="E766" s="7"/>
    </row>
    <row r="767" ht="22.5" customHeight="1">
      <c r="A767" s="7"/>
      <c r="B767" s="7"/>
      <c r="C767" s="7"/>
      <c r="D767" s="7"/>
      <c r="E767" s="7"/>
    </row>
    <row r="768" ht="22.5" customHeight="1">
      <c r="A768" s="7"/>
      <c r="B768" s="7"/>
      <c r="C768" s="7"/>
      <c r="D768" s="7"/>
      <c r="E768" s="7"/>
    </row>
    <row r="769" ht="22.5" customHeight="1">
      <c r="A769" s="7"/>
      <c r="B769" s="7"/>
      <c r="C769" s="7"/>
      <c r="D769" s="7"/>
      <c r="E769" s="7"/>
    </row>
    <row r="770" ht="22.5" customHeight="1">
      <c r="A770" s="7"/>
      <c r="B770" s="7"/>
      <c r="C770" s="7"/>
      <c r="D770" s="7"/>
      <c r="E770" s="7"/>
    </row>
    <row r="771" ht="22.5" customHeight="1">
      <c r="A771" s="7"/>
      <c r="B771" s="7"/>
      <c r="C771" s="7"/>
      <c r="D771" s="7"/>
      <c r="E771" s="7"/>
    </row>
    <row r="772" ht="22.5" customHeight="1">
      <c r="A772" s="7"/>
      <c r="B772" s="7"/>
      <c r="C772" s="7"/>
      <c r="D772" s="7"/>
      <c r="E772" s="7"/>
    </row>
    <row r="773" ht="22.5" customHeight="1">
      <c r="A773" s="7"/>
      <c r="B773" s="7"/>
      <c r="C773" s="7"/>
      <c r="D773" s="7"/>
      <c r="E773" s="7"/>
    </row>
    <row r="774" ht="22.5" customHeight="1">
      <c r="A774" s="7"/>
      <c r="B774" s="7"/>
      <c r="C774" s="7"/>
      <c r="D774" s="7"/>
      <c r="E774" s="7"/>
    </row>
    <row r="775" ht="22.5" customHeight="1">
      <c r="A775" s="7"/>
      <c r="B775" s="7"/>
      <c r="C775" s="7"/>
      <c r="D775" s="7"/>
      <c r="E775" s="7"/>
    </row>
    <row r="776" ht="22.5" customHeight="1">
      <c r="A776" s="7"/>
      <c r="B776" s="7"/>
      <c r="C776" s="7"/>
      <c r="D776" s="7"/>
      <c r="E776" s="7"/>
    </row>
    <row r="777" ht="22.5" customHeight="1">
      <c r="A777" s="7"/>
      <c r="B777" s="7"/>
      <c r="C777" s="7"/>
      <c r="D777" s="7"/>
      <c r="E777" s="7"/>
    </row>
    <row r="778" ht="22.5" customHeight="1">
      <c r="A778" s="7"/>
      <c r="B778" s="7"/>
      <c r="C778" s="7"/>
      <c r="D778" s="7"/>
      <c r="E778" s="7"/>
    </row>
    <row r="779" ht="22.5" customHeight="1">
      <c r="A779" s="7"/>
      <c r="B779" s="7"/>
      <c r="C779" s="7"/>
      <c r="D779" s="7"/>
      <c r="E779" s="7"/>
    </row>
    <row r="780" ht="22.5" customHeight="1">
      <c r="A780" s="7"/>
      <c r="B780" s="7"/>
      <c r="C780" s="7"/>
      <c r="D780" s="7"/>
      <c r="E780" s="7"/>
    </row>
    <row r="781" ht="22.5" customHeight="1">
      <c r="A781" s="7"/>
      <c r="B781" s="7"/>
      <c r="C781" s="7"/>
      <c r="D781" s="7"/>
      <c r="E781" s="7"/>
    </row>
    <row r="782" ht="22.5" customHeight="1">
      <c r="A782" s="7"/>
      <c r="B782" s="7"/>
      <c r="C782" s="7"/>
      <c r="D782" s="7"/>
      <c r="E782" s="7"/>
    </row>
    <row r="783" ht="22.5" customHeight="1">
      <c r="A783" s="7"/>
      <c r="B783" s="7"/>
      <c r="C783" s="7"/>
      <c r="D783" s="7"/>
      <c r="E783" s="7"/>
    </row>
    <row r="784" ht="22.5" customHeight="1">
      <c r="A784" s="7"/>
      <c r="B784" s="7"/>
      <c r="C784" s="7"/>
      <c r="D784" s="7"/>
      <c r="E784" s="7"/>
    </row>
    <row r="785" ht="22.5" customHeight="1">
      <c r="A785" s="7"/>
      <c r="B785" s="7"/>
      <c r="C785" s="7"/>
      <c r="D785" s="7"/>
      <c r="E785" s="7"/>
    </row>
    <row r="786" ht="22.5" customHeight="1">
      <c r="A786" s="7"/>
      <c r="B786" s="7"/>
      <c r="C786" s="7"/>
      <c r="D786" s="7"/>
      <c r="E786" s="7"/>
    </row>
    <row r="787" ht="22.5" customHeight="1">
      <c r="A787" s="7"/>
      <c r="B787" s="7"/>
      <c r="C787" s="7"/>
      <c r="D787" s="7"/>
      <c r="E787" s="7"/>
    </row>
    <row r="788" ht="22.5" customHeight="1">
      <c r="A788" s="7"/>
      <c r="B788" s="7"/>
      <c r="C788" s="7"/>
      <c r="D788" s="7"/>
      <c r="E788" s="7"/>
    </row>
    <row r="789" ht="22.5" customHeight="1">
      <c r="A789" s="7"/>
      <c r="B789" s="7"/>
      <c r="C789" s="7"/>
      <c r="D789" s="7"/>
      <c r="E789" s="7"/>
    </row>
    <row r="790" ht="22.5" customHeight="1">
      <c r="A790" s="7"/>
      <c r="B790" s="7"/>
      <c r="C790" s="7"/>
      <c r="D790" s="7"/>
      <c r="E790" s="7"/>
    </row>
    <row r="791" ht="22.5" customHeight="1">
      <c r="A791" s="7"/>
      <c r="B791" s="7"/>
      <c r="C791" s="7"/>
      <c r="D791" s="7"/>
      <c r="E791" s="7"/>
    </row>
    <row r="792" ht="22.5" customHeight="1">
      <c r="A792" s="7"/>
      <c r="B792" s="7"/>
      <c r="C792" s="7"/>
      <c r="D792" s="7"/>
      <c r="E792" s="7"/>
    </row>
    <row r="793" ht="22.5" customHeight="1">
      <c r="A793" s="7"/>
      <c r="B793" s="7"/>
      <c r="C793" s="7"/>
      <c r="D793" s="7"/>
      <c r="E793" s="7"/>
    </row>
    <row r="794" ht="22.5" customHeight="1">
      <c r="A794" s="7"/>
      <c r="B794" s="7"/>
      <c r="C794" s="7"/>
      <c r="D794" s="7"/>
      <c r="E794" s="7"/>
    </row>
    <row r="795" ht="22.5" customHeight="1">
      <c r="A795" s="7"/>
      <c r="B795" s="7"/>
      <c r="C795" s="7"/>
      <c r="D795" s="7"/>
      <c r="E795" s="7"/>
    </row>
    <row r="796" ht="22.5" customHeight="1">
      <c r="A796" s="7"/>
      <c r="B796" s="7"/>
      <c r="C796" s="7"/>
      <c r="D796" s="7"/>
      <c r="E796" s="7"/>
    </row>
    <row r="797" ht="22.5" customHeight="1">
      <c r="A797" s="7"/>
      <c r="B797" s="7"/>
      <c r="C797" s="7"/>
      <c r="D797" s="7"/>
      <c r="E797" s="7"/>
    </row>
    <row r="798" ht="22.5" customHeight="1">
      <c r="A798" s="7"/>
      <c r="B798" s="7"/>
      <c r="C798" s="7"/>
      <c r="D798" s="7"/>
      <c r="E798" s="7"/>
    </row>
    <row r="799" ht="22.5" customHeight="1">
      <c r="A799" s="7"/>
      <c r="B799" s="7"/>
      <c r="C799" s="7"/>
      <c r="D799" s="7"/>
      <c r="E799" s="7"/>
    </row>
    <row r="800" ht="22.5" customHeight="1">
      <c r="A800" s="7"/>
      <c r="B800" s="7"/>
      <c r="C800" s="7"/>
      <c r="D800" s="7"/>
      <c r="E800" s="7"/>
    </row>
    <row r="801" ht="22.5" customHeight="1">
      <c r="A801" s="7"/>
      <c r="B801" s="7"/>
      <c r="C801" s="7"/>
      <c r="D801" s="7"/>
      <c r="E801" s="7"/>
    </row>
    <row r="802" ht="22.5" customHeight="1">
      <c r="A802" s="7"/>
      <c r="B802" s="7"/>
      <c r="C802" s="7"/>
      <c r="D802" s="7"/>
      <c r="E802" s="7"/>
    </row>
    <row r="803" ht="22.5" customHeight="1">
      <c r="A803" s="7"/>
      <c r="B803" s="7"/>
      <c r="C803" s="7"/>
      <c r="D803" s="7"/>
      <c r="E803" s="7"/>
    </row>
    <row r="804" ht="22.5" customHeight="1">
      <c r="A804" s="7"/>
      <c r="B804" s="7"/>
      <c r="C804" s="7"/>
      <c r="D804" s="7"/>
      <c r="E804" s="7"/>
    </row>
    <row r="805" ht="22.5" customHeight="1">
      <c r="A805" s="7"/>
      <c r="B805" s="7"/>
      <c r="C805" s="7"/>
      <c r="D805" s="7"/>
      <c r="E805" s="7"/>
    </row>
    <row r="806" ht="22.5" customHeight="1">
      <c r="A806" s="7"/>
      <c r="B806" s="7"/>
      <c r="C806" s="7"/>
      <c r="D806" s="7"/>
      <c r="E806" s="7"/>
    </row>
    <row r="807" ht="22.5" customHeight="1">
      <c r="A807" s="7"/>
      <c r="B807" s="7"/>
      <c r="C807" s="7"/>
      <c r="D807" s="7"/>
      <c r="E807" s="7"/>
    </row>
    <row r="808" ht="22.5" customHeight="1">
      <c r="A808" s="7"/>
      <c r="B808" s="7"/>
      <c r="C808" s="7"/>
      <c r="D808" s="7"/>
      <c r="E808" s="7"/>
    </row>
    <row r="809" ht="22.5" customHeight="1">
      <c r="A809" s="7"/>
      <c r="B809" s="7"/>
      <c r="C809" s="7"/>
      <c r="D809" s="7"/>
      <c r="E809" s="7"/>
    </row>
    <row r="810" ht="22.5" customHeight="1">
      <c r="A810" s="7"/>
      <c r="B810" s="7"/>
      <c r="C810" s="7"/>
      <c r="D810" s="7"/>
      <c r="E810" s="7"/>
    </row>
    <row r="811" ht="22.5" customHeight="1">
      <c r="A811" s="7"/>
      <c r="B811" s="7"/>
      <c r="C811" s="7"/>
      <c r="D811" s="7"/>
      <c r="E811" s="7"/>
    </row>
    <row r="812" ht="22.5" customHeight="1">
      <c r="A812" s="7"/>
      <c r="B812" s="7"/>
      <c r="C812" s="7"/>
      <c r="D812" s="7"/>
      <c r="E812" s="7"/>
    </row>
    <row r="813" ht="22.5" customHeight="1">
      <c r="A813" s="7"/>
      <c r="B813" s="7"/>
      <c r="C813" s="7"/>
      <c r="D813" s="7"/>
      <c r="E813" s="7"/>
    </row>
    <row r="814" ht="22.5" customHeight="1">
      <c r="A814" s="7"/>
      <c r="B814" s="7"/>
      <c r="C814" s="7"/>
      <c r="D814" s="7"/>
      <c r="E814" s="7"/>
    </row>
    <row r="815" ht="22.5" customHeight="1">
      <c r="A815" s="7"/>
      <c r="B815" s="7"/>
      <c r="C815" s="7"/>
      <c r="D815" s="7"/>
      <c r="E815" s="7"/>
    </row>
    <row r="816" ht="22.5" customHeight="1">
      <c r="A816" s="7"/>
      <c r="B816" s="7"/>
      <c r="C816" s="7"/>
      <c r="D816" s="7"/>
      <c r="E816" s="7"/>
    </row>
    <row r="817" ht="22.5" customHeight="1">
      <c r="A817" s="7"/>
      <c r="B817" s="7"/>
      <c r="C817" s="7"/>
      <c r="D817" s="7"/>
      <c r="E817" s="7"/>
    </row>
    <row r="818" ht="22.5" customHeight="1">
      <c r="A818" s="7"/>
      <c r="B818" s="7"/>
      <c r="C818" s="7"/>
      <c r="D818" s="7"/>
      <c r="E818" s="7"/>
    </row>
    <row r="819" ht="22.5" customHeight="1">
      <c r="A819" s="7"/>
      <c r="B819" s="7"/>
      <c r="C819" s="7"/>
      <c r="D819" s="7"/>
      <c r="E819" s="7"/>
    </row>
    <row r="820" ht="22.5" customHeight="1">
      <c r="A820" s="7"/>
      <c r="B820" s="7"/>
      <c r="C820" s="7"/>
      <c r="D820" s="7"/>
      <c r="E820" s="7"/>
    </row>
    <row r="821" ht="22.5" customHeight="1">
      <c r="A821" s="7"/>
      <c r="B821" s="7"/>
      <c r="C821" s="7"/>
      <c r="D821" s="7"/>
      <c r="E821" s="7"/>
    </row>
    <row r="822" ht="22.5" customHeight="1">
      <c r="A822" s="7"/>
      <c r="B822" s="7"/>
      <c r="C822" s="7"/>
      <c r="D822" s="7"/>
      <c r="E822" s="7"/>
    </row>
    <row r="823" ht="22.5" customHeight="1">
      <c r="A823" s="7"/>
      <c r="B823" s="7"/>
      <c r="C823" s="7"/>
      <c r="D823" s="7"/>
      <c r="E823" s="7"/>
    </row>
    <row r="824" ht="22.5" customHeight="1">
      <c r="A824" s="7"/>
      <c r="B824" s="7"/>
      <c r="C824" s="7"/>
      <c r="D824" s="7"/>
      <c r="E824" s="7"/>
    </row>
    <row r="825" ht="22.5" customHeight="1">
      <c r="A825" s="7"/>
      <c r="B825" s="7"/>
      <c r="C825" s="7"/>
      <c r="D825" s="7"/>
      <c r="E825" s="7"/>
    </row>
    <row r="826" ht="22.5" customHeight="1">
      <c r="A826" s="7"/>
      <c r="B826" s="7"/>
      <c r="C826" s="7"/>
      <c r="D826" s="7"/>
      <c r="E826" s="7"/>
    </row>
    <row r="827" ht="22.5" customHeight="1">
      <c r="A827" s="7"/>
      <c r="B827" s="7"/>
      <c r="C827" s="7"/>
      <c r="D827" s="7"/>
      <c r="E827" s="7"/>
    </row>
    <row r="828" ht="22.5" customHeight="1">
      <c r="A828" s="7"/>
      <c r="B828" s="7"/>
      <c r="C828" s="7"/>
      <c r="D828" s="7"/>
      <c r="E828" s="7"/>
    </row>
    <row r="829" ht="22.5" customHeight="1">
      <c r="A829" s="7"/>
      <c r="B829" s="7"/>
      <c r="C829" s="7"/>
      <c r="D829" s="7"/>
      <c r="E829" s="7"/>
    </row>
    <row r="830" ht="22.5" customHeight="1">
      <c r="A830" s="7"/>
      <c r="B830" s="7"/>
      <c r="C830" s="7"/>
      <c r="D830" s="7"/>
      <c r="E830" s="7"/>
    </row>
    <row r="831" ht="22.5" customHeight="1">
      <c r="A831" s="7"/>
      <c r="B831" s="7"/>
      <c r="C831" s="7"/>
      <c r="D831" s="7"/>
      <c r="E831" s="7"/>
    </row>
    <row r="832" ht="22.5" customHeight="1">
      <c r="A832" s="7"/>
      <c r="B832" s="7"/>
      <c r="C832" s="7"/>
      <c r="D832" s="7"/>
      <c r="E832" s="7"/>
    </row>
    <row r="833" ht="22.5" customHeight="1">
      <c r="A833" s="7"/>
      <c r="B833" s="7"/>
      <c r="C833" s="7"/>
      <c r="D833" s="7"/>
      <c r="E833" s="7"/>
    </row>
    <row r="834" ht="22.5" customHeight="1">
      <c r="A834" s="7"/>
      <c r="B834" s="7"/>
      <c r="C834" s="7"/>
      <c r="D834" s="7"/>
      <c r="E834" s="7"/>
    </row>
    <row r="835" ht="22.5" customHeight="1">
      <c r="A835" s="7"/>
      <c r="B835" s="7"/>
      <c r="C835" s="7"/>
      <c r="D835" s="7"/>
      <c r="E835" s="7"/>
    </row>
    <row r="836" ht="22.5" customHeight="1">
      <c r="A836" s="7"/>
      <c r="B836" s="7"/>
      <c r="C836" s="7"/>
      <c r="D836" s="7"/>
      <c r="E836" s="7"/>
    </row>
    <row r="837" ht="22.5" customHeight="1">
      <c r="A837" s="7"/>
      <c r="B837" s="7"/>
      <c r="C837" s="7"/>
      <c r="D837" s="7"/>
      <c r="E837" s="7"/>
    </row>
    <row r="838" ht="22.5" customHeight="1">
      <c r="A838" s="7"/>
      <c r="B838" s="7"/>
      <c r="C838" s="7"/>
      <c r="D838" s="7"/>
      <c r="E838" s="7"/>
    </row>
    <row r="839" ht="22.5" customHeight="1">
      <c r="A839" s="7"/>
      <c r="B839" s="7"/>
      <c r="C839" s="7"/>
      <c r="D839" s="7"/>
      <c r="E839" s="7"/>
    </row>
    <row r="840" ht="22.5" customHeight="1">
      <c r="A840" s="7"/>
      <c r="B840" s="7"/>
      <c r="C840" s="7"/>
      <c r="D840" s="7"/>
      <c r="E840" s="7"/>
    </row>
    <row r="841" ht="22.5" customHeight="1">
      <c r="A841" s="7"/>
      <c r="B841" s="7"/>
      <c r="C841" s="7"/>
      <c r="D841" s="7"/>
      <c r="E841" s="7"/>
    </row>
    <row r="842" ht="22.5" customHeight="1">
      <c r="A842" s="7"/>
      <c r="B842" s="7"/>
      <c r="C842" s="7"/>
      <c r="D842" s="7"/>
      <c r="E842" s="7"/>
    </row>
    <row r="843" ht="22.5" customHeight="1">
      <c r="A843" s="7"/>
      <c r="B843" s="7"/>
      <c r="C843" s="7"/>
      <c r="D843" s="7"/>
      <c r="E843" s="7"/>
    </row>
    <row r="844" ht="22.5" customHeight="1">
      <c r="A844" s="7"/>
      <c r="B844" s="7"/>
      <c r="C844" s="7"/>
      <c r="D844" s="7"/>
      <c r="E844" s="7"/>
    </row>
    <row r="845" ht="22.5" customHeight="1">
      <c r="A845" s="7"/>
      <c r="B845" s="7"/>
      <c r="C845" s="7"/>
      <c r="D845" s="7"/>
      <c r="E845" s="7"/>
    </row>
    <row r="846" ht="22.5" customHeight="1">
      <c r="A846" s="7"/>
      <c r="B846" s="7"/>
      <c r="C846" s="7"/>
      <c r="D846" s="7"/>
      <c r="E846" s="7"/>
    </row>
    <row r="847" ht="22.5" customHeight="1">
      <c r="A847" s="7"/>
      <c r="B847" s="7"/>
      <c r="C847" s="7"/>
      <c r="D847" s="7"/>
      <c r="E847" s="7"/>
    </row>
    <row r="848" ht="22.5" customHeight="1">
      <c r="A848" s="7"/>
      <c r="B848" s="7"/>
      <c r="C848" s="7"/>
      <c r="D848" s="7"/>
      <c r="E848" s="7"/>
    </row>
    <row r="849" ht="22.5" customHeight="1">
      <c r="A849" s="7"/>
      <c r="B849" s="7"/>
      <c r="C849" s="7"/>
      <c r="D849" s="7"/>
      <c r="E849" s="7"/>
    </row>
    <row r="850" ht="22.5" customHeight="1">
      <c r="A850" s="7"/>
      <c r="B850" s="7"/>
      <c r="C850" s="7"/>
      <c r="D850" s="7"/>
      <c r="E850" s="7"/>
    </row>
    <row r="851" ht="22.5" customHeight="1">
      <c r="A851" s="7"/>
      <c r="B851" s="7"/>
      <c r="C851" s="7"/>
      <c r="D851" s="7"/>
      <c r="E851" s="7"/>
    </row>
    <row r="852" ht="22.5" customHeight="1">
      <c r="A852" s="7"/>
      <c r="B852" s="7"/>
      <c r="C852" s="7"/>
      <c r="D852" s="7"/>
      <c r="E852" s="7"/>
    </row>
    <row r="853" ht="22.5" customHeight="1">
      <c r="A853" s="7"/>
      <c r="B853" s="7"/>
      <c r="C853" s="7"/>
      <c r="D853" s="7"/>
      <c r="E853" s="7"/>
    </row>
    <row r="854" ht="22.5" customHeight="1">
      <c r="A854" s="7"/>
      <c r="B854" s="7"/>
      <c r="C854" s="7"/>
      <c r="D854" s="7"/>
      <c r="E854" s="7"/>
    </row>
    <row r="855" ht="22.5" customHeight="1">
      <c r="A855" s="7"/>
      <c r="B855" s="7"/>
      <c r="C855" s="7"/>
      <c r="D855" s="7"/>
      <c r="E855" s="7"/>
    </row>
    <row r="856" ht="22.5" customHeight="1">
      <c r="A856" s="7"/>
      <c r="B856" s="7"/>
      <c r="C856" s="7"/>
      <c r="D856" s="7"/>
      <c r="E856" s="7"/>
    </row>
    <row r="857" ht="22.5" customHeight="1">
      <c r="A857" s="7"/>
      <c r="B857" s="7"/>
      <c r="C857" s="7"/>
      <c r="D857" s="7"/>
      <c r="E857" s="7"/>
    </row>
    <row r="858" ht="22.5" customHeight="1">
      <c r="A858" s="7"/>
      <c r="B858" s="7"/>
      <c r="C858" s="7"/>
      <c r="D858" s="7"/>
      <c r="E858" s="7"/>
    </row>
    <row r="859" ht="22.5" customHeight="1">
      <c r="A859" s="7"/>
      <c r="B859" s="7"/>
      <c r="C859" s="7"/>
      <c r="D859" s="7"/>
      <c r="E859" s="7"/>
    </row>
    <row r="860" ht="22.5" customHeight="1">
      <c r="A860" s="7"/>
      <c r="B860" s="7"/>
      <c r="C860" s="7"/>
      <c r="D860" s="7"/>
      <c r="E860" s="7"/>
    </row>
    <row r="861" ht="22.5" customHeight="1">
      <c r="A861" s="7"/>
      <c r="B861" s="7"/>
      <c r="C861" s="7"/>
      <c r="D861" s="7"/>
      <c r="E861" s="7"/>
    </row>
    <row r="862" ht="22.5" customHeight="1">
      <c r="A862" s="7"/>
      <c r="B862" s="7"/>
      <c r="C862" s="7"/>
      <c r="D862" s="7"/>
      <c r="E862" s="7"/>
    </row>
    <row r="863" ht="22.5" customHeight="1">
      <c r="A863" s="7"/>
      <c r="B863" s="7"/>
      <c r="C863" s="7"/>
      <c r="D863" s="7"/>
      <c r="E863" s="7"/>
    </row>
    <row r="864" ht="22.5" customHeight="1">
      <c r="A864" s="7"/>
      <c r="B864" s="7"/>
      <c r="C864" s="7"/>
      <c r="D864" s="7"/>
      <c r="E864" s="7"/>
    </row>
    <row r="865" ht="22.5" customHeight="1">
      <c r="A865" s="7"/>
      <c r="B865" s="7"/>
      <c r="C865" s="7"/>
      <c r="D865" s="7"/>
      <c r="E865" s="7"/>
    </row>
    <row r="866" ht="22.5" customHeight="1">
      <c r="A866" s="7"/>
      <c r="B866" s="7"/>
      <c r="C866" s="7"/>
      <c r="D866" s="7"/>
      <c r="E866" s="7"/>
    </row>
    <row r="867" ht="22.5" customHeight="1">
      <c r="A867" s="7"/>
      <c r="B867" s="7"/>
      <c r="C867" s="7"/>
      <c r="D867" s="7"/>
      <c r="E867" s="7"/>
    </row>
    <row r="868" ht="22.5" customHeight="1">
      <c r="A868" s="7"/>
      <c r="B868" s="7"/>
      <c r="C868" s="7"/>
      <c r="D868" s="7"/>
      <c r="E868" s="7"/>
    </row>
    <row r="869" ht="22.5" customHeight="1">
      <c r="A869" s="7"/>
      <c r="B869" s="7"/>
      <c r="C869" s="7"/>
      <c r="D869" s="7"/>
      <c r="E869" s="7"/>
    </row>
    <row r="870" ht="22.5" customHeight="1">
      <c r="A870" s="7"/>
      <c r="B870" s="7"/>
      <c r="C870" s="7"/>
      <c r="D870" s="7"/>
      <c r="E870" s="7"/>
    </row>
    <row r="871" ht="22.5" customHeight="1">
      <c r="A871" s="7"/>
      <c r="B871" s="7"/>
      <c r="C871" s="7"/>
      <c r="D871" s="7"/>
      <c r="E871" s="7"/>
    </row>
    <row r="872" ht="22.5" customHeight="1">
      <c r="A872" s="7"/>
      <c r="B872" s="7"/>
      <c r="C872" s="7"/>
      <c r="D872" s="7"/>
      <c r="E872" s="7"/>
    </row>
    <row r="873" ht="22.5" customHeight="1">
      <c r="A873" s="7"/>
      <c r="B873" s="7"/>
      <c r="C873" s="7"/>
      <c r="D873" s="7"/>
      <c r="E873" s="7"/>
    </row>
    <row r="874" ht="22.5" customHeight="1">
      <c r="A874" s="7"/>
      <c r="B874" s="7"/>
      <c r="C874" s="7"/>
      <c r="D874" s="7"/>
      <c r="E874" s="7"/>
    </row>
    <row r="875" ht="22.5" customHeight="1">
      <c r="A875" s="7"/>
      <c r="B875" s="7"/>
      <c r="C875" s="7"/>
      <c r="D875" s="7"/>
      <c r="E875" s="7"/>
    </row>
    <row r="876" ht="22.5" customHeight="1">
      <c r="A876" s="7"/>
      <c r="B876" s="7"/>
      <c r="C876" s="7"/>
      <c r="D876" s="7"/>
      <c r="E876" s="7"/>
    </row>
    <row r="877" ht="22.5" customHeight="1">
      <c r="A877" s="7"/>
      <c r="B877" s="7"/>
      <c r="C877" s="7"/>
      <c r="D877" s="7"/>
      <c r="E877" s="7"/>
    </row>
    <row r="878" ht="22.5" customHeight="1">
      <c r="A878" s="7"/>
      <c r="B878" s="7"/>
      <c r="C878" s="7"/>
      <c r="D878" s="7"/>
      <c r="E878" s="7"/>
    </row>
    <row r="879" ht="22.5" customHeight="1">
      <c r="A879" s="7"/>
      <c r="B879" s="7"/>
      <c r="C879" s="7"/>
      <c r="D879" s="7"/>
      <c r="E879" s="7"/>
    </row>
    <row r="880" ht="22.5" customHeight="1">
      <c r="A880" s="7"/>
      <c r="B880" s="7"/>
      <c r="C880" s="7"/>
      <c r="D880" s="7"/>
      <c r="E880" s="7"/>
    </row>
    <row r="881" ht="22.5" customHeight="1">
      <c r="A881" s="7"/>
      <c r="B881" s="7"/>
      <c r="C881" s="7"/>
      <c r="D881" s="7"/>
      <c r="E881" s="7"/>
    </row>
    <row r="882" ht="22.5" customHeight="1">
      <c r="A882" s="7"/>
      <c r="B882" s="7"/>
      <c r="C882" s="7"/>
      <c r="D882" s="7"/>
      <c r="E882" s="7"/>
    </row>
    <row r="883" ht="22.5" customHeight="1">
      <c r="A883" s="7"/>
      <c r="B883" s="7"/>
      <c r="C883" s="7"/>
      <c r="D883" s="7"/>
      <c r="E883" s="7"/>
    </row>
    <row r="884" ht="22.5" customHeight="1">
      <c r="A884" s="7"/>
      <c r="B884" s="7"/>
      <c r="C884" s="7"/>
      <c r="D884" s="7"/>
      <c r="E884" s="7"/>
    </row>
    <row r="885" ht="22.5" customHeight="1">
      <c r="A885" s="7"/>
      <c r="B885" s="7"/>
      <c r="C885" s="7"/>
      <c r="D885" s="7"/>
      <c r="E885" s="7"/>
    </row>
    <row r="886" ht="22.5" customHeight="1">
      <c r="A886" s="7"/>
      <c r="B886" s="7"/>
      <c r="C886" s="7"/>
      <c r="D886" s="7"/>
      <c r="E886" s="7"/>
    </row>
    <row r="887" ht="22.5" customHeight="1">
      <c r="A887" s="7"/>
      <c r="B887" s="7"/>
      <c r="C887" s="7"/>
      <c r="D887" s="7"/>
      <c r="E887" s="7"/>
    </row>
    <row r="888" ht="22.5" customHeight="1">
      <c r="A888" s="7"/>
      <c r="B888" s="7"/>
      <c r="C888" s="7"/>
      <c r="D888" s="7"/>
      <c r="E888" s="7"/>
    </row>
    <row r="889" ht="22.5" customHeight="1">
      <c r="A889" s="7"/>
      <c r="B889" s="7"/>
      <c r="C889" s="7"/>
      <c r="D889" s="7"/>
      <c r="E889" s="7"/>
    </row>
    <row r="890" ht="22.5" customHeight="1">
      <c r="A890" s="7"/>
      <c r="B890" s="7"/>
      <c r="C890" s="7"/>
      <c r="D890" s="7"/>
      <c r="E890" s="7"/>
    </row>
    <row r="891" ht="22.5" customHeight="1">
      <c r="A891" s="7"/>
      <c r="B891" s="7"/>
      <c r="C891" s="7"/>
      <c r="D891" s="7"/>
      <c r="E891" s="7"/>
    </row>
    <row r="892" ht="22.5" customHeight="1">
      <c r="A892" s="7"/>
      <c r="B892" s="7"/>
      <c r="C892" s="7"/>
      <c r="D892" s="7"/>
      <c r="E892" s="7"/>
    </row>
    <row r="893" ht="22.5" customHeight="1">
      <c r="A893" s="7"/>
      <c r="B893" s="7"/>
      <c r="C893" s="7"/>
      <c r="D893" s="7"/>
      <c r="E893" s="7"/>
    </row>
    <row r="894" ht="22.5" customHeight="1">
      <c r="A894" s="7"/>
      <c r="B894" s="7"/>
      <c r="C894" s="7"/>
      <c r="D894" s="7"/>
      <c r="E894" s="7"/>
    </row>
    <row r="895" ht="22.5" customHeight="1">
      <c r="A895" s="7"/>
      <c r="B895" s="7"/>
      <c r="C895" s="7"/>
      <c r="D895" s="7"/>
      <c r="E895" s="7"/>
    </row>
    <row r="896" ht="22.5" customHeight="1">
      <c r="A896" s="7"/>
      <c r="B896" s="7"/>
      <c r="C896" s="7"/>
      <c r="D896" s="7"/>
      <c r="E896" s="7"/>
    </row>
    <row r="897" ht="22.5" customHeight="1">
      <c r="A897" s="7"/>
      <c r="B897" s="7"/>
      <c r="C897" s="7"/>
      <c r="D897" s="7"/>
      <c r="E897" s="7"/>
    </row>
    <row r="898" ht="22.5" customHeight="1">
      <c r="A898" s="7"/>
      <c r="B898" s="7"/>
      <c r="C898" s="7"/>
      <c r="D898" s="7"/>
      <c r="E898" s="7"/>
    </row>
    <row r="899" ht="22.5" customHeight="1">
      <c r="A899" s="7"/>
      <c r="B899" s="7"/>
      <c r="C899" s="7"/>
      <c r="D899" s="7"/>
      <c r="E899" s="7"/>
    </row>
    <row r="900" ht="22.5" customHeight="1">
      <c r="A900" s="7"/>
      <c r="B900" s="7"/>
      <c r="C900" s="7"/>
      <c r="D900" s="7"/>
      <c r="E900" s="7"/>
    </row>
    <row r="901" ht="22.5" customHeight="1">
      <c r="A901" s="7"/>
      <c r="B901" s="7"/>
      <c r="C901" s="7"/>
      <c r="D901" s="7"/>
      <c r="E901" s="7"/>
    </row>
    <row r="902" ht="22.5" customHeight="1">
      <c r="A902" s="7"/>
      <c r="B902" s="7"/>
      <c r="C902" s="7"/>
      <c r="D902" s="7"/>
      <c r="E902" s="7"/>
    </row>
    <row r="903" ht="22.5" customHeight="1">
      <c r="A903" s="7"/>
      <c r="B903" s="7"/>
      <c r="C903" s="7"/>
      <c r="D903" s="7"/>
      <c r="E903" s="7"/>
    </row>
    <row r="904" ht="22.5" customHeight="1">
      <c r="A904" s="7"/>
      <c r="B904" s="7"/>
      <c r="C904" s="7"/>
      <c r="D904" s="7"/>
      <c r="E904" s="7"/>
    </row>
    <row r="905" ht="22.5" customHeight="1">
      <c r="A905" s="7"/>
      <c r="B905" s="7"/>
      <c r="C905" s="7"/>
      <c r="D905" s="7"/>
      <c r="E905" s="7"/>
    </row>
    <row r="906" ht="22.5" customHeight="1">
      <c r="A906" s="7"/>
      <c r="B906" s="7"/>
      <c r="C906" s="7"/>
      <c r="D906" s="7"/>
      <c r="E906" s="7"/>
    </row>
    <row r="907" ht="22.5" customHeight="1">
      <c r="A907" s="7"/>
      <c r="B907" s="7"/>
      <c r="C907" s="7"/>
      <c r="D907" s="7"/>
      <c r="E907" s="7"/>
    </row>
    <row r="908" ht="22.5" customHeight="1">
      <c r="A908" s="7"/>
      <c r="B908" s="7"/>
      <c r="C908" s="7"/>
      <c r="D908" s="7"/>
      <c r="E908" s="7"/>
    </row>
    <row r="909" ht="22.5" customHeight="1">
      <c r="A909" s="7"/>
      <c r="B909" s="7"/>
      <c r="C909" s="7"/>
      <c r="D909" s="7"/>
      <c r="E909" s="7"/>
    </row>
    <row r="910" ht="22.5" customHeight="1">
      <c r="A910" s="7"/>
      <c r="B910" s="7"/>
      <c r="C910" s="7"/>
      <c r="D910" s="7"/>
      <c r="E910" s="7"/>
    </row>
    <row r="911" ht="22.5" customHeight="1">
      <c r="A911" s="7"/>
      <c r="B911" s="7"/>
      <c r="C911" s="7"/>
      <c r="D911" s="7"/>
      <c r="E911" s="7"/>
    </row>
    <row r="912" ht="22.5" customHeight="1">
      <c r="A912" s="7"/>
      <c r="B912" s="7"/>
      <c r="C912" s="7"/>
      <c r="D912" s="7"/>
      <c r="E912" s="7"/>
    </row>
    <row r="913" ht="22.5" customHeight="1">
      <c r="A913" s="7"/>
      <c r="B913" s="7"/>
      <c r="C913" s="7"/>
      <c r="D913" s="7"/>
      <c r="E913" s="7"/>
    </row>
    <row r="914" ht="22.5" customHeight="1">
      <c r="A914" s="7"/>
      <c r="B914" s="7"/>
      <c r="C914" s="7"/>
      <c r="D914" s="7"/>
      <c r="E914" s="7"/>
    </row>
    <row r="915" ht="22.5" customHeight="1">
      <c r="A915" s="7"/>
      <c r="B915" s="7"/>
      <c r="C915" s="7"/>
      <c r="D915" s="7"/>
      <c r="E915" s="7"/>
    </row>
    <row r="916" ht="22.5" customHeight="1">
      <c r="A916" s="7"/>
      <c r="B916" s="7"/>
      <c r="C916" s="7"/>
      <c r="D916" s="7"/>
      <c r="E916" s="7"/>
    </row>
    <row r="917" ht="22.5" customHeight="1">
      <c r="A917" s="7"/>
      <c r="B917" s="7"/>
      <c r="C917" s="7"/>
      <c r="D917" s="7"/>
      <c r="E917" s="7"/>
    </row>
    <row r="918" ht="22.5" customHeight="1">
      <c r="A918" s="7"/>
      <c r="B918" s="7"/>
      <c r="C918" s="7"/>
      <c r="D918" s="7"/>
      <c r="E918" s="7"/>
    </row>
    <row r="919" ht="22.5" customHeight="1">
      <c r="A919" s="7"/>
      <c r="B919" s="7"/>
      <c r="C919" s="7"/>
      <c r="D919" s="7"/>
      <c r="E919" s="7"/>
    </row>
    <row r="920" ht="22.5" customHeight="1">
      <c r="A920" s="7"/>
      <c r="B920" s="7"/>
      <c r="C920" s="7"/>
      <c r="D920" s="7"/>
      <c r="E920" s="7"/>
    </row>
    <row r="921" ht="22.5" customHeight="1">
      <c r="A921" s="7"/>
      <c r="B921" s="7"/>
      <c r="C921" s="7"/>
      <c r="D921" s="7"/>
      <c r="E921" s="7"/>
    </row>
    <row r="922" ht="22.5" customHeight="1">
      <c r="A922" s="7"/>
      <c r="B922" s="7"/>
      <c r="C922" s="7"/>
      <c r="D922" s="7"/>
      <c r="E922" s="7"/>
    </row>
    <row r="923" ht="22.5" customHeight="1">
      <c r="A923" s="7"/>
      <c r="B923" s="7"/>
      <c r="C923" s="7"/>
      <c r="D923" s="7"/>
      <c r="E923" s="7"/>
    </row>
    <row r="924" ht="22.5" customHeight="1">
      <c r="A924" s="7"/>
      <c r="B924" s="7"/>
      <c r="C924" s="7"/>
      <c r="D924" s="7"/>
      <c r="E924" s="7"/>
    </row>
    <row r="925" ht="22.5" customHeight="1">
      <c r="A925" s="7"/>
      <c r="B925" s="7"/>
      <c r="C925" s="7"/>
      <c r="D925" s="7"/>
      <c r="E925" s="7"/>
    </row>
    <row r="926" ht="22.5" customHeight="1">
      <c r="A926" s="7"/>
      <c r="B926" s="7"/>
      <c r="C926" s="7"/>
      <c r="D926" s="7"/>
      <c r="E926" s="7"/>
    </row>
    <row r="927" ht="22.5" customHeight="1">
      <c r="A927" s="7"/>
      <c r="B927" s="7"/>
      <c r="C927" s="7"/>
      <c r="D927" s="7"/>
      <c r="E927" s="7"/>
    </row>
    <row r="928" ht="22.5" customHeight="1">
      <c r="A928" s="7"/>
      <c r="B928" s="7"/>
      <c r="C928" s="7"/>
      <c r="D928" s="7"/>
      <c r="E928" s="7"/>
    </row>
    <row r="929" ht="22.5" customHeight="1">
      <c r="A929" s="7"/>
      <c r="B929" s="7"/>
      <c r="C929" s="7"/>
      <c r="D929" s="7"/>
      <c r="E929" s="7"/>
    </row>
    <row r="930" ht="22.5" customHeight="1">
      <c r="A930" s="7"/>
      <c r="B930" s="7"/>
      <c r="C930" s="7"/>
      <c r="D930" s="7"/>
      <c r="E930" s="7"/>
    </row>
    <row r="931" ht="22.5" customHeight="1">
      <c r="A931" s="7"/>
      <c r="B931" s="7"/>
      <c r="C931" s="7"/>
      <c r="D931" s="7"/>
      <c r="E931" s="7"/>
    </row>
    <row r="932" ht="22.5" customHeight="1">
      <c r="A932" s="7"/>
      <c r="B932" s="7"/>
      <c r="C932" s="7"/>
      <c r="D932" s="7"/>
      <c r="E932" s="7"/>
    </row>
    <row r="933" ht="22.5" customHeight="1">
      <c r="A933" s="7"/>
      <c r="B933" s="7"/>
      <c r="C933" s="7"/>
      <c r="D933" s="7"/>
      <c r="E933" s="7"/>
    </row>
    <row r="934" ht="22.5" customHeight="1">
      <c r="A934" s="7"/>
      <c r="B934" s="7"/>
      <c r="C934" s="7"/>
      <c r="D934" s="7"/>
      <c r="E934" s="7"/>
    </row>
    <row r="935" ht="22.5" customHeight="1">
      <c r="A935" s="7"/>
      <c r="B935" s="7"/>
      <c r="C935" s="7"/>
      <c r="D935" s="7"/>
      <c r="E935" s="7"/>
    </row>
    <row r="936" ht="22.5" customHeight="1">
      <c r="A936" s="7"/>
      <c r="B936" s="7"/>
      <c r="C936" s="7"/>
      <c r="D936" s="7"/>
      <c r="E936" s="7"/>
    </row>
    <row r="937" ht="22.5" customHeight="1">
      <c r="A937" s="7"/>
      <c r="B937" s="7"/>
      <c r="C937" s="7"/>
      <c r="D937" s="7"/>
      <c r="E937" s="7"/>
    </row>
    <row r="938" ht="22.5" customHeight="1">
      <c r="A938" s="7"/>
      <c r="B938" s="7"/>
      <c r="C938" s="7"/>
      <c r="D938" s="7"/>
      <c r="E938" s="7"/>
    </row>
    <row r="939" ht="22.5" customHeight="1">
      <c r="A939" s="7"/>
      <c r="B939" s="7"/>
      <c r="C939" s="7"/>
      <c r="D939" s="7"/>
      <c r="E939" s="7"/>
    </row>
    <row r="940" ht="22.5" customHeight="1">
      <c r="A940" s="7"/>
      <c r="B940" s="7"/>
      <c r="C940" s="7"/>
      <c r="D940" s="7"/>
      <c r="E940" s="7"/>
    </row>
    <row r="941" ht="22.5" customHeight="1">
      <c r="A941" s="7"/>
      <c r="B941" s="7"/>
      <c r="C941" s="7"/>
      <c r="D941" s="7"/>
      <c r="E941" s="7"/>
    </row>
    <row r="942" ht="22.5" customHeight="1">
      <c r="A942" s="7"/>
      <c r="B942" s="7"/>
      <c r="C942" s="7"/>
      <c r="D942" s="7"/>
      <c r="E942" s="7"/>
    </row>
    <row r="943" ht="22.5" customHeight="1">
      <c r="A943" s="7"/>
      <c r="B943" s="7"/>
      <c r="C943" s="7"/>
      <c r="D943" s="7"/>
      <c r="E943" s="7"/>
    </row>
    <row r="944" ht="22.5" customHeight="1">
      <c r="A944" s="7"/>
      <c r="B944" s="7"/>
      <c r="C944" s="7"/>
      <c r="D944" s="7"/>
      <c r="E944" s="7"/>
    </row>
    <row r="945" ht="22.5" customHeight="1">
      <c r="A945" s="7"/>
      <c r="B945" s="7"/>
      <c r="C945" s="7"/>
      <c r="D945" s="7"/>
      <c r="E945" s="7"/>
    </row>
    <row r="946" ht="22.5" customHeight="1">
      <c r="A946" s="7"/>
      <c r="B946" s="7"/>
      <c r="C946" s="7"/>
      <c r="D946" s="7"/>
      <c r="E946" s="7"/>
    </row>
    <row r="947" ht="22.5" customHeight="1">
      <c r="A947" s="7"/>
      <c r="B947" s="7"/>
      <c r="C947" s="7"/>
      <c r="D947" s="7"/>
      <c r="E947" s="7"/>
    </row>
    <row r="948" ht="22.5" customHeight="1">
      <c r="A948" s="7"/>
      <c r="B948" s="7"/>
      <c r="C948" s="7"/>
      <c r="D948" s="7"/>
      <c r="E948" s="7"/>
    </row>
    <row r="949" ht="22.5" customHeight="1">
      <c r="A949" s="7"/>
      <c r="B949" s="7"/>
      <c r="C949" s="7"/>
      <c r="D949" s="7"/>
      <c r="E949" s="7"/>
    </row>
    <row r="950" ht="22.5" customHeight="1">
      <c r="A950" s="7"/>
      <c r="B950" s="7"/>
      <c r="C950" s="7"/>
      <c r="D950" s="7"/>
      <c r="E950" s="7"/>
    </row>
    <row r="951" ht="22.5" customHeight="1">
      <c r="A951" s="7"/>
      <c r="B951" s="7"/>
      <c r="C951" s="7"/>
      <c r="D951" s="7"/>
      <c r="E951" s="7"/>
    </row>
    <row r="952" ht="22.5" customHeight="1">
      <c r="A952" s="7"/>
      <c r="B952" s="7"/>
      <c r="C952" s="7"/>
      <c r="D952" s="7"/>
      <c r="E952" s="7"/>
    </row>
    <row r="953" ht="22.5" customHeight="1">
      <c r="A953" s="7"/>
      <c r="B953" s="7"/>
      <c r="C953" s="7"/>
      <c r="D953" s="7"/>
      <c r="E953" s="7"/>
    </row>
    <row r="954" ht="22.5" customHeight="1">
      <c r="A954" s="7"/>
      <c r="B954" s="7"/>
      <c r="C954" s="7"/>
      <c r="D954" s="7"/>
      <c r="E954" s="7"/>
    </row>
    <row r="955" ht="22.5" customHeight="1">
      <c r="A955" s="7"/>
      <c r="B955" s="7"/>
      <c r="C955" s="7"/>
      <c r="D955" s="7"/>
      <c r="E955" s="7"/>
    </row>
    <row r="956" ht="22.5" customHeight="1">
      <c r="A956" s="7"/>
      <c r="B956" s="7"/>
      <c r="C956" s="7"/>
      <c r="D956" s="7"/>
      <c r="E956" s="7"/>
    </row>
    <row r="957" ht="22.5" customHeight="1">
      <c r="A957" s="7"/>
      <c r="B957" s="7"/>
      <c r="C957" s="7"/>
      <c r="D957" s="7"/>
      <c r="E957" s="7"/>
    </row>
    <row r="958" ht="22.5" customHeight="1">
      <c r="A958" s="7"/>
      <c r="B958" s="7"/>
      <c r="C958" s="7"/>
      <c r="D958" s="7"/>
      <c r="E958" s="7"/>
    </row>
    <row r="959" ht="22.5" customHeight="1">
      <c r="A959" s="7"/>
      <c r="B959" s="7"/>
      <c r="C959" s="7"/>
      <c r="D959" s="7"/>
      <c r="E959" s="7"/>
    </row>
    <row r="960" ht="22.5" customHeight="1">
      <c r="A960" s="7"/>
      <c r="B960" s="7"/>
      <c r="C960" s="7"/>
      <c r="D960" s="7"/>
      <c r="E960" s="7"/>
    </row>
    <row r="961" ht="22.5" customHeight="1">
      <c r="A961" s="7"/>
      <c r="B961" s="7"/>
      <c r="C961" s="7"/>
      <c r="D961" s="7"/>
      <c r="E961" s="7"/>
    </row>
    <row r="962" ht="22.5" customHeight="1">
      <c r="A962" s="7"/>
      <c r="B962" s="7"/>
      <c r="C962" s="7"/>
      <c r="D962" s="7"/>
      <c r="E962" s="7"/>
    </row>
    <row r="963" ht="22.5" customHeight="1">
      <c r="A963" s="7"/>
      <c r="B963" s="7"/>
      <c r="C963" s="7"/>
      <c r="D963" s="7"/>
      <c r="E963" s="7"/>
    </row>
    <row r="964" ht="22.5" customHeight="1">
      <c r="A964" s="7"/>
      <c r="B964" s="7"/>
      <c r="C964" s="7"/>
      <c r="D964" s="7"/>
      <c r="E964" s="7"/>
    </row>
    <row r="965" ht="22.5" customHeight="1">
      <c r="A965" s="7"/>
      <c r="B965" s="7"/>
      <c r="C965" s="7"/>
      <c r="D965" s="7"/>
      <c r="E965" s="7"/>
    </row>
    <row r="966" ht="22.5" customHeight="1">
      <c r="A966" s="7"/>
      <c r="B966" s="7"/>
      <c r="C966" s="7"/>
      <c r="D966" s="7"/>
      <c r="E966" s="7"/>
    </row>
    <row r="967" ht="22.5" customHeight="1">
      <c r="A967" s="7"/>
      <c r="B967" s="7"/>
      <c r="C967" s="7"/>
      <c r="D967" s="7"/>
      <c r="E967" s="7"/>
    </row>
    <row r="968" ht="22.5" customHeight="1">
      <c r="A968" s="7"/>
      <c r="B968" s="7"/>
      <c r="C968" s="7"/>
      <c r="D968" s="7"/>
      <c r="E968" s="7"/>
    </row>
    <row r="969" ht="22.5" customHeight="1">
      <c r="A969" s="7"/>
      <c r="B969" s="7"/>
      <c r="C969" s="7"/>
      <c r="D969" s="7"/>
      <c r="E969" s="7"/>
    </row>
    <row r="970" ht="22.5" customHeight="1">
      <c r="A970" s="7"/>
      <c r="B970" s="7"/>
      <c r="C970" s="7"/>
      <c r="D970" s="7"/>
      <c r="E970" s="7"/>
    </row>
    <row r="971" ht="22.5" customHeight="1">
      <c r="A971" s="7"/>
      <c r="B971" s="7"/>
      <c r="C971" s="7"/>
      <c r="D971" s="7"/>
      <c r="E971" s="7"/>
    </row>
    <row r="972" ht="22.5" customHeight="1">
      <c r="A972" s="7"/>
      <c r="B972" s="7"/>
      <c r="C972" s="7"/>
      <c r="D972" s="7"/>
      <c r="E972" s="7"/>
    </row>
    <row r="973" ht="22.5" customHeight="1">
      <c r="A973" s="7"/>
      <c r="B973" s="7"/>
      <c r="C973" s="7"/>
      <c r="D973" s="7"/>
      <c r="E973" s="7"/>
    </row>
    <row r="974" ht="22.5" customHeight="1">
      <c r="A974" s="7"/>
      <c r="B974" s="7"/>
      <c r="C974" s="7"/>
      <c r="D974" s="7"/>
      <c r="E974" s="7"/>
    </row>
    <row r="975" ht="22.5" customHeight="1">
      <c r="A975" s="7"/>
      <c r="B975" s="7"/>
      <c r="C975" s="7"/>
      <c r="D975" s="7"/>
      <c r="E975" s="7"/>
    </row>
    <row r="976" ht="22.5" customHeight="1">
      <c r="A976" s="7"/>
      <c r="B976" s="7"/>
      <c r="C976" s="7"/>
      <c r="D976" s="7"/>
      <c r="E976" s="7"/>
    </row>
    <row r="977" ht="22.5" customHeight="1">
      <c r="A977" s="7"/>
      <c r="B977" s="7"/>
      <c r="C977" s="7"/>
      <c r="D977" s="7"/>
      <c r="E977" s="7"/>
    </row>
    <row r="978" ht="22.5" customHeight="1">
      <c r="A978" s="7"/>
      <c r="B978" s="7"/>
      <c r="C978" s="7"/>
      <c r="D978" s="7"/>
      <c r="E978" s="7"/>
    </row>
    <row r="979" ht="22.5" customHeight="1">
      <c r="A979" s="7"/>
      <c r="B979" s="7"/>
      <c r="C979" s="7"/>
      <c r="D979" s="7"/>
      <c r="E979" s="7"/>
    </row>
    <row r="980" ht="22.5" customHeight="1">
      <c r="A980" s="7"/>
      <c r="B980" s="7"/>
      <c r="C980" s="7"/>
      <c r="D980" s="7"/>
      <c r="E980" s="7"/>
    </row>
    <row r="981" ht="22.5" customHeight="1">
      <c r="A981" s="7"/>
      <c r="B981" s="7"/>
      <c r="C981" s="7"/>
      <c r="D981" s="7"/>
      <c r="E981" s="7"/>
    </row>
    <row r="982" ht="22.5" customHeight="1">
      <c r="A982" s="7"/>
      <c r="B982" s="7"/>
      <c r="C982" s="7"/>
      <c r="D982" s="7"/>
      <c r="E982" s="7"/>
    </row>
    <row r="983" ht="22.5" customHeight="1">
      <c r="A983" s="7"/>
      <c r="B983" s="7"/>
      <c r="C983" s="7"/>
      <c r="D983" s="7"/>
      <c r="E983" s="7"/>
    </row>
    <row r="984" ht="22.5" customHeight="1">
      <c r="A984" s="7"/>
      <c r="B984" s="7"/>
      <c r="C984" s="7"/>
      <c r="D984" s="7"/>
      <c r="E984" s="7"/>
    </row>
    <row r="985" ht="22.5" customHeight="1">
      <c r="A985" s="7"/>
      <c r="B985" s="7"/>
      <c r="C985" s="7"/>
      <c r="D985" s="7"/>
      <c r="E985" s="7"/>
    </row>
    <row r="986" ht="22.5" customHeight="1">
      <c r="A986" s="7"/>
      <c r="B986" s="7"/>
      <c r="C986" s="7"/>
      <c r="D986" s="7"/>
      <c r="E986" s="7"/>
    </row>
    <row r="987" ht="22.5" customHeight="1">
      <c r="A987" s="7"/>
      <c r="B987" s="7"/>
      <c r="C987" s="7"/>
      <c r="D987" s="7"/>
      <c r="E987" s="7"/>
    </row>
    <row r="988" ht="22.5" customHeight="1">
      <c r="A988" s="7"/>
      <c r="B988" s="7"/>
      <c r="C988" s="7"/>
      <c r="D988" s="7"/>
      <c r="E988" s="7"/>
    </row>
    <row r="989" ht="22.5" customHeight="1">
      <c r="A989" s="7"/>
      <c r="B989" s="7"/>
      <c r="C989" s="7"/>
      <c r="D989" s="7"/>
      <c r="E989" s="7"/>
    </row>
    <row r="990" ht="22.5" customHeight="1">
      <c r="A990" s="7"/>
      <c r="B990" s="7"/>
      <c r="C990" s="7"/>
      <c r="D990" s="7"/>
      <c r="E990" s="7"/>
    </row>
    <row r="991" ht="22.5" customHeight="1">
      <c r="A991" s="7"/>
      <c r="B991" s="7"/>
      <c r="C991" s="7"/>
      <c r="D991" s="7"/>
      <c r="E991" s="7"/>
    </row>
    <row r="992" ht="22.5" customHeight="1">
      <c r="A992" s="7"/>
      <c r="B992" s="7"/>
      <c r="C992" s="7"/>
      <c r="D992" s="7"/>
      <c r="E992" s="7"/>
    </row>
    <row r="993" ht="22.5" customHeight="1">
      <c r="A993" s="7"/>
      <c r="B993" s="7"/>
      <c r="C993" s="7"/>
      <c r="D993" s="7"/>
      <c r="E993" s="7"/>
    </row>
    <row r="994" ht="22.5" customHeight="1">
      <c r="A994" s="7"/>
      <c r="B994" s="7"/>
      <c r="C994" s="7"/>
      <c r="D994" s="7"/>
      <c r="E994" s="7"/>
    </row>
    <row r="995" ht="22.5" customHeight="1">
      <c r="A995" s="7"/>
      <c r="B995" s="7"/>
      <c r="C995" s="7"/>
      <c r="D995" s="7"/>
      <c r="E995" s="7"/>
    </row>
    <row r="996" ht="22.5" customHeight="1">
      <c r="A996" s="7"/>
      <c r="B996" s="7"/>
      <c r="C996" s="7"/>
      <c r="D996" s="7"/>
      <c r="E996" s="7"/>
    </row>
    <row r="997" ht="22.5" customHeight="1">
      <c r="A997" s="7"/>
      <c r="B997" s="7"/>
      <c r="C997" s="7"/>
      <c r="D997" s="7"/>
      <c r="E997" s="7"/>
    </row>
    <row r="998" ht="22.5" customHeight="1">
      <c r="A998" s="7"/>
      <c r="B998" s="7"/>
      <c r="C998" s="7"/>
      <c r="D998" s="7"/>
      <c r="E998" s="7"/>
    </row>
    <row r="999" ht="22.5" customHeight="1">
      <c r="A999" s="7"/>
      <c r="B999" s="7"/>
      <c r="C999" s="7"/>
      <c r="D999" s="7"/>
      <c r="E999" s="7"/>
    </row>
    <row r="1000" ht="22.5" customHeight="1">
      <c r="A1000" s="7"/>
      <c r="B1000" s="7"/>
      <c r="C1000" s="7"/>
      <c r="D1000" s="7"/>
      <c r="E1000" s="7"/>
    </row>
    <row r="1001" ht="22.5" customHeight="1">
      <c r="A1001" s="7"/>
      <c r="B1001" s="7"/>
      <c r="C1001" s="7"/>
      <c r="D1001" s="7"/>
      <c r="E1001" s="7"/>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37.63"/>
    <col customWidth="1" min="3" max="4" width="36.13"/>
    <col customWidth="1" min="5" max="5" width="37.63"/>
    <col customWidth="1" min="7" max="7" width="10.5"/>
    <col customWidth="1" min="8" max="8" width="30.25"/>
    <col customWidth="1" min="9" max="9" width="28.63"/>
    <col customWidth="1" min="10" max="10" width="28.13"/>
    <col customWidth="1" min="11" max="11" width="30.75"/>
  </cols>
  <sheetData>
    <row r="1" ht="22.5" customHeight="1">
      <c r="A1" s="11" t="s">
        <v>0</v>
      </c>
      <c r="B1" s="11" t="s">
        <v>1</v>
      </c>
      <c r="C1" s="12" t="s">
        <v>2348</v>
      </c>
      <c r="D1" s="11" t="s">
        <v>3</v>
      </c>
      <c r="E1" s="11" t="s">
        <v>4</v>
      </c>
      <c r="G1" s="3" t="s">
        <v>5</v>
      </c>
      <c r="H1" s="4" t="s">
        <v>6</v>
      </c>
      <c r="I1" s="4" t="s">
        <v>7</v>
      </c>
      <c r="J1" s="4" t="s">
        <v>8</v>
      </c>
      <c r="K1" s="5" t="s">
        <v>9</v>
      </c>
    </row>
    <row r="2" ht="22.5" customHeight="1">
      <c r="A2" s="13">
        <v>1.0</v>
      </c>
      <c r="B2" s="14" t="s">
        <v>2349</v>
      </c>
      <c r="C2" s="14" t="s">
        <v>2350</v>
      </c>
      <c r="D2" s="14" t="s">
        <v>2351</v>
      </c>
      <c r="E2" s="14" t="s">
        <v>2352</v>
      </c>
      <c r="G2" s="8" t="str">
        <f>IFERROR(__xludf.DUMMYFUNCTION(" GOOGLETRANSLATE(A2, ""en"", ""am"")"),"1")</f>
        <v>1</v>
      </c>
      <c r="H2" s="8" t="str">
        <f>IFERROR(__xludf.DUMMYFUNCTION(" GOOGLETRANSLATE(B2, ""en"", ""am"")"),"በሲዳማ ሬስሊንግ የጨዋታው ተቀዳሚ ዓላማ ምንድን ነው?")</f>
        <v>በሲዳማ ሬስሊንግ የጨዋታው ተቀዳሚ ዓላማ ምንድን ነው?</v>
      </c>
      <c r="I2" s="8" t="str">
        <f>IFERROR(__xludf.DUMMYFUNCTION(" GOOGLETRANSLATE(C2, ""en"", ""am"")"),"ሀ. የተፎካካሪውን ትከሻ መሬት ላይ ለመሰካት ለ. ተቃዋሚውን ከቀለበት ውስጥ መጣል ሐ. ተቃዋሚን ከመሬት ላይ ማንሳት መ. የተፎካካሪውን ጭንቅላት መሬት ላይ ማንኳኳት")</f>
        <v>ሀ. የተፎካካሪውን ትከሻ መሬት ላይ ለመሰካት ለ. ተቃዋሚውን ከቀለበት ውስጥ መጣል ሐ. ተቃዋሚን ከመሬት ላይ ማንሳት መ. የተፎካካሪውን ጭንቅላት መሬት ላይ ማንኳኳት</v>
      </c>
      <c r="J2" s="8" t="str">
        <f>IFERROR(__xludf.DUMMYFUNCTION(" GOOGLETRANSLATE(D2, ""en"", ""am"")"),"የተቃዋሚውን ትከሻዎች መሬት ላይ ለመሰካት")</f>
        <v>የተቃዋሚውን ትከሻዎች መሬት ላይ ለመሰካት</v>
      </c>
      <c r="K2" s="8" t="str">
        <f>IFERROR(__xludf.DUMMYFUNCTION(" GOOGLETRANSLATE(E2, ""en"", ""am"")"),"ግቡ የተቃዋሚውን ትከሻ መሬት ላይ በማሰር ድልን ማግኘት ነው።")</f>
        <v>ግቡ የተቃዋሚውን ትከሻ መሬት ላይ በማሰር ድልን ማግኘት ነው።</v>
      </c>
    </row>
    <row r="3" ht="22.5" customHeight="1">
      <c r="A3" s="13">
        <v>2.0</v>
      </c>
      <c r="B3" s="14" t="s">
        <v>2353</v>
      </c>
      <c r="C3" s="14" t="s">
        <v>2354</v>
      </c>
      <c r="D3" s="14" t="s">
        <v>2355</v>
      </c>
      <c r="E3" s="14" t="s">
        <v>2356</v>
      </c>
      <c r="G3" s="8" t="str">
        <f>IFERROR(__xludf.DUMMYFUNCTION(" GOOGLETRANSLATE(A3, ""en"", ""am"")"),"2")</f>
        <v>2</v>
      </c>
      <c r="H3" s="8" t="str">
        <f>IFERROR(__xludf.DUMMYFUNCTION(" GOOGLETRANSLATE(B3, ""en"", ""am"")"),"በሲዳማ ትግል ውስጥ ፒን ለመፍጠር ከመሬት ጋር የተገናኘው የትኛው የሰውነት ክፍል ነው?")</f>
        <v>በሲዳማ ትግል ውስጥ ፒን ለመፍጠር ከመሬት ጋር የተገናኘው የትኛው የሰውነት ክፍል ነው?</v>
      </c>
      <c r="I3" s="8" t="str">
        <f>IFERROR(__xludf.DUMMYFUNCTION(" GOOGLETRANSLATE(C3, ""en"", ""am"")"),"ሀ. ትከሻዎች ለ. ጉልበቶች ሐ. ጀርባ መ. ራስ")</f>
        <v>ሀ. ትከሻዎች ለ. ጉልበቶች ሐ. ጀርባ መ. ራስ</v>
      </c>
      <c r="J3" s="8" t="str">
        <f>IFERROR(__xludf.DUMMYFUNCTION(" GOOGLETRANSLATE(D3, ""en"", ""am"")"),"ትከሻዎች")</f>
        <v>ትከሻዎች</v>
      </c>
      <c r="K3" s="8" t="str">
        <f>IFERROR(__xludf.DUMMYFUNCTION(" GOOGLETRANSLATE(E3, ""en"", ""am"")"),"ታጋይ ለማሸነፍ የተጋጣሚውን ትከሻ መሬት ላይ መሰካት አለበት።")</f>
        <v>ታጋይ ለማሸነፍ የተጋጣሚውን ትከሻ መሬት ላይ መሰካት አለበት።</v>
      </c>
    </row>
    <row r="4" ht="22.5" customHeight="1">
      <c r="A4" s="13">
        <v>3.0</v>
      </c>
      <c r="B4" s="14" t="s">
        <v>2357</v>
      </c>
      <c r="C4" s="14" t="s">
        <v>2358</v>
      </c>
      <c r="D4" s="14" t="s">
        <v>2359</v>
      </c>
      <c r="E4" s="14" t="s">
        <v>2360</v>
      </c>
      <c r="G4" s="8" t="str">
        <f>IFERROR(__xludf.DUMMYFUNCTION(" GOOGLETRANSLATE(A4, ""en"", ""am"")"),"3")</f>
        <v>3</v>
      </c>
      <c r="H4" s="8" t="str">
        <f>IFERROR(__xludf.DUMMYFUNCTION(" GOOGLETRANSLATE(B4, ""en"", ""am"")"),"በሲዳማ ሬስሊንግ ተፎካካሪዎን ለማንሳት የተወሰደው እርምጃ ምን ማለት ነው?")</f>
        <v>በሲዳማ ሬስሊንግ ተፎካካሪዎን ለማንሳት የተወሰደው እርምጃ ምን ማለት ነው?</v>
      </c>
      <c r="I4" s="8" t="str">
        <f>IFERROR(__xludf.DUMMYFUNCTION(" GOOGLETRANSLATE(C4, ""en"", ""am"")"),"A. ግጭት ለ. መወርወር ሐ. መወርወር መ. ማንሳት")</f>
        <v>A. ግጭት ለ. መወርወር ሐ. መወርወር መ. ማንሳት</v>
      </c>
      <c r="J4" s="8" t="str">
        <f>IFERROR(__xludf.DUMMYFUNCTION(" GOOGLETRANSLATE(D4, ""en"", ""am"")"),"ማንሳት")</f>
        <v>ማንሳት</v>
      </c>
      <c r="K4" s="8" t="str">
        <f>IFERROR(__xludf.DUMMYFUNCTION(" GOOGLETRANSLATE(E4, ""en"", ""am"")"),"ተቃዋሚን ከመሬት ላይ የማንሳት ተግባር በሲዳማ ትግል ማንሣት ይባላል።")</f>
        <v>ተቃዋሚን ከመሬት ላይ የማንሳት ተግባር በሲዳማ ትግል ማንሣት ይባላል።</v>
      </c>
    </row>
    <row r="5" ht="22.5" customHeight="1">
      <c r="A5" s="13">
        <v>4.0</v>
      </c>
      <c r="B5" s="14" t="s">
        <v>2361</v>
      </c>
      <c r="C5" s="14" t="s">
        <v>2362</v>
      </c>
      <c r="D5" s="14" t="s">
        <v>2363</v>
      </c>
      <c r="E5" s="14" t="s">
        <v>2364</v>
      </c>
      <c r="G5" s="8" t="str">
        <f>IFERROR(__xludf.DUMMYFUNCTION(" GOOGLETRANSLATE(A5, ""en"", ""am"")"),"4")</f>
        <v>4</v>
      </c>
      <c r="H5" s="8" t="str">
        <f>IFERROR(__xludf.DUMMYFUNCTION(" GOOGLETRANSLATE(B5, ""en"", ""am"")"),"በሲዳማ ሬስሊንግ ለመቆጠር ምን ያህል ጊዜ ይወስዳል?")</f>
        <v>በሲዳማ ሬስሊንግ ለመቆጠር ምን ያህል ጊዜ ይወስዳል?</v>
      </c>
      <c r="I5" s="8" t="str">
        <f>IFERROR(__xludf.DUMMYFUNCTION(" GOOGLETRANSLATE(C5, ""en"", ""am"")"),"ሀ. 3 ሰከንድ ለ 5 ሰከንድ ሐ. 7 ሰከንድ መ. 10 ሰከንድ")</f>
        <v>ሀ. 3 ሰከንድ ለ 5 ሰከንድ ሐ. 7 ሰከንድ መ. 10 ሰከንድ</v>
      </c>
      <c r="J5" s="8" t="str">
        <f>IFERROR(__xludf.DUMMYFUNCTION(" GOOGLETRANSLATE(D5, ""en"", ""am"")"),"3 ሰከንድ")</f>
        <v>3 ሰከንድ</v>
      </c>
      <c r="K5" s="8" t="str">
        <f>IFERROR(__xludf.DUMMYFUNCTION(" GOOGLETRANSLATE(E5, ""en"", ""am"")"),"አንድ ተፋላሚ ለተሳካ ፒን የተጋጣሚውን ትከሻ ለ3 ሰከንድ ያህል መያዝ አለበት።")</f>
        <v>አንድ ተፋላሚ ለተሳካ ፒን የተጋጣሚውን ትከሻ ለ3 ሰከንድ ያህል መያዝ አለበት።</v>
      </c>
    </row>
    <row r="6" ht="22.5" customHeight="1">
      <c r="A6" s="13">
        <v>5.0</v>
      </c>
      <c r="B6" s="14" t="s">
        <v>2365</v>
      </c>
      <c r="C6" s="14" t="s">
        <v>2366</v>
      </c>
      <c r="D6" s="14" t="s">
        <v>2367</v>
      </c>
      <c r="E6" s="14" t="s">
        <v>2368</v>
      </c>
      <c r="G6" s="8" t="str">
        <f>IFERROR(__xludf.DUMMYFUNCTION(" GOOGLETRANSLATE(A6, ""en"", ""am"")"),"5")</f>
        <v>5</v>
      </c>
      <c r="H6" s="8" t="str">
        <f>IFERROR(__xludf.DUMMYFUNCTION(" GOOGLETRANSLATE(B6, ""en"", ""am"")"),"የሲዳማ ሬስሊንግ ጨዋታ የሚካሄድበት አካባቢ ምን ይመስላል?")</f>
        <v>የሲዳማ ሬስሊንግ ጨዋታ የሚካሄድበት አካባቢ ምን ይመስላል?</v>
      </c>
      <c r="I6" s="8" t="str">
        <f>IFERROR(__xludf.DUMMYFUNCTION(" GOOGLETRANSLATE(C6, ""en"", ""am"")"),"ሀ. ምንጣፉ ቢ. የአሸዋ ጉድጓድ ሐ. ክበብ ዲ. ቀለበት")</f>
        <v>ሀ. ምንጣፉ ቢ. የአሸዋ ጉድጓድ ሐ. ክበብ ዲ. ቀለበት</v>
      </c>
      <c r="J6" s="8" t="str">
        <f>IFERROR(__xludf.DUMMYFUNCTION(" GOOGLETRANSLATE(D6, ""en"", ""am"")"),"ክብ")</f>
        <v>ክብ</v>
      </c>
      <c r="K6" s="8" t="str">
        <f>IFERROR(__xludf.DUMMYFUNCTION(" GOOGLETRANSLATE(E6, ""en"", ""am"")"),"የሲዳማ ትግል የሚካሄደው ቀለበት በሚባል ክብ አካባቢ ነው።")</f>
        <v>የሲዳማ ትግል የሚካሄደው ቀለበት በሚባል ክብ አካባቢ ነው።</v>
      </c>
    </row>
    <row r="7" ht="22.5" customHeight="1">
      <c r="A7" s="13">
        <v>6.0</v>
      </c>
      <c r="B7" s="14" t="s">
        <v>2369</v>
      </c>
      <c r="C7" s="14" t="s">
        <v>2370</v>
      </c>
      <c r="D7" s="14" t="s">
        <v>2371</v>
      </c>
      <c r="E7" s="14" t="s">
        <v>2372</v>
      </c>
      <c r="G7" s="8" t="str">
        <f>IFERROR(__xludf.DUMMYFUNCTION(" GOOGLETRANSLATE(A7, ""en"", ""am"")"),"6")</f>
        <v>6</v>
      </c>
      <c r="H7" s="8" t="str">
        <f>IFERROR(__xludf.DUMMYFUNCTION(" GOOGLETRANSLATE(B7, ""en"", ""am"")"),"ከነዚህ ድርጊቶች በሲዳማ ሬስሊንግ ውስጥ ጸያፍ ነው የሚባለው?")</f>
        <v>ከነዚህ ድርጊቶች በሲዳማ ሬስሊንግ ውስጥ ጸያፍ ነው የሚባለው?</v>
      </c>
      <c r="I7" s="8" t="str">
        <f>IFERROR(__xludf.DUMMYFUNCTION(" GOOGLETRANSLATE(C7, ""en"", ""am"")"),"ሀ. የተቃዋሚውን ፀጉር መያዝ B. በሂደት ላይ። ሐ. ተቃዋሚውን መለጠፍ D. ተቃዋሚውን ለማንሳት")</f>
        <v>ሀ. የተቃዋሚውን ፀጉር መያዝ B. በሂደት ላይ። ሐ. ተቃዋሚውን መለጠፍ D. ተቃዋሚውን ለማንሳት</v>
      </c>
      <c r="J7" s="8" t="str">
        <f>IFERROR(__xludf.DUMMYFUNCTION(" GOOGLETRANSLATE(D7, ""en"", ""am"")"),"የተቃዋሚውን ፀጉር በመያዝ")</f>
        <v>የተቃዋሚውን ፀጉር በመያዝ</v>
      </c>
      <c r="K7" s="8" t="str">
        <f>IFERROR(__xludf.DUMMYFUNCTION(" GOOGLETRANSLATE(E7, ""en"", ""am"")"),"ፀጉርን መያዙ ልክ ያልሆነ ነው ተብሎ ይታሰባል እና ወደ ውድቅነት ሊያመራ ይችላል።")</f>
        <v>ፀጉርን መያዙ ልክ ያልሆነ ነው ተብሎ ይታሰባል እና ወደ ውድቅነት ሊያመራ ይችላል።</v>
      </c>
    </row>
    <row r="8" ht="22.5" customHeight="1">
      <c r="A8" s="13">
        <v>7.0</v>
      </c>
      <c r="B8" s="14" t="s">
        <v>2373</v>
      </c>
      <c r="C8" s="14" t="s">
        <v>2374</v>
      </c>
      <c r="D8" s="14" t="s">
        <v>2375</v>
      </c>
      <c r="E8" s="14" t="s">
        <v>2376</v>
      </c>
      <c r="G8" s="8" t="str">
        <f>IFERROR(__xludf.DUMMYFUNCTION(" GOOGLETRANSLATE(A8, ""en"", ""am"")"),"7")</f>
        <v>7</v>
      </c>
      <c r="H8" s="8" t="str">
        <f>IFERROR(__xludf.DUMMYFUNCTION(" GOOGLETRANSLATE(B8, ""en"", ""am"")"),"የሲዳማ ቡና ውድድር ከመጀመሩ በፊት መደረግ ያለበት የመጀመሪያው ነገር ምንድን ነው?")</f>
        <v>የሲዳማ ቡና ውድድር ከመጀመሩ በፊት መደረግ ያለበት የመጀመሪያው ነገር ምንድን ነው?</v>
      </c>
      <c r="I8" s="8" t="str">
        <f>IFERROR(__xludf.DUMMYFUNCTION(" GOOGLETRANSLATE(C8, ""en"", ""am"")"),"ሀ. ተዋጊዎቹ ይሰግዳሉ። ለ/ ዳኛው ጨዋታውን ያስታውቃል። ሐ. ተዋጊዎቹ ይጨባበጣሉ። መ. ተዋጊዎቹ እርስ በርሳቸው ይከባበራሉ.")</f>
        <v>ሀ. ተዋጊዎቹ ይሰግዳሉ። ለ/ ዳኛው ጨዋታውን ያስታውቃል። ሐ. ተዋጊዎቹ ይጨባበጣሉ። መ. ተዋጊዎቹ እርስ በርሳቸው ይከባበራሉ.</v>
      </c>
      <c r="J8" s="8" t="str">
        <f>IFERROR(__xludf.DUMMYFUNCTION(" GOOGLETRANSLATE(D8, ""en"", ""am"")"),"ተዋጊዎቹ ይሰግዳሉ።")</f>
        <v>ተዋጊዎቹ ይሰግዳሉ።</v>
      </c>
      <c r="K8" s="8" t="str">
        <f>IFERROR(__xludf.DUMMYFUNCTION(" GOOGLETRANSLATE(E8, ""en"", ""am"")"),"ግጥሚያው ከመጀመሩ በፊት ታጋዮቹ አክብሮት ለማሳየት ይሰግዳሉ።")</f>
        <v>ግጥሚያው ከመጀመሩ በፊት ታጋዮቹ አክብሮት ለማሳየት ይሰግዳሉ።</v>
      </c>
    </row>
    <row r="9" ht="22.5" customHeight="1">
      <c r="A9" s="13">
        <v>8.0</v>
      </c>
      <c r="B9" s="14" t="s">
        <v>2377</v>
      </c>
      <c r="C9" s="14" t="s">
        <v>2378</v>
      </c>
      <c r="D9" s="14" t="s">
        <v>2379</v>
      </c>
      <c r="E9" s="14" t="s">
        <v>2380</v>
      </c>
      <c r="G9" s="8" t="str">
        <f>IFERROR(__xludf.DUMMYFUNCTION(" GOOGLETRANSLATE(A9, ""en"", ""am"")"),"8")</f>
        <v>8</v>
      </c>
      <c r="H9" s="8" t="str">
        <f>IFERROR(__xludf.DUMMYFUNCTION(" GOOGLETRANSLATE(B9, ""en"", ""am"")"),"በሲዳማ ትግል የትኛው ቴክኒክ የተከለከለ ነው?")</f>
        <v>በሲዳማ ትግል የትኛው ቴክኒክ የተከለከለ ነው?</v>
      </c>
      <c r="I9" s="8" t="str">
        <f>IFERROR(__xludf.DUMMYFUNCTION(" GOOGLETRANSLATE(C9, ""en"", ""am"")"),"ሀ. ተቀናቃኙን መምታት ለ. እግር ማጥራት ሐ. የተቃዋሚውን እጆች መያዝ መ. ተቃዋሚውን በጀርባው ላይ መወርወር")</f>
        <v>ሀ. ተቀናቃኙን መምታት ለ. እግር ማጥራት ሐ. የተቃዋሚውን እጆች መያዝ መ. ተቃዋሚውን በጀርባው ላይ መወርወር</v>
      </c>
      <c r="J9" s="8" t="str">
        <f>IFERROR(__xludf.DUMMYFUNCTION(" GOOGLETRANSLATE(D9, ""en"", ""am"")"),"ተቃዋሚውን መምታት")</f>
        <v>ተቃዋሚውን መምታት</v>
      </c>
      <c r="K9" s="8" t="str">
        <f>IFERROR(__xludf.DUMMYFUNCTION(" GOOGLETRANSLATE(E9, ""en"", ""am"")"),"ተቃዋሚን መምታት ክልክል ነው እና እንደ ስፖርታዊ ጨዋነት አይቆጠርም።")</f>
        <v>ተቃዋሚን መምታት ክልክል ነው እና እንደ ስፖርታዊ ጨዋነት አይቆጠርም።</v>
      </c>
    </row>
    <row r="10" ht="22.5" customHeight="1">
      <c r="A10" s="13">
        <v>9.0</v>
      </c>
      <c r="B10" s="14" t="s">
        <v>2381</v>
      </c>
      <c r="C10" s="14" t="s">
        <v>2382</v>
      </c>
      <c r="D10" s="14" t="s">
        <v>1887</v>
      </c>
      <c r="E10" s="14" t="s">
        <v>2383</v>
      </c>
      <c r="G10" s="8" t="str">
        <f>IFERROR(__xludf.DUMMYFUNCTION(" GOOGLETRANSLATE(A10, ""en"", ""am"")"),"9")</f>
        <v>9</v>
      </c>
      <c r="H10" s="8" t="str">
        <f>IFERROR(__xludf.DUMMYFUNCTION(" GOOGLETRANSLATE(B10, ""en"", ""am"")"),"በፒን ጊዜ ካልሆነ በስተቀር ተዋጊ መሬቱን በጀርባው ቢነካ ምን ይሆናል?")</f>
        <v>በፒን ጊዜ ካልሆነ በስተቀር ተዋጊ መሬቱን በጀርባው ቢነካ ምን ይሆናል?</v>
      </c>
      <c r="I10" s="8" t="str">
        <f>IFERROR(__xludf.DUMMYFUNCTION(" GOOGLETRANSLATE(C10, ""en"", ""am"")"),"ሀ. ነጥብ ማጣት B. ተጋጣሚው ጨዋታውን ያሸንፋል። C. ጨዋታው ቀጥሏል። መ. ማስጠንቀቂያ ይደርሳቸዋል።")</f>
        <v>ሀ. ነጥብ ማጣት B. ተጋጣሚው ጨዋታውን ያሸንፋል። C. ጨዋታው ቀጥሏል። መ. ማስጠንቀቂያ ይደርሳቸዋል።</v>
      </c>
      <c r="J10" s="8" t="str">
        <f>IFERROR(__xludf.DUMMYFUNCTION(" GOOGLETRANSLATE(D10, ""en"", ""am"")"),"ጨዋታው ቀጥሏል።")</f>
        <v>ጨዋታው ቀጥሏል።</v>
      </c>
      <c r="K10" s="8" t="str">
        <f>IFERROR(__xludf.DUMMYFUNCTION(" GOOGLETRANSLATE(E10, ""en"", ""am"")"),"አንድ ተፎካካሪ ጀርባቸውን ከነካው ፒን እስኪፈጠር ድረስ ግጥሚያው ይቀጥላል።")</f>
        <v>አንድ ተፎካካሪ ጀርባቸውን ከነካው ፒን እስኪፈጠር ድረስ ግጥሚያው ይቀጥላል።</v>
      </c>
    </row>
    <row r="11" ht="22.5" customHeight="1">
      <c r="A11" s="13">
        <v>10.0</v>
      </c>
      <c r="B11" s="14" t="s">
        <v>2384</v>
      </c>
      <c r="C11" s="14" t="s">
        <v>2385</v>
      </c>
      <c r="D11" s="14" t="s">
        <v>2386</v>
      </c>
      <c r="E11" s="14" t="s">
        <v>2387</v>
      </c>
      <c r="G11" s="8" t="str">
        <f>IFERROR(__xludf.DUMMYFUNCTION(" GOOGLETRANSLATE(A11, ""en"", ""am"")"),"10")</f>
        <v>10</v>
      </c>
      <c r="H11" s="8" t="str">
        <f>IFERROR(__xludf.DUMMYFUNCTION(" GOOGLETRANSLATE(B11, ""en"", ""am"")"),"በሲዳማ ሬስሊንግ ውስጥ ከሚከተሉት የስራ መደቦች የተፈቀደው የትኛው ነው?")</f>
        <v>በሲዳማ ሬስሊንግ ውስጥ ከሚከተሉት የስራ መደቦች የተፈቀደው የትኛው ነው?</v>
      </c>
      <c r="I11" s="8" t="str">
        <f>IFERROR(__xludf.DUMMYFUNCTION(" GOOGLETRANSLATE(C11, ""en"", ""am"")"),"ሀ. ሆድ ላይ መተኛት ለ. ከኋላ መተኛት ሐ. ቀጥ ብለው ቆሙ D. ተንበርክከው")</f>
        <v>ሀ. ሆድ ላይ መተኛት ለ. ከኋላ መተኛት ሐ. ቀጥ ብለው ቆሙ D. ተንበርክከው</v>
      </c>
      <c r="J11" s="8" t="str">
        <f>IFERROR(__xludf.DUMMYFUNCTION(" GOOGLETRANSLATE(D11, ""en"", ""am"")"),"ቀጥ ብለህ ቁም")</f>
        <v>ቀጥ ብለህ ቁም</v>
      </c>
      <c r="K11" s="8" t="str">
        <f>IFERROR(__xludf.DUMMYFUNCTION(" GOOGLETRANSLATE(E11, ""en"", ""am"")"),"ተዋጊዎች የተለያዩ ዘዴዎችን ለመተግበር ቀጥ ብለው እንዲቆሙ ይፈቀድላቸዋል.")</f>
        <v>ተዋጊዎች የተለያዩ ዘዴዎችን ለመተግበር ቀጥ ብለው እንዲቆሙ ይፈቀድላቸዋል.</v>
      </c>
    </row>
    <row r="12" ht="22.5" customHeight="1">
      <c r="A12" s="13">
        <v>11.0</v>
      </c>
      <c r="B12" s="14" t="s">
        <v>2388</v>
      </c>
      <c r="C12" s="14" t="s">
        <v>2389</v>
      </c>
      <c r="D12" s="14" t="s">
        <v>2390</v>
      </c>
      <c r="E12" s="14" t="s">
        <v>2391</v>
      </c>
      <c r="G12" s="8" t="str">
        <f>IFERROR(__xludf.DUMMYFUNCTION(" GOOGLETRANSLATE(A12, ""en"", ""am"")"),"11")</f>
        <v>11</v>
      </c>
      <c r="H12" s="8" t="str">
        <f>IFERROR(__xludf.DUMMYFUNCTION(" GOOGLETRANSLATE(B12, ""en"", ""am"")"),"የሲዳማ ሬስሊንግ ቀበቶ ቁልፍ ባህሪው ምንድን ነው?")</f>
        <v>የሲዳማ ሬስሊንግ ቀበቶ ቁልፍ ባህሪው ምንድን ነው?</v>
      </c>
      <c r="I12" s="8" t="str">
        <f>IFERROR(__xludf.DUMMYFUNCTION(" GOOGLETRANSLATE(C12, ""en"", ""am"")"),"ሀ. በወገብ ላይ ይለበሳል. ለ. ለመወርወር ዘዴዎች ጥቅም ላይ ይውላል ሐ. በጨዋታው ወቅት መክፈቻው መከፈት አለበት. መ. ተቃዋሚውን በማነቅ ለመያዝ ይጠቅማል.")</f>
        <v>ሀ. በወገብ ላይ ይለበሳል. ለ. ለመወርወር ዘዴዎች ጥቅም ላይ ይውላል ሐ. በጨዋታው ወቅት መክፈቻው መከፈት አለበት. መ. ተቃዋሚውን በማነቅ ለመያዝ ይጠቅማል.</v>
      </c>
      <c r="J12" s="8" t="str">
        <f>IFERROR(__xludf.DUMMYFUNCTION(" GOOGLETRANSLATE(D12, ""en"", ""am"")"),"በወገብ ላይ ይለበሳል.")</f>
        <v>በወገብ ላይ ይለበሳል.</v>
      </c>
      <c r="K12" s="8" t="str">
        <f>IFERROR(__xludf.DUMMYFUNCTION(" GOOGLETRANSLATE(E12, ""en"", ""am"")"),"የሲዳማ የትግል ቀበቶ በወገቡ ላይ ታጥቆ ለተለያዩ እንቅስቃሴዎች ይረዳል።")</f>
        <v>የሲዳማ የትግል ቀበቶ በወገቡ ላይ ታጥቆ ለተለያዩ እንቅስቃሴዎች ይረዳል።</v>
      </c>
    </row>
    <row r="13" ht="22.5" customHeight="1">
      <c r="A13" s="13">
        <v>12.0</v>
      </c>
      <c r="B13" s="14" t="s">
        <v>2392</v>
      </c>
      <c r="C13" s="14" t="s">
        <v>2393</v>
      </c>
      <c r="D13" s="14" t="s">
        <v>2394</v>
      </c>
      <c r="E13" s="14" t="s">
        <v>2395</v>
      </c>
      <c r="G13" s="8" t="str">
        <f>IFERROR(__xludf.DUMMYFUNCTION(" GOOGLETRANSLATE(A13, ""en"", ""am"")"),"12")</f>
        <v>12</v>
      </c>
      <c r="H13" s="8" t="str">
        <f>IFERROR(__xludf.DUMMYFUNCTION(" GOOGLETRANSLATE(B13, ""en"", ""am"")"),"በሲዳማ ሬስሊንግ አንድ ታጋይ ለማሸነፍ ምን ማድረግ አለበት?")</f>
        <v>በሲዳማ ሬስሊንግ አንድ ታጋይ ለማሸነፍ ምን ማድረግ አለበት?</v>
      </c>
      <c r="I13" s="8" t="str">
        <f>IFERROR(__xludf.DUMMYFUNCTION(" GOOGLETRANSLATE(C13, ""en"", ""am"")"),"ሀ. የተቃዋሚውን ትከሻ መሬት ላይ ይሰኩት። ለ. ተቃዋሚውን ከክበቡ አስገድደው። ሐ. ተፎካካሪያቸውን ሳያውቁ ደበደቡት። መ. ተቃዋሚውን አስረክብ.")</f>
        <v>ሀ. የተቃዋሚውን ትከሻ መሬት ላይ ይሰኩት። ለ. ተቃዋሚውን ከክበቡ አስገድደው። ሐ. ተፎካካሪያቸውን ሳያውቁ ደበደቡት። መ. ተቃዋሚውን አስረክብ.</v>
      </c>
      <c r="J13" s="8" t="str">
        <f>IFERROR(__xludf.DUMMYFUNCTION(" GOOGLETRANSLATE(D13, ""en"", ""am"")"),"የተቃዋሚውን ትከሻ መሬት ላይ ይሰኩት።")</f>
        <v>የተቃዋሚውን ትከሻ መሬት ላይ ይሰኩት።</v>
      </c>
      <c r="K13" s="8" t="str">
        <f>IFERROR(__xludf.DUMMYFUNCTION(" GOOGLETRANSLATE(E13, ""en"", ""am"")"),"ድል ​​የሚገኘው የተቃዋሚው ትከሻ ለ3 ሰከንድ መሬት ላይ ሲሰካ ነው።")</f>
        <v>ድል ​​የሚገኘው የተቃዋሚው ትከሻ ለ3 ሰከንድ መሬት ላይ ሲሰካ ነው።</v>
      </c>
    </row>
    <row r="14" ht="22.5" customHeight="1">
      <c r="A14" s="13">
        <v>13.0</v>
      </c>
      <c r="B14" s="14" t="s">
        <v>2396</v>
      </c>
      <c r="C14" s="14" t="s">
        <v>2397</v>
      </c>
      <c r="D14" s="14" t="s">
        <v>2398</v>
      </c>
      <c r="E14" s="14" t="s">
        <v>2399</v>
      </c>
      <c r="G14" s="8" t="str">
        <f>IFERROR(__xludf.DUMMYFUNCTION(" GOOGLETRANSLATE(A14, ""en"", ""am"")"),"13")</f>
        <v>13</v>
      </c>
      <c r="H14" s="8" t="str">
        <f>IFERROR(__xludf.DUMMYFUNCTION(" GOOGLETRANSLATE(B14, ""en"", ""am"")"),"ከሚከተሉት ውስጥ በሲዳማ ሬስሊንግ ውስጥ የማይፈቀድ መያዣ የትኛው ነው?")</f>
        <v>ከሚከተሉት ውስጥ በሲዳማ ሬስሊንግ ውስጥ የማይፈቀድ መያዣ የትኛው ነው?</v>
      </c>
      <c r="I14" s="8" t="str">
        <f>IFERROR(__xludf.DUMMYFUNCTION(" GOOGLETRANSLATE(C14, ""en"", ""am"")"),"ሀ. ድርብ መደራረብ ለ. መንጠቆ ሐ. ፀጉርን መሳብ D. የጭንቅላት መቆለፊያ")</f>
        <v>ሀ. ድርብ መደራረብ ለ. መንጠቆ ሐ. ፀጉርን መሳብ D. የጭንቅላት መቆለፊያ</v>
      </c>
      <c r="J14" s="8" t="str">
        <f>IFERROR(__xludf.DUMMYFUNCTION(" GOOGLETRANSLATE(D14, ""en"", ""am"")"),"ፀጉር መሳብ")</f>
        <v>ፀጉር መሳብ</v>
      </c>
      <c r="K14" s="8" t="str">
        <f>IFERROR(__xludf.DUMMYFUNCTION(" GOOGLETRANSLATE(E14, ""en"", ""am"")"),"በሲዳማ ሬስሊንግ ፀጉር መሳብ እንደ ህገወጥ ይቆጠራል።")</f>
        <v>በሲዳማ ሬስሊንግ ፀጉር መሳብ እንደ ህገወጥ ይቆጠራል።</v>
      </c>
    </row>
    <row r="15" ht="22.5" customHeight="1">
      <c r="A15" s="13">
        <v>14.0</v>
      </c>
      <c r="B15" s="14" t="s">
        <v>2400</v>
      </c>
      <c r="C15" s="14" t="s">
        <v>2401</v>
      </c>
      <c r="D15" s="14" t="s">
        <v>1455</v>
      </c>
      <c r="E15" s="14" t="s">
        <v>2402</v>
      </c>
      <c r="G15" s="8" t="str">
        <f>IFERROR(__xludf.DUMMYFUNCTION(" GOOGLETRANSLATE(A15, ""en"", ""am"")"),"14")</f>
        <v>14</v>
      </c>
      <c r="H15" s="8" t="str">
        <f>IFERROR(__xludf.DUMMYFUNCTION(" GOOGLETRANSLATE(B15, ""en"", ""am"")"),"በሲዳማ ሬስሊንግ ውድድር ስንት ታጋዮች ይወዳደራሉ?")</f>
        <v>በሲዳማ ሬስሊንግ ውድድር ስንት ታጋዮች ይወዳደራሉ?</v>
      </c>
      <c r="I15" s="8" t="str">
        <f>IFERROR(__xludf.DUMMYFUNCTION(" GOOGLETRANSLATE(C15, ""en"", ""am"")"),"ሀ ሁለት ለ አራት ሐ. አምስት መ. ሶስት")</f>
        <v>ሀ ሁለት ለ አራት ሐ. አምስት መ. ሶስት</v>
      </c>
      <c r="J15" s="8" t="str">
        <f>IFERROR(__xludf.DUMMYFUNCTION(" GOOGLETRANSLATE(D15, ""en"", ""am"")"),"ሁለት")</f>
        <v>ሁለት</v>
      </c>
      <c r="K15" s="8" t="str">
        <f>IFERROR(__xludf.DUMMYFUNCTION(" GOOGLETRANSLATE(E15, ""en"", ""am"")"),"የተለመደ የሲዳማ ቡና ውድድር በሁለት ታጋዮች መካከል ተካሂዷል።")</f>
        <v>የተለመደ የሲዳማ ቡና ውድድር በሁለት ታጋዮች መካከል ተካሂዷል።</v>
      </c>
    </row>
    <row r="16" ht="22.5" customHeight="1">
      <c r="A16" s="13">
        <v>15.0</v>
      </c>
      <c r="B16" s="14" t="s">
        <v>2403</v>
      </c>
      <c r="C16" s="14" t="s">
        <v>2404</v>
      </c>
      <c r="D16" s="14" t="s">
        <v>2405</v>
      </c>
      <c r="E16" s="14" t="s">
        <v>2406</v>
      </c>
      <c r="G16" s="8" t="str">
        <f>IFERROR(__xludf.DUMMYFUNCTION(" GOOGLETRANSLATE(A16, ""en"", ""am"")"),"15")</f>
        <v>15</v>
      </c>
      <c r="H16" s="8" t="str">
        <f>IFERROR(__xludf.DUMMYFUNCTION(" GOOGLETRANSLATE(B16, ""en"", ""am"")"),"በሲዳማ ሬስሊንግ ቀላል ክብደት ላለው ታጋይ ከፍተኛው ክብደት ስንት ነው?")</f>
        <v>በሲዳማ ሬስሊንግ ቀላል ክብደት ላለው ታጋይ ከፍተኛው ክብደት ስንት ነው?</v>
      </c>
      <c r="I16" s="8" t="str">
        <f>IFERROR(__xludf.DUMMYFUNCTION(" GOOGLETRANSLATE(C16, ""en"", ""am"")"),"ሀ 65 ኪ.ግ ለ 75 ኪ.ግ. 85 ኪ.ግ ዲ. 95 ኪ.ግ")</f>
        <v>ሀ 65 ኪ.ግ ለ 75 ኪ.ግ. 85 ኪ.ግ ዲ. 95 ኪ.ግ</v>
      </c>
      <c r="J16" s="8" t="str">
        <f>IFERROR(__xludf.DUMMYFUNCTION(" GOOGLETRANSLATE(D16, ""en"", ""am"")"),"65 ኪ.ግ")</f>
        <v>65 ኪ.ግ</v>
      </c>
      <c r="K16" s="8" t="str">
        <f>IFERROR(__xludf.DUMMYFUNCTION(" GOOGLETRANSLATE(E16, ""en"", ""am"")"),"በሲዳማ ሬስሊንግ ቀላል ክብደት ያላቸው ታጋዮች 65 ኪሎ ግራም ወይም ከዚያ በታች መመዘን አለባቸው።")</f>
        <v>በሲዳማ ሬስሊንግ ቀላል ክብደት ያላቸው ታጋዮች 65 ኪሎ ግራም ወይም ከዚያ በታች መመዘን አለባቸው።</v>
      </c>
    </row>
    <row r="17" ht="22.5" customHeight="1">
      <c r="A17" s="13">
        <v>16.0</v>
      </c>
      <c r="B17" s="14" t="s">
        <v>2407</v>
      </c>
      <c r="C17" s="14" t="s">
        <v>2408</v>
      </c>
      <c r="D17" s="14" t="s">
        <v>1544</v>
      </c>
      <c r="E17" s="14" t="s">
        <v>2409</v>
      </c>
      <c r="G17" s="8" t="str">
        <f>IFERROR(__xludf.DUMMYFUNCTION(" GOOGLETRANSLATE(A17, ""en"", ""am"")"),"16")</f>
        <v>16</v>
      </c>
      <c r="H17" s="8" t="str">
        <f>IFERROR(__xludf.DUMMYFUNCTION(" GOOGLETRANSLATE(B17, ""en"", ""am"")"),"የሲዳማ ህዝብ ትግል ዋና አላማው ምንድን ነው?")</f>
        <v>የሲዳማ ህዝብ ትግል ዋና አላማው ምንድን ነው?</v>
      </c>
      <c r="I17" s="8" t="str">
        <f>IFERROR(__xludf.DUMMYFUNCTION(" GOOGLETRANSLATE(C17, ""en"", ""am"")"),"ሀ. ተመልካቾችን ለማዝናናት ለ. ጥንካሬን ለማሳየት ሐ. ተቃዋሚውን ለመሰካት መ. ተቃዋሚውን ለማቅረብ")</f>
        <v>ሀ. ተመልካቾችን ለማዝናናት ለ. ጥንካሬን ለማሳየት ሐ. ተቃዋሚውን ለመሰካት መ. ተቃዋሚውን ለማቅረብ</v>
      </c>
      <c r="J17" s="8" t="str">
        <f>IFERROR(__xludf.DUMMYFUNCTION(" GOOGLETRANSLATE(D17, ""en"", ""am"")"),"ተቃዋሚውን ለመሰካት")</f>
        <v>ተቃዋሚውን ለመሰካት</v>
      </c>
      <c r="K17" s="8" t="str">
        <f>IFERROR(__xludf.DUMMYFUNCTION(" GOOGLETRANSLATE(E17, ""en"", ""am"")"),"ግቡ የተቃዋሚውን ትከሻ ወደ ምንጣፉ መሰካት ነው።")</f>
        <v>ግቡ የተቃዋሚውን ትከሻ ወደ ምንጣፉ መሰካት ነው።</v>
      </c>
    </row>
    <row r="18" ht="22.5" customHeight="1">
      <c r="A18" s="13">
        <v>17.0</v>
      </c>
      <c r="B18" s="14" t="s">
        <v>2410</v>
      </c>
      <c r="C18" s="14" t="s">
        <v>2411</v>
      </c>
      <c r="D18" s="14" t="s">
        <v>2412</v>
      </c>
      <c r="E18" s="14" t="s">
        <v>2413</v>
      </c>
      <c r="G18" s="8" t="str">
        <f>IFERROR(__xludf.DUMMYFUNCTION(" GOOGLETRANSLATE(A18, ""en"", ""am"")"),"17")</f>
        <v>17</v>
      </c>
      <c r="H18" s="8" t="str">
        <f>IFERROR(__xludf.DUMMYFUNCTION(" GOOGLETRANSLATE(B18, ""en"", ""am"")"),"በሲዳማ ሬስሊንግ ላይ ለመወርወር በብዛት የሚውለው የትኛው የሰውነት ክፍል ነው?")</f>
        <v>በሲዳማ ሬስሊንግ ላይ ለመወርወር በብዛት የሚውለው የትኛው የሰውነት ክፍል ነው?</v>
      </c>
      <c r="I18" s="8" t="str">
        <f>IFERROR(__xludf.DUMMYFUNCTION(" GOOGLETRANSLATE(C18, ""en"", ""am"")"),"ሀ. እግር ለ. ክንዶች ሐ. ተመልሶ መ. አንገት")</f>
        <v>ሀ. እግር ለ. ክንዶች ሐ. ተመልሶ መ. አንገት</v>
      </c>
      <c r="J18" s="8" t="str">
        <f>IFERROR(__xludf.DUMMYFUNCTION(" GOOGLETRANSLATE(D18, ""en"", ""am"")"),"ክንዶች")</f>
        <v>ክንዶች</v>
      </c>
      <c r="K18" s="8" t="str">
        <f>IFERROR(__xludf.DUMMYFUNCTION(" GOOGLETRANSLATE(E18, ""en"", ""am"")"),"ክንዶቹ በዋናነት ተቃዋሚውን ለመጣል እና ለመቆጣጠር ያገለግላሉ።")</f>
        <v>ክንዶቹ በዋናነት ተቃዋሚውን ለመጣል እና ለመቆጣጠር ያገለግላሉ።</v>
      </c>
    </row>
    <row r="19" ht="22.5" customHeight="1">
      <c r="A19" s="13">
        <v>18.0</v>
      </c>
      <c r="B19" s="14" t="s">
        <v>2414</v>
      </c>
      <c r="C19" s="14" t="s">
        <v>2415</v>
      </c>
      <c r="D19" s="14" t="s">
        <v>2416</v>
      </c>
      <c r="E19" s="14" t="s">
        <v>2417</v>
      </c>
      <c r="G19" s="8" t="str">
        <f>IFERROR(__xludf.DUMMYFUNCTION(" GOOGLETRANSLATE(A19, ""en"", ""am"")"),"18")</f>
        <v>18</v>
      </c>
      <c r="H19" s="8" t="str">
        <f>IFERROR(__xludf.DUMMYFUNCTION(" GOOGLETRANSLATE(B19, ""en"", ""am"")"),"ከሚከተሉት ውስጥ በሲዳማ ትግል የተለመደ የመከላከያ ስልት የትኛው ነው?")</f>
        <v>ከሚከተሉት ውስጥ በሲዳማ ትግል የተለመደ የመከላከያ ስልት የትኛው ነው?</v>
      </c>
      <c r="I19" s="8" t="str">
        <f>IFERROR(__xludf.DUMMYFUNCTION(" GOOGLETRANSLATE(C19, ""en"", ""am"")"),"ሀ. ተቃዋሚውን መምታት B. Escape C. የጭንቅላት መቆለፍ D. በጉልበት ይመታል።")</f>
        <v>ሀ. ተቃዋሚውን መምታት B. Escape C. የጭንቅላት መቆለፍ D. በጉልበት ይመታል።</v>
      </c>
      <c r="J19" s="8" t="str">
        <f>IFERROR(__xludf.DUMMYFUNCTION(" GOOGLETRANSLATE(D19, ""en"", ""am"")"),"ማምለጥ")</f>
        <v>ማምለጥ</v>
      </c>
      <c r="K19" s="8" t="str">
        <f>IFERROR(__xludf.DUMMYFUNCTION(" GOOGLETRANSLATE(E19, ""en"", ""am"")"),"ማምለጫው መወርወርን ወይም መሰካትን ለማስወገድ የሚደረግ የመከላከያ እርምጃ ነው።")</f>
        <v>ማምለጫው መወርወርን ወይም መሰካትን ለማስወገድ የሚደረግ የመከላከያ እርምጃ ነው።</v>
      </c>
    </row>
    <row r="20" ht="22.5" customHeight="1">
      <c r="A20" s="13">
        <v>19.0</v>
      </c>
      <c r="B20" s="14" t="s">
        <v>2418</v>
      </c>
      <c r="C20" s="14" t="s">
        <v>2419</v>
      </c>
      <c r="D20" s="14" t="s">
        <v>2420</v>
      </c>
      <c r="E20" s="14" t="s">
        <v>2421</v>
      </c>
      <c r="G20" s="8" t="str">
        <f>IFERROR(__xludf.DUMMYFUNCTION(" GOOGLETRANSLATE(A20, ""en"", ""am"")"),"19")</f>
        <v>19</v>
      </c>
      <c r="H20" s="8" t="str">
        <f>IFERROR(__xludf.DUMMYFUNCTION(" GOOGLETRANSLATE(B20, ""en"", ""am"")"),"መወርወር ለመጀመር በጣም የተለመደው ቦታ ምንድነው?")</f>
        <v>መወርወር ለመጀመር በጣም የተለመደው ቦታ ምንድነው?</v>
      </c>
      <c r="I20" s="8" t="str">
        <f>IFERROR(__xludf.DUMMYFUNCTION(" GOOGLETRANSLATE(C20, ""en"", ""am"")"),"A. የጎን መቆጣጠሪያ B. ሙሉ ጭነት C. Clink D. የኋላ መቆጣጠሪያ")</f>
        <v>A. የጎን መቆጣጠሪያ B. ሙሉ ጭነት C. Clink D. የኋላ መቆጣጠሪያ</v>
      </c>
      <c r="J20" s="8" t="str">
        <f>IFERROR(__xludf.DUMMYFUNCTION(" GOOGLETRANSLATE(D20, ""en"", ""am"")"),"ክሊንክ")</f>
        <v>ክሊንክ</v>
      </c>
      <c r="K20" s="8" t="str">
        <f>IFERROR(__xludf.DUMMYFUNCTION(" GOOGLETRANSLATE(E20, ""en"", ""am"")"),"የክሊች ቦታው ብዙውን ጊዜ በሲዳማ ሬስሊንግ ውስጥ ውርወራዎችን ለማዘጋጀት ያገለግላል።")</f>
        <v>የክሊች ቦታው ብዙውን ጊዜ በሲዳማ ሬስሊንግ ውስጥ ውርወራዎችን ለማዘጋጀት ያገለግላል።</v>
      </c>
    </row>
    <row r="21" ht="22.5" customHeight="1">
      <c r="A21" s="13">
        <v>20.0</v>
      </c>
      <c r="B21" s="14" t="s">
        <v>2422</v>
      </c>
      <c r="C21" s="14" t="s">
        <v>2423</v>
      </c>
      <c r="D21" s="14" t="s">
        <v>2424</v>
      </c>
      <c r="E21" s="14" t="s">
        <v>2425</v>
      </c>
      <c r="G21" s="8" t="str">
        <f>IFERROR(__xludf.DUMMYFUNCTION(" GOOGLETRANSLATE(A21, ""en"", ""am"")"),"20")</f>
        <v>20</v>
      </c>
      <c r="H21" s="8" t="str">
        <f>IFERROR(__xludf.DUMMYFUNCTION(" GOOGLETRANSLATE(B21, ""en"", ""am"")"),"በሲዳማ ሬስሊንግ ተቃዋሚ ሲገጥምህ የመጀመሪያው እርምጃ ምንድን ነው?")</f>
        <v>በሲዳማ ሬስሊንግ ተቃዋሚ ሲገጥምህ የመጀመሪያው እርምጃ ምንድን ነው?</v>
      </c>
      <c r="I21" s="8" t="str">
        <f>IFERROR(__xludf.DUMMYFUNCTION(" GOOGLETRANSLATE(C21, ""en"", ""am"")"),"A. Attack B. መወርወር ጀምር። ሐ. መያዣዎችን ማዘጋጀት. መ. ምልክቶችን ይጠቀሙ.")</f>
        <v>A. Attack B. መወርወር ጀምር። ሐ. መያዣዎችን ማዘጋጀት. መ. ምልክቶችን ይጠቀሙ.</v>
      </c>
      <c r="J21" s="8" t="str">
        <f>IFERROR(__xludf.DUMMYFUNCTION(" GOOGLETRANSLATE(D21, ""en"", ""am"")"),"መያዣዎችን ያዘጋጁ.")</f>
        <v>መያዣዎችን ያዘጋጁ.</v>
      </c>
      <c r="K21" s="8" t="str">
        <f>IFERROR(__xludf.DUMMYFUNCTION(" GOOGLETRANSLATE(E21, ""en"", ""am"")"),"ቴክኒኮችን ከመተግበሩ በፊት ተቃዋሚውን ለመቆጣጠር ግሪፕስ በጣም አስፈላጊ ነው.")</f>
        <v>ቴክኒኮችን ከመተግበሩ በፊት ተቃዋሚውን ለመቆጣጠር ግሪፕስ በጣም አስፈላጊ ነው.</v>
      </c>
    </row>
    <row r="22" ht="22.5" customHeight="1">
      <c r="A22" s="13">
        <v>21.0</v>
      </c>
      <c r="B22" s="14" t="s">
        <v>2426</v>
      </c>
      <c r="C22" s="14" t="s">
        <v>2427</v>
      </c>
      <c r="D22" s="14" t="s">
        <v>2428</v>
      </c>
      <c r="E22" s="14" t="s">
        <v>2429</v>
      </c>
      <c r="G22" s="8" t="str">
        <f>IFERROR(__xludf.DUMMYFUNCTION(" GOOGLETRANSLATE(A22, ""en"", ""am"")"),"21")</f>
        <v>21</v>
      </c>
      <c r="H22" s="8" t="str">
        <f>IFERROR(__xludf.DUMMYFUNCTION(" GOOGLETRANSLATE(B22, ""en"", ""am"")"),"በሲዳማ ሬስሊግ የዳኛው ሚና ምን ይመስላል?")</f>
        <v>በሲዳማ ሬስሊግ የዳኛው ሚና ምን ይመስላል?</v>
      </c>
      <c r="I22" s="8" t="str">
        <f>IFERROR(__xludf.DUMMYFUNCTION(" GOOGLETRANSLATE(C22, ""en"", ""am"")"),"A. ተዋጊዎቹን ለመርዳት ለ. ነጥብ መስጠት ሐ. ደህንነትን ለማረጋገጥ እና ደንቦችን ለማስከበር መ. አሸናፊውን ለመወሰን")</f>
        <v>A. ተዋጊዎቹን ለመርዳት ለ. ነጥብ መስጠት ሐ. ደህንነትን ለማረጋገጥ እና ደንቦችን ለማስከበር መ. አሸናፊውን ለመወሰን</v>
      </c>
      <c r="J22" s="8" t="str">
        <f>IFERROR(__xludf.DUMMYFUNCTION(" GOOGLETRANSLATE(D22, ""en"", ""am"")"),"ደህንነትን ለማረጋገጥ እና ደንቦችን ለማስፈጸም")</f>
        <v>ደህንነትን ለማረጋገጥ እና ደንቦችን ለማስፈጸም</v>
      </c>
      <c r="K22" s="8" t="str">
        <f>IFERROR(__xludf.DUMMYFUNCTION(" GOOGLETRANSLATE(E22, ""en"", ""am"")"),"ዳኛው በጨዋታው ወቅት ፍትሃዊ ጨዋታ እና ደህንነትን ያረጋግጣል።")</f>
        <v>ዳኛው በጨዋታው ወቅት ፍትሃዊ ጨዋታ እና ደህንነትን ያረጋግጣል።</v>
      </c>
    </row>
    <row r="23" ht="22.5" customHeight="1">
      <c r="A23" s="13">
        <v>22.0</v>
      </c>
      <c r="B23" s="14" t="s">
        <v>2430</v>
      </c>
      <c r="C23" s="14" t="s">
        <v>2431</v>
      </c>
      <c r="D23" s="14" t="s">
        <v>2432</v>
      </c>
      <c r="E23" s="14" t="s">
        <v>2433</v>
      </c>
      <c r="G23" s="8" t="str">
        <f>IFERROR(__xludf.DUMMYFUNCTION(" GOOGLETRANSLATE(A23, ""en"", ""am"")"),"22")</f>
        <v>22</v>
      </c>
      <c r="H23" s="8" t="str">
        <f>IFERROR(__xludf.DUMMYFUNCTION(" GOOGLETRANSLATE(B23, ""en"", ""am"")"),"ከእነዚህ ውስጥ በሲዳማ ትግል የተከለከለ ድርጊት የትኛው ነው?")</f>
        <v>ከእነዚህ ውስጥ በሲዳማ ትግል የተከለከለ ድርጊት የትኛው ነው?</v>
      </c>
      <c r="I23" s="8" t="str">
        <f>IFERROR(__xludf.DUMMYFUNCTION(" GOOGLETRANSLATE(C23, ""en"", ""am"")"),"ሀ. ተቀናቃኙን ከድንበር ውጪ መጣል ለ. ተቃዋሚውን መለጠፍ ሐ. የተቃዋሚውን እግር መያዝ መ. በትከሻ ክፍያ ማጥቃት")</f>
        <v>ሀ. ተቀናቃኙን ከድንበር ውጪ መጣል ለ. ተቃዋሚውን መለጠፍ ሐ. የተቃዋሚውን እግር መያዝ መ. በትከሻ ክፍያ ማጥቃት</v>
      </c>
      <c r="J23" s="8" t="str">
        <f>IFERROR(__xludf.DUMMYFUNCTION(" GOOGLETRANSLATE(D23, ""en"", ""am"")"),"በትከሻ ክፍያ ማጥቃት")</f>
        <v>በትከሻ ክፍያ ማጥቃት</v>
      </c>
      <c r="K23" s="8" t="str">
        <f>IFERROR(__xludf.DUMMYFUNCTION(" GOOGLETRANSLATE(E23, ""en"", ""am"")"),"በሲዳማ ሬስሊንግ ላይ ጉዳት የሚያደርሱ የትከሻ ክስ አይፈቀድም።")</f>
        <v>በሲዳማ ሬስሊንግ ላይ ጉዳት የሚያደርሱ የትከሻ ክስ አይፈቀድም።</v>
      </c>
    </row>
    <row r="24" ht="22.5" customHeight="1">
      <c r="A24" s="13">
        <v>23.0</v>
      </c>
      <c r="B24" s="14" t="s">
        <v>2434</v>
      </c>
      <c r="C24" s="14" t="s">
        <v>2435</v>
      </c>
      <c r="D24" s="14" t="s">
        <v>2436</v>
      </c>
      <c r="E24" s="14" t="s">
        <v>2437</v>
      </c>
      <c r="G24" s="8" t="str">
        <f>IFERROR(__xludf.DUMMYFUNCTION(" GOOGLETRANSLATE(A24, ""en"", ""am"")"),"23")</f>
        <v>23</v>
      </c>
      <c r="H24" s="8" t="str">
        <f>IFERROR(__xludf.DUMMYFUNCTION(" GOOGLETRANSLATE(B24, ""en"", ""am"")"),"በሲዳማ ሬስሊንግ ሁለቱም ታጋዮች እኩል ቢመሳሰሉ ምን ይሆናል?")</f>
        <v>በሲዳማ ሬስሊንግ ሁለቱም ታጋዮች እኩል ቢመሳሰሉ ምን ይሆናል?</v>
      </c>
      <c r="I24" s="8" t="str">
        <f>IFERROR(__xludf.DUMMYFUNCTION(" GOOGLETRANSLATE(C24, ""en"", ""am"")"),"ሀ. ግጥሚያው ቆሟል። ለ. ጨዋታው በአቻ ውጤት ይጠናቀቃል። ሐ. ዳኛው የጊዜ ገደብ ጠራ። መ. አሸናፊው የሚወሰነው በነጥብ ነው።")</f>
        <v>ሀ. ግጥሚያው ቆሟል። ለ. ጨዋታው በአቻ ውጤት ይጠናቀቃል። ሐ. ዳኛው የጊዜ ገደብ ጠራ። መ. አሸናፊው የሚወሰነው በነጥብ ነው።</v>
      </c>
      <c r="J24" s="8" t="str">
        <f>IFERROR(__xludf.DUMMYFUNCTION(" GOOGLETRANSLATE(D24, ""en"", ""am"")"),"ጨዋታው በአቻ ውጤት ይጠናቀቃል።")</f>
        <v>ጨዋታው በአቻ ውጤት ይጠናቀቃል።</v>
      </c>
      <c r="K24" s="8" t="str">
        <f>IFERROR(__xludf.DUMMYFUNCTION(" GOOGLETRANSLATE(E24, ""en"", ""am"")"),"ግልጽ የሆነ አሸናፊ ከሌለ ጨዋታው በአቻ ውጤት ሊጠናቀቅ ይችላል።")</f>
        <v>ግልጽ የሆነ አሸናፊ ከሌለ ጨዋታው በአቻ ውጤት ሊጠናቀቅ ይችላል።</v>
      </c>
    </row>
    <row r="25" ht="22.5" customHeight="1">
      <c r="A25" s="13">
        <v>24.0</v>
      </c>
      <c r="B25" s="14" t="s">
        <v>2438</v>
      </c>
      <c r="C25" s="14" t="s">
        <v>2439</v>
      </c>
      <c r="D25" s="14" t="s">
        <v>2440</v>
      </c>
      <c r="E25" s="14" t="s">
        <v>2441</v>
      </c>
      <c r="G25" s="8" t="str">
        <f>IFERROR(__xludf.DUMMYFUNCTION(" GOOGLETRANSLATE(A25, ""en"", ""am"")"),"24")</f>
        <v>24</v>
      </c>
      <c r="H25" s="8" t="str">
        <f>IFERROR(__xludf.DUMMYFUNCTION(" GOOGLETRANSLATE(B25, ""en"", ""am"")"),"በሲዳማ ሬስሊንግ ላይ አንድ ታጋይ በተሳካ ሁኔታ ውርወራውን ሲፈጽም ምን ይሆናል?")</f>
        <v>በሲዳማ ሬስሊንግ ላይ አንድ ታጋይ በተሳካ ሁኔታ ውርወራውን ሲፈጽም ምን ይሆናል?</v>
      </c>
      <c r="I25" s="8" t="str">
        <f>IFERROR(__xludf.DUMMYFUNCTION(" GOOGLETRANSLATE(C25, ""en"", ""am"")"),"ሀ. ነጥብ ያስቆጥራሉ። ለ. በራስ-ሰር ያሸንፋሉ። ሐ. ቅጣት ይቀበላሉ. መ/ እረፍት ተሰጥቷቸዋል።")</f>
        <v>ሀ. ነጥብ ያስቆጥራሉ። ለ. በራስ-ሰር ያሸንፋሉ። ሐ. ቅጣት ይቀበላሉ. መ/ እረፍት ተሰጥቷቸዋል።</v>
      </c>
      <c r="J25" s="8" t="str">
        <f>IFERROR(__xludf.DUMMYFUNCTION(" GOOGLETRANSLATE(D25, ""en"", ""am"")"),"ነጥብ ያስመዘግባሉ።")</f>
        <v>ነጥብ ያስመዘግባሉ።</v>
      </c>
      <c r="K25" s="8" t="str">
        <f>IFERROR(__xludf.DUMMYFUNCTION(" GOOGLETRANSLATE(E25, ""en"", ""am"")"),"የተሳካ ቡጢዎችን ይጥላል, ብዙውን ጊዜ ተቃዋሚውን ወደ ድል ያቀራርባል.")</f>
        <v>የተሳካ ቡጢዎችን ይጥላል, ብዙውን ጊዜ ተቃዋሚውን ወደ ድል ያቀራርባል.</v>
      </c>
    </row>
    <row r="26" ht="22.5" customHeight="1">
      <c r="A26" s="13">
        <v>25.0</v>
      </c>
      <c r="B26" s="14" t="s">
        <v>2442</v>
      </c>
      <c r="C26" s="14" t="s">
        <v>2443</v>
      </c>
      <c r="D26" s="14" t="s">
        <v>2444</v>
      </c>
      <c r="E26" s="14" t="s">
        <v>2445</v>
      </c>
      <c r="G26" s="8" t="str">
        <f>IFERROR(__xludf.DUMMYFUNCTION(" GOOGLETRANSLATE(A26, ""en"", ""am"")"),"25")</f>
        <v>25</v>
      </c>
      <c r="H26" s="8" t="str">
        <f>IFERROR(__xludf.DUMMYFUNCTION(" GOOGLETRANSLATE(B26, ""en"", ""am"")"),"አንድ ታጋይ ከፒን የሚያመልጥበት አንዱ መንገድ ምንድን ነው?")</f>
        <v>አንድ ታጋይ ከፒን የሚያመልጥበት አንዱ መንገድ ምንድን ነው?</v>
      </c>
      <c r="I26" s="8" t="str">
        <f>IFERROR(__xludf.DUMMYFUNCTION(" GOOGLETRANSLATE(C26, ""en"", ""am"")"),"ሀ. ተቀናቃኙን በማስወገድ ለ. በማሽከርከር ፒን C. በማቅረብ መ. ተቃዋሚውን በመምታት")</f>
        <v>ሀ. ተቀናቃኙን በማስወገድ ለ. በማሽከርከር ፒን C. በማቅረብ መ. ተቃዋሚውን በመምታት</v>
      </c>
      <c r="J26" s="8" t="str">
        <f>IFERROR(__xludf.DUMMYFUNCTION(" GOOGLETRANSLATE(D26, ""en"", ""am"")"),"በማንከባለል ፒን")</f>
        <v>በማንከባለል ፒን</v>
      </c>
      <c r="K26" s="8" t="str">
        <f>IFERROR(__xludf.DUMMYFUNCTION(" GOOGLETRANSLATE(E26, ""en"", ""am"")"),"ከፒን አቀማመጥ መውጣት የተለመደ የማምለጫ ዘዴ ነው.")</f>
        <v>ከፒን አቀማመጥ መውጣት የተለመደ የማምለጫ ዘዴ ነው.</v>
      </c>
    </row>
    <row r="27" ht="22.5" customHeight="1">
      <c r="A27" s="13">
        <v>26.0</v>
      </c>
      <c r="B27" s="14" t="s">
        <v>2446</v>
      </c>
      <c r="C27" s="14" t="s">
        <v>2447</v>
      </c>
      <c r="D27" s="14" t="s">
        <v>2448</v>
      </c>
      <c r="E27" s="14" t="s">
        <v>2449</v>
      </c>
      <c r="G27" s="8" t="str">
        <f>IFERROR(__xludf.DUMMYFUNCTION(" GOOGLETRANSLATE(A27, ""en"", ""am"")"),"26")</f>
        <v>26</v>
      </c>
      <c r="H27" s="8" t="str">
        <f>IFERROR(__xludf.DUMMYFUNCTION(" GOOGLETRANSLATE(B27, ""en"", ""am"")"),"ተቃዋሚን በተሳካ ሁኔታ ለማውረድ የትኛውን የሰውነት ክፍል ማነጣጠር አለበት?")</f>
        <v>ተቃዋሚን በተሳካ ሁኔታ ለማውረድ የትኛውን የሰውነት ክፍል ማነጣጠር አለበት?</v>
      </c>
      <c r="I27" s="8" t="str">
        <f>IFERROR(__xludf.DUMMYFUNCTION(" GOOGLETRANSLATE(C27, ""en"", ""am"")"),"ሀ. እግሮች ለ. ትከሻዎች ሐ. ይመለሳሉ D. Waist")</f>
        <v>ሀ. እግሮች ለ. ትከሻዎች ሐ. ይመለሳሉ D. Waist</v>
      </c>
      <c r="J27" s="8" t="str">
        <f>IFERROR(__xludf.DUMMYFUNCTION(" GOOGLETRANSLATE(D27, ""en"", ""am"")"),"ወገብ")</f>
        <v>ወገብ</v>
      </c>
      <c r="K27" s="8" t="str">
        <f>IFERROR(__xludf.DUMMYFUNCTION(" GOOGLETRANSLATE(E27, ""en"", ""am"")"),"ተቃዋሚውን በወገብ ማንሳት ቁጥጥር የሚደረግበት ውርወራ እንዲኖር ያስችላል።")</f>
        <v>ተቃዋሚውን በወገብ ማንሳት ቁጥጥር የሚደረግበት ውርወራ እንዲኖር ያስችላል።</v>
      </c>
    </row>
    <row r="28" ht="22.5" customHeight="1">
      <c r="A28" s="13">
        <v>27.0</v>
      </c>
      <c r="B28" s="14" t="s">
        <v>2450</v>
      </c>
      <c r="C28" s="14" t="s">
        <v>2451</v>
      </c>
      <c r="D28" s="14" t="s">
        <v>2452</v>
      </c>
      <c r="E28" s="14" t="s">
        <v>2453</v>
      </c>
      <c r="G28" s="8" t="str">
        <f>IFERROR(__xludf.DUMMYFUNCTION(" GOOGLETRANSLATE(A28, ""en"", ""am"")"),"27")</f>
        <v>27</v>
      </c>
      <c r="H28" s="8" t="str">
        <f>IFERROR(__xludf.DUMMYFUNCTION(" GOOGLETRANSLATE(B28, ""en"", ""am"")"),"በሲዳማ ሬስሊንግ የተለመደ የማስረከቢያ እርምጃ ምንድነው?")</f>
        <v>በሲዳማ ሬስሊንግ የተለመደ የማስረከቢያ እርምጃ ምንድነው?</v>
      </c>
      <c r="I28" s="8" t="str">
        <f>IFERROR(__xludf.DUMMYFUNCTION(" GOOGLETRANSLATE(C28, ""en"", ""am"")"),"A. Armbar B. የእግር መቆለፊያ ሐ. የአንገት ክራንች መ. ሌላ ምንም ነገር የለም።")</f>
        <v>A. Armbar B. የእግር መቆለፊያ ሐ. የአንገት ክራንች መ. ሌላ ምንም ነገር የለም።</v>
      </c>
      <c r="J28" s="8" t="str">
        <f>IFERROR(__xludf.DUMMYFUNCTION(" GOOGLETRANSLATE(D28, ""en"", ""am"")"),"ሌላ ምንም")</f>
        <v>ሌላ ምንም</v>
      </c>
      <c r="K28" s="8" t="str">
        <f>IFERROR(__xludf.DUMMYFUNCTION(" GOOGLETRANSLATE(E28, ""en"", ""am"")"),"የሲዳማ ትግል በተለምዶ እጅ መስጠትን አያጠቃልልም።")</f>
        <v>የሲዳማ ትግል በተለምዶ እጅ መስጠትን አያጠቃልልም።</v>
      </c>
    </row>
    <row r="29" ht="22.5" customHeight="1">
      <c r="A29" s="13">
        <v>28.0</v>
      </c>
      <c r="B29" s="14" t="s">
        <v>2454</v>
      </c>
      <c r="C29" s="14" t="s">
        <v>2455</v>
      </c>
      <c r="D29" s="14" t="s">
        <v>2456</v>
      </c>
      <c r="E29" s="14" t="s">
        <v>2457</v>
      </c>
      <c r="G29" s="8" t="str">
        <f>IFERROR(__xludf.DUMMYFUNCTION(" GOOGLETRANSLATE(A29, ""en"", ""am"")"),"28")</f>
        <v>28</v>
      </c>
      <c r="H29" s="8" t="str">
        <f>IFERROR(__xludf.DUMMYFUNCTION(" GOOGLETRANSLATE(B29, ""en"", ""am"")"),"በሲዳማ ትግል ውስጥ በብዛት የሚጠቀመው የትኛው መያዣ ነው?")</f>
        <v>በሲዳማ ትግል ውስጥ በብዛት የሚጠቀመው የትኛው መያዣ ነው?</v>
      </c>
      <c r="I29" s="8" t="str">
        <f>IFERROR(__xludf.DUMMYFUNCTION(" GOOGLETRANSLATE(C29, ""en"", ""am"")"),"ሀ. ድርብ መንጠቆ ለ. የጭንቅላት መቆለፊያ ሐ. ሙሉ ኔልሰን ዲ. ድብን ማቀፍ")</f>
        <v>ሀ. ድርብ መንጠቆ ለ. የጭንቅላት መቆለፊያ ሐ. ሙሉ ኔልሰን ዲ. ድብን ማቀፍ</v>
      </c>
      <c r="J29" s="8" t="str">
        <f>IFERROR(__xludf.DUMMYFUNCTION(" GOOGLETRANSLATE(D29, ""en"", ""am"")"),"ድርብ መንጠቆ")</f>
        <v>ድርብ መንጠቆ</v>
      </c>
      <c r="K29" s="8" t="str">
        <f>IFERROR(__xludf.DUMMYFUNCTION(" GOOGLETRANSLATE(E29, ""en"", ""am"")"),"ባለ ሁለት መንጠቆው መያዣው በተለምዶ ለመቆጣጠር እና ውርወራዎችን ለማዘጋጀት ያገለግላል።")</f>
        <v>ባለ ሁለት መንጠቆው መያዣው በተለምዶ ለመቆጣጠር እና ውርወራዎችን ለማዘጋጀት ያገለግላል።</v>
      </c>
    </row>
    <row r="30" ht="22.5" customHeight="1">
      <c r="A30" s="13">
        <v>29.0</v>
      </c>
      <c r="B30" s="14" t="s">
        <v>2458</v>
      </c>
      <c r="C30" s="14" t="s">
        <v>2459</v>
      </c>
      <c r="D30" s="14" t="s">
        <v>2416</v>
      </c>
      <c r="E30" s="14" t="s">
        <v>2460</v>
      </c>
      <c r="G30" s="8" t="str">
        <f>IFERROR(__xludf.DUMMYFUNCTION(" GOOGLETRANSLATE(A30, ""en"", ""am"")"),"29")</f>
        <v>29</v>
      </c>
      <c r="H30" s="8" t="str">
        <f>IFERROR(__xludf.DUMMYFUNCTION(" GOOGLETRANSLATE(B30, ""en"", ""am"")"),"በሲዳማ ሬስሊንግ ከተቃዋሚዎች መዳፍ ለመላቀቅ የትኛውን እንቅስቃሴ ይጠቀማል?")</f>
        <v>በሲዳማ ሬስሊንግ ከተቃዋሚዎች መዳፍ ለመላቀቅ የትኛውን እንቅስቃሴ ይጠቀማል?</v>
      </c>
      <c r="I30" s="8" t="str">
        <f>IFERROR(__xludf.DUMMYFUNCTION(" GOOGLETRANSLATE(C30, ""en"", ""am"")"),"A. Escape B. አውርድ ሐ. ሽሽት ጥቅል ዲ. ጁዶ ውርወራ ዝላይ")</f>
        <v>A. Escape B. አውርድ ሐ. ሽሽት ጥቅል ዲ. ጁዶ ውርወራ ዝላይ</v>
      </c>
      <c r="J30" s="8" t="str">
        <f>IFERROR(__xludf.DUMMYFUNCTION(" GOOGLETRANSLATE(D30, ""en"", ""am"")"),"ማምለጥ")</f>
        <v>ማምለጥ</v>
      </c>
      <c r="K30" s="8" t="str">
        <f>IFERROR(__xludf.DUMMYFUNCTION(" GOOGLETRANSLATE(E30, ""en"", ""am"")"),"የማምለጫ ዘዴዎች ከመጨናነቅ ለመላቀቅ እና የተቃዋሚዎችን እንቅስቃሴ ለመቋቋም ያገለግላሉ።")</f>
        <v>የማምለጫ ዘዴዎች ከመጨናነቅ ለመላቀቅ እና የተቃዋሚዎችን እንቅስቃሴ ለመቋቋም ያገለግላሉ።</v>
      </c>
    </row>
    <row r="31" ht="22.5" customHeight="1">
      <c r="A31" s="13">
        <v>30.0</v>
      </c>
      <c r="B31" s="14" t="s">
        <v>2461</v>
      </c>
      <c r="C31" s="14" t="s">
        <v>2462</v>
      </c>
      <c r="D31" s="14" t="s">
        <v>2463</v>
      </c>
      <c r="E31" s="14" t="s">
        <v>2464</v>
      </c>
      <c r="G31" s="8" t="str">
        <f>IFERROR(__xludf.DUMMYFUNCTION(" GOOGLETRANSLATE(A31, ""en"", ""am"")"),"30")</f>
        <v>30</v>
      </c>
      <c r="H31" s="8" t="str">
        <f>IFERROR(__xludf.DUMMYFUNCTION(" GOOGLETRANSLATE(B31, ""en"", ""am"")"),"አንድ ታጋይ በሲዳማ ሬስሊንግ ቢሰካ ምን ማድረግ አለበት?")</f>
        <v>አንድ ታጋይ በሲዳማ ሬስሊንግ ቢሰካ ምን ማድረግ አለበት?</v>
      </c>
      <c r="I31" s="8" t="str">
        <f>IFERROR(__xludf.DUMMYFUNCTION(" GOOGLETRANSLATE(C31, ""en"", ""am"")"),"ሀ. ለእርዳታ ይደውሉ። ለ. ጨዋታውን ጨርስ። ሐ. D. Escape ያስገቡ አለበለዚያ ግጥሚያው ያበቃል።")</f>
        <v>ሀ. ለእርዳታ ይደውሉ። ለ. ጨዋታውን ጨርስ። ሐ. D. Escape ያስገቡ አለበለዚያ ግጥሚያው ያበቃል።</v>
      </c>
      <c r="J31" s="8" t="str">
        <f>IFERROR(__xludf.DUMMYFUNCTION(" GOOGLETRANSLATE(D31, ""en"", ""am"")"),"ማምለጥ አለበለዚያ ግጥሚያው ያበቃል።")</f>
        <v>ማምለጥ አለበለዚያ ግጥሚያው ያበቃል።</v>
      </c>
      <c r="K31" s="8" t="str">
        <f>IFERROR(__xludf.DUMMYFUNCTION(" GOOGLETRANSLATE(E31, ""en"", ""am"")"),"አንድ ተዋጊ ከፒን ማምለጥ ወይም ግጥሚያውን ማጣት አለበት።")</f>
        <v>አንድ ተዋጊ ከፒን ማምለጥ ወይም ግጥሚያውን ማጣት አለበት።</v>
      </c>
    </row>
    <row r="32" ht="22.5" customHeight="1">
      <c r="A32" s="13">
        <v>31.0</v>
      </c>
      <c r="B32" s="14" t="s">
        <v>2465</v>
      </c>
      <c r="C32" s="14" t="s">
        <v>2466</v>
      </c>
      <c r="D32" s="14" t="s">
        <v>2467</v>
      </c>
      <c r="E32" s="14" t="s">
        <v>2468</v>
      </c>
      <c r="G32" s="8" t="str">
        <f>IFERROR(__xludf.DUMMYFUNCTION(" GOOGLETRANSLATE(A32, ""en"", ""am"")"),"31")</f>
        <v>31</v>
      </c>
      <c r="H32" s="8" t="str">
        <f>IFERROR(__xludf.DUMMYFUNCTION(" GOOGLETRANSLATE(B32, ""en"", ""am"")"),"በሲዳማ ትግል ወቅት ታጋይ ማስወገድ ያለበት አንድ ነገር ምንድን ነው?")</f>
        <v>በሲዳማ ትግል ወቅት ታጋይ ማስወገድ ያለበት አንድ ነገር ምንድን ነው?</v>
      </c>
      <c r="I32" s="8" t="str">
        <f>IFERROR(__xludf.DUMMYFUNCTION(" GOOGLETRANSLATE(C32, ""en"", ""am"")"),"ሀ. እግር ላይ መድረስ ለ. የተቃዋሚውን ጭንቅላት መምታት ሐ. የተቃዋሚውን ሸሚዝ መያዝ መ. የተቃዋሚውን እጅ መያዝ")</f>
        <v>ሀ. እግር ላይ መድረስ ለ. የተቃዋሚውን ጭንቅላት መምታት ሐ. የተቃዋሚውን ሸሚዝ መያዝ መ. የተቃዋሚውን እጅ መያዝ</v>
      </c>
      <c r="J32" s="8" t="str">
        <f>IFERROR(__xludf.DUMMYFUNCTION(" GOOGLETRANSLATE(D32, ""en"", ""am"")"),"የተቃዋሚውን ጭንቅላት መምታት")</f>
        <v>የተቃዋሚውን ጭንቅላት መምታት</v>
      </c>
      <c r="K32" s="8" t="str">
        <f>IFERROR(__xludf.DUMMYFUNCTION(" GOOGLETRANSLATE(E32, ""en"", ""am"")"),"በሲዳማ ትግል ጭንቅላትን መምታት የተከለከለ ነው።")</f>
        <v>በሲዳማ ትግል ጭንቅላትን መምታት የተከለከለ ነው።</v>
      </c>
    </row>
    <row r="33" ht="22.5" customHeight="1">
      <c r="A33" s="13">
        <v>32.0</v>
      </c>
      <c r="B33" s="14" t="s">
        <v>2469</v>
      </c>
      <c r="C33" s="14" t="s">
        <v>2470</v>
      </c>
      <c r="D33" s="14" t="s">
        <v>2471</v>
      </c>
      <c r="E33" s="14" t="s">
        <v>2472</v>
      </c>
      <c r="G33" s="8" t="str">
        <f>IFERROR(__xludf.DUMMYFUNCTION(" GOOGLETRANSLATE(A33, ""en"", ""am"")"),"32")</f>
        <v>32</v>
      </c>
      <c r="H33" s="8" t="str">
        <f>IFERROR(__xludf.DUMMYFUNCTION(" GOOGLETRANSLATE(B33, ""en"", ""am"")"),"በሲዳማ ሬስሊንግ ውስጥ የተቃዋሚው አካል አቋም ምን ሚና አለው?")</f>
        <v>በሲዳማ ሬስሊንግ ውስጥ የተቃዋሚው አካል አቋም ምን ሚና አለው?</v>
      </c>
      <c r="I33" s="8" t="str">
        <f>IFERROR(__xludf.DUMMYFUNCTION(" GOOGLETRANSLATE(C33, ""en"", ""am"")"),"ሀ. አፀያፊ እድሎችን መፍጠር ለ. ሲግናሎችን ለማገድ ሐ. ተቃዋሚውን ግራ ለማጋባት መ. የተቃዋሚውን ሚዛን ለመቆጣጠር")</f>
        <v>ሀ. አፀያፊ እድሎችን መፍጠር ለ. ሲግናሎችን ለማገድ ሐ. ተቃዋሚውን ግራ ለማጋባት መ. የተቃዋሚውን ሚዛን ለመቆጣጠር</v>
      </c>
      <c r="J33" s="8" t="str">
        <f>IFERROR(__xludf.DUMMYFUNCTION(" GOOGLETRANSLATE(D33, ""en"", ""am"")"),"የተቃዋሚውን ሚዛን ለመቆጣጠር")</f>
        <v>የተቃዋሚውን ሚዛን ለመቆጣጠር</v>
      </c>
      <c r="K33" s="8" t="str">
        <f>IFERROR(__xludf.DUMMYFUNCTION(" GOOGLETRANSLATE(E33, ""en"", ""am"")"),"ተዋጊዎች የተቃዋሚውን ሚዛን ለመቆጣጠር እና ውርወራዎችን ለማዘጋጀት የሰውነት አቀማመጥን ይጠቀማሉ።")</f>
        <v>ተዋጊዎች የተቃዋሚውን ሚዛን ለመቆጣጠር እና ውርወራዎችን ለማዘጋጀት የሰውነት አቀማመጥን ይጠቀማሉ።</v>
      </c>
    </row>
    <row r="34" ht="22.5" customHeight="1">
      <c r="A34" s="13">
        <v>33.0</v>
      </c>
      <c r="B34" s="14" t="s">
        <v>2473</v>
      </c>
      <c r="C34" s="14" t="s">
        <v>2474</v>
      </c>
      <c r="D34" s="14" t="s">
        <v>2475</v>
      </c>
      <c r="E34" s="14" t="s">
        <v>2476</v>
      </c>
      <c r="G34" s="8" t="str">
        <f>IFERROR(__xludf.DUMMYFUNCTION(" GOOGLETRANSLATE(A34, ""en"", ""am"")"),"33")</f>
        <v>33</v>
      </c>
      <c r="H34" s="8" t="str">
        <f>IFERROR(__xludf.DUMMYFUNCTION(" GOOGLETRANSLATE(B34, ""en"", ""am"")"),"በሲዳማ ትግል የትኛው ቴክኒክ ነው ህገወጥ የሆነው?")</f>
        <v>በሲዳማ ትግል የትኛው ቴክኒክ ነው ህገወጥ የሆነው?</v>
      </c>
      <c r="I34" s="8" t="str">
        <f>IFERROR(__xludf.DUMMYFUNCTION(" GOOGLETRANSLATE(C34, ""en"", ""am"")"),"ሀ. ጭንቅላት ለ. ተቃዋሚውን በአንገት መወርወር ሐ. የእግር መፋቅ D. የትከሻ መገጣጠሚያ")</f>
        <v>ሀ. ጭንቅላት ለ. ተቃዋሚውን በአንገት መወርወር ሐ. የእግር መፋቅ D. የትከሻ መገጣጠሚያ</v>
      </c>
      <c r="J34" s="8" t="str">
        <f>IFERROR(__xludf.DUMMYFUNCTION(" GOOGLETRANSLATE(D34, ""en"", ""am"")"),"ጭንቅላት")</f>
        <v>ጭንቅላት</v>
      </c>
      <c r="K34" s="8" t="str">
        <f>IFERROR(__xludf.DUMMYFUNCTION(" GOOGLETRANSLATE(E34, ""en"", ""am"")"),"ጉዳት ሊያስከትል ስለሚችል የጭንቅላት መምታት አይፈቀድም.")</f>
        <v>ጉዳት ሊያስከትል ስለሚችል የጭንቅላት መምታት አይፈቀድም.</v>
      </c>
    </row>
    <row r="35" ht="22.5" customHeight="1">
      <c r="A35" s="13">
        <v>34.0</v>
      </c>
      <c r="B35" s="14" t="s">
        <v>2477</v>
      </c>
      <c r="C35" s="14" t="s">
        <v>2478</v>
      </c>
      <c r="D35" s="14" t="s">
        <v>2479</v>
      </c>
      <c r="E35" s="14" t="s">
        <v>2480</v>
      </c>
      <c r="G35" s="8" t="str">
        <f>IFERROR(__xludf.DUMMYFUNCTION(" GOOGLETRANSLATE(A35, ""en"", ""am"")"),"34")</f>
        <v>34</v>
      </c>
      <c r="H35" s="8" t="str">
        <f>IFERROR(__xludf.DUMMYFUNCTION(" GOOGLETRANSLATE(B35, ""en"", ""am"")"),"የሲዳማ ቡና አሸናፊው በምን ይለያል?")</f>
        <v>የሲዳማ ቡና አሸናፊው በምን ይለያል?</v>
      </c>
      <c r="I35" s="8" t="str">
        <f>IFERROR(__xludf.DUMMYFUNCTION(" GOOGLETRANSLATE(C35, ""en"", ""am"")"),"ሀ. የመጀመሪያው ለ. ተቀናቃኙን ለመጀመሪያ ጊዜ የሾመው C. በቆመበት የሚቀረው ተዋጊ D. ብዙ የሰራ ሰው ስኬታማ ይሆናል።")</f>
        <v>ሀ. የመጀመሪያው ለ. ተቀናቃኙን ለመጀመሪያ ጊዜ የሾመው C. በቆመበት የሚቀረው ተዋጊ D. ብዙ የሰራ ሰው ስኬታማ ይሆናል።</v>
      </c>
      <c r="J35" s="8" t="str">
        <f>IFERROR(__xludf.DUMMYFUNCTION(" GOOGLETRANSLATE(D35, ""en"", ""am"")"),"ተቃዋሚውን ለመሰካት የመጀመሪያው")</f>
        <v>ተቃዋሚውን ለመሰካት የመጀመሪያው</v>
      </c>
      <c r="K35" s="8" t="str">
        <f>IFERROR(__xludf.DUMMYFUNCTION(" GOOGLETRANSLATE(E35, ""en"", ""am"")"),"ግጥሚያው የሚዋጋው የተቃዋሚውን ትከሻ ምንጣፉ ላይ በማያያዝ ነው።")</f>
        <v>ግጥሚያው የሚዋጋው የተቃዋሚውን ትከሻ ምንጣፉ ላይ በማያያዝ ነው።</v>
      </c>
    </row>
    <row r="36" ht="22.5" customHeight="1">
      <c r="A36" s="13">
        <v>35.0</v>
      </c>
      <c r="B36" s="14" t="s">
        <v>2481</v>
      </c>
      <c r="C36" s="14" t="s">
        <v>2482</v>
      </c>
      <c r="D36" s="14" t="s">
        <v>2483</v>
      </c>
      <c r="E36" s="14" t="s">
        <v>2484</v>
      </c>
      <c r="G36" s="8" t="str">
        <f>IFERROR(__xludf.DUMMYFUNCTION(" GOOGLETRANSLATE(A36, ""en"", ""am"")"),"35")</f>
        <v>35</v>
      </c>
      <c r="H36" s="8" t="str">
        <f>IFERROR(__xludf.DUMMYFUNCTION(" GOOGLETRANSLATE(B36, ""en"", ""am"")"),"የሲዳማ ዉድድር ጨዋታ ለምን ያህል ጊዜ ይቆያል?")</f>
        <v>የሲዳማ ዉድድር ጨዋታ ለምን ያህል ጊዜ ይቆያል?</v>
      </c>
      <c r="I36" s="8" t="str">
        <f>IFERROR(__xludf.DUMMYFUNCTION(" GOOGLETRANSLATE(C36, ""en"", ""am"")"),"ሀ. አንድ ዙር ለ. ሁለት ዙር ሐ. ሶስት ዙር D. አምስት ዙር")</f>
        <v>ሀ. አንድ ዙር ለ. ሁለት ዙር ሐ. ሶስት ዙር D. አምስት ዙር</v>
      </c>
      <c r="J36" s="8" t="str">
        <f>IFERROR(__xludf.DUMMYFUNCTION(" GOOGLETRANSLATE(D36, ""en"", ""am"")"),"አንድ ዙር")</f>
        <v>አንድ ዙር</v>
      </c>
      <c r="K36" s="8" t="str">
        <f>IFERROR(__xludf.DUMMYFUNCTION(" GOOGLETRANSLATE(E36, ""en"", ""am"")"),"አብዛኛዎቹ ግጥሚያዎች ለአንድ ዙር ይቆያሉ, የሚቆይበት ጊዜ በውድድሩ ህጎች ውስጥ ተገልጿል.")</f>
        <v>አብዛኛዎቹ ግጥሚያዎች ለአንድ ዙር ይቆያሉ, የሚቆይበት ጊዜ በውድድሩ ህጎች ውስጥ ተገልጿል.</v>
      </c>
    </row>
    <row r="37" ht="22.5" customHeight="1">
      <c r="A37" s="13">
        <v>36.0</v>
      </c>
      <c r="B37" s="14" t="s">
        <v>2485</v>
      </c>
      <c r="C37" s="14" t="s">
        <v>2486</v>
      </c>
      <c r="D37" s="14" t="s">
        <v>2487</v>
      </c>
      <c r="E37" s="14" t="s">
        <v>2488</v>
      </c>
      <c r="G37" s="8" t="str">
        <f>IFERROR(__xludf.DUMMYFUNCTION(" GOOGLETRANSLATE(A37, ""en"", ""am"")"),"36")</f>
        <v>36</v>
      </c>
      <c r="H37" s="8" t="str">
        <f>IFERROR(__xludf.DUMMYFUNCTION(" GOOGLETRANSLATE(B37, ""en"", ""am"")"),"ከነዚህ ውስጥ የሲዳማ ሬስሊንግ አካል ያልሆነው የትኛው ነው?")</f>
        <v>ከነዚህ ውስጥ የሲዳማ ሬስሊንግ አካል ያልሆነው የትኛው ነው?</v>
      </c>
      <c r="I37" s="8" t="str">
        <f>IFERROR(__xludf.DUMMYFUNCTION(" GOOGLETRANSLATE(C37, ""en"", ""am"")"),"ሀ. ቢ ፒን ሲን ይጥላል. ማስረከብ ዲ. መጥረግን ያካትታል")</f>
        <v>ሀ. ቢ ፒን ሲን ይጥላል. ማስረከብ ዲ. መጥረግን ያካትታል</v>
      </c>
      <c r="J37" s="8" t="str">
        <f>IFERROR(__xludf.DUMMYFUNCTION(" GOOGLETRANSLATE(D37, ""en"", ""am"")"),"ማስረከብ ያካትታል")</f>
        <v>ማስረከብ ያካትታል</v>
      </c>
      <c r="K37" s="8" t="str">
        <f>IFERROR(__xludf.DUMMYFUNCTION(" GOOGLETRANSLATE(E37, ""en"", ""am"")"),"የማስረከቢያ መያዣዎች በተለምዶ የሲዳማ የትግል ዘዴዎች አካል አይደሉም።")</f>
        <v>የማስረከቢያ መያዣዎች በተለምዶ የሲዳማ የትግል ዘዴዎች አካል አይደሉም።</v>
      </c>
    </row>
    <row r="38" ht="22.5" customHeight="1">
      <c r="A38" s="13">
        <v>37.0</v>
      </c>
      <c r="B38" s="14" t="s">
        <v>2489</v>
      </c>
      <c r="C38" s="14" t="s">
        <v>2490</v>
      </c>
      <c r="D38" s="14" t="s">
        <v>2491</v>
      </c>
      <c r="E38" s="14" t="s">
        <v>2492</v>
      </c>
      <c r="G38" s="8" t="str">
        <f>IFERROR(__xludf.DUMMYFUNCTION(" GOOGLETRANSLATE(A38, ""en"", ""am"")"),"37")</f>
        <v>37</v>
      </c>
      <c r="H38" s="8" t="str">
        <f>IFERROR(__xludf.DUMMYFUNCTION(" GOOGLETRANSLATE(B38, ""en"", ""am"")"),"በሲዳማ ትግል ስኬት ቁልፉ ምንድን ነው?")</f>
        <v>በሲዳማ ትግል ስኬት ቁልፉ ምንድን ነው?</v>
      </c>
      <c r="I38" s="8" t="str">
        <f>IFERROR(__xludf.DUMMYFUNCTION(" GOOGLETRANSLATE(C38, ""en"", ""am"")"),"A. መጠን ለ. ፍጥነት ሐ. ጥንካሬ D. ቴክኒኮች እና ጊዜ")</f>
        <v>A. መጠን ለ. ፍጥነት ሐ. ጥንካሬ D. ቴክኒኮች እና ጊዜ</v>
      </c>
      <c r="J38" s="8" t="str">
        <f>IFERROR(__xludf.DUMMYFUNCTION(" GOOGLETRANSLATE(D38, ""en"", ""am"")"),"ቴክኒኮች እና ጊዜ")</f>
        <v>ቴክኒኮች እና ጊዜ</v>
      </c>
      <c r="K38" s="8" t="str">
        <f>IFERROR(__xludf.DUMMYFUNCTION(" GOOGLETRANSLATE(E38, ""en"", ""am"")"),"ጥሩ ቴክኒክ እና ፍጹም ጊዜ ከጠንካራ ጥንካሬ የበለጠ አስፈላጊ ናቸው.")</f>
        <v>ጥሩ ቴክኒክ እና ፍጹም ጊዜ ከጠንካራ ጥንካሬ የበለጠ አስፈላጊ ናቸው.</v>
      </c>
    </row>
    <row r="39" ht="22.5" customHeight="1">
      <c r="A39" s="13">
        <v>38.0</v>
      </c>
      <c r="B39" s="14" t="s">
        <v>2493</v>
      </c>
      <c r="C39" s="14" t="s">
        <v>2494</v>
      </c>
      <c r="D39" s="14" t="s">
        <v>2495</v>
      </c>
      <c r="E39" s="14" t="s">
        <v>2496</v>
      </c>
      <c r="G39" s="8" t="str">
        <f>IFERROR(__xludf.DUMMYFUNCTION(" GOOGLETRANSLATE(A39, ""en"", ""am"")"),"38")</f>
        <v>38</v>
      </c>
      <c r="H39" s="8" t="str">
        <f>IFERROR(__xludf.DUMMYFUNCTION(" GOOGLETRANSLATE(B39, ""en"", ""am"")"),"በሲዳማ ሬስሊንግ ነጥብ ለማግኘት በብዛት የሚወሰደው እንቅስቃሴ ምንድነው?")</f>
        <v>በሲዳማ ሬስሊንግ ነጥብ ለማግኘት በብዛት የሚወሰደው እንቅስቃሴ ምንድነው?</v>
      </c>
      <c r="I39" s="8" t="str">
        <f>IFERROR(__xludf.DUMMYFUNCTION(" GOOGLETRANSLATE(C39, ""en"", ""am"")"),"ሀ. ተቃዋሚውን ከድንበር ለመጣል ለ. አውርድ C. ፒን ዲ. Escape")</f>
        <v>ሀ. ተቃዋሚውን ከድንበር ለመጣል ለ. አውርድ C. ፒን ዲ. Escape</v>
      </c>
      <c r="J39" s="8" t="str">
        <f>IFERROR(__xludf.DUMMYFUNCTION(" GOOGLETRANSLATE(D39, ""en"", ""am"")"),"ፒን")</f>
        <v>ፒን</v>
      </c>
      <c r="K39" s="8" t="str">
        <f>IFERROR(__xludf.DUMMYFUNCTION(" GOOGLETRANSLATE(E39, ""en"", ""am"")"),"ተቃዋሚውን መሰካት ነጥብ ለማግኘት ዋናው መንገድ ነው።")</f>
        <v>ተቃዋሚውን መሰካት ነጥብ ለማግኘት ዋናው መንገድ ነው።</v>
      </c>
    </row>
    <row r="40" ht="22.5" customHeight="1">
      <c r="A40" s="13">
        <v>39.0</v>
      </c>
      <c r="B40" s="14" t="s">
        <v>2497</v>
      </c>
      <c r="C40" s="14" t="s">
        <v>2498</v>
      </c>
      <c r="D40" s="14" t="s">
        <v>2499</v>
      </c>
      <c r="E40" s="14" t="s">
        <v>2500</v>
      </c>
      <c r="G40" s="8" t="str">
        <f>IFERROR(__xludf.DUMMYFUNCTION(" GOOGLETRANSLATE(A40, ""en"", ""am"")"),"39")</f>
        <v>39</v>
      </c>
      <c r="H40" s="8" t="str">
        <f>IFERROR(__xludf.DUMMYFUNCTION(" GOOGLETRANSLATE(B40, ""en"", ""am"")"),"በሲዳማ ሬስሊንግ ላይ ጉዳት እንዳይደርስ ምን አይነት የሰውነት አቀማመጦች መወገድ አለባቸው?")</f>
        <v>በሲዳማ ሬስሊንግ ላይ ጉዳት እንዳይደርስ ምን አይነት የሰውነት አቀማመጦች መወገድ አለባቸው?</v>
      </c>
      <c r="I40" s="8" t="str">
        <f>IFERROR(__xludf.DUMMYFUNCTION(" GOOGLETRANSLATE(C40, ""en"", ""am"")"),"ሀ. ከኋላ ለ. በጎን ሐ. በጉልበቶችዎ ላይ D. በሆድ ላይ")</f>
        <v>ሀ. ከኋላ ለ. በጎን ሐ. በጉልበቶችዎ ላይ D. በሆድ ላይ</v>
      </c>
      <c r="J40" s="8" t="str">
        <f>IFERROR(__xludf.DUMMYFUNCTION(" GOOGLETRANSLATE(D40, ""en"", ""am"")"),"ጀርባ ላይ")</f>
        <v>ጀርባ ላይ</v>
      </c>
      <c r="K40" s="8" t="str">
        <f>IFERROR(__xludf.DUMMYFUNCTION(" GOOGLETRANSLATE(E40, ""en"", ""am"")"),"ከኋላ መሆን ተቃዋሚውን ለመሰካት ያጋልጣል።")</f>
        <v>ከኋላ መሆን ተቃዋሚውን ለመሰካት ያጋልጣል።</v>
      </c>
    </row>
    <row r="41" ht="22.5" customHeight="1">
      <c r="A41" s="13">
        <v>40.0</v>
      </c>
      <c r="B41" s="14" t="s">
        <v>2501</v>
      </c>
      <c r="C41" s="14" t="s">
        <v>2502</v>
      </c>
      <c r="D41" s="14" t="s">
        <v>1836</v>
      </c>
      <c r="E41" s="14" t="s">
        <v>2503</v>
      </c>
      <c r="G41" s="8" t="str">
        <f>IFERROR(__xludf.DUMMYFUNCTION(" GOOGLETRANSLATE(A41, ""en"", ""am"")"),"40")</f>
        <v>40</v>
      </c>
      <c r="H41" s="8" t="str">
        <f>IFERROR(__xludf.DUMMYFUNCTION(" GOOGLETRANSLATE(B41, ""en"", ""am"")"),"አንድ ተዋጊ በጭንቅላቱ ውስጥ ከተያዘ ምን እርምጃ ሊወስድ ይችላል?")</f>
        <v>አንድ ተዋጊ በጭንቅላቱ ውስጥ ከተያዘ ምን እርምጃ ሊወስድ ይችላል?</v>
      </c>
      <c r="I41" s="8" t="str">
        <f>IFERROR(__xludf.DUMMYFUNCTION(" GOOGLETRANSLATE(C41, ""en"", ""am"")"),"ሀ. አስገባ B. Fight C. ምታ D. ከዋሻው አምልጥ።")</f>
        <v>ሀ. አስገባ B. Fight C. ምታ D. ከዋሻው አምልጥ።</v>
      </c>
      <c r="J41" s="8" t="str">
        <f>IFERROR(__xludf.DUMMYFUNCTION(" GOOGLETRANSLATE(D41, ""en"", ""am"")"),"ከቤቱ አምልጥ።")</f>
        <v>ከቤቱ አምልጥ።</v>
      </c>
      <c r="K41" s="8" t="str">
        <f>IFERROR(__xludf.DUMMYFUNCTION(" GOOGLETRANSLATE(E41, ""en"", ""am"")"),"ተፋላሚዎች የአካላቸውን አቀማመጥ እና ጥንካሬ በመጠቀም ከጭንቅላት መቆለፍ ማምለጥ ይችላሉ።")</f>
        <v>ተፋላሚዎች የአካላቸውን አቀማመጥ እና ጥንካሬ በመጠቀም ከጭንቅላት መቆለፍ ማምለጥ ይችላሉ።</v>
      </c>
    </row>
    <row r="42" ht="22.5" customHeight="1">
      <c r="A42" s="13">
        <v>41.0</v>
      </c>
      <c r="B42" s="14" t="s">
        <v>2504</v>
      </c>
      <c r="C42" s="14" t="s">
        <v>2505</v>
      </c>
      <c r="D42" s="14" t="s">
        <v>2506</v>
      </c>
      <c r="E42" s="14" t="s">
        <v>2507</v>
      </c>
      <c r="G42" s="8" t="str">
        <f>IFERROR(__xludf.DUMMYFUNCTION(" GOOGLETRANSLATE(A42, ""en"", ""am"")"),"41")</f>
        <v>41</v>
      </c>
      <c r="H42" s="8" t="str">
        <f>IFERROR(__xludf.DUMMYFUNCTION(" GOOGLETRANSLATE(B42, ""en"", ""am"")"),"በሲዳማ ትግል ያልተፈቀደው የትኛው ነው?")</f>
        <v>በሲዳማ ትግል ያልተፈቀደው የትኛው ነው?</v>
      </c>
      <c r="I42" s="8" t="str">
        <f>IFERROR(__xludf.DUMMYFUNCTION(" GOOGLETRANSLATE(C42, ""en"", ""am"")"),"ሀ. እግርን ለመጥረግ መሞከር ለ. የተቃዋሚውን ሸሚዝ መያዝ ሐ. ተቃዋሚውን መግፋት D. የተቃዋሚውን እግር መንጠቅ")</f>
        <v>ሀ. እግርን ለመጥረግ መሞከር ለ. የተቃዋሚውን ሸሚዝ መያዝ ሐ. ተቃዋሚውን መግፋት D. የተቃዋሚውን እግር መንጠቅ</v>
      </c>
      <c r="J42" s="8" t="str">
        <f>IFERROR(__xludf.DUMMYFUNCTION(" GOOGLETRANSLATE(D42, ""en"", ""am"")"),"የተቃዋሚውን ሸሚዝ በመያዝ")</f>
        <v>የተቃዋሚውን ሸሚዝ በመያዝ</v>
      </c>
      <c r="K42" s="8" t="str">
        <f>IFERROR(__xludf.DUMMYFUNCTION(" GOOGLETRANSLATE(E42, ""en"", ""am"")"),"በሲዳማ ትግል ሸሚዝ ወይም ሌላ ልብስ መልበስ ህገወጥ ነው።")</f>
        <v>በሲዳማ ትግል ሸሚዝ ወይም ሌላ ልብስ መልበስ ህገወጥ ነው።</v>
      </c>
    </row>
    <row r="43" ht="22.5" customHeight="1">
      <c r="A43" s="13">
        <v>42.0</v>
      </c>
      <c r="B43" s="14" t="s">
        <v>2508</v>
      </c>
      <c r="C43" s="14" t="s">
        <v>2509</v>
      </c>
      <c r="D43" s="14" t="s">
        <v>2510</v>
      </c>
      <c r="E43" s="14" t="s">
        <v>2511</v>
      </c>
      <c r="G43" s="8" t="str">
        <f>IFERROR(__xludf.DUMMYFUNCTION(" GOOGLETRANSLATE(A43, ""en"", ""am"")"),"42")</f>
        <v>42</v>
      </c>
      <c r="H43" s="8" t="str">
        <f>IFERROR(__xludf.DUMMYFUNCTION(" GOOGLETRANSLATE(B43, ""en"", ""am"")"),"አንድ ታጋይ ከተመታ በኋላ እንዴት መልሶ መቆጣጠር ይችላል?")</f>
        <v>አንድ ታጋይ ከተመታ በኋላ እንዴት መልሶ መቆጣጠር ይችላል?</v>
      </c>
      <c r="I43" s="8" t="str">
        <f>IFERROR(__xludf.DUMMYFUNCTION(" GOOGLETRANSLATE(C43, ""en"", ""am"")"),"ሀ. ተቃዋሚውን በማስወገድ ለ. ኬብሎችን በመጠቀም ሐ. በግልባጭ መ በማቆም እና እንደገና በመሳተፍ")</f>
        <v>ሀ. ተቃዋሚውን በማስወገድ ለ. ኬብሎችን በመጠቀም ሐ. በግልባጭ መ በማቆም እና እንደገና በመሳተፍ</v>
      </c>
      <c r="J43" s="8" t="str">
        <f>IFERROR(__xludf.DUMMYFUNCTION(" GOOGLETRANSLATE(D43, ""en"", ""am"")"),"በማቆም እና እንደገና በመሳተፍ")</f>
        <v>በማቆም እና እንደገና በመሳተፍ</v>
      </c>
      <c r="K43" s="8" t="str">
        <f>IFERROR(__xludf.DUMMYFUNCTION(" GOOGLETRANSLATE(E43, ""en"", ""am"")"),"ቁጥጥርን መልሶ ማግኘት ወደ የተረጋጋ ቦታ መመለስ እና እንደገና መመለስን ያካትታል.")</f>
        <v>ቁጥጥርን መልሶ ማግኘት ወደ የተረጋጋ ቦታ መመለስ እና እንደገና መመለስን ያካትታል.</v>
      </c>
    </row>
    <row r="44" ht="22.5" customHeight="1">
      <c r="A44" s="13">
        <v>43.0</v>
      </c>
      <c r="B44" s="14" t="s">
        <v>2512</v>
      </c>
      <c r="C44" s="14" t="s">
        <v>2513</v>
      </c>
      <c r="D44" s="14" t="s">
        <v>2514</v>
      </c>
      <c r="E44" s="14" t="s">
        <v>2515</v>
      </c>
      <c r="G44" s="8" t="str">
        <f>IFERROR(__xludf.DUMMYFUNCTION(" GOOGLETRANSLATE(A44, ""en"", ""am"")"),"43")</f>
        <v>43</v>
      </c>
      <c r="H44" s="8" t="str">
        <f>IFERROR(__xludf.DUMMYFUNCTION(" GOOGLETRANSLATE(B44, ""en"", ""am"")"),"ለሲዳማ ትግል አስፈላጊ የሆነው የትኛው ችሎታ ነው?")</f>
        <v>ለሲዳማ ትግል አስፈላጊ የሆነው የትኛው ችሎታ ነው?</v>
      </c>
      <c r="I44" s="8" t="str">
        <f>IFERROR(__xludf.DUMMYFUNCTION(" GOOGLETRANSLATE(C44, ""en"", ""am"")"),"ሀ. ተለዋዋጭነት ለ. ጽናት። ሐ. ጥንካሬ D. ሚዛን እና ቁጥጥር")</f>
        <v>ሀ. ተለዋዋጭነት ለ. ጽናት። ሐ. ጥንካሬ D. ሚዛን እና ቁጥጥር</v>
      </c>
      <c r="J44" s="8" t="str">
        <f>IFERROR(__xludf.DUMMYFUNCTION(" GOOGLETRANSLATE(D44, ""en"", ""am"")"),"ሚዛን እና ቁጥጥር")</f>
        <v>ሚዛን እና ቁጥጥር</v>
      </c>
      <c r="K44" s="8" t="str">
        <f>IFERROR(__xludf.DUMMYFUNCTION(" GOOGLETRANSLATE(E44, ""en"", ""am"")"),"ለሲዳማ ሬስሊንግ ስኬት ሚዛንን መጠበቅ እና መቆጣጠር ወሳኝ ነው።")</f>
        <v>ለሲዳማ ሬስሊንግ ስኬት ሚዛንን መጠበቅ እና መቆጣጠር ወሳኝ ነው።</v>
      </c>
    </row>
    <row r="45" ht="22.5" customHeight="1">
      <c r="A45" s="13">
        <v>44.0</v>
      </c>
      <c r="B45" s="14" t="s">
        <v>2516</v>
      </c>
      <c r="C45" s="14" t="s">
        <v>2517</v>
      </c>
      <c r="D45" s="14" t="s">
        <v>1544</v>
      </c>
      <c r="E45" s="14" t="s">
        <v>2518</v>
      </c>
      <c r="G45" s="8" t="str">
        <f>IFERROR(__xludf.DUMMYFUNCTION(" GOOGLETRANSLATE(A45, ""en"", ""am"")"),"44")</f>
        <v>44</v>
      </c>
      <c r="H45" s="8" t="str">
        <f>IFERROR(__xludf.DUMMYFUNCTION(" GOOGLETRANSLATE(B45, ""en"", ""am"")"),"የሲዳማ ሬስሊንግ ቀዳሚ ግብ ምንድነው?")</f>
        <v>የሲዳማ ሬስሊንግ ቀዳሚ ግብ ምንድነው?</v>
      </c>
      <c r="I45" s="8" t="str">
        <f>IFERROR(__xludf.DUMMYFUNCTION(" GOOGLETRANSLATE(C45, ""en"", ""am"")"),"ሀ. ተመልካቾችን ለማዝናናት B. ተቃዋሚውን ለመቆጣጠር ሐ. ተቃዋሚውን ለመሰካት መ. ተቃዋሚው እንዲገዛ ማድረግ")</f>
        <v>ሀ. ተመልካቾችን ለማዝናናት B. ተቃዋሚውን ለመቆጣጠር ሐ. ተቃዋሚውን ለመሰካት መ. ተቃዋሚው እንዲገዛ ማድረግ</v>
      </c>
      <c r="J45" s="8" t="str">
        <f>IFERROR(__xludf.DUMMYFUNCTION(" GOOGLETRANSLATE(D45, ""en"", ""am"")"),"ተቃዋሚውን ለመሰካት")</f>
        <v>ተቃዋሚውን ለመሰካት</v>
      </c>
      <c r="K45" s="8" t="str">
        <f>IFERROR(__xludf.DUMMYFUNCTION(" GOOGLETRANSLATE(E45, ""en"", ""am"")"),"ዋናው ግብ የተቃዋሚውን ትከሻ ወደ ምንጣፉ መሰካት ነው።")</f>
        <v>ዋናው ግብ የተቃዋሚውን ትከሻ ወደ ምንጣፉ መሰካት ነው።</v>
      </c>
    </row>
    <row r="46" ht="22.5" customHeight="1">
      <c r="A46" s="13">
        <v>45.0</v>
      </c>
      <c r="B46" s="14" t="s">
        <v>2519</v>
      </c>
      <c r="C46" s="14" t="s">
        <v>2520</v>
      </c>
      <c r="D46" s="14" t="s">
        <v>2521</v>
      </c>
      <c r="E46" s="14" t="s">
        <v>2522</v>
      </c>
      <c r="G46" s="8" t="str">
        <f>IFERROR(__xludf.DUMMYFUNCTION(" GOOGLETRANSLATE(A46, ""en"", ""am"")"),"45")</f>
        <v>45</v>
      </c>
      <c r="H46" s="8" t="str">
        <f>IFERROR(__xludf.DUMMYFUNCTION(" GOOGLETRANSLATE(B46, ""en"", ""am"")"),"ከክሊኒኩ ለመውጣት ብዙውን ጊዜ የትኛው ዘዴ ጥቅም ላይ ይውላል?")</f>
        <v>ከክሊኒኩ ለመውጣት ብዙውን ጊዜ የትኛው ዘዴ ጥቅም ላይ ይውላል?</v>
      </c>
      <c r="I46" s="8" t="str">
        <f>IFERROR(__xludf.DUMMYFUNCTION(" GOOGLETRANSLATE(C46, ""en"", ""am"")"),"ሀ. የጉልበት ጅራፍ ለ. ክርን መምታት ሐ. የጥቅል ማምለጫ D. የጭንቅላት መቆለፊያ")</f>
        <v>ሀ. የጉልበት ጅራፍ ለ. ክርን መምታት ሐ. የጥቅል ማምለጫ D. የጭንቅላት መቆለፊያ</v>
      </c>
      <c r="J46" s="8" t="str">
        <f>IFERROR(__xludf.DUMMYFUNCTION(" GOOGLETRANSLATE(D46, ""en"", ""am"")"),"የማምለጫ ጥቅል")</f>
        <v>የማምለጫ ጥቅል</v>
      </c>
      <c r="K46" s="8" t="str">
        <f>IFERROR(__xludf.DUMMYFUNCTION(" GOOGLETRANSLATE(E46, ""en"", ""am"")"),"የማምለጫ አንቀጽ ከክሊች ለመላቀቅ በብዛት ጥቅም ላይ የሚውል ዘዴ ነው።")</f>
        <v>የማምለጫ አንቀጽ ከክሊች ለመላቀቅ በብዛት ጥቅም ላይ የሚውል ዘዴ ነው።</v>
      </c>
    </row>
    <row r="47" ht="22.5" customHeight="1">
      <c r="A47" s="13">
        <v>46.0</v>
      </c>
      <c r="B47" s="14" t="s">
        <v>2523</v>
      </c>
      <c r="C47" s="14" t="s">
        <v>2524</v>
      </c>
      <c r="D47" s="14" t="s">
        <v>2525</v>
      </c>
      <c r="E47" s="14" t="s">
        <v>2526</v>
      </c>
      <c r="G47" s="8" t="str">
        <f>IFERROR(__xludf.DUMMYFUNCTION(" GOOGLETRANSLATE(A47, ""en"", ""am"")"),"46")</f>
        <v>46</v>
      </c>
      <c r="H47" s="8" t="str">
        <f>IFERROR(__xludf.DUMMYFUNCTION(" GOOGLETRANSLATE(B47, ""en"", ""am"")"),"ተቃዋሚውን ለመቆጣጠር ምን ዓይነት መያዣ ያስፈልጋል?")</f>
        <v>ተቃዋሚውን ለመቆጣጠር ምን ዓይነት መያዣ ያስፈልጋል?</v>
      </c>
      <c r="I47" s="8" t="str">
        <f>IFERROR(__xludf.DUMMYFUNCTION(" GOOGLETRANSLATE(C47, ""en"", ""am"")"),"ሀ. እግር የሚይዝ ለ. የልብስ መደርደሪያ ሐ. የእጅ ማንጠልጠያ D. የእጅ መያዣ")</f>
        <v>ሀ. እግር የሚይዝ ለ. የልብስ መደርደሪያ ሐ. የእጅ ማንጠልጠያ D. የእጅ መያዣ</v>
      </c>
      <c r="J47" s="8" t="str">
        <f>IFERROR(__xludf.DUMMYFUNCTION(" GOOGLETRANSLATE(D47, ""en"", ""am"")"),"የልብስ መደርደሪያ")</f>
        <v>የልብስ መደርደሪያ</v>
      </c>
      <c r="K47" s="8" t="str">
        <f>IFERROR(__xludf.DUMMYFUNCTION(" GOOGLETRANSLATE(E47, ""en"", ""am"")"),"የተቃዋሚዎችን እንቅስቃሴ ለመቆጣጠር የልብስ እገዳዎች በብዛት ጥቅም ላይ ይውላሉ።")</f>
        <v>የተቃዋሚዎችን እንቅስቃሴ ለመቆጣጠር የልብስ እገዳዎች በብዛት ጥቅም ላይ ይውላሉ።</v>
      </c>
    </row>
    <row r="48" ht="22.5" customHeight="1">
      <c r="A48" s="13">
        <v>47.0</v>
      </c>
      <c r="B48" s="14" t="s">
        <v>2527</v>
      </c>
      <c r="C48" s="14" t="s">
        <v>2528</v>
      </c>
      <c r="D48" s="14" t="s">
        <v>2529</v>
      </c>
      <c r="E48" s="14" t="s">
        <v>2530</v>
      </c>
      <c r="G48" s="8" t="str">
        <f>IFERROR(__xludf.DUMMYFUNCTION(" GOOGLETRANSLATE(A48, ""en"", ""am"")"),"47")</f>
        <v>47</v>
      </c>
      <c r="H48" s="8" t="str">
        <f>IFERROR(__xludf.DUMMYFUNCTION(" GOOGLETRANSLATE(B48, ""en"", ""am"")"),"በሲዳማ ትግል ውስጥ ያለው የተቃውሞ ሚዛን አስፈላጊነት ምንድነው?")</f>
        <v>በሲዳማ ትግል ውስጥ ያለው የተቃውሞ ሚዛን አስፈላጊነት ምንድነው?</v>
      </c>
      <c r="I48" s="8" t="str">
        <f>IFERROR(__xludf.DUMMYFUNCTION(" GOOGLETRANSLATE(C48, ""en"", ""am"")"),"ሀ. ተዛማጅነት የለውም። ለ. ግጥሚያውን ለመቆጣጠር ይረዳል ሐ. አሸናፊውን ይወስናል D. ለመከላከያ ብቻ ነው.")</f>
        <v>ሀ. ተዛማጅነት የለውም። ለ. ግጥሚያውን ለመቆጣጠር ይረዳል ሐ. አሸናፊውን ይወስናል D. ለመከላከያ ብቻ ነው.</v>
      </c>
      <c r="J48" s="8" t="str">
        <f>IFERROR(__xludf.DUMMYFUNCTION(" GOOGLETRANSLATE(D48, ""en"", ""am"")"),"ግጥሚያውን ለመቆጣጠር ይረዳል")</f>
        <v>ግጥሚያውን ለመቆጣጠር ይረዳል</v>
      </c>
      <c r="K48" s="8" t="str">
        <f>IFERROR(__xludf.DUMMYFUNCTION(" GOOGLETRANSLATE(E48, ""en"", ""am"")"),"ውርወራ እና ፒን ለማዘጋጀት የተቃዋሚውን ሚዛን መቆጣጠር ወሳኝ ነው።")</f>
        <v>ውርወራ እና ፒን ለማዘጋጀት የተቃዋሚውን ሚዛን መቆጣጠር ወሳኝ ነው።</v>
      </c>
    </row>
    <row r="49" ht="22.5" customHeight="1">
      <c r="A49" s="13">
        <v>48.0</v>
      </c>
      <c r="B49" s="14" t="s">
        <v>2531</v>
      </c>
      <c r="C49" s="14" t="s">
        <v>2532</v>
      </c>
      <c r="D49" s="14" t="s">
        <v>2533</v>
      </c>
      <c r="E49" s="14" t="s">
        <v>2534</v>
      </c>
      <c r="G49" s="8" t="str">
        <f>IFERROR(__xludf.DUMMYFUNCTION(" GOOGLETRANSLATE(A49, ""en"", ""am"")"),"48")</f>
        <v>48</v>
      </c>
      <c r="H49" s="8" t="str">
        <f>IFERROR(__xludf.DUMMYFUNCTION(" GOOGLETRANSLATE(B49, ""en"", ""am"")"),"በሲዳማ የትግል ውርወራ ውስጥ ያልተካተተ የሰውነት አካል የትኛው ነው?")</f>
        <v>በሲዳማ የትግል ውርወራ ውስጥ ያልተካተተ የሰውነት አካል የትኛው ነው?</v>
      </c>
      <c r="I49" s="8" t="str">
        <f>IFERROR(__xludf.DUMMYFUNCTION(" GOOGLETRANSLATE(C49, ""en"", ""am"")"),"ሀ. ክንዶች ለ. እግሮች ሐ. አንገት D. ተመልሰው ይምጡ")</f>
        <v>ሀ. ክንዶች ለ. እግሮች ሐ. አንገት D. ተመልሰው ይምጡ</v>
      </c>
      <c r="J49" s="8" t="str">
        <f>IFERROR(__xludf.DUMMYFUNCTION(" GOOGLETRANSLATE(D49, ""en"", ""am"")"),"አንገት")</f>
        <v>አንገት</v>
      </c>
      <c r="K49" s="8" t="str">
        <f>IFERROR(__xludf.DUMMYFUNCTION(" GOOGLETRANSLATE(E49, ""en"", ""am"")"),"በአንዳንድ ቴክኒኮች ውስጥ የአንገት ማጭበርበር ጥቅም ላይ ቢውልም, በመጣል ላይ ግን በብዛት ጥቅም ላይ አይውልም.")</f>
        <v>በአንዳንድ ቴክኒኮች ውስጥ የአንገት ማጭበርበር ጥቅም ላይ ቢውልም, በመጣል ላይ ግን በብዛት ጥቅም ላይ አይውልም.</v>
      </c>
    </row>
    <row r="50" ht="22.5" customHeight="1">
      <c r="A50" s="13">
        <v>49.0</v>
      </c>
      <c r="B50" s="14" t="s">
        <v>2535</v>
      </c>
      <c r="C50" s="14" t="s">
        <v>2536</v>
      </c>
      <c r="D50" s="14" t="s">
        <v>2537</v>
      </c>
      <c r="E50" s="14" t="s">
        <v>2538</v>
      </c>
      <c r="G50" s="8" t="str">
        <f>IFERROR(__xludf.DUMMYFUNCTION(" GOOGLETRANSLATE(A50, ""en"", ""am"")"),"49")</f>
        <v>49</v>
      </c>
      <c r="H50" s="8" t="str">
        <f>IFERROR(__xludf.DUMMYFUNCTION(" GOOGLETRANSLATE(B50, ""en"", ""am"")"),"የሲዳማ ታጋይ ትክክለኛ አቋም ምንድነው?")</f>
        <v>የሲዳማ ታጋይ ትክክለኛ አቋም ምንድነው?</v>
      </c>
      <c r="I50" s="8" t="str">
        <f>IFERROR(__xludf.DUMMYFUNCTION(" GOOGLETRANSLATE(C50, ""en"", ""am"")"),"ሀ. ጭካኔ የተሞላበት አቋም ለ. ገለልተኛ አቋም ሐ. የመከላከያ አቋም መ. ሚዛናዊ አቀማመጥ")</f>
        <v>ሀ. ጭካኔ የተሞላበት አቋም ለ. ገለልተኛ አቋም ሐ. የመከላከያ አቋም መ. ሚዛናዊ አቀማመጥ</v>
      </c>
      <c r="J50" s="8" t="str">
        <f>IFERROR(__xludf.DUMMYFUNCTION(" GOOGLETRANSLATE(D50, ""en"", ""am"")"),"ሚዛናዊ አቀማመጥ")</f>
        <v>ሚዛናዊ አቀማመጥ</v>
      </c>
      <c r="K50" s="8" t="str">
        <f>IFERROR(__xludf.DUMMYFUNCTION(" GOOGLETRANSLATE(E50, ""en"", ""am"")"),"ሚዛናዊ አቋም መያዝ በሲዳማ ሬስሊንግ ለማጥቃትም ሆነ ለመከላከል ያስችላል።")</f>
        <v>ሚዛናዊ አቋም መያዝ በሲዳማ ሬስሊንግ ለማጥቃትም ሆነ ለመከላከል ያስችላል።</v>
      </c>
    </row>
    <row r="51" ht="22.5" customHeight="1">
      <c r="A51" s="13">
        <v>50.0</v>
      </c>
      <c r="B51" s="14" t="s">
        <v>2539</v>
      </c>
      <c r="C51" s="14" t="s">
        <v>2540</v>
      </c>
      <c r="D51" s="14" t="s">
        <v>2541</v>
      </c>
      <c r="E51" s="14" t="s">
        <v>2542</v>
      </c>
      <c r="G51" s="8" t="str">
        <f>IFERROR(__xludf.DUMMYFUNCTION(" GOOGLETRANSLATE(A51, ""en"", ""am"")"),"50")</f>
        <v>50</v>
      </c>
      <c r="H51" s="8" t="str">
        <f>IFERROR(__xludf.DUMMYFUNCTION(" GOOGLETRANSLATE(B51, ""en"", ""am"")"),"የትግል ትከሻ ምንጣፉ ላይ ከ3 ሰከንድ በላይ ከተሰካ ምን ይከሰታል?")</f>
        <v>የትግል ትከሻ ምንጣፉ ላይ ከ3 ሰከንድ በላይ ከተሰካ ምን ይከሰታል?</v>
      </c>
      <c r="I51" s="8" t="str">
        <f>IFERROR(__xludf.DUMMYFUNCTION(" GOOGLETRANSLATE(C51, ""en"", ""am"")"),"ሀ ጨዋታው ቀጥሏል። ለ. ተቃዋሚው ብቃት የለውም። ሐ. ተጋጣሚው በጨዋታው ተሸንፏል። መ. ግጥሚያው ወደ ተጨማሪ ሰዓት ይሄዳል።")</f>
        <v>ሀ ጨዋታው ቀጥሏል። ለ. ተቃዋሚው ብቃት የለውም። ሐ. ተጋጣሚው በጨዋታው ተሸንፏል። መ. ግጥሚያው ወደ ተጨማሪ ሰዓት ይሄዳል።</v>
      </c>
      <c r="J51" s="8" t="str">
        <f>IFERROR(__xludf.DUMMYFUNCTION(" GOOGLETRANSLATE(D51, ""en"", ""am"")"),"ተጋጣሚው በጨዋታው ተሸንፏል።")</f>
        <v>ተጋጣሚው በጨዋታው ተሸንፏል።</v>
      </c>
      <c r="K51" s="8" t="str">
        <f>IFERROR(__xludf.DUMMYFUNCTION(" GOOGLETRANSLATE(E51, ""en"", ""am"")"),"የ 3 ሰከንድ ወይም ከዚያ በላይ ፒን ለተቃዋሚው ድል ያስገኛል ።")</f>
        <v>የ 3 ሰከንድ ወይም ከዚያ በላይ ፒን ለተቃዋሚው ድል ያስገኛል ።</v>
      </c>
    </row>
    <row r="52" ht="22.5" customHeight="1">
      <c r="A52" s="13">
        <v>51.0</v>
      </c>
      <c r="B52" s="14" t="s">
        <v>2543</v>
      </c>
      <c r="C52" s="14" t="s">
        <v>2544</v>
      </c>
      <c r="D52" s="14" t="s">
        <v>2521</v>
      </c>
      <c r="E52" s="14" t="s">
        <v>2545</v>
      </c>
      <c r="G52" s="8" t="str">
        <f>IFERROR(__xludf.DUMMYFUNCTION(" GOOGLETRANSLATE(A52, ""en"", ""am"")"),"51")</f>
        <v>51</v>
      </c>
      <c r="H52" s="8" t="str">
        <f>IFERROR(__xludf.DUMMYFUNCTION(" GOOGLETRANSLATE(B52, ""en"", ""am"")"),"በሲዳማ ሬስሊንግ ውስጥ እንደ ማውረጃ የሚወሰደው ዘዴ የትኛው ነው?")</f>
        <v>በሲዳማ ሬስሊንግ ውስጥ እንደ ማውረጃ የሚወሰደው ዘዴ የትኛው ነው?</v>
      </c>
      <c r="I52" s="8" t="str">
        <f>IFERROR(__xludf.DUMMYFUNCTION(" GOOGLETRANSLATE(C52, ""en"", ""am"")"),"ሀ. ተቀናቃኙን መወርወር ለ. አውርድ ሐ. የጥቅል ማምለጫ D. የሰውነት ማሸማቀቅ")</f>
        <v>ሀ. ተቀናቃኙን መወርወር ለ. አውርድ ሐ. የጥቅል ማምለጫ D. የሰውነት ማሸማቀቅ</v>
      </c>
      <c r="J52" s="8" t="str">
        <f>IFERROR(__xludf.DUMMYFUNCTION(" GOOGLETRANSLATE(D52, ""en"", ""am"")"),"የማምለጫ ጥቅል")</f>
        <v>የማምለጫ ጥቅል</v>
      </c>
      <c r="K52" s="8" t="str">
        <f>IFERROR(__xludf.DUMMYFUNCTION(" GOOGLETRANSLATE(E52, ""en"", ""am"")"),"የማምለጫ ጥቅል ተፋላሚው እንዲያመልጥ ወይም ቦታውን በመገልበጥ እንዲቆጣጠር ያስችለዋል።")</f>
        <v>የማምለጫ ጥቅል ተፋላሚው እንዲያመልጥ ወይም ቦታውን በመገልበጥ እንዲቆጣጠር ያስችለዋል።</v>
      </c>
    </row>
    <row r="53" ht="22.5" customHeight="1">
      <c r="A53" s="13">
        <v>52.0</v>
      </c>
      <c r="B53" s="14" t="s">
        <v>2546</v>
      </c>
      <c r="C53" s="14" t="s">
        <v>2547</v>
      </c>
      <c r="D53" s="14" t="s">
        <v>2548</v>
      </c>
      <c r="E53" s="14" t="s">
        <v>2549</v>
      </c>
      <c r="G53" s="8" t="str">
        <f>IFERROR(__xludf.DUMMYFUNCTION(" GOOGLETRANSLATE(A53, ""en"", ""am"")"),"52")</f>
        <v>52</v>
      </c>
      <c r="H53" s="8" t="str">
        <f>IFERROR(__xludf.DUMMYFUNCTION(" GOOGLETRANSLATE(B53, ""en"", ""am"")"),"ተዋጊ ከተወረወረ በኋላ ለመቆጣጠር ምን ዓይነት እንቅስቃሴ ሊጠቀም ይችላል?")</f>
        <v>ተዋጊ ከተወረወረ በኋላ ለመቆጣጠር ምን ዓይነት እንቅስቃሴ ሊጠቀም ይችላል?</v>
      </c>
      <c r="I53" s="8" t="str">
        <f>IFERROR(__xludf.DUMMYFUNCTION(" GOOGLETRANSLATE(C53, ""en"", ""am"")"),"ሀ. አውርድ ለ. የኋላ መቆጣጠሪያ ሐ. Escape D. ማስገባት")</f>
        <v>ሀ. አውርድ ለ. የኋላ መቆጣጠሪያ ሐ. Escape D. ማስገባት</v>
      </c>
      <c r="J53" s="8" t="str">
        <f>IFERROR(__xludf.DUMMYFUNCTION(" GOOGLETRANSLATE(D53, ""en"", ""am"")"),"የኋላ መቆጣጠሪያ")</f>
        <v>የኋላ መቆጣጠሪያ</v>
      </c>
      <c r="K53" s="8" t="str">
        <f>IFERROR(__xludf.DUMMYFUNCTION(" GOOGLETRANSLATE(E53, ""en"", ""am"")"),"ከተወረወረ በኋላ የኋላ መቆጣጠሪያን መጠበቅ የበላይነቱን ለመጠበቅ ይረዳል።")</f>
        <v>ከተወረወረ በኋላ የኋላ መቆጣጠሪያን መጠበቅ የበላይነቱን ለመጠበቅ ይረዳል።</v>
      </c>
    </row>
    <row r="54" ht="22.5" customHeight="1">
      <c r="A54" s="13">
        <v>53.0</v>
      </c>
      <c r="B54" s="14" t="s">
        <v>2550</v>
      </c>
      <c r="C54" s="14" t="s">
        <v>2551</v>
      </c>
      <c r="D54" s="14" t="s">
        <v>2552</v>
      </c>
      <c r="E54" s="14" t="s">
        <v>2553</v>
      </c>
      <c r="G54" s="8" t="str">
        <f>IFERROR(__xludf.DUMMYFUNCTION(" GOOGLETRANSLATE(A54, ""en"", ""am"")"),"53")</f>
        <v>53</v>
      </c>
      <c r="H54" s="8" t="str">
        <f>IFERROR(__xludf.DUMMYFUNCTION(" GOOGLETRANSLATE(B54, ""en"", ""am"")"),"በሲዳማ ሬስሊንግ የእጅ አንጓ መቆጣጠሪያ አላማው ምንድን ነው?")</f>
        <v>በሲዳማ ሬስሊንግ የእጅ አንጓ መቆጣጠሪያ አላማው ምንድን ነው?</v>
      </c>
      <c r="I54" s="8" t="str">
        <f>IFERROR(__xludf.DUMMYFUNCTION(" GOOGLETRANSLATE(C54, ""en"", ""am"")"),"ሀ. ተቃዋሚውን ለመሰካት ለ. የተዝረከረከውን ነገር ለማስወገድ ሐ. አቀራረቦችን ለማዘጋጀት መ. ተቃዋሚው እንዳያመልጥ ለመከላከል")</f>
        <v>ሀ. ተቃዋሚውን ለመሰካት ለ. የተዝረከረከውን ነገር ለማስወገድ ሐ. አቀራረቦችን ለማዘጋጀት መ. ተቃዋሚው እንዳያመልጥ ለመከላከል</v>
      </c>
      <c r="J54" s="8" t="str">
        <f>IFERROR(__xludf.DUMMYFUNCTION(" GOOGLETRANSLATE(D54, ""en"", ""am"")"),"ተቃዋሚው እንዳያመልጥ")</f>
        <v>ተቃዋሚው እንዳያመልጥ</v>
      </c>
      <c r="K54" s="8" t="str">
        <f>IFERROR(__xludf.DUMMYFUNCTION(" GOOGLETRANSLATE(E54, ""en"", ""am"")"),"ተቃዋሚው እንዳያመልጥ ወይም እንዳይቃወም ለመከላከል የእጅ አንጓ መቆጣጠሪያ አስፈላጊ ነው.")</f>
        <v>ተቃዋሚው እንዳያመልጥ ወይም እንዳይቃወም ለመከላከል የእጅ አንጓ መቆጣጠሪያ አስፈላጊ ነው.</v>
      </c>
    </row>
    <row r="55" ht="22.5" customHeight="1">
      <c r="A55" s="13">
        <v>54.0</v>
      </c>
      <c r="B55" s="14" t="s">
        <v>2554</v>
      </c>
      <c r="C55" s="14" t="s">
        <v>2555</v>
      </c>
      <c r="D55" s="14" t="s">
        <v>2556</v>
      </c>
      <c r="E55" s="14" t="s">
        <v>2557</v>
      </c>
      <c r="G55" s="8" t="str">
        <f>IFERROR(__xludf.DUMMYFUNCTION(" GOOGLETRANSLATE(A55, ""en"", ""am"")"),"54")</f>
        <v>54</v>
      </c>
      <c r="H55" s="8" t="str">
        <f>IFERROR(__xludf.DUMMYFUNCTION(" GOOGLETRANSLATE(B55, ""en"", ""am"")"),"አንድ ታጋይ ለመወርወር በሚሞክርበት ጊዜ ከየትኛው ቦታ መራቅ አለበት?")</f>
        <v>አንድ ታጋይ ለመወርወር በሚሞክርበት ጊዜ ከየትኛው ቦታ መራቅ አለበት?</v>
      </c>
      <c r="I55" s="8" t="str">
        <f>IFERROR(__xludf.DUMMYFUNCTION(" GOOGLETRANSLATE(C55, ""en"", ""am"")"),"ሀ. የጎን መቆጣጠሪያ ለ. የጭንቅላት መቆለፊያ ሐ. ክሊንክ ዲ. ወለሉ ላይ")</f>
        <v>ሀ. የጎን መቆጣጠሪያ ለ. የጭንቅላት መቆለፊያ ሐ. ክሊንክ ዲ. ወለሉ ላይ</v>
      </c>
      <c r="J55" s="8" t="str">
        <f>IFERROR(__xludf.DUMMYFUNCTION(" GOOGLETRANSLATE(D55, ""en"", ""am"")"),"ወለሉ ላይ")</f>
        <v>ወለሉ ላይ</v>
      </c>
      <c r="K55" s="8" t="str">
        <f>IFERROR(__xludf.DUMMYFUNCTION(" GOOGLETRANSLATE(E55, ""en"", ""am"")"),"መሬት ላይ መገኘት ውርወራውን በተሳካ ሁኔታ የመፈጸም እድልን ይቀንሳል.")</f>
        <v>መሬት ላይ መገኘት ውርወራውን በተሳካ ሁኔታ የመፈጸም እድልን ይቀንሳል.</v>
      </c>
    </row>
    <row r="56" ht="22.5" customHeight="1">
      <c r="A56" s="13">
        <v>55.0</v>
      </c>
      <c r="B56" s="14" t="s">
        <v>2558</v>
      </c>
      <c r="C56" s="14" t="s">
        <v>2559</v>
      </c>
      <c r="D56" s="14" t="s">
        <v>2560</v>
      </c>
      <c r="E56" s="14" t="s">
        <v>2561</v>
      </c>
      <c r="G56" s="8" t="str">
        <f>IFERROR(__xludf.DUMMYFUNCTION(" GOOGLETRANSLATE(A56, ""en"", ""am"")"),"55")</f>
        <v>55</v>
      </c>
      <c r="H56" s="8" t="str">
        <f>IFERROR(__xludf.DUMMYFUNCTION(" GOOGLETRANSLATE(B56, ""en"", ""am"")"),"የሲዳማ ቡና ጨዋታ ጊዜው ያለፈበት አላማ ምንድን ነው?")</f>
        <v>የሲዳማ ቡና ጨዋታ ጊዜው ያለፈበት አላማ ምንድን ነው?</v>
      </c>
      <c r="I56" s="8" t="str">
        <f>IFERROR(__xludf.DUMMYFUNCTION(" GOOGLETRANSLATE(C56, ""en"", ""am"")"),"ሀ. ለማረፍ ለ. ማስተካከያ ለማድረግ ሐ. ስትራቴጂ ለመወያየት መ. አሸናፊውን ለመወሰን")</f>
        <v>ሀ. ለማረፍ ለ. ማስተካከያ ለማድረግ ሐ. ስትራቴጂ ለመወያየት መ. አሸናፊውን ለመወሰን</v>
      </c>
      <c r="J56" s="8" t="str">
        <f>IFERROR(__xludf.DUMMYFUNCTION(" GOOGLETRANSLATE(D56, ""en"", ""am"")"),"ማስተካከያ ለማድረግ")</f>
        <v>ማስተካከያ ለማድረግ</v>
      </c>
      <c r="K56" s="8" t="str">
        <f>IFERROR(__xludf.DUMMYFUNCTION(" GOOGLETRANSLATE(E56, ""en"", ""am"")"),"የጊዜ ማብቂያዎች በስትራቴጂው ላይ ማስተካከያ ለማድረግ ወይም የደህንነት ስጋቶችን ለመፍታት ያገለግላሉ።")</f>
        <v>የጊዜ ማብቂያዎች በስትራቴጂው ላይ ማስተካከያ ለማድረግ ወይም የደህንነት ስጋቶችን ለመፍታት ያገለግላሉ።</v>
      </c>
    </row>
    <row r="57" ht="22.5" customHeight="1">
      <c r="A57" s="13">
        <v>56.0</v>
      </c>
      <c r="B57" s="14" t="s">
        <v>2562</v>
      </c>
      <c r="C57" s="14" t="s">
        <v>2563</v>
      </c>
      <c r="D57" s="14" t="s">
        <v>1802</v>
      </c>
      <c r="E57" s="14" t="s">
        <v>2564</v>
      </c>
      <c r="G57" s="8" t="str">
        <f>IFERROR(__xludf.DUMMYFUNCTION(" GOOGLETRANSLATE(A57, ""en"", ""am"")"),"56")</f>
        <v>56</v>
      </c>
      <c r="H57" s="8" t="str">
        <f>IFERROR(__xludf.DUMMYFUNCTION(" GOOGLETRANSLATE(B57, ""en"", ""am"")"),"በሲዳማ ትግል አንድ ታጋይ ከፒን ማምለጥ ካልቻለ ምን ይሆናል?")</f>
        <v>በሲዳማ ትግል አንድ ታጋይ ከፒን ማምለጥ ካልቻለ ምን ይሆናል?</v>
      </c>
      <c r="I57" s="8" t="str">
        <f>IFERROR(__xludf.DUMMYFUNCTION(" GOOGLETRANSLATE(C57, ""en"", ""am"")"),"ሀ ጨዋታው ቀጥሏል። ለ. ተቃዋሚው ቅጣት ያገኛል። ሐ. ተቃዋሚው ያሸንፋል። መ. ተዋጊው ነጥብ ያጣል።")</f>
        <v>ሀ ጨዋታው ቀጥሏል። ለ. ተቃዋሚው ቅጣት ያገኛል። ሐ. ተቃዋሚው ያሸንፋል። መ. ተዋጊው ነጥብ ያጣል።</v>
      </c>
      <c r="J57" s="8" t="str">
        <f>IFERROR(__xludf.DUMMYFUNCTION(" GOOGLETRANSLATE(D57, ""en"", ""am"")"),"ተቃዋሚው ያሸንፋል።")</f>
        <v>ተቃዋሚው ያሸንፋል።</v>
      </c>
      <c r="K57" s="8" t="str">
        <f>IFERROR(__xludf.DUMMYFUNCTION(" GOOGLETRANSLATE(E57, ""en"", ""am"")"),"ከፒን ማምለጥ አለመቻል ለተቃዋሚው ድል ያስገኛል.")</f>
        <v>ከፒን ማምለጥ አለመቻል ለተቃዋሚው ድል ያስገኛል.</v>
      </c>
    </row>
    <row r="58" ht="22.5" customHeight="1">
      <c r="A58" s="13">
        <v>57.0</v>
      </c>
      <c r="B58" s="14" t="s">
        <v>2565</v>
      </c>
      <c r="C58" s="14" t="s">
        <v>2566</v>
      </c>
      <c r="D58" s="14" t="s">
        <v>2416</v>
      </c>
      <c r="E58" s="14" t="s">
        <v>2567</v>
      </c>
      <c r="G58" s="8" t="str">
        <f>IFERROR(__xludf.DUMMYFUNCTION(" GOOGLETRANSLATE(A58, ""en"", ""am"")"),"57")</f>
        <v>57</v>
      </c>
      <c r="H58" s="8" t="str">
        <f>IFERROR(__xludf.DUMMYFUNCTION(" GOOGLETRANSLATE(B58, ""en"", ""am"")"),"በሲዳማ ሬስሊንግ መሰረታዊ የመከላከል እርምጃ ምንድነው?")</f>
        <v>በሲዳማ ሬስሊንግ መሰረታዊ የመከላከል እርምጃ ምንድነው?</v>
      </c>
      <c r="I58" s="8" t="str">
        <f>IFERROR(__xludf.DUMMYFUNCTION(" GOOGLETRANSLATE(C58, ""en"", ""am"")"),"ሀ. ቢ ፒን ሲ. Escape D. ማስገባት")</f>
        <v>ሀ. ቢ ፒን ሲ. Escape D. ማስገባት</v>
      </c>
      <c r="J58" s="8" t="str">
        <f>IFERROR(__xludf.DUMMYFUNCTION(" GOOGLETRANSLATE(D58, ""en"", ""am"")"),"ማምለጥ")</f>
        <v>ማምለጥ</v>
      </c>
      <c r="K58" s="8" t="str">
        <f>IFERROR(__xludf.DUMMYFUNCTION(" GOOGLETRANSLATE(E58, ""en"", ""am"")"),"ውርወራዎችን እና ፒኖችን ለመከላከል የማምለጫ ዘዴዎች አስፈላጊ ናቸው.")</f>
        <v>ውርወራዎችን እና ፒኖችን ለመከላከል የማምለጫ ዘዴዎች አስፈላጊ ናቸው.</v>
      </c>
    </row>
    <row r="59" ht="22.5" customHeight="1">
      <c r="A59" s="13">
        <v>58.0</v>
      </c>
      <c r="B59" s="14" t="s">
        <v>2568</v>
      </c>
      <c r="C59" s="14" t="s">
        <v>2569</v>
      </c>
      <c r="D59" s="14" t="s">
        <v>2570</v>
      </c>
      <c r="E59" s="14" t="s">
        <v>2571</v>
      </c>
      <c r="G59" s="8" t="str">
        <f>IFERROR(__xludf.DUMMYFUNCTION(" GOOGLETRANSLATE(A59, ""en"", ""am"")"),"58")</f>
        <v>58</v>
      </c>
      <c r="H59" s="8" t="str">
        <f>IFERROR(__xludf.DUMMYFUNCTION(" GOOGLETRANSLATE(B59, ""en"", ""am"")"),"በሲዳማ ትግል ወቅት የዳኛው ሚና ምን ይመስላል?")</f>
        <v>በሲዳማ ትግል ወቅት የዳኛው ሚና ምን ይመስላል?</v>
      </c>
      <c r="I59" s="8" t="str">
        <f>IFERROR(__xludf.DUMMYFUNCTION(" GOOGLETRANSLATE(C59, ""en"", ""am"")"),"ሀ. ተዋጊዎችን ለመርዳት ለ. ነጥብ መስጠት ሐ. ሕገወጥ ድርጊቶችን ለማስቆም መ. ተዋጊዎችን ማሰልጠን")</f>
        <v>ሀ. ተዋጊዎችን ለመርዳት ለ. ነጥብ መስጠት ሐ. ሕገወጥ ድርጊቶችን ለማስቆም መ. ተዋጊዎችን ማሰልጠን</v>
      </c>
      <c r="J59" s="8" t="str">
        <f>IFERROR(__xludf.DUMMYFUNCTION(" GOOGLETRANSLATE(D59, ""en"", ""am"")"),"ሕገ-ወጥ ድርጊቶችን ለማስቆም")</f>
        <v>ሕገ-ወጥ ድርጊቶችን ለማስቆም</v>
      </c>
      <c r="K59" s="8" t="str">
        <f>IFERROR(__xludf.DUMMYFUNCTION(" GOOGLETRANSLATE(E59, ""en"", ""am"")"),"ዳኛው ጨዋታው ፍትሃዊ መሆኑን ያረጋግጣል እና በጨዋታው ወቅት ህገ-ወጥ ድርጊቶችን ያስቆማል።")</f>
        <v>ዳኛው ጨዋታው ፍትሃዊ መሆኑን ያረጋግጣል እና በጨዋታው ወቅት ህገ-ወጥ ድርጊቶችን ያስቆማል።</v>
      </c>
    </row>
    <row r="60" ht="22.5" customHeight="1">
      <c r="A60" s="13">
        <v>59.0</v>
      </c>
      <c r="B60" s="14" t="s">
        <v>2572</v>
      </c>
      <c r="C60" s="14" t="s">
        <v>2573</v>
      </c>
      <c r="D60" s="14" t="s">
        <v>2574</v>
      </c>
      <c r="E60" s="14" t="s">
        <v>2575</v>
      </c>
      <c r="G60" s="8" t="str">
        <f>IFERROR(__xludf.DUMMYFUNCTION(" GOOGLETRANSLATE(A60, ""en"", ""am"")"),"59")</f>
        <v>59</v>
      </c>
      <c r="H60" s="8" t="str">
        <f>IFERROR(__xludf.DUMMYFUNCTION(" GOOGLETRANSLATE(B60, ""en"", ""am"")"),"በሲዳማ ትግል ያልተፈቀደው የትኛው ነው?")</f>
        <v>በሲዳማ ትግል ያልተፈቀደው የትኛው ነው?</v>
      </c>
      <c r="I60" s="8" t="str">
        <f>IFERROR(__xludf.DUMMYFUNCTION(" GOOGLETRANSLATE(C60, ""en"", ""am"")"),"ሀ. መወርወር ለ. መጥረግ ሐ. ኪክ ዲ. ቾክ")</f>
        <v>ሀ. መወርወር ለ. መጥረግ ሐ. ኪክ ዲ. ቾክ</v>
      </c>
      <c r="J60" s="8" t="str">
        <f>IFERROR(__xludf.DUMMYFUNCTION(" GOOGLETRANSLATE(D60, ""en"", ""am"")"),"ማነቆ")</f>
        <v>ማነቆ</v>
      </c>
      <c r="K60" s="8" t="str">
        <f>IFERROR(__xludf.DUMMYFUNCTION(" GOOGLETRANSLATE(E60, ""en"", ""am"")"),"ከባድ የአካል ጉዳት ስለሚያስከትል መታፈን የተከለከለ ነው።")</f>
        <v>ከባድ የአካል ጉዳት ስለሚያስከትል መታፈን የተከለከለ ነው።</v>
      </c>
    </row>
    <row r="61" ht="22.5" customHeight="1">
      <c r="A61" s="13">
        <v>60.0</v>
      </c>
      <c r="B61" s="14" t="s">
        <v>2576</v>
      </c>
      <c r="C61" s="14" t="s">
        <v>2577</v>
      </c>
      <c r="D61" s="14" t="s">
        <v>2578</v>
      </c>
      <c r="E61" s="14" t="s">
        <v>2579</v>
      </c>
      <c r="G61" s="8" t="str">
        <f>IFERROR(__xludf.DUMMYFUNCTION(" GOOGLETRANSLATE(A61, ""en"", ""am"")"),"60")</f>
        <v>60</v>
      </c>
      <c r="H61" s="8" t="str">
        <f>IFERROR(__xludf.DUMMYFUNCTION(" GOOGLETRANSLATE(B61, ""en"", ""am"")"),"ታጋይ የተቃዋሚን የማውረድ ሙከራ እንዴት መቋቋም ይችላል?")</f>
        <v>ታጋይ የተቃዋሚን የማውረድ ሙከራ እንዴት መቋቋም ይችላል?</v>
      </c>
      <c r="I61" s="8" t="str">
        <f>IFERROR(__xludf.DUMMYFUNCTION(" GOOGLETRANSLATE(C61, ""en"", ""am"")"),"A. የማምለጫ ጥቅል በመጠቀም ለ. እግሮቻቸውን በመቆለፍ ሐ. በተቃራኒው መ በማከናወን. ሚዛንን መጠበቅ")</f>
        <v>A. የማምለጫ ጥቅል በመጠቀም ለ. እግሮቻቸውን በመቆለፍ ሐ. በተቃራኒው መ በማከናወን. ሚዛንን መጠበቅ</v>
      </c>
      <c r="J61" s="8" t="str">
        <f>IFERROR(__xludf.DUMMYFUNCTION(" GOOGLETRANSLATE(D61, ""en"", ""am"")"),"ተገላቢጦሽ በማከናወን")</f>
        <v>ተገላቢጦሽ በማከናወን</v>
      </c>
      <c r="K61" s="8" t="str">
        <f>IFERROR(__xludf.DUMMYFUNCTION(" GOOGLETRANSLATE(E61, ""en"", ""am"")"),"የተሳካ የተገላቢጦሽ የማውረድ ሙከራን በመቃወም ጠረጴዛዎቹን ሊያዞር ይችላል።")</f>
        <v>የተሳካ የተገላቢጦሽ የማውረድ ሙከራን በመቃወም ጠረጴዛዎቹን ሊያዞር ይችላል።</v>
      </c>
    </row>
    <row r="62" ht="22.5" customHeight="1">
      <c r="A62" s="13">
        <v>61.0</v>
      </c>
      <c r="B62" s="14" t="s">
        <v>2580</v>
      </c>
      <c r="C62" s="14" t="s">
        <v>2581</v>
      </c>
      <c r="D62" s="14" t="s">
        <v>2582</v>
      </c>
      <c r="E62" s="14" t="s">
        <v>2583</v>
      </c>
      <c r="G62" s="8" t="str">
        <f>IFERROR(__xludf.DUMMYFUNCTION(" GOOGLETRANSLATE(A62, ""en"", ""am"")"),"61")</f>
        <v>61</v>
      </c>
      <c r="H62" s="8" t="str">
        <f>IFERROR(__xludf.DUMMYFUNCTION(" GOOGLETRANSLATE(B62, ""en"", ""am"")"),"በሲዳማ ሬስሊንግ ውርወራ እና ጠራርጎ መካከል ያለው ቀዳሚ ልዩነት ምንድን ነው?")</f>
        <v>በሲዳማ ሬስሊንግ ውርወራ እና ጠራርጎ መካከል ያለው ቀዳሚ ልዩነት ምንድን ነው?</v>
      </c>
      <c r="I62" s="8" t="str">
        <f>IFERROR(__xludf.DUMMYFUNCTION(" GOOGLETRANSLATE(C62, ""en"", ""am"")"),"ሀ. መወርወር ማንሳትን ያጠቃልላል፣ መጥረግ መሸሽን ያካትታል። ለ. መወርወር መሰናከልን ያካትታል፣ መጥረግ ደግሞ ማንሳትን ያካትታል። ሐ. መወርወር መዝለልን ያካትታል፣ መጥረግ ደግሞ መቆምን ያካትታል። መ. መወርወር መከላከያ ብቻ ነው፣ መጥረግ አፀያፊ ነው።")</f>
        <v>ሀ. መወርወር ማንሳትን ያጠቃልላል፣ መጥረግ መሸሽን ያካትታል። ለ. መወርወር መሰናከልን ያካትታል፣ መጥረግ ደግሞ ማንሳትን ያካትታል። ሐ. መወርወር መዝለልን ያካትታል፣ መጥረግ ደግሞ መቆምን ያካትታል። መ. መወርወር መከላከያ ብቻ ነው፣ መጥረግ አፀያፊ ነው።</v>
      </c>
      <c r="J62" s="8" t="str">
        <f>IFERROR(__xludf.DUMMYFUNCTION(" GOOGLETRANSLATE(D62, ""en"", ""am"")"),"ውርወራዎች ማንሳትን ያካትታሉ፣ መጥረግ መሸሽን ያካትታል።")</f>
        <v>ውርወራዎች ማንሳትን ያካትታሉ፣ መጥረግ መሸሽን ያካትታል።</v>
      </c>
      <c r="K62" s="8" t="str">
        <f>IFERROR(__xludf.DUMMYFUNCTION(" GOOGLETRANSLATE(E62, ""en"", ""am"")"),"እሱ ይጥላል፣ ተቀናቃኙን ያነሳል እና ጠራርጎ መረጋጋት እና መሰናከል ላይ በማተኮር።")</f>
        <v>እሱ ይጥላል፣ ተቀናቃኙን ያነሳል እና ጠራርጎ መረጋጋት እና መሰናከል ላይ በማተኮር።</v>
      </c>
    </row>
    <row r="63" ht="22.5" customHeight="1">
      <c r="A63" s="13">
        <v>62.0</v>
      </c>
      <c r="B63" s="14" t="s">
        <v>2584</v>
      </c>
      <c r="C63" s="14" t="s">
        <v>2585</v>
      </c>
      <c r="D63" s="14" t="s">
        <v>2416</v>
      </c>
      <c r="E63" s="14" t="s">
        <v>2586</v>
      </c>
      <c r="G63" s="8" t="str">
        <f>IFERROR(__xludf.DUMMYFUNCTION(" GOOGLETRANSLATE(A63, ""en"", ""am"")"),"62")</f>
        <v>62</v>
      </c>
      <c r="H63" s="8" t="str">
        <f>IFERROR(__xludf.DUMMYFUNCTION(" GOOGLETRANSLATE(B63, ""en"", ""am"")"),"አንድ ተዋጊ በጭንቅላቱ ውስጥ ቢይዝ ምን ማድረግ አለበት?")</f>
        <v>አንድ ተዋጊ በጭንቅላቱ ውስጥ ቢይዝ ምን ማድረግ አለበት?</v>
      </c>
      <c r="I63" s="8" t="str">
        <f>IFERROR(__xludf.DUMMYFUNCTION(" GOOGLETRANSLATE(C63, ""en"", ""am"")"),"ሀ. አስገባ B. ፍልሚያ ሐ. Escape D. Shock")</f>
        <v>ሀ. አስገባ B. ፍልሚያ ሐ. Escape D. Shock</v>
      </c>
      <c r="J63" s="8" t="str">
        <f>IFERROR(__xludf.DUMMYFUNCTION(" GOOGLETRANSLATE(D63, ""en"", ""am"")"),"ማምለጥ")</f>
        <v>ማምለጥ</v>
      </c>
      <c r="K63" s="8" t="str">
        <f>IFERROR(__xludf.DUMMYFUNCTION(" GOOGLETRANSLATE(E63, ""en"", ""am"")"),"ተፋላሚው መያዣውን በመስበር እና መያዣውን በመጠቀም ከጭንቅላቱ መቆለፊያ ማምለጥ አለበት።")</f>
        <v>ተፋላሚው መያዣውን በመስበር እና መያዣውን በመጠቀም ከጭንቅላቱ መቆለፊያ ማምለጥ አለበት።</v>
      </c>
    </row>
    <row r="64" ht="22.5" customHeight="1">
      <c r="A64" s="13">
        <v>63.0</v>
      </c>
      <c r="B64" s="14" t="s">
        <v>2587</v>
      </c>
      <c r="C64" s="14" t="s">
        <v>2588</v>
      </c>
      <c r="D64" s="14" t="s">
        <v>2589</v>
      </c>
      <c r="E64" s="14" t="s">
        <v>2590</v>
      </c>
      <c r="G64" s="8" t="str">
        <f>IFERROR(__xludf.DUMMYFUNCTION(" GOOGLETRANSLATE(A64, ""en"", ""am"")"),"63")</f>
        <v>63</v>
      </c>
      <c r="H64" s="8" t="str">
        <f>IFERROR(__xludf.DUMMYFUNCTION(" GOOGLETRANSLATE(B64, ""en"", ""am"")"),"ከመከላከያ ወደ ማጥቃት ለመሸጋገር የትኛው እንቅስቃሴ በተለምዶ ጥቅም ላይ ይውላል?")</f>
        <v>ከመከላከያ ወደ ማጥቃት ለመሸጋገር የትኛው እንቅስቃሴ በተለምዶ ጥቅም ላይ ይውላል?</v>
      </c>
      <c r="I64" s="8" t="str">
        <f>IFERROR(__xludf.DUMMYFUNCTION(" GOOGLETRANSLATE(C64, ""en"", ""am"")"),"አ. ፒን ለ. ቀልብስ C. Escape D. አካልን ማሸማቀቅ")</f>
        <v>አ. ፒን ለ. ቀልብስ C. Escape D. አካልን ማሸማቀቅ</v>
      </c>
      <c r="J64" s="8" t="str">
        <f>IFERROR(__xludf.DUMMYFUNCTION(" GOOGLETRANSLATE(D64, ""en"", ""am"")"),"ቀልብስ")</f>
        <v>ቀልብስ</v>
      </c>
      <c r="K64" s="8" t="str">
        <f>IFERROR(__xludf.DUMMYFUNCTION(" GOOGLETRANSLATE(E64, ""en"", ""am"")"),"ተገላቢጦሹ የተከላካይ ቦታን ወደ አፀያፊ እድል ይለውጠዋል።")</f>
        <v>ተገላቢጦሹ የተከላካይ ቦታን ወደ አፀያፊ እድል ይለውጠዋል።</v>
      </c>
    </row>
    <row r="65" ht="22.5" customHeight="1">
      <c r="A65" s="13">
        <v>64.0</v>
      </c>
      <c r="B65" s="14" t="s">
        <v>2591</v>
      </c>
      <c r="C65" s="14" t="s">
        <v>2592</v>
      </c>
      <c r="D65" s="14" t="s">
        <v>2593</v>
      </c>
      <c r="E65" s="14" t="s">
        <v>2594</v>
      </c>
      <c r="G65" s="8" t="str">
        <f>IFERROR(__xludf.DUMMYFUNCTION(" GOOGLETRANSLATE(A65, ""en"", ""am"")"),"64")</f>
        <v>64</v>
      </c>
      <c r="H65" s="8" t="str">
        <f>IFERROR(__xludf.DUMMYFUNCTION(" GOOGLETRANSLATE(B65, ""en"", ""am"")"),"በመወርወር ወቅት የትግል እግር ምንጣፉን ቢነካ ምን ይከሰታል?")</f>
        <v>በመወርወር ወቅት የትግል እግር ምንጣፉን ቢነካ ምን ይከሰታል?</v>
      </c>
      <c r="I65" s="8" t="str">
        <f>IFERROR(__xludf.DUMMYFUNCTION(" GOOGLETRANSLATE(C65, ""en"", ""am"")"),"ሀ. ተቃዋሚው ያሸንፋል። ለ. መወርወሩ ልክ ያልሆነ ነው። ሐ. መወርወሩ በትክክል ከተሰራ እንደ ትክክለኛ ይቆጠራል. መ. ግጥሚያው እንደገና ይጀምራል።")</f>
        <v>ሀ. ተቃዋሚው ያሸንፋል። ለ. መወርወሩ ልክ ያልሆነ ነው። ሐ. መወርወሩ በትክክል ከተሰራ እንደ ትክክለኛ ይቆጠራል. መ. ግጥሚያው እንደገና ይጀምራል።</v>
      </c>
      <c r="J65" s="8" t="str">
        <f>IFERROR(__xludf.DUMMYFUNCTION(" GOOGLETRANSLATE(D65, ""en"", ""am"")"),"መወርወሩ በትክክል ከተሰራ እንደ ትክክለኛ ይቆጠራል.")</f>
        <v>መወርወሩ በትክክል ከተሰራ እንደ ትክክለኛ ይቆጠራል.</v>
      </c>
      <c r="K65" s="8" t="str">
        <f>IFERROR(__xludf.DUMMYFUNCTION(" GOOGLETRANSLATE(E65, ""en"", ""am"")"),"መወርወሩ በትክክል እስከተፈፀመ እና ተቃዋሚው ቁጥጥር እስካልተደረገ ድረስ የሚሰራ ነው።")</f>
        <v>መወርወሩ በትክክል እስከተፈፀመ እና ተቃዋሚው ቁጥጥር እስካልተደረገ ድረስ የሚሰራ ነው።</v>
      </c>
    </row>
    <row r="66" ht="22.5" customHeight="1">
      <c r="A66" s="13">
        <v>65.0</v>
      </c>
      <c r="B66" s="14" t="s">
        <v>2595</v>
      </c>
      <c r="C66" s="14" t="s">
        <v>2596</v>
      </c>
      <c r="D66" s="14" t="s">
        <v>2597</v>
      </c>
      <c r="E66" s="14" t="s">
        <v>2598</v>
      </c>
      <c r="G66" s="8" t="str">
        <f>IFERROR(__xludf.DUMMYFUNCTION(" GOOGLETRANSLATE(A66, ""en"", ""am"")"),"65")</f>
        <v>65</v>
      </c>
      <c r="H66" s="8" t="str">
        <f>IFERROR(__xludf.DUMMYFUNCTION(" GOOGLETRANSLATE(B66, ""en"", ""am"")"),"በሲዳማ ሬስሊንግ የእጣ ማውጣት ስነስርዓት እንዴት ይወሰናል?")</f>
        <v>በሲዳማ ሬስሊንግ የእጣ ማውጣት ስነስርዓት እንዴት ይወሰናል?</v>
      </c>
      <c r="I66" s="8" t="str">
        <f>IFERROR(__xludf.DUMMYFUNCTION(" GOOGLETRANSLATE(C66, ""en"", ""am"")"),"ሀ. በጊዜ ለ. በነጥብ ሐ. በመወርወር ብዛት መ. በዳኞች ውሳኔ")</f>
        <v>ሀ. በጊዜ ለ. በነጥብ ሐ. በመወርወር ብዛት መ. በዳኞች ውሳኔ</v>
      </c>
      <c r="J66" s="8" t="str">
        <f>IFERROR(__xludf.DUMMYFUNCTION(" GOOGLETRANSLATE(D66, ""en"", ""am"")"),"በነጥብ")</f>
        <v>በነጥብ</v>
      </c>
      <c r="K66" s="8" t="str">
        <f>IFERROR(__xludf.DUMMYFUNCTION(" GOOGLETRANSLATE(E66, ""en"", ""am"")"),"አሸናፊ ከሌለ ጨዋታው በነጥብ ላይ ተመስርቶ በአቻ ውጤት ሊጠናቀቅ ይችላል።")</f>
        <v>አሸናፊ ከሌለ ጨዋታው በነጥብ ላይ ተመስርቶ በአቻ ውጤት ሊጠናቀቅ ይችላል።</v>
      </c>
    </row>
    <row r="67" ht="22.5" customHeight="1">
      <c r="A67" s="13">
        <v>66.0</v>
      </c>
      <c r="B67" s="14" t="s">
        <v>2599</v>
      </c>
      <c r="C67" s="14" t="s">
        <v>2600</v>
      </c>
      <c r="D67" s="14" t="s">
        <v>2601</v>
      </c>
      <c r="E67" s="14" t="s">
        <v>2602</v>
      </c>
      <c r="G67" s="8" t="str">
        <f>IFERROR(__xludf.DUMMYFUNCTION(" GOOGLETRANSLATE(A67, ""en"", ""am"")"),"66")</f>
        <v>66</v>
      </c>
      <c r="H67" s="8" t="str">
        <f>IFERROR(__xludf.DUMMYFUNCTION(" GOOGLETRANSLATE(B67, ""en"", ""am"")"),"በሲዳማ ተጋድሎ ላይ ቅጣትን ለመከላከል ምን አይነት እርምጃ መራቅ አለበት?")</f>
        <v>በሲዳማ ተጋድሎ ላይ ቅጣትን ለመከላከል ምን አይነት እርምጃ መራቅ አለበት?</v>
      </c>
      <c r="I67" s="8" t="str">
        <f>IFERROR(__xludf.DUMMYFUNCTION(" GOOGLETRANSLATE(C67, ""en"", ""am"")"),"A. ምታ B. የጭንቅላት መቆለፊያ ሐ. ውርዶች D. Kicks")</f>
        <v>A. ምታ B. የጭንቅላት መቆለፊያ ሐ. ውርዶች D. Kicks</v>
      </c>
      <c r="J67" s="8" t="str">
        <f>IFERROR(__xludf.DUMMYFUNCTION(" GOOGLETRANSLATE(D67, ""en"", ""am"")"),"መታ")</f>
        <v>መታ</v>
      </c>
      <c r="K67" s="8" t="str">
        <f>IFERROR(__xludf.DUMMYFUNCTION(" GOOGLETRANSLATE(E67, ""en"", ""am"")"),"በሲዳማ ሬስሊንግ ተቃዋሚን መምታት ህገወጥ እና ቅጣትን ያስከትላል።")</f>
        <v>በሲዳማ ሬስሊንግ ተቃዋሚን መምታት ህገወጥ እና ቅጣትን ያስከትላል።</v>
      </c>
    </row>
    <row r="68" ht="22.5" customHeight="1">
      <c r="A68" s="13">
        <v>67.0</v>
      </c>
      <c r="B68" s="14" t="s">
        <v>2603</v>
      </c>
      <c r="C68" s="14" t="s">
        <v>2604</v>
      </c>
      <c r="D68" s="14" t="s">
        <v>2605</v>
      </c>
      <c r="E68" s="14" t="s">
        <v>2606</v>
      </c>
      <c r="G68" s="8" t="str">
        <f>IFERROR(__xludf.DUMMYFUNCTION(" GOOGLETRANSLATE(A68, ""en"", ""am"")"),"67")</f>
        <v>67</v>
      </c>
      <c r="H68" s="8" t="str">
        <f>IFERROR(__xludf.DUMMYFUNCTION(" GOOGLETRANSLATE(B68, ""en"", ""am"")"),"ተዋጊው የተሳካ ማውረዱን ለማስፈጸም ትክክለኛው ቦታ ምንድነው?")</f>
        <v>ተዋጊው የተሳካ ማውረዱን ለማስፈጸም ትክክለኛው ቦታ ምንድነው?</v>
      </c>
      <c r="I68" s="8" t="str">
        <f>IFERROR(__xludf.DUMMYFUNCTION(" GOOGLETRANSLATE(C68, ""en"", ""am"")"),"A. በጎን ለ. ከኋላ ሐ. በእግሮቹ መ. በጉልበቶችዎ ላይ")</f>
        <v>A. በጎን ለ. ከኋላ ሐ. በእግሮቹ መ. በጉልበቶችዎ ላይ</v>
      </c>
      <c r="J68" s="8" t="str">
        <f>IFERROR(__xludf.DUMMYFUNCTION(" GOOGLETRANSLATE(D68, ""en"", ""am"")"),"በእግሩ ላይ")</f>
        <v>በእግሩ ላይ</v>
      </c>
      <c r="K68" s="8" t="str">
        <f>IFERROR(__xludf.DUMMYFUNCTION(" GOOGLETRANSLATE(E68, ""en"", ""am"")"),"በእግሮቹ ላይ መገኘት ተጨማሪ እንቅስቃሴን እና ማውረዱን ለማስፈጸም እድሉን ይፈቅዳል.")</f>
        <v>በእግሮቹ ላይ መገኘት ተጨማሪ እንቅስቃሴን እና ማውረዱን ለማስፈጸም እድሉን ይፈቅዳል.</v>
      </c>
    </row>
    <row r="69" ht="22.5" customHeight="1">
      <c r="A69" s="13">
        <v>68.0</v>
      </c>
      <c r="B69" s="14" t="s">
        <v>2607</v>
      </c>
      <c r="C69" s="14" t="s">
        <v>2608</v>
      </c>
      <c r="D69" s="14" t="s">
        <v>1816</v>
      </c>
      <c r="E69" s="14" t="s">
        <v>2609</v>
      </c>
      <c r="G69" s="8" t="str">
        <f>IFERROR(__xludf.DUMMYFUNCTION(" GOOGLETRANSLATE(A69, ""en"", ""am"")"),"68")</f>
        <v>68</v>
      </c>
      <c r="H69" s="8" t="str">
        <f>IFERROR(__xludf.DUMMYFUNCTION(" GOOGLETRANSLATE(B69, ""en"", ""am"")"),"በሲዳማ ትግል ውስጥ የእግር ኳስ ሚና ምን ይመስላል?")</f>
        <v>በሲዳማ ትግል ውስጥ የእግር ኳስ ሚና ምን ይመስላል?</v>
      </c>
      <c r="I69" s="8" t="str">
        <f>IFERROR(__xludf.DUMMYFUNCTION(" GOOGLETRANSLATE(C69, ""en"", ""am"")"),"ሀ. ውርወራዎችን ለማስፈጸም ለ. ተቀናቃኙን ለመቆጣጠር ሐ. በገጽታ ዙሪያ መንቀሳቀስ መ. ጉዳትን ለማስወገድ")</f>
        <v>ሀ. ውርወራዎችን ለማስፈጸም ለ. ተቀናቃኙን ለመቆጣጠር ሐ. በገጽታ ዙሪያ መንቀሳቀስ መ. ጉዳትን ለማስወገድ</v>
      </c>
      <c r="J69" s="8" t="str">
        <f>IFERROR(__xludf.DUMMYFUNCTION(" GOOGLETRANSLATE(D69, ""en"", ""am"")"),"ተቃዋሚውን ለመቆጣጠር")</f>
        <v>ተቃዋሚውን ለመቆጣጠር</v>
      </c>
      <c r="K69" s="8" t="str">
        <f>IFERROR(__xludf.DUMMYFUNCTION(" GOOGLETRANSLATE(E69, ""en"", ""am"")"),"መራመድ ሚዛንን ለመጠበቅ እና የተቃዋሚዎችን እንቅስቃሴ ለመቆጣጠር ወሳኝ ነው።")</f>
        <v>መራመድ ሚዛንን ለመጠበቅ እና የተቃዋሚዎችን እንቅስቃሴ ለመቆጣጠር ወሳኝ ነው።</v>
      </c>
    </row>
    <row r="70" ht="22.5" customHeight="1">
      <c r="A70" s="13">
        <v>69.0</v>
      </c>
      <c r="B70" s="14" t="s">
        <v>2610</v>
      </c>
      <c r="C70" s="14" t="s">
        <v>2611</v>
      </c>
      <c r="D70" s="14" t="s">
        <v>2612</v>
      </c>
      <c r="E70" s="14" t="s">
        <v>2613</v>
      </c>
      <c r="G70" s="8" t="str">
        <f>IFERROR(__xludf.DUMMYFUNCTION(" GOOGLETRANSLATE(A70, ""en"", ""am"")"),"69")</f>
        <v>69</v>
      </c>
      <c r="H70" s="8" t="str">
        <f>IFERROR(__xludf.DUMMYFUNCTION(" GOOGLETRANSLATE(B70, ""en"", ""am"")"),"በሲዳማ ጦርነት ሁለቱም ታጋዮች ከድንበር ቢወድቁ ምን ይሆናል?")</f>
        <v>በሲዳማ ጦርነት ሁለቱም ታጋዮች ከድንበር ቢወድቁ ምን ይሆናል?</v>
      </c>
      <c r="I70" s="8" t="str">
        <f>IFERROR(__xludf.DUMMYFUNCTION(" GOOGLETRANSLATE(C70, ""en"", ""am"")"),"ሀ. ግጥሚያው ቆሟል። ለ. ጨዋታው ቀጥሏል። ሐ. ውድቀትን የጀመረ ተዋጊ ያሸንፋል። መ. ግጥሚያው እንደገና ተጀምሯል።")</f>
        <v>ሀ. ግጥሚያው ቆሟል። ለ. ጨዋታው ቀጥሏል። ሐ. ውድቀትን የጀመረ ተዋጊ ያሸንፋል። መ. ግጥሚያው እንደገና ተጀምሯል።</v>
      </c>
      <c r="J70" s="8" t="str">
        <f>IFERROR(__xludf.DUMMYFUNCTION(" GOOGLETRANSLATE(D70, ""en"", ""am"")"),"ጨዋታው ቆሟል።")</f>
        <v>ጨዋታው ቆሟል።</v>
      </c>
      <c r="K70" s="8" t="str">
        <f>IFERROR(__xludf.DUMMYFUNCTION(" GOOGLETRANSLATE(E70, ""en"", ""am"")"),"ጨዋታው ቆመ እና ሁለቱም ተጋጣሚዎች ወደ ቦታቸው ይመለሳሉ።")</f>
        <v>ጨዋታው ቆመ እና ሁለቱም ተጋጣሚዎች ወደ ቦታቸው ይመለሳሉ።</v>
      </c>
    </row>
    <row r="71" ht="22.5" customHeight="1">
      <c r="A71" s="13">
        <v>70.0</v>
      </c>
      <c r="B71" s="14" t="s">
        <v>2614</v>
      </c>
      <c r="C71" s="14" t="s">
        <v>2615</v>
      </c>
      <c r="D71" s="14" t="s">
        <v>2616</v>
      </c>
      <c r="E71" s="14" t="s">
        <v>2617</v>
      </c>
      <c r="G71" s="8" t="str">
        <f>IFERROR(__xludf.DUMMYFUNCTION(" GOOGLETRANSLATE(A71, ""en"", ""am"")"),"70")</f>
        <v>70</v>
      </c>
      <c r="H71" s="8" t="str">
        <f>IFERROR(__xludf.DUMMYFUNCTION(" GOOGLETRANSLATE(B71, ""en"", ""am"")"),"ከእነዚህ ውስጥ የትኛው የተለመደ የሲዳማ የትግል ውርወራ ያልሆነ?")</f>
        <v>ከእነዚህ ውስጥ የትኛው የተለመደ የሲዳማ የትግል ውርወራ ያልሆነ?</v>
      </c>
      <c r="I71" s="8" t="str">
        <f>IFERROR(__xludf.DUMMYFUNCTION(" GOOGLETRANSLATE(C71, ""en"", ""am"")"),"ሀ. የሂፕ ግፊት ለ. አካልን ማሸማቀቅ ሐ. የእግር መፋቅ መ. የኢነርጂ ቦምብ")</f>
        <v>ሀ. የሂፕ ግፊት ለ. አካልን ማሸማቀቅ ሐ. የእግር መፋቅ መ. የኢነርጂ ቦምብ</v>
      </c>
      <c r="J71" s="8" t="str">
        <f>IFERROR(__xludf.DUMMYFUNCTION(" GOOGLETRANSLATE(D71, ""en"", ""am"")"),"የኃይል ቦምብ")</f>
        <v>የኃይል ቦምብ</v>
      </c>
      <c r="K71" s="8" t="str">
        <f>IFERROR(__xludf.DUMMYFUNCTION(" GOOGLETRANSLATE(E71, ""en"", ""am"")"),"የኃይል ቦምብ በሲዳማ ሬስሊንግ የታወቀ ዘዴ አይደለም።")</f>
        <v>የኃይል ቦምብ በሲዳማ ሬስሊንግ የታወቀ ዘዴ አይደለም።</v>
      </c>
    </row>
    <row r="72" ht="22.5" customHeight="1">
      <c r="A72" s="13">
        <v>71.0</v>
      </c>
      <c r="B72" s="14" t="s">
        <v>2618</v>
      </c>
      <c r="C72" s="14" t="s">
        <v>2619</v>
      </c>
      <c r="D72" s="14" t="s">
        <v>2620</v>
      </c>
      <c r="E72" s="14" t="s">
        <v>2621</v>
      </c>
      <c r="G72" s="8" t="str">
        <f>IFERROR(__xludf.DUMMYFUNCTION(" GOOGLETRANSLATE(A72, ""en"", ""am"")"),"71")</f>
        <v>71</v>
      </c>
      <c r="H72" s="8" t="str">
        <f>IFERROR(__xludf.DUMMYFUNCTION(" GOOGLETRANSLATE(B72, ""en"", ""am"")"),"ከተቃዋሚዎች መውደቅ የተሻለው መከላከያ ምንድነው?")</f>
        <v>ከተቃዋሚዎች መውደቅ የተሻለው መከላከያ ምንድነው?</v>
      </c>
      <c r="I72" s="8" t="str">
        <f>IFERROR(__xludf.DUMMYFUNCTION(" GOOGLETRANSLATE(C72, ""en"", ""am"")"),"A. Escape B. ዝላይ C. Escape D. ከተቃራኒ ጾታ ጋር መታገል")</f>
        <v>A. Escape B. ዝላይ C. Escape D. ከተቃራኒ ጾታ ጋር መታገል</v>
      </c>
      <c r="J72" s="8" t="str">
        <f>IFERROR(__xludf.DUMMYFUNCTION(" GOOGLETRANSLATE(D72, ""en"", ""am"")"),"ከተቃራኒ ጾታ ጋር መታገል")</f>
        <v>ከተቃራኒ ጾታ ጋር መታገል</v>
      </c>
      <c r="K72" s="8" t="str">
        <f>IFERROR(__xludf.DUMMYFUNCTION(" GOOGLETRANSLATE(E72, ""en"", ""am"")"),"በመልሶ ማጥቃት መቃወም ተቃዋሚው ማውረዱን እንዳያጠናቅቅ ያደርገዋል።")</f>
        <v>በመልሶ ማጥቃት መቃወም ተቃዋሚው ማውረዱን እንዳያጠናቅቅ ያደርገዋል።</v>
      </c>
    </row>
    <row r="73" ht="22.5" customHeight="1">
      <c r="A73" s="13">
        <v>72.0</v>
      </c>
      <c r="B73" s="14" t="s">
        <v>2622</v>
      </c>
      <c r="C73" s="14" t="s">
        <v>2623</v>
      </c>
      <c r="D73" s="14" t="s">
        <v>2525</v>
      </c>
      <c r="E73" s="14" t="s">
        <v>2624</v>
      </c>
      <c r="G73" s="8" t="str">
        <f>IFERROR(__xludf.DUMMYFUNCTION(" GOOGLETRANSLATE(A73, ""en"", ""am"")"),"72")</f>
        <v>72</v>
      </c>
      <c r="H73" s="8" t="str">
        <f>IFERROR(__xludf.DUMMYFUNCTION(" GOOGLETRANSLATE(B73, ""en"", ""am"")"),"በሲዳማ ሬስሊንግ ውስጥ ብዙ ውርወራዎችን ለመጀመር ምን አይነት መያዣ ጥቅም ላይ ይውላል?")</f>
        <v>በሲዳማ ሬስሊንግ ውስጥ ብዙ ውርወራዎችን ለመጀመር ምን አይነት መያዣ ጥቅም ላይ ይውላል?</v>
      </c>
      <c r="I73" s="8" t="str">
        <f>IFERROR(__xludf.DUMMYFUNCTION(" GOOGLETRANSLATE(C73, ""en"", ""am"")"),"ሀ. የአንገት ማሰሪያ ለ. እግር የሚይዝ ሐ. የልብስ መደርደሪያ D. የእጅ ማንጠልጠያ")</f>
        <v>ሀ. የአንገት ማሰሪያ ለ. እግር የሚይዝ ሐ. የልብስ መደርደሪያ D. የእጅ ማንጠልጠያ</v>
      </c>
      <c r="J73" s="8" t="str">
        <f>IFERROR(__xludf.DUMMYFUNCTION(" GOOGLETRANSLATE(D73, ""en"", ""am"")"),"የልብስ መደርደሪያ")</f>
        <v>የልብስ መደርደሪያ</v>
      </c>
      <c r="K73" s="8" t="str">
        <f>IFERROR(__xludf.DUMMYFUNCTION(" GOOGLETRANSLATE(E73, ""en"", ""am"")"),"የልብስ መስመሩ ተቃዋሚውን ለመቆጣጠር እና ለመወርወር ለማዘጋጀት ይጠቅማል።")</f>
        <v>የልብስ መስመሩ ተቃዋሚውን ለመቆጣጠር እና ለመወርወር ለማዘጋጀት ይጠቅማል።</v>
      </c>
    </row>
    <row r="74" ht="22.5" customHeight="1">
      <c r="A74" s="13">
        <v>73.0</v>
      </c>
      <c r="B74" s="14" t="s">
        <v>2625</v>
      </c>
      <c r="C74" s="14" t="s">
        <v>2626</v>
      </c>
      <c r="D74" s="14" t="s">
        <v>2627</v>
      </c>
      <c r="E74" s="14" t="s">
        <v>2628</v>
      </c>
      <c r="G74" s="8" t="str">
        <f>IFERROR(__xludf.DUMMYFUNCTION(" GOOGLETRANSLATE(A74, ""en"", ""am"")"),"73")</f>
        <v>73</v>
      </c>
      <c r="H74" s="8" t="str">
        <f>IFERROR(__xludf.DUMMYFUNCTION(" GOOGLETRANSLATE(B74, ""en"", ""am"")"),"በሲዳማ ሬስሊንግ የትኛውን እንቅስቃሴ ነጥብ ለማስመዝገብ በብዛት ጥቅም ላይ ይውላል?")</f>
        <v>በሲዳማ ሬስሊንግ የትኛውን እንቅስቃሴ ነጥብ ለማስመዝገብ በብዛት ጥቅም ላይ ይውላል?</v>
      </c>
      <c r="I74" s="8" t="str">
        <f>IFERROR(__xludf.DUMMYFUNCTION(" GOOGLETRANSLATE(C74, ""en"", ""am"")"),"ሀ. የእግር መፋቅ ቢ. ፒን ሲ. መወርወር D. Escape")</f>
        <v>ሀ. የእግር መፋቅ ቢ. ፒን ሲ. መወርወር D. Escape</v>
      </c>
      <c r="J74" s="8" t="str">
        <f>IFERROR(__xludf.DUMMYFUNCTION(" GOOGLETRANSLATE(D74, ""en"", ""am"")"),"መወርወር")</f>
        <v>መወርወር</v>
      </c>
      <c r="K74" s="8" t="str">
        <f>IFERROR(__xludf.DUMMYFUNCTION(" GOOGLETRANSLATE(E74, ""en"", ""am"")"),"ተጋጣሚውን ጀርባቸው ላይ የሚያርፍ የተሳካ ውርወራ ነጥብ ያስገኛል።")</f>
        <v>ተጋጣሚውን ጀርባቸው ላይ የሚያርፍ የተሳካ ውርወራ ነጥብ ያስገኛል።</v>
      </c>
    </row>
    <row r="75" ht="22.5" customHeight="1">
      <c r="A75" s="13">
        <v>74.0</v>
      </c>
      <c r="B75" s="14" t="s">
        <v>2629</v>
      </c>
      <c r="C75" s="14" t="s">
        <v>2630</v>
      </c>
      <c r="D75" s="14" t="s">
        <v>2631</v>
      </c>
      <c r="E75" s="14" t="s">
        <v>2632</v>
      </c>
      <c r="G75" s="8" t="str">
        <f>IFERROR(__xludf.DUMMYFUNCTION(" GOOGLETRANSLATE(A75, ""en"", ""am"")"),"74")</f>
        <v>74</v>
      </c>
      <c r="H75" s="8" t="str">
        <f>IFERROR(__xludf.DUMMYFUNCTION(" GOOGLETRANSLATE(B75, ""en"", ""am"")"),"የትግል ምንጣፉ በሲዳማ ትግል ውስጥ ያለው ፋይዳ ምንድን ነው?")</f>
        <v>የትግል ምንጣፉ በሲዳማ ትግል ውስጥ ያለው ፋይዳ ምንድን ነው?</v>
      </c>
      <c r="I75" s="8" t="str">
        <f>IFERROR(__xludf.DUMMYFUNCTION(" GOOGLETRANSLATE(C75, ""en"", ""am"")"),"ሀ. ለደህንነት ሲባል ነው። ለ. እንቅስቃሴዎችን ለመቆጣጠር ይረዳል ሐ. ለጎል ማስቆጠር ነው። መ. ለጌጣጌጥ ነው.")</f>
        <v>ሀ. ለደህንነት ሲባል ነው። ለ. እንቅስቃሴዎችን ለመቆጣጠር ይረዳል ሐ. ለጎል ማስቆጠር ነው። መ. ለጌጣጌጥ ነው.</v>
      </c>
      <c r="J75" s="8" t="str">
        <f>IFERROR(__xludf.DUMMYFUNCTION(" GOOGLETRANSLATE(D75, ""en"", ""am"")"),"ለደህንነት ሲባል ነው።")</f>
        <v>ለደህንነት ሲባል ነው።</v>
      </c>
      <c r="K75" s="8" t="str">
        <f>IFERROR(__xludf.DUMMYFUNCTION(" GOOGLETRANSLATE(E75, ""en"", ""am"")"),"ምንጣፉ በዋነኝነት ጥቅም ላይ የሚውለው ለደህንነት ዓላማዎች ነው, በሚወርድበት ጊዜ ጉዳት እንዳይደርስ ለመከላከል.")</f>
        <v>ምንጣፉ በዋነኝነት ጥቅም ላይ የሚውለው ለደህንነት ዓላማዎች ነው, በሚወርድበት ጊዜ ጉዳት እንዳይደርስ ለመከላከል.</v>
      </c>
    </row>
    <row r="76" ht="22.5" customHeight="1">
      <c r="A76" s="13">
        <v>75.0</v>
      </c>
      <c r="B76" s="14" t="s">
        <v>2633</v>
      </c>
      <c r="C76" s="14" t="s">
        <v>2634</v>
      </c>
      <c r="D76" s="14" t="s">
        <v>2635</v>
      </c>
      <c r="E76" s="14" t="s">
        <v>2636</v>
      </c>
      <c r="G76" s="8" t="str">
        <f>IFERROR(__xludf.DUMMYFUNCTION(" GOOGLETRANSLATE(A76, ""en"", ""am"")"),"75")</f>
        <v>75</v>
      </c>
      <c r="H76" s="8" t="str">
        <f>IFERROR(__xludf.DUMMYFUNCTION(" GOOGLETRANSLATE(B76, ""en"", ""am"")"),"አንድ ታጋይ ጨዋታውን ለመቆጣጠር ምን ላይ ማተኮር አለበት?")</f>
        <v>አንድ ታጋይ ጨዋታውን ለመቆጣጠር ምን ላይ ማተኮር አለበት?</v>
      </c>
      <c r="I76" s="8" t="str">
        <f>IFERROR(__xludf.DUMMYFUNCTION(" GOOGLETRANSLATE(C76, ""en"", ""am"")"),"ሀ ኃይል ለ. ፍጥነት ሐ. ቁጥጥር D. ጥንካሬ")</f>
        <v>ሀ ኃይል ለ. ፍጥነት ሐ. ቁጥጥር D. ጥንካሬ</v>
      </c>
      <c r="J76" s="8" t="str">
        <f>IFERROR(__xludf.DUMMYFUNCTION(" GOOGLETRANSLATE(D76, ""en"", ""am"")"),"ቁጥጥር")</f>
        <v>ቁጥጥር</v>
      </c>
      <c r="K76" s="8" t="str">
        <f>IFERROR(__xludf.DUMMYFUNCTION(" GOOGLETRANSLATE(E76, ""en"", ""am"")"),"ጨዋታውን ለመቆጣጠር የተጋጣሚዎችን እንቅስቃሴ መቆጣጠር ቁልፍ ነው።")</f>
        <v>ጨዋታውን ለመቆጣጠር የተጋጣሚዎችን እንቅስቃሴ መቆጣጠር ቁልፍ ነው።</v>
      </c>
    </row>
    <row r="77" ht="22.5" customHeight="1">
      <c r="A77" s="13">
        <v>76.0</v>
      </c>
      <c r="B77" s="14" t="s">
        <v>2407</v>
      </c>
      <c r="C77" s="14" t="s">
        <v>2637</v>
      </c>
      <c r="D77" s="14" t="s">
        <v>2638</v>
      </c>
      <c r="E77" s="14" t="s">
        <v>2639</v>
      </c>
      <c r="G77" s="8" t="str">
        <f>IFERROR(__xludf.DUMMYFUNCTION(" GOOGLETRANSLATE(A77, ""en"", ""am"")"),"76")</f>
        <v>76</v>
      </c>
      <c r="H77" s="8" t="str">
        <f>IFERROR(__xludf.DUMMYFUNCTION(" GOOGLETRANSLATE(B77, ""en"", ""am"")"),"የሲዳማ ህዝብ ትግል ዋና አላማው ምንድን ነው?")</f>
        <v>የሲዳማ ህዝብ ትግል ዋና አላማው ምንድን ነው?</v>
      </c>
      <c r="I77" s="8" t="str">
        <f>IFERROR(__xludf.DUMMYFUNCTION(" GOOGLETRANSLATE(C77, ""en"", ""am"")"),"ሀ. ህዝቡን ለማዝናናት B. የተቃዋሚውን ትከሻ ምንጣፉ ላይ መሰካት ሐ. ተቃዋሚውን መምታት መ. ከምርኮ ለማምለጥ")</f>
        <v>ሀ. ህዝቡን ለማዝናናት B. የተቃዋሚውን ትከሻ ምንጣፉ ላይ መሰካት ሐ. ተቃዋሚውን መምታት መ. ከምርኮ ለማምለጥ</v>
      </c>
      <c r="J77" s="8" t="str">
        <f>IFERROR(__xludf.DUMMYFUNCTION(" GOOGLETRANSLATE(D77, ""en"", ""am"")"),"የተቃዋሚውን ትከሻዎች ወደ ምንጣፉ ለመሰካት")</f>
        <v>የተቃዋሚውን ትከሻዎች ወደ ምንጣፉ ለመሰካት</v>
      </c>
      <c r="K77" s="8" t="str">
        <f>IFERROR(__xludf.DUMMYFUNCTION(" GOOGLETRANSLATE(E77, ""en"", ""am"")"),"ዋናው አላማ የተቃዋሚውን ትከሻ ወደ ምንጣፉ መሰካት እና ድልን ማረጋገጥ ነው።")</f>
        <v>ዋናው አላማ የተቃዋሚውን ትከሻ ወደ ምንጣፉ መሰካት እና ድልን ማረጋገጥ ነው።</v>
      </c>
    </row>
    <row r="78" ht="22.5" customHeight="1">
      <c r="A78" s="13">
        <v>77.0</v>
      </c>
      <c r="B78" s="14" t="s">
        <v>2640</v>
      </c>
      <c r="C78" s="14" t="s">
        <v>2641</v>
      </c>
      <c r="D78" s="14" t="s">
        <v>2412</v>
      </c>
      <c r="E78" s="14" t="s">
        <v>2642</v>
      </c>
      <c r="G78" s="8" t="str">
        <f>IFERROR(__xludf.DUMMYFUNCTION(" GOOGLETRANSLATE(A78, ""en"", ""am"")"),"77")</f>
        <v>77</v>
      </c>
      <c r="H78" s="8" t="str">
        <f>IFERROR(__xludf.DUMMYFUNCTION(" GOOGLETRANSLATE(B78, ""en"", ""am"")"),"በሲዳማ የትግል ውርወራ በብዛት የሚጠቀመው የትኛው የሰውነት ክፍል ነው?")</f>
        <v>በሲዳማ የትግል ውርወራ በብዛት የሚጠቀመው የትኛው የሰውነት ክፍል ነው?</v>
      </c>
      <c r="I78" s="8" t="str">
        <f>IFERROR(__xludf.DUMMYFUNCTION(" GOOGLETRANSLATE(C78, ""en"", ""am"")"),"A. Feet B. Arms C. Neck D. Torso")</f>
        <v>A. Feet B. Arms C. Neck D. Torso</v>
      </c>
      <c r="J78" s="8" t="str">
        <f>IFERROR(__xludf.DUMMYFUNCTION(" GOOGLETRANSLATE(D78, ""en"", ""am"")"),"ክንዶች")</f>
        <v>ክንዶች</v>
      </c>
      <c r="K78" s="8" t="str">
        <f>IFERROR(__xludf.DUMMYFUNCTION(" GOOGLETRANSLATE(E78, ""en"", ""am"")"),"እጆቹ በተለምዶ ተቃዋሚውን ለመወርወር እና ለማንቀሳቀስ ያገለግላሉ።")</f>
        <v>እጆቹ በተለምዶ ተቃዋሚውን ለመወርወር እና ለማንቀሳቀስ ያገለግላሉ።</v>
      </c>
    </row>
    <row r="79" ht="22.5" customHeight="1">
      <c r="A79" s="13">
        <v>78.0</v>
      </c>
      <c r="B79" s="14" t="s">
        <v>2643</v>
      </c>
      <c r="C79" s="14" t="s">
        <v>2644</v>
      </c>
      <c r="D79" s="14" t="s">
        <v>2645</v>
      </c>
      <c r="E79" s="14" t="s">
        <v>2646</v>
      </c>
      <c r="G79" s="8" t="str">
        <f>IFERROR(__xludf.DUMMYFUNCTION(" GOOGLETRANSLATE(A79, ""en"", ""am"")"),"78")</f>
        <v>78</v>
      </c>
      <c r="H79" s="8" t="str">
        <f>IFERROR(__xludf.DUMMYFUNCTION(" GOOGLETRANSLATE(B79, ""en"", ""am"")"),"ከእነዚህ ውስጥ የትኛው የተለመደ የሲዳማ ትግል አቋም ነው?")</f>
        <v>ከእነዚህ ውስጥ የትኛው የተለመደ የሲዳማ ትግል አቋም ነው?</v>
      </c>
      <c r="I79" s="8" t="str">
        <f>IFERROR(__xludf.DUMMYFUNCTION(" GOOGLETRANSLATE(C79, ""en"", ""am"")"),"ሀ. አሳዛኝ አመለካከት ለ. ገለልተኛ አቋም ሐ. የጎን አቀማመጥ D. ከፍተኛ ቦታ")</f>
        <v>ሀ. አሳዛኝ አመለካከት ለ. ገለልተኛ አቋም ሐ. የጎን አቀማመጥ D. ከፍተኛ ቦታ</v>
      </c>
      <c r="J79" s="8" t="str">
        <f>IFERROR(__xludf.DUMMYFUNCTION(" GOOGLETRANSLATE(D79, ""en"", ""am"")"),"ገለልተኛ አቀማመጥ")</f>
        <v>ገለልተኛ አቀማመጥ</v>
      </c>
      <c r="K79" s="8" t="str">
        <f>IFERROR(__xludf.DUMMYFUNCTION(" GOOGLETRANSLATE(E79, ""en"", ""am"")"),"ገለልተኛ አቋም ተለዋዋጭነትን እና በአጥቂ እና በመከላከያ እንቅስቃሴዎች መካከል የመሸጋገር ችሎታን ይፈቅዳል.")</f>
        <v>ገለልተኛ አቋም ተለዋዋጭነትን እና በአጥቂ እና በመከላከያ እንቅስቃሴዎች መካከል የመሸጋገር ችሎታን ይፈቅዳል.</v>
      </c>
    </row>
    <row r="80" ht="22.5" customHeight="1">
      <c r="A80" s="13">
        <v>79.0</v>
      </c>
      <c r="B80" s="14" t="s">
        <v>2647</v>
      </c>
      <c r="C80" s="14" t="s">
        <v>2648</v>
      </c>
      <c r="D80" s="14" t="s">
        <v>2649</v>
      </c>
      <c r="E80" s="14" t="s">
        <v>2650</v>
      </c>
      <c r="G80" s="8" t="str">
        <f>IFERROR(__xludf.DUMMYFUNCTION(" GOOGLETRANSLATE(A80, ""en"", ""am"")"),"79")</f>
        <v>79</v>
      </c>
      <c r="H80" s="8" t="str">
        <f>IFERROR(__xludf.DUMMYFUNCTION(" GOOGLETRANSLATE(B80, ""en"", ""am"")"),"በሲዳማ ሬስሊንግ ላይ የወረደው ምንድን ነው?")</f>
        <v>በሲዳማ ሬስሊንግ ላይ የወረደው ምንድን ነው?</v>
      </c>
      <c r="I80" s="8" t="str">
        <f>IFERROR(__xludf.DUMMYFUNCTION(" GOOGLETRANSLATE(C80, ""en"", ""am"")"),"ሀ. ከቆመበት ቦታ መዝለል ለ. መቆንጠጥ ዘዴ ሐ. የማድረስ መያዣ D. ለተቃዋሚዎች መምታት")</f>
        <v>ሀ. ከቆመበት ቦታ መዝለል ለ. መቆንጠጥ ዘዴ ሐ. የማድረስ መያዣ D. ለተቃዋሚዎች መምታት</v>
      </c>
      <c r="J80" s="8" t="str">
        <f>IFERROR(__xludf.DUMMYFUNCTION(" GOOGLETRANSLATE(D80, ""en"", ""am"")"),"ከቆመበት ቦታ መዝለል")</f>
        <v>ከቆመበት ቦታ መዝለል</v>
      </c>
      <c r="K80" s="8" t="str">
        <f>IFERROR(__xludf.DUMMYFUNCTION(" GOOGLETRANSLATE(E80, ""en"", ""am"")"),"ማውረዱ ተቃዋሚን ከቆመበት ለማውረድ የሚያገለግል ዘዴ ነው።")</f>
        <v>ማውረዱ ተቃዋሚን ከቆመበት ለማውረድ የሚያገለግል ዘዴ ነው።</v>
      </c>
    </row>
    <row r="81" ht="22.5" customHeight="1">
      <c r="A81" s="13">
        <v>80.0</v>
      </c>
      <c r="B81" s="14" t="s">
        <v>2651</v>
      </c>
      <c r="C81" s="14" t="s">
        <v>2652</v>
      </c>
      <c r="D81" s="14" t="s">
        <v>2653</v>
      </c>
      <c r="E81" s="14" t="s">
        <v>2654</v>
      </c>
      <c r="G81" s="8" t="str">
        <f>IFERROR(__xludf.DUMMYFUNCTION(" GOOGLETRANSLATE(A81, ""en"", ""am"")"),"80")</f>
        <v>80</v>
      </c>
      <c r="H81" s="8" t="str">
        <f>IFERROR(__xludf.DUMMYFUNCTION(" GOOGLETRANSLATE(B81, ""en"", ""am"")"),"በሲዳማ ሬስሊንግ እግር መጥረግ ምን ሚና ይጫወታል?")</f>
        <v>በሲዳማ ሬስሊንግ እግር መጥረግ ምን ሚና ይጫወታል?</v>
      </c>
      <c r="I81" s="8" t="str">
        <f>IFERROR(__xludf.DUMMYFUNCTION(" GOOGLETRANSLATE(C81, ""en"", ""am"")"),"ሀ. ለማድረስ ያገለግላሉ። ለ. ተቃዋሚውን ያጠፋሉ. ሐ. ተቃዋሚውን ለመሰካት ያገለግላሉ። መ. በመምታት ይረዳሉ.")</f>
        <v>ሀ. ለማድረስ ያገለግላሉ። ለ. ተቃዋሚውን ያጠፋሉ. ሐ. ተቃዋሚውን ለመሰካት ያገለግላሉ። መ. በመምታት ይረዳሉ.</v>
      </c>
      <c r="J81" s="8" t="str">
        <f>IFERROR(__xludf.DUMMYFUNCTION(" GOOGLETRANSLATE(D81, ""en"", ""am"")"),"ተቃዋሚውን ያጠፋሉ.")</f>
        <v>ተቃዋሚውን ያጠፋሉ.</v>
      </c>
      <c r="K81" s="8" t="str">
        <f>IFERROR(__xludf.DUMMYFUNCTION(" GOOGLETRANSLATE(E81, ""en"", ""am"")"),"የእግር መጥረግ የተቀናቃኙን ሚዛን ለመጠበቅ እና ወደ መሬት ለመውሰድ ነው.")</f>
        <v>የእግር መጥረግ የተቀናቃኙን ሚዛን ለመጠበቅ እና ወደ መሬት ለመውሰድ ነው.</v>
      </c>
    </row>
    <row r="82" ht="22.5" customHeight="1">
      <c r="A82" s="13">
        <v>81.0</v>
      </c>
      <c r="B82" s="14" t="s">
        <v>2655</v>
      </c>
      <c r="C82" s="14" t="s">
        <v>2656</v>
      </c>
      <c r="D82" s="14" t="s">
        <v>2657</v>
      </c>
      <c r="E82" s="14" t="s">
        <v>2658</v>
      </c>
      <c r="G82" s="8" t="str">
        <f>IFERROR(__xludf.DUMMYFUNCTION(" GOOGLETRANSLATE(A82, ""en"", ""am"")"),"81")</f>
        <v>81</v>
      </c>
      <c r="H82" s="8" t="str">
        <f>IFERROR(__xludf.DUMMYFUNCTION(" GOOGLETRANSLATE(B82, ""en"", ""am"")"),"በሲዳማ ትግል የጊዜ ፋይዳው ስንት ነው?")</f>
        <v>በሲዳማ ትግል የጊዜ ፋይዳው ስንት ነው?</v>
      </c>
      <c r="I82" s="8" t="str">
        <f>IFERROR(__xludf.DUMMYFUNCTION(" GOOGLETRANSLATE(C82, ""en"", ""am"")"),"ሀ. የመወርወር ጥንካሬን ይወስናል ለ. ውጤታማ የመልሶ ማጥቃት ይፈቅዳል ሐ. ማስረከቦችን ለመፈጸም ይረዳል መ. አስፈላጊ አይደለም")</f>
        <v>ሀ. የመወርወር ጥንካሬን ይወስናል ለ. ውጤታማ የመልሶ ማጥቃት ይፈቅዳል ሐ. ማስረከቦችን ለመፈጸም ይረዳል መ. አስፈላጊ አይደለም</v>
      </c>
      <c r="J82" s="8" t="str">
        <f>IFERROR(__xludf.DUMMYFUNCTION(" GOOGLETRANSLATE(D82, ""en"", ""am"")"),"ውጤታማ መልሶ ማጥቃትን ይፈቅዳል")</f>
        <v>ውጤታማ መልሶ ማጥቃትን ይፈቅዳል</v>
      </c>
      <c r="K82" s="8" t="str">
        <f>IFERROR(__xludf.DUMMYFUNCTION(" GOOGLETRANSLATE(E82, ""en"", ""am"")"),"ጥሩ ጊዜ አጠባበቅ ተቃዋሚው ጥቃቶችን ለመቋቋም እና ጨዋታውን ለመቆጣጠር ይረዳል.")</f>
        <v>ጥሩ ጊዜ አጠባበቅ ተቃዋሚው ጥቃቶችን ለመቋቋም እና ጨዋታውን ለመቆጣጠር ይረዳል.</v>
      </c>
    </row>
    <row r="83" ht="22.5" customHeight="1">
      <c r="A83" s="13">
        <v>82.0</v>
      </c>
      <c r="B83" s="14" t="s">
        <v>2659</v>
      </c>
      <c r="C83" s="14" t="s">
        <v>2660</v>
      </c>
      <c r="D83" s="14" t="s">
        <v>2412</v>
      </c>
      <c r="E83" s="14" t="s">
        <v>2661</v>
      </c>
      <c r="G83" s="8" t="str">
        <f>IFERROR(__xludf.DUMMYFUNCTION(" GOOGLETRANSLATE(A83, ""en"", ""am"")"),"82")</f>
        <v>82</v>
      </c>
      <c r="H83" s="8" t="str">
        <f>IFERROR(__xludf.DUMMYFUNCTION(" GOOGLETRANSLATE(B83, ""en"", ""am"")"),"በሲዳማ ሬስሊንግ ብዙ ጊዜ የሚቆጣጠረው የተቃዋሚው አካል የትኛው ነው?")</f>
        <v>በሲዳማ ሬስሊንግ ብዙ ጊዜ የሚቆጣጠረው የተቃዋሚው አካል የትኛው ነው?</v>
      </c>
      <c r="I83" s="8" t="str">
        <f>IFERROR(__xludf.DUMMYFUNCTION(" GOOGLETRANSLATE(C83, ""en"", ""am"")"),"ሀ. ክንዶች ለ. አንገት ሐ. ጭንቅላት D. እግሮች")</f>
        <v>ሀ. ክንዶች ለ. አንገት ሐ. ጭንቅላት D. እግሮች</v>
      </c>
      <c r="J83" s="8" t="str">
        <f>IFERROR(__xludf.DUMMYFUNCTION(" GOOGLETRANSLATE(D83, ""en"", ""am"")"),"ክንዶች")</f>
        <v>ክንዶች</v>
      </c>
      <c r="K83" s="8" t="str">
        <f>IFERROR(__xludf.DUMMYFUNCTION(" GOOGLETRANSLATE(E83, ""en"", ""am"")"),"ውርወራዎችን እና ግቤቶችን ለማዘጋጀት የተቃዋሚዎችን እጆች መቆጣጠር ቁልፍ ነው.")</f>
        <v>ውርወራዎችን እና ግቤቶችን ለማዘጋጀት የተቃዋሚዎችን እጆች መቆጣጠር ቁልፍ ነው.</v>
      </c>
    </row>
    <row r="84" ht="22.5" customHeight="1">
      <c r="A84" s="13">
        <v>83.0</v>
      </c>
      <c r="B84" s="14" t="s">
        <v>2662</v>
      </c>
      <c r="C84" s="14" t="s">
        <v>2663</v>
      </c>
      <c r="D84" s="14" t="s">
        <v>2664</v>
      </c>
      <c r="E84" s="14" t="s">
        <v>2665</v>
      </c>
      <c r="G84" s="8" t="str">
        <f>IFERROR(__xludf.DUMMYFUNCTION(" GOOGLETRANSLATE(A84, ""en"", ""am"")"),"83")</f>
        <v>83</v>
      </c>
      <c r="H84" s="8" t="str">
        <f>IFERROR(__xludf.DUMMYFUNCTION(" GOOGLETRANSLATE(B84, ""en"", ""am"")"),"በሲዳማ ጦርነት ከፒን ለማምለጥ ምርጡ መንገድ ምንድነው?")</f>
        <v>በሲዳማ ጦርነት ከፒን ለማምለጥ ምርጡ መንገድ ምንድነው?</v>
      </c>
      <c r="I84" s="8" t="str">
        <f>IFERROR(__xludf.DUMMYFUNCTION(" GOOGLETRANSLATE(C84, ""en"", ""am"")"),"ሀ. B በመምታት የማምለጫ ጥቅል በመጠቀም ሐ. የተቃዋሚውን ጭንቅላት በመቆጣጠር D. በማቅረብ")</f>
        <v>ሀ. B በመምታት የማምለጫ ጥቅል በመጠቀም ሐ. የተቃዋሚውን ጭንቅላት በመቆጣጠር D. በማቅረብ</v>
      </c>
      <c r="J84" s="8" t="str">
        <f>IFERROR(__xludf.DUMMYFUNCTION(" GOOGLETRANSLATE(D84, ""en"", ""am"")"),"የማምለጫ ጥቅል መጠቀም")</f>
        <v>የማምለጫ ጥቅል መጠቀም</v>
      </c>
      <c r="K84" s="8" t="str">
        <f>IFERROR(__xludf.DUMMYFUNCTION(" GOOGLETRANSLATE(E84, ""en"", ""am"")"),"የማምለጫ ጥቅል ተዋጊው ከተሰካበት ቦታ እንዲላቀቅ ያስችለዋል።")</f>
        <v>የማምለጫ ጥቅል ተዋጊው ከተሰካበት ቦታ እንዲላቀቅ ያስችለዋል።</v>
      </c>
    </row>
    <row r="85" ht="22.5" customHeight="1">
      <c r="A85" s="13">
        <v>84.0</v>
      </c>
      <c r="B85" s="14" t="s">
        <v>2666</v>
      </c>
      <c r="C85" s="14" t="s">
        <v>2667</v>
      </c>
      <c r="D85" s="14" t="s">
        <v>2668</v>
      </c>
      <c r="E85" s="14" t="s">
        <v>2669</v>
      </c>
      <c r="G85" s="8" t="str">
        <f>IFERROR(__xludf.DUMMYFUNCTION(" GOOGLETRANSLATE(A85, ""en"", ""am"")"),"84")</f>
        <v>84</v>
      </c>
      <c r="H85" s="8" t="str">
        <f>IFERROR(__xludf.DUMMYFUNCTION(" GOOGLETRANSLATE(B85, ""en"", ""am"")"),"በሲዳማ ሬስሊንግ ውስጥ ክሊች ምንድን ነው?")</f>
        <v>በሲዳማ ሬስሊንግ ውስጥ ክሊች ምንድን ነው?</v>
      </c>
      <c r="I85" s="8" t="str">
        <f>IFERROR(__xludf.DUMMYFUNCTION(" GOOGLETRANSLATE(C85, ""en"", ""am"")"),"ሀ. የእግር መቆለፊያ ለ. ሁለቱም ተዋጊዎች በትግል ውስጥ የተቆለፉበት የትግል ግጥሚያ ሐ. የመወርወር ዘዴ መ. የማድረስ መያዣ")</f>
        <v>ሀ. የእግር መቆለፊያ ለ. ሁለቱም ተዋጊዎች በትግል ውስጥ የተቆለፉበት የትግል ግጥሚያ ሐ. የመወርወር ዘዴ መ. የማድረስ መያዣ</v>
      </c>
      <c r="J85" s="8" t="str">
        <f>IFERROR(__xludf.DUMMYFUNCTION(" GOOGLETRANSLATE(D85, ""en"", ""am"")"),"ሁለቱም ተዋጊዎች በትግል ውስጥ የተቆለፉበት የትግል ግጥሚያ")</f>
        <v>ሁለቱም ተዋጊዎች በትግል ውስጥ የተቆለፉበት የትግል ግጥሚያ</v>
      </c>
      <c r="K85" s="8" t="str">
        <f>IFERROR(__xludf.DUMMYFUNCTION(" GOOGLETRANSLATE(E85, ""en"", ""am"")"),"ክሊች ማለት ሁለት ታጋዮች እርስ በእርሳቸው በጥብቅ ሲያዙ ብዙውን ጊዜ ለመጣል ሲዘጋጁ ነው።")</f>
        <v>ክሊች ማለት ሁለት ታጋዮች እርስ በእርሳቸው በጥብቅ ሲያዙ ብዙውን ጊዜ ለመጣል ሲዘጋጁ ነው።</v>
      </c>
    </row>
    <row r="86" ht="22.5" customHeight="1">
      <c r="A86" s="13">
        <v>85.0</v>
      </c>
      <c r="B86" s="14" t="s">
        <v>2670</v>
      </c>
      <c r="C86" s="14" t="s">
        <v>2671</v>
      </c>
      <c r="D86" s="14" t="s">
        <v>2574</v>
      </c>
      <c r="E86" s="14" t="s">
        <v>2672</v>
      </c>
      <c r="G86" s="8" t="str">
        <f>IFERROR(__xludf.DUMMYFUNCTION(" GOOGLETRANSLATE(A86, ""en"", ""am"")"),"85")</f>
        <v>85</v>
      </c>
      <c r="H86" s="8" t="str">
        <f>IFERROR(__xludf.DUMMYFUNCTION(" GOOGLETRANSLATE(B86, ""en"", ""am"")"),"ከእነዚህ ቴክኒኮች ውስጥ በሲዳማ ሬስሊንግ ህገወጥ ነው የሚባለው?")</f>
        <v>ከእነዚህ ቴክኒኮች ውስጥ በሲዳማ ሬስሊንግ ህገወጥ ነው የሚባለው?</v>
      </c>
      <c r="I86" s="8" t="str">
        <f>IFERROR(__xludf.DUMMYFUNCTION(" GOOGLETRANSLATE(C86, ""en"", ""am"")"),"ሀ. የጉልበት ጅራፍ ለ. ክርን መምታት ሐ. ቾክ ዲ. መወርወር")</f>
        <v>ሀ. የጉልበት ጅራፍ ለ. ክርን መምታት ሐ. ቾክ ዲ. መወርወር</v>
      </c>
      <c r="J86" s="8" t="str">
        <f>IFERROR(__xludf.DUMMYFUNCTION(" GOOGLETRANSLATE(D86, ""en"", ""am"")"),"ማነቆ")</f>
        <v>ማነቆ</v>
      </c>
      <c r="K86" s="8" t="str">
        <f>IFERROR(__xludf.DUMMYFUNCTION(" GOOGLETRANSLATE(E86, ""en"", ""am"")"),"ማነቅ አደገኛ እና ጉዳት ሊያስከትል ስለሚችል የተከለከለ ነው.")</f>
        <v>ማነቅ አደገኛ እና ጉዳት ሊያስከትል ስለሚችል የተከለከለ ነው.</v>
      </c>
    </row>
    <row r="87" ht="22.5" customHeight="1">
      <c r="A87" s="13">
        <v>86.0</v>
      </c>
      <c r="B87" s="14" t="s">
        <v>2673</v>
      </c>
      <c r="C87" s="14" t="s">
        <v>2674</v>
      </c>
      <c r="D87" s="14" t="s">
        <v>2675</v>
      </c>
      <c r="E87" s="14" t="s">
        <v>2676</v>
      </c>
      <c r="G87" s="8" t="str">
        <f>IFERROR(__xludf.DUMMYFUNCTION(" GOOGLETRANSLATE(A87, ""en"", ""am"")"),"86")</f>
        <v>86</v>
      </c>
      <c r="H87" s="8" t="str">
        <f>IFERROR(__xludf.DUMMYFUNCTION(" GOOGLETRANSLATE(B87, ""en"", ""am"")"),"በሲዳማ ሬስሊንግ ውርወራ እንዴት ይከናወናል?")</f>
        <v>በሲዳማ ሬስሊንግ ውርወራ እንዴት ይከናወናል?</v>
      </c>
      <c r="I87" s="8" t="str">
        <f>IFERROR(__xludf.DUMMYFUNCTION(" GOOGLETRANSLATE(C87, ""en"", ""am"")"),"ሀ. ተቃዋሚውን በማንሳት እና በማሽከርከር ለ. እግሩን በማጽዳት ሐ. የተቃዋሚውን እጆች በመቆለፍ መ. ተቃዋሚውን ከድንበር በማስወጣት")</f>
        <v>ሀ. ተቃዋሚውን በማንሳት እና በማሽከርከር ለ. እግሩን በማጽዳት ሐ. የተቃዋሚውን እጆች በመቆለፍ መ. ተቃዋሚውን ከድንበር በማስወጣት</v>
      </c>
      <c r="J87" s="8" t="str">
        <f>IFERROR(__xludf.DUMMYFUNCTION(" GOOGLETRANSLATE(D87, ""en"", ""am"")"),"ተቃዋሚውን በማንሳት እና በማሽከርከር")</f>
        <v>ተቃዋሚውን በማንሳት እና በማሽከርከር</v>
      </c>
      <c r="K87" s="8" t="str">
        <f>IFERROR(__xludf.DUMMYFUNCTION(" GOOGLETRANSLATE(E87, ""en"", ""am"")"),"መወርወሩ የሚከናወነው ተቃዋሚውን በተቆጣጠረ መንገድ በማንሳት እና በማሽከርከር ነው።")</f>
        <v>መወርወሩ የሚከናወነው ተቃዋሚውን በተቆጣጠረ መንገድ በማንሳት እና በማሽከርከር ነው።</v>
      </c>
    </row>
    <row r="88" ht="22.5" customHeight="1">
      <c r="A88" s="13">
        <v>87.0</v>
      </c>
      <c r="B88" s="14" t="s">
        <v>2677</v>
      </c>
      <c r="C88" s="14" t="s">
        <v>2678</v>
      </c>
      <c r="D88" s="14" t="s">
        <v>1302</v>
      </c>
      <c r="E88" s="14" t="s">
        <v>2679</v>
      </c>
      <c r="G88" s="8" t="str">
        <f>IFERROR(__xludf.DUMMYFUNCTION(" GOOGLETRANSLATE(A88, ""en"", ""am"")"),"87")</f>
        <v>87</v>
      </c>
      <c r="H88" s="8" t="str">
        <f>IFERROR(__xludf.DUMMYFUNCTION(" GOOGLETRANSLATE(B88, ""en"", ""am"")"),"በሲዳማ ትግል ሚዛኑን ማስጠበቅ ያለው ጠቀሜታ ምንድነው?")</f>
        <v>በሲዳማ ትግል ሚዛኑን ማስጠበቅ ያለው ጠቀሜታ ምንድነው?</v>
      </c>
      <c r="I88" s="8" t="str">
        <f>IFERROR(__xludf.DUMMYFUNCTION(" GOOGLETRANSLATE(C88, ""en"", ""am"")"),"ሀ. ውርወራዎችን ለመፈጸም ይረዳል. ተዋጊው ውድቀትን ያስወግዳል. ሐ. ግቤቶችን ለመከላከል ይረዳል D. ከላይ የተጠቀሱትን ሁሉ")</f>
        <v>ሀ. ውርወራዎችን ለመፈጸም ይረዳል. ተዋጊው ውድቀትን ያስወግዳል. ሐ. ግቤቶችን ለመከላከል ይረዳል D. ከላይ የተጠቀሱትን ሁሉ</v>
      </c>
      <c r="J88" s="8" t="str">
        <f>IFERROR(__xludf.DUMMYFUNCTION(" GOOGLETRANSLATE(D88, ""en"", ""am"")"),"ከላይ ያሉት ሁሉም")</f>
        <v>ከላይ ያሉት ሁሉም</v>
      </c>
      <c r="K88" s="8" t="str">
        <f>IFERROR(__xludf.DUMMYFUNCTION(" GOOGLETRANSLATE(E88, ""en"", ""am"")"),"በማጥቃት እና በመከላከያ መካከል ያለውን ሚዛን መጠበቅ በሲዳማ ሬስሊንግ ውስጥ ቁልፍ ጉዳይ ነው።")</f>
        <v>በማጥቃት እና በመከላከያ መካከል ያለውን ሚዛን መጠበቅ በሲዳማ ሬስሊንግ ውስጥ ቁልፍ ጉዳይ ነው።</v>
      </c>
    </row>
    <row r="89" ht="22.5" customHeight="1">
      <c r="A89" s="13">
        <v>88.0</v>
      </c>
      <c r="B89" s="14" t="s">
        <v>2680</v>
      </c>
      <c r="C89" s="14" t="s">
        <v>2681</v>
      </c>
      <c r="D89" s="14" t="s">
        <v>2682</v>
      </c>
      <c r="E89" s="14" t="s">
        <v>2683</v>
      </c>
      <c r="G89" s="8" t="str">
        <f>IFERROR(__xludf.DUMMYFUNCTION(" GOOGLETRANSLATE(A89, ""en"", ""am"")"),"88")</f>
        <v>88</v>
      </c>
      <c r="H89" s="8" t="str">
        <f>IFERROR(__xludf.DUMMYFUNCTION(" GOOGLETRANSLATE(B89, ""en"", ""am"")"),"በሲዳማ ሬስሊንግ ህገወጥ ድርጊት ቅጣቱ ምንድን ነው?")</f>
        <v>በሲዳማ ሬስሊንግ ህገወጥ ድርጊት ቅጣቱ ምንድን ነው?</v>
      </c>
      <c r="I89" s="8" t="str">
        <f>IFERROR(__xludf.DUMMYFUNCTION(" GOOGLETRANSLATE(C89, ""en"", ""am"")"),"ሀ. ተዋጊው ብቃት የለውም። ለ. ተቃዋሚው ነጥብ ያገኛል። ሐ. ግጥሚያው እንደገና ተጀምሯል። መ. ተቃዋሚው ማስጠንቀቂያ ያገኛል።")</f>
        <v>ሀ. ተዋጊው ብቃት የለውም። ለ. ተቃዋሚው ነጥብ ያገኛል። ሐ. ግጥሚያው እንደገና ተጀምሯል። መ. ተቃዋሚው ማስጠንቀቂያ ያገኛል።</v>
      </c>
      <c r="J89" s="8" t="str">
        <f>IFERROR(__xludf.DUMMYFUNCTION(" GOOGLETRANSLATE(D89, ""en"", ""am"")"),"ተዋጊው ብቃት የለውም።")</f>
        <v>ተዋጊው ብቃት የለውም።</v>
      </c>
      <c r="K89" s="8" t="str">
        <f>IFERROR(__xludf.DUMMYFUNCTION(" GOOGLETRANSLATE(E89, ""en"", ""am"")"),"ሕገ-ወጥ ድርጊቶች ብዙውን ጊዜ ውድቅ ወይም ነጥብ መቀነስ ያስከትላሉ.")</f>
        <v>ሕገ-ወጥ ድርጊቶች ብዙውን ጊዜ ውድቅ ወይም ነጥብ መቀነስ ያስከትላሉ.</v>
      </c>
    </row>
    <row r="90" ht="22.5" customHeight="1">
      <c r="A90" s="13">
        <v>89.0</v>
      </c>
      <c r="B90" s="14" t="s">
        <v>2684</v>
      </c>
      <c r="C90" s="14" t="s">
        <v>2685</v>
      </c>
      <c r="D90" s="14" t="s">
        <v>2686</v>
      </c>
      <c r="E90" s="14" t="s">
        <v>2687</v>
      </c>
      <c r="G90" s="8" t="str">
        <f>IFERROR(__xludf.DUMMYFUNCTION(" GOOGLETRANSLATE(A90, ""en"", ""am"")"),"89")</f>
        <v>89</v>
      </c>
      <c r="H90" s="8" t="str">
        <f>IFERROR(__xludf.DUMMYFUNCTION(" GOOGLETRANSLATE(B90, ""en"", ""am"")"),"በሲዳማ ሬስሊንግ ውስጥ ቆጣሪ ምንድነው?")</f>
        <v>በሲዳማ ሬስሊንግ ውስጥ ቆጣሪ ምንድነው?</v>
      </c>
      <c r="I90" s="8" t="str">
        <f>IFERROR(__xludf.DUMMYFUNCTION(" GOOGLETRANSLATE(C90, ""en"", ""am"")"),"ሀ. ሰንጠረዡን ለማዞር የሚደረግ የመከላከያ እርምጃ ለ. የማድረስ አይነት C. የመገጣጠም አይነት D. ተቃዋሚውን ለማሸነፍ መንገድ")</f>
        <v>ሀ. ሰንጠረዡን ለማዞር የሚደረግ የመከላከያ እርምጃ ለ. የማድረስ አይነት C. የመገጣጠም አይነት D. ተቃዋሚውን ለማሸነፍ መንገድ</v>
      </c>
      <c r="J90" s="8" t="str">
        <f>IFERROR(__xludf.DUMMYFUNCTION(" GOOGLETRANSLATE(D90, ""en"", ""am"")"),"ጠረጴዛዎችን ለማዞር የመከላከያ እርምጃ")</f>
        <v>ጠረጴዛዎችን ለማዞር የመከላከያ እርምጃ</v>
      </c>
      <c r="K90" s="8" t="str">
        <f>IFERROR(__xludf.DUMMYFUNCTION(" GOOGLETRANSLATE(E90, ""en"", ""am"")"),"ቆጣሪዎች ጠረጴዛውን የሚያዞሩ እና ለተጋጣሚው አፀያፊ ጥቅም የሚሰጡ የመከላከያ እንቅስቃሴዎች ናቸው።")</f>
        <v>ቆጣሪዎች ጠረጴዛውን የሚያዞሩ እና ለተጋጣሚው አፀያፊ ጥቅም የሚሰጡ የመከላከያ እንቅስቃሴዎች ናቸው።</v>
      </c>
    </row>
    <row r="91" ht="22.5" customHeight="1">
      <c r="A91" s="13">
        <v>90.0</v>
      </c>
      <c r="B91" s="14" t="s">
        <v>2688</v>
      </c>
      <c r="C91" s="14" t="s">
        <v>2689</v>
      </c>
      <c r="D91" s="14" t="s">
        <v>2690</v>
      </c>
      <c r="E91" s="14" t="s">
        <v>2691</v>
      </c>
      <c r="G91" s="8" t="str">
        <f>IFERROR(__xludf.DUMMYFUNCTION(" GOOGLETRANSLATE(A91, ""en"", ""am"")"),"90")</f>
        <v>90</v>
      </c>
      <c r="H91" s="8" t="str">
        <f>IFERROR(__xludf.DUMMYFUNCTION(" GOOGLETRANSLATE(B91, ""en"", ""am"")"),"የተቃዋሚን ጭንቅላት ለመቆጣጠር ምን ዓይነት ዘዴ በብዛት ጥቅም ላይ ይውላል?")</f>
        <v>የተቃዋሚን ጭንቅላት ለመቆጣጠር ምን ዓይነት ዘዴ በብዛት ጥቅም ላይ ይውላል?</v>
      </c>
      <c r="I91" s="8" t="str">
        <f>IFERROR(__xludf.DUMMYFUNCTION(" GOOGLETRANSLATE(C91, ""en"", ""am"")"),"ሀ. የጭንቅላት መቆለፊያ B. Armbar C. የእግር መቆለፊያ D. የእጅ አንጓ መቆለፊያ")</f>
        <v>ሀ. የጭንቅላት መቆለፊያ B. Armbar C. የእግር መቆለፊያ D. የእጅ አንጓ መቆለፊያ</v>
      </c>
      <c r="J91" s="8" t="str">
        <f>IFERROR(__xludf.DUMMYFUNCTION(" GOOGLETRANSLATE(D91, ""en"", ""am"")"),"የጭንቅላት መቆለፊያ")</f>
        <v>የጭንቅላት መቆለፊያ</v>
      </c>
      <c r="K91" s="8" t="str">
        <f>IFERROR(__xludf.DUMMYFUNCTION(" GOOGLETRANSLATE(E91, ""en"", ""am"")"),"የራስ መቆለፍ የተቃዋሚውን ጭንቅላት እና አንገት ለመቆጣጠር በተለምዶ ጥቅም ላይ ይውላል።")</f>
        <v>የራስ መቆለፍ የተቃዋሚውን ጭንቅላት እና አንገት ለመቆጣጠር በተለምዶ ጥቅም ላይ ይውላል።</v>
      </c>
    </row>
    <row r="92" ht="22.5" customHeight="1">
      <c r="A92" s="13">
        <v>91.0</v>
      </c>
      <c r="B92" s="14" t="s">
        <v>2692</v>
      </c>
      <c r="C92" s="14" t="s">
        <v>2693</v>
      </c>
      <c r="D92" s="14" t="s">
        <v>2694</v>
      </c>
      <c r="E92" s="14" t="s">
        <v>2695</v>
      </c>
      <c r="G92" s="8" t="str">
        <f>IFERROR(__xludf.DUMMYFUNCTION(" GOOGLETRANSLATE(A92, ""en"", ""am"")"),"91")</f>
        <v>91</v>
      </c>
      <c r="H92" s="8" t="str">
        <f>IFERROR(__xludf.DUMMYFUNCTION(" GOOGLETRANSLATE(B92, ""en"", ""am"")"),"በሲዳማ ሬስሊንግ ላይ የበላይነት የሚባለው ምንድን ነው?")</f>
        <v>በሲዳማ ሬስሊንግ ላይ የበላይነት የሚባለው ምንድን ነው?</v>
      </c>
      <c r="I92" s="8" t="str">
        <f>IFERROR(__xludf.DUMMYFUNCTION(" GOOGLETRANSLATE(C92, ""en"", ""am"")"),"ሀ. ከፍተኛ ቦታ B. የታችኛው አቀማመጥ ሐ. ገለልተኛ አቀማመጥ D. የጎን መቆጣጠሪያ")</f>
        <v>ሀ. ከፍተኛ ቦታ B. የታችኛው አቀማመጥ ሐ. ገለልተኛ አቀማመጥ D. የጎን መቆጣጠሪያ</v>
      </c>
      <c r="J92" s="8" t="str">
        <f>IFERROR(__xludf.DUMMYFUNCTION(" GOOGLETRANSLATE(D92, ""en"", ""am"")"),"ከፍተኛ ቦታ")</f>
        <v>ከፍተኛ ቦታ</v>
      </c>
      <c r="K92" s="8" t="str">
        <f>IFERROR(__xludf.DUMMYFUNCTION(" GOOGLETRANSLATE(E92, ""en"", ""am"")"),"የላይኛው አቀማመጥ ተፎካካሪውን እንዲቆጣጠር እና ውርወራዎችን ወይም ፒኖችን እንዲሰራ ያስችለዋል.")</f>
        <v>የላይኛው አቀማመጥ ተፎካካሪውን እንዲቆጣጠር እና ውርወራዎችን ወይም ፒኖችን እንዲሰራ ያስችለዋል.</v>
      </c>
    </row>
    <row r="93" ht="22.5" customHeight="1">
      <c r="A93" s="13">
        <v>92.0</v>
      </c>
      <c r="B93" s="14" t="s">
        <v>2696</v>
      </c>
      <c r="C93" s="14" t="s">
        <v>2697</v>
      </c>
      <c r="D93" s="14" t="s">
        <v>1302</v>
      </c>
      <c r="E93" s="14" t="s">
        <v>2698</v>
      </c>
      <c r="G93" s="8" t="str">
        <f>IFERROR(__xludf.DUMMYFUNCTION(" GOOGLETRANSLATE(A93, ""en"", ""am"")"),"92")</f>
        <v>92</v>
      </c>
      <c r="H93" s="8" t="str">
        <f>IFERROR(__xludf.DUMMYFUNCTION(" GOOGLETRANSLATE(B93, ""en"", ""am"")"),"በሲዳማ ትግል የተለመደ ስህተት ምንድነው?")</f>
        <v>በሲዳማ ትግል የተለመደ ስህተት ምንድነው?</v>
      </c>
      <c r="I93" s="8" t="str">
        <f>IFERROR(__xludf.DUMMYFUNCTION(" GOOGLETRANSLATE(C93, ""en"", ""am"")"),"ሀ. የተፎካካሪውን ጥንካሬ ማቃለል ለ. በመከላከያ ላይ ብቻ ማተኮር ሐ. የተቃዋሚውን መያዣ ችላ ማለት መ. ከላይ ያሉት ሁሉም")</f>
        <v>ሀ. የተፎካካሪውን ጥንካሬ ማቃለል ለ. በመከላከያ ላይ ብቻ ማተኮር ሐ. የተቃዋሚውን መያዣ ችላ ማለት መ. ከላይ ያሉት ሁሉም</v>
      </c>
      <c r="J93" s="8" t="str">
        <f>IFERROR(__xludf.DUMMYFUNCTION(" GOOGLETRANSLATE(D93, ""en"", ""am"")"),"ከላይ ያሉት ሁሉም")</f>
        <v>ከላይ ያሉት ሁሉም</v>
      </c>
      <c r="K93" s="8" t="str">
        <f>IFERROR(__xludf.DUMMYFUNCTION(" GOOGLETRANSLATE(E93, ""en"", ""am"")"),"ስህተቶቹ በተቃዋሚው እንቅስቃሴ ላይ አለማተኮር፣መያዝ ወይም በመከላከል አለመተማመንን ያካትታሉ።")</f>
        <v>ስህተቶቹ በተቃዋሚው እንቅስቃሴ ላይ አለማተኮር፣መያዝ ወይም በመከላከል አለመተማመንን ያካትታሉ።</v>
      </c>
    </row>
    <row r="94" ht="22.5" customHeight="1">
      <c r="A94" s="13">
        <v>93.0</v>
      </c>
      <c r="B94" s="14" t="s">
        <v>2699</v>
      </c>
      <c r="C94" s="14" t="s">
        <v>2700</v>
      </c>
      <c r="D94" s="14" t="s">
        <v>2701</v>
      </c>
      <c r="E94" s="14" t="s">
        <v>2702</v>
      </c>
      <c r="G94" s="8" t="str">
        <f>IFERROR(__xludf.DUMMYFUNCTION(" GOOGLETRANSLATE(A94, ""en"", ""am"")"),"93")</f>
        <v>93</v>
      </c>
      <c r="H94" s="8" t="str">
        <f>IFERROR(__xludf.DUMMYFUNCTION(" GOOGLETRANSLATE(B94, ""en"", ""am"")"),"የሲዳማ ታጋይ በውርወራ ወቅት ምን አይነት ተግባራትን ማስወገድ ይኖርበታል?")</f>
        <v>የሲዳማ ታጋይ በውርወራ ወቅት ምን አይነት ተግባራትን ማስወገድ ይኖርበታል?</v>
      </c>
      <c r="I94" s="8" t="str">
        <f>IFERROR(__xludf.DUMMYFUNCTION(" GOOGLETRANSLATE(C94, ""en"", ""am"")"),"ሀ. ማንሳት ለ. ከመጠን በላይ መሰጠት C. መምታት D. ተሰኪ")</f>
        <v>ሀ. ማንሳት ለ. ከመጠን በላይ መሰጠት C. መምታት D. ተሰኪ</v>
      </c>
      <c r="J94" s="8" t="str">
        <f>IFERROR(__xludf.DUMMYFUNCTION(" GOOGLETRANSLATE(D94, ""en"", ""am"")"),"ከመጠን በላይ መሰጠት")</f>
        <v>ከመጠን በላይ መሰጠት</v>
      </c>
      <c r="K94" s="8" t="str">
        <f>IFERROR(__xludf.DUMMYFUNCTION(" GOOGLETRANSLATE(E94, ""en"", ""am"")"),"ከመጠን በላይ መወርወር ቁርጠኝነትን ወደ ማጣት ያመራል እና ተቃዋሚውን ለአደጋ ያጋልጣል።")</f>
        <v>ከመጠን በላይ መወርወር ቁርጠኝነትን ወደ ማጣት ያመራል እና ተቃዋሚውን ለአደጋ ያጋልጣል።</v>
      </c>
    </row>
    <row r="95" ht="22.5" customHeight="1">
      <c r="A95" s="13">
        <v>94.0</v>
      </c>
      <c r="B95" s="14" t="s">
        <v>2703</v>
      </c>
      <c r="C95" s="14" t="s">
        <v>2704</v>
      </c>
      <c r="D95" s="14" t="s">
        <v>2705</v>
      </c>
      <c r="E95" s="14" t="s">
        <v>2706</v>
      </c>
      <c r="G95" s="8" t="str">
        <f>IFERROR(__xludf.DUMMYFUNCTION(" GOOGLETRANSLATE(A95, ""en"", ""am"")"),"94")</f>
        <v>94</v>
      </c>
      <c r="H95" s="8" t="str">
        <f>IFERROR(__xludf.DUMMYFUNCTION(" GOOGLETRANSLATE(B95, ""en"", ""am"")"),"በሲዳማ ትግል ጥሩ ስልት ምንድነው?")</f>
        <v>በሲዳማ ትግል ጥሩ ስልት ምንድነው?</v>
      </c>
      <c r="I95" s="8" t="str">
        <f>IFERROR(__xludf.DUMMYFUNCTION(" GOOGLETRANSLATE(C95, ""en"", ""am"")"),"ሀ. በኃይል ማጥቃት ለ. የተቃዋሚውን እንቅስቃሴ ተቃወሙ። ሐ. በመከላከል ላይ ብቻ አተኩር። መ. ለመቆጣጠር ሃይልን ይጠቀሙ።")</f>
        <v>ሀ. በኃይል ማጥቃት ለ. የተቃዋሚውን እንቅስቃሴ ተቃወሙ። ሐ. በመከላከል ላይ ብቻ አተኩር። መ. ለመቆጣጠር ሃይልን ይጠቀሙ።</v>
      </c>
      <c r="J95" s="8" t="str">
        <f>IFERROR(__xludf.DUMMYFUNCTION(" GOOGLETRANSLATE(D95, ""en"", ""am"")"),"የተቃዋሚውን እንቅስቃሴ ተቃወሙ።")</f>
        <v>የተቃዋሚውን እንቅስቃሴ ተቃወሙ።</v>
      </c>
      <c r="K95" s="8" t="str">
        <f>IFERROR(__xludf.DUMMYFUNCTION(" GOOGLETRANSLATE(E95, ""en"", ""am"")"),"የተቃዋሚውን እንቅስቃሴ መቃወም ተጋጣሚውን ከመከላከል ወደ ማጥቃት እንዲሸጋገር ያስችለዋል።")</f>
        <v>የተቃዋሚውን እንቅስቃሴ መቃወም ተጋጣሚውን ከመከላከል ወደ ማጥቃት እንዲሸጋገር ያስችለዋል።</v>
      </c>
    </row>
    <row r="96" ht="22.5" customHeight="1">
      <c r="A96" s="13">
        <v>95.0</v>
      </c>
      <c r="B96" s="14" t="s">
        <v>2707</v>
      </c>
      <c r="C96" s="14" t="s">
        <v>2708</v>
      </c>
      <c r="D96" s="14" t="s">
        <v>2521</v>
      </c>
      <c r="E96" s="14" t="s">
        <v>2709</v>
      </c>
      <c r="G96" s="8" t="str">
        <f>IFERROR(__xludf.DUMMYFUNCTION(" GOOGLETRANSLATE(A96, ""en"", ""am"")"),"95")</f>
        <v>95</v>
      </c>
      <c r="H96" s="8" t="str">
        <f>IFERROR(__xludf.DUMMYFUNCTION(" GOOGLETRANSLATE(B96, ""en"", ""am"")"),"ከእነዚህ ውስጥ የትኛው መሰረታዊ የሲዳማ ትግል ስልት ነው?")</f>
        <v>ከእነዚህ ውስጥ የትኛው መሰረታዊ የሲዳማ ትግል ስልት ነው?</v>
      </c>
      <c r="I96" s="8" t="str">
        <f>IFERROR(__xludf.DUMMYFUNCTION(" GOOGLETRANSLATE(C96, ""en"", ""am"")"),"A. Suplex B. Pin C. Escape pack D. ማዕበል መንቀጥቀጥ")</f>
        <v>A. Suplex B. Pin C. Escape pack D. ማዕበል መንቀጥቀጥ</v>
      </c>
      <c r="J96" s="8" t="str">
        <f>IFERROR(__xludf.DUMMYFUNCTION(" GOOGLETRANSLATE(D96, ""en"", ""am"")"),"የማምለጫ ጥቅል")</f>
        <v>የማምለጫ ጥቅል</v>
      </c>
      <c r="K96" s="8" t="str">
        <f>IFERROR(__xludf.DUMMYFUNCTION(" GOOGLETRANSLATE(E96, ""en"", ""am"")"),"Escape roll ከመሰካት ወይም ከመቆጣጠር ለማምለጥ የሚያገለግል መሰረታዊ ዘዴ ነው።")</f>
        <v>Escape roll ከመሰካት ወይም ከመቆጣጠር ለማምለጥ የሚያገለግል መሰረታዊ ዘዴ ነው።</v>
      </c>
    </row>
    <row r="97" ht="22.5" customHeight="1">
      <c r="A97" s="13">
        <v>96.0</v>
      </c>
      <c r="B97" s="14" t="s">
        <v>2710</v>
      </c>
      <c r="C97" s="14" t="s">
        <v>2711</v>
      </c>
      <c r="D97" s="14" t="s">
        <v>2712</v>
      </c>
      <c r="E97" s="14" t="s">
        <v>2713</v>
      </c>
      <c r="G97" s="8" t="str">
        <f>IFERROR(__xludf.DUMMYFUNCTION(" GOOGLETRANSLATE(A97, ""en"", ""am"")"),"96")</f>
        <v>96</v>
      </c>
      <c r="H97" s="8" t="str">
        <f>IFERROR(__xludf.DUMMYFUNCTION(" GOOGLETRANSLATE(B97, ""en"", ""am"")"),"በሲዳማ ሬስሊንግ ላይ ማውረድ ለመጀመር ምርጡ መንገድ ምንድነው?")</f>
        <v>በሲዳማ ሬስሊንግ ላይ ማውረድ ለመጀመር ምርጡ መንገድ ምንድነው?</v>
      </c>
      <c r="I97" s="8" t="str">
        <f>IFERROR(__xludf.DUMMYFUNCTION(" GOOGLETRANSLATE(C97, ""en"", ""am"")"),"ሀ. ተቃዋሚውን በማስወገድ ለ. እግራቸውን በማጽዳት ሐ. ፅናታቸውን በማስረዘም መ. በመምታት")</f>
        <v>ሀ. ተቃዋሚውን በማስወገድ ለ. እግራቸውን በማጽዳት ሐ. ፅናታቸውን በማስረዘም መ. በመምታት</v>
      </c>
      <c r="J97" s="8" t="str">
        <f>IFERROR(__xludf.DUMMYFUNCTION(" GOOGLETRANSLATE(D97, ""en"", ""am"")"),"እግሮቻቸውን በማጽዳት")</f>
        <v>እግሮቻቸውን በማጽዳት</v>
      </c>
      <c r="K97" s="8" t="str">
        <f>IFERROR(__xludf.DUMMYFUNCTION(" GOOGLETRANSLATE(E97, ""en"", ""am"")"),"ተቃዋሚውን ግራ በማጋባት ማውረዱን ለመጀመር ብዙውን ጊዜ የእግር መጥረግ በጣም ውጤታማው መንገድ ነው።")</f>
        <v>ተቃዋሚውን ግራ በማጋባት ማውረዱን ለመጀመር ብዙውን ጊዜ የእግር መጥረግ በጣም ውጤታማው መንገድ ነው።</v>
      </c>
    </row>
    <row r="98" ht="22.5" customHeight="1">
      <c r="A98" s="13">
        <v>97.0</v>
      </c>
      <c r="B98" s="14" t="s">
        <v>2714</v>
      </c>
      <c r="C98" s="14" t="s">
        <v>2715</v>
      </c>
      <c r="D98" s="14" t="s">
        <v>2716</v>
      </c>
      <c r="E98" s="14" t="s">
        <v>2717</v>
      </c>
      <c r="G98" s="8" t="str">
        <f>IFERROR(__xludf.DUMMYFUNCTION(" GOOGLETRANSLATE(A98, ""en"", ""am"")"),"97")</f>
        <v>97</v>
      </c>
      <c r="H98" s="8" t="str">
        <f>IFERROR(__xludf.DUMMYFUNCTION(" GOOGLETRANSLATE(B98, ""en"", ""am"")"),"በሲዳማ ትግል ውስጥ ምን ተቀየረ?")</f>
        <v>በሲዳማ ትግል ውስጥ ምን ተቀየረ?</v>
      </c>
      <c r="I98" s="8" t="str">
        <f>IFERROR(__xludf.DUMMYFUNCTION(" GOOGLETRANSLATE(C98, ""en"", ""am"")"),"ሀ. ከመከላከያ ወደ ማጥቃት መቀየር ለ. የማድረስ አይነት C. ህገወጥ ድርጊት መ. የማውረድ አይነት")</f>
        <v>ሀ. ከመከላከያ ወደ ማጥቃት መቀየር ለ. የማድረስ አይነት C. ህገወጥ ድርጊት መ. የማውረድ አይነት</v>
      </c>
      <c r="J98" s="8" t="str">
        <f>IFERROR(__xludf.DUMMYFUNCTION(" GOOGLETRANSLATE(D98, ""en"", ""am"")"),"ከመከላከል ወደ ማጥቃት መቀየር")</f>
        <v>ከመከላከል ወደ ማጥቃት መቀየር</v>
      </c>
      <c r="K98" s="8" t="str">
        <f>IFERROR(__xludf.DUMMYFUNCTION(" GOOGLETRANSLATE(E98, ""en"", ""am"")"),"ተገላቢጦሽ ማለት አንድ ታጋይ ከመከላከያ ቦታ ወደ አፀያፊነት ሲቀየር ነው።")</f>
        <v>ተገላቢጦሽ ማለት አንድ ታጋይ ከመከላከያ ቦታ ወደ አፀያፊነት ሲቀየር ነው።</v>
      </c>
    </row>
    <row r="99" ht="22.5" customHeight="1">
      <c r="A99" s="13">
        <v>98.0</v>
      </c>
      <c r="B99" s="14" t="s">
        <v>2718</v>
      </c>
      <c r="C99" s="14" t="s">
        <v>2719</v>
      </c>
      <c r="D99" s="14" t="s">
        <v>1425</v>
      </c>
      <c r="E99" s="14" t="s">
        <v>2720</v>
      </c>
      <c r="G99" s="8" t="str">
        <f>IFERROR(__xludf.DUMMYFUNCTION(" GOOGLETRANSLATE(A99, ""en"", ""am"")"),"98")</f>
        <v>98</v>
      </c>
      <c r="H99" s="8" t="str">
        <f>IFERROR(__xludf.DUMMYFUNCTION(" GOOGLETRANSLATE(B99, ""en"", ""am"")"),"የሲዳማ ታጋይ በተለምዶ ጨዋታን እንዴት ያበቃል?")</f>
        <v>የሲዳማ ታጋይ በተለምዶ ጨዋታን እንዴት ያበቃል?</v>
      </c>
      <c r="I99" s="8" t="str">
        <f>IFERROR(__xludf.DUMMYFUNCTION(" GOOGLETRANSLATE(C99, ""en"", ""am"")"),"ሀ. ተቃዋሚውን በመሰካት ለ. ተቃዋሚውን በማንኳኳት ሐ. ክሊኒኩን ማምለጥ መ. ተቃዋሚውን አሳልፎ በመስጠት")</f>
        <v>ሀ. ተቃዋሚውን በመሰካት ለ. ተቃዋሚውን በማንኳኳት ሐ. ክሊኒኩን ማምለጥ መ. ተቃዋሚውን አሳልፎ በመስጠት</v>
      </c>
      <c r="J99" s="8" t="str">
        <f>IFERROR(__xludf.DUMMYFUNCTION(" GOOGLETRANSLATE(D99, ""en"", ""am"")"),"ተቃዋሚውን በማያያዝ")</f>
        <v>ተቃዋሚውን በማያያዝ</v>
      </c>
      <c r="K99" s="8" t="str">
        <f>IFERROR(__xludf.DUMMYFUNCTION(" GOOGLETRANSLATE(E99, ""en"", ""am"")"),"ግጥሚያው በተለምዶ የሚጠናቀቀው በተጋጣሚው ትከሻዎች ላይ ለተወሰነ ጊዜ በተሰካ ነው።")</f>
        <v>ግጥሚያው በተለምዶ የሚጠናቀቀው በተጋጣሚው ትከሻዎች ላይ ለተወሰነ ጊዜ በተሰካ ነው።</v>
      </c>
    </row>
    <row r="100" ht="22.5" customHeight="1">
      <c r="A100" s="13">
        <v>99.0</v>
      </c>
      <c r="B100" s="14" t="s">
        <v>2721</v>
      </c>
      <c r="C100" s="14" t="s">
        <v>2722</v>
      </c>
      <c r="D100" s="14" t="s">
        <v>2723</v>
      </c>
      <c r="E100" s="14" t="s">
        <v>2724</v>
      </c>
      <c r="G100" s="8" t="str">
        <f>IFERROR(__xludf.DUMMYFUNCTION(" GOOGLETRANSLATE(A100, ""en"", ""am"")"),"99")</f>
        <v>99</v>
      </c>
      <c r="H100" s="8" t="str">
        <f>IFERROR(__xludf.DUMMYFUNCTION(" GOOGLETRANSLATE(B100, ""en"", ""am"")"),"የሲዳማ ቡና አሸናፊነት ቁልፍ ምንድነው?")</f>
        <v>የሲዳማ ቡና አሸናፊነት ቁልፍ ምንድነው?</v>
      </c>
      <c r="I100" s="8" t="str">
        <f>IFERROR(__xludf.DUMMYFUNCTION(" GOOGLETRANSLATE(C100, ""en"", ""am"")"),"ሀ. የተቃዋሚውን ጥንካሬ ለማዳከም. ለ. ፍጹም የሆነ ውርወራ ማስፈጸም ሐ. የተቃዋሚውን መያዣ መስበር መ. የተቃዋሚዎችን እንቅስቃሴ መቆጣጠር")</f>
        <v>ሀ. የተቃዋሚውን ጥንካሬ ለማዳከም. ለ. ፍጹም የሆነ ውርወራ ማስፈጸም ሐ. የተቃዋሚውን መያዣ መስበር መ. የተቃዋሚዎችን እንቅስቃሴ መቆጣጠር</v>
      </c>
      <c r="J100" s="8" t="str">
        <f>IFERROR(__xludf.DUMMYFUNCTION(" GOOGLETRANSLATE(D100, ""en"", ""am"")"),"የተቃዋሚውን እንቅስቃሴ መቆጣጠር")</f>
        <v>የተቃዋሚውን እንቅስቃሴ መቆጣጠር</v>
      </c>
      <c r="K100" s="8" t="str">
        <f>IFERROR(__xludf.DUMMYFUNCTION(" GOOGLETRANSLATE(E100, ""en"", ""am"")"),"የተቃዋሚውን እንቅስቃሴ መቆጣጠር ተዋጊው ፍጥነቱን እንዲያዘጋጅ እና ጨዋታውን እንዲያሸንፍ ያስችለዋል።")</f>
        <v>የተቃዋሚውን እንቅስቃሴ መቆጣጠር ተዋጊው ፍጥነቱን እንዲያዘጋጅ እና ጨዋታውን እንዲያሸንፍ ያስችለዋል።</v>
      </c>
    </row>
    <row r="101" ht="22.5" customHeight="1">
      <c r="A101" s="13">
        <v>100.0</v>
      </c>
      <c r="B101" s="14" t="s">
        <v>2725</v>
      </c>
      <c r="C101" s="14" t="s">
        <v>2726</v>
      </c>
      <c r="D101" s="14" t="s">
        <v>2727</v>
      </c>
      <c r="E101" s="14" t="s">
        <v>2728</v>
      </c>
      <c r="G101" s="8" t="str">
        <f>IFERROR(__xludf.DUMMYFUNCTION(" GOOGLETRANSLATE(A101, ""en"", ""am"")"),"100")</f>
        <v>100</v>
      </c>
      <c r="H101" s="8" t="str">
        <f>IFERROR(__xludf.DUMMYFUNCTION(" GOOGLETRANSLATE(B101, ""en"", ""am"")"),"የተቃዋሚውን እጆች ለመቆጣጠር ብዙውን ጊዜ የትኛው መያዣ ጥቅም ላይ ይውላል?")</f>
        <v>የተቃዋሚውን እጆች ለመቆጣጠር ብዙውን ጊዜ የትኛው መያዣ ጥቅም ላይ ይውላል?</v>
      </c>
      <c r="I101" s="8" t="str">
        <f>IFERROR(__xludf.DUMMYFUNCTION(" GOOGLETRANSLATE(C101, ""en"", ""am"")"),"ሀ. የአንገት ማሰሪያ ለ. የልብስ መደርደሪያ ሐ. የእጅ አንጓ D. የእግር መያዣ")</f>
        <v>ሀ. የአንገት ማሰሪያ ለ. የልብስ መደርደሪያ ሐ. የእጅ አንጓ D. የእግር መያዣ</v>
      </c>
      <c r="J101" s="8" t="str">
        <f>IFERROR(__xludf.DUMMYFUNCTION(" GOOGLETRANSLATE(D101, ""en"", ""am"")"),"የእጅ አንጓ")</f>
        <v>የእጅ አንጓ</v>
      </c>
      <c r="K101" s="8" t="str">
        <f>IFERROR(__xludf.DUMMYFUNCTION(" GOOGLETRANSLATE(E101, ""en"", ""am"")"),"የእጅ አንጓ መያዝ የተቃዋሚውን እጆች ለመቆጣጠር ይረዳል እና ማምለጫ ወይም ቆጣሪዎችን ይከላከላል።")</f>
        <v>የእጅ አንጓ መያዝ የተቃዋሚውን እጆች ለመቆጣጠር ይረዳል እና ማምለጫ ወይም ቆጣሪዎችን ይከላከላል።</v>
      </c>
    </row>
    <row r="102" ht="22.5" customHeight="1">
      <c r="A102" s="13">
        <v>101.0</v>
      </c>
      <c r="B102" s="14" t="s">
        <v>2729</v>
      </c>
      <c r="C102" s="14" t="s">
        <v>2730</v>
      </c>
      <c r="D102" s="14" t="s">
        <v>2731</v>
      </c>
      <c r="E102" s="14" t="s">
        <v>2732</v>
      </c>
      <c r="G102" s="8" t="str">
        <f>IFERROR(__xludf.DUMMYFUNCTION(" GOOGLETRANSLATE(A102, ""en"", ""am"")"),"101")</f>
        <v>101</v>
      </c>
      <c r="H102" s="8" t="str">
        <f>IFERROR(__xludf.DUMMYFUNCTION(" GOOGLETRANSLATE(B102, ""en"", ""am"")"),"በሲዳማ ሬስሊንግ የሰውነት ማጎልበት ዓላማው ምንድን ነው?")</f>
        <v>በሲዳማ ሬስሊንግ የሰውነት ማጎልበት ዓላማው ምንድን ነው?</v>
      </c>
      <c r="I102" s="8" t="str">
        <f>IFERROR(__xludf.DUMMYFUNCTION(" GOOGLETRANSLATE(C102, ""en"", ""am"")"),"ሀ. ተቀናቃኙን ለመጉዳት ለ. የተቃዋሚውን እንቅስቃሴ ለመቆጣጠር ሐ. ተቀናቃኙን ከድንበር ማስወጣት መ. የባላጋራውን መያዣ መስበር")</f>
        <v>ሀ. ተቀናቃኙን ለመጉዳት ለ. የተቃዋሚውን እንቅስቃሴ ለመቆጣጠር ሐ. ተቀናቃኙን ከድንበር ማስወጣት መ. የባላጋራውን መያዣ መስበር</v>
      </c>
      <c r="J102" s="8" t="str">
        <f>IFERROR(__xludf.DUMMYFUNCTION(" GOOGLETRANSLATE(D102, ""en"", ""am"")"),"የተቃዋሚውን እንቅስቃሴ ለመቆጣጠር")</f>
        <v>የተቃዋሚውን እንቅስቃሴ ለመቆጣጠር</v>
      </c>
      <c r="K102" s="8" t="str">
        <f>IFERROR(__xludf.DUMMYFUNCTION(" GOOGLETRANSLATE(E102, ""en"", ""am"")"),"የሰውነት መቆንጠጥ የተቃዋሚን ሚዛን ለመስበር እና እንቅስቃሴያቸውን ለመቆጣጠር ያገለግላሉ።")</f>
        <v>የሰውነት መቆንጠጥ የተቃዋሚን ሚዛን ለመስበር እና እንቅስቃሴያቸውን ለመቆጣጠር ያገለግላሉ።</v>
      </c>
    </row>
    <row r="103" ht="22.5" customHeight="1">
      <c r="A103" s="13">
        <v>102.0</v>
      </c>
      <c r="B103" s="14" t="s">
        <v>2733</v>
      </c>
      <c r="C103" s="14" t="s">
        <v>2734</v>
      </c>
      <c r="D103" s="14" t="s">
        <v>2735</v>
      </c>
      <c r="E103" s="14" t="s">
        <v>2736</v>
      </c>
      <c r="G103" s="8" t="str">
        <f>IFERROR(__xludf.DUMMYFUNCTION(" GOOGLETRANSLATE(A103, ""en"", ""am"")"),"102")</f>
        <v>102</v>
      </c>
      <c r="H103" s="8" t="str">
        <f>IFERROR(__xludf.DUMMYFUNCTION(" GOOGLETRANSLATE(B103, ""en"", ""am"")"),"የሲዳማን ትግል ለመማር የመጀመሪያው እርምጃ ምንድን ነው?")</f>
        <v>የሲዳማን ትግል ለመማር የመጀመሪያው እርምጃ ምንድን ነው?</v>
      </c>
      <c r="I103" s="8" t="str">
        <f>IFERROR(__xludf.DUMMYFUNCTION(" GOOGLETRANSLATE(C103, ""en"", ""am"")"),"ሀ. ማስተርስ አድማ ለ. መሰረታዊ ውርወራዎችን መማር ሐ. የግንባታ ጥንካሬ መ. ደንቦቹን መረዳት")</f>
        <v>ሀ. ማስተርስ አድማ ለ. መሰረታዊ ውርወራዎችን መማር ሐ. የግንባታ ጥንካሬ መ. ደንቦቹን መረዳት</v>
      </c>
      <c r="J103" s="8" t="str">
        <f>IFERROR(__xludf.DUMMYFUNCTION(" GOOGLETRANSLATE(D103, ""en"", ""am"")"),"መሰረታዊ ውርወራዎችን መማር")</f>
        <v>መሰረታዊ ውርወራዎችን መማር</v>
      </c>
      <c r="K103" s="8" t="str">
        <f>IFERROR(__xludf.DUMMYFUNCTION(" GOOGLETRANSLATE(E103, ""en"", ""am"")"),"መሰረታዊ ውርወራዎችን መምራት የሲዳማ ሬስሊንግ መሰረት ነው።")</f>
        <v>መሰረታዊ ውርወራዎችን መምራት የሲዳማ ሬስሊንግ መሰረት ነው።</v>
      </c>
    </row>
    <row r="104" ht="22.5" customHeight="1">
      <c r="A104" s="13">
        <v>103.0</v>
      </c>
      <c r="B104" s="14" t="s">
        <v>2737</v>
      </c>
      <c r="C104" s="14" t="s">
        <v>2738</v>
      </c>
      <c r="D104" s="14" t="s">
        <v>2739</v>
      </c>
      <c r="E104" s="14" t="s">
        <v>2740</v>
      </c>
      <c r="G104" s="8" t="str">
        <f>IFERROR(__xludf.DUMMYFUNCTION(" GOOGLETRANSLATE(A104, ""en"", ""am"")"),"103")</f>
        <v>103</v>
      </c>
      <c r="H104" s="8" t="str">
        <f>IFERROR(__xludf.DUMMYFUNCTION(" GOOGLETRANSLATE(B104, ""en"", ""am"")"),"የሲዳማ ታጋይ እንዴት ነው ከጭፍጨፋ የሚላቀቀው?")</f>
        <v>የሲዳማ ታጋይ እንዴት ነው ከጭፍጨፋ የሚላቀቀው?</v>
      </c>
      <c r="I104" s="8" t="str">
        <f>IFERROR(__xludf.DUMMYFUNCTION(" GOOGLETRANSLATE(C104, ""en"", ""am"")"),"ሀ. B ን በመምታት ፈጣን ውርወራን በማስፈጸም ሐ. የእጅ አንጓ መቆለፊያን በመጠቀም መ. የእግር ንጣፎችን በመጠቀም")</f>
        <v>ሀ. B ን በመምታት ፈጣን ውርወራን በማስፈጸም ሐ. የእጅ አንጓ መቆለፊያን በመጠቀም መ. የእግር ንጣፎችን በመጠቀም</v>
      </c>
      <c r="J104" s="8" t="str">
        <f>IFERROR(__xludf.DUMMYFUNCTION(" GOOGLETRANSLATE(D104, ""en"", ""am"")"),"ፈጣን መወርወርን በማስፈጸም")</f>
        <v>ፈጣን መወርወርን በማስፈጸም</v>
      </c>
      <c r="K104" s="8" t="str">
        <f>IFERROR(__xludf.DUMMYFUNCTION(" GOOGLETRANSLATE(E104, ""en"", ""am"")"),"ከክሊቺዎች መላቀቅ ብዙ ጊዜ ፈጣን እና ወሳኝ የመወርወር ዘዴዎችን ይጠይቃል።")</f>
        <v>ከክሊቺዎች መላቀቅ ብዙ ጊዜ ፈጣን እና ወሳኝ የመወርወር ዘዴዎችን ይጠይቃል።</v>
      </c>
    </row>
    <row r="105" ht="22.5" customHeight="1">
      <c r="A105" s="13">
        <v>104.0</v>
      </c>
      <c r="B105" s="14" t="s">
        <v>2426</v>
      </c>
      <c r="C105" s="14" t="s">
        <v>2741</v>
      </c>
      <c r="D105" s="14" t="s">
        <v>2742</v>
      </c>
      <c r="E105" s="14" t="s">
        <v>2743</v>
      </c>
      <c r="G105" s="8" t="str">
        <f>IFERROR(__xludf.DUMMYFUNCTION(" GOOGLETRANSLATE(A105, ""en"", ""am"")"),"104")</f>
        <v>104</v>
      </c>
      <c r="H105" s="8" t="str">
        <f>IFERROR(__xludf.DUMMYFUNCTION(" GOOGLETRANSLATE(B105, ""en"", ""am"")"),"በሲዳማ ሬስሊግ የዳኛው ሚና ምን ይመስላል?")</f>
        <v>በሲዳማ ሬስሊግ የዳኛው ሚና ምን ይመስላል?</v>
      </c>
      <c r="I105" s="8" t="str">
        <f>IFERROR(__xludf.DUMMYFUNCTION(" GOOGLETRANSLATE(C105, ""en"", ""am"")"),"ሀ. ነጥብ ለማግኘት ለ. ደንቦቹን ለማስፈጸም ሐ. ተዋጊዎችን ማሰልጠን D. የሕክምና ዕርዳታ ለመስጠት")</f>
        <v>ሀ. ነጥብ ለማግኘት ለ. ደንቦቹን ለማስፈጸም ሐ. ተዋጊዎችን ማሰልጠን D. የሕክምና ዕርዳታ ለመስጠት</v>
      </c>
      <c r="J105" s="8" t="str">
        <f>IFERROR(__xludf.DUMMYFUNCTION(" GOOGLETRANSLATE(D105, ""en"", ""am"")"),"ደንቦቹን ለማስከበር")</f>
        <v>ደንቦቹን ለማስከበር</v>
      </c>
      <c r="K105" s="8" t="str">
        <f>IFERROR(__xludf.DUMMYFUNCTION(" GOOGLETRANSLATE(E105, ""en"", ""am"")"),"ዳኛው ህጎቹን በማስከበር ጨዋታው ፍትሃዊ እና ደህንነቱ የተጠበቀ መሆኑን ያረጋግጣል።")</f>
        <v>ዳኛው ህጎቹን በማስከበር ጨዋታው ፍትሃዊ እና ደህንነቱ የተጠበቀ መሆኑን ያረጋግጣል።</v>
      </c>
    </row>
    <row r="106" ht="22.5" customHeight="1">
      <c r="A106" s="13">
        <v>105.0</v>
      </c>
      <c r="B106" s="14" t="s">
        <v>2744</v>
      </c>
      <c r="C106" s="14" t="s">
        <v>2745</v>
      </c>
      <c r="D106" s="14" t="s">
        <v>2746</v>
      </c>
      <c r="E106" s="14" t="s">
        <v>2747</v>
      </c>
      <c r="G106" s="8" t="str">
        <f>IFERROR(__xludf.DUMMYFUNCTION(" GOOGLETRANSLATE(A106, ""en"", ""am"")"),"105")</f>
        <v>105</v>
      </c>
      <c r="H106" s="8" t="str">
        <f>IFERROR(__xludf.DUMMYFUNCTION(" GOOGLETRANSLATE(B106, ""en"", ""am"")"),"በሲዳማ ሬስሊንግ ፒን ለመጠበቅ ምን እርምጃ ያስፈልጋል?")</f>
        <v>በሲዳማ ሬስሊንግ ፒን ለመጠበቅ ምን እርምጃ ያስፈልጋል?</v>
      </c>
      <c r="I106" s="8" t="str">
        <f>IFERROR(__xludf.DUMMYFUNCTION(" GOOGLETRANSLATE(C106, ""en"", ""am"")"),"ሀ. ሁለቱም ትከሻዎች ምንጣፉ ላይ ለ. ተቃዋሚው ሐ ያቀርባል። ተቃዋሚው ወደ ውጭ ወጣ። መ. ተቃዋሚው ራሱን ስቶ ተንኳኳ።")</f>
        <v>ሀ. ሁለቱም ትከሻዎች ምንጣፉ ላይ ለ. ተቃዋሚው ሐ ያቀርባል። ተቃዋሚው ወደ ውጭ ወጣ። መ. ተቃዋሚው ራሱን ስቶ ተንኳኳ።</v>
      </c>
      <c r="J106" s="8" t="str">
        <f>IFERROR(__xludf.DUMMYFUNCTION(" GOOGLETRANSLATE(D106, ""en"", ""am"")"),"ሁለቱም ትከሻዎች ምንጣፉ ላይ")</f>
        <v>ሁለቱም ትከሻዎች ምንጣፉ ላይ</v>
      </c>
      <c r="K106" s="8" t="str">
        <f>IFERROR(__xludf.DUMMYFUNCTION(" GOOGLETRANSLATE(E106, ""en"", ""am"")"),"ፒን ለመጠበቅ ሁለቱም የተቃዋሚው ትከሻዎች ለተወሰነ ጊዜ ምንጣፉ ላይ መሆን አለባቸው።")</f>
        <v>ፒን ለመጠበቅ ሁለቱም የተቃዋሚው ትከሻዎች ለተወሰነ ጊዜ ምንጣፉ ላይ መሆን አለባቸው።</v>
      </c>
    </row>
    <row r="107" ht="22.5" customHeight="1">
      <c r="A107" s="13">
        <v>106.0</v>
      </c>
      <c r="B107" s="14" t="s">
        <v>2748</v>
      </c>
      <c r="C107" s="14" t="s">
        <v>2749</v>
      </c>
      <c r="D107" s="14" t="s">
        <v>2750</v>
      </c>
      <c r="E107" s="14" t="s">
        <v>2751</v>
      </c>
      <c r="G107" s="8" t="str">
        <f>IFERROR(__xludf.DUMMYFUNCTION(" GOOGLETRANSLATE(A107, ""en"", ""am"")"),"106")</f>
        <v>106</v>
      </c>
      <c r="H107" s="8" t="str">
        <f>IFERROR(__xludf.DUMMYFUNCTION(" GOOGLETRANSLATE(B107, ""en"", ""am"")"),"በሲዳማ ትግል የጋራ መነሻው ምን ይመስላል?")</f>
        <v>በሲዳማ ትግል የጋራ መነሻው ምን ይመስላል?</v>
      </c>
      <c r="I107" s="8" t="str">
        <f>IFERROR(__xludf.DUMMYFUNCTION(" GOOGLETRANSLATE(C107, ""en"", ""am"")"),"ሀ. የቆመ ቦታ ለ. የጉልበቶች አቀማመጥ ሐ. የመቀመጫ አቀማመጥ D. የውሸት አቀማመጥ")</f>
        <v>ሀ. የቆመ ቦታ ለ. የጉልበቶች አቀማመጥ ሐ. የመቀመጫ አቀማመጥ D. የውሸት አቀማመጥ</v>
      </c>
      <c r="J107" s="8" t="str">
        <f>IFERROR(__xludf.DUMMYFUNCTION(" GOOGLETRANSLATE(D107, ""en"", ""am"")"),"የቆመ አቀማመጥ")</f>
        <v>የቆመ አቀማመጥ</v>
      </c>
      <c r="K107" s="8" t="str">
        <f>IFERROR(__xludf.DUMMYFUNCTION(" GOOGLETRANSLATE(E107, ""en"", ""am"")"),"ተዋጊዎች ብዙውን ጊዜ በቆመበት ቦታ ይጀምራሉ, ለመጀመሪያው እንቅስቃሴ ይዘጋጃሉ.")</f>
        <v>ተዋጊዎች ብዙውን ጊዜ በቆመበት ቦታ ይጀምራሉ, ለመጀመሪያው እንቅስቃሴ ይዘጋጃሉ.</v>
      </c>
    </row>
    <row r="108" ht="22.5" customHeight="1">
      <c r="A108" s="13">
        <v>107.0</v>
      </c>
      <c r="B108" s="14" t="s">
        <v>2752</v>
      </c>
      <c r="C108" s="14" t="s">
        <v>2753</v>
      </c>
      <c r="D108" s="14" t="s">
        <v>2754</v>
      </c>
      <c r="E108" s="14" t="s">
        <v>2755</v>
      </c>
      <c r="G108" s="8" t="str">
        <f>IFERROR(__xludf.DUMMYFUNCTION(" GOOGLETRANSLATE(A108, ""en"", ""am"")"),"107")</f>
        <v>107</v>
      </c>
      <c r="H108" s="8" t="str">
        <f>IFERROR(__xludf.DUMMYFUNCTION(" GOOGLETRANSLATE(B108, ""en"", ""am"")"),"በሲዳማ ትግል ስኬታማ ለመሆን ምን ያስፈልጋል?")</f>
        <v>በሲዳማ ትግል ስኬታማ ለመሆን ምን ያስፈልጋል?</v>
      </c>
      <c r="I108" s="8" t="str">
        <f>IFERROR(__xludf.DUMMYFUNCTION(" GOOGLETRANSLATE(C108, ""en"", ""am"")"),"ሀ. ጥንካሬ እና ሚዛን ለ. ፍጥነት እና ቅልጥፍና ሐ. የማድረስ ችሎታ D. የመከላከል ችሎታ")</f>
        <v>ሀ. ጥንካሬ እና ሚዛን ለ. ፍጥነት እና ቅልጥፍና ሐ. የማድረስ ችሎታ D. የመከላከል ችሎታ</v>
      </c>
      <c r="J108" s="8" t="str">
        <f>IFERROR(__xludf.DUMMYFUNCTION(" GOOGLETRANSLATE(D108, ""en"", ""am"")"),"ጥንካሬ እና ሚዛን")</f>
        <v>ጥንካሬ እና ሚዛን</v>
      </c>
      <c r="K108" s="8" t="str">
        <f>IFERROR(__xludf.DUMMYFUNCTION(" GOOGLETRANSLATE(E108, ""en"", ""am"")"),"የተሳካ ማውረዱ ተቃዋሚውን ለማሸነፍ ጥሩ ጥንካሬ እና ሚዛናዊ ጥምረት ይጠይቃል።")</f>
        <v>የተሳካ ማውረዱ ተቃዋሚውን ለማሸነፍ ጥሩ ጥንካሬ እና ሚዛናዊ ጥምረት ይጠይቃል።</v>
      </c>
    </row>
    <row r="109" ht="22.5" customHeight="1">
      <c r="A109" s="13">
        <v>108.0</v>
      </c>
      <c r="B109" s="14" t="s">
        <v>2756</v>
      </c>
      <c r="C109" s="14" t="s">
        <v>2757</v>
      </c>
      <c r="D109" s="14" t="s">
        <v>2758</v>
      </c>
      <c r="E109" s="14" t="s">
        <v>2759</v>
      </c>
      <c r="G109" s="8" t="str">
        <f>IFERROR(__xludf.DUMMYFUNCTION(" GOOGLETRANSLATE(A109, ""en"", ""am"")"),"108")</f>
        <v>108</v>
      </c>
      <c r="H109" s="8" t="str">
        <f>IFERROR(__xludf.DUMMYFUNCTION(" GOOGLETRANSLATE(B109, ""en"", ""am"")"),"በሲዳማ ትግል ውስጥ የእጅ አንጓ መቆጣጠሪያ ሚና ምንድን ነው?")</f>
        <v>በሲዳማ ትግል ውስጥ የእጅ አንጓ መቆጣጠሪያ ሚና ምንድን ነው?</v>
      </c>
      <c r="I109" s="8" t="str">
        <f>IFERROR(__xludf.DUMMYFUNCTION(" GOOGLETRANSLATE(C109, ""en"", ""am"")"),"ሀ. ውርወራዎችን ለመፈጸም እና ለመያዝ ለ. ከመሰካት ለመዳን ሐ. ጥንካሬን ለመጨመር መ. ጥንካሬን ለመጠበቅ")</f>
        <v>ሀ. ውርወራዎችን ለመፈጸም እና ለመያዝ ለ. ከመሰካት ለመዳን ሐ. ጥንካሬን ለመጨመር መ. ጥንካሬን ለመጠበቅ</v>
      </c>
      <c r="J109" s="8" t="str">
        <f>IFERROR(__xludf.DUMMYFUNCTION(" GOOGLETRANSLATE(D109, ""en"", ""am"")"),"መወርወር እና መያዝን ለማስፈጸም")</f>
        <v>መወርወር እና መያዝን ለማስፈጸም</v>
      </c>
      <c r="K109" s="8" t="str">
        <f>IFERROR(__xludf.DUMMYFUNCTION(" GOOGLETRANSLATE(E109, ""en"", ""am"")"),"የእጅ አንጓ መቆጣጠሪያ የተለያዩ ውርወራዎችን ለማስፈጸም እና የበላይነትን ለማስጠበቅ ወሳኝ ነው።")</f>
        <v>የእጅ አንጓ መቆጣጠሪያ የተለያዩ ውርወራዎችን ለማስፈጸም እና የበላይነትን ለማስጠበቅ ወሳኝ ነው።</v>
      </c>
    </row>
    <row r="110" ht="22.5" customHeight="1">
      <c r="A110" s="13">
        <v>109.0</v>
      </c>
      <c r="B110" s="14" t="s">
        <v>2760</v>
      </c>
      <c r="C110" s="14" t="s">
        <v>2761</v>
      </c>
      <c r="D110" s="14" t="s">
        <v>2521</v>
      </c>
      <c r="E110" s="14" t="s">
        <v>2762</v>
      </c>
      <c r="G110" s="8" t="str">
        <f>IFERROR(__xludf.DUMMYFUNCTION(" GOOGLETRANSLATE(A110, ""en"", ""am"")"),"109")</f>
        <v>109</v>
      </c>
      <c r="H110" s="8" t="str">
        <f>IFERROR(__xludf.DUMMYFUNCTION(" GOOGLETRANSLATE(B110, ""en"", ""am"")"),"በሲዳማ ሬስሊንግ ውስጥ ከመገዛት ለማምለጥ የትኛው ዘዴ በብዛት ጥቅም ላይ ይውላል?")</f>
        <v>በሲዳማ ሬስሊንግ ውስጥ ከመገዛት ለማምለጥ የትኛው ዘዴ በብዛት ጥቅም ላይ ይውላል?</v>
      </c>
      <c r="I110" s="8" t="str">
        <f>IFERROR(__xludf.DUMMYFUNCTION(" GOOGLETRANSLATE(C110, ""en"", ""am"")"),"ሀ. የማምለጫ ጥቅል ለ. የእግር መፋቅ ሐ. የጭንቅላት መቆለፊያ D. የኋለኛ ጡጫ መፍተል")</f>
        <v>ሀ. የማምለጫ ጥቅል ለ. የእግር መፋቅ ሐ. የጭንቅላት መቆለፊያ D. የኋለኛ ጡጫ መፍተል</v>
      </c>
      <c r="J110" s="8" t="str">
        <f>IFERROR(__xludf.DUMMYFUNCTION(" GOOGLETRANSLATE(D110, ""en"", ""am"")"),"የማምለጫ ጥቅል")</f>
        <v>የማምለጫ ጥቅል</v>
      </c>
      <c r="K110" s="8" t="str">
        <f>IFERROR(__xludf.DUMMYFUNCTION(" GOOGLETRANSLATE(E110, ""en"", ""am"")"),"የማምለጫ ፓኬጅ ከተለያዩ የማጓጓዣ ዕቃዎች ለመላቀቅ የሚያገለግል ዘዴ ነው።")</f>
        <v>የማምለጫ ፓኬጅ ከተለያዩ የማጓጓዣ ዕቃዎች ለመላቀቅ የሚያገለግል ዘዴ ነው።</v>
      </c>
    </row>
    <row r="111" ht="22.5" customHeight="1">
      <c r="A111" s="13">
        <v>110.0</v>
      </c>
      <c r="B111" s="14" t="s">
        <v>2763</v>
      </c>
      <c r="C111" s="14" t="s">
        <v>2764</v>
      </c>
      <c r="D111" s="14" t="s">
        <v>1425</v>
      </c>
      <c r="E111" s="14" t="s">
        <v>2765</v>
      </c>
      <c r="G111" s="8" t="str">
        <f>IFERROR(__xludf.DUMMYFUNCTION(" GOOGLETRANSLATE(A111, ""en"", ""am"")"),"110")</f>
        <v>110</v>
      </c>
      <c r="H111" s="8" t="str">
        <f>IFERROR(__xludf.DUMMYFUNCTION(" GOOGLETRANSLATE(B111, ""en"", ""am"")"),"የሲዳማ ታጋዮች በተለምዶ ጨዋታን እንዴት ያጠናቅቃሉ?")</f>
        <v>የሲዳማ ታጋዮች በተለምዶ ጨዋታን እንዴት ያጠናቅቃሉ?</v>
      </c>
      <c r="I111" s="8" t="str">
        <f>IFERROR(__xludf.DUMMYFUNCTION(" GOOGLETRANSLATE(C111, ""en"", ""am"")"),"ሀ. ተቀናቃኞቹን በመሰካት ለ. በማንኳኳት ሐ. በማስረከብ መ. ከቀለበት ውስጥ በመጣል")</f>
        <v>ሀ. ተቀናቃኞቹን በመሰካት ለ. በማንኳኳት ሐ. በማስረከብ መ. ከቀለበት ውስጥ በመጣል</v>
      </c>
      <c r="J111" s="8" t="str">
        <f>IFERROR(__xludf.DUMMYFUNCTION(" GOOGLETRANSLATE(D111, ""en"", ""am"")"),"ተቃዋሚውን በማያያዝ")</f>
        <v>ተቃዋሚውን በማያያዝ</v>
      </c>
      <c r="K111" s="8" t="str">
        <f>IFERROR(__xludf.DUMMYFUNCTION(" GOOGLETRANSLATE(E111, ""en"", ""am"")"),"የሲዳማ ቡና ፍልሚያ የሚያበቃው አንደኛው ተጋጣሚ የተጋጣሚውን ትከሻ ምንጣፉ ላይ ሲሰካ ነው።")</f>
        <v>የሲዳማ ቡና ፍልሚያ የሚያበቃው አንደኛው ተጋጣሚ የተጋጣሚውን ትከሻ ምንጣፉ ላይ ሲሰካ ነው።</v>
      </c>
    </row>
    <row r="112" ht="22.5" customHeight="1">
      <c r="A112" s="13">
        <v>111.0</v>
      </c>
      <c r="B112" s="14" t="s">
        <v>2651</v>
      </c>
      <c r="C112" s="14" t="s">
        <v>2766</v>
      </c>
      <c r="D112" s="14" t="s">
        <v>2767</v>
      </c>
      <c r="E112" s="14" t="s">
        <v>2768</v>
      </c>
      <c r="G112" s="8" t="str">
        <f>IFERROR(__xludf.DUMMYFUNCTION(" GOOGLETRANSLATE(A112, ""en"", ""am"")"),"111")</f>
        <v>111</v>
      </c>
      <c r="H112" s="8" t="str">
        <f>IFERROR(__xludf.DUMMYFUNCTION(" GOOGLETRANSLATE(B112, ""en"", ""am"")"),"በሲዳማ ሬስሊንግ እግር መጥረግ ምን ሚና ይጫወታል?")</f>
        <v>በሲዳማ ሬስሊንግ እግር መጥረግ ምን ሚና ይጫወታል?</v>
      </c>
      <c r="I112" s="8" t="str">
        <f>IFERROR(__xludf.DUMMYFUNCTION(" GOOGLETRANSLATE(C112, ""en"", ""am"")"),"ሀ. ጥንካሬን ለመጨመር B. ተቀናቃኙን ከሚዛን መጣል። ሐ. መወርወርን ለመከላከል መ. መላኪያውን ለማስፈጸም")</f>
        <v>ሀ. ጥንካሬን ለመጨመር B. ተቀናቃኙን ከሚዛን መጣል። ሐ. መወርወርን ለመከላከል መ. መላኪያውን ለማስፈጸም</v>
      </c>
      <c r="J112" s="8" t="str">
        <f>IFERROR(__xludf.DUMMYFUNCTION(" GOOGLETRANSLATE(D112, ""en"", ""am"")"),"ተቃዋሚውን ሚዛን ለመጣል።")</f>
        <v>ተቃዋሚውን ሚዛን ለመጣል።</v>
      </c>
      <c r="K112" s="8" t="str">
        <f>IFERROR(__xludf.DUMMYFUNCTION(" GOOGLETRANSLATE(E112, ""en"", ""am"")"),"የእግር መጥረጊያ የተቀናቃኙን ፍላጎት ለማሳጣት እና ሌሎች እንቅስቃሴዎችን ለማዘጋጀት የተነደፈ ነው።")</f>
        <v>የእግር መጥረጊያ የተቀናቃኙን ፍላጎት ለማሳጣት እና ሌሎች እንቅስቃሴዎችን ለማዘጋጀት የተነደፈ ነው።</v>
      </c>
    </row>
    <row r="113" ht="22.5" customHeight="1">
      <c r="A113" s="13">
        <v>112.0</v>
      </c>
      <c r="B113" s="14" t="s">
        <v>2769</v>
      </c>
      <c r="C113" s="14" t="s">
        <v>2770</v>
      </c>
      <c r="D113" s="14" t="s">
        <v>2521</v>
      </c>
      <c r="E113" s="14" t="s">
        <v>2771</v>
      </c>
      <c r="G113" s="8" t="str">
        <f>IFERROR(__xludf.DUMMYFUNCTION(" GOOGLETRANSLATE(A113, ""en"", ""am"")"),"112")</f>
        <v>112</v>
      </c>
      <c r="H113" s="8" t="str">
        <f>IFERROR(__xludf.DUMMYFUNCTION(" GOOGLETRANSLATE(B113, ""en"", ""am"")"),"በሲዳማ ትግል ላይ ከሚከሰቱ ችግሮች ለመዳን ምን እርምጃዎች መወሰድ አለባቸው?")</f>
        <v>በሲዳማ ትግል ላይ ከሚከሰቱ ችግሮች ለመዳን ምን እርምጃዎች መወሰድ አለባቸው?</v>
      </c>
      <c r="I113" s="8" t="str">
        <f>IFERROR(__xludf.DUMMYFUNCTION(" GOOGLETRANSLATE(C113, ""en"", ""am"")"),"ሀ. የእግር መፋቅ ለ. የእግር መቆለፊያ ሐ. Armbar D. Escape ጥቅል")</f>
        <v>ሀ. የእግር መፋቅ ለ. የእግር መቆለፊያ ሐ. Armbar D. Escape ጥቅል</v>
      </c>
      <c r="J113" s="8" t="str">
        <f>IFERROR(__xludf.DUMMYFUNCTION(" GOOGLETRANSLATE(D113, ""en"", ""am"")"),"የማምለጫ ጥቅል")</f>
        <v>የማምለጫ ጥቅል</v>
      </c>
      <c r="K113" s="8" t="str">
        <f>IFERROR(__xludf.DUMMYFUNCTION(" GOOGLETRANSLATE(E113, ""en"", ""am"")"),"ከክሊች ማምለጥ ብዙውን ጊዜ ነፃ ለማውጣት የማምለጫ ጥቅል ወይም ተመሳሳይ ዘዴ ይጠይቃል።")</f>
        <v>ከክሊች ማምለጥ ብዙውን ጊዜ ነፃ ለማውጣት የማምለጫ ጥቅል ወይም ተመሳሳይ ዘዴ ይጠይቃል።</v>
      </c>
    </row>
    <row r="114" ht="22.5" customHeight="1">
      <c r="A114" s="13">
        <v>113.0</v>
      </c>
      <c r="B114" s="14" t="s">
        <v>2772</v>
      </c>
      <c r="C114" s="14" t="s">
        <v>2773</v>
      </c>
      <c r="D114" s="14" t="s">
        <v>2774</v>
      </c>
      <c r="E114" s="14" t="s">
        <v>2775</v>
      </c>
      <c r="G114" s="8" t="str">
        <f>IFERROR(__xludf.DUMMYFUNCTION(" GOOGLETRANSLATE(A114, ""en"", ""am"")"),"113")</f>
        <v>113</v>
      </c>
      <c r="H114" s="8" t="str">
        <f>IFERROR(__xludf.DUMMYFUNCTION(" GOOGLETRANSLATE(B114, ""en"", ""am"")"),"የሲዳማ ትግል የሚለው ቃል 'ማውረድ' ምንን ያመለክታል?")</f>
        <v>የሲዳማ ትግል የሚለው ቃል 'ማውረድ' ምንን ያመለክታል?</v>
      </c>
      <c r="I114" s="8" t="str">
        <f>IFERROR(__xludf.DUMMYFUNCTION(" GOOGLETRANSLATE(C114, ""en"", ""am"")"),"ሀ. የማስረከቢያ መያዣ ለ. የመከላከያ እርምጃ ሐ. ተቃዋሚን ወደ መሬት የማምጣት ዘዴ D. የፒንች ዘዴ")</f>
        <v>ሀ. የማስረከቢያ መያዣ ለ. የመከላከያ እርምጃ ሐ. ተቃዋሚን ወደ መሬት የማምጣት ዘዴ D. የፒንች ዘዴ</v>
      </c>
      <c r="J114" s="8" t="str">
        <f>IFERROR(__xludf.DUMMYFUNCTION(" GOOGLETRANSLATE(D114, ""en"", ""am"")"),"ተቃዋሚን ወደ መሬት የማምጣት ዘዴ")</f>
        <v>ተቃዋሚን ወደ መሬት የማምጣት ዘዴ</v>
      </c>
      <c r="K114" s="8" t="str">
        <f>IFERROR(__xludf.DUMMYFUNCTION(" GOOGLETRANSLATE(E114, ""en"", ""am"")"),"ማውረዱ ተቃዋሚን ከመሬት ለማውረድ የሚደረግ እንቅስቃሴ ነው።")</f>
        <v>ማውረዱ ተቃዋሚን ከመሬት ለማውረድ የሚደረግ እንቅስቃሴ ነው።</v>
      </c>
    </row>
    <row r="115" ht="22.5" customHeight="1">
      <c r="A115" s="13">
        <v>114.0</v>
      </c>
      <c r="B115" s="14" t="s">
        <v>2776</v>
      </c>
      <c r="C115" s="14" t="s">
        <v>2777</v>
      </c>
      <c r="D115" s="14" t="s">
        <v>2778</v>
      </c>
      <c r="E115" s="14" t="s">
        <v>2779</v>
      </c>
      <c r="G115" s="8" t="str">
        <f>IFERROR(__xludf.DUMMYFUNCTION(" GOOGLETRANSLATE(A115, ""en"", ""am"")"),"114")</f>
        <v>114</v>
      </c>
      <c r="H115" s="8" t="str">
        <f>IFERROR(__xludf.DUMMYFUNCTION(" GOOGLETRANSLATE(B115, ""en"", ""am"")"),"በሲዳማ ትግል የተቃዋሚን እጅ ለመስበር በጣም የተለመደው ዘዴ ምንድነው?")</f>
        <v>በሲዳማ ትግል የተቃዋሚን እጅ ለመስበር በጣም የተለመደው ዘዴ ምንድነው?</v>
      </c>
      <c r="I115" s="8" t="str">
        <f>IFERROR(__xludf.DUMMYFUNCTION(" GOOGLETRANSLATE(C115, ""en"", ""am"")"),"ሀ. ተዋጉ። ለ. ማስረከብ ሐ. Choke D. የጉልበት ግርፋትን ይጨምራል")</f>
        <v>ሀ. ተዋጉ። ለ. ማስረከብ ሐ. Choke D. የጉልበት ግርፋትን ይጨምራል</v>
      </c>
      <c r="J115" s="8" t="str">
        <f>IFERROR(__xludf.DUMMYFUNCTION(" GOOGLETRANSLATE(D115, ""en"", ""am"")"),"ተዋጉ።")</f>
        <v>ተዋጉ።</v>
      </c>
      <c r="K115" s="8" t="str">
        <f>IFERROR(__xludf.DUMMYFUNCTION(" GOOGLETRANSLATE(E115, ""en"", ""am"")"),"ተቃዋሚዎ እንቅስቃሴዎን እንዳይቆጣጠር ለመከላከል መጋጨት ወሳኝ ነው።")</f>
        <v>ተቃዋሚዎ እንቅስቃሴዎን እንዳይቆጣጠር ለመከላከል መጋጨት ወሳኝ ነው።</v>
      </c>
    </row>
    <row r="116" ht="22.5" customHeight="1">
      <c r="A116" s="13">
        <v>115.0</v>
      </c>
      <c r="B116" s="14" t="s">
        <v>2780</v>
      </c>
      <c r="C116" s="14" t="s">
        <v>2781</v>
      </c>
      <c r="D116" s="14" t="s">
        <v>2782</v>
      </c>
      <c r="E116" s="14" t="s">
        <v>2783</v>
      </c>
      <c r="G116" s="8" t="str">
        <f>IFERROR(__xludf.DUMMYFUNCTION(" GOOGLETRANSLATE(A116, ""en"", ""am"")"),"115")</f>
        <v>115</v>
      </c>
      <c r="H116" s="8" t="str">
        <f>IFERROR(__xludf.DUMMYFUNCTION(" GOOGLETRANSLATE(B116, ""en"", ""am"")"),"የሲዳማ ሬስሊንግ ስልጠና ዋና ትኩረት ምንድን ነው?")</f>
        <v>የሲዳማ ሬስሊንግ ስልጠና ዋና ትኩረት ምንድን ነው?</v>
      </c>
      <c r="I116" s="8" t="str">
        <f>IFERROR(__xludf.DUMMYFUNCTION(" GOOGLETRANSLATE(C116, ""en"", ""am"")"),"ሀ. ስፒድ ቢ. ጥንካሬ ሐ. ቴክኒክ ዲ. ጽናት።")</f>
        <v>ሀ. ስፒድ ቢ. ጥንካሬ ሐ. ቴክኒክ ዲ. ጽናት።</v>
      </c>
      <c r="J116" s="8" t="str">
        <f>IFERROR(__xludf.DUMMYFUNCTION(" GOOGLETRANSLATE(D116, ""en"", ""am"")"),"ቴክኒክ")</f>
        <v>ቴክኒክ</v>
      </c>
      <c r="K116" s="8" t="str">
        <f>IFERROR(__xludf.DUMMYFUNCTION(" GOOGLETRANSLATE(E116, ""en"", ""am"")"),"ዋናው ትኩረት ተቃዋሚውን ለመቆጣጠር እና ለማሸነፍ የሚያስፈልጉትን የተለያዩ ዘዴዎችን በመቆጣጠር ላይ ነው.")</f>
        <v>ዋናው ትኩረት ተቃዋሚውን ለመቆጣጠር እና ለማሸነፍ የሚያስፈልጉትን የተለያዩ ዘዴዎችን በመቆጣጠር ላይ ነው.</v>
      </c>
    </row>
    <row r="117" ht="22.5" customHeight="1">
      <c r="A117" s="13">
        <v>116.0</v>
      </c>
      <c r="B117" s="14" t="s">
        <v>2784</v>
      </c>
      <c r="C117" s="14" t="s">
        <v>2785</v>
      </c>
      <c r="D117" s="14" t="s">
        <v>2690</v>
      </c>
      <c r="E117" s="14" t="s">
        <v>2786</v>
      </c>
      <c r="G117" s="8" t="str">
        <f>IFERROR(__xludf.DUMMYFUNCTION(" GOOGLETRANSLATE(A117, ""en"", ""am"")"),"116")</f>
        <v>116</v>
      </c>
      <c r="H117" s="8" t="str">
        <f>IFERROR(__xludf.DUMMYFUNCTION(" GOOGLETRANSLATE(B117, ""en"", ""am"")"),"ከሚከተሉት ውስጥ በሲዳማ ትግል የተለመደ የማስረከቢያ ዘዴ የትኛው ነው?")</f>
        <v>ከሚከተሉት ውስጥ በሲዳማ ትግል የተለመደ የማስረከቢያ ዘዴ የትኛው ነው?</v>
      </c>
      <c r="I117" s="8" t="str">
        <f>IFERROR(__xludf.DUMMYFUNCTION(" GOOGLETRANSLATE(C117, ""en"", ""am"")"),"A. Armbar B. Triangle choke C. የጭንቅላት መቆለፊያ D. የፊት ገጽታ")</f>
        <v>A. Armbar B. Triangle choke C. የጭንቅላት መቆለፊያ D. የፊት ገጽታ</v>
      </c>
      <c r="J117" s="8" t="str">
        <f>IFERROR(__xludf.DUMMYFUNCTION(" GOOGLETRANSLATE(D117, ""en"", ""am"")"),"የጭንቅላት መቆለፊያ")</f>
        <v>የጭንቅላት መቆለፊያ</v>
      </c>
      <c r="K117" s="8" t="str">
        <f>IFERROR(__xludf.DUMMYFUNCTION(" GOOGLETRANSLATE(E117, ""en"", ""am"")"),"የጭንቅላት መቆለፍ ተቃዋሚን ለመቆጣጠር የሚያገለግል የተለመደ የማስረከቢያ መያዣ ነው።")</f>
        <v>የጭንቅላት መቆለፍ ተቃዋሚን ለመቆጣጠር የሚያገለግል የተለመደ የማስረከቢያ መያዣ ነው።</v>
      </c>
    </row>
    <row r="118" ht="22.5" customHeight="1">
      <c r="A118" s="13">
        <v>117.0</v>
      </c>
      <c r="B118" s="8" t="s">
        <v>2787</v>
      </c>
      <c r="C118" s="14" t="s">
        <v>2788</v>
      </c>
      <c r="D118" s="8" t="s">
        <v>2789</v>
      </c>
      <c r="E118" s="8" t="s">
        <v>2790</v>
      </c>
      <c r="G118" s="8" t="str">
        <f>IFERROR(__xludf.DUMMYFUNCTION(" GOOGLETRANSLATE(A118, ""en"", ""am"")"),"117")</f>
        <v>117</v>
      </c>
      <c r="H118" s="8" t="str">
        <f>IFERROR(__xludf.DUMMYFUNCTION(" GOOGLETRANSLATE(B118, ""en"", ""am"")"),"አንድ ታጋይ በሲዳማ ሬስሊንግ የተሳካ ውርወራ እንዴት ይፈጽማል?")</f>
        <v>አንድ ታጋይ በሲዳማ ሬስሊንግ የተሳካ ውርወራ እንዴት ይፈጽማል?</v>
      </c>
      <c r="I118" s="8" t="str">
        <f>IFERROR(__xludf.DUMMYFUNCTION(" GOOGLETRANSLATE(C118, ""en"", ""am"")"),"ሀ. የእግር መጥረግን በመጠቀም ለ. የተቃዋሚውን አካል በማሸነፍ ሐ. በተቃዋሚው ላይ ጠንካራ ጥንካሬን በመያዝ መ. በመዝለል")</f>
        <v>ሀ. የእግር መጥረግን በመጠቀም ለ. የተቃዋሚውን አካል በማሸነፍ ሐ. በተቃዋሚው ላይ ጠንካራ ጥንካሬን በመያዝ መ. በመዝለል</v>
      </c>
      <c r="J118" s="8" t="str">
        <f>IFERROR(__xludf.DUMMYFUNCTION(" GOOGLETRANSLATE(D118, ""en"", ""am"")"),"የተቃዋሚውን አካል በማሸነፍ")</f>
        <v>የተቃዋሚውን አካል በማሸነፍ</v>
      </c>
      <c r="K118" s="8" t="str">
        <f>IFERROR(__xludf.DUMMYFUNCTION(" GOOGLETRANSLATE(E118, ""en"", ""am"")"),"ውርወራዎች የሚከናወኑት ጥቅሙን ለማግኘት ጥቅም ላይ በማዋል እና የተቃዋሚውን አካል በመቆጣጠር ነው።")</f>
        <v>ውርወራዎች የሚከናወኑት ጥቅሙን ለማግኘት ጥቅም ላይ በማዋል እና የተቃዋሚውን አካል በመቆጣጠር ነው።</v>
      </c>
    </row>
    <row r="119" ht="22.5" customHeight="1">
      <c r="A119" s="13">
        <v>118.0</v>
      </c>
      <c r="B119" s="8" t="s">
        <v>2791</v>
      </c>
      <c r="C119" s="14" t="s">
        <v>2792</v>
      </c>
      <c r="D119" s="8" t="s">
        <v>2793</v>
      </c>
      <c r="E119" s="8" t="s">
        <v>2794</v>
      </c>
      <c r="G119" s="8" t="str">
        <f>IFERROR(__xludf.DUMMYFUNCTION(" GOOGLETRANSLATE(A119, ""en"", ""am"")"),"118")</f>
        <v>118</v>
      </c>
      <c r="H119" s="8" t="str">
        <f>IFERROR(__xludf.DUMMYFUNCTION(" GOOGLETRANSLATE(B119, ""en"", ""am"")"),"በሲዳማ ትግል የቆጣሪ ቴክኒክ ምንን ያመለክታል?")</f>
        <v>በሲዳማ ትግል የቆጣሪ ቴክኒክ ምንን ያመለክታል?</v>
      </c>
      <c r="I119" s="8" t="str">
        <f>IFERROR(__xludf.DUMMYFUNCTION(" GOOGLETRANSLATE(C119, ""en"", ""am"")"),"ሀ. የማስረከብ እርምጃ ለ. ጥቃቱን ለመቀልበስ የሚደረግ የመከላከል እርምጃ ሐ. ለተቃዋሚው መምታት D. የእግር መቆለፊያ")</f>
        <v>ሀ. የማስረከብ እርምጃ ለ. ጥቃቱን ለመቀልበስ የሚደረግ የመከላከል እርምጃ ሐ. ለተቃዋሚው መምታት D. የእግር መቆለፊያ</v>
      </c>
      <c r="J119" s="8" t="str">
        <f>IFERROR(__xludf.DUMMYFUNCTION(" GOOGLETRANSLATE(D119, ""en"", ""am"")"),"ጥቃቱን ለመቀልበስ የመከላከል እርምጃ")</f>
        <v>ጥቃቱን ለመቀልበስ የመከላከል እርምጃ</v>
      </c>
      <c r="K119" s="8" t="str">
        <f>IFERROR(__xludf.DUMMYFUNCTION(" GOOGLETRANSLATE(E119, ""en"", ""am"")"),"ቆጣሪዎች ለመቆጣጠር የተቃዋሚውን ኃይል በእነሱ ላይ መጠቀምን ያካትታሉ።")</f>
        <v>ቆጣሪዎች ለመቆጣጠር የተቃዋሚውን ኃይል በእነሱ ላይ መጠቀምን ያካትታሉ።</v>
      </c>
    </row>
    <row r="120" ht="22.5" customHeight="1">
      <c r="A120" s="13">
        <v>119.0</v>
      </c>
      <c r="B120" s="8" t="s">
        <v>2795</v>
      </c>
      <c r="C120" s="14" t="s">
        <v>2796</v>
      </c>
      <c r="D120" s="8" t="s">
        <v>2797</v>
      </c>
      <c r="E120" s="8" t="s">
        <v>2798</v>
      </c>
      <c r="G120" s="8" t="str">
        <f>IFERROR(__xludf.DUMMYFUNCTION(" GOOGLETRANSLATE(A120, ""en"", ""am"")"),"119")</f>
        <v>119</v>
      </c>
      <c r="H120" s="8" t="str">
        <f>IFERROR(__xludf.DUMMYFUNCTION(" GOOGLETRANSLATE(B120, ""en"", ""am"")"),"በሲዳማ ትግል ጀማሪዎች የሚያደርጉት የተለመደ ስህተት ምንድነው?")</f>
        <v>በሲዳማ ትግል ጀማሪዎች የሚያደርጉት የተለመደ ስህተት ምንድነው?</v>
      </c>
      <c r="I120" s="8" t="str">
        <f>IFERROR(__xludf.DUMMYFUNCTION(" GOOGLETRANSLATE(C120, ""en"", ""am"")"),"ሀ. ለአጥቂ እንቅስቃሴዎች መሸነፍ ለ. በመከላከያ ላይ ብዙ ማተኮር ሐ. የእግር ስራን ችላ ማለት መ. የጥንካሬ ማነስ")</f>
        <v>ሀ. ለአጥቂ እንቅስቃሴዎች መሸነፍ ለ. በመከላከያ ላይ ብዙ ማተኮር ሐ. የእግር ስራን ችላ ማለት መ. የጥንካሬ ማነስ</v>
      </c>
      <c r="J120" s="8" t="str">
        <f>IFERROR(__xludf.DUMMYFUNCTION(" GOOGLETRANSLATE(D120, ""en"", ""am"")"),"ለአጸያፊ እንቅስቃሴዎች ከመጠን በላይ መሸነፍ")</f>
        <v>ለአጸያፊ እንቅስቃሴዎች ከመጠን በላይ መሸነፍ</v>
      </c>
      <c r="K120" s="8" t="str">
        <f>IFERROR(__xludf.DUMMYFUNCTION(" GOOGLETRANSLATE(E120, ""en"", ""am"")"),"ጀማሪዎች ብዙውን ጊዜ ለጥቃቶች ይዳረጋሉ እና እራሳቸውን ለቆጣሪዎች ተጋላጭ ይሆናሉ።")</f>
        <v>ጀማሪዎች ብዙውን ጊዜ ለጥቃቶች ይዳረጋሉ እና እራሳቸውን ለቆጣሪዎች ተጋላጭ ይሆናሉ።</v>
      </c>
    </row>
    <row r="121" ht="22.5" customHeight="1">
      <c r="A121" s="13">
        <v>120.0</v>
      </c>
      <c r="B121" s="8" t="s">
        <v>2799</v>
      </c>
      <c r="C121" s="14" t="s">
        <v>2800</v>
      </c>
      <c r="D121" s="8" t="s">
        <v>2801</v>
      </c>
      <c r="E121" s="8" t="s">
        <v>2802</v>
      </c>
      <c r="G121" s="8" t="str">
        <f>IFERROR(__xludf.DUMMYFUNCTION(" GOOGLETRANSLATE(A121, ""en"", ""am"")"),"120")</f>
        <v>120</v>
      </c>
      <c r="H121" s="8" t="str">
        <f>IFERROR(__xludf.DUMMYFUNCTION(" GOOGLETRANSLATE(B121, ""en"", ""am"")"),"በሲዳማ ሬስሊንግ ከፒን ለመላቀቅ የትኛውን ተግባር ነው የሚፈቀደው?")</f>
        <v>በሲዳማ ሬስሊንግ ከፒን ለመላቀቅ የትኛውን ተግባር ነው የሚፈቀደው?</v>
      </c>
      <c r="I121" s="8" t="str">
        <f>IFERROR(__xludf.DUMMYFUNCTION(" GOOGLETRANSLATE(C121, ""en"", ""am"")"),"ሀ. አስረክብ ለ. ተቀናቃኙን መምታት ሐ. ሽሽት ጥቅልል ​​D. ተቃዋሚውን ይንበረከኩ።")</f>
        <v>ሀ. አስረክብ ለ. ተቀናቃኙን መምታት ሐ. ሽሽት ጥቅልል ​​D. ተቃዋሚውን ይንበረከኩ።</v>
      </c>
      <c r="J121" s="8" t="str">
        <f>IFERROR(__xludf.DUMMYFUNCTION(" GOOGLETRANSLATE(D121, ""en"", ""am"")"),"የማምለጫ ጥቅል")</f>
        <v>የማምለጫ ጥቅል</v>
      </c>
      <c r="K121" s="8" t="str">
        <f>IFERROR(__xludf.DUMMYFUNCTION(" GOOGLETRANSLATE(E121, ""en"", ""am"")"),"ከፒን ለመላቀቅ አንድ ታጋይ የማምለጫ ጥቅል ዘዴን መጠቀም ይችላል።")</f>
        <v>ከፒን ለመላቀቅ አንድ ታጋይ የማምለጫ ጥቅል ዘዴን መጠቀም ይችላል።</v>
      </c>
    </row>
    <row r="122" ht="22.5" customHeight="1">
      <c r="A122" s="13">
        <v>121.0</v>
      </c>
      <c r="B122" s="8" t="s">
        <v>2803</v>
      </c>
      <c r="C122" s="14" t="s">
        <v>2804</v>
      </c>
      <c r="D122" s="8" t="s">
        <v>2805</v>
      </c>
      <c r="E122" s="8" t="s">
        <v>2806</v>
      </c>
      <c r="G122" s="8" t="str">
        <f>IFERROR(__xludf.DUMMYFUNCTION(" GOOGLETRANSLATE(A122, ""en"", ""am"")"),"121")</f>
        <v>121</v>
      </c>
      <c r="H122" s="8" t="str">
        <f>IFERROR(__xludf.DUMMYFUNCTION(" GOOGLETRANSLATE(B122, ""en"", ""am"")"),"በሲዳማ ሬስሊንግ የፅናት ሚና ምን ይመስላል?")</f>
        <v>በሲዳማ ሬስሊንግ የፅናት ሚና ምን ይመስላል?</v>
      </c>
      <c r="I122" s="8" t="str">
        <f>IFERROR(__xludf.DUMMYFUNCTION(" GOOGLETRANSLATE(C122, ""en"", ""am"")"),"ሀ. ተፋላሚዎች የበለጠ ጠበኛ እንቅስቃሴዎችን እንዲያደርጉ ይረዳል ለ. ለረጅም ግጥሚያዎች ጉልበትን ለመጠበቅ ይረዳል C. በጣም አስፈላጊ አይደለም መ. በመከላከል ላይ ብቻ ይረዳል.")</f>
        <v>ሀ. ተፋላሚዎች የበለጠ ጠበኛ እንቅስቃሴዎችን እንዲያደርጉ ይረዳል ለ. ለረጅም ግጥሚያዎች ጉልበትን ለመጠበቅ ይረዳል C. በጣም አስፈላጊ አይደለም መ. በመከላከል ላይ ብቻ ይረዳል.</v>
      </c>
      <c r="J122" s="8" t="str">
        <f>IFERROR(__xludf.DUMMYFUNCTION(" GOOGLETRANSLATE(D122, ""en"", ""am"")"),"ለረጅም ግጥሚያዎች ኃይልን ለመጠበቅ ይረዳል")</f>
        <v>ለረጅም ግጥሚያዎች ኃይልን ለመጠበቅ ይረዳል</v>
      </c>
      <c r="K122" s="8" t="str">
        <f>IFERROR(__xludf.DUMMYFUNCTION(" GOOGLETRANSLATE(E122, ""en"", ""am"")"),"በጨዋታው ጊዜ ሁሉ በተለይም በረጅም ግጥሚያዎች ውስጥ ጉልበትን ለመጠበቅ ጥንካሬ አስፈላጊ ነው።")</f>
        <v>በጨዋታው ጊዜ ሁሉ በተለይም በረጅም ግጥሚያዎች ውስጥ ጉልበትን ለመጠበቅ ጥንካሬ አስፈላጊ ነው።</v>
      </c>
    </row>
    <row r="123" ht="22.5" customHeight="1">
      <c r="A123" s="13">
        <v>122.0</v>
      </c>
      <c r="B123" s="8" t="s">
        <v>2807</v>
      </c>
      <c r="C123" s="14" t="s">
        <v>2808</v>
      </c>
      <c r="D123" s="8" t="s">
        <v>2809</v>
      </c>
      <c r="E123" s="8" t="s">
        <v>2810</v>
      </c>
      <c r="G123" s="8" t="str">
        <f>IFERROR(__xludf.DUMMYFUNCTION(" GOOGLETRANSLATE(A123, ""en"", ""am"")"),"122")</f>
        <v>122</v>
      </c>
      <c r="H123" s="8" t="str">
        <f>IFERROR(__xludf.DUMMYFUNCTION(" GOOGLETRANSLATE(B123, ""en"", ""am"")"),"በሲዳማ ሬስሊንግ የእጅ አንጓ መቆለፍ አላማው ምንድን ነው?")</f>
        <v>በሲዳማ ሬስሊንግ የእጅ አንጓ መቆለፍ አላማው ምንድን ነው?</v>
      </c>
      <c r="I123" s="8" t="str">
        <f>IFERROR(__xludf.DUMMYFUNCTION(" GOOGLETRANSLATE(C123, ""en"", ""am"")"),"ሀ. የተቃዋሚውን እንቅስቃሴ ለመቆጣጠር ለ. ጠቃሚ ጥቅም ለማግኘት ሐ. ማስረከብ መ. ቦታ ለመፍጠር")</f>
        <v>ሀ. የተቃዋሚውን እንቅስቃሴ ለመቆጣጠር ለ. ጠቃሚ ጥቅም ለማግኘት ሐ. ማስረከብ መ. ቦታ ለመፍጠር</v>
      </c>
      <c r="J123" s="8" t="str">
        <f>IFERROR(__xludf.DUMMYFUNCTION(" GOOGLETRANSLATE(D123, ""en"", ""am"")"),"የተቃዋሚውን እንቅስቃሴ ለመቆጣጠር")</f>
        <v>የተቃዋሚውን እንቅስቃሴ ለመቆጣጠር</v>
      </c>
      <c r="K123" s="8" t="str">
        <f>IFERROR(__xludf.DUMMYFUNCTION(" GOOGLETRANSLATE(E123, ""en"", ""am"")"),"የእጅ አንጓ መቆለፊያ ተፋላሚው የተቃዋሚውን እጆች እንዲቆጣጠር እና ውርወራዎችን ወይም ፒኖችን እንዲያቀናብር ያስችለዋል።")</f>
        <v>የእጅ አንጓ መቆለፊያ ተፋላሚው የተቃዋሚውን እጆች እንዲቆጣጠር እና ውርወራዎችን ወይም ፒኖችን እንዲያቀናብር ያስችለዋል።</v>
      </c>
    </row>
    <row r="124" ht="22.5" customHeight="1">
      <c r="A124" s="13">
        <v>123.0</v>
      </c>
      <c r="B124" s="8" t="s">
        <v>2811</v>
      </c>
      <c r="C124" s="14" t="s">
        <v>2812</v>
      </c>
      <c r="D124" s="8" t="s">
        <v>2813</v>
      </c>
      <c r="E124" s="8" t="s">
        <v>2814</v>
      </c>
      <c r="G124" s="8" t="str">
        <f>IFERROR(__xludf.DUMMYFUNCTION(" GOOGLETRANSLATE(A124, ""en"", ""am"")"),"123")</f>
        <v>123</v>
      </c>
      <c r="H124" s="8" t="str">
        <f>IFERROR(__xludf.DUMMYFUNCTION(" GOOGLETRANSLATE(B124, ""en"", ""am"")"),"በሲዳማ ሬስሊንግ የትኛው ቦታ ጠቃሚ ነው ተብሎ ይታሰባል?")</f>
        <v>በሲዳማ ሬስሊንግ የትኛው ቦታ ጠቃሚ ነው ተብሎ ይታሰባል?</v>
      </c>
      <c r="I124" s="8" t="str">
        <f>IFERROR(__xludf.DUMMYFUNCTION(" GOOGLETRANSLATE(C124, ""en"", ""am"")"),"ሀ. ከፍተኛ ቦታ ለ. የታችኛው አቀማመጥ ሐ. የጎን አቀማመጥ D. ገለልተኛ አቀማመጥ")</f>
        <v>ሀ. ከፍተኛ ቦታ ለ. የታችኛው አቀማመጥ ሐ. የጎን አቀማመጥ D. ገለልተኛ አቀማመጥ</v>
      </c>
      <c r="J124" s="8" t="str">
        <f>IFERROR(__xludf.DUMMYFUNCTION(" GOOGLETRANSLATE(D124, ""en"", ""am"")"),"ከፍተኛ ቦታ")</f>
        <v>ከፍተኛ ቦታ</v>
      </c>
      <c r="K124" s="8" t="str">
        <f>IFERROR(__xludf.DUMMYFUNCTION(" GOOGLETRANSLATE(E124, ""en"", ""am"")"),"ከፍተኛው ቦታ አንድ ተፋላሚ በተቃዋሚው ላይ እንዲቆጣጠር እና ውርወራዎችን ወይም ፒኖችን እንዲፈጽም ያስችለዋል።")</f>
        <v>ከፍተኛው ቦታ አንድ ተፋላሚ በተቃዋሚው ላይ እንዲቆጣጠር እና ውርወራዎችን ወይም ፒኖችን እንዲፈጽም ያስችለዋል።</v>
      </c>
    </row>
    <row r="125" ht="22.5" customHeight="1">
      <c r="A125" s="13">
        <v>124.0</v>
      </c>
      <c r="B125" s="8" t="s">
        <v>2815</v>
      </c>
      <c r="C125" s="14" t="s">
        <v>2816</v>
      </c>
      <c r="D125" s="8" t="s">
        <v>2817</v>
      </c>
      <c r="E125" s="8" t="s">
        <v>2818</v>
      </c>
      <c r="G125" s="8" t="str">
        <f>IFERROR(__xludf.DUMMYFUNCTION(" GOOGLETRANSLATE(A125, ""en"", ""am"")"),"124")</f>
        <v>124</v>
      </c>
      <c r="H125" s="8" t="str">
        <f>IFERROR(__xludf.DUMMYFUNCTION(" GOOGLETRANSLATE(B125, ""en"", ""am"")"),"የሲዳማ ታጋዮች መውረዱን እንዴት ይከላከላሉ?")</f>
        <v>የሲዳማ ታጋዮች መውረዱን እንዴት ይከላከላሉ?</v>
      </c>
      <c r="I125" s="8" t="str">
        <f>IFERROR(__xludf.DUMMYFUNCTION(" GOOGLETRANSLATE(C125, ""en"", ""am"")"),"ሀ. ተቃራኒ ውርወራ በመስራት ለ. ጥሩ አቋም በመያዝ ሐ. የአይን ንክኪን በማስወገድ መ. ተቃዋሚውን በማስረከብ")</f>
        <v>ሀ. ተቃራኒ ውርወራ በመስራት ለ. ጥሩ አቋም በመያዝ ሐ. የአይን ንክኪን በማስወገድ መ. ተቃዋሚውን በማስረከብ</v>
      </c>
      <c r="J125" s="8" t="str">
        <f>IFERROR(__xludf.DUMMYFUNCTION(" GOOGLETRANSLATE(D125, ""en"", ""am"")"),"ጥሩ አቋም በመያዝ")</f>
        <v>ጥሩ አቋም በመያዝ</v>
      </c>
      <c r="K125" s="8" t="str">
        <f>IFERROR(__xludf.DUMMYFUNCTION(" GOOGLETRANSLATE(E125, ""en"", ""am"")"),"ማውረዱን መከላከል ወደ ታች ላለመውረድ ትክክለኛ አቀማመጥ እና ሚዛን ይጠይቃል።")</f>
        <v>ማውረዱን መከላከል ወደ ታች ላለመውረድ ትክክለኛ አቀማመጥ እና ሚዛን ይጠይቃል።</v>
      </c>
    </row>
    <row r="126" ht="22.5" customHeight="1">
      <c r="A126" s="13">
        <v>125.0</v>
      </c>
      <c r="B126" s="8" t="s">
        <v>2819</v>
      </c>
      <c r="C126" s="14" t="s">
        <v>2820</v>
      </c>
      <c r="D126" s="8" t="s">
        <v>2821</v>
      </c>
      <c r="E126" s="8" t="s">
        <v>2822</v>
      </c>
      <c r="G126" s="8" t="str">
        <f>IFERROR(__xludf.DUMMYFUNCTION(" GOOGLETRANSLATE(A126, ""en"", ""am"")"),"125")</f>
        <v>125</v>
      </c>
      <c r="H126" s="8" t="str">
        <f>IFERROR(__xludf.DUMMYFUNCTION(" GOOGLETRANSLATE(B126, ""en"", ""am"")"),"በሲዳማ ትግል ክንድ መጎተት ምንድነው?")</f>
        <v>በሲዳማ ትግል ክንድ መጎተት ምንድነው?</v>
      </c>
      <c r="I126" s="8" t="str">
        <f>IFERROR(__xludf.DUMMYFUNCTION(" GOOGLETRANSLATE(C126, ""en"", ""am"")"),"ሀ. ማስረከቢያ ለ. የማውረድ አይነት C. የተቃዋሚውን ክንድ በሰውነት ላይ ለመሳብ የሚደረግ እንቅስቃሴ D. መወርወር")</f>
        <v>ሀ. ማስረከቢያ ለ. የማውረድ አይነት C. የተቃዋሚውን ክንድ በሰውነት ላይ ለመሳብ የሚደረግ እንቅስቃሴ D. መወርወር</v>
      </c>
      <c r="J126" s="8" t="str">
        <f>IFERROR(__xludf.DUMMYFUNCTION(" GOOGLETRANSLATE(D126, ""en"", ""am"")"),"የተቃዋሚውን ክንድ በሰውነት ላይ ለመሳብ የሚደረግ እንቅስቃሴ")</f>
        <v>የተቃዋሚውን ክንድ በሰውነት ላይ ለመሳብ የሚደረግ እንቅስቃሴ</v>
      </c>
      <c r="K126" s="8" t="str">
        <f>IFERROR(__xludf.DUMMYFUNCTION(" GOOGLETRANSLATE(E126, ""en"", ""am"")"),"ክንድ መጎተት አንድ ተፋላሚ የተቃዋሚውን ክንድ በመጠቀም ሚዛናቸውን አውጥተው ወደ ተሻለ ቦታ የሚወስዱበት እንቅስቃሴ ነው።")</f>
        <v>ክንድ መጎተት አንድ ተፋላሚ የተቃዋሚውን ክንድ በመጠቀም ሚዛናቸውን አውጥተው ወደ ተሻለ ቦታ የሚወስዱበት እንቅስቃሴ ነው።</v>
      </c>
    </row>
    <row r="127" ht="22.5" customHeight="1">
      <c r="A127" s="13">
        <v>126.0</v>
      </c>
      <c r="B127" s="8" t="s">
        <v>2823</v>
      </c>
      <c r="C127" s="14" t="s">
        <v>2824</v>
      </c>
      <c r="D127" s="8" t="s">
        <v>2825</v>
      </c>
      <c r="E127" s="8" t="s">
        <v>2826</v>
      </c>
      <c r="G127" s="8" t="str">
        <f>IFERROR(__xludf.DUMMYFUNCTION(" GOOGLETRANSLATE(A127, ""en"", ""am"")"),"126")</f>
        <v>126</v>
      </c>
      <c r="H127" s="8" t="str">
        <f>IFERROR(__xludf.DUMMYFUNCTION(" GOOGLETRANSLATE(B127, ""en"", ""am"")"),"ለስኬታማ የሲዳማ ትግል አስፈላጊ የሆነው የትኛው አይነት መያዣ ነው?")</f>
        <v>ለስኬታማ የሲዳማ ትግል አስፈላጊ የሆነው የትኛው አይነት መያዣ ነው?</v>
      </c>
      <c r="I127" s="8" t="str">
        <f>IFERROR(__xludf.DUMMYFUNCTION(" GOOGLETRANSLATE(C127, ""en"", ""am"")"),"ሀ. የእጅ አንጓ ለ. የአንገት መያዣ ሐ. የሰውነት መቆለፊያ D. እግር መያዝ")</f>
        <v>ሀ. የእጅ አንጓ ለ. የአንገት መያዣ ሐ. የሰውነት መቆለፊያ D. እግር መያዝ</v>
      </c>
      <c r="J127" s="8" t="str">
        <f>IFERROR(__xludf.DUMMYFUNCTION(" GOOGLETRANSLATE(D127, ""en"", ""am"")"),"የእጅ አንጓ መያዣ")</f>
        <v>የእጅ አንጓ መያዣ</v>
      </c>
      <c r="K127" s="8" t="str">
        <f>IFERROR(__xludf.DUMMYFUNCTION(" GOOGLETRANSLATE(E127, ""en"", ""am"")"),"የእጅ አንጓ መያዝ ተቃዋሚውን ለመቆጣጠር እና የተለያዩ ቴክኒኮችን ለማዘጋጀት ወሳኝ ነው።")</f>
        <v>የእጅ አንጓ መያዝ ተቃዋሚውን ለመቆጣጠር እና የተለያዩ ቴክኒኮችን ለማዘጋጀት ወሳኝ ነው።</v>
      </c>
    </row>
    <row r="128" ht="22.5" customHeight="1">
      <c r="A128" s="13">
        <v>127.0</v>
      </c>
      <c r="B128" s="8" t="s">
        <v>2827</v>
      </c>
      <c r="C128" s="14" t="s">
        <v>2828</v>
      </c>
      <c r="D128" s="8" t="s">
        <v>2829</v>
      </c>
      <c r="E128" s="8" t="s">
        <v>2830</v>
      </c>
      <c r="G128" s="8" t="str">
        <f>IFERROR(__xludf.DUMMYFUNCTION(" GOOGLETRANSLATE(A128, ""en"", ""am"")"),"127")</f>
        <v>127</v>
      </c>
      <c r="H128" s="8" t="str">
        <f>IFERROR(__xludf.DUMMYFUNCTION(" GOOGLETRANSLATE(B128, ""en"", ""am"")"),"በሲዳማ ትግል የጊዜ አስፈላጊነት ምንድነው?")</f>
        <v>በሲዳማ ትግል የጊዜ አስፈላጊነት ምንድነው?</v>
      </c>
      <c r="I128" s="8" t="str">
        <f>IFERROR(__xludf.DUMMYFUNCTION(" GOOGLETRANSLATE(C128, ""en"", ""am"")"),"ሀ. ውርወራዎችን በትክክለኛው ጊዜ ለማስፈጸም ለ. ተቀናቃኙን ግራ ለማጋባት ሐ.በፍጥነት ብቻ ማሸነፍ መ. ጉዳትን ለማስወገድ")</f>
        <v>ሀ. ውርወራዎችን በትክክለኛው ጊዜ ለማስፈጸም ለ. ተቀናቃኙን ግራ ለማጋባት ሐ.በፍጥነት ብቻ ማሸነፍ መ. ጉዳትን ለማስወገድ</v>
      </c>
      <c r="J128" s="8" t="str">
        <f>IFERROR(__xludf.DUMMYFUNCTION(" GOOGLETRANSLATE(D128, ""en"", ""am"")"),"ውርወራዎችን በትክክለኛው ጊዜ ለማስፈጸም")</f>
        <v>ውርወራዎችን በትክክለኛው ጊዜ ለማስፈጸም</v>
      </c>
      <c r="K128" s="8" t="str">
        <f>IFERROR(__xludf.DUMMYFUNCTION(" GOOGLETRANSLATE(E128, ""en"", ""am"")"),"በጣም ውጤታማ በሆነ ጊዜ ውርወራዎችን እና ቆጣሪዎችን ለማስፈጸም ጊዜ ወሳኝ ነው።")</f>
        <v>በጣም ውጤታማ በሆነ ጊዜ ውርወራዎችን እና ቆጣሪዎችን ለማስፈጸም ጊዜ ወሳኝ ነው።</v>
      </c>
    </row>
    <row r="129" ht="22.5" customHeight="1">
      <c r="A129" s="13">
        <v>128.0</v>
      </c>
      <c r="B129" s="8" t="s">
        <v>2831</v>
      </c>
      <c r="C129" s="14" t="s">
        <v>2832</v>
      </c>
      <c r="D129" s="8" t="s">
        <v>2833</v>
      </c>
      <c r="E129" s="8" t="s">
        <v>2834</v>
      </c>
      <c r="G129" s="8" t="str">
        <f>IFERROR(__xludf.DUMMYFUNCTION(" GOOGLETRANSLATE(A129, ""en"", ""am"")"),"128")</f>
        <v>128</v>
      </c>
      <c r="H129" s="8" t="str">
        <f>IFERROR(__xludf.DUMMYFUNCTION(" GOOGLETRANSLATE(B129, ""en"", ""am"")"),"በሲዳማ ሬስሊንግ ውርወራ ሲፈፀም በጣም የተለመደው ስህተት ምንድነው?")</f>
        <v>በሲዳማ ሬስሊንግ ውርወራ ሲፈፀም በጣም የተለመደው ስህተት ምንድነው?</v>
      </c>
      <c r="I129" s="8" t="str">
        <f>IFERROR(__xludf.DUMMYFUNCTION(" GOOGLETRANSLATE(C129, ""en"", ""am"")"),"ሀ. ትክክለኛ የመጨበጥ እጥረት ለ. በቂ ፍጥነት አለመጠቀም ሐ. በጥንካሬ ላይ ከመጠን በላይ መታመን መ. የተቃዋሚውን እንቅስቃሴ የተሳሳተ ግምት መስጠት.")</f>
        <v>ሀ. ትክክለኛ የመጨበጥ እጥረት ለ. በቂ ፍጥነት አለመጠቀም ሐ. በጥንካሬ ላይ ከመጠን በላይ መታመን መ. የተቃዋሚውን እንቅስቃሴ የተሳሳተ ግምት መስጠት.</v>
      </c>
      <c r="J129" s="8" t="str">
        <f>IFERROR(__xludf.DUMMYFUNCTION(" GOOGLETRANSLATE(D129, ""en"", ""am"")"),"ትክክለኛ መያዣ እጥረት")</f>
        <v>ትክክለኛ መያዣ እጥረት</v>
      </c>
      <c r="K129" s="8" t="str">
        <f>IFERROR(__xludf.DUMMYFUNCTION(" GOOGLETRANSLATE(E129, ""en"", ""am"")"),"ትክክለኛ የመጨበጥ እጥረት መወርወር እንዲወድቅ ሊያደርግ ይችላል ወይም ተጋጣሚውን ለቆጣሪዎች ተጋላጭ ያደርገዋል።")</f>
        <v>ትክክለኛ የመጨበጥ እጥረት መወርወር እንዲወድቅ ሊያደርግ ይችላል ወይም ተጋጣሚውን ለቆጣሪዎች ተጋላጭ ያደርገዋል።</v>
      </c>
    </row>
    <row r="130" ht="22.5" customHeight="1">
      <c r="A130" s="13">
        <v>129.0</v>
      </c>
      <c r="B130" s="8" t="s">
        <v>2835</v>
      </c>
      <c r="C130" s="14" t="s">
        <v>2836</v>
      </c>
      <c r="D130" s="8" t="s">
        <v>2837</v>
      </c>
      <c r="E130" s="8" t="s">
        <v>2838</v>
      </c>
      <c r="G130" s="8" t="str">
        <f>IFERROR(__xludf.DUMMYFUNCTION(" GOOGLETRANSLATE(A130, ""en"", ""am"")"),"129")</f>
        <v>129</v>
      </c>
      <c r="H130" s="8" t="str">
        <f>IFERROR(__xludf.DUMMYFUNCTION(" GOOGLETRANSLATE(B130, ""en"", ""am"")"),"በሲዳማ ሬስሊንግ ላይ የሰውነት መቆለፍ ዓላማው ምንድን ነው?")</f>
        <v>በሲዳማ ሬስሊንግ ላይ የሰውነት መቆለፍ ዓላማው ምንድን ነው?</v>
      </c>
      <c r="I130" s="8" t="str">
        <f>IFERROR(__xludf.DUMMYFUNCTION(" GOOGLETRANSLATE(C130, ""en"", ""am"")"),"ሀ. የተቃዋሚውን አካል ለመቆጣጠር ለ. የተቃዋሚውን እጆች ለመስበር ሐ. ከማስረከብ ለማምለጥ መ. ጥንካሬን ለመጨመር")</f>
        <v>ሀ. የተቃዋሚውን አካል ለመቆጣጠር ለ. የተቃዋሚውን እጆች ለመስበር ሐ. ከማስረከብ ለማምለጥ መ. ጥንካሬን ለመጨመር</v>
      </c>
      <c r="J130" s="8" t="str">
        <f>IFERROR(__xludf.DUMMYFUNCTION(" GOOGLETRANSLATE(D130, ""en"", ""am"")"),"የተቃዋሚውን አካል ለመቆጣጠር")</f>
        <v>የተቃዋሚውን አካል ለመቆጣጠር</v>
      </c>
      <c r="K130" s="8" t="str">
        <f>IFERROR(__xludf.DUMMYFUNCTION(" GOOGLETRANSLATE(E130, ""en"", ""am"")"),"የሰውነት መቆለፊያ ተፋላሚው የተቃዋሚውን የላይኛው አካል እንዲቆጣጠር እና ማምለጫውን እንዲከላከል ያስችለዋል።")</f>
        <v>የሰውነት መቆለፊያ ተፋላሚው የተቃዋሚውን የላይኛው አካል እንዲቆጣጠር እና ማምለጫውን እንዲከላከል ያስችለዋል።</v>
      </c>
    </row>
    <row r="131" ht="22.5" customHeight="1">
      <c r="A131" s="13">
        <v>130.0</v>
      </c>
      <c r="B131" s="8" t="s">
        <v>2839</v>
      </c>
      <c r="C131" s="14" t="s">
        <v>2840</v>
      </c>
      <c r="D131" s="8" t="s">
        <v>2841</v>
      </c>
      <c r="E131" s="8" t="s">
        <v>2842</v>
      </c>
      <c r="G131" s="8" t="str">
        <f>IFERROR(__xludf.DUMMYFUNCTION(" GOOGLETRANSLATE(A131, ""en"", ""am"")"),"130")</f>
        <v>130</v>
      </c>
      <c r="H131" s="8" t="str">
        <f>IFERROR(__xludf.DUMMYFUNCTION(" GOOGLETRANSLATE(B131, ""en"", ""am"")"),"በሲዳማ ሬስሊንግ 'መሰካት' ምንን ያመለክታል?")</f>
        <v>በሲዳማ ሬስሊንግ 'መሰካት' ምንን ያመለክታል?</v>
      </c>
      <c r="I131" s="8" t="str">
        <f>IFERROR(__xludf.DUMMYFUNCTION(" GOOGLETRANSLATE(C131, ""en"", ""am"")"),"ሀ. የተቃዋሚውን ትከሻ ወደ ምንጣፉ መያዝ B. ተቃዋሚውን ማስገባት ሐ. ተቃዋሚውን ማንሳት D. ተቀናቃኙን ከቀለበት ውስጥ መወርወር")</f>
        <v>ሀ. የተቃዋሚውን ትከሻ ወደ ምንጣፉ መያዝ B. ተቃዋሚውን ማስገባት ሐ. ተቃዋሚውን ማንሳት D. ተቀናቃኙን ከቀለበት ውስጥ መወርወር</v>
      </c>
      <c r="J131" s="8" t="str">
        <f>IFERROR(__xludf.DUMMYFUNCTION(" GOOGLETRANSLATE(D131, ""en"", ""am"")"),"የተቃዋሚውን ትከሻዎች ወደ ምንጣፉ በመያዝ")</f>
        <v>የተቃዋሚውን ትከሻዎች ወደ ምንጣፉ በመያዝ</v>
      </c>
      <c r="K131" s="8" t="str">
        <f>IFERROR(__xludf.DUMMYFUNCTION(" GOOGLETRANSLATE(E131, ""en"", ""am"")"),"መሰካት ግጥሚያውን ለማሸነፍ የተቃዋሚውን ትከሻ ምንጣፉ ላይ ለተወሰነ ጊዜ መያዝን ያካትታል።")</f>
        <v>መሰካት ግጥሚያውን ለማሸነፍ የተቃዋሚውን ትከሻ ምንጣፉ ላይ ለተወሰነ ጊዜ መያዝን ያካትታል።</v>
      </c>
    </row>
    <row r="132" ht="22.5" customHeight="1">
      <c r="A132" s="13">
        <v>131.0</v>
      </c>
      <c r="B132" s="8" t="s">
        <v>2843</v>
      </c>
      <c r="C132" s="14" t="s">
        <v>2844</v>
      </c>
      <c r="D132" s="8" t="s">
        <v>2845</v>
      </c>
      <c r="E132" s="8" t="s">
        <v>2846</v>
      </c>
      <c r="G132" s="8" t="str">
        <f>IFERROR(__xludf.DUMMYFUNCTION(" GOOGLETRANSLATE(A132, ""en"", ""am"")"),"131")</f>
        <v>131</v>
      </c>
      <c r="H132" s="8" t="str">
        <f>IFERROR(__xludf.DUMMYFUNCTION(" GOOGLETRANSLATE(B132, ""en"", ""am"")"),"በተለምዶ የሲዳማ ታጋዮች ጨዋታን እንዴት ያሸንፋሉ?")</f>
        <v>በተለምዶ የሲዳማ ታጋዮች ጨዋታን እንዴት ያሸንፋሉ?</v>
      </c>
      <c r="I132" s="8" t="str">
        <f>IFERROR(__xludf.DUMMYFUNCTION(" GOOGLETRANSLATE(C132, ""en"", ""am"")"),"ሀ. ተቃዋሚውን በማንኳኳት ለ. ሁለቱንም ትከሻዎች ምንጣፉ ላይ በማሰር ሐ. ተቃዋሚውን በማስረከብ መ. የተቃዋሚውን ብርታት በማለፍ")</f>
        <v>ሀ. ተቃዋሚውን በማንኳኳት ለ. ሁለቱንም ትከሻዎች ምንጣፉ ላይ በማሰር ሐ. ተቃዋሚውን በማስረከብ መ. የተቃዋሚውን ብርታት በማለፍ</v>
      </c>
      <c r="J132" s="8" t="str">
        <f>IFERROR(__xludf.DUMMYFUNCTION(" GOOGLETRANSLATE(D132, ""en"", ""am"")"),"ሁለቱንም ትከሻዎች ወደ ምንጣፉ በማያያዝ")</f>
        <v>ሁለቱንም ትከሻዎች ወደ ምንጣፉ በማያያዝ</v>
      </c>
      <c r="K132" s="8" t="str">
        <f>IFERROR(__xludf.DUMMYFUNCTION(" GOOGLETRANSLATE(E132, ""en"", ""am"")"),"ድል ​​የሚገኘው የተቃዋሚውን ትከሻዎች ምንጣፉ ላይ ለተወሰነ ጊዜ በማያያዝ ነው።")</f>
        <v>ድል ​​የሚገኘው የተቃዋሚውን ትከሻዎች ምንጣፉ ላይ ለተወሰነ ጊዜ በማያያዝ ነው።</v>
      </c>
    </row>
    <row r="133" ht="22.5" customHeight="1">
      <c r="A133" s="13">
        <v>132.0</v>
      </c>
      <c r="B133" s="8" t="s">
        <v>2847</v>
      </c>
      <c r="C133" s="14" t="s">
        <v>2848</v>
      </c>
      <c r="D133" s="8" t="s">
        <v>2801</v>
      </c>
      <c r="E133" s="8" t="s">
        <v>2849</v>
      </c>
      <c r="G133" s="8" t="str">
        <f>IFERROR(__xludf.DUMMYFUNCTION(" GOOGLETRANSLATE(A133, ""en"", ""am"")"),"132")</f>
        <v>132</v>
      </c>
      <c r="H133" s="8" t="str">
        <f>IFERROR(__xludf.DUMMYFUNCTION(" GOOGLETRANSLATE(B133, ""en"", ""am"")"),"በሲዳማ ሬስሊንግ ውስጥ የትኛው የመከላከያ ዘዴ ነው ብዙ ጊዜ ጥቅም ላይ የሚውለው?")</f>
        <v>በሲዳማ ሬስሊንግ ውስጥ የትኛው የመከላከያ ዘዴ ነው ብዙ ጊዜ ጥቅም ላይ የሚውለው?</v>
      </c>
      <c r="I133" s="8" t="str">
        <f>IFERROR(__xludf.DUMMYFUNCTION(" GOOGLETRANSLATE(C133, ""en"", ""am"")"),"ሀ. እግር መጥረግ ለ. የማምለጫ ጥቅል ሐ. የጭንቅላት መቆለፍ D. ማስገባት")</f>
        <v>ሀ. እግር መጥረግ ለ. የማምለጫ ጥቅል ሐ. የጭንቅላት መቆለፍ D. ማስገባት</v>
      </c>
      <c r="J133" s="8" t="str">
        <f>IFERROR(__xludf.DUMMYFUNCTION(" GOOGLETRANSLATE(D133, ""en"", ""am"")"),"የማምለጫ ጥቅል")</f>
        <v>የማምለጫ ጥቅል</v>
      </c>
      <c r="K133" s="8" t="str">
        <f>IFERROR(__xludf.DUMMYFUNCTION(" GOOGLETRANSLATE(E133, ""en"", ""am"")"),"የማምለጫ ጥቅል ከፒን ወይም ከሌሎች መያዣዎች ለመላቀቅ ቁልፍ የመከላከያ ዘዴ ነው።")</f>
        <v>የማምለጫ ጥቅል ከፒን ወይም ከሌሎች መያዣዎች ለመላቀቅ ቁልፍ የመከላከያ ዘዴ ነው።</v>
      </c>
    </row>
    <row r="134" ht="22.5" customHeight="1">
      <c r="A134" s="13">
        <v>133.0</v>
      </c>
      <c r="B134" s="8" t="s">
        <v>2850</v>
      </c>
      <c r="C134" s="14" t="s">
        <v>2851</v>
      </c>
      <c r="D134" s="8" t="s">
        <v>2852</v>
      </c>
      <c r="E134" s="8" t="s">
        <v>2853</v>
      </c>
      <c r="G134" s="8" t="str">
        <f>IFERROR(__xludf.DUMMYFUNCTION(" GOOGLETRANSLATE(A134, ""en"", ""am"")"),"133")</f>
        <v>133</v>
      </c>
      <c r="H134" s="8" t="str">
        <f>IFERROR(__xludf.DUMMYFUNCTION(" GOOGLETRANSLATE(B134, ""en"", ""am"")"),"የሲዳማ ሬስሊንግ በስልጠናው ላይ የበለጠ ትኩረት የሚያደርገው ምንድን ነው?")</f>
        <v>የሲዳማ ሬስሊንግ በስልጠናው ላይ የበለጠ ትኩረት የሚያደርገው ምንድን ነው?</v>
      </c>
      <c r="I134" s="8" t="str">
        <f>IFERROR(__xludf.DUMMYFUNCTION(" GOOGLETRANSLATE(C134, ""en"", ""am"")"),"ሀ. ፍጥነት እና ሃይል ለ. ተለዋዋጭነት እና ፅናት ሐ. ጥንካሬ እና ቴክኒክ መ. ኮንዲሽን እና ጥንካሬ")</f>
        <v>ሀ. ፍጥነት እና ሃይል ለ. ተለዋዋጭነት እና ፅናት ሐ. ጥንካሬ እና ቴክኒክ መ. ኮንዲሽን እና ጥንካሬ</v>
      </c>
      <c r="J134" s="8" t="str">
        <f>IFERROR(__xludf.DUMMYFUNCTION(" GOOGLETRANSLATE(D134, ""en"", ""am"")"),"ጥንካሬ እና ቴክኒክ")</f>
        <v>ጥንካሬ እና ቴክኒክ</v>
      </c>
      <c r="K134" s="8" t="str">
        <f>IFERROR(__xludf.DUMMYFUNCTION(" GOOGLETRANSLATE(E134, ""en"", ""am"")"),"የሲዳማ ሬስሊንግ ጥንካሬ እና ቴክኒካል ብቃትን ለማሳደግ ከፍተኛ ትኩረት ሰጥቷል።")</f>
        <v>የሲዳማ ሬስሊንግ ጥንካሬ እና ቴክኒካል ብቃትን ለማሳደግ ከፍተኛ ትኩረት ሰጥቷል።</v>
      </c>
    </row>
    <row r="135" ht="22.5" customHeight="1">
      <c r="A135" s="13">
        <v>134.0</v>
      </c>
      <c r="B135" s="8" t="s">
        <v>2854</v>
      </c>
      <c r="C135" s="14" t="s">
        <v>2855</v>
      </c>
      <c r="D135" s="8" t="s">
        <v>2856</v>
      </c>
      <c r="E135" s="8" t="s">
        <v>2857</v>
      </c>
      <c r="G135" s="8" t="str">
        <f>IFERROR(__xludf.DUMMYFUNCTION(" GOOGLETRANSLATE(A135, ""en"", ""am"")"),"134")</f>
        <v>134</v>
      </c>
      <c r="H135" s="8" t="str">
        <f>IFERROR(__xludf.DUMMYFUNCTION(" GOOGLETRANSLATE(B135, ""en"", ""am"")"),"ከሚከተሉት ውስጥ በብዛት ጥቅም ላይ የዋለው የሲዳማ ሬስሊንግ መያዣ የትኛው ነው?")</f>
        <v>ከሚከተሉት ውስጥ በብዛት ጥቅም ላይ የዋለው የሲዳማ ሬስሊንግ መያዣ የትኛው ነው?</v>
      </c>
      <c r="I135" s="8" t="str">
        <f>IFERROR(__xludf.DUMMYFUNCTION(" GOOGLETRANSLATE(C135, ""en"", ""am"")"),"ሀ. በእጅ መጨበጥ ለ. የእጅ መያዣ C. ፓልም መያዣ መ. ድርብ የእጅ አንጓ መያዣ")</f>
        <v>ሀ. በእጅ መጨበጥ ለ. የእጅ መያዣ C. ፓልም መያዣ መ. ድርብ የእጅ አንጓ መያዣ</v>
      </c>
      <c r="J135" s="8" t="str">
        <f>IFERROR(__xludf.DUMMYFUNCTION(" GOOGLETRANSLATE(D135, ""en"", ""am"")"),"ድርብ የእጅ አንጓ መያዣ")</f>
        <v>ድርብ የእጅ አንጓ መያዣ</v>
      </c>
      <c r="K135" s="8" t="str">
        <f>IFERROR(__xludf.DUMMYFUNCTION(" GOOGLETRANSLATE(E135, ""en"", ""am"")"),"ባለ ሁለት አንጓ መያዣ የተቃዋሚውን እጆች ለመቆጣጠር እና ውርወራዎችን ለማዘጋጀት የተለመደ ዘዴ ነው.")</f>
        <v>ባለ ሁለት አንጓ መያዣ የተቃዋሚውን እጆች ለመቆጣጠር እና ውርወራዎችን ለማዘጋጀት የተለመደ ዘዴ ነው.</v>
      </c>
    </row>
    <row r="136" ht="22.5" customHeight="1">
      <c r="A136" s="13">
        <v>135.0</v>
      </c>
      <c r="B136" s="8" t="s">
        <v>2858</v>
      </c>
      <c r="C136" s="14" t="s">
        <v>2859</v>
      </c>
      <c r="D136" s="8" t="s">
        <v>2860</v>
      </c>
      <c r="E136" s="8" t="s">
        <v>2861</v>
      </c>
      <c r="G136" s="8" t="str">
        <f>IFERROR(__xludf.DUMMYFUNCTION(" GOOGLETRANSLATE(A136, ""en"", ""am"")"),"135")</f>
        <v>135</v>
      </c>
      <c r="H136" s="8" t="str">
        <f>IFERROR(__xludf.DUMMYFUNCTION(" GOOGLETRANSLATE(B136, ""en"", ""am"")"),"በሲዳማ ሬስሊንግ ውርወራ ሲፈፀም ዋናው ግብ ምንድን ነው?")</f>
        <v>በሲዳማ ሬስሊንግ ውርወራ ሲፈፀም ዋናው ግብ ምንድን ነው?</v>
      </c>
      <c r="I136" s="8" t="str">
        <f>IFERROR(__xludf.DUMMYFUNCTION(" GOOGLETRANSLATE(C136, ""en"", ""am"")"),"ሀ. ተቀናቃኙን ለማንኳኳት ለ. ተቃዋሚውን ወደ መሬት ማምጣት ሐ. ተቀናቃኙን ማስገባት መ. ፒን ለማስፈጸም")</f>
        <v>ሀ. ተቀናቃኙን ለማንኳኳት ለ. ተቃዋሚውን ወደ መሬት ማምጣት ሐ. ተቀናቃኙን ማስገባት መ. ፒን ለማስፈጸም</v>
      </c>
      <c r="J136" s="8" t="str">
        <f>IFERROR(__xludf.DUMMYFUNCTION(" GOOGLETRANSLATE(D136, ""en"", ""am"")"),"ተቃዋሚውን ወደ መሬት ለማምጣት")</f>
        <v>ተቃዋሚውን ወደ መሬት ለማምጣት</v>
      </c>
      <c r="K136" s="8" t="str">
        <f>IFERROR(__xludf.DUMMYFUNCTION(" GOOGLETRANSLATE(E136, ""en"", ""am"")"),"ዋናው ግቡ ፒን ለማዘጋጀት ተፎካካሪውን በተቆጣጠረ መንገድ ወደ መሬት ማምጣት ነው.")</f>
        <v>ዋናው ግቡ ፒን ለማዘጋጀት ተፎካካሪውን በተቆጣጠረ መንገድ ወደ መሬት ማምጣት ነው.</v>
      </c>
    </row>
    <row r="137" ht="22.5" customHeight="1">
      <c r="A137" s="13">
        <v>136.0</v>
      </c>
      <c r="B137" s="8" t="s">
        <v>2862</v>
      </c>
      <c r="C137" s="14" t="s">
        <v>2863</v>
      </c>
      <c r="D137" s="8" t="s">
        <v>2638</v>
      </c>
      <c r="E137" s="8" t="s">
        <v>2864</v>
      </c>
      <c r="G137" s="8" t="str">
        <f>IFERROR(__xludf.DUMMYFUNCTION(" GOOGLETRANSLATE(A137, ""en"", ""am"")"),"136")</f>
        <v>136</v>
      </c>
      <c r="H137" s="8" t="str">
        <f>IFERROR(__xludf.DUMMYFUNCTION(" GOOGLETRANSLATE(B137, ""en"", ""am"")"),"የሲዳማ ትግል ዋና አላማው ምንድን ነው?")</f>
        <v>የሲዳማ ትግል ዋና አላማው ምንድን ነው?</v>
      </c>
      <c r="I137" s="8" t="str">
        <f>IFERROR(__xludf.DUMMYFUNCTION(" GOOGLETRANSLATE(C137, ""en"", ""am"")"),"ሀ. የተፎካካሪውን ትከሻ ምንጣፉ ላይ ለመሰካት ለ. ተቃዋሚውን ለማንኳኳት ሐ. ተቀናቃኙን ማስረከብ መ. ተቃዋሚውን መታ እንዲወጣ ማስገደድ")</f>
        <v>ሀ. የተፎካካሪውን ትከሻ ምንጣፉ ላይ ለመሰካት ለ. ተቃዋሚውን ለማንኳኳት ሐ. ተቀናቃኙን ማስረከብ መ. ተቃዋሚውን መታ እንዲወጣ ማስገደድ</v>
      </c>
      <c r="J137" s="8" t="str">
        <f>IFERROR(__xludf.DUMMYFUNCTION(" GOOGLETRANSLATE(D137, ""en"", ""am"")"),"የተቃዋሚውን ትከሻዎች ወደ ምንጣፉ ለመሰካት")</f>
        <v>የተቃዋሚውን ትከሻዎች ወደ ምንጣፉ ለመሰካት</v>
      </c>
      <c r="K137" s="8" t="str">
        <f>IFERROR(__xludf.DUMMYFUNCTION(" GOOGLETRANSLATE(E137, ""en"", ""am"")"),"ዋናው ግብ ሁለቱንም የተቃዋሚ ትከሻዎች ምንጣፉ ላይ መሰካት ነው።")</f>
        <v>ዋናው ግብ ሁለቱንም የተቃዋሚ ትከሻዎች ምንጣፉ ላይ መሰካት ነው።</v>
      </c>
    </row>
    <row r="138" ht="22.5" customHeight="1">
      <c r="A138" s="13">
        <v>137.0</v>
      </c>
      <c r="B138" s="8" t="s">
        <v>2865</v>
      </c>
      <c r="C138" s="14" t="s">
        <v>2866</v>
      </c>
      <c r="D138" s="8" t="s">
        <v>2867</v>
      </c>
      <c r="E138" s="8" t="s">
        <v>2868</v>
      </c>
      <c r="G138" s="8" t="str">
        <f>IFERROR(__xludf.DUMMYFUNCTION(" GOOGLETRANSLATE(A138, ""en"", ""am"")"),"137")</f>
        <v>137</v>
      </c>
      <c r="H138" s="8" t="str">
        <f>IFERROR(__xludf.DUMMYFUNCTION(" GOOGLETRANSLATE(B138, ""en"", ""am"")"),"በሲዳማ ሬስሊንግ የትኛው የሰውነት ክፍል በብዛት ለውርወራ ይጋለጣል?")</f>
        <v>በሲዳማ ሬስሊንግ የትኛው የሰውነት ክፍል በብዛት ለውርወራ ይጋለጣል?</v>
      </c>
      <c r="I138" s="8" t="str">
        <f>IFERROR(__xludf.DUMMYFUNCTION(" GOOGLETRANSLATE(C138, ""en"", ""am"")"),"ሀ. ክንዶች ቢ. እግሮች ሐ. አንገት ዲ.ቶርሶ")</f>
        <v>ሀ. ክንዶች ቢ. እግሮች ሐ. አንገት ዲ.ቶርሶ</v>
      </c>
      <c r="J138" s="8" t="str">
        <f>IFERROR(__xludf.DUMMYFUNCTION(" GOOGLETRANSLATE(D138, ""en"", ""am"")"),"ቶርሶ")</f>
        <v>ቶርሶ</v>
      </c>
      <c r="K138" s="8" t="str">
        <f>IFERROR(__xludf.DUMMYFUNCTION(" GOOGLETRANSLATE(E138, ""en"", ""am"")"),"ቶርሶ ብዙውን ጊዜ በማዕከላዊ ቦታው እና በቁጥጥሩ ምክንያት ለመጣል ትኩረት ይሰጣል።")</f>
        <v>ቶርሶ ብዙውን ጊዜ በማዕከላዊ ቦታው እና በቁጥጥሩ ምክንያት ለመጣል ትኩረት ይሰጣል።</v>
      </c>
    </row>
    <row r="139" ht="22.5" customHeight="1">
      <c r="A139" s="13">
        <v>138.0</v>
      </c>
      <c r="B139" s="8" t="s">
        <v>2869</v>
      </c>
      <c r="C139" s="14" t="s">
        <v>2870</v>
      </c>
      <c r="D139" s="8" t="s">
        <v>2731</v>
      </c>
      <c r="E139" s="8" t="s">
        <v>2871</v>
      </c>
      <c r="G139" s="8" t="str">
        <f>IFERROR(__xludf.DUMMYFUNCTION(" GOOGLETRANSLATE(A139, ""en"", ""am"")"),"138")</f>
        <v>138</v>
      </c>
      <c r="H139" s="8" t="str">
        <f>IFERROR(__xludf.DUMMYFUNCTION(" GOOGLETRANSLATE(B139, ""en"", ""am"")"),"በሲዳማ ሬስሊንግ ውስጥ የ ክሊች ሚና ምንድነው?")</f>
        <v>በሲዳማ ሬስሊንግ ውስጥ የ ክሊች ሚና ምንድነው?</v>
      </c>
      <c r="I139" s="8" t="str">
        <f>IFERROR(__xludf.DUMMYFUNCTION(" GOOGLETRANSLATE(C139, ""en"", ""am"")"),"ሀ. የተቃዋሚውን እንቅስቃሴ ለመቆጣጠር ለ. ለማውረድ C. ለማረፍ እና ጉልበት ለማግኘት መ. ማስረከብን ለማስፈጸም")</f>
        <v>ሀ. የተቃዋሚውን እንቅስቃሴ ለመቆጣጠር ለ. ለማውረድ C. ለማረፍ እና ጉልበት ለማግኘት መ. ማስረከብን ለማስፈጸም</v>
      </c>
      <c r="J139" s="8" t="str">
        <f>IFERROR(__xludf.DUMMYFUNCTION(" GOOGLETRANSLATE(D139, ""en"", ""am"")"),"የተቃዋሚውን እንቅስቃሴ ለመቆጣጠር")</f>
        <v>የተቃዋሚውን እንቅስቃሴ ለመቆጣጠር</v>
      </c>
      <c r="K139" s="8" t="str">
        <f>IFERROR(__xludf.DUMMYFUNCTION(" GOOGLETRANSLATE(E139, ""en"", ""am"")"),"ክሊኒኩ ተፋላሚው የተቃዋሚውን አካል እንዲቆጣጠር እና ሌሎች ዘዴዎችን እንዲያዘጋጅ ያስችለዋል.")</f>
        <v>ክሊኒኩ ተፋላሚው የተቃዋሚውን አካል እንዲቆጣጠር እና ሌሎች ዘዴዎችን እንዲያዘጋጅ ያስችለዋል.</v>
      </c>
    </row>
    <row r="140" ht="22.5" customHeight="1">
      <c r="A140" s="13">
        <v>139.0</v>
      </c>
      <c r="B140" s="8" t="s">
        <v>2872</v>
      </c>
      <c r="C140" s="14" t="s">
        <v>2873</v>
      </c>
      <c r="D140" s="8" t="s">
        <v>2856</v>
      </c>
      <c r="E140" s="8" t="s">
        <v>2874</v>
      </c>
      <c r="G140" s="8" t="str">
        <f>IFERROR(__xludf.DUMMYFUNCTION(" GOOGLETRANSLATE(A140, ""en"", ""am"")"),"139")</f>
        <v>139</v>
      </c>
      <c r="H140" s="8" t="str">
        <f>IFERROR(__xludf.DUMMYFUNCTION(" GOOGLETRANSLATE(B140, ""en"", ""am"")"),"ከሚከተሉት ውስጥ በሲዳማ ሬስሊንግ ውስጥ በብዛት ጥቅም ላይ የሚውለው የቱ ነው?")</f>
        <v>ከሚከተሉት ውስጥ በሲዳማ ሬስሊንግ ውስጥ በብዛት ጥቅም ላይ የሚውለው የቱ ነው?</v>
      </c>
      <c r="I140" s="8" t="str">
        <f>IFERROR(__xludf.DUMMYFUNCTION(" GOOGLETRANSLATE(C140, ""en"", ""am"")"),"ሀ. ድርብ እግር መያዣ ለ. በእጅ መጨበጥ ሐ. ባለ ሁለት የእጅ አንጓ መ. በእጅ መያያዝ")</f>
        <v>ሀ. ድርብ እግር መያዣ ለ. በእጅ መጨበጥ ሐ. ባለ ሁለት የእጅ አንጓ መ. በእጅ መያያዝ</v>
      </c>
      <c r="J140" s="8" t="str">
        <f>IFERROR(__xludf.DUMMYFUNCTION(" GOOGLETRANSLATE(D140, ""en"", ""am"")"),"ድርብ የእጅ አንጓ መያዣ")</f>
        <v>ድርብ የእጅ አንጓ መያዣ</v>
      </c>
      <c r="K140" s="8" t="str">
        <f>IFERROR(__xludf.DUMMYFUNCTION(" GOOGLETRANSLATE(E140, ""en"", ""am"")"),"ባለ ሁለት አንጓ መያዣው የተቃዋሚውን እጆች ለመቆጣጠር እና ውርወራዎችን ለማዘጋጀት በተለምዶ ጥቅም ላይ ይውላል።")</f>
        <v>ባለ ሁለት አንጓ መያዣው የተቃዋሚውን እጆች ለመቆጣጠር እና ውርወራዎችን ለማዘጋጀት በተለምዶ ጥቅም ላይ ይውላል።</v>
      </c>
    </row>
    <row r="141" ht="22.5" customHeight="1">
      <c r="A141" s="13">
        <v>140.0</v>
      </c>
      <c r="B141" s="8" t="s">
        <v>2875</v>
      </c>
      <c r="C141" s="14" t="s">
        <v>2876</v>
      </c>
      <c r="D141" s="8" t="s">
        <v>2877</v>
      </c>
      <c r="E141" s="8" t="s">
        <v>2878</v>
      </c>
      <c r="G141" s="8" t="str">
        <f>IFERROR(__xludf.DUMMYFUNCTION(" GOOGLETRANSLATE(A141, ""en"", ""am"")"),"140")</f>
        <v>140</v>
      </c>
      <c r="H141" s="8" t="str">
        <f>IFERROR(__xludf.DUMMYFUNCTION(" GOOGLETRANSLATE(B141, ""en"", ""am"")"),"በሲዳማ ሬስሊንግ የተቃዋሚን አካል ለመቆጣጠር የትኛውን ዘዴ ይጠቀማል?")</f>
        <v>በሲዳማ ሬስሊንግ የተቃዋሚን አካል ለመቆጣጠር የትኛውን ዘዴ ይጠቀማል?</v>
      </c>
      <c r="I141" s="8" t="str">
        <f>IFERROR(__xludf.DUMMYFUNCTION(" GOOGLETRANSLATE(C141, ""en"", ""am"")"),"A. ክንድ መጎተት B. የሰውነት መቆለፊያ ሐ. የእግር መጥረግ D. የጭንቅላት መቆለፍ")</f>
        <v>A. ክንድ መጎተት B. የሰውነት መቆለፊያ ሐ. የእግር መጥረግ D. የጭንቅላት መቆለፍ</v>
      </c>
      <c r="J141" s="8" t="str">
        <f>IFERROR(__xludf.DUMMYFUNCTION(" GOOGLETRANSLATE(D141, ""en"", ""am"")"),"የሰውነት መቆለፊያ")</f>
        <v>የሰውነት መቆለፊያ</v>
      </c>
      <c r="K141" s="8" t="str">
        <f>IFERROR(__xludf.DUMMYFUNCTION(" GOOGLETRANSLATE(E141, ""en"", ""am"")"),"የሰውነት መቆለፊያው የተቃዋሚውን አካል ለመቆጣጠር እና ማምለጫውን ለመከላከል ቁልፍ ዘዴ ነው.")</f>
        <v>የሰውነት መቆለፊያው የተቃዋሚውን አካል ለመቆጣጠር እና ማምለጫውን ለመከላከል ቁልፍ ዘዴ ነው.</v>
      </c>
    </row>
    <row r="142" ht="22.5" customHeight="1">
      <c r="A142" s="13">
        <v>141.0</v>
      </c>
      <c r="B142" s="8" t="s">
        <v>2879</v>
      </c>
      <c r="C142" s="14" t="s">
        <v>2880</v>
      </c>
      <c r="D142" s="8" t="s">
        <v>2881</v>
      </c>
      <c r="E142" s="8" t="s">
        <v>2882</v>
      </c>
      <c r="G142" s="8" t="str">
        <f>IFERROR(__xludf.DUMMYFUNCTION(" GOOGLETRANSLATE(A142, ""en"", ""am"")"),"141")</f>
        <v>141</v>
      </c>
      <c r="H142" s="8" t="str">
        <f>IFERROR(__xludf.DUMMYFUNCTION(" GOOGLETRANSLATE(B142, ""en"", ""am"")"),"በሲዳማ ትግል ትክክለኛ የእግር ጉዞ ፋይዳው ምንድነው?")</f>
        <v>በሲዳማ ትግል ትክክለኛ የእግር ጉዞ ፋይዳው ምንድነው?</v>
      </c>
      <c r="I142" s="8" t="str">
        <f>IFERROR(__xludf.DUMMYFUNCTION(" GOOGLETRANSLATE(C142, ""en"", ""am"")"),"ሀ. ውርወራዎችን እና ውርወራዎችን ለመፈጸም ይረዳል B. ለመከላከያ እንቅስቃሴዎች ብቻ አስፈላጊ ነው ሐ. የተጋላጭነትን ጽናት ያሻሽላል D. ጉዳቶችን ይከላከላል")</f>
        <v>ሀ. ውርወራዎችን እና ውርወራዎችን ለመፈጸም ይረዳል B. ለመከላከያ እንቅስቃሴዎች ብቻ አስፈላጊ ነው ሐ. የተጋላጭነትን ጽናት ያሻሽላል D. ጉዳቶችን ይከላከላል</v>
      </c>
      <c r="J142" s="8" t="str">
        <f>IFERROR(__xludf.DUMMYFUNCTION(" GOOGLETRANSLATE(D142, ""en"", ""am"")"),"ውርወራዎችን እና ውርዶችን ለማስፈጸም ይረዳል")</f>
        <v>ውርወራዎችን እና ውርዶችን ለማስፈጸም ይረዳል</v>
      </c>
      <c r="K142" s="8" t="str">
        <f>IFERROR(__xludf.DUMMYFUNCTION(" GOOGLETRANSLATE(E142, ""en"", ""am"")"),"ጥሩ የእግር ሥራ ለተመጣጣኝ, ለጊዜ እና ለትግበራ ቴክኒኮች በጣም አስፈላጊ ነው.")</f>
        <v>ጥሩ የእግር ሥራ ለተመጣጣኝ, ለጊዜ እና ለትግበራ ቴክኒኮች በጣም አስፈላጊ ነው.</v>
      </c>
    </row>
    <row r="143" ht="22.5" customHeight="1">
      <c r="A143" s="13">
        <v>142.0</v>
      </c>
      <c r="B143" s="8" t="s">
        <v>2883</v>
      </c>
      <c r="C143" s="14" t="s">
        <v>2884</v>
      </c>
      <c r="D143" s="8" t="s">
        <v>2885</v>
      </c>
      <c r="E143" s="8" t="s">
        <v>2886</v>
      </c>
      <c r="G143" s="8" t="str">
        <f>IFERROR(__xludf.DUMMYFUNCTION(" GOOGLETRANSLATE(A143, ""en"", ""am"")"),"142")</f>
        <v>142</v>
      </c>
      <c r="H143" s="8" t="str">
        <f>IFERROR(__xludf.DUMMYFUNCTION(" GOOGLETRANSLATE(B143, ""en"", ""am"")"),"የሲዳማ ትግል ከሌሎች የትግል ዓይነቶች በምን ይለያል?")</f>
        <v>የሲዳማ ትግል ከሌሎች የትግል ዓይነቶች በምን ይለያል?</v>
      </c>
      <c r="I143" s="8" t="str">
        <f>IFERROR(__xludf.DUMMYFUNCTION(" GOOGLETRANSLATE(C143, ""en"", ""am"")"),"ሀ. ማውረጃዎችን እና ፒን ላይ አፅንዖት ይሰጣል። እሱ የሚያተኩረው በማስረከብ ላይ ብቻ ነው።")</f>
        <v>ሀ. ማውረጃዎችን እና ፒን ላይ አፅንዖት ይሰጣል። እሱ የሚያተኩረው በማስረከብ ላይ ብቻ ነው።</v>
      </c>
      <c r="J143" s="8" t="str">
        <f>IFERROR(__xludf.DUMMYFUNCTION(" GOOGLETRANSLATE(D143, ""en"", ""am"")"),"ማውረጃዎችን እና መሰካትን አጽንዖት ይሰጣል")</f>
        <v>ማውረጃዎችን እና መሰካትን አጽንዖት ይሰጣል</v>
      </c>
      <c r="K143" s="8" t="str">
        <f>IFERROR(__xludf.DUMMYFUNCTION(" GOOGLETRANSLATE(E143, ""en"", ""am"")"),"የሲዳማ ሬስሊንግ በማውረድ እና በፒን ማሳካት ላይ ትኩረት በማድረግ ይታወቃል።")</f>
        <v>የሲዳማ ሬስሊንግ በማውረድ እና በፒን ማሳካት ላይ ትኩረት በማድረግ ይታወቃል።</v>
      </c>
    </row>
    <row r="144" ht="22.5" customHeight="1">
      <c r="A144" s="13">
        <v>143.0</v>
      </c>
      <c r="B144" s="8" t="s">
        <v>2887</v>
      </c>
      <c r="C144" s="14" t="s">
        <v>2888</v>
      </c>
      <c r="D144" s="8" t="s">
        <v>2889</v>
      </c>
      <c r="E144" s="8" t="s">
        <v>2890</v>
      </c>
      <c r="G144" s="8" t="str">
        <f>IFERROR(__xludf.DUMMYFUNCTION(" GOOGLETRANSLATE(A144, ""en"", ""am"")"),"143")</f>
        <v>143</v>
      </c>
      <c r="H144" s="8" t="str">
        <f>IFERROR(__xludf.DUMMYFUNCTION(" GOOGLETRANSLATE(B144, ""en"", ""am"")"),"በሲዳማ ሬስሊንግ ዝግጅት ላይ ምን አይነት ስልጠና በብዛት ይካተታል?")</f>
        <v>በሲዳማ ሬስሊንግ ዝግጅት ላይ ምን አይነት ስልጠና በብዛት ይካተታል?</v>
      </c>
      <c r="I144" s="8" t="str">
        <f>IFERROR(__xludf.DUMMYFUNCTION(" GOOGLETRANSLATE(C144, ""en"", ""am"")"),"ሀ. የጥንካሬ ስልጠና እና ቴክኒክ ልምምዶች ለ. የካርዲዮ እና የፅናት ስልጠና ሐ. የፍጥነት ልምምዶች እና የችሎታ ስልጠና መ. ተለዋዋጭነት እና የመለጠጥ ልምምድ")</f>
        <v>ሀ. የጥንካሬ ስልጠና እና ቴክኒክ ልምምዶች ለ. የካርዲዮ እና የፅናት ስልጠና ሐ. የፍጥነት ልምምዶች እና የችሎታ ስልጠና መ. ተለዋዋጭነት እና የመለጠጥ ልምምድ</v>
      </c>
      <c r="J144" s="8" t="str">
        <f>IFERROR(__xludf.DUMMYFUNCTION(" GOOGLETRANSLATE(D144, ""en"", ""am"")"),"የጥንካሬ ስልጠና እና ቴክኒክ ልምምዶች")</f>
        <v>የጥንካሬ ስልጠና እና ቴክኒክ ልምምዶች</v>
      </c>
      <c r="K144" s="8" t="str">
        <f>IFERROR(__xludf.DUMMYFUNCTION(" GOOGLETRANSLATE(E144, ""en"", ""am"")"),"የሲዳማ ሬስሊንግ ዝግጅት የጥንካሬ ስልጠና እና ቴክኒክ ልምምድን ያጠቃልላል።")</f>
        <v>የሲዳማ ሬስሊንግ ዝግጅት የጥንካሬ ስልጠና እና ቴክኒክ ልምምድን ያጠቃልላል።</v>
      </c>
    </row>
    <row r="145" ht="22.5" customHeight="1">
      <c r="A145" s="13">
        <v>144.0</v>
      </c>
      <c r="B145" s="8" t="s">
        <v>2550</v>
      </c>
      <c r="C145" s="14" t="s">
        <v>2891</v>
      </c>
      <c r="D145" s="8" t="s">
        <v>2892</v>
      </c>
      <c r="E145" s="8" t="s">
        <v>2893</v>
      </c>
      <c r="G145" s="8" t="str">
        <f>IFERROR(__xludf.DUMMYFUNCTION(" GOOGLETRANSLATE(A145, ""en"", ""am"")"),"144")</f>
        <v>144</v>
      </c>
      <c r="H145" s="8" t="str">
        <f>IFERROR(__xludf.DUMMYFUNCTION(" GOOGLETRANSLATE(B145, ""en"", ""am"")"),"በሲዳማ ሬስሊንግ የእጅ አንጓ መቆጣጠሪያ አላማው ምንድን ነው?")</f>
        <v>በሲዳማ ሬስሊንግ የእጅ አንጓ መቆጣጠሪያ አላማው ምንድን ነው?</v>
      </c>
      <c r="I145" s="8" t="str">
        <f>IFERROR(__xludf.DUMMYFUNCTION(" GOOGLETRANSLATE(C145, ""en"", ""am"")"),"ሀ. ማውረጃዎችን ለማስፈጸም እና ለመጣል ለ. ተቃዋሚውን ለማድከም ​​ሐ. የተቃዋሚውን ክንድ ለመቆለፍ መ. ተቃዋሚው እንዳያመልጥ ለመከላከል")</f>
        <v>ሀ. ማውረጃዎችን ለማስፈጸም እና ለመጣል ለ. ተቃዋሚውን ለማድከም ​​ሐ. የተቃዋሚውን ክንድ ለመቆለፍ መ. ተቃዋሚው እንዳያመልጥ ለመከላከል</v>
      </c>
      <c r="J145" s="8" t="str">
        <f>IFERROR(__xludf.DUMMYFUNCTION(" GOOGLETRANSLATE(D145, ""en"", ""am"")"),"ማውረድ እና መወርወርን ለማስፈጸም")</f>
        <v>ማውረድ እና መወርወርን ለማስፈጸም</v>
      </c>
      <c r="K145" s="8" t="str">
        <f>IFERROR(__xludf.DUMMYFUNCTION(" GOOGLETRANSLATE(E145, ""en"", ""am"")"),"የእጅ አንጓ ቁጥጥር የበላይነትን ለመጠበቅ እና ውርወራዎችን ለማዘጋጀት ወሳኝ ነው።")</f>
        <v>የእጅ አንጓ ቁጥጥር የበላይነትን ለመጠበቅ እና ውርወራዎችን ለማዘጋጀት ወሳኝ ነው።</v>
      </c>
    </row>
    <row r="146" ht="22.5" customHeight="1">
      <c r="A146" s="13">
        <v>145.0</v>
      </c>
      <c r="B146" s="8" t="s">
        <v>2894</v>
      </c>
      <c r="C146" s="14" t="s">
        <v>2895</v>
      </c>
      <c r="D146" s="8" t="s">
        <v>2896</v>
      </c>
      <c r="E146" s="8" t="s">
        <v>2897</v>
      </c>
      <c r="G146" s="8" t="str">
        <f>IFERROR(__xludf.DUMMYFUNCTION(" GOOGLETRANSLATE(A146, ""en"", ""am"")"),"145")</f>
        <v>145</v>
      </c>
      <c r="H146" s="8" t="str">
        <f>IFERROR(__xludf.DUMMYFUNCTION(" GOOGLETRANSLATE(B146, ""en"", ""am"")"),"በሲዳማ ትግል ከፒን ለማምለጥ ከሚከተሉት ውስጥ የትኛው የተለመደ መንገድ ነው?")</f>
        <v>በሲዳማ ትግል ከፒን ለማምለጥ ከሚከተሉት ውስጥ የትኛው የተለመደ መንገድ ነው?</v>
      </c>
      <c r="I146" s="8" t="str">
        <f>IFERROR(__xludf.DUMMYFUNCTION(" GOOGLETRANSLATE(C146, ""en"", ""am"")"),"A. ሮሊንግ ማምለጥ ለ. የእግር መጥረግ ሐ. የአንገት ክራንች D. Backflip")</f>
        <v>A. ሮሊንግ ማምለጥ ለ. የእግር መጥረግ ሐ. የአንገት ክራንች D. Backflip</v>
      </c>
      <c r="J146" s="8" t="str">
        <f>IFERROR(__xludf.DUMMYFUNCTION(" GOOGLETRANSLATE(D146, ""en"", ""am"")"),"የሚንከባለል ማምለጫ")</f>
        <v>የሚንከባለል ማምለጫ</v>
      </c>
      <c r="K146" s="8" t="str">
        <f>IFERROR(__xludf.DUMMYFUNCTION(" GOOGLETRANSLATE(E146, ""en"", ""am"")"),"የሚንከባለል ማምለጫ ተፋላሚው ከፒን እንዲላቀቅ እና እንደገና እንዲቆጣጠር ያስችለዋል።")</f>
        <v>የሚንከባለል ማምለጫ ተፋላሚው ከፒን እንዲላቀቅ እና እንደገና እንዲቆጣጠር ያስችለዋል።</v>
      </c>
    </row>
    <row r="147" ht="22.5" customHeight="1">
      <c r="A147" s="13">
        <v>146.0</v>
      </c>
      <c r="B147" s="8" t="s">
        <v>2898</v>
      </c>
      <c r="C147" s="14" t="s">
        <v>2899</v>
      </c>
      <c r="D147" s="8" t="s">
        <v>2900</v>
      </c>
      <c r="E147" s="8" t="s">
        <v>2901</v>
      </c>
      <c r="G147" s="8" t="str">
        <f>IFERROR(__xludf.DUMMYFUNCTION(" GOOGLETRANSLATE(A147, ""en"", ""am"")"),"146")</f>
        <v>146</v>
      </c>
      <c r="H147" s="8" t="str">
        <f>IFERROR(__xludf.DUMMYFUNCTION(" GOOGLETRANSLATE(B147, ""en"", ""am"")"),"በሲዳማ ሬስሊንግ የተሳካ ማውረዱ ምንን ያካትታል?")</f>
        <v>በሲዳማ ሬስሊንግ የተሳካ ማውረዱ ምንን ያካትታል?</v>
      </c>
      <c r="I147" s="8" t="str">
        <f>IFERROR(__xludf.DUMMYFUNCTION(" GOOGLETRANSLATE(C147, ""en"", ""am"")"),"ሀ. ተቃዋሚውን ከመሬት ላይ ማንሳት ለ. ተቃዋሚውን ምንጣፉ ላይ መወርወር ሐ. ተቀናቃኙን መሰካት D. የማስረከቢያ መያዣን በመጠቀም")</f>
        <v>ሀ. ተቃዋሚውን ከመሬት ላይ ማንሳት ለ. ተቃዋሚውን ምንጣፉ ላይ መወርወር ሐ. ተቀናቃኙን መሰካት D. የማስረከቢያ መያዣን በመጠቀም</v>
      </c>
      <c r="J147" s="8" t="str">
        <f>IFERROR(__xludf.DUMMYFUNCTION(" GOOGLETRANSLATE(D147, ""en"", ""am"")"),"ተቃዋሚውን ምንጣፉ ላይ መወርወር")</f>
        <v>ተቃዋሚውን ምንጣፉ ላይ መወርወር</v>
      </c>
      <c r="K147" s="8" t="str">
        <f>IFERROR(__xludf.DUMMYFUNCTION(" GOOGLETRANSLATE(E147, ""en"", ""am"")"),"የተሳካ ማውረድ ተቃዋሚውን ወደ ምንጣፉ ለማምጣት ጉልበት መጠቀምን ያካትታል።")</f>
        <v>የተሳካ ማውረድ ተቃዋሚውን ወደ ምንጣፉ ለማምጣት ጉልበት መጠቀምን ያካትታል።</v>
      </c>
    </row>
    <row r="148" ht="22.5" customHeight="1">
      <c r="A148" s="13">
        <v>147.0</v>
      </c>
      <c r="B148" s="8" t="s">
        <v>2902</v>
      </c>
      <c r="C148" s="14" t="s">
        <v>2903</v>
      </c>
      <c r="D148" s="8" t="s">
        <v>2877</v>
      </c>
      <c r="E148" s="8" t="s">
        <v>2904</v>
      </c>
      <c r="G148" s="8" t="str">
        <f>IFERROR(__xludf.DUMMYFUNCTION(" GOOGLETRANSLATE(A148, ""en"", ""am"")"),"147")</f>
        <v>147</v>
      </c>
      <c r="H148" s="8" t="str">
        <f>IFERROR(__xludf.DUMMYFUNCTION(" GOOGLETRANSLATE(B148, ""en"", ""am"")"),"የሲዳማ ተፋላሚ መውረዱን ለመቋቋም የትኛውን የመከላከል ዘዴ መጠቀም ይችላል?")</f>
        <v>የሲዳማ ተፋላሚ መውረዱን ለመቋቋም የትኛውን የመከላከል ዘዴ መጠቀም ይችላል?</v>
      </c>
      <c r="I148" s="8" t="str">
        <f>IFERROR(__xludf.DUMMYFUNCTION(" GOOGLETRANSLATE(C148, ""en"", ""am"")"),"ሀ. የእግር መጥረግ ለ. የእግር መቆለፊያ ሐ. የሰውነት መቆለፊያ D. የጭንቅላት መቆለፍ")</f>
        <v>ሀ. የእግር መጥረግ ለ. የእግር መቆለፊያ ሐ. የሰውነት መቆለፊያ D. የጭንቅላት መቆለፍ</v>
      </c>
      <c r="J148" s="8" t="str">
        <f>IFERROR(__xludf.DUMMYFUNCTION(" GOOGLETRANSLATE(D148, ""en"", ""am"")"),"የሰውነት መቆለፊያ")</f>
        <v>የሰውነት መቆለፊያ</v>
      </c>
      <c r="K148" s="8" t="str">
        <f>IFERROR(__xludf.DUMMYFUNCTION(" GOOGLETRANSLATE(E148, ""en"", ""am"")"),"ለማውረድ በሚሞከርበት ጊዜ ተቃዋሚውን ለመቆጣጠር የሰውነት መቆለፊያን በመከላከያ መጠቀም ይቻላል።")</f>
        <v>ለማውረድ በሚሞከርበት ጊዜ ተቃዋሚውን ለመቆጣጠር የሰውነት መቆለፊያን በመከላከያ መጠቀም ይቻላል።</v>
      </c>
    </row>
    <row r="149" ht="22.5" customHeight="1">
      <c r="A149" s="13">
        <v>148.0</v>
      </c>
      <c r="B149" s="8" t="s">
        <v>2905</v>
      </c>
      <c r="C149" s="14" t="s">
        <v>2906</v>
      </c>
      <c r="D149" s="8" t="s">
        <v>2907</v>
      </c>
      <c r="E149" s="8" t="s">
        <v>2908</v>
      </c>
      <c r="G149" s="8" t="str">
        <f>IFERROR(__xludf.DUMMYFUNCTION(" GOOGLETRANSLATE(A149, ""en"", ""am"")"),"148")</f>
        <v>148</v>
      </c>
      <c r="H149" s="8" t="str">
        <f>IFERROR(__xludf.DUMMYFUNCTION(" GOOGLETRANSLATE(B149, ""en"", ""am"")"),"በሲዳማ ሬስሊንግ እግርን የማጥራት ሚና ምን ይመስላል?")</f>
        <v>በሲዳማ ሬስሊንግ እግርን የማጥራት ሚና ምን ይመስላል?</v>
      </c>
      <c r="I149" s="8" t="str">
        <f>IFERROR(__xludf.DUMMYFUNCTION(" GOOGLETRANSLATE(C149, ""en"", ""am"")"),"ሀ. ተቀናቃኙን ለማተራመስ ለ. ተቀናቃኙን ማስገባት ሐ. የተጋጣሚውን መያዣ መስበር መ. ጥንካሬን ለመጨመር")</f>
        <v>ሀ. ተቀናቃኙን ለማተራመስ ለ. ተቀናቃኙን ማስገባት ሐ. የተጋጣሚውን መያዣ መስበር መ. ጥንካሬን ለመጨመር</v>
      </c>
      <c r="J149" s="8" t="str">
        <f>IFERROR(__xludf.DUMMYFUNCTION(" GOOGLETRANSLATE(D149, ""en"", ""am"")"),"ተቃዋሚውን ለማተራመስ")</f>
        <v>ተቃዋሚውን ለማተራመስ</v>
      </c>
      <c r="K149" s="8" t="str">
        <f>IFERROR(__xludf.DUMMYFUNCTION(" GOOGLETRANSLATE(E149, ""en"", ""am"")"),"የእግር መጥረግ ብዙ ጊዜ ጥቅም ላይ የሚውለው ተቃዋሚን ሚዛን ለመጠበቅ እና ለመጣል እድሎችን ለመፍጠር ነው።")</f>
        <v>የእግር መጥረግ ብዙ ጊዜ ጥቅም ላይ የሚውለው ተቃዋሚን ሚዛን ለመጠበቅ እና ለመጣል እድሎችን ለመፍጠር ነው።</v>
      </c>
    </row>
    <row r="150" ht="22.5" customHeight="1">
      <c r="A150" s="13">
        <v>149.0</v>
      </c>
      <c r="B150" s="8" t="s">
        <v>2909</v>
      </c>
      <c r="C150" s="14" t="s">
        <v>2910</v>
      </c>
      <c r="D150" s="8" t="s">
        <v>2911</v>
      </c>
      <c r="E150" s="8" t="s">
        <v>2912</v>
      </c>
      <c r="G150" s="8" t="str">
        <f>IFERROR(__xludf.DUMMYFUNCTION(" GOOGLETRANSLATE(A150, ""en"", ""am"")"),"149")</f>
        <v>149</v>
      </c>
      <c r="H150" s="8" t="str">
        <f>IFERROR(__xludf.DUMMYFUNCTION(" GOOGLETRANSLATE(B150, ""en"", ""am"")"),"በሲዳማ ትግል 'መወርወር' ምንን ያመለክታል?")</f>
        <v>በሲዳማ ትግል 'መወርወር' ምንን ያመለክታል?</v>
      </c>
      <c r="I150" s="8" t="str">
        <f>IFERROR(__xludf.DUMMYFUNCTION(" GOOGLETRANSLATE(C150, ""en"", ""am"")"),"ሀ. ተቃዋሚውን በሃይል ማውረድ ለ. ተቃዋሚውን መምታት ሐ. ተቃዋሚውን መታ ማድረግ መ. ተቃዋሚውን እንዲያቀርብ ማድረግ")</f>
        <v>ሀ. ተቃዋሚውን በሃይል ማውረድ ለ. ተቃዋሚውን መምታት ሐ. ተቃዋሚውን መታ ማድረግ መ. ተቃዋሚውን እንዲያቀርብ ማድረግ</v>
      </c>
      <c r="J150" s="8" t="str">
        <f>IFERROR(__xludf.DUMMYFUNCTION(" GOOGLETRANSLATE(D150, ""en"", ""am"")"),"ተቃዋሚውን በጉልበት ማውረድ")</f>
        <v>ተቃዋሚውን በጉልበት ማውረድ</v>
      </c>
      <c r="K150" s="8" t="str">
        <f>IFERROR(__xludf.DUMMYFUNCTION(" GOOGLETRANSLATE(E150, ""en"", ""am"")"),"መወርወር ተቃዋሚውን ከቆመበት ወደ ምንጣፉ ለማምጣት ጉልበት መጠቀምን ያካትታል።")</f>
        <v>መወርወር ተቃዋሚውን ከቆመበት ወደ ምንጣፉ ለማምጣት ጉልበት መጠቀምን ያካትታል።</v>
      </c>
    </row>
    <row r="151" ht="22.5" customHeight="1">
      <c r="A151" s="13">
        <v>150.0</v>
      </c>
      <c r="B151" s="8" t="s">
        <v>2913</v>
      </c>
      <c r="C151" s="14" t="s">
        <v>2914</v>
      </c>
      <c r="D151" s="8" t="s">
        <v>2915</v>
      </c>
      <c r="E151" s="8" t="s">
        <v>2916</v>
      </c>
      <c r="G151" s="8" t="str">
        <f>IFERROR(__xludf.DUMMYFUNCTION(" GOOGLETRANSLATE(A151, ""en"", ""am"")"),"150")</f>
        <v>150</v>
      </c>
      <c r="H151" s="8" t="str">
        <f>IFERROR(__xludf.DUMMYFUNCTION(" GOOGLETRANSLATE(B151, ""en"", ""am"")"),"በሲዳማ ሬስሊንግ ውስጥ የተቃዋሚዎችን መጨናነቅ ለመስበር የሚጠቀሙበት ዘዴ ምን ማለት ነው?")</f>
        <v>በሲዳማ ሬስሊንግ ውስጥ የተቃዋሚዎችን መጨናነቅ ለመስበር የሚጠቀሙበት ዘዴ ምን ማለት ነው?</v>
      </c>
      <c r="I151" s="8" t="str">
        <f>IFERROR(__xludf.DUMMYFUNCTION(" GOOGLETRANSLATE(C151, ""en"", ""am"")"),"ሀ. መጨባበጥ ለ. የአንገት ክራንች ሐ. እግር መጥረግ D. Escape ጥቅል")</f>
        <v>ሀ. መጨባበጥ ለ. የአንገት ክራንች ሐ. እግር መጥረግ D. Escape ጥቅል</v>
      </c>
      <c r="J151" s="8" t="str">
        <f>IFERROR(__xludf.DUMMYFUNCTION(" GOOGLETRANSLATE(D151, ""en"", ""am"")"),"ጠብ ያዝ")</f>
        <v>ጠብ ያዝ</v>
      </c>
      <c r="K151" s="8" t="str">
        <f>IFERROR(__xludf.DUMMYFUNCTION(" GOOGLETRANSLATE(E151, ""en"", ""am"")"),"ግሪፕ ፍልሚያ ተቃዋሚውን ጠንካራ ቁጥጥር እንዳይፈጥር ለመስበር ወይም ለመከላከል ይጠቅማል።")</f>
        <v>ግሪፕ ፍልሚያ ተቃዋሚውን ጠንካራ ቁጥጥር እንዳይፈጥር ለመስበር ወይም ለመከላከል ይጠቅማል።</v>
      </c>
    </row>
    <row r="152" ht="22.5" customHeight="1">
      <c r="A152" s="13">
        <v>151.0</v>
      </c>
      <c r="B152" s="8" t="s">
        <v>2917</v>
      </c>
      <c r="C152" s="14" t="s">
        <v>2918</v>
      </c>
      <c r="D152" s="8" t="s">
        <v>2919</v>
      </c>
      <c r="E152" s="8" t="s">
        <v>2920</v>
      </c>
      <c r="G152" s="8" t="str">
        <f>IFERROR(__xludf.DUMMYFUNCTION(" GOOGLETRANSLATE(A152, ""en"", ""am"")"),"151")</f>
        <v>151</v>
      </c>
      <c r="H152" s="8" t="str">
        <f>IFERROR(__xludf.DUMMYFUNCTION(" GOOGLETRANSLATE(B152, ""en"", ""am"")"),"የሲዳማ ሬስሊንግ ለየትኛው የሰውነት ክፍል ለማውረድ ትኩረት ይሰጣል?")</f>
        <v>የሲዳማ ሬስሊንግ ለየትኛው የሰውነት ክፍል ለማውረድ ትኩረት ይሰጣል?</v>
      </c>
      <c r="I152" s="8" t="str">
        <f>IFERROR(__xludf.DUMMYFUNCTION(" GOOGLETRANSLATE(C152, ""en"", ""am"")"),"ሀ. እግሮች እና እግሮች ለ. ክንዶች እና አንገት ሐ. ጭንቅላት እና ጀርባ መ. እግሮች እና እግሮች")</f>
        <v>ሀ. እግሮች እና እግሮች ለ. ክንዶች እና አንገት ሐ. ጭንቅላት እና ጀርባ መ. እግሮች እና እግሮች</v>
      </c>
      <c r="J152" s="8" t="str">
        <f>IFERROR(__xludf.DUMMYFUNCTION(" GOOGLETRANSLATE(D152, ""en"", ""am"")"),"እግሮች እና የሰውነት አካል")</f>
        <v>እግሮች እና የሰውነት አካል</v>
      </c>
      <c r="K152" s="8" t="str">
        <f>IFERROR(__xludf.DUMMYFUNCTION(" GOOGLETRANSLATE(E152, ""en"", ""am"")"),"በሲዳማ ሬስሊንግ ላይ የሚደረጉ ውጣ ውረዶች በተለይ እግርን እና አካልን በመጠቀም ተቃዋሚውን ወደ ታች በማውረድ ላይ ያተኩራሉ።")</f>
        <v>በሲዳማ ሬስሊንግ ላይ የሚደረጉ ውጣ ውረዶች በተለይ እግርን እና አካልን በመጠቀም ተቃዋሚውን ወደ ታች በማውረድ ላይ ያተኩራሉ።</v>
      </c>
    </row>
    <row r="153" ht="22.5" customHeight="1">
      <c r="A153" s="13">
        <v>152.0</v>
      </c>
      <c r="B153" s="8" t="s">
        <v>2921</v>
      </c>
      <c r="C153" s="14" t="s">
        <v>2922</v>
      </c>
      <c r="D153" s="8" t="s">
        <v>2923</v>
      </c>
      <c r="E153" s="8" t="s">
        <v>2924</v>
      </c>
      <c r="G153" s="8" t="str">
        <f>IFERROR(__xludf.DUMMYFUNCTION(" GOOGLETRANSLATE(A153, ""en"", ""am"")"),"152")</f>
        <v>152</v>
      </c>
      <c r="H153" s="8" t="str">
        <f>IFERROR(__xludf.DUMMYFUNCTION(" GOOGLETRANSLATE(B153, ""en"", ""am"")"),"ከሲዳማ ሬስሊንግ ቴክኒኮች በስተጀርባ ያለው ቁልፍ መርህ ምንድን ነው?")</f>
        <v>ከሲዳማ ሬስሊንግ ቴክኒኮች በስተጀርባ ያለው ቁልፍ መርህ ምንድን ነው?</v>
      </c>
      <c r="I153" s="8" t="str">
        <f>IFERROR(__xludf.DUMMYFUNCTION(" GOOGLETRANSLATE(C153, ""en"", ""am"")"),"አ.መጠቀም እና ጊዜ ለ. ጥንካሬ እና ኃይል ሐ. ፍጥነት እና ፍጥነት መ. ጽናት እና ጥንካሬ")</f>
        <v>አ.መጠቀም እና ጊዜ ለ. ጥንካሬ እና ኃይል ሐ. ፍጥነት እና ፍጥነት መ. ጽናት እና ጥንካሬ</v>
      </c>
      <c r="J153" s="8" t="str">
        <f>IFERROR(__xludf.DUMMYFUNCTION(" GOOGLETRANSLATE(D153, ""en"", ""am"")"),"አጠቃቀም እና ጊዜ")</f>
        <v>አጠቃቀም እና ጊዜ</v>
      </c>
      <c r="K153" s="8" t="str">
        <f>IFERROR(__xludf.DUMMYFUNCTION(" GOOGLETRANSLATE(E153, ""en"", ""am"")"),"የሲዳማ ሬስሊንግ ቴክኒኮች ውጤታማነት አቅምን እና ትክክለኛ ጊዜን በመጠቀም ላይ የተመሰረተ ነው።")</f>
        <v>የሲዳማ ሬስሊንግ ቴክኒኮች ውጤታማነት አቅምን እና ትክክለኛ ጊዜን በመጠቀም ላይ የተመሰረተ ነው።</v>
      </c>
    </row>
    <row r="154" ht="22.5" customHeight="1">
      <c r="A154" s="13">
        <v>153.0</v>
      </c>
      <c r="B154" s="8" t="s">
        <v>2925</v>
      </c>
      <c r="C154" s="14" t="s">
        <v>2926</v>
      </c>
      <c r="D154" s="8" t="s">
        <v>2801</v>
      </c>
      <c r="E154" s="8" t="s">
        <v>2927</v>
      </c>
      <c r="G154" s="8" t="str">
        <f>IFERROR(__xludf.DUMMYFUNCTION(" GOOGLETRANSLATE(A154, ""en"", ""am"")"),"153")</f>
        <v>153</v>
      </c>
      <c r="H154" s="8" t="str">
        <f>IFERROR(__xludf.DUMMYFUNCTION(" GOOGLETRANSLATE(B154, ""en"", ""am"")"),"በሲዳማ ሬስሊንግ የጭንቅላት መቆለፍን ለመቋቋም ምን አይነት ዘዴ ነው የሚጠቀመው?")</f>
        <v>በሲዳማ ሬስሊንግ የጭንቅላት መቆለፍን ለመቋቋም ምን አይነት ዘዴ ነው የሚጠቀመው?</v>
      </c>
      <c r="I154" s="8" t="str">
        <f>IFERROR(__xludf.DUMMYFUNCTION(" GOOGLETRANSLATE(C154, ""en"", ""am"")"),"A. Escape roll B. ክንድ መጎተት ሐ. የጉልበት መምታት D. የሰውነት መቆለፊያ")</f>
        <v>A. Escape roll B. ክንድ መጎተት ሐ. የጉልበት መምታት D. የሰውነት መቆለፊያ</v>
      </c>
      <c r="J154" s="8" t="str">
        <f>IFERROR(__xludf.DUMMYFUNCTION(" GOOGLETRANSLATE(D154, ""en"", ""am"")"),"የማምለጫ ጥቅል")</f>
        <v>የማምለጫ ጥቅል</v>
      </c>
      <c r="K154" s="8" t="str">
        <f>IFERROR(__xludf.DUMMYFUNCTION(" GOOGLETRANSLATE(E154, ""en"", ""am"")"),"የማምለጫ ጥቅል አንድ ተፋላሚ ከጭንቅላት መቆለፍ እንዲላቀቅ እና እንደገና እንዲቆጣጠር ይረዳል።")</f>
        <v>የማምለጫ ጥቅል አንድ ተፋላሚ ከጭንቅላት መቆለፍ እንዲላቀቅ እና እንደገና እንዲቆጣጠር ይረዳል።</v>
      </c>
    </row>
    <row r="155" ht="22.5" customHeight="1">
      <c r="A155" s="13">
        <v>154.0</v>
      </c>
      <c r="B155" s="8" t="s">
        <v>2928</v>
      </c>
      <c r="C155" s="14" t="s">
        <v>2929</v>
      </c>
      <c r="D155" s="8" t="s">
        <v>2860</v>
      </c>
      <c r="E155" s="8" t="s">
        <v>2930</v>
      </c>
      <c r="G155" s="8" t="str">
        <f>IFERROR(__xludf.DUMMYFUNCTION(" GOOGLETRANSLATE(A155, ""en"", ""am"")"),"154")</f>
        <v>154</v>
      </c>
      <c r="H155" s="8" t="str">
        <f>IFERROR(__xludf.DUMMYFUNCTION(" GOOGLETRANSLATE(B155, ""en"", ""am"")"),"በሲዳማ ሬስሊንግ ላይ የማውረድ አላማ ምንድን ነው?")</f>
        <v>በሲዳማ ሬስሊንግ ላይ የማውረድ አላማ ምንድን ነው?</v>
      </c>
      <c r="I155" s="8" t="str">
        <f>IFERROR(__xludf.DUMMYFUNCTION(" GOOGLETRANSLATE(C155, ""en"", ""am"")"),"ሀ. ተቃዋሚውን ወደ መሬት ማምጣት B. ተቀናቃኙን ማስገባት ሐ. ነጥብ ለማስቆጠር መ. ተጋጣሚውን ለማደናገር")</f>
        <v>ሀ. ተቃዋሚውን ወደ መሬት ማምጣት B. ተቀናቃኙን ማስገባት ሐ. ነጥብ ለማስቆጠር መ. ተጋጣሚውን ለማደናገር</v>
      </c>
      <c r="J155" s="8" t="str">
        <f>IFERROR(__xludf.DUMMYFUNCTION(" GOOGLETRANSLATE(D155, ""en"", ""am"")"),"ተቃዋሚውን ወደ መሬት ለማምጣት")</f>
        <v>ተቃዋሚውን ወደ መሬት ለማምጣት</v>
      </c>
      <c r="K155" s="8" t="str">
        <f>IFERROR(__xludf.DUMMYFUNCTION(" GOOGLETRANSLATE(E155, ""en"", ""am"")"),"ማውረድ ማለት ተቃዋሚውን ከቆመበት ቦታ ወደ ምንጣፉ ለማምጣት ነው።")</f>
        <v>ማውረድ ማለት ተቃዋሚውን ከቆመበት ቦታ ወደ ምንጣፉ ለማምጣት ነው።</v>
      </c>
    </row>
    <row r="156" ht="22.5" customHeight="1">
      <c r="A156" s="13">
        <v>155.0</v>
      </c>
      <c r="B156" s="8" t="s">
        <v>2931</v>
      </c>
      <c r="C156" s="14" t="s">
        <v>2932</v>
      </c>
      <c r="D156" s="8" t="s">
        <v>2933</v>
      </c>
      <c r="E156" s="8" t="s">
        <v>2934</v>
      </c>
      <c r="G156" s="8" t="str">
        <f>IFERROR(__xludf.DUMMYFUNCTION(" GOOGLETRANSLATE(A156, ""en"", ""am"")"),"155")</f>
        <v>155</v>
      </c>
      <c r="H156" s="8" t="str">
        <f>IFERROR(__xludf.DUMMYFUNCTION(" GOOGLETRANSLATE(B156, ""en"", ""am"")"),"የአጥቂ ግፊትን ለመጨመር የትኛውን የሲዳማ ትግል ቴክኒክ መጠቀም ይቻላል?")</f>
        <v>የአጥቂ ግፊትን ለመጨመር የትኛውን የሲዳማ ትግል ቴክኒክ መጠቀም ይቻላል?</v>
      </c>
      <c r="I156" s="8" t="str">
        <f>IFERROR(__xludf.DUMMYFUNCTION(" GOOGLETRANSLATE(C156, ""en"", ""am"")"),"ሀ. ማነቆ ለ. ያዝ መዋጋት ሐ. Takedown D. የመከላከያ ቆጣሪ")</f>
        <v>ሀ. ማነቆ ለ. ያዝ መዋጋት ሐ. Takedown D. የመከላከያ ቆጣሪ</v>
      </c>
      <c r="J156" s="8" t="str">
        <f>IFERROR(__xludf.DUMMYFUNCTION(" GOOGLETRANSLATE(D156, ""en"", ""am"")"),"ማውረድ")</f>
        <v>ማውረድ</v>
      </c>
      <c r="K156" s="8" t="str">
        <f>IFERROR(__xludf.DUMMYFUNCTION(" GOOGLETRANSLATE(E156, ""en"", ""am"")"),"የተሳካ ማውረዱን መፈጸም ተጋጣሚውን በመከላከያ ላይ በማድረግ አፀያፊ ጫና ይጨምራል።")</f>
        <v>የተሳካ ማውረዱን መፈጸም ተጋጣሚውን በመከላከያ ላይ በማድረግ አፀያፊ ጫና ይጨምራል።</v>
      </c>
    </row>
    <row r="157" ht="22.5" customHeight="1">
      <c r="A157" s="13">
        <v>156.0</v>
      </c>
      <c r="B157" s="8" t="s">
        <v>2935</v>
      </c>
      <c r="C157" s="14" t="s">
        <v>2936</v>
      </c>
      <c r="D157" s="8" t="s">
        <v>2937</v>
      </c>
      <c r="E157" s="8" t="s">
        <v>2938</v>
      </c>
      <c r="G157" s="8" t="str">
        <f>IFERROR(__xludf.DUMMYFUNCTION(" GOOGLETRANSLATE(A157, ""en"", ""am"")"),"156")</f>
        <v>156</v>
      </c>
      <c r="H157" s="8" t="str">
        <f>IFERROR(__xludf.DUMMYFUNCTION(" GOOGLETRANSLATE(B157, ""en"", ""am"")"),"በሲዳማ ሬስሊንግ ውርወራ ለማስፈጸም ጊዜ ምን ሚና አለው?")</f>
        <v>በሲዳማ ሬስሊንግ ውርወራ ለማስፈጸም ጊዜ ምን ሚና አለው?</v>
      </c>
      <c r="I157" s="8" t="str">
        <f>IFERROR(__xludf.DUMMYFUNCTION(" GOOGLETRANSLATE(C157, ""en"", ""am"")"),"ሀ. ጊዜ አጠባበቅ ውርወራው ስኬታማ እና ውጤታማ መሆኑን ያረጋግጣል ለ. ጊዜ መስጠት ፈጣን ፒን ሲ ይፈቅዳል. ጊዜ ለማምለጥ ይረዳል D. ጊዜ መስጠት አስፈላጊ አይደለም.")</f>
        <v>ሀ. ጊዜ አጠባበቅ ውርወራው ስኬታማ እና ውጤታማ መሆኑን ያረጋግጣል ለ. ጊዜ መስጠት ፈጣን ፒን ሲ ይፈቅዳል. ጊዜ ለማምለጥ ይረዳል D. ጊዜ መስጠት አስፈላጊ አይደለም.</v>
      </c>
      <c r="J157" s="8" t="str">
        <f>IFERROR(__xludf.DUMMYFUNCTION(" GOOGLETRANSLATE(D157, ""en"", ""am"")"),"ጊዜ መወርወር ስኬታማ እና ውጤታማ መሆኑን ያረጋግጣል")</f>
        <v>ጊዜ መወርወር ስኬታማ እና ውጤታማ መሆኑን ያረጋግጣል</v>
      </c>
      <c r="K157" s="8" t="str">
        <f>IFERROR(__xludf.DUMMYFUNCTION(" GOOGLETRANSLATE(E157, ""en"", ""am"")"),"ውርወራን በትክክለኛው ጊዜ ለማስፈጸም ትክክለኛው ጊዜ አስፈላጊ ነው።")</f>
        <v>ውርወራን በትክክለኛው ጊዜ ለማስፈጸም ትክክለኛው ጊዜ አስፈላጊ ነው።</v>
      </c>
    </row>
    <row r="158" ht="22.5" customHeight="1">
      <c r="A158" s="13">
        <v>157.0</v>
      </c>
      <c r="B158" s="8" t="s">
        <v>2939</v>
      </c>
      <c r="C158" s="14" t="s">
        <v>2940</v>
      </c>
      <c r="D158" s="8" t="s">
        <v>2941</v>
      </c>
      <c r="E158" s="8" t="s">
        <v>2942</v>
      </c>
      <c r="G158" s="8" t="str">
        <f>IFERROR(__xludf.DUMMYFUNCTION(" GOOGLETRANSLATE(A158, ""en"", ""am"")"),"157")</f>
        <v>157</v>
      </c>
      <c r="H158" s="8" t="str">
        <f>IFERROR(__xludf.DUMMYFUNCTION(" GOOGLETRANSLATE(B158, ""en"", ""am"")"),"በሲዳማ ትግል የአንገት ሚና ምንድነው?")</f>
        <v>በሲዳማ ትግል የአንገት ሚና ምንድነው?</v>
      </c>
      <c r="I158" s="8" t="str">
        <f>IFERROR(__xludf.DUMMYFUNCTION(" GOOGLETRANSLATE(C158, ""en"", ""am"")"),"ሀ. የማስረከቢያ ዒላማው ነው ለ. ውርወራዎችን ለመቆጣጠር ቁልፍ ቦታ ነው C. ለመከላከያ እንቅስቃሴዎች የመጠቀሚያ ነጥብ ነው D. አስፈላጊ ቦታ አይደለም.")</f>
        <v>ሀ. የማስረከቢያ ዒላማው ነው ለ. ውርወራዎችን ለመቆጣጠር ቁልፍ ቦታ ነው C. ለመከላከያ እንቅስቃሴዎች የመጠቀሚያ ነጥብ ነው D. አስፈላጊ ቦታ አይደለም.</v>
      </c>
      <c r="J158" s="8" t="str">
        <f>IFERROR(__xludf.DUMMYFUNCTION(" GOOGLETRANSLATE(D158, ""en"", ""am"")"),"መወርወርን ለመቆጣጠር ቁልፍ ቦታ ነው።")</f>
        <v>መወርወርን ለመቆጣጠር ቁልፍ ቦታ ነው።</v>
      </c>
      <c r="K158" s="8" t="str">
        <f>IFERROR(__xludf.DUMMYFUNCTION(" GOOGLETRANSLATE(E158, ""en"", ""am"")"),"አንገት ተቃዋሚውን ለመቆጣጠር እና ውርወራዎችን ለማዘጋጀት አስፈላጊ ቦታ ነው.")</f>
        <v>አንገት ተቃዋሚውን ለመቆጣጠር እና ውርወራዎችን ለማዘጋጀት አስፈላጊ ቦታ ነው.</v>
      </c>
    </row>
    <row r="159" ht="22.5" customHeight="1">
      <c r="A159" s="13">
        <v>158.0</v>
      </c>
      <c r="B159" s="8" t="s">
        <v>2943</v>
      </c>
      <c r="C159" s="14" t="s">
        <v>2944</v>
      </c>
      <c r="D159" s="8" t="s">
        <v>2945</v>
      </c>
      <c r="E159" s="8" t="s">
        <v>2946</v>
      </c>
      <c r="G159" s="8" t="str">
        <f>IFERROR(__xludf.DUMMYFUNCTION(" GOOGLETRANSLATE(A159, ""en"", ""am"")"),"158")</f>
        <v>158</v>
      </c>
      <c r="H159" s="8" t="str">
        <f>IFERROR(__xludf.DUMMYFUNCTION(" GOOGLETRANSLATE(B159, ""en"", ""am"")"),"በሲዳማ ትግል ክንድ መጎተት ለምን ይጠቅማል?")</f>
        <v>በሲዳማ ትግል ክንድ መጎተት ለምን ይጠቅማል?</v>
      </c>
      <c r="I159" s="8" t="str">
        <f>IFERROR(__xludf.DUMMYFUNCTION(" GOOGLETRANSLATE(C159, ""en"", ""am"")"),"ሀ. የተቃዋሚውን መያዣ ለመስበር ለ. ማውረዱን ለመፈጸም C. የተቃዋሚውን አካል ለመቆጣጠር D. ጥንካሬን ለመጠበቅ")</f>
        <v>ሀ. የተቃዋሚውን መያዣ ለመስበር ለ. ማውረዱን ለመፈጸም C. የተቃዋሚውን አካል ለመቆጣጠር D. ጥንካሬን ለመጠበቅ</v>
      </c>
      <c r="J159" s="8" t="str">
        <f>IFERROR(__xludf.DUMMYFUNCTION(" GOOGLETRANSLATE(D159, ""en"", ""am"")"),"የተቃዋሚውን እጀታ ለመስበር")</f>
        <v>የተቃዋሚውን እጀታ ለመስበር</v>
      </c>
      <c r="K159" s="8" t="str">
        <f>IFERROR(__xludf.DUMMYFUNCTION(" GOOGLETRANSLATE(E159, ""en"", ""am"")"),"ክንድ መጎተት ቦታን ለመፍጠር ወይም እንቅስቃሴን ለማዘጋጀት የተቃዋሚውን ክንድ ለመቆጣጠር የሚያገለግል ዘዴ ነው።")</f>
        <v>ክንድ መጎተት ቦታን ለመፍጠር ወይም እንቅስቃሴን ለማዘጋጀት የተቃዋሚውን ክንድ ለመቆጣጠር የሚያገለግል ዘዴ ነው።</v>
      </c>
    </row>
    <row r="160" ht="22.5" customHeight="1">
      <c r="A160" s="13">
        <v>159.0</v>
      </c>
      <c r="B160" s="8" t="s">
        <v>2947</v>
      </c>
      <c r="C160" s="14" t="s">
        <v>2948</v>
      </c>
      <c r="D160" s="8" t="s">
        <v>2801</v>
      </c>
      <c r="E160" s="8" t="s">
        <v>2949</v>
      </c>
      <c r="G160" s="8" t="str">
        <f>IFERROR(__xludf.DUMMYFUNCTION(" GOOGLETRANSLATE(A160, ""en"", ""am"")"),"159")</f>
        <v>159</v>
      </c>
      <c r="H160" s="8" t="str">
        <f>IFERROR(__xludf.DUMMYFUNCTION(" GOOGLETRANSLATE(B160, ""en"", ""am"")"),"ከሚከተሉት ውስጥ ከፒን ለማምለጥ የሲዳማ ሬስሊንግ ቴክኒክ የትኛው ነው?")</f>
        <v>ከሚከተሉት ውስጥ ከፒን ለማምለጥ የሲዳማ ሬስሊንግ ቴክኒክ የትኛው ነው?</v>
      </c>
      <c r="I160" s="8" t="str">
        <f>IFERROR(__xludf.DUMMYFUNCTION(" GOOGLETRANSLATE(C160, ""en"", ""am"")"),"A. Escape roll B. የአንገት ክራንች ሐ. የእግር መቆለፊያ D. Chokehold")</f>
        <v>A. Escape roll B. የአንገት ክራንች ሐ. የእግር መቆለፊያ D. Chokehold</v>
      </c>
      <c r="J160" s="8" t="str">
        <f>IFERROR(__xludf.DUMMYFUNCTION(" GOOGLETRANSLATE(D160, ""en"", ""am"")"),"የማምለጫ ጥቅል")</f>
        <v>የማምለጫ ጥቅል</v>
      </c>
      <c r="K160" s="8" t="str">
        <f>IFERROR(__xludf.DUMMYFUNCTION(" GOOGLETRANSLATE(E160, ""en"", ""am"")"),"የማምለጫ ጥቅል ከፒን ለመላቀቅ በጣም ከተለመዱት ዘዴዎች አንዱ ነው።")</f>
        <v>የማምለጫ ጥቅል ከፒን ለመላቀቅ በጣም ከተለመዱት ዘዴዎች አንዱ ነው።</v>
      </c>
    </row>
    <row r="161" ht="22.5" customHeight="1">
      <c r="A161" s="13">
        <v>160.0</v>
      </c>
      <c r="B161" s="8" t="s">
        <v>2950</v>
      </c>
      <c r="C161" s="14" t="s">
        <v>2951</v>
      </c>
      <c r="D161" s="8" t="s">
        <v>2952</v>
      </c>
      <c r="E161" s="8" t="s">
        <v>2953</v>
      </c>
      <c r="G161" s="8" t="str">
        <f>IFERROR(__xludf.DUMMYFUNCTION(" GOOGLETRANSLATE(A161, ""en"", ""am"")"),"160")</f>
        <v>160</v>
      </c>
      <c r="H161" s="8" t="str">
        <f>IFERROR(__xludf.DUMMYFUNCTION(" GOOGLETRANSLATE(B161, ""en"", ""am"")"),"የሲዳማ ሬስሊንግ መከላከያ ቁልፍ ገጽታ ምንድን ነው?")</f>
        <v>የሲዳማ ሬስሊንግ መከላከያ ቁልፍ ገጽታ ምንድን ነው?</v>
      </c>
      <c r="I161" s="8" t="str">
        <f>IFERROR(__xludf.DUMMYFUNCTION(" GOOGLETRANSLATE(C161, ""en"", ""am"")"),"ሀ. የእግር እና የሰውነት አቀማመጥ ለ. ፍጥነት እና ጽናት ሐ. የጥንካሬ እና የማስረከቢያ ዘዴዎች መ. ጠብ እና የበላይነት")</f>
        <v>ሀ. የእግር እና የሰውነት አቀማመጥ ለ. ፍጥነት እና ጽናት ሐ. የጥንካሬ እና የማስረከቢያ ዘዴዎች መ. ጠብ እና የበላይነት</v>
      </c>
      <c r="J161" s="8" t="str">
        <f>IFERROR(__xludf.DUMMYFUNCTION(" GOOGLETRANSLATE(D161, ""en"", ""am"")"),"የእግር እና የሰውነት አቀማመጥ")</f>
        <v>የእግር እና የሰውነት አቀማመጥ</v>
      </c>
      <c r="K161" s="8" t="str">
        <f>IFERROR(__xludf.DUMMYFUNCTION(" GOOGLETRANSLATE(E161, ""en"", ""am"")"),"ትክክለኛ የእግር ስራ እና የሰውነት አቀማመጥ ማውረድ እና መወርወርን ለመከላከል አስፈላጊ ናቸው።")</f>
        <v>ትክክለኛ የእግር ስራ እና የሰውነት አቀማመጥ ማውረድ እና መወርወርን ለመከላከል አስፈላጊ ናቸው።</v>
      </c>
    </row>
    <row r="162" ht="22.5" customHeight="1">
      <c r="A162" s="13">
        <v>161.0</v>
      </c>
      <c r="B162" s="8" t="s">
        <v>2954</v>
      </c>
      <c r="C162" s="14" t="s">
        <v>2955</v>
      </c>
      <c r="D162" s="8" t="s">
        <v>2856</v>
      </c>
      <c r="E162" s="8" t="s">
        <v>2956</v>
      </c>
      <c r="G162" s="8" t="str">
        <f>IFERROR(__xludf.DUMMYFUNCTION(" GOOGLETRANSLATE(A162, ""en"", ""am"")"),"161")</f>
        <v>161</v>
      </c>
      <c r="H162" s="8" t="str">
        <f>IFERROR(__xludf.DUMMYFUNCTION(" GOOGLETRANSLATE(B162, ""en"", ""am"")"),"በሲዳማ ሬስሊንግ ውጤታማ ውርወራዎችን ለማስፈጸም የቱ መጨበጥ ወሳኝ ነው?")</f>
        <v>በሲዳማ ሬስሊንግ ውጤታማ ውርወራዎችን ለማስፈጸም የቱ መጨበጥ ወሳኝ ነው?</v>
      </c>
      <c r="I162" s="8" t="str">
        <f>IFERROR(__xludf.DUMMYFUNCTION(" GOOGLETRANSLATE(C162, ""en"", ""am"")"),"ሀ. ድርብ የእጅ አንጓ መያዣ ለ. የእጅ መያዣ C. የእግር መያዣ D. ፓልም መያዣ")</f>
        <v>ሀ. ድርብ የእጅ አንጓ መያዣ ለ. የእጅ መያዣ C. የእግር መያዣ D. ፓልም መያዣ</v>
      </c>
      <c r="J162" s="8" t="str">
        <f>IFERROR(__xludf.DUMMYFUNCTION(" GOOGLETRANSLATE(D162, ""en"", ""am"")"),"ድርብ የእጅ አንጓ መያዣ")</f>
        <v>ድርብ የእጅ አንጓ መያዣ</v>
      </c>
      <c r="K162" s="8" t="str">
        <f>IFERROR(__xludf.DUMMYFUNCTION(" GOOGLETRANSLATE(E162, ""en"", ""am"")"),"ባለ ሁለት አንጓ መያዣው የተቃዋሚውን እጆች ለመቆጣጠር እና የመወርወር እድሎችን ለመፍጠር በተለምዶ ጥቅም ላይ ይውላል።")</f>
        <v>ባለ ሁለት አንጓ መያዣው የተቃዋሚውን እጆች ለመቆጣጠር እና የመወርወር እድሎችን ለመፍጠር በተለምዶ ጥቅም ላይ ይውላል።</v>
      </c>
    </row>
    <row r="163" ht="22.5" customHeight="1">
      <c r="A163" s="13">
        <v>162.0</v>
      </c>
      <c r="B163" s="8" t="s">
        <v>2957</v>
      </c>
      <c r="C163" s="14" t="s">
        <v>2958</v>
      </c>
      <c r="D163" s="8" t="s">
        <v>2959</v>
      </c>
      <c r="E163" s="8" t="s">
        <v>2960</v>
      </c>
      <c r="G163" s="8" t="str">
        <f>IFERROR(__xludf.DUMMYFUNCTION(" GOOGLETRANSLATE(A163, ""en"", ""am"")"),"162")</f>
        <v>162</v>
      </c>
      <c r="H163" s="8" t="str">
        <f>IFERROR(__xludf.DUMMYFUNCTION(" GOOGLETRANSLATE(B163, ""en"", ""am"")"),"በሲዳማ ሬስሊንግ የተሳካ ማውረዱን ለማስፈጸም የመጀመሪያው እርምጃ ምንድን ነው?")</f>
        <v>በሲዳማ ሬስሊንግ የተሳካ ማውረዱን ለማስፈጸም የመጀመሪያው እርምጃ ምንድን ነው?</v>
      </c>
      <c r="I163" s="8" t="str">
        <f>IFERROR(__xludf.DUMMYFUNCTION(" GOOGLETRANSLATE(C163, ""en"", ""am"")"),"ሀ. የተቃዋሚውን አካል መቆጣጠርን ማቋቋም ለ. የእጅ አንጓ መቆጣጠሪያን ያግኙ ሐ. የተቃዋሚውን እግር አውርዱ መ. የማስረከቢያ መያዣን ይጠቀሙ")</f>
        <v>ሀ. የተቃዋሚውን አካል መቆጣጠርን ማቋቋም ለ. የእጅ አንጓ መቆጣጠሪያን ያግኙ ሐ. የተቃዋሚውን እግር አውርዱ መ. የማስረከቢያ መያዣን ይጠቀሙ</v>
      </c>
      <c r="J163" s="8" t="str">
        <f>IFERROR(__xludf.DUMMYFUNCTION(" GOOGLETRANSLATE(D163, ""en"", ""am"")"),"የተቃዋሚውን አካል መቆጣጠርን ማቋቋም")</f>
        <v>የተቃዋሚውን አካል መቆጣጠርን ማቋቋም</v>
      </c>
      <c r="K163" s="8" t="str">
        <f>IFERROR(__xludf.DUMMYFUNCTION(" GOOGLETRANSLATE(E163, ""en"", ""am"")"),"በተቃዋሚው አካል ላይ ቁጥጥርን ማቋቋም ለተሳካ ማውረድ ቁልፍ ነው።")</f>
        <v>በተቃዋሚው አካል ላይ ቁጥጥርን ማቋቋም ለተሳካ ማውረድ ቁልፍ ነው።</v>
      </c>
    </row>
    <row r="164" ht="22.5" customHeight="1">
      <c r="A164" s="13">
        <v>163.0</v>
      </c>
      <c r="B164" s="8" t="s">
        <v>2961</v>
      </c>
      <c r="C164" s="14" t="s">
        <v>2962</v>
      </c>
      <c r="D164" s="8" t="s">
        <v>2963</v>
      </c>
      <c r="E164" s="8" t="s">
        <v>2964</v>
      </c>
      <c r="G164" s="8" t="str">
        <f>IFERROR(__xludf.DUMMYFUNCTION(" GOOGLETRANSLATE(A164, ""en"", ""am"")"),"163")</f>
        <v>163</v>
      </c>
      <c r="H164" s="8" t="str">
        <f>IFERROR(__xludf.DUMMYFUNCTION(" GOOGLETRANSLATE(B164, ""en"", ""am"")"),"ሲዳማ ሬስሊንግ እንዴት ተመዘገበ?")</f>
        <v>ሲዳማ ሬስሊንግ እንዴት ተመዘገበ?</v>
      </c>
      <c r="I164" s="8" t="str">
        <f>IFERROR(__xludf.DUMMYFUNCTION(" GOOGLETRANSLATE(C164, ""en"", ""am"")"),"ሀ. በተሳካ ማውረዶች እና ፒን ላይ የተመሰረተ ለ. በማስረከብ ሐ ብቻ ይይዛል.በፍጥነት እና በቅልጥፍና ላይ የተመሰረተ መ. በጽናት እና በትዕግስት")</f>
        <v>ሀ. በተሳካ ማውረዶች እና ፒን ላይ የተመሰረተ ለ. በማስረከብ ሐ ብቻ ይይዛል.በፍጥነት እና በቅልጥፍና ላይ የተመሰረተ መ. በጽናት እና በትዕግስት</v>
      </c>
      <c r="J164" s="8" t="str">
        <f>IFERROR(__xludf.DUMMYFUNCTION(" GOOGLETRANSLATE(D164, ""en"", ""am"")"),"በተሳካ ማውረዶች እና ፒን ላይ የተመሠረተ")</f>
        <v>በተሳካ ማውረዶች እና ፒን ላይ የተመሠረተ</v>
      </c>
      <c r="K164" s="8" t="str">
        <f>IFERROR(__xludf.DUMMYFUNCTION(" GOOGLETRANSLATE(E164, ""en"", ""am"")"),"በሲዳማ ሬስሊንግ ነጥብ ማስመዝገብ በዋናነት ማውረዶችን እና ፒኖችን በማሳካት ላይ የተመሰረተ ነው።")</f>
        <v>በሲዳማ ሬስሊንግ ነጥብ ማስመዝገብ በዋናነት ማውረዶችን እና ፒኖችን በማሳካት ላይ የተመሰረተ ነው።</v>
      </c>
    </row>
    <row r="165" ht="22.5" customHeight="1">
      <c r="A165" s="13">
        <v>164.0</v>
      </c>
      <c r="B165" s="8" t="s">
        <v>2965</v>
      </c>
      <c r="C165" s="14" t="s">
        <v>2966</v>
      </c>
      <c r="D165" s="8" t="s">
        <v>2967</v>
      </c>
      <c r="E165" s="8" t="s">
        <v>2968</v>
      </c>
      <c r="G165" s="8" t="str">
        <f>IFERROR(__xludf.DUMMYFUNCTION(" GOOGLETRANSLATE(A165, ""en"", ""am"")"),"164")</f>
        <v>164</v>
      </c>
      <c r="H165" s="8" t="str">
        <f>IFERROR(__xludf.DUMMYFUNCTION(" GOOGLETRANSLATE(B165, ""en"", ""am"")"),"በሲዳማ ትግል ውስጥ ወሳኝ ክህሎት ምንድን ነው?")</f>
        <v>በሲዳማ ትግል ውስጥ ወሳኝ ክህሎት ምንድን ነው?</v>
      </c>
      <c r="I165" s="8" t="str">
        <f>IFERROR(__xludf.DUMMYFUNCTION(" GOOGLETRANSLATE(C165, ""en"", ""am"")"),"ሀ. ሚዛን እና የሰውነት ቁጥጥር ለ. Powerlifting ሐ. ማነቅ ቴክኒኮች መ. የማስረከብ ችሎታ")</f>
        <v>ሀ. ሚዛን እና የሰውነት ቁጥጥር ለ. Powerlifting ሐ. ማነቅ ቴክኒኮች መ. የማስረከብ ችሎታ</v>
      </c>
      <c r="J165" s="8" t="str">
        <f>IFERROR(__xludf.DUMMYFUNCTION(" GOOGLETRANSLATE(D165, ""en"", ""am"")"),"ሚዛን እና የሰውነት ቁጥጥር")</f>
        <v>ሚዛን እና የሰውነት ቁጥጥር</v>
      </c>
      <c r="K165" s="8" t="str">
        <f>IFERROR(__xludf.DUMMYFUNCTION(" GOOGLETRANSLATE(E165, ""en"", ""am"")"),"ውርወራዎችን ለማስፈጸም እና በብቃት ለመከላከል ሚዛን እና የሰውነት ቁጥጥር አስፈላጊ ናቸው።")</f>
        <v>ውርወራዎችን ለማስፈጸም እና በብቃት ለመከላከል ሚዛን እና የሰውነት ቁጥጥር አስፈላጊ ናቸው።</v>
      </c>
    </row>
    <row r="166" ht="22.5" customHeight="1">
      <c r="A166" s="13">
        <v>165.0</v>
      </c>
      <c r="B166" s="8" t="s">
        <v>2969</v>
      </c>
      <c r="C166" s="14" t="s">
        <v>2970</v>
      </c>
      <c r="D166" s="8" t="s">
        <v>2971</v>
      </c>
      <c r="E166" s="8" t="s">
        <v>2972</v>
      </c>
      <c r="G166" s="8" t="str">
        <f>IFERROR(__xludf.DUMMYFUNCTION(" GOOGLETRANSLATE(A166, ""en"", ""am"")"),"165")</f>
        <v>165</v>
      </c>
      <c r="H166" s="8" t="str">
        <f>IFERROR(__xludf.DUMMYFUNCTION(" GOOGLETRANSLATE(B166, ""en"", ""am"")"),"በሲዳማ ሬስሊንግ አንድ ታጋይ የተሳካ ማውረዱን ከፈጸመ በኋላ ምን ማድረግ አለበት?")</f>
        <v>በሲዳማ ሬስሊንግ አንድ ታጋይ የተሳካ ማውረዱን ከፈጸመ በኋላ ምን ማድረግ አለበት?</v>
      </c>
      <c r="I166" s="8" t="str">
        <f>IFERROR(__xludf.DUMMYFUNCTION(" GOOGLETRANSLATE(C166, ""en"", ""am"")"),"ሀ. ወደ ሚሰካው ቦታ በፍጥነት ውሰድ B. ከመሰካት ለማምለጥ ማምለጥ ሐ. እንደገና ለማስጀመር መቆም. ተቃዋሚውን አስረክብ.")</f>
        <v>ሀ. ወደ ሚሰካው ቦታ በፍጥነት ውሰድ B. ከመሰካት ለማምለጥ ማምለጥ ሐ. እንደገና ለማስጀመር መቆም. ተቃዋሚውን አስረክብ.</v>
      </c>
      <c r="J166" s="8" t="str">
        <f>IFERROR(__xludf.DUMMYFUNCTION(" GOOGLETRANSLATE(D166, ""en"", ""am"")"),"በፍጥነት ወደ መሰኪያ ቦታ ይውሰዱ")</f>
        <v>በፍጥነት ወደ መሰኪያ ቦታ ይውሰዱ</v>
      </c>
      <c r="K166" s="8" t="str">
        <f>IFERROR(__xludf.DUMMYFUNCTION(" GOOGLETRANSLATE(E166, ""en"", ""am"")"),"ከተሳካ ማውረዱ በኋላ ተጋጣሚው ድሉን ለማስጠበቅ ወዲያውኑ ወደ ሚስማር ቦታ መሸጋገር አለበት።")</f>
        <v>ከተሳካ ማውረዱ በኋላ ተጋጣሚው ድሉን ለማስጠበቅ ወዲያውኑ ወደ ሚስማር ቦታ መሸጋገር አለበት።</v>
      </c>
    </row>
    <row r="167" ht="22.5" customHeight="1">
      <c r="A167" s="15"/>
      <c r="B167" s="15"/>
      <c r="C167" s="15"/>
      <c r="D167" s="15"/>
      <c r="E167" s="15"/>
    </row>
    <row r="168" ht="22.5" customHeight="1">
      <c r="A168" s="15"/>
      <c r="B168" s="15"/>
      <c r="C168" s="15"/>
      <c r="D168" s="15"/>
      <c r="E168" s="15"/>
    </row>
    <row r="169" ht="22.5" customHeight="1">
      <c r="A169" s="15"/>
      <c r="B169" s="15"/>
      <c r="C169" s="15"/>
      <c r="D169" s="15"/>
      <c r="E169" s="15"/>
    </row>
    <row r="170" ht="22.5" customHeight="1">
      <c r="A170" s="15"/>
      <c r="B170" s="15"/>
      <c r="C170" s="15"/>
      <c r="D170" s="15"/>
      <c r="E170" s="15"/>
    </row>
    <row r="171" ht="22.5" customHeight="1">
      <c r="A171" s="15"/>
      <c r="B171" s="15"/>
      <c r="C171" s="15"/>
      <c r="D171" s="15"/>
      <c r="E171" s="15"/>
    </row>
    <row r="172" ht="22.5" customHeight="1">
      <c r="A172" s="15"/>
      <c r="B172" s="15"/>
      <c r="C172" s="15"/>
      <c r="D172" s="15"/>
      <c r="E172" s="15"/>
    </row>
    <row r="173" ht="22.5" customHeight="1">
      <c r="A173" s="15"/>
      <c r="B173" s="15"/>
      <c r="C173" s="15"/>
      <c r="D173" s="15"/>
      <c r="E173" s="15"/>
    </row>
    <row r="174" ht="22.5" customHeight="1">
      <c r="A174" s="15"/>
      <c r="B174" s="15"/>
      <c r="C174" s="15"/>
      <c r="D174" s="15"/>
      <c r="E174" s="15"/>
    </row>
    <row r="175" ht="22.5" customHeight="1">
      <c r="A175" s="15"/>
      <c r="B175" s="15"/>
      <c r="C175" s="15"/>
      <c r="D175" s="15"/>
      <c r="E175" s="15"/>
    </row>
    <row r="176" ht="22.5" customHeight="1">
      <c r="A176" s="15"/>
      <c r="B176" s="15"/>
      <c r="C176" s="15"/>
      <c r="D176" s="15"/>
      <c r="E176" s="15"/>
    </row>
    <row r="177" ht="22.5" customHeight="1">
      <c r="A177" s="15"/>
      <c r="B177" s="15"/>
      <c r="C177" s="15"/>
      <c r="D177" s="15"/>
      <c r="E177" s="15"/>
    </row>
    <row r="178" ht="22.5" customHeight="1">
      <c r="A178" s="15"/>
      <c r="B178" s="15"/>
      <c r="C178" s="15"/>
      <c r="D178" s="15"/>
      <c r="E178" s="15"/>
    </row>
    <row r="179" ht="22.5" customHeight="1">
      <c r="A179" s="15"/>
      <c r="B179" s="15"/>
      <c r="C179" s="15"/>
      <c r="D179" s="15"/>
      <c r="E179" s="15"/>
    </row>
    <row r="180" ht="22.5" customHeight="1">
      <c r="A180" s="15"/>
      <c r="B180" s="15"/>
      <c r="C180" s="15"/>
      <c r="D180" s="15"/>
      <c r="E180" s="15"/>
    </row>
    <row r="181" ht="22.5" customHeight="1">
      <c r="A181" s="15"/>
      <c r="B181" s="15"/>
      <c r="C181" s="15"/>
      <c r="D181" s="15"/>
      <c r="E181" s="15"/>
    </row>
    <row r="182" ht="22.5" customHeight="1">
      <c r="A182" s="15"/>
      <c r="B182" s="15"/>
      <c r="C182" s="15"/>
      <c r="D182" s="15"/>
      <c r="E182" s="15"/>
    </row>
    <row r="183" ht="22.5" customHeight="1">
      <c r="A183" s="15"/>
      <c r="B183" s="15"/>
      <c r="C183" s="15"/>
      <c r="D183" s="15"/>
      <c r="E183" s="15"/>
    </row>
    <row r="184" ht="22.5" customHeight="1">
      <c r="A184" s="15"/>
      <c r="B184" s="15"/>
      <c r="C184" s="15"/>
      <c r="D184" s="15"/>
      <c r="E184" s="15"/>
    </row>
    <row r="185" ht="22.5" customHeight="1">
      <c r="A185" s="15"/>
      <c r="B185" s="15"/>
      <c r="C185" s="15"/>
      <c r="D185" s="15"/>
      <c r="E185" s="15"/>
    </row>
    <row r="186" ht="22.5" customHeight="1">
      <c r="A186" s="15"/>
      <c r="B186" s="15"/>
      <c r="C186" s="15"/>
      <c r="D186" s="15"/>
      <c r="E186" s="15"/>
    </row>
    <row r="187" ht="22.5" customHeight="1">
      <c r="A187" s="15"/>
      <c r="B187" s="15"/>
      <c r="C187" s="15"/>
      <c r="D187" s="15"/>
      <c r="E187" s="15"/>
    </row>
    <row r="188" ht="22.5" customHeight="1">
      <c r="A188" s="15"/>
      <c r="B188" s="15"/>
      <c r="C188" s="15"/>
      <c r="D188" s="15"/>
      <c r="E188" s="15"/>
    </row>
    <row r="189" ht="22.5" customHeight="1">
      <c r="A189" s="15"/>
      <c r="B189" s="15"/>
      <c r="C189" s="15"/>
      <c r="D189" s="15"/>
      <c r="E189" s="15"/>
    </row>
    <row r="190" ht="22.5" customHeight="1">
      <c r="A190" s="15"/>
      <c r="B190" s="15"/>
      <c r="C190" s="15"/>
      <c r="D190" s="15"/>
      <c r="E190" s="15"/>
    </row>
    <row r="191" ht="22.5" customHeight="1">
      <c r="A191" s="15"/>
      <c r="B191" s="15"/>
      <c r="C191" s="15"/>
      <c r="D191" s="15"/>
      <c r="E191" s="15"/>
    </row>
    <row r="192" ht="22.5" customHeight="1">
      <c r="A192" s="15"/>
      <c r="B192" s="15"/>
      <c r="C192" s="15"/>
      <c r="D192" s="15"/>
      <c r="E192" s="15"/>
    </row>
    <row r="193" ht="22.5" customHeight="1">
      <c r="A193" s="15"/>
      <c r="B193" s="15"/>
      <c r="C193" s="15"/>
      <c r="D193" s="15"/>
      <c r="E193" s="15"/>
    </row>
    <row r="194" ht="22.5" customHeight="1">
      <c r="A194" s="15"/>
      <c r="B194" s="15"/>
      <c r="C194" s="15"/>
      <c r="D194" s="15"/>
      <c r="E194" s="15"/>
    </row>
    <row r="195" ht="22.5" customHeight="1">
      <c r="A195" s="15"/>
      <c r="B195" s="15"/>
      <c r="C195" s="15"/>
      <c r="D195" s="15"/>
      <c r="E195" s="15"/>
    </row>
    <row r="196" ht="22.5" customHeight="1">
      <c r="A196" s="15"/>
      <c r="B196" s="15"/>
      <c r="C196" s="15"/>
      <c r="D196" s="15"/>
      <c r="E196" s="15"/>
    </row>
    <row r="197" ht="22.5" customHeight="1">
      <c r="A197" s="15"/>
      <c r="B197" s="15"/>
      <c r="C197" s="15"/>
      <c r="D197" s="15"/>
      <c r="E197" s="15"/>
    </row>
    <row r="198" ht="22.5" customHeight="1">
      <c r="A198" s="15"/>
      <c r="B198" s="15"/>
      <c r="C198" s="15"/>
      <c r="D198" s="15"/>
      <c r="E198" s="15"/>
    </row>
    <row r="199" ht="22.5" customHeight="1">
      <c r="A199" s="15"/>
      <c r="B199" s="15"/>
      <c r="C199" s="15"/>
      <c r="D199" s="15"/>
      <c r="E199" s="15"/>
    </row>
    <row r="200" ht="22.5" customHeight="1">
      <c r="A200" s="15"/>
      <c r="B200" s="15"/>
      <c r="C200" s="15"/>
      <c r="D200" s="15"/>
      <c r="E200" s="15"/>
    </row>
    <row r="201" ht="22.5" customHeight="1">
      <c r="A201" s="15"/>
      <c r="B201" s="15"/>
      <c r="C201" s="15"/>
      <c r="D201" s="15"/>
      <c r="E201" s="15"/>
    </row>
    <row r="202" ht="22.5" customHeight="1">
      <c r="A202" s="15"/>
      <c r="B202" s="15"/>
      <c r="C202" s="15"/>
      <c r="D202" s="15"/>
      <c r="E202" s="15"/>
    </row>
    <row r="203" ht="22.5" customHeight="1">
      <c r="A203" s="15"/>
      <c r="B203" s="15"/>
      <c r="C203" s="15"/>
      <c r="D203" s="15"/>
      <c r="E203" s="15"/>
    </row>
    <row r="204" ht="22.5" customHeight="1">
      <c r="A204" s="15"/>
      <c r="B204" s="15"/>
      <c r="C204" s="15"/>
      <c r="D204" s="15"/>
      <c r="E204" s="15"/>
    </row>
    <row r="205" ht="22.5" customHeight="1">
      <c r="A205" s="15"/>
      <c r="B205" s="15"/>
      <c r="C205" s="15"/>
      <c r="D205" s="15"/>
      <c r="E205" s="15"/>
    </row>
    <row r="206" ht="22.5" customHeight="1">
      <c r="A206" s="15"/>
      <c r="B206" s="15"/>
      <c r="C206" s="15"/>
      <c r="D206" s="15"/>
      <c r="E206" s="15"/>
    </row>
    <row r="207" ht="22.5" customHeight="1">
      <c r="A207" s="15"/>
      <c r="B207" s="15"/>
      <c r="C207" s="15"/>
      <c r="D207" s="15"/>
      <c r="E207" s="15"/>
    </row>
    <row r="208" ht="22.5" customHeight="1">
      <c r="A208" s="15"/>
      <c r="B208" s="15"/>
      <c r="C208" s="15"/>
      <c r="D208" s="15"/>
      <c r="E208" s="15"/>
    </row>
    <row r="209" ht="22.5" customHeight="1">
      <c r="A209" s="15"/>
      <c r="B209" s="15"/>
      <c r="C209" s="15"/>
      <c r="D209" s="15"/>
      <c r="E209" s="15"/>
    </row>
    <row r="210" ht="22.5" customHeight="1">
      <c r="A210" s="15"/>
      <c r="B210" s="15"/>
      <c r="C210" s="15"/>
      <c r="D210" s="15"/>
      <c r="E210" s="15"/>
    </row>
    <row r="211" ht="22.5" customHeight="1">
      <c r="A211" s="15"/>
      <c r="B211" s="15"/>
      <c r="C211" s="15"/>
      <c r="D211" s="15"/>
      <c r="E211" s="15"/>
    </row>
    <row r="212" ht="22.5" customHeight="1">
      <c r="A212" s="15"/>
      <c r="B212" s="15"/>
      <c r="C212" s="15"/>
      <c r="D212" s="15"/>
      <c r="E212" s="15"/>
    </row>
    <row r="213" ht="22.5" customHeight="1">
      <c r="A213" s="15"/>
      <c r="B213" s="15"/>
      <c r="C213" s="15"/>
      <c r="D213" s="15"/>
      <c r="E213" s="15"/>
    </row>
    <row r="214" ht="22.5" customHeight="1">
      <c r="A214" s="15"/>
      <c r="B214" s="15"/>
      <c r="C214" s="15"/>
      <c r="D214" s="15"/>
      <c r="E214" s="15"/>
    </row>
    <row r="215" ht="22.5" customHeight="1">
      <c r="A215" s="15"/>
      <c r="B215" s="15"/>
      <c r="C215" s="15"/>
      <c r="D215" s="15"/>
      <c r="E215" s="15"/>
    </row>
    <row r="216" ht="22.5" customHeight="1">
      <c r="A216" s="15"/>
      <c r="B216" s="15"/>
      <c r="C216" s="15"/>
      <c r="D216" s="15"/>
      <c r="E216" s="15"/>
    </row>
    <row r="217" ht="22.5" customHeight="1">
      <c r="A217" s="15"/>
      <c r="B217" s="15"/>
      <c r="C217" s="15"/>
      <c r="D217" s="15"/>
      <c r="E217" s="15"/>
    </row>
    <row r="218" ht="22.5" customHeight="1">
      <c r="A218" s="15"/>
      <c r="B218" s="15"/>
      <c r="C218" s="15"/>
      <c r="D218" s="15"/>
      <c r="E218" s="15"/>
    </row>
    <row r="219" ht="22.5" customHeight="1">
      <c r="A219" s="15"/>
      <c r="B219" s="15"/>
      <c r="C219" s="15"/>
      <c r="D219" s="15"/>
      <c r="E219" s="15"/>
    </row>
    <row r="220" ht="22.5" customHeight="1">
      <c r="A220" s="15"/>
      <c r="B220" s="15"/>
      <c r="C220" s="15"/>
      <c r="D220" s="15"/>
      <c r="E220" s="15"/>
    </row>
    <row r="221" ht="22.5" customHeight="1">
      <c r="A221" s="15"/>
      <c r="B221" s="15"/>
      <c r="C221" s="15"/>
      <c r="D221" s="15"/>
      <c r="E221" s="15"/>
    </row>
    <row r="222" ht="22.5" customHeight="1">
      <c r="A222" s="15"/>
      <c r="B222" s="15"/>
      <c r="C222" s="15"/>
      <c r="D222" s="15"/>
      <c r="E222" s="15"/>
    </row>
    <row r="223" ht="22.5" customHeight="1">
      <c r="A223" s="15"/>
      <c r="B223" s="15"/>
      <c r="C223" s="15"/>
      <c r="D223" s="15"/>
      <c r="E223" s="15"/>
    </row>
    <row r="224" ht="22.5" customHeight="1">
      <c r="A224" s="15"/>
      <c r="B224" s="15"/>
      <c r="C224" s="15"/>
      <c r="D224" s="15"/>
      <c r="E224" s="15"/>
    </row>
    <row r="225" ht="22.5" customHeight="1">
      <c r="A225" s="15"/>
      <c r="B225" s="15"/>
      <c r="C225" s="15"/>
      <c r="D225" s="15"/>
      <c r="E225" s="15"/>
    </row>
    <row r="226" ht="22.5" customHeight="1">
      <c r="A226" s="15"/>
      <c r="B226" s="15"/>
      <c r="C226" s="15"/>
      <c r="D226" s="15"/>
      <c r="E226" s="15"/>
    </row>
    <row r="227" ht="22.5" customHeight="1">
      <c r="A227" s="15"/>
      <c r="B227" s="15"/>
      <c r="C227" s="15"/>
      <c r="D227" s="15"/>
      <c r="E227" s="15"/>
    </row>
    <row r="228" ht="22.5" customHeight="1">
      <c r="A228" s="15"/>
      <c r="B228" s="15"/>
      <c r="C228" s="15"/>
      <c r="D228" s="15"/>
      <c r="E228" s="15"/>
    </row>
    <row r="229" ht="22.5" customHeight="1">
      <c r="A229" s="15"/>
      <c r="B229" s="15"/>
      <c r="C229" s="15"/>
      <c r="D229" s="15"/>
      <c r="E229" s="15"/>
    </row>
    <row r="230" ht="22.5" customHeight="1">
      <c r="A230" s="15"/>
      <c r="B230" s="15"/>
      <c r="C230" s="15"/>
      <c r="D230" s="15"/>
      <c r="E230" s="15"/>
    </row>
    <row r="231" ht="22.5" customHeight="1">
      <c r="A231" s="15"/>
      <c r="B231" s="15"/>
      <c r="C231" s="15"/>
      <c r="D231" s="15"/>
      <c r="E231" s="15"/>
    </row>
    <row r="232" ht="22.5" customHeight="1">
      <c r="A232" s="15"/>
      <c r="B232" s="15"/>
      <c r="C232" s="15"/>
      <c r="D232" s="15"/>
      <c r="E232" s="15"/>
    </row>
    <row r="233" ht="22.5" customHeight="1">
      <c r="A233" s="15"/>
      <c r="B233" s="15"/>
      <c r="C233" s="15"/>
      <c r="D233" s="15"/>
      <c r="E233" s="15"/>
    </row>
    <row r="234" ht="22.5" customHeight="1">
      <c r="A234" s="15"/>
      <c r="B234" s="15"/>
      <c r="C234" s="15"/>
      <c r="D234" s="15"/>
      <c r="E234" s="15"/>
    </row>
    <row r="235" ht="22.5" customHeight="1">
      <c r="A235" s="15"/>
      <c r="B235" s="15"/>
      <c r="C235" s="15"/>
      <c r="D235" s="15"/>
      <c r="E235" s="15"/>
    </row>
    <row r="236" ht="22.5" customHeight="1">
      <c r="A236" s="15"/>
      <c r="B236" s="15"/>
      <c r="C236" s="15"/>
      <c r="D236" s="15"/>
      <c r="E236" s="15"/>
    </row>
    <row r="237" ht="22.5" customHeight="1">
      <c r="A237" s="15"/>
      <c r="B237" s="15"/>
      <c r="C237" s="15"/>
      <c r="D237" s="15"/>
      <c r="E237" s="15"/>
    </row>
    <row r="238" ht="22.5" customHeight="1">
      <c r="A238" s="15"/>
      <c r="B238" s="15"/>
      <c r="C238" s="15"/>
      <c r="D238" s="15"/>
      <c r="E238" s="15"/>
    </row>
    <row r="239" ht="22.5" customHeight="1">
      <c r="A239" s="15"/>
      <c r="B239" s="15"/>
      <c r="C239" s="15"/>
      <c r="D239" s="15"/>
      <c r="E239" s="15"/>
    </row>
    <row r="240" ht="22.5" customHeight="1">
      <c r="A240" s="15"/>
      <c r="B240" s="15"/>
      <c r="C240" s="15"/>
      <c r="D240" s="15"/>
      <c r="E240" s="15"/>
    </row>
    <row r="241" ht="22.5" customHeight="1">
      <c r="A241" s="15"/>
      <c r="B241" s="15"/>
      <c r="C241" s="15"/>
      <c r="D241" s="15"/>
      <c r="E241" s="15"/>
    </row>
    <row r="242" ht="22.5" customHeight="1">
      <c r="A242" s="15"/>
      <c r="B242" s="15"/>
      <c r="C242" s="15"/>
      <c r="D242" s="15"/>
      <c r="E242" s="15"/>
    </row>
    <row r="243" ht="22.5" customHeight="1">
      <c r="A243" s="15"/>
      <c r="B243" s="15"/>
      <c r="C243" s="15"/>
      <c r="D243" s="15"/>
      <c r="E243" s="15"/>
    </row>
    <row r="244" ht="22.5" customHeight="1">
      <c r="A244" s="15"/>
      <c r="B244" s="15"/>
      <c r="C244" s="15"/>
      <c r="D244" s="15"/>
      <c r="E244" s="15"/>
    </row>
    <row r="245" ht="22.5" customHeight="1">
      <c r="A245" s="15"/>
      <c r="B245" s="15"/>
      <c r="C245" s="15"/>
      <c r="D245" s="15"/>
      <c r="E245" s="15"/>
    </row>
    <row r="246" ht="22.5" customHeight="1">
      <c r="A246" s="15"/>
      <c r="B246" s="15"/>
      <c r="C246" s="15"/>
      <c r="D246" s="15"/>
      <c r="E246" s="15"/>
    </row>
    <row r="247" ht="22.5" customHeight="1">
      <c r="A247" s="15"/>
      <c r="B247" s="15"/>
      <c r="C247" s="15"/>
      <c r="D247" s="15"/>
      <c r="E247" s="15"/>
    </row>
    <row r="248" ht="22.5" customHeight="1">
      <c r="A248" s="15"/>
      <c r="B248" s="15"/>
      <c r="C248" s="15"/>
      <c r="D248" s="15"/>
      <c r="E248" s="15"/>
    </row>
    <row r="249" ht="22.5" customHeight="1">
      <c r="A249" s="15"/>
      <c r="B249" s="15"/>
      <c r="C249" s="15"/>
      <c r="D249" s="15"/>
      <c r="E249" s="15"/>
    </row>
    <row r="250" ht="22.5" customHeight="1">
      <c r="A250" s="15"/>
      <c r="B250" s="15"/>
      <c r="C250" s="15"/>
      <c r="D250" s="15"/>
      <c r="E250" s="15"/>
    </row>
    <row r="251" ht="22.5" customHeight="1">
      <c r="A251" s="15"/>
      <c r="B251" s="15"/>
      <c r="C251" s="15"/>
      <c r="D251" s="15"/>
      <c r="E251" s="15"/>
    </row>
    <row r="252" ht="22.5" customHeight="1">
      <c r="A252" s="15"/>
      <c r="B252" s="15"/>
      <c r="C252" s="15"/>
      <c r="D252" s="15"/>
      <c r="E252" s="15"/>
    </row>
    <row r="253" ht="22.5" customHeight="1">
      <c r="A253" s="15"/>
      <c r="B253" s="15"/>
      <c r="C253" s="15"/>
      <c r="D253" s="15"/>
      <c r="E253" s="15"/>
    </row>
    <row r="254" ht="22.5" customHeight="1">
      <c r="A254" s="15"/>
      <c r="B254" s="15"/>
      <c r="C254" s="15"/>
      <c r="D254" s="15"/>
      <c r="E254" s="15"/>
    </row>
    <row r="255" ht="22.5" customHeight="1">
      <c r="A255" s="15"/>
      <c r="B255" s="15"/>
      <c r="C255" s="15"/>
      <c r="D255" s="15"/>
      <c r="E255" s="15"/>
    </row>
    <row r="256" ht="22.5" customHeight="1">
      <c r="A256" s="15"/>
      <c r="B256" s="15"/>
      <c r="C256" s="15"/>
      <c r="D256" s="15"/>
      <c r="E256" s="15"/>
    </row>
    <row r="257" ht="22.5" customHeight="1">
      <c r="A257" s="15"/>
      <c r="B257" s="15"/>
      <c r="C257" s="15"/>
      <c r="D257" s="15"/>
      <c r="E257" s="15"/>
    </row>
    <row r="258" ht="22.5" customHeight="1">
      <c r="A258" s="15"/>
      <c r="B258" s="15"/>
      <c r="C258" s="15"/>
      <c r="D258" s="15"/>
      <c r="E258" s="15"/>
    </row>
    <row r="259" ht="22.5" customHeight="1">
      <c r="A259" s="15"/>
      <c r="B259" s="15"/>
      <c r="C259" s="15"/>
      <c r="D259" s="15"/>
      <c r="E259" s="15"/>
    </row>
    <row r="260" ht="22.5" customHeight="1">
      <c r="A260" s="15"/>
      <c r="B260" s="15"/>
      <c r="C260" s="15"/>
      <c r="D260" s="15"/>
      <c r="E260" s="15"/>
    </row>
    <row r="261" ht="22.5" customHeight="1">
      <c r="A261" s="15"/>
      <c r="B261" s="15"/>
      <c r="C261" s="15"/>
      <c r="D261" s="15"/>
      <c r="E261" s="15"/>
    </row>
    <row r="262" ht="22.5" customHeight="1">
      <c r="A262" s="15"/>
      <c r="B262" s="15"/>
      <c r="C262" s="15"/>
      <c r="D262" s="15"/>
      <c r="E262" s="15"/>
    </row>
    <row r="263" ht="22.5" customHeight="1">
      <c r="A263" s="15"/>
      <c r="B263" s="15"/>
      <c r="C263" s="15"/>
      <c r="D263" s="15"/>
      <c r="E263" s="15"/>
    </row>
    <row r="264" ht="22.5" customHeight="1">
      <c r="A264" s="15"/>
      <c r="B264" s="15"/>
      <c r="C264" s="15"/>
      <c r="D264" s="15"/>
      <c r="E264" s="15"/>
    </row>
    <row r="265" ht="22.5" customHeight="1">
      <c r="A265" s="15"/>
      <c r="B265" s="15"/>
      <c r="C265" s="15"/>
      <c r="D265" s="15"/>
      <c r="E265" s="15"/>
    </row>
    <row r="266" ht="22.5" customHeight="1">
      <c r="A266" s="15"/>
      <c r="B266" s="15"/>
      <c r="C266" s="15"/>
      <c r="D266" s="15"/>
      <c r="E266" s="15"/>
    </row>
    <row r="267" ht="22.5" customHeight="1">
      <c r="A267" s="15"/>
      <c r="B267" s="15"/>
      <c r="C267" s="15"/>
      <c r="D267" s="15"/>
      <c r="E267" s="15"/>
    </row>
    <row r="268" ht="22.5" customHeight="1">
      <c r="A268" s="15"/>
      <c r="B268" s="15"/>
      <c r="C268" s="15"/>
      <c r="D268" s="15"/>
      <c r="E268" s="15"/>
    </row>
    <row r="269" ht="22.5" customHeight="1">
      <c r="A269" s="15"/>
      <c r="B269" s="15"/>
      <c r="C269" s="15"/>
      <c r="D269" s="15"/>
      <c r="E269" s="15"/>
    </row>
    <row r="270" ht="22.5" customHeight="1">
      <c r="A270" s="15"/>
      <c r="B270" s="15"/>
      <c r="C270" s="15"/>
      <c r="D270" s="15"/>
      <c r="E270" s="15"/>
    </row>
    <row r="271" ht="22.5" customHeight="1">
      <c r="A271" s="15"/>
      <c r="B271" s="15"/>
      <c r="C271" s="15"/>
      <c r="D271" s="15"/>
      <c r="E271" s="15"/>
    </row>
    <row r="272" ht="22.5" customHeight="1">
      <c r="A272" s="15"/>
      <c r="B272" s="15"/>
      <c r="C272" s="15"/>
      <c r="D272" s="15"/>
      <c r="E272" s="15"/>
    </row>
    <row r="273" ht="22.5" customHeight="1">
      <c r="A273" s="15"/>
      <c r="B273" s="15"/>
      <c r="C273" s="15"/>
      <c r="D273" s="15"/>
      <c r="E273" s="15"/>
    </row>
    <row r="274" ht="22.5" customHeight="1">
      <c r="A274" s="15"/>
      <c r="B274" s="15"/>
      <c r="C274" s="15"/>
      <c r="D274" s="15"/>
      <c r="E274" s="15"/>
    </row>
    <row r="275" ht="22.5" customHeight="1">
      <c r="A275" s="15"/>
      <c r="B275" s="15"/>
      <c r="C275" s="15"/>
      <c r="D275" s="15"/>
      <c r="E275" s="15"/>
    </row>
    <row r="276" ht="22.5" customHeight="1">
      <c r="A276" s="15"/>
      <c r="B276" s="15"/>
      <c r="C276" s="15"/>
      <c r="D276" s="15"/>
      <c r="E276" s="15"/>
    </row>
    <row r="277" ht="22.5" customHeight="1">
      <c r="A277" s="15"/>
      <c r="B277" s="15"/>
      <c r="C277" s="15"/>
      <c r="D277" s="15"/>
      <c r="E277" s="15"/>
    </row>
    <row r="278" ht="22.5" customHeight="1">
      <c r="A278" s="15"/>
      <c r="B278" s="15"/>
      <c r="C278" s="15"/>
      <c r="D278" s="15"/>
      <c r="E278" s="15"/>
    </row>
    <row r="279" ht="22.5" customHeight="1">
      <c r="A279" s="15"/>
      <c r="B279" s="15"/>
      <c r="C279" s="15"/>
      <c r="D279" s="15"/>
      <c r="E279" s="15"/>
    </row>
    <row r="280" ht="22.5" customHeight="1">
      <c r="A280" s="15"/>
      <c r="B280" s="15"/>
      <c r="C280" s="15"/>
      <c r="D280" s="15"/>
      <c r="E280" s="15"/>
    </row>
    <row r="281" ht="22.5" customHeight="1">
      <c r="A281" s="15"/>
      <c r="B281" s="15"/>
      <c r="C281" s="15"/>
      <c r="D281" s="15"/>
      <c r="E281" s="15"/>
    </row>
    <row r="282" ht="22.5" customHeight="1">
      <c r="A282" s="15"/>
      <c r="B282" s="15"/>
      <c r="C282" s="15"/>
      <c r="D282" s="15"/>
      <c r="E282" s="15"/>
    </row>
    <row r="283" ht="22.5" customHeight="1">
      <c r="A283" s="15"/>
      <c r="B283" s="15"/>
      <c r="C283" s="15"/>
      <c r="D283" s="15"/>
      <c r="E283" s="15"/>
    </row>
    <row r="284" ht="22.5" customHeight="1">
      <c r="A284" s="15"/>
      <c r="B284" s="15"/>
      <c r="C284" s="15"/>
      <c r="D284" s="15"/>
      <c r="E284" s="15"/>
    </row>
    <row r="285" ht="22.5" customHeight="1">
      <c r="A285" s="15"/>
      <c r="B285" s="15"/>
      <c r="C285" s="15"/>
      <c r="D285" s="15"/>
      <c r="E285" s="15"/>
    </row>
    <row r="286" ht="22.5" customHeight="1">
      <c r="A286" s="15"/>
      <c r="B286" s="15"/>
      <c r="C286" s="15"/>
      <c r="D286" s="15"/>
      <c r="E286" s="15"/>
    </row>
    <row r="287" ht="22.5" customHeight="1">
      <c r="A287" s="15"/>
      <c r="B287" s="15"/>
      <c r="C287" s="15"/>
      <c r="D287" s="15"/>
      <c r="E287" s="15"/>
    </row>
    <row r="288" ht="22.5" customHeight="1">
      <c r="A288" s="15"/>
      <c r="B288" s="15"/>
      <c r="C288" s="15"/>
      <c r="D288" s="15"/>
      <c r="E288" s="15"/>
    </row>
    <row r="289" ht="22.5" customHeight="1">
      <c r="A289" s="15"/>
      <c r="B289" s="15"/>
      <c r="C289" s="15"/>
      <c r="D289" s="15"/>
      <c r="E289" s="15"/>
    </row>
    <row r="290" ht="22.5" customHeight="1">
      <c r="A290" s="15"/>
      <c r="B290" s="15"/>
      <c r="C290" s="15"/>
      <c r="D290" s="15"/>
      <c r="E290" s="15"/>
    </row>
    <row r="291" ht="22.5" customHeight="1">
      <c r="A291" s="15"/>
      <c r="B291" s="15"/>
      <c r="C291" s="15"/>
      <c r="D291" s="15"/>
      <c r="E291" s="15"/>
    </row>
    <row r="292" ht="22.5" customHeight="1">
      <c r="A292" s="15"/>
      <c r="B292" s="15"/>
      <c r="C292" s="15"/>
      <c r="D292" s="15"/>
      <c r="E292" s="15"/>
    </row>
    <row r="293" ht="22.5" customHeight="1">
      <c r="A293" s="15"/>
      <c r="B293" s="15"/>
      <c r="C293" s="15"/>
      <c r="D293" s="15"/>
      <c r="E293" s="15"/>
    </row>
    <row r="294" ht="22.5" customHeight="1">
      <c r="A294" s="15"/>
      <c r="B294" s="15"/>
      <c r="C294" s="15"/>
      <c r="D294" s="15"/>
      <c r="E294" s="15"/>
    </row>
    <row r="295" ht="22.5" customHeight="1">
      <c r="A295" s="15"/>
      <c r="B295" s="15"/>
      <c r="C295" s="15"/>
      <c r="D295" s="15"/>
      <c r="E295" s="15"/>
    </row>
    <row r="296" ht="22.5" customHeight="1">
      <c r="A296" s="15"/>
      <c r="B296" s="15"/>
      <c r="C296" s="15"/>
      <c r="D296" s="15"/>
      <c r="E296" s="15"/>
    </row>
    <row r="297" ht="22.5" customHeight="1">
      <c r="A297" s="15"/>
      <c r="B297" s="15"/>
      <c r="C297" s="15"/>
      <c r="D297" s="15"/>
      <c r="E297" s="15"/>
    </row>
    <row r="298" ht="22.5" customHeight="1">
      <c r="A298" s="15"/>
      <c r="B298" s="15"/>
      <c r="C298" s="15"/>
      <c r="D298" s="15"/>
      <c r="E298" s="15"/>
    </row>
    <row r="299" ht="22.5" customHeight="1">
      <c r="A299" s="15"/>
      <c r="B299" s="15"/>
      <c r="C299" s="15"/>
      <c r="D299" s="15"/>
      <c r="E299" s="15"/>
    </row>
    <row r="300" ht="22.5" customHeight="1">
      <c r="A300" s="15"/>
      <c r="B300" s="15"/>
      <c r="C300" s="15"/>
      <c r="D300" s="15"/>
      <c r="E300" s="15"/>
    </row>
    <row r="301" ht="22.5" customHeight="1">
      <c r="A301" s="15"/>
      <c r="B301" s="15"/>
      <c r="C301" s="15"/>
      <c r="D301" s="15"/>
      <c r="E301" s="15"/>
    </row>
    <row r="302" ht="22.5" customHeight="1">
      <c r="A302" s="15"/>
      <c r="B302" s="15"/>
      <c r="C302" s="15"/>
      <c r="D302" s="15"/>
      <c r="E302" s="15"/>
    </row>
    <row r="303" ht="22.5" customHeight="1">
      <c r="A303" s="15"/>
      <c r="B303" s="15"/>
      <c r="C303" s="15"/>
      <c r="D303" s="15"/>
      <c r="E303" s="15"/>
    </row>
    <row r="304" ht="22.5" customHeight="1">
      <c r="A304" s="15"/>
      <c r="B304" s="15"/>
      <c r="C304" s="15"/>
      <c r="D304" s="15"/>
      <c r="E304" s="15"/>
    </row>
    <row r="305" ht="22.5" customHeight="1">
      <c r="A305" s="15"/>
      <c r="B305" s="15"/>
      <c r="C305" s="15"/>
      <c r="D305" s="15"/>
      <c r="E305" s="15"/>
    </row>
    <row r="306" ht="22.5" customHeight="1">
      <c r="A306" s="15"/>
      <c r="B306" s="15"/>
      <c r="C306" s="15"/>
      <c r="D306" s="15"/>
      <c r="E306" s="15"/>
    </row>
    <row r="307" ht="22.5" customHeight="1">
      <c r="A307" s="15"/>
      <c r="B307" s="15"/>
      <c r="C307" s="15"/>
      <c r="D307" s="15"/>
      <c r="E307" s="15"/>
    </row>
    <row r="308" ht="22.5" customHeight="1">
      <c r="A308" s="15"/>
      <c r="B308" s="15"/>
      <c r="C308" s="15"/>
      <c r="D308" s="15"/>
      <c r="E308" s="15"/>
    </row>
    <row r="309" ht="22.5" customHeight="1">
      <c r="A309" s="15"/>
      <c r="B309" s="15"/>
      <c r="C309" s="15"/>
      <c r="D309" s="15"/>
      <c r="E309" s="15"/>
    </row>
    <row r="310" ht="22.5" customHeight="1">
      <c r="A310" s="15"/>
      <c r="B310" s="15"/>
      <c r="C310" s="15"/>
      <c r="D310" s="15"/>
      <c r="E310" s="15"/>
    </row>
    <row r="311" ht="22.5" customHeight="1">
      <c r="A311" s="15"/>
      <c r="B311" s="15"/>
      <c r="C311" s="15"/>
      <c r="D311" s="15"/>
      <c r="E311" s="15"/>
    </row>
    <row r="312" ht="22.5" customHeight="1">
      <c r="A312" s="15"/>
      <c r="B312" s="15"/>
      <c r="C312" s="15"/>
      <c r="D312" s="15"/>
      <c r="E312" s="15"/>
    </row>
    <row r="313" ht="22.5" customHeight="1">
      <c r="A313" s="15"/>
      <c r="B313" s="15"/>
      <c r="C313" s="15"/>
      <c r="D313" s="15"/>
      <c r="E313" s="15"/>
    </row>
    <row r="314" ht="22.5" customHeight="1">
      <c r="A314" s="15"/>
      <c r="B314" s="15"/>
      <c r="C314" s="15"/>
      <c r="D314" s="15"/>
      <c r="E314" s="15"/>
    </row>
    <row r="315" ht="22.5" customHeight="1">
      <c r="A315" s="15"/>
      <c r="B315" s="15"/>
      <c r="C315" s="15"/>
      <c r="D315" s="15"/>
      <c r="E315" s="15"/>
    </row>
    <row r="316" ht="22.5" customHeight="1">
      <c r="A316" s="15"/>
      <c r="B316" s="15"/>
      <c r="C316" s="15"/>
      <c r="D316" s="15"/>
      <c r="E316" s="15"/>
    </row>
    <row r="317" ht="22.5" customHeight="1">
      <c r="A317" s="15"/>
      <c r="B317" s="15"/>
      <c r="C317" s="15"/>
      <c r="D317" s="15"/>
      <c r="E317" s="15"/>
    </row>
    <row r="318" ht="22.5" customHeight="1">
      <c r="A318" s="15"/>
      <c r="B318" s="15"/>
      <c r="C318" s="15"/>
      <c r="D318" s="15"/>
      <c r="E318" s="15"/>
    </row>
    <row r="319" ht="22.5" customHeight="1">
      <c r="A319" s="15"/>
      <c r="B319" s="15"/>
      <c r="C319" s="15"/>
      <c r="D319" s="15"/>
      <c r="E319" s="15"/>
    </row>
    <row r="320" ht="22.5" customHeight="1">
      <c r="A320" s="15"/>
      <c r="B320" s="15"/>
      <c r="C320" s="15"/>
      <c r="D320" s="15"/>
      <c r="E320" s="15"/>
    </row>
    <row r="321" ht="22.5" customHeight="1">
      <c r="A321" s="15"/>
      <c r="B321" s="15"/>
      <c r="C321" s="15"/>
      <c r="D321" s="15"/>
      <c r="E321" s="15"/>
    </row>
    <row r="322" ht="22.5" customHeight="1">
      <c r="A322" s="15"/>
      <c r="B322" s="15"/>
      <c r="C322" s="15"/>
      <c r="D322" s="15"/>
      <c r="E322" s="15"/>
    </row>
    <row r="323" ht="22.5" customHeight="1">
      <c r="A323" s="15"/>
      <c r="B323" s="15"/>
      <c r="C323" s="15"/>
      <c r="D323" s="15"/>
      <c r="E323" s="15"/>
    </row>
    <row r="324" ht="22.5" customHeight="1">
      <c r="A324" s="15"/>
      <c r="B324" s="15"/>
      <c r="C324" s="15"/>
      <c r="D324" s="15"/>
      <c r="E324" s="15"/>
    </row>
    <row r="325" ht="22.5" customHeight="1">
      <c r="A325" s="15"/>
      <c r="B325" s="15"/>
      <c r="C325" s="15"/>
      <c r="D325" s="15"/>
      <c r="E325" s="15"/>
    </row>
    <row r="326" ht="22.5" customHeight="1">
      <c r="A326" s="15"/>
      <c r="B326" s="15"/>
      <c r="C326" s="15"/>
      <c r="D326" s="15"/>
      <c r="E326" s="15"/>
    </row>
    <row r="327" ht="22.5" customHeight="1">
      <c r="A327" s="15"/>
      <c r="B327" s="15"/>
      <c r="C327" s="15"/>
      <c r="D327" s="15"/>
      <c r="E327" s="15"/>
    </row>
    <row r="328" ht="22.5" customHeight="1">
      <c r="A328" s="15"/>
      <c r="B328" s="15"/>
      <c r="C328" s="15"/>
      <c r="D328" s="15"/>
      <c r="E328" s="15"/>
    </row>
    <row r="329" ht="22.5" customHeight="1">
      <c r="A329" s="15"/>
      <c r="B329" s="15"/>
      <c r="C329" s="15"/>
      <c r="D329" s="15"/>
      <c r="E329" s="15"/>
    </row>
    <row r="330" ht="22.5" customHeight="1">
      <c r="A330" s="15"/>
      <c r="B330" s="15"/>
      <c r="C330" s="15"/>
      <c r="D330" s="15"/>
      <c r="E330" s="15"/>
    </row>
    <row r="331" ht="22.5" customHeight="1">
      <c r="A331" s="15"/>
      <c r="B331" s="15"/>
      <c r="C331" s="15"/>
      <c r="D331" s="15"/>
      <c r="E331" s="15"/>
    </row>
    <row r="332" ht="22.5" customHeight="1">
      <c r="A332" s="15"/>
      <c r="B332" s="15"/>
      <c r="C332" s="15"/>
      <c r="D332" s="15"/>
      <c r="E332" s="15"/>
    </row>
    <row r="333" ht="22.5" customHeight="1">
      <c r="A333" s="15"/>
      <c r="B333" s="15"/>
      <c r="C333" s="15"/>
      <c r="D333" s="15"/>
      <c r="E333" s="15"/>
    </row>
    <row r="334" ht="22.5" customHeight="1">
      <c r="A334" s="15"/>
      <c r="B334" s="15"/>
      <c r="C334" s="15"/>
      <c r="D334" s="15"/>
      <c r="E334" s="15"/>
    </row>
    <row r="335" ht="22.5" customHeight="1">
      <c r="A335" s="15"/>
      <c r="B335" s="15"/>
      <c r="C335" s="15"/>
      <c r="D335" s="15"/>
      <c r="E335" s="15"/>
    </row>
    <row r="336" ht="22.5" customHeight="1">
      <c r="A336" s="15"/>
      <c r="B336" s="15"/>
      <c r="C336" s="15"/>
      <c r="D336" s="15"/>
      <c r="E336" s="15"/>
    </row>
    <row r="337" ht="22.5" customHeight="1">
      <c r="A337" s="15"/>
      <c r="B337" s="15"/>
      <c r="C337" s="15"/>
      <c r="D337" s="15"/>
      <c r="E337" s="15"/>
    </row>
    <row r="338" ht="22.5" customHeight="1">
      <c r="A338" s="15"/>
      <c r="B338" s="15"/>
      <c r="C338" s="15"/>
      <c r="D338" s="15"/>
      <c r="E338" s="15"/>
    </row>
    <row r="339" ht="22.5" customHeight="1">
      <c r="A339" s="15"/>
      <c r="B339" s="15"/>
      <c r="C339" s="15"/>
      <c r="D339" s="15"/>
      <c r="E339" s="15"/>
    </row>
    <row r="340" ht="22.5" customHeight="1">
      <c r="A340" s="15"/>
      <c r="B340" s="15"/>
      <c r="C340" s="15"/>
      <c r="D340" s="15"/>
      <c r="E340" s="15"/>
    </row>
    <row r="341" ht="22.5" customHeight="1">
      <c r="A341" s="15"/>
      <c r="B341" s="15"/>
      <c r="C341" s="15"/>
      <c r="D341" s="15"/>
      <c r="E341" s="15"/>
    </row>
    <row r="342" ht="22.5" customHeight="1">
      <c r="A342" s="15"/>
      <c r="B342" s="15"/>
      <c r="C342" s="15"/>
      <c r="D342" s="15"/>
      <c r="E342" s="15"/>
    </row>
    <row r="343" ht="22.5" customHeight="1">
      <c r="A343" s="15"/>
      <c r="B343" s="15"/>
      <c r="C343" s="15"/>
      <c r="D343" s="15"/>
      <c r="E343" s="15"/>
    </row>
    <row r="344" ht="22.5" customHeight="1">
      <c r="A344" s="15"/>
      <c r="B344" s="15"/>
      <c r="C344" s="15"/>
      <c r="D344" s="15"/>
      <c r="E344" s="15"/>
    </row>
    <row r="345" ht="22.5" customHeight="1">
      <c r="A345" s="15"/>
      <c r="B345" s="15"/>
      <c r="C345" s="15"/>
      <c r="D345" s="15"/>
      <c r="E345" s="15"/>
    </row>
    <row r="346" ht="22.5" customHeight="1">
      <c r="A346" s="15"/>
      <c r="B346" s="15"/>
      <c r="C346" s="15"/>
      <c r="D346" s="15"/>
      <c r="E346" s="15"/>
    </row>
    <row r="347" ht="22.5" customHeight="1">
      <c r="A347" s="15"/>
      <c r="B347" s="15"/>
      <c r="C347" s="15"/>
      <c r="D347" s="15"/>
      <c r="E347" s="15"/>
    </row>
    <row r="348" ht="22.5" customHeight="1">
      <c r="A348" s="15"/>
      <c r="B348" s="15"/>
      <c r="C348" s="15"/>
      <c r="D348" s="15"/>
      <c r="E348" s="15"/>
    </row>
    <row r="349" ht="22.5" customHeight="1">
      <c r="A349" s="15"/>
      <c r="B349" s="15"/>
      <c r="C349" s="15"/>
      <c r="D349" s="15"/>
      <c r="E349" s="15"/>
    </row>
    <row r="350" ht="22.5" customHeight="1">
      <c r="A350" s="15"/>
      <c r="B350" s="15"/>
      <c r="C350" s="15"/>
      <c r="D350" s="15"/>
      <c r="E350" s="15"/>
    </row>
    <row r="351" ht="22.5" customHeight="1">
      <c r="A351" s="15"/>
      <c r="B351" s="15"/>
      <c r="C351" s="15"/>
      <c r="D351" s="15"/>
      <c r="E351" s="15"/>
    </row>
    <row r="352" ht="22.5" customHeight="1">
      <c r="A352" s="15"/>
      <c r="B352" s="15"/>
      <c r="C352" s="15"/>
      <c r="D352" s="15"/>
      <c r="E352" s="15"/>
    </row>
    <row r="353" ht="22.5" customHeight="1">
      <c r="A353" s="15"/>
      <c r="B353" s="15"/>
      <c r="C353" s="15"/>
      <c r="D353" s="15"/>
      <c r="E353" s="15"/>
    </row>
    <row r="354" ht="22.5" customHeight="1">
      <c r="A354" s="15"/>
      <c r="B354" s="15"/>
      <c r="C354" s="15"/>
      <c r="D354" s="15"/>
      <c r="E354" s="15"/>
    </row>
    <row r="355" ht="22.5" customHeight="1">
      <c r="A355" s="15"/>
      <c r="B355" s="15"/>
      <c r="C355" s="15"/>
      <c r="D355" s="15"/>
      <c r="E355" s="15"/>
    </row>
    <row r="356" ht="22.5" customHeight="1">
      <c r="A356" s="15"/>
      <c r="B356" s="15"/>
      <c r="C356" s="15"/>
      <c r="D356" s="15"/>
      <c r="E356" s="15"/>
    </row>
    <row r="357" ht="22.5" customHeight="1">
      <c r="A357" s="15"/>
      <c r="B357" s="15"/>
      <c r="C357" s="15"/>
      <c r="D357" s="15"/>
      <c r="E357" s="15"/>
    </row>
    <row r="358" ht="22.5" customHeight="1">
      <c r="A358" s="15"/>
      <c r="B358" s="15"/>
      <c r="C358" s="15"/>
      <c r="D358" s="15"/>
      <c r="E358" s="15"/>
    </row>
    <row r="359" ht="22.5" customHeight="1">
      <c r="A359" s="15"/>
      <c r="B359" s="15"/>
      <c r="C359" s="15"/>
      <c r="D359" s="15"/>
      <c r="E359" s="15"/>
    </row>
    <row r="360" ht="22.5" customHeight="1">
      <c r="A360" s="15"/>
      <c r="B360" s="15"/>
      <c r="C360" s="15"/>
      <c r="D360" s="15"/>
      <c r="E360" s="15"/>
    </row>
    <row r="361" ht="22.5" customHeight="1">
      <c r="A361" s="15"/>
      <c r="B361" s="15"/>
      <c r="C361" s="15"/>
      <c r="D361" s="15"/>
      <c r="E361" s="15"/>
    </row>
    <row r="362" ht="22.5" customHeight="1">
      <c r="A362" s="15"/>
      <c r="B362" s="15"/>
      <c r="C362" s="15"/>
      <c r="D362" s="15"/>
      <c r="E362" s="15"/>
    </row>
    <row r="363" ht="22.5" customHeight="1">
      <c r="A363" s="15"/>
      <c r="B363" s="15"/>
      <c r="C363" s="15"/>
      <c r="D363" s="15"/>
      <c r="E363" s="15"/>
    </row>
    <row r="364" ht="22.5" customHeight="1">
      <c r="A364" s="15"/>
      <c r="B364" s="15"/>
      <c r="C364" s="15"/>
      <c r="D364" s="15"/>
      <c r="E364" s="15"/>
    </row>
    <row r="365" ht="22.5" customHeight="1">
      <c r="A365" s="15"/>
      <c r="B365" s="15"/>
      <c r="C365" s="15"/>
      <c r="D365" s="15"/>
      <c r="E365" s="15"/>
    </row>
    <row r="366" ht="22.5" customHeight="1">
      <c r="A366" s="15"/>
      <c r="B366" s="15"/>
      <c r="C366" s="15"/>
      <c r="D366" s="15"/>
      <c r="E366" s="15"/>
    </row>
    <row r="367" ht="22.5" customHeight="1">
      <c r="A367" s="15"/>
      <c r="B367" s="15"/>
      <c r="C367" s="15"/>
      <c r="D367" s="15"/>
      <c r="E367" s="15"/>
    </row>
    <row r="368" ht="22.5" customHeight="1">
      <c r="A368" s="15"/>
      <c r="B368" s="15"/>
      <c r="C368" s="15"/>
      <c r="D368" s="15"/>
      <c r="E368" s="15"/>
    </row>
    <row r="369" ht="22.5" customHeight="1">
      <c r="A369" s="15"/>
      <c r="B369" s="15"/>
      <c r="C369" s="15"/>
      <c r="D369" s="15"/>
      <c r="E369" s="15"/>
    </row>
    <row r="370" ht="22.5" customHeight="1">
      <c r="A370" s="15"/>
      <c r="B370" s="15"/>
      <c r="C370" s="15"/>
      <c r="D370" s="15"/>
      <c r="E370" s="15"/>
    </row>
    <row r="371" ht="22.5" customHeight="1">
      <c r="A371" s="15"/>
      <c r="B371" s="15"/>
      <c r="C371" s="15"/>
      <c r="D371" s="15"/>
      <c r="E371" s="15"/>
    </row>
    <row r="372" ht="22.5" customHeight="1">
      <c r="A372" s="15"/>
      <c r="B372" s="15"/>
      <c r="C372" s="15"/>
      <c r="D372" s="15"/>
      <c r="E372" s="15"/>
    </row>
    <row r="373" ht="22.5" customHeight="1">
      <c r="A373" s="15"/>
      <c r="B373" s="15"/>
      <c r="C373" s="15"/>
      <c r="D373" s="15"/>
      <c r="E373" s="15"/>
    </row>
    <row r="374" ht="22.5" customHeight="1">
      <c r="A374" s="15"/>
      <c r="B374" s="15"/>
      <c r="C374" s="15"/>
      <c r="D374" s="15"/>
      <c r="E374" s="15"/>
    </row>
    <row r="375" ht="22.5" customHeight="1">
      <c r="A375" s="15"/>
      <c r="B375" s="15"/>
      <c r="C375" s="15"/>
      <c r="D375" s="15"/>
      <c r="E375" s="15"/>
    </row>
    <row r="376" ht="22.5" customHeight="1">
      <c r="A376" s="15"/>
      <c r="B376" s="15"/>
      <c r="C376" s="15"/>
      <c r="D376" s="15"/>
      <c r="E376" s="15"/>
    </row>
    <row r="377" ht="22.5" customHeight="1">
      <c r="A377" s="15"/>
      <c r="B377" s="15"/>
      <c r="C377" s="15"/>
      <c r="D377" s="15"/>
      <c r="E377" s="15"/>
    </row>
    <row r="378" ht="22.5" customHeight="1">
      <c r="A378" s="15"/>
      <c r="B378" s="15"/>
      <c r="C378" s="15"/>
      <c r="D378" s="15"/>
      <c r="E378" s="15"/>
    </row>
    <row r="379" ht="22.5" customHeight="1">
      <c r="A379" s="15"/>
      <c r="B379" s="15"/>
      <c r="C379" s="15"/>
      <c r="D379" s="15"/>
      <c r="E379" s="15"/>
    </row>
    <row r="380" ht="22.5" customHeight="1">
      <c r="A380" s="15"/>
      <c r="B380" s="15"/>
      <c r="C380" s="15"/>
      <c r="D380" s="15"/>
      <c r="E380" s="15"/>
    </row>
    <row r="381" ht="22.5" customHeight="1">
      <c r="A381" s="15"/>
      <c r="B381" s="15"/>
      <c r="C381" s="15"/>
      <c r="D381" s="15"/>
      <c r="E381" s="15"/>
    </row>
    <row r="382" ht="22.5" customHeight="1">
      <c r="A382" s="15"/>
      <c r="B382" s="15"/>
      <c r="C382" s="15"/>
      <c r="D382" s="15"/>
      <c r="E382" s="15"/>
    </row>
    <row r="383" ht="22.5" customHeight="1">
      <c r="A383" s="15"/>
      <c r="B383" s="15"/>
      <c r="C383" s="15"/>
      <c r="D383" s="15"/>
      <c r="E383" s="15"/>
    </row>
    <row r="384" ht="22.5" customHeight="1">
      <c r="A384" s="15"/>
      <c r="B384" s="15"/>
      <c r="C384" s="15"/>
      <c r="D384" s="15"/>
      <c r="E384" s="15"/>
    </row>
    <row r="385" ht="22.5" customHeight="1">
      <c r="A385" s="15"/>
      <c r="B385" s="15"/>
      <c r="C385" s="15"/>
      <c r="D385" s="15"/>
      <c r="E385" s="15"/>
    </row>
    <row r="386" ht="22.5" customHeight="1">
      <c r="A386" s="15"/>
      <c r="B386" s="15"/>
      <c r="C386" s="15"/>
      <c r="D386" s="15"/>
      <c r="E386" s="15"/>
    </row>
    <row r="387" ht="22.5" customHeight="1">
      <c r="A387" s="15"/>
      <c r="B387" s="15"/>
      <c r="C387" s="15"/>
      <c r="D387" s="15"/>
      <c r="E387" s="15"/>
    </row>
    <row r="388" ht="22.5" customHeight="1">
      <c r="A388" s="15"/>
      <c r="B388" s="15"/>
      <c r="C388" s="15"/>
      <c r="D388" s="15"/>
      <c r="E388" s="15"/>
    </row>
    <row r="389" ht="22.5" customHeight="1">
      <c r="A389" s="15"/>
      <c r="B389" s="15"/>
      <c r="C389" s="15"/>
      <c r="D389" s="15"/>
      <c r="E389" s="15"/>
    </row>
    <row r="390" ht="22.5" customHeight="1">
      <c r="A390" s="15"/>
      <c r="B390" s="15"/>
      <c r="C390" s="15"/>
      <c r="D390" s="15"/>
      <c r="E390" s="15"/>
    </row>
    <row r="391" ht="22.5" customHeight="1">
      <c r="A391" s="15"/>
      <c r="B391" s="15"/>
      <c r="C391" s="15"/>
      <c r="D391" s="15"/>
      <c r="E391" s="15"/>
    </row>
    <row r="392" ht="22.5" customHeight="1">
      <c r="A392" s="15"/>
      <c r="B392" s="15"/>
      <c r="C392" s="15"/>
      <c r="D392" s="15"/>
      <c r="E392" s="15"/>
    </row>
    <row r="393" ht="22.5" customHeight="1">
      <c r="A393" s="15"/>
      <c r="B393" s="15"/>
      <c r="C393" s="15"/>
      <c r="D393" s="15"/>
      <c r="E393" s="15"/>
    </row>
    <row r="394" ht="22.5" customHeight="1">
      <c r="A394" s="15"/>
      <c r="B394" s="15"/>
      <c r="C394" s="15"/>
      <c r="D394" s="15"/>
      <c r="E394" s="15"/>
    </row>
    <row r="395" ht="22.5" customHeight="1">
      <c r="A395" s="15"/>
      <c r="B395" s="15"/>
      <c r="C395" s="15"/>
      <c r="D395" s="15"/>
      <c r="E395" s="15"/>
    </row>
    <row r="396" ht="22.5" customHeight="1">
      <c r="A396" s="15"/>
      <c r="B396" s="15"/>
      <c r="C396" s="15"/>
      <c r="D396" s="15"/>
      <c r="E396" s="15"/>
    </row>
    <row r="397" ht="22.5" customHeight="1">
      <c r="A397" s="15"/>
      <c r="B397" s="15"/>
      <c r="C397" s="15"/>
      <c r="D397" s="15"/>
      <c r="E397" s="15"/>
    </row>
    <row r="398" ht="22.5" customHeight="1">
      <c r="A398" s="15"/>
      <c r="B398" s="15"/>
      <c r="C398" s="15"/>
      <c r="D398" s="15"/>
      <c r="E398" s="15"/>
    </row>
    <row r="399" ht="22.5" customHeight="1">
      <c r="A399" s="15"/>
      <c r="B399" s="15"/>
      <c r="C399" s="15"/>
      <c r="D399" s="15"/>
      <c r="E399" s="15"/>
    </row>
    <row r="400" ht="22.5" customHeight="1">
      <c r="A400" s="15"/>
      <c r="B400" s="15"/>
      <c r="C400" s="15"/>
      <c r="D400" s="15"/>
      <c r="E400" s="15"/>
    </row>
    <row r="401" ht="22.5" customHeight="1">
      <c r="A401" s="15"/>
      <c r="B401" s="15"/>
      <c r="C401" s="15"/>
      <c r="D401" s="15"/>
      <c r="E401" s="15"/>
    </row>
    <row r="402" ht="22.5" customHeight="1">
      <c r="A402" s="15"/>
      <c r="B402" s="15"/>
      <c r="C402" s="15"/>
      <c r="D402" s="15"/>
      <c r="E402" s="15"/>
    </row>
    <row r="403" ht="22.5" customHeight="1">
      <c r="A403" s="15"/>
      <c r="B403" s="15"/>
      <c r="C403" s="15"/>
      <c r="D403" s="15"/>
      <c r="E403" s="15"/>
    </row>
    <row r="404" ht="22.5" customHeight="1">
      <c r="A404" s="15"/>
      <c r="B404" s="15"/>
      <c r="C404" s="15"/>
      <c r="D404" s="15"/>
      <c r="E404" s="15"/>
    </row>
    <row r="405" ht="22.5" customHeight="1">
      <c r="A405" s="15"/>
      <c r="B405" s="15"/>
      <c r="C405" s="15"/>
      <c r="D405" s="15"/>
      <c r="E405" s="15"/>
    </row>
    <row r="406" ht="22.5" customHeight="1">
      <c r="A406" s="15"/>
      <c r="B406" s="15"/>
      <c r="C406" s="15"/>
      <c r="D406" s="15"/>
      <c r="E406" s="15"/>
    </row>
    <row r="407" ht="22.5" customHeight="1">
      <c r="A407" s="15"/>
      <c r="B407" s="15"/>
      <c r="C407" s="15"/>
      <c r="D407" s="15"/>
      <c r="E407" s="15"/>
    </row>
    <row r="408" ht="22.5" customHeight="1">
      <c r="A408" s="15"/>
      <c r="B408" s="15"/>
      <c r="C408" s="15"/>
      <c r="D408" s="15"/>
      <c r="E408" s="15"/>
    </row>
    <row r="409" ht="22.5" customHeight="1">
      <c r="A409" s="15"/>
      <c r="B409" s="15"/>
      <c r="C409" s="15"/>
      <c r="D409" s="15"/>
      <c r="E409" s="15"/>
    </row>
    <row r="410" ht="22.5" customHeight="1">
      <c r="A410" s="15"/>
      <c r="B410" s="15"/>
      <c r="C410" s="15"/>
      <c r="D410" s="15"/>
      <c r="E410" s="15"/>
    </row>
    <row r="411" ht="22.5" customHeight="1">
      <c r="A411" s="15"/>
      <c r="B411" s="15"/>
      <c r="C411" s="15"/>
      <c r="D411" s="15"/>
      <c r="E411" s="15"/>
    </row>
    <row r="412" ht="22.5" customHeight="1">
      <c r="A412" s="15"/>
      <c r="B412" s="15"/>
      <c r="C412" s="15"/>
      <c r="D412" s="15"/>
      <c r="E412" s="15"/>
    </row>
    <row r="413" ht="22.5" customHeight="1">
      <c r="A413" s="15"/>
      <c r="B413" s="15"/>
      <c r="C413" s="15"/>
      <c r="D413" s="15"/>
      <c r="E413" s="15"/>
    </row>
    <row r="414" ht="22.5" customHeight="1">
      <c r="A414" s="15"/>
      <c r="B414" s="15"/>
      <c r="C414" s="15"/>
      <c r="D414" s="15"/>
      <c r="E414" s="15"/>
    </row>
    <row r="415" ht="22.5" customHeight="1">
      <c r="A415" s="15"/>
      <c r="B415" s="15"/>
      <c r="C415" s="15"/>
      <c r="D415" s="15"/>
      <c r="E415" s="15"/>
    </row>
    <row r="416" ht="22.5" customHeight="1">
      <c r="A416" s="15"/>
      <c r="B416" s="15"/>
      <c r="C416" s="15"/>
      <c r="D416" s="15"/>
      <c r="E416" s="15"/>
    </row>
    <row r="417" ht="22.5" customHeight="1">
      <c r="A417" s="15"/>
      <c r="B417" s="15"/>
      <c r="C417" s="15"/>
      <c r="D417" s="15"/>
      <c r="E417" s="15"/>
    </row>
    <row r="418" ht="22.5" customHeight="1">
      <c r="A418" s="15"/>
      <c r="B418" s="15"/>
      <c r="C418" s="15"/>
      <c r="D418" s="15"/>
      <c r="E418" s="15"/>
    </row>
    <row r="419" ht="22.5" customHeight="1">
      <c r="A419" s="15"/>
      <c r="B419" s="15"/>
      <c r="C419" s="15"/>
      <c r="D419" s="15"/>
      <c r="E419" s="15"/>
    </row>
    <row r="420" ht="22.5" customHeight="1">
      <c r="A420" s="15"/>
      <c r="B420" s="15"/>
      <c r="C420" s="15"/>
      <c r="D420" s="15"/>
      <c r="E420" s="15"/>
    </row>
    <row r="421" ht="22.5" customHeight="1">
      <c r="A421" s="15"/>
      <c r="B421" s="15"/>
      <c r="C421" s="15"/>
      <c r="D421" s="15"/>
      <c r="E421" s="15"/>
    </row>
    <row r="422" ht="22.5" customHeight="1">
      <c r="A422" s="15"/>
      <c r="B422" s="15"/>
      <c r="C422" s="15"/>
      <c r="D422" s="15"/>
      <c r="E422" s="15"/>
    </row>
    <row r="423" ht="22.5" customHeight="1">
      <c r="A423" s="15"/>
      <c r="B423" s="15"/>
      <c r="C423" s="15"/>
      <c r="D423" s="15"/>
      <c r="E423" s="15"/>
    </row>
    <row r="424" ht="22.5" customHeight="1">
      <c r="A424" s="15"/>
      <c r="B424" s="15"/>
      <c r="C424" s="15"/>
      <c r="D424" s="15"/>
      <c r="E424" s="15"/>
    </row>
    <row r="425" ht="22.5" customHeight="1">
      <c r="A425" s="15"/>
      <c r="B425" s="15"/>
      <c r="C425" s="15"/>
      <c r="D425" s="15"/>
      <c r="E425" s="15"/>
    </row>
    <row r="426" ht="22.5" customHeight="1">
      <c r="A426" s="15"/>
      <c r="B426" s="15"/>
      <c r="C426" s="15"/>
      <c r="D426" s="15"/>
      <c r="E426" s="15"/>
    </row>
    <row r="427" ht="22.5" customHeight="1">
      <c r="A427" s="15"/>
      <c r="B427" s="15"/>
      <c r="C427" s="15"/>
      <c r="D427" s="15"/>
      <c r="E427" s="15"/>
    </row>
    <row r="428" ht="22.5" customHeight="1">
      <c r="A428" s="15"/>
      <c r="B428" s="15"/>
      <c r="C428" s="15"/>
      <c r="D428" s="15"/>
      <c r="E428" s="15"/>
    </row>
    <row r="429" ht="22.5" customHeight="1">
      <c r="A429" s="15"/>
      <c r="B429" s="15"/>
      <c r="C429" s="15"/>
      <c r="D429" s="15"/>
      <c r="E429" s="15"/>
    </row>
    <row r="430" ht="22.5" customHeight="1">
      <c r="A430" s="15"/>
      <c r="B430" s="15"/>
      <c r="C430" s="15"/>
      <c r="D430" s="15"/>
      <c r="E430" s="15"/>
    </row>
    <row r="431" ht="22.5" customHeight="1">
      <c r="A431" s="15"/>
      <c r="B431" s="15"/>
      <c r="C431" s="15"/>
      <c r="D431" s="15"/>
      <c r="E431" s="15"/>
    </row>
    <row r="432" ht="22.5" customHeight="1">
      <c r="A432" s="15"/>
      <c r="B432" s="15"/>
      <c r="C432" s="15"/>
      <c r="D432" s="15"/>
      <c r="E432" s="15"/>
    </row>
    <row r="433" ht="22.5" customHeight="1">
      <c r="A433" s="15"/>
      <c r="B433" s="15"/>
      <c r="C433" s="15"/>
      <c r="D433" s="15"/>
      <c r="E433" s="15"/>
    </row>
    <row r="434" ht="22.5" customHeight="1">
      <c r="A434" s="15"/>
      <c r="B434" s="15"/>
      <c r="C434" s="15"/>
      <c r="D434" s="15"/>
      <c r="E434" s="15"/>
    </row>
    <row r="435" ht="22.5" customHeight="1">
      <c r="A435" s="15"/>
      <c r="B435" s="15"/>
      <c r="C435" s="15"/>
      <c r="D435" s="15"/>
      <c r="E435" s="15"/>
    </row>
    <row r="436" ht="22.5" customHeight="1">
      <c r="A436" s="15"/>
      <c r="B436" s="15"/>
      <c r="C436" s="15"/>
      <c r="D436" s="15"/>
      <c r="E436" s="15"/>
    </row>
    <row r="437" ht="22.5" customHeight="1">
      <c r="A437" s="15"/>
      <c r="B437" s="15"/>
      <c r="C437" s="15"/>
      <c r="D437" s="15"/>
      <c r="E437" s="15"/>
    </row>
    <row r="438" ht="22.5" customHeight="1">
      <c r="A438" s="15"/>
      <c r="B438" s="15"/>
      <c r="C438" s="15"/>
      <c r="D438" s="15"/>
      <c r="E438" s="15"/>
    </row>
    <row r="439" ht="22.5" customHeight="1">
      <c r="A439" s="15"/>
      <c r="B439" s="15"/>
      <c r="C439" s="15"/>
      <c r="D439" s="15"/>
      <c r="E439" s="15"/>
    </row>
    <row r="440" ht="22.5" customHeight="1">
      <c r="A440" s="15"/>
      <c r="B440" s="15"/>
      <c r="C440" s="15"/>
      <c r="D440" s="15"/>
      <c r="E440" s="15"/>
    </row>
    <row r="441" ht="22.5" customHeight="1">
      <c r="A441" s="15"/>
      <c r="B441" s="15"/>
      <c r="C441" s="15"/>
      <c r="D441" s="15"/>
      <c r="E441" s="15"/>
    </row>
    <row r="442" ht="22.5" customHeight="1">
      <c r="A442" s="15"/>
      <c r="B442" s="15"/>
      <c r="C442" s="15"/>
      <c r="D442" s="15"/>
      <c r="E442" s="15"/>
    </row>
    <row r="443" ht="22.5" customHeight="1">
      <c r="A443" s="15"/>
      <c r="B443" s="15"/>
      <c r="C443" s="15"/>
      <c r="D443" s="15"/>
      <c r="E443" s="15"/>
    </row>
    <row r="444" ht="22.5" customHeight="1">
      <c r="A444" s="15"/>
      <c r="B444" s="15"/>
      <c r="C444" s="15"/>
      <c r="D444" s="15"/>
      <c r="E444" s="15"/>
    </row>
    <row r="445" ht="22.5" customHeight="1">
      <c r="A445" s="15"/>
      <c r="B445" s="15"/>
      <c r="C445" s="15"/>
      <c r="D445" s="15"/>
      <c r="E445" s="15"/>
    </row>
    <row r="446" ht="22.5" customHeight="1">
      <c r="A446" s="15"/>
      <c r="B446" s="15"/>
      <c r="C446" s="15"/>
      <c r="D446" s="15"/>
      <c r="E446" s="15"/>
    </row>
    <row r="447" ht="22.5" customHeight="1">
      <c r="A447" s="15"/>
      <c r="B447" s="15"/>
      <c r="C447" s="15"/>
      <c r="D447" s="15"/>
      <c r="E447" s="15"/>
    </row>
    <row r="448" ht="22.5" customHeight="1">
      <c r="A448" s="15"/>
      <c r="B448" s="15"/>
      <c r="C448" s="15"/>
      <c r="D448" s="15"/>
      <c r="E448" s="15"/>
    </row>
    <row r="449" ht="22.5" customHeight="1">
      <c r="A449" s="15"/>
      <c r="B449" s="15"/>
      <c r="C449" s="15"/>
      <c r="D449" s="15"/>
      <c r="E449" s="15"/>
    </row>
    <row r="450" ht="22.5" customHeight="1">
      <c r="A450" s="15"/>
      <c r="B450" s="15"/>
      <c r="C450" s="15"/>
      <c r="D450" s="15"/>
      <c r="E450" s="15"/>
    </row>
    <row r="451" ht="22.5" customHeight="1">
      <c r="A451" s="15"/>
      <c r="B451" s="15"/>
      <c r="C451" s="15"/>
      <c r="D451" s="15"/>
      <c r="E451" s="15"/>
    </row>
    <row r="452" ht="22.5" customHeight="1">
      <c r="A452" s="15"/>
      <c r="B452" s="15"/>
      <c r="C452" s="15"/>
      <c r="D452" s="15"/>
      <c r="E452" s="15"/>
    </row>
    <row r="453" ht="22.5" customHeight="1">
      <c r="A453" s="15"/>
      <c r="B453" s="15"/>
      <c r="C453" s="15"/>
      <c r="D453" s="15"/>
      <c r="E453" s="15"/>
    </row>
    <row r="454" ht="22.5" customHeight="1">
      <c r="A454" s="15"/>
      <c r="B454" s="15"/>
      <c r="C454" s="15"/>
      <c r="D454" s="15"/>
      <c r="E454" s="15"/>
    </row>
    <row r="455" ht="22.5" customHeight="1">
      <c r="A455" s="15"/>
      <c r="B455" s="15"/>
      <c r="C455" s="15"/>
      <c r="D455" s="15"/>
      <c r="E455" s="15"/>
    </row>
    <row r="456" ht="22.5" customHeight="1">
      <c r="A456" s="15"/>
      <c r="B456" s="15"/>
      <c r="C456" s="15"/>
      <c r="D456" s="15"/>
      <c r="E456" s="15"/>
    </row>
    <row r="457" ht="22.5" customHeight="1">
      <c r="A457" s="15"/>
      <c r="B457" s="15"/>
      <c r="C457" s="15"/>
      <c r="D457" s="15"/>
      <c r="E457" s="15"/>
    </row>
    <row r="458" ht="22.5" customHeight="1">
      <c r="A458" s="15"/>
      <c r="B458" s="15"/>
      <c r="C458" s="15"/>
      <c r="D458" s="15"/>
      <c r="E458" s="15"/>
    </row>
    <row r="459" ht="22.5" customHeight="1">
      <c r="A459" s="15"/>
      <c r="B459" s="15"/>
      <c r="C459" s="15"/>
      <c r="D459" s="15"/>
      <c r="E459" s="15"/>
    </row>
    <row r="460" ht="22.5" customHeight="1">
      <c r="A460" s="15"/>
      <c r="B460" s="15"/>
      <c r="C460" s="15"/>
      <c r="D460" s="15"/>
      <c r="E460" s="15"/>
    </row>
    <row r="461" ht="22.5" customHeight="1">
      <c r="A461" s="15"/>
      <c r="B461" s="15"/>
      <c r="C461" s="15"/>
      <c r="D461" s="15"/>
      <c r="E461" s="15"/>
    </row>
    <row r="462" ht="22.5" customHeight="1">
      <c r="A462" s="15"/>
      <c r="B462" s="15"/>
      <c r="C462" s="15"/>
      <c r="D462" s="15"/>
      <c r="E462" s="15"/>
    </row>
    <row r="463" ht="22.5" customHeight="1">
      <c r="A463" s="15"/>
      <c r="B463" s="15"/>
      <c r="C463" s="15"/>
      <c r="D463" s="15"/>
      <c r="E463" s="15"/>
    </row>
    <row r="464" ht="22.5" customHeight="1">
      <c r="A464" s="15"/>
      <c r="B464" s="15"/>
      <c r="C464" s="15"/>
      <c r="D464" s="15"/>
      <c r="E464" s="15"/>
    </row>
    <row r="465" ht="22.5" customHeight="1">
      <c r="A465" s="15"/>
      <c r="B465" s="15"/>
      <c r="C465" s="15"/>
      <c r="D465" s="15"/>
      <c r="E465" s="15"/>
    </row>
    <row r="466" ht="22.5" customHeight="1">
      <c r="A466" s="15"/>
      <c r="B466" s="15"/>
      <c r="C466" s="15"/>
      <c r="D466" s="15"/>
      <c r="E466" s="15"/>
    </row>
    <row r="467" ht="22.5" customHeight="1">
      <c r="A467" s="15"/>
      <c r="B467" s="15"/>
      <c r="C467" s="15"/>
      <c r="D467" s="15"/>
      <c r="E467" s="15"/>
    </row>
    <row r="468" ht="22.5" customHeight="1">
      <c r="A468" s="15"/>
      <c r="B468" s="15"/>
      <c r="C468" s="15"/>
      <c r="D468" s="15"/>
      <c r="E468" s="15"/>
    </row>
    <row r="469" ht="22.5" customHeight="1">
      <c r="A469" s="15"/>
      <c r="B469" s="15"/>
      <c r="C469" s="15"/>
      <c r="D469" s="15"/>
      <c r="E469" s="15"/>
    </row>
    <row r="470" ht="22.5" customHeight="1">
      <c r="A470" s="15"/>
      <c r="B470" s="15"/>
      <c r="C470" s="15"/>
      <c r="D470" s="15"/>
      <c r="E470" s="15"/>
    </row>
    <row r="471" ht="22.5" customHeight="1">
      <c r="A471" s="15"/>
      <c r="B471" s="15"/>
      <c r="C471" s="15"/>
      <c r="D471" s="15"/>
      <c r="E471" s="15"/>
    </row>
    <row r="472" ht="22.5" customHeight="1">
      <c r="A472" s="15"/>
      <c r="B472" s="15"/>
      <c r="C472" s="15"/>
      <c r="D472" s="15"/>
      <c r="E472" s="15"/>
    </row>
    <row r="473" ht="22.5" customHeight="1">
      <c r="A473" s="15"/>
      <c r="B473" s="15"/>
      <c r="C473" s="15"/>
      <c r="D473" s="15"/>
      <c r="E473" s="15"/>
    </row>
    <row r="474" ht="22.5" customHeight="1">
      <c r="A474" s="15"/>
      <c r="B474" s="15"/>
      <c r="C474" s="15"/>
      <c r="D474" s="15"/>
      <c r="E474" s="15"/>
    </row>
    <row r="475" ht="22.5" customHeight="1">
      <c r="A475" s="15"/>
      <c r="B475" s="15"/>
      <c r="C475" s="15"/>
      <c r="D475" s="15"/>
      <c r="E475" s="15"/>
    </row>
    <row r="476" ht="22.5" customHeight="1">
      <c r="A476" s="15"/>
      <c r="B476" s="15"/>
      <c r="C476" s="15"/>
      <c r="D476" s="15"/>
      <c r="E476" s="15"/>
    </row>
    <row r="477" ht="22.5" customHeight="1">
      <c r="A477" s="15"/>
      <c r="B477" s="15"/>
      <c r="C477" s="15"/>
      <c r="D477" s="15"/>
      <c r="E477" s="15"/>
    </row>
    <row r="478" ht="22.5" customHeight="1">
      <c r="A478" s="15"/>
      <c r="B478" s="15"/>
      <c r="C478" s="15"/>
      <c r="D478" s="15"/>
      <c r="E478" s="15"/>
    </row>
    <row r="479" ht="22.5" customHeight="1">
      <c r="A479" s="15"/>
      <c r="B479" s="15"/>
      <c r="C479" s="15"/>
      <c r="D479" s="15"/>
      <c r="E479" s="15"/>
    </row>
    <row r="480" ht="22.5" customHeight="1">
      <c r="A480" s="15"/>
      <c r="B480" s="15"/>
      <c r="C480" s="15"/>
      <c r="D480" s="15"/>
      <c r="E480" s="15"/>
    </row>
    <row r="481" ht="22.5" customHeight="1">
      <c r="A481" s="15"/>
      <c r="B481" s="15"/>
      <c r="C481" s="15"/>
      <c r="D481" s="15"/>
      <c r="E481" s="15"/>
    </row>
    <row r="482" ht="22.5" customHeight="1">
      <c r="A482" s="15"/>
      <c r="B482" s="15"/>
      <c r="C482" s="15"/>
      <c r="D482" s="15"/>
      <c r="E482" s="15"/>
    </row>
    <row r="483" ht="22.5" customHeight="1">
      <c r="A483" s="15"/>
      <c r="B483" s="15"/>
      <c r="C483" s="15"/>
      <c r="D483" s="15"/>
      <c r="E483" s="15"/>
    </row>
    <row r="484" ht="22.5" customHeight="1">
      <c r="A484" s="15"/>
      <c r="B484" s="15"/>
      <c r="C484" s="15"/>
      <c r="D484" s="15"/>
      <c r="E484" s="15"/>
    </row>
    <row r="485" ht="22.5" customHeight="1">
      <c r="A485" s="15"/>
      <c r="B485" s="15"/>
      <c r="C485" s="15"/>
      <c r="D485" s="15"/>
      <c r="E485" s="15"/>
    </row>
    <row r="486" ht="22.5" customHeight="1">
      <c r="A486" s="15"/>
      <c r="B486" s="15"/>
      <c r="C486" s="15"/>
      <c r="D486" s="15"/>
      <c r="E486" s="15"/>
    </row>
    <row r="487" ht="22.5" customHeight="1">
      <c r="A487" s="15"/>
      <c r="B487" s="15"/>
      <c r="C487" s="15"/>
      <c r="D487" s="15"/>
      <c r="E487" s="15"/>
    </row>
    <row r="488" ht="22.5" customHeight="1">
      <c r="A488" s="15"/>
      <c r="B488" s="15"/>
      <c r="C488" s="15"/>
      <c r="D488" s="15"/>
      <c r="E488" s="15"/>
    </row>
    <row r="489" ht="22.5" customHeight="1">
      <c r="A489" s="15"/>
      <c r="B489" s="15"/>
      <c r="C489" s="15"/>
      <c r="D489" s="15"/>
      <c r="E489" s="15"/>
    </row>
    <row r="490" ht="22.5" customHeight="1">
      <c r="A490" s="15"/>
      <c r="B490" s="15"/>
      <c r="C490" s="15"/>
      <c r="D490" s="15"/>
      <c r="E490" s="15"/>
    </row>
    <row r="491" ht="22.5" customHeight="1">
      <c r="A491" s="15"/>
      <c r="B491" s="15"/>
      <c r="C491" s="15"/>
      <c r="D491" s="15"/>
      <c r="E491" s="15"/>
    </row>
    <row r="492" ht="22.5" customHeight="1">
      <c r="A492" s="15"/>
      <c r="B492" s="15"/>
      <c r="C492" s="15"/>
      <c r="D492" s="15"/>
      <c r="E492" s="15"/>
    </row>
    <row r="493" ht="22.5" customHeight="1">
      <c r="A493" s="15"/>
      <c r="B493" s="15"/>
      <c r="C493" s="15"/>
      <c r="D493" s="15"/>
      <c r="E493" s="15"/>
    </row>
    <row r="494" ht="22.5" customHeight="1">
      <c r="A494" s="15"/>
      <c r="B494" s="15"/>
      <c r="C494" s="15"/>
      <c r="D494" s="15"/>
      <c r="E494" s="15"/>
    </row>
    <row r="495" ht="22.5" customHeight="1">
      <c r="A495" s="15"/>
      <c r="B495" s="15"/>
      <c r="C495" s="15"/>
      <c r="D495" s="15"/>
      <c r="E495" s="15"/>
    </row>
    <row r="496" ht="22.5" customHeight="1">
      <c r="A496" s="15"/>
      <c r="B496" s="15"/>
      <c r="C496" s="15"/>
      <c r="D496" s="15"/>
      <c r="E496" s="15"/>
    </row>
    <row r="497" ht="22.5" customHeight="1">
      <c r="A497" s="15"/>
      <c r="B497" s="15"/>
      <c r="C497" s="15"/>
      <c r="D497" s="15"/>
      <c r="E497" s="15"/>
    </row>
    <row r="498" ht="22.5" customHeight="1">
      <c r="A498" s="15"/>
      <c r="B498" s="15"/>
      <c r="C498" s="15"/>
      <c r="D498" s="15"/>
      <c r="E498" s="15"/>
    </row>
    <row r="499" ht="22.5" customHeight="1">
      <c r="A499" s="15"/>
      <c r="B499" s="15"/>
      <c r="C499" s="15"/>
      <c r="D499" s="15"/>
      <c r="E499" s="15"/>
    </row>
    <row r="500" ht="22.5" customHeight="1">
      <c r="A500" s="15"/>
      <c r="B500" s="15"/>
      <c r="C500" s="15"/>
      <c r="D500" s="15"/>
      <c r="E500" s="15"/>
    </row>
    <row r="501" ht="22.5" customHeight="1">
      <c r="A501" s="15"/>
      <c r="B501" s="15"/>
      <c r="C501" s="15"/>
      <c r="D501" s="15"/>
      <c r="E501" s="15"/>
    </row>
    <row r="502" ht="22.5" customHeight="1">
      <c r="A502" s="15"/>
      <c r="B502" s="15"/>
      <c r="C502" s="15"/>
      <c r="D502" s="15"/>
      <c r="E502" s="15"/>
    </row>
    <row r="503" ht="22.5" customHeight="1">
      <c r="A503" s="15"/>
      <c r="B503" s="15"/>
      <c r="C503" s="15"/>
      <c r="D503" s="15"/>
      <c r="E503" s="15"/>
    </row>
    <row r="504" ht="22.5" customHeight="1">
      <c r="A504" s="15"/>
      <c r="B504" s="15"/>
      <c r="C504" s="15"/>
      <c r="D504" s="15"/>
      <c r="E504" s="15"/>
    </row>
    <row r="505" ht="22.5" customHeight="1">
      <c r="A505" s="15"/>
      <c r="B505" s="15"/>
      <c r="C505" s="15"/>
      <c r="D505" s="15"/>
      <c r="E505" s="15"/>
    </row>
    <row r="506" ht="22.5" customHeight="1">
      <c r="A506" s="15"/>
      <c r="B506" s="15"/>
      <c r="C506" s="15"/>
      <c r="D506" s="15"/>
      <c r="E506" s="15"/>
    </row>
    <row r="507" ht="22.5" customHeight="1">
      <c r="A507" s="15"/>
      <c r="B507" s="15"/>
      <c r="C507" s="15"/>
      <c r="D507" s="15"/>
      <c r="E507" s="15"/>
    </row>
    <row r="508" ht="22.5" customHeight="1">
      <c r="A508" s="15"/>
      <c r="B508" s="15"/>
      <c r="C508" s="15"/>
      <c r="D508" s="15"/>
      <c r="E508" s="15"/>
    </row>
    <row r="509" ht="22.5" customHeight="1">
      <c r="A509" s="15"/>
      <c r="B509" s="15"/>
      <c r="C509" s="15"/>
      <c r="D509" s="15"/>
      <c r="E509" s="15"/>
    </row>
    <row r="510" ht="22.5" customHeight="1">
      <c r="A510" s="15"/>
      <c r="B510" s="15"/>
      <c r="C510" s="15"/>
      <c r="D510" s="15"/>
      <c r="E510" s="15"/>
    </row>
    <row r="511" ht="22.5" customHeight="1">
      <c r="A511" s="15"/>
      <c r="B511" s="15"/>
      <c r="C511" s="15"/>
      <c r="D511" s="15"/>
      <c r="E511" s="15"/>
    </row>
    <row r="512" ht="22.5" customHeight="1">
      <c r="A512" s="15"/>
      <c r="B512" s="15"/>
      <c r="C512" s="15"/>
      <c r="D512" s="15"/>
      <c r="E512" s="15"/>
    </row>
    <row r="513" ht="22.5" customHeight="1">
      <c r="A513" s="15"/>
      <c r="B513" s="15"/>
      <c r="C513" s="15"/>
      <c r="D513" s="15"/>
      <c r="E513" s="15"/>
    </row>
    <row r="514" ht="22.5" customHeight="1">
      <c r="A514" s="15"/>
      <c r="B514" s="15"/>
      <c r="C514" s="15"/>
      <c r="D514" s="15"/>
      <c r="E514" s="15"/>
    </row>
    <row r="515" ht="22.5" customHeight="1">
      <c r="A515" s="15"/>
      <c r="B515" s="15"/>
      <c r="C515" s="15"/>
      <c r="D515" s="15"/>
      <c r="E515" s="15"/>
    </row>
    <row r="516" ht="22.5" customHeight="1">
      <c r="A516" s="15"/>
      <c r="B516" s="15"/>
      <c r="C516" s="15"/>
      <c r="D516" s="15"/>
      <c r="E516" s="15"/>
    </row>
    <row r="517" ht="22.5" customHeight="1">
      <c r="A517" s="15"/>
      <c r="B517" s="15"/>
      <c r="C517" s="15"/>
      <c r="D517" s="15"/>
      <c r="E517" s="15"/>
    </row>
    <row r="518" ht="22.5" customHeight="1">
      <c r="A518" s="15"/>
      <c r="B518" s="15"/>
      <c r="C518" s="15"/>
      <c r="D518" s="15"/>
      <c r="E518" s="15"/>
    </row>
    <row r="519" ht="22.5" customHeight="1">
      <c r="A519" s="15"/>
      <c r="B519" s="15"/>
      <c r="C519" s="15"/>
      <c r="D519" s="15"/>
      <c r="E519" s="15"/>
    </row>
    <row r="520" ht="22.5" customHeight="1">
      <c r="A520" s="15"/>
      <c r="B520" s="15"/>
      <c r="C520" s="15"/>
      <c r="D520" s="15"/>
      <c r="E520" s="15"/>
    </row>
    <row r="521" ht="22.5" customHeight="1">
      <c r="A521" s="15"/>
      <c r="B521" s="15"/>
      <c r="C521" s="15"/>
      <c r="D521" s="15"/>
      <c r="E521" s="15"/>
    </row>
    <row r="522" ht="22.5" customHeight="1">
      <c r="A522" s="15"/>
      <c r="B522" s="15"/>
      <c r="C522" s="15"/>
      <c r="D522" s="15"/>
      <c r="E522" s="15"/>
    </row>
    <row r="523" ht="22.5" customHeight="1">
      <c r="A523" s="15"/>
      <c r="B523" s="15"/>
      <c r="C523" s="15"/>
      <c r="D523" s="15"/>
      <c r="E523" s="15"/>
    </row>
    <row r="524" ht="22.5" customHeight="1">
      <c r="A524" s="15"/>
      <c r="B524" s="15"/>
      <c r="C524" s="15"/>
      <c r="D524" s="15"/>
      <c r="E524" s="15"/>
    </row>
    <row r="525" ht="22.5" customHeight="1">
      <c r="A525" s="15"/>
      <c r="B525" s="15"/>
      <c r="C525" s="15"/>
      <c r="D525" s="15"/>
      <c r="E525" s="15"/>
    </row>
    <row r="526" ht="22.5" customHeight="1">
      <c r="A526" s="15"/>
      <c r="B526" s="15"/>
      <c r="C526" s="15"/>
      <c r="D526" s="15"/>
      <c r="E526" s="15"/>
    </row>
    <row r="527" ht="22.5" customHeight="1">
      <c r="A527" s="15"/>
      <c r="B527" s="15"/>
      <c r="C527" s="15"/>
      <c r="D527" s="15"/>
      <c r="E527" s="15"/>
    </row>
    <row r="528" ht="22.5" customHeight="1">
      <c r="A528" s="15"/>
      <c r="B528" s="15"/>
      <c r="C528" s="15"/>
      <c r="D528" s="15"/>
      <c r="E528" s="15"/>
    </row>
    <row r="529" ht="22.5" customHeight="1">
      <c r="A529" s="15"/>
      <c r="B529" s="15"/>
      <c r="C529" s="15"/>
      <c r="D529" s="15"/>
      <c r="E529" s="15"/>
    </row>
    <row r="530" ht="22.5" customHeight="1">
      <c r="A530" s="15"/>
      <c r="B530" s="15"/>
      <c r="C530" s="15"/>
      <c r="D530" s="15"/>
      <c r="E530" s="15"/>
    </row>
    <row r="531" ht="22.5" customHeight="1">
      <c r="A531" s="15"/>
      <c r="B531" s="15"/>
      <c r="C531" s="15"/>
      <c r="D531" s="15"/>
      <c r="E531" s="15"/>
    </row>
    <row r="532" ht="22.5" customHeight="1">
      <c r="A532" s="15"/>
      <c r="B532" s="15"/>
      <c r="C532" s="15"/>
      <c r="D532" s="15"/>
      <c r="E532" s="15"/>
    </row>
    <row r="533" ht="22.5" customHeight="1">
      <c r="A533" s="15"/>
      <c r="B533" s="15"/>
      <c r="C533" s="15"/>
      <c r="D533" s="15"/>
      <c r="E533" s="15"/>
    </row>
    <row r="534" ht="22.5" customHeight="1">
      <c r="A534" s="15"/>
      <c r="B534" s="15"/>
      <c r="C534" s="15"/>
      <c r="D534" s="15"/>
      <c r="E534" s="15"/>
    </row>
    <row r="535" ht="22.5" customHeight="1">
      <c r="A535" s="15"/>
      <c r="B535" s="15"/>
      <c r="C535" s="15"/>
      <c r="D535" s="15"/>
      <c r="E535" s="15"/>
    </row>
    <row r="536" ht="22.5" customHeight="1">
      <c r="A536" s="15"/>
      <c r="B536" s="15"/>
      <c r="C536" s="15"/>
      <c r="D536" s="15"/>
      <c r="E536" s="15"/>
    </row>
    <row r="537" ht="22.5" customHeight="1">
      <c r="A537" s="15"/>
      <c r="B537" s="15"/>
      <c r="C537" s="15"/>
      <c r="D537" s="15"/>
      <c r="E537" s="15"/>
    </row>
    <row r="538" ht="22.5" customHeight="1">
      <c r="A538" s="15"/>
      <c r="B538" s="15"/>
      <c r="C538" s="15"/>
      <c r="D538" s="15"/>
      <c r="E538" s="15"/>
    </row>
    <row r="539" ht="22.5" customHeight="1">
      <c r="A539" s="15"/>
      <c r="B539" s="15"/>
      <c r="C539" s="15"/>
      <c r="D539" s="15"/>
      <c r="E539" s="15"/>
    </row>
    <row r="540" ht="22.5" customHeight="1">
      <c r="A540" s="15"/>
      <c r="B540" s="15"/>
      <c r="C540" s="15"/>
      <c r="D540" s="15"/>
      <c r="E540" s="15"/>
    </row>
    <row r="541" ht="22.5" customHeight="1">
      <c r="A541" s="15"/>
      <c r="B541" s="15"/>
      <c r="C541" s="15"/>
      <c r="D541" s="15"/>
      <c r="E541" s="15"/>
    </row>
    <row r="542" ht="22.5" customHeight="1">
      <c r="A542" s="15"/>
      <c r="B542" s="15"/>
      <c r="C542" s="15"/>
      <c r="D542" s="15"/>
      <c r="E542" s="15"/>
    </row>
    <row r="543" ht="22.5" customHeight="1">
      <c r="A543" s="15"/>
      <c r="B543" s="15"/>
      <c r="C543" s="15"/>
      <c r="D543" s="15"/>
      <c r="E543" s="15"/>
    </row>
    <row r="544" ht="22.5" customHeight="1">
      <c r="A544" s="15"/>
      <c r="B544" s="15"/>
      <c r="C544" s="15"/>
      <c r="D544" s="15"/>
      <c r="E544" s="15"/>
    </row>
    <row r="545" ht="22.5" customHeight="1">
      <c r="A545" s="15"/>
      <c r="B545" s="15"/>
      <c r="C545" s="15"/>
      <c r="D545" s="15"/>
      <c r="E545" s="15"/>
    </row>
    <row r="546" ht="22.5" customHeight="1">
      <c r="A546" s="15"/>
      <c r="B546" s="15"/>
      <c r="C546" s="15"/>
      <c r="D546" s="15"/>
      <c r="E546" s="15"/>
    </row>
    <row r="547" ht="22.5" customHeight="1">
      <c r="A547" s="15"/>
      <c r="B547" s="15"/>
      <c r="C547" s="15"/>
      <c r="D547" s="15"/>
      <c r="E547" s="15"/>
    </row>
    <row r="548" ht="22.5" customHeight="1">
      <c r="A548" s="15"/>
      <c r="B548" s="15"/>
      <c r="C548" s="15"/>
      <c r="D548" s="15"/>
      <c r="E548" s="15"/>
    </row>
    <row r="549" ht="22.5" customHeight="1">
      <c r="A549" s="15"/>
      <c r="B549" s="15"/>
      <c r="C549" s="15"/>
      <c r="D549" s="15"/>
      <c r="E549" s="15"/>
    </row>
    <row r="550" ht="22.5" customHeight="1">
      <c r="A550" s="15"/>
      <c r="B550" s="15"/>
      <c r="C550" s="15"/>
      <c r="D550" s="15"/>
      <c r="E550" s="15"/>
    </row>
    <row r="551" ht="22.5" customHeight="1">
      <c r="A551" s="15"/>
      <c r="B551" s="15"/>
      <c r="C551" s="15"/>
      <c r="D551" s="15"/>
      <c r="E551" s="15"/>
    </row>
    <row r="552" ht="22.5" customHeight="1">
      <c r="A552" s="15"/>
      <c r="B552" s="15"/>
      <c r="C552" s="15"/>
      <c r="D552" s="15"/>
      <c r="E552" s="15"/>
    </row>
    <row r="553" ht="22.5" customHeight="1">
      <c r="A553" s="15"/>
      <c r="B553" s="15"/>
      <c r="C553" s="15"/>
      <c r="D553" s="15"/>
      <c r="E553" s="15"/>
    </row>
    <row r="554" ht="22.5" customHeight="1">
      <c r="A554" s="15"/>
      <c r="B554" s="15"/>
      <c r="C554" s="15"/>
      <c r="D554" s="15"/>
      <c r="E554" s="15"/>
    </row>
    <row r="555" ht="22.5" customHeight="1">
      <c r="A555" s="15"/>
      <c r="B555" s="15"/>
      <c r="C555" s="15"/>
      <c r="D555" s="15"/>
      <c r="E555" s="15"/>
    </row>
    <row r="556" ht="22.5" customHeight="1">
      <c r="A556" s="15"/>
      <c r="B556" s="15"/>
      <c r="C556" s="15"/>
      <c r="D556" s="15"/>
      <c r="E556" s="15"/>
    </row>
    <row r="557" ht="22.5" customHeight="1">
      <c r="A557" s="15"/>
      <c r="B557" s="15"/>
      <c r="C557" s="15"/>
      <c r="D557" s="15"/>
      <c r="E557" s="15"/>
    </row>
    <row r="558" ht="22.5" customHeight="1">
      <c r="A558" s="15"/>
      <c r="B558" s="15"/>
      <c r="C558" s="15"/>
      <c r="D558" s="15"/>
      <c r="E558" s="15"/>
    </row>
    <row r="559" ht="22.5" customHeight="1">
      <c r="A559" s="15"/>
      <c r="B559" s="15"/>
      <c r="C559" s="15"/>
      <c r="D559" s="15"/>
      <c r="E559" s="15"/>
    </row>
    <row r="560" ht="22.5" customHeight="1">
      <c r="A560" s="15"/>
      <c r="B560" s="15"/>
      <c r="C560" s="15"/>
      <c r="D560" s="15"/>
      <c r="E560" s="15"/>
    </row>
    <row r="561" ht="22.5" customHeight="1">
      <c r="A561" s="15"/>
      <c r="B561" s="15"/>
      <c r="C561" s="15"/>
      <c r="D561" s="15"/>
      <c r="E561" s="15"/>
    </row>
    <row r="562" ht="22.5" customHeight="1">
      <c r="A562" s="15"/>
      <c r="B562" s="15"/>
      <c r="C562" s="15"/>
      <c r="D562" s="15"/>
      <c r="E562" s="15"/>
    </row>
    <row r="563" ht="22.5" customHeight="1">
      <c r="A563" s="15"/>
      <c r="B563" s="15"/>
      <c r="C563" s="15"/>
      <c r="D563" s="15"/>
      <c r="E563" s="15"/>
    </row>
    <row r="564" ht="22.5" customHeight="1">
      <c r="A564" s="15"/>
      <c r="B564" s="15"/>
      <c r="C564" s="15"/>
      <c r="D564" s="15"/>
      <c r="E564" s="15"/>
    </row>
    <row r="565" ht="22.5" customHeight="1">
      <c r="A565" s="15"/>
      <c r="B565" s="15"/>
      <c r="C565" s="15"/>
      <c r="D565" s="15"/>
      <c r="E565" s="15"/>
    </row>
    <row r="566" ht="22.5" customHeight="1">
      <c r="A566" s="15"/>
      <c r="B566" s="15"/>
      <c r="C566" s="15"/>
      <c r="D566" s="15"/>
      <c r="E566" s="15"/>
    </row>
    <row r="567" ht="22.5" customHeight="1">
      <c r="A567" s="15"/>
      <c r="B567" s="15"/>
      <c r="C567" s="15"/>
      <c r="D567" s="15"/>
      <c r="E567" s="15"/>
    </row>
    <row r="568" ht="22.5" customHeight="1">
      <c r="A568" s="15"/>
      <c r="B568" s="15"/>
      <c r="C568" s="15"/>
      <c r="D568" s="15"/>
      <c r="E568" s="15"/>
    </row>
    <row r="569" ht="22.5" customHeight="1">
      <c r="A569" s="15"/>
      <c r="B569" s="15"/>
      <c r="C569" s="15"/>
      <c r="D569" s="15"/>
      <c r="E569" s="15"/>
    </row>
    <row r="570" ht="22.5" customHeight="1">
      <c r="A570" s="15"/>
      <c r="B570" s="15"/>
      <c r="C570" s="15"/>
      <c r="D570" s="15"/>
      <c r="E570" s="15"/>
    </row>
    <row r="571" ht="22.5" customHeight="1">
      <c r="A571" s="15"/>
      <c r="B571" s="15"/>
      <c r="C571" s="15"/>
      <c r="D571" s="15"/>
      <c r="E571" s="15"/>
    </row>
    <row r="572" ht="22.5" customHeight="1">
      <c r="A572" s="15"/>
      <c r="B572" s="15"/>
      <c r="C572" s="15"/>
      <c r="D572" s="15"/>
      <c r="E572" s="15"/>
    </row>
    <row r="573" ht="22.5" customHeight="1">
      <c r="A573" s="15"/>
      <c r="B573" s="15"/>
      <c r="C573" s="15"/>
      <c r="D573" s="15"/>
      <c r="E573" s="15"/>
    </row>
    <row r="574" ht="22.5" customHeight="1">
      <c r="A574" s="15"/>
      <c r="B574" s="15"/>
      <c r="C574" s="15"/>
      <c r="D574" s="15"/>
      <c r="E574" s="15"/>
    </row>
    <row r="575" ht="22.5" customHeight="1">
      <c r="A575" s="15"/>
      <c r="B575" s="15"/>
      <c r="C575" s="15"/>
      <c r="D575" s="15"/>
      <c r="E575" s="15"/>
    </row>
    <row r="576" ht="22.5" customHeight="1">
      <c r="A576" s="15"/>
      <c r="B576" s="15"/>
      <c r="C576" s="15"/>
      <c r="D576" s="15"/>
      <c r="E576" s="15"/>
    </row>
    <row r="577" ht="22.5" customHeight="1">
      <c r="A577" s="15"/>
      <c r="B577" s="15"/>
      <c r="C577" s="15"/>
      <c r="D577" s="15"/>
      <c r="E577" s="15"/>
    </row>
    <row r="578" ht="22.5" customHeight="1">
      <c r="A578" s="15"/>
      <c r="B578" s="15"/>
      <c r="C578" s="15"/>
      <c r="D578" s="15"/>
      <c r="E578" s="15"/>
    </row>
    <row r="579" ht="22.5" customHeight="1">
      <c r="A579" s="15"/>
      <c r="B579" s="15"/>
      <c r="C579" s="15"/>
      <c r="D579" s="15"/>
      <c r="E579" s="15"/>
    </row>
    <row r="580" ht="22.5" customHeight="1">
      <c r="A580" s="15"/>
      <c r="B580" s="15"/>
      <c r="C580" s="15"/>
      <c r="D580" s="15"/>
      <c r="E580" s="15"/>
    </row>
    <row r="581" ht="22.5" customHeight="1">
      <c r="A581" s="15"/>
      <c r="B581" s="15"/>
      <c r="C581" s="15"/>
      <c r="D581" s="15"/>
      <c r="E581" s="15"/>
    </row>
    <row r="582" ht="22.5" customHeight="1">
      <c r="A582" s="15"/>
      <c r="B582" s="15"/>
      <c r="C582" s="15"/>
      <c r="D582" s="15"/>
      <c r="E582" s="15"/>
    </row>
    <row r="583" ht="22.5" customHeight="1">
      <c r="A583" s="15"/>
      <c r="B583" s="15"/>
      <c r="C583" s="15"/>
      <c r="D583" s="15"/>
      <c r="E583" s="15"/>
    </row>
    <row r="584" ht="22.5" customHeight="1">
      <c r="A584" s="15"/>
      <c r="B584" s="15"/>
      <c r="C584" s="15"/>
      <c r="D584" s="15"/>
      <c r="E584" s="15"/>
    </row>
    <row r="585" ht="22.5" customHeight="1">
      <c r="A585" s="15"/>
      <c r="B585" s="15"/>
      <c r="C585" s="15"/>
      <c r="D585" s="15"/>
      <c r="E585" s="15"/>
    </row>
    <row r="586" ht="22.5" customHeight="1">
      <c r="A586" s="15"/>
      <c r="B586" s="15"/>
      <c r="C586" s="15"/>
      <c r="D586" s="15"/>
      <c r="E586" s="15"/>
    </row>
    <row r="587" ht="22.5" customHeight="1">
      <c r="A587" s="15"/>
      <c r="B587" s="15"/>
      <c r="C587" s="15"/>
      <c r="D587" s="15"/>
      <c r="E587" s="15"/>
    </row>
    <row r="588" ht="22.5" customHeight="1">
      <c r="A588" s="15"/>
      <c r="B588" s="15"/>
      <c r="C588" s="15"/>
      <c r="D588" s="15"/>
      <c r="E588" s="15"/>
    </row>
    <row r="589" ht="22.5" customHeight="1">
      <c r="A589" s="15"/>
      <c r="B589" s="15"/>
      <c r="C589" s="15"/>
      <c r="D589" s="15"/>
      <c r="E589" s="15"/>
    </row>
    <row r="590" ht="22.5" customHeight="1">
      <c r="A590" s="15"/>
      <c r="B590" s="15"/>
      <c r="C590" s="15"/>
      <c r="D590" s="15"/>
      <c r="E590" s="15"/>
    </row>
    <row r="591" ht="22.5" customHeight="1">
      <c r="A591" s="15"/>
      <c r="B591" s="15"/>
      <c r="C591" s="15"/>
      <c r="D591" s="15"/>
      <c r="E591" s="15"/>
    </row>
    <row r="592" ht="22.5" customHeight="1">
      <c r="A592" s="15"/>
      <c r="B592" s="15"/>
      <c r="C592" s="15"/>
      <c r="D592" s="15"/>
      <c r="E592" s="15"/>
    </row>
    <row r="593" ht="22.5" customHeight="1">
      <c r="A593" s="15"/>
      <c r="B593" s="15"/>
      <c r="C593" s="15"/>
      <c r="D593" s="15"/>
      <c r="E593" s="15"/>
    </row>
    <row r="594" ht="22.5" customHeight="1">
      <c r="A594" s="15"/>
      <c r="B594" s="15"/>
      <c r="C594" s="15"/>
      <c r="D594" s="15"/>
      <c r="E594" s="15"/>
    </row>
    <row r="595" ht="22.5" customHeight="1">
      <c r="A595" s="15"/>
      <c r="B595" s="15"/>
      <c r="C595" s="15"/>
      <c r="D595" s="15"/>
      <c r="E595" s="15"/>
    </row>
    <row r="596" ht="22.5" customHeight="1">
      <c r="A596" s="15"/>
      <c r="B596" s="15"/>
      <c r="C596" s="15"/>
      <c r="D596" s="15"/>
      <c r="E596" s="15"/>
    </row>
    <row r="597" ht="22.5" customHeight="1">
      <c r="A597" s="15"/>
      <c r="B597" s="15"/>
      <c r="C597" s="15"/>
      <c r="D597" s="15"/>
      <c r="E597" s="15"/>
    </row>
    <row r="598" ht="22.5" customHeight="1">
      <c r="A598" s="15"/>
      <c r="B598" s="15"/>
      <c r="C598" s="15"/>
      <c r="D598" s="15"/>
      <c r="E598" s="15"/>
    </row>
    <row r="599" ht="22.5" customHeight="1">
      <c r="A599" s="15"/>
      <c r="B599" s="15"/>
      <c r="C599" s="15"/>
      <c r="D599" s="15"/>
      <c r="E599" s="15"/>
    </row>
    <row r="600" ht="22.5" customHeight="1">
      <c r="A600" s="15"/>
      <c r="B600" s="15"/>
      <c r="C600" s="15"/>
      <c r="D600" s="15"/>
      <c r="E600" s="15"/>
    </row>
    <row r="601" ht="22.5" customHeight="1">
      <c r="A601" s="15"/>
      <c r="B601" s="15"/>
      <c r="C601" s="15"/>
      <c r="D601" s="15"/>
      <c r="E601" s="15"/>
    </row>
    <row r="602" ht="22.5" customHeight="1">
      <c r="A602" s="15"/>
      <c r="B602" s="15"/>
      <c r="C602" s="15"/>
      <c r="D602" s="15"/>
      <c r="E602" s="15"/>
    </row>
    <row r="603" ht="22.5" customHeight="1">
      <c r="A603" s="15"/>
      <c r="B603" s="15"/>
      <c r="C603" s="15"/>
      <c r="D603" s="15"/>
      <c r="E603" s="15"/>
    </row>
    <row r="604" ht="22.5" customHeight="1">
      <c r="A604" s="15"/>
      <c r="B604" s="15"/>
      <c r="C604" s="15"/>
      <c r="D604" s="15"/>
      <c r="E604" s="15"/>
    </row>
    <row r="605" ht="22.5" customHeight="1">
      <c r="A605" s="15"/>
      <c r="B605" s="15"/>
      <c r="C605" s="15"/>
      <c r="D605" s="15"/>
      <c r="E605" s="15"/>
    </row>
    <row r="606" ht="22.5" customHeight="1">
      <c r="A606" s="15"/>
      <c r="B606" s="15"/>
      <c r="C606" s="15"/>
      <c r="D606" s="15"/>
      <c r="E606" s="15"/>
    </row>
    <row r="607" ht="22.5" customHeight="1">
      <c r="A607" s="15"/>
      <c r="B607" s="15"/>
      <c r="C607" s="15"/>
      <c r="D607" s="15"/>
      <c r="E607" s="15"/>
    </row>
    <row r="608" ht="22.5" customHeight="1">
      <c r="A608" s="15"/>
      <c r="B608" s="15"/>
      <c r="C608" s="15"/>
      <c r="D608" s="15"/>
      <c r="E608" s="15"/>
    </row>
    <row r="609" ht="22.5" customHeight="1">
      <c r="A609" s="15"/>
      <c r="B609" s="15"/>
      <c r="C609" s="15"/>
      <c r="D609" s="15"/>
      <c r="E609" s="15"/>
    </row>
    <row r="610" ht="22.5" customHeight="1">
      <c r="A610" s="15"/>
      <c r="B610" s="15"/>
      <c r="C610" s="15"/>
      <c r="D610" s="15"/>
      <c r="E610" s="15"/>
    </row>
    <row r="611" ht="22.5" customHeight="1">
      <c r="A611" s="15"/>
      <c r="B611" s="15"/>
      <c r="C611" s="15"/>
      <c r="D611" s="15"/>
      <c r="E611" s="15"/>
    </row>
    <row r="612" ht="22.5" customHeight="1">
      <c r="A612" s="15"/>
      <c r="B612" s="15"/>
      <c r="C612" s="15"/>
      <c r="D612" s="15"/>
      <c r="E612" s="15"/>
    </row>
    <row r="613" ht="22.5" customHeight="1">
      <c r="A613" s="15"/>
      <c r="B613" s="15"/>
      <c r="C613" s="15"/>
      <c r="D613" s="15"/>
      <c r="E613" s="15"/>
    </row>
    <row r="614" ht="22.5" customHeight="1">
      <c r="A614" s="15"/>
      <c r="B614" s="15"/>
      <c r="C614" s="15"/>
      <c r="D614" s="15"/>
      <c r="E614" s="15"/>
    </row>
    <row r="615" ht="22.5" customHeight="1">
      <c r="A615" s="15"/>
      <c r="B615" s="15"/>
      <c r="C615" s="15"/>
      <c r="D615" s="15"/>
      <c r="E615" s="15"/>
    </row>
    <row r="616" ht="22.5" customHeight="1">
      <c r="A616" s="15"/>
      <c r="B616" s="15"/>
      <c r="C616" s="15"/>
      <c r="D616" s="15"/>
      <c r="E616" s="15"/>
    </row>
    <row r="617" ht="22.5" customHeight="1">
      <c r="A617" s="15"/>
      <c r="B617" s="15"/>
      <c r="C617" s="15"/>
      <c r="D617" s="15"/>
      <c r="E617" s="15"/>
    </row>
    <row r="618" ht="22.5" customHeight="1">
      <c r="A618" s="15"/>
      <c r="B618" s="15"/>
      <c r="C618" s="15"/>
      <c r="D618" s="15"/>
      <c r="E618" s="15"/>
    </row>
    <row r="619" ht="22.5" customHeight="1">
      <c r="A619" s="15"/>
      <c r="B619" s="15"/>
      <c r="C619" s="15"/>
      <c r="D619" s="15"/>
      <c r="E619" s="15"/>
    </row>
    <row r="620" ht="22.5" customHeight="1">
      <c r="A620" s="15"/>
      <c r="B620" s="15"/>
      <c r="C620" s="15"/>
      <c r="D620" s="15"/>
      <c r="E620" s="15"/>
    </row>
    <row r="621" ht="22.5" customHeight="1">
      <c r="A621" s="15"/>
      <c r="B621" s="15"/>
      <c r="C621" s="15"/>
      <c r="D621" s="15"/>
      <c r="E621" s="15"/>
    </row>
    <row r="622" ht="22.5" customHeight="1">
      <c r="A622" s="15"/>
      <c r="B622" s="15"/>
      <c r="C622" s="15"/>
      <c r="D622" s="15"/>
      <c r="E622" s="15"/>
    </row>
    <row r="623" ht="22.5" customHeight="1">
      <c r="A623" s="15"/>
      <c r="B623" s="15"/>
      <c r="C623" s="15"/>
      <c r="D623" s="15"/>
      <c r="E623" s="15"/>
    </row>
    <row r="624" ht="22.5" customHeight="1">
      <c r="A624" s="15"/>
      <c r="B624" s="15"/>
      <c r="C624" s="15"/>
      <c r="D624" s="15"/>
      <c r="E624" s="15"/>
    </row>
    <row r="625" ht="22.5" customHeight="1">
      <c r="A625" s="15"/>
      <c r="B625" s="15"/>
      <c r="C625" s="15"/>
      <c r="D625" s="15"/>
      <c r="E625" s="15"/>
    </row>
    <row r="626" ht="22.5" customHeight="1">
      <c r="A626" s="15"/>
      <c r="B626" s="15"/>
      <c r="C626" s="15"/>
      <c r="D626" s="15"/>
      <c r="E626" s="15"/>
    </row>
    <row r="627" ht="22.5" customHeight="1">
      <c r="A627" s="15"/>
      <c r="B627" s="15"/>
      <c r="C627" s="15"/>
      <c r="D627" s="15"/>
      <c r="E627" s="15"/>
    </row>
    <row r="628" ht="22.5" customHeight="1">
      <c r="A628" s="15"/>
      <c r="B628" s="15"/>
      <c r="C628" s="15"/>
      <c r="D628" s="15"/>
      <c r="E628" s="15"/>
    </row>
    <row r="629" ht="22.5" customHeight="1">
      <c r="A629" s="15"/>
      <c r="B629" s="15"/>
      <c r="C629" s="15"/>
      <c r="D629" s="15"/>
      <c r="E629" s="15"/>
    </row>
    <row r="630" ht="22.5" customHeight="1">
      <c r="A630" s="15"/>
      <c r="B630" s="15"/>
      <c r="C630" s="15"/>
      <c r="D630" s="15"/>
      <c r="E630" s="15"/>
    </row>
    <row r="631" ht="22.5" customHeight="1">
      <c r="A631" s="15"/>
      <c r="B631" s="15"/>
      <c r="C631" s="15"/>
      <c r="D631" s="15"/>
      <c r="E631" s="15"/>
    </row>
    <row r="632" ht="22.5" customHeight="1">
      <c r="A632" s="15"/>
      <c r="B632" s="15"/>
      <c r="C632" s="15"/>
      <c r="D632" s="15"/>
      <c r="E632" s="15"/>
    </row>
    <row r="633" ht="22.5" customHeight="1">
      <c r="A633" s="15"/>
      <c r="B633" s="15"/>
      <c r="C633" s="15"/>
      <c r="D633" s="15"/>
      <c r="E633" s="15"/>
    </row>
    <row r="634" ht="22.5" customHeight="1">
      <c r="A634" s="15"/>
      <c r="B634" s="15"/>
      <c r="C634" s="15"/>
      <c r="D634" s="15"/>
      <c r="E634" s="15"/>
    </row>
    <row r="635" ht="22.5" customHeight="1">
      <c r="A635" s="15"/>
      <c r="B635" s="15"/>
      <c r="C635" s="15"/>
      <c r="D635" s="15"/>
      <c r="E635" s="15"/>
    </row>
    <row r="636" ht="22.5" customHeight="1">
      <c r="A636" s="15"/>
      <c r="B636" s="15"/>
      <c r="C636" s="15"/>
      <c r="D636" s="15"/>
      <c r="E636" s="15"/>
    </row>
    <row r="637" ht="22.5" customHeight="1">
      <c r="A637" s="15"/>
      <c r="B637" s="15"/>
      <c r="C637" s="15"/>
      <c r="D637" s="15"/>
      <c r="E637" s="15"/>
    </row>
    <row r="638" ht="22.5" customHeight="1">
      <c r="A638" s="15"/>
      <c r="B638" s="15"/>
      <c r="C638" s="15"/>
      <c r="D638" s="15"/>
      <c r="E638" s="15"/>
    </row>
    <row r="639" ht="22.5" customHeight="1">
      <c r="A639" s="15"/>
      <c r="B639" s="15"/>
      <c r="C639" s="15"/>
      <c r="D639" s="15"/>
      <c r="E639" s="15"/>
    </row>
    <row r="640" ht="22.5" customHeight="1">
      <c r="A640" s="15"/>
      <c r="B640" s="15"/>
      <c r="C640" s="15"/>
      <c r="D640" s="15"/>
      <c r="E640" s="15"/>
    </row>
    <row r="641" ht="22.5" customHeight="1">
      <c r="A641" s="15"/>
      <c r="B641" s="15"/>
      <c r="C641" s="15"/>
      <c r="D641" s="15"/>
      <c r="E641" s="15"/>
    </row>
    <row r="642" ht="22.5" customHeight="1">
      <c r="A642" s="15"/>
      <c r="B642" s="15"/>
      <c r="C642" s="15"/>
      <c r="D642" s="15"/>
      <c r="E642" s="15"/>
    </row>
    <row r="643" ht="22.5" customHeight="1">
      <c r="A643" s="15"/>
      <c r="B643" s="15"/>
      <c r="C643" s="15"/>
      <c r="D643" s="15"/>
      <c r="E643" s="15"/>
    </row>
    <row r="644" ht="22.5" customHeight="1">
      <c r="A644" s="15"/>
      <c r="B644" s="15"/>
      <c r="C644" s="15"/>
      <c r="D644" s="15"/>
      <c r="E644" s="15"/>
    </row>
    <row r="645" ht="22.5" customHeight="1">
      <c r="A645" s="15"/>
      <c r="B645" s="15"/>
      <c r="C645" s="15"/>
      <c r="D645" s="15"/>
      <c r="E645" s="15"/>
    </row>
    <row r="646" ht="22.5" customHeight="1">
      <c r="A646" s="15"/>
      <c r="B646" s="15"/>
      <c r="C646" s="15"/>
      <c r="D646" s="15"/>
      <c r="E646" s="15"/>
    </row>
    <row r="647" ht="22.5" customHeight="1">
      <c r="A647" s="15"/>
      <c r="B647" s="15"/>
      <c r="C647" s="15"/>
      <c r="D647" s="15"/>
      <c r="E647" s="15"/>
    </row>
    <row r="648" ht="22.5" customHeight="1">
      <c r="A648" s="15"/>
      <c r="B648" s="15"/>
      <c r="C648" s="15"/>
      <c r="D648" s="15"/>
      <c r="E648" s="15"/>
    </row>
    <row r="649" ht="22.5" customHeight="1">
      <c r="A649" s="15"/>
      <c r="B649" s="15"/>
      <c r="C649" s="15"/>
      <c r="D649" s="15"/>
      <c r="E649" s="15"/>
    </row>
    <row r="650" ht="22.5" customHeight="1">
      <c r="A650" s="15"/>
      <c r="B650" s="15"/>
      <c r="C650" s="15"/>
      <c r="D650" s="15"/>
      <c r="E650" s="15"/>
    </row>
    <row r="651" ht="22.5" customHeight="1">
      <c r="A651" s="15"/>
      <c r="B651" s="15"/>
      <c r="C651" s="15"/>
      <c r="D651" s="15"/>
      <c r="E651" s="15"/>
    </row>
    <row r="652" ht="22.5" customHeight="1">
      <c r="A652" s="15"/>
      <c r="B652" s="15"/>
      <c r="C652" s="15"/>
      <c r="D652" s="15"/>
      <c r="E652" s="15"/>
    </row>
    <row r="653" ht="22.5" customHeight="1">
      <c r="A653" s="15"/>
      <c r="B653" s="15"/>
      <c r="C653" s="15"/>
      <c r="D653" s="15"/>
      <c r="E653" s="15"/>
    </row>
    <row r="654" ht="22.5" customHeight="1">
      <c r="A654" s="15"/>
      <c r="B654" s="15"/>
      <c r="C654" s="15"/>
      <c r="D654" s="15"/>
      <c r="E654" s="15"/>
    </row>
    <row r="655" ht="22.5" customHeight="1">
      <c r="A655" s="15"/>
      <c r="B655" s="15"/>
      <c r="C655" s="15"/>
      <c r="D655" s="15"/>
      <c r="E655" s="15"/>
    </row>
    <row r="656" ht="22.5" customHeight="1">
      <c r="A656" s="15"/>
      <c r="B656" s="15"/>
      <c r="C656" s="15"/>
      <c r="D656" s="15"/>
      <c r="E656" s="15"/>
    </row>
    <row r="657" ht="22.5" customHeight="1">
      <c r="A657" s="15"/>
      <c r="B657" s="15"/>
      <c r="C657" s="15"/>
      <c r="D657" s="15"/>
      <c r="E657" s="15"/>
    </row>
    <row r="658" ht="22.5" customHeight="1">
      <c r="A658" s="15"/>
      <c r="B658" s="15"/>
      <c r="C658" s="15"/>
      <c r="D658" s="15"/>
      <c r="E658" s="15"/>
    </row>
    <row r="659" ht="22.5" customHeight="1">
      <c r="A659" s="15"/>
      <c r="B659" s="15"/>
      <c r="C659" s="15"/>
      <c r="D659" s="15"/>
      <c r="E659" s="15"/>
    </row>
    <row r="660" ht="22.5" customHeight="1">
      <c r="A660" s="15"/>
      <c r="B660" s="15"/>
      <c r="C660" s="15"/>
      <c r="D660" s="15"/>
      <c r="E660" s="15"/>
    </row>
    <row r="661" ht="22.5" customHeight="1">
      <c r="A661" s="15"/>
      <c r="B661" s="15"/>
      <c r="C661" s="15"/>
      <c r="D661" s="15"/>
      <c r="E661" s="15"/>
    </row>
    <row r="662" ht="22.5" customHeight="1">
      <c r="A662" s="15"/>
      <c r="B662" s="15"/>
      <c r="C662" s="15"/>
      <c r="D662" s="15"/>
      <c r="E662" s="15"/>
    </row>
    <row r="663" ht="22.5" customHeight="1">
      <c r="A663" s="15"/>
      <c r="B663" s="15"/>
      <c r="C663" s="15"/>
      <c r="D663" s="15"/>
      <c r="E663" s="15"/>
    </row>
    <row r="664" ht="22.5" customHeight="1">
      <c r="A664" s="15"/>
      <c r="B664" s="15"/>
      <c r="C664" s="15"/>
      <c r="D664" s="15"/>
      <c r="E664" s="15"/>
    </row>
    <row r="665" ht="22.5" customHeight="1">
      <c r="A665" s="15"/>
      <c r="B665" s="15"/>
      <c r="C665" s="15"/>
      <c r="D665" s="15"/>
      <c r="E665" s="15"/>
    </row>
    <row r="666" ht="22.5" customHeight="1">
      <c r="A666" s="15"/>
      <c r="B666" s="15"/>
      <c r="C666" s="15"/>
      <c r="D666" s="15"/>
      <c r="E666" s="15"/>
    </row>
    <row r="667" ht="22.5" customHeight="1">
      <c r="A667" s="15"/>
      <c r="B667" s="15"/>
      <c r="C667" s="15"/>
      <c r="D667" s="15"/>
      <c r="E667" s="15"/>
    </row>
    <row r="668" ht="22.5" customHeight="1">
      <c r="A668" s="15"/>
      <c r="B668" s="15"/>
      <c r="C668" s="15"/>
      <c r="D668" s="15"/>
      <c r="E668" s="15"/>
    </row>
    <row r="669" ht="22.5" customHeight="1">
      <c r="A669" s="15"/>
      <c r="B669" s="15"/>
      <c r="C669" s="15"/>
      <c r="D669" s="15"/>
      <c r="E669" s="15"/>
    </row>
    <row r="670" ht="22.5" customHeight="1">
      <c r="A670" s="15"/>
      <c r="B670" s="15"/>
      <c r="C670" s="15"/>
      <c r="D670" s="15"/>
      <c r="E670" s="15"/>
    </row>
    <row r="671" ht="22.5" customHeight="1">
      <c r="A671" s="15"/>
      <c r="B671" s="15"/>
      <c r="C671" s="15"/>
      <c r="D671" s="15"/>
      <c r="E671" s="15"/>
    </row>
    <row r="672" ht="22.5" customHeight="1">
      <c r="A672" s="15"/>
      <c r="B672" s="15"/>
      <c r="C672" s="15"/>
      <c r="D672" s="15"/>
      <c r="E672" s="15"/>
    </row>
    <row r="673" ht="22.5" customHeight="1">
      <c r="A673" s="15"/>
      <c r="B673" s="15"/>
      <c r="C673" s="15"/>
      <c r="D673" s="15"/>
      <c r="E673" s="15"/>
    </row>
    <row r="674" ht="22.5" customHeight="1">
      <c r="A674" s="15"/>
      <c r="B674" s="15"/>
      <c r="C674" s="15"/>
      <c r="D674" s="15"/>
      <c r="E674" s="15"/>
    </row>
    <row r="675" ht="22.5" customHeight="1">
      <c r="A675" s="15"/>
      <c r="B675" s="15"/>
      <c r="C675" s="15"/>
      <c r="D675" s="15"/>
      <c r="E675" s="15"/>
    </row>
    <row r="676" ht="22.5" customHeight="1">
      <c r="A676" s="15"/>
      <c r="B676" s="15"/>
      <c r="C676" s="15"/>
      <c r="D676" s="15"/>
      <c r="E676" s="15"/>
    </row>
    <row r="677" ht="22.5" customHeight="1">
      <c r="A677" s="15"/>
      <c r="B677" s="15"/>
      <c r="C677" s="15"/>
      <c r="D677" s="15"/>
      <c r="E677" s="15"/>
    </row>
    <row r="678" ht="22.5" customHeight="1">
      <c r="A678" s="15"/>
      <c r="B678" s="15"/>
      <c r="C678" s="15"/>
      <c r="D678" s="15"/>
      <c r="E678" s="15"/>
    </row>
    <row r="679" ht="22.5" customHeight="1">
      <c r="A679" s="15"/>
      <c r="B679" s="15"/>
      <c r="C679" s="15"/>
      <c r="D679" s="15"/>
      <c r="E679" s="15"/>
    </row>
    <row r="680" ht="22.5" customHeight="1">
      <c r="A680" s="15"/>
      <c r="B680" s="15"/>
      <c r="C680" s="15"/>
      <c r="D680" s="15"/>
      <c r="E680" s="15"/>
    </row>
    <row r="681" ht="22.5" customHeight="1">
      <c r="A681" s="15"/>
      <c r="B681" s="15"/>
      <c r="C681" s="15"/>
      <c r="D681" s="15"/>
      <c r="E681" s="15"/>
    </row>
    <row r="682" ht="22.5" customHeight="1">
      <c r="A682" s="15"/>
      <c r="B682" s="15"/>
      <c r="C682" s="15"/>
      <c r="D682" s="15"/>
      <c r="E682" s="15"/>
    </row>
    <row r="683" ht="22.5" customHeight="1">
      <c r="A683" s="15"/>
      <c r="B683" s="15"/>
      <c r="C683" s="15"/>
      <c r="D683" s="15"/>
      <c r="E683" s="15"/>
    </row>
    <row r="684" ht="22.5" customHeight="1">
      <c r="A684" s="15"/>
      <c r="B684" s="15"/>
      <c r="C684" s="15"/>
      <c r="D684" s="15"/>
      <c r="E684" s="15"/>
    </row>
    <row r="685" ht="22.5" customHeight="1">
      <c r="A685" s="15"/>
      <c r="B685" s="15"/>
      <c r="C685" s="15"/>
      <c r="D685" s="15"/>
      <c r="E685" s="15"/>
    </row>
    <row r="686" ht="22.5" customHeight="1">
      <c r="A686" s="15"/>
      <c r="B686" s="15"/>
      <c r="C686" s="15"/>
      <c r="D686" s="15"/>
      <c r="E686" s="15"/>
    </row>
    <row r="687" ht="22.5" customHeight="1">
      <c r="A687" s="15"/>
      <c r="B687" s="15"/>
      <c r="C687" s="15"/>
      <c r="D687" s="15"/>
      <c r="E687" s="15"/>
    </row>
    <row r="688" ht="22.5" customHeight="1">
      <c r="A688" s="15"/>
      <c r="B688" s="15"/>
      <c r="C688" s="15"/>
      <c r="D688" s="15"/>
      <c r="E688" s="15"/>
    </row>
    <row r="689" ht="22.5" customHeight="1">
      <c r="A689" s="15"/>
      <c r="B689" s="15"/>
      <c r="C689" s="15"/>
      <c r="D689" s="15"/>
      <c r="E689" s="15"/>
    </row>
    <row r="690" ht="22.5" customHeight="1">
      <c r="A690" s="15"/>
      <c r="B690" s="15"/>
      <c r="C690" s="15"/>
      <c r="D690" s="15"/>
      <c r="E690" s="15"/>
    </row>
    <row r="691" ht="22.5" customHeight="1">
      <c r="A691" s="15"/>
      <c r="B691" s="15"/>
      <c r="C691" s="15"/>
      <c r="D691" s="15"/>
      <c r="E691" s="15"/>
    </row>
    <row r="692" ht="22.5" customHeight="1">
      <c r="A692" s="15"/>
      <c r="B692" s="15"/>
      <c r="C692" s="15"/>
      <c r="D692" s="15"/>
      <c r="E692" s="15"/>
    </row>
    <row r="693" ht="22.5" customHeight="1">
      <c r="A693" s="15"/>
      <c r="B693" s="15"/>
      <c r="C693" s="15"/>
      <c r="D693" s="15"/>
      <c r="E693" s="15"/>
    </row>
    <row r="694" ht="22.5" customHeight="1">
      <c r="A694" s="15"/>
      <c r="B694" s="15"/>
      <c r="C694" s="15"/>
      <c r="D694" s="15"/>
      <c r="E694" s="15"/>
    </row>
    <row r="695" ht="22.5" customHeight="1">
      <c r="A695" s="15"/>
      <c r="B695" s="15"/>
      <c r="C695" s="15"/>
      <c r="D695" s="15"/>
      <c r="E695" s="15"/>
    </row>
    <row r="696" ht="22.5" customHeight="1">
      <c r="A696" s="15"/>
      <c r="B696" s="15"/>
      <c r="C696" s="15"/>
      <c r="D696" s="15"/>
      <c r="E696" s="15"/>
    </row>
    <row r="697" ht="22.5" customHeight="1">
      <c r="A697" s="15"/>
      <c r="B697" s="15"/>
      <c r="C697" s="15"/>
      <c r="D697" s="15"/>
      <c r="E697" s="15"/>
    </row>
    <row r="698" ht="22.5" customHeight="1">
      <c r="A698" s="15"/>
      <c r="B698" s="15"/>
      <c r="C698" s="15"/>
      <c r="D698" s="15"/>
      <c r="E698" s="15"/>
    </row>
    <row r="699" ht="22.5" customHeight="1">
      <c r="A699" s="15"/>
      <c r="B699" s="15"/>
      <c r="C699" s="15"/>
      <c r="D699" s="15"/>
      <c r="E699" s="15"/>
    </row>
    <row r="700" ht="22.5" customHeight="1">
      <c r="A700" s="15"/>
      <c r="B700" s="15"/>
      <c r="C700" s="15"/>
      <c r="D700" s="15"/>
      <c r="E700" s="15"/>
    </row>
    <row r="701" ht="22.5" customHeight="1">
      <c r="A701" s="15"/>
      <c r="B701" s="15"/>
      <c r="C701" s="15"/>
      <c r="D701" s="15"/>
      <c r="E701" s="15"/>
    </row>
    <row r="702" ht="22.5" customHeight="1">
      <c r="A702" s="15"/>
      <c r="B702" s="15"/>
      <c r="C702" s="15"/>
      <c r="D702" s="15"/>
      <c r="E702" s="15"/>
    </row>
    <row r="703" ht="22.5" customHeight="1">
      <c r="A703" s="15"/>
      <c r="B703" s="15"/>
      <c r="C703" s="15"/>
      <c r="D703" s="15"/>
      <c r="E703" s="15"/>
    </row>
    <row r="704" ht="22.5" customHeight="1">
      <c r="A704" s="15"/>
      <c r="B704" s="15"/>
      <c r="C704" s="15"/>
      <c r="D704" s="15"/>
      <c r="E704" s="15"/>
    </row>
    <row r="705" ht="22.5" customHeight="1">
      <c r="A705" s="15"/>
      <c r="B705" s="15"/>
      <c r="C705" s="15"/>
      <c r="D705" s="15"/>
      <c r="E705" s="15"/>
    </row>
    <row r="706" ht="22.5" customHeight="1">
      <c r="A706" s="15"/>
      <c r="B706" s="15"/>
      <c r="C706" s="15"/>
      <c r="D706" s="15"/>
      <c r="E706" s="15"/>
    </row>
    <row r="707" ht="22.5" customHeight="1">
      <c r="A707" s="15"/>
      <c r="B707" s="15"/>
      <c r="C707" s="15"/>
      <c r="D707" s="15"/>
      <c r="E707" s="15"/>
    </row>
    <row r="708" ht="22.5" customHeight="1">
      <c r="A708" s="15"/>
      <c r="B708" s="15"/>
      <c r="C708" s="15"/>
      <c r="D708" s="15"/>
      <c r="E708" s="15"/>
    </row>
    <row r="709" ht="22.5" customHeight="1">
      <c r="A709" s="15"/>
      <c r="B709" s="15"/>
      <c r="C709" s="15"/>
      <c r="D709" s="15"/>
      <c r="E709" s="15"/>
    </row>
    <row r="710" ht="22.5" customHeight="1">
      <c r="A710" s="15"/>
      <c r="B710" s="15"/>
      <c r="C710" s="15"/>
      <c r="D710" s="15"/>
      <c r="E710" s="15"/>
    </row>
    <row r="711" ht="22.5" customHeight="1">
      <c r="A711" s="15"/>
      <c r="B711" s="15"/>
      <c r="C711" s="15"/>
      <c r="D711" s="15"/>
      <c r="E711" s="15"/>
    </row>
    <row r="712" ht="22.5" customHeight="1">
      <c r="A712" s="15"/>
      <c r="B712" s="15"/>
      <c r="C712" s="15"/>
      <c r="D712" s="15"/>
      <c r="E712" s="15"/>
    </row>
    <row r="713" ht="22.5" customHeight="1">
      <c r="A713" s="15"/>
      <c r="B713" s="15"/>
      <c r="C713" s="15"/>
      <c r="D713" s="15"/>
      <c r="E713" s="15"/>
    </row>
    <row r="714" ht="22.5" customHeight="1">
      <c r="A714" s="15"/>
      <c r="B714" s="15"/>
      <c r="C714" s="15"/>
      <c r="D714" s="15"/>
      <c r="E714" s="15"/>
    </row>
    <row r="715" ht="22.5" customHeight="1">
      <c r="A715" s="15"/>
      <c r="B715" s="15"/>
      <c r="C715" s="15"/>
      <c r="D715" s="15"/>
      <c r="E715" s="15"/>
    </row>
    <row r="716" ht="22.5" customHeight="1">
      <c r="A716" s="15"/>
      <c r="B716" s="15"/>
      <c r="C716" s="15"/>
      <c r="D716" s="15"/>
      <c r="E716" s="15"/>
    </row>
    <row r="717" ht="22.5" customHeight="1">
      <c r="A717" s="15"/>
      <c r="B717" s="15"/>
      <c r="C717" s="15"/>
      <c r="D717" s="15"/>
      <c r="E717" s="15"/>
    </row>
    <row r="718" ht="22.5" customHeight="1">
      <c r="A718" s="15"/>
      <c r="B718" s="15"/>
      <c r="C718" s="15"/>
      <c r="D718" s="15"/>
      <c r="E718" s="15"/>
    </row>
    <row r="719" ht="22.5" customHeight="1">
      <c r="A719" s="15"/>
      <c r="B719" s="15"/>
      <c r="C719" s="15"/>
      <c r="D719" s="15"/>
      <c r="E719" s="15"/>
    </row>
    <row r="720" ht="22.5" customHeight="1">
      <c r="A720" s="15"/>
      <c r="B720" s="15"/>
      <c r="C720" s="15"/>
      <c r="D720" s="15"/>
      <c r="E720" s="15"/>
    </row>
    <row r="721" ht="22.5" customHeight="1">
      <c r="A721" s="15"/>
      <c r="B721" s="15"/>
      <c r="C721" s="15"/>
      <c r="D721" s="15"/>
      <c r="E721" s="15"/>
    </row>
    <row r="722" ht="22.5" customHeight="1">
      <c r="A722" s="15"/>
      <c r="B722" s="15"/>
      <c r="C722" s="15"/>
      <c r="D722" s="15"/>
      <c r="E722" s="15"/>
    </row>
    <row r="723" ht="22.5" customHeight="1">
      <c r="A723" s="15"/>
      <c r="B723" s="15"/>
      <c r="C723" s="15"/>
      <c r="D723" s="15"/>
      <c r="E723" s="15"/>
    </row>
    <row r="724" ht="22.5" customHeight="1">
      <c r="A724" s="15"/>
      <c r="B724" s="15"/>
      <c r="C724" s="15"/>
      <c r="D724" s="15"/>
      <c r="E724" s="15"/>
    </row>
    <row r="725" ht="22.5" customHeight="1">
      <c r="A725" s="15"/>
      <c r="B725" s="15"/>
      <c r="C725" s="15"/>
      <c r="D725" s="15"/>
      <c r="E725" s="15"/>
    </row>
    <row r="726" ht="22.5" customHeight="1">
      <c r="A726" s="15"/>
      <c r="B726" s="15"/>
      <c r="C726" s="15"/>
      <c r="D726" s="15"/>
      <c r="E726" s="15"/>
    </row>
    <row r="727" ht="22.5" customHeight="1">
      <c r="A727" s="15"/>
      <c r="B727" s="15"/>
      <c r="C727" s="15"/>
      <c r="D727" s="15"/>
      <c r="E727" s="15"/>
    </row>
    <row r="728" ht="22.5" customHeight="1">
      <c r="A728" s="15"/>
      <c r="B728" s="15"/>
      <c r="C728" s="15"/>
      <c r="D728" s="15"/>
      <c r="E728" s="15"/>
    </row>
    <row r="729" ht="22.5" customHeight="1">
      <c r="A729" s="15"/>
      <c r="B729" s="15"/>
      <c r="C729" s="15"/>
      <c r="D729" s="15"/>
      <c r="E729" s="15"/>
    </row>
    <row r="730" ht="22.5" customHeight="1">
      <c r="A730" s="15"/>
      <c r="B730" s="15"/>
      <c r="C730" s="15"/>
      <c r="D730" s="15"/>
      <c r="E730" s="15"/>
    </row>
    <row r="731" ht="22.5" customHeight="1">
      <c r="A731" s="15"/>
      <c r="B731" s="15"/>
      <c r="C731" s="15"/>
      <c r="D731" s="15"/>
      <c r="E731" s="15"/>
    </row>
    <row r="732" ht="22.5" customHeight="1">
      <c r="A732" s="15"/>
      <c r="B732" s="15"/>
      <c r="C732" s="15"/>
      <c r="D732" s="15"/>
      <c r="E732" s="15"/>
    </row>
    <row r="733" ht="22.5" customHeight="1">
      <c r="A733" s="15"/>
      <c r="B733" s="15"/>
      <c r="C733" s="15"/>
      <c r="D733" s="15"/>
      <c r="E733" s="15"/>
    </row>
    <row r="734" ht="22.5" customHeight="1">
      <c r="A734" s="15"/>
      <c r="B734" s="15"/>
      <c r="C734" s="15"/>
      <c r="D734" s="15"/>
      <c r="E734" s="15"/>
    </row>
    <row r="735" ht="22.5" customHeight="1">
      <c r="A735" s="15"/>
      <c r="B735" s="15"/>
      <c r="C735" s="15"/>
      <c r="D735" s="15"/>
      <c r="E735" s="15"/>
    </row>
    <row r="736" ht="22.5" customHeight="1">
      <c r="A736" s="15"/>
      <c r="B736" s="15"/>
      <c r="C736" s="15"/>
      <c r="D736" s="15"/>
      <c r="E736" s="15"/>
    </row>
    <row r="737" ht="22.5" customHeight="1">
      <c r="A737" s="15"/>
      <c r="B737" s="15"/>
      <c r="C737" s="15"/>
      <c r="D737" s="15"/>
      <c r="E737" s="15"/>
    </row>
    <row r="738" ht="22.5" customHeight="1">
      <c r="A738" s="15"/>
      <c r="B738" s="15"/>
      <c r="C738" s="15"/>
      <c r="D738" s="15"/>
      <c r="E738" s="15"/>
    </row>
    <row r="739" ht="22.5" customHeight="1">
      <c r="A739" s="15"/>
      <c r="B739" s="15"/>
      <c r="C739" s="15"/>
      <c r="D739" s="15"/>
      <c r="E739" s="15"/>
    </row>
    <row r="740" ht="22.5" customHeight="1">
      <c r="A740" s="15"/>
      <c r="B740" s="15"/>
      <c r="C740" s="15"/>
      <c r="D740" s="15"/>
      <c r="E740" s="15"/>
    </row>
    <row r="741" ht="22.5" customHeight="1">
      <c r="A741" s="15"/>
      <c r="B741" s="15"/>
      <c r="C741" s="15"/>
      <c r="D741" s="15"/>
      <c r="E741" s="15"/>
    </row>
    <row r="742" ht="22.5" customHeight="1">
      <c r="A742" s="15"/>
      <c r="B742" s="15"/>
      <c r="C742" s="15"/>
      <c r="D742" s="15"/>
      <c r="E742" s="15"/>
    </row>
    <row r="743" ht="22.5" customHeight="1">
      <c r="A743" s="15"/>
      <c r="B743" s="15"/>
      <c r="C743" s="15"/>
      <c r="D743" s="15"/>
      <c r="E743" s="15"/>
    </row>
    <row r="744" ht="22.5" customHeight="1">
      <c r="A744" s="15"/>
      <c r="B744" s="15"/>
      <c r="C744" s="15"/>
      <c r="D744" s="15"/>
      <c r="E744" s="15"/>
    </row>
    <row r="745" ht="22.5" customHeight="1">
      <c r="A745" s="15"/>
      <c r="B745" s="15"/>
      <c r="C745" s="15"/>
      <c r="D745" s="15"/>
      <c r="E745" s="15"/>
    </row>
    <row r="746" ht="22.5" customHeight="1">
      <c r="A746" s="15"/>
      <c r="B746" s="15"/>
      <c r="C746" s="15"/>
      <c r="D746" s="15"/>
      <c r="E746" s="15"/>
    </row>
    <row r="747" ht="22.5" customHeight="1">
      <c r="A747" s="15"/>
      <c r="B747" s="15"/>
      <c r="C747" s="15"/>
      <c r="D747" s="15"/>
      <c r="E747" s="15"/>
    </row>
    <row r="748" ht="22.5" customHeight="1">
      <c r="A748" s="15"/>
      <c r="B748" s="15"/>
      <c r="C748" s="15"/>
      <c r="D748" s="15"/>
      <c r="E748" s="15"/>
    </row>
    <row r="749" ht="22.5" customHeight="1">
      <c r="A749" s="15"/>
      <c r="B749" s="15"/>
      <c r="C749" s="15"/>
      <c r="D749" s="15"/>
      <c r="E749" s="15"/>
    </row>
    <row r="750" ht="22.5" customHeight="1">
      <c r="A750" s="15"/>
      <c r="B750" s="15"/>
      <c r="C750" s="15"/>
      <c r="D750" s="15"/>
      <c r="E750" s="15"/>
    </row>
    <row r="751" ht="22.5" customHeight="1">
      <c r="A751" s="15"/>
      <c r="B751" s="15"/>
      <c r="C751" s="15"/>
      <c r="D751" s="15"/>
      <c r="E751" s="15"/>
    </row>
    <row r="752" ht="22.5" customHeight="1">
      <c r="A752" s="15"/>
      <c r="B752" s="15"/>
      <c r="C752" s="15"/>
      <c r="D752" s="15"/>
      <c r="E752" s="15"/>
    </row>
    <row r="753" ht="22.5" customHeight="1">
      <c r="A753" s="15"/>
      <c r="B753" s="15"/>
      <c r="C753" s="15"/>
      <c r="D753" s="15"/>
      <c r="E753" s="15"/>
    </row>
    <row r="754" ht="22.5" customHeight="1">
      <c r="A754" s="15"/>
      <c r="B754" s="15"/>
      <c r="C754" s="15"/>
      <c r="D754" s="15"/>
      <c r="E754" s="15"/>
    </row>
    <row r="755" ht="22.5" customHeight="1">
      <c r="A755" s="15"/>
      <c r="B755" s="15"/>
      <c r="C755" s="15"/>
      <c r="D755" s="15"/>
      <c r="E755" s="15"/>
    </row>
    <row r="756" ht="22.5" customHeight="1">
      <c r="A756" s="15"/>
      <c r="B756" s="15"/>
      <c r="C756" s="15"/>
      <c r="D756" s="15"/>
      <c r="E756" s="15"/>
    </row>
    <row r="757" ht="22.5" customHeight="1">
      <c r="A757" s="15"/>
      <c r="B757" s="15"/>
      <c r="C757" s="15"/>
      <c r="D757" s="15"/>
      <c r="E757" s="15"/>
    </row>
    <row r="758" ht="22.5" customHeight="1">
      <c r="A758" s="15"/>
      <c r="B758" s="15"/>
      <c r="C758" s="15"/>
      <c r="D758" s="15"/>
      <c r="E758" s="15"/>
    </row>
    <row r="759" ht="22.5" customHeight="1">
      <c r="A759" s="15"/>
      <c r="B759" s="15"/>
      <c r="C759" s="15"/>
      <c r="D759" s="15"/>
      <c r="E759" s="15"/>
    </row>
    <row r="760" ht="22.5" customHeight="1">
      <c r="A760" s="15"/>
      <c r="B760" s="15"/>
      <c r="C760" s="15"/>
      <c r="D760" s="15"/>
      <c r="E760" s="15"/>
    </row>
    <row r="761" ht="22.5" customHeight="1">
      <c r="A761" s="15"/>
      <c r="B761" s="15"/>
      <c r="C761" s="15"/>
      <c r="D761" s="15"/>
      <c r="E761" s="15"/>
    </row>
    <row r="762" ht="22.5" customHeight="1">
      <c r="A762" s="15"/>
      <c r="B762" s="15"/>
      <c r="C762" s="15"/>
      <c r="D762" s="15"/>
      <c r="E762" s="15"/>
    </row>
    <row r="763" ht="22.5" customHeight="1">
      <c r="A763" s="15"/>
      <c r="B763" s="15"/>
      <c r="C763" s="15"/>
      <c r="D763" s="15"/>
      <c r="E763" s="15"/>
    </row>
    <row r="764" ht="22.5" customHeight="1">
      <c r="A764" s="15"/>
      <c r="B764" s="15"/>
      <c r="C764" s="15"/>
      <c r="D764" s="15"/>
      <c r="E764" s="15"/>
    </row>
    <row r="765" ht="22.5" customHeight="1">
      <c r="A765" s="15"/>
      <c r="B765" s="15"/>
      <c r="C765" s="15"/>
      <c r="D765" s="15"/>
      <c r="E765" s="15"/>
    </row>
    <row r="766" ht="22.5" customHeight="1">
      <c r="A766" s="15"/>
      <c r="B766" s="15"/>
      <c r="C766" s="15"/>
      <c r="D766" s="15"/>
      <c r="E766" s="15"/>
    </row>
    <row r="767" ht="22.5" customHeight="1">
      <c r="A767" s="15"/>
      <c r="B767" s="15"/>
      <c r="C767" s="15"/>
      <c r="D767" s="15"/>
      <c r="E767" s="15"/>
    </row>
    <row r="768" ht="22.5" customHeight="1">
      <c r="A768" s="15"/>
      <c r="B768" s="15"/>
      <c r="C768" s="15"/>
      <c r="D768" s="15"/>
      <c r="E768" s="15"/>
    </row>
    <row r="769" ht="22.5" customHeight="1">
      <c r="A769" s="15"/>
      <c r="B769" s="15"/>
      <c r="C769" s="15"/>
      <c r="D769" s="15"/>
      <c r="E769" s="15"/>
    </row>
    <row r="770" ht="22.5" customHeight="1">
      <c r="A770" s="15"/>
      <c r="B770" s="15"/>
      <c r="C770" s="15"/>
      <c r="D770" s="15"/>
      <c r="E770" s="15"/>
    </row>
    <row r="771" ht="22.5" customHeight="1">
      <c r="A771" s="15"/>
      <c r="B771" s="15"/>
      <c r="C771" s="15"/>
      <c r="D771" s="15"/>
      <c r="E771" s="15"/>
    </row>
    <row r="772" ht="22.5" customHeight="1">
      <c r="A772" s="15"/>
      <c r="B772" s="15"/>
      <c r="C772" s="15"/>
      <c r="D772" s="15"/>
      <c r="E772" s="15"/>
    </row>
    <row r="773" ht="22.5" customHeight="1">
      <c r="A773" s="15"/>
      <c r="B773" s="15"/>
      <c r="C773" s="15"/>
      <c r="D773" s="15"/>
      <c r="E773" s="15"/>
    </row>
    <row r="774" ht="22.5" customHeight="1">
      <c r="A774" s="15"/>
      <c r="B774" s="15"/>
      <c r="C774" s="15"/>
      <c r="D774" s="15"/>
      <c r="E774" s="15"/>
    </row>
    <row r="775" ht="22.5" customHeight="1">
      <c r="A775" s="15"/>
      <c r="B775" s="15"/>
      <c r="C775" s="15"/>
      <c r="D775" s="15"/>
      <c r="E775" s="15"/>
    </row>
    <row r="776" ht="22.5" customHeight="1">
      <c r="A776" s="15"/>
      <c r="B776" s="15"/>
      <c r="C776" s="15"/>
      <c r="D776" s="15"/>
      <c r="E776" s="15"/>
    </row>
    <row r="777" ht="22.5" customHeight="1">
      <c r="A777" s="15"/>
      <c r="B777" s="15"/>
      <c r="C777" s="15"/>
      <c r="D777" s="15"/>
      <c r="E777" s="15"/>
    </row>
    <row r="778" ht="22.5" customHeight="1">
      <c r="A778" s="15"/>
      <c r="B778" s="15"/>
      <c r="C778" s="15"/>
      <c r="D778" s="15"/>
      <c r="E778" s="15"/>
    </row>
    <row r="779" ht="22.5" customHeight="1">
      <c r="A779" s="15"/>
      <c r="B779" s="15"/>
      <c r="C779" s="15"/>
      <c r="D779" s="15"/>
      <c r="E779" s="15"/>
    </row>
    <row r="780" ht="22.5" customHeight="1">
      <c r="A780" s="15"/>
      <c r="B780" s="15"/>
      <c r="C780" s="15"/>
      <c r="D780" s="15"/>
      <c r="E780" s="15"/>
    </row>
    <row r="781" ht="22.5" customHeight="1">
      <c r="A781" s="15"/>
      <c r="B781" s="15"/>
      <c r="C781" s="15"/>
      <c r="D781" s="15"/>
      <c r="E781" s="15"/>
    </row>
    <row r="782" ht="22.5" customHeight="1">
      <c r="A782" s="15"/>
      <c r="B782" s="15"/>
      <c r="C782" s="15"/>
      <c r="D782" s="15"/>
      <c r="E782" s="15"/>
    </row>
    <row r="783" ht="22.5" customHeight="1">
      <c r="A783" s="15"/>
      <c r="B783" s="15"/>
      <c r="C783" s="15"/>
      <c r="D783" s="15"/>
      <c r="E783" s="15"/>
    </row>
    <row r="784" ht="22.5" customHeight="1">
      <c r="A784" s="15"/>
      <c r="B784" s="15"/>
      <c r="C784" s="15"/>
      <c r="D784" s="15"/>
      <c r="E784" s="15"/>
    </row>
    <row r="785" ht="22.5" customHeight="1">
      <c r="A785" s="15"/>
      <c r="B785" s="15"/>
      <c r="C785" s="15"/>
      <c r="D785" s="15"/>
      <c r="E785" s="15"/>
    </row>
    <row r="786" ht="22.5" customHeight="1">
      <c r="A786" s="15"/>
      <c r="B786" s="15"/>
      <c r="C786" s="15"/>
      <c r="D786" s="15"/>
      <c r="E786" s="15"/>
    </row>
    <row r="787" ht="22.5" customHeight="1">
      <c r="A787" s="15"/>
      <c r="B787" s="15"/>
      <c r="C787" s="15"/>
      <c r="D787" s="15"/>
      <c r="E787" s="15"/>
    </row>
    <row r="788" ht="22.5" customHeight="1">
      <c r="A788" s="15"/>
      <c r="B788" s="15"/>
      <c r="C788" s="15"/>
      <c r="D788" s="15"/>
      <c r="E788" s="15"/>
    </row>
    <row r="789" ht="22.5" customHeight="1">
      <c r="A789" s="15"/>
      <c r="B789" s="15"/>
      <c r="C789" s="15"/>
      <c r="D789" s="15"/>
      <c r="E789" s="15"/>
    </row>
    <row r="790" ht="22.5" customHeight="1">
      <c r="A790" s="15"/>
      <c r="B790" s="15"/>
      <c r="C790" s="15"/>
      <c r="D790" s="15"/>
      <c r="E790" s="15"/>
    </row>
    <row r="791" ht="22.5" customHeight="1">
      <c r="A791" s="15"/>
      <c r="B791" s="15"/>
      <c r="C791" s="15"/>
      <c r="D791" s="15"/>
      <c r="E791" s="15"/>
    </row>
    <row r="792" ht="22.5" customHeight="1">
      <c r="A792" s="15"/>
      <c r="B792" s="15"/>
      <c r="C792" s="15"/>
      <c r="D792" s="15"/>
      <c r="E792" s="15"/>
    </row>
    <row r="793" ht="22.5" customHeight="1">
      <c r="A793" s="15"/>
      <c r="B793" s="15"/>
      <c r="C793" s="15"/>
      <c r="D793" s="15"/>
      <c r="E793" s="15"/>
    </row>
    <row r="794" ht="22.5" customHeight="1">
      <c r="A794" s="15"/>
      <c r="B794" s="15"/>
      <c r="C794" s="15"/>
      <c r="D794" s="15"/>
      <c r="E794" s="15"/>
    </row>
    <row r="795" ht="22.5" customHeight="1">
      <c r="A795" s="15"/>
      <c r="B795" s="15"/>
      <c r="C795" s="15"/>
      <c r="D795" s="15"/>
      <c r="E795" s="15"/>
    </row>
    <row r="796" ht="22.5" customHeight="1">
      <c r="A796" s="15"/>
      <c r="B796" s="15"/>
      <c r="C796" s="15"/>
      <c r="D796" s="15"/>
      <c r="E796" s="15"/>
    </row>
    <row r="797" ht="22.5" customHeight="1">
      <c r="A797" s="15"/>
      <c r="B797" s="15"/>
      <c r="C797" s="15"/>
      <c r="D797" s="15"/>
      <c r="E797" s="15"/>
    </row>
    <row r="798" ht="22.5" customHeight="1">
      <c r="A798" s="15"/>
      <c r="B798" s="15"/>
      <c r="C798" s="15"/>
      <c r="D798" s="15"/>
      <c r="E798" s="15"/>
    </row>
    <row r="799" ht="22.5" customHeight="1">
      <c r="A799" s="15"/>
      <c r="B799" s="15"/>
      <c r="C799" s="15"/>
      <c r="D799" s="15"/>
      <c r="E799" s="15"/>
    </row>
    <row r="800" ht="22.5" customHeight="1">
      <c r="A800" s="15"/>
      <c r="B800" s="15"/>
      <c r="C800" s="15"/>
      <c r="D800" s="15"/>
      <c r="E800" s="15"/>
    </row>
    <row r="801" ht="22.5" customHeight="1">
      <c r="A801" s="15"/>
      <c r="B801" s="15"/>
      <c r="C801" s="15"/>
      <c r="D801" s="15"/>
      <c r="E801" s="15"/>
    </row>
    <row r="802" ht="22.5" customHeight="1">
      <c r="A802" s="15"/>
      <c r="B802" s="15"/>
      <c r="C802" s="15"/>
      <c r="D802" s="15"/>
      <c r="E802" s="15"/>
    </row>
    <row r="803" ht="22.5" customHeight="1">
      <c r="A803" s="15"/>
      <c r="B803" s="15"/>
      <c r="C803" s="15"/>
      <c r="D803" s="15"/>
      <c r="E803" s="15"/>
    </row>
    <row r="804" ht="22.5" customHeight="1">
      <c r="A804" s="15"/>
      <c r="B804" s="15"/>
      <c r="C804" s="15"/>
      <c r="D804" s="15"/>
      <c r="E804" s="15"/>
    </row>
    <row r="805" ht="22.5" customHeight="1">
      <c r="A805" s="15"/>
      <c r="B805" s="15"/>
      <c r="C805" s="15"/>
      <c r="D805" s="15"/>
      <c r="E805" s="15"/>
    </row>
    <row r="806" ht="22.5" customHeight="1">
      <c r="A806" s="15"/>
      <c r="B806" s="15"/>
      <c r="C806" s="15"/>
      <c r="D806" s="15"/>
      <c r="E806" s="15"/>
    </row>
    <row r="807" ht="22.5" customHeight="1">
      <c r="A807" s="15"/>
      <c r="B807" s="15"/>
      <c r="C807" s="15"/>
      <c r="D807" s="15"/>
      <c r="E807" s="15"/>
    </row>
    <row r="808" ht="22.5" customHeight="1">
      <c r="A808" s="15"/>
      <c r="B808" s="15"/>
      <c r="C808" s="15"/>
      <c r="D808" s="15"/>
      <c r="E808" s="15"/>
    </row>
    <row r="809" ht="22.5" customHeight="1">
      <c r="A809" s="15"/>
      <c r="B809" s="15"/>
      <c r="C809" s="15"/>
      <c r="D809" s="15"/>
      <c r="E809" s="15"/>
    </row>
    <row r="810" ht="22.5" customHeight="1">
      <c r="A810" s="15"/>
      <c r="B810" s="15"/>
      <c r="C810" s="15"/>
      <c r="D810" s="15"/>
      <c r="E810" s="15"/>
    </row>
    <row r="811" ht="22.5" customHeight="1">
      <c r="A811" s="15"/>
      <c r="B811" s="15"/>
      <c r="C811" s="15"/>
      <c r="D811" s="15"/>
      <c r="E811" s="15"/>
    </row>
    <row r="812" ht="22.5" customHeight="1">
      <c r="A812" s="15"/>
      <c r="B812" s="15"/>
      <c r="C812" s="15"/>
      <c r="D812" s="15"/>
      <c r="E812" s="15"/>
    </row>
    <row r="813" ht="22.5" customHeight="1">
      <c r="A813" s="15"/>
      <c r="B813" s="15"/>
      <c r="C813" s="15"/>
      <c r="D813" s="15"/>
      <c r="E813" s="15"/>
    </row>
    <row r="814" ht="22.5" customHeight="1">
      <c r="A814" s="15"/>
      <c r="B814" s="15"/>
      <c r="C814" s="15"/>
      <c r="D814" s="15"/>
      <c r="E814" s="15"/>
    </row>
    <row r="815" ht="22.5" customHeight="1">
      <c r="A815" s="15"/>
      <c r="B815" s="15"/>
      <c r="C815" s="15"/>
      <c r="D815" s="15"/>
      <c r="E815" s="15"/>
    </row>
    <row r="816" ht="22.5" customHeight="1">
      <c r="A816" s="15"/>
      <c r="B816" s="15"/>
      <c r="C816" s="15"/>
      <c r="D816" s="15"/>
      <c r="E816" s="15"/>
    </row>
    <row r="817" ht="22.5" customHeight="1">
      <c r="A817" s="15"/>
      <c r="B817" s="15"/>
      <c r="C817" s="15"/>
      <c r="D817" s="15"/>
      <c r="E817" s="15"/>
    </row>
    <row r="818" ht="22.5" customHeight="1">
      <c r="A818" s="15"/>
      <c r="B818" s="15"/>
      <c r="C818" s="15"/>
      <c r="D818" s="15"/>
      <c r="E818" s="15"/>
    </row>
    <row r="819" ht="22.5" customHeight="1">
      <c r="A819" s="15"/>
      <c r="B819" s="15"/>
      <c r="C819" s="15"/>
      <c r="D819" s="15"/>
      <c r="E819" s="15"/>
    </row>
    <row r="820" ht="22.5" customHeight="1">
      <c r="A820" s="15"/>
      <c r="B820" s="15"/>
      <c r="C820" s="15"/>
      <c r="D820" s="15"/>
      <c r="E820" s="15"/>
    </row>
    <row r="821" ht="22.5" customHeight="1">
      <c r="A821" s="15"/>
      <c r="B821" s="15"/>
      <c r="C821" s="15"/>
      <c r="D821" s="15"/>
      <c r="E821" s="15"/>
    </row>
    <row r="822" ht="22.5" customHeight="1">
      <c r="A822" s="15"/>
      <c r="B822" s="15"/>
      <c r="C822" s="15"/>
      <c r="D822" s="15"/>
      <c r="E822" s="15"/>
    </row>
    <row r="823" ht="22.5" customHeight="1">
      <c r="A823" s="15"/>
      <c r="B823" s="15"/>
      <c r="C823" s="15"/>
      <c r="D823" s="15"/>
      <c r="E823" s="15"/>
    </row>
    <row r="824" ht="22.5" customHeight="1">
      <c r="A824" s="15"/>
      <c r="B824" s="15"/>
      <c r="C824" s="15"/>
      <c r="D824" s="15"/>
      <c r="E824" s="15"/>
    </row>
    <row r="825" ht="22.5" customHeight="1">
      <c r="A825" s="15"/>
      <c r="B825" s="15"/>
      <c r="C825" s="15"/>
      <c r="D825" s="15"/>
      <c r="E825" s="15"/>
    </row>
    <row r="826" ht="22.5" customHeight="1">
      <c r="A826" s="15"/>
      <c r="B826" s="15"/>
      <c r="C826" s="15"/>
      <c r="D826" s="15"/>
      <c r="E826" s="15"/>
    </row>
    <row r="827" ht="22.5" customHeight="1">
      <c r="A827" s="15"/>
      <c r="B827" s="15"/>
      <c r="C827" s="15"/>
      <c r="D827" s="15"/>
      <c r="E827" s="15"/>
    </row>
    <row r="828" ht="22.5" customHeight="1">
      <c r="A828" s="15"/>
      <c r="B828" s="15"/>
      <c r="C828" s="15"/>
      <c r="D828" s="15"/>
      <c r="E828" s="15"/>
    </row>
    <row r="829" ht="22.5" customHeight="1">
      <c r="A829" s="15"/>
      <c r="B829" s="15"/>
      <c r="C829" s="15"/>
      <c r="D829" s="15"/>
      <c r="E829" s="15"/>
    </row>
    <row r="830" ht="22.5" customHeight="1">
      <c r="A830" s="15"/>
      <c r="B830" s="15"/>
      <c r="C830" s="15"/>
      <c r="D830" s="15"/>
      <c r="E830" s="15"/>
    </row>
    <row r="831" ht="22.5" customHeight="1">
      <c r="A831" s="15"/>
      <c r="B831" s="15"/>
      <c r="C831" s="15"/>
      <c r="D831" s="15"/>
      <c r="E831" s="15"/>
    </row>
    <row r="832" ht="22.5" customHeight="1">
      <c r="A832" s="15"/>
      <c r="B832" s="15"/>
      <c r="C832" s="15"/>
      <c r="D832" s="15"/>
      <c r="E832" s="15"/>
    </row>
    <row r="833" ht="22.5" customHeight="1">
      <c r="A833" s="15"/>
      <c r="B833" s="15"/>
      <c r="C833" s="15"/>
      <c r="D833" s="15"/>
      <c r="E833" s="15"/>
    </row>
    <row r="834" ht="22.5" customHeight="1">
      <c r="A834" s="15"/>
      <c r="B834" s="15"/>
      <c r="C834" s="15"/>
      <c r="D834" s="15"/>
      <c r="E834" s="15"/>
    </row>
    <row r="835" ht="22.5" customHeight="1">
      <c r="A835" s="15"/>
      <c r="B835" s="15"/>
      <c r="C835" s="15"/>
      <c r="D835" s="15"/>
      <c r="E835" s="15"/>
    </row>
    <row r="836" ht="22.5" customHeight="1">
      <c r="A836" s="15"/>
      <c r="B836" s="15"/>
      <c r="C836" s="15"/>
      <c r="D836" s="15"/>
      <c r="E836" s="15"/>
    </row>
    <row r="837" ht="22.5" customHeight="1">
      <c r="A837" s="15"/>
      <c r="B837" s="15"/>
      <c r="C837" s="15"/>
      <c r="D837" s="15"/>
      <c r="E837" s="15"/>
    </row>
    <row r="838" ht="22.5" customHeight="1">
      <c r="A838" s="15"/>
      <c r="B838" s="15"/>
      <c r="C838" s="15"/>
      <c r="D838" s="15"/>
      <c r="E838" s="15"/>
    </row>
    <row r="839" ht="22.5" customHeight="1">
      <c r="A839" s="15"/>
      <c r="B839" s="15"/>
      <c r="C839" s="15"/>
      <c r="D839" s="15"/>
      <c r="E839" s="15"/>
    </row>
    <row r="840" ht="22.5" customHeight="1">
      <c r="A840" s="15"/>
      <c r="B840" s="15"/>
      <c r="C840" s="15"/>
      <c r="D840" s="15"/>
      <c r="E840" s="15"/>
    </row>
    <row r="841" ht="22.5" customHeight="1">
      <c r="A841" s="15"/>
      <c r="B841" s="15"/>
      <c r="C841" s="15"/>
      <c r="D841" s="15"/>
      <c r="E841" s="15"/>
    </row>
    <row r="842" ht="22.5" customHeight="1">
      <c r="A842" s="15"/>
      <c r="B842" s="15"/>
      <c r="C842" s="15"/>
      <c r="D842" s="15"/>
      <c r="E842" s="15"/>
    </row>
    <row r="843" ht="22.5" customHeight="1">
      <c r="A843" s="15"/>
      <c r="B843" s="15"/>
      <c r="C843" s="15"/>
      <c r="D843" s="15"/>
      <c r="E843" s="15"/>
    </row>
    <row r="844" ht="22.5" customHeight="1">
      <c r="A844" s="15"/>
      <c r="B844" s="15"/>
      <c r="C844" s="15"/>
      <c r="D844" s="15"/>
      <c r="E844" s="15"/>
    </row>
    <row r="845" ht="22.5" customHeight="1">
      <c r="A845" s="15"/>
      <c r="B845" s="15"/>
      <c r="C845" s="15"/>
      <c r="D845" s="15"/>
      <c r="E845" s="15"/>
    </row>
    <row r="846" ht="22.5" customHeight="1">
      <c r="A846" s="15"/>
      <c r="B846" s="15"/>
      <c r="C846" s="15"/>
      <c r="D846" s="15"/>
      <c r="E846" s="15"/>
    </row>
    <row r="847" ht="22.5" customHeight="1">
      <c r="A847" s="15"/>
      <c r="B847" s="15"/>
      <c r="C847" s="15"/>
      <c r="D847" s="15"/>
      <c r="E847" s="15"/>
    </row>
    <row r="848" ht="22.5" customHeight="1">
      <c r="A848" s="15"/>
      <c r="B848" s="15"/>
      <c r="C848" s="15"/>
      <c r="D848" s="15"/>
      <c r="E848" s="15"/>
    </row>
    <row r="849" ht="22.5" customHeight="1">
      <c r="A849" s="15"/>
      <c r="B849" s="15"/>
      <c r="C849" s="15"/>
      <c r="D849" s="15"/>
      <c r="E849" s="15"/>
    </row>
    <row r="850" ht="22.5" customHeight="1">
      <c r="A850" s="15"/>
      <c r="B850" s="15"/>
      <c r="C850" s="15"/>
      <c r="D850" s="15"/>
      <c r="E850" s="15"/>
    </row>
    <row r="851" ht="22.5" customHeight="1">
      <c r="A851" s="15"/>
      <c r="B851" s="15"/>
      <c r="C851" s="15"/>
      <c r="D851" s="15"/>
      <c r="E851" s="15"/>
    </row>
    <row r="852" ht="22.5" customHeight="1">
      <c r="A852" s="15"/>
      <c r="B852" s="15"/>
      <c r="C852" s="15"/>
      <c r="D852" s="15"/>
      <c r="E852" s="15"/>
    </row>
    <row r="853" ht="22.5" customHeight="1">
      <c r="A853" s="15"/>
      <c r="B853" s="15"/>
      <c r="C853" s="15"/>
      <c r="D853" s="15"/>
      <c r="E853" s="15"/>
    </row>
    <row r="854" ht="22.5" customHeight="1">
      <c r="A854" s="15"/>
      <c r="B854" s="15"/>
      <c r="C854" s="15"/>
      <c r="D854" s="15"/>
      <c r="E854" s="15"/>
    </row>
    <row r="855" ht="22.5" customHeight="1">
      <c r="A855" s="15"/>
      <c r="B855" s="15"/>
      <c r="C855" s="15"/>
      <c r="D855" s="15"/>
      <c r="E855" s="15"/>
    </row>
    <row r="856" ht="22.5" customHeight="1">
      <c r="A856" s="15"/>
      <c r="B856" s="15"/>
      <c r="C856" s="15"/>
      <c r="D856" s="15"/>
      <c r="E856" s="15"/>
    </row>
    <row r="857" ht="22.5" customHeight="1">
      <c r="A857" s="15"/>
      <c r="B857" s="15"/>
      <c r="C857" s="15"/>
      <c r="D857" s="15"/>
      <c r="E857" s="15"/>
    </row>
    <row r="858" ht="22.5" customHeight="1">
      <c r="A858" s="15"/>
      <c r="B858" s="15"/>
      <c r="C858" s="15"/>
      <c r="D858" s="15"/>
      <c r="E858" s="15"/>
    </row>
    <row r="859" ht="22.5" customHeight="1">
      <c r="A859" s="15"/>
      <c r="B859" s="15"/>
      <c r="C859" s="15"/>
      <c r="D859" s="15"/>
      <c r="E859" s="15"/>
    </row>
    <row r="860" ht="22.5" customHeight="1">
      <c r="A860" s="15"/>
      <c r="B860" s="15"/>
      <c r="C860" s="15"/>
      <c r="D860" s="15"/>
      <c r="E860" s="15"/>
    </row>
    <row r="861" ht="22.5" customHeight="1">
      <c r="A861" s="15"/>
      <c r="B861" s="15"/>
      <c r="C861" s="15"/>
      <c r="D861" s="15"/>
      <c r="E861" s="15"/>
    </row>
    <row r="862" ht="22.5" customHeight="1">
      <c r="A862" s="15"/>
      <c r="B862" s="15"/>
      <c r="C862" s="15"/>
      <c r="D862" s="15"/>
      <c r="E862" s="15"/>
    </row>
    <row r="863" ht="22.5" customHeight="1">
      <c r="A863" s="15"/>
      <c r="B863" s="15"/>
      <c r="C863" s="15"/>
      <c r="D863" s="15"/>
      <c r="E863" s="15"/>
    </row>
    <row r="864" ht="22.5" customHeight="1">
      <c r="A864" s="15"/>
      <c r="B864" s="15"/>
      <c r="C864" s="15"/>
      <c r="D864" s="15"/>
      <c r="E864" s="15"/>
    </row>
    <row r="865" ht="22.5" customHeight="1">
      <c r="A865" s="15"/>
      <c r="B865" s="15"/>
      <c r="C865" s="15"/>
      <c r="D865" s="15"/>
      <c r="E865" s="15"/>
    </row>
    <row r="866" ht="22.5" customHeight="1">
      <c r="A866" s="15"/>
      <c r="B866" s="15"/>
      <c r="C866" s="15"/>
      <c r="D866" s="15"/>
      <c r="E866" s="15"/>
    </row>
    <row r="867" ht="22.5" customHeight="1">
      <c r="A867" s="15"/>
      <c r="B867" s="15"/>
      <c r="C867" s="15"/>
      <c r="D867" s="15"/>
      <c r="E867" s="15"/>
    </row>
    <row r="868" ht="22.5" customHeight="1">
      <c r="A868" s="15"/>
      <c r="B868" s="15"/>
      <c r="C868" s="15"/>
      <c r="D868" s="15"/>
      <c r="E868" s="15"/>
    </row>
    <row r="869" ht="22.5" customHeight="1">
      <c r="A869" s="15"/>
      <c r="B869" s="15"/>
      <c r="C869" s="15"/>
      <c r="D869" s="15"/>
      <c r="E869" s="15"/>
    </row>
    <row r="870" ht="22.5" customHeight="1">
      <c r="A870" s="15"/>
      <c r="B870" s="15"/>
      <c r="C870" s="15"/>
      <c r="D870" s="15"/>
      <c r="E870" s="15"/>
    </row>
    <row r="871" ht="22.5" customHeight="1">
      <c r="A871" s="15"/>
      <c r="B871" s="15"/>
      <c r="C871" s="15"/>
      <c r="D871" s="15"/>
      <c r="E871" s="15"/>
    </row>
    <row r="872" ht="22.5" customHeight="1">
      <c r="A872" s="15"/>
      <c r="B872" s="15"/>
      <c r="C872" s="15"/>
      <c r="D872" s="15"/>
      <c r="E872" s="15"/>
    </row>
    <row r="873" ht="22.5" customHeight="1">
      <c r="A873" s="15"/>
      <c r="B873" s="15"/>
      <c r="C873" s="15"/>
      <c r="D873" s="15"/>
      <c r="E873" s="15"/>
    </row>
    <row r="874" ht="22.5" customHeight="1">
      <c r="A874" s="15"/>
      <c r="B874" s="15"/>
      <c r="C874" s="15"/>
      <c r="D874" s="15"/>
      <c r="E874" s="15"/>
    </row>
    <row r="875" ht="22.5" customHeight="1">
      <c r="A875" s="15"/>
      <c r="B875" s="15"/>
      <c r="C875" s="15"/>
      <c r="D875" s="15"/>
      <c r="E875" s="15"/>
    </row>
    <row r="876" ht="22.5" customHeight="1">
      <c r="A876" s="15"/>
      <c r="B876" s="15"/>
      <c r="C876" s="15"/>
      <c r="D876" s="15"/>
      <c r="E876" s="15"/>
    </row>
    <row r="877" ht="22.5" customHeight="1">
      <c r="A877" s="15"/>
      <c r="B877" s="15"/>
      <c r="C877" s="15"/>
      <c r="D877" s="15"/>
      <c r="E877" s="15"/>
    </row>
    <row r="878" ht="22.5" customHeight="1">
      <c r="A878" s="15"/>
      <c r="B878" s="15"/>
      <c r="C878" s="15"/>
      <c r="D878" s="15"/>
      <c r="E878" s="15"/>
    </row>
    <row r="879" ht="22.5" customHeight="1">
      <c r="A879" s="15"/>
      <c r="B879" s="15"/>
      <c r="C879" s="15"/>
      <c r="D879" s="15"/>
      <c r="E879" s="15"/>
    </row>
    <row r="880" ht="22.5" customHeight="1">
      <c r="A880" s="15"/>
      <c r="B880" s="15"/>
      <c r="C880" s="15"/>
      <c r="D880" s="15"/>
      <c r="E880" s="15"/>
    </row>
    <row r="881" ht="22.5" customHeight="1">
      <c r="A881" s="15"/>
      <c r="B881" s="15"/>
      <c r="C881" s="15"/>
      <c r="D881" s="15"/>
      <c r="E881" s="15"/>
    </row>
    <row r="882" ht="22.5" customHeight="1">
      <c r="A882" s="15"/>
      <c r="B882" s="15"/>
      <c r="C882" s="15"/>
      <c r="D882" s="15"/>
      <c r="E882" s="15"/>
    </row>
    <row r="883" ht="22.5" customHeight="1">
      <c r="A883" s="15"/>
      <c r="B883" s="15"/>
      <c r="C883" s="15"/>
      <c r="D883" s="15"/>
      <c r="E883" s="15"/>
    </row>
    <row r="884" ht="22.5" customHeight="1">
      <c r="A884" s="15"/>
      <c r="B884" s="15"/>
      <c r="C884" s="15"/>
      <c r="D884" s="15"/>
      <c r="E884" s="15"/>
    </row>
    <row r="885" ht="22.5" customHeight="1">
      <c r="A885" s="15"/>
      <c r="B885" s="15"/>
      <c r="C885" s="15"/>
      <c r="D885" s="15"/>
      <c r="E885" s="15"/>
    </row>
    <row r="886" ht="22.5" customHeight="1">
      <c r="A886" s="15"/>
      <c r="B886" s="15"/>
      <c r="C886" s="15"/>
      <c r="D886" s="15"/>
      <c r="E886" s="15"/>
    </row>
    <row r="887" ht="22.5" customHeight="1">
      <c r="A887" s="15"/>
      <c r="B887" s="15"/>
      <c r="C887" s="15"/>
      <c r="D887" s="15"/>
      <c r="E887" s="15"/>
    </row>
    <row r="888" ht="22.5" customHeight="1">
      <c r="A888" s="15"/>
      <c r="B888" s="15"/>
      <c r="C888" s="15"/>
      <c r="D888" s="15"/>
      <c r="E888" s="15"/>
    </row>
    <row r="889" ht="22.5" customHeight="1">
      <c r="A889" s="15"/>
      <c r="B889" s="15"/>
      <c r="C889" s="15"/>
      <c r="D889" s="15"/>
      <c r="E889" s="15"/>
    </row>
    <row r="890" ht="22.5" customHeight="1">
      <c r="A890" s="15"/>
      <c r="B890" s="15"/>
      <c r="C890" s="15"/>
      <c r="D890" s="15"/>
      <c r="E890" s="15"/>
    </row>
    <row r="891" ht="22.5" customHeight="1">
      <c r="A891" s="15"/>
      <c r="B891" s="15"/>
      <c r="C891" s="15"/>
      <c r="D891" s="15"/>
      <c r="E891" s="15"/>
    </row>
    <row r="892" ht="22.5" customHeight="1">
      <c r="A892" s="15"/>
      <c r="B892" s="15"/>
      <c r="C892" s="15"/>
      <c r="D892" s="15"/>
      <c r="E892" s="15"/>
    </row>
    <row r="893" ht="22.5" customHeight="1">
      <c r="A893" s="15"/>
      <c r="B893" s="15"/>
      <c r="C893" s="15"/>
      <c r="D893" s="15"/>
      <c r="E893" s="15"/>
    </row>
    <row r="894" ht="22.5" customHeight="1">
      <c r="A894" s="15"/>
      <c r="B894" s="15"/>
      <c r="C894" s="15"/>
      <c r="D894" s="15"/>
      <c r="E894" s="15"/>
    </row>
    <row r="895" ht="22.5" customHeight="1">
      <c r="A895" s="15"/>
      <c r="B895" s="15"/>
      <c r="C895" s="15"/>
      <c r="D895" s="15"/>
      <c r="E895" s="15"/>
    </row>
    <row r="896" ht="22.5" customHeight="1">
      <c r="A896" s="15"/>
      <c r="B896" s="15"/>
      <c r="C896" s="15"/>
      <c r="D896" s="15"/>
      <c r="E896" s="15"/>
    </row>
    <row r="897" ht="22.5" customHeight="1">
      <c r="A897" s="15"/>
      <c r="B897" s="15"/>
      <c r="C897" s="15"/>
      <c r="D897" s="15"/>
      <c r="E897" s="15"/>
    </row>
    <row r="898" ht="22.5" customHeight="1">
      <c r="A898" s="15"/>
      <c r="B898" s="15"/>
      <c r="C898" s="15"/>
      <c r="D898" s="15"/>
      <c r="E898" s="15"/>
    </row>
    <row r="899" ht="22.5" customHeight="1">
      <c r="A899" s="15"/>
      <c r="B899" s="15"/>
      <c r="C899" s="15"/>
      <c r="D899" s="15"/>
      <c r="E899" s="15"/>
    </row>
    <row r="900" ht="22.5" customHeight="1">
      <c r="A900" s="15"/>
      <c r="B900" s="15"/>
      <c r="C900" s="15"/>
      <c r="D900" s="15"/>
      <c r="E900" s="15"/>
    </row>
    <row r="901" ht="22.5" customHeight="1">
      <c r="A901" s="15"/>
      <c r="B901" s="15"/>
      <c r="C901" s="15"/>
      <c r="D901" s="15"/>
      <c r="E901" s="15"/>
    </row>
    <row r="902" ht="22.5" customHeight="1">
      <c r="A902" s="15"/>
      <c r="B902" s="15"/>
      <c r="C902" s="15"/>
      <c r="D902" s="15"/>
      <c r="E902" s="15"/>
    </row>
    <row r="903" ht="22.5" customHeight="1">
      <c r="A903" s="15"/>
      <c r="B903" s="15"/>
      <c r="C903" s="15"/>
      <c r="D903" s="15"/>
      <c r="E903" s="15"/>
    </row>
    <row r="904" ht="22.5" customHeight="1">
      <c r="A904" s="15"/>
      <c r="B904" s="15"/>
      <c r="C904" s="15"/>
      <c r="D904" s="15"/>
      <c r="E904" s="15"/>
    </row>
    <row r="905" ht="22.5" customHeight="1">
      <c r="A905" s="15"/>
      <c r="B905" s="15"/>
      <c r="C905" s="15"/>
      <c r="D905" s="15"/>
      <c r="E905" s="15"/>
    </row>
    <row r="906" ht="22.5" customHeight="1">
      <c r="A906" s="15"/>
      <c r="B906" s="15"/>
      <c r="C906" s="15"/>
      <c r="D906" s="15"/>
      <c r="E906" s="15"/>
    </row>
    <row r="907" ht="22.5" customHeight="1">
      <c r="A907" s="15"/>
      <c r="B907" s="15"/>
      <c r="C907" s="15"/>
      <c r="D907" s="15"/>
      <c r="E907" s="15"/>
    </row>
    <row r="908" ht="22.5" customHeight="1">
      <c r="A908" s="15"/>
      <c r="B908" s="15"/>
      <c r="C908" s="15"/>
      <c r="D908" s="15"/>
      <c r="E908" s="15"/>
    </row>
    <row r="909" ht="22.5" customHeight="1">
      <c r="A909" s="15"/>
      <c r="B909" s="15"/>
      <c r="C909" s="15"/>
      <c r="D909" s="15"/>
      <c r="E909" s="15"/>
    </row>
    <row r="910" ht="22.5" customHeight="1">
      <c r="A910" s="15"/>
      <c r="B910" s="15"/>
      <c r="C910" s="15"/>
      <c r="D910" s="15"/>
      <c r="E910" s="15"/>
    </row>
    <row r="911" ht="22.5" customHeight="1">
      <c r="A911" s="15"/>
      <c r="B911" s="15"/>
      <c r="C911" s="15"/>
      <c r="D911" s="15"/>
      <c r="E911" s="15"/>
    </row>
    <row r="912" ht="22.5" customHeight="1">
      <c r="A912" s="15"/>
      <c r="B912" s="15"/>
      <c r="C912" s="15"/>
      <c r="D912" s="15"/>
      <c r="E912" s="15"/>
    </row>
    <row r="913" ht="22.5" customHeight="1">
      <c r="A913" s="15"/>
      <c r="B913" s="15"/>
      <c r="C913" s="15"/>
      <c r="D913" s="15"/>
      <c r="E913" s="15"/>
    </row>
    <row r="914" ht="22.5" customHeight="1">
      <c r="A914" s="15"/>
      <c r="B914" s="15"/>
      <c r="C914" s="15"/>
      <c r="D914" s="15"/>
      <c r="E914" s="15"/>
    </row>
    <row r="915" ht="22.5" customHeight="1">
      <c r="A915" s="15"/>
      <c r="B915" s="15"/>
      <c r="C915" s="15"/>
      <c r="D915" s="15"/>
      <c r="E915" s="15"/>
    </row>
    <row r="916" ht="22.5" customHeight="1">
      <c r="A916" s="15"/>
      <c r="B916" s="15"/>
      <c r="C916" s="15"/>
      <c r="D916" s="15"/>
      <c r="E916" s="15"/>
    </row>
    <row r="917" ht="22.5" customHeight="1">
      <c r="A917" s="15"/>
      <c r="B917" s="15"/>
      <c r="C917" s="15"/>
      <c r="D917" s="15"/>
      <c r="E917" s="15"/>
    </row>
    <row r="918" ht="22.5" customHeight="1">
      <c r="A918" s="15"/>
      <c r="B918" s="15"/>
      <c r="C918" s="15"/>
      <c r="D918" s="15"/>
      <c r="E918" s="15"/>
    </row>
    <row r="919" ht="22.5" customHeight="1">
      <c r="A919" s="15"/>
      <c r="B919" s="15"/>
      <c r="C919" s="15"/>
      <c r="D919" s="15"/>
      <c r="E919" s="15"/>
    </row>
    <row r="920" ht="22.5" customHeight="1">
      <c r="A920" s="15"/>
      <c r="B920" s="15"/>
      <c r="C920" s="15"/>
      <c r="D920" s="15"/>
      <c r="E920" s="15"/>
    </row>
    <row r="921" ht="22.5" customHeight="1">
      <c r="A921" s="15"/>
      <c r="B921" s="15"/>
      <c r="C921" s="15"/>
      <c r="D921" s="15"/>
      <c r="E921" s="15"/>
    </row>
    <row r="922" ht="22.5" customHeight="1">
      <c r="A922" s="15"/>
      <c r="B922" s="15"/>
      <c r="C922" s="15"/>
      <c r="D922" s="15"/>
      <c r="E922" s="15"/>
    </row>
    <row r="923" ht="22.5" customHeight="1">
      <c r="A923" s="15"/>
      <c r="B923" s="15"/>
      <c r="C923" s="15"/>
      <c r="D923" s="15"/>
      <c r="E923" s="15"/>
    </row>
    <row r="924" ht="22.5" customHeight="1">
      <c r="A924" s="15"/>
      <c r="B924" s="15"/>
      <c r="C924" s="15"/>
      <c r="D924" s="15"/>
      <c r="E924" s="15"/>
    </row>
    <row r="925" ht="22.5" customHeight="1">
      <c r="A925" s="15"/>
      <c r="B925" s="15"/>
      <c r="C925" s="15"/>
      <c r="D925" s="15"/>
      <c r="E925" s="15"/>
    </row>
    <row r="926" ht="22.5" customHeight="1">
      <c r="A926" s="15"/>
      <c r="B926" s="15"/>
      <c r="C926" s="15"/>
      <c r="D926" s="15"/>
      <c r="E926" s="15"/>
    </row>
    <row r="927" ht="22.5" customHeight="1">
      <c r="A927" s="15"/>
      <c r="B927" s="15"/>
      <c r="C927" s="15"/>
      <c r="D927" s="15"/>
      <c r="E927" s="15"/>
    </row>
    <row r="928" ht="22.5" customHeight="1">
      <c r="A928" s="15"/>
      <c r="B928" s="15"/>
      <c r="C928" s="15"/>
      <c r="D928" s="15"/>
      <c r="E928" s="15"/>
    </row>
    <row r="929" ht="22.5" customHeight="1">
      <c r="A929" s="15"/>
      <c r="B929" s="15"/>
      <c r="C929" s="15"/>
      <c r="D929" s="15"/>
      <c r="E929" s="15"/>
    </row>
    <row r="930" ht="22.5" customHeight="1">
      <c r="A930" s="15"/>
      <c r="B930" s="15"/>
      <c r="C930" s="15"/>
      <c r="D930" s="15"/>
      <c r="E930" s="15"/>
    </row>
    <row r="931" ht="22.5" customHeight="1">
      <c r="A931" s="15"/>
      <c r="B931" s="15"/>
      <c r="C931" s="15"/>
      <c r="D931" s="15"/>
      <c r="E931" s="15"/>
    </row>
    <row r="932" ht="22.5" customHeight="1">
      <c r="A932" s="15"/>
      <c r="B932" s="15"/>
      <c r="C932" s="15"/>
      <c r="D932" s="15"/>
      <c r="E932" s="15"/>
    </row>
    <row r="933" ht="22.5" customHeight="1">
      <c r="A933" s="15"/>
      <c r="B933" s="15"/>
      <c r="C933" s="15"/>
      <c r="D933" s="15"/>
      <c r="E933" s="15"/>
    </row>
    <row r="934" ht="22.5" customHeight="1">
      <c r="A934" s="15"/>
      <c r="B934" s="15"/>
      <c r="C934" s="15"/>
      <c r="D934" s="15"/>
      <c r="E934" s="15"/>
    </row>
    <row r="935" ht="22.5" customHeight="1">
      <c r="A935" s="15"/>
      <c r="B935" s="15"/>
      <c r="C935" s="15"/>
      <c r="D935" s="15"/>
      <c r="E935" s="15"/>
    </row>
    <row r="936" ht="22.5" customHeight="1">
      <c r="A936" s="15"/>
      <c r="B936" s="15"/>
      <c r="C936" s="15"/>
      <c r="D936" s="15"/>
      <c r="E936" s="15"/>
    </row>
    <row r="937" ht="22.5" customHeight="1">
      <c r="A937" s="15"/>
      <c r="B937" s="15"/>
      <c r="C937" s="15"/>
      <c r="D937" s="15"/>
      <c r="E937" s="15"/>
    </row>
    <row r="938" ht="22.5" customHeight="1">
      <c r="A938" s="15"/>
      <c r="B938" s="15"/>
      <c r="C938" s="15"/>
      <c r="D938" s="15"/>
      <c r="E938" s="15"/>
    </row>
    <row r="939" ht="22.5" customHeight="1">
      <c r="A939" s="15"/>
      <c r="B939" s="15"/>
      <c r="C939" s="15"/>
      <c r="D939" s="15"/>
      <c r="E939" s="15"/>
    </row>
    <row r="940" ht="22.5" customHeight="1">
      <c r="A940" s="15"/>
      <c r="B940" s="15"/>
      <c r="C940" s="15"/>
      <c r="D940" s="15"/>
      <c r="E940" s="15"/>
    </row>
    <row r="941" ht="22.5" customHeight="1">
      <c r="A941" s="15"/>
      <c r="B941" s="15"/>
      <c r="C941" s="15"/>
      <c r="D941" s="15"/>
      <c r="E941" s="15"/>
    </row>
    <row r="942" ht="22.5" customHeight="1">
      <c r="A942" s="15"/>
      <c r="B942" s="15"/>
      <c r="C942" s="15"/>
      <c r="D942" s="15"/>
      <c r="E942" s="15"/>
    </row>
    <row r="943" ht="22.5" customHeight="1">
      <c r="A943" s="15"/>
      <c r="B943" s="15"/>
      <c r="C943" s="15"/>
      <c r="D943" s="15"/>
      <c r="E943" s="15"/>
    </row>
    <row r="944" ht="22.5" customHeight="1">
      <c r="A944" s="15"/>
      <c r="B944" s="15"/>
      <c r="C944" s="15"/>
      <c r="D944" s="15"/>
      <c r="E944" s="15"/>
    </row>
    <row r="945" ht="22.5" customHeight="1">
      <c r="A945" s="15"/>
      <c r="B945" s="15"/>
      <c r="C945" s="15"/>
      <c r="D945" s="15"/>
      <c r="E945" s="15"/>
    </row>
    <row r="946" ht="22.5" customHeight="1">
      <c r="A946" s="15"/>
      <c r="B946" s="15"/>
      <c r="C946" s="15"/>
      <c r="D946" s="15"/>
      <c r="E946" s="15"/>
    </row>
    <row r="947" ht="22.5" customHeight="1">
      <c r="A947" s="15"/>
      <c r="B947" s="15"/>
      <c r="C947" s="15"/>
      <c r="D947" s="15"/>
      <c r="E947" s="15"/>
    </row>
    <row r="948" ht="22.5" customHeight="1">
      <c r="A948" s="15"/>
      <c r="B948" s="15"/>
      <c r="C948" s="15"/>
      <c r="D948" s="15"/>
      <c r="E948" s="15"/>
    </row>
    <row r="949" ht="22.5" customHeight="1">
      <c r="A949" s="15"/>
      <c r="B949" s="15"/>
      <c r="C949" s="15"/>
      <c r="D949" s="15"/>
      <c r="E949" s="15"/>
    </row>
    <row r="950" ht="22.5" customHeight="1">
      <c r="A950" s="15"/>
      <c r="B950" s="15"/>
      <c r="C950" s="15"/>
      <c r="D950" s="15"/>
      <c r="E950" s="15"/>
    </row>
    <row r="951" ht="22.5" customHeight="1">
      <c r="A951" s="15"/>
      <c r="B951" s="15"/>
      <c r="C951" s="15"/>
      <c r="D951" s="15"/>
      <c r="E951" s="15"/>
    </row>
    <row r="952" ht="22.5" customHeight="1">
      <c r="A952" s="15"/>
      <c r="B952" s="15"/>
      <c r="C952" s="15"/>
      <c r="D952" s="15"/>
      <c r="E952" s="15"/>
    </row>
    <row r="953" ht="22.5" customHeight="1">
      <c r="A953" s="15"/>
      <c r="B953" s="15"/>
      <c r="C953" s="15"/>
      <c r="D953" s="15"/>
      <c r="E953" s="15"/>
    </row>
    <row r="954" ht="22.5" customHeight="1">
      <c r="A954" s="15"/>
      <c r="B954" s="15"/>
      <c r="C954" s="15"/>
      <c r="D954" s="15"/>
      <c r="E954" s="15"/>
    </row>
    <row r="955" ht="22.5" customHeight="1">
      <c r="A955" s="15"/>
      <c r="B955" s="15"/>
      <c r="C955" s="15"/>
      <c r="D955" s="15"/>
      <c r="E955" s="15"/>
    </row>
    <row r="956" ht="22.5" customHeight="1">
      <c r="A956" s="15"/>
      <c r="B956" s="15"/>
      <c r="C956" s="15"/>
      <c r="D956" s="15"/>
      <c r="E956" s="15"/>
    </row>
    <row r="957" ht="22.5" customHeight="1">
      <c r="A957" s="15"/>
      <c r="B957" s="15"/>
      <c r="C957" s="15"/>
      <c r="D957" s="15"/>
      <c r="E957" s="15"/>
    </row>
    <row r="958" ht="22.5" customHeight="1">
      <c r="A958" s="15"/>
      <c r="B958" s="15"/>
      <c r="C958" s="15"/>
      <c r="D958" s="15"/>
      <c r="E958" s="15"/>
    </row>
    <row r="959" ht="22.5" customHeight="1">
      <c r="A959" s="15"/>
      <c r="B959" s="15"/>
      <c r="C959" s="15"/>
      <c r="D959" s="15"/>
      <c r="E959" s="15"/>
    </row>
    <row r="960" ht="22.5" customHeight="1">
      <c r="A960" s="15"/>
      <c r="B960" s="15"/>
      <c r="C960" s="15"/>
      <c r="D960" s="15"/>
      <c r="E960" s="15"/>
    </row>
    <row r="961" ht="22.5" customHeight="1">
      <c r="A961" s="15"/>
      <c r="B961" s="15"/>
      <c r="C961" s="15"/>
      <c r="D961" s="15"/>
      <c r="E961" s="15"/>
    </row>
    <row r="962" ht="22.5" customHeight="1">
      <c r="A962" s="15"/>
      <c r="B962" s="15"/>
      <c r="C962" s="15"/>
      <c r="D962" s="15"/>
      <c r="E962" s="15"/>
    </row>
    <row r="963" ht="22.5" customHeight="1">
      <c r="A963" s="15"/>
      <c r="B963" s="15"/>
      <c r="C963" s="15"/>
      <c r="D963" s="15"/>
      <c r="E963" s="15"/>
    </row>
    <row r="964" ht="22.5" customHeight="1">
      <c r="A964" s="15"/>
      <c r="B964" s="15"/>
      <c r="C964" s="15"/>
      <c r="D964" s="15"/>
      <c r="E964" s="15"/>
    </row>
    <row r="965" ht="22.5" customHeight="1">
      <c r="A965" s="15"/>
      <c r="B965" s="15"/>
      <c r="C965" s="15"/>
      <c r="D965" s="15"/>
      <c r="E965" s="15"/>
    </row>
    <row r="966" ht="22.5" customHeight="1">
      <c r="A966" s="15"/>
      <c r="B966" s="15"/>
      <c r="C966" s="15"/>
      <c r="D966" s="15"/>
      <c r="E966" s="15"/>
    </row>
    <row r="967" ht="22.5" customHeight="1">
      <c r="A967" s="15"/>
      <c r="B967" s="15"/>
      <c r="C967" s="15"/>
      <c r="D967" s="15"/>
      <c r="E967" s="15"/>
    </row>
    <row r="968" ht="22.5" customHeight="1">
      <c r="A968" s="15"/>
      <c r="B968" s="15"/>
      <c r="C968" s="15"/>
      <c r="D968" s="15"/>
      <c r="E968" s="15"/>
    </row>
    <row r="969" ht="22.5" customHeight="1">
      <c r="A969" s="15"/>
      <c r="B969" s="15"/>
      <c r="C969" s="15"/>
      <c r="D969" s="15"/>
      <c r="E969" s="15"/>
    </row>
    <row r="970" ht="22.5" customHeight="1">
      <c r="A970" s="15"/>
      <c r="B970" s="15"/>
      <c r="C970" s="15"/>
      <c r="D970" s="15"/>
      <c r="E970" s="15"/>
    </row>
    <row r="971" ht="22.5" customHeight="1">
      <c r="A971" s="15"/>
      <c r="B971" s="15"/>
      <c r="C971" s="15"/>
      <c r="D971" s="15"/>
      <c r="E971" s="15"/>
    </row>
    <row r="972" ht="22.5" customHeight="1">
      <c r="A972" s="15"/>
      <c r="B972" s="15"/>
      <c r="C972" s="15"/>
      <c r="D972" s="15"/>
      <c r="E972" s="15"/>
    </row>
    <row r="973" ht="22.5" customHeight="1">
      <c r="A973" s="15"/>
      <c r="B973" s="15"/>
      <c r="C973" s="15"/>
      <c r="D973" s="15"/>
      <c r="E973" s="15"/>
    </row>
    <row r="974" ht="22.5" customHeight="1">
      <c r="A974" s="15"/>
      <c r="B974" s="15"/>
      <c r="C974" s="15"/>
      <c r="D974" s="15"/>
      <c r="E974" s="15"/>
    </row>
    <row r="975" ht="22.5" customHeight="1">
      <c r="A975" s="15"/>
      <c r="B975" s="15"/>
      <c r="C975" s="15"/>
      <c r="D975" s="15"/>
      <c r="E975" s="15"/>
    </row>
    <row r="976" ht="22.5" customHeight="1">
      <c r="A976" s="15"/>
      <c r="B976" s="15"/>
      <c r="C976" s="15"/>
      <c r="D976" s="15"/>
      <c r="E976" s="15"/>
    </row>
    <row r="977" ht="22.5" customHeight="1">
      <c r="A977" s="15"/>
      <c r="B977" s="15"/>
      <c r="C977" s="15"/>
      <c r="D977" s="15"/>
      <c r="E977" s="15"/>
    </row>
    <row r="978" ht="22.5" customHeight="1">
      <c r="A978" s="15"/>
      <c r="B978" s="15"/>
      <c r="C978" s="15"/>
      <c r="D978" s="15"/>
      <c r="E978" s="15"/>
    </row>
    <row r="979" ht="22.5" customHeight="1">
      <c r="A979" s="15"/>
      <c r="B979" s="15"/>
      <c r="C979" s="15"/>
      <c r="D979" s="15"/>
      <c r="E979" s="15"/>
    </row>
    <row r="980" ht="22.5" customHeight="1">
      <c r="A980" s="15"/>
      <c r="B980" s="15"/>
      <c r="C980" s="15"/>
      <c r="D980" s="15"/>
      <c r="E980" s="15"/>
    </row>
    <row r="981" ht="22.5" customHeight="1">
      <c r="A981" s="15"/>
      <c r="B981" s="15"/>
      <c r="C981" s="15"/>
      <c r="D981" s="15"/>
      <c r="E981" s="15"/>
    </row>
    <row r="982" ht="22.5" customHeight="1">
      <c r="A982" s="15"/>
      <c r="B982" s="15"/>
      <c r="C982" s="15"/>
      <c r="D982" s="15"/>
      <c r="E982" s="15"/>
    </row>
    <row r="983" ht="22.5" customHeight="1">
      <c r="A983" s="15"/>
      <c r="B983" s="15"/>
      <c r="C983" s="15"/>
      <c r="D983" s="15"/>
      <c r="E983" s="15"/>
    </row>
    <row r="984" ht="22.5" customHeight="1">
      <c r="A984" s="15"/>
      <c r="B984" s="15"/>
      <c r="C984" s="15"/>
      <c r="D984" s="15"/>
      <c r="E984" s="15"/>
    </row>
    <row r="985" ht="22.5" customHeight="1">
      <c r="A985" s="15"/>
      <c r="B985" s="15"/>
      <c r="C985" s="15"/>
      <c r="D985" s="15"/>
      <c r="E985" s="15"/>
    </row>
    <row r="986" ht="22.5" customHeight="1">
      <c r="A986" s="15"/>
      <c r="B986" s="15"/>
      <c r="C986" s="15"/>
      <c r="D986" s="15"/>
      <c r="E986" s="15"/>
    </row>
    <row r="987" ht="22.5" customHeight="1">
      <c r="A987" s="15"/>
      <c r="B987" s="15"/>
      <c r="C987" s="15"/>
      <c r="D987" s="15"/>
      <c r="E987" s="15"/>
    </row>
    <row r="988" ht="22.5" customHeight="1">
      <c r="A988" s="15"/>
      <c r="B988" s="15"/>
      <c r="C988" s="15"/>
      <c r="D988" s="15"/>
      <c r="E988" s="15"/>
    </row>
    <row r="989" ht="22.5" customHeight="1">
      <c r="A989" s="15"/>
      <c r="B989" s="15"/>
      <c r="C989" s="15"/>
      <c r="D989" s="15"/>
      <c r="E989" s="15"/>
    </row>
    <row r="990" ht="22.5" customHeight="1">
      <c r="A990" s="15"/>
      <c r="B990" s="15"/>
      <c r="C990" s="15"/>
      <c r="D990" s="15"/>
      <c r="E990" s="15"/>
    </row>
    <row r="991" ht="22.5" customHeight="1">
      <c r="A991" s="15"/>
      <c r="B991" s="15"/>
      <c r="C991" s="15"/>
      <c r="D991" s="15"/>
      <c r="E991" s="15"/>
    </row>
    <row r="992" ht="22.5" customHeight="1">
      <c r="A992" s="15"/>
      <c r="B992" s="15"/>
      <c r="C992" s="15"/>
      <c r="D992" s="15"/>
      <c r="E992" s="15"/>
    </row>
    <row r="993" ht="22.5" customHeight="1">
      <c r="A993" s="15"/>
      <c r="B993" s="15"/>
      <c r="C993" s="15"/>
      <c r="D993" s="15"/>
      <c r="E993" s="15"/>
    </row>
    <row r="994" ht="22.5" customHeight="1">
      <c r="A994" s="15"/>
      <c r="B994" s="15"/>
      <c r="C994" s="15"/>
      <c r="D994" s="15"/>
      <c r="E994" s="15"/>
    </row>
    <row r="995" ht="22.5" customHeight="1">
      <c r="A995" s="15"/>
      <c r="B995" s="15"/>
      <c r="C995" s="15"/>
      <c r="D995" s="15"/>
      <c r="E995" s="15"/>
    </row>
    <row r="996" ht="22.5" customHeight="1">
      <c r="A996" s="15"/>
      <c r="B996" s="15"/>
      <c r="C996" s="15"/>
      <c r="D996" s="15"/>
      <c r="E996" s="15"/>
    </row>
    <row r="997" ht="22.5" customHeight="1">
      <c r="A997" s="15"/>
      <c r="B997" s="15"/>
      <c r="C997" s="15"/>
      <c r="D997" s="15"/>
      <c r="E997" s="15"/>
    </row>
    <row r="998" ht="22.5" customHeight="1">
      <c r="A998" s="15"/>
      <c r="B998" s="15"/>
      <c r="C998" s="15"/>
      <c r="D998" s="15"/>
      <c r="E998" s="15"/>
    </row>
    <row r="999" ht="22.5" customHeight="1">
      <c r="A999" s="15"/>
      <c r="B999" s="15"/>
      <c r="C999" s="15"/>
      <c r="D999" s="15"/>
      <c r="E999" s="15"/>
    </row>
    <row r="1000" ht="22.5" customHeight="1">
      <c r="A1000" s="15"/>
      <c r="B1000" s="15"/>
      <c r="C1000" s="15"/>
      <c r="D1000" s="15"/>
      <c r="E1000" s="15"/>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37.63"/>
    <col customWidth="1" min="3" max="4" width="29.88"/>
    <col customWidth="1" min="5" max="5" width="37.63"/>
    <col customWidth="1" min="7" max="7" width="10.25"/>
    <col customWidth="1" min="8" max="8" width="20.0"/>
    <col customWidth="1" min="9" max="9" width="25.63"/>
    <col customWidth="1" min="10" max="10" width="26.88"/>
    <col customWidth="1" min="11" max="11" width="23.75"/>
  </cols>
  <sheetData>
    <row r="1" ht="22.5" customHeight="1">
      <c r="A1" s="11" t="s">
        <v>0</v>
      </c>
      <c r="B1" s="11" t="s">
        <v>1</v>
      </c>
      <c r="C1" s="12" t="s">
        <v>2</v>
      </c>
      <c r="D1" s="11" t="s">
        <v>3</v>
      </c>
      <c r="E1" s="11" t="s">
        <v>4</v>
      </c>
      <c r="G1" s="3" t="s">
        <v>5</v>
      </c>
      <c r="H1" s="4" t="s">
        <v>6</v>
      </c>
      <c r="I1" s="4" t="s">
        <v>7</v>
      </c>
      <c r="J1" s="4" t="s">
        <v>8</v>
      </c>
      <c r="K1" s="5" t="s">
        <v>9</v>
      </c>
    </row>
    <row r="2" ht="22.5" customHeight="1">
      <c r="A2" s="13">
        <v>1.0</v>
      </c>
      <c r="B2" s="14" t="s">
        <v>2973</v>
      </c>
      <c r="C2" s="14" t="s">
        <v>2974</v>
      </c>
      <c r="D2" s="14" t="s">
        <v>2975</v>
      </c>
      <c r="E2" s="14" t="s">
        <v>2976</v>
      </c>
      <c r="G2" s="8" t="str">
        <f>IFERROR(__xludf.DUMMYFUNCTION(" GOOGLETRANSLATE(A2, ""en"", ""am"")"),"1")</f>
        <v>1</v>
      </c>
      <c r="H2" s="8" t="str">
        <f>IFERROR(__xludf.DUMMYFUNCTION(" GOOGLETRANSLATE(B2, ""en"", ""am"")"),"የአንድ ገበታ ዋና ዓላማ ምንድን ነው?")</f>
        <v>የአንድ ገበታ ዋና ዓላማ ምንድን ነው?</v>
      </c>
      <c r="I2" s="8" t="str">
        <f>IFERROR(__xludf.DUMMYFUNCTION(" GOOGLETRANSLATE(C2, ""en"", ""am"")"),"ሀ. የተቃዋሚውን ዘር ለመያዝ ለ. ሁሉንም ጉድጓዶች በዘሮች መሙላት ሐ. በመጀመሪያ ጉድጓዶችዎን ባዶ ማድረግ መ. የተቃዋሚዎችን እንቅስቃሴ ለመጨፍለቅ")</f>
        <v>ሀ. የተቃዋሚውን ዘር ለመያዝ ለ. ሁሉንም ጉድጓዶች በዘሮች መሙላት ሐ. በመጀመሪያ ጉድጓዶችዎን ባዶ ማድረግ መ. የተቃዋሚዎችን እንቅስቃሴ ለመጨፍለቅ</v>
      </c>
      <c r="J2" s="8" t="str">
        <f>IFERROR(__xludf.DUMMYFUNCTION(" GOOGLETRANSLATE(D2, ""en"", ""am"")"),"የተቃዋሚውን ዘሮች ለመያዝ")</f>
        <v>የተቃዋሚውን ዘሮች ለመያዝ</v>
      </c>
      <c r="K2" s="8" t="str">
        <f>IFERROR(__xludf.DUMMYFUNCTION(" GOOGLETRANSLATE(E2, ""en"", ""am"")"),"ግቡ ከተቃዋሚው የበለጠ ብዙ ዘሮችን ለመያዝ ነው.")</f>
        <v>ግቡ ከተቃዋሚው የበለጠ ብዙ ዘሮችን ለመያዝ ነው.</v>
      </c>
    </row>
    <row r="3" ht="22.5" customHeight="1">
      <c r="A3" s="13">
        <v>2.0</v>
      </c>
      <c r="B3" s="14" t="s">
        <v>2977</v>
      </c>
      <c r="C3" s="14" t="s">
        <v>2978</v>
      </c>
      <c r="D3" s="14" t="s">
        <v>2979</v>
      </c>
      <c r="E3" s="14" t="s">
        <v>2980</v>
      </c>
      <c r="G3" s="8" t="str">
        <f>IFERROR(__xludf.DUMMYFUNCTION(" GOOGLETRANSLATE(A3, ""en"", ""am"")"),"2")</f>
        <v>2</v>
      </c>
      <c r="H3" s="8" t="str">
        <f>IFERROR(__xludf.DUMMYFUNCTION(" GOOGLETRANSLATE(B3, ""en"", ""am"")"),"በገበታው ውስጥ በእያንዳንዱ ረድፍ መጨረሻ ላይ ያለው ትልቅ ጉድጓድ ስም ማን ይባላል?")</f>
        <v>በገበታው ውስጥ በእያንዳንዱ ረድፍ መጨረሻ ላይ ያለው ትልቅ ጉድጓድ ስም ማን ይባላል?</v>
      </c>
      <c r="I3" s="8" t="str">
        <f>IFERROR(__xludf.DUMMYFUNCTION(" GOOGLETRANSLATE(C3, ""en"", ""am"")"),"A. Warehouse B. House hole C. D. Depot ከሌለዎት")</f>
        <v>A. Warehouse B. House hole C. D. Depot ከሌለዎት</v>
      </c>
      <c r="J3" s="8" t="str">
        <f>IFERROR(__xludf.DUMMYFUNCTION(" GOOGLETRANSLATE(D3, ""en"", ""am"")"),"መጋዘን")</f>
        <v>መጋዘን</v>
      </c>
      <c r="K3" s="8" t="str">
        <f>IFERROR(__xludf.DUMMYFUNCTION(" GOOGLETRANSLATE(E3, ""en"", ""am"")"),"ማከማቻ ተብሎ የሚጠራው ትልቅ ጉድጓድ የተያዙ ዘሮችን ይሰበስባል.")</f>
        <v>ማከማቻ ተብሎ የሚጠራው ትልቅ ጉድጓድ የተያዙ ዘሮችን ይሰበስባል.</v>
      </c>
    </row>
    <row r="4" ht="22.5" customHeight="1">
      <c r="A4" s="13">
        <v>3.0</v>
      </c>
      <c r="B4" s="14" t="s">
        <v>2981</v>
      </c>
      <c r="C4" s="14" t="s">
        <v>2982</v>
      </c>
      <c r="D4" s="14" t="s">
        <v>2983</v>
      </c>
      <c r="E4" s="14" t="s">
        <v>2984</v>
      </c>
      <c r="G4" s="8" t="str">
        <f>IFERROR(__xludf.DUMMYFUNCTION(" GOOGLETRANSLATE(A4, ""en"", ""am"")"),"3")</f>
        <v>3</v>
      </c>
      <c r="H4" s="8" t="str">
        <f>IFERROR(__xludf.DUMMYFUNCTION(" GOOGLETRANSLATE(B4, ""en"", ""am"")"),"የተጫዋቹ ዘር በጎናቸው ባዶ ጉድጓድ ውስጥ ሲያርፍ ምን ይሆናል?")</f>
        <v>የተጫዋቹ ዘር በጎናቸው ባዶ ጉድጓድ ውስጥ ሲያርፍ ምን ይሆናል?</v>
      </c>
      <c r="I4" s="8" t="str">
        <f>IFERROR(__xludf.DUMMYFUNCTION(" GOOGLETRANSLATE(C4, ""en"", ""am"")"),"ሀ. መዞሩ ያበቃል። ለ. ተጫዋቹ ዘሩን ይወስዳል. ሐ. ተጫዋቹ ሌላ ዙር ያገኛል። መ. ዘሮቹ ጠፍተዋል.")</f>
        <v>ሀ. መዞሩ ያበቃል። ለ. ተጫዋቹ ዘሩን ይወስዳል. ሐ. ተጫዋቹ ሌላ ዙር ያገኛል። መ. ዘሮቹ ጠፍተዋል.</v>
      </c>
      <c r="J4" s="8" t="str">
        <f>IFERROR(__xludf.DUMMYFUNCTION(" GOOGLETRANSLATE(D4, ""en"", ""am"")"),"ተጫዋቹ ዘሩን ይወስዳል.")</f>
        <v>ተጫዋቹ ዘሩን ይወስዳል.</v>
      </c>
      <c r="K4" s="8" t="str">
        <f>IFERROR(__xludf.DUMMYFUNCTION(" GOOGLETRANSLATE(E4, ""en"", ""am"")"),"አንድ ዘር ባዶ ጉድጓድ ውስጥ ካረፈ, ተጫዋቹ በተቃራኒው በኩል ዘሮችን ያነሳል.")</f>
        <v>አንድ ዘር ባዶ ጉድጓድ ውስጥ ካረፈ, ተጫዋቹ በተቃራኒው በኩል ዘሮችን ያነሳል.</v>
      </c>
    </row>
    <row r="5" ht="22.5" customHeight="1">
      <c r="A5" s="13">
        <v>4.0</v>
      </c>
      <c r="B5" s="14" t="s">
        <v>2985</v>
      </c>
      <c r="C5" s="14" t="s">
        <v>2986</v>
      </c>
      <c r="D5" s="14" t="s">
        <v>2987</v>
      </c>
      <c r="E5" s="14" t="s">
        <v>2988</v>
      </c>
      <c r="G5" s="8" t="str">
        <f>IFERROR(__xludf.DUMMYFUNCTION(" GOOGLETRANSLATE(A5, ""en"", ""am"")"),"4")</f>
        <v>4</v>
      </c>
      <c r="H5" s="8" t="str">
        <f>IFERROR(__xludf.DUMMYFUNCTION(" GOOGLETRANSLATE(B5, ""en"", ""am"")"),"አንድ ተጫዋች በጠረጴዛው ላይ እንዴት ያሸንፋል?")</f>
        <v>አንድ ተጫዋች በጠረጴዛው ላይ እንዴት ያሸንፋል?</v>
      </c>
      <c r="I5" s="8" t="str">
        <f>IFERROR(__xludf.DUMMYFUNCTION(" GOOGLETRANSLATE(C5, ""en"", ""am"")"),"ሀ. ብዙ ዘሮች ስላሉ ለ. ሁሉንም ጉድጓዶች ባዶ ማድረግ ሐ. እንቅስቃሴዎችን በመዝጋት መ. 20 ዘሮችን በመሰብሰብ.")</f>
        <v>ሀ. ብዙ ዘሮች ስላሉ ለ. ሁሉንም ጉድጓዶች ባዶ ማድረግ ሐ. እንቅስቃሴዎችን በመዝጋት መ. 20 ዘሮችን በመሰብሰብ.</v>
      </c>
      <c r="J5" s="8" t="str">
        <f>IFERROR(__xludf.DUMMYFUNCTION(" GOOGLETRANSLATE(D5, ""en"", ""am"")"),"ምክንያቱም ብዙ ዘሮች አሉ")</f>
        <v>ምክንያቱም ብዙ ዘሮች አሉ</v>
      </c>
      <c r="K5" s="8" t="str">
        <f>IFERROR(__xludf.DUMMYFUNCTION(" GOOGLETRANSLATE(E5, ""en"", ""am"")"),"አሸናፊው ብዙ ዘሮች ባለው ማን ይወሰናል.")</f>
        <v>አሸናፊው ብዙ ዘሮች ባለው ማን ይወሰናል.</v>
      </c>
    </row>
    <row r="6" ht="22.5" customHeight="1">
      <c r="A6" s="13">
        <v>5.0</v>
      </c>
      <c r="B6" s="14" t="s">
        <v>2989</v>
      </c>
      <c r="C6" s="14" t="s">
        <v>2990</v>
      </c>
      <c r="D6" s="14" t="s">
        <v>1532</v>
      </c>
      <c r="E6" s="14" t="s">
        <v>2991</v>
      </c>
      <c r="G6" s="8" t="str">
        <f>IFERROR(__xludf.DUMMYFUNCTION(" GOOGLETRANSLATE(A6, ""en"", ""am"")"),"5")</f>
        <v>5</v>
      </c>
      <c r="H6" s="8" t="str">
        <f>IFERROR(__xludf.DUMMYFUNCTION(" GOOGLETRANSLATE(B6, ""en"", ""am"")"),"ሁለቱም ተጫዋቾች መጨረሻ ላይ አንድ አይነት የዘር ቁጥር ካላቸው ውጤቱ ምንድነው?")</f>
        <v>ሁለቱም ተጫዋቾች መጨረሻ ላይ አንድ አይነት የዘር ቁጥር ካላቸው ውጤቱ ምንድነው?</v>
      </c>
      <c r="I6" s="8" t="str">
        <f>IFERROR(__xludf.DUMMYFUNCTION(" GOOGLETRANSLATE(C6, ""en"", ""am"")"),"ሀ. ስእል ቢ. ድጋሚ ጨዋታ ሐ. ሁለቱም አሸንፈዋል። D. ጨዋታው ቀጥሏል።")</f>
        <v>ሀ. ስእል ቢ. ድጋሚ ጨዋታ ሐ. ሁለቱም አሸንፈዋል። D. ጨዋታው ቀጥሏል።</v>
      </c>
      <c r="J6" s="8" t="str">
        <f>IFERROR(__xludf.DUMMYFUNCTION(" GOOGLETRANSLATE(D6, ""en"", ""am"")"),"ይሳሉ")</f>
        <v>ይሳሉ</v>
      </c>
      <c r="K6" s="8" t="str">
        <f>IFERROR(__xludf.DUMMYFUNCTION(" GOOGLETRANSLATE(E6, ""en"", ""am"")"),"ሁለቱም ተጫዋቾች አንድ አይነት ዘር ካላቸው ጨዋታው አቻ ውጤት ያስገኛል።")</f>
        <v>ሁለቱም ተጫዋቾች አንድ አይነት ዘር ካላቸው ጨዋታው አቻ ውጤት ያስገኛል።</v>
      </c>
    </row>
    <row r="7" ht="22.5" customHeight="1">
      <c r="A7" s="13">
        <v>6.0</v>
      </c>
      <c r="B7" s="14" t="s">
        <v>2992</v>
      </c>
      <c r="C7" s="14" t="s">
        <v>2993</v>
      </c>
      <c r="D7" s="14" t="s">
        <v>2994</v>
      </c>
      <c r="E7" s="14" t="s">
        <v>2995</v>
      </c>
      <c r="G7" s="8" t="str">
        <f>IFERROR(__xludf.DUMMYFUNCTION(" GOOGLETRANSLATE(A7, ""en"", ""am"")"),"6")</f>
        <v>6</v>
      </c>
      <c r="H7" s="8" t="str">
        <f>IFERROR(__xludf.DUMMYFUNCTION(" GOOGLETRANSLATE(B7, ""en"", ""am"")"),"በቻርት አወጣጥ ውስጥ የተለመደ ስልት ምንድን ነው?")</f>
        <v>በቻርት አወጣጥ ውስጥ የተለመደ ስልት ምንድን ነው?</v>
      </c>
      <c r="I7" s="8" t="str">
        <f>IFERROR(__xludf.DUMMYFUNCTION(" GOOGLETRANSLATE(C7, ""en"", ""am"")"),"ሀ. ተቃዋሚውን ማገድ ለ. የተቃዋሚውን ዘር መስረቅ ሐ. በጥንቃቄ መዝራት D. ዙሪያውን መዝለል")</f>
        <v>ሀ. ተቃዋሚውን ማገድ ለ. የተቃዋሚውን ዘር መስረቅ ሐ. በጥንቃቄ መዝራት D. ዙሪያውን መዝለል</v>
      </c>
      <c r="J7" s="8" t="str">
        <f>IFERROR(__xludf.DUMMYFUNCTION(" GOOGLETRANSLATE(D7, ""en"", ""am"")"),"በጥንቃቄ መዝራት")</f>
        <v>በጥንቃቄ መዝራት</v>
      </c>
      <c r="K7" s="8" t="str">
        <f>IFERROR(__xludf.DUMMYFUNCTION(" GOOGLETRANSLATE(E7, ""en"", ""am"")"),"ተጨዋቾች ቀረጻዎችን ከፍ ለማድረግ ስልታዊ ዘርን ይጠቀማሉ።")</f>
        <v>ተጨዋቾች ቀረጻዎችን ከፍ ለማድረግ ስልታዊ ዘርን ይጠቀማሉ።</v>
      </c>
    </row>
    <row r="8" ht="22.5" customHeight="1">
      <c r="A8" s="13">
        <v>7.0</v>
      </c>
      <c r="B8" s="14" t="s">
        <v>2996</v>
      </c>
      <c r="C8" s="14" t="s">
        <v>2997</v>
      </c>
      <c r="D8" s="14" t="s">
        <v>2998</v>
      </c>
      <c r="E8" s="14" t="s">
        <v>2999</v>
      </c>
      <c r="G8" s="8" t="str">
        <f>IFERROR(__xludf.DUMMYFUNCTION(" GOOGLETRANSLATE(A8, ""en"", ""am"")"),"7")</f>
        <v>7</v>
      </c>
      <c r="H8" s="8" t="str">
        <f>IFERROR(__xludf.DUMMYFUNCTION(" GOOGLETRANSLATE(B8, ""en"", ""am"")"),"ሰንጠረዡ በየትኞቹ ክልሎች ታዋቂ ነው?")</f>
        <v>ሰንጠረዡ በየትኞቹ ክልሎች ታዋቂ ነው?</v>
      </c>
      <c r="I8" s="8" t="str">
        <f>IFERROR(__xludf.DUMMYFUNCTION(" GOOGLETRANSLATE(C8, ""en"", ""am"")"),"አ.ምስራቅ አፍሪካ B. ደቡብ እስያ ሐ. ደቡብ አሜሪካ D. ምዕራባዊ አውሮፓ")</f>
        <v>አ.ምስራቅ አፍሪካ B. ደቡብ እስያ ሐ. ደቡብ አሜሪካ D. ምዕራባዊ አውሮፓ</v>
      </c>
      <c r="J8" s="8" t="str">
        <f>IFERROR(__xludf.DUMMYFUNCTION(" GOOGLETRANSLATE(D8, ""en"", ""am"")"),"ምስራቅ አፍሪካ")</f>
        <v>ምስራቅ አፍሪካ</v>
      </c>
      <c r="K8" s="8" t="str">
        <f>IFERROR(__xludf.DUMMYFUNCTION(" GOOGLETRANSLATE(E8, ""en"", ""am"")"),"ታባት በኢትዮጵያ እና በሌሎች የምስራቅ አፍሪካ ክፍሎች ታዋቂ ነው።")</f>
        <v>ታባት በኢትዮጵያ እና በሌሎች የምስራቅ አፍሪካ ክፍሎች ታዋቂ ነው።</v>
      </c>
    </row>
    <row r="9" ht="22.5" customHeight="1">
      <c r="A9" s="13">
        <v>8.0</v>
      </c>
      <c r="B9" s="14" t="s">
        <v>3000</v>
      </c>
      <c r="C9" s="14" t="s">
        <v>3001</v>
      </c>
      <c r="D9" s="14" t="s">
        <v>3002</v>
      </c>
      <c r="E9" s="14" t="s">
        <v>3003</v>
      </c>
      <c r="G9" s="8" t="str">
        <f>IFERROR(__xludf.DUMMYFUNCTION(" GOOGLETRANSLATE(A9, ""en"", ""am"")"),"8")</f>
        <v>8</v>
      </c>
      <c r="H9" s="8" t="str">
        <f>IFERROR(__xludf.DUMMYFUNCTION(" GOOGLETRANSLATE(B9, ""en"", ""am"")"),"በአንድ በኩል ያሉት ጉድጓዶች ባዶ ሲሆኑ ምን ይሆናል?")</f>
        <v>በአንድ በኩል ያሉት ጉድጓዶች ባዶ ሲሆኑ ምን ይሆናል?</v>
      </c>
      <c r="I9" s="8" t="str">
        <f>IFERROR(__xludf.DUMMYFUNCTION(" GOOGLETRANSLATE(C9, ""en"", ""am"")"),"ሀ. ጨዋታው ያበቃል። ለ. ተቃዋሚው ያሸንፋል። C. ጨዋታው ቀጥሏል። D. ተጫዋች እንደገና ይጀምራል")</f>
        <v>ሀ. ጨዋታው ያበቃል። ለ. ተቃዋሚው ያሸንፋል። C. ጨዋታው ቀጥሏል። D. ተጫዋች እንደገና ይጀምራል</v>
      </c>
      <c r="J9" s="8" t="str">
        <f>IFERROR(__xludf.DUMMYFUNCTION(" GOOGLETRANSLATE(D9, ""en"", ""am"")"),"ጨዋታው ያበቃል።")</f>
        <v>ጨዋታው ያበቃል።</v>
      </c>
      <c r="K9" s="8" t="str">
        <f>IFERROR(__xludf.DUMMYFUNCTION(" GOOGLETRANSLATE(E9, ""en"", ""am"")"),"ጨዋታው የሚያበቃው አንዱ ወገን ምንም ዘር ሲቀር ነው።")</f>
        <v>ጨዋታው የሚያበቃው አንዱ ወገን ምንም ዘር ሲቀር ነው።</v>
      </c>
    </row>
    <row r="10" ht="22.5" customHeight="1">
      <c r="A10" s="13">
        <v>9.0</v>
      </c>
      <c r="B10" s="14" t="s">
        <v>3004</v>
      </c>
      <c r="C10" s="14" t="s">
        <v>3005</v>
      </c>
      <c r="D10" s="14" t="s">
        <v>3006</v>
      </c>
      <c r="E10" s="14" t="s">
        <v>3007</v>
      </c>
      <c r="G10" s="8" t="str">
        <f>IFERROR(__xludf.DUMMYFUNCTION(" GOOGLETRANSLATE(A10, ""en"", ""am"")"),"9")</f>
        <v>9</v>
      </c>
      <c r="H10" s="8" t="str">
        <f>IFERROR(__xludf.DUMMYFUNCTION(" GOOGLETRANSLATE(B10, ""en"", ""am"")"),"በሰንጠረዡ ውስጥ ዘሮችን የማከፋፈል ተግባር ምን ይባላል?")</f>
        <v>በሰንጠረዡ ውስጥ ዘሮችን የማከፋፈል ተግባር ምን ይባላል?</v>
      </c>
      <c r="I10" s="8" t="str">
        <f>IFERROR(__xludf.DUMMYFUNCTION(" GOOGLETRANSLATE(C10, ""en"", ""am"")"),"A. Sow B. መበታተን ሐ. መትከል መ. መሰብሰብ")</f>
        <v>A. Sow B. መበታተን ሐ. መትከል መ. መሰብሰብ</v>
      </c>
      <c r="J10" s="8" t="str">
        <f>IFERROR(__xludf.DUMMYFUNCTION(" GOOGLETRANSLATE(D10, ""en"", ""am"")"),"መዝራት")</f>
        <v>መዝራት</v>
      </c>
      <c r="K10" s="8" t="str">
        <f>IFERROR(__xludf.DUMMYFUNCTION(" GOOGLETRANSLATE(E10, ""en"", ""am"")"),"መዝራት በቀዳዳዎች ውስጥ ዘሮችን ማሰራጨትን ያመለክታል.")</f>
        <v>መዝራት በቀዳዳዎች ውስጥ ዘሮችን ማሰራጨትን ያመለክታል.</v>
      </c>
    </row>
    <row r="11" ht="22.5" customHeight="1">
      <c r="A11" s="13">
        <v>10.0</v>
      </c>
      <c r="B11" s="14" t="s">
        <v>3008</v>
      </c>
      <c r="C11" s="14" t="s">
        <v>3009</v>
      </c>
      <c r="D11" s="14" t="s">
        <v>1437</v>
      </c>
      <c r="E11" s="14" t="s">
        <v>3010</v>
      </c>
      <c r="G11" s="8" t="str">
        <f>IFERROR(__xludf.DUMMYFUNCTION(" GOOGLETRANSLATE(A11, ""en"", ""am"")"),"10")</f>
        <v>10</v>
      </c>
      <c r="H11" s="8" t="str">
        <f>IFERROR(__xludf.DUMMYFUNCTION(" GOOGLETRANSLATE(B11, ""en"", ""am"")"),"ተጫዋቹ ዘሮችን ከራሳቸው ጎን መያዝ ይችላል?")</f>
        <v>ተጫዋቹ ዘሮችን ከራሳቸው ጎን መያዝ ይችላል?</v>
      </c>
      <c r="I11" s="8" t="str">
        <f>IFERROR(__xludf.DUMMYFUNCTION(" GOOGLETRANSLATE(C11, ""en"", ""am"")"),"A. አይ ለ. አዎ ሐ. መጀመሪያ ላይ ብቻ መ. መጨረሻ ላይ ብቻ")</f>
        <v>A. አይ ለ. አዎ ሐ. መጀመሪያ ላይ ብቻ መ. መጨረሻ ላይ ብቻ</v>
      </c>
      <c r="J11" s="8" t="str">
        <f>IFERROR(__xludf.DUMMYFUNCTION(" GOOGLETRANSLATE(D11, ""en"", ""am"")"),"አይ")</f>
        <v>አይ</v>
      </c>
      <c r="K11" s="8" t="str">
        <f>IFERROR(__xludf.DUMMYFUNCTION(" GOOGLETRANSLATE(E11, ""en"", ""am"")"),"ከተቃራኒው ጎን ብቻ ሊነሳ ይችላል.")</f>
        <v>ከተቃራኒው ጎን ብቻ ሊነሳ ይችላል.</v>
      </c>
    </row>
    <row r="12" ht="22.5" customHeight="1">
      <c r="A12" s="13">
        <v>11.0</v>
      </c>
      <c r="B12" s="14" t="s">
        <v>3011</v>
      </c>
      <c r="C12" s="14" t="s">
        <v>3012</v>
      </c>
      <c r="D12" s="14" t="s">
        <v>3013</v>
      </c>
      <c r="E12" s="14" t="s">
        <v>3014</v>
      </c>
      <c r="G12" s="8" t="str">
        <f>IFERROR(__xludf.DUMMYFUNCTION(" GOOGLETRANSLATE(A12, ""en"", ""am"")"),"11")</f>
        <v>11</v>
      </c>
      <c r="H12" s="8" t="str">
        <f>IFERROR(__xludf.DUMMYFUNCTION(" GOOGLETRANSLATE(B12, ""en"", ""am"")"),"አንድ ዘር በተጫዋቹ ማከማቻ ውስጥ ቢወድቅ ምን ይከሰታል?")</f>
        <v>አንድ ዘር በተጫዋቹ ማከማቻ ውስጥ ቢወድቅ ምን ይከሰታል?</v>
      </c>
      <c r="I12" s="8" t="str">
        <f>IFERROR(__xludf.DUMMYFUNCTION(" GOOGLETRANSLATE(C12, ""en"", ""am"")"),"ሀ. ተጫዋቹ ሌላ ዙር ለ. ተጫዋቹ ወዲያውኑ ያሸንፋል። ሐ. ተቃዋሚው ተራ ያገኛል። መ. ዘሮች ይወገዳሉ.")</f>
        <v>ሀ. ተጫዋቹ ሌላ ዙር ለ. ተጫዋቹ ወዲያውኑ ያሸንፋል። ሐ. ተቃዋሚው ተራ ያገኛል። መ. ዘሮች ይወገዳሉ.</v>
      </c>
      <c r="J12" s="8" t="str">
        <f>IFERROR(__xludf.DUMMYFUNCTION(" GOOGLETRANSLATE(D12, ""en"", ""am"")"),"ተጫዋች ሌላ ዙር ያገኛል")</f>
        <v>ተጫዋች ሌላ ዙር ያገኛል</v>
      </c>
      <c r="K12" s="8" t="str">
        <f>IFERROR(__xludf.DUMMYFUNCTION(" GOOGLETRANSLATE(E12, ""en"", ""am"")"),"በመጋዘን ውስጥ ማረፊያ ተጨማሪ ማዞር ያስችላል.")</f>
        <v>በመጋዘን ውስጥ ማረፊያ ተጨማሪ ማዞር ያስችላል.</v>
      </c>
    </row>
    <row r="13" ht="22.5" customHeight="1">
      <c r="A13" s="13">
        <v>12.0</v>
      </c>
      <c r="B13" s="14" t="s">
        <v>3015</v>
      </c>
      <c r="C13" s="14" t="s">
        <v>3016</v>
      </c>
      <c r="D13" s="14" t="s">
        <v>3017</v>
      </c>
      <c r="E13" s="14" t="s">
        <v>3018</v>
      </c>
      <c r="G13" s="8" t="str">
        <f>IFERROR(__xludf.DUMMYFUNCTION(" GOOGLETRANSLATE(A13, ""en"", ""am"")"),"12")</f>
        <v>12</v>
      </c>
      <c r="H13" s="8" t="str">
        <f>IFERROR(__xludf.DUMMYFUNCTION(" GOOGLETRANSLATE(B13, ""en"", ""am"")"),"ለቻልክቦርዶች ባህላዊው ቁሳቁስ ምንድነው?")</f>
        <v>ለቻልክቦርዶች ባህላዊው ቁሳቁስ ምንድነው?</v>
      </c>
      <c r="I13" s="8" t="str">
        <f>IFERROR(__xludf.DUMMYFUNCTION(" GOOGLETRANSLATE(C13, ""en"", ""am"")"),"ኤ እንጨት ቢ. ብረት ሐ. ፕላስቲክ ዲ ድንጋይ")</f>
        <v>ኤ እንጨት ቢ. ብረት ሐ. ፕላስቲክ ዲ ድንጋይ</v>
      </c>
      <c r="J13" s="8" t="str">
        <f>IFERROR(__xludf.DUMMYFUNCTION(" GOOGLETRANSLATE(D13, ""en"", ""am"")"),"እንጨት")</f>
        <v>እንጨት</v>
      </c>
      <c r="K13" s="8" t="str">
        <f>IFERROR(__xludf.DUMMYFUNCTION(" GOOGLETRANSLATE(E13, ""en"", ""am"")"),"የገበታ ሰሌዳዎች በተለምዶ ከእንጨት የተሠሩ ናቸው.")</f>
        <v>የገበታ ሰሌዳዎች በተለምዶ ከእንጨት የተሠሩ ናቸው.</v>
      </c>
    </row>
    <row r="14" ht="22.5" customHeight="1">
      <c r="A14" s="13">
        <v>13.0</v>
      </c>
      <c r="B14" s="14" t="s">
        <v>3019</v>
      </c>
      <c r="C14" s="14" t="s">
        <v>3020</v>
      </c>
      <c r="D14" s="14" t="s">
        <v>3002</v>
      </c>
      <c r="E14" s="14" t="s">
        <v>3021</v>
      </c>
      <c r="G14" s="8" t="str">
        <f>IFERROR(__xludf.DUMMYFUNCTION(" GOOGLETRANSLATE(A14, ""en"", ""am"")"),"13")</f>
        <v>13</v>
      </c>
      <c r="H14" s="8" t="str">
        <f>IFERROR(__xludf.DUMMYFUNCTION(" GOOGLETRANSLATE(B14, ""en"", ""am"")"),"አንድ ተጫዋች ህጋዊ እንቅስቃሴ ማድረግ ካልቻለ ምን ይከሰታል?")</f>
        <v>አንድ ተጫዋች ህጋዊ እንቅስቃሴ ማድረግ ካልቻለ ምን ይከሰታል?</v>
      </c>
      <c r="I14" s="8" t="str">
        <f>IFERROR(__xludf.DUMMYFUNCTION(" GOOGLETRANSLATE(C14, ""en"", ""am"")"),"ሀ. ተቃዋሚው ያሸንፋል። ለ. ጨዋታው ያበቃል። ሐ. ተጫዋቹ በተራው ይዘላል. መ. ዘሮቹ እንደገና ተከፋፍለዋል.")</f>
        <v>ሀ. ተቃዋሚው ያሸንፋል። ለ. ጨዋታው ያበቃል። ሐ. ተጫዋቹ በተራው ይዘላል. መ. ዘሮቹ እንደገና ተከፋፍለዋል.</v>
      </c>
      <c r="J14" s="8" t="str">
        <f>IFERROR(__xludf.DUMMYFUNCTION(" GOOGLETRANSLATE(D14, ""en"", ""am"")"),"ጨዋታው ያበቃል።")</f>
        <v>ጨዋታው ያበቃል።</v>
      </c>
      <c r="K14" s="8" t="str">
        <f>IFERROR(__xludf.DUMMYFUNCTION(" GOOGLETRANSLATE(E14, ""en"", ""am"")"),"አንድ ተጫዋች ህጋዊ እንቅስቃሴ ማድረግ ካልቻለ ጨዋታው ያበቃል።")</f>
        <v>አንድ ተጫዋች ህጋዊ እንቅስቃሴ ማድረግ ካልቻለ ጨዋታው ያበቃል።</v>
      </c>
    </row>
    <row r="15" ht="22.5" customHeight="1">
      <c r="A15" s="13">
        <v>14.0</v>
      </c>
      <c r="B15" s="14" t="s">
        <v>3022</v>
      </c>
      <c r="C15" s="14" t="s">
        <v>3023</v>
      </c>
      <c r="D15" s="14" t="s">
        <v>3024</v>
      </c>
      <c r="E15" s="14" t="s">
        <v>3025</v>
      </c>
      <c r="G15" s="8" t="str">
        <f>IFERROR(__xludf.DUMMYFUNCTION(" GOOGLETRANSLATE(A15, ""en"", ""am"")"),"14")</f>
        <v>14</v>
      </c>
      <c r="H15" s="8" t="str">
        <f>IFERROR(__xludf.DUMMYFUNCTION(" GOOGLETRANSLATE(B15, ""en"", ""am"")"),"ስኬትን ለመቅረጽ የትኛው ችሎታ አስፈላጊ ነው?")</f>
        <v>ስኬትን ለመቅረጽ የትኛው ችሎታ አስፈላጊ ነው?</v>
      </c>
      <c r="I15" s="8" t="str">
        <f>IFERROR(__xludf.DUMMYFUNCTION(" GOOGLETRANSLATE(C15, ""en"", ""am"")"),"ሀ. ስልታዊ አስተሳሰብ ለ. ፈጣን ምላሽ ሐ. አካላዊ ጥንካሬ መ. የማስታወስ ችሎታ")</f>
        <v>ሀ. ስልታዊ አስተሳሰብ ለ. ፈጣን ምላሽ ሐ. አካላዊ ጥንካሬ መ. የማስታወስ ችሎታ</v>
      </c>
      <c r="J15" s="8" t="str">
        <f>IFERROR(__xludf.DUMMYFUNCTION(" GOOGLETRANSLATE(D15, ""en"", ""am"")"),"ስልታዊ አስተሳሰብ")</f>
        <v>ስልታዊ አስተሳሰብ</v>
      </c>
      <c r="K15" s="8" t="str">
        <f>IFERROR(__xludf.DUMMYFUNCTION(" GOOGLETRANSLATE(E15, ""en"", ""am"")"),"ሎተሪ ለማሸነፍ ስትራቴጂካዊ አስተሳሰብ ቁልፍ ነው።")</f>
        <v>ሎተሪ ለማሸነፍ ስትራቴጂካዊ አስተሳሰብ ቁልፍ ነው።</v>
      </c>
    </row>
    <row r="16" ht="22.5" customHeight="1">
      <c r="A16" s="13">
        <v>15.0</v>
      </c>
      <c r="B16" s="14" t="s">
        <v>3026</v>
      </c>
      <c r="C16" s="14" t="s">
        <v>3027</v>
      </c>
      <c r="D16" s="14" t="s">
        <v>3028</v>
      </c>
      <c r="E16" s="14" t="s">
        <v>3029</v>
      </c>
      <c r="G16" s="8" t="str">
        <f>IFERROR(__xludf.DUMMYFUNCTION(" GOOGLETRANSLATE(A16, ""en"", ""am"")"),"15")</f>
        <v>15</v>
      </c>
      <c r="H16" s="8" t="str">
        <f>IFERROR(__xludf.DUMMYFUNCTION(" GOOGLETRANSLATE(B16, ""en"", ""am"")"),"ለጠረጴዛ ሌላ ስም ምንድነው?")</f>
        <v>ለጠረጴዛ ሌላ ስም ምንድነው?</v>
      </c>
      <c r="I16" s="8" t="str">
        <f>IFERROR(__xludf.DUMMYFUNCTION(" GOOGLETRANSLATE(C16, ""en"", ""am"")"),"A. Mancala B. Oware C. Bao D. ከሌለዎት")</f>
        <v>A. Mancala B. Oware C. Bao D. ከሌለዎት</v>
      </c>
      <c r="J16" s="8" t="str">
        <f>IFERROR(__xludf.DUMMYFUNCTION(" GOOGLETRANSLATE(D16, ""en"", ""am"")"),"ማንካላ")</f>
        <v>ማንካላ</v>
      </c>
      <c r="K16" s="8" t="str">
        <f>IFERROR(__xludf.DUMMYFUNCTION(" GOOGLETRANSLATE(E16, ""en"", ""am"")"),"Tableau የማንካላ ጨዋታዎች ቤተሰብ ነው።")</f>
        <v>Tableau የማንካላ ጨዋታዎች ቤተሰብ ነው።</v>
      </c>
    </row>
    <row r="17" ht="22.5" customHeight="1">
      <c r="A17" s="13">
        <v>16.0</v>
      </c>
      <c r="B17" s="14" t="s">
        <v>3030</v>
      </c>
      <c r="C17" s="14" t="s">
        <v>3031</v>
      </c>
      <c r="D17" s="14" t="s">
        <v>1451</v>
      </c>
      <c r="E17" s="14" t="s">
        <v>3032</v>
      </c>
      <c r="G17" s="8" t="str">
        <f>IFERROR(__xludf.DUMMYFUNCTION(" GOOGLETRANSLATE(A17, ""en"", ""am"")"),"16")</f>
        <v>16</v>
      </c>
      <c r="H17" s="8" t="str">
        <f>IFERROR(__xludf.DUMMYFUNCTION(" GOOGLETRANSLATE(B17, ""en"", ""am"")"),"ገበታው በውድድር ተጫውቷል?")</f>
        <v>ገበታው በውድድር ተጫውቷል?</v>
      </c>
      <c r="I17" s="8" t="str">
        <f>IFERROR(__xludf.DUMMYFUNCTION(" GOOGLETRANSLATE(C17, ""en"", ""am"")"),"ሀ. አዎ ለ. አይ ሐ. በአካባቢው ክልሎች ብቻ መ. በቤተሰብ ውስጥ ብቻ")</f>
        <v>ሀ. አዎ ለ. አይ ሐ. በአካባቢው ክልሎች ብቻ መ. በቤተሰብ ውስጥ ብቻ</v>
      </c>
      <c r="J17" s="8" t="str">
        <f>IFERROR(__xludf.DUMMYFUNCTION(" GOOGLETRANSLATE(D17, ""en"", ""am"")"),"አዎ")</f>
        <v>አዎ</v>
      </c>
      <c r="K17" s="8" t="str">
        <f>IFERROR(__xludf.DUMMYFUNCTION(" GOOGLETRANSLATE(E17, ""en"", ""am"")"),"ሰንጠረዡ በአንዳንድ ክልሎች በፉክክር ተጫውቷል።")</f>
        <v>ሰንጠረዡ በአንዳንድ ክልሎች በፉክክር ተጫውቷል።</v>
      </c>
    </row>
    <row r="18" ht="22.5" customHeight="1">
      <c r="A18" s="13">
        <v>17.0</v>
      </c>
      <c r="B18" s="14" t="s">
        <v>3033</v>
      </c>
      <c r="C18" s="14" t="s">
        <v>3034</v>
      </c>
      <c r="D18" s="14" t="s">
        <v>3035</v>
      </c>
      <c r="E18" s="14" t="s">
        <v>3036</v>
      </c>
      <c r="G18" s="8" t="str">
        <f>IFERROR(__xludf.DUMMYFUNCTION(" GOOGLETRANSLATE(A18, ""en"", ""am"")"),"17")</f>
        <v>17</v>
      </c>
      <c r="H18" s="8" t="str">
        <f>IFERROR(__xludf.DUMMYFUNCTION(" GOOGLETRANSLATE(B18, ""en"", ""am"")"),"በካርታ ላይ ለህገ ወጥ ተግባር ቅጣቱ ምን ያህል ነው?")</f>
        <v>በካርታ ላይ ለህገ ወጥ ተግባር ቅጣቱ ምን ያህል ነው?</v>
      </c>
      <c r="I18" s="8" t="str">
        <f>IFERROR(__xludf.DUMMYFUNCTION(" GOOGLETRANSLATE(C18, ""en"", ""am"")"),"ሀ. አቅጣጫ ማጣት ለ. ተቃዋሚዎች ዘሮችን ያገኛሉ ሐ. ወዲያውኑ መጥፋት መ. ጨዋታውን እንደገና ያስጀምሩ።")</f>
        <v>ሀ. አቅጣጫ ማጣት ለ. ተቃዋሚዎች ዘሮችን ያገኛሉ ሐ. ወዲያውኑ መጥፋት መ. ጨዋታውን እንደገና ያስጀምሩ።</v>
      </c>
      <c r="J18" s="8" t="str">
        <f>IFERROR(__xludf.DUMMYFUNCTION(" GOOGLETRANSLATE(D18, ""en"", ""am"")"),"አቅጣጫ ማጣት")</f>
        <v>አቅጣጫ ማጣት</v>
      </c>
      <c r="K18" s="8" t="str">
        <f>IFERROR(__xludf.DUMMYFUNCTION(" GOOGLETRANSLATE(E18, ""en"", ""am"")"),"ሕገ-ወጥ ተግባር መዞርን ያስከትላል።")</f>
        <v>ሕገ-ወጥ ተግባር መዞርን ያስከትላል።</v>
      </c>
    </row>
    <row r="19" ht="22.5" customHeight="1">
      <c r="A19" s="13">
        <v>18.0</v>
      </c>
      <c r="B19" s="14" t="s">
        <v>3037</v>
      </c>
      <c r="C19" s="14" t="s">
        <v>3038</v>
      </c>
      <c r="D19" s="14" t="s">
        <v>2979</v>
      </c>
      <c r="E19" s="14" t="s">
        <v>3039</v>
      </c>
      <c r="G19" s="8" t="str">
        <f>IFERROR(__xludf.DUMMYFUNCTION(" GOOGLETRANSLATE(A19, ""en"", ""am"")"),"18")</f>
        <v>18</v>
      </c>
      <c r="H19" s="8" t="str">
        <f>IFERROR(__xludf.DUMMYFUNCTION(" GOOGLETRANSLATE(B19, ""en"", ""am"")"),"በስትራቴጂካዊ ጨዋታ ውስጥ የትኛው ጉድጓድ በጣም አስፈላጊ ነው?")</f>
        <v>በስትራቴጂካዊ ጨዋታ ውስጥ የትኛው ጉድጓድ በጣም አስፈላጊ ነው?</v>
      </c>
      <c r="I19" s="8" t="str">
        <f>IFERROR(__xludf.DUMMYFUNCTION(" GOOGLETRANSLATE(C19, ""en"", ""am"")"),"A. Warehouse B. የግራ ቀዳዳ ሐ. የቀኝ ቀዳዳ D. ሁሉም ቀዳዳዎች እኩል ናቸው.")</f>
        <v>A. Warehouse B. የግራ ቀዳዳ ሐ. የቀኝ ቀዳዳ D. ሁሉም ቀዳዳዎች እኩል ናቸው.</v>
      </c>
      <c r="J19" s="8" t="str">
        <f>IFERROR(__xludf.DUMMYFUNCTION(" GOOGLETRANSLATE(D19, ""en"", ""am"")"),"መጋዘን")</f>
        <v>መጋዘን</v>
      </c>
      <c r="K19" s="8" t="str">
        <f>IFERROR(__xludf.DUMMYFUNCTION(" GOOGLETRANSLATE(E19, ""en"", ""am"")"),"መጋዘኑ በስትራቴጂካዊ እንቅስቃሴዎች ውስጥ ቁልፍ ሚና ይጫወታል.")</f>
        <v>መጋዘኑ በስትራቴጂካዊ እንቅስቃሴዎች ውስጥ ቁልፍ ሚና ይጫወታል.</v>
      </c>
    </row>
    <row r="20" ht="22.5" customHeight="1">
      <c r="A20" s="13">
        <v>19.0</v>
      </c>
      <c r="B20" s="14" t="s">
        <v>3040</v>
      </c>
      <c r="C20" s="14" t="s">
        <v>3041</v>
      </c>
      <c r="D20" s="14" t="s">
        <v>3042</v>
      </c>
      <c r="E20" s="14" t="s">
        <v>3043</v>
      </c>
      <c r="G20" s="8" t="str">
        <f>IFERROR(__xludf.DUMMYFUNCTION(" GOOGLETRANSLATE(A20, ""en"", ""am"")"),"19")</f>
        <v>19</v>
      </c>
      <c r="H20" s="8" t="str">
        <f>IFERROR(__xludf.DUMMYFUNCTION(" GOOGLETRANSLATE(B20, ""en"", ""am"")"),"ጨዋታውን ከመጀመሩ በፊት ተጫዋቾች ምን ማድረግ አለባቸው?")</f>
        <v>ጨዋታውን ከመጀመሩ በፊት ተጫዋቾች ምን ማድረግ አለባቸው?</v>
      </c>
      <c r="I20" s="8" t="str">
        <f>IFERROR(__xludf.DUMMYFUNCTION(" GOOGLETRANSLATE(C20, ""en"", ""am"")"),"ሀ. ዘሩን ይቁጠሩ. ለ. ዘሮቹን ይቀላቅሉ. ሐ. ብዙ ይሳሉ። መ. ሰሌዳውን ይግለጡ.")</f>
        <v>ሀ. ዘሩን ይቁጠሩ. ለ. ዘሮቹን ይቀላቅሉ. ሐ. ብዙ ይሳሉ። መ. ሰሌዳውን ይግለጡ.</v>
      </c>
      <c r="J20" s="8" t="str">
        <f>IFERROR(__xludf.DUMMYFUNCTION(" GOOGLETRANSLATE(D20, ""en"", ""am"")"),"ዘሮቹ ይቁጠሩ.")</f>
        <v>ዘሮቹ ይቁጠሩ.</v>
      </c>
      <c r="K20" s="8" t="str">
        <f>IFERROR(__xludf.DUMMYFUNCTION(" GOOGLETRANSLATE(E20, ""en"", ""am"")"),"ፍትሃዊነትን ለማረጋገጥ ተጫዋቾች ዘሩን መቁጠር አለባቸው።")</f>
        <v>ፍትሃዊነትን ለማረጋገጥ ተጫዋቾች ዘሩን መቁጠር አለባቸው።</v>
      </c>
    </row>
    <row r="21" ht="22.5" customHeight="1">
      <c r="A21" s="13">
        <v>20.0</v>
      </c>
      <c r="B21" s="14" t="s">
        <v>3044</v>
      </c>
      <c r="C21" s="14" t="s">
        <v>3045</v>
      </c>
      <c r="D21" s="14" t="s">
        <v>3046</v>
      </c>
      <c r="E21" s="14" t="s">
        <v>3047</v>
      </c>
      <c r="G21" s="8" t="str">
        <f>IFERROR(__xludf.DUMMYFUNCTION(" GOOGLETRANSLATE(A21, ""en"", ""am"")"),"20")</f>
        <v>20</v>
      </c>
      <c r="H21" s="8" t="str">
        <f>IFERROR(__xludf.DUMMYFUNCTION(" GOOGLETRANSLATE(B21, ""en"", ""am"")"),"በገበታ ውስጥ የመዝራት ሚና ምንድነው?")</f>
        <v>በገበታ ውስጥ የመዝራት ሚና ምንድነው?</v>
      </c>
      <c r="I21" s="8" t="str">
        <f>IFERROR(__xludf.DUMMYFUNCTION(" GOOGLETRANSLATE(C21, ""en"", ""am"")"),"ሀ. የዘር ስርጭት ለ. የጨዋታው መጨረሻ ሐ. ተቃዋሚን መያዝ መ. እንቅስቃሴዎችን ማገድ")</f>
        <v>ሀ. የዘር ስርጭት ለ. የጨዋታው መጨረሻ ሐ. ተቃዋሚን መያዝ መ. እንቅስቃሴዎችን ማገድ</v>
      </c>
      <c r="J21" s="8" t="str">
        <f>IFERROR(__xludf.DUMMYFUNCTION(" GOOGLETRANSLATE(D21, ""en"", ""am"")"),"የዘር ስርጭት")</f>
        <v>የዘር ስርጭት</v>
      </c>
      <c r="K21" s="8" t="str">
        <f>IFERROR(__xludf.DUMMYFUNCTION(" GOOGLETRANSLATE(E21, ""en"", ""am"")"),"መዝራት ለስልታዊ ጨዋታ በጉድጓድ ውስጥ ዘሮችን ያሰራጫል።")</f>
        <v>መዝራት ለስልታዊ ጨዋታ በጉድጓድ ውስጥ ዘሮችን ያሰራጫል።</v>
      </c>
    </row>
    <row r="22" ht="22.5" customHeight="1">
      <c r="A22" s="13">
        <v>21.0</v>
      </c>
      <c r="B22" s="14" t="s">
        <v>3048</v>
      </c>
      <c r="C22" s="14" t="s">
        <v>3049</v>
      </c>
      <c r="D22" s="14" t="s">
        <v>3050</v>
      </c>
      <c r="E22" s="14" t="s">
        <v>3051</v>
      </c>
      <c r="G22" s="8" t="str">
        <f>IFERROR(__xludf.DUMMYFUNCTION(" GOOGLETRANSLATE(A22, ""en"", ""am"")"),"21")</f>
        <v>21</v>
      </c>
      <c r="H22" s="8" t="str">
        <f>IFERROR(__xludf.DUMMYFUNCTION(" GOOGLETRANSLATE(B22, ""en"", ""am"")"),"የካርታው የትውልድ ቦታ የትኛው ሀገር ነው ተብሎ ይታሰባል?")</f>
        <v>የካርታው የትውልድ ቦታ የትኛው ሀገር ነው ተብሎ ይታሰባል?</v>
      </c>
      <c r="I22" s="8" t="str">
        <f>IFERROR(__xludf.DUMMYFUNCTION(" GOOGLETRANSLATE(C22, ""en"", ""am"")"),"ኣብ ኢትዮጵያ ብ ኬንያ ሲ ታንዛንያ ዲ.ሱዳን")</f>
        <v>ኣብ ኢትዮጵያ ብ ኬንያ ሲ ታንዛንያ ዲ.ሱዳን</v>
      </c>
      <c r="J22" s="8" t="str">
        <f>IFERROR(__xludf.DUMMYFUNCTION(" GOOGLETRANSLATE(D22, ""en"", ""am"")"),"ኢትዮጵያ")</f>
        <v>ኢትዮጵያ</v>
      </c>
      <c r="K22" s="8" t="str">
        <f>IFERROR(__xludf.DUMMYFUNCTION(" GOOGLETRANSLATE(E22, ""en"", ""am"")"),"የጠረጴዛው መነሻ ኢትዮጵያ እንደሆነች ይታመናል።")</f>
        <v>የጠረጴዛው መነሻ ኢትዮጵያ እንደሆነች ይታመናል።</v>
      </c>
    </row>
    <row r="23" ht="22.5" customHeight="1">
      <c r="A23" s="13">
        <v>22.0</v>
      </c>
      <c r="B23" s="14" t="s">
        <v>3052</v>
      </c>
      <c r="C23" s="14" t="s">
        <v>3053</v>
      </c>
      <c r="D23" s="14" t="s">
        <v>3054</v>
      </c>
      <c r="E23" s="14" t="s">
        <v>3055</v>
      </c>
      <c r="G23" s="8" t="str">
        <f>IFERROR(__xludf.DUMMYFUNCTION(" GOOGLETRANSLATE(A23, ""en"", ""am"")"),"22")</f>
        <v>22</v>
      </c>
      <c r="H23" s="8" t="str">
        <f>IFERROR(__xludf.DUMMYFUNCTION(" GOOGLETRANSLATE(B23, ""en"", ""am"")"),"ተጫዋቾች በሚንቀሳቀሱበት ጊዜ ምን መራቅ አለባቸው?")</f>
        <v>ተጫዋቾች በሚንቀሳቀሱበት ጊዜ ምን መራቅ አለባቸው?</v>
      </c>
      <c r="I23" s="8" t="str">
        <f>IFERROR(__xludf.DUMMYFUNCTION(" GOOGLETRANSLATE(C23, ""en"", ""am"")"),"ሀ. በቀዳዳዎች ላይ መዝለል ለ. ዘሮችን መንካት ሐ. በመጋዘን ውስጥ መዝራት D. የተቃውሞ ዘሮችን መሰብሰብ")</f>
        <v>ሀ. በቀዳዳዎች ላይ መዝለል ለ. ዘሮችን መንካት ሐ. በመጋዘን ውስጥ መዝራት D. የተቃውሞ ዘሮችን መሰብሰብ</v>
      </c>
      <c r="J23" s="8" t="str">
        <f>IFERROR(__xludf.DUMMYFUNCTION(" GOOGLETRANSLATE(D23, ""en"", ""am"")"),"በቀዳዳዎች ላይ መዝለል")</f>
        <v>በቀዳዳዎች ላይ መዝለል</v>
      </c>
      <c r="K23" s="8" t="str">
        <f>IFERROR(__xludf.DUMMYFUNCTION(" GOOGLETRANSLATE(E23, ""en"", ""am"")"),"ተጫዋቾች በሚንቀሳቀሱበት ጊዜ ቀዳዳዎች ላይ መዝለል የለባቸውም።")</f>
        <v>ተጫዋቾች በሚንቀሳቀሱበት ጊዜ ቀዳዳዎች ላይ መዝለል የለባቸውም።</v>
      </c>
    </row>
    <row r="24" ht="22.5" customHeight="1">
      <c r="A24" s="13">
        <v>23.0</v>
      </c>
      <c r="B24" s="14" t="s">
        <v>3056</v>
      </c>
      <c r="C24" s="14" t="s">
        <v>3057</v>
      </c>
      <c r="D24" s="14" t="s">
        <v>3058</v>
      </c>
      <c r="E24" s="14" t="s">
        <v>3059</v>
      </c>
      <c r="G24" s="8" t="str">
        <f>IFERROR(__xludf.DUMMYFUNCTION(" GOOGLETRANSLATE(A24, ""en"", ""am"")"),"23")</f>
        <v>23</v>
      </c>
      <c r="H24" s="8" t="str">
        <f>IFERROR(__xludf.DUMMYFUNCTION(" GOOGLETRANSLATE(B24, ""en"", ""am"")"),"ዘሮች በገበታ ውስጥ እንዴት ይደረደራሉ?")</f>
        <v>ዘሮች በገበታ ውስጥ እንዴት ይደረደራሉ?</v>
      </c>
      <c r="I24" s="8" t="str">
        <f>IFERROR(__xludf.DUMMYFUNCTION(" GOOGLETRANSLATE(C24, ""en"", ""am"")"),"ሀ. ባዶ ጉድጓድ ውስጥ ማረፍ ለ. እንቅስቃሴዎችን ማገድ ሐ. በመጋዘን ውስጥ መዝራት D. ዙሪያውን መዝለል")</f>
        <v>ሀ. ባዶ ጉድጓድ ውስጥ ማረፍ ለ. እንቅስቃሴዎችን ማገድ ሐ. በመጋዘን ውስጥ መዝራት D. ዙሪያውን መዝለል</v>
      </c>
      <c r="J24" s="8" t="str">
        <f>IFERROR(__xludf.DUMMYFUNCTION(" GOOGLETRANSLATE(D24, ""en"", ""am"")"),"ባዶ ጉድጓድ ውስጥ ማረፍ")</f>
        <v>ባዶ ጉድጓድ ውስጥ ማረፍ</v>
      </c>
      <c r="K24" s="8" t="str">
        <f>IFERROR(__xludf.DUMMYFUNCTION(" GOOGLETRANSLATE(E24, ""en"", ""am"")"),"ባዶ ጉድጓድ ውስጥ ማረፍ ዘርን ለመያዝ ያስችላል.")</f>
        <v>ባዶ ጉድጓድ ውስጥ ማረፍ ዘርን ለመያዝ ያስችላል.</v>
      </c>
    </row>
    <row r="25" ht="22.5" customHeight="1">
      <c r="A25" s="13">
        <v>24.0</v>
      </c>
      <c r="B25" s="14" t="s">
        <v>3060</v>
      </c>
      <c r="C25" s="14" t="s">
        <v>3061</v>
      </c>
      <c r="D25" s="14" t="s">
        <v>2979</v>
      </c>
      <c r="E25" s="14" t="s">
        <v>3062</v>
      </c>
      <c r="G25" s="8" t="str">
        <f>IFERROR(__xludf.DUMMYFUNCTION(" GOOGLETRANSLATE(A25, ""en"", ""am"")"),"24")</f>
        <v>24</v>
      </c>
      <c r="H25" s="8" t="str">
        <f>IFERROR(__xludf.DUMMYFUNCTION(" GOOGLETRANSLATE(B25, ""en"", ""am"")"),"በገበታው ውስጥ ትልቁ የትኛው ቀዳዳ ነው?")</f>
        <v>በገበታው ውስጥ ትልቁ የትኛው ቀዳዳ ነው?</v>
      </c>
      <c r="I25" s="8" t="str">
        <f>IFERROR(__xludf.DUMMYFUNCTION(" GOOGLETRANSLATE(C25, ""en"", ""am"")"),"A. Warehouse B. መካከለኛ ቀዳዳ ሐ. የግራ ቀዳዳ D. የቀኝ ቀዳዳ")</f>
        <v>A. Warehouse B. መካከለኛ ቀዳዳ ሐ. የግራ ቀዳዳ D. የቀኝ ቀዳዳ</v>
      </c>
      <c r="J25" s="8" t="str">
        <f>IFERROR(__xludf.DUMMYFUNCTION(" GOOGLETRANSLATE(D25, ""en"", ""am"")"),"መጋዘን")</f>
        <v>መጋዘን</v>
      </c>
      <c r="K25" s="8" t="str">
        <f>IFERROR(__xludf.DUMMYFUNCTION(" GOOGLETRANSLATE(E25, ""en"", ""am"")"),"መጋዘኑ ትልቁ ጉድጓድ ነው.")</f>
        <v>መጋዘኑ ትልቁ ጉድጓድ ነው.</v>
      </c>
    </row>
    <row r="26" ht="22.5" customHeight="1">
      <c r="A26" s="13">
        <v>25.0</v>
      </c>
      <c r="B26" s="14" t="s">
        <v>3063</v>
      </c>
      <c r="C26" s="14" t="s">
        <v>3064</v>
      </c>
      <c r="D26" s="14" t="s">
        <v>3002</v>
      </c>
      <c r="E26" s="14" t="s">
        <v>3065</v>
      </c>
      <c r="G26" s="8" t="str">
        <f>IFERROR(__xludf.DUMMYFUNCTION(" GOOGLETRANSLATE(A26, ""en"", ""am"")"),"25")</f>
        <v>25</v>
      </c>
      <c r="H26" s="8" t="str">
        <f>IFERROR(__xludf.DUMMYFUNCTION(" GOOGLETRANSLATE(B26, ""en"", ""am"")"),"አንድ ተጫዋች ዘር ከሌለው ምን ይሆናል?")</f>
        <v>አንድ ተጫዋች ዘር ከሌለው ምን ይሆናል?</v>
      </c>
      <c r="I26" s="8" t="str">
        <f>IFERROR(__xludf.DUMMYFUNCTION(" GOOGLETRANSLATE(C26, ""en"", ""am"")"),"ሀ. ጨዋታው ያበቃል። ለ. ተቃዋሚው ያሸንፋል። ሐ. ተጫዋቹ ተጨማሪ ተራ ያገኛል። መ. ቀዳዳዎቹ እንደገና ተሞልተዋል.")</f>
        <v>ሀ. ጨዋታው ያበቃል። ለ. ተቃዋሚው ያሸንፋል። ሐ. ተጫዋቹ ተጨማሪ ተራ ያገኛል። መ. ቀዳዳዎቹ እንደገና ተሞልተዋል.</v>
      </c>
      <c r="J26" s="8" t="str">
        <f>IFERROR(__xludf.DUMMYFUNCTION(" GOOGLETRANSLATE(D26, ""en"", ""am"")"),"ጨዋታው ያበቃል።")</f>
        <v>ጨዋታው ያበቃል።</v>
      </c>
      <c r="K26" s="8" t="str">
        <f>IFERROR(__xludf.DUMMYFUNCTION(" GOOGLETRANSLATE(E26, ""en"", ""am"")"),"ተጫዋቹ ምንም ዘሮች ሳይቀሩ ሲቀሩ ጨዋታው ያበቃል።")</f>
        <v>ተጫዋቹ ምንም ዘሮች ሳይቀሩ ሲቀሩ ጨዋታው ያበቃል።</v>
      </c>
    </row>
    <row r="27" ht="22.5" customHeight="1">
      <c r="A27" s="13">
        <v>26.0</v>
      </c>
      <c r="B27" s="14" t="s">
        <v>3066</v>
      </c>
      <c r="C27" s="14" t="s">
        <v>3067</v>
      </c>
      <c r="D27" s="14" t="s">
        <v>3006</v>
      </c>
      <c r="E27" s="14" t="s">
        <v>3068</v>
      </c>
      <c r="G27" s="8" t="str">
        <f>IFERROR(__xludf.DUMMYFUNCTION(" GOOGLETRANSLATE(A27, ""en"", ""am"")"),"26")</f>
        <v>26</v>
      </c>
      <c r="H27" s="8" t="str">
        <f>IFERROR(__xludf.DUMMYFUNCTION(" GOOGLETRANSLATE(B27, ""en"", ""am"")"),"በገበታ ውስጥ የተለመደ እንቅስቃሴ ምን ይባላል?")</f>
        <v>በገበታ ውስጥ የተለመደ እንቅስቃሴ ምን ይባላል?</v>
      </c>
      <c r="I27" s="8" t="str">
        <f>IFERROR(__xludf.DUMMYFUNCTION(" GOOGLETRANSLATE(C27, ""en"", ""am"")"),"A. Sow B. throw up C. ፎቶ አንሳ። መ. ማለፍ")</f>
        <v>A. Sow B. throw up C. ፎቶ አንሳ። መ. ማለፍ</v>
      </c>
      <c r="J27" s="8" t="str">
        <f>IFERROR(__xludf.DUMMYFUNCTION(" GOOGLETRANSLATE(D27, ""en"", ""am"")"),"መዝራት")</f>
        <v>መዝራት</v>
      </c>
      <c r="K27" s="8" t="str">
        <f>IFERROR(__xludf.DUMMYFUNCTION(" GOOGLETRANSLATE(E27, ""en"", ""am"")"),"በገበታ ላይ የተለመደ ተግባር ዘር ይባላል።")</f>
        <v>በገበታ ላይ የተለመደ ተግባር ዘር ይባላል።</v>
      </c>
    </row>
    <row r="28" ht="22.5" customHeight="1">
      <c r="A28" s="13">
        <v>27.0</v>
      </c>
      <c r="B28" s="14" t="s">
        <v>3069</v>
      </c>
      <c r="C28" s="14" t="s">
        <v>3070</v>
      </c>
      <c r="D28" s="14" t="s">
        <v>3071</v>
      </c>
      <c r="E28" s="14" t="s">
        <v>3072</v>
      </c>
      <c r="G28" s="8" t="str">
        <f>IFERROR(__xludf.DUMMYFUNCTION(" GOOGLETRANSLATE(A28, ""en"", ""am"")"),"27")</f>
        <v>27</v>
      </c>
      <c r="H28" s="8" t="str">
        <f>IFERROR(__xludf.DUMMYFUNCTION(" GOOGLETRANSLATE(B28, ""en"", ""am"")"),"አንድ ተጫዋች በጠረጴዛው ላይ እንዴት ይሸነፋል?")</f>
        <v>አንድ ተጫዋች በጠረጴዛው ላይ እንዴት ይሸነፋል?</v>
      </c>
      <c r="I28" s="8" t="str">
        <f>IFERROR(__xludf.DUMMYFUNCTION(" GOOGLETRANSLATE(C28, ""en"", ""am"")"),"ሀ. ጥቂት የተያዙ ዘሮች በመኖራቸው ለ. ሁሉንም ዘሮች በማጣት ሐ. በመዝለል መ. በስህተት")</f>
        <v>ሀ. ጥቂት የተያዙ ዘሮች በመኖራቸው ለ. ሁሉንም ዘሮች በማጣት ሐ. በመዝለል መ. በስህተት</v>
      </c>
      <c r="J28" s="8" t="str">
        <f>IFERROR(__xludf.DUMMYFUNCTION(" GOOGLETRANSLATE(D28, ""en"", ""am"")"),"ጥቂት የተጠበቁ ዘሮች በመኖራቸው ምክንያት")</f>
        <v>ጥቂት የተጠበቁ ዘሮች በመኖራቸው ምክንያት</v>
      </c>
      <c r="K28" s="8" t="str">
        <f>IFERROR(__xludf.DUMMYFUNCTION(" GOOGLETRANSLATE(E28, ""en"", ""am"")"),"በጣም ጥቂት የተያዙ ዘሮች ያለው ተጫዋች ይሸነፋል.")</f>
        <v>በጣም ጥቂት የተያዙ ዘሮች ያለው ተጫዋች ይሸነፋል.</v>
      </c>
    </row>
    <row r="29" ht="22.5" customHeight="1">
      <c r="A29" s="13">
        <v>28.0</v>
      </c>
      <c r="B29" s="14" t="s">
        <v>3073</v>
      </c>
      <c r="C29" s="14" t="s">
        <v>3074</v>
      </c>
      <c r="D29" s="14" t="s">
        <v>3075</v>
      </c>
      <c r="E29" s="14" t="s">
        <v>3076</v>
      </c>
      <c r="G29" s="8" t="str">
        <f>IFERROR(__xludf.DUMMYFUNCTION(" GOOGLETRANSLATE(A29, ""en"", ""am"")"),"28")</f>
        <v>28</v>
      </c>
      <c r="H29" s="8" t="str">
        <f>IFERROR(__xludf.DUMMYFUNCTION(" GOOGLETRANSLATE(B29, ""en"", ""am"")"),"አንድ ጉድጓድ 12 ወይም ከዚያ በላይ ዘሮችን ከያዘ ምን ይከሰታል?")</f>
        <v>አንድ ጉድጓድ 12 ወይም ከዚያ በላይ ዘሮችን ከያዘ ምን ይከሰታል?</v>
      </c>
      <c r="I29" s="8" t="str">
        <f>IFERROR(__xludf.DUMMYFUNCTION(" GOOGLETRANSLATE(C29, ""en"", ""am"")"),"ሀ. ዘሮቹ እንደገና ተከፋፍለዋል. ለ. ጨዋታው ያበቃል። ሐ. ተጫዋች ያሸንፋል። መ. ተቃዋሚው ተራውን ያጣል.")</f>
        <v>ሀ. ዘሮቹ እንደገና ተከፋፍለዋል. ለ. ጨዋታው ያበቃል። ሐ. ተጫዋች ያሸንፋል። መ. ተቃዋሚው ተራውን ያጣል.</v>
      </c>
      <c r="J29" s="8" t="str">
        <f>IFERROR(__xludf.DUMMYFUNCTION(" GOOGLETRANSLATE(D29, ""en"", ""am"")"),"ዘሮቹ እንደገና ተከፋፍለዋል.")</f>
        <v>ዘሮቹ እንደገና ተከፋፍለዋል.</v>
      </c>
      <c r="K29" s="8" t="str">
        <f>IFERROR(__xludf.DUMMYFUNCTION(" GOOGLETRANSLATE(E29, ""en"", ""am"")"),"አንድ ጉድጓድ 12 ወይም ከዚያ በላይ ዘሮች ካሉት, እንደገና ተከፋፍለዋል.")</f>
        <v>አንድ ጉድጓድ 12 ወይም ከዚያ በላይ ዘሮች ካሉት, እንደገና ተከፋፍለዋል.</v>
      </c>
    </row>
    <row r="30" ht="22.5" customHeight="1">
      <c r="A30" s="13">
        <v>29.0</v>
      </c>
      <c r="B30" s="14" t="s">
        <v>3077</v>
      </c>
      <c r="C30" s="14" t="s">
        <v>3078</v>
      </c>
      <c r="D30" s="14" t="s">
        <v>3079</v>
      </c>
      <c r="E30" s="14" t="s">
        <v>3080</v>
      </c>
      <c r="G30" s="8" t="str">
        <f>IFERROR(__xludf.DUMMYFUNCTION(" GOOGLETRANSLATE(A30, ""en"", ""am"")"),"29")</f>
        <v>29</v>
      </c>
      <c r="H30" s="8" t="str">
        <f>IFERROR(__xludf.DUMMYFUNCTION(" GOOGLETRANSLATE(B30, ""en"", ""am"")"),"አንድ ተጫዋች የሚተከለውን ጉድጓድ መምረጥ ይችላል?")</f>
        <v>አንድ ተጫዋች የሚተከለውን ጉድጓድ መምረጥ ይችላል?</v>
      </c>
      <c r="I30" s="8" t="str">
        <f>IFERROR(__xludf.DUMMYFUNCTION(" GOOGLETRANSLATE(C30, ""en"", ""am"")"),"A. አይ፣ ባዶ ያልሆኑ ጉድጓዶች ብቻ። ለ. አዎ፣ ማንኛውም ቀዳዳ ሐ. የግራ ቀዳዳ ብቻ መ. ትክክለኛዎቹ ቀዳዳዎች ብቻ")</f>
        <v>A. አይ፣ ባዶ ያልሆኑ ጉድጓዶች ብቻ። ለ. አዎ፣ ማንኛውም ቀዳዳ ሐ. የግራ ቀዳዳ ብቻ መ. ትክክለኛዎቹ ቀዳዳዎች ብቻ</v>
      </c>
      <c r="J30" s="8" t="str">
        <f>IFERROR(__xludf.DUMMYFUNCTION(" GOOGLETRANSLATE(D30, ""en"", ""am"")"),"አይ፣ ባዶ ያልሆኑ ጉድጓዶች ብቻ።")</f>
        <v>አይ፣ ባዶ ያልሆኑ ጉድጓዶች ብቻ።</v>
      </c>
      <c r="K30" s="8" t="str">
        <f>IFERROR(__xludf.DUMMYFUNCTION(" GOOGLETRANSLATE(E30, ""en"", ""am"")"),"ተጫዋቾች መዝራት የሚችሉት ከባዶ ጉድጓዶች ብቻ ነው።")</f>
        <v>ተጫዋቾች መዝራት የሚችሉት ከባዶ ጉድጓዶች ብቻ ነው።</v>
      </c>
    </row>
    <row r="31" ht="22.5" customHeight="1">
      <c r="A31" s="13">
        <v>30.0</v>
      </c>
      <c r="B31" s="14" t="s">
        <v>3081</v>
      </c>
      <c r="C31" s="14" t="s">
        <v>3082</v>
      </c>
      <c r="D31" s="14" t="s">
        <v>3083</v>
      </c>
      <c r="E31" s="14" t="s">
        <v>3084</v>
      </c>
      <c r="G31" s="8" t="str">
        <f>IFERROR(__xludf.DUMMYFUNCTION(" GOOGLETRANSLATE(A31, ""en"", ""am"")"),"30")</f>
        <v>30</v>
      </c>
      <c r="H31" s="8" t="str">
        <f>IFERROR(__xludf.DUMMYFUNCTION(" GOOGLETRANSLATE(B31, ""en"", ""am"")"),"በአንድ ዙር ለመያዝ ስንት ዘሮች ያስፈልጋሉ?")</f>
        <v>በአንድ ዙር ለመያዝ ስንት ዘሮች ያስፈልጋሉ?</v>
      </c>
      <c r="I31" s="8" t="str">
        <f>IFERROR(__xludf.DUMMYFUNCTION(" GOOGLETRANSLATE(C31, ""en"", ""am"")"),"ሀ. አንድ ዘር ለ. ሁሉም የተቀሩት ዘሮች ሐ. ቢያንስ አንድ መ. ሁለት ዘሮች")</f>
        <v>ሀ. አንድ ዘር ለ. ሁሉም የተቀሩት ዘሮች ሐ. ቢያንስ አንድ መ. ሁለት ዘሮች</v>
      </c>
      <c r="J31" s="8" t="str">
        <f>IFERROR(__xludf.DUMMYFUNCTION(" GOOGLETRANSLATE(D31, ""en"", ""am"")"),"ቢያንስ አንድ")</f>
        <v>ቢያንስ አንድ</v>
      </c>
      <c r="K31" s="8" t="str">
        <f>IFERROR(__xludf.DUMMYFUNCTION(" GOOGLETRANSLATE(E31, ""en"", ""am"")"),"አንድ ተጫዋች ለመያዝ ቢያንስ አንድ ዘር ያስፈልገዋል።")</f>
        <v>አንድ ተጫዋች ለመያዝ ቢያንስ አንድ ዘር ያስፈልገዋል።</v>
      </c>
    </row>
    <row r="32" ht="22.5" customHeight="1">
      <c r="A32" s="13">
        <v>31.0</v>
      </c>
      <c r="B32" s="14" t="s">
        <v>3085</v>
      </c>
      <c r="C32" s="14" t="s">
        <v>3086</v>
      </c>
      <c r="D32" s="14" t="s">
        <v>3087</v>
      </c>
      <c r="E32" s="14" t="s">
        <v>3088</v>
      </c>
      <c r="G32" s="8" t="str">
        <f>IFERROR(__xludf.DUMMYFUNCTION(" GOOGLETRANSLATE(A32, ""en"", ""am"")"),"31")</f>
        <v>31</v>
      </c>
      <c r="H32" s="8" t="str">
        <f>IFERROR(__xludf.DUMMYFUNCTION(" GOOGLETRANSLATE(B32, ""en"", ""am"")"),"አንድ ተጫዋች በሚዘራበት ጊዜ ምን መራቅ አለበት?")</f>
        <v>አንድ ተጫዋች በሚዘራበት ጊዜ ምን መራቅ አለበት?</v>
      </c>
      <c r="I32" s="8" t="str">
        <f>IFERROR(__xludf.DUMMYFUNCTION(" GOOGLETRANSLATE(C32, ""en"", ""am"")"),"ሀ. ጎተራውን ዝለል ለ. ብዙ ዘሮችን መወርወር ሐ. የተቃዋሚውን ቀዳዳዎች መንካት D. ወደኋላ መመለስ")</f>
        <v>ሀ. ጎተራውን ዝለል ለ. ብዙ ዘሮችን መወርወር ሐ. የተቃዋሚውን ቀዳዳዎች መንካት D. ወደኋላ መመለስ</v>
      </c>
      <c r="J32" s="8" t="str">
        <f>IFERROR(__xludf.DUMMYFUNCTION(" GOOGLETRANSLATE(D32, ""en"", ""am"")"),"ተጨማሪ ዘሮችን በመወርወር ላይ")</f>
        <v>ተጨማሪ ዘሮችን በመወርወር ላይ</v>
      </c>
      <c r="K32" s="8" t="str">
        <f>IFERROR(__xludf.DUMMYFUNCTION(" GOOGLETRANSLATE(E32, ""en"", ""am"")"),"ተጫዋቾች ተጨማሪ ዘሮችን ከመወርወር መቆጠብ አለባቸው.")</f>
        <v>ተጫዋቾች ተጨማሪ ዘሮችን ከመወርወር መቆጠብ አለባቸው.</v>
      </c>
    </row>
    <row r="33" ht="22.5" customHeight="1">
      <c r="A33" s="13">
        <v>32.0</v>
      </c>
      <c r="B33" s="14" t="s">
        <v>3089</v>
      </c>
      <c r="C33" s="14" t="s">
        <v>3090</v>
      </c>
      <c r="D33" s="14" t="s">
        <v>3091</v>
      </c>
      <c r="E33" s="14" t="s">
        <v>3092</v>
      </c>
      <c r="G33" s="8" t="str">
        <f>IFERROR(__xludf.DUMMYFUNCTION(" GOOGLETRANSLATE(A33, ""en"", ""am"")"),"32")</f>
        <v>32</v>
      </c>
      <c r="H33" s="8" t="str">
        <f>IFERROR(__xludf.DUMMYFUNCTION(" GOOGLETRANSLATE(B33, ""en"", ""am"")"),"ወደ ጎተራህ መዝራት ጥቅሙ ምንድን ነው?")</f>
        <v>ወደ ጎተራህ መዝራት ጥቅሙ ምንድን ነው?</v>
      </c>
      <c r="I33" s="8" t="str">
        <f>IFERROR(__xludf.DUMMYFUNCTION(" GOOGLETRANSLATE(C33, ""en"", ""am"")"),"ሀ. ብዙ ተራዎችን ማግኘት ለ. ፈጣን ድል ሐ. የተቃዋሚዎችን ዘር መስረቅ መ. ጨዋታውን መጨረስ")</f>
        <v>ሀ. ብዙ ተራዎችን ማግኘት ለ. ፈጣን ድል ሐ. የተቃዋሚዎችን ዘር መስረቅ መ. ጨዋታውን መጨረስ</v>
      </c>
      <c r="J33" s="8" t="str">
        <f>IFERROR(__xludf.DUMMYFUNCTION(" GOOGLETRANSLATE(D33, ""en"", ""am"")"),"ተጨማሪ ተራዎችን በማግኘት ላይ")</f>
        <v>ተጨማሪ ተራዎችን በማግኘት ላይ</v>
      </c>
      <c r="K33" s="8" t="str">
        <f>IFERROR(__xludf.DUMMYFUNCTION(" GOOGLETRANSLATE(E33, ""en"", ""am"")"),"ወደ ጎተራ መዝራት ተጨማሪ ተራ ይሰጣል።")</f>
        <v>ወደ ጎተራ መዝራት ተጨማሪ ተራ ይሰጣል።</v>
      </c>
    </row>
    <row r="34" ht="22.5" customHeight="1">
      <c r="A34" s="13">
        <v>33.0</v>
      </c>
      <c r="B34" s="14" t="s">
        <v>3093</v>
      </c>
      <c r="C34" s="14" t="s">
        <v>3094</v>
      </c>
      <c r="D34" s="14" t="s">
        <v>1437</v>
      </c>
      <c r="E34" s="14" t="s">
        <v>3095</v>
      </c>
      <c r="G34" s="8" t="str">
        <f>IFERROR(__xludf.DUMMYFUNCTION(" GOOGLETRANSLATE(A34, ""en"", ""am"")"),"33")</f>
        <v>33</v>
      </c>
      <c r="H34" s="8" t="str">
        <f>IFERROR(__xludf.DUMMYFUNCTION(" GOOGLETRANSLATE(B34, ""en"", ""am"")"),"በገበታ ውስጥ ዘሮችን መቀልበስ ይቻላል?")</f>
        <v>በገበታ ውስጥ ዘሮችን መቀልበስ ይቻላል?</v>
      </c>
      <c r="I34" s="8" t="str">
        <f>IFERROR(__xludf.DUMMYFUNCTION(" GOOGLETRANSLATE(C34, ""en"", ""am"")"),"A. አይ ለ. አዎ ሐ. በተወሰኑ ጉዳዮች ላይ ብቻ መ. በስምምነት ብቻ።")</f>
        <v>A. አይ ለ. አዎ ሐ. በተወሰኑ ጉዳዮች ላይ ብቻ መ. በስምምነት ብቻ።</v>
      </c>
      <c r="J34" s="8" t="str">
        <f>IFERROR(__xludf.DUMMYFUNCTION(" GOOGLETRANSLATE(D34, ""en"", ""am"")"),"አይ")</f>
        <v>አይ</v>
      </c>
      <c r="K34" s="8" t="str">
        <f>IFERROR(__xludf.DUMMYFUNCTION(" GOOGLETRANSLATE(E34, ""en"", ""am"")"),"ዘሮች ወደ ፊት ብቻ መሄድ ይችላሉ.")</f>
        <v>ዘሮች ወደ ፊት ብቻ መሄድ ይችላሉ.</v>
      </c>
    </row>
    <row r="35" ht="22.5" customHeight="1">
      <c r="A35" s="13">
        <v>34.0</v>
      </c>
      <c r="B35" s="14" t="s">
        <v>3096</v>
      </c>
      <c r="C35" s="14" t="s">
        <v>3097</v>
      </c>
      <c r="D35" s="14" t="s">
        <v>3098</v>
      </c>
      <c r="E35" s="14" t="s">
        <v>3099</v>
      </c>
      <c r="G35" s="8" t="str">
        <f>IFERROR(__xludf.DUMMYFUNCTION(" GOOGLETRANSLATE(A35, ""en"", ""am"")"),"34")</f>
        <v>34</v>
      </c>
      <c r="H35" s="8" t="str">
        <f>IFERROR(__xludf.DUMMYFUNCTION(" GOOGLETRANSLATE(B35, ""en"", ""am"")"),"መዞርን መዝለል የሚያስከትለው መዘዝ ምንድን ነው?")</f>
        <v>መዞርን መዝለል የሚያስከትለው መዘዝ ምንድን ነው?</v>
      </c>
      <c r="I35" s="8" t="str">
        <f>IFERROR(__xludf.DUMMYFUNCTION(" GOOGLETRANSLATE(C35, ""en"", ""am"")"),"አ.የጨዋታ መጥፋት ለ. ምንም ውጤት የለም። ሐ. ተቃዋሚዎች ዘሮችን ያገኛሉ D. ጨዋታው ያበቃል።")</f>
        <v>አ.የጨዋታ መጥፋት ለ. ምንም ውጤት የለም። ሐ. ተቃዋሚዎች ዘሮችን ያገኛሉ D. ጨዋታው ያበቃል።</v>
      </c>
      <c r="J35" s="8" t="str">
        <f>IFERROR(__xludf.DUMMYFUNCTION(" GOOGLETRANSLATE(D35, ""en"", ""am"")"),"ተቃዋሚዎች ዘሮችን ያገኛሉ")</f>
        <v>ተቃዋሚዎች ዘሮችን ያገኛሉ</v>
      </c>
      <c r="K35" s="8" t="str">
        <f>IFERROR(__xludf.DUMMYFUNCTION(" GOOGLETRANSLATE(E35, ""en"", ""am"")"),"መዞርን መዝለል ለተቃዋሚው ጥቅም ይሰጣል።")</f>
        <v>መዞርን መዝለል ለተቃዋሚው ጥቅም ይሰጣል።</v>
      </c>
    </row>
    <row r="36" ht="22.5" customHeight="1">
      <c r="A36" s="13">
        <v>35.0</v>
      </c>
      <c r="B36" s="14" t="s">
        <v>3100</v>
      </c>
      <c r="C36" s="14" t="s">
        <v>3101</v>
      </c>
      <c r="D36" s="14" t="s">
        <v>3102</v>
      </c>
      <c r="E36" s="14" t="s">
        <v>3103</v>
      </c>
      <c r="G36" s="8" t="str">
        <f>IFERROR(__xludf.DUMMYFUNCTION(" GOOGLETRANSLATE(A36, ""en"", ""am"")"),"35")</f>
        <v>35</v>
      </c>
      <c r="H36" s="8" t="str">
        <f>IFERROR(__xludf.DUMMYFUNCTION(" GOOGLETRANSLATE(B36, ""en"", ""am"")"),"ጨዋታውን ከመጀመሩ በፊት ተጫዋቾች ምን ግምት ውስጥ ማስገባት አለባቸው?")</f>
        <v>ጨዋታውን ከመጀመሩ በፊት ተጫዋቾች ምን ግምት ውስጥ ማስገባት አለባቸው?</v>
      </c>
      <c r="I36" s="8" t="str">
        <f>IFERROR(__xludf.DUMMYFUNCTION(" GOOGLETRANSLATE(C36, ""en"", ""am"")"),"ሀ. ጠቅላላ ዘሮች ለ. ተቃራኒ ዘሮች ሐ. ቀሪ ጉድጓዶች D. የመጋዘን አቅም")</f>
        <v>ሀ. ጠቅላላ ዘሮች ለ. ተቃራኒ ዘሮች ሐ. ቀሪ ጉድጓዶች D. የመጋዘን አቅም</v>
      </c>
      <c r="J36" s="8" t="str">
        <f>IFERROR(__xludf.DUMMYFUNCTION(" GOOGLETRANSLATE(D36, ""en"", ""am"")"),"ጠቅላላ ዘሮች")</f>
        <v>ጠቅላላ ዘሮች</v>
      </c>
      <c r="K36" s="8" t="str">
        <f>IFERROR(__xludf.DUMMYFUNCTION(" GOOGLETRANSLATE(E36, ""en"", ""am"")"),"ተጫዋቾቹ አጠቃላይ የዘር ፍሬዎችን መቁጠር አለባቸው.")</f>
        <v>ተጫዋቾቹ አጠቃላይ የዘር ፍሬዎችን መቁጠር አለባቸው.</v>
      </c>
    </row>
    <row r="37" ht="22.5" customHeight="1">
      <c r="A37" s="13">
        <v>36.0</v>
      </c>
      <c r="B37" s="14" t="s">
        <v>3104</v>
      </c>
      <c r="C37" s="14" t="s">
        <v>3105</v>
      </c>
      <c r="D37" s="14" t="s">
        <v>3106</v>
      </c>
      <c r="E37" s="14" t="s">
        <v>3107</v>
      </c>
      <c r="G37" s="8" t="str">
        <f>IFERROR(__xludf.DUMMYFUNCTION(" GOOGLETRANSLATE(A37, ""en"", ""am"")"),"36")</f>
        <v>36</v>
      </c>
      <c r="H37" s="8" t="str">
        <f>IFERROR(__xludf.DUMMYFUNCTION(" GOOGLETRANSLATE(B37, ""en"", ""am"")"),"ስኬትን ለመቅረጽ የትኛው ክህሎት ወሳኝ ነው?")</f>
        <v>ስኬትን ለመቅረጽ የትኛው ክህሎት ወሳኝ ነው?</v>
      </c>
      <c r="I37" s="8" t="str">
        <f>IFERROR(__xludf.DUMMYFUNCTION(" GOOGLETRANSLATE(C37, ""en"", ""am"")"),"ሀ. የሂሳብ አመክንዮ ለ. ፍጥነት ሐ. አካላዊ ጥንካሬ መ. ጽናት።")</f>
        <v>ሀ. የሂሳብ አመክንዮ ለ. ፍጥነት ሐ. አካላዊ ጥንካሬ መ. ጽናት።</v>
      </c>
      <c r="J37" s="8" t="str">
        <f>IFERROR(__xludf.DUMMYFUNCTION(" GOOGLETRANSLATE(D37, ""en"", ""am"")"),"የሂሳብ ሎጂክ")</f>
        <v>የሂሳብ ሎጂክ</v>
      </c>
      <c r="K37" s="8" t="str">
        <f>IFERROR(__xludf.DUMMYFUNCTION(" GOOGLETRANSLATE(E37, ""en"", ""am"")"),"የሂሳብ ማመዛዘን በስትራቴጂካዊ ጨዋታ ውስጥ ይረዳል።")</f>
        <v>የሂሳብ ማመዛዘን በስትራቴጂካዊ ጨዋታ ውስጥ ይረዳል።</v>
      </c>
    </row>
    <row r="38" ht="22.5" customHeight="1">
      <c r="A38" s="13">
        <v>37.0</v>
      </c>
      <c r="B38" s="14" t="s">
        <v>3108</v>
      </c>
      <c r="C38" s="14" t="s">
        <v>3109</v>
      </c>
      <c r="D38" s="14" t="s">
        <v>1437</v>
      </c>
      <c r="E38" s="14" t="s">
        <v>3110</v>
      </c>
      <c r="G38" s="8" t="str">
        <f>IFERROR(__xludf.DUMMYFUNCTION(" GOOGLETRANSLATE(A38, ""en"", ""am"")"),"37")</f>
        <v>37</v>
      </c>
      <c r="H38" s="8" t="str">
        <f>IFERROR(__xludf.DUMMYFUNCTION(" GOOGLETRANSLATE(B38, ""en"", ""am"")"),"ተጫዋቹ ጥቂት ዘሮችን ይዞ ማሸነፍ ይችላል?")</f>
        <v>ተጫዋቹ ጥቂት ዘሮችን ይዞ ማሸነፍ ይችላል?</v>
      </c>
      <c r="I38" s="8" t="str">
        <f>IFERROR(__xludf.DUMMYFUNCTION(" GOOGLETRANSLATE(C38, ""en"", ""am"")"),"A. አይ ለ. አዎ ሐ. በስምምነት ብቻ። መ. በድጋሚ ግጥሚያ ወቅት ብቻ።")</f>
        <v>A. አይ ለ. አዎ ሐ. በስምምነት ብቻ። መ. በድጋሚ ግጥሚያ ወቅት ብቻ።</v>
      </c>
      <c r="J38" s="8" t="str">
        <f>IFERROR(__xludf.DUMMYFUNCTION(" GOOGLETRANSLATE(D38, ""en"", ""am"")"),"አይ")</f>
        <v>አይ</v>
      </c>
      <c r="K38" s="8" t="str">
        <f>IFERROR(__xludf.DUMMYFUNCTION(" GOOGLETRANSLATE(E38, ""en"", ""am"")"),"ማሸነፍ ብዙ የተያዙ ዘሮችን ይፈልጋል።")</f>
        <v>ማሸነፍ ብዙ የተያዙ ዘሮችን ይፈልጋል።</v>
      </c>
    </row>
    <row r="39" ht="22.5" customHeight="1">
      <c r="A39" s="13">
        <v>38.0</v>
      </c>
      <c r="B39" s="14" t="s">
        <v>3111</v>
      </c>
      <c r="C39" s="14" t="s">
        <v>3112</v>
      </c>
      <c r="D39" s="14" t="s">
        <v>3054</v>
      </c>
      <c r="E39" s="14" t="s">
        <v>3113</v>
      </c>
      <c r="G39" s="8" t="str">
        <f>IFERROR(__xludf.DUMMYFUNCTION(" GOOGLETRANSLATE(A39, ""en"", ""am"")"),"38")</f>
        <v>38</v>
      </c>
      <c r="H39" s="8" t="str">
        <f>IFERROR(__xludf.DUMMYFUNCTION(" GOOGLETRANSLATE(B39, ""en"", ""am"")"),"ዘሮችን እንደገና ሲያከፋፍሉ ተጫዋቾች ምን መራቅ አለባቸው?")</f>
        <v>ዘሮችን እንደገና ሲያከፋፍሉ ተጫዋቾች ምን መራቅ አለባቸው?</v>
      </c>
      <c r="I39" s="8" t="str">
        <f>IFERROR(__xludf.DUMMYFUNCTION(" GOOGLETRANSLATE(C39, ""en"", ""am"")"),"ሀ. በቀዳዳዎች ላይ መዝለል ለ. የቁልፍ ሰሌዳውን ይንኩ ሐ. ዘሮችን መዝራት D. ወደኋላ መመለስ")</f>
        <v>ሀ. በቀዳዳዎች ላይ መዝለል ለ. የቁልፍ ሰሌዳውን ይንኩ ሐ. ዘሮችን መዝራት D. ወደኋላ መመለስ</v>
      </c>
      <c r="J39" s="8" t="str">
        <f>IFERROR(__xludf.DUMMYFUNCTION(" GOOGLETRANSLATE(D39, ""en"", ""am"")"),"በቀዳዳዎች ላይ መዝለል")</f>
        <v>በቀዳዳዎች ላይ መዝለል</v>
      </c>
      <c r="K39" s="8" t="str">
        <f>IFERROR(__xludf.DUMMYFUNCTION(" GOOGLETRANSLATE(E39, ""en"", ""am"")"),"ተጫዋቾች በቀዳዳዎች ላይ ከመዝለል መቆጠብ አለባቸው።")</f>
        <v>ተጫዋቾች በቀዳዳዎች ላይ ከመዝለል መቆጠብ አለባቸው።</v>
      </c>
    </row>
    <row r="40" ht="22.5" customHeight="1">
      <c r="A40" s="13">
        <v>39.0</v>
      </c>
      <c r="B40" s="14" t="s">
        <v>3114</v>
      </c>
      <c r="C40" s="14" t="s">
        <v>3115</v>
      </c>
      <c r="D40" s="14" t="s">
        <v>1455</v>
      </c>
      <c r="E40" s="14" t="s">
        <v>3116</v>
      </c>
      <c r="G40" s="8" t="str">
        <f>IFERROR(__xludf.DUMMYFUNCTION(" GOOGLETRANSLATE(A40, ""en"", ""am"")"),"39")</f>
        <v>39</v>
      </c>
      <c r="H40" s="8" t="str">
        <f>IFERROR(__xludf.DUMMYFUNCTION(" GOOGLETRANSLATE(B40, ""en"", ""am"")"),"በተመን ሉህ ውስጥ ስንት ረድፎች አሉ?")</f>
        <v>በተመን ሉህ ውስጥ ስንት ረድፎች አሉ?</v>
      </c>
      <c r="I40" s="8" t="str">
        <f>IFERROR(__xludf.DUMMYFUNCTION(" GOOGLETRANSLATE(C40, ""en"", ""am"")"),"አ.ሁለት ለ.ሦስት ሐ. አንድ መ.አራት")</f>
        <v>አ.ሁለት ለ.ሦስት ሐ. አንድ መ.አራት</v>
      </c>
      <c r="J40" s="8" t="str">
        <f>IFERROR(__xludf.DUMMYFUNCTION(" GOOGLETRANSLATE(D40, ""en"", ""am"")"),"ሁለት")</f>
        <v>ሁለት</v>
      </c>
      <c r="K40" s="8" t="str">
        <f>IFERROR(__xludf.DUMMYFUNCTION(" GOOGLETRANSLATE(E40, ""en"", ""am"")"),"ቦርዱ በተለምዶ ሁለት ረድፎች ቀዳዳዎች አሉት.")</f>
        <v>ቦርዱ በተለምዶ ሁለት ረድፎች ቀዳዳዎች አሉት.</v>
      </c>
    </row>
    <row r="41" ht="22.5" customHeight="1">
      <c r="A41" s="13">
        <v>40.0</v>
      </c>
      <c r="B41" s="14" t="s">
        <v>3117</v>
      </c>
      <c r="C41" s="14" t="s">
        <v>3118</v>
      </c>
      <c r="D41" s="14" t="s">
        <v>3002</v>
      </c>
      <c r="E41" s="14" t="s">
        <v>3119</v>
      </c>
      <c r="G41" s="8" t="str">
        <f>IFERROR(__xludf.DUMMYFUNCTION(" GOOGLETRANSLATE(A41, ""en"", ""am"")"),"40")</f>
        <v>40</v>
      </c>
      <c r="H41" s="8" t="str">
        <f>IFERROR(__xludf.DUMMYFUNCTION(" GOOGLETRANSLATE(B41, ""en"", ""am"")"),"አንድ ተጫዋች ሁሉንም የተቃዋሚውን ዘሮች ከያዘ ምን ይከሰታል?")</f>
        <v>አንድ ተጫዋች ሁሉንም የተቃዋሚውን ዘሮች ከያዘ ምን ይከሰታል?</v>
      </c>
      <c r="I41" s="8" t="str">
        <f>IFERROR(__xludf.DUMMYFUNCTION(" GOOGLETRANSLATE(C41, ""en"", ""am"")"),"ሀ. ጨዋታው ያበቃል። ለ. ተቃዋሚው ያሸንፋል። ሐ- ተጫዋቹ የጉርሻ ዙር ያገኛል። መ. ጨዋታው እንደገና ይጀምራል።")</f>
        <v>ሀ. ጨዋታው ያበቃል። ለ. ተቃዋሚው ያሸንፋል። ሐ- ተጫዋቹ የጉርሻ ዙር ያገኛል። መ. ጨዋታው እንደገና ይጀምራል።</v>
      </c>
      <c r="J41" s="8" t="str">
        <f>IFERROR(__xludf.DUMMYFUNCTION(" GOOGLETRANSLATE(D41, ""en"", ""am"")"),"ጨዋታው ያበቃል።")</f>
        <v>ጨዋታው ያበቃል።</v>
      </c>
      <c r="K41" s="8" t="str">
        <f>IFERROR(__xludf.DUMMYFUNCTION(" GOOGLETRANSLATE(E41, ""en"", ""am"")"),"ጨዋታው የሚያበቃው አንድ ተጫዋች ሁሉንም የተቃዋሚውን ዘሮች ሲይዝ ነው።")</f>
        <v>ጨዋታው የሚያበቃው አንድ ተጫዋች ሁሉንም የተቃዋሚውን ዘሮች ሲይዝ ነው።</v>
      </c>
    </row>
    <row r="42" ht="22.5" customHeight="1">
      <c r="A42" s="13">
        <v>41.0</v>
      </c>
      <c r="B42" s="14" t="s">
        <v>3120</v>
      </c>
      <c r="C42" s="14" t="s">
        <v>3121</v>
      </c>
      <c r="D42" s="14" t="s">
        <v>3122</v>
      </c>
      <c r="E42" s="14" t="s">
        <v>3123</v>
      </c>
      <c r="G42" s="8" t="str">
        <f>IFERROR(__xludf.DUMMYFUNCTION(" GOOGLETRANSLATE(A42, ""en"", ""am"")"),"41")</f>
        <v>41</v>
      </c>
      <c r="H42" s="8" t="str">
        <f>IFERROR(__xludf.DUMMYFUNCTION(" GOOGLETRANSLATE(B42, ""en"", ""am"")"),"ተጫዋቾች ማን ቀድመው እንደሚሄዱ እንዴት ይወስናሉ?")</f>
        <v>ተጫዋቾች ማን ቀድመው እንደሚሄዱ እንዴት ይወስናሉ?</v>
      </c>
      <c r="I42" s="8" t="str">
        <f>IFERROR(__xludf.DUMMYFUNCTION(" GOOGLETRANSLATE(C42, ""en"", ""am"")"),"ሀ. በስምምነት ለ. ብዙ በመሳል ሐ. ሳንቲም መገልበጥ መ. ዘሮችን መቁጠር")</f>
        <v>ሀ. በስምምነት ለ. ብዙ በመሳል ሐ. ሳንቲም መገልበጥ መ. ዘሮችን መቁጠር</v>
      </c>
      <c r="J42" s="8" t="str">
        <f>IFERROR(__xludf.DUMMYFUNCTION(" GOOGLETRANSLATE(D42, ""en"", ""am"")"),"ብዙ በመሳል")</f>
        <v>ብዙ በመሳል</v>
      </c>
      <c r="K42" s="8" t="str">
        <f>IFERROR(__xludf.DUMMYFUNCTION(" GOOGLETRANSLATE(E42, ""en"", ""am"")"),"በመጀመሪያ ማን እንደሚጀምር ለመወሰን ተጫዋቾች ብዙ ዕጣ ይወጣሉ።")</f>
        <v>በመጀመሪያ ማን እንደሚጀምር ለመወሰን ተጫዋቾች ብዙ ዕጣ ይወጣሉ።</v>
      </c>
    </row>
    <row r="43" ht="22.5" customHeight="1">
      <c r="A43" s="13">
        <v>42.0</v>
      </c>
      <c r="B43" s="14" t="s">
        <v>3124</v>
      </c>
      <c r="C43" s="14" t="s">
        <v>3125</v>
      </c>
      <c r="D43" s="14" t="s">
        <v>3126</v>
      </c>
      <c r="E43" s="14" t="s">
        <v>3127</v>
      </c>
      <c r="G43" s="8" t="str">
        <f>IFERROR(__xludf.DUMMYFUNCTION(" GOOGLETRANSLATE(A43, ""en"", ""am"")"),"42")</f>
        <v>42</v>
      </c>
      <c r="H43" s="8" t="str">
        <f>IFERROR(__xludf.DUMMYFUNCTION(" GOOGLETRANSLATE(B43, ""en"", ""am"")"),"ተጫዋቾች በአንድ ጉድጓድ ውስጥ የዘር ቁጥሮችን መለወጥ ይችላሉ?")</f>
        <v>ተጫዋቾች በአንድ ጉድጓድ ውስጥ የዘር ቁጥሮችን መለወጥ ይችላሉ?</v>
      </c>
      <c r="I43" s="8" t="str">
        <f>IFERROR(__xludf.DUMMYFUNCTION(" GOOGLETRANSLATE(C43, ""en"", ""am"")"),"መ. አዎ፣ በጋራ ስምምነት። B. አይ ሐ. ከመጀመሪያው እንቅስቃሴ በኋላ ብቻ D. ለዳግም ግጥሚያ ብቻ።")</f>
        <v>መ. አዎ፣ በጋራ ስምምነት። B. አይ ሐ. ከመጀመሪያው እንቅስቃሴ በኋላ ብቻ D. ለዳግም ግጥሚያ ብቻ።</v>
      </c>
      <c r="J43" s="8" t="str">
        <f>IFERROR(__xludf.DUMMYFUNCTION(" GOOGLETRANSLATE(D43, ""en"", ""am"")"),"አዎ፣ በጋራ ስምምነት።")</f>
        <v>አዎ፣ በጋራ ስምምነት።</v>
      </c>
      <c r="K43" s="8" t="str">
        <f>IFERROR(__xludf.DUMMYFUNCTION(" GOOGLETRANSLATE(E43, ""en"", ""am"")"),"በአንድ ጉድጓድ ውስጥ ያሉትን ዘሮች ቁጥር ለመቀየር ተጫዋቾች መስማማት ይችላሉ።")</f>
        <v>በአንድ ጉድጓድ ውስጥ ያሉትን ዘሮች ቁጥር ለመቀየር ተጫዋቾች መስማማት ይችላሉ።</v>
      </c>
    </row>
    <row r="44" ht="22.5" customHeight="1">
      <c r="A44" s="13">
        <v>43.0</v>
      </c>
      <c r="B44" s="14" t="s">
        <v>3128</v>
      </c>
      <c r="C44" s="14" t="s">
        <v>3129</v>
      </c>
      <c r="D44" s="14" t="s">
        <v>3130</v>
      </c>
      <c r="E44" s="14" t="s">
        <v>3131</v>
      </c>
      <c r="G44" s="8" t="str">
        <f>IFERROR(__xludf.DUMMYFUNCTION(" GOOGLETRANSLATE(A44, ""en"", ""am"")"),"43")</f>
        <v>43</v>
      </c>
      <c r="H44" s="8" t="str">
        <f>IFERROR(__xludf.DUMMYFUNCTION(" GOOGLETRANSLATE(B44, ""en"", ""am"")"),"ገበታ ለመማር ትክክለኛው ዕድሜ ስንት ነው?")</f>
        <v>ገበታ ለመማር ትክክለኛው ዕድሜ ስንት ነው?</v>
      </c>
      <c r="I44" s="8" t="str">
        <f>IFERROR(__xludf.DUMMYFUNCTION(" GOOGLETRANSLATE(C44, ""en"", ""am"")"),"ሀ. 6 አመት እና በላይ ለ. 10 አመት እና ከዛ በላይ C. 12 አመት እና ከዚያ በላይ መ. 15 አመት እና በላይ")</f>
        <v>ሀ. 6 አመት እና በላይ ለ. 10 አመት እና ከዛ በላይ C. 12 አመት እና ከዚያ በላይ መ. 15 አመት እና በላይ</v>
      </c>
      <c r="J44" s="8" t="str">
        <f>IFERROR(__xludf.DUMMYFUNCTION(" GOOGLETRANSLATE(D44, ""en"", ""am"")"),"6 ዓመት እና ከዚያ በላይ")</f>
        <v>6 ዓመት እና ከዚያ በላይ</v>
      </c>
      <c r="K44" s="8" t="str">
        <f>IFERROR(__xludf.DUMMYFUNCTION(" GOOGLETRANSLATE(E44, ""en"", ""am"")"),"ዕድሜያቸው 6 እና ከዚያ በላይ የሆኑ ልጆች ሰንጠረዡን በቀላሉ መማር ይችላሉ።")</f>
        <v>ዕድሜያቸው 6 እና ከዚያ በላይ የሆኑ ልጆች ሰንጠረዡን በቀላሉ መማር ይችላሉ።</v>
      </c>
    </row>
    <row r="45" ht="22.5" customHeight="1">
      <c r="A45" s="13">
        <v>44.0</v>
      </c>
      <c r="B45" s="14" t="s">
        <v>3132</v>
      </c>
      <c r="C45" s="14" t="s">
        <v>3133</v>
      </c>
      <c r="D45" s="14" t="s">
        <v>3134</v>
      </c>
      <c r="E45" s="14" t="s">
        <v>3135</v>
      </c>
      <c r="G45" s="8" t="str">
        <f>IFERROR(__xludf.DUMMYFUNCTION(" GOOGLETRANSLATE(A45, ""en"", ""am"")"),"44")</f>
        <v>44</v>
      </c>
      <c r="H45" s="8" t="str">
        <f>IFERROR(__xludf.DUMMYFUNCTION(" GOOGLETRANSLATE(B45, ""en"", ""am"")"),"በጨዋታው መጨረሻ ላይ ተጫዋቾች ምን ማድረግ አለባቸው?")</f>
        <v>በጨዋታው መጨረሻ ላይ ተጫዋቾች ምን ማድረግ አለባቸው?</v>
      </c>
      <c r="I45" s="8" t="str">
        <f>IFERROR(__xludf.DUMMYFUNCTION(" GOOGLETRANSLATE(C45, ""en"", ""am"")"),"ሀ. የተሰበሰቡትን ዘሮች ይቁጠሩ. ለ. ቦርዱን እንደገና ያስጀምሩ. ሐ. ዘሮቹን ይቀላቅሉ. መ የተቀሩትን ዘሮች መዝራት")</f>
        <v>ሀ. የተሰበሰቡትን ዘሮች ይቁጠሩ. ለ. ቦርዱን እንደገና ያስጀምሩ. ሐ. ዘሮቹን ይቀላቅሉ. መ የተቀሩትን ዘሮች መዝራት</v>
      </c>
      <c r="J45" s="8" t="str">
        <f>IFERROR(__xludf.DUMMYFUNCTION(" GOOGLETRANSLATE(D45, ""en"", ""am"")"),"የተሰበሰቡትን ዘሮች ይቁጠሩ.")</f>
        <v>የተሰበሰቡትን ዘሮች ይቁጠሩ.</v>
      </c>
      <c r="K45" s="8" t="str">
        <f>IFERROR(__xludf.DUMMYFUNCTION(" GOOGLETRANSLATE(E45, ""en"", ""am"")"),"አሸናፊውን ለመወሰን ተጫዋቾች የሰበሰቧቸውን ዘሮች ይቆጥራሉ.")</f>
        <v>አሸናፊውን ለመወሰን ተጫዋቾች የሰበሰቧቸውን ዘሮች ይቆጥራሉ.</v>
      </c>
    </row>
    <row r="46" ht="22.5" customHeight="1">
      <c r="A46" s="13">
        <v>45.0</v>
      </c>
      <c r="B46" s="14" t="s">
        <v>3136</v>
      </c>
      <c r="C46" s="14" t="s">
        <v>3137</v>
      </c>
      <c r="D46" s="14" t="s">
        <v>2979</v>
      </c>
      <c r="E46" s="14" t="s">
        <v>3138</v>
      </c>
      <c r="G46" s="8" t="str">
        <f>IFERROR(__xludf.DUMMYFUNCTION(" GOOGLETRANSLATE(A46, ""en"", ""am"")"),"45")</f>
        <v>45</v>
      </c>
      <c r="H46" s="8" t="str">
        <f>IFERROR(__xludf.DUMMYFUNCTION(" GOOGLETRANSLATE(B46, ""en"", ""am"")"),"በገበታው ውስጥ በጣም ስልታዊ የሆነው የትኛው ቀዳዳ ነው?")</f>
        <v>በገበታው ውስጥ በጣም ስልታዊ የሆነው የትኛው ቀዳዳ ነው?</v>
      </c>
      <c r="I46" s="8" t="str">
        <f>IFERROR(__xludf.DUMMYFUNCTION(" GOOGLETRANSLATE(C46, ""en"", ""am"")"),"A. Warehouse B. የመጀመሪያው ቀዳዳ ሐ. የመጨረሻው ቀዳዳ D. መካከለኛ ቀዳዳ")</f>
        <v>A. Warehouse B. የመጀመሪያው ቀዳዳ ሐ. የመጨረሻው ቀዳዳ D. መካከለኛ ቀዳዳ</v>
      </c>
      <c r="J46" s="8" t="str">
        <f>IFERROR(__xludf.DUMMYFUNCTION(" GOOGLETRANSLATE(D46, ""en"", ""am"")"),"መጋዘን")</f>
        <v>መጋዘን</v>
      </c>
      <c r="K46" s="8" t="str">
        <f>IFERROR(__xludf.DUMMYFUNCTION(" GOOGLETRANSLATE(E46, ""en"", ""am"")"),"መጋዘኑ ቁልፍ ስትራቴጂያዊ ሚና ይጫወታል።")</f>
        <v>መጋዘኑ ቁልፍ ስትራቴጂያዊ ሚና ይጫወታል።</v>
      </c>
    </row>
    <row r="47" ht="22.5" customHeight="1">
      <c r="A47" s="13">
        <v>46.0</v>
      </c>
      <c r="B47" s="14" t="s">
        <v>3139</v>
      </c>
      <c r="C47" s="14" t="s">
        <v>3140</v>
      </c>
      <c r="D47" s="14" t="s">
        <v>3141</v>
      </c>
      <c r="E47" s="14" t="s">
        <v>3142</v>
      </c>
      <c r="G47" s="8" t="str">
        <f>IFERROR(__xludf.DUMMYFUNCTION(" GOOGLETRANSLATE(A47, ""en"", ""am"")"),"46")</f>
        <v>46</v>
      </c>
      <c r="H47" s="8" t="str">
        <f>IFERROR(__xludf.DUMMYFUNCTION(" GOOGLETRANSLATE(B47, ""en"", ""am"")"),"የዘር ማብቀል ሂደት ምን ይባላል?")</f>
        <v>የዘር ማብቀል ሂደት ምን ይባላል?</v>
      </c>
      <c r="I47" s="8" t="str">
        <f>IFERROR(__xludf.DUMMYFUNCTION(" GOOGLETRANSLATE(C47, ""en"", ""am"")"),"ሀ. መኸር ለ. ሶው ሐ. መሰብሰብ D. Holding")</f>
        <v>ሀ. መኸር ለ. ሶው ሐ. መሰብሰብ D. Holding</v>
      </c>
      <c r="J47" s="8" t="str">
        <f>IFERROR(__xludf.DUMMYFUNCTION(" GOOGLETRANSLATE(D47, ""en"", ""am"")"),"በመያዝ ላይ")</f>
        <v>በመያዝ ላይ</v>
      </c>
      <c r="K47" s="8" t="str">
        <f>IFERROR(__xludf.DUMMYFUNCTION(" GOOGLETRANSLATE(E47, ""en"", ""am"")"),"በገበታ ውስጥ ዘሮችን መቅዳት ዋናው ዓላማ ነው።")</f>
        <v>በገበታ ውስጥ ዘሮችን መቅዳት ዋናው ዓላማ ነው።</v>
      </c>
    </row>
    <row r="48" ht="22.5" customHeight="1">
      <c r="A48" s="13">
        <v>47.0</v>
      </c>
      <c r="B48" s="14" t="s">
        <v>3143</v>
      </c>
      <c r="C48" s="14" t="s">
        <v>3144</v>
      </c>
      <c r="D48" s="14" t="s">
        <v>3098</v>
      </c>
      <c r="E48" s="14" t="s">
        <v>3145</v>
      </c>
      <c r="G48" s="8" t="str">
        <f>IFERROR(__xludf.DUMMYFUNCTION(" GOOGLETRANSLATE(A48, ""en"", ""am"")"),"47")</f>
        <v>47</v>
      </c>
      <c r="H48" s="8" t="str">
        <f>IFERROR(__xludf.DUMMYFUNCTION(" GOOGLETRANSLATE(B48, ""en"", ""am"")"),"አንድ ተጫዋች ዘሩን በስህተት ቢቆጥር ምን ይሆናል?")</f>
        <v>አንድ ተጫዋች ዘሩን በስህተት ቢቆጥር ምን ይሆናል?</v>
      </c>
      <c r="I48" s="8" t="str">
        <f>IFERROR(__xludf.DUMMYFUNCTION(" GOOGLETRANSLATE(C48, ""en"", ""am"")"),"ሀ. ተቃዋሚዎች ዘሮችን ያገኛሉ ለ. የጨዋታ መጥፋት ሐ. ጨዋታው ያበቃል። መ. ምንም ውጤት የለም.")</f>
        <v>ሀ. ተቃዋሚዎች ዘሮችን ያገኛሉ ለ. የጨዋታ መጥፋት ሐ. ጨዋታው ያበቃል። መ. ምንም ውጤት የለም.</v>
      </c>
      <c r="J48" s="8" t="str">
        <f>IFERROR(__xludf.DUMMYFUNCTION(" GOOGLETRANSLATE(D48, ""en"", ""am"")"),"ተቃዋሚዎች ዘሮችን ያገኛሉ")</f>
        <v>ተቃዋሚዎች ዘሮችን ያገኛሉ</v>
      </c>
      <c r="K48" s="8" t="str">
        <f>IFERROR(__xludf.DUMMYFUNCTION(" GOOGLETRANSLATE(E48, ""en"", ""am"")"),"የተሳሳተ ስሌት ለተቃዋሚው ጥቅም ሊሰጥ ይችላል።")</f>
        <v>የተሳሳተ ስሌት ለተቃዋሚው ጥቅም ሊሰጥ ይችላል።</v>
      </c>
    </row>
    <row r="49" ht="22.5" customHeight="1">
      <c r="A49" s="13">
        <v>48.0</v>
      </c>
      <c r="B49" s="14" t="s">
        <v>3146</v>
      </c>
      <c r="C49" s="14" t="s">
        <v>3147</v>
      </c>
      <c r="D49" s="14" t="s">
        <v>3148</v>
      </c>
      <c r="E49" s="14" t="s">
        <v>3149</v>
      </c>
      <c r="G49" s="8" t="str">
        <f>IFERROR(__xludf.DUMMYFUNCTION(" GOOGLETRANSLATE(A49, ""en"", ""am"")"),"48")</f>
        <v>48</v>
      </c>
      <c r="H49" s="8" t="str">
        <f>IFERROR(__xludf.DUMMYFUNCTION(" GOOGLETRANSLATE(B49, ""en"", ""am"")"),"ሁሉንም ዘሮች በእኩል መጠን ወደ ጉድጓዶች መዝራት ውጤቱ ምንድነው?")</f>
        <v>ሁሉንም ዘሮች በእኩል መጠን ወደ ጉድጓዶች መዝራት ውጤቱ ምንድነው?</v>
      </c>
      <c r="I49" s="8" t="str">
        <f>IFERROR(__xludf.DUMMYFUNCTION(" GOOGLETRANSLATE(C49, ""en"", ""am"")"),"ሀ. የጉርሻ ዙር ለ. አቅጣጫ ማጣት ሐ. መሳል ተቃዋሚው ያሸንፋል።")</f>
        <v>ሀ. የጉርሻ ዙር ለ. አቅጣጫ ማጣት ሐ. መሳል ተቃዋሚው ያሸንፋል።</v>
      </c>
      <c r="J49" s="8" t="str">
        <f>IFERROR(__xludf.DUMMYFUNCTION(" GOOGLETRANSLATE(D49, ""en"", ""am"")"),"የጉርሻ ዙር")</f>
        <v>የጉርሻ ዙር</v>
      </c>
      <c r="K49" s="8" t="str">
        <f>IFERROR(__xludf.DUMMYFUNCTION(" GOOGLETRANSLATE(E49, ""en"", ""am"")"),"ሁሉንም ዘሮች በእኩልነት መዝራት የጉርሻ መዞርን ይሰጣል።")</f>
        <v>ሁሉንም ዘሮች በእኩልነት መዝራት የጉርሻ መዞርን ይሰጣል።</v>
      </c>
    </row>
    <row r="50" ht="22.5" customHeight="1">
      <c r="A50" s="13">
        <v>49.0</v>
      </c>
      <c r="B50" s="14" t="s">
        <v>3150</v>
      </c>
      <c r="C50" s="14" t="s">
        <v>3151</v>
      </c>
      <c r="D50" s="14" t="s">
        <v>3050</v>
      </c>
      <c r="E50" s="14" t="s">
        <v>3152</v>
      </c>
      <c r="G50" s="8" t="str">
        <f>IFERROR(__xludf.DUMMYFUNCTION(" GOOGLETRANSLATE(A50, ""en"", ""am"")"),"49")</f>
        <v>49</v>
      </c>
      <c r="H50" s="8" t="str">
        <f>IFERROR(__xludf.DUMMYFUNCTION(" GOOGLETRANSLATE(B50, ""en"", ""am"")"),"ሰንጠረዡ ከየትኛው ሀገር ጋር በታሪክ ይዛመዳል?")</f>
        <v>ሰንጠረዡ ከየትኛው ሀገር ጋር በታሪክ ይዛመዳል?</v>
      </c>
      <c r="I50" s="8" t="str">
        <f>IFERROR(__xludf.DUMMYFUNCTION(" GOOGLETRANSLATE(C50, ""en"", ""am"")"),"ሀ ኢትዮጵያ ቢ.ኬንያ ሲ ታንዛኒያ ዲ.ኡጋንዳ")</f>
        <v>ሀ ኢትዮጵያ ቢ.ኬንያ ሲ ታንዛኒያ ዲ.ኡጋንዳ</v>
      </c>
      <c r="J50" s="8" t="str">
        <f>IFERROR(__xludf.DUMMYFUNCTION(" GOOGLETRANSLATE(D50, ""en"", ""am"")"),"ኢትዮጵያ")</f>
        <v>ኢትዮጵያ</v>
      </c>
      <c r="K50" s="8" t="str">
        <f>IFERROR(__xludf.DUMMYFUNCTION(" GOOGLETRANSLATE(E50, ""en"", ""am"")"),"ሰንጠረዡ በኢትዮጵያ ታሪካዊ መሰረት አለው።")</f>
        <v>ሰንጠረዡ በኢትዮጵያ ታሪካዊ መሰረት አለው።</v>
      </c>
    </row>
    <row r="51" ht="22.5" customHeight="1">
      <c r="A51" s="13">
        <v>50.0</v>
      </c>
      <c r="B51" s="14" t="s">
        <v>3153</v>
      </c>
      <c r="C51" s="14" t="s">
        <v>3154</v>
      </c>
      <c r="D51" s="14" t="s">
        <v>1451</v>
      </c>
      <c r="E51" s="14" t="s">
        <v>3155</v>
      </c>
      <c r="G51" s="8" t="str">
        <f>IFERROR(__xludf.DUMMYFUNCTION(" GOOGLETRANSLATE(A51, ""en"", ""am"")"),"50")</f>
        <v>50</v>
      </c>
      <c r="H51" s="8" t="str">
        <f>IFERROR(__xludf.DUMMYFUNCTION(" GOOGLETRANSLATE(B51, ""en"", ""am"")"),"ተጫዋቾች ህጎቹን ለመለወጥ መስማማት ይችላሉ?")</f>
        <v>ተጫዋቾች ህጎቹን ለመለወጥ መስማማት ይችላሉ?</v>
      </c>
      <c r="I51" s="8" t="str">
        <f>IFERROR(__xludf.DUMMYFUNCTION(" GOOGLETRANSLATE(C51, ""en"", ""am"")"),"ሀ. አዎ ለ. አይ ሐ. በድጋሚ ግጥሚያ ወቅት ብቻ። መ. መጀመሪያ ላይ ብቻ")</f>
        <v>ሀ. አዎ ለ. አይ ሐ. በድጋሚ ግጥሚያ ወቅት ብቻ። መ. መጀመሪያ ላይ ብቻ</v>
      </c>
      <c r="J51" s="8" t="str">
        <f>IFERROR(__xludf.DUMMYFUNCTION(" GOOGLETRANSLATE(D51, ""en"", ""am"")"),"አዎ")</f>
        <v>አዎ</v>
      </c>
      <c r="K51" s="8" t="str">
        <f>IFERROR(__xludf.DUMMYFUNCTION(" GOOGLETRANSLATE(E51, ""en"", ""am"")"),"ተጫዋቾች ለመደበኛ ጨዋታዎች ህጎቹን ለማሻሻል መስማማት ይችላሉ።")</f>
        <v>ተጫዋቾች ለመደበኛ ጨዋታዎች ህጎቹን ለማሻሻል መስማማት ይችላሉ።</v>
      </c>
    </row>
    <row r="52" ht="22.5" customHeight="1">
      <c r="A52" s="13">
        <v>51.0</v>
      </c>
      <c r="B52" s="14" t="s">
        <v>3156</v>
      </c>
      <c r="C52" s="14" t="s">
        <v>3157</v>
      </c>
      <c r="D52" s="14" t="s">
        <v>3158</v>
      </c>
      <c r="E52" s="14" t="s">
        <v>3159</v>
      </c>
      <c r="G52" s="8" t="str">
        <f>IFERROR(__xludf.DUMMYFUNCTION(" GOOGLETRANSLATE(A52, ""en"", ""am"")"),"51")</f>
        <v>51</v>
      </c>
      <c r="H52" s="8" t="str">
        <f>IFERROR(__xludf.DUMMYFUNCTION(" GOOGLETRANSLATE(B52, ""en"", ""am"")"),"በሰንጠረዡ ውስጥ ዋናው የመከላከያ ስልት ምንድን ነው?")</f>
        <v>በሰንጠረዡ ውስጥ ዋናው የመከላከያ ስልት ምንድን ነው?</v>
      </c>
      <c r="I52" s="8" t="str">
        <f>IFERROR(__xludf.DUMMYFUNCTION(" GOOGLETRANSLATE(C52, ""en"", ""am"")"),"ሀ. ባዶ ቀዳዳዎችን አስወግድ ለ. ወደ ኋላ መንሸራተት ሐ. መዞሪያዎችን ይዝለሉ። መ. የተቃዋሚውን ዘሮች ይንኩ.")</f>
        <v>ሀ. ባዶ ቀዳዳዎችን አስወግድ ለ. ወደ ኋላ መንሸራተት ሐ. መዞሪያዎችን ይዝለሉ። መ. የተቃዋሚውን ዘሮች ይንኩ.</v>
      </c>
      <c r="J52" s="8" t="str">
        <f>IFERROR(__xludf.DUMMYFUNCTION(" GOOGLETRANSLATE(D52, ""en"", ""am"")"),"ባዶ ቀዳዳዎችን ያስወግዱ")</f>
        <v>ባዶ ቀዳዳዎችን ያስወግዱ</v>
      </c>
      <c r="K52" s="8" t="str">
        <f>IFERROR(__xludf.DUMMYFUNCTION(" GOOGLETRANSLATE(E52, ""en"", ""am"")"),"ቀዳዳዎችን መሙላት ዋናው የመከላከያ ስልት ነው.")</f>
        <v>ቀዳዳዎችን መሙላት ዋናው የመከላከያ ስልት ነው.</v>
      </c>
    </row>
    <row r="53" ht="22.5" customHeight="1">
      <c r="A53" s="13">
        <v>52.0</v>
      </c>
      <c r="B53" s="14" t="s">
        <v>3160</v>
      </c>
      <c r="C53" s="14" t="s">
        <v>3161</v>
      </c>
      <c r="D53" s="14" t="s">
        <v>3162</v>
      </c>
      <c r="E53" s="14" t="s">
        <v>3163</v>
      </c>
      <c r="G53" s="8" t="str">
        <f>IFERROR(__xludf.DUMMYFUNCTION(" GOOGLETRANSLATE(A53, ""en"", ""am"")"),"52")</f>
        <v>52</v>
      </c>
      <c r="H53" s="8" t="str">
        <f>IFERROR(__xludf.DUMMYFUNCTION(" GOOGLETRANSLATE(B53, ""en"", ""am"")"),"የገበታው አሸናፊዎች እንዴት ይታወቃሉ?")</f>
        <v>የገበታው አሸናፊዎች እንዴት ይታወቃሉ?</v>
      </c>
      <c r="I53" s="8" t="str">
        <f>IFERROR(__xludf.DUMMYFUNCTION(" GOOGLETRANSLATE(C53, ""en"", ""am"")"),"ሀ. የዘር ብዛት ለ. የጨዋታ ቆይታ ሐ. የመዞሪያዎች ብዛት D. የተግባር ብዛት")</f>
        <v>ሀ. የዘር ብዛት ለ. የጨዋታ ቆይታ ሐ. የመዞሪያዎች ብዛት D. የተግባር ብዛት</v>
      </c>
      <c r="J53" s="8" t="str">
        <f>IFERROR(__xludf.DUMMYFUNCTION(" GOOGLETRANSLATE(D53, ""en"", ""am"")"),"የዘር ብዛት")</f>
        <v>የዘር ብዛት</v>
      </c>
      <c r="K53" s="8" t="str">
        <f>IFERROR(__xludf.DUMMYFUNCTION(" GOOGLETRANSLATE(E53, ""en"", ""am"")"),"አሸናፊው በዘሮቹ ቁጥር ይወሰናል.")</f>
        <v>አሸናፊው በዘሮቹ ቁጥር ይወሰናል.</v>
      </c>
    </row>
    <row r="54" ht="22.5" customHeight="1">
      <c r="A54" s="13">
        <v>53.0</v>
      </c>
      <c r="B54" s="14" t="s">
        <v>3164</v>
      </c>
      <c r="C54" s="14" t="s">
        <v>3165</v>
      </c>
      <c r="D54" s="14" t="s">
        <v>3166</v>
      </c>
      <c r="E54" s="14" t="s">
        <v>3167</v>
      </c>
      <c r="G54" s="8" t="str">
        <f>IFERROR(__xludf.DUMMYFUNCTION(" GOOGLETRANSLATE(A54, ""en"", ""am"")"),"53")</f>
        <v>53</v>
      </c>
      <c r="H54" s="8" t="str">
        <f>IFERROR(__xludf.DUMMYFUNCTION(" GOOGLETRANSLATE(B54, ""en"", ""am"")"),"በሰንጠረዡ ውስጥ ፍትሃዊ እርምጃ ተብሎ የሚወሰደው ምንድን ነው?")</f>
        <v>በሰንጠረዡ ውስጥ ፍትሃዊ እርምጃ ተብሎ የሚወሰደው ምንድን ነው?</v>
      </c>
      <c r="I54" s="8" t="str">
        <f>IFERROR(__xludf.DUMMYFUNCTION(" GOOGLETRANSLATE(C54, ""en"", ""am"")"),"ሀ. ዘርን ወደ ፊት መዝራት ለ. በቀዳዳዎች ላይ መዝለል ሐ. የተቃዋሚውን ቀዳዳዎች መንካት D. ወደኋላ መመለስ")</f>
        <v>ሀ. ዘርን ወደ ፊት መዝራት ለ. በቀዳዳዎች ላይ መዝለል ሐ. የተቃዋሚውን ቀዳዳዎች መንካት D. ወደኋላ መመለስ</v>
      </c>
      <c r="J54" s="8" t="str">
        <f>IFERROR(__xludf.DUMMYFUNCTION(" GOOGLETRANSLATE(D54, ""en"", ""am"")"),"ዘርን ወደ ፊት መዝራት")</f>
        <v>ዘርን ወደ ፊት መዝራት</v>
      </c>
      <c r="K54" s="8" t="str">
        <f>IFERROR(__xludf.DUMMYFUNCTION(" GOOGLETRANSLATE(E54, ""en"", ""am"")"),"ወደፊት መዝራት ተገቢ ነው ተብሎ ይታሰባል።")</f>
        <v>ወደፊት መዝራት ተገቢ ነው ተብሎ ይታሰባል።</v>
      </c>
    </row>
    <row r="55" ht="22.5" customHeight="1">
      <c r="A55" s="13">
        <v>54.0</v>
      </c>
      <c r="B55" s="14" t="s">
        <v>3168</v>
      </c>
      <c r="C55" s="14" t="s">
        <v>3169</v>
      </c>
      <c r="D55" s="14" t="s">
        <v>1451</v>
      </c>
      <c r="E55" s="14" t="s">
        <v>3170</v>
      </c>
      <c r="G55" s="8" t="str">
        <f>IFERROR(__xludf.DUMMYFUNCTION(" GOOGLETRANSLATE(A55, ""en"", ""am"")"),"54")</f>
        <v>54</v>
      </c>
      <c r="H55" s="8" t="str">
        <f>IFERROR(__xludf.DUMMYFUNCTION(" GOOGLETRANSLATE(B55, ""en"", ""am"")"),"አንድ ተጫዋች ዘሮችን ከያዘ በኋላ አሁንም ሊሸነፍ ይችላል?")</f>
        <v>አንድ ተጫዋች ዘሮችን ከያዘ በኋላ አሁንም ሊሸነፍ ይችላል?</v>
      </c>
      <c r="I55" s="8" t="str">
        <f>IFERROR(__xludf.DUMMYFUNCTION(" GOOGLETRANSLATE(C55, ""en"", ""am"")"),"ሀ. አዎ ለ. አይ ሐ. የሚደጋገሙ ብቻ መ. ተቃዋሚው ከተስማማ ብቻ ነው።")</f>
        <v>ሀ. አዎ ለ. አይ ሐ. የሚደጋገሙ ብቻ መ. ተቃዋሚው ከተስማማ ብቻ ነው።</v>
      </c>
      <c r="J55" s="8" t="str">
        <f>IFERROR(__xludf.DUMMYFUNCTION(" GOOGLETRANSLATE(D55, ""en"", ""am"")"),"አዎ")</f>
        <v>አዎ</v>
      </c>
      <c r="K55" s="8" t="str">
        <f>IFERROR(__xludf.DUMMYFUNCTION(" GOOGLETRANSLATE(E55, ""en"", ""am"")"),"አንድ ተጫዋች በጣም ጥቂት ዘሮችን ከያዘ ሊሸነፍ ይችላል።")</f>
        <v>አንድ ተጫዋች በጣም ጥቂት ዘሮችን ከያዘ ሊሸነፍ ይችላል።</v>
      </c>
    </row>
    <row r="56" ht="22.5" customHeight="1">
      <c r="A56" s="13">
        <v>55.0</v>
      </c>
      <c r="B56" s="14" t="s">
        <v>3171</v>
      </c>
      <c r="C56" s="14" t="s">
        <v>3172</v>
      </c>
      <c r="D56" s="14" t="s">
        <v>3173</v>
      </c>
      <c r="E56" s="14" t="s">
        <v>3174</v>
      </c>
      <c r="G56" s="8" t="str">
        <f>IFERROR(__xludf.DUMMYFUNCTION(" GOOGLETRANSLATE(A56, ""en"", ""am"")"),"55")</f>
        <v>55</v>
      </c>
      <c r="H56" s="8" t="str">
        <f>IFERROR(__xludf.DUMMYFUNCTION(" GOOGLETRANSLATE(B56, ""en"", ""am"")"),"አንድ ተጫዋች በባዶ ጉድጓድ ውስጥ ሲተክል ምን ይሆናል?")</f>
        <v>አንድ ተጫዋች በባዶ ጉድጓድ ውስጥ ሲተክል ምን ይሆናል?</v>
      </c>
      <c r="I56" s="8" t="str">
        <f>IFERROR(__xludf.DUMMYFUNCTION(" GOOGLETRANSLATE(C56, ""en"", ""am"")"),"ሀ. ምንም መያዝ የለም. ለ. ተጨማሪ ተራዎች ሐ. የተቃዋሚ ዘሮችን ይያዙ D. ጨዋታው ያበቃል።")</f>
        <v>ሀ. ምንም መያዝ የለም. ለ. ተጨማሪ ተራዎች ሐ. የተቃዋሚ ዘሮችን ይያዙ D. ጨዋታው ያበቃል።</v>
      </c>
      <c r="J56" s="8" t="str">
        <f>IFERROR(__xludf.DUMMYFUNCTION(" GOOGLETRANSLATE(D56, ""en"", ""am"")"),"ምንም መያዝ የለም.")</f>
        <v>ምንም መያዝ የለም.</v>
      </c>
      <c r="K56" s="8" t="str">
        <f>IFERROR(__xludf.DUMMYFUNCTION(" GOOGLETRANSLATE(E56, ""en"", ""am"")"),"በባዶ ጉድጓድ ውስጥ መዝራት ምንም አይነት ማብቀል አያስከትልም.")</f>
        <v>በባዶ ጉድጓድ ውስጥ መዝራት ምንም አይነት ማብቀል አያስከትልም.</v>
      </c>
    </row>
    <row r="57" ht="22.5" customHeight="1">
      <c r="A57" s="13">
        <v>56.0</v>
      </c>
      <c r="B57" s="14" t="s">
        <v>3175</v>
      </c>
      <c r="C57" s="14" t="s">
        <v>3176</v>
      </c>
      <c r="D57" s="14" t="s">
        <v>3177</v>
      </c>
      <c r="E57" s="14" t="s">
        <v>3178</v>
      </c>
      <c r="G57" s="8" t="str">
        <f>IFERROR(__xludf.DUMMYFUNCTION(" GOOGLETRANSLATE(A57, ""en"", ""am"")"),"56")</f>
        <v>56</v>
      </c>
      <c r="H57" s="8" t="str">
        <f>IFERROR(__xludf.DUMMYFUNCTION(" GOOGLETRANSLATE(B57, ""en"", ""am"")"),"በገበታው ላይ ያለው እያንዳንዱ ቀዳዳ የሚጀምረው በየትኛው ዘር ነው?")</f>
        <v>በገበታው ላይ ያለው እያንዳንዱ ቀዳዳ የሚጀምረው በየትኛው ዘር ነው?</v>
      </c>
      <c r="I57" s="8" t="str">
        <f>IFERROR(__xludf.DUMMYFUNCTION(" GOOGLETRANSLATE(C57, ""en"", ""am"")"),"ሀ.አራት ለ.ሁለት ሐ.ስድስት ዲ.ስምንት")</f>
        <v>ሀ.አራት ለ.ሁለት ሐ.ስድስት ዲ.ስምንት</v>
      </c>
      <c r="J57" s="8" t="str">
        <f>IFERROR(__xludf.DUMMYFUNCTION(" GOOGLETRANSLATE(D57, ""en"", ""am"")"),"አራት")</f>
        <v>አራት</v>
      </c>
      <c r="K57" s="8" t="str">
        <f>IFERROR(__xludf.DUMMYFUNCTION(" GOOGLETRANSLATE(E57, ""en"", ""am"")"),"እያንዳንዱ ቀዳዳ በሰንጠረዡ ውስጥ በአራት ዘሮች ይጀምራል.")</f>
        <v>እያንዳንዱ ቀዳዳ በሰንጠረዡ ውስጥ በአራት ዘሮች ይጀምራል.</v>
      </c>
    </row>
    <row r="58" ht="22.5" customHeight="1">
      <c r="A58" s="13">
        <v>57.0</v>
      </c>
      <c r="B58" s="14" t="s">
        <v>3179</v>
      </c>
      <c r="C58" s="14" t="s">
        <v>3180</v>
      </c>
      <c r="D58" s="14" t="s">
        <v>3181</v>
      </c>
      <c r="E58" s="14" t="s">
        <v>3182</v>
      </c>
      <c r="G58" s="8" t="str">
        <f>IFERROR(__xludf.DUMMYFUNCTION(" GOOGLETRANSLATE(A58, ""en"", ""am"")"),"57")</f>
        <v>57</v>
      </c>
      <c r="H58" s="8" t="str">
        <f>IFERROR(__xludf.DUMMYFUNCTION(" GOOGLETRANSLATE(B58, ""en"", ""am"")"),"ሎተሪ ለማሸነፍ ውጤታማ መንገድ ምንድነው?")</f>
        <v>ሎተሪ ለማሸነፍ ውጤታማ መንገድ ምንድነው?</v>
      </c>
      <c r="I58" s="8" t="str">
        <f>IFERROR(__xludf.DUMMYFUNCTION(" GOOGLETRANSLATE(C58, ""en"", ""am"")"),"ሀ. ብዙ ዘሮችን ይያዙ ለ. በእኩልነት መዝራት ሐ. ተራዎችን ይዝለሉ። መ. የተቃዋሚዎችን ወጥመዶች ማስወገድ")</f>
        <v>ሀ. ብዙ ዘሮችን ይያዙ ለ. በእኩልነት መዝራት ሐ. ተራዎችን ይዝለሉ። መ. የተቃዋሚዎችን ወጥመዶች ማስወገድ</v>
      </c>
      <c r="J58" s="8" t="str">
        <f>IFERROR(__xludf.DUMMYFUNCTION(" GOOGLETRANSLATE(D58, ""en"", ""am"")"),"ተጨማሪ ዘሮችን ይያዙ")</f>
        <v>ተጨማሪ ዘሮችን ይያዙ</v>
      </c>
      <c r="K58" s="8" t="str">
        <f>IFERROR(__xludf.DUMMYFUNCTION(" GOOGLETRANSLATE(E58, ""en"", ""am"")"),"ከተቃዋሚዎ የበለጠ ብዙ ዘሮችን መያዙ ድልን ያረጋግጣል።")</f>
        <v>ከተቃዋሚዎ የበለጠ ብዙ ዘሮችን መያዙ ድልን ያረጋግጣል።</v>
      </c>
    </row>
    <row r="59" ht="22.5" customHeight="1">
      <c r="A59" s="13">
        <v>58.0</v>
      </c>
      <c r="B59" s="14" t="s">
        <v>3183</v>
      </c>
      <c r="C59" s="14" t="s">
        <v>3184</v>
      </c>
      <c r="D59" s="14" t="s">
        <v>1437</v>
      </c>
      <c r="E59" s="14" t="s">
        <v>3185</v>
      </c>
      <c r="G59" s="8" t="str">
        <f>IFERROR(__xludf.DUMMYFUNCTION(" GOOGLETRANSLATE(A59, ""en"", ""am"")"),"58")</f>
        <v>58</v>
      </c>
      <c r="H59" s="8" t="str">
        <f>IFERROR(__xludf.DUMMYFUNCTION(" GOOGLETRANSLATE(B59, ""en"", ""am"")"),"ተጫዋቹ ከራሳቸው ጉድጓድ ውስጥ ዘሮችን መያዝ ይችላል?")</f>
        <v>ተጫዋቹ ከራሳቸው ጉድጓድ ውስጥ ዘሮችን መያዝ ይችላል?</v>
      </c>
      <c r="I59" s="8" t="str">
        <f>IFERROR(__xludf.DUMMYFUNCTION(" GOOGLETRANSLATE(C59, ""en"", ""am"")"),"A. አይ ለ. አዎ ሐ. ጥሩ ስምምነት ብቻ D. በድጋሚ ግጥሚያ ወቅት ብቻ።")</f>
        <v>A. አይ ለ. አዎ ሐ. ጥሩ ስምምነት ብቻ D. በድጋሚ ግጥሚያ ወቅት ብቻ።</v>
      </c>
      <c r="J59" s="8" t="str">
        <f>IFERROR(__xludf.DUMMYFUNCTION(" GOOGLETRANSLATE(D59, ""en"", ""am"")"),"አይ")</f>
        <v>አይ</v>
      </c>
      <c r="K59" s="8" t="str">
        <f>IFERROR(__xludf.DUMMYFUNCTION(" GOOGLETRANSLATE(E59, ""en"", ""am"")"),"ተጫዋቾቹ ዘሮችን ከተቃዋሚ ቀዳዳዎች ብቻ ነው መያዝ የሚችሉት።")</f>
        <v>ተጫዋቾቹ ዘሮችን ከተቃዋሚ ቀዳዳዎች ብቻ ነው መያዝ የሚችሉት።</v>
      </c>
    </row>
    <row r="60" ht="22.5" customHeight="1">
      <c r="A60" s="13">
        <v>59.0</v>
      </c>
      <c r="B60" s="14" t="s">
        <v>3186</v>
      </c>
      <c r="C60" s="14" t="s">
        <v>3187</v>
      </c>
      <c r="D60" s="14" t="s">
        <v>3188</v>
      </c>
      <c r="E60" s="14" t="s">
        <v>3189</v>
      </c>
      <c r="G60" s="8" t="str">
        <f>IFERROR(__xludf.DUMMYFUNCTION(" GOOGLETRANSLATE(A60, ""en"", ""am"")"),"59")</f>
        <v>59</v>
      </c>
      <c r="H60" s="8" t="str">
        <f>IFERROR(__xludf.DUMMYFUNCTION(" GOOGLETRANSLATE(B60, ""en"", ""am"")"),"የገበታው ዓላማ ምንድን ነው?")</f>
        <v>የገበታው ዓላማ ምንድን ነው?</v>
      </c>
      <c r="I60" s="8" t="str">
        <f>IFERROR(__xludf.DUMMYFUNCTION(" GOOGLETRANSLATE(C60, ""en"", ""am"")"),"ሀ. ብዙ ዘሮችን ይያዙ B. ጉድጓዶቹን ይጠብቁ. ሐ. ጥቂት ዘሮችን ያስቀምጡ. መ. ቀረጻ አስወግድ")</f>
        <v>ሀ. ብዙ ዘሮችን ይያዙ B. ጉድጓዶቹን ይጠብቁ. ሐ. ጥቂት ዘሮችን ያስቀምጡ. መ. ቀረጻ አስወግድ</v>
      </c>
      <c r="J60" s="8" t="str">
        <f>IFERROR(__xludf.DUMMYFUNCTION(" GOOGLETRANSLATE(D60, ""en"", ""am"")"),"በጣም ብዙ ዘሮችን ይያዙ")</f>
        <v>በጣም ብዙ ዘሮችን ይያዙ</v>
      </c>
      <c r="K60" s="8" t="str">
        <f>IFERROR(__xludf.DUMMYFUNCTION(" GOOGLETRANSLATE(E60, ""en"", ""am"")"),"ግቡ በተቻለ መጠን ብዙ ዘሮችን ለመያዝ ነው.")</f>
        <v>ግቡ በተቻለ መጠን ብዙ ዘሮችን ለመያዝ ነው.</v>
      </c>
    </row>
    <row r="61" ht="22.5" customHeight="1">
      <c r="A61" s="13">
        <v>60.0</v>
      </c>
      <c r="B61" s="14" t="s">
        <v>3190</v>
      </c>
      <c r="C61" s="14" t="s">
        <v>1512</v>
      </c>
      <c r="D61" s="14" t="s">
        <v>1455</v>
      </c>
      <c r="E61" s="14" t="s">
        <v>3191</v>
      </c>
      <c r="G61" s="8" t="str">
        <f>IFERROR(__xludf.DUMMYFUNCTION(" GOOGLETRANSLATE(A61, ""en"", ""am"")"),"60")</f>
        <v>60</v>
      </c>
      <c r="H61" s="8" t="str">
        <f>IFERROR(__xludf.DUMMYFUNCTION(" GOOGLETRANSLATE(B61, ""en"", ""am"")"),"በባህላዊ ገበታ ውስጥ ስንት ረድፎች ጥቅም ላይ ይውላሉ?")</f>
        <v>በባህላዊ ገበታ ውስጥ ስንት ረድፎች ጥቅም ላይ ይውላሉ?</v>
      </c>
      <c r="I61" s="8" t="str">
        <f>IFERROR(__xludf.DUMMYFUNCTION(" GOOGLETRANSLATE(C61, ""en"", ""am"")"),"አ.ሁለት ለ.ሦስት ሐ.አራት መ.አንድ")</f>
        <v>አ.ሁለት ለ.ሦስት ሐ.አራት መ.አንድ</v>
      </c>
      <c r="J61" s="8" t="str">
        <f>IFERROR(__xludf.DUMMYFUNCTION(" GOOGLETRANSLATE(D61, ""en"", ""am"")"),"ሁለት")</f>
        <v>ሁለት</v>
      </c>
      <c r="K61" s="8" t="str">
        <f>IFERROR(__xludf.DUMMYFUNCTION(" GOOGLETRANSLATE(E61, ""en"", ""am"")"),"ባህላዊ ሰንጠረዥ ሁለት ረድፎችን ቀዳዳዎች ይጠቀማል.")</f>
        <v>ባህላዊ ሰንጠረዥ ሁለት ረድፎችን ቀዳዳዎች ይጠቀማል.</v>
      </c>
    </row>
    <row r="62" ht="22.5" customHeight="1">
      <c r="A62" s="13">
        <v>61.0</v>
      </c>
      <c r="B62" s="14" t="s">
        <v>3192</v>
      </c>
      <c r="C62" s="14" t="s">
        <v>3193</v>
      </c>
      <c r="D62" s="14" t="s">
        <v>3002</v>
      </c>
      <c r="E62" s="14" t="s">
        <v>3065</v>
      </c>
      <c r="G62" s="8" t="str">
        <f>IFERROR(__xludf.DUMMYFUNCTION(" GOOGLETRANSLATE(A62, ""en"", ""am"")"),"61")</f>
        <v>61</v>
      </c>
      <c r="H62" s="8" t="str">
        <f>IFERROR(__xludf.DUMMYFUNCTION(" GOOGLETRANSLATE(B62, ""en"", ""am"")"),"አንድ ተጫዋች የሚዘራበት ዘር ከሌለው ምን ይሆናል?")</f>
        <v>አንድ ተጫዋች የሚዘራበት ዘር ከሌለው ምን ይሆናል?</v>
      </c>
      <c r="I62" s="8" t="str">
        <f>IFERROR(__xludf.DUMMYFUNCTION(" GOOGLETRANSLATE(C62, ""en"", ""am"")"),"ሀ. ጨዋታው ያበቃል። ለ. ተጫዋቹ ተራ ያጣል. ሐ. ተቃዋሚው ያሸንፋል። መ. ጨዋታው እንደገና ይጀምራል።")</f>
        <v>ሀ. ጨዋታው ያበቃል። ለ. ተጫዋቹ ተራ ያጣል. ሐ. ተቃዋሚው ያሸንፋል። መ. ጨዋታው እንደገና ይጀምራል።</v>
      </c>
      <c r="J62" s="8" t="str">
        <f>IFERROR(__xludf.DUMMYFUNCTION(" GOOGLETRANSLATE(D62, ""en"", ""am"")"),"ጨዋታው ያበቃል።")</f>
        <v>ጨዋታው ያበቃል።</v>
      </c>
      <c r="K62" s="8" t="str">
        <f>IFERROR(__xludf.DUMMYFUNCTION(" GOOGLETRANSLATE(E62, ""en"", ""am"")"),"ተጫዋቹ ምንም ዘሮች ሳይቀሩ ሲቀሩ ጨዋታው ያበቃል።")</f>
        <v>ተጫዋቹ ምንም ዘሮች ሳይቀሩ ሲቀሩ ጨዋታው ያበቃል።</v>
      </c>
    </row>
    <row r="63" ht="22.5" customHeight="1">
      <c r="A63" s="13">
        <v>62.0</v>
      </c>
      <c r="B63" s="14" t="s">
        <v>3194</v>
      </c>
      <c r="C63" s="14" t="s">
        <v>3195</v>
      </c>
      <c r="D63" s="14" t="s">
        <v>3196</v>
      </c>
      <c r="E63" s="14" t="s">
        <v>3197</v>
      </c>
      <c r="G63" s="8" t="str">
        <f>IFERROR(__xludf.DUMMYFUNCTION(" GOOGLETRANSLATE(A63, ""en"", ""am"")"),"62")</f>
        <v>62</v>
      </c>
      <c r="H63" s="8" t="str">
        <f>IFERROR(__xludf.DUMMYFUNCTION(" GOOGLETRANSLATE(B63, ""en"", ""am"")"),"በገበታው ውስጥ የስትራቴጂው ሚና ምንድን ነው?")</f>
        <v>በገበታው ውስጥ የስትራቴጂው ሚና ምንድን ነው?</v>
      </c>
      <c r="I63" s="8" t="str">
        <f>IFERROR(__xludf.DUMMYFUNCTION(" GOOGLETRANSLATE(C63, ""en"", ""am"")"),"ሀ. የዘር መጠንን ማሳደግ ለ. መያዙን ማስወገድ C. ዙሪያ መዝለል D. በፍጥነት መጫወት")</f>
        <v>ሀ. የዘር መጠንን ማሳደግ ለ. መያዙን ማስወገድ C. ዙሪያ መዝለል D. በፍጥነት መጫወት</v>
      </c>
      <c r="J63" s="8" t="str">
        <f>IFERROR(__xludf.DUMMYFUNCTION(" GOOGLETRANSLATE(D63, ""en"", ""am"")"),"የዘር መጠን መጨመር")</f>
        <v>የዘር መጠን መጨመር</v>
      </c>
      <c r="K63" s="8" t="str">
        <f>IFERROR(__xludf.DUMMYFUNCTION(" GOOGLETRANSLATE(E63, ""en"", ""am"")"),"ስልቱ የዘር መገለጫዎችን ከፍ ለማድረግ ላይ ያተኩራል።")</f>
        <v>ስልቱ የዘር መገለጫዎችን ከፍ ለማድረግ ላይ ያተኩራል።</v>
      </c>
    </row>
    <row r="64" ht="22.5" customHeight="1">
      <c r="A64" s="13">
        <v>63.0</v>
      </c>
      <c r="B64" s="14" t="s">
        <v>3198</v>
      </c>
      <c r="C64" s="14" t="s">
        <v>3199</v>
      </c>
      <c r="D64" s="14" t="s">
        <v>3054</v>
      </c>
      <c r="E64" s="14" t="s">
        <v>3200</v>
      </c>
      <c r="G64" s="8" t="str">
        <f>IFERROR(__xludf.DUMMYFUNCTION(" GOOGLETRANSLATE(A64, ""en"", ""am"")"),"63")</f>
        <v>63</v>
      </c>
      <c r="H64" s="8" t="str">
        <f>IFERROR(__xludf.DUMMYFUNCTION(" GOOGLETRANSLATE(B64, ""en"", ""am"")"),"በገበታ ውስጥ ሲዘራ ምን የተከለከለ ነው?")</f>
        <v>በገበታ ውስጥ ሲዘራ ምን የተከለከለ ነው?</v>
      </c>
      <c r="I64" s="8" t="str">
        <f>IFERROR(__xludf.DUMMYFUNCTION(" GOOGLETRANSLATE(C64, ""en"", ""am"")"),"ሀ. በቀዳዳዎች ላይ መዝለል ለ. የቦርዱን ጠርዞች መንካት ሐ. ለመናገር መ. ባሉበት ያቁሙ።")</f>
        <v>ሀ. በቀዳዳዎች ላይ መዝለል ለ. የቦርዱን ጠርዞች መንካት ሐ. ለመናገር መ. ባሉበት ያቁሙ።</v>
      </c>
      <c r="J64" s="8" t="str">
        <f>IFERROR(__xludf.DUMMYFUNCTION(" GOOGLETRANSLATE(D64, ""en"", ""am"")"),"በቀዳዳዎች ላይ መዝለል")</f>
        <v>በቀዳዳዎች ላይ መዝለል</v>
      </c>
      <c r="K64" s="8" t="str">
        <f>IFERROR(__xludf.DUMMYFUNCTION(" GOOGLETRANSLATE(E64, ""en"", ""am"")"),"በሚዘሩበት ጊዜ ጉድጓዶችን መዝለል የተከለከለ ነው.")</f>
        <v>በሚዘሩበት ጊዜ ጉድጓዶችን መዝለል የተከለከለ ነው.</v>
      </c>
    </row>
    <row r="65" ht="22.5" customHeight="1">
      <c r="A65" s="13">
        <v>64.0</v>
      </c>
      <c r="B65" s="14" t="s">
        <v>3201</v>
      </c>
      <c r="C65" s="14" t="s">
        <v>3202</v>
      </c>
      <c r="D65" s="14" t="s">
        <v>1437</v>
      </c>
      <c r="E65" s="14" t="s">
        <v>3203</v>
      </c>
      <c r="G65" s="8" t="str">
        <f>IFERROR(__xludf.DUMMYFUNCTION(" GOOGLETRANSLATE(A65, ""en"", ""am"")"),"64")</f>
        <v>64</v>
      </c>
      <c r="H65" s="8" t="str">
        <f>IFERROR(__xludf.DUMMYFUNCTION(" GOOGLETRANSLATE(B65, ""en"", ""am"")"),"አንድ ተጫዋች በጨዋታው አጋማሽ ላይ የቦርዱን አቀማመጥ ማስተካከል ይችላል?")</f>
        <v>አንድ ተጫዋች በጨዋታው አጋማሽ ላይ የቦርዱን አቀማመጥ ማስተካከል ይችላል?</v>
      </c>
      <c r="I65" s="8" t="str">
        <f>IFERROR(__xludf.DUMMYFUNCTION(" GOOGLETRANSLATE(C65, ""en"", ""am"")"),"A. አይ ለ. አዎ ሐ. በድጋሚ ግጥሚያ ወቅት ብቻ። መ. ተቃዋሚው ከተስማማ ብቻ ነው።")</f>
        <v>A. አይ ለ. አዎ ሐ. በድጋሚ ግጥሚያ ወቅት ብቻ። መ. ተቃዋሚው ከተስማማ ብቻ ነው።</v>
      </c>
      <c r="J65" s="8" t="str">
        <f>IFERROR(__xludf.DUMMYFUNCTION(" GOOGLETRANSLATE(D65, ""en"", ""am"")"),"አይ")</f>
        <v>አይ</v>
      </c>
      <c r="K65" s="8" t="str">
        <f>IFERROR(__xludf.DUMMYFUNCTION(" GOOGLETRANSLATE(E65, ""en"", ""am"")"),"በጨዋታው አጋማሽ ላይ የቦርዱ አቀማመጥ ሊስተካከል አይችልም።")</f>
        <v>በጨዋታው አጋማሽ ላይ የቦርዱ አቀማመጥ ሊስተካከል አይችልም።</v>
      </c>
    </row>
    <row r="66" ht="22.5" customHeight="1">
      <c r="A66" s="13">
        <v>65.0</v>
      </c>
      <c r="B66" s="14" t="s">
        <v>3204</v>
      </c>
      <c r="C66" s="14" t="s">
        <v>3205</v>
      </c>
      <c r="D66" s="14" t="s">
        <v>3206</v>
      </c>
      <c r="E66" s="14" t="s">
        <v>3207</v>
      </c>
      <c r="G66" s="8" t="str">
        <f>IFERROR(__xludf.DUMMYFUNCTION(" GOOGLETRANSLATE(A66, ""en"", ""am"")"),"65")</f>
        <v>65</v>
      </c>
      <c r="H66" s="8" t="str">
        <f>IFERROR(__xludf.DUMMYFUNCTION(" GOOGLETRANSLATE(B66, ""en"", ""am"")"),"በውድድር አቻ ውጤት ለማሸነፍ ቁልፉ ምንድን ነው?")</f>
        <v>በውድድር አቻ ውጤት ለማሸነፍ ቁልፉ ምንድን ነው?</v>
      </c>
      <c r="I66" s="8" t="str">
        <f>IFERROR(__xludf.DUMMYFUNCTION(" GOOGLETRANSLATE(C66, ""en"", ""am"")"),"ሀ. የሂሳብ አስተሳሰብ ለ. ፍጥነት ሐ. የዘፈቀደ እንቅስቃሴዎች መ. የተጫዋቾች ተቃራኒ ድክመቶች")</f>
        <v>ሀ. የሂሳብ አስተሳሰብ ለ. ፍጥነት ሐ. የዘፈቀደ እንቅስቃሴዎች መ. የተጫዋቾች ተቃራኒ ድክመቶች</v>
      </c>
      <c r="J66" s="8" t="str">
        <f>IFERROR(__xludf.DUMMYFUNCTION(" GOOGLETRANSLATE(D66, ""en"", ""am"")"),"የሂሳብ አስተሳሰብ")</f>
        <v>የሂሳብ አስተሳሰብ</v>
      </c>
      <c r="K66" s="8" t="str">
        <f>IFERROR(__xludf.DUMMYFUNCTION(" GOOGLETRANSLATE(E66, ""en"", ""am"")"),"የሂሳብ አስተሳሰብ ለስኬት አስፈላጊ ነው።")</f>
        <v>የሂሳብ አስተሳሰብ ለስኬት አስፈላጊ ነው።</v>
      </c>
    </row>
    <row r="67" ht="22.5" customHeight="1">
      <c r="A67" s="13">
        <v>66.0</v>
      </c>
      <c r="B67" s="14" t="s">
        <v>3208</v>
      </c>
      <c r="C67" s="14" t="s">
        <v>3209</v>
      </c>
      <c r="D67" s="14" t="s">
        <v>3210</v>
      </c>
      <c r="E67" s="14" t="s">
        <v>3211</v>
      </c>
      <c r="G67" s="8" t="str">
        <f>IFERROR(__xludf.DUMMYFUNCTION(" GOOGLETRANSLATE(A67, ""en"", ""am"")"),"66")</f>
        <v>66</v>
      </c>
      <c r="H67" s="8" t="str">
        <f>IFERROR(__xludf.DUMMYFUNCTION(" GOOGLETRANSLATE(B67, ""en"", ""am"")"),"የረጅም ጊዜ ስኬት ስትራቴጂክ የትኛው ረድፍ ነው?")</f>
        <v>የረጅም ጊዜ ስኬት ስትራቴጂክ የትኛው ረድፍ ነው?</v>
      </c>
      <c r="I67" s="8" t="str">
        <f>IFERROR(__xludf.DUMMYFUNCTION(" GOOGLETRANSLATE(C67, ""en"", ""am"")"),"ሀ. የፊት ረድፍ ለ. የኋላ ረድፍ ሐ. የውጭ ጉድጓዶች D. መካከለኛ ጉድጓዶች")</f>
        <v>ሀ. የፊት ረድፍ ለ. የኋላ ረድፍ ሐ. የውጭ ጉድጓዶች D. መካከለኛ ጉድጓዶች</v>
      </c>
      <c r="J67" s="8" t="str">
        <f>IFERROR(__xludf.DUMMYFUNCTION(" GOOGLETRANSLATE(D67, ""en"", ""am"")"),"የኋላ ረድፍ")</f>
        <v>የኋላ ረድፍ</v>
      </c>
      <c r="K67" s="8" t="str">
        <f>IFERROR(__xludf.DUMMYFUNCTION(" GOOGLETRANSLATE(E67, ""en"", ""am"")"),"የኋለኛው ረድፍ ብዙ ጊዜ ለረጅም ጊዜ ጨዋታ ስልታዊ ነው።")</f>
        <v>የኋለኛው ረድፍ ብዙ ጊዜ ለረጅም ጊዜ ጨዋታ ስልታዊ ነው።</v>
      </c>
    </row>
    <row r="68" ht="22.5" customHeight="1">
      <c r="A68" s="13">
        <v>67.0</v>
      </c>
      <c r="B68" s="14" t="s">
        <v>3212</v>
      </c>
      <c r="C68" s="14" t="s">
        <v>3213</v>
      </c>
      <c r="D68" s="14" t="s">
        <v>3002</v>
      </c>
      <c r="E68" s="14" t="s">
        <v>3214</v>
      </c>
      <c r="G68" s="8" t="str">
        <f>IFERROR(__xludf.DUMMYFUNCTION(" GOOGLETRANSLATE(A68, ""en"", ""am"")"),"67")</f>
        <v>67</v>
      </c>
      <c r="H68" s="8" t="str">
        <f>IFERROR(__xludf.DUMMYFUNCTION(" GOOGLETRANSLATE(B68, ""en"", ""am"")"),"ሁሉም ጉድጓዶች ባዶ ሲሆኑ ምን ይሆናል?")</f>
        <v>ሁሉም ጉድጓዶች ባዶ ሲሆኑ ምን ይሆናል?</v>
      </c>
      <c r="I68" s="8" t="str">
        <f>IFERROR(__xludf.DUMMYFUNCTION(" GOOGLETRANSLATE(C68, ""en"", ""am"")"),"ሀ. ጨዋታው ያበቃል። ለ. ተቃዋሚው ያሸንፋል። ሐ. ጨዋታው ባለበት ቆሟል። D. ጨዋታው እንደገና ይጀመራል።")</f>
        <v>ሀ. ጨዋታው ያበቃል። ለ. ተቃዋሚው ያሸንፋል። ሐ. ጨዋታው ባለበት ቆሟል። D. ጨዋታው እንደገና ይጀመራል።</v>
      </c>
      <c r="J68" s="8" t="str">
        <f>IFERROR(__xludf.DUMMYFUNCTION(" GOOGLETRANSLATE(D68, ""en"", ""am"")"),"ጨዋታው ያበቃል።")</f>
        <v>ጨዋታው ያበቃል።</v>
      </c>
      <c r="K68" s="8" t="str">
        <f>IFERROR(__xludf.DUMMYFUNCTION(" GOOGLETRANSLATE(E68, ""en"", ""am"")"),"ሁሉም ቀዳዳዎች ባዶ ሲሆኑ ጨዋታው ያበቃል.")</f>
        <v>ሁሉም ቀዳዳዎች ባዶ ሲሆኑ ጨዋታው ያበቃል.</v>
      </c>
    </row>
    <row r="69" ht="22.5" customHeight="1">
      <c r="A69" s="13">
        <v>68.0</v>
      </c>
      <c r="B69" s="14" t="s">
        <v>3215</v>
      </c>
      <c r="C69" s="14" t="s">
        <v>3216</v>
      </c>
      <c r="D69" s="14" t="s">
        <v>1437</v>
      </c>
      <c r="E69" s="14" t="s">
        <v>3217</v>
      </c>
      <c r="G69" s="8" t="str">
        <f>IFERROR(__xludf.DUMMYFUNCTION(" GOOGLETRANSLATE(A69, ""en"", ""am"")"),"68")</f>
        <v>68</v>
      </c>
      <c r="H69" s="8" t="str">
        <f>IFERROR(__xludf.DUMMYFUNCTION(" GOOGLETRANSLATE(B69, ""en"", ""am"")"),"አንድ ተጫዋች በፈቃደኝነት ዘርን መተው ይችላል?")</f>
        <v>አንድ ተጫዋች በፈቃደኝነት ዘርን መተው ይችላል?</v>
      </c>
      <c r="I69" s="8" t="str">
        <f>IFERROR(__xludf.DUMMYFUNCTION(" GOOGLETRANSLATE(C69, ""en"", ""am"")"),"A. አይ ለ. አዎ ሐ. ለጀማሪዎች ብቻ መ. ከስምምነት በኋላ ብቻ።")</f>
        <v>A. አይ ለ. አዎ ሐ. ለጀማሪዎች ብቻ መ. ከስምምነት በኋላ ብቻ።</v>
      </c>
      <c r="J69" s="8" t="str">
        <f>IFERROR(__xludf.DUMMYFUNCTION(" GOOGLETRANSLATE(D69, ""en"", ""am"")"),"አይ")</f>
        <v>አይ</v>
      </c>
      <c r="K69" s="8" t="str">
        <f>IFERROR(__xludf.DUMMYFUNCTION(" GOOGLETRANSLATE(E69, ""en"", ""am"")"),"ተጫዋቹ ውድድሩን በፈቃደኝነት መተው አይችልም.")</f>
        <v>ተጫዋቹ ውድድሩን በፈቃደኝነት መተው አይችልም.</v>
      </c>
    </row>
    <row r="70" ht="22.5" customHeight="1">
      <c r="A70" s="13">
        <v>69.0</v>
      </c>
      <c r="B70" s="14" t="s">
        <v>3218</v>
      </c>
      <c r="C70" s="14" t="s">
        <v>3219</v>
      </c>
      <c r="D70" s="14" t="s">
        <v>3220</v>
      </c>
      <c r="E70" s="14" t="s">
        <v>3221</v>
      </c>
      <c r="G70" s="8" t="str">
        <f>IFERROR(__xludf.DUMMYFUNCTION(" GOOGLETRANSLATE(A70, ""en"", ""am"")"),"69")</f>
        <v>69</v>
      </c>
      <c r="H70" s="8" t="str">
        <f>IFERROR(__xludf.DUMMYFUNCTION(" GOOGLETRANSLATE(B70, ""en"", ""am"")"),"በጨዋታው ወቅት ተጫዋቾች ሁል ጊዜ ምን ላይ ትኩረት ማድረግ አለባቸው?")</f>
        <v>በጨዋታው ወቅት ተጫዋቾች ሁል ጊዜ ምን ላይ ትኩረት ማድረግ አለባቸው?</v>
      </c>
      <c r="I70" s="8" t="str">
        <f>IFERROR(__xludf.DUMMYFUNCTION(" GOOGLETRANSLATE(C70, ""en"", ""am"")"),"ሀ. ዘር ይቆጥራል። ለ. የሰሌዳ ቀለሞች ሐ. ተቃራኒ ምልክቶች D. የጨዋታ ጊዜ")</f>
        <v>ሀ. ዘር ይቆጥራል። ለ. የሰሌዳ ቀለሞች ሐ. ተቃራኒ ምልክቶች D. የጨዋታ ጊዜ</v>
      </c>
      <c r="J70" s="8" t="str">
        <f>IFERROR(__xludf.DUMMYFUNCTION(" GOOGLETRANSLATE(D70, ""en"", ""am"")"),"ዘሮችን ይቆጥራል.")</f>
        <v>ዘሮችን ይቆጥራል.</v>
      </c>
      <c r="K70" s="8" t="str">
        <f>IFERROR(__xludf.DUMMYFUNCTION(" GOOGLETRANSLATE(E70, ""en"", ""am"")"),"የዘር ቆጠራን መከታተል ለስትራቴጂ አስፈላጊ ነው።")</f>
        <v>የዘር ቆጠራን መከታተል ለስትራቴጂ አስፈላጊ ነው።</v>
      </c>
    </row>
    <row r="71" ht="22.5" customHeight="1">
      <c r="A71" s="13">
        <v>70.0</v>
      </c>
      <c r="B71" s="14" t="s">
        <v>3222</v>
      </c>
      <c r="C71" s="14" t="s">
        <v>3223</v>
      </c>
      <c r="D71" s="14" t="s">
        <v>1451</v>
      </c>
      <c r="E71" s="14" t="s">
        <v>3224</v>
      </c>
      <c r="G71" s="8" t="str">
        <f>IFERROR(__xludf.DUMMYFUNCTION(" GOOGLETRANSLATE(A71, ""en"", ""am"")"),"70")</f>
        <v>70</v>
      </c>
      <c r="H71" s="8" t="str">
        <f>IFERROR(__xludf.DUMMYFUNCTION(" GOOGLETRANSLATE(B71, ""en"", ""am"")"),"ጨዋታው በአቻ ውጤት ሊጠናቀቅ ይችላል?")</f>
        <v>ጨዋታው በአቻ ውጤት ሊጠናቀቅ ይችላል?</v>
      </c>
      <c r="I71" s="8" t="str">
        <f>IFERROR(__xludf.DUMMYFUNCTION(" GOOGLETRANSLATE(C71, ""en"", ""am"")"),"ሀ. አዎ ለ. አይ ሐ. በመደበኛ ጨዋታዎች ብቻ መ. በድጋሚ ግጥሚያ ብቻ።")</f>
        <v>ሀ. አዎ ለ. አይ ሐ. በመደበኛ ጨዋታዎች ብቻ መ. በድጋሚ ግጥሚያ ብቻ።</v>
      </c>
      <c r="J71" s="8" t="str">
        <f>IFERROR(__xludf.DUMMYFUNCTION(" GOOGLETRANSLATE(D71, ""en"", ""am"")"),"አዎ")</f>
        <v>አዎ</v>
      </c>
      <c r="K71" s="8" t="str">
        <f>IFERROR(__xludf.DUMMYFUNCTION(" GOOGLETRANSLATE(E71, ""en"", ""am"")"),"የጠረጴዛ ጨዋታ በአቻ ውጤት ሊጠናቀቅ ይችላል።")</f>
        <v>የጠረጴዛ ጨዋታ በአቻ ውጤት ሊጠናቀቅ ይችላል።</v>
      </c>
    </row>
    <row r="72" ht="22.5" customHeight="1">
      <c r="A72" s="13">
        <v>71.0</v>
      </c>
      <c r="B72" s="14" t="s">
        <v>3225</v>
      </c>
      <c r="C72" s="14" t="s">
        <v>3226</v>
      </c>
      <c r="D72" s="14" t="s">
        <v>3227</v>
      </c>
      <c r="E72" s="14" t="s">
        <v>3228</v>
      </c>
      <c r="G72" s="8" t="str">
        <f>IFERROR(__xludf.DUMMYFUNCTION(" GOOGLETRANSLATE(A72, ""en"", ""am"")"),"71")</f>
        <v>71</v>
      </c>
      <c r="H72" s="8" t="str">
        <f>IFERROR(__xludf.DUMMYFUNCTION(" GOOGLETRANSLATE(B72, ""en"", ""am"")"),"እንደ ፍትሃዊ ጥይት የሚወሰደው ምንድን ነው?")</f>
        <v>እንደ ፍትሃዊ ጥይት የሚወሰደው ምንድን ነው?</v>
      </c>
      <c r="I72" s="8" t="str">
        <f>IFERROR(__xludf.DUMMYFUNCTION(" GOOGLETRANSLATE(C72, ""en"", ""am"")"),"ሀ. ሁሉንም ዘሮች በአንድ ዙር በመያዝ ለ. ህጎቹን ይከተሉ ሐ. የተቃዋሚዎቹን ዘሮች ግማሹን መያዝ መ. ወደ ኋላ መመለስ")</f>
        <v>ሀ. ሁሉንም ዘሮች በአንድ ዙር በመያዝ ለ. ህጎቹን ይከተሉ ሐ. የተቃዋሚዎቹን ዘሮች ግማሹን መያዝ መ. ወደ ኋላ መመለስ</v>
      </c>
      <c r="J72" s="8" t="str">
        <f>IFERROR(__xludf.DUMMYFUNCTION(" GOOGLETRANSLATE(D72, ""en"", ""am"")"),"ለመያዝ ደንቦቹን ይከተሉ")</f>
        <v>ለመያዝ ደንቦቹን ይከተሉ</v>
      </c>
      <c r="K72" s="8" t="str">
        <f>IFERROR(__xludf.DUMMYFUNCTION(" GOOGLETRANSLATE(E72, ""en"", ""am"")"),"ትክክለኛ ቀረጻ ሁሉንም ኦፊሴላዊ ደንቦች ይከተላል.")</f>
        <v>ትክክለኛ ቀረጻ ሁሉንም ኦፊሴላዊ ደንቦች ይከተላል.</v>
      </c>
    </row>
    <row r="73" ht="22.5" customHeight="1">
      <c r="A73" s="13">
        <v>72.0</v>
      </c>
      <c r="B73" s="14" t="s">
        <v>3229</v>
      </c>
      <c r="C73" s="14" t="s">
        <v>3230</v>
      </c>
      <c r="D73" s="14" t="s">
        <v>2979</v>
      </c>
      <c r="E73" s="14" t="s">
        <v>3231</v>
      </c>
      <c r="G73" s="8" t="str">
        <f>IFERROR(__xludf.DUMMYFUNCTION(" GOOGLETRANSLATE(A73, ""en"", ""am"")"),"72")</f>
        <v>72</v>
      </c>
      <c r="H73" s="8" t="str">
        <f>IFERROR(__xludf.DUMMYFUNCTION(" GOOGLETRANSLATE(B73, ""en"", ""am"")"),"ለመከላከያ የትኛው ቀዳዳ ቅድሚያ መስጠት አለበት?")</f>
        <v>ለመከላከያ የትኛው ቀዳዳ ቅድሚያ መስጠት አለበት?</v>
      </c>
      <c r="I73" s="8" t="str">
        <f>IFERROR(__xludf.DUMMYFUNCTION(" GOOGLETRANSLATE(C73, ""en"", ""am"")"),"ሀ. የውጪ ጉድጓዶች B. Warehouse C. የኋላ ረድፍ ጉድጓዶች D. መካከለኛ ጉድጓዶች")</f>
        <v>ሀ. የውጪ ጉድጓዶች B. Warehouse C. የኋላ ረድፍ ጉድጓዶች D. መካከለኛ ጉድጓዶች</v>
      </c>
      <c r="J73" s="8" t="str">
        <f>IFERROR(__xludf.DUMMYFUNCTION(" GOOGLETRANSLATE(D73, ""en"", ""am"")"),"መጋዘን")</f>
        <v>መጋዘን</v>
      </c>
      <c r="K73" s="8" t="str">
        <f>IFERROR(__xludf.DUMMYFUNCTION(" GOOGLETRANSLATE(E73, ""en"", ""am"")"),"የማጠራቀሚያ ጉድጓድ በጥንቃቄ የተጠበቀ መሆን አለበት.")</f>
        <v>የማጠራቀሚያ ጉድጓድ በጥንቃቄ የተጠበቀ መሆን አለበት.</v>
      </c>
    </row>
    <row r="74" ht="22.5" customHeight="1">
      <c r="A74" s="13">
        <v>73.0</v>
      </c>
      <c r="B74" s="14" t="s">
        <v>3232</v>
      </c>
      <c r="C74" s="14" t="s">
        <v>3233</v>
      </c>
      <c r="D74" s="14" t="s">
        <v>3234</v>
      </c>
      <c r="E74" s="14" t="s">
        <v>3235</v>
      </c>
      <c r="G74" s="8" t="str">
        <f>IFERROR(__xludf.DUMMYFUNCTION(" GOOGLETRANSLATE(A74, ""en"", ""am"")"),"73")</f>
        <v>73</v>
      </c>
      <c r="H74" s="8" t="str">
        <f>IFERROR(__xludf.DUMMYFUNCTION(" GOOGLETRANSLATE(B74, ""en"", ""am"")"),"ተጫዋቾች አዲስ ጨዋታ ከመጀመራቸው በፊት ምን ማድረግ አለባቸው?")</f>
        <v>ተጫዋቾች አዲስ ጨዋታ ከመጀመራቸው በፊት ምን ማድረግ አለባቸው?</v>
      </c>
      <c r="I74" s="8" t="str">
        <f>IFERROR(__xludf.DUMMYFUNCTION(" GOOGLETRANSLATE(C74, ""en"", ""am"")"),"ሀ. ዘሩን እንደገና ያስጀምሩ ለ. ስልት ተወያዩ ሐ. የቦርድ ውዝዋዜ መ. እረፍት ይውሰዱ።")</f>
        <v>ሀ. ዘሩን እንደገና ያስጀምሩ ለ. ስልት ተወያዩ ሐ. የቦርድ ውዝዋዜ መ. እረፍት ይውሰዱ።</v>
      </c>
      <c r="J74" s="8" t="str">
        <f>IFERROR(__xludf.DUMMYFUNCTION(" GOOGLETRANSLATE(D74, ""en"", ""am"")"),"ዘሮቹ እንደገና ያስጀምሩ")</f>
        <v>ዘሮቹ እንደገና ያስጀምሩ</v>
      </c>
      <c r="K74" s="8" t="str">
        <f>IFERROR(__xludf.DUMMYFUNCTION(" GOOGLETRANSLATE(E74, ""en"", ""am"")"),"ተጫዋቾች እንደገና ከመጀመራቸው በፊት ዘሮችን ዳግም ማስጀመር አለባቸው።")</f>
        <v>ተጫዋቾች እንደገና ከመጀመራቸው በፊት ዘሮችን ዳግም ማስጀመር አለባቸው።</v>
      </c>
    </row>
    <row r="75" ht="22.5" customHeight="1">
      <c r="A75" s="13">
        <v>74.0</v>
      </c>
      <c r="B75" s="14" t="s">
        <v>3236</v>
      </c>
      <c r="C75" s="14" t="s">
        <v>3237</v>
      </c>
      <c r="D75" s="14" t="s">
        <v>3238</v>
      </c>
      <c r="E75" s="14" t="s">
        <v>3239</v>
      </c>
      <c r="G75" s="8" t="str">
        <f>IFERROR(__xludf.DUMMYFUNCTION(" GOOGLETRANSLATE(A75, ""en"", ""am"")"),"74")</f>
        <v>74</v>
      </c>
      <c r="H75" s="8" t="str">
        <f>IFERROR(__xludf.DUMMYFUNCTION(" GOOGLETRANSLATE(B75, ""en"", ""am"")"),"ተቃዋሚዎች በተለምዶ በውድድሮች ውስጥ እንዴት ይመረጣሉ?")</f>
        <v>ተቃዋሚዎች በተለምዶ በውድድሮች ውስጥ እንዴት ይመረጣሉ?</v>
      </c>
      <c r="I75" s="8" t="str">
        <f>IFERROR(__xludf.DUMMYFUNCTION(" GOOGLETRANSLATE(C75, ""en"", ""am"")"),"ሀ. የዘፈቀደ ምርጫ ለ. ችሎታ ማዛመድ ሐ. የበጎ ፈቃደኞች ፋውንዴሽን መ. በጥያቄ")</f>
        <v>ሀ. የዘፈቀደ ምርጫ ለ. ችሎታ ማዛመድ ሐ. የበጎ ፈቃደኞች ፋውንዴሽን መ. በጥያቄ</v>
      </c>
      <c r="J75" s="8" t="str">
        <f>IFERROR(__xludf.DUMMYFUNCTION(" GOOGLETRANSLATE(D75, ""en"", ""am"")"),"የዘፈቀደ ምርጫ")</f>
        <v>የዘፈቀደ ምርጫ</v>
      </c>
      <c r="K75" s="8" t="str">
        <f>IFERROR(__xludf.DUMMYFUNCTION(" GOOGLETRANSLATE(E75, ""en"", ""am"")"),"በውድድሮች ውስጥ ያሉ ተቃዋሚዎች በዘፈቀደ ይመረጣሉ።")</f>
        <v>በውድድሮች ውስጥ ያሉ ተቃዋሚዎች በዘፈቀደ ይመረጣሉ።</v>
      </c>
    </row>
    <row r="76" ht="22.5" customHeight="1">
      <c r="A76" s="13">
        <v>75.0</v>
      </c>
      <c r="B76" s="14" t="s">
        <v>3240</v>
      </c>
      <c r="C76" s="14" t="s">
        <v>3241</v>
      </c>
      <c r="D76" s="14" t="s">
        <v>3054</v>
      </c>
      <c r="E76" s="14" t="s">
        <v>3242</v>
      </c>
      <c r="G76" s="8" t="str">
        <f>IFERROR(__xludf.DUMMYFUNCTION(" GOOGLETRANSLATE(A76, ""en"", ""am"")"),"75")</f>
        <v>75</v>
      </c>
      <c r="H76" s="8" t="str">
        <f>IFERROR(__xludf.DUMMYFUNCTION(" GOOGLETRANSLATE(B76, ""en"", ""am"")"),"የተለመደ ጀማሪ ስህተት ምንድን ነው?")</f>
        <v>የተለመደ ጀማሪ ስህተት ምንድን ነው?</v>
      </c>
      <c r="I76" s="8" t="str">
        <f>IFERROR(__xludf.DUMMYFUNCTION(" GOOGLETRANSLATE(C76, ""en"", ""am"")"),"ሀ. በቀዳዳዎች ላይ መዝለል ለ. በትክክል መቁጠር ሐ. በቀላሉ ያሸንፋል D. መያዝን ማስወገድ")</f>
        <v>ሀ. በቀዳዳዎች ላይ መዝለል ለ. በትክክል መቁጠር ሐ. በቀላሉ ያሸንፋል D. መያዝን ማስወገድ</v>
      </c>
      <c r="J76" s="8" t="str">
        <f>IFERROR(__xludf.DUMMYFUNCTION(" GOOGLETRANSLATE(D76, ""en"", ""am"")"),"በቀዳዳዎች ላይ መዝለል")</f>
        <v>በቀዳዳዎች ላይ መዝለል</v>
      </c>
      <c r="K76" s="8" t="str">
        <f>IFERROR(__xludf.DUMMYFUNCTION(" GOOGLETRANSLATE(E76, ""en"", ""am"")"),"ጉድጓዶችን መዝለል የተለመደ የጀማሪ ስህተት ነው።")</f>
        <v>ጉድጓዶችን መዝለል የተለመደ የጀማሪ ስህተት ነው።</v>
      </c>
    </row>
    <row r="77" ht="22.5" customHeight="1">
      <c r="A77" s="13">
        <v>76.0</v>
      </c>
      <c r="B77" s="14" t="s">
        <v>3243</v>
      </c>
      <c r="C77" s="14" t="s">
        <v>3244</v>
      </c>
      <c r="D77" s="14" t="s">
        <v>3245</v>
      </c>
      <c r="E77" s="14" t="s">
        <v>3246</v>
      </c>
      <c r="G77" s="8" t="str">
        <f>IFERROR(__xludf.DUMMYFUNCTION(" GOOGLETRANSLATE(A77, ""en"", ""am"")"),"76")</f>
        <v>76</v>
      </c>
      <c r="H77" s="8" t="str">
        <f>IFERROR(__xludf.DUMMYFUNCTION(" GOOGLETRANSLATE(B77, ""en"", ""am"")"),"ዘሮችን ለመያዝ ምን ያስፈልጋል?")</f>
        <v>ዘሮችን ለመያዝ ምን ያስፈልጋል?</v>
      </c>
      <c r="I77" s="8" t="str">
        <f>IFERROR(__xludf.DUMMYFUNCTION(" GOOGLETRANSLATE(C77, ""en"", ""am"")"),"ሀ. ትክክለኛ መዝራት ለ. የቦርድ እውቀት ሐ. ዕድል መ. ፈጣን እንቅስቃሴዎች")</f>
        <v>ሀ. ትክክለኛ መዝራት ለ. የቦርድ እውቀት ሐ. ዕድል መ. ፈጣን እንቅስቃሴዎች</v>
      </c>
      <c r="J77" s="8" t="str">
        <f>IFERROR(__xludf.DUMMYFUNCTION(" GOOGLETRANSLATE(D77, ""en"", ""am"")"),"ትክክለኛ መዝራት")</f>
        <v>ትክክለኛ መዝራት</v>
      </c>
      <c r="K77" s="8" t="str">
        <f>IFERROR(__xludf.DUMMYFUNCTION(" GOOGLETRANSLATE(E77, ""en"", ""am"")"),"ዘሮችን ለማግኘት በትክክል መዝራት ያስፈልጋል.")</f>
        <v>ዘሮችን ለማግኘት በትክክል መዝራት ያስፈልጋል.</v>
      </c>
    </row>
    <row r="78" ht="22.5" customHeight="1">
      <c r="A78" s="13">
        <v>77.0</v>
      </c>
      <c r="B78" s="14" t="s">
        <v>3247</v>
      </c>
      <c r="C78" s="14" t="s">
        <v>3248</v>
      </c>
      <c r="D78" s="14" t="s">
        <v>1437</v>
      </c>
      <c r="E78" s="14" t="s">
        <v>3249</v>
      </c>
      <c r="G78" s="8" t="str">
        <f>IFERROR(__xludf.DUMMYFUNCTION(" GOOGLETRANSLATE(A78, ""en"", ""am"")"),"77")</f>
        <v>77</v>
      </c>
      <c r="H78" s="8" t="str">
        <f>IFERROR(__xludf.DUMMYFUNCTION(" GOOGLETRANSLATE(B78, ""en"", ""am"")"),"በተጫዋቾች መካከል ዘሮችን መለዋወጥ ይቻላል?")</f>
        <v>በተጫዋቾች መካከል ዘሮችን መለዋወጥ ይቻላል?</v>
      </c>
      <c r="I78" s="8" t="str">
        <f>IFERROR(__xludf.DUMMYFUNCTION(" GOOGLETRANSLATE(C78, ""en"", ""am"")"),"A. አይ ለ. አዎ ሐ. ከስምምነት በኋላ ብቻ። መ. በድጋሚ ግጥሚያ ብቻ።")</f>
        <v>A. አይ ለ. አዎ ሐ. ከስምምነት በኋላ ብቻ። መ. በድጋሚ ግጥሚያ ብቻ።</v>
      </c>
      <c r="J78" s="8" t="str">
        <f>IFERROR(__xludf.DUMMYFUNCTION(" GOOGLETRANSLATE(D78, ""en"", ""am"")"),"አይ")</f>
        <v>አይ</v>
      </c>
      <c r="K78" s="8" t="str">
        <f>IFERROR(__xludf.DUMMYFUNCTION(" GOOGLETRANSLATE(E78, ""en"", ""am"")"),"ተጫዋቾች በገበታው ውስጥ ውድድርን መቀየር አይችሉም።")</f>
        <v>ተጫዋቾች በገበታው ውስጥ ውድድርን መቀየር አይችሉም።</v>
      </c>
    </row>
    <row r="79" ht="22.5" customHeight="1">
      <c r="A79" s="13">
        <v>78.0</v>
      </c>
      <c r="B79" s="14" t="s">
        <v>3250</v>
      </c>
      <c r="C79" s="14" t="s">
        <v>3251</v>
      </c>
      <c r="D79" s="14" t="s">
        <v>2979</v>
      </c>
      <c r="E79" s="14" t="s">
        <v>3252</v>
      </c>
      <c r="G79" s="8" t="str">
        <f>IFERROR(__xludf.DUMMYFUNCTION(" GOOGLETRANSLATE(A79, ""en"", ""am"")"),"78")</f>
        <v>78</v>
      </c>
      <c r="H79" s="8" t="str">
        <f>IFERROR(__xludf.DUMMYFUNCTION(" GOOGLETRANSLATE(B79, ""en"", ""am"")"),"የተያዙ ዘሮችን የሚይዝ ጉድጓድ ምን ይባላል?")</f>
        <v>የተያዙ ዘሮችን የሚይዝ ጉድጓድ ምን ይባላል?</v>
      </c>
      <c r="I79" s="8" t="str">
        <f>IFERROR(__xludf.DUMMYFUNCTION(" GOOGLETRANSLATE(C79, ""en"", ""am"")"),"A. Warehouse B. ዋናው ጉድጓድ ሐ. የውጭ ጉድጓድ D. ጉድጓድ ያዙ")</f>
        <v>A. Warehouse B. ዋናው ጉድጓድ ሐ. የውጭ ጉድጓድ D. ጉድጓድ ያዙ</v>
      </c>
      <c r="J79" s="8" t="str">
        <f>IFERROR(__xludf.DUMMYFUNCTION(" GOOGLETRANSLATE(D79, ""en"", ""am"")"),"መጋዘን")</f>
        <v>መጋዘን</v>
      </c>
      <c r="K79" s="8" t="str">
        <f>IFERROR(__xludf.DUMMYFUNCTION(" GOOGLETRANSLATE(E79, ""en"", ""am"")"),"መጋዘኑ የተያዙ ዘሮችን ይይዛል.")</f>
        <v>መጋዘኑ የተያዙ ዘሮችን ይይዛል.</v>
      </c>
    </row>
    <row r="80" ht="22.5" customHeight="1">
      <c r="A80" s="13">
        <v>79.0</v>
      </c>
      <c r="B80" s="14" t="s">
        <v>3253</v>
      </c>
      <c r="C80" s="14" t="s">
        <v>3254</v>
      </c>
      <c r="D80" s="14" t="s">
        <v>3255</v>
      </c>
      <c r="E80" s="14" t="s">
        <v>3256</v>
      </c>
      <c r="G80" s="8" t="str">
        <f>IFERROR(__xludf.DUMMYFUNCTION(" GOOGLETRANSLATE(A80, ""en"", ""am"")"),"79")</f>
        <v>79</v>
      </c>
      <c r="H80" s="8" t="str">
        <f>IFERROR(__xludf.DUMMYFUNCTION(" GOOGLETRANSLATE(B80, ""en"", ""am"")"),"አንድ ተጫዋች ሲያሸንፍ ምን ይሆናል?")</f>
        <v>አንድ ተጫዋች ሲያሸንፍ ምን ይሆናል?</v>
      </c>
      <c r="I80" s="8" t="str">
        <f>IFERROR(__xludf.DUMMYFUNCTION(" GOOGLETRANSLATE(C80, ""en"", ""am"")"),"ሀ. የተያዙትን ዘሮች ይቆጥራል. ለ. ጨዋታው እንደገና ይጀመራል ሐ. ተቃራኒ ቅጠሎች D. የተቀሩትን ዘሮች ይዘራል.")</f>
        <v>ሀ. የተያዙትን ዘሮች ይቆጥራል. ለ. ጨዋታው እንደገና ይጀመራል ሐ. ተቃራኒ ቅጠሎች D. የተቀሩትን ዘሮች ይዘራል.</v>
      </c>
      <c r="J80" s="8" t="str">
        <f>IFERROR(__xludf.DUMMYFUNCTION(" GOOGLETRANSLATE(D80, ""en"", ""am"")"),"የተያዙትን ዘሮች ይቆጥራል.")</f>
        <v>የተያዙትን ዘሮች ይቆጥራል.</v>
      </c>
      <c r="K80" s="8" t="str">
        <f>IFERROR(__xludf.DUMMYFUNCTION(" GOOGLETRANSLATE(E80, ""en"", ""am"")"),"አሸናፊው በመጨረሻ የተያዙትን ዘሮች ይቆጥራል.")</f>
        <v>አሸናፊው በመጨረሻ የተያዙትን ዘሮች ይቆጥራል.</v>
      </c>
    </row>
    <row r="81" ht="22.5" customHeight="1">
      <c r="A81" s="13">
        <v>80.0</v>
      </c>
      <c r="B81" s="14" t="s">
        <v>3257</v>
      </c>
      <c r="C81" s="14" t="s">
        <v>3258</v>
      </c>
      <c r="D81" s="14" t="s">
        <v>1437</v>
      </c>
      <c r="E81" s="14" t="s">
        <v>3259</v>
      </c>
      <c r="G81" s="8" t="str">
        <f>IFERROR(__xludf.DUMMYFUNCTION(" GOOGLETRANSLATE(A81, ""en"", ""am"")"),"80")</f>
        <v>80</v>
      </c>
      <c r="H81" s="8" t="str">
        <f>IFERROR(__xludf.DUMMYFUNCTION(" GOOGLETRANSLATE(B81, ""en"", ""am"")"),"አንድ ተጫዋች ተቃዋሚውን ዘር እንዲተው ማስገደድ ይችላል?")</f>
        <v>አንድ ተጫዋች ተቃዋሚውን ዘር እንዲተው ማስገደድ ይችላል?</v>
      </c>
      <c r="I81" s="8" t="str">
        <f>IFERROR(__xludf.DUMMYFUNCTION(" GOOGLETRANSLATE(C81, ""en"", ""am"")"),"A. አይ ለ. አዎ ሐ. ከተስማሙ ብቻ። መ. ተራ ጨዋታ")</f>
        <v>A. አይ ለ. አዎ ሐ. ከተስማሙ ብቻ። መ. ተራ ጨዋታ</v>
      </c>
      <c r="J81" s="8" t="str">
        <f>IFERROR(__xludf.DUMMYFUNCTION(" GOOGLETRANSLATE(D81, ""en"", ""am"")"),"አይ")</f>
        <v>አይ</v>
      </c>
      <c r="K81" s="8" t="str">
        <f>IFERROR(__xludf.DUMMYFUNCTION(" GOOGLETRANSLATE(E81, ""en"", ""am"")"),"ተቃዋሚን ማስገደድ ዘራቸውን እንዲተው ማድረግ አይፈቀድም።")</f>
        <v>ተቃዋሚን ማስገደድ ዘራቸውን እንዲተው ማድረግ አይፈቀድም።</v>
      </c>
    </row>
    <row r="82" ht="22.5" customHeight="1">
      <c r="A82" s="13">
        <v>81.0</v>
      </c>
      <c r="B82" s="14" t="s">
        <v>3260</v>
      </c>
      <c r="C82" s="14" t="s">
        <v>3261</v>
      </c>
      <c r="D82" s="14" t="s">
        <v>2979</v>
      </c>
      <c r="E82" s="14" t="s">
        <v>3262</v>
      </c>
      <c r="G82" s="8" t="str">
        <f>IFERROR(__xludf.DUMMYFUNCTION(" GOOGLETRANSLATE(A82, ""en"", ""am"")"),"81")</f>
        <v>81</v>
      </c>
      <c r="H82" s="8" t="str">
        <f>IFERROR(__xludf.DUMMYFUNCTION(" GOOGLETRANSLATE(B82, ""en"", ""am"")"),"በረጅም ጊዜ ስትራቴጂ ውስጥ የትኛው ጉድጓድ በጣም ጠቃሚ ነው?")</f>
        <v>በረጅም ጊዜ ስትራቴጂ ውስጥ የትኛው ጉድጓድ በጣም ጠቃሚ ነው?</v>
      </c>
      <c r="I82" s="8" t="str">
        <f>IFERROR(__xludf.DUMMYFUNCTION(" GOOGLETRANSLATE(C82, ""en"", ""am"")"),"A. Warehouse B. የውጭ ጉድጓዶች ሐ. የፊት ረድፍ ቀዳዳዎች D. የዘፈቀደ ቀዳዳዎች")</f>
        <v>A. Warehouse B. የውጭ ጉድጓዶች ሐ. የፊት ረድፍ ቀዳዳዎች D. የዘፈቀደ ቀዳዳዎች</v>
      </c>
      <c r="J82" s="8" t="str">
        <f>IFERROR(__xludf.DUMMYFUNCTION(" GOOGLETRANSLATE(D82, ""en"", ""am"")"),"መጋዘን")</f>
        <v>መጋዘን</v>
      </c>
      <c r="K82" s="8" t="str">
        <f>IFERROR(__xludf.DUMMYFUNCTION(" GOOGLETRANSLATE(E82, ""en"", ""am"")"),"ማከማቻ በረጅም ጊዜ ስትራቴጂ ውስጥ ቁልፍ ሚና ይጫወታል።")</f>
        <v>ማከማቻ በረጅም ጊዜ ስትራቴጂ ውስጥ ቁልፍ ሚና ይጫወታል።</v>
      </c>
    </row>
    <row r="83" ht="22.5" customHeight="1">
      <c r="A83" s="13">
        <v>82.0</v>
      </c>
      <c r="B83" s="14" t="s">
        <v>3263</v>
      </c>
      <c r="C83" s="14" t="s">
        <v>3264</v>
      </c>
      <c r="D83" s="14" t="s">
        <v>3265</v>
      </c>
      <c r="E83" s="14" t="s">
        <v>3266</v>
      </c>
      <c r="G83" s="8" t="str">
        <f>IFERROR(__xludf.DUMMYFUNCTION(" GOOGLETRANSLATE(A83, ""en"", ""am"")"),"82")</f>
        <v>82</v>
      </c>
      <c r="H83" s="8" t="str">
        <f>IFERROR(__xludf.DUMMYFUNCTION(" GOOGLETRANSLATE(B83, ""en"", ""am"")"),"ስልታዊ እርምጃ ምንድን ነው?")</f>
        <v>ስልታዊ እርምጃ ምንድን ነው?</v>
      </c>
      <c r="I83" s="8" t="str">
        <f>IFERROR(__xludf.DUMMYFUNCTION(" GOOGLETRANSLATE(C83, ""en"", ""am"")"),"ሀ. የመቅዳት ዝግጅት ለ. የውድድሩ ዳግም መወለድ ሐ. ቀዳዳ ማለፊያ D. ወደኋላ መመለስ")</f>
        <v>ሀ. የመቅዳት ዝግጅት ለ. የውድድሩ ዳግም መወለድ ሐ. ቀዳዳ ማለፊያ D. ወደኋላ መመለስ</v>
      </c>
      <c r="J83" s="8" t="str">
        <f>IFERROR(__xludf.DUMMYFUNCTION(" GOOGLETRANSLATE(D83, ""en"", ""am"")"),"ቀረጻ ማዋቀር")</f>
        <v>ቀረጻ ማዋቀር</v>
      </c>
      <c r="K83" s="8" t="str">
        <f>IFERROR(__xludf.DUMMYFUNCTION(" GOOGLETRANSLATE(E83, ""en"", ""am"")"),"ቀረጻ ማዘጋጀት ስልታዊ እርምጃ ነው።")</f>
        <v>ቀረጻ ማዘጋጀት ስልታዊ እርምጃ ነው።</v>
      </c>
    </row>
    <row r="84" ht="22.5" customHeight="1">
      <c r="A84" s="13">
        <v>83.0</v>
      </c>
      <c r="B84" s="14" t="s">
        <v>3267</v>
      </c>
      <c r="C84" s="14" t="s">
        <v>3268</v>
      </c>
      <c r="D84" s="14" t="s">
        <v>3269</v>
      </c>
      <c r="E84" s="14" t="s">
        <v>3270</v>
      </c>
      <c r="G84" s="8" t="str">
        <f>IFERROR(__xludf.DUMMYFUNCTION(" GOOGLETRANSLATE(A84, ""en"", ""am"")"),"83")</f>
        <v>83</v>
      </c>
      <c r="H84" s="8" t="str">
        <f>IFERROR(__xludf.DUMMYFUNCTION(" GOOGLETRANSLATE(B84, ""en"", ""am"")"),"ለአንድ ጠረጴዛ የሚመከረው የተጫዋቾች ብዛት ስንት ነው?")</f>
        <v>ለአንድ ጠረጴዛ የሚመከረው የተጫዋቾች ብዛት ስንት ነው?</v>
      </c>
      <c r="I84" s="8" t="str">
        <f>IFERROR(__xludf.DUMMYFUNCTION(" GOOGLETRANSLATE(C84, ""en"", ""am"")"),"ሀ. ሁለት ተጫዋቾች ለ. ሶስት ተጫዋቾች ሐ. አንድ ተጫዋች መ. አራት ተጫዋቾች")</f>
        <v>ሀ. ሁለት ተጫዋቾች ለ. ሶስት ተጫዋቾች ሐ. አንድ ተጫዋች መ. አራት ተጫዋቾች</v>
      </c>
      <c r="J84" s="8" t="str">
        <f>IFERROR(__xludf.DUMMYFUNCTION(" GOOGLETRANSLATE(D84, ""en"", ""am"")"),"ሁለት ተጫዋቾች")</f>
        <v>ሁለት ተጫዋቾች</v>
      </c>
      <c r="K84" s="8" t="str">
        <f>IFERROR(__xludf.DUMMYFUNCTION(" GOOGLETRANSLATE(E84, ""en"", ""am"")"),"ጠረጴዛው በሁለት ተጫዋቾች ይጫወታል.")</f>
        <v>ጠረጴዛው በሁለት ተጫዋቾች ይጫወታል.</v>
      </c>
    </row>
    <row r="85" ht="22.5" customHeight="1">
      <c r="A85" s="13">
        <v>84.0</v>
      </c>
      <c r="B85" s="14" t="s">
        <v>3271</v>
      </c>
      <c r="C85" s="14" t="s">
        <v>3272</v>
      </c>
      <c r="D85" s="14" t="s">
        <v>1451</v>
      </c>
      <c r="E85" s="14" t="s">
        <v>3273</v>
      </c>
      <c r="G85" s="8" t="str">
        <f>IFERROR(__xludf.DUMMYFUNCTION(" GOOGLETRANSLATE(A85, ""en"", ""am"")"),"84")</f>
        <v>84</v>
      </c>
      <c r="H85" s="8" t="str">
        <f>IFERROR(__xludf.DUMMYFUNCTION(" GOOGLETRANSLATE(B85, ""en"", ""am"")"),"በጨዋታው ወቅት ዘሮችን እንደገና ማሰራጨት ይቻላል?")</f>
        <v>በጨዋታው ወቅት ዘሮችን እንደገና ማሰራጨት ይቻላል?</v>
      </c>
      <c r="I85" s="8" t="str">
        <f>IFERROR(__xludf.DUMMYFUNCTION(" GOOGLETRANSLATE(C85, ""en"", ""am"")"),"ሀ. አዎ ለ. አይ ሐ. ከተያዘ በኋላ ብቻ መ. በመደበኛ ጨዋታዎች ብቻ")</f>
        <v>ሀ. አዎ ለ. አይ ሐ. ከተያዘ በኋላ ብቻ መ. በመደበኛ ጨዋታዎች ብቻ</v>
      </c>
      <c r="J85" s="8" t="str">
        <f>IFERROR(__xludf.DUMMYFUNCTION(" GOOGLETRANSLATE(D85, ""en"", ""am"")"),"አዎ")</f>
        <v>አዎ</v>
      </c>
      <c r="K85" s="8" t="str">
        <f>IFERROR(__xludf.DUMMYFUNCTION(" GOOGLETRANSLATE(E85, ""en"", ""am"")"),"ዘሮች እንደ ደንቦች እንደገና መደርደር ይችላሉ.")</f>
        <v>ዘሮች እንደ ደንቦች እንደገና መደርደር ይችላሉ.</v>
      </c>
    </row>
    <row r="86" ht="22.5" customHeight="1">
      <c r="A86" s="13">
        <v>85.0</v>
      </c>
      <c r="B86" s="14" t="s">
        <v>3274</v>
      </c>
      <c r="C86" s="14" t="s">
        <v>3275</v>
      </c>
      <c r="D86" s="14" t="s">
        <v>3276</v>
      </c>
      <c r="E86" s="14" t="s">
        <v>3277</v>
      </c>
      <c r="G86" s="8" t="str">
        <f>IFERROR(__xludf.DUMMYFUNCTION(" GOOGLETRANSLATE(A86, ""en"", ""am"")"),"85")</f>
        <v>85</v>
      </c>
      <c r="H86" s="8" t="str">
        <f>IFERROR(__xludf.DUMMYFUNCTION(" GOOGLETRANSLATE(B86, ""en"", ""am"")"),"በጨዋታ ውስጥ ጥሩ ስፖርታዊ ጨዋነት ምን ይባላል?")</f>
        <v>በጨዋታ ውስጥ ጥሩ ስፖርታዊ ጨዋነት ምን ይባላል?</v>
      </c>
      <c r="I86" s="8" t="str">
        <f>IFERROR(__xludf.DUMMYFUNCTION(" GOOGLETRANSLATE(C86, ""en"", ""am"")"),"ሀ. ህጎቹን በመከተል ለ. በፍጥነት አሸንፉ ሐ. እንቅስቃሴዎችን መዝለል መ. በግዳጅ መታሰር")</f>
        <v>ሀ. ህጎቹን በመከተል ለ. በፍጥነት አሸንፉ ሐ. እንቅስቃሴዎችን መዝለል መ. በግዳጅ መታሰር</v>
      </c>
      <c r="J86" s="8" t="str">
        <f>IFERROR(__xludf.DUMMYFUNCTION(" GOOGLETRANSLATE(D86, ""en"", ""am"")"),"ደንቦቹን በመከተል")</f>
        <v>ደንቦቹን በመከተል</v>
      </c>
      <c r="K86" s="8" t="str">
        <f>IFERROR(__xludf.DUMMYFUNCTION(" GOOGLETRANSLATE(E86, ""en"", ""am"")"),"ደንቦቹን መከተል ጥሩ ስፖርታዊ ጨዋነትን ያሳያል።")</f>
        <v>ደንቦቹን መከተል ጥሩ ስፖርታዊ ጨዋነትን ያሳያል።</v>
      </c>
    </row>
    <row r="87" ht="22.5" customHeight="1">
      <c r="A87" s="13">
        <v>86.0</v>
      </c>
      <c r="B87" s="14" t="s">
        <v>3278</v>
      </c>
      <c r="C87" s="14" t="s">
        <v>3279</v>
      </c>
      <c r="D87" s="14" t="s">
        <v>3280</v>
      </c>
      <c r="E87" s="14" t="s">
        <v>3281</v>
      </c>
      <c r="G87" s="8" t="str">
        <f>IFERROR(__xludf.DUMMYFUNCTION(" GOOGLETRANSLATE(A87, ""en"", ""am"")"),"86")</f>
        <v>86</v>
      </c>
      <c r="H87" s="8" t="str">
        <f>IFERROR(__xludf.DUMMYFUNCTION(" GOOGLETRANSLATE(B87, ""en"", ""am"")"),"በፉክክር ጨዋታ ወቅት ተጫዋቾች ምን መራቅ አለባቸው?")</f>
        <v>በፉክክር ጨዋታ ወቅት ተጫዋቾች ምን መራቅ አለባቸው?</v>
      </c>
      <c r="I87" s="8" t="str">
        <f>IFERROR(__xludf.DUMMYFUNCTION(" GOOGLETRANSLATE(C87, ""en"", ""am"")"),"ሀ. ደንቦችን መጣስ ለ. ስልታዊ በሆነ መንገድ ማሰብ ሐ. ዘሮችን በመያዝ መ. ዘሮችን መቁጠር")</f>
        <v>ሀ. ደንቦችን መጣስ ለ. ስልታዊ በሆነ መንገድ ማሰብ ሐ. ዘሮችን በመያዝ መ. ዘሮችን መቁጠር</v>
      </c>
      <c r="J87" s="8" t="str">
        <f>IFERROR(__xludf.DUMMYFUNCTION(" GOOGLETRANSLATE(D87, ""en"", ""am"")"),"ደንቦችን መጣስ")</f>
        <v>ደንቦችን መጣስ</v>
      </c>
      <c r="K87" s="8" t="str">
        <f>IFERROR(__xludf.DUMMYFUNCTION(" GOOGLETRANSLATE(E87, ""en"", ""am"")"),"በውድድሩ ውስጥ የደንቦቹን መጣስ መወገድ አለበት.")</f>
        <v>በውድድሩ ውስጥ የደንቦቹን መጣስ መወገድ አለበት.</v>
      </c>
    </row>
    <row r="88" ht="22.5" customHeight="1">
      <c r="A88" s="13">
        <v>87.0</v>
      </c>
      <c r="B88" s="14" t="s">
        <v>3282</v>
      </c>
      <c r="C88" s="14" t="s">
        <v>3283</v>
      </c>
      <c r="D88" s="14" t="s">
        <v>3284</v>
      </c>
      <c r="E88" s="14" t="s">
        <v>3285</v>
      </c>
      <c r="G88" s="8" t="str">
        <f>IFERROR(__xludf.DUMMYFUNCTION(" GOOGLETRANSLATE(A88, ""en"", ""am"")"),"87")</f>
        <v>87</v>
      </c>
      <c r="H88" s="8" t="str">
        <f>IFERROR(__xludf.DUMMYFUNCTION(" GOOGLETRANSLATE(B88, ""en"", ""am"")"),"በውድድሮች ውስጥ አለመግባባቶች እንዴት ይፈታሉ?")</f>
        <v>በውድድሮች ውስጥ አለመግባባቶች እንዴት ይፈታሉ?</v>
      </c>
      <c r="I88" s="8" t="str">
        <f>IFERROR(__xludf.DUMMYFUNCTION(" GOOGLETRANSLATE(C88, ""en"", ""am"")"),"ሀ. በዳኛው ለ. በተጫዋቾች ሐ. በአብላጫ ድምፅ መ. በሳንቲሞች")</f>
        <v>ሀ. በዳኛው ለ. በተጫዋቾች ሐ. በአብላጫ ድምፅ መ. በሳንቲሞች</v>
      </c>
      <c r="J88" s="8" t="str">
        <f>IFERROR(__xludf.DUMMYFUNCTION(" GOOGLETRANSLATE(D88, ""en"", ""am"")"),"በዳኛው")</f>
        <v>በዳኛው</v>
      </c>
      <c r="K88" s="8" t="str">
        <f>IFERROR(__xludf.DUMMYFUNCTION(" GOOGLETRANSLATE(E88, ""en"", ""am"")"),"ዳኞች በውድድር ውስጥ አለመግባባቶችን ይፈታሉ.")</f>
        <v>ዳኞች በውድድር ውስጥ አለመግባባቶችን ይፈታሉ.</v>
      </c>
    </row>
    <row r="89" ht="22.5" customHeight="1">
      <c r="A89" s="13">
        <v>88.0</v>
      </c>
      <c r="B89" s="14" t="s">
        <v>3286</v>
      </c>
      <c r="C89" s="14" t="s">
        <v>3287</v>
      </c>
      <c r="D89" s="14" t="s">
        <v>3288</v>
      </c>
      <c r="E89" s="14" t="s">
        <v>3289</v>
      </c>
      <c r="G89" s="8" t="str">
        <f>IFERROR(__xludf.DUMMYFUNCTION(" GOOGLETRANSLATE(A89, ""en"", ""am"")"),"88")</f>
        <v>88</v>
      </c>
      <c r="H89" s="8" t="str">
        <f>IFERROR(__xludf.DUMMYFUNCTION(" GOOGLETRANSLATE(B89, ""en"", ""am"")"),"የተለመደው ገበታ ግጥሚያ ለምን ያህል ጊዜ ነው?")</f>
        <v>የተለመደው ገበታ ግጥሚያ ለምን ያህል ጊዜ ነው?</v>
      </c>
      <c r="I89" s="8" t="str">
        <f>IFERROR(__xludf.DUMMYFUNCTION(" GOOGLETRANSLATE(C89, ""en"", ""am"")"),"ሀ. 30 ደቂቃ ለ. 10 ደቂቃ ሐ. 20 ደቂቃ መ. 1 ሰዓት")</f>
        <v>ሀ. 30 ደቂቃ ለ. 10 ደቂቃ ሐ. 20 ደቂቃ መ. 1 ሰዓት</v>
      </c>
      <c r="J89" s="8" t="str">
        <f>IFERROR(__xludf.DUMMYFUNCTION(" GOOGLETRANSLATE(D89, ""en"", ""am"")"),"30 ደቂቃዎች")</f>
        <v>30 ደቂቃዎች</v>
      </c>
      <c r="K89" s="8" t="str">
        <f>IFERROR(__xludf.DUMMYFUNCTION(" GOOGLETRANSLATE(E89, ""en"", ""am"")"),"የተለመደው ግጥሚያ 30 ደቂቃ አካባቢ ይቆያል።")</f>
        <v>የተለመደው ግጥሚያ 30 ደቂቃ አካባቢ ይቆያል።</v>
      </c>
    </row>
    <row r="90" ht="22.5" customHeight="1">
      <c r="A90" s="13">
        <v>89.0</v>
      </c>
      <c r="B90" s="14" t="s">
        <v>3290</v>
      </c>
      <c r="C90" s="14" t="s">
        <v>3291</v>
      </c>
      <c r="D90" s="14" t="s">
        <v>3292</v>
      </c>
      <c r="E90" s="14" t="s">
        <v>3293</v>
      </c>
      <c r="G90" s="8" t="str">
        <f>IFERROR(__xludf.DUMMYFUNCTION(" GOOGLETRANSLATE(A90, ""en"", ""am"")"),"89")</f>
        <v>89</v>
      </c>
      <c r="H90" s="8" t="str">
        <f>IFERROR(__xludf.DUMMYFUNCTION(" GOOGLETRANSLATE(B90, ""en"", ""am"")"),"በሰንጠረዡ ውስጥ ያለው ምልከታ ምን ሚና ይጫወታል?")</f>
        <v>በሰንጠረዡ ውስጥ ያለው ምልከታ ምን ሚና ይጫወታል?</v>
      </c>
      <c r="I90" s="8" t="str">
        <f>IFERROR(__xludf.DUMMYFUNCTION(" GOOGLETRANSLATE(C90, ""en"", ""am"")"),"ሀ. ተቃዋሚዎችን መረዳት ይንቀሳቀሳል ለ. መዘናጋት ሐ. ጨዋታውን ለአፍታ አቁም። መ. ዘሮችን እንደገና መጀመር")</f>
        <v>ሀ. ተቃዋሚዎችን መረዳት ይንቀሳቀሳል ለ. መዘናጋት ሐ. ጨዋታውን ለአፍታ አቁም። መ. ዘሮችን እንደገና መጀመር</v>
      </c>
      <c r="J90" s="8" t="str">
        <f>IFERROR(__xludf.DUMMYFUNCTION(" GOOGLETRANSLATE(D90, ""en"", ""am"")"),"ተቃዋሚዎችን መረዳት ይንቀሳቀሳል")</f>
        <v>ተቃዋሚዎችን መረዳት ይንቀሳቀሳል</v>
      </c>
      <c r="K90" s="8" t="str">
        <f>IFERROR(__xludf.DUMMYFUNCTION(" GOOGLETRANSLATE(E90, ""en"", ""am"")"),"ምልከታ የተቃዋሚዎችን እንቅስቃሴ ለመረዳት ይረዳል።")</f>
        <v>ምልከታ የተቃዋሚዎችን እንቅስቃሴ ለመረዳት ይረዳል።</v>
      </c>
    </row>
    <row r="91" ht="22.5" customHeight="1">
      <c r="A91" s="13">
        <v>90.0</v>
      </c>
      <c r="B91" s="14" t="s">
        <v>3294</v>
      </c>
      <c r="C91" s="14" t="s">
        <v>3295</v>
      </c>
      <c r="D91" s="14" t="s">
        <v>1437</v>
      </c>
      <c r="E91" s="14" t="s">
        <v>3296</v>
      </c>
      <c r="G91" s="8" t="str">
        <f>IFERROR(__xludf.DUMMYFUNCTION(" GOOGLETRANSLATE(A91, ""en"", ""am"")"),"90")</f>
        <v>90</v>
      </c>
      <c r="H91" s="8" t="str">
        <f>IFERROR(__xludf.DUMMYFUNCTION(" GOOGLETRANSLATE(B91, ""en"", ""am"")"),"ተጫዋቾች በግጥሚያዎች ጊዜ መገናኘት ይችላሉ?")</f>
        <v>ተጫዋቾች በግጥሚያዎች ጊዜ መገናኘት ይችላሉ?</v>
      </c>
      <c r="I91" s="8" t="str">
        <f>IFERROR(__xludf.DUMMYFUNCTION(" GOOGLETRANSLATE(C91, ""en"", ""am"")"),"A. አይ ለ. አዎ ሐ. ደንቦቹን ለማብራራት ብቻ። መ. ከተፈቀደ በኋላ ብቻ")</f>
        <v>A. አይ ለ. አዎ ሐ. ደንቦቹን ለማብራራት ብቻ። መ. ከተፈቀደ በኋላ ብቻ</v>
      </c>
      <c r="J91" s="8" t="str">
        <f>IFERROR(__xludf.DUMMYFUNCTION(" GOOGLETRANSLATE(D91, ""en"", ""am"")"),"አይ")</f>
        <v>አይ</v>
      </c>
      <c r="K91" s="8" t="str">
        <f>IFERROR(__xludf.DUMMYFUNCTION(" GOOGLETRANSLATE(E91, ""en"", ""am"")"),"በግጥሚያዎች ጊዜ መግባባት አይፈቀድም።")</f>
        <v>በግጥሚያዎች ጊዜ መግባባት አይፈቀድም።</v>
      </c>
    </row>
    <row r="92" ht="22.5" customHeight="1">
      <c r="A92" s="13">
        <v>91.0</v>
      </c>
      <c r="B92" s="14" t="s">
        <v>3297</v>
      </c>
      <c r="C92" s="14" t="s">
        <v>3298</v>
      </c>
      <c r="D92" s="14" t="s">
        <v>3299</v>
      </c>
      <c r="E92" s="14" t="s">
        <v>3300</v>
      </c>
      <c r="G92" s="8" t="str">
        <f>IFERROR(__xludf.DUMMYFUNCTION(" GOOGLETRANSLATE(A92, ""en"", ""am"")"),"91")</f>
        <v>91</v>
      </c>
      <c r="H92" s="8" t="str">
        <f>IFERROR(__xludf.DUMMYFUNCTION(" GOOGLETRANSLATE(B92, ""en"", ""am"")"),"ፍጥነትን ለመጠበቅ የሚረዳው ቀዳዳ የትኛው ነው?")</f>
        <v>ፍጥነትን ለመጠበቅ የሚረዳው ቀዳዳ የትኛው ነው?</v>
      </c>
      <c r="I92" s="8" t="str">
        <f>IFERROR(__xludf.DUMMYFUNCTION(" GOOGLETRANSLATE(C92, ""en"", ""am"")"),"ሀ. የኋላ ቀዳዳ ለ. ውጫዊ ቀዳዳ ሐ. መካከለኛ ቀዳዳ D. መጋዘን")</f>
        <v>ሀ. የኋላ ቀዳዳ ለ. ውጫዊ ቀዳዳ ሐ. መካከለኛ ቀዳዳ D. መጋዘን</v>
      </c>
      <c r="J92" s="8" t="str">
        <f>IFERROR(__xludf.DUMMYFUNCTION(" GOOGLETRANSLATE(D92, ""en"", ""am"")"),"የኋላ ቀዳዳ")</f>
        <v>የኋላ ቀዳዳ</v>
      </c>
      <c r="K92" s="8" t="str">
        <f>IFERROR(__xludf.DUMMYFUNCTION(" GOOGLETRANSLATE(E92, ""en"", ""am"")"),"የኋላ ቀዳዳዎች የጨዋታውን ፍጥነት ለመጠበቅ ይረዳሉ.")</f>
        <v>የኋላ ቀዳዳዎች የጨዋታውን ፍጥነት ለመጠበቅ ይረዳሉ.</v>
      </c>
    </row>
    <row r="93" ht="22.5" customHeight="1">
      <c r="A93" s="13">
        <v>92.0</v>
      </c>
      <c r="B93" s="14" t="s">
        <v>3301</v>
      </c>
      <c r="C93" s="14" t="s">
        <v>3302</v>
      </c>
      <c r="D93" s="14" t="s">
        <v>3303</v>
      </c>
      <c r="E93" s="14" t="s">
        <v>3304</v>
      </c>
      <c r="G93" s="8" t="str">
        <f>IFERROR(__xludf.DUMMYFUNCTION(" GOOGLETRANSLATE(A93, ""en"", ""am"")"),"92")</f>
        <v>92</v>
      </c>
      <c r="H93" s="8" t="str">
        <f>IFERROR(__xludf.DUMMYFUNCTION(" GOOGLETRANSLATE(B93, ""en"", ""am"")"),"ከተወዳዳሪ ግጥሚያ በኋላ ምን ይመከራል?")</f>
        <v>ከተወዳዳሪ ግጥሚያ በኋላ ምን ይመከራል?</v>
      </c>
      <c r="I93" s="8" t="str">
        <f>IFERROR(__xludf.DUMMYFUNCTION(" GOOGLETRANSLATE(C93, ""en"", ""am"")"),"ሀ. ስልቶችን ተወያዩ። ለ. በፍጥነት ይጫወቱ። ሐ. ድጋሚ ግጥሚያ ያስገድዱ። D. የተቀሩትን ዘሮች ይቁጠሩ.")</f>
        <v>ሀ. ስልቶችን ተወያዩ። ለ. በፍጥነት ይጫወቱ። ሐ. ድጋሚ ግጥሚያ ያስገድዱ። D. የተቀሩትን ዘሮች ይቁጠሩ.</v>
      </c>
      <c r="J93" s="8" t="str">
        <f>IFERROR(__xludf.DUMMYFUNCTION(" GOOGLETRANSLATE(D93, ""en"", ""am"")"),"ስልቶችን ተወያዩ።")</f>
        <v>ስልቶችን ተወያዩ።</v>
      </c>
      <c r="K93" s="8" t="str">
        <f>IFERROR(__xludf.DUMMYFUNCTION(" GOOGLETRANSLATE(E93, ""en"", ""am"")"),"ስትራቴጂዎችን መወያየት የወደፊት ጨዋታን ያሻሽላል።")</f>
        <v>ስትራቴጂዎችን መወያየት የወደፊት ጨዋታን ያሻሽላል።</v>
      </c>
    </row>
    <row r="94" ht="22.5" customHeight="1">
      <c r="A94" s="13">
        <v>93.0</v>
      </c>
      <c r="B94" s="14" t="s">
        <v>3305</v>
      </c>
      <c r="C94" s="14" t="s">
        <v>3306</v>
      </c>
      <c r="D94" s="14" t="s">
        <v>3307</v>
      </c>
      <c r="E94" s="14" t="s">
        <v>3308</v>
      </c>
      <c r="G94" s="8" t="str">
        <f>IFERROR(__xludf.DUMMYFUNCTION(" GOOGLETRANSLATE(A94, ""en"", ""am"")"),"93")</f>
        <v>93</v>
      </c>
      <c r="H94" s="8" t="str">
        <f>IFERROR(__xludf.DUMMYFUNCTION(" GOOGLETRANSLATE(B94, ""en"", ""am"")"),"ብዙ ዘሮችን ለመያዝ የሚረዳዎት የትኛው ስልት ነው?")</f>
        <v>ብዙ ዘሮችን ለመያዝ የሚረዳዎት የትኛው ስልት ነው?</v>
      </c>
      <c r="I94" s="8" t="str">
        <f>IFERROR(__xludf.DUMMYFUNCTION(" GOOGLETRANSLATE(C94, ""en"", ""am"")"),"ሀ. አግድ B. ማስፋፊያ ሐ. ቀዳዳዎችን ለመያዝ ያለመ መ. የዘፈቀደ ጨዋታ")</f>
        <v>ሀ. አግድ B. ማስፋፊያ ሐ. ቀዳዳዎችን ለመያዝ ያለመ መ. የዘፈቀደ ጨዋታ</v>
      </c>
      <c r="J94" s="8" t="str">
        <f>IFERROR(__xludf.DUMMYFUNCTION(" GOOGLETRANSLATE(D94, ""en"", ""am"")"),"ቀዳዳዎችን ለመያዝ ያለመ")</f>
        <v>ቀዳዳዎችን ለመያዝ ያለመ</v>
      </c>
      <c r="K94" s="8" t="str">
        <f>IFERROR(__xludf.DUMMYFUNCTION(" GOOGLETRANSLATE(E94, ""en"", ""am"")"),"የሚይዙ ጉድጓዶችን መምረጥ ብዙ ዘሮችን ለመያዝ ይረዳል.")</f>
        <v>የሚይዙ ጉድጓዶችን መምረጥ ብዙ ዘሮችን ለመያዝ ይረዳል.</v>
      </c>
    </row>
    <row r="95" ht="22.5" customHeight="1">
      <c r="A95" s="13">
        <v>94.0</v>
      </c>
      <c r="B95" s="14" t="s">
        <v>3309</v>
      </c>
      <c r="C95" s="14" t="s">
        <v>3310</v>
      </c>
      <c r="D95" s="14" t="s">
        <v>3311</v>
      </c>
      <c r="E95" s="14" t="s">
        <v>3312</v>
      </c>
      <c r="G95" s="8" t="str">
        <f>IFERROR(__xludf.DUMMYFUNCTION(" GOOGLETRANSLATE(A95, ""en"", ""am"")"),"94")</f>
        <v>94</v>
      </c>
      <c r="H95" s="8" t="str">
        <f>IFERROR(__xludf.DUMMYFUNCTION(" GOOGLETRANSLATE(B95, ""en"", ""am"")"),"ማዕከላዊ ጉድጓዶችን የመቆጣጠር ጥቅሙ ምንድን ነው?")</f>
        <v>ማዕከላዊ ጉድጓዶችን የመቆጣጠር ጥቅሙ ምንድን ነው?</v>
      </c>
      <c r="I95" s="8" t="str">
        <f>IFERROR(__xludf.DUMMYFUNCTION(" GOOGLETRANSLATE(C95, ""en"", ""am"")"),"ሀ. የጥበቃ ጥቅም ለ. ብዙ ዘሮች እየተዘሩ ነው። ሐ. የዘር ሚዛን መ. ፈጣን እንቅስቃሴዎች")</f>
        <v>ሀ. የጥበቃ ጥቅም ለ. ብዙ ዘሮች እየተዘሩ ነው። ሐ. የዘር ሚዛን መ. ፈጣን እንቅስቃሴዎች</v>
      </c>
      <c r="J95" s="8" t="str">
        <f>IFERROR(__xludf.DUMMYFUNCTION(" GOOGLETRANSLATE(D95, ""en"", ""am"")"),"የዘር ሚዛን")</f>
        <v>የዘር ሚዛን</v>
      </c>
      <c r="K95" s="8" t="str">
        <f>IFERROR(__xludf.DUMMYFUNCTION(" GOOGLETRANSLATE(E95, ""en"", ""am"")"),"የመሃከለኛውን ቀዳዳዎች መቆጣጠር በቦርዱ ላይ ያሉትን ዘሮች ሚዛን ለመጠበቅ ይረዳል.")</f>
        <v>የመሃከለኛውን ቀዳዳዎች መቆጣጠር በቦርዱ ላይ ያሉትን ዘሮች ሚዛን ለመጠበቅ ይረዳል.</v>
      </c>
    </row>
    <row r="96" ht="22.5" customHeight="1">
      <c r="A96" s="13">
        <v>95.0</v>
      </c>
      <c r="B96" s="14" t="s">
        <v>3313</v>
      </c>
      <c r="C96" s="14" t="s">
        <v>3314</v>
      </c>
      <c r="D96" s="14" t="s">
        <v>3315</v>
      </c>
      <c r="E96" s="14" t="s">
        <v>3316</v>
      </c>
      <c r="G96" s="8" t="str">
        <f>IFERROR(__xludf.DUMMYFUNCTION(" GOOGLETRANSLATE(A96, ""en"", ""am"")"),"95")</f>
        <v>95</v>
      </c>
      <c r="H96" s="8" t="str">
        <f>IFERROR(__xludf.DUMMYFUNCTION(" GOOGLETRANSLATE(B96, ""en"", ""am"")"),"በጨዋታ፣ ተጨማሪ መታጠፍ ምን ያስከትላል?")</f>
        <v>በጨዋታ፣ ተጨማሪ መታጠፍ ምን ያስከትላል?</v>
      </c>
      <c r="I96" s="8" t="str">
        <f>IFERROR(__xludf.DUMMYFUNCTION(" GOOGLETRANSLATE(C96, ""en"", ""am"")"),"ሀ. ዘሮችን በመያዝ ለ. ወደ መጋዘን ውስጥ ለመዝራት ሐ. የመጨረሻውን ዘር በባዶ ጉድጓድ ውስጥ መዝራት D. የመጨረሻውን ዘር ወደ ማከማቻ ቤት መዝራት.")</f>
        <v>ሀ. ዘሮችን በመያዝ ለ. ወደ መጋዘን ውስጥ ለመዝራት ሐ. የመጨረሻውን ዘር በባዶ ጉድጓድ ውስጥ መዝራት D. የመጨረሻውን ዘር ወደ ማከማቻ ቤት መዝራት.</v>
      </c>
      <c r="J96" s="8" t="str">
        <f>IFERROR(__xludf.DUMMYFUNCTION(" GOOGLETRANSLATE(D96, ""en"", ""am"")"),"የመጨረሻውን ዘር ወደ ማጠራቀሚያ ቤት መዝራት")</f>
        <v>የመጨረሻውን ዘር ወደ ማጠራቀሚያ ቤት መዝራት</v>
      </c>
      <c r="K96" s="8" t="str">
        <f>IFERROR(__xludf.DUMMYFUNCTION(" GOOGLETRANSLATE(E96, ""en"", ""am"")"),"በማከማቻ ቤትዎ ውስጥ የመጨረሻውን ዘር ማረፍ ተጨማሪ ተራ ይሰጣል።")</f>
        <v>በማከማቻ ቤትዎ ውስጥ የመጨረሻውን ዘር ማረፍ ተጨማሪ ተራ ይሰጣል።</v>
      </c>
    </row>
    <row r="97" ht="22.5" customHeight="1">
      <c r="A97" s="13">
        <v>96.0</v>
      </c>
      <c r="B97" s="14" t="s">
        <v>3317</v>
      </c>
      <c r="C97" s="14" t="s">
        <v>3318</v>
      </c>
      <c r="D97" s="14" t="s">
        <v>3319</v>
      </c>
      <c r="E97" s="14" t="s">
        <v>3320</v>
      </c>
      <c r="G97" s="8" t="str">
        <f>IFERROR(__xludf.DUMMYFUNCTION(" GOOGLETRANSLATE(A97, ""en"", ""am"")"),"96")</f>
        <v>96</v>
      </c>
      <c r="H97" s="8" t="str">
        <f>IFERROR(__xludf.DUMMYFUNCTION(" GOOGLETRANSLATE(B97, ""en"", ""am"")"),"አንድ ተጫዋች ከየትኛው ወገን መከላከል አለበት?")</f>
        <v>አንድ ተጫዋች ከየትኛው ወገን መከላከል አለበት?</v>
      </c>
      <c r="I97" s="8" t="str">
        <f>IFERROR(__xludf.DUMMYFUNCTION(" GOOGLETRANSLATE(C97, ""en"", ""am"")"),"ሀ. የውጭ ጉድጓዶች ለ. ማዕከላዊ ጉድጓዶች ሐ. የኋላ ቀዳዳዎች D. የውስጥ ክፍተቶች")</f>
        <v>ሀ. የውጭ ጉድጓዶች ለ. ማዕከላዊ ጉድጓዶች ሐ. የኋላ ቀዳዳዎች D. የውስጥ ክፍተቶች</v>
      </c>
      <c r="J97" s="8" t="str">
        <f>IFERROR(__xludf.DUMMYFUNCTION(" GOOGLETRANSLATE(D97, ""en"", ""am"")"),"የውስጥ ክፍተቶች")</f>
        <v>የውስጥ ክፍተቶች</v>
      </c>
      <c r="K97" s="8" t="str">
        <f>IFERROR(__xludf.DUMMYFUNCTION(" GOOGLETRANSLATE(E97, ""en"", ""am"")"),"የውስጥ ክፍተቶች ለመከላከል በጣም አስፈላጊ ናቸው.")</f>
        <v>የውስጥ ክፍተቶች ለመከላከል በጣም አስፈላጊ ናቸው.</v>
      </c>
    </row>
    <row r="98" ht="22.5" customHeight="1">
      <c r="A98" s="13">
        <v>97.0</v>
      </c>
      <c r="B98" s="14" t="s">
        <v>3321</v>
      </c>
      <c r="C98" s="14" t="s">
        <v>3322</v>
      </c>
      <c r="D98" s="14" t="s">
        <v>3206</v>
      </c>
      <c r="E98" s="14" t="s">
        <v>3323</v>
      </c>
      <c r="G98" s="8" t="str">
        <f>IFERROR(__xludf.DUMMYFUNCTION(" GOOGLETRANSLATE(A98, ""en"", ""am"")"),"97")</f>
        <v>97</v>
      </c>
      <c r="H98" s="8" t="str">
        <f>IFERROR(__xludf.DUMMYFUNCTION(" GOOGLETRANSLATE(B98, ""en"", ""am"")"),"በማንካላ ውስጥ ለረጅም ጊዜ ስኬት ምን ዓይነት ክህሎቶች ወሳኝ ናቸው?")</f>
        <v>በማንካላ ውስጥ ለረጅም ጊዜ ስኬት ምን ዓይነት ክህሎቶች ወሳኝ ናቸው?</v>
      </c>
      <c r="I98" s="8" t="str">
        <f>IFERROR(__xludf.DUMMYFUNCTION(" GOOGLETRANSLATE(C98, ""en"", ""am"")"),"ሀ. ዕድል ለ. የሂሳብ አስተሳሰብ ሐ. ፈጠራ መ. ፍጥነት")</f>
        <v>ሀ. ዕድል ለ. የሂሳብ አስተሳሰብ ሐ. ፈጠራ መ. ፍጥነት</v>
      </c>
      <c r="J98" s="8" t="str">
        <f>IFERROR(__xludf.DUMMYFUNCTION(" GOOGLETRANSLATE(D98, ""en"", ""am"")"),"የሂሳብ አስተሳሰብ")</f>
        <v>የሂሳብ አስተሳሰብ</v>
      </c>
      <c r="K98" s="8" t="str">
        <f>IFERROR(__xludf.DUMMYFUNCTION(" GOOGLETRANSLATE(E98, ""en"", ""am"")"),"እንቅስቃሴዎችን ለማቀድ የሂሳብ አስተሳሰብ አስፈላጊ ነው።")</f>
        <v>እንቅስቃሴዎችን ለማቀድ የሂሳብ አስተሳሰብ አስፈላጊ ነው።</v>
      </c>
    </row>
    <row r="99" ht="22.5" customHeight="1">
      <c r="A99" s="13">
        <v>98.0</v>
      </c>
      <c r="B99" s="14" t="s">
        <v>3324</v>
      </c>
      <c r="C99" s="14" t="s">
        <v>3325</v>
      </c>
      <c r="D99" s="14" t="s">
        <v>3326</v>
      </c>
      <c r="E99" s="14" t="s">
        <v>3327</v>
      </c>
      <c r="G99" s="8" t="str">
        <f>IFERROR(__xludf.DUMMYFUNCTION(" GOOGLETRANSLATE(A99, ""en"", ""am"")"),"98")</f>
        <v>98</v>
      </c>
      <c r="H99" s="8" t="str">
        <f>IFERROR(__xludf.DUMMYFUNCTION(" GOOGLETRANSLATE(B99, ""en"", ""am"")"),"ዘሮችን በሚዘሩበት ጊዜ ምን መራቅ አለብዎት?")</f>
        <v>ዘሮችን በሚዘሩበት ጊዜ ምን መራቅ አለብዎት?</v>
      </c>
      <c r="I99" s="8" t="str">
        <f>IFERROR(__xludf.DUMMYFUNCTION(" GOOGLETRANSLATE(C99, ""en"", ""am"")"),"ሀ. በጉልበት መዝራት ለ. ወደ ተቃራኒ ጉድጓዶች መዝራት ሐ. በጥንቃቄ መዝራት መ. በስልት ማሰብ")</f>
        <v>ሀ. በጉልበት መዝራት ለ. ወደ ተቃራኒ ጉድጓዶች መዝራት ሐ. በጥንቃቄ መዝራት መ. በስልት ማሰብ</v>
      </c>
      <c r="J99" s="8" t="str">
        <f>IFERROR(__xludf.DUMMYFUNCTION(" GOOGLETRANSLATE(D99, ""en"", ""am"")"),"ወደ ተቃራኒ ጉድጓዶች መዝራት")</f>
        <v>ወደ ተቃራኒ ጉድጓዶች መዝራት</v>
      </c>
      <c r="K99" s="8" t="str">
        <f>IFERROR(__xludf.DUMMYFUNCTION(" GOOGLETRANSLATE(E99, ""en"", ""am"")"),"ወደ ተቃራኒ ጉድጓዶች መዝራት ጎተራቸውን ይጠቅማል።")</f>
        <v>ወደ ተቃራኒ ጉድጓዶች መዝራት ጎተራቸውን ይጠቅማል።</v>
      </c>
    </row>
    <row r="100" ht="22.5" customHeight="1">
      <c r="A100" s="13">
        <v>99.0</v>
      </c>
      <c r="B100" s="14" t="s">
        <v>3328</v>
      </c>
      <c r="C100" s="14" t="s">
        <v>3329</v>
      </c>
      <c r="D100" s="14" t="s">
        <v>3330</v>
      </c>
      <c r="E100" s="14" t="s">
        <v>3331</v>
      </c>
      <c r="G100" s="8" t="str">
        <f>IFERROR(__xludf.DUMMYFUNCTION(" GOOGLETRANSLATE(A100, ""en"", ""am"")"),"99")</f>
        <v>99</v>
      </c>
      <c r="H100" s="8" t="str">
        <f>IFERROR(__xludf.DUMMYFUNCTION(" GOOGLETRANSLATE(B100, ""en"", ""am"")"),"የትኛው እርምጃ ተቃዋሚውን ወደ ጎን ሊገፋው ይችላል?")</f>
        <v>የትኛው እርምጃ ተቃዋሚውን ወደ ጎን ሊገፋው ይችላል?</v>
      </c>
      <c r="I100" s="8" t="str">
        <f>IFERROR(__xludf.DUMMYFUNCTION(" GOOGLETRANSLATE(C100, ""en"", ""am"")"),"ሀ. የውስጥ ቀዳዳዎችን መጀመሪያ መጫወት ለ. ማዕከላዊ ጉድጓዶችን መከልከል ሐ. መጫወት እንኳን መ. የመጋዘን ጉድጓዶችን ቀድመው መጫወት")</f>
        <v>ሀ. የውስጥ ቀዳዳዎችን መጀመሪያ መጫወት ለ. ማዕከላዊ ጉድጓዶችን መከልከል ሐ. መጫወት እንኳን መ. የመጋዘን ጉድጓዶችን ቀድመው መጫወት</v>
      </c>
      <c r="J100" s="8" t="str">
        <f>IFERROR(__xludf.DUMMYFUNCTION(" GOOGLETRANSLATE(D100, ""en"", ""am"")"),"ማዕከላዊ ጉድጓዶችን ማገድ")</f>
        <v>ማዕከላዊ ጉድጓዶችን ማገድ</v>
      </c>
      <c r="K100" s="8" t="str">
        <f>IFERROR(__xludf.DUMMYFUNCTION(" GOOGLETRANSLATE(E100, ""en"", ""am"")"),"የማዕከላዊ ጉድጓዶችን ማገድ የተቃዋሚዎን አማራጮች ይገድባል።")</f>
        <v>የማዕከላዊ ጉድጓዶችን ማገድ የተቃዋሚዎን አማራጮች ይገድባል።</v>
      </c>
    </row>
    <row r="101" ht="22.5" customHeight="1">
      <c r="A101" s="13">
        <v>100.0</v>
      </c>
      <c r="B101" s="14" t="s">
        <v>3332</v>
      </c>
      <c r="C101" s="14" t="s">
        <v>3333</v>
      </c>
      <c r="D101" s="14" t="s">
        <v>3334</v>
      </c>
      <c r="E101" s="14" t="s">
        <v>3335</v>
      </c>
      <c r="G101" s="8" t="str">
        <f>IFERROR(__xludf.DUMMYFUNCTION(" GOOGLETRANSLATE(A101, ""en"", ""am"")"),"100")</f>
        <v>100</v>
      </c>
      <c r="H101" s="8" t="str">
        <f>IFERROR(__xludf.DUMMYFUNCTION(" GOOGLETRANSLATE(B101, ""en"", ""am"")"),"በጨዋታው ላይ ያልተጠበቀ ሁኔታን የሚያመጣው የትኛው አካል ነው?")</f>
        <v>በጨዋታው ላይ ያልተጠበቀ ሁኔታን የሚያመጣው የትኛው አካል ነው?</v>
      </c>
      <c r="I101" s="8" t="str">
        <f>IFERROR(__xludf.DUMMYFUNCTION(" GOOGLETRANSLATE(C101, ""en"", ""am"")"),"ሀ. የጊዜ ገደቦች ለ. የዘር ቀለሞች ሐ. የተቃውሞ ስልት D. ቅድመ-የተቆፈሩ ጉድጓዶች")</f>
        <v>ሀ. የጊዜ ገደቦች ለ. የዘር ቀለሞች ሐ. የተቃውሞ ስልት D. ቅድመ-የተቆፈሩ ጉድጓዶች</v>
      </c>
      <c r="J101" s="8" t="str">
        <f>IFERROR(__xludf.DUMMYFUNCTION(" GOOGLETRANSLATE(D101, ""en"", ""am"")"),"የተቃውሞ ስልት")</f>
        <v>የተቃውሞ ስልት</v>
      </c>
      <c r="K101" s="8" t="str">
        <f>IFERROR(__xludf.DUMMYFUNCTION(" GOOGLETRANSLATE(E101, ""en"", ""am"")"),"የተቃዋሚ ስልቶች እያንዳንዱን ጨዋታ ያልተጠበቀ ያደርገዋል።")</f>
        <v>የተቃዋሚ ስልቶች እያንዳንዱን ጨዋታ ያልተጠበቀ ያደርገዋል።</v>
      </c>
    </row>
    <row r="102" ht="22.5" customHeight="1">
      <c r="A102" s="13">
        <v>101.0</v>
      </c>
      <c r="B102" s="14" t="s">
        <v>3336</v>
      </c>
      <c r="C102" s="14" t="s">
        <v>3337</v>
      </c>
      <c r="D102" s="14" t="s">
        <v>3338</v>
      </c>
      <c r="E102" s="14" t="s">
        <v>3339</v>
      </c>
      <c r="G102" s="8" t="str">
        <f>IFERROR(__xludf.DUMMYFUNCTION(" GOOGLETRANSLATE(A102, ""en"", ""am"")"),"101")</f>
        <v>101</v>
      </c>
      <c r="H102" s="8" t="str">
        <f>IFERROR(__xludf.DUMMYFUNCTION(" GOOGLETRANSLATE(B102, ""en"", ""am"")"),"ዘሮችን ለመሰብሰብ የተሻለው ጊዜ መቼ ነው?")</f>
        <v>ዘሮችን ለመሰብሰብ የተሻለው ጊዜ መቼ ነው?</v>
      </c>
      <c r="I102" s="8" t="str">
        <f>IFERROR(__xludf.DUMMYFUNCTION(" GOOGLETRANSLATE(C102, ""en"", ""am"")"),"ሀ. ቀደምት ጨዋታ ለ. የመሃል ጨዋታ ሐ. ዘግይቶ ጨዋታ D. ምንም መንገድ የለም።")</f>
        <v>ሀ. ቀደምት ጨዋታ ለ. የመሃል ጨዋታ ሐ. ዘግይቶ ጨዋታ D. ምንም መንገድ የለም።</v>
      </c>
      <c r="J102" s="8" t="str">
        <f>IFERROR(__xludf.DUMMYFUNCTION(" GOOGLETRANSLATE(D102, ""en"", ""am"")"),"የመሃል ጨዋታ")</f>
        <v>የመሃል ጨዋታ</v>
      </c>
      <c r="K102" s="8" t="str">
        <f>IFERROR(__xludf.DUMMYFUNCTION(" GOOGLETRANSLATE(E102, ""en"", ""am"")"),"በጨዋታው አጋማሽ ላይ ዘሮችን ማንሳት ነጥቦችን ይጨምራል።")</f>
        <v>በጨዋታው አጋማሽ ላይ ዘሮችን ማንሳት ነጥቦችን ይጨምራል።</v>
      </c>
    </row>
    <row r="103" ht="22.5" customHeight="1">
      <c r="A103" s="13">
        <v>102.0</v>
      </c>
      <c r="B103" s="14" t="s">
        <v>3340</v>
      </c>
      <c r="C103" s="14" t="s">
        <v>3341</v>
      </c>
      <c r="D103" s="14" t="s">
        <v>3342</v>
      </c>
      <c r="E103" s="14" t="s">
        <v>3343</v>
      </c>
      <c r="G103" s="8" t="str">
        <f>IFERROR(__xludf.DUMMYFUNCTION(" GOOGLETRANSLATE(A103, ""en"", ""am"")"),"102")</f>
        <v>102</v>
      </c>
      <c r="H103" s="8" t="str">
        <f>IFERROR(__xludf.DUMMYFUNCTION(" GOOGLETRANSLATE(B103, ""en"", ""am"")"),"ዘሮችን ሲቆጥሩ ምን አስፈላጊ ነው?")</f>
        <v>ዘሮችን ሲቆጥሩ ምን አስፈላጊ ነው?</v>
      </c>
      <c r="I103" s="8" t="str">
        <f>IFERROR(__xludf.DUMMYFUNCTION(" GOOGLETRANSLATE(C103, ""en"", ""am"")"),"ሀ. ስፒድ ቢ. ትክክለኛነት ሐ. የዘፈቀደ ግምት D. ግምት")</f>
        <v>ሀ. ስፒድ ቢ. ትክክለኛነት ሐ. የዘፈቀደ ግምት D. ግምት</v>
      </c>
      <c r="J103" s="8" t="str">
        <f>IFERROR(__xludf.DUMMYFUNCTION(" GOOGLETRANSLATE(D103, ""en"", ""am"")"),"ትክክለኛነት")</f>
        <v>ትክክለኛነት</v>
      </c>
      <c r="K103" s="8" t="str">
        <f>IFERROR(__xludf.DUMMYFUNCTION(" GOOGLETRANSLATE(E103, ""en"", ""am"")"),"ትክክለኛ የዘር ቆጠራ አሸናፊ ስልቶችን ለመፍጠር ይረዳል።")</f>
        <v>ትክክለኛ የዘር ቆጠራ አሸናፊ ስልቶችን ለመፍጠር ይረዳል።</v>
      </c>
    </row>
    <row r="104" ht="22.5" customHeight="1">
      <c r="A104" s="13">
        <v>103.0</v>
      </c>
      <c r="B104" s="14" t="s">
        <v>3344</v>
      </c>
      <c r="C104" s="14" t="s">
        <v>3345</v>
      </c>
      <c r="D104" s="14" t="s">
        <v>3346</v>
      </c>
      <c r="E104" s="14" t="s">
        <v>3347</v>
      </c>
      <c r="G104" s="8" t="str">
        <f>IFERROR(__xludf.DUMMYFUNCTION(" GOOGLETRANSLATE(A104, ""en"", ""am"")"),"103")</f>
        <v>103</v>
      </c>
      <c r="H104" s="8" t="str">
        <f>IFERROR(__xludf.DUMMYFUNCTION(" GOOGLETRANSLATE(B104, ""en"", ""am"")"),"አንድ ተጫዋች የጨዋታውን ፍጥነት እንዴት መቆጣጠር ይችላል?")</f>
        <v>አንድ ተጫዋች የጨዋታውን ፍጥነት እንዴት መቆጣጠር ይችላል?</v>
      </c>
      <c r="I104" s="8" t="str">
        <f>IFERROR(__xludf.DUMMYFUNCTION(" GOOGLETRANSLATE(C104, ""en"", ""am"")"),"ሀ. በፍጥነት ይጫወቱ። ለ. ያልተስተካከለ መዝራት ሐ. የቁልፍ ቀዳዳዎችን ይቆጣጠሩ። መ. አጥብቀው ይያዙ")</f>
        <v>ሀ. በፍጥነት ይጫወቱ። ለ. ያልተስተካከለ መዝራት ሐ. የቁልፍ ቀዳዳዎችን ይቆጣጠሩ። መ. አጥብቀው ይያዙ</v>
      </c>
      <c r="J104" s="8" t="str">
        <f>IFERROR(__xludf.DUMMYFUNCTION(" GOOGLETRANSLATE(D104, ""en"", ""am"")"),"የቁልፍ ቀዳዳዎችን ይቆጣጠሩ.")</f>
        <v>የቁልፍ ቀዳዳዎችን ይቆጣጠሩ.</v>
      </c>
      <c r="K104" s="8" t="str">
        <f>IFERROR(__xludf.DUMMYFUNCTION(" GOOGLETRANSLATE(E104, ""en"", ""am"")"),"የቁልፍ ቀዳዳዎችን መቆጣጠር የጨዋታውን ጊዜ ለመቆጣጠር ይረዳል.")</f>
        <v>የቁልፍ ቀዳዳዎችን መቆጣጠር የጨዋታውን ጊዜ ለመቆጣጠር ይረዳል.</v>
      </c>
    </row>
    <row r="105" ht="22.5" customHeight="1">
      <c r="A105" s="13">
        <v>104.0</v>
      </c>
      <c r="B105" s="14" t="s">
        <v>3348</v>
      </c>
      <c r="C105" s="14" t="s">
        <v>3349</v>
      </c>
      <c r="D105" s="14" t="s">
        <v>3350</v>
      </c>
      <c r="E105" s="14" t="s">
        <v>3351</v>
      </c>
      <c r="G105" s="8" t="str">
        <f>IFERROR(__xludf.DUMMYFUNCTION(" GOOGLETRANSLATE(A105, ""en"", ""am"")"),"104")</f>
        <v>104</v>
      </c>
      <c r="H105" s="8" t="str">
        <f>IFERROR(__xludf.DUMMYFUNCTION(" GOOGLETRANSLATE(B105, ""en"", ""am"")"),"ውጤታማ የመክፈቻ ስልት ምንድን ነው?")</f>
        <v>ውጤታማ የመክፈቻ ስልት ምንድን ነው?</v>
      </c>
      <c r="I105" s="8" t="str">
        <f>IFERROR(__xludf.DUMMYFUNCTION(" GOOGLETRANSLATE(C105, ""en"", ""am"")"),"ሀ. ቀዳዳዎቹን መልሰው ይጫወቱ. B. አሁን ያዙት ሐ. ከመካከለኛው ቀዳዳዎች መዝራት D. ቀዳዳዎቹን ሙላ.")</f>
        <v>ሀ. ቀዳዳዎቹን መልሰው ይጫወቱ. B. አሁን ያዙት ሐ. ከመካከለኛው ቀዳዳዎች መዝራት D. ቀዳዳዎቹን ሙላ.</v>
      </c>
      <c r="J105" s="8" t="str">
        <f>IFERROR(__xludf.DUMMYFUNCTION(" GOOGLETRANSLATE(D105, ""en"", ""am"")"),"ከመካከለኛው ቀዳዳዎች መዝራት")</f>
        <v>ከመካከለኛው ቀዳዳዎች መዝራት</v>
      </c>
      <c r="K105" s="8" t="str">
        <f>IFERROR(__xludf.DUMMYFUNCTION(" GOOGLETRANSLATE(E105, ""en"", ""am"")"),"ከመካከለኛው ቀዳዳዎች ጀምሮ ስልታዊ ጥይቶችን ያዘጋጃል.")</f>
        <v>ከመካከለኛው ቀዳዳዎች ጀምሮ ስልታዊ ጥይቶችን ያዘጋጃል.</v>
      </c>
    </row>
    <row r="106" ht="22.5" customHeight="1">
      <c r="A106" s="13">
        <v>105.0</v>
      </c>
      <c r="B106" s="14" t="s">
        <v>3352</v>
      </c>
      <c r="C106" s="14" t="s">
        <v>3353</v>
      </c>
      <c r="D106" s="14" t="s">
        <v>3354</v>
      </c>
      <c r="E106" s="14" t="s">
        <v>3355</v>
      </c>
      <c r="G106" s="8" t="str">
        <f>IFERROR(__xludf.DUMMYFUNCTION(" GOOGLETRANSLATE(A106, ""en"", ""am"")"),"105")</f>
        <v>105</v>
      </c>
      <c r="H106" s="8" t="str">
        <f>IFERROR(__xludf.DUMMYFUNCTION(" GOOGLETRANSLATE(B106, ""en"", ""am"")"),"አንድ ተጫዋች ህጋዊ እንቅስቃሴ ከሌለው ምን ይሆናል?")</f>
        <v>አንድ ተጫዋች ህጋዊ እንቅስቃሴ ከሌለው ምን ይሆናል?</v>
      </c>
      <c r="I106" s="8" t="str">
        <f>IFERROR(__xludf.DUMMYFUNCTION(" GOOGLETRANSLATE(C106, ""en"", ""am"")"),"ሀ. ጨዋታውን ተሸንፏል። ለ. ተቃዋሚው ሁሉንም ውድድሮች ያሸንፋል። ሐ. ዙር ያበቃል. D. መስመሩን ይዝለሉ.")</f>
        <v>ሀ. ጨዋታውን ተሸንፏል። ለ. ተቃዋሚው ሁሉንም ውድድሮች ያሸንፋል። ሐ. ዙር ያበቃል. D. መስመሩን ይዝለሉ.</v>
      </c>
      <c r="J106" s="8" t="str">
        <f>IFERROR(__xludf.DUMMYFUNCTION(" GOOGLETRANSLATE(D106, ""en"", ""am"")"),"ዙር ያበቃል.")</f>
        <v>ዙር ያበቃል.</v>
      </c>
      <c r="K106" s="8" t="str">
        <f>IFERROR(__xludf.DUMMYFUNCTION(" GOOGLETRANSLATE(E106, ""en"", ""am"")"),"ምንም ህጋዊ እንቅስቃሴዎች ከሌሉ, ዙሩ ያበቃል.")</f>
        <v>ምንም ህጋዊ እንቅስቃሴዎች ከሌሉ, ዙሩ ያበቃል.</v>
      </c>
    </row>
    <row r="107" ht="22.5" customHeight="1">
      <c r="A107" s="13">
        <v>106.0</v>
      </c>
      <c r="B107" s="14" t="s">
        <v>3356</v>
      </c>
      <c r="C107" s="14" t="s">
        <v>3357</v>
      </c>
      <c r="D107" s="14" t="s">
        <v>3358</v>
      </c>
      <c r="E107" s="14" t="s">
        <v>3359</v>
      </c>
      <c r="G107" s="8" t="str">
        <f>IFERROR(__xludf.DUMMYFUNCTION(" GOOGLETRANSLATE(A107, ""en"", ""am"")"),"106")</f>
        <v>106</v>
      </c>
      <c r="H107" s="8" t="str">
        <f>IFERROR(__xludf.DUMMYFUNCTION(" GOOGLETRANSLATE(B107, ""en"", ""am"")"),"የትኞቹ ጉድጓዶች የመከላከያ ጉድጓዶች ተብለው ይጠራሉ?")</f>
        <v>የትኞቹ ጉድጓዶች የመከላከያ ጉድጓዶች ተብለው ይጠራሉ?</v>
      </c>
      <c r="I107" s="8" t="str">
        <f>IFERROR(__xludf.DUMMYFUNCTION(" GOOGLETRANSLATE(C107, ""en"", ""am"")"),"ሀ. የኋላ ረድፍ ቀዳዳዎች ለ. የተቃዋሚ ጉድጓዶች ሐ. የማከማቻ ጉድጓዶች D. ማዕከላዊ ጉድጓዶች")</f>
        <v>ሀ. የኋላ ረድፍ ቀዳዳዎች ለ. የተቃዋሚ ጉድጓዶች ሐ. የማከማቻ ጉድጓዶች D. ማዕከላዊ ጉድጓዶች</v>
      </c>
      <c r="J107" s="8" t="str">
        <f>IFERROR(__xludf.DUMMYFUNCTION(" GOOGLETRANSLATE(D107, ""en"", ""am"")"),"የኋላ ረድፍ ቀዳዳዎች")</f>
        <v>የኋላ ረድፍ ቀዳዳዎች</v>
      </c>
      <c r="K107" s="8" t="str">
        <f>IFERROR(__xludf.DUMMYFUNCTION(" GOOGLETRANSLATE(E107, ""en"", ""am"")"),"የኋለኛው ረድፍ ቀዳዳዎች የዘር ክምችቶችን ይከላከላል.")</f>
        <v>የኋለኛው ረድፍ ቀዳዳዎች የዘር ክምችቶችን ይከላከላል.</v>
      </c>
    </row>
    <row r="108" ht="22.5" customHeight="1">
      <c r="A108" s="13">
        <v>107.0</v>
      </c>
      <c r="B108" s="14" t="s">
        <v>3360</v>
      </c>
      <c r="C108" s="14" t="s">
        <v>3361</v>
      </c>
      <c r="D108" s="14" t="s">
        <v>3024</v>
      </c>
      <c r="E108" s="14" t="s">
        <v>3362</v>
      </c>
      <c r="G108" s="8" t="str">
        <f>IFERROR(__xludf.DUMMYFUNCTION(" GOOGLETRANSLATE(A108, ""en"", ""am"")"),"107")</f>
        <v>107</v>
      </c>
      <c r="H108" s="8" t="str">
        <f>IFERROR(__xludf.DUMMYFUNCTION(" GOOGLETRANSLATE(B108, ""en"", ""am"")"),"ተወዳዳሪ ተጫዋች ምን ይገለጻል?")</f>
        <v>ተወዳዳሪ ተጫዋች ምን ይገለጻል?</v>
      </c>
      <c r="I108" s="8" t="str">
        <f>IFERROR(__xludf.DUMMYFUNCTION(" GOOGLETRANSLATE(C108, ""en"", ""am"")"),"ሀ. ፈጣን ምላሽ ሰጪዎች ለ. ጠንካራ ማህደረ ትውስታ ሐ. ስልታዊ አስተሳሰብ D. Lucky cham")</f>
        <v>ሀ. ፈጣን ምላሽ ሰጪዎች ለ. ጠንካራ ማህደረ ትውስታ ሐ. ስልታዊ አስተሳሰብ D. Lucky cham</v>
      </c>
      <c r="J108" s="8" t="str">
        <f>IFERROR(__xludf.DUMMYFUNCTION(" GOOGLETRANSLATE(D108, ""en"", ""am"")"),"ስልታዊ አስተሳሰብ")</f>
        <v>ስልታዊ አስተሳሰብ</v>
      </c>
      <c r="K108" s="8" t="str">
        <f>IFERROR(__xludf.DUMMYFUNCTION(" GOOGLETRANSLATE(E108, ""en"", ""am"")"),"ስልታዊ አስተሳሰብ ተወዳዳሪ ተጫዋቾችን ይገልፃል።")</f>
        <v>ስልታዊ አስተሳሰብ ተወዳዳሪ ተጫዋቾችን ይገልፃል።</v>
      </c>
    </row>
    <row r="109" ht="22.5" customHeight="1">
      <c r="A109" s="13">
        <v>108.0</v>
      </c>
      <c r="B109" s="14" t="s">
        <v>3363</v>
      </c>
      <c r="C109" s="14" t="s">
        <v>3364</v>
      </c>
      <c r="D109" s="14" t="s">
        <v>3365</v>
      </c>
      <c r="E109" s="14" t="s">
        <v>3366</v>
      </c>
      <c r="G109" s="8" t="str">
        <f>IFERROR(__xludf.DUMMYFUNCTION(" GOOGLETRANSLATE(A109, ""en"", ""am"")"),"108")</f>
        <v>108</v>
      </c>
      <c r="H109" s="8" t="str">
        <f>IFERROR(__xludf.DUMMYFUNCTION(" GOOGLETRANSLATE(B109, ""en"", ""am"")"),"የትኛው የማንካላ ልዩነት ባለ ቀለም ዘሮች ይጠቀማል?")</f>
        <v>የትኛው የማንካላ ልዩነት ባለ ቀለም ዘሮች ይጠቀማል?</v>
      </c>
      <c r="I109" s="8" t="str">
        <f>IFERROR(__xludf.DUMMYFUNCTION(" GOOGLETRANSLATE(C109, ""en"", ""am"")"),"A. B. Oware C. Bao D. ከሌለዎት ሌላ ምንም ነገር የለም።")</f>
        <v>A. B. Oware C. Bao D. ከሌለዎት ሌላ ምንም ነገር የለም።</v>
      </c>
      <c r="J109" s="8" t="str">
        <f>IFERROR(__xludf.DUMMYFUNCTION(" GOOGLETRANSLATE(D109, ""en"", ""am"")"),"ባኦ")</f>
        <v>ባኦ</v>
      </c>
      <c r="K109" s="8" t="str">
        <f>IFERROR(__xludf.DUMMYFUNCTION(" GOOGLETRANSLATE(E109, ""en"", ""am"")"),"ባኦ ብዙ ጊዜ በቀለማት ያሸበረቁ ዘሮችን ይጠቀማል.")</f>
        <v>ባኦ ብዙ ጊዜ በቀለማት ያሸበረቁ ዘሮችን ይጠቀማል.</v>
      </c>
    </row>
    <row r="110" ht="22.5" customHeight="1">
      <c r="A110" s="13">
        <v>109.0</v>
      </c>
      <c r="B110" s="14" t="s">
        <v>3367</v>
      </c>
      <c r="C110" s="14" t="s">
        <v>3368</v>
      </c>
      <c r="D110" s="14" t="s">
        <v>3369</v>
      </c>
      <c r="E110" s="14" t="s">
        <v>3370</v>
      </c>
      <c r="G110" s="8" t="str">
        <f>IFERROR(__xludf.DUMMYFUNCTION(" GOOGLETRANSLATE(A110, ""en"", ""am"")"),"109")</f>
        <v>109</v>
      </c>
      <c r="H110" s="8" t="str">
        <f>IFERROR(__xludf.DUMMYFUNCTION(" GOOGLETRANSLATE(B110, ""en"", ""am"")"),"ካላ ምን ዓይነት ጉድጓዶች ይጠቀማል?")</f>
        <v>ካላ ምን ዓይነት ጉድጓዶች ይጠቀማል?</v>
      </c>
      <c r="I110" s="8" t="str">
        <f>IFERROR(__xludf.DUMMYFUNCTION(" GOOGLETRANSLATE(C110, ""en"", ""am"")"),"ሀ. ቀዳዳዎቹን ይያዙ. ለ. የማከማቻ ጉድጓዶች ሐ. የዘፈቀደ ጉድጓዶች D. ማዕከላዊ ጉድጓዶች")</f>
        <v>ሀ. ቀዳዳዎቹን ይያዙ. ለ. የማከማቻ ጉድጓዶች ሐ. የዘፈቀደ ጉድጓዶች D. ማዕከላዊ ጉድጓዶች</v>
      </c>
      <c r="J110" s="8" t="str">
        <f>IFERROR(__xludf.DUMMYFUNCTION(" GOOGLETRANSLATE(D110, ""en"", ""am"")"),"የማከማቻ ጉድጓዶች")</f>
        <v>የማከማቻ ጉድጓዶች</v>
      </c>
      <c r="K110" s="8" t="str">
        <f>IFERROR(__xludf.DUMMYFUNCTION(" GOOGLETRANSLATE(E110, ""en"", ""am"")"),"ካላህ ለነጥብ ማስቀመጫ ጉድጓዶች ይጠቀማል።")</f>
        <v>ካላህ ለነጥብ ማስቀመጫ ጉድጓዶች ይጠቀማል።</v>
      </c>
    </row>
    <row r="111" ht="22.5" customHeight="1">
      <c r="A111" s="13">
        <v>110.0</v>
      </c>
      <c r="B111" s="14" t="s">
        <v>3371</v>
      </c>
      <c r="C111" s="14" t="s">
        <v>3372</v>
      </c>
      <c r="D111" s="14" t="s">
        <v>3373</v>
      </c>
      <c r="E111" s="14" t="s">
        <v>3374</v>
      </c>
      <c r="G111" s="8" t="str">
        <f>IFERROR(__xludf.DUMMYFUNCTION(" GOOGLETRANSLATE(A111, ""en"", ""am"")"),"110")</f>
        <v>110</v>
      </c>
      <c r="H111" s="8" t="str">
        <f>IFERROR(__xludf.DUMMYFUNCTION(" GOOGLETRANSLATE(B111, ""en"", ""am"")"),"አሸናፊው እንዴት ነው የሚወሰነው?")</f>
        <v>አሸናፊው እንዴት ነው የሚወሰነው?</v>
      </c>
      <c r="I111" s="8" t="str">
        <f>IFERROR(__xludf.DUMMYFUNCTION(" GOOGLETRANSLATE(C111, ""en"", ""am"")"),"ሀ. አብዛኛዎቹ ዘሮች የሚሰበሰቡት ለ. የመጨረሻው ደረጃ ሐ. ጠቅላላ ተግባራት መ. የቦርድ ሁኔታ")</f>
        <v>ሀ. አብዛኛዎቹ ዘሮች የሚሰበሰቡት ለ. የመጨረሻው ደረጃ ሐ. ጠቅላላ ተግባራት መ. የቦርድ ሁኔታ</v>
      </c>
      <c r="J111" s="8" t="str">
        <f>IFERROR(__xludf.DUMMYFUNCTION(" GOOGLETRANSLATE(D111, ""en"", ""am"")"),"አብዛኛዎቹ ዘሮች ይሰበሰባሉ")</f>
        <v>አብዛኛዎቹ ዘሮች ይሰበሰባሉ</v>
      </c>
      <c r="K111" s="8" t="str">
        <f>IFERROR(__xludf.DUMMYFUNCTION(" GOOGLETRANSLATE(E111, ""en"", ""am"")"),"በጣም የተያዙ ዘሮች ያለው ተጫዋች ያሸንፋል።")</f>
        <v>በጣም የተያዙ ዘሮች ያለው ተጫዋች ያሸንፋል።</v>
      </c>
    </row>
    <row r="112" ht="22.5" customHeight="1">
      <c r="A112" s="13">
        <v>111.0</v>
      </c>
      <c r="B112" s="14" t="s">
        <v>3375</v>
      </c>
      <c r="C112" s="14" t="s">
        <v>3376</v>
      </c>
      <c r="D112" s="14" t="s">
        <v>3377</v>
      </c>
      <c r="E112" s="14" t="s">
        <v>3378</v>
      </c>
      <c r="G112" s="8" t="str">
        <f>IFERROR(__xludf.DUMMYFUNCTION(" GOOGLETRANSLATE(A112, ""en"", ""am"")"),"111")</f>
        <v>111</v>
      </c>
      <c r="H112" s="8" t="str">
        <f>IFERROR(__xludf.DUMMYFUNCTION(" GOOGLETRANSLATE(B112, ""en"", ""am"")"),"ተጫዋቾች አንድ ላይ ቢሰበሰቡ ምን ይሆናል?")</f>
        <v>ተጫዋቾች አንድ ላይ ቢሰበሰቡ ምን ይሆናል?</v>
      </c>
      <c r="I112" s="8" t="str">
        <f>IFERROR(__xludf.DUMMYFUNCTION(" GOOGLETRANSLATE(C112, ""en"", ""am"")"),"ሀ. እንደገና አጫውት። ለ. ሁለቱም ያሸንፋሉ። ሐ. ነጥቦች ተሰጥተዋል. መ. ምንም መፍትሄ የለም.")</f>
        <v>ሀ. እንደገና አጫውት። ለ. ሁለቱም ያሸንፋሉ። ሐ. ነጥቦች ተሰጥተዋል. መ. ምንም መፍትሄ የለም.</v>
      </c>
      <c r="J112" s="8" t="str">
        <f>IFERROR(__xludf.DUMMYFUNCTION(" GOOGLETRANSLATE(D112, ""en"", ""am"")"),"እንደገና አጫውት።")</f>
        <v>እንደገና አጫውት።</v>
      </c>
      <c r="K112" s="8" t="str">
        <f>IFERROR(__xludf.DUMMYFUNCTION(" GOOGLETRANSLATE(E112, ""en"", ""am"")"),"እኩልነት ብዙውን ጊዜ እንደገና መጫወትን ያስከትላል።")</f>
        <v>እኩልነት ብዙውን ጊዜ እንደገና መጫወትን ያስከትላል።</v>
      </c>
    </row>
    <row r="113" ht="22.5" customHeight="1">
      <c r="A113" s="13">
        <v>112.0</v>
      </c>
      <c r="B113" s="14" t="s">
        <v>3379</v>
      </c>
      <c r="C113" s="14" t="s">
        <v>3380</v>
      </c>
      <c r="D113" s="14" t="s">
        <v>3381</v>
      </c>
      <c r="E113" s="14" t="s">
        <v>3382</v>
      </c>
      <c r="G113" s="8" t="str">
        <f>IFERROR(__xludf.DUMMYFUNCTION(" GOOGLETRANSLATE(A113, ""en"", ""am"")"),"112")</f>
        <v>112</v>
      </c>
      <c r="H113" s="8" t="str">
        <f>IFERROR(__xludf.DUMMYFUNCTION(" GOOGLETRANSLATE(B113, ""en"", ""am"")"),"የተቃዋሚዎችን መያዝ እንዴት መቀነስ ይቻላል?")</f>
        <v>የተቃዋሚዎችን መያዝ እንዴት መቀነስ ይቻላል?</v>
      </c>
      <c r="I113" s="8" t="str">
        <f>IFERROR(__xludf.DUMMYFUNCTION(" GOOGLETRANSLATE(C113, ""en"", ""am"")"),"ሀ. ቀዳዳዎቹን አግድ. ለ. በፍጥነት ይያዙ ሐ. ብዙ ዘሮችን መዝራት መ. ማከማቻን ይቆጣጠሩ")</f>
        <v>ሀ. ቀዳዳዎቹን አግድ. ለ. በፍጥነት ይያዙ ሐ. ብዙ ዘሮችን መዝራት መ. ማከማቻን ይቆጣጠሩ</v>
      </c>
      <c r="J113" s="8" t="str">
        <f>IFERROR(__xludf.DUMMYFUNCTION(" GOOGLETRANSLATE(D113, ""en"", ""am"")"),"ቀዳዳዎቹን አግድ.")</f>
        <v>ቀዳዳዎቹን አግድ.</v>
      </c>
      <c r="K113" s="8" t="str">
        <f>IFERROR(__xludf.DUMMYFUNCTION(" GOOGLETRANSLATE(E113, ""en"", ""am"")"),"ጉድጓዶችን ማገድ የመያዝ እድሎችን ይገድባል.")</f>
        <v>ጉድጓዶችን ማገድ የመያዝ እድሎችን ይገድባል.</v>
      </c>
    </row>
    <row r="114" ht="22.5" customHeight="1">
      <c r="A114" s="13">
        <v>113.0</v>
      </c>
      <c r="B114" s="14" t="s">
        <v>3383</v>
      </c>
      <c r="C114" s="14" t="s">
        <v>3384</v>
      </c>
      <c r="D114" s="14" t="s">
        <v>3385</v>
      </c>
      <c r="E114" s="14" t="s">
        <v>3386</v>
      </c>
      <c r="G114" s="8" t="str">
        <f>IFERROR(__xludf.DUMMYFUNCTION(" GOOGLETRANSLATE(A114, ""en"", ""am"")"),"113")</f>
        <v>113</v>
      </c>
      <c r="H114" s="8" t="str">
        <f>IFERROR(__xludf.DUMMYFUNCTION(" GOOGLETRANSLATE(B114, ""en"", ""am"")"),"የሙሉ ጉድጓዶች ጥቅሞች ምንድ ናቸው?")</f>
        <v>የሙሉ ጉድጓዶች ጥቅሞች ምንድ ናቸው?</v>
      </c>
      <c r="I114" s="8" t="str">
        <f>IFERROR(__xludf.DUMMYFUNCTION(" GOOGLETRANSLATE(C114, ""en"", ""am"")"),"ሀ. ፈጣን እንቅስቃሴዎች ለ. መከላከያ ሐ. ተጨማሪ አማራጮች መ. ፈጣን ቀረጻዎች")</f>
        <v>ሀ. ፈጣን እንቅስቃሴዎች ለ. መከላከያ ሐ. ተጨማሪ አማራጮች መ. ፈጣን ቀረጻዎች</v>
      </c>
      <c r="J114" s="8" t="str">
        <f>IFERROR(__xludf.DUMMYFUNCTION(" GOOGLETRANSLATE(D114, ""en"", ""am"")"),"ተጨማሪ አማራጮች")</f>
        <v>ተጨማሪ አማራጮች</v>
      </c>
      <c r="K114" s="8" t="str">
        <f>IFERROR(__xludf.DUMMYFUNCTION(" GOOGLETRANSLATE(E114, ""en"", ""am"")"),"ሙሉ ቀዳዳዎች ተጨማሪ የመትከል አማራጮችን ይሰጣሉ.")</f>
        <v>ሙሉ ቀዳዳዎች ተጨማሪ የመትከል አማራጮችን ይሰጣሉ.</v>
      </c>
    </row>
    <row r="115" ht="22.5" customHeight="1">
      <c r="A115" s="13">
        <v>114.0</v>
      </c>
      <c r="B115" s="14" t="s">
        <v>3387</v>
      </c>
      <c r="C115" s="14" t="s">
        <v>3388</v>
      </c>
      <c r="D115" s="14" t="s">
        <v>3389</v>
      </c>
      <c r="E115" s="14" t="s">
        <v>3390</v>
      </c>
      <c r="G115" s="8" t="str">
        <f>IFERROR(__xludf.DUMMYFUNCTION(" GOOGLETRANSLATE(A115, ""en"", ""am"")"),"114")</f>
        <v>114</v>
      </c>
      <c r="H115" s="8" t="str">
        <f>IFERROR(__xludf.DUMMYFUNCTION(" GOOGLETRANSLATE(B115, ""en"", ""am"")"),"በጨዋታው መጀመሪያ ላይ ምን ቅድሚያ መስጠት አለበት?")</f>
        <v>በጨዋታው መጀመሪያ ላይ ምን ቅድሚያ መስጠት አለበት?</v>
      </c>
      <c r="I115" s="8" t="str">
        <f>IFERROR(__xludf.DUMMYFUNCTION(" GOOGLETRANSLATE(C115, ""en"", ""am"")"),"ሀ.መከላከያ ለ. የመቅዳት ዘዴ ሐ. እንኳን መዝራት መ. የዘፈቀደ እንቅስቃሴዎች")</f>
        <v>ሀ.መከላከያ ለ. የመቅዳት ዘዴ ሐ. እንኳን መዝራት መ. የዘፈቀደ እንቅስቃሴዎች</v>
      </c>
      <c r="J115" s="8" t="str">
        <f>IFERROR(__xludf.DUMMYFUNCTION(" GOOGLETRANSLATE(D115, ""en"", ""am"")"),"የመቅዳት ዘዴ")</f>
        <v>የመቅዳት ዘዴ</v>
      </c>
      <c r="K115" s="8" t="str">
        <f>IFERROR(__xludf.DUMMYFUNCTION(" GOOGLETRANSLATE(E115, ""en"", ""am"")"),"ቀደምት የመያዝ ስልት የጨዋታ የበላይነትን ይመሰርታል.")</f>
        <v>ቀደምት የመያዝ ስልት የጨዋታ የበላይነትን ይመሰርታል.</v>
      </c>
    </row>
    <row r="116" ht="22.5" customHeight="1">
      <c r="A116" s="13">
        <v>115.0</v>
      </c>
      <c r="B116" s="14" t="s">
        <v>3391</v>
      </c>
      <c r="C116" s="14" t="s">
        <v>3392</v>
      </c>
      <c r="D116" s="14" t="s">
        <v>3393</v>
      </c>
      <c r="E116" s="14" t="s">
        <v>3394</v>
      </c>
      <c r="G116" s="8" t="str">
        <f>IFERROR(__xludf.DUMMYFUNCTION(" GOOGLETRANSLATE(A116, ""en"", ""am"")"),"115")</f>
        <v>115</v>
      </c>
      <c r="H116" s="8" t="str">
        <f>IFERROR(__xludf.DUMMYFUNCTION(" GOOGLETRANSLATE(B116, ""en"", ""am"")"),"በኦዌሪ ልዩነት ውስጥ ምን ዓይነት ቀዳዳ ንድፍ አለ?")</f>
        <v>በኦዌሪ ልዩነት ውስጥ ምን ዓይነት ቀዳዳ ንድፍ አለ?</v>
      </c>
      <c r="I116" s="8" t="str">
        <f>IFERROR(__xludf.DUMMYFUNCTION(" GOOGLETRANSLATE(C116, ""en"", ""am"")"),"ሀ. ማዕከላዊ ጉድጓዶች ለ. ትናንሽ ቀዳዳዎች ሐ. ቀዳዳዎቹን ያዙ. D. የውጭ ጉድጓዶች")</f>
        <v>ሀ. ማዕከላዊ ጉድጓዶች ለ. ትናንሽ ቀዳዳዎች ሐ. ቀዳዳዎቹን ያዙ. D. የውጭ ጉድጓዶች</v>
      </c>
      <c r="J116" s="8" t="str">
        <f>IFERROR(__xludf.DUMMYFUNCTION(" GOOGLETRANSLATE(D116, ""en"", ""am"")"),"ቀዳዳዎቹን ይያዙ.")</f>
        <v>ቀዳዳዎቹን ይያዙ.</v>
      </c>
      <c r="K116" s="8" t="str">
        <f>IFERROR(__xludf.DUMMYFUNCTION(" GOOGLETRANSLATE(E116, ""en"", ""am"")"),"ኦዋሬ የተሰየሙ ጉድጓዶችን ያጠቃልላል።")</f>
        <v>ኦዋሬ የተሰየሙ ጉድጓዶችን ያጠቃልላል።</v>
      </c>
    </row>
    <row r="117" ht="22.5" customHeight="1">
      <c r="A117" s="13">
        <v>116.0</v>
      </c>
      <c r="B117" s="14" t="s">
        <v>3395</v>
      </c>
      <c r="C117" s="14" t="s">
        <v>3396</v>
      </c>
      <c r="D117" s="14" t="s">
        <v>3397</v>
      </c>
      <c r="E117" s="14" t="s">
        <v>3398</v>
      </c>
      <c r="G117" s="8" t="str">
        <f>IFERROR(__xludf.DUMMYFUNCTION(" GOOGLETRANSLATE(A117, ""en"", ""am"")"),"116")</f>
        <v>116</v>
      </c>
      <c r="H117" s="8" t="str">
        <f>IFERROR(__xludf.DUMMYFUNCTION(" GOOGLETRANSLATE(B117, ""en"", ""am"")"),"የተለመደ የማንካላ ዘዴ ምንድነው?")</f>
        <v>የተለመደ የማንካላ ዘዴ ምንድነው?</v>
      </c>
      <c r="I117" s="8" t="str">
        <f>IFERROR(__xludf.DUMMYFUNCTION(" GOOGLETRANSLATE(C117, ""en"", ""am"")"),"ሀ. ባልተጠበቀ መንገድ ዘር መዝራት ለ. ዙሪያ መዝለል ሐ. መዝራት እና መሰብሰብን ማመጣጠን መ. የዘፈቀደ ቀዳዳ ይንቀሳቀሳል.")</f>
        <v>ሀ. ባልተጠበቀ መንገድ ዘር መዝራት ለ. ዙሪያ መዝለል ሐ. መዝራት እና መሰብሰብን ማመጣጠን መ. የዘፈቀደ ቀዳዳ ይንቀሳቀሳል.</v>
      </c>
      <c r="J117" s="8" t="str">
        <f>IFERROR(__xludf.DUMMYFUNCTION(" GOOGLETRANSLATE(D117, ""en"", ""am"")"),"መዝራት እና መሰብሰብን ማመጣጠን")</f>
        <v>መዝራት እና መሰብሰብን ማመጣጠን</v>
      </c>
      <c r="K117" s="8" t="str">
        <f>IFERROR(__xludf.DUMMYFUNCTION(" GOOGLETRANSLATE(E117, ""en"", ""am"")"),"መዝራት እና መሰብሰብን ማመጣጠን ስኬትን ይጨምራል.")</f>
        <v>መዝራት እና መሰብሰብን ማመጣጠን ስኬትን ይጨምራል.</v>
      </c>
    </row>
    <row r="118" ht="22.5" customHeight="1">
      <c r="A118" s="13">
        <v>117.0</v>
      </c>
      <c r="B118" s="14" t="s">
        <v>3399</v>
      </c>
      <c r="C118" s="14" t="s">
        <v>3400</v>
      </c>
      <c r="D118" s="14" t="s">
        <v>3401</v>
      </c>
      <c r="E118" s="14" t="s">
        <v>3402</v>
      </c>
      <c r="G118" s="8" t="str">
        <f>IFERROR(__xludf.DUMMYFUNCTION(" GOOGLETRANSLATE(A118, ""en"", ""am"")"),"117")</f>
        <v>117</v>
      </c>
      <c r="H118" s="8" t="str">
        <f>IFERROR(__xludf.DUMMYFUNCTION(" GOOGLETRANSLATE(B118, ""en"", ""am"")"),"ተጫዋቾች ብዙ ጊዜ ምን ልምምድ ማድረግ አለባቸው?")</f>
        <v>ተጫዋቾች ብዙ ጊዜ ምን ልምምድ ማድረግ አለባቸው?</v>
      </c>
      <c r="I118" s="8" t="str">
        <f>IFERROR(__xludf.DUMMYFUNCTION(" GOOGLETRANSLATE(C118, ""en"", ""am"")"),"ሀ. የፍጥነት መዝራት ለ. ዘር መቁጠር ሐ. ጉድጓዶችን ማገድ D. የቆመ ተቃውሞ")</f>
        <v>ሀ. የፍጥነት መዝራት ለ. ዘር መቁጠር ሐ. ጉድጓዶችን ማገድ D. የቆመ ተቃውሞ</v>
      </c>
      <c r="J118" s="8" t="str">
        <f>IFERROR(__xludf.DUMMYFUNCTION(" GOOGLETRANSLATE(D118, ""en"", ""am"")"),"ዘሮችን መቁጠር")</f>
        <v>ዘሮችን መቁጠር</v>
      </c>
      <c r="K118" s="8" t="str">
        <f>IFERROR(__xludf.DUMMYFUNCTION(" GOOGLETRANSLATE(E118, ""en"", ""am"")"),"ዘሮችን በትክክል መቁጠር የተሻሉ ስልቶችን ያረጋግጣል.")</f>
        <v>ዘሮችን በትክክል መቁጠር የተሻሉ ስልቶችን ያረጋግጣል.</v>
      </c>
    </row>
    <row r="119" ht="22.5" customHeight="1">
      <c r="A119" s="13">
        <v>118.0</v>
      </c>
      <c r="B119" s="14" t="s">
        <v>3403</v>
      </c>
      <c r="C119" s="14" t="s">
        <v>3404</v>
      </c>
      <c r="D119" s="14" t="s">
        <v>3405</v>
      </c>
      <c r="E119" s="14" t="s">
        <v>3406</v>
      </c>
      <c r="G119" s="8" t="str">
        <f>IFERROR(__xludf.DUMMYFUNCTION(" GOOGLETRANSLATE(A119, ""en"", ""am"")"),"118")</f>
        <v>118</v>
      </c>
      <c r="H119" s="8" t="str">
        <f>IFERROR(__xludf.DUMMYFUNCTION(" GOOGLETRANSLATE(B119, ""en"", ""am"")"),"ማንካላ ተወዳጅ የሆነው የትኛው ክልል ነው?")</f>
        <v>ማንካላ ተወዳጅ የሆነው የትኛው ክልል ነው?</v>
      </c>
      <c r="I119" s="8" t="str">
        <f>IFERROR(__xludf.DUMMYFUNCTION(" GOOGLETRANSLATE(C119, ""en"", ""am"")"),"ኤ እስያ ቢ. አፍሪካ ሐ. አውሮፓ ዲ. ሰሜን አሜሪካ")</f>
        <v>ኤ እስያ ቢ. አፍሪካ ሐ. አውሮፓ ዲ. ሰሜን አሜሪካ</v>
      </c>
      <c r="J119" s="8" t="str">
        <f>IFERROR(__xludf.DUMMYFUNCTION(" GOOGLETRANSLATE(D119, ""en"", ""am"")"),"አፍሪካ")</f>
        <v>አፍሪካ</v>
      </c>
      <c r="K119" s="8" t="str">
        <f>IFERROR(__xludf.DUMMYFUNCTION(" GOOGLETRANSLATE(E119, ""en"", ""am"")"),"ማንካላ በአፍሪካ ባህል ውስጥ ጠንካራ መሰረት አለው.")</f>
        <v>ማንካላ በአፍሪካ ባህል ውስጥ ጠንካራ መሰረት አለው.</v>
      </c>
    </row>
    <row r="120" ht="22.5" customHeight="1">
      <c r="A120" s="13">
        <v>119.0</v>
      </c>
      <c r="B120" s="14" t="s">
        <v>3407</v>
      </c>
      <c r="C120" s="14" t="s">
        <v>3408</v>
      </c>
      <c r="D120" s="14" t="s">
        <v>3409</v>
      </c>
      <c r="E120" s="14" t="s">
        <v>3410</v>
      </c>
      <c r="G120" s="8" t="str">
        <f>IFERROR(__xludf.DUMMYFUNCTION(" GOOGLETRANSLATE(A120, ""en"", ""am"")"),"119")</f>
        <v>119</v>
      </c>
      <c r="H120" s="8" t="str">
        <f>IFERROR(__xludf.DUMMYFUNCTION(" GOOGLETRANSLATE(B120, ""en"", ""am"")"),"ለማንካላ ቆንጆ ስሜት የሚሰጡት ዘሮች የትኞቹ ናቸው?")</f>
        <v>ለማንካላ ቆንጆ ስሜት የሚሰጡት ዘሮች የትኞቹ ናቸው?</v>
      </c>
      <c r="I120" s="8" t="str">
        <f>IFERROR(__xludf.DUMMYFUNCTION(" GOOGLETRANSLATE(C120, ""en"", ""am"")"),"ሀ. የፕላስቲክ ዘሮች ለ. ድንጋዮች ሐ. የብረት ቁርጥራጮች መ. ባለቀለም ዶቃዎች")</f>
        <v>ሀ. የፕላስቲክ ዘሮች ለ. ድንጋዮች ሐ. የብረት ቁርጥራጮች መ. ባለቀለም ዶቃዎች</v>
      </c>
      <c r="J120" s="8" t="str">
        <f>IFERROR(__xludf.DUMMYFUNCTION(" GOOGLETRANSLATE(D120, ""en"", ""am"")"),"ድንጋዮች")</f>
        <v>ድንጋዮች</v>
      </c>
      <c r="K120" s="8" t="str">
        <f>IFERROR(__xludf.DUMMYFUNCTION(" GOOGLETRANSLATE(E120, ""en"", ""am"")"),"ለስላሳ ድንጋዮች ለጨዋታው ውበት ይጨምራሉ.")</f>
        <v>ለስላሳ ድንጋዮች ለጨዋታው ውበት ይጨምራሉ.</v>
      </c>
    </row>
    <row r="121" ht="22.5" customHeight="1">
      <c r="A121" s="13">
        <v>120.0</v>
      </c>
      <c r="B121" s="14" t="s">
        <v>3411</v>
      </c>
      <c r="C121" s="14" t="s">
        <v>3412</v>
      </c>
      <c r="D121" s="14" t="s">
        <v>3413</v>
      </c>
      <c r="E121" s="14" t="s">
        <v>3414</v>
      </c>
      <c r="G121" s="8" t="str">
        <f>IFERROR(__xludf.DUMMYFUNCTION(" GOOGLETRANSLATE(A121, ""en"", ""am"")"),"120")</f>
        <v>120</v>
      </c>
      <c r="H121" s="8" t="str">
        <f>IFERROR(__xludf.DUMMYFUNCTION(" GOOGLETRANSLATE(B121, ""en"", ""am"")"),"የተጫዋች ትኩረትን የሚያሻሽለው ምንድን ነው?")</f>
        <v>የተጫዋች ትኩረትን የሚያሻሽለው ምንድን ነው?</v>
      </c>
      <c r="I121" s="8" t="str">
        <f>IFERROR(__xludf.DUMMYFUNCTION(" GOOGLETRANSLATE(C121, ""en"", ""am"")"),"ሀ. ዳራ ሙዚቃ ለ. ዝምታ ሐ. ፈጣን እንቅስቃሴዎች መ. የዘፈቀደ ዘሮች")</f>
        <v>ሀ. ዳራ ሙዚቃ ለ. ዝምታ ሐ. ፈጣን እንቅስቃሴዎች መ. የዘፈቀደ ዘሮች</v>
      </c>
      <c r="J121" s="8" t="str">
        <f>IFERROR(__xludf.DUMMYFUNCTION(" GOOGLETRANSLATE(D121, ""en"", ""am"")"),"ዝምታ")</f>
        <v>ዝምታ</v>
      </c>
      <c r="K121" s="8" t="str">
        <f>IFERROR(__xludf.DUMMYFUNCTION(" GOOGLETRANSLATE(E121, ""en"", ""am"")"),"ዝምታ ተጫዋቾች ትኩረት እንዲሰጡ ይረዳል።")</f>
        <v>ዝምታ ተጫዋቾች ትኩረት እንዲሰጡ ይረዳል።</v>
      </c>
    </row>
    <row r="122" ht="22.5" customHeight="1">
      <c r="A122" s="13">
        <v>121.0</v>
      </c>
      <c r="B122" s="14" t="s">
        <v>3415</v>
      </c>
      <c r="C122" s="14" t="s">
        <v>3416</v>
      </c>
      <c r="D122" s="14" t="s">
        <v>3417</v>
      </c>
      <c r="E122" s="14" t="s">
        <v>3418</v>
      </c>
      <c r="G122" s="8" t="str">
        <f>IFERROR(__xludf.DUMMYFUNCTION(" GOOGLETRANSLATE(A122, ""en"", ""am"")"),"121")</f>
        <v>121</v>
      </c>
      <c r="H122" s="8" t="str">
        <f>IFERROR(__xludf.DUMMYFUNCTION(" GOOGLETRANSLATE(B122, ""en"", ""am"")"),"የማሸነፍ ቁልፉ ምንድን ነው?")</f>
        <v>የማሸነፍ ቁልፉ ምንድን ነው?</v>
      </c>
      <c r="I122" s="8" t="str">
        <f>IFERROR(__xludf.DUMMYFUNCTION(" GOOGLETRANSLATE(C122, ""en"", ""am"")"),"ሀ. ለ. የማከማቻ ቁጥጥር C. መከላከያ D. እድልን ይይዛል")</f>
        <v>ሀ. ለ. የማከማቻ ቁጥጥር C. መከላከያ D. እድልን ይይዛል</v>
      </c>
      <c r="J122" s="8" t="str">
        <f>IFERROR(__xludf.DUMMYFUNCTION(" GOOGLETRANSLATE(D122, ""en"", ""am"")"),"የማከማቻ ቁጥጥር")</f>
        <v>የማከማቻ ቁጥጥር</v>
      </c>
      <c r="K122" s="8" t="str">
        <f>IFERROR(__xludf.DUMMYFUNCTION(" GOOGLETRANSLATE(E122, ""en"", ""am"")"),"የማከማቻ ቁጥጥር ስኬትን ይወስናል.")</f>
        <v>የማከማቻ ቁጥጥር ስኬትን ይወስናል.</v>
      </c>
    </row>
    <row r="123" ht="22.5" customHeight="1">
      <c r="A123" s="13">
        <v>122.0</v>
      </c>
      <c r="B123" s="14" t="s">
        <v>3419</v>
      </c>
      <c r="C123" s="14" t="s">
        <v>3420</v>
      </c>
      <c r="D123" s="14" t="s">
        <v>3299</v>
      </c>
      <c r="E123" s="14" t="s">
        <v>3421</v>
      </c>
      <c r="G123" s="8" t="str">
        <f>IFERROR(__xludf.DUMMYFUNCTION(" GOOGLETRANSLATE(A123, ""en"", ""am"")"),"122")</f>
        <v>122</v>
      </c>
      <c r="H123" s="8" t="str">
        <f>IFERROR(__xludf.DUMMYFUNCTION(" GOOGLETRANSLATE(B123, ""en"", ""am"")"),"መጀመሪያ የሚጫወተው ቀዳዳ የትኛው ነው?")</f>
        <v>መጀመሪያ የሚጫወተው ቀዳዳ የትኛው ነው?</v>
      </c>
      <c r="I123" s="8" t="str">
        <f>IFERROR(__xludf.DUMMYFUNCTION(" GOOGLETRANSLATE(C123, ""en"", ""am"")"),"ሀ. የኋላ ቀዳዳ B. የፊት ቀዳዳ ሐ. የውጭ ጉድጓድ D. ማዕከላዊ ጉድጓድ")</f>
        <v>ሀ. የኋላ ቀዳዳ B. የፊት ቀዳዳ ሐ. የውጭ ጉድጓድ D. ማዕከላዊ ጉድጓድ</v>
      </c>
      <c r="J123" s="8" t="str">
        <f>IFERROR(__xludf.DUMMYFUNCTION(" GOOGLETRANSLATE(D123, ""en"", ""am"")"),"የኋላ ቀዳዳ")</f>
        <v>የኋላ ቀዳዳ</v>
      </c>
      <c r="K123" s="8" t="str">
        <f>IFERROR(__xludf.DUMMYFUNCTION(" GOOGLETRANSLATE(E123, ""en"", ""am"")"),"የኋላ ቀዳዳዎች ለቀጣይ ስልት የተጠበቁ ናቸው.")</f>
        <v>የኋላ ቀዳዳዎች ለቀጣይ ስልት የተጠበቁ ናቸው.</v>
      </c>
    </row>
    <row r="124" ht="22.5" customHeight="1">
      <c r="A124" s="13">
        <v>123.0</v>
      </c>
      <c r="B124" s="14" t="s">
        <v>3422</v>
      </c>
      <c r="C124" s="14" t="s">
        <v>3423</v>
      </c>
      <c r="D124" s="14" t="s">
        <v>3365</v>
      </c>
      <c r="E124" s="14" t="s">
        <v>3424</v>
      </c>
      <c r="G124" s="8" t="str">
        <f>IFERROR(__xludf.DUMMYFUNCTION(" GOOGLETRANSLATE(A124, ""en"", ""am"")"),"123")</f>
        <v>123</v>
      </c>
      <c r="H124" s="8" t="str">
        <f>IFERROR(__xludf.DUMMYFUNCTION(" GOOGLETRANSLATE(B124, ""en"", ""am"")"),"በማንካላ ውስጥ ያለው ረጅሙ ልዩነት ምንድነው?")</f>
        <v>በማንካላ ውስጥ ያለው ረጅሙ ልዩነት ምንድነው?</v>
      </c>
      <c r="I124" s="8" t="str">
        <f>IFERROR(__xludf.DUMMYFUNCTION(" GOOGLETRANSLATE(C124, ""en"", ""am"")"),"ሀ. ቢ. ባኦ ሲ. ኮኛክ ዲ ኦዋሬ ከሌለህ")</f>
        <v>ሀ. ቢ. ባኦ ሲ. ኮኛክ ዲ ኦዋሬ ከሌለህ</v>
      </c>
      <c r="J124" s="8" t="str">
        <f>IFERROR(__xludf.DUMMYFUNCTION(" GOOGLETRANSLATE(D124, ""en"", ""am"")"),"ባኦ")</f>
        <v>ባኦ</v>
      </c>
      <c r="K124" s="8" t="str">
        <f>IFERROR(__xludf.DUMMYFUNCTION(" GOOGLETRANSLATE(E124, ""en"", ""am"")"),"ባኦ በውስብስብነቱ ምክንያት ረዘም ያለ ጊዜ ሊወስድ ይችላል።")</f>
        <v>ባኦ በውስብስብነቱ ምክንያት ረዘም ያለ ጊዜ ሊወስድ ይችላል።</v>
      </c>
    </row>
    <row r="125" ht="22.5" customHeight="1">
      <c r="A125" s="13">
        <v>124.0</v>
      </c>
      <c r="B125" s="14" t="s">
        <v>3425</v>
      </c>
      <c r="C125" s="14" t="s">
        <v>3426</v>
      </c>
      <c r="D125" s="14" t="s">
        <v>3427</v>
      </c>
      <c r="E125" s="14" t="s">
        <v>3428</v>
      </c>
      <c r="G125" s="8" t="str">
        <f>IFERROR(__xludf.DUMMYFUNCTION(" GOOGLETRANSLATE(A125, ""en"", ""am"")"),"124")</f>
        <v>124</v>
      </c>
      <c r="H125" s="8" t="str">
        <f>IFERROR(__xludf.DUMMYFUNCTION(" GOOGLETRANSLATE(B125, ""en"", ""am"")"),"ለጠንካራ ተቃዋሚ ጥሩ ምላሽ ምንድነው?")</f>
        <v>ለጠንካራ ተቃዋሚ ጥሩ ምላሽ ምንድነው?</v>
      </c>
      <c r="I125" s="8" t="str">
        <f>IFERROR(__xludf.DUMMYFUNCTION(" GOOGLETRANSLATE(C125, ""en"", ""am"")"),"ሀ. ማፈግፈግ ለ. አጥብቀው ይያዙ። ሐ. ሚዛናዊ ስልት መ. በመከላከል ላይ ያተኩሩ.")</f>
        <v>ሀ. ማፈግፈግ ለ. አጥብቀው ይያዙ። ሐ. ሚዛናዊ ስልት መ. በመከላከል ላይ ያተኩሩ.</v>
      </c>
      <c r="J125" s="8" t="str">
        <f>IFERROR(__xludf.DUMMYFUNCTION(" GOOGLETRANSLATE(D125, ""en"", ""am"")"),"ሚዛናዊ ስልት")</f>
        <v>ሚዛናዊ ስልት</v>
      </c>
      <c r="K125" s="8" t="str">
        <f>IFERROR(__xludf.DUMMYFUNCTION(" GOOGLETRANSLATE(E125, ""en"", ""am"")"),"ሚዛናዊ ስልቶች ጠንካራ ተቃዋሚዎችን ይቃወማሉ።")</f>
        <v>ሚዛናዊ ስልቶች ጠንካራ ተቃዋሚዎችን ይቃወማሉ።</v>
      </c>
    </row>
    <row r="126" ht="22.5" customHeight="1">
      <c r="A126" s="13">
        <v>125.0</v>
      </c>
      <c r="B126" s="14" t="s">
        <v>3429</v>
      </c>
      <c r="C126" s="14" t="s">
        <v>3430</v>
      </c>
      <c r="D126" s="14" t="s">
        <v>3431</v>
      </c>
      <c r="E126" s="14" t="s">
        <v>3432</v>
      </c>
      <c r="G126" s="8" t="str">
        <f>IFERROR(__xludf.DUMMYFUNCTION(" GOOGLETRANSLATE(A126, ""en"", ""am"")"),"125")</f>
        <v>125</v>
      </c>
      <c r="H126" s="8" t="str">
        <f>IFERROR(__xludf.DUMMYFUNCTION(" GOOGLETRANSLATE(B126, ""en"", ""am"")"),"ማንካላ ምን ዓይነት ስሜት ይፈጥራል?")</f>
        <v>ማንካላ ምን ዓይነት ስሜት ይፈጥራል?</v>
      </c>
      <c r="I126" s="8" t="str">
        <f>IFERROR(__xludf.DUMMYFUNCTION(" GOOGLETRANSLATE(C126, ""en"", ""am"")"),"ሀ. ብስጭት ለ. ትዕግስት ሐ. መደሰት D. ቁጣ")</f>
        <v>ሀ. ብስጭት ለ. ትዕግስት ሐ. መደሰት D. ቁጣ</v>
      </c>
      <c r="J126" s="8" t="str">
        <f>IFERROR(__xludf.DUMMYFUNCTION(" GOOGLETRANSLATE(D126, ""en"", ""am"")"),"ትዕግስት")</f>
        <v>ትዕግስት</v>
      </c>
      <c r="K126" s="8" t="str">
        <f>IFERROR(__xludf.DUMMYFUNCTION(" GOOGLETRANSLATE(E126, ""en"", ""am"")"),"ማንካላ በጊዜ ሂደት ትዕግስት ያዳብራል.")</f>
        <v>ማንካላ በጊዜ ሂደት ትዕግስት ያዳብራል.</v>
      </c>
    </row>
    <row r="127" ht="22.5" customHeight="1">
      <c r="A127" s="13">
        <v>126.0</v>
      </c>
      <c r="B127" s="14" t="s">
        <v>3433</v>
      </c>
      <c r="C127" s="14" t="s">
        <v>3434</v>
      </c>
      <c r="D127" s="14" t="s">
        <v>3017</v>
      </c>
      <c r="E127" s="14" t="s">
        <v>3435</v>
      </c>
      <c r="G127" s="8" t="str">
        <f>IFERROR(__xludf.DUMMYFUNCTION(" GOOGLETRANSLATE(A127, ""en"", ""am"")"),"126")</f>
        <v>126</v>
      </c>
      <c r="H127" s="8" t="str">
        <f>IFERROR(__xludf.DUMMYFUNCTION(" GOOGLETRANSLATE(B127, ""en"", ""am"")"),"የትኛው የቦርድ ቁሳቁስ በጣም ዘላቂ ነው?")</f>
        <v>የትኛው የቦርድ ቁሳቁስ በጣም ዘላቂ ነው?</v>
      </c>
      <c r="I127" s="8" t="str">
        <f>IFERROR(__xludf.DUMMYFUNCTION(" GOOGLETRANSLATE(C127, ""en"", ""am"")"),"አ.ፕላስቲክ ቢ. እንጨት ሐ. ብርጭቆ ዲ. ብረት")</f>
        <v>አ.ፕላስቲክ ቢ. እንጨት ሐ. ብርጭቆ ዲ. ብረት</v>
      </c>
      <c r="J127" s="8" t="str">
        <f>IFERROR(__xludf.DUMMYFUNCTION(" GOOGLETRANSLATE(D127, ""en"", ""am"")"),"እንጨት")</f>
        <v>እንጨት</v>
      </c>
      <c r="K127" s="8" t="str">
        <f>IFERROR(__xludf.DUMMYFUNCTION(" GOOGLETRANSLATE(E127, ""en"", ""am"")"),"የእንጨት ሰሌዳዎች ረዘም ላለ ጊዜ ይቆያሉ.")</f>
        <v>የእንጨት ሰሌዳዎች ረዘም ላለ ጊዜ ይቆያሉ.</v>
      </c>
    </row>
    <row r="128" ht="22.5" customHeight="1">
      <c r="A128" s="13">
        <v>127.0</v>
      </c>
      <c r="B128" s="14" t="s">
        <v>3436</v>
      </c>
      <c r="C128" s="14" t="s">
        <v>3437</v>
      </c>
      <c r="D128" s="14" t="s">
        <v>3438</v>
      </c>
      <c r="E128" s="14" t="s">
        <v>3439</v>
      </c>
      <c r="G128" s="8" t="str">
        <f>IFERROR(__xludf.DUMMYFUNCTION(" GOOGLETRANSLATE(A128, ""en"", ""am"")"),"127")</f>
        <v>127</v>
      </c>
      <c r="H128" s="8" t="str">
        <f>IFERROR(__xludf.DUMMYFUNCTION(" GOOGLETRANSLATE(B128, ""en"", ""am"")"),"በጨዋታው አጋማሽ ላይ ምን አስፈላጊ ነው?")</f>
        <v>በጨዋታው አጋማሽ ላይ ምን አስፈላጊ ነው?</v>
      </c>
      <c r="I128" s="8" t="str">
        <f>IFERROR(__xludf.DUMMYFUNCTION(" GOOGLETRANSLATE(C128, ""en"", ""am"")"),"ሀ.መከላከያ ለ. ሐ. የማከማቻ ቤት ትኩረትን ይዟል D. የዘር ሐረግ")</f>
        <v>ሀ.መከላከያ ለ. ሐ. የማከማቻ ቤት ትኩረትን ይዟል D. የዘር ሐረግ</v>
      </c>
      <c r="J128" s="8" t="str">
        <f>IFERROR(__xludf.DUMMYFUNCTION(" GOOGLETRANSLATE(D128, ""en"", ""am"")"),"ይዟል")</f>
        <v>ይዟል</v>
      </c>
      <c r="K128" s="8" t="str">
        <f>IFERROR(__xludf.DUMMYFUNCTION(" GOOGLETRANSLATE(E128, ""en"", ""am"")"),"የመሃል ጋሜ ጥይቶች የጨዋታውን ፍሰት ይወስናሉ።")</f>
        <v>የመሃል ጋሜ ጥይቶች የጨዋታውን ፍሰት ይወስናሉ።</v>
      </c>
    </row>
    <row r="129" ht="22.5" customHeight="1">
      <c r="A129" s="13">
        <v>128.0</v>
      </c>
      <c r="B129" s="14" t="s">
        <v>3440</v>
      </c>
      <c r="C129" s="14" t="s">
        <v>3441</v>
      </c>
      <c r="D129" s="14" t="s">
        <v>3442</v>
      </c>
      <c r="E129" s="14" t="s">
        <v>3443</v>
      </c>
      <c r="G129" s="8" t="str">
        <f>IFERROR(__xludf.DUMMYFUNCTION(" GOOGLETRANSLATE(A129, ""en"", ""am"")"),"128")</f>
        <v>128</v>
      </c>
      <c r="H129" s="8" t="str">
        <f>IFERROR(__xludf.DUMMYFUNCTION(" GOOGLETRANSLATE(B129, ""en"", ""am"")"),"የማንካላ ባህላዊ ጠቀሜታ ምን ያብራራል?")</f>
        <v>የማንካላ ባህላዊ ጠቀሜታ ምን ያብራራል?</v>
      </c>
      <c r="I129" s="8" t="str">
        <f>IFERROR(__xludf.DUMMYFUNCTION(" GOOGLETRANSLATE(C129, ""en"", ""am"")"),"ሀ. የክልል ስልቶች ለ. የጨዋታ ርዝመት ሐ. የጄኔቲክ ንድፍ መ. ታሪካዊ ሥሮች")</f>
        <v>ሀ. የክልል ስልቶች ለ. የጨዋታ ርዝመት ሐ. የጄኔቲክ ንድፍ መ. ታሪካዊ ሥሮች</v>
      </c>
      <c r="J129" s="8" t="str">
        <f>IFERROR(__xludf.DUMMYFUNCTION(" GOOGLETRANSLATE(D129, ""en"", ""am"")"),"ታሪካዊ ሥሮች")</f>
        <v>ታሪካዊ ሥሮች</v>
      </c>
      <c r="K129" s="8" t="str">
        <f>IFERROR(__xludf.DUMMYFUNCTION(" GOOGLETRANSLATE(E129, ""en"", ""am"")"),"ማንካላ የበለጸጉ ባህላዊ ወጎችን ያንጸባርቃል.")</f>
        <v>ማንካላ የበለጸጉ ባህላዊ ወጎችን ያንጸባርቃል.</v>
      </c>
    </row>
    <row r="130" ht="22.5" customHeight="1">
      <c r="A130" s="13">
        <v>129.0</v>
      </c>
      <c r="B130" s="14" t="s">
        <v>3444</v>
      </c>
      <c r="C130" s="14" t="s">
        <v>3445</v>
      </c>
      <c r="D130" s="14" t="s">
        <v>3446</v>
      </c>
      <c r="E130" s="14" t="s">
        <v>3447</v>
      </c>
      <c r="G130" s="8" t="str">
        <f>IFERROR(__xludf.DUMMYFUNCTION(" GOOGLETRANSLATE(A130, ""en"", ""am"")"),"129")</f>
        <v>129</v>
      </c>
      <c r="H130" s="8" t="str">
        <f>IFERROR(__xludf.DUMMYFUNCTION(" GOOGLETRANSLATE(B130, ""en"", ""am"")"),"የመጨረሻው ዘርህ ከጎንህ ባዶ ጉድጓድ ውስጥ ሲያርፍ ምን ይሆናል?")</f>
        <v>የመጨረሻው ዘርህ ከጎንህ ባዶ ጉድጓድ ውስጥ ሲያርፍ ምን ይሆናል?</v>
      </c>
      <c r="I130" s="8" t="str">
        <f>IFERROR(__xludf.DUMMYFUNCTION(" GOOGLETRANSLATE(C130, ""en"", ""am"")"),"ሀ. ምንም ነጥቦች አልተገኙም። ለ. የተቃውሞ ዘሮችን ይያዙ C. ተጨማሪ መዞሪያዎች መ. ተራውን ይዝለሉ.")</f>
        <v>ሀ. ምንም ነጥቦች አልተገኙም። ለ. የተቃውሞ ዘሮችን ይያዙ C. ተጨማሪ መዞሪያዎች መ. ተራውን ይዝለሉ.</v>
      </c>
      <c r="J130" s="8" t="str">
        <f>IFERROR(__xludf.DUMMYFUNCTION(" GOOGLETRANSLATE(D130, ""en"", ""am"")"),"የተቃውሞ ዘሮችን ይያዙ")</f>
        <v>የተቃውሞ ዘሮችን ይያዙ</v>
      </c>
      <c r="K130" s="8" t="str">
        <f>IFERROR(__xludf.DUMMYFUNCTION(" GOOGLETRANSLATE(E130, ""en"", ""am"")"),"በባዶ ጉድጓድ ውስጥ ማረፍ የተቃዋሚውን ዘሮች በቀጥታ ተቃራኒውን ይይዛል.")</f>
        <v>በባዶ ጉድጓድ ውስጥ ማረፍ የተቃዋሚውን ዘሮች በቀጥታ ተቃራኒውን ይይዛል.</v>
      </c>
    </row>
    <row r="131" ht="22.5" customHeight="1">
      <c r="A131" s="13">
        <v>130.0</v>
      </c>
      <c r="B131" s="14" t="s">
        <v>3448</v>
      </c>
      <c r="C131" s="14" t="s">
        <v>3449</v>
      </c>
      <c r="D131" s="14" t="s">
        <v>3450</v>
      </c>
      <c r="E131" s="14" t="s">
        <v>3451</v>
      </c>
      <c r="G131" s="8" t="str">
        <f>IFERROR(__xludf.DUMMYFUNCTION(" GOOGLETRANSLATE(A131, ""en"", ""am"")"),"130")</f>
        <v>130</v>
      </c>
      <c r="H131" s="8" t="str">
        <f>IFERROR(__xludf.DUMMYFUNCTION(" GOOGLETRANSLATE(B131, ""en"", ""am"")"),"የማንካላ ዋና ግብ ምንድን ነው?")</f>
        <v>የማንካላ ዋና ግብ ምንድን ነው?</v>
      </c>
      <c r="I131" s="8" t="str">
        <f>IFERROR(__xludf.DUMMYFUNCTION(" GOOGLETRANSLATE(C131, ""en"", ""am"")"),"ሀ. ሁሉንም ዘሮች ይያዙ B. ጉድጓዶችዎን ባዶ ያድርጉ። ሐ. ብዙ ዘሮችን ሰብስቡ መ. ጉድጓዶችዎን ይጠብቁ።")</f>
        <v>ሀ. ሁሉንም ዘሮች ይያዙ B. ጉድጓዶችዎን ባዶ ያድርጉ። ሐ. ብዙ ዘሮችን ሰብስቡ መ. ጉድጓዶችዎን ይጠብቁ።</v>
      </c>
      <c r="J131" s="8" t="str">
        <f>IFERROR(__xludf.DUMMYFUNCTION(" GOOGLETRANSLATE(D131, ""en"", ""am"")"),"ብዙ ዘሮችን ይሰብስቡ")</f>
        <v>ብዙ ዘሮችን ይሰብስቡ</v>
      </c>
      <c r="K131" s="8" t="str">
        <f>IFERROR(__xludf.DUMMYFUNCTION(" GOOGLETRANSLATE(E131, ""en"", ""am"")"),"ተጫዋቾች ለማሸነፍ ብዙ ዘሮችን ለመሰብሰብ አላማ አላቸው።")</f>
        <v>ተጫዋቾች ለማሸነፍ ብዙ ዘሮችን ለመሰብሰብ አላማ አላቸው።</v>
      </c>
    </row>
    <row r="132" ht="22.5" customHeight="1">
      <c r="A132" s="13">
        <v>131.0</v>
      </c>
      <c r="B132" s="14" t="s">
        <v>3452</v>
      </c>
      <c r="C132" s="14" t="s">
        <v>3453</v>
      </c>
      <c r="D132" s="14" t="s">
        <v>3454</v>
      </c>
      <c r="E132" s="14" t="s">
        <v>3455</v>
      </c>
      <c r="G132" s="8" t="str">
        <f>IFERROR(__xludf.DUMMYFUNCTION(" GOOGLETRANSLATE(A132, ""en"", ""am"")"),"131")</f>
        <v>131</v>
      </c>
      <c r="H132" s="8" t="str">
        <f>IFERROR(__xludf.DUMMYFUNCTION(" GOOGLETRANSLATE(B132, ""en"", ""am"")"),"በማንካላ ውስጥ ያለው ህጋዊ እርምጃ ምንድን ነው?")</f>
        <v>በማንካላ ውስጥ ያለው ህጋዊ እርምጃ ምንድን ነው?</v>
      </c>
      <c r="I132" s="8" t="str">
        <f>IFERROR(__xludf.DUMMYFUNCTION(" GOOGLETRANSLATE(C132, ""en"", ""am"")"),"ሀ. መዞሪያዎችን ይዝለሉ። ለ. ዘሮችን በሰዓት አቅጣጫ መዝራት ሐ. ዘሮችን በተቃራኒ ሰዓት አቅጣጫ መዝራት መ. ዘሮቹን በዘፈቀደ ያስቀምጡ።")</f>
        <v>ሀ. መዞሪያዎችን ይዝለሉ። ለ. ዘሮችን በሰዓት አቅጣጫ መዝራት ሐ. ዘሮችን በተቃራኒ ሰዓት አቅጣጫ መዝራት መ. ዘሮቹን በዘፈቀደ ያስቀምጡ።</v>
      </c>
      <c r="J132" s="8" t="str">
        <f>IFERROR(__xludf.DUMMYFUNCTION(" GOOGLETRANSLATE(D132, ""en"", ""am"")"),"ዘሮችን በተቃራኒ ሰዓት አቅጣጫ መዝራት")</f>
        <v>ዘሮችን በተቃራኒ ሰዓት አቅጣጫ መዝራት</v>
      </c>
      <c r="K132" s="8" t="str">
        <f>IFERROR(__xludf.DUMMYFUNCTION(" GOOGLETRANSLATE(E132, ""en"", ""am"")"),"ተጫዋቾች በሰሌዳው ዙሪያ በተቃራኒ ሰዓት አቅጣጫ ዘር ይዘራሉ።")</f>
        <v>ተጫዋቾች በሰሌዳው ዙሪያ በተቃራኒ ሰዓት አቅጣጫ ዘር ይዘራሉ።</v>
      </c>
    </row>
    <row r="133" ht="22.5" customHeight="1">
      <c r="A133" s="13">
        <v>132.0</v>
      </c>
      <c r="B133" s="14" t="s">
        <v>3456</v>
      </c>
      <c r="C133" s="14" t="s">
        <v>3457</v>
      </c>
      <c r="D133" s="14" t="s">
        <v>3458</v>
      </c>
      <c r="E133" s="14" t="s">
        <v>3459</v>
      </c>
      <c r="G133" s="8" t="str">
        <f>IFERROR(__xludf.DUMMYFUNCTION(" GOOGLETRANSLATE(A133, ""en"", ""am"")"),"132")</f>
        <v>132</v>
      </c>
      <c r="H133" s="8" t="str">
        <f>IFERROR(__xludf.DUMMYFUNCTION(" GOOGLETRANSLATE(B133, ""en"", ""am"")"),"ተጫዋቾች እንዴት ይተካሉ?")</f>
        <v>ተጫዋቾች እንዴት ይተካሉ?</v>
      </c>
      <c r="I133" s="8" t="str">
        <f>IFERROR(__xludf.DUMMYFUNCTION(" GOOGLETRANSLATE(C133, ""en"", ""am"")"),"ሀ. የዘፈቀደ ምርጫ ለ. ዘር ከተዘራ በኋላ ሐ. እያንዳንዱ አንድ እንቅስቃሴ መ. ሁለት በአንድ ዙር ይንቀሳቀሳሉ")</f>
        <v>ሀ. የዘፈቀደ ምርጫ ለ. ዘር ከተዘራ በኋላ ሐ. እያንዳንዱ አንድ እንቅስቃሴ መ. ሁለት በአንድ ዙር ይንቀሳቀሳሉ</v>
      </c>
      <c r="J133" s="8" t="str">
        <f>IFERROR(__xludf.DUMMYFUNCTION(" GOOGLETRANSLATE(D133, ""en"", ""am"")"),"እያንዳንዳቸው አንድ እንቅስቃሴ")</f>
        <v>እያንዳንዳቸው አንድ እንቅስቃሴ</v>
      </c>
      <c r="K133" s="8" t="str">
        <f>IFERROR(__xludf.DUMMYFUNCTION(" GOOGLETRANSLATE(E133, ""en"", ""am"")"),"ተጫዋቾች ተራ በተራ አንድ እንቅስቃሴ ያደርጋሉ።")</f>
        <v>ተጫዋቾች ተራ በተራ አንድ እንቅስቃሴ ያደርጋሉ።</v>
      </c>
    </row>
    <row r="134" ht="22.5" customHeight="1">
      <c r="A134" s="13">
        <v>133.0</v>
      </c>
      <c r="B134" s="14" t="s">
        <v>3460</v>
      </c>
      <c r="C134" s="14" t="s">
        <v>3461</v>
      </c>
      <c r="D134" s="14" t="s">
        <v>3462</v>
      </c>
      <c r="E134" s="14" t="s">
        <v>3463</v>
      </c>
      <c r="G134" s="8" t="str">
        <f>IFERROR(__xludf.DUMMYFUNCTION(" GOOGLETRANSLATE(A134, ""en"", ""am"")"),"133")</f>
        <v>133</v>
      </c>
      <c r="H134" s="8" t="str">
        <f>IFERROR(__xludf.DUMMYFUNCTION(" GOOGLETRANSLATE(B134, ""en"", ""am"")"),"ጉድጓዱ ባዶ ከሆነ ምን ይሆናል?")</f>
        <v>ጉድጓዱ ባዶ ከሆነ ምን ይሆናል?</v>
      </c>
      <c r="I134" s="8" t="str">
        <f>IFERROR(__xludf.DUMMYFUNCTION(" GOOGLETRANSLATE(C134, ""en"", ""am"")"),"ሀ. ጨዋታው ያበቃል። ለ. ጉድጓዱ ባዶ ሆኖ ይቀራል። ሐ. ተቃራኒ ነጥቦችን ያገኛሉ። መ. ተጫዋቹ በተራው ይዘላል.")</f>
        <v>ሀ. ጨዋታው ያበቃል። ለ. ጉድጓዱ ባዶ ሆኖ ይቀራል። ሐ. ተቃራኒ ነጥቦችን ያገኛሉ። መ. ተጫዋቹ በተራው ይዘላል.</v>
      </c>
      <c r="J134" s="8" t="str">
        <f>IFERROR(__xludf.DUMMYFUNCTION(" GOOGLETRANSLATE(D134, ""en"", ""am"")"),"ጉድጓዱ ባዶ ሆኖ ይቀራል.")</f>
        <v>ጉድጓዱ ባዶ ሆኖ ይቀራል.</v>
      </c>
      <c r="K134" s="8" t="str">
        <f>IFERROR(__xludf.DUMMYFUNCTION(" GOOGLETRANSLATE(E134, ""en"", ""am"")"),"ባዶ ጉድጓዶች ለቀጣይ ተግባራት መጠቀም አይቻልም.")</f>
        <v>ባዶ ጉድጓዶች ለቀጣይ ተግባራት መጠቀም አይቻልም.</v>
      </c>
    </row>
    <row r="135" ht="22.5" customHeight="1">
      <c r="A135" s="13">
        <v>134.0</v>
      </c>
      <c r="B135" s="14" t="s">
        <v>3464</v>
      </c>
      <c r="C135" s="14" t="s">
        <v>3465</v>
      </c>
      <c r="D135" s="14" t="s">
        <v>3466</v>
      </c>
      <c r="E135" s="14" t="s">
        <v>3467</v>
      </c>
      <c r="G135" s="8" t="str">
        <f>IFERROR(__xludf.DUMMYFUNCTION(" GOOGLETRANSLATE(A135, ""en"", ""am"")"),"134")</f>
        <v>134</v>
      </c>
      <c r="H135" s="8" t="str">
        <f>IFERROR(__xludf.DUMMYFUNCTION(" GOOGLETRANSLATE(B135, ""en"", ""am"")"),"የማንካላ እንቅስቃሴን ስትራቴጂካዊ የሚያደርገው ምንድን ነው?")</f>
        <v>የማንካላ እንቅስቃሴን ስትራቴጂካዊ የሚያደርገው ምንድን ነው?</v>
      </c>
      <c r="I135" s="8" t="str">
        <f>IFERROR(__xludf.DUMMYFUNCTION(" GOOGLETRANSLATE(C135, ""en"", ""am"")"),"ሀ. በዘፈቀደ መዝራት ለ. የመከላከያ ቦታ ሐ. የጨዋታ ፍጥነት መ. ዘሮችን በመያዝ")</f>
        <v>ሀ. በዘፈቀደ መዝራት ለ. የመከላከያ ቦታ ሐ. የጨዋታ ፍጥነት መ. ዘሮችን በመያዝ</v>
      </c>
      <c r="J135" s="8" t="str">
        <f>IFERROR(__xludf.DUMMYFUNCTION(" GOOGLETRANSLATE(D135, ""en"", ""am"")"),"ዘሮችን በመያዝ")</f>
        <v>ዘሮችን በመያዝ</v>
      </c>
      <c r="K135" s="8" t="str">
        <f>IFERROR(__xludf.DUMMYFUNCTION(" GOOGLETRANSLATE(E135, ""en"", ""am"")"),"ስልታዊ እንቅስቃሴዎች ዘርን በመያዝ ላይ ያተኩራሉ.")</f>
        <v>ስልታዊ እንቅስቃሴዎች ዘርን በመያዝ ላይ ያተኩራሉ.</v>
      </c>
    </row>
    <row r="136" ht="22.5" customHeight="1">
      <c r="A136" s="13">
        <v>135.0</v>
      </c>
      <c r="B136" s="14" t="s">
        <v>3468</v>
      </c>
      <c r="C136" s="14" t="s">
        <v>3469</v>
      </c>
      <c r="D136" s="14" t="s">
        <v>2044</v>
      </c>
      <c r="E136" s="14" t="s">
        <v>3470</v>
      </c>
      <c r="G136" s="8" t="str">
        <f>IFERROR(__xludf.DUMMYFUNCTION(" GOOGLETRANSLATE(A136, ""en"", ""am"")"),"135")</f>
        <v>135</v>
      </c>
      <c r="H136" s="8" t="str">
        <f>IFERROR(__xludf.DUMMYFUNCTION(" GOOGLETRANSLATE(B136, ""en"", ""am"")"),"ለማንካላ ምን ዓይነት ሰሌዳ በብዛት ጥቅም ላይ ይውላል?")</f>
        <v>ለማንካላ ምን ዓይነት ሰሌዳ በብዛት ጥቅም ላይ ይውላል?</v>
      </c>
      <c r="I136" s="8" t="str">
        <f>IFERROR(__xludf.DUMMYFUNCTION(" GOOGLETRANSLATE(C136, ""en"", ""am"")"),"A. ክብ ለ. አራት ማዕዘን ሐ. ትሪያንግል D. ባለ ስድስት ጎን")</f>
        <v>A. ክብ ለ. አራት ማዕዘን ሐ. ትሪያንግል D. ባለ ስድስት ጎን</v>
      </c>
      <c r="J136" s="8" t="str">
        <f>IFERROR(__xludf.DUMMYFUNCTION(" GOOGLETRANSLATE(D136, ""en"", ""am"")"),"አራት ማዕዘን")</f>
        <v>አራት ማዕዘን</v>
      </c>
      <c r="K136" s="8" t="str">
        <f>IFERROR(__xludf.DUMMYFUNCTION(" GOOGLETRANSLATE(E136, ""en"", ""am"")"),"አራት ማዕዘን ቅርጽ ያላቸው ሰሌዳዎች በማንካላ ውስጥ መደበኛ ናቸው.")</f>
        <v>አራት ማዕዘን ቅርጽ ያላቸው ሰሌዳዎች በማንካላ ውስጥ መደበኛ ናቸው.</v>
      </c>
    </row>
    <row r="137" ht="22.5" customHeight="1">
      <c r="A137" s="13">
        <v>136.0</v>
      </c>
      <c r="B137" s="14" t="s">
        <v>3471</v>
      </c>
      <c r="C137" s="14" t="s">
        <v>3472</v>
      </c>
      <c r="D137" s="14" t="s">
        <v>3473</v>
      </c>
      <c r="E137" s="14" t="s">
        <v>3474</v>
      </c>
      <c r="G137" s="8" t="str">
        <f>IFERROR(__xludf.DUMMYFUNCTION(" GOOGLETRANSLATE(A137, ""en"", ""am"")"),"136")</f>
        <v>136</v>
      </c>
      <c r="H137" s="8" t="str">
        <f>IFERROR(__xludf.DUMMYFUNCTION(" GOOGLETRANSLATE(B137, ""en"", ""am"")"),"የመጋዘን ጉድጓዶች አስፈላጊነት ምንድነው?")</f>
        <v>የመጋዘን ጉድጓዶች አስፈላጊነት ምንድነው?</v>
      </c>
      <c r="I137" s="8" t="str">
        <f>IFERROR(__xludf.DUMMYFUNCTION(" GOOGLETRANSLATE(C137, ""en"", ""am"")"),"ሀ. ዘሩን በመያዝ ለ. እንቅስቃሴዎችን ማገድ ሐ. የመነሻ ነጥብ D. ማስጌጥ")</f>
        <v>ሀ. ዘሩን በመያዝ ለ. እንቅስቃሴዎችን ማገድ ሐ. የመነሻ ነጥብ D. ማስጌጥ</v>
      </c>
      <c r="J137" s="8" t="str">
        <f>IFERROR(__xludf.DUMMYFUNCTION(" GOOGLETRANSLATE(D137, ""en"", ""am"")"),"ዘሮቹ በመያዝ")</f>
        <v>ዘሮቹ በመያዝ</v>
      </c>
      <c r="K137" s="8" t="str">
        <f>IFERROR(__xludf.DUMMYFUNCTION(" GOOGLETRANSLATE(E137, ""en"", ""am"")"),"የማከማቻ ጉድጓዶች ለማከማቻ የተያዙ ዘሮችን ይይዛሉ.")</f>
        <v>የማከማቻ ጉድጓዶች ለማከማቻ የተያዙ ዘሮችን ይይዛሉ.</v>
      </c>
    </row>
    <row r="138" ht="22.5" customHeight="1">
      <c r="A138" s="13">
        <v>137.0</v>
      </c>
      <c r="B138" s="14" t="s">
        <v>3475</v>
      </c>
      <c r="C138" s="14" t="s">
        <v>3476</v>
      </c>
      <c r="D138" s="14" t="s">
        <v>3477</v>
      </c>
      <c r="E138" s="14" t="s">
        <v>3478</v>
      </c>
      <c r="G138" s="8" t="str">
        <f>IFERROR(__xludf.DUMMYFUNCTION(" GOOGLETRANSLATE(A138, ""en"", ""am"")"),"137")</f>
        <v>137</v>
      </c>
      <c r="H138" s="8" t="str">
        <f>IFERROR(__xludf.DUMMYFUNCTION(" GOOGLETRANSLATE(B138, ""en"", ""am"")"),"የትኛው ስልት የተቃዋሚዎን እንቅስቃሴ ሊገድበው ይችላል?")</f>
        <v>የትኛው ስልት የተቃዋሚዎን እንቅስቃሴ ሊገድበው ይችላል?</v>
      </c>
      <c r="I138" s="8" t="str">
        <f>IFERROR(__xludf.DUMMYFUNCTION(" GOOGLETRANSLATE(C138, ""en"", ""am"")"),"ሀ. የውጭ ጉድጓዶችን መሙላት ለ. ጉድጓዶቹን ባዶ መተው ሐ. የመጋዘን መከላከያ መ. በእኩልነት መዝራት")</f>
        <v>ሀ. የውጭ ጉድጓዶችን መሙላት ለ. ጉድጓዶቹን ባዶ መተው ሐ. የመጋዘን መከላከያ መ. በእኩልነት መዝራት</v>
      </c>
      <c r="J138" s="8" t="str">
        <f>IFERROR(__xludf.DUMMYFUNCTION(" GOOGLETRANSLATE(D138, ""en"", ""am"")"),"ጉድጓዶቹን ባዶ መተው")</f>
        <v>ጉድጓዶቹን ባዶ መተው</v>
      </c>
      <c r="K138" s="8" t="str">
        <f>IFERROR(__xludf.DUMMYFUNCTION(" GOOGLETRANSLATE(E138, ""en"", ""am"")"),"ባዶ ቀዳዳዎች የተቃዋሚዎችን የመያዝ እድሎችን ሊገድቡ ይችላሉ።")</f>
        <v>ባዶ ቀዳዳዎች የተቃዋሚዎችን የመያዝ እድሎችን ሊገድቡ ይችላሉ።</v>
      </c>
    </row>
    <row r="139" ht="22.5" customHeight="1">
      <c r="A139" s="13">
        <v>138.0</v>
      </c>
      <c r="B139" s="14" t="s">
        <v>3000</v>
      </c>
      <c r="C139" s="14" t="s">
        <v>3479</v>
      </c>
      <c r="D139" s="14" t="s">
        <v>3002</v>
      </c>
      <c r="E139" s="14" t="s">
        <v>3480</v>
      </c>
      <c r="G139" s="8" t="str">
        <f>IFERROR(__xludf.DUMMYFUNCTION(" GOOGLETRANSLATE(A139, ""en"", ""am"")"),"138")</f>
        <v>138</v>
      </c>
      <c r="H139" s="8" t="str">
        <f>IFERROR(__xludf.DUMMYFUNCTION(" GOOGLETRANSLATE(B139, ""en"", ""am"")"),"በአንድ በኩል ያሉት ጉድጓዶች ባዶ ሲሆኑ ምን ይሆናል?")</f>
        <v>በአንድ በኩል ያሉት ጉድጓዶች ባዶ ሲሆኑ ምን ይሆናል?</v>
      </c>
      <c r="I139" s="8" t="str">
        <f>IFERROR(__xludf.DUMMYFUNCTION(" GOOGLETRANSLATE(C139, ""en"", ""am"")"),"ሀ ጨዋታው ቀጥሏል። ለ. ጨዋታው ያበቃል። ሐ. ተቃዋሚው ብዙ ነጥቦችን ያገኛል። መ. ጉድጓዶቹን እንደገና ያስጀምሩ.")</f>
        <v>ሀ ጨዋታው ቀጥሏል። ለ. ጨዋታው ያበቃል። ሐ. ተቃዋሚው ብዙ ነጥቦችን ያገኛል። መ. ጉድጓዶቹን እንደገና ያስጀምሩ.</v>
      </c>
      <c r="J139" s="8" t="str">
        <f>IFERROR(__xludf.DUMMYFUNCTION(" GOOGLETRANSLATE(D139, ""en"", ""am"")"),"ጨዋታው ያበቃል።")</f>
        <v>ጨዋታው ያበቃል።</v>
      </c>
      <c r="K139" s="8" t="str">
        <f>IFERROR(__xludf.DUMMYFUNCTION(" GOOGLETRANSLATE(E139, ""en"", ""am"")"),"ጨዋታው በአንድ በኩል ያሉት ቀዳዳዎች ባዶ ሲሆኑ ያበቃል.")</f>
        <v>ጨዋታው በአንድ በኩል ያሉት ቀዳዳዎች ባዶ ሲሆኑ ያበቃል.</v>
      </c>
    </row>
    <row r="140" ht="22.5" customHeight="1">
      <c r="A140" s="13">
        <v>139.0</v>
      </c>
      <c r="B140" s="14" t="s">
        <v>3481</v>
      </c>
      <c r="C140" s="14" t="s">
        <v>3482</v>
      </c>
      <c r="D140" s="14" t="s">
        <v>3365</v>
      </c>
      <c r="E140" s="14" t="s">
        <v>3483</v>
      </c>
      <c r="G140" s="8" t="str">
        <f>IFERROR(__xludf.DUMMYFUNCTION(" GOOGLETRANSLATE(A140, ""en"", ""am"")"),"139")</f>
        <v>139</v>
      </c>
      <c r="H140" s="8" t="str">
        <f>IFERROR(__xludf.DUMMYFUNCTION(" GOOGLETRANSLATE(B140, ""en"", ""am"")"),"የትኛው የማንካላ ልዩነት በጣም የተወሳሰበ ነው?")</f>
        <v>የትኛው የማንካላ ልዩነት በጣም የተወሳሰበ ነው?</v>
      </c>
      <c r="I140" s="8" t="str">
        <f>IFERROR(__xludf.DUMMYFUNCTION(" GOOGLETRANSLATE(C140, ""en"", ""am"")"),"A. B. Oware C. Bantu D. Bao ከሌለዎት")</f>
        <v>A. B. Oware C. Bantu D. Bao ከሌለዎት</v>
      </c>
      <c r="J140" s="8" t="str">
        <f>IFERROR(__xludf.DUMMYFUNCTION(" GOOGLETRANSLATE(D140, ""en"", ""am"")"),"ባኦ")</f>
        <v>ባኦ</v>
      </c>
      <c r="K140" s="8" t="str">
        <f>IFERROR(__xludf.DUMMYFUNCTION(" GOOGLETRANSLATE(E140, ""en"", ""am"")"),"ባኦ በጣም የተወሳሰበ ልዩነት ተደርጎ ይቆጠራል.")</f>
        <v>ባኦ በጣም የተወሳሰበ ልዩነት ተደርጎ ይቆጠራል.</v>
      </c>
    </row>
    <row r="141" ht="22.5" customHeight="1">
      <c r="A141" s="13">
        <v>140.0</v>
      </c>
      <c r="B141" s="14" t="s">
        <v>3484</v>
      </c>
      <c r="C141" s="14" t="s">
        <v>3485</v>
      </c>
      <c r="D141" s="14" t="s">
        <v>3486</v>
      </c>
      <c r="E141" s="14" t="s">
        <v>3487</v>
      </c>
      <c r="G141" s="8" t="str">
        <f>IFERROR(__xludf.DUMMYFUNCTION(" GOOGLETRANSLATE(A141, ""en"", ""am"")"),"140")</f>
        <v>140</v>
      </c>
      <c r="H141" s="8" t="str">
        <f>IFERROR(__xludf.DUMMYFUNCTION(" GOOGLETRANSLATE(B141, ""en"", ""am"")"),"ዘሮቹ በማንካላ ውስጥ ምን ያመለክታሉ?")</f>
        <v>ዘሮቹ በማንካላ ውስጥ ምን ያመለክታሉ?</v>
      </c>
      <c r="I141" s="8" t="str">
        <f>IFERROR(__xludf.DUMMYFUNCTION(" GOOGLETRANSLATE(C141, ""en"", ""am"")"),"ሀ. የጨዋታ ክፍሎች ለ. ነጥቦች ሐ. ማስጌጫዎች መ. ጠቋሚዎች")</f>
        <v>ሀ. የጨዋታ ክፍሎች ለ. ነጥቦች ሐ. ማስጌጫዎች መ. ጠቋሚዎች</v>
      </c>
      <c r="J141" s="8" t="str">
        <f>IFERROR(__xludf.DUMMYFUNCTION(" GOOGLETRANSLATE(D141, ""en"", ""am"")"),"የጨዋታ ክፍሎች")</f>
        <v>የጨዋታ ክፍሎች</v>
      </c>
      <c r="K141" s="8" t="str">
        <f>IFERROR(__xludf.DUMMYFUNCTION(" GOOGLETRANSLATE(E141, ""en"", ""am"")"),"ዘሮች ዋናው የጨዋታ ክፍሎች ናቸው.")</f>
        <v>ዘሮች ዋናው የጨዋታ ክፍሎች ናቸው.</v>
      </c>
    </row>
    <row r="142" ht="22.5" customHeight="1">
      <c r="A142" s="13">
        <v>141.0</v>
      </c>
      <c r="B142" s="14" t="s">
        <v>3488</v>
      </c>
      <c r="C142" s="14" t="s">
        <v>3489</v>
      </c>
      <c r="D142" s="14" t="s">
        <v>3490</v>
      </c>
      <c r="E142" s="14" t="s">
        <v>3491</v>
      </c>
      <c r="G142" s="8" t="str">
        <f>IFERROR(__xludf.DUMMYFUNCTION(" GOOGLETRANSLATE(A142, ""en"", ""am"")"),"141")</f>
        <v>141</v>
      </c>
      <c r="H142" s="8" t="str">
        <f>IFERROR(__xludf.DUMMYFUNCTION(" GOOGLETRANSLATE(B142, ""en"", ""am"")"),"የጋራ ጉድጓድ ስትራቴጂ ምንድን ነው?")</f>
        <v>የጋራ ጉድጓድ ስትራቴጂ ምንድን ነው?</v>
      </c>
      <c r="I142" s="8" t="str">
        <f>IFERROR(__xludf.DUMMYFUNCTION(" GOOGLETRANSLATE(C142, ""en"", ""am"")"),"ሀ. በዘፈቀደ መዝራት ለ. የመጋዘን ጥበቃ ሐ. ቀዳዳዎችን ማመጣጠን D. ዙሪያውን መዝለል")</f>
        <v>ሀ. በዘፈቀደ መዝራት ለ. የመጋዘን ጥበቃ ሐ. ቀዳዳዎችን ማመጣጠን D. ዙሪያውን መዝለል</v>
      </c>
      <c r="J142" s="8" t="str">
        <f>IFERROR(__xludf.DUMMYFUNCTION(" GOOGLETRANSLATE(D142, ""en"", ""am"")"),"ቀዳዳዎችን ማመጣጠን")</f>
        <v>ቀዳዳዎችን ማመጣጠን</v>
      </c>
      <c r="K142" s="8" t="str">
        <f>IFERROR(__xludf.DUMMYFUNCTION(" GOOGLETRANSLATE(E142, ""en"", ""am"")"),"ቀዳዳዎቹን ደረጃ መስጠት መዝራትን እና የተሻሉ እንቅስቃሴዎችን እንኳን ያረጋግጣል.")</f>
        <v>ቀዳዳዎቹን ደረጃ መስጠት መዝራትን እና የተሻሉ እንቅስቃሴዎችን እንኳን ያረጋግጣል.</v>
      </c>
    </row>
    <row r="143" ht="22.5" customHeight="1">
      <c r="A143" s="13">
        <v>142.0</v>
      </c>
      <c r="B143" s="14" t="s">
        <v>3492</v>
      </c>
      <c r="C143" s="14" t="s">
        <v>3493</v>
      </c>
      <c r="D143" s="14" t="s">
        <v>3002</v>
      </c>
      <c r="E143" s="14" t="s">
        <v>3494</v>
      </c>
      <c r="G143" s="8" t="str">
        <f>IFERROR(__xludf.DUMMYFUNCTION(" GOOGLETRANSLATE(A143, ""en"", ""am"")"),"142")</f>
        <v>142</v>
      </c>
      <c r="H143" s="8" t="str">
        <f>IFERROR(__xludf.DUMMYFUNCTION(" GOOGLETRANSLATE(B143, ""en"", ""am"")"),"አንድ ተጫዋች የተቀሩትን ዘሮች በሙሉ ቢይዝ ምን ይሆናል?")</f>
        <v>አንድ ተጫዋች የተቀሩትን ዘሮች በሙሉ ቢይዝ ምን ይሆናል?</v>
      </c>
      <c r="I143" s="8" t="str">
        <f>IFERROR(__xludf.DUMMYFUNCTION(" GOOGLETRANSLATE(C143, ""en"", ""am"")"),"ሀ. ጨዋታ እንደገና ይጀመራል ለ. ፈጣን ድል ሐ. የጉርሻ ነጥቦች D. ጨዋታው ያበቃል።")</f>
        <v>ሀ. ጨዋታ እንደገና ይጀመራል ለ. ፈጣን ድል ሐ. የጉርሻ ነጥቦች D. ጨዋታው ያበቃል።</v>
      </c>
      <c r="J143" s="8" t="str">
        <f>IFERROR(__xludf.DUMMYFUNCTION(" GOOGLETRANSLATE(D143, ""en"", ""am"")"),"ጨዋታው ያበቃል።")</f>
        <v>ጨዋታው ያበቃል።</v>
      </c>
      <c r="K143" s="8" t="str">
        <f>IFERROR(__xludf.DUMMYFUNCTION(" GOOGLETRANSLATE(E143, ""en"", ""am"")"),"ሁሉም የተቀሩት ዘሮች ሲያዙ ጨዋታው ያበቃል።")</f>
        <v>ሁሉም የተቀሩት ዘሮች ሲያዙ ጨዋታው ያበቃል።</v>
      </c>
    </row>
    <row r="144" ht="22.5" customHeight="1">
      <c r="A144" s="13">
        <v>143.0</v>
      </c>
      <c r="B144" s="14" t="s">
        <v>3495</v>
      </c>
      <c r="C144" s="14" t="s">
        <v>3496</v>
      </c>
      <c r="D144" s="14" t="s">
        <v>3497</v>
      </c>
      <c r="E144" s="14" t="s">
        <v>3498</v>
      </c>
      <c r="G144" s="8" t="str">
        <f>IFERROR(__xludf.DUMMYFUNCTION(" GOOGLETRANSLATE(A144, ""en"", ""am"")"),"143")</f>
        <v>143</v>
      </c>
      <c r="H144" s="8" t="str">
        <f>IFERROR(__xludf.DUMMYFUNCTION(" GOOGLETRANSLATE(B144, ""en"", ""am"")"),"ቀደምት ቅጂዎች ጥቅማቸው ምንድን ነው?")</f>
        <v>ቀደምት ቅጂዎች ጥቅማቸው ምንድን ነው?</v>
      </c>
      <c r="I144" s="8" t="str">
        <f>IFERROR(__xludf.DUMMYFUNCTION(" GOOGLETRANSLATE(C144, ""en"", ""am"")"),"ሀ. ፈጣን ድል ለ. የነጥብ ጥቅም ሐ. የተቃዋሚ ዝላይ መ. የመከላከያ ትርፍ")</f>
        <v>ሀ. ፈጣን ድል ለ. የነጥብ ጥቅም ሐ. የተቃዋሚ ዝላይ መ. የመከላከያ ትርፍ</v>
      </c>
      <c r="J144" s="8" t="str">
        <f>IFERROR(__xludf.DUMMYFUNCTION(" GOOGLETRANSLATE(D144, ""en"", ""am"")"),"የነጥብ ጥቅም")</f>
        <v>የነጥብ ጥቅም</v>
      </c>
      <c r="K144" s="8" t="str">
        <f>IFERROR(__xludf.DUMMYFUNCTION(" GOOGLETRANSLATE(E144, ""en"", ""am"")"),"ቀደምት ጥይቶች የነጥብ ጥቅም ይሰጣሉ።")</f>
        <v>ቀደምት ጥይቶች የነጥብ ጥቅም ይሰጣሉ።</v>
      </c>
    </row>
    <row r="145" ht="22.5" customHeight="1">
      <c r="A145" s="13">
        <v>144.0</v>
      </c>
      <c r="B145" s="14" t="s">
        <v>3499</v>
      </c>
      <c r="C145" s="14" t="s">
        <v>3500</v>
      </c>
      <c r="D145" s="14" t="s">
        <v>3024</v>
      </c>
      <c r="E145" s="14" t="s">
        <v>3501</v>
      </c>
      <c r="G145" s="8" t="str">
        <f>IFERROR(__xludf.DUMMYFUNCTION(" GOOGLETRANSLATE(A145, ""en"", ""am"")"),"144")</f>
        <v>144</v>
      </c>
      <c r="H145" s="8" t="str">
        <f>IFERROR(__xludf.DUMMYFUNCTION(" GOOGLETRANSLATE(B145, ""en"", ""am"")"),"ማንካላ የእውቀት (ኮግኒቲቭ) ክህሎቶችን የሚያሻሽለው እንዴት ነው?")</f>
        <v>ማንካላ የእውቀት (ኮግኒቲቭ) ክህሎቶችን የሚያሻሽለው እንዴት ነው?</v>
      </c>
      <c r="I145" s="8" t="str">
        <f>IFERROR(__xludf.DUMMYFUNCTION(" GOOGLETRANSLATE(C145, ""en"", ""am"")"),"ሀ. የማስታወስ እድገት ለ. ስልታዊ አስተሳሰብ ሐ. ፈጠራ መ. የመገመት ችሎታ")</f>
        <v>ሀ. የማስታወስ እድገት ለ. ስልታዊ አስተሳሰብ ሐ. ፈጠራ መ. የመገመት ችሎታ</v>
      </c>
      <c r="J145" s="8" t="str">
        <f>IFERROR(__xludf.DUMMYFUNCTION(" GOOGLETRANSLATE(D145, ""en"", ""am"")"),"ስልታዊ አስተሳሰብ")</f>
        <v>ስልታዊ አስተሳሰብ</v>
      </c>
      <c r="K145" s="8" t="str">
        <f>IFERROR(__xludf.DUMMYFUNCTION(" GOOGLETRANSLATE(E145, ""en"", ""am"")"),"ማንካላ ስልታዊ አስተሳሰብን ያበረታታል.")</f>
        <v>ማንካላ ስልታዊ አስተሳሰብን ያበረታታል.</v>
      </c>
    </row>
    <row r="146" ht="22.5" customHeight="1">
      <c r="A146" s="13">
        <v>145.0</v>
      </c>
      <c r="B146" s="14" t="s">
        <v>3502</v>
      </c>
      <c r="C146" s="14" t="s">
        <v>3503</v>
      </c>
      <c r="D146" s="14" t="s">
        <v>3504</v>
      </c>
      <c r="E146" s="14" t="s">
        <v>3505</v>
      </c>
      <c r="G146" s="8" t="str">
        <f>IFERROR(__xludf.DUMMYFUNCTION(" GOOGLETRANSLATE(A146, ""en"", ""am"")"),"145")</f>
        <v>145</v>
      </c>
      <c r="H146" s="8" t="str">
        <f>IFERROR(__xludf.DUMMYFUNCTION(" GOOGLETRANSLATE(B146, ""en"", ""am"")"),"በማንካላ ውስጥ የተለመደ ስህተት ምንድነው?")</f>
        <v>በማንካላ ውስጥ የተለመደ ስህተት ምንድነው?</v>
      </c>
      <c r="I146" s="8" t="str">
        <f>IFERROR(__xludf.DUMMYFUNCTION(" GOOGLETRANSLATE(C146, ""en"", ""am"")"),"ሀ. በጣም በቀስታ መዝራት ለ. ሳያስፈልግ ተቃዋሚን ማገድ ሐ. የተያዙትን ጉድጓዶች ክፍት መተው መ. መጋዘኑን በጣም ቀደም ብሎ መከላከል")</f>
        <v>ሀ. በጣም በቀስታ መዝራት ለ. ሳያስፈልግ ተቃዋሚን ማገድ ሐ. የተያዙትን ጉድጓዶች ክፍት መተው መ. መጋዘኑን በጣም ቀደም ብሎ መከላከል</v>
      </c>
      <c r="J146" s="8" t="str">
        <f>IFERROR(__xludf.DUMMYFUNCTION(" GOOGLETRANSLATE(D146, ""en"", ""am"")"),"የተያዙትን ጉድጓዶች ክፍት መተው")</f>
        <v>የተያዙትን ጉድጓዶች ክፍት መተው</v>
      </c>
      <c r="K146" s="8" t="str">
        <f>IFERROR(__xludf.DUMMYFUNCTION(" GOOGLETRANSLATE(E146, ""en"", ""am"")"),"የተያዙ ጉድጓዶችን መተው ተቃዋሚዎችን ይጠቅማል።")</f>
        <v>የተያዙ ጉድጓዶችን መተው ተቃዋሚዎችን ይጠቅማል።</v>
      </c>
    </row>
    <row r="147" ht="22.5" customHeight="1">
      <c r="A147" s="13">
        <v>146.0</v>
      </c>
      <c r="B147" s="14" t="s">
        <v>3506</v>
      </c>
      <c r="C147" s="14" t="s">
        <v>3507</v>
      </c>
      <c r="D147" s="14" t="s">
        <v>3508</v>
      </c>
      <c r="E147" s="14" t="s">
        <v>3509</v>
      </c>
      <c r="G147" s="8" t="str">
        <f>IFERROR(__xludf.DUMMYFUNCTION(" GOOGLETRANSLATE(A147, ""en"", ""am"")"),"146")</f>
        <v>146</v>
      </c>
      <c r="H147" s="8" t="str">
        <f>IFERROR(__xludf.DUMMYFUNCTION(" GOOGLETRANSLATE(B147, ""en"", ""am"")"),"ማጠራቀሚያ ታንክ ምንድን ነው?")</f>
        <v>ማጠራቀሚያ ታንክ ምንድን ነው?</v>
      </c>
      <c r="I147" s="8" t="str">
        <f>IFERROR(__xludf.DUMMYFUNCTION(" GOOGLETRANSLATE(C147, ""en"", ""am"")"),"ሀ. ለጌጦሽ የሚሆን ቀዳዳ ለ. ቀዳዳ ለጉርሻ ነጥብ ሐ. ከባዶ ጉድጓድ ትይዩ ያለው ጉድጓድ D. ዘር የሚከማችበት ጉድጓድ")</f>
        <v>ሀ. ለጌጦሽ የሚሆን ቀዳዳ ለ. ቀዳዳ ለጉርሻ ነጥብ ሐ. ከባዶ ጉድጓድ ትይዩ ያለው ጉድጓድ D. ዘር የሚከማችበት ጉድጓድ</v>
      </c>
      <c r="J147" s="8" t="str">
        <f>IFERROR(__xludf.DUMMYFUNCTION(" GOOGLETRANSLATE(D147, ""en"", ""am"")"),"ከባዶ ጉድጓድ ተቃራኒው ጉድጓድ")</f>
        <v>ከባዶ ጉድጓድ ተቃራኒው ጉድጓድ</v>
      </c>
      <c r="K147" s="8" t="str">
        <f>IFERROR(__xludf.DUMMYFUNCTION(" GOOGLETRANSLATE(E147, ""en"", ""am"")"),"ቀዳዳዎቹን ማቆየት ብዙ ዘሮችን ለማግኘት ይረዳዎታል.")</f>
        <v>ቀዳዳዎቹን ማቆየት ብዙ ዘሮችን ለማግኘት ይረዳዎታል.</v>
      </c>
    </row>
    <row r="148" ht="22.5" customHeight="1">
      <c r="A148" s="13">
        <v>147.0</v>
      </c>
      <c r="B148" s="14" t="s">
        <v>3510</v>
      </c>
      <c r="C148" s="14" t="s">
        <v>3511</v>
      </c>
      <c r="D148" s="14" t="s">
        <v>3512</v>
      </c>
      <c r="E148" s="14" t="s">
        <v>3513</v>
      </c>
      <c r="G148" s="8" t="str">
        <f>IFERROR(__xludf.DUMMYFUNCTION(" GOOGLETRANSLATE(A148, ""en"", ""am"")"),"147")</f>
        <v>147</v>
      </c>
      <c r="H148" s="8" t="str">
        <f>IFERROR(__xludf.DUMMYFUNCTION(" GOOGLETRANSLATE(B148, ""en"", ""am"")"),"ተጫዋቾች ከጨዋታ በኋላ ሰሌዳውን እንዴት እንደገና ያስጀምራሉ?")</f>
        <v>ተጫዋቾች ከጨዋታ በኋላ ሰሌዳውን እንዴት እንደገና ያስጀምራሉ?</v>
      </c>
      <c r="I148" s="8" t="str">
        <f>IFERROR(__xludf.DUMMYFUNCTION(" GOOGLETRANSLATE(C148, ""en"", ""am"")"),"ሀ. ዘሮችን በእጅ መሰብሰብ ለ. በመሬት ውስጥ ያሉ ቀዳዳዎች ሐ. እንደገና መጀመር በራስ-ሰር ነው። መ. ማከማቻን ብቻ ያጽዱ")</f>
        <v>ሀ. ዘሮችን በእጅ መሰብሰብ ለ. በመሬት ውስጥ ያሉ ቀዳዳዎች ሐ. እንደገና መጀመር በራስ-ሰር ነው። መ. ማከማቻን ብቻ ያጽዱ</v>
      </c>
      <c r="J148" s="8" t="str">
        <f>IFERROR(__xludf.DUMMYFUNCTION(" GOOGLETRANSLATE(D148, ""en"", ""am"")"),"ዘሮችን በእጅ ይሰብስቡ")</f>
        <v>ዘሮችን በእጅ ይሰብስቡ</v>
      </c>
      <c r="K148" s="8" t="str">
        <f>IFERROR(__xludf.DUMMYFUNCTION(" GOOGLETRANSLATE(E148, ""en"", ""am"")"),"ተጫዋቾች ዘሮችን በእጅ ሰብስበው ያሰራጫሉ።")</f>
        <v>ተጫዋቾች ዘሮችን በእጅ ሰብስበው ያሰራጫሉ።</v>
      </c>
    </row>
    <row r="149" ht="22.5" customHeight="1">
      <c r="A149" s="13">
        <v>148.0</v>
      </c>
      <c r="B149" s="14" t="s">
        <v>3514</v>
      </c>
      <c r="C149" s="14" t="s">
        <v>3515</v>
      </c>
      <c r="D149" s="14" t="s">
        <v>3516</v>
      </c>
      <c r="E149" s="14" t="s">
        <v>3517</v>
      </c>
      <c r="G149" s="8" t="str">
        <f>IFERROR(__xludf.DUMMYFUNCTION(" GOOGLETRANSLATE(A149, ""en"", ""am"")"),"148")</f>
        <v>148</v>
      </c>
      <c r="H149" s="8" t="str">
        <f>IFERROR(__xludf.DUMMYFUNCTION(" GOOGLETRANSLATE(B149, ""en"", ""am"")"),"በማንካላ ውስጥ አሸናፊው ስልት ምንድን ነው?")</f>
        <v>በማንካላ ውስጥ አሸናፊው ስልት ምንድን ነው?</v>
      </c>
      <c r="I149" s="8" t="str">
        <f>IFERROR(__xludf.DUMMYFUNCTION(" GOOGLETRANSLATE(C149, ""en"", ""am"")"),"ሀ. የመጋዘን ጥበቃ ለ. የጉድጓድ ሚዛን ሐ. ብዙ ጊዜ ያንሱ። መ. እንቅስቃሴዎችን ዝለል")</f>
        <v>ሀ. የመጋዘን ጥበቃ ለ. የጉድጓድ ሚዛን ሐ. ብዙ ጊዜ ያንሱ። መ. እንቅስቃሴዎችን ዝለል</v>
      </c>
      <c r="J149" s="8" t="str">
        <f>IFERROR(__xludf.DUMMYFUNCTION(" GOOGLETRANSLATE(D149, ""en"", ""am"")"),"በተደጋጋሚ ይተኩሱ።")</f>
        <v>በተደጋጋሚ ይተኩሱ።</v>
      </c>
      <c r="K149" s="8" t="str">
        <f>IFERROR(__xludf.DUMMYFUNCTION(" GOOGLETRANSLATE(E149, ""en"", ""am"")"),"ተደጋጋሚ ጥይቶች ብዙውን ጊዜ ወደ ድል ያመራሉ.")</f>
        <v>ተደጋጋሚ ጥይቶች ብዙውን ጊዜ ወደ ድል ያመራሉ.</v>
      </c>
    </row>
    <row r="150" ht="22.5" customHeight="1">
      <c r="A150" s="13">
        <v>149.0</v>
      </c>
      <c r="B150" s="14" t="s">
        <v>3518</v>
      </c>
      <c r="C150" s="14" t="s">
        <v>3519</v>
      </c>
      <c r="D150" s="14" t="s">
        <v>3520</v>
      </c>
      <c r="E150" s="14" t="s">
        <v>3521</v>
      </c>
      <c r="G150" s="8" t="str">
        <f>IFERROR(__xludf.DUMMYFUNCTION(" GOOGLETRANSLATE(A150, ""en"", ""am"")"),"149")</f>
        <v>149</v>
      </c>
      <c r="H150" s="8" t="str">
        <f>IFERROR(__xludf.DUMMYFUNCTION(" GOOGLETRANSLATE(B150, ""en"", ""am"")"),"ውጤቱን የሚነካው የትኛው የማንካላ ህግ ነው?")</f>
        <v>ውጤቱን የሚነካው የትኛው የማንካላ ህግ ነው?</v>
      </c>
      <c r="I150" s="8" t="str">
        <f>IFERROR(__xludf.DUMMYFUNCTION(" GOOGLETRANSLATE(C150, ""en"", ""am"")"),"ሀ. ዝላይን አዙር. ለ. ብዙ ጉድጓዶች መቆፈር ሐ. ዘር መሸከም D. ቀዳዳ መለዋወጥ")</f>
        <v>ሀ. ዝላይን አዙር. ለ. ብዙ ጉድጓዶች መቆፈር ሐ. ዘር መሸከም D. ቀዳዳ መለዋወጥ</v>
      </c>
      <c r="J150" s="8" t="str">
        <f>IFERROR(__xludf.DUMMYFUNCTION(" GOOGLETRANSLATE(D150, ""en"", ""am"")"),"ዘር ማፍራት")</f>
        <v>ዘር ማፍራት</v>
      </c>
      <c r="K150" s="8" t="str">
        <f>IFERROR(__xludf.DUMMYFUNCTION(" GOOGLETRANSLATE(E150, ""en"", ""am"")"),"ዘሮችን መውሰድ በቀጥታ ውጤቱን ይነካል.")</f>
        <v>ዘሮችን መውሰድ በቀጥታ ውጤቱን ይነካል.</v>
      </c>
    </row>
    <row r="151" ht="22.5" customHeight="1">
      <c r="A151" s="13">
        <v>150.0</v>
      </c>
      <c r="B151" s="14" t="s">
        <v>3522</v>
      </c>
      <c r="C151" s="14" t="s">
        <v>3523</v>
      </c>
      <c r="D151" s="14" t="s">
        <v>3524</v>
      </c>
      <c r="E151" s="14" t="s">
        <v>3525</v>
      </c>
      <c r="G151" s="8" t="str">
        <f>IFERROR(__xludf.DUMMYFUNCTION(" GOOGLETRANSLATE(A151, ""en"", ""am"")"),"150")</f>
        <v>150</v>
      </c>
      <c r="H151" s="8" t="str">
        <f>IFERROR(__xludf.DUMMYFUNCTION(" GOOGLETRANSLATE(B151, ""en"", ""am"")"),"የትኛው እንቅስቃሴ አነስተኛ ውጤታማ ነው?")</f>
        <v>የትኛው እንቅስቃሴ አነስተኛ ውጤታማ ነው?</v>
      </c>
      <c r="I151" s="8" t="str">
        <f>IFERROR(__xludf.DUMMYFUNCTION(" GOOGLETRANSLATE(C151, ""en"", ""am"")"),"ሀ. በዘፈቀደ መዝራት ለ. ጉድጓዶችን ማገድ ሐ. የተያዙ ጉድጓዶችን መሙላት D. የመጋዘን ጥበቃ")</f>
        <v>ሀ. በዘፈቀደ መዝራት ለ. ጉድጓዶችን ማገድ ሐ. የተያዙ ጉድጓዶችን መሙላት D. የመጋዘን ጥበቃ</v>
      </c>
      <c r="J151" s="8" t="str">
        <f>IFERROR(__xludf.DUMMYFUNCTION(" GOOGLETRANSLATE(D151, ""en"", ""am"")"),"በዘፈቀደ መዝራት")</f>
        <v>በዘፈቀደ መዝራት</v>
      </c>
      <c r="K151" s="8" t="str">
        <f>IFERROR(__xludf.DUMMYFUNCTION(" GOOGLETRANSLATE(E151, ""en"", ""am"")"),"በዘፈቀደ ዘር መዝራት በስትራቴጂካዊ ጨዋታ ውስጥ ትንሽ እገዛ ያደርጋል።")</f>
        <v>በዘፈቀደ ዘር መዝራት በስትራቴጂካዊ ጨዋታ ውስጥ ትንሽ እገዛ ያደርጋል።</v>
      </c>
    </row>
    <row r="152" ht="22.5" customHeight="1">
      <c r="A152" s="13">
        <v>151.0</v>
      </c>
      <c r="B152" s="14" t="s">
        <v>3526</v>
      </c>
      <c r="C152" s="14" t="s">
        <v>3527</v>
      </c>
      <c r="D152" s="14" t="s">
        <v>3528</v>
      </c>
      <c r="E152" s="14" t="s">
        <v>3529</v>
      </c>
      <c r="G152" s="8" t="str">
        <f>IFERROR(__xludf.DUMMYFUNCTION(" GOOGLETRANSLATE(A152, ""en"", ""am"")"),"151")</f>
        <v>151</v>
      </c>
      <c r="H152" s="8" t="str">
        <f>IFERROR(__xludf.DUMMYFUNCTION(" GOOGLETRANSLATE(B152, ""en"", ""am"")"),"የማጠራቀሚያ ጉድጓድ ምንድን ነው?")</f>
        <v>የማጠራቀሚያ ጉድጓድ ምንድን ነው?</v>
      </c>
      <c r="I152" s="8" t="str">
        <f>IFERROR(__xludf.DUMMYFUNCTION(" GOOGLETRANSLATE(C152, ""en"", ""am"")"),"ሀ. ለበለጠ ዘር የሚሆን ጉድጓድ ለ. የተከማቸ ዘሮች ጉድጓድ ሐ. ለጌጣጌጥ ጉድጓድ መ. እንቅስቃሴዎችን ለመጀመር ቀዳዳ")</f>
        <v>ሀ. ለበለጠ ዘር የሚሆን ጉድጓድ ለ. የተከማቸ ዘሮች ጉድጓድ ሐ. ለጌጣጌጥ ጉድጓድ መ. እንቅስቃሴዎችን ለመጀመር ቀዳዳ</v>
      </c>
      <c r="J152" s="8" t="str">
        <f>IFERROR(__xludf.DUMMYFUNCTION(" GOOGLETRANSLATE(D152, ""en"", ""am"")"),"ለተከማቹ ዘሮች ጉድጓድ")</f>
        <v>ለተከማቹ ዘሮች ጉድጓድ</v>
      </c>
      <c r="K152" s="8" t="str">
        <f>IFERROR(__xludf.DUMMYFUNCTION(" GOOGLETRANSLATE(E152, ""en"", ""am"")"),"የማከማቻ ጉድጓድ የተያዙትን ዘሮች ያከማቻል.")</f>
        <v>የማከማቻ ጉድጓድ የተያዙትን ዘሮች ያከማቻል.</v>
      </c>
    </row>
    <row r="153" ht="22.5" customHeight="1">
      <c r="A153" s="13">
        <v>152.0</v>
      </c>
      <c r="B153" s="14" t="s">
        <v>3530</v>
      </c>
      <c r="C153" s="14" t="s">
        <v>3531</v>
      </c>
      <c r="D153" s="14" t="s">
        <v>3532</v>
      </c>
      <c r="E153" s="14" t="s">
        <v>3533</v>
      </c>
      <c r="G153" s="8" t="str">
        <f>IFERROR(__xludf.DUMMYFUNCTION(" GOOGLETRANSLATE(A153, ""en"", ""am"")"),"152")</f>
        <v>152</v>
      </c>
      <c r="H153" s="8" t="str">
        <f>IFERROR(__xludf.DUMMYFUNCTION(" GOOGLETRANSLATE(B153, ""en"", ""am"")"),"የሩጫዎች ብዛት በጨዋታ ጨዋታ ላይ ምን ተጽዕኖ ያሳድራል?")</f>
        <v>የሩጫዎች ብዛት በጨዋታ ጨዋታ ላይ ምን ተጽዕኖ ያሳድራል?</v>
      </c>
      <c r="I153" s="8" t="str">
        <f>IFERROR(__xludf.DUMMYFUNCTION(" GOOGLETRANSLATE(C153, ""en"", ""am"")"),"ሀ. ፍጥነትን ይወስናል B. መዞሮችን ይገድባል። ሐ. ስልቶች ላይ ተጽእኖ ያሳድራል. መ. እንቅስቃሴዎችን በዘፈቀደ ያደርጋል")</f>
        <v>ሀ. ፍጥነትን ይወስናል B. መዞሮችን ይገድባል። ሐ. ስልቶች ላይ ተጽእኖ ያሳድራል. መ. እንቅስቃሴዎችን በዘፈቀደ ያደርጋል</v>
      </c>
      <c r="J153" s="8" t="str">
        <f>IFERROR(__xludf.DUMMYFUNCTION(" GOOGLETRANSLATE(D153, ""en"", ""am"")"),"ስትራቴጂዎች ላይ ተጽእኖ ያሳድራል.")</f>
        <v>ስትራቴጂዎች ላይ ተጽእኖ ያሳድራል.</v>
      </c>
      <c r="K153" s="8" t="str">
        <f>IFERROR(__xludf.DUMMYFUNCTION(" GOOGLETRANSLATE(E153, ""en"", ""am"")"),"የዘሮቹ ብዛት የጨዋታ ስልቶችን ይነካል.")</f>
        <v>የዘሮቹ ብዛት የጨዋታ ስልቶችን ይነካል.</v>
      </c>
    </row>
    <row r="154" ht="22.5" customHeight="1">
      <c r="A154" s="13">
        <v>153.0</v>
      </c>
      <c r="B154" s="14" t="s">
        <v>3534</v>
      </c>
      <c r="C154" s="14" t="s">
        <v>3535</v>
      </c>
      <c r="D154" s="14" t="s">
        <v>3536</v>
      </c>
      <c r="E154" s="14" t="s">
        <v>3537</v>
      </c>
      <c r="G154" s="8" t="str">
        <f>IFERROR(__xludf.DUMMYFUNCTION(" GOOGLETRANSLATE(A154, ""en"", ""am"")"),"153")</f>
        <v>153</v>
      </c>
      <c r="H154" s="8" t="str">
        <f>IFERROR(__xludf.DUMMYFUNCTION(" GOOGLETRANSLATE(B154, ""en"", ""am"")"),"አንድ ተጫዋች ጉድጓድ ውስጥ አንድ ዘር ብቻ ካለው ምን ይሆናል?")</f>
        <v>አንድ ተጫዋች ጉድጓድ ውስጥ አንድ ዘር ብቻ ካለው ምን ይሆናል?</v>
      </c>
      <c r="I154" s="8" t="str">
        <f>IFERROR(__xludf.DUMMYFUNCTION(" GOOGLETRANSLATE(C154, ""en"", ""am"")"),"ሀ. ጨዋታው ያበቃል። ለ. ውስን እንቅስቃሴዎች ሐ. ተቃዋሚው ያሸንፋል። መ. ጉርሻ ነጥቦች")</f>
        <v>ሀ. ጨዋታው ያበቃል። ለ. ውስን እንቅስቃሴዎች ሐ. ተቃዋሚው ያሸንፋል። መ. ጉርሻ ነጥቦች</v>
      </c>
      <c r="J154" s="8" t="str">
        <f>IFERROR(__xludf.DUMMYFUNCTION(" GOOGLETRANSLATE(D154, ""en"", ""am"")"),"ውስን እንቅስቃሴዎች")</f>
        <v>ውስን እንቅስቃሴዎች</v>
      </c>
      <c r="K154" s="8" t="str">
        <f>IFERROR(__xludf.DUMMYFUNCTION(" GOOGLETRANSLATE(E154, ""en"", ""am"")"),"በአንድ ጉድጓድ አንድ ዘር መኖሩ የመትከል አማራጮችን ይገድባል.")</f>
        <v>በአንድ ጉድጓድ አንድ ዘር መኖሩ የመትከል አማራጮችን ይገድባል.</v>
      </c>
    </row>
    <row r="155" ht="22.5" customHeight="1">
      <c r="A155" s="13">
        <v>154.0</v>
      </c>
      <c r="B155" s="14" t="s">
        <v>3538</v>
      </c>
      <c r="C155" s="14" t="s">
        <v>3539</v>
      </c>
      <c r="D155" s="14" t="s">
        <v>3540</v>
      </c>
      <c r="E155" s="14" t="s">
        <v>3541</v>
      </c>
      <c r="G155" s="8" t="str">
        <f>IFERROR(__xludf.DUMMYFUNCTION(" GOOGLETRANSLATE(A155, ""en"", ""am"")"),"154")</f>
        <v>154</v>
      </c>
      <c r="H155" s="8" t="str">
        <f>IFERROR(__xludf.DUMMYFUNCTION(" GOOGLETRANSLATE(B155, ""en"", ""am"")"),"የማንካላ መከላከያ ስትራቴጂ ምንድን ነው?")</f>
        <v>የማንካላ መከላከያ ስትራቴጂ ምንድን ነው?</v>
      </c>
      <c r="I155" s="8" t="str">
        <f>IFERROR(__xludf.DUMMYFUNCTION(" GOOGLETRANSLATE(C155, ""en"", ""am"")"),"ሀ. በተደጋጋሚ ተኩስ። ለ. ቀዳዳዎቹን ሞልተው ይተዉት. ሐ. የተቃውሞ እንቅስቃሴዎችን አግድ D. በዘፈቀደ መዝራት")</f>
        <v>ሀ. በተደጋጋሚ ተኩስ። ለ. ቀዳዳዎቹን ሞልተው ይተዉት. ሐ. የተቃውሞ እንቅስቃሴዎችን አግድ D. በዘፈቀደ መዝራት</v>
      </c>
      <c r="J155" s="8" t="str">
        <f>IFERROR(__xludf.DUMMYFUNCTION(" GOOGLETRANSLATE(D155, ""en"", ""am"")"),"የተቃውሞ እንቅስቃሴዎችን አግድ")</f>
        <v>የተቃውሞ እንቅስቃሴዎችን አግድ</v>
      </c>
      <c r="K155" s="8" t="str">
        <f>IFERROR(__xludf.DUMMYFUNCTION(" GOOGLETRANSLATE(E155, ""en"", ""am"")"),"የተቃውሞ እንቅስቃሴዎችን ማገድ መያዙን ይከላከላል።")</f>
        <v>የተቃውሞ እንቅስቃሴዎችን ማገድ መያዙን ይከላከላል።</v>
      </c>
    </row>
    <row r="156" ht="22.5" customHeight="1">
      <c r="A156" s="13">
        <v>155.0</v>
      </c>
      <c r="B156" s="14" t="s">
        <v>3542</v>
      </c>
      <c r="C156" s="14" t="s">
        <v>3543</v>
      </c>
      <c r="D156" s="14" t="s">
        <v>3544</v>
      </c>
      <c r="E156" s="14" t="s">
        <v>3545</v>
      </c>
      <c r="G156" s="8" t="str">
        <f>IFERROR(__xludf.DUMMYFUNCTION(" GOOGLETRANSLATE(A156, ""en"", ""am"")"),"155")</f>
        <v>155</v>
      </c>
      <c r="H156" s="8" t="str">
        <f>IFERROR(__xludf.DUMMYFUNCTION(" GOOGLETRANSLATE(B156, ""en"", ""am"")"),"በአንዳንድ ተለዋጮች ውስጥ የማንካላ ቀዳዳ ምን ይባላል?")</f>
        <v>በአንዳንድ ተለዋጮች ውስጥ የማንካላ ቀዳዳ ምን ይባላል?</v>
      </c>
      <c r="I156" s="8" t="str">
        <f>IFERROR(__xludf.DUMMYFUNCTION(" GOOGLETRANSLATE(C156, ""en"", ""am"")"),"ሀ.የቤት ጉድጓድ ቢ.ካላሃ ሐ.የዘር ጉድጓድ ዲ.ባኦ ጉድጓድ")</f>
        <v>ሀ.የቤት ጉድጓድ ቢ.ካላሃ ሐ.የዘር ጉድጓድ ዲ.ባኦ ጉድጓድ</v>
      </c>
      <c r="J156" s="8" t="str">
        <f>IFERROR(__xludf.DUMMYFUNCTION(" GOOGLETRANSLATE(D156, ""en"", ""am"")"),"ካላሃ")</f>
        <v>ካላሃ</v>
      </c>
      <c r="K156" s="8" t="str">
        <f>IFERROR(__xludf.DUMMYFUNCTION(" GOOGLETRANSLATE(E156, ""en"", ""am"")"),"ካላሃ በአንዳንድ የማንካላ ልዩነቶች ውስጥ ጥቅም ላይ የሚውል ቃል ነው።")</f>
        <v>ካላሃ በአንዳንድ የማንካላ ልዩነቶች ውስጥ ጥቅም ላይ የሚውል ቃል ነው።</v>
      </c>
    </row>
    <row r="157" ht="22.5" customHeight="1">
      <c r="A157" s="13">
        <v>156.0</v>
      </c>
      <c r="B157" s="14" t="s">
        <v>3546</v>
      </c>
      <c r="C157" s="14" t="s">
        <v>3547</v>
      </c>
      <c r="D157" s="14" t="s">
        <v>3548</v>
      </c>
      <c r="E157" s="14" t="s">
        <v>3549</v>
      </c>
      <c r="G157" s="8" t="str">
        <f>IFERROR(__xludf.DUMMYFUNCTION(" GOOGLETRANSLATE(A157, ""en"", ""am"")"),"156")</f>
        <v>156</v>
      </c>
      <c r="H157" s="8" t="str">
        <f>IFERROR(__xludf.DUMMYFUNCTION(" GOOGLETRANSLATE(B157, ""en"", ""am"")"),"የትኛው ቀዳዳ የበለጠ ሽክርክሪት ይሰጣል?")</f>
        <v>የትኛው ቀዳዳ የበለጠ ሽክርክሪት ይሰጣል?</v>
      </c>
      <c r="I157" s="8" t="str">
        <f>IFERROR(__xludf.DUMMYFUNCTION(" GOOGLETRANSLATE(C157, ""en"", ""am"")"),"ሀ. የማከማቻ ጉድጓድ ለ. ተቃራኒ ቃል ሐ. የራሱ የማከማቻ ጉድጓድ D. ማዕከላዊ ጉድጓድ")</f>
        <v>ሀ. የማከማቻ ጉድጓድ ለ. ተቃራኒ ቃል ሐ. የራሱ የማከማቻ ጉድጓድ D. ማዕከላዊ ጉድጓድ</v>
      </c>
      <c r="J157" s="8" t="str">
        <f>IFERROR(__xludf.DUMMYFUNCTION(" GOOGLETRANSLATE(D157, ""en"", ""am"")"),"የማጠራቀሚያ ጉድጓድ")</f>
        <v>የማጠራቀሚያ ጉድጓድ</v>
      </c>
      <c r="K157" s="8" t="str">
        <f>IFERROR(__xludf.DUMMYFUNCTION(" GOOGLETRANSLATE(E157, ""en"", ""am"")"),"ወደ መጋዘኑ ውስጥ መዝራት ተጨማሪ ተራ ይሰጣል።")</f>
        <v>ወደ መጋዘኑ ውስጥ መዝራት ተጨማሪ ተራ ይሰጣል።</v>
      </c>
    </row>
    <row r="158" ht="22.5" customHeight="1">
      <c r="A158" s="13">
        <v>157.0</v>
      </c>
      <c r="B158" s="14" t="s">
        <v>3550</v>
      </c>
      <c r="C158" s="14" t="s">
        <v>3551</v>
      </c>
      <c r="D158" s="14" t="s">
        <v>1532</v>
      </c>
      <c r="E158" s="14" t="s">
        <v>3552</v>
      </c>
      <c r="G158" s="8" t="str">
        <f>IFERROR(__xludf.DUMMYFUNCTION(" GOOGLETRANSLATE(A158, ""en"", ""am"")"),"157")</f>
        <v>157</v>
      </c>
      <c r="H158" s="8" t="str">
        <f>IFERROR(__xludf.DUMMYFUNCTION(" GOOGLETRANSLATE(B158, ""en"", ""am"")"),"ሁለቱም ተጫዋቾች አንድ አይነት ዘር ካላቸው ምን ይሆናል?")</f>
        <v>ሁለቱም ተጫዋቾች አንድ አይነት ዘር ካላቸው ምን ይሆናል?</v>
      </c>
      <c r="I158" s="8" t="str">
        <f>IFERROR(__xludf.DUMMYFUNCTION(" GOOGLETRANSLATE(C158, ""en"", ""am"")"),"ሀ. እንደገና አጫውት። ለ. ሁለቱም ይሸነፋሉ. ሐ. ይሳሉ D. ተጋጣሚው ያሸንፋል።")</f>
        <v>ሀ. እንደገና አጫውት። ለ. ሁለቱም ይሸነፋሉ. ሐ. ይሳሉ D. ተጋጣሚው ያሸንፋል።</v>
      </c>
      <c r="J158" s="8" t="str">
        <f>IFERROR(__xludf.DUMMYFUNCTION(" GOOGLETRANSLATE(D158, ""en"", ""am"")"),"ይሳሉ")</f>
        <v>ይሳሉ</v>
      </c>
      <c r="K158" s="8" t="str">
        <f>IFERROR(__xludf.DUMMYFUNCTION(" GOOGLETRANSLATE(E158, ""en"", ""am"")"),"ሁለቱም ተጫዋቾች አንድ አይነት ዘር ካላቸው መሳል ይከሰታል።")</f>
        <v>ሁለቱም ተጫዋቾች አንድ አይነት ዘር ካላቸው መሳል ይከሰታል።</v>
      </c>
    </row>
    <row r="159" ht="22.5" customHeight="1">
      <c r="A159" s="13">
        <v>158.0</v>
      </c>
      <c r="B159" s="14" t="s">
        <v>3553</v>
      </c>
      <c r="C159" s="14" t="s">
        <v>3554</v>
      </c>
      <c r="D159" s="14" t="s">
        <v>3555</v>
      </c>
      <c r="E159" s="14" t="s">
        <v>3556</v>
      </c>
      <c r="G159" s="8" t="str">
        <f>IFERROR(__xludf.DUMMYFUNCTION(" GOOGLETRANSLATE(A159, ""en"", ""am"")"),"158")</f>
        <v>158</v>
      </c>
      <c r="H159" s="8" t="str">
        <f>IFERROR(__xludf.DUMMYFUNCTION(" GOOGLETRANSLATE(B159, ""en"", ""am"")"),"ማንካላ ትምህርትን እንዴት ያስተዋውቃል?")</f>
        <v>ማንካላ ትምህርትን እንዴት ያስተዋውቃል?</v>
      </c>
      <c r="I159" s="8" t="str">
        <f>IFERROR(__xludf.DUMMYFUNCTION(" GOOGLETRANSLATE(C159, ""en"", ""am"")"),"ሀ. ህጎቹን በማስከበር ለ. ስትራቴጂካዊ ጨዋታ ሐ. እንቅስቃሴዎችን በመገደብ መ. ውሳኔዎችን በማፋጠን")</f>
        <v>ሀ. ህጎቹን በማስከበር ለ. ስትራቴጂካዊ ጨዋታ ሐ. እንቅስቃሴዎችን በመገደብ መ. ውሳኔዎችን በማፋጠን</v>
      </c>
      <c r="J159" s="8" t="str">
        <f>IFERROR(__xludf.DUMMYFUNCTION(" GOOGLETRANSLATE(D159, ""en"", ""am"")"),"ስልታዊ ጨዋታ")</f>
        <v>ስልታዊ ጨዋታ</v>
      </c>
      <c r="K159" s="8" t="str">
        <f>IFERROR(__xludf.DUMMYFUNCTION(" GOOGLETRANSLATE(E159, ""en"", ""am"")"),"ስልታዊ ጨዋታ የእውቀት (ኮግኒቲቭ) እድገትን ያበረታታል።")</f>
        <v>ስልታዊ ጨዋታ የእውቀት (ኮግኒቲቭ) እድገትን ያበረታታል።</v>
      </c>
    </row>
    <row r="160" ht="22.5" customHeight="1">
      <c r="A160" s="13">
        <v>159.0</v>
      </c>
      <c r="B160" s="14" t="s">
        <v>3557</v>
      </c>
      <c r="C160" s="14" t="s">
        <v>3558</v>
      </c>
      <c r="D160" s="14" t="s">
        <v>3017</v>
      </c>
      <c r="E160" s="14" t="s">
        <v>3559</v>
      </c>
      <c r="G160" s="8" t="str">
        <f>IFERROR(__xludf.DUMMYFUNCTION(" GOOGLETRANSLATE(A160, ""en"", ""am"")"),"159")</f>
        <v>159</v>
      </c>
      <c r="H160" s="8" t="str">
        <f>IFERROR(__xludf.DUMMYFUNCTION(" GOOGLETRANSLATE(B160, ""en"", ""am"")"),"ለማንካላ ሰሌዳዎች የትኛው ቁሳቁስ ተስማሚ ነው?")</f>
        <v>ለማንካላ ሰሌዳዎች የትኛው ቁሳቁስ ተስማሚ ነው?</v>
      </c>
      <c r="I160" s="8" t="str">
        <f>IFERROR(__xludf.DUMMYFUNCTION(" GOOGLETRANSLATE(C160, ""en"", ""am"")"),"A. Glass B. የእንጨት ሐ. ፕላስቲክ ዲ. ብረት")</f>
        <v>A. Glass B. የእንጨት ሐ. ፕላስቲክ ዲ. ብረት</v>
      </c>
      <c r="J160" s="8" t="str">
        <f>IFERROR(__xludf.DUMMYFUNCTION(" GOOGLETRANSLATE(D160, ""en"", ""am"")"),"እንጨት")</f>
        <v>እንጨት</v>
      </c>
      <c r="K160" s="8" t="str">
        <f>IFERROR(__xludf.DUMMYFUNCTION(" GOOGLETRANSLATE(E160, ""en"", ""am"")"),"የእንጨት ሰሌዳዎች ባህላዊ እና ዘላቂ ናቸው.")</f>
        <v>የእንጨት ሰሌዳዎች ባህላዊ እና ዘላቂ ናቸው.</v>
      </c>
    </row>
    <row r="161" ht="22.5" customHeight="1">
      <c r="A161" s="13">
        <v>160.0</v>
      </c>
      <c r="B161" s="14" t="s">
        <v>3560</v>
      </c>
      <c r="C161" s="14" t="s">
        <v>3561</v>
      </c>
      <c r="D161" s="14" t="s">
        <v>3524</v>
      </c>
      <c r="E161" s="14" t="s">
        <v>3562</v>
      </c>
      <c r="G161" s="8" t="str">
        <f>IFERROR(__xludf.DUMMYFUNCTION(" GOOGLETRANSLATE(A161, ""en"", ""am"")"),"160")</f>
        <v>160</v>
      </c>
      <c r="H161" s="8" t="str">
        <f>IFERROR(__xludf.DUMMYFUNCTION(" GOOGLETRANSLATE(B161, ""en"", ""am"")"),"ተጨዋቾች በጨዋታው መጀመሪያ ላይ ምን ከማድረግ መቆጠብ አለባቸው?")</f>
        <v>ተጨዋቾች በጨዋታው መጀመሪያ ላይ ምን ከማድረግ መቆጠብ አለባቸው?</v>
      </c>
      <c r="I161" s="8" t="str">
        <f>IFERROR(__xludf.DUMMYFUNCTION(" GOOGLETRANSLATE(C161, ""en"", ""am"")"),"ሀ. አጥብቀህ ያዝ። ለ. የመጋዘን ጥበቃ ሐ. በሚገባ ሚዛን D. በዘፈቀደ መዝራት")</f>
        <v>ሀ. አጥብቀህ ያዝ። ለ. የመጋዘን ጥበቃ ሐ. በሚገባ ሚዛን D. በዘፈቀደ መዝራት</v>
      </c>
      <c r="J161" s="8" t="str">
        <f>IFERROR(__xludf.DUMMYFUNCTION(" GOOGLETRANSLATE(D161, ""en"", ""am"")"),"በዘፈቀደ መዝራት")</f>
        <v>በዘፈቀደ መዝራት</v>
      </c>
      <c r="K161" s="8" t="str">
        <f>IFERROR(__xludf.DUMMYFUNCTION(" GOOGLETRANSLATE(E161, ""en"", ""am"")"),"የዘፈቀደ ዘር ወደ ደካማ ስልቶች ይመራል.")</f>
        <v>የዘፈቀደ ዘር ወደ ደካማ ስልቶች ይመራል.</v>
      </c>
    </row>
    <row r="162" ht="22.5" customHeight="1">
      <c r="A162" s="13">
        <v>161.0</v>
      </c>
      <c r="B162" s="14" t="s">
        <v>3563</v>
      </c>
      <c r="C162" s="14" t="s">
        <v>3564</v>
      </c>
      <c r="D162" s="14" t="s">
        <v>3565</v>
      </c>
      <c r="E162" s="14" t="s">
        <v>3566</v>
      </c>
      <c r="G162" s="8" t="str">
        <f>IFERROR(__xludf.DUMMYFUNCTION(" GOOGLETRANSLATE(A162, ""en"", ""am"")"),"161")</f>
        <v>161</v>
      </c>
      <c r="H162" s="8" t="str">
        <f>IFERROR(__xludf.DUMMYFUNCTION(" GOOGLETRANSLATE(B162, ""en"", ""am"")"),"አንድ ተጫዋች ከደካማ ብቃት እንዴት ማገገም ይችላል?")</f>
        <v>አንድ ተጫዋች ከደካማ ብቃት እንዴት ማገገም ይችላል?</v>
      </c>
      <c r="I162" s="8" t="str">
        <f>IFERROR(__xludf.DUMMYFUNCTION(" GOOGLETRANSLATE(C162, ""en"", ""am"")"),"ሀ.የመከላከያ ጨዋታ ለ.በፍጥነት መዝራት ሐ. ስልታዊ ሁን። መ. መዞሪያዎችን ይዝለሉ.")</f>
        <v>ሀ.የመከላከያ ጨዋታ ለ.በፍጥነት መዝራት ሐ. ስልታዊ ሁን። መ. መዞሪያዎችን ይዝለሉ.</v>
      </c>
      <c r="J162" s="8" t="str">
        <f>IFERROR(__xludf.DUMMYFUNCTION(" GOOGLETRANSLATE(D162, ""en"", ""am"")"),"ስልታዊ ሁን።")</f>
        <v>ስልታዊ ሁን።</v>
      </c>
      <c r="K162" s="8" t="str">
        <f>IFERROR(__xludf.DUMMYFUNCTION(" GOOGLETRANSLATE(E162, ""en"", ""am"")"),"ስልታዊ ጥይቶች የጠፉ ነጥቦችን መልሰው ማግኘት ይችላሉ።")</f>
        <v>ስልታዊ ጥይቶች የጠፉ ነጥቦችን መልሰው ማግኘት ይችላሉ።</v>
      </c>
    </row>
    <row r="163" ht="22.5" customHeight="1">
      <c r="A163" s="13">
        <v>162.0</v>
      </c>
      <c r="B163" s="14" t="s">
        <v>3567</v>
      </c>
      <c r="C163" s="14" t="s">
        <v>3568</v>
      </c>
      <c r="D163" s="14" t="s">
        <v>3569</v>
      </c>
      <c r="E163" s="14" t="s">
        <v>3570</v>
      </c>
      <c r="G163" s="8" t="str">
        <f>IFERROR(__xludf.DUMMYFUNCTION(" GOOGLETRANSLATE(A163, ""en"", ""am"")"),"162")</f>
        <v>162</v>
      </c>
      <c r="H163" s="8" t="str">
        <f>IFERROR(__xludf.DUMMYFUNCTION(" GOOGLETRANSLATE(B163, ""en"", ""am"")"),"ከማንካላ ግጥሚያ በፊት ጥሩ ልምምድ ምንድነው?")</f>
        <v>ከማንካላ ግጥሚያ በፊት ጥሩ ልምምድ ምንድነው?</v>
      </c>
      <c r="I163" s="8" t="str">
        <f>IFERROR(__xludf.DUMMYFUNCTION(" GOOGLETRANSLATE(C163, ""en"", ""am"")"),"ሀ. ዘሮችን መቁጠር ለ. ያለፉትን ተግባራት መገምገም ሐ. የሰዓት ቆጣሪ ማዘጋጀት መ. ያልተመጣጠነ ጉድጓዶች መሙላት")</f>
        <v>ሀ. ዘሮችን መቁጠር ለ. ያለፉትን ተግባራት መገምገም ሐ. የሰዓት ቆጣሪ ማዘጋጀት መ. ያልተመጣጠነ ጉድጓዶች መሙላት</v>
      </c>
      <c r="J163" s="8" t="str">
        <f>IFERROR(__xludf.DUMMYFUNCTION(" GOOGLETRANSLATE(D163, ""en"", ""am"")"),"ያለፉትን ተግባራት መገምገም")</f>
        <v>ያለፉትን ተግባራት መገምገም</v>
      </c>
      <c r="K163" s="8" t="str">
        <f>IFERROR(__xludf.DUMMYFUNCTION(" GOOGLETRANSLATE(E163, ""en"", ""am"")"),"ያለፉትን ተግባራት መገምገም ስልቶችን ለማጣራት ይረዳል።")</f>
        <v>ያለፉትን ተግባራት መገምገም ስልቶችን ለማጣራት ይረዳል።</v>
      </c>
    </row>
    <row r="164" ht="22.5" customHeight="1">
      <c r="A164" s="13">
        <v>163.0</v>
      </c>
      <c r="B164" s="14" t="s">
        <v>3571</v>
      </c>
      <c r="C164" s="14" t="s">
        <v>3572</v>
      </c>
      <c r="D164" s="14" t="s">
        <v>3573</v>
      </c>
      <c r="E164" s="14" t="s">
        <v>3574</v>
      </c>
      <c r="G164" s="8" t="str">
        <f>IFERROR(__xludf.DUMMYFUNCTION(" GOOGLETRANSLATE(A164, ""en"", ""am"")"),"163")</f>
        <v>163</v>
      </c>
      <c r="H164" s="8" t="str">
        <f>IFERROR(__xludf.DUMMYFUNCTION(" GOOGLETRANSLATE(B164, ""en"", ""am"")"),"በተቃዋሚው ጉድጓድ ውስጥ የመጨረሻውን ዘር ሲተክሉ ምን ይሆናል?")</f>
        <v>በተቃዋሚው ጉድጓድ ውስጥ የመጨረሻውን ዘር ሲተክሉ ምን ይሆናል?</v>
      </c>
      <c r="I164" s="8" t="str">
        <f>IFERROR(__xludf.DUMMYFUNCTION(" GOOGLETRANSLATE(C164, ""en"", ""am"")"),"ሀ. ተቃራኒ ዝላይ ለ. ምንም ውጤት የለም። ሐ. የጉርሻ ነጥቦች D. ተቃዋሚዎች ዘሮችን ያገኛሉ")</f>
        <v>ሀ. ተቃራኒ ዝላይ ለ. ምንም ውጤት የለም። ሐ. የጉርሻ ነጥቦች D. ተቃዋሚዎች ዘሮችን ያገኛሉ</v>
      </c>
      <c r="J164" s="8" t="str">
        <f>IFERROR(__xludf.DUMMYFUNCTION(" GOOGLETRANSLATE(D164, ""en"", ""am"")"),"ምንም ውጤት የለም.")</f>
        <v>ምንም ውጤት የለም.</v>
      </c>
      <c r="K164" s="8" t="str">
        <f>IFERROR(__xludf.DUMMYFUNCTION(" GOOGLETRANSLATE(E164, ""en"", ""am"")"),"በተቃዋሚው ጉድጓድ ውስጥ መዝራት ምንም ውጤት የለውም.")</f>
        <v>በተቃዋሚው ጉድጓድ ውስጥ መዝራት ምንም ውጤት የለውም.</v>
      </c>
    </row>
    <row r="165" ht="22.5" customHeight="1">
      <c r="A165" s="13">
        <v>164.0</v>
      </c>
      <c r="B165" s="14" t="s">
        <v>3575</v>
      </c>
      <c r="C165" s="14" t="s">
        <v>3576</v>
      </c>
      <c r="D165" s="14" t="s">
        <v>3577</v>
      </c>
      <c r="E165" s="14" t="s">
        <v>3578</v>
      </c>
      <c r="G165" s="8" t="str">
        <f>IFERROR(__xludf.DUMMYFUNCTION(" GOOGLETRANSLATE(A165, ""en"", ""am"")"),"164")</f>
        <v>164</v>
      </c>
      <c r="H165" s="8" t="str">
        <f>IFERROR(__xludf.DUMMYFUNCTION(" GOOGLETRANSLATE(B165, ""en"", ""am"")"),"የውኃ ጉድጓድ የሚይዘው ከፍተኛው የዘር ቁጥር ስንት ነው?")</f>
        <v>የውኃ ጉድጓድ የሚይዘው ከፍተኛው የዘር ቁጥር ስንት ነው?</v>
      </c>
      <c r="I165" s="8" t="str">
        <f>IFERROR(__xludf.DUMMYFUNCTION(" GOOGLETRANSLATE(C165, ""en"", ""am"")"),"A. Unlimited B. በደንቦች የተስተካከለ ሐ. በቦርድ መጠን ተወስኗል መ. በመጠምዘዝ የተስተካከለ")</f>
        <v>A. Unlimited B. በደንቦች የተስተካከለ ሐ. በቦርድ መጠን ተወስኗል መ. በመጠምዘዝ የተስተካከለ</v>
      </c>
      <c r="J165" s="8" t="str">
        <f>IFERROR(__xludf.DUMMYFUNCTION(" GOOGLETRANSLATE(D165, ""en"", ""am"")"),"በቦርዱ መጠን ተወስኗል")</f>
        <v>በቦርዱ መጠን ተወስኗል</v>
      </c>
      <c r="K165" s="8" t="str">
        <f>IFERROR(__xludf.DUMMYFUNCTION(" GOOGLETRANSLATE(E165, ""en"", ""am"")"),"የጉድጓዱ አቅም በቦርዱ መጠን ይወሰናል.")</f>
        <v>የጉድጓዱ አቅም በቦርዱ መጠን ይወሰናል.</v>
      </c>
    </row>
    <row r="166" ht="22.5" customHeight="1">
      <c r="A166" s="13">
        <v>165.0</v>
      </c>
      <c r="B166" s="14" t="s">
        <v>3579</v>
      </c>
      <c r="C166" s="14" t="s">
        <v>3580</v>
      </c>
      <c r="D166" s="14" t="s">
        <v>3299</v>
      </c>
      <c r="E166" s="14" t="s">
        <v>3581</v>
      </c>
      <c r="G166" s="8" t="str">
        <f>IFERROR(__xludf.DUMMYFUNCTION(" GOOGLETRANSLATE(A166, ""en"", ""am"")"),"165")</f>
        <v>165</v>
      </c>
      <c r="H166" s="8" t="str">
        <f>IFERROR(__xludf.DUMMYFUNCTION(" GOOGLETRANSLATE(B166, ""en"", ""am"")"),"የትኛው ጉድጓድ ዝቅተኛ ቅድሚያ የሚሰጠው?")</f>
        <v>የትኛው ጉድጓድ ዝቅተኛ ቅድሚያ የሚሰጠው?</v>
      </c>
      <c r="I166" s="8" t="str">
        <f>IFERROR(__xludf.DUMMYFUNCTION(" GOOGLETRANSLATE(C166, ""en"", ""am"")"),"ሀ. ማዕከላዊ ጉድጓድ ለ. የውጭ ጉድጓድ ሐ. የማከማቻ ጉድጓድ D. የኋላ ቀዳዳ")</f>
        <v>ሀ. ማዕከላዊ ጉድጓድ ለ. የውጭ ጉድጓድ ሐ. የማከማቻ ጉድጓድ D. የኋላ ቀዳዳ</v>
      </c>
      <c r="J166" s="8" t="str">
        <f>IFERROR(__xludf.DUMMYFUNCTION(" GOOGLETRANSLATE(D166, ""en"", ""am"")"),"የኋላ ቀዳዳ")</f>
        <v>የኋላ ቀዳዳ</v>
      </c>
      <c r="K166" s="8" t="str">
        <f>IFERROR(__xludf.DUMMYFUNCTION(" GOOGLETRANSLATE(E166, ""en"", ""am"")"),"በጨዋታው መጀመሪያ ላይ የኋላ ቀዳዳዎች ብዙ ቅድሚያ አይሰጣቸውም።")</f>
        <v>በጨዋታው መጀመሪያ ላይ የኋላ ቀዳዳዎች ብዙ ቅድሚያ አይሰጣቸውም።</v>
      </c>
    </row>
    <row r="167" ht="22.5" customHeight="1">
      <c r="A167" s="13">
        <v>166.0</v>
      </c>
      <c r="B167" s="14" t="s">
        <v>3582</v>
      </c>
      <c r="C167" s="14" t="s">
        <v>3583</v>
      </c>
      <c r="D167" s="14" t="s">
        <v>3584</v>
      </c>
      <c r="E167" s="14" t="s">
        <v>3585</v>
      </c>
      <c r="G167" s="8" t="str">
        <f>IFERROR(__xludf.DUMMYFUNCTION(" GOOGLETRANSLATE(A167, ""en"", ""am"")"),"166")</f>
        <v>166</v>
      </c>
      <c r="H167" s="8" t="str">
        <f>IFERROR(__xludf.DUMMYFUNCTION(" GOOGLETRANSLATE(B167, ""en"", ""am"")"),"በጣም ጥሩው የማንካላ ስትራቴጂ ምንድነው?")</f>
        <v>በጣም ጥሩው የማንካላ ስትራቴጂ ምንድነው?</v>
      </c>
      <c r="I167" s="8" t="str">
        <f>IFERROR(__xludf.DUMMYFUNCTION(" GOOGLETRANSLATE(C167, ""en"", ""am"")"),"ሀ. ፍጥነት ይንቀሳቀሳል. ለ. ቀዳዳ ማመጣጠን ሐ. ተከላካይ መዝራት D. ለመዝራት ጉድጓድ መያዝ")</f>
        <v>ሀ. ፍጥነት ይንቀሳቀሳል. ለ. ቀዳዳ ማመጣጠን ሐ. ተከላካይ መዝራት D. ለመዝራት ጉድጓድ መያዝ</v>
      </c>
      <c r="J167" s="8" t="str">
        <f>IFERROR(__xludf.DUMMYFUNCTION(" GOOGLETRANSLATE(D167, ""en"", ""am"")"),"ለመዝራት ጉድጓድ በመያዝ")</f>
        <v>ለመዝራት ጉድጓድ በመያዝ</v>
      </c>
      <c r="K167" s="8" t="str">
        <f>IFERROR(__xludf.DUMMYFUNCTION(" GOOGLETRANSLATE(E167, ""en"", ""am"")"),"የተራቀቁ ስልቶች የተያዙ ጉድጓዶችን በመዝራት ላይ ያተኩራሉ.")</f>
        <v>የተራቀቁ ስልቶች የተያዙ ጉድጓዶችን በመዝራት ላይ ያተኩራሉ.</v>
      </c>
    </row>
    <row r="168" ht="22.5" customHeight="1">
      <c r="A168" s="13">
        <v>167.0</v>
      </c>
      <c r="B168" s="14" t="s">
        <v>3586</v>
      </c>
      <c r="C168" s="14" t="s">
        <v>3587</v>
      </c>
      <c r="D168" s="14" t="s">
        <v>3588</v>
      </c>
      <c r="E168" s="14" t="s">
        <v>3589</v>
      </c>
      <c r="G168" s="8" t="str">
        <f>IFERROR(__xludf.DUMMYFUNCTION(" GOOGLETRANSLATE(A168, ""en"", ""am"")"),"167")</f>
        <v>167</v>
      </c>
      <c r="H168" s="8" t="str">
        <f>IFERROR(__xludf.DUMMYFUNCTION(" GOOGLETRANSLATE(B168, ""en"", ""am"")"),"ጉድጓድ ሲቆፈር ምን ይባላል?")</f>
        <v>ጉድጓድ ሲቆፈር ምን ይባላል?</v>
      </c>
      <c r="I168" s="8" t="str">
        <f>IFERROR(__xludf.DUMMYFUNCTION(" GOOGLETRANSLATE(C168, ""en"", ""am"")"),"A. የሞተ ጉድጓድ ለ. የሞተ ጉድጓድ ሐ. የታገደ ጉድጓድ D. የተደበቀ ጉድጓድ")</f>
        <v>A. የሞተ ጉድጓድ ለ. የሞተ ጉድጓድ ሐ. የታገደ ጉድጓድ D. የተደበቀ ጉድጓድ</v>
      </c>
      <c r="J168" s="8" t="str">
        <f>IFERROR(__xludf.DUMMYFUNCTION(" GOOGLETRANSLATE(D168, ""en"", ""am"")"),"የሞተ ጉድጓድ")</f>
        <v>የሞተ ጉድጓድ</v>
      </c>
      <c r="K168" s="8" t="str">
        <f>IFERROR(__xludf.DUMMYFUNCTION(" GOOGLETRANSLATE(E168, ""en"", ""am"")"),"ባዶ ቀዳዳዎች በጨዋታ ጊዜ እንቅስቃሴ-አልባ እንደሆኑ ይቆጠራሉ።")</f>
        <v>ባዶ ቀዳዳዎች በጨዋታ ጊዜ እንቅስቃሴ-አልባ እንደሆኑ ይቆጠራሉ።</v>
      </c>
    </row>
    <row r="169" ht="22.5" customHeight="1">
      <c r="A169" s="7"/>
      <c r="B169" s="7"/>
      <c r="D169" s="7"/>
      <c r="E169" s="7"/>
    </row>
    <row r="170" ht="22.5" customHeight="1">
      <c r="A170" s="7"/>
      <c r="B170" s="7"/>
      <c r="D170" s="7"/>
      <c r="E170" s="7"/>
    </row>
    <row r="171" ht="22.5" customHeight="1">
      <c r="A171" s="7"/>
      <c r="B171" s="7"/>
      <c r="D171" s="7"/>
      <c r="E171" s="7"/>
    </row>
    <row r="172" ht="22.5" customHeight="1">
      <c r="A172" s="7"/>
      <c r="B172" s="7"/>
      <c r="D172" s="7"/>
      <c r="E172" s="7"/>
    </row>
    <row r="173" ht="22.5" customHeight="1">
      <c r="A173" s="7"/>
      <c r="B173" s="7"/>
      <c r="D173" s="7"/>
      <c r="E173" s="7"/>
    </row>
    <row r="174" ht="22.5" customHeight="1">
      <c r="A174" s="7"/>
      <c r="B174" s="7"/>
      <c r="D174" s="7"/>
      <c r="E174" s="7"/>
    </row>
    <row r="175" ht="22.5" customHeight="1">
      <c r="A175" s="7"/>
      <c r="B175" s="7"/>
      <c r="D175" s="7"/>
      <c r="E175" s="7"/>
    </row>
    <row r="176" ht="22.5" customHeight="1">
      <c r="A176" s="7"/>
      <c r="B176" s="7"/>
      <c r="D176" s="7"/>
      <c r="E176" s="7"/>
    </row>
    <row r="177" ht="22.5" customHeight="1">
      <c r="A177" s="7"/>
      <c r="B177" s="7"/>
      <c r="D177" s="7"/>
      <c r="E177" s="7"/>
    </row>
    <row r="178" ht="22.5" customHeight="1">
      <c r="A178" s="7"/>
      <c r="B178" s="7"/>
      <c r="D178" s="7"/>
      <c r="E178" s="7"/>
    </row>
    <row r="179" ht="22.5" customHeight="1">
      <c r="A179" s="7"/>
      <c r="B179" s="7"/>
      <c r="D179" s="7"/>
      <c r="E179" s="7"/>
    </row>
    <row r="180" ht="22.5" customHeight="1">
      <c r="A180" s="7"/>
      <c r="B180" s="7"/>
      <c r="D180" s="7"/>
      <c r="E180" s="7"/>
    </row>
    <row r="181" ht="22.5" customHeight="1">
      <c r="A181" s="7"/>
      <c r="B181" s="7"/>
      <c r="D181" s="7"/>
      <c r="E181" s="7"/>
    </row>
    <row r="182" ht="22.5" customHeight="1">
      <c r="A182" s="7"/>
      <c r="B182" s="7"/>
      <c r="D182" s="7"/>
      <c r="E182" s="7"/>
    </row>
    <row r="183" ht="22.5" customHeight="1">
      <c r="A183" s="7"/>
      <c r="B183" s="7"/>
      <c r="D183" s="7"/>
      <c r="E183" s="7"/>
    </row>
    <row r="184" ht="22.5" customHeight="1">
      <c r="A184" s="7"/>
      <c r="B184" s="7"/>
      <c r="D184" s="7"/>
      <c r="E184" s="7"/>
    </row>
    <row r="185" ht="22.5" customHeight="1">
      <c r="A185" s="7"/>
      <c r="B185" s="7"/>
      <c r="C185" s="7"/>
      <c r="D185" s="7"/>
      <c r="E185" s="7"/>
    </row>
    <row r="186" ht="22.5" customHeight="1">
      <c r="A186" s="7"/>
      <c r="B186" s="7"/>
      <c r="C186" s="7"/>
      <c r="D186" s="7"/>
      <c r="E186" s="7"/>
    </row>
    <row r="187" ht="22.5" customHeight="1">
      <c r="A187" s="7"/>
      <c r="B187" s="7"/>
      <c r="C187" s="7"/>
      <c r="D187" s="7"/>
      <c r="E187" s="7"/>
    </row>
    <row r="188" ht="22.5" customHeight="1">
      <c r="A188" s="7"/>
      <c r="B188" s="7"/>
      <c r="C188" s="7"/>
      <c r="D188" s="7"/>
      <c r="E188" s="7"/>
    </row>
    <row r="189" ht="22.5" customHeight="1">
      <c r="A189" s="7"/>
      <c r="B189" s="7"/>
      <c r="C189" s="7"/>
      <c r="D189" s="7"/>
      <c r="E189" s="7"/>
    </row>
    <row r="190" ht="22.5" customHeight="1">
      <c r="A190" s="7"/>
      <c r="B190" s="7"/>
      <c r="C190" s="7"/>
      <c r="D190" s="7"/>
      <c r="E190" s="7"/>
    </row>
    <row r="191" ht="22.5" customHeight="1">
      <c r="A191" s="7"/>
      <c r="B191" s="7"/>
      <c r="C191" s="7"/>
      <c r="D191" s="7"/>
      <c r="E191" s="7"/>
    </row>
    <row r="192" ht="22.5" customHeight="1">
      <c r="A192" s="7"/>
      <c r="B192" s="7"/>
      <c r="C192" s="7"/>
      <c r="D192" s="7"/>
      <c r="E192" s="7"/>
    </row>
    <row r="193" ht="22.5" customHeight="1">
      <c r="A193" s="7"/>
      <c r="B193" s="7"/>
      <c r="C193" s="7"/>
      <c r="D193" s="7"/>
      <c r="E193" s="7"/>
    </row>
    <row r="194" ht="22.5" customHeight="1">
      <c r="A194" s="7"/>
      <c r="B194" s="7"/>
      <c r="C194" s="7"/>
      <c r="D194" s="7"/>
      <c r="E194" s="7"/>
    </row>
    <row r="195" ht="22.5" customHeight="1">
      <c r="A195" s="7"/>
      <c r="B195" s="7"/>
      <c r="C195" s="7"/>
      <c r="D195" s="7"/>
      <c r="E195" s="7"/>
    </row>
    <row r="196" ht="22.5" customHeight="1">
      <c r="A196" s="7"/>
      <c r="B196" s="7"/>
      <c r="C196" s="7"/>
      <c r="D196" s="7"/>
      <c r="E196" s="7"/>
    </row>
    <row r="197" ht="22.5" customHeight="1">
      <c r="A197" s="7"/>
      <c r="B197" s="7"/>
      <c r="C197" s="7"/>
      <c r="D197" s="7"/>
      <c r="E197" s="7"/>
    </row>
    <row r="198" ht="22.5" customHeight="1">
      <c r="A198" s="7"/>
      <c r="B198" s="7"/>
      <c r="C198" s="7"/>
      <c r="D198" s="7"/>
      <c r="E198" s="7"/>
    </row>
    <row r="199" ht="22.5" customHeight="1">
      <c r="A199" s="7"/>
      <c r="B199" s="7"/>
      <c r="C199" s="7"/>
      <c r="D199" s="7"/>
      <c r="E199" s="7"/>
    </row>
    <row r="200" ht="22.5" customHeight="1">
      <c r="A200" s="7"/>
      <c r="B200" s="7"/>
      <c r="C200" s="7"/>
      <c r="D200" s="7"/>
      <c r="E200" s="7"/>
    </row>
    <row r="201" ht="22.5" customHeight="1">
      <c r="A201" s="7"/>
      <c r="B201" s="7"/>
      <c r="C201" s="7"/>
      <c r="D201" s="7"/>
      <c r="E201" s="7"/>
    </row>
    <row r="202" ht="22.5" customHeight="1">
      <c r="A202" s="7"/>
      <c r="B202" s="7"/>
      <c r="C202" s="7"/>
      <c r="D202" s="7"/>
      <c r="E202" s="7"/>
    </row>
    <row r="203" ht="22.5" customHeight="1">
      <c r="A203" s="7"/>
      <c r="B203" s="7"/>
      <c r="C203" s="7"/>
      <c r="D203" s="7"/>
      <c r="E203" s="7"/>
    </row>
    <row r="204" ht="22.5" customHeight="1">
      <c r="A204" s="7"/>
      <c r="B204" s="7"/>
      <c r="C204" s="7"/>
      <c r="D204" s="7"/>
      <c r="E204" s="7"/>
    </row>
    <row r="205" ht="22.5" customHeight="1">
      <c r="A205" s="7"/>
      <c r="B205" s="7"/>
      <c r="C205" s="7"/>
      <c r="D205" s="7"/>
      <c r="E205" s="7"/>
    </row>
    <row r="206" ht="22.5" customHeight="1">
      <c r="A206" s="7"/>
      <c r="B206" s="7"/>
      <c r="C206" s="7"/>
      <c r="D206" s="7"/>
      <c r="E206" s="7"/>
    </row>
    <row r="207" ht="22.5" customHeight="1">
      <c r="A207" s="7"/>
      <c r="B207" s="7"/>
      <c r="C207" s="7"/>
      <c r="D207" s="7"/>
      <c r="E207" s="7"/>
    </row>
    <row r="208" ht="22.5" customHeight="1">
      <c r="A208" s="7"/>
      <c r="B208" s="7"/>
      <c r="C208" s="7"/>
      <c r="D208" s="7"/>
      <c r="E208" s="7"/>
    </row>
    <row r="209" ht="22.5" customHeight="1">
      <c r="A209" s="7"/>
      <c r="B209" s="7"/>
      <c r="C209" s="7"/>
      <c r="D209" s="7"/>
      <c r="E209" s="7"/>
    </row>
    <row r="210" ht="22.5" customHeight="1">
      <c r="A210" s="7"/>
      <c r="B210" s="7"/>
      <c r="C210" s="7"/>
      <c r="D210" s="7"/>
      <c r="E210" s="7"/>
    </row>
    <row r="211" ht="22.5" customHeight="1">
      <c r="A211" s="7"/>
      <c r="B211" s="7"/>
      <c r="C211" s="7"/>
      <c r="D211" s="7"/>
      <c r="E211" s="7"/>
    </row>
    <row r="212" ht="22.5" customHeight="1">
      <c r="A212" s="7"/>
      <c r="B212" s="7"/>
      <c r="C212" s="7"/>
      <c r="D212" s="7"/>
      <c r="E212" s="7"/>
    </row>
    <row r="213" ht="22.5" customHeight="1">
      <c r="A213" s="7"/>
      <c r="B213" s="7"/>
      <c r="C213" s="7"/>
      <c r="D213" s="7"/>
      <c r="E213" s="7"/>
    </row>
    <row r="214" ht="22.5" customHeight="1">
      <c r="A214" s="7"/>
      <c r="B214" s="7"/>
      <c r="C214" s="7"/>
      <c r="D214" s="7"/>
      <c r="E214" s="7"/>
    </row>
    <row r="215" ht="22.5" customHeight="1">
      <c r="A215" s="7"/>
      <c r="B215" s="7"/>
      <c r="C215" s="7"/>
      <c r="D215" s="7"/>
      <c r="E215" s="7"/>
    </row>
    <row r="216" ht="22.5" customHeight="1">
      <c r="A216" s="7"/>
      <c r="B216" s="7"/>
      <c r="C216" s="7"/>
      <c r="D216" s="7"/>
      <c r="E216" s="7"/>
    </row>
    <row r="217" ht="22.5" customHeight="1">
      <c r="A217" s="7"/>
      <c r="B217" s="7"/>
      <c r="C217" s="7"/>
      <c r="D217" s="7"/>
      <c r="E217" s="7"/>
    </row>
    <row r="218" ht="22.5" customHeight="1">
      <c r="A218" s="7"/>
      <c r="B218" s="7"/>
      <c r="C218" s="7"/>
      <c r="D218" s="7"/>
      <c r="E218" s="7"/>
    </row>
    <row r="219" ht="22.5" customHeight="1">
      <c r="A219" s="7"/>
      <c r="B219" s="7"/>
      <c r="C219" s="7"/>
      <c r="D219" s="7"/>
      <c r="E219" s="7"/>
    </row>
    <row r="220" ht="22.5" customHeight="1">
      <c r="A220" s="7"/>
      <c r="B220" s="7"/>
      <c r="C220" s="7"/>
      <c r="D220" s="7"/>
      <c r="E220" s="7"/>
    </row>
    <row r="221" ht="22.5" customHeight="1">
      <c r="A221" s="7"/>
      <c r="B221" s="7"/>
      <c r="C221" s="7"/>
      <c r="D221" s="7"/>
      <c r="E221" s="7"/>
    </row>
    <row r="222" ht="22.5" customHeight="1">
      <c r="A222" s="7"/>
      <c r="B222" s="7"/>
      <c r="C222" s="7"/>
      <c r="D222" s="7"/>
      <c r="E222" s="7"/>
    </row>
    <row r="223" ht="22.5" customHeight="1">
      <c r="A223" s="7"/>
      <c r="B223" s="7"/>
      <c r="C223" s="7"/>
      <c r="D223" s="7"/>
      <c r="E223" s="7"/>
    </row>
    <row r="224" ht="22.5" customHeight="1">
      <c r="A224" s="7"/>
      <c r="B224" s="7"/>
      <c r="C224" s="7"/>
      <c r="D224" s="7"/>
      <c r="E224" s="7"/>
    </row>
    <row r="225" ht="22.5" customHeight="1">
      <c r="A225" s="7"/>
      <c r="B225" s="7"/>
      <c r="C225" s="7"/>
      <c r="D225" s="7"/>
      <c r="E225" s="7"/>
    </row>
    <row r="226" ht="22.5" customHeight="1">
      <c r="A226" s="7"/>
      <c r="B226" s="7"/>
      <c r="C226" s="7"/>
      <c r="D226" s="7"/>
      <c r="E226" s="7"/>
    </row>
    <row r="227" ht="22.5" customHeight="1">
      <c r="A227" s="7"/>
      <c r="B227" s="7"/>
      <c r="C227" s="7"/>
      <c r="D227" s="7"/>
      <c r="E227" s="7"/>
    </row>
    <row r="228" ht="22.5" customHeight="1">
      <c r="A228" s="7"/>
      <c r="B228" s="7"/>
      <c r="C228" s="7"/>
      <c r="D228" s="7"/>
      <c r="E228" s="7"/>
    </row>
    <row r="229" ht="22.5" customHeight="1">
      <c r="A229" s="7"/>
      <c r="B229" s="7"/>
      <c r="C229" s="7"/>
      <c r="D229" s="7"/>
      <c r="E229" s="7"/>
    </row>
    <row r="230" ht="22.5" customHeight="1">
      <c r="A230" s="7"/>
      <c r="B230" s="7"/>
      <c r="C230" s="7"/>
      <c r="D230" s="7"/>
      <c r="E230" s="7"/>
    </row>
    <row r="231" ht="22.5" customHeight="1">
      <c r="A231" s="7"/>
      <c r="B231" s="7"/>
      <c r="C231" s="7"/>
      <c r="D231" s="7"/>
      <c r="E231" s="7"/>
    </row>
    <row r="232" ht="22.5" customHeight="1">
      <c r="A232" s="7"/>
      <c r="B232" s="7"/>
      <c r="C232" s="7"/>
      <c r="D232" s="7"/>
      <c r="E232" s="7"/>
    </row>
    <row r="233" ht="22.5" customHeight="1">
      <c r="A233" s="7"/>
      <c r="B233" s="7"/>
      <c r="C233" s="7"/>
      <c r="D233" s="7"/>
      <c r="E233" s="7"/>
    </row>
    <row r="234" ht="22.5" customHeight="1">
      <c r="A234" s="7"/>
      <c r="B234" s="7"/>
      <c r="C234" s="7"/>
      <c r="D234" s="7"/>
      <c r="E234" s="7"/>
    </row>
    <row r="235" ht="22.5" customHeight="1">
      <c r="A235" s="7"/>
      <c r="B235" s="7"/>
      <c r="C235" s="7"/>
      <c r="D235" s="7"/>
      <c r="E235" s="7"/>
    </row>
    <row r="236" ht="22.5" customHeight="1">
      <c r="A236" s="7"/>
      <c r="B236" s="7"/>
      <c r="C236" s="7"/>
      <c r="D236" s="7"/>
      <c r="E236" s="7"/>
    </row>
    <row r="237" ht="22.5" customHeight="1">
      <c r="A237" s="7"/>
      <c r="B237" s="7"/>
      <c r="C237" s="7"/>
      <c r="D237" s="7"/>
      <c r="E237" s="7"/>
    </row>
    <row r="238" ht="22.5" customHeight="1">
      <c r="A238" s="7"/>
      <c r="B238" s="7"/>
      <c r="C238" s="7"/>
      <c r="D238" s="7"/>
      <c r="E238" s="7"/>
    </row>
    <row r="239" ht="22.5" customHeight="1">
      <c r="A239" s="7"/>
      <c r="B239" s="7"/>
      <c r="C239" s="7"/>
      <c r="D239" s="7"/>
      <c r="E239" s="7"/>
    </row>
    <row r="240" ht="22.5" customHeight="1">
      <c r="A240" s="7"/>
      <c r="B240" s="7"/>
      <c r="C240" s="7"/>
      <c r="D240" s="7"/>
      <c r="E240" s="7"/>
    </row>
    <row r="241" ht="22.5" customHeight="1">
      <c r="A241" s="7"/>
      <c r="B241" s="7"/>
      <c r="C241" s="7"/>
      <c r="D241" s="7"/>
      <c r="E241" s="7"/>
    </row>
    <row r="242" ht="22.5" customHeight="1">
      <c r="A242" s="7"/>
      <c r="B242" s="7"/>
      <c r="C242" s="7"/>
      <c r="D242" s="7"/>
      <c r="E242" s="7"/>
    </row>
    <row r="243" ht="22.5" customHeight="1">
      <c r="A243" s="7"/>
      <c r="B243" s="7"/>
      <c r="C243" s="7"/>
      <c r="D243" s="7"/>
      <c r="E243" s="7"/>
    </row>
    <row r="244" ht="22.5" customHeight="1">
      <c r="A244" s="7"/>
      <c r="B244" s="7"/>
      <c r="C244" s="7"/>
      <c r="D244" s="7"/>
      <c r="E244" s="7"/>
    </row>
    <row r="245" ht="22.5" customHeight="1">
      <c r="A245" s="7"/>
      <c r="B245" s="7"/>
      <c r="C245" s="7"/>
      <c r="D245" s="7"/>
      <c r="E245" s="7"/>
    </row>
    <row r="246" ht="22.5" customHeight="1">
      <c r="A246" s="7"/>
      <c r="B246" s="7"/>
      <c r="C246" s="7"/>
      <c r="D246" s="7"/>
      <c r="E246" s="7"/>
    </row>
    <row r="247" ht="22.5" customHeight="1">
      <c r="A247" s="7"/>
      <c r="B247" s="7"/>
      <c r="C247" s="7"/>
      <c r="D247" s="7"/>
      <c r="E247" s="7"/>
    </row>
    <row r="248" ht="22.5" customHeight="1">
      <c r="A248" s="7"/>
      <c r="B248" s="7"/>
      <c r="C248" s="7"/>
      <c r="D248" s="7"/>
      <c r="E248" s="7"/>
    </row>
    <row r="249" ht="22.5" customHeight="1">
      <c r="A249" s="7"/>
      <c r="B249" s="7"/>
      <c r="C249" s="7"/>
      <c r="D249" s="7"/>
      <c r="E249" s="7"/>
    </row>
    <row r="250" ht="22.5" customHeight="1">
      <c r="A250" s="7"/>
      <c r="B250" s="7"/>
      <c r="C250" s="7"/>
      <c r="D250" s="7"/>
      <c r="E250" s="7"/>
    </row>
    <row r="251" ht="22.5" customHeight="1">
      <c r="A251" s="7"/>
      <c r="B251" s="7"/>
      <c r="C251" s="7"/>
      <c r="D251" s="7"/>
      <c r="E251" s="7"/>
    </row>
    <row r="252" ht="22.5" customHeight="1">
      <c r="A252" s="7"/>
      <c r="B252" s="7"/>
      <c r="C252" s="7"/>
      <c r="D252" s="7"/>
      <c r="E252" s="7"/>
    </row>
    <row r="253" ht="22.5" customHeight="1">
      <c r="A253" s="7"/>
      <c r="B253" s="7"/>
      <c r="C253" s="7"/>
      <c r="D253" s="7"/>
      <c r="E253" s="7"/>
    </row>
    <row r="254" ht="22.5" customHeight="1">
      <c r="A254" s="7"/>
      <c r="B254" s="7"/>
      <c r="C254" s="7"/>
      <c r="D254" s="7"/>
      <c r="E254" s="7"/>
    </row>
    <row r="255" ht="22.5" customHeight="1">
      <c r="A255" s="7"/>
      <c r="B255" s="7"/>
      <c r="C255" s="7"/>
      <c r="D255" s="7"/>
      <c r="E255" s="7"/>
    </row>
    <row r="256" ht="22.5" customHeight="1">
      <c r="A256" s="7"/>
      <c r="B256" s="7"/>
      <c r="C256" s="7"/>
      <c r="D256" s="7"/>
      <c r="E256" s="7"/>
    </row>
    <row r="257" ht="22.5" customHeight="1">
      <c r="A257" s="7"/>
      <c r="B257" s="7"/>
      <c r="C257" s="7"/>
      <c r="D257" s="7"/>
      <c r="E257" s="7"/>
    </row>
    <row r="258" ht="22.5" customHeight="1">
      <c r="A258" s="7"/>
      <c r="B258" s="7"/>
      <c r="C258" s="7"/>
      <c r="D258" s="7"/>
      <c r="E258" s="7"/>
    </row>
    <row r="259" ht="22.5" customHeight="1">
      <c r="A259" s="7"/>
      <c r="B259" s="7"/>
      <c r="C259" s="7"/>
      <c r="D259" s="7"/>
      <c r="E259" s="7"/>
    </row>
    <row r="260" ht="22.5" customHeight="1">
      <c r="A260" s="7"/>
      <c r="B260" s="7"/>
      <c r="C260" s="7"/>
      <c r="D260" s="7"/>
      <c r="E260" s="7"/>
    </row>
    <row r="261" ht="22.5" customHeight="1">
      <c r="A261" s="7"/>
      <c r="B261" s="7"/>
      <c r="C261" s="7"/>
      <c r="D261" s="7"/>
      <c r="E261" s="7"/>
    </row>
    <row r="262" ht="22.5" customHeight="1">
      <c r="A262" s="7"/>
      <c r="B262" s="7"/>
      <c r="C262" s="7"/>
      <c r="D262" s="7"/>
      <c r="E262" s="7"/>
    </row>
    <row r="263" ht="22.5" customHeight="1">
      <c r="A263" s="7"/>
      <c r="B263" s="7"/>
      <c r="C263" s="7"/>
      <c r="D263" s="7"/>
      <c r="E263" s="7"/>
    </row>
    <row r="264" ht="22.5" customHeight="1">
      <c r="A264" s="7"/>
      <c r="B264" s="7"/>
      <c r="C264" s="7"/>
      <c r="D264" s="7"/>
      <c r="E264" s="7"/>
    </row>
    <row r="265" ht="22.5" customHeight="1">
      <c r="A265" s="7"/>
      <c r="B265" s="7"/>
      <c r="C265" s="7"/>
      <c r="D265" s="7"/>
      <c r="E265" s="7"/>
    </row>
    <row r="266" ht="22.5" customHeight="1">
      <c r="A266" s="7"/>
      <c r="B266" s="7"/>
      <c r="C266" s="7"/>
      <c r="D266" s="7"/>
      <c r="E266" s="7"/>
    </row>
    <row r="267" ht="22.5" customHeight="1">
      <c r="A267" s="7"/>
      <c r="B267" s="7"/>
      <c r="C267" s="7"/>
      <c r="D267" s="7"/>
      <c r="E267" s="7"/>
    </row>
    <row r="268" ht="22.5" customHeight="1">
      <c r="A268" s="7"/>
      <c r="B268" s="7"/>
      <c r="C268" s="7"/>
      <c r="D268" s="7"/>
      <c r="E268" s="7"/>
    </row>
    <row r="269" ht="22.5" customHeight="1">
      <c r="A269" s="7"/>
      <c r="B269" s="7"/>
      <c r="C269" s="7"/>
      <c r="D269" s="7"/>
      <c r="E269" s="7"/>
    </row>
    <row r="270" ht="22.5" customHeight="1">
      <c r="A270" s="7"/>
      <c r="B270" s="7"/>
      <c r="C270" s="7"/>
      <c r="D270" s="7"/>
      <c r="E270" s="7"/>
    </row>
    <row r="271" ht="22.5" customHeight="1">
      <c r="A271" s="7"/>
      <c r="B271" s="7"/>
      <c r="C271" s="7"/>
      <c r="D271" s="7"/>
      <c r="E271" s="7"/>
    </row>
    <row r="272" ht="22.5" customHeight="1">
      <c r="A272" s="7"/>
      <c r="B272" s="7"/>
      <c r="C272" s="7"/>
      <c r="D272" s="7"/>
      <c r="E272" s="7"/>
    </row>
    <row r="273" ht="22.5" customHeight="1">
      <c r="A273" s="7"/>
      <c r="B273" s="7"/>
      <c r="C273" s="7"/>
      <c r="D273" s="7"/>
      <c r="E273" s="7"/>
    </row>
    <row r="274" ht="22.5" customHeight="1">
      <c r="A274" s="7"/>
      <c r="B274" s="7"/>
      <c r="C274" s="7"/>
      <c r="D274" s="7"/>
      <c r="E274" s="7"/>
    </row>
    <row r="275" ht="22.5" customHeight="1">
      <c r="A275" s="7"/>
      <c r="B275" s="7"/>
      <c r="C275" s="7"/>
      <c r="D275" s="7"/>
      <c r="E275" s="7"/>
    </row>
    <row r="276" ht="22.5" customHeight="1">
      <c r="A276" s="7"/>
      <c r="B276" s="7"/>
      <c r="C276" s="7"/>
      <c r="D276" s="7"/>
      <c r="E276" s="7"/>
    </row>
    <row r="277" ht="22.5" customHeight="1">
      <c r="A277" s="7"/>
      <c r="B277" s="7"/>
      <c r="C277" s="7"/>
      <c r="D277" s="7"/>
      <c r="E277" s="7"/>
    </row>
    <row r="278" ht="22.5" customHeight="1">
      <c r="A278" s="7"/>
      <c r="B278" s="7"/>
      <c r="C278" s="7"/>
      <c r="D278" s="7"/>
      <c r="E278" s="7"/>
    </row>
    <row r="279" ht="22.5" customHeight="1">
      <c r="A279" s="7"/>
      <c r="B279" s="7"/>
      <c r="C279" s="7"/>
      <c r="D279" s="7"/>
      <c r="E279" s="7"/>
    </row>
    <row r="280" ht="22.5" customHeight="1">
      <c r="A280" s="7"/>
      <c r="B280" s="7"/>
      <c r="C280" s="7"/>
      <c r="D280" s="7"/>
      <c r="E280" s="7"/>
    </row>
    <row r="281" ht="22.5" customHeight="1">
      <c r="A281" s="7"/>
      <c r="B281" s="7"/>
      <c r="C281" s="7"/>
      <c r="D281" s="7"/>
      <c r="E281" s="7"/>
    </row>
    <row r="282" ht="22.5" customHeight="1">
      <c r="A282" s="7"/>
      <c r="B282" s="7"/>
      <c r="C282" s="7"/>
      <c r="D282" s="7"/>
      <c r="E282" s="7"/>
    </row>
    <row r="283" ht="22.5" customHeight="1">
      <c r="A283" s="7"/>
      <c r="B283" s="7"/>
      <c r="C283" s="7"/>
      <c r="D283" s="7"/>
      <c r="E283" s="7"/>
    </row>
    <row r="284" ht="22.5" customHeight="1">
      <c r="A284" s="7"/>
      <c r="B284" s="7"/>
      <c r="C284" s="7"/>
      <c r="D284" s="7"/>
      <c r="E284" s="7"/>
    </row>
    <row r="285" ht="22.5" customHeight="1">
      <c r="A285" s="7"/>
      <c r="B285" s="7"/>
      <c r="C285" s="7"/>
      <c r="D285" s="7"/>
      <c r="E285" s="7"/>
    </row>
    <row r="286" ht="22.5" customHeight="1">
      <c r="A286" s="7"/>
      <c r="B286" s="7"/>
      <c r="C286" s="7"/>
      <c r="D286" s="7"/>
      <c r="E286" s="7"/>
    </row>
    <row r="287" ht="22.5" customHeight="1">
      <c r="A287" s="7"/>
      <c r="B287" s="7"/>
      <c r="C287" s="7"/>
      <c r="D287" s="7"/>
      <c r="E287" s="7"/>
    </row>
    <row r="288" ht="22.5" customHeight="1">
      <c r="A288" s="7"/>
      <c r="B288" s="7"/>
      <c r="C288" s="7"/>
      <c r="D288" s="7"/>
      <c r="E288" s="7"/>
    </row>
    <row r="289" ht="22.5" customHeight="1">
      <c r="A289" s="7"/>
      <c r="B289" s="7"/>
      <c r="C289" s="7"/>
      <c r="D289" s="7"/>
      <c r="E289" s="7"/>
    </row>
    <row r="290" ht="22.5" customHeight="1">
      <c r="A290" s="7"/>
      <c r="B290" s="7"/>
      <c r="C290" s="7"/>
      <c r="D290" s="7"/>
      <c r="E290" s="7"/>
    </row>
    <row r="291" ht="22.5" customHeight="1">
      <c r="A291" s="7"/>
      <c r="B291" s="7"/>
      <c r="C291" s="7"/>
      <c r="D291" s="7"/>
      <c r="E291" s="7"/>
    </row>
    <row r="292" ht="22.5" customHeight="1">
      <c r="A292" s="7"/>
      <c r="B292" s="7"/>
      <c r="C292" s="7"/>
      <c r="D292" s="7"/>
      <c r="E292" s="7"/>
    </row>
    <row r="293" ht="22.5" customHeight="1">
      <c r="A293" s="7"/>
      <c r="B293" s="7"/>
      <c r="C293" s="7"/>
      <c r="D293" s="7"/>
      <c r="E293" s="7"/>
    </row>
    <row r="294" ht="22.5" customHeight="1">
      <c r="A294" s="7"/>
      <c r="B294" s="7"/>
      <c r="C294" s="7"/>
      <c r="D294" s="7"/>
      <c r="E294" s="7"/>
    </row>
    <row r="295" ht="22.5" customHeight="1">
      <c r="A295" s="7"/>
      <c r="B295" s="7"/>
      <c r="C295" s="7"/>
      <c r="D295" s="7"/>
      <c r="E295" s="7"/>
    </row>
    <row r="296" ht="22.5" customHeight="1">
      <c r="A296" s="7"/>
      <c r="B296" s="7"/>
      <c r="C296" s="7"/>
      <c r="D296" s="7"/>
      <c r="E296" s="7"/>
    </row>
    <row r="297" ht="22.5" customHeight="1">
      <c r="A297" s="7"/>
      <c r="B297" s="7"/>
      <c r="C297" s="7"/>
      <c r="D297" s="7"/>
      <c r="E297" s="7"/>
    </row>
    <row r="298" ht="22.5" customHeight="1">
      <c r="A298" s="7"/>
      <c r="B298" s="7"/>
      <c r="C298" s="7"/>
      <c r="D298" s="7"/>
      <c r="E298" s="7"/>
    </row>
    <row r="299" ht="22.5" customHeight="1">
      <c r="A299" s="7"/>
      <c r="B299" s="7"/>
      <c r="C299" s="7"/>
      <c r="D299" s="7"/>
      <c r="E299" s="7"/>
    </row>
    <row r="300" ht="22.5" customHeight="1">
      <c r="A300" s="7"/>
      <c r="B300" s="7"/>
      <c r="C300" s="7"/>
      <c r="D300" s="7"/>
      <c r="E300" s="7"/>
    </row>
    <row r="301" ht="22.5" customHeight="1">
      <c r="A301" s="7"/>
      <c r="B301" s="7"/>
      <c r="C301" s="7"/>
      <c r="D301" s="7"/>
      <c r="E301" s="7"/>
    </row>
    <row r="302" ht="22.5" customHeight="1">
      <c r="A302" s="7"/>
      <c r="B302" s="7"/>
      <c r="C302" s="7"/>
      <c r="D302" s="7"/>
      <c r="E302" s="7"/>
    </row>
    <row r="303" ht="22.5" customHeight="1">
      <c r="A303" s="7"/>
      <c r="B303" s="7"/>
      <c r="C303" s="7"/>
      <c r="D303" s="7"/>
      <c r="E303" s="7"/>
    </row>
    <row r="304" ht="22.5" customHeight="1">
      <c r="A304" s="7"/>
      <c r="B304" s="7"/>
      <c r="C304" s="7"/>
      <c r="D304" s="7"/>
      <c r="E304" s="7"/>
    </row>
    <row r="305" ht="22.5" customHeight="1">
      <c r="A305" s="7"/>
      <c r="B305" s="7"/>
      <c r="C305" s="7"/>
      <c r="D305" s="7"/>
      <c r="E305" s="7"/>
    </row>
    <row r="306" ht="22.5" customHeight="1">
      <c r="A306" s="7"/>
      <c r="B306" s="7"/>
      <c r="C306" s="7"/>
      <c r="D306" s="7"/>
      <c r="E306" s="7"/>
    </row>
    <row r="307" ht="22.5" customHeight="1">
      <c r="A307" s="7"/>
      <c r="B307" s="7"/>
      <c r="C307" s="7"/>
      <c r="D307" s="7"/>
      <c r="E307" s="7"/>
    </row>
    <row r="308" ht="22.5" customHeight="1">
      <c r="A308" s="7"/>
      <c r="B308" s="7"/>
      <c r="C308" s="7"/>
      <c r="D308" s="7"/>
      <c r="E308" s="7"/>
    </row>
    <row r="309" ht="22.5" customHeight="1">
      <c r="A309" s="7"/>
      <c r="B309" s="7"/>
      <c r="C309" s="7"/>
      <c r="D309" s="7"/>
      <c r="E309" s="7"/>
    </row>
    <row r="310" ht="22.5" customHeight="1">
      <c r="A310" s="7"/>
      <c r="B310" s="7"/>
      <c r="C310" s="7"/>
      <c r="D310" s="7"/>
      <c r="E310" s="7"/>
    </row>
    <row r="311" ht="22.5" customHeight="1">
      <c r="A311" s="7"/>
      <c r="B311" s="7"/>
      <c r="C311" s="7"/>
      <c r="D311" s="7"/>
      <c r="E311" s="7"/>
    </row>
    <row r="312" ht="22.5" customHeight="1">
      <c r="A312" s="7"/>
      <c r="B312" s="7"/>
      <c r="C312" s="7"/>
      <c r="D312" s="7"/>
      <c r="E312" s="7"/>
    </row>
    <row r="313" ht="22.5" customHeight="1">
      <c r="A313" s="7"/>
      <c r="B313" s="7"/>
      <c r="C313" s="7"/>
      <c r="D313" s="7"/>
      <c r="E313" s="7"/>
    </row>
    <row r="314" ht="22.5" customHeight="1">
      <c r="A314" s="7"/>
      <c r="B314" s="7"/>
      <c r="C314" s="7"/>
      <c r="D314" s="7"/>
      <c r="E314" s="7"/>
    </row>
    <row r="315" ht="22.5" customHeight="1">
      <c r="A315" s="7"/>
      <c r="B315" s="7"/>
      <c r="C315" s="7"/>
      <c r="D315" s="7"/>
      <c r="E315" s="7"/>
    </row>
    <row r="316" ht="22.5" customHeight="1">
      <c r="A316" s="7"/>
      <c r="B316" s="7"/>
      <c r="C316" s="7"/>
      <c r="D316" s="7"/>
      <c r="E316" s="7"/>
    </row>
    <row r="317" ht="22.5" customHeight="1">
      <c r="A317" s="7"/>
      <c r="B317" s="7"/>
      <c r="C317" s="7"/>
      <c r="D317" s="7"/>
      <c r="E317" s="7"/>
    </row>
    <row r="318" ht="22.5" customHeight="1">
      <c r="A318" s="7"/>
      <c r="B318" s="7"/>
      <c r="C318" s="7"/>
      <c r="D318" s="7"/>
      <c r="E318" s="7"/>
    </row>
    <row r="319" ht="22.5" customHeight="1">
      <c r="A319" s="7"/>
      <c r="B319" s="7"/>
      <c r="C319" s="7"/>
      <c r="D319" s="7"/>
      <c r="E319" s="7"/>
    </row>
    <row r="320" ht="22.5" customHeight="1">
      <c r="A320" s="7"/>
      <c r="B320" s="7"/>
      <c r="C320" s="7"/>
      <c r="D320" s="7"/>
      <c r="E320" s="7"/>
    </row>
    <row r="321" ht="22.5" customHeight="1">
      <c r="A321" s="7"/>
      <c r="B321" s="7"/>
      <c r="C321" s="7"/>
      <c r="D321" s="7"/>
      <c r="E321" s="7"/>
    </row>
    <row r="322" ht="22.5" customHeight="1">
      <c r="A322" s="7"/>
      <c r="B322" s="7"/>
      <c r="C322" s="7"/>
      <c r="D322" s="7"/>
      <c r="E322" s="7"/>
    </row>
    <row r="323" ht="22.5" customHeight="1">
      <c r="A323" s="7"/>
      <c r="B323" s="7"/>
      <c r="C323" s="7"/>
      <c r="D323" s="7"/>
      <c r="E323" s="7"/>
    </row>
    <row r="324" ht="22.5" customHeight="1">
      <c r="A324" s="7"/>
      <c r="B324" s="7"/>
      <c r="C324" s="7"/>
      <c r="D324" s="7"/>
      <c r="E324" s="7"/>
    </row>
    <row r="325" ht="22.5" customHeight="1">
      <c r="A325" s="7"/>
      <c r="B325" s="7"/>
      <c r="C325" s="7"/>
      <c r="D325" s="7"/>
      <c r="E325" s="7"/>
    </row>
    <row r="326" ht="22.5" customHeight="1">
      <c r="A326" s="7"/>
      <c r="B326" s="7"/>
      <c r="C326" s="7"/>
      <c r="D326" s="7"/>
      <c r="E326" s="7"/>
    </row>
    <row r="327" ht="22.5" customHeight="1">
      <c r="A327" s="7"/>
      <c r="B327" s="7"/>
      <c r="C327" s="7"/>
      <c r="D327" s="7"/>
      <c r="E327" s="7"/>
    </row>
    <row r="328" ht="22.5" customHeight="1">
      <c r="A328" s="7"/>
      <c r="B328" s="7"/>
      <c r="C328" s="7"/>
      <c r="D328" s="7"/>
      <c r="E328" s="7"/>
    </row>
    <row r="329" ht="22.5" customHeight="1">
      <c r="A329" s="7"/>
      <c r="B329" s="7"/>
      <c r="C329" s="7"/>
      <c r="D329" s="7"/>
      <c r="E329" s="7"/>
    </row>
    <row r="330" ht="22.5" customHeight="1">
      <c r="A330" s="7"/>
      <c r="B330" s="7"/>
      <c r="C330" s="7"/>
      <c r="D330" s="7"/>
      <c r="E330" s="7"/>
    </row>
    <row r="331" ht="22.5" customHeight="1">
      <c r="A331" s="7"/>
      <c r="B331" s="7"/>
      <c r="C331" s="7"/>
      <c r="D331" s="7"/>
      <c r="E331" s="7"/>
    </row>
    <row r="332" ht="22.5" customHeight="1">
      <c r="A332" s="7"/>
      <c r="B332" s="7"/>
      <c r="C332" s="7"/>
      <c r="D332" s="7"/>
      <c r="E332" s="7"/>
    </row>
    <row r="333" ht="22.5" customHeight="1">
      <c r="A333" s="7"/>
      <c r="B333" s="7"/>
      <c r="C333" s="7"/>
      <c r="D333" s="7"/>
      <c r="E333" s="7"/>
    </row>
    <row r="334" ht="22.5" customHeight="1">
      <c r="A334" s="7"/>
      <c r="B334" s="7"/>
      <c r="C334" s="7"/>
      <c r="D334" s="7"/>
      <c r="E334" s="7"/>
    </row>
    <row r="335" ht="22.5" customHeight="1">
      <c r="A335" s="7"/>
      <c r="B335" s="7"/>
      <c r="C335" s="7"/>
      <c r="D335" s="7"/>
      <c r="E335" s="7"/>
    </row>
    <row r="336" ht="22.5" customHeight="1">
      <c r="A336" s="7"/>
      <c r="B336" s="7"/>
      <c r="C336" s="7"/>
      <c r="D336" s="7"/>
      <c r="E336" s="7"/>
    </row>
    <row r="337" ht="22.5" customHeight="1">
      <c r="A337" s="7"/>
      <c r="B337" s="7"/>
      <c r="C337" s="7"/>
      <c r="D337" s="7"/>
      <c r="E337" s="7"/>
    </row>
    <row r="338" ht="22.5" customHeight="1">
      <c r="A338" s="7"/>
      <c r="B338" s="7"/>
      <c r="C338" s="7"/>
      <c r="D338" s="7"/>
      <c r="E338" s="7"/>
    </row>
    <row r="339" ht="22.5" customHeight="1">
      <c r="A339" s="7"/>
      <c r="B339" s="7"/>
      <c r="C339" s="7"/>
      <c r="D339" s="7"/>
      <c r="E339" s="7"/>
    </row>
    <row r="340" ht="22.5" customHeight="1">
      <c r="A340" s="7"/>
      <c r="B340" s="7"/>
      <c r="C340" s="7"/>
      <c r="D340" s="7"/>
      <c r="E340" s="7"/>
    </row>
    <row r="341" ht="22.5" customHeight="1">
      <c r="A341" s="7"/>
      <c r="B341" s="7"/>
      <c r="C341" s="7"/>
      <c r="D341" s="7"/>
      <c r="E341" s="7"/>
    </row>
    <row r="342" ht="22.5" customHeight="1">
      <c r="A342" s="7"/>
      <c r="B342" s="7"/>
      <c r="C342" s="7"/>
      <c r="D342" s="7"/>
      <c r="E342" s="7"/>
    </row>
    <row r="343" ht="22.5" customHeight="1">
      <c r="A343" s="7"/>
      <c r="B343" s="7"/>
      <c r="C343" s="7"/>
      <c r="D343" s="7"/>
      <c r="E343" s="7"/>
    </row>
    <row r="344" ht="22.5" customHeight="1">
      <c r="A344" s="7"/>
      <c r="B344" s="7"/>
      <c r="C344" s="7"/>
      <c r="D344" s="7"/>
      <c r="E344" s="7"/>
    </row>
    <row r="345" ht="22.5" customHeight="1">
      <c r="A345" s="7"/>
      <c r="B345" s="7"/>
      <c r="C345" s="7"/>
      <c r="D345" s="7"/>
      <c r="E345" s="7"/>
    </row>
    <row r="346" ht="22.5" customHeight="1">
      <c r="A346" s="7"/>
      <c r="B346" s="7"/>
      <c r="C346" s="7"/>
      <c r="D346" s="7"/>
      <c r="E346" s="7"/>
    </row>
    <row r="347" ht="22.5" customHeight="1">
      <c r="A347" s="7"/>
      <c r="B347" s="7"/>
      <c r="C347" s="7"/>
      <c r="D347" s="7"/>
      <c r="E347" s="7"/>
    </row>
    <row r="348" ht="22.5" customHeight="1">
      <c r="A348" s="7"/>
      <c r="B348" s="7"/>
      <c r="C348" s="7"/>
      <c r="D348" s="7"/>
      <c r="E348" s="7"/>
    </row>
    <row r="349" ht="22.5" customHeight="1">
      <c r="A349" s="7"/>
      <c r="B349" s="7"/>
      <c r="C349" s="7"/>
      <c r="D349" s="7"/>
      <c r="E349" s="7"/>
    </row>
    <row r="350" ht="22.5" customHeight="1">
      <c r="A350" s="7"/>
      <c r="B350" s="7"/>
      <c r="C350" s="7"/>
      <c r="D350" s="7"/>
      <c r="E350" s="7"/>
    </row>
    <row r="351" ht="22.5" customHeight="1">
      <c r="A351" s="7"/>
      <c r="B351" s="7"/>
      <c r="C351" s="7"/>
      <c r="D351" s="7"/>
      <c r="E351" s="7"/>
    </row>
    <row r="352" ht="22.5" customHeight="1">
      <c r="A352" s="7"/>
      <c r="B352" s="7"/>
      <c r="C352" s="7"/>
      <c r="D352" s="7"/>
      <c r="E352" s="7"/>
    </row>
    <row r="353" ht="22.5" customHeight="1">
      <c r="A353" s="7"/>
      <c r="B353" s="7"/>
      <c r="C353" s="7"/>
      <c r="D353" s="7"/>
      <c r="E353" s="7"/>
    </row>
    <row r="354" ht="22.5" customHeight="1">
      <c r="A354" s="7"/>
      <c r="B354" s="7"/>
      <c r="C354" s="7"/>
      <c r="D354" s="7"/>
      <c r="E354" s="7"/>
    </row>
    <row r="355" ht="22.5" customHeight="1">
      <c r="A355" s="7"/>
      <c r="B355" s="7"/>
      <c r="C355" s="7"/>
      <c r="D355" s="7"/>
      <c r="E355" s="7"/>
    </row>
    <row r="356" ht="22.5" customHeight="1">
      <c r="A356" s="7"/>
      <c r="B356" s="7"/>
      <c r="C356" s="7"/>
      <c r="D356" s="7"/>
      <c r="E356" s="7"/>
    </row>
    <row r="357" ht="22.5" customHeight="1">
      <c r="A357" s="7"/>
      <c r="B357" s="7"/>
      <c r="C357" s="7"/>
      <c r="D357" s="7"/>
      <c r="E357" s="7"/>
    </row>
    <row r="358" ht="22.5" customHeight="1">
      <c r="A358" s="7"/>
      <c r="B358" s="7"/>
      <c r="C358" s="7"/>
      <c r="D358" s="7"/>
      <c r="E358" s="7"/>
    </row>
    <row r="359" ht="22.5" customHeight="1">
      <c r="A359" s="7"/>
      <c r="B359" s="7"/>
      <c r="C359" s="7"/>
      <c r="D359" s="7"/>
      <c r="E359" s="7"/>
    </row>
    <row r="360" ht="22.5" customHeight="1">
      <c r="A360" s="7"/>
      <c r="B360" s="7"/>
      <c r="C360" s="7"/>
      <c r="D360" s="7"/>
      <c r="E360" s="7"/>
    </row>
    <row r="361" ht="22.5" customHeight="1">
      <c r="A361" s="7"/>
      <c r="B361" s="7"/>
      <c r="C361" s="7"/>
      <c r="D361" s="7"/>
      <c r="E361" s="7"/>
    </row>
    <row r="362" ht="22.5" customHeight="1">
      <c r="A362" s="7"/>
      <c r="B362" s="7"/>
      <c r="C362" s="7"/>
      <c r="D362" s="7"/>
      <c r="E362" s="7"/>
    </row>
    <row r="363" ht="22.5" customHeight="1">
      <c r="A363" s="7"/>
      <c r="B363" s="7"/>
      <c r="C363" s="7"/>
      <c r="D363" s="7"/>
      <c r="E363" s="7"/>
    </row>
    <row r="364" ht="22.5" customHeight="1">
      <c r="A364" s="7"/>
      <c r="B364" s="7"/>
      <c r="C364" s="7"/>
      <c r="D364" s="7"/>
      <c r="E364" s="7"/>
    </row>
    <row r="365" ht="22.5" customHeight="1">
      <c r="A365" s="7"/>
      <c r="B365" s="7"/>
      <c r="C365" s="7"/>
      <c r="D365" s="7"/>
      <c r="E365" s="7"/>
    </row>
    <row r="366" ht="22.5" customHeight="1">
      <c r="A366" s="7"/>
      <c r="B366" s="7"/>
      <c r="C366" s="7"/>
      <c r="D366" s="7"/>
      <c r="E366" s="7"/>
    </row>
    <row r="367" ht="22.5" customHeight="1">
      <c r="A367" s="7"/>
      <c r="B367" s="7"/>
      <c r="C367" s="7"/>
      <c r="D367" s="7"/>
      <c r="E367" s="7"/>
    </row>
    <row r="368" ht="22.5" customHeight="1">
      <c r="A368" s="7"/>
      <c r="B368" s="7"/>
      <c r="C368" s="7"/>
      <c r="D368" s="7"/>
      <c r="E368" s="7"/>
    </row>
    <row r="369" ht="22.5" customHeight="1">
      <c r="A369" s="7"/>
      <c r="B369" s="7"/>
      <c r="C369" s="7"/>
      <c r="D369" s="7"/>
      <c r="E369" s="7"/>
    </row>
    <row r="370" ht="22.5" customHeight="1">
      <c r="A370" s="7"/>
      <c r="B370" s="7"/>
      <c r="C370" s="7"/>
      <c r="D370" s="7"/>
      <c r="E370" s="7"/>
    </row>
    <row r="371" ht="22.5" customHeight="1">
      <c r="A371" s="7"/>
      <c r="B371" s="7"/>
      <c r="C371" s="7"/>
      <c r="D371" s="7"/>
      <c r="E371" s="7"/>
    </row>
    <row r="372" ht="22.5" customHeight="1">
      <c r="A372" s="7"/>
      <c r="B372" s="7"/>
      <c r="C372" s="7"/>
      <c r="D372" s="7"/>
      <c r="E372" s="7"/>
    </row>
    <row r="373" ht="22.5" customHeight="1">
      <c r="A373" s="7"/>
      <c r="B373" s="7"/>
      <c r="C373" s="7"/>
      <c r="D373" s="7"/>
      <c r="E373" s="7"/>
    </row>
    <row r="374" ht="22.5" customHeight="1">
      <c r="A374" s="7"/>
      <c r="B374" s="7"/>
      <c r="C374" s="7"/>
      <c r="D374" s="7"/>
      <c r="E374" s="7"/>
    </row>
    <row r="375" ht="22.5" customHeight="1">
      <c r="A375" s="7"/>
      <c r="B375" s="7"/>
      <c r="C375" s="7"/>
      <c r="D375" s="7"/>
      <c r="E375" s="7"/>
    </row>
    <row r="376" ht="22.5" customHeight="1">
      <c r="A376" s="7"/>
      <c r="B376" s="7"/>
      <c r="C376" s="7"/>
      <c r="D376" s="7"/>
      <c r="E376" s="7"/>
    </row>
    <row r="377" ht="22.5" customHeight="1">
      <c r="A377" s="7"/>
      <c r="B377" s="7"/>
      <c r="C377" s="7"/>
      <c r="D377" s="7"/>
      <c r="E377" s="7"/>
    </row>
    <row r="378" ht="22.5" customHeight="1">
      <c r="A378" s="7"/>
      <c r="B378" s="7"/>
      <c r="C378" s="7"/>
      <c r="D378" s="7"/>
      <c r="E378" s="7"/>
    </row>
    <row r="379" ht="22.5" customHeight="1">
      <c r="A379" s="7"/>
      <c r="B379" s="7"/>
      <c r="C379" s="7"/>
      <c r="D379" s="7"/>
      <c r="E379" s="7"/>
    </row>
    <row r="380" ht="22.5" customHeight="1">
      <c r="A380" s="7"/>
      <c r="B380" s="7"/>
      <c r="C380" s="7"/>
      <c r="D380" s="7"/>
      <c r="E380" s="7"/>
    </row>
    <row r="381" ht="22.5" customHeight="1">
      <c r="A381" s="7"/>
      <c r="B381" s="7"/>
      <c r="C381" s="7"/>
      <c r="D381" s="7"/>
      <c r="E381" s="7"/>
    </row>
    <row r="382" ht="22.5" customHeight="1">
      <c r="A382" s="7"/>
      <c r="B382" s="7"/>
      <c r="C382" s="7"/>
      <c r="D382" s="7"/>
      <c r="E382" s="7"/>
    </row>
    <row r="383" ht="22.5" customHeight="1">
      <c r="A383" s="7"/>
      <c r="B383" s="7"/>
      <c r="C383" s="7"/>
      <c r="D383" s="7"/>
      <c r="E383" s="7"/>
    </row>
    <row r="384" ht="22.5" customHeight="1">
      <c r="A384" s="7"/>
      <c r="B384" s="7"/>
      <c r="C384" s="7"/>
      <c r="D384" s="7"/>
      <c r="E384" s="7"/>
    </row>
    <row r="385" ht="22.5" customHeight="1">
      <c r="A385" s="7"/>
      <c r="B385" s="7"/>
      <c r="C385" s="7"/>
      <c r="D385" s="7"/>
      <c r="E385" s="7"/>
    </row>
    <row r="386" ht="22.5" customHeight="1">
      <c r="A386" s="7"/>
      <c r="B386" s="7"/>
      <c r="C386" s="7"/>
      <c r="D386" s="7"/>
      <c r="E386" s="7"/>
    </row>
    <row r="387" ht="22.5" customHeight="1">
      <c r="A387" s="7"/>
      <c r="B387" s="7"/>
      <c r="C387" s="7"/>
      <c r="D387" s="7"/>
      <c r="E387" s="7"/>
    </row>
    <row r="388" ht="22.5" customHeight="1">
      <c r="A388" s="7"/>
      <c r="B388" s="7"/>
      <c r="C388" s="7"/>
      <c r="D388" s="7"/>
      <c r="E388" s="7"/>
    </row>
    <row r="389" ht="22.5" customHeight="1">
      <c r="A389" s="7"/>
      <c r="B389" s="7"/>
      <c r="C389" s="7"/>
      <c r="D389" s="7"/>
      <c r="E389" s="7"/>
    </row>
    <row r="390" ht="22.5" customHeight="1">
      <c r="A390" s="7"/>
      <c r="B390" s="7"/>
      <c r="C390" s="7"/>
      <c r="D390" s="7"/>
      <c r="E390" s="7"/>
    </row>
    <row r="391" ht="22.5" customHeight="1">
      <c r="A391" s="7"/>
      <c r="B391" s="7"/>
      <c r="C391" s="7"/>
      <c r="D391" s="7"/>
      <c r="E391" s="7"/>
    </row>
    <row r="392" ht="22.5" customHeight="1">
      <c r="A392" s="7"/>
      <c r="B392" s="7"/>
      <c r="C392" s="7"/>
      <c r="D392" s="7"/>
      <c r="E392" s="7"/>
    </row>
    <row r="393" ht="22.5" customHeight="1">
      <c r="A393" s="7"/>
      <c r="B393" s="7"/>
      <c r="C393" s="7"/>
      <c r="D393" s="7"/>
      <c r="E393" s="7"/>
    </row>
    <row r="394" ht="22.5" customHeight="1">
      <c r="A394" s="7"/>
      <c r="B394" s="7"/>
      <c r="C394" s="7"/>
      <c r="D394" s="7"/>
      <c r="E394" s="7"/>
    </row>
    <row r="395" ht="22.5" customHeight="1">
      <c r="A395" s="7"/>
      <c r="B395" s="7"/>
      <c r="C395" s="7"/>
      <c r="D395" s="7"/>
      <c r="E395" s="7"/>
    </row>
    <row r="396" ht="22.5" customHeight="1">
      <c r="A396" s="7"/>
      <c r="B396" s="7"/>
      <c r="C396" s="7"/>
      <c r="D396" s="7"/>
      <c r="E396" s="7"/>
    </row>
    <row r="397" ht="22.5" customHeight="1">
      <c r="A397" s="7"/>
      <c r="B397" s="7"/>
      <c r="C397" s="7"/>
      <c r="D397" s="7"/>
      <c r="E397" s="7"/>
    </row>
    <row r="398" ht="22.5" customHeight="1">
      <c r="A398" s="7"/>
      <c r="B398" s="7"/>
      <c r="C398" s="7"/>
      <c r="D398" s="7"/>
      <c r="E398" s="7"/>
    </row>
    <row r="399" ht="22.5" customHeight="1">
      <c r="A399" s="7"/>
      <c r="B399" s="7"/>
      <c r="C399" s="7"/>
      <c r="D399" s="7"/>
      <c r="E399" s="7"/>
    </row>
    <row r="400" ht="22.5" customHeight="1">
      <c r="A400" s="7"/>
      <c r="B400" s="7"/>
      <c r="C400" s="7"/>
      <c r="D400" s="7"/>
      <c r="E400" s="7"/>
    </row>
    <row r="401" ht="22.5" customHeight="1">
      <c r="A401" s="7"/>
      <c r="B401" s="7"/>
      <c r="C401" s="7"/>
      <c r="D401" s="7"/>
      <c r="E401" s="7"/>
    </row>
    <row r="402" ht="22.5" customHeight="1">
      <c r="A402" s="7"/>
      <c r="B402" s="7"/>
      <c r="C402" s="7"/>
      <c r="D402" s="7"/>
      <c r="E402" s="7"/>
    </row>
    <row r="403" ht="22.5" customHeight="1">
      <c r="A403" s="7"/>
      <c r="B403" s="7"/>
      <c r="C403" s="7"/>
      <c r="D403" s="7"/>
      <c r="E403" s="7"/>
    </row>
    <row r="404" ht="22.5" customHeight="1">
      <c r="A404" s="7"/>
      <c r="B404" s="7"/>
      <c r="C404" s="7"/>
      <c r="D404" s="7"/>
      <c r="E404" s="7"/>
    </row>
    <row r="405" ht="22.5" customHeight="1">
      <c r="A405" s="7"/>
      <c r="B405" s="7"/>
      <c r="C405" s="7"/>
      <c r="D405" s="7"/>
      <c r="E405" s="7"/>
    </row>
    <row r="406" ht="22.5" customHeight="1">
      <c r="A406" s="7"/>
      <c r="B406" s="7"/>
      <c r="C406" s="7"/>
      <c r="D406" s="7"/>
      <c r="E406" s="7"/>
    </row>
    <row r="407" ht="22.5" customHeight="1">
      <c r="A407" s="7"/>
      <c r="B407" s="7"/>
      <c r="C407" s="7"/>
      <c r="D407" s="7"/>
      <c r="E407" s="7"/>
    </row>
    <row r="408" ht="22.5" customHeight="1">
      <c r="A408" s="7"/>
      <c r="B408" s="7"/>
      <c r="C408" s="7"/>
      <c r="D408" s="7"/>
      <c r="E408" s="7"/>
    </row>
    <row r="409" ht="22.5" customHeight="1">
      <c r="A409" s="7"/>
      <c r="B409" s="7"/>
      <c r="C409" s="7"/>
      <c r="D409" s="7"/>
      <c r="E409" s="7"/>
    </row>
    <row r="410" ht="22.5" customHeight="1">
      <c r="A410" s="7"/>
      <c r="B410" s="7"/>
      <c r="C410" s="7"/>
      <c r="D410" s="7"/>
      <c r="E410" s="7"/>
    </row>
    <row r="411" ht="22.5" customHeight="1">
      <c r="A411" s="7"/>
      <c r="B411" s="7"/>
      <c r="C411" s="7"/>
      <c r="D411" s="7"/>
      <c r="E411" s="7"/>
    </row>
    <row r="412" ht="22.5" customHeight="1">
      <c r="A412" s="7"/>
      <c r="B412" s="7"/>
      <c r="C412" s="7"/>
      <c r="D412" s="7"/>
      <c r="E412" s="7"/>
    </row>
    <row r="413" ht="22.5" customHeight="1">
      <c r="A413" s="7"/>
      <c r="B413" s="7"/>
      <c r="C413" s="7"/>
      <c r="D413" s="7"/>
      <c r="E413" s="7"/>
    </row>
    <row r="414" ht="22.5" customHeight="1">
      <c r="A414" s="7"/>
      <c r="B414" s="7"/>
      <c r="C414" s="7"/>
      <c r="D414" s="7"/>
      <c r="E414" s="7"/>
    </row>
    <row r="415" ht="22.5" customHeight="1">
      <c r="A415" s="7"/>
      <c r="B415" s="7"/>
      <c r="C415" s="7"/>
      <c r="D415" s="7"/>
      <c r="E415" s="7"/>
    </row>
    <row r="416" ht="22.5" customHeight="1">
      <c r="A416" s="7"/>
      <c r="B416" s="7"/>
      <c r="C416" s="7"/>
      <c r="D416" s="7"/>
      <c r="E416" s="7"/>
    </row>
    <row r="417" ht="22.5" customHeight="1">
      <c r="A417" s="7"/>
      <c r="B417" s="7"/>
      <c r="C417" s="7"/>
      <c r="D417" s="7"/>
      <c r="E417" s="7"/>
    </row>
    <row r="418" ht="22.5" customHeight="1">
      <c r="A418" s="7"/>
      <c r="B418" s="7"/>
      <c r="C418" s="7"/>
      <c r="D418" s="7"/>
      <c r="E418" s="7"/>
    </row>
    <row r="419" ht="22.5" customHeight="1">
      <c r="A419" s="7"/>
      <c r="B419" s="7"/>
      <c r="C419" s="7"/>
      <c r="D419" s="7"/>
      <c r="E419" s="7"/>
    </row>
    <row r="420" ht="22.5" customHeight="1">
      <c r="A420" s="7"/>
      <c r="B420" s="7"/>
      <c r="C420" s="7"/>
      <c r="D420" s="7"/>
      <c r="E420" s="7"/>
    </row>
    <row r="421" ht="22.5" customHeight="1">
      <c r="A421" s="7"/>
      <c r="B421" s="7"/>
      <c r="C421" s="7"/>
      <c r="D421" s="7"/>
      <c r="E421" s="7"/>
    </row>
    <row r="422" ht="22.5" customHeight="1">
      <c r="A422" s="7"/>
      <c r="B422" s="7"/>
      <c r="C422" s="7"/>
      <c r="D422" s="7"/>
      <c r="E422" s="7"/>
    </row>
    <row r="423" ht="22.5" customHeight="1">
      <c r="A423" s="7"/>
      <c r="B423" s="7"/>
      <c r="C423" s="7"/>
      <c r="D423" s="7"/>
      <c r="E423" s="7"/>
    </row>
    <row r="424" ht="22.5" customHeight="1">
      <c r="A424" s="7"/>
      <c r="B424" s="7"/>
      <c r="C424" s="7"/>
      <c r="D424" s="7"/>
      <c r="E424" s="7"/>
    </row>
    <row r="425" ht="22.5" customHeight="1">
      <c r="A425" s="7"/>
      <c r="B425" s="7"/>
      <c r="C425" s="7"/>
      <c r="D425" s="7"/>
      <c r="E425" s="7"/>
    </row>
    <row r="426" ht="22.5" customHeight="1">
      <c r="A426" s="7"/>
      <c r="B426" s="7"/>
      <c r="C426" s="7"/>
      <c r="D426" s="7"/>
      <c r="E426" s="7"/>
    </row>
    <row r="427" ht="22.5" customHeight="1">
      <c r="A427" s="7"/>
      <c r="B427" s="7"/>
      <c r="C427" s="7"/>
      <c r="D427" s="7"/>
      <c r="E427" s="7"/>
    </row>
    <row r="428" ht="22.5" customHeight="1">
      <c r="A428" s="7"/>
      <c r="B428" s="7"/>
      <c r="C428" s="7"/>
      <c r="D428" s="7"/>
      <c r="E428" s="7"/>
    </row>
    <row r="429" ht="22.5" customHeight="1">
      <c r="A429" s="7"/>
      <c r="B429" s="7"/>
      <c r="C429" s="7"/>
      <c r="D429" s="7"/>
      <c r="E429" s="7"/>
    </row>
    <row r="430" ht="22.5" customHeight="1">
      <c r="A430" s="7"/>
      <c r="B430" s="7"/>
      <c r="C430" s="7"/>
      <c r="D430" s="7"/>
      <c r="E430" s="7"/>
    </row>
    <row r="431" ht="22.5" customHeight="1">
      <c r="A431" s="7"/>
      <c r="B431" s="7"/>
      <c r="C431" s="7"/>
      <c r="D431" s="7"/>
      <c r="E431" s="7"/>
    </row>
    <row r="432" ht="22.5" customHeight="1">
      <c r="A432" s="7"/>
      <c r="B432" s="7"/>
      <c r="C432" s="7"/>
      <c r="D432" s="7"/>
      <c r="E432" s="7"/>
    </row>
    <row r="433" ht="22.5" customHeight="1">
      <c r="A433" s="7"/>
      <c r="B433" s="7"/>
      <c r="C433" s="7"/>
      <c r="D433" s="7"/>
      <c r="E433" s="7"/>
    </row>
    <row r="434" ht="22.5" customHeight="1">
      <c r="A434" s="7"/>
      <c r="B434" s="7"/>
      <c r="C434" s="7"/>
      <c r="D434" s="7"/>
      <c r="E434" s="7"/>
    </row>
    <row r="435" ht="22.5" customHeight="1">
      <c r="A435" s="7"/>
      <c r="B435" s="7"/>
      <c r="C435" s="7"/>
      <c r="D435" s="7"/>
      <c r="E435" s="7"/>
    </row>
    <row r="436" ht="22.5" customHeight="1">
      <c r="A436" s="7"/>
      <c r="B436" s="7"/>
      <c r="C436" s="7"/>
      <c r="D436" s="7"/>
      <c r="E436" s="7"/>
    </row>
    <row r="437" ht="22.5" customHeight="1">
      <c r="A437" s="7"/>
      <c r="B437" s="7"/>
      <c r="C437" s="7"/>
      <c r="D437" s="7"/>
      <c r="E437" s="7"/>
    </row>
    <row r="438" ht="22.5" customHeight="1">
      <c r="A438" s="7"/>
      <c r="B438" s="7"/>
      <c r="C438" s="7"/>
      <c r="D438" s="7"/>
      <c r="E438" s="7"/>
    </row>
    <row r="439" ht="22.5" customHeight="1">
      <c r="A439" s="7"/>
      <c r="B439" s="7"/>
      <c r="C439" s="7"/>
      <c r="D439" s="7"/>
      <c r="E439" s="7"/>
    </row>
    <row r="440" ht="22.5" customHeight="1">
      <c r="A440" s="7"/>
      <c r="B440" s="7"/>
      <c r="C440" s="7"/>
      <c r="D440" s="7"/>
      <c r="E440" s="7"/>
    </row>
    <row r="441" ht="22.5" customHeight="1">
      <c r="A441" s="7"/>
      <c r="B441" s="7"/>
      <c r="C441" s="7"/>
      <c r="D441" s="7"/>
      <c r="E441" s="7"/>
    </row>
    <row r="442" ht="22.5" customHeight="1">
      <c r="A442" s="7"/>
      <c r="B442" s="7"/>
      <c r="C442" s="7"/>
      <c r="D442" s="7"/>
      <c r="E442" s="7"/>
    </row>
    <row r="443" ht="22.5" customHeight="1">
      <c r="A443" s="7"/>
      <c r="B443" s="7"/>
      <c r="C443" s="7"/>
      <c r="D443" s="7"/>
      <c r="E443" s="7"/>
    </row>
    <row r="444" ht="22.5" customHeight="1">
      <c r="A444" s="7"/>
      <c r="B444" s="7"/>
      <c r="C444" s="7"/>
      <c r="D444" s="7"/>
      <c r="E444" s="7"/>
    </row>
    <row r="445" ht="22.5" customHeight="1">
      <c r="A445" s="7"/>
      <c r="B445" s="7"/>
      <c r="C445" s="7"/>
      <c r="D445" s="7"/>
      <c r="E445" s="7"/>
    </row>
    <row r="446" ht="22.5" customHeight="1">
      <c r="A446" s="7"/>
      <c r="B446" s="7"/>
      <c r="C446" s="7"/>
      <c r="D446" s="7"/>
      <c r="E446" s="7"/>
    </row>
    <row r="447" ht="22.5" customHeight="1">
      <c r="A447" s="7"/>
      <c r="B447" s="7"/>
      <c r="C447" s="7"/>
      <c r="D447" s="7"/>
      <c r="E447" s="7"/>
    </row>
    <row r="448" ht="22.5" customHeight="1">
      <c r="A448" s="7"/>
      <c r="B448" s="7"/>
      <c r="C448" s="7"/>
      <c r="D448" s="7"/>
      <c r="E448" s="7"/>
    </row>
    <row r="449" ht="22.5" customHeight="1">
      <c r="A449" s="7"/>
      <c r="B449" s="7"/>
      <c r="C449" s="7"/>
      <c r="D449" s="7"/>
      <c r="E449" s="7"/>
    </row>
    <row r="450" ht="22.5" customHeight="1">
      <c r="A450" s="7"/>
      <c r="B450" s="7"/>
      <c r="C450" s="7"/>
      <c r="D450" s="7"/>
      <c r="E450" s="7"/>
    </row>
    <row r="451" ht="22.5" customHeight="1">
      <c r="A451" s="7"/>
      <c r="B451" s="7"/>
      <c r="C451" s="7"/>
      <c r="D451" s="7"/>
      <c r="E451" s="7"/>
    </row>
    <row r="452" ht="22.5" customHeight="1">
      <c r="A452" s="7"/>
      <c r="B452" s="7"/>
      <c r="C452" s="7"/>
      <c r="D452" s="7"/>
      <c r="E452" s="7"/>
    </row>
    <row r="453" ht="22.5" customHeight="1">
      <c r="A453" s="7"/>
      <c r="B453" s="7"/>
      <c r="C453" s="7"/>
      <c r="D453" s="7"/>
      <c r="E453" s="7"/>
    </row>
    <row r="454" ht="22.5" customHeight="1">
      <c r="A454" s="7"/>
      <c r="B454" s="7"/>
      <c r="C454" s="7"/>
      <c r="D454" s="7"/>
      <c r="E454" s="7"/>
    </row>
    <row r="455" ht="22.5" customHeight="1">
      <c r="A455" s="7"/>
      <c r="B455" s="7"/>
      <c r="C455" s="7"/>
      <c r="D455" s="7"/>
      <c r="E455" s="7"/>
    </row>
    <row r="456" ht="22.5" customHeight="1">
      <c r="A456" s="7"/>
      <c r="B456" s="7"/>
      <c r="C456" s="7"/>
      <c r="D456" s="7"/>
      <c r="E456" s="7"/>
    </row>
    <row r="457" ht="22.5" customHeight="1">
      <c r="A457" s="7"/>
      <c r="B457" s="7"/>
      <c r="C457" s="7"/>
      <c r="D457" s="7"/>
      <c r="E457" s="7"/>
    </row>
    <row r="458" ht="22.5" customHeight="1">
      <c r="A458" s="7"/>
      <c r="B458" s="7"/>
      <c r="C458" s="7"/>
      <c r="D458" s="7"/>
      <c r="E458" s="7"/>
    </row>
    <row r="459" ht="22.5" customHeight="1">
      <c r="A459" s="7"/>
      <c r="B459" s="7"/>
      <c r="C459" s="7"/>
      <c r="D459" s="7"/>
      <c r="E459" s="7"/>
    </row>
    <row r="460" ht="22.5" customHeight="1">
      <c r="A460" s="7"/>
      <c r="B460" s="7"/>
      <c r="C460" s="7"/>
      <c r="D460" s="7"/>
      <c r="E460" s="7"/>
    </row>
    <row r="461" ht="22.5" customHeight="1">
      <c r="A461" s="7"/>
      <c r="B461" s="7"/>
      <c r="C461" s="7"/>
      <c r="D461" s="7"/>
      <c r="E461" s="7"/>
    </row>
    <row r="462" ht="22.5" customHeight="1">
      <c r="A462" s="7"/>
      <c r="B462" s="7"/>
      <c r="C462" s="7"/>
      <c r="D462" s="7"/>
      <c r="E462" s="7"/>
    </row>
    <row r="463" ht="22.5" customHeight="1">
      <c r="A463" s="7"/>
      <c r="B463" s="7"/>
      <c r="C463" s="7"/>
      <c r="D463" s="7"/>
      <c r="E463" s="7"/>
    </row>
    <row r="464" ht="22.5" customHeight="1">
      <c r="A464" s="7"/>
      <c r="B464" s="7"/>
      <c r="C464" s="7"/>
      <c r="D464" s="7"/>
      <c r="E464" s="7"/>
    </row>
    <row r="465" ht="22.5" customHeight="1">
      <c r="A465" s="7"/>
      <c r="B465" s="7"/>
      <c r="C465" s="7"/>
      <c r="D465" s="7"/>
      <c r="E465" s="7"/>
    </row>
    <row r="466" ht="22.5" customHeight="1">
      <c r="A466" s="7"/>
      <c r="B466" s="7"/>
      <c r="C466" s="7"/>
      <c r="D466" s="7"/>
      <c r="E466" s="7"/>
    </row>
    <row r="467" ht="22.5" customHeight="1">
      <c r="A467" s="7"/>
      <c r="B467" s="7"/>
      <c r="C467" s="7"/>
      <c r="D467" s="7"/>
      <c r="E467" s="7"/>
    </row>
    <row r="468" ht="22.5" customHeight="1">
      <c r="A468" s="7"/>
      <c r="B468" s="7"/>
      <c r="C468" s="7"/>
      <c r="D468" s="7"/>
      <c r="E468" s="7"/>
    </row>
    <row r="469" ht="22.5" customHeight="1">
      <c r="A469" s="7"/>
      <c r="B469" s="7"/>
      <c r="C469" s="7"/>
      <c r="D469" s="7"/>
      <c r="E469" s="7"/>
    </row>
    <row r="470" ht="22.5" customHeight="1">
      <c r="A470" s="7"/>
      <c r="B470" s="7"/>
      <c r="C470" s="7"/>
      <c r="D470" s="7"/>
      <c r="E470" s="7"/>
    </row>
    <row r="471" ht="22.5" customHeight="1">
      <c r="A471" s="7"/>
      <c r="B471" s="7"/>
      <c r="C471" s="7"/>
      <c r="D471" s="7"/>
      <c r="E471" s="7"/>
    </row>
    <row r="472" ht="22.5" customHeight="1">
      <c r="A472" s="7"/>
      <c r="B472" s="7"/>
      <c r="C472" s="7"/>
      <c r="D472" s="7"/>
      <c r="E472" s="7"/>
    </row>
    <row r="473" ht="22.5" customHeight="1">
      <c r="A473" s="7"/>
      <c r="B473" s="7"/>
      <c r="C473" s="7"/>
      <c r="D473" s="7"/>
      <c r="E473" s="7"/>
    </row>
    <row r="474" ht="22.5" customHeight="1">
      <c r="A474" s="7"/>
      <c r="B474" s="7"/>
      <c r="C474" s="7"/>
      <c r="D474" s="7"/>
      <c r="E474" s="7"/>
    </row>
    <row r="475" ht="22.5" customHeight="1">
      <c r="A475" s="7"/>
      <c r="B475" s="7"/>
      <c r="C475" s="7"/>
      <c r="D475" s="7"/>
      <c r="E475" s="7"/>
    </row>
    <row r="476" ht="22.5" customHeight="1">
      <c r="A476" s="7"/>
      <c r="B476" s="7"/>
      <c r="C476" s="7"/>
      <c r="D476" s="7"/>
      <c r="E476" s="7"/>
    </row>
    <row r="477" ht="22.5" customHeight="1">
      <c r="A477" s="7"/>
      <c r="B477" s="7"/>
      <c r="C477" s="7"/>
      <c r="D477" s="7"/>
      <c r="E477" s="7"/>
    </row>
    <row r="478" ht="22.5" customHeight="1">
      <c r="A478" s="7"/>
      <c r="B478" s="7"/>
      <c r="C478" s="7"/>
      <c r="D478" s="7"/>
      <c r="E478" s="7"/>
    </row>
    <row r="479" ht="22.5" customHeight="1">
      <c r="A479" s="7"/>
      <c r="B479" s="7"/>
      <c r="C479" s="7"/>
      <c r="D479" s="7"/>
      <c r="E479" s="7"/>
    </row>
    <row r="480" ht="22.5" customHeight="1">
      <c r="A480" s="7"/>
      <c r="B480" s="7"/>
      <c r="C480" s="7"/>
      <c r="D480" s="7"/>
      <c r="E480" s="7"/>
    </row>
    <row r="481" ht="22.5" customHeight="1">
      <c r="A481" s="7"/>
      <c r="B481" s="7"/>
      <c r="C481" s="7"/>
      <c r="D481" s="7"/>
      <c r="E481" s="7"/>
    </row>
    <row r="482" ht="22.5" customHeight="1">
      <c r="A482" s="7"/>
      <c r="B482" s="7"/>
      <c r="C482" s="7"/>
      <c r="D482" s="7"/>
      <c r="E482" s="7"/>
    </row>
    <row r="483" ht="22.5" customHeight="1">
      <c r="A483" s="7"/>
      <c r="B483" s="7"/>
      <c r="C483" s="7"/>
      <c r="D483" s="7"/>
      <c r="E483" s="7"/>
    </row>
    <row r="484" ht="22.5" customHeight="1">
      <c r="A484" s="7"/>
      <c r="B484" s="7"/>
      <c r="C484" s="7"/>
      <c r="D484" s="7"/>
      <c r="E484" s="7"/>
    </row>
    <row r="485" ht="22.5" customHeight="1">
      <c r="A485" s="7"/>
      <c r="B485" s="7"/>
      <c r="C485" s="7"/>
      <c r="D485" s="7"/>
      <c r="E485" s="7"/>
    </row>
    <row r="486" ht="22.5" customHeight="1">
      <c r="A486" s="7"/>
      <c r="B486" s="7"/>
      <c r="C486" s="7"/>
      <c r="D486" s="7"/>
      <c r="E486" s="7"/>
    </row>
    <row r="487" ht="22.5" customHeight="1">
      <c r="A487" s="7"/>
      <c r="B487" s="7"/>
      <c r="C487" s="7"/>
      <c r="D487" s="7"/>
      <c r="E487" s="7"/>
    </row>
    <row r="488" ht="22.5" customHeight="1">
      <c r="A488" s="7"/>
      <c r="B488" s="7"/>
      <c r="C488" s="7"/>
      <c r="D488" s="7"/>
      <c r="E488" s="7"/>
    </row>
    <row r="489" ht="22.5" customHeight="1">
      <c r="A489" s="7"/>
      <c r="B489" s="7"/>
      <c r="C489" s="7"/>
      <c r="D489" s="7"/>
      <c r="E489" s="7"/>
    </row>
    <row r="490" ht="22.5" customHeight="1">
      <c r="A490" s="7"/>
      <c r="B490" s="7"/>
      <c r="C490" s="7"/>
      <c r="D490" s="7"/>
      <c r="E490" s="7"/>
    </row>
    <row r="491" ht="22.5" customHeight="1">
      <c r="A491" s="7"/>
      <c r="B491" s="7"/>
      <c r="C491" s="7"/>
      <c r="D491" s="7"/>
      <c r="E491" s="7"/>
    </row>
    <row r="492" ht="22.5" customHeight="1">
      <c r="A492" s="7"/>
      <c r="B492" s="7"/>
      <c r="C492" s="7"/>
      <c r="D492" s="7"/>
      <c r="E492" s="7"/>
    </row>
    <row r="493" ht="22.5" customHeight="1">
      <c r="A493" s="7"/>
      <c r="B493" s="7"/>
      <c r="C493" s="7"/>
      <c r="D493" s="7"/>
      <c r="E493" s="7"/>
    </row>
    <row r="494" ht="22.5" customHeight="1">
      <c r="A494" s="7"/>
      <c r="B494" s="7"/>
      <c r="C494" s="7"/>
      <c r="D494" s="7"/>
      <c r="E494" s="7"/>
    </row>
    <row r="495" ht="22.5" customHeight="1">
      <c r="A495" s="7"/>
      <c r="B495" s="7"/>
      <c r="C495" s="7"/>
      <c r="D495" s="7"/>
      <c r="E495" s="7"/>
    </row>
    <row r="496" ht="22.5" customHeight="1">
      <c r="A496" s="7"/>
      <c r="B496" s="7"/>
      <c r="C496" s="7"/>
      <c r="D496" s="7"/>
      <c r="E496" s="7"/>
    </row>
    <row r="497" ht="22.5" customHeight="1">
      <c r="A497" s="7"/>
      <c r="B497" s="7"/>
      <c r="C497" s="7"/>
      <c r="D497" s="7"/>
      <c r="E497" s="7"/>
    </row>
    <row r="498" ht="22.5" customHeight="1">
      <c r="A498" s="7"/>
      <c r="B498" s="7"/>
      <c r="C498" s="7"/>
      <c r="D498" s="7"/>
      <c r="E498" s="7"/>
    </row>
    <row r="499" ht="22.5" customHeight="1">
      <c r="A499" s="7"/>
      <c r="B499" s="7"/>
      <c r="C499" s="7"/>
      <c r="D499" s="7"/>
      <c r="E499" s="7"/>
    </row>
    <row r="500" ht="22.5" customHeight="1">
      <c r="A500" s="7"/>
      <c r="B500" s="7"/>
      <c r="C500" s="7"/>
      <c r="D500" s="7"/>
      <c r="E500" s="7"/>
    </row>
    <row r="501" ht="22.5" customHeight="1">
      <c r="A501" s="7"/>
      <c r="B501" s="7"/>
      <c r="C501" s="7"/>
      <c r="D501" s="7"/>
      <c r="E501" s="7"/>
    </row>
    <row r="502" ht="22.5" customHeight="1">
      <c r="A502" s="7"/>
      <c r="B502" s="7"/>
      <c r="C502" s="7"/>
      <c r="D502" s="7"/>
      <c r="E502" s="7"/>
    </row>
    <row r="503" ht="22.5" customHeight="1">
      <c r="A503" s="7"/>
      <c r="B503" s="7"/>
      <c r="C503" s="7"/>
      <c r="D503" s="7"/>
      <c r="E503" s="7"/>
    </row>
    <row r="504" ht="22.5" customHeight="1">
      <c r="A504" s="7"/>
      <c r="B504" s="7"/>
      <c r="C504" s="7"/>
      <c r="D504" s="7"/>
      <c r="E504" s="7"/>
    </row>
    <row r="505" ht="22.5" customHeight="1">
      <c r="A505" s="7"/>
      <c r="B505" s="7"/>
      <c r="C505" s="7"/>
      <c r="D505" s="7"/>
      <c r="E505" s="7"/>
    </row>
    <row r="506" ht="22.5" customHeight="1">
      <c r="A506" s="7"/>
      <c r="B506" s="7"/>
      <c r="C506" s="7"/>
      <c r="D506" s="7"/>
      <c r="E506" s="7"/>
    </row>
    <row r="507" ht="22.5" customHeight="1">
      <c r="A507" s="7"/>
      <c r="B507" s="7"/>
      <c r="C507" s="7"/>
      <c r="D507" s="7"/>
      <c r="E507" s="7"/>
    </row>
    <row r="508" ht="22.5" customHeight="1">
      <c r="A508" s="7"/>
      <c r="B508" s="7"/>
      <c r="C508" s="7"/>
      <c r="D508" s="7"/>
      <c r="E508" s="7"/>
    </row>
    <row r="509" ht="22.5" customHeight="1">
      <c r="A509" s="7"/>
      <c r="B509" s="7"/>
      <c r="C509" s="7"/>
      <c r="D509" s="7"/>
      <c r="E509" s="7"/>
    </row>
    <row r="510" ht="22.5" customHeight="1">
      <c r="A510" s="7"/>
      <c r="B510" s="7"/>
      <c r="C510" s="7"/>
      <c r="D510" s="7"/>
      <c r="E510" s="7"/>
    </row>
    <row r="511" ht="22.5" customHeight="1">
      <c r="A511" s="7"/>
      <c r="B511" s="7"/>
      <c r="C511" s="7"/>
      <c r="D511" s="7"/>
      <c r="E511" s="7"/>
    </row>
    <row r="512" ht="22.5" customHeight="1">
      <c r="A512" s="7"/>
      <c r="B512" s="7"/>
      <c r="C512" s="7"/>
      <c r="D512" s="7"/>
      <c r="E512" s="7"/>
    </row>
    <row r="513" ht="22.5" customHeight="1">
      <c r="A513" s="7"/>
      <c r="B513" s="7"/>
      <c r="C513" s="7"/>
      <c r="D513" s="7"/>
      <c r="E513" s="7"/>
    </row>
    <row r="514" ht="22.5" customHeight="1">
      <c r="A514" s="7"/>
      <c r="B514" s="7"/>
      <c r="C514" s="7"/>
      <c r="D514" s="7"/>
      <c r="E514" s="7"/>
    </row>
    <row r="515" ht="22.5" customHeight="1">
      <c r="A515" s="7"/>
      <c r="B515" s="7"/>
      <c r="C515" s="7"/>
      <c r="D515" s="7"/>
      <c r="E515" s="7"/>
    </row>
    <row r="516" ht="22.5" customHeight="1">
      <c r="A516" s="7"/>
      <c r="B516" s="7"/>
      <c r="C516" s="7"/>
      <c r="D516" s="7"/>
      <c r="E516" s="7"/>
    </row>
    <row r="517" ht="22.5" customHeight="1">
      <c r="A517" s="7"/>
      <c r="B517" s="7"/>
      <c r="C517" s="7"/>
      <c r="D517" s="7"/>
      <c r="E517" s="7"/>
    </row>
    <row r="518" ht="22.5" customHeight="1">
      <c r="A518" s="7"/>
      <c r="B518" s="7"/>
      <c r="C518" s="7"/>
      <c r="D518" s="7"/>
      <c r="E518" s="7"/>
    </row>
    <row r="519" ht="22.5" customHeight="1">
      <c r="A519" s="7"/>
      <c r="B519" s="7"/>
      <c r="C519" s="7"/>
      <c r="D519" s="7"/>
      <c r="E519" s="7"/>
    </row>
    <row r="520" ht="22.5" customHeight="1">
      <c r="A520" s="7"/>
      <c r="B520" s="7"/>
      <c r="C520" s="7"/>
      <c r="D520" s="7"/>
      <c r="E520" s="7"/>
    </row>
    <row r="521" ht="22.5" customHeight="1">
      <c r="A521" s="7"/>
      <c r="B521" s="7"/>
      <c r="C521" s="7"/>
      <c r="D521" s="7"/>
      <c r="E521" s="7"/>
    </row>
    <row r="522" ht="22.5" customHeight="1">
      <c r="A522" s="7"/>
      <c r="B522" s="7"/>
      <c r="C522" s="7"/>
      <c r="D522" s="7"/>
      <c r="E522" s="7"/>
    </row>
    <row r="523" ht="22.5" customHeight="1">
      <c r="A523" s="7"/>
      <c r="B523" s="7"/>
      <c r="C523" s="7"/>
      <c r="D523" s="7"/>
      <c r="E523" s="7"/>
    </row>
    <row r="524" ht="22.5" customHeight="1">
      <c r="A524" s="7"/>
      <c r="B524" s="7"/>
      <c r="C524" s="7"/>
      <c r="D524" s="7"/>
      <c r="E524" s="7"/>
    </row>
    <row r="525" ht="22.5" customHeight="1">
      <c r="A525" s="7"/>
      <c r="B525" s="7"/>
      <c r="C525" s="7"/>
      <c r="D525" s="7"/>
      <c r="E525" s="7"/>
    </row>
    <row r="526" ht="22.5" customHeight="1">
      <c r="A526" s="7"/>
      <c r="B526" s="7"/>
      <c r="C526" s="7"/>
      <c r="D526" s="7"/>
      <c r="E526" s="7"/>
    </row>
    <row r="527" ht="22.5" customHeight="1">
      <c r="A527" s="7"/>
      <c r="B527" s="7"/>
      <c r="C527" s="7"/>
      <c r="D527" s="7"/>
      <c r="E527" s="7"/>
    </row>
    <row r="528" ht="22.5" customHeight="1">
      <c r="A528" s="7"/>
      <c r="B528" s="7"/>
      <c r="C528" s="7"/>
      <c r="D528" s="7"/>
      <c r="E528" s="7"/>
    </row>
    <row r="529" ht="22.5" customHeight="1">
      <c r="A529" s="7"/>
      <c r="B529" s="7"/>
      <c r="C529" s="7"/>
      <c r="D529" s="7"/>
      <c r="E529" s="7"/>
    </row>
    <row r="530" ht="22.5" customHeight="1">
      <c r="A530" s="7"/>
      <c r="B530" s="7"/>
      <c r="C530" s="7"/>
      <c r="D530" s="7"/>
      <c r="E530" s="7"/>
    </row>
    <row r="531" ht="22.5" customHeight="1">
      <c r="A531" s="7"/>
      <c r="B531" s="7"/>
      <c r="C531" s="7"/>
      <c r="D531" s="7"/>
      <c r="E531" s="7"/>
    </row>
    <row r="532" ht="22.5" customHeight="1">
      <c r="A532" s="7"/>
      <c r="B532" s="7"/>
      <c r="C532" s="7"/>
      <c r="D532" s="7"/>
      <c r="E532" s="7"/>
    </row>
    <row r="533" ht="22.5" customHeight="1">
      <c r="A533" s="7"/>
      <c r="B533" s="7"/>
      <c r="C533" s="7"/>
      <c r="D533" s="7"/>
      <c r="E533" s="7"/>
    </row>
    <row r="534" ht="22.5" customHeight="1">
      <c r="A534" s="7"/>
      <c r="B534" s="7"/>
      <c r="C534" s="7"/>
      <c r="D534" s="7"/>
      <c r="E534" s="7"/>
    </row>
    <row r="535" ht="22.5" customHeight="1">
      <c r="A535" s="7"/>
      <c r="B535" s="7"/>
      <c r="C535" s="7"/>
      <c r="D535" s="7"/>
      <c r="E535" s="7"/>
    </row>
    <row r="536" ht="22.5" customHeight="1">
      <c r="A536" s="7"/>
      <c r="B536" s="7"/>
      <c r="C536" s="7"/>
      <c r="D536" s="7"/>
      <c r="E536" s="7"/>
    </row>
    <row r="537" ht="22.5" customHeight="1">
      <c r="A537" s="7"/>
      <c r="B537" s="7"/>
      <c r="C537" s="7"/>
      <c r="D537" s="7"/>
      <c r="E537" s="7"/>
    </row>
    <row r="538" ht="22.5" customHeight="1">
      <c r="A538" s="7"/>
      <c r="B538" s="7"/>
      <c r="C538" s="7"/>
      <c r="D538" s="7"/>
      <c r="E538" s="7"/>
    </row>
    <row r="539" ht="22.5" customHeight="1">
      <c r="A539" s="7"/>
      <c r="B539" s="7"/>
      <c r="C539" s="7"/>
      <c r="D539" s="7"/>
      <c r="E539" s="7"/>
    </row>
    <row r="540" ht="22.5" customHeight="1">
      <c r="A540" s="7"/>
      <c r="B540" s="7"/>
      <c r="C540" s="7"/>
      <c r="D540" s="7"/>
      <c r="E540" s="7"/>
    </row>
    <row r="541" ht="22.5" customHeight="1">
      <c r="A541" s="7"/>
      <c r="B541" s="7"/>
      <c r="C541" s="7"/>
      <c r="D541" s="7"/>
      <c r="E541" s="7"/>
    </row>
    <row r="542" ht="22.5" customHeight="1">
      <c r="A542" s="7"/>
      <c r="B542" s="7"/>
      <c r="C542" s="7"/>
      <c r="D542" s="7"/>
      <c r="E542" s="7"/>
    </row>
    <row r="543" ht="22.5" customHeight="1">
      <c r="A543" s="7"/>
      <c r="B543" s="7"/>
      <c r="C543" s="7"/>
      <c r="D543" s="7"/>
      <c r="E543" s="7"/>
    </row>
    <row r="544" ht="22.5" customHeight="1">
      <c r="A544" s="7"/>
      <c r="B544" s="7"/>
      <c r="C544" s="7"/>
      <c r="D544" s="7"/>
      <c r="E544" s="7"/>
    </row>
    <row r="545" ht="22.5" customHeight="1">
      <c r="A545" s="7"/>
      <c r="B545" s="7"/>
      <c r="C545" s="7"/>
      <c r="D545" s="7"/>
      <c r="E545" s="7"/>
    </row>
    <row r="546" ht="22.5" customHeight="1">
      <c r="A546" s="7"/>
      <c r="B546" s="7"/>
      <c r="C546" s="7"/>
      <c r="D546" s="7"/>
      <c r="E546" s="7"/>
    </row>
    <row r="547" ht="22.5" customHeight="1">
      <c r="A547" s="7"/>
      <c r="B547" s="7"/>
      <c r="C547" s="7"/>
      <c r="D547" s="7"/>
      <c r="E547" s="7"/>
    </row>
    <row r="548" ht="22.5" customHeight="1">
      <c r="A548" s="7"/>
      <c r="B548" s="7"/>
      <c r="C548" s="7"/>
      <c r="D548" s="7"/>
      <c r="E548" s="7"/>
    </row>
    <row r="549" ht="22.5" customHeight="1">
      <c r="A549" s="7"/>
      <c r="B549" s="7"/>
      <c r="C549" s="7"/>
      <c r="D549" s="7"/>
      <c r="E549" s="7"/>
    </row>
    <row r="550" ht="22.5" customHeight="1">
      <c r="A550" s="7"/>
      <c r="B550" s="7"/>
      <c r="C550" s="7"/>
      <c r="D550" s="7"/>
      <c r="E550" s="7"/>
    </row>
    <row r="551" ht="22.5" customHeight="1">
      <c r="A551" s="7"/>
      <c r="B551" s="7"/>
      <c r="C551" s="7"/>
      <c r="D551" s="7"/>
      <c r="E551" s="7"/>
    </row>
    <row r="552" ht="22.5" customHeight="1">
      <c r="A552" s="7"/>
      <c r="B552" s="7"/>
      <c r="C552" s="7"/>
      <c r="D552" s="7"/>
      <c r="E552" s="7"/>
    </row>
    <row r="553" ht="22.5" customHeight="1">
      <c r="A553" s="7"/>
      <c r="B553" s="7"/>
      <c r="C553" s="7"/>
      <c r="D553" s="7"/>
      <c r="E553" s="7"/>
    </row>
    <row r="554" ht="22.5" customHeight="1">
      <c r="A554" s="7"/>
      <c r="B554" s="7"/>
      <c r="C554" s="7"/>
      <c r="D554" s="7"/>
      <c r="E554" s="7"/>
    </row>
    <row r="555" ht="22.5" customHeight="1">
      <c r="A555" s="7"/>
      <c r="B555" s="7"/>
      <c r="C555" s="7"/>
      <c r="D555" s="7"/>
      <c r="E555" s="7"/>
    </row>
    <row r="556" ht="22.5" customHeight="1">
      <c r="A556" s="7"/>
      <c r="B556" s="7"/>
      <c r="C556" s="7"/>
      <c r="D556" s="7"/>
      <c r="E556" s="7"/>
    </row>
    <row r="557" ht="22.5" customHeight="1">
      <c r="A557" s="7"/>
      <c r="B557" s="7"/>
      <c r="C557" s="7"/>
      <c r="D557" s="7"/>
      <c r="E557" s="7"/>
    </row>
    <row r="558" ht="22.5" customHeight="1">
      <c r="A558" s="7"/>
      <c r="B558" s="7"/>
      <c r="C558" s="7"/>
      <c r="D558" s="7"/>
      <c r="E558" s="7"/>
    </row>
    <row r="559" ht="22.5" customHeight="1">
      <c r="A559" s="7"/>
      <c r="B559" s="7"/>
      <c r="C559" s="7"/>
      <c r="D559" s="7"/>
      <c r="E559" s="7"/>
    </row>
    <row r="560" ht="22.5" customHeight="1">
      <c r="A560" s="7"/>
      <c r="B560" s="7"/>
      <c r="C560" s="7"/>
      <c r="D560" s="7"/>
      <c r="E560" s="7"/>
    </row>
    <row r="561" ht="22.5" customHeight="1">
      <c r="A561" s="7"/>
      <c r="B561" s="7"/>
      <c r="C561" s="7"/>
      <c r="D561" s="7"/>
      <c r="E561" s="7"/>
    </row>
    <row r="562" ht="22.5" customHeight="1">
      <c r="A562" s="7"/>
      <c r="B562" s="7"/>
      <c r="C562" s="7"/>
      <c r="D562" s="7"/>
      <c r="E562" s="7"/>
    </row>
    <row r="563" ht="22.5" customHeight="1">
      <c r="A563" s="7"/>
      <c r="B563" s="7"/>
      <c r="C563" s="7"/>
      <c r="D563" s="7"/>
      <c r="E563" s="7"/>
    </row>
    <row r="564" ht="22.5" customHeight="1">
      <c r="A564" s="7"/>
      <c r="B564" s="7"/>
      <c r="C564" s="7"/>
      <c r="D564" s="7"/>
      <c r="E564" s="7"/>
    </row>
    <row r="565" ht="22.5" customHeight="1">
      <c r="A565" s="7"/>
      <c r="B565" s="7"/>
      <c r="C565" s="7"/>
      <c r="D565" s="7"/>
      <c r="E565" s="7"/>
    </row>
    <row r="566" ht="22.5" customHeight="1">
      <c r="A566" s="7"/>
      <c r="B566" s="7"/>
      <c r="C566" s="7"/>
      <c r="D566" s="7"/>
      <c r="E566" s="7"/>
    </row>
    <row r="567" ht="22.5" customHeight="1">
      <c r="A567" s="7"/>
      <c r="B567" s="7"/>
      <c r="C567" s="7"/>
      <c r="D567" s="7"/>
      <c r="E567" s="7"/>
    </row>
    <row r="568" ht="22.5" customHeight="1">
      <c r="A568" s="7"/>
      <c r="B568" s="7"/>
      <c r="C568" s="7"/>
      <c r="D568" s="7"/>
      <c r="E568" s="7"/>
    </row>
    <row r="569" ht="22.5" customHeight="1">
      <c r="A569" s="7"/>
      <c r="B569" s="7"/>
      <c r="C569" s="7"/>
      <c r="D569" s="7"/>
      <c r="E569" s="7"/>
    </row>
    <row r="570" ht="22.5" customHeight="1">
      <c r="A570" s="7"/>
      <c r="B570" s="7"/>
      <c r="C570" s="7"/>
      <c r="D570" s="7"/>
      <c r="E570" s="7"/>
    </row>
    <row r="571" ht="22.5" customHeight="1">
      <c r="A571" s="7"/>
      <c r="B571" s="7"/>
      <c r="C571" s="7"/>
      <c r="D571" s="7"/>
      <c r="E571" s="7"/>
    </row>
    <row r="572" ht="22.5" customHeight="1">
      <c r="A572" s="7"/>
      <c r="B572" s="7"/>
      <c r="C572" s="7"/>
      <c r="D572" s="7"/>
      <c r="E572" s="7"/>
    </row>
    <row r="573" ht="22.5" customHeight="1">
      <c r="A573" s="7"/>
      <c r="B573" s="7"/>
      <c r="C573" s="7"/>
      <c r="D573" s="7"/>
      <c r="E573" s="7"/>
    </row>
    <row r="574" ht="22.5" customHeight="1">
      <c r="A574" s="7"/>
      <c r="B574" s="7"/>
      <c r="C574" s="7"/>
      <c r="D574" s="7"/>
      <c r="E574" s="7"/>
    </row>
    <row r="575" ht="22.5" customHeight="1">
      <c r="A575" s="7"/>
      <c r="B575" s="7"/>
      <c r="C575" s="7"/>
      <c r="D575" s="7"/>
      <c r="E575" s="7"/>
    </row>
    <row r="576" ht="22.5" customHeight="1">
      <c r="A576" s="7"/>
      <c r="B576" s="7"/>
      <c r="C576" s="7"/>
      <c r="D576" s="7"/>
      <c r="E576" s="7"/>
    </row>
    <row r="577" ht="22.5" customHeight="1">
      <c r="A577" s="7"/>
      <c r="B577" s="7"/>
      <c r="C577" s="7"/>
      <c r="D577" s="7"/>
      <c r="E577" s="7"/>
    </row>
    <row r="578" ht="22.5" customHeight="1">
      <c r="A578" s="7"/>
      <c r="B578" s="7"/>
      <c r="C578" s="7"/>
      <c r="D578" s="7"/>
      <c r="E578" s="7"/>
    </row>
    <row r="579" ht="22.5" customHeight="1">
      <c r="A579" s="7"/>
      <c r="B579" s="7"/>
      <c r="C579" s="7"/>
      <c r="D579" s="7"/>
      <c r="E579" s="7"/>
    </row>
    <row r="580" ht="22.5" customHeight="1">
      <c r="A580" s="7"/>
      <c r="B580" s="7"/>
      <c r="C580" s="7"/>
      <c r="D580" s="7"/>
      <c r="E580" s="7"/>
    </row>
    <row r="581" ht="22.5" customHeight="1">
      <c r="A581" s="7"/>
      <c r="B581" s="7"/>
      <c r="C581" s="7"/>
      <c r="D581" s="7"/>
      <c r="E581" s="7"/>
    </row>
    <row r="582" ht="22.5" customHeight="1">
      <c r="A582" s="7"/>
      <c r="B582" s="7"/>
      <c r="C582" s="7"/>
      <c r="D582" s="7"/>
      <c r="E582" s="7"/>
    </row>
    <row r="583" ht="22.5" customHeight="1">
      <c r="A583" s="7"/>
      <c r="B583" s="7"/>
      <c r="C583" s="7"/>
      <c r="D583" s="7"/>
      <c r="E583" s="7"/>
    </row>
    <row r="584" ht="22.5" customHeight="1">
      <c r="A584" s="7"/>
      <c r="B584" s="7"/>
      <c r="C584" s="7"/>
      <c r="D584" s="7"/>
      <c r="E584" s="7"/>
    </row>
    <row r="585" ht="22.5" customHeight="1">
      <c r="A585" s="7"/>
      <c r="B585" s="7"/>
      <c r="C585" s="7"/>
      <c r="D585" s="7"/>
      <c r="E585" s="7"/>
    </row>
    <row r="586" ht="22.5" customHeight="1">
      <c r="A586" s="7"/>
      <c r="B586" s="7"/>
      <c r="C586" s="7"/>
      <c r="D586" s="7"/>
      <c r="E586" s="7"/>
    </row>
    <row r="587" ht="22.5" customHeight="1">
      <c r="A587" s="7"/>
      <c r="B587" s="7"/>
      <c r="C587" s="7"/>
      <c r="D587" s="7"/>
      <c r="E587" s="7"/>
    </row>
    <row r="588" ht="22.5" customHeight="1">
      <c r="A588" s="7"/>
      <c r="B588" s="7"/>
      <c r="C588" s="7"/>
      <c r="D588" s="7"/>
      <c r="E588" s="7"/>
    </row>
    <row r="589" ht="22.5" customHeight="1">
      <c r="A589" s="7"/>
      <c r="B589" s="7"/>
      <c r="C589" s="7"/>
      <c r="D589" s="7"/>
      <c r="E589" s="7"/>
    </row>
    <row r="590" ht="22.5" customHeight="1">
      <c r="A590" s="7"/>
      <c r="B590" s="7"/>
      <c r="C590" s="7"/>
      <c r="D590" s="7"/>
      <c r="E590" s="7"/>
    </row>
    <row r="591" ht="22.5" customHeight="1">
      <c r="A591" s="7"/>
      <c r="B591" s="7"/>
      <c r="C591" s="7"/>
      <c r="D591" s="7"/>
      <c r="E591" s="7"/>
    </row>
    <row r="592" ht="22.5" customHeight="1">
      <c r="A592" s="7"/>
      <c r="B592" s="7"/>
      <c r="C592" s="7"/>
      <c r="D592" s="7"/>
      <c r="E592" s="7"/>
    </row>
    <row r="593" ht="22.5" customHeight="1">
      <c r="A593" s="7"/>
      <c r="B593" s="7"/>
      <c r="C593" s="7"/>
      <c r="D593" s="7"/>
      <c r="E593" s="7"/>
    </row>
    <row r="594" ht="22.5" customHeight="1">
      <c r="A594" s="7"/>
      <c r="B594" s="7"/>
      <c r="C594" s="7"/>
      <c r="D594" s="7"/>
      <c r="E594" s="7"/>
    </row>
    <row r="595" ht="22.5" customHeight="1">
      <c r="A595" s="7"/>
      <c r="B595" s="7"/>
      <c r="C595" s="7"/>
      <c r="D595" s="7"/>
      <c r="E595" s="7"/>
    </row>
    <row r="596" ht="22.5" customHeight="1">
      <c r="A596" s="7"/>
      <c r="B596" s="7"/>
      <c r="C596" s="7"/>
      <c r="D596" s="7"/>
      <c r="E596" s="7"/>
    </row>
    <row r="597" ht="22.5" customHeight="1">
      <c r="A597" s="7"/>
      <c r="B597" s="7"/>
      <c r="C597" s="7"/>
      <c r="D597" s="7"/>
      <c r="E597" s="7"/>
    </row>
    <row r="598" ht="22.5" customHeight="1">
      <c r="A598" s="7"/>
      <c r="B598" s="7"/>
      <c r="C598" s="7"/>
      <c r="D598" s="7"/>
      <c r="E598" s="7"/>
    </row>
    <row r="599" ht="22.5" customHeight="1">
      <c r="A599" s="7"/>
      <c r="B599" s="7"/>
      <c r="C599" s="7"/>
      <c r="D599" s="7"/>
      <c r="E599" s="7"/>
    </row>
    <row r="600" ht="22.5" customHeight="1">
      <c r="A600" s="7"/>
      <c r="B600" s="7"/>
      <c r="C600" s="7"/>
      <c r="D600" s="7"/>
      <c r="E600" s="7"/>
    </row>
    <row r="601" ht="22.5" customHeight="1">
      <c r="A601" s="7"/>
      <c r="B601" s="7"/>
      <c r="C601" s="7"/>
      <c r="D601" s="7"/>
      <c r="E601" s="7"/>
    </row>
    <row r="602" ht="22.5" customHeight="1">
      <c r="A602" s="7"/>
      <c r="B602" s="7"/>
      <c r="C602" s="7"/>
      <c r="D602" s="7"/>
      <c r="E602" s="7"/>
    </row>
    <row r="603" ht="22.5" customHeight="1">
      <c r="A603" s="7"/>
      <c r="B603" s="7"/>
      <c r="C603" s="7"/>
      <c r="D603" s="7"/>
      <c r="E603" s="7"/>
    </row>
    <row r="604" ht="22.5" customHeight="1">
      <c r="A604" s="7"/>
      <c r="B604" s="7"/>
      <c r="C604" s="7"/>
      <c r="D604" s="7"/>
      <c r="E604" s="7"/>
    </row>
    <row r="605" ht="22.5" customHeight="1">
      <c r="A605" s="7"/>
      <c r="B605" s="7"/>
      <c r="C605" s="7"/>
      <c r="D605" s="7"/>
      <c r="E605" s="7"/>
    </row>
    <row r="606" ht="22.5" customHeight="1">
      <c r="A606" s="7"/>
      <c r="B606" s="7"/>
      <c r="C606" s="7"/>
      <c r="D606" s="7"/>
      <c r="E606" s="7"/>
    </row>
    <row r="607" ht="22.5" customHeight="1">
      <c r="A607" s="7"/>
      <c r="B607" s="7"/>
      <c r="C607" s="7"/>
      <c r="D607" s="7"/>
      <c r="E607" s="7"/>
    </row>
    <row r="608" ht="22.5" customHeight="1">
      <c r="A608" s="7"/>
      <c r="B608" s="7"/>
      <c r="C608" s="7"/>
      <c r="D608" s="7"/>
      <c r="E608" s="7"/>
    </row>
    <row r="609" ht="22.5" customHeight="1">
      <c r="A609" s="7"/>
      <c r="B609" s="7"/>
      <c r="C609" s="7"/>
      <c r="D609" s="7"/>
      <c r="E609" s="7"/>
    </row>
    <row r="610" ht="22.5" customHeight="1">
      <c r="A610" s="7"/>
      <c r="B610" s="7"/>
      <c r="C610" s="7"/>
      <c r="D610" s="7"/>
      <c r="E610" s="7"/>
    </row>
    <row r="611" ht="22.5" customHeight="1">
      <c r="A611" s="7"/>
      <c r="B611" s="7"/>
      <c r="C611" s="7"/>
      <c r="D611" s="7"/>
      <c r="E611" s="7"/>
    </row>
    <row r="612" ht="22.5" customHeight="1">
      <c r="A612" s="7"/>
      <c r="B612" s="7"/>
      <c r="C612" s="7"/>
      <c r="D612" s="7"/>
      <c r="E612" s="7"/>
    </row>
    <row r="613" ht="22.5" customHeight="1">
      <c r="A613" s="7"/>
      <c r="B613" s="7"/>
      <c r="C613" s="7"/>
      <c r="D613" s="7"/>
      <c r="E613" s="7"/>
    </row>
    <row r="614" ht="22.5" customHeight="1">
      <c r="A614" s="7"/>
      <c r="B614" s="7"/>
      <c r="C614" s="7"/>
      <c r="D614" s="7"/>
      <c r="E614" s="7"/>
    </row>
    <row r="615" ht="22.5" customHeight="1">
      <c r="A615" s="7"/>
      <c r="B615" s="7"/>
      <c r="C615" s="7"/>
      <c r="D615" s="7"/>
      <c r="E615" s="7"/>
    </row>
    <row r="616" ht="22.5" customHeight="1">
      <c r="A616" s="7"/>
      <c r="B616" s="7"/>
      <c r="C616" s="7"/>
      <c r="D616" s="7"/>
      <c r="E616" s="7"/>
    </row>
    <row r="617" ht="22.5" customHeight="1">
      <c r="A617" s="7"/>
      <c r="B617" s="7"/>
      <c r="C617" s="7"/>
      <c r="D617" s="7"/>
      <c r="E617" s="7"/>
    </row>
    <row r="618" ht="22.5" customHeight="1">
      <c r="A618" s="7"/>
      <c r="B618" s="7"/>
      <c r="C618" s="7"/>
      <c r="D618" s="7"/>
      <c r="E618" s="7"/>
    </row>
    <row r="619" ht="22.5" customHeight="1">
      <c r="A619" s="7"/>
      <c r="B619" s="7"/>
      <c r="C619" s="7"/>
      <c r="D619" s="7"/>
      <c r="E619" s="7"/>
    </row>
    <row r="620" ht="22.5" customHeight="1">
      <c r="A620" s="7"/>
      <c r="B620" s="7"/>
      <c r="C620" s="7"/>
      <c r="D620" s="7"/>
      <c r="E620" s="7"/>
    </row>
    <row r="621" ht="22.5" customHeight="1">
      <c r="A621" s="7"/>
      <c r="B621" s="7"/>
      <c r="C621" s="7"/>
      <c r="D621" s="7"/>
      <c r="E621" s="7"/>
    </row>
    <row r="622" ht="22.5" customHeight="1">
      <c r="A622" s="7"/>
      <c r="B622" s="7"/>
      <c r="C622" s="7"/>
      <c r="D622" s="7"/>
      <c r="E622" s="7"/>
    </row>
    <row r="623" ht="22.5" customHeight="1">
      <c r="A623" s="7"/>
      <c r="B623" s="7"/>
      <c r="C623" s="7"/>
      <c r="D623" s="7"/>
      <c r="E623" s="7"/>
    </row>
    <row r="624" ht="22.5" customHeight="1">
      <c r="A624" s="7"/>
      <c r="B624" s="7"/>
      <c r="C624" s="7"/>
      <c r="D624" s="7"/>
      <c r="E624" s="7"/>
    </row>
    <row r="625" ht="22.5" customHeight="1">
      <c r="A625" s="7"/>
      <c r="B625" s="7"/>
      <c r="C625" s="7"/>
      <c r="D625" s="7"/>
      <c r="E625" s="7"/>
    </row>
    <row r="626" ht="22.5" customHeight="1">
      <c r="A626" s="7"/>
      <c r="B626" s="7"/>
      <c r="C626" s="7"/>
      <c r="D626" s="7"/>
      <c r="E626" s="7"/>
    </row>
    <row r="627" ht="22.5" customHeight="1">
      <c r="A627" s="7"/>
      <c r="B627" s="7"/>
      <c r="C627" s="7"/>
      <c r="D627" s="7"/>
      <c r="E627" s="7"/>
    </row>
    <row r="628" ht="22.5" customHeight="1">
      <c r="A628" s="7"/>
      <c r="B628" s="7"/>
      <c r="C628" s="7"/>
      <c r="D628" s="7"/>
      <c r="E628" s="7"/>
    </row>
    <row r="629" ht="22.5" customHeight="1">
      <c r="A629" s="7"/>
      <c r="B629" s="7"/>
      <c r="C629" s="7"/>
      <c r="D629" s="7"/>
      <c r="E629" s="7"/>
    </row>
    <row r="630" ht="22.5" customHeight="1">
      <c r="A630" s="7"/>
      <c r="B630" s="7"/>
      <c r="C630" s="7"/>
      <c r="D630" s="7"/>
      <c r="E630" s="7"/>
    </row>
    <row r="631" ht="22.5" customHeight="1">
      <c r="A631" s="7"/>
      <c r="B631" s="7"/>
      <c r="C631" s="7"/>
      <c r="D631" s="7"/>
      <c r="E631" s="7"/>
    </row>
    <row r="632" ht="22.5" customHeight="1">
      <c r="A632" s="7"/>
      <c r="B632" s="7"/>
      <c r="C632" s="7"/>
      <c r="D632" s="7"/>
      <c r="E632" s="7"/>
    </row>
    <row r="633" ht="22.5" customHeight="1">
      <c r="A633" s="7"/>
      <c r="B633" s="7"/>
      <c r="C633" s="7"/>
      <c r="D633" s="7"/>
      <c r="E633" s="7"/>
    </row>
    <row r="634" ht="22.5" customHeight="1">
      <c r="A634" s="7"/>
      <c r="B634" s="7"/>
      <c r="C634" s="7"/>
      <c r="D634" s="7"/>
      <c r="E634" s="7"/>
    </row>
    <row r="635" ht="22.5" customHeight="1">
      <c r="A635" s="7"/>
      <c r="B635" s="7"/>
      <c r="C635" s="7"/>
      <c r="D635" s="7"/>
      <c r="E635" s="7"/>
    </row>
    <row r="636" ht="22.5" customHeight="1">
      <c r="A636" s="7"/>
      <c r="B636" s="7"/>
      <c r="C636" s="7"/>
      <c r="D636" s="7"/>
      <c r="E636" s="7"/>
    </row>
    <row r="637" ht="22.5" customHeight="1">
      <c r="A637" s="7"/>
      <c r="B637" s="7"/>
      <c r="C637" s="7"/>
      <c r="D637" s="7"/>
      <c r="E637" s="7"/>
    </row>
    <row r="638" ht="22.5" customHeight="1">
      <c r="A638" s="7"/>
      <c r="B638" s="7"/>
      <c r="C638" s="7"/>
      <c r="D638" s="7"/>
      <c r="E638" s="7"/>
    </row>
    <row r="639" ht="22.5" customHeight="1">
      <c r="A639" s="7"/>
      <c r="B639" s="7"/>
      <c r="C639" s="7"/>
      <c r="D639" s="7"/>
      <c r="E639" s="7"/>
    </row>
    <row r="640" ht="22.5" customHeight="1">
      <c r="A640" s="7"/>
      <c r="B640" s="7"/>
      <c r="C640" s="7"/>
      <c r="D640" s="7"/>
      <c r="E640" s="7"/>
    </row>
    <row r="641" ht="22.5" customHeight="1">
      <c r="A641" s="7"/>
      <c r="B641" s="7"/>
      <c r="C641" s="7"/>
      <c r="D641" s="7"/>
      <c r="E641" s="7"/>
    </row>
    <row r="642" ht="22.5" customHeight="1">
      <c r="A642" s="7"/>
      <c r="B642" s="7"/>
      <c r="C642" s="7"/>
      <c r="D642" s="7"/>
      <c r="E642" s="7"/>
    </row>
    <row r="643" ht="22.5" customHeight="1">
      <c r="A643" s="7"/>
      <c r="B643" s="7"/>
      <c r="C643" s="7"/>
      <c r="D643" s="7"/>
      <c r="E643" s="7"/>
    </row>
    <row r="644" ht="22.5" customHeight="1">
      <c r="A644" s="7"/>
      <c r="B644" s="7"/>
      <c r="C644" s="7"/>
      <c r="D644" s="7"/>
      <c r="E644" s="7"/>
    </row>
    <row r="645" ht="22.5" customHeight="1">
      <c r="A645" s="7"/>
      <c r="B645" s="7"/>
      <c r="C645" s="7"/>
      <c r="D645" s="7"/>
      <c r="E645" s="7"/>
    </row>
    <row r="646" ht="22.5" customHeight="1">
      <c r="A646" s="7"/>
      <c r="B646" s="7"/>
      <c r="C646" s="7"/>
      <c r="D646" s="7"/>
      <c r="E646" s="7"/>
    </row>
    <row r="647" ht="22.5" customHeight="1">
      <c r="A647" s="7"/>
      <c r="B647" s="7"/>
      <c r="C647" s="7"/>
      <c r="D647" s="7"/>
      <c r="E647" s="7"/>
    </row>
    <row r="648" ht="22.5" customHeight="1">
      <c r="A648" s="7"/>
      <c r="B648" s="7"/>
      <c r="C648" s="7"/>
      <c r="D648" s="7"/>
      <c r="E648" s="7"/>
    </row>
    <row r="649" ht="22.5" customHeight="1">
      <c r="A649" s="7"/>
      <c r="B649" s="7"/>
      <c r="C649" s="7"/>
      <c r="D649" s="7"/>
      <c r="E649" s="7"/>
    </row>
    <row r="650" ht="22.5" customHeight="1">
      <c r="A650" s="7"/>
      <c r="B650" s="7"/>
      <c r="C650" s="7"/>
      <c r="D650" s="7"/>
      <c r="E650" s="7"/>
    </row>
    <row r="651" ht="22.5" customHeight="1">
      <c r="A651" s="7"/>
      <c r="B651" s="7"/>
      <c r="C651" s="7"/>
      <c r="D651" s="7"/>
      <c r="E651" s="7"/>
    </row>
    <row r="652" ht="22.5" customHeight="1">
      <c r="A652" s="7"/>
      <c r="B652" s="7"/>
      <c r="C652" s="7"/>
      <c r="D652" s="7"/>
      <c r="E652" s="7"/>
    </row>
    <row r="653" ht="22.5" customHeight="1">
      <c r="A653" s="7"/>
      <c r="B653" s="7"/>
      <c r="C653" s="7"/>
      <c r="D653" s="7"/>
      <c r="E653" s="7"/>
    </row>
    <row r="654" ht="22.5" customHeight="1">
      <c r="A654" s="7"/>
      <c r="B654" s="7"/>
      <c r="C654" s="7"/>
      <c r="D654" s="7"/>
      <c r="E654" s="7"/>
    </row>
    <row r="655" ht="22.5" customHeight="1">
      <c r="A655" s="7"/>
      <c r="B655" s="7"/>
      <c r="C655" s="7"/>
      <c r="D655" s="7"/>
      <c r="E655" s="7"/>
    </row>
    <row r="656" ht="22.5" customHeight="1">
      <c r="A656" s="7"/>
      <c r="B656" s="7"/>
      <c r="C656" s="7"/>
      <c r="D656" s="7"/>
      <c r="E656" s="7"/>
    </row>
    <row r="657" ht="22.5" customHeight="1">
      <c r="A657" s="7"/>
      <c r="B657" s="7"/>
      <c r="C657" s="7"/>
      <c r="D657" s="7"/>
      <c r="E657" s="7"/>
    </row>
    <row r="658" ht="22.5" customHeight="1">
      <c r="A658" s="7"/>
      <c r="B658" s="7"/>
      <c r="C658" s="7"/>
      <c r="D658" s="7"/>
      <c r="E658" s="7"/>
    </row>
    <row r="659" ht="22.5" customHeight="1">
      <c r="A659" s="7"/>
      <c r="B659" s="7"/>
      <c r="C659" s="7"/>
      <c r="D659" s="7"/>
      <c r="E659" s="7"/>
    </row>
    <row r="660" ht="22.5" customHeight="1">
      <c r="A660" s="7"/>
      <c r="B660" s="7"/>
      <c r="C660" s="7"/>
      <c r="D660" s="7"/>
      <c r="E660" s="7"/>
    </row>
    <row r="661" ht="22.5" customHeight="1">
      <c r="A661" s="7"/>
      <c r="B661" s="7"/>
      <c r="C661" s="7"/>
      <c r="D661" s="7"/>
      <c r="E661" s="7"/>
    </row>
    <row r="662" ht="22.5" customHeight="1">
      <c r="A662" s="7"/>
      <c r="B662" s="7"/>
      <c r="C662" s="7"/>
      <c r="D662" s="7"/>
      <c r="E662" s="7"/>
    </row>
    <row r="663" ht="22.5" customHeight="1">
      <c r="A663" s="7"/>
      <c r="B663" s="7"/>
      <c r="C663" s="7"/>
      <c r="D663" s="7"/>
      <c r="E663" s="7"/>
    </row>
    <row r="664" ht="22.5" customHeight="1">
      <c r="A664" s="7"/>
      <c r="B664" s="7"/>
      <c r="C664" s="7"/>
      <c r="D664" s="7"/>
      <c r="E664" s="7"/>
    </row>
    <row r="665" ht="22.5" customHeight="1">
      <c r="A665" s="7"/>
      <c r="B665" s="7"/>
      <c r="C665" s="7"/>
      <c r="D665" s="7"/>
      <c r="E665" s="7"/>
    </row>
    <row r="666" ht="22.5" customHeight="1">
      <c r="A666" s="7"/>
      <c r="B666" s="7"/>
      <c r="C666" s="7"/>
      <c r="D666" s="7"/>
      <c r="E666" s="7"/>
    </row>
    <row r="667" ht="22.5" customHeight="1">
      <c r="A667" s="7"/>
      <c r="B667" s="7"/>
      <c r="C667" s="7"/>
      <c r="D667" s="7"/>
      <c r="E667" s="7"/>
    </row>
    <row r="668" ht="22.5" customHeight="1">
      <c r="A668" s="7"/>
      <c r="B668" s="7"/>
      <c r="C668" s="7"/>
      <c r="D668" s="7"/>
      <c r="E668" s="7"/>
    </row>
    <row r="669" ht="22.5" customHeight="1">
      <c r="A669" s="7"/>
      <c r="B669" s="7"/>
      <c r="C669" s="7"/>
      <c r="D669" s="7"/>
      <c r="E669" s="7"/>
    </row>
    <row r="670" ht="22.5" customHeight="1">
      <c r="A670" s="7"/>
      <c r="B670" s="7"/>
      <c r="C670" s="7"/>
      <c r="D670" s="7"/>
      <c r="E670" s="7"/>
    </row>
    <row r="671" ht="22.5" customHeight="1">
      <c r="A671" s="7"/>
      <c r="B671" s="7"/>
      <c r="C671" s="7"/>
      <c r="D671" s="7"/>
      <c r="E671" s="7"/>
    </row>
    <row r="672" ht="22.5" customHeight="1">
      <c r="A672" s="7"/>
      <c r="B672" s="7"/>
      <c r="C672" s="7"/>
      <c r="D672" s="7"/>
      <c r="E672" s="7"/>
    </row>
    <row r="673" ht="22.5" customHeight="1">
      <c r="A673" s="7"/>
      <c r="B673" s="7"/>
      <c r="C673" s="7"/>
      <c r="D673" s="7"/>
      <c r="E673" s="7"/>
    </row>
    <row r="674" ht="22.5" customHeight="1">
      <c r="A674" s="7"/>
      <c r="B674" s="7"/>
      <c r="C674" s="7"/>
      <c r="D674" s="7"/>
      <c r="E674" s="7"/>
    </row>
    <row r="675" ht="22.5" customHeight="1">
      <c r="A675" s="7"/>
      <c r="B675" s="7"/>
      <c r="C675" s="7"/>
      <c r="D675" s="7"/>
      <c r="E675" s="7"/>
    </row>
    <row r="676" ht="22.5" customHeight="1">
      <c r="A676" s="7"/>
      <c r="B676" s="7"/>
      <c r="C676" s="7"/>
      <c r="D676" s="7"/>
      <c r="E676" s="7"/>
    </row>
    <row r="677" ht="22.5" customHeight="1">
      <c r="A677" s="7"/>
      <c r="B677" s="7"/>
      <c r="C677" s="7"/>
      <c r="D677" s="7"/>
      <c r="E677" s="7"/>
    </row>
    <row r="678" ht="22.5" customHeight="1">
      <c r="A678" s="7"/>
      <c r="B678" s="7"/>
      <c r="C678" s="7"/>
      <c r="D678" s="7"/>
      <c r="E678" s="7"/>
    </row>
    <row r="679" ht="22.5" customHeight="1">
      <c r="A679" s="7"/>
      <c r="B679" s="7"/>
      <c r="C679" s="7"/>
      <c r="D679" s="7"/>
      <c r="E679" s="7"/>
    </row>
    <row r="680" ht="22.5" customHeight="1">
      <c r="A680" s="7"/>
      <c r="B680" s="7"/>
      <c r="C680" s="7"/>
      <c r="D680" s="7"/>
      <c r="E680" s="7"/>
    </row>
    <row r="681" ht="22.5" customHeight="1">
      <c r="A681" s="7"/>
      <c r="B681" s="7"/>
      <c r="C681" s="7"/>
      <c r="D681" s="7"/>
      <c r="E681" s="7"/>
    </row>
    <row r="682" ht="22.5" customHeight="1">
      <c r="A682" s="7"/>
      <c r="B682" s="7"/>
      <c r="C682" s="7"/>
      <c r="D682" s="7"/>
      <c r="E682" s="7"/>
    </row>
    <row r="683" ht="22.5" customHeight="1">
      <c r="A683" s="7"/>
      <c r="B683" s="7"/>
      <c r="C683" s="7"/>
      <c r="D683" s="7"/>
      <c r="E683" s="7"/>
    </row>
    <row r="684" ht="22.5" customHeight="1">
      <c r="A684" s="7"/>
      <c r="B684" s="7"/>
      <c r="C684" s="7"/>
      <c r="D684" s="7"/>
      <c r="E684" s="7"/>
    </row>
    <row r="685" ht="22.5" customHeight="1">
      <c r="A685" s="7"/>
      <c r="B685" s="7"/>
      <c r="C685" s="7"/>
      <c r="D685" s="7"/>
      <c r="E685" s="7"/>
    </row>
    <row r="686" ht="22.5" customHeight="1">
      <c r="A686" s="7"/>
      <c r="B686" s="7"/>
      <c r="C686" s="7"/>
      <c r="D686" s="7"/>
      <c r="E686" s="7"/>
    </row>
    <row r="687" ht="22.5" customHeight="1">
      <c r="A687" s="7"/>
      <c r="B687" s="7"/>
      <c r="C687" s="7"/>
      <c r="D687" s="7"/>
      <c r="E687" s="7"/>
    </row>
    <row r="688" ht="22.5" customHeight="1">
      <c r="A688" s="7"/>
      <c r="B688" s="7"/>
      <c r="C688" s="7"/>
      <c r="D688" s="7"/>
      <c r="E688" s="7"/>
    </row>
    <row r="689" ht="22.5" customHeight="1">
      <c r="A689" s="7"/>
      <c r="B689" s="7"/>
      <c r="C689" s="7"/>
      <c r="D689" s="7"/>
      <c r="E689" s="7"/>
    </row>
    <row r="690" ht="22.5" customHeight="1">
      <c r="A690" s="7"/>
      <c r="B690" s="7"/>
      <c r="C690" s="7"/>
      <c r="D690" s="7"/>
      <c r="E690" s="7"/>
    </row>
    <row r="691" ht="22.5" customHeight="1">
      <c r="A691" s="7"/>
      <c r="B691" s="7"/>
      <c r="C691" s="7"/>
      <c r="D691" s="7"/>
      <c r="E691" s="7"/>
    </row>
    <row r="692" ht="22.5" customHeight="1">
      <c r="A692" s="7"/>
      <c r="B692" s="7"/>
      <c r="C692" s="7"/>
      <c r="D692" s="7"/>
      <c r="E692" s="7"/>
    </row>
    <row r="693" ht="22.5" customHeight="1">
      <c r="A693" s="7"/>
      <c r="B693" s="7"/>
      <c r="C693" s="7"/>
      <c r="D693" s="7"/>
      <c r="E693" s="7"/>
    </row>
    <row r="694" ht="22.5" customHeight="1">
      <c r="A694" s="7"/>
      <c r="B694" s="7"/>
      <c r="C694" s="7"/>
      <c r="D694" s="7"/>
      <c r="E694" s="7"/>
    </row>
    <row r="695" ht="22.5" customHeight="1">
      <c r="A695" s="7"/>
      <c r="B695" s="7"/>
      <c r="C695" s="7"/>
      <c r="D695" s="7"/>
      <c r="E695" s="7"/>
    </row>
    <row r="696" ht="22.5" customHeight="1">
      <c r="A696" s="7"/>
      <c r="B696" s="7"/>
      <c r="C696" s="7"/>
      <c r="D696" s="7"/>
      <c r="E696" s="7"/>
    </row>
    <row r="697" ht="22.5" customHeight="1">
      <c r="A697" s="7"/>
      <c r="B697" s="7"/>
      <c r="C697" s="7"/>
      <c r="D697" s="7"/>
      <c r="E697" s="7"/>
    </row>
    <row r="698" ht="22.5" customHeight="1">
      <c r="A698" s="7"/>
      <c r="B698" s="7"/>
      <c r="C698" s="7"/>
      <c r="D698" s="7"/>
      <c r="E698" s="7"/>
    </row>
    <row r="699" ht="22.5" customHeight="1">
      <c r="A699" s="7"/>
      <c r="B699" s="7"/>
      <c r="C699" s="7"/>
      <c r="D699" s="7"/>
      <c r="E699" s="7"/>
    </row>
    <row r="700" ht="22.5" customHeight="1">
      <c r="A700" s="7"/>
      <c r="B700" s="7"/>
      <c r="C700" s="7"/>
      <c r="D700" s="7"/>
      <c r="E700" s="7"/>
    </row>
    <row r="701" ht="22.5" customHeight="1">
      <c r="A701" s="7"/>
      <c r="B701" s="7"/>
      <c r="C701" s="7"/>
      <c r="D701" s="7"/>
      <c r="E701" s="7"/>
    </row>
    <row r="702" ht="22.5" customHeight="1">
      <c r="A702" s="7"/>
      <c r="B702" s="7"/>
      <c r="C702" s="7"/>
      <c r="D702" s="7"/>
      <c r="E702" s="7"/>
    </row>
    <row r="703" ht="22.5" customHeight="1">
      <c r="A703" s="7"/>
      <c r="B703" s="7"/>
      <c r="C703" s="7"/>
      <c r="D703" s="7"/>
      <c r="E703" s="7"/>
    </row>
    <row r="704" ht="22.5" customHeight="1">
      <c r="A704" s="7"/>
      <c r="B704" s="7"/>
      <c r="C704" s="7"/>
      <c r="D704" s="7"/>
      <c r="E704" s="7"/>
    </row>
    <row r="705" ht="22.5" customHeight="1">
      <c r="A705" s="7"/>
      <c r="B705" s="7"/>
      <c r="C705" s="7"/>
      <c r="D705" s="7"/>
      <c r="E705" s="7"/>
    </row>
    <row r="706" ht="22.5" customHeight="1">
      <c r="A706" s="7"/>
      <c r="B706" s="7"/>
      <c r="C706" s="7"/>
      <c r="D706" s="7"/>
      <c r="E706" s="7"/>
    </row>
    <row r="707" ht="22.5" customHeight="1">
      <c r="A707" s="7"/>
      <c r="B707" s="7"/>
      <c r="C707" s="7"/>
      <c r="D707" s="7"/>
      <c r="E707" s="7"/>
    </row>
    <row r="708" ht="22.5" customHeight="1">
      <c r="A708" s="7"/>
      <c r="B708" s="7"/>
      <c r="C708" s="7"/>
      <c r="D708" s="7"/>
      <c r="E708" s="7"/>
    </row>
    <row r="709" ht="22.5" customHeight="1">
      <c r="A709" s="7"/>
      <c r="B709" s="7"/>
      <c r="C709" s="7"/>
      <c r="D709" s="7"/>
      <c r="E709" s="7"/>
    </row>
    <row r="710" ht="22.5" customHeight="1">
      <c r="A710" s="7"/>
      <c r="B710" s="7"/>
      <c r="C710" s="7"/>
      <c r="D710" s="7"/>
      <c r="E710" s="7"/>
    </row>
    <row r="711" ht="22.5" customHeight="1">
      <c r="A711" s="7"/>
      <c r="B711" s="7"/>
      <c r="C711" s="7"/>
      <c r="D711" s="7"/>
      <c r="E711" s="7"/>
    </row>
    <row r="712" ht="22.5" customHeight="1">
      <c r="A712" s="7"/>
      <c r="B712" s="7"/>
      <c r="C712" s="7"/>
      <c r="D712" s="7"/>
      <c r="E712" s="7"/>
    </row>
    <row r="713" ht="22.5" customHeight="1">
      <c r="A713" s="7"/>
      <c r="B713" s="7"/>
      <c r="C713" s="7"/>
      <c r="D713" s="7"/>
      <c r="E713" s="7"/>
    </row>
    <row r="714" ht="22.5" customHeight="1">
      <c r="A714" s="7"/>
      <c r="B714" s="7"/>
      <c r="C714" s="7"/>
      <c r="D714" s="7"/>
      <c r="E714" s="7"/>
    </row>
    <row r="715" ht="22.5" customHeight="1">
      <c r="A715" s="7"/>
      <c r="B715" s="7"/>
      <c r="C715" s="7"/>
      <c r="D715" s="7"/>
      <c r="E715" s="7"/>
    </row>
    <row r="716" ht="22.5" customHeight="1">
      <c r="A716" s="7"/>
      <c r="B716" s="7"/>
      <c r="C716" s="7"/>
      <c r="D716" s="7"/>
      <c r="E716" s="7"/>
    </row>
    <row r="717" ht="22.5" customHeight="1">
      <c r="A717" s="7"/>
      <c r="B717" s="7"/>
      <c r="C717" s="7"/>
      <c r="D717" s="7"/>
      <c r="E717" s="7"/>
    </row>
    <row r="718" ht="22.5" customHeight="1">
      <c r="A718" s="7"/>
      <c r="B718" s="7"/>
      <c r="C718" s="7"/>
      <c r="D718" s="7"/>
      <c r="E718" s="7"/>
    </row>
    <row r="719" ht="22.5" customHeight="1">
      <c r="A719" s="7"/>
      <c r="B719" s="7"/>
      <c r="C719" s="7"/>
      <c r="D719" s="7"/>
      <c r="E719" s="7"/>
    </row>
    <row r="720" ht="22.5" customHeight="1">
      <c r="A720" s="7"/>
      <c r="B720" s="7"/>
      <c r="C720" s="7"/>
      <c r="D720" s="7"/>
      <c r="E720" s="7"/>
    </row>
    <row r="721" ht="22.5" customHeight="1">
      <c r="A721" s="7"/>
      <c r="B721" s="7"/>
      <c r="C721" s="7"/>
      <c r="D721" s="7"/>
      <c r="E721" s="7"/>
    </row>
    <row r="722" ht="22.5" customHeight="1">
      <c r="A722" s="7"/>
      <c r="B722" s="7"/>
      <c r="C722" s="7"/>
      <c r="D722" s="7"/>
      <c r="E722" s="7"/>
    </row>
    <row r="723" ht="22.5" customHeight="1">
      <c r="A723" s="7"/>
      <c r="B723" s="7"/>
      <c r="C723" s="7"/>
      <c r="D723" s="7"/>
      <c r="E723" s="7"/>
    </row>
    <row r="724" ht="22.5" customHeight="1">
      <c r="A724" s="7"/>
      <c r="B724" s="7"/>
      <c r="C724" s="7"/>
      <c r="D724" s="7"/>
      <c r="E724" s="7"/>
    </row>
    <row r="725" ht="22.5" customHeight="1">
      <c r="A725" s="7"/>
      <c r="B725" s="7"/>
      <c r="C725" s="7"/>
      <c r="D725" s="7"/>
      <c r="E725" s="7"/>
    </row>
    <row r="726" ht="22.5" customHeight="1">
      <c r="A726" s="7"/>
      <c r="B726" s="7"/>
      <c r="C726" s="7"/>
      <c r="D726" s="7"/>
      <c r="E726" s="7"/>
    </row>
    <row r="727" ht="22.5" customHeight="1">
      <c r="A727" s="7"/>
      <c r="B727" s="7"/>
      <c r="C727" s="7"/>
      <c r="D727" s="7"/>
      <c r="E727" s="7"/>
    </row>
    <row r="728" ht="22.5" customHeight="1">
      <c r="A728" s="7"/>
      <c r="B728" s="7"/>
      <c r="C728" s="7"/>
      <c r="D728" s="7"/>
      <c r="E728" s="7"/>
    </row>
    <row r="729" ht="22.5" customHeight="1">
      <c r="A729" s="7"/>
      <c r="B729" s="7"/>
      <c r="C729" s="7"/>
      <c r="D729" s="7"/>
      <c r="E729" s="7"/>
    </row>
    <row r="730" ht="22.5" customHeight="1">
      <c r="A730" s="7"/>
      <c r="B730" s="7"/>
      <c r="C730" s="7"/>
      <c r="D730" s="7"/>
      <c r="E730" s="7"/>
    </row>
    <row r="731" ht="22.5" customHeight="1">
      <c r="A731" s="7"/>
      <c r="B731" s="7"/>
      <c r="C731" s="7"/>
      <c r="D731" s="7"/>
      <c r="E731" s="7"/>
    </row>
    <row r="732" ht="22.5" customHeight="1">
      <c r="A732" s="7"/>
      <c r="B732" s="7"/>
      <c r="C732" s="7"/>
      <c r="D732" s="7"/>
      <c r="E732" s="7"/>
    </row>
    <row r="733" ht="22.5" customHeight="1">
      <c r="A733" s="7"/>
      <c r="B733" s="7"/>
      <c r="C733" s="7"/>
      <c r="D733" s="7"/>
      <c r="E733" s="7"/>
    </row>
    <row r="734" ht="22.5" customHeight="1">
      <c r="A734" s="7"/>
      <c r="B734" s="7"/>
      <c r="C734" s="7"/>
      <c r="D734" s="7"/>
      <c r="E734" s="7"/>
    </row>
    <row r="735" ht="22.5" customHeight="1">
      <c r="A735" s="7"/>
      <c r="B735" s="7"/>
      <c r="C735" s="7"/>
      <c r="D735" s="7"/>
      <c r="E735" s="7"/>
    </row>
    <row r="736" ht="22.5" customHeight="1">
      <c r="A736" s="7"/>
      <c r="B736" s="7"/>
      <c r="C736" s="7"/>
      <c r="D736" s="7"/>
      <c r="E736" s="7"/>
    </row>
    <row r="737" ht="22.5" customHeight="1">
      <c r="A737" s="7"/>
      <c r="B737" s="7"/>
      <c r="C737" s="7"/>
      <c r="D737" s="7"/>
      <c r="E737" s="7"/>
    </row>
    <row r="738" ht="22.5" customHeight="1">
      <c r="A738" s="7"/>
      <c r="B738" s="7"/>
      <c r="C738" s="7"/>
      <c r="D738" s="7"/>
      <c r="E738" s="7"/>
    </row>
    <row r="739" ht="22.5" customHeight="1">
      <c r="A739" s="7"/>
      <c r="B739" s="7"/>
      <c r="C739" s="7"/>
      <c r="D739" s="7"/>
      <c r="E739" s="7"/>
    </row>
    <row r="740" ht="22.5" customHeight="1">
      <c r="A740" s="7"/>
      <c r="B740" s="7"/>
      <c r="C740" s="7"/>
      <c r="D740" s="7"/>
      <c r="E740" s="7"/>
    </row>
    <row r="741" ht="22.5" customHeight="1">
      <c r="A741" s="7"/>
      <c r="B741" s="7"/>
      <c r="C741" s="7"/>
      <c r="D741" s="7"/>
      <c r="E741" s="7"/>
    </row>
    <row r="742" ht="22.5" customHeight="1">
      <c r="A742" s="7"/>
      <c r="B742" s="7"/>
      <c r="C742" s="7"/>
      <c r="D742" s="7"/>
      <c r="E742" s="7"/>
    </row>
    <row r="743" ht="22.5" customHeight="1">
      <c r="A743" s="7"/>
      <c r="B743" s="7"/>
      <c r="C743" s="7"/>
      <c r="D743" s="7"/>
      <c r="E743" s="7"/>
    </row>
    <row r="744" ht="22.5" customHeight="1">
      <c r="A744" s="7"/>
      <c r="B744" s="7"/>
      <c r="C744" s="7"/>
      <c r="D744" s="7"/>
      <c r="E744" s="7"/>
    </row>
    <row r="745" ht="22.5" customHeight="1">
      <c r="A745" s="7"/>
      <c r="B745" s="7"/>
      <c r="C745" s="7"/>
      <c r="D745" s="7"/>
      <c r="E745" s="7"/>
    </row>
    <row r="746" ht="22.5" customHeight="1">
      <c r="A746" s="7"/>
      <c r="B746" s="7"/>
      <c r="C746" s="7"/>
      <c r="D746" s="7"/>
      <c r="E746" s="7"/>
    </row>
    <row r="747" ht="22.5" customHeight="1">
      <c r="A747" s="7"/>
      <c r="B747" s="7"/>
      <c r="C747" s="7"/>
      <c r="D747" s="7"/>
      <c r="E747" s="7"/>
    </row>
    <row r="748" ht="22.5" customHeight="1">
      <c r="A748" s="7"/>
      <c r="B748" s="7"/>
      <c r="C748" s="7"/>
      <c r="D748" s="7"/>
      <c r="E748" s="7"/>
    </row>
    <row r="749" ht="22.5" customHeight="1">
      <c r="A749" s="7"/>
      <c r="B749" s="7"/>
      <c r="C749" s="7"/>
      <c r="D749" s="7"/>
      <c r="E749" s="7"/>
    </row>
    <row r="750" ht="22.5" customHeight="1">
      <c r="A750" s="7"/>
      <c r="B750" s="7"/>
      <c r="C750" s="7"/>
      <c r="D750" s="7"/>
      <c r="E750" s="7"/>
    </row>
    <row r="751" ht="22.5" customHeight="1">
      <c r="A751" s="7"/>
      <c r="B751" s="7"/>
      <c r="C751" s="7"/>
      <c r="D751" s="7"/>
      <c r="E751" s="7"/>
    </row>
    <row r="752" ht="22.5" customHeight="1">
      <c r="A752" s="7"/>
      <c r="B752" s="7"/>
      <c r="C752" s="7"/>
      <c r="D752" s="7"/>
      <c r="E752" s="7"/>
    </row>
    <row r="753" ht="22.5" customHeight="1">
      <c r="A753" s="7"/>
      <c r="B753" s="7"/>
      <c r="C753" s="7"/>
      <c r="D753" s="7"/>
      <c r="E753" s="7"/>
    </row>
    <row r="754" ht="22.5" customHeight="1">
      <c r="A754" s="7"/>
      <c r="B754" s="7"/>
      <c r="C754" s="7"/>
      <c r="D754" s="7"/>
      <c r="E754" s="7"/>
    </row>
    <row r="755" ht="22.5" customHeight="1">
      <c r="A755" s="7"/>
      <c r="B755" s="7"/>
      <c r="C755" s="7"/>
      <c r="D755" s="7"/>
      <c r="E755" s="7"/>
    </row>
    <row r="756" ht="22.5" customHeight="1">
      <c r="A756" s="7"/>
      <c r="B756" s="7"/>
      <c r="C756" s="7"/>
      <c r="D756" s="7"/>
      <c r="E756" s="7"/>
    </row>
    <row r="757" ht="22.5" customHeight="1">
      <c r="A757" s="7"/>
      <c r="B757" s="7"/>
      <c r="C757" s="7"/>
      <c r="D757" s="7"/>
      <c r="E757" s="7"/>
    </row>
    <row r="758" ht="22.5" customHeight="1">
      <c r="A758" s="7"/>
      <c r="B758" s="7"/>
      <c r="C758" s="7"/>
      <c r="D758" s="7"/>
      <c r="E758" s="7"/>
    </row>
    <row r="759" ht="22.5" customHeight="1">
      <c r="A759" s="7"/>
      <c r="B759" s="7"/>
      <c r="C759" s="7"/>
      <c r="D759" s="7"/>
      <c r="E759" s="7"/>
    </row>
    <row r="760" ht="22.5" customHeight="1">
      <c r="A760" s="7"/>
      <c r="B760" s="7"/>
      <c r="C760" s="7"/>
      <c r="D760" s="7"/>
      <c r="E760" s="7"/>
    </row>
    <row r="761" ht="22.5" customHeight="1">
      <c r="A761" s="7"/>
      <c r="B761" s="7"/>
      <c r="C761" s="7"/>
      <c r="D761" s="7"/>
      <c r="E761" s="7"/>
    </row>
    <row r="762" ht="22.5" customHeight="1">
      <c r="A762" s="7"/>
      <c r="B762" s="7"/>
      <c r="C762" s="7"/>
      <c r="D762" s="7"/>
      <c r="E762" s="7"/>
    </row>
    <row r="763" ht="22.5" customHeight="1">
      <c r="A763" s="7"/>
      <c r="B763" s="7"/>
      <c r="C763" s="7"/>
      <c r="D763" s="7"/>
      <c r="E763" s="7"/>
    </row>
    <row r="764" ht="22.5" customHeight="1">
      <c r="A764" s="7"/>
      <c r="B764" s="7"/>
      <c r="C764" s="7"/>
      <c r="D764" s="7"/>
      <c r="E764" s="7"/>
    </row>
    <row r="765" ht="22.5" customHeight="1">
      <c r="A765" s="7"/>
      <c r="B765" s="7"/>
      <c r="C765" s="7"/>
      <c r="D765" s="7"/>
      <c r="E765" s="7"/>
    </row>
    <row r="766" ht="22.5" customHeight="1">
      <c r="A766" s="7"/>
      <c r="B766" s="7"/>
      <c r="C766" s="7"/>
      <c r="D766" s="7"/>
      <c r="E766" s="7"/>
    </row>
    <row r="767" ht="22.5" customHeight="1">
      <c r="A767" s="7"/>
      <c r="B767" s="7"/>
      <c r="C767" s="7"/>
      <c r="D767" s="7"/>
      <c r="E767" s="7"/>
    </row>
    <row r="768" ht="22.5" customHeight="1">
      <c r="A768" s="7"/>
      <c r="B768" s="7"/>
      <c r="C768" s="7"/>
      <c r="D768" s="7"/>
      <c r="E768" s="7"/>
    </row>
    <row r="769" ht="22.5" customHeight="1">
      <c r="A769" s="7"/>
      <c r="B769" s="7"/>
      <c r="C769" s="7"/>
      <c r="D769" s="7"/>
      <c r="E769" s="7"/>
    </row>
    <row r="770" ht="22.5" customHeight="1">
      <c r="A770" s="7"/>
      <c r="B770" s="7"/>
      <c r="C770" s="7"/>
      <c r="D770" s="7"/>
      <c r="E770" s="7"/>
    </row>
    <row r="771" ht="22.5" customHeight="1">
      <c r="A771" s="7"/>
      <c r="B771" s="7"/>
      <c r="C771" s="7"/>
      <c r="D771" s="7"/>
      <c r="E771" s="7"/>
    </row>
    <row r="772" ht="22.5" customHeight="1">
      <c r="A772" s="7"/>
      <c r="B772" s="7"/>
      <c r="C772" s="7"/>
      <c r="D772" s="7"/>
      <c r="E772" s="7"/>
    </row>
    <row r="773" ht="22.5" customHeight="1">
      <c r="A773" s="7"/>
      <c r="B773" s="7"/>
      <c r="C773" s="7"/>
      <c r="D773" s="7"/>
      <c r="E773" s="7"/>
    </row>
    <row r="774" ht="22.5" customHeight="1">
      <c r="A774" s="7"/>
      <c r="B774" s="7"/>
      <c r="C774" s="7"/>
      <c r="D774" s="7"/>
      <c r="E774" s="7"/>
    </row>
    <row r="775" ht="22.5" customHeight="1">
      <c r="A775" s="7"/>
      <c r="B775" s="7"/>
      <c r="C775" s="7"/>
      <c r="D775" s="7"/>
      <c r="E775" s="7"/>
    </row>
    <row r="776" ht="22.5" customHeight="1">
      <c r="A776" s="7"/>
      <c r="B776" s="7"/>
      <c r="C776" s="7"/>
      <c r="D776" s="7"/>
      <c r="E776" s="7"/>
    </row>
    <row r="777" ht="22.5" customHeight="1">
      <c r="A777" s="7"/>
      <c r="B777" s="7"/>
      <c r="C777" s="7"/>
      <c r="D777" s="7"/>
      <c r="E777" s="7"/>
    </row>
    <row r="778" ht="22.5" customHeight="1">
      <c r="A778" s="7"/>
      <c r="B778" s="7"/>
      <c r="C778" s="7"/>
      <c r="D778" s="7"/>
      <c r="E778" s="7"/>
    </row>
    <row r="779" ht="22.5" customHeight="1">
      <c r="A779" s="7"/>
      <c r="B779" s="7"/>
      <c r="C779" s="7"/>
      <c r="D779" s="7"/>
      <c r="E779" s="7"/>
    </row>
    <row r="780" ht="22.5" customHeight="1">
      <c r="A780" s="7"/>
      <c r="B780" s="7"/>
      <c r="C780" s="7"/>
      <c r="D780" s="7"/>
      <c r="E780" s="7"/>
    </row>
    <row r="781" ht="22.5" customHeight="1">
      <c r="A781" s="7"/>
      <c r="B781" s="7"/>
      <c r="C781" s="7"/>
      <c r="D781" s="7"/>
      <c r="E781" s="7"/>
    </row>
    <row r="782" ht="22.5" customHeight="1">
      <c r="A782" s="7"/>
      <c r="B782" s="7"/>
      <c r="C782" s="7"/>
      <c r="D782" s="7"/>
      <c r="E782" s="7"/>
    </row>
    <row r="783" ht="22.5" customHeight="1">
      <c r="A783" s="7"/>
      <c r="B783" s="7"/>
      <c r="C783" s="7"/>
      <c r="D783" s="7"/>
      <c r="E783" s="7"/>
    </row>
    <row r="784" ht="22.5" customHeight="1">
      <c r="A784" s="7"/>
      <c r="B784" s="7"/>
      <c r="C784" s="7"/>
      <c r="D784" s="7"/>
      <c r="E784" s="7"/>
    </row>
    <row r="785" ht="22.5" customHeight="1">
      <c r="A785" s="7"/>
      <c r="B785" s="7"/>
      <c r="C785" s="7"/>
      <c r="D785" s="7"/>
      <c r="E785" s="7"/>
    </row>
    <row r="786" ht="22.5" customHeight="1">
      <c r="A786" s="7"/>
      <c r="B786" s="7"/>
      <c r="C786" s="7"/>
      <c r="D786" s="7"/>
      <c r="E786" s="7"/>
    </row>
    <row r="787" ht="22.5" customHeight="1">
      <c r="A787" s="7"/>
      <c r="B787" s="7"/>
      <c r="C787" s="7"/>
      <c r="D787" s="7"/>
      <c r="E787" s="7"/>
    </row>
    <row r="788" ht="22.5" customHeight="1">
      <c r="A788" s="7"/>
      <c r="B788" s="7"/>
      <c r="C788" s="7"/>
      <c r="D788" s="7"/>
      <c r="E788" s="7"/>
    </row>
    <row r="789" ht="22.5" customHeight="1">
      <c r="A789" s="7"/>
      <c r="B789" s="7"/>
      <c r="C789" s="7"/>
      <c r="D789" s="7"/>
      <c r="E789" s="7"/>
    </row>
    <row r="790" ht="22.5" customHeight="1">
      <c r="A790" s="7"/>
      <c r="B790" s="7"/>
      <c r="C790" s="7"/>
      <c r="D790" s="7"/>
      <c r="E790" s="7"/>
    </row>
    <row r="791" ht="22.5" customHeight="1">
      <c r="A791" s="7"/>
      <c r="B791" s="7"/>
      <c r="C791" s="7"/>
      <c r="D791" s="7"/>
      <c r="E791" s="7"/>
    </row>
    <row r="792" ht="22.5" customHeight="1">
      <c r="A792" s="7"/>
      <c r="B792" s="7"/>
      <c r="C792" s="7"/>
      <c r="D792" s="7"/>
      <c r="E792" s="7"/>
    </row>
    <row r="793" ht="22.5" customHeight="1">
      <c r="A793" s="7"/>
      <c r="B793" s="7"/>
      <c r="C793" s="7"/>
      <c r="D793" s="7"/>
      <c r="E793" s="7"/>
    </row>
    <row r="794" ht="22.5" customHeight="1">
      <c r="A794" s="7"/>
      <c r="B794" s="7"/>
      <c r="C794" s="7"/>
      <c r="D794" s="7"/>
      <c r="E794" s="7"/>
    </row>
    <row r="795" ht="22.5" customHeight="1">
      <c r="A795" s="7"/>
      <c r="B795" s="7"/>
      <c r="C795" s="7"/>
      <c r="D795" s="7"/>
      <c r="E795" s="7"/>
    </row>
    <row r="796" ht="22.5" customHeight="1">
      <c r="A796" s="7"/>
      <c r="B796" s="7"/>
      <c r="C796" s="7"/>
      <c r="D796" s="7"/>
      <c r="E796" s="7"/>
    </row>
    <row r="797" ht="22.5" customHeight="1">
      <c r="A797" s="7"/>
      <c r="B797" s="7"/>
      <c r="C797" s="7"/>
      <c r="D797" s="7"/>
      <c r="E797" s="7"/>
    </row>
    <row r="798" ht="22.5" customHeight="1">
      <c r="A798" s="7"/>
      <c r="B798" s="7"/>
      <c r="C798" s="7"/>
      <c r="D798" s="7"/>
      <c r="E798" s="7"/>
    </row>
    <row r="799" ht="22.5" customHeight="1">
      <c r="A799" s="7"/>
      <c r="B799" s="7"/>
      <c r="C799" s="7"/>
      <c r="D799" s="7"/>
      <c r="E799" s="7"/>
    </row>
    <row r="800" ht="22.5" customHeight="1">
      <c r="A800" s="7"/>
      <c r="B800" s="7"/>
      <c r="C800" s="7"/>
      <c r="D800" s="7"/>
      <c r="E800" s="7"/>
    </row>
    <row r="801" ht="22.5" customHeight="1">
      <c r="A801" s="7"/>
      <c r="B801" s="7"/>
      <c r="C801" s="7"/>
      <c r="D801" s="7"/>
      <c r="E801" s="7"/>
    </row>
    <row r="802" ht="22.5" customHeight="1">
      <c r="A802" s="7"/>
      <c r="B802" s="7"/>
      <c r="C802" s="7"/>
      <c r="D802" s="7"/>
      <c r="E802" s="7"/>
    </row>
    <row r="803" ht="22.5" customHeight="1">
      <c r="A803" s="7"/>
      <c r="B803" s="7"/>
      <c r="C803" s="7"/>
      <c r="D803" s="7"/>
      <c r="E803" s="7"/>
    </row>
    <row r="804" ht="22.5" customHeight="1">
      <c r="A804" s="7"/>
      <c r="B804" s="7"/>
      <c r="C804" s="7"/>
      <c r="D804" s="7"/>
      <c r="E804" s="7"/>
    </row>
    <row r="805" ht="22.5" customHeight="1">
      <c r="A805" s="7"/>
      <c r="B805" s="7"/>
      <c r="C805" s="7"/>
      <c r="D805" s="7"/>
      <c r="E805" s="7"/>
    </row>
    <row r="806" ht="22.5" customHeight="1">
      <c r="A806" s="7"/>
      <c r="B806" s="7"/>
      <c r="C806" s="7"/>
      <c r="D806" s="7"/>
      <c r="E806" s="7"/>
    </row>
    <row r="807" ht="22.5" customHeight="1">
      <c r="A807" s="7"/>
      <c r="B807" s="7"/>
      <c r="C807" s="7"/>
      <c r="D807" s="7"/>
      <c r="E807" s="7"/>
    </row>
    <row r="808" ht="22.5" customHeight="1">
      <c r="A808" s="7"/>
      <c r="B808" s="7"/>
      <c r="C808" s="7"/>
      <c r="D808" s="7"/>
      <c r="E808" s="7"/>
    </row>
    <row r="809" ht="22.5" customHeight="1">
      <c r="A809" s="7"/>
      <c r="B809" s="7"/>
      <c r="C809" s="7"/>
      <c r="D809" s="7"/>
      <c r="E809" s="7"/>
    </row>
    <row r="810" ht="22.5" customHeight="1">
      <c r="A810" s="7"/>
      <c r="B810" s="7"/>
      <c r="C810" s="7"/>
      <c r="D810" s="7"/>
      <c r="E810" s="7"/>
    </row>
    <row r="811" ht="22.5" customHeight="1">
      <c r="A811" s="7"/>
      <c r="B811" s="7"/>
      <c r="C811" s="7"/>
      <c r="D811" s="7"/>
      <c r="E811" s="7"/>
    </row>
    <row r="812" ht="22.5" customHeight="1">
      <c r="A812" s="7"/>
      <c r="B812" s="7"/>
      <c r="C812" s="7"/>
      <c r="D812" s="7"/>
      <c r="E812" s="7"/>
    </row>
    <row r="813" ht="22.5" customHeight="1">
      <c r="A813" s="7"/>
      <c r="B813" s="7"/>
      <c r="C813" s="7"/>
      <c r="D813" s="7"/>
      <c r="E813" s="7"/>
    </row>
    <row r="814" ht="22.5" customHeight="1">
      <c r="A814" s="7"/>
      <c r="B814" s="7"/>
      <c r="C814" s="7"/>
      <c r="D814" s="7"/>
      <c r="E814" s="7"/>
    </row>
    <row r="815" ht="22.5" customHeight="1">
      <c r="A815" s="7"/>
      <c r="B815" s="7"/>
      <c r="C815" s="7"/>
      <c r="D815" s="7"/>
      <c r="E815" s="7"/>
    </row>
    <row r="816" ht="22.5" customHeight="1">
      <c r="A816" s="7"/>
      <c r="B816" s="7"/>
      <c r="C816" s="7"/>
      <c r="D816" s="7"/>
      <c r="E816" s="7"/>
    </row>
    <row r="817" ht="22.5" customHeight="1">
      <c r="A817" s="7"/>
      <c r="B817" s="7"/>
      <c r="C817" s="7"/>
      <c r="D817" s="7"/>
      <c r="E817" s="7"/>
    </row>
    <row r="818" ht="22.5" customHeight="1">
      <c r="A818" s="7"/>
      <c r="B818" s="7"/>
      <c r="C818" s="7"/>
      <c r="D818" s="7"/>
      <c r="E818" s="7"/>
    </row>
    <row r="819" ht="22.5" customHeight="1">
      <c r="A819" s="7"/>
      <c r="B819" s="7"/>
      <c r="C819" s="7"/>
      <c r="D819" s="7"/>
      <c r="E819" s="7"/>
    </row>
    <row r="820" ht="22.5" customHeight="1">
      <c r="A820" s="7"/>
      <c r="B820" s="7"/>
      <c r="C820" s="7"/>
      <c r="D820" s="7"/>
      <c r="E820" s="7"/>
    </row>
    <row r="821" ht="22.5" customHeight="1">
      <c r="A821" s="7"/>
      <c r="B821" s="7"/>
      <c r="C821" s="7"/>
      <c r="D821" s="7"/>
      <c r="E821" s="7"/>
    </row>
    <row r="822" ht="22.5" customHeight="1">
      <c r="A822" s="7"/>
      <c r="B822" s="7"/>
      <c r="C822" s="7"/>
      <c r="D822" s="7"/>
      <c r="E822" s="7"/>
    </row>
    <row r="823" ht="22.5" customHeight="1">
      <c r="A823" s="7"/>
      <c r="B823" s="7"/>
      <c r="C823" s="7"/>
      <c r="D823" s="7"/>
      <c r="E823" s="7"/>
    </row>
    <row r="824" ht="22.5" customHeight="1">
      <c r="A824" s="7"/>
      <c r="B824" s="7"/>
      <c r="C824" s="7"/>
      <c r="D824" s="7"/>
      <c r="E824" s="7"/>
    </row>
    <row r="825" ht="22.5" customHeight="1">
      <c r="A825" s="7"/>
      <c r="B825" s="7"/>
      <c r="C825" s="7"/>
      <c r="D825" s="7"/>
      <c r="E825" s="7"/>
    </row>
    <row r="826" ht="22.5" customHeight="1">
      <c r="A826" s="7"/>
      <c r="B826" s="7"/>
      <c r="C826" s="7"/>
      <c r="D826" s="7"/>
      <c r="E826" s="7"/>
    </row>
    <row r="827" ht="22.5" customHeight="1">
      <c r="A827" s="7"/>
      <c r="B827" s="7"/>
      <c r="C827" s="7"/>
      <c r="D827" s="7"/>
      <c r="E827" s="7"/>
    </row>
    <row r="828" ht="22.5" customHeight="1">
      <c r="A828" s="7"/>
      <c r="B828" s="7"/>
      <c r="C828" s="7"/>
      <c r="D828" s="7"/>
      <c r="E828" s="7"/>
    </row>
    <row r="829" ht="22.5" customHeight="1">
      <c r="A829" s="7"/>
      <c r="B829" s="7"/>
      <c r="C829" s="7"/>
      <c r="D829" s="7"/>
      <c r="E829" s="7"/>
    </row>
    <row r="830" ht="22.5" customHeight="1">
      <c r="A830" s="7"/>
      <c r="B830" s="7"/>
      <c r="C830" s="7"/>
      <c r="D830" s="7"/>
      <c r="E830" s="7"/>
    </row>
    <row r="831" ht="22.5" customHeight="1">
      <c r="A831" s="7"/>
      <c r="B831" s="7"/>
      <c r="C831" s="7"/>
      <c r="D831" s="7"/>
      <c r="E831" s="7"/>
    </row>
    <row r="832" ht="22.5" customHeight="1">
      <c r="A832" s="7"/>
      <c r="B832" s="7"/>
      <c r="C832" s="7"/>
      <c r="D832" s="7"/>
      <c r="E832" s="7"/>
    </row>
    <row r="833" ht="22.5" customHeight="1">
      <c r="A833" s="7"/>
      <c r="B833" s="7"/>
      <c r="C833" s="7"/>
      <c r="D833" s="7"/>
      <c r="E833" s="7"/>
    </row>
    <row r="834" ht="22.5" customHeight="1">
      <c r="A834" s="7"/>
      <c r="B834" s="7"/>
      <c r="C834" s="7"/>
      <c r="D834" s="7"/>
      <c r="E834" s="7"/>
    </row>
    <row r="835" ht="22.5" customHeight="1">
      <c r="A835" s="7"/>
      <c r="B835" s="7"/>
      <c r="C835" s="7"/>
      <c r="D835" s="7"/>
      <c r="E835" s="7"/>
    </row>
    <row r="836" ht="22.5" customHeight="1">
      <c r="A836" s="7"/>
      <c r="B836" s="7"/>
      <c r="C836" s="7"/>
      <c r="D836" s="7"/>
      <c r="E836" s="7"/>
    </row>
    <row r="837" ht="22.5" customHeight="1">
      <c r="A837" s="7"/>
      <c r="B837" s="7"/>
      <c r="C837" s="7"/>
      <c r="D837" s="7"/>
      <c r="E837" s="7"/>
    </row>
    <row r="838" ht="22.5" customHeight="1">
      <c r="A838" s="7"/>
      <c r="B838" s="7"/>
      <c r="C838" s="7"/>
      <c r="D838" s="7"/>
      <c r="E838" s="7"/>
    </row>
    <row r="839" ht="22.5" customHeight="1">
      <c r="A839" s="7"/>
      <c r="B839" s="7"/>
      <c r="C839" s="7"/>
      <c r="D839" s="7"/>
      <c r="E839" s="7"/>
    </row>
    <row r="840" ht="22.5" customHeight="1">
      <c r="A840" s="7"/>
      <c r="B840" s="7"/>
      <c r="C840" s="7"/>
      <c r="D840" s="7"/>
      <c r="E840" s="7"/>
    </row>
    <row r="841" ht="22.5" customHeight="1">
      <c r="A841" s="7"/>
      <c r="B841" s="7"/>
      <c r="C841" s="7"/>
      <c r="D841" s="7"/>
      <c r="E841" s="7"/>
    </row>
    <row r="842" ht="22.5" customHeight="1">
      <c r="A842" s="7"/>
      <c r="B842" s="7"/>
      <c r="C842" s="7"/>
      <c r="D842" s="7"/>
      <c r="E842" s="7"/>
    </row>
    <row r="843" ht="22.5" customHeight="1">
      <c r="A843" s="7"/>
      <c r="B843" s="7"/>
      <c r="C843" s="7"/>
      <c r="D843" s="7"/>
      <c r="E843" s="7"/>
    </row>
    <row r="844" ht="22.5" customHeight="1">
      <c r="A844" s="7"/>
      <c r="B844" s="7"/>
      <c r="C844" s="7"/>
      <c r="D844" s="7"/>
      <c r="E844" s="7"/>
    </row>
    <row r="845" ht="22.5" customHeight="1">
      <c r="A845" s="7"/>
      <c r="B845" s="7"/>
      <c r="C845" s="7"/>
      <c r="D845" s="7"/>
      <c r="E845" s="7"/>
    </row>
    <row r="846" ht="22.5" customHeight="1">
      <c r="A846" s="7"/>
      <c r="B846" s="7"/>
      <c r="C846" s="7"/>
      <c r="D846" s="7"/>
      <c r="E846" s="7"/>
    </row>
    <row r="847" ht="22.5" customHeight="1">
      <c r="A847" s="7"/>
      <c r="B847" s="7"/>
      <c r="C847" s="7"/>
      <c r="D847" s="7"/>
      <c r="E847" s="7"/>
    </row>
    <row r="848" ht="22.5" customHeight="1">
      <c r="A848" s="7"/>
      <c r="B848" s="7"/>
      <c r="C848" s="7"/>
      <c r="D848" s="7"/>
      <c r="E848" s="7"/>
    </row>
    <row r="849" ht="22.5" customHeight="1">
      <c r="A849" s="7"/>
      <c r="B849" s="7"/>
      <c r="C849" s="7"/>
      <c r="D849" s="7"/>
      <c r="E849" s="7"/>
    </row>
    <row r="850" ht="22.5" customHeight="1">
      <c r="A850" s="7"/>
      <c r="B850" s="7"/>
      <c r="C850" s="7"/>
      <c r="D850" s="7"/>
      <c r="E850" s="7"/>
    </row>
    <row r="851" ht="22.5" customHeight="1">
      <c r="A851" s="7"/>
      <c r="B851" s="7"/>
      <c r="C851" s="7"/>
      <c r="D851" s="7"/>
      <c r="E851" s="7"/>
    </row>
    <row r="852" ht="22.5" customHeight="1">
      <c r="A852" s="7"/>
      <c r="B852" s="7"/>
      <c r="C852" s="7"/>
      <c r="D852" s="7"/>
      <c r="E852" s="7"/>
    </row>
    <row r="853" ht="22.5" customHeight="1">
      <c r="A853" s="7"/>
      <c r="B853" s="7"/>
      <c r="C853" s="7"/>
      <c r="D853" s="7"/>
      <c r="E853" s="7"/>
    </row>
    <row r="854" ht="22.5" customHeight="1">
      <c r="A854" s="7"/>
      <c r="B854" s="7"/>
      <c r="C854" s="7"/>
      <c r="D854" s="7"/>
      <c r="E854" s="7"/>
    </row>
    <row r="855" ht="22.5" customHeight="1">
      <c r="A855" s="7"/>
      <c r="B855" s="7"/>
      <c r="C855" s="7"/>
      <c r="D855" s="7"/>
      <c r="E855" s="7"/>
    </row>
    <row r="856" ht="22.5" customHeight="1">
      <c r="A856" s="7"/>
      <c r="B856" s="7"/>
      <c r="C856" s="7"/>
      <c r="D856" s="7"/>
      <c r="E856" s="7"/>
    </row>
    <row r="857" ht="22.5" customHeight="1">
      <c r="A857" s="7"/>
      <c r="B857" s="7"/>
      <c r="C857" s="7"/>
      <c r="D857" s="7"/>
      <c r="E857" s="7"/>
    </row>
    <row r="858" ht="22.5" customHeight="1">
      <c r="A858" s="7"/>
      <c r="B858" s="7"/>
      <c r="C858" s="7"/>
      <c r="D858" s="7"/>
      <c r="E858" s="7"/>
    </row>
    <row r="859" ht="22.5" customHeight="1">
      <c r="A859" s="7"/>
      <c r="B859" s="7"/>
      <c r="C859" s="7"/>
      <c r="D859" s="7"/>
      <c r="E859" s="7"/>
    </row>
    <row r="860" ht="22.5" customHeight="1">
      <c r="A860" s="7"/>
      <c r="B860" s="7"/>
      <c r="C860" s="7"/>
      <c r="D860" s="7"/>
      <c r="E860" s="7"/>
    </row>
    <row r="861" ht="22.5" customHeight="1">
      <c r="A861" s="7"/>
      <c r="B861" s="7"/>
      <c r="C861" s="7"/>
      <c r="D861" s="7"/>
      <c r="E861" s="7"/>
    </row>
    <row r="862" ht="22.5" customHeight="1">
      <c r="A862" s="7"/>
      <c r="B862" s="7"/>
      <c r="C862" s="7"/>
      <c r="D862" s="7"/>
      <c r="E862" s="7"/>
    </row>
    <row r="863" ht="22.5" customHeight="1">
      <c r="A863" s="7"/>
      <c r="B863" s="7"/>
      <c r="C863" s="7"/>
      <c r="D863" s="7"/>
      <c r="E863" s="7"/>
    </row>
    <row r="864" ht="22.5" customHeight="1">
      <c r="A864" s="7"/>
      <c r="B864" s="7"/>
      <c r="C864" s="7"/>
      <c r="D864" s="7"/>
      <c r="E864" s="7"/>
    </row>
    <row r="865" ht="22.5" customHeight="1">
      <c r="A865" s="7"/>
      <c r="B865" s="7"/>
      <c r="C865" s="7"/>
      <c r="D865" s="7"/>
      <c r="E865" s="7"/>
    </row>
    <row r="866" ht="22.5" customHeight="1">
      <c r="A866" s="7"/>
      <c r="B866" s="7"/>
      <c r="C866" s="7"/>
      <c r="D866" s="7"/>
      <c r="E866" s="7"/>
    </row>
    <row r="867" ht="22.5" customHeight="1">
      <c r="A867" s="7"/>
      <c r="B867" s="7"/>
      <c r="C867" s="7"/>
      <c r="D867" s="7"/>
      <c r="E867" s="7"/>
    </row>
    <row r="868" ht="22.5" customHeight="1">
      <c r="A868" s="7"/>
      <c r="B868" s="7"/>
      <c r="C868" s="7"/>
      <c r="D868" s="7"/>
      <c r="E868" s="7"/>
    </row>
    <row r="869" ht="22.5" customHeight="1">
      <c r="A869" s="7"/>
      <c r="B869" s="7"/>
      <c r="C869" s="7"/>
      <c r="D869" s="7"/>
      <c r="E869" s="7"/>
    </row>
    <row r="870" ht="22.5" customHeight="1">
      <c r="A870" s="7"/>
      <c r="B870" s="7"/>
      <c r="C870" s="7"/>
      <c r="D870" s="7"/>
      <c r="E870" s="7"/>
    </row>
    <row r="871" ht="22.5" customHeight="1">
      <c r="A871" s="7"/>
      <c r="B871" s="7"/>
      <c r="C871" s="7"/>
      <c r="D871" s="7"/>
      <c r="E871" s="7"/>
    </row>
    <row r="872" ht="22.5" customHeight="1">
      <c r="A872" s="7"/>
      <c r="B872" s="7"/>
      <c r="C872" s="7"/>
      <c r="D872" s="7"/>
      <c r="E872" s="7"/>
    </row>
    <row r="873" ht="22.5" customHeight="1">
      <c r="A873" s="7"/>
      <c r="B873" s="7"/>
      <c r="C873" s="7"/>
      <c r="D873" s="7"/>
      <c r="E873" s="7"/>
    </row>
    <row r="874" ht="22.5" customHeight="1">
      <c r="A874" s="7"/>
      <c r="B874" s="7"/>
      <c r="C874" s="7"/>
      <c r="D874" s="7"/>
      <c r="E874" s="7"/>
    </row>
    <row r="875" ht="22.5" customHeight="1">
      <c r="A875" s="7"/>
      <c r="B875" s="7"/>
      <c r="C875" s="7"/>
      <c r="D875" s="7"/>
      <c r="E875" s="7"/>
    </row>
    <row r="876" ht="22.5" customHeight="1">
      <c r="A876" s="7"/>
      <c r="B876" s="7"/>
      <c r="C876" s="7"/>
      <c r="D876" s="7"/>
      <c r="E876" s="7"/>
    </row>
    <row r="877" ht="22.5" customHeight="1">
      <c r="A877" s="7"/>
      <c r="B877" s="7"/>
      <c r="C877" s="7"/>
      <c r="D877" s="7"/>
      <c r="E877" s="7"/>
    </row>
    <row r="878" ht="22.5" customHeight="1">
      <c r="A878" s="7"/>
      <c r="B878" s="7"/>
      <c r="C878" s="7"/>
      <c r="D878" s="7"/>
      <c r="E878" s="7"/>
    </row>
    <row r="879" ht="22.5" customHeight="1">
      <c r="A879" s="7"/>
      <c r="B879" s="7"/>
      <c r="C879" s="7"/>
      <c r="D879" s="7"/>
      <c r="E879" s="7"/>
    </row>
    <row r="880" ht="22.5" customHeight="1">
      <c r="A880" s="7"/>
      <c r="B880" s="7"/>
      <c r="C880" s="7"/>
      <c r="D880" s="7"/>
      <c r="E880" s="7"/>
    </row>
    <row r="881" ht="22.5" customHeight="1">
      <c r="A881" s="7"/>
      <c r="B881" s="7"/>
      <c r="C881" s="7"/>
      <c r="D881" s="7"/>
      <c r="E881" s="7"/>
    </row>
    <row r="882" ht="22.5" customHeight="1">
      <c r="A882" s="7"/>
      <c r="B882" s="7"/>
      <c r="C882" s="7"/>
      <c r="D882" s="7"/>
      <c r="E882" s="7"/>
    </row>
    <row r="883" ht="22.5" customHeight="1">
      <c r="A883" s="7"/>
      <c r="B883" s="7"/>
      <c r="C883" s="7"/>
      <c r="D883" s="7"/>
      <c r="E883" s="7"/>
    </row>
    <row r="884" ht="22.5" customHeight="1">
      <c r="A884" s="7"/>
      <c r="B884" s="7"/>
      <c r="C884" s="7"/>
      <c r="D884" s="7"/>
      <c r="E884" s="7"/>
    </row>
    <row r="885" ht="22.5" customHeight="1">
      <c r="A885" s="7"/>
      <c r="B885" s="7"/>
      <c r="C885" s="7"/>
      <c r="D885" s="7"/>
      <c r="E885" s="7"/>
    </row>
    <row r="886" ht="22.5" customHeight="1">
      <c r="A886" s="7"/>
      <c r="B886" s="7"/>
      <c r="C886" s="7"/>
      <c r="D886" s="7"/>
      <c r="E886" s="7"/>
    </row>
    <row r="887" ht="22.5" customHeight="1">
      <c r="A887" s="7"/>
      <c r="B887" s="7"/>
      <c r="C887" s="7"/>
      <c r="D887" s="7"/>
      <c r="E887" s="7"/>
    </row>
    <row r="888" ht="22.5" customHeight="1">
      <c r="A888" s="7"/>
      <c r="B888" s="7"/>
      <c r="C888" s="7"/>
      <c r="D888" s="7"/>
      <c r="E888" s="7"/>
    </row>
    <row r="889" ht="22.5" customHeight="1">
      <c r="A889" s="7"/>
      <c r="B889" s="7"/>
      <c r="C889" s="7"/>
      <c r="D889" s="7"/>
      <c r="E889" s="7"/>
    </row>
    <row r="890" ht="22.5" customHeight="1">
      <c r="A890" s="7"/>
      <c r="B890" s="7"/>
      <c r="C890" s="7"/>
      <c r="D890" s="7"/>
      <c r="E890" s="7"/>
    </row>
    <row r="891" ht="22.5" customHeight="1">
      <c r="A891" s="7"/>
      <c r="B891" s="7"/>
      <c r="C891" s="7"/>
      <c r="D891" s="7"/>
      <c r="E891" s="7"/>
    </row>
    <row r="892" ht="22.5" customHeight="1">
      <c r="A892" s="7"/>
      <c r="B892" s="7"/>
      <c r="C892" s="7"/>
      <c r="D892" s="7"/>
      <c r="E892" s="7"/>
    </row>
    <row r="893" ht="22.5" customHeight="1">
      <c r="A893" s="7"/>
      <c r="B893" s="7"/>
      <c r="C893" s="7"/>
      <c r="D893" s="7"/>
      <c r="E893" s="7"/>
    </row>
    <row r="894" ht="22.5" customHeight="1">
      <c r="A894" s="7"/>
      <c r="B894" s="7"/>
      <c r="C894" s="7"/>
      <c r="D894" s="7"/>
      <c r="E894" s="7"/>
    </row>
    <row r="895" ht="22.5" customHeight="1">
      <c r="A895" s="7"/>
      <c r="B895" s="7"/>
      <c r="C895" s="7"/>
      <c r="D895" s="7"/>
      <c r="E895" s="7"/>
    </row>
    <row r="896" ht="22.5" customHeight="1">
      <c r="A896" s="7"/>
      <c r="B896" s="7"/>
      <c r="C896" s="7"/>
      <c r="D896" s="7"/>
      <c r="E896" s="7"/>
    </row>
    <row r="897" ht="22.5" customHeight="1">
      <c r="A897" s="7"/>
      <c r="B897" s="7"/>
      <c r="C897" s="7"/>
      <c r="D897" s="7"/>
      <c r="E897" s="7"/>
    </row>
    <row r="898" ht="22.5" customHeight="1">
      <c r="A898" s="7"/>
      <c r="B898" s="7"/>
      <c r="C898" s="7"/>
      <c r="D898" s="7"/>
      <c r="E898" s="7"/>
    </row>
    <row r="899" ht="22.5" customHeight="1">
      <c r="A899" s="7"/>
      <c r="B899" s="7"/>
      <c r="C899" s="7"/>
      <c r="D899" s="7"/>
      <c r="E899" s="7"/>
    </row>
    <row r="900" ht="22.5" customHeight="1">
      <c r="A900" s="7"/>
      <c r="B900" s="7"/>
      <c r="C900" s="7"/>
      <c r="D900" s="7"/>
      <c r="E900" s="7"/>
    </row>
    <row r="901" ht="22.5" customHeight="1">
      <c r="A901" s="7"/>
      <c r="B901" s="7"/>
      <c r="C901" s="7"/>
      <c r="D901" s="7"/>
      <c r="E901" s="7"/>
    </row>
    <row r="902" ht="22.5" customHeight="1">
      <c r="A902" s="7"/>
      <c r="B902" s="7"/>
      <c r="C902" s="7"/>
      <c r="D902" s="7"/>
      <c r="E902" s="7"/>
    </row>
    <row r="903" ht="22.5" customHeight="1">
      <c r="A903" s="7"/>
      <c r="B903" s="7"/>
      <c r="C903" s="7"/>
      <c r="D903" s="7"/>
      <c r="E903" s="7"/>
    </row>
    <row r="904" ht="22.5" customHeight="1">
      <c r="A904" s="7"/>
      <c r="B904" s="7"/>
      <c r="C904" s="7"/>
      <c r="D904" s="7"/>
      <c r="E904" s="7"/>
    </row>
    <row r="905" ht="22.5" customHeight="1">
      <c r="A905" s="7"/>
      <c r="B905" s="7"/>
      <c r="C905" s="7"/>
      <c r="D905" s="7"/>
      <c r="E905" s="7"/>
    </row>
    <row r="906" ht="22.5" customHeight="1">
      <c r="A906" s="7"/>
      <c r="B906" s="7"/>
      <c r="C906" s="7"/>
      <c r="D906" s="7"/>
      <c r="E906" s="7"/>
    </row>
    <row r="907" ht="22.5" customHeight="1">
      <c r="A907" s="7"/>
      <c r="B907" s="7"/>
      <c r="C907" s="7"/>
      <c r="D907" s="7"/>
      <c r="E907" s="7"/>
    </row>
    <row r="908" ht="22.5" customHeight="1">
      <c r="A908" s="7"/>
      <c r="B908" s="7"/>
      <c r="C908" s="7"/>
      <c r="D908" s="7"/>
      <c r="E908" s="7"/>
    </row>
    <row r="909" ht="22.5" customHeight="1">
      <c r="A909" s="7"/>
      <c r="B909" s="7"/>
      <c r="C909" s="7"/>
      <c r="D909" s="7"/>
      <c r="E909" s="7"/>
    </row>
    <row r="910" ht="22.5" customHeight="1">
      <c r="A910" s="7"/>
      <c r="B910" s="7"/>
      <c r="C910" s="7"/>
      <c r="D910" s="7"/>
      <c r="E910" s="7"/>
    </row>
    <row r="911" ht="22.5" customHeight="1">
      <c r="A911" s="7"/>
      <c r="B911" s="7"/>
      <c r="C911" s="7"/>
      <c r="D911" s="7"/>
      <c r="E911" s="7"/>
    </row>
    <row r="912" ht="22.5" customHeight="1">
      <c r="A912" s="7"/>
      <c r="B912" s="7"/>
      <c r="C912" s="7"/>
      <c r="D912" s="7"/>
      <c r="E912" s="7"/>
    </row>
    <row r="913" ht="22.5" customHeight="1">
      <c r="A913" s="7"/>
      <c r="B913" s="7"/>
      <c r="C913" s="7"/>
      <c r="D913" s="7"/>
      <c r="E913" s="7"/>
    </row>
    <row r="914" ht="22.5" customHeight="1">
      <c r="A914" s="7"/>
      <c r="B914" s="7"/>
      <c r="C914" s="7"/>
      <c r="D914" s="7"/>
      <c r="E914" s="7"/>
    </row>
    <row r="915" ht="22.5" customHeight="1">
      <c r="A915" s="7"/>
      <c r="B915" s="7"/>
      <c r="C915" s="7"/>
      <c r="D915" s="7"/>
      <c r="E915" s="7"/>
    </row>
    <row r="916" ht="22.5" customHeight="1">
      <c r="A916" s="7"/>
      <c r="B916" s="7"/>
      <c r="C916" s="7"/>
      <c r="D916" s="7"/>
      <c r="E916" s="7"/>
    </row>
    <row r="917" ht="22.5" customHeight="1">
      <c r="A917" s="7"/>
      <c r="B917" s="7"/>
      <c r="C917" s="7"/>
      <c r="D917" s="7"/>
      <c r="E917" s="7"/>
    </row>
    <row r="918" ht="22.5" customHeight="1">
      <c r="A918" s="7"/>
      <c r="B918" s="7"/>
      <c r="C918" s="7"/>
      <c r="D918" s="7"/>
      <c r="E918" s="7"/>
    </row>
    <row r="919" ht="22.5" customHeight="1">
      <c r="A919" s="7"/>
      <c r="B919" s="7"/>
      <c r="C919" s="7"/>
      <c r="D919" s="7"/>
      <c r="E919" s="7"/>
    </row>
    <row r="920" ht="22.5" customHeight="1">
      <c r="A920" s="7"/>
      <c r="B920" s="7"/>
      <c r="C920" s="7"/>
      <c r="D920" s="7"/>
      <c r="E920" s="7"/>
    </row>
    <row r="921" ht="22.5" customHeight="1">
      <c r="A921" s="7"/>
      <c r="B921" s="7"/>
      <c r="C921" s="7"/>
      <c r="D921" s="7"/>
      <c r="E921" s="7"/>
    </row>
    <row r="922" ht="22.5" customHeight="1">
      <c r="A922" s="7"/>
      <c r="B922" s="7"/>
      <c r="C922" s="7"/>
      <c r="D922" s="7"/>
      <c r="E922" s="7"/>
    </row>
    <row r="923" ht="22.5" customHeight="1">
      <c r="A923" s="7"/>
      <c r="B923" s="7"/>
      <c r="C923" s="7"/>
      <c r="D923" s="7"/>
      <c r="E923" s="7"/>
    </row>
    <row r="924" ht="22.5" customHeight="1">
      <c r="A924" s="7"/>
      <c r="B924" s="7"/>
      <c r="C924" s="7"/>
      <c r="D924" s="7"/>
      <c r="E924" s="7"/>
    </row>
    <row r="925" ht="22.5" customHeight="1">
      <c r="A925" s="7"/>
      <c r="B925" s="7"/>
      <c r="C925" s="7"/>
      <c r="D925" s="7"/>
      <c r="E925" s="7"/>
    </row>
    <row r="926" ht="22.5" customHeight="1">
      <c r="A926" s="7"/>
      <c r="B926" s="7"/>
      <c r="C926" s="7"/>
      <c r="D926" s="7"/>
      <c r="E926" s="7"/>
    </row>
    <row r="927" ht="22.5" customHeight="1">
      <c r="A927" s="7"/>
      <c r="B927" s="7"/>
      <c r="C927" s="7"/>
      <c r="D927" s="7"/>
      <c r="E927" s="7"/>
    </row>
    <row r="928" ht="22.5" customHeight="1">
      <c r="A928" s="7"/>
      <c r="B928" s="7"/>
      <c r="C928" s="7"/>
      <c r="D928" s="7"/>
      <c r="E928" s="7"/>
    </row>
    <row r="929" ht="22.5" customHeight="1">
      <c r="A929" s="7"/>
      <c r="B929" s="7"/>
      <c r="C929" s="7"/>
      <c r="D929" s="7"/>
      <c r="E929" s="7"/>
    </row>
    <row r="930" ht="22.5" customHeight="1">
      <c r="A930" s="7"/>
      <c r="B930" s="7"/>
      <c r="C930" s="7"/>
      <c r="D930" s="7"/>
      <c r="E930" s="7"/>
    </row>
    <row r="931" ht="22.5" customHeight="1">
      <c r="A931" s="7"/>
      <c r="B931" s="7"/>
      <c r="C931" s="7"/>
      <c r="D931" s="7"/>
      <c r="E931" s="7"/>
    </row>
    <row r="932" ht="22.5" customHeight="1">
      <c r="A932" s="7"/>
      <c r="B932" s="7"/>
      <c r="C932" s="7"/>
      <c r="D932" s="7"/>
      <c r="E932" s="7"/>
    </row>
    <row r="933" ht="22.5" customHeight="1">
      <c r="A933" s="7"/>
      <c r="B933" s="7"/>
      <c r="C933" s="7"/>
      <c r="D933" s="7"/>
      <c r="E933" s="7"/>
    </row>
    <row r="934" ht="22.5" customHeight="1">
      <c r="A934" s="7"/>
      <c r="B934" s="7"/>
      <c r="C934" s="7"/>
      <c r="D934" s="7"/>
      <c r="E934" s="7"/>
    </row>
    <row r="935" ht="22.5" customHeight="1">
      <c r="A935" s="7"/>
      <c r="B935" s="7"/>
      <c r="C935" s="7"/>
      <c r="D935" s="7"/>
      <c r="E935" s="7"/>
    </row>
    <row r="936" ht="22.5" customHeight="1">
      <c r="A936" s="7"/>
      <c r="B936" s="7"/>
      <c r="C936" s="7"/>
      <c r="D936" s="7"/>
      <c r="E936" s="7"/>
    </row>
    <row r="937" ht="22.5" customHeight="1">
      <c r="A937" s="7"/>
      <c r="B937" s="7"/>
      <c r="C937" s="7"/>
      <c r="D937" s="7"/>
      <c r="E937" s="7"/>
    </row>
    <row r="938" ht="22.5" customHeight="1">
      <c r="A938" s="7"/>
      <c r="B938" s="7"/>
      <c r="C938" s="7"/>
      <c r="D938" s="7"/>
      <c r="E938" s="7"/>
    </row>
    <row r="939" ht="22.5" customHeight="1">
      <c r="A939" s="7"/>
      <c r="B939" s="7"/>
      <c r="C939" s="7"/>
      <c r="D939" s="7"/>
      <c r="E939" s="7"/>
    </row>
    <row r="940" ht="22.5" customHeight="1">
      <c r="A940" s="7"/>
      <c r="B940" s="7"/>
      <c r="C940" s="7"/>
      <c r="D940" s="7"/>
      <c r="E940" s="7"/>
    </row>
    <row r="941" ht="22.5" customHeight="1">
      <c r="A941" s="7"/>
      <c r="B941" s="7"/>
      <c r="C941" s="7"/>
      <c r="D941" s="7"/>
      <c r="E941" s="7"/>
    </row>
    <row r="942" ht="22.5" customHeight="1">
      <c r="A942" s="7"/>
      <c r="B942" s="7"/>
      <c r="C942" s="7"/>
      <c r="D942" s="7"/>
      <c r="E942" s="7"/>
    </row>
    <row r="943" ht="22.5" customHeight="1">
      <c r="A943" s="7"/>
      <c r="B943" s="7"/>
      <c r="C943" s="7"/>
      <c r="D943" s="7"/>
      <c r="E943" s="7"/>
    </row>
    <row r="944" ht="22.5" customHeight="1">
      <c r="A944" s="7"/>
      <c r="B944" s="7"/>
      <c r="C944" s="7"/>
      <c r="D944" s="7"/>
      <c r="E944" s="7"/>
    </row>
    <row r="945" ht="22.5" customHeight="1">
      <c r="A945" s="7"/>
      <c r="B945" s="7"/>
      <c r="C945" s="7"/>
      <c r="D945" s="7"/>
      <c r="E945" s="7"/>
    </row>
    <row r="946" ht="22.5" customHeight="1">
      <c r="A946" s="7"/>
      <c r="B946" s="7"/>
      <c r="C946" s="7"/>
      <c r="D946" s="7"/>
      <c r="E946" s="7"/>
    </row>
    <row r="947" ht="22.5" customHeight="1">
      <c r="A947" s="7"/>
      <c r="B947" s="7"/>
      <c r="C947" s="7"/>
      <c r="D947" s="7"/>
      <c r="E947" s="7"/>
    </row>
    <row r="948" ht="22.5" customHeight="1">
      <c r="A948" s="7"/>
      <c r="B948" s="7"/>
      <c r="C948" s="7"/>
      <c r="D948" s="7"/>
      <c r="E948" s="7"/>
    </row>
    <row r="949" ht="22.5" customHeight="1">
      <c r="A949" s="7"/>
      <c r="B949" s="7"/>
      <c r="C949" s="7"/>
      <c r="D949" s="7"/>
      <c r="E949" s="7"/>
    </row>
    <row r="950" ht="22.5" customHeight="1">
      <c r="A950" s="7"/>
      <c r="B950" s="7"/>
      <c r="C950" s="7"/>
      <c r="D950" s="7"/>
      <c r="E950" s="7"/>
    </row>
    <row r="951" ht="22.5" customHeight="1">
      <c r="A951" s="7"/>
      <c r="B951" s="7"/>
      <c r="C951" s="7"/>
      <c r="D951" s="7"/>
      <c r="E951" s="7"/>
    </row>
    <row r="952" ht="22.5" customHeight="1">
      <c r="A952" s="7"/>
      <c r="B952" s="7"/>
      <c r="C952" s="7"/>
      <c r="D952" s="7"/>
      <c r="E952" s="7"/>
    </row>
    <row r="953" ht="22.5" customHeight="1">
      <c r="A953" s="7"/>
      <c r="B953" s="7"/>
      <c r="C953" s="7"/>
      <c r="D953" s="7"/>
      <c r="E953" s="7"/>
    </row>
    <row r="954" ht="22.5" customHeight="1">
      <c r="A954" s="7"/>
      <c r="B954" s="7"/>
      <c r="C954" s="7"/>
      <c r="D954" s="7"/>
      <c r="E954" s="7"/>
    </row>
    <row r="955" ht="22.5" customHeight="1">
      <c r="A955" s="7"/>
      <c r="B955" s="7"/>
      <c r="C955" s="7"/>
      <c r="D955" s="7"/>
      <c r="E955" s="7"/>
    </row>
    <row r="956" ht="22.5" customHeight="1">
      <c r="A956" s="7"/>
      <c r="B956" s="7"/>
      <c r="C956" s="7"/>
      <c r="D956" s="7"/>
      <c r="E956" s="7"/>
    </row>
    <row r="957" ht="22.5" customHeight="1">
      <c r="A957" s="7"/>
      <c r="B957" s="7"/>
      <c r="C957" s="7"/>
      <c r="D957" s="7"/>
      <c r="E957" s="7"/>
    </row>
    <row r="958" ht="22.5" customHeight="1">
      <c r="A958" s="7"/>
      <c r="B958" s="7"/>
      <c r="C958" s="7"/>
      <c r="D958" s="7"/>
      <c r="E958" s="7"/>
    </row>
    <row r="959" ht="22.5" customHeight="1">
      <c r="A959" s="7"/>
      <c r="B959" s="7"/>
      <c r="C959" s="7"/>
      <c r="D959" s="7"/>
      <c r="E959" s="7"/>
    </row>
    <row r="960" ht="22.5" customHeight="1">
      <c r="A960" s="7"/>
      <c r="B960" s="7"/>
      <c r="C960" s="7"/>
      <c r="D960" s="7"/>
      <c r="E960" s="7"/>
    </row>
    <row r="961" ht="22.5" customHeight="1">
      <c r="A961" s="7"/>
      <c r="B961" s="7"/>
      <c r="C961" s="7"/>
      <c r="D961" s="7"/>
      <c r="E961" s="7"/>
    </row>
    <row r="962" ht="22.5" customHeight="1">
      <c r="A962" s="7"/>
      <c r="B962" s="7"/>
      <c r="C962" s="7"/>
      <c r="D962" s="7"/>
      <c r="E962" s="7"/>
    </row>
    <row r="963" ht="22.5" customHeight="1">
      <c r="A963" s="7"/>
      <c r="B963" s="7"/>
      <c r="C963" s="7"/>
      <c r="D963" s="7"/>
      <c r="E963" s="7"/>
    </row>
    <row r="964" ht="22.5" customHeight="1">
      <c r="A964" s="7"/>
      <c r="B964" s="7"/>
      <c r="C964" s="7"/>
      <c r="D964" s="7"/>
      <c r="E964" s="7"/>
    </row>
    <row r="965" ht="22.5" customHeight="1">
      <c r="A965" s="7"/>
      <c r="B965" s="7"/>
      <c r="C965" s="7"/>
      <c r="D965" s="7"/>
      <c r="E965" s="7"/>
    </row>
    <row r="966" ht="22.5" customHeight="1">
      <c r="A966" s="7"/>
      <c r="B966" s="7"/>
      <c r="C966" s="7"/>
      <c r="D966" s="7"/>
      <c r="E966" s="7"/>
    </row>
    <row r="967" ht="22.5" customHeight="1">
      <c r="A967" s="7"/>
      <c r="B967" s="7"/>
      <c r="C967" s="7"/>
      <c r="D967" s="7"/>
      <c r="E967" s="7"/>
    </row>
    <row r="968" ht="22.5" customHeight="1">
      <c r="A968" s="7"/>
      <c r="B968" s="7"/>
      <c r="C968" s="7"/>
      <c r="D968" s="7"/>
      <c r="E968" s="7"/>
    </row>
    <row r="969" ht="22.5" customHeight="1">
      <c r="A969" s="7"/>
      <c r="B969" s="7"/>
      <c r="C969" s="7"/>
      <c r="D969" s="7"/>
      <c r="E969" s="7"/>
    </row>
    <row r="970" ht="22.5" customHeight="1">
      <c r="A970" s="7"/>
      <c r="B970" s="7"/>
      <c r="C970" s="7"/>
      <c r="D970" s="7"/>
      <c r="E970" s="7"/>
    </row>
    <row r="971" ht="22.5" customHeight="1">
      <c r="A971" s="7"/>
      <c r="B971" s="7"/>
      <c r="C971" s="7"/>
      <c r="D971" s="7"/>
      <c r="E971" s="7"/>
    </row>
    <row r="972" ht="22.5" customHeight="1">
      <c r="A972" s="7"/>
      <c r="B972" s="7"/>
      <c r="C972" s="7"/>
      <c r="D972" s="7"/>
      <c r="E972" s="7"/>
    </row>
    <row r="973" ht="22.5" customHeight="1">
      <c r="A973" s="7"/>
      <c r="B973" s="7"/>
      <c r="C973" s="7"/>
      <c r="D973" s="7"/>
      <c r="E973" s="7"/>
    </row>
    <row r="974" ht="22.5" customHeight="1">
      <c r="A974" s="7"/>
      <c r="B974" s="7"/>
      <c r="C974" s="7"/>
      <c r="D974" s="7"/>
      <c r="E974" s="7"/>
    </row>
    <row r="975" ht="22.5" customHeight="1">
      <c r="A975" s="7"/>
      <c r="B975" s="7"/>
      <c r="C975" s="7"/>
      <c r="D975" s="7"/>
      <c r="E975" s="7"/>
    </row>
    <row r="976" ht="22.5" customHeight="1">
      <c r="A976" s="7"/>
      <c r="B976" s="7"/>
      <c r="C976" s="7"/>
      <c r="D976" s="7"/>
      <c r="E976" s="7"/>
    </row>
    <row r="977" ht="22.5" customHeight="1">
      <c r="A977" s="7"/>
      <c r="B977" s="7"/>
      <c r="C977" s="7"/>
      <c r="D977" s="7"/>
      <c r="E977" s="7"/>
    </row>
    <row r="978" ht="22.5" customHeight="1">
      <c r="A978" s="7"/>
      <c r="B978" s="7"/>
      <c r="C978" s="7"/>
      <c r="D978" s="7"/>
      <c r="E978" s="7"/>
    </row>
    <row r="979" ht="22.5" customHeight="1">
      <c r="A979" s="7"/>
      <c r="B979" s="7"/>
      <c r="C979" s="7"/>
      <c r="D979" s="7"/>
      <c r="E979" s="7"/>
    </row>
    <row r="980" ht="22.5" customHeight="1">
      <c r="A980" s="7"/>
      <c r="B980" s="7"/>
      <c r="C980" s="7"/>
      <c r="D980" s="7"/>
      <c r="E980" s="7"/>
    </row>
    <row r="981" ht="22.5" customHeight="1">
      <c r="A981" s="7"/>
      <c r="B981" s="7"/>
      <c r="C981" s="7"/>
      <c r="D981" s="7"/>
      <c r="E981" s="7"/>
    </row>
    <row r="982" ht="22.5" customHeight="1">
      <c r="A982" s="7"/>
      <c r="B982" s="7"/>
      <c r="C982" s="7"/>
      <c r="D982" s="7"/>
      <c r="E982" s="7"/>
    </row>
    <row r="983" ht="22.5" customHeight="1">
      <c r="A983" s="7"/>
      <c r="B983" s="7"/>
      <c r="C983" s="7"/>
      <c r="D983" s="7"/>
      <c r="E983" s="7"/>
    </row>
    <row r="984" ht="22.5" customHeight="1">
      <c r="A984" s="7"/>
      <c r="B984" s="7"/>
      <c r="C984" s="7"/>
      <c r="D984" s="7"/>
      <c r="E984" s="7"/>
    </row>
    <row r="985" ht="22.5" customHeight="1">
      <c r="A985" s="7"/>
      <c r="B985" s="7"/>
      <c r="C985" s="7"/>
      <c r="D985" s="7"/>
      <c r="E985" s="7"/>
    </row>
    <row r="986" ht="22.5" customHeight="1">
      <c r="A986" s="7"/>
      <c r="B986" s="7"/>
      <c r="C986" s="7"/>
      <c r="D986" s="7"/>
      <c r="E986" s="7"/>
    </row>
    <row r="987" ht="22.5" customHeight="1">
      <c r="A987" s="7"/>
      <c r="B987" s="7"/>
      <c r="C987" s="7"/>
      <c r="D987" s="7"/>
      <c r="E987" s="7"/>
    </row>
    <row r="988" ht="22.5" customHeight="1">
      <c r="A988" s="7"/>
      <c r="B988" s="7"/>
      <c r="C988" s="7"/>
      <c r="D988" s="7"/>
      <c r="E988" s="7"/>
    </row>
    <row r="989" ht="22.5" customHeight="1">
      <c r="A989" s="7"/>
      <c r="B989" s="7"/>
      <c r="C989" s="7"/>
      <c r="D989" s="7"/>
      <c r="E989" s="7"/>
    </row>
    <row r="990" ht="22.5" customHeight="1">
      <c r="A990" s="7"/>
      <c r="B990" s="7"/>
      <c r="C990" s="7"/>
      <c r="D990" s="7"/>
      <c r="E990" s="7"/>
    </row>
    <row r="991" ht="22.5" customHeight="1">
      <c r="A991" s="7"/>
      <c r="B991" s="7"/>
      <c r="C991" s="7"/>
      <c r="D991" s="7"/>
      <c r="E991" s="7"/>
    </row>
    <row r="992" ht="22.5" customHeight="1">
      <c r="A992" s="7"/>
      <c r="B992" s="7"/>
      <c r="C992" s="7"/>
      <c r="D992" s="7"/>
      <c r="E992" s="7"/>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5" width="37.63"/>
    <col customWidth="1" min="7" max="7" width="9.63"/>
    <col customWidth="1" min="8" max="10" width="37.63"/>
    <col customWidth="1" min="11" max="11" width="27.5"/>
  </cols>
  <sheetData>
    <row r="1" ht="22.5" customHeight="1">
      <c r="A1" s="11" t="s">
        <v>0</v>
      </c>
      <c r="B1" s="11" t="s">
        <v>1</v>
      </c>
      <c r="C1" s="12" t="s">
        <v>2348</v>
      </c>
      <c r="D1" s="11" t="s">
        <v>3</v>
      </c>
      <c r="E1" s="11" t="s">
        <v>4</v>
      </c>
      <c r="G1" s="3" t="s">
        <v>5</v>
      </c>
      <c r="H1" s="4" t="s">
        <v>6</v>
      </c>
      <c r="I1" s="4" t="s">
        <v>7</v>
      </c>
      <c r="J1" s="4" t="s">
        <v>8</v>
      </c>
      <c r="K1" s="5" t="s">
        <v>9</v>
      </c>
    </row>
    <row r="2" ht="22.5" customHeight="1">
      <c r="A2" s="16">
        <v>1.0</v>
      </c>
      <c r="B2" s="8" t="s">
        <v>3590</v>
      </c>
      <c r="C2" s="8" t="s">
        <v>3591</v>
      </c>
      <c r="D2" s="8" t="s">
        <v>3592</v>
      </c>
      <c r="E2" s="8" t="s">
        <v>3593</v>
      </c>
      <c r="G2" s="14" t="str">
        <f>IFERROR(__xludf.DUMMYFUNCTION(" GOOGLETRANSLATE(A2, ""en"", ""am"")"),"1")</f>
        <v>1</v>
      </c>
      <c r="H2" s="14" t="str">
        <f>IFERROR(__xludf.DUMMYFUNCTION(" GOOGLETRANSLATE(B2, ""en"", ""am"")"),"በኢትዮጵያ የላም ዝላይ አጀማመር ስርአቱን ለመፈፀም ጀማሪው ስንት ጊዜ ከከብቶች መስመር መዝለል አለበት?")</f>
        <v>በኢትዮጵያ የላም ዝላይ አጀማመር ስርአቱን ለመፈፀም ጀማሪው ስንት ጊዜ ከከብቶች መስመር መዝለል አለበት?</v>
      </c>
      <c r="I2" s="14" t="str">
        <f>IFERROR(__xludf.DUMMYFUNCTION(" GOOGLETRANSLATE(C2, ""en"", ""am"")"),"ሀ. 2 ጊዜ ለ. 3 ጊዜ ሐ. 4 ጊዜ መ. 5 ጊዜ")</f>
        <v>ሀ. 2 ጊዜ ለ. 3 ጊዜ ሐ. 4 ጊዜ መ. 5 ጊዜ</v>
      </c>
      <c r="J2" s="14" t="str">
        <f>IFERROR(__xludf.DUMMYFUNCTION(" GOOGLETRANSLATE(D2, ""en"", ""am"")"),"ሐ) 4 ጊዜ")</f>
        <v>ሐ) 4 ጊዜ</v>
      </c>
      <c r="K2" s="14" t="str">
        <f>IFERROR(__xludf.DUMMYFUNCTION(" GOOGLETRANSLATE(E2, ""en"", ""am"")"),"ጀማሪው ሳይወድቅ አራት ጊዜ ከብቶቹን ጀርባ ላይ መዝለል አለበት፣ ይህም ብስለት እና ለአዋቂነት ዝግጁ መሆኑን ያሳያል።")</f>
        <v>ጀማሪው ሳይወድቅ አራት ጊዜ ከብቶቹን ጀርባ ላይ መዝለል አለበት፣ ይህም ብስለት እና ለአዋቂነት ዝግጁ መሆኑን ያሳያል።</v>
      </c>
    </row>
    <row r="3" ht="22.5" customHeight="1">
      <c r="A3" s="16">
        <v>2.0</v>
      </c>
      <c r="B3" s="8" t="s">
        <v>3594</v>
      </c>
      <c r="C3" s="8" t="s">
        <v>3595</v>
      </c>
      <c r="D3" s="8" t="s">
        <v>3596</v>
      </c>
      <c r="E3" s="8" t="s">
        <v>3597</v>
      </c>
      <c r="G3" s="14" t="str">
        <f>IFERROR(__xludf.DUMMYFUNCTION(" GOOGLETRANSLATE(A3, ""en"", ""am"")"),"2")</f>
        <v>2</v>
      </c>
      <c r="H3" s="14" t="str">
        <f>IFERROR(__xludf.DUMMYFUNCTION(" GOOGLETRANSLATE(B3, ""en"", ""am"")"),"በዝላይ ጊዜ ለጀማሪው የሚፈቀደው ዝቅተኛ መስፈርት ምንድን ነው?")</f>
        <v>በዝላይ ጊዜ ለጀማሪው የሚፈቀደው ዝቅተኛ መስፈርት ምንድን ነው?</v>
      </c>
      <c r="I3" s="14" t="str">
        <f>IFERROR(__xludf.DUMMYFUNCTION(" GOOGLETRANSLATE(C3, ""en"", ""am"")"),"ሀ. ቢያንስ ግማሹን ላሞች ይዝለሉ ለ. መሬት ሁለቱም እግሮች አንድ ላይ ሆነው ሐ. ሁሉንም የተደረደሩትን ላሞች ሳይወድቁ ያፅዱ D. ቢያንስ አንድ ላም በእጁ ይንኩ")</f>
        <v>ሀ. ቢያንስ ግማሹን ላሞች ይዝለሉ ለ. መሬት ሁለቱም እግሮች አንድ ላይ ሆነው ሐ. ሁሉንም የተደረደሩትን ላሞች ሳይወድቁ ያፅዱ D. ቢያንስ አንድ ላም በእጁ ይንኩ</v>
      </c>
      <c r="J3" s="14" t="str">
        <f>IFERROR(__xludf.DUMMYFUNCTION(" GOOGLETRANSLATE(D3, ""en"", ""am"")"),"ሐ) ሁሉንም የተሰለፉ ላሞች ሳይወድቁ ያፅዱ")</f>
        <v>ሐ) ሁሉንም የተሰለፉ ላሞች ሳይወድቁ ያፅዱ</v>
      </c>
      <c r="K3" s="14" t="str">
        <f>IFERROR(__xludf.DUMMYFUNCTION(" GOOGLETRANSLATE(E3, ""en"", ""am"")"),"ደንቡ ጀማሪው ሙሉውን የላሞችን ረድፍ በተሳካ ሁኔታ ማለፍ አለበት; መሰናከል ወይም መውደቅ ሙከራውን ውድቅ ያደርገዋል።")</f>
        <v>ደንቡ ጀማሪው ሙሉውን የላሞችን ረድፍ በተሳካ ሁኔታ ማለፍ አለበት; መሰናከል ወይም መውደቅ ሙከራውን ውድቅ ያደርገዋል።</v>
      </c>
    </row>
    <row r="4" ht="22.5" customHeight="1">
      <c r="A4" s="16">
        <v>3.0</v>
      </c>
      <c r="B4" s="8" t="s">
        <v>3598</v>
      </c>
      <c r="C4" s="8" t="s">
        <v>3599</v>
      </c>
      <c r="D4" s="8" t="s">
        <v>3600</v>
      </c>
      <c r="E4" s="8" t="s">
        <v>3601</v>
      </c>
      <c r="G4" s="14" t="str">
        <f>IFERROR(__xludf.DUMMYFUNCTION(" GOOGLETRANSLATE(A4, ""en"", ""am"")"),"3")</f>
        <v>3</v>
      </c>
      <c r="H4" s="14" t="str">
        <f>IFERROR(__xludf.DUMMYFUNCTION(" GOOGLETRANSLATE(B4, ""en"", ""am"")"),"በመጀመሪያው ሙከራ ወቅት አስጀማሪው ቢወድቅ ባህላዊው ውጤት ምንድነው?")</f>
        <v>በመጀመሪያው ሙከራ ወቅት አስጀማሪው ቢወድቅ ባህላዊው ውጤት ምንድነው?</v>
      </c>
      <c r="I4" s="14" t="str">
        <f>IFERROR(__xludf.DUMMYFUNCTION(" GOOGLETRANSLATE(C4, ""en"", ""am"")"),"ሀ. ለማንኛውም እንደ ትልቅ ሰው ይቆጠራል B. ካሳ መክፈል አለበት ሐ. እንደገና ለመሞከር እስከሚቀጥለው ዓመት ድረስ መጠበቅ አለበት D. በተመሳሳይ ቀን ሁለተኛ ሙከራ ተደረገ.")</f>
        <v>ሀ. ለማንኛውም እንደ ትልቅ ሰው ይቆጠራል B. ካሳ መክፈል አለበት ሐ. እንደገና ለመሞከር እስከሚቀጥለው ዓመት ድረስ መጠበቅ አለበት D. በተመሳሳይ ቀን ሁለተኛ ሙከራ ተደረገ.</v>
      </c>
      <c r="J4" s="14" t="str">
        <f>IFERROR(__xludf.DUMMYFUNCTION(" GOOGLETRANSLATE(D4, ""en"", ""am"")"),"ሐ) እንደገና ለመሞከር እስከሚቀጥለው ዓመት ድረስ መጠበቅ አለበት")</f>
        <v>ሐ) እንደገና ለመሞከር እስከሚቀጥለው ዓመት ድረስ መጠበቅ አለበት</v>
      </c>
      <c r="K4" s="14" t="str">
        <f>IFERROR(__xludf.DUMMYFUNCTION(" GOOGLETRANSLATE(E4, ""en"", ""am"")"),"ውድቀት ማለት ለሌላ ጊዜ ማስተላለፍ; በሚቀጥለው ዓመት ሥነ ሥርዓት ላይ ብቻ እንደገና መሞከር ይችላል.")</f>
        <v>ውድቀት ማለት ለሌላ ጊዜ ማስተላለፍ; በሚቀጥለው ዓመት ሥነ ሥርዓት ላይ ብቻ እንደገና መሞከር ይችላል.</v>
      </c>
    </row>
    <row r="5" ht="22.5" customHeight="1">
      <c r="A5" s="16">
        <v>4.0</v>
      </c>
      <c r="B5" s="8" t="s">
        <v>3602</v>
      </c>
      <c r="C5" s="8" t="s">
        <v>3603</v>
      </c>
      <c r="D5" s="8" t="s">
        <v>3604</v>
      </c>
      <c r="E5" s="8" t="s">
        <v>3605</v>
      </c>
      <c r="G5" s="14" t="str">
        <f>IFERROR(__xludf.DUMMYFUNCTION(" GOOGLETRANSLATE(A5, ""en"", ""am"")"),"4")</f>
        <v>4</v>
      </c>
      <c r="H5" s="14" t="str">
        <f>IFERROR(__xludf.DUMMYFUNCTION(" GOOGLETRANSLATE(B5, ""en"", ""am"")"),"ብዙውን ጊዜ የአምልኮ ሥርዓቱን የሚያደራጅ እና የሚቆጣጠረው ማነው?")</f>
        <v>ብዙውን ጊዜ የአምልኮ ሥርዓቱን የሚያደራጅ እና የሚቆጣጠረው ማነው?</v>
      </c>
      <c r="I5" s="14" t="str">
        <f>IFERROR(__xludf.DUMMYFUNCTION(" GOOGLETRANSLATE(C5, ""en"", ""am"")"),"ሀ. የመንደር ሽማግሌዎች ለ. የመንግስት ባለስልጣናት ሲ. ባልደረባ D. የአካባቢ አዳኞችን ጀመሩ")</f>
        <v>ሀ. የመንደር ሽማግሌዎች ለ. የመንግስት ባለስልጣናት ሲ. ባልደረባ D. የአካባቢ አዳኞችን ጀመሩ</v>
      </c>
      <c r="J5" s="14" t="str">
        <f>IFERROR(__xludf.DUMMYFUNCTION(" GOOGLETRANSLATE(D5, ""en"", ""am"")"),"ሀ) የመንደር ሽማግሌዎች")</f>
        <v>ሀ) የመንደር ሽማግሌዎች</v>
      </c>
      <c r="K5" s="14" t="str">
        <f>IFERROR(__xludf.DUMMYFUNCTION(" GOOGLETRANSLATE(E5, ""en"", ""am"")"),"ሽማግሌዎች የአምልኮ ሥርዓቱን ይቆጣጠራሉ, ህጎቹ መከበራቸውን እና ጅማሬው መዘጋጀቱን ያረጋግጣል.")</f>
        <v>ሽማግሌዎች የአምልኮ ሥርዓቱን ይቆጣጠራሉ, ህጎቹ መከበራቸውን እና ጅማሬው መዘጋጀቱን ያረጋግጣል.</v>
      </c>
    </row>
    <row r="6" ht="22.5" customHeight="1">
      <c r="A6" s="16">
        <v>5.0</v>
      </c>
      <c r="B6" s="8" t="s">
        <v>3606</v>
      </c>
      <c r="C6" s="8" t="s">
        <v>3607</v>
      </c>
      <c r="D6" s="8" t="s">
        <v>3608</v>
      </c>
      <c r="E6" s="8" t="s">
        <v>3609</v>
      </c>
      <c r="G6" s="14" t="str">
        <f>IFERROR(__xludf.DUMMYFUNCTION(" GOOGLETRANSLATE(A6, ""en"", ""am"")"),"5")</f>
        <v>5</v>
      </c>
      <c r="H6" s="14" t="str">
        <f>IFERROR(__xludf.DUMMYFUNCTION(" GOOGLETRANSLATE(B6, ""en"", ""am"")"),"የሴቶች ዘመዶች ከመዝለል ሥነ ሥርዓት በፊት ምን ሚና ይጫወታሉ?")</f>
        <v>የሴቶች ዘመዶች ከመዝለል ሥነ ሥርዓት በፊት ምን ሚና ይጫወታሉ?</v>
      </c>
      <c r="I6" s="14" t="str">
        <f>IFERROR(__xludf.DUMMYFUNCTION(" GOOGLETRANSLATE(C6, ""en"", ""am"")"),"A. ዝምታ ታዛቢዎች መሆን አለባቸው ለ. ይዘምራሉ፣ ይጨፍራሉ፣ አንዳንዴም የአምልኮ ሥርዓት ይገረፋሉ ሐ. ከብቶቹን ለመዝለል ያዘጋጃሉ D. የጀማሪውን ስኬት ይወስናሉ።")</f>
        <v>A. ዝምታ ታዛቢዎች መሆን አለባቸው ለ. ይዘምራሉ፣ ይጨፍራሉ፣ አንዳንዴም የአምልኮ ሥርዓት ይገረፋሉ ሐ. ከብቶቹን ለመዝለል ያዘጋጃሉ D. የጀማሪውን ስኬት ይወስናሉ።</v>
      </c>
      <c r="J6" s="14" t="str">
        <f>IFERROR(__xludf.DUMMYFUNCTION(" GOOGLETRANSLATE(D6, ""en"", ""am"")"),"ለ) ይዘምራሉ፣ ይጨፍራሉ፣ አንዳንዴም የሥርዓት ጅራፍ ይደርስባቸዋል")</f>
        <v>ለ) ይዘምራሉ፣ ይጨፍራሉ፣ አንዳንዴም የሥርዓት ጅራፍ ይደርስባቸዋል</v>
      </c>
      <c r="K6" s="14" t="str">
        <f>IFERROR(__xludf.DUMMYFUNCTION(" GOOGLETRANSLATE(E6, ""en"", ""am"")"),"ሴቶች ጀማሪውን በዘፈን ያበረታታሉ እናም በፈቃዳቸው በመገረፍ የታማኝነት እና የድጋፍ ምልክት አድርገው ይሳተፋሉ።")</f>
        <v>ሴቶች ጀማሪውን በዘፈን ያበረታታሉ እናም በፈቃዳቸው በመገረፍ የታማኝነት እና የድጋፍ ምልክት አድርገው ይሳተፋሉ።</v>
      </c>
    </row>
    <row r="7" ht="22.5" customHeight="1">
      <c r="A7" s="16">
        <v>6.0</v>
      </c>
      <c r="B7" s="8" t="s">
        <v>3610</v>
      </c>
      <c r="C7" s="8" t="s">
        <v>3611</v>
      </c>
      <c r="D7" s="8" t="s">
        <v>3612</v>
      </c>
      <c r="E7" s="8" t="s">
        <v>3613</v>
      </c>
      <c r="G7" s="14" t="str">
        <f>IFERROR(__xludf.DUMMYFUNCTION(" GOOGLETRANSLATE(A7, ""en"", ""am"")"),"6")</f>
        <v>6</v>
      </c>
      <c r="H7" s="14" t="str">
        <f>IFERROR(__xludf.DUMMYFUNCTION(" GOOGLETRANSLATE(B7, ""en"", ""am"")"),"ላሞች ሳይወድቁ የማጥራት ምሳሌያዊ ትርጉሙ ምንድን ነው?")</f>
        <v>ላሞች ሳይወድቁ የማጥራት ምሳሌያዊ ትርጉሙ ምንድን ነው?</v>
      </c>
      <c r="I7" s="14" t="str">
        <f>IFERROR(__xludf.DUMMYFUNCTION(" GOOGLETRANSLATE(C7, ""en"", ""am"")"),"A. ልጁ ተዋጊ ለመሆን ብቁ ነው ለ. እንደ ትልቅ ሰው ለትዳር ዝግጁ ሆኖ ተቀበለው ሐ. ብዙ ከብቶችን ለመንከባከብ ብቁ ሆኗል መ. ከማህበረሰቡ ሀብት ያገኛል.")</f>
        <v>A. ልጁ ተዋጊ ለመሆን ብቁ ነው ለ. እንደ ትልቅ ሰው ለትዳር ዝግጁ ሆኖ ተቀበለው ሐ. ብዙ ከብቶችን ለመንከባከብ ብቁ ሆኗል መ. ከማህበረሰቡ ሀብት ያገኛል.</v>
      </c>
      <c r="J7" s="14" t="str">
        <f>IFERROR(__xludf.DUMMYFUNCTION(" GOOGLETRANSLATE(D7, ""en"", ""am"")"),"ለ) ለትዳር ዝግጁ እንደ ትልቅ ሰው ተቀባይነት አግኝቷል")</f>
        <v>ለ) ለትዳር ዝግጁ እንደ ትልቅ ሰው ተቀባይነት አግኝቷል</v>
      </c>
      <c r="K7" s="14" t="str">
        <f>IFERROR(__xludf.DUMMYFUNCTION(" GOOGLETRANSLATE(E7, ""en"", ""am"")"),"የአምልኮ ሥርዓቱ ወደ ወንድነት እና ለጋብቻ ብቁነት መሻገርን ያመለክታል.")</f>
        <v>የአምልኮ ሥርዓቱ ወደ ወንድነት እና ለጋብቻ ብቁነት መሻገርን ያመለክታል.</v>
      </c>
    </row>
    <row r="8" ht="22.5" customHeight="1">
      <c r="A8" s="16">
        <v>7.0</v>
      </c>
      <c r="B8" s="8" t="s">
        <v>3614</v>
      </c>
      <c r="C8" s="8" t="s">
        <v>3615</v>
      </c>
      <c r="D8" s="8" t="s">
        <v>3616</v>
      </c>
      <c r="E8" s="8" t="s">
        <v>3617</v>
      </c>
      <c r="G8" s="14" t="str">
        <f>IFERROR(__xludf.DUMMYFUNCTION(" GOOGLETRANSLATE(A8, ""en"", ""am"")"),"7")</f>
        <v>7</v>
      </c>
      <c r="H8" s="14" t="str">
        <f>IFERROR(__xludf.DUMMYFUNCTION(" GOOGLETRANSLATE(B8, ""en"", ""am"")"),"በአምልኮ ሥርዓቱ ወቅት ላሞች ምን ይሆናሉ?")</f>
        <v>በአምልኮ ሥርዓቱ ወቅት ላሞች ምን ይሆናሉ?</v>
      </c>
      <c r="I8" s="14" t="str">
        <f>IFERROR(__xludf.DUMMYFUNCTION(" GOOGLETRANSLATE(C8, ""en"", ""am"")"),"ሀ/ በኋላ ይታረዳሉ ለ. ለመዝለል ጎን ለጎን ተሰልፈዋል ሐ. በቀለም እና በጌጣጌጥ ያጌጡ ናቸው መ. ለሥነ-ሥርዓቱ ለመክፈል ይሸጣሉ.")</f>
        <v>ሀ/ በኋላ ይታረዳሉ ለ. ለመዝለል ጎን ለጎን ተሰልፈዋል ሐ. በቀለም እና በጌጣጌጥ ያጌጡ ናቸው መ. ለሥነ-ሥርዓቱ ለመክፈል ይሸጣሉ.</v>
      </c>
      <c r="J8" s="14" t="str">
        <f>IFERROR(__xludf.DUMMYFUNCTION(" GOOGLETRANSLATE(D8, ""en"", ""am"")"),"ለ) ለመዝለል ጎን ለጎን ተሰልፈዋል")</f>
        <v>ለ) ለመዝለል ጎን ለጎን ተሰልፈዋል</v>
      </c>
      <c r="K8" s="14" t="str">
        <f>IFERROR(__xludf.DUMMYFUNCTION(" GOOGLETRANSLATE(E8, ""en"", ""am"")"),"ከብቶቹ በአንድ ላይ ተቀምጠዋል፣ ለጀማሪው ለመዝለል 'ዱካ' ይፈጥራሉ።")</f>
        <v>ከብቶቹ በአንድ ላይ ተቀምጠዋል፣ ለጀማሪው ለመዝለል 'ዱካ' ይፈጥራሉ።</v>
      </c>
    </row>
    <row r="9" ht="22.5" customHeight="1">
      <c r="A9" s="16">
        <v>8.0</v>
      </c>
      <c r="B9" s="8" t="s">
        <v>3618</v>
      </c>
      <c r="C9" s="8" t="s">
        <v>3619</v>
      </c>
      <c r="D9" s="8" t="s">
        <v>3620</v>
      </c>
      <c r="E9" s="8" t="s">
        <v>3621</v>
      </c>
      <c r="G9" s="14" t="str">
        <f>IFERROR(__xludf.DUMMYFUNCTION(" GOOGLETRANSLATE(A9, ""en"", ""am"")"),"8")</f>
        <v>8</v>
      </c>
      <c r="H9" s="14" t="str">
        <f>IFERROR(__xludf.DUMMYFUNCTION(" GOOGLETRANSLATE(B9, ""en"", ""am"")"),"በመዝለል ወቅት የተከለከለው ምንድን ነው?")</f>
        <v>በመዝለል ወቅት የተከለከለው ምንድን ነው?</v>
      </c>
      <c r="I9" s="14" t="str">
        <f>IFERROR(__xludf.DUMMYFUNCTION(" GOOGLETRANSLATE(C9, ""en"", ""am"")"),"ሀ. ከብቶቹን በእጅ መንካት ለ. ከላሞች መስመር መውደቅ ሐ. ከአራቱ መዝለሎች አንዱን መዝለል D. ሁሉም ከላይ ያሉት")</f>
        <v>ሀ. ከብቶቹን በእጅ መንካት ለ. ከላሞች መስመር መውደቅ ሐ. ከአራቱ መዝለሎች አንዱን መዝለል D. ሁሉም ከላይ ያሉት</v>
      </c>
      <c r="J9" s="14" t="str">
        <f>IFERROR(__xludf.DUMMYFUNCTION(" GOOGLETRANSLATE(D9, ""en"", ""am"")"),"መ) ከላይ ያሉት ሁሉም")</f>
        <v>መ) ከላይ ያሉት ሁሉም</v>
      </c>
      <c r="K9" s="14" t="str">
        <f>IFERROR(__xludf.DUMMYFUNCTION(" GOOGLETRANSLATE(E9, ""en"", ""am"")"),"ሕጎች ጥብቅ ተግሣጽን ይጠይቃሉ - መዝለል፣ መውደቅ ወይም ራስን ለማረጋጋት እጅን መጠቀም የለበትም።")</f>
        <v>ሕጎች ጥብቅ ተግሣጽን ይጠይቃሉ - መዝለል፣ መውደቅ ወይም ራስን ለማረጋጋት እጅን መጠቀም የለበትም።</v>
      </c>
    </row>
    <row r="10" ht="22.5" customHeight="1">
      <c r="A10" s="16">
        <v>9.0</v>
      </c>
      <c r="B10" s="8" t="s">
        <v>3622</v>
      </c>
      <c r="C10" s="8" t="s">
        <v>3623</v>
      </c>
      <c r="D10" s="8" t="s">
        <v>3624</v>
      </c>
      <c r="E10" s="8" t="s">
        <v>3625</v>
      </c>
      <c r="G10" s="14" t="str">
        <f>IFERROR(__xludf.DUMMYFUNCTION(" GOOGLETRANSLATE(A10, ""en"", ""am"")"),"9")</f>
        <v>9</v>
      </c>
      <c r="H10" s="14" t="str">
        <f>IFERROR(__xludf.DUMMYFUNCTION(" GOOGLETRANSLATE(B10, ""en"", ""am"")"),"ጀማሪው ራቁቱን ወይም ራቁቱን ለምን መዝለል አለበት?")</f>
        <v>ጀማሪው ራቁቱን ወይም ራቁቱን ለምን መዝለል አለበት?</v>
      </c>
      <c r="I10" s="14" t="str">
        <f>IFERROR(__xludf.DUMMYFUNCTION(" GOOGLETRANSLATE(C10, ""en"", ""am"")"),"ሀ. ንጽህናን እና አዲስ የህይወት ደረጃን ለማመልከት ለ. ልብሶች እንቅስቃሴን ስለሚገድቡ ሐ. እንደ ቅጣት መ. በብርድ ላይ ጀግንነትን ማሳየት")</f>
        <v>ሀ. ንጽህናን እና አዲስ የህይወት ደረጃን ለማመልከት ለ. ልብሶች እንቅስቃሴን ስለሚገድቡ ሐ. እንደ ቅጣት መ. በብርድ ላይ ጀግንነትን ማሳየት</v>
      </c>
      <c r="J10" s="14" t="str">
        <f>IFERROR(__xludf.DUMMYFUNCTION(" GOOGLETRANSLATE(D10, ""en"", ""am"")"),"ሀ) ንጽህናን እና አዲስ የህይወት ደረጃን ለማመልከት")</f>
        <v>ሀ) ንጽህናን እና አዲስ የህይወት ደረጃን ለማመልከት</v>
      </c>
      <c r="K10" s="14" t="str">
        <f>IFERROR(__xludf.DUMMYFUNCTION(" GOOGLETRANSLATE(E10, ""en"", ""am"")"),"እርቃንነት ልጅነትን ማፍሰስ እና በምሳሌያዊ ዳግም መወለድ ወደ አዋቂነት መግባትን ይወክላል።")</f>
        <v>እርቃንነት ልጅነትን ማፍሰስ እና በምሳሌያዊ ዳግም መወለድ ወደ አዋቂነት መግባትን ይወክላል።</v>
      </c>
    </row>
    <row r="11" ht="22.5" customHeight="1">
      <c r="A11" s="16">
        <v>10.0</v>
      </c>
      <c r="B11" s="8" t="s">
        <v>3626</v>
      </c>
      <c r="C11" s="8" t="s">
        <v>3627</v>
      </c>
      <c r="D11" s="8" t="s">
        <v>3628</v>
      </c>
      <c r="E11" s="8" t="s">
        <v>3629</v>
      </c>
      <c r="G11" s="14" t="str">
        <f>IFERROR(__xludf.DUMMYFUNCTION(" GOOGLETRANSLATE(A11, ""en"", ""am"")"),"10")</f>
        <v>10</v>
      </c>
      <c r="H11" s="14" t="str">
        <f>IFERROR(__xludf.DUMMYFUNCTION(" GOOGLETRANSLATE(B11, ""en"", ""am"")"),"ጀማሪው ከተሳካ አዲሱ መብቱ ምንድን ነው?")</f>
        <v>ጀማሪው ከተሳካ አዲሱ መብቱ ምንድን ነው?</v>
      </c>
      <c r="I11" s="14" t="str">
        <f>IFERROR(__xludf.DUMMYFUNCTION(" GOOGLETRANSLATE(C11, ""en"", ""am"")"),"ሀ. የመሬት ባለቤትነት ለ. በጎሳ ምክር ቤት መሳተፍ ሐ. ትዳርና ቤተሰብ ማሳደግ መ. የጦር ጭፈራዎችን መምራት")</f>
        <v>ሀ. የመሬት ባለቤትነት ለ. በጎሳ ምክር ቤት መሳተፍ ሐ. ትዳርና ቤተሰብ ማሳደግ መ. የጦር ጭፈራዎችን መምራት</v>
      </c>
      <c r="J11" s="14" t="str">
        <f>IFERROR(__xludf.DUMMYFUNCTION(" GOOGLETRANSLATE(D11, ""en"", ""am"")"),"ሐ) ማግባት እና ቤተሰብ ማሳደግ")</f>
        <v>ሐ) ማግባት እና ቤተሰብ ማሳደግ</v>
      </c>
      <c r="K11" s="14" t="str">
        <f>IFERROR(__xludf.DUMMYFUNCTION(" GOOGLETRANSLATE(E11, ""en"", ""am"")"),"ስኬት የጋብቻ መብቶችን ጨምሮ የወንድነት ደረጃን ይሰጠዋል.")</f>
        <v>ስኬት የጋብቻ መብቶችን ጨምሮ የወንድነት ደረጃን ይሰጠዋል.</v>
      </c>
    </row>
    <row r="12" ht="22.5" customHeight="1">
      <c r="A12" s="16">
        <v>11.0</v>
      </c>
      <c r="B12" s="8" t="s">
        <v>3630</v>
      </c>
      <c r="C12" s="8" t="s">
        <v>3631</v>
      </c>
      <c r="D12" s="8" t="s">
        <v>3632</v>
      </c>
      <c r="E12" s="8" t="s">
        <v>3633</v>
      </c>
      <c r="G12" s="14" t="str">
        <f>IFERROR(__xludf.DUMMYFUNCTION(" GOOGLETRANSLATE(A12, ""en"", ""am"")"),"11")</f>
        <v>11</v>
      </c>
      <c r="H12" s="14" t="str">
        <f>IFERROR(__xludf.DUMMYFUNCTION(" GOOGLETRANSLATE(B12, ""en"", ""am"")"),"በዝላይ ጊዜ ላሞቹ በተለምዶ እንዴት ይታገዳሉ?")</f>
        <v>በዝላይ ጊዜ ላሞቹ በተለምዶ እንዴት ይታገዳሉ?</v>
      </c>
      <c r="I12" s="14" t="str">
        <f>IFERROR(__xludf.DUMMYFUNCTION(" GOOGLETRANSLATE(C12, ""en"", ""am"")"),"ሀ. በገመድ የታሰረ ለ. በጠባብ መስመር በረዳቶች ተይዟል ሐ. በነፃነት ለመንቀሳቀስ ግራ. መ. በከፊል አፈር ውስጥ ተቀብሯል.")</f>
        <v>ሀ. በገመድ የታሰረ ለ. በጠባብ መስመር በረዳቶች ተይዟል ሐ. በነፃነት ለመንቀሳቀስ ግራ. መ. በከፊል አፈር ውስጥ ተቀብሯል.</v>
      </c>
      <c r="J12" s="14" t="str">
        <f>IFERROR(__xludf.DUMMYFUNCTION(" GOOGLETRANSLATE(D12, ""en"", ""am"")"),"ለ) በጠባብ መስመር በረዳቶች ተይዟል።")</f>
        <v>ለ) በጠባብ መስመር በረዳቶች ተይዟል።</v>
      </c>
      <c r="K12" s="14" t="str">
        <f>IFERROR(__xludf.DUMMYFUNCTION(" GOOGLETRANSLATE(E12, ""en"", ""am"")"),"አስጀማሪው ደህንነቱ በተጠበቀ ሁኔታ መዝለል መቻሉን ለማረጋገጥ ረዳቶች ከብቶቹን አሁንም ይይዛሉ።")</f>
        <v>አስጀማሪው ደህንነቱ በተጠበቀ ሁኔታ መዝለል መቻሉን ለማረጋገጥ ረዳቶች ከብቶቹን አሁንም ይይዛሉ።</v>
      </c>
    </row>
    <row r="13" ht="22.5" customHeight="1">
      <c r="A13" s="16">
        <v>12.0</v>
      </c>
      <c r="B13" s="8" t="s">
        <v>3634</v>
      </c>
      <c r="C13" s="8" t="s">
        <v>3635</v>
      </c>
      <c r="D13" s="8" t="s">
        <v>3636</v>
      </c>
      <c r="E13" s="8" t="s">
        <v>3637</v>
      </c>
      <c r="G13" s="14" t="str">
        <f>IFERROR(__xludf.DUMMYFUNCTION(" GOOGLETRANSLATE(A13, ""en"", ""am"")"),"12")</f>
        <v>12</v>
      </c>
      <c r="H13" s="14" t="str">
        <f>IFERROR(__xludf.DUMMYFUNCTION(" GOOGLETRANSLATE(B13, ""en"", ""am"")"),"አስጀማሪው የአምልኮ ሥርዓቱን ለመሞከር ፈቃደኛ ካልሆነ ምን ይሆናል?")</f>
        <v>አስጀማሪው የአምልኮ ሥርዓቱን ለመሞከር ፈቃደኛ ካልሆነ ምን ይሆናል?</v>
      </c>
      <c r="I13" s="14" t="str">
        <f>IFERROR(__xludf.DUMMYFUNCTION(" GOOGLETRANSLATE(C13, ""en"", ""am"")"),"ሀ. ከቤተሰቡ የተነፈገ ነው ለ. ተሳለቀበት እና ማግባት አይችልም ሐ. በግዞት ተወስዷል D. ከብት ይቀጣል.")</f>
        <v>ሀ. ከቤተሰቡ የተነፈገ ነው ለ. ተሳለቀበት እና ማግባት አይችልም ሐ. በግዞት ተወስዷል D. ከብት ይቀጣል.</v>
      </c>
      <c r="J13" s="14" t="str">
        <f>IFERROR(__xludf.DUMMYFUNCTION(" GOOGLETRANSLATE(D13, ""en"", ""am"")"),"ለ) ተሳለቀበት እና ማግባት አይችልም")</f>
        <v>ለ) ተሳለቀበት እና ማግባት አይችልም</v>
      </c>
      <c r="K13" s="14" t="str">
        <f>IFERROR(__xludf.DUMMYFUNCTION(" GOOGLETRANSLATE(E13, ""en"", ""am"")"),"እምቢተኝነት እንደ ፈሪነት ይታያል; ሰውየው ለጋብቻ ብቁ እንደሆነ ተደርጎ ሊቆጠር አይችልም.")</f>
        <v>እምቢተኝነት እንደ ፈሪነት ይታያል; ሰውየው ለጋብቻ ብቁ እንደሆነ ተደርጎ ሊቆጠር አይችልም.</v>
      </c>
    </row>
    <row r="14" ht="22.5" customHeight="1">
      <c r="A14" s="16">
        <v>13.0</v>
      </c>
      <c r="B14" s="8" t="s">
        <v>3638</v>
      </c>
      <c r="C14" s="8" t="s">
        <v>3639</v>
      </c>
      <c r="D14" s="8" t="s">
        <v>3640</v>
      </c>
      <c r="E14" s="8" t="s">
        <v>3641</v>
      </c>
      <c r="G14" s="14" t="str">
        <f>IFERROR(__xludf.DUMMYFUNCTION(" GOOGLETRANSLATE(A14, ""en"", ""am"")"),"13")</f>
        <v>13</v>
      </c>
      <c r="H14" s="14" t="str">
        <f>IFERROR(__xludf.DUMMYFUNCTION(" GOOGLETRANSLATE(B14, ""en"", ""am"")"),"ለምንድነው የሴቶች ጅራፍ እንደ የክብረ በዓሉ አካል የሚታየው?")</f>
        <v>ለምንድነው የሴቶች ጅራፍ እንደ የክብረ በዓሉ አካል የሚታየው?</v>
      </c>
      <c r="I14" s="14" t="str">
        <f>IFERROR(__xludf.DUMMYFUNCTION(" GOOGLETRANSLATE(C14, ""en"", ""am"")"),"ሀ. አለመታዘዝን ለመቅጣት ለ. ለጀማሪው በፈቃደኝነት የሚደረግ ድጋፍ እና ታማኝነት ለማሳየት ሐ. ጠላቶችን ለማዘናጋት መ. የአምልኮ ሥርዓቱ መጨረሻ ላይ ምልክት ማድረግ")</f>
        <v>ሀ. አለመታዘዝን ለመቅጣት ለ. ለጀማሪው በፈቃደኝነት የሚደረግ ድጋፍ እና ታማኝነት ለማሳየት ሐ. ጠላቶችን ለማዘናጋት መ. የአምልኮ ሥርዓቱ መጨረሻ ላይ ምልክት ማድረግ</v>
      </c>
      <c r="J14" s="14" t="str">
        <f>IFERROR(__xludf.DUMMYFUNCTION(" GOOGLETRANSLATE(D14, ""en"", ""am"")"),"ለ) ለጀማሪው በፈቃደኝነት የሚደረግ ድጋፍ እና ታማኝነት")</f>
        <v>ለ) ለጀማሪው በፈቃደኝነት የሚደረግ ድጋፍ እና ታማኝነት</v>
      </c>
      <c r="K14" s="14" t="str">
        <f>IFERROR(__xludf.DUMMYFUNCTION(" GOOGLETRANSLATE(E14, ""en"", ""am"")"),"ሴቶች የቤተሰብን ክብር በማሳየት ጽናትን እና መተባበርን ለማሳየት ጅራፍ ይጠይቃሉ።")</f>
        <v>ሴቶች የቤተሰብን ክብር በማሳየት ጽናትን እና መተባበርን ለማሳየት ጅራፍ ይጠይቃሉ።</v>
      </c>
    </row>
    <row r="15" ht="22.5" customHeight="1">
      <c r="A15" s="16">
        <v>14.0</v>
      </c>
      <c r="B15" s="8" t="s">
        <v>3642</v>
      </c>
      <c r="C15" s="8" t="s">
        <v>3643</v>
      </c>
      <c r="D15" s="8" t="s">
        <v>3644</v>
      </c>
      <c r="E15" s="8" t="s">
        <v>3645</v>
      </c>
      <c r="G15" s="14" t="str">
        <f>IFERROR(__xludf.DUMMYFUNCTION(" GOOGLETRANSLATE(A15, ""en"", ""am"")"),"14")</f>
        <v>14</v>
      </c>
      <c r="H15" s="14" t="str">
        <f>IFERROR(__xludf.DUMMYFUNCTION(" GOOGLETRANSLATE(B15, ""en"", ""am"")"),"ወንዶች ብዙውን ጊዜ ለዚህ ጅምር የሚመረጡት በየትኛው ዕድሜ ላይ ነው?")</f>
        <v>ወንዶች ብዙውን ጊዜ ለዚህ ጅምር የሚመረጡት በየትኛው ዕድሜ ላይ ነው?</v>
      </c>
      <c r="I15" s="14" t="str">
        <f>IFERROR(__xludf.DUMMYFUNCTION(" GOOGLETRANSLATE(C15, ""en"", ""am"")"),"ሀ. 5-7 ዓመታት B. 10-12 ዓመታት ሐ. በአሥራዎቹ ዕድሜ መጨረሻ ወይም በሃያዎቹ መጀመሪያ ላይ መ. ከጋብቻ በኋላ")</f>
        <v>ሀ. 5-7 ዓመታት B. 10-12 ዓመታት ሐ. በአሥራዎቹ ዕድሜ መጨረሻ ወይም በሃያዎቹ መጀመሪያ ላይ መ. ከጋብቻ በኋላ</v>
      </c>
      <c r="J15" s="14" t="str">
        <f>IFERROR(__xludf.DUMMYFUNCTION(" GOOGLETRANSLATE(D15, ""en"", ""am"")"),"ሐ) በአሥራዎቹ መጨረሻ ወይም በሃያዎቹ መጀመሪያ ላይ")</f>
        <v>ሐ) በአሥራዎቹ መጨረሻ ወይም በሃያዎቹ መጀመሪያ ላይ</v>
      </c>
      <c r="K15" s="14" t="str">
        <f>IFERROR(__xludf.DUMMYFUNCTION(" GOOGLETRANSLATE(E15, ""en"", ""am"")"),"ሥነ ሥርዓቱ ለወጣት ወንዶች ወደ ጉልምስና እና ለቤተሰብ ሕይወት ዝግጁነት እየተቃረበ ነው.")</f>
        <v>ሥነ ሥርዓቱ ለወጣት ወንዶች ወደ ጉልምስና እና ለቤተሰብ ሕይወት ዝግጁነት እየተቃረበ ነው.</v>
      </c>
    </row>
    <row r="16" ht="22.5" customHeight="1">
      <c r="A16" s="16">
        <v>15.0</v>
      </c>
      <c r="B16" s="8" t="s">
        <v>3646</v>
      </c>
      <c r="C16" s="8" t="s">
        <v>3647</v>
      </c>
      <c r="D16" s="8" t="s">
        <v>3648</v>
      </c>
      <c r="E16" s="8" t="s">
        <v>3649</v>
      </c>
      <c r="G16" s="14" t="str">
        <f>IFERROR(__xludf.DUMMYFUNCTION(" GOOGLETRANSLATE(A16, ""en"", ""am"")"),"15")</f>
        <v>15</v>
      </c>
      <c r="H16" s="14" t="str">
        <f>IFERROR(__xludf.DUMMYFUNCTION(" GOOGLETRANSLATE(B16, ""en"", ""am"")"),"አንድ ወንድ ልጅ በመጨረሻው ዝላይ ውስጥ ቢወድቅ ውጤቱ ምንድ ነው?")</f>
        <v>አንድ ወንድ ልጅ በመጨረሻው ዝላይ ውስጥ ቢወድቅ ውጤቱ ምንድ ነው?</v>
      </c>
      <c r="I16" s="14" t="str">
        <f>IFERROR(__xludf.DUMMYFUNCTION(" GOOGLETRANSLATE(C16, ""en"", ""am"")"),"ሀ. አሁንም እንደ ስኬታማ ይቆጠራል ለ. ሙሉ ሙከራው ልክ ያልሆነ ነው ሐ. የመጨረሻውን ዝላይ ብቻ እንደገና ማድረግ አለበት መ. ምሳሌያዊ ቅጣት ይከፍላል.")</f>
        <v>ሀ. አሁንም እንደ ስኬታማ ይቆጠራል ለ. ሙሉ ሙከራው ልክ ያልሆነ ነው ሐ. የመጨረሻውን ዝላይ ብቻ እንደገና ማድረግ አለበት መ. ምሳሌያዊ ቅጣት ይከፍላል.</v>
      </c>
      <c r="J16" s="14" t="str">
        <f>IFERROR(__xludf.DUMMYFUNCTION(" GOOGLETRANSLATE(D16, ""en"", ""am"")"),"ለ) አጠቃላይ ሙከራው ልክ ያልሆነ ነው።")</f>
        <v>ለ) አጠቃላይ ሙከራው ልክ ያልሆነ ነው።</v>
      </c>
      <c r="K16" s="14" t="str">
        <f>IFERROR(__xludf.DUMMYFUNCTION(" GOOGLETRANSLATE(E16, ""en"", ""am"")"),"ስኬት አራቱንም መዝለሎች ያለ ውድቀት ይፈልጋል። በመጨረሻው ላይ አለመሳካት እንኳን ሙከራውን ውድቅ ያደርገዋል።")</f>
        <v>ስኬት አራቱንም መዝለሎች ያለ ውድቀት ይፈልጋል። በመጨረሻው ላይ አለመሳካት እንኳን ሙከራውን ውድቅ ያደርገዋል።</v>
      </c>
    </row>
    <row r="17" ht="22.5" customHeight="1">
      <c r="A17" s="16">
        <v>16.0</v>
      </c>
      <c r="B17" s="8" t="s">
        <v>3650</v>
      </c>
      <c r="C17" s="8" t="s">
        <v>3651</v>
      </c>
      <c r="D17" s="8" t="s">
        <v>3652</v>
      </c>
      <c r="E17" s="8" t="s">
        <v>3653</v>
      </c>
      <c r="G17" s="14" t="str">
        <f>IFERROR(__xludf.DUMMYFUNCTION(" GOOGLETRANSLATE(A17, ""en"", ""am"")"),"16")</f>
        <v>16</v>
      </c>
      <c r="H17" s="14" t="str">
        <f>IFERROR(__xludf.DUMMYFUNCTION(" GOOGLETRANSLATE(B17, ""en"", ""am"")"),"ብዙውን ጊዜ የከብት መስመሩን የሚያዘጋጀው የትኛው የወንዶች ቡድን ነው?")</f>
        <v>ብዙውን ጊዜ የከብት መስመሩን የሚያዘጋጀው የትኛው የወንዶች ቡድን ነው?</v>
      </c>
      <c r="I17" s="14" t="str">
        <f>IFERROR(__xludf.DUMMYFUNCTION(" GOOGLETRANSLATE(C17, ""en"", ""am"")"),"ሀ. ሌሎች ጀማሪዎች ለ. ያገቡ ሰዎች ሐ. የጀማሪ ዲ. ካህናት አጎቶች")</f>
        <v>ሀ. ሌሎች ጀማሪዎች ለ. ያገቡ ሰዎች ሐ. የጀማሪ ዲ. ካህናት አጎቶች</v>
      </c>
      <c r="J17" s="14" t="str">
        <f>IFERROR(__xludf.DUMMYFUNCTION(" GOOGLETRANSLATE(D17, ""en"", ""am"")"),"ለ) ያገቡ ወንዶች")</f>
        <v>ለ) ያገቡ ወንዶች</v>
      </c>
      <c r="K17" s="14" t="str">
        <f>IFERROR(__xludf.DUMMYFUNCTION(" GOOGLETRANSLATE(E17, ""en"", ""am"")"),"ቀደም ሲል እንደ ትልቅ ሰው የሚታወቁት ያገቡ ወንዶች ላሞችን ለማዘጋጀት ይረዳሉ እና የአምልኮ ሥርዓቱን ይመራሉ.")</f>
        <v>ቀደም ሲል እንደ ትልቅ ሰው የሚታወቁት ያገቡ ወንዶች ላሞችን ለማዘጋጀት ይረዳሉ እና የአምልኮ ሥርዓቱን ይመራሉ.</v>
      </c>
    </row>
    <row r="18" ht="22.5" customHeight="1">
      <c r="A18" s="16">
        <v>17.0</v>
      </c>
      <c r="B18" s="8" t="s">
        <v>3654</v>
      </c>
      <c r="C18" s="8" t="s">
        <v>3655</v>
      </c>
      <c r="D18" s="8" t="s">
        <v>3656</v>
      </c>
      <c r="E18" s="8" t="s">
        <v>3657</v>
      </c>
      <c r="G18" s="14" t="str">
        <f>IFERROR(__xludf.DUMMYFUNCTION(" GOOGLETRANSLATE(A18, ""en"", ""am"")"),"17")</f>
        <v>17</v>
      </c>
      <c r="H18" s="14" t="str">
        <f>IFERROR(__xludf.DUMMYFUNCTION(" GOOGLETRANSLATE(B18, ""en"", ""am"")"),"በዝላይ ጊዜ መሰናከል ጎሳውን ምን ያመለክታል?")</f>
        <v>በዝላይ ጊዜ መሰናከል ጎሳውን ምን ያመለክታል?</v>
      </c>
      <c r="I18" s="14" t="str">
        <f>IFERROR(__xludf.DUMMYFUNCTION(" GOOGLETRANSLATE(C18, ""en"", ""am"")"),"ሀ. ልጁ ለእርሻ ብቁ አይደለም ለ. በመንፈስ የተረገመ ነው ሐ. ለአዋቂነት ገና አልተዘጋጀም መ. መባረር ይጠብቀዋል።")</f>
        <v>ሀ. ልጁ ለእርሻ ብቁ አይደለም ለ. በመንፈስ የተረገመ ነው ሐ. ለአዋቂነት ገና አልተዘጋጀም መ. መባረር ይጠብቀዋል።</v>
      </c>
      <c r="J18" s="14" t="str">
        <f>IFERROR(__xludf.DUMMYFUNCTION(" GOOGLETRANSLATE(D18, ""en"", ""am"")"),"ሐ) ለአዋቂነት ገና ዝግጁ አይደለም")</f>
        <v>ሐ) ለአዋቂነት ገና ዝግጁ አይደለም</v>
      </c>
      <c r="K18" s="14" t="str">
        <f>IFERROR(__xludf.DUMMYFUNCTION(" GOOGLETRANSLATE(E18, ""en"", ""am"")"),"መውደቅ ማለት ልጁ መጠበቅ እና በኋላ እራሱን ማረጋገጥ አለበት ማለት ነው.")</f>
        <v>መውደቅ ማለት ልጁ መጠበቅ እና በኋላ እራሱን ማረጋገጥ አለበት ማለት ነው.</v>
      </c>
    </row>
    <row r="19" ht="22.5" customHeight="1">
      <c r="A19" s="16">
        <v>18.0</v>
      </c>
      <c r="B19" s="8" t="s">
        <v>3658</v>
      </c>
      <c r="C19" s="8" t="s">
        <v>3659</v>
      </c>
      <c r="D19" s="8" t="s">
        <v>3660</v>
      </c>
      <c r="E19" s="8" t="s">
        <v>3661</v>
      </c>
      <c r="G19" s="14" t="str">
        <f>IFERROR(__xludf.DUMMYFUNCTION(" GOOGLETRANSLATE(A19, ""en"", ""am"")"),"18")</f>
        <v>18</v>
      </c>
      <c r="H19" s="14" t="str">
        <f>IFERROR(__xludf.DUMMYFUNCTION(" GOOGLETRANSLATE(B19, ""en"", ""am"")"),"ለምንድነው ከብቶች የአምልኮ ሥርዓቱ ዋና ማዕከል የሆነው?")</f>
        <v>ለምንድነው ከብቶች የአምልኮ ሥርዓቱ ዋና ማዕከል የሆነው?</v>
      </c>
      <c r="I19" s="14" t="str">
        <f>IFERROR(__xludf.DUMMYFUNCTION(" GOOGLETRANSLATE(C19, ""en"", ""am"")"),"ሀ/ ከብቶች የተቀደሰ ሀብትና የማዕረግ ምልክት ተደርገው ይወሰዳሉ ለ. ለመዝለል በቀላሉ ይሰለፋሉ ሐ. ኢትዮጵያ ውስጥ በብዛት ይገኛሉ መ. ለእርድ ለማዘጋጀት")</f>
        <v>ሀ/ ከብቶች የተቀደሰ ሀብትና የማዕረግ ምልክት ተደርገው ይወሰዳሉ ለ. ለመዝለል በቀላሉ ይሰለፋሉ ሐ. ኢትዮጵያ ውስጥ በብዛት ይገኛሉ መ. ለእርድ ለማዘጋጀት</v>
      </c>
      <c r="J19" s="14" t="str">
        <f>IFERROR(__xludf.DUMMYFUNCTION(" GOOGLETRANSLATE(D19, ""en"", ""am"")"),"ሀ) ከብቶች የተቀደሰ ሀብትና የማዕረግ ምልክት ተደርገው ይወሰዳሉ")</f>
        <v>ሀ) ከብቶች የተቀደሰ ሀብትና የማዕረግ ምልክት ተደርገው ይወሰዳሉ</v>
      </c>
      <c r="K19" s="14" t="str">
        <f>IFERROR(__xludf.DUMMYFUNCTION(" GOOGLETRANSLATE(E19, ""en"", ""am"")"),"በሀማር ባህል ከብቶች የሀብት ፣የማዕረግ እና የመንፈሳዊ ህይወት መሰረት ናቸው።")</f>
        <v>በሀማር ባህል ከብቶች የሀብት ፣የማዕረግ እና የመንፈሳዊ ህይወት መሰረት ናቸው።</v>
      </c>
    </row>
    <row r="20" ht="22.5" customHeight="1">
      <c r="A20" s="16">
        <v>19.0</v>
      </c>
      <c r="B20" s="8" t="s">
        <v>3662</v>
      </c>
      <c r="C20" s="8" t="s">
        <v>3663</v>
      </c>
      <c r="D20" s="8" t="s">
        <v>3664</v>
      </c>
      <c r="E20" s="8" t="s">
        <v>3665</v>
      </c>
      <c r="G20" s="14" t="str">
        <f>IFERROR(__xludf.DUMMYFUNCTION(" GOOGLETRANSLATE(A20, ""en"", ""am"")"),"19")</f>
        <v>19</v>
      </c>
      <c r="H20" s="14" t="str">
        <f>IFERROR(__xludf.DUMMYFUNCTION(" GOOGLETRANSLATE(B20, ""en"", ""am"")"),"ከተሳካ ዝላይ በኋላ የማህበረሰቡ አባላት ምን ምላሽ ይሰጣሉ?")</f>
        <v>ከተሳካ ዝላይ በኋላ የማህበረሰቡ አባላት ምን ምላሽ ይሰጣሉ?</v>
      </c>
      <c r="I20" s="14" t="str">
        <f>IFERROR(__xludf.DUMMYFUNCTION(" GOOGLETRANSLATE(C20, ""en"", ""am"")"),"ሀ. ዝምታ ምልከታ ለ.በጭፈራ፣በዘፈን፣በድግስ ያከብራሉ ሐ.ወዲያውኑ ትዳሩን አመቻቹት መ.ላሞችን ሁሉ አርደዋል።")</f>
        <v>ሀ. ዝምታ ምልከታ ለ.በጭፈራ፣በዘፈን፣በድግስ ያከብራሉ ሐ.ወዲያውኑ ትዳሩን አመቻቹት መ.ላሞችን ሁሉ አርደዋል።</v>
      </c>
      <c r="J20" s="14" t="str">
        <f>IFERROR(__xludf.DUMMYFUNCTION(" GOOGLETRANSLATE(D20, ""en"", ""am"")"),"ለ) በጭፈራ፣ በዘፈን፣ በድግስ ያከብራሉ")</f>
        <v>ለ) በጭፈራ፣ በዘፈን፣ በድግስ ያከብራሉ</v>
      </c>
      <c r="K20" s="14" t="str">
        <f>IFERROR(__xludf.DUMMYFUNCTION(" GOOGLETRANSLATE(E20, ""en"", ""am"")"),"ስኬት አዲሱን ደረጃውን በማሳየት አስደሳች በሆነ የማህበረሰብ ክብረ በዓል ይታወቃል።")</f>
        <v>ስኬት አዲሱን ደረጃውን በማሳየት አስደሳች በሆነ የማህበረሰብ ክብረ በዓል ይታወቃል።</v>
      </c>
    </row>
    <row r="21" ht="22.5" customHeight="1">
      <c r="A21" s="16">
        <v>20.0</v>
      </c>
      <c r="B21" s="8" t="s">
        <v>3666</v>
      </c>
      <c r="C21" s="8" t="s">
        <v>3667</v>
      </c>
      <c r="D21" s="8" t="s">
        <v>3668</v>
      </c>
      <c r="E21" s="8" t="s">
        <v>3669</v>
      </c>
      <c r="G21" s="14" t="str">
        <f>IFERROR(__xludf.DUMMYFUNCTION(" GOOGLETRANSLATE(A21, ""en"", ""am"")"),"20")</f>
        <v>20</v>
      </c>
      <c r="H21" s="14" t="str">
        <f>IFERROR(__xludf.DUMMYFUNCTION(" GOOGLETRANSLATE(B21, ""en"", ""am"")"),"የአምልኮ ሥርዓቱ በአጠቃላይ ምን ይወክላል?")</f>
        <v>የአምልኮ ሥርዓቱ በአጠቃላይ ምን ይወክላል?</v>
      </c>
      <c r="I21" s="14" t="str">
        <f>IFERROR(__xludf.DUMMYFUNCTION(" GOOGLETRANSLATE(C21, ""en"", ""am"")"),"ሀ. የአካል ብቃት ፈተና ለ. ከልጅነት እስከ ወንድነት ያለው ምሳሌያዊ ምንባብ ሐ. የጎሳ አመታዊ በዓል መ. የከብት ባለቤትነት ሥነ ሥርዓት")</f>
        <v>ሀ. የአካል ብቃት ፈተና ለ. ከልጅነት እስከ ወንድነት ያለው ምሳሌያዊ ምንባብ ሐ. የጎሳ አመታዊ በዓል መ. የከብት ባለቤትነት ሥነ ሥርዓት</v>
      </c>
      <c r="J21" s="14" t="str">
        <f>IFERROR(__xludf.DUMMYFUNCTION(" GOOGLETRANSLATE(D21, ""en"", ""am"")"),"ለ) ከልጅነት ወደ ወንድነት ምሳሌያዊ ምንባብ")</f>
        <v>ለ) ከልጅነት ወደ ወንድነት ምሳሌያዊ ምንባብ</v>
      </c>
      <c r="K21" s="14" t="str">
        <f>IFERROR(__xludf.DUMMYFUNCTION(" GOOGLETRANSLATE(E21, ""en"", ""am"")"),"የአምልኮ ሥርዓቱ በመሠረታዊነት የመነሻ ሥነ-ሥርዓት ነው, ወንድ ልጅን በማህበራዊ እውቅና ያለው ሰው ይለውጣል.")</f>
        <v>የአምልኮ ሥርዓቱ በመሠረታዊነት የመነሻ ሥነ-ሥርዓት ነው, ወንድ ልጅን በማህበራዊ እውቅና ያለው ሰው ይለውጣል.</v>
      </c>
    </row>
    <row r="22" ht="22.5" customHeight="1">
      <c r="A22" s="16">
        <v>21.0</v>
      </c>
      <c r="B22" s="8" t="s">
        <v>3670</v>
      </c>
      <c r="C22" s="8" t="s">
        <v>3671</v>
      </c>
      <c r="D22" s="8" t="s">
        <v>3672</v>
      </c>
      <c r="E22" s="8" t="s">
        <v>3673</v>
      </c>
      <c r="G22" s="14" t="str">
        <f>IFERROR(__xludf.DUMMYFUNCTION(" GOOGLETRANSLATE(A22, ""en"", ""am"")"),"21")</f>
        <v>21</v>
      </c>
      <c r="H22" s="14" t="str">
        <f>IFERROR(__xludf.DUMMYFUNCTION(" GOOGLETRANSLATE(B22, ""en"", ""am"")"),"መዝለሉ ከመጀመሩ በፊት በሴቶች ዘመዶች ምን ዓይነት ሥነ ሥርዓት ይከናወናል?")</f>
        <v>መዝለሉ ከመጀመሩ በፊት በሴቶች ዘመዶች ምን ዓይነት ሥነ ሥርዓት ይከናወናል?</v>
      </c>
      <c r="I22" s="14" t="str">
        <f>IFERROR(__xludf.DUMMYFUNCTION(" GOOGLETRANSLATE(C22, ""en"", ""am"")"),"ሀ. ላሞችን በወተት ይባርካሉ B. በዘፈንና በክበብ ይጨፍራሉ ሐ. መሬቱን በአመድ ምልክት ያደርጋሉ D. ተነሳሽነትን በእንስሳት ቆዳ ይሸፍኑታል.")</f>
        <v>ሀ. ላሞችን በወተት ይባርካሉ B. በዘፈንና በክበብ ይጨፍራሉ ሐ. መሬቱን በአመድ ምልክት ያደርጋሉ D. ተነሳሽነትን በእንስሳት ቆዳ ይሸፍኑታል.</v>
      </c>
      <c r="J22" s="14" t="str">
        <f>IFERROR(__xludf.DUMMYFUNCTION(" GOOGLETRANSLATE(D22, ""en"", ""am"")"),"ለ) በክበብ ውስጥ ይዘምራሉ እና ይጨፍራሉ")</f>
        <v>ለ) በክበብ ውስጥ ይዘምራሉ እና ይጨፍራሉ</v>
      </c>
      <c r="K22" s="14" t="str">
        <f>IFERROR(__xludf.DUMMYFUNCTION(" GOOGLETRANSLATE(E22, ""en"", ""am"")"),"ከባቢ አየር ለማዘጋጀት ሴቶች በቡድን ተሰባስበው እየጨፈሩ እና የማበረታቻ ዘፈኖችን ይዘምራሉ።")</f>
        <v>ከባቢ አየር ለማዘጋጀት ሴቶች በቡድን ተሰባስበው እየጨፈሩ እና የማበረታቻ ዘፈኖችን ይዘምራሉ።</v>
      </c>
    </row>
    <row r="23" ht="22.5" customHeight="1">
      <c r="A23" s="16">
        <v>22.0</v>
      </c>
      <c r="B23" s="8" t="s">
        <v>3674</v>
      </c>
      <c r="C23" s="8" t="s">
        <v>3675</v>
      </c>
      <c r="D23" s="8" t="s">
        <v>3676</v>
      </c>
      <c r="E23" s="8" t="s">
        <v>3677</v>
      </c>
      <c r="G23" s="14" t="str">
        <f>IFERROR(__xludf.DUMMYFUNCTION(" GOOGLETRANSLATE(A23, ""en"", ""am"")"),"22")</f>
        <v>22</v>
      </c>
      <c r="H23" s="14" t="str">
        <f>IFERROR(__xludf.DUMMYFUNCTION(" GOOGLETRANSLATE(B23, ""en"", ""am"")"),"በላሞቹ ጀርባ ላይ ሲሮጥ ጀማሪው ምን ከማድረግ መቆጠብ አለበት?")</f>
        <v>በላሞቹ ጀርባ ላይ ሲሮጥ ጀማሪው ምን ከማድረግ መቆጠብ አለበት?</v>
      </c>
      <c r="I23" s="14" t="str">
        <f>IFERROR(__xludf.DUMMYFUNCTION(" GOOGLETRANSLATE(C23, ""en"", ""am"")"),"ሀ. በላሞች መካከል ማመንታት ለ. በጣም በፍጥነት መሮጥ ሐ. እየዘለሉ መዘመር መ. ጌጣጌጥ መልበስ")</f>
        <v>ሀ. በላሞች መካከል ማመንታት ለ. በጣም በፍጥነት መሮጥ ሐ. እየዘለሉ መዘመር መ. ጌጣጌጥ መልበስ</v>
      </c>
      <c r="J23" s="14" t="str">
        <f>IFERROR(__xludf.DUMMYFUNCTION(" GOOGLETRANSLATE(D23, ""en"", ""am"")"),"ሀ) በላሞች መካከል ማመንታት")</f>
        <v>ሀ) በላሞች መካከል ማመንታት</v>
      </c>
      <c r="K23" s="14" t="str">
        <f>IFERROR(__xludf.DUMMYFUNCTION(" GOOGLETRANSLATE(E23, ""en"", ""am"")"),"ሳያቋርጥ በፍጥነት እና በተረጋጋ ሁኔታ መንቀሳቀስ አለበት; ማመንታት የመውደቅ አደጋን ይጨምራል.")</f>
        <v>ሳያቋርጥ በፍጥነት እና በተረጋጋ ሁኔታ መንቀሳቀስ አለበት; ማመንታት የመውደቅ አደጋን ይጨምራል.</v>
      </c>
    </row>
    <row r="24" ht="22.5" customHeight="1">
      <c r="A24" s="16">
        <v>23.0</v>
      </c>
      <c r="B24" s="8" t="s">
        <v>3678</v>
      </c>
      <c r="C24" s="8" t="s">
        <v>3679</v>
      </c>
      <c r="D24" s="8" t="s">
        <v>3680</v>
      </c>
      <c r="E24" s="8" t="s">
        <v>3681</v>
      </c>
      <c r="G24" s="14" t="str">
        <f>IFERROR(__xludf.DUMMYFUNCTION(" GOOGLETRANSLATE(A24, ""en"", ""am"")"),"23")</f>
        <v>23</v>
      </c>
      <c r="H24" s="14" t="str">
        <f>IFERROR(__xludf.DUMMYFUNCTION(" GOOGLETRANSLATE(B24, ""en"", ""am"")"),"ሥነ ሥርዓቱን በማዘጋጀት ረገድ ትልቁን ሚና የሚጫወተው የትኛው የቤተሰብ አባል ነው?")</f>
        <v>ሥነ ሥርዓቱን በማዘጋጀት ረገድ ትልቁን ሚና የሚጫወተው የትኛው የቤተሰብ አባል ነው?</v>
      </c>
      <c r="I24" s="14" t="str">
        <f>IFERROR(__xludf.DUMMYFUNCTION(" GOOGLETRANSLATE(C24, ""en"", ""am"")"),"ሀ. አባት ለ. የእናት ወንድም (የእናት አጎት) ሐ. ታላቅ ወንድም ዲ. አያት።")</f>
        <v>ሀ. አባት ለ. የእናት ወንድም (የእናት አጎት) ሐ. ታላቅ ወንድም ዲ. አያት።</v>
      </c>
      <c r="J24" s="14" t="str">
        <f>IFERROR(__xludf.DUMMYFUNCTION(" GOOGLETRANSLATE(D24, ""en"", ""am"")"),"ለ) የእናት ወንድም (የእናት አጎት)")</f>
        <v>ለ) የእናት ወንድም (የእናት አጎት)</v>
      </c>
      <c r="K24" s="14" t="str">
        <f>IFERROR(__xludf.DUMMYFUNCTION(" GOOGLETRANSLATE(E24, ""en"", ""am"")"),"በሃማር ባህል የእናትየው አጎት አነሳሱን በመቆጣጠር ረገድ ልዩ ሚና አለው።")</f>
        <v>በሃማር ባህል የእናትየው አጎት አነሳሱን በመቆጣጠር ረገድ ልዩ ሚና አለው።</v>
      </c>
    </row>
    <row r="25" ht="22.5" customHeight="1">
      <c r="A25" s="16">
        <v>24.0</v>
      </c>
      <c r="B25" s="8" t="s">
        <v>3682</v>
      </c>
      <c r="C25" s="8" t="s">
        <v>3683</v>
      </c>
      <c r="D25" s="8" t="s">
        <v>3684</v>
      </c>
      <c r="E25" s="8" t="s">
        <v>3685</v>
      </c>
      <c r="G25" s="14" t="str">
        <f>IFERROR(__xludf.DUMMYFUNCTION(" GOOGLETRANSLATE(A25, ""en"", ""am"")"),"24")</f>
        <v>24</v>
      </c>
      <c r="H25" s="14" t="str">
        <f>IFERROR(__xludf.DUMMYFUNCTION(" GOOGLETRANSLATE(B25, ""en"", ""am"")"),"በሴቶች ላይ በሥርዓት መገረፍ ምክንያት የሚወጡት ጠባሳዎች ምንድናቸው?")</f>
        <v>በሴቶች ላይ በሥርዓት መገረፍ ምክንያት የሚወጡት ጠባሳዎች ምንድናቸው?</v>
      </c>
      <c r="I25" s="14" t="str">
        <f>IFERROR(__xludf.DUMMYFUNCTION(" GOOGLETRANSLATE(C25, ""en"", ""am"")"),"ሀ. የድክመት ምልክቶች ለ. የታማኝነት እና የቤተሰብ ክብር ማረጋገጫ ሐ. የቅጣት ምልክቶች መ. የጋብቻ ሁኔታን የሚጠቁሙ ምልክቶች")</f>
        <v>ሀ. የድክመት ምልክቶች ለ. የታማኝነት እና የቤተሰብ ክብር ማረጋገጫ ሐ. የቅጣት ምልክቶች መ. የጋብቻ ሁኔታን የሚጠቁሙ ምልክቶች</v>
      </c>
      <c r="J25" s="14" t="str">
        <f>IFERROR(__xludf.DUMMYFUNCTION(" GOOGLETRANSLATE(D25, ""en"", ""am"")"),"ለ) ታማኝነት እና የቤተሰብ ክብር ማረጋገጫ")</f>
        <v>ለ) ታማኝነት እና የቤተሰብ ክብር ማረጋገጫ</v>
      </c>
      <c r="K25" s="14" t="str">
        <f>IFERROR(__xludf.DUMMYFUNCTION(" GOOGLETRANSLATE(E25, ""en"", ""am"")"),"ጠባሳዎች ለዘመዶቻቸው የድጋፍ ቃል ኪዳን ሆነው በኩራት ተሸክመዋል።")</f>
        <v>ጠባሳዎች ለዘመዶቻቸው የድጋፍ ቃል ኪዳን ሆነው በኩራት ተሸክመዋል።</v>
      </c>
    </row>
    <row r="26" ht="22.5" customHeight="1">
      <c r="A26" s="16">
        <v>25.0</v>
      </c>
      <c r="B26" s="8" t="s">
        <v>3686</v>
      </c>
      <c r="C26" s="8" t="s">
        <v>3687</v>
      </c>
      <c r="D26" s="8" t="s">
        <v>3688</v>
      </c>
      <c r="E26" s="8" t="s">
        <v>3689</v>
      </c>
      <c r="G26" s="14" t="str">
        <f>IFERROR(__xludf.DUMMYFUNCTION(" GOOGLETRANSLATE(A26, ""en"", ""am"")"),"25")</f>
        <v>25</v>
      </c>
      <c r="H26" s="14" t="str">
        <f>IFERROR(__xludf.DUMMYFUNCTION(" GOOGLETRANSLATE(B26, ""en"", ""am"")"),"ከሥነ ሥርዓቱ በፊት ብዙውን ጊዜ በላሞቹ ላይ የሚቀባው ምን ዓይነት ቁሳቁስ ነው?")</f>
        <v>ከሥነ ሥርዓቱ በፊት ብዙውን ጊዜ በላሞቹ ላይ የሚቀባው ምን ዓይነት ቁሳቁስ ነው?</v>
      </c>
      <c r="I26" s="14" t="str">
        <f>IFERROR(__xludf.DUMMYFUNCTION(" GOOGLETRANSLATE(C26, ""en"", ""am"")"),"ሀ. ቅቤ እና አመድ ለ. ሸክላ እና ቀይ ኦቾር ሐ. ዘይት እና አሸዋ D. የጨው ውሃ")</f>
        <v>ሀ. ቅቤ እና አመድ ለ. ሸክላ እና ቀይ ኦቾር ሐ. ዘይት እና አሸዋ D. የጨው ውሃ</v>
      </c>
      <c r="J26" s="14" t="str">
        <f>IFERROR(__xludf.DUMMYFUNCTION(" GOOGLETRANSLATE(D26, ""en"", ""am"")"),"ሀ) ቅቤ እና አመድ")</f>
        <v>ሀ) ቅቤ እና አመድ</v>
      </c>
      <c r="K26" s="14" t="str">
        <f>IFERROR(__xludf.DUMMYFUNCTION(" GOOGLETRANSLATE(E26, ""en"", ""am"")"),"ላሞች በቅቤ እና በአመድ ይቀባሉ እና ለማዘጋጀት እና ለቅዱስ ሥነ ሥርዓት ምልክት ይደረግባቸዋል.")</f>
        <v>ላሞች በቅቤ እና በአመድ ይቀባሉ እና ለማዘጋጀት እና ለቅዱስ ሥነ ሥርዓት ምልክት ይደረግባቸዋል.</v>
      </c>
    </row>
    <row r="27" ht="22.5" customHeight="1">
      <c r="A27" s="16">
        <v>26.0</v>
      </c>
      <c r="B27" s="8" t="s">
        <v>3690</v>
      </c>
      <c r="C27" s="8" t="s">
        <v>3691</v>
      </c>
      <c r="D27" s="8" t="s">
        <v>3692</v>
      </c>
      <c r="E27" s="8" t="s">
        <v>3693</v>
      </c>
      <c r="G27" s="14" t="str">
        <f>IFERROR(__xludf.DUMMYFUNCTION(" GOOGLETRANSLATE(A27, ""en"", ""am"")"),"26")</f>
        <v>26</v>
      </c>
      <c r="H27" s="14" t="str">
        <f>IFERROR(__xludf.DUMMYFUNCTION(" GOOGLETRANSLATE(B27, ""en"", ""am"")"),"የሚሰለፉትን ላሞች ማን ይመርጣል?")</f>
        <v>የሚሰለፉትን ላሞች ማን ይመርጣል?</v>
      </c>
      <c r="I27" s="14" t="str">
        <f>IFERROR(__xludf.DUMMYFUNCTION(" GOOGLETRANSLATE(C27, ""en"", ""am"")"),"ሀ. እራሱን የጀመረው ለ. የጎሳ ወንድ ያገቡ ሐ. የሴት ዘመድ ዲ. አጥቢያ ቄስ")</f>
        <v>ሀ. እራሱን የጀመረው ለ. የጎሳ ወንድ ያገቡ ሐ. የሴት ዘመድ ዲ. አጥቢያ ቄስ</v>
      </c>
      <c r="J27" s="14" t="str">
        <f>IFERROR(__xludf.DUMMYFUNCTION(" GOOGLETRANSLATE(D27, ""en"", ""am"")"),"ለ) የጎሳ ሰዎች ያገቡ")</f>
        <v>ለ) የጎሳ ሰዎች ያገቡ</v>
      </c>
      <c r="K27" s="14" t="str">
        <f>IFERROR(__xludf.DUMMYFUNCTION(" GOOGLETRANSLATE(E27, ""en"", ""am"")"),"ያገቡ ወንዶች ላሞችን አዘጋጅተው ያዘጋጃሉ, ለመዝለል ተስማሚ መሆናቸውን ያረጋግጣሉ.")</f>
        <v>ያገቡ ወንዶች ላሞችን አዘጋጅተው ያዘጋጃሉ, ለመዝለል ተስማሚ መሆናቸውን ያረጋግጣሉ.</v>
      </c>
    </row>
    <row r="28" ht="22.5" customHeight="1">
      <c r="A28" s="16">
        <v>27.0</v>
      </c>
      <c r="B28" s="8" t="s">
        <v>3694</v>
      </c>
      <c r="C28" s="8" t="s">
        <v>3695</v>
      </c>
      <c r="D28" s="8" t="s">
        <v>3696</v>
      </c>
      <c r="E28" s="8" t="s">
        <v>3697</v>
      </c>
      <c r="G28" s="14" t="str">
        <f>IFERROR(__xludf.DUMMYFUNCTION(" GOOGLETRANSLATE(A28, ""en"", ""am"")"),"27")</f>
        <v>27</v>
      </c>
      <c r="H28" s="14" t="str">
        <f>IFERROR(__xludf.DUMMYFUNCTION(" GOOGLETRANSLATE(B28, ""en"", ""am"")"),"በበዓሉ ወቅት ሴቶች ምን ይነፍሳሉ?")</f>
        <v>በበዓሉ ወቅት ሴቶች ምን ይነፍሳሉ?</v>
      </c>
      <c r="I28" s="14" t="str">
        <f>IFERROR(__xludf.DUMMYFUNCTION(" GOOGLETRANSLATE(C28, ""en"", ""am"")"),"ሀ. ያፏጫል B. ቀንዶች ሐ. የብረት ደወል D. ዋሽንት።")</f>
        <v>ሀ. ያፏጫል B. ቀንዶች ሐ. የብረት ደወል D. ዋሽንት።</v>
      </c>
      <c r="J28" s="14" t="str">
        <f>IFERROR(__xludf.DUMMYFUNCTION(" GOOGLETRANSLATE(D28, ""en"", ""am"")"),"ለ) ቀንዶች")</f>
        <v>ለ) ቀንዶች</v>
      </c>
      <c r="K28" s="14" t="str">
        <f>IFERROR(__xludf.DUMMYFUNCTION(" GOOGLETRANSLATE(E28, ""en"", ""am"")"),"በበዓሉ ሥነ ሥርዓት ወቅት ደስታን እና ጉልበትን ለማሳየት ቀንዶች ይነፋሉ.")</f>
        <v>በበዓሉ ሥነ ሥርዓት ወቅት ደስታን እና ጉልበትን ለማሳየት ቀንዶች ይነፋሉ.</v>
      </c>
    </row>
    <row r="29" ht="22.5" customHeight="1">
      <c r="A29" s="16">
        <v>28.0</v>
      </c>
      <c r="B29" s="8" t="s">
        <v>3698</v>
      </c>
      <c r="C29" s="8" t="s">
        <v>3699</v>
      </c>
      <c r="D29" s="8" t="s">
        <v>3700</v>
      </c>
      <c r="E29" s="8" t="s">
        <v>3701</v>
      </c>
      <c r="G29" s="14" t="str">
        <f>IFERROR(__xludf.DUMMYFUNCTION(" GOOGLETRANSLATE(A29, ""en"", ""am"")"),"28")</f>
        <v>28</v>
      </c>
      <c r="H29" s="14" t="str">
        <f>IFERROR(__xludf.DUMMYFUNCTION(" GOOGLETRANSLATE(B29, ""en"", ""am"")"),"ከአምልኮ ሥርዓቱ በፊት ከጀማሪዎቹ እገዳዎች አንዱ ምንድነው?")</f>
        <v>ከአምልኮ ሥርዓቱ በፊት ከጀማሪዎቹ እገዳዎች አንዱ ምንድነው?</v>
      </c>
      <c r="I29" s="14" t="str">
        <f>IFERROR(__xludf.DUMMYFUNCTION(" GOOGLETRANSLATE(C29, ""en"", ""am"")"),"ሀ/ ለአንድ ቀን መፆም አለበት B.ሴቶችን መንካት የለበትም ሐ.ከብት አይጠብቅ መ/ወተት አይጠጣ።")</f>
        <v>ሀ/ ለአንድ ቀን መፆም አለበት B.ሴቶችን መንካት የለበትም ሐ.ከብት አይጠብቅ መ/ወተት አይጠጣ።</v>
      </c>
      <c r="J29" s="14" t="str">
        <f>IFERROR(__xludf.DUMMYFUNCTION(" GOOGLETRANSLATE(D29, ""en"", ""am"")"),"ለ) ሴቶችን መንካት የለበትም")</f>
        <v>ለ) ሴቶችን መንካት የለበትም</v>
      </c>
      <c r="K29" s="14" t="str">
        <f>IFERROR(__xludf.DUMMYFUNCTION(" GOOGLETRANSLATE(E29, ""en"", ""am"")"),"ከመዝለሉ በፊት, ንጽህናን እና ዝግጁነትን ለማሳየት ከሴቶች ጋር አካላዊ ግንኙነትን ያስወግዳል.")</f>
        <v>ከመዝለሉ በፊት, ንጽህናን እና ዝግጁነትን ለማሳየት ከሴቶች ጋር አካላዊ ግንኙነትን ያስወግዳል.</v>
      </c>
    </row>
    <row r="30" ht="22.5" customHeight="1">
      <c r="A30" s="16">
        <v>29.0</v>
      </c>
      <c r="B30" s="8" t="s">
        <v>3702</v>
      </c>
      <c r="C30" s="8" t="s">
        <v>3703</v>
      </c>
      <c r="D30" s="8" t="s">
        <v>3704</v>
      </c>
      <c r="E30" s="8" t="s">
        <v>3705</v>
      </c>
      <c r="G30" s="14" t="str">
        <f>IFERROR(__xludf.DUMMYFUNCTION(" GOOGLETRANSLATE(A30, ""en"", ""am"")"),"29")</f>
        <v>29</v>
      </c>
      <c r="H30" s="14" t="str">
        <f>IFERROR(__xludf.DUMMYFUNCTION(" GOOGLETRANSLATE(B30, ""en"", ""am"")"),"በሥነ ሥርዓቱ ወቅት ሴቶችን ሲጠይቁ በተለምዶ የሚደበድበው የትኛው ቡድን ነው?")</f>
        <v>በሥነ ሥርዓቱ ወቅት ሴቶችን ሲጠይቁ በተለምዶ የሚደበድበው የትኛው ቡድን ነው?</v>
      </c>
      <c r="I30" s="14" t="str">
        <f>IFERROR(__xludf.DUMMYFUNCTION(" GOOGLETRANSLATE(C30, ""en"", ""am"")"),"ሀ. እራሳቸውን አስጀምረዋል B. Elders C. The Maz (የሥርዓተ ጅራፍ ያላቸው ወንዶች) D. አዳኞች")</f>
        <v>ሀ. እራሳቸውን አስጀምረዋል B. Elders C. The Maz (የሥርዓተ ጅራፍ ያላቸው ወንዶች) D. አዳኞች</v>
      </c>
      <c r="J30" s="14" t="str">
        <f>IFERROR(__xludf.DUMMYFUNCTION(" GOOGLETRANSLATE(D30, ""en"", ""am"")"),"ሐ) ማዝ (በጅራፍ የያዙ የአምልኮ ሥርዓቶች)")</f>
        <v>ሐ) ማዝ (በጅራፍ የያዙ የአምልኮ ሥርዓቶች)</v>
      </c>
      <c r="K30" s="14" t="str">
        <f>IFERROR(__xludf.DUMMYFUNCTION(" GOOGLETRANSLATE(E30, ""en"", ""am"")"),"ማዝ በስርአቱ ወቅት ሴቶችን እንደ ባህል የሚገርፍ የተለየ ቡድን ነው።")</f>
        <v>ማዝ በስርአቱ ወቅት ሴቶችን እንደ ባህል የሚገርፍ የተለየ ቡድን ነው።</v>
      </c>
    </row>
    <row r="31" ht="22.5" customHeight="1">
      <c r="A31" s="16">
        <v>30.0</v>
      </c>
      <c r="B31" s="8" t="s">
        <v>3706</v>
      </c>
      <c r="C31" s="8" t="s">
        <v>3707</v>
      </c>
      <c r="D31" s="8" t="s">
        <v>3708</v>
      </c>
      <c r="E31" s="8" t="s">
        <v>3709</v>
      </c>
      <c r="G31" s="14" t="str">
        <f>IFERROR(__xludf.DUMMYFUNCTION(" GOOGLETRANSLATE(A31, ""en"", ""am"")"),"30")</f>
        <v>30</v>
      </c>
      <c r="H31" s="14" t="str">
        <f>IFERROR(__xludf.DUMMYFUNCTION(" GOOGLETRANSLATE(B31, ""en"", ""am"")"),"ከተሳካለት በኋላ የልጁን ሽግግር የሚያመለክት ምንድን ነው?")</f>
        <v>ከተሳካለት በኋላ የልጁን ሽግግር የሚያመለክት ምንድን ነው?</v>
      </c>
      <c r="I31" s="14" t="str">
        <f>IFERROR(__xludf.DUMMYFUNCTION(" GOOGLETRANSLATE(C31, ""en"", ""am"")"),"ሀ/ አዲስ ልብስ ይቀበላል B. በቅቤና በአመድ ቀባው ሐ. ሰው ሆኖ በአደባባይ የተባረከ ነው D. ጦር ይሰጠዋል.")</f>
        <v>ሀ/ አዲስ ልብስ ይቀበላል B. በቅቤና በአመድ ቀባው ሐ. ሰው ሆኖ በአደባባይ የተባረከ ነው D. ጦር ይሰጠዋል.</v>
      </c>
      <c r="J31" s="14" t="str">
        <f>IFERROR(__xludf.DUMMYFUNCTION(" GOOGLETRANSLATE(D31, ""en"", ""am"")"),"ሐ) ሰው ሆኖ በአደባባይ የተባረከ ነው።")</f>
        <v>ሐ) ሰው ሆኖ በአደባባይ የተባረከ ነው።</v>
      </c>
      <c r="K31" s="14" t="str">
        <f>IFERROR(__xludf.DUMMYFUNCTION(" GOOGLETRANSLATE(E31, ""en"", ""am"")"),"የማህበረሰብ ሽማግሌዎች እና ቤተሰብ እንደ ትልቅ ሰው በበረከት ያውቁታል።")</f>
        <v>የማህበረሰብ ሽማግሌዎች እና ቤተሰብ እንደ ትልቅ ሰው በበረከት ያውቁታል።</v>
      </c>
    </row>
    <row r="32" ht="22.5" customHeight="1">
      <c r="A32" s="16">
        <v>31.0</v>
      </c>
      <c r="B32" s="8" t="s">
        <v>3710</v>
      </c>
      <c r="C32" s="8" t="s">
        <v>3711</v>
      </c>
      <c r="D32" s="8" t="s">
        <v>3620</v>
      </c>
      <c r="E32" s="8" t="s">
        <v>3712</v>
      </c>
      <c r="G32" s="14" t="str">
        <f>IFERROR(__xludf.DUMMYFUNCTION(" GOOGLETRANSLATE(A32, ""en"", ""am"")"),"31")</f>
        <v>31</v>
      </c>
      <c r="H32" s="14" t="str">
        <f>IFERROR(__xludf.DUMMYFUNCTION(" GOOGLETRANSLATE(B32, ""en"", ""am"")"),"በመዝለል ጊዜ ለጀማሪው የተከለከለው ምንድን ነው?")</f>
        <v>በመዝለል ጊዜ ለጀማሪው የተከለከለው ምንድን ነው?</v>
      </c>
      <c r="I32" s="14" t="str">
        <f>IFERROR(__xludf.DUMMYFUNCTION(" GOOGLETRANSLATE(C32, ""en"", ""am"")"),"ሀ. ወደ ኋላ መመልከት ለ. በሰያፍ መንገድ መዝለል ሐ. መሬት ላይ መውደቅ D. ሁሉም ከላይ ያሉት")</f>
        <v>ሀ. ወደ ኋላ መመልከት ለ. በሰያፍ መንገድ መዝለል ሐ. መሬት ላይ መውደቅ D. ሁሉም ከላይ ያሉት</v>
      </c>
      <c r="J32" s="14" t="str">
        <f>IFERROR(__xludf.DUMMYFUNCTION(" GOOGLETRANSLATE(D32, ""en"", ""am"")"),"መ) ከላይ ያሉት ሁሉም")</f>
        <v>መ) ከላይ ያሉት ሁሉም</v>
      </c>
      <c r="K32" s="14" t="str">
        <f>IFERROR(__xludf.DUMMYFUNCTION(" GOOGLETRANSLATE(E32, ""en"", ""am"")"),"ቀጥ ብሎ መሮጥ አለበት, ወደ ኋላ አይመለከትም, እና ከመውደቅ መራቅ አለበት.")</f>
        <v>ቀጥ ብሎ መሮጥ አለበት, ወደ ኋላ አይመለከትም, እና ከመውደቅ መራቅ አለበት.</v>
      </c>
    </row>
    <row r="33" ht="22.5" customHeight="1">
      <c r="A33" s="16">
        <v>32.0</v>
      </c>
      <c r="B33" s="8" t="s">
        <v>3713</v>
      </c>
      <c r="C33" s="8" t="s">
        <v>3714</v>
      </c>
      <c r="D33" s="8" t="s">
        <v>3715</v>
      </c>
      <c r="E33" s="8" t="s">
        <v>3716</v>
      </c>
      <c r="G33" s="14" t="str">
        <f>IFERROR(__xludf.DUMMYFUNCTION(" GOOGLETRANSLATE(A33, ""en"", ""am"")"),"32")</f>
        <v>32</v>
      </c>
      <c r="H33" s="14" t="str">
        <f>IFERROR(__xludf.DUMMYFUNCTION(" GOOGLETRANSLATE(B33, ""en"", ""am"")"),"ብዙውን ጊዜ ላሞች እንዴት ይቀመጡባቸዋል?")</f>
        <v>ብዙውን ጊዜ ላሞች እንዴት ይቀመጡባቸዋል?</v>
      </c>
      <c r="I33" s="14" t="str">
        <f>IFERROR(__xludf.DUMMYFUNCTION(" GOOGLETRANSLATE(C33, ""en"", ""am"")"),"ሀ. ወደ ምስራቅ የሚመለከቱ ራሶች ለ. ከጎን ወደ ጎን በጥብቅ የተደረደሩ C. በክበብ ውስጥ መቆም መ. ከጀማሪው ጋር መጋጠም")</f>
        <v>ሀ. ወደ ምስራቅ የሚመለከቱ ራሶች ለ. ከጎን ወደ ጎን በጥብቅ የተደረደሩ C. በክበብ ውስጥ መቆም መ. ከጀማሪው ጋር መጋጠም</v>
      </c>
      <c r="J33" s="14" t="str">
        <f>IFERROR(__xludf.DUMMYFUNCTION(" GOOGLETRANSLATE(D33, ""en"", ""am"")"),"ለ) ጎን ለጎን በጥብቅ ተዘርግቷል")</f>
        <v>ለ) ጎን ለጎን በጥብቅ ተዘርግቷል</v>
      </c>
      <c r="K33" s="14" t="str">
        <f>IFERROR(__xludf.DUMMYFUNCTION(" GOOGLETRANSLATE(E33, ""en"", ""am"")"),"ላሞች ቀጥ ያለ መስመር ይመሰርታሉ, ለዝላይዎች ወለል ይፈጥራሉ.")</f>
        <v>ላሞች ቀጥ ያለ መስመር ይመሰርታሉ, ለዝላይዎች ወለል ይፈጥራሉ.</v>
      </c>
    </row>
    <row r="34" ht="22.5" customHeight="1">
      <c r="A34" s="16">
        <v>33.0</v>
      </c>
      <c r="B34" s="8" t="s">
        <v>3717</v>
      </c>
      <c r="C34" s="8" t="s">
        <v>3718</v>
      </c>
      <c r="D34" s="8" t="s">
        <v>3719</v>
      </c>
      <c r="E34" s="8" t="s">
        <v>3720</v>
      </c>
      <c r="G34" s="14" t="str">
        <f>IFERROR(__xludf.DUMMYFUNCTION(" GOOGLETRANSLATE(A34, ""en"", ""am"")"),"33")</f>
        <v>33</v>
      </c>
      <c r="H34" s="14" t="str">
        <f>IFERROR(__xludf.DUMMYFUNCTION(" GOOGLETRANSLATE(B34, ""en"", ""am"")"),"አንድ ጀማሪ ከመዝለሉ በፊት ፍርሃት ካሳየ ባህላዊ ምላሽ ምንድነው?")</f>
        <v>አንድ ጀማሪ ከመዝለሉ በፊት ፍርሃት ካሳየ ባህላዊ ምላሽ ምንድነው?</v>
      </c>
      <c r="I34" s="14" t="str">
        <f>IFERROR(__xludf.DUMMYFUNCTION(" GOOGLETRANSLATE(C34, ""en"", ""am"")"),"ሀ. ከሽማግሌዎች የተሰጠ ማበረታቻ ለ. ሲሳቁበትና ሲያፍሩበት ሐ. ለመዝለል ጥቂት ላሞች ተሰጥቷቸዋል D. ሥነ ሥርዓት ለሌላ ጊዜ ተላለፈ")</f>
        <v>ሀ. ከሽማግሌዎች የተሰጠ ማበረታቻ ለ. ሲሳቁበትና ሲያፍሩበት ሐ. ለመዝለል ጥቂት ላሞች ተሰጥቷቸዋል D. ሥነ ሥርዓት ለሌላ ጊዜ ተላለፈ</v>
      </c>
      <c r="J34" s="14" t="str">
        <f>IFERROR(__xludf.DUMMYFUNCTION(" GOOGLETRANSLATE(D34, ""en"", ""am"")"),"ለ) ይሳቃል፣ ያፍራል።")</f>
        <v>ለ) ይሳቃል፣ ያፍራል።</v>
      </c>
      <c r="K34" s="14" t="str">
        <f>IFERROR(__xludf.DUMMYFUNCTION(" GOOGLETRANSLATE(E34, ""en"", ""am"")"),"ድፍረት ለወንድነት አስፈላጊ ስለሆነ ፍርሃት ይሳለቃል.")</f>
        <v>ድፍረት ለወንድነት አስፈላጊ ስለሆነ ፍርሃት ይሳለቃል.</v>
      </c>
    </row>
    <row r="35" ht="22.5" customHeight="1">
      <c r="A35" s="16">
        <v>34.0</v>
      </c>
      <c r="B35" s="8" t="s">
        <v>3721</v>
      </c>
      <c r="C35" s="8" t="s">
        <v>3722</v>
      </c>
      <c r="D35" s="8" t="s">
        <v>3723</v>
      </c>
      <c r="E35" s="8" t="s">
        <v>3724</v>
      </c>
      <c r="G35" s="14" t="str">
        <f>IFERROR(__xludf.DUMMYFUNCTION(" GOOGLETRANSLATE(A35, ""en"", ""am"")"),"34")</f>
        <v>34</v>
      </c>
      <c r="H35" s="14" t="str">
        <f>IFERROR(__xludf.DUMMYFUNCTION(" GOOGLETRANSLATE(B35, ""en"", ""am"")"),"ለምንድነው ሴቶች የአንገት ሀብል ለብሰው እራሳቸውን ያጌጡ?")</f>
        <v>ለምንድነው ሴቶች የአንገት ሀብል ለብሰው እራሳቸውን ያጌጡ?</v>
      </c>
      <c r="I35" s="14" t="str">
        <f>IFERROR(__xludf.DUMMYFUNCTION(" GOOGLETRANSLATE(C35, ""en"", ""am"")"),"ሀ. ሀብትን ማሳየት ለ. ጀማሪውን ማክበር ሐ. እርኩሳን መናፍስትን ማዘናጋት መ. እርስ በርስ መወዳደር")</f>
        <v>ሀ. ሀብትን ማሳየት ለ. ጀማሪውን ማክበር ሐ. እርኩሳን መናፍስትን ማዘናጋት መ. እርስ በርስ መወዳደር</v>
      </c>
      <c r="J35" s="14" t="str">
        <f>IFERROR(__xludf.DUMMYFUNCTION(" GOOGLETRANSLATE(D35, ""en"", ""am"")"),"ለ) ጀማሪውን ለማክበር")</f>
        <v>ለ) ጀማሪውን ለማክበር</v>
      </c>
      <c r="K35" s="14" t="str">
        <f>IFERROR(__xludf.DUMMYFUNCTION(" GOOGLETRANSLATE(E35, ""en"", ""am"")"),"ለወጣቱ የበዓሉ ድጋፍ አካል አድርገው እራሳቸውን ያስውባሉ።")</f>
        <v>ለወጣቱ የበዓሉ ድጋፍ አካል አድርገው እራሳቸውን ያስውባሉ።</v>
      </c>
    </row>
    <row r="36" ht="22.5" customHeight="1">
      <c r="A36" s="16">
        <v>35.0</v>
      </c>
      <c r="B36" s="8" t="s">
        <v>3725</v>
      </c>
      <c r="C36" s="8" t="s">
        <v>3726</v>
      </c>
      <c r="D36" s="8" t="s">
        <v>3727</v>
      </c>
      <c r="E36" s="8" t="s">
        <v>3728</v>
      </c>
      <c r="G36" s="14" t="str">
        <f>IFERROR(__xludf.DUMMYFUNCTION(" GOOGLETRANSLATE(A36, ""en"", ""am"")"),"35")</f>
        <v>35</v>
      </c>
      <c r="H36" s="14" t="str">
        <f>IFERROR(__xludf.DUMMYFUNCTION(" GOOGLETRANSLATE(B36, ""en"", ""am"")"),"ጀማሪው መዝለሎችን ለመሞከር ዝግጁ መሆኑን ማን ያረጋግጣል?")</f>
        <v>ጀማሪው መዝለሎችን ለመሞከር ዝግጁ መሆኑን ማን ያረጋግጣል?</v>
      </c>
      <c r="I36" s="14" t="str">
        <f>IFERROR(__xludf.DUMMYFUNCTION(" GOOGLETRANSLATE(C36, ""en"", ""am"")"),"ሀ. አባቱ ለ. የእናቱ አጎቱ እና ሽማግሌዎች ሐ. ወንድሞቹ ዲ. እኩዮቹ")</f>
        <v>ሀ. አባቱ ለ. የእናቱ አጎቱ እና ሽማግሌዎች ሐ. ወንድሞቹ ዲ. እኩዮቹ</v>
      </c>
      <c r="J36" s="14" t="str">
        <f>IFERROR(__xludf.DUMMYFUNCTION(" GOOGLETRANSLATE(D36, ""en"", ""am"")"),"ለ) የእናቱ አጎትና ሽማግሌዎች")</f>
        <v>ለ) የእናቱ አጎትና ሽማግሌዎች</v>
      </c>
      <c r="K36" s="14" t="str">
        <f>IFERROR(__xludf.DUMMYFUNCTION(" GOOGLETRANSLATE(E36, ""en"", ""am"")"),"ዝግጁነትን ይፈርዳሉ እና ለመዝለል ፍቃድ ይሰጣሉ.")</f>
        <v>ዝግጁነትን ይፈርዳሉ እና ለመዝለል ፍቃድ ይሰጣሉ.</v>
      </c>
    </row>
    <row r="37" ht="22.5" customHeight="1">
      <c r="A37" s="16">
        <v>36.0</v>
      </c>
      <c r="B37" s="8" t="s">
        <v>3729</v>
      </c>
      <c r="C37" s="8" t="s">
        <v>3730</v>
      </c>
      <c r="D37" s="8" t="s">
        <v>3731</v>
      </c>
      <c r="E37" s="8" t="s">
        <v>3732</v>
      </c>
      <c r="G37" s="14" t="str">
        <f>IFERROR(__xludf.DUMMYFUNCTION(" GOOGLETRANSLATE(A37, ""en"", ""am"")"),"36")</f>
        <v>36</v>
      </c>
      <c r="H37" s="14" t="str">
        <f>IFERROR(__xludf.DUMMYFUNCTION(" GOOGLETRANSLATE(B37, ""en"", ""am"")"),"ለምን እርቃንነት ከጀማሪው ያስፈልጋል?")</f>
        <v>ለምን እርቃንነት ከጀማሪው ያስፈልጋል?</v>
      </c>
      <c r="I37" s="14" t="str">
        <f>IFERROR(__xludf.DUMMYFUNCTION(" GOOGLETRANSLATE(C37, ""en"", ""am"")"),"ሀ. ማራኪዎችን ወይም የጦር መሳሪያዎችን መደበቅ ለመከላከል ለ. ልጅነትን ወደ ኋላ መተው ሐ. ልብሶችን ላለመጉዳት መ. ተመልካቾችን ለማስደመም")</f>
        <v>ሀ. ማራኪዎችን ወይም የጦር መሳሪያዎችን መደበቅ ለመከላከል ለ. ልጅነትን ወደ ኋላ መተው ሐ. ልብሶችን ላለመጉዳት መ. ተመልካቾችን ለማስደመም</v>
      </c>
      <c r="J37" s="14" t="str">
        <f>IFERROR(__xludf.DUMMYFUNCTION(" GOOGLETRANSLATE(D37, ""en"", ""am"")"),"ለ) ልጅነትን ወደ ኋላ መተውን ለማመልከት")</f>
        <v>ለ) ልጅነትን ወደ ኋላ መተውን ለማመልከት</v>
      </c>
      <c r="K37" s="14" t="str">
        <f>IFERROR(__xludf.DUMMYFUNCTION(" GOOGLETRANSLATE(E37, ""en"", ""am"")"),"እርቃንነት አሮጌውን ማንነት መጣል እና ወደ ጉልምስና መግባትን ይወክላል።")</f>
        <v>እርቃንነት አሮጌውን ማንነት መጣል እና ወደ ጉልምስና መግባትን ይወክላል።</v>
      </c>
    </row>
    <row r="38" ht="22.5" customHeight="1">
      <c r="A38" s="16">
        <v>37.0</v>
      </c>
      <c r="B38" s="8" t="s">
        <v>3733</v>
      </c>
      <c r="C38" s="8" t="s">
        <v>3734</v>
      </c>
      <c r="D38" s="8" t="s">
        <v>3620</v>
      </c>
      <c r="E38" s="8" t="s">
        <v>3735</v>
      </c>
      <c r="G38" s="14" t="str">
        <f>IFERROR(__xludf.DUMMYFUNCTION(" GOOGLETRANSLATE(A38, ""en"", ""am"")"),"37")</f>
        <v>37</v>
      </c>
      <c r="H38" s="14" t="str">
        <f>IFERROR(__xludf.DUMMYFUNCTION(" GOOGLETRANSLATE(B38, ""en"", ""am"")"),"ልጁ ካልተሳካለት ከተዘለለ በኋላ ወዲያውኑ ምን ይሆናል?")</f>
        <v>ልጁ ካልተሳካለት ከተዘለለ በኋላ ወዲያውኑ ምን ይሆናል?</v>
      </c>
      <c r="I38" s="14" t="str">
        <f>IFERROR(__xludf.DUMMYFUNCTION(" GOOGLETRANSLATE(C38, ""en"", ""am"")"),"ሀ. ወደ መገለል ተወስዷል ለ. ተሳለቀበት ሐ. ሥነ ሥርዓቱ አልቋል D. ከላይ ያሉት ሁሉም")</f>
        <v>ሀ. ወደ መገለል ተወስዷል ለ. ተሳለቀበት ሐ. ሥነ ሥርዓቱ አልቋል D. ከላይ ያሉት ሁሉም</v>
      </c>
      <c r="J38" s="14" t="str">
        <f>IFERROR(__xludf.DUMMYFUNCTION(" GOOGLETRANSLATE(D38, ""en"", ""am"")"),"መ) ከላይ ያሉት ሁሉም")</f>
        <v>መ) ከላይ ያሉት ሁሉም</v>
      </c>
      <c r="K38" s="14" t="str">
        <f>IFERROR(__xludf.DUMMYFUNCTION(" GOOGLETRANSLATE(E38, ""en"", ""am"")"),"ውድቀት ማለት እስከሚቀጥለው አመት ድረስ መሳለቂያ እና መገለል ማለት ነው።")</f>
        <v>ውድቀት ማለት እስከሚቀጥለው አመት ድረስ መሳለቂያ እና መገለል ማለት ነው።</v>
      </c>
    </row>
    <row r="39" ht="22.5" customHeight="1">
      <c r="A39" s="16">
        <v>38.0</v>
      </c>
      <c r="B39" s="8" t="s">
        <v>3736</v>
      </c>
      <c r="C39" s="8" t="s">
        <v>3737</v>
      </c>
      <c r="D39" s="8" t="s">
        <v>3738</v>
      </c>
      <c r="E39" s="8" t="s">
        <v>3739</v>
      </c>
      <c r="G39" s="14" t="str">
        <f>IFERROR(__xludf.DUMMYFUNCTION(" GOOGLETRANSLATE(A39, ""en"", ""am"")"),"38")</f>
        <v>38</v>
      </c>
      <c r="H39" s="14" t="str">
        <f>IFERROR(__xludf.DUMMYFUNCTION(" GOOGLETRANSLATE(B39, ""en"", ""am"")"),"በኋለኛው ህይወታቸው በሴቶች ላይ የጅራፍ ጠባሳ ምን ማለት ነው?")</f>
        <v>በኋለኛው ህይወታቸው በሴቶች ላይ የጅራፍ ጠባሳ ምን ማለት ነው?</v>
      </c>
      <c r="I39" s="14" t="str">
        <f>IFERROR(__xludf.DUMMYFUNCTION(" GOOGLETRANSLATE(C39, ""en"", ""am"")"),"ሀ. በሥነ ሥርዓቱ ላይ መገኘታቸውን የሚያሳይ ማስረጃ ለ. የድፍረት እና የዝምድና ታማኝነት ምልክቶች ሐ. የአሳፋሪ ምልክቶች መ. የተፎካካሪ ጎሳ አባል የመሆን ምልክት")</f>
        <v>ሀ. በሥነ ሥርዓቱ ላይ መገኘታቸውን የሚያሳይ ማስረጃ ለ. የድፍረት እና የዝምድና ታማኝነት ምልክቶች ሐ. የአሳፋሪ ምልክቶች መ. የተፎካካሪ ጎሳ አባል የመሆን ምልክት</v>
      </c>
      <c r="J39" s="14" t="str">
        <f>IFERROR(__xludf.DUMMYFUNCTION(" GOOGLETRANSLATE(D39, ""en"", ""am"")"),"ለ) የድፍረት እና የዘመድ ታማኝነት ምልክቶች")</f>
        <v>ለ) የድፍረት እና የዘመድ ታማኝነት ምልክቶች</v>
      </c>
      <c r="K39" s="14" t="str">
        <f>IFERROR(__xludf.DUMMYFUNCTION(" GOOGLETRANSLATE(E39, ""en"", ""am"")"),"ሴቶች ጠባሳዎችን ለዘመዶቻቸው ያላቸውን መስዋዕትነት እና ፍቅር እንደ የተከበረ ማስረጃ አድርገው ይቆጥራሉ።")</f>
        <v>ሴቶች ጠባሳዎችን ለዘመዶቻቸው ያላቸውን መስዋዕትነት እና ፍቅር እንደ የተከበረ ማስረጃ አድርገው ይቆጥራሉ።</v>
      </c>
    </row>
    <row r="40" ht="22.5" customHeight="1">
      <c r="A40" s="16">
        <v>39.0</v>
      </c>
      <c r="B40" s="8" t="s">
        <v>3740</v>
      </c>
      <c r="C40" s="8" t="s">
        <v>3741</v>
      </c>
      <c r="D40" s="8" t="s">
        <v>3742</v>
      </c>
      <c r="E40" s="8" t="s">
        <v>3743</v>
      </c>
      <c r="G40" s="14" t="str">
        <f>IFERROR(__xludf.DUMMYFUNCTION(" GOOGLETRANSLATE(A40, ""en"", ""am"")"),"39")</f>
        <v>39</v>
      </c>
      <c r="H40" s="14" t="str">
        <f>IFERROR(__xludf.DUMMYFUNCTION(" GOOGLETRANSLATE(B40, ""en"", ""am"")"),"ብዙውን ጊዜ ላም መዝለል ከየትኛው ወቅት ጋር ይገናኛል?")</f>
        <v>ብዙውን ጊዜ ላም መዝለል ከየትኛው ወቅት ጋር ይገናኛል?</v>
      </c>
      <c r="I40" s="14" t="str">
        <f>IFERROR(__xludf.DUMMYFUNCTION(" GOOGLETRANSLATE(C40, ""en"", ""am"")"),"ሀ. ከመከር በኋላ ለ. በደረቁ ወቅት ሐ. ዝናባማ ወቅት ሲጀምር መ. በጎሳ በዓላት ዙሪያ")</f>
        <v>ሀ. ከመከር በኋላ ለ. በደረቁ ወቅት ሐ. ዝናባማ ወቅት ሲጀምር መ. በጎሳ በዓላት ዙሪያ</v>
      </c>
      <c r="J40" s="14" t="str">
        <f>IFERROR(__xludf.DUMMYFUNCTION(" GOOGLETRANSLATE(D40, ""en"", ""am"")"),"ሀ) ከተሰበሰበ በኋላ")</f>
        <v>ሀ) ከተሰበሰበ በኋላ</v>
      </c>
      <c r="K40" s="14" t="str">
        <f>IFERROR(__xludf.DUMMYFUNCTION(" GOOGLETRANSLATE(E40, ""en"", ""am"")"),"ሥነ ሥርዓቶች ብዙውን ጊዜ ከተሰበሰቡ በኋላ, ምግብ እና ከብቶች በብዛት በሚገኙበት ጊዜ ይዘጋጃሉ.")</f>
        <v>ሥነ ሥርዓቶች ብዙውን ጊዜ ከተሰበሰቡ በኋላ, ምግብ እና ከብቶች በብዛት በሚገኙበት ጊዜ ይዘጋጃሉ.</v>
      </c>
    </row>
    <row r="41" ht="22.5" customHeight="1">
      <c r="A41" s="16">
        <v>40.0</v>
      </c>
      <c r="B41" s="8" t="s">
        <v>3744</v>
      </c>
      <c r="C41" s="8" t="s">
        <v>3745</v>
      </c>
      <c r="D41" s="8" t="s">
        <v>3620</v>
      </c>
      <c r="E41" s="8" t="s">
        <v>3746</v>
      </c>
      <c r="G41" s="14" t="str">
        <f>IFERROR(__xludf.DUMMYFUNCTION(" GOOGLETRANSLATE(A41, ""en"", ""am"")"),"40")</f>
        <v>40</v>
      </c>
      <c r="H41" s="14" t="str">
        <f>IFERROR(__xludf.DUMMYFUNCTION(" GOOGLETRANSLATE(B41, ""en"", ""am"")"),"ጀማሪው ሩጫውን እንደጀመረ ምን ማድረግ የተከለከለ ነው?")</f>
        <v>ጀማሪው ሩጫውን እንደጀመረ ምን ማድረግ የተከለከለ ነው?</v>
      </c>
      <c r="I41" s="14" t="str">
        <f>IFERROR(__xludf.DUMMYFUNCTION(" GOOGLETRANSLATE(C41, ""en"", ""am"")"),"ሀ. ረዳቶችን መንካት ለ. መሃል መዝለልን መቀነስ C. የላም ቀንድ መያዝ መ. ከላይ ያሉት ሁሉም")</f>
        <v>ሀ. ረዳቶችን መንካት ለ. መሃል መዝለልን መቀነስ C. የላም ቀንድ መያዝ መ. ከላይ ያሉት ሁሉም</v>
      </c>
      <c r="J41" s="14" t="str">
        <f>IFERROR(__xludf.DUMMYFUNCTION(" GOOGLETRANSLATE(D41, ""en"", ""am"")"),"መ) ከላይ ያሉት ሁሉም")</f>
        <v>መ) ከላይ ያሉት ሁሉም</v>
      </c>
      <c r="K41" s="14" t="str">
        <f>IFERROR(__xludf.DUMMYFUNCTION(" GOOGLETRANSLATE(E41, ""en"", ""am"")"),"ህጎቹ ፈጣን፣ ያልተቋረጠ፣ ያልተረዳ ሩጫ ይጠይቃሉ።")</f>
        <v>ህጎቹ ፈጣን፣ ያልተቋረጠ፣ ያልተረዳ ሩጫ ይጠይቃሉ።</v>
      </c>
    </row>
    <row r="42" ht="22.5" customHeight="1">
      <c r="A42" s="16">
        <v>41.0</v>
      </c>
      <c r="B42" s="8" t="s">
        <v>3747</v>
      </c>
      <c r="C42" s="8" t="s">
        <v>3748</v>
      </c>
      <c r="D42" s="8" t="s">
        <v>3749</v>
      </c>
      <c r="E42" s="8" t="s">
        <v>3750</v>
      </c>
      <c r="G42" s="14" t="str">
        <f>IFERROR(__xludf.DUMMYFUNCTION(" GOOGLETRANSLATE(A42, ""en"", ""am"")"),"41")</f>
        <v>41</v>
      </c>
      <c r="H42" s="14" t="str">
        <f>IFERROR(__xludf.DUMMYFUNCTION(" GOOGLETRANSLATE(B42, ""en"", ""am"")"),"በዝግጅቱ ወቅት የሴቶችን ፀጉር ለማስጌጥ ምን ጥቅም ላይ ይውላል?")</f>
        <v>በዝግጅቱ ወቅት የሴቶችን ፀጉር ለማስጌጥ ምን ጥቅም ላይ ይውላል?</v>
      </c>
      <c r="I42" s="14" t="str">
        <f>IFERROR(__xludf.DUMMYFUNCTION(" GOOGLETRANSLATE(C42, ""en"", ""am"")"),"ሀ. ሸክላ እና ቅቤ ቢ. አመድ ሐ. ወተት ዲ. ሄና")</f>
        <v>ሀ. ሸክላ እና ቅቤ ቢ. አመድ ሐ. ወተት ዲ. ሄና</v>
      </c>
      <c r="J42" s="14" t="str">
        <f>IFERROR(__xludf.DUMMYFUNCTION(" GOOGLETRANSLATE(D42, ""en"", ""am"")"),"ሀ) ሸክላ እና ቅቤ")</f>
        <v>ሀ) ሸክላ እና ቅቤ</v>
      </c>
      <c r="K42" s="14" t="str">
        <f>IFERROR(__xludf.DUMMYFUNCTION(" GOOGLETRANSLATE(E42, ""en"", ""am"")"),"የሴቶች ፀጉር በቅቤ እና በኦቾሎኒ የሸክላ ድብልቅ እንደ የክብረ በዓሉ አካል ተዘጋጅቷል.")</f>
        <v>የሴቶች ፀጉር በቅቤ እና በኦቾሎኒ የሸክላ ድብልቅ እንደ የክብረ በዓሉ አካል ተዘጋጅቷል.</v>
      </c>
    </row>
    <row r="43" ht="22.5" customHeight="1">
      <c r="A43" s="16">
        <v>42.0</v>
      </c>
      <c r="B43" s="8" t="s">
        <v>3751</v>
      </c>
      <c r="C43" s="8" t="s">
        <v>3752</v>
      </c>
      <c r="D43" s="8" t="s">
        <v>3753</v>
      </c>
      <c r="E43" s="8" t="s">
        <v>3754</v>
      </c>
      <c r="G43" s="14" t="str">
        <f>IFERROR(__xludf.DUMMYFUNCTION(" GOOGLETRANSLATE(A43, ""en"", ""am"")"),"42")</f>
        <v>42</v>
      </c>
      <c r="H43" s="14" t="str">
        <f>IFERROR(__xludf.DUMMYFUNCTION(" GOOGLETRANSLATE(B43, ""en"", ""am"")"),"ከበዓሉ በኋላ ጅራፎቹ ምን ይሆናሉ?")</f>
        <v>ከበዓሉ በኋላ ጅራፎቹ ምን ይሆናሉ?</v>
      </c>
      <c r="I43" s="14" t="str">
        <f>IFERROR(__xludf.DUMMYFUNCTION(" GOOGLETRANSLATE(C43, ""en"", ""am"")"),"ሀ. እንደ ቅዱስ እቃዎች ተጠብቆ ለ. ለጀማሪው የተሰጠ C. የተቃጠለ D. ወደ ማዝ ተመለሰ")</f>
        <v>ሀ. እንደ ቅዱስ እቃዎች ተጠብቆ ለ. ለጀማሪው የተሰጠ C. የተቃጠለ D. ወደ ማዝ ተመለሰ</v>
      </c>
      <c r="J43" s="14" t="str">
        <f>IFERROR(__xludf.DUMMYFUNCTION(" GOOGLETRANSLATE(D43, ""en"", ""am"")"),"መ) ወደ ማዝ ተመለሰ")</f>
        <v>መ) ወደ ማዝ ተመለሰ</v>
      </c>
      <c r="K43" s="14" t="str">
        <f>IFERROR(__xludf.DUMMYFUNCTION(" GOOGLETRANSLATE(E43, ""en"", ""am"")"),"አለንጋዎቹ የማዝ ናቸው፣ ለእንደዚህ አይነት የአምልኮ ሥርዓቶች ብቻ የሚጠቀሙባቸው።")</f>
        <v>አለንጋዎቹ የማዝ ናቸው፣ ለእንደዚህ አይነት የአምልኮ ሥርዓቶች ብቻ የሚጠቀሙባቸው።</v>
      </c>
    </row>
    <row r="44" ht="22.5" customHeight="1">
      <c r="A44" s="16">
        <v>43.0</v>
      </c>
      <c r="B44" s="8" t="s">
        <v>3755</v>
      </c>
      <c r="C44" s="8" t="s">
        <v>3756</v>
      </c>
      <c r="D44" s="8" t="s">
        <v>3757</v>
      </c>
      <c r="E44" s="8" t="s">
        <v>3758</v>
      </c>
      <c r="G44" s="14" t="str">
        <f>IFERROR(__xludf.DUMMYFUNCTION(" GOOGLETRANSLATE(A44, ""en"", ""am"")"),"43")</f>
        <v>43</v>
      </c>
      <c r="H44" s="14" t="str">
        <f>IFERROR(__xludf.DUMMYFUNCTION(" GOOGLETRANSLATE(B44, ""en"", ""am"")"),"ለምንድን ነው የከብቶች ሀብት የአምልኮ ሥርዓቱ ዋና የሆነው?")</f>
        <v>ለምንድን ነው የከብቶች ሀብት የአምልኮ ሥርዓቱ ዋና የሆነው?</v>
      </c>
      <c r="I44" s="14" t="str">
        <f>IFERROR(__xludf.DUMMYFUNCTION(" GOOGLETRANSLATE(C44, ""en"", ""am"")"),"ሀ. ኢኮኖሚያዊ ኃይልን እና መንፈሳዊነትን ይወክላሉ ለ. በቀላሉ ለመሰብሰብ ቀላል ናቸው ሐ. ተመልካቾችን ይስባሉ D. የሁሉም ጎሳዎች ባለቤትነት አላቸው.")</f>
        <v>ሀ. ኢኮኖሚያዊ ኃይልን እና መንፈሳዊነትን ይወክላሉ ለ. በቀላሉ ለመሰብሰብ ቀላል ናቸው ሐ. ተመልካቾችን ይስባሉ D. የሁሉም ጎሳዎች ባለቤትነት አላቸው.</v>
      </c>
      <c r="J44" s="14" t="str">
        <f>IFERROR(__xludf.DUMMYFUNCTION(" GOOGLETRANSLATE(D44, ""en"", ""am"")"),"ሀ) ኢኮኖሚያዊ ኃይልን እና መንፈሳዊነትን ይወክላሉ")</f>
        <v>ሀ) ኢኮኖሚያዊ ኃይልን እና መንፈሳዊነትን ይወክላሉ</v>
      </c>
      <c r="K44" s="14" t="str">
        <f>IFERROR(__xludf.DUMMYFUNCTION(" GOOGLETRANSLATE(E44, ""en"", ""am"")"),"ከብት የሐማር ባህል፣ ሀብትና ማኅበራዊ ደረጃ መሠረት ነው።")</f>
        <v>ከብት የሐማር ባህል፣ ሀብትና ማኅበራዊ ደረጃ መሠረት ነው።</v>
      </c>
    </row>
    <row r="45" ht="22.5" customHeight="1">
      <c r="A45" s="16">
        <v>44.0</v>
      </c>
      <c r="B45" s="8" t="s">
        <v>3759</v>
      </c>
      <c r="C45" s="8" t="s">
        <v>3760</v>
      </c>
      <c r="D45" s="8" t="s">
        <v>3761</v>
      </c>
      <c r="E45" s="8" t="s">
        <v>3762</v>
      </c>
      <c r="G45" s="14" t="str">
        <f>IFERROR(__xludf.DUMMYFUNCTION(" GOOGLETRANSLATE(A45, ""en"", ""am"")"),"44")</f>
        <v>44</v>
      </c>
      <c r="H45" s="14" t="str">
        <f>IFERROR(__xludf.DUMMYFUNCTION(" GOOGLETRANSLATE(B45, ""en"", ""am"")"),"ወንዶች ከአምልኮው በፊት እራሳቸውን እንዴት ያዘጋጃሉ?")</f>
        <v>ወንዶች ከአምልኮው በፊት እራሳቸውን እንዴት ያዘጋጃሉ?</v>
      </c>
      <c r="I45" s="14" t="str">
        <f>IFERROR(__xludf.DUMMYFUNCTION(" GOOGLETRANSLATE(C45, ""en"", ""am"")"),"ሀ. ሰውነታቸውን በአመድ ይቀቡ ለ. በአንድ ሌሊት ይፆሙ ሐ. ወተት እና የማር ወይን ጠጅ ጠጡ D. የጦር ተዋጊ ጌጣጌጦችን ይልበሱ.")</f>
        <v>ሀ. ሰውነታቸውን በአመድ ይቀቡ ለ. በአንድ ሌሊት ይፆሙ ሐ. ወተት እና የማር ወይን ጠጅ ጠጡ D. የጦር ተዋጊ ጌጣጌጦችን ይልበሱ.</v>
      </c>
      <c r="J45" s="14" t="str">
        <f>IFERROR(__xludf.DUMMYFUNCTION(" GOOGLETRANSLATE(D45, ""en"", ""am"")"),"ሐ) ወተት እና የማር ወይን ጠጅ ይጠጡ")</f>
        <v>ሐ) ወተት እና የማር ወይን ጠጅ ይጠጡ</v>
      </c>
      <c r="K45" s="14" t="str">
        <f>IFERROR(__xludf.DUMMYFUNCTION(" GOOGLETRANSLATE(E45, ""en"", ""am"")"),"ከዝግጅቱ በፊት የማር ወይን እንደ የክብረ በዓሉ አካል ይጋራሉ.")</f>
        <v>ከዝግጅቱ በፊት የማር ወይን እንደ የክብረ በዓሉ አካል ይጋራሉ.</v>
      </c>
    </row>
    <row r="46" ht="22.5" customHeight="1">
      <c r="A46" s="16">
        <v>45.0</v>
      </c>
      <c r="B46" s="8" t="s">
        <v>3763</v>
      </c>
      <c r="C46" s="8" t="s">
        <v>3764</v>
      </c>
      <c r="D46" s="8" t="s">
        <v>3765</v>
      </c>
      <c r="E46" s="8" t="s">
        <v>3766</v>
      </c>
      <c r="G46" s="14" t="str">
        <f>IFERROR(__xludf.DUMMYFUNCTION(" GOOGLETRANSLATE(A46, ""en"", ""am"")"),"45")</f>
        <v>45</v>
      </c>
      <c r="H46" s="14" t="str">
        <f>IFERROR(__xludf.DUMMYFUNCTION(" GOOGLETRANSLATE(B46, ""en"", ""am"")"),"በዝግጅቱ ላይ የወጣት ወንዶች ሚና ምንድ ነው?")</f>
        <v>በዝግጅቱ ላይ የወጣት ወንዶች ሚና ምንድ ነው?</v>
      </c>
      <c r="I46" s="14" t="str">
        <f>IFERROR(__xludf.DUMMYFUNCTION(" GOOGLETRANSLATE(C46, ""en"", ""am"")"),"A. ዝም አሉ ለ. ወጎችን ይመለከታሉ እና ይማራሉ ሐ. ላሞችን ያስራሉ D. መናፍስትን ያባርራሉ.")</f>
        <v>A. ዝም አሉ ለ. ወጎችን ይመለከታሉ እና ይማራሉ ሐ. ላሞችን ያስራሉ D. መናፍስትን ያባርራሉ.</v>
      </c>
      <c r="J46" s="14" t="str">
        <f>IFERROR(__xludf.DUMMYFUNCTION(" GOOGLETRANSLATE(D46, ""en"", ""am"")"),"ለ) ወጎችን ይመለከታሉ እና ይማራሉ")</f>
        <v>ለ) ወጎችን ይመለከታሉ እና ይማራሉ</v>
      </c>
      <c r="K46" s="14" t="str">
        <f>IFERROR(__xludf.DUMMYFUNCTION(" GOOGLETRANSLATE(E46, ""en"", ""am"")"),"ወጣት ወንዶች ለወደፊት ጅምር ለመከታተል እና ለመዘጋጀት ይሳተፋሉ።")</f>
        <v>ወጣት ወንዶች ለወደፊት ጅምር ለመከታተል እና ለመዘጋጀት ይሳተፋሉ።</v>
      </c>
    </row>
    <row r="47" ht="22.5" customHeight="1">
      <c r="A47" s="16">
        <v>46.0</v>
      </c>
      <c r="B47" s="8" t="s">
        <v>3767</v>
      </c>
      <c r="C47" s="8" t="s">
        <v>3768</v>
      </c>
      <c r="D47" s="8" t="s">
        <v>3769</v>
      </c>
      <c r="E47" s="8" t="s">
        <v>3770</v>
      </c>
      <c r="G47" s="14" t="str">
        <f>IFERROR(__xludf.DUMMYFUNCTION(" GOOGLETRANSLATE(A47, ""en"", ""am"")"),"46")</f>
        <v>46</v>
      </c>
      <c r="H47" s="14" t="str">
        <f>IFERROR(__xludf.DUMMYFUNCTION(" GOOGLETRANSLATE(B47, ""en"", ""am"")"),"በአምልኮ ሥርዓቱ ወቅት ብዙውን ጊዜ ለበረከት የሚውለው ምን ዓይነት ተፈጥሯዊ ነገር ነው?")</f>
        <v>በአምልኮ ሥርዓቱ ወቅት ብዙውን ጊዜ ለበረከት የሚውለው ምን ዓይነት ተፈጥሯዊ ነገር ነው?</v>
      </c>
      <c r="I47" s="14" t="str">
        <f>IFERROR(__xludf.DUMMYFUNCTION(" GOOGLETRANSLATE(C47, ""en"", ""am"")"),"ሀ. ወተት ለ. ላም ኩበት ሐ. የዛፍ ቅጠሎች መ. የተቀደሱ ድንጋዮች")</f>
        <v>ሀ. ወተት ለ. ላም ኩበት ሐ. የዛፍ ቅጠሎች መ. የተቀደሱ ድንጋዮች</v>
      </c>
      <c r="J47" s="14" t="str">
        <f>IFERROR(__xludf.DUMMYFUNCTION(" GOOGLETRANSLATE(D47, ""en"", ""am"")"),"ሀ) ወተት")</f>
        <v>ሀ) ወተት</v>
      </c>
      <c r="K47" s="14" t="str">
        <f>IFERROR(__xludf.DUMMYFUNCTION(" GOOGLETRANSLATE(E47, ""en"", ""am"")"),"ወተት የንጽህና እና የብልጽግና ምልክት ሆኖ ይረጫል.")</f>
        <v>ወተት የንጽህና እና የብልጽግና ምልክት ሆኖ ይረጫል.</v>
      </c>
    </row>
    <row r="48" ht="22.5" customHeight="1">
      <c r="A48" s="16">
        <v>47.0</v>
      </c>
      <c r="B48" s="8" t="s">
        <v>3771</v>
      </c>
      <c r="C48" s="8" t="s">
        <v>3772</v>
      </c>
      <c r="D48" s="8" t="s">
        <v>3773</v>
      </c>
      <c r="E48" s="8" t="s">
        <v>3774</v>
      </c>
      <c r="G48" s="14" t="str">
        <f>IFERROR(__xludf.DUMMYFUNCTION(" GOOGLETRANSLATE(A48, ""en"", ""am"")"),"47")</f>
        <v>47</v>
      </c>
      <c r="H48" s="14" t="str">
        <f>IFERROR(__xludf.DUMMYFUNCTION(" GOOGLETRANSLATE(B48, ""en"", ""am"")"),"የማስጀመሪያውን ቀን የሚወስነው ማነው?")</f>
        <v>የማስጀመሪያውን ቀን የሚወስነው ማነው?</v>
      </c>
      <c r="I48" s="14" t="str">
        <f>IFERROR(__xludf.DUMMYFUNCTION(" GOOGLETRANSLATE(C48, ""en"", ""am"")"),"ሀ. ሽማግሌዎች እና ቤተሰብ ለ. የመንግስት ባለስልጣናት ሐ. እራሱን አስነሳ መ. የሴቶች ዘመዶች")</f>
        <v>ሀ. ሽማግሌዎች እና ቤተሰብ ለ. የመንግስት ባለስልጣናት ሐ. እራሱን አስነሳ መ. የሴቶች ዘመዶች</v>
      </c>
      <c r="J48" s="14" t="str">
        <f>IFERROR(__xludf.DUMMYFUNCTION(" GOOGLETRANSLATE(D48, ""en"", ""am"")"),"ሀ) ሽማግሌዎች እና ቤተሰብ")</f>
        <v>ሀ) ሽማግሌዎች እና ቤተሰብ</v>
      </c>
      <c r="K48" s="14" t="str">
        <f>IFERROR(__xludf.DUMMYFUNCTION(" GOOGLETRANSLATE(E48, ""en"", ""am"")"),"ጊዜ በአገር ሽማግሌዎች እና ዘመዶች የሚመረጠው ዝግጁነት እና ወቅትን መሠረት በማድረግ ነው።")</f>
        <v>ጊዜ በአገር ሽማግሌዎች እና ዘመዶች የሚመረጠው ዝግጁነት እና ወቅትን መሠረት በማድረግ ነው።</v>
      </c>
    </row>
    <row r="49" ht="22.5" customHeight="1">
      <c r="A49" s="16">
        <v>48.0</v>
      </c>
      <c r="B49" s="8" t="s">
        <v>3775</v>
      </c>
      <c r="C49" s="8" t="s">
        <v>3776</v>
      </c>
      <c r="D49" s="8" t="s">
        <v>3777</v>
      </c>
      <c r="E49" s="8" t="s">
        <v>3778</v>
      </c>
      <c r="G49" s="14" t="str">
        <f>IFERROR(__xludf.DUMMYFUNCTION(" GOOGLETRANSLATE(A49, ""en"", ""am"")"),"48")</f>
        <v>48</v>
      </c>
      <c r="H49" s="14" t="str">
        <f>IFERROR(__xludf.DUMMYFUNCTION(" GOOGLETRANSLATE(B49, ""en"", ""am"")"),"በሥርዓተ ሥርዓቱ በብዛት የሚፈተነው ምን ዓይነት ባህላዊ እሴት ነው?")</f>
        <v>በሥርዓተ ሥርዓቱ በብዛት የሚፈተነው ምን ዓይነት ባህላዊ እሴት ነው?</v>
      </c>
      <c r="I49" s="14" t="str">
        <f>IFERROR(__xludf.DUMMYFUNCTION(" GOOGLETRANSLATE(C49, ""en"", ""am"")"),"ሀ. ሀብት ለ. ጀግንነት እና ጽናት ሐ. ኢንተለጀንስ ዲ. ፍጥነት")</f>
        <v>ሀ. ሀብት ለ. ጀግንነት እና ጽናት ሐ. ኢንተለጀንስ ዲ. ፍጥነት</v>
      </c>
      <c r="J49" s="14" t="str">
        <f>IFERROR(__xludf.DUMMYFUNCTION(" GOOGLETRANSLATE(D49, ""en"", ""am"")"),"ለ) ጀግንነት እና ጽናት።")</f>
        <v>ለ) ጀግንነት እና ጽናት።</v>
      </c>
      <c r="K49" s="14" t="str">
        <f>IFERROR(__xludf.DUMMYFUNCTION(" GOOGLETRANSLATE(E49, ""en"", ""am"")"),"ድፍረት እና ጥንካሬ በዚህ የመተላለፊያ ስርዓት የተፈተኑ ማዕከላዊ እሴቶች ናቸው።")</f>
        <v>ድፍረት እና ጥንካሬ በዚህ የመተላለፊያ ስርዓት የተፈተኑ ማዕከላዊ እሴቶች ናቸው።</v>
      </c>
    </row>
    <row r="50" ht="22.5" customHeight="1">
      <c r="A50" s="16">
        <v>49.0</v>
      </c>
      <c r="B50" s="8" t="s">
        <v>3779</v>
      </c>
      <c r="C50" s="8" t="s">
        <v>3780</v>
      </c>
      <c r="D50" s="8" t="s">
        <v>3781</v>
      </c>
      <c r="E50" s="8" t="s">
        <v>3782</v>
      </c>
      <c r="G50" s="14" t="str">
        <f>IFERROR(__xludf.DUMMYFUNCTION(" GOOGLETRANSLATE(A50, ""en"", ""am"")"),"49")</f>
        <v>49</v>
      </c>
      <c r="H50" s="14" t="str">
        <f>IFERROR(__xludf.DUMMYFUNCTION(" GOOGLETRANSLATE(B50, ""en"", ""am"")"),"ሴቶች ድፍረት ካላሳዩ የሚገርፋቸው ማነው?")</f>
        <v>ሴቶች ድፍረት ካላሳዩ የሚገርፋቸው ማነው?</v>
      </c>
      <c r="I50" s="14" t="str">
        <f>IFERROR(__xludf.DUMMYFUNCTION(" GOOGLETRANSLATE(C50, ""en"", ""am"")"),"ሀ. ማንም የለም; መገረፍ በፈቃደኝነት ነው ለ. ሽማግሌዎች ያስገድዱታል ሐ. ራሱ አነሳሽ መ. ሌሎች ሴቶች")</f>
        <v>ሀ. ማንም የለም; መገረፍ በፈቃደኝነት ነው ለ. ሽማግሌዎች ያስገድዱታል ሐ. ራሱ አነሳሽ መ. ሌሎች ሴቶች</v>
      </c>
      <c r="J50" s="14" t="str">
        <f>IFERROR(__xludf.DUMMYFUNCTION(" GOOGLETRANSLATE(D50, ""en"", ""am"")"),"ሀ) ማንም; መገረፍ የውዴታ ነው።")</f>
        <v>ሀ) ማንም; መገረፍ የውዴታ ነው።</v>
      </c>
      <c r="K50" s="14" t="str">
        <f>IFERROR(__xludf.DUMMYFUNCTION(" GOOGLETRANSLATE(E50, ""en"", ""am"")"),"ሴቶች መገረፍ ይመርጣሉ; በፍጹም አይገደድም።")</f>
        <v>ሴቶች መገረፍ ይመርጣሉ; በፍጹም አይገደድም።</v>
      </c>
    </row>
    <row r="51" ht="22.5" customHeight="1">
      <c r="A51" s="16">
        <v>50.0</v>
      </c>
      <c r="B51" s="8" t="s">
        <v>3783</v>
      </c>
      <c r="C51" s="8" t="s">
        <v>3784</v>
      </c>
      <c r="D51" s="8" t="s">
        <v>3785</v>
      </c>
      <c r="E51" s="8" t="s">
        <v>3786</v>
      </c>
      <c r="G51" s="14" t="str">
        <f>IFERROR(__xludf.DUMMYFUNCTION(" GOOGLETRANSLATE(A51, ""en"", ""am"")"),"50")</f>
        <v>50</v>
      </c>
      <c r="H51" s="14" t="str">
        <f>IFERROR(__xludf.DUMMYFUNCTION(" GOOGLETRANSLATE(B51, ""en"", ""am"")"),"በክብረ በዓሉ ወቅት ለተመልካቾች አንድ ህግ ምንድን ነው?")</f>
        <v>በክብረ በዓሉ ወቅት ለተመልካቾች አንድ ህግ ምንድን ነው?</v>
      </c>
      <c r="I51" s="14" t="str">
        <f>IFERROR(__xludf.DUMMYFUNCTION(" GOOGLETRANSLATE(C51, ""en"", ""am"")"),"ሀ. በዝላይ ላይ ጣልቃ መግባት የለባቸውም B. በፀጥታ መቀመጥ አለባቸው ሐ. ከላሞቹ ጀርባ መሰለፍ አለባቸው D. ከብት መዋጮ ማድረግ አለባቸው.")</f>
        <v>ሀ. በዝላይ ላይ ጣልቃ መግባት የለባቸውም B. በፀጥታ መቀመጥ አለባቸው ሐ. ከላሞቹ ጀርባ መሰለፍ አለባቸው D. ከብት መዋጮ ማድረግ አለባቸው.</v>
      </c>
      <c r="J51" s="14" t="str">
        <f>IFERROR(__xludf.DUMMYFUNCTION(" GOOGLETRANSLATE(D51, ""en"", ""am"")"),"ሀ) በመዝለሉ ላይ ጣልቃ መግባት የለባቸውም")</f>
        <v>ሀ) በመዝለሉ ላይ ጣልቃ መግባት የለባቸውም</v>
      </c>
      <c r="K51" s="14" t="str">
        <f>IFERROR(__xludf.DUMMYFUNCTION(" GOOGLETRANSLATE(E51, ""en"", ""am"")"),"የአምልኮ ሥርዓቱ ከሕዝቡ ሳይደናቀፍ መቀጠል አለበት.")</f>
        <v>የአምልኮ ሥርዓቱ ከሕዝቡ ሳይደናቀፍ መቀጠል አለበት.</v>
      </c>
    </row>
    <row r="52" ht="22.5" customHeight="1">
      <c r="A52" s="16">
        <v>51.0</v>
      </c>
      <c r="B52" s="8" t="s">
        <v>3787</v>
      </c>
      <c r="C52" s="8" t="s">
        <v>3788</v>
      </c>
      <c r="D52" s="8" t="s">
        <v>3789</v>
      </c>
      <c r="E52" s="8" t="s">
        <v>3790</v>
      </c>
      <c r="G52" s="14" t="str">
        <f>IFERROR(__xludf.DUMMYFUNCTION(" GOOGLETRANSLATE(A52, ""en"", ""am"")"),"51")</f>
        <v>51</v>
      </c>
      <c r="H52" s="14" t="str">
        <f>IFERROR(__xludf.DUMMYFUNCTION(" GOOGLETRANSLATE(B52, ""en"", ""am"")"),"ከመዝለሉ በፊት የጀማሪው ዝግጁነት ምን ምልክት ነው?")</f>
        <v>ከመዝለሉ በፊት የጀማሪው ዝግጁነት ምን ምልክት ነው?</v>
      </c>
      <c r="I52" s="14" t="str">
        <f>IFERROR(__xludf.DUMMYFUNCTION(" GOOGLETRANSLATE(C52, ""en"", ""am"")"),"ሀ/ ተገፎ በዘይት ይቀባል ለ.ከሽማግሌዎች በረከትን ይቀበላል ሐ.በጭቃ ተስሏል መ.እያንዳንዷን ላም ይነካል።")</f>
        <v>ሀ/ ተገፎ በዘይት ይቀባል ለ.ከሽማግሌዎች በረከትን ይቀበላል ሐ.በጭቃ ተስሏል መ.እያንዳንዷን ላም ይነካል።</v>
      </c>
      <c r="J52" s="14" t="str">
        <f>IFERROR(__xludf.DUMMYFUNCTION(" GOOGLETRANSLATE(D52, ""en"", ""am"")"),"ለ) ከሽማግሌዎች በረከትን ይቀበላል")</f>
        <v>ለ) ከሽማግሌዎች በረከትን ይቀበላል</v>
      </c>
      <c r="K52" s="14" t="str">
        <f>IFERROR(__xludf.DUMMYFUNCTION(" GOOGLETRANSLATE(E52, ""en"", ""am"")"),"ሽማግሌዎች መዝለልን እንዲሞክር ፈቅደውለት በረከትን ይናገራሉ።")</f>
        <v>ሽማግሌዎች መዝለልን እንዲሞክር ፈቅደውለት በረከትን ይናገራሉ።</v>
      </c>
    </row>
    <row r="53" ht="22.5" customHeight="1">
      <c r="A53" s="16">
        <v>52.0</v>
      </c>
      <c r="B53" s="8" t="s">
        <v>3791</v>
      </c>
      <c r="C53" s="8" t="s">
        <v>3792</v>
      </c>
      <c r="D53" s="8" t="s">
        <v>3793</v>
      </c>
      <c r="E53" s="8" t="s">
        <v>3794</v>
      </c>
      <c r="G53" s="14" t="str">
        <f>IFERROR(__xludf.DUMMYFUNCTION(" GOOGLETRANSLATE(A53, ""en"", ""am"")"),"52")</f>
        <v>52</v>
      </c>
      <c r="H53" s="14" t="str">
        <f>IFERROR(__xludf.DUMMYFUNCTION(" GOOGLETRANSLATE(B53, ""en"", ""am"")"),"ለምንድን ነው የሴቶች ዘፈኖች በአምልኮ ሥርዓቱ ውስጥ ወሳኝ የሆኑት?")</f>
        <v>ለምንድን ነው የሴቶች ዘፈኖች በአምልኮ ሥርዓቱ ውስጥ ወሳኝ የሆኑት?</v>
      </c>
      <c r="I53" s="14" t="str">
        <f>IFERROR(__xludf.DUMMYFUNCTION(" GOOGLETRANSLATE(C53, ""en"", ""am"")"),"ሀ. ከብቶቹን ይመራሉ ለ. የአባቶችን መንፈስ ይስባሉ ሐ. የጀማሪውን ድፍረት ያበረታታሉ D. ከበሮ መምታትን ይተካሉ")</f>
        <v>ሀ. ከብቶቹን ይመራሉ ለ. የአባቶችን መንፈስ ይስባሉ ሐ. የጀማሪውን ድፍረት ያበረታታሉ D. ከበሮ መምታትን ይተካሉ</v>
      </c>
      <c r="J53" s="14" t="str">
        <f>IFERROR(__xludf.DUMMYFUNCTION(" GOOGLETRANSLATE(D53, ""en"", ""am"")"),"ሐ) የጀማሪውን ድፍረት ያበረታታሉ")</f>
        <v>ሐ) የጀማሪውን ድፍረት ያበረታታሉ</v>
      </c>
      <c r="K53" s="14" t="str">
        <f>IFERROR(__xludf.DUMMYFUNCTION(" GOOGLETRANSLATE(E53, ""en"", ""am"")"),"ዘፈኖች ለዘለለ ሰው ጥንካሬ እና ስሜታዊ ድጋፍ ይሰጣሉ.")</f>
        <v>ዘፈኖች ለዘለለ ሰው ጥንካሬ እና ስሜታዊ ድጋፍ ይሰጣሉ.</v>
      </c>
    </row>
    <row r="54" ht="22.5" customHeight="1">
      <c r="A54" s="16">
        <v>53.0</v>
      </c>
      <c r="B54" s="8" t="s">
        <v>3795</v>
      </c>
      <c r="C54" s="8" t="s">
        <v>3796</v>
      </c>
      <c r="D54" s="8" t="s">
        <v>3620</v>
      </c>
      <c r="E54" s="8" t="s">
        <v>3797</v>
      </c>
      <c r="G54" s="14" t="str">
        <f>IFERROR(__xludf.DUMMYFUNCTION(" GOOGLETRANSLATE(A54, ""en"", ""am"")"),"53")</f>
        <v>53</v>
      </c>
      <c r="H54" s="14" t="str">
        <f>IFERROR(__xludf.DUMMYFUNCTION(" GOOGLETRANSLATE(B54, ""en"", ""am"")"),"አንድ ሰው ዝላይውን በተሳካ ሁኔታ ካጠናቀቀ በኋላ ምን ይሆናል?")</f>
        <v>አንድ ሰው ዝላይውን በተሳካ ሁኔታ ካጠናቀቀ በኋላ ምን ይሆናል?</v>
      </c>
      <c r="I54" s="14" t="str">
        <f>IFERROR(__xludf.DUMMYFUNCTION(" GOOGLETRANSLATE(C54, ""en"", ""am"")"),"ሀ. ድግስ አዘጋጅቷል ለ. ከብት በስጦታ ይቀበላል ሐ. ማግባት ተፈቅዶለታል D. ከላይ የተጠቀሱትን ሁሉ")</f>
        <v>ሀ. ድግስ አዘጋጅቷል ለ. ከብት በስጦታ ይቀበላል ሐ. ማግባት ተፈቅዶለታል D. ከላይ የተጠቀሱትን ሁሉ</v>
      </c>
      <c r="J54" s="14" t="str">
        <f>IFERROR(__xludf.DUMMYFUNCTION(" GOOGLETRANSLATE(D54, ""en"", ""am"")"),"መ) ከላይ ያሉት ሁሉም")</f>
        <v>መ) ከላይ ያሉት ሁሉም</v>
      </c>
      <c r="K54" s="14" t="str">
        <f>IFERROR(__xludf.DUMMYFUNCTION(" GOOGLETRANSLATE(E54, ""en"", ""am"")"),"የጋብቻ መብት፣ ግብዣ እና አንዳንድ ጊዜ የከብት ስጦታዎች ስኬትን ይከተላሉ።")</f>
        <v>የጋብቻ መብት፣ ግብዣ እና አንዳንድ ጊዜ የከብት ስጦታዎች ስኬትን ይከተላሉ።</v>
      </c>
    </row>
    <row r="55" ht="22.5" customHeight="1">
      <c r="A55" s="16">
        <v>54.0</v>
      </c>
      <c r="B55" s="8" t="s">
        <v>3798</v>
      </c>
      <c r="C55" s="8" t="s">
        <v>3799</v>
      </c>
      <c r="D55" s="8" t="s">
        <v>3620</v>
      </c>
      <c r="E55" s="8" t="s">
        <v>3800</v>
      </c>
      <c r="G55" s="14" t="str">
        <f>IFERROR(__xludf.DUMMYFUNCTION(" GOOGLETRANSLATE(A55, ""en"", ""am"")"),"54")</f>
        <v>54</v>
      </c>
      <c r="H55" s="14" t="str">
        <f>IFERROR(__xludf.DUMMYFUNCTION(" GOOGLETRANSLATE(B55, ""en"", ""am"")"),"በመዝለሉ ጊዜ የትኛው የሰውነት ክፍል መሬቱን መንካት የለበትም?")</f>
        <v>በመዝለሉ ጊዜ የትኛው የሰውነት ክፍል መሬቱን መንካት የለበትም?</v>
      </c>
      <c r="I55" s="14" t="str">
        <f>IFERROR(__xludf.DUMMYFUNCTION(" GOOGLETRANSLATE(C55, ""en"", ""am"")"),"ሀ. ጭንቅላት ቢ. እጅ ሐ. እግሮች (በመሃል በሚዘለሉበት ጊዜ) መ. ከላይ ያሉት ሁሉም")</f>
        <v>ሀ. ጭንቅላት ቢ. እጅ ሐ. እግሮች (በመሃል በሚዘለሉበት ጊዜ) መ. ከላይ ያሉት ሁሉም</v>
      </c>
      <c r="J55" s="14" t="str">
        <f>IFERROR(__xludf.DUMMYFUNCTION(" GOOGLETRANSLATE(D55, ""en"", ""am"")"),"መ) ከላይ ያሉት ሁሉም")</f>
        <v>መ) ከላይ ያሉት ሁሉም</v>
      </c>
      <c r="K55" s="14" t="str">
        <f>IFERROR(__xludf.DUMMYFUNCTION(" GOOGLETRANSLATE(E55, ""en"", ""am"")"),"መሬቱን ወይም ላሞችን አላግባብ መንካት መዝለሉን ያስወግዳል።")</f>
        <v>መሬቱን ወይም ላሞችን አላግባብ መንካት መዝለሉን ያስወግዳል።</v>
      </c>
    </row>
    <row r="56" ht="22.5" customHeight="1">
      <c r="A56" s="16">
        <v>55.0</v>
      </c>
      <c r="B56" s="8" t="s">
        <v>3801</v>
      </c>
      <c r="C56" s="8" t="s">
        <v>3802</v>
      </c>
      <c r="D56" s="8" t="s">
        <v>3803</v>
      </c>
      <c r="E56" s="8" t="s">
        <v>3804</v>
      </c>
      <c r="G56" s="14" t="str">
        <f>IFERROR(__xludf.DUMMYFUNCTION(" GOOGLETRANSLATE(A56, ""en"", ""am"")"),"55")</f>
        <v>55</v>
      </c>
      <c r="H56" s="14" t="str">
        <f>IFERROR(__xludf.DUMMYFUNCTION(" GOOGLETRANSLATE(B56, ""en"", ""am"")"),"ብዙውን ጊዜ ላሞች እንዳይሸሹ የሚጠብቃቸው ማነው?")</f>
        <v>ብዙውን ጊዜ ላሞች እንዳይሸሹ የሚጠብቃቸው ማነው?</v>
      </c>
      <c r="I56" s="14" t="str">
        <f>IFERROR(__xludf.DUMMYFUNCTION(" GOOGLETRANSLATE(C56, ""en"", ""am"")"),"ሀ. ሽማግሌዎች B. ማዝ አለንጋ ይዘው ሐ. ያገቡ ወንዶች D. ሴት ዘመድ")</f>
        <v>ሀ. ሽማግሌዎች B. ማዝ አለንጋ ይዘው ሐ. ያገቡ ወንዶች D. ሴት ዘመድ</v>
      </c>
      <c r="J56" s="14" t="str">
        <f>IFERROR(__xludf.DUMMYFUNCTION(" GOOGLETRANSLATE(D56, ""en"", ""am"")"),"ሐ) ያገቡ ወንዶች")</f>
        <v>ሐ) ያገቡ ወንዶች</v>
      </c>
      <c r="K56" s="14" t="str">
        <f>IFERROR(__xludf.DUMMYFUNCTION(" GOOGLETRANSLATE(E56, ""en"", ""am"")"),"ያገቡ ወንዶች ላሞች በመስመር ላይ መቆየታቸውን ያረጋግጣሉ.")</f>
        <v>ያገቡ ወንዶች ላሞች በመስመር ላይ መቆየታቸውን ያረጋግጣሉ.</v>
      </c>
    </row>
    <row r="57" ht="22.5" customHeight="1">
      <c r="A57" s="16">
        <v>56.0</v>
      </c>
      <c r="B57" s="8" t="s">
        <v>3805</v>
      </c>
      <c r="C57" s="8" t="s">
        <v>3806</v>
      </c>
      <c r="D57" s="8" t="s">
        <v>3807</v>
      </c>
      <c r="E57" s="8" t="s">
        <v>3808</v>
      </c>
      <c r="G57" s="14" t="str">
        <f>IFERROR(__xludf.DUMMYFUNCTION(" GOOGLETRANSLATE(A57, ""en"", ""am"")"),"56")</f>
        <v>56</v>
      </c>
      <c r="H57" s="14" t="str">
        <f>IFERROR(__xludf.DUMMYFUNCTION(" GOOGLETRANSLATE(B57, ""en"", ""am"")"),"የአምልኮ ሥርዓቱ ""ስፖርት መሰል"" እንቅስቃሴ ተብሎ የሚጠራው ለምንድን ነው?")</f>
        <v>የአምልኮ ሥርዓቱ "ስፖርት መሰል" እንቅስቃሴ ተብሎ የሚጠራው ለምንድን ነው?</v>
      </c>
      <c r="I57" s="14" t="str">
        <f>IFERROR(__xludf.DUMMYFUNCTION(" GOOGLETRANSLATE(C57, ""en"", ""am"")"),"ሀ. አካላዊ ክህሎትን፣ ፍጥነትን እና ሚዛንን ይጠይቃል።")</f>
        <v>ሀ. አካላዊ ክህሎትን፣ ፍጥነትን እና ሚዛንን ይጠይቃል።</v>
      </c>
      <c r="J57" s="14" t="str">
        <f>IFERROR(__xludf.DUMMYFUNCTION(" GOOGLETRANSLATE(D57, ""en"", ""am"")"),"ሀ) አካላዊ ችሎታ፣ ፍጥነት እና ሚዛን ይጠይቃል")</f>
        <v>ሀ) አካላዊ ችሎታ፣ ፍጥነት እና ሚዛን ይጠይቃል</v>
      </c>
      <c r="K57" s="14" t="str">
        <f>IFERROR(__xludf.DUMMYFUNCTION(" GOOGLETRANSLATE(E57, ""en"", ""am"")"),"ዝላይው የአትሌቲክስ ተግዳሮቶችን ያስመስላል ነገር ግን ጥልቅ የአምልኮ ሥርዓት ትርጉም አለው።")</f>
        <v>ዝላይው የአትሌቲክስ ተግዳሮቶችን ያስመስላል ነገር ግን ጥልቅ የአምልኮ ሥርዓት ትርጉም አለው።</v>
      </c>
    </row>
    <row r="58" ht="22.5" customHeight="1">
      <c r="A58" s="16">
        <v>57.0</v>
      </c>
      <c r="B58" s="8" t="s">
        <v>3809</v>
      </c>
      <c r="C58" s="8" t="s">
        <v>3810</v>
      </c>
      <c r="D58" s="8" t="s">
        <v>3811</v>
      </c>
      <c r="E58" s="8" t="s">
        <v>3812</v>
      </c>
      <c r="G58" s="14" t="str">
        <f>IFERROR(__xludf.DUMMYFUNCTION(" GOOGLETRANSLATE(A58, ""en"", ""am"")"),"57")</f>
        <v>57</v>
      </c>
      <c r="H58" s="14" t="str">
        <f>IFERROR(__xludf.DUMMYFUNCTION(" GOOGLETRANSLATE(B58, ""en"", ""am"")"),"በበዓሉ ላይ የማር ሚና ምንድነው?")</f>
        <v>በበዓሉ ላይ የማር ሚና ምንድነው?</v>
      </c>
      <c r="I58" s="14" t="str">
        <f>IFERROR(__xludf.DUMMYFUNCTION(" GOOGLETRANSLATE(C58, ""en"", ""am"")"),"ሀ. ለከብት ማስዋቢያነት የሚያገለግል ለ. ለበዓል እንደ ማር ወይን የሚበላ ሐ. በጠባሳ ላይ የተተገበረ መ. ለመናፍስት መስዋዕትነት ያገለግላል።")</f>
        <v>ሀ. ለከብት ማስዋቢያነት የሚያገለግል ለ. ለበዓል እንደ ማር ወይን የሚበላ ሐ. በጠባሳ ላይ የተተገበረ መ. ለመናፍስት መስዋዕትነት ያገለግላል።</v>
      </c>
      <c r="J58" s="14" t="str">
        <f>IFERROR(__xludf.DUMMYFUNCTION(" GOOGLETRANSLATE(D58, ""en"", ""am"")"),"ለ) ለበዓል እንደ ማር ወይን ተበላ")</f>
        <v>ለ) ለበዓል እንደ ማር ወይን ተበላ</v>
      </c>
      <c r="K58" s="14" t="str">
        <f>IFERROR(__xludf.DUMMYFUNCTION(" GOOGLETRANSLATE(E58, ""en"", ""am"")"),"የማር ወይን ደስታን እና አንድነትን የሚያመለክት የተከበረ መጠጥ ነው.")</f>
        <v>የማር ወይን ደስታን እና አንድነትን የሚያመለክት የተከበረ መጠጥ ነው.</v>
      </c>
    </row>
    <row r="59" ht="22.5" customHeight="1">
      <c r="A59" s="16">
        <v>58.0</v>
      </c>
      <c r="B59" s="8" t="s">
        <v>3813</v>
      </c>
      <c r="C59" s="8" t="s">
        <v>3814</v>
      </c>
      <c r="D59" s="8" t="s">
        <v>3815</v>
      </c>
      <c r="E59" s="8" t="s">
        <v>3816</v>
      </c>
      <c r="G59" s="14" t="str">
        <f>IFERROR(__xludf.DUMMYFUNCTION(" GOOGLETRANSLATE(A59, ""en"", ""am"")"),"58")</f>
        <v>58</v>
      </c>
      <c r="H59" s="14" t="str">
        <f>IFERROR(__xludf.DUMMYFUNCTION(" GOOGLETRANSLATE(B59, ""en"", ""am"")"),"የአምልኮ ሥርዓቱ መጨረሻ ምን ምልክት ነው?")</f>
        <v>የአምልኮ ሥርዓቱ መጨረሻ ምን ምልክት ነው?</v>
      </c>
      <c r="I59" s="14" t="str">
        <f>IFERROR(__xludf.DUMMYFUNCTION(" GOOGLETRANSLATE(C59, ""en"", ""am"")"),"ሀ. የሽማግሌዎች የበረከት በዓል ለ.ሴቶች መዘመር አቆሙ ሐ.ላሞች ተፈቱ D. The Maz መዘጋቱን አወጀ።")</f>
        <v>ሀ. የሽማግሌዎች የበረከት በዓል ለ.ሴቶች መዘመር አቆሙ ሐ.ላሞች ተፈቱ D. The Maz መዘጋቱን አወጀ።</v>
      </c>
      <c r="J59" s="14" t="str">
        <f>IFERROR(__xludf.DUMMYFUNCTION(" GOOGLETRANSLATE(D59, ""en"", ""am"")"),"ሀ) የሽማግሌዎች የበረከት በዓል")</f>
        <v>ሀ) የሽማግሌዎች የበረከት በዓል</v>
      </c>
      <c r="K59" s="14" t="str">
        <f>IFERROR(__xludf.DUMMYFUNCTION(" GOOGLETRANSLATE(E59, ""en"", ""am"")"),"የመጨረሻው የጋራ ምግብ እና በረከቶች የአምልኮ ሥርዓት መጠናቀቁን ያመለክታሉ።")</f>
        <v>የመጨረሻው የጋራ ምግብ እና በረከቶች የአምልኮ ሥርዓት መጠናቀቁን ያመለክታሉ።</v>
      </c>
    </row>
    <row r="60" ht="22.5" customHeight="1">
      <c r="A60" s="16">
        <v>59.0</v>
      </c>
      <c r="B60" s="8" t="s">
        <v>3817</v>
      </c>
      <c r="C60" s="8" t="s">
        <v>3818</v>
      </c>
      <c r="D60" s="8" t="s">
        <v>3819</v>
      </c>
      <c r="E60" s="8" t="s">
        <v>3820</v>
      </c>
      <c r="G60" s="14" t="str">
        <f>IFERROR(__xludf.DUMMYFUNCTION(" GOOGLETRANSLATE(A60, ""en"", ""am"")"),"59")</f>
        <v>59</v>
      </c>
      <c r="H60" s="14" t="str">
        <f>IFERROR(__xludf.DUMMYFUNCTION(" GOOGLETRANSLATE(B60, ""en"", ""am"")"),"ከብቶችን የመዝለል ተግባር በተለይ ምን ያመለክታል?")</f>
        <v>ከብቶችን የመዝለል ተግባር በተለይ ምን ያመለክታል?</v>
      </c>
      <c r="I60" s="14" t="str">
        <f>IFERROR(__xludf.DUMMYFUNCTION(" GOOGLETRANSLATE(C60, ""en"", ""am"")"),"ሀ. ከልጅነት ወደ ወንድነት መሻገር ለ. የእንስሳትን ፍራቻ ማሸነፍ ሐ. ለከብቶች መከበር መ. የአካል ብቃት እንቅስቃሴ ስልጠና")</f>
        <v>ሀ. ከልጅነት ወደ ወንድነት መሻገር ለ. የእንስሳትን ፍራቻ ማሸነፍ ሐ. ለከብቶች መከበር መ. የአካል ብቃት እንቅስቃሴ ስልጠና</v>
      </c>
      <c r="J60" s="14" t="str">
        <f>IFERROR(__xludf.DUMMYFUNCTION(" GOOGLETRANSLATE(D60, ""en"", ""am"")"),"ሀ) ከልጅነት ወደ ወንድነት መሻገር")</f>
        <v>ሀ) ከልጅነት ወደ ወንድነት መሻገር</v>
      </c>
      <c r="K60" s="14" t="str">
        <f>IFERROR(__xludf.DUMMYFUNCTION(" GOOGLETRANSLATE(E60, ""en"", ""am"")"),"ዝላይ በህይወት ደረጃዎች ውስጥ ሽግግርን ያመለክታል.")</f>
        <v>ዝላይ በህይወት ደረጃዎች ውስጥ ሽግግርን ያመለክታል.</v>
      </c>
    </row>
    <row r="61" ht="22.5" customHeight="1">
      <c r="A61" s="16">
        <v>60.0</v>
      </c>
      <c r="B61" s="8" t="s">
        <v>3821</v>
      </c>
      <c r="C61" s="8" t="s">
        <v>3822</v>
      </c>
      <c r="D61" s="8" t="s">
        <v>3823</v>
      </c>
      <c r="E61" s="8" t="s">
        <v>3824</v>
      </c>
      <c r="G61" s="14" t="str">
        <f>IFERROR(__xludf.DUMMYFUNCTION(" GOOGLETRANSLATE(A61, ""en"", ""am"")"),"60")</f>
        <v>60</v>
      </c>
      <c r="H61" s="14" t="str">
        <f>IFERROR(__xludf.DUMMYFUNCTION(" GOOGLETRANSLATE(B61, ""en"", ""am"")"),"ለነገዱ ሰፊው የአምልኮ ሥርዓት ዓላማ ምንድነው?")</f>
        <v>ለነገዱ ሰፊው የአምልኮ ሥርዓት ዓላማ ምንድነው?</v>
      </c>
      <c r="I61" s="14" t="str">
        <f>IFERROR(__xludf.DUMMYFUNCTION(" GOOGLETRANSLATE(C61, ""en"", ""am"")"),"ሀ. የባህል አንድነትን ለማጠናከር ለ.የግብርና ሙያን መሞከር ሐ.የዝናብ መንፈስን ማስደሰት መ.ከብቶችን መገበያየት")</f>
        <v>ሀ. የባህል አንድነትን ለማጠናከር ለ.የግብርና ሙያን መሞከር ሐ.የዝናብ መንፈስን ማስደሰት መ.ከብቶችን መገበያየት</v>
      </c>
      <c r="J61" s="14" t="str">
        <f>IFERROR(__xludf.DUMMYFUNCTION(" GOOGLETRANSLATE(D61, ""en"", ""am"")"),"ሀ) የባህል አንድነትን ለማጠናከር")</f>
        <v>ሀ) የባህል አንድነትን ለማጠናከር</v>
      </c>
      <c r="K61" s="14" t="str">
        <f>IFERROR(__xludf.DUMMYFUNCTION(" GOOGLETRANSLATE(E61, ""en"", ""am"")"),"የጋራ ሥነ ሥርዓቱ ቤተሰቦችን ያስተሳሰራል፣ እሴቶችን ያጠናክራል እና ማንነትን ይጠብቃል።")</f>
        <v>የጋራ ሥነ ሥርዓቱ ቤተሰቦችን ያስተሳሰራል፣ እሴቶችን ያጠናክራል እና ማንነትን ይጠብቃል።</v>
      </c>
    </row>
    <row r="62" ht="22.5" customHeight="1">
      <c r="A62" s="16">
        <v>61.0</v>
      </c>
      <c r="B62" s="8" t="s">
        <v>3825</v>
      </c>
      <c r="C62" s="8" t="s">
        <v>3826</v>
      </c>
      <c r="D62" s="8" t="s">
        <v>3827</v>
      </c>
      <c r="E62" s="8" t="s">
        <v>3828</v>
      </c>
      <c r="G62" s="14" t="str">
        <f>IFERROR(__xludf.DUMMYFUNCTION(" GOOGLETRANSLATE(A62, ""en"", ""am"")"),"61")</f>
        <v>61</v>
      </c>
      <c r="H62" s="14" t="str">
        <f>IFERROR(__xludf.DUMMYFUNCTION(" GOOGLETRANSLATE(B62, ""en"", ""am"")"),"ሴቶች መገረፍ ቢጠይቁ ምን ማድረግ አለባቸው?")</f>
        <v>ሴቶች መገረፍ ቢጠይቁ ምን ማድረግ አለባቸው?</v>
      </c>
      <c r="I62" s="14" t="str">
        <f>IFERROR(__xludf.DUMMYFUNCTION(" GOOGLETRANSLATE(C62, ""en"", ""am"")"),"ሀ. በፀጥታ ቁሙ ለ. ጮክ ብለው ዘምሩ ሐ. ጀርባቸውን በፈቃደኝነት ያቅርቡ D. ክፍያ ለ Maz ይክፈሉ")</f>
        <v>ሀ. በፀጥታ ቁሙ ለ. ጮክ ብለው ዘምሩ ሐ. ጀርባቸውን በፈቃደኝነት ያቅርቡ D. ክፍያ ለ Maz ይክፈሉ</v>
      </c>
      <c r="J62" s="14" t="str">
        <f>IFERROR(__xludf.DUMMYFUNCTION(" GOOGLETRANSLATE(D62, ""en"", ""am"")"),"ሐ) ጀርባቸውን በፈቃደኝነት ያቅርቡ")</f>
        <v>ሐ) ጀርባቸውን በፈቃደኝነት ያቅርቡ</v>
      </c>
      <c r="K62" s="14" t="str">
        <f>IFERROR(__xludf.DUMMYFUNCTION(" GOOGLETRANSLATE(E62, ""en"", ""am"")"),"መገረፍ በፈቃደኝነት ነው; ሴቶች ጀርባቸውን በማዞር ዝግጁነታቸውን ያሳያሉ.")</f>
        <v>መገረፍ በፈቃደኝነት ነው; ሴቶች ጀርባቸውን በማዞር ዝግጁነታቸውን ያሳያሉ.</v>
      </c>
    </row>
    <row r="63" ht="22.5" customHeight="1">
      <c r="A63" s="16">
        <v>62.0</v>
      </c>
      <c r="B63" s="8" t="s">
        <v>3829</v>
      </c>
      <c r="C63" s="8" t="s">
        <v>3830</v>
      </c>
      <c r="D63" s="8" t="s">
        <v>3620</v>
      </c>
      <c r="E63" s="8" t="s">
        <v>3831</v>
      </c>
      <c r="G63" s="14" t="str">
        <f>IFERROR(__xludf.DUMMYFUNCTION(" GOOGLETRANSLATE(A63, ""en"", ""am"")"),"62")</f>
        <v>62</v>
      </c>
      <c r="H63" s="14" t="str">
        <f>IFERROR(__xludf.DUMMYFUNCTION(" GOOGLETRANSLATE(B63, ""en"", ""am"")"),"የአምልኮ ሥርዓቱ አደገኛ የሆነው ለምንድነው?")</f>
        <v>የአምልኮ ሥርዓቱ አደገኛ የሆነው ለምንድነው?</v>
      </c>
      <c r="I63" s="14" t="str">
        <f>IFERROR(__xludf.DUMMYFUNCTION(" GOOGLETRANSLATE(C63, ""en"", ""am"")"),"ሀ. ላሞች ሊንቀሳቀሱ ወይም ሊረግጡ ይችላሉ ለ. ተነሳሽነት በጣም ሊወድቅ ይችላል ሐ. መገረፍ ጠባሳ ሊያስከትል ይችላል D. ሁሉም ከላይ ያሉት")</f>
        <v>ሀ. ላሞች ሊንቀሳቀሱ ወይም ሊረግጡ ይችላሉ ለ. ተነሳሽነት በጣም ሊወድቅ ይችላል ሐ. መገረፍ ጠባሳ ሊያስከትል ይችላል D. ሁሉም ከላይ ያሉት</v>
      </c>
      <c r="J63" s="14" t="str">
        <f>IFERROR(__xludf.DUMMYFUNCTION(" GOOGLETRANSLATE(D63, ""en"", ""am"")"),"መ) ከላይ ያሉት ሁሉም")</f>
        <v>መ) ከላይ ያሉት ሁሉም</v>
      </c>
      <c r="K63" s="14" t="str">
        <f>IFERROR(__xludf.DUMMYFUNCTION(" GOOGLETRANSLATE(E63, ""en"", ""am"")"),"ለሁለቱም ለወንዶች (መዝለል) እና ለሴቶች (ግርፋት) አካላዊ አደጋ አለ.")</f>
        <v>ለሁለቱም ለወንዶች (መዝለል) እና ለሴቶች (ግርፋት) አካላዊ አደጋ አለ.</v>
      </c>
    </row>
    <row r="64" ht="22.5" customHeight="1">
      <c r="A64" s="16">
        <v>63.0</v>
      </c>
      <c r="B64" s="8" t="s">
        <v>3832</v>
      </c>
      <c r="C64" s="8" t="s">
        <v>3833</v>
      </c>
      <c r="D64" s="8" t="s">
        <v>3834</v>
      </c>
      <c r="E64" s="8" t="s">
        <v>3835</v>
      </c>
      <c r="G64" s="14" t="str">
        <f>IFERROR(__xludf.DUMMYFUNCTION(" GOOGLETRANSLATE(A64, ""en"", ""am"")"),"63")</f>
        <v>63</v>
      </c>
      <c r="H64" s="14" t="str">
        <f>IFERROR(__xludf.DUMMYFUNCTION(" GOOGLETRANSLATE(B64, ""en"", ""am"")"),"አንዳንድ ጊዜ ከሴቶች ቁርጭምጭሚት ጋር ለሪትም የሚታሰረው ነገር የትኛው ነው?")</f>
        <v>አንዳንድ ጊዜ ከሴቶች ቁርጭምጭሚት ጋር ለሪትም የሚታሰረው ነገር የትኛው ነው?</v>
      </c>
      <c r="I64" s="14" t="str">
        <f>IFERROR(__xludf.DUMMYFUNCTION(" GOOGLETRANSLATE(C64, ""en"", ""am"")"),"ሀ. ደወሎች ቢ. ዶቃዎች ሐ. ላባዎች D. ላም ጅራት")</f>
        <v>ሀ. ደወሎች ቢ. ዶቃዎች ሐ. ላባዎች D. ላም ጅራት</v>
      </c>
      <c r="J64" s="14" t="str">
        <f>IFERROR(__xludf.DUMMYFUNCTION(" GOOGLETRANSLATE(D64, ""en"", ""am"")"),"ሀ) ደወሎች")</f>
        <v>ሀ) ደወሎች</v>
      </c>
      <c r="K64" s="14" t="str">
        <f>IFERROR(__xludf.DUMMYFUNCTION(" GOOGLETRANSLATE(E64, ""en"", ""am"")"),"ሴቶች በጭፈራዎቻቸው እና በዘፈኖቻቸው ላይ ሪትም ለመጨመር የቁርጭምጭሚት ደወሎችን ያደርጋሉ።")</f>
        <v>ሴቶች በጭፈራዎቻቸው እና በዘፈኖቻቸው ላይ ሪትም ለመጨመር የቁርጭምጭሚት ደወሎችን ያደርጋሉ።</v>
      </c>
    </row>
    <row r="65" ht="22.5" customHeight="1">
      <c r="A65" s="16">
        <v>64.0</v>
      </c>
      <c r="B65" s="8" t="s">
        <v>3836</v>
      </c>
      <c r="C65" s="8" t="s">
        <v>3837</v>
      </c>
      <c r="D65" s="8" t="s">
        <v>3838</v>
      </c>
      <c r="E65" s="8" t="s">
        <v>3839</v>
      </c>
      <c r="G65" s="14" t="str">
        <f>IFERROR(__xludf.DUMMYFUNCTION(" GOOGLETRANSLATE(A65, ""en"", ""am"")"),"64")</f>
        <v>64</v>
      </c>
      <c r="H65" s="14" t="str">
        <f>IFERROR(__xludf.DUMMYFUNCTION(" GOOGLETRANSLATE(B65, ""en"", ""am"")"),"የቅርብ ቤተሰብ ካልሆነ በስተቀር የጎሳ አባላት ሚና ምንድን ነው?")</f>
        <v>የቅርብ ቤተሰብ ካልሆነ በስተቀር የጎሳ አባላት ሚና ምንድን ነው?</v>
      </c>
      <c r="I65" s="14" t="str">
        <f>IFERROR(__xludf.DUMMYFUNCTION(" GOOGLETRANSLATE(C65, ""en"", ""am"")"),"ሀ. ከብት ያቅርቡ እና ይደግፉ ለ. ብቻ ይመልከቱ C. ጀማሪውን ይገርፉ D. በበዓሉ ላይ ምግብ ይሽጡ")</f>
        <v>ሀ. ከብት ያቅርቡ እና ይደግፉ ለ. ብቻ ይመልከቱ C. ጀማሪውን ይገርፉ D. በበዓሉ ላይ ምግብ ይሽጡ</v>
      </c>
      <c r="J65" s="14" t="str">
        <f>IFERROR(__xludf.DUMMYFUNCTION(" GOOGLETRANSLATE(D65, ""en"", ""am"")"),"ሀ) ከብት እና ድጋፍ መስጠት")</f>
        <v>ሀ) ከብት እና ድጋፍ መስጠት</v>
      </c>
      <c r="K65" s="14" t="str">
        <f>IFERROR(__xludf.DUMMYFUNCTION(" GOOGLETRANSLATE(E65, ""en"", ""am"")"),"መላው ጎሳ ለዝግጅቱ ከብቶችን እና ማበረታቻዎችን ያበረክታል.")</f>
        <v>መላው ጎሳ ለዝግጅቱ ከብቶችን እና ማበረታቻዎችን ያበረክታል.</v>
      </c>
    </row>
    <row r="66" ht="22.5" customHeight="1">
      <c r="A66" s="16">
        <v>65.0</v>
      </c>
      <c r="B66" s="8" t="s">
        <v>3840</v>
      </c>
      <c r="C66" s="8" t="s">
        <v>3841</v>
      </c>
      <c r="D66" s="8" t="s">
        <v>3842</v>
      </c>
      <c r="E66" s="8" t="s">
        <v>3843</v>
      </c>
      <c r="G66" s="14" t="str">
        <f>IFERROR(__xludf.DUMMYFUNCTION(" GOOGLETRANSLATE(A66, ""en"", ""am"")"),"65")</f>
        <v>65</v>
      </c>
      <c r="H66" s="14" t="str">
        <f>IFERROR(__xludf.DUMMYFUNCTION(" GOOGLETRANSLATE(B66, ""en"", ""am"")"),"እንደ ጌጣጌጥ አካል በሴቶች ፀጉር ላይ ምን ፈሰሰ?")</f>
        <v>እንደ ጌጣጌጥ አካል በሴቶች ፀጉር ላይ ምን ፈሰሰ?</v>
      </c>
      <c r="I66" s="14" t="str">
        <f>IFERROR(__xludf.DUMMYFUNCTION(" GOOGLETRANSLATE(C66, ""en"", ""am"")"),"A. ላም ወተት ለ. ዘይት ከቀይ ኦቾር ጋር የተቀላቀለ ሐ. የወንዝ ጭቃ D. የጨው ውሃ")</f>
        <v>A. ላም ወተት ለ. ዘይት ከቀይ ኦቾር ጋር የተቀላቀለ ሐ. የወንዝ ጭቃ D. የጨው ውሃ</v>
      </c>
      <c r="J66" s="14" t="str">
        <f>IFERROR(__xludf.DUMMYFUNCTION(" GOOGLETRANSLATE(D66, ""en"", ""am"")"),"ለ) ከቀይ ኦቾሎኒ ጋር የተቀላቀለ ዘይት")</f>
        <v>ለ) ከቀይ ኦቾሎኒ ጋር የተቀላቀለ ዘይት</v>
      </c>
      <c r="K66" s="14" t="str">
        <f>IFERROR(__xludf.DUMMYFUNCTION(" GOOGLETRANSLATE(E66, ""en"", ""am"")"),"የሴቶች ፀጉር በቅቤ ወይም በዘይት ከኦቾሎኒ ጋር የተቀላቀለ ነው.")</f>
        <v>የሴቶች ፀጉር በቅቤ ወይም በዘይት ከኦቾሎኒ ጋር የተቀላቀለ ነው.</v>
      </c>
    </row>
    <row r="67" ht="22.5" customHeight="1">
      <c r="A67" s="16">
        <v>66.0</v>
      </c>
      <c r="B67" s="8" t="s">
        <v>3844</v>
      </c>
      <c r="C67" s="8" t="s">
        <v>3845</v>
      </c>
      <c r="D67" s="8" t="s">
        <v>3620</v>
      </c>
      <c r="E67" s="8" t="s">
        <v>3846</v>
      </c>
      <c r="G67" s="14" t="str">
        <f>IFERROR(__xludf.DUMMYFUNCTION(" GOOGLETRANSLATE(A67, ""en"", ""am"")"),"66")</f>
        <v>66</v>
      </c>
      <c r="H67" s="14" t="str">
        <f>IFERROR(__xludf.DUMMYFUNCTION(" GOOGLETRANSLATE(B67, ""en"", ""am"")"),"በዝላይ ጊዜ ጀማሪው ለምን ጠንቃቃ መሆን አለበት?")</f>
        <v>በዝላይ ጊዜ ጀማሪው ለምን ጠንቃቃ መሆን አለበት?</v>
      </c>
      <c r="I67" s="14" t="str">
        <f>IFERROR(__xludf.DUMMYFUNCTION(" GOOGLETRANSLATE(C67, ""en"", ""am"")"),"ሀ. አልኮሆል ድፍረትን ያዳክማል ለ. በቅዱስ ሥነ ሥርዓት ውስጥ ስካርን የሚከለክሉ ሕጎች ሐ. ሚዛናዊ አለመሆንን ሊያስከትል ይችላል መ. ሁሉም ከላይ ያሉት")</f>
        <v>ሀ. አልኮሆል ድፍረትን ያዳክማል ለ. በቅዱስ ሥነ ሥርዓት ውስጥ ስካርን የሚከለክሉ ሕጎች ሐ. ሚዛናዊ አለመሆንን ሊያስከትል ይችላል መ. ሁሉም ከላይ ያሉት</v>
      </c>
      <c r="J67" s="14" t="str">
        <f>IFERROR(__xludf.DUMMYFUNCTION(" GOOGLETRANSLATE(D67, ""en"", ""am"")"),"መ) ከላይ ያሉት ሁሉም")</f>
        <v>መ) ከላይ ያሉት ሁሉም</v>
      </c>
      <c r="K67" s="14" t="str">
        <f>IFERROR(__xludf.DUMMYFUNCTION(" GOOGLETRANSLATE(E67, ""en"", ""am"")"),"ሚዛን እና ግልጽነት አስፈላጊ ናቸው; አልኮል ለ jumpers የተከለከለ ነው.")</f>
        <v>ሚዛን እና ግልጽነት አስፈላጊ ናቸው; አልኮል ለ jumpers የተከለከለ ነው.</v>
      </c>
    </row>
    <row r="68" ht="22.5" customHeight="1">
      <c r="A68" s="16">
        <v>67.0</v>
      </c>
      <c r="B68" s="8" t="s">
        <v>3847</v>
      </c>
      <c r="C68" s="8" t="s">
        <v>3848</v>
      </c>
      <c r="D68" s="8" t="s">
        <v>3849</v>
      </c>
      <c r="E68" s="8" t="s">
        <v>3850</v>
      </c>
      <c r="G68" s="14" t="str">
        <f>IFERROR(__xludf.DUMMYFUNCTION(" GOOGLETRANSLATE(A68, ""en"", ""am"")"),"67")</f>
        <v>67</v>
      </c>
      <c r="H68" s="14" t="str">
        <f>IFERROR(__xludf.DUMMYFUNCTION(" GOOGLETRANSLATE(B68, ""en"", ""am"")"),"በክብረ በዓሉ ላይ ""ኡኩሊ"" እነማን ናቸው?")</f>
        <v>በክብረ በዓሉ ላይ "ኡኩሊ" እነማን ናቸው?</v>
      </c>
      <c r="I68" s="14" t="str">
        <f>IFERROR(__xludf.DUMMYFUNCTION(" GOOGLETRANSLATE(C68, ""en"", ""am"")"),"ሀ. ያገቡ ወንዶች ለ. ሽማግሌዎች ሐ. ወጣት መ. የሴቶች ዘመዶችን አስጀምሯል።")</f>
        <v>ሀ. ያገቡ ወንዶች ለ. ሽማግሌዎች ሐ. ወጣት መ. የሴቶች ዘመዶችን አስጀምሯል።</v>
      </c>
      <c r="J68" s="14" t="str">
        <f>IFERROR(__xludf.DUMMYFUNCTION(" GOOGLETRANSLATE(D68, ""en"", ""am"")"),"ሐ) ወጣት ጀማሪዎች")</f>
        <v>ሐ) ወጣት ጀማሪዎች</v>
      </c>
      <c r="K68" s="14" t="str">
        <f>IFERROR(__xludf.DUMMYFUNCTION(" GOOGLETRANSLATE(E68, ""en"", ""am"")"),"""ኡኩሊ"" በጥሬው የሚያመለክተው በጅማሬ ላይ ያሉ ወንዶችን ነው።")</f>
        <v>"ኡኩሊ" በጥሬው የሚያመለክተው በጅማሬ ላይ ያሉ ወንዶችን ነው።</v>
      </c>
    </row>
    <row r="69" ht="22.5" customHeight="1">
      <c r="A69" s="16">
        <v>68.0</v>
      </c>
      <c r="B69" s="8" t="s">
        <v>3851</v>
      </c>
      <c r="C69" s="8" t="s">
        <v>3852</v>
      </c>
      <c r="D69" s="8" t="s">
        <v>3853</v>
      </c>
      <c r="E69" s="8" t="s">
        <v>3854</v>
      </c>
      <c r="G69" s="14" t="str">
        <f>IFERROR(__xludf.DUMMYFUNCTION(" GOOGLETRANSLATE(A69, ""en"", ""am"")"),"68")</f>
        <v>68</v>
      </c>
      <c r="H69" s="14" t="str">
        <f>IFERROR(__xludf.DUMMYFUNCTION(" GOOGLETRANSLATE(B69, ""en"", ""am"")"),"በሥነ ሥርዓቱ ወቅት ሽማግሌዎች ብዙውን ጊዜ የሚሸከሙት ምንድን ነው?")</f>
        <v>በሥነ ሥርዓቱ ወቅት ሽማግሌዎች ብዙውን ጊዜ የሚሸከሙት ምንድን ነው?</v>
      </c>
      <c r="I69" s="14" t="str">
        <f>IFERROR(__xludf.DUMMYFUNCTION(" GOOGLETRANSLATE(C69, ""en"", ""am"")"),"ሀ. ዱላዎች ወይም በትሮች B. Spears C. ቅዱሳት መጻሕፍት መ. ጅራፍ")</f>
        <v>ሀ. ዱላዎች ወይም በትሮች B. Spears C. ቅዱሳት መጻሕፍት መ. ጅራፍ</v>
      </c>
      <c r="J69" s="14" t="str">
        <f>IFERROR(__xludf.DUMMYFUNCTION(" GOOGLETRANSLATE(D69, ""en"", ""am"")"),"ሀ) በትር ወይም በትር")</f>
        <v>ሀ) በትር ወይም በትር</v>
      </c>
      <c r="K69" s="14" t="str">
        <f>IFERROR(__xludf.DUMMYFUNCTION(" GOOGLETRANSLATE(E69, ""en"", ""am"")"),"ሽማግሌዎች ዱላ የሥልጣንና የሥርዓት ምልክት አድርገው ይጠቀማሉ።")</f>
        <v>ሽማግሌዎች ዱላ የሥልጣንና የሥርዓት ምልክት አድርገው ይጠቀማሉ።</v>
      </c>
    </row>
    <row r="70" ht="22.5" customHeight="1">
      <c r="A70" s="16">
        <v>69.0</v>
      </c>
      <c r="B70" s="8" t="s">
        <v>3855</v>
      </c>
      <c r="C70" s="8" t="s">
        <v>3856</v>
      </c>
      <c r="D70" s="8" t="s">
        <v>3857</v>
      </c>
      <c r="E70" s="8" t="s">
        <v>3858</v>
      </c>
      <c r="G70" s="14" t="str">
        <f>IFERROR(__xludf.DUMMYFUNCTION(" GOOGLETRANSLATE(A70, ""en"", ""am"")"),"69")</f>
        <v>69</v>
      </c>
      <c r="H70" s="14" t="str">
        <f>IFERROR(__xludf.DUMMYFUNCTION(" GOOGLETRANSLATE(B70, ""en"", ""am"")"),"ማዝ ሴቶችን ሲገርፉ ምን ማድረግ አይፈቀድላቸውም?")</f>
        <v>ማዝ ሴቶችን ሲገርፉ ምን ማድረግ አይፈቀድላቸውም?</v>
      </c>
      <c r="I70" s="14" t="str">
        <f>IFERROR(__xludf.DUMMYFUNCTION(" GOOGLETRANSLATE(C70, ""en"", ""am"")"),"ሀ. ይስቁባቸው ለ. ፊታቸውን ይመቱ ሐ. በጅራፍ መሃል ይራቁ D. ልብስ ይለብሱ")</f>
        <v>ሀ. ይስቁባቸው ለ. ፊታቸውን ይመቱ ሐ. በጅራፍ መሃል ይራቁ D. ልብስ ይለብሱ</v>
      </c>
      <c r="J70" s="14" t="str">
        <f>IFERROR(__xludf.DUMMYFUNCTION(" GOOGLETRANSLATE(D70, ""en"", ""am"")"),"ለ) ፊታቸውን ይመቱ")</f>
        <v>ለ) ፊታቸውን ይመቱ</v>
      </c>
      <c r="K70" s="14" t="str">
        <f>IFERROR(__xludf.DUMMYFUNCTION(" GOOGLETRANSLATE(E70, ""en"", ""am"")"),"ጅራፍ ለጀርባ ብቻ ነው; ፊትን መምታት የአምልኮ ሥርዓቶችን ይጥሳል.")</f>
        <v>ጅራፍ ለጀርባ ብቻ ነው; ፊትን መምታት የአምልኮ ሥርዓቶችን ይጥሳል.</v>
      </c>
    </row>
    <row r="71" ht="22.5" customHeight="1">
      <c r="A71" s="16">
        <v>70.0</v>
      </c>
      <c r="B71" s="8" t="s">
        <v>3859</v>
      </c>
      <c r="C71" s="8" t="s">
        <v>3860</v>
      </c>
      <c r="D71" s="8" t="s">
        <v>3861</v>
      </c>
      <c r="E71" s="8" t="s">
        <v>3862</v>
      </c>
      <c r="G71" s="14" t="str">
        <f>IFERROR(__xludf.DUMMYFUNCTION(" GOOGLETRANSLATE(A71, ""en"", ""am"")"),"70")</f>
        <v>70</v>
      </c>
      <c r="H71" s="14" t="str">
        <f>IFERROR(__xludf.DUMMYFUNCTION(" GOOGLETRANSLATE(B71, ""en"", ""am"")"),"አንዳንድ ጊዜ ሴቶች ከተገረፉ በኋላ ምን ያደርጋሉ?")</f>
        <v>አንዳንድ ጊዜ ሴቶች ከተገረፉ በኋላ ምን ያደርጋሉ?</v>
      </c>
      <c r="I71" s="14" t="str">
        <f>IFERROR(__xludf.DUMMYFUNCTION(" GOOGLETRANSLATE(C71, ""en"", ""am"")"),"ሀ. ጮክ ብሎ ማልቀስ ለ. በይበልጥ ዳንሱ እና ጮክ ብለው ዘምሩ ሐ. ዝግጅቱን ይልቀቁ D. ካሳ ጠይቅ")</f>
        <v>ሀ. ጮክ ብሎ ማልቀስ ለ. በይበልጥ ዳንሱ እና ጮክ ብለው ዘምሩ ሐ. ዝግጅቱን ይልቀቁ D. ካሳ ጠይቅ</v>
      </c>
      <c r="J71" s="14" t="str">
        <f>IFERROR(__xludf.DUMMYFUNCTION(" GOOGLETRANSLATE(D71, ""en"", ""am"")"),"ለ) ጠንክረው ዳንሱ እና ጮክ ብለው ዘምሩ")</f>
        <v>ለ) ጠንክረው ዳንሱ እና ጮክ ብለው ዘምሩ</v>
      </c>
      <c r="K71" s="14" t="str">
        <f>IFERROR(__xludf.DUMMYFUNCTION(" GOOGLETRANSLATE(E71, ""en"", ""am"")"),"ሴቶች ጠባሳዎቻቸውን በከፍተኛ ኃይል በማክበር ጽናትን እና ኩራትን ያሳያሉ።")</f>
        <v>ሴቶች ጠባሳዎቻቸውን በከፍተኛ ኃይል በማክበር ጽናትን እና ኩራትን ያሳያሉ።</v>
      </c>
    </row>
    <row r="72" ht="22.5" customHeight="1">
      <c r="A72" s="16">
        <v>71.0</v>
      </c>
      <c r="B72" s="8" t="s">
        <v>3863</v>
      </c>
      <c r="C72" s="8" t="s">
        <v>3864</v>
      </c>
      <c r="D72" s="8" t="s">
        <v>3865</v>
      </c>
      <c r="E72" s="8" t="s">
        <v>3866</v>
      </c>
      <c r="G72" s="14" t="str">
        <f>IFERROR(__xludf.DUMMYFUNCTION(" GOOGLETRANSLATE(A72, ""en"", ""am"")"),"71")</f>
        <v>71</v>
      </c>
      <c r="H72" s="14" t="str">
        <f>IFERROR(__xludf.DUMMYFUNCTION(" GOOGLETRANSLATE(B72, ""en"", ""am"")"),"ለምንድነው የሩጫ ፍጥነት ለጀማሪው ጠቃሚ የሆነው?")</f>
        <v>ለምንድነው የሩጫ ፍጥነት ለጀማሪው ጠቃሚ የሆነው?</v>
      </c>
      <c r="I72" s="14" t="str">
        <f>IFERROR(__xludf.DUMMYFUNCTION(" GOOGLETRANSLATE(C72, ""en"", ""am"")"),"ሀ. ተመልካቾችን ለማስደመም ለ. ላሞች መካከል ያለውን ሚዛን ለመጠበቅ ሐ. ቀንድ ከመቆሙ በፊት ለመጨረስ መ. የቀድሞ አባቶች ደንቦችን መከተል")</f>
        <v>ሀ. ተመልካቾችን ለማስደመም ለ. ላሞች መካከል ያለውን ሚዛን ለመጠበቅ ሐ. ቀንድ ከመቆሙ በፊት ለመጨረስ መ. የቀድሞ አባቶች ደንቦችን መከተል</v>
      </c>
      <c r="J72" s="14" t="str">
        <f>IFERROR(__xludf.DUMMYFUNCTION(" GOOGLETRANSLATE(D72, ""en"", ""am"")"),"ለ) ላሞች መካከል ያለውን ሚዛን ለመጠበቅ")</f>
        <v>ለ) ላሞች መካከል ያለውን ሚዛን ለመጠበቅ</v>
      </c>
      <c r="K72" s="14" t="str">
        <f>IFERROR(__xludf.DUMMYFUNCTION(" GOOGLETRANSLATE(E72, ""en"", ""am"")"),"ፈጣን, ቋሚ ፍጥነት ማመንታት እና መውደቅን ይከላከላል.")</f>
        <v>ፈጣን, ቋሚ ፍጥነት ማመንታት እና መውደቅን ይከላከላል.</v>
      </c>
    </row>
    <row r="73" ht="22.5" customHeight="1">
      <c r="A73" s="16">
        <v>72.0</v>
      </c>
      <c r="B73" s="8" t="s">
        <v>3867</v>
      </c>
      <c r="C73" s="8" t="s">
        <v>3868</v>
      </c>
      <c r="D73" s="8" t="s">
        <v>3869</v>
      </c>
      <c r="E73" s="8" t="s">
        <v>3870</v>
      </c>
      <c r="G73" s="14" t="str">
        <f>IFERROR(__xludf.DUMMYFUNCTION(" GOOGLETRANSLATE(A73, ""en"", ""am"")"),"72")</f>
        <v>72</v>
      </c>
      <c r="H73" s="14" t="str">
        <f>IFERROR(__xludf.DUMMYFUNCTION(" GOOGLETRANSLATE(B73, ""en"", ""am"")"),"የአምልኮው ቅደም ተከተል መጀመሩን የሚጠቁመው ምንድን ነው?")</f>
        <v>የአምልኮው ቅደም ተከተል መጀመሩን የሚጠቁመው ምንድን ነው?</v>
      </c>
      <c r="I73" s="14" t="str">
        <f>IFERROR(__xludf.DUMMYFUNCTION(" GOOGLETRANSLATE(C73, ""en"", ""am"")"),"ሀ. የሴቶች ጭፈራ ለ. ላሞችን መደርደር ሐ. የሽማግሌዎች በረከት መ. የማር ወይን መጠጣት")</f>
        <v>ሀ. የሴቶች ጭፈራ ለ. ላሞችን መደርደር ሐ. የሽማግሌዎች በረከት መ. የማር ወይን መጠጣት</v>
      </c>
      <c r="J73" s="14" t="str">
        <f>IFERROR(__xludf.DUMMYFUNCTION(" GOOGLETRANSLATE(D73, ""en"", ""am"")"),"ሐ) የሽማግሌዎች በረከት")</f>
        <v>ሐ) የሽማግሌዎች በረከት</v>
      </c>
      <c r="K73" s="14" t="str">
        <f>IFERROR(__xludf.DUMMYFUNCTION(" GOOGLETRANSLATE(E73, ""en"", ""am"")"),"ሽማግሌዎች ለመጀመር ፍቃድ በመስጠት ጀማሪውን መጀመሪያ ይባርካሉ።")</f>
        <v>ሽማግሌዎች ለመጀመር ፍቃድ በመስጠት ጀማሪውን መጀመሪያ ይባርካሉ።</v>
      </c>
    </row>
    <row r="74" ht="22.5" customHeight="1">
      <c r="A74" s="16">
        <v>73.0</v>
      </c>
      <c r="B74" s="8" t="s">
        <v>3871</v>
      </c>
      <c r="C74" s="8" t="s">
        <v>3872</v>
      </c>
      <c r="D74" s="8" t="s">
        <v>3873</v>
      </c>
      <c r="E74" s="8" t="s">
        <v>3874</v>
      </c>
      <c r="G74" s="14" t="str">
        <f>IFERROR(__xludf.DUMMYFUNCTION(" GOOGLETRANSLATE(A74, ""en"", ""am"")"),"73")</f>
        <v>73</v>
      </c>
      <c r="H74" s="14" t="str">
        <f>IFERROR(__xludf.DUMMYFUNCTION(" GOOGLETRANSLATE(B74, ""en"", ""am"")"),"ላሞች ቀጥታ መስመር ላይ እንዲቆዩ የሚያደርጋቸው ማነው?")</f>
        <v>ላሞች ቀጥታ መስመር ላይ እንዲቆዩ የሚያደርጋቸው ማነው?</v>
      </c>
      <c r="I74" s="14" t="str">
        <f>IFERROR(__xludf.DUMMYFUNCTION(" GOOGLETRANSLATE(C74, ""en"", ""am"")"),"ሀ. ወንዶች ለ. ያገቡ ወንዶች ጅራታቸውን የያዙ ሐ. ሽማግሌዎች በዱላ D. ሴቶች በዘፈን")</f>
        <v>ሀ. ወንዶች ለ. ያገቡ ወንዶች ጅራታቸውን የያዙ ሐ. ሽማግሌዎች በዱላ D. ሴቶች በዘፈን</v>
      </c>
      <c r="J74" s="14" t="str">
        <f>IFERROR(__xludf.DUMMYFUNCTION(" GOOGLETRANSLATE(D74, ""en"", ""am"")"),"ለ) የተጋቡ ወንዶች ጭራዎቻቸውን ይይዛሉ")</f>
        <v>ለ) የተጋቡ ወንዶች ጭራዎቻቸውን ይይዛሉ</v>
      </c>
      <c r="K74" s="14" t="str">
        <f>IFERROR(__xludf.DUMMYFUNCTION(" GOOGLETRANSLATE(E74, ""en"", ""am"")"),"ያገቡ ወንዶች ላሞች እንዲቆዩ ለማድረግ በአካል በጅራት ወይም ቀንድ ይይዛሉ።")</f>
        <v>ያገቡ ወንዶች ላሞች እንዲቆዩ ለማድረግ በአካል በጅራት ወይም ቀንድ ይይዛሉ።</v>
      </c>
    </row>
    <row r="75" ht="22.5" customHeight="1">
      <c r="A75" s="16">
        <v>74.0</v>
      </c>
      <c r="B75" s="8" t="s">
        <v>3875</v>
      </c>
      <c r="C75" s="8" t="s">
        <v>3876</v>
      </c>
      <c r="D75" s="8" t="s">
        <v>3877</v>
      </c>
      <c r="E75" s="8" t="s">
        <v>3878</v>
      </c>
      <c r="G75" s="14" t="str">
        <f>IFERROR(__xludf.DUMMYFUNCTION(" GOOGLETRANSLATE(A75, ""en"", ""am"")"),"74")</f>
        <v>74</v>
      </c>
      <c r="H75" s="14" t="str">
        <f>IFERROR(__xludf.DUMMYFUNCTION(" GOOGLETRANSLATE(B75, ""en"", ""am"")"),"ከአምልኮ ሥርዓቱ በኋላ ጀማሪው በምሳሌያዊ ሁኔታ “መተው” ምንድነው?")</f>
        <v>ከአምልኮ ሥርዓቱ በኋላ ጀማሪው በምሳሌያዊ ሁኔታ “መተው” ምንድነው?</v>
      </c>
      <c r="I75" s="14" t="str">
        <f>IFERROR(__xludf.DUMMYFUNCTION(" GOOGLETRANSLATE(C75, ""en"", ""am"")"),"ሀ. የከብቱ ሀብት ለ. የልጅነት ማንነቱ ሐ. የእናቱ ቤት መ. መንደር")</f>
        <v>ሀ. የከብቱ ሀብት ለ. የልጅነት ማንነቱ ሐ. የእናቱ ቤት መ. መንደር</v>
      </c>
      <c r="J75" s="14" t="str">
        <f>IFERROR(__xludf.DUMMYFUNCTION(" GOOGLETRANSLATE(D75, ""en"", ""am"")"),"ለ) የልጅነት ማንነቱ")</f>
        <v>ለ) የልጅነት ማንነቱ</v>
      </c>
      <c r="K75" s="14" t="str">
        <f>IFERROR(__xludf.DUMMYFUNCTION(" GOOGLETRANSLATE(E75, ""en"", ""am"")"),"ዝላይ ከልጅነት ወደ ወንድነት መለወጡን ያሳያል።")</f>
        <v>ዝላይ ከልጅነት ወደ ወንድነት መለወጡን ያሳያል።</v>
      </c>
    </row>
    <row r="76" ht="22.5" customHeight="1">
      <c r="A76" s="16">
        <v>75.0</v>
      </c>
      <c r="B76" s="8" t="s">
        <v>3879</v>
      </c>
      <c r="C76" s="8" t="s">
        <v>3880</v>
      </c>
      <c r="D76" s="8" t="s">
        <v>3881</v>
      </c>
      <c r="E76" s="8" t="s">
        <v>3882</v>
      </c>
      <c r="G76" s="14" t="str">
        <f>IFERROR(__xludf.DUMMYFUNCTION(" GOOGLETRANSLATE(A76, ""en"", ""am"")"),"75")</f>
        <v>75</v>
      </c>
      <c r="H76" s="14" t="str">
        <f>IFERROR(__xludf.DUMMYFUNCTION(" GOOGLETRANSLATE(B76, ""en"", ""am"")"),"ከበዓሉ በኋላ በጣም የተቆራኘው የትኛው ምግብ ነው?")</f>
        <v>ከበዓሉ በኋላ በጣም የተቆራኘው የትኛው ምግብ ነው?</v>
      </c>
      <c r="I76" s="14" t="str">
        <f>IFERROR(__xludf.DUMMYFUNCTION(" GOOGLETRANSLATE(C76, ""en"", ""am"")"),"A. የተጠበሰ ፍየል ለ. ወተት እና ገንፎ ሐ. የማር ወይን እና ስጋ D. የዓሳ ወጥ.")</f>
        <v>A. የተጠበሰ ፍየል ለ. ወተት እና ገንፎ ሐ. የማር ወይን እና ስጋ D. የዓሳ ወጥ.</v>
      </c>
      <c r="J76" s="14" t="str">
        <f>IFERROR(__xludf.DUMMYFUNCTION(" GOOGLETRANSLATE(D76, ""en"", ""am"")"),"ሐ) የማር ወይን እና ስጋ;")</f>
        <v>ሐ) የማር ወይን እና ስጋ;</v>
      </c>
      <c r="K76" s="14" t="str">
        <f>IFERROR(__xludf.DUMMYFUNCTION(" GOOGLETRANSLATE(E76, ""en"", ""am"")"),"በድህረ-ሥርዓት በዓል ላይ ሥጋ እና ማር ወይን ማዕከላዊ ናቸው.")</f>
        <v>በድህረ-ሥርዓት በዓል ላይ ሥጋ እና ማር ወይን ማዕከላዊ ናቸው.</v>
      </c>
    </row>
    <row r="77" ht="22.5" customHeight="1">
      <c r="A77" s="16">
        <v>76.0</v>
      </c>
      <c r="B77" s="8" t="s">
        <v>3883</v>
      </c>
      <c r="C77" s="8" t="s">
        <v>3884</v>
      </c>
      <c r="D77" s="8" t="s">
        <v>3885</v>
      </c>
      <c r="E77" s="8" t="s">
        <v>3886</v>
      </c>
      <c r="G77" s="14" t="str">
        <f>IFERROR(__xludf.DUMMYFUNCTION(" GOOGLETRANSLATE(A77, ""en"", ""am"")"),"76")</f>
        <v>76</v>
      </c>
      <c r="H77" s="14" t="str">
        <f>IFERROR(__xludf.DUMMYFUNCTION(" GOOGLETRANSLATE(B77, ""en"", ""am"")"),"ጀማሪው በመዝለሉ ወቅት ምን ከማየት መራቅ አለበት?")</f>
        <v>ጀማሪው በመዝለሉ ወቅት ምን ከማየት መራቅ አለበት?</v>
      </c>
      <c r="I77" s="14" t="str">
        <f>IFERROR(__xludf.DUMMYFUNCTION(" GOOGLETRANSLATE(C77, ""en"", ""am"")"),"ሀ.እናቱ ለ.መሬት ሐ.ፀሀይ መ.ተመልካቾች")</f>
        <v>ሀ.እናቱ ለ.መሬት ሐ.ፀሀይ መ.ተመልካቾች</v>
      </c>
      <c r="J77" s="14" t="str">
        <f>IFERROR(__xludf.DUMMYFUNCTION(" GOOGLETRANSLATE(D77, ""en"", ""am"")"),"ለ) መሬት")</f>
        <v>ለ) መሬት</v>
      </c>
      <c r="K77" s="14" t="str">
        <f>IFERROR(__xludf.DUMMYFUNCTION(" GOOGLETRANSLATE(E77, ""en"", ""am"")"),"ወደ ታች መመልከት ፍርሃት እና አለመመጣጠን ሊያስከትል ይችላል; ትኩረት ወደፊት መቆየት አለበት.")</f>
        <v>ወደ ታች መመልከት ፍርሃት እና አለመመጣጠን ሊያስከትል ይችላል; ትኩረት ወደፊት መቆየት አለበት.</v>
      </c>
    </row>
    <row r="78" ht="22.5" customHeight="1">
      <c r="A78" s="16">
        <v>77.0</v>
      </c>
      <c r="B78" s="8" t="s">
        <v>3887</v>
      </c>
      <c r="C78" s="8" t="s">
        <v>3888</v>
      </c>
      <c r="D78" s="8" t="s">
        <v>3889</v>
      </c>
      <c r="E78" s="8" t="s">
        <v>3890</v>
      </c>
      <c r="G78" s="14" t="str">
        <f>IFERROR(__xludf.DUMMYFUNCTION(" GOOGLETRANSLATE(A78, ""en"", ""am"")"),"77")</f>
        <v>77</v>
      </c>
      <c r="H78" s="14" t="str">
        <f>IFERROR(__xludf.DUMMYFUNCTION(" GOOGLETRANSLATE(B78, ""en"", ""am"")"),"ለምንድን ነው ሴቶች አንዳንድ ጊዜ በዝግጅቱ ወቅት ፊታቸውን ነጭ ቀለም የሚቀባው?")</f>
        <v>ለምንድን ነው ሴቶች አንዳንድ ጊዜ በዝግጅቱ ወቅት ፊታቸውን ነጭ ቀለም የሚቀባው?</v>
      </c>
      <c r="I78" s="14" t="str">
        <f>IFERROR(__xludf.DUMMYFUNCTION(" GOOGLETRANSLATE(C78, ""en"", ""am"")"),"ሀ. ልቅሶን ለማሳየት ለ. እርኩሳን መናፍስትን ማባረር ሐ. የበለጠ በዓል ለመታየት መ. የመራባትን ምሳሌ ለማሳየት")</f>
        <v>ሀ. ልቅሶን ለማሳየት ለ. እርኩሳን መናፍስትን ማባረር ሐ. የበለጠ በዓል ለመታየት መ. የመራባትን ምሳሌ ለማሳየት</v>
      </c>
      <c r="J78" s="14" t="str">
        <f>IFERROR(__xludf.DUMMYFUNCTION(" GOOGLETRANSLATE(D78, ""en"", ""am"")"),"ለ) እርኩሳን መናፍስትን ማባረር")</f>
        <v>ለ) እርኩሳን መናፍስትን ማባረር</v>
      </c>
      <c r="K78" s="14" t="str">
        <f>IFERROR(__xludf.DUMMYFUNCTION(" GOOGLETRANSLATE(E78, ""en"", ""am"")"),"ነጭ ቀለም ከአደገኛ መናፍስት እንደ መከላከያ ሆኖ ይታያል.")</f>
        <v>ነጭ ቀለም ከአደገኛ መናፍስት እንደ መከላከያ ሆኖ ይታያል.</v>
      </c>
    </row>
    <row r="79" ht="22.5" customHeight="1">
      <c r="A79" s="16">
        <v>78.0</v>
      </c>
      <c r="B79" s="8" t="s">
        <v>3891</v>
      </c>
      <c r="C79" s="8" t="s">
        <v>3892</v>
      </c>
      <c r="D79" s="8" t="s">
        <v>3893</v>
      </c>
      <c r="E79" s="8" t="s">
        <v>3894</v>
      </c>
      <c r="G79" s="14" t="str">
        <f>IFERROR(__xludf.DUMMYFUNCTION(" GOOGLETRANSLATE(A79, ""en"", ""am"")"),"78")</f>
        <v>78</v>
      </c>
      <c r="H79" s="14" t="str">
        <f>IFERROR(__xludf.DUMMYFUNCTION(" GOOGLETRANSLATE(B79, ""en"", ""am"")"),"ከሥነ ሥርዓቱ ጋር ምን ዓይነት የሙዚቃ አካል አለ?")</f>
        <v>ከሥነ ሥርዓቱ ጋር ምን ዓይነት የሙዚቃ አካል አለ?</v>
      </c>
      <c r="I79" s="14" t="str">
        <f>IFERROR(__xludf.DUMMYFUNCTION(" GOOGLETRANSLATE(C79, ""en"", ""am"")"),"ሀ. ከበሮ እና ማጨብጨብ ለ. ማፏጨት ብቻ ሐ. የበገና ሙዚቃ D. የለም")</f>
        <v>ሀ. ከበሮ እና ማጨብጨብ ለ. ማፏጨት ብቻ ሐ. የበገና ሙዚቃ D. የለም</v>
      </c>
      <c r="J79" s="14" t="str">
        <f>IFERROR(__xludf.DUMMYFUNCTION(" GOOGLETRANSLATE(D79, ""en"", ""am"")"),"ሀ) ከበሮ እና ማጨብጨብ")</f>
        <v>ሀ) ከበሮ እና ማጨብጨብ</v>
      </c>
      <c r="K79" s="14" t="str">
        <f>IFERROR(__xludf.DUMMYFUNCTION(" GOOGLETRANSLATE(E79, ""en"", ""am"")"),"ከበሮ እና ጭብጨባ ለዳንስ እና ለበዓላት ዜማ አዘጋጅተዋል።")</f>
        <v>ከበሮ እና ጭብጨባ ለዳንስ እና ለበዓላት ዜማ አዘጋጅተዋል።</v>
      </c>
    </row>
    <row r="80" ht="22.5" customHeight="1">
      <c r="A80" s="16">
        <v>79.0</v>
      </c>
      <c r="B80" s="8" t="s">
        <v>3895</v>
      </c>
      <c r="C80" s="8" t="s">
        <v>3896</v>
      </c>
      <c r="D80" s="8" t="s">
        <v>3897</v>
      </c>
      <c r="E80" s="8" t="s">
        <v>3898</v>
      </c>
      <c r="G80" s="14" t="str">
        <f>IFERROR(__xludf.DUMMYFUNCTION(" GOOGLETRANSLATE(A80, ""en"", ""am"")"),"79")</f>
        <v>79</v>
      </c>
      <c r="H80" s="14" t="str">
        <f>IFERROR(__xludf.DUMMYFUNCTION(" GOOGLETRANSLATE(B80, ""en"", ""am"")"),"በሴቶች ሥነ-ሥርዓት በጣም የተሞከረው ምን ዓይነት ጥራት ነው?")</f>
        <v>በሴቶች ሥነ-ሥርዓት በጣም የተሞከረው ምን ዓይነት ጥራት ነው?</v>
      </c>
      <c r="I80" s="14" t="str">
        <f>IFERROR(__xludf.DUMMYFUNCTION(" GOOGLETRANSLATE(C80, ""en"", ""am"")"),"ሀ. ውበት ለ. ታማኝነት እና ጽናት ሐ. ሀብት ዲ. የመራባት")</f>
        <v>ሀ. ውበት ለ. ታማኝነት እና ጽናት ሐ. ሀብት ዲ. የመራባት</v>
      </c>
      <c r="J80" s="14" t="str">
        <f>IFERROR(__xludf.DUMMYFUNCTION(" GOOGLETRANSLATE(D80, ""en"", ""am"")"),"ለ) ታማኝነት እና ጽናት።")</f>
        <v>ለ) ታማኝነት እና ጽናት።</v>
      </c>
      <c r="K80" s="14" t="str">
        <f>IFERROR(__xludf.DUMMYFUNCTION(" GOOGLETRANSLATE(E80, ""en"", ""am"")"),"ህመምን ለመጋፈጥ ያላቸው ፍላጎት ለዘመዶች ታማኝነትን ያሳያል።")</f>
        <v>ህመምን ለመጋፈጥ ያላቸው ፍላጎት ለዘመዶች ታማኝነትን ያሳያል።</v>
      </c>
    </row>
    <row r="81" ht="22.5" customHeight="1">
      <c r="A81" s="16">
        <v>80.0</v>
      </c>
      <c r="B81" s="8" t="s">
        <v>3899</v>
      </c>
      <c r="C81" s="8" t="s">
        <v>3900</v>
      </c>
      <c r="D81" s="8" t="s">
        <v>3901</v>
      </c>
      <c r="E81" s="8" t="s">
        <v>3902</v>
      </c>
      <c r="G81" s="14" t="str">
        <f>IFERROR(__xludf.DUMMYFUNCTION(" GOOGLETRANSLATE(A81, ""en"", ""am"")"),"80")</f>
        <v>80</v>
      </c>
      <c r="H81" s="14" t="str">
        <f>IFERROR(__xludf.DUMMYFUNCTION(" GOOGLETRANSLATE(B81, ""en"", ""am"")"),"በአምልኮው ወቅት ላሞች ቢበታተኑ ምን ይከሰታል?")</f>
        <v>በአምልኮው ወቅት ላሞች ቢበታተኑ ምን ይከሰታል?</v>
      </c>
      <c r="I81" s="14" t="str">
        <f>IFERROR(__xludf.DUMMYFUNCTION(" GOOGLETRANSLATE(C81, ""en"", ""am"")"),"አ.ሥነ ሥርዓቱ ቆመ እና ላሞች እንደገና ተሰልፈዋል ለ. ተነሳሽነት ለማንኛውም ይቀጥላል ሐ. ሽማግሌዎች ሥርዓቱን ሰርዘዋል መ. ላሞች በፍየሎች ተተክተዋል")</f>
        <v>አ.ሥነ ሥርዓቱ ቆመ እና ላሞች እንደገና ተሰልፈዋል ለ. ተነሳሽነት ለማንኛውም ይቀጥላል ሐ. ሽማግሌዎች ሥርዓቱን ሰርዘዋል መ. ላሞች በፍየሎች ተተክተዋል</v>
      </c>
      <c r="J81" s="14" t="str">
        <f>IFERROR(__xludf.DUMMYFUNCTION(" GOOGLETRANSLATE(D81, ""en"", ""am"")"),"ሀ) ሥነ ሥርዓቱ ቆመ እና ላሞች እንደገና ተሰልፈዋል")</f>
        <v>ሀ) ሥነ ሥርዓቱ ቆመ እና ላሞች እንደገና ተሰልፈዋል</v>
      </c>
      <c r="K81" s="14" t="str">
        <f>IFERROR(__xludf.DUMMYFUNCTION(" GOOGLETRANSLATE(E81, ""en"", ""am"")"),"ለትክክለኛ ዝላይ መስመሩ የተረጋጋ መሆን አለበት።")</f>
        <v>ለትክክለኛ ዝላይ መስመሩ የተረጋጋ መሆን አለበት።</v>
      </c>
    </row>
    <row r="82" ht="22.5" customHeight="1">
      <c r="A82" s="16">
        <v>81.0</v>
      </c>
      <c r="B82" s="8" t="s">
        <v>3903</v>
      </c>
      <c r="C82" s="8" t="s">
        <v>3904</v>
      </c>
      <c r="D82" s="8" t="s">
        <v>3905</v>
      </c>
      <c r="E82" s="8" t="s">
        <v>3906</v>
      </c>
      <c r="G82" s="14" t="str">
        <f>IFERROR(__xludf.DUMMYFUNCTION(" GOOGLETRANSLATE(A82, ""en"", ""am"")"),"81")</f>
        <v>81</v>
      </c>
      <c r="H82" s="14" t="str">
        <f>IFERROR(__xludf.DUMMYFUNCTION(" GOOGLETRANSLATE(B82, ""en"", ""am"")"),"መዝለያውን ለማነሳሳት ጮክ ብለው የሚዘፍኑት የትኞቹ የጎሳ አባላት ናቸው?")</f>
        <v>መዝለያውን ለማነሳሳት ጮክ ብለው የሚዘፍኑት የትኞቹ የጎሳ አባላት ናቸው?</v>
      </c>
      <c r="I82" s="14" t="str">
        <f>IFERROR(__xludf.DUMMYFUNCTION(" GOOGLETRANSLATE(C82, ""en"", ""am"")"),"ሀ. እህቶች እና የአጎት ልጆች ለ. አባቶች ሐ. አያቶች ዲ. ወንድሞች")</f>
        <v>ሀ. እህቶች እና የአጎት ልጆች ለ. አባቶች ሐ. አያቶች ዲ. ወንድሞች</v>
      </c>
      <c r="J82" s="14" t="str">
        <f>IFERROR(__xludf.DUMMYFUNCTION(" GOOGLETRANSLATE(D82, ""en"", ""am"")"),"ሀ) እህቶች እና የአጎት ልጆች")</f>
        <v>ሀ) እህቶች እና የአጎት ልጆች</v>
      </c>
      <c r="K82" s="14" t="str">
        <f>IFERROR(__xludf.DUMMYFUNCTION(" GOOGLETRANSLATE(E82, ""en"", ""am"")"),"ሴት ዘመዶች ሞራልን ለመጨመር ዝማሬዎችን ይመራሉ.")</f>
        <v>ሴት ዘመዶች ሞራልን ለመጨመር ዝማሬዎችን ይመራሉ.</v>
      </c>
    </row>
    <row r="83" ht="22.5" customHeight="1">
      <c r="A83" s="16">
        <v>82.0</v>
      </c>
      <c r="B83" s="8" t="s">
        <v>3907</v>
      </c>
      <c r="C83" s="8" t="s">
        <v>3908</v>
      </c>
      <c r="D83" s="8" t="s">
        <v>3909</v>
      </c>
      <c r="E83" s="8" t="s">
        <v>3910</v>
      </c>
      <c r="G83" s="14" t="str">
        <f>IFERROR(__xludf.DUMMYFUNCTION(" GOOGLETRANSLATE(A83, ""en"", ""am"")"),"82")</f>
        <v>82</v>
      </c>
      <c r="H83" s="14" t="str">
        <f>IFERROR(__xludf.DUMMYFUNCTION(" GOOGLETRANSLATE(B83, ""en"", ""am"")"),"በመዝለል ወቅት የትኛው የእጅ ምልክት የተከለከለ ነው?")</f>
        <v>በመዝለል ወቅት የትኛው የእጅ ምልክት የተከለከለ ነው?</v>
      </c>
      <c r="I83" s="14" t="str">
        <f>IFERROR(__xludf.DUMMYFUNCTION(" GOOGLETRANSLATE(C83, ""en"", ""am"")"),"ሀ. በማውለብለብ ለ. ለድጋፍ ላም መንካት ሐ. ሁለቱን እጆች ወደ ላይ ማንሳት D. በቡጢ መጨፍጨፍ")</f>
        <v>ሀ. በማውለብለብ ለ. ለድጋፍ ላም መንካት ሐ. ሁለቱን እጆች ወደ ላይ ማንሳት D. በቡጢ መጨፍጨፍ</v>
      </c>
      <c r="J83" s="14" t="str">
        <f>IFERROR(__xludf.DUMMYFUNCTION(" GOOGLETRANSLATE(D83, ""en"", ""am"")"),"ለ) ለድጋፍ ላም መንካት")</f>
        <v>ለ) ለድጋፍ ላም መንካት</v>
      </c>
      <c r="K83" s="14" t="str">
        <f>IFERROR(__xludf.DUMMYFUNCTION(" GOOGLETRANSLATE(E83, ""en"", ""am"")"),"አስጀማሪው ከብቶችን መያዝ የለበትም; ሚዛን ተፈጥሯዊ መሆን አለበት.")</f>
        <v>አስጀማሪው ከብቶችን መያዝ የለበትም; ሚዛን ተፈጥሯዊ መሆን አለበት.</v>
      </c>
    </row>
    <row r="84" ht="22.5" customHeight="1">
      <c r="A84" s="16">
        <v>83.0</v>
      </c>
      <c r="B84" s="8" t="s">
        <v>3911</v>
      </c>
      <c r="C84" s="8" t="s">
        <v>3912</v>
      </c>
      <c r="D84" s="8" t="s">
        <v>3913</v>
      </c>
      <c r="E84" s="8" t="s">
        <v>3914</v>
      </c>
      <c r="G84" s="14" t="str">
        <f>IFERROR(__xludf.DUMMYFUNCTION(" GOOGLETRANSLATE(A84, ""en"", ""am"")"),"83")</f>
        <v>83</v>
      </c>
      <c r="H84" s="14" t="str">
        <f>IFERROR(__xludf.DUMMYFUNCTION(" GOOGLETRANSLATE(B84, ""en"", ""am"")"),"ለምንድነው የአምልኮ ሥርዓቱ ከግል ተግባር ይልቅ የጋራ ነው የሚባለው?")</f>
        <v>ለምንድነው የአምልኮ ሥርዓቱ ከግል ተግባር ይልቅ የጋራ ነው የሚባለው?</v>
      </c>
      <c r="I84" s="14" t="str">
        <f>IFERROR(__xludf.DUMMYFUNCTION(" GOOGLETRANSLATE(C84, ""en"", ""am"")"),"ሀ. መላው ጎሳ ከብቶችን እና ዘፈኖችን አበርክቷል ለ. መንግስት መዘገበው ሐ. ቱሪስቶች ይሳተፋሉ D. በገበያዎች ውስጥ ይከናወናል.")</f>
        <v>ሀ. መላው ጎሳ ከብቶችን እና ዘፈኖችን አበርክቷል ለ. መንግስት መዘገበው ሐ. ቱሪስቶች ይሳተፋሉ D. በገበያዎች ውስጥ ይከናወናል.</v>
      </c>
      <c r="J84" s="14" t="str">
        <f>IFERROR(__xludf.DUMMYFUNCTION(" GOOGLETRANSLATE(D84, ""en"", ""am"")"),"ሀ) መላው ጎሳ ከብቶችን እና ዘፈኖችን ያበረክታል")</f>
        <v>ሀ) መላው ጎሳ ከብቶችን እና ዘፈኖችን ያበረክታል</v>
      </c>
      <c r="K84" s="14" t="str">
        <f>IFERROR(__xludf.DUMMYFUNCTION(" GOOGLETRANSLATE(E84, ""en"", ""am"")"),"የአምልኮ ሥርዓቱ መላውን ጎሳ በማሳተፍ አንድነትን ያጠናክራል.")</f>
        <v>የአምልኮ ሥርዓቱ መላውን ጎሳ በማሳተፍ አንድነትን ያጠናክራል.</v>
      </c>
    </row>
    <row r="85" ht="22.5" customHeight="1">
      <c r="A85" s="16">
        <v>84.0</v>
      </c>
      <c r="B85" s="8" t="s">
        <v>3915</v>
      </c>
      <c r="C85" s="8" t="s">
        <v>3916</v>
      </c>
      <c r="D85" s="8" t="s">
        <v>3917</v>
      </c>
      <c r="E85" s="8" t="s">
        <v>3918</v>
      </c>
      <c r="G85" s="14" t="str">
        <f>IFERROR(__xludf.DUMMYFUNCTION(" GOOGLETRANSLATE(A85, ""en"", ""am"")"),"84")</f>
        <v>84</v>
      </c>
      <c r="H85" s="14" t="str">
        <f>IFERROR(__xludf.DUMMYFUNCTION(" GOOGLETRANSLATE(B85, ""en"", ""am"")"),"አስጀማሪው ካመነታ እና በመሃል ለመዝለል ፈቃደኛ ካልሆነ ምን ይከሰታል?")</f>
        <v>አስጀማሪው ካመነታ እና በመሃል ለመዝለል ፈቃደኛ ካልሆነ ምን ይከሰታል?</v>
      </c>
      <c r="I85" s="14" t="str">
        <f>IFERROR(__xludf.DUMMYFUNCTION(" GOOGLETRANSLATE(C85, ""en"", ""am"")"),"ሀ. ሽማግሌዎች እንዲቀጥል ያበረታቱታል ለ. ተሳለቀበት እና እስከሚቀጥለው አመት ድረስ እንደገና መሞከር አይችልም ሐ. መቀጮ ተቀጥቷል መ. ወዲያውኑ ለማግባት ተገድዷል.")</f>
        <v>ሀ. ሽማግሌዎች እንዲቀጥል ያበረታቱታል ለ. ተሳለቀበት እና እስከሚቀጥለው አመት ድረስ እንደገና መሞከር አይችልም ሐ. መቀጮ ተቀጥቷል መ. ወዲያውኑ ለማግባት ተገድዷል.</v>
      </c>
      <c r="J85" s="14" t="str">
        <f>IFERROR(__xludf.DUMMYFUNCTION(" GOOGLETRANSLATE(D85, ""en"", ""am"")"),"ለ) ተሳለቀበት እና እስከሚቀጥለው ዓመት ድረስ እንደገና መሞከር አይችልም")</f>
        <v>ለ) ተሳለቀበት እና እስከሚቀጥለው ዓመት ድረስ እንደገና መሞከር አይችልም</v>
      </c>
      <c r="K85" s="14" t="str">
        <f>IFERROR(__xludf.DUMMYFUNCTION(" GOOGLETRANSLATE(E85, ""en"", ""am"")"),"ፈሪነት በፌዝ እና በማዘግየት ይቀጣል።")</f>
        <v>ፈሪነት በፌዝ እና በማዘግየት ይቀጣል።</v>
      </c>
    </row>
    <row r="86" ht="22.5" customHeight="1">
      <c r="A86" s="16">
        <v>85.0</v>
      </c>
      <c r="B86" s="8" t="s">
        <v>3919</v>
      </c>
      <c r="C86" s="8" t="s">
        <v>3920</v>
      </c>
      <c r="D86" s="8" t="s">
        <v>3921</v>
      </c>
      <c r="E86" s="8" t="s">
        <v>3922</v>
      </c>
      <c r="G86" s="14" t="str">
        <f>IFERROR(__xludf.DUMMYFUNCTION(" GOOGLETRANSLATE(A86, ""en"", ""am"")"),"85")</f>
        <v>85</v>
      </c>
      <c r="H86" s="14" t="str">
        <f>IFERROR(__xludf.DUMMYFUNCTION(" GOOGLETRANSLATE(B86, ""en"", ""am"")"),"አንዳንድ ጊዜ ከክስተቱ በፊት በላሞች ቀንድ ላይ ምን ይተገበራል?")</f>
        <v>አንዳንድ ጊዜ ከክስተቱ በፊት በላሞች ቀንድ ላይ ምን ይተገበራል?</v>
      </c>
      <c r="I86" s="14" t="str">
        <f>IFERROR(__xludf.DUMMYFUNCTION(" GOOGLETRANSLATE(C86, ""en"", ""am"")"),"A. Ash B. Paint or ocher C. Butter D. Blood")</f>
        <v>A. Ash B. Paint or ocher C. Butter D. Blood</v>
      </c>
      <c r="J86" s="14" t="str">
        <f>IFERROR(__xludf.DUMMYFUNCTION(" GOOGLETRANSLATE(D86, ""en"", ""am"")"),"ሐ) ቅቤ")</f>
        <v>ሐ) ቅቤ</v>
      </c>
      <c r="K86" s="14" t="str">
        <f>IFERROR(__xludf.DUMMYFUNCTION(" GOOGLETRANSLATE(E86, ""en"", ""am"")"),"ቅቤን ለማብራት እና ለሥነ-ሥርዓት ያዘጋጃቸዋል.")</f>
        <v>ቅቤን ለማብራት እና ለሥነ-ሥርዓት ያዘጋጃቸዋል.</v>
      </c>
    </row>
    <row r="87" ht="22.5" customHeight="1">
      <c r="A87" s="16">
        <v>86.0</v>
      </c>
      <c r="B87" s="8" t="s">
        <v>3923</v>
      </c>
      <c r="C87" s="8" t="s">
        <v>3924</v>
      </c>
      <c r="D87" s="8" t="s">
        <v>3620</v>
      </c>
      <c r="E87" s="8" t="s">
        <v>3925</v>
      </c>
      <c r="G87" s="14" t="str">
        <f>IFERROR(__xludf.DUMMYFUNCTION(" GOOGLETRANSLATE(A87, ""en"", ""am"")"),"86")</f>
        <v>86</v>
      </c>
      <c r="H87" s="14" t="str">
        <f>IFERROR(__xludf.DUMMYFUNCTION(" GOOGLETRANSLATE(B87, ""en"", ""am"")"),"ልጁ የተሳካለት መሆኑን የሚጠቁመው ምንድን ነው?")</f>
        <v>ልጁ የተሳካለት መሆኑን የሚጠቁመው ምንድን ነው?</v>
      </c>
      <c r="I87" s="14" t="str">
        <f>IFERROR(__xludf.DUMMYFUNCTION(" GOOGLETRANSLATE(C87, ""en"", ""am"")"),"ሀ. ቀንድ ይነፋል ለ. ሽማግሌዎች በትራቸውን ወደ ላይ ያነሳሉ ሐ.ሴቶች የበዓላት አከባበርን ይጮኻሉ D. ሁሉም ከላይ ያሉት")</f>
        <v>ሀ. ቀንድ ይነፋል ለ. ሽማግሌዎች በትራቸውን ወደ ላይ ያነሳሉ ሐ.ሴቶች የበዓላት አከባበርን ይጮኻሉ D. ሁሉም ከላይ ያሉት</v>
      </c>
      <c r="J87" s="14" t="str">
        <f>IFERROR(__xludf.DUMMYFUNCTION(" GOOGLETRANSLATE(D87, ""en"", ""am"")"),"መ) ከላይ ያሉት ሁሉም")</f>
        <v>መ) ከላይ ያሉት ሁሉም</v>
      </c>
      <c r="K87" s="14" t="str">
        <f>IFERROR(__xludf.DUMMYFUNCTION(" GOOGLETRANSLATE(E87, ""en"", ""am"")"),"በርካታ ምልክቶች ስኬታማ ወንድ መሆንን ያስታውቃሉ።")</f>
        <v>በርካታ ምልክቶች ስኬታማ ወንድ መሆንን ያስታውቃሉ።</v>
      </c>
    </row>
    <row r="88" ht="22.5" customHeight="1">
      <c r="A88" s="16">
        <v>87.0</v>
      </c>
      <c r="B88" s="8" t="s">
        <v>3926</v>
      </c>
      <c r="C88" s="8" t="s">
        <v>3927</v>
      </c>
      <c r="D88" s="8" t="s">
        <v>3928</v>
      </c>
      <c r="E88" s="8" t="s">
        <v>3929</v>
      </c>
      <c r="G88" s="14" t="str">
        <f>IFERROR(__xludf.DUMMYFUNCTION(" GOOGLETRANSLATE(A88, ""en"", ""am"")"),"87")</f>
        <v>87</v>
      </c>
      <c r="H88" s="14" t="str">
        <f>IFERROR(__xludf.DUMMYFUNCTION(" GOOGLETRANSLATE(B88, ""en"", ""am"")"),"እንደ ዝላይ መሳተፍ የተከለከሉት እነማን ናቸው?")</f>
        <v>እንደ ዝላይ መሳተፍ የተከለከሉት እነማን ናቸው?</v>
      </c>
      <c r="I88" s="14" t="str">
        <f>IFERROR(__xludf.DUMMYFUNCTION(" GOOGLETRANSLATE(C88, ""en"", ""am"")"),"ሀ. ያገቡ ወንዶች ለ.ሴቶች ሐ.ሽማግሌዎች ዲ ልጆች")</f>
        <v>ሀ. ያገቡ ወንዶች ለ.ሴቶች ሐ.ሽማግሌዎች ዲ ልጆች</v>
      </c>
      <c r="J88" s="14" t="str">
        <f>IFERROR(__xludf.DUMMYFUNCTION(" GOOGLETRANSLATE(D88, ""en"", ""am"")"),"ሀ) ያገቡ ወንዶች")</f>
        <v>ሀ) ያገቡ ወንዶች</v>
      </c>
      <c r="K88" s="14" t="str">
        <f>IFERROR(__xludf.DUMMYFUNCTION(" GOOGLETRANSLATE(E88, ""en"", ""am"")"),"ያልተጋቡ ወንዶች ብቻ ናቸው ይህንን ተነሳሽነት የሚወስዱት።")</f>
        <v>ያልተጋቡ ወንዶች ብቻ ናቸው ይህንን ተነሳሽነት የሚወስዱት።</v>
      </c>
    </row>
    <row r="89" ht="22.5" customHeight="1">
      <c r="A89" s="16">
        <v>88.0</v>
      </c>
      <c r="B89" s="8" t="s">
        <v>3930</v>
      </c>
      <c r="C89" s="8" t="s">
        <v>3931</v>
      </c>
      <c r="D89" s="8" t="s">
        <v>3932</v>
      </c>
      <c r="E89" s="8" t="s">
        <v>3933</v>
      </c>
      <c r="G89" s="14" t="str">
        <f>IFERROR(__xludf.DUMMYFUNCTION(" GOOGLETRANSLATE(A89, ""en"", ""am"")"),"88")</f>
        <v>88</v>
      </c>
      <c r="H89" s="14" t="str">
        <f>IFERROR(__xludf.DUMMYFUNCTION(" GOOGLETRANSLATE(B89, ""en"", ""am"")"),"ጀማሪው ከተጠናቀቀ በኋላ በማህበራዊ ደረጃ ምን ጥቅም አለው?")</f>
        <v>ጀማሪው ከተጠናቀቀ በኋላ በማህበራዊ ደረጃ ምን ጥቅም አለው?</v>
      </c>
      <c r="I89" s="14" t="str">
        <f>IFERROR(__xludf.DUMMYFUNCTION(" GOOGLETRANSLATE(C89, ""en"", ""am"")"),"ሀ. መከባበር፣ የጉልምስና ደረጃ እና የጋብቻ መብቶች ለ. አዲስ ስም ሐ. ሀብት ወዲያውኑ መ. የመሬት ውርስ")</f>
        <v>ሀ. መከባበር፣ የጉልምስና ደረጃ እና የጋብቻ መብቶች ለ. አዲስ ስም ሐ. ሀብት ወዲያውኑ መ. የመሬት ውርስ</v>
      </c>
      <c r="J89" s="14" t="str">
        <f>IFERROR(__xludf.DUMMYFUNCTION(" GOOGLETRANSLATE(D89, ""en"", ""am"")"),"ሀ) አክብሮት፣ የጉልምስና ደረጃ እና የጋብቻ መብቶች")</f>
        <v>ሀ) አክብሮት፣ የጉልምስና ደረጃ እና የጋብቻ መብቶች</v>
      </c>
      <c r="K89" s="14" t="str">
        <f>IFERROR(__xludf.DUMMYFUNCTION(" GOOGLETRANSLATE(E89, ""en"", ""am"")"),"ስኬት ወደ ወንድነት እና ማህበራዊ ክብር በይፋ መግባትን ያመለክታል።")</f>
        <v>ስኬት ወደ ወንድነት እና ማህበራዊ ክብር በይፋ መግባትን ያመለክታል።</v>
      </c>
    </row>
    <row r="90" ht="22.5" customHeight="1">
      <c r="A90" s="16">
        <v>89.0</v>
      </c>
      <c r="B90" s="8" t="s">
        <v>3934</v>
      </c>
      <c r="C90" s="8" t="s">
        <v>3935</v>
      </c>
      <c r="D90" s="8" t="s">
        <v>3936</v>
      </c>
      <c r="E90" s="8" t="s">
        <v>3937</v>
      </c>
      <c r="G90" s="14" t="str">
        <f>IFERROR(__xludf.DUMMYFUNCTION(" GOOGLETRANSLATE(A90, ""en"", ""am"")"),"89")</f>
        <v>89</v>
      </c>
      <c r="H90" s="14" t="str">
        <f>IFERROR(__xludf.DUMMYFUNCTION(" GOOGLETRANSLATE(B90, ""en"", ""am"")"),"ይህ የአምልኮ ሥርዓት አደጋ ቢኖረውም ዛሬም ተጠብቆ የሚገኘው ለምንድን ነው?")</f>
        <v>ይህ የአምልኮ ሥርዓት አደጋ ቢኖረውም ዛሬም ተጠብቆ የሚገኘው ለምንድን ነው?</v>
      </c>
      <c r="I90" s="14" t="str">
        <f>IFERROR(__xludf.DUMMYFUNCTION(" GOOGLETRANSLATE(C90, ""en"", ""am"")"),"ሀ/ ለሐማር ማንነት እና የባህል ቀጣይነት ማዕከላዊ ነው ለ. ቱሪስቶችን ይስባል ሐ. የከብት ንግድ ያሳድጋል D. ህፃናትን ያዝናና")</f>
        <v>ሀ/ ለሐማር ማንነት እና የባህል ቀጣይነት ማዕከላዊ ነው ለ. ቱሪስቶችን ይስባል ሐ. የከብት ንግድ ያሳድጋል D. ህፃናትን ያዝናና</v>
      </c>
      <c r="J90" s="14" t="str">
        <f>IFERROR(__xludf.DUMMYFUNCTION(" GOOGLETRANSLATE(D90, ""en"", ""am"")"),"ሀ) የሐማር ማንነት እና የባህል ቀጣይነት ማዕከል ነው።")</f>
        <v>ሀ) የሐማር ማንነት እና የባህል ቀጣይነት ማዕከል ነው።</v>
      </c>
      <c r="K90" s="14" t="str">
        <f>IFERROR(__xludf.DUMMYFUNCTION(" GOOGLETRANSLATE(E90, ""en"", ""am"")"),"ላም መዝለል ከባህላዊ ህልውና ጋር የተሳሰረ የተቀደሰ የጅማሬ ሥርዓት ነው።")</f>
        <v>ላም መዝለል ከባህላዊ ህልውና ጋር የተሳሰረ የተቀደሰ የጅማሬ ሥርዓት ነው።</v>
      </c>
    </row>
    <row r="91" ht="22.5" customHeight="1">
      <c r="A91" s="15"/>
      <c r="B91" s="15"/>
      <c r="C91" s="15"/>
      <c r="D91" s="15"/>
      <c r="E91" s="15"/>
    </row>
    <row r="92" ht="22.5" customHeight="1">
      <c r="A92" s="15"/>
      <c r="B92" s="15"/>
      <c r="C92" s="15"/>
      <c r="D92" s="15"/>
      <c r="E92" s="15"/>
    </row>
    <row r="93" ht="22.5" customHeight="1">
      <c r="A93" s="15"/>
      <c r="B93" s="15"/>
      <c r="C93" s="15"/>
      <c r="D93" s="15"/>
      <c r="E93" s="15"/>
    </row>
    <row r="94" ht="22.5" customHeight="1">
      <c r="A94" s="15"/>
      <c r="B94" s="15"/>
      <c r="C94" s="15"/>
      <c r="D94" s="15"/>
      <c r="E94" s="15"/>
    </row>
    <row r="95" ht="22.5" customHeight="1">
      <c r="A95" s="15"/>
      <c r="B95" s="15"/>
      <c r="C95" s="15"/>
      <c r="D95" s="15"/>
      <c r="E95" s="15"/>
    </row>
    <row r="96" ht="22.5" customHeight="1">
      <c r="A96" s="15"/>
      <c r="B96" s="15"/>
      <c r="C96" s="15"/>
      <c r="D96" s="15"/>
      <c r="E96" s="15"/>
    </row>
    <row r="97" ht="22.5" customHeight="1">
      <c r="A97" s="15"/>
      <c r="B97" s="15"/>
      <c r="C97" s="15"/>
      <c r="D97" s="15"/>
      <c r="E97" s="15"/>
    </row>
    <row r="98" ht="22.5" customHeight="1">
      <c r="A98" s="15"/>
      <c r="B98" s="15"/>
      <c r="C98" s="15"/>
      <c r="D98" s="15"/>
      <c r="E98" s="15"/>
    </row>
    <row r="99" ht="22.5" customHeight="1">
      <c r="A99" s="15"/>
      <c r="B99" s="15"/>
      <c r="C99" s="15"/>
      <c r="D99" s="15"/>
      <c r="E99" s="15"/>
    </row>
    <row r="100" ht="22.5" customHeight="1">
      <c r="A100" s="15"/>
      <c r="B100" s="15"/>
      <c r="C100" s="15"/>
      <c r="D100" s="15"/>
      <c r="E100" s="15"/>
    </row>
    <row r="101" ht="22.5" customHeight="1">
      <c r="A101" s="15"/>
      <c r="B101" s="15"/>
      <c r="C101" s="15"/>
      <c r="D101" s="15"/>
      <c r="E101" s="15"/>
    </row>
    <row r="102" ht="22.5" customHeight="1">
      <c r="A102" s="15"/>
      <c r="B102" s="15"/>
      <c r="C102" s="15"/>
      <c r="D102" s="15"/>
      <c r="E102" s="15"/>
    </row>
    <row r="103" ht="22.5" customHeight="1">
      <c r="A103" s="15"/>
      <c r="B103" s="15"/>
      <c r="C103" s="15"/>
      <c r="D103" s="15"/>
      <c r="E103" s="15"/>
    </row>
    <row r="104" ht="22.5" customHeight="1">
      <c r="A104" s="15"/>
      <c r="B104" s="15"/>
      <c r="C104" s="15"/>
      <c r="D104" s="15"/>
      <c r="E104" s="15"/>
    </row>
    <row r="105" ht="22.5" customHeight="1">
      <c r="A105" s="15"/>
      <c r="B105" s="15"/>
      <c r="C105" s="15"/>
      <c r="D105" s="15"/>
      <c r="E105" s="15"/>
    </row>
    <row r="106" ht="22.5" customHeight="1">
      <c r="A106" s="15"/>
      <c r="B106" s="15"/>
      <c r="C106" s="15"/>
      <c r="D106" s="15"/>
      <c r="E106" s="15"/>
    </row>
    <row r="107" ht="22.5" customHeight="1">
      <c r="A107" s="15"/>
      <c r="B107" s="15"/>
      <c r="C107" s="15"/>
      <c r="D107" s="15"/>
      <c r="E107" s="15"/>
    </row>
    <row r="108" ht="22.5" customHeight="1">
      <c r="A108" s="15"/>
      <c r="B108" s="15"/>
      <c r="C108" s="15"/>
      <c r="D108" s="15"/>
      <c r="E108" s="15"/>
    </row>
    <row r="109" ht="22.5" customHeight="1">
      <c r="A109" s="15"/>
      <c r="B109" s="15"/>
      <c r="C109" s="15"/>
      <c r="D109" s="15"/>
      <c r="E109" s="15"/>
    </row>
    <row r="110" ht="22.5" customHeight="1">
      <c r="A110" s="15"/>
      <c r="B110" s="15"/>
      <c r="C110" s="15"/>
      <c r="D110" s="15"/>
      <c r="E110" s="15"/>
    </row>
    <row r="111" ht="22.5" customHeight="1">
      <c r="A111" s="15"/>
      <c r="B111" s="15"/>
      <c r="C111" s="15"/>
      <c r="D111" s="15"/>
      <c r="E111" s="15"/>
    </row>
    <row r="112" ht="22.5" customHeight="1">
      <c r="A112" s="15"/>
      <c r="B112" s="15"/>
      <c r="C112" s="15"/>
      <c r="D112" s="15"/>
      <c r="E112" s="15"/>
    </row>
    <row r="113" ht="22.5" customHeight="1">
      <c r="A113" s="15"/>
      <c r="B113" s="15"/>
      <c r="C113" s="15"/>
      <c r="D113" s="15"/>
      <c r="E113" s="15"/>
    </row>
    <row r="114" ht="22.5" customHeight="1">
      <c r="A114" s="15"/>
      <c r="B114" s="15"/>
      <c r="C114" s="15"/>
      <c r="D114" s="15"/>
      <c r="E114" s="15"/>
    </row>
    <row r="115" ht="22.5" customHeight="1">
      <c r="A115" s="15"/>
      <c r="B115" s="15"/>
      <c r="C115" s="15"/>
      <c r="D115" s="15"/>
      <c r="E115" s="15"/>
    </row>
    <row r="116" ht="22.5" customHeight="1">
      <c r="A116" s="15"/>
      <c r="B116" s="15"/>
      <c r="C116" s="15"/>
      <c r="D116" s="15"/>
      <c r="E116" s="15"/>
    </row>
    <row r="117" ht="22.5" customHeight="1">
      <c r="A117" s="15"/>
      <c r="B117" s="15"/>
      <c r="C117" s="15"/>
      <c r="D117" s="15"/>
      <c r="E117" s="15"/>
    </row>
    <row r="118" ht="22.5" customHeight="1">
      <c r="A118" s="15"/>
      <c r="B118" s="15"/>
      <c r="C118" s="15"/>
      <c r="D118" s="15"/>
      <c r="E118" s="15"/>
    </row>
    <row r="119" ht="22.5" customHeight="1">
      <c r="A119" s="15"/>
      <c r="B119" s="15"/>
      <c r="C119" s="15"/>
      <c r="D119" s="15"/>
      <c r="E119" s="15"/>
    </row>
    <row r="120" ht="22.5" customHeight="1">
      <c r="A120" s="15"/>
      <c r="B120" s="15"/>
      <c r="C120" s="15"/>
      <c r="D120" s="15"/>
      <c r="E120" s="15"/>
    </row>
    <row r="121" ht="22.5" customHeight="1">
      <c r="A121" s="15"/>
      <c r="B121" s="15"/>
      <c r="C121" s="15"/>
      <c r="D121" s="15"/>
      <c r="E121" s="15"/>
    </row>
    <row r="122" ht="22.5" customHeight="1">
      <c r="A122" s="15"/>
      <c r="B122" s="15"/>
      <c r="C122" s="15"/>
      <c r="D122" s="15"/>
      <c r="E122" s="15"/>
    </row>
    <row r="123" ht="22.5" customHeight="1">
      <c r="A123" s="15"/>
      <c r="B123" s="15"/>
      <c r="C123" s="15"/>
      <c r="D123" s="15"/>
      <c r="E123" s="15"/>
    </row>
    <row r="124" ht="22.5" customHeight="1">
      <c r="A124" s="15"/>
      <c r="B124" s="15"/>
      <c r="C124" s="15"/>
      <c r="D124" s="15"/>
      <c r="E124" s="15"/>
    </row>
    <row r="125" ht="22.5" customHeight="1">
      <c r="A125" s="15"/>
      <c r="B125" s="15"/>
      <c r="C125" s="15"/>
      <c r="D125" s="15"/>
      <c r="E125" s="15"/>
    </row>
    <row r="126" ht="22.5" customHeight="1">
      <c r="A126" s="15"/>
      <c r="B126" s="15"/>
      <c r="C126" s="15"/>
      <c r="D126" s="15"/>
      <c r="E126" s="15"/>
    </row>
    <row r="127" ht="22.5" customHeight="1">
      <c r="A127" s="15"/>
      <c r="B127" s="15"/>
      <c r="C127" s="15"/>
      <c r="D127" s="15"/>
      <c r="E127" s="15"/>
    </row>
    <row r="128" ht="22.5" customHeight="1">
      <c r="A128" s="15"/>
      <c r="B128" s="15"/>
      <c r="C128" s="15"/>
      <c r="D128" s="15"/>
      <c r="E128" s="15"/>
    </row>
    <row r="129" ht="22.5" customHeight="1">
      <c r="A129" s="15"/>
      <c r="B129" s="15"/>
      <c r="C129" s="15"/>
      <c r="D129" s="15"/>
      <c r="E129" s="15"/>
    </row>
    <row r="130" ht="22.5" customHeight="1">
      <c r="A130" s="15"/>
      <c r="B130" s="15"/>
      <c r="C130" s="15"/>
      <c r="D130" s="15"/>
      <c r="E130" s="15"/>
    </row>
    <row r="131" ht="22.5" customHeight="1">
      <c r="A131" s="15"/>
      <c r="B131" s="15"/>
      <c r="C131" s="15"/>
      <c r="D131" s="15"/>
      <c r="E131" s="15"/>
    </row>
    <row r="132" ht="22.5" customHeight="1">
      <c r="A132" s="15"/>
      <c r="B132" s="15"/>
      <c r="C132" s="15"/>
      <c r="D132" s="15"/>
      <c r="E132" s="15"/>
    </row>
    <row r="133" ht="22.5" customHeight="1">
      <c r="A133" s="15"/>
      <c r="B133" s="15"/>
      <c r="C133" s="15"/>
      <c r="D133" s="15"/>
      <c r="E133" s="15"/>
    </row>
    <row r="134" ht="22.5" customHeight="1">
      <c r="A134" s="15"/>
      <c r="B134" s="15"/>
      <c r="C134" s="15"/>
      <c r="D134" s="15"/>
      <c r="E134" s="15"/>
    </row>
    <row r="135" ht="22.5" customHeight="1">
      <c r="A135" s="15"/>
      <c r="B135" s="15"/>
      <c r="C135" s="15"/>
      <c r="D135" s="15"/>
      <c r="E135" s="15"/>
    </row>
    <row r="136" ht="22.5" customHeight="1">
      <c r="A136" s="15"/>
      <c r="B136" s="15"/>
      <c r="C136" s="15"/>
      <c r="D136" s="15"/>
      <c r="E136" s="15"/>
    </row>
    <row r="137" ht="22.5" customHeight="1">
      <c r="A137" s="15"/>
      <c r="B137" s="15"/>
      <c r="C137" s="15"/>
      <c r="D137" s="15"/>
      <c r="E137" s="15"/>
    </row>
    <row r="138" ht="22.5" customHeight="1">
      <c r="A138" s="15"/>
      <c r="B138" s="15"/>
      <c r="C138" s="15"/>
      <c r="D138" s="15"/>
      <c r="E138" s="15"/>
    </row>
    <row r="139" ht="22.5" customHeight="1">
      <c r="A139" s="15"/>
      <c r="B139" s="15"/>
      <c r="C139" s="15"/>
      <c r="D139" s="15"/>
      <c r="E139" s="15"/>
    </row>
    <row r="140" ht="22.5" customHeight="1">
      <c r="A140" s="15"/>
      <c r="B140" s="15"/>
      <c r="C140" s="15"/>
      <c r="D140" s="15"/>
      <c r="E140" s="15"/>
    </row>
    <row r="141" ht="22.5" customHeight="1">
      <c r="A141" s="15"/>
      <c r="B141" s="15"/>
      <c r="C141" s="15"/>
      <c r="D141" s="15"/>
      <c r="E141" s="15"/>
    </row>
    <row r="142" ht="22.5" customHeight="1">
      <c r="A142" s="15"/>
      <c r="B142" s="15"/>
      <c r="C142" s="15"/>
      <c r="D142" s="15"/>
      <c r="E142" s="15"/>
    </row>
    <row r="143" ht="22.5" customHeight="1">
      <c r="A143" s="15"/>
      <c r="B143" s="15"/>
      <c r="C143" s="15"/>
      <c r="D143" s="15"/>
      <c r="E143" s="15"/>
    </row>
    <row r="144" ht="22.5" customHeight="1">
      <c r="A144" s="15"/>
      <c r="B144" s="15"/>
      <c r="C144" s="15"/>
      <c r="D144" s="15"/>
      <c r="E144" s="15"/>
    </row>
    <row r="145" ht="22.5" customHeight="1">
      <c r="A145" s="15"/>
      <c r="B145" s="15"/>
      <c r="C145" s="15"/>
      <c r="D145" s="15"/>
      <c r="E145" s="15"/>
    </row>
    <row r="146" ht="22.5" customHeight="1">
      <c r="A146" s="15"/>
      <c r="B146" s="15"/>
      <c r="C146" s="15"/>
      <c r="D146" s="15"/>
      <c r="E146" s="15"/>
    </row>
    <row r="147" ht="22.5" customHeight="1">
      <c r="A147" s="15"/>
      <c r="B147" s="15"/>
      <c r="C147" s="15"/>
      <c r="D147" s="15"/>
      <c r="E147" s="15"/>
    </row>
    <row r="148" ht="22.5" customHeight="1">
      <c r="A148" s="15"/>
      <c r="B148" s="15"/>
      <c r="C148" s="15"/>
      <c r="D148" s="15"/>
      <c r="E148" s="15"/>
    </row>
    <row r="149" ht="22.5" customHeight="1">
      <c r="A149" s="15"/>
      <c r="B149" s="15"/>
      <c r="C149" s="15"/>
      <c r="D149" s="15"/>
      <c r="E149" s="15"/>
    </row>
    <row r="150" ht="22.5" customHeight="1">
      <c r="A150" s="15"/>
      <c r="B150" s="15"/>
      <c r="C150" s="15"/>
      <c r="D150" s="15"/>
      <c r="E150" s="15"/>
    </row>
    <row r="151" ht="22.5" customHeight="1">
      <c r="A151" s="15"/>
      <c r="B151" s="15"/>
      <c r="C151" s="15"/>
      <c r="D151" s="15"/>
      <c r="E151" s="15"/>
    </row>
    <row r="152" ht="22.5" customHeight="1">
      <c r="A152" s="15"/>
      <c r="B152" s="15"/>
      <c r="C152" s="15"/>
      <c r="D152" s="15"/>
      <c r="E152" s="15"/>
    </row>
    <row r="153" ht="22.5" customHeight="1">
      <c r="A153" s="15"/>
      <c r="B153" s="15"/>
      <c r="C153" s="15"/>
      <c r="D153" s="15"/>
      <c r="E153" s="15"/>
    </row>
    <row r="154" ht="22.5" customHeight="1">
      <c r="A154" s="15"/>
      <c r="B154" s="15"/>
      <c r="C154" s="15"/>
      <c r="D154" s="15"/>
      <c r="E154" s="15"/>
    </row>
    <row r="155" ht="22.5" customHeight="1">
      <c r="A155" s="15"/>
      <c r="B155" s="15"/>
      <c r="C155" s="15"/>
      <c r="D155" s="15"/>
      <c r="E155" s="15"/>
    </row>
    <row r="156" ht="22.5" customHeight="1">
      <c r="A156" s="15"/>
      <c r="B156" s="15"/>
      <c r="C156" s="15"/>
      <c r="D156" s="15"/>
      <c r="E156" s="15"/>
    </row>
    <row r="157" ht="22.5" customHeight="1">
      <c r="A157" s="15"/>
      <c r="B157" s="15"/>
      <c r="C157" s="15"/>
      <c r="D157" s="15"/>
      <c r="E157" s="15"/>
    </row>
    <row r="158" ht="22.5" customHeight="1">
      <c r="A158" s="15"/>
      <c r="B158" s="15"/>
      <c r="C158" s="15"/>
      <c r="D158" s="15"/>
      <c r="E158" s="15"/>
    </row>
    <row r="159" ht="22.5" customHeight="1">
      <c r="A159" s="15"/>
      <c r="B159" s="15"/>
      <c r="C159" s="15"/>
      <c r="D159" s="15"/>
      <c r="E159" s="15"/>
    </row>
    <row r="160" ht="22.5" customHeight="1">
      <c r="A160" s="15"/>
      <c r="B160" s="15"/>
      <c r="C160" s="15"/>
      <c r="D160" s="15"/>
      <c r="E160" s="15"/>
    </row>
    <row r="161" ht="22.5" customHeight="1">
      <c r="A161" s="15"/>
      <c r="B161" s="15"/>
      <c r="C161" s="15"/>
      <c r="D161" s="15"/>
      <c r="E161" s="15"/>
    </row>
    <row r="162" ht="22.5" customHeight="1">
      <c r="A162" s="15"/>
      <c r="B162" s="15"/>
      <c r="C162" s="15"/>
      <c r="D162" s="15"/>
      <c r="E162" s="15"/>
    </row>
    <row r="163" ht="22.5" customHeight="1">
      <c r="A163" s="15"/>
      <c r="B163" s="15"/>
      <c r="C163" s="15"/>
      <c r="D163" s="15"/>
      <c r="E163" s="15"/>
    </row>
    <row r="164" ht="22.5" customHeight="1">
      <c r="A164" s="15"/>
      <c r="B164" s="15"/>
      <c r="C164" s="15"/>
      <c r="D164" s="15"/>
      <c r="E164" s="15"/>
    </row>
    <row r="165" ht="22.5" customHeight="1">
      <c r="A165" s="15"/>
      <c r="B165" s="15"/>
      <c r="C165" s="15"/>
      <c r="D165" s="15"/>
      <c r="E165" s="15"/>
    </row>
    <row r="166" ht="22.5" customHeight="1">
      <c r="A166" s="15"/>
      <c r="B166" s="15"/>
      <c r="C166" s="15"/>
      <c r="D166" s="15"/>
      <c r="E166" s="15"/>
    </row>
    <row r="167" ht="22.5" customHeight="1">
      <c r="A167" s="15"/>
      <c r="B167" s="15"/>
      <c r="C167" s="15"/>
      <c r="D167" s="15"/>
      <c r="E167" s="15"/>
    </row>
    <row r="168" ht="22.5" customHeight="1">
      <c r="A168" s="15"/>
      <c r="B168" s="15"/>
      <c r="C168" s="15"/>
      <c r="D168" s="15"/>
      <c r="E168" s="15"/>
    </row>
    <row r="169" ht="22.5" customHeight="1">
      <c r="A169" s="15"/>
      <c r="B169" s="15"/>
      <c r="C169" s="15"/>
      <c r="D169" s="15"/>
      <c r="E169" s="15"/>
    </row>
    <row r="170" ht="22.5" customHeight="1">
      <c r="A170" s="15"/>
      <c r="B170" s="15"/>
      <c r="C170" s="15"/>
      <c r="D170" s="15"/>
      <c r="E170" s="15"/>
    </row>
    <row r="171" ht="22.5" customHeight="1">
      <c r="A171" s="15"/>
      <c r="B171" s="15"/>
      <c r="C171" s="15"/>
      <c r="D171" s="15"/>
      <c r="E171" s="15"/>
    </row>
    <row r="172" ht="22.5" customHeight="1">
      <c r="A172" s="15"/>
      <c r="B172" s="15"/>
      <c r="C172" s="15"/>
      <c r="D172" s="15"/>
      <c r="E172" s="15"/>
    </row>
    <row r="173" ht="22.5" customHeight="1">
      <c r="A173" s="15"/>
      <c r="B173" s="15"/>
      <c r="C173" s="15"/>
      <c r="D173" s="15"/>
      <c r="E173" s="15"/>
    </row>
    <row r="174" ht="22.5" customHeight="1">
      <c r="A174" s="15"/>
      <c r="B174" s="15"/>
      <c r="C174" s="15"/>
      <c r="D174" s="15"/>
      <c r="E174" s="15"/>
    </row>
    <row r="175" ht="22.5" customHeight="1">
      <c r="A175" s="15"/>
      <c r="B175" s="15"/>
      <c r="C175" s="15"/>
      <c r="D175" s="15"/>
      <c r="E175" s="15"/>
    </row>
    <row r="176" ht="22.5" customHeight="1">
      <c r="A176" s="15"/>
      <c r="B176" s="15"/>
      <c r="C176" s="15"/>
      <c r="D176" s="15"/>
      <c r="E176" s="15"/>
    </row>
    <row r="177" ht="22.5" customHeight="1">
      <c r="A177" s="15"/>
      <c r="B177" s="15"/>
      <c r="C177" s="15"/>
      <c r="D177" s="15"/>
      <c r="E177" s="15"/>
    </row>
    <row r="178" ht="22.5" customHeight="1">
      <c r="A178" s="15"/>
      <c r="B178" s="15"/>
      <c r="C178" s="15"/>
      <c r="D178" s="15"/>
      <c r="E178" s="15"/>
    </row>
    <row r="179" ht="22.5" customHeight="1">
      <c r="A179" s="15"/>
      <c r="B179" s="15"/>
      <c r="C179" s="15"/>
      <c r="D179" s="15"/>
      <c r="E179" s="15"/>
    </row>
    <row r="180" ht="22.5" customHeight="1">
      <c r="A180" s="15"/>
      <c r="B180" s="15"/>
      <c r="C180" s="15"/>
      <c r="D180" s="15"/>
      <c r="E180" s="15"/>
    </row>
    <row r="181" ht="22.5" customHeight="1">
      <c r="A181" s="15"/>
      <c r="B181" s="15"/>
      <c r="C181" s="15"/>
      <c r="D181" s="15"/>
      <c r="E181" s="15"/>
    </row>
    <row r="182" ht="22.5" customHeight="1">
      <c r="A182" s="15"/>
      <c r="B182" s="15"/>
      <c r="C182" s="15"/>
      <c r="D182" s="15"/>
      <c r="E182" s="15"/>
    </row>
    <row r="183" ht="22.5" customHeight="1">
      <c r="A183" s="15"/>
      <c r="B183" s="15"/>
      <c r="C183" s="15"/>
      <c r="D183" s="15"/>
      <c r="E183" s="15"/>
    </row>
    <row r="184" ht="22.5" customHeight="1">
      <c r="A184" s="15"/>
      <c r="B184" s="15"/>
      <c r="C184" s="15"/>
      <c r="D184" s="15"/>
      <c r="E184" s="15"/>
    </row>
    <row r="185" ht="22.5" customHeight="1">
      <c r="A185" s="15"/>
      <c r="B185" s="15"/>
      <c r="C185" s="15"/>
      <c r="D185" s="15"/>
      <c r="E185" s="15"/>
    </row>
    <row r="186" ht="22.5" customHeight="1">
      <c r="A186" s="15"/>
      <c r="B186" s="15"/>
      <c r="C186" s="15"/>
      <c r="D186" s="15"/>
      <c r="E186" s="15"/>
    </row>
    <row r="187" ht="22.5" customHeight="1">
      <c r="A187" s="15"/>
      <c r="B187" s="15"/>
      <c r="C187" s="15"/>
      <c r="D187" s="15"/>
      <c r="E187" s="15"/>
    </row>
    <row r="188" ht="22.5" customHeight="1">
      <c r="A188" s="15"/>
      <c r="B188" s="15"/>
      <c r="C188" s="15"/>
      <c r="D188" s="15"/>
      <c r="E188" s="15"/>
    </row>
    <row r="189" ht="22.5" customHeight="1">
      <c r="A189" s="15"/>
      <c r="B189" s="15"/>
      <c r="C189" s="15"/>
      <c r="D189" s="15"/>
      <c r="E189" s="15"/>
    </row>
    <row r="190" ht="22.5" customHeight="1">
      <c r="A190" s="15"/>
      <c r="B190" s="15"/>
      <c r="C190" s="15"/>
      <c r="D190" s="15"/>
      <c r="E190" s="15"/>
    </row>
    <row r="191" ht="22.5" customHeight="1">
      <c r="A191" s="15"/>
      <c r="B191" s="15"/>
      <c r="C191" s="15"/>
      <c r="D191" s="15"/>
      <c r="E191" s="15"/>
    </row>
    <row r="192" ht="22.5" customHeight="1">
      <c r="A192" s="15"/>
      <c r="B192" s="15"/>
      <c r="C192" s="15"/>
      <c r="D192" s="15"/>
      <c r="E192" s="15"/>
    </row>
    <row r="193" ht="22.5" customHeight="1">
      <c r="A193" s="15"/>
      <c r="B193" s="15"/>
      <c r="C193" s="15"/>
      <c r="D193" s="15"/>
      <c r="E193" s="15"/>
    </row>
    <row r="194" ht="22.5" customHeight="1">
      <c r="A194" s="15"/>
      <c r="B194" s="15"/>
      <c r="C194" s="15"/>
      <c r="D194" s="15"/>
      <c r="E194" s="15"/>
    </row>
    <row r="195" ht="22.5" customHeight="1">
      <c r="A195" s="15"/>
      <c r="B195" s="15"/>
      <c r="C195" s="15"/>
      <c r="D195" s="15"/>
      <c r="E195" s="15"/>
    </row>
    <row r="196" ht="22.5" customHeight="1">
      <c r="A196" s="15"/>
      <c r="B196" s="15"/>
      <c r="C196" s="15"/>
      <c r="D196" s="15"/>
      <c r="E196" s="15"/>
    </row>
    <row r="197" ht="22.5" customHeight="1">
      <c r="A197" s="15"/>
      <c r="B197" s="15"/>
      <c r="C197" s="15"/>
      <c r="D197" s="15"/>
      <c r="E197" s="15"/>
    </row>
    <row r="198" ht="22.5" customHeight="1">
      <c r="A198" s="15"/>
      <c r="B198" s="15"/>
      <c r="C198" s="15"/>
      <c r="D198" s="15"/>
      <c r="E198" s="15"/>
    </row>
    <row r="199" ht="22.5" customHeight="1">
      <c r="A199" s="15"/>
      <c r="B199" s="15"/>
      <c r="C199" s="15"/>
      <c r="D199" s="15"/>
      <c r="E199" s="15"/>
    </row>
    <row r="200" ht="22.5" customHeight="1">
      <c r="A200" s="15"/>
      <c r="B200" s="15"/>
      <c r="C200" s="15"/>
      <c r="D200" s="15"/>
      <c r="E200" s="15"/>
    </row>
    <row r="201" ht="22.5" customHeight="1">
      <c r="A201" s="15"/>
      <c r="B201" s="15"/>
      <c r="C201" s="15"/>
      <c r="D201" s="15"/>
      <c r="E201" s="15"/>
    </row>
    <row r="202" ht="22.5" customHeight="1">
      <c r="A202" s="15"/>
      <c r="B202" s="15"/>
      <c r="C202" s="15"/>
      <c r="D202" s="15"/>
      <c r="E202" s="15"/>
    </row>
    <row r="203" ht="22.5" customHeight="1">
      <c r="A203" s="15"/>
      <c r="B203" s="15"/>
      <c r="C203" s="15"/>
      <c r="D203" s="15"/>
      <c r="E203" s="15"/>
    </row>
    <row r="204" ht="22.5" customHeight="1">
      <c r="A204" s="15"/>
      <c r="B204" s="15"/>
      <c r="C204" s="15"/>
      <c r="D204" s="15"/>
      <c r="E204" s="15"/>
    </row>
    <row r="205" ht="22.5" customHeight="1">
      <c r="A205" s="15"/>
      <c r="B205" s="15"/>
      <c r="C205" s="15"/>
      <c r="D205" s="15"/>
      <c r="E205" s="15"/>
    </row>
    <row r="206" ht="22.5" customHeight="1">
      <c r="A206" s="15"/>
      <c r="B206" s="15"/>
      <c r="C206" s="15"/>
      <c r="D206" s="15"/>
      <c r="E206" s="15"/>
    </row>
    <row r="207" ht="22.5" customHeight="1">
      <c r="A207" s="15"/>
      <c r="B207" s="15"/>
      <c r="C207" s="15"/>
      <c r="D207" s="15"/>
      <c r="E207" s="15"/>
    </row>
    <row r="208" ht="22.5" customHeight="1">
      <c r="A208" s="15"/>
      <c r="B208" s="15"/>
      <c r="C208" s="15"/>
      <c r="D208" s="15"/>
      <c r="E208" s="15"/>
    </row>
    <row r="209" ht="22.5" customHeight="1">
      <c r="A209" s="15"/>
      <c r="B209" s="15"/>
      <c r="C209" s="15"/>
      <c r="D209" s="15"/>
      <c r="E209" s="15"/>
    </row>
    <row r="210" ht="22.5" customHeight="1">
      <c r="A210" s="15"/>
      <c r="B210" s="15"/>
      <c r="C210" s="15"/>
      <c r="D210" s="15"/>
      <c r="E210" s="15"/>
    </row>
    <row r="211" ht="22.5" customHeight="1">
      <c r="A211" s="15"/>
      <c r="B211" s="15"/>
      <c r="C211" s="15"/>
      <c r="D211" s="15"/>
      <c r="E211" s="15"/>
    </row>
    <row r="212" ht="22.5" customHeight="1">
      <c r="A212" s="15"/>
      <c r="B212" s="15"/>
      <c r="C212" s="15"/>
      <c r="D212" s="15"/>
      <c r="E212" s="15"/>
    </row>
    <row r="213" ht="22.5" customHeight="1">
      <c r="A213" s="15"/>
      <c r="B213" s="15"/>
      <c r="C213" s="15"/>
      <c r="D213" s="15"/>
      <c r="E213" s="15"/>
    </row>
    <row r="214" ht="22.5" customHeight="1">
      <c r="A214" s="15"/>
      <c r="B214" s="15"/>
      <c r="C214" s="15"/>
      <c r="D214" s="15"/>
      <c r="E214" s="15"/>
    </row>
    <row r="215" ht="22.5" customHeight="1">
      <c r="A215" s="15"/>
      <c r="B215" s="15"/>
      <c r="C215" s="15"/>
      <c r="D215" s="15"/>
      <c r="E215" s="15"/>
    </row>
    <row r="216" ht="22.5" customHeight="1">
      <c r="A216" s="15"/>
      <c r="B216" s="15"/>
      <c r="C216" s="15"/>
      <c r="D216" s="15"/>
      <c r="E216" s="15"/>
    </row>
    <row r="217" ht="22.5" customHeight="1">
      <c r="A217" s="15"/>
      <c r="B217" s="15"/>
      <c r="C217" s="15"/>
      <c r="D217" s="15"/>
      <c r="E217" s="15"/>
    </row>
    <row r="218" ht="22.5" customHeight="1">
      <c r="A218" s="15"/>
      <c r="B218" s="15"/>
      <c r="C218" s="15"/>
      <c r="D218" s="15"/>
      <c r="E218" s="15"/>
    </row>
    <row r="219" ht="22.5" customHeight="1">
      <c r="A219" s="15"/>
      <c r="B219" s="15"/>
      <c r="C219" s="15"/>
      <c r="D219" s="15"/>
      <c r="E219" s="15"/>
    </row>
    <row r="220" ht="22.5" customHeight="1">
      <c r="A220" s="15"/>
      <c r="B220" s="15"/>
      <c r="C220" s="15"/>
      <c r="D220" s="15"/>
      <c r="E220" s="15"/>
    </row>
    <row r="221" ht="22.5" customHeight="1">
      <c r="A221" s="15"/>
      <c r="B221" s="15"/>
      <c r="C221" s="15"/>
      <c r="D221" s="15"/>
      <c r="E221" s="15"/>
    </row>
    <row r="222" ht="22.5" customHeight="1">
      <c r="A222" s="15"/>
      <c r="B222" s="15"/>
      <c r="C222" s="15"/>
      <c r="D222" s="15"/>
      <c r="E222" s="15"/>
    </row>
    <row r="223" ht="22.5" customHeight="1">
      <c r="A223" s="15"/>
      <c r="B223" s="15"/>
      <c r="C223" s="15"/>
      <c r="D223" s="15"/>
      <c r="E223" s="15"/>
    </row>
    <row r="224" ht="22.5" customHeight="1">
      <c r="A224" s="15"/>
      <c r="B224" s="15"/>
      <c r="C224" s="15"/>
      <c r="D224" s="15"/>
      <c r="E224" s="15"/>
    </row>
    <row r="225" ht="22.5" customHeight="1">
      <c r="A225" s="15"/>
      <c r="B225" s="15"/>
      <c r="C225" s="15"/>
      <c r="D225" s="15"/>
      <c r="E225" s="15"/>
    </row>
    <row r="226" ht="22.5" customHeight="1">
      <c r="A226" s="15"/>
      <c r="B226" s="15"/>
      <c r="C226" s="15"/>
      <c r="D226" s="15"/>
      <c r="E226" s="15"/>
    </row>
    <row r="227" ht="22.5" customHeight="1">
      <c r="A227" s="15"/>
      <c r="B227" s="15"/>
      <c r="C227" s="15"/>
      <c r="D227" s="15"/>
      <c r="E227" s="15"/>
    </row>
    <row r="228" ht="22.5" customHeight="1">
      <c r="A228" s="15"/>
      <c r="B228" s="15"/>
      <c r="C228" s="15"/>
      <c r="D228" s="15"/>
      <c r="E228" s="15"/>
    </row>
    <row r="229" ht="22.5" customHeight="1">
      <c r="A229" s="15"/>
      <c r="B229" s="15"/>
      <c r="C229" s="15"/>
      <c r="D229" s="15"/>
      <c r="E229" s="15"/>
    </row>
    <row r="230" ht="22.5" customHeight="1">
      <c r="A230" s="15"/>
      <c r="B230" s="15"/>
      <c r="C230" s="15"/>
      <c r="D230" s="15"/>
      <c r="E230" s="15"/>
    </row>
    <row r="231" ht="22.5" customHeight="1">
      <c r="A231" s="15"/>
      <c r="B231" s="15"/>
      <c r="C231" s="15"/>
      <c r="D231" s="15"/>
      <c r="E231" s="15"/>
    </row>
    <row r="232" ht="22.5" customHeight="1">
      <c r="A232" s="15"/>
      <c r="B232" s="15"/>
      <c r="C232" s="15"/>
      <c r="D232" s="15"/>
      <c r="E232" s="15"/>
    </row>
    <row r="233" ht="22.5" customHeight="1">
      <c r="A233" s="15"/>
      <c r="B233" s="15"/>
      <c r="C233" s="15"/>
      <c r="D233" s="15"/>
      <c r="E233" s="15"/>
    </row>
    <row r="234" ht="22.5" customHeight="1">
      <c r="A234" s="15"/>
      <c r="B234" s="15"/>
      <c r="C234" s="15"/>
      <c r="D234" s="15"/>
      <c r="E234" s="15"/>
    </row>
    <row r="235" ht="22.5" customHeight="1">
      <c r="A235" s="15"/>
      <c r="B235" s="15"/>
      <c r="C235" s="15"/>
      <c r="D235" s="15"/>
      <c r="E235" s="15"/>
    </row>
    <row r="236" ht="22.5" customHeight="1">
      <c r="A236" s="15"/>
      <c r="B236" s="15"/>
      <c r="C236" s="15"/>
      <c r="D236" s="15"/>
      <c r="E236" s="15"/>
    </row>
    <row r="237" ht="22.5" customHeight="1">
      <c r="A237" s="15"/>
      <c r="B237" s="15"/>
      <c r="C237" s="15"/>
      <c r="D237" s="15"/>
      <c r="E237" s="15"/>
    </row>
    <row r="238" ht="22.5" customHeight="1">
      <c r="A238" s="15"/>
      <c r="B238" s="15"/>
      <c r="C238" s="15"/>
      <c r="D238" s="15"/>
      <c r="E238" s="15"/>
    </row>
    <row r="239" ht="22.5" customHeight="1">
      <c r="A239" s="15"/>
      <c r="B239" s="15"/>
      <c r="C239" s="15"/>
      <c r="D239" s="15"/>
      <c r="E239" s="15"/>
    </row>
    <row r="240" ht="22.5" customHeight="1">
      <c r="A240" s="15"/>
      <c r="B240" s="15"/>
      <c r="C240" s="15"/>
      <c r="D240" s="15"/>
      <c r="E240" s="15"/>
    </row>
    <row r="241" ht="22.5" customHeight="1">
      <c r="A241" s="15"/>
      <c r="B241" s="15"/>
      <c r="C241" s="15"/>
      <c r="D241" s="15"/>
      <c r="E241" s="15"/>
    </row>
    <row r="242" ht="22.5" customHeight="1">
      <c r="A242" s="15"/>
      <c r="B242" s="15"/>
      <c r="C242" s="15"/>
      <c r="D242" s="15"/>
      <c r="E242" s="15"/>
    </row>
    <row r="243" ht="22.5" customHeight="1">
      <c r="A243" s="15"/>
      <c r="B243" s="15"/>
      <c r="C243" s="15"/>
      <c r="D243" s="15"/>
      <c r="E243" s="15"/>
    </row>
    <row r="244" ht="22.5" customHeight="1">
      <c r="A244" s="15"/>
      <c r="B244" s="15"/>
      <c r="C244" s="15"/>
      <c r="D244" s="15"/>
      <c r="E244" s="15"/>
    </row>
    <row r="245" ht="22.5" customHeight="1">
      <c r="A245" s="15"/>
      <c r="B245" s="15"/>
      <c r="C245" s="15"/>
      <c r="D245" s="15"/>
      <c r="E245" s="15"/>
    </row>
    <row r="246" ht="22.5" customHeight="1">
      <c r="A246" s="15"/>
      <c r="B246" s="15"/>
      <c r="C246" s="15"/>
      <c r="D246" s="15"/>
      <c r="E246" s="15"/>
    </row>
    <row r="247" ht="22.5" customHeight="1">
      <c r="A247" s="15"/>
      <c r="B247" s="15"/>
      <c r="C247" s="15"/>
      <c r="D247" s="15"/>
      <c r="E247" s="15"/>
    </row>
    <row r="248" ht="22.5" customHeight="1">
      <c r="A248" s="15"/>
      <c r="B248" s="15"/>
      <c r="C248" s="15"/>
      <c r="D248" s="15"/>
      <c r="E248" s="15"/>
    </row>
    <row r="249" ht="22.5" customHeight="1">
      <c r="A249" s="15"/>
      <c r="B249" s="15"/>
      <c r="C249" s="15"/>
      <c r="D249" s="15"/>
      <c r="E249" s="15"/>
    </row>
    <row r="250" ht="22.5" customHeight="1">
      <c r="A250" s="15"/>
      <c r="B250" s="15"/>
      <c r="C250" s="15"/>
      <c r="D250" s="15"/>
      <c r="E250" s="15"/>
    </row>
    <row r="251" ht="22.5" customHeight="1">
      <c r="A251" s="15"/>
      <c r="B251" s="15"/>
      <c r="C251" s="15"/>
      <c r="D251" s="15"/>
      <c r="E251" s="15"/>
    </row>
    <row r="252" ht="22.5" customHeight="1">
      <c r="A252" s="15"/>
      <c r="B252" s="15"/>
      <c r="C252" s="15"/>
      <c r="D252" s="15"/>
      <c r="E252" s="15"/>
    </row>
    <row r="253" ht="22.5" customHeight="1">
      <c r="A253" s="15"/>
      <c r="B253" s="15"/>
      <c r="C253" s="15"/>
      <c r="D253" s="15"/>
      <c r="E253" s="15"/>
    </row>
    <row r="254" ht="22.5" customHeight="1">
      <c r="A254" s="15"/>
      <c r="B254" s="15"/>
      <c r="C254" s="15"/>
      <c r="D254" s="15"/>
      <c r="E254" s="15"/>
    </row>
    <row r="255" ht="22.5" customHeight="1">
      <c r="A255" s="15"/>
      <c r="B255" s="15"/>
      <c r="C255" s="15"/>
      <c r="D255" s="15"/>
      <c r="E255" s="15"/>
    </row>
    <row r="256" ht="22.5" customHeight="1">
      <c r="A256" s="15"/>
      <c r="B256" s="15"/>
      <c r="C256" s="15"/>
      <c r="D256" s="15"/>
      <c r="E256" s="15"/>
    </row>
    <row r="257" ht="22.5" customHeight="1">
      <c r="A257" s="15"/>
      <c r="B257" s="15"/>
      <c r="C257" s="15"/>
      <c r="D257" s="15"/>
      <c r="E257" s="15"/>
    </row>
    <row r="258" ht="22.5" customHeight="1">
      <c r="A258" s="15"/>
      <c r="B258" s="15"/>
      <c r="C258" s="15"/>
      <c r="D258" s="15"/>
      <c r="E258" s="15"/>
    </row>
    <row r="259" ht="22.5" customHeight="1">
      <c r="A259" s="15"/>
      <c r="B259" s="15"/>
      <c r="C259" s="15"/>
      <c r="D259" s="15"/>
      <c r="E259" s="15"/>
    </row>
    <row r="260" ht="22.5" customHeight="1">
      <c r="A260" s="15"/>
      <c r="B260" s="15"/>
      <c r="C260" s="15"/>
      <c r="D260" s="15"/>
      <c r="E260" s="15"/>
    </row>
    <row r="261" ht="22.5" customHeight="1">
      <c r="A261" s="15"/>
      <c r="B261" s="15"/>
      <c r="C261" s="15"/>
      <c r="D261" s="15"/>
      <c r="E261" s="15"/>
    </row>
    <row r="262" ht="22.5" customHeight="1">
      <c r="A262" s="15"/>
      <c r="B262" s="15"/>
      <c r="C262" s="15"/>
      <c r="D262" s="15"/>
      <c r="E262" s="15"/>
    </row>
    <row r="263" ht="22.5" customHeight="1">
      <c r="A263" s="15"/>
      <c r="B263" s="15"/>
      <c r="C263" s="15"/>
      <c r="D263" s="15"/>
      <c r="E263" s="15"/>
    </row>
    <row r="264" ht="22.5" customHeight="1">
      <c r="A264" s="15"/>
      <c r="B264" s="15"/>
      <c r="C264" s="15"/>
      <c r="D264" s="15"/>
      <c r="E264" s="15"/>
    </row>
    <row r="265" ht="22.5" customHeight="1">
      <c r="A265" s="15"/>
      <c r="B265" s="15"/>
      <c r="C265" s="15"/>
      <c r="D265" s="15"/>
      <c r="E265" s="15"/>
    </row>
    <row r="266" ht="22.5" customHeight="1">
      <c r="A266" s="15"/>
      <c r="B266" s="15"/>
      <c r="C266" s="15"/>
      <c r="D266" s="15"/>
      <c r="E266" s="15"/>
    </row>
    <row r="267" ht="22.5" customHeight="1">
      <c r="A267" s="15"/>
      <c r="B267" s="15"/>
      <c r="C267" s="15"/>
      <c r="D267" s="15"/>
      <c r="E267" s="15"/>
    </row>
    <row r="268" ht="22.5" customHeight="1">
      <c r="A268" s="15"/>
      <c r="B268" s="15"/>
      <c r="C268" s="15"/>
      <c r="D268" s="15"/>
      <c r="E268" s="15"/>
    </row>
    <row r="269" ht="22.5" customHeight="1">
      <c r="A269" s="15"/>
      <c r="B269" s="15"/>
      <c r="C269" s="15"/>
      <c r="D269" s="15"/>
      <c r="E269" s="15"/>
    </row>
    <row r="270" ht="22.5" customHeight="1">
      <c r="A270" s="15"/>
      <c r="B270" s="15"/>
      <c r="C270" s="15"/>
      <c r="D270" s="15"/>
      <c r="E270" s="15"/>
    </row>
    <row r="271" ht="22.5" customHeight="1">
      <c r="A271" s="15"/>
      <c r="B271" s="15"/>
      <c r="C271" s="15"/>
      <c r="D271" s="15"/>
      <c r="E271" s="15"/>
    </row>
    <row r="272" ht="22.5" customHeight="1">
      <c r="A272" s="15"/>
      <c r="B272" s="15"/>
      <c r="C272" s="15"/>
      <c r="D272" s="15"/>
      <c r="E272" s="15"/>
    </row>
    <row r="273" ht="22.5" customHeight="1">
      <c r="A273" s="15"/>
      <c r="B273" s="15"/>
      <c r="C273" s="15"/>
      <c r="D273" s="15"/>
      <c r="E273" s="15"/>
    </row>
    <row r="274" ht="22.5" customHeight="1">
      <c r="A274" s="15"/>
      <c r="B274" s="15"/>
      <c r="C274" s="15"/>
      <c r="D274" s="15"/>
      <c r="E274" s="15"/>
    </row>
    <row r="275" ht="22.5" customHeight="1">
      <c r="A275" s="15"/>
      <c r="B275" s="15"/>
      <c r="C275" s="15"/>
      <c r="D275" s="15"/>
      <c r="E275" s="15"/>
    </row>
    <row r="276" ht="22.5" customHeight="1">
      <c r="A276" s="15"/>
      <c r="B276" s="15"/>
      <c r="C276" s="15"/>
      <c r="D276" s="15"/>
      <c r="E276" s="15"/>
    </row>
    <row r="277" ht="22.5" customHeight="1">
      <c r="A277" s="15"/>
      <c r="B277" s="15"/>
      <c r="C277" s="15"/>
      <c r="D277" s="15"/>
      <c r="E277" s="15"/>
    </row>
    <row r="278" ht="22.5" customHeight="1">
      <c r="A278" s="15"/>
      <c r="B278" s="15"/>
      <c r="C278" s="15"/>
      <c r="D278" s="15"/>
      <c r="E278" s="15"/>
    </row>
    <row r="279" ht="22.5" customHeight="1">
      <c r="A279" s="15"/>
      <c r="B279" s="15"/>
      <c r="C279" s="15"/>
      <c r="D279" s="15"/>
      <c r="E279" s="15"/>
    </row>
    <row r="280" ht="22.5" customHeight="1">
      <c r="A280" s="15"/>
      <c r="B280" s="15"/>
      <c r="C280" s="15"/>
      <c r="D280" s="15"/>
      <c r="E280" s="15"/>
    </row>
    <row r="281" ht="22.5" customHeight="1">
      <c r="A281" s="15"/>
      <c r="B281" s="15"/>
      <c r="C281" s="15"/>
      <c r="D281" s="15"/>
      <c r="E281" s="15"/>
    </row>
    <row r="282" ht="22.5" customHeight="1">
      <c r="A282" s="15"/>
      <c r="B282" s="15"/>
      <c r="C282" s="15"/>
      <c r="D282" s="15"/>
      <c r="E282" s="15"/>
    </row>
    <row r="283" ht="22.5" customHeight="1">
      <c r="A283" s="15"/>
      <c r="B283" s="15"/>
      <c r="C283" s="15"/>
      <c r="D283" s="15"/>
      <c r="E283" s="15"/>
    </row>
    <row r="284" ht="22.5" customHeight="1">
      <c r="A284" s="15"/>
      <c r="B284" s="15"/>
      <c r="C284" s="15"/>
      <c r="D284" s="15"/>
      <c r="E284" s="15"/>
    </row>
    <row r="285" ht="22.5" customHeight="1">
      <c r="A285" s="15"/>
      <c r="B285" s="15"/>
      <c r="C285" s="15"/>
      <c r="D285" s="15"/>
      <c r="E285" s="15"/>
    </row>
    <row r="286" ht="22.5" customHeight="1">
      <c r="A286" s="15"/>
      <c r="B286" s="15"/>
      <c r="C286" s="15"/>
      <c r="D286" s="15"/>
      <c r="E286" s="15"/>
    </row>
    <row r="287" ht="22.5" customHeight="1">
      <c r="A287" s="15"/>
      <c r="B287" s="15"/>
      <c r="C287" s="15"/>
      <c r="D287" s="15"/>
      <c r="E287" s="15"/>
    </row>
    <row r="288" ht="22.5" customHeight="1">
      <c r="A288" s="15"/>
      <c r="B288" s="15"/>
      <c r="C288" s="15"/>
      <c r="D288" s="15"/>
      <c r="E288" s="15"/>
    </row>
    <row r="289" ht="22.5" customHeight="1">
      <c r="A289" s="15"/>
      <c r="B289" s="15"/>
      <c r="C289" s="15"/>
      <c r="D289" s="15"/>
      <c r="E289" s="15"/>
    </row>
    <row r="290" ht="22.5" customHeight="1">
      <c r="A290" s="15"/>
      <c r="B290" s="15"/>
      <c r="C290" s="15"/>
      <c r="D290" s="15"/>
      <c r="E290" s="15"/>
    </row>
    <row r="291" ht="22.5" customHeight="1">
      <c r="A291" s="15"/>
      <c r="B291" s="15"/>
      <c r="C291" s="15"/>
      <c r="D291" s="15"/>
      <c r="E291" s="15"/>
    </row>
    <row r="292" ht="22.5" customHeight="1">
      <c r="A292" s="15"/>
      <c r="B292" s="15"/>
      <c r="C292" s="15"/>
      <c r="D292" s="15"/>
      <c r="E292" s="15"/>
    </row>
    <row r="293" ht="22.5" customHeight="1">
      <c r="A293" s="15"/>
      <c r="B293" s="15"/>
      <c r="C293" s="15"/>
      <c r="D293" s="15"/>
      <c r="E293" s="15"/>
    </row>
    <row r="294" ht="22.5" customHeight="1">
      <c r="A294" s="15"/>
      <c r="B294" s="15"/>
      <c r="C294" s="15"/>
      <c r="D294" s="15"/>
      <c r="E294" s="15"/>
    </row>
    <row r="295" ht="22.5" customHeight="1">
      <c r="A295" s="15"/>
      <c r="B295" s="15"/>
      <c r="C295" s="15"/>
      <c r="D295" s="15"/>
      <c r="E295" s="15"/>
    </row>
    <row r="296" ht="22.5" customHeight="1">
      <c r="A296" s="15"/>
      <c r="B296" s="15"/>
      <c r="C296" s="15"/>
      <c r="D296" s="15"/>
      <c r="E296" s="15"/>
    </row>
    <row r="297" ht="22.5" customHeight="1">
      <c r="A297" s="15"/>
      <c r="B297" s="15"/>
      <c r="C297" s="15"/>
      <c r="D297" s="15"/>
      <c r="E297" s="15"/>
    </row>
    <row r="298" ht="22.5" customHeight="1">
      <c r="A298" s="15"/>
      <c r="B298" s="15"/>
      <c r="C298" s="15"/>
      <c r="D298" s="15"/>
      <c r="E298" s="15"/>
    </row>
    <row r="299" ht="22.5" customHeight="1">
      <c r="A299" s="15"/>
      <c r="B299" s="15"/>
      <c r="C299" s="15"/>
      <c r="D299" s="15"/>
      <c r="E299" s="15"/>
    </row>
    <row r="300" ht="22.5" customHeight="1">
      <c r="A300" s="15"/>
      <c r="B300" s="15"/>
      <c r="C300" s="15"/>
      <c r="D300" s="15"/>
      <c r="E300" s="15"/>
    </row>
    <row r="301" ht="22.5" customHeight="1">
      <c r="A301" s="15"/>
      <c r="B301" s="15"/>
      <c r="C301" s="15"/>
      <c r="D301" s="15"/>
      <c r="E301" s="15"/>
    </row>
    <row r="302" ht="22.5" customHeight="1">
      <c r="A302" s="15"/>
      <c r="B302" s="15"/>
      <c r="C302" s="15"/>
      <c r="D302" s="15"/>
      <c r="E302" s="15"/>
    </row>
    <row r="303" ht="22.5" customHeight="1">
      <c r="A303" s="15"/>
      <c r="B303" s="15"/>
      <c r="C303" s="15"/>
      <c r="D303" s="15"/>
      <c r="E303" s="15"/>
    </row>
    <row r="304" ht="22.5" customHeight="1">
      <c r="A304" s="15"/>
      <c r="B304" s="15"/>
      <c r="C304" s="15"/>
      <c r="D304" s="15"/>
      <c r="E304" s="15"/>
    </row>
    <row r="305" ht="22.5" customHeight="1">
      <c r="A305" s="15"/>
      <c r="B305" s="15"/>
      <c r="C305" s="15"/>
      <c r="D305" s="15"/>
      <c r="E305" s="15"/>
    </row>
    <row r="306" ht="22.5" customHeight="1">
      <c r="A306" s="15"/>
      <c r="B306" s="15"/>
      <c r="C306" s="15"/>
      <c r="D306" s="15"/>
      <c r="E306" s="15"/>
    </row>
    <row r="307" ht="22.5" customHeight="1">
      <c r="A307" s="15"/>
      <c r="B307" s="15"/>
      <c r="C307" s="15"/>
      <c r="D307" s="15"/>
      <c r="E307" s="15"/>
    </row>
    <row r="308" ht="22.5" customHeight="1">
      <c r="A308" s="15"/>
      <c r="B308" s="15"/>
      <c r="C308" s="15"/>
      <c r="D308" s="15"/>
      <c r="E308" s="15"/>
    </row>
    <row r="309" ht="22.5" customHeight="1">
      <c r="A309" s="15"/>
      <c r="B309" s="15"/>
      <c r="C309" s="15"/>
      <c r="D309" s="15"/>
      <c r="E309" s="15"/>
    </row>
    <row r="310" ht="22.5" customHeight="1">
      <c r="A310" s="15"/>
      <c r="B310" s="15"/>
      <c r="C310" s="15"/>
      <c r="D310" s="15"/>
      <c r="E310" s="15"/>
    </row>
    <row r="311" ht="22.5" customHeight="1">
      <c r="A311" s="15"/>
      <c r="B311" s="15"/>
      <c r="C311" s="15"/>
      <c r="D311" s="15"/>
      <c r="E311" s="15"/>
    </row>
    <row r="312" ht="22.5" customHeight="1">
      <c r="A312" s="15"/>
      <c r="B312" s="15"/>
      <c r="C312" s="15"/>
      <c r="D312" s="15"/>
      <c r="E312" s="15"/>
    </row>
    <row r="313" ht="22.5" customHeight="1">
      <c r="A313" s="15"/>
      <c r="B313" s="15"/>
      <c r="C313" s="15"/>
      <c r="D313" s="15"/>
      <c r="E313" s="15"/>
    </row>
    <row r="314" ht="22.5" customHeight="1">
      <c r="A314" s="15"/>
      <c r="B314" s="15"/>
      <c r="C314" s="15"/>
      <c r="D314" s="15"/>
      <c r="E314" s="15"/>
    </row>
    <row r="315" ht="22.5" customHeight="1">
      <c r="A315" s="15"/>
      <c r="B315" s="15"/>
      <c r="C315" s="15"/>
      <c r="D315" s="15"/>
      <c r="E315" s="15"/>
    </row>
    <row r="316" ht="22.5" customHeight="1">
      <c r="A316" s="15"/>
      <c r="B316" s="15"/>
      <c r="C316" s="15"/>
      <c r="D316" s="15"/>
      <c r="E316" s="15"/>
    </row>
    <row r="317" ht="22.5" customHeight="1">
      <c r="A317" s="15"/>
      <c r="B317" s="15"/>
      <c r="C317" s="15"/>
      <c r="D317" s="15"/>
      <c r="E317" s="15"/>
    </row>
    <row r="318" ht="22.5" customHeight="1">
      <c r="A318" s="15"/>
      <c r="B318" s="15"/>
      <c r="C318" s="15"/>
      <c r="D318" s="15"/>
      <c r="E318" s="15"/>
    </row>
    <row r="319" ht="22.5" customHeight="1">
      <c r="A319" s="15"/>
      <c r="B319" s="15"/>
      <c r="C319" s="15"/>
      <c r="D319" s="15"/>
      <c r="E319" s="15"/>
    </row>
    <row r="320" ht="22.5" customHeight="1">
      <c r="A320" s="15"/>
      <c r="B320" s="15"/>
      <c r="C320" s="15"/>
      <c r="D320" s="15"/>
      <c r="E320" s="15"/>
    </row>
    <row r="321" ht="22.5" customHeight="1">
      <c r="A321" s="15"/>
      <c r="B321" s="15"/>
      <c r="C321" s="15"/>
      <c r="D321" s="15"/>
      <c r="E321" s="15"/>
    </row>
    <row r="322" ht="22.5" customHeight="1">
      <c r="A322" s="15"/>
      <c r="B322" s="15"/>
      <c r="C322" s="15"/>
      <c r="D322" s="15"/>
      <c r="E322" s="15"/>
    </row>
    <row r="323" ht="22.5" customHeight="1">
      <c r="A323" s="15"/>
      <c r="B323" s="15"/>
      <c r="C323" s="15"/>
      <c r="D323" s="15"/>
      <c r="E323" s="15"/>
    </row>
    <row r="324" ht="22.5" customHeight="1">
      <c r="A324" s="15"/>
      <c r="B324" s="15"/>
      <c r="C324" s="15"/>
      <c r="D324" s="15"/>
      <c r="E324" s="15"/>
    </row>
    <row r="325" ht="22.5" customHeight="1">
      <c r="A325" s="15"/>
      <c r="B325" s="15"/>
      <c r="C325" s="15"/>
      <c r="D325" s="15"/>
      <c r="E325" s="15"/>
    </row>
    <row r="326" ht="22.5" customHeight="1">
      <c r="A326" s="15"/>
      <c r="B326" s="15"/>
      <c r="C326" s="15"/>
      <c r="D326" s="15"/>
      <c r="E326" s="15"/>
    </row>
    <row r="327" ht="22.5" customHeight="1">
      <c r="A327" s="15"/>
      <c r="B327" s="15"/>
      <c r="C327" s="15"/>
      <c r="D327" s="15"/>
      <c r="E327" s="15"/>
    </row>
    <row r="328" ht="22.5" customHeight="1">
      <c r="A328" s="15"/>
      <c r="B328" s="15"/>
      <c r="C328" s="15"/>
      <c r="D328" s="15"/>
      <c r="E328" s="15"/>
    </row>
    <row r="329" ht="22.5" customHeight="1">
      <c r="A329" s="15"/>
      <c r="B329" s="15"/>
      <c r="C329" s="15"/>
      <c r="D329" s="15"/>
      <c r="E329" s="15"/>
    </row>
    <row r="330" ht="22.5" customHeight="1">
      <c r="A330" s="15"/>
      <c r="B330" s="15"/>
      <c r="C330" s="15"/>
      <c r="D330" s="15"/>
      <c r="E330" s="15"/>
    </row>
    <row r="331" ht="22.5" customHeight="1">
      <c r="A331" s="15"/>
      <c r="B331" s="15"/>
      <c r="C331" s="15"/>
      <c r="D331" s="15"/>
      <c r="E331" s="15"/>
    </row>
    <row r="332" ht="22.5" customHeight="1">
      <c r="A332" s="15"/>
      <c r="B332" s="15"/>
      <c r="C332" s="15"/>
      <c r="D332" s="15"/>
      <c r="E332" s="15"/>
    </row>
    <row r="333" ht="22.5" customHeight="1">
      <c r="A333" s="15"/>
      <c r="B333" s="15"/>
      <c r="C333" s="15"/>
      <c r="D333" s="15"/>
      <c r="E333" s="15"/>
    </row>
    <row r="334" ht="22.5" customHeight="1">
      <c r="A334" s="15"/>
      <c r="B334" s="15"/>
      <c r="C334" s="15"/>
      <c r="D334" s="15"/>
      <c r="E334" s="15"/>
    </row>
    <row r="335" ht="22.5" customHeight="1">
      <c r="A335" s="15"/>
      <c r="B335" s="15"/>
      <c r="C335" s="15"/>
      <c r="D335" s="15"/>
      <c r="E335" s="15"/>
    </row>
    <row r="336" ht="22.5" customHeight="1">
      <c r="A336" s="15"/>
      <c r="B336" s="15"/>
      <c r="C336" s="15"/>
      <c r="D336" s="15"/>
      <c r="E336" s="15"/>
    </row>
    <row r="337" ht="22.5" customHeight="1">
      <c r="A337" s="15"/>
      <c r="B337" s="15"/>
      <c r="C337" s="15"/>
      <c r="D337" s="15"/>
      <c r="E337" s="15"/>
    </row>
    <row r="338" ht="22.5" customHeight="1">
      <c r="A338" s="15"/>
      <c r="B338" s="15"/>
      <c r="C338" s="15"/>
      <c r="D338" s="15"/>
      <c r="E338" s="15"/>
    </row>
    <row r="339" ht="22.5" customHeight="1">
      <c r="A339" s="15"/>
      <c r="B339" s="15"/>
      <c r="C339" s="15"/>
      <c r="D339" s="15"/>
      <c r="E339" s="15"/>
    </row>
    <row r="340" ht="22.5" customHeight="1">
      <c r="A340" s="15"/>
      <c r="B340" s="15"/>
      <c r="C340" s="15"/>
      <c r="D340" s="15"/>
      <c r="E340" s="15"/>
    </row>
    <row r="341" ht="22.5" customHeight="1">
      <c r="A341" s="15"/>
      <c r="B341" s="15"/>
      <c r="C341" s="15"/>
      <c r="D341" s="15"/>
      <c r="E341" s="15"/>
    </row>
    <row r="342" ht="22.5" customHeight="1">
      <c r="A342" s="15"/>
      <c r="B342" s="15"/>
      <c r="C342" s="15"/>
      <c r="D342" s="15"/>
      <c r="E342" s="15"/>
    </row>
    <row r="343" ht="22.5" customHeight="1">
      <c r="A343" s="15"/>
      <c r="B343" s="15"/>
      <c r="C343" s="15"/>
      <c r="D343" s="15"/>
      <c r="E343" s="15"/>
    </row>
    <row r="344" ht="22.5" customHeight="1">
      <c r="A344" s="15"/>
      <c r="B344" s="15"/>
      <c r="C344" s="15"/>
      <c r="D344" s="15"/>
      <c r="E344" s="15"/>
    </row>
    <row r="345" ht="22.5" customHeight="1">
      <c r="A345" s="15"/>
      <c r="B345" s="15"/>
      <c r="C345" s="15"/>
      <c r="D345" s="15"/>
      <c r="E345" s="15"/>
    </row>
    <row r="346" ht="22.5" customHeight="1">
      <c r="A346" s="15"/>
      <c r="B346" s="15"/>
      <c r="C346" s="15"/>
      <c r="D346" s="15"/>
      <c r="E346" s="15"/>
    </row>
    <row r="347" ht="22.5" customHeight="1">
      <c r="A347" s="15"/>
      <c r="B347" s="15"/>
      <c r="C347" s="15"/>
      <c r="D347" s="15"/>
      <c r="E347" s="15"/>
    </row>
    <row r="348" ht="22.5" customHeight="1">
      <c r="A348" s="15"/>
      <c r="B348" s="15"/>
      <c r="C348" s="15"/>
      <c r="D348" s="15"/>
      <c r="E348" s="15"/>
    </row>
    <row r="349" ht="22.5" customHeight="1">
      <c r="A349" s="15"/>
      <c r="B349" s="15"/>
      <c r="C349" s="15"/>
      <c r="D349" s="15"/>
      <c r="E349" s="15"/>
    </row>
    <row r="350" ht="22.5" customHeight="1">
      <c r="A350" s="15"/>
      <c r="B350" s="15"/>
      <c r="C350" s="15"/>
      <c r="D350" s="15"/>
      <c r="E350" s="15"/>
    </row>
    <row r="351" ht="22.5" customHeight="1">
      <c r="A351" s="15"/>
      <c r="B351" s="15"/>
      <c r="C351" s="15"/>
      <c r="D351" s="15"/>
      <c r="E351" s="15"/>
    </row>
    <row r="352" ht="22.5" customHeight="1">
      <c r="A352" s="15"/>
      <c r="B352" s="15"/>
      <c r="C352" s="15"/>
      <c r="D352" s="15"/>
      <c r="E352" s="15"/>
    </row>
    <row r="353" ht="22.5" customHeight="1">
      <c r="A353" s="15"/>
      <c r="B353" s="15"/>
      <c r="C353" s="15"/>
      <c r="D353" s="15"/>
      <c r="E353" s="15"/>
    </row>
    <row r="354" ht="22.5" customHeight="1">
      <c r="A354" s="15"/>
      <c r="B354" s="15"/>
      <c r="C354" s="15"/>
      <c r="D354" s="15"/>
      <c r="E354" s="15"/>
    </row>
    <row r="355" ht="22.5" customHeight="1">
      <c r="A355" s="15"/>
      <c r="B355" s="15"/>
      <c r="C355" s="15"/>
      <c r="D355" s="15"/>
      <c r="E355" s="15"/>
    </row>
    <row r="356" ht="22.5" customHeight="1">
      <c r="A356" s="15"/>
      <c r="B356" s="15"/>
      <c r="C356" s="15"/>
      <c r="D356" s="15"/>
      <c r="E356" s="15"/>
    </row>
    <row r="357" ht="22.5" customHeight="1">
      <c r="A357" s="15"/>
      <c r="B357" s="15"/>
      <c r="C357" s="15"/>
      <c r="D357" s="15"/>
      <c r="E357" s="15"/>
    </row>
    <row r="358" ht="22.5" customHeight="1">
      <c r="A358" s="15"/>
      <c r="B358" s="15"/>
      <c r="C358" s="15"/>
      <c r="D358" s="15"/>
      <c r="E358" s="15"/>
    </row>
    <row r="359" ht="22.5" customHeight="1">
      <c r="A359" s="15"/>
      <c r="B359" s="15"/>
      <c r="C359" s="15"/>
      <c r="D359" s="15"/>
      <c r="E359" s="15"/>
    </row>
    <row r="360" ht="22.5" customHeight="1">
      <c r="A360" s="15"/>
      <c r="B360" s="15"/>
      <c r="C360" s="15"/>
      <c r="D360" s="15"/>
      <c r="E360" s="15"/>
    </row>
    <row r="361" ht="22.5" customHeight="1">
      <c r="A361" s="15"/>
      <c r="B361" s="15"/>
      <c r="C361" s="15"/>
      <c r="D361" s="15"/>
      <c r="E361" s="15"/>
    </row>
    <row r="362" ht="22.5" customHeight="1">
      <c r="A362" s="15"/>
      <c r="B362" s="15"/>
      <c r="C362" s="15"/>
      <c r="D362" s="15"/>
      <c r="E362" s="15"/>
    </row>
    <row r="363" ht="22.5" customHeight="1">
      <c r="A363" s="15"/>
      <c r="B363" s="15"/>
      <c r="C363" s="15"/>
      <c r="D363" s="15"/>
      <c r="E363" s="15"/>
    </row>
    <row r="364" ht="22.5" customHeight="1">
      <c r="A364" s="15"/>
      <c r="B364" s="15"/>
      <c r="C364" s="15"/>
      <c r="D364" s="15"/>
      <c r="E364" s="15"/>
    </row>
    <row r="365" ht="22.5" customHeight="1">
      <c r="A365" s="15"/>
      <c r="B365" s="15"/>
      <c r="C365" s="15"/>
      <c r="D365" s="15"/>
      <c r="E365" s="15"/>
    </row>
    <row r="366" ht="22.5" customHeight="1">
      <c r="A366" s="15"/>
      <c r="B366" s="15"/>
      <c r="C366" s="15"/>
      <c r="D366" s="15"/>
      <c r="E366" s="15"/>
    </row>
    <row r="367" ht="22.5" customHeight="1">
      <c r="A367" s="15"/>
      <c r="B367" s="15"/>
      <c r="C367" s="15"/>
      <c r="D367" s="15"/>
      <c r="E367" s="15"/>
    </row>
    <row r="368" ht="22.5" customHeight="1">
      <c r="A368" s="15"/>
      <c r="B368" s="15"/>
      <c r="C368" s="15"/>
      <c r="D368" s="15"/>
      <c r="E368" s="15"/>
    </row>
    <row r="369" ht="22.5" customHeight="1">
      <c r="A369" s="15"/>
      <c r="B369" s="15"/>
      <c r="C369" s="15"/>
      <c r="D369" s="15"/>
      <c r="E369" s="15"/>
    </row>
    <row r="370" ht="22.5" customHeight="1">
      <c r="A370" s="15"/>
      <c r="B370" s="15"/>
      <c r="C370" s="15"/>
      <c r="D370" s="15"/>
      <c r="E370" s="15"/>
    </row>
    <row r="371" ht="22.5" customHeight="1">
      <c r="A371" s="15"/>
      <c r="B371" s="15"/>
      <c r="C371" s="15"/>
      <c r="D371" s="15"/>
      <c r="E371" s="15"/>
    </row>
    <row r="372" ht="22.5" customHeight="1">
      <c r="A372" s="15"/>
      <c r="B372" s="15"/>
      <c r="C372" s="15"/>
      <c r="D372" s="15"/>
      <c r="E372" s="15"/>
    </row>
    <row r="373" ht="22.5" customHeight="1">
      <c r="A373" s="15"/>
      <c r="B373" s="15"/>
      <c r="C373" s="15"/>
      <c r="D373" s="15"/>
      <c r="E373" s="15"/>
    </row>
    <row r="374" ht="22.5" customHeight="1">
      <c r="A374" s="15"/>
      <c r="B374" s="15"/>
      <c r="C374" s="15"/>
      <c r="D374" s="15"/>
      <c r="E374" s="15"/>
    </row>
    <row r="375" ht="22.5" customHeight="1">
      <c r="A375" s="15"/>
      <c r="B375" s="15"/>
      <c r="C375" s="15"/>
      <c r="D375" s="15"/>
      <c r="E375" s="15"/>
    </row>
    <row r="376" ht="22.5" customHeight="1">
      <c r="A376" s="15"/>
      <c r="B376" s="15"/>
      <c r="C376" s="15"/>
      <c r="D376" s="15"/>
      <c r="E376" s="15"/>
    </row>
    <row r="377" ht="22.5" customHeight="1">
      <c r="A377" s="15"/>
      <c r="B377" s="15"/>
      <c r="C377" s="15"/>
      <c r="D377" s="15"/>
      <c r="E377" s="15"/>
    </row>
    <row r="378" ht="22.5" customHeight="1">
      <c r="A378" s="15"/>
      <c r="B378" s="15"/>
      <c r="C378" s="15"/>
      <c r="D378" s="15"/>
      <c r="E378" s="15"/>
    </row>
    <row r="379" ht="22.5" customHeight="1">
      <c r="A379" s="15"/>
      <c r="B379" s="15"/>
      <c r="C379" s="15"/>
      <c r="D379" s="15"/>
      <c r="E379" s="15"/>
    </row>
    <row r="380" ht="22.5" customHeight="1">
      <c r="A380" s="15"/>
      <c r="B380" s="15"/>
      <c r="C380" s="15"/>
      <c r="D380" s="15"/>
      <c r="E380" s="15"/>
    </row>
    <row r="381" ht="22.5" customHeight="1">
      <c r="A381" s="15"/>
      <c r="B381" s="15"/>
      <c r="C381" s="15"/>
      <c r="D381" s="15"/>
      <c r="E381" s="15"/>
    </row>
    <row r="382" ht="22.5" customHeight="1">
      <c r="A382" s="15"/>
      <c r="B382" s="15"/>
      <c r="C382" s="15"/>
      <c r="D382" s="15"/>
      <c r="E382" s="15"/>
    </row>
    <row r="383" ht="22.5" customHeight="1">
      <c r="A383" s="15"/>
      <c r="B383" s="15"/>
      <c r="C383" s="15"/>
      <c r="D383" s="15"/>
      <c r="E383" s="15"/>
    </row>
    <row r="384" ht="22.5" customHeight="1">
      <c r="A384" s="15"/>
      <c r="B384" s="15"/>
      <c r="C384" s="15"/>
      <c r="D384" s="15"/>
      <c r="E384" s="15"/>
    </row>
    <row r="385" ht="22.5" customHeight="1">
      <c r="A385" s="15"/>
      <c r="B385" s="15"/>
      <c r="C385" s="15"/>
      <c r="D385" s="15"/>
      <c r="E385" s="15"/>
    </row>
    <row r="386" ht="22.5" customHeight="1">
      <c r="A386" s="15"/>
      <c r="B386" s="15"/>
      <c r="C386" s="15"/>
      <c r="D386" s="15"/>
      <c r="E386" s="15"/>
    </row>
    <row r="387" ht="22.5" customHeight="1">
      <c r="A387" s="15"/>
      <c r="B387" s="15"/>
      <c r="C387" s="15"/>
      <c r="D387" s="15"/>
      <c r="E387" s="15"/>
    </row>
    <row r="388" ht="22.5" customHeight="1">
      <c r="A388" s="15"/>
      <c r="B388" s="15"/>
      <c r="C388" s="15"/>
      <c r="D388" s="15"/>
      <c r="E388" s="15"/>
    </row>
    <row r="389" ht="22.5" customHeight="1">
      <c r="A389" s="15"/>
      <c r="B389" s="15"/>
      <c r="C389" s="15"/>
      <c r="D389" s="15"/>
      <c r="E389" s="15"/>
    </row>
    <row r="390" ht="22.5" customHeight="1">
      <c r="A390" s="15"/>
      <c r="B390" s="15"/>
      <c r="C390" s="15"/>
      <c r="D390" s="15"/>
      <c r="E390" s="15"/>
    </row>
    <row r="391" ht="22.5" customHeight="1">
      <c r="A391" s="15"/>
      <c r="B391" s="15"/>
      <c r="C391" s="15"/>
      <c r="D391" s="15"/>
      <c r="E391" s="15"/>
    </row>
    <row r="392" ht="22.5" customHeight="1">
      <c r="A392" s="15"/>
      <c r="B392" s="15"/>
      <c r="C392" s="15"/>
      <c r="D392" s="15"/>
      <c r="E392" s="15"/>
    </row>
    <row r="393" ht="22.5" customHeight="1">
      <c r="A393" s="15"/>
      <c r="B393" s="15"/>
      <c r="C393" s="15"/>
      <c r="D393" s="15"/>
      <c r="E393" s="15"/>
    </row>
    <row r="394" ht="22.5" customHeight="1">
      <c r="A394" s="15"/>
      <c r="B394" s="15"/>
      <c r="C394" s="15"/>
      <c r="D394" s="15"/>
      <c r="E394" s="15"/>
    </row>
    <row r="395" ht="22.5" customHeight="1">
      <c r="A395" s="15"/>
      <c r="B395" s="15"/>
      <c r="C395" s="15"/>
      <c r="D395" s="15"/>
      <c r="E395" s="15"/>
    </row>
    <row r="396" ht="22.5" customHeight="1">
      <c r="A396" s="15"/>
      <c r="B396" s="15"/>
      <c r="C396" s="15"/>
      <c r="D396" s="15"/>
      <c r="E396" s="15"/>
    </row>
    <row r="397" ht="22.5" customHeight="1">
      <c r="A397" s="15"/>
      <c r="B397" s="15"/>
      <c r="C397" s="15"/>
      <c r="D397" s="15"/>
      <c r="E397" s="15"/>
    </row>
    <row r="398" ht="22.5" customHeight="1">
      <c r="A398" s="15"/>
      <c r="B398" s="15"/>
      <c r="C398" s="15"/>
      <c r="D398" s="15"/>
      <c r="E398" s="15"/>
    </row>
    <row r="399" ht="22.5" customHeight="1">
      <c r="A399" s="15"/>
      <c r="B399" s="15"/>
      <c r="C399" s="15"/>
      <c r="D399" s="15"/>
      <c r="E399" s="15"/>
    </row>
    <row r="400" ht="22.5" customHeight="1">
      <c r="A400" s="15"/>
      <c r="B400" s="15"/>
      <c r="C400" s="15"/>
      <c r="D400" s="15"/>
      <c r="E400" s="15"/>
    </row>
    <row r="401" ht="22.5" customHeight="1">
      <c r="A401" s="15"/>
      <c r="B401" s="15"/>
      <c r="C401" s="15"/>
      <c r="D401" s="15"/>
      <c r="E401" s="15"/>
    </row>
    <row r="402" ht="22.5" customHeight="1">
      <c r="A402" s="15"/>
      <c r="B402" s="15"/>
      <c r="C402" s="15"/>
      <c r="D402" s="15"/>
      <c r="E402" s="15"/>
    </row>
    <row r="403" ht="22.5" customHeight="1">
      <c r="A403" s="15"/>
      <c r="B403" s="15"/>
      <c r="C403" s="15"/>
      <c r="D403" s="15"/>
      <c r="E403" s="15"/>
    </row>
    <row r="404" ht="22.5" customHeight="1">
      <c r="A404" s="15"/>
      <c r="B404" s="15"/>
      <c r="C404" s="15"/>
      <c r="D404" s="15"/>
      <c r="E404" s="15"/>
    </row>
    <row r="405" ht="22.5" customHeight="1">
      <c r="A405" s="15"/>
      <c r="B405" s="15"/>
      <c r="C405" s="15"/>
      <c r="D405" s="15"/>
      <c r="E405" s="15"/>
    </row>
    <row r="406" ht="22.5" customHeight="1">
      <c r="A406" s="15"/>
      <c r="B406" s="15"/>
      <c r="C406" s="15"/>
      <c r="D406" s="15"/>
      <c r="E406" s="15"/>
    </row>
    <row r="407" ht="22.5" customHeight="1">
      <c r="A407" s="15"/>
      <c r="B407" s="15"/>
      <c r="C407" s="15"/>
      <c r="D407" s="15"/>
      <c r="E407" s="15"/>
    </row>
    <row r="408" ht="22.5" customHeight="1">
      <c r="A408" s="15"/>
      <c r="B408" s="15"/>
      <c r="C408" s="15"/>
      <c r="D408" s="15"/>
      <c r="E408" s="15"/>
    </row>
    <row r="409" ht="22.5" customHeight="1">
      <c r="A409" s="15"/>
      <c r="B409" s="15"/>
      <c r="C409" s="15"/>
      <c r="D409" s="15"/>
      <c r="E409" s="15"/>
    </row>
    <row r="410" ht="22.5" customHeight="1">
      <c r="A410" s="15"/>
      <c r="B410" s="15"/>
      <c r="C410" s="15"/>
      <c r="D410" s="15"/>
      <c r="E410" s="15"/>
    </row>
    <row r="411" ht="22.5" customHeight="1">
      <c r="A411" s="15"/>
      <c r="B411" s="15"/>
      <c r="C411" s="15"/>
      <c r="D411" s="15"/>
      <c r="E411" s="15"/>
    </row>
    <row r="412" ht="22.5" customHeight="1">
      <c r="A412" s="15"/>
      <c r="B412" s="15"/>
      <c r="C412" s="15"/>
      <c r="D412" s="15"/>
      <c r="E412" s="15"/>
    </row>
    <row r="413" ht="22.5" customHeight="1">
      <c r="A413" s="15"/>
      <c r="B413" s="15"/>
      <c r="C413" s="15"/>
      <c r="D413" s="15"/>
      <c r="E413" s="15"/>
    </row>
    <row r="414" ht="22.5" customHeight="1">
      <c r="A414" s="15"/>
      <c r="B414" s="15"/>
      <c r="C414" s="15"/>
      <c r="D414" s="15"/>
      <c r="E414" s="15"/>
    </row>
    <row r="415" ht="22.5" customHeight="1">
      <c r="A415" s="15"/>
      <c r="B415" s="15"/>
      <c r="C415" s="15"/>
      <c r="D415" s="15"/>
      <c r="E415" s="15"/>
    </row>
    <row r="416" ht="22.5" customHeight="1">
      <c r="A416" s="15"/>
      <c r="B416" s="15"/>
      <c r="C416" s="15"/>
      <c r="D416" s="15"/>
      <c r="E416" s="15"/>
    </row>
    <row r="417" ht="22.5" customHeight="1">
      <c r="A417" s="15"/>
      <c r="B417" s="15"/>
      <c r="C417" s="15"/>
      <c r="D417" s="15"/>
      <c r="E417" s="15"/>
    </row>
    <row r="418" ht="22.5" customHeight="1">
      <c r="A418" s="15"/>
      <c r="B418" s="15"/>
      <c r="C418" s="15"/>
      <c r="D418" s="15"/>
      <c r="E418" s="15"/>
    </row>
    <row r="419" ht="22.5" customHeight="1">
      <c r="A419" s="15"/>
      <c r="B419" s="15"/>
      <c r="C419" s="15"/>
      <c r="D419" s="15"/>
      <c r="E419" s="15"/>
    </row>
    <row r="420" ht="22.5" customHeight="1">
      <c r="A420" s="15"/>
      <c r="B420" s="15"/>
      <c r="C420" s="15"/>
      <c r="D420" s="15"/>
      <c r="E420" s="15"/>
    </row>
    <row r="421" ht="22.5" customHeight="1">
      <c r="A421" s="15"/>
      <c r="B421" s="15"/>
      <c r="C421" s="15"/>
      <c r="D421" s="15"/>
      <c r="E421" s="15"/>
    </row>
    <row r="422" ht="22.5" customHeight="1">
      <c r="A422" s="15"/>
      <c r="B422" s="15"/>
      <c r="C422" s="15"/>
      <c r="D422" s="15"/>
      <c r="E422" s="15"/>
    </row>
    <row r="423" ht="22.5" customHeight="1">
      <c r="A423" s="15"/>
      <c r="B423" s="15"/>
      <c r="C423" s="15"/>
      <c r="D423" s="15"/>
      <c r="E423" s="15"/>
    </row>
    <row r="424" ht="22.5" customHeight="1">
      <c r="A424" s="15"/>
      <c r="B424" s="15"/>
      <c r="C424" s="15"/>
      <c r="D424" s="15"/>
      <c r="E424" s="15"/>
    </row>
    <row r="425" ht="22.5" customHeight="1">
      <c r="A425" s="15"/>
      <c r="B425" s="15"/>
      <c r="C425" s="15"/>
      <c r="D425" s="15"/>
      <c r="E425" s="15"/>
    </row>
    <row r="426" ht="22.5" customHeight="1">
      <c r="A426" s="15"/>
      <c r="B426" s="15"/>
      <c r="C426" s="15"/>
      <c r="D426" s="15"/>
      <c r="E426" s="15"/>
    </row>
    <row r="427" ht="22.5" customHeight="1">
      <c r="A427" s="15"/>
      <c r="B427" s="15"/>
      <c r="C427" s="15"/>
      <c r="D427" s="15"/>
      <c r="E427" s="15"/>
    </row>
    <row r="428" ht="22.5" customHeight="1">
      <c r="A428" s="15"/>
      <c r="B428" s="15"/>
      <c r="C428" s="15"/>
      <c r="D428" s="15"/>
      <c r="E428" s="15"/>
    </row>
    <row r="429" ht="22.5" customHeight="1">
      <c r="A429" s="15"/>
      <c r="B429" s="15"/>
      <c r="C429" s="15"/>
      <c r="D429" s="15"/>
      <c r="E429" s="15"/>
    </row>
    <row r="430" ht="22.5" customHeight="1">
      <c r="A430" s="15"/>
      <c r="B430" s="15"/>
      <c r="C430" s="15"/>
      <c r="D430" s="15"/>
      <c r="E430" s="15"/>
    </row>
    <row r="431" ht="22.5" customHeight="1">
      <c r="A431" s="15"/>
      <c r="B431" s="15"/>
      <c r="C431" s="15"/>
      <c r="D431" s="15"/>
      <c r="E431" s="15"/>
    </row>
    <row r="432" ht="22.5" customHeight="1">
      <c r="A432" s="15"/>
      <c r="B432" s="15"/>
      <c r="C432" s="15"/>
      <c r="D432" s="15"/>
      <c r="E432" s="15"/>
    </row>
    <row r="433" ht="22.5" customHeight="1">
      <c r="A433" s="15"/>
      <c r="B433" s="15"/>
      <c r="C433" s="15"/>
      <c r="D433" s="15"/>
      <c r="E433" s="15"/>
    </row>
    <row r="434" ht="22.5" customHeight="1">
      <c r="A434" s="15"/>
      <c r="B434" s="15"/>
      <c r="C434" s="15"/>
      <c r="D434" s="15"/>
      <c r="E434" s="15"/>
    </row>
    <row r="435" ht="22.5" customHeight="1">
      <c r="A435" s="15"/>
      <c r="B435" s="15"/>
      <c r="C435" s="15"/>
      <c r="D435" s="15"/>
      <c r="E435" s="15"/>
    </row>
    <row r="436" ht="22.5" customHeight="1">
      <c r="A436" s="15"/>
      <c r="B436" s="15"/>
      <c r="C436" s="15"/>
      <c r="D436" s="15"/>
      <c r="E436" s="15"/>
    </row>
    <row r="437" ht="22.5" customHeight="1">
      <c r="A437" s="15"/>
      <c r="B437" s="15"/>
      <c r="C437" s="15"/>
      <c r="D437" s="15"/>
      <c r="E437" s="15"/>
    </row>
    <row r="438" ht="22.5" customHeight="1">
      <c r="A438" s="15"/>
      <c r="B438" s="15"/>
      <c r="C438" s="15"/>
      <c r="D438" s="15"/>
      <c r="E438" s="15"/>
    </row>
    <row r="439" ht="22.5" customHeight="1">
      <c r="A439" s="15"/>
      <c r="B439" s="15"/>
      <c r="C439" s="15"/>
      <c r="D439" s="15"/>
      <c r="E439" s="15"/>
    </row>
    <row r="440" ht="22.5" customHeight="1">
      <c r="A440" s="15"/>
      <c r="B440" s="15"/>
      <c r="C440" s="15"/>
      <c r="D440" s="15"/>
      <c r="E440" s="15"/>
    </row>
    <row r="441" ht="22.5" customHeight="1">
      <c r="A441" s="15"/>
      <c r="B441" s="15"/>
      <c r="C441" s="15"/>
      <c r="D441" s="15"/>
      <c r="E441" s="15"/>
    </row>
    <row r="442" ht="22.5" customHeight="1">
      <c r="A442" s="15"/>
      <c r="B442" s="15"/>
      <c r="C442" s="15"/>
      <c r="D442" s="15"/>
      <c r="E442" s="15"/>
    </row>
    <row r="443" ht="22.5" customHeight="1">
      <c r="A443" s="15"/>
      <c r="B443" s="15"/>
      <c r="C443" s="15"/>
      <c r="D443" s="15"/>
      <c r="E443" s="15"/>
    </row>
    <row r="444" ht="22.5" customHeight="1">
      <c r="A444" s="15"/>
      <c r="B444" s="15"/>
      <c r="C444" s="15"/>
      <c r="D444" s="15"/>
      <c r="E444" s="15"/>
    </row>
    <row r="445" ht="22.5" customHeight="1">
      <c r="A445" s="15"/>
      <c r="B445" s="15"/>
      <c r="C445" s="15"/>
      <c r="D445" s="15"/>
      <c r="E445" s="15"/>
    </row>
    <row r="446" ht="22.5" customHeight="1">
      <c r="A446" s="15"/>
      <c r="B446" s="15"/>
      <c r="C446" s="15"/>
      <c r="D446" s="15"/>
      <c r="E446" s="15"/>
    </row>
    <row r="447" ht="22.5" customHeight="1">
      <c r="A447" s="15"/>
      <c r="B447" s="15"/>
      <c r="C447" s="15"/>
      <c r="D447" s="15"/>
      <c r="E447" s="15"/>
    </row>
    <row r="448" ht="22.5" customHeight="1">
      <c r="A448" s="15"/>
      <c r="B448" s="15"/>
      <c r="C448" s="15"/>
      <c r="D448" s="15"/>
      <c r="E448" s="15"/>
    </row>
    <row r="449" ht="22.5" customHeight="1">
      <c r="A449" s="15"/>
      <c r="B449" s="15"/>
      <c r="C449" s="15"/>
      <c r="D449" s="15"/>
      <c r="E449" s="15"/>
    </row>
    <row r="450" ht="22.5" customHeight="1">
      <c r="A450" s="15"/>
      <c r="B450" s="15"/>
      <c r="C450" s="15"/>
      <c r="D450" s="15"/>
      <c r="E450" s="15"/>
    </row>
    <row r="451" ht="22.5" customHeight="1">
      <c r="A451" s="15"/>
      <c r="B451" s="15"/>
      <c r="C451" s="15"/>
      <c r="D451" s="15"/>
      <c r="E451" s="15"/>
    </row>
    <row r="452" ht="22.5" customHeight="1">
      <c r="A452" s="15"/>
      <c r="B452" s="15"/>
      <c r="C452" s="15"/>
      <c r="D452" s="15"/>
      <c r="E452" s="15"/>
    </row>
    <row r="453" ht="22.5" customHeight="1">
      <c r="A453" s="15"/>
      <c r="B453" s="15"/>
      <c r="C453" s="15"/>
      <c r="D453" s="15"/>
      <c r="E453" s="15"/>
    </row>
    <row r="454" ht="22.5" customHeight="1">
      <c r="A454" s="15"/>
      <c r="B454" s="15"/>
      <c r="C454" s="15"/>
      <c r="D454" s="15"/>
      <c r="E454" s="15"/>
    </row>
    <row r="455" ht="22.5" customHeight="1">
      <c r="A455" s="15"/>
      <c r="B455" s="15"/>
      <c r="C455" s="15"/>
      <c r="D455" s="15"/>
      <c r="E455" s="15"/>
    </row>
    <row r="456" ht="22.5" customHeight="1">
      <c r="A456" s="15"/>
      <c r="B456" s="15"/>
      <c r="C456" s="15"/>
      <c r="D456" s="15"/>
      <c r="E456" s="15"/>
    </row>
    <row r="457" ht="22.5" customHeight="1">
      <c r="A457" s="15"/>
      <c r="B457" s="15"/>
      <c r="C457" s="15"/>
      <c r="D457" s="15"/>
      <c r="E457" s="15"/>
    </row>
    <row r="458" ht="22.5" customHeight="1">
      <c r="A458" s="15"/>
      <c r="B458" s="15"/>
      <c r="C458" s="15"/>
      <c r="D458" s="15"/>
      <c r="E458" s="15"/>
    </row>
    <row r="459" ht="22.5" customHeight="1">
      <c r="A459" s="15"/>
      <c r="B459" s="15"/>
      <c r="C459" s="15"/>
      <c r="D459" s="15"/>
      <c r="E459" s="15"/>
    </row>
    <row r="460" ht="22.5" customHeight="1">
      <c r="A460" s="15"/>
      <c r="B460" s="15"/>
      <c r="C460" s="15"/>
      <c r="D460" s="15"/>
      <c r="E460" s="15"/>
    </row>
    <row r="461" ht="22.5" customHeight="1">
      <c r="A461" s="15"/>
      <c r="B461" s="15"/>
      <c r="C461" s="15"/>
      <c r="D461" s="15"/>
      <c r="E461" s="15"/>
    </row>
    <row r="462" ht="22.5" customHeight="1">
      <c r="A462" s="15"/>
      <c r="B462" s="15"/>
      <c r="C462" s="15"/>
      <c r="D462" s="15"/>
      <c r="E462" s="15"/>
    </row>
    <row r="463" ht="22.5" customHeight="1">
      <c r="A463" s="15"/>
      <c r="B463" s="15"/>
      <c r="C463" s="15"/>
      <c r="D463" s="15"/>
      <c r="E463" s="15"/>
    </row>
    <row r="464" ht="22.5" customHeight="1">
      <c r="A464" s="15"/>
      <c r="B464" s="15"/>
      <c r="C464" s="15"/>
      <c r="D464" s="15"/>
      <c r="E464" s="15"/>
    </row>
    <row r="465" ht="22.5" customHeight="1">
      <c r="A465" s="15"/>
      <c r="B465" s="15"/>
      <c r="C465" s="15"/>
      <c r="D465" s="15"/>
      <c r="E465" s="15"/>
    </row>
    <row r="466" ht="22.5" customHeight="1">
      <c r="A466" s="15"/>
      <c r="B466" s="15"/>
      <c r="C466" s="15"/>
      <c r="D466" s="15"/>
      <c r="E466" s="15"/>
    </row>
    <row r="467" ht="22.5" customHeight="1">
      <c r="A467" s="15"/>
      <c r="B467" s="15"/>
      <c r="C467" s="15"/>
      <c r="D467" s="15"/>
      <c r="E467" s="15"/>
    </row>
    <row r="468" ht="22.5" customHeight="1">
      <c r="A468" s="15"/>
      <c r="B468" s="15"/>
      <c r="C468" s="15"/>
      <c r="D468" s="15"/>
      <c r="E468" s="15"/>
    </row>
    <row r="469" ht="22.5" customHeight="1">
      <c r="A469" s="15"/>
      <c r="B469" s="15"/>
      <c r="C469" s="15"/>
      <c r="D469" s="15"/>
      <c r="E469" s="15"/>
    </row>
    <row r="470" ht="22.5" customHeight="1">
      <c r="A470" s="15"/>
      <c r="B470" s="15"/>
      <c r="C470" s="15"/>
      <c r="D470" s="15"/>
      <c r="E470" s="15"/>
    </row>
    <row r="471" ht="22.5" customHeight="1">
      <c r="A471" s="15"/>
      <c r="B471" s="15"/>
      <c r="C471" s="15"/>
      <c r="D471" s="15"/>
      <c r="E471" s="15"/>
    </row>
    <row r="472" ht="22.5" customHeight="1">
      <c r="A472" s="15"/>
      <c r="B472" s="15"/>
      <c r="C472" s="15"/>
      <c r="D472" s="15"/>
      <c r="E472" s="15"/>
    </row>
    <row r="473" ht="22.5" customHeight="1">
      <c r="A473" s="15"/>
      <c r="B473" s="15"/>
      <c r="C473" s="15"/>
      <c r="D473" s="15"/>
      <c r="E473" s="15"/>
    </row>
    <row r="474" ht="22.5" customHeight="1">
      <c r="A474" s="15"/>
      <c r="B474" s="15"/>
      <c r="C474" s="15"/>
      <c r="D474" s="15"/>
      <c r="E474" s="15"/>
    </row>
    <row r="475" ht="22.5" customHeight="1">
      <c r="A475" s="15"/>
      <c r="B475" s="15"/>
      <c r="C475" s="15"/>
      <c r="D475" s="15"/>
      <c r="E475" s="15"/>
    </row>
    <row r="476" ht="22.5" customHeight="1">
      <c r="A476" s="15"/>
      <c r="B476" s="15"/>
      <c r="C476" s="15"/>
      <c r="D476" s="15"/>
      <c r="E476" s="15"/>
    </row>
    <row r="477" ht="22.5" customHeight="1">
      <c r="A477" s="15"/>
      <c r="B477" s="15"/>
      <c r="C477" s="15"/>
      <c r="D477" s="15"/>
      <c r="E477" s="15"/>
    </row>
    <row r="478" ht="22.5" customHeight="1">
      <c r="A478" s="15"/>
      <c r="B478" s="15"/>
      <c r="C478" s="15"/>
      <c r="D478" s="15"/>
      <c r="E478" s="15"/>
    </row>
    <row r="479" ht="22.5" customHeight="1">
      <c r="A479" s="15"/>
      <c r="B479" s="15"/>
      <c r="C479" s="15"/>
      <c r="D479" s="15"/>
      <c r="E479" s="15"/>
    </row>
    <row r="480" ht="22.5" customHeight="1">
      <c r="A480" s="15"/>
      <c r="B480" s="15"/>
      <c r="C480" s="15"/>
      <c r="D480" s="15"/>
      <c r="E480" s="15"/>
    </row>
    <row r="481" ht="22.5" customHeight="1">
      <c r="A481" s="15"/>
      <c r="B481" s="15"/>
      <c r="C481" s="15"/>
      <c r="D481" s="15"/>
      <c r="E481" s="15"/>
    </row>
    <row r="482" ht="22.5" customHeight="1">
      <c r="A482" s="15"/>
      <c r="B482" s="15"/>
      <c r="C482" s="15"/>
      <c r="D482" s="15"/>
      <c r="E482" s="15"/>
    </row>
    <row r="483" ht="22.5" customHeight="1">
      <c r="A483" s="15"/>
      <c r="B483" s="15"/>
      <c r="C483" s="15"/>
      <c r="D483" s="15"/>
      <c r="E483" s="15"/>
    </row>
    <row r="484" ht="22.5" customHeight="1">
      <c r="A484" s="15"/>
      <c r="B484" s="15"/>
      <c r="C484" s="15"/>
      <c r="D484" s="15"/>
      <c r="E484" s="15"/>
    </row>
    <row r="485" ht="22.5" customHeight="1">
      <c r="A485" s="15"/>
      <c r="B485" s="15"/>
      <c r="C485" s="15"/>
      <c r="D485" s="15"/>
      <c r="E485" s="15"/>
    </row>
    <row r="486" ht="22.5" customHeight="1">
      <c r="A486" s="15"/>
      <c r="B486" s="15"/>
      <c r="C486" s="15"/>
      <c r="D486" s="15"/>
      <c r="E486" s="15"/>
    </row>
    <row r="487" ht="22.5" customHeight="1">
      <c r="A487" s="15"/>
      <c r="B487" s="15"/>
      <c r="C487" s="15"/>
      <c r="D487" s="15"/>
      <c r="E487" s="15"/>
    </row>
    <row r="488" ht="22.5" customHeight="1">
      <c r="A488" s="15"/>
      <c r="B488" s="15"/>
      <c r="C488" s="15"/>
      <c r="D488" s="15"/>
      <c r="E488" s="15"/>
    </row>
    <row r="489" ht="22.5" customHeight="1">
      <c r="A489" s="15"/>
      <c r="B489" s="15"/>
      <c r="C489" s="15"/>
      <c r="D489" s="15"/>
      <c r="E489" s="15"/>
    </row>
    <row r="490" ht="22.5" customHeight="1">
      <c r="A490" s="15"/>
      <c r="B490" s="15"/>
      <c r="C490" s="15"/>
      <c r="D490" s="15"/>
      <c r="E490" s="15"/>
    </row>
    <row r="491" ht="22.5" customHeight="1">
      <c r="A491" s="15"/>
      <c r="B491" s="15"/>
      <c r="C491" s="15"/>
      <c r="D491" s="15"/>
      <c r="E491" s="15"/>
    </row>
    <row r="492" ht="22.5" customHeight="1">
      <c r="A492" s="15"/>
      <c r="B492" s="15"/>
      <c r="C492" s="15"/>
      <c r="D492" s="15"/>
      <c r="E492" s="15"/>
    </row>
    <row r="493" ht="22.5" customHeight="1">
      <c r="A493" s="15"/>
      <c r="B493" s="15"/>
      <c r="C493" s="15"/>
      <c r="D493" s="15"/>
      <c r="E493" s="15"/>
    </row>
    <row r="494" ht="22.5" customHeight="1">
      <c r="A494" s="15"/>
      <c r="B494" s="15"/>
      <c r="C494" s="15"/>
      <c r="D494" s="15"/>
      <c r="E494" s="15"/>
    </row>
    <row r="495" ht="22.5" customHeight="1">
      <c r="A495" s="15"/>
      <c r="B495" s="15"/>
      <c r="C495" s="15"/>
      <c r="D495" s="15"/>
      <c r="E495" s="15"/>
    </row>
    <row r="496" ht="22.5" customHeight="1">
      <c r="A496" s="15"/>
      <c r="B496" s="15"/>
      <c r="C496" s="15"/>
      <c r="D496" s="15"/>
      <c r="E496" s="15"/>
    </row>
    <row r="497" ht="22.5" customHeight="1">
      <c r="A497" s="15"/>
      <c r="B497" s="15"/>
      <c r="C497" s="15"/>
      <c r="D497" s="15"/>
      <c r="E497" s="15"/>
    </row>
    <row r="498" ht="22.5" customHeight="1">
      <c r="A498" s="15"/>
      <c r="B498" s="15"/>
      <c r="C498" s="15"/>
      <c r="D498" s="15"/>
      <c r="E498" s="15"/>
    </row>
    <row r="499" ht="22.5" customHeight="1">
      <c r="A499" s="15"/>
      <c r="B499" s="15"/>
      <c r="C499" s="15"/>
      <c r="D499" s="15"/>
      <c r="E499" s="15"/>
    </row>
    <row r="500" ht="22.5" customHeight="1">
      <c r="A500" s="15"/>
      <c r="B500" s="15"/>
      <c r="C500" s="15"/>
      <c r="D500" s="15"/>
      <c r="E500" s="15"/>
    </row>
    <row r="501" ht="22.5" customHeight="1">
      <c r="A501" s="15"/>
      <c r="B501" s="15"/>
      <c r="C501" s="15"/>
      <c r="D501" s="15"/>
      <c r="E501" s="15"/>
    </row>
    <row r="502" ht="22.5" customHeight="1">
      <c r="A502" s="15"/>
      <c r="B502" s="15"/>
      <c r="C502" s="15"/>
      <c r="D502" s="15"/>
      <c r="E502" s="15"/>
    </row>
    <row r="503" ht="22.5" customHeight="1">
      <c r="A503" s="15"/>
      <c r="B503" s="15"/>
      <c r="C503" s="15"/>
      <c r="D503" s="15"/>
      <c r="E503" s="15"/>
    </row>
    <row r="504" ht="22.5" customHeight="1">
      <c r="A504" s="15"/>
      <c r="B504" s="15"/>
      <c r="C504" s="15"/>
      <c r="D504" s="15"/>
      <c r="E504" s="15"/>
    </row>
    <row r="505" ht="22.5" customHeight="1">
      <c r="A505" s="15"/>
      <c r="B505" s="15"/>
      <c r="C505" s="15"/>
      <c r="D505" s="15"/>
      <c r="E505" s="15"/>
    </row>
    <row r="506" ht="22.5" customHeight="1">
      <c r="A506" s="15"/>
      <c r="B506" s="15"/>
      <c r="C506" s="15"/>
      <c r="D506" s="15"/>
      <c r="E506" s="15"/>
    </row>
    <row r="507" ht="22.5" customHeight="1">
      <c r="A507" s="15"/>
      <c r="B507" s="15"/>
      <c r="C507" s="15"/>
      <c r="D507" s="15"/>
      <c r="E507" s="15"/>
    </row>
    <row r="508" ht="22.5" customHeight="1">
      <c r="A508" s="15"/>
      <c r="B508" s="15"/>
      <c r="C508" s="15"/>
      <c r="D508" s="15"/>
      <c r="E508" s="15"/>
    </row>
    <row r="509" ht="22.5" customHeight="1">
      <c r="A509" s="15"/>
      <c r="B509" s="15"/>
      <c r="C509" s="15"/>
      <c r="D509" s="15"/>
      <c r="E509" s="15"/>
    </row>
    <row r="510" ht="22.5" customHeight="1">
      <c r="A510" s="15"/>
      <c r="B510" s="15"/>
      <c r="C510" s="15"/>
      <c r="D510" s="15"/>
      <c r="E510" s="15"/>
    </row>
    <row r="511" ht="22.5" customHeight="1">
      <c r="A511" s="15"/>
      <c r="B511" s="15"/>
      <c r="C511" s="15"/>
      <c r="D511" s="15"/>
      <c r="E511" s="15"/>
    </row>
    <row r="512" ht="22.5" customHeight="1">
      <c r="A512" s="15"/>
      <c r="B512" s="15"/>
      <c r="C512" s="15"/>
      <c r="D512" s="15"/>
      <c r="E512" s="15"/>
    </row>
    <row r="513" ht="22.5" customHeight="1">
      <c r="A513" s="15"/>
      <c r="B513" s="15"/>
      <c r="C513" s="15"/>
      <c r="D513" s="15"/>
      <c r="E513" s="15"/>
    </row>
    <row r="514" ht="22.5" customHeight="1">
      <c r="A514" s="15"/>
      <c r="B514" s="15"/>
      <c r="C514" s="15"/>
      <c r="D514" s="15"/>
      <c r="E514" s="15"/>
    </row>
    <row r="515" ht="22.5" customHeight="1">
      <c r="A515" s="15"/>
      <c r="B515" s="15"/>
      <c r="C515" s="15"/>
      <c r="D515" s="15"/>
      <c r="E515" s="15"/>
    </row>
    <row r="516" ht="22.5" customHeight="1">
      <c r="A516" s="15"/>
      <c r="B516" s="15"/>
      <c r="C516" s="15"/>
      <c r="D516" s="15"/>
      <c r="E516" s="15"/>
    </row>
    <row r="517" ht="22.5" customHeight="1">
      <c r="A517" s="15"/>
      <c r="B517" s="15"/>
      <c r="C517" s="15"/>
      <c r="D517" s="15"/>
      <c r="E517" s="15"/>
    </row>
    <row r="518" ht="22.5" customHeight="1">
      <c r="A518" s="15"/>
      <c r="B518" s="15"/>
      <c r="C518" s="15"/>
      <c r="D518" s="15"/>
      <c r="E518" s="15"/>
    </row>
    <row r="519" ht="22.5" customHeight="1">
      <c r="A519" s="15"/>
      <c r="B519" s="15"/>
      <c r="C519" s="15"/>
      <c r="D519" s="15"/>
      <c r="E519" s="15"/>
    </row>
    <row r="520" ht="22.5" customHeight="1">
      <c r="A520" s="15"/>
      <c r="B520" s="15"/>
      <c r="C520" s="15"/>
      <c r="D520" s="15"/>
      <c r="E520" s="15"/>
    </row>
    <row r="521" ht="22.5" customHeight="1">
      <c r="A521" s="15"/>
      <c r="B521" s="15"/>
      <c r="C521" s="15"/>
      <c r="D521" s="15"/>
      <c r="E521" s="15"/>
    </row>
    <row r="522" ht="22.5" customHeight="1">
      <c r="A522" s="15"/>
      <c r="B522" s="15"/>
      <c r="C522" s="15"/>
      <c r="D522" s="15"/>
      <c r="E522" s="15"/>
    </row>
    <row r="523" ht="22.5" customHeight="1">
      <c r="A523" s="15"/>
      <c r="B523" s="15"/>
      <c r="C523" s="15"/>
      <c r="D523" s="15"/>
      <c r="E523" s="15"/>
    </row>
    <row r="524" ht="22.5" customHeight="1">
      <c r="A524" s="15"/>
      <c r="B524" s="15"/>
      <c r="C524" s="15"/>
      <c r="D524" s="15"/>
      <c r="E524" s="15"/>
    </row>
    <row r="525" ht="22.5" customHeight="1">
      <c r="A525" s="15"/>
      <c r="B525" s="15"/>
      <c r="C525" s="15"/>
      <c r="D525" s="15"/>
      <c r="E525" s="15"/>
    </row>
    <row r="526" ht="22.5" customHeight="1">
      <c r="A526" s="15"/>
      <c r="B526" s="15"/>
      <c r="C526" s="15"/>
      <c r="D526" s="15"/>
      <c r="E526" s="15"/>
    </row>
    <row r="527" ht="22.5" customHeight="1">
      <c r="A527" s="15"/>
      <c r="B527" s="15"/>
      <c r="C527" s="15"/>
      <c r="D527" s="15"/>
      <c r="E527" s="15"/>
    </row>
    <row r="528" ht="22.5" customHeight="1">
      <c r="A528" s="15"/>
      <c r="B528" s="15"/>
      <c r="C528" s="15"/>
      <c r="D528" s="15"/>
      <c r="E528" s="15"/>
    </row>
    <row r="529" ht="22.5" customHeight="1">
      <c r="A529" s="15"/>
      <c r="B529" s="15"/>
      <c r="C529" s="15"/>
      <c r="D529" s="15"/>
      <c r="E529" s="15"/>
    </row>
    <row r="530" ht="22.5" customHeight="1">
      <c r="A530" s="15"/>
      <c r="B530" s="15"/>
      <c r="C530" s="15"/>
      <c r="D530" s="15"/>
      <c r="E530" s="15"/>
    </row>
    <row r="531" ht="22.5" customHeight="1">
      <c r="A531" s="15"/>
      <c r="B531" s="15"/>
      <c r="C531" s="15"/>
      <c r="D531" s="15"/>
      <c r="E531" s="15"/>
    </row>
    <row r="532" ht="22.5" customHeight="1">
      <c r="A532" s="15"/>
      <c r="B532" s="15"/>
      <c r="C532" s="15"/>
      <c r="D532" s="15"/>
      <c r="E532" s="15"/>
    </row>
    <row r="533" ht="22.5" customHeight="1">
      <c r="A533" s="15"/>
      <c r="B533" s="15"/>
      <c r="C533" s="15"/>
      <c r="D533" s="15"/>
      <c r="E533" s="15"/>
    </row>
    <row r="534" ht="22.5" customHeight="1">
      <c r="A534" s="15"/>
      <c r="B534" s="15"/>
      <c r="C534" s="15"/>
      <c r="D534" s="15"/>
      <c r="E534" s="15"/>
    </row>
    <row r="535" ht="22.5" customHeight="1">
      <c r="A535" s="15"/>
      <c r="B535" s="15"/>
      <c r="C535" s="15"/>
      <c r="D535" s="15"/>
      <c r="E535" s="15"/>
    </row>
    <row r="536" ht="22.5" customHeight="1">
      <c r="A536" s="15"/>
      <c r="B536" s="15"/>
      <c r="C536" s="15"/>
      <c r="D536" s="15"/>
      <c r="E536" s="15"/>
    </row>
    <row r="537" ht="22.5" customHeight="1">
      <c r="A537" s="15"/>
      <c r="B537" s="15"/>
      <c r="C537" s="15"/>
      <c r="D537" s="15"/>
      <c r="E537" s="15"/>
    </row>
    <row r="538" ht="22.5" customHeight="1">
      <c r="A538" s="15"/>
      <c r="B538" s="15"/>
      <c r="C538" s="15"/>
      <c r="D538" s="15"/>
      <c r="E538" s="15"/>
    </row>
    <row r="539" ht="22.5" customHeight="1">
      <c r="A539" s="15"/>
      <c r="B539" s="15"/>
      <c r="C539" s="15"/>
      <c r="D539" s="15"/>
      <c r="E539" s="15"/>
    </row>
    <row r="540" ht="22.5" customHeight="1">
      <c r="A540" s="15"/>
      <c r="B540" s="15"/>
      <c r="C540" s="15"/>
      <c r="D540" s="15"/>
      <c r="E540" s="15"/>
    </row>
    <row r="541" ht="22.5" customHeight="1">
      <c r="A541" s="15"/>
      <c r="B541" s="15"/>
      <c r="C541" s="15"/>
      <c r="D541" s="15"/>
      <c r="E541" s="15"/>
    </row>
    <row r="542" ht="22.5" customHeight="1">
      <c r="A542" s="15"/>
      <c r="B542" s="15"/>
      <c r="C542" s="15"/>
      <c r="D542" s="15"/>
      <c r="E542" s="15"/>
    </row>
    <row r="543" ht="22.5" customHeight="1">
      <c r="A543" s="15"/>
      <c r="B543" s="15"/>
      <c r="C543" s="15"/>
      <c r="D543" s="15"/>
      <c r="E543" s="15"/>
    </row>
    <row r="544" ht="22.5" customHeight="1">
      <c r="A544" s="15"/>
      <c r="B544" s="15"/>
      <c r="C544" s="15"/>
      <c r="D544" s="15"/>
      <c r="E544" s="15"/>
    </row>
    <row r="545" ht="22.5" customHeight="1">
      <c r="A545" s="15"/>
      <c r="B545" s="15"/>
      <c r="C545" s="15"/>
      <c r="D545" s="15"/>
      <c r="E545" s="15"/>
    </row>
    <row r="546" ht="22.5" customHeight="1">
      <c r="A546" s="15"/>
      <c r="B546" s="15"/>
      <c r="C546" s="15"/>
      <c r="D546" s="15"/>
      <c r="E546" s="15"/>
    </row>
    <row r="547" ht="22.5" customHeight="1">
      <c r="A547" s="15"/>
      <c r="B547" s="15"/>
      <c r="C547" s="15"/>
      <c r="D547" s="15"/>
      <c r="E547" s="15"/>
    </row>
    <row r="548" ht="22.5" customHeight="1">
      <c r="A548" s="15"/>
      <c r="B548" s="15"/>
      <c r="C548" s="15"/>
      <c r="D548" s="15"/>
      <c r="E548" s="15"/>
    </row>
    <row r="549" ht="22.5" customHeight="1">
      <c r="A549" s="15"/>
      <c r="B549" s="15"/>
      <c r="C549" s="15"/>
      <c r="D549" s="15"/>
      <c r="E549" s="15"/>
    </row>
    <row r="550" ht="22.5" customHeight="1">
      <c r="A550" s="15"/>
      <c r="B550" s="15"/>
      <c r="C550" s="15"/>
      <c r="D550" s="15"/>
      <c r="E550" s="15"/>
    </row>
    <row r="551" ht="22.5" customHeight="1">
      <c r="A551" s="15"/>
      <c r="B551" s="15"/>
      <c r="C551" s="15"/>
      <c r="D551" s="15"/>
      <c r="E551" s="15"/>
    </row>
    <row r="552" ht="22.5" customHeight="1">
      <c r="A552" s="15"/>
      <c r="B552" s="15"/>
      <c r="C552" s="15"/>
      <c r="D552" s="15"/>
      <c r="E552" s="15"/>
    </row>
    <row r="553" ht="22.5" customHeight="1">
      <c r="A553" s="15"/>
      <c r="B553" s="15"/>
      <c r="C553" s="15"/>
      <c r="D553" s="15"/>
      <c r="E553" s="15"/>
    </row>
    <row r="554" ht="22.5" customHeight="1">
      <c r="A554" s="15"/>
      <c r="B554" s="15"/>
      <c r="C554" s="15"/>
      <c r="D554" s="15"/>
      <c r="E554" s="15"/>
    </row>
    <row r="555" ht="22.5" customHeight="1">
      <c r="A555" s="15"/>
      <c r="B555" s="15"/>
      <c r="C555" s="15"/>
      <c r="D555" s="15"/>
      <c r="E555" s="15"/>
    </row>
    <row r="556" ht="22.5" customHeight="1">
      <c r="A556" s="15"/>
      <c r="B556" s="15"/>
      <c r="C556" s="15"/>
      <c r="D556" s="15"/>
      <c r="E556" s="15"/>
    </row>
    <row r="557" ht="22.5" customHeight="1">
      <c r="A557" s="15"/>
      <c r="B557" s="15"/>
      <c r="C557" s="15"/>
      <c r="D557" s="15"/>
      <c r="E557" s="15"/>
    </row>
    <row r="558" ht="22.5" customHeight="1">
      <c r="A558" s="15"/>
      <c r="B558" s="15"/>
      <c r="C558" s="15"/>
      <c r="D558" s="15"/>
      <c r="E558" s="15"/>
    </row>
    <row r="559" ht="22.5" customHeight="1">
      <c r="A559" s="15"/>
      <c r="B559" s="15"/>
      <c r="C559" s="15"/>
      <c r="D559" s="15"/>
      <c r="E559" s="15"/>
    </row>
    <row r="560" ht="22.5" customHeight="1">
      <c r="A560" s="15"/>
      <c r="B560" s="15"/>
      <c r="C560" s="15"/>
      <c r="D560" s="15"/>
      <c r="E560" s="15"/>
    </row>
    <row r="561" ht="22.5" customHeight="1">
      <c r="A561" s="15"/>
      <c r="B561" s="15"/>
      <c r="C561" s="15"/>
      <c r="D561" s="15"/>
      <c r="E561" s="15"/>
    </row>
    <row r="562" ht="22.5" customHeight="1">
      <c r="A562" s="15"/>
      <c r="B562" s="15"/>
      <c r="C562" s="15"/>
      <c r="D562" s="15"/>
      <c r="E562" s="15"/>
    </row>
    <row r="563" ht="22.5" customHeight="1">
      <c r="A563" s="15"/>
      <c r="B563" s="15"/>
      <c r="C563" s="15"/>
      <c r="D563" s="15"/>
      <c r="E563" s="15"/>
    </row>
    <row r="564" ht="22.5" customHeight="1">
      <c r="A564" s="15"/>
      <c r="B564" s="15"/>
      <c r="C564" s="15"/>
      <c r="D564" s="15"/>
      <c r="E564" s="15"/>
    </row>
    <row r="565" ht="22.5" customHeight="1">
      <c r="A565" s="15"/>
      <c r="B565" s="15"/>
      <c r="C565" s="15"/>
      <c r="D565" s="15"/>
      <c r="E565" s="15"/>
    </row>
    <row r="566" ht="22.5" customHeight="1">
      <c r="A566" s="15"/>
      <c r="B566" s="15"/>
      <c r="C566" s="15"/>
      <c r="D566" s="15"/>
      <c r="E566" s="15"/>
    </row>
    <row r="567" ht="22.5" customHeight="1">
      <c r="A567" s="15"/>
      <c r="B567" s="15"/>
      <c r="C567" s="15"/>
      <c r="D567" s="15"/>
      <c r="E567" s="15"/>
    </row>
    <row r="568" ht="22.5" customHeight="1">
      <c r="A568" s="15"/>
      <c r="B568" s="15"/>
      <c r="C568" s="15"/>
      <c r="D568" s="15"/>
      <c r="E568" s="15"/>
    </row>
    <row r="569" ht="22.5" customHeight="1">
      <c r="A569" s="15"/>
      <c r="B569" s="15"/>
      <c r="C569" s="15"/>
      <c r="D569" s="15"/>
      <c r="E569" s="15"/>
    </row>
    <row r="570" ht="22.5" customHeight="1">
      <c r="A570" s="15"/>
      <c r="B570" s="15"/>
      <c r="C570" s="15"/>
      <c r="D570" s="15"/>
      <c r="E570" s="15"/>
    </row>
    <row r="571" ht="22.5" customHeight="1">
      <c r="A571" s="15"/>
      <c r="B571" s="15"/>
      <c r="C571" s="15"/>
      <c r="D571" s="15"/>
      <c r="E571" s="15"/>
    </row>
    <row r="572" ht="22.5" customHeight="1">
      <c r="A572" s="15"/>
      <c r="B572" s="15"/>
      <c r="C572" s="15"/>
      <c r="D572" s="15"/>
      <c r="E572" s="15"/>
    </row>
    <row r="573" ht="22.5" customHeight="1">
      <c r="A573" s="15"/>
      <c r="B573" s="15"/>
      <c r="C573" s="15"/>
      <c r="D573" s="15"/>
      <c r="E573" s="15"/>
    </row>
    <row r="574" ht="22.5" customHeight="1">
      <c r="A574" s="15"/>
      <c r="B574" s="15"/>
      <c r="C574" s="15"/>
      <c r="D574" s="15"/>
      <c r="E574" s="15"/>
    </row>
    <row r="575" ht="22.5" customHeight="1">
      <c r="A575" s="15"/>
      <c r="B575" s="15"/>
      <c r="C575" s="15"/>
      <c r="D575" s="15"/>
      <c r="E575" s="15"/>
    </row>
    <row r="576" ht="22.5" customHeight="1">
      <c r="A576" s="15"/>
      <c r="B576" s="15"/>
      <c r="C576" s="15"/>
      <c r="D576" s="15"/>
      <c r="E576" s="15"/>
    </row>
    <row r="577" ht="22.5" customHeight="1">
      <c r="A577" s="15"/>
      <c r="B577" s="15"/>
      <c r="C577" s="15"/>
      <c r="D577" s="15"/>
      <c r="E577" s="15"/>
    </row>
    <row r="578" ht="22.5" customHeight="1">
      <c r="A578" s="15"/>
      <c r="B578" s="15"/>
      <c r="C578" s="15"/>
      <c r="D578" s="15"/>
      <c r="E578" s="15"/>
    </row>
    <row r="579" ht="22.5" customHeight="1">
      <c r="A579" s="15"/>
      <c r="B579" s="15"/>
      <c r="C579" s="15"/>
      <c r="D579" s="15"/>
      <c r="E579" s="15"/>
    </row>
    <row r="580" ht="22.5" customHeight="1">
      <c r="A580" s="15"/>
      <c r="B580" s="15"/>
      <c r="C580" s="15"/>
      <c r="D580" s="15"/>
      <c r="E580" s="15"/>
    </row>
    <row r="581" ht="22.5" customHeight="1">
      <c r="A581" s="15"/>
      <c r="B581" s="15"/>
      <c r="C581" s="15"/>
      <c r="D581" s="15"/>
      <c r="E581" s="15"/>
    </row>
    <row r="582" ht="22.5" customHeight="1">
      <c r="A582" s="15"/>
      <c r="B582" s="15"/>
      <c r="C582" s="15"/>
      <c r="D582" s="15"/>
      <c r="E582" s="15"/>
    </row>
    <row r="583" ht="22.5" customHeight="1">
      <c r="A583" s="15"/>
      <c r="B583" s="15"/>
      <c r="C583" s="15"/>
      <c r="D583" s="15"/>
      <c r="E583" s="15"/>
    </row>
    <row r="584" ht="22.5" customHeight="1">
      <c r="A584" s="15"/>
      <c r="B584" s="15"/>
      <c r="C584" s="15"/>
      <c r="D584" s="15"/>
      <c r="E584" s="15"/>
    </row>
    <row r="585" ht="22.5" customHeight="1">
      <c r="A585" s="15"/>
      <c r="B585" s="15"/>
      <c r="C585" s="15"/>
      <c r="D585" s="15"/>
      <c r="E585" s="15"/>
    </row>
    <row r="586" ht="22.5" customHeight="1">
      <c r="A586" s="15"/>
      <c r="B586" s="15"/>
      <c r="C586" s="15"/>
      <c r="D586" s="15"/>
      <c r="E586" s="15"/>
    </row>
    <row r="587" ht="22.5" customHeight="1">
      <c r="A587" s="15"/>
      <c r="B587" s="15"/>
      <c r="C587" s="15"/>
      <c r="D587" s="15"/>
      <c r="E587" s="15"/>
    </row>
    <row r="588" ht="22.5" customHeight="1">
      <c r="A588" s="15"/>
      <c r="B588" s="15"/>
      <c r="C588" s="15"/>
      <c r="D588" s="15"/>
      <c r="E588" s="15"/>
    </row>
    <row r="589" ht="22.5" customHeight="1">
      <c r="A589" s="15"/>
      <c r="B589" s="15"/>
      <c r="C589" s="15"/>
      <c r="D589" s="15"/>
      <c r="E589" s="15"/>
    </row>
    <row r="590" ht="22.5" customHeight="1">
      <c r="A590" s="15"/>
      <c r="B590" s="15"/>
      <c r="C590" s="15"/>
      <c r="D590" s="15"/>
      <c r="E590" s="15"/>
    </row>
    <row r="591" ht="22.5" customHeight="1">
      <c r="A591" s="15"/>
      <c r="B591" s="15"/>
      <c r="C591" s="15"/>
      <c r="D591" s="15"/>
      <c r="E591" s="15"/>
    </row>
    <row r="592" ht="22.5" customHeight="1">
      <c r="A592" s="15"/>
      <c r="B592" s="15"/>
      <c r="C592" s="15"/>
      <c r="D592" s="15"/>
      <c r="E592" s="15"/>
    </row>
    <row r="593" ht="22.5" customHeight="1">
      <c r="A593" s="15"/>
      <c r="B593" s="15"/>
      <c r="C593" s="15"/>
      <c r="D593" s="15"/>
      <c r="E593" s="15"/>
    </row>
    <row r="594" ht="22.5" customHeight="1">
      <c r="A594" s="15"/>
      <c r="B594" s="15"/>
      <c r="C594" s="15"/>
      <c r="D594" s="15"/>
      <c r="E594" s="15"/>
    </row>
    <row r="595" ht="22.5" customHeight="1">
      <c r="A595" s="15"/>
      <c r="B595" s="15"/>
      <c r="C595" s="15"/>
      <c r="D595" s="15"/>
      <c r="E595" s="15"/>
    </row>
    <row r="596" ht="22.5" customHeight="1">
      <c r="A596" s="15"/>
      <c r="B596" s="15"/>
      <c r="C596" s="15"/>
      <c r="D596" s="15"/>
      <c r="E596" s="15"/>
    </row>
    <row r="597" ht="22.5" customHeight="1">
      <c r="A597" s="15"/>
      <c r="B597" s="15"/>
      <c r="C597" s="15"/>
      <c r="D597" s="15"/>
      <c r="E597" s="15"/>
    </row>
    <row r="598" ht="22.5" customHeight="1">
      <c r="A598" s="15"/>
      <c r="B598" s="15"/>
      <c r="C598" s="15"/>
      <c r="D598" s="15"/>
      <c r="E598" s="15"/>
    </row>
    <row r="599" ht="22.5" customHeight="1">
      <c r="A599" s="15"/>
      <c r="B599" s="15"/>
      <c r="C599" s="15"/>
      <c r="D599" s="15"/>
      <c r="E599" s="15"/>
    </row>
    <row r="600" ht="22.5" customHeight="1">
      <c r="A600" s="15"/>
      <c r="B600" s="15"/>
      <c r="C600" s="15"/>
      <c r="D600" s="15"/>
      <c r="E600" s="15"/>
    </row>
    <row r="601" ht="22.5" customHeight="1">
      <c r="A601" s="15"/>
      <c r="B601" s="15"/>
      <c r="C601" s="15"/>
      <c r="D601" s="15"/>
      <c r="E601" s="15"/>
    </row>
    <row r="602" ht="22.5" customHeight="1">
      <c r="A602" s="15"/>
      <c r="B602" s="15"/>
      <c r="C602" s="15"/>
      <c r="D602" s="15"/>
      <c r="E602" s="15"/>
    </row>
    <row r="603" ht="22.5" customHeight="1">
      <c r="A603" s="15"/>
      <c r="B603" s="15"/>
      <c r="C603" s="15"/>
      <c r="D603" s="15"/>
      <c r="E603" s="15"/>
    </row>
    <row r="604" ht="22.5" customHeight="1">
      <c r="A604" s="15"/>
      <c r="B604" s="15"/>
      <c r="C604" s="15"/>
      <c r="D604" s="15"/>
      <c r="E604" s="15"/>
    </row>
    <row r="605" ht="22.5" customHeight="1">
      <c r="A605" s="15"/>
      <c r="B605" s="15"/>
      <c r="C605" s="15"/>
      <c r="D605" s="15"/>
      <c r="E605" s="15"/>
    </row>
    <row r="606" ht="22.5" customHeight="1">
      <c r="A606" s="15"/>
      <c r="B606" s="15"/>
      <c r="C606" s="15"/>
      <c r="D606" s="15"/>
      <c r="E606" s="15"/>
    </row>
    <row r="607" ht="22.5" customHeight="1">
      <c r="A607" s="15"/>
      <c r="B607" s="15"/>
      <c r="C607" s="15"/>
      <c r="D607" s="15"/>
      <c r="E607" s="15"/>
    </row>
    <row r="608" ht="22.5" customHeight="1">
      <c r="A608" s="15"/>
      <c r="B608" s="15"/>
      <c r="C608" s="15"/>
      <c r="D608" s="15"/>
      <c r="E608" s="15"/>
    </row>
    <row r="609" ht="22.5" customHeight="1">
      <c r="A609" s="15"/>
      <c r="B609" s="15"/>
      <c r="C609" s="15"/>
      <c r="D609" s="15"/>
      <c r="E609" s="15"/>
    </row>
    <row r="610" ht="22.5" customHeight="1">
      <c r="A610" s="15"/>
      <c r="B610" s="15"/>
      <c r="C610" s="15"/>
      <c r="D610" s="15"/>
      <c r="E610" s="15"/>
    </row>
    <row r="611" ht="22.5" customHeight="1">
      <c r="A611" s="15"/>
      <c r="B611" s="15"/>
      <c r="C611" s="15"/>
      <c r="D611" s="15"/>
      <c r="E611" s="15"/>
    </row>
    <row r="612" ht="22.5" customHeight="1">
      <c r="A612" s="15"/>
      <c r="B612" s="15"/>
      <c r="C612" s="15"/>
      <c r="D612" s="15"/>
      <c r="E612" s="15"/>
    </row>
    <row r="613" ht="22.5" customHeight="1">
      <c r="A613" s="15"/>
      <c r="B613" s="15"/>
      <c r="C613" s="15"/>
      <c r="D613" s="15"/>
      <c r="E613" s="15"/>
    </row>
    <row r="614" ht="22.5" customHeight="1">
      <c r="A614" s="15"/>
      <c r="B614" s="15"/>
      <c r="C614" s="15"/>
      <c r="D614" s="15"/>
      <c r="E614" s="15"/>
    </row>
    <row r="615" ht="22.5" customHeight="1">
      <c r="A615" s="15"/>
      <c r="B615" s="15"/>
      <c r="C615" s="15"/>
      <c r="D615" s="15"/>
      <c r="E615" s="15"/>
    </row>
    <row r="616" ht="22.5" customHeight="1">
      <c r="A616" s="15"/>
      <c r="B616" s="15"/>
      <c r="C616" s="15"/>
      <c r="D616" s="15"/>
      <c r="E616" s="15"/>
    </row>
    <row r="617" ht="22.5" customHeight="1">
      <c r="A617" s="15"/>
      <c r="B617" s="15"/>
      <c r="C617" s="15"/>
      <c r="D617" s="15"/>
      <c r="E617" s="15"/>
    </row>
    <row r="618" ht="22.5" customHeight="1">
      <c r="A618" s="15"/>
      <c r="B618" s="15"/>
      <c r="C618" s="15"/>
      <c r="D618" s="15"/>
      <c r="E618" s="15"/>
    </row>
    <row r="619" ht="22.5" customHeight="1">
      <c r="A619" s="15"/>
      <c r="B619" s="15"/>
      <c r="C619" s="15"/>
      <c r="D619" s="15"/>
      <c r="E619" s="15"/>
    </row>
    <row r="620" ht="22.5" customHeight="1">
      <c r="A620" s="15"/>
      <c r="B620" s="15"/>
      <c r="C620" s="15"/>
      <c r="D620" s="15"/>
      <c r="E620" s="15"/>
    </row>
    <row r="621" ht="22.5" customHeight="1">
      <c r="A621" s="15"/>
      <c r="B621" s="15"/>
      <c r="C621" s="15"/>
      <c r="D621" s="15"/>
      <c r="E621" s="15"/>
    </row>
    <row r="622" ht="22.5" customHeight="1">
      <c r="A622" s="15"/>
      <c r="B622" s="15"/>
      <c r="C622" s="15"/>
      <c r="D622" s="15"/>
      <c r="E622" s="15"/>
    </row>
    <row r="623" ht="22.5" customHeight="1">
      <c r="A623" s="15"/>
      <c r="B623" s="15"/>
      <c r="C623" s="15"/>
      <c r="D623" s="15"/>
      <c r="E623" s="15"/>
    </row>
    <row r="624" ht="22.5" customHeight="1">
      <c r="A624" s="15"/>
      <c r="B624" s="15"/>
      <c r="C624" s="15"/>
      <c r="D624" s="15"/>
      <c r="E624" s="15"/>
    </row>
    <row r="625" ht="22.5" customHeight="1">
      <c r="A625" s="15"/>
      <c r="B625" s="15"/>
      <c r="C625" s="15"/>
      <c r="D625" s="15"/>
      <c r="E625" s="15"/>
    </row>
    <row r="626" ht="22.5" customHeight="1">
      <c r="A626" s="15"/>
      <c r="B626" s="15"/>
      <c r="C626" s="15"/>
      <c r="D626" s="15"/>
      <c r="E626" s="15"/>
    </row>
    <row r="627" ht="22.5" customHeight="1">
      <c r="A627" s="15"/>
      <c r="B627" s="15"/>
      <c r="C627" s="15"/>
      <c r="D627" s="15"/>
      <c r="E627" s="15"/>
    </row>
    <row r="628" ht="22.5" customHeight="1">
      <c r="A628" s="15"/>
      <c r="B628" s="15"/>
      <c r="C628" s="15"/>
      <c r="D628" s="15"/>
      <c r="E628" s="15"/>
    </row>
    <row r="629" ht="22.5" customHeight="1">
      <c r="A629" s="15"/>
      <c r="B629" s="15"/>
      <c r="C629" s="15"/>
      <c r="D629" s="15"/>
      <c r="E629" s="15"/>
    </row>
    <row r="630" ht="22.5" customHeight="1">
      <c r="A630" s="15"/>
      <c r="B630" s="15"/>
      <c r="C630" s="15"/>
      <c r="D630" s="15"/>
      <c r="E630" s="15"/>
    </row>
    <row r="631" ht="22.5" customHeight="1">
      <c r="A631" s="15"/>
      <c r="B631" s="15"/>
      <c r="C631" s="15"/>
      <c r="D631" s="15"/>
      <c r="E631" s="15"/>
    </row>
    <row r="632" ht="22.5" customHeight="1">
      <c r="A632" s="15"/>
      <c r="B632" s="15"/>
      <c r="C632" s="15"/>
      <c r="D632" s="15"/>
      <c r="E632" s="15"/>
    </row>
    <row r="633" ht="22.5" customHeight="1">
      <c r="A633" s="15"/>
      <c r="B633" s="15"/>
      <c r="C633" s="15"/>
      <c r="D633" s="15"/>
      <c r="E633" s="15"/>
    </row>
    <row r="634" ht="22.5" customHeight="1">
      <c r="A634" s="15"/>
      <c r="B634" s="15"/>
      <c r="C634" s="15"/>
      <c r="D634" s="15"/>
      <c r="E634" s="15"/>
    </row>
    <row r="635" ht="22.5" customHeight="1">
      <c r="A635" s="15"/>
      <c r="B635" s="15"/>
      <c r="C635" s="15"/>
      <c r="D635" s="15"/>
      <c r="E635" s="15"/>
    </row>
    <row r="636" ht="22.5" customHeight="1">
      <c r="A636" s="15"/>
      <c r="B636" s="15"/>
      <c r="C636" s="15"/>
      <c r="D636" s="15"/>
      <c r="E636" s="15"/>
    </row>
    <row r="637" ht="22.5" customHeight="1">
      <c r="A637" s="15"/>
      <c r="B637" s="15"/>
      <c r="C637" s="15"/>
      <c r="D637" s="15"/>
      <c r="E637" s="15"/>
    </row>
    <row r="638" ht="22.5" customHeight="1">
      <c r="A638" s="15"/>
      <c r="B638" s="15"/>
      <c r="C638" s="15"/>
      <c r="D638" s="15"/>
      <c r="E638" s="15"/>
    </row>
    <row r="639" ht="22.5" customHeight="1">
      <c r="A639" s="15"/>
      <c r="B639" s="15"/>
      <c r="C639" s="15"/>
      <c r="D639" s="15"/>
      <c r="E639" s="15"/>
    </row>
    <row r="640" ht="22.5" customHeight="1">
      <c r="A640" s="15"/>
      <c r="B640" s="15"/>
      <c r="C640" s="15"/>
      <c r="D640" s="15"/>
      <c r="E640" s="15"/>
    </row>
    <row r="641" ht="22.5" customHeight="1">
      <c r="A641" s="15"/>
      <c r="B641" s="15"/>
      <c r="C641" s="15"/>
      <c r="D641" s="15"/>
      <c r="E641" s="15"/>
    </row>
    <row r="642" ht="22.5" customHeight="1">
      <c r="A642" s="15"/>
      <c r="B642" s="15"/>
      <c r="C642" s="15"/>
      <c r="D642" s="15"/>
      <c r="E642" s="15"/>
    </row>
    <row r="643" ht="22.5" customHeight="1">
      <c r="A643" s="15"/>
      <c r="B643" s="15"/>
      <c r="C643" s="15"/>
      <c r="D643" s="15"/>
      <c r="E643" s="15"/>
    </row>
    <row r="644" ht="22.5" customHeight="1">
      <c r="A644" s="15"/>
      <c r="B644" s="15"/>
      <c r="C644" s="15"/>
      <c r="D644" s="15"/>
      <c r="E644" s="15"/>
    </row>
    <row r="645" ht="22.5" customHeight="1">
      <c r="A645" s="15"/>
      <c r="B645" s="15"/>
      <c r="C645" s="15"/>
      <c r="D645" s="15"/>
      <c r="E645" s="15"/>
    </row>
    <row r="646" ht="22.5" customHeight="1">
      <c r="A646" s="15"/>
      <c r="B646" s="15"/>
      <c r="C646" s="15"/>
      <c r="D646" s="15"/>
      <c r="E646" s="15"/>
    </row>
    <row r="647" ht="22.5" customHeight="1">
      <c r="A647" s="15"/>
      <c r="B647" s="15"/>
      <c r="C647" s="15"/>
      <c r="D647" s="15"/>
      <c r="E647" s="15"/>
    </row>
    <row r="648" ht="22.5" customHeight="1">
      <c r="A648" s="15"/>
      <c r="B648" s="15"/>
      <c r="C648" s="15"/>
      <c r="D648" s="15"/>
      <c r="E648" s="15"/>
    </row>
    <row r="649" ht="22.5" customHeight="1">
      <c r="A649" s="15"/>
      <c r="B649" s="15"/>
      <c r="C649" s="15"/>
      <c r="D649" s="15"/>
      <c r="E649" s="15"/>
    </row>
    <row r="650" ht="22.5" customHeight="1">
      <c r="A650" s="15"/>
      <c r="B650" s="15"/>
      <c r="C650" s="15"/>
      <c r="D650" s="15"/>
      <c r="E650" s="15"/>
    </row>
    <row r="651" ht="22.5" customHeight="1">
      <c r="A651" s="15"/>
      <c r="B651" s="15"/>
      <c r="C651" s="15"/>
      <c r="D651" s="15"/>
      <c r="E651" s="15"/>
    </row>
    <row r="652" ht="22.5" customHeight="1">
      <c r="A652" s="15"/>
      <c r="B652" s="15"/>
      <c r="C652" s="15"/>
      <c r="D652" s="15"/>
      <c r="E652" s="15"/>
    </row>
    <row r="653" ht="22.5" customHeight="1">
      <c r="A653" s="15"/>
      <c r="B653" s="15"/>
      <c r="C653" s="15"/>
      <c r="D653" s="15"/>
      <c r="E653" s="15"/>
    </row>
    <row r="654" ht="22.5" customHeight="1">
      <c r="A654" s="15"/>
      <c r="B654" s="15"/>
      <c r="C654" s="15"/>
      <c r="D654" s="15"/>
      <c r="E654" s="15"/>
    </row>
    <row r="655" ht="22.5" customHeight="1">
      <c r="A655" s="15"/>
      <c r="B655" s="15"/>
      <c r="C655" s="15"/>
      <c r="D655" s="15"/>
      <c r="E655" s="15"/>
    </row>
    <row r="656" ht="22.5" customHeight="1">
      <c r="A656" s="15"/>
      <c r="B656" s="15"/>
      <c r="C656" s="15"/>
      <c r="D656" s="15"/>
      <c r="E656" s="15"/>
    </row>
    <row r="657" ht="22.5" customHeight="1">
      <c r="A657" s="15"/>
      <c r="B657" s="15"/>
      <c r="C657" s="15"/>
      <c r="D657" s="15"/>
      <c r="E657" s="15"/>
    </row>
    <row r="658" ht="22.5" customHeight="1">
      <c r="A658" s="15"/>
      <c r="B658" s="15"/>
      <c r="C658" s="15"/>
      <c r="D658" s="15"/>
      <c r="E658" s="15"/>
    </row>
    <row r="659" ht="22.5" customHeight="1">
      <c r="A659" s="15"/>
      <c r="B659" s="15"/>
      <c r="C659" s="15"/>
      <c r="D659" s="15"/>
      <c r="E659" s="15"/>
    </row>
    <row r="660" ht="22.5" customHeight="1">
      <c r="A660" s="15"/>
      <c r="B660" s="15"/>
      <c r="C660" s="15"/>
      <c r="D660" s="15"/>
      <c r="E660" s="15"/>
    </row>
    <row r="661" ht="22.5" customHeight="1">
      <c r="A661" s="15"/>
      <c r="B661" s="15"/>
      <c r="C661" s="15"/>
      <c r="D661" s="15"/>
      <c r="E661" s="15"/>
    </row>
    <row r="662" ht="22.5" customHeight="1">
      <c r="A662" s="15"/>
      <c r="B662" s="15"/>
      <c r="C662" s="15"/>
      <c r="D662" s="15"/>
      <c r="E662" s="15"/>
    </row>
    <row r="663" ht="22.5" customHeight="1">
      <c r="A663" s="15"/>
      <c r="B663" s="15"/>
      <c r="C663" s="15"/>
      <c r="D663" s="15"/>
      <c r="E663" s="15"/>
    </row>
    <row r="664" ht="22.5" customHeight="1">
      <c r="A664" s="15"/>
      <c r="B664" s="15"/>
      <c r="C664" s="15"/>
      <c r="D664" s="15"/>
      <c r="E664" s="15"/>
    </row>
    <row r="665" ht="22.5" customHeight="1">
      <c r="A665" s="15"/>
      <c r="B665" s="15"/>
      <c r="C665" s="15"/>
      <c r="D665" s="15"/>
      <c r="E665" s="15"/>
    </row>
    <row r="666" ht="22.5" customHeight="1">
      <c r="A666" s="15"/>
      <c r="B666" s="15"/>
      <c r="C666" s="15"/>
      <c r="D666" s="15"/>
      <c r="E666" s="15"/>
    </row>
    <row r="667" ht="22.5" customHeight="1">
      <c r="A667" s="15"/>
      <c r="B667" s="15"/>
      <c r="C667" s="15"/>
      <c r="D667" s="15"/>
      <c r="E667" s="15"/>
    </row>
    <row r="668" ht="22.5" customHeight="1">
      <c r="A668" s="15"/>
      <c r="B668" s="15"/>
      <c r="C668" s="15"/>
      <c r="D668" s="15"/>
      <c r="E668" s="15"/>
    </row>
    <row r="669" ht="22.5" customHeight="1">
      <c r="A669" s="15"/>
      <c r="B669" s="15"/>
      <c r="C669" s="15"/>
      <c r="D669" s="15"/>
      <c r="E669" s="15"/>
    </row>
    <row r="670" ht="22.5" customHeight="1">
      <c r="A670" s="15"/>
      <c r="B670" s="15"/>
      <c r="C670" s="15"/>
      <c r="D670" s="15"/>
      <c r="E670" s="15"/>
    </row>
    <row r="671" ht="22.5" customHeight="1">
      <c r="A671" s="15"/>
      <c r="B671" s="15"/>
      <c r="C671" s="15"/>
      <c r="D671" s="15"/>
      <c r="E671" s="15"/>
    </row>
    <row r="672" ht="22.5" customHeight="1">
      <c r="A672" s="15"/>
      <c r="B672" s="15"/>
      <c r="C672" s="15"/>
      <c r="D672" s="15"/>
      <c r="E672" s="15"/>
    </row>
    <row r="673" ht="22.5" customHeight="1">
      <c r="A673" s="15"/>
      <c r="B673" s="15"/>
      <c r="C673" s="15"/>
      <c r="D673" s="15"/>
      <c r="E673" s="15"/>
    </row>
    <row r="674" ht="22.5" customHeight="1">
      <c r="A674" s="15"/>
      <c r="B674" s="15"/>
      <c r="C674" s="15"/>
      <c r="D674" s="15"/>
      <c r="E674" s="15"/>
    </row>
    <row r="675" ht="22.5" customHeight="1">
      <c r="A675" s="15"/>
      <c r="B675" s="15"/>
      <c r="C675" s="15"/>
      <c r="D675" s="15"/>
      <c r="E675" s="15"/>
    </row>
    <row r="676" ht="22.5" customHeight="1">
      <c r="A676" s="15"/>
      <c r="B676" s="15"/>
      <c r="C676" s="15"/>
      <c r="D676" s="15"/>
      <c r="E676" s="15"/>
    </row>
    <row r="677" ht="22.5" customHeight="1">
      <c r="A677" s="15"/>
      <c r="B677" s="15"/>
      <c r="C677" s="15"/>
      <c r="D677" s="15"/>
      <c r="E677" s="15"/>
    </row>
    <row r="678" ht="22.5" customHeight="1">
      <c r="A678" s="15"/>
      <c r="B678" s="15"/>
      <c r="C678" s="15"/>
      <c r="D678" s="15"/>
      <c r="E678" s="15"/>
    </row>
    <row r="679" ht="22.5" customHeight="1">
      <c r="A679" s="15"/>
      <c r="B679" s="15"/>
      <c r="C679" s="15"/>
      <c r="D679" s="15"/>
      <c r="E679" s="15"/>
    </row>
    <row r="680" ht="22.5" customHeight="1">
      <c r="A680" s="15"/>
      <c r="B680" s="15"/>
      <c r="C680" s="15"/>
      <c r="D680" s="15"/>
      <c r="E680" s="15"/>
    </row>
    <row r="681" ht="22.5" customHeight="1">
      <c r="A681" s="15"/>
      <c r="B681" s="15"/>
      <c r="C681" s="15"/>
      <c r="D681" s="15"/>
      <c r="E681" s="15"/>
    </row>
    <row r="682" ht="22.5" customHeight="1">
      <c r="A682" s="15"/>
      <c r="B682" s="15"/>
      <c r="C682" s="15"/>
      <c r="D682" s="15"/>
      <c r="E682" s="15"/>
    </row>
    <row r="683" ht="22.5" customHeight="1">
      <c r="A683" s="15"/>
      <c r="B683" s="15"/>
      <c r="C683" s="15"/>
      <c r="D683" s="15"/>
      <c r="E683" s="15"/>
    </row>
    <row r="684" ht="22.5" customHeight="1">
      <c r="A684" s="15"/>
      <c r="B684" s="15"/>
      <c r="C684" s="15"/>
      <c r="D684" s="15"/>
      <c r="E684" s="15"/>
    </row>
    <row r="685" ht="22.5" customHeight="1">
      <c r="A685" s="15"/>
      <c r="B685" s="15"/>
      <c r="C685" s="15"/>
      <c r="D685" s="15"/>
      <c r="E685" s="15"/>
    </row>
    <row r="686" ht="22.5" customHeight="1">
      <c r="A686" s="15"/>
      <c r="B686" s="15"/>
      <c r="C686" s="15"/>
      <c r="D686" s="15"/>
      <c r="E686" s="15"/>
    </row>
    <row r="687" ht="22.5" customHeight="1">
      <c r="A687" s="15"/>
      <c r="B687" s="15"/>
      <c r="C687" s="15"/>
      <c r="D687" s="15"/>
      <c r="E687" s="15"/>
    </row>
    <row r="688" ht="22.5" customHeight="1">
      <c r="A688" s="15"/>
      <c r="B688" s="15"/>
      <c r="C688" s="15"/>
      <c r="D688" s="15"/>
      <c r="E688" s="15"/>
    </row>
    <row r="689" ht="22.5" customHeight="1">
      <c r="A689" s="15"/>
      <c r="B689" s="15"/>
      <c r="C689" s="15"/>
      <c r="D689" s="15"/>
      <c r="E689" s="15"/>
    </row>
    <row r="690" ht="22.5" customHeight="1">
      <c r="A690" s="15"/>
      <c r="B690" s="15"/>
      <c r="C690" s="15"/>
      <c r="D690" s="15"/>
      <c r="E690" s="15"/>
    </row>
    <row r="691" ht="22.5" customHeight="1">
      <c r="A691" s="15"/>
      <c r="B691" s="15"/>
      <c r="C691" s="15"/>
      <c r="D691" s="15"/>
      <c r="E691" s="15"/>
    </row>
    <row r="692" ht="22.5" customHeight="1">
      <c r="A692" s="15"/>
      <c r="B692" s="15"/>
      <c r="C692" s="15"/>
      <c r="D692" s="15"/>
      <c r="E692" s="15"/>
    </row>
    <row r="693" ht="22.5" customHeight="1">
      <c r="A693" s="15"/>
      <c r="B693" s="15"/>
      <c r="C693" s="15"/>
      <c r="D693" s="15"/>
      <c r="E693" s="15"/>
    </row>
    <row r="694" ht="22.5" customHeight="1">
      <c r="A694" s="15"/>
      <c r="B694" s="15"/>
      <c r="C694" s="15"/>
      <c r="D694" s="15"/>
      <c r="E694" s="15"/>
    </row>
    <row r="695" ht="22.5" customHeight="1">
      <c r="A695" s="15"/>
      <c r="B695" s="15"/>
      <c r="C695" s="15"/>
      <c r="D695" s="15"/>
      <c r="E695" s="15"/>
    </row>
    <row r="696" ht="22.5" customHeight="1">
      <c r="A696" s="15"/>
      <c r="B696" s="15"/>
      <c r="C696" s="15"/>
      <c r="D696" s="15"/>
      <c r="E696" s="15"/>
    </row>
    <row r="697" ht="22.5" customHeight="1">
      <c r="A697" s="15"/>
      <c r="B697" s="15"/>
      <c r="C697" s="15"/>
      <c r="D697" s="15"/>
      <c r="E697" s="15"/>
    </row>
    <row r="698" ht="22.5" customHeight="1">
      <c r="A698" s="15"/>
      <c r="B698" s="15"/>
      <c r="C698" s="15"/>
      <c r="D698" s="15"/>
      <c r="E698" s="15"/>
    </row>
    <row r="699" ht="22.5" customHeight="1">
      <c r="A699" s="15"/>
      <c r="B699" s="15"/>
      <c r="C699" s="15"/>
      <c r="D699" s="15"/>
      <c r="E699" s="15"/>
    </row>
    <row r="700" ht="22.5" customHeight="1">
      <c r="A700" s="15"/>
      <c r="B700" s="15"/>
      <c r="C700" s="15"/>
      <c r="D700" s="15"/>
      <c r="E700" s="15"/>
    </row>
    <row r="701" ht="22.5" customHeight="1">
      <c r="A701" s="15"/>
      <c r="B701" s="15"/>
      <c r="C701" s="15"/>
      <c r="D701" s="15"/>
      <c r="E701" s="15"/>
    </row>
    <row r="702" ht="22.5" customHeight="1">
      <c r="A702" s="15"/>
      <c r="B702" s="15"/>
      <c r="C702" s="15"/>
      <c r="D702" s="15"/>
      <c r="E702" s="15"/>
    </row>
    <row r="703" ht="22.5" customHeight="1">
      <c r="A703" s="15"/>
      <c r="B703" s="15"/>
      <c r="C703" s="15"/>
      <c r="D703" s="15"/>
      <c r="E703" s="15"/>
    </row>
    <row r="704" ht="22.5" customHeight="1">
      <c r="A704" s="15"/>
      <c r="B704" s="15"/>
      <c r="C704" s="15"/>
      <c r="D704" s="15"/>
      <c r="E704" s="15"/>
    </row>
    <row r="705" ht="22.5" customHeight="1">
      <c r="A705" s="15"/>
      <c r="B705" s="15"/>
      <c r="C705" s="15"/>
      <c r="D705" s="15"/>
      <c r="E705" s="15"/>
    </row>
    <row r="706" ht="22.5" customHeight="1">
      <c r="A706" s="15"/>
      <c r="B706" s="15"/>
      <c r="C706" s="15"/>
      <c r="D706" s="15"/>
      <c r="E706" s="15"/>
    </row>
    <row r="707" ht="22.5" customHeight="1">
      <c r="A707" s="15"/>
      <c r="B707" s="15"/>
      <c r="C707" s="15"/>
      <c r="D707" s="15"/>
      <c r="E707" s="15"/>
    </row>
    <row r="708" ht="22.5" customHeight="1">
      <c r="A708" s="15"/>
      <c r="B708" s="15"/>
      <c r="C708" s="15"/>
      <c r="D708" s="15"/>
      <c r="E708" s="15"/>
    </row>
    <row r="709" ht="22.5" customHeight="1">
      <c r="A709" s="15"/>
      <c r="B709" s="15"/>
      <c r="C709" s="15"/>
      <c r="D709" s="15"/>
      <c r="E709" s="15"/>
    </row>
    <row r="710" ht="22.5" customHeight="1">
      <c r="A710" s="15"/>
      <c r="B710" s="15"/>
      <c r="C710" s="15"/>
      <c r="D710" s="15"/>
      <c r="E710" s="15"/>
    </row>
    <row r="711" ht="22.5" customHeight="1">
      <c r="A711" s="15"/>
      <c r="B711" s="15"/>
      <c r="C711" s="15"/>
      <c r="D711" s="15"/>
      <c r="E711" s="15"/>
    </row>
    <row r="712" ht="22.5" customHeight="1">
      <c r="A712" s="15"/>
      <c r="B712" s="15"/>
      <c r="C712" s="15"/>
      <c r="D712" s="15"/>
      <c r="E712" s="15"/>
    </row>
    <row r="713" ht="22.5" customHeight="1">
      <c r="A713" s="15"/>
      <c r="B713" s="15"/>
      <c r="C713" s="15"/>
      <c r="D713" s="15"/>
      <c r="E713" s="15"/>
    </row>
    <row r="714" ht="22.5" customHeight="1">
      <c r="A714" s="15"/>
      <c r="B714" s="15"/>
      <c r="C714" s="15"/>
      <c r="D714" s="15"/>
      <c r="E714" s="15"/>
    </row>
    <row r="715" ht="22.5" customHeight="1">
      <c r="A715" s="15"/>
      <c r="B715" s="15"/>
      <c r="C715" s="15"/>
      <c r="D715" s="15"/>
      <c r="E715" s="15"/>
    </row>
    <row r="716" ht="22.5" customHeight="1">
      <c r="A716" s="15"/>
      <c r="B716" s="15"/>
      <c r="C716" s="15"/>
      <c r="D716" s="15"/>
      <c r="E716" s="15"/>
    </row>
    <row r="717" ht="22.5" customHeight="1">
      <c r="A717" s="15"/>
      <c r="B717" s="15"/>
      <c r="C717" s="15"/>
      <c r="D717" s="15"/>
      <c r="E717" s="15"/>
    </row>
    <row r="718" ht="22.5" customHeight="1">
      <c r="A718" s="15"/>
      <c r="B718" s="15"/>
      <c r="C718" s="15"/>
      <c r="D718" s="15"/>
      <c r="E718" s="15"/>
    </row>
    <row r="719" ht="22.5" customHeight="1">
      <c r="A719" s="15"/>
      <c r="B719" s="15"/>
      <c r="C719" s="15"/>
      <c r="D719" s="15"/>
      <c r="E719" s="15"/>
    </row>
    <row r="720" ht="22.5" customHeight="1">
      <c r="A720" s="15"/>
      <c r="B720" s="15"/>
      <c r="C720" s="15"/>
      <c r="D720" s="15"/>
      <c r="E720" s="15"/>
    </row>
    <row r="721" ht="22.5" customHeight="1">
      <c r="A721" s="15"/>
      <c r="B721" s="15"/>
      <c r="C721" s="15"/>
      <c r="D721" s="15"/>
      <c r="E721" s="15"/>
    </row>
    <row r="722" ht="22.5" customHeight="1">
      <c r="A722" s="15"/>
      <c r="B722" s="15"/>
      <c r="C722" s="15"/>
      <c r="D722" s="15"/>
      <c r="E722" s="15"/>
    </row>
    <row r="723" ht="22.5" customHeight="1">
      <c r="A723" s="15"/>
      <c r="B723" s="15"/>
      <c r="C723" s="15"/>
      <c r="D723" s="15"/>
      <c r="E723" s="15"/>
    </row>
    <row r="724" ht="22.5" customHeight="1">
      <c r="A724" s="15"/>
      <c r="B724" s="15"/>
      <c r="C724" s="15"/>
      <c r="D724" s="15"/>
      <c r="E724" s="15"/>
    </row>
    <row r="725" ht="22.5" customHeight="1">
      <c r="A725" s="15"/>
      <c r="B725" s="15"/>
      <c r="C725" s="15"/>
      <c r="D725" s="15"/>
      <c r="E725" s="15"/>
    </row>
    <row r="726" ht="22.5" customHeight="1">
      <c r="A726" s="15"/>
      <c r="B726" s="15"/>
      <c r="C726" s="15"/>
      <c r="D726" s="15"/>
      <c r="E726" s="15"/>
    </row>
    <row r="727" ht="22.5" customHeight="1">
      <c r="A727" s="15"/>
      <c r="B727" s="15"/>
      <c r="C727" s="15"/>
      <c r="D727" s="15"/>
      <c r="E727" s="15"/>
    </row>
    <row r="728" ht="22.5" customHeight="1">
      <c r="A728" s="15"/>
      <c r="B728" s="15"/>
      <c r="C728" s="15"/>
      <c r="D728" s="15"/>
      <c r="E728" s="15"/>
    </row>
    <row r="729" ht="22.5" customHeight="1">
      <c r="A729" s="15"/>
      <c r="B729" s="15"/>
      <c r="C729" s="15"/>
      <c r="D729" s="15"/>
      <c r="E729" s="15"/>
    </row>
    <row r="730" ht="22.5" customHeight="1">
      <c r="A730" s="15"/>
      <c r="B730" s="15"/>
      <c r="C730" s="15"/>
      <c r="D730" s="15"/>
      <c r="E730" s="15"/>
    </row>
    <row r="731" ht="22.5" customHeight="1">
      <c r="A731" s="15"/>
      <c r="B731" s="15"/>
      <c r="C731" s="15"/>
      <c r="D731" s="15"/>
      <c r="E731" s="15"/>
    </row>
    <row r="732" ht="22.5" customHeight="1">
      <c r="A732" s="15"/>
      <c r="B732" s="15"/>
      <c r="C732" s="15"/>
      <c r="D732" s="15"/>
      <c r="E732" s="15"/>
    </row>
    <row r="733" ht="22.5" customHeight="1">
      <c r="A733" s="15"/>
      <c r="B733" s="15"/>
      <c r="C733" s="15"/>
      <c r="D733" s="15"/>
      <c r="E733" s="15"/>
    </row>
    <row r="734" ht="22.5" customHeight="1">
      <c r="A734" s="15"/>
      <c r="B734" s="15"/>
      <c r="C734" s="15"/>
      <c r="D734" s="15"/>
      <c r="E734" s="15"/>
    </row>
    <row r="735" ht="22.5" customHeight="1">
      <c r="A735" s="15"/>
      <c r="B735" s="15"/>
      <c r="C735" s="15"/>
      <c r="D735" s="15"/>
      <c r="E735" s="15"/>
    </row>
    <row r="736" ht="22.5" customHeight="1">
      <c r="A736" s="15"/>
      <c r="B736" s="15"/>
      <c r="C736" s="15"/>
      <c r="D736" s="15"/>
      <c r="E736" s="15"/>
    </row>
    <row r="737" ht="22.5" customHeight="1">
      <c r="A737" s="15"/>
      <c r="B737" s="15"/>
      <c r="C737" s="15"/>
      <c r="D737" s="15"/>
      <c r="E737" s="15"/>
    </row>
    <row r="738" ht="22.5" customHeight="1">
      <c r="A738" s="15"/>
      <c r="B738" s="15"/>
      <c r="C738" s="15"/>
      <c r="D738" s="15"/>
      <c r="E738" s="15"/>
    </row>
    <row r="739" ht="22.5" customHeight="1">
      <c r="A739" s="15"/>
      <c r="B739" s="15"/>
      <c r="C739" s="15"/>
      <c r="D739" s="15"/>
      <c r="E739" s="15"/>
    </row>
    <row r="740" ht="22.5" customHeight="1">
      <c r="A740" s="15"/>
      <c r="B740" s="15"/>
      <c r="C740" s="15"/>
      <c r="D740" s="15"/>
      <c r="E740" s="15"/>
    </row>
    <row r="741" ht="22.5" customHeight="1">
      <c r="A741" s="15"/>
      <c r="B741" s="15"/>
      <c r="C741" s="15"/>
      <c r="D741" s="15"/>
      <c r="E741" s="15"/>
    </row>
    <row r="742" ht="22.5" customHeight="1">
      <c r="A742" s="15"/>
      <c r="B742" s="15"/>
      <c r="C742" s="15"/>
      <c r="D742" s="15"/>
      <c r="E742" s="15"/>
    </row>
    <row r="743" ht="22.5" customHeight="1">
      <c r="A743" s="15"/>
      <c r="B743" s="15"/>
      <c r="C743" s="15"/>
      <c r="D743" s="15"/>
      <c r="E743" s="15"/>
    </row>
    <row r="744" ht="22.5" customHeight="1">
      <c r="A744" s="15"/>
      <c r="B744" s="15"/>
      <c r="C744" s="15"/>
      <c r="D744" s="15"/>
      <c r="E744" s="15"/>
    </row>
    <row r="745" ht="22.5" customHeight="1">
      <c r="A745" s="15"/>
      <c r="B745" s="15"/>
      <c r="C745" s="15"/>
      <c r="D745" s="15"/>
      <c r="E745" s="15"/>
    </row>
    <row r="746" ht="22.5" customHeight="1">
      <c r="A746" s="15"/>
      <c r="B746" s="15"/>
      <c r="C746" s="15"/>
      <c r="D746" s="15"/>
      <c r="E746" s="15"/>
    </row>
    <row r="747" ht="22.5" customHeight="1">
      <c r="A747" s="15"/>
      <c r="B747" s="15"/>
      <c r="C747" s="15"/>
      <c r="D747" s="15"/>
      <c r="E747" s="15"/>
    </row>
    <row r="748" ht="22.5" customHeight="1">
      <c r="A748" s="15"/>
      <c r="B748" s="15"/>
      <c r="C748" s="15"/>
      <c r="D748" s="15"/>
      <c r="E748" s="15"/>
    </row>
    <row r="749" ht="22.5" customHeight="1">
      <c r="A749" s="15"/>
      <c r="B749" s="15"/>
      <c r="C749" s="15"/>
      <c r="D749" s="15"/>
      <c r="E749" s="15"/>
    </row>
    <row r="750" ht="22.5" customHeight="1">
      <c r="A750" s="15"/>
      <c r="B750" s="15"/>
      <c r="C750" s="15"/>
      <c r="D750" s="15"/>
      <c r="E750" s="15"/>
    </row>
    <row r="751" ht="22.5" customHeight="1">
      <c r="A751" s="15"/>
      <c r="B751" s="15"/>
      <c r="C751" s="15"/>
      <c r="D751" s="15"/>
      <c r="E751" s="15"/>
    </row>
    <row r="752" ht="22.5" customHeight="1">
      <c r="A752" s="15"/>
      <c r="B752" s="15"/>
      <c r="C752" s="15"/>
      <c r="D752" s="15"/>
      <c r="E752" s="15"/>
    </row>
    <row r="753" ht="22.5" customHeight="1">
      <c r="A753" s="15"/>
      <c r="B753" s="15"/>
      <c r="C753" s="15"/>
      <c r="D753" s="15"/>
      <c r="E753" s="15"/>
    </row>
    <row r="754" ht="22.5" customHeight="1">
      <c r="A754" s="15"/>
      <c r="B754" s="15"/>
      <c r="C754" s="15"/>
      <c r="D754" s="15"/>
      <c r="E754" s="15"/>
    </row>
    <row r="755" ht="22.5" customHeight="1">
      <c r="A755" s="15"/>
      <c r="B755" s="15"/>
      <c r="C755" s="15"/>
      <c r="D755" s="15"/>
      <c r="E755" s="15"/>
    </row>
    <row r="756" ht="22.5" customHeight="1">
      <c r="A756" s="15"/>
      <c r="B756" s="15"/>
      <c r="C756" s="15"/>
      <c r="D756" s="15"/>
      <c r="E756" s="15"/>
    </row>
    <row r="757" ht="22.5" customHeight="1">
      <c r="A757" s="15"/>
      <c r="B757" s="15"/>
      <c r="C757" s="15"/>
      <c r="D757" s="15"/>
      <c r="E757" s="15"/>
    </row>
    <row r="758" ht="22.5" customHeight="1">
      <c r="A758" s="15"/>
      <c r="B758" s="15"/>
      <c r="C758" s="15"/>
      <c r="D758" s="15"/>
      <c r="E758" s="15"/>
    </row>
    <row r="759" ht="22.5" customHeight="1">
      <c r="A759" s="15"/>
      <c r="B759" s="15"/>
      <c r="C759" s="15"/>
      <c r="D759" s="15"/>
      <c r="E759" s="15"/>
    </row>
    <row r="760" ht="22.5" customHeight="1">
      <c r="A760" s="15"/>
      <c r="B760" s="15"/>
      <c r="C760" s="15"/>
      <c r="D760" s="15"/>
      <c r="E760" s="15"/>
    </row>
    <row r="761" ht="22.5" customHeight="1">
      <c r="A761" s="15"/>
      <c r="B761" s="15"/>
      <c r="C761" s="15"/>
      <c r="D761" s="15"/>
      <c r="E761" s="15"/>
    </row>
    <row r="762" ht="22.5" customHeight="1">
      <c r="A762" s="15"/>
      <c r="B762" s="15"/>
      <c r="C762" s="15"/>
      <c r="D762" s="15"/>
      <c r="E762" s="15"/>
    </row>
    <row r="763" ht="22.5" customHeight="1">
      <c r="A763" s="15"/>
      <c r="B763" s="15"/>
      <c r="C763" s="15"/>
      <c r="D763" s="15"/>
      <c r="E763" s="15"/>
    </row>
    <row r="764" ht="22.5" customHeight="1">
      <c r="A764" s="15"/>
      <c r="B764" s="15"/>
      <c r="C764" s="15"/>
      <c r="D764" s="15"/>
      <c r="E764" s="15"/>
    </row>
    <row r="765" ht="22.5" customHeight="1">
      <c r="A765" s="15"/>
      <c r="B765" s="15"/>
      <c r="C765" s="15"/>
      <c r="D765" s="15"/>
      <c r="E765" s="15"/>
    </row>
    <row r="766" ht="22.5" customHeight="1">
      <c r="A766" s="15"/>
      <c r="B766" s="15"/>
      <c r="C766" s="15"/>
      <c r="D766" s="15"/>
      <c r="E766" s="15"/>
    </row>
    <row r="767" ht="22.5" customHeight="1">
      <c r="A767" s="15"/>
      <c r="B767" s="15"/>
      <c r="C767" s="15"/>
      <c r="D767" s="15"/>
      <c r="E767" s="15"/>
    </row>
    <row r="768" ht="22.5" customHeight="1">
      <c r="A768" s="15"/>
      <c r="B768" s="15"/>
      <c r="C768" s="15"/>
      <c r="D768" s="15"/>
      <c r="E768" s="15"/>
    </row>
    <row r="769" ht="22.5" customHeight="1">
      <c r="A769" s="15"/>
      <c r="B769" s="15"/>
      <c r="C769" s="15"/>
      <c r="D769" s="15"/>
      <c r="E769" s="15"/>
    </row>
    <row r="770" ht="22.5" customHeight="1">
      <c r="A770" s="15"/>
      <c r="B770" s="15"/>
      <c r="C770" s="15"/>
      <c r="D770" s="15"/>
      <c r="E770" s="15"/>
    </row>
    <row r="771" ht="22.5" customHeight="1">
      <c r="A771" s="15"/>
      <c r="B771" s="15"/>
      <c r="C771" s="15"/>
      <c r="D771" s="15"/>
      <c r="E771" s="15"/>
    </row>
    <row r="772" ht="22.5" customHeight="1">
      <c r="A772" s="15"/>
      <c r="B772" s="15"/>
      <c r="C772" s="15"/>
      <c r="D772" s="15"/>
      <c r="E772" s="15"/>
    </row>
    <row r="773" ht="22.5" customHeight="1">
      <c r="A773" s="15"/>
      <c r="B773" s="15"/>
      <c r="C773" s="15"/>
      <c r="D773" s="15"/>
      <c r="E773" s="15"/>
    </row>
    <row r="774" ht="22.5" customHeight="1">
      <c r="A774" s="15"/>
      <c r="B774" s="15"/>
      <c r="C774" s="15"/>
      <c r="D774" s="15"/>
      <c r="E774" s="15"/>
    </row>
    <row r="775" ht="22.5" customHeight="1">
      <c r="A775" s="15"/>
      <c r="B775" s="15"/>
      <c r="C775" s="15"/>
      <c r="D775" s="15"/>
      <c r="E775" s="15"/>
    </row>
    <row r="776" ht="22.5" customHeight="1">
      <c r="A776" s="15"/>
      <c r="B776" s="15"/>
      <c r="C776" s="15"/>
      <c r="D776" s="15"/>
      <c r="E776" s="15"/>
    </row>
    <row r="777" ht="22.5" customHeight="1">
      <c r="A777" s="15"/>
      <c r="B777" s="15"/>
      <c r="C777" s="15"/>
      <c r="D777" s="15"/>
      <c r="E777" s="15"/>
    </row>
    <row r="778" ht="22.5" customHeight="1">
      <c r="A778" s="15"/>
      <c r="B778" s="15"/>
      <c r="C778" s="15"/>
      <c r="D778" s="15"/>
      <c r="E778" s="15"/>
    </row>
    <row r="779" ht="22.5" customHeight="1">
      <c r="A779" s="15"/>
      <c r="B779" s="15"/>
      <c r="C779" s="15"/>
      <c r="D779" s="15"/>
      <c r="E779" s="15"/>
    </row>
    <row r="780" ht="22.5" customHeight="1">
      <c r="A780" s="15"/>
      <c r="B780" s="15"/>
      <c r="C780" s="15"/>
      <c r="D780" s="15"/>
      <c r="E780" s="15"/>
    </row>
    <row r="781" ht="22.5" customHeight="1">
      <c r="A781" s="15"/>
      <c r="B781" s="15"/>
      <c r="C781" s="15"/>
      <c r="D781" s="15"/>
      <c r="E781" s="15"/>
    </row>
    <row r="782" ht="22.5" customHeight="1">
      <c r="A782" s="15"/>
      <c r="B782" s="15"/>
      <c r="C782" s="15"/>
      <c r="D782" s="15"/>
      <c r="E782" s="15"/>
    </row>
    <row r="783" ht="22.5" customHeight="1">
      <c r="A783" s="15"/>
      <c r="B783" s="15"/>
      <c r="C783" s="15"/>
      <c r="D783" s="15"/>
      <c r="E783" s="15"/>
    </row>
    <row r="784" ht="22.5" customHeight="1">
      <c r="A784" s="15"/>
      <c r="B784" s="15"/>
      <c r="C784" s="15"/>
      <c r="D784" s="15"/>
      <c r="E784" s="15"/>
    </row>
    <row r="785" ht="22.5" customHeight="1">
      <c r="A785" s="15"/>
      <c r="B785" s="15"/>
      <c r="C785" s="15"/>
      <c r="D785" s="15"/>
      <c r="E785" s="15"/>
    </row>
    <row r="786" ht="22.5" customHeight="1">
      <c r="A786" s="15"/>
      <c r="B786" s="15"/>
      <c r="C786" s="15"/>
      <c r="D786" s="15"/>
      <c r="E786" s="15"/>
    </row>
    <row r="787" ht="22.5" customHeight="1">
      <c r="A787" s="15"/>
      <c r="B787" s="15"/>
      <c r="C787" s="15"/>
      <c r="D787" s="15"/>
      <c r="E787" s="15"/>
    </row>
    <row r="788" ht="22.5" customHeight="1">
      <c r="A788" s="15"/>
      <c r="B788" s="15"/>
      <c r="C788" s="15"/>
      <c r="D788" s="15"/>
      <c r="E788" s="15"/>
    </row>
    <row r="789" ht="22.5" customHeight="1">
      <c r="A789" s="15"/>
      <c r="B789" s="15"/>
      <c r="C789" s="15"/>
      <c r="D789" s="15"/>
      <c r="E789" s="15"/>
    </row>
    <row r="790" ht="22.5" customHeight="1">
      <c r="A790" s="15"/>
      <c r="B790" s="15"/>
      <c r="C790" s="15"/>
      <c r="D790" s="15"/>
      <c r="E790" s="15"/>
    </row>
    <row r="791" ht="22.5" customHeight="1">
      <c r="A791" s="15"/>
      <c r="B791" s="15"/>
      <c r="C791" s="15"/>
      <c r="D791" s="15"/>
      <c r="E791" s="15"/>
    </row>
    <row r="792" ht="22.5" customHeight="1">
      <c r="A792" s="15"/>
      <c r="B792" s="15"/>
      <c r="C792" s="15"/>
      <c r="D792" s="15"/>
      <c r="E792" s="15"/>
    </row>
    <row r="793" ht="22.5" customHeight="1">
      <c r="A793" s="15"/>
      <c r="B793" s="15"/>
      <c r="C793" s="15"/>
      <c r="D793" s="15"/>
      <c r="E793" s="15"/>
    </row>
    <row r="794" ht="22.5" customHeight="1">
      <c r="A794" s="15"/>
      <c r="B794" s="15"/>
      <c r="C794" s="15"/>
      <c r="D794" s="15"/>
      <c r="E794" s="15"/>
    </row>
    <row r="795" ht="22.5" customHeight="1">
      <c r="A795" s="15"/>
      <c r="B795" s="15"/>
      <c r="C795" s="15"/>
      <c r="D795" s="15"/>
      <c r="E795" s="15"/>
    </row>
    <row r="796" ht="22.5" customHeight="1">
      <c r="A796" s="15"/>
      <c r="B796" s="15"/>
      <c r="C796" s="15"/>
      <c r="D796" s="15"/>
      <c r="E796" s="15"/>
    </row>
    <row r="797" ht="22.5" customHeight="1">
      <c r="A797" s="15"/>
      <c r="B797" s="15"/>
      <c r="C797" s="15"/>
      <c r="D797" s="15"/>
      <c r="E797" s="15"/>
    </row>
    <row r="798" ht="22.5" customHeight="1">
      <c r="A798" s="15"/>
      <c r="B798" s="15"/>
      <c r="C798" s="15"/>
      <c r="D798" s="15"/>
      <c r="E798" s="15"/>
    </row>
    <row r="799" ht="22.5" customHeight="1">
      <c r="A799" s="15"/>
      <c r="B799" s="15"/>
      <c r="C799" s="15"/>
      <c r="D799" s="15"/>
      <c r="E799" s="15"/>
    </row>
    <row r="800" ht="22.5" customHeight="1">
      <c r="A800" s="15"/>
      <c r="B800" s="15"/>
      <c r="C800" s="15"/>
      <c r="D800" s="15"/>
      <c r="E800" s="15"/>
    </row>
    <row r="801" ht="22.5" customHeight="1">
      <c r="A801" s="15"/>
      <c r="B801" s="15"/>
      <c r="C801" s="15"/>
      <c r="D801" s="15"/>
      <c r="E801" s="15"/>
    </row>
    <row r="802" ht="22.5" customHeight="1">
      <c r="A802" s="15"/>
      <c r="B802" s="15"/>
      <c r="C802" s="15"/>
      <c r="D802" s="15"/>
      <c r="E802" s="15"/>
    </row>
    <row r="803" ht="22.5" customHeight="1">
      <c r="A803" s="15"/>
      <c r="B803" s="15"/>
      <c r="C803" s="15"/>
      <c r="D803" s="15"/>
      <c r="E803" s="15"/>
    </row>
    <row r="804" ht="22.5" customHeight="1">
      <c r="A804" s="15"/>
      <c r="B804" s="15"/>
      <c r="C804" s="15"/>
      <c r="D804" s="15"/>
      <c r="E804" s="15"/>
    </row>
    <row r="805" ht="22.5" customHeight="1">
      <c r="A805" s="15"/>
      <c r="B805" s="15"/>
      <c r="C805" s="15"/>
      <c r="D805" s="15"/>
      <c r="E805" s="15"/>
    </row>
    <row r="806" ht="22.5" customHeight="1">
      <c r="A806" s="15"/>
      <c r="B806" s="15"/>
      <c r="C806" s="15"/>
      <c r="D806" s="15"/>
      <c r="E806" s="15"/>
    </row>
    <row r="807" ht="22.5" customHeight="1">
      <c r="A807" s="15"/>
      <c r="B807" s="15"/>
      <c r="C807" s="15"/>
      <c r="D807" s="15"/>
      <c r="E807" s="15"/>
    </row>
    <row r="808" ht="22.5" customHeight="1">
      <c r="A808" s="15"/>
      <c r="B808" s="15"/>
      <c r="C808" s="15"/>
      <c r="D808" s="15"/>
      <c r="E808" s="15"/>
    </row>
    <row r="809" ht="22.5" customHeight="1">
      <c r="A809" s="15"/>
      <c r="B809" s="15"/>
      <c r="C809" s="15"/>
      <c r="D809" s="15"/>
      <c r="E809" s="15"/>
    </row>
    <row r="810" ht="22.5" customHeight="1">
      <c r="A810" s="15"/>
      <c r="B810" s="15"/>
      <c r="C810" s="15"/>
      <c r="D810" s="15"/>
      <c r="E810" s="15"/>
    </row>
    <row r="811" ht="22.5" customHeight="1">
      <c r="A811" s="15"/>
      <c r="B811" s="15"/>
      <c r="C811" s="15"/>
      <c r="D811" s="15"/>
      <c r="E811" s="15"/>
    </row>
    <row r="812" ht="22.5" customHeight="1">
      <c r="A812" s="15"/>
      <c r="B812" s="15"/>
      <c r="C812" s="15"/>
      <c r="D812" s="15"/>
      <c r="E812" s="15"/>
    </row>
    <row r="813" ht="22.5" customHeight="1">
      <c r="A813" s="15"/>
      <c r="B813" s="15"/>
      <c r="C813" s="15"/>
      <c r="D813" s="15"/>
      <c r="E813" s="15"/>
    </row>
    <row r="814" ht="22.5" customHeight="1">
      <c r="A814" s="15"/>
      <c r="B814" s="15"/>
      <c r="C814" s="15"/>
      <c r="D814" s="15"/>
      <c r="E814" s="15"/>
    </row>
    <row r="815" ht="22.5" customHeight="1">
      <c r="A815" s="15"/>
      <c r="B815" s="15"/>
      <c r="C815" s="15"/>
      <c r="D815" s="15"/>
      <c r="E815" s="15"/>
    </row>
    <row r="816" ht="22.5" customHeight="1">
      <c r="A816" s="15"/>
      <c r="B816" s="15"/>
      <c r="C816" s="15"/>
      <c r="D816" s="15"/>
      <c r="E816" s="15"/>
    </row>
    <row r="817" ht="22.5" customHeight="1">
      <c r="A817" s="15"/>
      <c r="B817" s="15"/>
      <c r="C817" s="15"/>
      <c r="D817" s="15"/>
      <c r="E817" s="15"/>
    </row>
    <row r="818" ht="22.5" customHeight="1">
      <c r="A818" s="15"/>
      <c r="B818" s="15"/>
      <c r="C818" s="15"/>
      <c r="D818" s="15"/>
      <c r="E818" s="15"/>
    </row>
    <row r="819" ht="22.5" customHeight="1">
      <c r="A819" s="15"/>
      <c r="B819" s="15"/>
      <c r="C819" s="15"/>
      <c r="D819" s="15"/>
      <c r="E819" s="15"/>
    </row>
    <row r="820" ht="22.5" customHeight="1">
      <c r="A820" s="15"/>
      <c r="B820" s="15"/>
      <c r="C820" s="15"/>
      <c r="D820" s="15"/>
      <c r="E820" s="15"/>
    </row>
    <row r="821" ht="22.5" customHeight="1">
      <c r="A821" s="15"/>
      <c r="B821" s="15"/>
      <c r="C821" s="15"/>
      <c r="D821" s="15"/>
      <c r="E821" s="15"/>
    </row>
    <row r="822" ht="22.5" customHeight="1">
      <c r="A822" s="15"/>
      <c r="B822" s="15"/>
      <c r="C822" s="15"/>
      <c r="D822" s="15"/>
      <c r="E822" s="15"/>
    </row>
    <row r="823" ht="22.5" customHeight="1">
      <c r="A823" s="15"/>
      <c r="B823" s="15"/>
      <c r="C823" s="15"/>
      <c r="D823" s="15"/>
      <c r="E823" s="15"/>
    </row>
    <row r="824" ht="22.5" customHeight="1">
      <c r="A824" s="15"/>
      <c r="B824" s="15"/>
      <c r="C824" s="15"/>
      <c r="D824" s="15"/>
      <c r="E824" s="15"/>
    </row>
    <row r="825" ht="22.5" customHeight="1">
      <c r="A825" s="15"/>
      <c r="B825" s="15"/>
      <c r="C825" s="15"/>
      <c r="D825" s="15"/>
      <c r="E825" s="15"/>
    </row>
    <row r="826" ht="22.5" customHeight="1">
      <c r="A826" s="15"/>
      <c r="B826" s="15"/>
      <c r="C826" s="15"/>
      <c r="D826" s="15"/>
      <c r="E826" s="15"/>
    </row>
    <row r="827" ht="22.5" customHeight="1">
      <c r="A827" s="15"/>
      <c r="B827" s="15"/>
      <c r="C827" s="15"/>
      <c r="D827" s="15"/>
      <c r="E827" s="15"/>
    </row>
    <row r="828" ht="22.5" customHeight="1">
      <c r="A828" s="15"/>
      <c r="B828" s="15"/>
      <c r="C828" s="15"/>
      <c r="D828" s="15"/>
      <c r="E828" s="15"/>
    </row>
    <row r="829" ht="22.5" customHeight="1">
      <c r="A829" s="15"/>
      <c r="B829" s="15"/>
      <c r="C829" s="15"/>
      <c r="D829" s="15"/>
      <c r="E829" s="15"/>
    </row>
    <row r="830" ht="22.5" customHeight="1">
      <c r="A830" s="15"/>
      <c r="B830" s="15"/>
      <c r="C830" s="15"/>
      <c r="D830" s="15"/>
      <c r="E830" s="15"/>
    </row>
    <row r="831" ht="22.5" customHeight="1">
      <c r="A831" s="15"/>
      <c r="B831" s="15"/>
      <c r="C831" s="15"/>
      <c r="D831" s="15"/>
      <c r="E831" s="15"/>
    </row>
    <row r="832" ht="22.5" customHeight="1">
      <c r="A832" s="15"/>
      <c r="B832" s="15"/>
      <c r="C832" s="15"/>
      <c r="D832" s="15"/>
      <c r="E832" s="15"/>
    </row>
    <row r="833" ht="22.5" customHeight="1">
      <c r="A833" s="15"/>
      <c r="B833" s="15"/>
      <c r="C833" s="15"/>
      <c r="D833" s="15"/>
      <c r="E833" s="15"/>
    </row>
    <row r="834" ht="22.5" customHeight="1">
      <c r="A834" s="15"/>
      <c r="B834" s="15"/>
      <c r="C834" s="15"/>
      <c r="D834" s="15"/>
      <c r="E834" s="15"/>
    </row>
    <row r="835" ht="22.5" customHeight="1">
      <c r="A835" s="15"/>
      <c r="B835" s="15"/>
      <c r="C835" s="15"/>
      <c r="D835" s="15"/>
      <c r="E835" s="15"/>
    </row>
    <row r="836" ht="22.5" customHeight="1">
      <c r="A836" s="15"/>
      <c r="B836" s="15"/>
      <c r="C836" s="15"/>
      <c r="D836" s="15"/>
      <c r="E836" s="15"/>
    </row>
    <row r="837" ht="22.5" customHeight="1">
      <c r="A837" s="15"/>
      <c r="B837" s="15"/>
      <c r="C837" s="15"/>
      <c r="D837" s="15"/>
      <c r="E837" s="15"/>
    </row>
    <row r="838" ht="22.5" customHeight="1">
      <c r="A838" s="15"/>
      <c r="B838" s="15"/>
      <c r="C838" s="15"/>
      <c r="D838" s="15"/>
      <c r="E838" s="15"/>
    </row>
    <row r="839" ht="22.5" customHeight="1">
      <c r="A839" s="15"/>
      <c r="B839" s="15"/>
      <c r="C839" s="15"/>
      <c r="D839" s="15"/>
      <c r="E839" s="15"/>
    </row>
    <row r="840" ht="22.5" customHeight="1">
      <c r="A840" s="15"/>
      <c r="B840" s="15"/>
      <c r="C840" s="15"/>
      <c r="D840" s="15"/>
      <c r="E840" s="15"/>
    </row>
    <row r="841" ht="22.5" customHeight="1">
      <c r="A841" s="15"/>
      <c r="B841" s="15"/>
      <c r="C841" s="15"/>
      <c r="D841" s="15"/>
      <c r="E841" s="15"/>
    </row>
    <row r="842" ht="22.5" customHeight="1">
      <c r="A842" s="15"/>
      <c r="B842" s="15"/>
      <c r="C842" s="15"/>
      <c r="D842" s="15"/>
      <c r="E842" s="15"/>
    </row>
    <row r="843" ht="22.5" customHeight="1">
      <c r="A843" s="15"/>
      <c r="B843" s="15"/>
      <c r="C843" s="15"/>
      <c r="D843" s="15"/>
      <c r="E843" s="15"/>
    </row>
    <row r="844" ht="22.5" customHeight="1">
      <c r="A844" s="15"/>
      <c r="B844" s="15"/>
      <c r="C844" s="15"/>
      <c r="D844" s="15"/>
      <c r="E844" s="15"/>
    </row>
    <row r="845" ht="22.5" customHeight="1">
      <c r="A845" s="15"/>
      <c r="B845" s="15"/>
      <c r="C845" s="15"/>
      <c r="D845" s="15"/>
      <c r="E845" s="15"/>
    </row>
    <row r="846" ht="22.5" customHeight="1">
      <c r="A846" s="15"/>
      <c r="B846" s="15"/>
      <c r="C846" s="15"/>
      <c r="D846" s="15"/>
      <c r="E846" s="15"/>
    </row>
    <row r="847" ht="22.5" customHeight="1">
      <c r="A847" s="15"/>
      <c r="B847" s="15"/>
      <c r="C847" s="15"/>
      <c r="D847" s="15"/>
      <c r="E847" s="15"/>
    </row>
    <row r="848" ht="22.5" customHeight="1">
      <c r="A848" s="15"/>
      <c r="B848" s="15"/>
      <c r="C848" s="15"/>
      <c r="D848" s="15"/>
      <c r="E848" s="15"/>
    </row>
    <row r="849" ht="22.5" customHeight="1">
      <c r="A849" s="15"/>
      <c r="B849" s="15"/>
      <c r="C849" s="15"/>
      <c r="D849" s="15"/>
      <c r="E849" s="15"/>
    </row>
    <row r="850" ht="22.5" customHeight="1">
      <c r="A850" s="15"/>
      <c r="B850" s="15"/>
      <c r="C850" s="15"/>
      <c r="D850" s="15"/>
      <c r="E850" s="15"/>
    </row>
    <row r="851" ht="22.5" customHeight="1">
      <c r="A851" s="15"/>
      <c r="B851" s="15"/>
      <c r="C851" s="15"/>
      <c r="D851" s="15"/>
      <c r="E851" s="15"/>
    </row>
    <row r="852" ht="22.5" customHeight="1">
      <c r="A852" s="15"/>
      <c r="B852" s="15"/>
      <c r="C852" s="15"/>
      <c r="D852" s="15"/>
      <c r="E852" s="15"/>
    </row>
    <row r="853" ht="22.5" customHeight="1">
      <c r="A853" s="15"/>
      <c r="B853" s="15"/>
      <c r="C853" s="15"/>
      <c r="D853" s="15"/>
      <c r="E853" s="15"/>
    </row>
    <row r="854" ht="22.5" customHeight="1">
      <c r="A854" s="15"/>
      <c r="B854" s="15"/>
      <c r="C854" s="15"/>
      <c r="D854" s="15"/>
      <c r="E854" s="15"/>
    </row>
    <row r="855" ht="22.5" customHeight="1">
      <c r="A855" s="15"/>
      <c r="B855" s="15"/>
      <c r="C855" s="15"/>
      <c r="D855" s="15"/>
      <c r="E855" s="15"/>
    </row>
    <row r="856" ht="22.5" customHeight="1">
      <c r="A856" s="15"/>
      <c r="B856" s="15"/>
      <c r="C856" s="15"/>
      <c r="D856" s="15"/>
      <c r="E856" s="15"/>
    </row>
    <row r="857" ht="22.5" customHeight="1">
      <c r="A857" s="15"/>
      <c r="B857" s="15"/>
      <c r="C857" s="15"/>
      <c r="D857" s="15"/>
      <c r="E857" s="15"/>
    </row>
    <row r="858" ht="22.5" customHeight="1">
      <c r="A858" s="15"/>
      <c r="B858" s="15"/>
      <c r="C858" s="15"/>
      <c r="D858" s="15"/>
      <c r="E858" s="15"/>
    </row>
    <row r="859" ht="22.5" customHeight="1">
      <c r="A859" s="15"/>
      <c r="B859" s="15"/>
      <c r="C859" s="15"/>
      <c r="D859" s="15"/>
      <c r="E859" s="15"/>
    </row>
    <row r="860" ht="22.5" customHeight="1">
      <c r="A860" s="15"/>
      <c r="B860" s="15"/>
      <c r="C860" s="15"/>
      <c r="D860" s="15"/>
      <c r="E860" s="15"/>
    </row>
    <row r="861" ht="22.5" customHeight="1">
      <c r="A861" s="15"/>
      <c r="B861" s="15"/>
      <c r="C861" s="15"/>
      <c r="D861" s="15"/>
      <c r="E861" s="15"/>
    </row>
    <row r="862" ht="22.5" customHeight="1">
      <c r="A862" s="15"/>
      <c r="B862" s="15"/>
      <c r="C862" s="15"/>
      <c r="D862" s="15"/>
      <c r="E862" s="15"/>
    </row>
    <row r="863" ht="22.5" customHeight="1">
      <c r="A863" s="15"/>
      <c r="B863" s="15"/>
      <c r="C863" s="15"/>
      <c r="D863" s="15"/>
      <c r="E863" s="15"/>
    </row>
    <row r="864" ht="22.5" customHeight="1">
      <c r="A864" s="15"/>
      <c r="B864" s="15"/>
      <c r="C864" s="15"/>
      <c r="D864" s="15"/>
      <c r="E864" s="15"/>
    </row>
    <row r="865" ht="22.5" customHeight="1">
      <c r="A865" s="15"/>
      <c r="B865" s="15"/>
      <c r="C865" s="15"/>
      <c r="D865" s="15"/>
      <c r="E865" s="15"/>
    </row>
    <row r="866" ht="22.5" customHeight="1">
      <c r="A866" s="15"/>
      <c r="B866" s="15"/>
      <c r="C866" s="15"/>
      <c r="D866" s="15"/>
      <c r="E866" s="15"/>
    </row>
    <row r="867" ht="22.5" customHeight="1">
      <c r="A867" s="15"/>
      <c r="B867" s="15"/>
      <c r="C867" s="15"/>
      <c r="D867" s="15"/>
      <c r="E867" s="15"/>
    </row>
    <row r="868" ht="22.5" customHeight="1">
      <c r="A868" s="15"/>
      <c r="B868" s="15"/>
      <c r="C868" s="15"/>
      <c r="D868" s="15"/>
      <c r="E868" s="15"/>
    </row>
    <row r="869" ht="22.5" customHeight="1">
      <c r="A869" s="15"/>
      <c r="B869" s="15"/>
      <c r="C869" s="15"/>
      <c r="D869" s="15"/>
      <c r="E869" s="15"/>
    </row>
    <row r="870" ht="22.5" customHeight="1">
      <c r="A870" s="15"/>
      <c r="B870" s="15"/>
      <c r="C870" s="15"/>
      <c r="D870" s="15"/>
      <c r="E870" s="15"/>
    </row>
    <row r="871" ht="22.5" customHeight="1">
      <c r="A871" s="15"/>
      <c r="B871" s="15"/>
      <c r="C871" s="15"/>
      <c r="D871" s="15"/>
      <c r="E871" s="15"/>
    </row>
    <row r="872" ht="22.5" customHeight="1">
      <c r="A872" s="15"/>
      <c r="B872" s="15"/>
      <c r="C872" s="15"/>
      <c r="D872" s="15"/>
      <c r="E872" s="15"/>
    </row>
    <row r="873" ht="22.5" customHeight="1">
      <c r="A873" s="15"/>
      <c r="B873" s="15"/>
      <c r="C873" s="15"/>
      <c r="D873" s="15"/>
      <c r="E873" s="15"/>
    </row>
    <row r="874" ht="22.5" customHeight="1">
      <c r="A874" s="15"/>
      <c r="B874" s="15"/>
      <c r="C874" s="15"/>
      <c r="D874" s="15"/>
      <c r="E874" s="15"/>
    </row>
    <row r="875" ht="22.5" customHeight="1">
      <c r="A875" s="15"/>
      <c r="B875" s="15"/>
      <c r="C875" s="15"/>
      <c r="D875" s="15"/>
      <c r="E875" s="15"/>
    </row>
    <row r="876" ht="22.5" customHeight="1">
      <c r="A876" s="15"/>
      <c r="B876" s="15"/>
      <c r="C876" s="15"/>
      <c r="D876" s="15"/>
      <c r="E876" s="15"/>
    </row>
    <row r="877" ht="22.5" customHeight="1">
      <c r="A877" s="15"/>
      <c r="B877" s="15"/>
      <c r="C877" s="15"/>
      <c r="D877" s="15"/>
      <c r="E877" s="15"/>
    </row>
    <row r="878" ht="22.5" customHeight="1">
      <c r="A878" s="15"/>
      <c r="B878" s="15"/>
      <c r="C878" s="15"/>
      <c r="D878" s="15"/>
      <c r="E878" s="15"/>
    </row>
    <row r="879" ht="22.5" customHeight="1">
      <c r="A879" s="15"/>
      <c r="B879" s="15"/>
      <c r="C879" s="15"/>
      <c r="D879" s="15"/>
      <c r="E879" s="15"/>
    </row>
    <row r="880" ht="22.5" customHeight="1">
      <c r="A880" s="15"/>
      <c r="B880" s="15"/>
      <c r="C880" s="15"/>
      <c r="D880" s="15"/>
      <c r="E880" s="15"/>
    </row>
    <row r="881" ht="22.5" customHeight="1">
      <c r="A881" s="15"/>
      <c r="B881" s="15"/>
      <c r="C881" s="15"/>
      <c r="D881" s="15"/>
      <c r="E881" s="15"/>
    </row>
    <row r="882" ht="22.5" customHeight="1">
      <c r="A882" s="15"/>
      <c r="B882" s="15"/>
      <c r="C882" s="15"/>
      <c r="D882" s="15"/>
      <c r="E882" s="15"/>
    </row>
    <row r="883" ht="22.5" customHeight="1">
      <c r="A883" s="15"/>
      <c r="B883" s="15"/>
      <c r="C883" s="15"/>
      <c r="D883" s="15"/>
      <c r="E883" s="15"/>
    </row>
    <row r="884" ht="22.5" customHeight="1">
      <c r="A884" s="15"/>
      <c r="B884" s="15"/>
      <c r="C884" s="15"/>
      <c r="D884" s="15"/>
      <c r="E884" s="15"/>
    </row>
    <row r="885" ht="22.5" customHeight="1">
      <c r="A885" s="15"/>
      <c r="B885" s="15"/>
      <c r="C885" s="15"/>
      <c r="D885" s="15"/>
      <c r="E885" s="15"/>
    </row>
    <row r="886" ht="22.5" customHeight="1">
      <c r="A886" s="15"/>
      <c r="B886" s="15"/>
      <c r="C886" s="15"/>
      <c r="D886" s="15"/>
      <c r="E886" s="15"/>
    </row>
    <row r="887" ht="22.5" customHeight="1">
      <c r="A887" s="15"/>
      <c r="B887" s="15"/>
      <c r="C887" s="15"/>
      <c r="D887" s="15"/>
      <c r="E887" s="15"/>
    </row>
    <row r="888" ht="22.5" customHeight="1">
      <c r="A888" s="15"/>
      <c r="B888" s="15"/>
      <c r="C888" s="15"/>
      <c r="D888" s="15"/>
      <c r="E888" s="15"/>
    </row>
    <row r="889" ht="22.5" customHeight="1">
      <c r="A889" s="15"/>
      <c r="B889" s="15"/>
      <c r="C889" s="15"/>
      <c r="D889" s="15"/>
      <c r="E889" s="15"/>
    </row>
    <row r="890" ht="22.5" customHeight="1">
      <c r="A890" s="15"/>
      <c r="B890" s="15"/>
      <c r="C890" s="15"/>
      <c r="D890" s="15"/>
      <c r="E890" s="15"/>
    </row>
    <row r="891" ht="22.5" customHeight="1">
      <c r="A891" s="15"/>
      <c r="B891" s="15"/>
      <c r="C891" s="15"/>
      <c r="D891" s="15"/>
      <c r="E891" s="15"/>
    </row>
    <row r="892" ht="22.5" customHeight="1">
      <c r="A892" s="15"/>
      <c r="B892" s="15"/>
      <c r="C892" s="15"/>
      <c r="D892" s="15"/>
      <c r="E892" s="15"/>
    </row>
    <row r="893" ht="22.5" customHeight="1">
      <c r="A893" s="15"/>
      <c r="B893" s="15"/>
      <c r="C893" s="15"/>
      <c r="D893" s="15"/>
      <c r="E893" s="15"/>
    </row>
    <row r="894" ht="22.5" customHeight="1">
      <c r="A894" s="15"/>
      <c r="B894" s="15"/>
      <c r="C894" s="15"/>
      <c r="D894" s="15"/>
      <c r="E894" s="15"/>
    </row>
    <row r="895" ht="22.5" customHeight="1">
      <c r="A895" s="15"/>
      <c r="B895" s="15"/>
      <c r="C895" s="15"/>
      <c r="D895" s="15"/>
      <c r="E895" s="15"/>
    </row>
    <row r="896" ht="22.5" customHeight="1">
      <c r="A896" s="15"/>
      <c r="B896" s="15"/>
      <c r="C896" s="15"/>
      <c r="D896" s="15"/>
      <c r="E896" s="15"/>
    </row>
    <row r="897" ht="22.5" customHeight="1">
      <c r="A897" s="15"/>
      <c r="B897" s="15"/>
      <c r="C897" s="15"/>
      <c r="D897" s="15"/>
      <c r="E897" s="15"/>
    </row>
    <row r="898" ht="22.5" customHeight="1">
      <c r="A898" s="15"/>
      <c r="B898" s="15"/>
      <c r="C898" s="15"/>
      <c r="D898" s="15"/>
      <c r="E898" s="15"/>
    </row>
    <row r="899" ht="22.5" customHeight="1">
      <c r="A899" s="15"/>
      <c r="B899" s="15"/>
      <c r="C899" s="15"/>
      <c r="D899" s="15"/>
      <c r="E899" s="15"/>
    </row>
    <row r="900" ht="22.5" customHeight="1">
      <c r="A900" s="15"/>
      <c r="B900" s="15"/>
      <c r="C900" s="15"/>
      <c r="D900" s="15"/>
      <c r="E900" s="15"/>
    </row>
    <row r="901" ht="22.5" customHeight="1">
      <c r="A901" s="15"/>
      <c r="B901" s="15"/>
      <c r="C901" s="15"/>
      <c r="D901" s="15"/>
      <c r="E901" s="15"/>
    </row>
    <row r="902" ht="22.5" customHeight="1">
      <c r="A902" s="15"/>
      <c r="B902" s="15"/>
      <c r="C902" s="15"/>
      <c r="D902" s="15"/>
      <c r="E902" s="15"/>
    </row>
    <row r="903" ht="22.5" customHeight="1">
      <c r="A903" s="15"/>
      <c r="B903" s="15"/>
      <c r="C903" s="15"/>
      <c r="D903" s="15"/>
      <c r="E903" s="15"/>
    </row>
    <row r="904" ht="22.5" customHeight="1">
      <c r="A904" s="15"/>
      <c r="B904" s="15"/>
      <c r="C904" s="15"/>
      <c r="D904" s="15"/>
      <c r="E904" s="15"/>
    </row>
    <row r="905" ht="22.5" customHeight="1">
      <c r="A905" s="15"/>
      <c r="B905" s="15"/>
      <c r="C905" s="15"/>
      <c r="D905" s="15"/>
      <c r="E905" s="15"/>
    </row>
    <row r="906" ht="22.5" customHeight="1">
      <c r="A906" s="15"/>
      <c r="B906" s="15"/>
      <c r="C906" s="15"/>
      <c r="D906" s="15"/>
      <c r="E906" s="15"/>
    </row>
    <row r="907" ht="22.5" customHeight="1">
      <c r="A907" s="15"/>
      <c r="B907" s="15"/>
      <c r="C907" s="15"/>
      <c r="D907" s="15"/>
      <c r="E907" s="15"/>
    </row>
    <row r="908" ht="22.5" customHeight="1">
      <c r="A908" s="15"/>
      <c r="B908" s="15"/>
      <c r="C908" s="15"/>
      <c r="D908" s="15"/>
      <c r="E908" s="15"/>
    </row>
    <row r="909" ht="22.5" customHeight="1">
      <c r="A909" s="15"/>
      <c r="B909" s="15"/>
      <c r="C909" s="15"/>
      <c r="D909" s="15"/>
      <c r="E909" s="15"/>
    </row>
    <row r="910" ht="22.5" customHeight="1">
      <c r="A910" s="15"/>
      <c r="B910" s="15"/>
      <c r="C910" s="15"/>
      <c r="D910" s="15"/>
      <c r="E910" s="15"/>
    </row>
    <row r="911" ht="22.5" customHeight="1">
      <c r="A911" s="15"/>
      <c r="B911" s="15"/>
      <c r="C911" s="15"/>
      <c r="D911" s="15"/>
      <c r="E911" s="15"/>
    </row>
    <row r="912" ht="22.5" customHeight="1">
      <c r="A912" s="15"/>
      <c r="B912" s="15"/>
      <c r="C912" s="15"/>
      <c r="D912" s="15"/>
      <c r="E912" s="15"/>
    </row>
    <row r="913" ht="22.5" customHeight="1">
      <c r="A913" s="15"/>
      <c r="B913" s="15"/>
      <c r="C913" s="15"/>
      <c r="D913" s="15"/>
      <c r="E913" s="15"/>
    </row>
    <row r="914" ht="22.5" customHeight="1">
      <c r="A914" s="15"/>
      <c r="B914" s="15"/>
      <c r="C914" s="15"/>
      <c r="D914" s="15"/>
      <c r="E914" s="15"/>
    </row>
    <row r="915" ht="22.5" customHeight="1">
      <c r="A915" s="15"/>
      <c r="B915" s="15"/>
      <c r="C915" s="15"/>
      <c r="D915" s="15"/>
      <c r="E915" s="15"/>
    </row>
    <row r="916" ht="22.5" customHeight="1">
      <c r="A916" s="15"/>
      <c r="B916" s="15"/>
      <c r="C916" s="15"/>
      <c r="D916" s="15"/>
      <c r="E916" s="15"/>
    </row>
    <row r="917" ht="22.5" customHeight="1">
      <c r="A917" s="15"/>
      <c r="B917" s="15"/>
      <c r="C917" s="15"/>
      <c r="D917" s="15"/>
      <c r="E917" s="15"/>
    </row>
    <row r="918" ht="22.5" customHeight="1">
      <c r="A918" s="15"/>
      <c r="B918" s="15"/>
      <c r="C918" s="15"/>
      <c r="D918" s="15"/>
      <c r="E918" s="15"/>
    </row>
    <row r="919" ht="22.5" customHeight="1">
      <c r="A919" s="15"/>
      <c r="B919" s="15"/>
      <c r="C919" s="15"/>
      <c r="D919" s="15"/>
      <c r="E919" s="15"/>
    </row>
    <row r="920" ht="22.5" customHeight="1">
      <c r="A920" s="15"/>
      <c r="B920" s="15"/>
      <c r="C920" s="15"/>
      <c r="D920" s="15"/>
      <c r="E920" s="15"/>
    </row>
    <row r="921" ht="22.5" customHeight="1">
      <c r="A921" s="15"/>
      <c r="B921" s="15"/>
      <c r="C921" s="15"/>
      <c r="D921" s="15"/>
      <c r="E921" s="15"/>
    </row>
    <row r="922" ht="22.5" customHeight="1">
      <c r="A922" s="15"/>
      <c r="B922" s="15"/>
      <c r="C922" s="15"/>
      <c r="D922" s="15"/>
      <c r="E922" s="15"/>
    </row>
    <row r="923" ht="22.5" customHeight="1">
      <c r="A923" s="15"/>
      <c r="B923" s="15"/>
      <c r="C923" s="15"/>
      <c r="D923" s="15"/>
      <c r="E923" s="15"/>
    </row>
    <row r="924" ht="22.5" customHeight="1">
      <c r="A924" s="15"/>
      <c r="B924" s="15"/>
      <c r="C924" s="15"/>
      <c r="D924" s="15"/>
      <c r="E924" s="15"/>
    </row>
    <row r="925" ht="22.5" customHeight="1">
      <c r="A925" s="15"/>
      <c r="B925" s="15"/>
      <c r="C925" s="15"/>
      <c r="D925" s="15"/>
      <c r="E925" s="15"/>
    </row>
    <row r="926" ht="22.5" customHeight="1">
      <c r="A926" s="15"/>
      <c r="B926" s="15"/>
      <c r="C926" s="15"/>
      <c r="D926" s="15"/>
      <c r="E926" s="15"/>
    </row>
    <row r="927" ht="22.5" customHeight="1">
      <c r="A927" s="15"/>
      <c r="B927" s="15"/>
      <c r="C927" s="15"/>
      <c r="D927" s="15"/>
      <c r="E927" s="15"/>
    </row>
    <row r="928" ht="22.5" customHeight="1">
      <c r="A928" s="15"/>
      <c r="B928" s="15"/>
      <c r="C928" s="15"/>
      <c r="D928" s="15"/>
      <c r="E928" s="15"/>
    </row>
    <row r="929" ht="22.5" customHeight="1">
      <c r="A929" s="15"/>
      <c r="B929" s="15"/>
      <c r="C929" s="15"/>
      <c r="D929" s="15"/>
      <c r="E929" s="15"/>
    </row>
    <row r="930" ht="22.5" customHeight="1">
      <c r="A930" s="15"/>
      <c r="B930" s="15"/>
      <c r="C930" s="15"/>
      <c r="D930" s="15"/>
      <c r="E930" s="15"/>
    </row>
    <row r="931" ht="22.5" customHeight="1">
      <c r="A931" s="15"/>
      <c r="B931" s="15"/>
      <c r="C931" s="15"/>
      <c r="D931" s="15"/>
      <c r="E931" s="15"/>
    </row>
    <row r="932" ht="22.5" customHeight="1">
      <c r="A932" s="15"/>
      <c r="B932" s="15"/>
      <c r="C932" s="15"/>
      <c r="D932" s="15"/>
      <c r="E932" s="15"/>
    </row>
    <row r="933" ht="22.5" customHeight="1">
      <c r="A933" s="15"/>
      <c r="B933" s="15"/>
      <c r="C933" s="15"/>
      <c r="D933" s="15"/>
      <c r="E933" s="15"/>
    </row>
    <row r="934" ht="22.5" customHeight="1">
      <c r="A934" s="15"/>
      <c r="B934" s="15"/>
      <c r="C934" s="15"/>
      <c r="D934" s="15"/>
      <c r="E934" s="15"/>
    </row>
    <row r="935" ht="22.5" customHeight="1">
      <c r="A935" s="15"/>
      <c r="B935" s="15"/>
      <c r="C935" s="15"/>
      <c r="D935" s="15"/>
      <c r="E935" s="15"/>
    </row>
    <row r="936" ht="22.5" customHeight="1">
      <c r="A936" s="15"/>
      <c r="B936" s="15"/>
      <c r="C936" s="15"/>
      <c r="D936" s="15"/>
      <c r="E936" s="15"/>
    </row>
    <row r="937" ht="22.5" customHeight="1">
      <c r="A937" s="15"/>
      <c r="B937" s="15"/>
      <c r="C937" s="15"/>
      <c r="D937" s="15"/>
      <c r="E937" s="15"/>
    </row>
    <row r="938" ht="22.5" customHeight="1">
      <c r="A938" s="15"/>
      <c r="B938" s="15"/>
      <c r="C938" s="15"/>
      <c r="D938" s="15"/>
      <c r="E938" s="15"/>
    </row>
    <row r="939" ht="22.5" customHeight="1">
      <c r="A939" s="15"/>
      <c r="B939" s="15"/>
      <c r="C939" s="15"/>
      <c r="D939" s="15"/>
      <c r="E939" s="15"/>
    </row>
    <row r="940" ht="22.5" customHeight="1">
      <c r="A940" s="15"/>
      <c r="B940" s="15"/>
      <c r="C940" s="15"/>
      <c r="D940" s="15"/>
      <c r="E940" s="15"/>
    </row>
    <row r="941" ht="22.5" customHeight="1">
      <c r="A941" s="15"/>
      <c r="B941" s="15"/>
      <c r="C941" s="15"/>
      <c r="D941" s="15"/>
      <c r="E941" s="15"/>
    </row>
    <row r="942" ht="22.5" customHeight="1">
      <c r="A942" s="15"/>
      <c r="B942" s="15"/>
      <c r="C942" s="15"/>
      <c r="D942" s="15"/>
      <c r="E942" s="15"/>
    </row>
    <row r="943" ht="22.5" customHeight="1">
      <c r="A943" s="15"/>
      <c r="B943" s="15"/>
      <c r="C943" s="15"/>
      <c r="D943" s="15"/>
      <c r="E943" s="15"/>
    </row>
    <row r="944" ht="22.5" customHeight="1">
      <c r="A944" s="15"/>
      <c r="B944" s="15"/>
      <c r="C944" s="15"/>
      <c r="D944" s="15"/>
      <c r="E944" s="15"/>
    </row>
    <row r="945" ht="22.5" customHeight="1">
      <c r="A945" s="15"/>
      <c r="B945" s="15"/>
      <c r="C945" s="15"/>
      <c r="D945" s="15"/>
      <c r="E945" s="15"/>
    </row>
    <row r="946" ht="22.5" customHeight="1">
      <c r="A946" s="15"/>
      <c r="B946" s="15"/>
      <c r="C946" s="15"/>
      <c r="D946" s="15"/>
      <c r="E946" s="15"/>
    </row>
    <row r="947" ht="22.5" customHeight="1">
      <c r="A947" s="15"/>
      <c r="B947" s="15"/>
      <c r="C947" s="15"/>
      <c r="D947" s="15"/>
      <c r="E947" s="15"/>
    </row>
    <row r="948" ht="22.5" customHeight="1">
      <c r="A948" s="15"/>
      <c r="B948" s="15"/>
      <c r="C948" s="15"/>
      <c r="D948" s="15"/>
      <c r="E948" s="15"/>
    </row>
    <row r="949" ht="22.5" customHeight="1">
      <c r="A949" s="15"/>
      <c r="B949" s="15"/>
      <c r="C949" s="15"/>
      <c r="D949" s="15"/>
      <c r="E949" s="15"/>
    </row>
    <row r="950" ht="22.5" customHeight="1">
      <c r="A950" s="15"/>
      <c r="B950" s="15"/>
      <c r="C950" s="15"/>
      <c r="D950" s="15"/>
      <c r="E950" s="15"/>
    </row>
    <row r="951" ht="22.5" customHeight="1">
      <c r="A951" s="15"/>
      <c r="B951" s="15"/>
      <c r="C951" s="15"/>
      <c r="D951" s="15"/>
      <c r="E951" s="15"/>
    </row>
    <row r="952" ht="22.5" customHeight="1">
      <c r="A952" s="15"/>
      <c r="B952" s="15"/>
      <c r="C952" s="15"/>
      <c r="D952" s="15"/>
      <c r="E952" s="15"/>
    </row>
    <row r="953" ht="22.5" customHeight="1">
      <c r="A953" s="15"/>
      <c r="B953" s="15"/>
      <c r="C953" s="15"/>
      <c r="D953" s="15"/>
      <c r="E953" s="15"/>
    </row>
    <row r="954" ht="22.5" customHeight="1">
      <c r="A954" s="15"/>
      <c r="B954" s="15"/>
      <c r="C954" s="15"/>
      <c r="D954" s="15"/>
      <c r="E954" s="15"/>
    </row>
    <row r="955" ht="22.5" customHeight="1">
      <c r="A955" s="15"/>
      <c r="B955" s="15"/>
      <c r="C955" s="15"/>
      <c r="D955" s="15"/>
      <c r="E955" s="15"/>
    </row>
    <row r="956" ht="22.5" customHeight="1">
      <c r="A956" s="15"/>
      <c r="B956" s="15"/>
      <c r="C956" s="15"/>
      <c r="D956" s="15"/>
      <c r="E956" s="15"/>
    </row>
    <row r="957" ht="22.5" customHeight="1">
      <c r="A957" s="15"/>
      <c r="B957" s="15"/>
      <c r="C957" s="15"/>
      <c r="D957" s="15"/>
      <c r="E957" s="15"/>
    </row>
    <row r="958" ht="22.5" customHeight="1">
      <c r="A958" s="15"/>
      <c r="B958" s="15"/>
      <c r="C958" s="15"/>
      <c r="D958" s="15"/>
      <c r="E958" s="15"/>
    </row>
    <row r="959" ht="22.5" customHeight="1">
      <c r="A959" s="15"/>
      <c r="B959" s="15"/>
      <c r="C959" s="15"/>
      <c r="D959" s="15"/>
      <c r="E959" s="15"/>
    </row>
    <row r="960" ht="22.5" customHeight="1">
      <c r="A960" s="15"/>
      <c r="B960" s="15"/>
      <c r="C960" s="15"/>
      <c r="D960" s="15"/>
      <c r="E960" s="15"/>
    </row>
    <row r="961" ht="22.5" customHeight="1">
      <c r="A961" s="15"/>
      <c r="B961" s="15"/>
      <c r="C961" s="15"/>
      <c r="D961" s="15"/>
      <c r="E961" s="15"/>
    </row>
    <row r="962" ht="22.5" customHeight="1">
      <c r="A962" s="15"/>
      <c r="B962" s="15"/>
      <c r="C962" s="15"/>
      <c r="D962" s="15"/>
      <c r="E962" s="15"/>
    </row>
    <row r="963" ht="22.5" customHeight="1">
      <c r="A963" s="15"/>
      <c r="B963" s="15"/>
      <c r="C963" s="15"/>
      <c r="D963" s="15"/>
      <c r="E963" s="15"/>
    </row>
    <row r="964" ht="22.5" customHeight="1">
      <c r="A964" s="15"/>
      <c r="B964" s="15"/>
      <c r="C964" s="15"/>
      <c r="D964" s="15"/>
      <c r="E964" s="15"/>
    </row>
    <row r="965" ht="22.5" customHeight="1">
      <c r="A965" s="15"/>
      <c r="B965" s="15"/>
      <c r="C965" s="15"/>
      <c r="D965" s="15"/>
      <c r="E965" s="15"/>
    </row>
    <row r="966" ht="22.5" customHeight="1">
      <c r="A966" s="15"/>
      <c r="B966" s="15"/>
      <c r="C966" s="15"/>
      <c r="D966" s="15"/>
      <c r="E966" s="15"/>
    </row>
    <row r="967" ht="22.5" customHeight="1">
      <c r="A967" s="15"/>
      <c r="B967" s="15"/>
      <c r="C967" s="15"/>
      <c r="D967" s="15"/>
      <c r="E967" s="15"/>
    </row>
    <row r="968" ht="22.5" customHeight="1">
      <c r="A968" s="15"/>
      <c r="B968" s="15"/>
      <c r="C968" s="15"/>
      <c r="D968" s="15"/>
      <c r="E968" s="15"/>
    </row>
    <row r="969" ht="22.5" customHeight="1">
      <c r="A969" s="15"/>
      <c r="B969" s="15"/>
      <c r="C969" s="15"/>
      <c r="D969" s="15"/>
      <c r="E969" s="15"/>
    </row>
    <row r="970" ht="22.5" customHeight="1">
      <c r="A970" s="15"/>
      <c r="B970" s="15"/>
      <c r="C970" s="15"/>
      <c r="D970" s="15"/>
      <c r="E970" s="15"/>
    </row>
    <row r="971" ht="22.5" customHeight="1">
      <c r="A971" s="15"/>
      <c r="B971" s="15"/>
      <c r="C971" s="15"/>
      <c r="D971" s="15"/>
      <c r="E971" s="15"/>
    </row>
    <row r="972" ht="22.5" customHeight="1">
      <c r="A972" s="15"/>
      <c r="B972" s="15"/>
      <c r="C972" s="15"/>
      <c r="D972" s="15"/>
      <c r="E972" s="15"/>
    </row>
    <row r="973" ht="22.5" customHeight="1">
      <c r="A973" s="15"/>
      <c r="B973" s="15"/>
      <c r="C973" s="15"/>
      <c r="D973" s="15"/>
      <c r="E973" s="15"/>
    </row>
    <row r="974" ht="22.5" customHeight="1">
      <c r="A974" s="15"/>
      <c r="B974" s="15"/>
      <c r="C974" s="15"/>
      <c r="D974" s="15"/>
      <c r="E974" s="15"/>
    </row>
    <row r="975" ht="22.5" customHeight="1">
      <c r="A975" s="15"/>
      <c r="B975" s="15"/>
      <c r="C975" s="15"/>
      <c r="D975" s="15"/>
      <c r="E975" s="15"/>
    </row>
    <row r="976" ht="22.5" customHeight="1">
      <c r="A976" s="15"/>
      <c r="B976" s="15"/>
      <c r="C976" s="15"/>
      <c r="D976" s="15"/>
      <c r="E976" s="15"/>
    </row>
    <row r="977" ht="22.5" customHeight="1">
      <c r="A977" s="15"/>
      <c r="B977" s="15"/>
      <c r="C977" s="15"/>
      <c r="D977" s="15"/>
      <c r="E977" s="15"/>
    </row>
    <row r="978" ht="22.5" customHeight="1">
      <c r="A978" s="15"/>
      <c r="B978" s="15"/>
      <c r="C978" s="15"/>
      <c r="D978" s="15"/>
      <c r="E978" s="15"/>
    </row>
    <row r="979" ht="22.5" customHeight="1">
      <c r="A979" s="15"/>
      <c r="B979" s="15"/>
      <c r="C979" s="15"/>
      <c r="D979" s="15"/>
      <c r="E979" s="15"/>
    </row>
    <row r="980" ht="22.5" customHeight="1">
      <c r="A980" s="15"/>
      <c r="B980" s="15"/>
      <c r="C980" s="15"/>
      <c r="D980" s="15"/>
      <c r="E980" s="15"/>
    </row>
    <row r="981" ht="22.5" customHeight="1">
      <c r="A981" s="15"/>
      <c r="B981" s="15"/>
      <c r="C981" s="15"/>
      <c r="D981" s="15"/>
      <c r="E981" s="15"/>
    </row>
    <row r="982" ht="22.5" customHeight="1">
      <c r="A982" s="15"/>
      <c r="B982" s="15"/>
      <c r="C982" s="15"/>
      <c r="D982" s="15"/>
      <c r="E982" s="15"/>
    </row>
    <row r="983" ht="22.5" customHeight="1">
      <c r="A983" s="15"/>
      <c r="B983" s="15"/>
      <c r="C983" s="15"/>
      <c r="D983" s="15"/>
      <c r="E983" s="15"/>
    </row>
    <row r="984" ht="22.5" customHeight="1">
      <c r="A984" s="15"/>
      <c r="B984" s="15"/>
      <c r="C984" s="15"/>
      <c r="D984" s="15"/>
      <c r="E984" s="15"/>
    </row>
    <row r="985" ht="22.5" customHeight="1">
      <c r="A985" s="15"/>
      <c r="B985" s="15"/>
      <c r="C985" s="15"/>
      <c r="D985" s="15"/>
      <c r="E985" s="15"/>
    </row>
    <row r="986" ht="22.5" customHeight="1">
      <c r="A986" s="15"/>
      <c r="B986" s="15"/>
      <c r="C986" s="15"/>
      <c r="D986" s="15"/>
      <c r="E986" s="15"/>
    </row>
    <row r="987" ht="22.5" customHeight="1">
      <c r="A987" s="15"/>
      <c r="B987" s="15"/>
      <c r="C987" s="15"/>
      <c r="D987" s="15"/>
      <c r="E987" s="15"/>
    </row>
    <row r="988" ht="22.5" customHeight="1">
      <c r="A988" s="15"/>
      <c r="B988" s="15"/>
      <c r="C988" s="15"/>
      <c r="D988" s="15"/>
      <c r="E988" s="15"/>
    </row>
    <row r="989" ht="22.5" customHeight="1">
      <c r="A989" s="15"/>
      <c r="B989" s="15"/>
      <c r="C989" s="15"/>
      <c r="D989" s="15"/>
      <c r="E989" s="15"/>
    </row>
    <row r="990" ht="22.5" customHeight="1">
      <c r="A990" s="15"/>
      <c r="B990" s="15"/>
      <c r="C990" s="15"/>
      <c r="D990" s="15"/>
      <c r="E990" s="15"/>
    </row>
    <row r="991" ht="22.5" customHeight="1">
      <c r="A991" s="15"/>
      <c r="B991" s="15"/>
      <c r="C991" s="15"/>
      <c r="D991" s="15"/>
      <c r="E991" s="15"/>
    </row>
    <row r="992" ht="22.5" customHeight="1">
      <c r="A992" s="15"/>
      <c r="B992" s="15"/>
      <c r="C992" s="15"/>
      <c r="D992" s="15"/>
      <c r="E992" s="15"/>
    </row>
    <row r="993" ht="22.5" customHeight="1">
      <c r="A993" s="15"/>
      <c r="B993" s="15"/>
      <c r="C993" s="15"/>
      <c r="D993" s="15"/>
      <c r="E993" s="15"/>
    </row>
    <row r="994" ht="22.5" customHeight="1">
      <c r="A994" s="15"/>
      <c r="B994" s="15"/>
      <c r="C994" s="15"/>
      <c r="D994" s="15"/>
      <c r="E994" s="15"/>
    </row>
    <row r="995" ht="22.5" customHeight="1">
      <c r="A995" s="15"/>
      <c r="B995" s="15"/>
      <c r="C995" s="15"/>
      <c r="D995" s="15"/>
      <c r="E995" s="15"/>
    </row>
    <row r="996" ht="22.5" customHeight="1">
      <c r="A996" s="15"/>
      <c r="B996" s="15"/>
      <c r="C996" s="15"/>
      <c r="D996" s="15"/>
      <c r="E996" s="15"/>
    </row>
    <row r="997" ht="22.5" customHeight="1">
      <c r="A997" s="15"/>
      <c r="B997" s="15"/>
      <c r="C997" s="15"/>
      <c r="D997" s="15"/>
      <c r="E997" s="15"/>
    </row>
    <row r="998" ht="22.5" customHeight="1">
      <c r="A998" s="15"/>
      <c r="B998" s="15"/>
      <c r="C998" s="15"/>
      <c r="D998" s="15"/>
      <c r="E998" s="15"/>
    </row>
    <row r="999" ht="22.5" customHeight="1">
      <c r="A999" s="15"/>
      <c r="B999" s="15"/>
      <c r="C999" s="15"/>
      <c r="D999" s="15"/>
      <c r="E999" s="15"/>
    </row>
    <row r="1000" ht="22.5" customHeight="1">
      <c r="A1000" s="15"/>
      <c r="B1000" s="15"/>
      <c r="C1000" s="15"/>
      <c r="D1000" s="15"/>
      <c r="E1000" s="15"/>
    </row>
  </sheetData>
  <drawing r:id="rId1"/>
  <tableParts count="2">
    <tablePart r:id="rId4"/>
    <tablePart r:id="rId5"/>
  </tableParts>
</worksheet>
</file>
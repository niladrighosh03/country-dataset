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na" sheetId="1" r:id="rId4"/>
    <sheet state="visible" name="Yeferas Guks" sheetId="2" r:id="rId5"/>
    <sheet state="visible" name="Traditional Running" sheetId="3" r:id="rId6"/>
    <sheet state="visible" name="Aba Geda Wrestling" sheetId="4" r:id="rId7"/>
    <sheet state="visible" name="Afalula" sheetId="5" r:id="rId8"/>
    <sheet state="visible" name="Sidama Wrestling" sheetId="6" r:id="rId9"/>
    <sheet state="visible" name="Gebeta (Mancala)" sheetId="7" r:id="rId10"/>
    <sheet state="visible" name="Cow Jumping (Ukuli Bula)" sheetId="8" r:id="rId11"/>
  </sheets>
  <definedNames/>
  <calcPr/>
</workbook>
</file>

<file path=xl/sharedStrings.xml><?xml version="1.0" encoding="utf-8"?>
<sst xmlns="http://schemas.openxmlformats.org/spreadsheetml/2006/main" count="5240" uniqueCount="4709">
  <si>
    <t>Question no.</t>
  </si>
  <si>
    <t>Question</t>
  </si>
  <si>
    <t>Options</t>
  </si>
  <si>
    <t>Answer</t>
  </si>
  <si>
    <t>Description</t>
  </si>
  <si>
    <t>ጥያቄዎች</t>
  </si>
  <si>
    <t>አማራጭ ሀ</t>
  </si>
  <si>
    <t>አማራጭ ለ</t>
  </si>
  <si>
    <t>አማራጭ ሐ</t>
  </si>
  <si>
    <t>አማራጭ ዲ</t>
  </si>
  <si>
    <t>You are a goalie standing near the goal line. The opposing team kicks the ball and it suddenly hits your stick and goes into your goal. What happens?</t>
  </si>
  <si>
    <t>A. The opposing team has scored.B. You scored a goal for your team.C. The ball is considered out of play.D. The game restarted from the middle.</t>
  </si>
  <si>
    <t>The opposing team has scored.</t>
  </si>
  <si>
    <t>In Jena, if the ball goes into your own goal, the opposing team is awarded a point.</t>
  </si>
  <si>
    <t>Your teammate gives you the ball, but it's out of bounds before you can hit it with your stick. What's the next step?</t>
  </si>
  <si>
    <t>A. The opposing team gets the throw-in.B. Your team gets a throw-in.C. The game continues uninterrupted.D. The game was paused due to the incident.</t>
  </si>
  <si>
    <t>The opposing team gets the throw-in.</t>
  </si>
  <si>
    <t>When the ball goes out of bounds, the opposing team is allowed to go in.</t>
  </si>
  <si>
    <t>While trying to kick the ball, you accidentally hit an opposing player with your stick. What could be the result?</t>
  </si>
  <si>
    <t>A. The judge gave a warning.B. The referee gives a penalty to the opposing team.C. Removed from the gameD. The game was stopped and a foul was called.</t>
  </si>
  <si>
    <t>The referee gives a penalty to the opposing team.</t>
  </si>
  <si>
    <t>Hitting another player is considered a foul and results in a penalty for the opposing team.</t>
  </si>
  <si>
    <t>The ball stops moving towards the center of the field, and no players move towards it. What should the referee do?</t>
  </si>
  <si>
    <t>A. Restart play with a drop ball.B. Wait until a player approaches the ball.C. Declare destruction.D. Finish the game.</t>
  </si>
  <si>
    <t>Restart play with a drop ball.</t>
  </si>
  <si>
    <t>If the ball is in play with no active players, the referee will start play with a drop ball.</t>
  </si>
  <si>
    <t>You hit the ball hard, and it flies out of the playing field. What is the correct next step?</t>
  </si>
  <si>
    <t>A. The opposing team gets the throw-in.B. Your team gets a throw-in.C. The ball is returned to the field and play continues.D. Penalty awarded to the opposing team.</t>
  </si>
  <si>
    <t>When the ball goes out of bounds, the opposing team gets a throw-in.</t>
  </si>
  <si>
    <t>When Gena is playing, you notice that one of his teammate is holding the ball in his hand instead of using his stick. What should the referee do?</t>
  </si>
  <si>
    <t>A. Declare a foul and award a free kick to the opposing team.B. Allow the game to continue.C. Give points to the opposing team.D. Stop the game and restart with a drop ball.</t>
  </si>
  <si>
    <t>Declare a foul and award a free kick to the opposing team.</t>
  </si>
  <si>
    <t>Holding the ball in your hands is not allowed in Genna and is punishable as a foul.</t>
  </si>
  <si>
    <t>During a match in Genna, it starts to rain heavily and the field becomes slippery. What decision should the referee make?</t>
  </si>
  <si>
    <t>A. Pause the game.B. Allow the game to continue as normal.C. Declared the game a draw.D. Finish the game immediately.</t>
  </si>
  <si>
    <t>Pause the game.</t>
  </si>
  <si>
    <t>For safety reasons, the referee may temporarily stop the game if weather conditions worsen.</t>
  </si>
  <si>
    <t>You are the goalkeeper. You hold the ball with your stick near the goal. What should you do next?</t>
  </si>
  <si>
    <t>A. Pass the ball to a teammateB. Throw the ball into the field with your hand.C. Kick the ball into the opposing team's area.D. Hold the ball until the referee restarts play.</t>
  </si>
  <si>
    <t>Pass the ball to a teammate</t>
  </si>
  <si>
    <t>Goalkeepers in Genna must use their sticks to pass the ball to their teammates.</t>
  </si>
  <si>
    <t>The game is tied, there is one minute left on the clock. You scored a goal, but it was after the referee blew the whistle. What is the referee's call?</t>
  </si>
  <si>
    <t>A. The goal is invalid.B. The goal is correct.C. The goal was awarded as a penalty point.D. The game is paused for review.</t>
  </si>
  <si>
    <t>The goal is invalid.</t>
  </si>
  <si>
    <t>Any play after the referee's whistle is considered invalid, and the goal will not count.</t>
  </si>
  <si>
    <t>The match ends with both teams scoring the same number of goals. What is the next step?</t>
  </si>
  <si>
    <t>A. The match goes into extra time.B. The game was announced to have ended in a draw.C. A penalty kick will decide the winner.D. The team with fewer fouls wins.</t>
  </si>
  <si>
    <t>The game was announced to have ended in a draw.</t>
  </si>
  <si>
    <t>In Jena, if scores are tied, the match is usually declared a draw unless it is decided to be a draw.</t>
  </si>
  <si>
    <t>Your teammate scores a goal, but the referee notices that the player is standing outside the playing area. What happens?</t>
  </si>
  <si>
    <t>A. The goal is not eligible.B. The goal was awarded.C. The opposing team gets a free kick.D. The game restarted from the middle.</t>
  </si>
  <si>
    <t>The goal is not eligible.</t>
  </si>
  <si>
    <t>Goals scored by players standing outside the playing area are not valid.</t>
  </si>
  <si>
    <t>In the Jena match, the ball is damaged and cannot be used. What action will the referee take?</t>
  </si>
  <si>
    <t>A. Replace the ball with a new one.B. Pause the match indefinitelyC. Declared the game a draw.D. Ask players to continue with the damaged ball.</t>
  </si>
  <si>
    <t>Replace the ball with a new one.</t>
  </si>
  <si>
    <t>If the ball is damaged, it is replaced with a new one to continue the game.</t>
  </si>
  <si>
    <t>During the game, they accidentally kicked the ball, causing it to stop moving. What is the referee's decision?</t>
  </si>
  <si>
    <t>A. Declare a foul and award a free kick to the opposing team.B. The game continues.C. Give a penalty to the opposing team.D. Restart the game with a drop ball.</t>
  </si>
  <si>
    <t>Kicking the ball is a foul, which results in a free kick for the opposing team.</t>
  </si>
  <si>
    <t>You are about to hit the ball, but an opposing player deliberately blocks your shot. What does the referee do?</t>
  </si>
  <si>
    <t>A. Define offense and give your team a free pass.B. Allow the game to continue.C. Warn both players.D. Restart play with a drop ball.</t>
  </si>
  <si>
    <t>Define offense and give your team a free pass.</t>
  </si>
  <si>
    <t>Deliberately blocking the ball is a foul and the opposing team will be penalized.</t>
  </si>
  <si>
    <t>A spectator ran onto the field and disrupted the game during a football match. What is the referee's job?</t>
  </si>
  <si>
    <t>A. Pause the match until the field is cleared.B. Penalize the offending team.C. Ignore the interruption and continue the game.D. Restart the game from the middle.</t>
  </si>
  <si>
    <t>Pause the match until the field is cleared.</t>
  </si>
  <si>
    <t>The referee must ensure that the field is cleared before the game resumes.</t>
  </si>
  <si>
    <t>He hits the ball and it goes off the goalpost. What is the result?</t>
  </si>
  <si>
    <t>A. No goal was scored.B. Goal is given.C. Your team has been penalized.D. The game is paused for review.</t>
  </si>
  <si>
    <t>No goal was scored.</t>
  </si>
  <si>
    <t>For a goal to be scored, the ball must completely cross the goal line.</t>
  </si>
  <si>
    <t>In a football game, the referee notices that one team has an extra player on the field. What happens?</t>
  </si>
  <si>
    <t>A. The extra player is eliminated, and the opposing team gets a free kick.B. The match has been cancelled.C. The extra player is allowed to stay.D. The team with the extra player's score is reset.</t>
  </si>
  <si>
    <t>The extra player is eliminated, and the opposing team gets a free kick.</t>
  </si>
  <si>
    <t>Having an extra player is against the rules and is punishable by a free kick.</t>
  </si>
  <si>
    <t>The ball is hit in the air and lands directly into the goal without touching the ground. What is the referee's call?</t>
  </si>
  <si>
    <t>A. The goal is correct.B. The goal is invalid.C. Penalty awarded to the opposing team.D. The game restarted from the middle.</t>
  </si>
  <si>
    <t>The goal is correct.</t>
  </si>
  <si>
    <t>Goals scored directly in the air are valid in Genna.</t>
  </si>
  <si>
    <t>You notice the opposing team's players arguing with the referee. What should your team do?</t>
  </si>
  <si>
    <t>A. Continue playing until the referee stops play.B. Join the debate.C. Pause and wait until the argument is over.D. Leave the field.</t>
  </si>
  <si>
    <t>Continue playing until the referee stops play.</t>
  </si>
  <si>
    <t>The game should only be stopped when the referee signals.</t>
  </si>
  <si>
    <t>Your team is ahead in a football match, but the referee mistakenly awarded a goal to the opposing team. What should you do?</t>
  </si>
  <si>
    <t>A. Politely inform the judge of the mistake.B. They argued with the judge.C. Stop the match.D. Keep playing without complaining.</t>
  </si>
  <si>
    <t>Politely inform the judge of the mistake.</t>
  </si>
  <si>
    <t>Players must respectfully report errors to the referee.</t>
  </si>
  <si>
    <t>An opposing player deliberately delays the game by holding the ball. What is the referee's call?</t>
  </si>
  <si>
    <t>A. Give a warning and give your team a free rewardB. Allow the game to continue.C. Give your team a goalD. Restart the game from the middle.</t>
  </si>
  <si>
    <t>Give a warning and give your team a free reward</t>
  </si>
  <si>
    <t>It is a foul to intentionally delay the game.</t>
  </si>
  <si>
    <t>The referee signaled the end of the game, but one team continued to play and scored a goal. What happens?</t>
  </si>
  <si>
    <t>A. The goal is invalid.B. The goal is correct.C. The referee gave the team a penalty.D. The referee restarts the game.</t>
  </si>
  <si>
    <t>Goals scored after the referee's signal do not count.</t>
  </si>
  <si>
    <t>A Jena player replaces his broken stick during the game. What is the referee's decision?</t>
  </si>
  <si>
    <t>A. Allow the substitution and continue playing.B. Pause the game to examine the stick.C. Declare destruction.D. Give a penalty to the opposing team.</t>
  </si>
  <si>
    <t>Allow the substitution and continue playing.</t>
  </si>
  <si>
    <t>Players can replace damaged equipment without penalty.</t>
  </si>
  <si>
    <t>You kick the ball, and it accidentally hits an opposing player. What does the referee do?</t>
  </si>
  <si>
    <t>A. The game continues.B. Give a free prize to the opposing teamC. Give your team a penalty.D. Pause the game for a warning.</t>
  </si>
  <si>
    <t>The game continues.</t>
  </si>
  <si>
    <t>Accidents are not punishable unless they are intentional.</t>
  </si>
  <si>
    <t>The Jena match was interrupted by a sudden thunderstorm. What action was taken?</t>
  </si>
  <si>
    <t>A. Pause the match until the weather improves.B. Declared the game a draw.C. Award the winning team a prize.D. Restart the match later.</t>
  </si>
  <si>
    <t>Pause the match until the weather improves.</t>
  </si>
  <si>
    <t>Security concerns dictate that the match be stopped where it is.</t>
  </si>
  <si>
    <t>An opposing player scores a goal, but the referee sees that the ball has crossed the goal line after time has expired. What happens?</t>
  </si>
  <si>
    <t>A. The goal is invalid.B. The goal was awarded.C. Penalty kick taken.D. The match has restarted.</t>
  </si>
  <si>
    <t>Goals scored after time has expired are invalid.</t>
  </si>
  <si>
    <t>You notice that your teammate accidentally hit the ball with their hand. What is the referee's decision?</t>
  </si>
  <si>
    <t>A. Declare a foul and award a free kick to the opposing team.B. Ignore the event.C. Restart play with a drop ball.D. Give a penalty to the opposing team.</t>
  </si>
  <si>
    <t>In Ghana, hitting the ball with your hands is considered a bad thing.</t>
  </si>
  <si>
    <t>One of the players has fallen down during a game of tennis. What should the referee do?</t>
  </si>
  <si>
    <t>A. Pause the match and allow medical assistance.B. The game continues.C. Give a penalty to the injured player's team.D. Finish the game immediately.</t>
  </si>
  <si>
    <t>Pause the match and allow medical assistance.</t>
  </si>
  <si>
    <t>In such situations, player safety takes priority.</t>
  </si>
  <si>
    <t>You kick the ball, but it goes out of your team's goal. What is the referee's decision?</t>
  </si>
  <si>
    <t>A. The goal is correct.B. The goal is invalid.C. Give a penalty to the opposing team.D. Pause the game and restart it.</t>
  </si>
  <si>
    <t>The goals scored by teammates are valid.</t>
  </si>
  <si>
    <t>In a game of tennis, one team refused to continue playing due to a disagreement. What is the role of the referee?</t>
  </si>
  <si>
    <t>A. Declare the other team the winner.B. Pause the game and resolve the dispute.C. Cancel the match.D. Restart the game immediately.</t>
  </si>
  <si>
    <t>Pause the game and resolve the dispute.</t>
  </si>
  <si>
    <t>Disagreements must be resolved before continuing the game.</t>
  </si>
  <si>
    <t>While you are defending, an opposing player suddenly steps on your stick. What does the referee decide?</t>
  </si>
  <si>
    <t>A. No error, the game continues.B. Give a free prize to the opposing teamC. Warn your teamD. Pause the game and restart it with a dropped ball.</t>
  </si>
  <si>
    <t>No error, the game continues.</t>
  </si>
  <si>
    <t>Accidental tripping over a standing tree is not penalized.</t>
  </si>
  <si>
    <t>The ball stops exactly on the goal line but does not completely cross it. What happens?</t>
  </si>
  <si>
    <t>A. No goal was scored.B. The goal was awarded.C. The game is paused for review.D. The opposing team gets a free kick.</t>
  </si>
  <si>
    <t>The ball must completely cross the line to count as a goal.</t>
  </si>
  <si>
    <t>They kick the ball, but it lands outside the playing area. What is the referee's decision?</t>
  </si>
  <si>
    <t>A. Give a free prize to the opposing teamB. Restart the game from the place where the ball was kicked.C. Give a penalty to the opposing team.D. The game continues.</t>
  </si>
  <si>
    <t>Give a free prize to the opposing team</t>
  </si>
  <si>
    <t>Kicking the ball out of bounds gives the opposing team a chance to gain possession of the ball.</t>
  </si>
  <si>
    <t>A player from your team argued with the referee after a decision. What happens next?</t>
  </si>
  <si>
    <t>A. The player will receive a warning.B. The player was sent off with a red card.C. The game has been paused indefinitely.D. The argument is ignored.</t>
  </si>
  <si>
    <t>The player will receive a warning.</t>
  </si>
  <si>
    <t>Arguing with the referee can lead to discouragement and a penalty.</t>
  </si>
  <si>
    <t>Your stick suddenly breaks during a keystroke. What should you do?</t>
  </si>
  <si>
    <t>A. Replace it with another stick.B. Pause the game to fix it.C. Keep playing with the broken stick.D. Ask the referee to stop the game.</t>
  </si>
  <si>
    <t>Replace it with another stick.</t>
  </si>
  <si>
    <t>Players are allowed to change sticks if equipment is damaged.</t>
  </si>
  <si>
    <t>During the game, a player intentionally kicks the ball. What is the referee's call?</t>
  </si>
  <si>
    <t>A. Declare a foul and award a free kick to the opposing team.B. The game continues.C. Give a penalty to the opposing team.D. Restart the game from the middle.</t>
  </si>
  <si>
    <t>Kicking the ball is not allowed and will be punished as a foul.</t>
  </si>
  <si>
    <t>The Jena match ends in a draw after normal time. What happens next?</t>
  </si>
  <si>
    <t>A. Extra time played.B. The game ends in a draw.C. Penalty kick taken.D. The match has restarted.</t>
  </si>
  <si>
    <t>Extra time played.</t>
  </si>
  <si>
    <t>In the event of a tie, extra time will be used to determine the winner.</t>
  </si>
  <si>
    <t>Instead of your stick, you suddenly block the opponent's kick with your body. What is the referee's decision?</t>
  </si>
  <si>
    <t>A. The game continues.B. Give a free prize to the opposing teamC. Pause the match for a warning.D. Give a penalty to the opposing team.</t>
  </si>
  <si>
    <t>Using the body to block the ball is considered bad.</t>
  </si>
  <si>
    <t>The ball is kicked, and it lands right on the edge of the playing area. What does the referee do?</t>
  </si>
  <si>
    <t>A. The game continues.B. Give a free prize to the opposing teamC. Pause the game to check the position of the ball.D. Restart the game with a drop ball.</t>
  </si>
  <si>
    <t>The game continues as long as the ball is within the line.</t>
  </si>
  <si>
    <t>A player takes too long to move during their turn. What does the referee decide?</t>
  </si>
  <si>
    <t>A. Warn the player and restart play.B. The game continues.C. Give a free prize to the opposing teamD. Stop the match with a time violation</t>
  </si>
  <si>
    <t>Warn the player and restart play.</t>
  </si>
  <si>
    <t>Delays are handled with warnings to maintain game flow.</t>
  </si>
  <si>
    <t>Your team scores a goal, but the referee sees that your player interfered with the opposing goalkeeper. What is the result?</t>
  </si>
  <si>
    <t>A. The goal is forbidden.B. The goal was awarded.C. Penalty awarded to the opposing team.D. The game restarted from the middle.</t>
  </si>
  <si>
    <t>The goal is forbidden.</t>
  </si>
  <si>
    <t>Interference with the goalkeeper renders the goal invalid.</t>
  </si>
  <si>
    <t>The ball hits a tree near the field and is returned to play. What does the referee do?</t>
  </si>
  <si>
    <t>A. Pause the game and restart it with a dropped ball.B. The game continues.C. Ownership of the prize for the opposing teamD. Give your team a free prize</t>
  </si>
  <si>
    <t>Pause the game and restart it with a dropped ball.</t>
  </si>
  <si>
    <t>External interference requires the game to stop where it is.</t>
  </si>
  <si>
    <t>During the game, an opponent deliberately pushes you. What does the referee decide?</t>
  </si>
  <si>
    <t>A. Give your team a free prizeB. Warn both players.C. The game continues.D. Restart the game from the middle.</t>
  </si>
  <si>
    <t>Give your team a free prize</t>
  </si>
  <si>
    <t>Intentional pushing is a foul, punishable by a free kick.</t>
  </si>
  <si>
    <t>The referee blows the whistle, but you play and score a goal. What happens?</t>
  </si>
  <si>
    <t>A. The goal is invalid.B. The goal was awarded.C. Your team has been penalized.D. The game restarted from the middle.</t>
  </si>
  <si>
    <t>Goals scored after the whistle do not count.</t>
  </si>
  <si>
    <t>Your teammate accidentally hits the ball towards you. What should you do?</t>
  </si>
  <si>
    <t>A. Defend the goal and clear the ball.B. The ball goes into the goal.C. Ask the referee to pause the game.D. Wait for the opposing player to respond.</t>
  </si>
  <si>
    <t>Defend the goal and clear the ball.</t>
  </si>
  <si>
    <t>Players can defend their own goal to prevent a goal from being scored.</t>
  </si>
  <si>
    <t>A sudden gust of wind moves the ball towards the goal without hitting it. What does the referee decide?</t>
  </si>
  <si>
    <t>A. The goal is invalid.B. The goal was awarded.C. Penalty awarded to the opposing team.D. Restart the game with a drop ball.</t>
  </si>
  <si>
    <t>Goals should be scored by players, not by external factors.</t>
  </si>
  <si>
    <t>The ball hits two opponents and goes into the goal. What does the referee say?</t>
  </si>
  <si>
    <t>A. The goal is correct.B. The goal is invalid.C. Give a penalty to the opposing team.D. Restart the game from the middle.</t>
  </si>
  <si>
    <t>Goals are valid even if the ball touches the opposition before entering the goal.</t>
  </si>
  <si>
    <t>During a strike, your stick accidentally touches an opposing player's stick. What happens?</t>
  </si>
  <si>
    <t>A. The judge gave a warning.B. The game continues as usual.C. The referee awarded a penalty kick to the opposing team.D. The match has been stopped for review.</t>
  </si>
  <si>
    <t>The game continues as usual.</t>
  </si>
  <si>
    <t>Casual contact between sticks is not punished.</t>
  </si>
  <si>
    <t>A dog runs onto the field during a game and stops the ball. What does the referee do?</t>
  </si>
  <si>
    <t>A. Pause the game and restart it with a dropped ball.B. Give your team a free prizeC. The game continues.D. Ownership of the prize for the opposing team</t>
  </si>
  <si>
    <t>Foreign interference wants the game to stop where it is.</t>
  </si>
  <si>
    <t>They accidentally kick the ball back, giving the ball to the opposing team. What happens?</t>
  </si>
  <si>
    <t>A. The game continues as usual.B. The judge will award your team a free prize.C. The referee has paused the game.D. Penalty awarded to the opposing team.</t>
  </si>
  <si>
    <t>Attacks made from behind are not punished unless they are intentional.</t>
  </si>
  <si>
    <t>An opponent's stick breaks during the game, but they continue playing without replacing it. What is the referee's decision?</t>
  </si>
  <si>
    <t>A. The game continues.B. Pause the game and issue a warningC. Give your team a free prizeD. Restart the game with a drop ball.</t>
  </si>
  <si>
    <t>It is permissible to continue playing with broken wood unless it poses a safety risk.</t>
  </si>
  <si>
    <t>Your team's goalkeeper holds the ball in their hands instead of using their stick. What happens?</t>
  </si>
  <si>
    <t>A. The opposing team has been penalized.B. The game continues.C. Your team has been warned.D. If the goal is scored, it is disallowed.</t>
  </si>
  <si>
    <t>The opposing team has been penalized.</t>
  </si>
  <si>
    <t>Goalkeepers cannot use their hands; it will result in a penalty.</t>
  </si>
  <si>
    <t>The ball has left the spectator's court and is back in play. What does the referee decide?</t>
  </si>
  <si>
    <t>A. Pause the game and restart it with a dropped ball.B. Ownership of the prize for the opposing teamC. The game continues.D. Give your team a free prize</t>
  </si>
  <si>
    <t>Off-field interference requires a restart of play.</t>
  </si>
  <si>
    <t>Your team accidentally scored an own goal. What is the result?</t>
  </si>
  <si>
    <t>A. The goal was awarded to the opposing team.B. The goal is forbidden.C. The referee has paused the game.D. The game restarted from the middle.</t>
  </si>
  <si>
    <t>The goal was awarded to the opposing team.</t>
  </si>
  <si>
    <t>Own goals count as points for the opposing team.</t>
  </si>
  <si>
    <t>The ball rolls into the pond and stops. What happens next?</t>
  </si>
  <si>
    <t>A. The referee stops the game and moves the ball.B. The referee allows the game to continue.C. The opposing team gains control of the ball.D. Restart the game with a free kick.</t>
  </si>
  <si>
    <t>The referee stops the game and moves the ball.</t>
  </si>
  <si>
    <t>Water intrusion requires starting over from the right place.</t>
  </si>
  <si>
    <t>An opposing player deliberately stands in front of your shot to block it. What is the referee's call?</t>
  </si>
  <si>
    <t>A. Give your team a free prizeB. Warn the opposing player.C. The game continues.D. Pause the game and issue a warning</t>
  </si>
  <si>
    <t>Deliberately blocking without using the stick is punishable by a fine.</t>
  </si>
  <si>
    <t>The ball is hit and gets stuck in a bush near the field. What does the referee do?</t>
  </si>
  <si>
    <t>A. Pause the game and restart it with a dropped ball.B. Award possession to your team.C. The game continues.D. Give a free prize to the opposing team</t>
  </si>
  <si>
    <t>External obstacles require the game to be launched properly.</t>
  </si>
  <si>
    <t>You kick the ball, and it goes into the goal from your teammate's stick. What is the referee's call?</t>
  </si>
  <si>
    <t>A. The goal was awarded.B. The goal is forbidden.C. Penalty awarded to the opposing team.D. The referee paused the game for review.</t>
  </si>
  <si>
    <t>The goal was awarded.</t>
  </si>
  <si>
    <t>Taking the stick away from teammates are valid goals.</t>
  </si>
  <si>
    <t>A strong wind blows the ball out of bounds. What happens next?</t>
  </si>
  <si>
    <t>A. The opposing team gets a free kick.B. The game was stopped and restarted with a thrown ball.C. Your team has been awarded a free prize.D. The game continues as usual.</t>
  </si>
  <si>
    <t>The game was stopped and restarted with a thrown ball.</t>
  </si>
  <si>
    <t>External factors such as wind lead to an independent reset.</t>
  </si>
  <si>
    <t>Your teammate kicks the ball, but it hits your foot before it goes into the goal. What is the result?</t>
  </si>
  <si>
    <t>A. The goal is forbidden.B. The goal was awarded.C. The opposing team has been penalized.D. The game is paused for review.</t>
  </si>
  <si>
    <t>Goals scored after a touch of the foot are invalid.</t>
  </si>
  <si>
    <t>You are defending, and the ball suddenly goes off your stick and into the goal. What is the referee's decision?</t>
  </si>
  <si>
    <t>A. The goal was awarded to the opposing team.B. The goal is forbidden.C. The referee has paused the game.D. Your team gains possession.</t>
  </si>
  <si>
    <t>During a game, two players from opposing teams collide and fall. What does the referee do?</t>
  </si>
  <si>
    <t>A. Pause the game and restart it with a dropped ball.B. Give a free prize to a teamC. Warn both players.D. The game continues.</t>
  </si>
  <si>
    <t>Sudden conflicts require a neutral restart.</t>
  </si>
  <si>
    <t>A player swings his stick dangerously at another player. What does the referee decide?</t>
  </si>
  <si>
    <t>A. Give the player a warning.B. Give a free prize to the opposing teamC. For safety reasons, pause the game.D. The game continues.</t>
  </si>
  <si>
    <t>Give the player a warning.</t>
  </si>
  <si>
    <t>Careless use of a cane is discouraged, even with warnings.</t>
  </si>
  <si>
    <t>The ball is kicked but does not reach the opponent's half within the time limit. What happens?</t>
  </si>
  <si>
    <t>A. The opposing team gains control of the ball.B. The game is paused for review.C. A free hit is awarded to the opposing team.D. The game continues as usual.</t>
  </si>
  <si>
    <t>The opposing team gains control of the ball.</t>
  </si>
  <si>
    <t>Not being able to move the ball makes a difference.</t>
  </si>
  <si>
    <t>The referee notices a player who is deliberately wasting time. What is the decision?</t>
  </si>
  <si>
    <t>A. Warn the player and restart play.B. Give a free prize to the opposing teamC. Pause the game and give a penalty.D. The game continues.</t>
  </si>
  <si>
    <t>Time wasting is punished with warnings.</t>
  </si>
  <si>
    <t>A player uses his stick to dangerously lift the ball into the face of another player. What does the referee do?</t>
  </si>
  <si>
    <t>A. Stop playing and give a warning.B. The game continues.C. Give a penalty to the opposing team.D. Stop where you are and restart with a drop ball.</t>
  </si>
  <si>
    <t>Stop playing and give a warning.</t>
  </si>
  <si>
    <t>Dangerous play with sticks is punishable for safety reasons.</t>
  </si>
  <si>
    <t>The ball has gone off the bench and out of bounds. What happens?</t>
  </si>
  <si>
    <t>A. No goal was given.B. The goal was awarded.C. Penalty awarded to the opposing team.D. The game is paused for review.</t>
  </si>
  <si>
    <t>No goal was given.</t>
  </si>
  <si>
    <t>For a goal to be scored, the ball must completely cross the line.</t>
  </si>
  <si>
    <t>Your teammate goes out of bounds while holding the stick. What is the referee's call?</t>
  </si>
  <si>
    <t>A. Ownership of the prize for the opposing teamB. Pause the game.C. The game continues.D. Warn the player.</t>
  </si>
  <si>
    <t>Ownership of the prize for the opposing team</t>
  </si>
  <si>
    <t>Players must stay within the limits during the game.</t>
  </si>
  <si>
    <t>The referee saw two players arguing in the middle of the game. What action was taken?</t>
  </si>
  <si>
    <t>A. Pause the game and warn both players.B. The game continues.C. Penalize a playerD. Restart the game from the middle.</t>
  </si>
  <si>
    <t>Pause the game and warn both players.</t>
  </si>
  <si>
    <t>Arguments spoil the game and are punished with a warning.</t>
  </si>
  <si>
    <t>A player scores a goal but the referee decides they are offside. What is the result?</t>
  </si>
  <si>
    <t>A. The goal is forbidden.B. The goal was awarded.C. The game was restarted with a penalty.D. The goal is to stop.</t>
  </si>
  <si>
    <t>Players must be on their side for the goal to count.</t>
  </si>
  <si>
    <t>A player celebrates before scoring a goal, but their hesitation allows him to steal the ball. What happens?</t>
  </si>
  <si>
    <t>A. The game continues.B. The judge gave a warning.C. Give a free prize to the opposing teamD. Pause the game for unsportsmanlike behavior.</t>
  </si>
  <si>
    <t>Respecting or hesitating during a game does not stop the game.</t>
  </si>
  <si>
    <t>The ball suddenly hit the referee and went into the goal. What was the referee's decision?</t>
  </si>
  <si>
    <t>A. Don't concede a goal and start over with a dropped ball.B. Give the goal.C. Pause the game and give the ball to the opposing team.D. The game continues.</t>
  </si>
  <si>
    <t>Don't concede a goal and start over with a dropped ball.</t>
  </si>
  <si>
    <t>Goals cannot be awarded if the ball hits the referee.</t>
  </si>
  <si>
    <t>An opposing player is injured but your team does not stop playing. What does the referee do?</t>
  </si>
  <si>
    <t>A. Pause the game and restart it with a dropped ball.B. The game continues.C. Give a free reward to the injured player's team.D. Warn your team</t>
  </si>
  <si>
    <t>Player injuries require a neutral reset for fairness.</t>
  </si>
  <si>
    <t>A player deliberately kicks the ball to stop an opposing attack. What is the referee's call?</t>
  </si>
  <si>
    <t>A. Give a free prize to the opposing teamB. The game continues.C. Give the player a warning.D. Pause the game and restart it with a dropped ball.</t>
  </si>
  <si>
    <t>Intentional off-field play is penalized.</t>
  </si>
  <si>
    <t>The referee saw two players exchanging blows during the game. What happened?</t>
  </si>
  <si>
    <t>A. The game continues.B. Pause the game and issue a warningC. Give a free prize to the opposing teamD. Restart with a drop ball</t>
  </si>
  <si>
    <t>Players are allowed to exchange sticks as long as it does not disrupt the game.</t>
  </si>
  <si>
    <t>The ball rolls over the goal line but does not cross it. What is the referee's decision?</t>
  </si>
  <si>
    <t>A. No goal was given.B. Goal AwardC. Pause the game.D. Give your team a free prize</t>
  </si>
  <si>
    <t>A player accidentally swings his stick and hits another player. What does the referee decide?</t>
  </si>
  <si>
    <t>A. Pause the game and issue a warningB. The game continues.C. Give a penalty to the opposing team.D. Restart the game with a drop ball.</t>
  </si>
  <si>
    <t>Pause the game and issue a warning</t>
  </si>
  <si>
    <t>Accidental contact is penalized to ensure player safety.</t>
  </si>
  <si>
    <t>The substitute must enter the field before his teammate leaves. What will happen?</t>
  </si>
  <si>
    <t>A. The referee stopped the game and gave a warning.B. The game continues.C. Give a free prize to the opposing teamD. Stop where you are and restart with a drop ball.</t>
  </si>
  <si>
    <t>The referee stopped the game and gave a warning.</t>
  </si>
  <si>
    <t>Early replacement is punished to maintain order.</t>
  </si>
  <si>
    <t>A strong gust of wind pushes the ball towards the goal. What is the referee's decision?</t>
  </si>
  <si>
    <t>A. Give the goal.B. Don't let the goal go.C. Pause the game and restart it with a dropped ball.D. Give a free prize to the opposing team</t>
  </si>
  <si>
    <t>Give the goal.</t>
  </si>
  <si>
    <t>Natural factors such as wind do not disrupt goals.</t>
  </si>
  <si>
    <t>A player scores a goal when their tackle is broken. What does the referee decide?</t>
  </si>
  <si>
    <t>A. Give the goal.B. Don't let the goal go.C. Pause the game and issue a warningD. Restart with a drop ball</t>
  </si>
  <si>
    <t>Don't let the goal go.</t>
  </si>
  <si>
    <t>Players must use practical tools for accurate goals.</t>
  </si>
  <si>
    <t>The ball is stuck between two rocks on the field. What is the referee's call?</t>
  </si>
  <si>
    <t>A. Pause the game and restart it with a dropped ball.B. Ownership of the prize for the opposing teamC. The game continues.D. Remove the obstacle and continue.</t>
  </si>
  <si>
    <t>Obstacles require a neutral restart to stop the game.</t>
  </si>
  <si>
    <t>A player deliberately delayed the restart after his team had been awarded a free kick. What was the referee's decision?</t>
  </si>
  <si>
    <t>A. Warn the player and allow the free kick.B. Give a penalty to the opposing team.C. Pause the game.D. The game continues.</t>
  </si>
  <si>
    <t>Warn the player and allow the free kick.</t>
  </si>
  <si>
    <t>Intentional delays result in warnings.</t>
  </si>
  <si>
    <t>The referee mistakenly awarded a goal to the wrong team. What happens next?</t>
  </si>
  <si>
    <t>A. Fix the error and restart the game.B. The decision is final.C. Give a free prize to the opposing teamD. Pause the game.</t>
  </si>
  <si>
    <t>Fix the error and restart the game.</t>
  </si>
  <si>
    <t>Errors can be corrected before the game resumes.</t>
  </si>
  <si>
    <t>A player scored a goal but was offside during the shot. What was the referee's call?</t>
  </si>
  <si>
    <t>A. Don't let the goal go.B. Give the goal.C. Pause the game.D. Give a penalty to the opposing team.</t>
  </si>
  <si>
    <t>Players need to be on their side to score accurate goals.</t>
  </si>
  <si>
    <t>Two players are arguing over possession. What does the referee do?</t>
  </si>
  <si>
    <t>A. Pause the game and restart it with a dropped ball.B. Giving a prize to a teamC. The game continues.D. Warn both players and play again.</t>
  </si>
  <si>
    <t>Disagreements are resolved by a neutral reset.</t>
  </si>
  <si>
    <t>A player hits the ball and it bounces back into his hand. What happens next?</t>
  </si>
  <si>
    <t>A. Give a free prize to the opposing teamB. The game continues.C. Pause the game and warn the player.D. Award possession to your team.</t>
  </si>
  <si>
    <t>Hand contact with the ball is not allowed.</t>
  </si>
  <si>
    <t>Your team has scored a point, but the referee has noticed that the goalpost is not in the correct position. What happens?</t>
  </si>
  <si>
    <t>A. Don't allow the goal and restart the game.B. Give the goal.C. Pause the game.D. Give your team a penalty.</t>
  </si>
  <si>
    <t>Don't allow the goal and restart the game.</t>
  </si>
  <si>
    <t>Goals scored with the wrong equipment are invalid.</t>
  </si>
  <si>
    <t>The referee hears an inappropriate comment from the player. What is the referee's decision?</t>
  </si>
  <si>
    <t>A. Warn the player and restart play.B. Pause the game.C. Give a free prize to the opposing teamD. The game continues.</t>
  </si>
  <si>
    <t>Unsportsmanlike conduct will be punished with a warning.</t>
  </si>
  <si>
    <t>A player intentionally blocks the goalkeeper's view. What is the referee's call?</t>
  </si>
  <si>
    <t>A. Give a free prize to the opposing teamB. The game continues.C. Pause the game and warn the player.D. Prize money for the goalkeeper's team</t>
  </si>
  <si>
    <t>Obstructing the goalkeeper is punishable.</t>
  </si>
  <si>
    <t>The ball accidentally hits the referee's chest and stops. What happens?</t>
  </si>
  <si>
    <t>A. Restart the game with a drop ball.B. Ownership of the prize for the opposing teamC. The game continues.D. Pause the game and warn the player.</t>
  </si>
  <si>
    <t>Restart the game with a drop ball.</t>
  </si>
  <si>
    <t>The game restarts neutrally after the referee intervenes.</t>
  </si>
  <si>
    <t>When a player scores a goal, their team has too many players on the field. What does the referee decide?</t>
  </si>
  <si>
    <t>A. Don't let the goal go and give a warning.B. Give the goal.C. The game continues.D. Pause the game and restart it with a dropped ball.</t>
  </si>
  <si>
    <t>Don't let the goal go and give a warning.</t>
  </si>
  <si>
    <t>More players on the field lead to a goal being disallowed.</t>
  </si>
  <si>
    <t>The ball leaves the spectator and goes into the goal. What happens next?</t>
  </si>
  <si>
    <t>A. Don't concede a goal and start over with a dropped ball.B. Give the goal.C. The game continues.D. Give a free prize to the opposing team</t>
  </si>
  <si>
    <t>Outside play interference spoils the goal.</t>
  </si>
  <si>
    <t>A player intentionally uses his foot to stop the ball. What is the referee's call?</t>
  </si>
  <si>
    <t>A. Give a free prize to the opposing teamB. The game continues.C. Pause the game and issue a warningD. Restart with a drop ball</t>
  </si>
  <si>
    <t>Intentional use of the foot is punishable.</t>
  </si>
  <si>
    <t>During a fast-paced game, two players collide while aiming for the ball. What does the referee decide?</t>
  </si>
  <si>
    <t>A. Pause the game and restart it with a dropped ball.B. Giving a prize to a teamC. The game continues.D. Give a warning to both players.</t>
  </si>
  <si>
    <t>Sudden conflicts result in a random restart.</t>
  </si>
  <si>
    <t>A player uses an oversized stick during a game. What does the referee do?</t>
  </si>
  <si>
    <t>A. Pause the game and issue a warningB. Give a penalty to the opposing team.C. The game continues.D. Restart with a drop ball</t>
  </si>
  <si>
    <t>Equipment violations are punished to maintain fairness.</t>
  </si>
  <si>
    <t>A player passes the ball to a teammate who is out of play. What happens next?</t>
  </si>
  <si>
    <t>A. Give a free prize to the opposing teamB. The game continues.C. Pause the game and issue a warningD. Give a penalty to the opposing team.</t>
  </si>
  <si>
    <t>Passing to a teammate who is out of the game is penalized.</t>
  </si>
  <si>
    <t>The ball is stuck in a tree on the field. What does the referee do?</t>
  </si>
  <si>
    <t>A. Pause the game and restart it with a dropped ball.B. Awarding the team closest to the ballC. The game continues.D. Remove the obstacle and restart the game.</t>
  </si>
  <si>
    <t>Unusual obstacles require an independent reset.</t>
  </si>
  <si>
    <t>A player deliberately delays the game by hiding the ball. What is the referee's decision?</t>
  </si>
  <si>
    <t>A. Pause the game and issue a warningB. The game continues.C. Give a penalty to the opposing team.D. Restart with a drop ball</t>
  </si>
  <si>
    <t>Intentional delays will be punished with unsportsmanlike conduct.</t>
  </si>
  <si>
    <t>The referee accidentally gives a point to the wrong team. What happens next?</t>
  </si>
  <si>
    <t>A. Adjust the score and continue the game.B. The decision is final.C. Pause the game.D. Give a free prize to the opposing team</t>
  </si>
  <si>
    <t>Adjust the score and continue the game.</t>
  </si>
  <si>
    <t>The referees can correct errors before the game resumes.</t>
  </si>
  <si>
    <t>A player's stick breaks during play. What does the referee do?</t>
  </si>
  <si>
    <t>A. Pause the game and allow the player to replace the stickB. Let play continueC. Award possession to the opposing teamD. Restart with a drop ball</t>
  </si>
  <si>
    <t>Pause the game and allow the player to replace the stick</t>
  </si>
  <si>
    <t>Broken equipment must be replaced to ensure safety.</t>
  </si>
  <si>
    <t>A player scores, but the ball briefly goes out of bounds before the goal. What is the referee's decision?</t>
  </si>
  <si>
    <t>A. Disallow the goalB. Award the goalC. Pause the game for reviewD. Award a free hit to the opposing team</t>
  </si>
  <si>
    <t>Disallow the goal</t>
  </si>
  <si>
    <t>The ball must remain in bounds for a valid goal.</t>
  </si>
  <si>
    <t>The referee stops the game for a water break. What happens when play resumes?</t>
  </si>
  <si>
    <t>A. Restart with a drop ballB. Award possession to one teamC. Let the team that last had the ball resume playD. Start with a penalty to the leading team</t>
  </si>
  <si>
    <t>Restart with a drop ball</t>
  </si>
  <si>
    <t>Neutral restarts ensure fairness after breaks.</t>
  </si>
  <si>
    <t>A player accidentally steps out of the field while chasing the ball. What is the referee's call?</t>
  </si>
  <si>
    <t>A. Let play continueB. Award a free hit to the opposing teamC. Pause the game and restart with a drop ballD. Issue a warning to the player</t>
  </si>
  <si>
    <t>Let play continue</t>
  </si>
  <si>
    <t>Accidental steps out of bounds do not stop play.</t>
  </si>
  <si>
    <t>The ball gets punctured during play. What does the referee do?</t>
  </si>
  <si>
    <t>A. Pause the game and replace the ballB. Let play continueC. Award possession to the opposing teamD. Restart with a drop ball</t>
  </si>
  <si>
    <t>Pause the game and replace the ball</t>
  </si>
  <si>
    <t>Damaged equipment must be replaced immediately.</t>
  </si>
  <si>
    <t>A goal is scored, but the referee notices a foul occurred just before the shot. What happens next?</t>
  </si>
  <si>
    <t>A. Disallow the goal and award a free hit to the opposing teamB. Award the goalC. Pause the game for reviewD. Let play continue</t>
  </si>
  <si>
    <t>Disallow the goal and award a free hit to the opposing team</t>
  </si>
  <si>
    <t>Fouls negate goals scored during the same play.</t>
  </si>
  <si>
    <t>A substitute enters the game without notifying the referee. What happens?</t>
  </si>
  <si>
    <t>A. Pause the game and issue a warningB. Let play continueC. Award possession to the opposing teamD. Restart with a drop ball</t>
  </si>
  <si>
    <t>Unauthorized substitutions are penalized.</t>
  </si>
  <si>
    <t>A player argues with the referee during the game. What is the referee's response?</t>
  </si>
  <si>
    <t>A. Warn the player and resume playB. Let play continueC. Award a penalty to the opposing teamD. Pause the game for review</t>
  </si>
  <si>
    <t>Warn the player and resume play</t>
  </si>
  <si>
    <t>Disputing referee decisions is penalized.</t>
  </si>
  <si>
    <t>The referee drops their whistle, and play continues. What happens next?</t>
  </si>
  <si>
    <t>A. Let play continueB. Pause the game and retrieve the whistleC. Restart with a drop ballD. Award possession to the opposing team</t>
  </si>
  <si>
    <t>Dropped equipment does not stop play.</t>
  </si>
  <si>
    <t>A player scores but uses their hand to deflect the ball into the goal. What is the referee's call?</t>
  </si>
  <si>
    <t>A. Disallow the goalB. Award the goalC. Pause the game for reviewD. Restart with a drop ball</t>
  </si>
  <si>
    <t>Goals scored with hands are invalid.</t>
  </si>
  <si>
    <t>A player attempts a goal, but the ball hits both goalposts and bounces out. What does the referee decide?</t>
  </si>
  <si>
    <t>A. No goalB. Award the goalC. Pause the game for reviewD. Award a penalty to the opposing team</t>
  </si>
  <si>
    <t>No goal</t>
  </si>
  <si>
    <t>The ball must cross the line to count as a goal.</t>
  </si>
  <si>
    <t>A player swings their stick and accidentally hits an opponent. What happens next?</t>
  </si>
  <si>
    <t>A. Pause the game and issue a warningB. Let play continueC. Award a penalty to the opposing teamD. Restart with a drop ball</t>
  </si>
  <si>
    <t>Accidental fouls result in warnings or penalties.</t>
  </si>
  <si>
    <t>The ball lands on the goal line but does not fully cross it. What is the referee's decision?</t>
  </si>
  <si>
    <t>A. No goalB. Award the goalC. Pause the game for reviewD. Restart with a drop ball</t>
  </si>
  <si>
    <t>A goal is only valid if the ball fully crosses the line.</t>
  </si>
  <si>
    <t>A player blocks the ball with their stick above shoulder height. What does the referee decide?</t>
  </si>
  <si>
    <t>A. Award a free hit to the opposing teamB. Let play continueC. Pause the game for a warningD. Award a penalty to the opposing team</t>
  </si>
  <si>
    <t>Award a free hit to the opposing team</t>
  </si>
  <si>
    <t>High stick blocks are not allowed in Genna.</t>
  </si>
  <si>
    <t>The referee sees a player use foul language toward another player. What action is taken?</t>
  </si>
  <si>
    <t>A. Issue a warning to the playerB. Let play continueC. Award a penalty to the opposing teamD. Pause the game for review</t>
  </si>
  <si>
    <t>Issue a warning to the player</t>
  </si>
  <si>
    <t>Unsportsmanlike behavior is penalized.</t>
  </si>
  <si>
    <t>A team scores, but the referee notices a player was offside during the play. What happens?</t>
  </si>
  <si>
    <t>A. Disallow the goal and restart with a free hitB. Award the goalC. Let play continueD. Pause the game for review</t>
  </si>
  <si>
    <t>Disallow the goal and restart with a free hit</t>
  </si>
  <si>
    <t>Offside actions negate goals.</t>
  </si>
  <si>
    <t>The ball deflects off a player's helmet and enters the goal. What is the ruling?</t>
  </si>
  <si>
    <t>A. Award the goalB. Disallow the goalC. Pause the game for reviewD. Award a free hit to the opposing team</t>
  </si>
  <si>
    <t>Award the goal</t>
  </si>
  <si>
    <t>Goals off helmets are valid as long as it was unintentional.</t>
  </si>
  <si>
    <t>A player intentionally slows down the game by repeatedly holding the ball. What does the referee do?</t>
  </si>
  <si>
    <t>A. Issue a warning to the playerB. Let play continueC. Award a free hit to the opposing teamD. Pause the game for review</t>
  </si>
  <si>
    <t>Deliberate delays result in warnings.</t>
  </si>
  <si>
    <t>A player attempts to score from outside the designated scoring zone. What is the referee's call?</t>
  </si>
  <si>
    <t>A. Disallow the goalB. Award the goalC. Pause the game for reviewD. Award a penalty to the opposing team</t>
  </si>
  <si>
    <t>Scoring must occur within the designated zone.</t>
  </si>
  <si>
    <t>The referee spots two players arguing during the game. What happens next?</t>
  </si>
  <si>
    <t>A. Pause the game and issue warnings to both playersB. Let play continueC. Award a penalty to one teamD. Restart with a drop ball</t>
  </si>
  <si>
    <t>Pause the game and issue warnings to both players</t>
  </si>
  <si>
    <t>Arguments are addressed to maintain sportsmanship.</t>
  </si>
  <si>
    <t>The ball is kicked into the goal by accident. What is the referee's decision?</t>
  </si>
  <si>
    <t>Goals scored by kicking are invalid.</t>
  </si>
  <si>
    <t>A spectator interferes by picking up the ball mid-play. What is the referee's call?</t>
  </si>
  <si>
    <t>A. Pause the game and restart with a drop ballB. Award possession to the opposing teamC. Let play continueD. Award a penalty to the interfering team</t>
  </si>
  <si>
    <t>Pause the game and restart with a drop ball</t>
  </si>
  <si>
    <t>External interference requires a neutral restart.</t>
  </si>
  <si>
    <t>A player’s stick breaks while defending a goal. What happens next?</t>
  </si>
  <si>
    <t>A. Pause the game and allow the player to replace their stickB. Let play continueC. Award a free hit to the opposing teamD. Restart with a drop ball</t>
  </si>
  <si>
    <t>Pause the game and allow the player to replace their stick</t>
  </si>
  <si>
    <t>Broken equipment is replaced for safety.</t>
  </si>
  <si>
    <t>The ball bounces off the referee and stays in play. What does the referee decide?</t>
  </si>
  <si>
    <t>A. Let play continueB. Pause the game and restart with a drop ballC. Award possession to one teamD. Award a free hit to the opposing team</t>
  </si>
  <si>
    <t>The ball remains in play if it bounces off the referee.</t>
  </si>
  <si>
    <t>A player scores, but the referee notices an equipment violation. What is the call?</t>
  </si>
  <si>
    <t>Equipment violations invalidate goals.</t>
  </si>
  <si>
    <t>A goal is scored during a penalty, but the ball hits the goalpost and deflects off another player before entering. What is the ruling?</t>
  </si>
  <si>
    <t>A. Award the goalB. Disallow the goalC. Pause the game for reviewD. Restart with a drop ball</t>
  </si>
  <si>
    <t>Deflections during penalties are valid.</t>
  </si>
  <si>
    <t>A player intentionally trips an opponent to stop their attack. What does the referee do?</t>
  </si>
  <si>
    <t>A. Award a penalty to the opposing teamB. Let play continueC. Pause the game and issue a warningD. Award a free hit to the opposing team</t>
  </si>
  <si>
    <t>Award a penalty to the opposing team</t>
  </si>
  <si>
    <t>Intentional fouls result in penalties.</t>
  </si>
  <si>
    <t>A player throws their stick in frustration. What happens next?</t>
  </si>
  <si>
    <t>A. Issue a warning to the playerB. Let play continueC. Award possession to the opposing teamD. Pause the game for review</t>
  </si>
  <si>
    <t>A player moves the goalpost to prevent a score. What is the referee’s decision?</t>
  </si>
  <si>
    <t>A. Award a penalty to the opposing teamB. Let play continueC. Pause the game and issue a warningD. Restart with a drop ball</t>
  </si>
  <si>
    <t>Manipulating goalposts results in penalties.</t>
  </si>
  <si>
    <t>The ball splits into two during play, with one half entering the goal. What does the referee decide?</t>
  </si>
  <si>
    <t>A. Pause the game and replace the ballB. Award the goalC. Let play continueD. Restart with a drop ball</t>
  </si>
  <si>
    <t>Damaged equipment requires immediate replacement.</t>
  </si>
  <si>
    <t>A player runs onto the field without proper attire. What happens next?</t>
  </si>
  <si>
    <t>Improper attire leads to warnings.</t>
  </si>
  <si>
    <t>A player swings their stick and accidentally hits the referee. What happens next?</t>
  </si>
  <si>
    <t>A. Pause the game and issue a warningB. Let play continueC. Restart with a drop ballD. Award a penalty to the opposing team</t>
  </si>
  <si>
    <t>Accidental contact with the referee results in a warning.</t>
  </si>
  <si>
    <t>A player intentionally blocks a shot with their hands. What is the referee's call?</t>
  </si>
  <si>
    <t>A. Award a penalty to the opposing teamB. Let play continueC. Pause the game and issue a warningD. Award possession to the other team</t>
  </si>
  <si>
    <t>Intentional hand blocks lead to penalties.</t>
  </si>
  <si>
    <t>During a crucial play, the referee loses sight of the ball. What happens?</t>
  </si>
  <si>
    <t>A. Pause the game and restart with a drop ballB. Let play continueC. Award possession to the attacking teamD. Restart with a free hit</t>
  </si>
  <si>
    <t>If the referee loses sight, play is paused and restarted neutrally.</t>
  </si>
  <si>
    <t>A player accidentally steps out of bounds while carrying the ball. What is the call?</t>
  </si>
  <si>
    <t>A. Award possession to the opposing teamB. Let play continueC. Pause the game and restart with a drop ballD. Award a penalty to the opposing team</t>
  </si>
  <si>
    <t>Award possession to the opposing team</t>
  </si>
  <si>
    <t>Stepping out of bounds results in a turnover.</t>
  </si>
  <si>
    <t>A spectator throws an object onto the field during play. What does the referee do?</t>
  </si>
  <si>
    <t>A. Pause the game and remove the objectB. Let play continueC. Restart with a drop ballD. Award possession to the opposing team</t>
  </si>
  <si>
    <t>Pause the game and remove the object</t>
  </si>
  <si>
    <t>External interference requires the game to be paused.</t>
  </si>
  <si>
    <t>Two players from opposing teams accidentally collide while chasing the ball. What happens next?</t>
  </si>
  <si>
    <t>A. Let play continueB. Pause the game and restart with a drop ballC. Award possession to the team with the ballD. Issue warnings to both players</t>
  </si>
  <si>
    <t>Accidental collisions do not stop the game.</t>
  </si>
  <si>
    <t>The ball rolls into a hole in the field and gets stuck. What does the referee decide?</t>
  </si>
  <si>
    <t>A. Pause the game and restart with a drop ballB. Let play continueC. Award possession to the attacking teamD. Award possession to the defending team</t>
  </si>
  <si>
    <t>Unexpected field issues require a neutral restart.</t>
  </si>
  <si>
    <t>A team deliberately delays restarting the game after a break. What is the call?</t>
  </si>
  <si>
    <t>A. Issue a warning to the teamB. Let play continueC. Award possession to the opposing teamD. Pause the game for review</t>
  </si>
  <si>
    <t>Issue a warning to the team</t>
  </si>
  <si>
    <t>Deliberate delays lead to warnings.</t>
  </si>
  <si>
    <t>The referee notices that a player's stick is longer than the allowed limit. What happens?</t>
  </si>
  <si>
    <t>Equipment violations require action from the referee.</t>
  </si>
  <si>
    <t>A player trips over the ball while trying to score. What does the referee decide?</t>
  </si>
  <si>
    <t>A. Let play continueB. Pause the game and restart with a drop ballC. Award possession to the opposing teamD. Restart with a free hit</t>
  </si>
  <si>
    <t>Accidental falls do not stop the game.</t>
  </si>
  <si>
    <t>The ball hits the side post and bounces back into play. What is the decision?</t>
  </si>
  <si>
    <t>A. Let play continueB. Award a free hit to the attacking teamC. Pause the game for reviewD. Restart with a drop ball</t>
  </si>
  <si>
    <t>Bouncing off the post keeps the ball in play.</t>
  </si>
  <si>
    <t>A player scores, but the referee notices the goal net is damaged. What happens?</t>
  </si>
  <si>
    <t>A. Disallow the goal and pause the gameB. Award the goalC. Restart with a drop ballD. Pause the game for repairs</t>
  </si>
  <si>
    <t>Disallow the goal and pause the game</t>
  </si>
  <si>
    <t>A damaged goal net invalidates the score.</t>
  </si>
  <si>
    <t>A player removes their helmet during active play. What does the referee do?</t>
  </si>
  <si>
    <t>A. Pause the game and issue a warningB. Let play continueC. Award a free hit to the opposing teamD. Restart with a drop ball</t>
  </si>
  <si>
    <t>Removing protective gear is not allowed during play.</t>
  </si>
  <si>
    <t>The referee notices a player's shoes are unsafe for the field. What action is taken?</t>
  </si>
  <si>
    <t>A. Pause the game and ask the player to change shoesB. Let play continueC. Award possession to the opposing teamD. Restart with a drop ball</t>
  </si>
  <si>
    <t>Pause the game and ask the player to change shoes</t>
  </si>
  <si>
    <t>Unsafe footwear must be addressed immediately.</t>
  </si>
  <si>
    <t>The ball hits the referee and changes direction into the goal. What is the decision?</t>
  </si>
  <si>
    <t>Goals scored off a referee's touch are valid.</t>
  </si>
  <si>
    <t>A player celebrates excessively after scoring. What does the referee do?</t>
  </si>
  <si>
    <t>A. Issue a warning for unsportsmanlike behaviorB. Let play continueC. Award possession to the opposing teamD. Pause the game and restart with a drop ball</t>
  </si>
  <si>
    <t>Issue a warning for unsportsmanlike behavior</t>
  </si>
  <si>
    <t>Excessive celebrations are discouraged in Genna.</t>
  </si>
  <si>
    <t>A player enters the field without informing the referee. What happens next?</t>
  </si>
  <si>
    <t>Uninformed field entry leads to a warning.</t>
  </si>
  <si>
    <t>A team requests a substitution during a penalty shootout. What does the referee decide?</t>
  </si>
  <si>
    <t>A. Allow the substitutionB. Disallow the substitutionC. Pause the game for reviewD. Restart with a free hit</t>
  </si>
  <si>
    <t>Disallow the substitution</t>
  </si>
  <si>
    <t>Substitutions are not allowed during shootouts.</t>
  </si>
  <si>
    <t>A player hits the ball out of the field. What happens next?</t>
  </si>
  <si>
    <t>A. Award possession to the opposing teamB. Let play continueC. Restart with a drop ballD. Award a free hit to the opposing team</t>
  </si>
  <si>
    <t>Out-of-field plays result in turnovers.</t>
  </si>
  <si>
    <t>A player, while walking at full speed, misses the target with his spear. What happens next?</t>
  </si>
  <si>
    <t>A. It doesn't give any points.B. The player gets one more chance.C. The opposite is beneficial.D. The game pauses.</t>
  </si>
  <si>
    <t>It doesn't give any points.</t>
  </si>
  <si>
    <t>There is no point in missing a target score in Furious Gux.</t>
  </si>
  <si>
    <t>A player threw his spear and it landed outside the designated area. What is the referee's call?</t>
  </si>
  <si>
    <t>A. It doesn't give any points.B. One point will be deducted.C. Pauses the game.D. They give the player a warning.</t>
  </si>
  <si>
    <t>Points are awarded only for correct throws within the designated area.</t>
  </si>
  <si>
    <t>Two players clash as they compete for the same target. What happens next?</t>
  </si>
  <si>
    <t>A. The referee pauses the game and restarts it with both players.B. Reward points are awarded to both players.C. The game continues.D. Both players will be disqualified.</t>
  </si>
  <si>
    <t>The referee pauses the game and restarts it with both players.</t>
  </si>
  <si>
    <t>To ensure safety, conflicts will lead to a game restart.</t>
  </si>
  <si>
    <t>The player's horse stumbles before they can throw their spear. What happens next?</t>
  </si>
  <si>
    <t>A. The player loses their turn.B. The judge allows a retry.C. The opponent gains advantage.D. Pause and restart the game.</t>
  </si>
  <si>
    <t>They will let him try again.</t>
  </si>
  <si>
    <t>Unexpected obstacles allow you to try again in Yeferas Gux.</t>
  </si>
  <si>
    <t>A spear thrown by a player hits the target but does not stick. How many points are scored?</t>
  </si>
  <si>
    <t>A. It doesn't give any points.B. Partial pointsC. Full pointsD. Play the throw again.</t>
  </si>
  <si>
    <t>In every game, points are awarded only if the spear sticks to the target.</t>
  </si>
  <si>
    <t>During their turn, a player uses a broken spear. What does the judge decide?</t>
  </si>
  <si>
    <t>A. Pause the game and replace the spear.B. Allow the player to continue.C. Reward points automaticallyD. Reject the player.</t>
  </si>
  <si>
    <t>Pause the game and replace the spear.</t>
  </si>
  <si>
    <t>A broken spear must be replaced for fair play.</t>
  </si>
  <si>
    <t>The player throws the spear after the whistle. What is the referee's decision?</t>
  </si>
  <si>
    <t>A. Reject the throw.B. Reward points if the target is hitC. Pause and restart the game.D. Give the player a warning.</t>
  </si>
  <si>
    <t>Reject the throw.</t>
  </si>
  <si>
    <t>Those who are thrown after the whistle is banned.</t>
  </si>
  <si>
    <t>The target suddenly moved during a player's turn. What happens?</t>
  </si>
  <si>
    <t>A. Pause the game and reset the target.B. The player continues.C. The prize is awarded to the player.D. Restart the game.</t>
  </si>
  <si>
    <t>Pause the game and reset the target.</t>
  </si>
  <si>
    <t>If the target moves, the game must be restarted before it can continue.</t>
  </si>
  <si>
    <t>A player successfully hits the target but immediately goes out of bounds. What is the ruling?</t>
  </si>
  <si>
    <t>A. Reward the pointsB. Reject the player.C. Reduce pointsD. No points were awarded.</t>
  </si>
  <si>
    <t>Reward the points</t>
  </si>
  <si>
    <t>Hitting the target earns a point, even if the player goes out of bounds.</t>
  </si>
  <si>
    <t>The player's horse refuses to move during their turn. What does the judge decide?</t>
  </si>
  <si>
    <t>A. Allow the player to change horses.B. Declare the player ineligible.C. Pause and restart the game.D. After calming the horse, the player tries again.</t>
  </si>
  <si>
    <t>After calming the horse, the player tries again.</t>
  </si>
  <si>
    <t>Players are allowed to calm their horses and try again if problems occur.</t>
  </si>
  <si>
    <t>When the player throws their spear, the wind blows it off course and misses the target. What is the referee's call?</t>
  </si>
  <si>
    <t>A. It doesn't give any points.B. They will let him try again.C. Reward points if the target is close.D. Pause the game.</t>
  </si>
  <si>
    <t>The wind is considered an external factor, so no points are awarded.</t>
  </si>
  <si>
    <t>During the turn, the player accidentally hits another player's horse with his spear. What happens?</t>
  </si>
  <si>
    <t>A. Reject the player.B. Pause and restart the game.C. Reward points for both playersD. Give the player a warning.</t>
  </si>
  <si>
    <t>Reject the player.</t>
  </si>
  <si>
    <t>Hitting another player's horse is a serious violation.</t>
  </si>
  <si>
    <t>A player hits the target, but the spear breaks upon impact. What happens next?</t>
  </si>
  <si>
    <t>A. Full point awardB. They will let him try again.C. Pause the game until the spear is replaced.D. Half a point of reward</t>
  </si>
  <si>
    <t>Full point award</t>
  </si>
  <si>
    <t>The breaking of the spear does not damage the point if the target is hit.</t>
  </si>
  <si>
    <t>The player's spear remains attached to the target, but falls before the referee calls. What is the decision?</t>
  </si>
  <si>
    <t>A. It doesn't give any points.B. Reward points based on starting stickC. Reward points if still close to targetD. The player tries again.</t>
  </si>
  <si>
    <t>To score a point, the spear must stay stuck on the target.</t>
  </si>
  <si>
    <t>A player tries to throw their spear but accidentally throws it instead. What happens?</t>
  </si>
  <si>
    <t>A. The player loses their turn.B. The player must restart their throw.C. The judge allows a second chance.D. Partial reward points</t>
  </si>
  <si>
    <t>The player loses their turn.</t>
  </si>
  <si>
    <t>Dropping the spear will result in losing the turn.</t>
  </si>
  <si>
    <t>The target moves in the wind as it is thrown. What does the judge do?</t>
  </si>
  <si>
    <t>A. Pause the game and reset the-target.B. The game continues.C. Reward points if the arrow hits the new locationD. Restart the round.</t>
  </si>
  <si>
    <t>The target must be restarted before proceeding to ensure fairness.</t>
  </si>
  <si>
    <t>The player's horse unexpectedly rises during the throw, causing them to miss. What does the judge decide?</t>
  </si>
  <si>
    <t>A. They will let him try again.B. Reject the player.C. No point rewardD. Pause the game for safety reasons.</t>
  </si>
  <si>
    <t>If the player accidentally misses their horse, they can try again.</t>
  </si>
  <si>
    <t>A player's weapon flies through the air and lands behind the target without touching it. What happens?</t>
  </si>
  <si>
    <t>A. No points were awarded.B. Reward points based on distanceC. Allow the player to try again.D. Reward points for close loss</t>
  </si>
  <si>
    <t>To score a point, the spear must hit the target or land on the designated scoring area.</t>
  </si>
  <si>
    <t>A player completely missed the target when throwing his spear. What is the ruling?</t>
  </si>
  <si>
    <t>A. It doesn't give any points.B. Let him try again with a different army.C. Award partial points for testingD. Pause the game.</t>
  </si>
  <si>
    <t>Missing the target without hitting anything does not score any points.</t>
  </si>
  <si>
    <t>The player's horse is slow and cannot reach the finish line in time. What will the judge decide?</t>
  </si>
  <si>
    <t>A. Pause the game for adjustments.B. The player continues but no points are awarded.C. Dismiss the player for not being ready.D. Allow the player a chance to regain speed.</t>
  </si>
  <si>
    <t>The player continues but no points are awarded.</t>
  </si>
  <si>
    <t>The player can continue, but no points will be scored if they miss the time limit.</t>
  </si>
  <si>
    <t>During the turn, a player hits the target with his spear but cheats and hits the opponent's horse. What happens?</t>
  </si>
  <si>
    <t>A. It doesn't give any points.B. The prize is awarded to the player.C. Reject the player to hit the horse.D. Reward points based on hit impact</t>
  </si>
  <si>
    <t>Hitting an opponent's horse will result in the loss of the ability to throw.</t>
  </si>
  <si>
    <t>The player's arrow hits the target but does not stick. What is the referee's call?</t>
  </si>
  <si>
    <t>A. Full point awardB. It doesn't give any points.C. Partial reward pointsD. Allow the player to try again.</t>
  </si>
  <si>
    <t>For Yeferas Gux, the spear must stick to the goal to get a point.</t>
  </si>
  <si>
    <t>A player's weapon sticks to the target, but another player accidentally hits it. What is the decision?</t>
  </si>
  <si>
    <t>A. No points are awarded to the first player.B. Reward points for both playersC. Prize awarded to the first playerD. Restart the throw.</t>
  </si>
  <si>
    <t>No points are awarded to the first player.</t>
  </si>
  <si>
    <t>If the spear is removed by another player, the points are forfeited.</t>
  </si>
  <si>
    <t>When their horse goes in the wrong direction, the player throws the spear. What happens?</t>
  </si>
  <si>
    <t>A. It doesn't give any points.B. Reward points if the target is hitC. Reject the throw.D. Let me try again.</t>
  </si>
  <si>
    <t>The throw must be performed while the horse is properly seated.</t>
  </si>
  <si>
    <t>A player hits the target and the referee immediately calls a timeout. What is the ruling?</t>
  </si>
  <si>
    <t>A. The points are still awarded.B. It doesn't give any points.C. The game is stopped and points are re-evaluated.D. The player has been rejected.</t>
  </si>
  <si>
    <t>The points are still awarded.</t>
  </si>
  <si>
    <t>If the hit is accurate, the timing of the call will not affect the result.</t>
  </si>
  <si>
    <t>A player throws a javelin and it lands far from the target, but they argue that the wind has affected it. What does the referee decide?</t>
  </si>
  <si>
    <t>A. Reward points based on wind impactB. It doesn't give any points.C. Allow the player to try again.D. Award partial points for close elimination</t>
  </si>
  <si>
    <t>The wind is not considered a valid reason for missing the target.</t>
  </si>
  <si>
    <t>The player threw their spear with great force, but it missed the target completely. What happens?</t>
  </si>
  <si>
    <t>A. It doesn't give any points.B. They will let him try again.C. Points are awarded for a strong throw.D. Reward partial points for effort</t>
  </si>
  <si>
    <t>Shooting too many targets without hitting anything will not score any points.</t>
  </si>
  <si>
    <t>During the turn, the player's horse steps on a rock and stumbles, resulting in a missed throw. What happens?</t>
  </si>
  <si>
    <t>A. They will let him try again.B. No points were awarded.C. Reject the player.D. Pause the game and assess the situation.</t>
  </si>
  <si>
    <t>Unintentional failure allows the player to try again.</t>
  </si>
  <si>
    <t>The player threw their spear and it hit the spectator. What is the result?</t>
  </si>
  <si>
    <t>A. Pause the game and assess the situation.B. Reward points for hitsC. Reject the player.D. Re-evaluate the throw.</t>
  </si>
  <si>
    <t>Pause the game and assess the situation.</t>
  </si>
  <si>
    <t>Security concerns take precedence, so the game is at a standstill.</t>
  </si>
  <si>
    <t>Even if a player throws the spear, he forgets to get down before doing so. What does the referee rule?</t>
  </si>
  <si>
    <t>A. Reject the player.B. Reward points for the experimentC. Allow the player to try again after they are up.D. Pause the game for adjustments.</t>
  </si>
  <si>
    <t>It is mandatory to unload before throwing.</t>
  </si>
  <si>
    <t>The player's weapon misses the target but doesn't hit it. What happens?</t>
  </si>
  <si>
    <t>A. It doesn't give any points.B. Reward points for close lossC. Let me try again.D. Partial reward points</t>
  </si>
  <si>
    <t>A throw must hit the target or land in the scoring area to score a point.</t>
  </si>
  <si>
    <t>A player intentionally adjusts the target position before throwing the spear. What happens?</t>
  </si>
  <si>
    <t>A. Reject the player.B. Reward points if the target is hitC. Pause the game to restart.D. Let me try again.</t>
  </si>
  <si>
    <t>Violating the target will result in loss of results.</t>
  </si>
  <si>
    <t>A player's weapon hits the target but bounces off without sticking. What is the verdict?</t>
  </si>
  <si>
    <t>A. No points were awarded.B. Partial reward pointsC. Reward points for achieving the goalD. Let me try again.</t>
  </si>
  <si>
    <t>The spear must stick to the target to score a point.</t>
  </si>
  <si>
    <t>A player's horse has behaved badly and refused to move, causing the player to lose the throw. What is the decision?</t>
  </si>
  <si>
    <t>A. They will let him try again.B. Reject the player.C. It doesn't give any points.D. Partial reward points</t>
  </si>
  <si>
    <t>If the horse's behavior interferes, the player is allowed to try again.</t>
  </si>
  <si>
    <t>During the turn, when a player is ready to throw their spear, they throw their spear. What happens?</t>
  </si>
  <si>
    <t>A. It doesn't give any points.B. The player loses their turn.C. Allow the player to try again.D. Reward points for the experiment</t>
  </si>
  <si>
    <t>A player hits the target but it is unclear if the spear is stuck. What should the referee do?</t>
  </si>
  <si>
    <t>A. Reward points based on the hitB. Disqualify the player for unclear results.C. Pause the game and review.D. The player tries again.</t>
  </si>
  <si>
    <t>Pause the game and review.</t>
  </si>
  <si>
    <t>The referee must examine the situation to ensure that it is a valid hit.</t>
  </si>
  <si>
    <t>A player's army accidentally hits its target, but it falls as the game progresses. What happens?</t>
  </si>
  <si>
    <t>A. Reward points if you stick to the beginningB. Reject the throw.C. Award partial points for attempted attempt.D. No points were awarded.</t>
  </si>
  <si>
    <t>Reward points if you stick to the beginning</t>
  </si>
  <si>
    <t>The spear must remain in place for the points to count.</t>
  </si>
  <si>
    <t>The player's horse falls during a throw, which affects their performance. What should the judge do?</t>
  </si>
  <si>
    <t>A. Allow the player to try again.B. For safety reasons, pause the game.C. Reject the player.D. Reward points based on throws</t>
  </si>
  <si>
    <t>If the player falls, he can try again.</t>
  </si>
  <si>
    <t>A player throws a spear and hits the target but it doesn't stick. What happens next?</t>
  </si>
  <si>
    <t>A. It doesn't give any points.B. Award partial points for hittingC. Let me try again.D. Reward full points for hitting</t>
  </si>
  <si>
    <t>The spear must stick to score a point.</t>
  </si>
  <si>
    <t>A player argues that his spear was not counted by the referee when it should have been scored. What happens?</t>
  </si>
  <si>
    <t>A. Re-evaluate the throw.B. Reject the player.C. Give the points based on the argument.D. Pause the game and review.</t>
  </si>
  <si>
    <t>Re-evaluate the throw.</t>
  </si>
  <si>
    <t>The referee must re-evaluate the disputed throws.</t>
  </si>
  <si>
    <t>A player's weapon hits its target but immediately falls. What happens?</t>
  </si>
  <si>
    <t>A. It doesn't give any points.B. Reward points based on initial contactC. Allow the player to try again.D. Partial reward points</t>
  </si>
  <si>
    <t>The arrow must stay on the target to score a goal.</t>
  </si>
  <si>
    <t>Even if a player throws the spear, it lands outside the designated area. What is the decision?</t>
  </si>
  <si>
    <t>A. Reward points for close throwsB. It doesn't give any points.C. Let me try again.D. Reject the player.</t>
  </si>
  <si>
    <t>The spear must land in the field to score a goal.</t>
  </si>
  <si>
    <t>A player attempted to throw but the spear was too close to the target to count. What is the ruling?</t>
  </si>
  <si>
    <t>A. Partial reward pointsB. Let me try again.C. It doesn't give any points.D. Full point award</t>
  </si>
  <si>
    <t>The spear must be stuck or rest in the target area.</t>
  </si>
  <si>
    <t>The player's horse stumbles during the throw, causing the spear to miss its target. What happens?</t>
  </si>
  <si>
    <t>A. They will let him try again.B. Reward points based on effortC. It doesn't give any points.D. Reject the player.</t>
  </si>
  <si>
    <t>If the horse stumbles, the player is allowed to try again.</t>
  </si>
  <si>
    <t>A player throws the spear, but it disappears completely. What happens next?</t>
  </si>
  <si>
    <t>A. It doesn't give any points.B. Reward points based on effortC. Allow the player to try again.D. Reject the player.</t>
  </si>
  <si>
    <t>A complete loss does not result in any points.</t>
  </si>
  <si>
    <t>A player's weapon hits the target but doesn't stick. What happens?</t>
  </si>
  <si>
    <t>A. It doesn't give any points.B. Award partial points for a successC. Full point awardD. Allow the player to try again.</t>
  </si>
  <si>
    <t>To score a point, the spear must stick to the target.</t>
  </si>
  <si>
    <t>The player's weapon flies over the target but does not make contact. What is the verdict?</t>
  </si>
  <si>
    <t>A. It doesn't give any points.B. Reward points for effortC. Allow the player to try again.D. Partial reward points</t>
  </si>
  <si>
    <t>To get a point, the team must hit the target.</t>
  </si>
  <si>
    <t>A player hits the target but the spear gets stuck at an angle. What happens?</t>
  </si>
  <si>
    <t>A. Full point awardB. Partial reward pointsC. No point rewardD. Allow the player to try again.</t>
  </si>
  <si>
    <t>A shot fired at a target is considered a hit regardless of the angle.</t>
  </si>
  <si>
    <t>A player's weapon hits the target, but the target moves. What is the referee's decision?</t>
  </si>
  <si>
    <t>A. It doesn't give any points.B. Allow the player to try again.C. Reward points for hitsD. Pause the game and reset the target.</t>
  </si>
  <si>
    <t>Reward points for hits</t>
  </si>
  <si>
    <t>The target is reset, but the points still stand if the hit is accurate.</t>
  </si>
  <si>
    <t>A player throws his spear when his horse is going in the wrong direction. What happens?</t>
  </si>
  <si>
    <t>A. They will let him try again.B. Reward points for the experimentC. It doesn't give any points.D. Reject the player.</t>
  </si>
  <si>
    <t>The player must face the target before throwing.</t>
  </si>
  <si>
    <t>A player hits the target, but the referee calls timeout before the points are scored. What is the result?</t>
  </si>
  <si>
    <t>A. Points are awarded based on the hit.B. It doesn't give any points.C. The game is stopped, and the hit is invalid.D. The player must retry the throw.</t>
  </si>
  <si>
    <t>Points are awarded based on the hit.</t>
  </si>
  <si>
    <t>The hit is counted as long as it occurs before the time runs out.</t>
  </si>
  <si>
    <t>A player's weapon hits the target and sticks, but the horse falls when it moves. What happens?</t>
  </si>
  <si>
    <t>A. It doesn't give any points.B. Points are awarded based on the starting batting order.C. They will let him try again.D. Partial reward points</t>
  </si>
  <si>
    <t>Points are awarded based on the starting batting order.</t>
  </si>
  <si>
    <t>The spear must remain attached to the target to score points.</t>
  </si>
  <si>
    <t>A player threw their spear but it landed in a nearby water hazard. What is the decision?</t>
  </si>
  <si>
    <t>A. It doesn't give any points.B. They will let him try again.C. Reward points for swimmingD. Pause the game until the danger is removed.</t>
  </si>
  <si>
    <t>Landing in a water hazard invalidates the throw.</t>
  </si>
  <si>
    <t>The player accidentally hits the wrong target during a fight. What happens?</t>
  </si>
  <si>
    <t>A. Reject the throw.B. No point rewardC. Let me try again.D. Reward points for the right target</t>
  </si>
  <si>
    <t>Hitting the wrong target will result in loss of throwing ability.</t>
  </si>
  <si>
    <t>A player throws the spear too far to score any points. What happens next?</t>
  </si>
  <si>
    <t>A. No points were awarded.B. Reward points for distanceC. Allow the player to try again.D. Reward partial points for effort</t>
  </si>
  <si>
    <t>A throw that lands above the target will not produce any effect.</t>
  </si>
  <si>
    <t>A player's horse is injured during the game. What should the referee do?</t>
  </si>
  <si>
    <t>A. Pause the game and allow for treatment.B. Reward points based on remaining throwsC. Reject the player.D. Allow the player to continue without a horse.</t>
  </si>
  <si>
    <t>Pause the game and allow for treatment.</t>
  </si>
  <si>
    <t>Safety is paramount, so play must be paused to treat the horse.</t>
  </si>
  <si>
    <t>A player missed the target but the spear landed dangerously close to his opponent. What is the ruling?</t>
  </si>
  <si>
    <t>A. It doesn't give any points.B. Award partial points for close lossC. Allow the opponent to call a timeout.D. For safety reasons, pause the game.</t>
  </si>
  <si>
    <t>Safety is a priority, and no points will be awarded for dangerous throws.</t>
  </si>
  <si>
    <t>A player intentionally adjusts the target before throwing the spear. What happens?</t>
  </si>
  <si>
    <t>A. Reject the player.B. Reward points for hitsC. Pause the game and restart the target.D. Let me try again.</t>
  </si>
  <si>
    <t>The player's arrow hits the target but does not stick due to a bad throw. What is the decision?</t>
  </si>
  <si>
    <t>A. Full point awardB. It doesn't give any points.C. Allow the player to try again.D. Partial reward points</t>
  </si>
  <si>
    <t>It lifts the player's horse up and prevents them from making a proper throw. What happens next?</t>
  </si>
  <si>
    <t>A. They will let him try again.B. Reject the player.C. Pause the game for adjustments.D. No points were awarded.</t>
  </si>
  <si>
    <t>If the horse interferes with the throw, the player is allowed to try again.</t>
  </si>
  <si>
    <t>A player accidentally hits an opponent's spear during a throw. What is the ruling?</t>
  </si>
  <si>
    <t>A. No points were awarded.B. Reward points for both playersC. Pause the game.D. Reject the player.</t>
  </si>
  <si>
    <t>Hitting another player's spear gives neither player any points.</t>
  </si>
  <si>
    <t>The player's gun flies up and narrowly misses its target. What happens next?</t>
  </si>
  <si>
    <t>A. No points were awarded.B. Reward points for close lossC. Allow the player to try again.D. Partial reward points</t>
  </si>
  <si>
    <t>Losing without hitting anything does not result in any points.</t>
  </si>
  <si>
    <t>A player's spear sticks to the target, but the points are disputed. What should the referee do?</t>
  </si>
  <si>
    <t>A. Review the status and reward pointsB. It doesn't give any points.C. They will let him try again.D. Reject the player.</t>
  </si>
  <si>
    <t>Review the status and reward points</t>
  </si>
  <si>
    <t>The referee must assess the situation to determine if it is a hit.</t>
  </si>
  <si>
    <t>The player's weapon hits the target, but the wind immediately destroys it. What is the verdict?</t>
  </si>
  <si>
    <t>A. It doesn't give any points.B. Reward points for the first successC. Allow retry due to wind interference.D. Partial reward points</t>
  </si>
  <si>
    <t>Wind interference will cancel out the effect if the spear falls.</t>
  </si>
  <si>
    <t>A player suddenly breaks his spear as he prepares to throw it. What happens next?</t>
  </si>
  <si>
    <t>A. Let him try again with a new army.B. Reject the player.C. Reward points for the experimentD. Pause the game to change devices.</t>
  </si>
  <si>
    <t>Let him try again with a new army.</t>
  </si>
  <si>
    <t>The player can use a new weapon for the next throw.</t>
  </si>
  <si>
    <t>A player's army falls outside the target area. What happens?</t>
  </si>
  <si>
    <t>A. It doesn't give any points.B. Reward points for distanceC. Let me try again.D. Partial reward points</t>
  </si>
  <si>
    <t>The spear must land on the target to score a goal.</t>
  </si>
  <si>
    <t>A player suddenly leaves the designated area during a throw-in. What happens?</t>
  </si>
  <si>
    <t>A. Reject the throw.B. They will let him try again.C. Reward points for the experimentD. Pause the game.</t>
  </si>
  <si>
    <t>Going out of bounds will result in the throw being disallowed.</t>
  </si>
  <si>
    <t>A player's shot hits the target and it sticks, but the goalkeeper records the points incorrectly. What happens?</t>
  </si>
  <si>
    <t>A. Re-evaluate the points and adjust the result.B. It doesn't give any points.C. Allow the player to try again.D. Reward points based on the first hit</t>
  </si>
  <si>
    <t>Re-evaluate the points and adjust the result.</t>
  </si>
  <si>
    <t>The goalkeeper must correct any errors before continuing.</t>
  </si>
  <si>
    <t>A player's horse runs off the track during a throw, resulting in an incorrect result. What is the decision?</t>
  </si>
  <si>
    <t>A. Let me try again.B. No points were awarded.C. Pause the game for horse positioning.D. Reward points for the experiment</t>
  </si>
  <si>
    <t>If the horse makes a mistake in throwing, the player can try again.</t>
  </si>
  <si>
    <t>The player makes an illegal move by holding the spear incorrectly. What happens?</t>
  </si>
  <si>
    <t>A. Reject the throw.B. Allow it to try again with the correct form.C. Reward points based on the experimentD. Pause the game.</t>
  </si>
  <si>
    <t>Illegal activities will result in loss of throwing ability.</t>
  </si>
  <si>
    <t>A. It doesn't give any points.B. Full point awardC. Partial reward pointsD. Let me try again.</t>
  </si>
  <si>
    <t>A player misses the target completely but their shot lands in the nearby goal area. What happens?</t>
  </si>
  <si>
    <t>A. Reward points for closenessB. They will let him try again.C. It doesn't give any points.D. Award full points for landing</t>
  </si>
  <si>
    <t>Points are awarded only for direct hits on the target.</t>
  </si>
  <si>
    <t>A player's army sticks to its target, but another player suddenly destroys it. What happens?</t>
  </si>
  <si>
    <t>A. It doesn't give any points.B. Reward points based on first hitC. They allow the player to try again.D. They reject the other player.</t>
  </si>
  <si>
    <t>Reward points based on first hit</t>
  </si>
  <si>
    <t>The points are awarded based on the first successful hit.</t>
  </si>
  <si>
    <t>A player throws the spear while another player is in their line of sight. What happens?</t>
  </si>
  <si>
    <t>A. Allows the throwing to continue.B. Pause the game and punish the player.C. They will let him try again.D. They reject the throw.</t>
  </si>
  <si>
    <t>They allow the throwing to continue.</t>
  </si>
  <si>
    <t>Players must ensure that they are clear of any obstacles before throwing.</t>
  </si>
  <si>
    <t>The player throws their spear in the wrong way, causing them to lose their spear. What is the ruling?</t>
  </si>
  <si>
    <t>A. Allow it to try again in the proper form.B. Reward points based on effortC. Reject the throw.D. No points were awarded.</t>
  </si>
  <si>
    <t>Allow it to try again in the proper form.</t>
  </si>
  <si>
    <t>The player must use proper form for a proper throw.</t>
  </si>
  <si>
    <t>A player's army has fallen on the edge of the target. How is it recorded?</t>
  </si>
  <si>
    <t>A. It doesn't give any points.B. No point rewardC. Partial reward pointsD. Let me try again.</t>
  </si>
  <si>
    <t>Landing on the edge of the target still counts as a valid hit.</t>
  </si>
  <si>
    <t>The player threw their spear but it fell behind the target. What happens?</t>
  </si>
  <si>
    <t>A. It doesn't give any points.B. Reward points based on distanceC. They will let him try again.D. Partial reward points</t>
  </si>
  <si>
    <t>The spear must land in front of the target to score a goal.</t>
  </si>
  <si>
    <t>Even if a player's weapon hits its target, the wind will immediately destroy it. What is the verdict?</t>
  </si>
  <si>
    <t>A. Reward points for the first successB. It doesn't give any points.C. They will let him try again.D. Pause the game and restart the target.</t>
  </si>
  <si>
    <t>Reward points for the first success</t>
  </si>
  <si>
    <t>Points are awarded based on the first successful hit.</t>
  </si>
  <si>
    <t>A player hits the target even if he goes out of bounds when throwing. What is the result?</t>
  </si>
  <si>
    <t>A. No points were awarded.B. They will let him try again.C. Reward points for a successful throwD. Reject the player.</t>
  </si>
  <si>
    <t>Players must stay within the boundaries for a valid throw.</t>
  </si>
  <si>
    <t>The player's spear hits the target, but the referee misses the throw. What happens next?</t>
  </si>
  <si>
    <t>A. Reward points based on the hitB. They will let him try again.C. Reject the throw.D. Pause the game and review.</t>
  </si>
  <si>
    <t>Reward points based on the hit</t>
  </si>
  <si>
    <t>The throw is considered valid if it is later confirmed by the referee.</t>
  </si>
  <si>
    <t>A player's army leaves the target and lands behind the opponent's area. What is the verdict?</t>
  </si>
  <si>
    <t>A. It doesn't give any points.B. They will let him try again.C. Reward points based on distanceD. Reject the throw.</t>
  </si>
  <si>
    <t>The spear must land in the designated spot to score a goal.</t>
  </si>
  <si>
    <t>A player's weapon flies over the target but doesn't land on it. What happens next?</t>
  </si>
  <si>
    <t>A. It doesn't give any points.B. Reward points for close lossC. They will let him try again.D. Partial reward points</t>
  </si>
  <si>
    <t>A successful hit requires landing or sticking on the target.</t>
  </si>
  <si>
    <t>A player throws their spear but it lands in the zone set by the opponent. What happens?</t>
  </si>
  <si>
    <t>A. Reward points are awarded for successful throws.B. Allow the opponent to call a timeout.C. The prize points to the opponent.D. No points were awarded.</t>
  </si>
  <si>
    <t>Reward points for a successful throw</t>
  </si>
  <si>
    <t>The throw is counted, but it is in the opponent's zone.</t>
  </si>
  <si>
    <t>A player suddenly drops his spear before throwing it. What happens?</t>
  </si>
  <si>
    <t>A. They will let him try again.B. Reward points for effortC. It doesn't give any points.D. Reject the player.</t>
  </si>
  <si>
    <t>Let me try again.</t>
  </si>
  <si>
    <t>If the spear is thrown prematurely, players are allowed to try again.</t>
  </si>
  <si>
    <t>A player's weapon is attached to the target but is partially hidden by something else. What happens?</t>
  </si>
  <si>
    <t>A. It doesn't give any points.B. Full point awardC. Let me try again.D. Partial reward points</t>
  </si>
  <si>
    <t>If the spear is stuck, regardless of the obstacle, full points are awarded.</t>
  </si>
  <si>
    <t>A player's horse gets distracted during a throw. What happens?</t>
  </si>
  <si>
    <t>A. He won't let him try again.B. No points were awarded.C. Reject the throw.D. Reward points based on effort</t>
  </si>
  <si>
    <t>If the horse's distraction results in an incorrect throw, the player may try again.</t>
  </si>
  <si>
    <t>A. They will let him try again.B. Reward points for hitsC. They will let him try again.D. Partial reward points</t>
  </si>
  <si>
    <t>The player's arrow lands exactly in the center of the target. What is the verdict?</t>
  </si>
  <si>
    <t>A. Full point awardB. Partial reward pointsC. They will let him try again.D. No points were awarded.</t>
  </si>
  <si>
    <t>A perfect hit in the center of the target earns full points.</t>
  </si>
  <si>
    <t>A player throws a spear, but it leaves the ground before hitting the target. What happens?</t>
  </si>
  <si>
    <t>A. They will let him try again.B. Let me try again.C. Partial reward pointsD. Full point award</t>
  </si>
  <si>
    <t>The spear must not leave the ground to score a point.</t>
  </si>
  <si>
    <t>The player's army fell outside the target but landed in the scoring area. What happens?</t>
  </si>
  <si>
    <t>A. Reward points based on proximityB. It doesn't give any points.C. Let me try again.D. Full point award</t>
  </si>
  <si>
    <t>Proximity does not count unless the arrow hits the target directly.</t>
  </si>
  <si>
    <t>The player's weapon will stick to the target, but there is a delay in confirming the points. What is the verdict?</t>
  </si>
  <si>
    <t>A. Reward points based on the hitB. They will let him try again.C. Reject the throw.D. Pause the game.</t>
  </si>
  <si>
    <t>If the hit is confirmed later, the points are confirmed.</t>
  </si>
  <si>
    <t>A player's weapon lands correctly but doesn't stick to the target. What happens?</t>
  </si>
  <si>
    <t>A. It doesn't give any points.B. Partial reward pointsC. Full point awardD. Let me try again.</t>
  </si>
  <si>
    <t>A player's arrow hits the target but doesn't stick due to a bad throw. What happens next?</t>
  </si>
  <si>
    <t>A. It doesn't give any points.B. They will let him try again.C. Partial reward pointsD. Full point award</t>
  </si>
  <si>
    <t>The throw is invalid unless the spear hits the target.</t>
  </si>
  <si>
    <t>A player throws his spear and misses the target but comes close to it. What happens?</t>
  </si>
  <si>
    <t>A. It doesn't give any points.B. Award partial points for closenessC. Full point awardD. Let me try again.</t>
  </si>
  <si>
    <t>The spear does not score a close point unless it sticks to its target.</t>
  </si>
  <si>
    <t>The player's weapon sticks to the target, but the target moves due to the wind. What is the verdict?</t>
  </si>
  <si>
    <t>A. Reward points for the first successB. They will let him try again.C. It doesn't give any points.D. Pause the game.</t>
  </si>
  <si>
    <t>Points are awarded for the first successful hit.</t>
  </si>
  <si>
    <t>A player tries to throw their spear, but it slips out of their hand. What happens?</t>
  </si>
  <si>
    <t>A. They will let him try again.B. No points were awarded.C. Reject the throw.D. Reward points for the experiment</t>
  </si>
  <si>
    <t>Players are allowed to try again if the spear slips.</t>
  </si>
  <si>
    <t>The player's arrow lands near the target but does not stick. What is the result?</t>
  </si>
  <si>
    <t>A. Reward points based on proximityB. It doesn't give any points.C. They will let him try again.D. Full point award</t>
  </si>
  <si>
    <t>Proximity does not count unless the arrow hits the target.</t>
  </si>
  <si>
    <t>A player's weapon is thrown out of bounds but lands in a valid location. What happens?</t>
  </si>
  <si>
    <t>A. It doesn't give any points.B. Reward points based on distanceC. They will let him try again.D. Reject the throw.</t>
  </si>
  <si>
    <t>The throw is invalid if it lands outside the boundary.</t>
  </si>
  <si>
    <t>A player's weapon is thrown but lands behind the target. What is the verdict?</t>
  </si>
  <si>
    <t>A. It doesn't give any points.B. Reward points for closenessC. They will let him try again.D. Full point award</t>
  </si>
  <si>
    <t>A player throws their spear and hits the target, but the spear falls off immediately. What is the ruling?</t>
  </si>
  <si>
    <t>A. No points awardedB. Award points for the initial hitC. Allow a retryD. Award partial points</t>
  </si>
  <si>
    <t>No points awarded</t>
  </si>
  <si>
    <t>The spear must stick to the target for points to be awarded.</t>
  </si>
  <si>
    <t>A player throws their spear and it hits the target but immediately falls off. What is the ruling?</t>
  </si>
  <si>
    <t>A. No points awardedB. Award points for the hitC. Allow a retryD. Award partial points</t>
  </si>
  <si>
    <t>The spear must stick to the target to score points.</t>
  </si>
  <si>
    <t>A player’s spear bounces off the ground before hitting the target. What happens?</t>
  </si>
  <si>
    <t>A. No points awardedB. Allow a retryC. Award points for the bounceD. Disqualify the throw</t>
  </si>
  <si>
    <t>The spear must land directly on the target.</t>
  </si>
  <si>
    <t>A player’s spear lands off target but close to the edge of the target zone. What happens?</t>
  </si>
  <si>
    <t>A. Award partial pointsB. Award full pointsC. Allow a retryD. No points awarded</t>
  </si>
  <si>
    <t>Award partial points</t>
  </si>
  <si>
    <t>Points are awarded for proximity only if the spear sticks in the target.</t>
  </si>
  <si>
    <t>A player throws their spear, but it lands behind the target. What is the ruling?</t>
  </si>
  <si>
    <t>A. No points awardedB. Allow a retryC. Award points for effortD. Award partial points</t>
  </si>
  <si>
    <t>Points are only awarded if the spear hits the target directly.</t>
  </si>
  <si>
    <t>A player’s spear lands directly on the target, but it is obscured by an object. What happens?</t>
  </si>
  <si>
    <t>A. Award points for the hitB. Allow a retryC. No points awardedD. Award partial points</t>
  </si>
  <si>
    <t>Award points for the hit</t>
  </si>
  <si>
    <t>As long as the spear sticks to the target, points are awarded.</t>
  </si>
  <si>
    <t>A player throws their spear and it lands behind the opponent’s target. What is the ruling?</t>
  </si>
  <si>
    <t>A. No points awardedB. Award points based on distanceC. Allow a retryD. Award partial points</t>
  </si>
  <si>
    <t>The spear must land in the player's designated target zone.</t>
  </si>
  <si>
    <t>A player’s spear lands perfectly but does not stick to the target. What happens?</t>
  </si>
  <si>
    <t>A. No points awardedB. Award partial pointsC. Allow a retryD. Award full points</t>
  </si>
  <si>
    <t>A player’s spear is thrown and hits the target but immediately falls off. What is the ruling?</t>
  </si>
  <si>
    <t>A. Award points for the hitB. No points awardedC. Allow a retryD. Award partial points</t>
  </si>
  <si>
    <t>Points are awarded only if the spear sticks to the target.</t>
  </si>
  <si>
    <t>A player’s spear flies over the target but does not land on it. What happens?</t>
  </si>
  <si>
    <t>The spear must land on the target to score.</t>
  </si>
  <si>
    <t>A player’s spear strikes the target and sticks, but the referee did not see it. What is the ruling?</t>
  </si>
  <si>
    <t>A. Award points based on the hitB. No points awardedC. Allow a retryD. Pause the game for review</t>
  </si>
  <si>
    <t>Award points based on the hit</t>
  </si>
  <si>
    <t>The points are confirmed once verified by the referee.</t>
  </si>
  <si>
    <t>A player’s spear lands near the target but does not stick. What happens?</t>
  </si>
  <si>
    <t>A. No points awardedB. Award partial pointsC. Award full pointsD. Allow a retry</t>
  </si>
  <si>
    <t>Proximity does not count unless the spear sticks to the target.</t>
  </si>
  <si>
    <t>A player’s spear lands off-target but is within the designated zone. What happens?</t>
  </si>
  <si>
    <t>A. No points awardedB. Award points based on proximityC. Allow a retryD. Award full points</t>
  </si>
  <si>
    <t>Points are awarded only for direct hits to the target.</t>
  </si>
  <si>
    <t>A player accidentally steps outside the bounds during their throw. What happens?</t>
  </si>
  <si>
    <t>A. No points awardedB. Allow a retryC. Award points for the effortD. Disqualify the throw</t>
  </si>
  <si>
    <t>Players must stay within bounds during their throw.</t>
  </si>
  <si>
    <t>A player’s spear sticks to the target but the wind blows it off immediately. What happens?</t>
  </si>
  <si>
    <t>A. Award points based on the hitB. Allow a retryC. No points awardedD. Pause the game for review</t>
  </si>
  <si>
    <t>Points are awarded based on the initial successful hit.</t>
  </si>
  <si>
    <t>A player’s spear is thrown while their opponent is distracting them. What happens?</t>
  </si>
  <si>
    <t>A. Allow the throw to continueB. Pause the game and penalize the opponentC. Allow a retryD. Disqualify the throw</t>
  </si>
  <si>
    <t>Allow the throw to continue</t>
  </si>
  <si>
    <t>Players must ensure there are no distractions during throws.</t>
  </si>
  <si>
    <t>A player’s spear misses the target completely but lands in a scoring zone. What happens?</t>
  </si>
  <si>
    <t>A. Award points based on proximityB. Allow a retryC. No points awardedD. Award points for effort</t>
  </si>
  <si>
    <t>Points are awarded only for hits to the target.</t>
  </si>
  <si>
    <t>A player’s spear lands on the edge of the target. What is the ruling?</t>
  </si>
  <si>
    <t>Landing on the edge of the target is still counted as a valid hit.</t>
  </si>
  <si>
    <t>A player throws their spear but it lands in the opponent’s area. What is the ruling?</t>
  </si>
  <si>
    <t>A. Award points for the successful throwB. Allow the opponent to call for a timeoutC. Award points to the opponentD. No points awarded</t>
  </si>
  <si>
    <t>Award points for the successful throw</t>
  </si>
  <si>
    <t>The throw is counted, even if it lands in the opponent's area.</t>
  </si>
  <si>
    <t>A player’s spear lands perfectly on the target, but they are not in the correct position. What happens?</t>
  </si>
  <si>
    <t>A. No points awardedB. Allow a retryC. Award points for the hitD. Disqualify the player</t>
  </si>
  <si>
    <t>Players must be in the correct position for a valid throw.</t>
  </si>
  <si>
    <t>A player’s spear flies over the target but lands in a valid area. What happens?</t>
  </si>
  <si>
    <t>A. No points awardedB. Allow a retryC. Award points based on distanceD. Disqualify the throw</t>
  </si>
  <si>
    <t>The spear must land directly on the target to score points.</t>
  </si>
  <si>
    <t>A player throws their spear, but it lands outside the target zone. What happens?</t>
  </si>
  <si>
    <t>A. No points awardedB. Award points based on proximityC. Allow a retryD. Disqualify the throw</t>
  </si>
  <si>
    <t>The spear must land within the target zone to score.</t>
  </si>
  <si>
    <t>A player’s spear lands directly on the target but it bounces off. What happens?</t>
  </si>
  <si>
    <t>Points are only awarded if the spear sticks to the target.</t>
  </si>
  <si>
    <t>A player’s spear hits the target and sticks, but another player knocks it off. What happens?</t>
  </si>
  <si>
    <t>The points are awarded based on the initial hit.</t>
  </si>
  <si>
    <t>A player throws their spear, but it lands behind the target. What happens?</t>
  </si>
  <si>
    <t>A. No points awardedB. Award points based on proximityC. Allow a retryD. Award partial points</t>
  </si>
  <si>
    <t>Points are only awarded if the spear lands in front of the target.</t>
  </si>
  <si>
    <t>A player’s spear lands on the target, but another player steps on it. What happens?</t>
  </si>
  <si>
    <t>The points are awarded as long as the spear was initially on the target.</t>
  </si>
  <si>
    <t>A player throws their spear but it is blocked by an object in the field. What happens?</t>
  </si>
  <si>
    <t>A. No points awardedB. Allow a retryC. Award points for effortD. Disqualify the throw</t>
  </si>
  <si>
    <t>Allow a retry</t>
  </si>
  <si>
    <t>The throw is invalid if it is obstructed.</t>
  </si>
  <si>
    <t>A player’s spear lands near the target but doesn't stick. What happens?</t>
  </si>
  <si>
    <t>A. Award points based on proximityB. No points awardedC. Allow a retryD. Award full points</t>
  </si>
  <si>
    <t>A player’s spear lands directly on the target but the target moves. What happens?</t>
  </si>
  <si>
    <t>A. Award points based on the initial hitB. Allow a retryC. No points awardedD. Award partial points</t>
  </si>
  <si>
    <t>Award points based on the initial hit</t>
  </si>
  <si>
    <t>Points are based on the initial successful hit.</t>
  </si>
  <si>
    <t>A player throws their spear and it lands outside the designated target area. What happens?</t>
  </si>
  <si>
    <t>The throw is invalid if it lands outside the target area.</t>
  </si>
  <si>
    <t>A player’s spear lands on the target but does not stick. What is the ruling?</t>
  </si>
  <si>
    <t>A. Award points for proximityB. No points awardedC. Allow a retryD. Award partial points</t>
  </si>
  <si>
    <t>A player’s spear lands on the target and sticks, but the referee calls a foul. What happens?</t>
  </si>
  <si>
    <t>A. No points awardedB. Allow a retryC. Award points for the hitD. Award partial points</t>
  </si>
  <si>
    <t>Points are not awarded if a foul occurs.</t>
  </si>
  <si>
    <t>A player’s spear lands perfectly on the target, but another player interferes with it. What happens?</t>
  </si>
  <si>
    <t>The points are awarded based on the initial hit, unless interference occurs.</t>
  </si>
  <si>
    <t>A player throws their spear, but it lands in the opponent’s target zone. What happens?</t>
  </si>
  <si>
    <t>A. No points awardedB. Award points for the successful throwC. Allow a retryD. Award points to the opponent</t>
  </si>
  <si>
    <t>The throw is valid only in the player’s designated zone.</t>
  </si>
  <si>
    <t>A player’s spear lands near the target but doesn’t stick. What happens?</t>
  </si>
  <si>
    <t>Proximity does not count unless the spear sticks.</t>
  </si>
  <si>
    <t>A player’s spear lands in the target, but it does not stick. What happens?</t>
  </si>
  <si>
    <t>A. No points awardedB. Award partial pointsC. Award points for the initial hitD. Allow a retry</t>
  </si>
  <si>
    <t>A player’s spear lands on the target and sticks, but it is immediately blown off by the wind. What happens?</t>
  </si>
  <si>
    <t>A player’s spear flies over the target, but lands in a valid area. What is the ruling?</t>
  </si>
  <si>
    <t>The spear must land on the target to score points.</t>
  </si>
  <si>
    <t>A player’s spear lands perfectly on the target, but the target is moved by the wind. What happens?</t>
  </si>
  <si>
    <t>Points are awarded based on the initial hit, regardless of subsequent movement.</t>
  </si>
  <si>
    <t>A player throws their spear and it lands in the opponent’s zone. What happens?</t>
  </si>
  <si>
    <t>A. Award points to the opponentB. No points awardedC. Allow a retryD. Award points for effort</t>
  </si>
  <si>
    <t>Award points to the opponent</t>
  </si>
  <si>
    <t>Throws must land in the player’s designated zone to count.</t>
  </si>
  <si>
    <t>A player’s spear lands perfectly on the target, but the throw was illegal. What happens?</t>
  </si>
  <si>
    <t>A. No points awardedB. Award points based on the hitC. Allow a retryD. Pause the game for review</t>
  </si>
  <si>
    <t>Illegal throws result in no points being awarded.</t>
  </si>
  <si>
    <t>A player’s spear hits the target but slides off. What happens?</t>
  </si>
  <si>
    <t>A. No points awardedB. Award points based on the hitC. Allow a retryD. Award partial points</t>
  </si>
  <si>
    <t>A player throws their spear, but it hits the opponent's target. What happens?</t>
  </si>
  <si>
    <t>A. Award points to the opponentB. Allow a retryC. No points awardedD. Award points based on effort</t>
  </si>
  <si>
    <t>Throws must land on your own target.</t>
  </si>
  <si>
    <t>A player’s spear is thrown off-target, but it lands in a valid area. What happens?</t>
  </si>
  <si>
    <t>A. No points awardedB. Allow a retryC. Award points based on proximityD. Award points for effort</t>
  </si>
  <si>
    <t>The throw must land directly on the target to score.</t>
  </si>
  <si>
    <t>A player throws their spear and it lands just outside the target. What happens?</t>
  </si>
  <si>
    <t>The spear must land on the target to count.</t>
  </si>
  <si>
    <t>A player’s spear lands inside the target but doesn’t stick. What is the ruling?</t>
  </si>
  <si>
    <t>A. No points awardedB. Award points for proximityC. Award points based on effortD. Allow a retry</t>
  </si>
  <si>
    <t>A player throws their spear, and it lands behind the target. What happens?</t>
  </si>
  <si>
    <t>Throws must land in front of the target to count.</t>
  </si>
  <si>
    <t>A player’s spear lands on the target but is knocked off by a gust of wind. What happens?</t>
  </si>
  <si>
    <t>A. Award points for the initial hitB. No points awardedC. Allow a retryD. Pause the game for review</t>
  </si>
  <si>
    <t>Award points for the initial hit</t>
  </si>
  <si>
    <t>The points are based on the first successful hit.</t>
  </si>
  <si>
    <t>A player’s spear lands in a valid area but doesn’t hit the target. What is the ruling?</t>
  </si>
  <si>
    <t>A. No points awardedB. Award points for effortC. Allow a retryD. Award partial points</t>
  </si>
  <si>
    <t>The spear must hit the target to score.</t>
  </si>
  <si>
    <t>A player’s spear lands on the target but is deflected by another object. What happens?</t>
  </si>
  <si>
    <t>A player’s spear is thrown but lands in an opponent’s zone. What happens?</t>
  </si>
  <si>
    <t>A. Award points to the opponentB. No points awardedC. Allow a retryD. Award points based on distance</t>
  </si>
  <si>
    <t>The throw must land in your designated zone to score.</t>
  </si>
  <si>
    <t>A player’s spear lands perfectly in the target but does not stick. What happens?</t>
  </si>
  <si>
    <t>A player’s spear lands on the target but is immediately dislodged by another player. What happens?</t>
  </si>
  <si>
    <t>A. Award points for the initial hitB. No points awardedC. Allow a retryD. Award points to the opponent</t>
  </si>
  <si>
    <t>A player’s spear lands inside the target, but another player knocks it out. What happens?</t>
  </si>
  <si>
    <t>A. No points awardedB. Award points based on proximityC. Allow a retryD. Award points to the opponent</t>
  </si>
  <si>
    <t>Points are based on the initial position of the spear.</t>
  </si>
  <si>
    <t>A. No points awardedB. Allow a retryC. Award points based on distanceD. Award points to the opponent</t>
  </si>
  <si>
    <t>Throws must land inside the target area to count.</t>
  </si>
  <si>
    <t>A player throws their spear and it lands in front of the target. What happens?</t>
  </si>
  <si>
    <t>A. No points awardedB. Award points based on distanceC. Allow a retryD. Award points based on proximity</t>
  </si>
  <si>
    <t>Points are awarded only if the spear lands on the target.</t>
  </si>
  <si>
    <t>A player’s spear lands in the target but does not stick. What is the ruling?</t>
  </si>
  <si>
    <t>A. No points awardedB. Allow a retryC. Award points based on proximityD. Award points for the effort</t>
  </si>
  <si>
    <t>A player’s spear lands on the target and sticks, but it is later moved by the wind. What happens?</t>
  </si>
  <si>
    <t>A. Award points for the initial hitB. No points awardedC. Pause the game for reviewD. Allow a retry</t>
  </si>
  <si>
    <t>A player’s spear lands off-target but in a valid area. What is the ruling?</t>
  </si>
  <si>
    <t>A. No points awardedB. Allow a retryC. Award points based on distanceD. Award points for effort</t>
  </si>
  <si>
    <t>The spear must land on the-target to score.</t>
  </si>
  <si>
    <t>A player throws their spear, but it lands directly behind the target. What happens?</t>
  </si>
  <si>
    <t>The spear must land in front of the target to count.</t>
  </si>
  <si>
    <t>A player’s spear lands perfectly on the target, but another player’s throw causes it to fall off. What happens?</t>
  </si>
  <si>
    <t>A player throws their spear but it lands directly in the opponent’s target zone. What happens?</t>
  </si>
  <si>
    <t>A. No points awardedB. Award points to the opponentC. Allow a retryD. Award points for distance</t>
  </si>
  <si>
    <t>Throws must land in your designated target zone.</t>
  </si>
  <si>
    <t>A player’s spear hits the target but bounces off. What happens?</t>
  </si>
  <si>
    <t>A. No points awardedB. Award points for the effortC. Award partial pointsD. Allow a retry</t>
  </si>
  <si>
    <t>A player’s spear lands inside the target but is knocked out by the wind. What happens?</t>
  </si>
  <si>
    <t>A player throws their spear, but it lands in an off-limits area. What happens?</t>
  </si>
  <si>
    <t>Throws must land in the designated play area.</t>
  </si>
  <si>
    <t>A player’s spear lands directly in the target area but does not stick. What happens?</t>
  </si>
  <si>
    <t>A. No points awardedB. Allow a retryC. Award points for proximityD. Award points for effort</t>
  </si>
  <si>
    <t>Points are awarded only if the spear sticks.</t>
  </si>
  <si>
    <t>A player throws their spear, but it lands just outside the target. What happens?</t>
  </si>
  <si>
    <t>A player’s spear lands on the target but is immediately dislodged by another spear. What happens?</t>
  </si>
  <si>
    <t>A. No points awardedB. Award points based on proximityC. Allow a retryD. Award points for the effort</t>
  </si>
  <si>
    <t>A player’s spear lands inside the target area but doesn’t stick. What happens?</t>
  </si>
  <si>
    <t>Points are only awarded if the spear sticks.</t>
  </si>
  <si>
    <t>A player’s spear lands on the target, but another player’s spear knocks it off. What happens?</t>
  </si>
  <si>
    <t>A runner stumbles at the starting line and loses his balance but regains strength. What happens next?</t>
  </si>
  <si>
    <t>A. The race will continue, and the runner will be disqualified.B. The runner receives a warning.C. The runner must start again.D. The competition continues uninterrupted.</t>
  </si>
  <si>
    <t>The competition continues uninterrupted.</t>
  </si>
  <si>
    <t>In traditional running, minor obstacles do not affect the outcome of the race as long as the runner does not fall.</t>
  </si>
  <si>
    <t>During a traditional foot race, a runner crosses the finish line first but is briefly out of bounds. What happens?</t>
  </si>
  <si>
    <t>A. The runner will be disqualified.B. The result of the competition will not change.C. The runner is given a warning.D. The runner must repeat the race.</t>
  </si>
  <si>
    <t>The runner will be disqualified.</t>
  </si>
  <si>
    <t>Runners are out of the race if they go outside the race boundaries.</t>
  </si>
  <si>
    <t>A runner starts late because of a delay but finishes the race strong. What happens?</t>
  </si>
  <si>
    <t>A. The runner is not eligible for a late start.B. The runner can still finish the race, but he won't win.C. The runner may catch up but will be given a time penalty.D. The runner will have the opportunity to start the race again.</t>
  </si>
  <si>
    <t>The runner can still finish the race, but he won't win.</t>
  </si>
  <si>
    <t>Late start does not always result in eligibility unless otherwise stated.</t>
  </si>
  <si>
    <t>A runner crosses the finish line and celebrates before officially stopping. What happens?</t>
  </si>
  <si>
    <t>A. The runner will be penalized for unsportsmanlike behavior.B. The runner's celebration is allowed as long as they stop in time.C. The runner gets an extra point for enthusiasm.D. The race officials may ask the runner to retake the race.</t>
  </si>
  <si>
    <t>The runner will be penalized for unsportsmanlike behavior.</t>
  </si>
  <si>
    <t>Complying before stopping will result in a time penalty based on race rules.</t>
  </si>
  <si>
    <t>A runner is caught cheating by accepting help from someone outside the race. What happens?</t>
  </si>
  <si>
    <t>A. The runner will be immediately disqualified.B. The runner is given a time penalty.C. The runner is given a warning but is allowed to finish.D. The competition will be canceled.</t>
  </si>
  <si>
    <t>The runner will be immediately disqualified.</t>
  </si>
  <si>
    <t>Fraud or accepting outside help will result in automatic disqualification.</t>
  </si>
  <si>
    <t>During a race, a runner runs over an obstacle but keeps running. What happens?</t>
  </si>
  <si>
    <t>A. The runner is not eligible to fall.B. The race continues, and the runner is not penalized.C. The runner receives a warning and continues.D. The runner must return to the starting line.</t>
  </si>
  <si>
    <t>The race continues, and the runner is not penalized.</t>
  </si>
  <si>
    <t>Minor falls or obstacles do not result in a penalty if the runner is able to continue.</t>
  </si>
  <si>
    <t>A runner is leading the race but stops to cheer on another runner. What happens?</t>
  </si>
  <si>
    <t>A. The runner is not fit for sportsmanship.B. The runner receives a time penalty but can continue.C. The runner is allowed to cheer but must continue the race immediately.D. The runner was disqualified for not finishing the race.</t>
  </si>
  <si>
    <t>The runner receives a time penalty but can continue.</t>
  </si>
  <si>
    <t>Encouragement is allowed, but may result in a time penalty if it affects the competition.</t>
  </si>
  <si>
    <t>A runner finishes last but has a faster time than some of the previous runners. What happens?</t>
  </si>
  <si>
    <t>A. The runner wins the race because he has the fastest time.B. The runner receives a time penalty for finishing last.C. The race is based on location, not time.D. The competition results are updated based on time, not location.</t>
  </si>
  <si>
    <t>The runner wins the race because he has the fastest time.</t>
  </si>
  <si>
    <t>Location is typically given priority, but time can determine ranking in some formats.</t>
  </si>
  <si>
    <t>During a race, a runner is seen running with his teammate. What happens?</t>
  </si>
  <si>
    <t>A. The runner is not qualified to assist another runner.B. The runner receives a warning but can continue.C. The runner will be given a time penalty for advancing.D. The runner is allowed to walk with others in certain races.</t>
  </si>
  <si>
    <t>The runner receives a warning but can continue.</t>
  </si>
  <si>
    <t>Running with a teammate is permitted unless prohibited in the race rules.</t>
  </si>
  <si>
    <t>A runner is caught wearing non-standard shoes that are not allowed in the race. What happens?</t>
  </si>
  <si>
    <t>A. The runner will be immediately disqualified.B. The runner gets a chance to change their shoes.C. The runner was allowed to finish but with a penalty.D. The runner is asked to complete the race barefoot.</t>
  </si>
  <si>
    <t>Wearing unauthorized equipment, such as shoes, will result in disqualification.</t>
  </si>
  <si>
    <t>A runner gets distracted by a spectator and slows down. What happens?</t>
  </si>
  <si>
    <t>A. The runner was rejected.B. The runner receives a warning but can continue.C. The runner receives a time penalty.D. The runner continues without any penalty.</t>
  </si>
  <si>
    <t>Attention-grabbing things are usually not penalized unless they directly affect the competition.</t>
  </si>
  <si>
    <t>The runner's foot crosses the starting line early, but they gain no advantage. What happens?</t>
  </si>
  <si>
    <t>A. The runner is not eligible to start with a false start.B. The runner was given a warning and allowed to continue.C. The competition will resume immediately.D. The runner continues without penalty.</t>
  </si>
  <si>
    <t>The runner was given a warning and allowed to continue.</t>
  </si>
  <si>
    <t>A false start will result in a warning unless it is repeated.</t>
  </si>
  <si>
    <t>A runner is trailing behind but is passed by another competitor in the final distance. What happens?</t>
  </si>
  <si>
    <t>A. The runner is not eligible to pass.B. The runner was allowed to continue without penalty.C. The runner will receive a penalty for passing.D. The runner is asked to return to the start.</t>
  </si>
  <si>
    <t>The runner was allowed to continue without penalty.</t>
  </si>
  <si>
    <t>Passing is permitted as long as there are no specific racial laws to the contrary.</t>
  </si>
  <si>
    <t>A runner falls during a race but gets up and continues. What happens?</t>
  </si>
  <si>
    <t>A. The runner is not eligible to fall.B. The runner continues without penalty.C. The runner will receive a penalty for the time he/she falls.D. The runner must restart the race.</t>
  </si>
  <si>
    <t>The runner continues without penalty.</t>
  </si>
  <si>
    <t>Small falls are usually not penalized if the runner continues the race.</t>
  </si>
  <si>
    <t>A runner stops to drink water halfway through a race. What happens?</t>
  </si>
  <si>
    <t>A. The runner is not eligible to stop.B. The runner can stop and continue without penalty.C. The runner receives a time penalty for stopping.D. The runner can stop, but only for a limited time.</t>
  </si>
  <si>
    <t>The runner can stop and continue without penalty.</t>
  </si>
  <si>
    <t>Parking is permitted at selected sites unless otherwise restricted.</t>
  </si>
  <si>
    <t>A runner passes a checkpoint but forgets to record their time. What happens?</t>
  </si>
  <si>
    <t>A. The runner was rejected.B. The runner can continue and still finish.C. The runner is given a time penalty.D. The runner will be asked to return to the checkpoint.</t>
  </si>
  <si>
    <t>The runner was rejected.</t>
  </si>
  <si>
    <t>Skipping checkpoints will result in rejection unless corrected.</t>
  </si>
  <si>
    <t>A runner receives help from another competitor during a race. What happens?</t>
  </si>
  <si>
    <t>A. The runner is not eligible for outside assistance.B. The runner continues despite being warned.C. The runner receives a time penalty.D. The runner must return to the start.</t>
  </si>
  <si>
    <t>The runner is not eligible for outside assistance.</t>
  </si>
  <si>
    <t>Accepting outside help will result in disqualification in most races.</t>
  </si>
  <si>
    <t>A runner finishes first but is found wearing unauthorized equipment. What happens?</t>
  </si>
  <si>
    <t>A. The runner is disqualified and does not win.B. The runner is allowed to hold the position with a warning.C. The runner receives a time penalty but keeps his place.D. The runner must restart the race.</t>
  </si>
  <si>
    <t>The runner is disqualified and does not win.</t>
  </si>
  <si>
    <t>Unauthorized devices may result in disqualification.</t>
  </si>
  <si>
    <t>A runner sprains his ankle during a race but continues running. What happens?</t>
  </si>
  <si>
    <t>A. The runner is not eligible for injury.B. The runner may finish the race but may be disqualified for not stopping.C. A runner will receive a penalty for continued injury time.D. The runner is advised to stop and seek medical attention.</t>
  </si>
  <si>
    <t>The runner may finish the race but may be disqualified for not stopping.</t>
  </si>
  <si>
    <t>Injured runners are usually allowed to finish, but may be removed from the race if their health is at risk.</t>
  </si>
  <si>
    <t>A runner finishes the race but is accused of starting from the wrong place. What happens?</t>
  </si>
  <si>
    <t>A. The runner was rejected.B. The runner is allowed to hold the position with a time penalty.C. The runner is not qualified but still gets a medal.D. The competition result is worthless.</t>
  </si>
  <si>
    <t>It leads to the inability to start from the wrong place.</t>
  </si>
  <si>
    <t>A runner breaks a rule and is told off halfway through the race. What happens?</t>
  </si>
  <si>
    <t>A. The runner will be immediately disqualified.B. The runner receives a time penalty and continues.C. The runner was given a warning but was allowed to finish.D. The race has stopped to check.</t>
  </si>
  <si>
    <t>The runner receives a time penalty and continues.</t>
  </si>
  <si>
    <t>Violation of the Middle Race Law usually results in a fine or disqualification.</t>
  </si>
  <si>
    <t>A runner has been told by an officer to slow down due to a potential hazard on the road. What will happen?</t>
  </si>
  <si>
    <t>A. The runner is penalized for slowing down.B. The runner must slow down for safety reasons but can continue.C. The runner must come to a complete stop until the hazard is cleared.D. The runner is disqualified for not following the official's instructions.</t>
  </si>
  <si>
    <t>The runner must slow down for safety reasons but can continue.</t>
  </si>
  <si>
    <t>Safety precautions often require slowing down, without penalty.</t>
  </si>
  <si>
    <t>A runner falls before reaching the finish line. What happens?</t>
  </si>
  <si>
    <t>A. The runner was rejected.B. The runner still wins with help on the line.C. The race continued and the runner was declared the winner.D. The runner was given a medical evaluation and rejected.</t>
  </si>
  <si>
    <t>The runner still wins with help on the line.</t>
  </si>
  <si>
    <t>Runners who fall near the finish line can be helped and still win.</t>
  </si>
  <si>
    <t>A runner's shirt tears during the race. What happens?</t>
  </si>
  <si>
    <t>A. The runner was disqualified for not wearing the proper uniform.B. The runner continues without penalty.C. The runner will be penalized for damaged clothing.D. The runner must start again with a new shirt.</t>
  </si>
  <si>
    <t>Damaged clothing does not typically affect competition unless it causes injury.</t>
  </si>
  <si>
    <t>A runner jumps the last hurdle instead of running over it. What happens?</t>
  </si>
  <si>
    <t>A. The runner is not qualified to jump the hurdle.B. The runner will be penalized for jumping an obstacle.C. The runner must repeat the obstacle.D. The runner was allowed to continue without penalty.</t>
  </si>
  <si>
    <t>The runner is not qualified to jump the hurdle.</t>
  </si>
  <si>
    <t>Jumping hurdles without proper approval often results in disqualification.</t>
  </si>
  <si>
    <t>A runner decides to run with a group instead of competing alone. What happens?</t>
  </si>
  <si>
    <t>A. The runner is not fit to walk.B. The runner is penalized for not running alone.C. If running is permitted, the runner may continue.D. The runner is given a time penalty for advancing.</t>
  </si>
  <si>
    <t>If running is permitted, the runner may continue.</t>
  </si>
  <si>
    <t>Depending on the specific race rules, pacing may or may not be allowed.</t>
  </si>
  <si>
    <t>A runner's shoe falls off during a race. What happens?</t>
  </si>
  <si>
    <t>A. The runner is disqualified for losing their shoes.B. The runner is allowed to finish without shoes.C. The runner is penalized for losing his shoes.D. The runner must stop to put on his shoes.</t>
  </si>
  <si>
    <t>The runner is allowed to finish without shoes.</t>
  </si>
  <si>
    <t>Losing shoes during a race usually doesn't stop a runner.</t>
  </si>
  <si>
    <t>One runner is ahead and another runner is in trouble. What will happen?</t>
  </si>
  <si>
    <t>A. The runner is not eligible to stop.B. The runner is encouraged to help but loses time.C. The runner is allowed to stop but must start again.D. The runner continues without help.</t>
  </si>
  <si>
    <t>The runner is encouraged to help but loses time.</t>
  </si>
  <si>
    <t>Stopping to help may result in a time penalty but is often encouraged.</t>
  </si>
  <si>
    <t>A runner accidentally runs into another runner. What happens?</t>
  </si>
  <si>
    <t>A. The runner is not fit to cause a fall.B. The runner is penalized for interference.C. The runner was allowed to continue without penalty.D. The runner must return to the starting position.</t>
  </si>
  <si>
    <t>The runner is penalized for interference.</t>
  </si>
  <si>
    <t>Sudden trips are often punished by loss of time.</t>
  </si>
  <si>
    <t>A runner accelerates too early and slows down, losing the lead. What happens?</t>
  </si>
  <si>
    <t>A. The runner is not fit for sportsmanship.B. The runner will be penalized for unsportsmanlike behavior.C. If the runner slows down, they may lose their place.D. The runner wins the race, even if he finishes early.</t>
  </si>
  <si>
    <t>If the runner slows down, they may lose their place.</t>
  </si>
  <si>
    <t>Early celebration before the race is over often results in losing the lead.</t>
  </si>
  <si>
    <t>A runner changes lanes during the race without permission. What happens?</t>
  </si>
  <si>
    <t>A. The runner is ineligible for a lane violation.B. The runner was allowed to continue with a warning.C. The runner is given a time penalty for a lane violation.D. The runner is penalized and asked to return to their lane.</t>
  </si>
  <si>
    <t>The runner is ineligible for a lane violation.</t>
  </si>
  <si>
    <t>Lane violations are often punished with time loss.</t>
  </si>
  <si>
    <t>A runner doesn't feel good but keeps going. What happens?</t>
  </si>
  <si>
    <t>A. The runner will not be eligible to stop.B. The runner is asked to stop and seek medical attention.C. The runner can continue with a health check after the race.D. The runner is punished for continuing through pain.</t>
  </si>
  <si>
    <t>The runner is asked to stop and seek medical attention.</t>
  </si>
  <si>
    <t>Health issues often lead to forced stops for safety reasons.</t>
  </si>
  <si>
    <t>It has not been officially confirmed whether the runner has reached the finish line. What will happen?</t>
  </si>
  <si>
    <t>A. The runner was disqualified for not testing.B. The runner must return for testing before finishing.C. The runner is not allowed to finish without a check.D. The runner was allowed to finish without a check.</t>
  </si>
  <si>
    <t>The runner was disqualified for not testing.</t>
  </si>
  <si>
    <t>Failure to check may result in disqualification.</t>
  </si>
  <si>
    <t>A runner sees another competitor breaking the rules. What happens?</t>
  </si>
  <si>
    <t>A. The runner must report the violation immediately.B. The runner ignores him and continues.C. The runner will be punished for reporting.D. The runner must stop and help the competitor.</t>
  </si>
  <si>
    <t>The runner must report the violation immediately.</t>
  </si>
  <si>
    <t>Reporting violations of the law is encouraged for fairness.</t>
  </si>
  <si>
    <t>A runner finishes last but follows all the rules. What happens?</t>
  </si>
  <si>
    <t>A. The runner is congratulated but does not receive a prize.B. The runner will be eliminated from the race if he does not perform well.C. The runner was given a special award for his effort.D. The runner will receive a prize upon completing the race.</t>
  </si>
  <si>
    <t>The runner is congratulated but does not receive a prize.</t>
  </si>
  <si>
    <t>Participation in following the rules ensures recognition.</t>
  </si>
  <si>
    <t>A runner hears the finish line signal but doesn't believe they've finished. What happens?</t>
  </si>
  <si>
    <t>A. The runner is penalized for continuing.B. The runner was disqualified because he refused to stop.C. The runner will be allowed to finish after being verified.D. The runner receives assistance to reach the finish line.</t>
  </si>
  <si>
    <t>The runner will be allowed to finish after being verified.</t>
  </si>
  <si>
    <t>Disagreements on the final line can be resolved.</t>
  </si>
  <si>
    <t>A runner is allowed to leave the track for a bathroom break. What happens?</t>
  </si>
  <si>
    <t>A. The runner is not eligible to leave the track.B. The runner is allowed but loses valuable time.C. The runner is given an extended rest period.D. The runner must return to their original position.</t>
  </si>
  <si>
    <t>The runner is allowed but loses valuable time.</t>
  </si>
  <si>
    <t>Bathroom breaks are allowed in many races.</t>
  </si>
  <si>
    <t>A runner gets injured during a race and decides to continue without medical attention. What happens?</t>
  </si>
  <si>
    <t>A. The runner is disqualified for not following medical instructions.B. The runner was allowed to continue but was flagged down for a medical examination.C. The runner must receive medical attention.D. A runner is penalized for continuing even if he is injured.</t>
  </si>
  <si>
    <t>The runner was allowed to continue but was flagged down for a medical examination.</t>
  </si>
  <si>
    <t>Injured runners can continue but are often flagged down for medical evaluation.</t>
  </si>
  <si>
    <t>A runner's coach gives them last-minute advice at the race. What happens?</t>
  </si>
  <si>
    <t>A. The runner is not eligible for coaching intervention.B. The runner receives a warning for outside help.C. The runner continues without penalty.D. The runner is punished by receiving advice.</t>
  </si>
  <si>
    <t>The runner receives a warning for outside help.</t>
  </si>
  <si>
    <t>Coaches' interference is usually punished unless it is authorized.</t>
  </si>
  <si>
    <t>A runner finishes the race but their timing chip is broken. What happens?</t>
  </si>
  <si>
    <t>A. The runner is not eligible for damaged equipment.B. The runner is given an estimated time to finish.C. The runner's time is recorded manually.D. The race is considered unfinished for the runner.</t>
  </si>
  <si>
    <t>The runner is given an estimated time to finish.</t>
  </si>
  <si>
    <t>Timing errors are typically resolved with manual transcriptions.</t>
  </si>
  <si>
    <t>A runner is wearing inappropriate shoes. What happens?</t>
  </si>
  <si>
    <t>A. The runner is not eligible for ill-fitting shoes.B. The runner was given a warning and allowed to continue.C. The runner must change their shoes to continue.D. The runner was allowed to continue without penalty.</t>
  </si>
  <si>
    <t>Footwear guidelines ensure safety and fairness.</t>
  </si>
  <si>
    <t>A runner drops something during a race. What happens?</t>
  </si>
  <si>
    <t>A. The runner is not eligible for the litter.B. The runner must remove the object and continue.C. The runner is penalized for dropping the object.D. The runner was allowed to continue without penalty.</t>
  </si>
  <si>
    <t>The runner must remove the object and continue.</t>
  </si>
  <si>
    <t>Dropping items may result in a distraction penalty.</t>
  </si>
  <si>
    <t>A runner uses a performance-enhancing drug. What happens?</t>
  </si>
  <si>
    <t>A. The runner is not eligible for doping.B. The runner was penalized but allowed to continue.C. The runner has been warned.D. The runner was allowed to continue without penalty.</t>
  </si>
  <si>
    <t>The runner is not eligible for doping.</t>
  </si>
  <si>
    <t>Doping is strictly prohibited in most races.</t>
  </si>
  <si>
    <t>A runner finishes the race but starts before the signal. What happens?</t>
  </si>
  <si>
    <t>A. The runner is not eligible to start with a false start.B. The runner was allowed to continue after a warning.C. The runner is penalized for losing time.D. The runner is given another chance.</t>
  </si>
  <si>
    <t>The runner is not eligible to start with a false start.</t>
  </si>
  <si>
    <t>False starts often result in disqualification.</t>
  </si>
  <si>
    <t>A runner finishes the race but leaves early. What happens?</t>
  </si>
  <si>
    <t>A. The runner is ineligible to not finish.B. The runner was allowed to go without penalty.C. The runner is penalized for losing time.D. The runner must return to finish properly.</t>
  </si>
  <si>
    <t>The runner is ineligible to not finish.</t>
  </si>
  <si>
    <t>Early dismissal is often due to incompetence.</t>
  </si>
  <si>
    <t>A runner finishes the race but doesn't smile. What happens?</t>
  </si>
  <si>
    <t>A. The runner will be penalized for not showing sportsmanship.B. The runner was happy to finish.C. The runner is ignored for their speech impediment.D. The runner is encouraged to smile.</t>
  </si>
  <si>
    <t>The runner was happy to finish.</t>
  </si>
  <si>
    <t>Expression is not typically punished by race.</t>
  </si>
  <si>
    <t>A runner is late to the starting line. What happens?</t>
  </si>
  <si>
    <t>A. The runner was disqualified due to being late.B. The runner is given a grace period to join.C. The runner can start from the back.D. The runner is penalized for losing time.</t>
  </si>
  <si>
    <t>The runner is given a grace period to join.</t>
  </si>
  <si>
    <t>Late arrivals may face penalties in some competitions.</t>
  </si>
  <si>
    <t>A runner finishes the race but does not wear the official race number. What happens?</t>
  </si>
  <si>
    <t>A. The runner is ineligible because he is missing his number.B. The runner is allowed to finish but is penalized.C. The runner will be given a provisional number.D. The runner must return and wear the correct number.</t>
  </si>
  <si>
    <t>The runner is ineligible because he is missing his number.</t>
  </si>
  <si>
    <t>Seed numbers are important for proper identification.</t>
  </si>
  <si>
    <t>A runner is running on a track designed for others. What will happen?</t>
  </si>
  <si>
    <t>A. The runner is ineligible for a track violation.B. The runner was warned to return to their lane.C. The runner is asked to leave the track.D. The runner is penalized for interference.</t>
  </si>
  <si>
    <t>The runner was warned to return to their lane.</t>
  </si>
  <si>
    <t>Tracking violations typically result in fines.</t>
  </si>
  <si>
    <t>A runner receives outside help during the race. What happens?</t>
  </si>
  <si>
    <t>A. The runner is not eligible for outside assistance.B. The runner was allowed to continue after a warning.C. The runner is penalized for losing time.D. The runner must complete the race without assistance.</t>
  </si>
  <si>
    <t>Outside help is often prohibited in competitions.</t>
  </si>
  <si>
    <t>A runner suffers a concussion mid-race. What happens?</t>
  </si>
  <si>
    <t>A. The runner is medically ineligible.B. The runner can continue but may lose time.C. The runner must stop for medical attention.D. The runner is allowed to finish the race at his own pace.</t>
  </si>
  <si>
    <t>The runner can continue but may lose time.</t>
  </si>
  <si>
    <t>Runners with cramps may continue after medical examination.</t>
  </si>
  <si>
    <t>A runner is caught cutting the track to save time. What will happen?</t>
  </si>
  <si>
    <t>A. The runner is not eligible to cheat.B. The runner was warned to return to the track.C. The runner is penalized for losing time.D. The runner was allowed to continue without penalty.</t>
  </si>
  <si>
    <t>The runner is not eligible to cheat.</t>
  </si>
  <si>
    <t>Cheating by cutting the track will result in disqualification.</t>
  </si>
  <si>
    <t>A runner travels during a race. What happens?</t>
  </si>
  <si>
    <t>A. The runner is not fit to stumble.B. The runner is allowed to continue after he/she has stopped.C. The runner is penalized for failing.D. The runner will be given medical attention and allowed to continue.</t>
  </si>
  <si>
    <t>The runner is allowed to continue after he/she has stopped.</t>
  </si>
  <si>
    <t>Runners who travel often are given the opportunity to continue.</t>
  </si>
  <si>
    <t>A runner's equipment was damaged during the race. What happens?</t>
  </si>
  <si>
    <t>A. The runner is not eligible for equipment failure.B. The runner must repair the equipment before continuing.C. The runner was allowed to continue without penalty.D. The runner will be given a replacement device.</t>
  </si>
  <si>
    <t>Runners with damaged equipment can still finish the race.</t>
  </si>
  <si>
    <t>A runner finishes but forgets to remove his timing chip. What happens?</t>
  </si>
  <si>
    <t>A. The runner will be penalized for not following the procedure.B. The runner is allowed to remove it after the race.C. The runner is not eligible for improper equipment handling.D. The runner is warned to follow procedures.</t>
  </si>
  <si>
    <t>The runner is allowed to remove it after the race.</t>
  </si>
  <si>
    <t>Failure to remove timing chips may lead to penalties.</t>
  </si>
  <si>
    <t>A runner finishes the race but the timing system is down. What happens?</t>
  </si>
  <si>
    <t>A. The runner is not eligible for technical issues.B. The runner's finish is recorded manually.C. The runner must retake the race.D. The race was declared invalid for that runner.</t>
  </si>
  <si>
    <t>The runner's finish is recorded manually.</t>
  </si>
  <si>
    <t>Timing issues are often resolved with manual backups.</t>
  </si>
  <si>
    <t>A runner is disqualified for a rule violation but they argue their case. What happens?</t>
  </si>
  <si>
    <t>A. The runner will be allowed to re-enter the race after review.B. The runner is not qualified to argue with the authorities.C. The runner's case will be reviewed and a decision will be made.D. The runner is penalized for arguing with the officials.</t>
  </si>
  <si>
    <t>The runner's case will be reviewed and a decision will be made.</t>
  </si>
  <si>
    <t>Official reviews help resolve disputes through fair competition.</t>
  </si>
  <si>
    <t>A runner has been caught using unauthorized equipment. What happens?</t>
  </si>
  <si>
    <t>A. The runner is not eligible to use unauthorized equipment.B. The runner is warned to remove the device.C. The runner was allowed to continue without penalty.D. The runner is penalized for losing time.</t>
  </si>
  <si>
    <t>The runner is not eligible to use unauthorized equipment.</t>
  </si>
  <si>
    <t>Equipment regulations ensure fairness and safety in the race.</t>
  </si>
  <si>
    <t>A runner starts without warming up properly. What happens?</t>
  </si>
  <si>
    <t>A. The runner is not eligible for an unqualified event.B. The runner is allowed to continue but may be injured.C. The runner is penalized for losing time.D. The runner must complete the warm-up before continuing.</t>
  </si>
  <si>
    <t>The runner is allowed to continue but may be injured.</t>
  </si>
  <si>
    <t>Warming up helps prevent injuries and improve performance.</t>
  </si>
  <si>
    <t>A runner forgets to log in at the start of the race. What happens?</t>
  </si>
  <si>
    <t>A. The runner is not eligible because he did not enter.B. The runner is allowed to compete but cannot be officially timed.C. The runner will be allowed to compete after he/she has finally entered.D. The runner will be penalized for forgetting to log in.</t>
  </si>
  <si>
    <t>The runner is allowed to compete but cannot be officially timed.</t>
  </si>
  <si>
    <t>Inability to log in results in official disqualification.</t>
  </si>
  <si>
    <t>During a race, a runner's foot touches the line. What happens?</t>
  </si>
  <si>
    <t>A. The runner is not eligible to start with a false start.B. The runner was allowed to continue with a warning.C. The runner is penalized for losing time.D. The runner is asked to leave the starting line and try again.</t>
  </si>
  <si>
    <t>The runner was allowed to continue with a warning.</t>
  </si>
  <si>
    <t>False start penalties are usually if a line is crossed.</t>
  </si>
  <si>
    <t>A runner receives a warning during the race. What happens?</t>
  </si>
  <si>
    <t>A. The runner is not eligible for repeated warnings.B. The runner will continue without penalty unless the rule is broken again.C. The runner is penalized for losing time.D. The runner is given another chance to continue.</t>
  </si>
  <si>
    <t>The runner will continue without penalty unless the rule is broken again.</t>
  </si>
  <si>
    <t>Warnings are an opportunity to correct behavior during a competition.</t>
  </si>
  <si>
    <t>A runner crosses the finish line ahead of others but doesn't celebrate. What happens?</t>
  </si>
  <si>
    <t>A. The runner was penalized for poor sportsmanship.B. The runner is praised for his professionalism.C. The runner was happy to finish.D. The runner is ignored for their speech impediment.</t>
  </si>
  <si>
    <t>The runner is praised for his professionalism.</t>
  </si>
  <si>
    <t>The lack of holidays does not usually affect race results.</t>
  </si>
  <si>
    <t>A runner finishes the race but doesn't stop immediately. What happens?</t>
  </si>
  <si>
    <t>A. The runner will not be eligible to stop.B. The runner is penalized for losing time.C. The runner was warned to stop after finishing.D. Runners are allowed to finish at their own pace.</t>
  </si>
  <si>
    <t>The runner was warned to stop after finishing.</t>
  </si>
  <si>
    <t>The runner must stop to officially finish the race.</t>
  </si>
  <si>
    <t>A runner starts the race early and gets caught. What happens?</t>
  </si>
  <si>
    <t>A. The runner is not eligible to start with a false start.B. The runner was given a warning and allowed to continue.C. The runner is penalized for losing time.D. The runner must start from the back.</t>
  </si>
  <si>
    <t>A runner finishes the race but fails to cross the finish line properly. What happens?</t>
  </si>
  <si>
    <t>A. The runner was disqualified for not finishing properly.B. The runner is given a second chance to cross the finish line.C. The runner will be penalized for an improper finish.D. The runner was allowed to finish again.</t>
  </si>
  <si>
    <t>The runner was disqualified for not finishing properly.</t>
  </si>
  <si>
    <t>Crossing the finish line correctly is important for official results.</t>
  </si>
  <si>
    <t>During the race, a runner passes another runner. What happens?</t>
  </si>
  <si>
    <t>A. The runner is not eligible to intervene.B. The runner was warned but allowed to continue.C. The runner is penalized for losing time.D. The runner should apologize and move on.</t>
  </si>
  <si>
    <t>The runner is not eligible to intervene.</t>
  </si>
  <si>
    <t>Interfering with another runner's performance may result in disqualification.</t>
  </si>
  <si>
    <t>A runner finishes the race but forgets to stop the timer. What happens?</t>
  </si>
  <si>
    <t>A. The runner is ineligible for failing to stop the timer.B. The runner is penalized for losing time.C. The runner is warned to stop their timer.D. The runner was allowed to continue without penalty.</t>
  </si>
  <si>
    <t>The runner is warned to stop their timer.</t>
  </si>
  <si>
    <t>Not stopping the timer may cause confusion with the official time.</t>
  </si>
  <si>
    <t>A runner gets confused and starts running in the wrong direction. What happens?</t>
  </si>
  <si>
    <t>A. The runner is disqualified for not following the correct route.B. The runner is allowed to adjust their direction and continue.C. The runner is penalized for losing time.D. The runner is required to return to the correct path immediately.</t>
  </si>
  <si>
    <t>The runner is allowed to adjust their direction and continue.</t>
  </si>
  <si>
    <t>Runners who stray off the path must quickly return to the correct path.</t>
  </si>
  <si>
    <t>A runner receives medical attention on the track during the race. What happens?</t>
  </si>
  <si>
    <t>A. The runner is not eligible for medical assistance.B. The runner will be allowed to continue after being checked by medical staff.C. The runner is penalized by taking a medical break.D. The runner will be stopped from continuing until he/she fully recovers.</t>
  </si>
  <si>
    <t>The runner will be allowed to continue after being checked by medical staff.</t>
  </si>
  <si>
    <t>Medical examinations will ensure the runner's safety before continuing.</t>
  </si>
  <si>
    <t>A runner stops in the middle of a race to adjust his shoes. What happens?</t>
  </si>
  <si>
    <t>A. The runner will not be eligible for unnecessary interruptions.B. The runner is penalized for losing time to stop.C. The runner is allowed to continue after adjusting their shoes.D. The runner will be given a warning for unnecessary stopping.</t>
  </si>
  <si>
    <t>The runner is allowed to continue after adjusting their shoes.</t>
  </si>
  <si>
    <t>Runners are allowed short adjustments without penalty.</t>
  </si>
  <si>
    <t>A runner takes a shortcut to gain an advantage. What happens?</t>
  </si>
  <si>
    <t>A. The runner is not eligible to cheat.B. The runner is penalized for an unfair advantage.C. The runner was allowed to continue without any penalty.D. The runner is penalized for losing time.</t>
  </si>
  <si>
    <t>Taking shortcuts during the race will lead to disqualification.</t>
  </si>
  <si>
    <t>A runner finishes the race but their running shoes are hidden. What happens?</t>
  </si>
  <si>
    <t>A. The runner was disqualified for not displaying their bib correctly.B. The runner is allowed to finish but is penalized.C. To correct the problem, the runner must return to the starting line.D. The runner's result is invalid if there is no invisible bib.</t>
  </si>
  <si>
    <t>The runner was disqualified for not displaying their bib correctly.</t>
  </si>
  <si>
    <t>The visibility of the racial bib is required to gain official recognition.</t>
  </si>
  <si>
    <t>A runner competes without proper running gear. What happens?</t>
  </si>
  <si>
    <t>A. The runner is not eligible to wear inappropriate clothing.B. The runner was given a warning and allowed to continue.C. The runner is penalized for losing time.D. The runner is given appropriate clothing before continuing.</t>
  </si>
  <si>
    <t>Races typically require appropriate clothing for safety and fairness.</t>
  </si>
  <si>
    <t>A runner leaves the track and enters the spectator area during the race. What happens?</t>
  </si>
  <si>
    <t>A. The runner is not eligible to leave the track.B. The runner is given a warning and asked to return.C. The runner is penalized for losing time.D. The runner is allowed to return after a warning.</t>
  </si>
  <si>
    <t>The runner is not eligible to leave the track.</t>
  </si>
  <si>
    <t>Leaving the track during the race will lead to disqualification.</t>
  </si>
  <si>
    <t>A runner slows down during a race and is passed by another runner. What happens?</t>
  </si>
  <si>
    <t>A. The runner is not eligible for poor performance.B. The runner is allowed to continue at their own pace.C. The runner is penalized for slowing down.D. The runner is warned to pick up the pace.</t>
  </si>
  <si>
    <t>The runner is allowed to continue at their own pace.</t>
  </si>
  <si>
    <t>Refraining usually does not result in a penalty.</t>
  </si>
  <si>
    <t>A runner finishes the race but falls short of the required distance. What happens?</t>
  </si>
  <si>
    <t>A. The runner was disqualified for not completing the full distance.B. The runner is penalized for losing time.C. The runner is allowed to complete the additional distance.D. The runner must be given the opportunity to complete the distance.</t>
  </si>
  <si>
    <t>The runner was disqualified for not completing the full distance.</t>
  </si>
  <si>
    <t>Runners must complete the entire race distance to be considered.</t>
  </si>
  <si>
    <t>A runner starts off confused about the starting signal. What happens?</t>
  </si>
  <si>
    <t>A. The runner is not qualified to jump the gun.B. The runner is penalized for losing time.C. The runner was allowed to continue with a warning.D. The runner is given a second chance to start.</t>
  </si>
  <si>
    <t>The runner is not qualified to jump the gun.</t>
  </si>
  <si>
    <t>Skipping the starting signal will lead to penalties.</t>
  </si>
  <si>
    <t>A runner loses to another competitor in the final distance. What happens?</t>
  </si>
  <si>
    <t>A. The runner is penalized for losing his place.B. The runner was allowed to continue and finish the race.C. The runner is given a second chance to regain their place.D. The runner is not qualified to let others pass.</t>
  </si>
  <si>
    <t>The runner was allowed to continue and finish the race.</t>
  </si>
  <si>
    <t>Runners are allowed to finish at their own pace.</t>
  </si>
  <si>
    <t>A runner passes another runner without following the correct line. What happens?</t>
  </si>
  <si>
    <t>A. The runner is ineligible for a lane violation.B. The runner was allowed to continue after a warning.C. The runner is penalized for losing time.D. The runner needs to get back on the right track.</t>
  </si>
  <si>
    <t>Lane violations often result in disqualification.</t>
  </si>
  <si>
    <t>After the time limit is up, the runner crosses the finish line. What happens?</t>
  </si>
  <si>
    <t>A. The runner is not eligible to finish after a certain time.B. The runner is penalized for losing time.C. The runner was allowed to finish but it yielded no results.D. The runner must stop immediately and leave the track.</t>
  </si>
  <si>
    <t>The runner is not eligible to finish after a certain time.</t>
  </si>
  <si>
    <t>Competitions often have strict time limits for completion.</t>
  </si>
  <si>
    <t>A runner failed to follow the pre-race briefing. What happens?</t>
  </si>
  <si>
    <t>A. The runner is disqualified for missing the brief.B. The runner was given a warning and allowed to continue.C. The runner is penalized for losing time.D. The runner is asked to attend the briefing before the start.</t>
  </si>
  <si>
    <t>Pre-race briefings ensure participants understand the rules.</t>
  </si>
  <si>
    <t>A runner's hydration pack leaks during the race. What happens?</t>
  </si>
  <si>
    <t>A. The runner is not eligible for equipment failure.B. The runner is given a new hydration pack.C. The runner was allowed to continue without penalty.D. The runner is penalized for losing time.</t>
  </si>
  <si>
    <t>Hydration packs are essential for runners' safety.</t>
  </si>
  <si>
    <t>A runner receives an incorrect signal at the start of the race. What happens?</t>
  </si>
  <si>
    <t>A. The runner is not eligible to start early.B. The competition has been restarted to ensure fairness.C. The runner is given a time penalty.D. The runner was allowed to continue without penalty.</t>
  </si>
  <si>
    <t>The competition has been restarted to ensure fairness.</t>
  </si>
  <si>
    <t>Incorrect starting signals may lead to a race restart.</t>
  </si>
  <si>
    <t>When a runner finishes the race, their final time is lost. What happens?</t>
  </si>
  <si>
    <t>A. The runner is disqualified for losing his time.B. The runner's time is recorded manually after the race.C. The runner is given a temporary time.D. The runner was allowed to re-run the race.</t>
  </si>
  <si>
    <t>The runner's time is recorded manually after the race.</t>
  </si>
  <si>
    <t>Timing errors can be corrected after the race.</t>
  </si>
  <si>
    <t>A runner is seen taking performance-enhancing substances before a race. What happens?</t>
  </si>
  <si>
    <t>A. The runner is disqualified for cheating and is suspended.B. The runner was given a warning and allowed to continue.C. The runner is penalized for losing time.D. The runner is warned but is allowed to run.</t>
  </si>
  <si>
    <t>The runner is disqualified for cheating and is suspended.</t>
  </si>
  <si>
    <t>Use of prohibited substances will result in disqualification.</t>
  </si>
  <si>
    <t>A runner crosses the finish line but is unsure if they will finish before the cut-off time. What happens?</t>
  </si>
  <si>
    <t>A. The runner will be disqualified if they do not finish on time.B. The runner's time will be reviewed by officials for accuracy.C. The runner is penalized for not being sure about the finish.D. The runner is given a second chance to cross the finish line.</t>
  </si>
  <si>
    <t>The runner's time will be reviewed by officials for accuracy.</t>
  </si>
  <si>
    <t>In the event of disputes, completion times will be reviewed by the authorities.</t>
  </si>
  <si>
    <t>A runner loses his shoes during a race, but he keeps going. What happens?</t>
  </si>
  <si>
    <t>A. The runner will be penalized for running without proper clothing.B. The runner will be disqualified for not following the race rules.C. The runner was allowed to continue without penalty.D. The runner is given a time penalty for losing his shoes.</t>
  </si>
  <si>
    <t>Runners are allowed to continue as long as it does not hinder their progress.</t>
  </si>
  <si>
    <t>A runner temporarily steps off the track but quickly returns to their lane. What happens?</t>
  </si>
  <si>
    <t>A. The runner is not eligible to leave the track.B. The runner is penalized with a loss of time for leaving the track.C. The runner was allowed to continue without any penalty.D. The runner should be warned for going off the track.</t>
  </si>
  <si>
    <t>The runner is penalized with a loss of time for leaving the track.</t>
  </si>
  <si>
    <t>Leaving the track without good reason may result in penalties.</t>
  </si>
  <si>
    <t>A runner competes with an injury but finishes the race. What happens?</t>
  </si>
  <si>
    <t>A. A runner is ineligible to compete when injured.B. The runner is allowed to finish but may be penalized.C. The runner will be allowed to continue if cleared by medical professionals.D. The runner must receive medical attention before finishing.</t>
  </si>
  <si>
    <t>The runner will be allowed to continue if cleared by medical professionals.</t>
  </si>
  <si>
    <t>Injured runners will be allowed to finish if they are medically fit.</t>
  </si>
  <si>
    <t>A runner starts a race but struggles to maintain his pace. What happens?</t>
  </si>
  <si>
    <t>A. The runner will be eliminated from the race for not maintaining his pace.B. The runner is penalized for not maintaining his pace.C. Runners are allowed to continue at their own pace.D. The runner is given extra time to finish the race.</t>
  </si>
  <si>
    <t>Runners are allowed to continue at their own pace.</t>
  </si>
  <si>
    <t>Runners are allowed to run at their own pace without penalty.</t>
  </si>
  <si>
    <t>A runner is approached by a spectator during a race. What happens?</t>
  </si>
  <si>
    <t>A. The runner is not qualified to interact with the audience.B. The runner is penalized for losing time for being distracted.C. The runner was allowed to continue without any penalty.D. The runner has been warned to focus on the race.</t>
  </si>
  <si>
    <t>The runner was allowed to continue without any penalty.</t>
  </si>
  <si>
    <t>Generally, runners are not allowed to interact with spectators during the race.</t>
  </si>
  <si>
    <t>A runner crosses the finish line, but race officials get their finishing time wrong. What happens?</t>
  </si>
  <si>
    <t>A. The runner is not eligible for the officials' error.B. The runner's time was adjusted after reviewing the race footage.C. The runner is allowed to re-run the race for the correct time.D. The runner will be penalized for being confused by losing time.</t>
  </si>
  <si>
    <t>The runner's time was adjusted after reviewing the race footage.</t>
  </si>
  <si>
    <t>Race officials will review the footage to correct timing errors.</t>
  </si>
  <si>
    <t>A runner has a problem with their equipment during the race. What happens?</t>
  </si>
  <si>
    <t>A. The runner is not eligible for equipment failure.B. The runner is given time to repair the equipment.C. The runner will be penalized for not maintaining their equipment.D. After fixing the fault, the runner is allowed to continue.</t>
  </si>
  <si>
    <t>After fixing the fault, the runner is allowed to continue.</t>
  </si>
  <si>
    <t>Runners can continue as long as they resolve equipment issues quickly.</t>
  </si>
  <si>
    <t>A runner falls and gets up quickly. What happens?</t>
  </si>
  <si>
    <t>A. The runner is not eligible to fall.B. The runner was allowed to continue without any penalty.C. The runner is penalized for falling behind in the race.D. The runner must stop until a medical examination is performed.</t>
  </si>
  <si>
    <t>Falling during a race does not automatically disqualify a runner.</t>
  </si>
  <si>
    <t>A runner takes a shortcut to avoid a dangerous part of the course. What happens?</t>
  </si>
  <si>
    <t>A. The runner is not eligible to cheat.B. The runner is given a time penalty.C. The runner was allowed to continue without any penalty.D. The runner is expected to return to the correct course.</t>
  </si>
  <si>
    <t>Cheating by using shortcuts will lead to rejection.</t>
  </si>
  <si>
    <t>A runner misreads the race map and runs the wrong way. What happens?</t>
  </si>
  <si>
    <t>A. The runner is incompetent not to follow the map.B. The runner is penalized for running the wrong way.C. The runner is allowed to adjust their direction.D. The runner must immediately return to the correct path.</t>
  </si>
  <si>
    <t>The runner is allowed to adjust their direction.</t>
  </si>
  <si>
    <t>Runners who stray from the correct path must return quickly.</t>
  </si>
  <si>
    <t>A runner wears inappropriate shoes during a race. What happens?</t>
  </si>
  <si>
    <t>A. The runner is not eligible for wearing inappropriate shoes.B. The runner will be penalized for losing time due to improper footwear.C. The runner was allowed to continue without any penalty.D. The runner must wear the right shoes to continue.</t>
  </si>
  <si>
    <t>Proper footwear is essential for safety during a race.</t>
  </si>
  <si>
    <t>A runner has finished the race but has not received his medal by mistake. What happens?</t>
  </si>
  <si>
    <t>A. The runner was disqualified for not receiving the medal.B. The runner will be awarded the medal after the race has been judged.C. The runner is penalized for not collecting the medal.D. The runner must wait until the medal ceremony to receive it.</t>
  </si>
  <si>
    <t>The runner will be awarded the medal after the race has been judged.</t>
  </si>
  <si>
    <t>Race organizers ensure that runners receive their medals after the race.</t>
  </si>
  <si>
    <t>A runner is caught using unauthorized equipment during a race. What happens?</t>
  </si>
  <si>
    <t>A. The runner is not eligible to use unauthorized equipment.B. The runner is penalized for losing time.C. The runner was allowed to continue with a warning.D. The runner must return the equipment to the organizers.</t>
  </si>
  <si>
    <t>Use of unauthorized equipment will result in disqualification.</t>
  </si>
  <si>
    <t>A runner has finished the race, but their timing chip is broken. What happens?</t>
  </si>
  <si>
    <t>A. The runner is disqualified due to timing chip failure.B. The runner is allowed to finish, and the time is corrected later.C. The runner is given an alternative method for recording time.D. The runner will be penalized for failing to use the timing chip.</t>
  </si>
  <si>
    <t>The runner is allowed to finish, and the time is corrected later.</t>
  </si>
  <si>
    <t>Race officials can manually adjust times in the event of a crash.</t>
  </si>
  <si>
    <t>The runner in last place passes another runner but stumbles. What happens?</t>
  </si>
  <si>
    <t>A. The runner is penalized for stumbling at the finish line.B. The runner is not fit to stumble.C. The runner is allowed to finish after he recovers.D. The runner needs to return to the starting line.</t>
  </si>
  <si>
    <t>The runner is allowed to finish after he recovers.</t>
  </si>
  <si>
    <t>Runners are allowed to recover from minor setbacks.</t>
  </si>
  <si>
    <t>During the race, a runner is seen wearing an out-of-control uniform. What happens?</t>
  </si>
  <si>
    <t>A. The runner is not eligible to wear inappropriate clothing.B. The runner was given a warning and allowed to continue.C. The runner will be penalized for inappropriate attire.D. The runner is required to change their uniform immediately.</t>
  </si>
  <si>
    <t>Uniform rules apply to maintain fairness.</t>
  </si>
  <si>
    <t>A runner has finished the race but has not been able to cross the finish line. What happens?</t>
  </si>
  <si>
    <t>A. The runner was disqualified from the race because he was unable to enter.B. The runner is allowed to finish but must check in later.C. The runner will be penalized for not entering.D. The runner's finish was not recorded.</t>
  </si>
  <si>
    <t>The runner is allowed to finish but must check in later.</t>
  </si>
  <si>
    <t>Entry is critical for official race results.</t>
  </si>
  <si>
    <t>A runner gets encouragement from his teammate during a race. What happens?</t>
  </si>
  <si>
    <t>A. The runner is not eligible for outside assistance.B. The runner was allowed to continue without penalty.C. The runner is penalized for accepting outside help.D. The runner is warned for outside help.</t>
  </si>
  <si>
    <t>Assistance from teammates is generally not permitted during competitions.</t>
  </si>
  <si>
    <t>A runner participates in the race without registering. What happens?</t>
  </si>
  <si>
    <t>A. The runner was disqualified for not registering.B. The runner was allowed to finish but was not ranked.C. The runner is penalized for losing time.D. The runner will be given the opportunity to register after the race.</t>
  </si>
  <si>
    <t>The runner was allowed to finish but was not ranked.</t>
  </si>
  <si>
    <t>Runners must officially register to compete.</t>
  </si>
  <si>
    <t>A runner finishes first but is found to have cut off part of the course. What happens?</t>
  </si>
  <si>
    <t>A. The runner is not eligible to cut the track.B. The runner is penalized for losing time.C. The runner is allowed to take first place.D. The runner was warned for cutting the track.</t>
  </si>
  <si>
    <t>The runner is not eligible to cut the track.</t>
  </si>
  <si>
    <t>Cutting the track is grounds for rejection.</t>
  </si>
  <si>
    <t>A runner gets distracted by a loud noise and loses focus. What happens?</t>
  </si>
  <si>
    <t>A. The runner is penalized for losing focus.B. The runner was allowed to continue without penalty.C. The runner is not worthy of the distraction.D. The runner is given extra time to finish.</t>
  </si>
  <si>
    <t>Runners are expected to maintain their focus throughout the race.</t>
  </si>
  <si>
    <t>A runner runs with poor form and is at risk of injury. What happens?</t>
  </si>
  <si>
    <t>A. The runner is not eligible for an invalid form.B. The runner is allowed to continue but must correct his form.C. The runner will be given medical advice to correct his form.D. The runner is unfairly penalized.</t>
  </si>
  <si>
    <t>The runner is allowed to continue but must correct his form.</t>
  </si>
  <si>
    <t>Injury prevention is a priority, and runners may be advised to improve their form.</t>
  </si>
  <si>
    <t>A runner accidentally crosses into another runner's lane. What happens?</t>
  </si>
  <si>
    <t>A. The runner is not eligible to enter another lane.B. The runner will be penalized for a lane violation.C. The runner was allowed to continue but warned.D. The runner is forced to start again from the beginning.</t>
  </si>
  <si>
    <t>The runner will be penalized for a lane violation.</t>
  </si>
  <si>
    <t>Lane violations often result in penalties or disqualification.</t>
  </si>
  <si>
    <t>A. The runner is disqualified for missing the brief.B. The runner was allowed to continue without penalty.C. The runner is given a time penalty.D. The runner was given a warning and allowed to continue.</t>
  </si>
  <si>
    <t>Pre-race briefings are important for race rules and safety.</t>
  </si>
  <si>
    <t>During a race, a runner accidentally collides with another competitor. What happens?</t>
  </si>
  <si>
    <t>A. The runner is not qualified to cause the collision.B. The runner is penalized for the collision by losing time.C. The runner was allowed to continue without penalty.D. The runner should apologize and move on.</t>
  </si>
  <si>
    <t>Sudden collisions are part of the competition, but caution is advised.</t>
  </si>
  <si>
    <t>A runner finishes the race but doesn't immediately leave the track. What happens?</t>
  </si>
  <si>
    <t>A. The runner is penalized for blocking the track.B. The runner was allowed to stay for the holiday.C. The runner is asked to leave the track immediately.D. The runner is not fit to stay on the track.</t>
  </si>
  <si>
    <t>The runner was allowed to stay for the holiday.</t>
  </si>
  <si>
    <t>Runners must clean the track immediately after finishing.</t>
  </si>
  <si>
    <t>A runner experiences extreme fatigue and needs help to finish. What happens?</t>
  </si>
  <si>
    <t>A. The runner is not qualified to ask for help.B. The runner was allowed to continue with medical assistance.C. The runner will be given a time penalty for receiving assistance.D. The runner is allowed to rest and resume after recovery.</t>
  </si>
  <si>
    <t>The runner was allowed to continue with medical assistance.</t>
  </si>
  <si>
    <t>Medical support is available for runners who need help.</t>
  </si>
  <si>
    <t>A runner tries to pass another runner by cutting around the corner. What happens?</t>
  </si>
  <si>
    <t>A. The runner is not eligible to cheat.B. The runner is penalized for taking a shortcut.C. The runner was allowed to continue without any penalty.D. The runner was warned but allowed to continue.</t>
  </si>
  <si>
    <t>The runner is penalized for taking a shortcut.</t>
  </si>
  <si>
    <t>Shortcuts taken during a competition will result in penalties or disqualification.</t>
  </si>
  <si>
    <t>A runner is given a false start. What happens?</t>
  </si>
  <si>
    <t>A. The runner will be immediately disqualified.B. The runner is given a warning and allowed to start again.C. The runner is penalized for losing time.D. The runner must wait for the race to restart.</t>
  </si>
  <si>
    <t>The runner is given a warning and allowed to start again.</t>
  </si>
  <si>
    <t>False starts can result in penalties or disqualification.</t>
  </si>
  <si>
    <t>A runner breaks the rule prohibiting headphones during the race. What happens?</t>
  </si>
  <si>
    <t>A. The runner is not eligible to use headphones.B. The runner is penalized for losing time.C. The runner was allowed to continue with a warning.D. The runner is given additional work to complete.</t>
  </si>
  <si>
    <t>The runner is penalized for losing time.</t>
  </si>
  <si>
    <t>Using headphones during the race may result in a penalty.</t>
  </si>
  <si>
    <t>A runner has been caught using performance-enhancing drugs. What will happen?</t>
  </si>
  <si>
    <t>A. The runner was disqualified and banned from future events.B. The runner was given a time penalty and allowed to continue.C. The runner was allowed to continue with a warning.D. The runner will be given medical assistance and allowed to compete.</t>
  </si>
  <si>
    <t>The runner was disqualified and banned from future events.</t>
  </si>
  <si>
    <t>Doping violations lead to disqualifications and suspensions.</t>
  </si>
  <si>
    <t>A runner finishes a race but later admits that he took a shortcut. What happens?</t>
  </si>
  <si>
    <t>A. The runner has been disqualified and suspended.B. The runner is penalized for the short-cut.C. The runners are allowed to keep their time and rank.D. The runner must re-run the race to confirm their time.</t>
  </si>
  <si>
    <t>The runner has been disqualified and suspended.</t>
  </si>
  <si>
    <t>Taking shortcuts after the fact will result in rejection.</t>
  </si>
  <si>
    <t>A runner has been caught cheating by receiving outside help during the race. What will happen?</t>
  </si>
  <si>
    <t>A. The runner was disqualified and suspended from the event.B. The runner was given a warning and allowed to continue.C. The runner is penalized for losing time.D. The runner was allowed to continue without any penalty.</t>
  </si>
  <si>
    <t>The runner was disqualified and suspended from the event.</t>
  </si>
  <si>
    <t>Accepting outside help during the race will result in disqualification.</t>
  </si>
  <si>
    <t>A runner is injured but still trying to finish the race. What happens?</t>
  </si>
  <si>
    <t>A. The runner is not fit to continue despite being injured.B. The runner was allowed to finish with medical clearance.C. The runner is penalized for not stopping by losing time.D. The runner is required to obtain medical clearance.</t>
  </si>
  <si>
    <t>The runner was allowed to finish with medical clearance.</t>
  </si>
  <si>
    <t>Runners will be allowed to finish if cleared by medical professionals.</t>
  </si>
  <si>
    <t>A runner broke his personal best but missed his qualifying time. What happens?</t>
  </si>
  <si>
    <t>A. The runner was disqualified for missing his qualifying time.B. The runner was allowed to qualify due to a personal record.C. The runner was penalized but allowed to qualify.D. The runner will be given a second attempt at qualifying.</t>
  </si>
  <si>
    <t>The runner was disqualified for missing his qualifying time.</t>
  </si>
  <si>
    <t>Qualifications are mandatory for entry.</t>
  </si>
  <si>
    <t>A runner falls off the track but quickly gets back on. What happens?</t>
  </si>
  <si>
    <t>A. The runner is not eligible to leave the track.B. The runner is penalized with a loss of time for leaving the track.C. The runner was allowed to continue without penalty.D. The runner must return to their starting position.</t>
  </si>
  <si>
    <t>Leaving the track is generally not penalized unless it disrupts the race.</t>
  </si>
  <si>
    <t>A runner has been caught for not following the race line. What happens?</t>
  </si>
  <si>
    <t>A. The runner is disqualified for not following the route.B. The runner is penalized with a loss of time for a road failure.C. The runner was given a warning and allowed to continue.D. The runner is asked to restart the race.</t>
  </si>
  <si>
    <t>The runner is disqualified for not following the route.</t>
  </si>
  <si>
    <t>Failure to follow the path will result in incompetence.</t>
  </si>
  <si>
    <t>A runner loses his bib number during the race. What happens?</t>
  </si>
  <si>
    <t>A. The runner is disqualified for losing their bib number.B. The runner is given a replacement BB and is allowed to continue.C. The runner will be penalized for losing his bib number.D. The runner must stop to retrieve his bib number.</t>
  </si>
  <si>
    <t>The runner is given a replacement BB and is allowed to continue.</t>
  </si>
  <si>
    <t>Runners who lose their bibs may be given replacements.</t>
  </si>
  <si>
    <t>A runner is seen eating an energy gel during a race. What happens?</t>
  </si>
  <si>
    <t>A. The runner is not eligible to consume prohibited substances.B. The runner is penalized for consuming extra fuel.C. The runner is allowed to use energy gels without penalty.D. The runner is given a warning about fuel consumption and is allowed to continue.</t>
  </si>
  <si>
    <t>The runner is allowed to use energy gels without penalty.</t>
  </si>
  <si>
    <t>Unless otherwise stated, energy gels are generally permitted during competition.</t>
  </si>
  <si>
    <t>A runner starts the race but accidentally starts at the wrong temperature. What happens?</t>
  </si>
  <si>
    <t>A. The runner is not eligible to start at the wrong temperature.B. The runner will be given a warning and allowed to start at the correct temperature.C. The runner is penalized for making a mistake by losing time.D. The runner must re-enter the correct temperature and start again.</t>
  </si>
  <si>
    <t>The runner will be given a warning and allowed to start at the correct temperature.</t>
  </si>
  <si>
    <t>Starting at the wrong temperature can result in penalties or disqualification.</t>
  </si>
  <si>
    <t>A runner crosses the finish line first, but later admits that he did not complete the required lap. What happens?</t>
  </si>
  <si>
    <t>A. The runner was disqualified for not completing the race properly.B. The runner is penalized for losing time and is allowed to finish.C. The runner is allowed to finish but is not ranked.D. The runner is required to complete additional laps.</t>
  </si>
  <si>
    <t>The runner was disqualified for not completing the race properly.</t>
  </si>
  <si>
    <t>Failure to complete the required round will result in disqualification.</t>
  </si>
  <si>
    <t>A runner is wearing an out-of-control uniform. What will happen?</t>
  </si>
  <si>
    <t>A. The runner is not eligible to wear any uncontrolled clothing.B. The runner will be penalized with a loss of time for inappropriate attire.C. The runner was allowed to continue with a warning.D. The runner is required to change into the official clothing.</t>
  </si>
  <si>
    <t>The runner will be penalized with a loss of time for inappropriate attire.</t>
  </si>
  <si>
    <t>Inappropriate attire may result in fines or dismissal.</t>
  </si>
  <si>
    <t>A runner uses a prohibited assistive device, such as a motor scooter. What happens?</t>
  </si>
  <si>
    <t>A. The runner is not eligible to use a prohibited device.B. The runner is penalized for using the assistive device.C. The runner was allowed to continue with a warning.D. The runner must return the equipment to the organizers.</t>
  </si>
  <si>
    <t>The runner is not eligible to use a prohibited device.</t>
  </si>
  <si>
    <t>The use of prohibited aids will lead to disqualification.</t>
  </si>
  <si>
    <t>A runner accidentally goes off the designated course during a race. What happens?</t>
  </si>
  <si>
    <t>A. The runner was rejected.B. The runner is given a time penalty.C. The runner was allowed to continue without penalty.D. The runner will be asked to restart from the point where they went off course.</t>
  </si>
  <si>
    <t>The runner is given a time penalty.</t>
  </si>
  <si>
    <t>Escaping from the course may lead to rejection or punishment.</t>
  </si>
  <si>
    <t>A runner finishes a marathon but their time is faster than the official course record. What happens?</t>
  </si>
  <si>
    <t>A. The runner is disqualified for not following the official route.B. The runner's time will be evaluated for approval.C. The runner receives official recognition for breaking the record.D. The runner will be asked to complete another race to verify the time.</t>
  </si>
  <si>
    <t>The runner receives official recognition for breaking the record.</t>
  </si>
  <si>
    <t>Breaking a course record is celebrated and publicly recognized.</t>
  </si>
  <si>
    <t>A runner complains about the poor condition of the track during a race. What happens?</t>
  </si>
  <si>
    <t>A. The runner will be penalized for disrupting the race.B. The tournament organizers will investigate the matter and may postpone the tournament.C. The runner will be asked to leave the race to file a complaint.D. The complaint will be ignored, and the competition will continue as planned.</t>
  </si>
  <si>
    <t>The tournament organizers will investigate the matter and may postpone the tournament.</t>
  </si>
  <si>
    <t>Track conditions are often reviewed by organizers, and adjustments may be made.</t>
  </si>
  <si>
    <t>A runner is found not following the movement rules in a relay race. What happens?</t>
  </si>
  <si>
    <t>A. The runner is not eligible to violate the walking rules.B. The runner is warned to follow the rules.C. The runner was penalized but allowed to continue.D. The runner is required to restart the race.</t>
  </si>
  <si>
    <t>The runner is not eligible to violate the walking rules.</t>
  </si>
  <si>
    <t>Passing rules ensure fair competition and will result in disqualification if violated.</t>
  </si>
  <si>
    <t>A runner's personal trainer is seen giving advice during the race. What happens?</t>
  </si>
  <si>
    <t>A. The runner is not eligible for outside assistance.B. The runner will be given a time penalty for receiving assistance.C. The runner was warned but allowed to continue.D. The runner is asked to stop and continue without assistance.</t>
  </si>
  <si>
    <t>Outside help during the race leads to failure.</t>
  </si>
  <si>
    <t>During a race, a runner accidentally hits the referee. What happens?</t>
  </si>
  <si>
    <t>A. The runner will be immediately disqualified for hitting the referee.B. The runner is penalized for losing time.C. The runner was warned but allowed to continue.D. The runner should apologize and move on.</t>
  </si>
  <si>
    <t>Accidentally hitting a referee will result in a penalty or disqualification.</t>
  </si>
  <si>
    <t>A runner finishes the race but doesn't cross the finish line properly. What happens?</t>
  </si>
  <si>
    <t>A. The runner was disqualified for not finishing properly.B. The runner is asked to return to the finish line to complete the race.C. The runner is penalized for losing time.D. The runner is given another chance to finish correctly.</t>
  </si>
  <si>
    <t>The runner is asked to return to the finish line to complete the race.</t>
  </si>
  <si>
    <t>It is important to cross the finish line correctly to complete the race.</t>
  </si>
  <si>
    <t>A runner is caught changing their running gear. What happens?</t>
  </si>
  <si>
    <t>A. The runner is not eligible to change competition equipment.B. The runner is penalized for losing time.C. The runner was allowed to continue with a warning.D. The runner must stop and remove the changes.</t>
  </si>
  <si>
    <t>The runner is not eligible to change competition equipment.</t>
  </si>
  <si>
    <t>Altering competition equipment will result in disqualification.</t>
  </si>
  <si>
    <t>A runner takes a break and drinks water outside of the allotted rest period. What happens?</t>
  </si>
  <si>
    <t>A. The runner will not be eligible for violating the rules.B. The runner will be given a time penalty for unauthorized breaks.C. The runner was warned but allowed to continue.D. The runner is penalized for taking a break.</t>
  </si>
  <si>
    <t>The runner was warned but allowed to continue.</t>
  </si>
  <si>
    <t>Taking breaks outside of the allotted time may lead to penalties.</t>
  </si>
  <si>
    <t>A runner is caught tampering with the timing system. What happens?</t>
  </si>
  <si>
    <t>A. The runner was disqualified and banned from future competitions.B. The runner is penalized for losing time and is allowed to continue.C. The runner was given a warning and allowed to finish.D. The runner is given a chance to explain and continues.</t>
  </si>
  <si>
    <t>The runner was disqualified and banned from future competitions.</t>
  </si>
  <si>
    <t>Violation of competition rules will lead to disqualification and suspensions.</t>
  </si>
  <si>
    <t>A runner wears shoes that do not meet the approved standards. What happens?</t>
  </si>
  <si>
    <t>A. The runner is disqualified for not following the specifications.B. The runner is penalized for losing time.C. The runner was given a warning and allowed to continue.D. The runner will be asked to change their shoes before continuing.</t>
  </si>
  <si>
    <t>The runner is disqualified for not following the specifications.</t>
  </si>
  <si>
    <t>Inappropriate shoes can lead to rejection.</t>
  </si>
  <si>
    <t>A runner is disqualified for a false start. What happens next?</t>
  </si>
  <si>
    <t>A. The runner is allowed to start again after a time penalty.B. The runner is penalized for losing time.C. The runner will not be allowed to compete again.D. The runner is given a second chance after a warning.</t>
  </si>
  <si>
    <t>A false start may lead to disqualification or punishment.</t>
  </si>
  <si>
    <t>A runner is caught using technology to track their performance during a race. What will happen?</t>
  </si>
  <si>
    <t>A. The runner is not eligible to use prohibited technology.B. The runner was allowed to continue but warned.C. The runner is penalized for losing time.D. The runner was allowed to continue with a warning.</t>
  </si>
  <si>
    <t>The runner is not eligible to use prohibited technology.</t>
  </si>
  <si>
    <t>Using technology to aid performance can lead to failure.</t>
  </si>
  <si>
    <t>A runner intentionally blocks another runner from passing. What happens?</t>
  </si>
  <si>
    <t>A. The runner was disqualified for unsportsmanlike conduct.B. The runner is penalized for losing time.C. The runner was allowed to continue with a warning.D. The runner must immediately let others pass.</t>
  </si>
  <si>
    <t>The runner was disqualified for unsportsmanlike conduct.</t>
  </si>
  <si>
    <t>Intentionally blocking another runner will result in disqualification.</t>
  </si>
  <si>
    <t>A runner's equipment breaks during the race. What happens?</t>
  </si>
  <si>
    <t>A. The runner is not eligible for equipment failure.B. The runner is allowed to continue after repairing the equipment.C. The runner is penalized for losing time to repair the equipment.D. The runner must finish without repairing the equipment.</t>
  </si>
  <si>
    <t>The runner is allowed to continue after repairing the equipment.</t>
  </si>
  <si>
    <t>Broken equipment can be repaired, but it can lead to loss of time.</t>
  </si>
  <si>
    <t>A runner is seen throwing trash during the race. What happens?</t>
  </si>
  <si>
    <t>A. The runner is not eligible for the litter.B. The runner is penalized for losing time in the trash.C. The runner was warned but allowed to continue.D. The runner is asked to clean up the mess and continue.</t>
  </si>
  <si>
    <t>Littering is usually punishable by fines but can also result in warnings.</t>
  </si>
  <si>
    <t>A runner finishes a race and is unsure whether he crossed the finish line correctly. What happens?</t>
  </si>
  <si>
    <t>A. The runner is asked to repeat the race.B. The runner is penalized for losing time.C. The runner will be given the opportunity to check with race officials.D. The runner is ineligible to finish illegally.</t>
  </si>
  <si>
    <t>The runner will be given the opportunity to check with race officials.</t>
  </si>
  <si>
    <t>It is important to ensure proper finishing to avoid penalties.</t>
  </si>
  <si>
    <t>During the race, a runner accidentally steps on another runner's foot. What happens?</t>
  </si>
  <si>
    <t>A. The runner is penalized for creating an obstacle.B. The runner is not qualified to create an obstacle.C. The runner was given a warning and allowed to continue.D. The runner was asked to apologize and move on.</t>
  </si>
  <si>
    <t>A chance encounter may result in a warning but not a rejection.</t>
  </si>
  <si>
    <t>A runner falls, but quickly gets up and finishes the race. What happens?</t>
  </si>
  <si>
    <t>A. The runner is not eligible to fall.B. The runner is penalized for losing time by falling.C. The runner was allowed to finish without penalty.D. The runner is asked to rest before continuing.</t>
  </si>
  <si>
    <t>The runner was allowed to finish without penalty.</t>
  </si>
  <si>
    <t>Falling is part of the race and does not constitute failure.</t>
  </si>
  <si>
    <t>A runner refuses medical attention after an injury. What happens?</t>
  </si>
  <si>
    <t>A. The runner is disqualified for not receiving medical attention.B. The runner was allowed to continue without penalty.C. The runner will be penalized for losing time by not accepting help.D. The runner is expected to seek medical attention to continue.</t>
  </si>
  <si>
    <t>Refusing medical attention usually does not result in punishment.</t>
  </si>
  <si>
    <t>A wrestler throws their opponent to the ground with a strong shoulder charge but doesn't immediately pin them. What happens?</t>
  </si>
  <si>
    <t>A. The opponent wins the game.B. The fighter has been warned.C. The game continues until the opponent is pinned.D. The opponent was disqualified for not giving up on his opponent.</t>
  </si>
  <si>
    <t>The game continues until the opponent is pinned.</t>
  </si>
  <si>
    <t>The match will continue until a wrestling pin is found in Abba Geda.</t>
  </si>
  <si>
    <t>After a wrestler makes a move, he loses his balance and falls to the ground. What happens next?</t>
  </si>
  <si>
    <t>A. The opponent immediately wins the game.B. The fighter is penalized for losing his balance.C. The match continues, and the opponent must recover.D. The fighter is not fit to fall.</t>
  </si>
  <si>
    <t>The match continues, and the opponent must recover.</t>
  </si>
  <si>
    <t>A fall does not result in disqualification; the match continues until the pin.</t>
  </si>
  <si>
    <t>During the game, a player lifts his opponent above his head but fails to execute a proper throw. What happens?</t>
  </si>
  <si>
    <t>A. The fighter is awarded a point for lifting.B. It gives the opponent a chance to escape.C. The opponent loses his balance and the game continues.D. The move is considered illegal, and the wrestler is penalized.</t>
  </si>
  <si>
    <t>The move is considered illegal, and the wrestler is penalized.</t>
  </si>
  <si>
    <t>Lifting an opponent without performing a proper kill can lead to punishment.</t>
  </si>
  <si>
    <t>A wrestler tries to grab his opponent's leg, but his opponent escapes. What happens next?</t>
  </si>
  <si>
    <t>A. The wrestler is penalized for not being able to control his feet.B. The game continued without penalty.C. The opponent wins the game.D. The fighter was given a warning for incorrect technique.</t>
  </si>
  <si>
    <t>The game continued without penalty.</t>
  </si>
  <si>
    <t>Escaping a hold does not automatically end the match and the match will continue.</t>
  </si>
  <si>
    <t>During a match, a wrestler accidentally touches the ground with his hand. What happens?</t>
  </si>
  <si>
    <t>A. The opponent wins the game.B. The wrestler is warned for touching the ground.C. The match continues, and the opponent must recover.D. The fighter is not fit to lose control.</t>
  </si>
  <si>
    <t>Touching the ground does not stop the wrestler unless it causes him to fall.</t>
  </si>
  <si>
    <t>A wrestler uses excessive force to hold their opponent down without attempting a pin. What happens?</t>
  </si>
  <si>
    <t>A. The fighter is penalized for unsportsmanlike conduct.B. The game was paused for the referee to assess the action.C. The wrestler was given a warning for misbehavior.D. The opponent wins the game.</t>
  </si>
  <si>
    <t>The fighter is penalized for unsportsmanlike conduct.</t>
  </si>
  <si>
    <t>Using excessive force without testing the pin can lead to penalties.</t>
  </si>
  <si>
    <t>During a match, a vulnerable head is released. What happens?</t>
  </si>
  <si>
    <t>A. The game continues without interruption.B. The opponent is given a chance to recover from the headbutt before continuing.C. The match has stopped, and the opponent has been disqualified.D. The fighter was allowed to continue but with a time penalty.</t>
  </si>
  <si>
    <t>The opponent is given a chance to recover from the headbutt before continuing.</t>
  </si>
  <si>
    <t>Headgear issues were allowed to be fixed without penalty.</t>
  </si>
  <si>
    <t>A wrestler pins their opponent to the ground, but the opponent manages to escape before the pin is completed. What happens?</t>
  </si>
  <si>
    <t>A. The game continued without penalty.B. The opponent is given a chance to counterattack.C. The wrestler was penalized for an incomplete pin.D. The opponent immediately wins the game.</t>
  </si>
  <si>
    <t>The pin must be completed before it can be considered a win; the match continues.</t>
  </si>
  <si>
    <t>A wrestler attempts a headlock but doesn't execute it properly, allowing his opponent to escape. What happens?</t>
  </si>
  <si>
    <t>A. The opponent is not eligible for the failed attempt.B. The game continued without penalty.C. The wrestler is penalized for improper technique.D. The opponent wins the game by escaping.</t>
  </si>
  <si>
    <t>An incomplete technique does not result in a penalty unless it is an illegal action.</t>
  </si>
  <si>
    <t>A wrestler makes a perfect throw, but their opponent seems to land awkwardly and get hurt. What happens?</t>
  </si>
  <si>
    <t>A. The game is stopped, and the injured player is being monitored by medical professionals.B. The game continued, but the injured opponent was penalized.C. The fighter who performed the throw was disqualified.D. The match continues, and the injured opponent must recover on his own.</t>
  </si>
  <si>
    <t>The game is stopped, and the injured player is being monitored by medical professionals.</t>
  </si>
  <si>
    <t>Injuries are common in wrestling, and medical staff will assess the situation.</t>
  </si>
  <si>
    <t>A wrestler lifts his opponent off the ground but is unable to control him properly. What happens?</t>
  </si>
  <si>
    <t>A. The wrestler was given a warning for improper control.B. The fighter is penalized for not completing the move.C. The game continued without penalty.D. The fighter is not worthy of weak technique.</t>
  </si>
  <si>
    <t>The inability to control an opponent does not invalidate the opponent unless it is dangerous.</t>
  </si>
  <si>
    <t>A fighter uses excessive force to twist his opponent's arm. What happens?</t>
  </si>
  <si>
    <t>A. The opponent wins the game.B. The fighter is penalized for unsportsmanlike conduct.C. The game was stopped for medical examination.D. The fighter is not fit for dangerous play.</t>
  </si>
  <si>
    <t>Using excessive force will result in penalties if it is found to be unsafe.</t>
  </si>
  <si>
    <t>A fighter successfully pins his opponent's shoulder to the ground for 3 seconds. What happens next?</t>
  </si>
  <si>
    <t>A. The opponent immediately wins the game.B. The opponent gets another chance to escape the pin.C. The fighter is penalized for the length of the pin.D. The game continues without a winner yet.</t>
  </si>
  <si>
    <t>The opponent immediately wins the game.</t>
  </si>
  <si>
    <t>A pin lasting 3 seconds results in a win.</t>
  </si>
  <si>
    <t>During a match, a wrestler touches their opponent's leg with their hand. What happens?</t>
  </si>
  <si>
    <t>A. The game was stopped for a penalty kick.B. The fighter was warned for improper technique.C. The fighter is not eligible to touch the opponent's leg.D. The game continued without penalty.</t>
  </si>
  <si>
    <t>The fighter was warned for improper technique.</t>
  </si>
  <si>
    <t>It is not illegal to touch an opponent's leg unless it is to trip or disorient them.</t>
  </si>
  <si>
    <t>A fighter is trapped in a cage, but manages to escape before they can be pinned down. What will happen?</t>
  </si>
  <si>
    <t>A. The game continued without penalty.B. The opponent wins the game by escaping.C. The wrestler who escapes is penalized for not attempting a pin.D. The match was stopped in its tracks to assess the escape.</t>
  </si>
  <si>
    <t>Escaping a hold does not immediately lead to punishment.</t>
  </si>
  <si>
    <t>When a wrestler attempts a takedown, their opponent counters with a successful throw. What happens?</t>
  </si>
  <si>
    <t>A. The wrestler was penalized for a failed takedown.B. The opponent immediately wins the game.C. The match continues and the wrestler whomade the throw is now in control.D. The fighter was warned for not completing the takedown.</t>
  </si>
  <si>
    <t>The match continues and the wrestler who made the throw is now in control.</t>
  </si>
  <si>
    <t>A successful counter attack results in control of the match.</t>
  </si>
  <si>
    <t>A wrestler accidentally falls out of the ring. What happens?</t>
  </si>
  <si>
    <t>A. The opponent wins the game.B. The fighter has been warned.C. The game continued without penalty.D. The fighter is incompetent.</t>
  </si>
  <si>
    <t>The fighter has been warned.</t>
  </si>
  <si>
    <t>Going outside the ring is usually a warning, not a disqualification.</t>
  </si>
  <si>
    <t>A vulnerable Rasgator falls during the game. What happens?</t>
  </si>
  <si>
    <t>A. The match was stopped to correct the headbutt.B. The opponent wins the game.C. The game continues uninterrupted.D. The wrestler will be penalized for wearing inappropriate headgear.</t>
  </si>
  <si>
    <t>The match was stopped to correct the headbutt.</t>
  </si>
  <si>
    <t>Head covering issues are allowed to be corrected without penalty.</t>
  </si>
  <si>
    <t>A wrestler is caught in a headlock but manages to break free. What happens next?</t>
  </si>
  <si>
    <t>A. The game continued without penalty.B. The wrestler is punished for breaking the hold.C. The opponent wins the game by executing the headlock.D. The freed fighter is given the opportunity to counterattack.</t>
  </si>
  <si>
    <t>Breaking out of a headlock does not result in a penalty.</t>
  </si>
  <si>
    <t>When a wrestler pins his opponent, but the opponent manages to reverse the pin before the referee counts to 3. What happens?</t>
  </si>
  <si>
    <t>A. The game continues under the control of the opponent.B. The opponent is not eligible to attempt the pin.C. The referee starts a new count for the reversal.D. The match was stopped to assess the reversal.</t>
  </si>
  <si>
    <t>The game continues under the control of the opponent.</t>
  </si>
  <si>
    <t>Undoing the pin allows the opponent to take control of the match.</t>
  </si>
  <si>
    <t>A wrestler lifts his opponent off the ground, but the opponent escapes before he can execute a proper throw. What happens?</t>
  </si>
  <si>
    <t>A. The opponent is penalized for not making the correct throw.B. The opponent wins the game by escaping the lever.C. The match continues, and the opponent tries again.D. The wrestler was given a warning for an improper lift.</t>
  </si>
  <si>
    <t>The match continues, and the opponent tries again.</t>
  </si>
  <si>
    <t>Escape does not end the match unless a successful counter is achieved.</t>
  </si>
  <si>
    <t>During a match, a wrestler accidentally hits his opponent. What happens?</t>
  </si>
  <si>
    <t>A. The wrestler is punished for hitting his opponent.B. The game continued without penalty.C. The wrestler is not qualified to intentionally hit.D. The opponent immediately wins the game.</t>
  </si>
  <si>
    <t>The wrestler is punished for hitting his opponent.</t>
  </si>
  <si>
    <t>Accidentally hitting an opponent will result in a warning.</t>
  </si>
  <si>
    <t>A fighter accidentally slips his foot, causing them to fall to the ground. What happens next?</t>
  </si>
  <si>
    <t>A. The opponent is awarded a point for a fall.B. The game continued without penalty.C. The fighter is punished for losing his balance.D. The game was stopped for a medical examination.</t>
  </si>
  <si>
    <t>A fall due to loss of balance does not result in a penalty if it is not dangerous.</t>
  </si>
  <si>
    <t>A wrestler pins his opponent's shoulder to the ground, but the opponent tries to free him. What happens?</t>
  </si>
  <si>
    <t>A. The game continued without penalty.B. The fighter wins immediately.C. The opponent is given a chance to escape the pin.D. The wrestler was disqualified for not retaining the pin.</t>
  </si>
  <si>
    <t>A pin is not completed until the opponent is completely in control.</t>
  </si>
  <si>
    <t>A wrestler makes a perfect throw, but his opponent recovers before he can land. What happens?</t>
  </si>
  <si>
    <t>A. The game continues under the control of the opponent.B. The opponent wins the game.C. The opponent is punished for recovery.D. The match was stopped for a while.</t>
  </si>
  <si>
    <t>Recovering from a throw does not result in automatic penalties.</t>
  </si>
  <si>
    <t>The wrestler applies the choke but does not maintain control. What happens?</t>
  </si>
  <si>
    <t>A. The opponent wins the game by escaping from the trap.B. The wrestler is punished for not being able to control the choke.C. The game continued without penalty.D. The wrestler is not eligible for an illegal choke.</t>
  </si>
  <si>
    <t>The wrestler is punished for not being able to control the choke.</t>
  </si>
  <si>
    <t>Uncontrolled choking may result in punishment or rejection.</t>
  </si>
  <si>
    <t>A fighter is caught in a hold but manages to break free. What happens?</t>
  </si>
  <si>
    <t>A. The opponent scores points for a submission attempt.B. The match continued with the fighter now in control.C. The opponent wins the match for a submission attempt.D. The fighter is not eligible to escape illegally.</t>
  </si>
  <si>
    <t>The match continued with the fighter now in control.</t>
  </si>
  <si>
    <t>Reversing a submission hold gives the opponent control of the match.</t>
  </si>
  <si>
    <t>A wrestler lifts his opponent above his head but is unable to complete the throw. What happens?</t>
  </si>
  <si>
    <t>A. The game continued without penalty.B. The opponent immediately wins the game.C. The opponent is penalized for not completing the throw.D. The opponent gets another chance to execute the throw.</t>
  </si>
  <si>
    <t>Failure to complete a throw does not result in a penalty unless it is dangerous.</t>
  </si>
  <si>
    <t>A wrestler goes for a quick takedown but misses. What happens?</t>
  </si>
  <si>
    <t>A. The match continues, and the opponent tries again.B. The wrestler was penalized for a failed takedown.C. The opponent wins the game.D. The game has been paused to review the download attempt.</t>
  </si>
  <si>
    <t>Failure to download will not result in a penalty if it is not dangerous.</t>
  </si>
  <si>
    <t>A wrestler fails to pin but manages to control their opponent on the ground. What happens?</t>
  </si>
  <si>
    <t>A. The match continued, and the opponent attempted another pin.B. The opponent immediately wins the game.C. The opponent escapes, and the match continues.D. The wrestler is penalized for not retaining the pin.</t>
  </si>
  <si>
    <t>The match continued, and the opponent attempted another pin.</t>
  </si>
  <si>
    <t>Failure to pin does not result in a penalty unless the opponent misses.</t>
  </si>
  <si>
    <t>The wrestler talks to his opponent during a takedown attempt. What happens?</t>
  </si>
  <si>
    <t>A. The wrestler is penalized for using illegal techniques.B. The game continued without penalty.C. The opponent wins the game.D. The game has stopped for a review of the trip.</t>
  </si>
  <si>
    <t>The wrestler is penalized for using illegal techniques.</t>
  </si>
  <si>
    <t>In the context of downloading, trips are often considered illegal.</t>
  </si>
  <si>
    <t>A wrestler performs a suplex but doesn't land it safely on his opponent. What happens?</t>
  </si>
  <si>
    <t>A. The opponent wins the match for safety violations.B. The fighter was penalized for an unsafe suplex.C. The game continued without penalty.D. The game was stopped for a medical examination.</t>
  </si>
  <si>
    <t>The fighter was penalized for an unsafe suplex.</t>
  </si>
  <si>
    <t>Unsafe throwing can result in penalties or medical evaluations.</t>
  </si>
  <si>
    <t>A fighter tries to take them down, but accidentally lands on their back. What happens?</t>
  </si>
  <si>
    <t>A. The opponent immediately wins the game.B. The fighter is punished by falling.C. The match continued to be controlled by the opponent.D. The match was stopped for treatment.</t>
  </si>
  <si>
    <t>The match continued to be controlled by the opponent.</t>
  </si>
  <si>
    <t>Falling on your back does not result in a penalty unless it is dangerous.</t>
  </si>
  <si>
    <t>When one wrestler tries to submit, the opponent breaks free. What happens?</t>
  </si>
  <si>
    <t>A. The game continues under the control of the opponent.B. The competitor is penalized for the failed entry.C. The wrestler won the match by attempting a submission.D. The match was stopped to review the submission.</t>
  </si>
  <si>
    <t>Failure to submit does not lead to automatic penalties.</t>
  </si>
  <si>
    <t>A fighter grabs his opponent's clothes during a match. What happens?</t>
  </si>
  <si>
    <t>A. The fighter is penalized for unsportsmanlike conduct.B. The opponent wins the game.C. The game continued without penalty.D. The fighter is not fit for illegal actions.</t>
  </si>
  <si>
    <t>Possession of clothing is illegal and subject to fines.</t>
  </si>
  <si>
    <t>A wrestler tries to escape from a pin but fails. What happens?</t>
  </si>
  <si>
    <t>A. The opponent wins the match to secure the pin.B. The match continued to be controlled by the opponent.C. The wrestler is punished for not being able to escape.D. The game has been stopped for a medical evaluation.</t>
  </si>
  <si>
    <t>The opponent wins the match to secure the pin.</t>
  </si>
  <si>
    <t>If a wrestler fails to escape, the match ends in a pin victory.</t>
  </si>
  <si>
    <t>A fighter successfully counters an opponent's attack. What happens?</t>
  </si>
  <si>
    <t>A. The match continued to be controlled by the opponent.B. The opponent wins the game.C. The fighter gives the counter a point.D. The game stops to review the counter.</t>
  </si>
  <si>
    <t>Successful counters often lead to control or points.</t>
  </si>
  <si>
    <t>A wrestler makes a quick change in their opponent's takedown attempt. What happens?</t>
  </si>
  <si>
    <t>A. The opponent wins the game for the failed takedown.B. The fighter was awarded a point for the reversal.C. The game continued without penalty.D. The match was stopped at the spot to assess the reversal.</t>
  </si>
  <si>
    <t>The fighter was awarded a point for the reversal.</t>
  </si>
  <si>
    <t>Undoing the download is considered a successful counter.</t>
  </si>
  <si>
    <t>A fighter is injured during a match. What happens next?</t>
  </si>
  <si>
    <t>A. The game was stopped for a medical evaluation.B. The fighter is incompetent.C. The opponent wins the game by default.D. The game continues uninterrupted.</t>
  </si>
  <si>
    <t>The game was stopped for a medical evaluation.</t>
  </si>
  <si>
    <t>Injuries typically stop the match for medical evaluation.</t>
  </si>
  <si>
    <t>A wrestler tries to move but accidentally hits the referee. What happens?</t>
  </si>
  <si>
    <t>A. The match was stopped to assess the situation.B. The fighter is incompetent.C. The referee wins the game.D. The game continued without penalty.</t>
  </si>
  <si>
    <t>The match was stopped to assess the situation.</t>
  </si>
  <si>
    <t>Accidentally hitting a referee is often reviewed, not punished.</t>
  </si>
  <si>
    <t>A fighter uses excessive force during a takedown. What happens?</t>
  </si>
  <si>
    <t>A. The fighter was disqualified for unsportsmanlike conduct.B. The game continued without penalty.C. The opponent wins the game.D. The fighter is punished with excessive force.</t>
  </si>
  <si>
    <t>The fighter is punished with excessive force.</t>
  </si>
  <si>
    <t>Excessive force can lead to penalties or failures.</t>
  </si>
  <si>
    <t>The wrestler lifts the opponent but does not complete the throw. What happens?</t>
  </si>
  <si>
    <t>A. The match will be stopped for a review of the action.B. The opponent is penalized for an incomplete throw.C. The match continued to be controlled by the opponent.D. The opponent wins the game.</t>
  </si>
  <si>
    <t>An incomplete throw does not result in a penalty unless it is dangerous.</t>
  </si>
  <si>
    <t>A wrestler performs a successful pin but their opponent's shoulder is not fully down. What happens?</t>
  </si>
  <si>
    <t>A. The match continued to be controlled by the opponent.B. The wrestler is penalized for failing to pin properly.C. The match will be stopped for a pin review.D. The opponent escapes the pin.</t>
  </si>
  <si>
    <t>The pin requires both shoulders to be fully lowered.</t>
  </si>
  <si>
    <t>A wrestler is caught doing a choke. What happens?</t>
  </si>
  <si>
    <t>A. The fighter will be immediately rejected.B. The game continued without penalty.C. The wrestler will be penalized for illegal techniques.D. The opponent wins the game.</t>
  </si>
  <si>
    <t>The wrestler will be penalized for illegal techniques.</t>
  </si>
  <si>
    <t>Chokes are illegal and result in fines.</t>
  </si>
  <si>
    <t>A wrestler applies a submission hold but his opponent hits him out. What happens?</t>
  </si>
  <si>
    <t>A. The opponent wins the game.B. The game continued without penalty.C. The opponent wins by submission.D. The fighter is penalized for an unsuccessful submission.</t>
  </si>
  <si>
    <t>The opponent wins the game.</t>
  </si>
  <si>
    <t>By tapping the submit button, the match ends.</t>
  </si>
  <si>
    <t>A fighter is bleeding during the match. What will happen?</t>
  </si>
  <si>
    <t>A. The game continued under medical supervision.B. The fighter is incompetent.C. The opponent wins the game.D. The game will be stopped for a medical evaluation.</t>
  </si>
  <si>
    <t>The game continued under medical supervision.</t>
  </si>
  <si>
    <t>Bleeding often results in a temporary halt to the assessment.</t>
  </si>
  <si>
    <t>A wrestler counters a suplex. What happens?</t>
  </si>
  <si>
    <t>A. The match continued to be controlled by the opponent.B. The opponent wins the game by flipping.C. The fighter was awarded a point for the reversal.D. The game was stopped to assess the movement.</t>
  </si>
  <si>
    <t>Reversing a suplex is considered a successful move.</t>
  </si>
  <si>
    <t>A fighter tries a high-flying move but misses. What happens?</t>
  </si>
  <si>
    <t>A. The game will be stopped for medical examination.B. The fighter is punished for not taking the action.C. The opponent gets a point for the missed move.D. The game continues under the control of the opponent.</t>
  </si>
  <si>
    <t>Missing high flight activity does not result in penalties.</t>
  </si>
  <si>
    <t>A wrestler grabs the ropes to escape a pin. What happens?</t>
  </si>
  <si>
    <t>A. The game continued without penalty.B. The opponent won the match.C. The fighter is not fit for illegal actions.D. The wrestler is punished for using the rope.</t>
  </si>
  <si>
    <t>The wrestler is punished for using the rope.</t>
  </si>
  <si>
    <t>Using the rope to escape is illegal and punishable by law.</t>
  </si>
  <si>
    <t>A fighter grabs his opponent's hair during a match. What happens?</t>
  </si>
  <si>
    <t>A. The match was stopped to assess the situation.B. The fighter is penalized for unsportsmanlike conduct.C. The opponent wins the game.D. The game continued without penalty.</t>
  </si>
  <si>
    <t>Holding hair is illegal and can result in fines.</t>
  </si>
  <si>
    <t>A wrestler makes an illegal move during the entry. What happens?</t>
  </si>
  <si>
    <t>A. The fighter is incompetent.B. The game continued without penalty.C. The wrestler was punished for his illegal action.D. The match will be stopped for review.</t>
  </si>
  <si>
    <t>The wrestler was punished for his illegal action.</t>
  </si>
  <si>
    <t>Illegal delivery methods will result in penalties.</t>
  </si>
  <si>
    <t>After the bell rings, the wrestler attacks his opponent. What happens?</t>
  </si>
  <si>
    <t>A. The opponent won the competition out of the competition.B. The game continued with a warning.C. The fighter is not eligible to attack after the bell.D. The match was stopped to assess the situation.</t>
  </si>
  <si>
    <t>The fighter is not eligible to attack after the bell.</t>
  </si>
  <si>
    <t>Attacking after the call will lead to rejection.</t>
  </si>
  <si>
    <t>A fighter performs a successful move but is injured. What happens?</t>
  </si>
  <si>
    <t>A. The match was stopped for a medical evaluation.B. The game continued without penalty.C. The opponent has qualified to not continue.D. The opponent wins the game by default.</t>
  </si>
  <si>
    <t>The match was stopped for a medical evaluation.</t>
  </si>
  <si>
    <t>Injuries often stop the match for medical evaluation.</t>
  </si>
  <si>
    <t>A wrestler is caught using foreign objects during a match. What happens?</t>
  </si>
  <si>
    <t>A. The fighter is not fit for illegal actions.B. The game continued without penalty.C. The fighter is punished for using foreign objects.D. The opponent wins the game.</t>
  </si>
  <si>
    <t>The fighter is not fit for illegal actions.</t>
  </si>
  <si>
    <t>Using foreign materials leads to failure.</t>
  </si>
  <si>
    <t>A fighter tries to escape a submission but gets hit on the outside. What happens?</t>
  </si>
  <si>
    <t>A. The opponent won the match.B. The wrestler is punished by being touched.C. The match continued to be controlled by the opponent.D. The fighter wins by refusing to be knocked down.</t>
  </si>
  <si>
    <t>The opponent won the match.</t>
  </si>
  <si>
    <t>A knockdown ends the game in favor of the opponent.</t>
  </si>
  <si>
    <t>A wrestler has been disqualified for unsportsmanlike conduct. What happens?</t>
  </si>
  <si>
    <t>A. The opponent wins the game.B. The game continued with a warning.C. The match was stopped for an ethics review.D. The opponent was penalized but allowed to continue.</t>
  </si>
  <si>
    <t>Failure to qualify results in an automatic win for the opponent.</t>
  </si>
  <si>
    <t>A fighter applies an armbar submission. The opponent goes outside. What happens?</t>
  </si>
  <si>
    <t>A. The game continues under the control of the opponent.B. The opponent won the match.C. The opponent is penalized by touching.D. The match stopped at the spot to assess the arm bar.</t>
  </si>
  <si>
    <t>A worker has been arrested for using an illegal labor strike. What will happen?</t>
  </si>
  <si>
    <t>A. The fighter will be immediately rejected.B. The game continued without penalty.C. The opponent won the competition out of the competition.D. The wrestler is penalized for using illegal techniques.</t>
  </si>
  <si>
    <t>Illegal strikes can result in fines or disqualification.</t>
  </si>
  <si>
    <t>A fighter performs a successful move against his opponent. What happens?</t>
  </si>
  <si>
    <t>A. The match continued to be controlled by the opponent.B. The fighter is punished with excessive force.C. He wins the game because his opponent is beaten.D. The match will be stopped for a review of the action.</t>
  </si>
  <si>
    <t>Successful calculations often result in points or control.</t>
  </si>
  <si>
    <t>A fighter performs a submission move that sends his opponent past. What happens?</t>
  </si>
  <si>
    <t>A. The opponent won the match.B. The opponent wins by passing.C. The game continued without penalty.D. The game will be stopped for medical examination.</t>
  </si>
  <si>
    <t>Passing due to submission ends the game.</t>
  </si>
  <si>
    <t>A wrestler is injured while moving but refuses to stop. What happens?</t>
  </si>
  <si>
    <t>A. The match continued to be controlled by the opponent.B. The fighter is capable of not stopping.C. The game has been stopped for a medical evaluation.D. The opponent wins the game by default.</t>
  </si>
  <si>
    <t>Refusing to stop even if injured will result in penalties.</t>
  </si>
  <si>
    <t>A fighter lands a low blow on their opponent. What happens?</t>
  </si>
  <si>
    <t>A. The fighter will be immediately rejected.B. The game continued without penalty.C. The opponent wins the game.D. The wrestler is punished for an illegal act.</t>
  </si>
  <si>
    <t>The fighter will be immediately rejected.</t>
  </si>
  <si>
    <t>Low scores are considered illegal and will lead to disqualification.</t>
  </si>
  <si>
    <t>A wrestler uses the rope to pin. What happens?</t>
  </si>
  <si>
    <t>A. The fighter is not fit for illegal actions.B. The game continued without penalty.C. The wrestler is punished for using the rope.D. The opponent won the competition out of the competition.</t>
  </si>
  <si>
    <t>It is illegal to use the ropes during a pin.</t>
  </si>
  <si>
    <t>What happens if a wrestler escapes a pin attempt but the referee doesn't see it?</t>
  </si>
  <si>
    <t>A. The match continued to be controlled by the opponent.B. The opponent wins the match by pin.C. The match was stopped for a pin review.D. The wrestler is penalized for escaping the pin.</t>
  </si>
  <si>
    <t>The judge's decision is final unless overturned.</t>
  </si>
  <si>
    <t>The contestant performs a successful submission move but the opponent does not touch him. What happens?</t>
  </si>
  <si>
    <t>A. The match continued to be controlled by the opponent.B. The fighter is punished for failing to submit.C. The opponent escapes being subdued.D. The fighter wins by submission.</t>
  </si>
  <si>
    <t>The submission must be completed or avoided for success.</t>
  </si>
  <si>
    <t>A wrestler pulls a perfect armbar but their opponent counters with a back elbow. What happens?</t>
  </si>
  <si>
    <t>A. The opponent successfully scans the arm pull.B. The wrestler is penalized for the wrong move.C. The game stops to review the counter.D. The fighter successfully performs a handstand.</t>
  </si>
  <si>
    <t>The opponent successfully scans the arm pull.</t>
  </si>
  <si>
    <t>Retaliatory action eliminates aggressive action.</t>
  </si>
  <si>
    <t>A wrestler tries to escape a body lock but their opponent moves into a bear hug. What happens?</t>
  </si>
  <si>
    <t>A. The fighter escapes the body lock and wins.B. The match continues with a bear hug.C. The fighter is punished for not being able to escape.D. The opponent is penalized for using the bear hug.</t>
  </si>
  <si>
    <t>The match continues with a bear hug.</t>
  </si>
  <si>
    <t>The transition from a body lock to a bear hug is a proper technique.</t>
  </si>
  <si>
    <t>A wrestler hits their opponent in the chest during a clinch. What happens?</t>
  </si>
  <si>
    <t>A. The match will be stopped for review.B. The wrestler was penalized for an illegal kick.C. The game continued without penalty.D. The opponent won the competition out of the competition.</t>
  </si>
  <si>
    <t>The wrestler was penalized for an illegal kick.</t>
  </si>
  <si>
    <t>Kicks to the chest are often illegal and result in a penalty.</t>
  </si>
  <si>
    <t>A wrestler is performing a hip thrust but his opponent lands on their feet. What happens?</t>
  </si>
  <si>
    <t>A. The game continues under the control of the opponent.B. The opponent is ineligible because he failed to throw.C. The opponent gets points for landing on their feet.D. The match continued to be controlled by the opponent.</t>
  </si>
  <si>
    <t>Throwing off a leg often results in a rebound.</t>
  </si>
  <si>
    <t>A wrestler is caught holding the rope during an entry move. What happens?</t>
  </si>
  <si>
    <t>A. The opponent won the match.B. The wrestler is punished for using the rope.C. The game continued without penalty.D. The game stops to assess the situation.</t>
  </si>
  <si>
    <t>Using cables during delivery may result in penalties.</t>
  </si>
  <si>
    <t>A fighter tries to perform a suplex, but their opponent stands in front of them with their knees bent. What happens?</t>
  </si>
  <si>
    <t>A. Suplex is successful.B. The opponent gives the counter a point.C. The game has been stopped for a medical evaluation.D. The fighter is penalized for landing a suplex.</t>
  </si>
  <si>
    <t>The game has been stopped for a medical evaluation.</t>
  </si>
  <si>
    <t>Kneeling to the face is illegal and can result in punishment.</t>
  </si>
  <si>
    <t>A wrestler must escape submission by reaching the ropes. What happens?</t>
  </si>
  <si>
    <t>A. The match is stopped, and the submission is broken.B. The warrior is not fit to escape.C. The game continued without penalty.D. The opponent won the match.</t>
  </si>
  <si>
    <t>The match is stopped, and the submission is broken.</t>
  </si>
  <si>
    <t>Reaching the ropes breaks the submission.</t>
  </si>
  <si>
    <t>A wrestler locks himself in a figure-four leg lock. The opponent reverses it, pinning the wrestler's shoulders down. What happens?</t>
  </si>
  <si>
    <t>A. The opponent loses the match by pin.B. The opponent is punished for the reverse.C. The game continued without penalty.D. Image: Four-legged lock still in operation.</t>
  </si>
  <si>
    <t>The opponent loses the match by pin.</t>
  </si>
  <si>
    <t>Reversing the entry into the PIN results in a win.</t>
  </si>
  <si>
    <t>A wrestler throws his opponent into the ring. The opponent returns with a clothesline. What happens?</t>
  </si>
  <si>
    <t>A. The match continued to be controlled by the opponent.B. The opponent wins the match with a clothesline.C. The wrestler is penalized for using the turnbuckle.D. The match stops to review the clothesline.</t>
  </si>
  <si>
    <t>The opponent's re-wrapped clothesline can change the control.</t>
  </si>
  <si>
    <t>A wrestler goes for a dive off the top rope, but their opponent moves. What happens?</t>
  </si>
  <si>
    <t>A. The game continues under the control of the opponent.B. The opponent is severely punished for his failure.C. The game will be stopped for a medical evaluation.D. The opponent wins by countering the dive.</t>
  </si>
  <si>
    <t>Loss of high flight dynamics often leads to loss of control.</t>
  </si>
  <si>
    <t>A fighter is trying to get a hold on their opponent's arm. The opponent goes outside. What happens?</t>
  </si>
  <si>
    <t>A. The game continued without penalty.B. The fighter wins by submission.C. The opponent escapes being subdued.D. The match will be stopped for review.</t>
  </si>
  <si>
    <t>The fighter wins by submission.</t>
  </si>
  <si>
    <t>A wrestler delivers an illegal headbutt to his opponent's face. What happens?</t>
  </si>
  <si>
    <t>A. The game continued without penalty.B. The fighter is not qualified for the illegal action.C. The game has been stopped for a medical evaluation.D. The opponent won the competition out of the competition.</t>
  </si>
  <si>
    <t>The fighter is not qualified for the illegal action.</t>
  </si>
  <si>
    <t>Illegal head restraints will result in disqualification.</t>
  </si>
  <si>
    <t>A fighter executes a German suplex but their opponent lands on their neck. What happens?</t>
  </si>
  <si>
    <t>A. The game will be stopped for a medical evaluation.B. The fighter is not fit for dangerous activities.C. The opponent wins the game by default.D. The match continued to be controlled by the opponent.</t>
  </si>
  <si>
    <t>The game will be stopped for a medical evaluation.</t>
  </si>
  <si>
    <t>Dangerous activities often lead to medical evaluations.</t>
  </si>
  <si>
    <t>A wrestler grabs their opponent's leg for a pin but doesn't fully grasp their shoulder. What happens?</t>
  </si>
  <si>
    <t>A. The game continued without penalty.B. The opponent wins the match by pin.C. The opponent escapes the pin.D. The match was stopped in its tracks to assess the pin.</t>
  </si>
  <si>
    <t>A fighter's body is subjected to excessive force when being hit. What happens?</t>
  </si>
  <si>
    <t>A. The game continued without penalty.B. The fighter is not worthy of excessive force.C. The opponent wins the game.D. The game was stopped for a review of the move.</t>
  </si>
  <si>
    <t>The fighter is not worthy of excessive force.</t>
  </si>
  <si>
    <t>A wrestler is locked in a submission, but their opponent refuses to strike despite the pain. What happens?</t>
  </si>
  <si>
    <t>A. The game continued without penalty.B. The opponent wins the game by refusing to tap.C. The game will be stopped for a medical evaluation.D. The wrestler is punished for not submitting.</t>
  </si>
  <si>
    <t>Refusing to touch does not stop the submission.</t>
  </si>
  <si>
    <t>A fighter is caught using a low blow during a submission attempt. What happens?</t>
  </si>
  <si>
    <t>A. The competitor wins by losing the fight.B. The wrestler is penalized for a low blow.C. The game continued without penalty.D. The fighter is not fit for illegal actions.</t>
  </si>
  <si>
    <t>The wrestler is penalized for a low blow.</t>
  </si>
  <si>
    <t>Low scores will result in penalties or disqualification.</t>
  </si>
  <si>
    <t>A wrestler performs a backflip on his opponent. What happens if the opponent can't continue?</t>
  </si>
  <si>
    <t>A. The opponent wins the game by default.B. The game was stopped for a medical evaluation.C. The fighter is not fit for the back-up attack.D. The game continues under the control of the opponent.</t>
  </si>
  <si>
    <t>A serious injury requires medical evaluation before proceeding.</t>
  </si>
  <si>
    <t>A fighter attempts a flying elbow drop but misses. What happens?</t>
  </si>
  <si>
    <t>A. The game continues under the control of the opponent.B. The opponent is punished for an unsuccessful move.C. The match was stopped for a review of the action.D. The match continued to be controlled by the opponent.</t>
  </si>
  <si>
    <t>The loss of high flying movement gives the opponent control.</t>
  </si>
  <si>
    <t>A wrestler's foot touches the rope during a pin, but the referee doesn't see it. What happens?</t>
  </si>
  <si>
    <t>A. The match continued to be controlled by the opponent.B. The opponent wins the match by pin.C. The opponent is not eligible to touch the rope.D. The match was stopped for a pin review.</t>
  </si>
  <si>
    <t>A wrestler performs a DDT and his opponent is knocked down. What happens?</t>
  </si>
  <si>
    <t>A. The match was stopped for a medical evaluation.B. The opponent wins the game by default.C. The fighter is not fit for the activity.D. The match continued to be controlled by the opponent.</t>
  </si>
  <si>
    <t>Knocking requires medical evaluations before proceeding.</t>
  </si>
  <si>
    <t>A wrestler catches his opponent's kick and performs a spinning backflip. What happens?</t>
  </si>
  <si>
    <t>A. The match continued to be controlled by the opponent.B. The opponent wins by avoiding the move.C. The wrestler is punished for using excessive force.D. The match continued to be controlled by the opponent.</t>
  </si>
  <si>
    <t>Countering the kick with a shot can change the momentum.</t>
  </si>
  <si>
    <t>A wrestler tries to splash a frog but misses. What happens?</t>
  </si>
  <si>
    <t>A. The game continues under the control of the opponent.B. The match stopped where it was to assess the missed spark.C. The wrestler is punished for not being able to keep up the pace.D. The game continues under the control of the opponent.</t>
  </si>
  <si>
    <t>Loss of air movement results in loss of control.</t>
  </si>
  <si>
    <t>A wrestler performs a piledriver on his opponent. The opponent's neck is injured. What happens?</t>
  </si>
  <si>
    <t>A. The game continued with a medical evaluation.B. The warrior is not fit for the dangerous action.C. The opponent wins by default due to injury.D. The match was stopped for a medical evaluation.</t>
  </si>
  <si>
    <t>The warrior is not fit for the dangerous action.</t>
  </si>
  <si>
    <t>Risky activities may result in medical evaluations and rejection.</t>
  </si>
  <si>
    <t>A fighter is caught using a weapon during an entry move. What happens?</t>
  </si>
  <si>
    <t>A. The match continued to be controlled by the opponent.B. The fighter is punished for using a weapon.C. The game was stopped to assess the situation.D. The opponent won the competition out of the competition.</t>
  </si>
  <si>
    <t>The fighter is punished for using a weapon.</t>
  </si>
  <si>
    <t>Weapons are subject to failure during entry operations.</t>
  </si>
  <si>
    <t>A fighter lifts their opponent into a suplex position, but the opponent manages to escape. What happens?</t>
  </si>
  <si>
    <t>A. The game continues under the control of the opponent.B. The fighter is penalized for a successful suplex.C. The match will stop the review of the escape.D. The opponent is awarded a point for escaping.</t>
  </si>
  <si>
    <t>Escaping a suplex often results in control.</t>
  </si>
  <si>
    <t>A wrestler goes for a dropkick but misses completely. What happens?</t>
  </si>
  <si>
    <t>A. The opponent wins the match by pin.B. The game continues under the control of the opponent.C. The opponent is penalized for the missed move.D. The game will be stopped for a medical evaluation.</t>
  </si>
  <si>
    <t>Loss of high flight activity can lead to loss.</t>
  </si>
  <si>
    <t>A wrestler tries to lock in a sleeper hold, but the opponent counters with a rolling pin. What happens?</t>
  </si>
  <si>
    <t>A. The opponent won the match.B. The game continues under the control of the opponent.C. The opponent was pinned and lost the match.D. The opponent wins the match by pin.</t>
  </si>
  <si>
    <t>The opponent was pinned and lost the match.</t>
  </si>
  <si>
    <t>Resisting an entry with a pin results in a win.</t>
  </si>
  <si>
    <t>A wrestler is performing a choke, but the referee notices and calls a timeout. What happens?</t>
  </si>
  <si>
    <t>A. The fighter wins by submission.B. The game continued with a warning from the referee.C. The fighter is not eligible to use the choke illegally.D. The match was stopped for a review of the action.</t>
  </si>
  <si>
    <t>The game continued with a warning from the referee.</t>
  </si>
  <si>
    <t>Blocking is often illegal and leads to warnings or disqualification.</t>
  </si>
  <si>
    <t>A fighter successfully executes a superplex from the top rope, but both fighters fall too far. What happens?</t>
  </si>
  <si>
    <t>A. The match continued with both wrestlers in pain.B. The fighter who performed the move was disqualified.C. The match was stopped for treatment.D. The opponent was deemed unable to continue.</t>
  </si>
  <si>
    <t>The match was stopped for treatment.</t>
  </si>
  <si>
    <t>Dangerous moves like superplexes often require medical evaluation.</t>
  </si>
  <si>
    <t>A fighter executes a high-flying dive on their opponent, but both fighters collide in the ring. What happens?</t>
  </si>
  <si>
    <t>A. The match continued as both opponents were unable to move.B. The opponent is not qualified to be the cause of the accident.C. The match was stopped due to medical evaluation of both fighters.D. The fighter is not qualified for a high-flying dive.</t>
  </si>
  <si>
    <t>The match was stopped due to medical evaluation of both fighters.</t>
  </si>
  <si>
    <t>Entry into the shelter requires a medical evaluation.</t>
  </si>
  <si>
    <t>A wrestler performs a piledriver, but during the move, his opponent's neck is injured. What happens?</t>
  </si>
  <si>
    <t>A. The game continued with a medical evaluation.B. The warrior is not fit for the dangerous action.C. The game was stopped for a medical evaluation.D. The opponent wins by default due to injury.</t>
  </si>
  <si>
    <t>Dangerous activities such as paddling can result in serious injury and medical evaluation.</t>
  </si>
  <si>
    <t>A fighter tries to lock in an ankle lock, but his opponent counters by rolling. What happens?</t>
  </si>
  <si>
    <t>A. The match is still ongoing as the opponent.B. The opponent evades and controls the movement.C. The game stops to review the counter.D. The opponent won the match.</t>
  </si>
  <si>
    <t>The opponent evades and controls the movement.</t>
  </si>
  <si>
    <t>Escaping the ankle lock gives control to the opponent.</t>
  </si>
  <si>
    <t>Their opponent hits them with a foreign object and the referee sees it. What happens?</t>
  </si>
  <si>
    <t>A. The game continued without penalty.B. The warrior is not qualified to use a foreign object.C. The opponent won the competition out of the competition.D. The game stops to assess the situation.</t>
  </si>
  <si>
    <t>The warrior is not qualified to use a foreign object.</t>
  </si>
  <si>
    <t>Using foreign materials will result in rejection.</t>
  </si>
  <si>
    <t>A wrestler attempts a moonsault from the top rope, but misses and crashes into the mat. What happens?</t>
  </si>
  <si>
    <t>A. The match continues with the opponent in control.B. The opponent is awarded points for the failed move.C. The wrestler is penalized for the failed moonsault.D. The match stops for a review of the failed move.</t>
  </si>
  <si>
    <t>The match continues with the opponent in control.</t>
  </si>
  <si>
    <t>Missing a moonsault often results in losing control.</t>
  </si>
  <si>
    <t>A wrestler holds a submission for too long after their opponent taps out. What happens?</t>
  </si>
  <si>
    <t>A. The wrestler is disqualified for not releasing the hold.B. The match continues with the wrestler in control.C. The opponent wins by submission.D. The referee stops the match and warns the wrestler.</t>
  </si>
  <si>
    <t>The wrestler is disqualified for not releasing the hold.</t>
  </si>
  <si>
    <t>Holding a submission after the tap results in disqualification.</t>
  </si>
  <si>
    <t>A wrestler applies a figure-four leg lock, but the opponent counters by reversing it. What happens?</t>
  </si>
  <si>
    <t>A. The opponent is pinned and wins the match.B. The match continues with the opponent in control.C. The wrestler wins the match by submission.D. The match stops for a review of the reversal.</t>
  </si>
  <si>
    <t>Reversing a submission into a pin often leads to winning the match.</t>
  </si>
  <si>
    <t>A wrestler hits a low blow during a match. What happens?</t>
  </si>
  <si>
    <t>A. The match stops and the wrestler is disqualified.B. The opponent wins the match by disqualification.C. The wrestler is penalized with a warning.D. The match continues with the opponent in control.</t>
  </si>
  <si>
    <t>The opponent wins the match by disqualification.</t>
  </si>
  <si>
    <t>Low blows are illegal and result in disqualification.</t>
  </si>
  <si>
    <t>A wrestler attempts a crossbody from the top rope but is caught by their opponent. What happens?</t>
  </si>
  <si>
    <t>A. The match continues with the opponent in control.B. The wrestler is pinned immediately.C. The opponent counters the move into a slam.D. The match stops for a review of the move.</t>
  </si>
  <si>
    <t>The opponent counters the move into a slam.</t>
  </si>
  <si>
    <t>Catching a crossbody allows for a counter slam.</t>
  </si>
  <si>
    <t>A wrestler tries to lock in a submission but the opponent counters by rolling out of the ring. What happens?</t>
  </si>
  <si>
    <t>A. The match continues with the opponent outside the ring.B. The match stops for a review of the situation.C. The wrestler wins by count-out.D. The match continues with the opponent outside the ring.</t>
  </si>
  <si>
    <t>The match continues with the opponent outside the ring.</t>
  </si>
  <si>
    <t>Escaping the ring can break a submission and reset the match.</t>
  </si>
  <si>
    <t>A wrestler hits their opponent with a steel chair, but the referee doesn't see it. What happens?</t>
  </si>
  <si>
    <t>A. The match continues with the wrestler in control.B. The wrestler is disqualified for using a chair.C. The opponent wins the match by disqualification.D. The match continues with no penalty.</t>
  </si>
  <si>
    <t>The match continues with the wrestler in control.</t>
  </si>
  <si>
    <t>Using a chair undetected often results in gaining an advantage.</t>
  </si>
  <si>
    <t>A wrestler lifts their opponent for a powerbomb but the opponent manages to counter with a hurricanrana. What happens?</t>
  </si>
  <si>
    <t>A. The wrestler is pinned immediately.B. The match continues with the opponent in control.C. The wrestler wins the match by reversal.D. The match stops for a review of the move.</t>
  </si>
  <si>
    <t>Countering a powerbomb with a hurricanrana often results in gaining control.</t>
  </si>
  <si>
    <t>A wrestler executes a German suplex but the opponent lands on their feet and counters with a superkick. What happens?</t>
  </si>
  <si>
    <t>A. The match continues with the opponent in control.B. The wrestler is pinned immediately.C. The match stops for a review of the counter.D. The opponent is disqualified for the superkick.</t>
  </si>
  <si>
    <t>Landing on feet from a suplex often leads to a counter move.</t>
  </si>
  <si>
    <t>A wrestler attempts to hit a DDT, but their opponent counters by lifting them into a belly-to-belly suplex. What happens?</t>
  </si>
  <si>
    <t>A. The match continues with the opponent in control.B. The wrestler is pinned immediately.C. The match stops for a review of the reversal.D. The wrestler wins the match by pin.</t>
  </si>
  <si>
    <t>Reversing a DDT into a suplex often leads to controlling the match.</t>
  </si>
  <si>
    <t>A wrestler is about to win by submission, but their opponent distracts the referee and rolls them up for a pin. What happens?</t>
  </si>
  <si>
    <t>A. The match continues with the pin.B. The opponent wins the match by pin.C. The match stops for a review of the situation.D. The wrestler wins by submission.</t>
  </si>
  <si>
    <t>The opponent wins the match by pin.</t>
  </si>
  <si>
    <t>A distraction can allow for a counter pin to win the match.</t>
  </si>
  <si>
    <t>A wrestler delivers a hard punch to their opponent's face. The referee notices and warns them. What happens?</t>
  </si>
  <si>
    <t>A. The match continues with a warning to the wrestler.B. The opponent wins by disqualification.C. The match stops for a medical checkup.D. The wrestler is fined for the punch.</t>
  </si>
  <si>
    <t>The match continues with a warning to the wrestler.</t>
  </si>
  <si>
    <t>Illegal punches often result in warnings or penalties.</t>
  </si>
  <si>
    <t>A wrestler tries to grab the ropes during a submission hold, but the referee notices and calls for a break. What happens?</t>
  </si>
  <si>
    <t>A. The match continues with the wrestler still in control.B. The wrestler is penalized for using the ropes.C. The opponent wins by disqualification.D. The match stops for a review of the situation.</t>
  </si>
  <si>
    <t>The wrestler is penalized for using the ropes.</t>
  </si>
  <si>
    <t>Using the ropes during a submission leads to a penalty.</t>
  </si>
  <si>
    <t>A wrestler is being pinned, but the referee counts to two, then suddenly stops counting. What happens?</t>
  </si>
  <si>
    <t>A. The match continues without a decision.B. The match is stopped for a review of the situation.C. The wrestler wins the match by disqualification.D. The referee is penalized for failing to count.</t>
  </si>
  <si>
    <t>The match is stopped for a review of the situation.</t>
  </si>
  <si>
    <t>A paused pin count may indicate confusion or a mistake.</t>
  </si>
  <si>
    <t>A wrestler attempts a running spear but is caught by their opponent in a bear hug. What happens?</t>
  </si>
  <si>
    <t>A. The match continues with the opponent in control.B. The wrestler wins by pin.C. The match stops for a review of the hold.D. The opponent is disqualified for using the bear hug.</t>
  </si>
  <si>
    <t>Countering a spear with a bear hug often leads to control.</t>
  </si>
  <si>
    <t>A wrestler hits a finishing move and goes for the pin, but the opponent kicks out at the last second. What happens?</t>
  </si>
  <si>
    <t>A. The match continues with the wrestler in control.B. The match stops for a review of the pin.C. The opponent wins by countering the move.D. The wrestler is penalized for failing to win.</t>
  </si>
  <si>
    <t>A near fall increases tension and could change momentum.</t>
  </si>
  <si>
    <t>A wrestler is performing a dive over the top rope, but their opponent moves out of the way. What happens?</t>
  </si>
  <si>
    <t>A. The match continues with the opponent in control.B. The wrestler hits the ropes and falls to the ground.C. The match stops for a review of the missed dive.D. The wrestler is disqualified for the failed dive.</t>
  </si>
  <si>
    <t>Missing a dive gives the opponent control.</t>
  </si>
  <si>
    <t>A wrestler is about to win by submission, but their opponent makes it to the ropes. What happens?</t>
  </si>
  <si>
    <t>A. The submission hold is broken, and the match continues.B. The wrestler wins by submission.C. The opponent is disqualified for breaking the submission.D. The match stops for a review of the ropes.</t>
  </si>
  <si>
    <t>The submission hold is broken, and the match continues.</t>
  </si>
  <si>
    <t>Reaching the ropes breaks the submission hold.</t>
  </si>
  <si>
    <t>A wrestler is about to win, but the referee is distracted by a second wrestler interfering. What happens?</t>
  </si>
  <si>
    <t>A. The match continues with the interference.B. The wrestler wins by disqualification.C. The match is stopped for a review of the interference.D. The interfering wrestler is disqualified.</t>
  </si>
  <si>
    <t>The match continues with the interference.</t>
  </si>
  <si>
    <t>Interference can change the outcome of the match.</t>
  </si>
  <si>
    <t>A wrestler is about to perform a finishing move but is distracted by the crowd. What happens?</t>
  </si>
  <si>
    <t>A. The match continues with the wrestler distracted.B. The opponent takes advantage of the distraction.C. The wrestler wins by pin.D. The match stops for a review of the situation.</t>
  </si>
  <si>
    <t>The opponent takes advantage of the distraction.</t>
  </si>
  <si>
    <t>Distractions can shift the momentum in a match.</t>
  </si>
  <si>
    <t>A wrestler executes a submission hold, but the opponent taps out just as the referee counts to three. What happens?</t>
  </si>
  <si>
    <t>A. The match ends in a draw.B. The opponent wins by submission.C. The wrestler wins by submission.D. The match is restarted.</t>
  </si>
  <si>
    <t>The wrestler wins by submission.</t>
  </si>
  <si>
    <t>Tapping out before the count ends results in a submission win.</t>
  </si>
  <si>
    <t>A wrestler delivers a low blow to their opponent. What happens?</t>
  </si>
  <si>
    <t>A. The match continues without any penalties.B. The opponent wins by disqualification.C. The wrestler is penalized for the illegal move.D. The referee stops the match for a warning.</t>
  </si>
  <si>
    <t>The opponent wins by disqualification.</t>
  </si>
  <si>
    <t>Low blows often result in disqualification or penalties.</t>
  </si>
  <si>
    <t>A wrestler is caught in a leg lock but reaches the ropes. What happens?</t>
  </si>
  <si>
    <t>A. The match continues with the wrestler still in control.B. The submission hold is broken and the match continues.C. The wrestler is disqualified for using the ropes.D. The opponent wins by submission.</t>
  </si>
  <si>
    <t>The submission hold is broken and the match continues.</t>
  </si>
  <si>
    <t>A wrestler attempts a suicide dive but misses their opponent. What happens?</t>
  </si>
  <si>
    <t>A. The match continues with the wrestler still in control.B. The opponent wins by count-out.C. The wrestler is disqualified for missing the dive.D. The match stops for a review of the missed move.</t>
  </si>
  <si>
    <t>The match continues with the wrestler still in control.</t>
  </si>
  <si>
    <t>Missing a dive may result in loss of momentum.</t>
  </si>
  <si>
    <t>A wrestler lands an illegal chair shot. What happens?</t>
  </si>
  <si>
    <t>A. The match continues without any penalties.B. The wrestler is disqualified for using the chair.C. The opponent wins by disqualification.D. The referee stops the match for a review.</t>
  </si>
  <si>
    <t>The wrestler is disqualified for using the chair.</t>
  </si>
  <si>
    <t>Illegal chair shots often lead to disqualification.</t>
  </si>
  <si>
    <t>A wrestler tries to pin their opponent but doesn't hook the leg. What happens?</t>
  </si>
  <si>
    <t>A. The referee counts to three and the wrestler wins.B. The match continues without a pinfall.C. The referee stops counting due to improper pinning.D. The wrestler wins by disqualification.</t>
  </si>
  <si>
    <t>The match continues without a pinfall.</t>
  </si>
  <si>
    <t>A pin with no leg hook may not count.</t>
  </si>
  <si>
    <t>A wrestler is about to win but is distracted by a foreign object. What happens?</t>
  </si>
  <si>
    <t>A. The match continues despite the distraction.B. The referee disqualifies the wrestler for using the object.C. The opponent takes advantage of the distraction.D. The match stops for a review of the situation.</t>
  </si>
  <si>
    <t>Distractions can change the momentum of a match.</t>
  </si>
  <si>
    <t>A wrestler attempts to climb the turnbuckle but slips and falls. What happens?</t>
  </si>
  <si>
    <t>A. The match continues with the wrestler still in control.B. The match stops for a review of the fall.C. The opponent capitalizes on the mistake and attacks.D. The wrestler is disqualified for the slip.</t>
  </si>
  <si>
    <t>Slips can lead to a loss of momentum and an advantage for the opponent.</t>
  </si>
  <si>
    <t>A wrestler performs a high-impact move but their opponent kicks out at two. What happens?</t>
  </si>
  <si>
    <t>A. The match continues with the wrestler in control.B. The match stops for a review of the pin.C. The wrestler is penalized for failing to win.D. The opponent wins by countering the move.</t>
  </si>
  <si>
    <t>Kickouts can shift the momentum in the match.</t>
  </si>
  <si>
    <t>A wrestler attempts a submission hold but the opponent reverses it into a pin. What happens?</t>
  </si>
  <si>
    <t>A. The match continues with the wrestler still in control.B. The wrestler wins by submission.C. The opponent wins by pinfall.D. The match is stopped for a review of the reversal.</t>
  </si>
  <si>
    <t>The opponent wins by pinfall.</t>
  </si>
  <si>
    <t>Reversing a submission into a pin often results in a surprise win.</t>
  </si>
  <si>
    <t>A wrestler uses a foreign object during a match but the referee does not see it. What happens?</t>
  </si>
  <si>
    <t>A. The match continues with the foreign object being used.B. The wrestler is disqualified for using the foreign object.C. The match stops for a review of the foreign object.D. The opponent wins by disqualification.</t>
  </si>
  <si>
    <t>The match continues with the foreign object being used.</t>
  </si>
  <si>
    <t>Referee oversight can sometimes allow illegal objects to be used.</t>
  </si>
  <si>
    <t>A wrestler applies a sleeper hold, and their opponent begins to fade. What happens?</t>
  </si>
  <si>
    <t>A. The match continues as long as the opponent doesn't tap out.B. The opponent taps out, and the wrestler wins by submission.C. The referee stops the match if the opponent loses consciousness.D. The opponent wins by countering the sleeper.</t>
  </si>
  <si>
    <t>The referee stops the match if the opponent loses consciousness.</t>
  </si>
  <si>
    <t>A sleeper hold can result in a submission or stoppage if the opponent fades.</t>
  </si>
  <si>
    <t>A wrestler performs a top-rope move but the opponent moves out of the way. What happens?</t>
  </si>
  <si>
    <t>A. The wrestler crashes to the mat, and the opponent capitalizes.B. The match stops for a review of the missed move.C. The match continues without any change in momentum.D. The wrestler wins by disqualification for a missed move.</t>
  </si>
  <si>
    <t>The wrestler crashes to the mat, and the opponent capitalizes.</t>
  </si>
  <si>
    <t>Missing a top-rope move can give the opponent control.</t>
  </si>
  <si>
    <t>A wrestler performs a finishing move, but the opponent grabs the ropes before the pinfall. What happens?</t>
  </si>
  <si>
    <t>A. The match continues without the pinfall.B. The match is stopped for a review of the ropes.C. The wrestler wins by pinfall.D. The opponent wins by disqualification.</t>
  </si>
  <si>
    <t>The match continues without the pinfall.</t>
  </si>
  <si>
    <t>Grabbing the ropes breaks the pinfall.</t>
  </si>
  <si>
    <t>A wrestler is knocked out of the ring. What happens?</t>
  </si>
  <si>
    <t>A. The match continues with the wrestler outside the ring.B. The match is stopped for a review of the situation.C. The opponent wins by count-out.D. The wrestler is disqualified for leaving the ring.</t>
  </si>
  <si>
    <t>The match continues with the wrestler outside the ring.</t>
  </si>
  <si>
    <t>Being knocked out of the ring can lead to a count-out.</t>
  </si>
  <si>
    <t>A wrestler executes a running knee strike and knocks their opponent down. What happens?</t>
  </si>
  <si>
    <t>A. The match continues with the wrestler in control.B. The opponent wins by countering the knee strike.C. The match stops for a review of the knee strike.D. The opponent is disqualified for illegal behavior.</t>
  </si>
  <si>
    <t>A well-executed strike can shift the momentum of a match.</t>
  </si>
  <si>
    <t>A wrestler is pinned, but the referee's hand hits the mat for a three-count too quickly. What happens?</t>
  </si>
  <si>
    <t>A. The match continues without a decision.B. The referee restarts the match and re-counts.C. The wrestler wins by disqualification of the referee.D. The opponent wins by pinfall.</t>
  </si>
  <si>
    <t>The referee restarts the match and re-counts.</t>
  </si>
  <si>
    <t>An early count can lead to a disputed finish.</t>
  </si>
  <si>
    <t>A wrestler performs a finisher and goes for the pin, but the lights go out in the arena. What happens?</t>
  </si>
  <si>
    <t>A. The match continues without interruption.B. The match is stopped for a review of the situation.C. The opponent wins by count-out.D. The match continues in darkness until the lights come back on.</t>
  </si>
  <si>
    <t>Unexpected interruptions can change the flow of a match.</t>
  </si>
  <si>
    <t>A wrestler is caught in a submission hold, but the referee misses the tap-out. What happens?</t>
  </si>
  <si>
    <t>A. The match continues without acknowledging the tap-out.B. The wrestler wins by submission.C. The match stops for a review of the tap-out.D. The wrestler is disqualified for tapping out.</t>
  </si>
  <si>
    <t>The match continues without acknowledging the tap-out.</t>
  </si>
  <si>
    <t>Referee errors can lead to a controversial finish.</t>
  </si>
  <si>
    <t>A wrestler is caught in the ropes, but their opponent stops attacking. What happens?</t>
  </si>
  <si>
    <t>A. The match continues with the wrestler still in the ropes.B. The referee disqualifies the opponent for stopping.C. The match stops for a review of the situation.D. The wrestler is counted out for being caught in the ropes.</t>
  </si>
  <si>
    <t>The match continues with the wrestler still in the ropes.</t>
  </si>
  <si>
    <t>Being caught in the ropes can lead to lost control.</t>
  </si>
  <si>
    <t>A wrestler tries to use the ring post as a weapon but is stopped by the referee. What happens?</t>
  </si>
  <si>
    <t>A. The wrestler is warned but the match continues.B. The wrestler is disqualified for using the ring post.C. The match is stopped for a review of the situation.D. The opponent wins by disqualification of the wrestler.</t>
  </si>
  <si>
    <t>The wrestler is warned but the match continues.</t>
  </si>
  <si>
    <t>Using the ring post may lead to a warning or disqualification.</t>
  </si>
  <si>
    <t>A wrestler locks their opponent in a headlock but the opponent manages to escape. What happens?</t>
  </si>
  <si>
    <t>A. The match continues without any interruption.B. The opponent wins by submission.C. The wrestler is penalized for holding too long.D. The match is stopped for a review of the escape.</t>
  </si>
  <si>
    <t>The match continues without any interruption.</t>
  </si>
  <si>
    <t>Escaping from a hold often shifts the momentum.</t>
  </si>
  <si>
    <t>A wrestler is thrown out of the ring but lands safely outside. What happens?</t>
  </si>
  <si>
    <t>A. The match continues with the wrestler outside the ring.B. The opponent wins by count-out.C. The referee calls for a restart of the match.D. The match stops for a review of the situation.</t>
  </si>
  <si>
    <t>Being thrown out of the ring can lead to a count-out.</t>
  </si>
  <si>
    <t>A wrestler attempts a suplex but their opponent counters it. What happens?</t>
  </si>
  <si>
    <t>A. The match continues with the opponent in control.B. The wrestler is disqualified for attempting the suplex.C. The opponent wins by submission.D. The match stops for a review of the counter.</t>
  </si>
  <si>
    <t>Counters often lead to a shift in control.</t>
  </si>
  <si>
    <t>A wrestler tries to perform a finisher but is interrupted by an unexpected interference. What happens?</t>
  </si>
  <si>
    <t>A. The match continues without interruption.B. The wrestler is disqualified for using interference.C. The match stops for a review of the interference.D. The opponent wins by count-out.</t>
  </si>
  <si>
    <t>The match stops for a review of the interference.</t>
  </si>
  <si>
    <t>Interference can change the course of a match.</t>
  </si>
  <si>
    <t>A wrestler delivers a successful body slam but the opponent immediately kicks out. What happens?</t>
  </si>
  <si>
    <t>A. The match continues with the wrestler in control.B. The match stops for a review of the pin.C. The opponent wins by submission.D. The wrestler is penalized for not winning.</t>
  </si>
  <si>
    <t>Kickouts can lead to a momentum shift.</t>
  </si>
  <si>
    <t>A wrestler attempts a double underhook but loses balance. What happens?</t>
  </si>
  <si>
    <t>A. The match continues with the wrestler recovering.B. The opponent wins by countering the move.C. The match stops for a review of the fall.D. The wrestler is disqualified for losing balance.</t>
  </si>
  <si>
    <t>The match continues with the wrestler recovering.</t>
  </si>
  <si>
    <t>Losing balance can result in a loss of control.</t>
  </si>
  <si>
    <t>A wrestler performs a submission hold but the opponent escapes. What happens?</t>
  </si>
  <si>
    <t>A. The match continues with the wrestler in control.B. The submission hold is considered illegal.C. The opponent wins by submission.D. The match stops for a review of the escape.</t>
  </si>
  <si>
    <t>Escaping from a submission can shift control.</t>
  </si>
  <si>
    <t>A wrestler is caught by their opponent's finishing move but is able to break free. What happens?</t>
  </si>
  <si>
    <t>A. The match continues with the wrestler escaping.B. The wrestler wins by submission.C. The opponent wins by submission.D. The match is stopped for a review of the escape.</t>
  </si>
  <si>
    <t>The match continues with the wrestler escaping.</t>
  </si>
  <si>
    <t>Breaking free from a finisher often shifts momentum.</t>
  </si>
  <si>
    <t>A wrestler performs a high-flying maneuver but misses their target. What happens?</t>
  </si>
  <si>
    <t>A. The match continues with the wrestler recovering.B. The opponent capitalizes on the missed move.C. The match stops for a review of the missed maneuver.D. The wrestler wins by disqualification.</t>
  </si>
  <si>
    <t>The opponent capitalizes on the missed move.</t>
  </si>
  <si>
    <t>Missing a high-flying maneuver often results in loss of control.</t>
  </si>
  <si>
    <t>A wrestler is in a submission hold but refuses to tap out. What happens?</t>
  </si>
  <si>
    <t>A. The match continues with the wrestler in pain.B. The referee stops the match if the wrestler passes out.C. The opponent wins by pinfall.D. The wrestler wins by disqualification.</t>
  </si>
  <si>
    <t>The referee stops the match if the wrestler passes out.</t>
  </si>
  <si>
    <t>Refusing to tap can lead to unconsciousness or stoppage.</t>
  </si>
  <si>
    <t>A wrestler executes a series of punches but is stopped by the referee. What happens?</t>
  </si>
  <si>
    <t>A. The match continues without any penalty.B. The wrestler is disqualified for illegal strikes.C. The opponent capitalizes on the stoppage.D. The match stops for a warning to the wrestler.</t>
  </si>
  <si>
    <t>The match continues without any penalty.</t>
  </si>
  <si>
    <t>Repetitive strikes may lead to warnings or disqualification.</t>
  </si>
  <si>
    <t>A wrestler attempts a pin, but their opponent's foot is under the rope. What happens?</t>
  </si>
  <si>
    <t>A. The match continues without the pinfall.B. The match stops for a review of the rope situation.C. The pinfall counts as legal.D. The opponent wins by disqualification.</t>
  </si>
  <si>
    <t>Rope breaks during a pin can invalidate the pin.</t>
  </si>
  <si>
    <t>A wrestler is about to win but their manager interferes in the match. What happens?</t>
  </si>
  <si>
    <t>A. The wrestler wins despite the interference.B. The match continues with no penalties.C. The referee stops the match for interference.D. The wrestler is disqualified for manager interference.</t>
  </si>
  <si>
    <t>The referee stops the match for interference.</t>
  </si>
  <si>
    <t>Manager interference can lead to disqualification.</t>
  </si>
  <si>
    <t>A wrestler lands a punch but the referee mistakenly calls it a low blow. What happens?</t>
  </si>
  <si>
    <t>A. The match continues with the referee's decision.B. The wrestler wins by disqualification of the referee.C. The match stops for a review of the call.D. The opponent is disqualified for reacting to the low blow.</t>
  </si>
  <si>
    <t>The match stops for a review of the call.</t>
  </si>
  <si>
    <t>Referee errors can result in controversial calls.</t>
  </si>
  <si>
    <t>A wrestler executes a powerbomb but doesn't cover for the pin. What happens?</t>
  </si>
  <si>
    <t>A. The match continues with the wrestler in control.B. The opponent wins by disqualification.C. The match stops for a review of the move.D. The wrestler wins by pinfall.</t>
  </si>
  <si>
    <t>Failure to pin after a big move can result in missed opportunities.</t>
  </si>
  <si>
    <t>A wrestler delivers a devastating knee strike to their opponent but doesn't follow up. What happens?</t>
  </si>
  <si>
    <t>A. The opponent capitalizes on the pause and counterattacks.B. The match continues with the wrestler in control.C. The wrestler is penalized for not following up.D. The match is stopped for a review of the knee strike.</t>
  </si>
  <si>
    <t>The opponent capitalizes on the pause and counterattacks.</t>
  </si>
  <si>
    <t>Not following up after a big strike often results in lost momentum.</t>
  </si>
  <si>
    <t>A wrestler is performing a submission hold, but the opponent grabs the rope. What happens?</t>
  </si>
  <si>
    <t>A. The submission hold is broken and the match continues.B. The match stops for a review of the situation.C. The wrestler wins by submission.D. The opponent is disqualified for grabbing the rope.</t>
  </si>
  <si>
    <t>Grabbing the rope can break a submission hold.</t>
  </si>
  <si>
    <t>A wrestler is caught in a chokehold and is about to pass out. What happens?</t>
  </si>
  <si>
    <t>A. The match stops for a review of the situation.B. The referee stops the match to check the wrestler.C. The opponent wins by pinfall.D. The match continues until the wrestler taps out.</t>
  </si>
  <si>
    <t>The referee stops the match to check the wrestler.</t>
  </si>
  <si>
    <t>Passing out in a chokehold leads to stoppage.</t>
  </si>
  <si>
    <t>A wrestler accidentally hits their own tag team partner. What happens?</t>
  </si>
  <si>
    <t>A. The match continues without any penalty.B. The partner is disqualified for interfering.C. The opponent capitalizes on the confusion.D. The match is stopped for a review of the situation.</t>
  </si>
  <si>
    <t>The opponent capitalizes on the confusion.</t>
  </si>
  <si>
    <t>Accidental attacks can cause confusion and momentum shifts.</t>
  </si>
  <si>
    <t>A wrestler is attempting a submission hold but the referee is distracted. What happens?</t>
  </si>
  <si>
    <t>A. The match continues without any penalties.B. The submission is considered illegal.C. The opponent wins by submission.D. The referee stops the match for a review.</t>
  </si>
  <si>
    <t>The match continues without any penalties.</t>
  </si>
  <si>
    <t>Referee distractions can lead to mistakes or missed opportunities.</t>
  </si>
  <si>
    <t>A wrestler performs a running clothesline and knocks the opponent down. What happens?</t>
  </si>
  <si>
    <t>A. The match continues with the wrestler in control.B. The opponent counters the clothesline.C. The match stops for a review of the strike.D. The opponent wins by countering the clothesline.</t>
  </si>
  <si>
    <t>A successful clothesline can give control to the attacker.</t>
  </si>
  <si>
    <t>A wrestler hits a signature move but their opponent kicks out at two. What happens?</t>
  </si>
  <si>
    <t>A. The match continues with the wrestler in control.B. The match stops for a review of the kick-out.C. The opponent wins by submission.D. The wrestler is penalized for not winning.</t>
  </si>
  <si>
    <t>Kickouts after a big move can shift the momentum.</t>
  </si>
  <si>
    <t>A wrestler is about to perform a high-flying move but slips. What happens?</t>
  </si>
  <si>
    <t>A. The match continues with the wrestler recovering.B. The opponent capitalizes on the slip and counters.C. The match stops for a review of the slip.D. The wrestler wins by disqualification.</t>
  </si>
  <si>
    <t>The opponent capitalizes on the slip and counters.</t>
  </si>
  <si>
    <t>Slips can result in lost opportunities or counters.</t>
  </si>
  <si>
    <t>A wrestler is caught in a headlock and the referee checks if they're conscious. What happens?</t>
  </si>
  <si>
    <t>A. The match continues if the wrestler is conscious.B. The referee stops the match if the wrestler is unconscious.C. The opponent wins by pinfall.D. The match continues with no penalties.</t>
  </si>
  <si>
    <t>The referee stops the match if the wrestler is unconscious.</t>
  </si>
  <si>
    <t>Being unconscious in a hold can lead to match stoppage.</t>
  </si>
  <si>
    <t>A wrestler attempts to pin their opponent, but the referee is out of position. What happens?</t>
  </si>
  <si>
    <t>A. The match continues until the referee positions himself.B. The opponent wins by disqualification of the referee.C. The match stops for a review of the position.D. The pin is considered invalid until the referee is in position.</t>
  </si>
  <si>
    <t>The match continues until the referee positions himself.</t>
  </si>
  <si>
    <t>Referee positioning can affect the outcome of pins.</t>
  </si>
  <si>
    <t>ጥያቄ ቁጥር.</t>
  </si>
  <si>
    <t>ጥያቄ</t>
  </si>
  <si>
    <t>አማራጮች</t>
  </si>
  <si>
    <t>መልስ</t>
  </si>
  <si>
    <t>መግለጫ</t>
  </si>
  <si>
    <t>The ball is thrown in the air, and it lands near the center of the target. What happens?</t>
  </si>
  <si>
    <t>A. No points were awarded.B. One point is given.C. Two points are given.D. Three points are awarded.</t>
  </si>
  <si>
    <t>One point is given.</t>
  </si>
  <si>
    <t>Landing near the target generally earns one point in Afula.</t>
  </si>
  <si>
    <t>During the game, a player leaves the designated playing area. What happens?</t>
  </si>
  <si>
    <t>A. The game continues without interruption.B. The player has been penalized.C. The opponent wins by forfeit.D. The player is not eligible for the round.</t>
  </si>
  <si>
    <t>The player has been penalized.</t>
  </si>
  <si>
    <t>Leaving the playing area often results in a penalty.</t>
  </si>
  <si>
    <t>A player throws the ball, but it hits the ground before reaching the target. What happens?</t>
  </si>
  <si>
    <t>A. The throw is considered a test.B. The throw is considered invalid and no points are awarded.C. The throw counts as half a point.D. Throwing it away is considered a bad thing.</t>
  </si>
  <si>
    <t>The throw is considered invalid and no points are awarded.</t>
  </si>
  <si>
    <t>Hitting the ground before the target scores no points.</t>
  </si>
  <si>
    <t>The player's ball hits the opponent's ball directly before it reaches the target. What happens?</t>
  </si>
  <si>
    <t>A. The throw is still counted and the points are awarded.B. The throw counts, but the opponent gets extra points.C. The throw is considered invalid.D. The throw counts as half a point.</t>
  </si>
  <si>
    <t>The throw is still counted and the points are awarded.</t>
  </si>
  <si>
    <t>Hitting the opponent's ball usually doesn't ruin the throw.</t>
  </si>
  <si>
    <t>A player has no more balls to throw. What happens?</t>
  </si>
  <si>
    <t>A. The player loses the game.B. The game continued with the opponent taking over.C. The player is out of the game.D. The player can request additional throws.</t>
  </si>
  <si>
    <t>The game continued with the opponent taking over.</t>
  </si>
  <si>
    <t>Lack of balls does not usually result in a disqualification.</t>
  </si>
  <si>
    <t>The player throws the ball, but it lands slightly outside the scoring zone. What happens?</t>
  </si>
  <si>
    <t>A. The throw is correct and it has been recorded at the lowest price.B. Throwing it away is considered bad.C. The throw is invalid and no points are awarded.D. The throw was recorded at the highest value.</t>
  </si>
  <si>
    <t>The throw is correct and it has been recorded at the lowest price.</t>
  </si>
  <si>
    <t>Landing outside the scoring zone often results in lower points.</t>
  </si>
  <si>
    <t>A player throws the ball and it bounces off the ground and lands on the target. What happens?</t>
  </si>
  <si>
    <t>A. The throw is considered invalid.B. The throw is considered successful if it lands on the target.C. The throw is worthless if it is thrown away.D. The throw counts, but the result is reduced.</t>
  </si>
  <si>
    <t>The throw is considered successful if it lands on the target.</t>
  </si>
  <si>
    <t>Throwing from the ground usually doesn't ruin the throw.</t>
  </si>
  <si>
    <t>During the game, the player tries to distract the opponent while throwing. What happens?</t>
  </si>
  <si>
    <t>A. The player has been warned.B. The opponent gets an extra point.C. The game is stopped, and the player is penalized.D. The throw is rejected, and the opponent wins the round.</t>
  </si>
  <si>
    <t>The player has been warned.</t>
  </si>
  <si>
    <t>Trying to distract usually leads to a warning or punishment.</t>
  </si>
  <si>
    <t>The player throws the ball and hits the previously placed ball in the target. What happens?</t>
  </si>
  <si>
    <t>A. The first ball points remain.B. The ball is placed outside the target area.C. Both balls are damaged.D. The result is given for both balls.</t>
  </si>
  <si>
    <t>The first ball points remain.</t>
  </si>
  <si>
    <t>Hitting a ball in the target usually doesn't make it go away.</t>
  </si>
  <si>
    <t>A player throws the ball, but after a few hits it lands on the target. What happens?</t>
  </si>
  <si>
    <t>A. The throw is considered successful if it lands on the target.B. The throw is considered invalid.C. The player is penalized for throwing the ball.D. The ball must land cleanly without dropping.</t>
  </si>
  <si>
    <t>Landing on the target area after takeoff can still count.</t>
  </si>
  <si>
    <t>A player throws the ball and it lands outside the goal area, but it is very close. What happens?</t>
  </si>
  <si>
    <t>A. The throw counts as half a point.B. No points were awarded.C. The throw is invalid.D. The throw counts as one point.</t>
  </si>
  <si>
    <t>The throw counts as one point.</t>
  </si>
  <si>
    <t>Landing near the scoring zone usually counts for one point.</t>
  </si>
  <si>
    <t>A player throws the ball, and another ball hits the target. What happens?</t>
  </si>
  <si>
    <t>A. The throw counts for extra points.B. The points are transferred to the player who owns the knocked-down ball.C. No points were awarded.D. The opponent scores a point.</t>
  </si>
  <si>
    <t>The throw counts for extra points.</t>
  </si>
  <si>
    <t>Knocking another ball into the target results in bonus points.</t>
  </si>
  <si>
    <t>A ball lands in the end zone but touches the edge of the field. What happens?</t>
  </si>
  <si>
    <t>A. The throw counts for low points.B. Throwing is unacceptable.C. The throw was awarded a half point.D. The throw is considered a valid attempt.</t>
  </si>
  <si>
    <t>The throw counts for low points.</t>
  </si>
  <si>
    <t>Touching the tip of the target often counts for low points.</t>
  </si>
  <si>
    <t>A player throws the ball with his hand, but it bounces off the ground before it lands on the target. What happens?</t>
  </si>
  <si>
    <t>A. The throw is accurate if it lands on the target.B. The throw is invalid.C. The player gets extra points for throwing underhand.D. The throw is invalid due to the throw.</t>
  </si>
  <si>
    <t>The throw is accurate if it lands on the target.</t>
  </si>
  <si>
    <t>Throwing before landing on the target does not ruin the throw.</t>
  </si>
  <si>
    <t>A player steps onto the line while throwing. What happens?</t>
  </si>
  <si>
    <t>A. The throw is considered valid.B. The player is penalized for stepping over the line.C. Throwing is unacceptable.D. The throw counts as half a point.</t>
  </si>
  <si>
    <t>The player is penalized for stepping over the line.</t>
  </si>
  <si>
    <t>Walking over the line often results in a penalty.</t>
  </si>
  <si>
    <t>The player throws the ball, but it lands on the target area and then rolls. What happens?</t>
  </si>
  <si>
    <t>A. The throw is considered invalid.B. The throw is considered valid as long as it remains within the target.C. No points were awarded.D. The throw is considered valid.</t>
  </si>
  <si>
    <t>The throw is considered valid as long as it remains within the target.</t>
  </si>
  <si>
    <t>Getting off target often eliminates the throw.</t>
  </si>
  <si>
    <t>The player's ball lands on the target, but it is too far from the center. What happens?</t>
  </si>
  <si>
    <t>A. The throw counts, but only partial points are awarded.B. The throw is invalid and no points are awarded.C. The throw counts for full points.D. The throw counts but the score is low.</t>
  </si>
  <si>
    <t>The throw counts, but only partial points are awarded.</t>
  </si>
  <si>
    <t>Going too far from the center usually results in partial points.</t>
  </si>
  <si>
    <t>A player throws the ball, but it spins out of control and misses the target completely. What happens?</t>
  </si>
  <si>
    <t>A. Throwing is unacceptable.B. The throw is considered to be without any points.C. The throw is considered a failed attempt.D. No points were awarded.</t>
  </si>
  <si>
    <t>Throwing is unacceptable.</t>
  </si>
  <si>
    <t>Driving out of control usually does not result in any points.</t>
  </si>
  <si>
    <t>During the game, the weather suddenly changes, and it starts to rain. What will happen?</t>
  </si>
  <si>
    <t>A. The game continued despite the rain.B. The game was stopped until the rain stopped.C. The game was canceled due to rain.D. The players have to adapt to the rain.</t>
  </si>
  <si>
    <t>The game was stopped until the rain stopped.</t>
  </si>
  <si>
    <t>If conditions are not favorable, rain could pause the game.</t>
  </si>
  <si>
    <t>The player throws the ball with a strong spin and it goes into the target area. What happens?</t>
  </si>
  <si>
    <t>A. The throw is considered valid.B. The throw is not eligible for over-rotation.C. The throw counts for partial points.D. The throw counts for extra points.</t>
  </si>
  <si>
    <t>The throw is considered valid.</t>
  </si>
  <si>
    <t>Heavy spin is allowed as long as the ball lands on the target.</t>
  </si>
  <si>
    <t>A player throws a ball that hits another ball in the air, and both land on the target. What happens?</t>
  </si>
  <si>
    <t>A. Both balls count for a point.B. The first ball counts, but the second does not.C. No points were awarded.D. The second ball is considered invalid.</t>
  </si>
  <si>
    <t>Both balls count for a point.</t>
  </si>
  <si>
    <t>Hitting a ball in mid-air and landing on the target can count as a point.</t>
  </si>
  <si>
    <t>The ball lands in the target area, but rolls slightly out of bounds. What happens?</t>
  </si>
  <si>
    <t>A. The throw counts for partial points.B. No points were awarded for this throw.C. The throw is invalid.D. The throw is considered a failed attempt.</t>
  </si>
  <si>
    <t>The throw counts for partial points.</t>
  </si>
  <si>
    <t>Going out of bounds usually results in partial points.</t>
  </si>
  <si>
    <t>A player throws the ball, but it lands on another player's ball, causing it to move. What happens?</t>
  </si>
  <si>
    <t>A. The ball is ineligible, and the player loses their turn.B. The ball counts, and the player scores points.C. No points were awarded, but the game continued.D. The action is considered a misdemeanor.</t>
  </si>
  <si>
    <t>The ball counts, and the player scores points.</t>
  </si>
  <si>
    <t>Hitting another ball usually doesn't eliminate the throw.</t>
  </si>
  <si>
    <t>The player's ball lands outside the target, but it is very close. What happens?</t>
  </si>
  <si>
    <t>A. No points were awarded.B. The ball counts as one point.C. The throw is considered a test.D. Partial points were awarded for proximity.</t>
  </si>
  <si>
    <t>The ball counts as one point.</t>
  </si>
  <si>
    <t>Being close but being outside often results in a point.</t>
  </si>
  <si>
    <t>The player throws the ball, but it lands in the scoring area and goes out of bounds. What happens?</t>
  </si>
  <si>
    <t>A. No points were awarded.B. The throw counts for partial points.C. The throw is considered valid.D. The ball must remain in the target area.</t>
  </si>
  <si>
    <t>No points were awarded.</t>
  </si>
  <si>
    <t>Going off target costs the throw.</t>
  </si>
  <si>
    <t>The ball goes into the target, but is partially covered by another ball. What happens?</t>
  </si>
  <si>
    <t>A. The throw counts for partial points.B. The throw carries full points.C. No points were awarded because it was covered.D. The ball is considered invalid.</t>
  </si>
  <si>
    <t>The throw carries full points.</t>
  </si>
  <si>
    <t>Partial coverage with another ball usually does not ruin the throw.</t>
  </si>
  <si>
    <t>A player intentionally blocks the opponent's ball with them. What happens?</t>
  </si>
  <si>
    <t>A. The player has been penalized.B. The opponent gets more points.C. The game has stopped and restarted.D. The move is considered a defensive play.</t>
  </si>
  <si>
    <t>Intentional suspension often results in a fine.</t>
  </si>
  <si>
    <t>A player's throw is too strong and misses the target completely. What happens?</t>
  </si>
  <si>
    <t>A. No points were awarded.B. The player gets one point for trying.C. The throw counts as half a point.D. The player's turn is over.</t>
  </si>
  <si>
    <t>A missed target often results in no points.</t>
  </si>
  <si>
    <t>The player's ball lands on the target spot, but another ball lands on top of it. What happens?</t>
  </si>
  <si>
    <t>A. The throw carries full points.B. The ball is considered invalid.C. The ball is considered a bad thing.D. The balls are cleared from the target area.</t>
  </si>
  <si>
    <t>The ball's overlap in the target usually does not spoil the throw.</t>
  </si>
  <si>
    <t>What happens if the player's ball lands near the center of the target but not exactly in the center?</t>
  </si>
  <si>
    <t>A. The throw was considered valid but received a low score.B. The throw is invalid.C. The throw counts for the lowest score.D. The throw is considered a valid attempt.</t>
  </si>
  <si>
    <t>The throw was considered valid but received a low score.</t>
  </si>
  <si>
    <t>Being close to the center, but not exactly right, often results in low scores.</t>
  </si>
  <si>
    <t>A player accidentally throws the ball into the target area without landing. What happens?</t>
  </si>
  <si>
    <t>A. Throwing is unacceptable.B. There is no point in throwing it.C. The throw counts for half a point.D. The throw is considered to have landed near the area.</t>
  </si>
  <si>
    <t>Throwing at the target usually results in no points.</t>
  </si>
  <si>
    <t>A player's throw hits the ground before it reaches the target. What happens?</t>
  </si>
  <si>
    <t>A. The throw is considered invalid.B. The throw is considered successful if it lands on the target.C. The throw is considered valid.D. The throw is considered a failed attempt.</t>
  </si>
  <si>
    <t>The throw is considered invalid.</t>
  </si>
  <si>
    <t>Hitting obstacles often eliminates throwing.</t>
  </si>
  <si>
    <t>The player's ball lands near the scoring zone, but it rolls slightly out. What happens?</t>
  </si>
  <si>
    <t>A. The throw counts for partial points.B. Throwing is unacceptable.C. The throw counts as one point.D. No points were awarded.</t>
  </si>
  <si>
    <t>Driving outside the zone often results in partial points.</t>
  </si>
  <si>
    <t>A player's ball lands on the target area and is very close to the center. What happens?</t>
  </si>
  <si>
    <t>A. The player gets full points.B. The throw is considered a test.C. No points were awarded.D. The throw counts as half a point.</t>
  </si>
  <si>
    <t>The player gets full points.</t>
  </si>
  <si>
    <t>Being close to the center usually ensures full points.</t>
  </si>
  <si>
    <t>The game is tied after the last round. What happens next?</t>
  </si>
  <si>
    <t>A. The game is over, and both players are winners.B. A qualifying round was played.C. The player with the most points is declared the winner.D. The game has been canceled.</t>
  </si>
  <si>
    <t>A qualifying round was played.</t>
  </si>
  <si>
    <t>Tie games often require a special round to determine the winner.</t>
  </si>
  <si>
    <t>A player throws a ball and it lands outside the target area, but there are no balls nearby. What happens?</t>
  </si>
  <si>
    <t>A. No points were awarded.B. The throw counts as one point.C. The throw is considered a failed attempt.D. The throw is considered valid.</t>
  </si>
  <si>
    <t>No points are awarded for missing other balls nearby.</t>
  </si>
  <si>
    <t>A player throws the ball and lands it near the center of the target. What happens?</t>
  </si>
  <si>
    <t>A. The player gets full points.B. The throw counts for partial points.C. No points were awarded.D. Throwing is unacceptable.</t>
  </si>
  <si>
    <t>Landing near the center of the target usually results in full points.</t>
  </si>
  <si>
    <t>A player throws the ball towards the target, but it is pushed back by another player's ball. What happens?</t>
  </si>
  <si>
    <t>A. The opponent's ball is not eligible.B. The player scores extra points.C. No points were awarded for the throw.D. The throw counts for partial points.</t>
  </si>
  <si>
    <t>The player scores extra points.</t>
  </si>
  <si>
    <t>Hitting an opponent's ball results in extra points.</t>
  </si>
  <si>
    <t>The player's throw is very weak, and the ball rarely reaches the target area. What happens?</t>
  </si>
  <si>
    <t>A. The throw was considered valid but received a low score.B. The throw counts for partial points.C. No points were awarded.D. The player gets full points.</t>
  </si>
  <si>
    <t>Poor throwing often results in poor results.</t>
  </si>
  <si>
    <t>A player throws a ball that lands outside the scoring zone but rolls into the field. What happens?</t>
  </si>
  <si>
    <t>A. The throw carries full points.B. The throw is considered invalid.C. The throw counts for partial points.D. No points were awarded.</t>
  </si>
  <si>
    <t>Returning to the scoring zone usually counts for full points.</t>
  </si>
  <si>
    <t>Your ball hits another player's ball and moves it towards the target. Who scores the points?</t>
  </si>
  <si>
    <t>A. They scored the points.B. The other player keeps track of the points.C. Both players split the points.D. No points were scored.</t>
  </si>
  <si>
    <t>The other player keeps track of the points.</t>
  </si>
  <si>
    <t>Points are awarded to the player whose ball is closest to the target.</t>
  </si>
  <si>
    <t>A player throws the ball outside the designated playing area. What happens?</t>
  </si>
  <si>
    <t>A. The throw is invalid.B. The player gets another chance.C. Partial points awardedD. Throwing counts, but with a penalty.</t>
  </si>
  <si>
    <t>The throw is invalid.</t>
  </si>
  <si>
    <t>Balls outside the playing area are considered invalid and do not score any points.</t>
  </si>
  <si>
    <t>You are about to throw your ball, but you notice debris on the playing field. What should you do?</t>
  </si>
  <si>
    <t>A. Dispose of carefully and remove wasteB. Ask a judge to clean up the area.C. Ignore and continue with the discard.D. Throw it with all your might to clear the debris.</t>
  </si>
  <si>
    <t>Ask a judge to clean up the area.</t>
  </si>
  <si>
    <t>Players may ask the referee to make sure the playing area is clear before throwing.</t>
  </si>
  <si>
    <t>Your ball hit the center target and went out of bounds. How many points did you score?</t>
  </si>
  <si>
    <t>A. Full pointsB. There is no point.C. Partial pointsD. You will get another round.</t>
  </si>
  <si>
    <t>There is no point.</t>
  </si>
  <si>
    <t>A ball must remain within the scoring area to count as a point.</t>
  </si>
  <si>
    <t>Two players' balls are equidistant from the center at the end of a round. What happens next?</t>
  </si>
  <si>
    <t>A. Both players were awarded full points.B. The round was declared a tie.C. A toss-up will be held.D. Points are divided equally.</t>
  </si>
  <si>
    <t>A toss-up will be held.</t>
  </si>
  <si>
    <t>In such cases, ticket tosses are used to determine the winner.</t>
  </si>
  <si>
    <t>You accidentally drop your ball before you can throw it. Can you pick it up and throw it again?</t>
  </si>
  <si>
    <t>A. Yes, as long as it's not wrapped.B. No, the turn is over.C. Yes, but only with a fine.D. No, the throw is considered invalid.</t>
  </si>
  <si>
    <t>Yes, as long as it's not wrapped.</t>
  </si>
  <si>
    <t>Thrown balls may be re-thrown if they do not roll or disturb the field.</t>
  </si>
  <si>
    <t>Your opponent's ball blocks your accurate shot on target. What should you do?</t>
  </si>
  <si>
    <t>A. Throw more force to dislodge their ball.B. Target a specific part of the target.C. Request a penalty for violation of the rulesD. Skip your turn.</t>
  </si>
  <si>
    <t>Target a specific part of the target.</t>
  </si>
  <si>
    <t>Players must adjust their tactics when blocking an opponent's ball.</t>
  </si>
  <si>
    <t>After the ball lands in the scoring zone, a strong gust of wind blows it away. What happens?</t>
  </si>
  <si>
    <t>A. The ball position is adjusted manually.B. The result is calculated based on the final position.C. It's not worth throwing away.D. The round was replayed.</t>
  </si>
  <si>
    <t>The result is calculated based on the final position.</t>
  </si>
  <si>
    <t>Environmental factors such as wind are part of the game, and the final position determines the outcome.</t>
  </si>
  <si>
    <t>You notice a player taking longer to throw. What should you do?</t>
  </si>
  <si>
    <t>A. Call the judge to issue a warning.B. Ignore it and focus on your game.C. Request the round to restart.D. Ask the player to speed up.</t>
  </si>
  <si>
    <t>Call the judge to issue a warning.</t>
  </si>
  <si>
    <t>Judges monitor time limits, and excessive delays can result in warnings.</t>
  </si>
  <si>
    <t>A spectator suddenly enters the end zone while the ball is in motion. What happens?</t>
  </si>
  <si>
    <t>A. The round was replayed.B. The viewer is asked to leave.C. It's not worth throwing away.D. The ball position is adjusted manually.</t>
  </si>
  <si>
    <t>The round was replayed.</t>
  </si>
  <si>
    <t>External interference often results in a replay of the round.</t>
  </si>
  <si>
    <t>During your swing, your ball lands directly on another ball in the scoring zone. What happens?</t>
  </si>
  <si>
    <t>A. They scored more points.B. Points were disallowed for both balls.C. Your ball has been removed from the end zone.D. Both balls count as goals.</t>
  </si>
  <si>
    <t>Both balls count as goals.</t>
  </si>
  <si>
    <t>Balls placed in the goal area are valid and both contribute to the score.</t>
  </si>
  <si>
    <t>A player accidentally throws the ball too short, and it doesn't reach the scoring zone. What happens?</t>
  </si>
  <si>
    <t>A. The throw is invalid.B. The player loses points.C. The player gets another round.D. The ball is close to the end zone.</t>
  </si>
  <si>
    <t>Balls that do not reach the scoring zone are considered invalid.</t>
  </si>
  <si>
    <t>You are leading in points, and your opponent has asked to check your ball position. What should you do?</t>
  </si>
  <si>
    <t>A. Refuse and continue playing.B. Call the judge to confirm the location.C. Allow the scan.D. Ignore the question.</t>
  </si>
  <si>
    <t>Call the judge to confirm the location.</t>
  </si>
  <si>
    <t>The referee ensures fair play by checking the position of the ball.</t>
  </si>
  <si>
    <t>Your ball touches the boundary line of the end zone. Is it considered valid?</t>
  </si>
  <si>
    <t>A. Yes, as long as it doesn't cross the line.B. No, it has to be completely inside.C. It depends on the judge's decision.D. Yes, but only for half a point.</t>
  </si>
  <si>
    <t>Yes, as long as it doesn't cross the line.</t>
  </si>
  <si>
    <t>A ball that touches the goal line is still considered valid.</t>
  </si>
  <si>
    <t>Your teammate suddenly throws the ball out of his turn. What happens?</t>
  </si>
  <si>
    <t>A. It's not worth throwing away.B. The opposing team gets a point.C. The round starts again.D. The throw counts, but with a penalty.</t>
  </si>
  <si>
    <t>It's not worth throwing away.</t>
  </si>
  <si>
    <t>Those that are thrown out in turn are considered invalid and do not count.</t>
  </si>
  <si>
    <t>The target moves slightly after a hard throw. How does this affect the result?</t>
  </si>
  <si>
    <t>A. The round is wrong.B. Scoring will continue based on the new target location.C. The target has been restarted.D. The player has been penalized.</t>
  </si>
  <si>
    <t>Scoring will continue based on the new target location.</t>
  </si>
  <si>
    <t>Once the target has moved, its new location will be valid for scoring.</t>
  </si>
  <si>
    <t>The ball is close to the target, but it rolls after colliding with another ball. What happens?</t>
  </si>
  <si>
    <t>A. Points are based on final position.B. Points are awarded before they expire.C. The round was replayed.D. No points were awarded.</t>
  </si>
  <si>
    <t>Points are based on final position.</t>
  </si>
  <si>
    <t>The final landing position of the ball determines the outcome.</t>
  </si>
  <si>
    <t>An opponent intentionally distracts you while you are throwing. What should you do?</t>
  </si>
  <si>
    <t>A. Ignore it and focus on your throw.B. Ask the judge for a penalty.C. Throw the ball again.D. Face the opponent.</t>
  </si>
  <si>
    <t>Ask the judge for a penalty.</t>
  </si>
  <si>
    <t>Unsportsmanlike conduct will result in a penalty at the referee's discretion.</t>
  </si>
  <si>
    <t>When you release the ball, the audience cheers loudly. What happens?</t>
  </si>
  <si>
    <t>A. The throw will remain as is.B. You will get another toss.C. The circle has stopped.D. The judge punishes the spectator.</t>
  </si>
  <si>
    <t>The throw will remain as is.</t>
  </si>
  <si>
    <t>The behavior of the spectators does not affect the accuracy of the throw.</t>
  </si>
  <si>
    <t>Your ball hits the target and rolls into the end zone. What happens?</t>
  </si>
  <si>
    <t>A. You scored two points.B. The target position has been reset.C. Points were scored based on the new location of the target.D. It's not worth throwing away.</t>
  </si>
  <si>
    <t>Points were scored based on the new location of the target.</t>
  </si>
  <si>
    <t>The new position of the target will be used to score subsequent throws.</t>
  </si>
  <si>
    <t>Your teammate hit the ball to yours and got closer to the target. Whose point counts?</t>
  </si>
  <si>
    <t>A. Your pointsB. Your teammate's pointsC. No points were awarded.D. Points are awarded.</t>
  </si>
  <si>
    <t>Your points</t>
  </si>
  <si>
    <t>The ball closest to the target gets a point, regardless of who moved it.</t>
  </si>
  <si>
    <t>You suddenly enter the end zone while retrieving the ball. What happens?</t>
  </si>
  <si>
    <t>A. You will miss your turn.B. Your points have been deducted.C. The judge gave a warning.D. The round was replayed.</t>
  </si>
  <si>
    <t>The judge gave a warning.</t>
  </si>
  <si>
    <t>Players must refrain from entering the scoring zone unless instructed to do so.</t>
  </si>
  <si>
    <t>Your opponent says the time limit you set has passed. What should you do?</t>
  </si>
  <si>
    <t>A. Accept the claim and turn it off.B. Ask a judge to confirm.C. Play your turn again.D. Ignore the claim.</t>
  </si>
  <si>
    <t>Ask a judge to confirm.</t>
  </si>
  <si>
    <t>The judge will verify that time limits have been met and may confirm the claim.</t>
  </si>
  <si>
    <t>Your ball touches another ball and changes direction. What happens?</t>
  </si>
  <si>
    <t>A. Points are based on final positions.B. The round was replayed.C. Only your ball scores points.D. Only the opponent's ball scores points.</t>
  </si>
  <si>
    <t>Points are based on final positions.</t>
  </si>
  <si>
    <t>The final landing positions of all balls determine the outcome.</t>
  </si>
  <si>
    <t>A player intentionally delays the throw to disrupt the flow of the game. What happens?</t>
  </si>
  <si>
    <t>A. The judge gave a warning.B. The player loses points.C. The turn has been skipped.D. The round was replayed.</t>
  </si>
  <si>
    <t>Intentional delays may result in warnings or fines.</t>
  </si>
  <si>
    <t>You throw your ball, and it accidentally hits the referee. What happens?</t>
  </si>
  <si>
    <t>A. It's not worth throwing away.B. You will lose points.C. The round was replayed.D. The referee adjusts the position of the ball.</t>
  </si>
  <si>
    <t>Throws that interfere with the referee or the equipment are considered invalid.</t>
  </si>
  <si>
    <t>The opposing team's ball landed right in the goal area. Can you get it out?</t>
  </si>
  <si>
    <t>A. Yes, if it's your turn.B. No, that's against the rules.C. Yes, but you will lose points.D. No, only the judge moves it.</t>
  </si>
  <si>
    <t>Yes, if it's your turn.</t>
  </si>
  <si>
    <t>Players are allowed to strategically knock down the opponent's balls during their turn.</t>
  </si>
  <si>
    <t>The game ends in a draw. What happens next?</t>
  </si>
  <si>
    <t>A. The qualifying round has been played.B. The game was announced to have ended in a draw.C. Points are recalculated.D. The team with the least penalties wins.</t>
  </si>
  <si>
    <t>The qualifying round has been played.</t>
  </si>
  <si>
    <t>Winning rounds are when the scores meet to determine the winner.</t>
  </si>
  <si>
    <t>You notice a defect in your ball during a game. What should you do?</t>
  </si>
  <si>
    <t>A. Request a replacement ballB. Keep playing with him.C. Request a round to be restartedD. Borrow the ball from the opponent.</t>
  </si>
  <si>
    <t>Request a replacement ball</t>
  </si>
  <si>
    <t>Damaged equipment can be replaced if reported to the referee.</t>
  </si>
  <si>
    <t>Your ball leaves the ground before entering the end zone. Is that correct?</t>
  </si>
  <si>
    <t>A. Yes, as long as it's in the zone.B. No, it shouldn't be lightning.C. Yes, but with reduced pointsD. No, it is considered invalid.</t>
  </si>
  <si>
    <t>Yes, as long as it's in the zone.</t>
  </si>
  <si>
    <t>Rushed balls are valid if they remain in the goal area.</t>
  </si>
  <si>
    <t>Your ball hits the target and another player's ball at the same time. Whose point counts?</t>
  </si>
  <si>
    <t>A. Just your points.B. Only opposing pointsC. Both points are correct.D. No points were awarded.</t>
  </si>
  <si>
    <t>Both points are correct.</t>
  </si>
  <si>
    <t>Both are counted based on proximity when multiple balls hit the target.</t>
  </si>
  <si>
    <t>During a throw, a strong wind moves the ball slightly off course. What happens?</t>
  </si>
  <si>
    <t>A. The throw is correct.B. The throw is invalid.C. The circle has stopped.D. The judge decides.</t>
  </si>
  <si>
    <t>The throw is correct.</t>
  </si>
  <si>
    <t>Environmental conditions such as wind do not affect casting.</t>
  </si>
  <si>
    <t>Your ball rolls into the end zone but stops outside the boundary line. Is that correct?</t>
  </si>
  <si>
    <t>A. Yes, that's right.B. No, that's not right.C. It works for half a point.D. It is a judge's decision.</t>
  </si>
  <si>
    <t>No, that's not right.</t>
  </si>
  <si>
    <t>Balls must be completely within the end zone to be valid.</t>
  </si>
  <si>
    <t>His teammate throws the ball, and he knocks the target out of the goal area. What happens?</t>
  </si>
  <si>
    <t>A. The target has been restarted.B. The round continues with the target in the new location.C. Points deductedD. The throw is invalid.</t>
  </si>
  <si>
    <t>The round continues with the target in the new location.</t>
  </si>
  <si>
    <t>Your opponent's ball is very close to the target. Can you legally knock it out?</t>
  </si>
  <si>
    <t>A. Yes, during your turn.B. No, it is not allowed.C. Yes, but with reduced pointsD. No, only referees can move the balls.</t>
  </si>
  <si>
    <t>Yes, during your turn.</t>
  </si>
  <si>
    <t>Players can strategically knock down the opponent's balls during their turn.</t>
  </si>
  <si>
    <t>The referee accidentally stepped on the ball in the goal area. What should happen next?</t>
  </si>
  <si>
    <t>A. The round is wrong.B. The ball position has been restarted.C. Points are recalculated.D. The damaged ball will be removed.</t>
  </si>
  <si>
    <t>The ball position has been restarted.</t>
  </si>
  <si>
    <t>The referee returns the ball to its place.</t>
  </si>
  <si>
    <t>You throw your ball, but it collides with an opponent's throw in mid-air. What happens?</t>
  </si>
  <si>
    <t>A. Both throws will be replayed.B. Only your throw will be repeated.C. The throws count as ground.D. The judge decides.</t>
  </si>
  <si>
    <t>Both throws will be replayed.</t>
  </si>
  <si>
    <t>Mid-air conflicts lead to a fair replay.</t>
  </si>
  <si>
    <t>His teammate accidentally throws the ball into the penalty area. What is the result?</t>
  </si>
  <si>
    <t>A. The ball is taken out of play.B. The team loses a point.C. It's not worth throwing away.D. The round has started again.</t>
  </si>
  <si>
    <t>Landings made in penalty zones do not count.</t>
  </si>
  <si>
    <t>The target has been knocked into the corner of the end zone. Can you plan it?</t>
  </si>
  <si>
    <t>A. Yes, that's still true.B. No, corners are not included.C. Yes, but for reduced pointsD. It depends on the judge.</t>
  </si>
  <si>
    <t>Yes, that's still true.</t>
  </si>
  <si>
    <t>The target remains valid regardless of its location within the effect zone.</t>
  </si>
  <si>
    <t>You notice a teammate using a damaged ball. What should you do?</t>
  </si>
  <si>
    <t>A. Request a replacement ballB. Keep playing.C. Pause the round.D. Ignore the issue.</t>
  </si>
  <si>
    <t>Damaged equipment must be replaced for fair play.</t>
  </si>
  <si>
    <t>You throw your ball, and it bounces off the target and into another ball. What happens?</t>
  </si>
  <si>
    <t>A. Both balls counted.B. Only the target counted.C. No points were awarded.D. The throw is invalid.</t>
  </si>
  <si>
    <t>Both balls counted.</t>
  </si>
  <si>
    <t>Any valid interaction that contributes to achieving results counts.</t>
  </si>
  <si>
    <t>Even if the ball lands exactly on the target, it will roll after impact. What happens?</t>
  </si>
  <si>
    <t>A. They count before they move.B. Points are based on final position.C. No points were awarded.D. The judge decides.</t>
  </si>
  <si>
    <t>The final landing spot determines the point.</t>
  </si>
  <si>
    <t>A player intentionally delays the throw to distract you. What action can you take?</t>
  </si>
  <si>
    <t>A. Call the judge for a warning.B. Ignore and waitC. Dispose of immediately to avoid delayD. Pause the game.</t>
  </si>
  <si>
    <t>Call the judge for a warning.</t>
  </si>
  <si>
    <t>Unsportsmanlike conduct will result in a warning issued by the referee.</t>
  </si>
  <si>
    <t>The boundary of the scoring zone has been slightly distorted. What should be done?</t>
  </si>
  <si>
    <t>A. The judge draws the line.B. The game continues as is.C. The game is paused.D. The size of the scoring zone has changed.</t>
  </si>
  <si>
    <t>The judge draws the line.</t>
  </si>
  <si>
    <t>Clear boundaries are essential for fair play.</t>
  </si>
  <si>
    <t>The ball hits the target, but another player says it's out of bounds. What happens?</t>
  </si>
  <si>
    <t>A. The judge reviews the proceedings.B. The rotation is off.C. Points are rejected.D. The round starts again.</t>
  </si>
  <si>
    <t>The judge reviews the proceedings.</t>
  </si>
  <si>
    <t>The referee ensures that the correct rotation order is followed.</t>
  </si>
  <si>
    <t>The target is completely out of the scoring zone. What happens next?</t>
  </si>
  <si>
    <t>A. The round ends.B. The target is set to its original position.C. Points are recalculated.D. The throw was replayed.</t>
  </si>
  <si>
    <t>The target is set to its original position.</t>
  </si>
  <si>
    <t>If the target leaves the scoring zone, it must be restarted.</t>
  </si>
  <si>
    <t>A spectator approaches the scoring zone and suddenly disrupts the ball. What happens?</t>
  </si>
  <si>
    <t>A. The referee restores the ball's position.B. The circle has stopped.C. The game has started again.D. The judge punishes the spectator.</t>
  </si>
  <si>
    <t>The referee restores the ball's position.</t>
  </si>
  <si>
    <t>External disturbances are resolved by restoring the ball positions.</t>
  </si>
  <si>
    <t>Your teammate's ball hits the target close to the opponent's ball. What happens?</t>
  </si>
  <si>
    <t>A. The opponent scores many points.B. Your team's ball is prioritized.C. The new location is designed to score points.D. The round has started again.</t>
  </si>
  <si>
    <t>The new location is designed to score points.</t>
  </si>
  <si>
    <t>Scoring always reflects the final location of the target.</t>
  </si>
  <si>
    <t>A referee's mistake gives a point to the wrong team. What should you do?</t>
  </si>
  <si>
    <t>A. Request a reviewB. Accept the decision.C. Restart the round.D. Test the judge.</t>
  </si>
  <si>
    <t>Request a review</t>
  </si>
  <si>
    <t>Referees can review and correct errors during the game.</t>
  </si>
  <si>
    <t>You accidentally throw two balls instead of one. What happens?</t>
  </si>
  <si>
    <t>A. Both throws are invalid.B. The referee is worthless.C. Only the first ball works.D. The circle has stopped.</t>
  </si>
  <si>
    <t>Both throws are invalid.</t>
  </si>
  <si>
    <t>Throwing more than one ball at a time costs the thrower.</t>
  </si>
  <si>
    <t>Your opponent's ball is close to the target, but partially outside the scoring zone. How is it scored?</t>
  </si>
  <si>
    <t>A. It is fully functional.B. It is partially working.C. It is invalid.D. The judge decides.</t>
  </si>
  <si>
    <t>It is invalid.</t>
  </si>
  <si>
    <t>Balls must be completely inside the end zone to score a goal.</t>
  </si>
  <si>
    <t>The target moves to the covered area in the field. What happens?</t>
  </si>
  <si>
    <t>A. The round will continue as usual.B. The target has been restarted.C. The circle has stopped.D. The judge decides.</t>
  </si>
  <si>
    <t>The round will continue as usual.</t>
  </si>
  <si>
    <t>The game continues regardless of the lighting conditions.</t>
  </si>
  <si>
    <t>A teammate accidentally throws the ball into the opponent's goal area. What happens?</t>
  </si>
  <si>
    <t>A. The throw is invalid.B. Points go to the opponent.C. The ball is thrown.D. The referee will penalize your team.</t>
  </si>
  <si>
    <t>The ball is thrown.</t>
  </si>
  <si>
    <t>Balls in the opponent's end zone are out of play.</t>
  </si>
  <si>
    <t>You throw your ball, and it suddenly splits into two parts. What happens?</t>
  </si>
  <si>
    <t>A. The throw is invalid.B. Points are awarded for a large piece.C. The circle has stopped.D. The judge decides.</t>
  </si>
  <si>
    <t>Damaged equipment will ruin the throw.</t>
  </si>
  <si>
    <t>The target is hit, but it lands on a rough surface. What happens?</t>
  </si>
  <si>
    <t>A. The round continues.B. The target has been restarted.C. Points will be deducted.D. The throw was replayed.</t>
  </si>
  <si>
    <t>The round continues.</t>
  </si>
  <si>
    <t>Uneven surfaces do not affect the accuracy of the target position.</t>
  </si>
  <si>
    <t>An unexpected animal is running through the end zone and disrupting the balls. What should happen?</t>
  </si>
  <si>
    <t>A. The balls return to their original position.B. The round was replayed.C. The judge decides.D. The cycle continues as it is.</t>
  </si>
  <si>
    <t>The balls return to their original position.</t>
  </si>
  <si>
    <t>Unnatural disturbances are resolved by adjusting the ball positions.</t>
  </si>
  <si>
    <t>A player uses a ball that rolls in an unusual way. What happens?</t>
  </si>
  <si>
    <t>A. The ball is allowed.B. The player has been warned.C. The ball has been replaced.D. The circle has stopped.</t>
  </si>
  <si>
    <t>The ball has been replaced.</t>
  </si>
  <si>
    <t>Players must use control balls for fair play.</t>
  </si>
  <si>
    <t>Your teammate throws the ball too hard, and it flies out of bounds. What happens?</t>
  </si>
  <si>
    <t>A. The throw is invalid.B. The round has started again.C. Points deductedD. The judge gave a warning.</t>
  </si>
  <si>
    <t>Balls must stay in the field to be valid.</t>
  </si>
  <si>
    <t>A strong gust of wind blows the target closer to the opponent's ball. What happens?</t>
  </si>
  <si>
    <t>A. The new location is correct.B. The target has been restarted.C. Points are recalculated.D. The circle has stopped.</t>
  </si>
  <si>
    <t>The new location is correct.</t>
  </si>
  <si>
    <t>Environmental conditions establish a new target location that is accurate.</t>
  </si>
  <si>
    <t>Your opponent says your ball hit the target, but you didn't see it. What happens?</t>
  </si>
  <si>
    <t>A. The judge decides.B. The throw is invalid.C. The claim was ignored.D. Both throws will be replayed.</t>
  </si>
  <si>
    <t>The judge decides.</t>
  </si>
  <si>
    <t>In disputed situations, the judge has the final decision.</t>
  </si>
  <si>
    <t>A player intentionally disrupts others by shouting during a throw. What should you do?</t>
  </si>
  <si>
    <t>A. Ignore and play.B. Report to the judge.C. Pause the round.D. Play your throw again.</t>
  </si>
  <si>
    <t>Report to the judge.</t>
  </si>
  <si>
    <t>Disruptive behavior may lead to the intervention of a judge.</t>
  </si>
  <si>
    <t>The ball barely missed the target, but another ball was deflected sharply. Who scored?</t>
  </si>
  <si>
    <t>A. He scored the first goal.B. The second goal was scored.C. Both balls will scoreD. No points were awarded.</t>
  </si>
  <si>
    <t>The second goal was scored.</t>
  </si>
  <si>
    <t>The ball with the highest impact.</t>
  </si>
  <si>
    <t>The target lands on uneven ground, making it difficult to reach. What will happen?</t>
  </si>
  <si>
    <t>A. The game continues.B. The target has been restarted.C. Points halvedD. The round was replayed.</t>
  </si>
  <si>
    <t>The target remains valid regardless of the terrain.</t>
  </si>
  <si>
    <t>Your ball is very close to the target, but the referee has noticed an illegal throw. What happens?</t>
  </si>
  <si>
    <t>A. It's not worth throwing away.B. Points awardedC. The circle has stopped.D. The judge decides.</t>
  </si>
  <si>
    <t>An illegal throw automatically disqualifies the throw.</t>
  </si>
  <si>
    <t>They accidentally throw the ball out of turn. What happens?</t>
  </si>
  <si>
    <t>A. The throw is invalid.B. The round has started again.C. Points deductedD. The ball is thrown.</t>
  </si>
  <si>
    <t>Those who fight in turn are not counted.</t>
  </si>
  <si>
    <t>A spectator advises a player where to throw. What should it be?</t>
  </si>
  <si>
    <t>A. The player has been warned.B. The circle has stopped.C. The viewer will be removed.D. The throw is invalid.</t>
  </si>
  <si>
    <t>Outside advice is not allowed during game play.</t>
  </si>
  <si>
    <t>The ball lands on the target and stays there. What happens?</t>
  </si>
  <si>
    <t>A. You scored high.B. You didn't score any points.C. The round was replayed.D. The judge decides.</t>
  </si>
  <si>
    <t>You scored high.</t>
  </si>
  <si>
    <t>Landing directly on the target will earn you the highest score.</t>
  </si>
  <si>
    <t>The target moves under a tree after being hit. Can you continue?</t>
  </si>
  <si>
    <t>A. Yes, the target is still valid.B. No, it has to be restarted.C. Yes, but with reduced pointsD. No, the round has stopped.</t>
  </si>
  <si>
    <t>Yes, the target is still valid.</t>
  </si>
  <si>
    <t>The new location of the target remains valid for scoring.</t>
  </si>
  <si>
    <t>A teammate accidentally hits the target during their throw. What happens?</t>
  </si>
  <si>
    <t>A. The round is wrong.B. The target has been restarted.C. The throw is invalid.D. The judge decides.</t>
  </si>
  <si>
    <t>Players should avoid physically disturbing the target.</t>
  </si>
  <si>
    <t>The scoring zone is partially flooded due to rain. What should I do?</t>
  </si>
  <si>
    <t>A. The game continues.B. The judge decides on the adjustments.C. The round has been postponed.D. Flood zone not included</t>
  </si>
  <si>
    <t>The judge decides on the adjustments.</t>
  </si>
  <si>
    <t>Referees ensure fair play in unexpected situations.</t>
  </si>
  <si>
    <t>The player's ball lands directly on the boundary line. Is that correct?</t>
  </si>
  <si>
    <t>A. Yes, that's right.B. No, that's not right.C. It depends on the judge.D. Only half a point is given.</t>
  </si>
  <si>
    <t>Yes, that's right.</t>
  </si>
  <si>
    <t>Balls that touch the boundary line are considered play.</t>
  </si>
  <si>
    <t>A boy runs across the middle of the field and disrupts the ball. What should happen?</t>
  </si>
  <si>
    <t>A. The balls have started again.B. The round was replayed.C. The child will be removed.D. Points are recalculated.</t>
  </si>
  <si>
    <t>The balls have started again.</t>
  </si>
  <si>
    <t>External disturbances require resetting ball positions.</t>
  </si>
  <si>
    <t>The referee incorrectly calculated the score for a round. What should you do?</t>
  </si>
  <si>
    <t>A. Request a reviewB. Accept the decision.C. Play the round again.D. Test the judge.</t>
  </si>
  <si>
    <t>Players can request score reviews for accuracy.</t>
  </si>
  <si>
    <t>The ball comes close to the target but rolls over after being hit by another ball. What happens?</t>
  </si>
  <si>
    <t>A. Points are based on final position.B. You scored full points.C. No points were awarded.D. The judge decides.</t>
  </si>
  <si>
    <t>Last places always determine points.</t>
  </si>
  <si>
    <t>A teammate accidentally enters the scoring zone during a throw-in. What happens?</t>
  </si>
  <si>
    <t>A. The throw is invalid.B. The circle has stopped.C. Points deductedD. The referee warns the team.</t>
  </si>
  <si>
    <t>During the game, players must avoid entering the scoring zone.</t>
  </si>
  <si>
    <t>A player calls and argues with the referee. What happens next?</t>
  </si>
  <si>
    <t>A. The game is paused.B. The judge gave a warning.C. The round is wrong.D. The player has been rejected.</t>
  </si>
  <si>
    <t>Referees can penalize players for unsportsmanlike conduct.</t>
  </si>
  <si>
    <t>Your ball lands directly on another ball near the target. What happens?</t>
  </si>
  <si>
    <t>A. You scored high.B. The top ball is invalid.C. Both balls counted.D. The judge decides.</t>
  </si>
  <si>
    <t>Landing directly on another ball near the target gives high points.</t>
  </si>
  <si>
    <t>Your teammate is throwing and their ball hits you, getting close to the target. What happens?</t>
  </si>
  <si>
    <t>A. Your ball position counts.B. Their ball position is considered.C. Both places count.D. The throw is invalid.</t>
  </si>
  <si>
    <t>Your ball position counts.</t>
  </si>
  <si>
    <t>Only the last position of the damaged ball is taken.</t>
  </si>
  <si>
    <t>The target is hit and lands on a slippery surface. What happens?</t>
  </si>
  <si>
    <t>A. The target position is correct.B. The target has been restarted.C. The round was replayed.D. Points halved</t>
  </si>
  <si>
    <t>The target position is correct.</t>
  </si>
  <si>
    <t>A slippery surface will not damage the target area.</t>
  </si>
  <si>
    <t>Your ball rolls close to the target but hits a boundary marker. What happens?</t>
  </si>
  <si>
    <t>A. The ball is invalid.B. Half points awardedC. The ball is accurate.D. The judge decides.</t>
  </si>
  <si>
    <t>The ball is accurate.</t>
  </si>
  <si>
    <t>Balls that touch the boundary mark are considered valid.</t>
  </si>
  <si>
    <t>His teammate throws the ball, but it splits into two pieces in mid-air. What happens?</t>
  </si>
  <si>
    <t>Broken balls during a throw automatically invalidate the throw.</t>
  </si>
  <si>
    <t>Your ball hits the target and moves it towards your opponent's ball. Who scores?</t>
  </si>
  <si>
    <t>A. Your team has scored.B. The opponent has scored a point.C. No points were awarded.D. Both teams scored.</t>
  </si>
  <si>
    <t>The opponent has scored a point.</t>
  </si>
  <si>
    <t>The ball that is brought closer to the target after the movement results are recorded.</t>
  </si>
  <si>
    <t>A player deliberately delays the throw to hinder the opponents. What should happen?</t>
  </si>
  <si>
    <t>A. The judge gave a warning.B. The player has been rejected.C. The circle has stopped.D. The throw is invalid.</t>
  </si>
  <si>
    <t>Intentional delays will be punished with a warning.</t>
  </si>
  <si>
    <t>The ball lands directly on the target and stops moving. What happens?</t>
  </si>
  <si>
    <t>The scoring zone has been disrupted by sudden heavy rain. What will happen?</t>
  </si>
  <si>
    <t>A. The game continues.B. The circle has stopped.C. Points are recalculated.D. The judge decides.</t>
  </si>
  <si>
    <t>The circle has stopped.</t>
  </si>
  <si>
    <t>Weather disruptions typically stop the tour in its tracks.</t>
  </si>
  <si>
    <t>Your opponent's ball takes the target out of the end zone. What happens?</t>
  </si>
  <si>
    <t>A. The target has been restarted.B. The opponent's throw is invalid.C. No points were scored in this round.D. The round was replayed.</t>
  </si>
  <si>
    <t>The target has been restarted.</t>
  </si>
  <si>
    <t>Your ball hits the target, but it bounces off the target and into your teammate's ball. Who scores?</t>
  </si>
  <si>
    <t>A. Your team has scored.B. His teammate scored.C. Both balls will scoreD. No points were awarded.</t>
  </si>
  <si>
    <t>His teammate scored.</t>
  </si>
  <si>
    <t>A player suddenly stands outside the throwing area and throws the ball. What happens?</t>
  </si>
  <si>
    <t>A. The throw is invalid.B. The round was replayed.C. Points deductedD. The referee warns the player.</t>
  </si>
  <si>
    <t>Throws made outside the designated throwing zone are invalid.</t>
  </si>
  <si>
    <t>The target lands partially in the water after being thrown. Is that right?</t>
  </si>
  <si>
    <t>A. Yes, that's right.B. No, it is invalid.C. The round was replayed.D. The judge decides.</t>
  </si>
  <si>
    <t>A target partially submerged remains accurate unless it is completely submerged.</t>
  </si>
  <si>
    <t>His teammate throws the ball but it doesn't reach the goal area. What happens?</t>
  </si>
  <si>
    <t>A. The throw is invalid.B. Points halvedC. The ball is thrown.D. The judge decides.</t>
  </si>
  <si>
    <t>Throws that fail to reach the scoring zone are not counted.</t>
  </si>
  <si>
    <t>An opponent distracts your team by talking loudly while you are throwing. What should you do?</t>
  </si>
  <si>
    <t>A. Report to the judge.B. Ignore and continue.C. Pause the game.D. Request replay</t>
  </si>
  <si>
    <t>Distractions caused by opponents must be reported to the referee.</t>
  </si>
  <si>
    <t>Your ball will shake the target slightly but not move it much. What will happen?</t>
  </si>
  <si>
    <t>A. You didn't score any points.B. You will get half a point.C. You scored full points.D. The judge decides.</t>
  </si>
  <si>
    <t>You will get half a point.</t>
  </si>
  <si>
    <t>A slight bounce earns partial points based on distance.</t>
  </si>
  <si>
    <t>The target is hit, but it rolls outside the marked playing area. What happens?</t>
  </si>
  <si>
    <t>A. The target has been restarted.B. No points were awarded.C. The round was replayed.D. The judge decides.</t>
  </si>
  <si>
    <t>Targets that leave the playing area must be restarted.</t>
  </si>
  <si>
    <t>They accidentally entered the end zone while throwing. What happens?</t>
  </si>
  <si>
    <t>A. The throw is invalid.B. The circle has stopped.C. Points deductedD. The judge gave a warning.</t>
  </si>
  <si>
    <t>Players must not enter the scoring zone during a throw-in.</t>
  </si>
  <si>
    <t>A player uses a heavier ball to gain an advantage. What should happen?</t>
  </si>
  <si>
    <t>A. The ball is out of bounds.B. The player has been rejected.C. The round was replayed.D. The judge decides.</t>
  </si>
  <si>
    <t>The ball is out of bounds.</t>
  </si>
  <si>
    <t>Only control devices for fairness are allowed.</t>
  </si>
  <si>
    <t>Your ball is close to the target but touches your opponent's ball. What happens?</t>
  </si>
  <si>
    <t>A. Both balls are valid.B. Your ball is invalid.C. Only the closest balls are there.D. The judge decides.</t>
  </si>
  <si>
    <t>Only the closest balls are there.</t>
  </si>
  <si>
    <t>Scoring is based on proximity to the target after all movements.</t>
  </si>
  <si>
    <t>After the target is hit, it moves to the obstacle area. What happens?</t>
  </si>
  <si>
    <t>A. The target is accurate.B. The target has been restarted.C. The circle has stopped.D. Points halved</t>
  </si>
  <si>
    <t>The target is accurate.</t>
  </si>
  <si>
    <t>Obstacles do not destroy the target area.</t>
  </si>
  <si>
    <t>Your ball is very close to the target, but it is partially buried. What happens?</t>
  </si>
  <si>
    <t>A. The ball is accurate.B. The ball is invalid.C. Points halvedD. The judge decides.</t>
  </si>
  <si>
    <t>Partially buried balls are okay if they are still visible.</t>
  </si>
  <si>
    <t>A spectator suddenly moves the target with his foot. What should happen?</t>
  </si>
  <si>
    <t>A. The target has been restarted.B. The round was replayed.C. Points are recalculated.D. The referee penalizes the player.</t>
  </si>
  <si>
    <t>External intervention leads to the restoration of the target.</t>
  </si>
  <si>
    <t>Your opponent claims that their ball hit the target first, but you disagree. What happens?</t>
  </si>
  <si>
    <t>A. The judge decides.B. The claim was ignored.C. The round was replayed.D. Both throws are invalid.</t>
  </si>
  <si>
    <t>The referee resolves disputes regarding ball interaction.</t>
  </si>
  <si>
    <t>Your ball went off target and out of the goal area. What happens?</t>
  </si>
  <si>
    <t>A. The ball is invalid.B. Points halvedC. The ball is counted.D. The round was replayed.</t>
  </si>
  <si>
    <t>The ball is invalid.</t>
  </si>
  <si>
    <t>Balls that land outside the end zone are not valid.</t>
  </si>
  <si>
    <t>A teammate throws the ball, and it breaks in two after hitting an obstacle. What happens?</t>
  </si>
  <si>
    <t>A. No points were awarded.B. Points are awarded for each half.C. The throw was replayed.D. The largest one scores half a point.</t>
  </si>
  <si>
    <t>Ball cracking completely eliminates throwing.</t>
  </si>
  <si>
    <t>The target moves under the table after being hit. What happens?</t>
  </si>
  <si>
    <t>A. The target is accurate.B. The target has been restarted.C. The round was replayed.D. Points halved</t>
  </si>
  <si>
    <t>It remains valid as long as the target can be reached.</t>
  </si>
  <si>
    <t>Your ball lands in the exact center of the end zone. What happens?</t>
  </si>
  <si>
    <t>A. You scored high.B. Points are doubled.C. The round ends.D. The throw is invalid.</t>
  </si>
  <si>
    <t>Stopping at the center will result in the highest possible score.</t>
  </si>
  <si>
    <t>The referee notices that the player is constantly stepping on the line where he is throwing. What happens?</t>
  </si>
  <si>
    <t>A. The player will receive a warning.B. The throw is invalid.C. Points deductedD. The round was replayed.</t>
  </si>
  <si>
    <t>Crossing the line will result in an official warning.</t>
  </si>
  <si>
    <t>Your ball suddenly collides with an animal crossing the field. What happens?</t>
  </si>
  <si>
    <t>A. The throw is invalid.B. The round was replayed.C. Points awardedD. The judge decides.</t>
  </si>
  <si>
    <t>Unintentional outside interference will result in the throw being replayed.</t>
  </si>
  <si>
    <t>Your opponent's ball hits yours, closer to the target. Who scores?</t>
  </si>
  <si>
    <t>A. Your team has scored.B. The opponent has scored a point.C. Both teams scored.D. No points were awarded.</t>
  </si>
  <si>
    <t>Your team has scored.</t>
  </si>
  <si>
    <t>The final position of your ball determines your team's score.</t>
  </si>
  <si>
    <t>A player's ball lands in a prohibited area but still touches the target. What happens?</t>
  </si>
  <si>
    <t>A. The throw is invalid.B. The target has been restarted.C. Points halvedD. The judge decides.</t>
  </si>
  <si>
    <t>Any lodgings in prohibited areas will be canceled immediately.</t>
  </si>
  <si>
    <t>The ball hits the target, but the target falls into the hole. What happens?</t>
  </si>
  <si>
    <t>A. The target has been restarted.B. The target remains valid.C. The round was replayed.D. No points were awarded.</t>
  </si>
  <si>
    <t>The target remains valid.</t>
  </si>
  <si>
    <t>Targets that fall into accessible areas such as wells are valid.</t>
  </si>
  <si>
    <t>His teammate uses an illegal ball to throw. What happens?</t>
  </si>
  <si>
    <t>A. The throw is invalid.B. Points deductedC. The circle has stopped.D. The judge gave a warning.</t>
  </si>
  <si>
    <t>Using unapproved equipment will cost you a toss.</t>
  </si>
  <si>
    <t>Your ball hits the target but moves into the obstacle zone. What happens?</t>
  </si>
  <si>
    <t>Balls that enter the obstacle zones remain valid unless they are unreachable.</t>
  </si>
  <si>
    <t>The target is thrown and then removed from the playing field. What happens?</t>
  </si>
  <si>
    <t>A. The target has been restarted.B. No points were awarded.C. The round ends.D. The judge decides.</t>
  </si>
  <si>
    <t>Targets leaving the playing area are reset to their original position.</t>
  </si>
  <si>
    <t>Your ball lands on the target but also touches the opponent's ball. Who scores?</t>
  </si>
  <si>
    <t>The ball closest to the target, even if it touches others.</t>
  </si>
  <si>
    <t>The opponent throws before they turn. What should happen?</t>
  </si>
  <si>
    <t>A. The throw is invalid.B. Points deductedC. The referee paused the game.D. The round was replayed.</t>
  </si>
  <si>
    <t>Throwing in turn costs the throw.</t>
  </si>
  <si>
    <t>The referee moves the target slightly to identify the location. Is this allowed?</t>
  </si>
  <si>
    <t>A. Yes, allowed.B. No, it is not allowed.C. Only if players agreeD. Only after the round</t>
  </si>
  <si>
    <t>Yes, allowed.</t>
  </si>
  <si>
    <t>Judges may adjust the target to maintain clarity.</t>
  </si>
  <si>
    <t>The ball hits the goal, but the target goes into a small container. What happens?</t>
  </si>
  <si>
    <t>A. The target is accurate.B. The target has been restarted.C. The throw is invalid.D. Points halved</t>
  </si>
  <si>
    <t>It remains valid as long as the target is visible and achievable.</t>
  </si>
  <si>
    <t>The end zone was partially flooded during the game. What will happen?</t>
  </si>
  <si>
    <t>A. The circle has stopped.B. Points are recalculated.C. The game continues.D. The judge decides.</t>
  </si>
  <si>
    <t>Flooding conditions often lead to the suspension of play.</t>
  </si>
  <si>
    <t>Your teammate throws a ball that lands exactly on the boundary line. Is that right?</t>
  </si>
  <si>
    <t>A. Yes, that's right.B. No, that's not right.C. Only if agreed by the playersD. The judge decides.</t>
  </si>
  <si>
    <t>Balls that touch the boundary line are considered valid.</t>
  </si>
  <si>
    <t>Your opponent's ball accidentally hits the referee. What happens?</t>
  </si>
  <si>
    <t>A. The throw is invalid.B. The round was replayed.C. Points deductedD. The judge gave a warning.</t>
  </si>
  <si>
    <t>Unauthorized interference will result in the throw being replayed.</t>
  </si>
  <si>
    <t>Your ball knocks another ball into the target. Who scores?</t>
  </si>
  <si>
    <t>A. The nearest ball pointB. Your team has scored.C. Both teams scored.D. No points were awarded.</t>
  </si>
  <si>
    <t>The nearest ball point</t>
  </si>
  <si>
    <t>Scoring is based on proximity after movement.</t>
  </si>
  <si>
    <t>A player complains about unfair lighting during a throw-in. What should happen?</t>
  </si>
  <si>
    <t>A. The referee paused the game.B. The throw is invalid.C. The round was replayed.D. The player has been warned.</t>
  </si>
  <si>
    <t>The referee paused the game.</t>
  </si>
  <si>
    <t>You can pause the game until unfair situations are resolved.</t>
  </si>
  <si>
    <t>The target is covered in debris after being hit. What happens?</t>
  </si>
  <si>
    <t>A. The judge clears the debris.B. The round was replayed.C. Points are recalculated.D. No points were awarded.</t>
  </si>
  <si>
    <t>The judge clears the debris.</t>
  </si>
  <si>
    <t>Judges can clear obstacles to maintain fairness.</t>
  </si>
  <si>
    <t>Your teammate throws it, but the ball explodes upon contact. What happens?</t>
  </si>
  <si>
    <t>A. The throw is invalid.B. The circle has stopped.C. Points awardedD. The judge decides.</t>
  </si>
  <si>
    <t>Exploding balls automatically destroy the throw.</t>
  </si>
  <si>
    <t>Your opponent is intentionally aiming to move your ball further away from the target. Is this allowed?</t>
  </si>
  <si>
    <t>A. Yes, allowed.B. No, it is not allowed.C. Only if the judge agrees.D. Only if the target is not hit.</t>
  </si>
  <si>
    <t>Strategically targeting other balls is allowed by Afula.</t>
  </si>
  <si>
    <t>The game has been interrupted by an official ceremony nearby. What will happen?</t>
  </si>
  <si>
    <t>A. The game is paused.B. The round continues.C. Points are recalculated.D. The judge decides.</t>
  </si>
  <si>
    <t>The game is paused.</t>
  </si>
  <si>
    <t>Interruptions due to external events will lead to the game being stopped.</t>
  </si>
  <si>
    <t>Your ball hits the target, but the target moves to a hidden corner. What happens?</t>
  </si>
  <si>
    <t>Hidden targets remain valid unless they are completely inaccessible.</t>
  </si>
  <si>
    <t>Your ball knocks the opponent's ball out of the scoring zone. What happens?</t>
  </si>
  <si>
    <t>A. Your team benefitsB. No points were awarded.C. The opponent's ball is invalid.D. The round was replayed.</t>
  </si>
  <si>
    <t>Your team benefits</t>
  </si>
  <si>
    <t>Displacing opponent balls can create scoring advantages.</t>
  </si>
  <si>
    <t>A player's ball hits the target but also displaces another player's ball. What happens?</t>
  </si>
  <si>
    <t>A. Points are based on final position.B. The throw is invalid.C. No points were awarded.D. The judge decides.</t>
  </si>
  <si>
    <t>Scoring in Afula is based on the final positions of the balls.</t>
  </si>
  <si>
    <t>The target is completely covered by a fallen tree branch during one round. What happens?</t>
  </si>
  <si>
    <t>A. The circle has stopped.B. The target has been restarted.C. No points were awarded.D. The judge decides.</t>
  </si>
  <si>
    <t>External obstacles, such as branches, require the wheel to stop where it is.</t>
  </si>
  <si>
    <t>Your ball lands directly on top of another ball in the scoring zone. Who scored?</t>
  </si>
  <si>
    <t>A. Bottom ball pointB. The highest scorer is the one who scores.C. Both balls will scoreD. No points were awarded.</t>
  </si>
  <si>
    <t>Bottom ball point</t>
  </si>
  <si>
    <t>The ball closest to the ground retains the point advantage.</t>
  </si>
  <si>
    <t>A player accidentally throws two balls instead of one. What happens?</t>
  </si>
  <si>
    <t>A. The throw is invalid.B. Points are doubled.C. Only one ball counts.D. The judge gave a warning.</t>
  </si>
  <si>
    <t>It is against the law to throw multiple balls at once.</t>
  </si>
  <si>
    <t>The target leaves the field but lands on the spectator's chair. What happens?</t>
  </si>
  <si>
    <t>A. The target has been restarted.B. Points halvedC. The round continues.D. No points were awarded.</t>
  </si>
  <si>
    <t>Targets that land outside the field are reset to their original position.</t>
  </si>
  <si>
    <t>The player's ball brings the target closer to the opponent's ball. Who scores?</t>
  </si>
  <si>
    <t>A. The opponent has scored a point.B. The player scored a goal.C. Both score equally.D. The judge decides.</t>
  </si>
  <si>
    <t>Scoring a goal is determined by which ball is closest to the final position of the target.</t>
  </si>
  <si>
    <t>After the timer runs out, a player tries to throw. What happens?</t>
  </si>
  <si>
    <t>A. The throw is invalid.B. Throwing is allowed.C. The judge gave a warning.D. The round was replayed.</t>
  </si>
  <si>
    <t>Throwing is not allowed after the timer runs out.</t>
  </si>
  <si>
    <t>The referee notices that a player is wearing unauthorized shoes. What happens?</t>
  </si>
  <si>
    <t>A. The player will receive a warning.B. The player has been rejected.C. The game continues.D. The circle has stopped.</t>
  </si>
  <si>
    <t>Wearing unauthorized clothing will result in a warning, not an immediate disqualification.</t>
  </si>
  <si>
    <t>Your ball splits the target in two. What happens?</t>
  </si>
  <si>
    <t>A. The round was replayed.B. The largest piece is considered a target.C. No points were awarded.D. The judge decides.</t>
  </si>
  <si>
    <t>The largest piece is considered a target.</t>
  </si>
  <si>
    <t>In Afula, the largest part of the target is used to continue playing.</t>
  </si>
  <si>
    <t>A bird flies across the field and moves the target. What happens?</t>
  </si>
  <si>
    <t>A. The target has been restarted.B. The round was replayed.C. Points are recalculated.D. The judge decides.</t>
  </si>
  <si>
    <t>External interference, like a bird, causes the round to be replayed.</t>
  </si>
  <si>
    <t>The ball hits the target but goes out of bounds. What happens?</t>
  </si>
  <si>
    <t>A. No points were awarded.B. Points halvedC. You scored high.D. The round was replayed.</t>
  </si>
  <si>
    <t>Removing the target from the scoring zone will invalidate the points.</t>
  </si>
  <si>
    <t>His teammate throws the ball, and it lands right on the end line. What happens?</t>
  </si>
  <si>
    <t>Balls on the boundary line are considered valid by Afula.</t>
  </si>
  <si>
    <t>Your opponent intentionally delays the throw to hinder your team. What happens?</t>
  </si>
  <si>
    <t>A. The judge gave a warning.B. The circle has stopped.C. The throw is invalid.D. Points deducted</t>
  </si>
  <si>
    <t>Intentional delays will result in an official warning from the referee.</t>
  </si>
  <si>
    <t>Your ball hits the target in the hole but remains visible. What happens?</t>
  </si>
  <si>
    <t>It remains valid as long as the target is visible.</t>
  </si>
  <si>
    <t>The player's ball knocks over another ball, then hits the target. Who scores?</t>
  </si>
  <si>
    <t>A. The closest football teamB. The last ball to score a goalC. No points were awarded.D. The judge decides.</t>
  </si>
  <si>
    <t>The closest football team</t>
  </si>
  <si>
    <t>The team with the ball closest to the target scores a point.</t>
  </si>
  <si>
    <t>The referee notices that the scoring zone is not aligned. What should be done?</t>
  </si>
  <si>
    <t>A. The game is paused.B. Points are recalculated.C. The round continues.D. The round was replayed.</t>
  </si>
  <si>
    <t>An unbalanced scoring zone requires a pause in play to adjust.</t>
  </si>
  <si>
    <t>Your opponent's ball hits yours and takes it out of the scoring zone. What happens?</t>
  </si>
  <si>
    <t>A. Your ball is invalid.B. Points halvedC. The round was replayed.D. Your ball is accurate.</t>
  </si>
  <si>
    <t>Your ball is invalid.</t>
  </si>
  <si>
    <t>Balls outside the end zone are considered invalid.</t>
  </si>
  <si>
    <t>A player throws the ball, but it ends up in their team's tool bag. What happens?</t>
  </si>
  <si>
    <t>A. The throw is invalid.B. The throw was replayed.C. Points halvedD. The judge decides.</t>
  </si>
  <si>
    <t>Balls that land on unapproved surfaces, such as equipment, are not valid.</t>
  </si>
  <si>
    <t>During the game, the target moves to the edge of the pond. What happens?</t>
  </si>
  <si>
    <t>After your ball hits the target, it hits the umpire's chair. What happens?</t>
  </si>
  <si>
    <t>A. The throw is invalid.B. Points awardedC. The round was replayed.D. The judge decides.</t>
  </si>
  <si>
    <t>Points awarded</t>
  </si>
  <si>
    <t>Points are awarded if the ball hits the target first, regardless of any interference.</t>
  </si>
  <si>
    <t>During a Sidama match, your opponent tries to grab you by the waist and lift you up. How should you counter this move?</t>
  </si>
  <si>
    <t>A. Use your legs to block the lift.B. Push their shoulders back.C. Try to escape their grasp.D. Keep them on their feet.</t>
  </si>
  <si>
    <t>Use your legs to block the lift.</t>
  </si>
  <si>
    <t>Blocking the lift with your legs prevents the opponent from gaining control.</t>
  </si>
  <si>
    <t>You are about to struggle on uneven ground. What should you do to maintain your balance?</t>
  </si>
  <si>
    <t>A. Adjust your posture and lower your center of gravityB. Focus on quick movements.C. Avoid vigorous activitiesD. Try to stand on one leg.</t>
  </si>
  <si>
    <t>Adjust your posture and lower your center of gravity</t>
  </si>
  <si>
    <t>Lowering the center of gravity helps maintain stability on uneven terrain.</t>
  </si>
  <si>
    <t>Your opponent starts to control the match and pushes you to the edge of the fight area. What should you do?</t>
  </si>
  <si>
    <t>A. Move to the side and rotate to regain the position.B. Push back with full force.C. Intentionally exit to restart.D. Hold your ground and protect it.</t>
  </si>
  <si>
    <t>Move to the side and rotate to regain the position.</t>
  </si>
  <si>
    <t>Stepping aside allows you to escape the pressure and return to a neutral position.</t>
  </si>
  <si>
    <t>The match begins, and your opponent attacks from your right. How do you respond?</t>
  </si>
  <si>
    <t>A. Stay calm and maintain your defensive stance.B. Blow forward with power.C. Move right to oppose.D. Move your hands to the side.</t>
  </si>
  <si>
    <t>Stay calm and maintain your defensive stance.</t>
  </si>
  <si>
    <t>A defensive stance prevents you from overreacting to the bad.</t>
  </si>
  <si>
    <t>You slide during the game, and your opponent tries to take advantage of it instantly. What is the best move?</t>
  </si>
  <si>
    <t>A. Get back on your feet quickly and take care of yourself.B. Drag your opponent with youC. Push them when they fall.D. Ask the referee to pause the game.</t>
  </si>
  <si>
    <t>Get back on your feet quickly and take care of yourself.</t>
  </si>
  <si>
    <t>Recovering quickly reduces the risk of losing the match.</t>
  </si>
  <si>
    <t>Your opponent is much taller than you. How should you approach the match?</t>
  </si>
  <si>
    <t>A. Focus on their legs and lower bodyB. Aim for upper body strengthC. Avoid involvement and watch for their mistakes.D. Use quick lunges to surprise them.</t>
  </si>
  <si>
    <t>Focus on their legs and lower body</t>
  </si>
  <si>
    <t>Targeting their lower body will eliminate their height advantage.</t>
  </si>
  <si>
    <t>The match begins, and your opponent uses a powerful charge towards you. How do you handle it?</t>
  </si>
  <si>
    <t>A. Step aside and counter.B. Stand strong and rise to influence.C. Try to win their case.D. Push them back with force.</t>
  </si>
  <si>
    <t>Step aside and counter.</t>
  </si>
  <si>
    <t>Hiding prevents overwhelm and prepares for a counterattack.</t>
  </si>
  <si>
    <t>As the game progresses, you notice your opponent getting tired. How should you adapt your strategy?</t>
  </si>
  <si>
    <t>A. Increase your offensive activitiesB. Maintain your defensive stance.C. Step back to avoid unnecessary accidentsD. Request a timeout</t>
  </si>
  <si>
    <t>Increase your offensive activities</t>
  </si>
  <si>
    <t>Capitalizing on your opponent's fatigue increases your chances of winning.</t>
  </si>
  <si>
    <t>During the game, your opponent starts taunting you. How should you respond?</t>
  </si>
  <si>
    <t>A. Ignore the ridicule and focus on your strategy.B. They mocked them back to show their confidence.C. Participate vigorously to ensure dominanceD. Ask the judge to intervene.</t>
  </si>
  <si>
    <t>Ignore the ridicule and focus on your strategy.</t>
  </si>
  <si>
    <t>Paying attention prevents emotional distractions and maintains your composure.</t>
  </si>
  <si>
    <t>The referee has stopped the game for an unexpected reason. What should you do?</t>
  </si>
  <si>
    <t>A. Calmly await the judge's instructions.B. Complain to the judge about the delay.C. Use pauses to strategize.D. Leave the stage temporarily.</t>
  </si>
  <si>
    <t>Calmly await the judge's instructions.</t>
  </si>
  <si>
    <t>Respecting the referee's decision preserves the integrity of the game.</t>
  </si>
  <si>
    <t>Your opponent is trying to grab your arm. How can you escape?</t>
  </si>
  <si>
    <t>A. Quickly turn your arm to release.B. Push their wrist with your other hand.C. Pull back with all your strength.D. Come closer to weaken those who hold you.</t>
  </si>
  <si>
    <t>Quickly turn your arm to release.</t>
  </si>
  <si>
    <t>Twisting creates tension, making them difficult to hold.</t>
  </si>
  <si>
    <t>The audience starts cheering loudly, distracting them during the match. How do you get them to focus again?</t>
  </si>
  <si>
    <t>A. Shut up and focus on your breathing.B. Engage with the audience to boost moraleC. Ask the judge to end the time.D. Stay away from the opponent for a while.</t>
  </si>
  <si>
    <t>Shut up and focus on your breathing.</t>
  </si>
  <si>
    <t>Breathing techniques can help you regain focus despite distractions.</t>
  </si>
  <si>
    <t>Your opponent uses a defensive strategy and avoids engaging. What should you do?</t>
  </si>
  <si>
    <t>A. Use feints to lure them into an attack.B. Wait patiently until you make the first move.C. Run fast to break their defenses.D. Ask the judge to intervene.</t>
  </si>
  <si>
    <t>Use feints to lure them into an attack.</t>
  </si>
  <si>
    <t>Feints force them to react and create gaps in their defense.</t>
  </si>
  <si>
    <t>Your opponent tries to trip you up by sweeping your feet. How should you counter?</t>
  </si>
  <si>
    <t>A. Quickly back away to remove the broom.B. Jump on their broomsticks.C. Push them down while sweeping.D. Hold their foot to stop the sweep.</t>
  </si>
  <si>
    <t>Quickly backtrack to avoid being wiped out.</t>
  </si>
  <si>
    <t>Going back will slow down their efforts and keep you off balance.</t>
  </si>
  <si>
    <t>They suddenly went out of bounds during the game. What happens next?</t>
  </si>
  <si>
    <t>A. The referee stopped the game and restarted it.B. You will lose points.C. The game continued without interruption.D. Your opponent gains an advantage.</t>
  </si>
  <si>
    <t>The referee stopped the game and restarted it.</t>
  </si>
  <si>
    <t>Going beyond the boundaries leads to a reset of fairness.</t>
  </si>
  <si>
    <t>Your opponent grabs your wrist tightly and tries to twist it. What should you do to counter?</t>
  </si>
  <si>
    <t>A. Rotate your wrist in the opposite direction.B. Pull back with full force.C. Push them away with your free hand.D. Quickly backtrack to break the hold.</t>
  </si>
  <si>
    <t>Rotate your wrist in the opposite direction.</t>
  </si>
  <si>
    <t>Turning in the opposite direction will weaken their arms and help them escape.</t>
  </si>
  <si>
    <t>You are ahead on points, and the match is nearing its end. How should you play?</t>
  </si>
  <si>
    <t>A. Take a defensive stance and avoid unnecessary risksB. Keep attacking hard.C. Take risks to control your opponentD. Go back and the time is up.</t>
  </si>
  <si>
    <t>Take a defensive stance and avoid unnecessary risks</t>
  </si>
  <si>
    <t>Playing defensively allows you to maintain your lead without taking unnecessary risks.</t>
  </si>
  <si>
    <t>During the game, your opponent slips and loses balance. What should you do?</t>
  </si>
  <si>
    <t>A. Make quick capital by downloading themB. Step back and wait until they recover.C. Help them regain their balance.D. Ask the referee for a pause.</t>
  </si>
  <si>
    <t>Make quick capital by downloading them</t>
  </si>
  <si>
    <t>Using their sleight of hand will give you a crucial edge in the game.</t>
  </si>
  <si>
    <t>You feel tired during the game, but your opponent seems energetic. What should you focus on?</t>
  </si>
  <si>
    <t>A. Use protective measures and save energyB. Go on an all-out attack to finish the game quickly.C. Try to stop the match to recover.D. Ask the judge to end the time.</t>
  </si>
  <si>
    <t>Use protective measures and save energy</t>
  </si>
  <si>
    <t>Conserving energy will help you survive until the end of the match.</t>
  </si>
  <si>
    <t>The crowd starts cheering loudly for your opponent. How should you handle the situation?</t>
  </si>
  <si>
    <t>A. Stay calm and focus on your strategy.B. Engage with the crowd to inspireC. They make a noise.D. Ask the judge to address the crowd.</t>
  </si>
  <si>
    <t>Stay calm and focus on your strategy.</t>
  </si>
  <si>
    <t>Focusing on your strategy ensures that the crowd will not influence your performance.</t>
  </si>
  <si>
    <t>You notice your opponent supporting one arm due to an obvious injury. What should you do?</t>
  </si>
  <si>
    <t>A. Target their weaknesses strategicallyB. Avoid attacking their injured arm out of fairness.C. Focus on prevention to avoid harmD. Ask the referee to pause the game.</t>
  </si>
  <si>
    <t>Target their weaknesses strategically</t>
  </si>
  <si>
    <t>Exploiting their weaknesses can give you an advantage as long as you stay within the rules.</t>
  </si>
  <si>
    <t>You are struggling in the mud, and the ground is slippery. How should you adjust your tactics?</t>
  </si>
  <si>
    <t>A. Use short, controlled movements to maintain balance.B. Believe in quick and brutal attacks.C. Avoid engaging and wait for your opponent to slip up.D. Exit the ring to restart.</t>
  </si>
  <si>
    <t>Use short, controlled movements to maintain balance.</t>
  </si>
  <si>
    <t>Controlled movements reduce the risk of slipping and falling.</t>
  </si>
  <si>
    <t>Your opponent suddenly moves to your feet with an unexpected move. How do you counter?</t>
  </si>
  <si>
    <t>A. Stretch and push your legs back.B. Jump so they don't get caught.C. Hold their shoulders to pull them up.D. Move aside so you don't get caught.</t>
  </si>
  <si>
    <t>Stretch and push your legs back.</t>
  </si>
  <si>
    <t>Expansion prevents your opponent from successfully executing the move.</t>
  </si>
  <si>
    <t>The referee has issued a warning for excessive flexion. How should you respond?</t>
  </si>
  <si>
    <t>A. Start participating more actively in the match.B. Defend your strategy to the judge.C. Ignore the warning and continue as before.D. Ask the judge to explain the rules.</t>
  </si>
  <si>
    <t>Start participating more actively in the match.</t>
  </si>
  <si>
    <t>Active participation eliminates the penalty for laziness.</t>
  </si>
  <si>
    <t>Your opponent attempts a headlock. What is your best response?</t>
  </si>
  <si>
    <t>A. Lower your body and push through the container.B. Hold their hand to break the hold.C. Turn your body towards the lock.D. Go back with force.</t>
  </si>
  <si>
    <t>Lower your body and push through the container.</t>
  </si>
  <si>
    <t>Lowering your body will eliminate the headlock and allow you to escape.</t>
  </si>
  <si>
    <t>Your opponent has a strong grip on your shoulder and is trying to force you. What should you do?</t>
  </si>
  <si>
    <t>A. Shift your weight and break their grip.B. Push back with full force.C. Try to take their hands off your shoulders.D. Exit the limit to restart the match.</t>
  </si>
  <si>
    <t>Shift your weight and break their grip.</t>
  </si>
  <si>
    <t>Shifting your weight creates instability for opponents and breaks their hold.</t>
  </si>
  <si>
    <t>The match will be played outdoors in intense heat. What do you need to do to be effective?</t>
  </si>
  <si>
    <t>A. Stay hydrated and save energyB. Focus on fast and high-power attacksC. Ignore the heat and push hardD. Take frequent breaks during the game.</t>
  </si>
  <si>
    <t>Stay hydrated and save energy</t>
  </si>
  <si>
    <t>Staying hydrated and conserving energy will help you perform in difficult conditions.</t>
  </si>
  <si>
    <t>Your opponent successfully takes you down, but the referee doesn't stop the match. What should you do?</t>
  </si>
  <si>
    <t>A. Try to escape quickly and regain your place.B. Ask the judge to explain the rules.C. Wait until your opponent is free.D. A sign for help to the judge.</t>
  </si>
  <si>
    <t>Try to escape quickly and regain your place.</t>
  </si>
  <si>
    <t>Escaping quickly will prevent your opponent from gaining a critical position.</t>
  </si>
  <si>
    <t>Your opponent uses a feint to get you to respond. How can you avoid falling?</t>
  </si>
  <si>
    <t>A. Stay calm and hold your position.B. Respond immediately with a strong movementC. Return to avoid the attackD. Completely ignore their movements</t>
  </si>
  <si>
    <t>Stay calm and hold your position.</t>
  </si>
  <si>
    <t>Calmness ensures that you don't react unnecessarily to your problems.</t>
  </si>
  <si>
    <t>The fighting space is smaller than usual. How should you adjust your strategy?</t>
  </si>
  <si>
    <t>A. Focus on controlling the center of the area.B. Run fast to control the matchC. Use quick movements to avoid being cornered.D. Wait for the opponent to make a mistake.</t>
  </si>
  <si>
    <t>Focus on controlling the center of the area.</t>
  </si>
  <si>
    <t>Controlling the center reduces the risk of being pushed out.</t>
  </si>
  <si>
    <t>Your opponent has a very defensive style and refuses to engage. How can you force them to open up?</t>
  </si>
  <si>
    <t>A. Use scams and deceptive practicesB. Wait for the judge to intervene.C. Push them to the edge with force.D. Complain to the judge about their will.</t>
  </si>
  <si>
    <t>Use scams and deceptive practices</t>
  </si>
  <si>
    <t>Feints force the opposing defender to react, creating gaps.</t>
  </si>
  <si>
    <t>You managed to pin your opponent, but they are fighting back. How should you defend the pin?</t>
  </si>
  <si>
    <t>A. Change your diet strategically to help you lose weightB. Use full strength to defeat them.C. Wait until the referee calls the pin.D. Ask the judge for help.</t>
  </si>
  <si>
    <t>Change your diet strategically to help you lose weight</t>
  </si>
  <si>
    <t>Shifting your weight correctly will help maintain control and secure the pin.</t>
  </si>
  <si>
    <t>Your opponent starts the game by circling you. What is the best response?</t>
  </si>
  <si>
    <t>A. Stay in the middle and wait for their attack.B. Go to them with force.C. Follow their movements to stay in line.D. Ignore their turns and attack randomly.</t>
  </si>
  <si>
    <t>Stay in the middle and wait for their attack.</t>
  </si>
  <si>
    <t>Staying in the middle prevents you from being lured into a bad place.</t>
  </si>
  <si>
    <t>You are evenly matched with your opponent, and the outcome is the same. What strategy should you use?</t>
  </si>
  <si>
    <t>A. Focus on patience and wait until they make a mistake.B. Go for high-risk moves to end the match quickly.C. Play defensively to avoid losing points.D. Ask the judge for more time.</t>
  </si>
  <si>
    <t>Focus on patience and wait until they make a mistake.</t>
  </si>
  <si>
    <t>Patience and perseverance can give you the edge in a close match.</t>
  </si>
  <si>
    <t>Your opponent uses a clear leg technique to take you down. How do you counter this?</t>
  </si>
  <si>
    <t>A. Walk on your toes and maintain balanceB. Push them back with your hands.C. Jump to avoid being swept away.D. Hold their foot to stop the movement.</t>
  </si>
  <si>
    <t>Walk on your toes and maintain balance</t>
  </si>
  <si>
    <t>Climbing up will remove the clutter and keep you balanced.</t>
  </si>
  <si>
    <t>The game has been stopped due to rain. How should you prepare to continue?</t>
  </si>
  <si>
    <t>A. Focus on drying and maintaining the container.B. Push the referee to end the game.C. Avoid continuing the game until the rain has completely stopped.D. Change your strategy to avoid slipping.</t>
  </si>
  <si>
    <t>Focus on drying and maintaining the container.</t>
  </si>
  <si>
    <t>Drying prevents slipping as the match continues.</t>
  </si>
  <si>
    <t>Your opponent charges at you with all his might. What is the best response?</t>
  </si>
  <si>
    <t>A. Go sideways and make them lose their balance.B. Brace yourself and push back.C. Hold their shoulders to stop them from moving.D. Duck to remove the impact</t>
  </si>
  <si>
    <t>Go sideways and make them lose their balance.</t>
  </si>
  <si>
    <t>Walking sideways will use their speed against them and make them control you.</t>
  </si>
  <si>
    <t>During the game, your grip slips due to sweat. What should you do immediately?</t>
  </si>
  <si>
    <t>A. Fix your grip quickly.B. Return to recovery.C. Wipe your hands on your clothes.D. Give the referee a signal for a while.</t>
  </si>
  <si>
    <t>Fix your case quickly</t>
  </si>
  <si>
    <t>Quick grip adjustment ensures you stay competitive in the game.</t>
  </si>
  <si>
    <t>Your opponent will keep targeting your legs to take you down. How should you defend effectively?</t>
  </si>
  <si>
    <t>A. Keep a low stance to protect your feetB. Keep moving back to avoid their attacks.C. Hold their hands to stop their progress.D. Try to jump to avoid getting caught.</t>
  </si>
  <si>
    <t>Keep a low stance to protect your feet</t>
  </si>
  <si>
    <t>A low stance makes it difficult for your opponent to reach your feet.</t>
  </si>
  <si>
    <t>You notice your opponent breathing heavily in the middle of the game. What should your strategy be?</t>
  </si>
  <si>
    <t>A. Increase your attacks and exploit their weaknesses.B. Slow down and save your energy.C. Ask for a timeout to give them a break.D. Focus on prevention to avoid mistakes</t>
  </si>
  <si>
    <t>Increase your attacks and exploit their weaknesses.</t>
  </si>
  <si>
    <t>Exploiting their fatigue can turn the match in your favor.</t>
  </si>
  <si>
    <t>The match is played on smooth and rough terrain. How should you adjust your technique?</t>
  </si>
  <si>
    <t>A. Focus on balance and avoid quick movementsB. Use powerful moves to control your opponent.C. Move with force to avoid gaining ground.D. Rely on jumping techniques for stability</t>
  </si>
  <si>
    <t>Focus on balance and avoid quick movements</t>
  </si>
  <si>
    <t>Maintaining balance on uneven surfaces is key.</t>
  </si>
  <si>
    <t>Your opponent tries to pin you by putting pressure on your chest. What should you do?</t>
  </si>
  <si>
    <t>A. Shift your weight and roll to the side.B. Push them up with all your strength.C. Try to hold their hands and stop their pushing.D. Call for the judge's intervention.</t>
  </si>
  <si>
    <t>Shift your weight and roll to the side.</t>
  </si>
  <si>
    <t>Rolling sideways will reduce their potential and help you escape.</t>
  </si>
  <si>
    <t>The referee announces that there are only 30 seconds left in the game and you are trailing by a point. What should you do?</t>
  </si>
  <si>
    <t>A. Go to the brutal download to score quickly.B. Defend and hope for the opponent's mistakeC. Wait until the time runs out.D. Request a match extension.</t>
  </si>
  <si>
    <t>Go to the brutal download to score quickly.</t>
  </si>
  <si>
    <t>It may be your only chance to earn attack action points.</t>
  </si>
  <si>
    <t>Your opponent suddenly switches to a new tactic that you're not familiar with. How should you respond?</t>
  </si>
  <si>
    <t>A. Stay calm and monitor their movements.B. Try to resist immediately with your strong movement.C. Ask the judge for an explanation.D. Stop and regroup before continuing.</t>
  </si>
  <si>
    <t>Stay calm and monitor their movements.</t>
  </si>
  <si>
    <t>Stability allows them to adapt well to their new technique.</t>
  </si>
  <si>
    <t>The match has stopped for a short while, and you feel winded. How should you use this time?</t>
  </si>
  <si>
    <t>A. Take a deep breath to regain your strength.B. Drink water and rest your body.C. Plan a strategy for the next phase.D. Ask the judge for an extended leave of absence.</t>
  </si>
  <si>
    <t>Take a deep breath to regain your strength.</t>
  </si>
  <si>
    <t>Regaining your strength will ensure that you are ready to continue the match.</t>
  </si>
  <si>
    <t>Your opponent will try to trip you up over and over again. How can you counter this strategy?</t>
  </si>
  <si>
    <t>A. Stay organized and wait for a real attack.B. Respond strongly to each one.C. Move back so they don't reach you.D. Try your own little</t>
  </si>
  <si>
    <t>Stay organized and wait for a real attack.</t>
  </si>
  <si>
    <t>Stability prevents us from wasting energy on false movements.</t>
  </si>
  <si>
    <t>The crowd will start cheering loudly in your favor. How can you use this to your advantage?</t>
  </si>
  <si>
    <t>A. Stay focused and let the energy inspire you.B. Do dangerous activities to impress the public.C. Recognize the people to boost moraleD. Disturb your opponent with noise.</t>
  </si>
  <si>
    <t>Stay focused and let the energy inspire you.</t>
  </si>
  <si>
    <t>Using the power of the collective in a positive way helps maintain focus and confidence.</t>
  </si>
  <si>
    <t>Your opponent is tall and has a long reach. What should your strategy be?</t>
  </si>
  <si>
    <t>A. Focus on staying low and closing the distance.B. Extend your arms to match their reach.C. Stay on the defensive and wait for it to open.D. Try to avoid and try to weaken them.</t>
  </si>
  <si>
    <t>Focus on staying low and closing the distance.</t>
  </si>
  <si>
    <t>Proximity eliminates the advantage of extended reach.</t>
  </si>
  <si>
    <t>The referee gives a warning for unsafe movements. What should you do next?</t>
  </si>
  <si>
    <t>A. Adjust your method to stay within the rules.B. Explain your actions to the judge.C. Ignore the warning and continue.D. Ask the judge for an explanation.</t>
  </si>
  <si>
    <t>Adjust your method to stay within the rules.</t>
  </si>
  <si>
    <t>Following the rules prevents penalties and ensures fair play.</t>
  </si>
  <si>
    <t>Your opponent seems to be favoring one leg due to previous moves. How should you adjust your strategy?</t>
  </si>
  <si>
    <t>A. Target their weaknesses to gain an advantage.B. Focus on attacking their upper body instead.C. Avoid targeting the injured leg for fairness reasons.D. Ask the referee to stop the game.</t>
  </si>
  <si>
    <t>Target their weaknesses to gain an advantage.</t>
  </si>
  <si>
    <t>Exploiting weakness is a valid strategy within the rules.</t>
  </si>
  <si>
    <t>The match is tied, and overtime has been announced. What should your focus be?</t>
  </si>
  <si>
    <t>A. Save energy and find key gapsB. Attack hard to finish the game quickly.C. Defend and hope for the opponent's mistakeD. Ask for some time to prepare.</t>
  </si>
  <si>
    <t>Save energy and find key gaps</t>
  </si>
  <si>
    <t>Staying organized and strategic in overtime is crucial.</t>
  </si>
  <si>
    <t>Your opponent grabs your wrist and tries to throw you off balance. What is your best response?</t>
  </si>
  <si>
    <t>A. Get in their place and take it backB. Pull back forcefully to release.C. Spin around to escape capture.D. Wait until you release your wrist.</t>
  </si>
  <si>
    <t>Get in their place and take it back</t>
  </si>
  <si>
    <t>Resisting what they hold will destroy their benefits.</t>
  </si>
  <si>
    <t>You have a chance to win, but your opponent is holding on to your belt. What should you do?</t>
  </si>
  <si>
    <t>A. Rotate your hips to loosen your grip.B. Pull their hand to break the grip.C. Push them back to release the belt.D. Move quickly to remove the container.</t>
  </si>
  <si>
    <t>Rotate your hips to loosen your grip.</t>
  </si>
  <si>
    <t>Turning weakens their grip and creates an opening.</t>
  </si>
  <si>
    <t>Your opponent suddenly trips you, but you land on your knees. How to recover quickly?</t>
  </si>
  <si>
    <t>A. Shift your weight and get up immediately.B. Wait for the referee to pause the game.C. Hold their feet to controlD. Push forward vigorously to resist.</t>
  </si>
  <si>
    <t>Shift your weight and get up immediately.</t>
  </si>
  <si>
    <t>It keeps you in the game without giving up quick recovery points.</t>
  </si>
  <si>
    <t>The pitch is slippery due to the rain. How should you adapt?</t>
  </si>
  <si>
    <t>A. Focus on maintaining balance with slow movements.B. Run fast to finish the match.C. Ask the referee to pause the game.D. Continue to prevent slipping.</t>
  </si>
  <si>
    <t>Focus on maintaining balance with slow movements.</t>
  </si>
  <si>
    <t>Careful movements reduce the risk of falls due to slippery conditions.</t>
  </si>
  <si>
    <t>Your opponent will expose their lower body when attempting a high throw. What should you do?</t>
  </si>
  <si>
    <t>A. Counter with foot pedalB. Go back and reset your stance.C. Duck to avoid the throw.D. They grabbed their bodies to retaliate.</t>
  </si>
  <si>
    <t>Counter with foot pedal</t>
  </si>
  <si>
    <t>Exposing the lower body makes them vulnerable to foot rubs.</t>
  </si>
  <si>
    <t>During the game, you notice your opponent supporting you with one arm. How should you proceed?</t>
  </si>
  <si>
    <t>A. Target their weak arm for advantage.B. Defend and wait for them to make mistakes.C. Attack them instead.D. Focus only on foot attacks</t>
  </si>
  <si>
    <t>Target their weak arm for advantage.</t>
  </si>
  <si>
    <t>Exploiting their weaknesses will give you the upper hand.</t>
  </si>
  <si>
    <t>The referee has announced that the game will continue for another round. What should you prioritize?</t>
  </si>
  <si>
    <t>A. Saving energy for the last movesB. Starting the round with forceC. Requesting a short breakD. Relying on defensive actions</t>
  </si>
  <si>
    <t>Saving energy for the last moves</t>
  </si>
  <si>
    <t>Conserving energy will keep you strong until the end.</t>
  </si>
  <si>
    <t>He uses a sudden problem to throw your opponent off balance. How should you respond?</t>
  </si>
  <si>
    <t>A. Stay organized and hold your ground.B. Respond quickly to their actionsC. Emergency pressure gaugeD. Step back to regain balance.</t>
  </si>
  <si>
    <t>Stay organized and hold your ground.</t>
  </si>
  <si>
    <t>Staying integrated eliminates unnecessary reactions.</t>
  </si>
  <si>
    <t>The floor of the gym is uneven, causing foot problems. What adjustments should you make?</t>
  </si>
  <si>
    <t>A. Focus on maintaining a low center of gravity.B. Increase your movement speedC. Avoid direct confrontation.D. Ask the judge to restart.</t>
  </si>
  <si>
    <t>Focus on maintaining a low center of gravity.</t>
  </si>
  <si>
    <t>A low center of gravity increases stability on uneven surfaces.</t>
  </si>
  <si>
    <t>Your opponent uses repeated attempts to pull you forward. What should you do?</t>
  </si>
  <si>
    <t>A. Plant your feet firmly and resist.B. Move forward to remove their drag.C. Pull them with equal force.D. Let them pull you back and let them pull you back.</t>
  </si>
  <si>
    <t>Plant your feet firmly and resist.</t>
  </si>
  <si>
    <t>Walking with strong legs prevents you from losing your balance.</t>
  </si>
  <si>
    <t>The crowd is cheering your opponent loudly, which is distracting. How should you handle this?</t>
  </si>
  <si>
    <t>A. Focus on your strategy and block out the noiseB. Engage the public to boost your own moraleC. Ask the judge to address the crowd.D. Switch to defensive movements until the noise subsides.</t>
  </si>
  <si>
    <t>Focus on your strategy and block out the noise</t>
  </si>
  <si>
    <t>Staying focused will help you avoid being divided by the crowd.</t>
  </si>
  <si>
    <t>Your opponent locks your hands in a difficult moment. What should you do?</t>
  </si>
  <si>
    <t>A. Turn your body to release.B. Pull back with force.C. Use your feet to steady them.D. Wait for the judge to intervene.</t>
  </si>
  <si>
    <t>Turn your body to release.</t>
  </si>
  <si>
    <t>Turning your body helps to escape the hand lock.</t>
  </si>
  <si>
    <t>You're about to fall off the edge. How can you stay in the game?</t>
  </si>
  <si>
    <t>A. Bring your weight back to centerB. Push your opponent to take them out first.C. Ask the referee to restart the position.D. Intentionally leave to restart the match</t>
  </si>
  <si>
    <t>Bring your weight back to center</t>
  </si>
  <si>
    <t>Staying within limits keeps the match active.</t>
  </si>
  <si>
    <t>Your opponent's movements are unpredictable, making them difficult to counter. What should you do?</t>
  </si>
  <si>
    <t>A. Look at their styles and adjust your timing.B. Move with force to defeat them.C. Rely on defense mechanisms until they fail.D. Request a timeout for regrouping</t>
  </si>
  <si>
    <t>Look at their styles and adjust your timing.</t>
  </si>
  <si>
    <t>Adapting to their movements will keep you in control.</t>
  </si>
  <si>
    <t>You successfully pin your opponent, but they counter strongly. How do you maintain control?</t>
  </si>
  <si>
    <t>A. Distribute your weight evenly and be balanced.B. Apply more pressure to weaken them.C. Change places to confuse them.D. Briefly release them and re-engage.</t>
  </si>
  <si>
    <t>Distribute your weight evenly and be balanced.</t>
  </si>
  <si>
    <t>Balance is key to maintaining a successful pin.</t>
  </si>
  <si>
    <t>Your opponent starts using aggressive and unsafe moves. What should you do?</t>
  </si>
  <si>
    <t>A. Protect yourself and warn the judge.B. Match their attacks with equal force.C. Step back and avoid involvement.D. Try to deal with unsafe techniques</t>
  </si>
  <si>
    <t>Protect yourself and warn the judge.</t>
  </si>
  <si>
    <t>The referee ensures fair play and safety.</t>
  </si>
  <si>
    <t>You're leading by a point with just one minute left in the game. What should your strategy be?</t>
  </si>
  <si>
    <t>A. Protect yourself carefully to protect your leadership.B. Attack hard to secure more pointsC. Focus on standing to finish the clock.D. Ask the referee to end the game early.</t>
  </si>
  <si>
    <t>Protect yourself carefully to protect your leadership.</t>
  </si>
  <si>
    <t>A defensive game helps to secure victory without unnecessary risks.</t>
  </si>
  <si>
    <t>Your opponent grabs your leg while trying to take you down. How should you counter?</t>
  </si>
  <si>
    <t>A. Push down on their shoulders to stabilize them.B. Jump to free your legs.C. Walk back quickly.D. Use your hands to break their grip.</t>
  </si>
  <si>
    <t>Push down on their shoulders to stabilize them.</t>
  </si>
  <si>
    <t>Pressing down will distort their hand and make you look straight.</t>
  </si>
  <si>
    <t>You feel tired halfway through the game. What should you do?</t>
  </si>
  <si>
    <t>A. Control the pace of the match to recover.B. Push harder to finish the match fasterC. Pause briefly to catch your breath.D. Switch to pure defensive moves</t>
  </si>
  <si>
    <t>Control the pace of the match to recover.</t>
  </si>
  <si>
    <t>Controlling the speed allows you to effectively save energy.</t>
  </si>
  <si>
    <t>Your opponent is getting you in the head and trying to take you down. What's your best counter move?</t>
  </si>
  <si>
    <t>A. Use your legs to change your balance.B. Try to break what you hold by force.C. Turn your body to escape.D. Wait until the congestion subsides.</t>
  </si>
  <si>
    <t>Turn your body to escape.</t>
  </si>
  <si>
    <t>A twist can disrupt the head lock and create an opening.</t>
  </si>
  <si>
    <t>During the game, you notice your opponent lowering their hands. What should you do?</t>
  </si>
  <si>
    <t>A. Go for a quick upper body attack.B. They pointed their feet.C. Pay attention to avoid their attacks.D. Wait for them to attack first.</t>
  </si>
  <si>
    <t>Go for a quick upper body attack.</t>
  </si>
  <si>
    <t>Exposing the upper body makes them vulnerable to quick attacks.</t>
  </si>
  <si>
    <t>The match has begun, and your opponent is charging at you with force. How should you respond?</t>
  </si>
  <si>
    <t>A. Side and counterB. Strap for the impactC. Go back quickly.D. Push back with equal force.</t>
  </si>
  <si>
    <t>Side and counter</t>
  </si>
  <si>
    <t>Walking sideways when setting up a counter will take away their momentum.</t>
  </si>
  <si>
    <t>They are forced to the edge of the fighting zone. How can they regain control?</t>
  </si>
  <si>
    <t>A. Turn to the side to center yourself.B. Push your opponent out.C. Stay near the edge and defend.D. Ask the judge to restart.</t>
  </si>
  <si>
    <t>Turn to the side to center yourself.</t>
  </si>
  <si>
    <t>Staying in the middle eliminates the inability to go beyond the boundaries.</t>
  </si>
  <si>
    <t>Your opponent has a stronger strength than you. What should your strategy be?</t>
  </si>
  <si>
    <t>A. Focus on speed and techniqueB. Rely on direct strength to match them.C. Avoid arguing completely.D. Wait until you are tired.</t>
  </si>
  <si>
    <t>Focus on speed and technique</t>
  </si>
  <si>
    <t>Speed ​​and technique can overcome raw strength.</t>
  </si>
  <si>
    <t>The ground is slippery due to recent rain. How should you adjust your strategy?</t>
  </si>
  <si>
    <t>A. Use short, controlled movements.B. Move with force, even if there is an upper partC. Ask for the match to stop where it is.D. Stay on the defensive.</t>
  </si>
  <si>
    <t>Use short, controlled movements.</t>
  </si>
  <si>
    <t>Controlled movements prevent slipping and maintain balance.</t>
  </si>
  <si>
    <t>Your opponent successfully lifts you off the ground. What should you do to avoid the throw?</t>
  </si>
  <si>
    <t>A. Shift your weight and push down.B. Hold them tightly.C. Try to kick your legs freely.D. Let them throw you and count later.</t>
  </si>
  <si>
    <t>Shift your weight and push down.</t>
  </si>
  <si>
    <t>Weight fluctuations can disrupt their balance and stop them from throwing.</t>
  </si>
  <si>
    <t>You are evenly matched with your opponent, and the crowd is screaming loudly. How do you keep the attention?</t>
  </si>
  <si>
    <t>A. Focus on your breathing and movement.B. Harness the power of the people.C. Rely on knowledge rather than techniqueD. Stop and collect your thoughts.</t>
  </si>
  <si>
    <t>Focus on your breathing and movement.</t>
  </si>
  <si>
    <t>Focusing on yourself helps prevent distractions.</t>
  </si>
  <si>
    <t>A. Ignore them and focus.B. They mocked them back to scare them.C. Ask the judge to intervene.D. Increase your aggression to defeat them.</t>
  </si>
  <si>
    <t>Ignore them and focus.</t>
  </si>
  <si>
    <t>Staying focused will ensure that their teasing doesn't affect your performance.</t>
  </si>
  <si>
    <t>You lost the first round, and the second round begins. What should your approach be?</t>
  </si>
  <si>
    <t>A. Analyze their weaknesses from the first round.B. Take it all out with force.C. They defend themselves emotionally to save energy.D. Rely only on spectacular movements</t>
  </si>
  <si>
    <t>Analyze their weaknesses from the first round.</t>
  </si>
  <si>
    <t>Learning from the first round will help you adjust your strategy.</t>
  </si>
  <si>
    <t>Your opponent uses the same tactic repeatedly to pin you. What should you do?</t>
  </si>
  <si>
    <t>A. Adjust your defenses to counter that tactic.B. Let them continue and wait for the error.C. Focus on strength to overcome them.D. Ask the judge to warn them.</t>
  </si>
  <si>
    <t>Adjust your defenses to counter that tactic.</t>
  </si>
  <si>
    <t>Adaptation ensures that you cannot use the same movement repeatedly.</t>
  </si>
  <si>
    <t>Your opponent is fast but less accurate in their attacks. What is your best strategy?</t>
  </si>
  <si>
    <t>A. Use accurate counters to use their errorsB. Try to match their speed.C. They emotionally defend themselves to weaken them.D. Focus on avoiding all their attacks.</t>
  </si>
  <si>
    <t>Use accurate counters to use their errors</t>
  </si>
  <si>
    <t>Accuracy can successfully withstand speed.</t>
  </si>
  <si>
    <t>The referee allows a short break during the game. What should you do?</t>
  </si>
  <si>
    <t>A. Regain your energy and review your strategy.B. Engage with the crowd to inspireC. They challenged the judge's decision.D. Practice quick movements to get warm.</t>
  </si>
  <si>
    <t>Regain your energy and review your strategy.</t>
  </si>
  <si>
    <t>Using your break wisely will yield good results.</t>
  </si>
  <si>
    <t>Your opponent keeps backing away instead of engaging. What's the best way to approach them?</t>
  </si>
  <si>
    <t>A. Carefully close the distance and attack.B. Wait until you make a move.C. Make fun of them to make them think.D. Ask the judge to intervene.</t>
  </si>
  <si>
    <t>Carefully close the distance and attack.</t>
  </si>
  <si>
    <t>Maintaining control forces them to participate.</t>
  </si>
  <si>
    <t>The match is tied, and you're in the final seconds. What should you prioritize?</t>
  </si>
  <si>
    <t>A. Taking crucial action to achieve a goalB. Playing defensively to avoid defeatC. Focus on outrunning your opponent.D. Asking the judge for more time</t>
  </si>
  <si>
    <t>Taking crucial action to achieve a goal</t>
  </si>
  <si>
    <t>Decisive actions can ensure victory in tight situations.</t>
  </si>
  <si>
    <t>You notice your opponent faltering a little. What is your best strategy?</t>
  </si>
  <si>
    <t>A. Use their weakened movement.B. Focus on fighting instead of attacking.C. Avoid taking advantage of their disadvantages.D. Ask the referee to pause the game.</t>
  </si>
  <si>
    <t>Use their weakened movement.</t>
  </si>
  <si>
    <t>Getting their damage financially can turn the match in your favor.</t>
  </si>
  <si>
    <t>Your grip is slipping at a critical moment. How can you recover?</t>
  </si>
  <si>
    <t>A. Adjust your grip and reapply pressure.B. Release and reset your position.C. Focus on holding on tightly.D. Ask the judge to pause.</t>
  </si>
  <si>
    <t>Adjust your grip and reapply pressure.</t>
  </si>
  <si>
    <t>Adjusting ensures you maintain control without losing balance.</t>
  </si>
  <si>
    <t>The match will be played in bright sunlight, making it difficult to see. How do you adapt?</t>
  </si>
  <si>
    <t>A. Focus on exploring tactile activities.B. Rely only on quick responses.C. Ask the referee to change the position of the game.D. Slow down to avoid mistakes</t>
  </si>
  <si>
    <t>Focus on exploring tactile activities.</t>
  </si>
  <si>
    <t>Perceiving movements through touch is a compensation for visual distractions.</t>
  </si>
  <si>
    <t>Your opponent starts a dangerous move but leaves themselves open. What should you do?</t>
  </si>
  <si>
    <t>A. Use their keys for a quick attack.B. Wait until the activity is complete.C. Defend the first move.D. Step back and notice.</t>
  </si>
  <si>
    <t>Use their keys for a quick attack.</t>
  </si>
  <si>
    <t>Capitalizing heavily on openings will ensure that you stay ahead in the game.</t>
  </si>
  <si>
    <t>The match is late, and you are starting to lose patience. How can you keep your composure?</t>
  </si>
  <si>
    <t>A. Focus on calming techniques like breathing.B. Bring your energy to the heatC. Distract yourself by watching the crowd.D. Complain to the judge.</t>
  </si>
  <si>
    <t>Focus on calming techniques like breathing.</t>
  </si>
  <si>
    <t>Calmness ensures that you are ready when the match resumes.</t>
  </si>
  <si>
    <t>You're leading in points, but your opponent is starting to show signs of frustration. What's your best strategy?</t>
  </si>
  <si>
    <t>A. Stay calm and stick to your game plan.B. They mocked them to make them throw more.C. Switch to a more aggressive approach.D. Reduce your speed to save energy.</t>
  </si>
  <si>
    <t>Stay calm and stick to your game plan.</t>
  </si>
  <si>
    <t>Paying attention prevents them from giving them a chance to recover.</t>
  </si>
  <si>
    <t>Your opponent tried to sweep his leg but missed. How do you exploit this mistake?</t>
  </si>
  <si>
    <t>A. Push them off balance quickly.B. Go back and reevaluate.C. They mock them to scare them.D. Wait for their next move.</t>
  </si>
  <si>
    <t>Push them off balance quickly.</t>
  </si>
  <si>
    <t>Taking advantage of their mistakes can turn the tide to your advantage.</t>
  </si>
  <si>
    <t>The audience is shouting loudly at your opponent. How can you stop the shouting?</t>
  </si>
  <si>
    <t>A. Just focus on your technique and breathing.B. Ignore and increase your violence.C. Respond to the crowd to match their energyD. Pause the match to regain focus.</t>
  </si>
  <si>
    <t>Just focus on your technique and breathing.</t>
  </si>
  <si>
    <t>Focusing on your game ensures that external factors do not affect performance.</t>
  </si>
  <si>
    <t>You feel tired, but the match is still on. What should you prioritize?</t>
  </si>
  <si>
    <t>A. Moving your body to conserve energyB. A universal move to end the match quicklyC. Asking for a break to recoverD. Defend until the end of the round</t>
  </si>
  <si>
    <t>Moving your body to conserve energy</t>
  </si>
  <si>
    <t>Controlled movement helps maintain performance despite fatigue.</t>
  </si>
  <si>
    <t>Your opponent suddenly changes their fighting stance. How do you respond?</t>
  </si>
  <si>
    <t>A. Monitor and optimize your strategy accordingly.B. Stick with your current approach.C. Take control immediately with a sudden attackD. They emotionally defend their new position to understand it.</t>
  </si>
  <si>
    <t>Monitor and optimize your strategy accordingly.</t>
  </si>
  <si>
    <t>Adapting to changes ensures that you stay one step ahead.</t>
  </si>
  <si>
    <t>The match is played on uneven ground. How should you adjust your movements?</t>
  </si>
  <si>
    <t>A. Focus on maintaining balance with consistent steps.B. Trust quickly to be efficient.C. Avoid over-involvement to reduce riskD. Ask the judge for a different location.</t>
  </si>
  <si>
    <t>Focus on maintaining balance with consistent steps.</t>
  </si>
  <si>
    <t>Regular movements help to avoid losing your footing on uneven ground.</t>
  </si>
  <si>
    <t>Your opponent is much higher than you. What should be your main strategy?</t>
  </si>
  <si>
    <t>A. Focus on targeting their lower body.B. They rely on fighting to eliminate their height advantage.C. Participate in a strength-based competitionD. Stay on the defensive and wait for it to open.</t>
  </si>
  <si>
    <t>Focus on targeting their lower body.</t>
  </si>
  <si>
    <t>Lower body attacks are effective against taller opponents.</t>
  </si>
  <si>
    <t>The referee warns you about holding on too long during a fight. How do you fix it?</t>
  </si>
  <si>
    <t>A. Release your grip and switch to another movement.B. Keep holding on and hope you don't notice again.C. They argued with the judge about the decision.D. Your opponent will lead for a while.</t>
  </si>
  <si>
    <t>Release your grip and switch to another movement.</t>
  </si>
  <si>
    <t>Changing strategies ensures that you remain competitive and follow the rules.</t>
  </si>
  <si>
    <t>Your opponent is very skilled at countering your attacks. What should you focus on?</t>
  </si>
  <si>
    <t>A. Grinding to create open spacesB. Using force to defeat themC. Preventing carelessness and guarding against mistakesD. Repeatedly trying the same activities</t>
  </si>
  <si>
    <t>Grinding to create open spaces</t>
  </si>
  <si>
    <t>Feint can confuse skilled opponents and create opportunities.</t>
  </si>
  <si>
    <t>You’ve injured your hand slightly during the match. What’s the best course of action?</t>
  </si>
  <si>
    <t>A. Use your other hand and adjust your strategyB. Pause the match and request medical attentionC. Ignore the pain and continue as usualD. Focus entirely on defense to avoid further injury</t>
  </si>
  <si>
    <t>Use your other hand and adjust your strategy</t>
  </si>
  <si>
    <t>Adapting ensures you stay in the match while minimizing further harm.</t>
  </si>
  <si>
    <t>Your opponent keeps circling around you. What’s your best response?</t>
  </si>
  <si>
    <t>A. Match their movement and look for an openingB. Stay stationary and defendC. Charge forward aggressively to stop themD. Let them circle until they tire out</t>
  </si>
  <si>
    <t>Match their movement and look for an opening</t>
  </si>
  <si>
    <t>Mirroring their movement prevents giving them control.</t>
  </si>
  <si>
    <t>The sun is directly in your eyes during the match. How do you adapt?</t>
  </si>
  <si>
    <t>A. Adjust your position to avoid facing the sunB. Close your eyes briefly during movementsC. Ask the referee to pause the matchD. Focus entirely on your opponent's movements</t>
  </si>
  <si>
    <t>Adjust your position to avoid facing the sun</t>
  </si>
  <si>
    <t>Changing position helps you avoid visual distractions.</t>
  </si>
  <si>
    <t>Your opponent uses a move you’ve never encountered before. How do you respond?</t>
  </si>
  <si>
    <t>A. Stay calm and observe their techniqueB. Panic and try to overpower themC. Ask the referee if the move is allowedD. Counter with your strongest attack</t>
  </si>
  <si>
    <t>Stay calm and observe their technique</t>
  </si>
  <si>
    <t>Observing helps you analyze and counter unfamiliar techniques.</t>
  </si>
  <si>
    <t>The crowd starts cheering loudly as your opponent gains the upper hand. What do you do?</t>
  </si>
  <si>
    <t>A. Focus on regaining control of the matchB. Match their energy with an aggressive moveC. Let the crowd distract your opponentD. Ask the referee to quiet the crowd</t>
  </si>
  <si>
    <t>Focus on regaining control of the match</t>
  </si>
  <si>
    <t>Staying focused prevents the crowd from affecting your performance.</t>
  </si>
  <si>
    <t>You’re close to pinning your opponent, but they keep resisting. What’s your next move?</t>
  </si>
  <si>
    <t>A. Apply controlled pressure to tire them outB. Try to pin them quickly with maximum forceC. Release them and attempt another moveD. Pause and reassess your strategy</t>
  </si>
  <si>
    <t>Apply controlled pressure to tire them out</t>
  </si>
  <si>
    <t>Controlled pressure can exhaust your opponent and secure the pin.</t>
  </si>
  <si>
    <t>Your opponent keeps going for your legs. What should you do?</t>
  </si>
  <si>
    <t>A. Keep your stance low and defend your legsB. Focus on protecting your upper bodyC. Move aggressively to avoid leg attacksD. Ignore their attempts and attack directly</t>
  </si>
  <si>
    <t>Keep your stance low and defend your legs</t>
  </si>
  <si>
    <t>A low stance minimizes vulnerability to leg attacks.</t>
  </si>
  <si>
    <t>The match starts, and your opponent hesitates to engage. How do you handle it?</t>
  </si>
  <si>
    <t>A. Take the initiative and attack carefullyB. Wait for them to make the first moveC. Taunt them to provoke actionD. Ask the referee to intervene</t>
  </si>
  <si>
    <t>Take the initiative and attack carefully</t>
  </si>
  <si>
    <t>Controlled engagement keeps you in control of the match.</t>
  </si>
  <si>
    <t>The match enters overtime, and you’re exhausted. What’s your priority?</t>
  </si>
  <si>
    <t>A. Conserve energy while looking for key openingsB. Go all-out to end the match quicklyC. Let your opponent tire themselves out firstD. Ask the referee to extend the break</t>
  </si>
  <si>
    <t>Conserve energy while looking for key openings</t>
  </si>
  <si>
    <t>Energy management is crucial during overtime.</t>
  </si>
  <si>
    <t>Your opponent keeps targeting your injured leg. How should you defend?</t>
  </si>
  <si>
    <t>A. Shift your weight to the other legB. Stay defensive and avoid engagementC. Request a pause to address the injuryD. Aggressively attack to distract them</t>
  </si>
  <si>
    <t>Shift your weight to the other leg</t>
  </si>
  <si>
    <t>Weight shifting reduces the strain on your injury.</t>
  </si>
  <si>
    <t>Your opponent accidentally steps out of bounds but continues the match. What should you do?</t>
  </si>
  <si>
    <t>A. Notify the referee immediatelyB. Take advantage of their mistakeC. Ignore it and continue wrestlingD. Step out as well to even the match</t>
  </si>
  <si>
    <t>Notify the referee immediately</t>
  </si>
  <si>
    <t>Referees ensure fair play and enforce rules.</t>
  </si>
  <si>
    <t>Your opponent executes a quick takedown, but you manage to maintain balance. What should be your next move?</t>
  </si>
  <si>
    <t>A. Counter with a takedown of your ownB. Step back and reset your stanceC. Push them forcefully to regain controlD. Wait for their next move</t>
  </si>
  <si>
    <t>Counter with a takedown of your own</t>
  </si>
  <si>
    <t>A counterattack in this situation can quickly turn the match in your favor.</t>
  </si>
  <si>
    <t>The match is tied, and there are only a few seconds left. What’s your strategy?</t>
  </si>
  <si>
    <t>A. Attempt a high-risk move to secure pointsB. Defend and hope for overtimeC. Distract your opponent with feintsD. Focus on holding your position</t>
  </si>
  <si>
    <t>Attempt a high-risk move to secure points</t>
  </si>
  <si>
    <t>A bold move can break the tie in your favor.</t>
  </si>
  <si>
    <t>Your opponent successfully pins you, but the referee hasn’t counted yet. How do you respond?</t>
  </si>
  <si>
    <t>A. Twist your body to break free quicklyB. Stay still and hope the referee resets the matchC. Use your legs to push them offD. Wait for your opponent to loosen their grip</t>
  </si>
  <si>
    <t>Twist your body to break free quickly</t>
  </si>
  <si>
    <t>Breaking free immediately prevents a definitive loss.</t>
  </si>
  <si>
    <t>During the match, your opponent’s grip feels unusually tight. What’s your best course of action?</t>
  </si>
  <si>
    <t>A. Focus on weakening their gripB. Ignore it and attack their upper bodyC. Request the referee to check for rule violationsD. Retreat to avoid injury</t>
  </si>
  <si>
    <t>Focus on weakening their grip</t>
  </si>
  <si>
    <t>Targeting their grip will help you regain control.</t>
  </si>
  <si>
    <t>Your opponent attempts a shoulder throw, but you block it. How do you capitalize on this?</t>
  </si>
  <si>
    <t>A. Counter with a quick takedownB. Push them away to resetC. Go on the defensiveD. Wait for them to attack again</t>
  </si>
  <si>
    <t>Counter with a quick takedown</t>
  </si>
  <si>
    <t>A counter right after blocking can catch them off guard.</t>
  </si>
  <si>
    <t>You’re competing in a muddy arena, and your footing becomes unstable. How should you adjust?</t>
  </si>
  <si>
    <t>A. Shorten your steps and focus on balanceB. Increase your movements to stay aheadC. Avoid engaging and stay defensiveD. Rely on upper body strength only</t>
  </si>
  <si>
    <t>Shorten your steps and focus on balance</t>
  </si>
  <si>
    <t>Smaller steps help maintain stability in slippery conditions.</t>
  </si>
  <si>
    <t>Your opponent uses an unusual but legal move. How do you handle it?</t>
  </si>
  <si>
    <t>A. Adapt by observing and counteringB. Panic and try a random counterattackC. Ignore it and stick to your own movesD. Ask the referee for clarification</t>
  </si>
  <si>
    <t>Adapt by observing and countering</t>
  </si>
  <si>
    <t>Observation and adaptation are key to handling unexpected moves.</t>
  </si>
  <si>
    <t>You notice your opponent is tiring but still aggressive. What’s your strategy?</t>
  </si>
  <si>
    <t>A. Let them exhaust themselves furtherB. Match their aggression to end the matchC. Defend passively and wait for their mistakeD. Increase your energy output to overpower them</t>
  </si>
  <si>
    <t>Let them exhaust themselves further</t>
  </si>
  <si>
    <t>Patience can give you an advantage over a tired opponent.</t>
  </si>
  <si>
    <t>Your opponent suddenly switches to a defensive stance. What should you do?</t>
  </si>
  <si>
    <t>A. Increase pressure and force them to engageB. Mirror their stance and waitC. Pause to reassess your strategyD. Step back and reset the match</t>
  </si>
  <si>
    <t>Increase pressure and force them to engage</t>
  </si>
  <si>
    <t>Applying pressure can disrupt their defensive strategy.</t>
  </si>
  <si>
    <t>The referee gives you a warning for stalling. What should you do next?</t>
  </si>
  <si>
    <t>A. Increase your activity and engage your opponentB. Argue with the referee about the warningC. Wait for your opponent to attackD. Pause to plan your next move</t>
  </si>
  <si>
    <t>Increase your activity and engage your opponent</t>
  </si>
  <si>
    <t>Engaging actively ensures compliance with match rules.</t>
  </si>
  <si>
    <t>You’re wrestling in a high-altitude region and feel short of breath. How do you adapt?</t>
  </si>
  <si>
    <t>A. Slow down and focus on controlled breathingB. Push through the fatigue aggressivelyC. Request a timeout from the refereeD. Switch to defensive tactics</t>
  </si>
  <si>
    <t>Slow down and focus on controlled breathing</t>
  </si>
  <si>
    <t>Controlled breathing is essential in high-altitude conditions.</t>
  </si>
  <si>
    <t>Your opponent keeps using the same predictable move. How do you exploit this?</t>
  </si>
  <si>
    <t>A. Counter the move with precise timingB. Ignore it and focus on your own strategyC. Let them keep using it to tire themselves outD. Mimic their move to confuse them</t>
  </si>
  <si>
    <t>Counter the move with precise timing</t>
  </si>
  <si>
    <t>Predictability makes them vulnerable to counters.</t>
  </si>
  <si>
    <t>Your opponent steps back and avoids engagement. How do you handle this situation?</t>
  </si>
  <si>
    <t>A. Close the gap and force engagementB. Stay back and maintain your stanceC. Ask the referee to interveneD. Wait for them to re-engage</t>
  </si>
  <si>
    <t>Close the gap and force engagement</t>
  </si>
  <si>
    <t>Forcing engagement keeps the match dynamic.</t>
  </si>
  <si>
    <t>You’re wrestling under bright sunlight, making visibility difficult. How do you adjust?</t>
  </si>
  <si>
    <t>A. Keep your eyes focused on your opponent's bodyB. Ask the referee to pause the matchC. Rely solely on your instinctsD. Turn your back to the sun</t>
  </si>
  <si>
    <t>Keep your eyes focused on your opponent's body</t>
  </si>
  <si>
    <t>Focusing on their movements compensates for poor visibility.</t>
  </si>
  <si>
    <t>Your opponent is stronger but slower. What’s your ideal strategy?</t>
  </si>
  <si>
    <t>A. Focus on quick movements and agilityB. Match their strength to overpower themC. Stay defensive and wear them outD. Avoid engagement entirely</t>
  </si>
  <si>
    <t>Focus on quick movements and agility</t>
  </si>
  <si>
    <t>Speed can outmatch strength in wrestling.</t>
  </si>
  <si>
    <t>The referee allows a short water break. How do you utilize this time?</t>
  </si>
  <si>
    <t>A. Rehydrate and refocus on your strategyB. Argue with the referee about past decisionsC. Observe your opponent to gauge their conditionD. Rest passively without thinking about the match</t>
  </si>
  <si>
    <t>Rehydrate and refocus on your strategy</t>
  </si>
  <si>
    <t>Breaks are critical for recovery and focus.</t>
  </si>
  <si>
    <t>Your opponent keeps taunting you to throw you off. What’s your best response?</t>
  </si>
  <si>
    <t>A. Ignore them and stick to your strategyB. Taunt them back to match their energyC. Let the referee handle the situationD. Pause the match to address it</t>
  </si>
  <si>
    <t>Ignore them and stick to your strategy</t>
  </si>
  <si>
    <t>Staying focused ensures their taunts don’t affect your performance.</t>
  </si>
  <si>
    <t>You’re losing points, and your coach gives you advice mid-match. How do you respond?</t>
  </si>
  <si>
    <t>A. Incorporate their advice immediatelyB. Ignore it and focus on your current approachC. Wait for a break to discuss the adviceD. Completely change your strategy</t>
  </si>
  <si>
    <t>Incorporate their advice immediately</t>
  </si>
  <si>
    <t>Following guidance can help you turn the match around.</t>
  </si>
  <si>
    <t>Your opponent tries a risky high-impact move but fails. How do you capitalize?</t>
  </si>
  <si>
    <t>A. Immediately counter with a decisive moveB. Step back and wait for their next moveC. Compliment them to distract themD. Defend to avoid a sudden recovery</t>
  </si>
  <si>
    <t>Immediately counter with a decisive move</t>
  </si>
  <si>
    <t>A quick counter can secure the advantage after their failure.</t>
  </si>
  <si>
    <t>You have a minor injury but can continue. What’s your best approach?</t>
  </si>
  <si>
    <t>A. Protect the injury while staying activeB. Stop the match and address the injuryC. Ignore the injury completelyD. Rely on your opponent making mistakes</t>
  </si>
  <si>
    <t>Protect the injury while staying active</t>
  </si>
  <si>
    <t>Balancing activity and caution prevents worsening the injury.</t>
  </si>
  <si>
    <t>Your opponent tries a quick leg sweep, but you maintain your balance. What do you do next?</t>
  </si>
  <si>
    <t>A. Counter with a knee strikeB. Step forward and attack their upper bodyC. Push them back and resetD. Try to execute a throw</t>
  </si>
  <si>
    <t>Counter with a knee strike</t>
  </si>
  <si>
    <t>A quick response can capitalize on their missed move.</t>
  </si>
  <si>
    <t>Your opponent is trying to pin you but lacks control. What’s your best strategy?</t>
  </si>
  <si>
    <t>A. Twist your body to break freeB. Wait for the referee to interveneC. Stay still and play for timeD. Use your legs to lift them off</t>
  </si>
  <si>
    <t>Twist your body to break free</t>
  </si>
  <si>
    <t>Twisting is a great way to break the opponent’s pinning grip.</t>
  </si>
  <si>
    <t>The match is nearing the end, and you’re ahead by one point. What should you focus on?</t>
  </si>
  <si>
    <t>A. Maintain your position and avoid risky movesB. Increase the pressure and finish the matchC. Play defensively and wait for the whistleD. Attempt a high-risk move to secure a win</t>
  </si>
  <si>
    <t>Maintain your position and avoid risky moves</t>
  </si>
  <si>
    <t>Focusing on defense ensures a safe win as the match ends.</t>
  </si>
  <si>
    <t>Your opponent starts using quick strikes to confuse you. How should you respond?</t>
  </si>
  <si>
    <t>A. Slow down and carefully analyze their movementsB. Retreat and try to resetC. Counter each strike immediatelyD. Use feints to mislead them</t>
  </si>
  <si>
    <t>Slow down and carefully analyze their movements</t>
  </si>
  <si>
    <t>Focusing on their patterns helps you avoid mistakes.</t>
  </si>
  <si>
    <t>During the match, your opponent’s foot gets caught under you. What do you do?</t>
  </si>
  <si>
    <t>A. Use the opportunity to pin themB. Help them up and continue the matchC. Try to get free and resetD. Take advantage of their mistake and attack</t>
  </si>
  <si>
    <t>Take advantage of their mistake and attack</t>
  </si>
  <si>
    <t>Capitalizing on their mistake increases your chance of winning.</t>
  </si>
  <si>
    <t>You are caught in a headlock but have access to your opponent’s wrist. What’s your move?</t>
  </si>
  <si>
    <t>A. Twist their wrist to break freeB. Forcefully push forward to escapeC. Wait for them to loosen the lockD. Attempt to break their grip by using your legs</t>
  </si>
  <si>
    <t>Twist their wrist to break free</t>
  </si>
  <si>
    <t>A wrist twist can help you break free from a headlock.</t>
  </si>
  <si>
    <t>Your opponent is overly aggressive and keeps charging at you. How do you handle this?</t>
  </si>
  <si>
    <t>A. Use their momentum against themB. Stay defensive and avoid all their attacksC. Let them tire themselves outD. Counter with a surprise attack</t>
  </si>
  <si>
    <t>Use their momentum against them</t>
  </si>
  <si>
    <t>Turning their force back on them can lead to a successful counter.</t>
  </si>
  <si>
    <t>You are wrestling in a very hot arena and start to feel exhausted. What’s your next move?</t>
  </si>
  <si>
    <t>A. Focus on keeping your energy levels steadyB. Take a short break if allowedC. Increase the intensity to end the match quicklyD. Switch to defensive moves to conserve energy</t>
  </si>
  <si>
    <t>Focus on keeping your energy levels steady</t>
  </si>
  <si>
    <t>Energy conservation is critical in high temperatures.</t>
  </si>
  <si>
    <t>Your opponent is using a lot of defensive techniques. How do you break through?</t>
  </si>
  <si>
    <t>A. Increase your offensive pressure and use feintsB. Wait for them to make a mistakeC. Focus on tiring them outD. Go for a surprise takedown</t>
  </si>
  <si>
    <t>Increase your offensive pressure and use feints</t>
  </si>
  <si>
    <t>Feints can mislead your opponent and create openings.</t>
  </si>
  <si>
    <t>The referee calls for a timeout due to an injury. How do you use this break?</t>
  </si>
  <si>
    <t>A. Use the time to rest and refocusB. Request the referee to end the matchC. Observe your opponent’s condition closelyD. Take the opportunity to strategize with your coach</t>
  </si>
  <si>
    <t>Use the time to rest and refocus</t>
  </si>
  <si>
    <t>Resting and refocusing ensures you’re ready when the match resumes.</t>
  </si>
  <si>
    <t>Your opponent seems to be favoring one leg. What’s your strategy?</t>
  </si>
  <si>
    <t>A. Focus your attacks on their weaker legB. Try to avoid engaging with themC. Wait for them to make a mistakeD. Increase your speed and confuse them</t>
  </si>
  <si>
    <t>Focus your attacks on their weaker leg</t>
  </si>
  <si>
    <t>Targeting their weakness will give you an advantage.</t>
  </si>
  <si>
    <t>Your opponent is slower than you, but you’ve been unable to land any successful strikes. What’s your next move?</t>
  </si>
  <si>
    <t>A. Increase your speed and feint moreB. Stay back and wait for them to make a mistakeC. Push forward aggressively to tire them outD. Attempt a low tackle to take them down</t>
  </si>
  <si>
    <t>Increase your speed and feint more</t>
  </si>
  <si>
    <t>Using speed and feints helps create openings in their defense.</t>
  </si>
  <si>
    <t>The match is tied, and you’re at a disadvantage in the final seconds. How do you approach this?</t>
  </si>
  <si>
    <t>A. Take a risk and attempt a high-impact moveB. Play it safe and focus on defenseC. Push them toward the boundary to gain an advantageD. Try to distract them with feints</t>
  </si>
  <si>
    <t>Take a risk and attempt a high-impact move</t>
  </si>
  <si>
    <t>A bold move can catch your opponent off guard and win the match.</t>
  </si>
  <si>
    <t>Your opponent starts using a lot of underhanded tactics. What should you do?</t>
  </si>
  <si>
    <t>A. Alert the referee immediatelyB. Use their tactics against themC. Stay calm and focus on winning cleanlyD. Request a timeout and speak with your coach</t>
  </si>
  <si>
    <t>Stay calm and focus on winning cleanly</t>
  </si>
  <si>
    <t>Maintaining composure ensures a fair match.</t>
  </si>
  <si>
    <t>The ground is slippery, and both of you are struggling to maintain grip. What’s the best strategy?</t>
  </si>
  <si>
    <t>A. Focus on speed and agility rather than powerB. Stay low and try to keep balanceC. Use your strength to force the opponent downD. Switch to upper-body attacks instead of relying on your legs</t>
  </si>
  <si>
    <t>Focus on speed and agility rather than power</t>
  </si>
  <si>
    <t>Agility helps prevent slipping in slippery conditions.</t>
  </si>
  <si>
    <t>Your opponent attempts a complicated throw but loses control. How do you capitalize?</t>
  </si>
  <si>
    <t>A. Quickly counter and take them to the groundB. Wait for them to reset and try againC. Push them away to break their holdD. Try to escape and reset the match</t>
  </si>
  <si>
    <t>Quickly counter and take them to the ground</t>
  </si>
  <si>
    <t>A quick counter after their failed throw can gain you points.</t>
  </si>
  <si>
    <t>You’ve been wrestling for a while, and your opponent looks fatigued. What do you do?</t>
  </si>
  <si>
    <t>A. Increase the pace to tire them out moreB. Focus on defending and conserving your own energyC. Take a breather and wait for them to attackD. Attempt a quick takedown to end the match</t>
  </si>
  <si>
    <t>Increase the pace to tire them out more</t>
  </si>
  <si>
    <t>Keeping the pressure on them forces them to make mistakes.</t>
  </si>
  <si>
    <t>Your opponent has a strong defensive posture, and you can’t get past it. What’s your move?</t>
  </si>
  <si>
    <t>A. Try to find an opening by feintingB. Push them out of bounds to break the stalemateC. Switch to defensive tactics and wait for an opening&lt;Do the same for this as well</t>
  </si>
  <si>
    <t>Try to find an opening by feinting</t>
  </si>
  <si>
    <t>Feints can open up holes in a strong defense.</t>
  </si>
  <si>
    <t>You’re losing points, and the match is nearing its end. How do you approach this final stage?</t>
  </si>
  <si>
    <t>A. Take risks and go for a decisive moveB. Play it safe and wait for overtimeC. Focus on staying defensive and hoping for a mistakeD. Try to get your opponent disqualified</t>
  </si>
  <si>
    <t>Take risks and go for a decisive move</t>
  </si>
  <si>
    <t>Taking risks can lead to a comeback win in the final stage.</t>
  </si>
  <si>
    <t>Your opponent tries to clinch you in a defensive position. What’s your move?</t>
  </si>
  <si>
    <t>A. Break free and attempt a quick counterB. Use their grip to transition into an attackC. Wait for the referee to break the holdD. Try to overpower them with sheer strength</t>
  </si>
  <si>
    <t>Use their grip to transition into an attack</t>
  </si>
  <si>
    <t>Transitional attacks can turn their defensive move into an opportunity.</t>
  </si>
  <si>
    <t>You only have one seed in your last hole and your opponent has many seeds. What is your next best move?</t>
  </si>
  <si>
    <t>A. Try to move your seed strategically to catch some of their seeds.B. Place your seed in the hole next to your opponent's largest hole.C. Move your seed to the farthest hole from the opponent.D. Complete the game as quickly as possible.</t>
  </si>
  <si>
    <t>Try to move your seed strategically to catch some of their seeds.</t>
  </si>
  <si>
    <t>Using the seed wisely will help you capture more seeds and control the game.</t>
  </si>
  <si>
    <t>Your opponent has a lot of seeds in the last hole and you are about to move. What should you do?</t>
  </si>
  <si>
    <t>A. Move your seeds to a hole next to your opponent's hole.B. Avoid moving your seeds near the opponent's hole.C. Wait until they move and try to plan a counter.D. Move your seeds to your second-last hole to prepare the shoot.</t>
  </si>
  <si>
    <t>Move your seeds to a hole next to your opponent's hole.</t>
  </si>
  <si>
    <t>This allows you to hold seeds in their holes.</t>
  </si>
  <si>
    <t>There are no seeds in your last few holes, and the opponent is about to take more. What is the best option?</t>
  </si>
  <si>
    <t>A. Use your few remaining seeds in strategic holes to delay their capture.B. Try to move all your seeds into one hole to focus your defense.C. Give up and let your opponent finish the game.D. Arrange your seeds randomly to confuse your opponent</t>
  </si>
  <si>
    <t>Use your few remaining seeds in strategic holes to delay their capture.</t>
  </si>
  <si>
    <t>Strategic positioning helps minimize losses.</t>
  </si>
  <si>
    <t>Your opponent has a lot of seeds in the hole next to you. What is the best strategy?</t>
  </si>
  <si>
    <t>A. Move your seeds in the opposite direction to avoid direct collisions.B. Try to catch some of their offspring using your hole.C. Wait until they make a move and then respond.D. Make a move that forces them to play defensively.</t>
  </si>
  <si>
    <t>Try to catch some of their offspring using your hole.</t>
  </si>
  <si>
    <t>Controlling their burrows can limit their movement.</t>
  </si>
  <si>
    <t>You notice that your opponent has a significant lead in seeds. What should you focus on?</t>
  </si>
  <si>
    <t>A. Play defensively and hope they make mistakes.B. Try hard to hold the seeds to close the gap.C. Focus on setting traps to capture their movements.D. First make them move their seeds and then respond appropriately.</t>
  </si>
  <si>
    <t>Try hard to hold the seeds to close the gap.</t>
  </si>
  <si>
    <t>It is important to catch seeds quickly when you are behind in the game.</t>
  </si>
  <si>
    <t>Your last hole has a lot of seeds, but your opponent's holes are empty. What is the best option?</t>
  </si>
  <si>
    <t>A. Use your big hole to make powerful moves.B. Play defensively and try to avoid unnecessary movements.C. Spread your seeds evenly across multiple holes.D. Finish the game by reducing the seeds in your large hole.</t>
  </si>
  <si>
    <t>Use your big hole to make powerful moves.</t>
  </si>
  <si>
    <t>Using your big hole allows you to set the pace of the game.</t>
  </si>
  <si>
    <t>Your opponent has made a save, and you only have a few moves left. What do you do?</t>
  </si>
  <si>
    <t>A. Play defensively and reduce the number of seeds in your holes.B. Focus on preparing a counter move on your next turn.C. Move your seeds to places that will allow them to continue growing.D. Complete the game as quickly as possible to avoid additional images.</t>
  </si>
  <si>
    <t>Play defensively and reduce the number of seeds in your holes.</t>
  </si>
  <si>
    <t>When you have few options, playing defensively helps minimize losses.</t>
  </si>
  <si>
    <t>There are only a few holes left with seeds. How do you handle the situation?</t>
  </si>
  <si>
    <t>A. Try to protect all remaining holes to reduce your opponent's options.B. Forcefully move your seeds into empty holes to force your opponent to move.C. Focus on catching as many seeds as possible.D. Move seeds to places that prevent your opponent from capturing them.</t>
  </si>
  <si>
    <t>Try to protect all remaining holes to reduce your opponent's options.</t>
  </si>
  <si>
    <t>Protecting holes limits your opponent's chances of catching.</t>
  </si>
  <si>
    <t>You are at a point where there is only one possible step left. What should you do?</t>
  </si>
  <si>
    <t>A. Move and catch as many seeds as possible.B. Let your opponent take the next turn without interference.C. Try setting a timer for their next move.D. After doing this exercise, focus on the next round.</t>
  </si>
  <si>
    <t>Move and catch as many seeds as possible.</t>
  </si>
  <si>
    <t>Holding seeds as often as possible will increase your chances of winning.</t>
  </si>
  <si>
    <t>You notice that your opponent keeps placing seeds in the same hole. What should you do?</t>
  </si>
  <si>
    <t>A. Move to other holes so you can't control your movement.B. Force them to move by attacking the main hole.C. Try to catch as many seeds as possible from that hole.D. Prepare a counterattack to control the board.</t>
  </si>
  <si>
    <t>Force them to move by attacking the main hole.</t>
  </si>
  <si>
    <t>Diverting their attention away from the hole helps control the game.</t>
  </si>
  <si>
    <t>Your opponent's holes are positioned in a way that you cannot directly capture. What do you do?</t>
  </si>
  <si>
    <t>A. Focus on moving your seeds into the holes with small seeds.B. Take indirect action by targeting gaps in their defense.C. Wait until they make a move and try to respond.D. Increase the pressure, focusing on the weakest hole.</t>
  </si>
  <si>
    <t>Take indirect action by targeting gaps in their defense.</t>
  </si>
  <si>
    <t>Targeting weak points increases the chance of catching more seeds.</t>
  </si>
  <si>
    <t>Your pits are almost empty, and your opponent has a large number of seeds. What is your plan?</t>
  </si>
  <si>
    <t>A. Quickly move to empty pits so that no more are captured.B. Strategically place your last seeds to limit their ability to catch.C. Wait until you have a lot of seeds in your hand and then attack.D. Try to make a quick return by keeping seeds whenever possible.</t>
  </si>
  <si>
    <t>Strategically place your last seeds to limit their ability to catch.</t>
  </si>
  <si>
    <t>Restricting their movement can slow their development.</t>
  </si>
  <si>
    <t>Your opponent has more seeds than you in the middle holes. How do you respond?</t>
  </si>
  <si>
    <t>A. Attack their middle holes to reduce their advantage.B. Focus on controlling external wells to limit their spreadC. Move your seeds to the center to increase your chances.D. Focus your efforts on the edges of the board.</t>
  </si>
  <si>
    <t>Attack their middle holes to reduce their advantage.</t>
  </si>
  <si>
    <t>Reducing their control in the middle gives you more flexibility.</t>
  </si>
  <si>
    <t>You have the opportunity to capture a seed from your opponent's hole. What is the best way to proceed?</t>
  </si>
  <si>
    <t>A. Catch the seed immediately to controlB. Wait for a more convenient time to do your activity.C. First, move your seed to a protected area.D. Position yourself in a way that will produce multiple recordings.</t>
  </si>
  <si>
    <t>Catch the seed immediately to control</t>
  </si>
  <si>
    <t>It will give you an advantage to pick up seeds quickly.</t>
  </si>
  <si>
    <t>Your opponent captures your seeds, and you now have fewer holes. What is your strategy?</t>
  </si>
  <si>
    <t>A. Turn into holes to protect the remaining seeds.B. Focus on removing seeds from their holes immediately.C. Use your remaining moves to set up a defensive position.D. Try to collect as many seeds as possible from the last hole.</t>
  </si>
  <si>
    <t>Turn into holes to protect the remaining seeds.</t>
  </si>
  <si>
    <t>Defending and defending your holes will increase your chances of winning.</t>
  </si>
  <si>
    <t>You've managed to empty one of your wells. What will you do next?</t>
  </si>
  <si>
    <t>A. Move your seeds to the next hole to continue the game.B. Focus on attacking your opponent's most crowded hole.C. Try to prepare a surprising move for your next round.D. Wait for your opponent to make the next move.</t>
  </si>
  <si>
    <t>Move your seeds to the next hole to continue the game.</t>
  </si>
  <si>
    <t>Continuing to play with empty holes keeps the pressure on the opponent.</t>
  </si>
  <si>
    <t>The game is nearing its end, and you are ahead in the race. How will you finish the game?</t>
  </si>
  <si>
    <t>A. Play defensively to protect your lead.B. Hold as many seeds as possible tightly to expand your pencil.C. Take it carefully and wait for the right opportunity to strike.D. Focus on capturing the last seeds to secure your victory.</t>
  </si>
  <si>
    <t>Play defensively to protect your lead.</t>
  </si>
  <si>
    <t>Maintaining your lead will ensure victory when the game is over.</t>
  </si>
  <si>
    <t>You've noticed that your opponent often anticipates holding moves. How do you capitalize on this?</t>
  </si>
  <si>
    <t>A. Set traps to make them overestimate their next catch.B. Play defensively to force an error.C. Keep pushing and wait until you make a miscalculation.D. Focus on disrupting the movement of seeds by placing them strategically.</t>
  </si>
  <si>
    <t>Set traps to make them overestimate their next catch.</t>
  </si>
  <si>
    <t>Misleading your opponent will cause them to miscalculate their moves.</t>
  </si>
  <si>
    <t>You've made a powerful move that has left your opponent speechless. What's the next step?</t>
  </si>
  <si>
    <t>A. Allow your opponent to take the next step without interference.B. Continue to forcefully hold the remaining seeds.C. Play carefully and avoid making further mistakes.D. Wait for the next round to prepare for a counterattack.</t>
  </si>
  <si>
    <t>Continue to forcefully hold the remaining seeds.</t>
  </si>
  <si>
    <t>Capturing the remaining seeds will ensure the safety of your victory.</t>
  </si>
  <si>
    <t>You're at the end of the game now, and your wells are empty. What's your best bet?</t>
  </si>
  <si>
    <t>A. Play the last few moves carefully to avoid mistakes.B. Focus on getting your seeds into places for last-minute shoots.C. Play carefully to prevent your opponent from scoring extra points.D. Prepare for a strategic victory in your last few remaining races.</t>
  </si>
  <si>
    <t>Play the last few moves carefully to avoid mistakes.</t>
  </si>
  <si>
    <t>Finish the game with careful moves to ensure you maintain the advantage.</t>
  </si>
  <si>
    <t>You have one seed left in each of your holes, and your opponent has a large number of seeds. What should you do?</t>
  </si>
  <si>
    <t>A. Move your seeds into larger holes to prepare for protection.B. Try to use your seeds strategically to capture their seeds.C. Wait until the opponent makes a mistake.D. Try to empty your pits as soon as possible.</t>
  </si>
  <si>
    <t>Move your seeds into larger holes to prepare for protection.</t>
  </si>
  <si>
    <t>Using large holes helps prepare for counterattacks.</t>
  </si>
  <si>
    <t>Your opponent is constantly setting traps. What should your strategy be?</t>
  </si>
  <si>
    <t>A. Focus on breaking their traps and catching seeds.B. Set your own traps to force them into mistakes.C. Play carefully and watch their movements.D. Attack only when you are sure of winning.</t>
  </si>
  <si>
    <t>Focus on breaking their traps and catching seeds.</t>
  </si>
  <si>
    <t>Breaking traps removes their usefulness.</t>
  </si>
  <si>
    <t>You have made a strategic move that leaves your opponent with only one possible move. What is the next move?</t>
  </si>
  <si>
    <t>A. Wait and see if your opponent makes a mistake.B. Play the next round with power to capture seedsC. Focus on preventing further moves by your opponent.D. Plan your next move in a way that limits their chances.</t>
  </si>
  <si>
    <t>Focus on preventing further moves by your opponent.</t>
  </si>
  <si>
    <t>Restricting their movement increases control of the game.</t>
  </si>
  <si>
    <t>Your opponent has more seeds in the middle holes than you. How will you respond?</t>
  </si>
  <si>
    <t>A. Try to control external holesB. Focus on reducing their control over the middle pitsC. Wait for them to make a move, then respond accordingly.D. Tighten the middle holes to hold the seeds.</t>
  </si>
  <si>
    <t>Focus on reducing their control over the middle pits</t>
  </si>
  <si>
    <t>Controlling the middle holes gives you a strategic advantage.</t>
  </si>
  <si>
    <t>Your opponent is constantly taking seeds to a hole. How should you respond?</t>
  </si>
  <si>
    <t>A. Focus on removing seeds from that hole whenever possible.B. Turn your movement to other pits and avoid their traps.C. Try to force them to move their seed out of the hole.D. Then wait for the right time to catch it in the hole.</t>
  </si>
  <si>
    <t>Focus on removing seeds from that hole whenever possible.</t>
  </si>
  <si>
    <t>Capturing seeds from the opponent's target hole weakens their strategy.</t>
  </si>
  <si>
    <t>You have significant seeds in one hole, but your opponent has many opportunities to capture. What do you do?</t>
  </si>
  <si>
    <t>A. Use the seed to prepare and hold the defenseB. Quickly move the seeds to another hole to confuse the opponent.C. Catch as many seeds as possible before they take their turn.D. Wait until they make a move and then respond appropriately.</t>
  </si>
  <si>
    <t>Use the seed to prepare and hold the defense</t>
  </si>
  <si>
    <t>Preparing a defense reduces the opponent's chances of being caught.</t>
  </si>
  <si>
    <t>Your opponent is going to have a large number of seeds. What should you focus on?</t>
  </si>
  <si>
    <t>A. Try to block the captured ones by moving your seeds into defensive pits.B. Try hard to capture some of their offspring in return.C. Let the seeds take hold and wait for a better opportunityD. Move all your seeds to the remaining holes to delay the game.</t>
  </si>
  <si>
    <t>Try to block the captured ones by moving your seeds into defensive pits.</t>
  </si>
  <si>
    <t>Blocking their capture can protect your advantage in the game.</t>
  </si>
  <si>
    <t>There are only a few seeds left, and your opponent has many seeds. What is your strategy?</t>
  </si>
  <si>
    <t>A. Try to set a trap that forces you to make a mistake.B. Protect your wells and aim for long-term recoveryC. Move seeds to sheltered areas and limit their options.D. Try hard to catch their offspring to reduce their benefits.</t>
  </si>
  <si>
    <t>Try to set a trap that forces you to make a mistake.</t>
  </si>
  <si>
    <t>Forcing your opponent into a trap brings a quick victory.</t>
  </si>
  <si>
    <t>You've just taken a seed, but now you have fewer holes left. What should your next move be?</t>
  </si>
  <si>
    <t>A. Focus on filling your holes to slow down the game.B. Carefully stir the remaining seeds so they don't stick.C. Try to make a surprising move to catch your opponent off guard.D. Capture as many seeds as possible from the opponent's holes to balance the game.</t>
  </si>
  <si>
    <t>Carefully stir the remaining seeds so they don't stick.</t>
  </si>
  <si>
    <t>The strategic placement of your remaining seeds will slow down the opponent's movement.</t>
  </si>
  <si>
    <t>Your opponent only captured a large number of your seeds. How can you control them?</t>
  </si>
  <si>
    <t>A. Focus on catching seeds in the most vulnerable holes.B. Rearrange the remaining seeds to create defensive positions.C. Move forcefully to control their midsections.D. Wait until they make a mistake and take advantage of it.</t>
  </si>
  <si>
    <t>Rearrange the remaining seeds to create defensive positions.</t>
  </si>
  <si>
    <t>A defensive play after a loss helps to regain control of the game.</t>
  </si>
  <si>
    <t>Your seeds are mostly in the middle holes, and your opponent is attacking the outer holes. What should you do?</t>
  </si>
  <si>
    <t>A. Move your seeds to the outer holes and protect them.B. Grab seeds from their pits to weaken their strategy.C. Focus on placing seeds in medium holes to preventD. Turn your movement to force it into the middle holes.</t>
  </si>
  <si>
    <t>Move your seeds to the outer holes and protect them.</t>
  </si>
  <si>
    <t>Preventing external leaks helps protect your space.</t>
  </si>
  <si>
    <t>You only have one hole left with a few seeds. What is your strategy?</t>
  </si>
  <si>
    <t>A. Move your last seeds to other holes for better placement.B. Try to grab any available seeds to force it to come back.C. Focus on reducing the opponent's movement in the next round.D. Wait for your opponent to make a mistake and act accordingly.</t>
  </si>
  <si>
    <t>Move your last seeds to other holes for better placement.</t>
  </si>
  <si>
    <t>Using the last seeds effectively will help slow down your opponent.</t>
  </si>
  <si>
    <t>Your opponent has many seeds, and you only have a few. What should your focus be?</t>
  </si>
  <si>
    <t>A. Focus on placing your seeds to catch more of them.B. Protect your holes and wait for an opening to strike.C. Move your seeds forcefully to the most vulnerable holes.D. Focus on getting your seeds into protected areas.</t>
  </si>
  <si>
    <t>Focus on placing your seeds to catch more of them.</t>
  </si>
  <si>
    <t>Effectively handling seeds helps even the playing field.</t>
  </si>
  <si>
    <t>You have a hole with a large number of seeds, and your opponent is focusing on empty holes. What is your move?</t>
  </si>
  <si>
    <t>A. Move your seeds to where they can grow.B. Keep your big hole intact and set up defensive positions.C. Transfer some seeds to empty holes to confuse your opponentD. Wait for your opponent to make a move and then react.</t>
  </si>
  <si>
    <t>Move your seeds to where they can grow.</t>
  </si>
  <si>
    <t>The strategic movement of the race makes it difficult for your opponent to predict your movements.</t>
  </si>
  <si>
    <t>Your opponent has placed seeds in a hole that you can't reach. What's your best response?</t>
  </si>
  <si>
    <t>A. Move them to an accessible hole so they don't get caught in the seeds.B. Wait until the next round to see how they respond.C. Focus on moving seeds into other holes that you can reach.D. Try to catch seeds from other holes that are within reach.</t>
  </si>
  <si>
    <t>Move them to an accessible hole so they don't get caught in the seeds.</t>
  </si>
  <si>
    <t>Preventing them from controlling other wells would limit their options.</t>
  </si>
  <si>
    <t>You notice that your opponent is trying to rush their moves. What do you do?</t>
  </si>
  <si>
    <t>A. Take your time to analyze their next moves and plan a countermeasure.B. Try hard to catch as many seeds as possible.C. Divert their attention by doing unexpected activitiesD. Try to outpace them by speeding up your own movement.</t>
  </si>
  <si>
    <t>Take your time to analyze their next moves and plan a countermeasure.</t>
  </si>
  <si>
    <t>Analyzing your opponent's strategy will help you cope with their rush.</t>
  </si>
  <si>
    <t>Your opponent has set up many traps in the middle pits. How should you respond?</t>
  </si>
  <si>
    <t>A. Try to catch seeds from other holes to avoid traps.B. Focus on breaking their trap by carefully placing seeds.C. Move the seeds quickly and try to mislead them.D. Wait until you get it wrong and then use it.</t>
  </si>
  <si>
    <t>Focus on breaking their trap by carefully placing seeds.</t>
  </si>
  <si>
    <t>Breaking traps will disrupt their strategy and give you an advantage.</t>
  </si>
  <si>
    <t>Your last remaining holes only have one seed each, but your opponent is close to winning. What is your next move?</t>
  </si>
  <si>
    <t>A. Move your seeds to protect your wells.B. Catch the rest of their offspring before they catch yours.C. Try moving your seeds into vulnerable holes.D. Focus on getting the most out of your time by planning carefully.</t>
  </si>
  <si>
    <t>Move your seeds to protect your wells.</t>
  </si>
  <si>
    <t>Defending your pits will reduce their chances of victory.</t>
  </si>
  <si>
    <t>You have successfully captured most of your opponent's seeds. How will they end the game?</t>
  </si>
  <si>
    <t>A. Focus on keeping the remaining seeds in safe places.B. Focus on making sure that no further lifting is possible.C. Hold on tightly to the remaining seeds to secure victory.D. Defend your holes until you are ready to end the game.</t>
  </si>
  <si>
    <t>Hold on tightly to the remaining seeds to secure victory.</t>
  </si>
  <si>
    <t>Holding the last seeds ensures your victory and limits their chances.</t>
  </si>
  <si>
    <t>Your opponent has made a move that puts you one step away from victory. How do you respond?</t>
  </si>
  <si>
    <t>A. Hold the remaining seeds tightly.B. Move your seeds strategically to block their path.C. Wait until they make a mistake and take advantage of it.D. Set a trap to force someone into bad behavior.</t>
  </si>
  <si>
    <t>Move your seeds strategically to block their path.</t>
  </si>
  <si>
    <t>Blocking their final moves will prevent their victory.</t>
  </si>
  <si>
    <t>Your opponent has more seeds in the pit than you. How should you respond?</t>
  </si>
  <si>
    <t>A. Focus on keeping their seed in check.B. Move your seeds forcefully into the hole.C. Try to empty your pores and slow down their activity.D. Wait until they make a mistake and take advantage of it.</t>
  </si>
  <si>
    <t>Focus on keeping their seed in check.</t>
  </si>
  <si>
    <t>Picking up seeds allows you to regain control and balance the game.</t>
  </si>
  <si>
    <t>You have a strong position with many seeds, but the game is coming to an end. What will you do?</t>
  </si>
  <si>
    <t>A. Defend your position and prevent your opponent from capturing any seeds.B. Continue to attack vigorously to capture all possible seeds.C. Focus on moving your seeds into your holes quickly.D. Avoid any risky activities and play defensively.</t>
  </si>
  <si>
    <t>Defend your position and prevent your opponent from capturing any seeds.</t>
  </si>
  <si>
    <t>Securing your spot ensures there are no last minute losses.</t>
  </si>
  <si>
    <t>You're running out of moves, but you have seeds in a few holes. What's your strategy?</t>
  </si>
  <si>
    <t>A. Try to prepare a move that will force your opponent into a trap.B. Focus on reorganizing your seeds to block their path.C. Move quickly and hope to create an advantage in the next round.D. Focus on preparing for your next turn with a defensive strategy.</t>
  </si>
  <si>
    <t>Try to prepare a move that will force your opponent into a trap.</t>
  </si>
  <si>
    <t>Setting traps restricts their ability to move freely.</t>
  </si>
  <si>
    <t>Your opponent has taken a large number of seeds. What should you focus on next?</t>
  </si>
  <si>
    <t>A. Focus on preventing them from getting too many seeds.B. Try to catch as many seeds as possible to get back.C. Protect your remaining holes from getting any more.D. Set up a trap to catch the remaining seeds.</t>
  </si>
  <si>
    <t>Focus on preventing them from getting too many seeds.</t>
  </si>
  <si>
    <t>Blocking their activities gives you the opportunity to reach them.</t>
  </si>
  <si>
    <t>Your opponent controls the middle holes. What should your next move be?</t>
  </si>
  <si>
    <t>A. Grab seeds from their holes to break down their numbers.B. Move seeds to the middle holes and control their growth.C. Develop a defense strategy to block their movement.D. Focus on emptying your pits to force them to move first.</t>
  </si>
  <si>
    <t>Grab seeds from their holes to break down their numbers.</t>
  </si>
  <si>
    <t>Breaking control of the middle wells would ruin their strategy.</t>
  </si>
  <si>
    <t>You only have one hole with seeds, and the opponent has many. What is your strategy?</t>
  </si>
  <si>
    <t>A. Focus on defending the remaining hole and watch for mistakes.B. Keep the seeds tightly in the outer holesC. Set a trap to force someone into bad behavior.D. Move all your seeds to defensive positions to block their movements.</t>
  </si>
  <si>
    <t>Focus on defending the remaining hole and watch for mistakes.</t>
  </si>
  <si>
    <t>Protecting your last hole can prevent your seeds from taking hold.</t>
  </si>
  <si>
    <t>You have a few seeds left, and your opponent has many. What is your best strategy?</t>
  </si>
  <si>
    <t>A. Focus on capturing their seed to balance the game.B. Try to set a trap and force them to make a mistake.C. Protect your holes and wait for the opportunity to strike.D. Move your seeds vigorously to attack the weakest hole.</t>
  </si>
  <si>
    <t>Focus on capturing their seed to balance the game.</t>
  </si>
  <si>
    <t>Capturing their seed will help turn the game in your favor.</t>
  </si>
  <si>
    <t>Your opponent has placed their seed in a hole with lots of empty spaces. What should you do?</t>
  </si>
  <si>
    <t>A. Move your seeds into that hole and hold their seed.B. Move seeds to another hole to create a new trap.C. They tightly attack their outer hole to create pressure.D. Prepare a defensive game and avoid taking any risks.</t>
  </si>
  <si>
    <t>Move your seeds into that hole and hold their seed.</t>
  </si>
  <si>
    <t>Keeping seeds from a vulnerable hole reduces their usefulness.</t>
  </si>
  <si>
    <t>Your opponent has made a move that is endangering the big hole. What will you do?</t>
  </si>
  <si>
    <t>A. To benefit, grab seeds from a large hole.B. Focus on protecting your own wells to avoid losing seeds.C. Move seeds to sheltered areas and watch for bugs.D. Attack their other wells to spread their focus.</t>
  </si>
  <si>
    <t>To benefit, grab seeds from a large hole.</t>
  </si>
  <si>
    <t>Targeting their biggest hole will give you a big advantage.</t>
  </si>
  <si>
    <t>You're in a tight spot with a few seeds left. How do you maintain control of the game?</t>
  </si>
  <si>
    <t>A. Focus on preventing the opponent from capturing your seed.B. Target the opponent's vulnerable spots.C. Move your seeds to outside wells to controlD. Prepare a counterattack that forces your opponent to move first.</t>
  </si>
  <si>
    <t>Focus on preventing the opponent from capturing your seed.</t>
  </si>
  <si>
    <t>Blocking their movement creates opportunities for replay.</t>
  </si>
  <si>
    <t>Your opponent has a few seeds left, and you have a lot. What should you do next?</t>
  </si>
  <si>
    <t>A. Capture the remaining descendants to end the game.B. Protect your wells and avoid any dangerous activities.C. Keep picking seeds to ensure you win.D. Move your seeds to protected areas and watch for bugs.</t>
  </si>
  <si>
    <t>Capture the remaining descendants to end the game.</t>
  </si>
  <si>
    <t>Finishing their last race guarantees your victory.</t>
  </si>
  <si>
    <t>You are about to lose a hole with a lot of seeds to your opponent. What will you do?</t>
  </si>
  <si>
    <t>A. In return, set a trap in another hole to catch their offspring.B. Rearrange your remaining seeds to block their path.C. Take seeds in a hole that is too difficult to reachD. Focus on removing seeds from their holes before you lose them.</t>
  </si>
  <si>
    <t>In return, set a trap in another hole to catch their offspring.</t>
  </si>
  <si>
    <t>Setting traps in advance will make it difficult for your opponent to control the game.</t>
  </si>
  <si>
    <t>Your opponent is aggressively attacking your holes. What should you do to regain control?</t>
  </si>
  <si>
    <t>A. Try to counterattack and capture their seed.B. Focus on defending your holes and watch for mistakes.C. Hold their seed tightly to thwart their plan.D. Move the remaining seeds to sheltered areas.</t>
  </si>
  <si>
    <t>Try to counterattack and capture their seed.</t>
  </si>
  <si>
    <t>Disrupting their strategy with aggressive play will change the momentum.</t>
  </si>
  <si>
    <t>Now you have a large number of seeds. How do you ensure that the game stays in your favor?</t>
  </si>
  <si>
    <t>A. Focus on defending your offspring and blocking their movements.B. Arrange your seeds in places to hold more seeds.C. Set traps in outdoor holes and make them vulnerable.D. Move the seeds forcefully into the protective holes to slow them down.</t>
  </si>
  <si>
    <t>Focus on defending your offspring and blocking their movements.</t>
  </si>
  <si>
    <t>Defending captured seeds reduces the opponent's chances.</t>
  </si>
  <si>
    <t>Your opponent has taken a large number of seeds. What will you do to recover?</t>
  </si>
  <si>
    <t>A. Focus on breaking their defenses and taking back seeds.B. Set a trap and force them to make mistakes.C. Arrange your seeds into a defensive position to capture the game.D. Play aggressively and capture as many of their offspring as possible.</t>
  </si>
  <si>
    <t>Focus on breaking their defenses and taking back seeds.</t>
  </si>
  <si>
    <t>Breaking their defensive line will restore control of the game.</t>
  </si>
  <si>
    <t>Your opponent is trying to set up traps in several holes. What should you do next?</t>
  </si>
  <si>
    <t>A. Focus on attacking their weak spots to break their trap.B. Arrange your seeds in protective areas to avoid traps.C. Hold any seeds tightly in their outer shell.D. Set your own traps to force them into error.</t>
  </si>
  <si>
    <t>Focus on attacking their weak spots to break their trap.</t>
  </si>
  <si>
    <t>Breaking their traps with strategic moves will give you the advantage.</t>
  </si>
  <si>
    <t>You only have a few holes left with seeds, and the game is almost over. What are you focusing on?</t>
  </si>
  <si>
    <t>A. Move your seeds to protected areas so they don't get lost.B. Catch as many seeds as possible to finish the game.C. Set traps to force your opponent into bad moves.D. Defend your holes and wait for a chance to catch up.</t>
  </si>
  <si>
    <t>Move your seeds to protected areas so they don't get lost.</t>
  </si>
  <si>
    <t>Protecting the remaining holes will increase the chances of survival.</t>
  </si>
  <si>
    <t>You have taken some of your opponent's seeds. How do you continue the game?</t>
  </si>
  <si>
    <t>A. Focus on setting traps and catching lots of seeds.B. Protect your holes and limit your opponent's optionsC. Capture as many seeds as possible to maintain control.D. Wait until they make a mistake and take advantage of it.</t>
  </si>
  <si>
    <t>Focus on setting traps and catching lots of seeds.</t>
  </si>
  <si>
    <t>Setting traps forces your opponent into a defensive position.</t>
  </si>
  <si>
    <t>Your opponent just moved their seed to the location where yours is. What will you do?</t>
  </si>
  <si>
    <t>A. Move your seeds quickly into a protective pit.B. Focus on capturing their seed before they capture yours.C. Wait for them to move again and then respond.D. Move your seeds to a new hole so they don't get stuck.</t>
  </si>
  <si>
    <t>Move your seeds quickly into a protective pit.</t>
  </si>
  <si>
    <t>Defending your holes prevents your opponent from gaining an advantage.</t>
  </si>
  <si>
    <t>Now you have taken a strategic step, and your opponent is about to capture your last seed. What will you do?</t>
  </si>
  <si>
    <t>A. Arrange again to avoid catching the remaining seeds.B. Set a trap in another hole to recover the game.C. Destroy their strategy by targeting their offspring.D. Take your last seed to a safe place so it doesn't get caught.</t>
  </si>
  <si>
    <t>Arrange again to avoid catching the remaining seeds.</t>
  </si>
  <si>
    <t>Preventing them from capturing your last seed will keep you in the game.</t>
  </si>
  <si>
    <t>You have only one seed left, you have many holes, and your opponent has many. What do you do?</t>
  </si>
  <si>
    <t>A. Capture their prey by moving strategically to their burrows.B. Move quickly to defensive positions and avoid making mistakes.C. Focus on blocking their movement and wait for an opportunity to counterattack.D. Try hard to catch seeds in their outer shell.</t>
  </si>
  <si>
    <t>Capture their prey by moving strategically to their burrows.</t>
  </si>
  <si>
    <t>Strategic movement will help you make the most of your exposure.</t>
  </si>
  <si>
    <t>Your opponent is about to capture many of your seeds. What is your immediate response?</t>
  </si>
  <si>
    <t>A. Focus on blocking their path and preventing capture.B. Move your seeds to safe places to prevent further loss.C. Try hard to catch as many of their offspring as possible.D. Re-arrange your holes to make it harder for seeds to get in.</t>
  </si>
  <si>
    <t>Focus on blocking their path and preventing capture.</t>
  </si>
  <si>
    <t>Stifling their development ensures fewer opportunities for them.</t>
  </si>
  <si>
    <t>You're in a tight spot with only one hole holding a lot of seeds, and your opponent is controlling the game. What do you do?</t>
  </si>
  <si>
    <t>A. Focus on setting traps and creating opportunities to catch their prey.B. Move all your seeds to a defensive position and wait for them to make a mistake.C. Keep seeds firmly in weak holes.D. Set a trap to force them into error and catch their prey.</t>
  </si>
  <si>
    <t>Focus on setting traps and creating opportunities to catch their prey.</t>
  </si>
  <si>
    <t>Catching them will allow you to tip the balance in your favor.</t>
  </si>
  <si>
    <t>You notice that your opponent is focused on capturing seeds from your outer holes. How do you respond?</t>
  </si>
  <si>
    <t>A. Move seeds to the inner holes to prevent them from getting stuck.B. Strongly oppose their movement by lifting them out of their hole.C. Change your strategy and target their weak spots.D. Focus on rearranging your seeds to create new traps</t>
  </si>
  <si>
    <t>Move seeds to the inner holes to prevent them from getting stuck.</t>
  </si>
  <si>
    <t>Maintaining inner wells will give you more flexibility in future turns.</t>
  </si>
  <si>
    <t>Your opponent has left a hole with many seeds in it. What will you do?</t>
  </si>
  <si>
    <t>A. Get in that hole and grab the seeds before they do.B. Protect other holes and leave that one open for later.C. Block their access and move your seeds to external wells.D. Wait until you make a mistake and then capitalize on it.</t>
  </si>
  <si>
    <t>Get in that hole and grab the seeds before they do.</t>
  </si>
  <si>
    <t>Pre-capturing seeds will disrupt their plans and give you an advantage.</t>
  </si>
  <si>
    <t>You are about to lose a pit full of seeds to your opponent. How can you get it back?</t>
  </si>
  <si>
    <t>A. Set a trap in another hole to force them to make a mistake.B. Move your seeds quickly to protected areas to limit the spread.C. Rearrange your remaining seeds to block their path.D. Focus on catching the seeds that remain in their holes.</t>
  </si>
  <si>
    <t>Set a trap in another hole to force them to make a mistake.</t>
  </si>
  <si>
    <t>Setting a trap ensures that you regain control over the game.</t>
  </si>
  <si>
    <t>You were constantly losing seeds to your opponent. What should your next move be?</t>
  </si>
  <si>
    <t>A. Focus on protecting your wells to prevent further losses.B. Try to hold the seeds in an outer hole to catch them.C. Set traps in the middle holes to force them into error.D. Tighten the weakest hole to hold more seeds.</t>
  </si>
  <si>
    <t>Focus on protecting your wells to prevent further losses.</t>
  </si>
  <si>
    <t>Protecting your pores will limit their chances of infection.</t>
  </si>
  <si>
    <t>Your opponent only captured your last few seeds. How can you recover?</t>
  </si>
  <si>
    <t>A. Keep seeds out of their holes to balance the game.B. Focus on blocking their movements and waiting for an opportunity.C. Defend your last hole and try to set a trap for the next turn.D. Re-arrange the remaining seeds to make them harder to catch.</t>
  </si>
  <si>
    <t>Keep seeds out of their holes to balance the game.</t>
  </si>
  <si>
    <t>Balancing the game gives you a better chance of recovery.</t>
  </si>
  <si>
    <t>You have many seeds left, and the game is nearing its end. What will you do?</t>
  </si>
  <si>
    <t>A. Catch as many of their seeds as possible to finish the game.B. Reorganize your seeds into protective areas to block them.C. Focus on setting a trap that forces them to make a mistake.D. Move your seeds quickly to defensive positions and watch for errors.</t>
  </si>
  <si>
    <t>Catch as many of their seeds as possible to finish the game.</t>
  </si>
  <si>
    <t>Holding seeds ensures they finish strong and maintain control.</t>
  </si>
  <si>
    <t>Your opponent only captured a large number of your seeds. What should you focus on?</t>
  </si>
  <si>
    <t>A. Focus on catching seeds from their weak pits to get back on track.B. Protect your remaining holes and create an opportunity for the next turn.C. Tighten their outer shell to hold more seeds.D. Set a trap to disrupt their next move and prevent further capture.</t>
  </si>
  <si>
    <t>Focus on catching seeds from their weak pits to get back on track.</t>
  </si>
  <si>
    <t>Targeting weak points helps balance the game.</t>
  </si>
  <si>
    <t>Your opponent has a lot of seeds in the middle holes. What is your next move?</t>
  </si>
  <si>
    <t>A. Try to catch seeds from the outside of the pit before using them.B. Set traps in outdoor wells to limit their movement.C. Move your seeds to protected areas to prevent them from taking hold.D. To control again, hold the seeds tightly in their inner holes.</t>
  </si>
  <si>
    <t>Try to catch seeds from the outside of the pit before using them.</t>
  </si>
  <si>
    <t>Catching their seed early will ruin their strategy.</t>
  </si>
  <si>
    <t>You have taken some of their offspring, and they are going to take revenge. What will you do?</t>
  </si>
  <si>
    <t>A. Defend your remaining holes and try to set a trap in another hole.B. Focus on blocking their movement and preventing them from capturing more seeds.C. Set up a defensive play and re-arrange your seeds for future turnsD. Move your remaining offspring to the safest places to block their movement.</t>
  </si>
  <si>
    <t>Defend your remaining holes and try to set a trap in another hole.</t>
  </si>
  <si>
    <t>Defending your wells creates an opportunity to recover from any retaliation.</t>
  </si>
  <si>
    <t>Your opponent is constantly picking your seed. What's the best way to stop them?</t>
  </si>
  <si>
    <t>A. Focus on blocking their movement and preventing them from capturing more seeds.B. Move all your seeds to defensive positions to limit their attacks.C. Forcefully capture as many of their offspring as possible to reduce their benefits.D. Set traps to force them to make mistakes.</t>
  </si>
  <si>
    <t>Focus on blocking their movement and preventing them from capturing more seeds.</t>
  </si>
  <si>
    <t>Banning their holding strategies would restore the balance of the game.</t>
  </si>
  <si>
    <t>Your opponent has just cleared one of your holes with many seeds. How do you respond?</t>
  </si>
  <si>
    <t>A. Reorganize your remaining seeds to block their attacks.B. Try hard to catch their offspring next turn.C. Defend your remaining holes and focus on capturing their seeds.D. Move your seeds to defensive positions and wait for a counterattack.</t>
  </si>
  <si>
    <t>Reorganize your remaining seeds to block their attack.</t>
  </si>
  <si>
    <t>Fixing the holes will help prevent further losses.</t>
  </si>
  <si>
    <t>You have now made a successful move, and your opponent has very few seeds left. What will you do?</t>
  </si>
  <si>
    <t>A. Move quickly to catch their last seed and save the game.B. Set up a protective trap to ensure you are in control.C. Focus on creating a defensive strategy for the next round.D. Wait until they make a move and then capitalize on it.</t>
  </si>
  <si>
    <t>Move quickly to catch their last seed and save the game.</t>
  </si>
  <si>
    <t>Holding their last seed ensures a strong finish.</t>
  </si>
  <si>
    <t>Your opponent has rearranged their ranks and set a trap. What should you do next?</t>
  </si>
  <si>
    <t>A. Control your traps by moving your seeds to a safe location.B. Focus on catching their prey to break their trap.C. Wait for them to make a move and respond accordingly.D. Set your own traps to force them into error.</t>
  </si>
  <si>
    <t>Control your traps by moving your seeds to a safe location.</t>
  </si>
  <si>
    <t>Responding strategically will help you avoid falling into their trap.</t>
  </si>
  <si>
    <t>Your opponent is setting a trap in the outer wells. What will you do?</t>
  </si>
  <si>
    <t>A. Take your seeds to those holes and catch their seeds before they take action.B. Reorganize your seeds to block their path and prevent them from setting traps.C. They firmly target their central pit and hold seeds.D. Wait until they complete the trap and then respond.</t>
  </si>
  <si>
    <t>Take your seeds to those holes and catch their seeds before they take action.</t>
  </si>
  <si>
    <t>Removing seeds before they hatch limits their options.</t>
  </si>
  <si>
    <t>Your opponent is about to win by capturing the last remaining seed. What will you do?</t>
  </si>
  <si>
    <t>A. Try to move all your seeds to protected areas to avoid losing them.B. Hold on tight to their seed to thwart their victory.C. Set up a defensive trap to force them to make mistakes.D. Focus on rearranging the remaining seeds and preventing them from getting caught.</t>
  </si>
  <si>
    <t>Try to move all your seeds to protected areas to avoid losing them.</t>
  </si>
  <si>
    <t>Moving defensively will delay their victory and often cost you.</t>
  </si>
  <si>
    <t>Your opponent just grabbed a hole full of seeds. What should you focus on next?</t>
  </si>
  <si>
    <t>A. Set the remaining seeds back into the protective area and wait for them to fail.B. Set a trap and try to catch their prey in return.C. Move seeds to other holes to avoid contamination.D. Focus on building a strong defense to limit further capture</t>
  </si>
  <si>
    <t>Set the remaining seeds back into the protective area and wait for them to fail.</t>
  </si>
  <si>
    <t>Strategic positioning limits their ability to capture multiple seeds.</t>
  </si>
  <si>
    <t>You're ahead in the game, but your opponent is catching up. What do you do?</t>
  </si>
  <si>
    <t>A. Focus on preserving their remaining descendants to survive in the future.B. Set traps so they don't get taken advantage of.C. Move quickly to secure their nest before they come back.D. Rearrange your seeds to maintain a strategic advantage</t>
  </si>
  <si>
    <t>Focus on preserving their remaining descendants to survive in the future.</t>
  </si>
  <si>
    <t>Staying ahead requires maintaining a balance between attack and defense.</t>
  </si>
  <si>
    <t>You have no moves left to capture your opponent's seeds. What should you focus on?</t>
  </si>
  <si>
    <t>A. Protect your remaining holes and try to last longer.B. Reorganize your seeds to create a counterattack.C. Set a trap in your hole to catch their offspring later.D. Focus on blocking their movement and hope for a mistake.</t>
  </si>
  <si>
    <t>Protect your remaining holes and try to last longer.</t>
  </si>
  <si>
    <t>Protection prevents them from using your space.</t>
  </si>
  <si>
    <t>Your opponent is using a defensive strategy, and you can't find any good moves. What should you do?</t>
  </si>
  <si>
    <t>A. Set traps in their weak holes to force them to make mistakes.B. Wait until you make a mistake and capitalize on it.C. Re-arrange your seeds to make your movement less predictable.D. Focus on defense and try to counter their tactics.</t>
  </si>
  <si>
    <t>Set traps in their weak holes to force them to make mistakes.</t>
  </si>
  <si>
    <t>Setting traps creates open spaces for your next move.</t>
  </si>
  <si>
    <t>Your opponent is playing aggressively, capturing many of your seeds. How do you respond?</t>
  </si>
  <si>
    <t>A. Switch to a defensive strategy to prevent further lossesB. To balance the game, keep their seeds from weak holes.C. Focus on preparing your own counterattack.D. Try to catch as many seeds as possible from their pits.</t>
  </si>
  <si>
    <t>Switch to a defensive strategy to prevent further losses</t>
  </si>
  <si>
    <t>Protecting your offspring will limit their chances of future infection.</t>
  </si>
  <si>
    <t>You have a few seeds left in your hole, but your opponent is controlling the game. What is your best strategy?</t>
  </si>
  <si>
    <t>A. Focus on preventing them from getting caught and creating opportunities for them to return.B. Move all your seeds to defensive positions and wait for them to make a mistake.C. Target their weak spots to capture and re-take control of the seedsD. Wait for the right moment to move your seeds and try to catch them.</t>
  </si>
  <si>
    <t>Focus on preventing them from getting caught and creating opportunities for them to return.</t>
  </si>
  <si>
    <t>Blocking their movement gives you time to develop new strategies.</t>
  </si>
  <si>
    <t>You are about to lose a hole full of seeds. What should you do next?</t>
  </si>
  <si>
    <t>A. Move seeds into protective wells to protect them.B. Try hard to catch seeds from their weak holes.C. Set traps to force them into error.D. Re-establish the remaining trenches to defend and prepare for a counterattack.</t>
  </si>
  <si>
    <t>Move seeds into protective wells to protect them.</t>
  </si>
  <si>
    <t>Preventing the remaining holes will reduce further losses.</t>
  </si>
  <si>
    <t>Your opponent is setting a trap in their outer shell. How will you respond?</t>
  </si>
  <si>
    <t>A. Move your seeds to the inner holes to avoid getting trapped.B. Keep as many seeds as possible in their hole.C. Arrange your seeds into a defensive position to block their movements.D. Focus on defending your holes when you need to counterattack.</t>
  </si>
  <si>
    <t>Move your seeds to the inner holes to avoid getting trapped.</t>
  </si>
  <si>
    <t>Taking your seeds to safe places prevents unnecessary accidents.</t>
  </si>
  <si>
    <t>You notice that your opponent has a lot of seeds in the central holes. How do you counter this?</t>
  </si>
  <si>
    <t>A. Focus on getting their outer seeds before using the inner ones.B. Rearrange your seeds so they don't fall into the center holes.C. Keep as many seeds as possible in their hole.D. Force them to make mistakes by trapping them in a corner.</t>
  </si>
  <si>
    <t>Focus on getting their outer seeds before using the inner ones.</t>
  </si>
  <si>
    <t>Holding their external offspring will disrupt their strategy and slow them down.</t>
  </si>
  <si>
    <t>Your opponent has captured your last seed from the pit. What is your next move?</t>
  </si>
  <si>
    <t>A. Re-arrange the remaining seeds to create new opportunities.B. Protect your remaining holes and wait for them to make a mistake.C. To balance the game, keep their seeds from weak holes.D. Focus on blocking their movements and preventing further recordings.</t>
  </si>
  <si>
    <t>Re-arrange the remaining seeds to create new opportunities.</t>
  </si>
  <si>
    <t>Reorganization gives you more flexibility and opportunities for recovery.</t>
  </si>
  <si>
    <t>Your opponent has taken a large number of seeds. How can you recover?</t>
  </si>
  <si>
    <t>A. Rearrange your seeds to create defensive traps and limit their movement.B. Grab seeds from their weak pits and try to balance the game.C. Tighten their outer shell to hold more seeds.D. Defend your remaining descendants and look for opportunities to strike back.</t>
  </si>
  <si>
    <t>Rearrange your seeds to create defensive traps and limit their movement.</t>
  </si>
  <si>
    <t>Creating traps limits their ability to catch many seeds.</t>
  </si>
  <si>
    <t>Your opponent is about to clear one of your many holes. What will you do?</t>
  </si>
  <si>
    <t>A. Set up a defensive position to block their movement.B. Catch as many of their offspring as possible before they catch yours.C. Arrange your seeds in safe places to avoid further losses.D. Focus on setting traps to force them into making mistakes.</t>
  </si>
  <si>
    <t>Set up a defensive position to block their movement.</t>
  </si>
  <si>
    <t>Blocking their movement prevents further seed loss.</t>
  </si>
  <si>
    <t>You've taken action now, and your opponent is about to retaliate. What's your next move?</t>
  </si>
  <si>
    <t>A. Re-arrange your seeds to prevent a counterattack.B. Try to catch their seeds from weak holes.C. Move your remaining offspring to safe areas to block their movement.D. Wait until they make their move and respond accordingly.</t>
  </si>
  <si>
    <t>Re-arrange your seeds to prevent a counterattack.</t>
  </si>
  <si>
    <t>Preventing their retaliation will reduce the damage.</t>
  </si>
  <si>
    <t>Your opponent has made a successful move. What will you do next?</t>
  </si>
  <si>
    <t>A. Focus on blocking their next move and preventing them from capturing more seeds.B. Re-arrange your seeds to prepare for a counterattack.C. Hold their seeds tightly from weak holes.D. Move to sheltered areas to protect your seeds.</t>
  </si>
  <si>
    <t>Focus on blocking their next move and preventing them from capturing more seeds.</t>
  </si>
  <si>
    <t>Blocking their movement creates opportunities for retaliation.</t>
  </si>
  <si>
    <t>You are behind in the game, and your opponent is gaining more power. What do you do?</t>
  </si>
  <si>
    <t>A. Switch to defensive mode and hope for a mistakeB. Capture as many of their offspring as possible to minimize their benefits.C. Focus on setting traps to thwart their strategy.D. Re-arrange your seeds and wait for a counterattack to avoid further losses.</t>
  </si>
  <si>
    <t>Switch to defensive mode and hope for a mistake</t>
  </si>
  <si>
    <t>Prevention gives you more time to regroup and recover.</t>
  </si>
  <si>
    <t>Your opponent is playing aggressively, and now they've lost a hole full of seeds. How do you respond?</t>
  </si>
  <si>
    <t>A. Move your seeds to safe places and prevent further infestations.B. Try to force a mistake to set traps in weak holes.C. Reorganize your seeds to create a counterattack and recapture the seeds.D. Focus on preventing their attacks and preparing for defense.</t>
  </si>
  <si>
    <t>Move your seeds to safe places and prevent further infestations.</t>
  </si>
  <si>
    <t>Prevention prevents them from producing more seeds.</t>
  </si>
  <si>
    <t>Your opponent is constantly taking your seeds from your outer wells. How do you counter this?</t>
  </si>
  <si>
    <t>A. Arrange your seeds in more protected areas.B. Grab their seeds from the weak holes and balance the game.C. Set traps in the outer holes to prevent further capture.D. They forcefully targeted their central well to regain control.</t>
  </si>
  <si>
    <t>Arrange your seeds in more protected areas.</t>
  </si>
  <si>
    <t>Protecting your wells reduces the chances of infection.</t>
  </si>
  <si>
    <t>Your opponent has now set a trap in the outer wells. How will you respond?</t>
  </si>
  <si>
    <t>A. Move your seeds into the inner holes to avoid falling into the trap.B. Focus on removing seeds from their central pit.C. Re-arrange your seeds to close their trap and attack back.D. Defend your alien burrows and try to capture their offspring</t>
  </si>
  <si>
    <t>Move your seeds into the inner holes to avoid falling into the trap.</t>
  </si>
  <si>
    <t>Removing the trap will give you more flexibility in your next moves.</t>
  </si>
  <si>
    <t>Your opponent has now moved their seed into a defensive position. How will you respond?</t>
  </si>
  <si>
    <t>A. Try to catch their seed in the weak holes you left open.B. Re-arrange your seeds into a defensive formation and wait for an opportunity.C. Set traps to force them to make mistakes.D. Focus on capturing their seed before strengthening their defenses.</t>
  </si>
  <si>
    <t>Try to catch their seed in the weak holes you left open.</t>
  </si>
  <si>
    <t>Capturing their weak core weakens their defenses and restores balance.</t>
  </si>
  <si>
    <t>You notice your opponent preparing a counterattack. How do you respond?</t>
  </si>
  <si>
    <t>A. Deploy your seeds to a defensive position to prevent counterattacks.B. Focus on capturing their seed and disrupting their plans.C. Wait until they make their move and then block the counterattack.D. Set a trap to force them to make a mistake.</t>
  </si>
  <si>
    <t>Deploy your seeds to a defensive position to prevent counterattacks.</t>
  </si>
  <si>
    <t>Defending against counterattacks limits their chances of recovery.</t>
  </si>
  <si>
    <t>You've only taken a few of your opponent's seeds, but they still have a strong position. What will you do next?</t>
  </si>
  <si>
    <t>A. Re-arrange your seeds to protect your place and prevent it from coming back.B. Set traps to force them to make mistakes.C. Focus on capturing the remaining seeds and completing the game.D. Wait until they make their move and adjust your strategy.</t>
  </si>
  <si>
    <t>Re-arrange your seeds to protect your place and prevent it from coming back.</t>
  </si>
  <si>
    <t>Securing your position makes it harder for them to recover.</t>
  </si>
  <si>
    <t>You’ve captured several of your opponent’s seeds, but they are still ahead. How do you turn the tide?</t>
  </si>
  <si>
    <t>A. Focus on capturing their remaining seeds and reducing their advantageB. Set traps to disrupt their strategy and force them to make mistakesC. Rearrange your seeds to create a defensive position and wait for an openingD. Aggressively target their weak pits and capture more seeds</t>
  </si>
  <si>
    <t>Focus on capturing their remaining seeds and reducing their advantage</t>
  </si>
  <si>
    <t>Capturing their remaining seeds levels the playing field.</t>
  </si>
  <si>
    <t>You have a chance to capture several of your opponent's seeds in one move. What should you do?</t>
  </si>
  <si>
    <t>A. Take the opportunity and capture the seedsB. Wait for a better opportunityC. Move your seeds to a defensive position insteadD. Rearrange your pits to confuse your opponent</t>
  </si>
  <si>
    <t>Take the opportunity and capture the seeds</t>
  </si>
  <si>
    <t>Capturing seeds immediately increases your advantage.</t>
  </si>
  <si>
    <t>Your opponent has a significant number of seeds in their pits. How do you manage?</t>
  </si>
  <si>
    <t>A. Capture as many of their seeds as possibleB. Defend your own pits and block their movesC. Wait for them to make a mistakeD. Set traps to force them into a mistake</t>
  </si>
  <si>
    <t>Capture as many of their seeds as possible</t>
  </si>
  <si>
    <t>Taking their seeds disrupts their strategy.</t>
  </si>
  <si>
    <t>You notice your opponent is about to capture your last seeds from a pit. What do you do?</t>
  </si>
  <si>
    <t>A. Try to block their move by rearranging your seedsB. Capture their seeds before they can capture yoursC. Rearrange your seeds into a defensive positionD. Focus on the outer pits to disrupt their plan</t>
  </si>
  <si>
    <t>Try to block their move by rearranging your seeds</t>
  </si>
  <si>
    <t>Blocking their move prevents further losses.</t>
  </si>
  <si>
    <t>Your opponent has captured several of your seeds. What is your response?</t>
  </si>
  <si>
    <t>A. Aggressively capture their seeds from weaker pitsB. Rearrange your seeds into a defensive positionC. Wait for an opening and retaliate when possibleD. Focus on the inner pits to control the game</t>
  </si>
  <si>
    <t>Aggressively capture their seeds from weaker pits</t>
  </si>
  <si>
    <t>Capturing their seeds will level the playing field.</t>
  </si>
  <si>
    <t>You have just captured several seeds, and now your opponent is trying to retaliate. What should you do?</t>
  </si>
  <si>
    <t>A. Defend your pits and block their moveB. Rearrange your seeds to confuse themC. Wait for them to make a mistakeD. Try to capture more seeds before they retaliate</t>
  </si>
  <si>
    <t>Defend your pits and block their move</t>
  </si>
  <si>
    <t>Blocking their retaliation secures your position.</t>
  </si>
  <si>
    <t>Your opponent has rearranged their seeds into a more defensive setup. What’s your next move?</t>
  </si>
  <si>
    <t>A. Focus on capturing their outer seedsB. Rearrange your seeds to challenge their defenseC. Wait for them to make a move and adaptD. Rearrange your seeds into a counterattack strategy</t>
  </si>
  <si>
    <t>Focus on capturing their outer seeds</t>
  </si>
  <si>
    <t>Capturing outer seeds weakens their defense.</t>
  </si>
  <si>
    <t>You notice your opponent has left some seeds vulnerable in their outer pits. What should you do?</t>
  </si>
  <si>
    <t>A. Capture the seeds immediately to disrupt their planB. Wait for a better opportunityC. Rearrange your seeds into a defensive positionD. Focus on setting traps to capture more seeds later</t>
  </si>
  <si>
    <t>Capture the seeds immediately to disrupt their plan</t>
  </si>
  <si>
    <t>Capturing seeds weakens their position.</t>
  </si>
  <si>
    <t>You’re about to lose one of your pits full of seeds. How do you protect it?</t>
  </si>
  <si>
    <t>A. Move your seeds into other pits for safetyB. Try to capture their seeds before they capture yoursC. Rearrange your seeds into more protected positionsD. Defend your remaining pits and wait for an opening</t>
  </si>
  <si>
    <t>Move your seeds into other pits for safety</t>
  </si>
  <si>
    <t>Moving seeds prevents complete loss of pits.</t>
  </si>
  <si>
    <t>Your opponent has just made a great move, capturing several of your seeds. What’s your next strategy?</t>
  </si>
  <si>
    <t>A. Rearrange your seeds to block their next moveB. Set up a counterattack to regain controlC. Focus on defensive moves to limit their captureD. Try to capture more seeds from their weaker pits</t>
  </si>
  <si>
    <t>Rearrange your seeds to block their next move</t>
  </si>
  <si>
    <t>Blocking their move minimizes further losses.</t>
  </si>
  <si>
    <t>You notice your opponent has just set up a trap in their outer pits. What should you do?</t>
  </si>
  <si>
    <t>A. Move your seeds to the inner pits to avoid getting trappedB. Focus on capturing their seeds from their central pitsC. Rearrange your seeds into a defensive setupD. Set traps in their weak pits to disrupt their strategy</t>
  </si>
  <si>
    <t>Move your seeds to the inner pits to avoid getting trapped</t>
  </si>
  <si>
    <t>Moving your seeds out of the trap area reduces risk.</t>
  </si>
  <si>
    <t>Your opponent is gaining a lot of momentum. How do you respond?</t>
  </si>
  <si>
    <t>A. Switch to a defensive strategy and wait for them to make a mistakeB. Focus on capturing their weak pits to slow them downC. Rearrange your seeds to protect your remaining pitsD. Set traps to force them into a mistake</t>
  </si>
  <si>
    <t>Switch to a defensive strategy and wait for them to make a mistake</t>
  </si>
  <si>
    <t>Defending allows you to avoid further losses.</t>
  </si>
  <si>
    <t>Your opponent is playing aggressively and captures many of your seeds. What should you do?</t>
  </si>
  <si>
    <t>A. Capture as many of their seeds as possible to counter their aggressionB. Switch to a defensive position and protect your pitsC. Try to set traps and counterattack laterD. Move seeds to safer pits and wait for an opportunity</t>
  </si>
  <si>
    <t>Capture as many of their seeds as possible to counter their aggression</t>
  </si>
  <si>
    <t>Counterattacking will shift the balance in your favor.</t>
  </si>
  <si>
    <t>You have no seeds left in one of your pits. What do you do now?</t>
  </si>
  <si>
    <t>A. Rearrange your remaining seeds into safer pitsB. Try to capture their seeds from their weaker pitsC. Focus on blocking their moves to avoid further capturesD. Wait for them to make a mistake and capitalize on it</t>
  </si>
  <si>
    <t>Rearrange your remaining seeds into safer pits</t>
  </si>
  <si>
    <t>Rearranging your seeds prevents further losses.</t>
  </si>
  <si>
    <t>Your opponent just captured your last few seeds from a pit. How do you proceed?</t>
  </si>
  <si>
    <t>A. Rearrange your remaining seeds into defensive positionsB. Capture as many of their seeds as possible from their weaker pitsC. Wait for them to make a mistake and retaliate laterD. Focus on defending your remaining pits</t>
  </si>
  <si>
    <t>Rearrange your remaining seeds into defensive positions</t>
  </si>
  <si>
    <t>Defending your seeds reduces further risk.</t>
  </si>
  <si>
    <t>Your opponent is about to clear one of your pits with many seeds. How do you stop this?</t>
  </si>
  <si>
    <t>A. Move your seeds to safer positions to block their moveB. Aggressively target their weaker pits to balance the gameC. Rearrange your seeds into a defensive positionD. Try to capture their seeds from their weaker pits</t>
  </si>
  <si>
    <t>Move your seeds to safer positions to block their move</t>
  </si>
  <si>
    <t>Blocking their move prevents a significant loss.</t>
  </si>
  <si>
    <t>Your opponent is about to capture your last seeds in a pit. What do you do?</t>
  </si>
  <si>
    <t>A. Defend your remaining pits by moving seeds into safer positionsB. Try to capture their seeds before they capture yoursC. Focus on blocking their moves and protecting your remaining pitsD. Set traps to force them into a mistake</t>
  </si>
  <si>
    <t>Defend your remaining pits by moving seeds into safer positions</t>
  </si>
  <si>
    <t>Defending prevents further capture.</t>
  </si>
  <si>
    <t>You notice your opponent is gaining an advantage with their seeds in the middle pits. How do you respond?</t>
  </si>
  <si>
    <t>A. Focus on capturing their seeds from weaker pitsB. Rearrange your seeds to block their access to the middle pitsC. Set traps to force them into making mistakesD. Try to counter their move by capturing seeds from their outer pits</t>
  </si>
  <si>
    <t>Focus on capturing their seeds from weaker pits</t>
  </si>
  <si>
    <t>Capturing their seeds prevents further momentum.</t>
  </si>
  <si>
    <t>Your opponent has a lot of seeds in their pits, but they are setting up for a big move. What do you do?</t>
  </si>
  <si>
    <t>A. Focus on blocking their upcoming move and wait for an openingB. Try to capture as many of their seeds as possibleC. Rearrange your seeds to set up a counterattackD. Move your seeds to safer positions to avoid getting trapped</t>
  </si>
  <si>
    <t>Focus on blocking their upcoming move and wait for an opening</t>
  </si>
  <si>
    <t>Blocking their move limits their ability to strike.</t>
  </si>
  <si>
    <t>You’ve lost several seeds, and your opponent has a strong position. How do you turn the tide?</t>
  </si>
  <si>
    <t>A. Set traps to catch them off guard and regain controlB. Rearrange your seeds into a defensive position and protect your pitsC. Wait for an error from your opponent and capitalize on itD. Aggressively target their weak pits to balance the game</t>
  </si>
  <si>
    <t>Set traps to catch them off guard and regain control</t>
  </si>
  <si>
    <t>Setting traps disrupts their strategy and slows their progress.</t>
  </si>
  <si>
    <t>Your opponent is moving their seeds into the middle pits, where they can capture many of your seeds. How do you respond?</t>
  </si>
  <si>
    <t>A. Rearrange your seeds to block access to the middle pitsB. Try to capture seeds from their outer pits to disrupt their planC. Set traps to force them into making a mistakeD. Focus on defending your pits and wait for a better opportunity</t>
  </si>
  <si>
    <t>Rearrange your seeds to block access to the middle pits</t>
  </si>
  <si>
    <t>Blocking their move reduces their control.</t>
  </si>
  <si>
    <t>You are about to capture several of your opponent's seeds from their outer pits. How do you proceed?</t>
  </si>
  <si>
    <t>A. Capture the seeds immediately to disrupt their strategyB. Rearrange your seeds into a defensive positionC. Wait for a better opportunityD. Move your seeds into a safer position before capturing</t>
  </si>
  <si>
    <t>Capture the seeds immediately to disrupt their strategy</t>
  </si>
  <si>
    <t>Capturing the seeds prevents them from gaining momentum.</t>
  </si>
  <si>
    <t>Your opponent is about to capture your seeds from the outer pits. What is your counter-move?</t>
  </si>
  <si>
    <t>A. Move your seeds into the inner pits to avoid captureB. Rearrange your seeds to block their moveC. Capture their seeds from the inner pits to retaliateD. Defend your outer pits by rearranging your seeds</t>
  </si>
  <si>
    <t>Move your seeds into the inner pits to avoid capture</t>
  </si>
  <si>
    <t>Avoiding capture secures your position in the game.</t>
  </si>
  <si>
    <t>Your opponent has just made a big capture from your inner pits. What is your next move?</t>
  </si>
  <si>
    <t>A. Rearrange your seeds into more defensive positionsB. Capture their seeds from the outer pitsC. Try to regain control by attacking their weakest pitD. Focus on defending your remaining pits</t>
  </si>
  <si>
    <t>Rearrange your seeds into more defensive positions</t>
  </si>
  <si>
    <t>Defensive rearrangement minimizes losses.</t>
  </si>
  <si>
    <t>You notice your opponent is leaving some seeds vulnerable in their outer pits. What should you do?</t>
  </si>
  <si>
    <t>A. Capture the vulnerable seeds immediately to weaken their positionB. Wait for them to make a mistake and capture more seedsC. Rearrange your seeds into a more strategic positionD. Focus on defending your own pits instead</t>
  </si>
  <si>
    <t>Capture the vulnerable seeds immediately to weaken their position</t>
  </si>
  <si>
    <t>Capturing vulnerable seeds prevents them from regaining control.</t>
  </si>
  <si>
    <t>Your opponent has a lot of seeds in their pits and is preparing for a major move. How do you handle this?</t>
  </si>
  <si>
    <t>A. Try to capture their seeds from their weaker pits before they make their moveB. Rearrange your seeds to block their most dangerous pitsC. Set traps to force them to make mistakesD. Focus on your defensive strategy to limit their advantage</t>
  </si>
  <si>
    <t>Try to capture their seeds from their weaker pits before they make their move</t>
  </si>
  <si>
    <t>Capturing their seeds disrupts their preparation.</t>
  </si>
  <si>
    <t>Your opponent is gaining momentum with several strong moves. What do you do next?</t>
  </si>
  <si>
    <t>A. Rearrange your seeds into a defensive position and wait for an openingB. Capture more of their seeds from their weaker pitsC. Focus on setting up a counterattack to disrupt their momentumD. Try to block their strongest moves and capture their seeds</t>
  </si>
  <si>
    <t>Rearrange your seeds into a defensive position and wait for an opening</t>
  </si>
  <si>
    <t>Blocking their moves will slow their momentum.</t>
  </si>
  <si>
    <t>You have captured several of your opponent's seeds, but now you have only a few left in your pits. What should you do?</t>
  </si>
  <si>
    <t>A. Defend your remaining seeds by setting up trapsB. Rearrange your remaining seeds to protect them from being capturedC. Wait for your opponent to make a mistake and retaliateD. Focus on capturing their seeds from their weak pits</t>
  </si>
  <si>
    <t>Defend your remaining seeds by setting up traps</t>
  </si>
  <si>
    <t>Setting traps protects your remaining seeds.</t>
  </si>
  <si>
    <t>Your opponent has no seeds in their pits. How do you take advantage of this situation?</t>
  </si>
  <si>
    <t>A. Capture as many of their seeds as possible from their outer pitsB. Rearrange your seeds into a more defensive positionC. Wait for them to make a move and counteract itD. Focus on protecting your seeds and keeping them safe</t>
  </si>
  <si>
    <t>Capture as many of their seeds as possible from their outer pits</t>
  </si>
  <si>
    <t>Capturing their seeds while they have no pits reduces their chances.</t>
  </si>
  <si>
    <t>You have just captured several seeds, but now your opponent is setting up for a counterattack. What do you do?</t>
  </si>
  <si>
    <t>A. Rearrange your seeds into a more defensive positionB. Focus on capturing more seeds before they can retaliateC. Move your seeds to safer positions to avoid getting trappedD. Wait for them to make a mistake and retaliate later</t>
  </si>
  <si>
    <t>Rearrange your seeds into a more defensive position</t>
  </si>
  <si>
    <t>Defensive repositioning helps protect your gains.</t>
  </si>
  <si>
    <t>Your opponent has made an aggressive move, capturing many of your seeds. What do you do now?</t>
  </si>
  <si>
    <t>A. Set traps to capture their seeds and regain controlB. Rearrange your seeds to block their next moveC. Try to capture their seeds from their weaker pitsD. Focus on defensive strategies to minimize further losses</t>
  </si>
  <si>
    <t>Set traps to capture their seeds and regain control</t>
  </si>
  <si>
    <t>Setting traps can catch your opponent off guard.</t>
  </si>
  <si>
    <t>Your opponent is about to capture your last few seeds from a pit. What do you do?</t>
  </si>
  <si>
    <t>A. Rearrange your remaining seeds into safer positionsB. Try to capture their seeds from their weaker pitsC. Focus on blocking their next moveD. Move your seeds to safer pits to protect them</t>
  </si>
  <si>
    <t>Rearrange your remaining seeds into safer positions</t>
  </si>
  <si>
    <t>Rearranging your seeds minimizes the chance of further loss.</t>
  </si>
  <si>
    <t>Your opponent is preparing to capture several of your seeds. What should you do?</t>
  </si>
  <si>
    <t>A. Rearrange your seeds into more defensive positionsB. Move your seeds to the inner pits to avoid captureC. Set traps to force them into making a mistakeD. Focus on capturing their seeds from their outer pits</t>
  </si>
  <si>
    <t>Your opponent has a strong setup, but you notice an opportunity to capture several of their seeds. What do you do?</t>
  </si>
  <si>
    <t>A. Capture their seeds immediately to weaken their positionB. Wait for a better opportunity to strikeC. Rearrange your seeds into a more strategic positionD. Focus on blocking their moves and protecting your seeds</t>
  </si>
  <si>
    <t>Capture their seeds immediately to weaken their position</t>
  </si>
  <si>
    <t>Capturing seeds reduces their strategic advantage.</t>
  </si>
  <si>
    <t>You have no seeds left in a pit, and your opponent is making an aggressive move. What should you do?</t>
  </si>
  <si>
    <t>A. Rearrange your seeds to avoid further captureB. Try to capture their seeds before they capture yoursC. Focus on setting traps to catch them off guardD. Wait for a mistake and capitalize on it</t>
  </si>
  <si>
    <t>Rearrange your seeds to avoid further capture</t>
  </si>
  <si>
    <t>Rearranging minimizes the chance of losing.</t>
  </si>
  <si>
    <t>Your opponent is controlling the middle pits. How do you regain control?</t>
  </si>
  <si>
    <t>A. Capture seeds from their outer pits to weaken their positionB. Rearrange your seeds to block their access to the middle pitsC. Wait for them to make a mistake and counterattackD. Focus on defense and protect your remaining pits</t>
  </si>
  <si>
    <t>Capture seeds from their outer pits to weaken their position</t>
  </si>
  <si>
    <t>Capturing seeds from their outer pits disrupts their strategy.</t>
  </si>
  <si>
    <t>You are about to capture several seeds from your opponent. What should you consider first?</t>
  </si>
  <si>
    <t>A. Ensure you capture seeds in a way that limits their options for retaliationB. Capture the seeds quickly and move to a defensive positionC. Focus on defending your pits before making an attackD. Wait for the best opportunity to capture their seeds</t>
  </si>
  <si>
    <t>Ensure you capture seeds in a way that limits their options for retaliation</t>
  </si>
  <si>
    <t>Capturing seeds with strategic intent prevents their counterattack.</t>
  </si>
  <si>
    <t>Your opponent is about to capture your last seeds from a pit. How do you prevent it?</t>
  </si>
  <si>
    <t>A. Rearrange your seeds to make it harder for them to captureB. Focus on capturing their seeds from their weaker pitsC. Try to defend your remaining pits by setting trapsD. Wait for them to make a mistake and capitalize on it</t>
  </si>
  <si>
    <t>Rearrange your seeds to make it harder for them to capture</t>
  </si>
  <si>
    <t>Rearranging protects your seeds from further capture.</t>
  </si>
  <si>
    <t>You have a strong position, but your opponent is preparing a counterattack. What is your move?</t>
  </si>
  <si>
    <t>A. Rearrange your seeds into a more defensive setupB. Move your seeds to a safer position to avoid being trappedC. Capture their weaker pits to limit their retaliationD. Wait for them to make a mistake and counterattack</t>
  </si>
  <si>
    <t>Rearrange your seeds into a more defensive setup</t>
  </si>
  <si>
    <t>Defensive rearrangement reduces the risk of losing.</t>
  </si>
  <si>
    <t>You are about to clear one of your pits. How do you prevent your opponent from gaining an advantage?</t>
  </si>
  <si>
    <t>A. Rearrange your seeds to protect the next pitB. Move your seeds to the inner pits to secure themC. Capture as many of their seeds as possible before they retaliateD. Focus on blocking their moves to prevent further captures</t>
  </si>
  <si>
    <t>Rearrange your seeds to protect the next pit</t>
  </si>
  <si>
    <t>Rearranging ensures that you don't leave seeds vulnerable.</t>
  </si>
  <si>
    <t>Your opponent has just captured a large number of your seeds. What do you do next?</t>
  </si>
  <si>
    <t>A. Rearrange your seeds to prevent further capturesB. Capture seeds from their outer pits to regain controlC. Focus on blocking their next attack and defending your pitsD. Try to capture as many of their seeds as possible to retaliate</t>
  </si>
  <si>
    <t>Rearrange your seeds to prevent further captures</t>
  </si>
  <si>
    <t>Rearranging minimizes further losses.</t>
  </si>
  <si>
    <t>Your opponent is focusing on your weaker pit, while you have seeds in your stronger pits. What is your next move?</t>
  </si>
  <si>
    <t>A. Capture seeds from their outer pits to weaken their positionB. Rearrange your seeds to block their attack on your weaker pitC. Move your seeds into your stronger pits for better defenseD. Ignore their attack and focus on your own strategy</t>
  </si>
  <si>
    <t>Weakening their position through capture limits their strategy.</t>
  </si>
  <si>
    <t>You are about to capture several of your opponent's seeds, but doing so would leave you vulnerable. What do you do?</t>
  </si>
  <si>
    <t>A. Capture their seeds and prepare for a defensive counterattackB. Rearrange your seeds to protect your vulnerable pits firstC. Wait for them to make a move before capturingD. Focus on defending your pits and avoid the capture</t>
  </si>
  <si>
    <t>Capture their seeds and prepare for a defensive counterattack</t>
  </si>
  <si>
    <t>Defensive counterattacks can safeguard your position.</t>
  </si>
  <si>
    <t>Your opponent has left a weak pit with only one seed. What should you do?</t>
  </si>
  <si>
    <t>A. Capture that seed immediately to gain an advantageB. Wait until you have more seeds to capture from itC. Move your seeds into a better position to capture laterD. Ignore it and focus on a stronger pit instead</t>
  </si>
  <si>
    <t>Capture that seed immediately to gain an advantage</t>
  </si>
  <si>
    <t>Capturing weak pits can tilt the game in your favor.</t>
  </si>
  <si>
    <t>You have captured several seeds, but now your opponent has many seeds in their strongest pit. How do you proceed?</t>
  </si>
  <si>
    <t>A. Rearrange your seeds to block their strongest pitB. Focus on capturing seeds from their outer pitsC. Move your seeds to more strategic positions to control the gameD. Try to capture from their inner pits to prevent further accumulation</t>
  </si>
  <si>
    <t>Rearrange your seeds to block their strongest pit</t>
  </si>
  <si>
    <t>Blocking strong pits is crucial to maintaining control of the game.</t>
  </si>
  <si>
    <t>Your opponent is making a series of successful captures. How do you respond?</t>
  </si>
  <si>
    <t>A. Capture their seeds from their weaker pitsB. Rearrange your seeds to minimize lossesC. Try to block their next move by changing positionsD. Wait for them to make a mistake and capitalize on it</t>
  </si>
  <si>
    <t>Capture their seeds from their weaker pits</t>
  </si>
  <si>
    <t>Blocking their weaker pits limits their offensive capabilities.</t>
  </si>
  <si>
    <t>Your seeds are running low in several pits, but you have one strong pit left. What should you do?</t>
  </si>
  <si>
    <t>A. Focus on protecting your strong pit while capturing seeds from their weaker pitsB. Rearrange your remaining seeds to protect them from being capturedC. Try to capture their seeds from your strongest pit to regain momentumD. Wait for a better opportunity to make your move</t>
  </si>
  <si>
    <t>Focus on protecting your strong pit while capturing seeds from their weaker pits</t>
  </si>
  <si>
    <t>Protecting your strong pit keeps your chances alive.</t>
  </si>
  <si>
    <t>Your opponent just captured your last seeds from an outer pit. What is your next step?</t>
  </si>
  <si>
    <t>A. Rearrange your seeds into more defensive positionsB. Focus on capturing their seeds from their weaker pitsC. Set traps to disrupt their strategyD. Rearrange your seeds to block their next move</t>
  </si>
  <si>
    <t>Defensive positioning minimizes further losses.</t>
  </si>
  <si>
    <t>Your opponent has cleared one of your pits. What should you do?</t>
  </si>
  <si>
    <t>A. Capture from their outer pits to balance the gameB. Focus on defending your remaining pitsC. Rearrange your seeds to minimize their attack possibilitiesD. Try to regain control by capturing their weakest pit</t>
  </si>
  <si>
    <t>Capture from their outer pits to balance the game</t>
  </si>
  <si>
    <t>Capturing weak pits can help you recover from losses.</t>
  </si>
  <si>
    <t>Your opponent's strong pit is about to overflow, and they will capture your seeds. What do you do?</t>
  </si>
  <si>
    <t>A. Rearrange your seeds to block their strong pitB. Move your seeds to a safer pit to avoid captureC. Capture seeds from their weaker pits to reduce their optionsD. Focus on defending your remaining pits and blocking their next move</t>
  </si>
  <si>
    <t>Rearrange your seeds to block their strong pit</t>
  </si>
  <si>
    <t>Blocking their strong pit helps prevent further losses.</t>
  </si>
  <si>
    <t>You have a chance to capture your opponent's last seeds. What is your move?</t>
  </si>
  <si>
    <t>A. Capture their last seeds immediately to secure the gameB. Rearrange your seeds to prevent them from regaining controlC. Focus on capturing from their weaker pits before finishingD. Wait for a better opportunity to make the final capture</t>
  </si>
  <si>
    <t>Capture their last seeds immediately to secure the game</t>
  </si>
  <si>
    <t>Final captures help seal the game in your favor.</t>
  </si>
  <si>
    <t>Your opponent is attempting to capture from your inner pits. How do you defend?</t>
  </si>
  <si>
    <t>A. Move your seeds into outer pits to avoid captureB. Rearrange your seeds to prevent them from capturingC. Focus on setting traps to counter their moveD. Rearrange your seeds to a safer position and wait for them to make a mistake</t>
  </si>
  <si>
    <t>Move your seeds into outer pits to avoid capture</t>
  </si>
  <si>
    <t>Moving your seeds protects them from being captured.</t>
  </si>
  <si>
    <t>You have only a few seeds left, and your opponent has many in their strongest pit. How do you make a comeback?</t>
  </si>
  <si>
    <t>A. Focus on defending and capturing their weaker pitsB. Rearrange your seeds to protect your last remaining pitsC. Try to set traps that will force them into a mistakeD. Wait for them to overcommit to a move and capitalize on it</t>
  </si>
  <si>
    <t>Focus on defending and capturing their weaker pits</t>
  </si>
  <si>
    <t>Capturing weaker pits ensures you don't fall further behind.</t>
  </si>
  <si>
    <t>Your opponent has a strong position, but they are not defending their outer pits well. What is your move?</t>
  </si>
  <si>
    <t>A. Capture seeds from their outer pits to weaken their positionB. Rearrange your seeds to block their strong movesC. Move your seeds to safer pits to avoid captureD. Focus on defending your pits and limiting their capture opportunities</t>
  </si>
  <si>
    <t>Capturing outer pits weakens their control.</t>
  </si>
  <si>
    <t>Your opponent has cleared most of your outer pits. What is your next step?</t>
  </si>
  <si>
    <t>A. Rearrange your seeds into your remaining strong pitsB. Capture their seeds from their weaker pitsC. Set traps to disrupt their strategyD. Focus on blocking their next moves and protecting your inner pits</t>
  </si>
  <si>
    <t>Rearrange your seeds into your remaining strong pits</t>
  </si>
  <si>
    <t>Rearranging your seeds maximizes your defensive potential.</t>
  </si>
  <si>
    <t>Your opponent is about to capture your last seed from a pit. What should you do?</t>
  </si>
  <si>
    <t>A. Rearrange your seeds to protect the remaining pitsB. Move your seeds to other pits to make them harder to captureC. Wait for them to make a mistake and counterattackD. Try to capture their seeds before they capture yours</t>
  </si>
  <si>
    <t>Rearrange your seeds to protect the remaining pits</t>
  </si>
  <si>
    <t>Rearranging your seeds makes it difficult for them to capture.</t>
  </si>
  <si>
    <t>You have a lot of seeds in your outer pits, but your opponent is preparing for an attack. What is your next step?</t>
  </si>
  <si>
    <t>A. Rearrange your seeds to block their path and protect your pitsB. Focus on capturing their seeds from their weaker pitsC. Move your seeds to the inner pits to avoid captureD. Set traps to catch them off guard when they attack</t>
  </si>
  <si>
    <t>Rearrange your seeds to block their path and protect your pits</t>
  </si>
  <si>
    <t>Blocking their path limits their attack opportunities.</t>
  </si>
  <si>
    <t>Your opponent is about to capture your seeds from a specific pit. How do you defend?</t>
  </si>
  <si>
    <t>A. Move your seeds into another pit to avoid captureB. Rearrange your seeds to block their access to that pitC. Capture their seeds from their weaker pits before they can actD. Wait for them to make a mistake and counterattack</t>
  </si>
  <si>
    <t>Move your seeds into another pit to avoid capture</t>
  </si>
  <si>
    <t>Moving your seeds prevents further capture.</t>
  </si>
  <si>
    <t>You are running low on seeds, and your opponent has many. How do you gain the upper hand?</t>
  </si>
  <si>
    <t>A. Capture seeds from their weaker pits to balance the gameB. Rearrange your seeds to block their strongest movesC. Focus on defending and setting up a counterattackD. Wait for them to overextend and take advantage of it</t>
  </si>
  <si>
    <t>Capture seeds from their weaker pits to balance the game</t>
  </si>
  <si>
    <t>Capturing weaker seeds minimizes their advantage.</t>
  </si>
  <si>
    <t>Your opponent is about to make a major capture from your inner pits. How do you respond?</t>
  </si>
  <si>
    <t>A. Rearrange your seeds to block their access to your inner pitsB. Try to set traps that will force them into a mistakeC. Focus on defending your remaining pitsD. Capture their seeds from their outer pits to retaliate</t>
  </si>
  <si>
    <t>Rearrange your seeds to block their access to your inner pits</t>
  </si>
  <si>
    <t>Blocking their access prevents further damage.</t>
  </si>
  <si>
    <t>You are about to capture several seeds, but doing so might leave you vulnerable. What do you do?</t>
  </si>
  <si>
    <t>A. Capture their seeds and prepare for a defensive counterattackB. Rearrange your seeds into defensive positions to protect themC. Focus on capturing their weaker pits firstD. Wait for a safer opportunity to make your move</t>
  </si>
  <si>
    <t>The cow starts to run towards the jump, but the ground is a little wet. What should the handler do?</t>
  </si>
  <si>
    <t>A. Prepare the cow to jump carefully and maintain a steady pace.
B. Encourage the cow to jump up to avoid slipping.
C. The cow ran quickly to make up for the slippery floor.
D. Hold the cow back to prevent sudden movements.</t>
  </si>
  <si>
    <t>Prepare the cow to jump carefully and maintain a steady pace.</t>
  </si>
  <si>
    <t>Maintaining a steady speed ensures the cow's safety on slippery ground.</t>
  </si>
  <si>
    <t>The cow successfully jumped, but she got out of the way and stumbled slightly. What should the handler do?</t>
  </si>
  <si>
    <t>A. Stop the cow immediately and check the situation.
B. Encourage the cow to continue jumping without delay.
C. Gently guide the cow to the spot and keep her calm.
D. Increase the speed to make the next jump smoother.</t>
  </si>
  <si>
    <t>Gently guide the cow to the spot and keep her calm.</t>
  </si>
  <si>
    <t>Calming and guiding the cow will prevent further stumbling.</t>
  </si>
  <si>
    <t>The cow is hesitating before jumping. What could be the reason?</t>
  </si>
  <si>
    <t>A. The jump may seem too high for the cow.
B. The cow disperses with an external cry.
C. The cow feels confident on her feet.
D. All of the above.</t>
  </si>
  <si>
    <t>All of the above.</t>
  </si>
  <si>
    <t>Hesitation can be caused by fear of heights, distractions, or lack of confidence.</t>
  </si>
  <si>
    <t>The cow seems to be about to touch the bar during the jump. What should the handler do?</t>
  </si>
  <si>
    <t>A. Increase the speed of the cow to make a smooth jump.
B. Encourage the cow to jump high to clear the bar.
C. Signal the cow to slow down and try again.
D. Let the cow decide and don't interfere.</t>
  </si>
  <si>
    <t>Encourage the cow to jump high to clear the bar.</t>
  </si>
  <si>
    <t>Jumping high ensures the cow clears the bar safely.</t>
  </si>
  <si>
    <t>The cow seems to have lost her balance in mid-air, even though she jumped. What is the best course of action?</t>
  </si>
  <si>
    <t>A. Lead the cow to the ground as gently as possible without any shock.
B. The cow tries to regain its balance on its own.
C. Warn the cow to straighten up in mid-air.
D. Increase the speed of the cow to rest more effectively.</t>
  </si>
  <si>
    <t>Lead the cow to the ground as gently as possible without any shock.</t>
  </si>
  <si>
    <t>Guiding the cow helps ensure a safe and stable resting place.</t>
  </si>
  <si>
    <t>The cow jumped in and landed, but she was tired. What should the handler do next?</t>
  </si>
  <si>
    <t>A. The cow will rest and recover before attempting another jump.
B. Immediately push the cow to make another jump.
C. Encourage the cow to jump high, even if she is tired.
D. Gently lead the cow into a trot to regain her energy.</t>
  </si>
  <si>
    <t>The cow will rest and recover before attempting another jump.</t>
  </si>
  <si>
    <t>Rest helps the cow gain energy for the next attempt.</t>
  </si>
  <si>
    <t>The cow hesitates immediately before jumping. How should the handler respond?</t>
  </si>
  <si>
    <t>A. Gently calm the cow and direct it to focus on jumping.
B. He pushed the cow quickly and forced her to jump.
C. Step back and give the cow more space to decide.
D. Increase the amount of stimulation to stimulate the cow.</t>
  </si>
  <si>
    <t>Gently calm the cow and direct it to focus on jumping.</t>
  </si>
  <si>
    <t>Calming helps the cow focus and reduce hesitation.</t>
  </si>
  <si>
    <t>The cow has a perfect gait but is resting awkwardly on one leg. What should the handler do?</t>
  </si>
  <si>
    <t>A. Make sure the cow is positioned correctly when resting.
B. Allow the cow to adjust naturally and continue as normal.
C. Give an order to force the cow to adjust her bedding.
D. Stop immediately and check for damage.</t>
  </si>
  <si>
    <t>Make sure the cow is positioned correctly when resting.</t>
  </si>
  <si>
    <t>Adjusting the position ensures a safe and comfortable landing.</t>
  </si>
  <si>
    <t>The cow is showing signs of distress after being grazed. What should be your first step?</t>
  </si>
  <si>
    <t>A. Stop the cow immediately and check for injuries.
B. To calm the cow down and continue.
C. Allow the cow to continue jumping and hope it calms down.
D. Increase the amount of incentive to keep the cow going.</t>
  </si>
  <si>
    <t>Stop the cow immediately and check for injuries.</t>
  </si>
  <si>
    <t>Stopping ensures the cow's safety and prevents further stress.</t>
  </si>
  <si>
    <t>The cow seems hesitant about the height of the jump. What can the handler do to help?</t>
  </si>
  <si>
    <t>A. To build confidence, first lead the cow with a few small jumps.
B. Encourage the cow to take the jump without further preparation.
C. To overcome his hesitation, he forced the cow to quickly approach the jump.
D. Wait until the cow has adjusted itself before continuing.</t>
  </si>
  <si>
    <t>To build confidence, first lead the cow with a few small jumps.</t>
  </si>
  <si>
    <t>Small jumps build a cow's confidence for higher hurdles.</t>
  </si>
  <si>
    <t>The cow is jumping too much and is in danger of missing the target. What should you do?</t>
  </si>
  <si>
    <t>A. Encourage the cow to jump lower next time.
B. Teach the cow to jump with greater accuracy.
C. Let the cow learn her own jumping height.
D. Increase the speed to ensure the jump is more controlled.</t>
  </si>
  <si>
    <t>Encourage the cow to jump lower next time.</t>
  </si>
  <si>
    <t>Lowering the jump ensures better control and accuracy.</t>
  </si>
  <si>
    <t>The cow's performance is inconsistent. What could be the reason for this?</t>
  </si>
  <si>
    <t>A. The cow may feel disoriented or anxious.
B. The cow may have been trained for a specific jump.
C. A cow may feel uncomfortable due to improper equipment.
D. All of the above.</t>
  </si>
  <si>
    <t>Imbalance can stem from stress, training issues, or discomfort.</t>
  </si>
  <si>
    <t>The cow approaches the jump but begins to slow down. What should the handler do?</t>
  </si>
  <si>
    <t>A. Add encouragement and make sure the cow understands the jump.
B. By pulling the dragon, he forced the cow to increase its weight quickly.
C. Cows should limit their speed for safety reasons.
D. To gain confidence, guide the cow to take a small jump.</t>
  </si>
  <si>
    <t>Add encouragement and make sure the cow understands the jump.</t>
  </si>
  <si>
    <t>Encouragement increases the cow's attention and speed to jump.</t>
  </si>
  <si>
    <t>The cow seems to be scattered by something in the crowd. How should you handle this?</t>
  </si>
  <si>
    <t>A. Try to calm the cow and get her attention back on the jump.
B. Push the cow forward, ignoring distractions.
C. To reduce the stress on the cow, focus on the people.
D. Increase speed to eliminate any distractions.</t>
  </si>
  <si>
    <t>Try to calm the cow and get her attention back on the jump.</t>
  </si>
  <si>
    <t>Calming the cow helps her regain her focus and perform better.</t>
  </si>
  <si>
    <t>The cow makes a perfect jump, but the handler is unsure about the landing. What's the next step?</t>
  </si>
  <si>
    <t>A. Wait for the cow to adjust naturally and ensure a soft landing.
B. Encourage the cow to jump again to adjust the landing.
C. If possible, guide the cow to a safe resting zone.
D. Allow the cow to get down to the ground and then assess the situation.</t>
  </si>
  <si>
    <t>Wait for the cow to adjust naturally and ensure a soft landing.</t>
  </si>
  <si>
    <t>Maintaining a soft landing reduces the risk of injury.</t>
  </si>
  <si>
    <t>The cow is jumping well, but the landing causes a slight stumble. What action should be taken?</t>
  </si>
  <si>
    <t>A. Encourage the cow to continue her movement and regain balance.
B. Guide the cow to a safe place and slow down.
C. Stop immediately and check the cow for any injuries.
D. Push the cow to complete another jump to clear the obstacle.</t>
  </si>
  <si>
    <t>Encourage the cow to continue her movement and regain balance.</t>
  </si>
  <si>
    <t>Encouragement helps the cow regain balance and confidence.</t>
  </si>
  <si>
    <t>The cow falls heavily on her front legs during a jump. What should the handler do?</t>
  </si>
  <si>
    <t>A. Stop the cow immediately and check for injuries.
B. Encourage the cow to jump more attentively.
C. Lead the cow to a gentle landing for the next jump.
D. Push the cow to recover from the jump and continue.</t>
  </si>
  <si>
    <t>Stopping after heavy landings ensures the safety of the cow.</t>
  </si>
  <si>
    <t>The cow refused to jump despite many attempts. What should be done first?</t>
  </si>
  <si>
    <t>A. Try to encourage the cow with soothing words and gestures.
B. Increase the pressure and force the cow to jump.
C. Move on to another task to reduce the cow's stress.
D. Try a small jump to build confidence.</t>
  </si>
  <si>
    <t>Try to encourage the cow with soothing words and gestures.</t>
  </si>
  <si>
    <t>Calming the cow helps reduce stress and encourages jumping.</t>
  </si>
  <si>
    <t>The cow is jumping at an excessive speed and is about to lose control. What should the handler do?</t>
  </si>
  <si>
    <t>A. Slowly lower the cow down and control it again.
B. Encourage the cow to jump faster to keep up her pace.
C. To build confidence, let the cow continue at her current pace.
D. Stop to prevent the cow from losing its balance.</t>
  </si>
  <si>
    <t>Slowly lower the cow down and control it again.</t>
  </si>
  <si>
    <t>Reducing speed allows for better control and safety.</t>
  </si>
  <si>
    <t>The cow is disturbed by the loud noise in the area. What should the supervisor do?</t>
  </si>
  <si>
    <t>A. Check the cow in a calm and steady manner and avoid loud noises.
B. Force the cow to jump, despite the distractions.
C. Increase the cow's speed to overcome her hesitation.
D. Decide if the cow wants to continue jumping.</t>
  </si>
  <si>
    <t>Check the cow in a calm and steady manner and avoid loud noises.</t>
  </si>
  <si>
    <t>Calming reduces anxiety and helps with concentration.</t>
  </si>
  <si>
    <t>The cow has fallen too low and has missed the target. How should the handler proceed?</t>
  </si>
  <si>
    <t>A. Encourage the cow to jump higher next time.
B. For better control, guide the cow to take a small leap.
C. Increase the speed to help the cow jump better.
D. Stop the experiment and assess the cow's readiness.</t>
  </si>
  <si>
    <t>Encourage the cow to jump higher next time.</t>
  </si>
  <si>
    <t>A higher jump ensures better accuracy on the next attempt.</t>
  </si>
  <si>
    <t>The cow performed well but seemed tired. How should the handler proceed?</t>
  </si>
  <si>
    <t>A. Let the cow rest for a while before attempting another jump.
B. Push the cow to continue jumping without stopping.
C. Give the cow a break and gradually return it to normal.
D. Increase the difficulty to test the cow's endurance.</t>
  </si>
  <si>
    <t>Let the cow rest for a while before attempting another jump.</t>
  </si>
  <si>
    <t>Resting the calf improves strength for future jumps.</t>
  </si>
  <si>
    <t>The cow jumps too fast, it misses the target. What should you do?</t>
  </si>
  <si>
    <t>A. Reduce the speed for better focus and control.
B. Encourage the cow to jump with greater speed and accuracy.
C. Guide the cow to focus more on resting first.
D. Stop the jump and check the condition of the cow.</t>
  </si>
  <si>
    <t>Reduce the speed for better focus and control.</t>
  </si>
  <si>
    <t>Slowing down helps the cow focus and make a more controlled jump.</t>
  </si>
  <si>
    <t>The cow tries to jump but doesn't clear the height. What should you do?</t>
  </si>
  <si>
    <t>A. Allow the cow to rest and after a short pause, try the jump again.
B. Force the cow to jump up without re-evaluating.
C. Encourage the cow to jump lower next time.
D. Pause and reassess the situation before continuing.</t>
  </si>
  <si>
    <t>Allow the cow to rest and after a short pause, try the jump again.</t>
  </si>
  <si>
    <t>Rest helps the cow gain strength for another attempt.</t>
  </si>
  <si>
    <t>The cow makes an unexpected, perfect leap. How should the handler respond?</t>
  </si>
  <si>
    <t>A. Praise and reward the cow for its excellent performance.
B. Encourage the cow to repeat the jump without rest.
C. Carefully guide the cow through the next obstacle.
D. Stop the exercise and give the cow a rest.</t>
  </si>
  <si>
    <t>Praise and reward the cow for its excellent performance.</t>
  </si>
  <si>
    <t>Positive reinforcement helps increase the cow's self-confidence.</t>
  </si>
  <si>
    <t>The cow is successfully jumping but shows signs of discomfort. What is the supervisor's responsibility?</t>
  </si>
  <si>
    <t>A. Stop immediately and check for signs of injury or discomfort.
B. Push the cow to finish the routine without any discomfort.
C. Let the cow continue, but keep a close eye on the upcoming comfort.
D. Increase the speed to help the cow overcome discomfort.</t>
  </si>
  <si>
    <t>Stop immediately and check for signs of injury or discomfort.</t>
  </si>
  <si>
    <t>Stopping ensures the safety and security of the cow.</t>
  </si>
  <si>
    <t>The cow jumps, but the landing is rough. What should the handler do?</t>
  </si>
  <si>
    <t>A. Calm the cow and lead it gently through the stall.
B. Next time, increase the speed to make the landing smoother.
C. They forced the cow to straighten up and finish the jump.
D. Stop the cow to assess the situation after the rough landing is over.</t>
  </si>
  <si>
    <t>Calm the cow and lead it gently through the stall.</t>
  </si>
  <si>
    <t>Gentle guidance will help the cow recover from hard landings.</t>
  </si>
  <si>
    <t>The cow clears the jump but lands inappropriately. What is the best response?</t>
  </si>
  <si>
    <t>A. The cow asked her to adjust her landing to maintain balance.
B. Allow the cow to recover naturally and continue jumping.
C. Stop the cow immediately to prevent injury.
D. Let the cow try again without any intervention.</t>
  </si>
  <si>
    <t>The cow asked her to adjust her landing to maintain balance.</t>
  </si>
  <si>
    <t>Leading the cow helps maintain her balance and safety.</t>
  </si>
  <si>
    <t>The cow is jumping all the time, but the handler feels it could be more efficient. What should be done?</t>
  </si>
  <si>
    <t>A. Focus on improving your posture and approach.
B. Increase speed to make the jumps faster.
C. Encourage the cow to climb higher with more force.
D. Let the cow continue at its current pace.</t>
  </si>
  <si>
    <t>Focus on improving your posture and approach.</t>
  </si>
  <si>
    <t>Improving posture helps make jumps more effective.</t>
  </si>
  <si>
    <t>The cow hesitates just before jumping. What is the best response?</t>
  </si>
  <si>
    <t>A. Calm the cow and maintain a calm environment.
B. Force the cow to jump by pushing it forward.
C. Reduce the difficulty of jumping to ease hesitation.
D. Stop the routine and let the cow rest.</t>
  </si>
  <si>
    <t>Calm the cow and maintain a calm environment.</t>
  </si>
  <si>
    <t>Calming helps to calm the cow and overcome hesitation.</t>
  </si>
  <si>
    <t>The cow seems to be overly excited before jumping. How should the handler control this?</t>
  </si>
  <si>
    <t>A. He calmed the cow by speaking softly and holding the dragon.
B. Encourage the joy of creating motivation to jump.
C. Increase speed to release excess power.
D. They forced the cow to calm down immediately.</t>
  </si>
  <si>
    <t>He calmed the cow by speaking softly and holding the dragon.</t>
  </si>
  <si>
    <t>Calming helps the cow focus better on the jump.</t>
  </si>
  <si>
    <t>The cow's jump is very weak and does not reach the required height. What should be done?</t>
  </si>
  <si>
    <t>A. Encourage the cow to jump with more effort and attention.
B. Reduce the jump problem and try again.
C. Next time, teach the cow to make a more powerful jump.
D. Stop and reassess your readiness to jump the cow.</t>
  </si>
  <si>
    <t>Encourage the cow to jump with more effort and attention.</t>
  </si>
  <si>
    <t>Effort and attention ensure that the cow reaches the required height.</t>
  </si>
  <si>
    <t>The cow makes a perfect jump, but her landing is a little late. What should the handler do?</t>
  </si>
  <si>
    <t>A. Ensure the cow is under control and lands smoothly.
B. Allow the cow to adjust its position naturally.
C. Stop the jump and assess the cow's readiness for another one.
D. Encourage the cow to complete the routine without delay.</t>
  </si>
  <si>
    <t>Ensure the cow is under control and lands smoothly.</t>
  </si>
  <si>
    <t>A soft landing is essential for the cow's safety.</t>
  </si>
  <si>
    <t>The cow is making a series of mistakes in jumping. What should the handler focus on?</t>
  </si>
  <si>
    <t>A. Re-evaluate the cow's training and make adjustments to the routine.
B. Encourage the cow to continue without change.
C. Increase difficulty to improve the cow's ability.
D. Give the cow more time to adjust before continuing.</t>
  </si>
  <si>
    <t>Re-evaluate the cow's training and make adjustments to the routine.</t>
  </si>
  <si>
    <t>Adjusting the routine helps improve cow performance.</t>
  </si>
  <si>
    <t>The cow easily clears a difficult jump. What should be done next?</t>
  </si>
  <si>
    <t>A. Praise the cow and give her a little rest before the next test.
B. Add the next jump problem immediately.
C. Let the cow rest until she is ready for the next test.
D. Give the cow a rest and continue training later.</t>
  </si>
  <si>
    <t>Praise the cow and give her a little rest before the next test.</t>
  </si>
  <si>
    <t>Praise helps maintain the cow's enthusiasm and confidence.</t>
  </si>
  <si>
    <t>The cow's speed seems inconsistent during the jump. What can be done?</t>
  </si>
  <si>
    <t>A. Adjust the speed of the cow and ensure constant power throughout the jump.
B. Encourage the cow to go faster.
C. Slow down the cow to keep it focused.
D. Increase the speed of the cow to complete the jump faster.</t>
  </si>
  <si>
    <t>Adjust the speed of the cow and ensure constant power throughout the jump.</t>
  </si>
  <si>
    <t>Consistent walking ensures better control and jumping success.</t>
  </si>
  <si>
    <t>The cow seems to be injured, even though she is resting. What should be done immediately?</t>
  </si>
  <si>
    <t>A. Stop immediately and assess the cow's injury.
B. Proceed as normal and check for damage later.
C. Push the cow to make another jump to see if it improves.
D. Slow down the cow and wait until she recovers.</t>
  </si>
  <si>
    <t>Stop immediately and assess the cow's injury.</t>
  </si>
  <si>
    <t>A prompt assessment can help prevent further damage.</t>
  </si>
  <si>
    <t>The cow seems unmotivated during the jumping action. What is the best response?</t>
  </si>
  <si>
    <t>A. Calm the cow and give her encouragement.
B. They forced the cow to continue as usual.
C. Let the cow rest and continue later.
D. Add to that the difficulty of resisting the cow even more.</t>
  </si>
  <si>
    <t>Calm the cow and give her encouragement.</t>
  </si>
  <si>
    <t>Encouragement helps to increase the cow's motivation.</t>
  </si>
  <si>
    <t>The cow clears a difficult jump but seems weak. What should be done?</t>
  </si>
  <si>
    <t>A. Allow the cow to rest and drink before the next attempt.
B. Even if you are tired, push the cow to complete the routine.
C. Encourage the cow to continue resting.
D. Stop and allow the cow to fully recover before continuing.</t>
  </si>
  <si>
    <t>Allow the cow to rest and drink before the next attempt.</t>
  </si>
  <si>
    <t>Rest and hydration will help the cow perform better.</t>
  </si>
  <si>
    <t>The cow seemed to be startled before jumping. What is the best approach for the handler?</t>
  </si>
  <si>
    <t>A. Calm the cow with soft words and a steady hand.
B. Even though the cow was scared, they forced it to jump.
C. Ignore the nerves and keep going.
D. Encourage the cow to rest and try again later.</t>
  </si>
  <si>
    <t>Calm the cow with soft words and a steady hand.</t>
  </si>
  <si>
    <t>Calming the cow helps to overcome nervous tension and concentration.</t>
  </si>
  <si>
    <t>The cow shows a sudden burst of energy before jumping. What should the handler do?</t>
  </si>
  <si>
    <t>A. Allow the cow to release its energy and lead the jump.
B. Try to control the momentum and slow down the cow.
C. Encourage the cow to jump with this energy.
D. Calm the cow down before continuing.</t>
  </si>
  <si>
    <t>Allow the cow to release its energy and lead the jump.</t>
  </si>
  <si>
    <t>Using its energy makes the cow feel confident.</t>
  </si>
  <si>
    <t>The cow is constantly struggling to clear the jump. What should the handler focus on?</t>
  </si>
  <si>
    <t>A. Re-evaluate the cow's training and adjust the height of the jump.
B. Increase the challenge to improve the cow's performance.
C. Encourage the cow to jump quickly without adjusting the jump.
D. Let the cow rest and try again later.</t>
  </si>
  <si>
    <t>Re-evaluate the cow's training and adjust the height of the jump.</t>
  </si>
  <si>
    <t>Adjusting the jump helps the cow develop better skills.</t>
  </si>
  <si>
    <t>The cow tries to jump but hesitates in mid-air. What should the handler do?</t>
  </si>
  <si>
    <t>A. Lead the cow by jumping slowly and focusing on landing.
B. Increase the speed to encourage the cow to jump.
C. Stop the cow immediately to prevent injury.
D. Calm the cow down after the jump to help it focus on the next moment.</t>
  </si>
  <si>
    <t>Lead the cow by jumping slowly and focusing on landing.</t>
  </si>
  <si>
    <t>Gentle guidance assures the cow of her safe grounding and restores confidence.</t>
  </si>
  <si>
    <t>A cow shows signs of stress before jumping. What is the best course of action?</t>
  </si>
  <si>
    <t>A. Before attempting the jump, calm the cow down and make sure she is comfortable.
B. The cow got used to it over time, so he forced it to jump.
C. Speed ​​up the process to complete the work quickly.
D. Allow the cow to rest until she feels ready again.</t>
  </si>
  <si>
    <t>Before attempting the jump, calm the cow down and make sure she is comfortable.</t>
  </si>
  <si>
    <t>Comforting helps relieve the cow's stress and ensures better performance.</t>
  </si>
  <si>
    <t>The cow tries to jump but stops in the middle. What should the handler do?</t>
  </si>
  <si>
    <t>A. Gently encourage the cow to complete her jump without rushing.
B. To overcome hesitation, force the cow to complete the jump.
C. Let the cow take a break and try again later.
D. Increase height to further challenge the cow.</t>
  </si>
  <si>
    <t>Gently encourage the cow to complete her jump without rushing.</t>
  </si>
  <si>
    <t>Encouragement ensures that the cow is not stressed and can complete the task.</t>
  </si>
  <si>
    <t>The cow is upset about something in the area. What should the handler do?</t>
  </si>
  <si>
    <t>A. Refocus the cow's attention and direct it back to the task.
B. Increase the difficulty of getting the cow's attention back.
C. Take a moment to explore the Lamitu before continuing.
D. Encourage the cow to ignore the distractions and keep going.</t>
  </si>
  <si>
    <t>Refocus the cow's attention and direct it back to the task.</t>
  </si>
  <si>
    <t>Regaining focus ensures that the cow performs better.</t>
  </si>
  <si>
    <t>The cow has successfully cleared several jumps. What should the handler do next?</t>
  </si>
  <si>
    <t>A. Thank the cow and allow it to rest a little before continuing.
B. Add the problem of skipping immediately.
C. Reduce the jumps to ensure safety.
D. Give the cow a reward and continue at the same pace.</t>
  </si>
  <si>
    <t>Thank the cow and allow it to rest a little before continuing.</t>
  </si>
  <si>
    <t>Praise helps maintain enthusiasm and encourages the cow.</t>
  </si>
  <si>
    <t>The cow is taking too long to get comfortable in normal conditions. What should the handler do?</t>
  </si>
  <si>
    <t>A. Reassess the cow's comfort level and adjust the training accordingly.
B. Push the cow to speed up the process to stay on schedule.
C. Give the cow a long break to relax and regain focus.
D. Proceed as usual and ignore the delays.</t>
  </si>
  <si>
    <t>Reassess the cow's comfort level and adjust the training accordingly.</t>
  </si>
  <si>
    <t>Adapting the training to the cow's pace helps build confidence.</t>
  </si>
  <si>
    <t>The cow is clearing the jumps easily, but the handler notices that she is very confident. What should the handler do?</t>
  </si>
  <si>
    <t>A. Introduce new challenges to keep the cow focused and alert.
B. Allow the cow to continue without any changes.
C. Reduce training to ensure safety.
D. Increase speed to maintain excitement.</t>
  </si>
  <si>
    <t>Introduce new challenges to keep the cow focused and alert.</t>
  </si>
  <si>
    <t>New challenges keep the cow alert and prevent lethargy.</t>
  </si>
  <si>
    <t>The cow clears the jump correctly, but her landing is not centered. What should the handler focus on?</t>
  </si>
  <si>
    <t>A. Lead the cow to the ground with better balance and focus.
B. Increase the speed of the jump to help with the landing.
C. Let the cow rest naturally to regain her balance.
D. Stop and reevaluate your jumping technique before continuing.</t>
  </si>
  <si>
    <t>Lead the cow to the ground with better balance and focus.</t>
  </si>
  <si>
    <t>Better balance ensures the cow's safety and future success in jumping.</t>
  </si>
  <si>
    <t>The cow appears to be nervous during the jump attempt. How should the handler approach this?</t>
  </si>
  <si>
    <t>A. Calm the cow by gently encouraging and reassuring her.
B. Whatever the nerve, push the cow to jump.
C. Give the cow some time to calm down before trying again.
D. Ignore the nerves and keep going.</t>
  </si>
  <si>
    <t>Calm the cow by gently encouraging and reassuring her.</t>
  </si>
  <si>
    <t>A gentle calmness helps the cow regain her sense of self-confidence.</t>
  </si>
  <si>
    <t>The cow is doing well, but the handler seems tired. What should be done?</t>
  </si>
  <si>
    <t>A. Allow the cow a little rest to recover before continuing.
B. Increase the difficulty of jumping to improve endurance.
C. Continue pushing the cow to complete the training session.
D. Let the cow rest and drink water before continuing.</t>
  </si>
  <si>
    <t>Allow the cow a little rest to recover before continuing.</t>
  </si>
  <si>
    <t>Rest helps restore the cow's energy for more focused performance.</t>
  </si>
  <si>
    <t>The cow has successfully jumped but landed awkwardly. What should the handler do next?</t>
  </si>
  <si>
    <t>A. Move the cow to a stable location and check for injuries.
B. Let the cow recover naturally and try again.
C. Add to that the difficulty of resisting the cow even more.
D. Stop the routine and reassess the cow's readiness to jump.</t>
  </si>
  <si>
    <t>Move the cow to a stable location and check for injuries.</t>
  </si>
  <si>
    <t>Ensuring cow stability prevents injury and builds self-confidence.</t>
  </si>
  <si>
    <t>The cow struggles to clear the jump. How should the handler respond?</t>
  </si>
  <si>
    <t>A. Adjust the height of the jump so that the cow can succeed.
B. Add to that the difficulty of resisting the cow even more.
C. Despite the struggles, they forced the cow to try jumping.
D. Let the cow rest and try the jump again after a short break.</t>
  </si>
  <si>
    <t>Adjust the height of the jump so that the cow can succeed.</t>
  </si>
  <si>
    <t>Lowering the jump height ensures that the cow gains confidence.</t>
  </si>
  <si>
    <t>The cow has missed several jumps in a row. What is the best response?</t>
  </si>
  <si>
    <t>A. Stop and reassess the cow's technique and readiness.
B. Push the cow to continue without any rest.
C. Add a problem to help the cow focus.
D. Let the cow take a break and try again later.</t>
  </si>
  <si>
    <t>Stop and reassess the cow's technique and readiness.</t>
  </si>
  <si>
    <t>Re-evaluating techniques ensures a safer and more effective procedure.</t>
  </si>
  <si>
    <t>The cow is jumping with great enthusiasm, but she is not landing well. How should the handler proceed?</t>
  </si>
  <si>
    <t>A. Reduce speed to improve landing control.
B. Encourage the cow to continue jumping faster for more energy.
C. Allow the cow to rest more naturally without any adjustments.
D. Reassess the cow's position and focus on the landing technique.</t>
  </si>
  <si>
    <t>Reduce speed to improve landing control.</t>
  </si>
  <si>
    <t>Slowing down helps the cow focus on a controlled landing.</t>
  </si>
  <si>
    <t>The cow is about to jump over a new obstacle. What should the handler do?</t>
  </si>
  <si>
    <t>A. Introduce the obstacle slowly and calm the cow.
B. The cow, although hesitant, forced him into the obstacle.
C. Increase the difficulty of the obstacle to encourage confidence.
D. Allow the cow to try again when she feels ready.</t>
  </si>
  <si>
    <t>Introduce the obstacle slowly and calm the cow.</t>
  </si>
  <si>
    <t>A slow introduction will help the cow adapt and feel secure.</t>
  </si>
  <si>
    <t>The cow's speed is inconsistent during the jump. What can the controller do?</t>
  </si>
  <si>
    <t>A. Make sure the cow maintains a steady pace throughout the jump.
B. Increase speed to make the jump more challenging.
C. Slow down to regain focus and control.
D. Encourage the cow to jump quickly to complete the task quickly.</t>
  </si>
  <si>
    <t>Make sure the cow maintains a steady pace throughout the jump.</t>
  </si>
  <si>
    <t>A steady increase in speed ensures better control and performance.</t>
  </si>
  <si>
    <t>The cow is jumping continuously but keeps falling. What should the handler do?</t>
  </si>
  <si>
    <t>A. Focus on teaching the cow to rest calmly and safely.
B. Increase the height of the jump so that the cow can rest better.
C. Encourage the cow to jump quickly to avoid hard landings.
D. Allow the cow to rest naturally without any adjustments.</t>
  </si>
  <si>
    <t>Focus on teaching the cow to rest calmly and safely.</t>
  </si>
  <si>
    <t>Soft bedding improves cow safety and performance.</t>
  </si>
  <si>
    <t>The cow broke apart with a loud noise during the jump. How should the handler respond?</t>
  </si>
  <si>
    <t>A. Calm the cow and refocus her attention before continuing.
B. Increase the difficulty of helping the cow ignore distractions.
C. Pace your training session to avoid distractions.
D. Allow the cow to rest and calm down before continuing.</t>
  </si>
  <si>
    <t>Calm the cow and refocus her attention before continuing.</t>
  </si>
  <si>
    <t>Refocusing helps the cow regain confidence and perform well.</t>
  </si>
  <si>
    <t>The cow has a slight stumble before jumping. What should the handler do next?</t>
  </si>
  <si>
    <t>A. Stop and make sure the cow is comfortable before trying again.
B. Increase the height of the jump to further challenge the cow.
C. Encourage the cow to try again immediately without changing.
D. Slowly lower the cow to ensure a stable and secure approach.</t>
  </si>
  <si>
    <t>Stop and make sure the cow is comfortable before trying again.</t>
  </si>
  <si>
    <t>Checking a cow's comfort level ensures safety and confidence.</t>
  </si>
  <si>
    <t>The cow is jumping too fast, which results in poor landings. How should the handler adjust?</t>
  </si>
  <si>
    <t>A. Take the cow slowly and focus on technique over speed.
B. Increase the speed to encourage fast and powerful jumps.
C. Allow the cow to continue without adjustment.
D. Just focus on getting the cow to the ground without any harm.</t>
  </si>
  <si>
    <t>Take the cow slowly and focus on technique over speed.</t>
  </si>
  <si>
    <t>Cooling down ensures better control and accuracy in jumping.</t>
  </si>
  <si>
    <t>The cow refused to approach the jump. What is the best course of action for the handler?</t>
  </si>
  <si>
    <t>A. Check the cow and try a little jump to build confidence.
B. They forced the cow to immediately approach the jump.
C. Speed ​​up the process by using the cow to jump.
D. Ignore the refusal and continue training.</t>
  </si>
  <si>
    <t>Check the cow and try a little jump to build confidence.</t>
  </si>
  <si>
    <t>Small leaps will help the cow gradually develop confidence.</t>
  </si>
  <si>
    <t>The cow finishes the jump but hesitates before the next one. What should the handler do?</t>
  </si>
  <si>
    <t>A. Encourage the cow to try the next jump without hesitation.
B. Give the cow a little rest to regain focus.
C. Push the cow to complete the jump immediately.
D. Add a problem to help the cow focus.</t>
  </si>
  <si>
    <t>Give the cow a little rest to regain focus.</t>
  </si>
  <si>
    <t>A short break helps restore the cow's focus and energy.</t>
  </si>
  <si>
    <t>The cow clears the jump but lands on an angle. What should be done?</t>
  </si>
  <si>
    <t>A. Help the cow adjust her landing position for future jumps.
B. Increase the height of the jump to counter the cow's technique.
C. Encourage the cow to continue without adjustment.
D. Re-evaluate the cow's gait to ensure better balance.</t>
  </si>
  <si>
    <t>Help the cow adjust her landing position for future jumps.</t>
  </si>
  <si>
    <t>Proper landing position prevents injuries and improves performance.</t>
  </si>
  <si>
    <t>The cow appears to be distracted by something in the environment while jumping. How should the handler respond?</t>
  </si>
  <si>
    <t>A. Calm the cow and refocus her attention on the jump.
B. Ignore distractions and continue as normal.
C. Increase the difficulty to sharpen the cow's focus.
D. Give the cow a break to regain focus.</t>
  </si>
  <si>
    <t>Calm the cow and refocus her attention on the jump.</t>
  </si>
  <si>
    <t>Refocusing the cow ensures better performance and safety.</t>
  </si>
  <si>
    <t>The cow seems reluctant to jump a new obstacle. What should the handler do?</t>
  </si>
  <si>
    <t>A. Introduce the cow to the obstacle gradually to reduce hesitation.
B. Push the cow to jump over the obstacle immediately.
C. Increase the height of the barrier to help the cow overcome its fear.
D. Allow the cow to take its time before attempting the obstacle.</t>
  </si>
  <si>
    <t>Introduce the cow to the obstacle gradually to reduce hesitation.</t>
  </si>
  <si>
    <t>A gradual introduction builds the cow's confidence and reduces fear.</t>
  </si>
  <si>
    <t>The cow has successfully calved, but is showing signs of discomfort. How should the handler respond?</t>
  </si>
  <si>
    <t>A. Stop the session and check for signs of injury.
B. Increase the difficulty of helping the cow adapt to hard landings.
C. They encouraged the cow to continue jumping, even though she felt uncomfortable.
D. Give the cow a break to recover and avoid injury.</t>
  </si>
  <si>
    <t>Stop the session and check for signs of injury.</t>
  </si>
  <si>
    <t>Checking for injuries ensures the cow's safety during training.</t>
  </si>
  <si>
    <t>The cow jumps well but is off center. What should the handler focus on?</t>
  </si>
  <si>
    <t>A. Help the cow improve her resting position for better stability.
B. Increase the height of the jump to encourage more concentration during the jump.
C. Encourage the cow to jump quickly to avoid landing in the middle.
D. Reduce training to help the cow regain focus.</t>
  </si>
  <si>
    <t>Help the cow improve her resting position for better stability.</t>
  </si>
  <si>
    <t>Better landing position prevents injuries and improves future jumps.</t>
  </si>
  <si>
    <t>The cow has successfully cleared several jumps, but is showing signs of fatigue. How should the handler proceed?</t>
  </si>
  <si>
    <t>A. Allow the cow to rest and continue the jumps later.
B. The cow is doing well, so push her to continue.
C. Add to that the difficulty of resisting the cow even more.
D. Take a long break and wash the cow before continuing.</t>
  </si>
  <si>
    <t>Allow the cow to rest and continue the jumps later.</t>
  </si>
  <si>
    <t>Rest and hydration are essential for the cow's recovery.</t>
  </si>
  <si>
    <t>The cow's jumping speed is inconsistent, affecting its performance. What should be done?</t>
  </si>
  <si>
    <t>A. Work on achieving a steady speed to improve the consistency of your jumps.
B. Speed ​​up the training so that the cow gets used to jumping quickly.
C. Add to that the difficulty of pushing the cow beyond her comfort zone.
D. The lamb rested and then continued training at a slower pace.</t>
  </si>
  <si>
    <t>Work on achieving a steady speed to improve the consistency of your jumps.</t>
  </si>
  <si>
    <t>Speed ​​consistency improves cow control and technique.</t>
  </si>
  <si>
    <t>The cow clears the jump but quickly stops. How should the handler adjust?</t>
  </si>
  <si>
    <t>A. Lower the cow slowly to have more control during the landing.
B. Increase speed to help the cow feel more confident.
C. Allow the cow to rest naturally without making any adjustments.
D. Reduce the height of the jump to ensure better landings.</t>
  </si>
  <si>
    <t>Lower the cow slowly to have more control during the landing.</t>
  </si>
  <si>
    <t>Slowing down ensures that the cow can land safely and comfortably.</t>
  </si>
  <si>
    <t>The cow successfully completes the jump but appears to be in shock afterwards. What should the handler do?</t>
  </si>
  <si>
    <t>A. To increase confidence, reassure the cow and praise her performance.
B. Add to that the difficulty of resisting the cow even more.
C. Encourage the cow to immediately repeat the jump to gain confidence.
D. Allow the cow to take a break and regain her focus.</t>
  </si>
  <si>
    <t>To increase confidence, reassure the cow and praise her performance.</t>
  </si>
  <si>
    <t>Praise helps a cow develop self-confidence and maintain enthusiasm.</t>
  </si>
  <si>
    <t>The cow hesitates before jumping. What should the handler do?</t>
  </si>
  <si>
    <t>A. Divert the cow's attention and encourage it to focus on its work.
B. Add to the problem the cow has to be distracted even more.
C. Let the cow rest and try again when she is ready.
D. Allow the cow to become distracted before continuing.</t>
  </si>
  <si>
    <t>Divert the cow's attention and encourage it to focus on its work.</t>
  </si>
  <si>
    <t>Refocusing the cow ensures that she is ready to jump and confident.</t>
  </si>
  <si>
    <t>The cow refuses to jump a high hurdle. What is the best approach?</t>
  </si>
  <si>
    <t>A. Lower the barrier slightly and gradually work your way up to the highest.
B. Push the cow to jump the highest obstacle without adjustment.
C. Encourage the cow to continue the test without changing it.
D. Let the cow rest and try again later.</t>
  </si>
  <si>
    <t>Lower the barrier slightly and gradually work your way up to the highest.</t>
  </si>
  <si>
    <t>Gradual progress helps the cow develop confidence by overcoming challenges.</t>
  </si>
  <si>
    <t>The cow is jumping well, but is starting to show signs of fatigue. What should the handler do?</t>
  </si>
  <si>
    <t>A. Allow the cow to rest and drink before continuing with the jumps.
B. Push the cow to finish the training session.
C. Add the problem of jumpers to further challenge the cow.
D. Let the cow take a break and try again in a while.</t>
  </si>
  <si>
    <t>Allow the cow to rest and drink before continuing with the jumps.</t>
  </si>
  <si>
    <t>Rest and hydration are crucial to a cow's performance and health.</t>
  </si>
  <si>
    <t>The cow hesitates when asked to jump a new obstacle. How should the handler approach it?</t>
  </si>
  <si>
    <t>A. Introduce the obstacle slowly and calm the cow.
B. Force the cow to jump immediately to build resilience.
C. Increase the height of the barrier to force the cow to overcome its fear.
D. Let the cow rest and try the obstacle later.</t>
  </si>
  <si>
    <t>Slow introductions reduce fear and build a sense of confidence in the cow.</t>
  </si>
  <si>
    <t>The cow seems unbalanced when it jumps, but what should be done?</t>
  </si>
  <si>
    <t>A. Lead the cow to improve its balance and posture.
B. To improve performance, immediately push the cow to jump again.
C. Reduce the height of the jump to reduce the impact on balance.
D. Allow the cow to regain its balance before continuing.</t>
  </si>
  <si>
    <t>Lead the cow to improve its balance and posture.</t>
  </si>
  <si>
    <t>Improved balance ensures better control and safety when jumping.</t>
  </si>
  <si>
    <t>The cow successfully jumps, but her hoof lands awkwardly. What should the handler do?</t>
  </si>
  <si>
    <t>A. Focus on correcting the cow's resting method.
B. Increase the height of the jump to counteract the cow's coordination.
C. Encourage the cow to continue jumping without any correction.
D. Allow the cow to jump without any further adjustments.</t>
  </si>
  <si>
    <t>Focus on correcting the cow's resting method.</t>
  </si>
  <si>
    <t>Adjusting your landing position can help prevent injury and improve performance.</t>
  </si>
  <si>
    <t>The cow shows signs of stress before jumping a new obstacle. How should the handler proceed?</t>
  </si>
  <si>
    <t>A. Provide stabilization and reduce the height of the obstacle.
B. He forced the cow to jump, even though she was in distress.
C. Increase the height of the barrier to help the cow overcome its fear.
D. Push the cow to jump without giving confirmation.</t>
  </si>
  <si>
    <t>Provide stabilization and reduce the height of the obstacle.</t>
  </si>
  <si>
    <t>Calming helps to relieve the cow's anxiety and build her confidence.</t>
  </si>
  <si>
    <t>The cow hesitates to jump, but eventually it cleans up. How should the handler encourage the cow?</t>
  </si>
  <si>
    <t>A. Praise the cow for completing the jump and encourage her to practice more.
B. Immediately increase the difficulty of the jump.
C. Give the cow a rest and try again later.
D. Without praising the cow, immediately push to jump again.</t>
  </si>
  <si>
    <t>Praise the cow for completing the jump and encourage her to practice more.</t>
  </si>
  <si>
    <t>Positive reinforcement encourages continued effort and self-confidence.</t>
  </si>
  <si>
    <t>The cow is well rested, but she is a little tired. What should be done?</t>
  </si>
  <si>
    <t>A. Allow the cow to rest and drink before continuing.
B. Push the cow to finish the training session.
C. Add to that the difficulty of pushing the cow further.
D. Let the cow rest and continue its training later.</t>
  </si>
  <si>
    <t>Allow the cow to rest and drink before continuing.</t>
  </si>
  <si>
    <t>Rest and hydration help maintain the cow's performance and well-being.</t>
  </si>
  <si>
    <t>The cow is jumping well, but there is a slight delay in getting up. How can the handler help?</t>
  </si>
  <si>
    <t>A. Focus on improving the cow's recovery speed by adjusting the approach.
B. Increase the height of the jump to encourage a faster takeoff.
C. Speed ​​up the training to help the cow jump faster.
D. Allow the cow to take her time and jump at a comfortable pace.</t>
  </si>
  <si>
    <t>Focus on improving the cow's recovery speed by adjusting the approach.</t>
  </si>
  <si>
    <t>Improved download speed increases the performance of the cow jump.</t>
  </si>
  <si>
    <t>The cow seems to be distracted during training. What should the handler do?</t>
  </si>
  <si>
    <t>A. Distract the cow and focus on the task.
B. Ignore the distraction and continue your training as usual.
C. Increase the difficulty of keeping the cow's attention.
D. Let the cow rest and try again later.</t>
  </si>
  <si>
    <t>Distract the cow and focus on the task.</t>
  </si>
  <si>
    <t>Maintaining focus during training ensures consistent performance.</t>
  </si>
  <si>
    <t>The cow successfully clears the jump but shows signs of hesitation for the next jump. How should the handler respond?</t>
  </si>
  <si>
    <t>A. Encourage the cow and calm her down before the next jump.
B. Increase the difficulty of the next jump to challenge the cow.
C. Force the cow to immediately try the next jump.
D. Give the cow a break and let her regain her focus.</t>
  </si>
  <si>
    <t>Encourage the cow and calm her down before the next jump.</t>
  </si>
  <si>
    <t>Calming helps the cow gain confidence for the next jump.</t>
  </si>
  <si>
    <t>The cow is doing well, but her position before jumping is inconsistent. What should the handler focus on?</t>
  </si>
  <si>
    <t>A. Work on improving your posture and approach to jumping.
B. Increase the height of the jumpers to further challenge the cow.
C. Speed ​​up training to reduce postural imbalances.
D. Ignore the posture and just focus on completing the jump.</t>
  </si>
  <si>
    <t>Work on improving your posture and approach to jumping.</t>
  </si>
  <si>
    <t>Improving posture ensures better getting up and landing.</t>
  </si>
  <si>
    <t>The cow hesitates before jumping over a new obstacle, but eventually clears it. What should the handler do next?</t>
  </si>
  <si>
    <t>A. Gradually reduce the amount of the obstacle and praise the cow.
B. Encourage the cow to jump over the obstacle immediately.
C. Add the problem of jumping to further challenge the cow.
D. Give the cow a rest and then return to the obstacle.</t>
  </si>
  <si>
    <t>Gradually reduce the amount of the obstacle and praise the cow.</t>
  </si>
  <si>
    <t>Gradual progress builds the cow's confidence and readiness.</t>
  </si>
  <si>
    <t>Even though the cow is jumping well, it shows signs of fatigue. What should the handler do?</t>
  </si>
  <si>
    <t>A. Take a long break and let the cow drink.
B. Push the cow to finish the training session.
C. Increase the strength of the jumps to resist the cow.
D. Let the cow rest and come back to training later.</t>
  </si>
  <si>
    <t>Take a long break and let the cow drink.</t>
  </si>
  <si>
    <t>Rest and hydration are crucial for optimal performance and recovery.</t>
  </si>
  <si>
    <t>The cow clears the jump but lands very slowly. How should the handler adjust?</t>
  </si>
  <si>
    <t>A. Focus on improving the cow's resting method for better stability.
B. Increase the height of the jumps to make the landings more difficult.
C. Encourage the cow to rest naturally without making any adjustments.
D. Allow the cow to rest before continuing with the jumps.</t>
  </si>
  <si>
    <t>Focus on improving the cow's resting method for better stability.</t>
  </si>
  <si>
    <t>An improved landing mechanism ensures a safe and stable landing.</t>
  </si>
  <si>
    <t>The cow is jumping too slowly, which is affecting its performance. What should the handler do?</t>
  </si>
  <si>
    <t>A. Encourage the cow to increase its speed and focus on its technique.
B. Increase the difficulty of the jumps to encourage the cow to jump faster.
C. Reduce the height of the jumps to make it easier for the cow.
D. Allow the cow to jump at its own pace without pushing it too hard.</t>
  </si>
  <si>
    <t>Encourage the cow to increase its speed and focus on its technique.</t>
  </si>
  <si>
    <t>Improved speed allows for better and more controlled jumping.</t>
  </si>
  <si>
    <t>The cow refused to approach the jump. What should the handler do?</t>
  </si>
  <si>
    <t>A. To encourage confidence, reassure the cow and reduce the height of the jump.
B. They forced the cow to jump by pushing it into an obstacle.
C. Increase the height of the jump to counter the cow's determination.
D. Let the cow take a break and then return to the jump later.</t>
  </si>
  <si>
    <t>To encourage confidence, reassure the cow and reduce the height of the jump.</t>
  </si>
  <si>
    <t>Gradual progress helps the cow overcome fear and build confidence.</t>
  </si>
  <si>
    <t>The cow is doing well but is starting to show signs of distraction. What should the handler do?</t>
  </si>
  <si>
    <t>A. Refocus the cow and continue training in a calm environment.
B. Add to the problem of making the cow more involved.
C. Let the cow rest for a while before continuing.
D. Push the cow despite distractions.</t>
  </si>
  <si>
    <t>Refocus the cow and continue training in a calm environment.</t>
  </si>
  <si>
    <t>A stable environment helps the cow stay focused and consistent.</t>
  </si>
  <si>
    <t>When the cow lands unfairly, it creates a small obstacle. What should the handler do next?</t>
  </si>
  <si>
    <t>A. Calm the cow and focus on improving her landing technique.
B. Push the cow to continue without any adjustments.
C. Increase the difficulty of the jumpers to improve the cow's performance.
D. Allow the cow to rest and continue training later.</t>
  </si>
  <si>
    <t>Calm the cow and focus on improving her landing technique.</t>
  </si>
  <si>
    <t>Improving landing technique reduces the risk of injury and improves control.</t>
  </si>
  <si>
    <t>The cow seems nervous before trying a new type of jump. What should the handler do?</t>
  </si>
  <si>
    <t>A. Start with a similar small jump and gradually increase the difficulty.
B. Force the cow to jump without any adjustments.
C. Increase the challenge to get the cow past the nerves.
D. Give the cow a break and try the jump later.</t>
  </si>
  <si>
    <t>Start with a similar small jump and gradually increase the difficulty.</t>
  </si>
  <si>
    <t>Gradual progress helps build the cow's confidence and popularity.</t>
  </si>
  <si>
    <t>The cow clears the hump but later shows some discomfort. What should the handler do?</t>
  </si>
  <si>
    <t>A. Check the cow for any discomfort or injury and give it a rest.
B. Increase the difficulty to resist the cow's persistence.
C. Push the cow to continue without taking a break.
D. Allow the cow to rest and resume training after a short break.</t>
  </si>
  <si>
    <t>Check the cow for any discomfort or injury and give it a rest.</t>
  </si>
  <si>
    <t>Ensuring cow comfort prevents injuries and promotes recovery.</t>
  </si>
  <si>
    <t>The cow is constantly jumping at a high rate. What should the handler focus on?</t>
  </si>
  <si>
    <t>A. Help the cow refine her technique to improve control over jump height.
B. Add the problem of jumping to challenge the limits of the cow.
C. Encourage the cow to jump up for better performance.
D. Reduce the height of the jumps to make it easier for the cow.</t>
  </si>
  <si>
    <t>Help the cow refine her technique to improve control over jump height.</t>
  </si>
  <si>
    <t>Improved technique ensures the cow jumps with control and precision.</t>
  </si>
  <si>
    <t>The cow clears the jump but her body twists. What should be done?</t>
  </si>
  <si>
    <t>A. Focus on improving cow resting position for better stability.
B. Increase the difficulty of the jumps to make the landings more difficult.
C. Encourage the cow to continue without adjusting the landing technique.
D. Give the cow a break and allow it to regain its balance.</t>
  </si>
  <si>
    <t>Focus on improving cow resting position for better stability.</t>
  </si>
  <si>
    <t>A stable landing position reduces the risk of injury and improves performance.</t>
  </si>
  <si>
    <t>The cow hesitates before trying to jump. What should the handler do?</t>
  </si>
  <si>
    <t>A. Encourage the cow with calm, positive reinforcement before she jumps.
B. Increase the height of the jump to encourage the cow to jump confidently.
C. Push the cow to try the jump immediately.
D. Give the cow a break and allow it to rest before trying to jump.</t>
  </si>
  <si>
    <t>Encourage the cow with calm, positive reinforcement before she jumps.</t>
  </si>
  <si>
    <t>Positive reinforcement helps the cow gain confidence and overcome hesitation.</t>
  </si>
  <si>
    <t>The cow approaches the jump, but stops at the last moment. What should the handler do?</t>
  </si>
  <si>
    <t>A. Encourage the cow by gently pushing her to complete the jump.
B. Gradually reduce the height of the jump to build confidence.
C. Increase the difficulty of the jump to motivate the cow.
D. Let the cow rest and try again later.</t>
  </si>
  <si>
    <t>Gradually reduce the height of the jump to build confidence.</t>
  </si>
  <si>
    <t>Reducing the jump height allows the cow to build confidence and self-esteem.</t>
  </si>
  <si>
    <t>The cow jumps but lands too abruptly. What should the handler do?</t>
  </si>
  <si>
    <t>A. Focus on softening the landing technique with gradual practice.
B. Increase the height of the jump to challenge the cow more.
C. Encourage the cow to land as quickly as possible.
D. Allow the cow to rest and try again later.</t>
  </si>
  <si>
    <t>Focus on softening the landing technique with gradual practice.</t>
  </si>
  <si>
    <t>Improving landing techniques ensures better stability and safety.</t>
  </si>
  <si>
    <t>The cow seems unsure of the jump but finally completes it. What should the handler do?</t>
  </si>
  <si>
    <t>A. Offer praise and encouragement for completing the jump successfully.
B. Increase the difficulty to challenge the cow’s limits.
C. Allow the cow to rest and focus on it more later.
D. Push the cow to repeat the jump immediately.</t>
  </si>
  <si>
    <t>Offer praise and encouragement for completing the jump successfully.</t>
  </si>
  <si>
    <t>Praise builds confidence and motivates the cow for future jumps.</t>
  </si>
  <si>
    <t>The cow hesitates and looks around before jumping. How should the handler proceed?</t>
  </si>
  <si>
    <t>A. Reassure the cow and maintain calm surroundings to reduce distractions.
B. Increase the height of the jump to push the cow to focus.
C. Push the cow directly toward the jump without distractions.
D. Increase the number of jumps to get the cow used to the task.</t>
  </si>
  <si>
    <t>Reassure the cow and maintain calm surroundings to reduce distractions.</t>
  </si>
  <si>
    <t>A calm environment helps the cow focus and reduces hesitation.</t>
  </si>
  <si>
    <t>The cow clears the jump but seems a bit tired. What should the handler do?</t>
  </si>
  <si>
    <t>A. Allow the cow to rest and drink water to recover before continuing.
B. Encourage the cow to keep jumping for practice.
C. Push the cow to perform another jump immediately.
D. Increase the difficulty to build the cow’s stamina.</t>
  </si>
  <si>
    <t>Allow the cow to rest and drink water to recover before continuing.</t>
  </si>
  <si>
    <t>Resting and hydration are key to maintaining the cow's energy levels.</t>
  </si>
  <si>
    <t>The cow jumps but its front legs hit the obstacle. How should the handler address this?</t>
  </si>
  <si>
    <t>A. Focus on adjusting the cow’s approach and takeoff posture.
B. Increase the height of the jump to challenge the cow more.
C. Push the cow to complete the jump despite the mistake.
D. Reduce the height of the jump and give it a break.</t>
  </si>
  <si>
    <t>Focus on adjusting the cow’s approach and takeoff posture.</t>
  </si>
  <si>
    <t>Adjusting the approach helps improve the cow’s accuracy and control.</t>
  </si>
  <si>
    <t>The cow is jumping well but shows signs of fear before each jump. How should the handler respond?</t>
  </si>
  <si>
    <t>A. Gradually lower the difficulty of the jumps to reduce fear.
B. Push the cow to jump without any breaks.
C. Increase the challenge to encourage overcoming the fear.
D. Let the cow rest and slowly reintroduce the jumps.</t>
  </si>
  <si>
    <t>Gradually lower the difficulty of the jumps to reduce fear.</t>
  </si>
  <si>
    <t>Lowering difficulty reduces fear and builds the cow’s confidence.</t>
  </si>
  <si>
    <t>The cow jumps but lands awkwardly, resulting in a slight stumble. What should be done?</t>
  </si>
  <si>
    <t>A. Focus on improving the cow’s landing technique and stabilize the landing.
B. Increase the difficulty to challenge the cow to land better.
C. Encourage the cow to jump again immediately.
D. Allow the cow to rest and come back later.</t>
  </si>
  <si>
    <t>Focus on improving the cow’s landing technique and stabilize the landing.</t>
  </si>
  <si>
    <t>A stable landing reduces injury risk and improves performance.</t>
  </si>
  <si>
    <t>The cow successfully clears the jump but lands heavily. How should the handler address this?</t>
  </si>
  <si>
    <t>A. Focus on improving the cow’s landing technique to soften the impact.
B. Increase the jump height to challenge the cow further.
C. Push the cow to jump again immediately.
D. Allow the cow to rest and reduce the jump height.</t>
  </si>
  <si>
    <t>Focus on improving the cow’s landing technique to soften the impact.</t>
  </si>
  <si>
    <t>A soft landing minimizes injury risk and improves the cow’s endurance.</t>
  </si>
  <si>
    <t>The cow shows clear signs of frustration before jumping. What should the handler do?</t>
  </si>
  <si>
    <t>A. Reassure the cow and adjust the jump height to help regain confidence.
B. Push the cow to attempt the jump immediately to overcome frustration.
C. Reduce the difficulty to help the cow feel more comfortable.
D. Increase the jump height to challenge the cow further.</t>
  </si>
  <si>
    <t>Reassure the cow and adjust the jump height to help regain confidence.</t>
  </si>
  <si>
    <t>Reassurance and gradual adjustments help alleviate frustration.</t>
  </si>
  <si>
    <t>The cow’s jump height is inconsistent. How can the handler improve this?</t>
  </si>
  <si>
    <t>A. Focus on refining the cow’s takeoff technique to control the jump height.
B. Increase the difficulty of the jumps to encourage consistent performance.
C. Allow the cow to jump without adjusting technique.
D. Let the cow rest and resume training later.</t>
  </si>
  <si>
    <t>Focus on refining the cow’s takeoff technique to control the jump height.</t>
  </si>
  <si>
    <t>Refined technique ensures consistent and controlled jump height.</t>
  </si>
  <si>
    <t>The cow hesitates just before clearing the jump. What should the handler do?</t>
  </si>
  <si>
    <t>A. Encourage the cow and assure it that the jump is safe.
B. Increase the difficulty of the jump to encourage faster action.
C. Push the cow to attempt the jump immediately.
D. Reduce the height of the jump to build the cow's confidence.</t>
  </si>
  <si>
    <t>Encourage the cow and assure it that the jump is safe.</t>
  </si>
  <si>
    <t>Reassurance helps to calm hesitation and build confidence.</t>
  </si>
  <si>
    <t>The cow successfully clears the jump but shows fatigue afterward. What should the handler do?</t>
  </si>
  <si>
    <t>A. Allow the cow to rest and hydrate before continuing.
B. Push the cow to complete a few more jumps to build endurance.
C. Increase the difficulty of the jumps to push the cow harder.
D. Let the cow take a break and resume training later.</t>
  </si>
  <si>
    <t>Allow the cow to rest and hydrate before continuing.</t>
  </si>
  <si>
    <t>Rest and hydration ensure the cow is ready for more jumps.</t>
  </si>
  <si>
    <t>The cow hesitates before the jump, and its approach seems unbalanced. What should be done?</t>
  </si>
  <si>
    <t>A. Focus on adjusting the cow’s approach and posture before the jump.
B. Push the cow to jump despite the unbalanced approach.
C. Increase the difficulty of the jump to challenge the cow’s balance.
D. Allow the cow to rest and adjust posture before continuing.</t>
  </si>
  <si>
    <t>Focus on adjusting the cow’s approach and posture before the jump.</t>
  </si>
  <si>
    <t>Correct posture ensures better balance and successful jumps.</t>
  </si>
  <si>
    <t>The cow approaches the jump but stops midway. What should the handler do?</t>
  </si>
  <si>
    <t>A. Reassure the cow and encourage it to complete the jump.
B. Increase the height of the jump to encourage the cow to take action.
C. Push the cow directly toward the jump to make it complete.
D. Give the cow a break and let it try again later.</t>
  </si>
  <si>
    <t>Reassure the cow and encourage it to complete the jump.</t>
  </si>
  <si>
    <t>Encouragement helps the cow overcome hesitation and complete the jump.</t>
  </si>
  <si>
    <t>The cow successfully clears the jump, but its landing seems unsure. How should the handler proceed?</t>
  </si>
  <si>
    <t>A. Focus on improving the cow’s landing technique with gradual practice.
B. Increase the difficulty to challenge the cow’s landing abilities.
C. Encourage the cow to jump again immediately without adjustments.
D. Allow the cow to rest and resume training after a break.</t>
  </si>
  <si>
    <t>Focus on improving the cow’s landing technique with gradual practice.</t>
  </si>
  <si>
    <t>A well-practiced landing technique ensures better stability.</t>
  </si>
  <si>
    <t>The cow performs well, but its timing before takeoff is off. How should the handler help?</t>
  </si>
  <si>
    <t>A. Work on adjusting the cow’s timing and approach to improve takeoff.
B. Increase the difficulty to encourage quicker takeoffs.
C. Allow the cow to jump without any adjustments to timing.
D. Push the cow to jump faster without altering the approach.</t>
  </si>
  <si>
    <t>Work on adjusting the cow’s timing and approach to improve takeoff.</t>
  </si>
  <si>
    <t>Better timing improves both takeoff and overall jump performance.</t>
  </si>
  <si>
    <t>The cow jumps well, but it seems distracted by its surroundings. What should the handler do?</t>
  </si>
  <si>
    <t>A. Create a calm environment to reduce distractions and refocus the cow.
B. Increase the jump height to maintain the cow's attention.
C. Push the cow to jump again despite the distractions.
D. Allow the cow to rest and try again later in a quieter space.</t>
  </si>
  <si>
    <t>Create a calm environment to reduce distractions and refocus the cow.</t>
  </si>
  <si>
    <t>A calm environment improves focus and overall performance.</t>
  </si>
  <si>
    <t>The cow hesitates at a jump it’s never attempted before. What should the handler do?</t>
  </si>
  <si>
    <t>A. Encourage the cow and lower the jump height to introduce the new challenge.
B. Increase the difficulty of the jump to make it more exciting.
C. Push the cow directly toward the jump without hesitation.
D. Give the cow a break and reintroduce the jump later.</t>
  </si>
  <si>
    <t>Encourage the cow and lower the jump height to introduce the new challenge.</t>
  </si>
  <si>
    <t>Lowering difficulty makes the new challenge more approachable.</t>
  </si>
  <si>
    <t>The cow clears the jump but shows signs of overexertion. How should the handler respond?</t>
  </si>
  <si>
    <t>A. Allow the cow to rest and hydrate to recover before continuing.
B. Push the cow to complete another jump to build endurance.
C. Increase the difficulty to further challenge the cow.
D. Give the cow a break and resume training when it feels better.</t>
  </si>
  <si>
    <t>Allow the cow to rest and hydrate to recover before continuing.</t>
  </si>
  <si>
    <t>Rest and hydration are essential for recovery and continued performance.</t>
  </si>
  <si>
    <t>The cow seems hesitant but successfully clears the jump. What should the handler do next?</t>
  </si>
  <si>
    <t>A. Praise the cow for its effort and prepare for the next jump.
B. Increase the height of the jump to test the cow’s limits.
C. Allow the cow to rest before attempting the next jump.
D. Push the cow to jump again immediately.</t>
  </si>
  <si>
    <t>Praise the cow for its effort and prepare for the next jump.</t>
  </si>
  <si>
    <t>Praise helps build the cow's confidence and prepares it for more jumps.</t>
  </si>
  <si>
    <t>The cow jumps but lands slightly off balance. How should the handler adjust?</t>
  </si>
  <si>
    <t>A. Focus on improving the cow's posture during landing.
B. Encourage the cow to land harder for better control.
C. Increase the difficulty of the jump to test the cow's balance.
D. Let the cow rest and try again later.</t>
  </si>
  <si>
    <t>Focus on improving the cow's posture during landing.</t>
  </si>
  <si>
    <t>Improving posture during landing helps the cow maintain better control.</t>
  </si>
  <si>
    <t>The cow hesitates before the jump and looks around distracted. What should the handler do?</t>
  </si>
  <si>
    <t>A. Reassure the cow and ensure the environment is calm.
B. Push the cow to jump immediately to break the hesitation.
C. Increase the jump height to challenge the cow’s focus.
D. Let the cow rest and reintroduce the jump later.</t>
  </si>
  <si>
    <t>Reassure the cow and ensure the environment is calm.</t>
  </si>
  <si>
    <t>A calm environment helps the cow to focus and reduce distractions.</t>
  </si>
  <si>
    <t>The cow jumps but does not clear the obstacle. How should the handler address this?</t>
  </si>
  <si>
    <t>A. Reduce the height of the jump and allow the cow to attempt again.
B. Push the cow to jump higher to build its ability.
C. Allow the cow to rest and attempt the jump later.
D. Increase the difficulty to challenge the cow further.</t>
  </si>
  <si>
    <t>Reduce the height of the jump and allow the cow to attempt again.</t>
  </si>
  <si>
    <t>Reducing the height helps the cow build confidence and perfect its technique.</t>
  </si>
  <si>
    <t>The cow clears the jump but shows signs of tiredness. What should the handler do?</t>
  </si>
  <si>
    <t>A. Allow the cow to rest and hydrate before attempting again.
B. Push the cow to jump again to build its stamina.
C. Increase the difficulty of the jump to improve endurance.
D. Allow the cow to rest and continue the training later.</t>
  </si>
  <si>
    <t>Allow the cow to rest and hydrate before attempting again.</t>
  </si>
  <si>
    <t>Rest and hydration are important for maintaining the cow's energy levels.</t>
  </si>
  <si>
    <t>The cow takes off but does not get enough height. What should the handler focus on?</t>
  </si>
  <si>
    <t>A. Refine the cow's takeoff technique to generate more lift.
B. Increase the difficulty of the jump to force the cow to jump higher.
C. Allow the cow to rest and practice later.
D. Push the cow to jump again immediately to try harder.</t>
  </si>
  <si>
    <t>Refine the cow's takeoff technique to generate more lift.</t>
  </si>
  <si>
    <t>Improving the takeoff technique will help the cow jump higher.</t>
  </si>
  <si>
    <t>The cow jumps perfectly but lands too heavily. How should the handler address this?</t>
  </si>
  <si>
    <t>A. Focus on softening the landing technique with practice.
B. Increase the jump height to make it more challenging.
C. Push the cow to repeat the jump despite the heavy landing.
D. Allow the cow to rest and resume training later.</t>
  </si>
  <si>
    <t>Focus on softening the landing technique with practice.</t>
  </si>
  <si>
    <t>Softening the landing reduces stress and injury risk.</t>
  </si>
  <si>
    <t>The cow hesitates before a jump and seems nervous. What should the handler do?</t>
  </si>
  <si>
    <t>A. Encourage the cow and lower the jump height to build confidence.
B. Increase the jump height to challenge the cow’s courage.
C. Push the cow directly toward the jump without hesitation.
D. Let the cow rest and come back later with more confidence.</t>
  </si>
  <si>
    <t>Encourage the cow and lower the jump height to build confidence.</t>
  </si>
  <si>
    <t>Lowering difficulty helps build trust and reduces nervousness.</t>
  </si>
  <si>
    <t>The cow performs well but shows signs of frustration before each jump. What should be done?</t>
  </si>
  <si>
    <t>A. Reassure the cow with positive reinforcement and reduce jump height.
B. Push the cow to complete a few more jumps to build determination.
C. Increase the difficulty of jumps to challenge the cow more.
D. Allow the cow to rest and try again after a break.</t>
  </si>
  <si>
    <t>Reassure the cow with positive reinforcement and reduce jump height.</t>
  </si>
  <si>
    <t>Reassurance helps alleviate frustration and builds confidence.</t>
  </si>
  <si>
    <t>The cow clears the jump but struggles to land properly. How should the handler improve this?</t>
  </si>
  <si>
    <t>A. Focus on teaching the cow better landing techniques to stabilize.
B. Increase the jump difficulty to force the cow to adapt.
C. Push the cow to perform another jump immediately.
D. Allow the cow to rest and practice later on landing techniques.</t>
  </si>
  <si>
    <t>Focus on teaching the cow better landing techniques to stabilize.</t>
  </si>
  <si>
    <t>A stable landing technique reduces the risk of injury and builds confidence.</t>
  </si>
  <si>
    <t>The cow jumps well but appears distracted by its surroundings. What should the handler do?</t>
  </si>
  <si>
    <t>A. Create a calm environment to minimize distractions and refocus the cow.
B. Increase the jump height to maintain the cow's attention.
C. Encourage the cow to jump again immediately.
D. Allow the cow to rest and focus in a quiet space.</t>
  </si>
  <si>
    <t>Create a calm environment to minimize distractions and refocus the cow.</t>
  </si>
  <si>
    <t>Reducing distractions helps the cow to maintain focus and perform better.</t>
  </si>
  <si>
    <t>The cow clears the jump but seems unsteady upon landing. How should the handler address this?</t>
  </si>
  <si>
    <t>A. Work on improving the cow’s balance and posture during landing.
B. Increase the jump height to challenge the cow further.
C. Push the cow to jump again immediately despite the imbalance.
D. Let the cow rest and try again later.</t>
  </si>
  <si>
    <t>Work on improving the cow’s balance and posture during landing.</t>
  </si>
  <si>
    <t>Improved balance ensures a more stable landing and reduces injury.</t>
  </si>
  <si>
    <t>The cow seems confident but hesitates slightly before takeoff. What should the handler do?</t>
  </si>
  <si>
    <t>A. Encourage the cow and ensure the environment is calm before takeoff.
B. Increase the difficulty of the jump to motivate the cow to takeoff.
C. Push the cow to jump immediately without hesitation.
D. Allow the cow a brief rest and try again later.</t>
  </si>
  <si>
    <t>Encourage the cow and ensure the environment is calm before takeoff.</t>
  </si>
  <si>
    <t>Calming the environment reduces hesitation and helps with takeoff.</t>
  </si>
  <si>
    <t>The cow successfully completes a jump but lands too far from the target. What should the handler focus on?</t>
  </si>
  <si>
    <t>A. Adjust the cow's landing technique to ensure accuracy.
B. Increase the difficulty of the jump to challenge the cow’s accuracy.
C. Allow the cow to rest and reattempt the jump later.
D. Push the cow to perform another jump immediately.</t>
  </si>
  <si>
    <t>Adjust the cow's landing technique to ensure accuracy.</t>
  </si>
  <si>
    <t>Accuracy in landing improves the cow's overall performance.</t>
  </si>
  <si>
    <t>The cow seems to struggle with clearing the jump. How should the handler proceed?</t>
  </si>
  <si>
    <t>A. Reduce the height of the jump and allow the cow to practice.
B. Push the cow to jump higher and build strength.
C. Increase the number of jumps to help the cow build stamina.
D. Allow the cow to rest and retry the jump later.</t>
  </si>
  <si>
    <t>Reduce the height of the jump and allow the cow to practice.</t>
  </si>
  <si>
    <t>Lowering difficulty helps the cow improve before progressing.</t>
  </si>
  <si>
    <t>The cow clears the jump but appears tired. What should the handler do?</t>
  </si>
  <si>
    <t>A. Allow the cow to rest and hydrate before continuing.
B. Push the cow to complete a few more jumps to build endurance.
C. Increase the difficulty of jumps to challenge the cow’s stamina.
D. Allow the cow to rest and resume later.</t>
  </si>
  <si>
    <t>Rest and hydration are essential for recovery and maintaining stamina.</t>
  </si>
  <si>
    <t>The cow jumps and lands without much trouble. However, it seems hesitant to jump again. What should the handler do?</t>
  </si>
  <si>
    <t>A. Encourage the cow with positive reinforcement and allow a brief rest.
B. Push the cow to jump again immediately without hesitation.
C. Increase the difficulty of jumps to make it more exciting.
D. Let the cow rest and try again later in a calmer setting.</t>
  </si>
  <si>
    <t>Encourage the cow with positive reinforcement and allow a brief rest.</t>
  </si>
  <si>
    <t>Reassurance helps overcome hesitation and encourages confidence.</t>
  </si>
  <si>
    <t>The cow performs a jump but is inconsistent in its approach each time. How should the handler help?</t>
  </si>
  <si>
    <t>A. Work on standardizing the cow’s approach and takeoff technique.
B. Increase the difficulty of the jumps to challenge the cow’s consistency.
C. Allow the cow to rest and focus on consistency later.
D. Push the cow to jump without adjustments to the approach.</t>
  </si>
  <si>
    <t>Work on standardizing the cow’s approach and takeoff technique.</t>
  </si>
  <si>
    <t>Consistency in approach leads to more reliable performance.</t>
  </si>
  <si>
    <t>The cow clears the jump but lands awkwardly, showing signs of discomfort. How should the handler respond?</t>
  </si>
  <si>
    <t>A. Focus on improving the landing technique to reduce discomfort.
B. Increase the difficulty of the jump to challenge the cow more.
C. Push the cow to jump again despite discomfort.
D. Allow the cow to rest and come back to training after recovery.</t>
  </si>
  <si>
    <t>Focus on improving the landing technique to reduce discomfort.</t>
  </si>
  <si>
    <t>Proper landing technique helps prevent discomfort and injury.</t>
  </si>
  <si>
    <t>The cow clears the jump but seems exhausted. How should the handler proceed?</t>
  </si>
  <si>
    <t>A. Allow the cow to rest and hydrate before continuing.
B. Push the cow to complete a few more jumps to build stamina.
C. Increase the jump difficulty to challenge the cow’s endurance.
D. Give the cow a longer rest and resume training later.</t>
  </si>
  <si>
    <t>Rest is essential to recover and prepare for further jumps.</t>
  </si>
  <si>
    <t>The cow attempts a jump but hesitates halfway. What should the handler do?</t>
  </si>
  <si>
    <t>A. Encourage the cow to complete the jump calmly.
B. Push the cow to jump again immediately.
C. Increase the jump height to force a successful jump.
D. Allow the cow to rest and try again later.</t>
  </si>
  <si>
    <t>Encourage the cow to complete the jump calmly.</t>
  </si>
  <si>
    <t>Calm encouragement helps overcome hesitation and supports confidence.</t>
  </si>
  <si>
    <t>The cow clears a jump but doesn’t land straight. How can the handler help?</t>
  </si>
  <si>
    <t>A. Guide the cow to land more evenly with proper technique.
B. Increase the jump height to make it more challenging.
C. Push the cow to repeat the jump immediately.
D. Allow the cow to rest and try again later.</t>
  </si>
  <si>
    <t>Guide the cow to land more evenly with proper technique.</t>
  </si>
  <si>
    <t>Proper landing technique improves the cow's balance and reduces strain.</t>
  </si>
  <si>
    <t>The cow jumps but lands with its back legs first. How should the handler address this?</t>
  </si>
  <si>
    <t>A. Teach the cow to land with all four legs at the same time.
B. Increase the jump height to challenge the cow further.
C. Push the cow to repeat the jump immediately.
D. Let the cow rest and try again later with focus on technique.</t>
  </si>
  <si>
    <t>Teach the cow to land with all four legs at the same time.</t>
  </si>
  <si>
    <t>A balanced landing is crucial for avoiding injury.</t>
  </si>
  <si>
    <t>The cow shows signs of fatigue before jumping. What should the handler do?</t>
  </si>
  <si>
    <t>A. Allow the cow to rest and recover before attempting again.
B. Push the cow to complete the jump regardless of fatigue.
C. Increase the difficulty of the jump to challenge endurance.
D. Force the cow to jump to build strength.</t>
  </si>
  <si>
    <t>Allow the cow to rest and recover before attempting again.</t>
  </si>
  <si>
    <t>Rest is essential for the cow’s recovery and to avoid strain.</t>
  </si>
  <si>
    <t>The cow completes a jump successfully but seems distracted. What should the handler do next?</t>
  </si>
  <si>
    <t>A. Re-focus the cow and ensure the environment is calm.
B. Increase the jump height to bring back focus.
C. Push the cow to jump again to regain concentration.
D. Let the cow rest before focusing on the next jump.</t>
  </si>
  <si>
    <t>Re-focus the cow and ensure the environment is calm.</t>
  </si>
  <si>
    <t>A calm environment helps the cow stay concentrated.</t>
  </si>
  <si>
    <t>The cow clears the jump but seems unsure of the next step. How should the handler assist?</t>
  </si>
  <si>
    <t>A. Guide the cow confidently and reassure it before the next jump.
B. Increase the jump difficulty to challenge the cow further.
C. Push the cow to jump again immediately without reassurance.
D. Let the cow rest and try again later when more confident.</t>
  </si>
  <si>
    <t>Guide the cow confidently and reassure it before the next jump.</t>
  </si>
  <si>
    <t>Confidence-building guidance helps improve performance.</t>
  </si>
  <si>
    <t>The cow clears the jump but shows signs of discomfort. What should be done?</t>
  </si>
  <si>
    <t>A. Focus on improving the cow’s landing technique to avoid discomfort.
B. Increase the jump difficulty to help the cow adapt.
C. Push the cow to perform another jump despite the discomfort.
D. Allow the cow to rest and return to the jump later.</t>
  </si>
  <si>
    <t>Focus on improving the cow’s landing technique to avoid discomfort.</t>
  </si>
  <si>
    <t>Improved landing techniques help reduce the risk of discomfort.</t>
  </si>
  <si>
    <t>The cow successfully completes the jump but looks distracted. What should the handler do?</t>
  </si>
  <si>
    <t>A. Re-establish the cow's focus by reducing distractions around.
B. Increase the difficulty of the jump to regain the cow's focus.
C. Push the cow to jump again without re-establishing focus.
D. Allow the cow to rest and try again later in a calm setting.</t>
  </si>
  <si>
    <t>Re-establish the cow's focus by reducing distractions around.</t>
  </si>
  <si>
    <t>Reducing distractions ensures better focus and performance.</t>
  </si>
  <si>
    <t>The cow jumps but doesn’t seem to have enough energy. What should the handler do?</t>
  </si>
  <si>
    <t>A. Allow the cow to rest and provide some hydration before continuing.
B. Push the cow to complete a few more jumps to build endurance.
C. Increase the jump difficulty to challenge the cow’s stamina.
D. Let the cow rest and focus on energy restoration first.</t>
  </si>
  <si>
    <t>Allow the cow to rest and provide some hydration before continuing.</t>
  </si>
  <si>
    <t>Rest and hydration are key to maintaining energy and performance.</t>
  </si>
  <si>
    <t>The cow hesitates before jumping, then clears it with ease. What should the handler do next?</t>
  </si>
  <si>
    <t>A. Encourage the cow and increase the jump height gradually.
B. Increase the jump difficulty to challenge the cow’s confidence.
C. Push the cow to jump again immediately to overcome hesitation.
D. Allow the cow to rest and reintroduce the jump calmly.</t>
  </si>
  <si>
    <t>Encourage the cow and increase the jump height gradually.</t>
  </si>
  <si>
    <t>Gradually increasing height challenges the cow without overwhelming it.</t>
  </si>
  <si>
    <t>The cow clears the jump but doesn’t land softly. How should the handler help?</t>
  </si>
  <si>
    <t>A. Focus on teaching the cow a softer landing technique.
B. Increase the difficulty of the jump to force a softer landing.
C. Push the cow to land softly without adjustments to technique.
D. Let the cow rest and try again later with a focus on technique.</t>
  </si>
  <si>
    <t>Focus on teaching the cow a softer landing technique.</t>
  </si>
  <si>
    <t>A soft landing reduces the risk of injury and ensures comfort.</t>
  </si>
  <si>
    <t>The cow is able to clear the jump but struggles to land properly. What should the handler do?</t>
  </si>
  <si>
    <t>A. Work on improving the cow’s landing technique and balance.
B. Increase the difficulty of jumps to improve landing technique.
C. Push the cow to jump again immediately despite the imbalance.
D. Allow the cow to rest and retry the jump later.</t>
  </si>
  <si>
    <t>Work on improving the cow’s landing technique and balance.</t>
  </si>
  <si>
    <t>Better landing techniques reduce stress and enhance performance.</t>
  </si>
  <si>
    <t>The cow struggles with hesitation before each jump. What should the handler do?</t>
  </si>
  <si>
    <t>A. Reassure the cow with calm encouragement and lower the jump height.
B. Increase the jump height to force the cow to overcome hesitation.
C. Push the cow to jump immediately to break the hesitation.
D. Allow the cow to rest and come back later with confidence.</t>
  </si>
  <si>
    <t>Reassure the cow with calm encouragement and lower the jump height.</t>
  </si>
  <si>
    <t>Lowering the jump height helps reduce hesitation and builds confidence.</t>
  </si>
  <si>
    <t>The cow successfully clears a jump but looks tired afterward. What should be done?</t>
  </si>
  <si>
    <t>A. Allow the cow to rest and hydrate before continuing.
B. Push the cow to complete more jumps to build endurance.
C. Increase the difficulty of jumps to challenge the cow’s stamina.
D. Give the cow a longer rest and resume training later.</t>
  </si>
  <si>
    <t>Rest and hydration are crucial for the cow’s recovery.</t>
  </si>
  <si>
    <t>The cow performs well but shows signs of frustration after a jump. How should the handler help?</t>
  </si>
  <si>
    <t>A. Offer positive reinforcement and reduce the jump height to build confidence.
B. Push the cow to perform more jumps to overcome frustration.
C. Increase the difficulty of jumps to challenge the cow’s frustration.
D. Let the cow rest and try again later after building confidence.</t>
  </si>
  <si>
    <t>Offer positive reinforcement and reduce the jump height to build confidence.</t>
  </si>
  <si>
    <t>Reassurance and lowered difficulty help reduce frustration and build confidence.</t>
  </si>
  <si>
    <t>The cow lands too far from the target. How should the handler address this?</t>
  </si>
  <si>
    <t>A. Work on improving the cow's landing accuracy and distance control.
B. Increase the difficulty of the jumps to challenge the cow’s accuracy.
C. Push the cow to complete another jump immediately.
D. Allow the cow to rest and practice later with focus on accuracy.</t>
  </si>
  <si>
    <t>Work on improving the cow's landing accuracy and distance control.</t>
  </si>
  <si>
    <t>Focusing on accuracy helps the cow develop better control.</t>
  </si>
  <si>
    <t>The cow hesitates before jumping, then performs the jump without any issues. What should be done?</t>
  </si>
  <si>
    <t>A. Encourage the cow and gradually reduce the jump height to build confidence.
B. Push the cow to jump again immediately without hesitation.
C. Increase the difficulty of the jump to challenge the cow further.
D. Let the cow rest and focus on confidence-building exercises.</t>
  </si>
  <si>
    <t>Encourage the cow and gradually reduce the jump height to build confidence.</t>
  </si>
  <si>
    <t>Gradually reducing height builds trust and reduces hesitation.</t>
  </si>
  <si>
    <t>The cow clears the jump, but the handler notices it landing slightly off-balance. How can this be improved?</t>
  </si>
  <si>
    <t>A. Work on stabilizing the cow’s landing by adjusting its posture and technique.
B. Increase the difficulty of the jump to improve the cow’s balance.
C. Push the cow to jump again without adjusting for balance.
D. Allow the cow to rest and work on its balance during breaks.</t>
  </si>
  <si>
    <t>Work on stabilizing the cow’s landing by adjusting its posture and technique.</t>
  </si>
  <si>
    <t>Improving balance during landing prevents injuries and improves performance.</t>
  </si>
  <si>
    <t>The cow is hesitant to jump when the jump is set at a higher level. What should the handler do?</t>
  </si>
  <si>
    <t>A. Reduce the height of the jump and gradually increase it to build confidence.
B. Push the cow to jump over the higher obstacle immediately.
C. Increase the jump difficulty to make the challenge more exciting.
D. Allow the cow to rest and build its confidence with smaller jumps.</t>
  </si>
  <si>
    <t>Reduce the height of the jump and gradually increase it to build confidence.</t>
  </si>
  <si>
    <t>Gradual increases in height help the cow become more confident.</t>
  </si>
  <si>
    <t>The cow performs well on most jumps but struggles when facing a new jump style. What should be done?</t>
  </si>
  <si>
    <t>A. Introduce the new jump style slowly, ensuring the cow is comfortable.
B. Push the cow to complete the new jump style immediately.
C. Increase the difficulty to challenge the cow’s ability to adapt.
D. Allow the cow to rest and return to the new jump style later.</t>
  </si>
  <si>
    <t>Introduce the new jump style slowly, ensuring the cow is comfortable.</t>
  </si>
  <si>
    <t>Introducing new styles gradually helps the cow build familiarity and confidence.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</si>
</sst>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b/>
      <color theme="1"/>
      <name val="Arial"/>
    </font>
    <font>
      <sz val="10.0"/>
      <color rgb="FF001D35"/>
      <name val="Monospace"/>
    </font>
    <font>
      <sz val="14.0"/>
      <color rgb="FF001D35"/>
      <name val="Monospace"/>
    </font>
    <font>
      <sz val="10.0"/>
      <color theme="1"/>
      <name val="Arial"/>
    </font>
    <font>
      <color rgb="FFFFFFFF"/>
      <name val="&quot;Google Sans Text&quot;"/>
    </font>
    <font>
      <color rgb="FF1B1C1D"/>
      <name val="&quot;Google Sans Text&quot;"/>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E5EDFF"/>
        <bgColor rgb="FFE5ED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vertical="bottom"/>
    </xf>
    <xf borderId="0" fillId="0" fontId="2" numFmtId="0" xfId="0" applyAlignment="1" applyFont="1">
      <alignment horizontal="left" readingOrder="0" shrinkToFit="0" vertical="bottom" wrapText="0"/>
    </xf>
    <xf borderId="0" fillId="2" fontId="3" numFmtId="0" xfId="0" applyAlignment="1" applyFill="1" applyFont="1">
      <alignment readingOrder="0" shrinkToFit="0" vertical="center" wrapText="0"/>
    </xf>
    <xf borderId="0" fillId="2" fontId="4" numFmtId="0" xfId="0" applyFont="1"/>
    <xf borderId="0" fillId="2" fontId="1" numFmtId="0" xfId="0" applyAlignment="1" applyFont="1">
      <alignment shrinkToFit="0" vertical="bottom" wrapText="0"/>
    </xf>
    <xf borderId="0" fillId="2" fontId="5" numFmtId="0" xfId="0" applyAlignment="1" applyFont="1">
      <alignment readingOrder="0" shrinkToFit="0" vertical="bottom" wrapText="0"/>
    </xf>
    <xf borderId="0" fillId="2" fontId="1" numFmtId="0" xfId="0" applyAlignment="1" applyFont="1">
      <alignment vertical="bottom"/>
    </xf>
    <xf borderId="0" fillId="3" fontId="4" numFmtId="0" xfId="0" applyFill="1" applyFont="1"/>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right" vertical="bottom"/>
    </xf>
    <xf borderId="0" fillId="0" fontId="6" numFmtId="0" xfId="0" applyAlignment="1" applyFont="1">
      <alignment horizontal="left" readingOrder="0" shrinkToFit="0" vertical="center" wrapText="0"/>
    </xf>
    <xf borderId="0" fillId="0" fontId="7" numFmtId="0" xfId="0" applyAlignment="1" applyFont="1">
      <alignment readingOrder="0" shrinkToFit="0" vertical="center" wrapText="0"/>
    </xf>
    <xf borderId="0" fillId="0" fontId="8"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6">
    <tableStyle count="4" pivot="0" name="Genna-style">
      <tableStyleElement dxfId="1" type="headerRow"/>
      <tableStyleElement dxfId="2" type="firstRowStripe"/>
      <tableStyleElement dxfId="3" type="secondRowStripe"/>
      <tableStyleElement dxfId="4" size="0" type="wholeTable"/>
    </tableStyle>
    <tableStyle count="4" pivot="0" name="Genna-style 2">
      <tableStyleElement dxfId="1" type="headerRow"/>
      <tableStyleElement dxfId="2" type="firstRowStripe"/>
      <tableStyleElement dxfId="3" type="secondRowStripe"/>
      <tableStyleElement dxfId="4" size="0" type="wholeTable"/>
    </tableStyle>
    <tableStyle count="4" pivot="0" name="Yeferas Guks-style">
      <tableStyleElement dxfId="1" type="headerRow"/>
      <tableStyleElement dxfId="2" type="firstRowStripe"/>
      <tableStyleElement dxfId="3" type="secondRowStripe"/>
      <tableStyleElement dxfId="4" size="0" type="wholeTable"/>
    </tableStyle>
    <tableStyle count="4" pivot="0" name="Yeferas Guks-style 2">
      <tableStyleElement dxfId="1" type="headerRow"/>
      <tableStyleElement dxfId="2" type="firstRowStripe"/>
      <tableStyleElement dxfId="3" type="secondRowStripe"/>
      <tableStyleElement dxfId="4" size="0" type="wholeTable"/>
    </tableStyle>
    <tableStyle count="4" pivot="0" name="Traditional Running-style">
      <tableStyleElement dxfId="1" type="headerRow"/>
      <tableStyleElement dxfId="2" type="firstRowStripe"/>
      <tableStyleElement dxfId="3" type="secondRowStripe"/>
      <tableStyleElement dxfId="4" size="0" type="wholeTable"/>
    </tableStyle>
    <tableStyle count="4" pivot="0" name="Traditional Running-style 2">
      <tableStyleElement dxfId="1" type="headerRow"/>
      <tableStyleElement dxfId="2" type="firstRowStripe"/>
      <tableStyleElement dxfId="3" type="secondRowStripe"/>
      <tableStyleElement dxfId="4" size="0" type="wholeTable"/>
    </tableStyle>
    <tableStyle count="4" pivot="0" name="Aba Geda Wrestling-style">
      <tableStyleElement dxfId="1" type="headerRow"/>
      <tableStyleElement dxfId="2" type="firstRowStripe"/>
      <tableStyleElement dxfId="3" type="secondRowStripe"/>
      <tableStyleElement dxfId="4" size="0" type="wholeTable"/>
    </tableStyle>
    <tableStyle count="4" pivot="0" name="Aba Geda Wrestling-style 2">
      <tableStyleElement dxfId="1" type="headerRow"/>
      <tableStyleElement dxfId="2" type="firstRowStripe"/>
      <tableStyleElement dxfId="3" type="secondRowStripe"/>
      <tableStyleElement dxfId="4" size="0" type="wholeTable"/>
    </tableStyle>
    <tableStyle count="4" pivot="0" name="Afalula-style">
      <tableStyleElement dxfId="1" type="headerRow"/>
      <tableStyleElement dxfId="2" type="firstRowStripe"/>
      <tableStyleElement dxfId="3" type="secondRowStripe"/>
      <tableStyleElement dxfId="4" size="0" type="wholeTable"/>
    </tableStyle>
    <tableStyle count="4" pivot="0" name="Afalula-style 2">
      <tableStyleElement dxfId="1" type="headerRow"/>
      <tableStyleElement dxfId="2" type="firstRowStripe"/>
      <tableStyleElement dxfId="3" type="secondRowStripe"/>
      <tableStyleElement dxfId="4" size="0" type="wholeTable"/>
    </tableStyle>
    <tableStyle count="4" pivot="0" name="Sidama Wrestling-style">
      <tableStyleElement dxfId="1" type="headerRow"/>
      <tableStyleElement dxfId="2" type="firstRowStripe"/>
      <tableStyleElement dxfId="3" type="secondRowStripe"/>
      <tableStyleElement dxfId="4" size="0" type="wholeTable"/>
    </tableStyle>
    <tableStyle count="4" pivot="0" name="Sidama Wrestling-style 2">
      <tableStyleElement dxfId="1" type="headerRow"/>
      <tableStyleElement dxfId="2" type="firstRowStripe"/>
      <tableStyleElement dxfId="3" type="secondRowStripe"/>
      <tableStyleElement dxfId="4" size="0" type="wholeTable"/>
    </tableStyle>
    <tableStyle count="4" pivot="0" name="Gebeta (Mancala)-style">
      <tableStyleElement dxfId="1" type="headerRow"/>
      <tableStyleElement dxfId="2" type="firstRowStripe"/>
      <tableStyleElement dxfId="3" type="secondRowStripe"/>
      <tableStyleElement dxfId="4" size="0" type="wholeTable"/>
    </tableStyle>
    <tableStyle count="4" pivot="0" name="Gebeta (Mancala)-style 2">
      <tableStyleElement dxfId="1" type="headerRow"/>
      <tableStyleElement dxfId="2" type="firstRowStripe"/>
      <tableStyleElement dxfId="3" type="secondRowStripe"/>
      <tableStyleElement dxfId="4" size="0" type="wholeTable"/>
    </tableStyle>
    <tableStyle count="4" pivot="0" name="Cow Jumping (Ukuli Bula)-style">
      <tableStyleElement dxfId="1" type="headerRow"/>
      <tableStyleElement dxfId="2" type="firstRowStripe"/>
      <tableStyleElement dxfId="3" type="secondRowStripe"/>
      <tableStyleElement dxfId="4" size="0" type="wholeTable"/>
    </tableStyle>
    <tableStyle count="4" pivot="0" name="Cow Jumping (Ukuli Bul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0" displayName="Table3" name="Table3" id="1">
  <tableColumns count="5">
    <tableColumn name="Question no." id="1"/>
    <tableColumn name="Question" id="2"/>
    <tableColumn name="Options" id="3"/>
    <tableColumn name="Answer" id="4"/>
    <tableColumn name="Description" id="5"/>
  </tableColumns>
  <tableStyleInfo name="Genna-style" showColumnStripes="0" showFirstColumn="1" showLastColumn="1" showRowStripes="1"/>
</table>
</file>

<file path=xl/tables/table2.xml><?xml version="1.0" encoding="utf-8"?>
<table xmlns="http://schemas.openxmlformats.org/spreadsheetml/2006/main" ref="G1:K150" displayName="Table4" name="Table4" id="2">
  <tableColumns count="5">
    <tableColumn name="ጥያቄዎች" id="1"/>
    <tableColumn name="አማራጭ ሀ" id="2"/>
    <tableColumn name="አማራጭ ለ" id="3"/>
    <tableColumn name="አማራጭ ሐ" id="4"/>
    <tableColumn name="አማራጭ ዲ" id="5"/>
  </tableColumns>
  <tableStyleInfo name="Genna-style 2" showColumnStripes="0" showFirstColumn="1" showLastColumn="1" showRowStripes="1"/>
</table>
</file>

<file path=xl/tables/table3.xml><?xml version="1.0" encoding="utf-8"?>
<table xmlns="http://schemas.openxmlformats.org/spreadsheetml/2006/main" ref="A1:E171" displayName="Table1" name="Table1" id="3">
  <tableColumns count="5">
    <tableColumn name="Question no." id="1"/>
    <tableColumn name="Question" id="2"/>
    <tableColumn name="Options" id="3"/>
    <tableColumn name="Answer" id="4"/>
    <tableColumn name="Description" id="5"/>
  </tableColumns>
  <tableStyleInfo name="Yeferas Guks-style" showColumnStripes="0" showFirstColumn="1" showLastColumn="1" showRowStripes="1"/>
</table>
</file>

<file path=xl/tables/table4.xml><?xml version="1.0" encoding="utf-8"?>
<table xmlns="http://schemas.openxmlformats.org/spreadsheetml/2006/main" ref="G1:K171" displayName="Table2" name="Table2" id="4">
  <tableColumns count="5">
    <tableColumn name="ጥያቄዎች" id="1"/>
    <tableColumn name="አማራጭ ሀ" id="2"/>
    <tableColumn name="አማራጭ ለ" id="3"/>
    <tableColumn name="አማራጭ ሐ" id="4"/>
    <tableColumn name="አማራጭ ዲ" id="5"/>
  </tableColumns>
  <tableStyleInfo name="Yeferas Guks-style 2" showColumnStripes="0" showFirstColumn="1" showLastColumn="1" showRowStripes="1"/>
</table>
</file>

<file path=xl/tables/table5.xml><?xml version="1.0" encoding="utf-8"?>
<table xmlns="http://schemas.openxmlformats.org/spreadsheetml/2006/main" ref="A1:E151" displayName="Table5" name="Table5" id="5">
  <tableColumns count="5">
    <tableColumn name="Question no." id="1"/>
    <tableColumn name="Question" id="2"/>
    <tableColumn name="Options" id="3"/>
    <tableColumn name="Answer" id="4"/>
    <tableColumn name="Description" id="5"/>
  </tableColumns>
  <tableStyleInfo name="Traditional Running-style" showColumnStripes="0" showFirstColumn="1" showLastColumn="1" showRowStripes="1"/>
</table>
</file>

<file path=xl/tables/table6.xml><?xml version="1.0" encoding="utf-8"?>
<table xmlns="http://schemas.openxmlformats.org/spreadsheetml/2006/main" ref="G1:K151" displayName="Table6" name="Table6" id="6">
  <tableColumns count="5">
    <tableColumn name="ጥያቄዎች" id="1"/>
    <tableColumn name="አማራጭ ሀ" id="2"/>
    <tableColumn name="አማራጭ ለ" id="3"/>
    <tableColumn name="አማራጭ ሐ" id="4"/>
    <tableColumn name="አማራጭ ዲ" id="5"/>
  </tableColumns>
  <tableStyleInfo name="Traditional Running-style 2" showColumnStripes="0" showFirstColumn="1" showLastColumn="1" showRowStripes="1"/>
</table>
</file>

<file path=xl/tables/table7.xml><?xml version="1.0" encoding="utf-8"?>
<table xmlns="http://schemas.openxmlformats.org/spreadsheetml/2006/main" ref="A1:E166" displayName="Table7" name="Table7" id="7">
  <tableColumns count="5">
    <tableColumn name="Question no." id="1"/>
    <tableColumn name="Question" id="2"/>
    <tableColumn name="Options" id="3"/>
    <tableColumn name="Answer" id="4"/>
    <tableColumn name="Description" id="5"/>
  </tableColumns>
  <tableStyleInfo name="Aba Geda Wrestling-style" showColumnStripes="0" showFirstColumn="1" showLastColumn="1" showRowStripes="1"/>
</table>
</file>

<file path=xl/tables/table8.xml><?xml version="1.0" encoding="utf-8"?>
<table xmlns="http://schemas.openxmlformats.org/spreadsheetml/2006/main" ref="G1:K166" displayName="Table8" name="Table8" id="8">
  <tableColumns count="5">
    <tableColumn name="ጥያቄዎች" id="1"/>
    <tableColumn name="አማራጭ ሀ" id="2"/>
    <tableColumn name="አማራጭ ለ" id="3"/>
    <tableColumn name="አማራጭ ሐ" id="4"/>
    <tableColumn name="አማራጭ ዲ" id="5"/>
  </tableColumns>
  <tableStyleInfo name="Aba Geda Wrestling-style 2" showColumnStripes="0" showFirstColumn="1" showLastColumn="1" showRowStripes="1"/>
</table>
</file>

<file path=xl/tables/table9.xml><?xml version="1.0" encoding="utf-8"?>
<table xmlns="http://schemas.openxmlformats.org/spreadsheetml/2006/main" ref="A1:E188" displayName="Table9" name="Table9" id="9">
  <tableColumns count="5">
    <tableColumn name="Question no." id="1"/>
    <tableColumn name="Question" id="2"/>
    <tableColumn name="Options" id="3"/>
    <tableColumn name="Answer" id="4"/>
    <tableColumn name="Description" id="5"/>
  </tableColumns>
  <tableStyleInfo name="Afalula-style" showColumnStripes="0" showFirstColumn="1" showLastColumn="1" showRowStripes="1"/>
</table>
</file>

<file path=xl/tables/table10.xml><?xml version="1.0" encoding="utf-8"?>
<table xmlns="http://schemas.openxmlformats.org/spreadsheetml/2006/main" ref="G1:K188" displayName="Table10" name="Table10" id="10">
  <tableColumns count="5">
    <tableColumn name="ጥያቄ ቁጥር." id="1"/>
    <tableColumn name="ጥያቄ" id="2"/>
    <tableColumn name="አማራጮች" id="3"/>
    <tableColumn name="መልስ" id="4"/>
    <tableColumn name="መግለጫ" id="5"/>
  </tableColumns>
  <tableStyleInfo name="Afalula-style 2" showColumnStripes="0" showFirstColumn="1" showLastColumn="1" showRowStripes="1"/>
</table>
</file>

<file path=xl/tables/table11.xml><?xml version="1.0" encoding="utf-8"?>
<table xmlns="http://schemas.openxmlformats.org/spreadsheetml/2006/main" ref="A1:E151" displayName="Table11" name="Table11" id="11">
  <tableColumns count="5">
    <tableColumn name="Question no." id="1"/>
    <tableColumn name="Question" id="2"/>
    <tableColumn name="Options" id="3"/>
    <tableColumn name="Answer" id="4"/>
    <tableColumn name="Description" id="5"/>
  </tableColumns>
  <tableStyleInfo name="Sidama Wrestling-style" showColumnStripes="0" showFirstColumn="1" showLastColumn="1" showRowStripes="1"/>
</table>
</file>

<file path=xl/tables/table12.xml><?xml version="1.0" encoding="utf-8"?>
<table xmlns="http://schemas.openxmlformats.org/spreadsheetml/2006/main" ref="G1:K151" displayName="Table12" name="Table12" id="12">
  <tableColumns count="5">
    <tableColumn name="ጥያቄ ቁጥር." id="1"/>
    <tableColumn name="ጥያቄ" id="2"/>
    <tableColumn name="አማራጮች" id="3"/>
    <tableColumn name="መልስ" id="4"/>
    <tableColumn name="መግለጫ" id="5"/>
  </tableColumns>
  <tableStyleInfo name="Sidama Wrestling-style 2" showColumnStripes="0" showFirstColumn="1" showLastColumn="1" showRowStripes="1"/>
</table>
</file>

<file path=xl/tables/table13.xml><?xml version="1.0" encoding="utf-8"?>
<table xmlns="http://schemas.openxmlformats.org/spreadsheetml/2006/main" ref="A1:E162" displayName="Table13" name="Table13" id="13">
  <tableColumns count="5">
    <tableColumn name="Question no." id="1"/>
    <tableColumn name="Question" id="2"/>
    <tableColumn name="Options" id="3"/>
    <tableColumn name="Answer" id="4"/>
    <tableColumn name="Description" id="5"/>
  </tableColumns>
  <tableStyleInfo name="Gebeta (Mancala)-style" showColumnStripes="0" showFirstColumn="1" showLastColumn="1" showRowStripes="1"/>
</table>
</file>

<file path=xl/tables/table14.xml><?xml version="1.0" encoding="utf-8"?>
<table xmlns="http://schemas.openxmlformats.org/spreadsheetml/2006/main" ref="G1:K162" displayName="Table14" name="Table14" id="14">
  <tableColumns count="5">
    <tableColumn name="ጥያቄ ቁጥር." id="1"/>
    <tableColumn name="ጥያቄ" id="2"/>
    <tableColumn name="አማራጮች" id="3"/>
    <tableColumn name="መልስ" id="4"/>
    <tableColumn name="መግለጫ" id="5"/>
  </tableColumns>
  <tableStyleInfo name="Gebeta (Mancala)-style 2" showColumnStripes="0" showFirstColumn="1" showLastColumn="1" showRowStripes="1"/>
</table>
</file>

<file path=xl/tables/table15.xml><?xml version="1.0" encoding="utf-8"?>
<table xmlns="http://schemas.openxmlformats.org/spreadsheetml/2006/main" ref="A1:E159" displayName="Table15" name="Table15" id="15">
  <tableColumns count="5">
    <tableColumn name="Question no." id="1"/>
    <tableColumn name="Question" id="2"/>
    <tableColumn name="Options" id="3"/>
    <tableColumn name="Answer" id="4"/>
    <tableColumn name="Description" id="5"/>
  </tableColumns>
  <tableStyleInfo name="Cow Jumping (Ukuli Bula)-style" showColumnStripes="0" showFirstColumn="1" showLastColumn="1" showRowStripes="1"/>
</table>
</file>

<file path=xl/tables/table16.xml><?xml version="1.0" encoding="utf-8"?>
<table xmlns="http://schemas.openxmlformats.org/spreadsheetml/2006/main" ref="G1:K159" displayName="Table16" name="Table16" id="16">
  <tableColumns count="5">
    <tableColumn name="ጥያቄ ቁጥር." id="1"/>
    <tableColumn name="ጥያቄ" id="2"/>
    <tableColumn name="አማራጮች" id="3"/>
    <tableColumn name="መልስ" id="4"/>
    <tableColumn name="መግለጫ" id="5"/>
  </tableColumns>
  <tableStyleInfo name="Cow Jumping (Ukuli Bul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5" width="37.63"/>
    <col customWidth="1" min="7" max="8" width="37.63"/>
    <col customWidth="1" min="9" max="10" width="32.5"/>
    <col customWidth="1" min="11" max="11" width="37.63"/>
  </cols>
  <sheetData>
    <row r="1" ht="22.5" customHeight="1">
      <c r="A1" s="1" t="s">
        <v>0</v>
      </c>
      <c r="B1" s="1" t="s">
        <v>1</v>
      </c>
      <c r="C1" s="1" t="s">
        <v>2</v>
      </c>
      <c r="D1" s="1" t="s">
        <v>3</v>
      </c>
      <c r="E1" s="1" t="s">
        <v>4</v>
      </c>
      <c r="F1" s="2"/>
      <c r="G1" s="3" t="s">
        <v>5</v>
      </c>
      <c r="H1" s="3" t="s">
        <v>6</v>
      </c>
      <c r="I1" s="3" t="s">
        <v>7</v>
      </c>
      <c r="J1" s="3" t="s">
        <v>8</v>
      </c>
      <c r="K1" s="3" t="s">
        <v>9</v>
      </c>
      <c r="L1" s="2"/>
      <c r="M1" s="2"/>
      <c r="N1" s="2"/>
      <c r="O1" s="2"/>
      <c r="P1" s="2"/>
      <c r="Q1" s="2"/>
      <c r="R1" s="2"/>
      <c r="S1" s="2"/>
      <c r="T1" s="2"/>
      <c r="U1" s="2"/>
    </row>
    <row r="2" ht="22.5" customHeight="1">
      <c r="A2" s="4">
        <v>1.0</v>
      </c>
      <c r="B2" s="4" t="s">
        <v>10</v>
      </c>
      <c r="C2" s="4" t="s">
        <v>11</v>
      </c>
      <c r="D2" s="4" t="s">
        <v>12</v>
      </c>
      <c r="E2" s="4" t="s">
        <v>13</v>
      </c>
      <c r="F2" s="5"/>
      <c r="G2" s="6" t="str">
        <f>IFERROR(__xludf.DUMMYFUNCTION(" GOOGLETRANSLATE(A2, ""en"", ""am"")"),"1")</f>
        <v>1</v>
      </c>
      <c r="H2" s="6" t="str">
        <f>IFERROR(__xludf.DUMMYFUNCTION(" GOOGLETRANSLATE(B2, ""en"", ""am"")"),"ከግብ መስመሩ አጠገብ የቆምክ ግብ ጠባቂ ነህ። ተጋጣሚው ቡድን ኳሱን መትቶ በድንገት ዱላህን መትቶ ወደ ግብህ ይገባል። ምን ይሆናል?")</f>
        <v>ከግብ መስመሩ አጠገብ የቆምክ ግብ ጠባቂ ነህ። ተጋጣሚው ቡድን ኳሱን መትቶ በድንገት ዱላህን መትቶ ወደ ግብህ ይገባል። ምን ይሆናል?</v>
      </c>
      <c r="I2" s="6" t="str">
        <f>IFERROR(__xludf.DUMMYFUNCTION(" GOOGLETRANSLATE(C2, ""en"", ""am"")"),"ሀ. የተጋጣሚ ቡድን አስቆጥሯል ለ. ለቡድንህ ግብ አስቆጥረሃል። ኳሱ ከጨዋታ ውጪ ተደርጎ ይቆጠራል.ዲ. ጨዋታው ከመሃል ተጀመረ።")</f>
        <v>ሀ. የተጋጣሚ ቡድን አስቆጥሯል ለ. ለቡድንህ ግብ አስቆጥረሃል። ኳሱ ከጨዋታ ውጪ ተደርጎ ይቆጠራል.ዲ. ጨዋታው ከመሃል ተጀመረ።</v>
      </c>
      <c r="J2" s="6" t="str">
        <f>IFERROR(__xludf.DUMMYFUNCTION(" GOOGLETRANSLATE(D2, ""en"", ""am"")"),"ተጋጣሚው ቡድን ጎል አስቆጥሯል።")</f>
        <v>ተጋጣሚው ቡድን ጎል አስቆጥሯል።</v>
      </c>
      <c r="K2" s="6" t="str">
        <f>IFERROR(__xludf.DUMMYFUNCTION(" GOOGLETRANSLATE(E2, ""en"", ""am"")"),"በጄና, ኳሱ ወደ እራስዎ ግብ ከገባ, ተቃራኒው ቡድን ነጥብ ይሰጠዋል.")</f>
        <v>በጄና, ኳሱ ወደ እራስዎ ግብ ከገባ, ተቃራኒው ቡድን ነጥብ ይሰጠዋል.</v>
      </c>
    </row>
    <row r="3" ht="22.5" customHeight="1">
      <c r="A3" s="4">
        <v>2.0</v>
      </c>
      <c r="B3" s="4" t="s">
        <v>14</v>
      </c>
      <c r="C3" s="4" t="s">
        <v>15</v>
      </c>
      <c r="D3" s="4" t="s">
        <v>16</v>
      </c>
      <c r="E3" s="4" t="s">
        <v>17</v>
      </c>
      <c r="F3" s="5"/>
      <c r="G3" s="6" t="str">
        <f>IFERROR(__xludf.DUMMYFUNCTION(" GOOGLETRANSLATE(A3, ""en"", ""am"")"),"2")</f>
        <v>2</v>
      </c>
      <c r="H3" s="6" t="str">
        <f>IFERROR(__xludf.DUMMYFUNCTION(" GOOGLETRANSLATE(B3, ""en"", ""am"")"),"የቡድን ጓደኛዎ ኳሱን ይሰጥዎታል, ነገር ግን በዱላዎ ከመምታትዎ በፊት ከወሰን ውጪ ነው. ቀጣዩ እርምጃ ምንድን ነው?")</f>
        <v>የቡድን ጓደኛዎ ኳሱን ይሰጥዎታል, ነገር ግን በዱላዎ ከመምታትዎ በፊት ከወሰን ውጪ ነው. ቀጣዩ እርምጃ ምንድን ነው?</v>
      </c>
      <c r="I3" s="6" t="str">
        <f>IFERROR(__xludf.DUMMYFUNCTION(" GOOGLETRANSLATE(C3, ""en"", ""am"")"),"ሀ. ተቃራኒው ቡድን ውርወራውን ያገኛል። የእርስዎ ቡድን ውርወራ ያገኛል.C. ጨዋታው ያለማቋረጥ ይቀጥላል.ዲ. በተፈጠረው ችግር ጨዋታው ቆመ።")</f>
        <v>ሀ. ተቃራኒው ቡድን ውርወራውን ያገኛል። የእርስዎ ቡድን ውርወራ ያገኛል.C. ጨዋታው ያለማቋረጥ ይቀጥላል.ዲ. በተፈጠረው ችግር ጨዋታው ቆመ።</v>
      </c>
      <c r="J3" s="6" t="str">
        <f>IFERROR(__xludf.DUMMYFUNCTION(" GOOGLETRANSLATE(D3, ""en"", ""am"")"),"ተጋጣሚው ቡድን ውርወራውን ያገኛል።")</f>
        <v>ተጋጣሚው ቡድን ውርወራውን ያገኛል።</v>
      </c>
      <c r="K3" s="6" t="str">
        <f>IFERROR(__xludf.DUMMYFUNCTION(" GOOGLETRANSLATE(E3, ""en"", ""am"")"),"ኳሱ ከወሰን ውጪ ስትወጣ ተጋጣሚው ቡድን እንዲገባ ይፈቀድለታል።")</f>
        <v>ኳሱ ከወሰን ውጪ ስትወጣ ተጋጣሚው ቡድን እንዲገባ ይፈቀድለታል።</v>
      </c>
    </row>
    <row r="4" ht="22.5" customHeight="1">
      <c r="A4" s="4">
        <v>3.0</v>
      </c>
      <c r="B4" s="4" t="s">
        <v>18</v>
      </c>
      <c r="C4" s="4" t="s">
        <v>19</v>
      </c>
      <c r="D4" s="4" t="s">
        <v>20</v>
      </c>
      <c r="E4" s="4" t="s">
        <v>21</v>
      </c>
      <c r="F4" s="5"/>
      <c r="G4" s="6" t="str">
        <f>IFERROR(__xludf.DUMMYFUNCTION(" GOOGLETRANSLATE(A4, ""en"", ""am"")"),"3")</f>
        <v>3</v>
      </c>
      <c r="H4" s="6" t="str">
        <f>IFERROR(__xludf.DUMMYFUNCTION(" GOOGLETRANSLATE(B4, ""en"", ""am"")"),"ኳሱን ለመምታት እየሞከሩ ሳለ በድንገት በዱላዎ የተጋጣሚን ተጫዋች መቱት። ውጤቱ ምን ሊሆን ይችላል?")</f>
        <v>ኳሱን ለመምታት እየሞከሩ ሳለ በድንገት በዱላዎ የተጋጣሚን ተጫዋች መቱት። ውጤቱ ምን ሊሆን ይችላል?</v>
      </c>
      <c r="I4" s="6" t="str">
        <f>IFERROR(__xludf.DUMMYFUNCTION(" GOOGLETRANSLATE(C4, ""en"", ""am"")"),"ሀ. ዳኛው ማስጠንቀቂያ ሰጥተዋል.B. ዳኛው ለተጋጣሚ ቡድን ቅጣት ይሰጣል። ከጨዋታ ዲ ተወግዷል። ጨዋታው ቆመ እና ጥፋት ተጠርቷል።")</f>
        <v>ሀ. ዳኛው ማስጠንቀቂያ ሰጥተዋል.B. ዳኛው ለተጋጣሚ ቡድን ቅጣት ይሰጣል። ከጨዋታ ዲ ተወግዷል። ጨዋታው ቆመ እና ጥፋት ተጠርቷል።</v>
      </c>
      <c r="J4" s="6" t="str">
        <f>IFERROR(__xludf.DUMMYFUNCTION(" GOOGLETRANSLATE(D4, ""en"", ""am"")"),"ዳኛው ለተጋጣሚ ቡድን ቅጣት ይሰጣል።")</f>
        <v>ዳኛው ለተጋጣሚ ቡድን ቅጣት ይሰጣል።</v>
      </c>
      <c r="K4" s="6" t="str">
        <f>IFERROR(__xludf.DUMMYFUNCTION(" GOOGLETRANSLATE(E4, ""en"", ""am"")"),"ሌላ ተጫዋች መምታት እንደ ጥፋት ስለሚቆጠር በተጋጣሚ ቡድን ላይ ቅጣት ያስከትላል።")</f>
        <v>ሌላ ተጫዋች መምታት እንደ ጥፋት ስለሚቆጠር በተጋጣሚ ቡድን ላይ ቅጣት ያስከትላል።</v>
      </c>
    </row>
    <row r="5" ht="22.5" customHeight="1">
      <c r="A5" s="4">
        <v>4.0</v>
      </c>
      <c r="B5" s="4" t="s">
        <v>22</v>
      </c>
      <c r="C5" s="4" t="s">
        <v>23</v>
      </c>
      <c r="D5" s="4" t="s">
        <v>24</v>
      </c>
      <c r="E5" s="4" t="s">
        <v>25</v>
      </c>
      <c r="F5" s="5"/>
      <c r="G5" s="6" t="str">
        <f>IFERROR(__xludf.DUMMYFUNCTION(" GOOGLETRANSLATE(A5, ""en"", ""am"")"),"4")</f>
        <v>4</v>
      </c>
      <c r="H5" s="6" t="str">
        <f>IFERROR(__xludf.DUMMYFUNCTION(" GOOGLETRANSLATE(B5, ""en"", ""am"")"),"ኳሱ ወደ መሀል ሜዳ መሄዱን ያቆማል እና ምንም ተጫዋቾች ወደ እሱ አይንቀሳቀሱም። ዳኛው ምን ማድረግ አለበት?")</f>
        <v>ኳሱ ወደ መሀል ሜዳ መሄዱን ያቆማል እና ምንም ተጫዋቾች ወደ እሱ አይንቀሳቀሱም። ዳኛው ምን ማድረግ አለበት?</v>
      </c>
      <c r="I5" s="6" t="str">
        <f>IFERROR(__xludf.DUMMYFUNCTION(" GOOGLETRANSLATE(C5, ""en"", ""am"")"),"ሀ. በተጠባባቂ ኳስ መጫወትን እንደገና ያስጀምሩ.B. አንድ ተጫዋች ወደ ኳሱ እስኪጠጋ ድረስ ይጠብቁ። ጥፋትን አውጅ ዲ. ጨዋታውን ጨርስ።")</f>
        <v>ሀ. በተጠባባቂ ኳስ መጫወትን እንደገና ያስጀምሩ.B. አንድ ተጫዋች ወደ ኳሱ እስኪጠጋ ድረስ ይጠብቁ። ጥፋትን አውጅ ዲ. ጨዋታውን ጨርስ።</v>
      </c>
      <c r="J5" s="6" t="str">
        <f>IFERROR(__xludf.DUMMYFUNCTION(" GOOGLETRANSLATE(D5, ""en"", ""am"")"),"በተቆልቋይ ኳስ መጫወትን እንደገና ያስጀምሩ።")</f>
        <v>በተቆልቋይ ኳስ መጫወትን እንደገና ያስጀምሩ።</v>
      </c>
      <c r="K5" s="6" t="str">
        <f>IFERROR(__xludf.DUMMYFUNCTION(" GOOGLETRANSLATE(E5, ""en"", ""am"")"),"ኳሱ ምንም ንቁ ተጫዋቾች በሌሉበት ጨዋታ ላይ ከሆነ ዳኛው በተጠባባቂ ኳስ መጫወት ይጀምራል።")</f>
        <v>ኳሱ ምንም ንቁ ተጫዋቾች በሌሉበት ጨዋታ ላይ ከሆነ ዳኛው በተጠባባቂ ኳስ መጫወት ይጀምራል።</v>
      </c>
    </row>
    <row r="6" ht="22.5" customHeight="1">
      <c r="A6" s="4">
        <v>5.0</v>
      </c>
      <c r="B6" s="4" t="s">
        <v>26</v>
      </c>
      <c r="C6" s="4" t="s">
        <v>27</v>
      </c>
      <c r="D6" s="4" t="s">
        <v>16</v>
      </c>
      <c r="E6" s="4" t="s">
        <v>28</v>
      </c>
      <c r="F6" s="5"/>
      <c r="G6" s="6" t="str">
        <f>IFERROR(__xludf.DUMMYFUNCTION(" GOOGLETRANSLATE(A6, ""en"", ""am"")"),"5")</f>
        <v>5</v>
      </c>
      <c r="H6" s="6" t="str">
        <f>IFERROR(__xludf.DUMMYFUNCTION(" GOOGLETRANSLATE(B6, ""en"", ""am"")"),"ኳሱን ጠንክረህ መትተሃል፣ እና ከመጫወቻ ሜዳ ወጣች። ትክክለኛው የሚቀጥለው እርምጃ ምንድን ነው?")</f>
        <v>ኳሱን ጠንክረህ መትተሃል፣ እና ከመጫወቻ ሜዳ ወጣች። ትክክለኛው የሚቀጥለው እርምጃ ምንድን ነው?</v>
      </c>
      <c r="I6" s="6" t="str">
        <f>IFERROR(__xludf.DUMMYFUNCTION(" GOOGLETRANSLATE(C6, ""en"", ""am"")"),"ሀ. ተቃራኒው ቡድን ውርወራውን ያገኛል። የእርስዎ ቡድን ውርወራ ያገኛል.C. ኳሱ ወደ ሜዳ ተመልሳ ጨዋታው ይቀጥላል.ዲ. ለተቃራኒ ቡድን ቅጣት ተሰጠ።")</f>
        <v>ሀ. ተቃራኒው ቡድን ውርወራውን ያገኛል። የእርስዎ ቡድን ውርወራ ያገኛል.C. ኳሱ ወደ ሜዳ ተመልሳ ጨዋታው ይቀጥላል.ዲ. ለተቃራኒ ቡድን ቅጣት ተሰጠ።</v>
      </c>
      <c r="J6" s="6" t="str">
        <f>IFERROR(__xludf.DUMMYFUNCTION(" GOOGLETRANSLATE(D6, ""en"", ""am"")"),"ተጋጣሚው ቡድን ውርወራውን ያገኛል።")</f>
        <v>ተጋጣሚው ቡድን ውርወራውን ያገኛል።</v>
      </c>
      <c r="K6" s="6" t="str">
        <f>IFERROR(__xludf.DUMMYFUNCTION(" GOOGLETRANSLATE(E6, ""en"", ""am"")"),"ኳሱ ከሜዳ ውጪ ስትወጣ ተጋጣሚው ቡድን ተወርውሮ ይወጣል።")</f>
        <v>ኳሱ ከሜዳ ውጪ ስትወጣ ተጋጣሚው ቡድን ተወርውሮ ይወጣል።</v>
      </c>
    </row>
    <row r="7" ht="22.5" customHeight="1">
      <c r="A7" s="4">
        <v>6.0</v>
      </c>
      <c r="B7" s="4" t="s">
        <v>29</v>
      </c>
      <c r="C7" s="4" t="s">
        <v>30</v>
      </c>
      <c r="D7" s="4" t="s">
        <v>31</v>
      </c>
      <c r="E7" s="4" t="s">
        <v>32</v>
      </c>
      <c r="F7" s="5"/>
      <c r="G7" s="6" t="str">
        <f>IFERROR(__xludf.DUMMYFUNCTION(" GOOGLETRANSLATE(A7, ""en"", ""am"")"),"6")</f>
        <v>6</v>
      </c>
      <c r="H7" s="6" t="str">
        <f>IFERROR(__xludf.DUMMYFUNCTION(" GOOGLETRANSLATE(B7, ""en"", ""am"")"),"ጌና ሲጫወት ከባልደረባው አንዱ ዱላውን ከመጠቀም ይልቅ ኳሱን በእጁ እንደያዘ ያስተውላሉ። ዳኛው ምን ማድረግ አለበት?")</f>
        <v>ጌና ሲጫወት ከባልደረባው አንዱ ዱላውን ከመጠቀም ይልቅ ኳሱን በእጁ እንደያዘ ያስተውላሉ። ዳኛው ምን ማድረግ አለበት?</v>
      </c>
      <c r="I7" s="6" t="str">
        <f>IFERROR(__xludf.DUMMYFUNCTION(" GOOGLETRANSLATE(C7, ""en"", ""am"")"),"ሀ. ጥፋትን አውጅ እና ለተቃራኒ ቡድን የፍፁም ቅጣት ምት ሰጠ። ጨዋታው እንዲቀጥል ፍቀድ። ለተጋጣሚ ቡድን ነጥብ ስጡ.ዲ. ጨዋታውን ያቁሙ እና በተቆልቋይ ኳስ እንደገና ይጀምሩ።")</f>
        <v>ሀ. ጥፋትን አውጅ እና ለተቃራኒ ቡድን የፍፁም ቅጣት ምት ሰጠ። ጨዋታው እንዲቀጥል ፍቀድ። ለተጋጣሚ ቡድን ነጥብ ስጡ.ዲ. ጨዋታውን ያቁሙ እና በተቆልቋይ ኳስ እንደገና ይጀምሩ።</v>
      </c>
      <c r="J7" s="6" t="str">
        <f>IFERROR(__xludf.DUMMYFUNCTION(" GOOGLETRANSLATE(D7, ""en"", ""am"")"),"ጥፋትን ይግለጹ እና ለተጋጣሚ ቡድን የፍፁም ቅጣት ምት ይስጡ።")</f>
        <v>ጥፋትን ይግለጹ እና ለተጋጣሚ ቡድን የፍፁም ቅጣት ምት ይስጡ።</v>
      </c>
      <c r="K7" s="6" t="str">
        <f>IFERROR(__xludf.DUMMYFUNCTION(" GOOGLETRANSLATE(E7, ""en"", ""am"")"),"ኳሱን በእጅዎ መያዝ በጄና ውስጥ አይፈቀድም እና እንደ ጥፋት ይቀጣል።")</f>
        <v>ኳሱን በእጅዎ መያዝ በጄና ውስጥ አይፈቀድም እና እንደ ጥፋት ይቀጣል።</v>
      </c>
    </row>
    <row r="8" ht="22.5" customHeight="1">
      <c r="A8" s="4">
        <v>7.0</v>
      </c>
      <c r="B8" s="4" t="s">
        <v>33</v>
      </c>
      <c r="C8" s="4" t="s">
        <v>34</v>
      </c>
      <c r="D8" s="4" t="s">
        <v>35</v>
      </c>
      <c r="E8" s="4" t="s">
        <v>36</v>
      </c>
      <c r="F8" s="5"/>
      <c r="G8" s="6" t="str">
        <f>IFERROR(__xludf.DUMMYFUNCTION(" GOOGLETRANSLATE(A8, ""en"", ""am"")"),"7")</f>
        <v>7</v>
      </c>
      <c r="H8" s="6" t="str">
        <f>IFERROR(__xludf.DUMMYFUNCTION(" GOOGLETRANSLATE(B8, ""en"", ""am"")"),"በጌና በተካሄደው ግጥሚያ ኃይለኛ ዝናብ ይጀምራል እና ሜዳው ይንሸራተታል። ዳኛው ምን ውሳኔ መስጠት አለበት?")</f>
        <v>በጌና በተካሄደው ግጥሚያ ኃይለኛ ዝናብ ይጀምራል እና ሜዳው ይንሸራተታል። ዳኛው ምን ውሳኔ መስጠት አለበት?</v>
      </c>
      <c r="I8" s="6" t="str">
        <f>IFERROR(__xludf.DUMMYFUNCTION(" GOOGLETRANSLATE(C8, ""en"", ""am"")"),"ሀ. ጨዋታውን ለአፍታ አቁም.ቢ. ጨዋታው እንደተለመደው እንዲቀጥል ፍቀድ። ጨዋታውን በአቻ ውጤት አስታወቀ።ዲ. ጨዋታውን ወዲያውኑ ጨርስ።")</f>
        <v>ሀ. ጨዋታውን ለአፍታ አቁም.ቢ. ጨዋታው እንደተለመደው እንዲቀጥል ፍቀድ። ጨዋታውን በአቻ ውጤት አስታወቀ።ዲ. ጨዋታውን ወዲያውኑ ጨርስ።</v>
      </c>
      <c r="J8" s="6" t="str">
        <f>IFERROR(__xludf.DUMMYFUNCTION(" GOOGLETRANSLATE(D8, ""en"", ""am"")"),"ጨዋታውን ለአፍታ አቁም.")</f>
        <v>ጨዋታውን ለአፍታ አቁም.</v>
      </c>
      <c r="K8" s="6" t="str">
        <f>IFERROR(__xludf.DUMMYFUNCTION(" GOOGLETRANSLATE(E8, ""en"", ""am"")"),"ለደህንነት ሲባል የአየር ሁኔታ ሁኔታ ከተባባሰ ዳኛው ጨዋታውን ለጊዜው ሊያቆመው ይችላል።")</f>
        <v>ለደህንነት ሲባል የአየር ሁኔታ ሁኔታ ከተባባሰ ዳኛው ጨዋታውን ለጊዜው ሊያቆመው ይችላል።</v>
      </c>
    </row>
    <row r="9" ht="22.5" customHeight="1">
      <c r="A9" s="4">
        <v>8.0</v>
      </c>
      <c r="B9" s="4" t="s">
        <v>37</v>
      </c>
      <c r="C9" s="4" t="s">
        <v>38</v>
      </c>
      <c r="D9" s="4" t="s">
        <v>39</v>
      </c>
      <c r="E9" s="4" t="s">
        <v>40</v>
      </c>
      <c r="F9" s="5"/>
      <c r="G9" s="6" t="str">
        <f>IFERROR(__xludf.DUMMYFUNCTION(" GOOGLETRANSLATE(A9, ""en"", ""am"")"),"8")</f>
        <v>8</v>
      </c>
      <c r="H9" s="6" t="str">
        <f>IFERROR(__xludf.DUMMYFUNCTION(" GOOGLETRANSLATE(B9, ""en"", ""am"")"),"ግብ ጠባቂው አንተ ነህ። ከግቡ አጠገብ ኳሱን በዱላዎ ይይዛሉ። ቀጥሎ ምን ማድረግ አለቦት?")</f>
        <v>ግብ ጠባቂው አንተ ነህ። ከግቡ አጠገብ ኳሱን በዱላዎ ይይዛሉ። ቀጥሎ ምን ማድረግ አለቦት?</v>
      </c>
      <c r="I9" s="6" t="str">
        <f>IFERROR(__xludf.DUMMYFUNCTION(" GOOGLETRANSLATE(C9, ""en"", ""am"")"),"ሀ. ኳሱን ለቡድን ጓደኛው አሳልፉ። ኳሱን በእጅዎ ወደ ሜዳው ይጣሉት. ኳሱን ወደ ተቃራኒው ቡድን አካባቢ ምታ። ዳኛው እንደገና መጫወት እስኪጀምር ድረስ ኳሱን ይያዙ።")</f>
        <v>ሀ. ኳሱን ለቡድን ጓደኛው አሳልፉ። ኳሱን በእጅዎ ወደ ሜዳው ይጣሉት. ኳሱን ወደ ተቃራኒው ቡድን አካባቢ ምታ። ዳኛው እንደገና መጫወት እስኪጀምር ድረስ ኳሱን ይያዙ።</v>
      </c>
      <c r="J9" s="6" t="str">
        <f>IFERROR(__xludf.DUMMYFUNCTION(" GOOGLETRANSLATE(D9, ""en"", ""am"")"),"ኳሱን ለቡድን ጓደኛው ያስተላልፉ")</f>
        <v>ኳሱን ለቡድን ጓደኛው ያስተላልፉ</v>
      </c>
      <c r="K9" s="6" t="str">
        <f>IFERROR(__xludf.DUMMYFUNCTION(" GOOGLETRANSLATE(E9, ""en"", ""am"")"),"በጌና የሚገኙት ግብ ጠባቂዎች ዱላዎቻቸውን በመጠቀም ለቡድን አጋሮቻቸው ኳሱን ማቀበል አለባቸው።")</f>
        <v>በጌና የሚገኙት ግብ ጠባቂዎች ዱላዎቻቸውን በመጠቀም ለቡድን አጋሮቻቸው ኳሱን ማቀበል አለባቸው።</v>
      </c>
    </row>
    <row r="10" ht="22.5" customHeight="1">
      <c r="A10" s="4">
        <v>9.0</v>
      </c>
      <c r="B10" s="4" t="s">
        <v>41</v>
      </c>
      <c r="C10" s="4" t="s">
        <v>42</v>
      </c>
      <c r="D10" s="4" t="s">
        <v>43</v>
      </c>
      <c r="E10" s="4" t="s">
        <v>44</v>
      </c>
      <c r="F10" s="5"/>
      <c r="G10" s="6" t="str">
        <f>IFERROR(__xludf.DUMMYFUNCTION(" GOOGLETRANSLATE(A10, ""en"", ""am"")"),"9")</f>
        <v>9</v>
      </c>
      <c r="H10" s="6" t="str">
        <f>IFERROR(__xludf.DUMMYFUNCTION(" GOOGLETRANSLATE(B10, ""en"", ""am"")"),"ጨዋታው እኩል ነው፣ ሰዓቱ ላይ አንድ ደቂቃ ቀርቷል። ጎል አስቆጥረሃል ግን ዳኛው ፊሽካውን ካነፋ በኋላ ነው። የዳኛው ጥሪ ምንድነው?")</f>
        <v>ጨዋታው እኩል ነው፣ ሰዓቱ ላይ አንድ ደቂቃ ቀርቷል። ጎል አስቆጥረሃል ግን ዳኛው ፊሽካውን ካነፋ በኋላ ነው። የዳኛው ጥሪ ምንድነው?</v>
      </c>
      <c r="I10" s="6" t="str">
        <f>IFERROR(__xludf.DUMMYFUNCTION(" GOOGLETRANSLATE(C10, ""en"", ""am"")"),"ሀ. ግቡ ልክ ያልሆነ ነው.ቢ. ግቡ ትክክል ነው.ሲ. ግቡ የፍፁም ቅጣት ምት ሆኖ ተሰጥቷል.ዲ. ጨዋታው ለግምገማ ባለበት ቆሟል።")</f>
        <v>ሀ. ግቡ ልክ ያልሆነ ነው.ቢ. ግቡ ትክክል ነው.ሲ. ግቡ የፍፁም ቅጣት ምት ሆኖ ተሰጥቷል.ዲ. ጨዋታው ለግምገማ ባለበት ቆሟል።</v>
      </c>
      <c r="J10" s="6" t="str">
        <f>IFERROR(__xludf.DUMMYFUNCTION(" GOOGLETRANSLATE(D10, ""en"", ""am"")"),"ግቡ ልክ ያልሆነ ነው።")</f>
        <v>ግቡ ልክ ያልሆነ ነው።</v>
      </c>
      <c r="K10" s="6" t="str">
        <f>IFERROR(__xludf.DUMMYFUNCTION(" GOOGLETRANSLATE(E10, ""en"", ""am"")"),"ከዳኛው ፊሽካ በኋላ የሚደረግ ማንኛውም ጨዋታ ልክ እንዳልሆነ ይቆጠራል፣ እና ግቡ አይቆጠርም።")</f>
        <v>ከዳኛው ፊሽካ በኋላ የሚደረግ ማንኛውም ጨዋታ ልክ እንዳልሆነ ይቆጠራል፣ እና ግቡ አይቆጠርም።</v>
      </c>
    </row>
    <row r="11" ht="22.5" customHeight="1">
      <c r="A11" s="4">
        <v>10.0</v>
      </c>
      <c r="B11" s="4" t="s">
        <v>45</v>
      </c>
      <c r="C11" s="4" t="s">
        <v>46</v>
      </c>
      <c r="D11" s="4" t="s">
        <v>47</v>
      </c>
      <c r="E11" s="4" t="s">
        <v>48</v>
      </c>
      <c r="F11" s="5"/>
      <c r="G11" s="6" t="str">
        <f>IFERROR(__xludf.DUMMYFUNCTION(" GOOGLETRANSLATE(A11, ""en"", ""am"")"),"10")</f>
        <v>10</v>
      </c>
      <c r="H11" s="6" t="str">
        <f>IFERROR(__xludf.DUMMYFUNCTION(" GOOGLETRANSLATE(B11, ""en"", ""am"")"),"ጨዋታው የተጠናቀቀው ሁለቱም ቡድኖች ተመሳሳይ የጎል ብዛት በማስቆጠር ነው። ቀጣዩ እርምጃ ምንድን ነው?")</f>
        <v>ጨዋታው የተጠናቀቀው ሁለቱም ቡድኖች ተመሳሳይ የጎል ብዛት በማስቆጠር ነው። ቀጣዩ እርምጃ ምንድን ነው?</v>
      </c>
      <c r="I11" s="6" t="str">
        <f>IFERROR(__xludf.DUMMYFUNCTION(" GOOGLETRANSLATE(C11, ""en"", ""am"")"),"ሀ. ግጥሚያው ወደ ተጨማሪ ሰዓት ይሄዳል። ጨዋታው በአቻ ውጤት መጠናቀቁ ተገለጸ። የፍፁም ቅጣት ምት አሸናፊውን ይወስናል ዲ. ያነሰ ጥፋት ያለው ቡድን ያሸንፋል።")</f>
        <v>ሀ. ግጥሚያው ወደ ተጨማሪ ሰዓት ይሄዳል። ጨዋታው በአቻ ውጤት መጠናቀቁ ተገለጸ። የፍፁም ቅጣት ምት አሸናፊውን ይወስናል ዲ. ያነሰ ጥፋት ያለው ቡድን ያሸንፋል።</v>
      </c>
      <c r="J11" s="6" t="str">
        <f>IFERROR(__xludf.DUMMYFUNCTION(" GOOGLETRANSLATE(D11, ""en"", ""am"")"),"ጨዋታው በአቻ ውጤት መጠናቀቁ ታውቋል።")</f>
        <v>ጨዋታው በአቻ ውጤት መጠናቀቁ ታውቋል።</v>
      </c>
      <c r="K11" s="6" t="str">
        <f>IFERROR(__xludf.DUMMYFUNCTION(" GOOGLETRANSLATE(E11, ""en"", ""am"")"),"በጄና ውስጥ, ውጤቶች ከተጣመሩ, ግጥሚያው በአብዛኛው በአቻ ውጤት ካልሆነ በስተቀር በአቻ ውጤት ይታወጃል.")</f>
        <v>በጄና ውስጥ, ውጤቶች ከተጣመሩ, ግጥሚያው በአብዛኛው በአቻ ውጤት ካልሆነ በስተቀር በአቻ ውጤት ይታወጃል.</v>
      </c>
    </row>
    <row r="12" ht="22.5" customHeight="1">
      <c r="A12" s="4">
        <v>11.0</v>
      </c>
      <c r="B12" s="4" t="s">
        <v>49</v>
      </c>
      <c r="C12" s="4" t="s">
        <v>50</v>
      </c>
      <c r="D12" s="4" t="s">
        <v>51</v>
      </c>
      <c r="E12" s="4" t="s">
        <v>52</v>
      </c>
      <c r="F12" s="5"/>
      <c r="G12" s="6" t="str">
        <f>IFERROR(__xludf.DUMMYFUNCTION(" GOOGLETRANSLATE(A12, ""en"", ""am"")"),"11")</f>
        <v>11</v>
      </c>
      <c r="H12" s="6" t="str">
        <f>IFERROR(__xludf.DUMMYFUNCTION(" GOOGLETRANSLATE(B12, ""en"", ""am"")"),"የቡድን ጓደኛዎ ጎል አስቆጥሯል ፣ ግን ዳኛው ተጫዋቹ ከመጫወቻው ውጭ መቆሙን አስተውለዋል። ምን ይሆናል?")</f>
        <v>የቡድን ጓደኛዎ ጎል አስቆጥሯል ፣ ግን ዳኛው ተጫዋቹ ከመጫወቻው ውጭ መቆሙን አስተውለዋል። ምን ይሆናል?</v>
      </c>
      <c r="I12" s="6" t="str">
        <f>IFERROR(__xludf.DUMMYFUNCTION(" GOOGLETRANSLATE(C12, ""en"", ""am"")"),"ሀ. ግቡ ብቁ አይደለም.ቢ. ግቡ ተሸልሟል.ሲ. ተጋጣሚው ቡድን የፍፁም ቅጣት ምት አግኝቷል። ጨዋታው ከመሃል ተጀመረ።")</f>
        <v>ሀ. ግቡ ብቁ አይደለም.ቢ. ግቡ ተሸልሟል.ሲ. ተጋጣሚው ቡድን የፍፁም ቅጣት ምት አግኝቷል። ጨዋታው ከመሃል ተጀመረ።</v>
      </c>
      <c r="J12" s="6" t="str">
        <f>IFERROR(__xludf.DUMMYFUNCTION(" GOOGLETRANSLATE(D12, ""en"", ""am"")"),"ግቡ ብቁ አይደለም.")</f>
        <v>ግቡ ብቁ አይደለም.</v>
      </c>
      <c r="K12" s="6" t="str">
        <f>IFERROR(__xludf.DUMMYFUNCTION(" GOOGLETRANSLATE(E12, ""en"", ""am"")"),"ከመጫወቻ ቦታ ውጭ በቆሙ ተጫዋቾች ያስቆጠሩት ግቦች ልክ አይደሉም።")</f>
        <v>ከመጫወቻ ቦታ ውጭ በቆሙ ተጫዋቾች ያስቆጠሩት ግቦች ልክ አይደሉም።</v>
      </c>
    </row>
    <row r="13" ht="22.5" customHeight="1">
      <c r="A13" s="4">
        <v>12.0</v>
      </c>
      <c r="B13" s="4" t="s">
        <v>53</v>
      </c>
      <c r="C13" s="4" t="s">
        <v>54</v>
      </c>
      <c r="D13" s="4" t="s">
        <v>55</v>
      </c>
      <c r="E13" s="4" t="s">
        <v>56</v>
      </c>
      <c r="F13" s="5"/>
      <c r="G13" s="6" t="str">
        <f>IFERROR(__xludf.DUMMYFUNCTION(" GOOGLETRANSLATE(A13, ""en"", ""am"")"),"12")</f>
        <v>12</v>
      </c>
      <c r="H13" s="6" t="str">
        <f>IFERROR(__xludf.DUMMYFUNCTION(" GOOGLETRANSLATE(B13, ""en"", ""am"")"),"በጄና ግጥሚያ ኳሱ ተጎድቷል እና መጠቀም አይቻልም። ዳኛው ምን እርምጃ ይወስዳል?")</f>
        <v>በጄና ግጥሚያ ኳሱ ተጎድቷል እና መጠቀም አይቻልም። ዳኛው ምን እርምጃ ይወስዳል?</v>
      </c>
      <c r="I13" s="6" t="str">
        <f>IFERROR(__xludf.DUMMYFUNCTION(" GOOGLETRANSLATE(C13, ""en"", ""am"")"),"ሀ. ኳሱን በአዲስ ይተኩ.ቢ. ግጥሚያውን ላልተወሰነ ጊዜ አቁም ሐ. ጨዋታውን በአቻ ውጤት አስታወቀ።ዲ. ተጫዋቾች በተጎዳው ኳስ እንዲቀጥሉ ይጠይቋቸው።")</f>
        <v>ሀ. ኳሱን በአዲስ ይተኩ.ቢ. ግጥሚያውን ላልተወሰነ ጊዜ አቁም ሐ. ጨዋታውን በአቻ ውጤት አስታወቀ።ዲ. ተጫዋቾች በተጎዳው ኳስ እንዲቀጥሉ ይጠይቋቸው።</v>
      </c>
      <c r="J13" s="6" t="str">
        <f>IFERROR(__xludf.DUMMYFUNCTION(" GOOGLETRANSLATE(D13, ""en"", ""am"")"),"ኳሱን በአዲስ ይተኩ.")</f>
        <v>ኳሱን በአዲስ ይተኩ.</v>
      </c>
      <c r="K13" s="6" t="str">
        <f>IFERROR(__xludf.DUMMYFUNCTION(" GOOGLETRANSLATE(E13, ""en"", ""am"")"),"ኳሱ ከተበላሸ ጨዋታውን ለመቀጠል በአዲስ ይተካል።")</f>
        <v>ኳሱ ከተበላሸ ጨዋታውን ለመቀጠል በአዲስ ይተካል።</v>
      </c>
    </row>
    <row r="14" ht="22.5" customHeight="1">
      <c r="A14" s="4">
        <v>13.0</v>
      </c>
      <c r="B14" s="4" t="s">
        <v>57</v>
      </c>
      <c r="C14" s="4" t="s">
        <v>58</v>
      </c>
      <c r="D14" s="4" t="s">
        <v>31</v>
      </c>
      <c r="E14" s="4" t="s">
        <v>59</v>
      </c>
      <c r="F14" s="5"/>
      <c r="G14" s="6" t="str">
        <f>IFERROR(__xludf.DUMMYFUNCTION(" GOOGLETRANSLATE(A14, ""en"", ""am"")"),"13")</f>
        <v>13</v>
      </c>
      <c r="H14" s="6" t="str">
        <f>IFERROR(__xludf.DUMMYFUNCTION(" GOOGLETRANSLATE(B14, ""en"", ""am"")"),"በጨዋታው ላይ ኳሱን በአጋጣሚ በመምታት ኳሱን መንቀሳቀስ እንዲያቆም አድርገዋል። የዳኛው ውሳኔ ምንድነው?")</f>
        <v>በጨዋታው ላይ ኳሱን በአጋጣሚ በመምታት ኳሱን መንቀሳቀስ እንዲያቆም አድርገዋል። የዳኛው ውሳኔ ምንድነው?</v>
      </c>
      <c r="I14" s="6" t="str">
        <f>IFERROR(__xludf.DUMMYFUNCTION(" GOOGLETRANSLATE(C14, ""en"", ""am"")"),"ሀ. ጥፋትን አውጅ እና ለተቃራኒ ቡድን የፍፁም ቅጣት ምት ሰጠ። ጨዋታው ቀጥሏል.ሲ. ለተቃራኒ ቡድን ቅጣት ይስጡ.ዲ. በተቆልቋይ ኳስ ጨዋታውን እንደገና ያስጀምሩት።")</f>
        <v>ሀ. ጥፋትን አውጅ እና ለተቃራኒ ቡድን የፍፁም ቅጣት ምት ሰጠ። ጨዋታው ቀጥሏል.ሲ. ለተቃራኒ ቡድን ቅጣት ይስጡ.ዲ. በተቆልቋይ ኳስ ጨዋታውን እንደገና ያስጀምሩት።</v>
      </c>
      <c r="J14" s="6" t="str">
        <f>IFERROR(__xludf.DUMMYFUNCTION(" GOOGLETRANSLATE(D14, ""en"", ""am"")"),"ጥፋትን ይግለጹ እና ለተጋጣሚ ቡድን የፍፁም ቅጣት ምት ይስጡ።")</f>
        <v>ጥፋትን ይግለጹ እና ለተጋጣሚ ቡድን የፍፁም ቅጣት ምት ይስጡ።</v>
      </c>
      <c r="K14" s="6" t="str">
        <f>IFERROR(__xludf.DUMMYFUNCTION(" GOOGLETRANSLATE(E14, ""en"", ""am"")"),"ኳሱን መምታት ጥፋት ሲሆን ይህም ለተጋጣሚ ቡድን የፍፁም ቅጣት ምት ያስከትላል።")</f>
        <v>ኳሱን መምታት ጥፋት ሲሆን ይህም ለተጋጣሚ ቡድን የፍፁም ቅጣት ምት ያስከትላል።</v>
      </c>
    </row>
    <row r="15" ht="22.5" customHeight="1">
      <c r="A15" s="4">
        <v>14.0</v>
      </c>
      <c r="B15" s="4" t="s">
        <v>60</v>
      </c>
      <c r="C15" s="4" t="s">
        <v>61</v>
      </c>
      <c r="D15" s="4" t="s">
        <v>62</v>
      </c>
      <c r="E15" s="4" t="s">
        <v>63</v>
      </c>
      <c r="F15" s="5"/>
      <c r="G15" s="6" t="str">
        <f>IFERROR(__xludf.DUMMYFUNCTION(" GOOGLETRANSLATE(A15, ""en"", ""am"")"),"14")</f>
        <v>14</v>
      </c>
      <c r="H15" s="6" t="str">
        <f>IFERROR(__xludf.DUMMYFUNCTION(" GOOGLETRANSLATE(B15, ""en"", ""am"")"),"ኳሱን ልትመታ ነው፣ ​​ነገር ግን ተቃራኒ ተጫዋች ሆን ብሎ ምትህን ከልክሎታል። ዳኛው ምን ያደርጋል?")</f>
        <v>ኳሱን ልትመታ ነው፣ ​​ነገር ግን ተቃራኒ ተጫዋች ሆን ብሎ ምትህን ከልክሎታል። ዳኛው ምን ያደርጋል?</v>
      </c>
      <c r="I15" s="6" t="str">
        <f>IFERROR(__xludf.DUMMYFUNCTION(" GOOGLETRANSLATE(C15, ""en"", ""am"")"),"ሀ. ጥፋትን ይግለጹ እና ለቡድንዎ ነፃ ማለፊያ ይስጡ። ጨዋታው እንዲቀጥል ፍቀድ። ሁለቱንም ተጫዋቾች አስጠንቅቅ.ዲ. በተቆልቋይ ኳስ መጫወትን እንደገና ያስጀምሩ።")</f>
        <v>ሀ. ጥፋትን ይግለጹ እና ለቡድንዎ ነፃ ማለፊያ ይስጡ። ጨዋታው እንዲቀጥል ፍቀድ። ሁለቱንም ተጫዋቾች አስጠንቅቅ.ዲ. በተቆልቋይ ኳስ መጫወትን እንደገና ያስጀምሩ።</v>
      </c>
      <c r="J15" s="6" t="str">
        <f>IFERROR(__xludf.DUMMYFUNCTION(" GOOGLETRANSLATE(D15, ""en"", ""am"")"),"ጥፋትን ይግለጹ እና ለቡድንዎ ነፃ ማለፊያ ይስጡት።")</f>
        <v>ጥፋትን ይግለጹ እና ለቡድንዎ ነፃ ማለፊያ ይስጡት።</v>
      </c>
      <c r="K15" s="6" t="str">
        <f>IFERROR(__xludf.DUMMYFUNCTION(" GOOGLETRANSLATE(E15, ""en"", ""am"")"),"ሆን ተብሎ ኳሱን መከልከል ጥፋት ሲሆን የተጋጣሚ ቡድንም ቅጣት ይጠብቀዋል።")</f>
        <v>ሆን ተብሎ ኳሱን መከልከል ጥፋት ሲሆን የተጋጣሚ ቡድንም ቅጣት ይጠብቀዋል።</v>
      </c>
    </row>
    <row r="16" ht="22.5" customHeight="1">
      <c r="A16" s="4">
        <v>15.0</v>
      </c>
      <c r="B16" s="4" t="s">
        <v>64</v>
      </c>
      <c r="C16" s="4" t="s">
        <v>65</v>
      </c>
      <c r="D16" s="4" t="s">
        <v>66</v>
      </c>
      <c r="E16" s="4" t="s">
        <v>67</v>
      </c>
      <c r="F16" s="5"/>
      <c r="G16" s="6" t="str">
        <f>IFERROR(__xludf.DUMMYFUNCTION(" GOOGLETRANSLATE(A16, ""en"", ""am"")"),"15")</f>
        <v>15</v>
      </c>
      <c r="H16" s="6" t="str">
        <f>IFERROR(__xludf.DUMMYFUNCTION(" GOOGLETRANSLATE(B16, ""en"", ""am"")"),"አንድ ተመልካች ወደ ሜዳ ሮጦ በእግር ኳስ ግጥሚያ ላይ ጨዋታውን አስተጓጉሏል። የዳኛው ስራ ምንድነው?")</f>
        <v>አንድ ተመልካች ወደ ሜዳ ሮጦ በእግር ኳስ ግጥሚያ ላይ ጨዋታውን አስተጓጉሏል። የዳኛው ስራ ምንድነው?</v>
      </c>
      <c r="I16" s="6" t="str">
        <f>IFERROR(__xludf.DUMMYFUNCTION(" GOOGLETRANSLATE(C16, ""en"", ""am"")"),"ሀ. ሜዳው እስኪጸዳ ድረስ ግጥሚያውን ለአፍታ ያቁሙ። አጥፊውን ቡድን ይቀጡ.ሲ. መቆራረጡን ችላ ይበሉ እና ጨዋታውን ይቀጥሉ.ዲ. ጨዋታውን ከመሃል ላይ እንደገና ያስጀምሩት።")</f>
        <v>ሀ. ሜዳው እስኪጸዳ ድረስ ግጥሚያውን ለአፍታ ያቁሙ። አጥፊውን ቡድን ይቀጡ.ሲ. መቆራረጡን ችላ ይበሉ እና ጨዋታውን ይቀጥሉ.ዲ. ጨዋታውን ከመሃል ላይ እንደገና ያስጀምሩት።</v>
      </c>
      <c r="J16" s="6" t="str">
        <f>IFERROR(__xludf.DUMMYFUNCTION(" GOOGLETRANSLATE(D16, ""en"", ""am"")"),"መስኩ እስኪጸዳ ድረስ ግጥሚያውን ለአፍታ ያቁሙት።")</f>
        <v>መስኩ እስኪጸዳ ድረስ ግጥሚያውን ለአፍታ ያቁሙት።</v>
      </c>
      <c r="K16" s="6" t="str">
        <f>IFERROR(__xludf.DUMMYFUNCTION(" GOOGLETRANSLATE(E16, ""en"", ""am"")"),"ጨዋታው ከመቀጠሉ በፊት ዳኛው ሜዳው መፀዳቱን ማረጋገጥ አለበት።")</f>
        <v>ጨዋታው ከመቀጠሉ በፊት ዳኛው ሜዳው መፀዳቱን ማረጋገጥ አለበት።</v>
      </c>
    </row>
    <row r="17" ht="22.5" customHeight="1">
      <c r="A17" s="4">
        <v>16.0</v>
      </c>
      <c r="B17" s="4" t="s">
        <v>68</v>
      </c>
      <c r="C17" s="4" t="s">
        <v>69</v>
      </c>
      <c r="D17" s="4" t="s">
        <v>70</v>
      </c>
      <c r="E17" s="4" t="s">
        <v>71</v>
      </c>
      <c r="F17" s="5"/>
      <c r="G17" s="6" t="str">
        <f>IFERROR(__xludf.DUMMYFUNCTION(" GOOGLETRANSLATE(A17, ""en"", ""am"")"),"16")</f>
        <v>16</v>
      </c>
      <c r="H17" s="6" t="str">
        <f>IFERROR(__xludf.DUMMYFUNCTION(" GOOGLETRANSLATE(B17, ""en"", ""am"")"),"ኳሱን በመምታት ከጎል ምሰሶው ወጥቷል። ውጤቱስ ምንድን ነው?")</f>
        <v>ኳሱን በመምታት ከጎል ምሰሶው ወጥቷል። ውጤቱስ ምንድን ነው?</v>
      </c>
      <c r="I17" s="6" t="str">
        <f>IFERROR(__xludf.DUMMYFUNCTION(" GOOGLETRANSLATE(C17, ""en"", ""am"")"),"A. ምንም ግብ አልተቆጠረም.B. ግብ ተሰጥቷል.ሲ. ቡድንህ ተቀጥቷል.ዲ. ጨዋታው ለግምገማ ባለበት ቆሟል።")</f>
        <v>A. ምንም ግብ አልተቆጠረም.B. ግብ ተሰጥቷል.ሲ. ቡድንህ ተቀጥቷል.ዲ. ጨዋታው ለግምገማ ባለበት ቆሟል።</v>
      </c>
      <c r="J17" s="6" t="str">
        <f>IFERROR(__xludf.DUMMYFUNCTION(" GOOGLETRANSLATE(D17, ""en"", ""am"")"),"ምንም ግብ አልተቆጠረም።")</f>
        <v>ምንም ግብ አልተቆጠረም።</v>
      </c>
      <c r="K17" s="6" t="str">
        <f>IFERROR(__xludf.DUMMYFUNCTION(" GOOGLETRANSLATE(E17, ""en"", ""am"")"),"ግብ ለመቆጠር ኳሱ የግብ መስመሩን ሙሉ በሙሉ ማለፍ አለበት።")</f>
        <v>ግብ ለመቆጠር ኳሱ የግብ መስመሩን ሙሉ በሙሉ ማለፍ አለበት።</v>
      </c>
    </row>
    <row r="18" ht="22.5" customHeight="1">
      <c r="A18" s="4">
        <v>17.0</v>
      </c>
      <c r="B18" s="4" t="s">
        <v>72</v>
      </c>
      <c r="C18" s="4" t="s">
        <v>73</v>
      </c>
      <c r="D18" s="4" t="s">
        <v>74</v>
      </c>
      <c r="E18" s="4" t="s">
        <v>75</v>
      </c>
      <c r="F18" s="5"/>
      <c r="G18" s="6" t="str">
        <f>IFERROR(__xludf.DUMMYFUNCTION(" GOOGLETRANSLATE(A18, ""en"", ""am"")"),"17")</f>
        <v>17</v>
      </c>
      <c r="H18" s="6" t="str">
        <f>IFERROR(__xludf.DUMMYFUNCTION(" GOOGLETRANSLATE(B18, ""en"", ""am"")"),"በእግር ኳስ ጨዋታ አንድ ቡድን በሜዳው ላይ ተጨማሪ ተጫዋች እንዳለው ዳኛው ያስተውላሉ። ምን ይሆናል?")</f>
        <v>በእግር ኳስ ጨዋታ አንድ ቡድን በሜዳው ላይ ተጨማሪ ተጫዋች እንዳለው ዳኛው ያስተውላሉ። ምን ይሆናል?</v>
      </c>
      <c r="I18" s="6" t="str">
        <f>IFERROR(__xludf.DUMMYFUNCTION(" GOOGLETRANSLATE(C18, ""en"", ""am"")"),"ሀ/ ተጨማሪ ተጫዋቹ ተወግዶ ተጋጣሚው ቡድን የፍፁም ቅጣት ምት ያገኛል። ግጥሚያው ተሰርዟል።ሲ. ተጨማሪው ተጫዋች እንዲቆይ ተፈቅዶለታል.ዲ. ተጨማሪ የተጫዋች ነጥብ ያለው ቡድን ዳግም ተጀምሯል።")</f>
        <v>ሀ/ ተጨማሪ ተጫዋቹ ተወግዶ ተጋጣሚው ቡድን የፍፁም ቅጣት ምት ያገኛል። ግጥሚያው ተሰርዟል።ሲ. ተጨማሪው ተጫዋች እንዲቆይ ተፈቅዶለታል.ዲ. ተጨማሪ የተጫዋች ነጥብ ያለው ቡድን ዳግም ተጀምሯል።</v>
      </c>
      <c r="J18" s="6" t="str">
        <f>IFERROR(__xludf.DUMMYFUNCTION(" GOOGLETRANSLATE(D18, ""en"", ""am"")"),"ተጨማሪ ተጫዋቹ ከጨዋታው ውጪ ሲሆን ተጋጣሚው ቡድን የፍፁም ቅጣት ምት አግኝቷል።")</f>
        <v>ተጨማሪ ተጫዋቹ ከጨዋታው ውጪ ሲሆን ተጋጣሚው ቡድን የፍፁም ቅጣት ምት አግኝቷል።</v>
      </c>
      <c r="K18" s="6" t="str">
        <f>IFERROR(__xludf.DUMMYFUNCTION(" GOOGLETRANSLATE(E18, ""en"", ""am"")"),"ተጨማሪ ተጫዋች መያዝ ከህግ ጋር የሚጋጭ ሲሆን በፍጹም ቅጣት ምት ያስቀጣል።")</f>
        <v>ተጨማሪ ተጫዋች መያዝ ከህግ ጋር የሚጋጭ ሲሆን በፍጹም ቅጣት ምት ያስቀጣል።</v>
      </c>
    </row>
    <row r="19" ht="22.5" customHeight="1">
      <c r="A19" s="4">
        <v>18.0</v>
      </c>
      <c r="B19" s="4" t="s">
        <v>76</v>
      </c>
      <c r="C19" s="4" t="s">
        <v>77</v>
      </c>
      <c r="D19" s="4" t="s">
        <v>78</v>
      </c>
      <c r="E19" s="4" t="s">
        <v>79</v>
      </c>
      <c r="F19" s="5"/>
      <c r="G19" s="6" t="str">
        <f>IFERROR(__xludf.DUMMYFUNCTION(" GOOGLETRANSLATE(A19, ""en"", ""am"")"),"18")</f>
        <v>18</v>
      </c>
      <c r="H19" s="6" t="str">
        <f>IFERROR(__xludf.DUMMYFUNCTION(" GOOGLETRANSLATE(B19, ""en"", ""am"")"),"ኳሱ በአየር ላይ ተመትቶ መሬቱን ሳይነካው በቀጥታ ወደ ግቡ ገባ። የዳኛው ጥሪ ምንድነው?")</f>
        <v>ኳሱ በአየር ላይ ተመትቶ መሬቱን ሳይነካው በቀጥታ ወደ ግቡ ገባ። የዳኛው ጥሪ ምንድነው?</v>
      </c>
      <c r="I19" s="6" t="str">
        <f>IFERROR(__xludf.DUMMYFUNCTION(" GOOGLETRANSLATE(C19, ""en"", ""am"")"),"ሀ. ግቡ ትክክል ነው.B. ግቡ ልክ ያልሆነ ነው።ሲ. ለተጋጣሚ ቡድን የተሰጠ ቅጣት ዲ. ጨዋታው ከመሃል ተጀመረ።")</f>
        <v>ሀ. ግቡ ትክክል ነው.B. ግቡ ልክ ያልሆነ ነው።ሲ. ለተጋጣሚ ቡድን የተሰጠ ቅጣት ዲ. ጨዋታው ከመሃል ተጀመረ።</v>
      </c>
      <c r="J19" s="6" t="str">
        <f>IFERROR(__xludf.DUMMYFUNCTION(" GOOGLETRANSLATE(D19, ""en"", ""am"")"),"ግቡ ትክክል ነው።")</f>
        <v>ግቡ ትክክል ነው።</v>
      </c>
      <c r="K19" s="6" t="str">
        <f>IFERROR(__xludf.DUMMYFUNCTION(" GOOGLETRANSLATE(E19, ""en"", ""am"")"),"በአየር ላይ በቀጥታ የተቆጠሩ ግቦች በጌና ውስጥ ትክክለኛ ናቸው።")</f>
        <v>በአየር ላይ በቀጥታ የተቆጠሩ ግቦች በጌና ውስጥ ትክክለኛ ናቸው።</v>
      </c>
    </row>
    <row r="20" ht="22.5" customHeight="1">
      <c r="A20" s="4">
        <v>19.0</v>
      </c>
      <c r="B20" s="4" t="s">
        <v>80</v>
      </c>
      <c r="C20" s="4" t="s">
        <v>81</v>
      </c>
      <c r="D20" s="4" t="s">
        <v>82</v>
      </c>
      <c r="E20" s="4" t="s">
        <v>83</v>
      </c>
      <c r="F20" s="5"/>
      <c r="G20" s="6" t="str">
        <f>IFERROR(__xludf.DUMMYFUNCTION(" GOOGLETRANSLATE(A20, ""en"", ""am"")"),"19")</f>
        <v>19</v>
      </c>
      <c r="H20" s="6" t="str">
        <f>IFERROR(__xludf.DUMMYFUNCTION(" GOOGLETRANSLATE(B20, ""en"", ""am"")"),"የተጋጣሚ ቡድን ተጫዋቾች ከዳኛው ጋር ሲጨቃጨቁ አስተውለሃል። ቡድንዎ ምን ማድረግ አለበት?")</f>
        <v>የተጋጣሚ ቡድን ተጫዋቾች ከዳኛው ጋር ሲጨቃጨቁ አስተውለሃል። ቡድንዎ ምን ማድረግ አለበት?</v>
      </c>
      <c r="I20" s="6" t="str">
        <f>IFERROR(__xludf.DUMMYFUNCTION(" GOOGLETRANSLATE(C20, ""en"", ""am"")"),"ሀ. ዳኛው መጫወቱን እስኪያቆም ድረስ መጫወቱን ይቀጥሉ። ክርክሩን ተቀላቀሉ.ሲ. ክርክሩ እስኪያልቅ ድረስ ቆም በል እና ጠብቅ.ዲ. ሜዳውን ልቀቁ።")</f>
        <v>ሀ. ዳኛው መጫወቱን እስኪያቆም ድረስ መጫወቱን ይቀጥሉ። ክርክሩን ተቀላቀሉ.ሲ. ክርክሩ እስኪያልቅ ድረስ ቆም በል እና ጠብቅ.ዲ. ሜዳውን ልቀቁ።</v>
      </c>
      <c r="J20" s="6" t="str">
        <f>IFERROR(__xludf.DUMMYFUNCTION(" GOOGLETRANSLATE(D20, ""en"", ""am"")"),"ዳኛው መጫወቱን እስኪያቆም ድረስ መጫወቱን ይቀጥሉ።")</f>
        <v>ዳኛው መጫወቱን እስኪያቆም ድረስ መጫወቱን ይቀጥሉ።</v>
      </c>
      <c r="K20" s="6" t="str">
        <f>IFERROR(__xludf.DUMMYFUNCTION(" GOOGLETRANSLATE(E20, ""en"", ""am"")"),"ጨዋታው መቆም ያለበት ዳኛው ምልክት ሲያደርግ ብቻ ነው።")</f>
        <v>ጨዋታው መቆም ያለበት ዳኛው ምልክት ሲያደርግ ብቻ ነው።</v>
      </c>
    </row>
    <row r="21" ht="22.5" customHeight="1">
      <c r="A21" s="4">
        <v>20.0</v>
      </c>
      <c r="B21" s="4" t="s">
        <v>84</v>
      </c>
      <c r="C21" s="4" t="s">
        <v>85</v>
      </c>
      <c r="D21" s="4" t="s">
        <v>86</v>
      </c>
      <c r="E21" s="4" t="s">
        <v>87</v>
      </c>
      <c r="F21" s="5"/>
      <c r="G21" s="6" t="str">
        <f>IFERROR(__xludf.DUMMYFUNCTION(" GOOGLETRANSLATE(A21, ""en"", ""am"")"),"20")</f>
        <v>20</v>
      </c>
      <c r="H21" s="6" t="str">
        <f>IFERROR(__xludf.DUMMYFUNCTION(" GOOGLETRANSLATE(B21, ""en"", ""am"")"),"ቡድንዎ በእግር ኳስ ግጥሚያ ቀዳሚ ቢሆንም ዳኛው በስህተት ለተጋጣሚ ቡድን ጎል ሰጥተውታል። ምን ማድረግ አለቦት?")</f>
        <v>ቡድንዎ በእግር ኳስ ግጥሚያ ቀዳሚ ቢሆንም ዳኛው በስህተት ለተጋጣሚ ቡድን ጎል ሰጥተውታል። ምን ማድረግ አለቦት?</v>
      </c>
      <c r="I21" s="6" t="str">
        <f>IFERROR(__xludf.DUMMYFUNCTION(" GOOGLETRANSLATE(C21, ""en"", ""am"")"),"ሀ. ስህተቱን በትህትና ለዳኛው ያሳውቁ። ከዳኛው ጋር ተከራከሩ። ግጥሚያውን አቁም.ዲ. ያለምንም ቅሬታ መጫወቱን ይቀጥሉ።")</f>
        <v>ሀ. ስህተቱን በትህትና ለዳኛው ያሳውቁ። ከዳኛው ጋር ተከራከሩ። ግጥሚያውን አቁም.ዲ. ያለምንም ቅሬታ መጫወቱን ይቀጥሉ።</v>
      </c>
      <c r="J21" s="6" t="str">
        <f>IFERROR(__xludf.DUMMYFUNCTION(" GOOGLETRANSLATE(D21, ""en"", ""am"")"),"ስህተቱን በትህትና ለዳኛው አሳውቁ።")</f>
        <v>ስህተቱን በትህትና ለዳኛው አሳውቁ።</v>
      </c>
      <c r="K21" s="6" t="str">
        <f>IFERROR(__xludf.DUMMYFUNCTION(" GOOGLETRANSLATE(E21, ""en"", ""am"")"),"ተጫዋቾች ስህተታቸውን ለዳኛው በአክብሮት ማሳወቅ አለባቸው።")</f>
        <v>ተጫዋቾች ስህተታቸውን ለዳኛው በአክብሮት ማሳወቅ አለባቸው።</v>
      </c>
    </row>
    <row r="22" ht="22.5" customHeight="1">
      <c r="A22" s="4">
        <v>21.0</v>
      </c>
      <c r="B22" s="4" t="s">
        <v>88</v>
      </c>
      <c r="C22" s="4" t="s">
        <v>89</v>
      </c>
      <c r="D22" s="4" t="s">
        <v>90</v>
      </c>
      <c r="E22" s="4" t="s">
        <v>91</v>
      </c>
      <c r="F22" s="5"/>
      <c r="G22" s="6" t="str">
        <f>IFERROR(__xludf.DUMMYFUNCTION(" GOOGLETRANSLATE(A22, ""en"", ""am"")"),"21")</f>
        <v>21</v>
      </c>
      <c r="H22" s="6" t="str">
        <f>IFERROR(__xludf.DUMMYFUNCTION(" GOOGLETRANSLATE(B22, ""en"", ""am"")"),"ተቃራኒ ተጫዋች ሆን ብሎ ኳሱን በመያዝ ጨዋታውን ያዘገያል። የዳኛው ጥሪ ምንድነው?")</f>
        <v>ተቃራኒ ተጫዋች ሆን ብሎ ኳሱን በመያዝ ጨዋታውን ያዘገያል። የዳኛው ጥሪ ምንድነው?</v>
      </c>
      <c r="I22" s="6" t="str">
        <f>IFERROR(__xludf.DUMMYFUNCTION(" GOOGLETRANSLATE(C22, ""en"", ""am"")"),"ሀ. ማስጠንቀቂያ ይስጡ እና ለቡድንዎ ነፃ ሽልማት ይስጡ። ጨዋታው እንዲቀጥል ፍቀድ። ለቡድንህ ግብ ስጥ። ጨዋታውን ከመሃል ላይ እንደገና ያስጀምሩት።")</f>
        <v>ሀ. ማስጠንቀቂያ ይስጡ እና ለቡድንዎ ነፃ ሽልማት ይስጡ። ጨዋታው እንዲቀጥል ፍቀድ። ለቡድንህ ግብ ስጥ። ጨዋታውን ከመሃል ላይ እንደገና ያስጀምሩት።</v>
      </c>
      <c r="J22" s="6" t="str">
        <f>IFERROR(__xludf.DUMMYFUNCTION(" GOOGLETRANSLATE(D22, ""en"", ""am"")"),"ማስጠንቀቂያ ይስጡ እና ለቡድንዎ ነፃ ሽልማት ይስጡ")</f>
        <v>ማስጠንቀቂያ ይስጡ እና ለቡድንዎ ነፃ ሽልማት ይስጡ</v>
      </c>
      <c r="K22" s="6" t="str">
        <f>IFERROR(__xludf.DUMMYFUNCTION(" GOOGLETRANSLATE(E22, ""en"", ""am"")"),"ሆን ተብሎ ጨዋታውን ማዘግየት ጥፋት ነው።")</f>
        <v>ሆን ተብሎ ጨዋታውን ማዘግየት ጥፋት ነው።</v>
      </c>
    </row>
    <row r="23" ht="22.5" customHeight="1">
      <c r="A23" s="4">
        <v>22.0</v>
      </c>
      <c r="B23" s="4" t="s">
        <v>92</v>
      </c>
      <c r="C23" s="4" t="s">
        <v>93</v>
      </c>
      <c r="D23" s="4" t="s">
        <v>43</v>
      </c>
      <c r="E23" s="4" t="s">
        <v>94</v>
      </c>
      <c r="F23" s="5"/>
      <c r="G23" s="6" t="str">
        <f>IFERROR(__xludf.DUMMYFUNCTION(" GOOGLETRANSLATE(A23, ""en"", ""am"")"),"22")</f>
        <v>22</v>
      </c>
      <c r="H23" s="6" t="str">
        <f>IFERROR(__xludf.DUMMYFUNCTION(" GOOGLETRANSLATE(B23, ""en"", ""am"")"),"ዳኛው የጨዋታው መጠናቀቅያ ምልክት ቢያሳይም አንድ ቡድን መጫወቱን ቀጥሏል ጎል አስቆጥሯል። ምን ይሆናል?")</f>
        <v>ዳኛው የጨዋታው መጠናቀቅያ ምልክት ቢያሳይም አንድ ቡድን መጫወቱን ቀጥሏል ጎል አስቆጥሯል። ምን ይሆናል?</v>
      </c>
      <c r="I23" s="6" t="str">
        <f>IFERROR(__xludf.DUMMYFUNCTION(" GOOGLETRANSLATE(C23, ""en"", ""am"")"),"ሀ. ግቡ ልክ ያልሆነ ነው.ቢ. ግቡ ትክክል ነው.ሲ. ዳኛው ለቡድኑ ቅጣት ሰጥቷል.ዲ. ዳኛው ጨዋታውን እንደገና ይጀምራል።")</f>
        <v>ሀ. ግቡ ልክ ያልሆነ ነው.ቢ. ግቡ ትክክል ነው.ሲ. ዳኛው ለቡድኑ ቅጣት ሰጥቷል.ዲ. ዳኛው ጨዋታውን እንደገና ይጀምራል።</v>
      </c>
      <c r="J23" s="6" t="str">
        <f>IFERROR(__xludf.DUMMYFUNCTION(" GOOGLETRANSLATE(D23, ""en"", ""am"")"),"ግቡ ልክ ያልሆነ ነው።")</f>
        <v>ግቡ ልክ ያልሆነ ነው።</v>
      </c>
      <c r="K23" s="6" t="str">
        <f>IFERROR(__xludf.DUMMYFUNCTION(" GOOGLETRANSLATE(E23, ""en"", ""am"")"),"ከዳኛው ምልክት በኋላ የተቆጠሩት ግቦች አይቆጠሩም።")</f>
        <v>ከዳኛው ምልክት በኋላ የተቆጠሩት ግቦች አይቆጠሩም።</v>
      </c>
    </row>
    <row r="24" ht="22.5" customHeight="1">
      <c r="A24" s="4">
        <v>23.0</v>
      </c>
      <c r="B24" s="4" t="s">
        <v>95</v>
      </c>
      <c r="C24" s="4" t="s">
        <v>96</v>
      </c>
      <c r="D24" s="4" t="s">
        <v>97</v>
      </c>
      <c r="E24" s="4" t="s">
        <v>98</v>
      </c>
      <c r="F24" s="5"/>
      <c r="G24" s="6" t="str">
        <f>IFERROR(__xludf.DUMMYFUNCTION(" GOOGLETRANSLATE(A24, ""en"", ""am"")"),"23")</f>
        <v>23</v>
      </c>
      <c r="H24" s="6" t="str">
        <f>IFERROR(__xludf.DUMMYFUNCTION(" GOOGLETRANSLATE(B24, ""en"", ""am"")"),"አንድ የጄና ተጫዋች በጨዋታው ወቅት የተሰበረውን ዱላውን ይተካል። የዳኛው ውሳኔ ምንድነው?")</f>
        <v>አንድ የጄና ተጫዋች በጨዋታው ወቅት የተሰበረውን ዱላውን ይተካል። የዳኛው ውሳኔ ምንድነው?</v>
      </c>
      <c r="I24" s="6" t="str">
        <f>IFERROR(__xludf.DUMMYFUNCTION(" GOOGLETRANSLATE(C24, ""en"", ""am"")"),"ሀ. ተተኪውን ፍቀድ እና መጫወቱን ይቀጥሉ.B. ዱላውን ለመመርመር ጨዋታውን ለአፍታ ያቁሙ። ጥፋትን አውጅ ዲ. ለተጋጣሚ ቡድን ቅጣት ይስጡ።")</f>
        <v>ሀ. ተተኪውን ፍቀድ እና መጫወቱን ይቀጥሉ.B. ዱላውን ለመመርመር ጨዋታውን ለአፍታ ያቁሙ። ጥፋትን አውጅ ዲ. ለተጋጣሚ ቡድን ቅጣት ይስጡ።</v>
      </c>
      <c r="J24" s="6" t="str">
        <f>IFERROR(__xludf.DUMMYFUNCTION(" GOOGLETRANSLATE(D24, ""en"", ""am"")"),"መተኪያውን ይፍቀዱ እና መጫወቱን ይቀጥሉ።")</f>
        <v>መተኪያውን ይፍቀዱ እና መጫወቱን ይቀጥሉ።</v>
      </c>
      <c r="K24" s="6" t="str">
        <f>IFERROR(__xludf.DUMMYFUNCTION(" GOOGLETRANSLATE(E24, ""en"", ""am"")"),"ተጫዋቾች የተበላሹ መሳሪያዎችን ያለ ቅጣት መተካት ይችላሉ.")</f>
        <v>ተጫዋቾች የተበላሹ መሳሪያዎችን ያለ ቅጣት መተካት ይችላሉ.</v>
      </c>
    </row>
    <row r="25" ht="22.5" customHeight="1">
      <c r="A25" s="4">
        <v>24.0</v>
      </c>
      <c r="B25" s="4" t="s">
        <v>99</v>
      </c>
      <c r="C25" s="4" t="s">
        <v>100</v>
      </c>
      <c r="D25" s="4" t="s">
        <v>101</v>
      </c>
      <c r="E25" s="4" t="s">
        <v>102</v>
      </c>
      <c r="F25" s="5"/>
      <c r="G25" s="6" t="str">
        <f>IFERROR(__xludf.DUMMYFUNCTION(" GOOGLETRANSLATE(A25, ""en"", ""am"")"),"24")</f>
        <v>24</v>
      </c>
      <c r="H25" s="6" t="str">
        <f>IFERROR(__xludf.DUMMYFUNCTION(" GOOGLETRANSLATE(B25, ""en"", ""am"")"),"ኳሱን ትመታለህ ፣ እና በድንገት ተቃራኒ ተጫዋችን ይመታል። ዳኛው ምን ያደርጋል?")</f>
        <v>ኳሱን ትመታለህ ፣ እና በድንገት ተቃራኒ ተጫዋችን ይመታል። ዳኛው ምን ያደርጋል?</v>
      </c>
      <c r="I25" s="6" t="str">
        <f>IFERROR(__xludf.DUMMYFUNCTION(" GOOGLETRANSLATE(C25, ""en"", ""am"")"),"ሀ. ጨዋታው ይቀጥላል.ቢ. ለተቃዋሚ ቡድንC ነፃ ሽልማት ይስጡ። ለቡድንዎ ቅጣት ይስጡ.ዲ. ለማስጠንቀቂያ ጨዋታውን ለአፍታ ያቁሙት።")</f>
        <v>ሀ. ጨዋታው ይቀጥላል.ቢ. ለተቃዋሚ ቡድንC ነፃ ሽልማት ይስጡ። ለቡድንዎ ቅጣት ይስጡ.ዲ. ለማስጠንቀቂያ ጨዋታውን ለአፍታ ያቁሙት።</v>
      </c>
      <c r="J25" s="6" t="str">
        <f>IFERROR(__xludf.DUMMYFUNCTION(" GOOGLETRANSLATE(D25, ""en"", ""am"")"),"ጨዋታው ቀጥሏል።")</f>
        <v>ጨዋታው ቀጥሏል።</v>
      </c>
      <c r="K25" s="6" t="str">
        <f>IFERROR(__xludf.DUMMYFUNCTION(" GOOGLETRANSLATE(E25, ""en"", ""am"")"),"ሆን ተብሎ ካልሆነ በስተቀር አደጋዎች አይቀጡም።")</f>
        <v>ሆን ተብሎ ካልሆነ በስተቀር አደጋዎች አይቀጡም።</v>
      </c>
    </row>
    <row r="26" ht="22.5" customHeight="1">
      <c r="A26" s="4">
        <v>25.0</v>
      </c>
      <c r="B26" s="4" t="s">
        <v>103</v>
      </c>
      <c r="C26" s="4" t="s">
        <v>104</v>
      </c>
      <c r="D26" s="4" t="s">
        <v>105</v>
      </c>
      <c r="E26" s="4" t="s">
        <v>106</v>
      </c>
      <c r="F26" s="5"/>
      <c r="G26" s="6" t="str">
        <f>IFERROR(__xludf.DUMMYFUNCTION(" GOOGLETRANSLATE(A26, ""en"", ""am"")"),"25")</f>
        <v>25</v>
      </c>
      <c r="H26" s="6" t="str">
        <f>IFERROR(__xludf.DUMMYFUNCTION(" GOOGLETRANSLATE(B26, ""en"", ""am"")"),"የጄና ጨዋታው በድንገተኛ ነጎድጓድ ተቋርጧል። ምን እርምጃ ተወሰደ?")</f>
        <v>የጄና ጨዋታው በድንገተኛ ነጎድጓድ ተቋርጧል። ምን እርምጃ ተወሰደ?</v>
      </c>
      <c r="I26" s="6" t="str">
        <f>IFERROR(__xludf.DUMMYFUNCTION(" GOOGLETRANSLATE(C26, ""en"", ""am"")"),"ሀ. የአየር ሁኔታው ​​እስኪሻሻል ድረስ ግጥሚያውን ለአፍታ ያቁሙ። ጨዋታውን በአቻ ውጤት አስታወቀ። ለአሸናፊው ቡድን ሽልማት መስጠት.D. ግጥሚያውን በኋላ እንደገና ያስጀምሩት።")</f>
        <v>ሀ. የአየር ሁኔታው ​​እስኪሻሻል ድረስ ግጥሚያውን ለአፍታ ያቁሙ። ጨዋታውን በአቻ ውጤት አስታወቀ። ለአሸናፊው ቡድን ሽልማት መስጠት.D. ግጥሚያውን በኋላ እንደገና ያስጀምሩት።</v>
      </c>
      <c r="J26" s="6" t="str">
        <f>IFERROR(__xludf.DUMMYFUNCTION(" GOOGLETRANSLATE(D26, ""en"", ""am"")"),"የአየሩ ሁኔታ እስኪሻሻል ድረስ ግጥሚያውን ለአፍታ ያቁሙ።")</f>
        <v>የአየሩ ሁኔታ እስኪሻሻል ድረስ ግጥሚያውን ለአፍታ ያቁሙ።</v>
      </c>
      <c r="K26" s="6" t="str">
        <f>IFERROR(__xludf.DUMMYFUNCTION(" GOOGLETRANSLATE(E26, ""en"", ""am"")"),"የጸጥታ ስጋት ግጥሚያው ባለበት እንዲቆም ይደነግጋል።")</f>
        <v>የጸጥታ ስጋት ግጥሚያው ባለበት እንዲቆም ይደነግጋል።</v>
      </c>
    </row>
    <row r="27" ht="22.5" customHeight="1">
      <c r="A27" s="4">
        <v>26.0</v>
      </c>
      <c r="B27" s="4" t="s">
        <v>107</v>
      </c>
      <c r="C27" s="4" t="s">
        <v>108</v>
      </c>
      <c r="D27" s="4" t="s">
        <v>43</v>
      </c>
      <c r="E27" s="4" t="s">
        <v>109</v>
      </c>
      <c r="F27" s="5"/>
      <c r="G27" s="6" t="str">
        <f>IFERROR(__xludf.DUMMYFUNCTION(" GOOGLETRANSLATE(A27, ""en"", ""am"")"),"26")</f>
        <v>26</v>
      </c>
      <c r="H27" s="6" t="str">
        <f>IFERROR(__xludf.DUMMYFUNCTION(" GOOGLETRANSLATE(B27, ""en"", ""am"")"),"ተቃራኒ ተጫዋች ጎል ሲያስቆጥር ዳኛው ግን ጊዜው ካለፈ በኋላ ኳሱ የግብ መስመሩን እንዳቋረጠ ያያሉ። ምን ይሆናል?")</f>
        <v>ተቃራኒ ተጫዋች ጎል ሲያስቆጥር ዳኛው ግን ጊዜው ካለፈ በኋላ ኳሱ የግብ መስመሩን እንዳቋረጠ ያያሉ። ምን ይሆናል?</v>
      </c>
      <c r="I27" s="6" t="str">
        <f>IFERROR(__xludf.DUMMYFUNCTION(" GOOGLETRANSLATE(C27, ""en"", ""am"")"),"ሀ. ግቡ ልክ ያልሆነ ነው.ቢ. ግቡ ተሸልሟል.ሲ. ቅጣት ምት ተወስዷል ዲ. ጨዋታው እንደገና ተጀምሯል።")</f>
        <v>ሀ. ግቡ ልክ ያልሆነ ነው.ቢ. ግቡ ተሸልሟል.ሲ. ቅጣት ምት ተወስዷል ዲ. ጨዋታው እንደገና ተጀምሯል።</v>
      </c>
      <c r="J27" s="6" t="str">
        <f>IFERROR(__xludf.DUMMYFUNCTION(" GOOGLETRANSLATE(D27, ""en"", ""am"")"),"ግቡ ልክ ያልሆነ ነው።")</f>
        <v>ግቡ ልክ ያልሆነ ነው።</v>
      </c>
      <c r="K27" s="6" t="str">
        <f>IFERROR(__xludf.DUMMYFUNCTION(" GOOGLETRANSLATE(E27, ""en"", ""am"")"),"ጊዜው ካለፈ በኋላ የተቆጠሩት ግቦች ልክ ያልሆኑ ናቸው።")</f>
        <v>ጊዜው ካለፈ በኋላ የተቆጠሩት ግቦች ልክ ያልሆኑ ናቸው።</v>
      </c>
    </row>
    <row r="28" ht="22.5" customHeight="1">
      <c r="A28" s="4">
        <v>27.0</v>
      </c>
      <c r="B28" s="4" t="s">
        <v>110</v>
      </c>
      <c r="C28" s="4" t="s">
        <v>111</v>
      </c>
      <c r="D28" s="4" t="s">
        <v>31</v>
      </c>
      <c r="E28" s="4" t="s">
        <v>112</v>
      </c>
      <c r="F28" s="5"/>
      <c r="G28" s="6" t="str">
        <f>IFERROR(__xludf.DUMMYFUNCTION(" GOOGLETRANSLATE(A28, ""en"", ""am"")"),"27")</f>
        <v>27</v>
      </c>
      <c r="H28" s="6" t="str">
        <f>IFERROR(__xludf.DUMMYFUNCTION(" GOOGLETRANSLATE(B28, ""en"", ""am"")"),"የቡድን ጓደኛዎ በድንገት በእጃቸው ኳሱን እንደመታ አስተውለዋል. የዳኛው ውሳኔ ምንድነው?")</f>
        <v>የቡድን ጓደኛዎ በድንገት በእጃቸው ኳሱን እንደመታ አስተውለዋል. የዳኛው ውሳኔ ምንድነው?</v>
      </c>
      <c r="I28" s="6" t="str">
        <f>IFERROR(__xludf.DUMMYFUNCTION(" GOOGLETRANSLATE(C28, ""en"", ""am"")"),"ሀ. ጥፋትን አውጅ እና ለተቃራኒ ቡድን የፍፁም ቅጣት ምት ሰጠ። ክስተቱን ችላ በል.ሲ. በተቆልቋይ ኳስ መጫወትን እንደገና ያስጀምሩ።D. ለተጋጣሚ ቡድን ቅጣት ይስጡ።")</f>
        <v>ሀ. ጥፋትን አውጅ እና ለተቃራኒ ቡድን የፍፁም ቅጣት ምት ሰጠ። ክስተቱን ችላ በል.ሲ. በተቆልቋይ ኳስ መጫወትን እንደገና ያስጀምሩ።D. ለተጋጣሚ ቡድን ቅጣት ይስጡ።</v>
      </c>
      <c r="J28" s="6" t="str">
        <f>IFERROR(__xludf.DUMMYFUNCTION(" GOOGLETRANSLATE(D28, ""en"", ""am"")"),"ጥፋትን ይግለጹ እና ለተጋጣሚ ቡድን የፍፁም ቅጣት ምት ይስጡ።")</f>
        <v>ጥፋትን ይግለጹ እና ለተጋጣሚ ቡድን የፍፁም ቅጣት ምት ይስጡ።</v>
      </c>
      <c r="K28" s="6" t="str">
        <f>IFERROR(__xludf.DUMMYFUNCTION(" GOOGLETRANSLATE(E28, ""en"", ""am"")"),"በጋና ኳሱን በእጅዎ መምታት እንደ መጥፎ ነገር ይቆጠራል።")</f>
        <v>በጋና ኳሱን በእጅዎ መምታት እንደ መጥፎ ነገር ይቆጠራል።</v>
      </c>
    </row>
    <row r="29" ht="22.5" customHeight="1">
      <c r="A29" s="4">
        <v>28.0</v>
      </c>
      <c r="B29" s="4" t="s">
        <v>113</v>
      </c>
      <c r="C29" s="4" t="s">
        <v>114</v>
      </c>
      <c r="D29" s="4" t="s">
        <v>115</v>
      </c>
      <c r="E29" s="4" t="s">
        <v>116</v>
      </c>
      <c r="F29" s="5"/>
      <c r="G29" s="6" t="str">
        <f>IFERROR(__xludf.DUMMYFUNCTION(" GOOGLETRANSLATE(A29, ""en"", ""am"")"),"28")</f>
        <v>28</v>
      </c>
      <c r="H29" s="6" t="str">
        <f>IFERROR(__xludf.DUMMYFUNCTION(" GOOGLETRANSLATE(B29, ""en"", ""am"")"),"በቴኒስ ጨዋታ ከተጫዋቾቹ አንዱ ወድቋል። ዳኛው ምን ማድረግ አለበት?")</f>
        <v>በቴኒስ ጨዋታ ከተጫዋቾቹ አንዱ ወድቋል። ዳኛው ምን ማድረግ አለበት?</v>
      </c>
      <c r="I29" s="6" t="str">
        <f>IFERROR(__xludf.DUMMYFUNCTION(" GOOGLETRANSLATE(C29, ""en"", ""am"")"),"ሀ. ግጥሚያውን ለአፍታ አቁም እና የህክምና እርዳታን ፍቀድ። ጨዋታው ቀጥሏል.ሲ. ለተጎዳው የተጫዋች ቡድን ቅጣት ስጥ.ዲ. ጨዋታውን ወዲያውኑ ጨርስ።")</f>
        <v>ሀ. ግጥሚያውን ለአፍታ አቁም እና የህክምና እርዳታን ፍቀድ። ጨዋታው ቀጥሏል.ሲ. ለተጎዳው የተጫዋች ቡድን ቅጣት ስጥ.ዲ. ጨዋታውን ወዲያውኑ ጨርስ።</v>
      </c>
      <c r="J29" s="6" t="str">
        <f>IFERROR(__xludf.DUMMYFUNCTION(" GOOGLETRANSLATE(D29, ""en"", ""am"")"),"ግጥሚያውን ለአፍታ አቁም እና የህክምና እርዳታን ፍቀድ።")</f>
        <v>ግጥሚያውን ለአፍታ አቁም እና የህክምና እርዳታን ፍቀድ።</v>
      </c>
      <c r="K29" s="6" t="str">
        <f>IFERROR(__xludf.DUMMYFUNCTION(" GOOGLETRANSLATE(E29, ""en"", ""am"")"),"በእንደዚህ አይነት ሁኔታዎች የተጫዋች ደህንነት ቅድሚያ ይሰጣል.")</f>
        <v>በእንደዚህ አይነት ሁኔታዎች የተጫዋች ደህንነት ቅድሚያ ይሰጣል.</v>
      </c>
    </row>
    <row r="30" ht="22.5" customHeight="1">
      <c r="A30" s="4">
        <v>29.0</v>
      </c>
      <c r="B30" s="4" t="s">
        <v>117</v>
      </c>
      <c r="C30" s="4" t="s">
        <v>118</v>
      </c>
      <c r="D30" s="4" t="s">
        <v>78</v>
      </c>
      <c r="E30" s="4" t="s">
        <v>119</v>
      </c>
      <c r="F30" s="5"/>
      <c r="G30" s="6" t="str">
        <f>IFERROR(__xludf.DUMMYFUNCTION(" GOOGLETRANSLATE(A30, ""en"", ""am"")"),"29")</f>
        <v>29</v>
      </c>
      <c r="H30" s="6" t="str">
        <f>IFERROR(__xludf.DUMMYFUNCTION(" GOOGLETRANSLATE(B30, ""en"", ""am"")"),"ኳሱን ትመታለህ ነገር ግን ከቡድንህ ጎል ውጪ ወጥታለች። የዳኛው ውሳኔ ምንድነው?")</f>
        <v>ኳሱን ትመታለህ ነገር ግን ከቡድንህ ጎል ውጪ ወጥታለች። የዳኛው ውሳኔ ምንድነው?</v>
      </c>
      <c r="I30" s="6" t="str">
        <f>IFERROR(__xludf.DUMMYFUNCTION(" GOOGLETRANSLATE(C30, ""en"", ""am"")"),"ሀ. ግቡ ትክክል ነው.B. ግቡ ልክ ያልሆነ ነው።ሲ. ለተቃራኒ ቡድን ቅጣት ይስጡ.ዲ. ጨዋታውን ለአፍታ ያቁሙ እና እንደገና ያስጀምሩት።")</f>
        <v>ሀ. ግቡ ትክክል ነው.B. ግቡ ልክ ያልሆነ ነው።ሲ. ለተቃራኒ ቡድን ቅጣት ይስጡ.ዲ. ጨዋታውን ለአፍታ ያቁሙ እና እንደገና ያስጀምሩት።</v>
      </c>
      <c r="J30" s="6" t="str">
        <f>IFERROR(__xludf.DUMMYFUNCTION(" GOOGLETRANSLATE(D30, ""en"", ""am"")"),"ግቡ ትክክል ነው።")</f>
        <v>ግቡ ትክክል ነው።</v>
      </c>
      <c r="K30" s="6" t="str">
        <f>IFERROR(__xludf.DUMMYFUNCTION(" GOOGLETRANSLATE(E30, ""en"", ""am"")"),"የቡድን አጋሮች ያስቆጠሩት ግቦች ልክ ናቸው።")</f>
        <v>የቡድን አጋሮች ያስቆጠሩት ግቦች ልክ ናቸው።</v>
      </c>
    </row>
    <row r="31" ht="22.5" customHeight="1">
      <c r="A31" s="4">
        <v>30.0</v>
      </c>
      <c r="B31" s="4" t="s">
        <v>120</v>
      </c>
      <c r="C31" s="4" t="s">
        <v>121</v>
      </c>
      <c r="D31" s="4" t="s">
        <v>122</v>
      </c>
      <c r="E31" s="4" t="s">
        <v>123</v>
      </c>
      <c r="F31" s="5"/>
      <c r="G31" s="6" t="str">
        <f>IFERROR(__xludf.DUMMYFUNCTION(" GOOGLETRANSLATE(A31, ""en"", ""am"")"),"30")</f>
        <v>30</v>
      </c>
      <c r="H31" s="6" t="str">
        <f>IFERROR(__xludf.DUMMYFUNCTION(" GOOGLETRANSLATE(B31, ""en"", ""am"")"),"በቴኒስ ጨዋታ አንድ ቡድን በተፈጠረ አለመግባባት ለመጫወት ፈቃደኛ አልሆነም። የዳኛው ሚና ምንድን ነው?")</f>
        <v>በቴኒስ ጨዋታ አንድ ቡድን በተፈጠረ አለመግባባት ለመጫወት ፈቃደኛ አልሆነም። የዳኛው ሚና ምንድን ነው?</v>
      </c>
      <c r="I31" s="6" t="str">
        <f>IFERROR(__xludf.DUMMYFUNCTION(" GOOGLETRANSLATE(C31, ""en"", ""am"")"),"ሀ. ሌላውን ቡድን አሸናፊውን ይግለጹ.B. ጨዋታውን ለአፍታ አቁም እና አለመግባባቱን ይፍቱ። ግጥሚያውን ሰርዝ.ዲ. ጨዋታውን ወዲያውኑ እንደገና ያስጀምሩት።")</f>
        <v>ሀ. ሌላውን ቡድን አሸናፊውን ይግለጹ.B. ጨዋታውን ለአፍታ አቁም እና አለመግባባቱን ይፍቱ። ግጥሚያውን ሰርዝ.ዲ. ጨዋታውን ወዲያውኑ እንደገና ያስጀምሩት።</v>
      </c>
      <c r="J31" s="6" t="str">
        <f>IFERROR(__xludf.DUMMYFUNCTION(" GOOGLETRANSLATE(D31, ""en"", ""am"")"),"ጨዋታውን ለአፍታ ያቁሙ እና አለመግባባቱን ይፍቱ።")</f>
        <v>ጨዋታውን ለአፍታ ያቁሙ እና አለመግባባቱን ይፍቱ።</v>
      </c>
      <c r="K31" s="6" t="str">
        <f>IFERROR(__xludf.DUMMYFUNCTION(" GOOGLETRANSLATE(E31, ""en"", ""am"")"),"ጨዋታውን ከመቀጠልዎ በፊት አለመግባባቶች መፈታት አለባቸው።")</f>
        <v>ጨዋታውን ከመቀጠልዎ በፊት አለመግባባቶች መፈታት አለባቸው።</v>
      </c>
    </row>
    <row r="32" ht="22.5" customHeight="1">
      <c r="A32" s="4">
        <v>31.0</v>
      </c>
      <c r="B32" s="4" t="s">
        <v>124</v>
      </c>
      <c r="C32" s="4" t="s">
        <v>125</v>
      </c>
      <c r="D32" s="4" t="s">
        <v>126</v>
      </c>
      <c r="E32" s="4" t="s">
        <v>127</v>
      </c>
      <c r="F32" s="5"/>
      <c r="G32" s="6" t="str">
        <f>IFERROR(__xludf.DUMMYFUNCTION(" GOOGLETRANSLATE(A32, ""en"", ""am"")"),"31")</f>
        <v>31</v>
      </c>
      <c r="H32" s="6" t="str">
        <f>IFERROR(__xludf.DUMMYFUNCTION(" GOOGLETRANSLATE(B32, ""en"", ""am"")"),"እየተከላከሉ ሳለ አንድ ተቃራኒ ተጫዋች በድንገት ዱላህን ገባ። ዳኛው ምን ይወስናል?")</f>
        <v>እየተከላከሉ ሳለ አንድ ተቃራኒ ተጫዋች በድንገት ዱላህን ገባ። ዳኛው ምን ይወስናል?</v>
      </c>
      <c r="I32" s="6" t="str">
        <f>IFERROR(__xludf.DUMMYFUNCTION(" GOOGLETRANSLATE(C32, ""en"", ""am"")"),"ሀ. ምንም ስህተት የለም ጨዋታው ይቀጥላል.ቢ. ለተቃዋሚ ቡድንC ነፃ ሽልማት ይስጡ። ቡድንዎን ያስጠነቅቁ። ጨዋታውን ለአፍታ አቁም እና በተጣለ ኳስ እንደገና ያስጀምሩት።")</f>
        <v>ሀ. ምንም ስህተት የለም ጨዋታው ይቀጥላል.ቢ. ለተቃዋሚ ቡድንC ነፃ ሽልማት ይስጡ። ቡድንዎን ያስጠነቅቁ። ጨዋታውን ለአፍታ አቁም እና በተጣለ ኳስ እንደገና ያስጀምሩት።</v>
      </c>
      <c r="J32" s="6" t="str">
        <f>IFERROR(__xludf.DUMMYFUNCTION(" GOOGLETRANSLATE(D32, ""en"", ""am"")"),"ምንም ስህተት የለም, ጨዋታው ይቀጥላል.")</f>
        <v>ምንም ስህተት የለም, ጨዋታው ይቀጥላል.</v>
      </c>
      <c r="K32" s="6" t="str">
        <f>IFERROR(__xludf.DUMMYFUNCTION(" GOOGLETRANSLATE(E32, ""en"", ""am"")"),"በቆመ ዛፍ ላይ ድንገተኛ መሰናከል አይቀጣም።")</f>
        <v>በቆመ ዛፍ ላይ ድንገተኛ መሰናከል አይቀጣም።</v>
      </c>
    </row>
    <row r="33" ht="22.5" customHeight="1">
      <c r="A33" s="4">
        <v>32.0</v>
      </c>
      <c r="B33" s="4" t="s">
        <v>128</v>
      </c>
      <c r="C33" s="4" t="s">
        <v>129</v>
      </c>
      <c r="D33" s="4" t="s">
        <v>70</v>
      </c>
      <c r="E33" s="4" t="s">
        <v>130</v>
      </c>
      <c r="F33" s="5"/>
      <c r="G33" s="6" t="str">
        <f>IFERROR(__xludf.DUMMYFUNCTION(" GOOGLETRANSLATE(A33, ""en"", ""am"")"),"32")</f>
        <v>32</v>
      </c>
      <c r="H33" s="6" t="str">
        <f>IFERROR(__xludf.DUMMYFUNCTION(" GOOGLETRANSLATE(B33, ""en"", ""am"")"),"ኳሱ በግብ መስመሩ ላይ በትክክል ይቆማል ነገርግን ሙሉ በሙሉ አያልፍም። ምን ይሆናል?")</f>
        <v>ኳሱ በግብ መስመሩ ላይ በትክክል ይቆማል ነገርግን ሙሉ በሙሉ አያልፍም። ምን ይሆናል?</v>
      </c>
      <c r="I33" s="6" t="str">
        <f>IFERROR(__xludf.DUMMYFUNCTION(" GOOGLETRANSLATE(C33, ""en"", ""am"")"),"A. ምንም ግብ አልተቆጠረም.B. ግቡ ተሸልሟል.ሲ. ጨዋታው ለግምገማ ባለበት ቆሟል።ዲ. ተጋጣሚው ቡድን የፍፁም ቅጣት ምት አግኝቷል።")</f>
        <v>A. ምንም ግብ አልተቆጠረም.B. ግቡ ተሸልሟል.ሲ. ጨዋታው ለግምገማ ባለበት ቆሟል።ዲ. ተጋጣሚው ቡድን የፍፁም ቅጣት ምት አግኝቷል።</v>
      </c>
      <c r="J33" s="6" t="str">
        <f>IFERROR(__xludf.DUMMYFUNCTION(" GOOGLETRANSLATE(D33, ""en"", ""am"")"),"ምንም ግብ አልተቆጠረም።")</f>
        <v>ምንም ግብ አልተቆጠረም።</v>
      </c>
      <c r="K33" s="6" t="str">
        <f>IFERROR(__xludf.DUMMYFUNCTION(" GOOGLETRANSLATE(E33, ""en"", ""am"")"),"ኳሱ እንደ ግብ ለመቁጠር መስመሩን ሙሉ በሙሉ ማለፍ አለበት።")</f>
        <v>ኳሱ እንደ ግብ ለመቁጠር መስመሩን ሙሉ በሙሉ ማለፍ አለበት።</v>
      </c>
    </row>
    <row r="34" ht="22.5" customHeight="1">
      <c r="A34" s="4">
        <v>33.0</v>
      </c>
      <c r="B34" s="4" t="s">
        <v>131</v>
      </c>
      <c r="C34" s="4" t="s">
        <v>132</v>
      </c>
      <c r="D34" s="4" t="s">
        <v>133</v>
      </c>
      <c r="E34" s="4" t="s">
        <v>134</v>
      </c>
      <c r="F34" s="5"/>
      <c r="G34" s="6" t="str">
        <f>IFERROR(__xludf.DUMMYFUNCTION(" GOOGLETRANSLATE(A34, ""en"", ""am"")"),"33")</f>
        <v>33</v>
      </c>
      <c r="H34" s="6" t="str">
        <f>IFERROR(__xludf.DUMMYFUNCTION(" GOOGLETRANSLATE(B34, ""en"", ""am"")"),"ኳሱን ይመቱታል፣ ግን ከመጫወቻው ቦታ ውጭ ያርፋል። የዳኛው ውሳኔ ምንድነው?")</f>
        <v>ኳሱን ይመቱታል፣ ግን ከመጫወቻው ቦታ ውጭ ያርፋል። የዳኛው ውሳኔ ምንድነው?</v>
      </c>
      <c r="I34" s="6" t="str">
        <f>IFERROR(__xludf.DUMMYFUNCTION(" GOOGLETRANSLATE(C34, ""en"", ""am"")"),"ሀ. ለተቃዋሚ ቡድን ቢ ነፃ ሽልማት ይስጡ። ኳሱ ከተመታበት ቦታ ጨዋታውን እንደገና ያስጀምሩት። ለተቃራኒ ቡድን ቅጣት ይስጡ.ዲ. ጨዋታው ቀጥሏል።")</f>
        <v>ሀ. ለተቃዋሚ ቡድን ቢ ነፃ ሽልማት ይስጡ። ኳሱ ከተመታበት ቦታ ጨዋታውን እንደገና ያስጀምሩት። ለተቃራኒ ቡድን ቅጣት ይስጡ.ዲ. ጨዋታው ቀጥሏል።</v>
      </c>
      <c r="J34" s="6" t="str">
        <f>IFERROR(__xludf.DUMMYFUNCTION(" GOOGLETRANSLATE(D34, ""en"", ""am"")"),"ለተቃራኒ ቡድን ነፃ ሽልማት ይስጡ")</f>
        <v>ለተቃራኒ ቡድን ነፃ ሽልማት ይስጡ</v>
      </c>
      <c r="K34" s="6" t="str">
        <f>IFERROR(__xludf.DUMMYFUNCTION(" GOOGLETRANSLATE(E34, ""en"", ""am"")"),"ኳሱን ከሜዳ ውጪ መትቶ ለተጋጣሚ ቡድን የኳስ ቁጥጥር እድል ይሰጣል።")</f>
        <v>ኳሱን ከሜዳ ውጪ መትቶ ለተጋጣሚ ቡድን የኳስ ቁጥጥር እድል ይሰጣል።</v>
      </c>
    </row>
    <row r="35" ht="22.5" customHeight="1">
      <c r="A35" s="4">
        <v>34.0</v>
      </c>
      <c r="B35" s="4" t="s">
        <v>135</v>
      </c>
      <c r="C35" s="4" t="s">
        <v>136</v>
      </c>
      <c r="D35" s="4" t="s">
        <v>137</v>
      </c>
      <c r="E35" s="4" t="s">
        <v>138</v>
      </c>
      <c r="F35" s="5"/>
      <c r="G35" s="6" t="str">
        <f>IFERROR(__xludf.DUMMYFUNCTION(" GOOGLETRANSLATE(A35, ""en"", ""am"")"),"34")</f>
        <v>34</v>
      </c>
      <c r="H35" s="6" t="str">
        <f>IFERROR(__xludf.DUMMYFUNCTION(" GOOGLETRANSLATE(B35, ""en"", ""am"")"),"የእናንተ ቡድን ተጫዋች ከውሳኔ በኋላ ከዳኛው ጋር ተከራከረ። ቀጥሎ ምን ይሆናል?")</f>
        <v>የእናንተ ቡድን ተጫዋች ከውሳኔ በኋላ ከዳኛው ጋር ተከራከረ። ቀጥሎ ምን ይሆናል?</v>
      </c>
      <c r="I35" s="6" t="str">
        <f>IFERROR(__xludf.DUMMYFUNCTION(" GOOGLETRANSLATE(C35, ""en"", ""am"")"),"ሀ. ተጫዋቹ ማስጠንቀቂያ ይደርሰዋል.B. ተጫዋቹ በቀይ ካርድ ከሜዳ ወጥቷል። ጨዋታው ላልተወሰነ ጊዜ ቆሟል።ዲ. ክርክሩ ችላ ይባላል።")</f>
        <v>ሀ. ተጫዋቹ ማስጠንቀቂያ ይደርሰዋል.B. ተጫዋቹ በቀይ ካርድ ከሜዳ ወጥቷል። ጨዋታው ላልተወሰነ ጊዜ ቆሟል።ዲ. ክርክሩ ችላ ይባላል።</v>
      </c>
      <c r="J35" s="6" t="str">
        <f>IFERROR(__xludf.DUMMYFUNCTION(" GOOGLETRANSLATE(D35, ""en"", ""am"")"),"ተጫዋቹ ማስጠንቀቂያ ይደርሰዋል።")</f>
        <v>ተጫዋቹ ማስጠንቀቂያ ይደርሰዋል።</v>
      </c>
      <c r="K35" s="6" t="str">
        <f>IFERROR(__xludf.DUMMYFUNCTION(" GOOGLETRANSLATE(E35, ""en"", ""am"")"),"ከዳኛው ጋር መጨቃጨቅ ወደ ተስፋ መቁረጥ እና ቅጣት ያስከትላል።")</f>
        <v>ከዳኛው ጋር መጨቃጨቅ ወደ ተስፋ መቁረጥ እና ቅጣት ያስከትላል።</v>
      </c>
    </row>
    <row r="36" ht="22.5" customHeight="1">
      <c r="A36" s="4">
        <v>35.0</v>
      </c>
      <c r="B36" s="4" t="s">
        <v>139</v>
      </c>
      <c r="C36" s="4" t="s">
        <v>140</v>
      </c>
      <c r="D36" s="4" t="s">
        <v>141</v>
      </c>
      <c r="E36" s="4" t="s">
        <v>142</v>
      </c>
      <c r="F36" s="5"/>
      <c r="G36" s="6" t="str">
        <f>IFERROR(__xludf.DUMMYFUNCTION(" GOOGLETRANSLATE(A36, ""en"", ""am"")"),"35")</f>
        <v>35</v>
      </c>
      <c r="H36" s="6" t="str">
        <f>IFERROR(__xludf.DUMMYFUNCTION(" GOOGLETRANSLATE(B36, ""en"", ""am"")"),"በትሩ በቁልፍ ምት ወቅት በድንገት ይሰበራል። ምን ማድረግ አለቦት?")</f>
        <v>በትሩ በቁልፍ ምት ወቅት በድንገት ይሰበራል። ምን ማድረግ አለቦት?</v>
      </c>
      <c r="I36" s="6" t="str">
        <f>IFERROR(__xludf.DUMMYFUNCTION(" GOOGLETRANSLATE(C36, ""en"", ""am"")"),"ሀ. በሌላ ዱላ ይቀይሩት.ቢ. እሱን ለማስተካከል ጨዋታውን ለአፍታ አቁም.ሲ. በተሰበረው ዱላ መጫወቱን ይቀጥሉ ዲ. ጨዋታውን እንዲያቆም ዳኛውን ይጠይቁ።")</f>
        <v>ሀ. በሌላ ዱላ ይቀይሩት.ቢ. እሱን ለማስተካከል ጨዋታውን ለአፍታ አቁም.ሲ. በተሰበረው ዱላ መጫወቱን ይቀጥሉ ዲ. ጨዋታውን እንዲያቆም ዳኛውን ይጠይቁ።</v>
      </c>
      <c r="J36" s="6" t="str">
        <f>IFERROR(__xludf.DUMMYFUNCTION(" GOOGLETRANSLATE(D36, ""en"", ""am"")"),"በሌላ ዱላ ይቀይሩት.")</f>
        <v>በሌላ ዱላ ይቀይሩት.</v>
      </c>
      <c r="K36" s="6" t="str">
        <f>IFERROR(__xludf.DUMMYFUNCTION(" GOOGLETRANSLATE(E36, ""en"", ""am"")"),"መሳሪያዎች ከተበላሹ ተጫዋቾች እንጨቶችን እንዲቀይሩ ይፈቀድላቸዋል.")</f>
        <v>መሳሪያዎች ከተበላሹ ተጫዋቾች እንጨቶችን እንዲቀይሩ ይፈቀድላቸዋል.</v>
      </c>
    </row>
    <row r="37" ht="22.5" customHeight="1">
      <c r="A37" s="4">
        <v>36.0</v>
      </c>
      <c r="B37" s="4" t="s">
        <v>143</v>
      </c>
      <c r="C37" s="4" t="s">
        <v>144</v>
      </c>
      <c r="D37" s="4" t="s">
        <v>31</v>
      </c>
      <c r="E37" s="4" t="s">
        <v>145</v>
      </c>
      <c r="F37" s="5"/>
      <c r="G37" s="6" t="str">
        <f>IFERROR(__xludf.DUMMYFUNCTION(" GOOGLETRANSLATE(A37, ""en"", ""am"")"),"36")</f>
        <v>36</v>
      </c>
      <c r="H37" s="6" t="str">
        <f>IFERROR(__xludf.DUMMYFUNCTION(" GOOGLETRANSLATE(B37, ""en"", ""am"")"),"በጨዋታው ወቅት አንድ ተጫዋች ሆን ብሎ ኳሱን ይመታል። የዳኛው ጥሪ ምንድነው?")</f>
        <v>በጨዋታው ወቅት አንድ ተጫዋች ሆን ብሎ ኳሱን ይመታል። የዳኛው ጥሪ ምንድነው?</v>
      </c>
      <c r="I37" s="6" t="str">
        <f>IFERROR(__xludf.DUMMYFUNCTION(" GOOGLETRANSLATE(C37, ""en"", ""am"")"),"ሀ. ጥፋትን አውጅ እና ለተቃራኒ ቡድን የፍፁም ቅጣት ምት ሰጠ። ጨዋታው ቀጥሏል.ሲ. ለተቃራኒ ቡድን ቅጣት ይስጡ.ዲ. ጨዋታውን ከመሃል ላይ እንደገና ያስጀምሩት።")</f>
        <v>ሀ. ጥፋትን አውጅ እና ለተቃራኒ ቡድን የፍፁም ቅጣት ምት ሰጠ። ጨዋታው ቀጥሏል.ሲ. ለተቃራኒ ቡድን ቅጣት ይስጡ.ዲ. ጨዋታውን ከመሃል ላይ እንደገና ያስጀምሩት።</v>
      </c>
      <c r="J37" s="6" t="str">
        <f>IFERROR(__xludf.DUMMYFUNCTION(" GOOGLETRANSLATE(D37, ""en"", ""am"")"),"ጥፋትን ይግለጹ እና ለተጋጣሚ ቡድን የፍፁም ቅጣት ምት ይስጡ።")</f>
        <v>ጥፋትን ይግለጹ እና ለተጋጣሚ ቡድን የፍፁም ቅጣት ምት ይስጡ።</v>
      </c>
      <c r="K37" s="6" t="str">
        <f>IFERROR(__xludf.DUMMYFUNCTION(" GOOGLETRANSLATE(E37, ""en"", ""am"")"),"ኳሱን መምታት አይፈቀድም እና እንደ ጥፋት ይቀጣል።")</f>
        <v>ኳሱን መምታት አይፈቀድም እና እንደ ጥፋት ይቀጣል።</v>
      </c>
    </row>
    <row r="38" ht="22.5" customHeight="1">
      <c r="A38" s="4">
        <v>37.0</v>
      </c>
      <c r="B38" s="4" t="s">
        <v>146</v>
      </c>
      <c r="C38" s="4" t="s">
        <v>147</v>
      </c>
      <c r="D38" s="4" t="s">
        <v>148</v>
      </c>
      <c r="E38" s="4" t="s">
        <v>149</v>
      </c>
      <c r="F38" s="5"/>
      <c r="G38" s="6" t="str">
        <f>IFERROR(__xludf.DUMMYFUNCTION(" GOOGLETRANSLATE(A38, ""en"", ""am"")"),"37")</f>
        <v>37</v>
      </c>
      <c r="H38" s="6" t="str">
        <f>IFERROR(__xludf.DUMMYFUNCTION(" GOOGLETRANSLATE(B38, ""en"", ""am"")"),"የጄና ጨዋታ ከመደበኛው ሰአት በኋላ በአቻ ውጤት ተጠናቋል። ቀጥሎ ምን ይሆናል?")</f>
        <v>የጄና ጨዋታ ከመደበኛው ሰአት በኋላ በአቻ ውጤት ተጠናቋል። ቀጥሎ ምን ይሆናል?</v>
      </c>
      <c r="I38" s="6" t="str">
        <f>IFERROR(__xludf.DUMMYFUNCTION(" GOOGLETRANSLATE(C38, ""en"", ""am"")"),"ሀ. ተጨማሪ ጊዜ ተጫውቷል.B. ጨዋታው በአቻ ውጤት ይጠናቀቃል። ቅጣት ምት ተወስዷል ዲ. ጨዋታው እንደገና ተጀምሯል።")</f>
        <v>ሀ. ተጨማሪ ጊዜ ተጫውቷል.B. ጨዋታው በአቻ ውጤት ይጠናቀቃል። ቅጣት ምት ተወስዷል ዲ. ጨዋታው እንደገና ተጀምሯል።</v>
      </c>
      <c r="J38" s="6" t="str">
        <f>IFERROR(__xludf.DUMMYFUNCTION(" GOOGLETRANSLATE(D38, ""en"", ""am"")"),"ተጨማሪ ጊዜ ተጫውቷል።")</f>
        <v>ተጨማሪ ጊዜ ተጫውቷል።</v>
      </c>
      <c r="K38" s="6" t="str">
        <f>IFERROR(__xludf.DUMMYFUNCTION(" GOOGLETRANSLATE(E38, ""en"", ""am"")"),"ነጥቡ በሚፈጠርበት ጊዜ አሸናፊውን ለመለየት ተጨማሪ ጊዜ ይጠቀማል።")</f>
        <v>ነጥቡ በሚፈጠርበት ጊዜ አሸናፊውን ለመለየት ተጨማሪ ጊዜ ይጠቀማል።</v>
      </c>
    </row>
    <row r="39" ht="22.5" customHeight="1">
      <c r="A39" s="4">
        <v>38.0</v>
      </c>
      <c r="B39" s="4" t="s">
        <v>150</v>
      </c>
      <c r="C39" s="4" t="s">
        <v>151</v>
      </c>
      <c r="D39" s="4" t="s">
        <v>133</v>
      </c>
      <c r="E39" s="4" t="s">
        <v>152</v>
      </c>
      <c r="F39" s="5"/>
      <c r="G39" s="6" t="str">
        <f>IFERROR(__xludf.DUMMYFUNCTION(" GOOGLETRANSLATE(A39, ""en"", ""am"")"),"38")</f>
        <v>38</v>
      </c>
      <c r="H39" s="6" t="str">
        <f>IFERROR(__xludf.DUMMYFUNCTION(" GOOGLETRANSLATE(B39, ""en"", ""am"")"),"በበትርህ ፋንታ የተቃዋሚውን ምት በድንገት በሰውነትህ ትዘጋለህ። የዳኛው ውሳኔ ምንድነው?")</f>
        <v>በበትርህ ፋንታ የተቃዋሚውን ምት በድንገት በሰውነትህ ትዘጋለህ። የዳኛው ውሳኔ ምንድነው?</v>
      </c>
      <c r="I39" s="6" t="str">
        <f>IFERROR(__xludf.DUMMYFUNCTION(" GOOGLETRANSLATE(C39, ""en"", ""am"")"),"ሀ. ጨዋታው ይቀጥላል.ቢ. ለተቃዋሚ ቡድንC ነፃ ሽልማት ይስጡ። ለማስጠንቀቂያ ግጥሚያውን ለአፍታ ያቁሙ።ዲ. ለተጋጣሚ ቡድን ቅጣት ይስጡ።")</f>
        <v>ሀ. ጨዋታው ይቀጥላል.ቢ. ለተቃዋሚ ቡድንC ነፃ ሽልማት ይስጡ። ለማስጠንቀቂያ ግጥሚያውን ለአፍታ ያቁሙ።ዲ. ለተጋጣሚ ቡድን ቅጣት ይስጡ።</v>
      </c>
      <c r="J39" s="6" t="str">
        <f>IFERROR(__xludf.DUMMYFUNCTION(" GOOGLETRANSLATE(D39, ""en"", ""am"")"),"ለተቃራኒ ቡድን ነፃ ሽልማት ይስጡ")</f>
        <v>ለተቃራኒ ቡድን ነፃ ሽልማት ይስጡ</v>
      </c>
      <c r="K39" s="6" t="str">
        <f>IFERROR(__xludf.DUMMYFUNCTION(" GOOGLETRANSLATE(E39, ""en"", ""am"")"),"ኳሱን ለማገድ ሰውነትን መጠቀም እንደ መጥፎ ይቆጠራል።")</f>
        <v>ኳሱን ለማገድ ሰውነትን መጠቀም እንደ መጥፎ ይቆጠራል።</v>
      </c>
    </row>
    <row r="40" ht="22.5" customHeight="1">
      <c r="A40" s="4">
        <v>39.0</v>
      </c>
      <c r="B40" s="4" t="s">
        <v>153</v>
      </c>
      <c r="C40" s="4" t="s">
        <v>154</v>
      </c>
      <c r="D40" s="4" t="s">
        <v>101</v>
      </c>
      <c r="E40" s="4" t="s">
        <v>155</v>
      </c>
      <c r="F40" s="5"/>
      <c r="G40" s="6" t="str">
        <f>IFERROR(__xludf.DUMMYFUNCTION(" GOOGLETRANSLATE(A40, ""en"", ""am"")"),"39")</f>
        <v>39</v>
      </c>
      <c r="H40" s="6" t="str">
        <f>IFERROR(__xludf.DUMMYFUNCTION(" GOOGLETRANSLATE(B40, ""en"", ""am"")"),"ኳሱ ተመትቷል, እና በትክክል በመጫወቻ ቦታው ጠርዝ ላይ ያርፋል. ዳኛው ምን ያደርጋል?")</f>
        <v>ኳሱ ተመትቷል, እና በትክክል በመጫወቻ ቦታው ጠርዝ ላይ ያርፋል. ዳኛው ምን ያደርጋል?</v>
      </c>
      <c r="I40" s="6" t="str">
        <f>IFERROR(__xludf.DUMMYFUNCTION(" GOOGLETRANSLATE(C40, ""en"", ""am"")"),"ሀ. ጨዋታው ይቀጥላል.ቢ. ለተቃዋሚ ቡድንC ነፃ ሽልማት ይስጡ። የኳሱን ቦታ ለመፈተሽ ጨዋታውን ለአፍታ ያቁሙ።ዲ. በተቆልቋይ ኳስ ጨዋታውን እንደገና ያስጀምሩት።")</f>
        <v>ሀ. ጨዋታው ይቀጥላል.ቢ. ለተቃዋሚ ቡድንC ነፃ ሽልማት ይስጡ። የኳሱን ቦታ ለመፈተሽ ጨዋታውን ለአፍታ ያቁሙ።ዲ. በተቆልቋይ ኳስ ጨዋታውን እንደገና ያስጀምሩት።</v>
      </c>
      <c r="J40" s="6" t="str">
        <f>IFERROR(__xludf.DUMMYFUNCTION(" GOOGLETRANSLATE(D40, ""en"", ""am"")"),"ጨዋታው ቀጥሏል።")</f>
        <v>ጨዋታው ቀጥሏል።</v>
      </c>
      <c r="K40" s="6" t="str">
        <f>IFERROR(__xludf.DUMMYFUNCTION(" GOOGLETRANSLATE(E40, ""en"", ""am"")"),"ኳሱ በመስመር ላይ እስካለ ድረስ ጨዋታው ይቀጥላል።")</f>
        <v>ኳሱ በመስመር ላይ እስካለ ድረስ ጨዋታው ይቀጥላል።</v>
      </c>
    </row>
    <row r="41" ht="22.5" customHeight="1">
      <c r="A41" s="4">
        <v>40.0</v>
      </c>
      <c r="B41" s="4" t="s">
        <v>156</v>
      </c>
      <c r="C41" s="4" t="s">
        <v>157</v>
      </c>
      <c r="D41" s="4" t="s">
        <v>158</v>
      </c>
      <c r="E41" s="4" t="s">
        <v>159</v>
      </c>
      <c r="F41" s="5"/>
      <c r="G41" s="6" t="str">
        <f>IFERROR(__xludf.DUMMYFUNCTION(" GOOGLETRANSLATE(A41, ""en"", ""am"")"),"40")</f>
        <v>40</v>
      </c>
      <c r="H41" s="6" t="str">
        <f>IFERROR(__xludf.DUMMYFUNCTION(" GOOGLETRANSLATE(B41, ""en"", ""am"")"),"አንድ ተጫዋች በተራው ለመንቀሳቀስ በጣም ረጅም ጊዜ ይወስዳል። ዳኛው ምን ይወስናል?")</f>
        <v>አንድ ተጫዋች በተራው ለመንቀሳቀስ በጣም ረጅም ጊዜ ይወስዳል። ዳኛው ምን ይወስናል?</v>
      </c>
      <c r="I41" s="6" t="str">
        <f>IFERROR(__xludf.DUMMYFUNCTION(" GOOGLETRANSLATE(C41, ""en"", ""am"")"),"ሀ. ተጫዋቹን አስጠንቅቅ እና ጨዋታውን እንደገና አስጀምር.B. ጨዋታው ቀጥሏል.ሲ. ለተቃዋሚ ቡድን ዲ ነፃ ሽልማት ይስጡ። በጊዜ ጥሰት ጨዋታውን ያቁሙ")</f>
        <v>ሀ. ተጫዋቹን አስጠንቅቅ እና ጨዋታውን እንደገና አስጀምር.B. ጨዋታው ቀጥሏል.ሲ. ለተቃዋሚ ቡድን ዲ ነፃ ሽልማት ይስጡ። በጊዜ ጥሰት ጨዋታውን ያቁሙ</v>
      </c>
      <c r="J41" s="6" t="str">
        <f>IFERROR(__xludf.DUMMYFUNCTION(" GOOGLETRANSLATE(D41, ""en"", ""am"")"),"ተጫዋቹን አስጠንቅቁ እና እንደገና መጫወቱን ያስጀምሩ።")</f>
        <v>ተጫዋቹን አስጠንቅቁ እና እንደገና መጫወቱን ያስጀምሩ።</v>
      </c>
      <c r="K41" s="6" t="str">
        <f>IFERROR(__xludf.DUMMYFUNCTION(" GOOGLETRANSLATE(E41, ""en"", ""am"")"),"የጨዋታ ፍሰትን ለመጠበቅ መዘግየቶች በማስጠንቀቂያዎች ይያዛሉ።")</f>
        <v>የጨዋታ ፍሰትን ለመጠበቅ መዘግየቶች በማስጠንቀቂያዎች ይያዛሉ።</v>
      </c>
    </row>
    <row r="42" ht="22.5" customHeight="1">
      <c r="A42" s="4">
        <v>41.0</v>
      </c>
      <c r="B42" s="4" t="s">
        <v>160</v>
      </c>
      <c r="C42" s="4" t="s">
        <v>161</v>
      </c>
      <c r="D42" s="4" t="s">
        <v>162</v>
      </c>
      <c r="E42" s="4" t="s">
        <v>163</v>
      </c>
      <c r="F42" s="5"/>
      <c r="G42" s="6" t="str">
        <f>IFERROR(__xludf.DUMMYFUNCTION(" GOOGLETRANSLATE(A42, ""en"", ""am"")"),"41")</f>
        <v>41</v>
      </c>
      <c r="H42" s="6" t="str">
        <f>IFERROR(__xludf.DUMMYFUNCTION(" GOOGLETRANSLATE(B42, ""en"", ""am"")"),"ቡድንህ ጎል አስቆጥሯል፣ ዳኛው ግን ተጫዋቹህ በተጋጣሚው ግብ ጠባቂ ላይ ጣልቃ እንደገባ አይተዋል። ውጤቱስ ምንድን ነው?")</f>
        <v>ቡድንህ ጎል አስቆጥሯል፣ ዳኛው ግን ተጫዋቹህ በተጋጣሚው ግብ ጠባቂ ላይ ጣልቃ እንደገባ አይተዋል። ውጤቱስ ምንድን ነው?</v>
      </c>
      <c r="I42" s="6" t="str">
        <f>IFERROR(__xludf.DUMMYFUNCTION(" GOOGLETRANSLATE(C42, ""en"", ""am"")"),"ሀ. ግቡ የተከለከለ ነው.ቢ. ግቡ ተሸልሟል.ሲ. ለተጋጣሚ ቡድን የተሰጠ ቅጣት ዲ. ጨዋታው ከመሃል ተጀመረ።")</f>
        <v>ሀ. ግቡ የተከለከለ ነው.ቢ. ግቡ ተሸልሟል.ሲ. ለተጋጣሚ ቡድን የተሰጠ ቅጣት ዲ. ጨዋታው ከመሃል ተጀመረ።</v>
      </c>
      <c r="J42" s="6" t="str">
        <f>IFERROR(__xludf.DUMMYFUNCTION(" GOOGLETRANSLATE(D42, ""en"", ""am"")"),"ግቡ የተከለከለ ነው.")</f>
        <v>ግቡ የተከለከለ ነው.</v>
      </c>
      <c r="K42" s="6" t="str">
        <f>IFERROR(__xludf.DUMMYFUNCTION(" GOOGLETRANSLATE(E42, ""en"", ""am"")"),"በረኛው ላይ ጣልቃ መግባት ግቡን ዋጋ አልባ ያደርገዋል።")</f>
        <v>በረኛው ላይ ጣልቃ መግባት ግቡን ዋጋ አልባ ያደርገዋል።</v>
      </c>
    </row>
    <row r="43" ht="22.5" customHeight="1">
      <c r="A43" s="4">
        <v>42.0</v>
      </c>
      <c r="B43" s="4" t="s">
        <v>164</v>
      </c>
      <c r="C43" s="4" t="s">
        <v>165</v>
      </c>
      <c r="D43" s="4" t="s">
        <v>166</v>
      </c>
      <c r="E43" s="4" t="s">
        <v>167</v>
      </c>
      <c r="F43" s="5"/>
      <c r="G43" s="6" t="str">
        <f>IFERROR(__xludf.DUMMYFUNCTION(" GOOGLETRANSLATE(A43, ""en"", ""am"")"),"42")</f>
        <v>42</v>
      </c>
      <c r="H43" s="6" t="str">
        <f>IFERROR(__xludf.DUMMYFUNCTION(" GOOGLETRANSLATE(B43, ""en"", ""am"")"),"ኳሱ ከሜዳው አጠገብ ያለውን ዛፍ በመምታት ወደ ጨዋታው ይመለሳል። ዳኛው ምን ያደርጋል?")</f>
        <v>ኳሱ ከሜዳው አጠገብ ያለውን ዛፍ በመምታት ወደ ጨዋታው ይመለሳል። ዳኛው ምን ያደርጋል?</v>
      </c>
      <c r="I43" s="6" t="str">
        <f>IFERROR(__xludf.DUMMYFUNCTION(" GOOGLETRANSLATE(C43, ""en"", ""am"")"),"ሀ. ጨዋታውን ለአፍታ አቁም እና በተጣለ ኳስ እንደገና ያስጀምሩት። ጨዋታው ቀጥሏል.ሲ. የሽልማት ባለቤትነት ለተቃዋሚ ቡድን ዲ. ለቡድንዎ ነፃ ሽልማት ይስጡ")</f>
        <v>ሀ. ጨዋታውን ለአፍታ አቁም እና በተጣለ ኳስ እንደገና ያስጀምሩት። ጨዋታው ቀጥሏል.ሲ. የሽልማት ባለቤትነት ለተቃዋሚ ቡድን ዲ. ለቡድንዎ ነፃ ሽልማት ይስጡ</v>
      </c>
      <c r="J43" s="6" t="str">
        <f>IFERROR(__xludf.DUMMYFUNCTION(" GOOGLETRANSLATE(D43, ""en"", ""am"")"),"ጨዋታውን ለአፍታ አቁም እና በተጣለ ኳስ እንደገና ያስጀምሩት።")</f>
        <v>ጨዋታውን ለአፍታ አቁም እና በተጣለ ኳስ እንደገና ያስጀምሩት።</v>
      </c>
      <c r="K43" s="6" t="str">
        <f>IFERROR(__xludf.DUMMYFUNCTION(" GOOGLETRANSLATE(E43, ""en"", ""am"")"),"ውጫዊ ጣልቃገብነት ጨዋታው ባለበት እንዲቆም ይጠይቃል።")</f>
        <v>ውጫዊ ጣልቃገብነት ጨዋታው ባለበት እንዲቆም ይጠይቃል።</v>
      </c>
    </row>
    <row r="44" ht="22.5" customHeight="1">
      <c r="A44" s="4">
        <v>43.0</v>
      </c>
      <c r="B44" s="4" t="s">
        <v>168</v>
      </c>
      <c r="C44" s="4" t="s">
        <v>169</v>
      </c>
      <c r="D44" s="4" t="s">
        <v>170</v>
      </c>
      <c r="E44" s="4" t="s">
        <v>171</v>
      </c>
      <c r="F44" s="5"/>
      <c r="G44" s="6" t="str">
        <f>IFERROR(__xludf.DUMMYFUNCTION(" GOOGLETRANSLATE(A44, ""en"", ""am"")"),"43")</f>
        <v>43</v>
      </c>
      <c r="H44" s="6" t="str">
        <f>IFERROR(__xludf.DUMMYFUNCTION(" GOOGLETRANSLATE(B44, ""en"", ""am"")"),"በጨዋታው ወቅት ተቃዋሚ ሆን ብሎ ይገፋል። ዳኛው ምን ይወስናል?")</f>
        <v>በጨዋታው ወቅት ተቃዋሚ ሆን ብሎ ይገፋል። ዳኛው ምን ይወስናል?</v>
      </c>
      <c r="I44" s="6" t="str">
        <f>IFERROR(__xludf.DUMMYFUNCTION(" GOOGLETRANSLATE(C44, ""en"", ""am"")"),"ሀ. ለቡድንዎ ነፃ ሽልማት ይስጡ ሁለቱንም ተጫዋቾች አስጠንቅቅ። ጨዋታው ይቀጥላል.ዲ. ጨዋታውን ከመሃል ላይ እንደገና ያስጀምሩት።")</f>
        <v>ሀ. ለቡድንዎ ነፃ ሽልማት ይስጡ ሁለቱንም ተጫዋቾች አስጠንቅቅ። ጨዋታው ይቀጥላል.ዲ. ጨዋታውን ከመሃል ላይ እንደገና ያስጀምሩት።</v>
      </c>
      <c r="J44" s="6" t="str">
        <f>IFERROR(__xludf.DUMMYFUNCTION(" GOOGLETRANSLATE(D44, ""en"", ""am"")"),"ለቡድንዎ ነፃ ሽልማት ይስጡ")</f>
        <v>ለቡድንዎ ነፃ ሽልማት ይስጡ</v>
      </c>
      <c r="K44" s="6" t="str">
        <f>IFERROR(__xludf.DUMMYFUNCTION(" GOOGLETRANSLATE(E44, ""en"", ""am"")"),"ሆን ተብሎ መግፋት ፍፁም ቅጣት ምት ነው።")</f>
        <v>ሆን ተብሎ መግፋት ፍፁም ቅጣት ምት ነው።</v>
      </c>
    </row>
    <row r="45" ht="22.5" customHeight="1">
      <c r="A45" s="4">
        <v>44.0</v>
      </c>
      <c r="B45" s="4" t="s">
        <v>172</v>
      </c>
      <c r="C45" s="4" t="s">
        <v>173</v>
      </c>
      <c r="D45" s="4" t="s">
        <v>43</v>
      </c>
      <c r="E45" s="4" t="s">
        <v>174</v>
      </c>
      <c r="F45" s="5"/>
      <c r="G45" s="6" t="str">
        <f>IFERROR(__xludf.DUMMYFUNCTION(" GOOGLETRANSLATE(A45, ""en"", ""am"")"),"44")</f>
        <v>44</v>
      </c>
      <c r="H45" s="6" t="str">
        <f>IFERROR(__xludf.DUMMYFUNCTION(" GOOGLETRANSLATE(B45, ""en"", ""am"")"),"ዳኛው ፊሽካውን ይነፋል አንተ ግን ተጫውተህ ጎል አስቆጥረሃል። ምን ይሆናል?")</f>
        <v>ዳኛው ፊሽካውን ይነፋል አንተ ግን ተጫውተህ ጎል አስቆጥረሃል። ምን ይሆናል?</v>
      </c>
      <c r="I45" s="6" t="str">
        <f>IFERROR(__xludf.DUMMYFUNCTION(" GOOGLETRANSLATE(C45, ""en"", ""am"")"),"ሀ. ግቡ ልክ ያልሆነ ነው.ቢ. ግቡ ተሸልሟል.ሲ. ቡድንህ ተቀጥቷል.ዲ. ጨዋታው ከመሃል ተጀመረ።")</f>
        <v>ሀ. ግቡ ልክ ያልሆነ ነው.ቢ. ግቡ ተሸልሟል.ሲ. ቡድንህ ተቀጥቷል.ዲ. ጨዋታው ከመሃል ተጀመረ።</v>
      </c>
      <c r="J45" s="6" t="str">
        <f>IFERROR(__xludf.DUMMYFUNCTION(" GOOGLETRANSLATE(D45, ""en"", ""am"")"),"ግቡ ልክ ያልሆነ ነው።")</f>
        <v>ግቡ ልክ ያልሆነ ነው።</v>
      </c>
      <c r="K45" s="6" t="str">
        <f>IFERROR(__xludf.DUMMYFUNCTION(" GOOGLETRANSLATE(E45, ""en"", ""am"")"),"ከፉጨት በኋላ የተቆጠሩት ግቦች አይቆጠሩም።")</f>
        <v>ከፉጨት በኋላ የተቆጠሩት ግቦች አይቆጠሩም።</v>
      </c>
    </row>
    <row r="46" ht="22.5" customHeight="1">
      <c r="A46" s="4">
        <v>45.0</v>
      </c>
      <c r="B46" s="4" t="s">
        <v>175</v>
      </c>
      <c r="C46" s="4" t="s">
        <v>176</v>
      </c>
      <c r="D46" s="4" t="s">
        <v>177</v>
      </c>
      <c r="E46" s="4" t="s">
        <v>178</v>
      </c>
      <c r="F46" s="5"/>
      <c r="G46" s="6" t="str">
        <f>IFERROR(__xludf.DUMMYFUNCTION(" GOOGLETRANSLATE(A46, ""en"", ""am"")"),"45")</f>
        <v>45</v>
      </c>
      <c r="H46" s="6" t="str">
        <f>IFERROR(__xludf.DUMMYFUNCTION(" GOOGLETRANSLATE(B46, ""en"", ""am"")"),"የቡድን ጓደኛዎ በድንገት ኳሱን ወደ እርስዎ ይመታል። ምን ማድረግ አለቦት?")</f>
        <v>የቡድን ጓደኛዎ በድንገት ኳሱን ወደ እርስዎ ይመታል። ምን ማድረግ አለቦት?</v>
      </c>
      <c r="I46" s="6" t="str">
        <f>IFERROR(__xludf.DUMMYFUNCTION(" GOOGLETRANSLATE(C46, ""en"", ""am"")"),"ሀ. ጎል አስጠብቆ ኳሱን አጥራ። ኳሱ ወደ ጎል ይገባል.ሲ. ጨዋታውን ለአፍታ እንዲያቆም ዳኛውን ይጠይቁ።ዲ. ተቃራኒ ተጫዋች ምላሽ እስኪሰጥ ይጠብቁ።")</f>
        <v>ሀ. ጎል አስጠብቆ ኳሱን አጥራ። ኳሱ ወደ ጎል ይገባል.ሲ. ጨዋታውን ለአፍታ እንዲያቆም ዳኛውን ይጠይቁ።ዲ. ተቃራኒ ተጫዋች ምላሽ እስኪሰጥ ይጠብቁ።</v>
      </c>
      <c r="J46" s="6" t="str">
        <f>IFERROR(__xludf.DUMMYFUNCTION(" GOOGLETRANSLATE(D46, ""en"", ""am"")"),"ጎል ይከላከሉ እና ኳሱን ያፅዱ።")</f>
        <v>ጎል ይከላከሉ እና ኳሱን ያፅዱ።</v>
      </c>
      <c r="K46" s="6" t="str">
        <f>IFERROR(__xludf.DUMMYFUNCTION(" GOOGLETRANSLATE(E46, ""en"", ""am"")"),"ተጨዋቾች ጎል እንዳይቆጠርበት የራሳቸውን ጎል መከላከል ይችላሉ።")</f>
        <v>ተጨዋቾች ጎል እንዳይቆጠርበት የራሳቸውን ጎል መከላከል ይችላሉ።</v>
      </c>
    </row>
    <row r="47" ht="22.5" customHeight="1">
      <c r="A47" s="4">
        <v>46.0</v>
      </c>
      <c r="B47" s="4" t="s">
        <v>179</v>
      </c>
      <c r="C47" s="4" t="s">
        <v>180</v>
      </c>
      <c r="D47" s="4" t="s">
        <v>43</v>
      </c>
      <c r="E47" s="4" t="s">
        <v>181</v>
      </c>
      <c r="F47" s="5"/>
      <c r="G47" s="6" t="str">
        <f>IFERROR(__xludf.DUMMYFUNCTION(" GOOGLETRANSLATE(A47, ""en"", ""am"")"),"46")</f>
        <v>46</v>
      </c>
      <c r="H47" s="6" t="str">
        <f>IFERROR(__xludf.DUMMYFUNCTION(" GOOGLETRANSLATE(B47, ""en"", ""am"")"),"ድንገተኛ የንፋስ ነበልባል ኳሱን ሳይመታ ወደ ግቡ ያንቀሳቅሰዋል። ዳኛው ምን ይወስናል?")</f>
        <v>ድንገተኛ የንፋስ ነበልባል ኳሱን ሳይመታ ወደ ግቡ ያንቀሳቅሰዋል። ዳኛው ምን ይወስናል?</v>
      </c>
      <c r="I47" s="6" t="str">
        <f>IFERROR(__xludf.DUMMYFUNCTION(" GOOGLETRANSLATE(C47, ""en"", ""am"")"),"ሀ. ግቡ ልክ ያልሆነ ነው.ቢ. ግቡ ተሸልሟል.ሲ. ለተጋጣሚ ቡድን የተሰጠ ቅጣት ዲ. በተቆልቋይ ኳስ ጨዋታውን እንደገና ያስጀምሩት።")</f>
        <v>ሀ. ግቡ ልክ ያልሆነ ነው.ቢ. ግቡ ተሸልሟል.ሲ. ለተጋጣሚ ቡድን የተሰጠ ቅጣት ዲ. በተቆልቋይ ኳስ ጨዋታውን እንደገና ያስጀምሩት።</v>
      </c>
      <c r="J47" s="6" t="str">
        <f>IFERROR(__xludf.DUMMYFUNCTION(" GOOGLETRANSLATE(D47, ""en"", ""am"")"),"ግቡ ልክ ያልሆነ ነው።")</f>
        <v>ግቡ ልክ ያልሆነ ነው።</v>
      </c>
      <c r="K47" s="6" t="str">
        <f>IFERROR(__xludf.DUMMYFUNCTION(" GOOGLETRANSLATE(E47, ""en"", ""am"")"),"ግቦች መቆጠር ያለባቸው በተጫዋቾች እንጂ በውጫዊ ሁኔታዎች አይደለም።")</f>
        <v>ግቦች መቆጠር ያለባቸው በተጫዋቾች እንጂ በውጫዊ ሁኔታዎች አይደለም።</v>
      </c>
    </row>
    <row r="48" ht="22.5" customHeight="1">
      <c r="A48" s="4">
        <v>47.0</v>
      </c>
      <c r="B48" s="4" t="s">
        <v>182</v>
      </c>
      <c r="C48" s="4" t="s">
        <v>183</v>
      </c>
      <c r="D48" s="4" t="s">
        <v>78</v>
      </c>
      <c r="E48" s="4" t="s">
        <v>184</v>
      </c>
      <c r="F48" s="5"/>
      <c r="G48" s="6" t="str">
        <f>IFERROR(__xludf.DUMMYFUNCTION(" GOOGLETRANSLATE(A48, ""en"", ""am"")"),"47")</f>
        <v>47</v>
      </c>
      <c r="H48" s="6" t="str">
        <f>IFERROR(__xludf.DUMMYFUNCTION(" GOOGLETRANSLATE(B48, ""en"", ""am"")"),"ኳሱ ሁለት ተጋጣሚዎችን በመምታት ወደ ጎል ገባ። ዳኛው ምን ይላሉ?")</f>
        <v>ኳሱ ሁለት ተጋጣሚዎችን በመምታት ወደ ጎል ገባ። ዳኛው ምን ይላሉ?</v>
      </c>
      <c r="I48" s="6" t="str">
        <f>IFERROR(__xludf.DUMMYFUNCTION(" GOOGLETRANSLATE(C48, ""en"", ""am"")"),"ሀ. ግቡ ትክክል ነው.B. ግቡ ልክ ያልሆነ ነው።ሲ. ለተቃራኒ ቡድን ቅጣት ይስጡ.ዲ. ጨዋታውን ከመሃል ላይ እንደገና ያስጀምሩት።")</f>
        <v>ሀ. ግቡ ትክክል ነው.B. ግቡ ልክ ያልሆነ ነው።ሲ. ለተቃራኒ ቡድን ቅጣት ይስጡ.ዲ. ጨዋታውን ከመሃል ላይ እንደገና ያስጀምሩት።</v>
      </c>
      <c r="J48" s="6" t="str">
        <f>IFERROR(__xludf.DUMMYFUNCTION(" GOOGLETRANSLATE(D48, ""en"", ""am"")"),"ግቡ ትክክል ነው።")</f>
        <v>ግቡ ትክክል ነው።</v>
      </c>
      <c r="K48" s="6" t="str">
        <f>IFERROR(__xludf.DUMMYFUNCTION(" GOOGLETRANSLATE(E48, ""en"", ""am"")"),"ኳሱ ወደ ጎል ከመግባቱ በፊት ተቃራኒውን ቢነካም ግቦች ትክክለኛ ናቸው።")</f>
        <v>ኳሱ ወደ ጎል ከመግባቱ በፊት ተቃራኒውን ቢነካም ግቦች ትክክለኛ ናቸው።</v>
      </c>
    </row>
    <row r="49" ht="22.5" customHeight="1">
      <c r="A49" s="4">
        <v>48.0</v>
      </c>
      <c r="B49" s="4" t="s">
        <v>185</v>
      </c>
      <c r="C49" s="4" t="s">
        <v>186</v>
      </c>
      <c r="D49" s="4" t="s">
        <v>187</v>
      </c>
      <c r="E49" s="4" t="s">
        <v>188</v>
      </c>
      <c r="F49" s="5"/>
      <c r="G49" s="6" t="str">
        <f>IFERROR(__xludf.DUMMYFUNCTION(" GOOGLETRANSLATE(A49, ""en"", ""am"")"),"48")</f>
        <v>48</v>
      </c>
      <c r="H49" s="6" t="str">
        <f>IFERROR(__xludf.DUMMYFUNCTION(" GOOGLETRANSLATE(B49, ""en"", ""am"")"),"በአድማ ወቅት፣ ዱላዎ በድንገት የተጫዋቹን ዱላ ይነካል። ምን ይሆናል?")</f>
        <v>በአድማ ወቅት፣ ዱላዎ በድንገት የተጫዋቹን ዱላ ይነካል። ምን ይሆናል?</v>
      </c>
      <c r="I49" s="6" t="str">
        <f>IFERROR(__xludf.DUMMYFUNCTION(" GOOGLETRANSLATE(C49, ""en"", ""am"")"),"ሀ. ዳኛው ማስጠንቀቂያ ሰጥተዋል.B. ጨዋታው እንደተለመደው ቀጥሏል.ሲ. ዳኛው ለተጋጣሚ ቡድን የፍፁም ቅጣት ምት ሰጥተዋል። ጨዋታው ለግምገማ ቆሟል።")</f>
        <v>ሀ. ዳኛው ማስጠንቀቂያ ሰጥተዋል.B. ጨዋታው እንደተለመደው ቀጥሏል.ሲ. ዳኛው ለተጋጣሚ ቡድን የፍፁም ቅጣት ምት ሰጥተዋል። ጨዋታው ለግምገማ ቆሟል።</v>
      </c>
      <c r="J49" s="6" t="str">
        <f>IFERROR(__xludf.DUMMYFUNCTION(" GOOGLETRANSLATE(D49, ""en"", ""am"")"),"ጨዋታው እንደተለመደው ቀጥሏል።")</f>
        <v>ጨዋታው እንደተለመደው ቀጥሏል።</v>
      </c>
      <c r="K49" s="6" t="str">
        <f>IFERROR(__xludf.DUMMYFUNCTION(" GOOGLETRANSLATE(E49, ""en"", ""am"")"),"በዱላዎች መካከል ተራ ግንኙነት አይቀጣም.")</f>
        <v>በዱላዎች መካከል ተራ ግንኙነት አይቀጣም.</v>
      </c>
    </row>
    <row r="50" ht="22.5" customHeight="1">
      <c r="A50" s="4">
        <v>49.0</v>
      </c>
      <c r="B50" s="4" t="s">
        <v>189</v>
      </c>
      <c r="C50" s="4" t="s">
        <v>190</v>
      </c>
      <c r="D50" s="4" t="s">
        <v>166</v>
      </c>
      <c r="E50" s="4" t="s">
        <v>191</v>
      </c>
      <c r="F50" s="5"/>
      <c r="G50" s="6" t="str">
        <f>IFERROR(__xludf.DUMMYFUNCTION(" GOOGLETRANSLATE(A50, ""en"", ""am"")"),"49")</f>
        <v>49</v>
      </c>
      <c r="H50" s="6" t="str">
        <f>IFERROR(__xludf.DUMMYFUNCTION(" GOOGLETRANSLATE(B50, ""en"", ""am"")"),"በጨዋታ ጊዜ ውሻ ወደ ሜዳው ሮጦ ኳሱን ያቆማል። ዳኛው ምን ያደርጋል?")</f>
        <v>በጨዋታ ጊዜ ውሻ ወደ ሜዳው ሮጦ ኳሱን ያቆማል። ዳኛው ምን ያደርጋል?</v>
      </c>
      <c r="I50" s="6" t="str">
        <f>IFERROR(__xludf.DUMMYFUNCTION(" GOOGLETRANSLATE(C50, ""en"", ""am"")"),"ሀ. ጨዋታውን ለአፍታ አቁም እና በተጣለ ኳስ እንደገና ያስጀምሩት። ለቡድንዎ ነፃ ሽልማት ይስጡ ጨዋታው ይቀጥላል.ዲ. ለተቃዋሚ ቡድን የሽልማት ባለቤትነት")</f>
        <v>ሀ. ጨዋታውን ለአፍታ አቁም እና በተጣለ ኳስ እንደገና ያስጀምሩት። ለቡድንዎ ነፃ ሽልማት ይስጡ ጨዋታው ይቀጥላል.ዲ. ለተቃዋሚ ቡድን የሽልማት ባለቤትነት</v>
      </c>
      <c r="J50" s="6" t="str">
        <f>IFERROR(__xludf.DUMMYFUNCTION(" GOOGLETRANSLATE(D50, ""en"", ""am"")"),"ጨዋታውን ለአፍታ አቁም እና በተጣለ ኳስ እንደገና ያስጀምሩት።")</f>
        <v>ጨዋታውን ለአፍታ አቁም እና በተጣለ ኳስ እንደገና ያስጀምሩት።</v>
      </c>
      <c r="K50" s="6" t="str">
        <f>IFERROR(__xludf.DUMMYFUNCTION(" GOOGLETRANSLATE(E50, ""en"", ""am"")"),"የውጭ ጣልቃ ገብነት ጨዋታው ባለበት እንዲቆም ይፈልጋል።")</f>
        <v>የውጭ ጣልቃ ገብነት ጨዋታው ባለበት እንዲቆም ይፈልጋል።</v>
      </c>
    </row>
    <row r="51" ht="22.5" customHeight="1">
      <c r="A51" s="4">
        <v>50.0</v>
      </c>
      <c r="B51" s="4" t="s">
        <v>192</v>
      </c>
      <c r="C51" s="4" t="s">
        <v>193</v>
      </c>
      <c r="D51" s="4" t="s">
        <v>187</v>
      </c>
      <c r="E51" s="4" t="s">
        <v>194</v>
      </c>
      <c r="F51" s="5"/>
      <c r="G51" s="6" t="str">
        <f>IFERROR(__xludf.DUMMYFUNCTION(" GOOGLETRANSLATE(A51, ""en"", ""am"")"),"50")</f>
        <v>50</v>
      </c>
      <c r="H51" s="6" t="str">
        <f>IFERROR(__xludf.DUMMYFUNCTION(" GOOGLETRANSLATE(B51, ""en"", ""am"")"),"በአጋጣሚ ኳሱን ወደ ኋላ በመምታት ኳሱን ለተጋጣሚ ቡድን ይሰጣሉ። ምን ይሆናል?")</f>
        <v>በአጋጣሚ ኳሱን ወደ ኋላ በመምታት ኳሱን ለተጋጣሚ ቡድን ይሰጣሉ። ምን ይሆናል?</v>
      </c>
      <c r="I51" s="6" t="str">
        <f>IFERROR(__xludf.DUMMYFUNCTION(" GOOGLETRANSLATE(C51, ""en"", ""am"")"),"ሀ. ጨዋታው እንደተለመደው ይቀጥላል.ቢ. ዳኛው ለቡድንዎ ነፃ ሽልማት ይሰጣል.ሲ. ዳኛው ጨዋታውን ለአፍታ አቁሟል።ዲ. ለተቃራኒ ቡድን ቅጣት ተሰጠ።")</f>
        <v>ሀ. ጨዋታው እንደተለመደው ይቀጥላል.ቢ. ዳኛው ለቡድንዎ ነፃ ሽልማት ይሰጣል.ሲ. ዳኛው ጨዋታውን ለአፍታ አቁሟል።ዲ. ለተቃራኒ ቡድን ቅጣት ተሰጠ።</v>
      </c>
      <c r="J51" s="6" t="str">
        <f>IFERROR(__xludf.DUMMYFUNCTION(" GOOGLETRANSLATE(D51, ""en"", ""am"")"),"ጨዋታው እንደተለመደው ቀጥሏል።")</f>
        <v>ጨዋታው እንደተለመደው ቀጥሏል።</v>
      </c>
      <c r="K51" s="6" t="str">
        <f>IFERROR(__xludf.DUMMYFUNCTION(" GOOGLETRANSLATE(E51, ""en"", ""am"")"),"ሆን ተብሎ ካልሆነ በቀር ከኋላ የሚደረጉ ጥቃቶች አይቀጡም።")</f>
        <v>ሆን ተብሎ ካልሆነ በቀር ከኋላ የሚደረጉ ጥቃቶች አይቀጡም።</v>
      </c>
    </row>
    <row r="52" ht="22.5" customHeight="1">
      <c r="A52" s="4">
        <v>51.0</v>
      </c>
      <c r="B52" s="4" t="s">
        <v>195</v>
      </c>
      <c r="C52" s="4" t="s">
        <v>196</v>
      </c>
      <c r="D52" s="4" t="s">
        <v>101</v>
      </c>
      <c r="E52" s="4" t="s">
        <v>197</v>
      </c>
      <c r="F52" s="5"/>
      <c r="G52" s="6" t="str">
        <f>IFERROR(__xludf.DUMMYFUNCTION(" GOOGLETRANSLATE(A52, ""en"", ""am"")"),"51")</f>
        <v>51</v>
      </c>
      <c r="H52" s="6" t="str">
        <f>IFERROR(__xludf.DUMMYFUNCTION(" GOOGLETRANSLATE(B52, ""en"", ""am"")"),"በጨዋታው ወቅት የተቃዋሚ ዱላ ይሰበራል፣ ነገር ግን እሱን ሳይተኩ መጫወቱን ቀጥለዋል። የዳኛው ውሳኔ ምንድነው?")</f>
        <v>በጨዋታው ወቅት የተቃዋሚ ዱላ ይሰበራል፣ ነገር ግን እሱን ሳይተኩ መጫወቱን ቀጥለዋል። የዳኛው ውሳኔ ምንድነው?</v>
      </c>
      <c r="I52" s="6" t="str">
        <f>IFERROR(__xludf.DUMMYFUNCTION(" GOOGLETRANSLATE(C52, ""en"", ""am"")"),"ሀ. ጨዋታው ይቀጥላል.ቢ. ጨዋታውን ለአፍታ አቁም እና ማስጠንቀቂያ ስጥ ሲ. ለቡድንዎ ነፃ ሽልማት ይስጡ። በተቆልቋይ ኳስ ጨዋታውን እንደገና ያስጀምሩት።")</f>
        <v>ሀ. ጨዋታው ይቀጥላል.ቢ. ጨዋታውን ለአፍታ አቁም እና ማስጠንቀቂያ ስጥ ሲ. ለቡድንዎ ነፃ ሽልማት ይስጡ። በተቆልቋይ ኳስ ጨዋታውን እንደገና ያስጀምሩት።</v>
      </c>
      <c r="J52" s="6" t="str">
        <f>IFERROR(__xludf.DUMMYFUNCTION(" GOOGLETRANSLATE(D52, ""en"", ""am"")"),"ጨዋታው ቀጥሏል።")</f>
        <v>ጨዋታው ቀጥሏል።</v>
      </c>
      <c r="K52" s="6" t="str">
        <f>IFERROR(__xludf.DUMMYFUNCTION(" GOOGLETRANSLATE(E52, ""en"", ""am"")"),"ለደህንነት ስጋት ካልሆነ በስተቀር በተሰበረ እንጨት መጫወት መቀጠል ይፈቀዳል.")</f>
        <v>ለደህንነት ስጋት ካልሆነ በስተቀር በተሰበረ እንጨት መጫወት መቀጠል ይፈቀዳል.</v>
      </c>
    </row>
    <row r="53" ht="22.5" customHeight="1">
      <c r="A53" s="4">
        <v>52.0</v>
      </c>
      <c r="B53" s="4" t="s">
        <v>198</v>
      </c>
      <c r="C53" s="4" t="s">
        <v>199</v>
      </c>
      <c r="D53" s="4" t="s">
        <v>200</v>
      </c>
      <c r="E53" s="4" t="s">
        <v>201</v>
      </c>
      <c r="F53" s="5"/>
      <c r="G53" s="6" t="str">
        <f>IFERROR(__xludf.DUMMYFUNCTION(" GOOGLETRANSLATE(A53, ""en"", ""am"")"),"52")</f>
        <v>52</v>
      </c>
      <c r="H53" s="6" t="str">
        <f>IFERROR(__xludf.DUMMYFUNCTION(" GOOGLETRANSLATE(B53, ""en"", ""am"")"),"የቡድንህ ግብ ጠባቂ ዱላውን ከመጠቀም ይልቅ ኳሱን በእጁ ይይዛል። ምን ይሆናል?")</f>
        <v>የቡድንህ ግብ ጠባቂ ዱላውን ከመጠቀም ይልቅ ኳሱን በእጁ ይይዛል። ምን ይሆናል?</v>
      </c>
      <c r="I53" s="6" t="str">
        <f>IFERROR(__xludf.DUMMYFUNCTION(" GOOGLETRANSLATE(C53, ""en"", ""am"")"),"ሀ. የተጋጣሚ ቡድን ተቀጥቷል ለ. ጨዋታው ቀጥሏል.ሲ. ቡድንዎ ማስጠንቀቂያ ተሰጥቶታል.ዲ. ግቡ ከተቆጠረ, የተከለከለ ነው.")</f>
        <v>ሀ. የተጋጣሚ ቡድን ተቀጥቷል ለ. ጨዋታው ቀጥሏል.ሲ. ቡድንዎ ማስጠንቀቂያ ተሰጥቶታል.ዲ. ግቡ ከተቆጠረ, የተከለከለ ነው.</v>
      </c>
      <c r="J53" s="6" t="str">
        <f>IFERROR(__xludf.DUMMYFUNCTION(" GOOGLETRANSLATE(D53, ""en"", ""am"")"),"ተቃራኒ ቡድን ተቀጥቷል።")</f>
        <v>ተቃራኒ ቡድን ተቀጥቷል።</v>
      </c>
      <c r="K53" s="6" t="str">
        <f>IFERROR(__xludf.DUMMYFUNCTION(" GOOGLETRANSLATE(E53, ""en"", ""am"")"),"ግብ ጠባቂዎች እጃቸውን መጠቀም አይችሉም; ቅጣት ያስከትላል.")</f>
        <v>ግብ ጠባቂዎች እጃቸውን መጠቀም አይችሉም; ቅጣት ያስከትላል.</v>
      </c>
    </row>
    <row r="54" ht="22.5" customHeight="1">
      <c r="A54" s="4">
        <v>53.0</v>
      </c>
      <c r="B54" s="4" t="s">
        <v>202</v>
      </c>
      <c r="C54" s="4" t="s">
        <v>203</v>
      </c>
      <c r="D54" s="4" t="s">
        <v>166</v>
      </c>
      <c r="E54" s="4" t="s">
        <v>204</v>
      </c>
      <c r="F54" s="5"/>
      <c r="G54" s="6" t="str">
        <f>IFERROR(__xludf.DUMMYFUNCTION(" GOOGLETRANSLATE(A54, ""en"", ""am"")"),"53")</f>
        <v>53</v>
      </c>
      <c r="H54" s="6" t="str">
        <f>IFERROR(__xludf.DUMMYFUNCTION(" GOOGLETRANSLATE(B54, ""en"", ""am"")"),"ኳሱ ከተመልካች ሜዳ ወጥታ ወደ ጨዋታው ተመልሳለች። ዳኛው ምን ይወስናል?")</f>
        <v>ኳሱ ከተመልካች ሜዳ ወጥታ ወደ ጨዋታው ተመልሳለች። ዳኛው ምን ይወስናል?</v>
      </c>
      <c r="I54" s="6" t="str">
        <f>IFERROR(__xludf.DUMMYFUNCTION(" GOOGLETRANSLATE(C54, ""en"", ""am"")"),"ሀ. ጨዋታውን ለአፍታ አቁም እና በተጣለ ኳስ እንደገና ያስጀምሩት። ለተቃዋሚ ቡድን የሽልማት ባለቤትነት. ጨዋታው ይቀጥላል.ዲ. ለቡድንዎ ነፃ ሽልማት ይስጡ")</f>
        <v>ሀ. ጨዋታውን ለአፍታ አቁም እና በተጣለ ኳስ እንደገና ያስጀምሩት። ለተቃዋሚ ቡድን የሽልማት ባለቤትነት. ጨዋታው ይቀጥላል.ዲ. ለቡድንዎ ነፃ ሽልማት ይስጡ</v>
      </c>
      <c r="J54" s="6" t="str">
        <f>IFERROR(__xludf.DUMMYFUNCTION(" GOOGLETRANSLATE(D54, ""en"", ""am"")"),"ጨዋታውን ለአፍታ አቁም እና በተጣለ ኳስ እንደገና ያስጀምሩት።")</f>
        <v>ጨዋታውን ለአፍታ አቁም እና በተጣለ ኳስ እንደገና ያስጀምሩት።</v>
      </c>
      <c r="K54" s="6" t="str">
        <f>IFERROR(__xludf.DUMMYFUNCTION(" GOOGLETRANSLATE(E54, ""en"", ""am"")"),"ከሜዳ ውጪ ጣልቃ መግባት ጨዋታውን እንደገና መጀመርን ይጠይቃል።")</f>
        <v>ከሜዳ ውጪ ጣልቃ መግባት ጨዋታውን እንደገና መጀመርን ይጠይቃል።</v>
      </c>
    </row>
    <row r="55" ht="22.5" customHeight="1">
      <c r="A55" s="4">
        <v>54.0</v>
      </c>
      <c r="B55" s="4" t="s">
        <v>205</v>
      </c>
      <c r="C55" s="4" t="s">
        <v>206</v>
      </c>
      <c r="D55" s="4" t="s">
        <v>207</v>
      </c>
      <c r="E55" s="4" t="s">
        <v>208</v>
      </c>
      <c r="F55" s="5"/>
      <c r="G55" s="6" t="str">
        <f>IFERROR(__xludf.DUMMYFUNCTION(" GOOGLETRANSLATE(A55, ""en"", ""am"")"),"54")</f>
        <v>54</v>
      </c>
      <c r="H55" s="6" t="str">
        <f>IFERROR(__xludf.DUMMYFUNCTION(" GOOGLETRANSLATE(B55, ""en"", ""am"")"),"ቡድንህ በአጋጣሚ የራሱን ጎል አስቆጥሯል። ውጤቱስ ምንድን ነው?")</f>
        <v>ቡድንህ በአጋጣሚ የራሱን ጎል አስቆጥሯል። ውጤቱስ ምንድን ነው?</v>
      </c>
      <c r="I55" s="6" t="str">
        <f>IFERROR(__xludf.DUMMYFUNCTION(" GOOGLETRANSLATE(C55, ""en"", ""am"")"),"ሀ. ግቡ ለተቃራኒ ቡድን ተሰጥቷል.B. ግቡ የተከለከለ ነው.ሲ. ዳኛው ጨዋታውን ለአፍታ አቁሟል።ዲ. ጨዋታው ከመሃል ተጀመረ።")</f>
        <v>ሀ. ግቡ ለተቃራኒ ቡድን ተሰጥቷል.B. ግቡ የተከለከለ ነው.ሲ. ዳኛው ጨዋታውን ለአፍታ አቁሟል።ዲ. ጨዋታው ከመሃል ተጀመረ።</v>
      </c>
      <c r="J55" s="6" t="str">
        <f>IFERROR(__xludf.DUMMYFUNCTION(" GOOGLETRANSLATE(D55, ""en"", ""am"")"),"ጎል ለተቃራኒ ቡድን ተሰጥቷል።")</f>
        <v>ጎል ለተቃራኒ ቡድን ተሰጥቷል።</v>
      </c>
      <c r="K55" s="6" t="str">
        <f>IFERROR(__xludf.DUMMYFUNCTION(" GOOGLETRANSLATE(E55, ""en"", ""am"")"),"የእራሱ ግቦች ለተጋጣሚ ቡድን እንደ ነጥብ ይቆጠራሉ።")</f>
        <v>የእራሱ ግቦች ለተጋጣሚ ቡድን እንደ ነጥብ ይቆጠራሉ።</v>
      </c>
    </row>
    <row r="56" ht="22.5" customHeight="1">
      <c r="A56" s="4">
        <v>55.0</v>
      </c>
      <c r="B56" s="4" t="s">
        <v>209</v>
      </c>
      <c r="C56" s="4" t="s">
        <v>210</v>
      </c>
      <c r="D56" s="4" t="s">
        <v>211</v>
      </c>
      <c r="E56" s="4" t="s">
        <v>212</v>
      </c>
      <c r="F56" s="5"/>
      <c r="G56" s="6" t="str">
        <f>IFERROR(__xludf.DUMMYFUNCTION(" GOOGLETRANSLATE(A56, ""en"", ""am"")"),"55")</f>
        <v>55</v>
      </c>
      <c r="H56" s="6" t="str">
        <f>IFERROR(__xludf.DUMMYFUNCTION(" GOOGLETRANSLATE(B56, ""en"", ""am"")"),"ኳሱ ወደ ኩሬው ይሽከረከራል እና ይቆማል። ቀጥሎ ምን ይሆናል?")</f>
        <v>ኳሱ ወደ ኩሬው ይሽከረከራል እና ይቆማል። ቀጥሎ ምን ይሆናል?</v>
      </c>
      <c r="I56" s="6" t="str">
        <f>IFERROR(__xludf.DUMMYFUNCTION(" GOOGLETRANSLATE(C56, ""en"", ""am"")"),"ሀ. ዳኛው ጨዋታውን አቁሞ ኳሱን ያንቀሳቅሳል። ዳኛው ጨዋታው እንዲቀጥል ይፈቅዳል.ሲ. ተጋጣሚው ቡድን የኳስ ቁጥጥርን ያገኛል።ዲ. በፍጹም ቅጣት ምት ጨዋታውን እንደገና ያስጀምሩት።")</f>
        <v>ሀ. ዳኛው ጨዋታውን አቁሞ ኳሱን ያንቀሳቅሳል። ዳኛው ጨዋታው እንዲቀጥል ይፈቅዳል.ሲ. ተጋጣሚው ቡድን የኳስ ቁጥጥርን ያገኛል።ዲ. በፍጹም ቅጣት ምት ጨዋታውን እንደገና ያስጀምሩት።</v>
      </c>
      <c r="J56" s="6" t="str">
        <f>IFERROR(__xludf.DUMMYFUNCTION(" GOOGLETRANSLATE(D56, ""en"", ""am"")"),"ዳኛው ጨዋታውን አቁሞ ኳሱን ያንቀሳቅሰዋል።")</f>
        <v>ዳኛው ጨዋታውን አቁሞ ኳሱን ያንቀሳቅሰዋል።</v>
      </c>
      <c r="K56" s="6" t="str">
        <f>IFERROR(__xludf.DUMMYFUNCTION(" GOOGLETRANSLATE(E56, ""en"", ""am"")"),"የውሃ ጣልቃገብነት ከትክክለኛው ቦታ መጀመርን ይጠይቃል.")</f>
        <v>የውሃ ጣልቃገብነት ከትክክለኛው ቦታ መጀመርን ይጠይቃል.</v>
      </c>
    </row>
    <row r="57" ht="22.5" customHeight="1">
      <c r="A57" s="4">
        <v>56.0</v>
      </c>
      <c r="B57" s="4" t="s">
        <v>213</v>
      </c>
      <c r="C57" s="4" t="s">
        <v>214</v>
      </c>
      <c r="D57" s="4" t="s">
        <v>170</v>
      </c>
      <c r="E57" s="4" t="s">
        <v>215</v>
      </c>
      <c r="F57" s="5"/>
      <c r="G57" s="6" t="str">
        <f>IFERROR(__xludf.DUMMYFUNCTION(" GOOGLETRANSLATE(A57, ""en"", ""am"")"),"56")</f>
        <v>56</v>
      </c>
      <c r="H57" s="6" t="str">
        <f>IFERROR(__xludf.DUMMYFUNCTION(" GOOGLETRANSLATE(B57, ""en"", ""am"")"),"ተቃራኒ ተጫዋች ሆን ብሎ ለማገድ በጥይትህ ፊት ለፊት ቆሟል። የዳኛው ጥሪ ምንድነው?")</f>
        <v>ተቃራኒ ተጫዋች ሆን ብሎ ለማገድ በጥይትህ ፊት ለፊት ቆሟል። የዳኛው ጥሪ ምንድነው?</v>
      </c>
      <c r="I57" s="6" t="str">
        <f>IFERROR(__xludf.DUMMYFUNCTION(" GOOGLETRANSLATE(C57, ""en"", ""am"")"),"ሀ. ለቡድንዎ ነፃ ሽልማት ይስጡ ተቃራኒውን ተጫዋች አስጠንቅቅ. ጨዋታው ይቀጥላል.ዲ. ጨዋታውን ለአፍታ ያቁሙ እና ማስጠንቀቂያ ይስጡ")</f>
        <v>ሀ. ለቡድንዎ ነፃ ሽልማት ይስጡ ተቃራኒውን ተጫዋች አስጠንቅቅ. ጨዋታው ይቀጥላል.ዲ. ጨዋታውን ለአፍታ ያቁሙ እና ማስጠንቀቂያ ይስጡ</v>
      </c>
      <c r="J57" s="6" t="str">
        <f>IFERROR(__xludf.DUMMYFUNCTION(" GOOGLETRANSLATE(D57, ""en"", ""am"")"),"ለቡድንዎ ነፃ ሽልማት ይስጡ")</f>
        <v>ለቡድንዎ ነፃ ሽልማት ይስጡ</v>
      </c>
      <c r="K57" s="6" t="str">
        <f>IFERROR(__xludf.DUMMYFUNCTION(" GOOGLETRANSLATE(E57, ""en"", ""am"")"),"ዱላውን ሳይጠቀሙ ሆን ብሎ ማገድ በገንዘብ ይቀጣል።")</f>
        <v>ዱላውን ሳይጠቀሙ ሆን ብሎ ማገድ በገንዘብ ይቀጣል።</v>
      </c>
    </row>
    <row r="58" ht="22.5" customHeight="1">
      <c r="A58" s="4">
        <v>57.0</v>
      </c>
      <c r="B58" s="4" t="s">
        <v>216</v>
      </c>
      <c r="C58" s="4" t="s">
        <v>217</v>
      </c>
      <c r="D58" s="4" t="s">
        <v>166</v>
      </c>
      <c r="E58" s="4" t="s">
        <v>218</v>
      </c>
      <c r="F58" s="5"/>
      <c r="G58" s="6" t="str">
        <f>IFERROR(__xludf.DUMMYFUNCTION(" GOOGLETRANSLATE(A58, ""en"", ""am"")"),"57")</f>
        <v>57</v>
      </c>
      <c r="H58" s="6" t="str">
        <f>IFERROR(__xludf.DUMMYFUNCTION(" GOOGLETRANSLATE(B58, ""en"", ""am"")"),"ኳሱ ተመትቶ በሜዳው አቅራቢያ በሚገኝ ቁጥቋጦ ውስጥ ተጣብቋል። ዳኛው ምን ያደርጋል?")</f>
        <v>ኳሱ ተመትቶ በሜዳው አቅራቢያ በሚገኝ ቁጥቋጦ ውስጥ ተጣብቋል። ዳኛው ምን ያደርጋል?</v>
      </c>
      <c r="I58" s="6" t="str">
        <f>IFERROR(__xludf.DUMMYFUNCTION(" GOOGLETRANSLATE(C58, ""en"", ""am"")"),"ሀ. ጨዋታውን ለአፍታ አቁም እና በተጣለ ኳስ እንደገና ያስጀምሩት። ለቡድንዎ የሽልማት ይዞታ.ሲ. ጨዋታው ይቀጥላል.ዲ. ለተቃራኒ ቡድን ነፃ ሽልማት ይስጡ")</f>
        <v>ሀ. ጨዋታውን ለአፍታ አቁም እና በተጣለ ኳስ እንደገና ያስጀምሩት። ለቡድንዎ የሽልማት ይዞታ.ሲ. ጨዋታው ይቀጥላል.ዲ. ለተቃራኒ ቡድን ነፃ ሽልማት ይስጡ</v>
      </c>
      <c r="J58" s="6" t="str">
        <f>IFERROR(__xludf.DUMMYFUNCTION(" GOOGLETRANSLATE(D58, ""en"", ""am"")"),"ጨዋታውን ለአፍታ አቁም እና በተጣለ ኳስ እንደገና ያስጀምሩት።")</f>
        <v>ጨዋታውን ለአፍታ አቁም እና በተጣለ ኳስ እንደገና ያስጀምሩት።</v>
      </c>
      <c r="K58" s="6" t="str">
        <f>IFERROR(__xludf.DUMMYFUNCTION(" GOOGLETRANSLATE(E58, ""en"", ""am"")"),"ውጫዊ መሰናክሎች ጨዋታው በትክክል እንዲጀመር ይጠይቃሉ።")</f>
        <v>ውጫዊ መሰናክሎች ጨዋታው በትክክል እንዲጀመር ይጠይቃሉ።</v>
      </c>
    </row>
    <row r="59" ht="22.5" customHeight="1">
      <c r="A59" s="4">
        <v>58.0</v>
      </c>
      <c r="B59" s="4" t="s">
        <v>219</v>
      </c>
      <c r="C59" s="4" t="s">
        <v>220</v>
      </c>
      <c r="D59" s="4" t="s">
        <v>221</v>
      </c>
      <c r="E59" s="4" t="s">
        <v>222</v>
      </c>
      <c r="F59" s="5"/>
      <c r="G59" s="6" t="str">
        <f>IFERROR(__xludf.DUMMYFUNCTION(" GOOGLETRANSLATE(A59, ""en"", ""am"")"),"58")</f>
        <v>58</v>
      </c>
      <c r="H59" s="6" t="str">
        <f>IFERROR(__xludf.DUMMYFUNCTION(" GOOGLETRANSLATE(B59, ""en"", ""am"")"),"ኳሱን ትመታለህ፣ እና ከቡድንህ ዱላ ወደ ጎል ትገባለች። የዳኛው ጥሪ ምንድነው?")</f>
        <v>ኳሱን ትመታለህ፣ እና ከቡድንህ ዱላ ወደ ጎል ትገባለች። የዳኛው ጥሪ ምንድነው?</v>
      </c>
      <c r="I59" s="6" t="str">
        <f>IFERROR(__xludf.DUMMYFUNCTION(" GOOGLETRANSLATE(C59, ""en"", ""am"")"),"ሀ. ግቡ ተሸልሟል.ቢ. ግቡ የተከለከለ ነው.ሲ. ለተጋጣሚ ቡድን የተሰጠ ቅጣት ዲ. ዳኛው ለግምገማ ጨዋታውን ለአፍታ አቁሟል።")</f>
        <v>ሀ. ግቡ ተሸልሟል.ቢ. ግቡ የተከለከለ ነው.ሲ. ለተጋጣሚ ቡድን የተሰጠ ቅጣት ዲ. ዳኛው ለግምገማ ጨዋታውን ለአፍታ አቁሟል።</v>
      </c>
      <c r="J59" s="6" t="str">
        <f>IFERROR(__xludf.DUMMYFUNCTION(" GOOGLETRANSLATE(D59, ""en"", ""am"")"),"ግቡ ተሸልሟል።")</f>
        <v>ግቡ ተሸልሟል።</v>
      </c>
      <c r="K59" s="6" t="str">
        <f>IFERROR(__xludf.DUMMYFUNCTION(" GOOGLETRANSLATE(E59, ""en"", ""am"")"),"ዱላውን ከቡድን አጋሮች መውሰድ ትክክለኛ ግቦች ናቸው።")</f>
        <v>ዱላውን ከቡድን አጋሮች መውሰድ ትክክለኛ ግቦች ናቸው።</v>
      </c>
    </row>
    <row r="60" ht="22.5" customHeight="1">
      <c r="A60" s="4">
        <v>59.0</v>
      </c>
      <c r="B60" s="4" t="s">
        <v>223</v>
      </c>
      <c r="C60" s="4" t="s">
        <v>224</v>
      </c>
      <c r="D60" s="4" t="s">
        <v>225</v>
      </c>
      <c r="E60" s="4" t="s">
        <v>226</v>
      </c>
      <c r="F60" s="5"/>
      <c r="G60" s="6" t="str">
        <f>IFERROR(__xludf.DUMMYFUNCTION(" GOOGLETRANSLATE(A60, ""en"", ""am"")"),"59")</f>
        <v>59</v>
      </c>
      <c r="H60" s="6" t="str">
        <f>IFERROR(__xludf.DUMMYFUNCTION(" GOOGLETRANSLATE(B60, ""en"", ""am"")"),"ኃይለኛ ነፋስ ኳሱን ከድንበር ውጭ ያጠፋዋል። ቀጥሎ ምን ይሆናል?")</f>
        <v>ኃይለኛ ነፋስ ኳሱን ከድንበር ውጭ ያጠፋዋል። ቀጥሎ ምን ይሆናል?</v>
      </c>
      <c r="I60" s="6" t="str">
        <f>IFERROR(__xludf.DUMMYFUNCTION(" GOOGLETRANSLATE(C60, ""en"", ""am"")"),"ሀ. የተጋጣሚ ቡድን የፍፁም ቅጣት ምት አግኝቷል። ጨዋታው ቆመ እና በተጣለ ኳስ እንደገና ተጀመረ። የእርስዎ ቡድን ነፃ ሽልማት ተሰጥቷል. ዲ. ጨዋታው እንደተለመደው ቀጥሏል።")</f>
        <v>ሀ. የተጋጣሚ ቡድን የፍፁም ቅጣት ምት አግኝቷል። ጨዋታው ቆመ እና በተጣለ ኳስ እንደገና ተጀመረ። የእርስዎ ቡድን ነፃ ሽልማት ተሰጥቷል. ዲ. ጨዋታው እንደተለመደው ቀጥሏል።</v>
      </c>
      <c r="J60" s="6" t="str">
        <f>IFERROR(__xludf.DUMMYFUNCTION(" GOOGLETRANSLATE(D60, ""en"", ""am"")"),"ጨዋታው ተቋርጦ በተወረወረ ኳስ እንደገና ተጀመረ።")</f>
        <v>ጨዋታው ተቋርጦ በተወረወረ ኳስ እንደገና ተጀመረ።</v>
      </c>
      <c r="K60" s="6" t="str">
        <f>IFERROR(__xludf.DUMMYFUNCTION(" GOOGLETRANSLATE(E60, ""en"", ""am"")"),"እንደ ንፋስ ያሉ ውጫዊ ሁኔታዎች ወደ ገለልተኛ ዳግም ማስጀመር ይመራሉ.")</f>
        <v>እንደ ንፋስ ያሉ ውጫዊ ሁኔታዎች ወደ ገለልተኛ ዳግም ማስጀመር ይመራሉ.</v>
      </c>
    </row>
    <row r="61" ht="22.5" customHeight="1">
      <c r="A61" s="4">
        <v>60.0</v>
      </c>
      <c r="B61" s="4" t="s">
        <v>227</v>
      </c>
      <c r="C61" s="4" t="s">
        <v>228</v>
      </c>
      <c r="D61" s="4" t="s">
        <v>162</v>
      </c>
      <c r="E61" s="4" t="s">
        <v>229</v>
      </c>
      <c r="F61" s="5"/>
      <c r="G61" s="6" t="str">
        <f>IFERROR(__xludf.DUMMYFUNCTION(" GOOGLETRANSLATE(A61, ""en"", ""am"")"),"60")</f>
        <v>60</v>
      </c>
      <c r="H61" s="6" t="str">
        <f>IFERROR(__xludf.DUMMYFUNCTION(" GOOGLETRANSLATE(B61, ""en"", ""am"")"),"የቡድን ጓደኛዎ ኳሱን ይመታል, ነገር ግን ወደ ጎል ከመግባቱ በፊት እግርዎን ይመታል. ውጤቱስ ምንድን ነው?")</f>
        <v>የቡድን ጓደኛዎ ኳሱን ይመታል, ነገር ግን ወደ ጎል ከመግባቱ በፊት እግርዎን ይመታል. ውጤቱስ ምንድን ነው?</v>
      </c>
      <c r="I61" s="6" t="str">
        <f>IFERROR(__xludf.DUMMYFUNCTION(" GOOGLETRANSLATE(C61, ""en"", ""am"")"),"ሀ. ግቡ የተከለከለ ነው.ቢ. ግቡ ተሸልሟል.ሲ. ተቃራኒ ቡድን ተቀጥቷል ዲ. ጨዋታው ለግምገማ ባለበት ቆሟል።")</f>
        <v>ሀ. ግቡ የተከለከለ ነው.ቢ. ግቡ ተሸልሟል.ሲ. ተቃራኒ ቡድን ተቀጥቷል ዲ. ጨዋታው ለግምገማ ባለበት ቆሟል።</v>
      </c>
      <c r="J61" s="6" t="str">
        <f>IFERROR(__xludf.DUMMYFUNCTION(" GOOGLETRANSLATE(D61, ""en"", ""am"")"),"ግቡ የተከለከለ ነው.")</f>
        <v>ግቡ የተከለከለ ነው.</v>
      </c>
      <c r="K61" s="6" t="str">
        <f>IFERROR(__xludf.DUMMYFUNCTION(" GOOGLETRANSLATE(E61, ""en"", ""am"")"),"ከእግር ንክኪ በኋላ የተቆጠሩት ግቦች ልክ አይደሉም።")</f>
        <v>ከእግር ንክኪ በኋላ የተቆጠሩት ግቦች ልክ አይደሉም።</v>
      </c>
    </row>
    <row r="62" ht="22.5" customHeight="1">
      <c r="A62" s="4">
        <v>61.0</v>
      </c>
      <c r="B62" s="4" t="s">
        <v>230</v>
      </c>
      <c r="C62" s="4" t="s">
        <v>231</v>
      </c>
      <c r="D62" s="4" t="s">
        <v>207</v>
      </c>
      <c r="E62" s="4" t="s">
        <v>208</v>
      </c>
      <c r="F62" s="5"/>
      <c r="G62" s="6" t="str">
        <f>IFERROR(__xludf.DUMMYFUNCTION(" GOOGLETRANSLATE(A62, ""en"", ""am"")"),"61")</f>
        <v>61</v>
      </c>
      <c r="H62" s="6" t="str">
        <f>IFERROR(__xludf.DUMMYFUNCTION(" GOOGLETRANSLATE(B62, ""en"", ""am"")"),"እየተከላከሉ ነው፣ እና ኳሱ በድንገት ከዱላዎ ወጥቶ ወደ ግቡ ገባ። የዳኛው ውሳኔ ምንድነው?")</f>
        <v>እየተከላከሉ ነው፣ እና ኳሱ በድንገት ከዱላዎ ወጥቶ ወደ ግቡ ገባ። የዳኛው ውሳኔ ምንድነው?</v>
      </c>
      <c r="I62" s="6" t="str">
        <f>IFERROR(__xludf.DUMMYFUNCTION(" GOOGLETRANSLATE(C62, ""en"", ""am"")"),"ሀ. ግቡ ለተቃራኒ ቡድን ተሰጥቷል.B. ግቡ የተከለከለ ነው.ሲ. ዳኛው ጨዋታውን ለአፍታ አቁሟል።ዲ. የእርስዎ ቡድን ይዞታ ያገኛል።")</f>
        <v>ሀ. ግቡ ለተቃራኒ ቡድን ተሰጥቷል.B. ግቡ የተከለከለ ነው.ሲ. ዳኛው ጨዋታውን ለአፍታ አቁሟል።ዲ. የእርስዎ ቡድን ይዞታ ያገኛል።</v>
      </c>
      <c r="J62" s="6" t="str">
        <f>IFERROR(__xludf.DUMMYFUNCTION(" GOOGLETRANSLATE(D62, ""en"", ""am"")"),"ጎል ለተቃራኒ ቡድን ተሰጥቷል።")</f>
        <v>ጎል ለተቃራኒ ቡድን ተሰጥቷል።</v>
      </c>
      <c r="K62" s="6" t="str">
        <f>IFERROR(__xludf.DUMMYFUNCTION(" GOOGLETRANSLATE(E62, ""en"", ""am"")"),"የእራሱ ግቦች ለተጋጣሚ ቡድን እንደ ነጥብ ይቆጠራሉ።")</f>
        <v>የእራሱ ግቦች ለተጋጣሚ ቡድን እንደ ነጥብ ይቆጠራሉ።</v>
      </c>
    </row>
    <row r="63" ht="22.5" customHeight="1">
      <c r="A63" s="4">
        <v>62.0</v>
      </c>
      <c r="B63" s="4" t="s">
        <v>232</v>
      </c>
      <c r="C63" s="4" t="s">
        <v>233</v>
      </c>
      <c r="D63" s="4" t="s">
        <v>166</v>
      </c>
      <c r="E63" s="4" t="s">
        <v>234</v>
      </c>
      <c r="F63" s="5"/>
      <c r="G63" s="6" t="str">
        <f>IFERROR(__xludf.DUMMYFUNCTION(" GOOGLETRANSLATE(A63, ""en"", ""am"")"),"62")</f>
        <v>62</v>
      </c>
      <c r="H63" s="6" t="str">
        <f>IFERROR(__xludf.DUMMYFUNCTION(" GOOGLETRANSLATE(B63, ""en"", ""am"")"),"በጨዋታው ወቅት ከተቃራኒ ቡድን የተውጣጡ ሁለት ተጫዋቾች ተጋጭተው ይወድቃሉ። ዳኛው ምን ያደርጋል?")</f>
        <v>በጨዋታው ወቅት ከተቃራኒ ቡድን የተውጣጡ ሁለት ተጫዋቾች ተጋጭተው ይወድቃሉ። ዳኛው ምን ያደርጋል?</v>
      </c>
      <c r="I63" s="6" t="str">
        <f>IFERROR(__xludf.DUMMYFUNCTION(" GOOGLETRANSLATE(C63, ""en"", ""am"")"),"ሀ. ጨዋታውን ለአፍታ አቁም እና በተጣለ ኳስ እንደገና ያስጀምሩት። ለቡድን ነፃ ሽልማት ይስጡ. ሁለቱንም ተጫዋቾች አስጠንቅቅ.ዲ. ጨዋታው ቀጥሏል።")</f>
        <v>ሀ. ጨዋታውን ለአፍታ አቁም እና በተጣለ ኳስ እንደገና ያስጀምሩት። ለቡድን ነፃ ሽልማት ይስጡ. ሁለቱንም ተጫዋቾች አስጠንቅቅ.ዲ. ጨዋታው ቀጥሏል።</v>
      </c>
      <c r="J63" s="6" t="str">
        <f>IFERROR(__xludf.DUMMYFUNCTION(" GOOGLETRANSLATE(D63, ""en"", ""am"")"),"ጨዋታውን ለአፍታ አቁም እና በተጣለ ኳስ እንደገና ያስጀምሩት።")</f>
        <v>ጨዋታውን ለአፍታ አቁም እና በተጣለ ኳስ እንደገና ያስጀምሩት።</v>
      </c>
      <c r="K63" s="6" t="str">
        <f>IFERROR(__xludf.DUMMYFUNCTION(" GOOGLETRANSLATE(E63, ""en"", ""am"")"),"ድንገተኛ ግጭቶች ገለልተኛ ዳግም መጀመር ያስፈልጋቸዋል.")</f>
        <v>ድንገተኛ ግጭቶች ገለልተኛ ዳግም መጀመር ያስፈልጋቸዋል.</v>
      </c>
    </row>
    <row r="64" ht="22.5" customHeight="1">
      <c r="A64" s="4">
        <v>63.0</v>
      </c>
      <c r="B64" s="4" t="s">
        <v>235</v>
      </c>
      <c r="C64" s="4" t="s">
        <v>236</v>
      </c>
      <c r="D64" s="4" t="s">
        <v>237</v>
      </c>
      <c r="E64" s="4" t="s">
        <v>238</v>
      </c>
      <c r="F64" s="5"/>
      <c r="G64" s="6" t="str">
        <f>IFERROR(__xludf.DUMMYFUNCTION(" GOOGLETRANSLATE(A64, ""en"", ""am"")"),"63")</f>
        <v>63</v>
      </c>
      <c r="H64" s="6" t="str">
        <f>IFERROR(__xludf.DUMMYFUNCTION(" GOOGLETRANSLATE(B64, ""en"", ""am"")"),"አንድ ተጫዋች ዱላውን በአደገኛ ሁኔታ ወደ ሌላ ተጫዋች ያወዛውዛል። ዳኛው ምን ይወስናል?")</f>
        <v>አንድ ተጫዋች ዱላውን በአደገኛ ሁኔታ ወደ ሌላ ተጫዋች ያወዛውዛል። ዳኛው ምን ይወስናል?</v>
      </c>
      <c r="I64" s="6" t="str">
        <f>IFERROR(__xludf.DUMMYFUNCTION(" GOOGLETRANSLATE(C64, ""en"", ""am"")"),"ሀ. ለተጫዋቹ ማስጠንቀቂያ ይስጡ.B. ለተቃዋሚ ቡድንC ነፃ ሽልማት ይስጡ። ለደህንነት ሲባል ጨዋታውን ለአፍታ አቁም.ዲ. ጨዋታው ቀጥሏል።")</f>
        <v>ሀ. ለተጫዋቹ ማስጠንቀቂያ ይስጡ.B. ለተቃዋሚ ቡድንC ነፃ ሽልማት ይስጡ። ለደህንነት ሲባል ጨዋታውን ለአፍታ አቁም.ዲ. ጨዋታው ቀጥሏል።</v>
      </c>
      <c r="J64" s="6" t="str">
        <f>IFERROR(__xludf.DUMMYFUNCTION(" GOOGLETRANSLATE(D64, ""en"", ""am"")"),"ለተጫዋቹ ማስጠንቀቂያ ይስጡት።")</f>
        <v>ለተጫዋቹ ማስጠንቀቂያ ይስጡት።</v>
      </c>
      <c r="K64" s="6" t="str">
        <f>IFERROR(__xludf.DUMMYFUNCTION(" GOOGLETRANSLATE(E64, ""en"", ""am"")"),"በግዴለሽነት ሸንኮራ አገዳ መጠቀም ከማስጠንቀቂያ ጋርም ቢሆን አይበረታታም።")</f>
        <v>በግዴለሽነት ሸንኮራ አገዳ መጠቀም ከማስጠንቀቂያ ጋርም ቢሆን አይበረታታም።</v>
      </c>
    </row>
    <row r="65" ht="22.5" customHeight="1">
      <c r="A65" s="4">
        <v>64.0</v>
      </c>
      <c r="B65" s="4" t="s">
        <v>239</v>
      </c>
      <c r="C65" s="4" t="s">
        <v>240</v>
      </c>
      <c r="D65" s="4" t="s">
        <v>241</v>
      </c>
      <c r="E65" s="4" t="s">
        <v>242</v>
      </c>
      <c r="F65" s="5"/>
      <c r="G65" s="6" t="str">
        <f>IFERROR(__xludf.DUMMYFUNCTION(" GOOGLETRANSLATE(A65, ""en"", ""am"")"),"64")</f>
        <v>64</v>
      </c>
      <c r="H65" s="6" t="str">
        <f>IFERROR(__xludf.DUMMYFUNCTION(" GOOGLETRANSLATE(B65, ""en"", ""am"")"),"ኳሱ ተመትቷል ነገር ግን በጊዜ ገደቡ ውስጥ ወደ ተጋጣሚው ግማሽ አይደርስም። ምን ይሆናል?")</f>
        <v>ኳሱ ተመትቷል ነገር ግን በጊዜ ገደቡ ውስጥ ወደ ተጋጣሚው ግማሽ አይደርስም። ምን ይሆናል?</v>
      </c>
      <c r="I65" s="6" t="str">
        <f>IFERROR(__xludf.DUMMYFUNCTION(" GOOGLETRANSLATE(C65, ""en"", ""am"")"),"ሀ/ ተጋጣሚ ቡድን የኳስ ቁጥጥርን አገኘ። ጨዋታው ለግምገማ ባለበት ቆሟል።ሲ. ነፃ የሆነ ምት ለተቃዋሚ ቡድን ተሰጥቷል.ዲ. ጨዋታው እንደተለመደው ቀጥሏል።")</f>
        <v>ሀ/ ተጋጣሚ ቡድን የኳስ ቁጥጥርን አገኘ። ጨዋታው ለግምገማ ባለበት ቆሟል።ሲ. ነፃ የሆነ ምት ለተቃዋሚ ቡድን ተሰጥቷል.ዲ. ጨዋታው እንደተለመደው ቀጥሏል።</v>
      </c>
      <c r="J65" s="6" t="str">
        <f>IFERROR(__xludf.DUMMYFUNCTION(" GOOGLETRANSLATE(D65, ""en"", ""am"")"),"ተጋጣሚው ቡድን የኳስ ቁጥጥርን ያገኛል።")</f>
        <v>ተጋጣሚው ቡድን የኳስ ቁጥጥርን ያገኛል።</v>
      </c>
      <c r="K65" s="6" t="str">
        <f>IFERROR(__xludf.DUMMYFUNCTION(" GOOGLETRANSLATE(E65, ""en"", ""am"")"),"ኳሱን መንቀሳቀስ አለመቻል ለውጥ ያመጣል።")</f>
        <v>ኳሱን መንቀሳቀስ አለመቻል ለውጥ ያመጣል።</v>
      </c>
    </row>
    <row r="66" ht="22.5" customHeight="1">
      <c r="A66" s="4">
        <v>65.0</v>
      </c>
      <c r="B66" s="4" t="s">
        <v>243</v>
      </c>
      <c r="C66" s="4" t="s">
        <v>244</v>
      </c>
      <c r="D66" s="4" t="s">
        <v>158</v>
      </c>
      <c r="E66" s="4" t="s">
        <v>245</v>
      </c>
      <c r="F66" s="5"/>
      <c r="G66" s="6" t="str">
        <f>IFERROR(__xludf.DUMMYFUNCTION(" GOOGLETRANSLATE(A66, ""en"", ""am"")"),"65")</f>
        <v>65</v>
      </c>
      <c r="H66" s="6" t="str">
        <f>IFERROR(__xludf.DUMMYFUNCTION(" GOOGLETRANSLATE(B66, ""en"", ""am"")"),"ዳኛው ሆን ብሎ ጊዜ የሚያጠፋውን ተጫዋች ያስተውላሉ። ውሳኔው ምንድን ነው?")</f>
        <v>ዳኛው ሆን ብሎ ጊዜ የሚያጠፋውን ተጫዋች ያስተውላሉ። ውሳኔው ምንድን ነው?</v>
      </c>
      <c r="I66" s="6" t="str">
        <f>IFERROR(__xludf.DUMMYFUNCTION(" GOOGLETRANSLATE(C66, ""en"", ""am"")"),"ሀ. ተጫዋቹን አስጠንቅቅ እና ጨዋታውን እንደገና አስጀምር.B. ለተቃዋሚ ቡድንC ነፃ ሽልማት ይስጡ። ጨዋታውን ለአፍታ አቁም እና ቅጣት ስጥ.ዲ. ጨዋታው ቀጥሏል።")</f>
        <v>ሀ. ተጫዋቹን አስጠንቅቅ እና ጨዋታውን እንደገና አስጀምር.B. ለተቃዋሚ ቡድንC ነፃ ሽልማት ይስጡ። ጨዋታውን ለአፍታ አቁም እና ቅጣት ስጥ.ዲ. ጨዋታው ቀጥሏል።</v>
      </c>
      <c r="J66" s="6" t="str">
        <f>IFERROR(__xludf.DUMMYFUNCTION(" GOOGLETRANSLATE(D66, ""en"", ""am"")"),"ተጫዋቹን አስጠንቅቁ እና እንደገና መጫወቱን ያስጀምሩ።")</f>
        <v>ተጫዋቹን አስጠንቅቁ እና እንደገና መጫወቱን ያስጀምሩ።</v>
      </c>
      <c r="K66" s="6" t="str">
        <f>IFERROR(__xludf.DUMMYFUNCTION(" GOOGLETRANSLATE(E66, ""en"", ""am"")"),"ጊዜ ማባከን በማስጠንቀቂያ ይቀጣል።")</f>
        <v>ጊዜ ማባከን በማስጠንቀቂያ ይቀጣል።</v>
      </c>
    </row>
    <row r="67" ht="22.5" customHeight="1">
      <c r="A67" s="4">
        <v>66.0</v>
      </c>
      <c r="B67" s="4" t="s">
        <v>246</v>
      </c>
      <c r="C67" s="4" t="s">
        <v>247</v>
      </c>
      <c r="D67" s="4" t="s">
        <v>248</v>
      </c>
      <c r="E67" s="4" t="s">
        <v>249</v>
      </c>
      <c r="F67" s="5"/>
      <c r="G67" s="6" t="str">
        <f>IFERROR(__xludf.DUMMYFUNCTION(" GOOGLETRANSLATE(A67, ""en"", ""am"")"),"66")</f>
        <v>66</v>
      </c>
      <c r="H67" s="6" t="str">
        <f>IFERROR(__xludf.DUMMYFUNCTION(" GOOGLETRANSLATE(B67, ""en"", ""am"")"),"አንድ ተጫዋች ዱላውን በአደገኛ ሁኔታ ኳሱን ወደ ሌላ ተጫዋች ፊት ለማንሳት ይጠቀማል። ዳኛው ምን ያደርጋል?")</f>
        <v>አንድ ተጫዋች ዱላውን በአደገኛ ሁኔታ ኳሱን ወደ ሌላ ተጫዋች ፊት ለማንሳት ይጠቀማል። ዳኛው ምን ያደርጋል?</v>
      </c>
      <c r="I67" s="6" t="str">
        <f>IFERROR(__xludf.DUMMYFUNCTION(" GOOGLETRANSLATE(C67, ""en"", ""am"")"),"ሀ. መጫወት አቁም እና ማስጠንቀቂያ ስጥ.B. ጨዋታው ቀጥሏል.ሲ. ለተቃራኒ ቡድን ቅጣት ይስጡ.ዲ. ባሉበት ያቁሙ እና በተቆልቋይ ኳስ እንደገና ይጀምሩ።")</f>
        <v>ሀ. መጫወት አቁም እና ማስጠንቀቂያ ስጥ.B. ጨዋታው ቀጥሏል.ሲ. ለተቃራኒ ቡድን ቅጣት ይስጡ.ዲ. ባሉበት ያቁሙ እና በተቆልቋይ ኳስ እንደገና ይጀምሩ።</v>
      </c>
      <c r="J67" s="6" t="str">
        <f>IFERROR(__xludf.DUMMYFUNCTION(" GOOGLETRANSLATE(D67, ""en"", ""am"")"),"መጫወት ያቁሙ እና ማስጠንቀቂያ ይስጡ።")</f>
        <v>መጫወት ያቁሙ እና ማስጠንቀቂያ ይስጡ።</v>
      </c>
      <c r="K67" s="6" t="str">
        <f>IFERROR(__xludf.DUMMYFUNCTION(" GOOGLETRANSLATE(E67, ""en"", ""am"")"),"በዱላ የሚጫወት አደገኛ ጨዋታ ለደህንነት ሲባል ይቀጣል።")</f>
        <v>በዱላ የሚጫወት አደገኛ ጨዋታ ለደህንነት ሲባል ይቀጣል።</v>
      </c>
    </row>
    <row r="68" ht="22.5" customHeight="1">
      <c r="A68" s="4">
        <v>67.0</v>
      </c>
      <c r="B68" s="4" t="s">
        <v>250</v>
      </c>
      <c r="C68" s="4" t="s">
        <v>251</v>
      </c>
      <c r="D68" s="4" t="s">
        <v>252</v>
      </c>
      <c r="E68" s="4" t="s">
        <v>253</v>
      </c>
      <c r="F68" s="5"/>
      <c r="G68" s="6" t="str">
        <f>IFERROR(__xludf.DUMMYFUNCTION(" GOOGLETRANSLATE(A68, ""en"", ""am"")"),"67")</f>
        <v>67</v>
      </c>
      <c r="H68" s="6" t="str">
        <f>IFERROR(__xludf.DUMMYFUNCTION(" GOOGLETRANSLATE(B68, ""en"", ""am"")"),"ኳሱ ከቤንች እና ከወሰን ውጪ ወጥቷል። ምን ይሆናል?")</f>
        <v>ኳሱ ከቤንች እና ከወሰን ውጪ ወጥቷል። ምን ይሆናል?</v>
      </c>
      <c r="I68" s="6" t="str">
        <f>IFERROR(__xludf.DUMMYFUNCTION(" GOOGLETRANSLATE(C68, ""en"", ""am"")"),"ሀ. ምንም ግብ አልተሰጠም.B. ግቡ ተሸልሟል.ሲ. ለተጋጣሚ ቡድን የተሰጠ ቅጣት ዲ. ጨዋታው ለግምገማ ባለበት ቆሟል።")</f>
        <v>ሀ. ምንም ግብ አልተሰጠም.B. ግቡ ተሸልሟል.ሲ. ለተጋጣሚ ቡድን የተሰጠ ቅጣት ዲ. ጨዋታው ለግምገማ ባለበት ቆሟል።</v>
      </c>
      <c r="J68" s="6" t="str">
        <f>IFERROR(__xludf.DUMMYFUNCTION(" GOOGLETRANSLATE(D68, ""en"", ""am"")"),"ግብ አልተሰጠም።")</f>
        <v>ግብ አልተሰጠም።</v>
      </c>
      <c r="K68" s="6" t="str">
        <f>IFERROR(__xludf.DUMMYFUNCTION(" GOOGLETRANSLATE(E68, ""en"", ""am"")"),"ጎል ለመቆጠር ኳሱ ሙሉ በሙሉ መስመሩን ማለፍ አለበት።")</f>
        <v>ጎል ለመቆጠር ኳሱ ሙሉ በሙሉ መስመሩን ማለፍ አለበት።</v>
      </c>
    </row>
    <row r="69" ht="22.5" customHeight="1">
      <c r="A69" s="4">
        <v>68.0</v>
      </c>
      <c r="B69" s="4" t="s">
        <v>254</v>
      </c>
      <c r="C69" s="4" t="s">
        <v>255</v>
      </c>
      <c r="D69" s="4" t="s">
        <v>256</v>
      </c>
      <c r="E69" s="4" t="s">
        <v>257</v>
      </c>
      <c r="F69" s="5"/>
      <c r="G69" s="6" t="str">
        <f>IFERROR(__xludf.DUMMYFUNCTION(" GOOGLETRANSLATE(A69, ""en"", ""am"")"),"68")</f>
        <v>68</v>
      </c>
      <c r="H69" s="6" t="str">
        <f>IFERROR(__xludf.DUMMYFUNCTION(" GOOGLETRANSLATE(B69, ""en"", ""am"")"),"ዱላውን ሲይዝ የቡድን ጓደኛዎ ከድንበር ይወጣል። የዳኛው ጥሪ ምንድነው?")</f>
        <v>ዱላውን ሲይዝ የቡድን ጓደኛዎ ከድንበር ይወጣል። የዳኛው ጥሪ ምንድነው?</v>
      </c>
      <c r="I69" s="6" t="str">
        <f>IFERROR(__xludf.DUMMYFUNCTION(" GOOGLETRANSLATE(C69, ""en"", ""am"")"),"ሀ. ለተቃራኒ ቡድን የሽልማት ባለቤትነት. ጨዋታውን ለአፍታ አቁም.ሲ. ጨዋታው ይቀጥላል.ዲ. ተጫዋቹን አስጠንቅቅ.")</f>
        <v>ሀ. ለተቃራኒ ቡድን የሽልማት ባለቤትነት. ጨዋታውን ለአፍታ አቁም.ሲ. ጨዋታው ይቀጥላል.ዲ. ተጫዋቹን አስጠንቅቅ.</v>
      </c>
      <c r="J69" s="6" t="str">
        <f>IFERROR(__xludf.DUMMYFUNCTION(" GOOGLETRANSLATE(D69, ""en"", ""am"")"),"ለተቃዋሚ ቡድን የሽልማት ባለቤትነት")</f>
        <v>ለተቃዋሚ ቡድን የሽልማት ባለቤትነት</v>
      </c>
      <c r="K69" s="6" t="str">
        <f>IFERROR(__xludf.DUMMYFUNCTION(" GOOGLETRANSLATE(E69, ""en"", ""am"")"),"በጨዋታው ወቅት ተጫዋቾች በገደብ ውስጥ መቆየት አለባቸው።")</f>
        <v>በጨዋታው ወቅት ተጫዋቾች በገደብ ውስጥ መቆየት አለባቸው።</v>
      </c>
    </row>
    <row r="70" ht="22.5" customHeight="1">
      <c r="A70" s="4">
        <v>69.0</v>
      </c>
      <c r="B70" s="4" t="s">
        <v>258</v>
      </c>
      <c r="C70" s="4" t="s">
        <v>259</v>
      </c>
      <c r="D70" s="4" t="s">
        <v>260</v>
      </c>
      <c r="E70" s="4" t="s">
        <v>261</v>
      </c>
      <c r="F70" s="5"/>
      <c r="G70" s="6" t="str">
        <f>IFERROR(__xludf.DUMMYFUNCTION(" GOOGLETRANSLATE(A70, ""en"", ""am"")"),"69")</f>
        <v>69</v>
      </c>
      <c r="H70" s="6" t="str">
        <f>IFERROR(__xludf.DUMMYFUNCTION(" GOOGLETRANSLATE(B70, ""en"", ""am"")"),"ዳኛው በጨዋታው መሀል ሁለት ተጫዋቾች ሲጨቃጨቁ አይተዋል። ምን እርምጃ ተወሰደ?")</f>
        <v>ዳኛው በጨዋታው መሀል ሁለት ተጫዋቾች ሲጨቃጨቁ አይተዋል። ምን እርምጃ ተወሰደ?</v>
      </c>
      <c r="I70" s="6" t="str">
        <f>IFERROR(__xludf.DUMMYFUNCTION(" GOOGLETRANSLATE(C70, ""en"", ""am"")"),"ሀ. ጨዋታውን ለአፍታ አቁም እና ሁለቱንም ተጫዋቾች አስጠንቅቅ.ቢ. ጨዋታው ቀጥሏል.ሲ. ተጫዋች ዲ. ጨዋታውን ከመሃል ላይ እንደገና ያስጀምሩት።")</f>
        <v>ሀ. ጨዋታውን ለአፍታ አቁም እና ሁለቱንም ተጫዋቾች አስጠንቅቅ.ቢ. ጨዋታው ቀጥሏል.ሲ. ተጫዋች ዲ. ጨዋታውን ከመሃል ላይ እንደገና ያስጀምሩት።</v>
      </c>
      <c r="J70" s="6" t="str">
        <f>IFERROR(__xludf.DUMMYFUNCTION(" GOOGLETRANSLATE(D70, ""en"", ""am"")"),"ጨዋታውን ለአፍታ አቁም እና ሁለቱንም ተጫዋቾች አስጠንቅቅ።")</f>
        <v>ጨዋታውን ለአፍታ አቁም እና ሁለቱንም ተጫዋቾች አስጠንቅቅ።</v>
      </c>
      <c r="K70" s="6" t="str">
        <f>IFERROR(__xludf.DUMMYFUNCTION(" GOOGLETRANSLATE(E70, ""en"", ""am"")"),"ክርክሮች ጨዋታውን ያበላሻሉ እና በማስጠንቀቂያ ይቀጣሉ.")</f>
        <v>ክርክሮች ጨዋታውን ያበላሻሉ እና በማስጠንቀቂያ ይቀጣሉ.</v>
      </c>
    </row>
    <row r="71" ht="22.5" customHeight="1">
      <c r="A71" s="4">
        <v>70.0</v>
      </c>
      <c r="B71" s="4" t="s">
        <v>262</v>
      </c>
      <c r="C71" s="4" t="s">
        <v>263</v>
      </c>
      <c r="D71" s="4" t="s">
        <v>162</v>
      </c>
      <c r="E71" s="4" t="s">
        <v>264</v>
      </c>
      <c r="F71" s="5"/>
      <c r="G71" s="6" t="str">
        <f>IFERROR(__xludf.DUMMYFUNCTION(" GOOGLETRANSLATE(A71, ""en"", ""am"")"),"70")</f>
        <v>70</v>
      </c>
      <c r="H71" s="6" t="str">
        <f>IFERROR(__xludf.DUMMYFUNCTION(" GOOGLETRANSLATE(B71, ""en"", ""am"")"),"አንድ ተጫዋች ጎል ሲያስቆጥር ዳኛው ግን ከጨዋታ ውጪ መሆናቸውን ወስኗል። ውጤቱስ ምንድን ነው?")</f>
        <v>አንድ ተጫዋች ጎል ሲያስቆጥር ዳኛው ግን ከጨዋታ ውጪ መሆናቸውን ወስኗል። ውጤቱስ ምንድን ነው?</v>
      </c>
      <c r="I71" s="6" t="str">
        <f>IFERROR(__xludf.DUMMYFUNCTION(" GOOGLETRANSLATE(C71, ""en"", ""am"")"),"ሀ. ግቡ የተከለከለ ነው.ቢ. ግቡ ተሸልሟል.ሲ. ጨዋታው በድጋሚ በፍፁም ቅጣት ምት ተጀመረ ዲ. ግቡ ማቆም ነው.")</f>
        <v>ሀ. ግቡ የተከለከለ ነው.ቢ. ግቡ ተሸልሟል.ሲ. ጨዋታው በድጋሚ በፍፁም ቅጣት ምት ተጀመረ ዲ. ግቡ ማቆም ነው.</v>
      </c>
      <c r="J71" s="6" t="str">
        <f>IFERROR(__xludf.DUMMYFUNCTION(" GOOGLETRANSLATE(D71, ""en"", ""am"")"),"ግቡ የተከለከለ ነው.")</f>
        <v>ግቡ የተከለከለ ነው.</v>
      </c>
      <c r="K71" s="6" t="str">
        <f>IFERROR(__xludf.DUMMYFUNCTION(" GOOGLETRANSLATE(E71, ""en"", ""am"")"),"ግቡ እንዲቆጠር ተጫዋቾች ከጎናቸው መሆን አለባቸው።")</f>
        <v>ግቡ እንዲቆጠር ተጫዋቾች ከጎናቸው መሆን አለባቸው።</v>
      </c>
    </row>
    <row r="72" ht="22.5" customHeight="1">
      <c r="A72" s="4">
        <v>71.0</v>
      </c>
      <c r="B72" s="4" t="s">
        <v>265</v>
      </c>
      <c r="C72" s="4" t="s">
        <v>266</v>
      </c>
      <c r="D72" s="4" t="s">
        <v>101</v>
      </c>
      <c r="E72" s="4" t="s">
        <v>267</v>
      </c>
      <c r="F72" s="5"/>
      <c r="G72" s="6" t="str">
        <f>IFERROR(__xludf.DUMMYFUNCTION(" GOOGLETRANSLATE(A72, ""en"", ""am"")"),"71")</f>
        <v>71</v>
      </c>
      <c r="H72" s="6" t="str">
        <f>IFERROR(__xludf.DUMMYFUNCTION(" GOOGLETRANSLATE(B72, ""en"", ""am"")"),"አንድ ተጫዋች ጎል ከማስቆጠሩ በፊት ያከብራል፣ ነገር ግን ማቅማማታቸው ኳሱን ለመስረቅ ያስችለዋል። ምን ይሆናል?")</f>
        <v>አንድ ተጫዋች ጎል ከማስቆጠሩ በፊት ያከብራል፣ ነገር ግን ማቅማማታቸው ኳሱን ለመስረቅ ያስችለዋል። ምን ይሆናል?</v>
      </c>
      <c r="I72" s="6" t="str">
        <f>IFERROR(__xludf.DUMMYFUNCTION(" GOOGLETRANSLATE(C72, ""en"", ""am"")"),"ሀ. ጨዋታው ይቀጥላል.ቢ. ዳኛው ማስጠንቀቂያ ሰጥተዋል.ሲ. ለተቃዋሚ ቡድን ዲ ነፃ ሽልማት ይስጡ። ለስፖርታዊ ጨዋነት የጎደለው ባህሪ ጨዋታውን ለአፍታ ያቁሙት።")</f>
        <v>ሀ. ጨዋታው ይቀጥላል.ቢ. ዳኛው ማስጠንቀቂያ ሰጥተዋል.ሲ. ለተቃዋሚ ቡድን ዲ ነፃ ሽልማት ይስጡ። ለስፖርታዊ ጨዋነት የጎደለው ባህሪ ጨዋታውን ለአፍታ ያቁሙት።</v>
      </c>
      <c r="J72" s="6" t="str">
        <f>IFERROR(__xludf.DUMMYFUNCTION(" GOOGLETRANSLATE(D72, ""en"", ""am"")"),"ጨዋታው ቀጥሏል።")</f>
        <v>ጨዋታው ቀጥሏል።</v>
      </c>
      <c r="K72" s="6" t="str">
        <f>IFERROR(__xludf.DUMMYFUNCTION(" GOOGLETRANSLATE(E72, ""en"", ""am"")"),"በጨዋታ ጊዜ ማክበር ወይም ማመንታት ጨዋታውን አያቆምም።")</f>
        <v>በጨዋታ ጊዜ ማክበር ወይም ማመንታት ጨዋታውን አያቆምም።</v>
      </c>
    </row>
    <row r="73" ht="22.5" customHeight="1">
      <c r="A73" s="4">
        <v>72.0</v>
      </c>
      <c r="B73" s="4" t="s">
        <v>268</v>
      </c>
      <c r="C73" s="4" t="s">
        <v>269</v>
      </c>
      <c r="D73" s="4" t="s">
        <v>270</v>
      </c>
      <c r="E73" s="4" t="s">
        <v>271</v>
      </c>
      <c r="F73" s="5"/>
      <c r="G73" s="6" t="str">
        <f>IFERROR(__xludf.DUMMYFUNCTION(" GOOGLETRANSLATE(A73, ""en"", ""am"")"),"72")</f>
        <v>72</v>
      </c>
      <c r="H73" s="6" t="str">
        <f>IFERROR(__xludf.DUMMYFUNCTION(" GOOGLETRANSLATE(B73, ""en"", ""am"")"),"ኳሱ በድንገት ዳኛውን ገጭቶ ወደ ጎል ገባ። የዳኛው ውሳኔ ምን ነበር?")</f>
        <v>ኳሱ በድንገት ዳኛውን ገጭቶ ወደ ጎል ገባ። የዳኛው ውሳኔ ምን ነበር?</v>
      </c>
      <c r="I73" s="6" t="str">
        <f>IFERROR(__xludf.DUMMYFUNCTION(" GOOGLETRANSLATE(C73, ""en"", ""am"")"),"ሀ. ጎል እንዳታስተናግድ በተጣለ ኳስ እንደገና ጀምር። ግቡን ይስጡ.ሲ. ጨዋታውን ለአፍታ አቁም እና ኳሱን ለተጋጣሚ ቡድን ስጡ። ጨዋታው ቀጥሏል።")</f>
        <v>ሀ. ጎል እንዳታስተናግድ በተጣለ ኳስ እንደገና ጀምር። ግቡን ይስጡ.ሲ. ጨዋታውን ለአፍታ አቁም እና ኳሱን ለተጋጣሚ ቡድን ስጡ። ጨዋታው ቀጥሏል።</v>
      </c>
      <c r="J73" s="6" t="str">
        <f>IFERROR(__xludf.DUMMYFUNCTION(" GOOGLETRANSLATE(D73, ""en"", ""am"")"),"ጎል እንዳታስተናግድ በተጣለ ኳስ ጀምር።")</f>
        <v>ጎል እንዳታስተናግድ በተጣለ ኳስ ጀምር።</v>
      </c>
      <c r="K73" s="6" t="str">
        <f>IFERROR(__xludf.DUMMYFUNCTION(" GOOGLETRANSLATE(E73, ""en"", ""am"")"),"ኳሱ ዳኛውን ቢመታ ግቦች ሊሰጡ አይችሉም።")</f>
        <v>ኳሱ ዳኛውን ቢመታ ግቦች ሊሰጡ አይችሉም።</v>
      </c>
    </row>
    <row r="74" ht="22.5" customHeight="1">
      <c r="A74" s="4">
        <v>73.0</v>
      </c>
      <c r="B74" s="4" t="s">
        <v>272</v>
      </c>
      <c r="C74" s="4" t="s">
        <v>273</v>
      </c>
      <c r="D74" s="4" t="s">
        <v>166</v>
      </c>
      <c r="E74" s="4" t="s">
        <v>274</v>
      </c>
      <c r="F74" s="5"/>
      <c r="G74" s="6" t="str">
        <f>IFERROR(__xludf.DUMMYFUNCTION(" GOOGLETRANSLATE(A74, ""en"", ""am"")"),"73")</f>
        <v>73</v>
      </c>
      <c r="H74" s="6" t="str">
        <f>IFERROR(__xludf.DUMMYFUNCTION(" GOOGLETRANSLATE(B74, ""en"", ""am"")"),"ተቃራኒ ተጫዋች ተጎድቷል ነገር ግን ቡድንዎ መጫወቱን አላቆመም። ዳኛው ምን ያደርጋል?")</f>
        <v>ተቃራኒ ተጫዋች ተጎድቷል ነገር ግን ቡድንዎ መጫወቱን አላቆመም። ዳኛው ምን ያደርጋል?</v>
      </c>
      <c r="I74" s="6" t="str">
        <f>IFERROR(__xludf.DUMMYFUNCTION(" GOOGLETRANSLATE(C74, ""en"", ""am"")"),"ሀ. ጨዋታውን ለአፍታ አቁም እና በተጣለ ኳስ እንደገና ያስጀምሩት። ጨዋታው ቀጥሏል.ሲ. ለተጎዳው ቡድን ነፃ ሽልማት ስጡ።ዲ. ቡድንዎን ያስጠነቅቁ")</f>
        <v>ሀ. ጨዋታውን ለአፍታ አቁም እና በተጣለ ኳስ እንደገና ያስጀምሩት። ጨዋታው ቀጥሏል.ሲ. ለተጎዳው ቡድን ነፃ ሽልማት ስጡ።ዲ. ቡድንዎን ያስጠነቅቁ</v>
      </c>
      <c r="J74" s="6" t="str">
        <f>IFERROR(__xludf.DUMMYFUNCTION(" GOOGLETRANSLATE(D74, ""en"", ""am"")"),"ጨዋታውን ለአፍታ አቁም እና በተጣለ ኳስ እንደገና ያስጀምሩት።")</f>
        <v>ጨዋታውን ለአፍታ አቁም እና በተጣለ ኳስ እንደገና ያስጀምሩት።</v>
      </c>
      <c r="K74" s="6" t="str">
        <f>IFERROR(__xludf.DUMMYFUNCTION(" GOOGLETRANSLATE(E74, ""en"", ""am"")"),"የተጫዋቾች ጉዳቶች ለፍትሃዊነት ገለልተኛ ዳግም ማስጀመር ያስፈልጋቸዋል።")</f>
        <v>የተጫዋቾች ጉዳቶች ለፍትሃዊነት ገለልተኛ ዳግም ማስጀመር ያስፈልጋቸዋል።</v>
      </c>
    </row>
    <row r="75" ht="22.5" customHeight="1">
      <c r="A75" s="4">
        <v>74.0</v>
      </c>
      <c r="B75" s="4" t="s">
        <v>275</v>
      </c>
      <c r="C75" s="4" t="s">
        <v>276</v>
      </c>
      <c r="D75" s="4" t="s">
        <v>133</v>
      </c>
      <c r="E75" s="4" t="s">
        <v>277</v>
      </c>
      <c r="F75" s="5"/>
      <c r="G75" s="6" t="str">
        <f>IFERROR(__xludf.DUMMYFUNCTION(" GOOGLETRANSLATE(A75, ""en"", ""am"")"),"74")</f>
        <v>74</v>
      </c>
      <c r="H75" s="6" t="str">
        <f>IFERROR(__xludf.DUMMYFUNCTION(" GOOGLETRANSLATE(B75, ""en"", ""am"")"),"አንድ ተጫዋች ተቃራኒ ጥቃትን ለማስቆም ሆን ብሎ ኳሱን ይመታል። የዳኛው ጥሪ ምንድነው?")</f>
        <v>አንድ ተጫዋች ተቃራኒ ጥቃትን ለማስቆም ሆን ብሎ ኳሱን ይመታል። የዳኛው ጥሪ ምንድነው?</v>
      </c>
      <c r="I75" s="6" t="str">
        <f>IFERROR(__xludf.DUMMYFUNCTION(" GOOGLETRANSLATE(C75, ""en"", ""am"")"),"ሀ. ለተቃዋሚ ቡድን ቢ ነፃ ሽልማት ይስጡ። ጨዋታው ቀጥሏል.ሲ. ለተጫዋቹ ማስጠንቀቂያ ይስጡ.D. ጨዋታውን ለአፍታ አቁም እና በተጣለ ኳስ እንደገና ያስጀምሩት።")</f>
        <v>ሀ. ለተቃዋሚ ቡድን ቢ ነፃ ሽልማት ይስጡ። ጨዋታው ቀጥሏል.ሲ. ለተጫዋቹ ማስጠንቀቂያ ይስጡ.D. ጨዋታውን ለአፍታ አቁም እና በተጣለ ኳስ እንደገና ያስጀምሩት።</v>
      </c>
      <c r="J75" s="6" t="str">
        <f>IFERROR(__xludf.DUMMYFUNCTION(" GOOGLETRANSLATE(D75, ""en"", ""am"")"),"ለተቃራኒ ቡድን ነፃ ሽልማት ይስጡ")</f>
        <v>ለተቃራኒ ቡድን ነፃ ሽልማት ይስጡ</v>
      </c>
      <c r="K75" s="6" t="str">
        <f>IFERROR(__xludf.DUMMYFUNCTION(" GOOGLETRANSLATE(E75, ""en"", ""am"")"),"ሆን ተብሎ ከሜዳ ውጪ የሚደረግ ጨዋታ ይቀጣል።")</f>
        <v>ሆን ተብሎ ከሜዳ ውጪ የሚደረግ ጨዋታ ይቀጣል።</v>
      </c>
    </row>
    <row r="76" ht="22.5" customHeight="1">
      <c r="A76" s="4">
        <v>75.0</v>
      </c>
      <c r="B76" s="4" t="s">
        <v>278</v>
      </c>
      <c r="C76" s="4" t="s">
        <v>279</v>
      </c>
      <c r="D76" s="4" t="s">
        <v>101</v>
      </c>
      <c r="E76" s="4" t="s">
        <v>280</v>
      </c>
      <c r="F76" s="5"/>
      <c r="G76" s="6" t="str">
        <f>IFERROR(__xludf.DUMMYFUNCTION(" GOOGLETRANSLATE(A76, ""en"", ""am"")"),"75")</f>
        <v>75</v>
      </c>
      <c r="H76" s="6" t="str">
        <f>IFERROR(__xludf.DUMMYFUNCTION(" GOOGLETRANSLATE(B76, ""en"", ""am"")"),"ዳኛው በጨዋታው ላይ ሁለት ተጫዋቾች ሲተያዩ ተመልክተዋል። ምን ሆነ፧")</f>
        <v>ዳኛው በጨዋታው ላይ ሁለት ተጫዋቾች ሲተያዩ ተመልክተዋል። ምን ሆነ፧</v>
      </c>
      <c r="I76" s="6" t="str">
        <f>IFERROR(__xludf.DUMMYFUNCTION(" GOOGLETRANSLATE(C76, ""en"", ""am"")"),"ሀ. ጨዋታው ይቀጥላል.ቢ. ጨዋታውን ለአፍታ አቁም እና ማስጠንቀቂያ ስጥ ሲ. ለተቃዋሚ ቡድን ዲ ነፃ ሽልማት ይስጡ። በተቆልቋይ ኳስ እንደገና ያስጀምሩ")</f>
        <v>ሀ. ጨዋታው ይቀጥላል.ቢ. ጨዋታውን ለአፍታ አቁም እና ማስጠንቀቂያ ስጥ ሲ. ለተቃዋሚ ቡድን ዲ ነፃ ሽልማት ይስጡ። በተቆልቋይ ኳስ እንደገና ያስጀምሩ</v>
      </c>
      <c r="J76" s="6" t="str">
        <f>IFERROR(__xludf.DUMMYFUNCTION(" GOOGLETRANSLATE(D76, ""en"", ""am"")"),"ጨዋታው ቀጥሏል።")</f>
        <v>ጨዋታው ቀጥሏል።</v>
      </c>
      <c r="K76" s="6" t="str">
        <f>IFERROR(__xludf.DUMMYFUNCTION(" GOOGLETRANSLATE(E76, ""en"", ""am"")"),"ጨዋታውን እስካልተደናቀፈ ድረስ ተጫዋቾች ዱላ እንዲለዋወጡ ተፈቅዶላቸዋል።")</f>
        <v>ጨዋታውን እስካልተደናቀፈ ድረስ ተጫዋቾች ዱላ እንዲለዋወጡ ተፈቅዶላቸዋል።</v>
      </c>
    </row>
    <row r="77" ht="22.5" customHeight="1">
      <c r="A77" s="4">
        <v>76.0</v>
      </c>
      <c r="B77" s="4" t="s">
        <v>281</v>
      </c>
      <c r="C77" s="4" t="s">
        <v>282</v>
      </c>
      <c r="D77" s="4" t="s">
        <v>252</v>
      </c>
      <c r="E77" s="4" t="s">
        <v>253</v>
      </c>
      <c r="F77" s="5"/>
      <c r="G77" s="6" t="str">
        <f>IFERROR(__xludf.DUMMYFUNCTION(" GOOGLETRANSLATE(A77, ""en"", ""am"")"),"76")</f>
        <v>76</v>
      </c>
      <c r="H77" s="6" t="str">
        <f>IFERROR(__xludf.DUMMYFUNCTION(" GOOGLETRANSLATE(B77, ""en"", ""am"")"),"ኳሱ በግብ መስመሩ ላይ ተንከባለለ ነገር ግን አያልፍም። የዳኛው ውሳኔ ምንድነው?")</f>
        <v>ኳሱ በግብ መስመሩ ላይ ተንከባለለ ነገር ግን አያልፍም። የዳኛው ውሳኔ ምንድነው?</v>
      </c>
      <c r="I77" s="6" t="str">
        <f>IFERROR(__xludf.DUMMYFUNCTION(" GOOGLETRANSLATE(C77, ""en"", ""am"")"),"ሀ. ምንም ግብ አልተሰጠም.B. ግብ ሽልማት ሲ. ጨዋታውን ለአፍታ አቁም.ዲ. ለቡድንዎ ነፃ ሽልማት ይስጡ")</f>
        <v>ሀ. ምንም ግብ አልተሰጠም.B. ግብ ሽልማት ሲ. ጨዋታውን ለአፍታ አቁም.ዲ. ለቡድንዎ ነፃ ሽልማት ይስጡ</v>
      </c>
      <c r="J77" s="6" t="str">
        <f>IFERROR(__xludf.DUMMYFUNCTION(" GOOGLETRANSLATE(D77, ""en"", ""am"")"),"ግብ አልተሰጠም።")</f>
        <v>ግብ አልተሰጠም።</v>
      </c>
      <c r="K77" s="6" t="str">
        <f>IFERROR(__xludf.DUMMYFUNCTION(" GOOGLETRANSLATE(E77, ""en"", ""am"")"),"ጎል ለመቆጠር ኳሱ ሙሉ በሙሉ መስመሩን ማለፍ አለበት።")</f>
        <v>ጎል ለመቆጠር ኳሱ ሙሉ በሙሉ መስመሩን ማለፍ አለበት።</v>
      </c>
    </row>
    <row r="78" ht="22.5" customHeight="1">
      <c r="A78" s="4">
        <v>77.0</v>
      </c>
      <c r="B78" s="4" t="s">
        <v>283</v>
      </c>
      <c r="C78" s="4" t="s">
        <v>284</v>
      </c>
      <c r="D78" s="4" t="s">
        <v>285</v>
      </c>
      <c r="E78" s="4" t="s">
        <v>286</v>
      </c>
      <c r="F78" s="5"/>
      <c r="G78" s="6" t="str">
        <f>IFERROR(__xludf.DUMMYFUNCTION(" GOOGLETRANSLATE(A78, ""en"", ""am"")"),"77")</f>
        <v>77</v>
      </c>
      <c r="H78" s="6" t="str">
        <f>IFERROR(__xludf.DUMMYFUNCTION(" GOOGLETRANSLATE(B78, ""en"", ""am"")"),"አንድ ተጫዋች በድንገት ዱላውን እያወዛወዘ ሌላ ተጫዋች መታው። ዳኛው ምን ይወስናል?")</f>
        <v>አንድ ተጫዋች በድንገት ዱላውን እያወዛወዘ ሌላ ተጫዋች መታው። ዳኛው ምን ይወስናል?</v>
      </c>
      <c r="I78" s="6" t="str">
        <f>IFERROR(__xludf.DUMMYFUNCTION(" GOOGLETRANSLATE(C78, ""en"", ""am"")"),"ሀ. ጨዋታውን ለአፍታ አቁም እና ማስጠንቀቂያ ለ. ጨዋታው ቀጥሏል.ሲ. ለተቃራኒ ቡድን ቅጣት ይስጡ.ዲ. በተቆልቋይ ኳስ ጨዋታውን እንደገና ያስጀምሩት።")</f>
        <v>ሀ. ጨዋታውን ለአፍታ አቁም እና ማስጠንቀቂያ ለ. ጨዋታው ቀጥሏል.ሲ. ለተቃራኒ ቡድን ቅጣት ይስጡ.ዲ. በተቆልቋይ ኳስ ጨዋታውን እንደገና ያስጀምሩት።</v>
      </c>
      <c r="J78" s="6" t="str">
        <f>IFERROR(__xludf.DUMMYFUNCTION(" GOOGLETRANSLATE(D78, ""en"", ""am"")"),"ጨዋታውን ለአፍታ ያቁሙ እና ማስጠንቀቂያ ይስጡ")</f>
        <v>ጨዋታውን ለአፍታ ያቁሙ እና ማስጠንቀቂያ ይስጡ</v>
      </c>
      <c r="K78" s="6" t="str">
        <f>IFERROR(__xludf.DUMMYFUNCTION(" GOOGLETRANSLATE(E78, ""en"", ""am"")"),"የተጫዋች ደህንነትን ለማረጋገጥ በአጋጣሚ መገናኘት ይቀጣል።")</f>
        <v>የተጫዋች ደህንነትን ለማረጋገጥ በአጋጣሚ መገናኘት ይቀጣል።</v>
      </c>
    </row>
    <row r="79" ht="22.5" customHeight="1">
      <c r="A79" s="4">
        <v>78.0</v>
      </c>
      <c r="B79" s="4" t="s">
        <v>287</v>
      </c>
      <c r="C79" s="4" t="s">
        <v>288</v>
      </c>
      <c r="D79" s="4" t="s">
        <v>289</v>
      </c>
      <c r="E79" s="4" t="s">
        <v>290</v>
      </c>
      <c r="F79" s="5"/>
      <c r="G79" s="6" t="str">
        <f>IFERROR(__xludf.DUMMYFUNCTION(" GOOGLETRANSLATE(A79, ""en"", ""am"")"),"78")</f>
        <v>78</v>
      </c>
      <c r="H79" s="6" t="str">
        <f>IFERROR(__xludf.DUMMYFUNCTION(" GOOGLETRANSLATE(B79, ""en"", ""am"")"),"ተተኪው ቡድን ጓደኛው ከመውጣቱ በፊት ወደ ሜዳ መግባት አለበት። ምን ይሆናል?")</f>
        <v>ተተኪው ቡድን ጓደኛው ከመውጣቱ በፊት ወደ ሜዳ መግባት አለበት። ምን ይሆናል?</v>
      </c>
      <c r="I79" s="6" t="str">
        <f>IFERROR(__xludf.DUMMYFUNCTION(" GOOGLETRANSLATE(C79, ""en"", ""am"")"),"ሀ/ ዳኛው ጨዋታውን አቁሞ ማስጠንቀቂያ ሰጥቷል። ጨዋታው ቀጥሏል.ሲ. ለተቃዋሚ ቡድን ዲ ነፃ ሽልማት ይስጡ። ባሉበት ያቁሙ እና በተቆልቋይ ኳስ እንደገና ይጀምሩ።")</f>
        <v>ሀ/ ዳኛው ጨዋታውን አቁሞ ማስጠንቀቂያ ሰጥቷል። ጨዋታው ቀጥሏል.ሲ. ለተቃዋሚ ቡድን ዲ ነፃ ሽልማት ይስጡ። ባሉበት ያቁሙ እና በተቆልቋይ ኳስ እንደገና ይጀምሩ።</v>
      </c>
      <c r="J79" s="6" t="str">
        <f>IFERROR(__xludf.DUMMYFUNCTION(" GOOGLETRANSLATE(D79, ""en"", ""am"")"),"ዳኛው ጨዋታውን አቁመው ማስጠንቀቂያ ሰጥተዋል።")</f>
        <v>ዳኛው ጨዋታውን አቁመው ማስጠንቀቂያ ሰጥተዋል።</v>
      </c>
      <c r="K79" s="6" t="str">
        <f>IFERROR(__xludf.DUMMYFUNCTION(" GOOGLETRANSLATE(E79, ""en"", ""am"")"),"ቀደምት መተካት ስርዓትን ለማስጠበቅ ይቀጣል.")</f>
        <v>ቀደምት መተካት ስርዓትን ለማስጠበቅ ይቀጣል.</v>
      </c>
    </row>
    <row r="80" ht="22.5" customHeight="1">
      <c r="A80" s="4">
        <v>79.0</v>
      </c>
      <c r="B80" s="4" t="s">
        <v>291</v>
      </c>
      <c r="C80" s="4" t="s">
        <v>292</v>
      </c>
      <c r="D80" s="4" t="s">
        <v>293</v>
      </c>
      <c r="E80" s="4" t="s">
        <v>294</v>
      </c>
      <c r="F80" s="5"/>
      <c r="G80" s="6" t="str">
        <f>IFERROR(__xludf.DUMMYFUNCTION(" GOOGLETRANSLATE(A80, ""en"", ""am"")"),"79")</f>
        <v>79</v>
      </c>
      <c r="H80" s="6" t="str">
        <f>IFERROR(__xludf.DUMMYFUNCTION(" GOOGLETRANSLATE(B80, ""en"", ""am"")"),"ኃይለኛ የንፋስ ነበልባል ኳሱን ወደ ግብ ይገፋዋል. የዳኛው ውሳኔ ምንድነው?")</f>
        <v>ኃይለኛ የንፋስ ነበልባል ኳሱን ወደ ግብ ይገፋዋል. የዳኛው ውሳኔ ምንድነው?</v>
      </c>
      <c r="I80" s="6" t="str">
        <f>IFERROR(__xludf.DUMMYFUNCTION(" GOOGLETRANSLATE(C80, ""en"", ""am"")"),"ሀ. ግቡን ይስጡ.B. ግቡ እንዳይሄድ.ሲ. ጨዋታውን ለአፍታ አቁም እና በተጣለ ኳስ እንደገና ያስጀምሩት.ዲ. ለተቃራኒ ቡድን ነፃ ሽልማት ይስጡ")</f>
        <v>ሀ. ግቡን ይስጡ.B. ግቡ እንዳይሄድ.ሲ. ጨዋታውን ለአፍታ አቁም እና በተጣለ ኳስ እንደገና ያስጀምሩት.ዲ. ለተቃራኒ ቡድን ነፃ ሽልማት ይስጡ</v>
      </c>
      <c r="J80" s="6" t="str">
        <f>IFERROR(__xludf.DUMMYFUNCTION(" GOOGLETRANSLATE(D80, ""en"", ""am"")"),"ግቡን ይስጡ.")</f>
        <v>ግቡን ይስጡ.</v>
      </c>
      <c r="K80" s="6" t="str">
        <f>IFERROR(__xludf.DUMMYFUNCTION(" GOOGLETRANSLATE(E80, ""en"", ""am"")"),"እንደ ነፋስ ያሉ የተፈጥሮ ምክንያቶች ግቦችን አያበላሹም.")</f>
        <v>እንደ ነፋስ ያሉ የተፈጥሮ ምክንያቶች ግቦችን አያበላሹም.</v>
      </c>
    </row>
    <row r="81" ht="22.5" customHeight="1">
      <c r="A81" s="4">
        <v>80.0</v>
      </c>
      <c r="B81" s="4" t="s">
        <v>295</v>
      </c>
      <c r="C81" s="4" t="s">
        <v>296</v>
      </c>
      <c r="D81" s="4" t="s">
        <v>297</v>
      </c>
      <c r="E81" s="4" t="s">
        <v>298</v>
      </c>
      <c r="F81" s="5"/>
      <c r="G81" s="6" t="str">
        <f>IFERROR(__xludf.DUMMYFUNCTION(" GOOGLETRANSLATE(A81, ""en"", ""am"")"),"80")</f>
        <v>80</v>
      </c>
      <c r="H81" s="6" t="str">
        <f>IFERROR(__xludf.DUMMYFUNCTION(" GOOGLETRANSLATE(B81, ""en"", ""am"")"),"ተጨዋች ጎል ያስቆጠረው ኳሱ ሲሰበር ነው። ዳኛው ምን ይወስናል?")</f>
        <v>ተጨዋች ጎል ያስቆጠረው ኳሱ ሲሰበር ነው። ዳኛው ምን ይወስናል?</v>
      </c>
      <c r="I81" s="6" t="str">
        <f>IFERROR(__xludf.DUMMYFUNCTION(" GOOGLETRANSLATE(C81, ""en"", ""am"")"),"ሀ. ግቡን ይስጡ.B. ግቡ እንዳይሄድ.ሲ. ጨዋታውን ለአፍታ አቁም እና ማስጠንቀቂያ ስጥ። በተቆልቋይ ኳስ እንደገና ያስጀምሩ")</f>
        <v>ሀ. ግቡን ይስጡ.B. ግቡ እንዳይሄድ.ሲ. ጨዋታውን ለአፍታ አቁም እና ማስጠንቀቂያ ስጥ። በተቆልቋይ ኳስ እንደገና ያስጀምሩ</v>
      </c>
      <c r="J81" s="6" t="str">
        <f>IFERROR(__xludf.DUMMYFUNCTION(" GOOGLETRANSLATE(D81, ""en"", ""am"")"),"ግቡ እንዲሄድ አይፍቀዱ.")</f>
        <v>ግቡ እንዲሄድ አይፍቀዱ.</v>
      </c>
      <c r="K81" s="6" t="str">
        <f>IFERROR(__xludf.DUMMYFUNCTION(" GOOGLETRANSLATE(E81, ""en"", ""am"")"),"ተጫዋቾች ለትክክለኛ ግቦች ተግባራዊ መሳሪያዎችን መጠቀም አለባቸው።")</f>
        <v>ተጫዋቾች ለትክክለኛ ግቦች ተግባራዊ መሳሪያዎችን መጠቀም አለባቸው።</v>
      </c>
    </row>
    <row r="82" ht="22.5" customHeight="1">
      <c r="A82" s="4">
        <v>81.0</v>
      </c>
      <c r="B82" s="4" t="s">
        <v>299</v>
      </c>
      <c r="C82" s="4" t="s">
        <v>300</v>
      </c>
      <c r="D82" s="4" t="s">
        <v>166</v>
      </c>
      <c r="E82" s="4" t="s">
        <v>301</v>
      </c>
      <c r="F82" s="5"/>
      <c r="G82" s="6" t="str">
        <f>IFERROR(__xludf.DUMMYFUNCTION(" GOOGLETRANSLATE(A82, ""en"", ""am"")"),"81")</f>
        <v>81</v>
      </c>
      <c r="H82" s="6" t="str">
        <f>IFERROR(__xludf.DUMMYFUNCTION(" GOOGLETRANSLATE(B82, ""en"", ""am"")"),"ኳሱ በሜዳው ላይ በሁለት ድንጋዮች መካከል ተጣብቋል. የዳኛው ጥሪ ምንድነው?")</f>
        <v>ኳሱ በሜዳው ላይ በሁለት ድንጋዮች መካከል ተጣብቋል. የዳኛው ጥሪ ምንድነው?</v>
      </c>
      <c r="I82" s="6" t="str">
        <f>IFERROR(__xludf.DUMMYFUNCTION(" GOOGLETRANSLATE(C82, ""en"", ""am"")"),"ሀ. ጨዋታውን ለአፍታ አቁም እና በተጣለ ኳስ እንደገና ያስጀምሩት። ለተቃዋሚ ቡድን የሽልማት ባለቤትነት. ጨዋታው ይቀጥላል.ዲ. እንቅፋቱን ያስወግዱ እና ይቀጥሉ.")</f>
        <v>ሀ. ጨዋታውን ለአፍታ አቁም እና በተጣለ ኳስ እንደገና ያስጀምሩት። ለተቃዋሚ ቡድን የሽልማት ባለቤትነት. ጨዋታው ይቀጥላል.ዲ. እንቅፋቱን ያስወግዱ እና ይቀጥሉ.</v>
      </c>
      <c r="J82" s="6" t="str">
        <f>IFERROR(__xludf.DUMMYFUNCTION(" GOOGLETRANSLATE(D82, ""en"", ""am"")"),"ጨዋታውን ለአፍታ አቁም እና በተጣለ ኳስ እንደገና ያስጀምሩት።")</f>
        <v>ጨዋታውን ለአፍታ አቁም እና በተጣለ ኳስ እንደገና ያስጀምሩት።</v>
      </c>
      <c r="K82" s="6" t="str">
        <f>IFERROR(__xludf.DUMMYFUNCTION(" GOOGLETRANSLATE(E82, ""en"", ""am"")"),"ጨዋታውን ለማቆም መሰናክሎች ገለልተኛ ዳግም ማስጀመር ያስፈልጋቸዋል።")</f>
        <v>ጨዋታውን ለማቆም መሰናክሎች ገለልተኛ ዳግም ማስጀመር ያስፈልጋቸዋል።</v>
      </c>
    </row>
    <row r="83" ht="22.5" customHeight="1">
      <c r="A83" s="4">
        <v>82.0</v>
      </c>
      <c r="B83" s="4" t="s">
        <v>302</v>
      </c>
      <c r="C83" s="4" t="s">
        <v>303</v>
      </c>
      <c r="D83" s="4" t="s">
        <v>304</v>
      </c>
      <c r="E83" s="4" t="s">
        <v>305</v>
      </c>
      <c r="F83" s="5"/>
      <c r="G83" s="6" t="str">
        <f>IFERROR(__xludf.DUMMYFUNCTION(" GOOGLETRANSLATE(A83, ""en"", ""am"")"),"82")</f>
        <v>82</v>
      </c>
      <c r="H83" s="6" t="str">
        <f>IFERROR(__xludf.DUMMYFUNCTION(" GOOGLETRANSLATE(B83, ""en"", ""am"")"),"አንድ ተጫዋች ቡድኑ የፍፁም ቅጣት ምት ከተሰጠ በኋላ ሆን ብሎ ጨዋታውን አዘገየው። የዳኛው ውሳኔ ምን ነበር?")</f>
        <v>አንድ ተጫዋች ቡድኑ የፍፁም ቅጣት ምት ከተሰጠ በኋላ ሆን ብሎ ጨዋታውን አዘገየው። የዳኛው ውሳኔ ምን ነበር?</v>
      </c>
      <c r="I83" s="6" t="str">
        <f>IFERROR(__xludf.DUMMYFUNCTION(" GOOGLETRANSLATE(C83, ""en"", ""am"")"),"ሀ. ተጫዋቹን አስጠንቅቅ እና የፍፁም ቅጣት ምት ፍቀድ። ለተቃራኒ ቡድን ቅጣት ይስጡ.ሲ. ጨዋታውን ለአፍታ አቁም.ዲ. ጨዋታው ቀጥሏል።")</f>
        <v>ሀ. ተጫዋቹን አስጠንቅቅ እና የፍፁም ቅጣት ምት ፍቀድ። ለተቃራኒ ቡድን ቅጣት ይስጡ.ሲ. ጨዋታውን ለአፍታ አቁም.ዲ. ጨዋታው ቀጥሏል።</v>
      </c>
      <c r="J83" s="6" t="str">
        <f>IFERROR(__xludf.DUMMYFUNCTION(" GOOGLETRANSLATE(D83, ""en"", ""am"")"),"ተጫዋቹን አስጠንቅቅ እና የፍፁም ቅጣት ምት ፍቀድ።")</f>
        <v>ተጫዋቹን አስጠንቅቅ እና የፍፁም ቅጣት ምት ፍቀድ።</v>
      </c>
      <c r="K83" s="6" t="str">
        <f>IFERROR(__xludf.DUMMYFUNCTION(" GOOGLETRANSLATE(E83, ""en"", ""am"")"),"ሆን ተብሎ መዘግየቶች ማስጠንቀቂያዎችን ያስከትላሉ.")</f>
        <v>ሆን ተብሎ መዘግየቶች ማስጠንቀቂያዎችን ያስከትላሉ.</v>
      </c>
    </row>
    <row r="84" ht="22.5" customHeight="1">
      <c r="A84" s="4">
        <v>83.0</v>
      </c>
      <c r="B84" s="4" t="s">
        <v>306</v>
      </c>
      <c r="C84" s="4" t="s">
        <v>307</v>
      </c>
      <c r="D84" s="4" t="s">
        <v>308</v>
      </c>
      <c r="E84" s="4" t="s">
        <v>309</v>
      </c>
      <c r="F84" s="5"/>
      <c r="G84" s="6" t="str">
        <f>IFERROR(__xludf.DUMMYFUNCTION(" GOOGLETRANSLATE(A84, ""en"", ""am"")"),"83")</f>
        <v>83</v>
      </c>
      <c r="H84" s="6" t="str">
        <f>IFERROR(__xludf.DUMMYFUNCTION(" GOOGLETRANSLATE(B84, ""en"", ""am"")"),"ዳኛው በስህተት ለተሳሳተ ቡድን ጎል ሰጡ። ቀጥሎ ምን ይሆናል?")</f>
        <v>ዳኛው በስህተት ለተሳሳተ ቡድን ጎል ሰጡ። ቀጥሎ ምን ይሆናል?</v>
      </c>
      <c r="I84" s="6" t="str">
        <f>IFERROR(__xludf.DUMMYFUNCTION(" GOOGLETRANSLATE(C84, ""en"", ""am"")"),"ሀ. ስህተቱን ያስተካክሉ እና ጨዋታውን እንደገና ያስጀምሩ.B. ውሳኔው የመጨረሻ ነው.ሲ. ለተቃዋሚ ቡድን ዲ ነፃ ሽልማት ይስጡ። ጨዋታውን ለአፍታ አቁም.")</f>
        <v>ሀ. ስህተቱን ያስተካክሉ እና ጨዋታውን እንደገና ያስጀምሩ.B. ውሳኔው የመጨረሻ ነው.ሲ. ለተቃዋሚ ቡድን ዲ ነፃ ሽልማት ይስጡ። ጨዋታውን ለአፍታ አቁም.</v>
      </c>
      <c r="J84" s="6" t="str">
        <f>IFERROR(__xludf.DUMMYFUNCTION(" GOOGLETRANSLATE(D84, ""en"", ""am"")"),"ስህተቱን ያስተካክሉ እና ጨዋታውን እንደገና ያስጀምሩ።")</f>
        <v>ስህተቱን ያስተካክሉ እና ጨዋታውን እንደገና ያስጀምሩ።</v>
      </c>
      <c r="K84" s="6" t="str">
        <f>IFERROR(__xludf.DUMMYFUNCTION(" GOOGLETRANSLATE(E84, ""en"", ""am"")"),"ጨዋታው ከመቀጠሉ በፊት ስህተቶች ሊስተካከሉ ይችላሉ።")</f>
        <v>ጨዋታው ከመቀጠሉ በፊት ስህተቶች ሊስተካከሉ ይችላሉ።</v>
      </c>
    </row>
    <row r="85" ht="22.5" customHeight="1">
      <c r="A85" s="4">
        <v>84.0</v>
      </c>
      <c r="B85" s="4" t="s">
        <v>310</v>
      </c>
      <c r="C85" s="4" t="s">
        <v>311</v>
      </c>
      <c r="D85" s="4" t="s">
        <v>297</v>
      </c>
      <c r="E85" s="4" t="s">
        <v>312</v>
      </c>
      <c r="F85" s="5"/>
      <c r="G85" s="6" t="str">
        <f>IFERROR(__xludf.DUMMYFUNCTION(" GOOGLETRANSLATE(A85, ""en"", ""am"")"),"84")</f>
        <v>84</v>
      </c>
      <c r="H85" s="6" t="str">
        <f>IFERROR(__xludf.DUMMYFUNCTION(" GOOGLETRANSLATE(B85, ""en"", ""am"")"),"አንድ ተጫዋች ጎል አስቆጠረ ነገር ግን በጥይት መተኮሱ ወቅት ከጨዋታ ውጪ ነበር። የዳኛው ጥሪ ምን ነበር?")</f>
        <v>አንድ ተጫዋች ጎል አስቆጠረ ነገር ግን በጥይት መተኮሱ ወቅት ከጨዋታ ውጪ ነበር። የዳኛው ጥሪ ምን ነበር?</v>
      </c>
      <c r="I85" s="6" t="str">
        <f>IFERROR(__xludf.DUMMYFUNCTION(" GOOGLETRANSLATE(C85, ""en"", ""am"")"),"ሀ. ግቡ እንዳይሄድ.B. ግቡን ይስጡ.ሲ. ጨዋታውን ለአፍታ አቁም.ዲ. ለተጋጣሚ ቡድን ቅጣት ይስጡ።")</f>
        <v>ሀ. ግቡ እንዳይሄድ.B. ግቡን ይስጡ.ሲ. ጨዋታውን ለአፍታ አቁም.ዲ. ለተጋጣሚ ቡድን ቅጣት ይስጡ።</v>
      </c>
      <c r="J85" s="6" t="str">
        <f>IFERROR(__xludf.DUMMYFUNCTION(" GOOGLETRANSLATE(D85, ""en"", ""am"")"),"ግቡ እንዲሄድ አይፍቀዱ.")</f>
        <v>ግቡ እንዲሄድ አይፍቀዱ.</v>
      </c>
      <c r="K85" s="6" t="str">
        <f>IFERROR(__xludf.DUMMYFUNCTION(" GOOGLETRANSLATE(E85, ""en"", ""am"")"),"ትክክለኛ ግቦችን ለማስቆጠር ተጫዋቾች ከጎናቸው መሆን አለባቸው።")</f>
        <v>ትክክለኛ ግቦችን ለማስቆጠር ተጫዋቾች ከጎናቸው መሆን አለባቸው።</v>
      </c>
    </row>
    <row r="86" ht="22.5" customHeight="1">
      <c r="A86" s="4">
        <v>85.0</v>
      </c>
      <c r="B86" s="4" t="s">
        <v>313</v>
      </c>
      <c r="C86" s="4" t="s">
        <v>314</v>
      </c>
      <c r="D86" s="4" t="s">
        <v>166</v>
      </c>
      <c r="E86" s="4" t="s">
        <v>315</v>
      </c>
      <c r="F86" s="5"/>
      <c r="G86" s="6" t="str">
        <f>IFERROR(__xludf.DUMMYFUNCTION(" GOOGLETRANSLATE(A86, ""en"", ""am"")"),"85")</f>
        <v>85</v>
      </c>
      <c r="H86" s="6" t="str">
        <f>IFERROR(__xludf.DUMMYFUNCTION(" GOOGLETRANSLATE(B86, ""en"", ""am"")"),"ሁለት ተጫዋቾች በኳስ ቁጥጥር እየተከራከሩ ነው። ዳኛው ምን ያደርጋል?")</f>
        <v>ሁለት ተጫዋቾች በኳስ ቁጥጥር እየተከራከሩ ነው። ዳኛው ምን ያደርጋል?</v>
      </c>
      <c r="I86" s="6" t="str">
        <f>IFERROR(__xludf.DUMMYFUNCTION(" GOOGLETRANSLATE(C86, ""en"", ""am"")"),"ሀ. ጨዋታውን ለአፍታ አቁም እና በተጣለ ኳስ እንደገና ያስጀምሩት። ለቡድን ሽልማት መስጠት. ጨዋታው ይቀጥላል.ዲ. ሁለቱንም ተጫዋቾች አስጠንቅቅ እና እንደገና ተጫወት።")</f>
        <v>ሀ. ጨዋታውን ለአፍታ አቁም እና በተጣለ ኳስ እንደገና ያስጀምሩት። ለቡድን ሽልማት መስጠት. ጨዋታው ይቀጥላል.ዲ. ሁለቱንም ተጫዋቾች አስጠንቅቅ እና እንደገና ተጫወት።</v>
      </c>
      <c r="J86" s="6" t="str">
        <f>IFERROR(__xludf.DUMMYFUNCTION(" GOOGLETRANSLATE(D86, ""en"", ""am"")"),"ጨዋታውን ለአፍታ አቁም እና በተጣለ ኳስ እንደገና ያስጀምሩት።")</f>
        <v>ጨዋታውን ለአፍታ አቁም እና በተጣለ ኳስ እንደገና ያስጀምሩት።</v>
      </c>
      <c r="K86" s="6" t="str">
        <f>IFERROR(__xludf.DUMMYFUNCTION(" GOOGLETRANSLATE(E86, ""en"", ""am"")"),"አለመግባባቶች የሚፈቱት በገለልተኛ ዳግም ማስጀመር ነው።")</f>
        <v>አለመግባባቶች የሚፈቱት በገለልተኛ ዳግም ማስጀመር ነው።</v>
      </c>
    </row>
    <row r="87" ht="22.5" customHeight="1">
      <c r="A87" s="4">
        <v>86.0</v>
      </c>
      <c r="B87" s="4" t="s">
        <v>316</v>
      </c>
      <c r="C87" s="4" t="s">
        <v>317</v>
      </c>
      <c r="D87" s="4" t="s">
        <v>133</v>
      </c>
      <c r="E87" s="4" t="s">
        <v>318</v>
      </c>
      <c r="F87" s="5"/>
      <c r="G87" s="6" t="str">
        <f>IFERROR(__xludf.DUMMYFUNCTION(" GOOGLETRANSLATE(A87, ""en"", ""am"")"),"86")</f>
        <v>86</v>
      </c>
      <c r="H87" s="6" t="str">
        <f>IFERROR(__xludf.DUMMYFUNCTION(" GOOGLETRANSLATE(B87, ""en"", ""am"")"),"አንድ ተጫዋች ኳሱን መታው እና ተመልሶ ወደ እጁ ይመለሳል። ቀጥሎ ምን ይሆናል?")</f>
        <v>አንድ ተጫዋች ኳሱን መታው እና ተመልሶ ወደ እጁ ይመለሳል። ቀጥሎ ምን ይሆናል?</v>
      </c>
      <c r="I87" s="6" t="str">
        <f>IFERROR(__xludf.DUMMYFUNCTION(" GOOGLETRANSLATE(C87, ""en"", ""am"")"),"ሀ. ለተቃዋሚ ቡድን ቢ ነፃ ሽልማት ይስጡ። ጨዋታው ቀጥሏል.ሲ. ጨዋታውን ለአፍታ አቁም እና ተጫዋቹን አስጠንቅቅ.ዲ. ለቡድንዎ ባለቤትነትን ይሸልሙ።")</f>
        <v>ሀ. ለተቃዋሚ ቡድን ቢ ነፃ ሽልማት ይስጡ። ጨዋታው ቀጥሏል.ሲ. ጨዋታውን ለአፍታ አቁም እና ተጫዋቹን አስጠንቅቅ.ዲ. ለቡድንዎ ባለቤትነትን ይሸልሙ።</v>
      </c>
      <c r="J87" s="6" t="str">
        <f>IFERROR(__xludf.DUMMYFUNCTION(" GOOGLETRANSLATE(D87, ""en"", ""am"")"),"ለተቃራኒ ቡድን ነፃ ሽልማት ይስጡ")</f>
        <v>ለተቃራኒ ቡድን ነፃ ሽልማት ይስጡ</v>
      </c>
      <c r="K87" s="6" t="str">
        <f>IFERROR(__xludf.DUMMYFUNCTION(" GOOGLETRANSLATE(E87, ""en"", ""am"")"),"ከኳሱ ጋር በእጅ መገናኘት አይፈቀድም.")</f>
        <v>ከኳሱ ጋር በእጅ መገናኘት አይፈቀድም.</v>
      </c>
    </row>
    <row r="88" ht="22.5" customHeight="1">
      <c r="A88" s="4">
        <v>87.0</v>
      </c>
      <c r="B88" s="4" t="s">
        <v>319</v>
      </c>
      <c r="C88" s="4" t="s">
        <v>320</v>
      </c>
      <c r="D88" s="4" t="s">
        <v>321</v>
      </c>
      <c r="E88" s="4" t="s">
        <v>322</v>
      </c>
      <c r="F88" s="5"/>
      <c r="G88" s="6" t="str">
        <f>IFERROR(__xludf.DUMMYFUNCTION(" GOOGLETRANSLATE(A88, ""en"", ""am"")"),"87")</f>
        <v>87</v>
      </c>
      <c r="H88" s="6" t="str">
        <f>IFERROR(__xludf.DUMMYFUNCTION(" GOOGLETRANSLATE(B88, ""en"", ""am"")"),"ቡድንህ ነጥብ አስመዝግቧል ነገርግን ዳኛው የጎል ምሰሶው ትክክለኛ ቦታ ላይ እንዳልሆነ አስተውለዋል። ምን ይሆናል?")</f>
        <v>ቡድንህ ነጥብ አስመዝግቧል ነገርግን ዳኛው የጎል ምሰሶው ትክክለኛ ቦታ ላይ እንዳልሆነ አስተውለዋል። ምን ይሆናል?</v>
      </c>
      <c r="I88" s="6" t="str">
        <f>IFERROR(__xludf.DUMMYFUNCTION(" GOOGLETRANSLATE(C88, ""en"", ""am"")"),"ሀ. ግቡን አትፍቀድ እና ጨዋታውን እንደገና ያስጀምሩ.B. ግቡን ይስጡ.ሲ. ጨዋታውን ለአፍታ አቁም.ዲ. ለቡድንዎ ቅጣት ይስጡ.")</f>
        <v>ሀ. ግቡን አትፍቀድ እና ጨዋታውን እንደገና ያስጀምሩ.B. ግቡን ይስጡ.ሲ. ጨዋታውን ለአፍታ አቁም.ዲ. ለቡድንዎ ቅጣት ይስጡ.</v>
      </c>
      <c r="J88" s="6" t="str">
        <f>IFERROR(__xludf.DUMMYFUNCTION(" GOOGLETRANSLATE(D88, ""en"", ""am"")"),"ግቡን አይፍቀዱ እና ጨዋታውን እንደገና ያስጀምሩ።")</f>
        <v>ግቡን አይፍቀዱ እና ጨዋታውን እንደገና ያስጀምሩ።</v>
      </c>
      <c r="K88" s="6" t="str">
        <f>IFERROR(__xludf.DUMMYFUNCTION(" GOOGLETRANSLATE(E88, ""en"", ""am"")"),"በተሳሳተ መሳሪያ የተቆጠሩ ግቦች ልክ አይደሉም።")</f>
        <v>በተሳሳተ መሳሪያ የተቆጠሩ ግቦች ልክ አይደሉም።</v>
      </c>
    </row>
    <row r="89" ht="22.5" customHeight="1">
      <c r="A89" s="4">
        <v>88.0</v>
      </c>
      <c r="B89" s="4" t="s">
        <v>323</v>
      </c>
      <c r="C89" s="4" t="s">
        <v>324</v>
      </c>
      <c r="D89" s="4" t="s">
        <v>158</v>
      </c>
      <c r="E89" s="4" t="s">
        <v>325</v>
      </c>
      <c r="F89" s="5"/>
      <c r="G89" s="6" t="str">
        <f>IFERROR(__xludf.DUMMYFUNCTION(" GOOGLETRANSLATE(A89, ""en"", ""am"")"),"88")</f>
        <v>88</v>
      </c>
      <c r="H89" s="6" t="str">
        <f>IFERROR(__xludf.DUMMYFUNCTION(" GOOGLETRANSLATE(B89, ""en"", ""am"")"),"ዳኛው ከተጫዋቹ ያልተገባ አስተያየት ይሰማል። የዳኛው ውሳኔ ምንድነው?")</f>
        <v>ዳኛው ከተጫዋቹ ያልተገባ አስተያየት ይሰማል። የዳኛው ውሳኔ ምንድነው?</v>
      </c>
      <c r="I89" s="6" t="str">
        <f>IFERROR(__xludf.DUMMYFUNCTION(" GOOGLETRANSLATE(C89, ""en"", ""am"")"),"ሀ. ተጫዋቹን አስጠንቅቅ እና ጨዋታውን እንደገና አስጀምር.B. ጨዋታውን ለአፍታ አቁም.ሲ. ለተቃዋሚ ቡድን ዲ ነፃ ሽልማት ይስጡ። ጨዋታው ቀጥሏል።")</f>
        <v>ሀ. ተጫዋቹን አስጠንቅቅ እና ጨዋታውን እንደገና አስጀምር.B. ጨዋታውን ለአፍታ አቁም.ሲ. ለተቃዋሚ ቡድን ዲ ነፃ ሽልማት ይስጡ። ጨዋታው ቀጥሏል።</v>
      </c>
      <c r="J89" s="6" t="str">
        <f>IFERROR(__xludf.DUMMYFUNCTION(" GOOGLETRANSLATE(D89, ""en"", ""am"")"),"ተጫዋቹን አስጠንቅቁ እና እንደገና መጫወቱን ያስጀምሩ።")</f>
        <v>ተጫዋቹን አስጠንቅቁ እና እንደገና መጫወቱን ያስጀምሩ።</v>
      </c>
      <c r="K89" s="6" t="str">
        <f>IFERROR(__xludf.DUMMYFUNCTION(" GOOGLETRANSLATE(E89, ""en"", ""am"")"),"ስፖርታዊ ጨዋነት የጎደለው ድርጊት በማስጠንቀቂያ ይቀጣል።")</f>
        <v>ስፖርታዊ ጨዋነት የጎደለው ድርጊት በማስጠንቀቂያ ይቀጣል።</v>
      </c>
    </row>
    <row r="90" ht="22.5" customHeight="1">
      <c r="A90" s="4">
        <v>89.0</v>
      </c>
      <c r="B90" s="4" t="s">
        <v>326</v>
      </c>
      <c r="C90" s="4" t="s">
        <v>327</v>
      </c>
      <c r="D90" s="4" t="s">
        <v>133</v>
      </c>
      <c r="E90" s="4" t="s">
        <v>328</v>
      </c>
      <c r="F90" s="5"/>
      <c r="G90" s="6" t="str">
        <f>IFERROR(__xludf.DUMMYFUNCTION(" GOOGLETRANSLATE(A90, ""en"", ""am"")"),"89")</f>
        <v>89</v>
      </c>
      <c r="H90" s="6" t="str">
        <f>IFERROR(__xludf.DUMMYFUNCTION(" GOOGLETRANSLATE(B90, ""en"", ""am"")"),"አንድ ተጫዋች ሆን ብሎ የግብ ጠባቂውን እይታ ይከለክላል። የዳኛው ጥሪ ምንድነው?")</f>
        <v>አንድ ተጫዋች ሆን ብሎ የግብ ጠባቂውን እይታ ይከለክላል። የዳኛው ጥሪ ምንድነው?</v>
      </c>
      <c r="I90" s="6" t="str">
        <f>IFERROR(__xludf.DUMMYFUNCTION(" GOOGLETRANSLATE(C90, ""en"", ""am"")"),"ሀ. ለተቃዋሚ ቡድን ቢ ነፃ ሽልማት ይስጡ። ጨዋታው ቀጥሏል.ሲ. ጨዋታውን ለአፍታ አቁም እና ተጫዋቹን አስጠንቅቅ.ዲ. ለግብ ጠባቂው ቡድን የሽልማት ገንዘብ")</f>
        <v>ሀ. ለተቃዋሚ ቡድን ቢ ነፃ ሽልማት ይስጡ። ጨዋታው ቀጥሏል.ሲ. ጨዋታውን ለአፍታ አቁም እና ተጫዋቹን አስጠንቅቅ.ዲ. ለግብ ጠባቂው ቡድን የሽልማት ገንዘብ</v>
      </c>
      <c r="J90" s="6" t="str">
        <f>IFERROR(__xludf.DUMMYFUNCTION(" GOOGLETRANSLATE(D90, ""en"", ""am"")"),"ለተቃራኒ ቡድን ነፃ ሽልማት ይስጡ")</f>
        <v>ለተቃራኒ ቡድን ነፃ ሽልማት ይስጡ</v>
      </c>
      <c r="K90" s="6" t="str">
        <f>IFERROR(__xludf.DUMMYFUNCTION(" GOOGLETRANSLATE(E90, ""en"", ""am"")"),"ግብ ጠባቂውን ማደናቀፍ ያስቀጣል።")</f>
        <v>ግብ ጠባቂውን ማደናቀፍ ያስቀጣል።</v>
      </c>
    </row>
    <row r="91" ht="22.5" customHeight="1">
      <c r="A91" s="4">
        <v>90.0</v>
      </c>
      <c r="B91" s="4" t="s">
        <v>329</v>
      </c>
      <c r="C91" s="4" t="s">
        <v>330</v>
      </c>
      <c r="D91" s="4" t="s">
        <v>331</v>
      </c>
      <c r="E91" s="4" t="s">
        <v>332</v>
      </c>
      <c r="F91" s="5"/>
      <c r="G91" s="6" t="str">
        <f>IFERROR(__xludf.DUMMYFUNCTION(" GOOGLETRANSLATE(A91, ""en"", ""am"")"),"90")</f>
        <v>90</v>
      </c>
      <c r="H91" s="6" t="str">
        <f>IFERROR(__xludf.DUMMYFUNCTION(" GOOGLETRANSLATE(B91, ""en"", ""am"")"),"ኳሱ በአጋጣሚ የዳኛውን ደረት በመምታት ይቆማል። ምን ይሆናል?")</f>
        <v>ኳሱ በአጋጣሚ የዳኛውን ደረት በመምታት ይቆማል። ምን ይሆናል?</v>
      </c>
      <c r="I91" s="6" t="str">
        <f>IFERROR(__xludf.DUMMYFUNCTION(" GOOGLETRANSLATE(C91, ""en"", ""am"")"),"ሀ. ጨዋታውን በተጠባባቂ ኳስ እንደገና ያስጀምሩት። ለተቃዋሚ ቡድን የሽልማት ባለቤትነት. ጨዋታው ይቀጥላል.ዲ. ጨዋታውን ለአፍታ አቁም እና ተጫዋቹን አስጠንቅቅ።")</f>
        <v>ሀ. ጨዋታውን በተጠባባቂ ኳስ እንደገና ያስጀምሩት። ለተቃዋሚ ቡድን የሽልማት ባለቤትነት. ጨዋታው ይቀጥላል.ዲ. ጨዋታውን ለአፍታ አቁም እና ተጫዋቹን አስጠንቅቅ።</v>
      </c>
      <c r="J91" s="6" t="str">
        <f>IFERROR(__xludf.DUMMYFUNCTION(" GOOGLETRANSLATE(D91, ""en"", ""am"")"),"በተቆልቋይ ኳስ ጨዋታውን እንደገና ያስጀምሩት።")</f>
        <v>በተቆልቋይ ኳስ ጨዋታውን እንደገና ያስጀምሩት።</v>
      </c>
      <c r="K91" s="6" t="str">
        <f>IFERROR(__xludf.DUMMYFUNCTION(" GOOGLETRANSLATE(E91, ""en"", ""am"")"),"ዳኛው ጣልቃ ከገቡ በኋላ ጨዋታው በገለልተኝነት እንደገና ይጀምራል።")</f>
        <v>ዳኛው ጣልቃ ከገቡ በኋላ ጨዋታው በገለልተኝነት እንደገና ይጀምራል።</v>
      </c>
    </row>
    <row r="92" ht="22.5" customHeight="1">
      <c r="A92" s="4">
        <v>91.0</v>
      </c>
      <c r="B92" s="4" t="s">
        <v>333</v>
      </c>
      <c r="C92" s="4" t="s">
        <v>334</v>
      </c>
      <c r="D92" s="4" t="s">
        <v>335</v>
      </c>
      <c r="E92" s="4" t="s">
        <v>336</v>
      </c>
      <c r="F92" s="5"/>
      <c r="G92" s="6" t="str">
        <f>IFERROR(__xludf.DUMMYFUNCTION(" GOOGLETRANSLATE(A92, ""en"", ""am"")"),"91")</f>
        <v>91</v>
      </c>
      <c r="H92" s="6" t="str">
        <f>IFERROR(__xludf.DUMMYFUNCTION(" GOOGLETRANSLATE(B92, ""en"", ""am"")"),"አንድ ተጫዋች ጎል ሲያስቆጥር ቡድናቸው በሜዳው ላይ ብዙ ተጫዋቾች አሉት። ዳኛው ምን ይወስናል?")</f>
        <v>አንድ ተጫዋች ጎል ሲያስቆጥር ቡድናቸው በሜዳው ላይ ብዙ ተጫዋቾች አሉት። ዳኛው ምን ይወስናል?</v>
      </c>
      <c r="I92" s="6" t="str">
        <f>IFERROR(__xludf.DUMMYFUNCTION(" GOOGLETRANSLATE(C92, ""en"", ""am"")"),"ሀ. ግቡ እንዳይሄድ እና ማስጠንቀቂያ ይስጡ.B. ግቡን ይስጡ.ሲ. ጨዋታው ይቀጥላል.ዲ. ጨዋታውን ለአፍታ አቁም እና በተጣለ ኳስ እንደገና ያስጀምሩት።")</f>
        <v>ሀ. ግቡ እንዳይሄድ እና ማስጠንቀቂያ ይስጡ.B. ግቡን ይስጡ.ሲ. ጨዋታው ይቀጥላል.ዲ. ጨዋታውን ለአፍታ አቁም እና በተጣለ ኳስ እንደገና ያስጀምሩት።</v>
      </c>
      <c r="J92" s="6" t="str">
        <f>IFERROR(__xludf.DUMMYFUNCTION(" GOOGLETRANSLATE(D92, ""en"", ""am"")"),"ግቡ እንዳይሄድ እና ማስጠንቀቂያ ይስጡ።")</f>
        <v>ግቡ እንዳይሄድ እና ማስጠንቀቂያ ይስጡ።</v>
      </c>
      <c r="K92" s="6" t="str">
        <f>IFERROR(__xludf.DUMMYFUNCTION(" GOOGLETRANSLATE(E92, ""en"", ""am"")"),"በሜዳው ላይ ያሉ ተጨማሪ ተጫዋቾች ጎል ወደመከልከል ያመራል።")</f>
        <v>በሜዳው ላይ ያሉ ተጨማሪ ተጫዋቾች ጎል ወደመከልከል ያመራል።</v>
      </c>
    </row>
    <row r="93" ht="22.5" customHeight="1">
      <c r="A93" s="4">
        <v>92.0</v>
      </c>
      <c r="B93" s="4" t="s">
        <v>337</v>
      </c>
      <c r="C93" s="4" t="s">
        <v>338</v>
      </c>
      <c r="D93" s="4" t="s">
        <v>270</v>
      </c>
      <c r="E93" s="4" t="s">
        <v>339</v>
      </c>
      <c r="F93" s="5"/>
      <c r="G93" s="6" t="str">
        <f>IFERROR(__xludf.DUMMYFUNCTION(" GOOGLETRANSLATE(A93, ""en"", ""am"")"),"92")</f>
        <v>92</v>
      </c>
      <c r="H93" s="6" t="str">
        <f>IFERROR(__xludf.DUMMYFUNCTION(" GOOGLETRANSLATE(B93, ""en"", ""am"")"),"ኳሱ ተመልካቹን ትቶ ወደ ጎል ይገባል. ቀጥሎ ምን ይሆናል?")</f>
        <v>ኳሱ ተመልካቹን ትቶ ወደ ጎል ይገባል. ቀጥሎ ምን ይሆናል?</v>
      </c>
      <c r="I93" s="6" t="str">
        <f>IFERROR(__xludf.DUMMYFUNCTION(" GOOGLETRANSLATE(C93, ""en"", ""am"")"),"ሀ. ጎል እንዳታስተናግድ በተጣለ ኳስ እንደገና ጀምር። ግቡን ይስጡ.ሲ. ጨዋታው ይቀጥላል.ዲ. ለተቃራኒ ቡድን ነፃ ሽልማት ይስጡ")</f>
        <v>ሀ. ጎል እንዳታስተናግድ በተጣለ ኳስ እንደገና ጀምር። ግቡን ይስጡ.ሲ. ጨዋታው ይቀጥላል.ዲ. ለተቃራኒ ቡድን ነፃ ሽልማት ይስጡ</v>
      </c>
      <c r="J93" s="6" t="str">
        <f>IFERROR(__xludf.DUMMYFUNCTION(" GOOGLETRANSLATE(D93, ""en"", ""am"")"),"ጎል እንዳታስተናግድ በተጣለ ኳስ ጀምር።")</f>
        <v>ጎል እንዳታስተናግድ በተጣለ ኳስ ጀምር።</v>
      </c>
      <c r="K93" s="6" t="str">
        <f>IFERROR(__xludf.DUMMYFUNCTION(" GOOGLETRANSLATE(E93, ""en"", ""am"")"),"የውጪ ጨዋታ ጣልቃ ገብነት ግቡን ያበላሻል።")</f>
        <v>የውጪ ጨዋታ ጣልቃ ገብነት ግቡን ያበላሻል።</v>
      </c>
    </row>
    <row r="94" ht="22.5" customHeight="1">
      <c r="A94" s="4">
        <v>93.0</v>
      </c>
      <c r="B94" s="4" t="s">
        <v>340</v>
      </c>
      <c r="C94" s="4" t="s">
        <v>341</v>
      </c>
      <c r="D94" s="4" t="s">
        <v>133</v>
      </c>
      <c r="E94" s="4" t="s">
        <v>342</v>
      </c>
      <c r="F94" s="5"/>
      <c r="G94" s="6" t="str">
        <f>IFERROR(__xludf.DUMMYFUNCTION(" GOOGLETRANSLATE(A94, ""en"", ""am"")"),"93")</f>
        <v>93</v>
      </c>
      <c r="H94" s="6" t="str">
        <f>IFERROR(__xludf.DUMMYFUNCTION(" GOOGLETRANSLATE(B94, ""en"", ""am"")"),"አንድ ተጫዋች ሆን ብሎ ኳሱን ለማቆም እግሩን ይጠቀማል። የዳኛው ጥሪ ምንድነው?")</f>
        <v>አንድ ተጫዋች ሆን ብሎ ኳሱን ለማቆም እግሩን ይጠቀማል። የዳኛው ጥሪ ምንድነው?</v>
      </c>
      <c r="I94" s="6" t="str">
        <f>IFERROR(__xludf.DUMMYFUNCTION(" GOOGLETRANSLATE(C94, ""en"", ""am"")"),"ሀ. ለተቃዋሚ ቡድን ቢ ነፃ ሽልማት ይስጡ። ጨዋታው ቀጥሏል.ሲ. ጨዋታውን ለአፍታ አቁም እና ማስጠንቀቂያ ስጥ። በተቆልቋይ ኳስ እንደገና ያስጀምሩ")</f>
        <v>ሀ. ለተቃዋሚ ቡድን ቢ ነፃ ሽልማት ይስጡ። ጨዋታው ቀጥሏል.ሲ. ጨዋታውን ለአፍታ አቁም እና ማስጠንቀቂያ ስጥ። በተቆልቋይ ኳስ እንደገና ያስጀምሩ</v>
      </c>
      <c r="J94" s="6" t="str">
        <f>IFERROR(__xludf.DUMMYFUNCTION(" GOOGLETRANSLATE(D94, ""en"", ""am"")"),"ለተቃራኒ ቡድን ነፃ ሽልማት ይስጡ")</f>
        <v>ለተቃራኒ ቡድን ነፃ ሽልማት ይስጡ</v>
      </c>
      <c r="K94" s="6" t="str">
        <f>IFERROR(__xludf.DUMMYFUNCTION(" GOOGLETRANSLATE(E94, ""en"", ""am"")"),"ሆን ተብሎ እግርን መጠቀም ያስቀጣል.")</f>
        <v>ሆን ተብሎ እግርን መጠቀም ያስቀጣል.</v>
      </c>
    </row>
    <row r="95" ht="22.5" customHeight="1">
      <c r="A95" s="4">
        <v>94.0</v>
      </c>
      <c r="B95" s="4" t="s">
        <v>343</v>
      </c>
      <c r="C95" s="4" t="s">
        <v>344</v>
      </c>
      <c r="D95" s="4" t="s">
        <v>166</v>
      </c>
      <c r="E95" s="4" t="s">
        <v>345</v>
      </c>
      <c r="F95" s="5"/>
      <c r="G95" s="6" t="str">
        <f>IFERROR(__xludf.DUMMYFUNCTION(" GOOGLETRANSLATE(A95, ""en"", ""am"")"),"94")</f>
        <v>94</v>
      </c>
      <c r="H95" s="6" t="str">
        <f>IFERROR(__xludf.DUMMYFUNCTION(" GOOGLETRANSLATE(B95, ""en"", ""am"")"),"በፈጣን ፍጥነት ጨዋታ ሁለት ተጫዋቾች ኳሱን እያነጣጠሩ ይጋጫሉ። ዳኛው ምን ይወስናል?")</f>
        <v>በፈጣን ፍጥነት ጨዋታ ሁለት ተጫዋቾች ኳሱን እያነጣጠሩ ይጋጫሉ። ዳኛው ምን ይወስናል?</v>
      </c>
      <c r="I95" s="6" t="str">
        <f>IFERROR(__xludf.DUMMYFUNCTION(" GOOGLETRANSLATE(C95, ""en"", ""am"")"),"ሀ. ጨዋታውን ለአፍታ አቁም እና በተጣለ ኳስ እንደገና ያስጀምሩት። ለቡድን ሽልማት መስጠት. ጨዋታው ይቀጥላል.ዲ. ለሁለቱም ተጫዋቾች ማስጠንቀቂያ ይስጡ።")</f>
        <v>ሀ. ጨዋታውን ለአፍታ አቁም እና በተጣለ ኳስ እንደገና ያስጀምሩት። ለቡድን ሽልማት መስጠት. ጨዋታው ይቀጥላል.ዲ. ለሁለቱም ተጫዋቾች ማስጠንቀቂያ ይስጡ።</v>
      </c>
      <c r="J95" s="6" t="str">
        <f>IFERROR(__xludf.DUMMYFUNCTION(" GOOGLETRANSLATE(D95, ""en"", ""am"")"),"ጨዋታውን ለአፍታ አቁም እና በተጣለ ኳስ እንደገና ያስጀምሩት።")</f>
        <v>ጨዋታውን ለአፍታ አቁም እና በተጣለ ኳስ እንደገና ያስጀምሩት።</v>
      </c>
      <c r="K95" s="6" t="str">
        <f>IFERROR(__xludf.DUMMYFUNCTION(" GOOGLETRANSLATE(E95, ""en"", ""am"")"),"ድንገተኛ ግጭቶች በዘፈቀደ ዳግም መጀመር ያስከትላሉ።")</f>
        <v>ድንገተኛ ግጭቶች በዘፈቀደ ዳግም መጀመር ያስከትላሉ።</v>
      </c>
    </row>
    <row r="96" ht="22.5" customHeight="1">
      <c r="A96" s="4">
        <v>95.0</v>
      </c>
      <c r="B96" s="4" t="s">
        <v>346</v>
      </c>
      <c r="C96" s="4" t="s">
        <v>347</v>
      </c>
      <c r="D96" s="4" t="s">
        <v>285</v>
      </c>
      <c r="E96" s="4" t="s">
        <v>348</v>
      </c>
      <c r="F96" s="5"/>
      <c r="G96" s="6" t="str">
        <f>IFERROR(__xludf.DUMMYFUNCTION(" GOOGLETRANSLATE(A96, ""en"", ""am"")"),"95")</f>
        <v>95</v>
      </c>
      <c r="H96" s="6" t="str">
        <f>IFERROR(__xludf.DUMMYFUNCTION(" GOOGLETRANSLATE(B96, ""en"", ""am"")"),"አንድ ተጫዋች በጨዋታ ጊዜ ከመጠን በላይ የሆነ ዱላ ይጠቀማል። ዳኛው ምን ያደርጋል?")</f>
        <v>አንድ ተጫዋች በጨዋታ ጊዜ ከመጠን በላይ የሆነ ዱላ ይጠቀማል። ዳኛው ምን ያደርጋል?</v>
      </c>
      <c r="I96" s="6" t="str">
        <f>IFERROR(__xludf.DUMMYFUNCTION(" GOOGLETRANSLATE(C96, ""en"", ""am"")"),"ሀ. ጨዋታውን ለአፍታ አቁም እና ማስጠንቀቂያ ለ. ለተቃራኒ ቡድን ቅጣት ይስጡ.ሲ. ጨዋታው ይቀጥላል.ዲ. በተቆልቋይ ኳስ እንደገና ያስጀምሩ")</f>
        <v>ሀ. ጨዋታውን ለአፍታ አቁም እና ማስጠንቀቂያ ለ. ለተቃራኒ ቡድን ቅጣት ይስጡ.ሲ. ጨዋታው ይቀጥላል.ዲ. በተቆልቋይ ኳስ እንደገና ያስጀምሩ</v>
      </c>
      <c r="J96" s="6" t="str">
        <f>IFERROR(__xludf.DUMMYFUNCTION(" GOOGLETRANSLATE(D96, ""en"", ""am"")"),"ጨዋታውን ለአፍታ ያቁሙ እና ማስጠንቀቂያ ይስጡ")</f>
        <v>ጨዋታውን ለአፍታ ያቁሙ እና ማስጠንቀቂያ ይስጡ</v>
      </c>
      <c r="K96" s="6" t="str">
        <f>IFERROR(__xludf.DUMMYFUNCTION(" GOOGLETRANSLATE(E96, ""en"", ""am"")"),"የመሳሪያ ጥሰቶች ፍትሃዊነትን ለመጠበቅ ይቀጣሉ.")</f>
        <v>የመሳሪያ ጥሰቶች ፍትሃዊነትን ለመጠበቅ ይቀጣሉ.</v>
      </c>
    </row>
    <row r="97" ht="22.5" customHeight="1">
      <c r="A97" s="4">
        <v>96.0</v>
      </c>
      <c r="B97" s="4" t="s">
        <v>349</v>
      </c>
      <c r="C97" s="4" t="s">
        <v>350</v>
      </c>
      <c r="D97" s="4" t="s">
        <v>133</v>
      </c>
      <c r="E97" s="4" t="s">
        <v>351</v>
      </c>
      <c r="F97" s="5"/>
      <c r="G97" s="6" t="str">
        <f>IFERROR(__xludf.DUMMYFUNCTION(" GOOGLETRANSLATE(A97, ""en"", ""am"")"),"96")</f>
        <v>96</v>
      </c>
      <c r="H97" s="6" t="str">
        <f>IFERROR(__xludf.DUMMYFUNCTION(" GOOGLETRANSLATE(B97, ""en"", ""am"")"),"አንድ ተጫዋች ከጨዋታ ውጪ ለሆነ የቡድን ጓደኛው ኳሱን ያስተላልፋል። ቀጥሎ ምን ይሆናል?")</f>
        <v>አንድ ተጫዋች ከጨዋታ ውጪ ለሆነ የቡድን ጓደኛው ኳሱን ያስተላልፋል። ቀጥሎ ምን ይሆናል?</v>
      </c>
      <c r="I97" s="6" t="str">
        <f>IFERROR(__xludf.DUMMYFUNCTION(" GOOGLETRANSLATE(C97, ""en"", ""am"")"),"ሀ. ለተቃዋሚ ቡድን ቢ ነፃ ሽልማት ይስጡ። ጨዋታው ቀጥሏል.ሲ. ጨዋታውን ለአፍታ አቁም እና ማስጠንቀቂያ ስጥ። ለተጋጣሚ ቡድን ቅጣት ይስጡ።")</f>
        <v>ሀ. ለተቃዋሚ ቡድን ቢ ነፃ ሽልማት ይስጡ። ጨዋታው ቀጥሏል.ሲ. ጨዋታውን ለአፍታ አቁም እና ማስጠንቀቂያ ስጥ። ለተጋጣሚ ቡድን ቅጣት ይስጡ።</v>
      </c>
      <c r="J97" s="6" t="str">
        <f>IFERROR(__xludf.DUMMYFUNCTION(" GOOGLETRANSLATE(D97, ""en"", ""am"")"),"ለተቃራኒ ቡድን ነፃ ሽልማት ይስጡ")</f>
        <v>ለተቃራኒ ቡድን ነፃ ሽልማት ይስጡ</v>
      </c>
      <c r="K97" s="6" t="str">
        <f>IFERROR(__xludf.DUMMYFUNCTION(" GOOGLETRANSLATE(E97, ""en"", ""am"")"),"ከጨዋታው ውጪ ለሆነ የቡድን ጓደኛ ማለፍ ይቀጣል።")</f>
        <v>ከጨዋታው ውጪ ለሆነ የቡድን ጓደኛ ማለፍ ይቀጣል።</v>
      </c>
    </row>
    <row r="98" ht="22.5" customHeight="1">
      <c r="A98" s="4">
        <v>97.0</v>
      </c>
      <c r="B98" s="4" t="s">
        <v>352</v>
      </c>
      <c r="C98" s="4" t="s">
        <v>353</v>
      </c>
      <c r="D98" s="4" t="s">
        <v>166</v>
      </c>
      <c r="E98" s="4" t="s">
        <v>354</v>
      </c>
      <c r="F98" s="5"/>
      <c r="G98" s="6" t="str">
        <f>IFERROR(__xludf.DUMMYFUNCTION(" GOOGLETRANSLATE(A98, ""en"", ""am"")"),"97")</f>
        <v>97</v>
      </c>
      <c r="H98" s="6" t="str">
        <f>IFERROR(__xludf.DUMMYFUNCTION(" GOOGLETRANSLATE(B98, ""en"", ""am"")"),"ኳሱ በሜዳው ላይ ባለው ዛፍ ላይ ተጣብቋል. ዳኛው ምን ያደርጋል?")</f>
        <v>ኳሱ በሜዳው ላይ ባለው ዛፍ ላይ ተጣብቋል. ዳኛው ምን ያደርጋል?</v>
      </c>
      <c r="I98" s="6" t="str">
        <f>IFERROR(__xludf.DUMMYFUNCTION(" GOOGLETRANSLATE(C98, ""en"", ""am"")"),"ሀ. ጨዋታውን ለአፍታ አቁም እና በተጣለ ኳስ እንደገና ያስጀምሩት። ወደ ኳስሲ ቅርብ የሆነውን ቡድን መሸለም። ጨዋታው ይቀጥላል.ዲ. እንቅፋቱን ያስወግዱ እና ጨዋታውን እንደገና ያስጀምሩ.")</f>
        <v>ሀ. ጨዋታውን ለአፍታ አቁም እና በተጣለ ኳስ እንደገና ያስጀምሩት። ወደ ኳስሲ ቅርብ የሆነውን ቡድን መሸለም። ጨዋታው ይቀጥላል.ዲ. እንቅፋቱን ያስወግዱ እና ጨዋታውን እንደገና ያስጀምሩ.</v>
      </c>
      <c r="J98" s="6" t="str">
        <f>IFERROR(__xludf.DUMMYFUNCTION(" GOOGLETRANSLATE(D98, ""en"", ""am"")"),"ጨዋታውን ለአፍታ አቁም እና በተጣለ ኳስ እንደገና ያስጀምሩት።")</f>
        <v>ጨዋታውን ለአፍታ አቁም እና በተጣለ ኳስ እንደገና ያስጀምሩት።</v>
      </c>
      <c r="K98" s="6" t="str">
        <f>IFERROR(__xludf.DUMMYFUNCTION(" GOOGLETRANSLATE(E98, ""en"", ""am"")"),"ያልተለመዱ መሰናክሎች ገለልተኛ ዳግም ማስጀመር ያስፈልጋቸዋል.")</f>
        <v>ያልተለመዱ መሰናክሎች ገለልተኛ ዳግም ማስጀመር ያስፈልጋቸዋል.</v>
      </c>
    </row>
    <row r="99" ht="22.5" customHeight="1">
      <c r="A99" s="4">
        <v>98.0</v>
      </c>
      <c r="B99" s="4" t="s">
        <v>355</v>
      </c>
      <c r="C99" s="4" t="s">
        <v>356</v>
      </c>
      <c r="D99" s="4" t="s">
        <v>285</v>
      </c>
      <c r="E99" s="4" t="s">
        <v>357</v>
      </c>
      <c r="F99" s="5"/>
      <c r="G99" s="6" t="str">
        <f>IFERROR(__xludf.DUMMYFUNCTION(" GOOGLETRANSLATE(A99, ""en"", ""am"")"),"98")</f>
        <v>98</v>
      </c>
      <c r="H99" s="6" t="str">
        <f>IFERROR(__xludf.DUMMYFUNCTION(" GOOGLETRANSLATE(B99, ""en"", ""am"")"),"አንድ ተጫዋች ሆን ብሎ ኳሱን በመደበቅ ጨዋታውን ያዘገያል። የዳኛው ውሳኔ ምንድነው?")</f>
        <v>አንድ ተጫዋች ሆን ብሎ ኳሱን በመደበቅ ጨዋታውን ያዘገያል። የዳኛው ውሳኔ ምንድነው?</v>
      </c>
      <c r="I99" s="6" t="str">
        <f>IFERROR(__xludf.DUMMYFUNCTION(" GOOGLETRANSLATE(C99, ""en"", ""am"")"),"ሀ. ጨዋታውን ለአፍታ አቁም እና ማስጠንቀቂያ ለ. ጨዋታው ቀጥሏል.ሲ. ለተቃራኒ ቡድን ቅጣት ይስጡ.ዲ. በተቆልቋይ ኳስ እንደገና ያስጀምሩ")</f>
        <v>ሀ. ጨዋታውን ለአፍታ አቁም እና ማስጠንቀቂያ ለ. ጨዋታው ቀጥሏል.ሲ. ለተቃራኒ ቡድን ቅጣት ይስጡ.ዲ. በተቆልቋይ ኳስ እንደገና ያስጀምሩ</v>
      </c>
      <c r="J99" s="6" t="str">
        <f>IFERROR(__xludf.DUMMYFUNCTION(" GOOGLETRANSLATE(D99, ""en"", ""am"")"),"ጨዋታውን ለአፍታ ያቁሙ እና ማስጠንቀቂያ ይስጡ")</f>
        <v>ጨዋታውን ለአፍታ ያቁሙ እና ማስጠንቀቂያ ይስጡ</v>
      </c>
      <c r="K99" s="6" t="str">
        <f>IFERROR(__xludf.DUMMYFUNCTION(" GOOGLETRANSLATE(E99, ""en"", ""am"")"),"ሆን ተብሎ መዘግየቶች ከስፖርታዊ ጨዋነት ውጪ በሆነ ድርጊት ይቀጣሉ።")</f>
        <v>ሆን ተብሎ መዘግየቶች ከስፖርታዊ ጨዋነት ውጪ በሆነ ድርጊት ይቀጣሉ።</v>
      </c>
    </row>
    <row r="100" ht="22.5" customHeight="1">
      <c r="A100" s="4">
        <v>99.0</v>
      </c>
      <c r="B100" s="4" t="s">
        <v>358</v>
      </c>
      <c r="C100" s="4" t="s">
        <v>359</v>
      </c>
      <c r="D100" s="4" t="s">
        <v>360</v>
      </c>
      <c r="E100" s="4" t="s">
        <v>361</v>
      </c>
      <c r="F100" s="5"/>
      <c r="G100" s="6" t="str">
        <f>IFERROR(__xludf.DUMMYFUNCTION(" GOOGLETRANSLATE(A100, ""en"", ""am"")"),"99")</f>
        <v>99</v>
      </c>
      <c r="H100" s="6" t="str">
        <f>IFERROR(__xludf.DUMMYFUNCTION(" GOOGLETRANSLATE(B100, ""en"", ""am"")"),"ዳኛው በአጋጣሚ ለተሳሳተው ቡድን ነጥብ ይሰጣል። ቀጥሎ ምን ይሆናል?")</f>
        <v>ዳኛው በአጋጣሚ ለተሳሳተው ቡድን ነጥብ ይሰጣል። ቀጥሎ ምን ይሆናል?</v>
      </c>
      <c r="I100" s="6" t="str">
        <f>IFERROR(__xludf.DUMMYFUNCTION(" GOOGLETRANSLATE(C100, ""en"", ""am"")"),"ሀ. ውጤቱን አስተካክል እና ጨዋታውን ቀጥል.ቢ. ውሳኔው የመጨረሻ ነው.ሲ. ጨዋታውን ለአፍታ አቁም.ዲ. ለተቃራኒ ቡድን ነፃ ሽልማት ይስጡ")</f>
        <v>ሀ. ውጤቱን አስተካክል እና ጨዋታውን ቀጥል.ቢ. ውሳኔው የመጨረሻ ነው.ሲ. ጨዋታውን ለአፍታ አቁም.ዲ. ለተቃራኒ ቡድን ነፃ ሽልማት ይስጡ</v>
      </c>
      <c r="J100" s="6" t="str">
        <f>IFERROR(__xludf.DUMMYFUNCTION(" GOOGLETRANSLATE(D100, ""en"", ""am"")"),"ውጤቱን ያስተካክሉ እና ጨዋታውን ይቀጥሉ።")</f>
        <v>ውጤቱን ያስተካክሉ እና ጨዋታውን ይቀጥሉ።</v>
      </c>
      <c r="K100" s="6" t="str">
        <f>IFERROR(__xludf.DUMMYFUNCTION(" GOOGLETRANSLATE(E100, ""en"", ""am"")"),"ጨዋታው ከመቀጠሉ በፊት ዳኞቹ ስህተቶችን ማረም ይችላሉ።")</f>
        <v>ጨዋታው ከመቀጠሉ በፊት ዳኞቹ ስህተቶችን ማረም ይችላሉ።</v>
      </c>
    </row>
    <row r="101" ht="22.5" customHeight="1">
      <c r="A101" s="7">
        <v>100.0</v>
      </c>
      <c r="B101" s="7" t="s">
        <v>362</v>
      </c>
      <c r="C101" s="7" t="s">
        <v>363</v>
      </c>
      <c r="D101" s="7" t="s">
        <v>364</v>
      </c>
      <c r="E101" s="7" t="s">
        <v>365</v>
      </c>
      <c r="F101" s="8"/>
      <c r="G101" s="6" t="str">
        <f>IFERROR(__xludf.DUMMYFUNCTION(" GOOGLETRANSLATE(A101, ""en"", ""am"")"),"100")</f>
        <v>100</v>
      </c>
      <c r="H101" s="6" t="str">
        <f>IFERROR(__xludf.DUMMYFUNCTION(" GOOGLETRANSLATE(B101, ""en"", ""am"")"),"በጨዋታ ጊዜ የተጫዋች ዱላ ይሰበራል። ዳኛው ምን ያደርጋል?")</f>
        <v>በጨዋታ ጊዜ የተጫዋች ዱላ ይሰበራል። ዳኛው ምን ያደርጋል?</v>
      </c>
      <c r="I101" s="6" t="str">
        <f>IFERROR(__xludf.DUMMYFUNCTION(" GOOGLETRANSLATE(C101, ""en"", ""am"")"),"ሀ. ጨዋታውን ለአፍታ አቁም እና ተጫዋቹ ስቲክቢን እንዲተካ ፍቀድለት። ጨዋታው ይቀጥል ሲ. ለተቃዋሚ ቡድን መሸለም. በተቆልቋይ ኳስ እንደገና ያስጀምሩ")</f>
        <v>ሀ. ጨዋታውን ለአፍታ አቁም እና ተጫዋቹ ስቲክቢን እንዲተካ ፍቀድለት። ጨዋታው ይቀጥል ሲ. ለተቃዋሚ ቡድን መሸለም. በተቆልቋይ ኳስ እንደገና ያስጀምሩ</v>
      </c>
      <c r="J101" s="6" t="str">
        <f>IFERROR(__xludf.DUMMYFUNCTION(" GOOGLETRANSLATE(D101, ""en"", ""am"")"),"ጨዋታውን ለአፍታ አቁም እና ተጫዋቹ ዱላውን እንዲተካ ፍቀድለት")</f>
        <v>ጨዋታውን ለአፍታ አቁም እና ተጫዋቹ ዱላውን እንዲተካ ፍቀድለት</v>
      </c>
      <c r="K101" s="6" t="str">
        <f>IFERROR(__xludf.DUMMYFUNCTION(" GOOGLETRANSLATE(E101, ""en"", ""am"")"),"ደህንነትን ለማረጋገጥ የተሰበሩ መሳሪያዎች መተካት አለባቸው.")</f>
        <v>ደህንነትን ለማረጋገጥ የተሰበሩ መሳሪያዎች መተካት አለባቸው.</v>
      </c>
      <c r="L101" s="9"/>
    </row>
    <row r="102" ht="22.5" customHeight="1">
      <c r="A102" s="7">
        <v>101.0</v>
      </c>
      <c r="B102" s="7" t="s">
        <v>366</v>
      </c>
      <c r="C102" s="7" t="s">
        <v>367</v>
      </c>
      <c r="D102" s="7" t="s">
        <v>368</v>
      </c>
      <c r="E102" s="7" t="s">
        <v>369</v>
      </c>
      <c r="F102" s="8"/>
      <c r="G102" s="6" t="str">
        <f>IFERROR(__xludf.DUMMYFUNCTION(" GOOGLETRANSLATE(A102, ""en"", ""am"")"),"101")</f>
        <v>101</v>
      </c>
      <c r="H102" s="6" t="str">
        <f>IFERROR(__xludf.DUMMYFUNCTION(" GOOGLETRANSLATE(B102, ""en"", ""am"")"),"አንድ ተጫዋች ጎል አስቆጥሯል ነገር ግን ኳሱ ከግቡ በፊት ለአጭር ጊዜ ከድንበር ውጪ ይወጣል። የዳኛው ውሳኔ ምንድነው?")</f>
        <v>አንድ ተጫዋች ጎል አስቆጥሯል ነገር ግን ኳሱ ከግቡ በፊት ለአጭር ጊዜ ከድንበር ውጪ ይወጣል። የዳኛው ውሳኔ ምንድነው?</v>
      </c>
      <c r="I102" s="6" t="str">
        <f>IFERROR(__xludf.DUMMYFUNCTION(" GOOGLETRANSLATE(C102, ""en"", ""am"")"),"ሀ. ግቡን አትፍቀድ። ግቡን ይሸልሙ ሲ. ጨዋታውን ለአፍታ አቁም ለግምገማD. ለተጋጣሚ ቡድን ነፃ የሆነ ሽልማት ይስጡ")</f>
        <v>ሀ. ግቡን አትፍቀድ። ግቡን ይሸልሙ ሲ. ጨዋታውን ለአፍታ አቁም ለግምገማD. ለተጋጣሚ ቡድን ነፃ የሆነ ሽልማት ይስጡ</v>
      </c>
      <c r="J102" s="6" t="str">
        <f>IFERROR(__xludf.DUMMYFUNCTION(" GOOGLETRANSLATE(D102, ""en"", ""am"")"),"ግቡን አትፍቀድ")</f>
        <v>ግቡን አትፍቀድ</v>
      </c>
      <c r="K102" s="6" t="str">
        <f>IFERROR(__xludf.DUMMYFUNCTION(" GOOGLETRANSLATE(E102, ""en"", ""am"")"),"ኳሱ ለትክክለኛ ግብ በወሰን ውስጥ መቆየት አለበት።")</f>
        <v>ኳሱ ለትክክለኛ ግብ በወሰን ውስጥ መቆየት አለበት።</v>
      </c>
      <c r="L102" s="9"/>
    </row>
    <row r="103" ht="22.5" customHeight="1">
      <c r="A103" s="7">
        <v>102.0</v>
      </c>
      <c r="B103" s="7" t="s">
        <v>370</v>
      </c>
      <c r="C103" s="7" t="s">
        <v>371</v>
      </c>
      <c r="D103" s="7" t="s">
        <v>372</v>
      </c>
      <c r="E103" s="7" t="s">
        <v>373</v>
      </c>
      <c r="F103" s="8"/>
      <c r="G103" s="6" t="str">
        <f>IFERROR(__xludf.DUMMYFUNCTION(" GOOGLETRANSLATE(A103, ""en"", ""am"")"),"102")</f>
        <v>102</v>
      </c>
      <c r="H103" s="6" t="str">
        <f>IFERROR(__xludf.DUMMYFUNCTION(" GOOGLETRANSLATE(B103, ""en"", ""am"")"),"ዳኛው ለውሃ እረፍት ጨዋታውን ያቆማል። ጨዋታው ከቀጠለ ምን ይሆናል?")</f>
        <v>ዳኛው ለውሃ እረፍት ጨዋታውን ያቆማል። ጨዋታው ከቀጠለ ምን ይሆናል?</v>
      </c>
      <c r="I103" s="6" t="str">
        <f>IFERROR(__xludf.DUMMYFUNCTION(" GOOGLETRANSLATE(C103, ""en"", ""am"")"),"ሀ. በተቆልቋይ ኳስ ቢ እንደገና ያስጀምሩ። ለአንድ ቡድን ሲ ሽልማት ባለቤትነት. ኳሱን ለመጨረሻ ጊዜ የያዘው ቡድን ወደ ጨዋታው ይቀጥል። ለመሪ ቡድን በቅጣት ይጀምሩ")</f>
        <v>ሀ. በተቆልቋይ ኳስ ቢ እንደገና ያስጀምሩ። ለአንድ ቡድን ሲ ሽልማት ባለቤትነት. ኳሱን ለመጨረሻ ጊዜ የያዘው ቡድን ወደ ጨዋታው ይቀጥል። ለመሪ ቡድን በቅጣት ይጀምሩ</v>
      </c>
      <c r="J103" s="6" t="str">
        <f>IFERROR(__xludf.DUMMYFUNCTION(" GOOGLETRANSLATE(D103, ""en"", ""am"")"),"በተቆልቋይ ኳስ እንደገና ያስጀምሩ")</f>
        <v>በተቆልቋይ ኳስ እንደገና ያስጀምሩ</v>
      </c>
      <c r="K103" s="6" t="str">
        <f>IFERROR(__xludf.DUMMYFUNCTION(" GOOGLETRANSLATE(E103, ""en"", ""am"")"),"ገለልተኛ ዳግም መጀመር ከእረፍት በኋላ ፍትሃዊነትን ያረጋግጣል።")</f>
        <v>ገለልተኛ ዳግም መጀመር ከእረፍት በኋላ ፍትሃዊነትን ያረጋግጣል።</v>
      </c>
      <c r="L103" s="9"/>
    </row>
    <row r="104" ht="22.5" customHeight="1">
      <c r="A104" s="7">
        <v>103.0</v>
      </c>
      <c r="B104" s="7" t="s">
        <v>374</v>
      </c>
      <c r="C104" s="7" t="s">
        <v>375</v>
      </c>
      <c r="D104" s="7" t="s">
        <v>376</v>
      </c>
      <c r="E104" s="7" t="s">
        <v>377</v>
      </c>
      <c r="F104" s="8"/>
      <c r="G104" s="6" t="str">
        <f>IFERROR(__xludf.DUMMYFUNCTION(" GOOGLETRANSLATE(A104, ""en"", ""am"")"),"103")</f>
        <v>103</v>
      </c>
      <c r="H104" s="6" t="str">
        <f>IFERROR(__xludf.DUMMYFUNCTION(" GOOGLETRANSLATE(B104, ""en"", ""am"")"),"አንድ ተጫዋች ኳሱን እያሳደደ በአጋጣሚ ከሜዳው ወጣ። የዳኛው ጥሪ ምንድነው?")</f>
        <v>አንድ ተጫዋች ኳሱን እያሳደደ በአጋጣሚ ከሜዳው ወጣ። የዳኛው ጥሪ ምንድነው?</v>
      </c>
      <c r="I104" s="6" t="str">
        <f>IFERROR(__xludf.DUMMYFUNCTION(" GOOGLETRANSLATE(C104, ""en"", ""am"")"),"ሀ. እንጫወት ይቀጥል ቢ. ለተቃዋሚ ቡድንC ነፃ ስኬትን ይሸልሙ። ጨዋታውን ለአፍታ አቁም እና በተቆልቋይ ኳስ ድጋሚ አስጀምር። ለተጫዋቹ ማስጠንቀቂያ ይስጡ")</f>
        <v>ሀ. እንጫወት ይቀጥል ቢ. ለተቃዋሚ ቡድንC ነፃ ስኬትን ይሸልሙ። ጨዋታውን ለአፍታ አቁም እና በተቆልቋይ ኳስ ድጋሚ አስጀምር። ለተጫዋቹ ማስጠንቀቂያ ይስጡ</v>
      </c>
      <c r="J104" s="6" t="str">
        <f>IFERROR(__xludf.DUMMYFUNCTION(" GOOGLETRANSLATE(D104, ""en"", ""am"")"),"ጨዋታው ይቀጥል")</f>
        <v>ጨዋታው ይቀጥል</v>
      </c>
      <c r="K104" s="6" t="str">
        <f>IFERROR(__xludf.DUMMYFUNCTION(" GOOGLETRANSLATE(E104, ""en"", ""am"")"),"ከድንበር ውጪ ያሉ ድንገተኛ እርምጃዎች ጨዋታውን አያቆሙም።")</f>
        <v>ከድንበር ውጪ ያሉ ድንገተኛ እርምጃዎች ጨዋታውን አያቆሙም።</v>
      </c>
      <c r="L104" s="9"/>
    </row>
    <row r="105" ht="22.5" customHeight="1">
      <c r="A105" s="7">
        <v>104.0</v>
      </c>
      <c r="B105" s="7" t="s">
        <v>378</v>
      </c>
      <c r="C105" s="7" t="s">
        <v>379</v>
      </c>
      <c r="D105" s="7" t="s">
        <v>380</v>
      </c>
      <c r="E105" s="7" t="s">
        <v>381</v>
      </c>
      <c r="F105" s="8"/>
      <c r="G105" s="6" t="str">
        <f>IFERROR(__xludf.DUMMYFUNCTION(" GOOGLETRANSLATE(A105, ""en"", ""am"")"),"104")</f>
        <v>104</v>
      </c>
      <c r="H105" s="6" t="str">
        <f>IFERROR(__xludf.DUMMYFUNCTION(" GOOGLETRANSLATE(B105, ""en"", ""am"")"),"ኳሱ በጨዋታው ወቅት ይወጋል። ዳኛው ምን ያደርጋል?")</f>
        <v>ኳሱ በጨዋታው ወቅት ይወጋል። ዳኛው ምን ያደርጋል?</v>
      </c>
      <c r="I105" s="6" t="str">
        <f>IFERROR(__xludf.DUMMYFUNCTION(" GOOGLETRANSLATE(C105, ""en"", ""am"")"),"ሀ. ጨዋታውን ለአፍታ አቁም እና ኳሱን ይተኩ። ጨዋታው ይቀጥል ሲ. ለተቃዋሚ ቡድን መሸለም. በተቆልቋይ ኳስ እንደገና ያስጀምሩ")</f>
        <v>ሀ. ጨዋታውን ለአፍታ አቁም እና ኳሱን ይተኩ። ጨዋታው ይቀጥል ሲ. ለተቃዋሚ ቡድን መሸለም. በተቆልቋይ ኳስ እንደገና ያስጀምሩ</v>
      </c>
      <c r="J105" s="6" t="str">
        <f>IFERROR(__xludf.DUMMYFUNCTION(" GOOGLETRANSLATE(D105, ""en"", ""am"")"),"ጨዋታውን ለአፍታ አቁም እና ኳሱን ይተኩ")</f>
        <v>ጨዋታውን ለአፍታ አቁም እና ኳሱን ይተኩ</v>
      </c>
      <c r="K105" s="6" t="str">
        <f>IFERROR(__xludf.DUMMYFUNCTION(" GOOGLETRANSLATE(E105, ""en"", ""am"")"),"የተበላሹ መሳሪያዎች ወዲያውኑ መተካት አለባቸው.")</f>
        <v>የተበላሹ መሳሪያዎች ወዲያውኑ መተካት አለባቸው.</v>
      </c>
      <c r="L105" s="9"/>
    </row>
    <row r="106" ht="22.5" customHeight="1">
      <c r="A106" s="7">
        <v>105.0</v>
      </c>
      <c r="B106" s="7" t="s">
        <v>382</v>
      </c>
      <c r="C106" s="7" t="s">
        <v>383</v>
      </c>
      <c r="D106" s="7" t="s">
        <v>384</v>
      </c>
      <c r="E106" s="7" t="s">
        <v>385</v>
      </c>
      <c r="F106" s="8"/>
      <c r="G106" s="6" t="str">
        <f>IFERROR(__xludf.DUMMYFUNCTION(" GOOGLETRANSLATE(A106, ""en"", ""am"")"),"105")</f>
        <v>105</v>
      </c>
      <c r="H106" s="6" t="str">
        <f>IFERROR(__xludf.DUMMYFUNCTION(" GOOGLETRANSLATE(B106, ""en"", ""am"")"),"ጎል ተቆጥሯል ነገርግን ዳኛው ከመተኮሱ በፊት ጥፋት መፈጠሩን አስተውለዋል። ቀጥሎ ምን ይሆናል?")</f>
        <v>ጎል ተቆጥሯል ነገርግን ዳኛው ከመተኮሱ በፊት ጥፋት መፈጠሩን አስተውለዋል። ቀጥሎ ምን ይሆናል?</v>
      </c>
      <c r="I106" s="6" t="str">
        <f>IFERROR(__xludf.DUMMYFUNCTION(" GOOGLETRANSLATE(C106, ""en"", ""am"")"),"ሀ. ግቡን አትፍቀድ እና ለተቃራኒ ቡድን ለ ነፃ ምትን ስጥ። ግቡን ይሸልሙ ሲ. ጨዋታውን ለአፍታ አቁም ለግምገማD. ጨዋታው ይቀጥል")</f>
        <v>ሀ. ግቡን አትፍቀድ እና ለተቃራኒ ቡድን ለ ነፃ ምትን ስጥ። ግቡን ይሸልሙ ሲ. ጨዋታውን ለአፍታ አቁም ለግምገማD. ጨዋታው ይቀጥል</v>
      </c>
      <c r="J106" s="6" t="str">
        <f>IFERROR(__xludf.DUMMYFUNCTION(" GOOGLETRANSLATE(D106, ""en"", ""am"")"),"ግቡን አትፍቀድ እና ለተቃራኒ ቡድን ነፃ የሆነ ምት ስጥ")</f>
        <v>ግቡን አትፍቀድ እና ለተቃራኒ ቡድን ነፃ የሆነ ምት ስጥ</v>
      </c>
      <c r="K106" s="6" t="str">
        <f>IFERROR(__xludf.DUMMYFUNCTION(" GOOGLETRANSLATE(E106, ""en"", ""am"")"),"በተመሳሳይ ጨዋታ የተቆጠሩትን ጎሎች ጥፋተኛ አድርጓል።")</f>
        <v>በተመሳሳይ ጨዋታ የተቆጠሩትን ጎሎች ጥፋተኛ አድርጓል።</v>
      </c>
      <c r="L106" s="9"/>
    </row>
    <row r="107" ht="22.5" customHeight="1">
      <c r="A107" s="7">
        <v>106.0</v>
      </c>
      <c r="B107" s="7" t="s">
        <v>386</v>
      </c>
      <c r="C107" s="7" t="s">
        <v>387</v>
      </c>
      <c r="D107" s="7" t="s">
        <v>285</v>
      </c>
      <c r="E107" s="7" t="s">
        <v>388</v>
      </c>
      <c r="F107" s="8"/>
      <c r="G107" s="6" t="str">
        <f>IFERROR(__xludf.DUMMYFUNCTION(" GOOGLETRANSLATE(A107, ""en"", ""am"")"),"106")</f>
        <v>106</v>
      </c>
      <c r="H107" s="6" t="str">
        <f>IFERROR(__xludf.DUMMYFUNCTION(" GOOGLETRANSLATE(B107, ""en"", ""am"")"),"ተቀያሪ ተጫዋች ለዳኛው ሳያሳውቅ ወደ ጨዋታው ገባ። ምን ይሆናል?")</f>
        <v>ተቀያሪ ተጫዋች ለዳኛው ሳያሳውቅ ወደ ጨዋታው ገባ። ምን ይሆናል?</v>
      </c>
      <c r="I107" s="6" t="str">
        <f>IFERROR(__xludf.DUMMYFUNCTION(" GOOGLETRANSLATE(C107, ""en"", ""am"")"),"ሀ. ጨዋታውን ለአፍታ አቁም እና ማስጠንቀቂያ ለ. ጨዋታው ይቀጥል ሲ. ለተቃዋሚ ቡድን መሸለም. በተቆልቋይ ኳስ እንደገና ያስጀምሩ")</f>
        <v>ሀ. ጨዋታውን ለአፍታ አቁም እና ማስጠንቀቂያ ለ. ጨዋታው ይቀጥል ሲ. ለተቃዋሚ ቡድን መሸለም. በተቆልቋይ ኳስ እንደገና ያስጀምሩ</v>
      </c>
      <c r="J107" s="6" t="str">
        <f>IFERROR(__xludf.DUMMYFUNCTION(" GOOGLETRANSLATE(D107, ""en"", ""am"")"),"ጨዋታውን ለአፍታ ያቁሙ እና ማስጠንቀቂያ ይስጡ")</f>
        <v>ጨዋታውን ለአፍታ ያቁሙ እና ማስጠንቀቂያ ይስጡ</v>
      </c>
      <c r="K107" s="6" t="str">
        <f>IFERROR(__xludf.DUMMYFUNCTION(" GOOGLETRANSLATE(E107, ""en"", ""am"")"),"ያልተፈቀዱ ምትክዎች ይቀጣሉ.")</f>
        <v>ያልተፈቀዱ ምትክዎች ይቀጣሉ.</v>
      </c>
      <c r="L107" s="9"/>
    </row>
    <row r="108" ht="22.5" customHeight="1">
      <c r="A108" s="7">
        <v>107.0</v>
      </c>
      <c r="B108" s="7" t="s">
        <v>389</v>
      </c>
      <c r="C108" s="7" t="s">
        <v>390</v>
      </c>
      <c r="D108" s="7" t="s">
        <v>391</v>
      </c>
      <c r="E108" s="7" t="s">
        <v>392</v>
      </c>
      <c r="F108" s="8"/>
      <c r="G108" s="6" t="str">
        <f>IFERROR(__xludf.DUMMYFUNCTION(" GOOGLETRANSLATE(A108, ""en"", ""am"")"),"107")</f>
        <v>107</v>
      </c>
      <c r="H108" s="6" t="str">
        <f>IFERROR(__xludf.DUMMYFUNCTION(" GOOGLETRANSLATE(B108, ""en"", ""am"")"),"በጨዋታው ወቅት አንድ ተጫዋች ከዳኛው ጋር ይጨቃጨቃል። የዳኛው ምላሽ ምንድነው?")</f>
        <v>በጨዋታው ወቅት አንድ ተጫዋች ከዳኛው ጋር ይጨቃጨቃል። የዳኛው ምላሽ ምንድነው?</v>
      </c>
      <c r="I108" s="6" t="str">
        <f>IFERROR(__xludf.DUMMYFUNCTION(" GOOGLETRANSLATE(C108, ""en"", ""am"")"),"ሀ. ተጫዋቹን አስጠንቅቅ እና playB ከቆመበት ቀጥል. ጨዋታው ይቀጥል ሲ. ለተቃዋሚ ቡድን ዲ. ጨዋታውን ለአፍታ ያቁሙት።")</f>
        <v>ሀ. ተጫዋቹን አስጠንቅቅ እና playB ከቆመበት ቀጥል. ጨዋታው ይቀጥል ሲ. ለተቃዋሚ ቡድን ዲ. ጨዋታውን ለአፍታ ያቁሙት።</v>
      </c>
      <c r="J108" s="6" t="str">
        <f>IFERROR(__xludf.DUMMYFUNCTION(" GOOGLETRANSLATE(D108, ""en"", ""am"")"),"ተጫዋቹን አስጠንቅቁ እና መጫወቱን ይቀጥሉ")</f>
        <v>ተጫዋቹን አስጠንቅቁ እና መጫወቱን ይቀጥሉ</v>
      </c>
      <c r="K108" s="6" t="str">
        <f>IFERROR(__xludf.DUMMYFUNCTION(" GOOGLETRANSLATE(E108, ""en"", ""am"")"),"ተከራካሪ ዳኞች ውሳኔዎች ይቀጣሉ።")</f>
        <v>ተከራካሪ ዳኞች ውሳኔዎች ይቀጣሉ።</v>
      </c>
      <c r="L108" s="9"/>
    </row>
    <row r="109" ht="22.5" customHeight="1">
      <c r="A109" s="7">
        <v>108.0</v>
      </c>
      <c r="B109" s="7" t="s">
        <v>393</v>
      </c>
      <c r="C109" s="7" t="s">
        <v>394</v>
      </c>
      <c r="D109" s="7" t="s">
        <v>376</v>
      </c>
      <c r="E109" s="7" t="s">
        <v>395</v>
      </c>
      <c r="F109" s="8"/>
      <c r="G109" s="6" t="str">
        <f>IFERROR(__xludf.DUMMYFUNCTION(" GOOGLETRANSLATE(A109, ""en"", ""am"")"),"108")</f>
        <v>108</v>
      </c>
      <c r="H109" s="6" t="str">
        <f>IFERROR(__xludf.DUMMYFUNCTION(" GOOGLETRANSLATE(B109, ""en"", ""am"")"),"ዳኛው ፊሽካውን ጥለው ጨዋታው ቀጥሏል። ቀጥሎ ምን ይሆናል?")</f>
        <v>ዳኛው ፊሽካውን ጥለው ጨዋታው ቀጥሏል። ቀጥሎ ምን ይሆናል?</v>
      </c>
      <c r="I109" s="6" t="str">
        <f>IFERROR(__xludf.DUMMYFUNCTION(" GOOGLETRANSLATE(C109, ""en"", ""am"")"),"ሀ. እንጫወት ይቀጥል ቢ. ጨዋታውን ለአፍታ አቁም እና ፊሽካውን አውጣ። በተጣለ ኳስ እንደገና ያስጀምሩ። ለተቃራኒ ቡድን የሽልማት ባለቤትነት")</f>
        <v>ሀ. እንጫወት ይቀጥል ቢ. ጨዋታውን ለአፍታ አቁም እና ፊሽካውን አውጣ። በተጣለ ኳስ እንደገና ያስጀምሩ። ለተቃራኒ ቡድን የሽልማት ባለቤትነት</v>
      </c>
      <c r="J109" s="6" t="str">
        <f>IFERROR(__xludf.DUMMYFUNCTION(" GOOGLETRANSLATE(D109, ""en"", ""am"")"),"ጨዋታው ይቀጥል")</f>
        <v>ጨዋታው ይቀጥል</v>
      </c>
      <c r="K109" s="6" t="str">
        <f>IFERROR(__xludf.DUMMYFUNCTION(" GOOGLETRANSLATE(E109, ""en"", ""am"")"),"የተጣሉ መሳሪያዎች ጨዋታውን አያቆሙም።")</f>
        <v>የተጣሉ መሳሪያዎች ጨዋታውን አያቆሙም።</v>
      </c>
      <c r="L109" s="9"/>
    </row>
    <row r="110" ht="22.5" customHeight="1">
      <c r="A110" s="7">
        <v>109.0</v>
      </c>
      <c r="B110" s="7" t="s">
        <v>396</v>
      </c>
      <c r="C110" s="7" t="s">
        <v>397</v>
      </c>
      <c r="D110" s="7" t="s">
        <v>368</v>
      </c>
      <c r="E110" s="7" t="s">
        <v>398</v>
      </c>
      <c r="F110" s="8"/>
      <c r="G110" s="6" t="str">
        <f>IFERROR(__xludf.DUMMYFUNCTION(" GOOGLETRANSLATE(A110, ""en"", ""am"")"),"109")</f>
        <v>109</v>
      </c>
      <c r="H110" s="6" t="str">
        <f>IFERROR(__xludf.DUMMYFUNCTION(" GOOGLETRANSLATE(B110, ""en"", ""am"")"),"አንድ ተጫዋች ጎል አስቆጥሮ ኳሱን ወደ ጎል ለማስገባት እጁን ይጠቀማል። የዳኛው ጥሪ ምንድነው?")</f>
        <v>አንድ ተጫዋች ጎል አስቆጥሮ ኳሱን ወደ ጎል ለማስገባት እጁን ይጠቀማል። የዳኛው ጥሪ ምንድነው?</v>
      </c>
      <c r="I110" s="6" t="str">
        <f>IFERROR(__xludf.DUMMYFUNCTION(" GOOGLETRANSLATE(C110, ""en"", ""am"")"),"ሀ. ግቡን አትፍቀድ። ግቡን ይሸልሙ ሲ. ጨዋታውን ለአፍታ አቁም ለግምገማD. በተቆልቋይ ኳስ እንደገና ያስጀምሩ")</f>
        <v>ሀ. ግቡን አትፍቀድ። ግቡን ይሸልሙ ሲ. ጨዋታውን ለአፍታ አቁም ለግምገማD. በተቆልቋይ ኳስ እንደገና ያስጀምሩ</v>
      </c>
      <c r="J110" s="6" t="str">
        <f>IFERROR(__xludf.DUMMYFUNCTION(" GOOGLETRANSLATE(D110, ""en"", ""am"")"),"ግቡን አትፍቀድ")</f>
        <v>ግቡን አትፍቀድ</v>
      </c>
      <c r="K110" s="6" t="str">
        <f>IFERROR(__xludf.DUMMYFUNCTION(" GOOGLETRANSLATE(E110, ""en"", ""am"")"),"በእጅ የተቆጠሩ ግቦች ልክ አይደሉም።")</f>
        <v>በእጅ የተቆጠሩ ግቦች ልክ አይደሉም።</v>
      </c>
      <c r="L110" s="9"/>
    </row>
    <row r="111" ht="22.5" customHeight="1">
      <c r="A111" s="7">
        <v>110.0</v>
      </c>
      <c r="B111" s="7" t="s">
        <v>399</v>
      </c>
      <c r="C111" s="7" t="s">
        <v>400</v>
      </c>
      <c r="D111" s="7" t="s">
        <v>401</v>
      </c>
      <c r="E111" s="7" t="s">
        <v>402</v>
      </c>
      <c r="F111" s="8"/>
      <c r="G111" s="6" t="str">
        <f>IFERROR(__xludf.DUMMYFUNCTION(" GOOGLETRANSLATE(A111, ""en"", ""am"")"),"110")</f>
        <v>110</v>
      </c>
      <c r="H111" s="6" t="str">
        <f>IFERROR(__xludf.DUMMYFUNCTION(" GOOGLETRANSLATE(B111, ""en"", ""am"")"),"አንድ ተጫዋች ጎል ቢሞክርም ኳሱ ሁለቱንም የጎል መሎኮች ገጭታ ወጥታለች። ዳኛው ምን ይወስናል?")</f>
        <v>አንድ ተጫዋች ጎል ቢሞክርም ኳሱ ሁለቱንም የጎል መሎኮች ገጭታ ወጥታለች። ዳኛው ምን ይወስናል?</v>
      </c>
      <c r="I111" s="6" t="str">
        <f>IFERROR(__xludf.DUMMYFUNCTION(" GOOGLETRANSLATE(C111, ""en"", ""am"")"),"ሀ. ግብ የለም ግቡን ይሸልሙ ሲ. ጨዋታውን ለአፍታ አቁም ለግምገማD. ለተጋጣሚ ቡድን ቅጣት ስጥ")</f>
        <v>ሀ. ግብ የለም ግቡን ይሸልሙ ሲ. ጨዋታውን ለአፍታ አቁም ለግምገማD. ለተጋጣሚ ቡድን ቅጣት ስጥ</v>
      </c>
      <c r="J111" s="6" t="str">
        <f>IFERROR(__xludf.DUMMYFUNCTION(" GOOGLETRANSLATE(D111, ""en"", ""am"")"),"ግብ የለም።")</f>
        <v>ግብ የለም።</v>
      </c>
      <c r="K111" s="6" t="str">
        <f>IFERROR(__xludf.DUMMYFUNCTION(" GOOGLETRANSLATE(E111, ""en"", ""am"")"),"ኳሱ እንደ ግብ ለመቁጠር መስመሩን ማለፍ አለበት።")</f>
        <v>ኳሱ እንደ ግብ ለመቁጠር መስመሩን ማለፍ አለበት።</v>
      </c>
      <c r="L111" s="9"/>
    </row>
    <row r="112" ht="22.5" customHeight="1">
      <c r="A112" s="7">
        <v>111.0</v>
      </c>
      <c r="B112" s="7" t="s">
        <v>403</v>
      </c>
      <c r="C112" s="7" t="s">
        <v>404</v>
      </c>
      <c r="D112" s="7" t="s">
        <v>285</v>
      </c>
      <c r="E112" s="7" t="s">
        <v>405</v>
      </c>
      <c r="F112" s="8"/>
      <c r="G112" s="6" t="str">
        <f>IFERROR(__xludf.DUMMYFUNCTION(" GOOGLETRANSLATE(A112, ""en"", ""am"")"),"111")</f>
        <v>111</v>
      </c>
      <c r="H112" s="6" t="str">
        <f>IFERROR(__xludf.DUMMYFUNCTION(" GOOGLETRANSLATE(B112, ""en"", ""am"")"),"አንድ ተጫዋች ዱላውን እያወዛወዘ በድንገት ተቃዋሚውን ይመታል። ቀጥሎ ምን ይሆናል?")</f>
        <v>አንድ ተጫዋች ዱላውን እያወዛወዘ በድንገት ተቃዋሚውን ይመታል። ቀጥሎ ምን ይሆናል?</v>
      </c>
      <c r="I112" s="6" t="str">
        <f>IFERROR(__xludf.DUMMYFUNCTION(" GOOGLETRANSLATE(C112, ""en"", ""am"")"),"ሀ. ጨዋታውን ለአፍታ አቁም እና ማስጠንቀቂያ ለ. ጨዋታው ይቀጥል ሲ. ለተቃዋሚ ቡድን ዲ. በተቆልቋይ ኳስ እንደገና ያስጀምሩ")</f>
        <v>ሀ. ጨዋታውን ለአፍታ አቁም እና ማስጠንቀቂያ ለ. ጨዋታው ይቀጥል ሲ. ለተቃዋሚ ቡድን ዲ. በተቆልቋይ ኳስ እንደገና ያስጀምሩ</v>
      </c>
      <c r="J112" s="6" t="str">
        <f>IFERROR(__xludf.DUMMYFUNCTION(" GOOGLETRANSLATE(D112, ""en"", ""am"")"),"ጨዋታውን ለአፍታ ያቁሙ እና ማስጠንቀቂያ ይስጡ")</f>
        <v>ጨዋታውን ለአፍታ ያቁሙ እና ማስጠንቀቂያ ይስጡ</v>
      </c>
      <c r="K112" s="6" t="str">
        <f>IFERROR(__xludf.DUMMYFUNCTION(" GOOGLETRANSLATE(E112, ""en"", ""am"")"),"በአጋጣሚ የሚፈጸሙ ጥፋቶች ማስጠንቀቂያዎችን ወይም ቅጣቶችን ያስከትላሉ።")</f>
        <v>በአጋጣሚ የሚፈጸሙ ጥፋቶች ማስጠንቀቂያዎችን ወይም ቅጣቶችን ያስከትላሉ።</v>
      </c>
      <c r="L112" s="9"/>
    </row>
    <row r="113" ht="22.5" customHeight="1">
      <c r="A113" s="7">
        <v>112.0</v>
      </c>
      <c r="B113" s="7" t="s">
        <v>406</v>
      </c>
      <c r="C113" s="7" t="s">
        <v>407</v>
      </c>
      <c r="D113" s="7" t="s">
        <v>401</v>
      </c>
      <c r="E113" s="7" t="s">
        <v>408</v>
      </c>
      <c r="F113" s="8"/>
      <c r="G113" s="6" t="str">
        <f>IFERROR(__xludf.DUMMYFUNCTION(" GOOGLETRANSLATE(A113, ""en"", ""am"")"),"112")</f>
        <v>112</v>
      </c>
      <c r="H113" s="6" t="str">
        <f>IFERROR(__xludf.DUMMYFUNCTION(" GOOGLETRANSLATE(B113, ""en"", ""am"")"),"ኳሱ ወደ ጎል መስመር ቢያርፍም ሙሉ በሙሉ አያልፍም። የዳኛው ውሳኔ ምንድነው?")</f>
        <v>ኳሱ ወደ ጎል መስመር ቢያርፍም ሙሉ በሙሉ አያልፍም። የዳኛው ውሳኔ ምንድነው?</v>
      </c>
      <c r="I113" s="6" t="str">
        <f>IFERROR(__xludf.DUMMYFUNCTION(" GOOGLETRANSLATE(C113, ""en"", ""am"")"),"ሀ. ግብ የለም ግቡን ይሸልሙ ሲ. ጨዋታውን ለአፍታ አቁም ለግምገማD. በተቆልቋይ ኳስ እንደገና ያስጀምሩ")</f>
        <v>ሀ. ግብ የለም ግቡን ይሸልሙ ሲ. ጨዋታውን ለአፍታ አቁም ለግምገማD. በተቆልቋይ ኳስ እንደገና ያስጀምሩ</v>
      </c>
      <c r="J113" s="6" t="str">
        <f>IFERROR(__xludf.DUMMYFUNCTION(" GOOGLETRANSLATE(D113, ""en"", ""am"")"),"ግብ የለም።")</f>
        <v>ግብ የለም።</v>
      </c>
      <c r="K113" s="6" t="str">
        <f>IFERROR(__xludf.DUMMYFUNCTION(" GOOGLETRANSLATE(E113, ""en"", ""am"")"),"አንድ ግብ የሚሰራው ኳሱ ሙሉ በሙሉ መስመሩን ካቋረጠ ብቻ ነው።")</f>
        <v>አንድ ግብ የሚሰራው ኳሱ ሙሉ በሙሉ መስመሩን ካቋረጠ ብቻ ነው።</v>
      </c>
      <c r="L113" s="9"/>
    </row>
    <row r="114" ht="22.5" customHeight="1">
      <c r="A114" s="7">
        <v>113.0</v>
      </c>
      <c r="B114" s="7" t="s">
        <v>409</v>
      </c>
      <c r="C114" s="7" t="s">
        <v>410</v>
      </c>
      <c r="D114" s="7" t="s">
        <v>411</v>
      </c>
      <c r="E114" s="7" t="s">
        <v>412</v>
      </c>
      <c r="F114" s="8"/>
      <c r="G114" s="6" t="str">
        <f>IFERROR(__xludf.DUMMYFUNCTION(" GOOGLETRANSLATE(A114, ""en"", ""am"")"),"113")</f>
        <v>113</v>
      </c>
      <c r="H114" s="6" t="str">
        <f>IFERROR(__xludf.DUMMYFUNCTION(" GOOGLETRANSLATE(B114, ""en"", ""am"")"),"አንድ ተጫዋች ከትከሻው ከፍታ በላይ ባለው ዱላ ኳሱን ያግዳል። ዳኛው ምን ይወስናል?")</f>
        <v>አንድ ተጫዋች ከትከሻው ከፍታ በላይ ባለው ዱላ ኳሱን ያግዳል። ዳኛው ምን ይወስናል?</v>
      </c>
      <c r="I114" s="6" t="str">
        <f>IFERROR(__xludf.DUMMYFUNCTION(" GOOGLETRANSLATE(C114, ""en"", ""am"")"),"ሀ. ለተቃዋሚ ቡድንቢ ነፃ ስኬትን ይሸልሙ። ጨዋታው ይቀጥል ሲ. ለማስጠንቀቂያD ጨዋታውን ለአፍታ ያቁሙት። ለተጋጣሚ ቡድን ቅጣት ስጥ")</f>
        <v>ሀ. ለተቃዋሚ ቡድንቢ ነፃ ስኬትን ይሸልሙ። ጨዋታው ይቀጥል ሲ. ለማስጠንቀቂያD ጨዋታውን ለአፍታ ያቁሙት። ለተጋጣሚ ቡድን ቅጣት ስጥ</v>
      </c>
      <c r="J114" s="6" t="str">
        <f>IFERROR(__xludf.DUMMYFUNCTION(" GOOGLETRANSLATE(D114, ""en"", ""am"")"),"ለተጋጣሚ ቡድን ነፃ የሆነ ሽልማት ይስጡ")</f>
        <v>ለተጋጣሚ ቡድን ነፃ የሆነ ሽልማት ይስጡ</v>
      </c>
      <c r="K114" s="6" t="str">
        <f>IFERROR(__xludf.DUMMYFUNCTION(" GOOGLETRANSLATE(E114, ""en"", ""am"")"),"በጄና ውስጥ ከፍተኛ እንጨት ማገድ አይፈቀድም።")</f>
        <v>በጄና ውስጥ ከፍተኛ እንጨት ማገድ አይፈቀድም።</v>
      </c>
      <c r="L114" s="9"/>
    </row>
    <row r="115" ht="22.5" customHeight="1">
      <c r="A115" s="7">
        <v>114.0</v>
      </c>
      <c r="B115" s="7" t="s">
        <v>413</v>
      </c>
      <c r="C115" s="7" t="s">
        <v>414</v>
      </c>
      <c r="D115" s="7" t="s">
        <v>415</v>
      </c>
      <c r="E115" s="7" t="s">
        <v>416</v>
      </c>
      <c r="F115" s="8"/>
      <c r="G115" s="6" t="str">
        <f>IFERROR(__xludf.DUMMYFUNCTION(" GOOGLETRANSLATE(A115, ""en"", ""am"")"),"114")</f>
        <v>114</v>
      </c>
      <c r="H115" s="6" t="str">
        <f>IFERROR(__xludf.DUMMYFUNCTION(" GOOGLETRANSLATE(B115, ""en"", ""am"")"),"ዳኛው ተጫዋቹ በሌላ ተጫዋች ላይ ጸያፍ ቋንቋ ሲጠቀም አይተዋል። ምን እርምጃ ተወሰደ?")</f>
        <v>ዳኛው ተጫዋቹ በሌላ ተጫዋች ላይ ጸያፍ ቋንቋ ሲጠቀም አይተዋል። ምን እርምጃ ተወሰደ?</v>
      </c>
      <c r="I115" s="6" t="str">
        <f>IFERROR(__xludf.DUMMYFUNCTION(" GOOGLETRANSLATE(C115, ""en"", ""am"")"),"ሀ. ለተጫዋቹ ማስጠንቀቂያ ይስጡ ጨዋታው ይቀጥል ሲ. ለተቃዋሚ ቡድን ዲ. ጨዋታውን ለአፍታ ያቁሙት።")</f>
        <v>ሀ. ለተጫዋቹ ማስጠንቀቂያ ይስጡ ጨዋታው ይቀጥል ሲ. ለተቃዋሚ ቡድን ዲ. ጨዋታውን ለአፍታ ያቁሙት።</v>
      </c>
      <c r="J115" s="6" t="str">
        <f>IFERROR(__xludf.DUMMYFUNCTION(" GOOGLETRANSLATE(D115, ""en"", ""am"")"),"ለተጫዋቹ ማስጠንቀቂያ ይስጡ")</f>
        <v>ለተጫዋቹ ማስጠንቀቂያ ይስጡ</v>
      </c>
      <c r="K115" s="6" t="str">
        <f>IFERROR(__xludf.DUMMYFUNCTION(" GOOGLETRANSLATE(E115, ""en"", ""am"")"),"ስፖርታዊ ጨዋነት የጎደለው ድርጊት ይቀጣል።")</f>
        <v>ስፖርታዊ ጨዋነት የጎደለው ድርጊት ይቀጣል።</v>
      </c>
      <c r="L115" s="9"/>
    </row>
    <row r="116" ht="22.5" customHeight="1">
      <c r="A116" s="7">
        <v>115.0</v>
      </c>
      <c r="B116" s="7" t="s">
        <v>417</v>
      </c>
      <c r="C116" s="7" t="s">
        <v>418</v>
      </c>
      <c r="D116" s="7" t="s">
        <v>419</v>
      </c>
      <c r="E116" s="7" t="s">
        <v>420</v>
      </c>
      <c r="F116" s="8"/>
      <c r="G116" s="6" t="str">
        <f>IFERROR(__xludf.DUMMYFUNCTION(" GOOGLETRANSLATE(A116, ""en"", ""am"")"),"115")</f>
        <v>115</v>
      </c>
      <c r="H116" s="6" t="str">
        <f>IFERROR(__xludf.DUMMYFUNCTION(" GOOGLETRANSLATE(B116, ""en"", ""am"")"),"ቡድን ጎል አስቆጥሯል ነገርግን ዳኛው በጨዋታው ወቅት አንድ ተጫዋች ከጨዋታ ውጪ መሆኑን አስተውለዋል። ምን ይሆናል?")</f>
        <v>ቡድን ጎል አስቆጥሯል ነገርግን ዳኛው በጨዋታው ወቅት አንድ ተጫዋች ከጨዋታ ውጪ መሆኑን አስተውለዋል። ምን ይሆናል?</v>
      </c>
      <c r="I116" s="6" t="str">
        <f>IFERROR(__xludf.DUMMYFUNCTION(" GOOGLETRANSLATE(C116, ""en"", ""am"")"),"ሀ. ግቡን አትፍቀድ እና በነጻ hitB እንደገና ያስጀምሩ። ግቡን ይሸልሙ ሲ. ጨዋታው ይቀጥል ጨዋታውን ለአፍታ ያቁሙት።")</f>
        <v>ሀ. ግቡን አትፍቀድ እና በነጻ hitB እንደገና ያስጀምሩ። ግቡን ይሸልሙ ሲ. ጨዋታው ይቀጥል ጨዋታውን ለአፍታ ያቁሙት።</v>
      </c>
      <c r="J116" s="6" t="str">
        <f>IFERROR(__xludf.DUMMYFUNCTION(" GOOGLETRANSLATE(D116, ""en"", ""am"")"),"ግቡን አትፍቀድ እና በነጻ ምት እንደገና አስጀምር")</f>
        <v>ግቡን አትፍቀድ እና በነጻ ምት እንደገና አስጀምር</v>
      </c>
      <c r="K116" s="6" t="str">
        <f>IFERROR(__xludf.DUMMYFUNCTION(" GOOGLETRANSLATE(E116, ""en"", ""am"")"),"ከውጪ የሚደረጉ ድርጊቶች ግቦችን ይክዳሉ።")</f>
        <v>ከውጪ የሚደረጉ ድርጊቶች ግቦችን ይክዳሉ።</v>
      </c>
      <c r="L116" s="9"/>
    </row>
    <row r="117" ht="22.5" customHeight="1">
      <c r="A117" s="7">
        <v>116.0</v>
      </c>
      <c r="B117" s="7" t="s">
        <v>421</v>
      </c>
      <c r="C117" s="7" t="s">
        <v>422</v>
      </c>
      <c r="D117" s="7" t="s">
        <v>423</v>
      </c>
      <c r="E117" s="7" t="s">
        <v>424</v>
      </c>
      <c r="F117" s="8"/>
      <c r="G117" s="6" t="str">
        <f>IFERROR(__xludf.DUMMYFUNCTION(" GOOGLETRANSLATE(A117, ""en"", ""am"")"),"116")</f>
        <v>116</v>
      </c>
      <c r="H117" s="6" t="str">
        <f>IFERROR(__xludf.DUMMYFUNCTION(" GOOGLETRANSLATE(B117, ""en"", ""am"")"),"ኳሱ ከተጫዋቹ ራስ ቁር አውጥታ ወደ ጎል ትገባለች። ፍርዱ ምንድን ነው?")</f>
        <v>ኳሱ ከተጫዋቹ ራስ ቁር አውጥታ ወደ ጎል ትገባለች። ፍርዱ ምንድን ነው?</v>
      </c>
      <c r="I117" s="6" t="str">
        <f>IFERROR(__xludf.DUMMYFUNCTION(" GOOGLETRANSLATE(C117, ""en"", ""am"")"),"ሀ. ግቡን ይሸልሙ። ግቡን አትፍቀድ ጨዋታውን ለአፍታ አቁም ለግምገማD. ለተጋጣሚ ቡድን ነፃ የሆነ ሽልማት ይስጡ")</f>
        <v>ሀ. ግቡን ይሸልሙ። ግቡን አትፍቀድ ጨዋታውን ለአፍታ አቁም ለግምገማD. ለተጋጣሚ ቡድን ነፃ የሆነ ሽልማት ይስጡ</v>
      </c>
      <c r="J117" s="6" t="str">
        <f>IFERROR(__xludf.DUMMYFUNCTION(" GOOGLETRANSLATE(D117, ""en"", ""am"")"),"ግቡን ይስጡ")</f>
        <v>ግቡን ይስጡ</v>
      </c>
      <c r="K117" s="6" t="str">
        <f>IFERROR(__xludf.DUMMYFUNCTION(" GOOGLETRANSLATE(E117, ""en"", ""am"")"),"ከሄልሜት ውጪ ያሉ ግቦች ያልታሰበ እስከሆነ ድረስ የሚሰሩ ናቸው።")</f>
        <v>ከሄልሜት ውጪ ያሉ ግቦች ያልታሰበ እስከሆነ ድረስ የሚሰሩ ናቸው።</v>
      </c>
      <c r="L117" s="9"/>
    </row>
    <row r="118" ht="22.5" customHeight="1">
      <c r="A118" s="7">
        <v>117.0</v>
      </c>
      <c r="B118" s="7" t="s">
        <v>425</v>
      </c>
      <c r="C118" s="7" t="s">
        <v>426</v>
      </c>
      <c r="D118" s="7" t="s">
        <v>415</v>
      </c>
      <c r="E118" s="7" t="s">
        <v>427</v>
      </c>
      <c r="F118" s="8"/>
      <c r="G118" s="6" t="str">
        <f>IFERROR(__xludf.DUMMYFUNCTION(" GOOGLETRANSLATE(A118, ""en"", ""am"")"),"117")</f>
        <v>117</v>
      </c>
      <c r="H118" s="6" t="str">
        <f>IFERROR(__xludf.DUMMYFUNCTION(" GOOGLETRANSLATE(B118, ""en"", ""am"")"),"አንድ ተጫዋች ሆን ብሎ ኳሱን ደጋግሞ በመያዝ ጨዋታውን ይቀንሳል። ዳኛው ምን ያደርጋል?")</f>
        <v>አንድ ተጫዋች ሆን ብሎ ኳሱን ደጋግሞ በመያዝ ጨዋታውን ይቀንሳል። ዳኛው ምን ያደርጋል?</v>
      </c>
      <c r="I118" s="6" t="str">
        <f>IFERROR(__xludf.DUMMYFUNCTION(" GOOGLETRANSLATE(C118, ""en"", ""am"")"),"ሀ. ለተጫዋቹ ማስጠንቀቂያ ይስጡ ጨዋታው ይቀጥል ሲ. ለተቃዋሚ ቡድን ዲ ነፃ ስኬትን ይሸልሙ። ጨዋታውን ለአፍታ ያቁሙት።")</f>
        <v>ሀ. ለተጫዋቹ ማስጠንቀቂያ ይስጡ ጨዋታው ይቀጥል ሲ. ለተቃዋሚ ቡድን ዲ ነፃ ስኬትን ይሸልሙ። ጨዋታውን ለአፍታ ያቁሙት።</v>
      </c>
      <c r="J118" s="6" t="str">
        <f>IFERROR(__xludf.DUMMYFUNCTION(" GOOGLETRANSLATE(D118, ""en"", ""am"")"),"ለተጫዋቹ ማስጠንቀቂያ ይስጡ")</f>
        <v>ለተጫዋቹ ማስጠንቀቂያ ይስጡ</v>
      </c>
      <c r="K118" s="6" t="str">
        <f>IFERROR(__xludf.DUMMYFUNCTION(" GOOGLETRANSLATE(E118, ""en"", ""am"")"),"ሆን ተብሎ መዘግየቶች ማስጠንቀቂያዎችን ያስከትላሉ.")</f>
        <v>ሆን ተብሎ መዘግየቶች ማስጠንቀቂያዎችን ያስከትላሉ.</v>
      </c>
      <c r="L118" s="9"/>
    </row>
    <row r="119" ht="22.5" customHeight="1">
      <c r="A119" s="7">
        <v>118.0</v>
      </c>
      <c r="B119" s="7" t="s">
        <v>428</v>
      </c>
      <c r="C119" s="7" t="s">
        <v>429</v>
      </c>
      <c r="D119" s="7" t="s">
        <v>368</v>
      </c>
      <c r="E119" s="7" t="s">
        <v>430</v>
      </c>
      <c r="F119" s="8"/>
      <c r="G119" s="6" t="str">
        <f>IFERROR(__xludf.DUMMYFUNCTION(" GOOGLETRANSLATE(A119, ""en"", ""am"")"),"118")</f>
        <v>118</v>
      </c>
      <c r="H119" s="6" t="str">
        <f>IFERROR(__xludf.DUMMYFUNCTION(" GOOGLETRANSLATE(B119, ""en"", ""am"")"),"አንድ ተጫዋች ከተመደበው የውጤት ክልል ውጪ ጎል ለማስቆጠር ይሞክራል። የዳኛው ጥሪ ምንድነው?")</f>
        <v>አንድ ተጫዋች ከተመደበው የውጤት ክልል ውጪ ጎል ለማስቆጠር ይሞክራል። የዳኛው ጥሪ ምንድነው?</v>
      </c>
      <c r="I119" s="6" t="str">
        <f>IFERROR(__xludf.DUMMYFUNCTION(" GOOGLETRANSLATE(C119, ""en"", ""am"")"),"ሀ. ግቡን አትፍቀድ። ግቡን ይሸልሙ ሲ. ጨዋታውን ለአፍታ አቁም ለግምገማD. ለተጋጣሚ ቡድን ቅጣት ስጥ")</f>
        <v>ሀ. ግቡን አትፍቀድ። ግቡን ይሸልሙ ሲ. ጨዋታውን ለአፍታ አቁም ለግምገማD. ለተጋጣሚ ቡድን ቅጣት ስጥ</v>
      </c>
      <c r="J119" s="6" t="str">
        <f>IFERROR(__xludf.DUMMYFUNCTION(" GOOGLETRANSLATE(D119, ""en"", ""am"")"),"ግቡን አትፍቀድ")</f>
        <v>ግቡን አትፍቀድ</v>
      </c>
      <c r="K119" s="6" t="str">
        <f>IFERROR(__xludf.DUMMYFUNCTION(" GOOGLETRANSLATE(E119, ""en"", ""am"")"),"የውጤት አሰጣጥ በተዘጋጀው ዞን ውስጥ መከሰት አለበት.")</f>
        <v>የውጤት አሰጣጥ በተዘጋጀው ዞን ውስጥ መከሰት አለበት.</v>
      </c>
      <c r="L119" s="9"/>
    </row>
    <row r="120" ht="22.5" customHeight="1">
      <c r="A120" s="7">
        <v>119.0</v>
      </c>
      <c r="B120" s="7" t="s">
        <v>431</v>
      </c>
      <c r="C120" s="7" t="s">
        <v>432</v>
      </c>
      <c r="D120" s="7" t="s">
        <v>433</v>
      </c>
      <c r="E120" s="7" t="s">
        <v>434</v>
      </c>
      <c r="F120" s="8"/>
      <c r="G120" s="6" t="str">
        <f>IFERROR(__xludf.DUMMYFUNCTION(" GOOGLETRANSLATE(A120, ""en"", ""am"")"),"119")</f>
        <v>119</v>
      </c>
      <c r="H120" s="6" t="str">
        <f>IFERROR(__xludf.DUMMYFUNCTION(" GOOGLETRANSLATE(B120, ""en"", ""am"")"),"ዳኛው በጨዋታው ወቅት ሁለት ተጫዋቾች ሲጨቃጨቁ ተመልክቷል። ቀጥሎ ምን ይሆናል?")</f>
        <v>ዳኛው በጨዋታው ወቅት ሁለት ተጫዋቾች ሲጨቃጨቁ ተመልክቷል። ቀጥሎ ምን ይሆናል?</v>
      </c>
      <c r="I120" s="6" t="str">
        <f>IFERROR(__xludf.DUMMYFUNCTION(" GOOGLETRANSLATE(C120, ""en"", ""am"")"),"ሀ. ጨዋታውን ለአፍታ አቁም እና ለሁለቱም ተጫዋቾች ማስጠንቀቂያ ይስጡ። ጨዋታው ይቀጥል ሲ. ለአንድ ቡድን ዲ. በተቆልቋይ ኳስ እንደገና ያስጀምሩ")</f>
        <v>ሀ. ጨዋታውን ለአፍታ አቁም እና ለሁለቱም ተጫዋቾች ማስጠንቀቂያ ይስጡ። ጨዋታው ይቀጥል ሲ. ለአንድ ቡድን ዲ. በተቆልቋይ ኳስ እንደገና ያስጀምሩ</v>
      </c>
      <c r="J120" s="6" t="str">
        <f>IFERROR(__xludf.DUMMYFUNCTION(" GOOGLETRANSLATE(D120, ""en"", ""am"")"),"ጨዋታውን ለአፍታ ያቁሙ እና ለሁለቱም ተጫዋቾች ማስጠንቀቂያ ይስጡ")</f>
        <v>ጨዋታውን ለአፍታ ያቁሙ እና ለሁለቱም ተጫዋቾች ማስጠንቀቂያ ይስጡ</v>
      </c>
      <c r="K120" s="6" t="str">
        <f>IFERROR(__xludf.DUMMYFUNCTION(" GOOGLETRANSLATE(E120, ""en"", ""am"")"),"ክርክሮች የተነሱት ስፖርታዊ ጨዋነትን ለመጠበቅ ነው።")</f>
        <v>ክርክሮች የተነሱት ስፖርታዊ ጨዋነትን ለመጠበቅ ነው።</v>
      </c>
      <c r="L120" s="9"/>
    </row>
    <row r="121" ht="22.5" customHeight="1">
      <c r="A121" s="7">
        <v>120.0</v>
      </c>
      <c r="B121" s="7" t="s">
        <v>435</v>
      </c>
      <c r="C121" s="7" t="s">
        <v>429</v>
      </c>
      <c r="D121" s="7" t="s">
        <v>368</v>
      </c>
      <c r="E121" s="7" t="s">
        <v>436</v>
      </c>
      <c r="F121" s="8"/>
      <c r="G121" s="6" t="str">
        <f>IFERROR(__xludf.DUMMYFUNCTION(" GOOGLETRANSLATE(A121, ""en"", ""am"")"),"120")</f>
        <v>120</v>
      </c>
      <c r="H121" s="6" t="str">
        <f>IFERROR(__xludf.DUMMYFUNCTION(" GOOGLETRANSLATE(B121, ""en"", ""am"")"),"ኳሱ በአጋጣሚ ወደ ጎል ይመታል። የዳኛው ውሳኔ ምንድነው?")</f>
        <v>ኳሱ በአጋጣሚ ወደ ጎል ይመታል። የዳኛው ውሳኔ ምንድነው?</v>
      </c>
      <c r="I121" s="6" t="str">
        <f>IFERROR(__xludf.DUMMYFUNCTION(" GOOGLETRANSLATE(C121, ""en"", ""am"")"),"ሀ. ግቡን አትፍቀድ። ግቡን ይሸልሙ ሲ. ጨዋታውን ለአፍታ አቁም ለግምገማD. ለተጋጣሚ ቡድን ቅጣት ስጥ")</f>
        <v>ሀ. ግቡን አትፍቀድ። ግቡን ይሸልሙ ሲ. ጨዋታውን ለአፍታ አቁም ለግምገማD. ለተጋጣሚ ቡድን ቅጣት ስጥ</v>
      </c>
      <c r="J121" s="6" t="str">
        <f>IFERROR(__xludf.DUMMYFUNCTION(" GOOGLETRANSLATE(D121, ""en"", ""am"")"),"ግቡን አትፍቀድ")</f>
        <v>ግቡን አትፍቀድ</v>
      </c>
      <c r="K121" s="6" t="str">
        <f>IFERROR(__xludf.DUMMYFUNCTION(" GOOGLETRANSLATE(E121, ""en"", ""am"")"),"በእርግጫ የተቆጠሩ ግቦች ልክ አይደሉም።")</f>
        <v>በእርግጫ የተቆጠሩ ግቦች ልክ አይደሉም።</v>
      </c>
      <c r="L121" s="9"/>
    </row>
    <row r="122" ht="22.5" customHeight="1">
      <c r="A122" s="7">
        <v>121.0</v>
      </c>
      <c r="B122" s="7" t="s">
        <v>437</v>
      </c>
      <c r="C122" s="7" t="s">
        <v>438</v>
      </c>
      <c r="D122" s="7" t="s">
        <v>439</v>
      </c>
      <c r="E122" s="7" t="s">
        <v>440</v>
      </c>
      <c r="F122" s="8"/>
      <c r="G122" s="6" t="str">
        <f>IFERROR(__xludf.DUMMYFUNCTION(" GOOGLETRANSLATE(A122, ""en"", ""am"")"),"121")</f>
        <v>121</v>
      </c>
      <c r="H122" s="6" t="str">
        <f>IFERROR(__xludf.DUMMYFUNCTION(" GOOGLETRANSLATE(B122, ""en"", ""am"")"),"አንድ ተመልካች ኳሱን በመሃል ጨዋታ በማንሳት ጣልቃ ይገባል። የዳኛው ጥሪ ምንድነው?")</f>
        <v>አንድ ተመልካች ኳሱን በመሃል ጨዋታ በማንሳት ጣልቃ ይገባል። የዳኛው ጥሪ ምንድነው?</v>
      </c>
      <c r="I122" s="6" t="str">
        <f>IFERROR(__xludf.DUMMYFUNCTION(" GOOGLETRANSLATE(C122, ""en"", ""am"")"),"ሀ. ጨዋታውን ለአፍታ አቁም እና በተጠባባቂ ኳስ እንደገና አስጀምር። ለተቃዋሚ ቡድን ሲ. ጨዋታው ይቀጥል ለተጠላለፈው ቡድን ቅጣት ስጥ")</f>
        <v>ሀ. ጨዋታውን ለአፍታ አቁም እና በተጠባባቂ ኳስ እንደገና አስጀምር። ለተቃዋሚ ቡድን ሲ. ጨዋታው ይቀጥል ለተጠላለፈው ቡድን ቅጣት ስጥ</v>
      </c>
      <c r="J122" s="6" t="str">
        <f>IFERROR(__xludf.DUMMYFUNCTION(" GOOGLETRANSLATE(D122, ""en"", ""am"")"),"ጨዋታውን ለአፍታ አቁም እና በተጣለ ኳስ እንደገና አስጀምር")</f>
        <v>ጨዋታውን ለአፍታ አቁም እና በተጣለ ኳስ እንደገና አስጀምር</v>
      </c>
      <c r="K122" s="6" t="str">
        <f>IFERROR(__xludf.DUMMYFUNCTION(" GOOGLETRANSLATE(E122, ""en"", ""am"")"),"የውጭ ጣልቃገብነት ገለልተኛ ዳግም መጀመር ያስፈልገዋል.")</f>
        <v>የውጭ ጣልቃገብነት ገለልተኛ ዳግም መጀመር ያስፈልገዋል.</v>
      </c>
      <c r="L122" s="9"/>
    </row>
    <row r="123" ht="22.5" customHeight="1">
      <c r="A123" s="7">
        <v>122.0</v>
      </c>
      <c r="B123" s="7" t="s">
        <v>441</v>
      </c>
      <c r="C123" s="7" t="s">
        <v>442</v>
      </c>
      <c r="D123" s="7" t="s">
        <v>443</v>
      </c>
      <c r="E123" s="7" t="s">
        <v>444</v>
      </c>
      <c r="F123" s="8"/>
      <c r="G123" s="6" t="str">
        <f>IFERROR(__xludf.DUMMYFUNCTION(" GOOGLETRANSLATE(A123, ""en"", ""am"")"),"122")</f>
        <v>122</v>
      </c>
      <c r="H123" s="6" t="str">
        <f>IFERROR(__xludf.DUMMYFUNCTION(" GOOGLETRANSLATE(B123, ""en"", ""am"")"),"ጎል ሲከላከል የተጫዋቹ ዱላ ይሰበራል። ቀጥሎ ምን ይሆናል?")</f>
        <v>ጎል ሲከላከል የተጫዋቹ ዱላ ይሰበራል። ቀጥሎ ምን ይሆናል?</v>
      </c>
      <c r="I123" s="6" t="str">
        <f>IFERROR(__xludf.DUMMYFUNCTION(" GOOGLETRANSLATE(C123, ""en"", ""am"")"),"ሀ. ጨዋታውን ለአፍታ አቁም እና ተጫዋቹ ስቲክቢቸውን እንዲተካ ፍቀድለት። ጨዋታው ይቀጥል ሲ. ለተቃዋሚ ቡድን ዲ ነፃ ስኬትን ይሸልሙ። በተቆልቋይ ኳስ እንደገና ያስጀምሩ")</f>
        <v>ሀ. ጨዋታውን ለአፍታ አቁም እና ተጫዋቹ ስቲክቢቸውን እንዲተካ ፍቀድለት። ጨዋታው ይቀጥል ሲ. ለተቃዋሚ ቡድን ዲ ነፃ ስኬትን ይሸልሙ። በተቆልቋይ ኳስ እንደገና ያስጀምሩ</v>
      </c>
      <c r="J123" s="6" t="str">
        <f>IFERROR(__xludf.DUMMYFUNCTION(" GOOGLETRANSLATE(D123, ""en"", ""am"")"),"ጨዋታውን ለአፍታ አቁም እና ተጫዋቹ በትራቸውን እንዲተካ ፍቀድለት")</f>
        <v>ጨዋታውን ለአፍታ አቁም እና ተጫዋቹ በትራቸውን እንዲተካ ፍቀድለት</v>
      </c>
      <c r="K123" s="6" t="str">
        <f>IFERROR(__xludf.DUMMYFUNCTION(" GOOGLETRANSLATE(E123, ""en"", ""am"")"),"የተሰበሩ መሳሪያዎች ለደህንነት ሲባል ተተክተዋል.")</f>
        <v>የተሰበሩ መሳሪያዎች ለደህንነት ሲባል ተተክተዋል.</v>
      </c>
      <c r="L123" s="9"/>
    </row>
    <row r="124" ht="22.5" customHeight="1">
      <c r="A124" s="7">
        <v>123.0</v>
      </c>
      <c r="B124" s="7" t="s">
        <v>445</v>
      </c>
      <c r="C124" s="7" t="s">
        <v>446</v>
      </c>
      <c r="D124" s="7" t="s">
        <v>376</v>
      </c>
      <c r="E124" s="7" t="s">
        <v>447</v>
      </c>
      <c r="F124" s="8"/>
      <c r="G124" s="6" t="str">
        <f>IFERROR(__xludf.DUMMYFUNCTION(" GOOGLETRANSLATE(A124, ""en"", ""am"")"),"123")</f>
        <v>123</v>
      </c>
      <c r="H124" s="6" t="str">
        <f>IFERROR(__xludf.DUMMYFUNCTION(" GOOGLETRANSLATE(B124, ""en"", ""am"")"),"ኳሱ ከዳኛው ላይ ወጥታ በጨዋታው ውስጥ ይቆያል። ዳኛው ምን ይወስናል?")</f>
        <v>ኳሱ ከዳኛው ላይ ወጥታ በጨዋታው ውስጥ ይቆያል። ዳኛው ምን ይወስናል?</v>
      </c>
      <c r="I124" s="6" t="str">
        <f>IFERROR(__xludf.DUMMYFUNCTION(" GOOGLETRANSLATE(C124, ""en"", ""am"")"),"ሀ. እንጫወት ይቀጥል ቢ. ጨዋታውን ለአፍታ አቁም እና በተጣለ ኳስ እንደገና አስጀምር። ለአንድ ቡድን ዲ. ለተጋጣሚ ቡድን ነፃ የሆነ ሽልማት ይስጡ")</f>
        <v>ሀ. እንጫወት ይቀጥል ቢ. ጨዋታውን ለአፍታ አቁም እና በተጣለ ኳስ እንደገና አስጀምር። ለአንድ ቡድን ዲ. ለተጋጣሚ ቡድን ነፃ የሆነ ሽልማት ይስጡ</v>
      </c>
      <c r="J124" s="6" t="str">
        <f>IFERROR(__xludf.DUMMYFUNCTION(" GOOGLETRANSLATE(D124, ""en"", ""am"")"),"ጨዋታው ይቀጥል")</f>
        <v>ጨዋታው ይቀጥል</v>
      </c>
      <c r="K124" s="6" t="str">
        <f>IFERROR(__xludf.DUMMYFUNCTION(" GOOGLETRANSLATE(E124, ""en"", ""am"")"),"ኳሱ ከዳኛው ላይ ቢወጣ በጨዋታው ውስጥ ይቀራል።")</f>
        <v>ኳሱ ከዳኛው ላይ ቢወጣ በጨዋታው ውስጥ ይቀራል።</v>
      </c>
      <c r="L124" s="9"/>
    </row>
    <row r="125" ht="22.5" customHeight="1">
      <c r="A125" s="7">
        <v>124.0</v>
      </c>
      <c r="B125" s="7" t="s">
        <v>448</v>
      </c>
      <c r="C125" s="7" t="s">
        <v>397</v>
      </c>
      <c r="D125" s="7" t="s">
        <v>368</v>
      </c>
      <c r="E125" s="7" t="s">
        <v>449</v>
      </c>
      <c r="F125" s="8"/>
      <c r="G125" s="6" t="str">
        <f>IFERROR(__xludf.DUMMYFUNCTION(" GOOGLETRANSLATE(A125, ""en"", ""am"")"),"124")</f>
        <v>124</v>
      </c>
      <c r="H125" s="6" t="str">
        <f>IFERROR(__xludf.DUMMYFUNCTION(" GOOGLETRANSLATE(B125, ""en"", ""am"")"),"አንድ ተጫዋች ጎል አስቆጥሯል፣ ዳኛው ግን የመሳሪያ ጥሰት እንዳለ አስተውሏል። ጥሪው ምንድን ነው?")</f>
        <v>አንድ ተጫዋች ጎል አስቆጥሯል፣ ዳኛው ግን የመሳሪያ ጥሰት እንዳለ አስተውሏል። ጥሪው ምንድን ነው?</v>
      </c>
      <c r="I125" s="6" t="str">
        <f>IFERROR(__xludf.DUMMYFUNCTION(" GOOGLETRANSLATE(C125, ""en"", ""am"")"),"ሀ. ግቡን አትፍቀድ። ግቡን ይሸልሙ ሲ. ጨዋታውን ለአፍታ አቁም ለግምገማD. በተቆልቋይ ኳስ እንደገና ያስጀምሩ")</f>
        <v>ሀ. ግቡን አትፍቀድ። ግቡን ይሸልሙ ሲ. ጨዋታውን ለአፍታ አቁም ለግምገማD. በተቆልቋይ ኳስ እንደገና ያስጀምሩ</v>
      </c>
      <c r="J125" s="6" t="str">
        <f>IFERROR(__xludf.DUMMYFUNCTION(" GOOGLETRANSLATE(D125, ""en"", ""am"")"),"ግቡን አትፍቀድ")</f>
        <v>ግቡን አትፍቀድ</v>
      </c>
      <c r="K125" s="6" t="str">
        <f>IFERROR(__xludf.DUMMYFUNCTION(" GOOGLETRANSLATE(E125, ""en"", ""am"")"),"የመሳሪያዎች ጥሰቶች ግቦችን ዋጋ ያበላሻሉ.")</f>
        <v>የመሳሪያዎች ጥሰቶች ግቦችን ዋጋ ያበላሻሉ.</v>
      </c>
      <c r="L125" s="9"/>
    </row>
    <row r="126" ht="22.5" customHeight="1">
      <c r="A126" s="7">
        <v>125.0</v>
      </c>
      <c r="B126" s="7" t="s">
        <v>450</v>
      </c>
      <c r="C126" s="7" t="s">
        <v>451</v>
      </c>
      <c r="D126" s="7" t="s">
        <v>423</v>
      </c>
      <c r="E126" s="7" t="s">
        <v>452</v>
      </c>
      <c r="F126" s="8"/>
      <c r="G126" s="6" t="str">
        <f>IFERROR(__xludf.DUMMYFUNCTION(" GOOGLETRANSLATE(A126, ""en"", ""am"")"),"125")</f>
        <v>125</v>
      </c>
      <c r="H126" s="6" t="str">
        <f>IFERROR(__xludf.DUMMYFUNCTION(" GOOGLETRANSLATE(B126, ""en"", ""am"")"),"ጎል የሚቆጠረው በፍፁም ቅጣት ምት ሲሆን ኳሱ ግን የጎል ምሶሶውን በመምታት ሌላ ተጫዋች ከመግባቱ በፊት ያጠፋዋል። ፍርዱ ምንድን ነው?")</f>
        <v>ጎል የሚቆጠረው በፍፁም ቅጣት ምት ሲሆን ኳሱ ግን የጎል ምሶሶውን በመምታት ሌላ ተጫዋች ከመግባቱ በፊት ያጠፋዋል። ፍርዱ ምንድን ነው?</v>
      </c>
      <c r="I126" s="6" t="str">
        <f>IFERROR(__xludf.DUMMYFUNCTION(" GOOGLETRANSLATE(C126, ""en"", ""am"")"),"ሀ. ግቡን ይሸልሙ። ግቡን አትፍቀድ ጨዋታውን ለአፍታ አቁም ለግምገማD. በተቆልቋይ ኳስ እንደገና ያስጀምሩ")</f>
        <v>ሀ. ግቡን ይሸልሙ። ግቡን አትፍቀድ ጨዋታውን ለአፍታ አቁም ለግምገማD. በተቆልቋይ ኳስ እንደገና ያስጀምሩ</v>
      </c>
      <c r="J126" s="6" t="str">
        <f>IFERROR(__xludf.DUMMYFUNCTION(" GOOGLETRANSLATE(D126, ""en"", ""am"")"),"ግቡን ይስጡ")</f>
        <v>ግቡን ይስጡ</v>
      </c>
      <c r="K126" s="6" t="str">
        <f>IFERROR(__xludf.DUMMYFUNCTION(" GOOGLETRANSLATE(E126, ""en"", ""am"")"),"በቅጣት ጊዜ ማፈግፈግ ልክ ነው።")</f>
        <v>በቅጣት ጊዜ ማፈግፈግ ልክ ነው።</v>
      </c>
      <c r="L126" s="9"/>
    </row>
    <row r="127" ht="22.5" customHeight="1">
      <c r="A127" s="7">
        <v>126.0</v>
      </c>
      <c r="B127" s="7" t="s">
        <v>453</v>
      </c>
      <c r="C127" s="7" t="s">
        <v>454</v>
      </c>
      <c r="D127" s="7" t="s">
        <v>455</v>
      </c>
      <c r="E127" s="7" t="s">
        <v>456</v>
      </c>
      <c r="F127" s="8"/>
      <c r="G127" s="6" t="str">
        <f>IFERROR(__xludf.DUMMYFUNCTION(" GOOGLETRANSLATE(A127, ""en"", ""am"")"),"126")</f>
        <v>126</v>
      </c>
      <c r="H127" s="6" t="str">
        <f>IFERROR(__xludf.DUMMYFUNCTION(" GOOGLETRANSLATE(B127, ""en"", ""am"")"),"አንድ ተጫዋች ጥቃታቸውን ለማስቆም ሆን ብሎ ተቃዋሚውን ያናግራል። ዳኛው ምን ያደርጋል?")</f>
        <v>አንድ ተጫዋች ጥቃታቸውን ለማስቆም ሆን ብሎ ተቃዋሚውን ያናግራል። ዳኛው ምን ያደርጋል?</v>
      </c>
      <c r="I127" s="6" t="str">
        <f>IFERROR(__xludf.DUMMYFUNCTION(" GOOGLETRANSLATE(C127, ""en"", ""am"")"),"ሀ. ለተቃዋሚ ቡድን ቢ ቅጣት መስጠት። ጨዋታው ይቀጥል ሲ. ጨዋታውን ለአፍታ አቁም እና ማስጠንቀቂያ ስጥ። ለተጋጣሚ ቡድን ነፃ የሆነ ሽልማት ይስጡ")</f>
        <v>ሀ. ለተቃዋሚ ቡድን ቢ ቅጣት መስጠት። ጨዋታው ይቀጥል ሲ. ጨዋታውን ለአፍታ አቁም እና ማስጠንቀቂያ ስጥ። ለተጋጣሚ ቡድን ነፃ የሆነ ሽልማት ይስጡ</v>
      </c>
      <c r="J127" s="6" t="str">
        <f>IFERROR(__xludf.DUMMYFUNCTION(" GOOGLETRANSLATE(D127, ""en"", ""am"")"),"ለተጋጣሚ ቡድን ቅጣት ስጥ")</f>
        <v>ለተጋጣሚ ቡድን ቅጣት ስጥ</v>
      </c>
      <c r="K127" s="6" t="str">
        <f>IFERROR(__xludf.DUMMYFUNCTION(" GOOGLETRANSLATE(E127, ""en"", ""am"")"),"ሆን ተብሎ የሚደረግ ጥፋት ቅጣቶችን ያስከትላል።")</f>
        <v>ሆን ተብሎ የሚደረግ ጥፋት ቅጣቶችን ያስከትላል።</v>
      </c>
      <c r="L127" s="9"/>
    </row>
    <row r="128" ht="22.5" customHeight="1">
      <c r="A128" s="7">
        <v>127.0</v>
      </c>
      <c r="B128" s="7" t="s">
        <v>457</v>
      </c>
      <c r="C128" s="7" t="s">
        <v>458</v>
      </c>
      <c r="D128" s="7" t="s">
        <v>415</v>
      </c>
      <c r="E128" s="7" t="s">
        <v>416</v>
      </c>
      <c r="F128" s="8"/>
      <c r="G128" s="6" t="str">
        <f>IFERROR(__xludf.DUMMYFUNCTION(" GOOGLETRANSLATE(A128, ""en"", ""am"")"),"127")</f>
        <v>127</v>
      </c>
      <c r="H128" s="6" t="str">
        <f>IFERROR(__xludf.DUMMYFUNCTION(" GOOGLETRANSLATE(B128, ""en"", ""am"")"),"አንድ ተጫዋች በብስጭት ዱላውን ይጥላል። ቀጥሎ ምን ይሆናል?")</f>
        <v>አንድ ተጫዋች በብስጭት ዱላውን ይጥላል። ቀጥሎ ምን ይሆናል?</v>
      </c>
      <c r="I128" s="6" t="str">
        <f>IFERROR(__xludf.DUMMYFUNCTION(" GOOGLETRANSLATE(C128, ""en"", ""am"")"),"ሀ. ለተጫዋቹ ማስጠንቀቂያ ይስጡ ጨዋታው ይቀጥል ሲ. ለተቃዋሚ ቡድን መሸለም. ጨዋታውን ለአፍታ ያቁሙት።")</f>
        <v>ሀ. ለተጫዋቹ ማስጠንቀቂያ ይስጡ ጨዋታው ይቀጥል ሲ. ለተቃዋሚ ቡድን መሸለም. ጨዋታውን ለአፍታ ያቁሙት።</v>
      </c>
      <c r="J128" s="6" t="str">
        <f>IFERROR(__xludf.DUMMYFUNCTION(" GOOGLETRANSLATE(D128, ""en"", ""am"")"),"ለተጫዋቹ ማስጠንቀቂያ ይስጡ")</f>
        <v>ለተጫዋቹ ማስጠንቀቂያ ይስጡ</v>
      </c>
      <c r="K128" s="6" t="str">
        <f>IFERROR(__xludf.DUMMYFUNCTION(" GOOGLETRANSLATE(E128, ""en"", ""am"")"),"ስፖርታዊ ጨዋነት የጎደለው ድርጊት ይቀጣል።")</f>
        <v>ስፖርታዊ ጨዋነት የጎደለው ድርጊት ይቀጣል።</v>
      </c>
      <c r="L128" s="9"/>
    </row>
    <row r="129" ht="22.5" customHeight="1">
      <c r="A129" s="7">
        <v>128.0</v>
      </c>
      <c r="B129" s="7" t="s">
        <v>459</v>
      </c>
      <c r="C129" s="7" t="s">
        <v>460</v>
      </c>
      <c r="D129" s="7" t="s">
        <v>455</v>
      </c>
      <c r="E129" s="7" t="s">
        <v>461</v>
      </c>
      <c r="F129" s="8"/>
      <c r="G129" s="6" t="str">
        <f>IFERROR(__xludf.DUMMYFUNCTION(" GOOGLETRANSLATE(A129, ""en"", ""am"")"),"128")</f>
        <v>128</v>
      </c>
      <c r="H129" s="6" t="str">
        <f>IFERROR(__xludf.DUMMYFUNCTION(" GOOGLETRANSLATE(B129, ""en"", ""am"")"),"አንድ ተጫዋች ውጤትን ለመከላከል የጎል ምሰሶውን ያንቀሳቅሳል። የዳኛው ውሳኔ ምንድን ነው?")</f>
        <v>አንድ ተጫዋች ውጤትን ለመከላከል የጎል ምሰሶውን ያንቀሳቅሳል። የዳኛው ውሳኔ ምንድን ነው?</v>
      </c>
      <c r="I129" s="6" t="str">
        <f>IFERROR(__xludf.DUMMYFUNCTION(" GOOGLETRANSLATE(C129, ""en"", ""am"")"),"ሀ. ለተቃዋሚ ቡድን ቢ ቅጣት መስጠት። ጨዋታው ይቀጥል ሲ. ጨዋታውን ለአፍታ አቁም እና ማስጠንቀቂያ ስጥ። በተቆልቋይ ኳስ እንደገና ያስጀምሩ")</f>
        <v>ሀ. ለተቃዋሚ ቡድን ቢ ቅጣት መስጠት። ጨዋታው ይቀጥል ሲ. ጨዋታውን ለአፍታ አቁም እና ማስጠንቀቂያ ስጥ። በተቆልቋይ ኳስ እንደገና ያስጀምሩ</v>
      </c>
      <c r="J129" s="6" t="str">
        <f>IFERROR(__xludf.DUMMYFUNCTION(" GOOGLETRANSLATE(D129, ""en"", ""am"")"),"ለተጋጣሚ ቡድን ቅጣት ስጥ")</f>
        <v>ለተጋጣሚ ቡድን ቅጣት ስጥ</v>
      </c>
      <c r="K129" s="6" t="str">
        <f>IFERROR(__xludf.DUMMYFUNCTION(" GOOGLETRANSLATE(E129, ""en"", ""am"")"),"የጎል መለጠፊያዎችን መምራት ቅጣቶችን ያስከትላል።")</f>
        <v>የጎል መለጠፊያዎችን መምራት ቅጣቶችን ያስከትላል።</v>
      </c>
      <c r="L129" s="9"/>
    </row>
    <row r="130" ht="22.5" customHeight="1">
      <c r="A130" s="7">
        <v>129.0</v>
      </c>
      <c r="B130" s="7" t="s">
        <v>462</v>
      </c>
      <c r="C130" s="7" t="s">
        <v>463</v>
      </c>
      <c r="D130" s="7" t="s">
        <v>380</v>
      </c>
      <c r="E130" s="7" t="s">
        <v>464</v>
      </c>
      <c r="F130" s="8"/>
      <c r="G130" s="6" t="str">
        <f>IFERROR(__xludf.DUMMYFUNCTION(" GOOGLETRANSLATE(A130, ""en"", ""am"")"),"129")</f>
        <v>129</v>
      </c>
      <c r="H130" s="6" t="str">
        <f>IFERROR(__xludf.DUMMYFUNCTION(" GOOGLETRANSLATE(B130, ""en"", ""am"")"),"በጨዋታው ወቅት ኳሱ ለሁለት ተከፍሏል, ግማሹ ወደ ጎል ይገባል. ዳኛው ምን ይወስናል?")</f>
        <v>በጨዋታው ወቅት ኳሱ ለሁለት ተከፍሏል, ግማሹ ወደ ጎል ይገባል. ዳኛው ምን ይወስናል?</v>
      </c>
      <c r="I130" s="6" t="str">
        <f>IFERROR(__xludf.DUMMYFUNCTION(" GOOGLETRANSLATE(C130, ""en"", ""am"")"),"ሀ. ጨዋታውን ለአፍታ አቁም እና ኳሱን ይተኩ። ግቡን ይሸልሙ ሲ. ጨዋታው ይቀጥል በተቆልቋይ ኳስ እንደገና ያስጀምሩ")</f>
        <v>ሀ. ጨዋታውን ለአፍታ አቁም እና ኳሱን ይተኩ። ግቡን ይሸልሙ ሲ. ጨዋታው ይቀጥል በተቆልቋይ ኳስ እንደገና ያስጀምሩ</v>
      </c>
      <c r="J130" s="6" t="str">
        <f>IFERROR(__xludf.DUMMYFUNCTION(" GOOGLETRANSLATE(D130, ""en"", ""am"")"),"ጨዋታውን ለአፍታ አቁም እና ኳሱን ይተኩ")</f>
        <v>ጨዋታውን ለአፍታ አቁም እና ኳሱን ይተኩ</v>
      </c>
      <c r="K130" s="6" t="str">
        <f>IFERROR(__xludf.DUMMYFUNCTION(" GOOGLETRANSLATE(E130, ""en"", ""am"")"),"የተበላሹ መሳሪያዎች ወዲያውኑ መተካት ያስፈልጋቸዋል.")</f>
        <v>የተበላሹ መሳሪያዎች ወዲያውኑ መተካት ያስፈልጋቸዋል.</v>
      </c>
      <c r="L130" s="9"/>
    </row>
    <row r="131" ht="22.5" customHeight="1">
      <c r="A131" s="7">
        <v>130.0</v>
      </c>
      <c r="B131" s="7" t="s">
        <v>465</v>
      </c>
      <c r="C131" s="7" t="s">
        <v>404</v>
      </c>
      <c r="D131" s="7" t="s">
        <v>285</v>
      </c>
      <c r="E131" s="7" t="s">
        <v>466</v>
      </c>
      <c r="F131" s="8"/>
      <c r="G131" s="6" t="str">
        <f>IFERROR(__xludf.DUMMYFUNCTION(" GOOGLETRANSLATE(A131, ""en"", ""am"")"),"130")</f>
        <v>130</v>
      </c>
      <c r="H131" s="6" t="str">
        <f>IFERROR(__xludf.DUMMYFUNCTION(" GOOGLETRANSLATE(B131, ""en"", ""am"")"),"አንድ ተጫዋች ያለ ተገቢ ልብስ ወደ ሜዳ ይሮጣል። ቀጥሎ ምን ይሆናል?")</f>
        <v>አንድ ተጫዋች ያለ ተገቢ ልብስ ወደ ሜዳ ይሮጣል። ቀጥሎ ምን ይሆናል?</v>
      </c>
      <c r="I131" s="6" t="str">
        <f>IFERROR(__xludf.DUMMYFUNCTION(" GOOGLETRANSLATE(C131, ""en"", ""am"")"),"ሀ. ጨዋታውን ለአፍታ አቁም እና ማስጠንቀቂያ ለ. ጨዋታው ይቀጥል ሲ. ለተቃዋሚ ቡድን ዲ. በተቆልቋይ ኳስ እንደገና ያስጀምሩ")</f>
        <v>ሀ. ጨዋታውን ለአፍታ አቁም እና ማስጠንቀቂያ ለ. ጨዋታው ይቀጥል ሲ. ለተቃዋሚ ቡድን ዲ. በተቆልቋይ ኳስ እንደገና ያስጀምሩ</v>
      </c>
      <c r="J131" s="6" t="str">
        <f>IFERROR(__xludf.DUMMYFUNCTION(" GOOGLETRANSLATE(D131, ""en"", ""am"")"),"ጨዋታውን ለአፍታ ያቁሙ እና ማስጠንቀቂያ ይስጡ")</f>
        <v>ጨዋታውን ለአፍታ ያቁሙ እና ማስጠንቀቂያ ይስጡ</v>
      </c>
      <c r="K131" s="6" t="str">
        <f>IFERROR(__xludf.DUMMYFUNCTION(" GOOGLETRANSLATE(E131, ""en"", ""am"")"),"ተገቢ ያልሆነ አለባበስ ወደ ማስጠንቀቂያዎች ይመራል.")</f>
        <v>ተገቢ ያልሆነ አለባበስ ወደ ማስጠንቀቂያዎች ይመራል.</v>
      </c>
      <c r="L131" s="9"/>
    </row>
    <row r="132" ht="22.5" customHeight="1">
      <c r="A132" s="7">
        <v>131.0</v>
      </c>
      <c r="B132" s="7" t="s">
        <v>467</v>
      </c>
      <c r="C132" s="7" t="s">
        <v>468</v>
      </c>
      <c r="D132" s="7" t="s">
        <v>285</v>
      </c>
      <c r="E132" s="7" t="s">
        <v>469</v>
      </c>
      <c r="F132" s="8"/>
      <c r="G132" s="6" t="str">
        <f>IFERROR(__xludf.DUMMYFUNCTION(" GOOGLETRANSLATE(A132, ""en"", ""am"")"),"131")</f>
        <v>131</v>
      </c>
      <c r="H132" s="6" t="str">
        <f>IFERROR(__xludf.DUMMYFUNCTION(" GOOGLETRANSLATE(B132, ""en"", ""am"")"),"አንድ ተጫዋች ዱላውን እያወዛወዘ በድንገት ዳኛውን መታው። ቀጥሎ ምን ይሆናል?")</f>
        <v>አንድ ተጫዋች ዱላውን እያወዛወዘ በድንገት ዳኛውን መታው። ቀጥሎ ምን ይሆናል?</v>
      </c>
      <c r="I132" s="6" t="str">
        <f>IFERROR(__xludf.DUMMYFUNCTION(" GOOGLETRANSLATE(C132, ""en"", ""am"")"),"ሀ. ጨዋታውን ለአፍታ አቁም እና ማስጠንቀቂያ ለ. ጨዋታው ይቀጥል ሲ. በተጣለ ኳስ እንደገና ያስጀምሩ። ለተጋጣሚ ቡድን ቅጣት ስጥ")</f>
        <v>ሀ. ጨዋታውን ለአፍታ አቁም እና ማስጠንቀቂያ ለ. ጨዋታው ይቀጥል ሲ. በተጣለ ኳስ እንደገና ያስጀምሩ። ለተጋጣሚ ቡድን ቅጣት ስጥ</v>
      </c>
      <c r="J132" s="6" t="str">
        <f>IFERROR(__xludf.DUMMYFUNCTION(" GOOGLETRANSLATE(D132, ""en"", ""am"")"),"ጨዋታውን ለአፍታ ያቁሙ እና ማስጠንቀቂያ ይስጡ")</f>
        <v>ጨዋታውን ለአፍታ ያቁሙ እና ማስጠንቀቂያ ይስጡ</v>
      </c>
      <c r="K132" s="6" t="str">
        <f>IFERROR(__xludf.DUMMYFUNCTION(" GOOGLETRANSLATE(E132, ""en"", ""am"")"),"ከዳኛው ጋር ድንገተኛ ግንኙነት ማስጠንቀቂያ ያስከትላል።")</f>
        <v>ከዳኛው ጋር ድንገተኛ ግንኙነት ማስጠንቀቂያ ያስከትላል።</v>
      </c>
      <c r="L132" s="9"/>
    </row>
    <row r="133" ht="22.5" customHeight="1">
      <c r="A133" s="7">
        <v>132.0</v>
      </c>
      <c r="B133" s="7" t="s">
        <v>470</v>
      </c>
      <c r="C133" s="7" t="s">
        <v>471</v>
      </c>
      <c r="D133" s="7" t="s">
        <v>455</v>
      </c>
      <c r="E133" s="7" t="s">
        <v>472</v>
      </c>
      <c r="F133" s="8"/>
      <c r="G133" s="6" t="str">
        <f>IFERROR(__xludf.DUMMYFUNCTION(" GOOGLETRANSLATE(A133, ""en"", ""am"")"),"132")</f>
        <v>132</v>
      </c>
      <c r="H133" s="6" t="str">
        <f>IFERROR(__xludf.DUMMYFUNCTION(" GOOGLETRANSLATE(B133, ""en"", ""am"")"),"አንድ ተጫዋች ሆን ብሎ በእጃቸው ተኩሱን ያግዳል። የዳኛው ጥሪ ምንድነው?")</f>
        <v>አንድ ተጫዋች ሆን ብሎ በእጃቸው ተኩሱን ያግዳል። የዳኛው ጥሪ ምንድነው?</v>
      </c>
      <c r="I133" s="6" t="str">
        <f>IFERROR(__xludf.DUMMYFUNCTION(" GOOGLETRANSLATE(C133, ""en"", ""am"")"),"ሀ. ለተቃዋሚ ቡድን ቢ ቅጣት መስጠት። ጨዋታው ይቀጥል ሲ. ጨዋታውን ለአፍታ አቁም እና ማስጠንቀቂያ ስጥ። ለሌላው ቡድን የሽልማት ባለቤትነት")</f>
        <v>ሀ. ለተቃዋሚ ቡድን ቢ ቅጣት መስጠት። ጨዋታው ይቀጥል ሲ. ጨዋታውን ለአፍታ አቁም እና ማስጠንቀቂያ ስጥ። ለሌላው ቡድን የሽልማት ባለቤትነት</v>
      </c>
      <c r="J133" s="6" t="str">
        <f>IFERROR(__xludf.DUMMYFUNCTION(" GOOGLETRANSLATE(D133, ""en"", ""am"")"),"ለተጋጣሚ ቡድን ቅጣት ስጥ")</f>
        <v>ለተጋጣሚ ቡድን ቅጣት ስጥ</v>
      </c>
      <c r="K133" s="6" t="str">
        <f>IFERROR(__xludf.DUMMYFUNCTION(" GOOGLETRANSLATE(E133, ""en"", ""am"")"),"ሆን ተብሎ የእጅ እገዳዎች ወደ ቅጣቶች ይመራሉ.")</f>
        <v>ሆን ተብሎ የእጅ እገዳዎች ወደ ቅጣቶች ይመራሉ.</v>
      </c>
      <c r="L133" s="9"/>
    </row>
    <row r="134" ht="22.5" customHeight="1">
      <c r="A134" s="7">
        <v>133.0</v>
      </c>
      <c r="B134" s="7" t="s">
        <v>473</v>
      </c>
      <c r="C134" s="7" t="s">
        <v>474</v>
      </c>
      <c r="D134" s="7" t="s">
        <v>439</v>
      </c>
      <c r="E134" s="7" t="s">
        <v>475</v>
      </c>
      <c r="F134" s="8"/>
      <c r="G134" s="6" t="str">
        <f>IFERROR(__xludf.DUMMYFUNCTION(" GOOGLETRANSLATE(A134, ""en"", ""am"")"),"133")</f>
        <v>133</v>
      </c>
      <c r="H134" s="6" t="str">
        <f>IFERROR(__xludf.DUMMYFUNCTION(" GOOGLETRANSLATE(B134, ""en"", ""am"")"),"ወሳኝ በሆነ ጨዋታ ላይ ዳኛው የኳሱን እይታ ያጣል። ምን ይሆናል?")</f>
        <v>ወሳኝ በሆነ ጨዋታ ላይ ዳኛው የኳሱን እይታ ያጣል። ምን ይሆናል?</v>
      </c>
      <c r="I134" s="6" t="str">
        <f>IFERROR(__xludf.DUMMYFUNCTION(" GOOGLETRANSLATE(C134, ""en"", ""am"")"),"ሀ. ጨዋታውን ለአፍታ አቁም እና በተጠባባቂ ኳስ እንደገና አስጀምር። ጨዋታው ይቀጥል ሲ. ለአጥቂ ቡድን የተሰጠ ሽልማት በነጻ ምት እንደገና ያስጀምሩ")</f>
        <v>ሀ. ጨዋታውን ለአፍታ አቁም እና በተጠባባቂ ኳስ እንደገና አስጀምር። ጨዋታው ይቀጥል ሲ. ለአጥቂ ቡድን የተሰጠ ሽልማት በነጻ ምት እንደገና ያስጀምሩ</v>
      </c>
      <c r="J134" s="6" t="str">
        <f>IFERROR(__xludf.DUMMYFUNCTION(" GOOGLETRANSLATE(D134, ""en"", ""am"")"),"ጨዋታውን ለአፍታ አቁም እና በተጣለ ኳስ እንደገና አስጀምር")</f>
        <v>ጨዋታውን ለአፍታ አቁም እና በተጣለ ኳስ እንደገና አስጀምር</v>
      </c>
      <c r="K134" s="6" t="str">
        <f>IFERROR(__xludf.DUMMYFUNCTION(" GOOGLETRANSLATE(E134, ""en"", ""am"")"),"ዳኛው አይን ካጣ ጨዋታው ባለበት ይቆማል እና በገለልተኝነት እንደገና ይጀምራል።")</f>
        <v>ዳኛው አይን ካጣ ጨዋታው ባለበት ይቆማል እና በገለልተኝነት እንደገና ይጀምራል።</v>
      </c>
      <c r="L134" s="9"/>
    </row>
    <row r="135" ht="22.5" customHeight="1">
      <c r="A135" s="7">
        <v>134.0</v>
      </c>
      <c r="B135" s="7" t="s">
        <v>476</v>
      </c>
      <c r="C135" s="7" t="s">
        <v>477</v>
      </c>
      <c r="D135" s="7" t="s">
        <v>478</v>
      </c>
      <c r="E135" s="7" t="s">
        <v>479</v>
      </c>
      <c r="F135" s="8"/>
      <c r="G135" s="6" t="str">
        <f>IFERROR(__xludf.DUMMYFUNCTION(" GOOGLETRANSLATE(A135, ""en"", ""am"")"),"134")</f>
        <v>134</v>
      </c>
      <c r="H135" s="6" t="str">
        <f>IFERROR(__xludf.DUMMYFUNCTION(" GOOGLETRANSLATE(B135, ""en"", ""am"")"),"ኳሱን ተሸክሞ ሳለ አንድ ተጫዋች በድንገት ከድንበር ወጣ። ጥሪው ምንድን ነው?")</f>
        <v>ኳሱን ተሸክሞ ሳለ አንድ ተጫዋች በድንገት ከድንበር ወጣ። ጥሪው ምንድን ነው?</v>
      </c>
      <c r="I135" s="6" t="str">
        <f>IFERROR(__xludf.DUMMYFUNCTION(" GOOGLETRANSLATE(C135, ""en"", ""am"")"),"ሀ. ለተቃዋሚ ቡድን ቢ. ጨዋታው ይቀጥል ሲ. ጨዋታውን ለአፍታ አቁም እና በተቆልቋይ ኳስ ድጋሚ አስጀምር። ለተጋጣሚ ቡድን ቅጣት ስጥ")</f>
        <v>ሀ. ለተቃዋሚ ቡድን ቢ. ጨዋታው ይቀጥል ሲ. ጨዋታውን ለአፍታ አቁም እና በተቆልቋይ ኳስ ድጋሚ አስጀምር። ለተጋጣሚ ቡድን ቅጣት ስጥ</v>
      </c>
      <c r="J135" s="6" t="str">
        <f>IFERROR(__xludf.DUMMYFUNCTION(" GOOGLETRANSLATE(D135, ""en"", ""am"")"),"ለተቃራኒ ቡድን የሽልማት ባለቤትነት")</f>
        <v>ለተቃራኒ ቡድን የሽልማት ባለቤትነት</v>
      </c>
      <c r="K135" s="6" t="str">
        <f>IFERROR(__xludf.DUMMYFUNCTION(" GOOGLETRANSLATE(E135, ""en"", ""am"")"),"ከድንበር መውጣት ለውጥን ያመጣል።")</f>
        <v>ከድንበር መውጣት ለውጥን ያመጣል።</v>
      </c>
      <c r="L135" s="9"/>
    </row>
    <row r="136" ht="22.5" customHeight="1">
      <c r="A136" s="7">
        <v>135.0</v>
      </c>
      <c r="B136" s="7" t="s">
        <v>480</v>
      </c>
      <c r="C136" s="7" t="s">
        <v>481</v>
      </c>
      <c r="D136" s="7" t="s">
        <v>482</v>
      </c>
      <c r="E136" s="7" t="s">
        <v>483</v>
      </c>
      <c r="F136" s="8"/>
      <c r="G136" s="6" t="str">
        <f>IFERROR(__xludf.DUMMYFUNCTION(" GOOGLETRANSLATE(A136, ""en"", ""am"")"),"135")</f>
        <v>135</v>
      </c>
      <c r="H136" s="6" t="str">
        <f>IFERROR(__xludf.DUMMYFUNCTION(" GOOGLETRANSLATE(B136, ""en"", ""am"")"),"በጨዋታው ወቅት ተመልካች አንድ ነገር ወደ ሜዳው ላይ ይጥላል። ዳኛው ምን ያደርጋል?")</f>
        <v>በጨዋታው ወቅት ተመልካች አንድ ነገር ወደ ሜዳው ላይ ይጥላል። ዳኛው ምን ያደርጋል?</v>
      </c>
      <c r="I136" s="6" t="str">
        <f>IFERROR(__xludf.DUMMYFUNCTION(" GOOGLETRANSLATE(C136, ""en"", ""am"")"),"ሀ. ጨዋታውን ለአፍታ ያቁሙ እና እቃውን ያስወግዱት። ጨዋታው ይቀጥል ሲ. በተጣለ ኳስ እንደገና ያስጀምሩ። ለተቃራኒ ቡድን የሽልማት ባለቤትነት")</f>
        <v>ሀ. ጨዋታውን ለአፍታ ያቁሙ እና እቃውን ያስወግዱት። ጨዋታው ይቀጥል ሲ. በተጣለ ኳስ እንደገና ያስጀምሩ። ለተቃራኒ ቡድን የሽልማት ባለቤትነት</v>
      </c>
      <c r="J136" s="6" t="str">
        <f>IFERROR(__xludf.DUMMYFUNCTION(" GOOGLETRANSLATE(D136, ""en"", ""am"")"),"ጨዋታውን ለአፍታ ያቁሙ እና እቃውን ያስወግዱት።")</f>
        <v>ጨዋታውን ለአፍታ ያቁሙ እና እቃውን ያስወግዱት።</v>
      </c>
      <c r="K136" s="6" t="str">
        <f>IFERROR(__xludf.DUMMYFUNCTION(" GOOGLETRANSLATE(E136, ""en"", ""am"")"),"ውጫዊ ጣልቃገብነት ጨዋታው ባለበት እንዲቆም ይፈልጋል።")</f>
        <v>ውጫዊ ጣልቃገብነት ጨዋታው ባለበት እንዲቆም ይፈልጋል።</v>
      </c>
      <c r="L136" s="9"/>
    </row>
    <row r="137" ht="22.5" customHeight="1">
      <c r="A137" s="7">
        <v>136.0</v>
      </c>
      <c r="B137" s="7" t="s">
        <v>484</v>
      </c>
      <c r="C137" s="7" t="s">
        <v>485</v>
      </c>
      <c r="D137" s="7" t="s">
        <v>376</v>
      </c>
      <c r="E137" s="7" t="s">
        <v>486</v>
      </c>
      <c r="F137" s="8"/>
      <c r="G137" s="6" t="str">
        <f>IFERROR(__xludf.DUMMYFUNCTION(" GOOGLETRANSLATE(A137, ""en"", ""am"")"),"136")</f>
        <v>136</v>
      </c>
      <c r="H137" s="6" t="str">
        <f>IFERROR(__xludf.DUMMYFUNCTION(" GOOGLETRANSLATE(B137, ""en"", ""am"")"),"ከተቃራኒ ቡድን የተውጣጡ ሁለት ተጫዋቾች ኳሱን እያሳደዱ በአጋጣሚ ይጋጫሉ። ቀጥሎ ምን ይሆናል?")</f>
        <v>ከተቃራኒ ቡድን የተውጣጡ ሁለት ተጫዋቾች ኳሱን እያሳደዱ በአጋጣሚ ይጋጫሉ። ቀጥሎ ምን ይሆናል?</v>
      </c>
      <c r="I137" s="6" t="str">
        <f>IFERROR(__xludf.DUMMYFUNCTION(" GOOGLETRANSLATE(C137, ""en"", ""am"")"),"ሀ. እንጫወት ይቀጥል ቢ. ጨዋታውን ለአፍታ አቁም እና በተጣለ ኳስ እንደገና አስጀምር። ኳሱን ለያዙት ቡድን ሽልማት መስጠት። ለሁለቱም ተጫዋቾች ማስጠንቀቂያ ይስጡ")</f>
        <v>ሀ. እንጫወት ይቀጥል ቢ. ጨዋታውን ለአፍታ አቁም እና በተጣለ ኳስ እንደገና አስጀምር። ኳሱን ለያዙት ቡድን ሽልማት መስጠት። ለሁለቱም ተጫዋቾች ማስጠንቀቂያ ይስጡ</v>
      </c>
      <c r="J137" s="6" t="str">
        <f>IFERROR(__xludf.DUMMYFUNCTION(" GOOGLETRANSLATE(D137, ""en"", ""am"")"),"ጨዋታው ይቀጥል")</f>
        <v>ጨዋታው ይቀጥል</v>
      </c>
      <c r="K137" s="6" t="str">
        <f>IFERROR(__xludf.DUMMYFUNCTION(" GOOGLETRANSLATE(E137, ""en"", ""am"")"),"ድንገተኛ ግጭቶች ጨዋታውን አያቆሙም።")</f>
        <v>ድንገተኛ ግጭቶች ጨዋታውን አያቆሙም።</v>
      </c>
      <c r="L137" s="9"/>
    </row>
    <row r="138" ht="22.5" customHeight="1">
      <c r="A138" s="7">
        <v>137.0</v>
      </c>
      <c r="B138" s="7" t="s">
        <v>487</v>
      </c>
      <c r="C138" s="7" t="s">
        <v>488</v>
      </c>
      <c r="D138" s="7" t="s">
        <v>439</v>
      </c>
      <c r="E138" s="7" t="s">
        <v>489</v>
      </c>
      <c r="F138" s="8"/>
      <c r="G138" s="6" t="str">
        <f>IFERROR(__xludf.DUMMYFUNCTION(" GOOGLETRANSLATE(A138, ""en"", ""am"")"),"137")</f>
        <v>137</v>
      </c>
      <c r="H138" s="6" t="str">
        <f>IFERROR(__xludf.DUMMYFUNCTION(" GOOGLETRANSLATE(B138, ""en"", ""am"")"),"ኳሱ በሜዳው ውስጥ ወዳለው ጉድጓድ ውስጥ ይንከባለላል እና ይጣበቃል. ዳኛው ምን ይወስናል?")</f>
        <v>ኳሱ በሜዳው ውስጥ ወዳለው ጉድጓድ ውስጥ ይንከባለላል እና ይጣበቃል. ዳኛው ምን ይወስናል?</v>
      </c>
      <c r="I138" s="6" t="str">
        <f>IFERROR(__xludf.DUMMYFUNCTION(" GOOGLETRANSLATE(C138, ""en"", ""am"")"),"ሀ. ጨዋታውን ለአፍታ አቁም እና በተጠባባቂ ኳስ እንደገና አስጀምር። ጨዋታው ይቀጥል ሲ. ለአጥቂ ቡድን የተሰጠ ሽልማት ለመከላከያ ቡድን ሽልማት መስጠት")</f>
        <v>ሀ. ጨዋታውን ለአፍታ አቁም እና በተጠባባቂ ኳስ እንደገና አስጀምር። ጨዋታው ይቀጥል ሲ. ለአጥቂ ቡድን የተሰጠ ሽልማት ለመከላከያ ቡድን ሽልማት መስጠት</v>
      </c>
      <c r="J138" s="6" t="str">
        <f>IFERROR(__xludf.DUMMYFUNCTION(" GOOGLETRANSLATE(D138, ""en"", ""am"")"),"ጨዋታውን ለአፍታ አቁም እና በተጣለ ኳስ እንደገና አስጀምር")</f>
        <v>ጨዋታውን ለአፍታ አቁም እና በተጣለ ኳስ እንደገና አስጀምር</v>
      </c>
      <c r="K138" s="6" t="str">
        <f>IFERROR(__xludf.DUMMYFUNCTION(" GOOGLETRANSLATE(E138, ""en"", ""am"")"),"ያልተጠበቁ የመስክ ጉዳዮች ገለልተኛ ዳግም ማስጀመር ያስፈልጋቸዋል።")</f>
        <v>ያልተጠበቁ የመስክ ጉዳዮች ገለልተኛ ዳግም ማስጀመር ያስፈልጋቸዋል።</v>
      </c>
      <c r="L138" s="9"/>
    </row>
    <row r="139" ht="22.5" customHeight="1">
      <c r="A139" s="7">
        <v>138.0</v>
      </c>
      <c r="B139" s="7" t="s">
        <v>490</v>
      </c>
      <c r="C139" s="7" t="s">
        <v>491</v>
      </c>
      <c r="D139" s="7" t="s">
        <v>492</v>
      </c>
      <c r="E139" s="7" t="s">
        <v>493</v>
      </c>
      <c r="F139" s="8"/>
      <c r="G139" s="6" t="str">
        <f>IFERROR(__xludf.DUMMYFUNCTION(" GOOGLETRANSLATE(A139, ""en"", ""am"")"),"138")</f>
        <v>138</v>
      </c>
      <c r="H139" s="6" t="str">
        <f>IFERROR(__xludf.DUMMYFUNCTION(" GOOGLETRANSLATE(B139, ""en"", ""am"")"),"አንድ ቡድን ሆን ብሎ ጨዋታውን ከእረፍት በኋላ እንደገና እንዲጀምር አዘገየው። ጥሪው ምንድን ነው?")</f>
        <v>አንድ ቡድን ሆን ብሎ ጨዋታውን ከእረፍት በኋላ እንደገና እንዲጀምር አዘገየው። ጥሪው ምንድን ነው?</v>
      </c>
      <c r="I139" s="6" t="str">
        <f>IFERROR(__xludf.DUMMYFUNCTION(" GOOGLETRANSLATE(C139, ""en"", ""am"")"),"ሀ. ለቡድን ቢ ማስጠንቀቂያ ሰጠ። ጨዋታው ይቀጥል ሲ. ለተቃዋሚ ቡድን መሸለም. ጨዋታውን ለአፍታ ያቁሙት።")</f>
        <v>ሀ. ለቡድን ቢ ማስጠንቀቂያ ሰጠ። ጨዋታው ይቀጥል ሲ. ለተቃዋሚ ቡድን መሸለም. ጨዋታውን ለአፍታ ያቁሙት።</v>
      </c>
      <c r="J139" s="6" t="str">
        <f>IFERROR(__xludf.DUMMYFUNCTION(" GOOGLETRANSLATE(D139, ""en"", ""am"")"),"ለቡድኑ ማስጠንቀቂያ ይስጡ")</f>
        <v>ለቡድኑ ማስጠንቀቂያ ይስጡ</v>
      </c>
      <c r="K139" s="6" t="str">
        <f>IFERROR(__xludf.DUMMYFUNCTION(" GOOGLETRANSLATE(E139, ""en"", ""am"")"),"ሆን ተብሎ መዘግየቶች ወደ ማስጠንቀቂያዎች ይመራሉ.")</f>
        <v>ሆን ተብሎ መዘግየቶች ወደ ማስጠንቀቂያዎች ይመራሉ.</v>
      </c>
      <c r="L139" s="9"/>
    </row>
    <row r="140" ht="22.5" customHeight="1">
      <c r="A140" s="7">
        <v>139.0</v>
      </c>
      <c r="B140" s="7" t="s">
        <v>494</v>
      </c>
      <c r="C140" s="7" t="s">
        <v>387</v>
      </c>
      <c r="D140" s="7" t="s">
        <v>285</v>
      </c>
      <c r="E140" s="7" t="s">
        <v>495</v>
      </c>
      <c r="F140" s="8"/>
      <c r="G140" s="6" t="str">
        <f>IFERROR(__xludf.DUMMYFUNCTION(" GOOGLETRANSLATE(A140, ""en"", ""am"")"),"139")</f>
        <v>139</v>
      </c>
      <c r="H140" s="6" t="str">
        <f>IFERROR(__xludf.DUMMYFUNCTION(" GOOGLETRANSLATE(B140, ""en"", ""am"")"),"ዳኛው የተጫዋቹ ዱላ ከተፈቀደው ገደብ በላይ መሆኑን ያስተውላሉ። ምን ይሆናል?")</f>
        <v>ዳኛው የተጫዋቹ ዱላ ከተፈቀደው ገደብ በላይ መሆኑን ያስተውላሉ። ምን ይሆናል?</v>
      </c>
      <c r="I140" s="6" t="str">
        <f>IFERROR(__xludf.DUMMYFUNCTION(" GOOGLETRANSLATE(C140, ""en"", ""am"")"),"ሀ. ጨዋታውን ለአፍታ አቁም እና ማስጠንቀቂያ ለ. ጨዋታው ይቀጥል ሲ. ለተቃዋሚ ቡድን መሸለም. በተቆልቋይ ኳስ እንደገና ያስጀምሩ")</f>
        <v>ሀ. ጨዋታውን ለአፍታ አቁም እና ማስጠንቀቂያ ለ. ጨዋታው ይቀጥል ሲ. ለተቃዋሚ ቡድን መሸለም. በተቆልቋይ ኳስ እንደገና ያስጀምሩ</v>
      </c>
      <c r="J140" s="6" t="str">
        <f>IFERROR(__xludf.DUMMYFUNCTION(" GOOGLETRANSLATE(D140, ""en"", ""am"")"),"ጨዋታውን ለአፍታ ያቁሙ እና ማስጠንቀቂያ ይስጡ")</f>
        <v>ጨዋታውን ለአፍታ ያቁሙ እና ማስጠንቀቂያ ይስጡ</v>
      </c>
      <c r="K140" s="6" t="str">
        <f>IFERROR(__xludf.DUMMYFUNCTION(" GOOGLETRANSLATE(E140, ""en"", ""am"")"),"የመሳሪያዎች ጥሰቶች ከዳኛው እርምጃ ያስፈልጋቸዋል.")</f>
        <v>የመሳሪያዎች ጥሰቶች ከዳኛው እርምጃ ያስፈልጋቸዋል.</v>
      </c>
      <c r="L140" s="9"/>
    </row>
    <row r="141" ht="22.5" customHeight="1">
      <c r="A141" s="7">
        <v>140.0</v>
      </c>
      <c r="B141" s="7" t="s">
        <v>496</v>
      </c>
      <c r="C141" s="7" t="s">
        <v>497</v>
      </c>
      <c r="D141" s="7" t="s">
        <v>376</v>
      </c>
      <c r="E141" s="7" t="s">
        <v>498</v>
      </c>
      <c r="F141" s="8"/>
      <c r="G141" s="6" t="str">
        <f>IFERROR(__xludf.DUMMYFUNCTION(" GOOGLETRANSLATE(A141, ""en"", ""am"")"),"140")</f>
        <v>140</v>
      </c>
      <c r="H141" s="6" t="str">
        <f>IFERROR(__xludf.DUMMYFUNCTION(" GOOGLETRANSLATE(B141, ""en"", ""am"")"),"አንድ ተጫዋች ጎል ለማስቆጠር ሲሞክር ኳሱን ይጎርፋል። ዳኛው ምን ይወስናል?")</f>
        <v>አንድ ተጫዋች ጎል ለማስቆጠር ሲሞክር ኳሱን ይጎርፋል። ዳኛው ምን ይወስናል?</v>
      </c>
      <c r="I141" s="6" t="str">
        <f>IFERROR(__xludf.DUMMYFUNCTION(" GOOGLETRANSLATE(C141, ""en"", ""am"")"),"ሀ. እንጫወት ይቀጥል ቢ. ጨዋታውን ለአፍታ አቁም እና በተጣለ ኳስ እንደገና አስጀምር። ለተቃዋሚ ቡድን መሸለም. በነጻ ምት እንደገና ያስጀምሩ")</f>
        <v>ሀ. እንጫወት ይቀጥል ቢ. ጨዋታውን ለአፍታ አቁም እና በተጣለ ኳስ እንደገና አስጀምር። ለተቃዋሚ ቡድን መሸለም. በነጻ ምት እንደገና ያስጀምሩ</v>
      </c>
      <c r="J141" s="6" t="str">
        <f>IFERROR(__xludf.DUMMYFUNCTION(" GOOGLETRANSLATE(D141, ""en"", ""am"")"),"ጨዋታው ይቀጥል")</f>
        <v>ጨዋታው ይቀጥል</v>
      </c>
      <c r="K141" s="6" t="str">
        <f>IFERROR(__xludf.DUMMYFUNCTION(" GOOGLETRANSLATE(E141, ""en"", ""am"")"),"ድንገተኛ መውደቅ ጨዋታውን አያቆምም።")</f>
        <v>ድንገተኛ መውደቅ ጨዋታውን አያቆምም።</v>
      </c>
      <c r="L141" s="9"/>
    </row>
    <row r="142" ht="22.5" customHeight="1">
      <c r="A142" s="7">
        <v>141.0</v>
      </c>
      <c r="B142" s="7" t="s">
        <v>499</v>
      </c>
      <c r="C142" s="7" t="s">
        <v>500</v>
      </c>
      <c r="D142" s="7" t="s">
        <v>376</v>
      </c>
      <c r="E142" s="7" t="s">
        <v>501</v>
      </c>
      <c r="F142" s="8"/>
      <c r="G142" s="6" t="str">
        <f>IFERROR(__xludf.DUMMYFUNCTION(" GOOGLETRANSLATE(A142, ""en"", ""am"")"),"141")</f>
        <v>141</v>
      </c>
      <c r="H142" s="6" t="str">
        <f>IFERROR(__xludf.DUMMYFUNCTION(" GOOGLETRANSLATE(B142, ""en"", ""am"")"),"ኳሱ የጎን ምሰሶውን በመምታት ወደ ጨዋታው ይመለሳል። ውሳኔው ምንድን ነው?")</f>
        <v>ኳሱ የጎን ምሰሶውን በመምታት ወደ ጨዋታው ይመለሳል። ውሳኔው ምንድን ነው?</v>
      </c>
      <c r="I142" s="6" t="str">
        <f>IFERROR(__xludf.DUMMYFUNCTION(" GOOGLETRANSLATE(C142, ""en"", ""am"")"),"ሀ. እንጫወት ይቀጥል ቢ. ለአጥቂው ቡድን ነፃ የሆነ ሽልማት ይስጡ። ጨዋታውን ለአፍታ አቁም ለግምገማD. በተቆልቋይ ኳስ እንደገና ያስጀምሩ")</f>
        <v>ሀ. እንጫወት ይቀጥል ቢ. ለአጥቂው ቡድን ነፃ የሆነ ሽልማት ይስጡ። ጨዋታውን ለአፍታ አቁም ለግምገማD. በተቆልቋይ ኳስ እንደገና ያስጀምሩ</v>
      </c>
      <c r="J142" s="6" t="str">
        <f>IFERROR(__xludf.DUMMYFUNCTION(" GOOGLETRANSLATE(D142, ""en"", ""am"")"),"ጨዋታው ይቀጥል")</f>
        <v>ጨዋታው ይቀጥል</v>
      </c>
      <c r="K142" s="6" t="str">
        <f>IFERROR(__xludf.DUMMYFUNCTION(" GOOGLETRANSLATE(E142, ""en"", ""am"")"),"ከፖስታ መውጣቱ ኳሱን በጨዋታው ውስጥ እንዲቆይ ያደርገዋል።")</f>
        <v>ከፖስታ መውጣቱ ኳሱን በጨዋታው ውስጥ እንዲቆይ ያደርገዋል።</v>
      </c>
      <c r="L142" s="9"/>
    </row>
    <row r="143" ht="22.5" customHeight="1">
      <c r="A143" s="7">
        <v>142.0</v>
      </c>
      <c r="B143" s="7" t="s">
        <v>502</v>
      </c>
      <c r="C143" s="7" t="s">
        <v>503</v>
      </c>
      <c r="D143" s="7" t="s">
        <v>504</v>
      </c>
      <c r="E143" s="7" t="s">
        <v>505</v>
      </c>
      <c r="F143" s="8"/>
      <c r="G143" s="6" t="str">
        <f>IFERROR(__xludf.DUMMYFUNCTION(" GOOGLETRANSLATE(A143, ""en"", ""am"")"),"142")</f>
        <v>142</v>
      </c>
      <c r="H143" s="6" t="str">
        <f>IFERROR(__xludf.DUMMYFUNCTION(" GOOGLETRANSLATE(B143, ""en"", ""am"")"),"አንድ ተጫዋች ጎል ሲያስቆጥር ዳኛው ግን የጎል መረቡ መጎዳቱን አስተውሏል። ምን ይሆናል?")</f>
        <v>አንድ ተጫዋች ጎል ሲያስቆጥር ዳኛው ግን የጎል መረቡ መጎዳቱን አስተውሏል። ምን ይሆናል?</v>
      </c>
      <c r="I143" s="6" t="str">
        <f>IFERROR(__xludf.DUMMYFUNCTION(" GOOGLETRANSLATE(C143, ""en"", ""am"")"),"ሀ. ግቡን አትፍቀድ እና ጨዋታውን ለአፍታ ያቁሙ። ግቡን ይሸልሙ ሲ. በተጣለ ኳስ እንደገና ያስጀምሩ። ለጥገና ጨዋታውን ለአፍታ ያቁሙ")</f>
        <v>ሀ. ግቡን አትፍቀድ እና ጨዋታውን ለአፍታ ያቁሙ። ግቡን ይሸልሙ ሲ. በተጣለ ኳስ እንደገና ያስጀምሩ። ለጥገና ጨዋታውን ለአፍታ ያቁሙ</v>
      </c>
      <c r="J143" s="6" t="str">
        <f>IFERROR(__xludf.DUMMYFUNCTION(" GOOGLETRANSLATE(D143, ""en"", ""am"")"),"ግቡን አትፍቀድ እና ጨዋታውን ለአፍታ አቁም")</f>
        <v>ግቡን አትፍቀድ እና ጨዋታውን ለአፍታ አቁም</v>
      </c>
      <c r="K143" s="6" t="str">
        <f>IFERROR(__xludf.DUMMYFUNCTION(" GOOGLETRANSLATE(E143, ""en"", ""am"")"),"የተበላሸ የጎል መረብ ውጤቱን ዋጋ ያሳጣዋል።")</f>
        <v>የተበላሸ የጎል መረብ ውጤቱን ዋጋ ያሳጣዋል።</v>
      </c>
      <c r="L143" s="9"/>
    </row>
    <row r="144" ht="22.5" customHeight="1">
      <c r="A144" s="7">
        <v>143.0</v>
      </c>
      <c r="B144" s="7" t="s">
        <v>506</v>
      </c>
      <c r="C144" s="7" t="s">
        <v>507</v>
      </c>
      <c r="D144" s="7" t="s">
        <v>285</v>
      </c>
      <c r="E144" s="7" t="s">
        <v>508</v>
      </c>
      <c r="F144" s="8"/>
      <c r="G144" s="6" t="str">
        <f>IFERROR(__xludf.DUMMYFUNCTION(" GOOGLETRANSLATE(A144, ""en"", ""am"")"),"143")</f>
        <v>143</v>
      </c>
      <c r="H144" s="6" t="str">
        <f>IFERROR(__xludf.DUMMYFUNCTION(" GOOGLETRANSLATE(B144, ""en"", ""am"")"),"አንድ ተጫዋች በንቃት በሚጫወትበት ጊዜ የራስ ቁርን ያስወግዳል። ዳኛው ምን ያደርጋል?")</f>
        <v>አንድ ተጫዋች በንቃት በሚጫወትበት ጊዜ የራስ ቁርን ያስወግዳል። ዳኛው ምን ያደርጋል?</v>
      </c>
      <c r="I144" s="6" t="str">
        <f>IFERROR(__xludf.DUMMYFUNCTION(" GOOGLETRANSLATE(C144, ""en"", ""am"")"),"ሀ. ጨዋታውን ለአፍታ አቁም እና ማስጠንቀቂያ ለ. ጨዋታው ይቀጥል ሲ. ለተቃዋሚ ቡድን ዲ ነፃ ስኬትን ይሸልሙ። በተቆልቋይ ኳስ እንደገና ያስጀምሩ")</f>
        <v>ሀ. ጨዋታውን ለአፍታ አቁም እና ማስጠንቀቂያ ለ. ጨዋታው ይቀጥል ሲ. ለተቃዋሚ ቡድን ዲ ነፃ ስኬትን ይሸልሙ። በተቆልቋይ ኳስ እንደገና ያስጀምሩ</v>
      </c>
      <c r="J144" s="6" t="str">
        <f>IFERROR(__xludf.DUMMYFUNCTION(" GOOGLETRANSLATE(D144, ""en"", ""am"")"),"ጨዋታውን ለአፍታ ያቁሙ እና ማስጠንቀቂያ ይስጡ")</f>
        <v>ጨዋታውን ለአፍታ ያቁሙ እና ማስጠንቀቂያ ይስጡ</v>
      </c>
      <c r="K144" s="6" t="str">
        <f>IFERROR(__xludf.DUMMYFUNCTION(" GOOGLETRANSLATE(E144, ""en"", ""am"")"),"በጨዋታ ጊዜ የመከላከያ መሳሪያዎችን ማስወገድ አይፈቀድም.")</f>
        <v>በጨዋታ ጊዜ የመከላከያ መሳሪያዎችን ማስወገድ አይፈቀድም.</v>
      </c>
      <c r="L144" s="9"/>
    </row>
    <row r="145" ht="22.5" customHeight="1">
      <c r="A145" s="7">
        <v>144.0</v>
      </c>
      <c r="B145" s="7" t="s">
        <v>509</v>
      </c>
      <c r="C145" s="7" t="s">
        <v>510</v>
      </c>
      <c r="D145" s="7" t="s">
        <v>511</v>
      </c>
      <c r="E145" s="7" t="s">
        <v>512</v>
      </c>
      <c r="F145" s="8"/>
      <c r="G145" s="6" t="str">
        <f>IFERROR(__xludf.DUMMYFUNCTION(" GOOGLETRANSLATE(A145, ""en"", ""am"")"),"144")</f>
        <v>144</v>
      </c>
      <c r="H145" s="6" t="str">
        <f>IFERROR(__xludf.DUMMYFUNCTION(" GOOGLETRANSLATE(B145, ""en"", ""am"")"),"ዳኛው የተጫዋቹ ጫማ ለሜዳው አደገኛ መሆኑን አስተውሏል። ምን እርምጃ ተወሰደ?")</f>
        <v>ዳኛው የተጫዋቹ ጫማ ለሜዳው አደገኛ መሆኑን አስተውሏል። ምን እርምጃ ተወሰደ?</v>
      </c>
      <c r="I145" s="6" t="str">
        <f>IFERROR(__xludf.DUMMYFUNCTION(" GOOGLETRANSLATE(C145, ""en"", ""am"")"),"ሀ. ጨዋታውን ለአፍታ አቁም እና ተጫዋቹ ጫማ ቢን እንዲቀይር ይጠይቁት። ጨዋታው ይቀጥል ሲ. ለተቃዋሚ ቡድን መሸለም. በተቆልቋይ ኳስ እንደገና ያስጀምሩ")</f>
        <v>ሀ. ጨዋታውን ለአፍታ አቁም እና ተጫዋቹ ጫማ ቢን እንዲቀይር ይጠይቁት። ጨዋታው ይቀጥል ሲ. ለተቃዋሚ ቡድን መሸለም. በተቆልቋይ ኳስ እንደገና ያስጀምሩ</v>
      </c>
      <c r="J145" s="6" t="str">
        <f>IFERROR(__xludf.DUMMYFUNCTION(" GOOGLETRANSLATE(D145, ""en"", ""am"")"),"ጨዋታውን ለአፍታ አቁም እና ተጫዋቹ ጫማ እንዲቀይር ጠይቁት።")</f>
        <v>ጨዋታውን ለአፍታ አቁም እና ተጫዋቹ ጫማ እንዲቀይር ጠይቁት።</v>
      </c>
      <c r="K145" s="6" t="str">
        <f>IFERROR(__xludf.DUMMYFUNCTION(" GOOGLETRANSLATE(E145, ""en"", ""am"")"),"ደህንነቱ ያልተጠበቀ ጫማ ወዲያውኑ መፍትሄ ማግኘት አለበት.")</f>
        <v>ደህንነቱ ያልተጠበቀ ጫማ ወዲያውኑ መፍትሄ ማግኘት አለበት.</v>
      </c>
      <c r="L145" s="9"/>
    </row>
    <row r="146" ht="22.5" customHeight="1">
      <c r="A146" s="7">
        <v>145.0</v>
      </c>
      <c r="B146" s="7" t="s">
        <v>513</v>
      </c>
      <c r="C146" s="7" t="s">
        <v>397</v>
      </c>
      <c r="D146" s="7" t="s">
        <v>423</v>
      </c>
      <c r="E146" s="7" t="s">
        <v>514</v>
      </c>
      <c r="F146" s="8"/>
      <c r="G146" s="6" t="str">
        <f>IFERROR(__xludf.DUMMYFUNCTION(" GOOGLETRANSLATE(A146, ""en"", ""am"")"),"145")</f>
        <v>145</v>
      </c>
      <c r="H146" s="6" t="str">
        <f>IFERROR(__xludf.DUMMYFUNCTION(" GOOGLETRANSLATE(B146, ""en"", ""am"")"),"ኳሱ ዳኛውን በመምታት አቅጣጫውን ወደ ጎል ይለውጣል። ውሳኔው ምንድን ነው?")</f>
        <v>ኳሱ ዳኛውን በመምታት አቅጣጫውን ወደ ጎል ይለውጣል። ውሳኔው ምንድን ነው?</v>
      </c>
      <c r="I146" s="6" t="str">
        <f>IFERROR(__xludf.DUMMYFUNCTION(" GOOGLETRANSLATE(C146, ""en"", ""am"")"),"ሀ. ግቡን አትፍቀድ። ግቡን ይሸልሙ ሲ. ጨዋታውን ለአፍታ አቁም ለግምገማD. በተቆልቋይ ኳስ እንደገና ያስጀምሩ")</f>
        <v>ሀ. ግቡን አትፍቀድ። ግቡን ይሸልሙ ሲ. ጨዋታውን ለአፍታ አቁም ለግምገማD. በተቆልቋይ ኳስ እንደገና ያስጀምሩ</v>
      </c>
      <c r="J146" s="6" t="str">
        <f>IFERROR(__xludf.DUMMYFUNCTION(" GOOGLETRANSLATE(D146, ""en"", ""am"")"),"ግቡን ይስጡ")</f>
        <v>ግቡን ይስጡ</v>
      </c>
      <c r="K146" s="6" t="str">
        <f>IFERROR(__xludf.DUMMYFUNCTION(" GOOGLETRANSLATE(E146, ""en"", ""am"")"),"በዳኛ ንክኪ የተቆጠሩት ግቦች ልክ ናቸው።")</f>
        <v>በዳኛ ንክኪ የተቆጠሩት ግቦች ልክ ናቸው።</v>
      </c>
      <c r="L146" s="9"/>
    </row>
    <row r="147" ht="22.5" customHeight="1">
      <c r="A147" s="7">
        <v>146.0</v>
      </c>
      <c r="B147" s="7" t="s">
        <v>515</v>
      </c>
      <c r="C147" s="7" t="s">
        <v>516</v>
      </c>
      <c r="D147" s="7" t="s">
        <v>517</v>
      </c>
      <c r="E147" s="7" t="s">
        <v>518</v>
      </c>
      <c r="F147" s="8"/>
      <c r="G147" s="6" t="str">
        <f>IFERROR(__xludf.DUMMYFUNCTION(" GOOGLETRANSLATE(A147, ""en"", ""am"")"),"146")</f>
        <v>146</v>
      </c>
      <c r="H147" s="6" t="str">
        <f>IFERROR(__xludf.DUMMYFUNCTION(" GOOGLETRANSLATE(B147, ""en"", ""am"")"),"አንድ ተጫዋች ጎል ካስቆጠረ በኋላ ከመጠን በላይ ያከብራል። ዳኛው ምን ያደርጋል?")</f>
        <v>አንድ ተጫዋች ጎል ካስቆጠረ በኋላ ከመጠን በላይ ያከብራል። ዳኛው ምን ያደርጋል?</v>
      </c>
      <c r="I147" s="6" t="str">
        <f>IFERROR(__xludf.DUMMYFUNCTION(" GOOGLETRANSLATE(C147, ""en"", ""am"")"),"ሀ. ከስፖርታዊ ጨዋነት የጎደለው ባህሪ ቢ. ጨዋታው ይቀጥል ሲ. ለተቃዋሚ ቡድን መሸለም. ጨዋታውን ለአፍታ አቁም እና በተጣለ ኳስ እንደገና አስጀምር")</f>
        <v>ሀ. ከስፖርታዊ ጨዋነት የጎደለው ባህሪ ቢ. ጨዋታው ይቀጥል ሲ. ለተቃዋሚ ቡድን መሸለም. ጨዋታውን ለአፍታ አቁም እና በተጣለ ኳስ እንደገና አስጀምር</v>
      </c>
      <c r="J147" s="6" t="str">
        <f>IFERROR(__xludf.DUMMYFUNCTION(" GOOGLETRANSLATE(D147, ""en"", ""am"")"),"ከስፖርታዊ ጨዋነት የጎደለው ድርጊት ማስጠንቀቂያ ይስጡ")</f>
        <v>ከስፖርታዊ ጨዋነት የጎደለው ድርጊት ማስጠንቀቂያ ይስጡ</v>
      </c>
      <c r="K147" s="6" t="str">
        <f>IFERROR(__xludf.DUMMYFUNCTION(" GOOGLETRANSLATE(E147, ""en"", ""am"")"),"በጌና ውስጥ ከመጠን በላይ በዓላት አይበረታቱም.")</f>
        <v>በጌና ውስጥ ከመጠን በላይ በዓላት አይበረታቱም.</v>
      </c>
      <c r="L147" s="9"/>
    </row>
    <row r="148" ht="22.5" customHeight="1">
      <c r="A148" s="7">
        <v>147.0</v>
      </c>
      <c r="B148" s="7" t="s">
        <v>519</v>
      </c>
      <c r="C148" s="7" t="s">
        <v>387</v>
      </c>
      <c r="D148" s="7" t="s">
        <v>285</v>
      </c>
      <c r="E148" s="7" t="s">
        <v>520</v>
      </c>
      <c r="F148" s="8"/>
      <c r="G148" s="6" t="str">
        <f>IFERROR(__xludf.DUMMYFUNCTION(" GOOGLETRANSLATE(A148, ""en"", ""am"")"),"147")</f>
        <v>147</v>
      </c>
      <c r="H148" s="6" t="str">
        <f>IFERROR(__xludf.DUMMYFUNCTION(" GOOGLETRANSLATE(B148, ""en"", ""am"")"),"አንድ ተጫዋች ለዳኛው ሳያሳውቅ ወደ ሜዳ ይገባል። ቀጥሎ ምን ይሆናል?")</f>
        <v>አንድ ተጫዋች ለዳኛው ሳያሳውቅ ወደ ሜዳ ይገባል። ቀጥሎ ምን ይሆናል?</v>
      </c>
      <c r="I148" s="6" t="str">
        <f>IFERROR(__xludf.DUMMYFUNCTION(" GOOGLETRANSLATE(C148, ""en"", ""am"")"),"ሀ. ጨዋታውን ለአፍታ አቁም እና ማስጠንቀቂያ ለ. ጨዋታው ይቀጥል ሲ. ለተቃዋሚ ቡድን መሸለም. በተቆልቋይ ኳስ እንደገና ያስጀምሩ")</f>
        <v>ሀ. ጨዋታውን ለአፍታ አቁም እና ማስጠንቀቂያ ለ. ጨዋታው ይቀጥል ሲ. ለተቃዋሚ ቡድን መሸለም. በተቆልቋይ ኳስ እንደገና ያስጀምሩ</v>
      </c>
      <c r="J148" s="6" t="str">
        <f>IFERROR(__xludf.DUMMYFUNCTION(" GOOGLETRANSLATE(D148, ""en"", ""am"")"),"ጨዋታውን ለአፍታ ያቁሙ እና ማስጠንቀቂያ ይስጡ")</f>
        <v>ጨዋታውን ለአፍታ ያቁሙ እና ማስጠንቀቂያ ይስጡ</v>
      </c>
      <c r="K148" s="6" t="str">
        <f>IFERROR(__xludf.DUMMYFUNCTION(" GOOGLETRANSLATE(E148, ""en"", ""am"")"),"ያልታወቀ የመስክ መግቢያ ወደ ማስጠንቀቂያ ይመራል።")</f>
        <v>ያልታወቀ የመስክ መግቢያ ወደ ማስጠንቀቂያ ይመራል።</v>
      </c>
      <c r="L148" s="9"/>
    </row>
    <row r="149" ht="22.5" customHeight="1">
      <c r="A149" s="7">
        <v>148.0</v>
      </c>
      <c r="B149" s="7" t="s">
        <v>521</v>
      </c>
      <c r="C149" s="7" t="s">
        <v>522</v>
      </c>
      <c r="D149" s="7" t="s">
        <v>523</v>
      </c>
      <c r="E149" s="7" t="s">
        <v>524</v>
      </c>
      <c r="F149" s="8"/>
      <c r="G149" s="6" t="str">
        <f>IFERROR(__xludf.DUMMYFUNCTION(" GOOGLETRANSLATE(A149, ""en"", ""am"")"),"148")</f>
        <v>148</v>
      </c>
      <c r="H149" s="6" t="str">
        <f>IFERROR(__xludf.DUMMYFUNCTION(" GOOGLETRANSLATE(B149, ""en"", ""am"")"),"አንድ ቡድን በቅጣት ምት ጊዜ ምትክ እንዲደረግለት ጠይቋል። ዳኛው ምን ይወስናል?")</f>
        <v>አንድ ቡድን በቅጣት ምት ጊዜ ምትክ እንዲደረግለት ጠይቋል። ዳኛው ምን ይወስናል?</v>
      </c>
      <c r="I149" s="6" t="str">
        <f>IFERROR(__xludf.DUMMYFUNCTION(" GOOGLETRANSLATE(C149, ""en"", ""am"")"),"ሀ. ተተኪውን ፍቀድ. መተካቱን አትፍቀድ ሐ. ጨዋታውን ለአፍታ አቁም ለግምገማD. በነጻ ምት እንደገና ያስጀምሩ")</f>
        <v>ሀ. ተተኪውን ፍቀድ. መተካቱን አትፍቀድ ሐ. ጨዋታውን ለአፍታ አቁም ለግምገማD. በነጻ ምት እንደገና ያስጀምሩ</v>
      </c>
      <c r="J149" s="6" t="str">
        <f>IFERROR(__xludf.DUMMYFUNCTION(" GOOGLETRANSLATE(D149, ""en"", ""am"")"),"መተኪያውን አትፍቀድ")</f>
        <v>መተኪያውን አትፍቀድ</v>
      </c>
      <c r="K149" s="6" t="str">
        <f>IFERROR(__xludf.DUMMYFUNCTION(" GOOGLETRANSLATE(E149, ""en"", ""am"")"),"በጥይት መተኮስ ጊዜ መተካት አይፈቀድም።")</f>
        <v>በጥይት መተኮስ ጊዜ መተካት አይፈቀድም።</v>
      </c>
      <c r="L149" s="9"/>
    </row>
    <row r="150" ht="22.5" customHeight="1">
      <c r="A150" s="7">
        <v>149.0</v>
      </c>
      <c r="B150" s="7" t="s">
        <v>525</v>
      </c>
      <c r="C150" s="7" t="s">
        <v>526</v>
      </c>
      <c r="D150" s="7" t="s">
        <v>478</v>
      </c>
      <c r="E150" s="7" t="s">
        <v>527</v>
      </c>
      <c r="F150" s="8"/>
      <c r="G150" s="6" t="str">
        <f>IFERROR(__xludf.DUMMYFUNCTION(" GOOGLETRANSLATE(A150, ""en"", ""am"")"),"149")</f>
        <v>149</v>
      </c>
      <c r="H150" s="6" t="str">
        <f>IFERROR(__xludf.DUMMYFUNCTION(" GOOGLETRANSLATE(B150, ""en"", ""am"")"),"አንድ ተጫዋች ከሜዳው ውጪ ኳሱን ይመታል። ቀጥሎ ምን ይሆናል?")</f>
        <v>አንድ ተጫዋች ከሜዳው ውጪ ኳሱን ይመታል። ቀጥሎ ምን ይሆናል?</v>
      </c>
      <c r="I150" s="6" t="str">
        <f>IFERROR(__xludf.DUMMYFUNCTION(" GOOGLETRANSLATE(C150, ""en"", ""am"")"),"ሀ. ለተቃዋሚ ቡድን ቢ. ጨዋታው ይቀጥል ሲ. በተጣለ ኳስ እንደገና ያስጀምሩ። ለተጋጣሚ ቡድን ነፃ የሆነ ሽልማት ይስጡ")</f>
        <v>ሀ. ለተቃዋሚ ቡድን ቢ. ጨዋታው ይቀጥል ሲ. በተጣለ ኳስ እንደገና ያስጀምሩ። ለተጋጣሚ ቡድን ነፃ የሆነ ሽልማት ይስጡ</v>
      </c>
      <c r="J150" s="6" t="str">
        <f>IFERROR(__xludf.DUMMYFUNCTION(" GOOGLETRANSLATE(D150, ""en"", ""am"")"),"ለተቃራኒ ቡድን የሽልማት ባለቤትነት")</f>
        <v>ለተቃራኒ ቡድን የሽልማት ባለቤትነት</v>
      </c>
      <c r="K150" s="6" t="str">
        <f>IFERROR(__xludf.DUMMYFUNCTION(" GOOGLETRANSLATE(E150, ""en"", ""am"")"),"ከሜዳ ውጪ የሚደረጉ ጨዋታዎች ለውጥን ያስከትላሉ።")</f>
        <v>ከሜዳ ውጪ የሚደረጉ ጨዋታዎች ለውጥን ያስከትላሉ።</v>
      </c>
      <c r="L150" s="9"/>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37.63"/>
    <col customWidth="1" min="3" max="3" width="32.38"/>
    <col customWidth="1" min="4" max="4" width="36.5"/>
    <col customWidth="1" min="5" max="5" width="36.63"/>
    <col customWidth="1" min="6" max="6" width="14.0"/>
    <col customWidth="1" min="7" max="8" width="37.63"/>
    <col customWidth="1" min="9" max="10" width="34.13"/>
    <col customWidth="1" min="11" max="11" width="31.25"/>
  </cols>
  <sheetData>
    <row r="1" ht="22.5" customHeight="1">
      <c r="A1" s="1" t="s">
        <v>0</v>
      </c>
      <c r="B1" s="1" t="s">
        <v>1</v>
      </c>
      <c r="C1" s="1" t="s">
        <v>2</v>
      </c>
      <c r="D1" s="1" t="s">
        <v>3</v>
      </c>
      <c r="E1" s="1" t="s">
        <v>4</v>
      </c>
      <c r="F1" s="2"/>
      <c r="G1" s="3" t="s">
        <v>5</v>
      </c>
      <c r="H1" s="3" t="s">
        <v>6</v>
      </c>
      <c r="I1" s="3" t="s">
        <v>7</v>
      </c>
      <c r="J1" s="3" t="s">
        <v>8</v>
      </c>
      <c r="K1" s="3" t="s">
        <v>9</v>
      </c>
      <c r="L1" s="2"/>
      <c r="M1" s="2"/>
      <c r="N1" s="2"/>
      <c r="O1" s="2"/>
      <c r="P1" s="2"/>
      <c r="Q1" s="2"/>
      <c r="R1" s="2"/>
      <c r="S1" s="2"/>
      <c r="T1" s="2"/>
      <c r="U1" s="2"/>
    </row>
    <row r="2" ht="22.5" customHeight="1">
      <c r="A2" s="10">
        <v>1.0</v>
      </c>
      <c r="B2" s="11" t="s">
        <v>528</v>
      </c>
      <c r="C2" s="11" t="s">
        <v>529</v>
      </c>
      <c r="D2" s="11" t="s">
        <v>530</v>
      </c>
      <c r="E2" s="11" t="s">
        <v>531</v>
      </c>
      <c r="G2" s="11" t="str">
        <f>IFERROR(__xludf.DUMMYFUNCTION("GOOGLETRANSLATE(A2, ""en"", ""am"")"),"1")</f>
        <v>1</v>
      </c>
      <c r="H2" s="11" t="str">
        <f>IFERROR(__xludf.DUMMYFUNCTION("GOOGLETRANSLATE(B2, ""en"", ""am"")"),"አንድ ተጫዋች በሙሉ ፍጥነት ሲራመድ በጦሩ ኢላማውን ያጣል። ቀጥሎ ምን ይሆናል?")</f>
        <v>አንድ ተጫዋች በሙሉ ፍጥነት ሲራመድ በጦሩ ኢላማውን ያጣል። ቀጥሎ ምን ይሆናል?</v>
      </c>
      <c r="I2" s="11" t="str">
        <f>IFERROR(__xludf.DUMMYFUNCTION("GOOGLETRANSLATE(C2, ""en"", ""am"")"),"ሀ. ምንም ነጥብ አይሰጥም.ቢ. ተጫዋቹ አንድ ተጨማሪ እድል ያገኛል.ሲ. ተቃራኒው ይጠቅማል ዲ. ጨዋታው ለአፍታ ቆሟል።")</f>
        <v>ሀ. ምንም ነጥብ አይሰጥም.ቢ. ተጫዋቹ አንድ ተጨማሪ እድል ያገኛል.ሲ. ተቃራኒው ይጠቅማል ዲ. ጨዋታው ለአፍታ ቆሟል።</v>
      </c>
      <c r="J2" s="11" t="str">
        <f>IFERROR(__xludf.DUMMYFUNCTION("GOOGLETRANSLATE(D2, ""en"", ""am"")"),"ምንም ነጥብ አይሰጥም.")</f>
        <v>ምንም ነጥብ አይሰጥም.</v>
      </c>
      <c r="K2" s="11" t="str">
        <f>IFERROR(__xludf.DUMMYFUNCTION("GOOGLETRANSLATE(E2, ""en"", ""am"")"),"በ Furious Gux ውስጥ የዒላማ ነጥብ ማጣት ምንም ፋይዳ የለውም።")</f>
        <v>በ Furious Gux ውስጥ የዒላማ ነጥብ ማጣት ምንም ፋይዳ የለውም።</v>
      </c>
    </row>
    <row r="3" ht="22.5" customHeight="1">
      <c r="A3" s="10">
        <v>2.0</v>
      </c>
      <c r="B3" s="11" t="s">
        <v>532</v>
      </c>
      <c r="C3" s="11" t="s">
        <v>533</v>
      </c>
      <c r="D3" s="11" t="s">
        <v>530</v>
      </c>
      <c r="E3" s="11" t="s">
        <v>534</v>
      </c>
      <c r="G3" s="11" t="str">
        <f>IFERROR(__xludf.DUMMYFUNCTION("GOOGLETRANSLATE(A3, ""en"", ""am"")"),"2")</f>
        <v>2</v>
      </c>
      <c r="H3" s="11" t="str">
        <f>IFERROR(__xludf.DUMMYFUNCTION("GOOGLETRANSLATE(B3, ""en"", ""am"")"),"አንድ ተጫዋች ጦሩን ወርውሮ ከተወሰነው ቦታ ውጭ አረፈ። የዳኛው ጥሪ ምንድነው?")</f>
        <v>አንድ ተጫዋች ጦሩን ወርውሮ ከተወሰነው ቦታ ውጭ አረፈ። የዳኛው ጥሪ ምንድነው?</v>
      </c>
      <c r="I3" s="11" t="str">
        <f>IFERROR(__xludf.DUMMYFUNCTION("GOOGLETRANSLATE(C3, ""en"", ""am"")"),"ሀ. ምንም ነጥብ አይሰጥም.ቢ. አንድ ነጥብ ይቀነሳል.ሲ. ጨዋታውን ለአፍታ አቆመው.ዲ. ለተጫዋቹ ማስጠንቀቂያ ይሰጣሉ።")</f>
        <v>ሀ. ምንም ነጥብ አይሰጥም.ቢ. አንድ ነጥብ ይቀነሳል.ሲ. ጨዋታውን ለአፍታ አቆመው.ዲ. ለተጫዋቹ ማስጠንቀቂያ ይሰጣሉ።</v>
      </c>
      <c r="J3" s="11" t="str">
        <f>IFERROR(__xludf.DUMMYFUNCTION("GOOGLETRANSLATE(D3, ""en"", ""am"")"),"ምንም ነጥብ አይሰጥም.")</f>
        <v>ምንም ነጥብ አይሰጥም.</v>
      </c>
      <c r="K3" s="11" t="str">
        <f>IFERROR(__xludf.DUMMYFUNCTION("GOOGLETRANSLATE(E3, ""en"", ""am"")"),"ነጥቦች የሚሸለሙት በተመደበው ቦታ ውስጥ ለትክክለኛ ውርወራዎች ብቻ ነው።")</f>
        <v>ነጥቦች የሚሸለሙት በተመደበው ቦታ ውስጥ ለትክክለኛ ውርወራዎች ብቻ ነው።</v>
      </c>
    </row>
    <row r="4" ht="22.5" customHeight="1">
      <c r="A4" s="10">
        <v>3.0</v>
      </c>
      <c r="B4" s="11" t="s">
        <v>535</v>
      </c>
      <c r="C4" s="11" t="s">
        <v>536</v>
      </c>
      <c r="D4" s="11" t="s">
        <v>537</v>
      </c>
      <c r="E4" s="11" t="s">
        <v>538</v>
      </c>
      <c r="G4" s="11" t="str">
        <f>IFERROR(__xludf.DUMMYFUNCTION("GOOGLETRANSLATE(A4, ""en"", ""am"")"),"3")</f>
        <v>3</v>
      </c>
      <c r="H4" s="11" t="str">
        <f>IFERROR(__xludf.DUMMYFUNCTION("GOOGLETRANSLATE(B4, ""en"", ""am"")"),"ሁለት ተጫዋቾች ለአንድ ኢላማ ሲፎካከሩ ይጋጫሉ። ቀጥሎ ምን ይሆናል?")</f>
        <v>ሁለት ተጫዋቾች ለአንድ ኢላማ ሲፎካከሩ ይጋጫሉ። ቀጥሎ ምን ይሆናል?</v>
      </c>
      <c r="I4" s="11" t="str">
        <f>IFERROR(__xludf.DUMMYFUNCTION("GOOGLETRANSLATE(C4, ""en"", ""am"")"),"ሀ. ዳኛው ጨዋታውን ለአፍታ አቁመው በሁለቱም ተጨዋቾች ዳግም ያስጀምራሉ ለ. የሽልማት ነጥብ ለሁለቱም ተጫዋቾች ተሰጥቷል.ሲ. ጨዋታው ይቀጥላል.ዲ. ሁለቱም ተጫዋቾች ከውድድሩ ውጪ ይሆናሉ።")</f>
        <v>ሀ. ዳኛው ጨዋታውን ለአፍታ አቁመው በሁለቱም ተጨዋቾች ዳግም ያስጀምራሉ ለ. የሽልማት ነጥብ ለሁለቱም ተጫዋቾች ተሰጥቷል.ሲ. ጨዋታው ይቀጥላል.ዲ. ሁለቱም ተጫዋቾች ከውድድሩ ውጪ ይሆናሉ።</v>
      </c>
      <c r="J4" s="11" t="str">
        <f>IFERROR(__xludf.DUMMYFUNCTION("GOOGLETRANSLATE(D4, ""en"", ""am"")"),"ዳኛው ጨዋታውን ለአፍታ አቁመው በሁለቱም ተጫዋቾች እንደገና ያስጀምራሉ።")</f>
        <v>ዳኛው ጨዋታውን ለአፍታ አቁመው በሁለቱም ተጫዋቾች እንደገና ያስጀምራሉ።</v>
      </c>
      <c r="K4" s="11" t="str">
        <f>IFERROR(__xludf.DUMMYFUNCTION("GOOGLETRANSLATE(E4, ""en"", ""am"")"),"ደህንነትን ለማረጋገጥ ግጭቶች ወደ ጨዋታው እንደገና እንዲጀመሩ ይመራሉ.")</f>
        <v>ደህንነትን ለማረጋገጥ ግጭቶች ወደ ጨዋታው እንደገና እንዲጀመሩ ይመራሉ.</v>
      </c>
    </row>
    <row r="5" ht="22.5" customHeight="1">
      <c r="A5" s="10">
        <v>4.0</v>
      </c>
      <c r="B5" s="11" t="s">
        <v>539</v>
      </c>
      <c r="C5" s="11" t="s">
        <v>540</v>
      </c>
      <c r="D5" s="11" t="s">
        <v>541</v>
      </c>
      <c r="E5" s="11" t="s">
        <v>542</v>
      </c>
      <c r="G5" s="11" t="str">
        <f>IFERROR(__xludf.DUMMYFUNCTION("GOOGLETRANSLATE(A5, ""en"", ""am"")"),"4")</f>
        <v>4</v>
      </c>
      <c r="H5" s="11" t="str">
        <f>IFERROR(__xludf.DUMMYFUNCTION("GOOGLETRANSLATE(B5, ""en"", ""am"")"),"የተጫዋቹ ፈረስ ጦራቸውን ከመወርወራቸው በፊት ይሰናከላል. ቀጥሎ ምን ይሆናል?")</f>
        <v>የተጫዋቹ ፈረስ ጦራቸውን ከመወርወራቸው በፊት ይሰናከላል. ቀጥሎ ምን ይሆናል?</v>
      </c>
      <c r="I5" s="11" t="str">
        <f>IFERROR(__xludf.DUMMYFUNCTION("GOOGLETRANSLATE(C5, ""en"", ""am"")"),"ሀ. ተጫዋቹ ተራውን ያጣል.ቢ. ዳኛው በድጋሚ ለመሞከር ይፈቅዳል.ሲ. ተቃዋሚው ጥቅም ያገኛል።ዲ. ለአፍታ አቁም እና ጨዋታውን እንደገና አስጀምር።")</f>
        <v>ሀ. ተጫዋቹ ተራውን ያጣል.ቢ. ዳኛው በድጋሚ ለመሞከር ይፈቅዳል.ሲ. ተቃዋሚው ጥቅም ያገኛል።ዲ. ለአፍታ አቁም እና ጨዋታውን እንደገና አስጀምር።</v>
      </c>
      <c r="J5" s="11" t="str">
        <f>IFERROR(__xludf.DUMMYFUNCTION("GOOGLETRANSLATE(D5, ""en"", ""am"")"),"እንደገና እንዲሞክር ያደርጉታል።")</f>
        <v>እንደገና እንዲሞክር ያደርጉታል።</v>
      </c>
      <c r="K5" s="11" t="str">
        <f>IFERROR(__xludf.DUMMYFUNCTION("GOOGLETRANSLATE(E5, ""en"", ""am"")"),"ያልተጠበቁ መሰናክሎች በዬፈራስ ጉክስ ውስጥ እንደገና እንዲሞክሩ ያስችሉዎታል።")</f>
        <v>ያልተጠበቁ መሰናክሎች በዬፈራስ ጉክስ ውስጥ እንደገና እንዲሞክሩ ያስችሉዎታል።</v>
      </c>
    </row>
    <row r="6" ht="22.5" customHeight="1">
      <c r="A6" s="10">
        <v>5.0</v>
      </c>
      <c r="B6" s="11" t="s">
        <v>543</v>
      </c>
      <c r="C6" s="11" t="s">
        <v>544</v>
      </c>
      <c r="D6" s="11" t="s">
        <v>530</v>
      </c>
      <c r="E6" s="11" t="s">
        <v>545</v>
      </c>
      <c r="G6" s="11" t="str">
        <f>IFERROR(__xludf.DUMMYFUNCTION("GOOGLETRANSLATE(A6, ""en"", ""am"")"),"5")</f>
        <v>5</v>
      </c>
      <c r="H6" s="11" t="str">
        <f>IFERROR(__xludf.DUMMYFUNCTION("GOOGLETRANSLATE(B6, ""en"", ""am"")"),"በተጫዋች የተወረወረ ጦር ግቡን ይመታል ግን አይጣበቅም። ስንት ነጥብ ነው የተቆጠረው?")</f>
        <v>በተጫዋች የተወረወረ ጦር ግቡን ይመታል ግን አይጣበቅም። ስንት ነጥብ ነው የተቆጠረው?</v>
      </c>
      <c r="I6" s="11" t="str">
        <f>IFERROR(__xludf.DUMMYFUNCTION("GOOGLETRANSLATE(C6, ""en"", ""am"")"),"ሀ. ምንም ነጥብ አይሰጥም.ቢ. ከፊል ነጥቦች ሲ. ሙሉ ነጥቦች ዲ. ውርወራውን እንደገና ይጫወቱ።")</f>
        <v>ሀ. ምንም ነጥብ አይሰጥም.ቢ. ከፊል ነጥቦች ሲ. ሙሉ ነጥቦች ዲ. ውርወራውን እንደገና ይጫወቱ።</v>
      </c>
      <c r="J6" s="11" t="str">
        <f>IFERROR(__xludf.DUMMYFUNCTION("GOOGLETRANSLATE(D6, ""en"", ""am"")"),"ምንም ነጥብ አይሰጥም.")</f>
        <v>ምንም ነጥብ አይሰጥም.</v>
      </c>
      <c r="K6" s="11" t="str">
        <f>IFERROR(__xludf.DUMMYFUNCTION("GOOGLETRANSLATE(E6, ""en"", ""am"")"),"በእያንዳንዱ ጨዋታ ነጥብ የሚሰጠው ጦሩ ከታቀደው ጋር ከተጣበቀ ብቻ ነው።")</f>
        <v>በእያንዳንዱ ጨዋታ ነጥብ የሚሰጠው ጦሩ ከታቀደው ጋር ከተጣበቀ ብቻ ነው።</v>
      </c>
    </row>
    <row r="7" ht="22.5" customHeight="1">
      <c r="A7" s="10">
        <v>6.0</v>
      </c>
      <c r="B7" s="11" t="s">
        <v>546</v>
      </c>
      <c r="C7" s="11" t="s">
        <v>547</v>
      </c>
      <c r="D7" s="11" t="s">
        <v>548</v>
      </c>
      <c r="E7" s="11" t="s">
        <v>549</v>
      </c>
      <c r="G7" s="11" t="str">
        <f>IFERROR(__xludf.DUMMYFUNCTION("GOOGLETRANSLATE(A7, ""en"", ""am"")"),"6")</f>
        <v>6</v>
      </c>
      <c r="H7" s="11" t="str">
        <f>IFERROR(__xludf.DUMMYFUNCTION("GOOGLETRANSLATE(B7, ""en"", ""am"")"),"በተራቸው ጊዜ አንድ ተጫዋች የተሰበረ ጦር ይጠቀማል። ዳኛው ምን ይወስናል?")</f>
        <v>በተራቸው ጊዜ አንድ ተጫዋች የተሰበረ ጦር ይጠቀማል። ዳኛው ምን ይወስናል?</v>
      </c>
      <c r="I7" s="11" t="str">
        <f>IFERROR(__xludf.DUMMYFUNCTION("GOOGLETRANSLATE(C7, ""en"", ""am"")"),"ሀ. ጨዋታውን ለአፍታ አቁም እና ጦሩን ይተኩ.B. ተጫዋቹ እንዲቀጥል ፍቀድለት። የሽልማት ነጥቦችን በራስ ሰር. ተጫዋቹን ውድቅ ያድርጉት።")</f>
        <v>ሀ. ጨዋታውን ለአፍታ አቁም እና ጦሩን ይተኩ.B. ተጫዋቹ እንዲቀጥል ፍቀድለት። የሽልማት ነጥቦችን በራስ ሰር. ተጫዋቹን ውድቅ ያድርጉት።</v>
      </c>
      <c r="J7" s="11" t="str">
        <f>IFERROR(__xludf.DUMMYFUNCTION("GOOGLETRANSLATE(D7, ""en"", ""am"")"),"ጨዋታውን ለአፍታ አቁም እና ጦሩን ይተኩ።")</f>
        <v>ጨዋታውን ለአፍታ አቁም እና ጦሩን ይተኩ።</v>
      </c>
      <c r="K7" s="11" t="str">
        <f>IFERROR(__xludf.DUMMYFUNCTION("GOOGLETRANSLATE(E7, ""en"", ""am"")"),"ለፍትሃዊ ጨዋታ የተሰበረ ጦር መተካት አለበት።")</f>
        <v>ለፍትሃዊ ጨዋታ የተሰበረ ጦር መተካት አለበት።</v>
      </c>
    </row>
    <row r="8" ht="22.5" customHeight="1">
      <c r="A8" s="10">
        <v>7.0</v>
      </c>
      <c r="B8" s="11" t="s">
        <v>550</v>
      </c>
      <c r="C8" s="11" t="s">
        <v>551</v>
      </c>
      <c r="D8" s="11" t="s">
        <v>552</v>
      </c>
      <c r="E8" s="11" t="s">
        <v>553</v>
      </c>
      <c r="G8" s="11" t="str">
        <f>IFERROR(__xludf.DUMMYFUNCTION("GOOGLETRANSLATE(A8, ""en"", ""am"")"),"7")</f>
        <v>7</v>
      </c>
      <c r="H8" s="11" t="str">
        <f>IFERROR(__xludf.DUMMYFUNCTION("GOOGLETRANSLATE(B8, ""en"", ""am"")"),"ተጫዋቹ ከፉጨት በኋላ ጦሩን ይወረውራል። የዳኛው ውሳኔ ምንድነው?")</f>
        <v>ተጫዋቹ ከፉጨት በኋላ ጦሩን ይወረውራል። የዳኛው ውሳኔ ምንድነው?</v>
      </c>
      <c r="I8" s="11" t="str">
        <f>IFERROR(__xludf.DUMMYFUNCTION("GOOGLETRANSLATE(C8, ""en"", ""am"")"),"A. መወርወርን እምቢ ማለት.B. ዒላማው ከተመታ ነጥቦችን ይሸልሙ። ለአፍታ አቁም እና ጨዋታውን እንደገና አስጀምር.D. ለተጫዋቹ ማስጠንቀቂያ ይስጡት።")</f>
        <v>A. መወርወርን እምቢ ማለት.B. ዒላማው ከተመታ ነጥቦችን ይሸልሙ። ለአፍታ አቁም እና ጨዋታውን እንደገና አስጀምር.D. ለተጫዋቹ ማስጠንቀቂያ ይስጡት።</v>
      </c>
      <c r="J8" s="11" t="str">
        <f>IFERROR(__xludf.DUMMYFUNCTION("GOOGLETRANSLATE(D8, ""en"", ""am"")"),"ውርወራውን ውድቅ አድርግ።")</f>
        <v>ውርወራውን ውድቅ አድርግ።</v>
      </c>
      <c r="K8" s="11" t="str">
        <f>IFERROR(__xludf.DUMMYFUNCTION("GOOGLETRANSLATE(E8, ""en"", ""am"")"),"ፊሽካ ከተከለከለ በኋላ የሚጣሉት።")</f>
        <v>ፊሽካ ከተከለከለ በኋላ የሚጣሉት።</v>
      </c>
    </row>
    <row r="9" ht="22.5" customHeight="1">
      <c r="A9" s="10">
        <v>8.0</v>
      </c>
      <c r="B9" s="11" t="s">
        <v>554</v>
      </c>
      <c r="C9" s="11" t="s">
        <v>555</v>
      </c>
      <c r="D9" s="11" t="s">
        <v>556</v>
      </c>
      <c r="E9" s="11" t="s">
        <v>557</v>
      </c>
      <c r="G9" s="11" t="str">
        <f>IFERROR(__xludf.DUMMYFUNCTION("GOOGLETRANSLATE(A9, ""en"", ""am"")"),"8")</f>
        <v>8</v>
      </c>
      <c r="H9" s="11" t="str">
        <f>IFERROR(__xludf.DUMMYFUNCTION("GOOGLETRANSLATE(B9, ""en"", ""am"")"),"ዒላማው በተጫዋች ተራ ወቅት በድንገት ተንቀሳቅሷል። ምን ይሆናል?")</f>
        <v>ዒላማው በተጫዋች ተራ ወቅት በድንገት ተንቀሳቅሷል። ምን ይሆናል?</v>
      </c>
      <c r="I9" s="11" t="str">
        <f>IFERROR(__xludf.DUMMYFUNCTION("GOOGLETRANSLATE(C9, ""en"", ""am"")"),"ሀ. ጨዋታውን ለአፍታ አቁም እና ዒላማውን እንደገና አስጀምር.B. ተጫዋቹ ይቀጥላል.ሲ. ሽልማቱ ለተጫዋቹ ተሰጥቷል.ዲ. ጨዋታውን እንደገና ያስጀምሩ።")</f>
        <v>ሀ. ጨዋታውን ለአፍታ አቁም እና ዒላማውን እንደገና አስጀምር.B. ተጫዋቹ ይቀጥላል.ሲ. ሽልማቱ ለተጫዋቹ ተሰጥቷል.ዲ. ጨዋታውን እንደገና ያስጀምሩ።</v>
      </c>
      <c r="J9" s="11" t="str">
        <f>IFERROR(__xludf.DUMMYFUNCTION("GOOGLETRANSLATE(D9, ""en"", ""am"")"),"ጨዋታውን ለአፍታ አቁም እና ዒላማውን ዳግም አስጀምር።")</f>
        <v>ጨዋታውን ለአፍታ አቁም እና ዒላማውን ዳግም አስጀምር።</v>
      </c>
      <c r="K9" s="11" t="str">
        <f>IFERROR(__xludf.DUMMYFUNCTION("GOOGLETRANSLATE(E9, ""en"", ""am"")"),"ዒላማው ከተንቀሳቀሰ ጨዋታው ከመቀጠሉ በፊት ጨዋታው እንደገና መጀመር አለበት።")</f>
        <v>ዒላማው ከተንቀሳቀሰ ጨዋታው ከመቀጠሉ በፊት ጨዋታው እንደገና መጀመር አለበት።</v>
      </c>
    </row>
    <row r="10" ht="22.5" customHeight="1">
      <c r="A10" s="10">
        <v>9.0</v>
      </c>
      <c r="B10" s="11" t="s">
        <v>558</v>
      </c>
      <c r="C10" s="11" t="s">
        <v>559</v>
      </c>
      <c r="D10" s="11" t="s">
        <v>560</v>
      </c>
      <c r="E10" s="11" t="s">
        <v>561</v>
      </c>
      <c r="G10" s="11" t="str">
        <f>IFERROR(__xludf.DUMMYFUNCTION("GOOGLETRANSLATE(A10, ""en"", ""am"")"),"9")</f>
        <v>9</v>
      </c>
      <c r="H10" s="11" t="str">
        <f>IFERROR(__xludf.DUMMYFUNCTION("GOOGLETRANSLATE(B10, ""en"", ""am"")"),"አንድ ተጫዋች በተሳካ ሁኔታ ኢላማውን ቢመታም ወዲያውኑ ከገደቡ ይወጣል። ፍርዱ ምንድን ነው?")</f>
        <v>አንድ ተጫዋች በተሳካ ሁኔታ ኢላማውን ቢመታም ወዲያውኑ ከገደቡ ይወጣል። ፍርዱ ምንድን ነው?</v>
      </c>
      <c r="I10" s="11" t="str">
        <f>IFERROR(__xludf.DUMMYFUNCTION("GOOGLETRANSLATE(C10, ""en"", ""am"")"),"ሀ. ነጥቦቹን ይሸልሙ. ተጫዋቹን ውድቅ ያድርጉት.ሲ. ነጥቦችን ይቀንሱ። ምንም ነጥብ አልተሰጠም።")</f>
        <v>ሀ. ነጥቦቹን ይሸልሙ. ተጫዋቹን ውድቅ ያድርጉት.ሲ. ነጥቦችን ይቀንሱ። ምንም ነጥብ አልተሰጠም።</v>
      </c>
      <c r="J10" s="11" t="str">
        <f>IFERROR(__xludf.DUMMYFUNCTION("GOOGLETRANSLATE(D10, ""en"", ""am"")"),"ነጥቦቹን ይሸልሙ")</f>
        <v>ነጥቦቹን ይሸልሙ</v>
      </c>
      <c r="K10" s="11" t="str">
        <f>IFERROR(__xludf.DUMMYFUNCTION("GOOGLETRANSLATE(E10, ""en"", ""am"")"),"ተጫዋቹ ከድንበር ቢወጣም ኢላማውን መምታት ነጥብ ያስገኛል።")</f>
        <v>ተጫዋቹ ከድንበር ቢወጣም ኢላማውን መምታት ነጥብ ያስገኛል።</v>
      </c>
    </row>
    <row r="11" ht="22.5" customHeight="1">
      <c r="A11" s="10">
        <v>10.0</v>
      </c>
      <c r="B11" s="11" t="s">
        <v>562</v>
      </c>
      <c r="C11" s="11" t="s">
        <v>563</v>
      </c>
      <c r="D11" s="11" t="s">
        <v>564</v>
      </c>
      <c r="E11" s="11" t="s">
        <v>565</v>
      </c>
      <c r="G11" s="11" t="str">
        <f>IFERROR(__xludf.DUMMYFUNCTION("GOOGLETRANSLATE(A11, ""en"", ""am"")"),"10")</f>
        <v>10</v>
      </c>
      <c r="H11" s="11" t="str">
        <f>IFERROR(__xludf.DUMMYFUNCTION("GOOGLETRANSLATE(B11, ""en"", ""am"")"),"የተጫዋቹ ፈረስ በተራቸው ጊዜ ለመንቀሳቀስ ፈቃደኛ አይሆንም። ዳኛው ምን ይወስናል?")</f>
        <v>የተጫዋቹ ፈረስ በተራቸው ጊዜ ለመንቀሳቀስ ፈቃደኛ አይሆንም። ዳኛው ምን ይወስናል?</v>
      </c>
      <c r="I11" s="11" t="str">
        <f>IFERROR(__xludf.DUMMYFUNCTION("GOOGLETRANSLATE(C11, ""en"", ""am"")"),"ሀ. ተጫዋቹ ፈረሶችን እንዲቀይር ይፍቀዱለት.B. ተጫዋቹ ብቁ እንዳልሆነ አውጁ። ለአፍታ አቁም እና ጨዋታውን እንደገና አስጀምር.D. ፈረሱ ከተረጋጋ በኋላ ተጫዋቹ እንደገና ይሞክራል.")</f>
        <v>ሀ. ተጫዋቹ ፈረሶችን እንዲቀይር ይፍቀዱለት.B. ተጫዋቹ ብቁ እንዳልሆነ አውጁ። ለአፍታ አቁም እና ጨዋታውን እንደገና አስጀምር.D. ፈረሱ ከተረጋጋ በኋላ ተጫዋቹ እንደገና ይሞክራል.</v>
      </c>
      <c r="J11" s="11" t="str">
        <f>IFERROR(__xludf.DUMMYFUNCTION("GOOGLETRANSLATE(D11, ""en"", ""am"")"),"ፈረሱ ከተረጋጋ በኋላ ተጫዋቹ እንደገና ይሞክራል.")</f>
        <v>ፈረሱ ከተረጋጋ በኋላ ተጫዋቹ እንደገና ይሞክራል.</v>
      </c>
      <c r="K11" s="11" t="str">
        <f>IFERROR(__xludf.DUMMYFUNCTION("GOOGLETRANSLATE(E11, ""en"", ""am"")"),"ተጫዋቾች ፈረሶቻቸውን እንዲያረጋጉ እና ችግሮች ከተከሰቱ እንደገና እንዲሞክሩ ይፈቀድላቸዋል።")</f>
        <v>ተጫዋቾች ፈረሶቻቸውን እንዲያረጋጉ እና ችግሮች ከተከሰቱ እንደገና እንዲሞክሩ ይፈቀድላቸዋል።</v>
      </c>
    </row>
    <row r="12" ht="22.5" customHeight="1">
      <c r="A12" s="10">
        <v>11.0</v>
      </c>
      <c r="B12" s="11" t="s">
        <v>566</v>
      </c>
      <c r="C12" s="11" t="s">
        <v>567</v>
      </c>
      <c r="D12" s="11" t="s">
        <v>530</v>
      </c>
      <c r="E12" s="11" t="s">
        <v>568</v>
      </c>
      <c r="G12" s="11" t="str">
        <f>IFERROR(__xludf.DUMMYFUNCTION("GOOGLETRANSLATE(A12, ""en"", ""am"")"),"11")</f>
        <v>11</v>
      </c>
      <c r="H12" s="11" t="str">
        <f>IFERROR(__xludf.DUMMYFUNCTION("GOOGLETRANSLATE(B12, ""en"", ""am"")"),"ተጫዋቹ ጦራቸውን ሲወረውሩ ነፋሱ ከመንገዱ ላይ ይነፍሰውና ኢላማውን ያጣል። የዳኛው ጥሪ ምንድነው?")</f>
        <v>ተጫዋቹ ጦራቸውን ሲወረውሩ ነፋሱ ከመንገዱ ላይ ይነፍሰውና ኢላማውን ያጣል። የዳኛው ጥሪ ምንድነው?</v>
      </c>
      <c r="I12" s="11" t="str">
        <f>IFERROR(__xludf.DUMMYFUNCTION("GOOGLETRANSLATE(C12, ""en"", ""am"")"),"ሀ. ምንም ነጥብ አይሰጥም.ቢ. እንደገና እንዲሞክር ያደርጉታል። ዒላማው ከተቃረበ የሽልማት ነጥቦች.ዲ. ጨዋታውን ለአፍታ አቁም.")</f>
        <v>ሀ. ምንም ነጥብ አይሰጥም.ቢ. እንደገና እንዲሞክር ያደርጉታል። ዒላማው ከተቃረበ የሽልማት ነጥቦች.ዲ. ጨዋታውን ለአፍታ አቁም.</v>
      </c>
      <c r="J12" s="11" t="str">
        <f>IFERROR(__xludf.DUMMYFUNCTION("GOOGLETRANSLATE(D12, ""en"", ""am"")"),"ምንም ነጥብ አይሰጥም.")</f>
        <v>ምንም ነጥብ አይሰጥም.</v>
      </c>
      <c r="K12" s="11" t="str">
        <f>IFERROR(__xludf.DUMMYFUNCTION("GOOGLETRANSLATE(E12, ""en"", ""am"")"),"ነፋሱ እንደ ውጫዊ አካል ተደርጎ ይቆጠራል, ስለዚህ ምንም ነጥቦች አልተሸለሙም.")</f>
        <v>ነፋሱ እንደ ውጫዊ አካል ተደርጎ ይቆጠራል, ስለዚህ ምንም ነጥቦች አልተሸለሙም.</v>
      </c>
    </row>
    <row r="13" ht="22.5" customHeight="1">
      <c r="A13" s="10">
        <v>12.0</v>
      </c>
      <c r="B13" s="11" t="s">
        <v>569</v>
      </c>
      <c r="C13" s="11" t="s">
        <v>570</v>
      </c>
      <c r="D13" s="11" t="s">
        <v>571</v>
      </c>
      <c r="E13" s="11" t="s">
        <v>572</v>
      </c>
      <c r="G13" s="11" t="str">
        <f>IFERROR(__xludf.DUMMYFUNCTION("GOOGLETRANSLATE(A13, ""en"", ""am"")"),"12")</f>
        <v>12</v>
      </c>
      <c r="H13" s="11" t="str">
        <f>IFERROR(__xludf.DUMMYFUNCTION("GOOGLETRANSLATE(B13, ""en"", ""am"")"),"በመዞሩ ወቅት ተጫዋቹ በድንገት የሌላ ተጫዋችን ፈረስ በጦሩ ይመታል። ምን ይሆናል?")</f>
        <v>በመዞሩ ወቅት ተጫዋቹ በድንገት የሌላ ተጫዋችን ፈረስ በጦሩ ይመታል። ምን ይሆናል?</v>
      </c>
      <c r="I13" s="11" t="str">
        <f>IFERROR(__xludf.DUMMYFUNCTION("GOOGLETRANSLATE(C13, ""en"", ""am"")"),"ሀ. ተጫዋቹን ውድቅ ማድረግ.B. ለአፍታ አቁም እና ጨዋታውን እንደገና አስጀምር። ለሁለቱም ተጫዋቾች የሽልማት ነጥቦች ዲ. ለተጫዋቹ ማስጠንቀቂያ ይስጡት።")</f>
        <v>ሀ. ተጫዋቹን ውድቅ ማድረግ.B. ለአፍታ አቁም እና ጨዋታውን እንደገና አስጀምር። ለሁለቱም ተጫዋቾች የሽልማት ነጥቦች ዲ. ለተጫዋቹ ማስጠንቀቂያ ይስጡት።</v>
      </c>
      <c r="J13" s="11" t="str">
        <f>IFERROR(__xludf.DUMMYFUNCTION("GOOGLETRANSLATE(D13, ""en"", ""am"")"),"ተጫዋቹን ውድቅ ያድርጉት።")</f>
        <v>ተጫዋቹን ውድቅ ያድርጉት።</v>
      </c>
      <c r="K13" s="11" t="str">
        <f>IFERROR(__xludf.DUMMYFUNCTION("GOOGLETRANSLATE(E13, ""en"", ""am"")"),"የሌላ ተጫዋች ፈረስ መምታት ከባድ ጥሰት ነው።")</f>
        <v>የሌላ ተጫዋች ፈረስ መምታት ከባድ ጥሰት ነው።</v>
      </c>
    </row>
    <row r="14" ht="22.5" customHeight="1">
      <c r="A14" s="10">
        <v>13.0</v>
      </c>
      <c r="B14" s="11" t="s">
        <v>573</v>
      </c>
      <c r="C14" s="11" t="s">
        <v>574</v>
      </c>
      <c r="D14" s="11" t="s">
        <v>575</v>
      </c>
      <c r="E14" s="11" t="s">
        <v>576</v>
      </c>
      <c r="G14" s="11" t="str">
        <f>IFERROR(__xludf.DUMMYFUNCTION("GOOGLETRANSLATE(A14, ""en"", ""am"")"),"13")</f>
        <v>13</v>
      </c>
      <c r="H14" s="11" t="str">
        <f>IFERROR(__xludf.DUMMYFUNCTION("GOOGLETRANSLATE(B14, ""en"", ""am"")"),"አንድ ተጫዋች ኢላማውን ይመታል፣ ነገር ግን ጦሩ በሚነካበት ጊዜ ይሰበራል። ቀጥሎ ምን ይሆናል?")</f>
        <v>አንድ ተጫዋች ኢላማውን ይመታል፣ ነገር ግን ጦሩ በሚነካበት ጊዜ ይሰበራል። ቀጥሎ ምን ይሆናል?</v>
      </c>
      <c r="I14" s="11" t="str">
        <f>IFERROR(__xludf.DUMMYFUNCTION("GOOGLETRANSLATE(C14, ""en"", ""am"")"),"ሀ. ሙሉ ነጥብ ሽልማት ቢ. እንደገና እንዲሞክር ያደርጉታል። ጦሩ እስኪተካ ድረስ ጨዋታውን ለአፍታ አቁም.ዲ. የሽልማት ግማሽ ነጥብ")</f>
        <v>ሀ. ሙሉ ነጥብ ሽልማት ቢ. እንደገና እንዲሞክር ያደርጉታል። ጦሩ እስኪተካ ድረስ ጨዋታውን ለአፍታ አቁም.ዲ. የሽልማት ግማሽ ነጥብ</v>
      </c>
      <c r="J14" s="11" t="str">
        <f>IFERROR(__xludf.DUMMYFUNCTION("GOOGLETRANSLATE(D14, ""en"", ""am"")"),"ሙሉ ነጥብ ሽልማት")</f>
        <v>ሙሉ ነጥብ ሽልማት</v>
      </c>
      <c r="K14" s="11" t="str">
        <f>IFERROR(__xludf.DUMMYFUNCTION("GOOGLETRANSLATE(E14, ""en"", ""am"")"),"የጦሩ መስበር ዒላማው ከተመታ ነጥቡን አይጎዳውም.")</f>
        <v>የጦሩ መስበር ዒላማው ከተመታ ነጥቡን አይጎዳውም.</v>
      </c>
    </row>
    <row r="15" ht="22.5" customHeight="1">
      <c r="A15" s="10">
        <v>14.0</v>
      </c>
      <c r="B15" s="11" t="s">
        <v>577</v>
      </c>
      <c r="C15" s="11" t="s">
        <v>578</v>
      </c>
      <c r="D15" s="11" t="s">
        <v>530</v>
      </c>
      <c r="E15" s="11" t="s">
        <v>579</v>
      </c>
      <c r="G15" s="11" t="str">
        <f>IFERROR(__xludf.DUMMYFUNCTION("GOOGLETRANSLATE(A15, ""en"", ""am"")"),"14")</f>
        <v>14</v>
      </c>
      <c r="H15" s="11" t="str">
        <f>IFERROR(__xludf.DUMMYFUNCTION("GOOGLETRANSLATE(B15, ""en"", ""am"")"),"የተጫዋቹ ጦር ከዒላማው ጋር ተጣብቆ ይቆያል, ነገር ግን ዳኛው ከመጥራት በፊት ይወድቃል. ውሳኔው ምንድን ነው?")</f>
        <v>የተጫዋቹ ጦር ከዒላማው ጋር ተጣብቆ ይቆያል, ነገር ግን ዳኛው ከመጥራት በፊት ይወድቃል. ውሳኔው ምንድን ነው?</v>
      </c>
      <c r="I15" s="11" t="str">
        <f>IFERROR(__xludf.DUMMYFUNCTION("GOOGLETRANSLATE(C15, ""en"", ""am"")"),"ሀ. ምንም ነጥብ አይሰጥም.ቢ. stickC በመጀመር ላይ በመመስረት የሽልማት ነጥቦች. አሁንም ወደ ኢላማ ዲ ቅርብ ከሆነ የሽልማት ነጥቦች። ተጫዋቹ እንደገና ይሞክራል።")</f>
        <v>ሀ. ምንም ነጥብ አይሰጥም.ቢ. stickC በመጀመር ላይ በመመስረት የሽልማት ነጥቦች. አሁንም ወደ ኢላማ ዲ ቅርብ ከሆነ የሽልማት ነጥቦች። ተጫዋቹ እንደገና ይሞክራል።</v>
      </c>
      <c r="J15" s="11" t="str">
        <f>IFERROR(__xludf.DUMMYFUNCTION("GOOGLETRANSLATE(D15, ""en"", ""am"")"),"ምንም ነጥብ አይሰጥም.")</f>
        <v>ምንም ነጥብ አይሰጥም.</v>
      </c>
      <c r="K15" s="11" t="str">
        <f>IFERROR(__xludf.DUMMYFUNCTION("GOOGLETRANSLATE(E15, ""en"", ""am"")"),"ነጥብ ለማግኘት ጦሩ ዒላማው ላይ ተጣብቆ መቆየት አለበት።")</f>
        <v>ነጥብ ለማግኘት ጦሩ ዒላማው ላይ ተጣብቆ መቆየት አለበት።</v>
      </c>
    </row>
    <row r="16" ht="22.5" customHeight="1">
      <c r="A16" s="10">
        <v>15.0</v>
      </c>
      <c r="B16" s="11" t="s">
        <v>580</v>
      </c>
      <c r="C16" s="11" t="s">
        <v>581</v>
      </c>
      <c r="D16" s="11" t="s">
        <v>582</v>
      </c>
      <c r="E16" s="11" t="s">
        <v>583</v>
      </c>
      <c r="G16" s="11" t="str">
        <f>IFERROR(__xludf.DUMMYFUNCTION("GOOGLETRANSLATE(A16, ""en"", ""am"")"),"15")</f>
        <v>15</v>
      </c>
      <c r="H16" s="11" t="str">
        <f>IFERROR(__xludf.DUMMYFUNCTION("GOOGLETRANSLATE(B16, ""en"", ""am"")"),"አንድ ተጫዋች ጦራቸውን ለመጣል ቢሞክሩም በአጋጣሚ በምትኩ ወረወሩት። ምን ይሆናል?")</f>
        <v>አንድ ተጫዋች ጦራቸውን ለመጣል ቢሞክሩም በአጋጣሚ በምትኩ ወረወሩት። ምን ይሆናል?</v>
      </c>
      <c r="I16" s="11" t="str">
        <f>IFERROR(__xludf.DUMMYFUNCTION("GOOGLETRANSLATE(C16, ""en"", ""am"")"),"ሀ. ተጫዋቹ ተራውን ያጣል.ቢ. ተጫዋቹ ውርወራቸውን እንደገና ማስጀመር አለባቸው። ዳኛው ሁለተኛ እድል ይፈቅዳል.ዲ. ከፊል ሽልማት ነጥቦች")</f>
        <v>ሀ. ተጫዋቹ ተራውን ያጣል.ቢ. ተጫዋቹ ውርወራቸውን እንደገና ማስጀመር አለባቸው። ዳኛው ሁለተኛ እድል ይፈቅዳል.ዲ. ከፊል ሽልማት ነጥቦች</v>
      </c>
      <c r="J16" s="11" t="str">
        <f>IFERROR(__xludf.DUMMYFUNCTION("GOOGLETRANSLATE(D16, ""en"", ""am"")"),"ተጫዋቹ ተራውን ያጣል።")</f>
        <v>ተጫዋቹ ተራውን ያጣል።</v>
      </c>
      <c r="K16" s="11" t="str">
        <f>IFERROR(__xludf.DUMMYFUNCTION("GOOGLETRANSLATE(E16, ""en"", ""am"")"),"ጦሩን መጣል ተራውን ማጣት ያስከትላል.")</f>
        <v>ጦሩን መጣል ተራውን ማጣት ያስከትላል.</v>
      </c>
    </row>
    <row r="17" ht="22.5" customHeight="1">
      <c r="A17" s="10">
        <v>16.0</v>
      </c>
      <c r="B17" s="11" t="s">
        <v>584</v>
      </c>
      <c r="C17" s="11" t="s">
        <v>585</v>
      </c>
      <c r="D17" s="11" t="s">
        <v>556</v>
      </c>
      <c r="E17" s="11" t="s">
        <v>586</v>
      </c>
      <c r="G17" s="11" t="str">
        <f>IFERROR(__xludf.DUMMYFUNCTION("GOOGLETRANSLATE(A17, ""en"", ""am"")"),"16")</f>
        <v>16</v>
      </c>
      <c r="H17" s="11" t="str">
        <f>IFERROR(__xludf.DUMMYFUNCTION("GOOGLETRANSLATE(B17, ""en"", ""am"")"),"ዒላማው በሚወረወርበት ጊዜ በነፋስ ውስጥ ይንቀሳቀሳል. ዳኛው ምን ያደርጋል?")</f>
        <v>ዒላማው በሚወረወርበት ጊዜ በነፋስ ውስጥ ይንቀሳቀሳል. ዳኛው ምን ያደርጋል?</v>
      </c>
      <c r="I17" s="11" t="str">
        <f>IFERROR(__xludf.DUMMYFUNCTION("GOOGLETRANSLATE(C17, ""en"", ""am"")"),"ሀ. ጨዋታውን ለአፍታ አቁም እና ዒላማውን እንደገና አስጀምር። ጨዋታው ቀጥሏል.ሲ. ፍላጻው አዲሱን መገኛ ከተመታ ነጥቦችን ይሸልማል። ዙሩን እንደገና ያስጀምሩ.")</f>
        <v>ሀ. ጨዋታውን ለአፍታ አቁም እና ዒላማውን እንደገና አስጀምር። ጨዋታው ቀጥሏል.ሲ. ፍላጻው አዲሱን መገኛ ከተመታ ነጥቦችን ይሸልማል። ዙሩን እንደገና ያስጀምሩ.</v>
      </c>
      <c r="J17" s="11" t="str">
        <f>IFERROR(__xludf.DUMMYFUNCTION("GOOGLETRANSLATE(D17, ""en"", ""am"")"),"ጨዋታውን ለአፍታ አቁም እና ዒላማውን ዳግም አስጀምር።")</f>
        <v>ጨዋታውን ለአፍታ አቁም እና ዒላማውን ዳግም አስጀምር።</v>
      </c>
      <c r="K17" s="11" t="str">
        <f>IFERROR(__xludf.DUMMYFUNCTION("GOOGLETRANSLATE(E17, ""en"", ""am"")"),"ፍትሃዊነትን ለማረጋገጥ ከመቀጠልዎ በፊት ኢላማው እንደገና መጀመር አለበት።")</f>
        <v>ፍትሃዊነትን ለማረጋገጥ ከመቀጠልዎ በፊት ኢላማው እንደገና መጀመር አለበት።</v>
      </c>
    </row>
    <row r="18" ht="22.5" customHeight="1">
      <c r="A18" s="10">
        <v>17.0</v>
      </c>
      <c r="B18" s="11" t="s">
        <v>587</v>
      </c>
      <c r="C18" s="11" t="s">
        <v>588</v>
      </c>
      <c r="D18" s="11" t="s">
        <v>541</v>
      </c>
      <c r="E18" s="11" t="s">
        <v>589</v>
      </c>
      <c r="G18" s="11" t="str">
        <f>IFERROR(__xludf.DUMMYFUNCTION("GOOGLETRANSLATE(A18, ""en"", ""am"")"),"17")</f>
        <v>17</v>
      </c>
      <c r="H18" s="11" t="str">
        <f>IFERROR(__xludf.DUMMYFUNCTION("GOOGLETRANSLATE(B18, ""en"", ""am"")"),"የተጫዋቹ ፈረስ በውርወራ ወቅት ሳይታሰብ ወደ ላይ በመውጣቱ እንዲናፍቃቸው አድርጓል። ዳኛው ምን ይወስናል?")</f>
        <v>የተጫዋቹ ፈረስ በውርወራ ወቅት ሳይታሰብ ወደ ላይ በመውጣቱ እንዲናፍቃቸው አድርጓል። ዳኛው ምን ይወስናል?</v>
      </c>
      <c r="I18" s="11" t="str">
        <f>IFERROR(__xludf.DUMMYFUNCTION("GOOGLETRANSLATE(C18, ""en"", ""am"")"),"ሀ. እንደገና እንዲሞክር ይፈቅዱለታል.B. ተጫዋቹን ውድቅ ያድርጉት.ሲ. የተሸለመ ምንም ነጥብ የለም። ለደህንነት ሲባል ጨዋታውን ለአፍታ ያቁሙ።")</f>
        <v>ሀ. እንደገና እንዲሞክር ይፈቅዱለታል.B. ተጫዋቹን ውድቅ ያድርጉት.ሲ. የተሸለመ ምንም ነጥብ የለም። ለደህንነት ሲባል ጨዋታውን ለአፍታ ያቁሙ።</v>
      </c>
      <c r="J18" s="11" t="str">
        <f>IFERROR(__xludf.DUMMYFUNCTION("GOOGLETRANSLATE(D18, ""en"", ""am"")"),"እንደገና እንዲሞክር ያደርጉታል።")</f>
        <v>እንደገና እንዲሞክር ያደርጉታል።</v>
      </c>
      <c r="K18" s="11" t="str">
        <f>IFERROR(__xludf.DUMMYFUNCTION("GOOGLETRANSLATE(E18, ""en"", ""am"")"),"ተጫዋቹ በድንገት ፈረሳቸውን ካጡ፣ እንደገና መሞከር ይችላሉ።")</f>
        <v>ተጫዋቹ በድንገት ፈረሳቸውን ካጡ፣ እንደገና መሞከር ይችላሉ።</v>
      </c>
    </row>
    <row r="19" ht="22.5" customHeight="1">
      <c r="A19" s="10">
        <v>18.0</v>
      </c>
      <c r="B19" s="11" t="s">
        <v>590</v>
      </c>
      <c r="C19" s="11" t="s">
        <v>591</v>
      </c>
      <c r="D19" s="11" t="s">
        <v>530</v>
      </c>
      <c r="E19" s="11" t="s">
        <v>592</v>
      </c>
      <c r="G19" s="11" t="str">
        <f>IFERROR(__xludf.DUMMYFUNCTION("GOOGLETRANSLATE(A19, ""en"", ""am"")"),"18")</f>
        <v>18</v>
      </c>
      <c r="H19" s="11" t="str">
        <f>IFERROR(__xludf.DUMMYFUNCTION("GOOGLETRANSLATE(B19, ""en"", ""am"")"),"የተጫዋች መሳሪያ በአየር ውስጥ እየበረረ ከዒላማው በስተጀርባ ያርፋል። ምን ይሆናል?")</f>
        <v>የተጫዋች መሳሪያ በአየር ውስጥ እየበረረ ከዒላማው በስተጀርባ ያርፋል። ምን ይሆናል?</v>
      </c>
      <c r="I19" s="11" t="str">
        <f>IFERROR(__xludf.DUMMYFUNCTION("GOOGLETRANSLATE(C19, ""en"", ""am"")"),"ሀ. ምንም ነጥብ አልተሰጠም.B. በ ርቀት ሐ ላይ የተመሠረተ የሽልማት ነጥቦች. ተጫዋቹ እንደገና እንዲሞክር ይፍቀዱለት።ዲ. ለቅርብ ኪሳራ የሽልማት ነጥቦች")</f>
        <v>ሀ. ምንም ነጥብ አልተሰጠም.B. በ ርቀት ሐ ላይ የተመሠረተ የሽልማት ነጥቦች. ተጫዋቹ እንደገና እንዲሞክር ይፍቀዱለት።ዲ. ለቅርብ ኪሳራ የሽልማት ነጥቦች</v>
      </c>
      <c r="J19" s="11" t="str">
        <f>IFERROR(__xludf.DUMMYFUNCTION("GOOGLETRANSLATE(D19, ""en"", ""am"")"),"ምንም ነጥብ አይሰጥም.")</f>
        <v>ምንም ነጥብ አይሰጥም.</v>
      </c>
      <c r="K19" s="11" t="str">
        <f>IFERROR(__xludf.DUMMYFUNCTION("GOOGLETRANSLATE(E19, ""en"", ""am"")"),"ነጥብ ለማግኘት ጦሩ ኢላማውን መምታት ወይም በተዘጋጀው የውጤት ቦታ ላይ ማረፍ አለበት።")</f>
        <v>ነጥብ ለማግኘት ጦሩ ኢላማውን መምታት ወይም በተዘጋጀው የውጤት ቦታ ላይ ማረፍ አለበት።</v>
      </c>
    </row>
    <row r="20" ht="22.5" customHeight="1">
      <c r="A20" s="10">
        <v>19.0</v>
      </c>
      <c r="B20" s="11" t="s">
        <v>593</v>
      </c>
      <c r="C20" s="11" t="s">
        <v>594</v>
      </c>
      <c r="D20" s="11" t="s">
        <v>530</v>
      </c>
      <c r="E20" s="11" t="s">
        <v>595</v>
      </c>
      <c r="G20" s="11" t="str">
        <f>IFERROR(__xludf.DUMMYFUNCTION("GOOGLETRANSLATE(A20, ""en"", ""am"")"),"19")</f>
        <v>19</v>
      </c>
      <c r="H20" s="11" t="str">
        <f>IFERROR(__xludf.DUMMYFUNCTION("GOOGLETRANSLATE(B20, ""en"", ""am"")"),"አንድ ተጫዋች ጦሩን ሲወረውር ኢላማውን ሙሉ በሙሉ አምልጦታል። ፍርዱ ምንድን ነው?")</f>
        <v>አንድ ተጫዋች ጦሩን ሲወረውር ኢላማውን ሙሉ በሙሉ አምልጦታል። ፍርዱ ምንድን ነው?</v>
      </c>
      <c r="I20" s="11" t="str">
        <f>IFERROR(__xludf.DUMMYFUNCTION("GOOGLETRANSLATE(C20, ""en"", ""am"")"),"ሀ. ምንም ነጥብ አይሰጥም.ቢ. እንደገና ከሌላ ሰራዊት ጋር ይሞክር። ለሙከራ ከፊል ነጥቦች ሽልማት. ጨዋታውን ለአፍታ አቁም.")</f>
        <v>ሀ. ምንም ነጥብ አይሰጥም.ቢ. እንደገና ከሌላ ሰራዊት ጋር ይሞክር። ለሙከራ ከፊል ነጥቦች ሽልማት. ጨዋታውን ለአፍታ አቁም.</v>
      </c>
      <c r="J20" s="11" t="str">
        <f>IFERROR(__xludf.DUMMYFUNCTION("GOOGLETRANSLATE(D20, ""en"", ""am"")"),"ምንም ነጥብ አይሰጥም.")</f>
        <v>ምንም ነጥብ አይሰጥም.</v>
      </c>
      <c r="K20" s="11" t="str">
        <f>IFERROR(__xludf.DUMMYFUNCTION("GOOGLETRANSLATE(E20, ""en"", ""am"")"),"ምንም ነገር ሳይመታ ዒላማውን ማጣት ምንም ነጥብ አያመጣም.")</f>
        <v>ምንም ነገር ሳይመታ ዒላማውን ማጣት ምንም ነጥብ አያመጣም.</v>
      </c>
    </row>
    <row r="21" ht="22.5" customHeight="1">
      <c r="A21" s="10">
        <v>20.0</v>
      </c>
      <c r="B21" s="11" t="s">
        <v>596</v>
      </c>
      <c r="C21" s="11" t="s">
        <v>597</v>
      </c>
      <c r="D21" s="11" t="s">
        <v>598</v>
      </c>
      <c r="E21" s="11" t="s">
        <v>599</v>
      </c>
      <c r="G21" s="11" t="str">
        <f>IFERROR(__xludf.DUMMYFUNCTION("GOOGLETRANSLATE(A21, ""en"", ""am"")"),"20")</f>
        <v>20</v>
      </c>
      <c r="H21" s="11" t="str">
        <f>IFERROR(__xludf.DUMMYFUNCTION("GOOGLETRANSLATE(B21, ""en"", ""am"")"),"የተጫዋቹ ፈረስ ቀርፋፋ እና የመጨረሻውን መስመር በጊዜ መድረስ አይችልም። ዳኛው ምን ይወስናል?")</f>
        <v>የተጫዋቹ ፈረስ ቀርፋፋ እና የመጨረሻውን መስመር በጊዜ መድረስ አይችልም። ዳኛው ምን ይወስናል?</v>
      </c>
      <c r="I21" s="11" t="str">
        <f>IFERROR(__xludf.DUMMYFUNCTION("GOOGLETRANSLATE(C21, ""en"", ""am"")"),"ሀ. ጨዋታውን ለአፍታ ያቁሙት።ለ. ተጫዋቹ ይቀጥላል ነገር ግን ምንም ነጥብ አልተሰጠም.ሲ. ዝግጁ ባለመሆኑ ተጫዋቹን ያሰናብቱት.ዲ. ተጫዋቹ ፍጥነትን መልሶ እንዲያገኝ እድል ይፍቀዱለት።")</f>
        <v>ሀ. ጨዋታውን ለአፍታ ያቁሙት።ለ. ተጫዋቹ ይቀጥላል ነገር ግን ምንም ነጥብ አልተሰጠም.ሲ. ዝግጁ ባለመሆኑ ተጫዋቹን ያሰናብቱት.ዲ. ተጫዋቹ ፍጥነትን መልሶ እንዲያገኝ እድል ይፍቀዱለት።</v>
      </c>
      <c r="J21" s="11" t="str">
        <f>IFERROR(__xludf.DUMMYFUNCTION("GOOGLETRANSLATE(D21, ""en"", ""am"")"),"ተጫዋቹ ይቀጥላል ነገር ግን ምንም ነጥብ አልተሰጠም።")</f>
        <v>ተጫዋቹ ይቀጥላል ነገር ግን ምንም ነጥብ አልተሰጠም።</v>
      </c>
      <c r="K21" s="11" t="str">
        <f>IFERROR(__xludf.DUMMYFUNCTION("GOOGLETRANSLATE(E21, ""en"", ""am"")"),"ተጫዋቹ ሊቀጥል ይችላል, ነገር ግን የጊዜ ገደቡ ካመለጡ ምንም ነጥብ አይመጣም.")</f>
        <v>ተጫዋቹ ሊቀጥል ይችላል, ነገር ግን የጊዜ ገደቡ ካመለጡ ምንም ነጥብ አይመጣም.</v>
      </c>
    </row>
    <row r="22" ht="22.5" customHeight="1">
      <c r="A22" s="10">
        <v>21.0</v>
      </c>
      <c r="B22" s="11" t="s">
        <v>600</v>
      </c>
      <c r="C22" s="11" t="s">
        <v>601</v>
      </c>
      <c r="D22" s="11" t="s">
        <v>530</v>
      </c>
      <c r="E22" s="11" t="s">
        <v>602</v>
      </c>
      <c r="G22" s="11" t="str">
        <f>IFERROR(__xludf.DUMMYFUNCTION("GOOGLETRANSLATE(A22, ""en"", ""am"")"),"21")</f>
        <v>21</v>
      </c>
      <c r="H22" s="11" t="str">
        <f>IFERROR(__xludf.DUMMYFUNCTION("GOOGLETRANSLATE(B22, ""en"", ""am"")"),"በመዞሩ ወቅት አንድ ተጫዋች ኢላማውን በጦሩ ይመታል ነገር ግን በማጭበርበር የተቃዋሚውን ፈረስ ይመታል። ምን ይሆናል?")</f>
        <v>በመዞሩ ወቅት አንድ ተጫዋች ኢላማውን በጦሩ ይመታል ነገር ግን በማጭበርበር የተቃዋሚውን ፈረስ ይመታል። ምን ይሆናል?</v>
      </c>
      <c r="I22" s="11" t="str">
        <f>IFERROR(__xludf.DUMMYFUNCTION("GOOGLETRANSLATE(C22, ""en"", ""am"")"),"ሀ. ምንም ነጥብ አይሰጥም.ቢ. ሽልማቱ ለተጫዋቹ ይሰጣል.ሲ. ተጫዋቹ ፈረሱን ለመምታት ውድቅ ያድርጉት.ዲ. በተመታ ተጽዕኖ ላይ በመመስረት የሽልማት ነጥቦች")</f>
        <v>ሀ. ምንም ነጥብ አይሰጥም.ቢ. ሽልማቱ ለተጫዋቹ ይሰጣል.ሲ. ተጫዋቹ ፈረሱን ለመምታት ውድቅ ያድርጉት.ዲ. በተመታ ተጽዕኖ ላይ በመመስረት የሽልማት ነጥቦች</v>
      </c>
      <c r="J22" s="11" t="str">
        <f>IFERROR(__xludf.DUMMYFUNCTION("GOOGLETRANSLATE(D22, ""en"", ""am"")"),"ምንም ነጥብ አይሰጥም.")</f>
        <v>ምንም ነጥብ አይሰጥም.</v>
      </c>
      <c r="K22" s="11" t="str">
        <f>IFERROR(__xludf.DUMMYFUNCTION("GOOGLETRANSLATE(E22, ""en"", ""am"")"),"የተቃዋሚን ፈረስ መምታት የመወርወር አቅም ማጣትን ያስከትላል።")</f>
        <v>የተቃዋሚን ፈረስ መምታት የመወርወር አቅም ማጣትን ያስከትላል።</v>
      </c>
    </row>
    <row r="23" ht="22.5" customHeight="1">
      <c r="A23" s="10">
        <v>22.0</v>
      </c>
      <c r="B23" s="11" t="s">
        <v>603</v>
      </c>
      <c r="C23" s="11" t="s">
        <v>604</v>
      </c>
      <c r="D23" s="11" t="s">
        <v>530</v>
      </c>
      <c r="E23" s="11" t="s">
        <v>605</v>
      </c>
      <c r="G23" s="11" t="str">
        <f>IFERROR(__xludf.DUMMYFUNCTION("GOOGLETRANSLATE(A23, ""en"", ""am"")"),"22")</f>
        <v>22</v>
      </c>
      <c r="H23" s="11" t="str">
        <f>IFERROR(__xludf.DUMMYFUNCTION("GOOGLETRANSLATE(B23, ""en"", ""am"")"),"የተጫዋቹ ቀስት ኢላማውን ይመታል ግን አይጣበቅም። የዳኛው ጥሪ ምንድነው?")</f>
        <v>የተጫዋቹ ቀስት ኢላማውን ይመታል ግን አይጣበቅም። የዳኛው ጥሪ ምንድነው?</v>
      </c>
      <c r="I23" s="11" t="str">
        <f>IFERROR(__xludf.DUMMYFUNCTION("GOOGLETRANSLATE(C23, ""en"", ""am"")"),"ሀ. ሙሉ ነጥብ ሽልማት ቢ. ምንም ነጥብ አይሰጥም.ሲ. ከፊል ሽልማት ነጥቦችD. ተጫዋቹ እንደገና እንዲሞክር ይፍቀዱለት።")</f>
        <v>ሀ. ሙሉ ነጥብ ሽልማት ቢ. ምንም ነጥብ አይሰጥም.ሲ. ከፊል ሽልማት ነጥቦችD. ተጫዋቹ እንደገና እንዲሞክር ይፍቀዱለት።</v>
      </c>
      <c r="J23" s="11" t="str">
        <f>IFERROR(__xludf.DUMMYFUNCTION("GOOGLETRANSLATE(D23, ""en"", ""am"")"),"ምንም ነጥብ አይሰጥም.")</f>
        <v>ምንም ነጥብ አይሰጥም.</v>
      </c>
      <c r="K23" s="11" t="str">
        <f>IFERROR(__xludf.DUMMYFUNCTION("GOOGLETRANSLATE(E23, ""en"", ""am"")"),"ለየፈራስ ጉክስ ጦሩ ነጥብ ለማግኘት ከግቡ ጋር መጣበቅ አለበት።")</f>
        <v>ለየፈራስ ጉክስ ጦሩ ነጥብ ለማግኘት ከግቡ ጋር መጣበቅ አለበት።</v>
      </c>
    </row>
    <row r="24" ht="22.5" customHeight="1">
      <c r="A24" s="10">
        <v>23.0</v>
      </c>
      <c r="B24" s="11" t="s">
        <v>606</v>
      </c>
      <c r="C24" s="11" t="s">
        <v>607</v>
      </c>
      <c r="D24" s="11" t="s">
        <v>608</v>
      </c>
      <c r="E24" s="11" t="s">
        <v>609</v>
      </c>
      <c r="G24" s="11" t="str">
        <f>IFERROR(__xludf.DUMMYFUNCTION("GOOGLETRANSLATE(A24, ""en"", ""am"")"),"23")</f>
        <v>23</v>
      </c>
      <c r="H24" s="11" t="str">
        <f>IFERROR(__xludf.DUMMYFUNCTION("GOOGLETRANSLATE(B24, ""en"", ""am"")"),"የተጫዋች መሳሪያ ከዒላማው ጋር ይጣበቃል, ነገር ግን ሌላ ተጫዋች በአጋጣሚ ይመታል. ውሳኔው ምንድን ነው?")</f>
        <v>የተጫዋች መሳሪያ ከዒላማው ጋር ይጣበቃል, ነገር ግን ሌላ ተጫዋች በአጋጣሚ ይመታል. ውሳኔው ምንድን ነው?</v>
      </c>
      <c r="I24" s="11" t="str">
        <f>IFERROR(__xludf.DUMMYFUNCTION("GOOGLETRANSLATE(C24, ""en"", ""am"")"),"ሀ. ለመጀመሪያው ተጫዋች ምንም ነጥብ አልተሰጠም። ለሁለቱም ተጫዋቾች የሽልማት ነጥቦች. ለመጀመሪያው ተጫዋች ዲ. መወርወሩን እንደገና ያስጀምሩ።")</f>
        <v>ሀ. ለመጀመሪያው ተጫዋች ምንም ነጥብ አልተሰጠም። ለሁለቱም ተጫዋቾች የሽልማት ነጥቦች. ለመጀመሪያው ተጫዋች ዲ. መወርወሩን እንደገና ያስጀምሩ።</v>
      </c>
      <c r="J24" s="11" t="str">
        <f>IFERROR(__xludf.DUMMYFUNCTION("GOOGLETRANSLATE(D24, ""en"", ""am"")"),"ለመጀመሪያው ተጫዋች ምንም ነጥብ አልተሰጠም።")</f>
        <v>ለመጀመሪያው ተጫዋች ምንም ነጥብ አልተሰጠም።</v>
      </c>
      <c r="K24" s="11" t="str">
        <f>IFERROR(__xludf.DUMMYFUNCTION("GOOGLETRANSLATE(E24, ""en"", ""am"")"),"ጦሩ በሌላ ተጫዋች ከተወገደ ነጥቦቹ ጠፍተዋል.")</f>
        <v>ጦሩ በሌላ ተጫዋች ከተወገደ ነጥቦቹ ጠፍተዋል.</v>
      </c>
    </row>
    <row r="25" ht="22.5" customHeight="1">
      <c r="A25" s="10">
        <v>24.0</v>
      </c>
      <c r="B25" s="11" t="s">
        <v>610</v>
      </c>
      <c r="C25" s="11" t="s">
        <v>611</v>
      </c>
      <c r="D25" s="11" t="s">
        <v>530</v>
      </c>
      <c r="E25" s="11" t="s">
        <v>612</v>
      </c>
      <c r="G25" s="11" t="str">
        <f>IFERROR(__xludf.DUMMYFUNCTION("GOOGLETRANSLATE(A25, ""en"", ""am"")"),"24")</f>
        <v>24</v>
      </c>
      <c r="H25" s="11" t="str">
        <f>IFERROR(__xludf.DUMMYFUNCTION("GOOGLETRANSLATE(B25, ""en"", ""am"")"),"ፈረሳቸው ወደ ተሳሳተ አቅጣጫ ሲሄድ ተጫዋቹ ጦሩን ይጥላል። ምን ይሆናል?")</f>
        <v>ፈረሳቸው ወደ ተሳሳተ አቅጣጫ ሲሄድ ተጫዋቹ ጦሩን ይጥላል። ምን ይሆናል?</v>
      </c>
      <c r="I25" s="11" t="str">
        <f>IFERROR(__xludf.DUMMYFUNCTION("GOOGLETRANSLATE(C25, ""en"", ""am"")"),"ሀ. ምንም ነጥብ አይሰጥም.ቢ. ዒላማው ከተመታ ነጥቦችን ይሸልሙ። ውርወራውን እምቢ.ዲ. እንደገና ልሞክር።")</f>
        <v>ሀ. ምንም ነጥብ አይሰጥም.ቢ. ዒላማው ከተመታ ነጥቦችን ይሸልሙ። ውርወራውን እምቢ.ዲ. እንደገና ልሞክር።</v>
      </c>
      <c r="J25" s="11" t="str">
        <f>IFERROR(__xludf.DUMMYFUNCTION("GOOGLETRANSLATE(D25, ""en"", ""am"")"),"ምንም ነጥብ አይሰጥም.")</f>
        <v>ምንም ነጥብ አይሰጥም.</v>
      </c>
      <c r="K25" s="11" t="str">
        <f>IFERROR(__xludf.DUMMYFUNCTION("GOOGLETRANSLATE(E25, ""en"", ""am"")"),"ፈረሱ በትክክል በተቀመጠበት ጊዜ መወርወሩ መከናወን አለበት.")</f>
        <v>ፈረሱ በትክክል በተቀመጠበት ጊዜ መወርወሩ መከናወን አለበት.</v>
      </c>
    </row>
    <row r="26" ht="22.5" customHeight="1">
      <c r="A26" s="10">
        <v>25.0</v>
      </c>
      <c r="B26" s="11" t="s">
        <v>613</v>
      </c>
      <c r="C26" s="11" t="s">
        <v>614</v>
      </c>
      <c r="D26" s="11" t="s">
        <v>615</v>
      </c>
      <c r="E26" s="11" t="s">
        <v>616</v>
      </c>
      <c r="G26" s="11" t="str">
        <f>IFERROR(__xludf.DUMMYFUNCTION("GOOGLETRANSLATE(A26, ""en"", ""am"")"),"25")</f>
        <v>25</v>
      </c>
      <c r="H26" s="11" t="str">
        <f>IFERROR(__xludf.DUMMYFUNCTION("GOOGLETRANSLATE(B26, ""en"", ""am"")"),"አንድ ተጫዋች ኢላማውን ይመታል እና ዳኛው ወዲያውኑ የጊዜ ማብቂያውን ጠራ። ፍርዱ ምንድን ነው?")</f>
        <v>አንድ ተጫዋች ኢላማውን ይመታል እና ዳኛው ወዲያውኑ የጊዜ ማብቂያውን ጠራ። ፍርዱ ምንድን ነው?</v>
      </c>
      <c r="I26" s="11" t="str">
        <f>IFERROR(__xludf.DUMMYFUNCTION("GOOGLETRANSLATE(C26, ""en"", ""am"")"),"ሀ. ነጥቦቹ አሁንም ተሰጥተዋል.B. ምንም ነጥብ አይሰጥም.ሲ. ጨዋታው ቆሟል እና ነጥቦች እንደገና ይገመገማሉ.ዲ. ተጫዋቹ ውድቅ ተደርጓል።")</f>
        <v>ሀ. ነጥቦቹ አሁንም ተሰጥተዋል.B. ምንም ነጥብ አይሰጥም.ሲ. ጨዋታው ቆሟል እና ነጥቦች እንደገና ይገመገማሉ.ዲ. ተጫዋቹ ውድቅ ተደርጓል።</v>
      </c>
      <c r="J26" s="11" t="str">
        <f>IFERROR(__xludf.DUMMYFUNCTION("GOOGLETRANSLATE(D26, ""en"", ""am"")"),"ነጥቦቹ አሁንም ተሰጥተዋል.")</f>
        <v>ነጥቦቹ አሁንም ተሰጥተዋል.</v>
      </c>
      <c r="K26" s="11" t="str">
        <f>IFERROR(__xludf.DUMMYFUNCTION("GOOGLETRANSLATE(E26, ""en"", ""am"")"),"መምታቱ ትክክል ከሆነ የጥሪው ጊዜ ውጤቱን አይጎዳውም.")</f>
        <v>መምታቱ ትክክል ከሆነ የጥሪው ጊዜ ውጤቱን አይጎዳውም.</v>
      </c>
    </row>
    <row r="27" ht="22.5" customHeight="1">
      <c r="A27" s="10">
        <v>26.0</v>
      </c>
      <c r="B27" s="11" t="s">
        <v>617</v>
      </c>
      <c r="C27" s="11" t="s">
        <v>618</v>
      </c>
      <c r="D27" s="11" t="s">
        <v>530</v>
      </c>
      <c r="E27" s="11" t="s">
        <v>619</v>
      </c>
      <c r="G27" s="11" t="str">
        <f>IFERROR(__xludf.DUMMYFUNCTION("GOOGLETRANSLATE(A27, ""en"", ""am"")"),"26")</f>
        <v>26</v>
      </c>
      <c r="H27" s="11" t="str">
        <f>IFERROR(__xludf.DUMMYFUNCTION("GOOGLETRANSLATE(B27, ""en"", ""am"")"),"አንድ ተጫዋች ጦር ወርውሮ ከዒላማው ርቆ ቢያርፍም ነፋሱ እንደነካው ይከራከራሉ። ዳኛው ምን ይወስናል?")</f>
        <v>አንድ ተጫዋች ጦር ወርውሮ ከዒላማው ርቆ ቢያርፍም ነፋሱ እንደነካው ይከራከራሉ። ዳኛው ምን ይወስናል?</v>
      </c>
      <c r="I27" s="11" t="str">
        <f>IFERROR(__xludf.DUMMYFUNCTION("GOOGLETRANSLATE(C27, ""en"", ""am"")"),"ሀ. በነፋስ ተፅዕኖ ላይ የተመሰረተ የሽልማት ነጥቦች. ምንም ነጥብ አይሰጥም.ሲ. ተጫዋቹ እንደገና እንዲሞክር ይፍቀዱለት።ዲ. በቅርብ ለማስወገድ ከፊል ነጥቦችን ይሸልሙ")</f>
        <v>ሀ. በነፋስ ተፅዕኖ ላይ የተመሰረተ የሽልማት ነጥቦች. ምንም ነጥብ አይሰጥም.ሲ. ተጫዋቹ እንደገና እንዲሞክር ይፍቀዱለት።ዲ. በቅርብ ለማስወገድ ከፊል ነጥቦችን ይሸልሙ</v>
      </c>
      <c r="J27" s="11" t="str">
        <f>IFERROR(__xludf.DUMMYFUNCTION("GOOGLETRANSLATE(D27, ""en"", ""am"")"),"ምንም ነጥብ አይሰጥም.")</f>
        <v>ምንም ነጥብ አይሰጥም.</v>
      </c>
      <c r="K27" s="11" t="str">
        <f>IFERROR(__xludf.DUMMYFUNCTION("GOOGLETRANSLATE(E27, ""en"", ""am"")"),"ንፋሱ ግቡን ለማጣት ትክክለኛ ምክንያት ተደርጎ አይቆጠርም።")</f>
        <v>ንፋሱ ግቡን ለማጣት ትክክለኛ ምክንያት ተደርጎ አይቆጠርም።</v>
      </c>
    </row>
    <row r="28" ht="22.5" customHeight="1">
      <c r="A28" s="10">
        <v>27.0</v>
      </c>
      <c r="B28" s="11" t="s">
        <v>620</v>
      </c>
      <c r="C28" s="11" t="s">
        <v>621</v>
      </c>
      <c r="D28" s="11" t="s">
        <v>530</v>
      </c>
      <c r="E28" s="11" t="s">
        <v>622</v>
      </c>
      <c r="G28" s="11" t="str">
        <f>IFERROR(__xludf.DUMMYFUNCTION("GOOGLETRANSLATE(A28, ""en"", ""am"")"),"27")</f>
        <v>27</v>
      </c>
      <c r="H28" s="11" t="str">
        <f>IFERROR(__xludf.DUMMYFUNCTION("GOOGLETRANSLATE(B28, ""en"", ""am"")"),"ተጫዋቹ በታላቅ ሃይል ጦራቸውን ቢወረውሩም ኢላማውን ሙሉ በሙሉ አምልጦታል። ምን ይሆናል?")</f>
        <v>ተጫዋቹ በታላቅ ሃይል ጦራቸውን ቢወረውሩም ኢላማውን ሙሉ በሙሉ አምልጦታል። ምን ይሆናል?</v>
      </c>
      <c r="I28" s="11" t="str">
        <f>IFERROR(__xludf.DUMMYFUNCTION("GOOGLETRANSLATE(C28, ""en"", ""am"")"),"ሀ. ምንም ነጥብ አይሰጥም.ቢ. እንደገና እንዲሞክር ያደርጉታል። ነጥቦች ለጠንካራ ውርወራ ተሰጥተዋል.ዲ. ለጥረት ከፊል ነጥቦችን ይሸልሙ")</f>
        <v>ሀ. ምንም ነጥብ አይሰጥም.ቢ. እንደገና እንዲሞክር ያደርጉታል። ነጥቦች ለጠንካራ ውርወራ ተሰጥተዋል.ዲ. ለጥረት ከፊል ነጥቦችን ይሸልሙ</v>
      </c>
      <c r="J28" s="11" t="str">
        <f>IFERROR(__xludf.DUMMYFUNCTION("GOOGLETRANSLATE(D28, ""en"", ""am"")"),"ምንም ነጥብ አይሰጥም.")</f>
        <v>ምንም ነጥብ አይሰጥም.</v>
      </c>
      <c r="K28" s="11" t="str">
        <f>IFERROR(__xludf.DUMMYFUNCTION("GOOGLETRANSLATE(E28, ""en"", ""am"")"),"ምንም ነገር ሳይመታ ብዙ ኢላማዎችን መተኮስ ምንም ነጥብ አያስገኝም።")</f>
        <v>ምንም ነገር ሳይመታ ብዙ ኢላማዎችን መተኮስ ምንም ነጥብ አያስገኝም።</v>
      </c>
    </row>
    <row r="29" ht="22.5" customHeight="1">
      <c r="A29" s="10">
        <v>28.0</v>
      </c>
      <c r="B29" s="11" t="s">
        <v>623</v>
      </c>
      <c r="C29" s="11" t="s">
        <v>624</v>
      </c>
      <c r="D29" s="11" t="s">
        <v>541</v>
      </c>
      <c r="E29" s="11" t="s">
        <v>625</v>
      </c>
      <c r="G29" s="11" t="str">
        <f>IFERROR(__xludf.DUMMYFUNCTION("GOOGLETRANSLATE(A29, ""en"", ""am"")"),"28")</f>
        <v>28</v>
      </c>
      <c r="H29" s="11" t="str">
        <f>IFERROR(__xludf.DUMMYFUNCTION("GOOGLETRANSLATE(B29, ""en"", ""am"")"),"በመዞሩ ወቅት የተጫዋቹ ፈረስ ቋጥኝ ላይ ወጣ እና ተሰናክሏል፣ በዚህም ምክንያት መጣል ያመለጠ። ምን ይሆናል?")</f>
        <v>በመዞሩ ወቅት የተጫዋቹ ፈረስ ቋጥኝ ላይ ወጣ እና ተሰናክሏል፣ በዚህም ምክንያት መጣል ያመለጠ። ምን ይሆናል?</v>
      </c>
      <c r="I29" s="11" t="str">
        <f>IFERROR(__xludf.DUMMYFUNCTION("GOOGLETRANSLATE(C29, ""en"", ""am"")"),"ሀ. እንደገና እንዲሞክር ይፈቅዱለታል.B. ምንም ነጥብ አልተሰጠም.ሲ. ተጫዋቹን ውድቅ.ዲ. ጨዋታውን ለአፍታ አቁም እና ሁኔታውን ገምግም።")</f>
        <v>ሀ. እንደገና እንዲሞክር ይፈቅዱለታል.B. ምንም ነጥብ አልተሰጠም.ሲ. ተጫዋቹን ውድቅ.ዲ. ጨዋታውን ለአፍታ አቁም እና ሁኔታውን ገምግም።</v>
      </c>
      <c r="J29" s="11" t="str">
        <f>IFERROR(__xludf.DUMMYFUNCTION("GOOGLETRANSLATE(D29, ""en"", ""am"")"),"እንደገና እንዲሞክር ያደርጉታል።")</f>
        <v>እንደገና እንዲሞክር ያደርጉታል።</v>
      </c>
      <c r="K29" s="11" t="str">
        <f>IFERROR(__xludf.DUMMYFUNCTION("GOOGLETRANSLATE(E29, ""en"", ""am"")"),"ያልታሰበ ውድቀት ተጫዋቹ እንደገና እንዲሞክር ያስችለዋል።")</f>
        <v>ያልታሰበ ውድቀት ተጫዋቹ እንደገና እንዲሞክር ያስችለዋል።</v>
      </c>
    </row>
    <row r="30" ht="22.5" customHeight="1">
      <c r="A30" s="10">
        <v>29.0</v>
      </c>
      <c r="B30" s="11" t="s">
        <v>626</v>
      </c>
      <c r="C30" s="11" t="s">
        <v>627</v>
      </c>
      <c r="D30" s="11" t="s">
        <v>628</v>
      </c>
      <c r="E30" s="11" t="s">
        <v>629</v>
      </c>
      <c r="G30" s="11" t="str">
        <f>IFERROR(__xludf.DUMMYFUNCTION("GOOGLETRANSLATE(A30, ""en"", ""am"")"),"29")</f>
        <v>29</v>
      </c>
      <c r="H30" s="11" t="str">
        <f>IFERROR(__xludf.DUMMYFUNCTION("GOOGLETRANSLATE(B30, ""en"", ""am"")"),"ተጫዋቹ ጦራቸውን ወረወረው እና ተመልካቹን መታው። ውጤቱስ ምንድን ነው?")</f>
        <v>ተጫዋቹ ጦራቸውን ወረወረው እና ተመልካቹን መታው። ውጤቱስ ምንድን ነው?</v>
      </c>
      <c r="I30" s="11" t="str">
        <f>IFERROR(__xludf.DUMMYFUNCTION("GOOGLETRANSLATE(C30, ""en"", ""am"")"),"ሀ. ጨዋታውን ለአፍታ አቁም እና ሁኔታውን ገምግም.ቢ. የሽልማት ነጥቦች ለ hitsC. ተጫዋቹን ውድቅ.ዲ. መወርወሩን እንደገና ይገምግሙ።")</f>
        <v>ሀ. ጨዋታውን ለአፍታ አቁም እና ሁኔታውን ገምግም.ቢ. የሽልማት ነጥቦች ለ hitsC. ተጫዋቹን ውድቅ.ዲ. መወርወሩን እንደገና ይገምግሙ።</v>
      </c>
      <c r="J30" s="11" t="str">
        <f>IFERROR(__xludf.DUMMYFUNCTION("GOOGLETRANSLATE(D30, ""en"", ""am"")"),"ጨዋታውን ለአፍታ አቁም እና ሁኔታውን ገምግም።")</f>
        <v>ጨዋታውን ለአፍታ አቁም እና ሁኔታውን ገምግም።</v>
      </c>
      <c r="K30" s="11" t="str">
        <f>IFERROR(__xludf.DUMMYFUNCTION("GOOGLETRANSLATE(E30, ""en"", ""am"")"),"የደህንነት ስጋቶች ቅድሚያ ይሰጣሉ፣ ስለዚህ ጨዋታው ቆሟል።")</f>
        <v>የደህንነት ስጋቶች ቅድሚያ ይሰጣሉ፣ ስለዚህ ጨዋታው ቆሟል።</v>
      </c>
    </row>
    <row r="31" ht="22.5" customHeight="1">
      <c r="A31" s="10">
        <v>30.0</v>
      </c>
      <c r="B31" s="11" t="s">
        <v>630</v>
      </c>
      <c r="C31" s="11" t="s">
        <v>631</v>
      </c>
      <c r="D31" s="11" t="s">
        <v>571</v>
      </c>
      <c r="E31" s="11" t="s">
        <v>632</v>
      </c>
      <c r="G31" s="11" t="str">
        <f>IFERROR(__xludf.DUMMYFUNCTION("GOOGLETRANSLATE(A31, ""en"", ""am"")"),"30")</f>
        <v>30</v>
      </c>
      <c r="H31" s="11" t="str">
        <f>IFERROR(__xludf.DUMMYFUNCTION("GOOGLETRANSLATE(B31, ""en"", ""am"")"),"ተጫዋቹ ጦሩን ቢወረውር እንኳ ይህን ከማድረግ በፊት መውረድ ይረሳል። ዳኛው ምን ይገዛል?")</f>
        <v>ተጫዋቹ ጦሩን ቢወረውር እንኳ ይህን ከማድረግ በፊት መውረድ ይረሳል። ዳኛው ምን ይገዛል?</v>
      </c>
      <c r="I31" s="11" t="str">
        <f>IFERROR(__xludf.DUMMYFUNCTION("GOOGLETRANSLATE(C31, ""en"", ""am"")"),"ሀ. ተጫዋቹን ውድቅ ማድረግ.B. ለሙከራው የሽልማት ነጥቦች ሲ. ከተነሱ በኋላ ተጫዋቹ እንደገና እንዲሞክር ይፍቀዱለት.ዲ. ለመስተካከያዎች ጨዋታውን ለአፍታ ያቁሙት።")</f>
        <v>ሀ. ተጫዋቹን ውድቅ ማድረግ.B. ለሙከራው የሽልማት ነጥቦች ሲ. ከተነሱ በኋላ ተጫዋቹ እንደገና እንዲሞክር ይፍቀዱለት.ዲ. ለመስተካከያዎች ጨዋታውን ለአፍታ ያቁሙት።</v>
      </c>
      <c r="J31" s="11" t="str">
        <f>IFERROR(__xludf.DUMMYFUNCTION("GOOGLETRANSLATE(D31, ""en"", ""am"")"),"ተጫዋቹን ውድቅ ያድርጉት።")</f>
        <v>ተጫዋቹን ውድቅ ያድርጉት።</v>
      </c>
      <c r="K31" s="11" t="str">
        <f>IFERROR(__xludf.DUMMYFUNCTION("GOOGLETRANSLATE(E31, ""en"", ""am"")"),"ከመወርወር በፊት ማራገፍ ግዴታ ነው.")</f>
        <v>ከመወርወር በፊት ማራገፍ ግዴታ ነው.</v>
      </c>
    </row>
    <row r="32" ht="22.5" customHeight="1">
      <c r="A32" s="10">
        <v>31.0</v>
      </c>
      <c r="B32" s="11" t="s">
        <v>633</v>
      </c>
      <c r="C32" s="11" t="s">
        <v>634</v>
      </c>
      <c r="D32" s="11" t="s">
        <v>530</v>
      </c>
      <c r="E32" s="11" t="s">
        <v>635</v>
      </c>
      <c r="G32" s="11" t="str">
        <f>IFERROR(__xludf.DUMMYFUNCTION("GOOGLETRANSLATE(A32, ""en"", ""am"")"),"31")</f>
        <v>31</v>
      </c>
      <c r="H32" s="11" t="str">
        <f>IFERROR(__xludf.DUMMYFUNCTION("GOOGLETRANSLATE(B32, ""en"", ""am"")"),"የተጫዋቹ መሳሪያ ኢላማውን ስቶታል ግን አይመታውም። ምን ይሆናል?")</f>
        <v>የተጫዋቹ መሳሪያ ኢላማውን ስቶታል ግን አይመታውም። ምን ይሆናል?</v>
      </c>
      <c r="I32" s="11" t="str">
        <f>IFERROR(__xludf.DUMMYFUNCTION("GOOGLETRANSLATE(C32, ""en"", ""am"")"),"ሀ. ምንም ነጥብ አይሰጥም.ቢ. ለቅርብ ኪሳራ የሽልማት ነጥቦች. እንደገና ልሞክር።D. ከፊል ሽልማት ነጥቦች")</f>
        <v>ሀ. ምንም ነጥብ አይሰጥም.ቢ. ለቅርብ ኪሳራ የሽልማት ነጥቦች. እንደገና ልሞክር።D. ከፊል ሽልማት ነጥቦች</v>
      </c>
      <c r="J32" s="11" t="str">
        <f>IFERROR(__xludf.DUMMYFUNCTION("GOOGLETRANSLATE(D32, ""en"", ""am"")"),"ምንም ነጥብ አይሰጥም.")</f>
        <v>ምንም ነጥብ አይሰጥም.</v>
      </c>
      <c r="K32" s="11" t="str">
        <f>IFERROR(__xludf.DUMMYFUNCTION("GOOGLETRANSLATE(E32, ""en"", ""am"")"),"አንድ ውርወራ ዒላማውን መምታት ወይም ነጥብ ለማስቆጠር በሚያስችለው ቦታ ላይ ማረፍ አለበት።")</f>
        <v>አንድ ውርወራ ዒላማውን መምታት ወይም ነጥብ ለማስቆጠር በሚያስችለው ቦታ ላይ ማረፍ አለበት።</v>
      </c>
    </row>
    <row r="33" ht="22.5" customHeight="1">
      <c r="A33" s="10">
        <v>32.0</v>
      </c>
      <c r="B33" s="11" t="s">
        <v>636</v>
      </c>
      <c r="C33" s="11" t="s">
        <v>637</v>
      </c>
      <c r="D33" s="11" t="s">
        <v>571</v>
      </c>
      <c r="E33" s="11" t="s">
        <v>638</v>
      </c>
      <c r="G33" s="11" t="str">
        <f>IFERROR(__xludf.DUMMYFUNCTION("GOOGLETRANSLATE(A33, ""en"", ""am"")"),"32")</f>
        <v>32</v>
      </c>
      <c r="H33" s="11" t="str">
        <f>IFERROR(__xludf.DUMMYFUNCTION("GOOGLETRANSLATE(B33, ""en"", ""am"")"),"አንድ ተጫዋች ጦሩን ከመወርወሩ በፊት ሆን ብሎ የዒላማውን ቦታ ያስተካክላል. ምን ይሆናል?")</f>
        <v>አንድ ተጫዋች ጦሩን ከመወርወሩ በፊት ሆን ብሎ የዒላማውን ቦታ ያስተካክላል. ምን ይሆናል?</v>
      </c>
      <c r="I33" s="11" t="str">
        <f>IFERROR(__xludf.DUMMYFUNCTION("GOOGLETRANSLATE(C33, ""en"", ""am"")"),"ሀ. ተጫዋቹን ውድቅ ማድረግ.B. ዒላማው ከተመታ ነጥቦችን ይሸልሙ። እንደገና ለመጀመር ጨዋታውን ለአፍታ ያቁሙ።D. እንደገና ልሞክር።")</f>
        <v>ሀ. ተጫዋቹን ውድቅ ማድረግ.B. ዒላማው ከተመታ ነጥቦችን ይሸልሙ። እንደገና ለመጀመር ጨዋታውን ለአፍታ ያቁሙ።D. እንደገና ልሞክር።</v>
      </c>
      <c r="J33" s="11" t="str">
        <f>IFERROR(__xludf.DUMMYFUNCTION("GOOGLETRANSLATE(D33, ""en"", ""am"")"),"ተጫዋቹን ውድቅ ያድርጉት።")</f>
        <v>ተጫዋቹን ውድቅ ያድርጉት።</v>
      </c>
      <c r="K33" s="11" t="str">
        <f>IFERROR(__xludf.DUMMYFUNCTION("GOOGLETRANSLATE(E33, ""en"", ""am"")"),"ዒላማውን መጣስ ውጤቱን ማጣት ያስከትላል.")</f>
        <v>ዒላማውን መጣስ ውጤቱን ማጣት ያስከትላል.</v>
      </c>
    </row>
    <row r="34" ht="22.5" customHeight="1">
      <c r="A34" s="10">
        <v>33.0</v>
      </c>
      <c r="B34" s="11" t="s">
        <v>639</v>
      </c>
      <c r="C34" s="11" t="s">
        <v>640</v>
      </c>
      <c r="D34" s="11" t="s">
        <v>530</v>
      </c>
      <c r="E34" s="11" t="s">
        <v>641</v>
      </c>
      <c r="G34" s="11" t="str">
        <f>IFERROR(__xludf.DUMMYFUNCTION("GOOGLETRANSLATE(A34, ""en"", ""am"")"),"33")</f>
        <v>33</v>
      </c>
      <c r="H34" s="11" t="str">
        <f>IFERROR(__xludf.DUMMYFUNCTION("GOOGLETRANSLATE(B34, ""en"", ""am"")"),"የተጫዋች መሳሪያ ኢላማውን ቢመታም ሳይጣበቅ ወደ ላይ ይወጣል። ፍርዱ ምንድን ነው?")</f>
        <v>የተጫዋች መሳሪያ ኢላማውን ቢመታም ሳይጣበቅ ወደ ላይ ይወጣል። ፍርዱ ምንድን ነው?</v>
      </c>
      <c r="I34" s="11" t="str">
        <f>IFERROR(__xludf.DUMMYFUNCTION("GOOGLETRANSLATE(C34, ""en"", ""am"")"),"ሀ. ምንም ነጥብ አልተሰጠም.B. ከፊል ሽልማት ነጥቦች ሐ. ግቡን ለመምታት የሽልማት ነጥቦች. እንደገና ልሞክር።")</f>
        <v>ሀ. ምንም ነጥብ አልተሰጠም.B. ከፊል ሽልማት ነጥቦች ሐ. ግቡን ለመምታት የሽልማት ነጥቦች. እንደገና ልሞክር።</v>
      </c>
      <c r="J34" s="11" t="str">
        <f>IFERROR(__xludf.DUMMYFUNCTION("GOOGLETRANSLATE(D34, ""en"", ""am"")"),"ምንም ነጥብ አይሰጥም.")</f>
        <v>ምንም ነጥብ አይሰጥም.</v>
      </c>
      <c r="K34" s="11" t="str">
        <f>IFERROR(__xludf.DUMMYFUNCTION("GOOGLETRANSLATE(E34, ""en"", ""am"")"),"ጦሩ ነጥብ ለማግኘት ከዒላማው ጋር መጣበቅ አለበት።")</f>
        <v>ጦሩ ነጥብ ለማግኘት ከዒላማው ጋር መጣበቅ አለበት።</v>
      </c>
    </row>
    <row r="35" ht="22.5" customHeight="1">
      <c r="A35" s="10">
        <v>34.0</v>
      </c>
      <c r="B35" s="11" t="s">
        <v>642</v>
      </c>
      <c r="C35" s="11" t="s">
        <v>643</v>
      </c>
      <c r="D35" s="11" t="s">
        <v>541</v>
      </c>
      <c r="E35" s="11" t="s">
        <v>644</v>
      </c>
      <c r="G35" s="11" t="str">
        <f>IFERROR(__xludf.DUMMYFUNCTION("GOOGLETRANSLATE(A35, ""en"", ""am"")"),"34")</f>
        <v>34</v>
      </c>
      <c r="H35" s="11" t="str">
        <f>IFERROR(__xludf.DUMMYFUNCTION("GOOGLETRANSLATE(B35, ""en"", ""am"")"),"የተጫዋች ፈረስ መጥፎ ባህሪ በማሳየቱ ለመንቀሳቀስ ፈቃደኛ ባለመሆኑ ተጫዋቹ ውርወራውን እንዲያጣ አድርጓል። ውሳኔው ምንድን ነው?")</f>
        <v>የተጫዋች ፈረስ መጥፎ ባህሪ በማሳየቱ ለመንቀሳቀስ ፈቃደኛ ባለመሆኑ ተጫዋቹ ውርወራውን እንዲያጣ አድርጓል። ውሳኔው ምንድን ነው?</v>
      </c>
      <c r="I35" s="11" t="str">
        <f>IFERROR(__xludf.DUMMYFUNCTION("GOOGLETRANSLATE(C35, ""en"", ""am"")"),"ሀ. እንደገና እንዲሞክር ይፈቅዱለታል.B. ተጫዋቹን ውድቅ ያድርጉት.ሲ. ምንም ነጥብ አይሰጥም.ዲ. ከፊል ሽልማት ነጥቦች")</f>
        <v>ሀ. እንደገና እንዲሞክር ይፈቅዱለታል.B. ተጫዋቹን ውድቅ ያድርጉት.ሲ. ምንም ነጥብ አይሰጥም.ዲ. ከፊል ሽልማት ነጥቦች</v>
      </c>
      <c r="J35" s="11" t="str">
        <f>IFERROR(__xludf.DUMMYFUNCTION("GOOGLETRANSLATE(D35, ""en"", ""am"")"),"እንደገና እንዲሞክር ያደርጉታል።")</f>
        <v>እንደገና እንዲሞክር ያደርጉታል።</v>
      </c>
      <c r="K35" s="11" t="str">
        <f>IFERROR(__xludf.DUMMYFUNCTION("GOOGLETRANSLATE(E35, ""en"", ""am"")"),"የፈረስ ባህሪው ጣልቃ ከገባ ተጫዋቹ እንደገና እንዲሞክር ይፈቀድለታል።")</f>
        <v>የፈረስ ባህሪው ጣልቃ ከገባ ተጫዋቹ እንደገና እንዲሞክር ይፈቀድለታል።</v>
      </c>
    </row>
    <row r="36" ht="22.5" customHeight="1">
      <c r="A36" s="10">
        <v>35.0</v>
      </c>
      <c r="B36" s="11" t="s">
        <v>645</v>
      </c>
      <c r="C36" s="11" t="s">
        <v>646</v>
      </c>
      <c r="D36" s="11" t="s">
        <v>582</v>
      </c>
      <c r="E36" s="11" t="s">
        <v>583</v>
      </c>
      <c r="G36" s="11" t="str">
        <f>IFERROR(__xludf.DUMMYFUNCTION("GOOGLETRANSLATE(A36, ""en"", ""am"")"),"35")</f>
        <v>35</v>
      </c>
      <c r="H36" s="11" t="str">
        <f>IFERROR(__xludf.DUMMYFUNCTION("GOOGLETRANSLATE(B36, ""en"", ""am"")"),"በመዞሩ ወቅት ተጫዋቹ ጦራቸውን ለመወርወር ሲዘጋጁ ጦራቸውን ይጥላሉ። ምን ይሆናል?")</f>
        <v>በመዞሩ ወቅት ተጫዋቹ ጦራቸውን ለመወርወር ሲዘጋጁ ጦራቸውን ይጥላሉ። ምን ይሆናል?</v>
      </c>
      <c r="I36" s="11" t="str">
        <f>IFERROR(__xludf.DUMMYFUNCTION("GOOGLETRANSLATE(C36, ""en"", ""am"")"),"ሀ. ምንም ነጥብ አይሰጥም.ቢ. ተጫዋቹ ተራውን ያጣል.ሲ. ተጫዋቹ እንደገና እንዲሞክር ይፍቀዱለት።ዲ. ለሙከራው የሽልማት ነጥቦች")</f>
        <v>ሀ. ምንም ነጥብ አይሰጥም.ቢ. ተጫዋቹ ተራውን ያጣል.ሲ. ተጫዋቹ እንደገና እንዲሞክር ይፍቀዱለት።ዲ. ለሙከራው የሽልማት ነጥቦች</v>
      </c>
      <c r="J36" s="11" t="str">
        <f>IFERROR(__xludf.DUMMYFUNCTION("GOOGLETRANSLATE(D36, ""en"", ""am"")"),"ተጫዋቹ ተራውን ያጣል።")</f>
        <v>ተጫዋቹ ተራውን ያጣል።</v>
      </c>
      <c r="K36" s="11" t="str">
        <f>IFERROR(__xludf.DUMMYFUNCTION("GOOGLETRANSLATE(E36, ""en"", ""am"")"),"ጦሩን መጣል ተራውን ማጣት ያስከትላል.")</f>
        <v>ጦሩን መጣል ተራውን ማጣት ያስከትላል.</v>
      </c>
    </row>
    <row r="37" ht="22.5" customHeight="1">
      <c r="A37" s="10">
        <v>36.0</v>
      </c>
      <c r="B37" s="11" t="s">
        <v>647</v>
      </c>
      <c r="C37" s="11" t="s">
        <v>648</v>
      </c>
      <c r="D37" s="11" t="s">
        <v>649</v>
      </c>
      <c r="E37" s="11" t="s">
        <v>650</v>
      </c>
      <c r="G37" s="11" t="str">
        <f>IFERROR(__xludf.DUMMYFUNCTION("GOOGLETRANSLATE(A37, ""en"", ""am"")"),"36")</f>
        <v>36</v>
      </c>
      <c r="H37" s="11" t="str">
        <f>IFERROR(__xludf.DUMMYFUNCTION("GOOGLETRANSLATE(B37, ""en"", ""am"")"),"አንድ ተጫዋች ኢላማውን ይመታል ነገር ግን ጦሩ ተጣብቆ ስለመሆኑ ግልጽ አይደለም. ዳኛው ምን ማድረግ አለበት?")</f>
        <v>አንድ ተጫዋች ኢላማውን ይመታል ነገር ግን ጦሩ ተጣብቆ ስለመሆኑ ግልጽ አይደለም. ዳኛው ምን ማድረግ አለበት?</v>
      </c>
      <c r="I37" s="11" t="str">
        <f>IFERROR(__xludf.DUMMYFUNCTION("GOOGLETRANSLATE(C37, ""en"", ""am"")"),"ሀ. በ hitB ላይ የተመሠረተ የሽልማት ነጥቦች። ግልጽ ላልሆኑ ውጤቶች ተጫዋቹን ውድቅ ያድርጉ። ጨዋታውን ለአፍታ ያቁሙ እና ይገምግሙ።D. ተጫዋቹ እንደገና ይሞክራል።")</f>
        <v>ሀ. በ hitB ላይ የተመሠረተ የሽልማት ነጥቦች። ግልጽ ላልሆኑ ውጤቶች ተጫዋቹን ውድቅ ያድርጉ። ጨዋታውን ለአፍታ ያቁሙ እና ይገምግሙ።D. ተጫዋቹ እንደገና ይሞክራል።</v>
      </c>
      <c r="J37" s="11" t="str">
        <f>IFERROR(__xludf.DUMMYFUNCTION("GOOGLETRANSLATE(D37, ""en"", ""am"")"),"ጨዋታውን ለአፍታ ያቁሙ እና ይገምግሙ።")</f>
        <v>ጨዋታውን ለአፍታ ያቁሙ እና ይገምግሙ።</v>
      </c>
      <c r="K37" s="11" t="str">
        <f>IFERROR(__xludf.DUMMYFUNCTION("GOOGLETRANSLATE(E37, ""en"", ""am"")"),"ዳኛው ትክክለኛ ምት መሆኑን ለማረጋገጥ ሁኔታውን መመርመር አለበት።")</f>
        <v>ዳኛው ትክክለኛ ምት መሆኑን ለማረጋገጥ ሁኔታውን መመርመር አለበት።</v>
      </c>
    </row>
    <row r="38" ht="22.5" customHeight="1">
      <c r="A38" s="10">
        <v>37.0</v>
      </c>
      <c r="B38" s="11" t="s">
        <v>651</v>
      </c>
      <c r="C38" s="11" t="s">
        <v>652</v>
      </c>
      <c r="D38" s="11" t="s">
        <v>653</v>
      </c>
      <c r="E38" s="11" t="s">
        <v>654</v>
      </c>
      <c r="G38" s="11" t="str">
        <f>IFERROR(__xludf.DUMMYFUNCTION("GOOGLETRANSLATE(A38, ""en"", ""am"")"),"37")</f>
        <v>37</v>
      </c>
      <c r="H38" s="11" t="str">
        <f>IFERROR(__xludf.DUMMYFUNCTION("GOOGLETRANSLATE(B38, ""en"", ""am"")"),"የተጫዋች ጦር በአጋጣሚ ኢላማውን ይመታል ነገር ግን ጨዋታው እየገፋ ሲሄድ ይወድቃል። ምን ይሆናል?")</f>
        <v>የተጫዋች ጦር በአጋጣሚ ኢላማውን ይመታል ነገር ግን ጨዋታው እየገፋ ሲሄድ ይወድቃል። ምን ይሆናል?</v>
      </c>
      <c r="I38" s="11" t="str">
        <f>IFERROR(__xludf.DUMMYFUNCTION("GOOGLETRANSLATE(C38, ""en"", ""am"")"),"ሀ. ከመጀመሪያ ቢ ጋር ከተጣበቁ የሽልማት ነጥቦች. ውርወራውን ውድቅ አድርግ.ሲ. ለተሞከረ ከፊል ነጥብ ሽልማት.ዲ. ምንም ነጥብ አልተሰጠም።")</f>
        <v>ሀ. ከመጀመሪያ ቢ ጋር ከተጣበቁ የሽልማት ነጥቦች. ውርወራውን ውድቅ አድርግ.ሲ. ለተሞከረ ከፊል ነጥብ ሽልማት.ዲ. ምንም ነጥብ አልተሰጠም።</v>
      </c>
      <c r="J38" s="11" t="str">
        <f>IFERROR(__xludf.DUMMYFUNCTION("GOOGLETRANSLATE(D38, ""en"", ""am"")"),"ከመጀመሪያው ጋር ከተጣበቁ የሽልማት ነጥቦች")</f>
        <v>ከመጀመሪያው ጋር ከተጣበቁ የሽልማት ነጥቦች</v>
      </c>
      <c r="K38" s="11" t="str">
        <f>IFERROR(__xludf.DUMMYFUNCTION("GOOGLETRANSLATE(E38, ""en"", ""am"")"),"ነጥቦቹ እንዲቆጠሩ ጦሩ በቦታው መቆየት አለበት.")</f>
        <v>ነጥቦቹ እንዲቆጠሩ ጦሩ በቦታው መቆየት አለበት.</v>
      </c>
    </row>
    <row r="39" ht="22.5" customHeight="1">
      <c r="A39" s="10">
        <v>38.0</v>
      </c>
      <c r="B39" s="11" t="s">
        <v>655</v>
      </c>
      <c r="C39" s="11" t="s">
        <v>656</v>
      </c>
      <c r="D39" s="11" t="s">
        <v>541</v>
      </c>
      <c r="E39" s="11" t="s">
        <v>657</v>
      </c>
      <c r="G39" s="11" t="str">
        <f>IFERROR(__xludf.DUMMYFUNCTION("GOOGLETRANSLATE(A39, ""en"", ""am"")"),"38")</f>
        <v>38</v>
      </c>
      <c r="H39" s="11" t="str">
        <f>IFERROR(__xludf.DUMMYFUNCTION("GOOGLETRANSLATE(B39, ""en"", ""am"")"),"የተጫዋቹ ፈረስ በውርወራ ጊዜ ይወድቃል ፣ ይህም አፈፃፀማቸውን ይነካል ። ዳኛው ምን ማድረግ አለበት?")</f>
        <v>የተጫዋቹ ፈረስ በውርወራ ጊዜ ይወድቃል ፣ ይህም አፈፃፀማቸውን ይነካል ። ዳኛው ምን ማድረግ አለበት?</v>
      </c>
      <c r="I39" s="11" t="str">
        <f>IFERROR(__xludf.DUMMYFUNCTION("GOOGLETRANSLATE(C39, ""en"", ""am"")"),"ሀ. ተጫዋቹ እንደገና እንዲሞክር ፍቀድለት። ለደህንነት ሲባል ጨዋታውን ለአፍታ አቁም.ሲ. ተጫዋቹን ውድቅ.ዲ. በመወርወር ላይ የተመሰረተ የሽልማት ነጥቦች")</f>
        <v>ሀ. ተጫዋቹ እንደገና እንዲሞክር ፍቀድለት። ለደህንነት ሲባል ጨዋታውን ለአፍታ አቁም.ሲ. ተጫዋቹን ውድቅ.ዲ. በመወርወር ላይ የተመሰረተ የሽልማት ነጥቦች</v>
      </c>
      <c r="J39" s="11" t="str">
        <f>IFERROR(__xludf.DUMMYFUNCTION("GOOGLETRANSLATE(D39, ""en"", ""am"")"),"እንደገና እንዲሞክር ያደርጉታል።")</f>
        <v>እንደገና እንዲሞክር ያደርጉታል።</v>
      </c>
      <c r="K39" s="11" t="str">
        <f>IFERROR(__xludf.DUMMYFUNCTION("GOOGLETRANSLATE(E39, ""en"", ""am"")"),"ተጫዋቹ ከወደቀ, እንደገና መሞከር ይችላል.")</f>
        <v>ተጫዋቹ ከወደቀ, እንደገና መሞከር ይችላል.</v>
      </c>
    </row>
    <row r="40" ht="22.5" customHeight="1">
      <c r="A40" s="10">
        <v>39.0</v>
      </c>
      <c r="B40" s="11" t="s">
        <v>658</v>
      </c>
      <c r="C40" s="11" t="s">
        <v>659</v>
      </c>
      <c r="D40" s="11" t="s">
        <v>530</v>
      </c>
      <c r="E40" s="11" t="s">
        <v>660</v>
      </c>
      <c r="G40" s="11" t="str">
        <f>IFERROR(__xludf.DUMMYFUNCTION("GOOGLETRANSLATE(A40, ""en"", ""am"")"),"39")</f>
        <v>39</v>
      </c>
      <c r="H40" s="11" t="str">
        <f>IFERROR(__xludf.DUMMYFUNCTION("GOOGLETRANSLATE(B40, ""en"", ""am"")"),"አንድ ተጫዋች ጦር ወርውሮ ኢላማውን ይመታል ግን አይጣበቅም። ቀጥሎ ምን ይሆናል?")</f>
        <v>አንድ ተጫዋች ጦር ወርውሮ ኢላማውን ይመታል ግን አይጣበቅም። ቀጥሎ ምን ይሆናል?</v>
      </c>
      <c r="I40" s="11" t="str">
        <f>IFERROR(__xludf.DUMMYFUNCTION("GOOGLETRANSLATE(C40, ""en"", ""am"")"),"ሀ. ምንም ነጥብ አይሰጥም.ቢ. ለ hittingC ከፊል ነጥቦችን ይሸልሙ። እንደገና ልሞክር።D. ለመምታት ሙሉ ነጥቦችን ይሸልሙ")</f>
        <v>ሀ. ምንም ነጥብ አይሰጥም.ቢ. ለ hittingC ከፊል ነጥቦችን ይሸልሙ። እንደገና ልሞክር።D. ለመምታት ሙሉ ነጥቦችን ይሸልሙ</v>
      </c>
      <c r="J40" s="11" t="str">
        <f>IFERROR(__xludf.DUMMYFUNCTION("GOOGLETRANSLATE(D40, ""en"", ""am"")"),"ምንም ነጥብ አይሰጥም.")</f>
        <v>ምንም ነጥብ አይሰጥም.</v>
      </c>
      <c r="K40" s="11" t="str">
        <f>IFERROR(__xludf.DUMMYFUNCTION("GOOGLETRANSLATE(E40, ""en"", ""am"")"),"ጦሩ ነጥብ ለማግኘት መጣበቅ አለበት።")</f>
        <v>ጦሩ ነጥብ ለማግኘት መጣበቅ አለበት።</v>
      </c>
    </row>
    <row r="41" ht="22.5" customHeight="1">
      <c r="A41" s="10">
        <v>40.0</v>
      </c>
      <c r="B41" s="11" t="s">
        <v>661</v>
      </c>
      <c r="C41" s="11" t="s">
        <v>662</v>
      </c>
      <c r="D41" s="11" t="s">
        <v>663</v>
      </c>
      <c r="E41" s="11" t="s">
        <v>664</v>
      </c>
      <c r="G41" s="11" t="str">
        <f>IFERROR(__xludf.DUMMYFUNCTION("GOOGLETRANSLATE(A41, ""en"", ""am"")"),"40")</f>
        <v>40</v>
      </c>
      <c r="H41" s="11" t="str">
        <f>IFERROR(__xludf.DUMMYFUNCTION("GOOGLETRANSLATE(B41, ""en"", ""am"")"),"አንድ ተጫዋች ጦሩ መቆጠር ሲገባው በዳኛው አልተቆጠረም ሲል ተከራክሯል። ምን ይሆናል?")</f>
        <v>አንድ ተጫዋች ጦሩ መቆጠር ሲገባው በዳኛው አልተቆጠረም ሲል ተከራክሯል። ምን ይሆናል?</v>
      </c>
      <c r="I41" s="11" t="str">
        <f>IFERROR(__xludf.DUMMYFUNCTION("GOOGLETRANSLATE(C41, ""en"", ""am"")"),"ሀ. ውርወራውን እንደገና ገምግመው.B. ተጫዋቹን ውድቅ ያድርጉት.ሲ. በክርክሩ መሰረት ነጥቦቹን ስጡ.ዲ. ጨዋታውን ለአፍታ ያቁሙ እና ይገምግሙ።")</f>
        <v>ሀ. ውርወራውን እንደገና ገምግመው.B. ተጫዋቹን ውድቅ ያድርጉት.ሲ. በክርክሩ መሰረት ነጥቦቹን ስጡ.ዲ. ጨዋታውን ለአፍታ ያቁሙ እና ይገምግሙ።</v>
      </c>
      <c r="J41" s="11" t="str">
        <f>IFERROR(__xludf.DUMMYFUNCTION("GOOGLETRANSLATE(D41, ""en"", ""am"")"),"መወርወሩን እንደገና ይገምግሙ።")</f>
        <v>መወርወሩን እንደገና ይገምግሙ።</v>
      </c>
      <c r="K41" s="11" t="str">
        <f>IFERROR(__xludf.DUMMYFUNCTION("GOOGLETRANSLATE(E41, ""en"", ""am"")"),"ዳኛው የክርክር ውርወራዎችን እንደገና መገምገም አለበት።")</f>
        <v>ዳኛው የክርክር ውርወራዎችን እንደገና መገምገም አለበት።</v>
      </c>
    </row>
    <row r="42" ht="22.5" customHeight="1">
      <c r="A42" s="10">
        <v>41.0</v>
      </c>
      <c r="B42" s="11" t="s">
        <v>665</v>
      </c>
      <c r="C42" s="11" t="s">
        <v>666</v>
      </c>
      <c r="D42" s="11" t="s">
        <v>530</v>
      </c>
      <c r="E42" s="11" t="s">
        <v>667</v>
      </c>
      <c r="G42" s="11" t="str">
        <f>IFERROR(__xludf.DUMMYFUNCTION("GOOGLETRANSLATE(A42, ""en"", ""am"")"),"41")</f>
        <v>41</v>
      </c>
      <c r="H42" s="11" t="str">
        <f>IFERROR(__xludf.DUMMYFUNCTION("GOOGLETRANSLATE(B42, ""en"", ""am"")"),"የተጫዋች መሳሪያ ኢላማውን ቢመታም ወዲያው ወድቋል። ምን ይሆናል?")</f>
        <v>የተጫዋች መሳሪያ ኢላማውን ቢመታም ወዲያው ወድቋል። ምን ይሆናል?</v>
      </c>
      <c r="I42" s="11" t="str">
        <f>IFERROR(__xludf.DUMMYFUNCTION("GOOGLETRANSLATE(C42, ""en"", ""am"")"),"ሀ. ምንም ነጥብ አይሰጥም.ቢ. በመነሻ contactC ላይ በመመስረት የሽልማት ነጥቦች። ተጫዋቹ እንደገና እንዲሞክር ይፍቀዱለት።ዲ. ከፊል ሽልማት ነጥቦች")</f>
        <v>ሀ. ምንም ነጥብ አይሰጥም.ቢ. በመነሻ contactC ላይ በመመስረት የሽልማት ነጥቦች። ተጫዋቹ እንደገና እንዲሞክር ይፍቀዱለት።ዲ. ከፊል ሽልማት ነጥቦች</v>
      </c>
      <c r="J42" s="11" t="str">
        <f>IFERROR(__xludf.DUMMYFUNCTION("GOOGLETRANSLATE(D42, ""en"", ""am"")"),"ምንም ነጥብ አይሰጥም.")</f>
        <v>ምንም ነጥብ አይሰጥም.</v>
      </c>
      <c r="K42" s="11" t="str">
        <f>IFERROR(__xludf.DUMMYFUNCTION("GOOGLETRANSLATE(E42, ""en"", ""am"")"),"ጎል ለማስቆጠር ቀስቱ በዒላማው ላይ መቆየት አለበት።")</f>
        <v>ጎል ለማስቆጠር ቀስቱ በዒላማው ላይ መቆየት አለበት።</v>
      </c>
    </row>
    <row r="43" ht="22.5" customHeight="1">
      <c r="A43" s="10">
        <v>42.0</v>
      </c>
      <c r="B43" s="11" t="s">
        <v>668</v>
      </c>
      <c r="C43" s="11" t="s">
        <v>669</v>
      </c>
      <c r="D43" s="11" t="s">
        <v>530</v>
      </c>
      <c r="E43" s="11" t="s">
        <v>670</v>
      </c>
      <c r="G43" s="11" t="str">
        <f>IFERROR(__xludf.DUMMYFUNCTION("GOOGLETRANSLATE(A43, ""en"", ""am"")"),"42")</f>
        <v>42</v>
      </c>
      <c r="H43" s="11" t="str">
        <f>IFERROR(__xludf.DUMMYFUNCTION("GOOGLETRANSLATE(B43, ""en"", ""am"")"),"ተጫዋቹ ጦሩን ቢወረውርም ከተመደበው ቦታ ውጭ ያርፋል። ውሳኔው ምንድን ነው?")</f>
        <v>ተጫዋቹ ጦሩን ቢወረውርም ከተመደበው ቦታ ውጭ ያርፋል። ውሳኔው ምንድን ነው?</v>
      </c>
      <c r="I43" s="11" t="str">
        <f>IFERROR(__xludf.DUMMYFUNCTION("GOOGLETRANSLATE(C43, ""en"", ""am"")"),"ሀ. የሽልማት ነጥቦች ለቅርብ መወርወሪያዎች. ምንም ነጥብ አይሰጥም.ሲ. እንደገና ልሞክር።D. ተጫዋቹን ውድቅ ያድርጉት።")</f>
        <v>ሀ. የሽልማት ነጥቦች ለቅርብ መወርወሪያዎች. ምንም ነጥብ አይሰጥም.ሲ. እንደገና ልሞክር።D. ተጫዋቹን ውድቅ ያድርጉት።</v>
      </c>
      <c r="J43" s="11" t="str">
        <f>IFERROR(__xludf.DUMMYFUNCTION("GOOGLETRANSLATE(D43, ""en"", ""am"")"),"ምንም ነጥብ አይሰጥም.")</f>
        <v>ምንም ነጥብ አይሰጥም.</v>
      </c>
      <c r="K43" s="11" t="str">
        <f>IFERROR(__xludf.DUMMYFUNCTION("GOOGLETRANSLATE(E43, ""en"", ""am"")"),"ጦሩ ጎል ለማስቆጠር ሜዳ ላይ ማረፍ አለበት።")</f>
        <v>ጦሩ ጎል ለማስቆጠር ሜዳ ላይ ማረፍ አለበት።</v>
      </c>
    </row>
    <row r="44" ht="22.5" customHeight="1">
      <c r="A44" s="10">
        <v>43.0</v>
      </c>
      <c r="B44" s="11" t="s">
        <v>671</v>
      </c>
      <c r="C44" s="11" t="s">
        <v>672</v>
      </c>
      <c r="D44" s="11" t="s">
        <v>530</v>
      </c>
      <c r="E44" s="11" t="s">
        <v>673</v>
      </c>
      <c r="G44" s="11" t="str">
        <f>IFERROR(__xludf.DUMMYFUNCTION("GOOGLETRANSLATE(A44, ""en"", ""am"")"),"43")</f>
        <v>43</v>
      </c>
      <c r="H44" s="11" t="str">
        <f>IFERROR(__xludf.DUMMYFUNCTION("GOOGLETRANSLATE(B44, ""en"", ""am"")"),"አንድ ተጫዋች ለመጣል ቢሞክርም ጦሩ ለመቁጠር ወደ ኢላማው በጣም ቅርብ ነበር። ፍርዱ ምንድን ነው?")</f>
        <v>አንድ ተጫዋች ለመጣል ቢሞክርም ጦሩ ለመቁጠር ወደ ኢላማው በጣም ቅርብ ነበር። ፍርዱ ምንድን ነው?</v>
      </c>
      <c r="I44" s="11" t="str">
        <f>IFERROR(__xludf.DUMMYFUNCTION("GOOGLETRANSLATE(C44, ""en"", ""am"")"),"ሀ. ከፊል ሽልማት ነጥቦችB. እንደገና ልሞክር።C. ምንም ነጥብ አይሰጥም.ዲ. ሙሉ ነጥብ ሽልማት")</f>
        <v>ሀ. ከፊል ሽልማት ነጥቦችB. እንደገና ልሞክር።C. ምንም ነጥብ አይሰጥም.ዲ. ሙሉ ነጥብ ሽልማት</v>
      </c>
      <c r="J44" s="11" t="str">
        <f>IFERROR(__xludf.DUMMYFUNCTION("GOOGLETRANSLATE(D44, ""en"", ""am"")"),"ምንም ነጥብ አይሰጥም.")</f>
        <v>ምንም ነጥብ አይሰጥም.</v>
      </c>
      <c r="K44" s="11" t="str">
        <f>IFERROR(__xludf.DUMMYFUNCTION("GOOGLETRANSLATE(E44, ""en"", ""am"")"),"ጦሩ ተጣብቆ ወይም በዒላማው ቦታ ላይ ማረፍ አለበት.")</f>
        <v>ጦሩ ተጣብቆ ወይም በዒላማው ቦታ ላይ ማረፍ አለበት.</v>
      </c>
    </row>
    <row r="45" ht="22.5" customHeight="1">
      <c r="A45" s="10">
        <v>44.0</v>
      </c>
      <c r="B45" s="11" t="s">
        <v>674</v>
      </c>
      <c r="C45" s="11" t="s">
        <v>675</v>
      </c>
      <c r="D45" s="11" t="s">
        <v>541</v>
      </c>
      <c r="E45" s="11" t="s">
        <v>676</v>
      </c>
      <c r="G45" s="11" t="str">
        <f>IFERROR(__xludf.DUMMYFUNCTION("GOOGLETRANSLATE(A45, ""en"", ""am"")"),"44")</f>
        <v>44</v>
      </c>
      <c r="H45" s="11" t="str">
        <f>IFERROR(__xludf.DUMMYFUNCTION("GOOGLETRANSLATE(B45, ""en"", ""am"")"),"የተጫዋቹ ፈረስ በውርወራ ወቅት ስለሚደናቀፍ ጦሩ ኢላማውን እንዲያጣ ያደርገዋል። ምን ይሆናል?")</f>
        <v>የተጫዋቹ ፈረስ በውርወራ ወቅት ስለሚደናቀፍ ጦሩ ኢላማውን እንዲያጣ ያደርገዋል። ምን ይሆናል?</v>
      </c>
      <c r="I45" s="11" t="str">
        <f>IFERROR(__xludf.DUMMYFUNCTION("GOOGLETRANSLATE(C45, ""en"", ""am"")"),"ሀ. እንደገና እንዲሞክር ይፈቅዱለታል.B. በ ጥረት ሐ ላይ የተመሠረተ ሽልማት ነጥቦች. ምንም ነጥብ አይሰጥም.ዲ. ተጫዋቹን ውድቅ ያድርጉት።")</f>
        <v>ሀ. እንደገና እንዲሞክር ይፈቅዱለታል.B. በ ጥረት ሐ ላይ የተመሠረተ ሽልማት ነጥቦች. ምንም ነጥብ አይሰጥም.ዲ. ተጫዋቹን ውድቅ ያድርጉት።</v>
      </c>
      <c r="J45" s="11" t="str">
        <f>IFERROR(__xludf.DUMMYFUNCTION("GOOGLETRANSLATE(D45, ""en"", ""am"")"),"እንደገና እንዲሞክር ያደርጉታል።")</f>
        <v>እንደገና እንዲሞክር ያደርጉታል።</v>
      </c>
      <c r="K45" s="11" t="str">
        <f>IFERROR(__xludf.DUMMYFUNCTION("GOOGLETRANSLATE(E45, ""en"", ""am"")"),"ፈረሱ ከተሰናከለ ተጫዋቹ እንደገና እንዲሞክር ይፈቀድለታል.")</f>
        <v>ፈረሱ ከተሰናከለ ተጫዋቹ እንደገና እንዲሞክር ይፈቀድለታል.</v>
      </c>
    </row>
    <row r="46" ht="22.5" customHeight="1">
      <c r="A46" s="10">
        <v>45.0</v>
      </c>
      <c r="B46" s="11" t="s">
        <v>677</v>
      </c>
      <c r="C46" s="11" t="s">
        <v>678</v>
      </c>
      <c r="D46" s="11" t="s">
        <v>530</v>
      </c>
      <c r="E46" s="11" t="s">
        <v>679</v>
      </c>
      <c r="G46" s="11" t="str">
        <f>IFERROR(__xludf.DUMMYFUNCTION("GOOGLETRANSLATE(A46, ""en"", ""am"")"),"45")</f>
        <v>45</v>
      </c>
      <c r="H46" s="11" t="str">
        <f>IFERROR(__xludf.DUMMYFUNCTION("GOOGLETRANSLATE(B46, ""en"", ""am"")"),"አንድ ተጫዋች ጦሩን ይጥላል, ነገር ግን ሙሉ በሙሉ ይጠፋል. ቀጥሎ ምን ይሆናል?")</f>
        <v>አንድ ተጫዋች ጦሩን ይጥላል, ነገር ግን ሙሉ በሙሉ ይጠፋል. ቀጥሎ ምን ይሆናል?</v>
      </c>
      <c r="I46" s="11" t="str">
        <f>IFERROR(__xludf.DUMMYFUNCTION("GOOGLETRANSLATE(C46, ""en"", ""am"")"),"ሀ. ምንም ነጥብ አይሰጥም.ቢ. በ ጥረት ሐ ላይ የተመሠረተ ሽልማት ነጥቦች. ተጫዋቹ እንደገና እንዲሞክር ይፍቀዱለት።ዲ. ተጫዋቹን ውድቅ ያድርጉት።")</f>
        <v>ሀ. ምንም ነጥብ አይሰጥም.ቢ. በ ጥረት ሐ ላይ የተመሠረተ ሽልማት ነጥቦች. ተጫዋቹ እንደገና እንዲሞክር ይፍቀዱለት።ዲ. ተጫዋቹን ውድቅ ያድርጉት።</v>
      </c>
      <c r="J46" s="11" t="str">
        <f>IFERROR(__xludf.DUMMYFUNCTION("GOOGLETRANSLATE(D46, ""en"", ""am"")"),"ምንም ነጥብ አይሰጥም.")</f>
        <v>ምንም ነጥብ አይሰጥም.</v>
      </c>
      <c r="K46" s="11" t="str">
        <f>IFERROR(__xludf.DUMMYFUNCTION("GOOGLETRANSLATE(E46, ""en"", ""am"")"),"ሙሉ በሙሉ ማጣት ምንም ነጥብ አያስከትልም.")</f>
        <v>ሙሉ በሙሉ ማጣት ምንም ነጥብ አያስከትልም.</v>
      </c>
    </row>
    <row r="47" ht="22.5" customHeight="1">
      <c r="A47" s="10">
        <v>46.0</v>
      </c>
      <c r="B47" s="11" t="s">
        <v>680</v>
      </c>
      <c r="C47" s="11" t="s">
        <v>681</v>
      </c>
      <c r="D47" s="11" t="s">
        <v>530</v>
      </c>
      <c r="E47" s="11" t="s">
        <v>682</v>
      </c>
      <c r="G47" s="11" t="str">
        <f>IFERROR(__xludf.DUMMYFUNCTION("GOOGLETRANSLATE(A47, ""en"", ""am"")"),"46")</f>
        <v>46</v>
      </c>
      <c r="H47" s="11" t="str">
        <f>IFERROR(__xludf.DUMMYFUNCTION("GOOGLETRANSLATE(B47, ""en"", ""am"")"),"የተጫዋች መሳሪያ ኢላማውን ይመታል ግን አይጣበቅም። ምን ይሆናል?")</f>
        <v>የተጫዋች መሳሪያ ኢላማውን ይመታል ግን አይጣበቅም። ምን ይሆናል?</v>
      </c>
      <c r="I47" s="11" t="str">
        <f>IFERROR(__xludf.DUMMYFUNCTION("GOOGLETRANSLATE(C47, ""en"", ""am"")"),"ሀ. ምንም ነጥብ አይሰጥም.ቢ. ለስኬት ከፊል ነጥቦች ሽልማት ሐ. የሙሉ ነጥብ ሽልማት ዲ. ተጫዋቹ እንደገና እንዲሞክር ይፍቀዱለት።")</f>
        <v>ሀ. ምንም ነጥብ አይሰጥም.ቢ. ለስኬት ከፊል ነጥቦች ሽልማት ሐ. የሙሉ ነጥብ ሽልማት ዲ. ተጫዋቹ እንደገና እንዲሞክር ይፍቀዱለት።</v>
      </c>
      <c r="J47" s="11" t="str">
        <f>IFERROR(__xludf.DUMMYFUNCTION("GOOGLETRANSLATE(D47, ""en"", ""am"")"),"ምንም ነጥብ አይሰጥም.")</f>
        <v>ምንም ነጥብ አይሰጥም.</v>
      </c>
      <c r="K47" s="11" t="str">
        <f>IFERROR(__xludf.DUMMYFUNCTION("GOOGLETRANSLATE(E47, ""en"", ""am"")"),"ነጥብ ለማግኘት ጦሩ ከዒላማው ጋር መጣበቅ አለበት።")</f>
        <v>ነጥብ ለማግኘት ጦሩ ከዒላማው ጋር መጣበቅ አለበት።</v>
      </c>
    </row>
    <row r="48" ht="22.5" customHeight="1">
      <c r="A48" s="10">
        <v>47.0</v>
      </c>
      <c r="B48" s="11" t="s">
        <v>683</v>
      </c>
      <c r="C48" s="11" t="s">
        <v>684</v>
      </c>
      <c r="D48" s="11" t="s">
        <v>530</v>
      </c>
      <c r="E48" s="11" t="s">
        <v>685</v>
      </c>
      <c r="G48" s="11" t="str">
        <f>IFERROR(__xludf.DUMMYFUNCTION("GOOGLETRANSLATE(A48, ""en"", ""am"")"),"47")</f>
        <v>47</v>
      </c>
      <c r="H48" s="11" t="str">
        <f>IFERROR(__xludf.DUMMYFUNCTION("GOOGLETRANSLATE(B48, ""en"", ""am"")"),"የተጫዋቹ መሳሪያ ዒላማው ላይ ቢበርም ግንኙነቱን አያደርግም። ፍርዱ ምንድን ነው?")</f>
        <v>የተጫዋቹ መሳሪያ ዒላማው ላይ ቢበርም ግንኙነቱን አያደርግም። ፍርዱ ምንድን ነው?</v>
      </c>
      <c r="I48" s="11" t="str">
        <f>IFERROR(__xludf.DUMMYFUNCTION("GOOGLETRANSLATE(C48, ""en"", ""am"")"),"ሀ. ምንም ነጥብ አይሰጥም.ቢ. ሽልማት ነጥቦች ጥረት ሐ. ተጫዋቹ እንደገና እንዲሞክር ይፍቀዱለት።ዲ. ከፊል ሽልማት ነጥቦች")</f>
        <v>ሀ. ምንም ነጥብ አይሰጥም.ቢ. ሽልማት ነጥቦች ጥረት ሐ. ተጫዋቹ እንደገና እንዲሞክር ይፍቀዱለት።ዲ. ከፊል ሽልማት ነጥቦች</v>
      </c>
      <c r="J48" s="11" t="str">
        <f>IFERROR(__xludf.DUMMYFUNCTION("GOOGLETRANSLATE(D48, ""en"", ""am"")"),"ምንም ነጥብ አይሰጥም.")</f>
        <v>ምንም ነጥብ አይሰጥም.</v>
      </c>
      <c r="K48" s="11" t="str">
        <f>IFERROR(__xludf.DUMMYFUNCTION("GOOGLETRANSLATE(E48, ""en"", ""am"")"),"ነጥብ ለማግኘት ቡድኑ ኢላማውን መምታት አለበት።")</f>
        <v>ነጥብ ለማግኘት ቡድኑ ኢላማውን መምታት አለበት።</v>
      </c>
    </row>
    <row r="49" ht="22.5" customHeight="1">
      <c r="A49" s="10">
        <v>48.0</v>
      </c>
      <c r="B49" s="11" t="s">
        <v>686</v>
      </c>
      <c r="C49" s="11" t="s">
        <v>687</v>
      </c>
      <c r="D49" s="11" t="s">
        <v>575</v>
      </c>
      <c r="E49" s="11" t="s">
        <v>688</v>
      </c>
      <c r="G49" s="11" t="str">
        <f>IFERROR(__xludf.DUMMYFUNCTION("GOOGLETRANSLATE(A49, ""en"", ""am"")"),"48")</f>
        <v>48</v>
      </c>
      <c r="H49" s="11" t="str">
        <f>IFERROR(__xludf.DUMMYFUNCTION("GOOGLETRANSLATE(B49, ""en"", ""am"")"),"አንድ ተጫዋች ኢላማውን ይመታል ነገር ግን ጦሩ በአንድ ማዕዘን ላይ ተጣብቋል. ምን ይሆናል?")</f>
        <v>አንድ ተጫዋች ኢላማውን ይመታል ነገር ግን ጦሩ በአንድ ማዕዘን ላይ ተጣብቋል. ምን ይሆናል?</v>
      </c>
      <c r="I49" s="11" t="str">
        <f>IFERROR(__xludf.DUMMYFUNCTION("GOOGLETRANSLATE(C49, ""en"", ""am"")"),"ሀ. ሙሉ ነጥብ ሽልማት ቢ. ከፊል ሽልማት ነጥቦች ሐ. የተሸለመ ምንም ነጥብ የለም። ተጫዋቹ እንደገና እንዲሞክር ይፍቀዱለት።")</f>
        <v>ሀ. ሙሉ ነጥብ ሽልማት ቢ. ከፊል ሽልማት ነጥቦች ሐ. የተሸለመ ምንም ነጥብ የለም። ተጫዋቹ እንደገና እንዲሞክር ይፍቀዱለት።</v>
      </c>
      <c r="J49" s="11" t="str">
        <f>IFERROR(__xludf.DUMMYFUNCTION("GOOGLETRANSLATE(D49, ""en"", ""am"")"),"ሙሉ ነጥብ ሽልማት")</f>
        <v>ሙሉ ነጥብ ሽልማት</v>
      </c>
      <c r="K49" s="11" t="str">
        <f>IFERROR(__xludf.DUMMYFUNCTION("GOOGLETRANSLATE(E49, ""en"", ""am"")"),"ዒላማው ላይ የተተኮሰ ጥይት ማዕዘኑ ምንም ይሁን ምን እንደተመታ ይቆጠራል።")</f>
        <v>ዒላማው ላይ የተተኮሰ ጥይት ማዕዘኑ ምንም ይሁን ምን እንደተመታ ይቆጠራል።</v>
      </c>
    </row>
    <row r="50" ht="22.5" customHeight="1">
      <c r="A50" s="10">
        <v>49.0</v>
      </c>
      <c r="B50" s="11" t="s">
        <v>689</v>
      </c>
      <c r="C50" s="11" t="s">
        <v>690</v>
      </c>
      <c r="D50" s="11" t="s">
        <v>691</v>
      </c>
      <c r="E50" s="11" t="s">
        <v>692</v>
      </c>
      <c r="G50" s="11" t="str">
        <f>IFERROR(__xludf.DUMMYFUNCTION("GOOGLETRANSLATE(A50, ""en"", ""am"")"),"49")</f>
        <v>49</v>
      </c>
      <c r="H50" s="11" t="str">
        <f>IFERROR(__xludf.DUMMYFUNCTION("GOOGLETRANSLATE(B50, ""en"", ""am"")"),"የተጫዋች መሳሪያ ኢላማውን ይመታል ነገር ግን ኢላማው ይንቀሳቀሳል። የዳኛው ውሳኔ ምንድነው?")</f>
        <v>የተጫዋች መሳሪያ ኢላማውን ይመታል ነገር ግን ኢላማው ይንቀሳቀሳል። የዳኛው ውሳኔ ምንድነው?</v>
      </c>
      <c r="I50" s="11" t="str">
        <f>IFERROR(__xludf.DUMMYFUNCTION("GOOGLETRANSLATE(C50, ""en"", ""am"")"),"ሀ. ምንም ነጥብ አይሰጥም.ቢ. ተጫዋቹ እንደገና እንዲሞክር ይፍቀዱለት። ለ hitsD የሽልማት ነጥቦች ጨዋታውን ለአፍታ አቁም እና ዒላማውን ዳግም አስጀምር።")</f>
        <v>ሀ. ምንም ነጥብ አይሰጥም.ቢ. ተጫዋቹ እንደገና እንዲሞክር ይፍቀዱለት። ለ hitsD የሽልማት ነጥቦች ጨዋታውን ለአፍታ አቁም እና ዒላማውን ዳግም አስጀምር።</v>
      </c>
      <c r="J50" s="11" t="str">
        <f>IFERROR(__xludf.DUMMYFUNCTION("GOOGLETRANSLATE(D50, ""en"", ""am"")"),"ለተሳካላቸው የሽልማት ነጥቦች")</f>
        <v>ለተሳካላቸው የሽልማት ነጥቦች</v>
      </c>
      <c r="K50" s="11" t="str">
        <f>IFERROR(__xludf.DUMMYFUNCTION("GOOGLETRANSLATE(E50, ""en"", ""am"")"),"ዒላማው ዳግም ተጀምሯል፣ ነገር ግን መምታቱ ትክክል ከሆነ ነጥቦቹ አሁንም ይቆማሉ።")</f>
        <v>ዒላማው ዳግም ተጀምሯል፣ ነገር ግን መምታቱ ትክክል ከሆነ ነጥቦቹ አሁንም ይቆማሉ።</v>
      </c>
    </row>
    <row r="51" ht="22.5" customHeight="1">
      <c r="A51" s="10">
        <v>50.0</v>
      </c>
      <c r="B51" s="11" t="s">
        <v>693</v>
      </c>
      <c r="C51" s="11" t="s">
        <v>694</v>
      </c>
      <c r="D51" s="11" t="s">
        <v>541</v>
      </c>
      <c r="E51" s="11" t="s">
        <v>695</v>
      </c>
      <c r="G51" s="11" t="str">
        <f>IFERROR(__xludf.DUMMYFUNCTION("GOOGLETRANSLATE(A51, ""en"", ""am"")"),"50")</f>
        <v>50</v>
      </c>
      <c r="H51" s="11" t="str">
        <f>IFERROR(__xludf.DUMMYFUNCTION("GOOGLETRANSLATE(B51, ""en"", ""am"")"),"ተጫዋቹ ፈረሱ ወደ ተሳሳተ አቅጣጫ ሲሄድ ጦሩን ይጥላል። ምን ይሆናል?")</f>
        <v>ተጫዋቹ ፈረሱ ወደ ተሳሳተ አቅጣጫ ሲሄድ ጦሩን ይጥላል። ምን ይሆናል?</v>
      </c>
      <c r="I51" s="11" t="str">
        <f>IFERROR(__xludf.DUMMYFUNCTION("GOOGLETRANSLATE(C51, ""en"", ""am"")"),"ሀ. እንደገና እንዲሞክር ይፈቅዱለታል.B. ለሙከራው የሽልማት ነጥቦች ሲ. ምንም ነጥብ አይሰጥም.ዲ. ተጫዋቹን ውድቅ ያድርጉት።")</f>
        <v>ሀ. እንደገና እንዲሞክር ይፈቅዱለታል.B. ለሙከራው የሽልማት ነጥቦች ሲ. ምንም ነጥብ አይሰጥም.ዲ. ተጫዋቹን ውድቅ ያድርጉት።</v>
      </c>
      <c r="J51" s="11" t="str">
        <f>IFERROR(__xludf.DUMMYFUNCTION("GOOGLETRANSLATE(D51, ""en"", ""am"")"),"እንደገና እንዲሞክር ያደርጉታል።")</f>
        <v>እንደገና እንዲሞክር ያደርጉታል።</v>
      </c>
      <c r="K51" s="11" t="str">
        <f>IFERROR(__xludf.DUMMYFUNCTION("GOOGLETRANSLATE(E51, ""en"", ""am"")"),"ተጫዋቹ ከመወርወሩ በፊት ኢላማውን መጋፈጥ አለበት።")</f>
        <v>ተጫዋቹ ከመወርወሩ በፊት ኢላማውን መጋፈጥ አለበት።</v>
      </c>
    </row>
    <row r="52" ht="22.5" customHeight="1">
      <c r="A52" s="10">
        <v>51.0</v>
      </c>
      <c r="B52" s="11" t="s">
        <v>696</v>
      </c>
      <c r="C52" s="11" t="s">
        <v>697</v>
      </c>
      <c r="D52" s="11" t="s">
        <v>698</v>
      </c>
      <c r="E52" s="11" t="s">
        <v>699</v>
      </c>
      <c r="G52" s="11" t="str">
        <f>IFERROR(__xludf.DUMMYFUNCTION("GOOGLETRANSLATE(A52, ""en"", ""am"")"),"51")</f>
        <v>51</v>
      </c>
      <c r="H52" s="11" t="str">
        <f>IFERROR(__xludf.DUMMYFUNCTION("GOOGLETRANSLATE(B52, ""en"", ""am"")"),"አንድ ተጫዋች ኢላማውን ይመታል፣ ዳኛው ግን ነጥቦቹ ከመመዝገባቸው በፊት ጊዜው ማለፉን ይጠራል። ውጤቱስ ምንድን ነው?")</f>
        <v>አንድ ተጫዋች ኢላማውን ይመታል፣ ዳኛው ግን ነጥቦቹ ከመመዝገባቸው በፊት ጊዜው ማለፉን ይጠራል። ውጤቱስ ምንድን ነው?</v>
      </c>
      <c r="I52" s="11" t="str">
        <f>IFERROR(__xludf.DUMMYFUNCTION("GOOGLETRANSLATE(C52, ""en"", ""am"")"),"ሀ ነጥብ የተሸለመው በመምታቱ ላይ በመመስረት ነው። ምንም ነጥብ አይሰጥም.ሲ. ጨዋታው ቆሟል፣ እና መምታቱ ልክ ያልሆነ ነው። ዲ. ተጫዋቹ ውርወራውን እንደገና መሞከር አለበት።")</f>
        <v>ሀ ነጥብ የተሸለመው በመምታቱ ላይ በመመስረት ነው። ምንም ነጥብ አይሰጥም.ሲ. ጨዋታው ቆሟል፣ እና መምታቱ ልክ ያልሆነ ነው። ዲ. ተጫዋቹ ውርወራውን እንደገና መሞከር አለበት።</v>
      </c>
      <c r="J52" s="11" t="str">
        <f>IFERROR(__xludf.DUMMYFUNCTION("GOOGLETRANSLATE(D52, ""en"", ""am"")"),"ነጥቦች የተሸለሙት በመምታቱ ላይ በመመስረት ነው።")</f>
        <v>ነጥቦች የተሸለሙት በመምታቱ ላይ በመመስረት ነው።</v>
      </c>
      <c r="K52" s="11" t="str">
        <f>IFERROR(__xludf.DUMMYFUNCTION("GOOGLETRANSLATE(E52, ""en"", ""am"")"),"ምቱ ጊዜው ከማለቁ በፊት እስከተከሰተ ድረስ ይቆጠራል።")</f>
        <v>ምቱ ጊዜው ከማለቁ በፊት እስከተከሰተ ድረስ ይቆጠራል።</v>
      </c>
    </row>
    <row r="53" ht="22.5" customHeight="1">
      <c r="A53" s="10">
        <v>52.0</v>
      </c>
      <c r="B53" s="11" t="s">
        <v>700</v>
      </c>
      <c r="C53" s="11" t="s">
        <v>701</v>
      </c>
      <c r="D53" s="11" t="s">
        <v>702</v>
      </c>
      <c r="E53" s="11" t="s">
        <v>703</v>
      </c>
      <c r="G53" s="11" t="str">
        <f>IFERROR(__xludf.DUMMYFUNCTION("GOOGLETRANSLATE(A53, ""en"", ""am"")"),"52")</f>
        <v>52</v>
      </c>
      <c r="H53" s="11" t="str">
        <f>IFERROR(__xludf.DUMMYFUNCTION("GOOGLETRANSLATE(B53, ""en"", ""am"")"),"የተጫዋች መሳሪያ ኢላማውን ይመታል እና ይጣበቃል, ነገር ግን ፈረሱ ሲንቀሳቀስ ይወድቃል. ምን ይሆናል?")</f>
        <v>የተጫዋች መሳሪያ ኢላማውን ይመታል እና ይጣበቃል, ነገር ግን ፈረሱ ሲንቀሳቀስ ይወድቃል. ምን ይሆናል?</v>
      </c>
      <c r="I53" s="11" t="str">
        <f>IFERROR(__xludf.DUMMYFUNCTION("GOOGLETRANSLATE(C53, ""en"", ""am"")"),"ሀ. ምንም ነጥብ አይሰጥም.ቢ. ነጥቦች የተሸለሙት በመነሻ ድብደባ ቅደም ተከተል መሰረት ነው.ሲ. እንደገና እንዲሞክር ይፈቅዱለታል.ዲ. ከፊል ሽልማት ነጥቦች")</f>
        <v>ሀ. ምንም ነጥብ አይሰጥም.ቢ. ነጥቦች የተሸለሙት በመነሻ ድብደባ ቅደም ተከተል መሰረት ነው.ሲ. እንደገና እንዲሞክር ይፈቅዱለታል.ዲ. ከፊል ሽልማት ነጥቦች</v>
      </c>
      <c r="J53" s="11" t="str">
        <f>IFERROR(__xludf.DUMMYFUNCTION("GOOGLETRANSLATE(D53, ""en"", ""am"")"),"ነጥቦች የተሸለሙት በመነሻ ድብደባ ቅደም ተከተል መሠረት ነው።")</f>
        <v>ነጥቦች የተሸለሙት በመነሻ ድብደባ ቅደም ተከተል መሠረት ነው።</v>
      </c>
      <c r="K53" s="11" t="str">
        <f>IFERROR(__xludf.DUMMYFUNCTION("GOOGLETRANSLATE(E53, ""en"", ""am"")"),"ነጥብ ለማግኘት ጦሩ ከዒላማው ጋር ተጣብቆ መቆየት አለበት።")</f>
        <v>ነጥብ ለማግኘት ጦሩ ከዒላማው ጋር ተጣብቆ መቆየት አለበት።</v>
      </c>
    </row>
    <row r="54" ht="22.5" customHeight="1">
      <c r="A54" s="10">
        <v>53.0</v>
      </c>
      <c r="B54" s="11" t="s">
        <v>704</v>
      </c>
      <c r="C54" s="11" t="s">
        <v>705</v>
      </c>
      <c r="D54" s="11" t="s">
        <v>530</v>
      </c>
      <c r="E54" s="11" t="s">
        <v>706</v>
      </c>
      <c r="G54" s="11" t="str">
        <f>IFERROR(__xludf.DUMMYFUNCTION("GOOGLETRANSLATE(A54, ""en"", ""am"")"),"53")</f>
        <v>53</v>
      </c>
      <c r="H54" s="11" t="str">
        <f>IFERROR(__xludf.DUMMYFUNCTION("GOOGLETRANSLATE(B54, ""en"", ""am"")"),"አንድ ተጫዋች ጦራቸውን ወረወሩ ነገር ግን በአቅራቢያው በሚገኝ የውሃ አደጋ ላይ አረፈ። ውሳኔው ምንድን ነው?")</f>
        <v>አንድ ተጫዋች ጦራቸውን ወረወሩ ነገር ግን በአቅራቢያው በሚገኝ የውሃ አደጋ ላይ አረፈ። ውሳኔው ምንድን ነው?</v>
      </c>
      <c r="I54" s="11" t="str">
        <f>IFERROR(__xludf.DUMMYFUNCTION("GOOGLETRANSLATE(C54, ""en"", ""am"")"),"ሀ. ምንም ነጥብ አይሰጥም.ቢ. እንደገና እንዲሞክር ያደርጉታል። የመዋኛ ሽልማት ነጥቦች D. አደጋው እስኪወገድ ድረስ ጨዋታውን ለአፍታ አቁም.")</f>
        <v>ሀ. ምንም ነጥብ አይሰጥም.ቢ. እንደገና እንዲሞክር ያደርጉታል። የመዋኛ ሽልማት ነጥቦች D. አደጋው እስኪወገድ ድረስ ጨዋታውን ለአፍታ አቁም.</v>
      </c>
      <c r="J54" s="11" t="str">
        <f>IFERROR(__xludf.DUMMYFUNCTION("GOOGLETRANSLATE(D54, ""en"", ""am"")"),"ምንም ነጥብ አይሰጥም.")</f>
        <v>ምንም ነጥብ አይሰጥም.</v>
      </c>
      <c r="K54" s="11" t="str">
        <f>IFERROR(__xludf.DUMMYFUNCTION("GOOGLETRANSLATE(E54, ""en"", ""am"")"),"በውሃ አደጋ ላይ ማረፍ መወርወሩን ዋጋ ያስከፍላል።")</f>
        <v>በውሃ አደጋ ላይ ማረፍ መወርወሩን ዋጋ ያስከፍላል።</v>
      </c>
    </row>
    <row r="55" ht="22.5" customHeight="1">
      <c r="A55" s="10">
        <v>54.0</v>
      </c>
      <c r="B55" s="11" t="s">
        <v>707</v>
      </c>
      <c r="C55" s="11" t="s">
        <v>708</v>
      </c>
      <c r="D55" s="11" t="s">
        <v>552</v>
      </c>
      <c r="E55" s="11" t="s">
        <v>709</v>
      </c>
      <c r="G55" s="11" t="str">
        <f>IFERROR(__xludf.DUMMYFUNCTION("GOOGLETRANSLATE(A55, ""en"", ""am"")"),"54")</f>
        <v>54</v>
      </c>
      <c r="H55" s="11" t="str">
        <f>IFERROR(__xludf.DUMMYFUNCTION("GOOGLETRANSLATE(B55, ""en"", ""am"")"),"ተጫዋቹ በግጭት ወቅት በስህተት ኢላማውን ይመታል። ምን ይሆናል?")</f>
        <v>ተጫዋቹ በግጭት ወቅት በስህተት ኢላማውን ይመታል። ምን ይሆናል?</v>
      </c>
      <c r="I55" s="11" t="str">
        <f>IFERROR(__xludf.DUMMYFUNCTION("GOOGLETRANSLATE(C55, ""en"", ""am"")"),"A. መወርወርን እምቢ ማለት.B. ምንም ሽልማት የለም. እንደገና ልሞክር።D. ለትክክለኛው ዒላማ የሽልማት ነጥቦች")</f>
        <v>A. መወርወርን እምቢ ማለት.B. ምንም ሽልማት የለም. እንደገና ልሞክር።D. ለትክክለኛው ዒላማ የሽልማት ነጥቦች</v>
      </c>
      <c r="J55" s="11" t="str">
        <f>IFERROR(__xludf.DUMMYFUNCTION("GOOGLETRANSLATE(D55, ""en"", ""am"")"),"ውርወራውን ውድቅ አድርግ።")</f>
        <v>ውርወራውን ውድቅ አድርግ።</v>
      </c>
      <c r="K55" s="11" t="str">
        <f>IFERROR(__xludf.DUMMYFUNCTION("GOOGLETRANSLATE(E55, ""en"", ""am"")"),"የተሳሳተ ኢላማ መምታት የመወርወር ችሎታን ማጣት ያስከትላል።")</f>
        <v>የተሳሳተ ኢላማ መምታት የመወርወር ችሎታን ማጣት ያስከትላል።</v>
      </c>
    </row>
    <row r="56" ht="22.5" customHeight="1">
      <c r="A56" s="10">
        <v>55.0</v>
      </c>
      <c r="B56" s="11" t="s">
        <v>710</v>
      </c>
      <c r="C56" s="11" t="s">
        <v>711</v>
      </c>
      <c r="D56" s="11" t="s">
        <v>530</v>
      </c>
      <c r="E56" s="11" t="s">
        <v>712</v>
      </c>
      <c r="G56" s="11" t="str">
        <f>IFERROR(__xludf.DUMMYFUNCTION("GOOGLETRANSLATE(A56, ""en"", ""am"")"),"55")</f>
        <v>55</v>
      </c>
      <c r="H56" s="11" t="str">
        <f>IFERROR(__xludf.DUMMYFUNCTION("GOOGLETRANSLATE(B56, ""en"", ""am"")"),"አንድ ተጫዋች ምንም ነጥብ ለማግኘት ጦሩን በጣም ይርቃል። ቀጥሎ ምን ይሆናል?")</f>
        <v>አንድ ተጫዋች ምንም ነጥብ ለማግኘት ጦሩን በጣም ይርቃል። ቀጥሎ ምን ይሆናል?</v>
      </c>
      <c r="I56" s="11" t="str">
        <f>IFERROR(__xludf.DUMMYFUNCTION("GOOGLETRANSLATE(C56, ""en"", ""am"")"),"ሀ. ምንም ነጥብ አልተሰጠም.B. የርቀት ሽልማት ነጥብ ሐ. ተጫዋቹ እንደገና እንዲሞክር ይፍቀዱለት።ዲ. ለጥረት ከፊል ነጥቦችን ይሸልሙ")</f>
        <v>ሀ. ምንም ነጥብ አልተሰጠም.B. የርቀት ሽልማት ነጥብ ሐ. ተጫዋቹ እንደገና እንዲሞክር ይፍቀዱለት።ዲ. ለጥረት ከፊል ነጥቦችን ይሸልሙ</v>
      </c>
      <c r="J56" s="11" t="str">
        <f>IFERROR(__xludf.DUMMYFUNCTION("GOOGLETRANSLATE(D56, ""en"", ""am"")"),"ምንም ነጥብ አይሰጥም.")</f>
        <v>ምንም ነጥብ አይሰጥም.</v>
      </c>
      <c r="K56" s="11" t="str">
        <f>IFERROR(__xludf.DUMMYFUNCTION("GOOGLETRANSLATE(E56, ""en"", ""am"")"),"ከዒላማው በላይ የወረደ ውርወራ ምንም ውጤት አያመጣም።")</f>
        <v>ከዒላማው በላይ የወረደ ውርወራ ምንም ውጤት አያመጣም።</v>
      </c>
    </row>
    <row r="57" ht="22.5" customHeight="1">
      <c r="A57" s="10">
        <v>56.0</v>
      </c>
      <c r="B57" s="11" t="s">
        <v>713</v>
      </c>
      <c r="C57" s="11" t="s">
        <v>714</v>
      </c>
      <c r="D57" s="11" t="s">
        <v>715</v>
      </c>
      <c r="E57" s="11" t="s">
        <v>716</v>
      </c>
      <c r="G57" s="11" t="str">
        <f>IFERROR(__xludf.DUMMYFUNCTION("GOOGLETRANSLATE(A57, ""en"", ""am"")"),"56")</f>
        <v>56</v>
      </c>
      <c r="H57" s="11" t="str">
        <f>IFERROR(__xludf.DUMMYFUNCTION("GOOGLETRANSLATE(B57, ""en"", ""am"")"),"በጨዋታው ወቅት የተጫዋች ፈረስ ተጎድቷል። ዳኛው ምን ማድረግ አለበት?")</f>
        <v>በጨዋታው ወቅት የተጫዋች ፈረስ ተጎድቷል። ዳኛው ምን ማድረግ አለበት?</v>
      </c>
      <c r="I57" s="11" t="str">
        <f>IFERROR(__xludf.DUMMYFUNCTION("GOOGLETRANSLATE(C57, ""en"", ""am"")"),"ሀ. ጨዋታውን ለአፍታ አቁም እና ለህክምና ፍቀድ። በቀሩት ውርወራዎች ላይ በመመስረት የሽልማት ነጥቦች። ተጫዋቹን ውድቅ.ዲ. ተጫዋቹ ያለ ፈረስ እንዲቀጥል ይፍቀዱለት።")</f>
        <v>ሀ. ጨዋታውን ለአፍታ አቁም እና ለህክምና ፍቀድ። በቀሩት ውርወራዎች ላይ በመመስረት የሽልማት ነጥቦች። ተጫዋቹን ውድቅ.ዲ. ተጫዋቹ ያለ ፈረስ እንዲቀጥል ይፍቀዱለት።</v>
      </c>
      <c r="J57" s="11" t="str">
        <f>IFERROR(__xludf.DUMMYFUNCTION("GOOGLETRANSLATE(D57, ""en"", ""am"")"),"ጨዋታውን ለአፍታ አቁም እና ለህክምና ፍቀድ።")</f>
        <v>ጨዋታውን ለአፍታ አቁም እና ለህክምና ፍቀድ።</v>
      </c>
      <c r="K57" s="11" t="str">
        <f>IFERROR(__xludf.DUMMYFUNCTION("GOOGLETRANSLATE(E57, ""en"", ""am"")"),"ደህንነት ከሁሉም በላይ ነው፣ ስለዚህ ፈረስን ለማከም ጨዋታ ለአፍታ ማቆም አለበት።")</f>
        <v>ደህንነት ከሁሉም በላይ ነው፣ ስለዚህ ፈረስን ለማከም ጨዋታ ለአፍታ ማቆም አለበት።</v>
      </c>
    </row>
    <row r="58" ht="22.5" customHeight="1">
      <c r="A58" s="10">
        <v>57.0</v>
      </c>
      <c r="B58" s="11" t="s">
        <v>717</v>
      </c>
      <c r="C58" s="11" t="s">
        <v>718</v>
      </c>
      <c r="D58" s="11" t="s">
        <v>530</v>
      </c>
      <c r="E58" s="11" t="s">
        <v>719</v>
      </c>
      <c r="G58" s="11" t="str">
        <f>IFERROR(__xludf.DUMMYFUNCTION("GOOGLETRANSLATE(A58, ""en"", ""am"")"),"57")</f>
        <v>57</v>
      </c>
      <c r="H58" s="11" t="str">
        <f>IFERROR(__xludf.DUMMYFUNCTION("GOOGLETRANSLATE(B58, ""en"", ""am"")"),"አንድ ተጫዋች ኢላማውን አጥቶ ጦሩ በአደገኛ ሁኔታ ወደ ተቃዋሚው ወረደ። ፍርዱ ምንድን ነው?")</f>
        <v>አንድ ተጫዋች ኢላማውን አጥቶ ጦሩ በአደገኛ ሁኔታ ወደ ተቃዋሚው ወረደ። ፍርዱ ምንድን ነው?</v>
      </c>
      <c r="I58" s="11" t="str">
        <f>IFERROR(__xludf.DUMMYFUNCTION("GOOGLETRANSLATE(C58, ""en"", ""am"")"),"ሀ. ምንም ነጥብ አይሰጥም.ቢ. ለቅርብ ኪሳራ ከፊል ነጥቦች ሽልማት. ተቃዋሚው የጊዜ ማብቂያ እንዲጠራ ይፍቀዱለት.ዲ. ለደህንነት ሲባል ጨዋታውን ለአፍታ ያቁሙ።")</f>
        <v>ሀ. ምንም ነጥብ አይሰጥም.ቢ. ለቅርብ ኪሳራ ከፊል ነጥቦች ሽልማት. ተቃዋሚው የጊዜ ማብቂያ እንዲጠራ ይፍቀዱለት.ዲ. ለደህንነት ሲባል ጨዋታውን ለአፍታ ያቁሙ።</v>
      </c>
      <c r="J58" s="11" t="str">
        <f>IFERROR(__xludf.DUMMYFUNCTION("GOOGLETRANSLATE(D58, ""en"", ""am"")"),"ምንም ነጥብ አይሰጥም.")</f>
        <v>ምንም ነጥብ አይሰጥም.</v>
      </c>
      <c r="K58" s="11" t="str">
        <f>IFERROR(__xludf.DUMMYFUNCTION("GOOGLETRANSLATE(E58, ""en"", ""am"")"),"ደህንነት ቅድሚያ የሚሰጠው ጉዳይ ነው, እና ለአደገኛ ውርወራዎች ምንም ነጥብ አይሰጥም.")</f>
        <v>ደህንነት ቅድሚያ የሚሰጠው ጉዳይ ነው, እና ለአደገኛ ውርወራዎች ምንም ነጥብ አይሰጥም.</v>
      </c>
    </row>
    <row r="59" ht="22.5" customHeight="1">
      <c r="A59" s="10">
        <v>58.0</v>
      </c>
      <c r="B59" s="11" t="s">
        <v>720</v>
      </c>
      <c r="C59" s="11" t="s">
        <v>721</v>
      </c>
      <c r="D59" s="11" t="s">
        <v>571</v>
      </c>
      <c r="E59" s="11" t="s">
        <v>638</v>
      </c>
      <c r="G59" s="11" t="str">
        <f>IFERROR(__xludf.DUMMYFUNCTION("GOOGLETRANSLATE(A59, ""en"", ""am"")"),"58")</f>
        <v>58</v>
      </c>
      <c r="H59" s="11" t="str">
        <f>IFERROR(__xludf.DUMMYFUNCTION("GOOGLETRANSLATE(B59, ""en"", ""am"")"),"አንድ ተጫዋች ጦሩን ከመወርወሩ በፊት ሆን ብሎ ኢላማውን ያስተካክላል። ምን ይሆናል?")</f>
        <v>አንድ ተጫዋች ጦሩን ከመወርወሩ በፊት ሆን ብሎ ኢላማውን ያስተካክላል። ምን ይሆናል?</v>
      </c>
      <c r="I59" s="11" t="str">
        <f>IFERROR(__xludf.DUMMYFUNCTION("GOOGLETRANSLATE(C59, ""en"", ""am"")"),"ሀ. ተጫዋቹን ውድቅ ማድረግ.B. የሽልማት ነጥቦች ለ hitsC. ጨዋታውን ለአፍታ አቁም እና ዒላማውን እንደገና አስጀምር.ዲ. እንደገና ልሞክር።")</f>
        <v>ሀ. ተጫዋቹን ውድቅ ማድረግ.B. የሽልማት ነጥቦች ለ hitsC. ጨዋታውን ለአፍታ አቁም እና ዒላማውን እንደገና አስጀምር.ዲ. እንደገና ልሞክር።</v>
      </c>
      <c r="J59" s="11" t="str">
        <f>IFERROR(__xludf.DUMMYFUNCTION("GOOGLETRANSLATE(D59, ""en"", ""am"")"),"ተጫዋቹን ውድቅ ያድርጉት።")</f>
        <v>ተጫዋቹን ውድቅ ያድርጉት።</v>
      </c>
      <c r="K59" s="11" t="str">
        <f>IFERROR(__xludf.DUMMYFUNCTION("GOOGLETRANSLATE(E59, ""en"", ""am"")"),"ዒላማውን መጣስ ውጤቱን ማጣት ያስከትላል.")</f>
        <v>ዒላማውን መጣስ ውጤቱን ማጣት ያስከትላል.</v>
      </c>
    </row>
    <row r="60" ht="22.5" customHeight="1">
      <c r="A60" s="10">
        <v>59.0</v>
      </c>
      <c r="B60" s="11" t="s">
        <v>722</v>
      </c>
      <c r="C60" s="11" t="s">
        <v>723</v>
      </c>
      <c r="D60" s="11" t="s">
        <v>530</v>
      </c>
      <c r="E60" s="11" t="s">
        <v>682</v>
      </c>
      <c r="G60" s="11" t="str">
        <f>IFERROR(__xludf.DUMMYFUNCTION("GOOGLETRANSLATE(A60, ""en"", ""am"")"),"59")</f>
        <v>59</v>
      </c>
      <c r="H60" s="11" t="str">
        <f>IFERROR(__xludf.DUMMYFUNCTION("GOOGLETRANSLATE(B60, ""en"", ""am"")"),"የተጫዋቹ ቀስት ኢላማውን ይመታል ነገር ግን በመጥፎ ውርወራ ምክንያት አይጣበቅም። ውሳኔው ምንድን ነው?")</f>
        <v>የተጫዋቹ ቀስት ኢላማውን ይመታል ነገር ግን በመጥፎ ውርወራ ምክንያት አይጣበቅም። ውሳኔው ምንድን ነው?</v>
      </c>
      <c r="I60" s="11" t="str">
        <f>IFERROR(__xludf.DUMMYFUNCTION("GOOGLETRANSLATE(C60, ""en"", ""am"")"),"ሀ. ሙሉ ነጥብ ሽልማት ቢ. ምንም ነጥብ አይሰጥም.ሲ. ተጫዋቹ እንደገና እንዲሞክር ይፍቀዱለት።ዲ. ከፊል ሽልማት ነጥቦች")</f>
        <v>ሀ. ሙሉ ነጥብ ሽልማት ቢ. ምንም ነጥብ አይሰጥም.ሲ. ተጫዋቹ እንደገና እንዲሞክር ይፍቀዱለት።ዲ. ከፊል ሽልማት ነጥቦች</v>
      </c>
      <c r="J60" s="11" t="str">
        <f>IFERROR(__xludf.DUMMYFUNCTION("GOOGLETRANSLATE(D60, ""en"", ""am"")"),"ምንም ነጥብ አይሰጥም.")</f>
        <v>ምንም ነጥብ አይሰጥም.</v>
      </c>
      <c r="K60" s="11" t="str">
        <f>IFERROR(__xludf.DUMMYFUNCTION("GOOGLETRANSLATE(E60, ""en"", ""am"")"),"ነጥብ ለማግኘት ጦሩ ከዒላማው ጋር መጣበቅ አለበት።")</f>
        <v>ነጥብ ለማግኘት ጦሩ ከዒላማው ጋር መጣበቅ አለበት።</v>
      </c>
    </row>
    <row r="61" ht="22.5" customHeight="1">
      <c r="A61" s="10">
        <v>60.0</v>
      </c>
      <c r="B61" s="11" t="s">
        <v>724</v>
      </c>
      <c r="C61" s="11" t="s">
        <v>725</v>
      </c>
      <c r="D61" s="11" t="s">
        <v>541</v>
      </c>
      <c r="E61" s="11" t="s">
        <v>726</v>
      </c>
      <c r="G61" s="11" t="str">
        <f>IFERROR(__xludf.DUMMYFUNCTION("GOOGLETRANSLATE(A61, ""en"", ""am"")"),"60")</f>
        <v>60</v>
      </c>
      <c r="H61" s="11" t="str">
        <f>IFERROR(__xludf.DUMMYFUNCTION("GOOGLETRANSLATE(B61, ""en"", ""am"")"),"የተጫዋቹን ፈረስ ወደ ላይ ያነሳል እና ትክክለኛ ውርወራ እንዳይሰሩ ያግዳቸዋል. ቀጥሎ ምን ይሆናል?")</f>
        <v>የተጫዋቹን ፈረስ ወደ ላይ ያነሳል እና ትክክለኛ ውርወራ እንዳይሰሩ ያግዳቸዋል. ቀጥሎ ምን ይሆናል?</v>
      </c>
      <c r="I61" s="11" t="str">
        <f>IFERROR(__xludf.DUMMYFUNCTION("GOOGLETRANSLATE(C61, ""en"", ""am"")"),"ሀ. እንደገና እንዲሞክር ይፈቅዱለታል.B. ተጫዋቹን ውድቅ ያድርጉት.ሲ. ለመስተካከያዎች ጨዋታውን ለአፍታ ያቁሙ።ዲ. ምንም ነጥብ አልተሰጠም።")</f>
        <v>ሀ. እንደገና እንዲሞክር ይፈቅዱለታል.B. ተጫዋቹን ውድቅ ያድርጉት.ሲ. ለመስተካከያዎች ጨዋታውን ለአፍታ ያቁሙ።ዲ. ምንም ነጥብ አልተሰጠም።</v>
      </c>
      <c r="J61" s="11" t="str">
        <f>IFERROR(__xludf.DUMMYFUNCTION("GOOGLETRANSLATE(D61, ""en"", ""am"")"),"እንደገና እንዲሞክር ያደርጉታል።")</f>
        <v>እንደገና እንዲሞክር ያደርጉታል።</v>
      </c>
      <c r="K61" s="11" t="str">
        <f>IFERROR(__xludf.DUMMYFUNCTION("GOOGLETRANSLATE(E61, ""en"", ""am"")"),"ፈረሱ በመወርወር ላይ ጣልቃ ከገባ, ተጫዋቹ እንደገና እንዲሞክር ይፈቀድለታል.")</f>
        <v>ፈረሱ በመወርወር ላይ ጣልቃ ከገባ, ተጫዋቹ እንደገና እንዲሞክር ይፈቀድለታል.</v>
      </c>
    </row>
    <row r="62" ht="22.5" customHeight="1">
      <c r="A62" s="10">
        <v>61.0</v>
      </c>
      <c r="B62" s="11" t="s">
        <v>727</v>
      </c>
      <c r="C62" s="11" t="s">
        <v>728</v>
      </c>
      <c r="D62" s="11" t="s">
        <v>530</v>
      </c>
      <c r="E62" s="11" t="s">
        <v>729</v>
      </c>
      <c r="G62" s="11" t="str">
        <f>IFERROR(__xludf.DUMMYFUNCTION("GOOGLETRANSLATE(A62, ""en"", ""am"")"),"61")</f>
        <v>61</v>
      </c>
      <c r="H62" s="11" t="str">
        <f>IFERROR(__xludf.DUMMYFUNCTION("GOOGLETRANSLATE(B62, ""en"", ""am"")"),"አንድ ተጫዋች በውርወራ ወቅት በድንገት የተቃዋሚውን ጦር ይመታል። ፍርዱ ምንድን ነው?")</f>
        <v>አንድ ተጫዋች በውርወራ ወቅት በድንገት የተቃዋሚውን ጦር ይመታል። ፍርዱ ምንድን ነው?</v>
      </c>
      <c r="I62" s="11" t="str">
        <f>IFERROR(__xludf.DUMMYFUNCTION("GOOGLETRANSLATE(C62, ""en"", ""am"")"),"ሀ. ምንም ነጥብ አልተሰጠም.B. ለሁለቱም ተጫዋቾች የሽልማት ነጥቦች. ጨዋታውን ለአፍታ አቁም.ዲ. ተጫዋቹን ውድቅ ያድርጉት።")</f>
        <v>ሀ. ምንም ነጥብ አልተሰጠም.B. ለሁለቱም ተጫዋቾች የሽልማት ነጥቦች. ጨዋታውን ለአፍታ አቁም.ዲ. ተጫዋቹን ውድቅ ያድርጉት።</v>
      </c>
      <c r="J62" s="11" t="str">
        <f>IFERROR(__xludf.DUMMYFUNCTION("GOOGLETRANSLATE(D62, ""en"", ""am"")"),"ምንም ነጥብ አይሰጥም.")</f>
        <v>ምንም ነጥብ አይሰጥም.</v>
      </c>
      <c r="K62" s="11" t="str">
        <f>IFERROR(__xludf.DUMMYFUNCTION("GOOGLETRANSLATE(E62, ""en"", ""am"")"),"የሌላውን ተጫዋች ጦር መምታት ለማንም ተጫዋች ምንም ነጥብ አይሰጥም።")</f>
        <v>የሌላውን ተጫዋች ጦር መምታት ለማንም ተጫዋች ምንም ነጥብ አይሰጥም።</v>
      </c>
    </row>
    <row r="63" ht="22.5" customHeight="1">
      <c r="A63" s="10">
        <v>62.0</v>
      </c>
      <c r="B63" s="11" t="s">
        <v>730</v>
      </c>
      <c r="C63" s="11" t="s">
        <v>731</v>
      </c>
      <c r="D63" s="11" t="s">
        <v>530</v>
      </c>
      <c r="E63" s="11" t="s">
        <v>732</v>
      </c>
      <c r="G63" s="11" t="str">
        <f>IFERROR(__xludf.DUMMYFUNCTION("GOOGLETRANSLATE(A63, ""en"", ""am"")"),"62")</f>
        <v>62</v>
      </c>
      <c r="H63" s="11" t="str">
        <f>IFERROR(__xludf.DUMMYFUNCTION("GOOGLETRANSLATE(B63, ""en"", ""am"")"),"የተጫዋቹ ሽጉጥ ወደ ላይ ይበር እና ዒላማውን በጠባቡ አምልጦታል። ቀጥሎ ምን ይሆናል?")</f>
        <v>የተጫዋቹ ሽጉጥ ወደ ላይ ይበር እና ዒላማውን በጠባቡ አምልጦታል። ቀጥሎ ምን ይሆናል?</v>
      </c>
      <c r="I63" s="11" t="str">
        <f>IFERROR(__xludf.DUMMYFUNCTION("GOOGLETRANSLATE(C63, ""en"", ""am"")"),"ሀ. ምንም ነጥብ አልተሰጠም.B. ለቅርብ ኪሳራ የሽልማት ነጥቦች. ተጫዋቹ እንደገና እንዲሞክር ይፍቀዱለት።ዲ. ከፊል ሽልማት ነጥቦች")</f>
        <v>ሀ. ምንም ነጥብ አልተሰጠም.B. ለቅርብ ኪሳራ የሽልማት ነጥቦች. ተጫዋቹ እንደገና እንዲሞክር ይፍቀዱለት።ዲ. ከፊል ሽልማት ነጥቦች</v>
      </c>
      <c r="J63" s="11" t="str">
        <f>IFERROR(__xludf.DUMMYFUNCTION("GOOGLETRANSLATE(D63, ""en"", ""am"")"),"ምንም ነጥብ አይሰጥም.")</f>
        <v>ምንም ነጥብ አይሰጥም.</v>
      </c>
      <c r="K63" s="11" t="str">
        <f>IFERROR(__xludf.DUMMYFUNCTION("GOOGLETRANSLATE(E63, ""en"", ""am"")"),"ምንም ነገር ሳይመታ ማጣት ምንም ነጥብ አያመጣም.")</f>
        <v>ምንም ነገር ሳይመታ ማጣት ምንም ነጥብ አያመጣም.</v>
      </c>
    </row>
    <row r="64" ht="22.5" customHeight="1">
      <c r="A64" s="10">
        <v>63.0</v>
      </c>
      <c r="B64" s="11" t="s">
        <v>733</v>
      </c>
      <c r="C64" s="11" t="s">
        <v>734</v>
      </c>
      <c r="D64" s="11" t="s">
        <v>735</v>
      </c>
      <c r="E64" s="11" t="s">
        <v>736</v>
      </c>
      <c r="G64" s="11" t="str">
        <f>IFERROR(__xludf.DUMMYFUNCTION("GOOGLETRANSLATE(A64, ""en"", ""am"")"),"63")</f>
        <v>63</v>
      </c>
      <c r="H64" s="11" t="str">
        <f>IFERROR(__xludf.DUMMYFUNCTION("GOOGLETRANSLATE(B64, ""en"", ""am"")"),"የተጫዋች ጦር ከዒላማው ጋር ይጣበቃል, ነገር ግን ነጥቦቹ ይከራከራሉ. ዳኛው ምን ማድረግ አለበት?")</f>
        <v>የተጫዋች ጦር ከዒላማው ጋር ይጣበቃል, ነገር ግን ነጥቦቹ ይከራከራሉ. ዳኛው ምን ማድረግ አለበት?</v>
      </c>
      <c r="I64" s="11" t="str">
        <f>IFERROR(__xludf.DUMMYFUNCTION("GOOGLETRANSLATE(C64, ""en"", ""am"")"),"ሀ. ሁኔታውን ይገምግሙ እና ነጥቦችን ይሸልሙ። ምንም ነጥብ አይሰጥም.ሲ. እንደገና እንዲሞክር ይፈቅዱለታል.ዲ. ተጫዋቹን ውድቅ ያድርጉት።")</f>
        <v>ሀ. ሁኔታውን ይገምግሙ እና ነጥቦችን ይሸልሙ። ምንም ነጥብ አይሰጥም.ሲ. እንደገና እንዲሞክር ይፈቅዱለታል.ዲ. ተጫዋቹን ውድቅ ያድርጉት።</v>
      </c>
      <c r="J64" s="11" t="str">
        <f>IFERROR(__xludf.DUMMYFUNCTION("GOOGLETRANSLATE(D64, ""en"", ""am"")"),"ሁኔታውን ይከልሱ እና የሽልማት ነጥቦቹን ይከልሱ")</f>
        <v>ሁኔታውን ይከልሱ እና የሽልማት ነጥቦቹን ይከልሱ</v>
      </c>
      <c r="K64" s="11" t="str">
        <f>IFERROR(__xludf.DUMMYFUNCTION("GOOGLETRANSLATE(E64, ""en"", ""am"")"),"ዳኛው መመታቱን ለማወቅ ሁኔታውን መገምገም አለበት።")</f>
        <v>ዳኛው መመታቱን ለማወቅ ሁኔታውን መገምገም አለበት።</v>
      </c>
    </row>
    <row r="65" ht="22.5" customHeight="1">
      <c r="A65" s="10">
        <v>64.0</v>
      </c>
      <c r="B65" s="11" t="s">
        <v>737</v>
      </c>
      <c r="C65" s="11" t="s">
        <v>738</v>
      </c>
      <c r="D65" s="11" t="s">
        <v>530</v>
      </c>
      <c r="E65" s="11" t="s">
        <v>739</v>
      </c>
      <c r="G65" s="11" t="str">
        <f>IFERROR(__xludf.DUMMYFUNCTION("GOOGLETRANSLATE(A65, ""en"", ""am"")"),"64")</f>
        <v>64</v>
      </c>
      <c r="H65" s="11" t="str">
        <f>IFERROR(__xludf.DUMMYFUNCTION("GOOGLETRANSLATE(B65, ""en"", ""am"")"),"የተጫዋቹ መሳሪያ ኢላማውን ይመታል, ነገር ግን ነፋሱ ወዲያውኑ ያጠፋዋል. ፍርዱ ምንድን ነው?")</f>
        <v>የተጫዋቹ መሳሪያ ኢላማውን ይመታል, ነገር ግን ነፋሱ ወዲያውኑ ያጠፋዋል. ፍርዱ ምንድን ነው?</v>
      </c>
      <c r="I65" s="11" t="str">
        <f>IFERROR(__xludf.DUMMYFUNCTION("GOOGLETRANSLATE(C65, ""en"", ""am"")"),"ሀ. ምንም ነጥብ አይሰጥም.ቢ. ለመጀመሪያው ስኬት የሽልማት ነጥቦች ሲ. በነፋስ ጣልቃ ገብነት ምክንያት እንደገና እንዲሞክር ፍቀድ። ከፊል ሽልማት ነጥቦች")</f>
        <v>ሀ. ምንም ነጥብ አይሰጥም.ቢ. ለመጀመሪያው ስኬት የሽልማት ነጥቦች ሲ. በነፋስ ጣልቃ ገብነት ምክንያት እንደገና እንዲሞክር ፍቀድ። ከፊል ሽልማት ነጥቦች</v>
      </c>
      <c r="J65" s="11" t="str">
        <f>IFERROR(__xludf.DUMMYFUNCTION("GOOGLETRANSLATE(D65, ""en"", ""am"")"),"ምንም ነጥብ አይሰጥም.")</f>
        <v>ምንም ነጥብ አይሰጥም.</v>
      </c>
      <c r="K65" s="11" t="str">
        <f>IFERROR(__xludf.DUMMYFUNCTION("GOOGLETRANSLATE(E65, ""en"", ""am"")"),"የንፋስ ጣልቃገብነት ጦሩ ከወደቀ ውጤቱን ያስወግዳል።")</f>
        <v>የንፋስ ጣልቃገብነት ጦሩ ከወደቀ ውጤቱን ያስወግዳል።</v>
      </c>
    </row>
    <row r="66" ht="22.5" customHeight="1">
      <c r="A66" s="10">
        <v>65.0</v>
      </c>
      <c r="B66" s="11" t="s">
        <v>740</v>
      </c>
      <c r="C66" s="11" t="s">
        <v>741</v>
      </c>
      <c r="D66" s="11" t="s">
        <v>742</v>
      </c>
      <c r="E66" s="11" t="s">
        <v>743</v>
      </c>
      <c r="G66" s="11" t="str">
        <f>IFERROR(__xludf.DUMMYFUNCTION("GOOGLETRANSLATE(A66, ""en"", ""am"")"),"65")</f>
        <v>65</v>
      </c>
      <c r="H66" s="11" t="str">
        <f>IFERROR(__xludf.DUMMYFUNCTION("GOOGLETRANSLATE(B66, ""en"", ""am"")"),"አንድ ተጫዋች ጦሩን ለመወርወር ሲዘጋጅ በድንገት ጦሩን ይሰባብራል። ቀጥሎ ምን ይሆናል?")</f>
        <v>አንድ ተጫዋች ጦሩን ለመወርወር ሲዘጋጅ በድንገት ጦሩን ይሰባብራል። ቀጥሎ ምን ይሆናል?</v>
      </c>
      <c r="I66" s="11" t="str">
        <f>IFERROR(__xludf.DUMMYFUNCTION("GOOGLETRANSLATE(C66, ""en"", ""am"")"),"ሀ. በአዲስ ጦር እንደገና ይሞክር.B. ተጫዋቹን ውድቅ ያድርጉት.ሲ. ለሙከራ ዲ የሽልማት ነጥቦች. መሣሪያዎችን ለመለወጥ ጨዋታውን ለአፍታ ያቁሙ።")</f>
        <v>ሀ. በአዲስ ጦር እንደገና ይሞክር.B. ተጫዋቹን ውድቅ ያድርጉት.ሲ. ለሙከራ ዲ የሽልማት ነጥቦች. መሣሪያዎችን ለመለወጥ ጨዋታውን ለአፍታ ያቁሙ።</v>
      </c>
      <c r="J66" s="11" t="str">
        <f>IFERROR(__xludf.DUMMYFUNCTION("GOOGLETRANSLATE(D66, ""en"", ""am"")"),"እንደገና በአዲስ ጦር ይሞክር።")</f>
        <v>እንደገና በአዲስ ጦር ይሞክር።</v>
      </c>
      <c r="K66" s="11" t="str">
        <f>IFERROR(__xludf.DUMMYFUNCTION("GOOGLETRANSLATE(E66, ""en"", ""am"")"),"ተጫዋቹ ለቀጣዩ ውርወራ አዲስ መሳሪያ መጠቀም ይችላል።")</f>
        <v>ተጫዋቹ ለቀጣዩ ውርወራ አዲስ መሳሪያ መጠቀም ይችላል።</v>
      </c>
    </row>
    <row r="67" ht="22.5" customHeight="1">
      <c r="A67" s="10">
        <v>66.0</v>
      </c>
      <c r="B67" s="11" t="s">
        <v>744</v>
      </c>
      <c r="C67" s="11" t="s">
        <v>745</v>
      </c>
      <c r="D67" s="11" t="s">
        <v>530</v>
      </c>
      <c r="E67" s="11" t="s">
        <v>746</v>
      </c>
      <c r="G67" s="11" t="str">
        <f>IFERROR(__xludf.DUMMYFUNCTION("GOOGLETRANSLATE(A67, ""en"", ""am"")"),"66")</f>
        <v>66</v>
      </c>
      <c r="H67" s="11" t="str">
        <f>IFERROR(__xludf.DUMMYFUNCTION("GOOGLETRANSLATE(B67, ""en"", ""am"")"),"የተጫዋች ጦር ከዒላማው ውጭ ይወድቃል። ምን ይሆናል?")</f>
        <v>የተጫዋች ጦር ከዒላማው ውጭ ይወድቃል። ምን ይሆናል?</v>
      </c>
      <c r="I67" s="11" t="str">
        <f>IFERROR(__xludf.DUMMYFUNCTION("GOOGLETRANSLATE(C67, ""en"", ""am"")"),"ሀ. ምንም ነጥብ አይሰጥም.ቢ. የርቀት ሽልማት ነጥብ ሐ. እንደገና ልሞክር።D. ከፊል ሽልማት ነጥቦች")</f>
        <v>ሀ. ምንም ነጥብ አይሰጥም.ቢ. የርቀት ሽልማት ነጥብ ሐ. እንደገና ልሞክር።D. ከፊል ሽልማት ነጥቦች</v>
      </c>
      <c r="J67" s="11" t="str">
        <f>IFERROR(__xludf.DUMMYFUNCTION("GOOGLETRANSLATE(D67, ""en"", ""am"")"),"ምንም ነጥብ አይሰጥም.")</f>
        <v>ምንም ነጥብ አይሰጥም.</v>
      </c>
      <c r="K67" s="11" t="str">
        <f>IFERROR(__xludf.DUMMYFUNCTION("GOOGLETRANSLATE(E67, ""en"", ""am"")"),"ጦሩ ጎል ለማስቆጠር ኢላማው ላይ ማረፍ አለበት።")</f>
        <v>ጦሩ ጎል ለማስቆጠር ኢላማው ላይ ማረፍ አለበት።</v>
      </c>
    </row>
    <row r="68" ht="22.5" customHeight="1">
      <c r="A68" s="10">
        <v>67.0</v>
      </c>
      <c r="B68" s="11" t="s">
        <v>747</v>
      </c>
      <c r="C68" s="11" t="s">
        <v>748</v>
      </c>
      <c r="D68" s="11" t="s">
        <v>552</v>
      </c>
      <c r="E68" s="11" t="s">
        <v>749</v>
      </c>
      <c r="G68" s="11" t="str">
        <f>IFERROR(__xludf.DUMMYFUNCTION("GOOGLETRANSLATE(A68, ""en"", ""am"")"),"67")</f>
        <v>67</v>
      </c>
      <c r="H68" s="11" t="str">
        <f>IFERROR(__xludf.DUMMYFUNCTION("GOOGLETRANSLATE(B68, ""en"", ""am"")"),"አንድ ተጫዋች በተጣለበት ወቅት በድንገት ከተጠቀሰው ቦታ ይወጣል። ምን ይሆናል?")</f>
        <v>አንድ ተጫዋች በተጣለበት ወቅት በድንገት ከተጠቀሰው ቦታ ይወጣል። ምን ይሆናል?</v>
      </c>
      <c r="I68" s="11" t="str">
        <f>IFERROR(__xludf.DUMMYFUNCTION("GOOGLETRANSLATE(C68, ""en"", ""am"")"),"A. መወርወርን እምቢ ማለት.B. እንደገና እንዲሞክር ያደርጉታል። ለሙከራ ዲ የሽልማት ነጥቦች. ጨዋታውን ለአፍታ አቁም.")</f>
        <v>A. መወርወርን እምቢ ማለት.B. እንደገና እንዲሞክር ያደርጉታል። ለሙከራ ዲ የሽልማት ነጥቦች. ጨዋታውን ለአፍታ አቁም.</v>
      </c>
      <c r="J68" s="11" t="str">
        <f>IFERROR(__xludf.DUMMYFUNCTION("GOOGLETRANSLATE(D68, ""en"", ""am"")"),"ውርወራውን ውድቅ አድርግ።")</f>
        <v>ውርወራውን ውድቅ አድርግ።</v>
      </c>
      <c r="K68" s="11" t="str">
        <f>IFERROR(__xludf.DUMMYFUNCTION("GOOGLETRANSLATE(E68, ""en"", ""am"")"),"ከድንበር መውጣት ውርወራው እንዳይፈቀድ ያደርጋል።")</f>
        <v>ከድንበር መውጣት ውርወራው እንዳይፈቀድ ያደርጋል።</v>
      </c>
    </row>
    <row r="69" ht="22.5" customHeight="1">
      <c r="A69" s="10">
        <v>68.0</v>
      </c>
      <c r="B69" s="11" t="s">
        <v>750</v>
      </c>
      <c r="C69" s="11" t="s">
        <v>751</v>
      </c>
      <c r="D69" s="11" t="s">
        <v>752</v>
      </c>
      <c r="E69" s="11" t="s">
        <v>753</v>
      </c>
      <c r="G69" s="11" t="str">
        <f>IFERROR(__xludf.DUMMYFUNCTION("GOOGLETRANSLATE(A69, ""en"", ""am"")"),"68")</f>
        <v>68</v>
      </c>
      <c r="H69" s="11" t="str">
        <f>IFERROR(__xludf.DUMMYFUNCTION("GOOGLETRANSLATE(B69, ""en"", ""am"")"),"የተጫዋች ምት ኢላማውን ይመታል እና ይጣበቃል, ነገር ግን ግብ ጠባቂው ነጥቦቹን በተሳሳተ መንገድ ይመዘግባል. ምን ይሆናል?")</f>
        <v>የተጫዋች ምት ኢላማውን ይመታል እና ይጣበቃል, ነገር ግን ግብ ጠባቂው ነጥቦቹን በተሳሳተ መንገድ ይመዘግባል. ምን ይሆናል?</v>
      </c>
      <c r="I69" s="11" t="str">
        <f>IFERROR(__xludf.DUMMYFUNCTION("GOOGLETRANSLATE(C69, ""en"", ""am"")"),"ሀ. ነጥቦቹን እንደገና ገምግመው ውጤቱን ያስተካክሉ.B. ምንም ነጥብ አይሰጥም.ሲ. ተጫዋቹ እንደገና እንዲሞክር ይፍቀዱለት።ዲ. በመጀመሪያው መምታት ላይ በመመስረት የሽልማት ነጥቦች")</f>
        <v>ሀ. ነጥቦቹን እንደገና ገምግመው ውጤቱን ያስተካክሉ.B. ምንም ነጥብ አይሰጥም.ሲ. ተጫዋቹ እንደገና እንዲሞክር ይፍቀዱለት።ዲ. በመጀመሪያው መምታት ላይ በመመስረት የሽልማት ነጥቦች</v>
      </c>
      <c r="J69" s="11" t="str">
        <f>IFERROR(__xludf.DUMMYFUNCTION("GOOGLETRANSLATE(D69, ""en"", ""am"")"),"ነጥቦቹን እንደገና ይገምግሙ እና ውጤቱን ያስተካክሉ.")</f>
        <v>ነጥቦቹን እንደገና ይገምግሙ እና ውጤቱን ያስተካክሉ.</v>
      </c>
      <c r="K69" s="11" t="str">
        <f>IFERROR(__xludf.DUMMYFUNCTION("GOOGLETRANSLATE(E69, ""en"", ""am"")"),"ግብ ጠባቂው ከመቀጠሉ በፊት ስህተቶችን ማረም አለበት።")</f>
        <v>ግብ ጠባቂው ከመቀጠሉ በፊት ስህተቶችን ማረም አለበት።</v>
      </c>
    </row>
    <row r="70" ht="22.5" customHeight="1">
      <c r="A70" s="10">
        <v>69.0</v>
      </c>
      <c r="B70" s="11" t="s">
        <v>754</v>
      </c>
      <c r="C70" s="11" t="s">
        <v>755</v>
      </c>
      <c r="D70" s="11" t="s">
        <v>541</v>
      </c>
      <c r="E70" s="11" t="s">
        <v>756</v>
      </c>
      <c r="G70" s="11" t="str">
        <f>IFERROR(__xludf.DUMMYFUNCTION("GOOGLETRANSLATE(A70, ""en"", ""am"")"),"69")</f>
        <v>69</v>
      </c>
      <c r="H70" s="11" t="str">
        <f>IFERROR(__xludf.DUMMYFUNCTION("GOOGLETRANSLATE(B70, ""en"", ""am"")"),"በተጫዋቾች ውርወራ ወቅት የተጫዋቹ ፈረስ ከትራኩ ላይ ይሮጣል፣ ይህም የተሳሳተ ውጤት ያስከትላል። ውሳኔው ምንድን ነው?")</f>
        <v>በተጫዋቾች ውርወራ ወቅት የተጫዋቹ ፈረስ ከትራኩ ላይ ይሮጣል፣ ይህም የተሳሳተ ውጤት ያስከትላል። ውሳኔው ምንድን ነው?</v>
      </c>
      <c r="I70" s="11" t="str">
        <f>IFERROR(__xludf.DUMMYFUNCTION("GOOGLETRANSLATE(C70, ""en"", ""am"")"),"ሀ. እንደገና ልሞክር.B. ምንም ነጥብ አልተሰጠም.ሲ. ለፈረስ አቀማመጥ ጨዋታውን ለአፍታ አቁም.ዲ. ለሙከራው የሽልማት ነጥቦች")</f>
        <v>ሀ. እንደገና ልሞክር.B. ምንም ነጥብ አልተሰጠም.ሲ. ለፈረስ አቀማመጥ ጨዋታውን ለአፍታ አቁም.ዲ. ለሙከራው የሽልማት ነጥቦች</v>
      </c>
      <c r="J70" s="11" t="str">
        <f>IFERROR(__xludf.DUMMYFUNCTION("GOOGLETRANSLATE(D70, ""en"", ""am"")"),"እንደገና እንዲሞክር ያደርጉታል።")</f>
        <v>እንደገና እንዲሞክር ያደርጉታል።</v>
      </c>
      <c r="K70" s="11" t="str">
        <f>IFERROR(__xludf.DUMMYFUNCTION("GOOGLETRANSLATE(E70, ""en"", ""am"")"),"ፈረሱ በመወርወር ላይ ስህተት ከሠራ ተጫዋቹ እንደገና መሞከር ይችላል።")</f>
        <v>ፈረሱ በመወርወር ላይ ስህተት ከሠራ ተጫዋቹ እንደገና መሞከር ይችላል።</v>
      </c>
    </row>
    <row r="71" ht="22.5" customHeight="1">
      <c r="A71" s="10">
        <v>70.0</v>
      </c>
      <c r="B71" s="11" t="s">
        <v>757</v>
      </c>
      <c r="C71" s="11" t="s">
        <v>758</v>
      </c>
      <c r="D71" s="11" t="s">
        <v>552</v>
      </c>
      <c r="E71" s="11" t="s">
        <v>759</v>
      </c>
      <c r="G71" s="11" t="str">
        <f>IFERROR(__xludf.DUMMYFUNCTION("GOOGLETRANSLATE(A71, ""en"", ""am"")"),"70")</f>
        <v>70</v>
      </c>
      <c r="H71" s="11" t="str">
        <f>IFERROR(__xludf.DUMMYFUNCTION("GOOGLETRANSLATE(B71, ""en"", ""am"")"),"ተጫዋቹ ጦሩን በስህተት በመያዝ ህገወጥ እንቅስቃሴ ያደርጋል። ምን ይሆናል?")</f>
        <v>ተጫዋቹ ጦሩን በስህተት በመያዝ ህገወጥ እንቅስቃሴ ያደርጋል። ምን ይሆናል?</v>
      </c>
      <c r="I71" s="11" t="str">
        <f>IFERROR(__xludf.DUMMYFUNCTION("GOOGLETRANSLATE(C71, ""en"", ""am"")"),"A. መወርወርን እምቢ ማለት.B. በትክክለኛው ቅጽ እንደገና እንዲሞክር ይፍቀዱለት። በሙከራ ዲ ላይ በመመስረት የሽልማት ነጥቦች. ጨዋታውን ለአፍታ አቁም.")</f>
        <v>A. መወርወርን እምቢ ማለት.B. በትክክለኛው ቅጽ እንደገና እንዲሞክር ይፍቀዱለት። በሙከራ ዲ ላይ በመመስረት የሽልማት ነጥቦች. ጨዋታውን ለአፍታ አቁም.</v>
      </c>
      <c r="J71" s="11" t="str">
        <f>IFERROR(__xludf.DUMMYFUNCTION("GOOGLETRANSLATE(D71, ""en"", ""am"")"),"ውርወራውን ውድቅ አድርግ።")</f>
        <v>ውርወራውን ውድቅ አድርግ።</v>
      </c>
      <c r="K71" s="11" t="str">
        <f>IFERROR(__xludf.DUMMYFUNCTION("GOOGLETRANSLATE(E71, ""en"", ""am"")"),"ሕገ-ወጥ ድርጊቶች የመወርወር ችሎታን ያጣሉ.")</f>
        <v>ሕገ-ወጥ ድርጊቶች የመወርወር ችሎታን ያጣሉ.</v>
      </c>
    </row>
    <row r="72" ht="22.5" customHeight="1">
      <c r="A72" s="10">
        <v>71.0</v>
      </c>
      <c r="B72" s="11" t="s">
        <v>639</v>
      </c>
      <c r="C72" s="11" t="s">
        <v>760</v>
      </c>
      <c r="D72" s="11" t="s">
        <v>530</v>
      </c>
      <c r="E72" s="11" t="s">
        <v>641</v>
      </c>
      <c r="G72" s="11" t="str">
        <f>IFERROR(__xludf.DUMMYFUNCTION("GOOGLETRANSLATE(A72, ""en"", ""am"")"),"71")</f>
        <v>71</v>
      </c>
      <c r="H72" s="11" t="str">
        <f>IFERROR(__xludf.DUMMYFUNCTION("GOOGLETRANSLATE(B72, ""en"", ""am"")"),"የተጫዋች መሳሪያ ኢላማውን ቢመታም ሳይጣበቅ ወደ ላይ ይወጣል። ፍርዱ ምንድን ነው?")</f>
        <v>የተጫዋች መሳሪያ ኢላማውን ቢመታም ሳይጣበቅ ወደ ላይ ይወጣል። ፍርዱ ምንድን ነው?</v>
      </c>
      <c r="I72" s="11" t="str">
        <f>IFERROR(__xludf.DUMMYFUNCTION("GOOGLETRANSLATE(C72, ""en"", ""am"")"),"ሀ. ምንም ነጥብ አይሰጥም.ቢ. ሙሉ ነጥብ ሽልማት ሲ. ከፊል ሽልማት ነጥቦችD. እንደገና ልሞክር።")</f>
        <v>ሀ. ምንም ነጥብ አይሰጥም.ቢ. ሙሉ ነጥብ ሽልማት ሲ. ከፊል ሽልማት ነጥቦችD. እንደገና ልሞክር።</v>
      </c>
      <c r="J72" s="11" t="str">
        <f>IFERROR(__xludf.DUMMYFUNCTION("GOOGLETRANSLATE(D72, ""en"", ""am"")"),"ምንም ነጥብ አይሰጥም.")</f>
        <v>ምንም ነጥብ አይሰጥም.</v>
      </c>
      <c r="K72" s="11" t="str">
        <f>IFERROR(__xludf.DUMMYFUNCTION("GOOGLETRANSLATE(E72, ""en"", ""am"")"),"ጦሩ ነጥብ ለማግኘት ከዒላማው ጋር መጣበቅ አለበት።")</f>
        <v>ጦሩ ነጥብ ለማግኘት ከዒላማው ጋር መጣበቅ አለበት።</v>
      </c>
    </row>
    <row r="73" ht="22.5" customHeight="1">
      <c r="A73" s="10">
        <v>72.0</v>
      </c>
      <c r="B73" s="11" t="s">
        <v>761</v>
      </c>
      <c r="C73" s="11" t="s">
        <v>762</v>
      </c>
      <c r="D73" s="11" t="s">
        <v>530</v>
      </c>
      <c r="E73" s="11" t="s">
        <v>763</v>
      </c>
      <c r="G73" s="11" t="str">
        <f>IFERROR(__xludf.DUMMYFUNCTION("GOOGLETRANSLATE(A73, ""en"", ""am"")"),"72")</f>
        <v>72</v>
      </c>
      <c r="H73" s="11" t="str">
        <f>IFERROR(__xludf.DUMMYFUNCTION("GOOGLETRANSLATE(B73, ""en"", ""am"")"),"አንድ ተጫዋች ኢላማውን ሙሉ በሙሉ ስቶታል ነገር ግን ተኩሱ በአቅራቢያው ባለው የግብ ክልል ላይ አረፈ። ምን ይሆናል?")</f>
        <v>አንድ ተጫዋች ኢላማውን ሙሉ በሙሉ ስቶታል ነገር ግን ተኩሱ በአቅራቢያው ባለው የግብ ክልል ላይ አረፈ። ምን ይሆናል?</v>
      </c>
      <c r="I73" s="11" t="str">
        <f>IFERROR(__xludf.DUMMYFUNCTION("GOOGLETRANSLATE(C73, ""en"", ""am"")"),"ሀ. የመቀራረብ ነጥቦች ለ. እንደገና እንዲሞክር ያደርጉታል። ምንም ነጥብ አይሰጥም.ዲ. ለማረፊያ ሙሉ ነጥቦችን ይሸልሙ")</f>
        <v>ሀ. የመቀራረብ ነጥቦች ለ. እንደገና እንዲሞክር ያደርጉታል። ምንም ነጥብ አይሰጥም.ዲ. ለማረፊያ ሙሉ ነጥቦችን ይሸልሙ</v>
      </c>
      <c r="J73" s="11" t="str">
        <f>IFERROR(__xludf.DUMMYFUNCTION("GOOGLETRANSLATE(D73, ""en"", ""am"")"),"ምንም ነጥብ አይሰጥም.")</f>
        <v>ምንም ነጥብ አይሰጥም.</v>
      </c>
      <c r="K73" s="11" t="str">
        <f>IFERROR(__xludf.DUMMYFUNCTION("GOOGLETRANSLATE(E73, ""en"", ""am"")"),"ነጥቦች የተሸለሙት ዒላማው ላይ በቀጥታ ለተመታ ብቻ ነው።")</f>
        <v>ነጥቦች የተሸለሙት ዒላማው ላይ በቀጥታ ለተመታ ብቻ ነው።</v>
      </c>
    </row>
    <row r="74" ht="22.5" customHeight="1">
      <c r="A74" s="10">
        <v>73.0</v>
      </c>
      <c r="B74" s="11" t="s">
        <v>764</v>
      </c>
      <c r="C74" s="11" t="s">
        <v>765</v>
      </c>
      <c r="D74" s="11" t="s">
        <v>766</v>
      </c>
      <c r="E74" s="11" t="s">
        <v>767</v>
      </c>
      <c r="G74" s="11" t="str">
        <f>IFERROR(__xludf.DUMMYFUNCTION("GOOGLETRANSLATE(A74, ""en"", ""am"")"),"73")</f>
        <v>73</v>
      </c>
      <c r="H74" s="11" t="str">
        <f>IFERROR(__xludf.DUMMYFUNCTION("GOOGLETRANSLATE(B74, ""en"", ""am"")"),"የተጫዋች ጦር ከዒላማው ጋር ይጣበቃል, ነገር ግን ሌላ ተጫዋች በድንገት ያጠፋዋል. ምን ይሆናል?")</f>
        <v>የተጫዋች ጦር ከዒላማው ጋር ይጣበቃል, ነገር ግን ሌላ ተጫዋች በድንገት ያጠፋዋል. ምን ይሆናል?</v>
      </c>
      <c r="I74" s="11" t="str">
        <f>IFERROR(__xludf.DUMMYFUNCTION("GOOGLETRANSLATE(C74, ""en"", ""am"")"),"ሀ. ምንም ነጥብ አይሰጥም.ቢ. በመጀመሪያ hitC ላይ በመመስረት የሽልማት ነጥቦች። ተጫዋቹ እንደገና እንዲሞክር ይፈቅዳሉ.ዲ. ሌላውን ተጫዋች ውድቅ ያደርጋሉ።")</f>
        <v>ሀ. ምንም ነጥብ አይሰጥም.ቢ. በመጀመሪያ hitC ላይ በመመስረት የሽልማት ነጥቦች። ተጫዋቹ እንደገና እንዲሞክር ይፈቅዳሉ.ዲ. ሌላውን ተጫዋች ውድቅ ያደርጋሉ።</v>
      </c>
      <c r="J74" s="11" t="str">
        <f>IFERROR(__xludf.DUMMYFUNCTION("GOOGLETRANSLATE(D74, ""en"", ""am"")"),"በመጀመሪያ መምታት ላይ በመመስረት የሽልማት ነጥቦች")</f>
        <v>በመጀመሪያ መምታት ላይ በመመስረት የሽልማት ነጥቦች</v>
      </c>
      <c r="K74" s="11" t="str">
        <f>IFERROR(__xludf.DUMMYFUNCTION("GOOGLETRANSLATE(E74, ""en"", ""am"")"),"ነጥቦቹ የተሸለሙት በመጀመሪያው ስኬታማ ስኬት ላይ በመመስረት ነው።")</f>
        <v>ነጥቦቹ የተሸለሙት በመጀመሪያው ስኬታማ ስኬት ላይ በመመስረት ነው።</v>
      </c>
    </row>
    <row r="75" ht="22.5" customHeight="1">
      <c r="A75" s="10">
        <v>74.0</v>
      </c>
      <c r="B75" s="11" t="s">
        <v>768</v>
      </c>
      <c r="C75" s="11" t="s">
        <v>769</v>
      </c>
      <c r="D75" s="11" t="s">
        <v>770</v>
      </c>
      <c r="E75" s="11" t="s">
        <v>771</v>
      </c>
      <c r="G75" s="11" t="str">
        <f>IFERROR(__xludf.DUMMYFUNCTION("GOOGLETRANSLATE(A75, ""en"", ""am"")"),"74")</f>
        <v>74</v>
      </c>
      <c r="H75" s="11" t="str">
        <f>IFERROR(__xludf.DUMMYFUNCTION("GOOGLETRANSLATE(B75, ""en"", ""am"")"),"አንድ ተጫዋች ጦሩን ሲወረውር ሌላ ተጫዋች በአይናቸው ውስጥ እያለ። ምን ይሆናል?")</f>
        <v>አንድ ተጫዋች ጦሩን ሲወረውር ሌላ ተጫዋች በአይናቸው ውስጥ እያለ። ምን ይሆናል?</v>
      </c>
      <c r="I75" s="11" t="str">
        <f>IFERROR(__xludf.DUMMYFUNCTION("GOOGLETRANSLATE(C75, ""en"", ""am"")"),"ሀ. መወርወሩ እንዲቀጥል ይፈቅዳል.ቢ. ጨዋታውን ለአፍታ አቁም እና ተጫዋቹን ይቀጣው.ሲ. እንደገና እንዲሞክር ይፈቅዱለታል.ዲ. ውርወራውን ውድቅ ያደርጋሉ።")</f>
        <v>ሀ. መወርወሩ እንዲቀጥል ይፈቅዳል.ቢ. ጨዋታውን ለአፍታ አቁም እና ተጫዋቹን ይቀጣው.ሲ. እንደገና እንዲሞክር ይፈቅዱለታል.ዲ. ውርወራውን ውድቅ ያደርጋሉ።</v>
      </c>
      <c r="J75" s="11" t="str">
        <f>IFERROR(__xludf.DUMMYFUNCTION("GOOGLETRANSLATE(D75, ""en"", ""am"")"),"መወርወሩ እንዲቀጥል ይፈቅዳሉ.")</f>
        <v>መወርወሩ እንዲቀጥል ይፈቅዳሉ.</v>
      </c>
      <c r="K75" s="11" t="str">
        <f>IFERROR(__xludf.DUMMYFUNCTION("GOOGLETRANSLATE(E75, ""en"", ""am"")"),"ተጫዋቾች ከመወርወርዎ በፊት ከማንኛውም መሰናክሎች ነፃ መሆናቸውን ማረጋገጥ አለባቸው።")</f>
        <v>ተጫዋቾች ከመወርወርዎ በፊት ከማንኛውም መሰናክሎች ነፃ መሆናቸውን ማረጋገጥ አለባቸው።</v>
      </c>
    </row>
    <row r="76" ht="22.5" customHeight="1">
      <c r="A76" s="10">
        <v>75.0</v>
      </c>
      <c r="B76" s="11" t="s">
        <v>772</v>
      </c>
      <c r="C76" s="11" t="s">
        <v>773</v>
      </c>
      <c r="D76" s="11" t="s">
        <v>774</v>
      </c>
      <c r="E76" s="11" t="s">
        <v>775</v>
      </c>
      <c r="G76" s="11" t="str">
        <f>IFERROR(__xludf.DUMMYFUNCTION("GOOGLETRANSLATE(A76, ""en"", ""am"")"),"75")</f>
        <v>75</v>
      </c>
      <c r="H76" s="11" t="str">
        <f>IFERROR(__xludf.DUMMYFUNCTION("GOOGLETRANSLATE(B76, ""en"", ""am"")"),"ተጫዋቹ ጦራቸውን በተሳሳተ መንገድ በመወርወር ጦራቸውን እንዲያጡ አድርጓል። ፍርዱ ምንድን ነው?")</f>
        <v>ተጫዋቹ ጦራቸውን በተሳሳተ መንገድ በመወርወር ጦራቸውን እንዲያጡ አድርጓል። ፍርዱ ምንድን ነው?</v>
      </c>
      <c r="I76" s="11" t="str">
        <f>IFERROR(__xludf.DUMMYFUNCTION("GOOGLETRANSLATE(C76, ""en"", ""am"")"),"ሀ. በተገቢው ቅጽ እንደገና እንዲሞክር ይፍቀዱለት.B. በ ጥረት ሐ ላይ የተመሠረተ ሽልማት ነጥቦች. ውርወራውን እምቢ.ዲ. ምንም ነጥብ አልተሰጠም።")</f>
        <v>ሀ. በተገቢው ቅጽ እንደገና እንዲሞክር ይፍቀዱለት.B. በ ጥረት ሐ ላይ የተመሠረተ ሽልማት ነጥቦች. ውርወራውን እምቢ.ዲ. ምንም ነጥብ አልተሰጠም።</v>
      </c>
      <c r="J76" s="11" t="str">
        <f>IFERROR(__xludf.DUMMYFUNCTION("GOOGLETRANSLATE(D76, ""en"", ""am"")"),"በተገቢው ቅጽ እንደገና እንዲሞክር ይፍቀዱለት።")</f>
        <v>በተገቢው ቅጽ እንደገና እንዲሞክር ይፍቀዱለት።</v>
      </c>
      <c r="K76" s="11" t="str">
        <f>IFERROR(__xludf.DUMMYFUNCTION("GOOGLETRANSLATE(E76, ""en"", ""am"")"),"ተጫዋቹ ለትክክለኛው ውርወራ ተገቢውን ቅጽ መጠቀም አለበት.")</f>
        <v>ተጫዋቹ ለትክክለኛው ውርወራ ተገቢውን ቅጽ መጠቀም አለበት.</v>
      </c>
    </row>
    <row r="77" ht="22.5" customHeight="1">
      <c r="A77" s="10">
        <v>76.0</v>
      </c>
      <c r="B77" s="11" t="s">
        <v>776</v>
      </c>
      <c r="C77" s="11" t="s">
        <v>777</v>
      </c>
      <c r="D77" s="11" t="s">
        <v>575</v>
      </c>
      <c r="E77" s="11" t="s">
        <v>778</v>
      </c>
      <c r="G77" s="11" t="str">
        <f>IFERROR(__xludf.DUMMYFUNCTION("GOOGLETRANSLATE(A77, ""en"", ""am"")"),"76")</f>
        <v>76</v>
      </c>
      <c r="H77" s="11" t="str">
        <f>IFERROR(__xludf.DUMMYFUNCTION("GOOGLETRANSLATE(B77, ""en"", ""am"")"),"የተጫዋች ጦር በዒላማው ጠርዝ ላይ ወድቋል። እንዴት ነው የተመዘገበው?")</f>
        <v>የተጫዋች ጦር በዒላማው ጠርዝ ላይ ወድቋል። እንዴት ነው የተመዘገበው?</v>
      </c>
      <c r="I77" s="11" t="str">
        <f>IFERROR(__xludf.DUMMYFUNCTION("GOOGLETRANSLATE(C77, ""en"", ""am"")"),"ሀ. ምንም ነጥብ አይሰጥም.ቢ. ምንም ሽልማት የለም. ከፊል ሽልማት ነጥቦችD. እንደገና ልሞክር።")</f>
        <v>ሀ. ምንም ነጥብ አይሰጥም.ቢ. ምንም ሽልማት የለም. ከፊል ሽልማት ነጥቦችD. እንደገና ልሞክር።</v>
      </c>
      <c r="J77" s="11" t="str">
        <f>IFERROR(__xludf.DUMMYFUNCTION("GOOGLETRANSLATE(D77, ""en"", ""am"")"),"ሙሉ ነጥብ ሽልማት")</f>
        <v>ሙሉ ነጥብ ሽልማት</v>
      </c>
      <c r="K77" s="11" t="str">
        <f>IFERROR(__xludf.DUMMYFUNCTION("GOOGLETRANSLATE(E77, ""en"", ""am"")"),"በዒላማው ጠርዝ ላይ ማረፍ አሁንም እንደ ትክክለኛ መምታት ይቆጠራል።")</f>
        <v>በዒላማው ጠርዝ ላይ ማረፍ አሁንም እንደ ትክክለኛ መምታት ይቆጠራል።</v>
      </c>
    </row>
    <row r="78" ht="22.5" customHeight="1">
      <c r="A78" s="10">
        <v>77.0</v>
      </c>
      <c r="B78" s="11" t="s">
        <v>779</v>
      </c>
      <c r="C78" s="11" t="s">
        <v>780</v>
      </c>
      <c r="D78" s="11" t="s">
        <v>530</v>
      </c>
      <c r="E78" s="11" t="s">
        <v>781</v>
      </c>
      <c r="G78" s="11" t="str">
        <f>IFERROR(__xludf.DUMMYFUNCTION("GOOGLETRANSLATE(A78, ""en"", ""am"")"),"77")</f>
        <v>77</v>
      </c>
      <c r="H78" s="11" t="str">
        <f>IFERROR(__xludf.DUMMYFUNCTION("GOOGLETRANSLATE(B78, ""en"", ""am"")"),"ተጫዋቹ ጦራቸውን ቢወረውሩም ከዒላማው ጀርባ ወድቋል። ምን ይሆናል?")</f>
        <v>ተጫዋቹ ጦራቸውን ቢወረውሩም ከዒላማው ጀርባ ወድቋል። ምን ይሆናል?</v>
      </c>
      <c r="I78" s="11" t="str">
        <f>IFERROR(__xludf.DUMMYFUNCTION("GOOGLETRANSLATE(C78, ""en"", ""am"")"),"ሀ. ምንም ነጥብ አይሰጥም.ቢ. በ ርቀት ሐ ላይ የተመሠረተ የሽልማት ነጥቦች. እንደገና እንዲሞክር ይፈቅዱለታል.ዲ. ከፊል ሽልማት ነጥቦች")</f>
        <v>ሀ. ምንም ነጥብ አይሰጥም.ቢ. በ ርቀት ሐ ላይ የተመሠረተ የሽልማት ነጥቦች. እንደገና እንዲሞክር ይፈቅዱለታል.ዲ. ከፊል ሽልማት ነጥቦች</v>
      </c>
      <c r="J78" s="11" t="str">
        <f>IFERROR(__xludf.DUMMYFUNCTION("GOOGLETRANSLATE(D78, ""en"", ""am"")"),"ምንም ነጥብ አይሰጥም.")</f>
        <v>ምንም ነጥብ አይሰጥም.</v>
      </c>
      <c r="K78" s="11" t="str">
        <f>IFERROR(__xludf.DUMMYFUNCTION("GOOGLETRANSLATE(E78, ""en"", ""am"")"),"ጦሩ ጎል ለማስቆጠር ከዒላማው ፊት ለፊት ማረፍ አለበት።")</f>
        <v>ጦሩ ጎል ለማስቆጠር ከዒላማው ፊት ለፊት ማረፍ አለበት።</v>
      </c>
    </row>
    <row r="79" ht="22.5" customHeight="1">
      <c r="A79" s="10">
        <v>78.0</v>
      </c>
      <c r="B79" s="11" t="s">
        <v>782</v>
      </c>
      <c r="C79" s="11" t="s">
        <v>783</v>
      </c>
      <c r="D79" s="11" t="s">
        <v>784</v>
      </c>
      <c r="E79" s="11" t="s">
        <v>785</v>
      </c>
      <c r="G79" s="11" t="str">
        <f>IFERROR(__xludf.DUMMYFUNCTION("GOOGLETRANSLATE(A79, ""en"", ""am"")"),"78")</f>
        <v>78</v>
      </c>
      <c r="H79" s="11" t="str">
        <f>IFERROR(__xludf.DUMMYFUNCTION("GOOGLETRANSLATE(B79, ""en"", ""am"")"),"የተጫዋቹ መሳሪያ ኢላማውን ቢመታም ነፋሱ ወዲያውኑ ያጠፋዋል። ፍርዱ ምንድን ነው?")</f>
        <v>የተጫዋቹ መሳሪያ ኢላማውን ቢመታም ነፋሱ ወዲያውኑ ያጠፋዋል። ፍርዱ ምንድን ነው?</v>
      </c>
      <c r="I79" s="11" t="str">
        <f>IFERROR(__xludf.DUMMYFUNCTION("GOOGLETRANSLATE(C79, ""en"", ""am"")"),"ሀ. ለመጀመሪያው ስኬት የሽልማት ነጥቦች ለ. ምንም ነጥብ አይሰጥም.ሲ. እንደገና እንዲሞክር ይፈቅዱለታል.ዲ. ጨዋታውን ለአፍታ አቁም እና ኢላማውን እንደገና አስጀምር።")</f>
        <v>ሀ. ለመጀመሪያው ስኬት የሽልማት ነጥቦች ለ. ምንም ነጥብ አይሰጥም.ሲ. እንደገና እንዲሞክር ይፈቅዱለታል.ዲ. ጨዋታውን ለአፍታ አቁም እና ኢላማውን እንደገና አስጀምር።</v>
      </c>
      <c r="J79" s="11" t="str">
        <f>IFERROR(__xludf.DUMMYFUNCTION("GOOGLETRANSLATE(D79, ""en"", ""am"")"),"ለመጀመሪያው ስኬት የሽልማት ነጥቦች")</f>
        <v>ለመጀመሪያው ስኬት የሽልማት ነጥቦች</v>
      </c>
      <c r="K79" s="11" t="str">
        <f>IFERROR(__xludf.DUMMYFUNCTION("GOOGLETRANSLATE(E79, ""en"", ""am"")"),"ነጥቦች የተሸለሙት በመጀመሪያው ስኬታማ ስኬት ላይ በመመስረት ነው።")</f>
        <v>ነጥቦች የተሸለሙት በመጀመሪያው ስኬታማ ስኬት ላይ በመመስረት ነው።</v>
      </c>
    </row>
    <row r="80" ht="22.5" customHeight="1">
      <c r="A80" s="10">
        <v>79.0</v>
      </c>
      <c r="B80" s="11" t="s">
        <v>786</v>
      </c>
      <c r="C80" s="11" t="s">
        <v>787</v>
      </c>
      <c r="D80" s="11" t="s">
        <v>530</v>
      </c>
      <c r="E80" s="11" t="s">
        <v>788</v>
      </c>
      <c r="G80" s="11" t="str">
        <f>IFERROR(__xludf.DUMMYFUNCTION("GOOGLETRANSLATE(A80, ""en"", ""am"")"),"79")</f>
        <v>79</v>
      </c>
      <c r="H80" s="11" t="str">
        <f>IFERROR(__xludf.DUMMYFUNCTION("GOOGLETRANSLATE(B80, ""en"", ""am"")"),"አንድ ተጫዋች ሲወረውር ከድንበር ቢወጣም ኢላማውን ይመታል። ውጤቱስ ምንድን ነው?")</f>
        <v>አንድ ተጫዋች ሲወረውር ከድንበር ቢወጣም ኢላማውን ይመታል። ውጤቱስ ምንድን ነው?</v>
      </c>
      <c r="I80" s="11" t="str">
        <f>IFERROR(__xludf.DUMMYFUNCTION("GOOGLETRANSLATE(C80, ""en"", ""am"")"),"ሀ. ምንም ነጥብ አልተሰጠም.B. እንደገና እንዲሞክር ያደርጉታል። ለተሳካ ውርወራ የሽልማት ነጥቦች። ተጫዋቹን ውድቅ ያድርጉት።")</f>
        <v>ሀ. ምንም ነጥብ አልተሰጠም.B. እንደገና እንዲሞክር ያደርጉታል። ለተሳካ ውርወራ የሽልማት ነጥቦች። ተጫዋቹን ውድቅ ያድርጉት።</v>
      </c>
      <c r="J80" s="11" t="str">
        <f>IFERROR(__xludf.DUMMYFUNCTION("GOOGLETRANSLATE(D80, ""en"", ""am"")"),"ምንም ነጥብ አይሰጥም.")</f>
        <v>ምንም ነጥብ አይሰጥም.</v>
      </c>
      <c r="K80" s="11" t="str">
        <f>IFERROR(__xludf.DUMMYFUNCTION("GOOGLETRANSLATE(E80, ""en"", ""am"")"),"ተጫዋቾቹ ልክ ለሆነ ውርወራ ድንበሮች ውስጥ መቆየት አለባቸው።")</f>
        <v>ተጫዋቾቹ ልክ ለሆነ ውርወራ ድንበሮች ውስጥ መቆየት አለባቸው።</v>
      </c>
    </row>
    <row r="81" ht="22.5" customHeight="1">
      <c r="A81" s="10">
        <v>80.0</v>
      </c>
      <c r="B81" s="11" t="s">
        <v>789</v>
      </c>
      <c r="C81" s="11" t="s">
        <v>790</v>
      </c>
      <c r="D81" s="11" t="s">
        <v>791</v>
      </c>
      <c r="E81" s="11" t="s">
        <v>792</v>
      </c>
      <c r="G81" s="11" t="str">
        <f>IFERROR(__xludf.DUMMYFUNCTION("GOOGLETRANSLATE(A81, ""en"", ""am"")"),"80")</f>
        <v>80</v>
      </c>
      <c r="H81" s="11" t="str">
        <f>IFERROR(__xludf.DUMMYFUNCTION("GOOGLETRANSLATE(B81, ""en"", ""am"")"),"የተጫዋቹ ጦር ኢላማውን ቢመታም ዳኛው ግን ውርወራውን ስቶታል። ቀጥሎ ምን ይሆናል?")</f>
        <v>የተጫዋቹ ጦር ኢላማውን ቢመታም ዳኛው ግን ውርወራውን ስቶታል። ቀጥሎ ምን ይሆናል?</v>
      </c>
      <c r="I81" s="11" t="str">
        <f>IFERROR(__xludf.DUMMYFUNCTION("GOOGLETRANSLATE(C81, ""en"", ""am"")"),"ሀ. በ hitB ላይ የተመሠረተ የሽልማት ነጥቦች። እንደገና እንዲሞክር ያደርጉታል። ውርወራውን እምቢ.ዲ. ጨዋታውን ለአፍታ ያቁሙ እና ይገምግሙ።")</f>
        <v>ሀ. በ hitB ላይ የተመሠረተ የሽልማት ነጥቦች። እንደገና እንዲሞክር ያደርጉታል። ውርወራውን እምቢ.ዲ. ጨዋታውን ለአፍታ ያቁሙ እና ይገምግሙ።</v>
      </c>
      <c r="J81" s="11" t="str">
        <f>IFERROR(__xludf.DUMMYFUNCTION("GOOGLETRANSLATE(D81, ""en"", ""am"")"),"በመምታቱ ላይ በመመስረት የሽልማት ነጥቦች")</f>
        <v>በመምታቱ ላይ በመመስረት የሽልማት ነጥቦች</v>
      </c>
      <c r="K81" s="11" t="str">
        <f>IFERROR(__xludf.DUMMYFUNCTION("GOOGLETRANSLATE(E81, ""en"", ""am"")"),"መወርወሩ በዳኛው ከተረጋገጠ ልክ እንደሆነ ይቆጠራል።")</f>
        <v>መወርወሩ በዳኛው ከተረጋገጠ ልክ እንደሆነ ይቆጠራል።</v>
      </c>
    </row>
    <row r="82" ht="22.5" customHeight="1">
      <c r="A82" s="10">
        <v>81.0</v>
      </c>
      <c r="B82" s="11" t="s">
        <v>793</v>
      </c>
      <c r="C82" s="11" t="s">
        <v>794</v>
      </c>
      <c r="D82" s="11" t="s">
        <v>530</v>
      </c>
      <c r="E82" s="11" t="s">
        <v>795</v>
      </c>
      <c r="G82" s="11" t="str">
        <f>IFERROR(__xludf.DUMMYFUNCTION("GOOGLETRANSLATE(A82, ""en"", ""am"")"),"81")</f>
        <v>81</v>
      </c>
      <c r="H82" s="11" t="str">
        <f>IFERROR(__xludf.DUMMYFUNCTION("GOOGLETRANSLATE(B82, ""en"", ""am"")"),"የተጫዋች ጦር ኢላማውን ትቶ ከተቃዋሚው አካባቢ ጀርባ ያርፋል። ፍርዱ ምንድን ነው?")</f>
        <v>የተጫዋች ጦር ኢላማውን ትቶ ከተቃዋሚው አካባቢ ጀርባ ያርፋል። ፍርዱ ምንድን ነው?</v>
      </c>
      <c r="I82" s="11" t="str">
        <f>IFERROR(__xludf.DUMMYFUNCTION("GOOGLETRANSLATE(C82, ""en"", ""am"")"),"ሀ. ምንም ነጥብ አይሰጥም.ቢ. እንደገና እንዲሞክር ያደርጉታል። በ ርቀትD ላይ የተመሰረተ የሽልማት ነጥቦች. ውርወራውን ውድቅ አድርግ።")</f>
        <v>ሀ. ምንም ነጥብ አይሰጥም.ቢ. እንደገና እንዲሞክር ያደርጉታል። በ ርቀትD ላይ የተመሰረተ የሽልማት ነጥቦች. ውርወራውን ውድቅ አድርግ።</v>
      </c>
      <c r="J82" s="11" t="str">
        <f>IFERROR(__xludf.DUMMYFUNCTION("GOOGLETRANSLATE(D82, ""en"", ""am"")"),"ምንም ነጥብ አይሰጥም.")</f>
        <v>ምንም ነጥብ አይሰጥም.</v>
      </c>
      <c r="K82" s="11" t="str">
        <f>IFERROR(__xludf.DUMMYFUNCTION("GOOGLETRANSLATE(E82, ""en"", ""am"")"),"ጦሩ ግብ ለማስቆጠር በተዘጋጀው ቦታ ላይ ማረፍ አለበት።")</f>
        <v>ጦሩ ግብ ለማስቆጠር በተዘጋጀው ቦታ ላይ ማረፍ አለበት።</v>
      </c>
    </row>
    <row r="83" ht="22.5" customHeight="1">
      <c r="A83" s="10">
        <v>82.0</v>
      </c>
      <c r="B83" s="11" t="s">
        <v>796</v>
      </c>
      <c r="C83" s="11" t="s">
        <v>797</v>
      </c>
      <c r="D83" s="11" t="s">
        <v>530</v>
      </c>
      <c r="E83" s="11" t="s">
        <v>798</v>
      </c>
      <c r="G83" s="11" t="str">
        <f>IFERROR(__xludf.DUMMYFUNCTION("GOOGLETRANSLATE(A83, ""en"", ""am"")"),"82")</f>
        <v>82</v>
      </c>
      <c r="H83" s="11" t="str">
        <f>IFERROR(__xludf.DUMMYFUNCTION("GOOGLETRANSLATE(B83, ""en"", ""am"")"),"የተጫዋች መሳሪያ ዒላማው ላይ ይበርራል ነገር ግን አያርፍም። ቀጥሎ ምን ይሆናል?")</f>
        <v>የተጫዋች መሳሪያ ዒላማው ላይ ይበርራል ነገር ግን አያርፍም። ቀጥሎ ምን ይሆናል?</v>
      </c>
      <c r="I83" s="11" t="str">
        <f>IFERROR(__xludf.DUMMYFUNCTION("GOOGLETRANSLATE(C83, ""en"", ""am"")"),"ሀ. ምንም ነጥብ አይሰጥም.ቢ. ለቅርብ ኪሳራ የሽልማት ነጥቦች. እንደገና እንዲሞክር ይፈቅዱለታል.ዲ. ከፊል ሽልማት ነጥቦች")</f>
        <v>ሀ. ምንም ነጥብ አይሰጥም.ቢ. ለቅርብ ኪሳራ የሽልማት ነጥቦች. እንደገና እንዲሞክር ይፈቅዱለታል.ዲ. ከፊል ሽልማት ነጥቦች</v>
      </c>
      <c r="J83" s="11" t="str">
        <f>IFERROR(__xludf.DUMMYFUNCTION("GOOGLETRANSLATE(D83, ""en"", ""am"")"),"ምንም ነጥብ አይሰጥም.")</f>
        <v>ምንም ነጥብ አይሰጥም.</v>
      </c>
      <c r="K83" s="11" t="str">
        <f>IFERROR(__xludf.DUMMYFUNCTION("GOOGLETRANSLATE(E83, ""en"", ""am"")"),"ስኬታማ መምታት በዒላማው ላይ ማረፍ ወይም መጣበቅን ይጠይቃል።")</f>
        <v>ስኬታማ መምታት በዒላማው ላይ ማረፍ ወይም መጣበቅን ይጠይቃል።</v>
      </c>
    </row>
    <row r="84" ht="22.5" customHeight="1">
      <c r="A84" s="10">
        <v>83.0</v>
      </c>
      <c r="B84" s="11" t="s">
        <v>799</v>
      </c>
      <c r="C84" s="11" t="s">
        <v>800</v>
      </c>
      <c r="D84" s="11" t="s">
        <v>801</v>
      </c>
      <c r="E84" s="11" t="s">
        <v>802</v>
      </c>
      <c r="G84" s="11" t="str">
        <f>IFERROR(__xludf.DUMMYFUNCTION("GOOGLETRANSLATE(A84, ""en"", ""am"")"),"83")</f>
        <v>83</v>
      </c>
      <c r="H84" s="11" t="str">
        <f>IFERROR(__xludf.DUMMYFUNCTION("GOOGLETRANSLATE(B84, ""en"", ""am"")"),"ተጫዋቹ ጦራቸውን ቢወረውሩም ተቃዋሚው ባዘጋጀው ዞን ውስጥ ገባ። ምን ይሆናል?")</f>
        <v>ተጫዋቹ ጦራቸውን ቢወረውሩም ተቃዋሚው ባዘጋጀው ዞን ውስጥ ገባ። ምን ይሆናል?</v>
      </c>
      <c r="I84" s="11" t="str">
        <f>IFERROR(__xludf.DUMMYFUNCTION("GOOGLETRANSLATE(C84, ""en"", ""am"")"),"ሀ. የሽልማት ነጥብ ለተሳካ ውርወራዎች ተሰጥቷል። ተቃዋሚው የጊዜ ማብቂያ እንዲጠራ ፍቀድለት።ሲ. ሽልማቱ ወደ ተቃዋሚው ይጠቁማል.ዲ. ምንም ነጥብ አልተሰጠም።")</f>
        <v>ሀ. የሽልማት ነጥብ ለተሳካ ውርወራዎች ተሰጥቷል። ተቃዋሚው የጊዜ ማብቂያ እንዲጠራ ፍቀድለት።ሲ. ሽልማቱ ወደ ተቃዋሚው ይጠቁማል.ዲ. ምንም ነጥብ አልተሰጠም።</v>
      </c>
      <c r="J84" s="11" t="str">
        <f>IFERROR(__xludf.DUMMYFUNCTION("GOOGLETRANSLATE(D84, ""en"", ""am"")"),"ለተሳካ ውርወራ የሽልማት ነጥቦች")</f>
        <v>ለተሳካ ውርወራ የሽልማት ነጥቦች</v>
      </c>
      <c r="K84" s="11" t="str">
        <f>IFERROR(__xludf.DUMMYFUNCTION("GOOGLETRANSLATE(E84, ""en"", ""am"")"),"መወርወሩ ተቆጥሯል, ግን በተቃዋሚው ዞን ውስጥ ነው.")</f>
        <v>መወርወሩ ተቆጥሯል, ግን በተቃዋሚው ዞን ውስጥ ነው.</v>
      </c>
    </row>
    <row r="85" ht="22.5" customHeight="1">
      <c r="A85" s="10">
        <v>84.0</v>
      </c>
      <c r="B85" s="11" t="s">
        <v>803</v>
      </c>
      <c r="C85" s="11" t="s">
        <v>804</v>
      </c>
      <c r="D85" s="11" t="s">
        <v>805</v>
      </c>
      <c r="E85" s="11" t="s">
        <v>806</v>
      </c>
      <c r="G85" s="11" t="str">
        <f>IFERROR(__xludf.DUMMYFUNCTION("GOOGLETRANSLATE(A85, ""en"", ""am"")"),"84")</f>
        <v>84</v>
      </c>
      <c r="H85" s="11" t="str">
        <f>IFERROR(__xludf.DUMMYFUNCTION("GOOGLETRANSLATE(B85, ""en"", ""am"")"),"አንድ ተጫዋች ከመወርወሩ በፊት በድንገት ጦሩን ይጥላል። ምን ይሆናል?")</f>
        <v>አንድ ተጫዋች ከመወርወሩ በፊት በድንገት ጦሩን ይጥላል። ምን ይሆናል?</v>
      </c>
      <c r="I85" s="11" t="str">
        <f>IFERROR(__xludf.DUMMYFUNCTION("GOOGLETRANSLATE(C85, ""en"", ""am"")"),"ሀ. እንደገና እንዲሞክር ይፈቅዱለታል.B. ሽልማት ነጥቦች ጥረት ሐ. ምንም ነጥብ አይሰጥም.ዲ. ተጫዋቹን ውድቅ ያድርጉት።")</f>
        <v>ሀ. እንደገና እንዲሞክር ይፈቅዱለታል.B. ሽልማት ነጥቦች ጥረት ሐ. ምንም ነጥብ አይሰጥም.ዲ. ተጫዋቹን ውድቅ ያድርጉት።</v>
      </c>
      <c r="J85" s="11" t="str">
        <f>IFERROR(__xludf.DUMMYFUNCTION("GOOGLETRANSLATE(D85, ""en"", ""am"")"),"እንደገና ልሞክር።")</f>
        <v>እንደገና ልሞክር።</v>
      </c>
      <c r="K85" s="11" t="str">
        <f>IFERROR(__xludf.DUMMYFUNCTION("GOOGLETRANSLATE(E85, ""en"", ""am"")"),"ጦሩ ያለጊዜው ከተጣለ ተጫዋቾች እንደገና እንዲሞክሩ ይፈቀድላቸዋል።")</f>
        <v>ጦሩ ያለጊዜው ከተጣለ ተጫዋቾች እንደገና እንዲሞክሩ ይፈቀድላቸዋል።</v>
      </c>
    </row>
    <row r="86" ht="22.5" customHeight="1">
      <c r="A86" s="10">
        <v>85.0</v>
      </c>
      <c r="B86" s="11" t="s">
        <v>807</v>
      </c>
      <c r="C86" s="11" t="s">
        <v>808</v>
      </c>
      <c r="D86" s="11" t="s">
        <v>575</v>
      </c>
      <c r="E86" s="11" t="s">
        <v>809</v>
      </c>
      <c r="G86" s="11" t="str">
        <f>IFERROR(__xludf.DUMMYFUNCTION("GOOGLETRANSLATE(A86, ""en"", ""am"")"),"85")</f>
        <v>85</v>
      </c>
      <c r="H86" s="11" t="str">
        <f>IFERROR(__xludf.DUMMYFUNCTION("GOOGLETRANSLATE(B86, ""en"", ""am"")"),"የተጫዋች መሳሪያ ከዒላማው ጋር ተያይዟል ግን በከፊል በሌላ ነገር ተደብቋል። ምን ይሆናል?")</f>
        <v>የተጫዋች መሳሪያ ከዒላማው ጋር ተያይዟል ግን በከፊል በሌላ ነገር ተደብቋል። ምን ይሆናል?</v>
      </c>
      <c r="I86" s="11" t="str">
        <f>IFERROR(__xludf.DUMMYFUNCTION("GOOGLETRANSLATE(C86, ""en"", ""am"")"),"ሀ. ምንም ነጥብ አይሰጥም.ቢ. ሙሉ ነጥብ ሽልማት ሲ. እንደገና ልሞክር።D. ከፊል ሽልማት ነጥቦች")</f>
        <v>ሀ. ምንም ነጥብ አይሰጥም.ቢ. ሙሉ ነጥብ ሽልማት ሲ. እንደገና ልሞክር።D. ከፊል ሽልማት ነጥቦች</v>
      </c>
      <c r="J86" s="11" t="str">
        <f>IFERROR(__xludf.DUMMYFUNCTION("GOOGLETRANSLATE(D86, ""en"", ""am"")"),"ሙሉ ነጥብ ሽልማት")</f>
        <v>ሙሉ ነጥብ ሽልማት</v>
      </c>
      <c r="K86" s="11" t="str">
        <f>IFERROR(__xludf.DUMMYFUNCTION("GOOGLETRANSLATE(E86, ""en"", ""am"")"),"ጦሩ ከተጣበቀ, እንቅፋቱ ምንም ይሁን ምን, ሙሉ ነጥቦች ተሰጥተዋል.")</f>
        <v>ጦሩ ከተጣበቀ, እንቅፋቱ ምንም ይሁን ምን, ሙሉ ነጥቦች ተሰጥተዋል.</v>
      </c>
    </row>
    <row r="87" ht="22.5" customHeight="1">
      <c r="A87" s="10">
        <v>86.0</v>
      </c>
      <c r="B87" s="11" t="s">
        <v>810</v>
      </c>
      <c r="C87" s="11" t="s">
        <v>811</v>
      </c>
      <c r="D87" s="11" t="s">
        <v>541</v>
      </c>
      <c r="E87" s="11" t="s">
        <v>812</v>
      </c>
      <c r="G87" s="11" t="str">
        <f>IFERROR(__xludf.DUMMYFUNCTION("GOOGLETRANSLATE(A87, ""en"", ""am"")"),"86")</f>
        <v>86</v>
      </c>
      <c r="H87" s="11" t="str">
        <f>IFERROR(__xludf.DUMMYFUNCTION("GOOGLETRANSLATE(B87, ""en"", ""am"")"),"የተጫዋች ፈረስ በውርወራ ጊዜ ትኩረቱ ይከፋፈላል። ምን ይሆናል?")</f>
        <v>የተጫዋች ፈረስ በውርወራ ጊዜ ትኩረቱ ይከፋፈላል። ምን ይሆናል?</v>
      </c>
      <c r="I87" s="11" t="str">
        <f>IFERROR(__xludf.DUMMYFUNCTION("GOOGLETRANSLATE(C87, ""en"", ""am"")"),"ሀ. እንደገና እንዲሞክር አይፈቅድለትም።ቢ. ምንም ነጥብ አልተሰጠም.ሲ. ውርወራውን እምቢ.ዲ. በጥረት ላይ የተመሰረተ የሽልማት ነጥቦች")</f>
        <v>ሀ. እንደገና እንዲሞክር አይፈቅድለትም።ቢ. ምንም ነጥብ አልተሰጠም.ሲ. ውርወራውን እምቢ.ዲ. በጥረት ላይ የተመሰረተ የሽልማት ነጥቦች</v>
      </c>
      <c r="J87" s="11" t="str">
        <f>IFERROR(__xludf.DUMMYFUNCTION("GOOGLETRANSLATE(D87, ""en"", ""am"")"),"እንደገና እንዲሞክር ያደርጉታል።")</f>
        <v>እንደገና እንዲሞክር ያደርጉታል።</v>
      </c>
      <c r="K87" s="11" t="str">
        <f>IFERROR(__xludf.DUMMYFUNCTION("GOOGLETRANSLATE(E87, ""en"", ""am"")"),"የፈረስ ትኩረቱ የተሳሳተ ውርወራ ካስከተለ ተጫዋቹ እንደገና ሊሞክር ይችላል።")</f>
        <v>የፈረስ ትኩረቱ የተሳሳተ ውርወራ ካስከተለ ተጫዋቹ እንደገና ሊሞክር ይችላል።</v>
      </c>
    </row>
    <row r="88" ht="22.5" customHeight="1">
      <c r="A88" s="10">
        <v>87.0</v>
      </c>
      <c r="B88" s="11" t="s">
        <v>665</v>
      </c>
      <c r="C88" s="11" t="s">
        <v>813</v>
      </c>
      <c r="D88" s="11" t="s">
        <v>530</v>
      </c>
      <c r="E88" s="11" t="s">
        <v>641</v>
      </c>
      <c r="G88" s="11" t="str">
        <f>IFERROR(__xludf.DUMMYFUNCTION("GOOGLETRANSLATE(A88, ""en"", ""am"")"),"87")</f>
        <v>87</v>
      </c>
      <c r="H88" s="11" t="str">
        <f>IFERROR(__xludf.DUMMYFUNCTION("GOOGLETRANSLATE(B88, ""en"", ""am"")"),"የተጫዋች መሳሪያ ኢላማውን ቢመታም ወዲያው ወድቋል። ምን ይሆናል?")</f>
        <v>የተጫዋች መሳሪያ ኢላማውን ቢመታም ወዲያው ወድቋል። ምን ይሆናል?</v>
      </c>
      <c r="I88" s="11" t="str">
        <f>IFERROR(__xludf.DUMMYFUNCTION("GOOGLETRANSLATE(C88, ""en"", ""am"")"),"ሀ. እንደገና እንዲሞክር ይፈቅዱለታል.B. የሽልማት ነጥቦች ለ hitsC. እንደገና እንዲሞክር ይፈቅዱለታል.ዲ. ከፊል ሽልማት ነጥቦች")</f>
        <v>ሀ. እንደገና እንዲሞክር ይፈቅዱለታል.B. የሽልማት ነጥቦች ለ hitsC. እንደገና እንዲሞክር ይፈቅዱለታል.ዲ. ከፊል ሽልማት ነጥቦች</v>
      </c>
      <c r="J88" s="11" t="str">
        <f>IFERROR(__xludf.DUMMYFUNCTION("GOOGLETRANSLATE(D88, ""en"", ""am"")"),"ምንም ነጥብ አይሰጥም.")</f>
        <v>ምንም ነጥብ አይሰጥም.</v>
      </c>
      <c r="K88" s="11" t="str">
        <f>IFERROR(__xludf.DUMMYFUNCTION("GOOGLETRANSLATE(E88, ""en"", ""am"")"),"ጦሩ ነጥብ ለማግኘት ከዒላማው ጋር መጣበቅ አለበት።")</f>
        <v>ጦሩ ነጥብ ለማግኘት ከዒላማው ጋር መጣበቅ አለበት።</v>
      </c>
    </row>
    <row r="89" ht="22.5" customHeight="1">
      <c r="A89" s="10">
        <v>88.0</v>
      </c>
      <c r="B89" s="11" t="s">
        <v>814</v>
      </c>
      <c r="C89" s="11" t="s">
        <v>815</v>
      </c>
      <c r="D89" s="11" t="s">
        <v>575</v>
      </c>
      <c r="E89" s="11" t="s">
        <v>816</v>
      </c>
      <c r="G89" s="11" t="str">
        <f>IFERROR(__xludf.DUMMYFUNCTION("GOOGLETRANSLATE(A89, ""en"", ""am"")"),"88")</f>
        <v>88</v>
      </c>
      <c r="H89" s="11" t="str">
        <f>IFERROR(__xludf.DUMMYFUNCTION("GOOGLETRANSLATE(B89, ""en"", ""am"")"),"የተጫዋቹ ቀስት በትክክል በዒላማው መሃል ላይ ያርፋል። ፍርዱ ምንድን ነው?")</f>
        <v>የተጫዋቹ ቀስት በትክክል በዒላማው መሃል ላይ ያርፋል። ፍርዱ ምንድን ነው?</v>
      </c>
      <c r="I89" s="11" t="str">
        <f>IFERROR(__xludf.DUMMYFUNCTION("GOOGLETRANSLATE(C89, ""en"", ""am"")"),"ሀ. ሙሉ ነጥብ ሽልማት ቢ. ከፊል ሽልማት ነጥቦች ሐ. እንደገና እንዲሞክር ይፈቅዱለታል.ዲ. ምንም ነጥብ አልተሰጠም።")</f>
        <v>ሀ. ሙሉ ነጥብ ሽልማት ቢ. ከፊል ሽልማት ነጥቦች ሐ. እንደገና እንዲሞክር ይፈቅዱለታል.ዲ. ምንም ነጥብ አልተሰጠም።</v>
      </c>
      <c r="J89" s="11" t="str">
        <f>IFERROR(__xludf.DUMMYFUNCTION("GOOGLETRANSLATE(D89, ""en"", ""am"")"),"ሙሉ ነጥብ ሽልማት")</f>
        <v>ሙሉ ነጥብ ሽልማት</v>
      </c>
      <c r="K89" s="11" t="str">
        <f>IFERROR(__xludf.DUMMYFUNCTION("GOOGLETRANSLATE(E89, ""en"", ""am"")"),"በዒላማው መሃል ላይ ፍጹም መምታት ሙሉ ነጥቦችን ያገኛል።")</f>
        <v>በዒላማው መሃል ላይ ፍጹም መምታት ሙሉ ነጥቦችን ያገኛል።</v>
      </c>
    </row>
    <row r="90" ht="22.5" customHeight="1">
      <c r="A90" s="10">
        <v>89.0</v>
      </c>
      <c r="B90" s="11" t="s">
        <v>817</v>
      </c>
      <c r="C90" s="11" t="s">
        <v>818</v>
      </c>
      <c r="D90" s="11" t="s">
        <v>530</v>
      </c>
      <c r="E90" s="11" t="s">
        <v>819</v>
      </c>
      <c r="G90" s="11" t="str">
        <f>IFERROR(__xludf.DUMMYFUNCTION("GOOGLETRANSLATE(A90, ""en"", ""am"")"),"89")</f>
        <v>89</v>
      </c>
      <c r="H90" s="11" t="str">
        <f>IFERROR(__xludf.DUMMYFUNCTION("GOOGLETRANSLATE(B90, ""en"", ""am"")"),"አንድ ተጫዋች ጦር ቢወረውርም ኢላማውን ከመምታቱ በፊት መሬቱን ይተዋል. ምን ይሆናል?")</f>
        <v>አንድ ተጫዋች ጦር ቢወረውርም ኢላማውን ከመምታቱ በፊት መሬቱን ይተዋል. ምን ይሆናል?</v>
      </c>
      <c r="I90" s="11" t="str">
        <f>IFERROR(__xludf.DUMMYFUNCTION("GOOGLETRANSLATE(C90, ""en"", ""am"")"),"ሀ. እንደገና እንዲሞክር ይፈቅዱለታል.B. እንደገና ልሞክር።C. ከፊል ሽልማት ነጥቦችD. ሙሉ ነጥብ ሽልማት")</f>
        <v>ሀ. እንደገና እንዲሞክር ይፈቅዱለታል.B. እንደገና ልሞክር።C. ከፊል ሽልማት ነጥቦችD. ሙሉ ነጥብ ሽልማት</v>
      </c>
      <c r="J90" s="11" t="str">
        <f>IFERROR(__xludf.DUMMYFUNCTION("GOOGLETRANSLATE(D90, ""en"", ""am"")"),"ምንም ነጥብ አይሰጥም.")</f>
        <v>ምንም ነጥብ አይሰጥም.</v>
      </c>
      <c r="K90" s="11" t="str">
        <f>IFERROR(__xludf.DUMMYFUNCTION("GOOGLETRANSLATE(E90, ""en"", ""am"")"),"ጦሩ ነጥብ ለማግኘት ከመሬት መውጣት የለበትም።")</f>
        <v>ጦሩ ነጥብ ለማግኘት ከመሬት መውጣት የለበትም።</v>
      </c>
    </row>
    <row r="91" ht="22.5" customHeight="1">
      <c r="A91" s="10">
        <v>90.0</v>
      </c>
      <c r="B91" s="11" t="s">
        <v>820</v>
      </c>
      <c r="C91" s="11" t="s">
        <v>821</v>
      </c>
      <c r="D91" s="11" t="s">
        <v>530</v>
      </c>
      <c r="E91" s="11" t="s">
        <v>822</v>
      </c>
      <c r="G91" s="11" t="str">
        <f>IFERROR(__xludf.DUMMYFUNCTION("GOOGLETRANSLATE(A91, ""en"", ""am"")"),"90")</f>
        <v>90</v>
      </c>
      <c r="H91" s="11" t="str">
        <f>IFERROR(__xludf.DUMMYFUNCTION("GOOGLETRANSLATE(B91, ""en"", ""am"")"),"የተጫዋቹ ጦር ከዒላማው ውጪ ወድቆ ጎል ማስቆጠር ያለበት ቦታ ላይ አርፏል። ምን ይሆናል?")</f>
        <v>የተጫዋቹ ጦር ከዒላማው ውጪ ወድቆ ጎል ማስቆጠር ያለበት ቦታ ላይ አርፏል። ምን ይሆናል?</v>
      </c>
      <c r="I91" s="11" t="str">
        <f>IFERROR(__xludf.DUMMYFUNCTION("GOOGLETRANSLATE(C91, ""en"", ""am"")"),"ሀ. በፕሮክሲሚቲቢ ላይ የተመሰረተ የሽልማት ነጥቦች. ምንም ነጥብ አይሰጥም.ሲ. እንደገና ልሞክር።D. ሙሉ ነጥብ ሽልማት")</f>
        <v>ሀ. በፕሮክሲሚቲቢ ላይ የተመሰረተ የሽልማት ነጥቦች. ምንም ነጥብ አይሰጥም.ሲ. እንደገና ልሞክር።D. ሙሉ ነጥብ ሽልማት</v>
      </c>
      <c r="J91" s="11" t="str">
        <f>IFERROR(__xludf.DUMMYFUNCTION("GOOGLETRANSLATE(D91, ""en"", ""am"")"),"ምንም ነጥብ አይሰጥም.")</f>
        <v>ምንም ነጥብ አይሰጥም.</v>
      </c>
      <c r="K91" s="11" t="str">
        <f>IFERROR(__xludf.DUMMYFUNCTION("GOOGLETRANSLATE(E91, ""en"", ""am"")"),"ፍላጻው በቀጥታ ኢላማውን ካልነካው ቅርበት አይቆጠርም።")</f>
        <v>ፍላጻው በቀጥታ ኢላማውን ካልነካው ቅርበት አይቆጠርም።</v>
      </c>
    </row>
    <row r="92" ht="22.5" customHeight="1">
      <c r="A92" s="10">
        <v>91.0</v>
      </c>
      <c r="B92" s="11" t="s">
        <v>823</v>
      </c>
      <c r="C92" s="11" t="s">
        <v>824</v>
      </c>
      <c r="D92" s="11" t="s">
        <v>791</v>
      </c>
      <c r="E92" s="11" t="s">
        <v>825</v>
      </c>
      <c r="G92" s="11" t="str">
        <f>IFERROR(__xludf.DUMMYFUNCTION("GOOGLETRANSLATE(A92, ""en"", ""am"")"),"91")</f>
        <v>91</v>
      </c>
      <c r="H92" s="11" t="str">
        <f>IFERROR(__xludf.DUMMYFUNCTION("GOOGLETRANSLATE(B92, ""en"", ""am"")"),"የተጫዋቹ መሳሪያ ከዒላማው ጋር ይጣበቃል, ነገር ግን ነጥቦቹን ለማረጋገጥ መዘግየት አለ. ፍርዱ ምንድን ነው?")</f>
        <v>የተጫዋቹ መሳሪያ ከዒላማው ጋር ይጣበቃል, ነገር ግን ነጥቦቹን ለማረጋገጥ መዘግየት አለ. ፍርዱ ምንድን ነው?</v>
      </c>
      <c r="I92" s="11" t="str">
        <f>IFERROR(__xludf.DUMMYFUNCTION("GOOGLETRANSLATE(C92, ""en"", ""am"")"),"ሀ. በ hitB ላይ የተመሠረተ የሽልማት ነጥቦች። እንደገና እንዲሞክር ያደርጉታል። ውርወራውን እምቢ.ዲ. ጨዋታውን ለአፍታ አቁም.")</f>
        <v>ሀ. በ hitB ላይ የተመሠረተ የሽልማት ነጥቦች። እንደገና እንዲሞክር ያደርጉታል። ውርወራውን እምቢ.ዲ. ጨዋታውን ለአፍታ አቁም.</v>
      </c>
      <c r="J92" s="11" t="str">
        <f>IFERROR(__xludf.DUMMYFUNCTION("GOOGLETRANSLATE(D92, ""en"", ""am"")"),"በመምታቱ ላይ በመመስረት የሽልማት ነጥቦች")</f>
        <v>በመምታቱ ላይ በመመስረት የሽልማት ነጥቦች</v>
      </c>
      <c r="K92" s="11" t="str">
        <f>IFERROR(__xludf.DUMMYFUNCTION("GOOGLETRANSLATE(E92, ""en"", ""am"")"),"መምታቱ በኋላ ከተረጋገጠ, ነጥቦቹ ተረጋግጠዋል.")</f>
        <v>መምታቱ በኋላ ከተረጋገጠ, ነጥቦቹ ተረጋግጠዋል.</v>
      </c>
    </row>
    <row r="93" ht="22.5" customHeight="1">
      <c r="A93" s="10">
        <v>92.0</v>
      </c>
      <c r="B93" s="11" t="s">
        <v>826</v>
      </c>
      <c r="C93" s="11" t="s">
        <v>827</v>
      </c>
      <c r="D93" s="11" t="s">
        <v>530</v>
      </c>
      <c r="E93" s="11" t="s">
        <v>682</v>
      </c>
      <c r="G93" s="11" t="str">
        <f>IFERROR(__xludf.DUMMYFUNCTION("GOOGLETRANSLATE(A93, ""en"", ""am"")"),"92")</f>
        <v>92</v>
      </c>
      <c r="H93" s="11" t="str">
        <f>IFERROR(__xludf.DUMMYFUNCTION("GOOGLETRANSLATE(B93, ""en"", ""am"")"),"የተጫዋች መሳሪያ በትክክል ቢያርፍም ከዒላማው ጋር አይጣበቅም። ምን ይሆናል?")</f>
        <v>የተጫዋች መሳሪያ በትክክል ቢያርፍም ከዒላማው ጋር አይጣበቅም። ምን ይሆናል?</v>
      </c>
      <c r="I93" s="11" t="str">
        <f>IFERROR(__xludf.DUMMYFUNCTION("GOOGLETRANSLATE(C93, ""en"", ""am"")"),"ሀ. ምንም ነጥብ አይሰጥም.ቢ. ከፊል ሽልማት ነጥቦች ሐ. የሙሉ ነጥብ ሽልማት ዲ. እንደገና ልሞክር።")</f>
        <v>ሀ. ምንም ነጥብ አይሰጥም.ቢ. ከፊል ሽልማት ነጥቦች ሐ. የሙሉ ነጥብ ሽልማት ዲ. እንደገና ልሞክር።</v>
      </c>
      <c r="J93" s="11" t="str">
        <f>IFERROR(__xludf.DUMMYFUNCTION("GOOGLETRANSLATE(D93, ""en"", ""am"")"),"ምንም ነጥብ አይሰጥም.")</f>
        <v>ምንም ነጥብ አይሰጥም.</v>
      </c>
      <c r="K93" s="11" t="str">
        <f>IFERROR(__xludf.DUMMYFUNCTION("GOOGLETRANSLATE(E93, ""en"", ""am"")"),"ነጥብ ለማግኘት ጦሩ ከዒላማው ጋር መጣበቅ አለበት።")</f>
        <v>ነጥብ ለማግኘት ጦሩ ከዒላማው ጋር መጣበቅ አለበት።</v>
      </c>
    </row>
    <row r="94" ht="22.5" customHeight="1">
      <c r="A94" s="10">
        <v>93.0</v>
      </c>
      <c r="B94" s="11" t="s">
        <v>828</v>
      </c>
      <c r="C94" s="11" t="s">
        <v>829</v>
      </c>
      <c r="D94" s="11" t="s">
        <v>530</v>
      </c>
      <c r="E94" s="11" t="s">
        <v>830</v>
      </c>
      <c r="G94" s="11" t="str">
        <f>IFERROR(__xludf.DUMMYFUNCTION("GOOGLETRANSLATE(A94, ""en"", ""am"")"),"93")</f>
        <v>93</v>
      </c>
      <c r="H94" s="11" t="str">
        <f>IFERROR(__xludf.DUMMYFUNCTION("GOOGLETRANSLATE(B94, ""en"", ""am"")"),"የተጫዋች ቀስት ኢላማውን ይመታል ነገር ግን በመጥፎ ውርወራ ምክንያት አይጣበቅም። ቀጥሎ ምን ይሆናል?")</f>
        <v>የተጫዋች ቀስት ኢላማውን ይመታል ነገር ግን በመጥፎ ውርወራ ምክንያት አይጣበቅም። ቀጥሎ ምን ይሆናል?</v>
      </c>
      <c r="I94" s="11" t="str">
        <f>IFERROR(__xludf.DUMMYFUNCTION("GOOGLETRANSLATE(C94, ""en"", ""am"")"),"ሀ. ምንም ነጥብ አይሰጥም.ቢ. እንደገና እንዲሞክር ያደርጉታል። ከፊል ሽልማት ነጥቦችD. ሙሉ ነጥብ ሽልማት")</f>
        <v>ሀ. ምንም ነጥብ አይሰጥም.ቢ. እንደገና እንዲሞክር ያደርጉታል። ከፊል ሽልማት ነጥቦችD. ሙሉ ነጥብ ሽልማት</v>
      </c>
      <c r="J94" s="11" t="str">
        <f>IFERROR(__xludf.DUMMYFUNCTION("GOOGLETRANSLATE(D94, ""en"", ""am"")"),"ምንም ነጥብ አይሰጥም.")</f>
        <v>ምንም ነጥብ አይሰጥም.</v>
      </c>
      <c r="K94" s="11" t="str">
        <f>IFERROR(__xludf.DUMMYFUNCTION("GOOGLETRANSLATE(E94, ""en"", ""am"")"),"ጦሩ ግቡን ካልመታ በስተቀር መወርወሩ ዋጋ የለውም።")</f>
        <v>ጦሩ ግቡን ካልመታ በስተቀር መወርወሩ ዋጋ የለውም።</v>
      </c>
    </row>
    <row r="95" ht="22.5" customHeight="1">
      <c r="A95" s="10">
        <v>94.0</v>
      </c>
      <c r="B95" s="11" t="s">
        <v>831</v>
      </c>
      <c r="C95" s="11" t="s">
        <v>832</v>
      </c>
      <c r="D95" s="11" t="s">
        <v>530</v>
      </c>
      <c r="E95" s="11" t="s">
        <v>833</v>
      </c>
      <c r="G95" s="11" t="str">
        <f>IFERROR(__xludf.DUMMYFUNCTION("GOOGLETRANSLATE(A95, ""en"", ""am"")"),"94")</f>
        <v>94</v>
      </c>
      <c r="H95" s="11" t="str">
        <f>IFERROR(__xludf.DUMMYFUNCTION("GOOGLETRANSLATE(B95, ""en"", ""am"")"),"አንድ ተጫዋች ጦሩን ወርውሮ ኢላማውን ስቶ ግን ወደ እሱ ይጠጋል። ምን ይሆናል?")</f>
        <v>አንድ ተጫዋች ጦሩን ወርውሮ ኢላማውን ስቶ ግን ወደ እሱ ይጠጋል። ምን ይሆናል?</v>
      </c>
      <c r="I95" s="11" t="str">
        <f>IFERROR(__xludf.DUMMYFUNCTION("GOOGLETRANSLATE(C95, ""en"", ""am"")"),"ሀ. ምንም ነጥብ አይሰጥም.ቢ. የሽልማት ከፊል ነጥቦች ለቅርብ ሲ. የሙሉ ነጥብ ሽልማት ዲ. እንደገና ልሞክር።")</f>
        <v>ሀ. ምንም ነጥብ አይሰጥም.ቢ. የሽልማት ከፊል ነጥቦች ለቅርብ ሲ. የሙሉ ነጥብ ሽልማት ዲ. እንደገና ልሞክር።</v>
      </c>
      <c r="J95" s="11" t="str">
        <f>IFERROR(__xludf.DUMMYFUNCTION("GOOGLETRANSLATE(D95, ""en"", ""am"")"),"ምንም ነጥብ አይሰጥም.")</f>
        <v>ምንም ነጥብ አይሰጥም.</v>
      </c>
      <c r="K95" s="11" t="str">
        <f>IFERROR(__xludf.DUMMYFUNCTION("GOOGLETRANSLATE(E95, ""en"", ""am"")"),"ጦሩ ዒላማው ላይ እስካልተጣበቀ ድረስ ቅርብ ነጥብ አያመጣም።")</f>
        <v>ጦሩ ዒላማው ላይ እስካልተጣበቀ ድረስ ቅርብ ነጥብ አያመጣም።</v>
      </c>
    </row>
    <row r="96" ht="22.5" customHeight="1">
      <c r="A96" s="10">
        <v>95.0</v>
      </c>
      <c r="B96" s="11" t="s">
        <v>834</v>
      </c>
      <c r="C96" s="11" t="s">
        <v>835</v>
      </c>
      <c r="D96" s="11" t="s">
        <v>784</v>
      </c>
      <c r="E96" s="11" t="s">
        <v>836</v>
      </c>
      <c r="G96" s="11" t="str">
        <f>IFERROR(__xludf.DUMMYFUNCTION("GOOGLETRANSLATE(A96, ""en"", ""am"")"),"95")</f>
        <v>95</v>
      </c>
      <c r="H96" s="11" t="str">
        <f>IFERROR(__xludf.DUMMYFUNCTION("GOOGLETRANSLATE(B96, ""en"", ""am"")"),"የተጫዋቹ መሳሪያ ከዒላማው ጋር ይጣበቃል, ነገር ግን ዒላማው በነፋስ ምክንያት ይንቀሳቀሳል. ፍርዱ ምንድን ነው?")</f>
        <v>የተጫዋቹ መሳሪያ ከዒላማው ጋር ይጣበቃል, ነገር ግን ዒላማው በነፋስ ምክንያት ይንቀሳቀሳል. ፍርዱ ምንድን ነው?</v>
      </c>
      <c r="I96" s="11" t="str">
        <f>IFERROR(__xludf.DUMMYFUNCTION("GOOGLETRANSLATE(C96, ""en"", ""am"")"),"ሀ. ለመጀመሪያው ስኬት የሽልማት ነጥቦች ለ. እንደገና እንዲሞክር ያደርጉታል። ምንም ነጥብ አይሰጥም.ዲ. ጨዋታውን ለአፍታ አቁም.")</f>
        <v>ሀ. ለመጀመሪያው ስኬት የሽልማት ነጥቦች ለ. እንደገና እንዲሞክር ያደርጉታል። ምንም ነጥብ አይሰጥም.ዲ. ጨዋታውን ለአፍታ አቁም.</v>
      </c>
      <c r="J96" s="11" t="str">
        <f>IFERROR(__xludf.DUMMYFUNCTION("GOOGLETRANSLATE(D96, ""en"", ""am"")"),"ለመጀመሪያው ስኬት የሽልማት ነጥቦች")</f>
        <v>ለመጀመሪያው ስኬት የሽልማት ነጥቦች</v>
      </c>
      <c r="K96" s="11" t="str">
        <f>IFERROR(__xludf.DUMMYFUNCTION("GOOGLETRANSLATE(E96, ""en"", ""am"")"),"ለመጀመሪያው ስኬታማ ስኬት ነጥቦች ተሰጥተዋል።")</f>
        <v>ለመጀመሪያው ስኬታማ ስኬት ነጥቦች ተሰጥተዋል።</v>
      </c>
    </row>
    <row r="97" ht="22.5" customHeight="1">
      <c r="A97" s="10">
        <v>96.0</v>
      </c>
      <c r="B97" s="11" t="s">
        <v>837</v>
      </c>
      <c r="C97" s="11" t="s">
        <v>838</v>
      </c>
      <c r="D97" s="11" t="s">
        <v>541</v>
      </c>
      <c r="E97" s="11" t="s">
        <v>839</v>
      </c>
      <c r="G97" s="11" t="str">
        <f>IFERROR(__xludf.DUMMYFUNCTION("GOOGLETRANSLATE(A97, ""en"", ""am"")"),"96")</f>
        <v>96</v>
      </c>
      <c r="H97" s="11" t="str">
        <f>IFERROR(__xludf.DUMMYFUNCTION("GOOGLETRANSLATE(B97, ""en"", ""am"")"),"አንድ ተጫዋች ጦራቸውን ለመጣል ቢሞክሩም ከእጃቸው ወጣ። ምን ይሆናል?")</f>
        <v>አንድ ተጫዋች ጦራቸውን ለመጣል ቢሞክሩም ከእጃቸው ወጣ። ምን ይሆናል?</v>
      </c>
      <c r="I97" s="11" t="str">
        <f>IFERROR(__xludf.DUMMYFUNCTION("GOOGLETRANSLATE(C97, ""en"", ""am"")"),"ሀ. እንደገና እንዲሞክር ይፈቅዱለታል.B. ምንም ነጥብ አልተሰጠም.ሲ. ውርወራውን እምቢ.ዲ. ለሙከራው የሽልማት ነጥቦች")</f>
        <v>ሀ. እንደገና እንዲሞክር ይፈቅዱለታል.B. ምንም ነጥብ አልተሰጠም.ሲ. ውርወራውን እምቢ.ዲ. ለሙከራው የሽልማት ነጥቦች</v>
      </c>
      <c r="J97" s="11" t="str">
        <f>IFERROR(__xludf.DUMMYFUNCTION("GOOGLETRANSLATE(D97, ""en"", ""am"")"),"እንደገና እንዲሞክር ያደርጉታል።")</f>
        <v>እንደገና እንዲሞክር ያደርጉታል።</v>
      </c>
      <c r="K97" s="11" t="str">
        <f>IFERROR(__xludf.DUMMYFUNCTION("GOOGLETRANSLATE(E97, ""en"", ""am"")"),"ጦሩ ከተንሸራተቱ ተጫዋቾች እንደገና እንዲሞክሩ ይፈቀድላቸዋል።")</f>
        <v>ጦሩ ከተንሸራተቱ ተጫዋቾች እንደገና እንዲሞክሩ ይፈቀድላቸዋል።</v>
      </c>
    </row>
    <row r="98" ht="22.5" customHeight="1">
      <c r="A98" s="10">
        <v>97.0</v>
      </c>
      <c r="B98" s="11" t="s">
        <v>840</v>
      </c>
      <c r="C98" s="11" t="s">
        <v>841</v>
      </c>
      <c r="D98" s="11" t="s">
        <v>530</v>
      </c>
      <c r="E98" s="11" t="s">
        <v>842</v>
      </c>
      <c r="G98" s="11" t="str">
        <f>IFERROR(__xludf.DUMMYFUNCTION("GOOGLETRANSLATE(A98, ""en"", ""am"")"),"97")</f>
        <v>97</v>
      </c>
      <c r="H98" s="11" t="str">
        <f>IFERROR(__xludf.DUMMYFUNCTION("GOOGLETRANSLATE(B98, ""en"", ""am"")"),"የተጫዋቹ ቀስት ከዒላማው አጠገብ ቢያርፍም አይጣበቅም። ውጤቱስ ምንድን ነው?")</f>
        <v>የተጫዋቹ ቀስት ከዒላማው አጠገብ ቢያርፍም አይጣበቅም። ውጤቱስ ምንድን ነው?</v>
      </c>
      <c r="I98" s="11" t="str">
        <f>IFERROR(__xludf.DUMMYFUNCTION("GOOGLETRANSLATE(C98, ""en"", ""am"")"),"ሀ. በፕሮክሲሚቲቢ ላይ የተመሰረተ የሽልማት ነጥቦች. ምንም ነጥብ አይሰጥም.ሲ. እንደገና እንዲሞክር ይፈቅዱለታል.ዲ. ሙሉ ነጥብ ሽልማት")</f>
        <v>ሀ. በፕሮክሲሚቲቢ ላይ የተመሰረተ የሽልማት ነጥቦች. ምንም ነጥብ አይሰጥም.ሲ. እንደገና እንዲሞክር ይፈቅዱለታል.ዲ. ሙሉ ነጥብ ሽልማት</v>
      </c>
      <c r="J98" s="11" t="str">
        <f>IFERROR(__xludf.DUMMYFUNCTION("GOOGLETRANSLATE(D98, ""en"", ""am"")"),"ምንም ነጥብ አይሰጥም.")</f>
        <v>ምንም ነጥብ አይሰጥም.</v>
      </c>
      <c r="K98" s="11" t="str">
        <f>IFERROR(__xludf.DUMMYFUNCTION("GOOGLETRANSLATE(E98, ""en"", ""am"")"),"ፍላጻው ኢላማውን ካልነካው በስተቀር ቅርበት አይቆጠርም።")</f>
        <v>ፍላጻው ኢላማውን ካልነካው በስተቀር ቅርበት አይቆጠርም።</v>
      </c>
    </row>
    <row r="99" ht="22.5" customHeight="1">
      <c r="A99" s="10">
        <v>98.0</v>
      </c>
      <c r="B99" s="11" t="s">
        <v>843</v>
      </c>
      <c r="C99" s="11" t="s">
        <v>844</v>
      </c>
      <c r="D99" s="11" t="s">
        <v>530</v>
      </c>
      <c r="E99" s="11" t="s">
        <v>845</v>
      </c>
      <c r="G99" s="11" t="str">
        <f>IFERROR(__xludf.DUMMYFUNCTION("GOOGLETRANSLATE(A99, ""en"", ""am"")"),"98")</f>
        <v>98</v>
      </c>
      <c r="H99" s="11" t="str">
        <f>IFERROR(__xludf.DUMMYFUNCTION("GOOGLETRANSLATE(B99, ""en"", ""am"")"),"የተጫዋች መሳሪያ ከገደብ ውጭ ይጣላል ነገር ግን ትክክለኛ ቦታ ላይ ያርፋል። ምን ይሆናል?")</f>
        <v>የተጫዋች መሳሪያ ከገደብ ውጭ ይጣላል ነገር ግን ትክክለኛ ቦታ ላይ ያርፋል። ምን ይሆናል?</v>
      </c>
      <c r="I99" s="11" t="str">
        <f>IFERROR(__xludf.DUMMYFUNCTION("GOOGLETRANSLATE(C99, ""en"", ""am"")"),"ሀ. ምንም ነጥብ አይሰጥም.ቢ. በ ርቀት ሐ ላይ የተመሠረተ የሽልማት ነጥቦች. እንደገና እንዲሞክር ይፈቅዱለታል.ዲ. ውርወራውን ውድቅ አድርግ።")</f>
        <v>ሀ. ምንም ነጥብ አይሰጥም.ቢ. በ ርቀት ሐ ላይ የተመሠረተ የሽልማት ነጥቦች. እንደገና እንዲሞክር ይፈቅዱለታል.ዲ. ውርወራውን ውድቅ አድርግ።</v>
      </c>
      <c r="J99" s="11" t="str">
        <f>IFERROR(__xludf.DUMMYFUNCTION("GOOGLETRANSLATE(D99, ""en"", ""am"")"),"ምንም ነጥብ አይሰጥም.")</f>
        <v>ምንም ነጥብ አይሰጥም.</v>
      </c>
      <c r="K99" s="11" t="str">
        <f>IFERROR(__xludf.DUMMYFUNCTION("GOOGLETRANSLATE(E99, ""en"", ""am"")"),"መወርወሩ ከድንበሩ ውጭ ካረፈ ዋጋ የለውም።")</f>
        <v>መወርወሩ ከድንበሩ ውጭ ካረፈ ዋጋ የለውም።</v>
      </c>
    </row>
    <row r="100" ht="22.5" customHeight="1">
      <c r="A100" s="10">
        <v>99.0</v>
      </c>
      <c r="B100" s="11" t="s">
        <v>846</v>
      </c>
      <c r="C100" s="11" t="s">
        <v>847</v>
      </c>
      <c r="D100" s="11" t="s">
        <v>530</v>
      </c>
      <c r="E100" s="11" t="s">
        <v>781</v>
      </c>
      <c r="G100" s="11" t="str">
        <f>IFERROR(__xludf.DUMMYFUNCTION("GOOGLETRANSLATE(A100, ""en"", ""am"")"),"99")</f>
        <v>99</v>
      </c>
      <c r="H100" s="11" t="str">
        <f>IFERROR(__xludf.DUMMYFUNCTION("GOOGLETRANSLATE(B100, ""en"", ""am"")"),"የተጫዋች መሳሪያ ይጣላል ነገር ግን ከዒላማው ጀርባ ያርፋል። ፍርዱ ምንድን ነው?")</f>
        <v>የተጫዋች መሳሪያ ይጣላል ነገር ግን ከዒላማው ጀርባ ያርፋል። ፍርዱ ምንድን ነው?</v>
      </c>
      <c r="I100" s="11" t="str">
        <f>IFERROR(__xludf.DUMMYFUNCTION("GOOGLETRANSLATE(C100, ""en"", ""am"")"),"ሀ. ምንም ነጥብ አይሰጥም.ቢ. የሽልማት ነጥቦች ለቅርብ ሲ. እንደገና እንዲሞክር ይፈቅዱለታል.ዲ. ሙሉ ነጥብ ሽልማት")</f>
        <v>ሀ. ምንም ነጥብ አይሰጥም.ቢ. የሽልማት ነጥቦች ለቅርብ ሲ. እንደገና እንዲሞክር ይፈቅዱለታል.ዲ. ሙሉ ነጥብ ሽልማት</v>
      </c>
      <c r="J100" s="11" t="str">
        <f>IFERROR(__xludf.DUMMYFUNCTION("GOOGLETRANSLATE(D100, ""en"", ""am"")"),"ምንም ነጥብ አይሰጥም.")</f>
        <v>ምንም ነጥብ አይሰጥም.</v>
      </c>
      <c r="K100" s="11" t="str">
        <f>IFERROR(__xludf.DUMMYFUNCTION("GOOGLETRANSLATE(E100, ""en"", ""am"")"),"ጦሩ ጎል ለማስቆጠር ከዒላማው ፊት ለፊት ማረፍ አለበት።")</f>
        <v>ጦሩ ጎል ለማስቆጠር ከዒላማው ፊት ለፊት ማረፍ አለበት።</v>
      </c>
    </row>
    <row r="101" ht="22.5" customHeight="1">
      <c r="A101" s="10">
        <v>100.0</v>
      </c>
      <c r="B101" s="11" t="s">
        <v>848</v>
      </c>
      <c r="C101" s="11" t="s">
        <v>849</v>
      </c>
      <c r="D101" s="11" t="s">
        <v>850</v>
      </c>
      <c r="E101" s="11" t="s">
        <v>851</v>
      </c>
      <c r="G101" s="11" t="str">
        <f>IFERROR(__xludf.DUMMYFUNCTION("GOOGLETRANSLATE(A101, ""en"", ""am"")"),"100")</f>
        <v>100</v>
      </c>
      <c r="H101" s="11" t="str">
        <f>IFERROR(__xludf.DUMMYFUNCTION("GOOGLETRANSLATE(B101, ""en"", ""am"")"),"አንድ ተጫዋች ጦሩን ወርውሮ ኢላማውን ቢመታም ጦሩ ወዲያው ይወድቃል። ፍርዱ ምንድን ነው?")</f>
        <v>አንድ ተጫዋች ጦሩን ወርውሮ ኢላማውን ቢመታም ጦሩ ወዲያው ይወድቃል። ፍርዱ ምንድን ነው?</v>
      </c>
      <c r="I101" s="11" t="str">
        <f>IFERROR(__xludf.DUMMYFUNCTION("GOOGLETRANSLATE(C101, ""en"", ""am"")"),"ሀ. ምንም ነጥብ አልተሰጠም። ለመጀመሪያው hitC የሽልማት ነጥቦች። ድጋሚ ለመሞከር ፍቀድ። የሽልማት ከፊል ነጥቦች")</f>
        <v>ሀ. ምንም ነጥብ አልተሰጠም። ለመጀመሪያው hitC የሽልማት ነጥቦች። ድጋሚ ለመሞከር ፍቀድ። የሽልማት ከፊል ነጥቦች</v>
      </c>
      <c r="J101" s="11" t="str">
        <f>IFERROR(__xludf.DUMMYFUNCTION("GOOGLETRANSLATE(D101, ""en"", ""am"")"),"ምንም ነጥብ አልተሰጠም።")</f>
        <v>ምንም ነጥብ አልተሰጠም።</v>
      </c>
      <c r="K101" s="11" t="str">
        <f>IFERROR(__xludf.DUMMYFUNCTION("GOOGLETRANSLATE(E101, ""en"", ""am"")"),"ጦሩ ለተሸለሙት ነጥቦች ከዒላማው ጋር መጣበቅ አለበት።")</f>
        <v>ጦሩ ለተሸለሙት ነጥቦች ከዒላማው ጋር መጣበቅ አለበት።</v>
      </c>
    </row>
    <row r="102" ht="22.5" customHeight="1">
      <c r="A102" s="10">
        <v>101.0</v>
      </c>
      <c r="B102" s="11" t="s">
        <v>852</v>
      </c>
      <c r="C102" s="11" t="s">
        <v>853</v>
      </c>
      <c r="D102" s="11" t="s">
        <v>850</v>
      </c>
      <c r="E102" s="11" t="s">
        <v>854</v>
      </c>
      <c r="G102" s="11" t="str">
        <f>IFERROR(__xludf.DUMMYFUNCTION("GOOGLETRANSLATE(A102, ""en"", ""am"")"),"101")</f>
        <v>101</v>
      </c>
      <c r="H102" s="11" t="str">
        <f>IFERROR(__xludf.DUMMYFUNCTION("GOOGLETRANSLATE(B102, ""en"", ""am"")"),"አንድ ተጫዋች ጦሩን ወርውሮ ኢላማውን ቢመታም ወዲያው ወድቋል። ፍርዱ ምንድን ነው?")</f>
        <v>አንድ ተጫዋች ጦሩን ወርውሮ ኢላማውን ቢመታም ወዲያው ወድቋል። ፍርዱ ምንድን ነው?</v>
      </c>
      <c r="I102" s="11" t="str">
        <f>IFERROR(__xludf.DUMMYFUNCTION("GOOGLETRANSLATE(C102, ""en"", ""am"")"),"ሀ. ምንም ነጥብ አልተሰጠም። ለ hitC ሽልማት ነጥቦች. ድጋሚ ለመሞከር ፍቀድ። የሽልማት ከፊል ነጥቦች")</f>
        <v>ሀ. ምንም ነጥብ አልተሰጠም። ለ hitC ሽልማት ነጥቦች. ድጋሚ ለመሞከር ፍቀድ። የሽልማት ከፊል ነጥቦች</v>
      </c>
      <c r="J102" s="11" t="str">
        <f>IFERROR(__xludf.DUMMYFUNCTION("GOOGLETRANSLATE(D102, ""en"", ""am"")"),"ምንም ነጥብ አልተሰጠም።")</f>
        <v>ምንም ነጥብ አልተሰጠም።</v>
      </c>
      <c r="K102" s="11" t="str">
        <f>IFERROR(__xludf.DUMMYFUNCTION("GOOGLETRANSLATE(E102, ""en"", ""am"")"),"ጦሩ ነጥብ ለማግኘት ከዒላማው ጋር መጣበቅ አለበት።")</f>
        <v>ጦሩ ነጥብ ለማግኘት ከዒላማው ጋር መጣበቅ አለበት።</v>
      </c>
    </row>
    <row r="103" ht="22.5" customHeight="1">
      <c r="A103" s="10">
        <v>102.0</v>
      </c>
      <c r="B103" s="11" t="s">
        <v>855</v>
      </c>
      <c r="C103" s="11" t="s">
        <v>856</v>
      </c>
      <c r="D103" s="11" t="s">
        <v>850</v>
      </c>
      <c r="E103" s="11" t="s">
        <v>857</v>
      </c>
      <c r="G103" s="11" t="str">
        <f>IFERROR(__xludf.DUMMYFUNCTION("GOOGLETRANSLATE(A103, ""en"", ""am"")"),"102")</f>
        <v>102</v>
      </c>
      <c r="H103" s="11" t="str">
        <f>IFERROR(__xludf.DUMMYFUNCTION("GOOGLETRANSLATE(B103, ""en"", ""am"")"),"ግቡን ከመምታቱ በፊት የተጫዋች ጦር ከመሬት ላይ ይወጣል. ምን ይሆናል?")</f>
        <v>ግቡን ከመምታቱ በፊት የተጫዋች ጦር ከመሬት ላይ ይወጣል. ምን ይሆናል?</v>
      </c>
      <c r="I103" s="11" t="str">
        <f>IFERROR(__xludf.DUMMYFUNCTION("GOOGLETRANSLATE(C103, ""en"", ""am"")"),"ሀ. ምንም ነጥብ አልተሰጠም። እንደገና እንዲሞክር ፍቀድ። ለ bounceD የሽልማት ነጥቦች. መወርወሩን ውድቅ ያድርጉት")</f>
        <v>ሀ. ምንም ነጥብ አልተሰጠም። እንደገና እንዲሞክር ፍቀድ። ለ bounceD የሽልማት ነጥቦች. መወርወሩን ውድቅ ያድርጉት</v>
      </c>
      <c r="J103" s="11" t="str">
        <f>IFERROR(__xludf.DUMMYFUNCTION("GOOGLETRANSLATE(D103, ""en"", ""am"")"),"ምንም ነጥብ አልተሰጠም።")</f>
        <v>ምንም ነጥብ አልተሰጠም።</v>
      </c>
      <c r="K103" s="11" t="str">
        <f>IFERROR(__xludf.DUMMYFUNCTION("GOOGLETRANSLATE(E103, ""en"", ""am"")"),"ጦሩ በቀጥታ ዒላማው ላይ ማረፍ አለበት።")</f>
        <v>ጦሩ በቀጥታ ዒላማው ላይ ማረፍ አለበት።</v>
      </c>
    </row>
    <row r="104" ht="22.5" customHeight="1">
      <c r="A104" s="10">
        <v>103.0</v>
      </c>
      <c r="B104" s="11" t="s">
        <v>858</v>
      </c>
      <c r="C104" s="11" t="s">
        <v>859</v>
      </c>
      <c r="D104" s="11" t="s">
        <v>860</v>
      </c>
      <c r="E104" s="11" t="s">
        <v>861</v>
      </c>
      <c r="G104" s="11" t="str">
        <f>IFERROR(__xludf.DUMMYFUNCTION("GOOGLETRANSLATE(A104, ""en"", ""am"")"),"103")</f>
        <v>103</v>
      </c>
      <c r="H104" s="11" t="str">
        <f>IFERROR(__xludf.DUMMYFUNCTION("GOOGLETRANSLATE(B104, ""en"", ""am"")"),"የተጫዋች ጦር ከዒላማው ወጣ ነገር ግን ወደ ዒላማው ዞን ጠርዝ ቅርብ ነው። ምን ይሆናል?")</f>
        <v>የተጫዋች ጦር ከዒላማው ወጣ ነገር ግን ወደ ዒላማው ዞን ጠርዝ ቅርብ ነው። ምን ይሆናል?</v>
      </c>
      <c r="I104" s="11" t="str">
        <f>IFERROR(__xludf.DUMMYFUNCTION("GOOGLETRANSLATE(C104, ""en"", ""am"")"),"A. ሽልማት ከፊል ነጥቦችB. ሽልማት ሙሉ ነጥብ ሲ. ድጋሚ ለመሞከር ፍቀድ። ምንም ነጥብ አልተሰጠም።")</f>
        <v>A. ሽልማት ከፊል ነጥቦችB. ሽልማት ሙሉ ነጥብ ሲ. ድጋሚ ለመሞከር ፍቀድ። ምንም ነጥብ አልተሰጠም።</v>
      </c>
      <c r="J104" s="11" t="str">
        <f>IFERROR(__xludf.DUMMYFUNCTION("GOOGLETRANSLATE(D104, ""en"", ""am"")"),"የሽልማት ከፊል ነጥቦች")</f>
        <v>የሽልማት ከፊል ነጥቦች</v>
      </c>
      <c r="K104" s="11" t="str">
        <f>IFERROR(__xludf.DUMMYFUNCTION("GOOGLETRANSLATE(E104, ""en"", ""am"")"),"ነጥቦች የሚሸለሙት ጦሩ በዒላማው ላይ ከተጣበቀ ብቻ ለቅርበት ነው።")</f>
        <v>ነጥቦች የሚሸለሙት ጦሩ በዒላማው ላይ ከተጣበቀ ብቻ ለቅርበት ነው።</v>
      </c>
    </row>
    <row r="105" ht="22.5" customHeight="1">
      <c r="A105" s="10">
        <v>104.0</v>
      </c>
      <c r="B105" s="11" t="s">
        <v>862</v>
      </c>
      <c r="C105" s="11" t="s">
        <v>863</v>
      </c>
      <c r="D105" s="11" t="s">
        <v>850</v>
      </c>
      <c r="E105" s="11" t="s">
        <v>864</v>
      </c>
      <c r="G105" s="11" t="str">
        <f>IFERROR(__xludf.DUMMYFUNCTION("GOOGLETRANSLATE(A105, ""en"", ""am"")"),"104")</f>
        <v>104</v>
      </c>
      <c r="H105" s="11" t="str">
        <f>IFERROR(__xludf.DUMMYFUNCTION("GOOGLETRANSLATE(B105, ""en"", ""am"")"),"አንድ ተጫዋች ጦራቸውን ቢወረውሩም ከዒላማው ጀርባ ያርፋል። ፍርዱ ምንድን ነው?")</f>
        <v>አንድ ተጫዋች ጦራቸውን ቢወረውሩም ከዒላማው ጀርባ ያርፋል። ፍርዱ ምንድን ነው?</v>
      </c>
      <c r="I105" s="11" t="str">
        <f>IFERROR(__xludf.DUMMYFUNCTION("GOOGLETRANSLATE(C105, ""en"", ""am"")"),"ሀ. ምንም ነጥብ አልተሰጠም። እንደገና እንዲሞክር ፍቀድ። የሽልማት ነጥቦች ለ ጥረትD. የሽልማት ከፊል ነጥቦች")</f>
        <v>ሀ. ምንም ነጥብ አልተሰጠም። እንደገና እንዲሞክር ፍቀድ። የሽልማት ነጥቦች ለ ጥረትD. የሽልማት ከፊል ነጥቦች</v>
      </c>
      <c r="J105" s="11" t="str">
        <f>IFERROR(__xludf.DUMMYFUNCTION("GOOGLETRANSLATE(D105, ""en"", ""am"")"),"ምንም ነጥብ አልተሰጠም።")</f>
        <v>ምንም ነጥብ አልተሰጠም።</v>
      </c>
      <c r="K105" s="11" t="str">
        <f>IFERROR(__xludf.DUMMYFUNCTION("GOOGLETRANSLATE(E105, ""en"", ""am"")"),"ነጥቦች የሚሸለሙት ጦሩ በቀጥታ ኢላማውን ከነካ ብቻ ነው።")</f>
        <v>ነጥቦች የሚሸለሙት ጦሩ በቀጥታ ኢላማውን ከነካ ብቻ ነው።</v>
      </c>
    </row>
    <row r="106" ht="22.5" customHeight="1">
      <c r="A106" s="10">
        <v>105.0</v>
      </c>
      <c r="B106" s="11" t="s">
        <v>865</v>
      </c>
      <c r="C106" s="11" t="s">
        <v>866</v>
      </c>
      <c r="D106" s="11" t="s">
        <v>867</v>
      </c>
      <c r="E106" s="11" t="s">
        <v>868</v>
      </c>
      <c r="G106" s="11" t="str">
        <f>IFERROR(__xludf.DUMMYFUNCTION("GOOGLETRANSLATE(A106, ""en"", ""am"")"),"105")</f>
        <v>105</v>
      </c>
      <c r="H106" s="11" t="str">
        <f>IFERROR(__xludf.DUMMYFUNCTION("GOOGLETRANSLATE(B106, ""en"", ""am"")"),"የተጫዋች ጦር በቀጥታ ወደ ዒላማው ያርፋል፣ ነገር ግን በአንድ ነገር ተሸፍኗል። ምን ይሆናል?")</f>
        <v>የተጫዋች ጦር በቀጥታ ወደ ዒላማው ያርፋል፣ ነገር ግን በአንድ ነገር ተሸፍኗል። ምን ይሆናል?</v>
      </c>
      <c r="I106" s="11" t="str">
        <f>IFERROR(__xludf.DUMMYFUNCTION("GOOGLETRANSLATE(C106, ""en"", ""am"")"),"ሀ. ለ hitB የሽልማት ነጥቦች። እንደገና እንዲሞክር ፍቀድ። ምንም ነጥብ አልተሰጠም ዲ. የሽልማት ከፊል ነጥቦች")</f>
        <v>ሀ. ለ hitB የሽልማት ነጥቦች። እንደገና እንዲሞክር ፍቀድ። ምንም ነጥብ አልተሰጠም ዲ. የሽልማት ከፊል ነጥቦች</v>
      </c>
      <c r="J106" s="11" t="str">
        <f>IFERROR(__xludf.DUMMYFUNCTION("GOOGLETRANSLATE(D106, ""en"", ""am"")"),"ለተመታ የሽልማት ነጥቦች")</f>
        <v>ለተመታ የሽልማት ነጥቦች</v>
      </c>
      <c r="K106" s="11" t="str">
        <f>IFERROR(__xludf.DUMMYFUNCTION("GOOGLETRANSLATE(E106, ""en"", ""am"")"),"ጦሩ ዒላማው ላይ እስካለ ድረስ ነጥቦች ይሸለማሉ።")</f>
        <v>ጦሩ ዒላማው ላይ እስካለ ድረስ ነጥቦች ይሸለማሉ።</v>
      </c>
    </row>
    <row r="107" ht="22.5" customHeight="1">
      <c r="A107" s="10">
        <v>106.0</v>
      </c>
      <c r="B107" s="11" t="s">
        <v>869</v>
      </c>
      <c r="C107" s="11" t="s">
        <v>870</v>
      </c>
      <c r="D107" s="11" t="s">
        <v>850</v>
      </c>
      <c r="E107" s="11" t="s">
        <v>871</v>
      </c>
      <c r="G107" s="11" t="str">
        <f>IFERROR(__xludf.DUMMYFUNCTION("GOOGLETRANSLATE(A107, ""en"", ""am"")"),"106")</f>
        <v>106</v>
      </c>
      <c r="H107" s="11" t="str">
        <f>IFERROR(__xludf.DUMMYFUNCTION("GOOGLETRANSLATE(B107, ""en"", ""am"")"),"አንድ ተጫዋች ጦራቸውን በመወርወር ከተቃዋሚው ዒላማ ጀርባ ወደቀ። ፍርዱ ምንድን ነው?")</f>
        <v>አንድ ተጫዋች ጦራቸውን በመወርወር ከተቃዋሚው ዒላማ ጀርባ ወደቀ። ፍርዱ ምንድን ነው?</v>
      </c>
      <c r="I107" s="11" t="str">
        <f>IFERROR(__xludf.DUMMYFUNCTION("GOOGLETRANSLATE(C107, ""en"", ""am"")"),"ሀ. ምንም ነጥብ አልተሰጠም። ርቀት ሐ ላይ የተመሠረተ ሽልማት ነጥቦች. ድጋሚ ለመሞከር ፍቀድ። የሽልማት ከፊል ነጥቦች")</f>
        <v>ሀ. ምንም ነጥብ አልተሰጠም። ርቀት ሐ ላይ የተመሠረተ ሽልማት ነጥቦች. ድጋሚ ለመሞከር ፍቀድ። የሽልማት ከፊል ነጥቦች</v>
      </c>
      <c r="J107" s="11" t="str">
        <f>IFERROR(__xludf.DUMMYFUNCTION("GOOGLETRANSLATE(D107, ""en"", ""am"")"),"ምንም ነጥብ አልተሰጠም።")</f>
        <v>ምንም ነጥብ አልተሰጠም።</v>
      </c>
      <c r="K107" s="11" t="str">
        <f>IFERROR(__xludf.DUMMYFUNCTION("GOOGLETRANSLATE(E107, ""en"", ""am"")"),"ጦሩ በተጫዋቹ በተዘጋጀው የዒላማ ዞን ውስጥ ማረፍ አለበት.")</f>
        <v>ጦሩ በተጫዋቹ በተዘጋጀው የዒላማ ዞን ውስጥ ማረፍ አለበት.</v>
      </c>
    </row>
    <row r="108" ht="22.5" customHeight="1">
      <c r="A108" s="10">
        <v>107.0</v>
      </c>
      <c r="B108" s="11" t="s">
        <v>872</v>
      </c>
      <c r="C108" s="11" t="s">
        <v>873</v>
      </c>
      <c r="D108" s="11" t="s">
        <v>850</v>
      </c>
      <c r="E108" s="11" t="s">
        <v>851</v>
      </c>
      <c r="G108" s="11" t="str">
        <f>IFERROR(__xludf.DUMMYFUNCTION("GOOGLETRANSLATE(A108, ""en"", ""am"")"),"107")</f>
        <v>107</v>
      </c>
      <c r="H108" s="11" t="str">
        <f>IFERROR(__xludf.DUMMYFUNCTION("GOOGLETRANSLATE(B108, ""en"", ""am"")"),"የተጫዋች ጦር በትክክል ቢያርፍም ከዒላማው ጋር አይጣበቅም። ምን ይሆናል?")</f>
        <v>የተጫዋች ጦር በትክክል ቢያርፍም ከዒላማው ጋር አይጣበቅም። ምን ይሆናል?</v>
      </c>
      <c r="I108" s="11" t="str">
        <f>IFERROR(__xludf.DUMMYFUNCTION("GOOGLETRANSLATE(C108, ""en"", ""am"")"),"ሀ. ምንም ነጥብ አልተሰጠም። የሽልማት ከፊል ነጥቦች ሲ. ድጋሚ ለመሞከር ፍቀድ። ሙሉ ነጥብ ሽልማት")</f>
        <v>ሀ. ምንም ነጥብ አልተሰጠም። የሽልማት ከፊል ነጥቦች ሲ. ድጋሚ ለመሞከር ፍቀድ። ሙሉ ነጥብ ሽልማት</v>
      </c>
      <c r="J108" s="11" t="str">
        <f>IFERROR(__xludf.DUMMYFUNCTION("GOOGLETRANSLATE(D108, ""en"", ""am"")"),"ምንም ነጥብ አልተሰጠም።")</f>
        <v>ምንም ነጥብ አልተሰጠም።</v>
      </c>
      <c r="K108" s="11" t="str">
        <f>IFERROR(__xludf.DUMMYFUNCTION("GOOGLETRANSLATE(E108, ""en"", ""am"")"),"ጦሩ ለተሸለሙት ነጥቦች ከዒላማው ጋር መጣበቅ አለበት።")</f>
        <v>ጦሩ ለተሸለሙት ነጥቦች ከዒላማው ጋር መጣበቅ አለበት።</v>
      </c>
    </row>
    <row r="109" ht="22.5" customHeight="1">
      <c r="A109" s="10">
        <v>108.0</v>
      </c>
      <c r="B109" s="11" t="s">
        <v>874</v>
      </c>
      <c r="C109" s="11" t="s">
        <v>875</v>
      </c>
      <c r="D109" s="11" t="s">
        <v>850</v>
      </c>
      <c r="E109" s="11" t="s">
        <v>876</v>
      </c>
      <c r="G109" s="11" t="str">
        <f>IFERROR(__xludf.DUMMYFUNCTION("GOOGLETRANSLATE(A109, ""en"", ""am"")"),"108")</f>
        <v>108</v>
      </c>
      <c r="H109" s="11" t="str">
        <f>IFERROR(__xludf.DUMMYFUNCTION("GOOGLETRANSLATE(B109, ""en"", ""am"")"),"የተጫዋች ጦር ተወርውሮ ኢላማውን ይመታል ነገር ግን ወዲያው ይወድቃል። ፍርዱ ምንድን ነው?")</f>
        <v>የተጫዋች ጦር ተወርውሮ ኢላማውን ይመታል ነገር ግን ወዲያው ይወድቃል። ፍርዱ ምንድን ነው?</v>
      </c>
      <c r="I109" s="11" t="str">
        <f>IFERROR(__xludf.DUMMYFUNCTION("GOOGLETRANSLATE(C109, ""en"", ""am"")"),"ሀ. ለ hitB የሽልማት ነጥቦች። ምንም ነጥብ አልተሰጠም ሲ. ድጋሚ ለመሞከር ፍቀድ። የሽልማት ከፊል ነጥቦች")</f>
        <v>ሀ. ለ hitB የሽልማት ነጥቦች። ምንም ነጥብ አልተሰጠም ሲ. ድጋሚ ለመሞከር ፍቀድ። የሽልማት ከፊል ነጥቦች</v>
      </c>
      <c r="J109" s="11" t="str">
        <f>IFERROR(__xludf.DUMMYFUNCTION("GOOGLETRANSLATE(D109, ""en"", ""am"")"),"ምንም ነጥብ አልተሰጠም።")</f>
        <v>ምንም ነጥብ አልተሰጠም።</v>
      </c>
      <c r="K109" s="11" t="str">
        <f>IFERROR(__xludf.DUMMYFUNCTION("GOOGLETRANSLATE(E109, ""en"", ""am"")"),"ነጥቦች የሚሸለሙት ጦሩ ዒላማው ላይ ከተጣበቀ ብቻ ነው።")</f>
        <v>ነጥቦች የሚሸለሙት ጦሩ ዒላማው ላይ ከተጣበቀ ብቻ ነው።</v>
      </c>
    </row>
    <row r="110" ht="22.5" customHeight="1">
      <c r="A110" s="10">
        <v>109.0</v>
      </c>
      <c r="B110" s="11" t="s">
        <v>877</v>
      </c>
      <c r="C110" s="11" t="s">
        <v>863</v>
      </c>
      <c r="D110" s="11" t="s">
        <v>850</v>
      </c>
      <c r="E110" s="11" t="s">
        <v>878</v>
      </c>
      <c r="G110" s="11" t="str">
        <f>IFERROR(__xludf.DUMMYFUNCTION("GOOGLETRANSLATE(A110, ""en"", ""am"")"),"109")</f>
        <v>109</v>
      </c>
      <c r="H110" s="11" t="str">
        <f>IFERROR(__xludf.DUMMYFUNCTION("GOOGLETRANSLATE(B110, ""en"", ""am"")"),"የተጫዋች ጦር በዒላማው ላይ ይበርራል ነገር ግን በእሱ ላይ አያርፍም. ምን ይሆናል?")</f>
        <v>የተጫዋች ጦር በዒላማው ላይ ይበርራል ነገር ግን በእሱ ላይ አያርፍም. ምን ይሆናል?</v>
      </c>
      <c r="I110" s="11" t="str">
        <f>IFERROR(__xludf.DUMMYFUNCTION("GOOGLETRANSLATE(C110, ""en"", ""am"")"),"ሀ. ምንም ነጥብ አልተሰጠም። እንደገና እንዲሞክር ፍቀድ። የሽልማት ነጥቦች ለ ጥረትD. የሽልማት ከፊል ነጥቦች")</f>
        <v>ሀ. ምንም ነጥብ አልተሰጠም። እንደገና እንዲሞክር ፍቀድ። የሽልማት ነጥቦች ለ ጥረትD. የሽልማት ከፊል ነጥቦች</v>
      </c>
      <c r="J110" s="11" t="str">
        <f>IFERROR(__xludf.DUMMYFUNCTION("GOOGLETRANSLATE(D110, ""en"", ""am"")"),"ምንም ነጥብ አልተሰጠም።")</f>
        <v>ምንም ነጥብ አልተሰጠም።</v>
      </c>
      <c r="K110" s="11" t="str">
        <f>IFERROR(__xludf.DUMMYFUNCTION("GOOGLETRANSLATE(E110, ""en"", ""am"")"),"ጦሩ ግብ ለማስቆጠር ኢላማው ላይ ማረፍ አለበት።")</f>
        <v>ጦሩ ግብ ለማስቆጠር ኢላማው ላይ ማረፍ አለበት።</v>
      </c>
    </row>
    <row r="111" ht="22.5" customHeight="1">
      <c r="A111" s="10">
        <v>110.0</v>
      </c>
      <c r="B111" s="11" t="s">
        <v>879</v>
      </c>
      <c r="C111" s="11" t="s">
        <v>880</v>
      </c>
      <c r="D111" s="11" t="s">
        <v>881</v>
      </c>
      <c r="E111" s="11" t="s">
        <v>882</v>
      </c>
      <c r="G111" s="11" t="str">
        <f>IFERROR(__xludf.DUMMYFUNCTION("GOOGLETRANSLATE(A111, ""en"", ""am"")"),"110")</f>
        <v>110</v>
      </c>
      <c r="H111" s="11" t="str">
        <f>IFERROR(__xludf.DUMMYFUNCTION("GOOGLETRANSLATE(B111, ""en"", ""am"")"),"የተጫዋች ጦር ኢላማውን ይመታዋል እና ይጣበቃል, ነገር ግን ዳኛው አላዩትም. ፍርዱ ምንድን ነው?")</f>
        <v>የተጫዋች ጦር ኢላማውን ይመታዋል እና ይጣበቃል, ነገር ግን ዳኛው አላዩትም. ፍርዱ ምንድን ነው?</v>
      </c>
      <c r="I111" s="11" t="str">
        <f>IFERROR(__xludf.DUMMYFUNCTION("GOOGLETRANSLATE(C111, ""en"", ""am"")"),"ሀ. በ hitB ላይ የተመሠረተ የሽልማት ነጥቦች። ምንም ነጥብ አልተሰጠም ሲ. ድጋሚ ለመሞከር ፍቀድ። ጨዋታውን ለአፍታ ያቁሙት።")</f>
        <v>ሀ. በ hitB ላይ የተመሠረተ የሽልማት ነጥቦች። ምንም ነጥብ አልተሰጠም ሲ. ድጋሚ ለመሞከር ፍቀድ። ጨዋታውን ለአፍታ ያቁሙት።</v>
      </c>
      <c r="J111" s="11" t="str">
        <f>IFERROR(__xludf.DUMMYFUNCTION("GOOGLETRANSLATE(D111, ""en"", ""am"")"),"በመምታቱ ላይ በመመስረት የሽልማት ነጥቦች")</f>
        <v>በመምታቱ ላይ በመመስረት የሽልማት ነጥቦች</v>
      </c>
      <c r="K111" s="11" t="str">
        <f>IFERROR(__xludf.DUMMYFUNCTION("GOOGLETRANSLATE(E111, ""en"", ""am"")"),"ነጥቦቹ በዳኛው ከተረጋገጠ በኋላ የተረጋገጡ ናቸው.")</f>
        <v>ነጥቦቹ በዳኛው ከተረጋገጠ በኋላ የተረጋገጡ ናቸው.</v>
      </c>
    </row>
    <row r="112" ht="22.5" customHeight="1">
      <c r="A112" s="10">
        <v>111.0</v>
      </c>
      <c r="B112" s="11" t="s">
        <v>883</v>
      </c>
      <c r="C112" s="11" t="s">
        <v>884</v>
      </c>
      <c r="D112" s="11" t="s">
        <v>850</v>
      </c>
      <c r="E112" s="11" t="s">
        <v>885</v>
      </c>
      <c r="G112" s="11" t="str">
        <f>IFERROR(__xludf.DUMMYFUNCTION("GOOGLETRANSLATE(A112, ""en"", ""am"")"),"111")</f>
        <v>111</v>
      </c>
      <c r="H112" s="11" t="str">
        <f>IFERROR(__xludf.DUMMYFUNCTION("GOOGLETRANSLATE(B112, ""en"", ""am"")"),"የተጫዋች ጦር ከዒላማው አጠገብ ቢወድቅም አይጣበቅም። ምን ይሆናል?")</f>
        <v>የተጫዋች ጦር ከዒላማው አጠገብ ቢወድቅም አይጣበቅም። ምን ይሆናል?</v>
      </c>
      <c r="I112" s="11" t="str">
        <f>IFERROR(__xludf.DUMMYFUNCTION("GOOGLETRANSLATE(C112, ""en"", ""am"")"),"ሀ. ምንም ነጥብ አልተሰጠም። የሽልማት ከፊል ነጥቦች ሲ. ሽልማት ሙሉ ነጥብ ዲ. እንደገና እንዲሞክር ፍቀድ")</f>
        <v>ሀ. ምንም ነጥብ አልተሰጠም። የሽልማት ከፊል ነጥቦች ሲ. ሽልማት ሙሉ ነጥብ ዲ. እንደገና እንዲሞክር ፍቀድ</v>
      </c>
      <c r="J112" s="11" t="str">
        <f>IFERROR(__xludf.DUMMYFUNCTION("GOOGLETRANSLATE(D112, ""en"", ""am"")"),"ምንም ነጥብ አልተሰጠም።")</f>
        <v>ምንም ነጥብ አልተሰጠም።</v>
      </c>
      <c r="K112" s="11" t="str">
        <f>IFERROR(__xludf.DUMMYFUNCTION("GOOGLETRANSLATE(E112, ""en"", ""am"")"),"ጦሩ ዒላማው ላይ ካልጣበቀ በቀር ቅርበት አይቆጠርም።")</f>
        <v>ጦሩ ዒላማው ላይ ካልጣበቀ በቀር ቅርበት አይቆጠርም።</v>
      </c>
    </row>
    <row r="113" ht="22.5" customHeight="1">
      <c r="A113" s="10">
        <v>112.0</v>
      </c>
      <c r="B113" s="11" t="s">
        <v>886</v>
      </c>
      <c r="C113" s="11" t="s">
        <v>887</v>
      </c>
      <c r="D113" s="11" t="s">
        <v>850</v>
      </c>
      <c r="E113" s="11" t="s">
        <v>888</v>
      </c>
      <c r="G113" s="11" t="str">
        <f>IFERROR(__xludf.DUMMYFUNCTION("GOOGLETRANSLATE(A113, ""en"", ""am"")"),"112")</f>
        <v>112</v>
      </c>
      <c r="H113" s="11" t="str">
        <f>IFERROR(__xludf.DUMMYFUNCTION("GOOGLETRANSLATE(B113, ""en"", ""am"")"),"የተጫዋች ጦር ከዒላማ ውጭ ያርፋል ግን በተመደበው ዞን ውስጥ ነው። ምን ይሆናል?")</f>
        <v>የተጫዋች ጦር ከዒላማ ውጭ ያርፋል ግን በተመደበው ዞን ውስጥ ነው። ምን ይሆናል?</v>
      </c>
      <c r="I113" s="11" t="str">
        <f>IFERROR(__xludf.DUMMYFUNCTION("GOOGLETRANSLATE(C113, ""en"", ""am"")"),"ሀ. ምንም ነጥብ አልተሰጠም። በቅርበት ሲ ላይ የተመሠረቱ የሽልማት ነጥቦች. ድጋሚ ለመሞከር ፍቀድ። ሙሉ ነጥብ ሽልማት")</f>
        <v>ሀ. ምንም ነጥብ አልተሰጠም። በቅርበት ሲ ላይ የተመሠረቱ የሽልማት ነጥቦች. ድጋሚ ለመሞከር ፍቀድ። ሙሉ ነጥብ ሽልማት</v>
      </c>
      <c r="J113" s="11" t="str">
        <f>IFERROR(__xludf.DUMMYFUNCTION("GOOGLETRANSLATE(D113, ""en"", ""am"")"),"ምንም ነጥብ አልተሰጠም።")</f>
        <v>ምንም ነጥብ አልተሰጠም።</v>
      </c>
      <c r="K113" s="11" t="str">
        <f>IFERROR(__xludf.DUMMYFUNCTION("GOOGLETRANSLATE(E113, ""en"", ""am"")"),"ነጥቦች የተሸለሙት ዒላማው ላይ በቀጥታ ለተመታ ብቻ ነው።")</f>
        <v>ነጥቦች የተሸለሙት ዒላማው ላይ በቀጥታ ለተመታ ብቻ ነው።</v>
      </c>
    </row>
    <row r="114" ht="22.5" customHeight="1">
      <c r="A114" s="10">
        <v>113.0</v>
      </c>
      <c r="B114" s="11" t="s">
        <v>889</v>
      </c>
      <c r="C114" s="11" t="s">
        <v>890</v>
      </c>
      <c r="D114" s="11" t="s">
        <v>850</v>
      </c>
      <c r="E114" s="11" t="s">
        <v>891</v>
      </c>
      <c r="G114" s="11" t="str">
        <f>IFERROR(__xludf.DUMMYFUNCTION("GOOGLETRANSLATE(A114, ""en"", ""am"")"),"113")</f>
        <v>113</v>
      </c>
      <c r="H114" s="11" t="str">
        <f>IFERROR(__xludf.DUMMYFUNCTION("GOOGLETRANSLATE(B114, ""en"", ""am"")"),"ተጫዋቹ በሚጣሉበት ጊዜ በድንገት ከድንበሩ ውጭ ይሄዳል። ምን ይሆናል?")</f>
        <v>ተጫዋቹ በሚጣሉበት ጊዜ በድንገት ከድንበሩ ውጭ ይሄዳል። ምን ይሆናል?</v>
      </c>
      <c r="I114" s="11" t="str">
        <f>IFERROR(__xludf.DUMMYFUNCTION("GOOGLETRANSLATE(C114, ""en"", ""am"")"),"ሀ. ምንም ነጥብ አልተሰጠም። እንደገና እንዲሞክር ፍቀድ። የሽልማት ነጥቦች ለ ጥረት ዲ. መወርወሩን ውድቅ ያድርጉት")</f>
        <v>ሀ. ምንም ነጥብ አልተሰጠም። እንደገና እንዲሞክር ፍቀድ። የሽልማት ነጥቦች ለ ጥረት ዲ. መወርወሩን ውድቅ ያድርጉት</v>
      </c>
      <c r="J114" s="11" t="str">
        <f>IFERROR(__xludf.DUMMYFUNCTION("GOOGLETRANSLATE(D114, ""en"", ""am"")"),"ምንም ነጥብ አልተሰጠም።")</f>
        <v>ምንም ነጥብ አልተሰጠም።</v>
      </c>
      <c r="K114" s="11" t="str">
        <f>IFERROR(__xludf.DUMMYFUNCTION("GOOGLETRANSLATE(E114, ""en"", ""am"")"),"ተጨዋቾች በሚጣሉበት ጊዜ ገደብ ውስጥ መቆየት አለባቸው።")</f>
        <v>ተጨዋቾች በሚጣሉበት ጊዜ ገደብ ውስጥ መቆየት አለባቸው።</v>
      </c>
    </row>
    <row r="115" ht="22.5" customHeight="1">
      <c r="A115" s="10">
        <v>114.0</v>
      </c>
      <c r="B115" s="11" t="s">
        <v>892</v>
      </c>
      <c r="C115" s="11" t="s">
        <v>893</v>
      </c>
      <c r="D115" s="11" t="s">
        <v>881</v>
      </c>
      <c r="E115" s="11" t="s">
        <v>894</v>
      </c>
      <c r="G115" s="11" t="str">
        <f>IFERROR(__xludf.DUMMYFUNCTION("GOOGLETRANSLATE(A115, ""en"", ""am"")"),"114")</f>
        <v>114</v>
      </c>
      <c r="H115" s="11" t="str">
        <f>IFERROR(__xludf.DUMMYFUNCTION("GOOGLETRANSLATE(B115, ""en"", ""am"")"),"የተጫዋች ጦር ከዒላማው ጋር ይጣበቃል ነገር ግን ነፋሱ ወዲያውኑ ያጠፋዋል። ምን ይሆናል?")</f>
        <v>የተጫዋች ጦር ከዒላማው ጋር ይጣበቃል ነገር ግን ነፋሱ ወዲያውኑ ያጠፋዋል። ምን ይሆናል?</v>
      </c>
      <c r="I115" s="11" t="str">
        <f>IFERROR(__xludf.DUMMYFUNCTION("GOOGLETRANSLATE(C115, ""en"", ""am"")"),"ሀ. በ hitB ላይ የተመሠረተ የሽልማት ነጥቦች። እንደገና እንዲሞክር ፍቀድ። ምንም ነጥብ አልተሰጠም ዲ. ጨዋታውን ለአፍታ ያቁሙት።")</f>
        <v>ሀ. በ hitB ላይ የተመሠረተ የሽልማት ነጥቦች። እንደገና እንዲሞክር ፍቀድ። ምንም ነጥብ አልተሰጠም ዲ. ጨዋታውን ለአፍታ ያቁሙት።</v>
      </c>
      <c r="J115" s="11" t="str">
        <f>IFERROR(__xludf.DUMMYFUNCTION("GOOGLETRANSLATE(D115, ""en"", ""am"")"),"በመምታቱ ላይ በመመስረት የሽልማት ነጥቦች")</f>
        <v>በመምታቱ ላይ በመመስረት የሽልማት ነጥቦች</v>
      </c>
      <c r="K115" s="11" t="str">
        <f>IFERROR(__xludf.DUMMYFUNCTION("GOOGLETRANSLATE(E115, ""en"", ""am"")"),"ነጥቦች የተሸለሙት በመጀመሪያው ስኬታማ ስኬት ላይ በመመስረት ነው።")</f>
        <v>ነጥቦች የተሸለሙት በመጀመሪያው ስኬታማ ስኬት ላይ በመመስረት ነው።</v>
      </c>
    </row>
    <row r="116" ht="22.5" customHeight="1">
      <c r="A116" s="10">
        <v>115.0</v>
      </c>
      <c r="B116" s="11" t="s">
        <v>895</v>
      </c>
      <c r="C116" s="11" t="s">
        <v>896</v>
      </c>
      <c r="D116" s="11" t="s">
        <v>897</v>
      </c>
      <c r="E116" s="11" t="s">
        <v>898</v>
      </c>
      <c r="G116" s="11" t="str">
        <f>IFERROR(__xludf.DUMMYFUNCTION("GOOGLETRANSLATE(A116, ""en"", ""am"")"),"115")</f>
        <v>115</v>
      </c>
      <c r="H116" s="11" t="str">
        <f>IFERROR(__xludf.DUMMYFUNCTION("GOOGLETRANSLATE(B116, ""en"", ""am"")"),"ተጫዋቾቹ ጠላታቸው እያዘናጋቸው እያለ የተጫዋች ጦር ይጣላል። ምን ይሆናል?")</f>
        <v>ተጫዋቾቹ ጠላታቸው እያዘናጋቸው እያለ የተጫዋች ጦር ይጣላል። ምን ይሆናል?</v>
      </c>
      <c r="I116" s="11" t="str">
        <f>IFERROR(__xludf.DUMMYFUNCTION("GOOGLETRANSLATE(C116, ""en"", ""am"")"),"ሀ. መወርወሩ እንዲቀጥል ፍቀድ ለ. ጨዋታውን ለአፍታ አቁም እና ተቃዋሚውን ሲ. ድጋሚ ለመሞከር ፍቀድ። መወርወሩን ውድቅ ያድርጉት")</f>
        <v>ሀ. መወርወሩ እንዲቀጥል ፍቀድ ለ. ጨዋታውን ለአፍታ አቁም እና ተቃዋሚውን ሲ. ድጋሚ ለመሞከር ፍቀድ። መወርወሩን ውድቅ ያድርጉት</v>
      </c>
      <c r="J116" s="11" t="str">
        <f>IFERROR(__xludf.DUMMYFUNCTION("GOOGLETRANSLATE(D116, ""en"", ""am"")"),"መወርወሩ እንዲቀጥል ፍቀድ")</f>
        <v>መወርወሩ እንዲቀጥል ፍቀድ</v>
      </c>
      <c r="K116" s="11" t="str">
        <f>IFERROR(__xludf.DUMMYFUNCTION("GOOGLETRANSLATE(E116, ""en"", ""am"")"),"ተጫዋቾቹ በሚጣሉበት ጊዜ ምንም ትኩረት የሚከፋፍሉ አለመኖራቸውን ማረጋገጥ አለባቸው።")</f>
        <v>ተጫዋቾቹ በሚጣሉበት ጊዜ ምንም ትኩረት የሚከፋፍሉ አለመኖራቸውን ማረጋገጥ አለባቸው።</v>
      </c>
    </row>
    <row r="117" ht="22.5" customHeight="1">
      <c r="A117" s="10">
        <v>116.0</v>
      </c>
      <c r="B117" s="11" t="s">
        <v>899</v>
      </c>
      <c r="C117" s="11" t="s">
        <v>900</v>
      </c>
      <c r="D117" s="11" t="s">
        <v>850</v>
      </c>
      <c r="E117" s="11" t="s">
        <v>901</v>
      </c>
      <c r="G117" s="11" t="str">
        <f>IFERROR(__xludf.DUMMYFUNCTION("GOOGLETRANSLATE(A117, ""en"", ""am"")"),"116")</f>
        <v>116</v>
      </c>
      <c r="H117" s="11" t="str">
        <f>IFERROR(__xludf.DUMMYFUNCTION("GOOGLETRANSLATE(B117, ""en"", ""am"")"),"የተጫዋች ጦር ዒላማውን ሙሉ በሙሉ ስቶታል ነገር ግን በውጤት ክልል ውስጥ ገባ። ምን ይሆናል?")</f>
        <v>የተጫዋች ጦር ዒላማውን ሙሉ በሙሉ ስቶታል ነገር ግን በውጤት ክልል ውስጥ ገባ። ምን ይሆናል?</v>
      </c>
      <c r="I117" s="11" t="str">
        <f>IFERROR(__xludf.DUMMYFUNCTION("GOOGLETRANSLATE(C117, ""en"", ""am"")"),"A. በፕሮክሲሚቲቢ ላይ የተመሠረቱ የሽልማት ነጥቦች. እንደገና እንዲሞክር ፍቀድ። ምንም ነጥብ አልተሰጠም ዲ. ለጥረት የሽልማት ነጥቦች")</f>
        <v>A. በፕሮክሲሚቲቢ ላይ የተመሠረቱ የሽልማት ነጥቦች. እንደገና እንዲሞክር ፍቀድ። ምንም ነጥብ አልተሰጠም ዲ. ለጥረት የሽልማት ነጥቦች</v>
      </c>
      <c r="J117" s="11" t="str">
        <f>IFERROR(__xludf.DUMMYFUNCTION("GOOGLETRANSLATE(D117, ""en"", ""am"")"),"ምንም ነጥብ አልተሰጠም።")</f>
        <v>ምንም ነጥብ አልተሰጠም።</v>
      </c>
      <c r="K117" s="11" t="str">
        <f>IFERROR(__xludf.DUMMYFUNCTION("GOOGLETRANSLATE(E117, ""en"", ""am"")"),"ነጥቦች የሚሸለሙት ለታለመለት ስኬት ብቻ ነው።")</f>
        <v>ነጥቦች የሚሸለሙት ለታለመለት ስኬት ብቻ ነው።</v>
      </c>
    </row>
    <row r="118" ht="22.5" customHeight="1">
      <c r="A118" s="10">
        <v>117.0</v>
      </c>
      <c r="B118" s="11" t="s">
        <v>902</v>
      </c>
      <c r="C118" s="11" t="s">
        <v>866</v>
      </c>
      <c r="D118" s="11" t="s">
        <v>867</v>
      </c>
      <c r="E118" s="11" t="s">
        <v>903</v>
      </c>
      <c r="G118" s="11" t="str">
        <f>IFERROR(__xludf.DUMMYFUNCTION("GOOGLETRANSLATE(A118, ""en"", ""am"")"),"117")</f>
        <v>117</v>
      </c>
      <c r="H118" s="11" t="str">
        <f>IFERROR(__xludf.DUMMYFUNCTION("GOOGLETRANSLATE(B118, ""en"", ""am"")"),"የተጫዋች ጦር በዒላማው ጠርዝ ላይ ወድቋል. ፍርዱ ምንድን ነው?")</f>
        <v>የተጫዋች ጦር በዒላማው ጠርዝ ላይ ወድቋል. ፍርዱ ምንድን ነው?</v>
      </c>
      <c r="I118" s="11" t="str">
        <f>IFERROR(__xludf.DUMMYFUNCTION("GOOGLETRANSLATE(C118, ""en"", ""am"")"),"ሀ. ለ hitB የሽልማት ነጥቦች። እንደገና እንዲሞክር ፍቀድ። ምንም ነጥብ አልተሰጠም ዲ. የሽልማት ከፊል ነጥቦች")</f>
        <v>ሀ. ለ hitB የሽልማት ነጥቦች። እንደገና እንዲሞክር ፍቀድ። ምንም ነጥብ አልተሰጠም ዲ. የሽልማት ከፊል ነጥቦች</v>
      </c>
      <c r="J118" s="11" t="str">
        <f>IFERROR(__xludf.DUMMYFUNCTION("GOOGLETRANSLATE(D118, ""en"", ""am"")"),"ለተመታ የሽልማት ነጥቦች")</f>
        <v>ለተመታ የሽልማት ነጥቦች</v>
      </c>
      <c r="K118" s="11" t="str">
        <f>IFERROR(__xludf.DUMMYFUNCTION("GOOGLETRANSLATE(E118, ""en"", ""am"")"),"በዒላማው ጠርዝ ላይ ማረፍ አሁንም እንደ ትክክለኛ መምታት ይቆጠራል።")</f>
        <v>በዒላማው ጠርዝ ላይ ማረፍ አሁንም እንደ ትክክለኛ መምታት ይቆጠራል።</v>
      </c>
    </row>
    <row r="119" ht="22.5" customHeight="1">
      <c r="A119" s="10">
        <v>118.0</v>
      </c>
      <c r="B119" s="11" t="s">
        <v>904</v>
      </c>
      <c r="C119" s="11" t="s">
        <v>905</v>
      </c>
      <c r="D119" s="11" t="s">
        <v>906</v>
      </c>
      <c r="E119" s="11" t="s">
        <v>907</v>
      </c>
      <c r="G119" s="11" t="str">
        <f>IFERROR(__xludf.DUMMYFUNCTION("GOOGLETRANSLATE(A119, ""en"", ""am"")"),"118")</f>
        <v>118</v>
      </c>
      <c r="H119" s="11" t="str">
        <f>IFERROR(__xludf.DUMMYFUNCTION("GOOGLETRANSLATE(B119, ""en"", ""am"")"),"አንድ ተጫዋች ጦራቸውን ይጥሉታል ነገር ግን በተቃዋሚው አካባቢ ወድቋል. ፍርዱ ምንድን ነው?")</f>
        <v>አንድ ተጫዋች ጦራቸውን ይጥሉታል ነገር ግን በተቃዋሚው አካባቢ ወድቋል. ፍርዱ ምንድን ነው?</v>
      </c>
      <c r="I119" s="11" t="str">
        <f>IFERROR(__xludf.DUMMYFUNCTION("GOOGLETRANSLATE(C119, ""en"", ""am"")"),"ሀ. ለስኬታማው ውርወራ ሽልማት ነጥብ። ተቃዋሚው ለጊዜ ማብቂያ ሲደውል ይፍቀዱለት። ሽልማት ለተቃዋሚ ዲ. ምንም ነጥብ አልተሰጠም።")</f>
        <v>ሀ. ለስኬታማው ውርወራ ሽልማት ነጥብ። ተቃዋሚው ለጊዜ ማብቂያ ሲደውል ይፍቀዱለት። ሽልማት ለተቃዋሚ ዲ. ምንም ነጥብ አልተሰጠም።</v>
      </c>
      <c r="J119" s="11" t="str">
        <f>IFERROR(__xludf.DUMMYFUNCTION("GOOGLETRANSLATE(D119, ""en"", ""am"")"),"ለተሳካ ውርወራ የሽልማት ነጥቦች")</f>
        <v>ለተሳካ ውርወራ የሽልማት ነጥቦች</v>
      </c>
      <c r="K119" s="11" t="str">
        <f>IFERROR(__xludf.DUMMYFUNCTION("GOOGLETRANSLATE(E119, ""en"", ""am"")"),"መወርወሩ በተቃዋሚው አካባቢ ቢያርፍም ይቆጠራል።")</f>
        <v>መወርወሩ በተቃዋሚው አካባቢ ቢያርፍም ይቆጠራል።</v>
      </c>
    </row>
    <row r="120" ht="22.5" customHeight="1">
      <c r="A120" s="10">
        <v>119.0</v>
      </c>
      <c r="B120" s="11" t="s">
        <v>908</v>
      </c>
      <c r="C120" s="11" t="s">
        <v>909</v>
      </c>
      <c r="D120" s="11" t="s">
        <v>850</v>
      </c>
      <c r="E120" s="11" t="s">
        <v>910</v>
      </c>
      <c r="G120" s="11" t="str">
        <f>IFERROR(__xludf.DUMMYFUNCTION("GOOGLETRANSLATE(A120, ""en"", ""am"")"),"119")</f>
        <v>119</v>
      </c>
      <c r="H120" s="11" t="str">
        <f>IFERROR(__xludf.DUMMYFUNCTION("GOOGLETRANSLATE(B120, ""en"", ""am"")"),"የተጫዋች ጦር በዒላማው ላይ በትክክል ይርፋል, ነገር ግን በትክክለኛው ቦታ ላይ አይደሉም. ምን ይሆናል?")</f>
        <v>የተጫዋች ጦር በዒላማው ላይ በትክክል ይርፋል, ነገር ግን በትክክለኛው ቦታ ላይ አይደሉም. ምን ይሆናል?</v>
      </c>
      <c r="I120" s="11" t="str">
        <f>IFERROR(__xludf.DUMMYFUNCTION("GOOGLETRANSLATE(C120, ""en"", ""am"")"),"ሀ. ምንም ነጥብ አልተሰጠም። እንደገና እንዲሞክር ፍቀድ። ለ hitD የሽልማት ነጥቦች. ተጫዋቹን ውድቅ ያድርጉት")</f>
        <v>ሀ. ምንም ነጥብ አልተሰጠም። እንደገና እንዲሞክር ፍቀድ። ለ hitD የሽልማት ነጥቦች. ተጫዋቹን ውድቅ ያድርጉት</v>
      </c>
      <c r="J120" s="11" t="str">
        <f>IFERROR(__xludf.DUMMYFUNCTION("GOOGLETRANSLATE(D120, ""en"", ""am"")"),"ምንም ነጥብ አልተሰጠም።")</f>
        <v>ምንም ነጥብ አልተሰጠም።</v>
      </c>
      <c r="K120" s="11" t="str">
        <f>IFERROR(__xludf.DUMMYFUNCTION("GOOGLETRANSLATE(E120, ""en"", ""am"")"),"ተጨዋቾች ለሚሰራ ውርወራ በትክክለኛው ቦታ ላይ መሆን አለባቸው።")</f>
        <v>ተጨዋቾች ለሚሰራ ውርወራ በትክክለኛው ቦታ ላይ መሆን አለባቸው።</v>
      </c>
    </row>
    <row r="121" ht="22.5" customHeight="1">
      <c r="A121" s="10">
        <v>120.0</v>
      </c>
      <c r="B121" s="11" t="s">
        <v>911</v>
      </c>
      <c r="C121" s="11" t="s">
        <v>912</v>
      </c>
      <c r="D121" s="11" t="s">
        <v>850</v>
      </c>
      <c r="E121" s="11" t="s">
        <v>913</v>
      </c>
      <c r="G121" s="11" t="str">
        <f>IFERROR(__xludf.DUMMYFUNCTION("GOOGLETRANSLATE(A121, ""en"", ""am"")"),"120")</f>
        <v>120</v>
      </c>
      <c r="H121" s="11" t="str">
        <f>IFERROR(__xludf.DUMMYFUNCTION("GOOGLETRANSLATE(B121, ""en"", ""am"")"),"የተጫዋች ጦር በዒላማው ላይ ይበርራል ነገር ግን ትክክለኛ ቦታ ላይ አረፈ። ምን ይሆናል?")</f>
        <v>የተጫዋች ጦር በዒላማው ላይ ይበርራል ነገር ግን ትክክለኛ ቦታ ላይ አረፈ። ምን ይሆናል?</v>
      </c>
      <c r="I121" s="11" t="str">
        <f>IFERROR(__xludf.DUMMYFUNCTION("GOOGLETRANSLATE(C121, ""en"", ""am"")"),"ሀ. ምንም ነጥብ አልተሰጠም። እንደገና እንዲሞክር ፍቀድ። ርቀትD ላይ የተመሠረተ የሽልማት ነጥቦች. መወርወሩን ውድቅ ያድርጉት")</f>
        <v>ሀ. ምንም ነጥብ አልተሰጠም። እንደገና እንዲሞክር ፍቀድ። ርቀትD ላይ የተመሠረተ የሽልማት ነጥቦች. መወርወሩን ውድቅ ያድርጉት</v>
      </c>
      <c r="J121" s="11" t="str">
        <f>IFERROR(__xludf.DUMMYFUNCTION("GOOGLETRANSLATE(D121, ""en"", ""am"")"),"ምንም ነጥብ አልተሰጠም።")</f>
        <v>ምንም ነጥብ አልተሰጠም።</v>
      </c>
      <c r="K121" s="11" t="str">
        <f>IFERROR(__xludf.DUMMYFUNCTION("GOOGLETRANSLATE(E121, ""en"", ""am"")"),"ነጥብ ለማግኘት ጦሩ በቀጥታ ወደ ዒላማው ማረፍ አለበት።")</f>
        <v>ነጥብ ለማግኘት ጦሩ በቀጥታ ወደ ዒላማው ማረፍ አለበት።</v>
      </c>
    </row>
    <row r="122" ht="22.5" customHeight="1">
      <c r="A122" s="10">
        <v>121.0</v>
      </c>
      <c r="B122" s="11" t="s">
        <v>914</v>
      </c>
      <c r="C122" s="11" t="s">
        <v>915</v>
      </c>
      <c r="D122" s="11" t="s">
        <v>850</v>
      </c>
      <c r="E122" s="11" t="s">
        <v>916</v>
      </c>
      <c r="G122" s="11" t="str">
        <f>IFERROR(__xludf.DUMMYFUNCTION("GOOGLETRANSLATE(A122, ""en"", ""am"")"),"121")</f>
        <v>121</v>
      </c>
      <c r="H122" s="11" t="str">
        <f>IFERROR(__xludf.DUMMYFUNCTION("GOOGLETRANSLATE(B122, ""en"", ""am"")"),"ተጫዋቹ ጦራቸውን ቢወረውሩም ከዒላማው ክልል ውጭ ያርፋል። ምን ይሆናል?")</f>
        <v>ተጫዋቹ ጦራቸውን ቢወረውሩም ከዒላማው ክልል ውጭ ያርፋል። ምን ይሆናል?</v>
      </c>
      <c r="I122" s="11" t="str">
        <f>IFERROR(__xludf.DUMMYFUNCTION("GOOGLETRANSLATE(C122, ""en"", ""am"")"),"ሀ. ምንም ነጥብ አልተሰጠም። በቅርበት ሲ ላይ የተመሠረቱ የሽልማት ነጥቦች. ድጋሚ ለመሞከር ፍቀድ። መወርወሩን ውድቅ ያድርጉት")</f>
        <v>ሀ. ምንም ነጥብ አልተሰጠም። በቅርበት ሲ ላይ የተመሠረቱ የሽልማት ነጥቦች. ድጋሚ ለመሞከር ፍቀድ። መወርወሩን ውድቅ ያድርጉት</v>
      </c>
      <c r="J122" s="11" t="str">
        <f>IFERROR(__xludf.DUMMYFUNCTION("GOOGLETRANSLATE(D122, ""en"", ""am"")"),"ምንም ነጥብ አልተሰጠም።")</f>
        <v>ምንም ነጥብ አልተሰጠም።</v>
      </c>
      <c r="K122" s="11" t="str">
        <f>IFERROR(__xludf.DUMMYFUNCTION("GOOGLETRANSLATE(E122, ""en"", ""am"")"),"ጦሩ ግብ ለማስቆጠር በዒላማው ዞን ውስጥ ማረፍ አለበት።")</f>
        <v>ጦሩ ግብ ለማስቆጠር በዒላማው ዞን ውስጥ ማረፍ አለበት።</v>
      </c>
    </row>
    <row r="123" ht="22.5" customHeight="1">
      <c r="A123" s="10">
        <v>122.0</v>
      </c>
      <c r="B123" s="11" t="s">
        <v>917</v>
      </c>
      <c r="C123" s="11" t="s">
        <v>853</v>
      </c>
      <c r="D123" s="11" t="s">
        <v>850</v>
      </c>
      <c r="E123" s="11" t="s">
        <v>918</v>
      </c>
      <c r="G123" s="11" t="str">
        <f>IFERROR(__xludf.DUMMYFUNCTION("GOOGLETRANSLATE(A123, ""en"", ""am"")"),"122")</f>
        <v>122</v>
      </c>
      <c r="H123" s="11" t="str">
        <f>IFERROR(__xludf.DUMMYFUNCTION("GOOGLETRANSLATE(B123, ""en"", ""am"")"),"የተጫዋቹ ጦር ዒላማው ላይ በቀጥታ ቢያርፍም ወደ ላይ ይወጣል። ምን ይሆናል?")</f>
        <v>የተጫዋቹ ጦር ዒላማው ላይ በቀጥታ ቢያርፍም ወደ ላይ ይወጣል። ምን ይሆናል?</v>
      </c>
      <c r="I123" s="11" t="str">
        <f>IFERROR(__xludf.DUMMYFUNCTION("GOOGLETRANSLATE(C123, ""en"", ""am"")"),"ሀ. ምንም ነጥብ አልተሰጠም። ለ hitC ሽልማት ነጥቦች. ድጋሚ ለመሞከር ፍቀድ። የሽልማት ከፊል ነጥቦች")</f>
        <v>ሀ. ምንም ነጥብ አልተሰጠም። ለ hitC ሽልማት ነጥቦች. ድጋሚ ለመሞከር ፍቀድ። የሽልማት ከፊል ነጥቦች</v>
      </c>
      <c r="J123" s="11" t="str">
        <f>IFERROR(__xludf.DUMMYFUNCTION("GOOGLETRANSLATE(D123, ""en"", ""am"")"),"ምንም ነጥብ አልተሰጠም።")</f>
        <v>ምንም ነጥብ አልተሰጠም።</v>
      </c>
      <c r="K123" s="11" t="str">
        <f>IFERROR(__xludf.DUMMYFUNCTION("GOOGLETRANSLATE(E123, ""en"", ""am"")"),"ነጥቦች የሚሸለሙት ጦሩ ዒላማው ላይ ከተጣበቀ ብቻ ነው።")</f>
        <v>ነጥቦች የሚሸለሙት ጦሩ ዒላማው ላይ ከተጣበቀ ብቻ ነው።</v>
      </c>
    </row>
    <row r="124" ht="22.5" customHeight="1">
      <c r="A124" s="10">
        <v>123.0</v>
      </c>
      <c r="B124" s="11" t="s">
        <v>919</v>
      </c>
      <c r="C124" s="11" t="s">
        <v>866</v>
      </c>
      <c r="D124" s="11" t="s">
        <v>867</v>
      </c>
      <c r="E124" s="11" t="s">
        <v>920</v>
      </c>
      <c r="G124" s="11" t="str">
        <f>IFERROR(__xludf.DUMMYFUNCTION("GOOGLETRANSLATE(A124, ""en"", ""am"")"),"123")</f>
        <v>123</v>
      </c>
      <c r="H124" s="11" t="str">
        <f>IFERROR(__xludf.DUMMYFUNCTION("GOOGLETRANSLATE(B124, ""en"", ""am"")"),"የተጫዋች ጦር ኢላማውን ይመታል እና ይጣበቃል, ነገር ግን ሌላ ተጫዋች ያንኳኳታል. ምን ይሆናል?")</f>
        <v>የተጫዋች ጦር ኢላማውን ይመታል እና ይጣበቃል, ነገር ግን ሌላ ተጫዋች ያንኳኳታል. ምን ይሆናል?</v>
      </c>
      <c r="I124" s="11" t="str">
        <f>IFERROR(__xludf.DUMMYFUNCTION("GOOGLETRANSLATE(C124, ""en"", ""am"")"),"ሀ. ለ hitB የሽልማት ነጥቦች። እንደገና እንዲሞክር ፍቀድ። ምንም ነጥብ አልተሰጠም ዲ. የሽልማት ከፊል ነጥቦች")</f>
        <v>ሀ. ለ hitB የሽልማት ነጥቦች። እንደገና እንዲሞክር ፍቀድ። ምንም ነጥብ አልተሰጠም ዲ. የሽልማት ከፊል ነጥቦች</v>
      </c>
      <c r="J124" s="11" t="str">
        <f>IFERROR(__xludf.DUMMYFUNCTION("GOOGLETRANSLATE(D124, ""en"", ""am"")"),"ለተመታ የሽልማት ነጥቦች")</f>
        <v>ለተመታ የሽልማት ነጥቦች</v>
      </c>
      <c r="K124" s="11" t="str">
        <f>IFERROR(__xludf.DUMMYFUNCTION("GOOGLETRANSLATE(E124, ""en"", ""am"")"),"ነጥቦቹ የተሸለሙት በመጀመሪያ መምታት ላይ በመመስረት ነው።")</f>
        <v>ነጥቦቹ የተሸለሙት በመጀመሪያ መምታት ላይ በመመስረት ነው።</v>
      </c>
    </row>
    <row r="125" ht="22.5" customHeight="1">
      <c r="A125" s="10">
        <v>124.0</v>
      </c>
      <c r="B125" s="11" t="s">
        <v>921</v>
      </c>
      <c r="C125" s="11" t="s">
        <v>922</v>
      </c>
      <c r="D125" s="11" t="s">
        <v>850</v>
      </c>
      <c r="E125" s="11" t="s">
        <v>923</v>
      </c>
      <c r="G125" s="11" t="str">
        <f>IFERROR(__xludf.DUMMYFUNCTION("GOOGLETRANSLATE(A125, ""en"", ""am"")"),"124")</f>
        <v>124</v>
      </c>
      <c r="H125" s="11" t="str">
        <f>IFERROR(__xludf.DUMMYFUNCTION("GOOGLETRANSLATE(B125, ""en"", ""am"")"),"አንድ ተጫዋች ጦራቸውን ቢወረውሩም ከዒላማው ጀርባ ያርፋል። ምን ይሆናል?")</f>
        <v>አንድ ተጫዋች ጦራቸውን ቢወረውሩም ከዒላማው ጀርባ ያርፋል። ምን ይሆናል?</v>
      </c>
      <c r="I125" s="11" t="str">
        <f>IFERROR(__xludf.DUMMYFUNCTION("GOOGLETRANSLATE(C125, ""en"", ""am"")"),"ሀ. ምንም ነጥብ አልተሰጠም። በቅርበት ሲ ላይ የተመሠረቱ የሽልማት ነጥቦች. ድጋሚ ለመሞከር ፍቀድ። የሽልማት ከፊል ነጥቦች")</f>
        <v>ሀ. ምንም ነጥብ አልተሰጠም። በቅርበት ሲ ላይ የተመሠረቱ የሽልማት ነጥቦች. ድጋሚ ለመሞከር ፍቀድ። የሽልማት ከፊል ነጥቦች</v>
      </c>
      <c r="J125" s="11" t="str">
        <f>IFERROR(__xludf.DUMMYFUNCTION("GOOGLETRANSLATE(D125, ""en"", ""am"")"),"ምንም ነጥብ አልተሰጠም።")</f>
        <v>ምንም ነጥብ አልተሰጠም።</v>
      </c>
      <c r="K125" s="11" t="str">
        <f>IFERROR(__xludf.DUMMYFUNCTION("GOOGLETRANSLATE(E125, ""en"", ""am"")"),"ነጥቦች የሚሸለሙት ጦሩ ከዒላማው ፊት ለፊት ካረፈ ብቻ ነው።")</f>
        <v>ነጥቦች የሚሸለሙት ጦሩ ከዒላማው ፊት ለፊት ካረፈ ብቻ ነው።</v>
      </c>
    </row>
    <row r="126" ht="22.5" customHeight="1">
      <c r="A126" s="10">
        <v>125.0</v>
      </c>
      <c r="B126" s="11" t="s">
        <v>924</v>
      </c>
      <c r="C126" s="11" t="s">
        <v>866</v>
      </c>
      <c r="D126" s="11" t="s">
        <v>867</v>
      </c>
      <c r="E126" s="11" t="s">
        <v>925</v>
      </c>
      <c r="G126" s="11" t="str">
        <f>IFERROR(__xludf.DUMMYFUNCTION("GOOGLETRANSLATE(A126, ""en"", ""am"")"),"125")</f>
        <v>125</v>
      </c>
      <c r="H126" s="11" t="str">
        <f>IFERROR(__xludf.DUMMYFUNCTION("GOOGLETRANSLATE(B126, ""en"", ""am"")"),"የተጫዋች ጦር ዒላማው ላይ ያርፋል፣ ሌላ ተጫዋች ግን ይራመዳል። ምን ይሆናል?")</f>
        <v>የተጫዋች ጦር ዒላማው ላይ ያርፋል፣ ሌላ ተጫዋች ግን ይራመዳል። ምን ይሆናል?</v>
      </c>
      <c r="I126" s="11" t="str">
        <f>IFERROR(__xludf.DUMMYFUNCTION("GOOGLETRANSLATE(C126, ""en"", ""am"")"),"ሀ. ለ hitB የሽልማት ነጥቦች። እንደገና እንዲሞክር ፍቀድ። ምንም ነጥብ አልተሰጠም ዲ. የሽልማት ከፊል ነጥቦች")</f>
        <v>ሀ. ለ hitB የሽልማት ነጥቦች። እንደገና እንዲሞክር ፍቀድ። ምንም ነጥብ አልተሰጠም ዲ. የሽልማት ከፊል ነጥቦች</v>
      </c>
      <c r="J126" s="11" t="str">
        <f>IFERROR(__xludf.DUMMYFUNCTION("GOOGLETRANSLATE(D126, ""en"", ""am"")"),"ለተመታ የሽልማት ነጥቦች")</f>
        <v>ለተመታ የሽልማት ነጥቦች</v>
      </c>
      <c r="K126" s="11" t="str">
        <f>IFERROR(__xludf.DUMMYFUNCTION("GOOGLETRANSLATE(E126, ""en"", ""am"")"),"ነጥቦቹ የተሸለሙት ጦሩ መጀመሪያ ላይ በዒላማው ላይ እስከነበረ ድረስ ነው.")</f>
        <v>ነጥቦቹ የተሸለሙት ጦሩ መጀመሪያ ላይ በዒላማው ላይ እስከነበረ ድረስ ነው.</v>
      </c>
    </row>
    <row r="127" ht="22.5" customHeight="1">
      <c r="A127" s="10">
        <v>126.0</v>
      </c>
      <c r="B127" s="11" t="s">
        <v>926</v>
      </c>
      <c r="C127" s="11" t="s">
        <v>927</v>
      </c>
      <c r="D127" s="11" t="s">
        <v>928</v>
      </c>
      <c r="E127" s="11" t="s">
        <v>929</v>
      </c>
      <c r="G127" s="11" t="str">
        <f>IFERROR(__xludf.DUMMYFUNCTION("GOOGLETRANSLATE(A127, ""en"", ""am"")"),"126")</f>
        <v>126</v>
      </c>
      <c r="H127" s="11" t="str">
        <f>IFERROR(__xludf.DUMMYFUNCTION("GOOGLETRANSLATE(B127, ""en"", ""am"")"),"ተጫዋቹ ጦራቸውን ቢወረውሩም ሜዳው ውስጥ ባለ ነገር ተዘግቷል። ምን ይሆናል?")</f>
        <v>ተጫዋቹ ጦራቸውን ቢወረውሩም ሜዳው ውስጥ ባለ ነገር ተዘግቷል። ምን ይሆናል?</v>
      </c>
      <c r="I127" s="11" t="str">
        <f>IFERROR(__xludf.DUMMYFUNCTION("GOOGLETRANSLATE(C127, ""en"", ""am"")"),"ሀ. ምንም ነጥብ አልተሰጠም። እንደገና እንዲሞክር ፍቀድ። የሽልማት ነጥቦች ለ ጥረትD. መወርወሩን ውድቅ ያድርጉት")</f>
        <v>ሀ. ምንም ነጥብ አልተሰጠም። እንደገና እንዲሞክር ፍቀድ። የሽልማት ነጥቦች ለ ጥረትD. መወርወሩን ውድቅ ያድርጉት</v>
      </c>
      <c r="J127" s="11" t="str">
        <f>IFERROR(__xludf.DUMMYFUNCTION("GOOGLETRANSLATE(D127, ""en"", ""am"")"),"እንደገና እንዲሞክር ፍቀድ")</f>
        <v>እንደገና እንዲሞክር ፍቀድ</v>
      </c>
      <c r="K127" s="11" t="str">
        <f>IFERROR(__xludf.DUMMYFUNCTION("GOOGLETRANSLATE(E127, ""en"", ""am"")"),"መወርወሩ ከተደናቀፈ ዋጋ የለውም።")</f>
        <v>መወርወሩ ከተደናቀፈ ዋጋ የለውም።</v>
      </c>
    </row>
    <row r="128" ht="22.5" customHeight="1">
      <c r="A128" s="10">
        <v>127.0</v>
      </c>
      <c r="B128" s="11" t="s">
        <v>930</v>
      </c>
      <c r="C128" s="11" t="s">
        <v>931</v>
      </c>
      <c r="D128" s="11" t="s">
        <v>850</v>
      </c>
      <c r="E128" s="11" t="s">
        <v>918</v>
      </c>
      <c r="G128" s="11" t="str">
        <f>IFERROR(__xludf.DUMMYFUNCTION("GOOGLETRANSLATE(A128, ""en"", ""am"")"),"127")</f>
        <v>127</v>
      </c>
      <c r="H128" s="11" t="str">
        <f>IFERROR(__xludf.DUMMYFUNCTION("GOOGLETRANSLATE(B128, ""en"", ""am"")"),"የተጫዋች ጦር ከዒላማው አጠገብ ቢወድቅም አይጣበቅም። ምን ይሆናል?")</f>
        <v>የተጫዋች ጦር ከዒላማው አጠገብ ቢወድቅም አይጣበቅም። ምን ይሆናል?</v>
      </c>
      <c r="I128" s="11" t="str">
        <f>IFERROR(__xludf.DUMMYFUNCTION("GOOGLETRANSLATE(C128, ""en"", ""am"")"),"A. በፕሮክሲሚቲቢ ላይ የተመሠረቱ የሽልማት ነጥቦች. ምንም ነጥብ አልተሰጠም ሲ. ድጋሚ ለመሞከር ፍቀድ። ሙሉ ነጥብ ሽልማት")</f>
        <v>A. በፕሮክሲሚቲቢ ላይ የተመሠረቱ የሽልማት ነጥቦች. ምንም ነጥብ አልተሰጠም ሲ. ድጋሚ ለመሞከር ፍቀድ። ሙሉ ነጥብ ሽልማት</v>
      </c>
      <c r="J128" s="11" t="str">
        <f>IFERROR(__xludf.DUMMYFUNCTION("GOOGLETRANSLATE(D128, ""en"", ""am"")"),"ምንም ነጥብ አልተሰጠም።")</f>
        <v>ምንም ነጥብ አልተሰጠም።</v>
      </c>
      <c r="K128" s="11" t="str">
        <f>IFERROR(__xludf.DUMMYFUNCTION("GOOGLETRANSLATE(E128, ""en"", ""am"")"),"ነጥቦች የሚሸለሙት ጦሩ ዒላማው ላይ ከተጣበቀ ብቻ ነው።")</f>
        <v>ነጥቦች የሚሸለሙት ጦሩ ዒላማው ላይ ከተጣበቀ ብቻ ነው።</v>
      </c>
    </row>
    <row r="129" ht="22.5" customHeight="1">
      <c r="A129" s="10">
        <v>128.0</v>
      </c>
      <c r="B129" s="11" t="s">
        <v>932</v>
      </c>
      <c r="C129" s="11" t="s">
        <v>933</v>
      </c>
      <c r="D129" s="11" t="s">
        <v>934</v>
      </c>
      <c r="E129" s="11" t="s">
        <v>935</v>
      </c>
      <c r="G129" s="11" t="str">
        <f>IFERROR(__xludf.DUMMYFUNCTION("GOOGLETRANSLATE(A129, ""en"", ""am"")"),"128")</f>
        <v>128</v>
      </c>
      <c r="H129" s="11" t="str">
        <f>IFERROR(__xludf.DUMMYFUNCTION("GOOGLETRANSLATE(B129, ""en"", ""am"")"),"የተጫዋች ጦር በቀጥታ ወደ ዒላማው ቢያርፍም ኢላማው ይንቀሳቀሳል። ምን ይሆናል?")</f>
        <v>የተጫዋች ጦር በቀጥታ ወደ ዒላማው ቢያርፍም ኢላማው ይንቀሳቀሳል። ምን ይሆናል?</v>
      </c>
      <c r="I129" s="11" t="str">
        <f>IFERROR(__xludf.DUMMYFUNCTION("GOOGLETRANSLATE(C129, ""en"", ""am"")"),"ሀ. በመጀመርያ hitB ላይ በመመስረት የሽልማት ነጥቦች። እንደገና እንዲሞክር ፍቀድ። ምንም ነጥብ አልተሰጠም ዲ. የሽልማት ከፊል ነጥቦች")</f>
        <v>ሀ. በመጀመርያ hitB ላይ በመመስረት የሽልማት ነጥቦች። እንደገና እንዲሞክር ፍቀድ። ምንም ነጥብ አልተሰጠም ዲ. የሽልማት ከፊል ነጥቦች</v>
      </c>
      <c r="J129" s="11" t="str">
        <f>IFERROR(__xludf.DUMMYFUNCTION("GOOGLETRANSLATE(D129, ""en"", ""am"")"),"በመጀመሪያው ምት ላይ በመመስረት የሽልማት ነጥቦች")</f>
        <v>በመጀመሪያው ምት ላይ በመመስረት የሽልማት ነጥቦች</v>
      </c>
      <c r="K129" s="11" t="str">
        <f>IFERROR(__xludf.DUMMYFUNCTION("GOOGLETRANSLATE(E129, ""en"", ""am"")"),"ነጥቦቹ በመጀመሪያው ስኬታማ ስኬት ላይ የተመሰረቱ ናቸው።")</f>
        <v>ነጥቦቹ በመጀመሪያው ስኬታማ ስኬት ላይ የተመሰረቱ ናቸው።</v>
      </c>
    </row>
    <row r="130" ht="22.5" customHeight="1">
      <c r="A130" s="10">
        <v>129.0</v>
      </c>
      <c r="B130" s="11" t="s">
        <v>936</v>
      </c>
      <c r="C130" s="11" t="s">
        <v>912</v>
      </c>
      <c r="D130" s="11" t="s">
        <v>850</v>
      </c>
      <c r="E130" s="11" t="s">
        <v>937</v>
      </c>
      <c r="G130" s="11" t="str">
        <f>IFERROR(__xludf.DUMMYFUNCTION("GOOGLETRANSLATE(A130, ""en"", ""am"")"),"129")</f>
        <v>129</v>
      </c>
      <c r="H130" s="11" t="str">
        <f>IFERROR(__xludf.DUMMYFUNCTION("GOOGLETRANSLATE(B130, ""en"", ""am"")"),"አንድ ተጫዋች ጦሩን ወርውሮ ከታለመለት ቦታ ውጭ አረፈ። ምን ይሆናል?")</f>
        <v>አንድ ተጫዋች ጦሩን ወርውሮ ከታለመለት ቦታ ውጭ አረፈ። ምን ይሆናል?</v>
      </c>
      <c r="I130" s="11" t="str">
        <f>IFERROR(__xludf.DUMMYFUNCTION("GOOGLETRANSLATE(C130, ""en"", ""am"")"),"ሀ. ምንም ነጥብ አልተሰጠም። እንደገና እንዲሞክር ፍቀድ። ርቀትD ላይ የተመሠረተ የሽልማት ነጥቦች. መወርወሩን ውድቅ ያድርጉት")</f>
        <v>ሀ. ምንም ነጥብ አልተሰጠም። እንደገና እንዲሞክር ፍቀድ። ርቀትD ላይ የተመሠረተ የሽልማት ነጥቦች. መወርወሩን ውድቅ ያድርጉት</v>
      </c>
      <c r="J130" s="11" t="str">
        <f>IFERROR(__xludf.DUMMYFUNCTION("GOOGLETRANSLATE(D130, ""en"", ""am"")"),"ምንም ነጥብ አልተሰጠም።")</f>
        <v>ምንም ነጥብ አልተሰጠም።</v>
      </c>
      <c r="K130" s="11" t="str">
        <f>IFERROR(__xludf.DUMMYFUNCTION("GOOGLETRANSLATE(E130, ""en"", ""am"")"),"መወርወሩ ከዒላማው ውጭ ካረፈ ዋጋ የለውም።")</f>
        <v>መወርወሩ ከዒላማው ውጭ ካረፈ ዋጋ የለውም።</v>
      </c>
    </row>
    <row r="131" ht="22.5" customHeight="1">
      <c r="A131" s="10">
        <v>130.0</v>
      </c>
      <c r="B131" s="11" t="s">
        <v>938</v>
      </c>
      <c r="C131" s="11" t="s">
        <v>939</v>
      </c>
      <c r="D131" s="11" t="s">
        <v>850</v>
      </c>
      <c r="E131" s="11" t="s">
        <v>918</v>
      </c>
      <c r="G131" s="11" t="str">
        <f>IFERROR(__xludf.DUMMYFUNCTION("GOOGLETRANSLATE(A131, ""en"", ""am"")"),"130")</f>
        <v>130</v>
      </c>
      <c r="H131" s="11" t="str">
        <f>IFERROR(__xludf.DUMMYFUNCTION("GOOGLETRANSLATE(B131, ""en"", ""am"")"),"የተጫዋች ጦር ዒላማው ላይ ቢወድቅም አይጣበቅም። ፍርዱ ምንድን ነው?")</f>
        <v>የተጫዋች ጦር ዒላማው ላይ ቢወድቅም አይጣበቅም። ፍርዱ ምንድን ነው?</v>
      </c>
      <c r="I131" s="11" t="str">
        <f>IFERROR(__xludf.DUMMYFUNCTION("GOOGLETRANSLATE(C131, ""en"", ""am"")"),"ሀ. የአቅራቢነት ቢ ሽልማት ነጥቦች። ምንም ነጥብ አልተሰጠም ሲ. ድጋሚ ለመሞከር ፍቀድ። የሽልማት ከፊል ነጥቦች")</f>
        <v>ሀ. የአቅራቢነት ቢ ሽልማት ነጥቦች። ምንም ነጥብ አልተሰጠም ሲ. ድጋሚ ለመሞከር ፍቀድ። የሽልማት ከፊል ነጥቦች</v>
      </c>
      <c r="J131" s="11" t="str">
        <f>IFERROR(__xludf.DUMMYFUNCTION("GOOGLETRANSLATE(D131, ""en"", ""am"")"),"ምንም ነጥብ አልተሰጠም።")</f>
        <v>ምንም ነጥብ አልተሰጠም።</v>
      </c>
      <c r="K131" s="11" t="str">
        <f>IFERROR(__xludf.DUMMYFUNCTION("GOOGLETRANSLATE(E131, ""en"", ""am"")"),"ነጥቦች የሚሸለሙት ጦሩ ዒላማው ላይ ከተጣበቀ ብቻ ነው።")</f>
        <v>ነጥቦች የሚሸለሙት ጦሩ ዒላማው ላይ ከተጣበቀ ብቻ ነው።</v>
      </c>
    </row>
    <row r="132" ht="22.5" customHeight="1">
      <c r="A132" s="10">
        <v>131.0</v>
      </c>
      <c r="B132" s="11" t="s">
        <v>940</v>
      </c>
      <c r="C132" s="11" t="s">
        <v>941</v>
      </c>
      <c r="D132" s="11" t="s">
        <v>850</v>
      </c>
      <c r="E132" s="11" t="s">
        <v>942</v>
      </c>
      <c r="G132" s="11" t="str">
        <f>IFERROR(__xludf.DUMMYFUNCTION("GOOGLETRANSLATE(A132, ""en"", ""am"")"),"131")</f>
        <v>131</v>
      </c>
      <c r="H132" s="11" t="str">
        <f>IFERROR(__xludf.DUMMYFUNCTION("GOOGLETRANSLATE(B132, ""en"", ""am"")"),"የተጫዋቹ ጦር ኢላማው ላይ ወድቆ ተጣብቋል ፣ ዳኛው ግን ጥፋት ይለዋል። ምን ይሆናል?")</f>
        <v>የተጫዋቹ ጦር ኢላማው ላይ ወድቆ ተጣብቋል ፣ ዳኛው ግን ጥፋት ይለዋል። ምን ይሆናል?</v>
      </c>
      <c r="I132" s="11" t="str">
        <f>IFERROR(__xludf.DUMMYFUNCTION("GOOGLETRANSLATE(C132, ""en"", ""am"")"),"ሀ. ምንም ነጥብ አልተሰጠም። እንደገና እንዲሞክር ፍቀድ። ለ hitD የሽልማት ነጥቦች. የሽልማት ከፊል ነጥቦች")</f>
        <v>ሀ. ምንም ነጥብ አልተሰጠም። እንደገና እንዲሞክር ፍቀድ። ለ hitD የሽልማት ነጥቦች. የሽልማት ከፊል ነጥቦች</v>
      </c>
      <c r="J132" s="11" t="str">
        <f>IFERROR(__xludf.DUMMYFUNCTION("GOOGLETRANSLATE(D132, ""en"", ""am"")"),"ምንም ነጥብ አልተሰጠም።")</f>
        <v>ምንም ነጥብ አልተሰጠም።</v>
      </c>
      <c r="K132" s="11" t="str">
        <f>IFERROR(__xludf.DUMMYFUNCTION("GOOGLETRANSLATE(E132, ""en"", ""am"")"),"ጥፋት ከተፈጠረ ነጥቦች አይሰጡም።")</f>
        <v>ጥፋት ከተፈጠረ ነጥቦች አይሰጡም።</v>
      </c>
    </row>
    <row r="133" ht="22.5" customHeight="1">
      <c r="A133" s="10">
        <v>132.0</v>
      </c>
      <c r="B133" s="11" t="s">
        <v>943</v>
      </c>
      <c r="C133" s="11" t="s">
        <v>866</v>
      </c>
      <c r="D133" s="11" t="s">
        <v>867</v>
      </c>
      <c r="E133" s="11" t="s">
        <v>944</v>
      </c>
      <c r="G133" s="11" t="str">
        <f>IFERROR(__xludf.DUMMYFUNCTION("GOOGLETRANSLATE(A133, ""en"", ""am"")"),"132")</f>
        <v>132</v>
      </c>
      <c r="H133" s="11" t="str">
        <f>IFERROR(__xludf.DUMMYFUNCTION("GOOGLETRANSLATE(B133, ""en"", ""am"")"),"የተጫዋቹ ጦር ዒላማው ላይ በትክክል ያርፋል፣ ሌላ ተጫዋች ግን ጣልቃ ይገባል። ምን ይሆናል?")</f>
        <v>የተጫዋቹ ጦር ዒላማው ላይ በትክክል ያርፋል፣ ሌላ ተጫዋች ግን ጣልቃ ይገባል። ምን ይሆናል?</v>
      </c>
      <c r="I133" s="11" t="str">
        <f>IFERROR(__xludf.DUMMYFUNCTION("GOOGLETRANSLATE(C133, ""en"", ""am"")"),"ሀ. ለ hitB የሽልማት ነጥቦች። እንደገና እንዲሞክር ፍቀድ። ምንም ነጥብ አልተሰጠም ዲ. የሽልማት ከፊል ነጥቦች")</f>
        <v>ሀ. ለ hitB የሽልማት ነጥቦች። እንደገና እንዲሞክር ፍቀድ። ምንም ነጥብ አልተሰጠም ዲ. የሽልማት ከፊል ነጥቦች</v>
      </c>
      <c r="J133" s="11" t="str">
        <f>IFERROR(__xludf.DUMMYFUNCTION("GOOGLETRANSLATE(D133, ""en"", ""am"")"),"ለተመታ የሽልማት ነጥቦች")</f>
        <v>ለተመታ የሽልማት ነጥቦች</v>
      </c>
      <c r="K133" s="11" t="str">
        <f>IFERROR(__xludf.DUMMYFUNCTION("GOOGLETRANSLATE(E133, ""en"", ""am"")"),"ጣልቃ ገብነት ካልተከሰተ በስተቀር ነጥቦቹ በመነሻ ምት ላይ ተመስርተው ይሰጣሉ።")</f>
        <v>ጣልቃ ገብነት ካልተከሰተ በስተቀር ነጥቦቹ በመነሻ ምት ላይ ተመስርተው ይሰጣሉ።</v>
      </c>
    </row>
    <row r="134" ht="22.5" customHeight="1">
      <c r="A134" s="10">
        <v>133.0</v>
      </c>
      <c r="B134" s="11" t="s">
        <v>945</v>
      </c>
      <c r="C134" s="11" t="s">
        <v>946</v>
      </c>
      <c r="D134" s="11" t="s">
        <v>850</v>
      </c>
      <c r="E134" s="11" t="s">
        <v>947</v>
      </c>
      <c r="G134" s="11" t="str">
        <f>IFERROR(__xludf.DUMMYFUNCTION("GOOGLETRANSLATE(A134, ""en"", ""am"")"),"133")</f>
        <v>133</v>
      </c>
      <c r="H134" s="11" t="str">
        <f>IFERROR(__xludf.DUMMYFUNCTION("GOOGLETRANSLATE(B134, ""en"", ""am"")"),"አንድ ተጫዋች ጦራቸውን ይጥላል, ነገር ግን በተቃዋሚው የዒላማ ዞን ውስጥ ያርፋል. ምን ይሆናል?")</f>
        <v>አንድ ተጫዋች ጦራቸውን ይጥላል, ነገር ግን በተቃዋሚው የዒላማ ዞን ውስጥ ያርፋል. ምን ይሆናል?</v>
      </c>
      <c r="I134" s="11" t="str">
        <f>IFERROR(__xludf.DUMMYFUNCTION("GOOGLETRANSLATE(C134, ""en"", ""am"")"),"ሀ. ምንም ነጥብ አልተሰጠም። ለስኬታማው ውርወራ ሽልማት ነጥብ። ድጋሚ ለመሞከር ፍቀድ። ሽልማት ለተቃዋሚው ይጠቁማል")</f>
        <v>ሀ. ምንም ነጥብ አልተሰጠም። ለስኬታማው ውርወራ ሽልማት ነጥብ። ድጋሚ ለመሞከር ፍቀድ። ሽልማት ለተቃዋሚው ይጠቁማል</v>
      </c>
      <c r="J134" s="11" t="str">
        <f>IFERROR(__xludf.DUMMYFUNCTION("GOOGLETRANSLATE(D134, ""en"", ""am"")"),"ምንም ነጥብ አልተሰጠም።")</f>
        <v>ምንም ነጥብ አልተሰጠም።</v>
      </c>
      <c r="K134" s="11" t="str">
        <f>IFERROR(__xludf.DUMMYFUNCTION("GOOGLETRANSLATE(E134, ""en"", ""am"")"),"መወርወሩ የሚሰራው በተጫዋቹ በተሰየመ ዞን ውስጥ ብቻ ነው።")</f>
        <v>መወርወሩ የሚሰራው በተጫዋቹ በተሰየመ ዞን ውስጥ ብቻ ነው።</v>
      </c>
    </row>
    <row r="135" ht="22.5" customHeight="1">
      <c r="A135" s="10">
        <v>134.0</v>
      </c>
      <c r="B135" s="11" t="s">
        <v>948</v>
      </c>
      <c r="C135" s="11" t="s">
        <v>931</v>
      </c>
      <c r="D135" s="11" t="s">
        <v>850</v>
      </c>
      <c r="E135" s="11" t="s">
        <v>949</v>
      </c>
      <c r="G135" s="11" t="str">
        <f>IFERROR(__xludf.DUMMYFUNCTION("GOOGLETRANSLATE(A135, ""en"", ""am"")"),"134")</f>
        <v>134</v>
      </c>
      <c r="H135" s="11" t="str">
        <f>IFERROR(__xludf.DUMMYFUNCTION("GOOGLETRANSLATE(B135, ""en"", ""am"")"),"የተጫዋች ጦር ከዒላማው አጠገብ ቢያርፍም አይጣበቅም። ምን ይሆናል?")</f>
        <v>የተጫዋች ጦር ከዒላማው አጠገብ ቢያርፍም አይጣበቅም። ምን ይሆናል?</v>
      </c>
      <c r="I135" s="11" t="str">
        <f>IFERROR(__xludf.DUMMYFUNCTION("GOOGLETRANSLATE(C135, ""en"", ""am"")"),"A. በፕሮክሲሚቲቢ ላይ የተመሠረቱ የሽልማት ነጥቦች. ምንም ነጥብ አልተሰጠም ሲ. ድጋሚ ለመሞከር ፍቀድ። ሙሉ ነጥብ ሽልማት")</f>
        <v>A. በፕሮክሲሚቲቢ ላይ የተመሠረቱ የሽልማት ነጥቦች. ምንም ነጥብ አልተሰጠም ሲ. ድጋሚ ለመሞከር ፍቀድ። ሙሉ ነጥብ ሽልማት</v>
      </c>
      <c r="J135" s="11" t="str">
        <f>IFERROR(__xludf.DUMMYFUNCTION("GOOGLETRANSLATE(D135, ""en"", ""am"")"),"ምንም ነጥብ አልተሰጠም።")</f>
        <v>ምንም ነጥብ አልተሰጠም።</v>
      </c>
      <c r="K135" s="11" t="str">
        <f>IFERROR(__xludf.DUMMYFUNCTION("GOOGLETRANSLATE(E135, ""en"", ""am"")"),"ጦሩ ካልጣበቀ በቀር ቅርበት አይቆጠርም።")</f>
        <v>ጦሩ ካልጣበቀ በቀር ቅርበት አይቆጠርም።</v>
      </c>
    </row>
    <row r="136" ht="22.5" customHeight="1">
      <c r="A136" s="10">
        <v>135.0</v>
      </c>
      <c r="B136" s="11" t="s">
        <v>950</v>
      </c>
      <c r="C136" s="11" t="s">
        <v>951</v>
      </c>
      <c r="D136" s="11" t="s">
        <v>850</v>
      </c>
      <c r="E136" s="11" t="s">
        <v>876</v>
      </c>
      <c r="G136" s="11" t="str">
        <f>IFERROR(__xludf.DUMMYFUNCTION("GOOGLETRANSLATE(A136, ""en"", ""am"")"),"135")</f>
        <v>135</v>
      </c>
      <c r="H136" s="11" t="str">
        <f>IFERROR(__xludf.DUMMYFUNCTION("GOOGLETRANSLATE(B136, ""en"", ""am"")"),"የተጫዋች ጦር ዒላማው ላይ ወድቋል፣ ግን አይጣበቅም። ምን ይሆናል?")</f>
        <v>የተጫዋች ጦር ዒላማው ላይ ወድቋል፣ ግን አይጣበቅም። ምን ይሆናል?</v>
      </c>
      <c r="I136" s="11" t="str">
        <f>IFERROR(__xludf.DUMMYFUNCTION("GOOGLETRANSLATE(C136, ""en"", ""am"")"),"ሀ. ምንም ነጥብ አልተሰጠም። የሽልማት ከፊል ነጥቦች ሲ. ለመጀመሪያው hitD የሽልማት ነጥቦች። እንደገና እንዲሞክር ፍቀድ")</f>
        <v>ሀ. ምንም ነጥብ አልተሰጠም። የሽልማት ከፊል ነጥቦች ሲ. ለመጀመሪያው hitD የሽልማት ነጥቦች። እንደገና እንዲሞክር ፍቀድ</v>
      </c>
      <c r="J136" s="11" t="str">
        <f>IFERROR(__xludf.DUMMYFUNCTION("GOOGLETRANSLATE(D136, ""en"", ""am"")"),"ምንም ነጥብ አልተሰጠም።")</f>
        <v>ምንም ነጥብ አልተሰጠም።</v>
      </c>
      <c r="K136" s="11" t="str">
        <f>IFERROR(__xludf.DUMMYFUNCTION("GOOGLETRANSLATE(E136, ""en"", ""am"")"),"ነጥቦች የሚሸለሙት ጦሩ ዒላማው ላይ ከተጣበቀ ብቻ ነው።")</f>
        <v>ነጥቦች የሚሸለሙት ጦሩ ዒላማው ላይ ከተጣበቀ ብቻ ነው።</v>
      </c>
    </row>
    <row r="137" ht="22.5" customHeight="1">
      <c r="A137" s="10">
        <v>136.0</v>
      </c>
      <c r="B137" s="11" t="s">
        <v>952</v>
      </c>
      <c r="C137" s="11" t="s">
        <v>893</v>
      </c>
      <c r="D137" s="11" t="s">
        <v>881</v>
      </c>
      <c r="E137" s="11" t="s">
        <v>785</v>
      </c>
      <c r="G137" s="11" t="str">
        <f>IFERROR(__xludf.DUMMYFUNCTION("GOOGLETRANSLATE(A137, ""en"", ""am"")"),"136")</f>
        <v>136</v>
      </c>
      <c r="H137" s="11" t="str">
        <f>IFERROR(__xludf.DUMMYFUNCTION("GOOGLETRANSLATE(B137, ""en"", ""am"")"),"የተጫዋች ጦር ዒላማው ላይ ወድቆ ተጣብቋል, ነገር ግን ወዲያውኑ በነፋስ ይነፋል. ምን ይሆናል?")</f>
        <v>የተጫዋች ጦር ዒላማው ላይ ወድቆ ተጣብቋል, ነገር ግን ወዲያውኑ በነፋስ ይነፋል. ምን ይሆናል?</v>
      </c>
      <c r="I137" s="11" t="str">
        <f>IFERROR(__xludf.DUMMYFUNCTION("GOOGLETRANSLATE(C137, ""en"", ""am"")"),"ሀ. በ hitB ላይ የተመሠረተ የሽልማት ነጥቦች። እንደገና እንዲሞክር ፍቀድ። ምንም ነጥብ አልተሰጠም ዲ. ጨዋታውን ለአፍታ ያቁሙት።")</f>
        <v>ሀ. በ hitB ላይ የተመሠረተ የሽልማት ነጥቦች። እንደገና እንዲሞክር ፍቀድ። ምንም ነጥብ አልተሰጠም ዲ. ጨዋታውን ለአፍታ ያቁሙት።</v>
      </c>
      <c r="J137" s="11" t="str">
        <f>IFERROR(__xludf.DUMMYFUNCTION("GOOGLETRANSLATE(D137, ""en"", ""am"")"),"በመምታቱ ላይ በመመስረት የሽልማት ነጥቦች")</f>
        <v>በመምታቱ ላይ በመመስረት የሽልማት ነጥቦች</v>
      </c>
      <c r="K137" s="11" t="str">
        <f>IFERROR(__xludf.DUMMYFUNCTION("GOOGLETRANSLATE(E137, ""en"", ""am"")"),"ነጥቦች የተሸለሙት በመጀመሪያው ስኬታማ ስኬት ላይ በመመስረት ነው።")</f>
        <v>ነጥቦች የተሸለሙት በመጀመሪያው ስኬታማ ስኬት ላይ በመመስረት ነው።</v>
      </c>
    </row>
    <row r="138" ht="22.5" customHeight="1">
      <c r="A138" s="10">
        <v>137.0</v>
      </c>
      <c r="B138" s="11" t="s">
        <v>953</v>
      </c>
      <c r="C138" s="11" t="s">
        <v>912</v>
      </c>
      <c r="D138" s="11" t="s">
        <v>850</v>
      </c>
      <c r="E138" s="11" t="s">
        <v>954</v>
      </c>
      <c r="G138" s="11" t="str">
        <f>IFERROR(__xludf.DUMMYFUNCTION("GOOGLETRANSLATE(A138, ""en"", ""am"")"),"137")</f>
        <v>137</v>
      </c>
      <c r="H138" s="11" t="str">
        <f>IFERROR(__xludf.DUMMYFUNCTION("GOOGLETRANSLATE(B138, ""en"", ""am"")"),"የተጫዋች ጦር በዒላማው ላይ ይበርራል ፣ ግን ትክክለኛ በሆነ ቦታ ላይ ያርፋል። ፍርዱ ምንድን ነው?")</f>
        <v>የተጫዋች ጦር በዒላማው ላይ ይበርራል ፣ ግን ትክክለኛ በሆነ ቦታ ላይ ያርፋል። ፍርዱ ምንድን ነው?</v>
      </c>
      <c r="I138" s="11" t="str">
        <f>IFERROR(__xludf.DUMMYFUNCTION("GOOGLETRANSLATE(C138, ""en"", ""am"")"),"ሀ. ምንም ነጥብ አልተሰጠም። እንደገና እንዲሞክር ፍቀድ። ርቀትD ላይ የተመሠረተ የሽልማት ነጥቦች. መወርወሩን ውድቅ ያድርጉት")</f>
        <v>ሀ. ምንም ነጥብ አልተሰጠም። እንደገና እንዲሞክር ፍቀድ። ርቀትD ላይ የተመሠረተ የሽልማት ነጥቦች. መወርወሩን ውድቅ ያድርጉት</v>
      </c>
      <c r="J138" s="11" t="str">
        <f>IFERROR(__xludf.DUMMYFUNCTION("GOOGLETRANSLATE(D138, ""en"", ""am"")"),"ምንም ነጥብ አልተሰጠም።")</f>
        <v>ምንም ነጥብ አልተሰጠም።</v>
      </c>
      <c r="K138" s="11" t="str">
        <f>IFERROR(__xludf.DUMMYFUNCTION("GOOGLETRANSLATE(E138, ""en"", ""am"")"),"ጦሩ ነጥብ ለማግኘት ኢላማው ላይ ማረፍ አለበት።")</f>
        <v>ጦሩ ነጥብ ለማግኘት ኢላማው ላይ ማረፍ አለበት።</v>
      </c>
    </row>
    <row r="139" ht="22.5" customHeight="1">
      <c r="A139" s="10">
        <v>138.0</v>
      </c>
      <c r="B139" s="11" t="s">
        <v>955</v>
      </c>
      <c r="C139" s="11" t="s">
        <v>880</v>
      </c>
      <c r="D139" s="11" t="s">
        <v>881</v>
      </c>
      <c r="E139" s="11" t="s">
        <v>956</v>
      </c>
      <c r="G139" s="11" t="str">
        <f>IFERROR(__xludf.DUMMYFUNCTION("GOOGLETRANSLATE(A139, ""en"", ""am"")"),"138")</f>
        <v>138</v>
      </c>
      <c r="H139" s="11" t="str">
        <f>IFERROR(__xludf.DUMMYFUNCTION("GOOGLETRANSLATE(B139, ""en"", ""am"")"),"የተጫዋች ጦር በዒላማው ላይ በትክክል ያርፋል, ነገር ግን ዒላማው በነፋስ ይንቀሳቀሳል. ምን ይሆናል?")</f>
        <v>የተጫዋች ጦር በዒላማው ላይ በትክክል ያርፋል, ነገር ግን ዒላማው በነፋስ ይንቀሳቀሳል. ምን ይሆናል?</v>
      </c>
      <c r="I139" s="11" t="str">
        <f>IFERROR(__xludf.DUMMYFUNCTION("GOOGLETRANSLATE(C139, ""en"", ""am"")"),"ሀ. በ hitB ላይ የተመሠረተ የሽልማት ነጥቦች። ምንም ነጥብ አልተሰጠም ሲ. ድጋሚ ለመሞከር ፍቀድ። ጨዋታውን ለአፍታ ያቁሙት።")</f>
        <v>ሀ. በ hitB ላይ የተመሠረተ የሽልማት ነጥቦች። ምንም ነጥብ አልተሰጠም ሲ. ድጋሚ ለመሞከር ፍቀድ። ጨዋታውን ለአፍታ ያቁሙት።</v>
      </c>
      <c r="J139" s="11" t="str">
        <f>IFERROR(__xludf.DUMMYFUNCTION("GOOGLETRANSLATE(D139, ""en"", ""am"")"),"በመምታቱ ላይ በመመስረት የሽልማት ነጥቦች")</f>
        <v>በመምታቱ ላይ በመመስረት የሽልማት ነጥቦች</v>
      </c>
      <c r="K139" s="11" t="str">
        <f>IFERROR(__xludf.DUMMYFUNCTION("GOOGLETRANSLATE(E139, ""en"", ""am"")"),"ምንም እንኳን የሚቀጥለው እንቅስቃሴ ምንም ይሁን ምን ነጥቦች በመነሻ ምት ላይ ተመስርተው ይሰጣሉ።")</f>
        <v>ምንም እንኳን የሚቀጥለው እንቅስቃሴ ምንም ይሁን ምን ነጥቦች በመነሻ ምት ላይ ተመስርተው ይሰጣሉ።</v>
      </c>
    </row>
    <row r="140" ht="22.5" customHeight="1">
      <c r="A140" s="10">
        <v>139.0</v>
      </c>
      <c r="B140" s="11" t="s">
        <v>957</v>
      </c>
      <c r="C140" s="11" t="s">
        <v>958</v>
      </c>
      <c r="D140" s="11" t="s">
        <v>959</v>
      </c>
      <c r="E140" s="11" t="s">
        <v>960</v>
      </c>
      <c r="G140" s="11" t="str">
        <f>IFERROR(__xludf.DUMMYFUNCTION("GOOGLETRANSLATE(A140, ""en"", ""am"")"),"139")</f>
        <v>139</v>
      </c>
      <c r="H140" s="11" t="str">
        <f>IFERROR(__xludf.DUMMYFUNCTION("GOOGLETRANSLATE(B140, ""en"", ""am"")"),"አንድ ተጫዋች ጦራቸውን ወረወረው እና በተቃዋሚው ዞን ውስጥ አረፈ. ምን ይሆናል?")</f>
        <v>አንድ ተጫዋች ጦራቸውን ወረወረው እና በተቃዋሚው ዞን ውስጥ አረፈ. ምን ይሆናል?</v>
      </c>
      <c r="I140" s="11" t="str">
        <f>IFERROR(__xludf.DUMMYFUNCTION("GOOGLETRANSLATE(C140, ""en"", ""am"")"),"A. ሽልማት ለተቃዋሚ ቢ. ምንም ነጥብ አልተሰጠም ሲ. ድጋሚ ለመሞከር ፍቀድ። ለጥረት የሽልማት ነጥቦች")</f>
        <v>A. ሽልማት ለተቃዋሚ ቢ. ምንም ነጥብ አልተሰጠም ሲ. ድጋሚ ለመሞከር ፍቀድ። ለጥረት የሽልማት ነጥቦች</v>
      </c>
      <c r="J140" s="11" t="str">
        <f>IFERROR(__xludf.DUMMYFUNCTION("GOOGLETRANSLATE(D140, ""en"", ""am"")"),"ሽልማት ለተቃዋሚው ይጠቁማል")</f>
        <v>ሽልማት ለተቃዋሚው ይጠቁማል</v>
      </c>
      <c r="K140" s="11" t="str">
        <f>IFERROR(__xludf.DUMMYFUNCTION("GOOGLETRANSLATE(E140, ""en"", ""am"")"),"ውርወራዎች ለመቁጠር በተጫዋቹ በተዘጋጀው ዞን ውስጥ ማረፍ አለባቸው።")</f>
        <v>ውርወራዎች ለመቁጠር በተጫዋቹ በተዘጋጀው ዞን ውስጥ ማረፍ አለባቸው።</v>
      </c>
    </row>
    <row r="141" ht="22.5" customHeight="1">
      <c r="A141" s="10">
        <v>140.0</v>
      </c>
      <c r="B141" s="11" t="s">
        <v>961</v>
      </c>
      <c r="C141" s="11" t="s">
        <v>962</v>
      </c>
      <c r="D141" s="11" t="s">
        <v>850</v>
      </c>
      <c r="E141" s="11" t="s">
        <v>963</v>
      </c>
      <c r="G141" s="11" t="str">
        <f>IFERROR(__xludf.DUMMYFUNCTION("GOOGLETRANSLATE(A141, ""en"", ""am"")"),"140")</f>
        <v>140</v>
      </c>
      <c r="H141" s="11" t="str">
        <f>IFERROR(__xludf.DUMMYFUNCTION("GOOGLETRANSLATE(B141, ""en"", ""am"")"),"የተጫዋቹ ጦር ዒላማው ላይ በትክክል አረፈ፣ ነገር ግን መወርወሩ ሕገወጥ ነበር። ምን ይሆናል?")</f>
        <v>የተጫዋቹ ጦር ዒላማው ላይ በትክክል አረፈ፣ ነገር ግን መወርወሩ ሕገወጥ ነበር። ምን ይሆናል?</v>
      </c>
      <c r="I141" s="11" t="str">
        <f>IFERROR(__xludf.DUMMYFUNCTION("GOOGLETRANSLATE(C141, ""en"", ""am"")"),"ሀ. ምንም ነጥብ አልተሰጠም። በ hitC ላይ በመመስረት የሽልማት ነጥቦች. ድጋሚ ለመሞከር ፍቀድ። ጨዋታውን ለአፍታ ያቁሙት።")</f>
        <v>ሀ. ምንም ነጥብ አልተሰጠም። በ hitC ላይ በመመስረት የሽልማት ነጥቦች. ድጋሚ ለመሞከር ፍቀድ። ጨዋታውን ለአፍታ ያቁሙት።</v>
      </c>
      <c r="J141" s="11" t="str">
        <f>IFERROR(__xludf.DUMMYFUNCTION("GOOGLETRANSLATE(D141, ""en"", ""am"")"),"ምንም ነጥብ አልተሰጠም።")</f>
        <v>ምንም ነጥብ አልተሰጠም።</v>
      </c>
      <c r="K141" s="11" t="str">
        <f>IFERROR(__xludf.DUMMYFUNCTION("GOOGLETRANSLATE(E141, ""en"", ""am"")"),"ህገወጥ ውርወራ ምንም ነጥብ አይሰጥም።")</f>
        <v>ህገወጥ ውርወራ ምንም ነጥብ አይሰጥም።</v>
      </c>
    </row>
    <row r="142" ht="22.5" customHeight="1">
      <c r="A142" s="10">
        <v>141.0</v>
      </c>
      <c r="B142" s="11" t="s">
        <v>964</v>
      </c>
      <c r="C142" s="11" t="s">
        <v>965</v>
      </c>
      <c r="D142" s="11" t="s">
        <v>850</v>
      </c>
      <c r="E142" s="11" t="s">
        <v>854</v>
      </c>
      <c r="G142" s="11" t="str">
        <f>IFERROR(__xludf.DUMMYFUNCTION("GOOGLETRANSLATE(A142, ""en"", ""am"")"),"141")</f>
        <v>141</v>
      </c>
      <c r="H142" s="11" t="str">
        <f>IFERROR(__xludf.DUMMYFUNCTION("GOOGLETRANSLATE(B142, ""en"", ""am"")"),"የተጫዋች ጦር ኢላማውን ይመታል ነገር ግን ተንሸራታች። ምን ይሆናል?")</f>
        <v>የተጫዋች ጦር ኢላማውን ይመታል ነገር ግን ተንሸራታች። ምን ይሆናል?</v>
      </c>
      <c r="I142" s="11" t="str">
        <f>IFERROR(__xludf.DUMMYFUNCTION("GOOGLETRANSLATE(C142, ""en"", ""am"")"),"ሀ. ምንም ነጥብ አልተሰጠም። በ hitC ላይ በመመስረት የሽልማት ነጥቦች. ድጋሚ ለመሞከር ፍቀድ። የሽልማት ከፊል ነጥቦች")</f>
        <v>ሀ. ምንም ነጥብ አልተሰጠም። በ hitC ላይ በመመስረት የሽልማት ነጥቦች. ድጋሚ ለመሞከር ፍቀድ። የሽልማት ከፊል ነጥቦች</v>
      </c>
      <c r="J142" s="11" t="str">
        <f>IFERROR(__xludf.DUMMYFUNCTION("GOOGLETRANSLATE(D142, ""en"", ""am"")"),"ምንም ነጥብ አልተሰጠም።")</f>
        <v>ምንም ነጥብ አልተሰጠም።</v>
      </c>
      <c r="K142" s="11" t="str">
        <f>IFERROR(__xludf.DUMMYFUNCTION("GOOGLETRANSLATE(E142, ""en"", ""am"")"),"ጦሩ ነጥብ ለማግኘት ከዒላማው ጋር መጣበቅ አለበት።")</f>
        <v>ጦሩ ነጥብ ለማግኘት ከዒላማው ጋር መጣበቅ አለበት።</v>
      </c>
    </row>
    <row r="143" ht="22.5" customHeight="1">
      <c r="A143" s="10">
        <v>142.0</v>
      </c>
      <c r="B143" s="11" t="s">
        <v>966</v>
      </c>
      <c r="C143" s="11" t="s">
        <v>967</v>
      </c>
      <c r="D143" s="11" t="s">
        <v>959</v>
      </c>
      <c r="E143" s="11" t="s">
        <v>968</v>
      </c>
      <c r="G143" s="11" t="str">
        <f>IFERROR(__xludf.DUMMYFUNCTION("GOOGLETRANSLATE(A143, ""en"", ""am"")"),"142")</f>
        <v>142</v>
      </c>
      <c r="H143" s="11" t="str">
        <f>IFERROR(__xludf.DUMMYFUNCTION("GOOGLETRANSLATE(B143, ""en"", ""am"")"),"አንድ ተጫዋች ጦሩን ቢወረውርም የተቃዋሚውን ኢላማ ይመታል። ምን ይሆናል?")</f>
        <v>አንድ ተጫዋች ጦሩን ቢወረውርም የተቃዋሚውን ኢላማ ይመታል። ምን ይሆናል?</v>
      </c>
      <c r="I143" s="11" t="str">
        <f>IFERROR(__xludf.DUMMYFUNCTION("GOOGLETRANSLATE(C143, ""en"", ""am"")"),"A. ሽልማት ለተቃዋሚ ቢ. እንደገና እንዲሞክር ፍቀድ። ምንም ነጥብ አልተሰጠም ዲ. በጥረት ላይ የተመሰረተ የሽልማት ነጥቦች")</f>
        <v>A. ሽልማት ለተቃዋሚ ቢ. እንደገና እንዲሞክር ፍቀድ። ምንም ነጥብ አልተሰጠም ዲ. በጥረት ላይ የተመሰረተ የሽልማት ነጥቦች</v>
      </c>
      <c r="J143" s="11" t="str">
        <f>IFERROR(__xludf.DUMMYFUNCTION("GOOGLETRANSLATE(D143, ""en"", ""am"")"),"ሽልማት ለተቃዋሚው ይጠቁማል")</f>
        <v>ሽልማት ለተቃዋሚው ይጠቁማል</v>
      </c>
      <c r="K143" s="11" t="str">
        <f>IFERROR(__xludf.DUMMYFUNCTION("GOOGLETRANSLATE(E143, ""en"", ""am"")"),"ውርወራዎች በራስዎ ዒላማ ላይ ማረፍ አለባቸው።")</f>
        <v>ውርወራዎች በራስዎ ዒላማ ላይ ማረፍ አለባቸው።</v>
      </c>
    </row>
    <row r="144" ht="22.5" customHeight="1">
      <c r="A144" s="10">
        <v>143.0</v>
      </c>
      <c r="B144" s="11" t="s">
        <v>969</v>
      </c>
      <c r="C144" s="11" t="s">
        <v>970</v>
      </c>
      <c r="D144" s="11" t="s">
        <v>850</v>
      </c>
      <c r="E144" s="11" t="s">
        <v>971</v>
      </c>
      <c r="G144" s="11" t="str">
        <f>IFERROR(__xludf.DUMMYFUNCTION("GOOGLETRANSLATE(A144, ""en"", ""am"")"),"143")</f>
        <v>143</v>
      </c>
      <c r="H144" s="11" t="str">
        <f>IFERROR(__xludf.DUMMYFUNCTION("GOOGLETRANSLATE(B144, ""en"", ""am"")"),"የተጫዋች ጦር ከዒላማ ውጭ ይጣላል፣ ነገር ግን ትክክለኛ ቦታ ላይ ያርፋል። ምን ይሆናል?")</f>
        <v>የተጫዋች ጦር ከዒላማ ውጭ ይጣላል፣ ነገር ግን ትክክለኛ ቦታ ላይ ያርፋል። ምን ይሆናል?</v>
      </c>
      <c r="I144" s="11" t="str">
        <f>IFERROR(__xludf.DUMMYFUNCTION("GOOGLETRANSLATE(C144, ""en"", ""am"")"),"ሀ. ምንም ነጥብ አልተሰጠም። እንደገና እንዲሞክር ፍቀድ። በአቅራቢነት ዲ ላይ የተመሠረቱ የሽልማት ነጥቦች. ለጥረት የሽልማት ነጥቦች")</f>
        <v>ሀ. ምንም ነጥብ አልተሰጠም። እንደገና እንዲሞክር ፍቀድ። በአቅራቢነት ዲ ላይ የተመሠረቱ የሽልማት ነጥቦች. ለጥረት የሽልማት ነጥቦች</v>
      </c>
      <c r="J144" s="11" t="str">
        <f>IFERROR(__xludf.DUMMYFUNCTION("GOOGLETRANSLATE(D144, ""en"", ""am"")"),"ምንም ነጥብ አልተሰጠም።")</f>
        <v>ምንም ነጥብ አልተሰጠም።</v>
      </c>
      <c r="K144" s="11" t="str">
        <f>IFERROR(__xludf.DUMMYFUNCTION("GOOGLETRANSLATE(E144, ""en"", ""am"")"),"ውርወራው ግብ ለማስቆጠር በቀጥታ ዒላማው ላይ ማረፍ አለበት።")</f>
        <v>ውርወራው ግብ ለማስቆጠር በቀጥታ ዒላማው ላይ ማረፍ አለበት።</v>
      </c>
    </row>
    <row r="145" ht="22.5" customHeight="1">
      <c r="A145" s="10">
        <v>144.0</v>
      </c>
      <c r="B145" s="11" t="s">
        <v>972</v>
      </c>
      <c r="C145" s="11" t="s">
        <v>922</v>
      </c>
      <c r="D145" s="11" t="s">
        <v>850</v>
      </c>
      <c r="E145" s="11" t="s">
        <v>973</v>
      </c>
      <c r="G145" s="11" t="str">
        <f>IFERROR(__xludf.DUMMYFUNCTION("GOOGLETRANSLATE(A145, ""en"", ""am"")"),"144")</f>
        <v>144</v>
      </c>
      <c r="H145" s="11" t="str">
        <f>IFERROR(__xludf.DUMMYFUNCTION("GOOGLETRANSLATE(B145, ""en"", ""am"")"),"አንድ ተጫዋች ጦሩን ወርውሮ ከዒላማው ውጪ አረፈ። ምን ይሆናል?")</f>
        <v>አንድ ተጫዋች ጦሩን ወርውሮ ከዒላማው ውጪ አረፈ። ምን ይሆናል?</v>
      </c>
      <c r="I145" s="11" t="str">
        <f>IFERROR(__xludf.DUMMYFUNCTION("GOOGLETRANSLATE(C145, ""en"", ""am"")"),"ሀ. ምንም ነጥብ አልተሰጠም። በቅርበት ሲ ላይ የተመሠረቱ የሽልማት ነጥቦች. ድጋሚ ለመሞከር ፍቀድ። የሽልማት ከፊል ነጥቦች")</f>
        <v>ሀ. ምንም ነጥብ አልተሰጠም። በቅርበት ሲ ላይ የተመሠረቱ የሽልማት ነጥቦች. ድጋሚ ለመሞከር ፍቀድ። የሽልማት ከፊል ነጥቦች</v>
      </c>
      <c r="J145" s="11" t="str">
        <f>IFERROR(__xludf.DUMMYFUNCTION("GOOGLETRANSLATE(D145, ""en"", ""am"")"),"ምንም ነጥብ አልተሰጠም።")</f>
        <v>ምንም ነጥብ አልተሰጠም።</v>
      </c>
      <c r="K145" s="11" t="str">
        <f>IFERROR(__xludf.DUMMYFUNCTION("GOOGLETRANSLATE(E145, ""en"", ""am"")"),"ጦሩ ለመቁጠር ዒላማው ላይ ማረፍ አለበት።")</f>
        <v>ጦሩ ለመቁጠር ዒላማው ላይ ማረፍ አለበት።</v>
      </c>
    </row>
    <row r="146" ht="22.5" customHeight="1">
      <c r="A146" s="10">
        <v>145.0</v>
      </c>
      <c r="B146" s="11" t="s">
        <v>974</v>
      </c>
      <c r="C146" s="11" t="s">
        <v>975</v>
      </c>
      <c r="D146" s="11" t="s">
        <v>850</v>
      </c>
      <c r="E146" s="11" t="s">
        <v>918</v>
      </c>
      <c r="G146" s="11" t="str">
        <f>IFERROR(__xludf.DUMMYFUNCTION("GOOGLETRANSLATE(A146, ""en"", ""am"")"),"145")</f>
        <v>145</v>
      </c>
      <c r="H146" s="11" t="str">
        <f>IFERROR(__xludf.DUMMYFUNCTION("GOOGLETRANSLATE(B146, ""en"", ""am"")"),"የተጫዋች ጦር ወደ ዒላማው ውስጥ ገባ ግን አይጣበቅም። ፍርዱ ምንድን ነው?")</f>
        <v>የተጫዋች ጦር ወደ ዒላማው ውስጥ ገባ ግን አይጣበቅም። ፍርዱ ምንድን ነው?</v>
      </c>
      <c r="I146" s="11" t="str">
        <f>IFERROR(__xludf.DUMMYFUNCTION("GOOGLETRANSLATE(C146, ""en"", ""am"")"),"ሀ. ምንም ነጥብ አልተሰጠም። የሽልማት ነጥቦች ለ proximityC. ጥረትD ላይ የተመሠረተ ሽልማት ነጥቦች. እንደገና እንዲሞክር ፍቀድ")</f>
        <v>ሀ. ምንም ነጥብ አልተሰጠም። የሽልማት ነጥቦች ለ proximityC. ጥረትD ላይ የተመሠረተ ሽልማት ነጥቦች. እንደገና እንዲሞክር ፍቀድ</v>
      </c>
      <c r="J146" s="11" t="str">
        <f>IFERROR(__xludf.DUMMYFUNCTION("GOOGLETRANSLATE(D146, ""en"", ""am"")"),"ምንም ነጥብ አልተሰጠም።")</f>
        <v>ምንም ነጥብ አልተሰጠም።</v>
      </c>
      <c r="K146" s="11" t="str">
        <f>IFERROR(__xludf.DUMMYFUNCTION("GOOGLETRANSLATE(E146, ""en"", ""am"")"),"ነጥቦች የሚሸለሙት ጦሩ ዒላማው ላይ ከተጣበቀ ብቻ ነው።")</f>
        <v>ነጥቦች የሚሸለሙት ጦሩ ዒላማው ላይ ከተጣበቀ ብቻ ነው።</v>
      </c>
    </row>
    <row r="147" ht="22.5" customHeight="1">
      <c r="A147" s="10">
        <v>146.0</v>
      </c>
      <c r="B147" s="11" t="s">
        <v>976</v>
      </c>
      <c r="C147" s="11" t="s">
        <v>912</v>
      </c>
      <c r="D147" s="11" t="s">
        <v>850</v>
      </c>
      <c r="E147" s="11" t="s">
        <v>977</v>
      </c>
      <c r="G147" s="11" t="str">
        <f>IFERROR(__xludf.DUMMYFUNCTION("GOOGLETRANSLATE(A147, ""en"", ""am"")"),"146")</f>
        <v>146</v>
      </c>
      <c r="H147" s="11" t="str">
        <f>IFERROR(__xludf.DUMMYFUNCTION("GOOGLETRANSLATE(B147, ""en"", ""am"")"),"አንድ ተጫዋች ጦሩን ወርውሮ ከዒላማው ጀርባ አረፈ። ምን ይሆናል?")</f>
        <v>አንድ ተጫዋች ጦሩን ወርውሮ ከዒላማው ጀርባ አረፈ። ምን ይሆናል?</v>
      </c>
      <c r="I147" s="11" t="str">
        <f>IFERROR(__xludf.DUMMYFUNCTION("GOOGLETRANSLATE(C147, ""en"", ""am"")"),"ሀ. ምንም ነጥብ አልተሰጠም። እንደገና እንዲሞክር ፍቀድ። ርቀትD ላይ የተመሠረተ የሽልማት ነጥቦች. መወርወሩን ውድቅ ያድርጉት")</f>
        <v>ሀ. ምንም ነጥብ አልተሰጠም። እንደገና እንዲሞክር ፍቀድ። ርቀትD ላይ የተመሠረተ የሽልማት ነጥቦች. መወርወሩን ውድቅ ያድርጉት</v>
      </c>
      <c r="J147" s="11" t="str">
        <f>IFERROR(__xludf.DUMMYFUNCTION("GOOGLETRANSLATE(D147, ""en"", ""am"")"),"ምንም ነጥብ አልተሰጠም።")</f>
        <v>ምንም ነጥብ አልተሰጠም።</v>
      </c>
      <c r="K147" s="11" t="str">
        <f>IFERROR(__xludf.DUMMYFUNCTION("GOOGLETRANSLATE(E147, ""en"", ""am"")"),"ውርወራዎች ለመቁጠር ከዒላማው ፊት ለፊት ማረፍ አለባቸው።")</f>
        <v>ውርወራዎች ለመቁጠር ከዒላማው ፊት ለፊት ማረፍ አለባቸው።</v>
      </c>
    </row>
    <row r="148" ht="22.5" customHeight="1">
      <c r="A148" s="10">
        <v>147.0</v>
      </c>
      <c r="B148" s="11" t="s">
        <v>978</v>
      </c>
      <c r="C148" s="11" t="s">
        <v>979</v>
      </c>
      <c r="D148" s="11" t="s">
        <v>980</v>
      </c>
      <c r="E148" s="11" t="s">
        <v>981</v>
      </c>
      <c r="G148" s="11" t="str">
        <f>IFERROR(__xludf.DUMMYFUNCTION("GOOGLETRANSLATE(A148, ""en"", ""am"")"),"147")</f>
        <v>147</v>
      </c>
      <c r="H148" s="11" t="str">
        <f>IFERROR(__xludf.DUMMYFUNCTION("GOOGLETRANSLATE(B148, ""en"", ""am"")"),"የተጫዋቹ ጦር ዒላማው ላይ ቢያርፍም በንፋስ ነበልባል ወድቋል። ምን ይሆናል?")</f>
        <v>የተጫዋቹ ጦር ዒላማው ላይ ቢያርፍም በንፋስ ነበልባል ወድቋል። ምን ይሆናል?</v>
      </c>
      <c r="I148" s="11" t="str">
        <f>IFERROR(__xludf.DUMMYFUNCTION("GOOGLETRANSLATE(C148, ""en"", ""am"")"),"ሀ. ለመጀመሪያው hitB የሽልማት ነጥቦች። ምንም ነጥብ አልተሰጠም ሲ. ድጋሚ ለመሞከር ፍቀድ። ጨዋታውን ለአፍታ ያቁሙት።")</f>
        <v>ሀ. ለመጀመሪያው hitB የሽልማት ነጥቦች። ምንም ነጥብ አልተሰጠም ሲ. ድጋሚ ለመሞከር ፍቀድ። ጨዋታውን ለአፍታ ያቁሙት።</v>
      </c>
      <c r="J148" s="11" t="str">
        <f>IFERROR(__xludf.DUMMYFUNCTION("GOOGLETRANSLATE(D148, ""en"", ""am"")"),"ለመጀመሪያው ስኬት የሽልማት ነጥቦች")</f>
        <v>ለመጀመሪያው ስኬት የሽልማት ነጥቦች</v>
      </c>
      <c r="K148" s="11" t="str">
        <f>IFERROR(__xludf.DUMMYFUNCTION("GOOGLETRANSLATE(E148, ""en"", ""am"")"),"ነጥቦቹ በመጀመሪያው ስኬታማ ስኬት ላይ የተመሰረቱ ናቸው.")</f>
        <v>ነጥቦቹ በመጀመሪያው ስኬታማ ስኬት ላይ የተመሰረቱ ናቸው.</v>
      </c>
    </row>
    <row r="149" ht="22.5" customHeight="1">
      <c r="A149" s="10">
        <v>148.0</v>
      </c>
      <c r="B149" s="11" t="s">
        <v>982</v>
      </c>
      <c r="C149" s="11" t="s">
        <v>983</v>
      </c>
      <c r="D149" s="11" t="s">
        <v>850</v>
      </c>
      <c r="E149" s="11" t="s">
        <v>984</v>
      </c>
      <c r="G149" s="11" t="str">
        <f>IFERROR(__xludf.DUMMYFUNCTION("GOOGLETRANSLATE(A149, ""en"", ""am"")"),"148")</f>
        <v>148</v>
      </c>
      <c r="H149" s="11" t="str">
        <f>IFERROR(__xludf.DUMMYFUNCTION("GOOGLETRANSLATE(B149, ""en"", ""am"")"),"የተጫዋቹ ጦር ትክክለኛ ቦታ ላይ ቢያርፍም ኢላማውን አልመታም። ፍርዱ ምንድን ነው?")</f>
        <v>የተጫዋቹ ጦር ትክክለኛ ቦታ ላይ ቢያርፍም ኢላማውን አልመታም። ፍርዱ ምንድን ነው?</v>
      </c>
      <c r="I149" s="11" t="str">
        <f>IFERROR(__xludf.DUMMYFUNCTION("GOOGLETRANSLATE(C149, ""en"", ""am"")"),"ሀ. ምንም ነጥብ አልተሰጠም። የሽልማት ነጥቦች ለ ጥረት ሐ. ድጋሚ ለመሞከር ፍቀድ። የሽልማት ከፊል ነጥቦች")</f>
        <v>ሀ. ምንም ነጥብ አልተሰጠም። የሽልማት ነጥቦች ለ ጥረት ሐ. ድጋሚ ለመሞከር ፍቀድ። የሽልማት ከፊል ነጥቦች</v>
      </c>
      <c r="J149" s="11" t="str">
        <f>IFERROR(__xludf.DUMMYFUNCTION("GOOGLETRANSLATE(D149, ""en"", ""am"")"),"ምንም ነጥብ አልተሰጠም።")</f>
        <v>ምንም ነጥብ አልተሰጠም።</v>
      </c>
      <c r="K149" s="11" t="str">
        <f>IFERROR(__xludf.DUMMYFUNCTION("GOOGLETRANSLATE(E149, ""en"", ""am"")"),"ጦሩ ግብ ለማስቆጠር ኢላማውን መምታት አለበት።")</f>
        <v>ጦሩ ግብ ለማስቆጠር ኢላማውን መምታት አለበት።</v>
      </c>
    </row>
    <row r="150" ht="22.5" customHeight="1">
      <c r="A150" s="10">
        <v>149.0</v>
      </c>
      <c r="B150" s="11" t="s">
        <v>985</v>
      </c>
      <c r="C150" s="11" t="s">
        <v>979</v>
      </c>
      <c r="D150" s="11" t="s">
        <v>980</v>
      </c>
      <c r="E150" s="11" t="s">
        <v>894</v>
      </c>
      <c r="G150" s="11" t="str">
        <f>IFERROR(__xludf.DUMMYFUNCTION("GOOGLETRANSLATE(A150, ""en"", ""am"")"),"149")</f>
        <v>149</v>
      </c>
      <c r="H150" s="11" t="str">
        <f>IFERROR(__xludf.DUMMYFUNCTION("GOOGLETRANSLATE(B150, ""en"", ""am"")"),"የተጫዋቹ ጦር ዒላማው ላይ ቢያርፍም በሌላ ነገር ይገለበጣል። ምን ይሆናል?")</f>
        <v>የተጫዋቹ ጦር ዒላማው ላይ ቢያርፍም በሌላ ነገር ይገለበጣል። ምን ይሆናል?</v>
      </c>
      <c r="I150" s="11" t="str">
        <f>IFERROR(__xludf.DUMMYFUNCTION("GOOGLETRANSLATE(C150, ""en"", ""am"")"),"ሀ. ለመጀመሪያው hitB የሽልማት ነጥቦች። ምንም ነጥብ አልተሰጠም ሲ. ድጋሚ ለመሞከር ፍቀድ። ጨዋታውን ለአፍታ ያቁሙት።")</f>
        <v>ሀ. ለመጀመሪያው hitB የሽልማት ነጥቦች። ምንም ነጥብ አልተሰጠም ሲ. ድጋሚ ለመሞከር ፍቀድ። ጨዋታውን ለአፍታ ያቁሙት።</v>
      </c>
      <c r="J150" s="11" t="str">
        <f>IFERROR(__xludf.DUMMYFUNCTION("GOOGLETRANSLATE(D150, ""en"", ""am"")"),"ለመጀመሪያው ስኬት የሽልማት ነጥቦች")</f>
        <v>ለመጀመሪያው ስኬት የሽልማት ነጥቦች</v>
      </c>
      <c r="K150" s="11" t="str">
        <f>IFERROR(__xludf.DUMMYFUNCTION("GOOGLETRANSLATE(E150, ""en"", ""am"")"),"ነጥቦች የተሸለሙት በመጀመሪያው ስኬታማ ስኬት ላይ በመመስረት ነው።")</f>
        <v>ነጥቦች የተሸለሙት በመጀመሪያው ስኬታማ ስኬት ላይ በመመስረት ነው።</v>
      </c>
    </row>
    <row r="151" ht="22.5" customHeight="1">
      <c r="A151" s="10">
        <v>150.0</v>
      </c>
      <c r="B151" s="11" t="s">
        <v>986</v>
      </c>
      <c r="C151" s="11" t="s">
        <v>987</v>
      </c>
      <c r="D151" s="11" t="s">
        <v>959</v>
      </c>
      <c r="E151" s="11" t="s">
        <v>988</v>
      </c>
      <c r="G151" s="11" t="str">
        <f>IFERROR(__xludf.DUMMYFUNCTION("GOOGLETRANSLATE(A151, ""en"", ""am"")"),"150")</f>
        <v>150</v>
      </c>
      <c r="H151" s="11" t="str">
        <f>IFERROR(__xludf.DUMMYFUNCTION("GOOGLETRANSLATE(B151, ""en"", ""am"")"),"የተጫዋች ጦር ይጣላል ነገር ግን በተቃዋሚ ዞን ውስጥ ያርፋል. ምን ይሆናል?")</f>
        <v>የተጫዋች ጦር ይጣላል ነገር ግን በተቃዋሚ ዞን ውስጥ ያርፋል. ምን ይሆናል?</v>
      </c>
      <c r="I151" s="11" t="str">
        <f>IFERROR(__xludf.DUMMYFUNCTION("GOOGLETRANSLATE(C151, ""en"", ""am"")"),"A. ሽልማት ለተቃዋሚ ቢ. ምንም ነጥብ አልተሰጠም ሲ. ድጋሚ ለመሞከር ፍቀድ። በርቀት ላይ በመመስረት የሽልማት ነጥቦች")</f>
        <v>A. ሽልማት ለተቃዋሚ ቢ. ምንም ነጥብ አልተሰጠም ሲ. ድጋሚ ለመሞከር ፍቀድ። በርቀት ላይ በመመስረት የሽልማት ነጥቦች</v>
      </c>
      <c r="J151" s="11" t="str">
        <f>IFERROR(__xludf.DUMMYFUNCTION("GOOGLETRANSLATE(D151, ""en"", ""am"")"),"ሽልማት ለተቃዋሚው ይጠቁማል")</f>
        <v>ሽልማት ለተቃዋሚው ይጠቁማል</v>
      </c>
      <c r="K151" s="11" t="str">
        <f>IFERROR(__xludf.DUMMYFUNCTION("GOOGLETRANSLATE(E151, ""en"", ""am"")"),"ውርወራው ግብ ለማስቆጠር በተመደበው ዞንዎ ላይ ማረፍ አለበት።")</f>
        <v>ውርወራው ግብ ለማስቆጠር በተመደበው ዞንዎ ላይ ማረፍ አለበት።</v>
      </c>
    </row>
    <row r="152" ht="22.5" customHeight="1">
      <c r="A152" s="10">
        <v>151.0</v>
      </c>
      <c r="B152" s="11" t="s">
        <v>989</v>
      </c>
      <c r="C152" s="11" t="s">
        <v>922</v>
      </c>
      <c r="D152" s="11" t="s">
        <v>850</v>
      </c>
      <c r="E152" s="11" t="s">
        <v>876</v>
      </c>
      <c r="G152" s="11" t="str">
        <f>IFERROR(__xludf.DUMMYFUNCTION("GOOGLETRANSLATE(A152, ""en"", ""am"")"),"151")</f>
        <v>151</v>
      </c>
      <c r="H152" s="11" t="str">
        <f>IFERROR(__xludf.DUMMYFUNCTION("GOOGLETRANSLATE(B152, ""en"", ""am"")"),"የተጫዋች ጦር ዒላማው ላይ በትክክል ቢወድቅም አይጣበቅም። ምን ይሆናል?")</f>
        <v>የተጫዋች ጦር ዒላማው ላይ በትክክል ቢወድቅም አይጣበቅም። ምን ይሆናል?</v>
      </c>
      <c r="I152" s="11" t="str">
        <f>IFERROR(__xludf.DUMMYFUNCTION("GOOGLETRANSLATE(C152, ""en"", ""am"")"),"ሀ. ምንም ነጥብ አልተሰጠም። በቅርበት ሲ ላይ የተመሠረቱ የሽልማት ነጥቦች. ድጋሚ ለመሞከር ፍቀድ። የሽልማት ከፊል ነጥቦች")</f>
        <v>ሀ. ምንም ነጥብ አልተሰጠም። በቅርበት ሲ ላይ የተመሠረቱ የሽልማት ነጥቦች. ድጋሚ ለመሞከር ፍቀድ። የሽልማት ከፊል ነጥቦች</v>
      </c>
      <c r="J152" s="11" t="str">
        <f>IFERROR(__xludf.DUMMYFUNCTION("GOOGLETRANSLATE(D152, ""en"", ""am"")"),"ምንም ነጥብ አልተሰጠም።")</f>
        <v>ምንም ነጥብ አልተሰጠም።</v>
      </c>
      <c r="K152" s="11" t="str">
        <f>IFERROR(__xludf.DUMMYFUNCTION("GOOGLETRANSLATE(E152, ""en"", ""am"")"),"ነጥቦች የሚሸለሙት ጦሩ ዒላማው ላይ ከተጣበቀ ብቻ ነው።")</f>
        <v>ነጥቦች የሚሸለሙት ጦሩ ዒላማው ላይ ከተጣበቀ ብቻ ነው።</v>
      </c>
    </row>
    <row r="153" ht="22.5" customHeight="1">
      <c r="A153" s="10">
        <v>152.0</v>
      </c>
      <c r="B153" s="11" t="s">
        <v>990</v>
      </c>
      <c r="C153" s="11" t="s">
        <v>991</v>
      </c>
      <c r="D153" s="11" t="s">
        <v>980</v>
      </c>
      <c r="E153" s="11" t="s">
        <v>785</v>
      </c>
      <c r="G153" s="11" t="str">
        <f>IFERROR(__xludf.DUMMYFUNCTION("GOOGLETRANSLATE(A153, ""en"", ""am"")"),"152")</f>
        <v>152</v>
      </c>
      <c r="H153" s="11" t="str">
        <f>IFERROR(__xludf.DUMMYFUNCTION("GOOGLETRANSLATE(B153, ""en"", ""am"")"),"የተጫዋቹ ጦር ዒላማው ላይ ቢወድቅም ወዲያውኑ በሌላ ተጫዋች ተወገደ። ምን ይሆናል?")</f>
        <v>የተጫዋቹ ጦር ዒላማው ላይ ቢወድቅም ወዲያውኑ በሌላ ተጫዋች ተወገደ። ምን ይሆናል?</v>
      </c>
      <c r="I153" s="11" t="str">
        <f>IFERROR(__xludf.DUMMYFUNCTION("GOOGLETRANSLATE(C153, ""en"", ""am"")"),"ሀ. ለመጀመሪያው hitB የሽልማት ነጥቦች። ምንም ነጥብ አልተሰጠም ሲ. ድጋሚ ለመሞከር ፍቀድ። ሽልማት ለተቃዋሚው ይጠቁማል")</f>
        <v>ሀ. ለመጀመሪያው hitB የሽልማት ነጥቦች። ምንም ነጥብ አልተሰጠም ሲ. ድጋሚ ለመሞከር ፍቀድ። ሽልማት ለተቃዋሚው ይጠቁማል</v>
      </c>
      <c r="J153" s="11" t="str">
        <f>IFERROR(__xludf.DUMMYFUNCTION("GOOGLETRANSLATE(D153, ""en"", ""am"")"),"ለመጀመሪያው ስኬት የሽልማት ነጥቦች")</f>
        <v>ለመጀመሪያው ስኬት የሽልማት ነጥቦች</v>
      </c>
      <c r="K153" s="11" t="str">
        <f>IFERROR(__xludf.DUMMYFUNCTION("GOOGLETRANSLATE(E153, ""en"", ""am"")"),"ነጥቦች የተሸለሙት በመጀመሪያው ስኬታማ ስኬት ላይ በመመስረት ነው።")</f>
        <v>ነጥቦች የተሸለሙት በመጀመሪያው ስኬታማ ስኬት ላይ በመመስረት ነው።</v>
      </c>
    </row>
    <row r="154" ht="22.5" customHeight="1">
      <c r="A154" s="10">
        <v>153.0</v>
      </c>
      <c r="B154" s="11" t="s">
        <v>992</v>
      </c>
      <c r="C154" s="11" t="s">
        <v>993</v>
      </c>
      <c r="D154" s="11" t="s">
        <v>850</v>
      </c>
      <c r="E154" s="11" t="s">
        <v>994</v>
      </c>
      <c r="G154" s="11" t="str">
        <f>IFERROR(__xludf.DUMMYFUNCTION("GOOGLETRANSLATE(A154, ""en"", ""am"")"),"153")</f>
        <v>153</v>
      </c>
      <c r="H154" s="11" t="str">
        <f>IFERROR(__xludf.DUMMYFUNCTION("GOOGLETRANSLATE(B154, ""en"", ""am"")"),"የተጫዋቹ ጦር ወደ ዒላማው ውስጥ ገባ ፣ ግን ሌላ ተጫዋች ያንኳኳል። ምን ይሆናል?")</f>
        <v>የተጫዋቹ ጦር ወደ ዒላማው ውስጥ ገባ ፣ ግን ሌላ ተጫዋች ያንኳኳል። ምን ይሆናል?</v>
      </c>
      <c r="I154" s="11" t="str">
        <f>IFERROR(__xludf.DUMMYFUNCTION("GOOGLETRANSLATE(C154, ""en"", ""am"")"),"ሀ. ምንም ነጥብ አልተሰጠም። በቅርበት ሲ ላይ የተመሠረቱ የሽልማት ነጥቦች. ድጋሚ ለመሞከር ፍቀድ። ሽልማት ለተቃዋሚው ይጠቁማል")</f>
        <v>ሀ. ምንም ነጥብ አልተሰጠም። በቅርበት ሲ ላይ የተመሠረቱ የሽልማት ነጥቦች. ድጋሚ ለመሞከር ፍቀድ። ሽልማት ለተቃዋሚው ይጠቁማል</v>
      </c>
      <c r="J154" s="11" t="str">
        <f>IFERROR(__xludf.DUMMYFUNCTION("GOOGLETRANSLATE(D154, ""en"", ""am"")"),"ምንም ነጥብ አልተሰጠም።")</f>
        <v>ምንም ነጥብ አልተሰጠም።</v>
      </c>
      <c r="K154" s="11" t="str">
        <f>IFERROR(__xludf.DUMMYFUNCTION("GOOGLETRANSLATE(E154, ""en"", ""am"")"),"ነጥቦች በጦሩ የመጀመሪያ ቦታ ላይ የተመሰረቱ ናቸው.")</f>
        <v>ነጥቦች በጦሩ የመጀመሪያ ቦታ ላይ የተመሰረቱ ናቸው.</v>
      </c>
    </row>
    <row r="155" ht="22.5" customHeight="1">
      <c r="A155" s="10">
        <v>154.0</v>
      </c>
      <c r="B155" s="11" t="s">
        <v>936</v>
      </c>
      <c r="C155" s="11" t="s">
        <v>995</v>
      </c>
      <c r="D155" s="11" t="s">
        <v>850</v>
      </c>
      <c r="E155" s="11" t="s">
        <v>996</v>
      </c>
      <c r="G155" s="11" t="str">
        <f>IFERROR(__xludf.DUMMYFUNCTION("GOOGLETRANSLATE(A155, ""en"", ""am"")"),"154")</f>
        <v>154</v>
      </c>
      <c r="H155" s="11" t="str">
        <f>IFERROR(__xludf.DUMMYFUNCTION("GOOGLETRANSLATE(B155, ""en"", ""am"")"),"አንድ ተጫዋች ጦሩን ወርውሮ ከታለመለት ቦታ ውጭ አረፈ። ምን ይሆናል?")</f>
        <v>አንድ ተጫዋች ጦሩን ወርውሮ ከታለመለት ቦታ ውጭ አረፈ። ምን ይሆናል?</v>
      </c>
      <c r="I155" s="11" t="str">
        <f>IFERROR(__xludf.DUMMYFUNCTION("GOOGLETRANSLATE(C155, ""en"", ""am"")"),"ሀ. ምንም ነጥብ አልተሰጠም። እንደገና እንዲሞክር ፍቀድ። ርቀትD ላይ የተመሠረተ የሽልማት ነጥቦች. ሽልማት ለተቃዋሚው ይጠቁማል")</f>
        <v>ሀ. ምንም ነጥብ አልተሰጠም። እንደገና እንዲሞክር ፍቀድ። ርቀትD ላይ የተመሠረተ የሽልማት ነጥቦች. ሽልማት ለተቃዋሚው ይጠቁማል</v>
      </c>
      <c r="J155" s="11" t="str">
        <f>IFERROR(__xludf.DUMMYFUNCTION("GOOGLETRANSLATE(D155, ""en"", ""am"")"),"ምንም ነጥብ አልተሰጠም።")</f>
        <v>ምንም ነጥብ አልተሰጠም።</v>
      </c>
      <c r="K155" s="11" t="str">
        <f>IFERROR(__xludf.DUMMYFUNCTION("GOOGLETRANSLATE(E155, ""en"", ""am"")"),"ውርወራዎች ለመቁጠር ወደ ዒላማው አካባቢ ማረፍ አለባቸው።")</f>
        <v>ውርወራዎች ለመቁጠር ወደ ዒላማው አካባቢ ማረፍ አለባቸው።</v>
      </c>
    </row>
    <row r="156" ht="22.5" customHeight="1">
      <c r="A156" s="10">
        <v>155.0</v>
      </c>
      <c r="B156" s="11" t="s">
        <v>997</v>
      </c>
      <c r="C156" s="11" t="s">
        <v>998</v>
      </c>
      <c r="D156" s="11" t="s">
        <v>850</v>
      </c>
      <c r="E156" s="11" t="s">
        <v>999</v>
      </c>
      <c r="G156" s="11" t="str">
        <f>IFERROR(__xludf.DUMMYFUNCTION("GOOGLETRANSLATE(A156, ""en"", ""am"")"),"155")</f>
        <v>155</v>
      </c>
      <c r="H156" s="11" t="str">
        <f>IFERROR(__xludf.DUMMYFUNCTION("GOOGLETRANSLATE(B156, ""en"", ""am"")"),"አንድ ተጫዋች ጦሩን ወርውሮ ኢላማው ፊት ለፊት አረፈ። ምን ይሆናል?")</f>
        <v>አንድ ተጫዋች ጦሩን ወርውሮ ኢላማው ፊት ለፊት አረፈ። ምን ይሆናል?</v>
      </c>
      <c r="I156" s="11" t="str">
        <f>IFERROR(__xludf.DUMMYFUNCTION("GOOGLETRANSLATE(C156, ""en"", ""am"")"),"ሀ. ምንም ነጥብ አልተሰጠም። ርቀት ሐ ላይ የተመሠረተ ሽልማት ነጥቦች. ድጋሚ ለመሞከር ፍቀድ። በቅርበት ላይ በመመስረት የሽልማት ነጥቦች")</f>
        <v>ሀ. ምንም ነጥብ አልተሰጠም። ርቀት ሐ ላይ የተመሠረተ ሽልማት ነጥቦች. ድጋሚ ለመሞከር ፍቀድ። በቅርበት ላይ በመመስረት የሽልማት ነጥቦች</v>
      </c>
      <c r="J156" s="11" t="str">
        <f>IFERROR(__xludf.DUMMYFUNCTION("GOOGLETRANSLATE(D156, ""en"", ""am"")"),"ምንም ነጥብ አልተሰጠም።")</f>
        <v>ምንም ነጥብ አልተሰጠም።</v>
      </c>
      <c r="K156" s="11" t="str">
        <f>IFERROR(__xludf.DUMMYFUNCTION("GOOGLETRANSLATE(E156, ""en"", ""am"")"),"ነጥቦች የሚሸለሙት ጦሩ ዒላማው ላይ ካረፈ ብቻ ነው።")</f>
        <v>ነጥቦች የሚሸለሙት ጦሩ ዒላማው ላይ ካረፈ ብቻ ነው።</v>
      </c>
    </row>
    <row r="157" ht="22.5" customHeight="1">
      <c r="A157" s="10">
        <v>156.0</v>
      </c>
      <c r="B157" s="11" t="s">
        <v>1000</v>
      </c>
      <c r="C157" s="11" t="s">
        <v>1001</v>
      </c>
      <c r="D157" s="11" t="s">
        <v>850</v>
      </c>
      <c r="E157" s="11" t="s">
        <v>918</v>
      </c>
      <c r="G157" s="11" t="str">
        <f>IFERROR(__xludf.DUMMYFUNCTION("GOOGLETRANSLATE(A157, ""en"", ""am"")"),"156")</f>
        <v>156</v>
      </c>
      <c r="H157" s="11" t="str">
        <f>IFERROR(__xludf.DUMMYFUNCTION("GOOGLETRANSLATE(B157, ""en"", ""am"")"),"የተጫዋች ጦር ዒላማው ላይ ቢወድቅም አይጣበቅም። ፍርዱ ምንድን ነው?")</f>
        <v>የተጫዋች ጦር ዒላማው ላይ ቢወድቅም አይጣበቅም። ፍርዱ ምንድን ነው?</v>
      </c>
      <c r="I157" s="11" t="str">
        <f>IFERROR(__xludf.DUMMYFUNCTION("GOOGLETRANSLATE(C157, ""en"", ""am"")"),"ሀ. ምንም ነጥብ አልተሰጠም። እንደገና እንዲሞክር ፍቀድ። በአቅራቢነት ዲ ላይ የተመሠረቱ የሽልማት ነጥቦች. ለጥረቱ የሽልማት ነጥቦች")</f>
        <v>ሀ. ምንም ነጥብ አልተሰጠም። እንደገና እንዲሞክር ፍቀድ። በአቅራቢነት ዲ ላይ የተመሠረቱ የሽልማት ነጥቦች. ለጥረቱ የሽልማት ነጥቦች</v>
      </c>
      <c r="J157" s="11" t="str">
        <f>IFERROR(__xludf.DUMMYFUNCTION("GOOGLETRANSLATE(D157, ""en"", ""am"")"),"ምንም ነጥብ አልተሰጠም።")</f>
        <v>ምንም ነጥብ አልተሰጠም።</v>
      </c>
      <c r="K157" s="11" t="str">
        <f>IFERROR(__xludf.DUMMYFUNCTION("GOOGLETRANSLATE(E157, ""en"", ""am"")"),"ነጥቦች የሚሸለሙት ጦሩ ዒላማው ላይ ከተጣበቀ ብቻ ነው።")</f>
        <v>ነጥቦች የሚሸለሙት ጦሩ ዒላማው ላይ ከተጣበቀ ብቻ ነው።</v>
      </c>
    </row>
    <row r="158" ht="22.5" customHeight="1">
      <c r="A158" s="10">
        <v>157.0</v>
      </c>
      <c r="B158" s="11" t="s">
        <v>1002</v>
      </c>
      <c r="C158" s="11" t="s">
        <v>1003</v>
      </c>
      <c r="D158" s="11" t="s">
        <v>980</v>
      </c>
      <c r="E158" s="11" t="s">
        <v>785</v>
      </c>
      <c r="G158" s="11" t="str">
        <f>IFERROR(__xludf.DUMMYFUNCTION("GOOGLETRANSLATE(A158, ""en"", ""am"")"),"157")</f>
        <v>157</v>
      </c>
      <c r="H158" s="11" t="str">
        <f>IFERROR(__xludf.DUMMYFUNCTION("GOOGLETRANSLATE(B158, ""en"", ""am"")"),"የተጫዋቹ ጦር ዒላማው ላይ ወድቆ ተጣብቋል ፣ ግን በኋላ በነፋስ ይንቀሳቀሳል። ምን ይሆናል?")</f>
        <v>የተጫዋቹ ጦር ዒላማው ላይ ወድቆ ተጣብቋል ፣ ግን በኋላ በነፋስ ይንቀሳቀሳል። ምን ይሆናል?</v>
      </c>
      <c r="I158" s="11" t="str">
        <f>IFERROR(__xludf.DUMMYFUNCTION("GOOGLETRANSLATE(C158, ""en"", ""am"")"),"ሀ. ለመጀመሪያው hitB የሽልማት ነጥቦች። ምንም ነጥብ አልተሰጠም ሲ. ጨዋታውን ለአፍታ አቁም ለግምገማD. እንደገና እንዲሞክር ፍቀድ")</f>
        <v>ሀ. ለመጀመሪያው hitB የሽልማት ነጥቦች። ምንም ነጥብ አልተሰጠም ሲ. ጨዋታውን ለአፍታ አቁም ለግምገማD. እንደገና እንዲሞክር ፍቀድ</v>
      </c>
      <c r="J158" s="11" t="str">
        <f>IFERROR(__xludf.DUMMYFUNCTION("GOOGLETRANSLATE(D158, ""en"", ""am"")"),"ለመጀመሪያው ስኬት የሽልማት ነጥቦች")</f>
        <v>ለመጀመሪያው ስኬት የሽልማት ነጥቦች</v>
      </c>
      <c r="K158" s="11" t="str">
        <f>IFERROR(__xludf.DUMMYFUNCTION("GOOGLETRANSLATE(E158, ""en"", ""am"")"),"ነጥቦች የተሸለሙት በመጀመሪያው ስኬታማ ስኬት ላይ በመመስረት ነው።")</f>
        <v>ነጥቦች የተሸለሙት በመጀመሪያው ስኬታማ ስኬት ላይ በመመስረት ነው።</v>
      </c>
    </row>
    <row r="159" ht="22.5" customHeight="1">
      <c r="A159" s="10">
        <v>158.0</v>
      </c>
      <c r="B159" s="11" t="s">
        <v>1004</v>
      </c>
      <c r="C159" s="11" t="s">
        <v>1005</v>
      </c>
      <c r="D159" s="11" t="s">
        <v>850</v>
      </c>
      <c r="E159" s="11" t="s">
        <v>1006</v>
      </c>
      <c r="G159" s="11" t="str">
        <f>IFERROR(__xludf.DUMMYFUNCTION("GOOGLETRANSLATE(A159, ""en"", ""am"")"),"158")</f>
        <v>158</v>
      </c>
      <c r="H159" s="11" t="str">
        <f>IFERROR(__xludf.DUMMYFUNCTION("GOOGLETRANSLATE(B159, ""en"", ""am"")"),"የተጫዋች ጦር ከዒላማ ውጭ ያርፋል ግን ትክክለኛ ቦታ ላይ ነው። ፍርዱ ምንድን ነው?")</f>
        <v>የተጫዋች ጦር ከዒላማ ውጭ ያርፋል ግን ትክክለኛ ቦታ ላይ ነው። ፍርዱ ምንድን ነው?</v>
      </c>
      <c r="I159" s="11" t="str">
        <f>IFERROR(__xludf.DUMMYFUNCTION("GOOGLETRANSLATE(C159, ""en"", ""am"")"),"ሀ. ምንም ነጥብ አልተሰጠም። እንደገና እንዲሞክር ፍቀድ። ርቀትD ላይ የተመሠረተ የሽልማት ነጥቦች. ለጥረት የሽልማት ነጥቦች")</f>
        <v>ሀ. ምንም ነጥብ አልተሰጠም። እንደገና እንዲሞክር ፍቀድ። ርቀትD ላይ የተመሠረተ የሽልማት ነጥቦች. ለጥረት የሽልማት ነጥቦች</v>
      </c>
      <c r="J159" s="11" t="str">
        <f>IFERROR(__xludf.DUMMYFUNCTION("GOOGLETRANSLATE(D159, ""en"", ""am"")"),"ምንም ነጥብ አልተሰጠም።")</f>
        <v>ምንም ነጥብ አልተሰጠም።</v>
      </c>
      <c r="K159" s="11" t="str">
        <f>IFERROR(__xludf.DUMMYFUNCTION("GOOGLETRANSLATE(E159, ""en"", ""am"")"),"ጦሩ ግብ ለማስቆጠር ዒላማው ላይ ማረፍ አለበት።")</f>
        <v>ጦሩ ግብ ለማስቆጠር ዒላማው ላይ ማረፍ አለበት።</v>
      </c>
    </row>
    <row r="160" ht="22.5" customHeight="1">
      <c r="A160" s="10">
        <v>159.0</v>
      </c>
      <c r="B160" s="11" t="s">
        <v>1007</v>
      </c>
      <c r="C160" s="11" t="s">
        <v>1005</v>
      </c>
      <c r="D160" s="11" t="s">
        <v>850</v>
      </c>
      <c r="E160" s="11" t="s">
        <v>1008</v>
      </c>
      <c r="G160" s="11" t="str">
        <f>IFERROR(__xludf.DUMMYFUNCTION("GOOGLETRANSLATE(A160, ""en"", ""am"")"),"159")</f>
        <v>159</v>
      </c>
      <c r="H160" s="11" t="str">
        <f>IFERROR(__xludf.DUMMYFUNCTION("GOOGLETRANSLATE(B160, ""en"", ""am"")"),"ተጫዋቹ ጦራቸውን ቢወረውሩም ከዒላማው ጀርባ ያርፋል። ምን ይሆናል?")</f>
        <v>ተጫዋቹ ጦራቸውን ቢወረውሩም ከዒላማው ጀርባ ያርፋል። ምን ይሆናል?</v>
      </c>
      <c r="I160" s="11" t="str">
        <f>IFERROR(__xludf.DUMMYFUNCTION("GOOGLETRANSLATE(C160, ""en"", ""am"")"),"ሀ. ምንም ነጥብ አልተሰጠም። እንደገና እንዲሞክር ፍቀድ። ርቀትD ላይ የተመሠረተ የሽልማት ነጥቦች. ለጥረት የሽልማት ነጥቦች")</f>
        <v>ሀ. ምንም ነጥብ አልተሰጠም። እንደገና እንዲሞክር ፍቀድ። ርቀትD ላይ የተመሠረተ የሽልማት ነጥቦች. ለጥረት የሽልማት ነጥቦች</v>
      </c>
      <c r="J160" s="11" t="str">
        <f>IFERROR(__xludf.DUMMYFUNCTION("GOOGLETRANSLATE(D160, ""en"", ""am"")"),"ምንም ነጥብ አልተሰጠም።")</f>
        <v>ምንም ነጥብ አልተሰጠም።</v>
      </c>
      <c r="K160" s="11" t="str">
        <f>IFERROR(__xludf.DUMMYFUNCTION("GOOGLETRANSLATE(E160, ""en"", ""am"")"),"ጦሩ ለመቁጠር ከዒላማው ፊት ለፊት ማረፍ አለበት.")</f>
        <v>ጦሩ ለመቁጠር ከዒላማው ፊት ለፊት ማረፍ አለበት.</v>
      </c>
    </row>
    <row r="161" ht="22.5" customHeight="1">
      <c r="A161" s="10">
        <v>160.0</v>
      </c>
      <c r="B161" s="11" t="s">
        <v>1009</v>
      </c>
      <c r="C161" s="11" t="s">
        <v>979</v>
      </c>
      <c r="D161" s="11" t="s">
        <v>980</v>
      </c>
      <c r="E161" s="11" t="s">
        <v>894</v>
      </c>
      <c r="G161" s="11" t="str">
        <f>IFERROR(__xludf.DUMMYFUNCTION("GOOGLETRANSLATE(A161, ""en"", ""am"")"),"160")</f>
        <v>160</v>
      </c>
      <c r="H161" s="11" t="str">
        <f>IFERROR(__xludf.DUMMYFUNCTION("GOOGLETRANSLATE(B161, ""en"", ""am"")"),"የተጫዋች ጦር ዒላማው ላይ በትክክል ያርፋል፣ ነገር ግን የሌላ ተጫዋች ውርወራ እንዲወድቅ ያደርጋል። ምን ይሆናል?")</f>
        <v>የተጫዋች ጦር ዒላማው ላይ በትክክል ያርፋል፣ ነገር ግን የሌላ ተጫዋች ውርወራ እንዲወድቅ ያደርጋል። ምን ይሆናል?</v>
      </c>
      <c r="I161" s="11" t="str">
        <f>IFERROR(__xludf.DUMMYFUNCTION("GOOGLETRANSLATE(C161, ""en"", ""am"")"),"ሀ. ለመጀመሪያው hitB የሽልማት ነጥቦች። ምንም ነጥብ አልተሰጠም ሲ. ድጋሚ ለመሞከር ፍቀድ። ጨዋታውን ለአፍታ ያቁሙት።")</f>
        <v>ሀ. ለመጀመሪያው hitB የሽልማት ነጥቦች። ምንም ነጥብ አልተሰጠም ሲ. ድጋሚ ለመሞከር ፍቀድ። ጨዋታውን ለአፍታ ያቁሙት።</v>
      </c>
      <c r="J161" s="11" t="str">
        <f>IFERROR(__xludf.DUMMYFUNCTION("GOOGLETRANSLATE(D161, ""en"", ""am"")"),"ለመጀመሪያው ስኬት የሽልማት ነጥቦች")</f>
        <v>ለመጀመሪያው ስኬት የሽልማት ነጥቦች</v>
      </c>
      <c r="K161" s="11" t="str">
        <f>IFERROR(__xludf.DUMMYFUNCTION("GOOGLETRANSLATE(E161, ""en"", ""am"")"),"ነጥቦች የተሸለሙት በመጀመሪያው ስኬታማ ስኬት ላይ በመመስረት ነው።")</f>
        <v>ነጥቦች የተሸለሙት በመጀመሪያው ስኬታማ ስኬት ላይ በመመስረት ነው።</v>
      </c>
    </row>
    <row r="162" ht="22.5" customHeight="1">
      <c r="A162" s="10">
        <v>161.0</v>
      </c>
      <c r="B162" s="11" t="s">
        <v>1010</v>
      </c>
      <c r="C162" s="11" t="s">
        <v>1011</v>
      </c>
      <c r="D162" s="11" t="s">
        <v>959</v>
      </c>
      <c r="E162" s="11" t="s">
        <v>1012</v>
      </c>
      <c r="G162" s="11" t="str">
        <f>IFERROR(__xludf.DUMMYFUNCTION("GOOGLETRANSLATE(A162, ""en"", ""am"")"),"161")</f>
        <v>161</v>
      </c>
      <c r="H162" s="11" t="str">
        <f>IFERROR(__xludf.DUMMYFUNCTION("GOOGLETRANSLATE(B162, ""en"", ""am"")"),"አንድ ተጫዋች ጦራቸውን ይጥላል ነገር ግን በቀጥታ ወደ ተቃዋሚው የዒላማ ዞን ያርፋል. ምን ይሆናል?")</f>
        <v>አንድ ተጫዋች ጦራቸውን ይጥላል ነገር ግን በቀጥታ ወደ ተቃዋሚው የዒላማ ዞን ያርፋል. ምን ይሆናል?</v>
      </c>
      <c r="I162" s="11" t="str">
        <f>IFERROR(__xludf.DUMMYFUNCTION("GOOGLETRANSLATE(C162, ""en"", ""am"")"),"ሀ. ምንም ነጥብ አልተሰጠም። ሽልማት ለተቃዋሚ ሲ. ድጋሚ ለመሞከር ፍቀድ። ለርቀት የሽልማት ነጥቦች")</f>
        <v>ሀ. ምንም ነጥብ አልተሰጠም። ሽልማት ለተቃዋሚ ሲ. ድጋሚ ለመሞከር ፍቀድ። ለርቀት የሽልማት ነጥቦች</v>
      </c>
      <c r="J162" s="11" t="str">
        <f>IFERROR(__xludf.DUMMYFUNCTION("GOOGLETRANSLATE(D162, ""en"", ""am"")"),"ሽልማት ለተቃዋሚው ይጠቁማል")</f>
        <v>ሽልማት ለተቃዋሚው ይጠቁማል</v>
      </c>
      <c r="K162" s="11" t="str">
        <f>IFERROR(__xludf.DUMMYFUNCTION("GOOGLETRANSLATE(E162, ""en"", ""am"")"),"ውርወራዎች በተመደበው የዒላማ ዞንዎ ውስጥ ማረፍ አለባቸው።")</f>
        <v>ውርወራዎች በተመደበው የዒላማ ዞንዎ ውስጥ ማረፍ አለባቸው።</v>
      </c>
    </row>
    <row r="163" ht="22.5" customHeight="1">
      <c r="A163" s="10">
        <v>162.0</v>
      </c>
      <c r="B163" s="11" t="s">
        <v>1013</v>
      </c>
      <c r="C163" s="11" t="s">
        <v>1014</v>
      </c>
      <c r="D163" s="11" t="s">
        <v>850</v>
      </c>
      <c r="E163" s="11" t="s">
        <v>854</v>
      </c>
      <c r="G163" s="11" t="str">
        <f>IFERROR(__xludf.DUMMYFUNCTION("GOOGLETRANSLATE(A163, ""en"", ""am"")"),"162")</f>
        <v>162</v>
      </c>
      <c r="H163" s="11" t="str">
        <f>IFERROR(__xludf.DUMMYFUNCTION("GOOGLETRANSLATE(B163, ""en"", ""am"")"),"የተጫዋች ጦር ኢላማውን ቢመታም ወደ ላይ ይወጣል። ምን ይሆናል?")</f>
        <v>የተጫዋች ጦር ኢላማውን ቢመታም ወደ ላይ ይወጣል። ምን ይሆናል?</v>
      </c>
      <c r="I163" s="11" t="str">
        <f>IFERROR(__xludf.DUMMYFUNCTION("GOOGLETRANSLATE(C163, ""en"", ""am"")"),"ሀ. ምንም ነጥብ አልተሰጠም። ለጥረቱ የሽልማት ነጥቦች. የሽልማት ከፊል ነጥቦች ዲ. እንደገና እንዲሞክር ፍቀድ")</f>
        <v>ሀ. ምንም ነጥብ አልተሰጠም። ለጥረቱ የሽልማት ነጥቦች. የሽልማት ከፊል ነጥቦች ዲ. እንደገና እንዲሞክር ፍቀድ</v>
      </c>
      <c r="J163" s="11" t="str">
        <f>IFERROR(__xludf.DUMMYFUNCTION("GOOGLETRANSLATE(D163, ""en"", ""am"")"),"ምንም ነጥብ አልተሰጠም።")</f>
        <v>ምንም ነጥብ አልተሰጠም።</v>
      </c>
      <c r="K163" s="11" t="str">
        <f>IFERROR(__xludf.DUMMYFUNCTION("GOOGLETRANSLATE(E163, ""en"", ""am"")"),"ጦሩ ነጥብ ለማግኘት ከዒላማው ጋር መጣበቅ አለበት።")</f>
        <v>ጦሩ ነጥብ ለማግኘት ከዒላማው ጋር መጣበቅ አለበት።</v>
      </c>
    </row>
    <row r="164" ht="22.5" customHeight="1">
      <c r="A164" s="10">
        <v>163.0</v>
      </c>
      <c r="B164" s="11" t="s">
        <v>948</v>
      </c>
      <c r="C164" s="11" t="s">
        <v>931</v>
      </c>
      <c r="D164" s="11" t="s">
        <v>850</v>
      </c>
      <c r="E164" s="11" t="s">
        <v>918</v>
      </c>
      <c r="G164" s="11" t="str">
        <f>IFERROR(__xludf.DUMMYFUNCTION("GOOGLETRANSLATE(A164, ""en"", ""am"")"),"163")</f>
        <v>163</v>
      </c>
      <c r="H164" s="11" t="str">
        <f>IFERROR(__xludf.DUMMYFUNCTION("GOOGLETRANSLATE(B164, ""en"", ""am"")"),"የተጫዋች ጦር ከዒላማው አጠገብ ቢያርፍም አይጣበቅም። ምን ይሆናል?")</f>
        <v>የተጫዋች ጦር ከዒላማው አጠገብ ቢያርፍም አይጣበቅም። ምን ይሆናል?</v>
      </c>
      <c r="I164" s="11" t="str">
        <f>IFERROR(__xludf.DUMMYFUNCTION("GOOGLETRANSLATE(C164, ""en"", ""am"")"),"A. በፕሮክሲሚቲቢ ላይ የተመሠረቱ የሽልማት ነጥቦች. ምንም ነጥብ አልተሰጠም ሲ. ድጋሚ ለመሞከር ፍቀድ። ሙሉ ነጥብ ሽልማት")</f>
        <v>A. በፕሮክሲሚቲቢ ላይ የተመሠረቱ የሽልማት ነጥቦች. ምንም ነጥብ አልተሰጠም ሲ. ድጋሚ ለመሞከር ፍቀድ። ሙሉ ነጥብ ሽልማት</v>
      </c>
      <c r="J164" s="11" t="str">
        <f>IFERROR(__xludf.DUMMYFUNCTION("GOOGLETRANSLATE(D164, ""en"", ""am"")"),"ምንም ነጥብ አልተሰጠም።")</f>
        <v>ምንም ነጥብ አልተሰጠም።</v>
      </c>
      <c r="K164" s="11" t="str">
        <f>IFERROR(__xludf.DUMMYFUNCTION("GOOGLETRANSLATE(E164, ""en"", ""am"")"),"ነጥቦች የሚሸለሙት ጦሩ ዒላማው ላይ ከተጣበቀ ብቻ ነው።")</f>
        <v>ነጥቦች የሚሸለሙት ጦሩ ዒላማው ላይ ከተጣበቀ ብቻ ነው።</v>
      </c>
    </row>
    <row r="165" ht="22.5" customHeight="1">
      <c r="A165" s="10">
        <v>164.0</v>
      </c>
      <c r="B165" s="11" t="s">
        <v>1015</v>
      </c>
      <c r="C165" s="11" t="s">
        <v>1003</v>
      </c>
      <c r="D165" s="11" t="s">
        <v>980</v>
      </c>
      <c r="E165" s="11" t="s">
        <v>785</v>
      </c>
      <c r="G165" s="11" t="str">
        <f>IFERROR(__xludf.DUMMYFUNCTION("GOOGLETRANSLATE(A165, ""en"", ""am"")"),"164")</f>
        <v>164</v>
      </c>
      <c r="H165" s="11" t="str">
        <f>IFERROR(__xludf.DUMMYFUNCTION("GOOGLETRANSLATE(B165, ""en"", ""am"")"),"የተጫዋቹ ጦር ወደ ዒላማው ውስጥ ገባ ነገር ግን በነፋስ ተንኳኳ። ምን ይሆናል?")</f>
        <v>የተጫዋቹ ጦር ወደ ዒላማው ውስጥ ገባ ነገር ግን በነፋስ ተንኳኳ። ምን ይሆናል?</v>
      </c>
      <c r="I165" s="11" t="str">
        <f>IFERROR(__xludf.DUMMYFUNCTION("GOOGLETRANSLATE(C165, ""en"", ""am"")"),"ሀ. ለመጀመሪያው hitB የሽልማት ነጥቦች። ምንም ነጥብ አልተሰጠም ሲ. ጨዋታውን ለአፍታ አቁም ለግምገማD. እንደገና እንዲሞክር ፍቀድ")</f>
        <v>ሀ. ለመጀመሪያው hitB የሽልማት ነጥቦች። ምንም ነጥብ አልተሰጠም ሲ. ጨዋታውን ለአፍታ አቁም ለግምገማD. እንደገና እንዲሞክር ፍቀድ</v>
      </c>
      <c r="J165" s="11" t="str">
        <f>IFERROR(__xludf.DUMMYFUNCTION("GOOGLETRANSLATE(D165, ""en"", ""am"")"),"ለመጀመሪያው ስኬት የሽልማት ነጥቦች")</f>
        <v>ለመጀመሪያው ስኬት የሽልማት ነጥቦች</v>
      </c>
      <c r="K165" s="11" t="str">
        <f>IFERROR(__xludf.DUMMYFUNCTION("GOOGLETRANSLATE(E165, ""en"", ""am"")"),"ነጥቦች የተሸለሙት በመጀመሪያው ስኬታማ ስኬት ላይ በመመስረት ነው።")</f>
        <v>ነጥቦች የተሸለሙት በመጀመሪያው ስኬታማ ስኬት ላይ በመመስረት ነው።</v>
      </c>
    </row>
    <row r="166" ht="22.5" customHeight="1">
      <c r="A166" s="10">
        <v>165.0</v>
      </c>
      <c r="B166" s="11" t="s">
        <v>1016</v>
      </c>
      <c r="C166" s="11" t="s">
        <v>912</v>
      </c>
      <c r="D166" s="11" t="s">
        <v>850</v>
      </c>
      <c r="E166" s="11" t="s">
        <v>1017</v>
      </c>
      <c r="G166" s="11" t="str">
        <f>IFERROR(__xludf.DUMMYFUNCTION("GOOGLETRANSLATE(A166, ""en"", ""am"")"),"165")</f>
        <v>165</v>
      </c>
      <c r="H166" s="11" t="str">
        <f>IFERROR(__xludf.DUMMYFUNCTION("GOOGLETRANSLATE(B166, ""en"", ""am"")"),"ተጫዋቹ ጦራቸውን ቢወረውሩም ከገደብ ውጪ ነው። ምን ይሆናል?")</f>
        <v>ተጫዋቹ ጦራቸውን ቢወረውሩም ከገደብ ውጪ ነው። ምን ይሆናል?</v>
      </c>
      <c r="I166" s="11" t="str">
        <f>IFERROR(__xludf.DUMMYFUNCTION("GOOGLETRANSLATE(C166, ""en"", ""am"")"),"ሀ. ምንም ነጥብ አልተሰጠም። እንደገና እንዲሞክር ፍቀድ። ርቀትD ላይ የተመሠረተ የሽልማት ነጥቦች. መወርወሩን ውድቅ ያድርጉት")</f>
        <v>ሀ. ምንም ነጥብ አልተሰጠም። እንደገና እንዲሞክር ፍቀድ። ርቀትD ላይ የተመሠረተ የሽልማት ነጥቦች. መወርወሩን ውድቅ ያድርጉት</v>
      </c>
      <c r="J166" s="11" t="str">
        <f>IFERROR(__xludf.DUMMYFUNCTION("GOOGLETRANSLATE(D166, ""en"", ""am"")"),"ምንም ነጥብ አልተሰጠም።")</f>
        <v>ምንም ነጥብ አልተሰጠም።</v>
      </c>
      <c r="K166" s="11" t="str">
        <f>IFERROR(__xludf.DUMMYFUNCTION("GOOGLETRANSLATE(E166, ""en"", ""am"")"),"መወርወሪያዎች በተዘጋጀው የመጫወቻ ቦታ ላይ ማረፍ አለባቸው.")</f>
        <v>መወርወሪያዎች በተዘጋጀው የመጫወቻ ቦታ ላይ ማረፍ አለባቸው.</v>
      </c>
    </row>
    <row r="167" ht="22.5" customHeight="1">
      <c r="A167" s="10">
        <v>166.0</v>
      </c>
      <c r="B167" s="11" t="s">
        <v>1018</v>
      </c>
      <c r="C167" s="11" t="s">
        <v>1019</v>
      </c>
      <c r="D167" s="11" t="s">
        <v>850</v>
      </c>
      <c r="E167" s="11" t="s">
        <v>1020</v>
      </c>
      <c r="G167" s="11" t="str">
        <f>IFERROR(__xludf.DUMMYFUNCTION("GOOGLETRANSLATE(A167, ""en"", ""am"")"),"166")</f>
        <v>166</v>
      </c>
      <c r="H167" s="11" t="str">
        <f>IFERROR(__xludf.DUMMYFUNCTION("GOOGLETRANSLATE(B167, ""en"", ""am"")"),"የተጫዋች ጦር በቀጥታ ወደ ዒላማው ቦታ ቢያርፍም አይጣበቅም። ምን ይሆናል?")</f>
        <v>የተጫዋች ጦር በቀጥታ ወደ ዒላማው ቦታ ቢያርፍም አይጣበቅም። ምን ይሆናል?</v>
      </c>
      <c r="I167" s="11" t="str">
        <f>IFERROR(__xludf.DUMMYFUNCTION("GOOGLETRANSLATE(C167, ""en"", ""am"")"),"ሀ. ምንም ነጥብ አልተሰጠም። እንደገና እንዲሞክር ፍቀድ። የሽልማት ነጥቦች ለ proximityD. ለጥረት የሽልማት ነጥቦች")</f>
        <v>ሀ. ምንም ነጥብ አልተሰጠም። እንደገና እንዲሞክር ፍቀድ። የሽልማት ነጥቦች ለ proximityD. ለጥረት የሽልማት ነጥቦች</v>
      </c>
      <c r="J167" s="11" t="str">
        <f>IFERROR(__xludf.DUMMYFUNCTION("GOOGLETRANSLATE(D167, ""en"", ""am"")"),"ምንም ነጥብ አልተሰጠም።")</f>
        <v>ምንም ነጥብ አልተሰጠም።</v>
      </c>
      <c r="K167" s="11" t="str">
        <f>IFERROR(__xludf.DUMMYFUNCTION("GOOGLETRANSLATE(E167, ""en"", ""am"")"),"ነጥቦች የሚሸለሙት ጦሩ ከተጣበቀ ብቻ ነው።")</f>
        <v>ነጥቦች የሚሸለሙት ጦሩ ከተጣበቀ ብቻ ነው።</v>
      </c>
    </row>
    <row r="168" ht="22.5" customHeight="1">
      <c r="A168" s="10">
        <v>167.0</v>
      </c>
      <c r="B168" s="11" t="s">
        <v>1021</v>
      </c>
      <c r="C168" s="11" t="s">
        <v>1005</v>
      </c>
      <c r="D168" s="11" t="s">
        <v>850</v>
      </c>
      <c r="E168" s="11" t="s">
        <v>857</v>
      </c>
      <c r="G168" s="11" t="str">
        <f>IFERROR(__xludf.DUMMYFUNCTION("GOOGLETRANSLATE(A168, ""en"", ""am"")"),"167")</f>
        <v>167</v>
      </c>
      <c r="H168" s="11" t="str">
        <f>IFERROR(__xludf.DUMMYFUNCTION("GOOGLETRANSLATE(B168, ""en"", ""am"")"),"አንድ ተጫዋች ጦራቸውን ቢወረውሩም ከዒላማው ውጪ ያርፋል። ምን ይሆናል?")</f>
        <v>አንድ ተጫዋች ጦራቸውን ቢወረውሩም ከዒላማው ውጪ ያርፋል። ምን ይሆናል?</v>
      </c>
      <c r="I168" s="11" t="str">
        <f>IFERROR(__xludf.DUMMYFUNCTION("GOOGLETRANSLATE(C168, ""en"", ""am"")"),"ሀ. ምንም ነጥብ አልተሰጠም። እንደገና እንዲሞክር ፍቀድ። ርቀትD ላይ የተመሠረተ የሽልማት ነጥቦች. ለጥረት የሽልማት ነጥቦች")</f>
        <v>ሀ. ምንም ነጥብ አልተሰጠም። እንደገና እንዲሞክር ፍቀድ። ርቀትD ላይ የተመሠረተ የሽልማት ነጥቦች. ለጥረት የሽልማት ነጥቦች</v>
      </c>
      <c r="J168" s="11" t="str">
        <f>IFERROR(__xludf.DUMMYFUNCTION("GOOGLETRANSLATE(D168, ""en"", ""am"")"),"ምንም ነጥብ አልተሰጠም።")</f>
        <v>ምንም ነጥብ አልተሰጠም።</v>
      </c>
      <c r="K168" s="11" t="str">
        <f>IFERROR(__xludf.DUMMYFUNCTION("GOOGLETRANSLATE(E168, ""en"", ""am"")"),"ጦሩ በቀጥታ ዒላማው ላይ ማረፍ አለበት።")</f>
        <v>ጦሩ በቀጥታ ዒላማው ላይ ማረፍ አለበት።</v>
      </c>
    </row>
    <row r="169" ht="22.5" customHeight="1">
      <c r="A169" s="10">
        <v>168.0</v>
      </c>
      <c r="B169" s="11" t="s">
        <v>1022</v>
      </c>
      <c r="C169" s="11" t="s">
        <v>1023</v>
      </c>
      <c r="D169" s="11" t="s">
        <v>850</v>
      </c>
      <c r="E169" s="11" t="s">
        <v>785</v>
      </c>
      <c r="G169" s="11" t="str">
        <f>IFERROR(__xludf.DUMMYFUNCTION("GOOGLETRANSLATE(A169, ""en"", ""am"")"),"168")</f>
        <v>168</v>
      </c>
      <c r="H169" s="11" t="str">
        <f>IFERROR(__xludf.DUMMYFUNCTION("GOOGLETRANSLATE(B169, ""en"", ""am"")"),"የተጫዋቹ ጦር ዒላማው ላይ ቢወድቅም ወዲያው በሌላ ጦር ተወገደ። ምን ይሆናል?")</f>
        <v>የተጫዋቹ ጦር ዒላማው ላይ ቢወድቅም ወዲያው በሌላ ጦር ተወገደ። ምን ይሆናል?</v>
      </c>
      <c r="I169" s="11" t="str">
        <f>IFERROR(__xludf.DUMMYFUNCTION("GOOGLETRANSLATE(C169, ""en"", ""am"")"),"ሀ. ምንም ነጥብ አልተሰጠም። በቅርበት ሲ ላይ የተመሠረቱ የሽልማት ነጥቦች. ድጋሚ ለመሞከር ፍቀድ። ለጥረቱ የሽልማት ነጥቦች")</f>
        <v>ሀ. ምንም ነጥብ አልተሰጠም። በቅርበት ሲ ላይ የተመሠረቱ የሽልማት ነጥቦች. ድጋሚ ለመሞከር ፍቀድ። ለጥረቱ የሽልማት ነጥቦች</v>
      </c>
      <c r="J169" s="11" t="str">
        <f>IFERROR(__xludf.DUMMYFUNCTION("GOOGLETRANSLATE(D169, ""en"", ""am"")"),"ምንም ነጥብ አልተሰጠም።")</f>
        <v>ምንም ነጥብ አልተሰጠም።</v>
      </c>
      <c r="K169" s="11" t="str">
        <f>IFERROR(__xludf.DUMMYFUNCTION("GOOGLETRANSLATE(E169, ""en"", ""am"")"),"ነጥቦች የተሸለሙት በመጀመሪያው ስኬታማ ስኬት ላይ በመመስረት ነው።")</f>
        <v>ነጥቦች የተሸለሙት በመጀመሪያው ስኬታማ ስኬት ላይ በመመስረት ነው።</v>
      </c>
    </row>
    <row r="170" ht="22.5" customHeight="1">
      <c r="A170" s="10">
        <v>169.0</v>
      </c>
      <c r="B170" s="11" t="s">
        <v>1024</v>
      </c>
      <c r="C170" s="11" t="s">
        <v>975</v>
      </c>
      <c r="D170" s="11" t="s">
        <v>850</v>
      </c>
      <c r="E170" s="11" t="s">
        <v>1025</v>
      </c>
      <c r="G170" s="11" t="str">
        <f>IFERROR(__xludf.DUMMYFUNCTION("GOOGLETRANSLATE(A170, ""en"", ""am"")"),"169")</f>
        <v>169</v>
      </c>
      <c r="H170" s="11" t="str">
        <f>IFERROR(__xludf.DUMMYFUNCTION("GOOGLETRANSLATE(B170, ""en"", ""am"")"),"የተጫዋች ጦር ወደ ዒላማው ቦታ ገባ ግን አይጣበቅም። ምን ይሆናል?")</f>
        <v>የተጫዋች ጦር ወደ ዒላማው ቦታ ገባ ግን አይጣበቅም። ምን ይሆናል?</v>
      </c>
      <c r="I170" s="11" t="str">
        <f>IFERROR(__xludf.DUMMYFUNCTION("GOOGLETRANSLATE(C170, ""en"", ""am"")"),"ሀ. ምንም ነጥብ አልተሰጠም። የሽልማት ነጥቦች ለ proximityC. ጥረትD ላይ የተመሠረተ ሽልማት ነጥቦች. እንደገና እንዲሞክር ፍቀድ")</f>
        <v>ሀ. ምንም ነጥብ አልተሰጠም። የሽልማት ነጥቦች ለ proximityC. ጥረትD ላይ የተመሠረተ ሽልማት ነጥቦች. እንደገና እንዲሞክር ፍቀድ</v>
      </c>
      <c r="J170" s="11" t="str">
        <f>IFERROR(__xludf.DUMMYFUNCTION("GOOGLETRANSLATE(D170, ""en"", ""am"")"),"ምንም ነጥብ አልተሰጠም።")</f>
        <v>ምንም ነጥብ አልተሰጠም።</v>
      </c>
      <c r="K170" s="11" t="str">
        <f>IFERROR(__xludf.DUMMYFUNCTION("GOOGLETRANSLATE(E170, ""en"", ""am"")"),"ነጥቦች የሚሸለሙት ጦሩ ከተጣበቀ ብቻ ነው።")</f>
        <v>ነጥቦች የሚሸለሙት ጦሩ ከተጣበቀ ብቻ ነው።</v>
      </c>
    </row>
    <row r="171" ht="22.5" customHeight="1">
      <c r="A171" s="10">
        <v>170.0</v>
      </c>
      <c r="B171" s="11" t="s">
        <v>1026</v>
      </c>
      <c r="C171" s="11" t="s">
        <v>993</v>
      </c>
      <c r="D171" s="11" t="s">
        <v>850</v>
      </c>
      <c r="E171" s="11" t="s">
        <v>894</v>
      </c>
      <c r="G171" s="11" t="str">
        <f>IFERROR(__xludf.DUMMYFUNCTION("GOOGLETRANSLATE(A171, ""en"", ""am"")"),"170")</f>
        <v>170</v>
      </c>
      <c r="H171" s="11" t="str">
        <f>IFERROR(__xludf.DUMMYFUNCTION("GOOGLETRANSLATE(B171, ""en"", ""am"")"),"የተጫዋች ጦር ዒላማው ላይ ቢወድቅም የሌላ ተጫዋች ጦር ያንኳኳል። ምን ይሆናል?")</f>
        <v>የተጫዋች ጦር ዒላማው ላይ ቢወድቅም የሌላ ተጫዋች ጦር ያንኳኳል። ምን ይሆናል?</v>
      </c>
      <c r="I171" s="11" t="str">
        <f>IFERROR(__xludf.DUMMYFUNCTION("GOOGLETRANSLATE(C171, ""en"", ""am"")"),"ሀ. ምንም ነጥብ አልተሰጠም። በቅርበት ሲ ላይ የተመሠረቱ የሽልማት ነጥቦች. ድጋሚ ለመሞከር ፍቀድ። ሽልማት ለተቃዋሚው ይጠቁማል")</f>
        <v>ሀ. ምንም ነጥብ አልተሰጠም። በቅርበት ሲ ላይ የተመሠረቱ የሽልማት ነጥቦች. ድጋሚ ለመሞከር ፍቀድ። ሽልማት ለተቃዋሚው ይጠቁማል</v>
      </c>
      <c r="J171" s="11" t="str">
        <f>IFERROR(__xludf.DUMMYFUNCTION("GOOGLETRANSLATE(D171, ""en"", ""am"")"),"ምንም ነጥብ አልተሰጠም።")</f>
        <v>ምንም ነጥብ አልተሰጠም።</v>
      </c>
      <c r="K171" s="11" t="str">
        <f>IFERROR(__xludf.DUMMYFUNCTION("GOOGLETRANSLATE(E171, ""en"", ""am"")"),"ነጥቦች የተሸለሙት በመጀመሪያው ስኬታማ ስኬት ላይ በመመስረት ነው።")</f>
        <v>ነጥቦች የተሸለሙት በመጀመሪያው ስኬታማ ስኬት ላይ በመመስረት ነው።</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5" width="37.63"/>
    <col customWidth="1" min="7" max="11" width="37.63"/>
  </cols>
  <sheetData>
    <row r="1" ht="22.5" customHeight="1">
      <c r="A1" s="1" t="s">
        <v>0</v>
      </c>
      <c r="B1" s="1" t="s">
        <v>1</v>
      </c>
      <c r="C1" s="1" t="s">
        <v>2</v>
      </c>
      <c r="D1" s="1" t="s">
        <v>3</v>
      </c>
      <c r="E1" s="1" t="s">
        <v>4</v>
      </c>
      <c r="F1" s="2"/>
      <c r="G1" s="3" t="s">
        <v>5</v>
      </c>
      <c r="H1" s="3" t="s">
        <v>6</v>
      </c>
      <c r="I1" s="3" t="s">
        <v>7</v>
      </c>
      <c r="J1" s="3" t="s">
        <v>8</v>
      </c>
      <c r="K1" s="3" t="s">
        <v>9</v>
      </c>
      <c r="L1" s="2"/>
      <c r="M1" s="2"/>
      <c r="N1" s="2"/>
      <c r="O1" s="2"/>
      <c r="P1" s="2"/>
      <c r="Q1" s="2"/>
      <c r="R1" s="2"/>
      <c r="S1" s="2"/>
      <c r="T1" s="2"/>
      <c r="U1" s="2"/>
    </row>
    <row r="2" ht="22.5" customHeight="1">
      <c r="A2" s="10">
        <v>1.0</v>
      </c>
      <c r="B2" s="11" t="s">
        <v>1027</v>
      </c>
      <c r="C2" s="11" t="s">
        <v>1028</v>
      </c>
      <c r="D2" s="11" t="s">
        <v>1029</v>
      </c>
      <c r="E2" s="11" t="s">
        <v>1030</v>
      </c>
      <c r="G2" s="11" t="str">
        <f>IFERROR(__xludf.DUMMYFUNCTION(" GOOGLETRANSLATE(A2, ""en"", ""am"")"),"1")</f>
        <v>1</v>
      </c>
      <c r="H2" s="11" t="str">
        <f>IFERROR(__xludf.DUMMYFUNCTION(" GOOGLETRANSLATE(B2, ""en"", ""am"")"),"አንድ ሯጭ በመነሻው መስመር ላይ ይሰናከላል እና ሚዛኑን ያጣል ነገር ግን ጥንካሬን ያገኛል. ቀጥሎ ምን ይሆናል?")</f>
        <v>አንድ ሯጭ በመነሻው መስመር ላይ ይሰናከላል እና ሚዛኑን ያጣል ነገር ግን ጥንካሬን ያገኛል. ቀጥሎ ምን ይሆናል?</v>
      </c>
      <c r="I2" s="11" t="str">
        <f>IFERROR(__xludf.DUMMYFUNCTION(" GOOGLETRANSLATE(C2, ""en"", ""am"")"),"ሀ. ውድድሩ ይቀጥላል፣ ሯጩም ውድቅ ይደረጋል። ሯጩ ማስጠንቀቂያ ይቀበላል.ሲ. ሯጩ እንደገና መጀመር አለበት.ዲ. ውድድሩ ሳይቋረጥ ቀጥሏል።")</f>
        <v>ሀ. ውድድሩ ይቀጥላል፣ ሯጩም ውድቅ ይደረጋል። ሯጩ ማስጠንቀቂያ ይቀበላል.ሲ. ሯጩ እንደገና መጀመር አለበት.ዲ. ውድድሩ ሳይቋረጥ ቀጥሏል።</v>
      </c>
      <c r="J2" s="11" t="str">
        <f>IFERROR(__xludf.DUMMYFUNCTION(" GOOGLETRANSLATE(D2, ""en"", ""am"")"),"ውድድሩ ሳይቋረጥ ቀጥሏል።")</f>
        <v>ውድድሩ ሳይቋረጥ ቀጥሏል።</v>
      </c>
      <c r="K2" s="11" t="str">
        <f>IFERROR(__xludf.DUMMYFUNCTION(" GOOGLETRANSLATE(E2, ""en"", ""am"")"),"በባህላዊ ሩጫ፣ ሯጩ እስካልወደቀ ድረስ ጥቃቅን እንቅፋቶች የውድድሩን ውጤት አይጎዱም።")</f>
        <v>በባህላዊ ሩጫ፣ ሯጩ እስካልወደቀ ድረስ ጥቃቅን እንቅፋቶች የውድድሩን ውጤት አይጎዱም።</v>
      </c>
    </row>
    <row r="3" ht="22.5" customHeight="1">
      <c r="A3" s="10">
        <v>2.0</v>
      </c>
      <c r="B3" s="11" t="s">
        <v>1031</v>
      </c>
      <c r="C3" s="11" t="s">
        <v>1032</v>
      </c>
      <c r="D3" s="11" t="s">
        <v>1033</v>
      </c>
      <c r="E3" s="11" t="s">
        <v>1034</v>
      </c>
      <c r="G3" s="11" t="str">
        <f>IFERROR(__xludf.DUMMYFUNCTION(" GOOGLETRANSLATE(A3, ""en"", ""am"")"),"2")</f>
        <v>2</v>
      </c>
      <c r="H3" s="11" t="str">
        <f>IFERROR(__xludf.DUMMYFUNCTION(" GOOGLETRANSLATE(B3, ""en"", ""am"")"),"በባህላዊ የእግር ውድድር ወቅት አንድ ሯጭ በቅድሚያ የማጠናቀቂያ መስመሩን ያቋርጣል ነገርግን ለአጭር ጊዜ ከወሰን ውጪ ነው። ምን ይሆናል?")</f>
        <v>በባህላዊ የእግር ውድድር ወቅት አንድ ሯጭ በቅድሚያ የማጠናቀቂያ መስመሩን ያቋርጣል ነገርግን ለአጭር ጊዜ ከወሰን ውጪ ነው። ምን ይሆናል?</v>
      </c>
      <c r="I3" s="11" t="str">
        <f>IFERROR(__xludf.DUMMYFUNCTION(" GOOGLETRANSLATE(C3, ""en"", ""am"")"),"ሀ. ሯጩ ውድቅ ይሆናል.ቢ. የውድድሩ ውጤት አይለወጥም.ሲ. ሯጩ ማስጠንቀቂያ ተሰጥቶታል.ዲ. ሯጩ ውድድሩን መድገም አለበት።")</f>
        <v>ሀ. ሯጩ ውድቅ ይሆናል.ቢ. የውድድሩ ውጤት አይለወጥም.ሲ. ሯጩ ማስጠንቀቂያ ተሰጥቶታል.ዲ. ሯጩ ውድድሩን መድገም አለበት።</v>
      </c>
      <c r="J3" s="11" t="str">
        <f>IFERROR(__xludf.DUMMYFUNCTION(" GOOGLETRANSLATE(D3, ""en"", ""am"")"),"ሯጩ ውድቅ ይሆናል.")</f>
        <v>ሯጩ ውድቅ ይሆናል.</v>
      </c>
      <c r="K3" s="11" t="str">
        <f>IFERROR(__xludf.DUMMYFUNCTION(" GOOGLETRANSLATE(E3, ""en"", ""am"")"),"ሯጮች ከውድድር ወሰን ውጪ ከወጡ ከውድድሩ ውጪ ናቸው።")</f>
        <v>ሯጮች ከውድድር ወሰን ውጪ ከወጡ ከውድድሩ ውጪ ናቸው።</v>
      </c>
    </row>
    <row r="4" ht="22.5" customHeight="1">
      <c r="A4" s="10">
        <v>3.0</v>
      </c>
      <c r="B4" s="11" t="s">
        <v>1035</v>
      </c>
      <c r="C4" s="11" t="s">
        <v>1036</v>
      </c>
      <c r="D4" s="11" t="s">
        <v>1037</v>
      </c>
      <c r="E4" s="11" t="s">
        <v>1038</v>
      </c>
      <c r="G4" s="11" t="str">
        <f>IFERROR(__xludf.DUMMYFUNCTION(" GOOGLETRANSLATE(A4, ""en"", ""am"")"),"3")</f>
        <v>3</v>
      </c>
      <c r="H4" s="11" t="str">
        <f>IFERROR(__xludf.DUMMYFUNCTION(" GOOGLETRANSLATE(B4, ""en"", ""am"")"),"ሯጭ በመዘግየቱ ምክንያት ዘግይቶ ቢጀምርም ውድድሩን በጥንካሬ ያጠናቅቃል። ምን ይሆናል?")</f>
        <v>ሯጭ በመዘግየቱ ምክንያት ዘግይቶ ቢጀምርም ውድድሩን በጥንካሬ ያጠናቅቃል። ምን ይሆናል?</v>
      </c>
      <c r="I4" s="11" t="str">
        <f>IFERROR(__xludf.DUMMYFUNCTION(" GOOGLETRANSLATE(C4, ""en"", ""am"")"),"ሀ. ሯጩ ዘግይቶ ለመጀመር ብቁ አይደለም.ቢ. ሯጩ አሁንም ውድድሩን መጨረስ ይችላል, ነገር ግን አያሸንፍም.ሲ. ሯጩ ሊይዝ ይችላል ነገር ግን የጊዜ ቅጣት ይሰጠዋል.ዲ. ሯጩ ውድድሩን እንደገና ለመጀመር እድሉ ይኖረዋል.")</f>
        <v>ሀ. ሯጩ ዘግይቶ ለመጀመር ብቁ አይደለም.ቢ. ሯጩ አሁንም ውድድሩን መጨረስ ይችላል, ነገር ግን አያሸንፍም.ሲ. ሯጩ ሊይዝ ይችላል ነገር ግን የጊዜ ቅጣት ይሰጠዋል.ዲ. ሯጩ ውድድሩን እንደገና ለመጀመር እድሉ ይኖረዋል.</v>
      </c>
      <c r="J4" s="11" t="str">
        <f>IFERROR(__xludf.DUMMYFUNCTION(" GOOGLETRANSLATE(D4, ""en"", ""am"")"),"ሯጩ አሁንም ውድድሩን መጨረስ ይችላል ግን አያሸንፍም።")</f>
        <v>ሯጩ አሁንም ውድድሩን መጨረስ ይችላል ግን አያሸንፍም።</v>
      </c>
      <c r="K4" s="11" t="str">
        <f>IFERROR(__xludf.DUMMYFUNCTION(" GOOGLETRANSLATE(E4, ""en"", ""am"")"),"ዘግይቶ ጅምር ሁልጊዜ ብቁነትን አያስከትልም ካልሆነ በስተቀር።")</f>
        <v>ዘግይቶ ጅምር ሁልጊዜ ብቁነትን አያስከትልም ካልሆነ በስተቀር።</v>
      </c>
    </row>
    <row r="5" ht="22.5" customHeight="1">
      <c r="A5" s="10">
        <v>4.0</v>
      </c>
      <c r="B5" s="11" t="s">
        <v>1039</v>
      </c>
      <c r="C5" s="11" t="s">
        <v>1040</v>
      </c>
      <c r="D5" s="11" t="s">
        <v>1041</v>
      </c>
      <c r="E5" s="11" t="s">
        <v>1042</v>
      </c>
      <c r="G5" s="11" t="str">
        <f>IFERROR(__xludf.DUMMYFUNCTION(" GOOGLETRANSLATE(A5, ""en"", ""am"")"),"4")</f>
        <v>4</v>
      </c>
      <c r="H5" s="11" t="str">
        <f>IFERROR(__xludf.DUMMYFUNCTION(" GOOGLETRANSLATE(B5, ""en"", ""am"")"),"ሯጭ የመጨረሻውን መስመር አቋርጦ በይፋ ከመቆሙ በፊት ያከብራል። ምን ይሆናል?")</f>
        <v>ሯጭ የመጨረሻውን መስመር አቋርጦ በይፋ ከመቆሙ በፊት ያከብራል። ምን ይሆናል?</v>
      </c>
      <c r="I5" s="11" t="str">
        <f>IFERROR(__xludf.DUMMYFUNCTION(" GOOGLETRANSLATE(C5, ""en"", ""am"")"),"ሀ. ሯጩ ከስፖርታዊ ጨዋነት ውጪ በሆነ ድርጊት ይቀጣል። የሯጩ በዓል በጊዜ እስከቆሙ ድረስ ይፈቀዳል። ሯጩ ለጉጉት ተጨማሪ ነጥብ ያገኛል.ዲ. የውድድር ባለሥልጣናቱ ሯጩን ውድድሩን እንደገና እንዲወስድ ሊጠይቁ ይችላሉ።")</f>
        <v>ሀ. ሯጩ ከስፖርታዊ ጨዋነት ውጪ በሆነ ድርጊት ይቀጣል። የሯጩ በዓል በጊዜ እስከቆሙ ድረስ ይፈቀዳል። ሯጩ ለጉጉት ተጨማሪ ነጥብ ያገኛል.ዲ. የውድድር ባለሥልጣናቱ ሯጩን ውድድሩን እንደገና እንዲወስድ ሊጠይቁ ይችላሉ።</v>
      </c>
      <c r="J5" s="11" t="str">
        <f>IFERROR(__xludf.DUMMYFUNCTION(" GOOGLETRANSLATE(D5, ""en"", ""am"")"),"ሯጩ ከስፖርታዊ ጨዋነት ውጪ በሆነ ባህሪ ይቀጣል።")</f>
        <v>ሯጩ ከስፖርታዊ ጨዋነት ውጪ በሆነ ባህሪ ይቀጣል።</v>
      </c>
      <c r="K5" s="11" t="str">
        <f>IFERROR(__xludf.DUMMYFUNCTION(" GOOGLETRANSLATE(E5, ""en"", ""am"")"),"ከማቆምዎ በፊት ማክበር በዘር ህጎች ላይ የተመሠረተ የጊዜ ቅጣት ያስከትላል።")</f>
        <v>ከማቆምዎ በፊት ማክበር በዘር ህጎች ላይ የተመሠረተ የጊዜ ቅጣት ያስከትላል።</v>
      </c>
    </row>
    <row r="6" ht="22.5" customHeight="1">
      <c r="A6" s="10">
        <v>5.0</v>
      </c>
      <c r="B6" s="11" t="s">
        <v>1043</v>
      </c>
      <c r="C6" s="11" t="s">
        <v>1044</v>
      </c>
      <c r="D6" s="11" t="s">
        <v>1045</v>
      </c>
      <c r="E6" s="11" t="s">
        <v>1046</v>
      </c>
      <c r="G6" s="11" t="str">
        <f>IFERROR(__xludf.DUMMYFUNCTION(" GOOGLETRANSLATE(A6, ""en"", ""am"")"),"5")</f>
        <v>5</v>
      </c>
      <c r="H6" s="11" t="str">
        <f>IFERROR(__xludf.DUMMYFUNCTION(" GOOGLETRANSLATE(B6, ""en"", ""am"")"),"አንድ ሯጭ ከውድድሩ ውጪ የሆነ ሰው እርዳታ በመቀበል ሲያጭበረብር ይያዛል። ምን ይሆናል?")</f>
        <v>አንድ ሯጭ ከውድድሩ ውጪ የሆነ ሰው እርዳታ በመቀበል ሲያጭበረብር ይያዛል። ምን ይሆናል?</v>
      </c>
      <c r="I6" s="11" t="str">
        <f>IFERROR(__xludf.DUMMYFUNCTION(" GOOGLETRANSLATE(C6, ""en"", ""am"")"),"ሀ. ሯጩ ወዲያውኑ ውድቅ ይሆናል.B. ሯጩ የጊዜ ቅጣት ይሰጠዋል.ሲ. ሯጩ ማስጠንቀቂያ ተሰጥቶታል ነገር ግን እንዲጨርስ ተፈቅዶለታል.ዲ. ውድድሩ ይሰረዛል።")</f>
        <v>ሀ. ሯጩ ወዲያውኑ ውድቅ ይሆናል.B. ሯጩ የጊዜ ቅጣት ይሰጠዋል.ሲ. ሯጩ ማስጠንቀቂያ ተሰጥቶታል ነገር ግን እንዲጨርስ ተፈቅዶለታል.ዲ. ውድድሩ ይሰረዛል።</v>
      </c>
      <c r="J6" s="11" t="str">
        <f>IFERROR(__xludf.DUMMYFUNCTION(" GOOGLETRANSLATE(D6, ""en"", ""am"")"),"ሯጩ ወዲያውኑ ውድቅ ይሆናል.")</f>
        <v>ሯጩ ወዲያውኑ ውድቅ ይሆናል.</v>
      </c>
      <c r="K6" s="11" t="str">
        <f>IFERROR(__xludf.DUMMYFUNCTION(" GOOGLETRANSLATE(E6, ""en"", ""am"")"),"ማጭበርበር ወይም የውጭ እርዳታን መቀበል በራስ ሰር ብቃት ማጣትን ያስከትላል።")</f>
        <v>ማጭበርበር ወይም የውጭ እርዳታን መቀበል በራስ ሰር ብቃት ማጣትን ያስከትላል።</v>
      </c>
    </row>
    <row r="7" ht="22.5" customHeight="1">
      <c r="A7" s="10">
        <v>6.0</v>
      </c>
      <c r="B7" s="11" t="s">
        <v>1047</v>
      </c>
      <c r="C7" s="11" t="s">
        <v>1048</v>
      </c>
      <c r="D7" s="11" t="s">
        <v>1049</v>
      </c>
      <c r="E7" s="11" t="s">
        <v>1050</v>
      </c>
      <c r="G7" s="11" t="str">
        <f>IFERROR(__xludf.DUMMYFUNCTION(" GOOGLETRANSLATE(A7, ""en"", ""am"")"),"6")</f>
        <v>6</v>
      </c>
      <c r="H7" s="11" t="str">
        <f>IFERROR(__xludf.DUMMYFUNCTION(" GOOGLETRANSLATE(B7, ""en"", ""am"")"),"በሩጫ ወቅት አንድ ሯጭ መሰናክልን ይሮጣል ነገር ግን መሮጡን ይቀጥላል። ምን ይሆናል?")</f>
        <v>በሩጫ ወቅት አንድ ሯጭ መሰናክልን ይሮጣል ነገር ግን መሮጡን ይቀጥላል። ምን ይሆናል?</v>
      </c>
      <c r="I7" s="11" t="str">
        <f>IFERROR(__xludf.DUMMYFUNCTION(" GOOGLETRANSLATE(C7, ""en"", ""am"")"),"ሀ. ሯጩ ለመውደቅ ብቁ አይደለም.ቢ. ውድድሩ ይቀጥላል, እና ሯጩ አይቀጣም.ሲ. ሯጩ ማስጠንቀቂያ ተቀብሎ ይቀጥላል.ዲ. ሯጩ ወደ መጀመሪያው መስመር መመለስ አለበት.")</f>
        <v>ሀ. ሯጩ ለመውደቅ ብቁ አይደለም.ቢ. ውድድሩ ይቀጥላል, እና ሯጩ አይቀጣም.ሲ. ሯጩ ማስጠንቀቂያ ተቀብሎ ይቀጥላል.ዲ. ሯጩ ወደ መጀመሪያው መስመር መመለስ አለበት.</v>
      </c>
      <c r="J7" s="11" t="str">
        <f>IFERROR(__xludf.DUMMYFUNCTION(" GOOGLETRANSLATE(D7, ""en"", ""am"")"),"ውድድሩ ይቀጥላል, እና ሯጩ አይቀጣም.")</f>
        <v>ውድድሩ ይቀጥላል, እና ሯጩ አይቀጣም.</v>
      </c>
      <c r="K7" s="11" t="str">
        <f>IFERROR(__xludf.DUMMYFUNCTION(" GOOGLETRANSLATE(E7, ""en"", ""am"")"),"ሯጩ መቀጠል ከቻለ ጥቃቅን መውደቅ ወይም መሰናክሎች ቅጣት አያስከትሉም።")</f>
        <v>ሯጩ መቀጠል ከቻለ ጥቃቅን መውደቅ ወይም መሰናክሎች ቅጣት አያስከትሉም።</v>
      </c>
    </row>
    <row r="8" ht="22.5" customHeight="1">
      <c r="A8" s="10">
        <v>7.0</v>
      </c>
      <c r="B8" s="11" t="s">
        <v>1051</v>
      </c>
      <c r="C8" s="11" t="s">
        <v>1052</v>
      </c>
      <c r="D8" s="11" t="s">
        <v>1053</v>
      </c>
      <c r="E8" s="11" t="s">
        <v>1054</v>
      </c>
      <c r="G8" s="11" t="str">
        <f>IFERROR(__xludf.DUMMYFUNCTION(" GOOGLETRANSLATE(A8, ""en"", ""am"")"),"7")</f>
        <v>7</v>
      </c>
      <c r="H8" s="11" t="str">
        <f>IFERROR(__xludf.DUMMYFUNCTION(" GOOGLETRANSLATE(B8, ""en"", ""am"")"),"ሯጭ ውድድሩን እየመራ ነው ነገርግን ሌላ ሯጭ ለማስደሰት ቆመ። ምን ይሆናል?")</f>
        <v>ሯጭ ውድድሩን እየመራ ነው ነገርግን ሌላ ሯጭ ለማስደሰት ቆመ። ምን ይሆናል?</v>
      </c>
      <c r="I8" s="11" t="str">
        <f>IFERROR(__xludf.DUMMYFUNCTION(" GOOGLETRANSLATE(C8, ""en"", ""am"")"),"ሀ. ሯጩ ለስፖርታዊ ጨዋነት ብቁ አይደለም.ቢ. ሯጩ የጊዜ ቅጣት ይቀበላል ነገር ግን መቀጠል ይችላል.ሲ. ሯጩ እንዲያበረታታ ተፈቅዶለታል ነገር ግን ውድድሩን ወዲያው መቀጠል አለበት.ዲ. ሯጩ ውድድሩን ባለማጠናቀቁ ውድቅ ተደርጓል።")</f>
        <v>ሀ. ሯጩ ለስፖርታዊ ጨዋነት ብቁ አይደለም.ቢ. ሯጩ የጊዜ ቅጣት ይቀበላል ነገር ግን መቀጠል ይችላል.ሲ. ሯጩ እንዲያበረታታ ተፈቅዶለታል ነገር ግን ውድድሩን ወዲያው መቀጠል አለበት.ዲ. ሯጩ ውድድሩን ባለማጠናቀቁ ውድቅ ተደርጓል።</v>
      </c>
      <c r="J8" s="11" t="str">
        <f>IFERROR(__xludf.DUMMYFUNCTION(" GOOGLETRANSLATE(D8, ""en"", ""am"")"),"ሯጩ የጊዜ ቅጣት ይቀበላል ግን መቀጠል ይችላል።")</f>
        <v>ሯጩ የጊዜ ቅጣት ይቀበላል ግን መቀጠል ይችላል።</v>
      </c>
      <c r="K8" s="11" t="str">
        <f>IFERROR(__xludf.DUMMYFUNCTION(" GOOGLETRANSLATE(E8, ""en"", ""am"")"),"ማበረታቻ ይፈቀዳል፣ ነገር ግን ውድድሩን የሚነካ ከሆነ የጊዜ ቅጣትን ሊያስከትል ይችላል።")</f>
        <v>ማበረታቻ ይፈቀዳል፣ ነገር ግን ውድድሩን የሚነካ ከሆነ የጊዜ ቅጣትን ሊያስከትል ይችላል።</v>
      </c>
    </row>
    <row r="9" ht="22.5" customHeight="1">
      <c r="A9" s="10">
        <v>8.0</v>
      </c>
      <c r="B9" s="11" t="s">
        <v>1055</v>
      </c>
      <c r="C9" s="11" t="s">
        <v>1056</v>
      </c>
      <c r="D9" s="11" t="s">
        <v>1057</v>
      </c>
      <c r="E9" s="11" t="s">
        <v>1058</v>
      </c>
      <c r="G9" s="11" t="str">
        <f>IFERROR(__xludf.DUMMYFUNCTION(" GOOGLETRANSLATE(A9, ""en"", ""am"")"),"8")</f>
        <v>8</v>
      </c>
      <c r="H9" s="11" t="str">
        <f>IFERROR(__xludf.DUMMYFUNCTION(" GOOGLETRANSLATE(B9, ""en"", ""am"")"),"አንድ ሯጭ በመጨረሻ ያበቃል ነገር ግን ከቀደምት ሯጮች የበለጠ ፈጣን ጊዜ አለው። ምን ይሆናል?")</f>
        <v>አንድ ሯጭ በመጨረሻ ያበቃል ነገር ግን ከቀደምት ሯጮች የበለጠ ፈጣን ጊዜ አለው። ምን ይሆናል?</v>
      </c>
      <c r="I9" s="11" t="str">
        <f>IFERROR(__xludf.DUMMYFUNCTION(" GOOGLETRANSLATE(C9, ""en"", ""am"")"),"ሀ. ሯጩ ውድድሩን ያሸነፈው ፈጣን ሰአት ስላለው ነው። ሯጩ የመጨረሻውን ጊዜ ለመጨረስ የጊዜ ቅጣት ይቀበላል.ሲ. ውድድሩ በጊዜ ሳይሆን በቦታ ላይ የተመሰረተ ነው.ዲ. የውድድር ውጤቶቹ የሚዘምኑት በጊዜ እንጂ በቦታ አይደለም።")</f>
        <v>ሀ. ሯጩ ውድድሩን ያሸነፈው ፈጣን ሰአት ስላለው ነው። ሯጩ የመጨረሻውን ጊዜ ለመጨረስ የጊዜ ቅጣት ይቀበላል.ሲ. ውድድሩ በጊዜ ሳይሆን በቦታ ላይ የተመሰረተ ነው.ዲ. የውድድር ውጤቶቹ የሚዘምኑት በጊዜ እንጂ በቦታ አይደለም።</v>
      </c>
      <c r="J9" s="11" t="str">
        <f>IFERROR(__xludf.DUMMYFUNCTION(" GOOGLETRANSLATE(D9, ""en"", ""am"")"),"ሯጩ ውድድሩን የሚያሸንፈው ፈጣን ሰዓት ስላለው ነው።")</f>
        <v>ሯጩ ውድድሩን የሚያሸንፈው ፈጣን ሰዓት ስላለው ነው።</v>
      </c>
      <c r="K9" s="11" t="str">
        <f>IFERROR(__xludf.DUMMYFUNCTION(" GOOGLETRANSLATE(E9, ""en"", ""am"")"),"አካባቢ በተለምዶ ቅድሚያ ተሰጥቶታል፣ ነገር ግን ጊዜ በአንዳንድ ቅርጸቶች ደረጃን ሊወስን ይችላል።")</f>
        <v>አካባቢ በተለምዶ ቅድሚያ ተሰጥቶታል፣ ነገር ግን ጊዜ በአንዳንድ ቅርጸቶች ደረጃን ሊወስን ይችላል።</v>
      </c>
    </row>
    <row r="10" ht="22.5" customHeight="1">
      <c r="A10" s="10">
        <v>9.0</v>
      </c>
      <c r="B10" s="11" t="s">
        <v>1059</v>
      </c>
      <c r="C10" s="11" t="s">
        <v>1060</v>
      </c>
      <c r="D10" s="11" t="s">
        <v>1061</v>
      </c>
      <c r="E10" s="11" t="s">
        <v>1062</v>
      </c>
      <c r="G10" s="11" t="str">
        <f>IFERROR(__xludf.DUMMYFUNCTION(" GOOGLETRANSLATE(A10, ""en"", ""am"")"),"9")</f>
        <v>9</v>
      </c>
      <c r="H10" s="11" t="str">
        <f>IFERROR(__xludf.DUMMYFUNCTION(" GOOGLETRANSLATE(B10, ""en"", ""am"")"),"በሩጫ ወቅት አንድ ሯጭ ከቡድን ጓደኛው ጋር ሲሮጥ ይታያል። ምን ይሆናል?")</f>
        <v>በሩጫ ወቅት አንድ ሯጭ ከቡድን ጓደኛው ጋር ሲሮጥ ይታያል። ምን ይሆናል?</v>
      </c>
      <c r="I10" s="11" t="str">
        <f>IFERROR(__xludf.DUMMYFUNCTION(" GOOGLETRANSLATE(C10, ""en"", ""am"")"),"ሀ. ሯጩ ሌላ ሯጭ ለመርዳት ብቁ አይደለም.ቢ. ሯጩ ማስጠንቀቂያ ይቀበላል ነገር ግን መቀጠል ይችላል.ሲ. ሯጩ ለማደግ የጊዜ ቅጣት ይሰጠዋል.ዲ. ሯጩ በተወሰኑ ሩጫዎች ከሌሎች ጋር እንዲራመድ ይፈቀድለታል።")</f>
        <v>ሀ. ሯጩ ሌላ ሯጭ ለመርዳት ብቁ አይደለም.ቢ. ሯጩ ማስጠንቀቂያ ይቀበላል ነገር ግን መቀጠል ይችላል.ሲ. ሯጩ ለማደግ የጊዜ ቅጣት ይሰጠዋል.ዲ. ሯጩ በተወሰኑ ሩጫዎች ከሌሎች ጋር እንዲራመድ ይፈቀድለታል።</v>
      </c>
      <c r="J10" s="11" t="str">
        <f>IFERROR(__xludf.DUMMYFUNCTION(" GOOGLETRANSLATE(D10, ""en"", ""am"")"),"ሯጩ ማስጠንቀቂያ ይቀበላል ግን መቀጠል ይችላል።")</f>
        <v>ሯጩ ማስጠንቀቂያ ይቀበላል ግን መቀጠል ይችላል።</v>
      </c>
      <c r="K10" s="11" t="str">
        <f>IFERROR(__xludf.DUMMYFUNCTION(" GOOGLETRANSLATE(E10, ""en"", ""am"")"),"በውድድሩ ህግ ካልተከለከለ በቀር ከቡድን ጓደኛ ጋር መሮጥ ይፈቀዳል።")</f>
        <v>በውድድሩ ህግ ካልተከለከለ በቀር ከቡድን ጓደኛ ጋር መሮጥ ይፈቀዳል።</v>
      </c>
    </row>
    <row r="11" ht="22.5" customHeight="1">
      <c r="A11" s="10">
        <v>10.0</v>
      </c>
      <c r="B11" s="11" t="s">
        <v>1063</v>
      </c>
      <c r="C11" s="11" t="s">
        <v>1064</v>
      </c>
      <c r="D11" s="11" t="s">
        <v>1045</v>
      </c>
      <c r="E11" s="11" t="s">
        <v>1065</v>
      </c>
      <c r="G11" s="11" t="str">
        <f>IFERROR(__xludf.DUMMYFUNCTION(" GOOGLETRANSLATE(A11, ""en"", ""am"")"),"10")</f>
        <v>10</v>
      </c>
      <c r="H11" s="11" t="str">
        <f>IFERROR(__xludf.DUMMYFUNCTION(" GOOGLETRANSLATE(B11, ""en"", ""am"")"),"አንድ ሯጭ በውድድሩ ውስጥ የማይፈቀዱ መደበኛ ያልሆኑ ጫማዎችን ለብሶ ተይዟል። ምን ይሆናል?")</f>
        <v>አንድ ሯጭ በውድድሩ ውስጥ የማይፈቀዱ መደበኛ ያልሆኑ ጫማዎችን ለብሶ ተይዟል። ምን ይሆናል?</v>
      </c>
      <c r="I11" s="11" t="str">
        <f>IFERROR(__xludf.DUMMYFUNCTION(" GOOGLETRANSLATE(C11, ""en"", ""am"")"),"ሀ. ሯጩ ወዲያውኑ ውድቅ ይሆናል.B. ሯጩ ጫማቸውን የመቀየር እድል ያገኛል.ሲ. ሯጩ እንዲጨርስ ተፈቅዶለታል ነገር ግን በቅጣት.ዲ. ሯጩ ውድድሩን በባዶ እግሩ እንዲያጠናቅቅ ይጠየቃል።")</f>
        <v>ሀ. ሯጩ ወዲያውኑ ውድቅ ይሆናል.B. ሯጩ ጫማቸውን የመቀየር እድል ያገኛል.ሲ. ሯጩ እንዲጨርስ ተፈቅዶለታል ነገር ግን በቅጣት.ዲ. ሯጩ ውድድሩን በባዶ እግሩ እንዲያጠናቅቅ ይጠየቃል።</v>
      </c>
      <c r="J11" s="11" t="str">
        <f>IFERROR(__xludf.DUMMYFUNCTION(" GOOGLETRANSLATE(D11, ""en"", ""am"")"),"ሯጩ ወዲያውኑ ውድቅ ይሆናል.")</f>
        <v>ሯጩ ወዲያውኑ ውድቅ ይሆናል.</v>
      </c>
      <c r="K11" s="11" t="str">
        <f>IFERROR(__xludf.DUMMYFUNCTION(" GOOGLETRANSLATE(E11, ""en"", ""am"")"),"እንደ ጫማ ያሉ ያልተፈቀዱ መሣሪያዎችን መልበስ ውድቅ ያደርገዋል።")</f>
        <v>እንደ ጫማ ያሉ ያልተፈቀዱ መሣሪያዎችን መልበስ ውድቅ ያደርገዋል።</v>
      </c>
    </row>
    <row r="12" ht="22.5" customHeight="1">
      <c r="A12" s="10">
        <v>11.0</v>
      </c>
      <c r="B12" s="11" t="s">
        <v>1066</v>
      </c>
      <c r="C12" s="11" t="s">
        <v>1067</v>
      </c>
      <c r="D12" s="11" t="s">
        <v>1061</v>
      </c>
      <c r="E12" s="11" t="s">
        <v>1068</v>
      </c>
      <c r="G12" s="11" t="str">
        <f>IFERROR(__xludf.DUMMYFUNCTION(" GOOGLETRANSLATE(A12, ""en"", ""am"")"),"11")</f>
        <v>11</v>
      </c>
      <c r="H12" s="11" t="str">
        <f>IFERROR(__xludf.DUMMYFUNCTION(" GOOGLETRANSLATE(B12, ""en"", ""am"")"),"ሯጭ በተመልካች ትኩረቱ ይከፋፈላል እና ፍጥነት ይቀንሳል። ምን ይሆናል?")</f>
        <v>ሯጭ በተመልካች ትኩረቱ ይከፋፈላል እና ፍጥነት ይቀንሳል። ምን ይሆናል?</v>
      </c>
      <c r="I12" s="11" t="str">
        <f>IFERROR(__xludf.DUMMYFUNCTION(" GOOGLETRANSLATE(C12, ""en"", ""am"")"),"ሀ. ሯጩ ውድቅ ተደርጓል.ቢ. ሯጩ ማስጠንቀቂያ ይቀበላል ነገር ግን መቀጠል ይችላል.ሲ. ሯጩ የጊዜ ቅጣት ይቀበላል.ዲ. ሯጩ ያለ ምንም ቅጣት ይቀጥላል።")</f>
        <v>ሀ. ሯጩ ውድቅ ተደርጓል.ቢ. ሯጩ ማስጠንቀቂያ ይቀበላል ነገር ግን መቀጠል ይችላል.ሲ. ሯጩ የጊዜ ቅጣት ይቀበላል.ዲ. ሯጩ ያለ ምንም ቅጣት ይቀጥላል።</v>
      </c>
      <c r="J12" s="11" t="str">
        <f>IFERROR(__xludf.DUMMYFUNCTION(" GOOGLETRANSLATE(D12, ""en"", ""am"")"),"ሯጩ ማስጠንቀቂያ ይቀበላል ግን መቀጠል ይችላል።")</f>
        <v>ሯጩ ማስጠንቀቂያ ይቀበላል ግን መቀጠል ይችላል።</v>
      </c>
      <c r="K12" s="11" t="str">
        <f>IFERROR(__xludf.DUMMYFUNCTION(" GOOGLETRANSLATE(E12, ""en"", ""am"")"),"ውድድሩን በቀጥታ የሚነኩ ካልሆኑ በስተቀር ትኩረት የሚስቡ ነገሮች በአብዛኛው አይቀጡም።")</f>
        <v>ውድድሩን በቀጥታ የሚነኩ ካልሆኑ በስተቀር ትኩረት የሚስቡ ነገሮች በአብዛኛው አይቀጡም።</v>
      </c>
    </row>
    <row r="13" ht="22.5" customHeight="1">
      <c r="A13" s="10">
        <v>12.0</v>
      </c>
      <c r="B13" s="11" t="s">
        <v>1069</v>
      </c>
      <c r="C13" s="11" t="s">
        <v>1070</v>
      </c>
      <c r="D13" s="11" t="s">
        <v>1071</v>
      </c>
      <c r="E13" s="11" t="s">
        <v>1072</v>
      </c>
      <c r="G13" s="11" t="str">
        <f>IFERROR(__xludf.DUMMYFUNCTION(" GOOGLETRANSLATE(A13, ""en"", ""am"")"),"12")</f>
        <v>12</v>
      </c>
      <c r="H13" s="11" t="str">
        <f>IFERROR(__xludf.DUMMYFUNCTION(" GOOGLETRANSLATE(B13, ""en"", ""am"")"),"የሯጩ እግር የመነሻ መስመሩን ቀደም ብሎ ያቋርጣል, ነገር ግን ምንም ጥቅም አያገኙም. ምን ይሆናል?")</f>
        <v>የሯጩ እግር የመነሻ መስመሩን ቀደም ብሎ ያቋርጣል, ነገር ግን ምንም ጥቅም አያገኙም. ምን ይሆናል?</v>
      </c>
      <c r="I13" s="11" t="str">
        <f>IFERROR(__xludf.DUMMYFUNCTION(" GOOGLETRANSLATE(C13, ""en"", ""am"")"),"ሀ. ሯጩ በውሸት ጅምር ለመጀመር ብቁ አይደለም.ቢ. ሯጩ ማስጠንቀቂያ ተሰጥቶት እንዲቀጥል ተፈቅዶለታል። ውድድሩ ወዲያው ይቀጥላል.ዲ. ሯጩ ያለምንም ቅጣት ይቀጥላል።")</f>
        <v>ሀ. ሯጩ በውሸት ጅምር ለመጀመር ብቁ አይደለም.ቢ. ሯጩ ማስጠንቀቂያ ተሰጥቶት እንዲቀጥል ተፈቅዶለታል። ውድድሩ ወዲያው ይቀጥላል.ዲ. ሯጩ ያለምንም ቅጣት ይቀጥላል።</v>
      </c>
      <c r="J13" s="11" t="str">
        <f>IFERROR(__xludf.DUMMYFUNCTION(" GOOGLETRANSLATE(D13, ""en"", ""am"")"),"ሯጩ ማስጠንቀቂያ ተሰጥቶት እንዲቀጥል ተፈቀደለት።")</f>
        <v>ሯጩ ማስጠንቀቂያ ተሰጥቶት እንዲቀጥል ተፈቀደለት።</v>
      </c>
      <c r="K13" s="11" t="str">
        <f>IFERROR(__xludf.DUMMYFUNCTION(" GOOGLETRANSLATE(E13, ""en"", ""am"")"),"የውሸት ጅምር ካልተደጋገመ በስተቀር ማስጠንቀቂያን ያስከትላል።")</f>
        <v>የውሸት ጅምር ካልተደጋገመ በስተቀር ማስጠንቀቂያን ያስከትላል።</v>
      </c>
    </row>
    <row r="14" ht="22.5" customHeight="1">
      <c r="A14" s="10">
        <v>13.0</v>
      </c>
      <c r="B14" s="11" t="s">
        <v>1073</v>
      </c>
      <c r="C14" s="11" t="s">
        <v>1074</v>
      </c>
      <c r="D14" s="11" t="s">
        <v>1075</v>
      </c>
      <c r="E14" s="11" t="s">
        <v>1076</v>
      </c>
      <c r="G14" s="11" t="str">
        <f>IFERROR(__xludf.DUMMYFUNCTION(" GOOGLETRANSLATE(A14, ""en"", ""am"")"),"13")</f>
        <v>13</v>
      </c>
      <c r="H14" s="11" t="str">
        <f>IFERROR(__xludf.DUMMYFUNCTION(" GOOGLETRANSLATE(B14, ""en"", ""am"")"),"አንድ ሯጭ ወደ ኋላ እየተከተለ ነው ነገር ግን በመጨረሻው ርቀት በሌላ ተፎካካሪ አልፏል። ምን ይሆናል?")</f>
        <v>አንድ ሯጭ ወደ ኋላ እየተከተለ ነው ነገር ግን በመጨረሻው ርቀት በሌላ ተፎካካሪ አልፏል። ምን ይሆናል?</v>
      </c>
      <c r="I14" s="11" t="str">
        <f>IFERROR(__xludf.DUMMYFUNCTION(" GOOGLETRANSLATE(C14, ""en"", ""am"")"),"ሀ. ሯጩ ለማለፍ ብቁ አይደለም ለ. ሯጩ ያለምንም ቅጣት እንዲቀጥል ተፈቅዶለታል.ሲ. ሯጩ በማለፉ ቅጣት ይቀበላል.ዲ. ሯጩ ወደ መጀመሪያው እንዲመለስ ይጠየቃል።")</f>
        <v>ሀ. ሯጩ ለማለፍ ብቁ አይደለም ለ. ሯጩ ያለምንም ቅጣት እንዲቀጥል ተፈቅዶለታል.ሲ. ሯጩ በማለፉ ቅጣት ይቀበላል.ዲ. ሯጩ ወደ መጀመሪያው እንዲመለስ ይጠየቃል።</v>
      </c>
      <c r="J14" s="11" t="str">
        <f>IFERROR(__xludf.DUMMYFUNCTION(" GOOGLETRANSLATE(D14, ""en"", ""am"")"),"ሯጩ ያለምንም ቅጣት እንዲቀጥል ተፈቅዶለታል።")</f>
        <v>ሯጩ ያለምንም ቅጣት እንዲቀጥል ተፈቅዶለታል።</v>
      </c>
      <c r="K14" s="11" t="str">
        <f>IFERROR(__xludf.DUMMYFUNCTION(" GOOGLETRANSLATE(E14, ""en"", ""am"")"),"የተለየ የዘር ሕጎች እስካልተገኙ ድረስ ማለፍ ይፈቀዳል።")</f>
        <v>የተለየ የዘር ሕጎች እስካልተገኙ ድረስ ማለፍ ይፈቀዳል።</v>
      </c>
    </row>
    <row r="15" ht="22.5" customHeight="1">
      <c r="A15" s="10">
        <v>14.0</v>
      </c>
      <c r="B15" s="11" t="s">
        <v>1077</v>
      </c>
      <c r="C15" s="11" t="s">
        <v>1078</v>
      </c>
      <c r="D15" s="11" t="s">
        <v>1079</v>
      </c>
      <c r="E15" s="11" t="s">
        <v>1080</v>
      </c>
      <c r="G15" s="11" t="str">
        <f>IFERROR(__xludf.DUMMYFUNCTION(" GOOGLETRANSLATE(A15, ""en"", ""am"")"),"14")</f>
        <v>14</v>
      </c>
      <c r="H15" s="11" t="str">
        <f>IFERROR(__xludf.DUMMYFUNCTION(" GOOGLETRANSLATE(B15, ""en"", ""am"")"),"ሯጭ በሩጫ ወቅት ይወድቃል ነገር ግን ተነስቶ ይቀጥላል። ምን ይሆናል?")</f>
        <v>ሯጭ በሩጫ ወቅት ይወድቃል ነገር ግን ተነስቶ ይቀጥላል። ምን ይሆናል?</v>
      </c>
      <c r="I15" s="11" t="str">
        <f>IFERROR(__xludf.DUMMYFUNCTION(" GOOGLETRANSLATE(C15, ""en"", ""am"")"),"ሀ. ሯጩ ለመውደቅ ብቁ አይደለም.ቢ. ሯጩ ያለምንም ቅጣት ይቀጥላል.ሲ. ሯጩ ለወደቀበት ጊዜ ቅጣት ይቀበላል.ዲ. ሯጩ ውድድሩን እንደገና መጀመር አለበት።")</f>
        <v>ሀ. ሯጩ ለመውደቅ ብቁ አይደለም.ቢ. ሯጩ ያለምንም ቅጣት ይቀጥላል.ሲ. ሯጩ ለወደቀበት ጊዜ ቅጣት ይቀበላል.ዲ. ሯጩ ውድድሩን እንደገና መጀመር አለበት።</v>
      </c>
      <c r="J15" s="11" t="str">
        <f>IFERROR(__xludf.DUMMYFUNCTION(" GOOGLETRANSLATE(D15, ""en"", ""am"")"),"ሯጩ ያለምንም ቅጣት ይቀጥላል።")</f>
        <v>ሯጩ ያለምንም ቅጣት ይቀጥላል።</v>
      </c>
      <c r="K15" s="11" t="str">
        <f>IFERROR(__xludf.DUMMYFUNCTION(" GOOGLETRANSLATE(E15, ""en"", ""am"")"),"ሯጩ ውድድሩን ከቀጠለ ትንንሽ መውደቅ አብዛኛውን ጊዜ አይቀጣም።")</f>
        <v>ሯጩ ውድድሩን ከቀጠለ ትንንሽ መውደቅ አብዛኛውን ጊዜ አይቀጣም።</v>
      </c>
    </row>
    <row r="16" ht="22.5" customHeight="1">
      <c r="A16" s="10">
        <v>15.0</v>
      </c>
      <c r="B16" s="11" t="s">
        <v>1081</v>
      </c>
      <c r="C16" s="11" t="s">
        <v>1082</v>
      </c>
      <c r="D16" s="11" t="s">
        <v>1083</v>
      </c>
      <c r="E16" s="11" t="s">
        <v>1084</v>
      </c>
      <c r="G16" s="11" t="str">
        <f>IFERROR(__xludf.DUMMYFUNCTION(" GOOGLETRANSLATE(A16, ""en"", ""am"")"),"15")</f>
        <v>15</v>
      </c>
      <c r="H16" s="11" t="str">
        <f>IFERROR(__xludf.DUMMYFUNCTION(" GOOGLETRANSLATE(B16, ""en"", ""am"")"),"ሯጭ በውድድር አጋማሽ ውሃ ለመጠጣት ይቆማል። ምን ይሆናል?")</f>
        <v>ሯጭ በውድድር አጋማሽ ውሃ ለመጠጣት ይቆማል። ምን ይሆናል?</v>
      </c>
      <c r="I16" s="11" t="str">
        <f>IFERROR(__xludf.DUMMYFUNCTION(" GOOGLETRANSLATE(C16, ""en"", ""am"")"),"ሀ. ሯጩ ለማቆም ብቁ አይደለም.ቢ. ሯጭ ማቆም እና ያለ ቅጣት መቀጠል ይችላል.ሲ. ሯጩ ለማቆም የጊዜ ቅጣት ይቀበላል.ዲ. ሯጩ ማቆም ይችላል, ግን ለተወሰነ ጊዜ ብቻ ነው.")</f>
        <v>ሀ. ሯጩ ለማቆም ብቁ አይደለም.ቢ. ሯጭ ማቆም እና ያለ ቅጣት መቀጠል ይችላል.ሲ. ሯጩ ለማቆም የጊዜ ቅጣት ይቀበላል.ዲ. ሯጩ ማቆም ይችላል, ግን ለተወሰነ ጊዜ ብቻ ነው.</v>
      </c>
      <c r="J16" s="11" t="str">
        <f>IFERROR(__xludf.DUMMYFUNCTION(" GOOGLETRANSLATE(D16, ""en"", ""am"")"),"ሯጭ ማቆም እና ያለ ቅጣት መቀጠል ይችላል.")</f>
        <v>ሯጭ ማቆም እና ያለ ቅጣት መቀጠል ይችላል.</v>
      </c>
      <c r="K16" s="11" t="str">
        <f>IFERROR(__xludf.DUMMYFUNCTION(" GOOGLETRANSLATE(E16, ""en"", ""am"")"),"በሌላ መልኩ ካልተገደበ በስተቀር በተመረጡ ቦታዎች ላይ መኪና ማቆም ይፈቀዳል።")</f>
        <v>በሌላ መልኩ ካልተገደበ በስተቀር በተመረጡ ቦታዎች ላይ መኪና ማቆም ይፈቀዳል።</v>
      </c>
    </row>
    <row r="17" ht="22.5" customHeight="1">
      <c r="A17" s="10">
        <v>16.0</v>
      </c>
      <c r="B17" s="11" t="s">
        <v>1085</v>
      </c>
      <c r="C17" s="11" t="s">
        <v>1086</v>
      </c>
      <c r="D17" s="11" t="s">
        <v>1087</v>
      </c>
      <c r="E17" s="11" t="s">
        <v>1088</v>
      </c>
      <c r="G17" s="11" t="str">
        <f>IFERROR(__xludf.DUMMYFUNCTION(" GOOGLETRANSLATE(A17, ""en"", ""am"")"),"16")</f>
        <v>16</v>
      </c>
      <c r="H17" s="11" t="str">
        <f>IFERROR(__xludf.DUMMYFUNCTION(" GOOGLETRANSLATE(B17, ""en"", ""am"")"),"አንድ ሯጭ የፍተሻ ነጥብ ያልፋል ግን ጊዜውን መዝግቦ ይረሳል። ምን ይሆናል?")</f>
        <v>አንድ ሯጭ የፍተሻ ነጥብ ያልፋል ግን ጊዜውን መዝግቦ ይረሳል። ምን ይሆናል?</v>
      </c>
      <c r="I17" s="11" t="str">
        <f>IFERROR(__xludf.DUMMYFUNCTION(" GOOGLETRANSLATE(C17, ""en"", ""am"")"),"ሀ. ሯጩ ውድቅ ተደርጓል.ቢ. ሯጩ ሊቀጥል እና አሁንም ሊጨርስ ይችላል.ሲ. ሯጩ የጊዜ ቅጣት ይሰጠዋል.ዲ. ሯጩ ወደ ፍተሻ ቦታው እንዲመለስ ይጠየቃል።")</f>
        <v>ሀ. ሯጩ ውድቅ ተደርጓል.ቢ. ሯጩ ሊቀጥል እና አሁንም ሊጨርስ ይችላል.ሲ. ሯጩ የጊዜ ቅጣት ይሰጠዋል.ዲ. ሯጩ ወደ ፍተሻ ቦታው እንዲመለስ ይጠየቃል።</v>
      </c>
      <c r="J17" s="11" t="str">
        <f>IFERROR(__xludf.DUMMYFUNCTION(" GOOGLETRANSLATE(D17, ""en"", ""am"")"),"ሯጩ ውድቅ ተደረገ።")</f>
        <v>ሯጩ ውድቅ ተደረገ።</v>
      </c>
      <c r="K17" s="11" t="str">
        <f>IFERROR(__xludf.DUMMYFUNCTION(" GOOGLETRANSLATE(E17, ""en"", ""am"")"),"የፍተሻ ነጥቦችን መዝለል ካልተስተካከለ በስተቀር ውድቅ ያደርገዋል።")</f>
        <v>የፍተሻ ነጥቦችን መዝለል ካልተስተካከለ በስተቀር ውድቅ ያደርገዋል።</v>
      </c>
    </row>
    <row r="18" ht="22.5" customHeight="1">
      <c r="A18" s="10">
        <v>17.0</v>
      </c>
      <c r="B18" s="11" t="s">
        <v>1089</v>
      </c>
      <c r="C18" s="11" t="s">
        <v>1090</v>
      </c>
      <c r="D18" s="11" t="s">
        <v>1091</v>
      </c>
      <c r="E18" s="11" t="s">
        <v>1092</v>
      </c>
      <c r="G18" s="11" t="str">
        <f>IFERROR(__xludf.DUMMYFUNCTION(" GOOGLETRANSLATE(A18, ""en"", ""am"")"),"17")</f>
        <v>17</v>
      </c>
      <c r="H18" s="11" t="str">
        <f>IFERROR(__xludf.DUMMYFUNCTION(" GOOGLETRANSLATE(B18, ""en"", ""am"")"),"ሯጭ በሩጫ ወቅት ከሌላ ተፎካካሪ እርዳታ ይቀበላል። ምን ይሆናል?")</f>
        <v>ሯጭ በሩጫ ወቅት ከሌላ ተፎካካሪ እርዳታ ይቀበላል። ምን ይሆናል?</v>
      </c>
      <c r="I18" s="11" t="str">
        <f>IFERROR(__xludf.DUMMYFUNCTION(" GOOGLETRANSLATE(C18, ""en"", ""am"")"),"ሀ. ሯጩ ለውጭ እርዳታ ብቁ አይደለም.ቢ. ሯጩ ማስጠንቀቂያ ቢሰጠውም ይቀጥላል.ሲ. ሯጩ የጊዜ ቅጣት ይቀበላል.ዲ. ሯጩ ወደ መጀመሪያው መመለስ አለበት.")</f>
        <v>ሀ. ሯጩ ለውጭ እርዳታ ብቁ አይደለም.ቢ. ሯጩ ማስጠንቀቂያ ቢሰጠውም ይቀጥላል.ሲ. ሯጩ የጊዜ ቅጣት ይቀበላል.ዲ. ሯጩ ወደ መጀመሪያው መመለስ አለበት.</v>
      </c>
      <c r="J18" s="11" t="str">
        <f>IFERROR(__xludf.DUMMYFUNCTION(" GOOGLETRANSLATE(D18, ""en"", ""am"")"),"ሯጩ ለውጭ እርዳታ ብቁ አይደለም።")</f>
        <v>ሯጩ ለውጭ እርዳታ ብቁ አይደለም።</v>
      </c>
      <c r="K18" s="11" t="str">
        <f>IFERROR(__xludf.DUMMYFUNCTION(" GOOGLETRANSLATE(E18, ""en"", ""am"")"),"የውጭ እርዳታን መቀበል በአብዛኛዎቹ ዘሮች ውስጥ ብቁ እንዳይሆን ያደርጋል።")</f>
        <v>የውጭ እርዳታን መቀበል በአብዛኛዎቹ ዘሮች ውስጥ ብቁ እንዳይሆን ያደርጋል።</v>
      </c>
    </row>
    <row r="19" ht="22.5" customHeight="1">
      <c r="A19" s="10">
        <v>18.0</v>
      </c>
      <c r="B19" s="11" t="s">
        <v>1093</v>
      </c>
      <c r="C19" s="11" t="s">
        <v>1094</v>
      </c>
      <c r="D19" s="11" t="s">
        <v>1095</v>
      </c>
      <c r="E19" s="11" t="s">
        <v>1096</v>
      </c>
      <c r="G19" s="11" t="str">
        <f>IFERROR(__xludf.DUMMYFUNCTION(" GOOGLETRANSLATE(A19, ""en"", ""am"")"),"18")</f>
        <v>18</v>
      </c>
      <c r="H19" s="11" t="str">
        <f>IFERROR(__xludf.DUMMYFUNCTION(" GOOGLETRANSLATE(B19, ""en"", ""am"")"),"አንድ ሯጭ መጀመሪያ ያጠናቅቃል ነገር ግን ያልተፈቀዱ መሳሪያዎችን ለብሶ ተገኝቷል። ምን ይሆናል?")</f>
        <v>አንድ ሯጭ መጀመሪያ ያጠናቅቃል ነገር ግን ያልተፈቀዱ መሳሪያዎችን ለብሶ ተገኝቷል። ምን ይሆናል?</v>
      </c>
      <c r="I19" s="11" t="str">
        <f>IFERROR(__xludf.DUMMYFUNCTION(" GOOGLETRANSLATE(C19, ""en"", ""am"")"),"ሀ. ሯጩ ውድቅ ሆኗል እና አያሸንፍም.ቢ. ሯጩ ቦታውን በማስጠንቀቂያ እንዲይዝ ይፈቀድለታል.ሲ. ሯጩ የጊዜ ቅጣት ይቀበላል ነገር ግን ቦታውን ይጠብቃል.ዲ. ሯጩ ውድድሩን እንደገና መጀመር አለበት።")</f>
        <v>ሀ. ሯጩ ውድቅ ሆኗል እና አያሸንፍም.ቢ. ሯጩ ቦታውን በማስጠንቀቂያ እንዲይዝ ይፈቀድለታል.ሲ. ሯጩ የጊዜ ቅጣት ይቀበላል ነገር ግን ቦታውን ይጠብቃል.ዲ. ሯጩ ውድድሩን እንደገና መጀመር አለበት።</v>
      </c>
      <c r="J19" s="11" t="str">
        <f>IFERROR(__xludf.DUMMYFUNCTION(" GOOGLETRANSLATE(D19, ""en"", ""am"")"),"ሯጩ ውድቅ ነው እና አያሸንፍም።")</f>
        <v>ሯጩ ውድቅ ነው እና አያሸንፍም።</v>
      </c>
      <c r="K19" s="11" t="str">
        <f>IFERROR(__xludf.DUMMYFUNCTION(" GOOGLETRANSLATE(E19, ""en"", ""am"")"),"ያልተፈቀዱ መሳሪያዎች ብቁ አለመሆንን ሊያስከትሉ ይችላሉ.")</f>
        <v>ያልተፈቀዱ መሳሪያዎች ብቁ አለመሆንን ሊያስከትሉ ይችላሉ.</v>
      </c>
    </row>
    <row r="20" ht="22.5" customHeight="1">
      <c r="A20" s="10">
        <v>19.0</v>
      </c>
      <c r="B20" s="11" t="s">
        <v>1097</v>
      </c>
      <c r="C20" s="11" t="s">
        <v>1098</v>
      </c>
      <c r="D20" s="11" t="s">
        <v>1099</v>
      </c>
      <c r="E20" s="11" t="s">
        <v>1100</v>
      </c>
      <c r="G20" s="11" t="str">
        <f>IFERROR(__xludf.DUMMYFUNCTION(" GOOGLETRANSLATE(A20, ""en"", ""am"")"),"19")</f>
        <v>19</v>
      </c>
      <c r="H20" s="11" t="str">
        <f>IFERROR(__xludf.DUMMYFUNCTION(" GOOGLETRANSLATE(B20, ""en"", ""am"")"),"አንድ ሯጭ በሩጫ ወቅት ቁርጭምጭሚቱ ቢወጠርም መሮጡን ቀጥሏል። ምን ይሆናል?")</f>
        <v>አንድ ሯጭ በሩጫ ወቅት ቁርጭምጭሚቱ ቢወጠርም መሮጡን ቀጥሏል። ምን ይሆናል?</v>
      </c>
      <c r="I20" s="11" t="str">
        <f>IFERROR(__xludf.DUMMYFUNCTION(" GOOGLETRANSLATE(C20, ""en"", ""am"")"),"ሀ. ሯጩ ለጉዳት ብቁ አይደለም.ቢ. ሯጩ ውድድሩን ሊጨርስ ይችላል ነገር ግን ባለመቆሙ ምክንያት ውድቅ ሊደረግበት ይችላል። አንድ ሯጭ ለቀጣይ የጉዳት ጊዜ ቅጣት ይቀበላል.ዲ. ሯጩ ቆም ብሎ የሕክምና ክትትል እንዲያደርግ ይመከራል.")</f>
        <v>ሀ. ሯጩ ለጉዳት ብቁ አይደለም.ቢ. ሯጩ ውድድሩን ሊጨርስ ይችላል ነገር ግን ባለመቆሙ ምክንያት ውድቅ ሊደረግበት ይችላል። አንድ ሯጭ ለቀጣይ የጉዳት ጊዜ ቅጣት ይቀበላል.ዲ. ሯጩ ቆም ብሎ የሕክምና ክትትል እንዲያደርግ ይመከራል.</v>
      </c>
      <c r="J20" s="11" t="str">
        <f>IFERROR(__xludf.DUMMYFUNCTION(" GOOGLETRANSLATE(D20, ""en"", ""am"")"),"ሯጩ ውድድሩን ሊጨርስ ይችላል ነገር ግን ባለማቋረጥ ከውድድሩ ሊሰናከል ይችላል።")</f>
        <v>ሯጩ ውድድሩን ሊጨርስ ይችላል ነገር ግን ባለማቋረጥ ከውድድሩ ሊሰናከል ይችላል።</v>
      </c>
      <c r="K20" s="11" t="str">
        <f>IFERROR(__xludf.DUMMYFUNCTION(" GOOGLETRANSLATE(E20, ""en"", ""am"")"),"የተጎዱ ሯጮች አብዛኛውን ጊዜ እንዲጨርሱ ይፈቀድላቸዋል፣ ነገር ግን ጤናቸው አደጋ ላይ ከሆነ ከውድድሩ ሊወገዱ ይችላሉ።")</f>
        <v>የተጎዱ ሯጮች አብዛኛውን ጊዜ እንዲጨርሱ ይፈቀድላቸዋል፣ ነገር ግን ጤናቸው አደጋ ላይ ከሆነ ከውድድሩ ሊወገዱ ይችላሉ።</v>
      </c>
    </row>
    <row r="21" ht="22.5" customHeight="1">
      <c r="A21" s="10">
        <v>20.0</v>
      </c>
      <c r="B21" s="11" t="s">
        <v>1101</v>
      </c>
      <c r="C21" s="11" t="s">
        <v>1102</v>
      </c>
      <c r="D21" s="11" t="s">
        <v>1087</v>
      </c>
      <c r="E21" s="11" t="s">
        <v>1103</v>
      </c>
      <c r="G21" s="11" t="str">
        <f>IFERROR(__xludf.DUMMYFUNCTION(" GOOGLETRANSLATE(A21, ""en"", ""am"")"),"20")</f>
        <v>20</v>
      </c>
      <c r="H21" s="11" t="str">
        <f>IFERROR(__xludf.DUMMYFUNCTION(" GOOGLETRANSLATE(B21, ""en"", ""am"")"),"ሯጭ ውድድሩን ጨርሷል ነገር ግን ከተሳሳተ ቦታ ጀምሯል ተብሎ ተከሷል። ምን ይሆናል?")</f>
        <v>ሯጭ ውድድሩን ጨርሷል ነገር ግን ከተሳሳተ ቦታ ጀምሯል ተብሎ ተከሷል። ምን ይሆናል?</v>
      </c>
      <c r="I21" s="11" t="str">
        <f>IFERROR(__xludf.DUMMYFUNCTION(" GOOGLETRANSLATE(C21, ""en"", ""am"")"),"ሀ. ሯጩ ውድቅ ተደርጓል.ቢ. ሯጩ ቦታውን በጊዜ ቅጣት እንዲይዝ ይፈቀድለታል.ሲ. ሯጩ ብቁ አይደለም ነገር ግን አሁንም ሜዳሊያ ያገኛል.ዲ. የውድድር ውጤቱ ዋጋ የለውም.")</f>
        <v>ሀ. ሯጩ ውድቅ ተደርጓል.ቢ. ሯጩ ቦታውን በጊዜ ቅጣት እንዲይዝ ይፈቀድለታል.ሲ. ሯጩ ብቁ አይደለም ነገር ግን አሁንም ሜዳሊያ ያገኛል.ዲ. የውድድር ውጤቱ ዋጋ የለውም.</v>
      </c>
      <c r="J21" s="11" t="str">
        <f>IFERROR(__xludf.DUMMYFUNCTION(" GOOGLETRANSLATE(D21, ""en"", ""am"")"),"ሯጩ ውድቅ ተደረገ።")</f>
        <v>ሯጩ ውድቅ ተደረገ።</v>
      </c>
      <c r="K21" s="11" t="str">
        <f>IFERROR(__xludf.DUMMYFUNCTION(" GOOGLETRANSLATE(E21, ""en"", ""am"")"),"ከተሳሳተ ቦታ መጀመር ወደ አለመቻል ይመራል.")</f>
        <v>ከተሳሳተ ቦታ መጀመር ወደ አለመቻል ይመራል.</v>
      </c>
    </row>
    <row r="22" ht="22.5" customHeight="1">
      <c r="A22" s="10">
        <v>21.0</v>
      </c>
      <c r="B22" s="11" t="s">
        <v>1104</v>
      </c>
      <c r="C22" s="11" t="s">
        <v>1105</v>
      </c>
      <c r="D22" s="11" t="s">
        <v>1106</v>
      </c>
      <c r="E22" s="11" t="s">
        <v>1107</v>
      </c>
      <c r="G22" s="11" t="str">
        <f>IFERROR(__xludf.DUMMYFUNCTION(" GOOGLETRANSLATE(A22, ""en"", ""am"")"),"21")</f>
        <v>21</v>
      </c>
      <c r="H22" s="11" t="str">
        <f>IFERROR(__xludf.DUMMYFUNCTION(" GOOGLETRANSLATE(B22, ""en"", ""am"")"),"ሯጭ ደንቡን ጥሶ ውድድሩን አጋማሽ ላይ እንዳለ ይነገራል። ምን ይሆናል?")</f>
        <v>ሯጭ ደንቡን ጥሶ ውድድሩን አጋማሽ ላይ እንዳለ ይነገራል። ምን ይሆናል?</v>
      </c>
      <c r="I22" s="11" t="str">
        <f>IFERROR(__xludf.DUMMYFUNCTION(" GOOGLETRANSLATE(C22, ""en"", ""am"")"),"ሀ. ሯጩ ወዲያውኑ ውድቅ ይሆናል.B. ሯጩ የጊዜ ቅጣት ይቀበላል እና ይቀጥላል.ሲ. ሯጩ ማስጠንቀቂያ ተሰጥቶት እንዲጨርስ ተፈቀደለት.ዲ. ለመፈተሽ ውድድሩ ቆሟል።")</f>
        <v>ሀ. ሯጩ ወዲያውኑ ውድቅ ይሆናል.B. ሯጩ የጊዜ ቅጣት ይቀበላል እና ይቀጥላል.ሲ. ሯጩ ማስጠንቀቂያ ተሰጥቶት እንዲጨርስ ተፈቀደለት.ዲ. ለመፈተሽ ውድድሩ ቆሟል።</v>
      </c>
      <c r="J22" s="11" t="str">
        <f>IFERROR(__xludf.DUMMYFUNCTION(" GOOGLETRANSLATE(D22, ""en"", ""am"")"),"ሯጩ የጊዜ ቅጣት ተቀብሎ ይቀጥላል።")</f>
        <v>ሯጩ የጊዜ ቅጣት ተቀብሎ ይቀጥላል።</v>
      </c>
      <c r="K22" s="11" t="str">
        <f>IFERROR(__xludf.DUMMYFUNCTION(" GOOGLETRANSLATE(E22, ""en"", ""am"")"),"የመካከለኛው ዘር ህግን መጣስ አብዛኛውን ጊዜ ቅጣትን ወይም ውድቅ ማድረግን ያስከትላል።")</f>
        <v>የመካከለኛው ዘር ህግን መጣስ አብዛኛውን ጊዜ ቅጣትን ወይም ውድቅ ማድረግን ያስከትላል።</v>
      </c>
    </row>
    <row r="23" ht="22.5" customHeight="1">
      <c r="A23" s="10">
        <v>22.0</v>
      </c>
      <c r="B23" s="11" t="s">
        <v>1108</v>
      </c>
      <c r="C23" s="11" t="s">
        <v>1109</v>
      </c>
      <c r="D23" s="11" t="s">
        <v>1110</v>
      </c>
      <c r="E23" s="11" t="s">
        <v>1111</v>
      </c>
      <c r="G23" s="11" t="str">
        <f>IFERROR(__xludf.DUMMYFUNCTION(" GOOGLETRANSLATE(A23, ""en"", ""am"")"),"22")</f>
        <v>22</v>
      </c>
      <c r="H23" s="11" t="str">
        <f>IFERROR(__xludf.DUMMYFUNCTION(" GOOGLETRANSLATE(B23, ""en"", ""am"")"),"አንድ ሯጭ በመንገድ ላይ ሊከሰት ስለሚችል አደጋ ፍጥነት እንዲቀንስ በአንድ መኮንን ተነግሮታል። ምን ይሆናል?")</f>
        <v>አንድ ሯጭ በመንገድ ላይ ሊከሰት ስለሚችል አደጋ ፍጥነት እንዲቀንስ በአንድ መኮንን ተነግሮታል። ምን ይሆናል?</v>
      </c>
      <c r="I23" s="11" t="str">
        <f>IFERROR(__xludf.DUMMYFUNCTION(" GOOGLETRANSLATE(C23, ""en"", ""am"")"),"ሀ. ሯጩ ፍጥነቱን በመቀነሱ ይቀጣል.ቢ. ሯጩ ለደህንነት ሲባል ፍጥነት መቀነስ አለበት ነገር ግን መቀጠል ይችላል.ሲ. አደጋው እስኪጸዳ ድረስ ሯጩ ሙሉ በሙሉ መቆም አለበት.ዲ. ሯጩ የባለሥልጣኑን መመሪያ ባለመከተል ብቁ አይደለም።")</f>
        <v>ሀ. ሯጩ ፍጥነቱን በመቀነሱ ይቀጣል.ቢ. ሯጩ ለደህንነት ሲባል ፍጥነት መቀነስ አለበት ነገር ግን መቀጠል ይችላል.ሲ. አደጋው እስኪጸዳ ድረስ ሯጩ ሙሉ በሙሉ መቆም አለበት.ዲ. ሯጩ የባለሥልጣኑን መመሪያ ባለመከተል ብቁ አይደለም።</v>
      </c>
      <c r="J23" s="11" t="str">
        <f>IFERROR(__xludf.DUMMYFUNCTION(" GOOGLETRANSLATE(D23, ""en"", ""am"")"),"ለደህንነት ሲባል ሯጩ ፍጥነት መቀነስ አለበት ግን መቀጠል ይችላል።")</f>
        <v>ለደህንነት ሲባል ሯጩ ፍጥነት መቀነስ አለበት ግን መቀጠል ይችላል።</v>
      </c>
      <c r="K23" s="11" t="str">
        <f>IFERROR(__xludf.DUMMYFUNCTION(" GOOGLETRANSLATE(E23, ""en"", ""am"")"),"የደህንነት ጥንቃቄዎች ብዙ ጊዜ መቀዛቀዝ ያስፈልጋቸዋል፣ ያለ ቅጣት።")</f>
        <v>የደህንነት ጥንቃቄዎች ብዙ ጊዜ መቀዛቀዝ ያስፈልጋቸዋል፣ ያለ ቅጣት።</v>
      </c>
    </row>
    <row r="24" ht="22.5" customHeight="1">
      <c r="A24" s="10">
        <v>23.0</v>
      </c>
      <c r="B24" s="11" t="s">
        <v>1112</v>
      </c>
      <c r="C24" s="11" t="s">
        <v>1113</v>
      </c>
      <c r="D24" s="11" t="s">
        <v>1114</v>
      </c>
      <c r="E24" s="11" t="s">
        <v>1115</v>
      </c>
      <c r="G24" s="11" t="str">
        <f>IFERROR(__xludf.DUMMYFUNCTION(" GOOGLETRANSLATE(A24, ""en"", ""am"")"),"23")</f>
        <v>23</v>
      </c>
      <c r="H24" s="11" t="str">
        <f>IFERROR(__xludf.DUMMYFUNCTION(" GOOGLETRANSLATE(B24, ""en"", ""am"")"),"ሯጭ ወደ መጨረሻው መስመር ሳይደርስ ይወድቃል። ምን ይሆናል?")</f>
        <v>ሯጭ ወደ መጨረሻው መስመር ሳይደርስ ይወድቃል። ምን ይሆናል?</v>
      </c>
      <c r="I24" s="11" t="str">
        <f>IFERROR(__xludf.DUMMYFUNCTION(" GOOGLETRANSLATE(C24, ""en"", ""am"")"),"ሀ. ሯጩ ውድቅ ተደርጓል.ቢ. ሯጩ አሁንም በመስመሩ እርዳታ ያሸንፋል። ውድድሩ ቀጠለ እና ሯጩ አሸናፊ ተባለ.ዲ. ሯጩ የህክምና ግምገማ ተደርጎለት ውድቅ ተደርጓል።")</f>
        <v>ሀ. ሯጩ ውድቅ ተደርጓል.ቢ. ሯጩ አሁንም በመስመሩ እርዳታ ያሸንፋል። ውድድሩ ቀጠለ እና ሯጩ አሸናፊ ተባለ.ዲ. ሯጩ የህክምና ግምገማ ተደርጎለት ውድቅ ተደርጓል።</v>
      </c>
      <c r="J24" s="11" t="str">
        <f>IFERROR(__xludf.DUMMYFUNCTION(" GOOGLETRANSLATE(D24, ""en"", ""am"")"),"ሯጩ አሁንም በመስመሩ ላይ በመርዳት ያሸንፋል።")</f>
        <v>ሯጩ አሁንም በመስመሩ ላይ በመርዳት ያሸንፋል።</v>
      </c>
      <c r="K24" s="11" t="str">
        <f>IFERROR(__xludf.DUMMYFUNCTION(" GOOGLETRANSLATE(E24, ""en"", ""am"")"),"በመጨረሻው መስመር ላይ የሚወድቁ ሯጮች ሊረዱ እና አሁንም ማሸነፍ ይችላሉ።")</f>
        <v>በመጨረሻው መስመር ላይ የሚወድቁ ሯጮች ሊረዱ እና አሁንም ማሸነፍ ይችላሉ።</v>
      </c>
    </row>
    <row r="25" ht="22.5" customHeight="1">
      <c r="A25" s="10">
        <v>24.0</v>
      </c>
      <c r="B25" s="11" t="s">
        <v>1116</v>
      </c>
      <c r="C25" s="11" t="s">
        <v>1117</v>
      </c>
      <c r="D25" s="11" t="s">
        <v>1079</v>
      </c>
      <c r="E25" s="11" t="s">
        <v>1118</v>
      </c>
      <c r="G25" s="11" t="str">
        <f>IFERROR(__xludf.DUMMYFUNCTION(" GOOGLETRANSLATE(A25, ""en"", ""am"")"),"24")</f>
        <v>24</v>
      </c>
      <c r="H25" s="11" t="str">
        <f>IFERROR(__xludf.DUMMYFUNCTION(" GOOGLETRANSLATE(B25, ""en"", ""am"")"),"በሩጫው ወቅት የሯጭ ሸሚዝ እንባ ያነባል። ምን ይሆናል?")</f>
        <v>በሩጫው ወቅት የሯጭ ሸሚዝ እንባ ያነባል። ምን ይሆናል?</v>
      </c>
      <c r="I25" s="11" t="str">
        <f>IFERROR(__xludf.DUMMYFUNCTION(" GOOGLETRANSLATE(C25, ""en"", ""am"")"),"ሀ. ሯጩ ተገቢውን የደንብ ልብስ ባለመልበሱ ውድቅ ተደርጓል። ሯጩ ያለምንም ቅጣት ይቀጥላል.ሲ. ሯጩ ለተበላሹ ልብሶች ይቀጣል.ዲ. ሯጩ እንደገና በአዲስ ሸሚዝ መጀመር አለበት።")</f>
        <v>ሀ. ሯጩ ተገቢውን የደንብ ልብስ ባለመልበሱ ውድቅ ተደርጓል። ሯጩ ያለምንም ቅጣት ይቀጥላል.ሲ. ሯጩ ለተበላሹ ልብሶች ይቀጣል.ዲ. ሯጩ እንደገና በአዲስ ሸሚዝ መጀመር አለበት።</v>
      </c>
      <c r="J25" s="11" t="str">
        <f>IFERROR(__xludf.DUMMYFUNCTION(" GOOGLETRANSLATE(D25, ""en"", ""am"")"),"ሯጩ ያለምንም ቅጣት ይቀጥላል።")</f>
        <v>ሯጩ ያለምንም ቅጣት ይቀጥላል።</v>
      </c>
      <c r="K25" s="11" t="str">
        <f>IFERROR(__xludf.DUMMYFUNCTION(" GOOGLETRANSLATE(E25, ""en"", ""am"")"),"ጉዳት ካደረሰ በቀር የተበላሹ ልብሶች በተለምዶ ውድድርን አይጎዱም።")</f>
        <v>ጉዳት ካደረሰ በቀር የተበላሹ ልብሶች በተለምዶ ውድድርን አይጎዱም።</v>
      </c>
    </row>
    <row r="26" ht="22.5" customHeight="1">
      <c r="A26" s="10">
        <v>25.0</v>
      </c>
      <c r="B26" s="11" t="s">
        <v>1119</v>
      </c>
      <c r="C26" s="11" t="s">
        <v>1120</v>
      </c>
      <c r="D26" s="11" t="s">
        <v>1121</v>
      </c>
      <c r="E26" s="11" t="s">
        <v>1122</v>
      </c>
      <c r="G26" s="11" t="str">
        <f>IFERROR(__xludf.DUMMYFUNCTION(" GOOGLETRANSLATE(A26, ""en"", ""am"")"),"25")</f>
        <v>25</v>
      </c>
      <c r="H26" s="11" t="str">
        <f>IFERROR(__xludf.DUMMYFUNCTION(" GOOGLETRANSLATE(B26, ""en"", ""am"")"),"አንድ ሯጭ በላዩ ላይ ከመሮጥ ይልቅ የመጨረሻውን መሰናክል ይዘላል። ምን ይሆናል?")</f>
        <v>አንድ ሯጭ በላዩ ላይ ከመሮጥ ይልቅ የመጨረሻውን መሰናክል ይዘላል። ምን ይሆናል?</v>
      </c>
      <c r="I26" s="11" t="str">
        <f>IFERROR(__xludf.DUMMYFUNCTION(" GOOGLETRANSLATE(C26, ""en"", ""am"")"),"ሀ. ሯጩ መሰናክሉን ለመዝለል ብቁ አይደለም.ቢ. ሯጩ እንቅፋት በመዝለሉ ይቀጣል.ሲ. ሯጩ መሰናክሉን መድገም አለበት.ዲ. ሯጩ ያለምንም ቅጣት እንዲቀጥል ተፈቅዶለታል።")</f>
        <v>ሀ. ሯጩ መሰናክሉን ለመዝለል ብቁ አይደለም.ቢ. ሯጩ እንቅፋት በመዝለሉ ይቀጣል.ሲ. ሯጩ መሰናክሉን መድገም አለበት.ዲ. ሯጩ ያለምንም ቅጣት እንዲቀጥል ተፈቅዶለታል።</v>
      </c>
      <c r="J26" s="11" t="str">
        <f>IFERROR(__xludf.DUMMYFUNCTION(" GOOGLETRANSLATE(D26, ""en"", ""am"")"),"ሯጩ መሰናክሉን ለመዝለል ብቁ አይደለም።")</f>
        <v>ሯጩ መሰናክሉን ለመዝለል ብቁ አይደለም።</v>
      </c>
      <c r="K26" s="11" t="str">
        <f>IFERROR(__xludf.DUMMYFUNCTION(" GOOGLETRANSLATE(E26, ""en"", ""am"")"),"ያለ ተገቢ ፈቃድ መዝለል መሰናክሎች ብዙውን ጊዜ ብቃት ማጣትን ያስከትላል።")</f>
        <v>ያለ ተገቢ ፈቃድ መዝለል መሰናክሎች ብዙውን ጊዜ ብቃት ማጣትን ያስከትላል።</v>
      </c>
    </row>
    <row r="27" ht="22.5" customHeight="1">
      <c r="A27" s="10">
        <v>26.0</v>
      </c>
      <c r="B27" s="11" t="s">
        <v>1123</v>
      </c>
      <c r="C27" s="11" t="s">
        <v>1124</v>
      </c>
      <c r="D27" s="11" t="s">
        <v>1125</v>
      </c>
      <c r="E27" s="11" t="s">
        <v>1126</v>
      </c>
      <c r="G27" s="11" t="str">
        <f>IFERROR(__xludf.DUMMYFUNCTION(" GOOGLETRANSLATE(A27, ""en"", ""am"")"),"26")</f>
        <v>26</v>
      </c>
      <c r="H27" s="11" t="str">
        <f>IFERROR(__xludf.DUMMYFUNCTION(" GOOGLETRANSLATE(B27, ""en"", ""am"")"),"አንድ ሯጭ ብቻውን ከመወዳደር ይልቅ ከቡድን ጋር ለመሮጥ ይወስናል። ምን ይሆናል?")</f>
        <v>አንድ ሯጭ ብቻውን ከመወዳደር ይልቅ ከቡድን ጋር ለመሮጥ ይወስናል። ምን ይሆናል?</v>
      </c>
      <c r="I27" s="11" t="str">
        <f>IFERROR(__xludf.DUMMYFUNCTION(" GOOGLETRANSLATE(C27, ""en"", ""am"")"),"ሀ. ሯጩ ለመራመድ ብቁ አይደለም.ቢ. ሯጩ ብቻውን ባለመሮጡ ይቀጣል.ሲ. መሮጥ ከተፈቀደ ሯጩ ሊቀጥል ይችላል ዲ. ሯጩ ለማደግ የጊዜ ቅጣት ይሰጠዋል.")</f>
        <v>ሀ. ሯጩ ለመራመድ ብቁ አይደለም.ቢ. ሯጩ ብቻውን ባለመሮጡ ይቀጣል.ሲ. መሮጥ ከተፈቀደ ሯጩ ሊቀጥል ይችላል ዲ. ሯጩ ለማደግ የጊዜ ቅጣት ይሰጠዋል.</v>
      </c>
      <c r="J27" s="11" t="str">
        <f>IFERROR(__xludf.DUMMYFUNCTION(" GOOGLETRANSLATE(D27, ""en"", ""am"")"),"መሮጥ ከተፈቀደ ሯጩ ሊቀጥል ይችላል።")</f>
        <v>መሮጥ ከተፈቀደ ሯጩ ሊቀጥል ይችላል።</v>
      </c>
      <c r="K27" s="11" t="str">
        <f>IFERROR(__xludf.DUMMYFUNCTION(" GOOGLETRANSLATE(E27, ""en"", ""am"")"),"እንደ ልዩ የሩጫ ሕጎች፣ መራመድ ሊፈቀድም ላይፈቀድም ይችላል።")</f>
        <v>እንደ ልዩ የሩጫ ሕጎች፣ መራመድ ሊፈቀድም ላይፈቀድም ይችላል።</v>
      </c>
    </row>
    <row r="28" ht="22.5" customHeight="1">
      <c r="A28" s="10">
        <v>27.0</v>
      </c>
      <c r="B28" s="11" t="s">
        <v>1127</v>
      </c>
      <c r="C28" s="11" t="s">
        <v>1128</v>
      </c>
      <c r="D28" s="11" t="s">
        <v>1129</v>
      </c>
      <c r="E28" s="11" t="s">
        <v>1130</v>
      </c>
      <c r="G28" s="11" t="str">
        <f>IFERROR(__xludf.DUMMYFUNCTION(" GOOGLETRANSLATE(A28, ""en"", ""am"")"),"27")</f>
        <v>27</v>
      </c>
      <c r="H28" s="11" t="str">
        <f>IFERROR(__xludf.DUMMYFUNCTION(" GOOGLETRANSLATE(B28, ""en"", ""am"")"),"በሩጫ ወቅት የሯጭ ጫማ ይወድቃል። ምን ይሆናል?")</f>
        <v>በሩጫ ወቅት የሯጭ ጫማ ይወድቃል። ምን ይሆናል?</v>
      </c>
      <c r="I28" s="11" t="str">
        <f>IFERROR(__xludf.DUMMYFUNCTION(" GOOGLETRANSLATE(C28, ""en"", ""am"")"),"ሀ. ሯጩ ጫማቸውን በማጣት ብቁ አይደሉም። ሯጩ ያለ ጫማ እንዲጨርስ ይፈቀድለታል.ሲ. ሯጩ ጫማውን በማጣቱ ይቀጣል.ዲ. ሯጩ ጫማውን ለመልበስ መቆም አለበት።")</f>
        <v>ሀ. ሯጩ ጫማቸውን በማጣት ብቁ አይደሉም። ሯጩ ያለ ጫማ እንዲጨርስ ይፈቀድለታል.ሲ. ሯጩ ጫማውን በማጣቱ ይቀጣል.ዲ. ሯጩ ጫማውን ለመልበስ መቆም አለበት።</v>
      </c>
      <c r="J28" s="11" t="str">
        <f>IFERROR(__xludf.DUMMYFUNCTION(" GOOGLETRANSLATE(D28, ""en"", ""am"")"),"ሯጩ ያለ ጫማ እንዲጨርስ ይፈቀድለታል.")</f>
        <v>ሯጩ ያለ ጫማ እንዲጨርስ ይፈቀድለታል.</v>
      </c>
      <c r="K28" s="11" t="str">
        <f>IFERROR(__xludf.DUMMYFUNCTION(" GOOGLETRANSLATE(E28, ""en"", ""am"")"),"በሩጫ ወቅት ጫማዎችን ማጣት ብዙውን ጊዜ ሯጭን አያቆምም።")</f>
        <v>በሩጫ ወቅት ጫማዎችን ማጣት ብዙውን ጊዜ ሯጭን አያቆምም።</v>
      </c>
    </row>
    <row r="29" ht="22.5" customHeight="1">
      <c r="A29" s="10">
        <v>28.0</v>
      </c>
      <c r="B29" s="11" t="s">
        <v>1131</v>
      </c>
      <c r="C29" s="11" t="s">
        <v>1132</v>
      </c>
      <c r="D29" s="11" t="s">
        <v>1133</v>
      </c>
      <c r="E29" s="11" t="s">
        <v>1134</v>
      </c>
      <c r="G29" s="11" t="str">
        <f>IFERROR(__xludf.DUMMYFUNCTION(" GOOGLETRANSLATE(A29, ""en"", ""am"")"),"28")</f>
        <v>28</v>
      </c>
      <c r="H29" s="11" t="str">
        <f>IFERROR(__xludf.DUMMYFUNCTION(" GOOGLETRANSLATE(B29, ""en"", ""am"")"),"አንዱ ሯጭ ይቀድማል ሌላው ሯጭ ችግር ውስጥ ነው። ምን ይሆናል?")</f>
        <v>አንዱ ሯጭ ይቀድማል ሌላው ሯጭ ችግር ውስጥ ነው። ምን ይሆናል?</v>
      </c>
      <c r="I29" s="11" t="str">
        <f>IFERROR(__xludf.DUMMYFUNCTION(" GOOGLETRANSLATE(C29, ""en"", ""am"")"),"ሀ. ሯጩ ለማቆም ብቁ አይደለም.ቢ. ሯጩ እንዲረዳ ይበረታታል ነገር ግን ጊዜ ያጣል.ሲ. ሯጩ እንዲቆም ተፈቅዶለታል ግን እንደገና መጀመር አለበት.ዲ. ሯጩ ያለ እርዳታ ይቀጥላል.")</f>
        <v>ሀ. ሯጩ ለማቆም ብቁ አይደለም.ቢ. ሯጩ እንዲረዳ ይበረታታል ነገር ግን ጊዜ ያጣል.ሲ. ሯጩ እንዲቆም ተፈቅዶለታል ግን እንደገና መጀመር አለበት.ዲ. ሯጩ ያለ እርዳታ ይቀጥላል.</v>
      </c>
      <c r="J29" s="11" t="str">
        <f>IFERROR(__xludf.DUMMYFUNCTION(" GOOGLETRANSLATE(D29, ""en"", ""am"")"),"ሯጩ እንዲረዳ ይበረታታል ነገር ግን ጊዜ ያጣል።")</f>
        <v>ሯጩ እንዲረዳ ይበረታታል ነገር ግን ጊዜ ያጣል።</v>
      </c>
      <c r="K29" s="11" t="str">
        <f>IFERROR(__xludf.DUMMYFUNCTION(" GOOGLETRANSLATE(E29, ""en"", ""am"")"),"ለመርዳት ማቆም የጊዜ ቅጣት ሊያስከትል ይችላል ነገር ግን ብዙ ጊዜ ይበረታታል።")</f>
        <v>ለመርዳት ማቆም የጊዜ ቅጣት ሊያስከትል ይችላል ነገር ግን ብዙ ጊዜ ይበረታታል።</v>
      </c>
    </row>
    <row r="30" ht="22.5" customHeight="1">
      <c r="A30" s="10">
        <v>29.0</v>
      </c>
      <c r="B30" s="11" t="s">
        <v>1135</v>
      </c>
      <c r="C30" s="11" t="s">
        <v>1136</v>
      </c>
      <c r="D30" s="11" t="s">
        <v>1137</v>
      </c>
      <c r="E30" s="11" t="s">
        <v>1138</v>
      </c>
      <c r="G30" s="11" t="str">
        <f>IFERROR(__xludf.DUMMYFUNCTION(" GOOGLETRANSLATE(A30, ""en"", ""am"")"),"29")</f>
        <v>29</v>
      </c>
      <c r="H30" s="11" t="str">
        <f>IFERROR(__xludf.DUMMYFUNCTION(" GOOGLETRANSLATE(B30, ""en"", ""am"")"),"ሯጭ በአጋጣሚ ወደ ሌላ ሯጭ ይሮጣል። ምን ይሆናል?")</f>
        <v>ሯጭ በአጋጣሚ ወደ ሌላ ሯጭ ይሮጣል። ምን ይሆናል?</v>
      </c>
      <c r="I30" s="11" t="str">
        <f>IFERROR(__xludf.DUMMYFUNCTION(" GOOGLETRANSLATE(C30, ""en"", ""am"")"),"ሀ. ሯጩ ውድቀትን ለመፍጠር ብቁ አይደለም.ቢ. ሯጩ ለጣልቃ ገብነት ይቀጣል.ሲ. ሯጩ ያለምንም ቅጣት እንዲቀጥል ተፈቅዶለታል.ዲ. ሯጩ ወደ መጀመሪያው ቦታ መመለስ አለበት.")</f>
        <v>ሀ. ሯጩ ውድቀትን ለመፍጠር ብቁ አይደለም.ቢ. ሯጩ ለጣልቃ ገብነት ይቀጣል.ሲ. ሯጩ ያለምንም ቅጣት እንዲቀጥል ተፈቅዶለታል.ዲ. ሯጩ ወደ መጀመሪያው ቦታ መመለስ አለበት.</v>
      </c>
      <c r="J30" s="11" t="str">
        <f>IFERROR(__xludf.DUMMYFUNCTION(" GOOGLETRANSLATE(D30, ""en"", ""am"")"),"ሯጩ በጣልቃ ገብነት ይቀጣል።")</f>
        <v>ሯጩ በጣልቃ ገብነት ይቀጣል።</v>
      </c>
      <c r="K30" s="11" t="str">
        <f>IFERROR(__xludf.DUMMYFUNCTION(" GOOGLETRANSLATE(E30, ""en"", ""am"")"),"ድንገተኛ ጉዞዎች ብዙውን ጊዜ በጊዜ ማጣት ይቀጣሉ.")</f>
        <v>ድንገተኛ ጉዞዎች ብዙውን ጊዜ በጊዜ ማጣት ይቀጣሉ.</v>
      </c>
    </row>
    <row r="31" ht="22.5" customHeight="1">
      <c r="A31" s="10">
        <v>30.0</v>
      </c>
      <c r="B31" s="11" t="s">
        <v>1139</v>
      </c>
      <c r="C31" s="11" t="s">
        <v>1140</v>
      </c>
      <c r="D31" s="11" t="s">
        <v>1141</v>
      </c>
      <c r="E31" s="11" t="s">
        <v>1142</v>
      </c>
      <c r="G31" s="11" t="str">
        <f>IFERROR(__xludf.DUMMYFUNCTION(" GOOGLETRANSLATE(A31, ""en"", ""am"")"),"30")</f>
        <v>30</v>
      </c>
      <c r="H31" s="11" t="str">
        <f>IFERROR(__xludf.DUMMYFUNCTION(" GOOGLETRANSLATE(B31, ""en"", ""am"")"),"ሯጭ በጣም ቀደም ብሎ ያፋጥናል እና ፍጥነት ይቀንሳል፣ መሪነቱን ያጣል። ምን ይሆናል?")</f>
        <v>ሯጭ በጣም ቀደም ብሎ ያፋጥናል እና ፍጥነት ይቀንሳል፣ መሪነቱን ያጣል። ምን ይሆናል?</v>
      </c>
      <c r="I31" s="11" t="str">
        <f>IFERROR(__xludf.DUMMYFUNCTION(" GOOGLETRANSLATE(C31, ""en"", ""am"")"),"ሀ. ሯጩ ለስፖርታዊ ጨዋነት ብቁ አይደለም.ቢ. ሯጩ ከስፖርታዊ ጨዋነት ውጪ በሆነ ድርጊት ይቀጣል። ሯጩ ከቀነሰ ቦታቸውን ሊያጡ ይችላሉ.ዲ. ሯጩ ቀደም ብሎ ቢጨርስም ውድድሩን ያሸንፋል።")</f>
        <v>ሀ. ሯጩ ለስፖርታዊ ጨዋነት ብቁ አይደለም.ቢ. ሯጩ ከስፖርታዊ ጨዋነት ውጪ በሆነ ድርጊት ይቀጣል። ሯጩ ከቀነሰ ቦታቸውን ሊያጡ ይችላሉ.ዲ. ሯጩ ቀደም ብሎ ቢጨርስም ውድድሩን ያሸንፋል።</v>
      </c>
      <c r="J31" s="11" t="str">
        <f>IFERROR(__xludf.DUMMYFUNCTION(" GOOGLETRANSLATE(D31, ""en"", ""am"")"),"ሯጩ ከቀዘቀዘ ቦታቸውን ሊያጡ ይችላሉ።")</f>
        <v>ሯጩ ከቀዘቀዘ ቦታቸውን ሊያጡ ይችላሉ።</v>
      </c>
      <c r="K31" s="11" t="str">
        <f>IFERROR(__xludf.DUMMYFUNCTION(" GOOGLETRANSLATE(E31, ""en"", ""am"")"),"ውድድሩ ከመጠናቀቁ በፊት ቀደም ብሎ ማክበር ብዙውን ጊዜ መሪነትን ማጣት ያስከትላል።")</f>
        <v>ውድድሩ ከመጠናቀቁ በፊት ቀደም ብሎ ማክበር ብዙውን ጊዜ መሪነትን ማጣት ያስከትላል።</v>
      </c>
    </row>
    <row r="32" ht="22.5" customHeight="1">
      <c r="A32" s="10">
        <v>31.0</v>
      </c>
      <c r="B32" s="11" t="s">
        <v>1143</v>
      </c>
      <c r="C32" s="11" t="s">
        <v>1144</v>
      </c>
      <c r="D32" s="11" t="s">
        <v>1145</v>
      </c>
      <c r="E32" s="11" t="s">
        <v>1146</v>
      </c>
      <c r="G32" s="11" t="str">
        <f>IFERROR(__xludf.DUMMYFUNCTION(" GOOGLETRANSLATE(A32, ""en"", ""am"")"),"31")</f>
        <v>31</v>
      </c>
      <c r="H32" s="11" t="str">
        <f>IFERROR(__xludf.DUMMYFUNCTION(" GOOGLETRANSLATE(B32, ""en"", ""am"")"),"ሯጭ ያለፍቃድ በሩጫው ወቅት መስመሮችን ይለውጣል። ምን ይሆናል?")</f>
        <v>ሯጭ ያለፍቃድ በሩጫው ወቅት መስመሮችን ይለውጣል። ምን ይሆናል?</v>
      </c>
      <c r="I32" s="11" t="str">
        <f>IFERROR(__xludf.DUMMYFUNCTION(" GOOGLETRANSLATE(C32, ""en"", ""am"")"),"ሀ. ሯጩ ለሌይን ጥሰት ብቁ አይደለም.ቢ. ሯጩ በማስጠንቀቂያ እንዲቀጥል ተፈቅዶለታል.ሲ. ሯጩ በሌይን ጥሰት ምክንያት የጊዜ ቅጣት ይሰጠዋል.ዲ. ሯጩ ተቀጥቶ ወደ መስመራቸው እንዲመለስ ይጠየቃል።")</f>
        <v>ሀ. ሯጩ ለሌይን ጥሰት ብቁ አይደለም.ቢ. ሯጩ በማስጠንቀቂያ እንዲቀጥል ተፈቅዶለታል.ሲ. ሯጩ በሌይን ጥሰት ምክንያት የጊዜ ቅጣት ይሰጠዋል.ዲ. ሯጩ ተቀጥቶ ወደ መስመራቸው እንዲመለስ ይጠየቃል።</v>
      </c>
      <c r="J32" s="11" t="str">
        <f>IFERROR(__xludf.DUMMYFUNCTION(" GOOGLETRANSLATE(D32, ""en"", ""am"")"),"ሯጩ ለሌይን ጥሰት ብቁ አይደለም።")</f>
        <v>ሯጩ ለሌይን ጥሰት ብቁ አይደለም።</v>
      </c>
      <c r="K32" s="11" t="str">
        <f>IFERROR(__xludf.DUMMYFUNCTION(" GOOGLETRANSLATE(E32, ""en"", ""am"")"),"የሌይን ጥሰቶች ብዙ ጊዜ በጊዜ ማጣት ይቀጣሉ.")</f>
        <v>የሌይን ጥሰቶች ብዙ ጊዜ በጊዜ ማጣት ይቀጣሉ.</v>
      </c>
    </row>
    <row r="33" ht="22.5" customHeight="1">
      <c r="A33" s="10">
        <v>32.0</v>
      </c>
      <c r="B33" s="11" t="s">
        <v>1147</v>
      </c>
      <c r="C33" s="11" t="s">
        <v>1148</v>
      </c>
      <c r="D33" s="11" t="s">
        <v>1149</v>
      </c>
      <c r="E33" s="11" t="s">
        <v>1150</v>
      </c>
      <c r="G33" s="11" t="str">
        <f>IFERROR(__xludf.DUMMYFUNCTION(" GOOGLETRANSLATE(A33, ""en"", ""am"")"),"32")</f>
        <v>32</v>
      </c>
      <c r="H33" s="11" t="str">
        <f>IFERROR(__xludf.DUMMYFUNCTION(" GOOGLETRANSLATE(B33, ""en"", ""am"")"),"ሯጭ ጥሩ ስሜት አይሰማውም ነገር ግን ይቀጥላል። ምን ይሆናል?")</f>
        <v>ሯጭ ጥሩ ስሜት አይሰማውም ነገር ግን ይቀጥላል። ምን ይሆናል?</v>
      </c>
      <c r="I33" s="11" t="str">
        <f>IFERROR(__xludf.DUMMYFUNCTION(" GOOGLETRANSLATE(C33, ""en"", ""am"")"),"ሀ. ሯጩ ለማቆም ብቁ አይሆንም.ቢ. ሯጩ ቆም ብሎ የሕክምና ክትትል እንዲያደርግ ይጠየቃል.ሲ. ሯጩ ከውድድሩ በኋላ በጤና ምርመራ ሊቀጥል ይችላል.ዲ. ሯጩ በህመም ለመቀጠል ይቀጣል.")</f>
        <v>ሀ. ሯጩ ለማቆም ብቁ አይሆንም.ቢ. ሯጩ ቆም ብሎ የሕክምና ክትትል እንዲያደርግ ይጠየቃል.ሲ. ሯጩ ከውድድሩ በኋላ በጤና ምርመራ ሊቀጥል ይችላል.ዲ. ሯጩ በህመም ለመቀጠል ይቀጣል.</v>
      </c>
      <c r="J33" s="11" t="str">
        <f>IFERROR(__xludf.DUMMYFUNCTION(" GOOGLETRANSLATE(D33, ""en"", ""am"")"),"ሯጩ ቆም ብሎ የህክምና እርዳታ እንዲያገኝ ይጠየቃል።")</f>
        <v>ሯጩ ቆም ብሎ የህክምና እርዳታ እንዲያገኝ ይጠየቃል።</v>
      </c>
      <c r="K33" s="11" t="str">
        <f>IFERROR(__xludf.DUMMYFUNCTION(" GOOGLETRANSLATE(E33, ""en"", ""am"")"),"የጤና ጉዳዮች ብዙውን ጊዜ ለደህንነት ሲባል በግዳጅ ማቆሚያዎች ይመራሉ.")</f>
        <v>የጤና ጉዳዮች ብዙውን ጊዜ ለደህንነት ሲባል በግዳጅ ማቆሚያዎች ይመራሉ.</v>
      </c>
    </row>
    <row r="34" ht="22.5" customHeight="1">
      <c r="A34" s="10">
        <v>33.0</v>
      </c>
      <c r="B34" s="11" t="s">
        <v>1151</v>
      </c>
      <c r="C34" s="11" t="s">
        <v>1152</v>
      </c>
      <c r="D34" s="11" t="s">
        <v>1153</v>
      </c>
      <c r="E34" s="11" t="s">
        <v>1154</v>
      </c>
      <c r="G34" s="11" t="str">
        <f>IFERROR(__xludf.DUMMYFUNCTION(" GOOGLETRANSLATE(A34, ""en"", ""am"")"),"33")</f>
        <v>33</v>
      </c>
      <c r="H34" s="11" t="str">
        <f>IFERROR(__xludf.DUMMYFUNCTION(" GOOGLETRANSLATE(B34, ""en"", ""am"")"),"ሯጩ በመጨረሻው መስመር ላይ መድረሱን በይፋ አልተረጋገጠም። ምን ይሆናል?")</f>
        <v>ሯጩ በመጨረሻው መስመር ላይ መድረሱን በይፋ አልተረጋገጠም። ምን ይሆናል?</v>
      </c>
      <c r="I34" s="11" t="str">
        <f>IFERROR(__xludf.DUMMYFUNCTION(" GOOGLETRANSLATE(C34, ""en"", ""am"")"),"ሀ. ሯጩ ላለመፈተሽ ውድቅ ተደርጓል። ሯጩ ከመጠናቀቁ በፊት ለሙከራ መመለስ አለበት.ሲ. ሯጩ ያለ ቼክ እንዲጨርስ አይፈቀድለትም.ዲ. ሯጩ ያለ ቼክ እንዲጨርስ ተፈቅዶለታል።")</f>
        <v>ሀ. ሯጩ ላለመፈተሽ ውድቅ ተደርጓል። ሯጩ ከመጠናቀቁ በፊት ለሙከራ መመለስ አለበት.ሲ. ሯጩ ያለ ቼክ እንዲጨርስ አይፈቀድለትም.ዲ. ሯጩ ያለ ቼክ እንዲጨርስ ተፈቅዶለታል።</v>
      </c>
      <c r="J34" s="11" t="str">
        <f>IFERROR(__xludf.DUMMYFUNCTION(" GOOGLETRANSLATE(D34, ""en"", ""am"")"),"ሯጩ ላለመሞከር ብቁ ሆነ።")</f>
        <v>ሯጩ ላለመሞከር ብቁ ሆነ።</v>
      </c>
      <c r="K34" s="11" t="str">
        <f>IFERROR(__xludf.DUMMYFUNCTION(" GOOGLETRANSLATE(E34, ""en"", ""am"")"),"ማጣራት አለመቻል ብቃት ማጣትን ሊያስከትል ይችላል።")</f>
        <v>ማጣራት አለመቻል ብቃት ማጣትን ሊያስከትል ይችላል።</v>
      </c>
    </row>
    <row r="35" ht="22.5" customHeight="1">
      <c r="A35" s="10">
        <v>34.0</v>
      </c>
      <c r="B35" s="11" t="s">
        <v>1155</v>
      </c>
      <c r="C35" s="11" t="s">
        <v>1156</v>
      </c>
      <c r="D35" s="11" t="s">
        <v>1157</v>
      </c>
      <c r="E35" s="11" t="s">
        <v>1158</v>
      </c>
      <c r="G35" s="11" t="str">
        <f>IFERROR(__xludf.DUMMYFUNCTION(" GOOGLETRANSLATE(A35, ""en"", ""am"")"),"34")</f>
        <v>34</v>
      </c>
      <c r="H35" s="11" t="str">
        <f>IFERROR(__xludf.DUMMYFUNCTION(" GOOGLETRANSLATE(B35, ""en"", ""am"")"),"አንድ ሯጭ ሌላ ተቀናቃኝ ህግን ሲጥስ ያያል። ምን ይሆናል?")</f>
        <v>አንድ ሯጭ ሌላ ተቀናቃኝ ህግን ሲጥስ ያያል። ምን ይሆናል?</v>
      </c>
      <c r="I35" s="11" t="str">
        <f>IFERROR(__xludf.DUMMYFUNCTION(" GOOGLETRANSLATE(C35, ""en"", ""am"")"),"ሀ. ሯጩ ጥሰቱን ወዲያውኑ ማሳወቅ አለበት.B. ሯጩ እሱን ችላ ብሎ ቀጠለ።ሲ. ሯጩ ስለዘገበው ይቀጣል.ዲ. ሯጩ ቆም ብሎ ተፎካካሪውን መርዳት አለበት።")</f>
        <v>ሀ. ሯጩ ጥሰቱን ወዲያውኑ ማሳወቅ አለበት.B. ሯጩ እሱን ችላ ብሎ ቀጠለ።ሲ. ሯጩ ስለዘገበው ይቀጣል.ዲ. ሯጩ ቆም ብሎ ተፎካካሪውን መርዳት አለበት።</v>
      </c>
      <c r="J35" s="11" t="str">
        <f>IFERROR(__xludf.DUMMYFUNCTION(" GOOGLETRANSLATE(D35, ""en"", ""am"")"),"ሯጩ ጥሰቱን ወዲያውኑ ማሳወቅ አለበት.")</f>
        <v>ሯጩ ጥሰቱን ወዲያውኑ ማሳወቅ አለበት.</v>
      </c>
      <c r="K35" s="11" t="str">
        <f>IFERROR(__xludf.DUMMYFUNCTION(" GOOGLETRANSLATE(E35, ""en"", ""am"")"),"የህግ ጥሰትን ሪፖርት ማድረግ ለፍትሃዊነት ይበረታታል።")</f>
        <v>የህግ ጥሰትን ሪፖርት ማድረግ ለፍትሃዊነት ይበረታታል።</v>
      </c>
    </row>
    <row r="36" ht="22.5" customHeight="1">
      <c r="A36" s="10">
        <v>35.0</v>
      </c>
      <c r="B36" s="11" t="s">
        <v>1159</v>
      </c>
      <c r="C36" s="11" t="s">
        <v>1160</v>
      </c>
      <c r="D36" s="11" t="s">
        <v>1161</v>
      </c>
      <c r="E36" s="11" t="s">
        <v>1162</v>
      </c>
      <c r="G36" s="11" t="str">
        <f>IFERROR(__xludf.DUMMYFUNCTION(" GOOGLETRANSLATE(A36, ""en"", ""am"")"),"35")</f>
        <v>35</v>
      </c>
      <c r="H36" s="11" t="str">
        <f>IFERROR(__xludf.DUMMYFUNCTION(" GOOGLETRANSLATE(B36, ""en"", ""am"")"),"አንድ ሯጭ በመጨረሻ ያበቃል ነገር ግን ሁሉንም ደንቦች ይከተላል. ምን ይሆናል?")</f>
        <v>አንድ ሯጭ በመጨረሻ ያበቃል ነገር ግን ሁሉንም ደንቦች ይከተላል. ምን ይሆናል?</v>
      </c>
      <c r="I36" s="11" t="str">
        <f>IFERROR(__xludf.DUMMYFUNCTION(" GOOGLETRANSLATE(C36, ""en"", ""am"")"),"ሀ. ሯጩ እንኳን ደስ አለዎት ነገር ግን ሽልማት አያገኝም.B. ሯጩ ጥሩ እንቅስቃሴ ካላሳየ ከውድድሩ ይጠፋል። ሯጩ ለጥረቱ ልዩ ሽልማት ተሰጥቷል.ዲ. ሯጩ ውድድሩን ሲያጠናቅቅ ሽልማት ያገኛል።")</f>
        <v>ሀ. ሯጩ እንኳን ደስ አለዎት ነገር ግን ሽልማት አያገኝም.B. ሯጩ ጥሩ እንቅስቃሴ ካላሳየ ከውድድሩ ይጠፋል። ሯጩ ለጥረቱ ልዩ ሽልማት ተሰጥቷል.ዲ. ሯጩ ውድድሩን ሲያጠናቅቅ ሽልማት ያገኛል።</v>
      </c>
      <c r="J36" s="11" t="str">
        <f>IFERROR(__xludf.DUMMYFUNCTION(" GOOGLETRANSLATE(D36, ""en"", ""am"")"),"ሯጩ እንኳን ደስ አለህ ነገር ግን ሽልማት አያገኝም።")</f>
        <v>ሯጩ እንኳን ደስ አለህ ነገር ግን ሽልማት አያገኝም።</v>
      </c>
      <c r="K36" s="11" t="str">
        <f>IFERROR(__xludf.DUMMYFUNCTION(" GOOGLETRANSLATE(E36, ""en"", ""am"")"),"ደንቦቹን በመከተል መሳተፍ እውቅናን ያረጋግጣል.")</f>
        <v>ደንቦቹን በመከተል መሳተፍ እውቅናን ያረጋግጣል.</v>
      </c>
    </row>
    <row r="37" ht="22.5" customHeight="1">
      <c r="A37" s="10">
        <v>36.0</v>
      </c>
      <c r="B37" s="11" t="s">
        <v>1163</v>
      </c>
      <c r="C37" s="11" t="s">
        <v>1164</v>
      </c>
      <c r="D37" s="11" t="s">
        <v>1165</v>
      </c>
      <c r="E37" s="11" t="s">
        <v>1166</v>
      </c>
      <c r="G37" s="11" t="str">
        <f>IFERROR(__xludf.DUMMYFUNCTION(" GOOGLETRANSLATE(A37, ""en"", ""am"")"),"36")</f>
        <v>36</v>
      </c>
      <c r="H37" s="11" t="str">
        <f>IFERROR(__xludf.DUMMYFUNCTION(" GOOGLETRANSLATE(B37, ""en"", ""am"")"),"አንድ ሯጭ የማጠናቀቂያ መስመሩን ምልክት ይሰማል ነገር ግን እንደጨረሱ አያምንም። ምን ይሆናል?")</f>
        <v>አንድ ሯጭ የማጠናቀቂያ መስመሩን ምልክት ይሰማል ነገር ግን እንደጨረሱ አያምንም። ምን ይሆናል?</v>
      </c>
      <c r="I37" s="11" t="str">
        <f>IFERROR(__xludf.DUMMYFUNCTION(" GOOGLETRANSLATE(C37, ""en"", ""am"")"),"ሀ. ሯጩ ለመቀጠል ይቀጣል.ቢ. ሯጩ ለማቆም ፈቃደኛ ባለመሆኑ ውድቅ ተደርጓል። ሯጩ ከተረጋገጠ በኋላ እንዲጨርስ ይፈቀድለታል.ዲ. ሯጩ የመጨረሻውን መስመር ለመድረስ እርዳታ ይቀበላል.")</f>
        <v>ሀ. ሯጩ ለመቀጠል ይቀጣል.ቢ. ሯጩ ለማቆም ፈቃደኛ ባለመሆኑ ውድቅ ተደርጓል። ሯጩ ከተረጋገጠ በኋላ እንዲጨርስ ይፈቀድለታል.ዲ. ሯጩ የመጨረሻውን መስመር ለመድረስ እርዳታ ይቀበላል.</v>
      </c>
      <c r="J37" s="11" t="str">
        <f>IFERROR(__xludf.DUMMYFUNCTION(" GOOGLETRANSLATE(D37, ""en"", ""am"")"),"ሯጩ ከተረጋገጠ በኋላ እንዲጨርስ ይፈቀድለታል።")</f>
        <v>ሯጩ ከተረጋገጠ በኋላ እንዲጨርስ ይፈቀድለታል።</v>
      </c>
      <c r="K37" s="11" t="str">
        <f>IFERROR(__xludf.DUMMYFUNCTION(" GOOGLETRANSLATE(E37, ""en"", ""am"")"),"በመጨረሻው መስመር ላይ አለመግባባቶች ሊፈቱ ይችላሉ.")</f>
        <v>በመጨረሻው መስመር ላይ አለመግባባቶች ሊፈቱ ይችላሉ.</v>
      </c>
    </row>
    <row r="38" ht="22.5" customHeight="1">
      <c r="A38" s="10">
        <v>37.0</v>
      </c>
      <c r="B38" s="11" t="s">
        <v>1167</v>
      </c>
      <c r="C38" s="11" t="s">
        <v>1168</v>
      </c>
      <c r="D38" s="11" t="s">
        <v>1169</v>
      </c>
      <c r="E38" s="11" t="s">
        <v>1170</v>
      </c>
      <c r="G38" s="11" t="str">
        <f>IFERROR(__xludf.DUMMYFUNCTION(" GOOGLETRANSLATE(A38, ""en"", ""am"")"),"37")</f>
        <v>37</v>
      </c>
      <c r="H38" s="11" t="str">
        <f>IFERROR(__xludf.DUMMYFUNCTION(" GOOGLETRANSLATE(B38, ""en"", ""am"")"),"አንድ ሯጭ ለመታጠቢያ ቤት እረፍት ትራኩን ለቆ እንዲወጣ ይፈቀድለታል። ምን ይሆናል?")</f>
        <v>አንድ ሯጭ ለመታጠቢያ ቤት እረፍት ትራኩን ለቆ እንዲወጣ ይፈቀድለታል። ምን ይሆናል?</v>
      </c>
      <c r="I38" s="11" t="str">
        <f>IFERROR(__xludf.DUMMYFUNCTION(" GOOGLETRANSLATE(C38, ""en"", ""am"")"),"ሀ. ሯጩ ትራኩን ለመልቀቅ ብቁ አይደለም.ቢ. ሯጩ ይፈቀዳል ነገር ግን ጠቃሚ ጊዜን ያጣል.ሲ. ሯጩ ረዘም ያለ የእረፍት ጊዜ ይሰጠዋል.ዲ. ሯጩ ወደ መጀመሪያ ቦታቸው መመለስ አለበት።")</f>
        <v>ሀ. ሯጩ ትራኩን ለመልቀቅ ብቁ አይደለም.ቢ. ሯጩ ይፈቀዳል ነገር ግን ጠቃሚ ጊዜን ያጣል.ሲ. ሯጩ ረዘም ያለ የእረፍት ጊዜ ይሰጠዋል.ዲ. ሯጩ ወደ መጀመሪያ ቦታቸው መመለስ አለበት።</v>
      </c>
      <c r="J38" s="11" t="str">
        <f>IFERROR(__xludf.DUMMYFUNCTION(" GOOGLETRANSLATE(D38, ""en"", ""am"")"),"ሯጩ ተፈቅዶለታል ነገር ግን ጠቃሚ ጊዜን ያጣል።")</f>
        <v>ሯጩ ተፈቅዶለታል ነገር ግን ጠቃሚ ጊዜን ያጣል።</v>
      </c>
      <c r="K38" s="11" t="str">
        <f>IFERROR(__xludf.DUMMYFUNCTION(" GOOGLETRANSLATE(E38, ""en"", ""am"")"),"የመታጠቢያ ቤት እረፍቶች በብዙ ሩጫዎች ይፈቀዳሉ።")</f>
        <v>የመታጠቢያ ቤት እረፍቶች በብዙ ሩጫዎች ይፈቀዳሉ።</v>
      </c>
    </row>
    <row r="39" ht="22.5" customHeight="1">
      <c r="A39" s="10">
        <v>38.0</v>
      </c>
      <c r="B39" s="11" t="s">
        <v>1171</v>
      </c>
      <c r="C39" s="11" t="s">
        <v>1172</v>
      </c>
      <c r="D39" s="11" t="s">
        <v>1173</v>
      </c>
      <c r="E39" s="11" t="s">
        <v>1174</v>
      </c>
      <c r="G39" s="11" t="str">
        <f>IFERROR(__xludf.DUMMYFUNCTION(" GOOGLETRANSLATE(A39, ""en"", ""am"")"),"38")</f>
        <v>38</v>
      </c>
      <c r="H39" s="11" t="str">
        <f>IFERROR(__xludf.DUMMYFUNCTION(" GOOGLETRANSLATE(B39, ""en"", ""am"")"),"ሯጭ በሩጫ ወቅት ተጎድቶ ያለ ህክምና ለመቀጠል ወሰነ። ምን ይሆናል?")</f>
        <v>ሯጭ በሩጫ ወቅት ተጎድቶ ያለ ህክምና ለመቀጠል ወሰነ። ምን ይሆናል?</v>
      </c>
      <c r="I39" s="11" t="str">
        <f>IFERROR(__xludf.DUMMYFUNCTION(" GOOGLETRANSLATE(C39, ""en"", ""am"")"),"ሀ. ሯጩ የህክምና መመሪያዎችን ባለመከተል ብቁ አይደለም.ቢ. ሯጩ እንዲቀጥል ተፈቅዶለታል ነገር ግን ለህክምና ምርመራ ምልክት ተደርጎበታል.ሲ. ሯጩ የሕክምና ክትትል ማግኘት አለበት.ዲ. አንድ ሯጭ ጉዳት ቢደርስበትም ለመቀጠል ይቀጣል።")</f>
        <v>ሀ. ሯጩ የህክምና መመሪያዎችን ባለመከተል ብቁ አይደለም.ቢ. ሯጩ እንዲቀጥል ተፈቅዶለታል ነገር ግን ለህክምና ምርመራ ምልክት ተደርጎበታል.ሲ. ሯጩ የሕክምና ክትትል ማግኘት አለበት.ዲ. አንድ ሯጭ ጉዳት ቢደርስበትም ለመቀጠል ይቀጣል።</v>
      </c>
      <c r="J39" s="11" t="str">
        <f>IFERROR(__xludf.DUMMYFUNCTION(" GOOGLETRANSLATE(D39, ""en"", ""am"")"),"ሯጩ እንዲቀጥል ተፈቅዶለታል ነገር ግን ለህክምና ምርመራ ምልክት ተደርጎበታል።")</f>
        <v>ሯጩ እንዲቀጥል ተፈቅዶለታል ነገር ግን ለህክምና ምርመራ ምልክት ተደርጎበታል።</v>
      </c>
      <c r="K39" s="11" t="str">
        <f>IFERROR(__xludf.DUMMYFUNCTION(" GOOGLETRANSLATE(E39, ""en"", ""am"")"),"የተጎዱ ሯጮች ሊቀጥሉ ይችላሉ ነገር ግን ብዙ ጊዜ ለህክምና ግምገማ ምልክት ይደረግባቸዋል።")</f>
        <v>የተጎዱ ሯጮች ሊቀጥሉ ይችላሉ ነገር ግን ብዙ ጊዜ ለህክምና ግምገማ ምልክት ይደረግባቸዋል።</v>
      </c>
    </row>
    <row r="40" ht="22.5" customHeight="1">
      <c r="A40" s="10">
        <v>39.0</v>
      </c>
      <c r="B40" s="11" t="s">
        <v>1175</v>
      </c>
      <c r="C40" s="11" t="s">
        <v>1176</v>
      </c>
      <c r="D40" s="11" t="s">
        <v>1177</v>
      </c>
      <c r="E40" s="11" t="s">
        <v>1178</v>
      </c>
      <c r="G40" s="11" t="str">
        <f>IFERROR(__xludf.DUMMYFUNCTION(" GOOGLETRANSLATE(A40, ""en"", ""am"")"),"39")</f>
        <v>39</v>
      </c>
      <c r="H40" s="11" t="str">
        <f>IFERROR(__xludf.DUMMYFUNCTION(" GOOGLETRANSLATE(B40, ""en"", ""am"")"),"የሯጭ አሰልጣኝ በመጨረሻው ደቂቃ በሩጫው ላይ ምክር ይሰጣቸዋል። ምን ይሆናል?")</f>
        <v>የሯጭ አሰልጣኝ በመጨረሻው ደቂቃ በሩጫው ላይ ምክር ይሰጣቸዋል። ምን ይሆናል?</v>
      </c>
      <c r="I40" s="11" t="str">
        <f>IFERROR(__xludf.DUMMYFUNCTION(" GOOGLETRANSLATE(C40, ""en"", ""am"")"),"ሀ. ሯጩ ለአሰልጣኝነት ጣልቃገብነት ብቁ አይደለም.ቢ. ሯጩ ለውጭ እርዳታ ማስጠንቀቂያ ይቀበላል.ሲ. ሯጩ ያለምንም ቅጣት ይቀጥላል.ዲ. ሯጩ የሚቀጣው ምክር በመቀበል ነው።")</f>
        <v>ሀ. ሯጩ ለአሰልጣኝነት ጣልቃገብነት ብቁ አይደለም.ቢ. ሯጩ ለውጭ እርዳታ ማስጠንቀቂያ ይቀበላል.ሲ. ሯጩ ያለምንም ቅጣት ይቀጥላል.ዲ. ሯጩ የሚቀጣው ምክር በመቀበል ነው።</v>
      </c>
      <c r="J40" s="11" t="str">
        <f>IFERROR(__xludf.DUMMYFUNCTION(" GOOGLETRANSLATE(D40, ""en"", ""am"")"),"ሯጩ ለውጭ እርዳታ ማስጠንቀቂያ ይቀበላል።")</f>
        <v>ሯጩ ለውጭ እርዳታ ማስጠንቀቂያ ይቀበላል።</v>
      </c>
      <c r="K40" s="11" t="str">
        <f>IFERROR(__xludf.DUMMYFUNCTION(" GOOGLETRANSLATE(E40, ""en"", ""am"")"),"የአሰልጣኞች ጣልቃገብነት በአብዛኛው የሚቀጣው ካልተፈቀደለት በቀር ነው።")</f>
        <v>የአሰልጣኞች ጣልቃገብነት በአብዛኛው የሚቀጣው ካልተፈቀደለት በቀር ነው።</v>
      </c>
    </row>
    <row r="41" ht="22.5" customHeight="1">
      <c r="A41" s="10">
        <v>40.0</v>
      </c>
      <c r="B41" s="11" t="s">
        <v>1179</v>
      </c>
      <c r="C41" s="11" t="s">
        <v>1180</v>
      </c>
      <c r="D41" s="11" t="s">
        <v>1181</v>
      </c>
      <c r="E41" s="11" t="s">
        <v>1182</v>
      </c>
      <c r="G41" s="11" t="str">
        <f>IFERROR(__xludf.DUMMYFUNCTION(" GOOGLETRANSLATE(A41, ""en"", ""am"")"),"40")</f>
        <v>40</v>
      </c>
      <c r="H41" s="11" t="str">
        <f>IFERROR(__xludf.DUMMYFUNCTION(" GOOGLETRANSLATE(B41, ""en"", ""am"")"),"አንድ ሯጭ ውድድሩን ያጠናቅቃል ነገር ግን የጊዜ ሰሌዳቸው ተሰብሯል። ምን ይሆናል?")</f>
        <v>አንድ ሯጭ ውድድሩን ያጠናቅቃል ነገር ግን የጊዜ ሰሌዳቸው ተሰብሯል። ምን ይሆናል?</v>
      </c>
      <c r="I41" s="11" t="str">
        <f>IFERROR(__xludf.DUMMYFUNCTION(" GOOGLETRANSLATE(C41, ""en"", ""am"")"),"ሀ. ሯጩ ለተበላሹ መሳሪያዎች ብቁ አይደለም.ቢ. ሯጩ ለመጨረስ ግምታዊ ጊዜ ተሰጥቶታል.ሲ. የሯጩ ጊዜ በእጅ ይመዘገባል.ዲ. ውድድሩ ለሯጩ እንዳልተጠናቀቀ ይቆጠራል።")</f>
        <v>ሀ. ሯጩ ለተበላሹ መሳሪያዎች ብቁ አይደለም.ቢ. ሯጩ ለመጨረስ ግምታዊ ጊዜ ተሰጥቶታል.ሲ. የሯጩ ጊዜ በእጅ ይመዘገባል.ዲ. ውድድሩ ለሯጩ እንዳልተጠናቀቀ ይቆጠራል።</v>
      </c>
      <c r="J41" s="11" t="str">
        <f>IFERROR(__xludf.DUMMYFUNCTION(" GOOGLETRANSLATE(D41, ""en"", ""am"")"),"ሯጩ ለመጨረስ ግምታዊ ጊዜ ይሰጠዋል.")</f>
        <v>ሯጩ ለመጨረስ ግምታዊ ጊዜ ይሰጠዋል.</v>
      </c>
      <c r="K41" s="11" t="str">
        <f>IFERROR(__xludf.DUMMYFUNCTION(" GOOGLETRANSLATE(E41, ""en"", ""am"")"),"የጊዜ አወጣጥ ስህተቶች ብዙውን ጊዜ የሚፈቱት በእጅ ወደ ጽሑፍ ቅጂዎች ነው።")</f>
        <v>የጊዜ አወጣጥ ስህተቶች ብዙውን ጊዜ የሚፈቱት በእጅ ወደ ጽሑፍ ቅጂዎች ነው።</v>
      </c>
    </row>
    <row r="42" ht="22.5" customHeight="1">
      <c r="A42" s="10">
        <v>41.0</v>
      </c>
      <c r="B42" s="11" t="s">
        <v>1183</v>
      </c>
      <c r="C42" s="11" t="s">
        <v>1184</v>
      </c>
      <c r="D42" s="11" t="s">
        <v>1071</v>
      </c>
      <c r="E42" s="11" t="s">
        <v>1185</v>
      </c>
      <c r="G42" s="11" t="str">
        <f>IFERROR(__xludf.DUMMYFUNCTION(" GOOGLETRANSLATE(A42, ""en"", ""am"")"),"41")</f>
        <v>41</v>
      </c>
      <c r="H42" s="11" t="str">
        <f>IFERROR(__xludf.DUMMYFUNCTION(" GOOGLETRANSLATE(B42, ""en"", ""am"")"),"አንድ ሯጭ ተገቢ ያልሆነ ጫማ ለብሷል። ምን ይሆናል?")</f>
        <v>አንድ ሯጭ ተገቢ ያልሆነ ጫማ ለብሷል። ምን ይሆናል?</v>
      </c>
      <c r="I42" s="11" t="str">
        <f>IFERROR(__xludf.DUMMYFUNCTION(" GOOGLETRANSLATE(C42, ""en"", ""am"")"),"ሀ. ሯጩ ለታመመ ጫማ ብቁ አይደለም.ቢ. ሯጩ ማስጠንቀቂያ ተሰጥቶት እንዲቀጥል ተፈቅዶለታል። ሯጩ ለመቀጠል ጫማቸውን መቀየር አለበት.ዲ. ሯጩ ያለምንም ቅጣት እንዲቀጥል ተፈቅዶለታል።")</f>
        <v>ሀ. ሯጩ ለታመመ ጫማ ብቁ አይደለም.ቢ. ሯጩ ማስጠንቀቂያ ተሰጥቶት እንዲቀጥል ተፈቅዶለታል። ሯጩ ለመቀጠል ጫማቸውን መቀየር አለበት.ዲ. ሯጩ ያለምንም ቅጣት እንዲቀጥል ተፈቅዶለታል።</v>
      </c>
      <c r="J42" s="11" t="str">
        <f>IFERROR(__xludf.DUMMYFUNCTION(" GOOGLETRANSLATE(D42, ""en"", ""am"")"),"ሯጩ ማስጠንቀቂያ ተሰጥቶት እንዲቀጥል ተፈቀደለት።")</f>
        <v>ሯጩ ማስጠንቀቂያ ተሰጥቶት እንዲቀጥል ተፈቀደለት።</v>
      </c>
      <c r="K42" s="11" t="str">
        <f>IFERROR(__xludf.DUMMYFUNCTION(" GOOGLETRANSLATE(E42, ""en"", ""am"")"),"የጫማ መመሪያዎች ደህንነትን እና ፍትሃዊነትን ያረጋግጣሉ.")</f>
        <v>የጫማ መመሪያዎች ደህንነትን እና ፍትሃዊነትን ያረጋግጣሉ.</v>
      </c>
    </row>
    <row r="43" ht="22.5" customHeight="1">
      <c r="A43" s="10">
        <v>42.0</v>
      </c>
      <c r="B43" s="11" t="s">
        <v>1186</v>
      </c>
      <c r="C43" s="11" t="s">
        <v>1187</v>
      </c>
      <c r="D43" s="11" t="s">
        <v>1188</v>
      </c>
      <c r="E43" s="11" t="s">
        <v>1189</v>
      </c>
      <c r="G43" s="11" t="str">
        <f>IFERROR(__xludf.DUMMYFUNCTION(" GOOGLETRANSLATE(A43, ""en"", ""am"")"),"42")</f>
        <v>42</v>
      </c>
      <c r="H43" s="11" t="str">
        <f>IFERROR(__xludf.DUMMYFUNCTION(" GOOGLETRANSLATE(B43, ""en"", ""am"")"),"ሯጭ በሩጫ ወቅት የሆነ ነገር ይጥላል። ምን ይሆናል?")</f>
        <v>ሯጭ በሩጫ ወቅት የሆነ ነገር ይጥላል። ምን ይሆናል?</v>
      </c>
      <c r="I43" s="11" t="str">
        <f>IFERROR(__xludf.DUMMYFUNCTION(" GOOGLETRANSLATE(C43, ""en"", ""am"")"),"ሀ. ሯጩ ለቆሻሻው ብቁ አይደለም.ቢ. ሯጩ እቃውን አውጥቶ መቀጠል አለበት.ሲ. ሯጩ እቃውን በመጣል ይቀጣል.ዲ. ሯጩ ያለምንም ቅጣት እንዲቀጥል ተፈቅዶለታል።")</f>
        <v>ሀ. ሯጩ ለቆሻሻው ብቁ አይደለም.ቢ. ሯጩ እቃውን አውጥቶ መቀጠል አለበት.ሲ. ሯጩ እቃውን በመጣል ይቀጣል.ዲ. ሯጩ ያለምንም ቅጣት እንዲቀጥል ተፈቅዶለታል።</v>
      </c>
      <c r="J43" s="11" t="str">
        <f>IFERROR(__xludf.DUMMYFUNCTION(" GOOGLETRANSLATE(D43, ""en"", ""am"")"),"ሯጩ እቃውን ማስወገድ እና መቀጠል አለበት.")</f>
        <v>ሯጩ እቃውን ማስወገድ እና መቀጠል አለበት.</v>
      </c>
      <c r="K43" s="11" t="str">
        <f>IFERROR(__xludf.DUMMYFUNCTION(" GOOGLETRANSLATE(E43, ""en"", ""am"")"),"እቃዎችን መጣል ትኩረትን የሚከፋፍል ቅጣት ሊያስከትል ይችላል.")</f>
        <v>እቃዎችን መጣል ትኩረትን የሚከፋፍል ቅጣት ሊያስከትል ይችላል.</v>
      </c>
    </row>
    <row r="44" ht="22.5" customHeight="1">
      <c r="A44" s="10">
        <v>43.0</v>
      </c>
      <c r="B44" s="11" t="s">
        <v>1190</v>
      </c>
      <c r="C44" s="11" t="s">
        <v>1191</v>
      </c>
      <c r="D44" s="11" t="s">
        <v>1192</v>
      </c>
      <c r="E44" s="11" t="s">
        <v>1193</v>
      </c>
      <c r="G44" s="11" t="str">
        <f>IFERROR(__xludf.DUMMYFUNCTION(" GOOGLETRANSLATE(A44, ""en"", ""am"")"),"43")</f>
        <v>43</v>
      </c>
      <c r="H44" s="11" t="str">
        <f>IFERROR(__xludf.DUMMYFUNCTION(" GOOGLETRANSLATE(B44, ""en"", ""am"")"),"አንድ ሯጭ አፈፃፀምን የሚያሻሽል መድሃኒት ይጠቀማል. ምን ይሆናል?")</f>
        <v>አንድ ሯጭ አፈፃፀምን የሚያሻሽል መድሃኒት ይጠቀማል. ምን ይሆናል?</v>
      </c>
      <c r="I44" s="11" t="str">
        <f>IFERROR(__xludf.DUMMYFUNCTION(" GOOGLETRANSLATE(C44, ""en"", ""am"")"),"ሀ. ሯጩ ለዶፒንግ ብቁ አይደለም.ቢ. ሯጩ ተቀጥቷል ነገር ግን እንዲቀጥል ተፈቅዶለታል። ሯጩ ማስጠንቀቂያ ተሰጥቶታል.ዲ. ሯጩ ያለምንም ቅጣት እንዲቀጥል ተፈቅዶለታል።")</f>
        <v>ሀ. ሯጩ ለዶፒንግ ብቁ አይደለም.ቢ. ሯጩ ተቀጥቷል ነገር ግን እንዲቀጥል ተፈቅዶለታል። ሯጩ ማስጠንቀቂያ ተሰጥቶታል.ዲ. ሯጩ ያለምንም ቅጣት እንዲቀጥል ተፈቅዶለታል።</v>
      </c>
      <c r="J44" s="11" t="str">
        <f>IFERROR(__xludf.DUMMYFUNCTION(" GOOGLETRANSLATE(D44, ""en"", ""am"")"),"ሯጩ ለዶፒንግ ብቁ አይደለም።")</f>
        <v>ሯጩ ለዶፒንግ ብቁ አይደለም።</v>
      </c>
      <c r="K44" s="11" t="str">
        <f>IFERROR(__xludf.DUMMYFUNCTION(" GOOGLETRANSLATE(E44, ""en"", ""am"")"),"በአብዛኛዎቹ ዘሮች ውስጥ ዶፒንግ በጥብቅ የተከለከለ ነው።")</f>
        <v>በአብዛኛዎቹ ዘሮች ውስጥ ዶፒንግ በጥብቅ የተከለከለ ነው።</v>
      </c>
    </row>
    <row r="45" ht="22.5" customHeight="1">
      <c r="A45" s="10">
        <v>44.0</v>
      </c>
      <c r="B45" s="11" t="s">
        <v>1194</v>
      </c>
      <c r="C45" s="11" t="s">
        <v>1195</v>
      </c>
      <c r="D45" s="11" t="s">
        <v>1196</v>
      </c>
      <c r="E45" s="11" t="s">
        <v>1197</v>
      </c>
      <c r="G45" s="11" t="str">
        <f>IFERROR(__xludf.DUMMYFUNCTION(" GOOGLETRANSLATE(A45, ""en"", ""am"")"),"44")</f>
        <v>44</v>
      </c>
      <c r="H45" s="11" t="str">
        <f>IFERROR(__xludf.DUMMYFUNCTION(" GOOGLETRANSLATE(B45, ""en"", ""am"")"),"ሯጭ ውድድሩን ጨርሷል ነገር ግን ከሲግናል በፊት ይጀምራል። ምን ይሆናል?")</f>
        <v>ሯጭ ውድድሩን ጨርሷል ነገር ግን ከሲግናል በፊት ይጀምራል። ምን ይሆናል?</v>
      </c>
      <c r="I45" s="11" t="str">
        <f>IFERROR(__xludf.DUMMYFUNCTION(" GOOGLETRANSLATE(C45, ""en"", ""am"")"),"ሀ. ሯጩ በውሸት ጅምር ለመጀመር ብቁ አይደለም.ቢ. ሯጩ ከማስጠንቀቂያ በኋላ እንዲቀጥል ተፈቅዶለታል.ሲ. ሯጩ በጊዜ ማጣት ይቀጣል.ዲ. ሯጩ ሌላ ዕድል ይሰጠዋል.")</f>
        <v>ሀ. ሯጩ በውሸት ጅምር ለመጀመር ብቁ አይደለም.ቢ. ሯጩ ከማስጠንቀቂያ በኋላ እንዲቀጥል ተፈቅዶለታል.ሲ. ሯጩ በጊዜ ማጣት ይቀጣል.ዲ. ሯጩ ሌላ ዕድል ይሰጠዋል.</v>
      </c>
      <c r="J45" s="11" t="str">
        <f>IFERROR(__xludf.DUMMYFUNCTION(" GOOGLETRANSLATE(D45, ""en"", ""am"")"),"ሯጩ በውሸት ጅምር ለመጀመር ብቁ አይደለም።")</f>
        <v>ሯጩ በውሸት ጅምር ለመጀመር ብቁ አይደለም።</v>
      </c>
      <c r="K45" s="11" t="str">
        <f>IFERROR(__xludf.DUMMYFUNCTION(" GOOGLETRANSLATE(E45, ""en"", ""am"")"),"የውሸት ጅምር ብዙ ጊዜ ብቁ አለመሆንን ያስከትላል።")</f>
        <v>የውሸት ጅምር ብዙ ጊዜ ብቁ አለመሆንን ያስከትላል።</v>
      </c>
    </row>
    <row r="46" ht="22.5" customHeight="1">
      <c r="A46" s="10">
        <v>45.0</v>
      </c>
      <c r="B46" s="11" t="s">
        <v>1198</v>
      </c>
      <c r="C46" s="11" t="s">
        <v>1199</v>
      </c>
      <c r="D46" s="11" t="s">
        <v>1200</v>
      </c>
      <c r="E46" s="11" t="s">
        <v>1201</v>
      </c>
      <c r="G46" s="11" t="str">
        <f>IFERROR(__xludf.DUMMYFUNCTION(" GOOGLETRANSLATE(A46, ""en"", ""am"")"),"45")</f>
        <v>45</v>
      </c>
      <c r="H46" s="11" t="str">
        <f>IFERROR(__xludf.DUMMYFUNCTION(" GOOGLETRANSLATE(B46, ""en"", ""am"")"),"ሯጭ ውድድሩን ጨርሷል ነገር ግን ቀደም ብሎ ይወጣል። ምን ይሆናል?")</f>
        <v>ሯጭ ውድድሩን ጨርሷል ነገር ግን ቀደም ብሎ ይወጣል። ምን ይሆናል?</v>
      </c>
      <c r="I46" s="11" t="str">
        <f>IFERROR(__xludf.DUMMYFUNCTION(" GOOGLETRANSLATE(C46, ""en"", ""am"")"),"ሀ. ሯጩ ላለመጨረስ ብቁ አይደለም.ቢ. ሯጩ ያለምንም ቅጣት እንዲሄድ ተፈቅዶለታል.ሲ. ሯጩ በጊዜ ማጣት ይቀጣል.ዲ. ሯጩ በትክክል ለመጨረስ መመለስ አለበት።")</f>
        <v>ሀ. ሯጩ ላለመጨረስ ብቁ አይደለም.ቢ. ሯጩ ያለምንም ቅጣት እንዲሄድ ተፈቅዶለታል.ሲ. ሯጩ በጊዜ ማጣት ይቀጣል.ዲ. ሯጩ በትክክል ለመጨረስ መመለስ አለበት።</v>
      </c>
      <c r="J46" s="11" t="str">
        <f>IFERROR(__xludf.DUMMYFUNCTION(" GOOGLETRANSLATE(D46, ""en"", ""am"")"),"ሯጩ ላለመጨረስ ብቁ አይደለም።")</f>
        <v>ሯጩ ላለመጨረስ ብቁ አይደለም።</v>
      </c>
      <c r="K46" s="11" t="str">
        <f>IFERROR(__xludf.DUMMYFUNCTION(" GOOGLETRANSLATE(E46, ""en"", ""am"")"),"ቀደም ብሎ መባረር ብዙውን ጊዜ በብቃት ማነስ ምክንያት ነው።")</f>
        <v>ቀደም ብሎ መባረር ብዙውን ጊዜ በብቃት ማነስ ምክንያት ነው።</v>
      </c>
    </row>
    <row r="47" ht="22.5" customHeight="1">
      <c r="A47" s="10">
        <v>46.0</v>
      </c>
      <c r="B47" s="11" t="s">
        <v>1202</v>
      </c>
      <c r="C47" s="11" t="s">
        <v>1203</v>
      </c>
      <c r="D47" s="11" t="s">
        <v>1204</v>
      </c>
      <c r="E47" s="11" t="s">
        <v>1205</v>
      </c>
      <c r="G47" s="11" t="str">
        <f>IFERROR(__xludf.DUMMYFUNCTION(" GOOGLETRANSLATE(A47, ""en"", ""am"")"),"46")</f>
        <v>46</v>
      </c>
      <c r="H47" s="11" t="str">
        <f>IFERROR(__xludf.DUMMYFUNCTION(" GOOGLETRANSLATE(B47, ""en"", ""am"")"),"ሯጭ ውድድሩን ቢጨርስም ፈገግ አይልም። ምን ይሆናል?")</f>
        <v>ሯጭ ውድድሩን ቢጨርስም ፈገግ አይልም። ምን ይሆናል?</v>
      </c>
      <c r="I47" s="11" t="str">
        <f>IFERROR(__xludf.DUMMYFUNCTION(" GOOGLETRANSLATE(C47, ""en"", ""am"")"),"ሀ. ሯጩ ስፖርታዊ ጨዋነት ባለማሳየቱ ይቀጣል። ሯጩ በመጨረሱ ደስተኛ ነበር.ሲ. ሯጩ በንግግራቸው እክል ምክንያት ችላ ይባላል.ዲ. ሯጩ ፈገግ እንዲል ይበረታታል።")</f>
        <v>ሀ. ሯጩ ስፖርታዊ ጨዋነት ባለማሳየቱ ይቀጣል። ሯጩ በመጨረሱ ደስተኛ ነበር.ሲ. ሯጩ በንግግራቸው እክል ምክንያት ችላ ይባላል.ዲ. ሯጩ ፈገግ እንዲል ይበረታታል።</v>
      </c>
      <c r="J47" s="11" t="str">
        <f>IFERROR(__xludf.DUMMYFUNCTION(" GOOGLETRANSLATE(D47, ""en"", ""am"")"),"ሯጩ በመጨረሱ ደስተኛ ነበር።")</f>
        <v>ሯጩ በመጨረሱ ደስተኛ ነበር።</v>
      </c>
      <c r="K47" s="11" t="str">
        <f>IFERROR(__xludf.DUMMYFUNCTION(" GOOGLETRANSLATE(E47, ""en"", ""am"")"),"አገላለጽ በተለምዶ በዘር አይቀጣም።")</f>
        <v>አገላለጽ በተለምዶ በዘር አይቀጣም።</v>
      </c>
    </row>
    <row r="48" ht="22.5" customHeight="1">
      <c r="A48" s="10">
        <v>47.0</v>
      </c>
      <c r="B48" s="11" t="s">
        <v>1206</v>
      </c>
      <c r="C48" s="11" t="s">
        <v>1207</v>
      </c>
      <c r="D48" s="11" t="s">
        <v>1208</v>
      </c>
      <c r="E48" s="11" t="s">
        <v>1209</v>
      </c>
      <c r="G48" s="11" t="str">
        <f>IFERROR(__xludf.DUMMYFUNCTION(" GOOGLETRANSLATE(A48, ""en"", ""am"")"),"47")</f>
        <v>47</v>
      </c>
      <c r="H48" s="11" t="str">
        <f>IFERROR(__xludf.DUMMYFUNCTION(" GOOGLETRANSLATE(B48, ""en"", ""am"")"),"አንድ ሯጭ ወደ መጀመሪያው መስመር ዘግይቷል። ምን ይሆናል?")</f>
        <v>አንድ ሯጭ ወደ መጀመሪያው መስመር ዘግይቷል። ምን ይሆናል?</v>
      </c>
      <c r="I48" s="11" t="str">
        <f>IFERROR(__xludf.DUMMYFUNCTION(" GOOGLETRANSLATE(C48, ""en"", ""am"")"),"ሀ. ሯጩ በመዘግየቱ ምክንያት ውድቅ ተደርጓል። ሯጩ ለመቀላቀል የእፎይታ ጊዜ ተሰጥቶታል። ሯጩ ከጀርባው ሊጀምር ይችላል.ዲ. ሯጩ በጊዜ ማጣት ይቀጣል።")</f>
        <v>ሀ. ሯጩ በመዘግየቱ ምክንያት ውድቅ ተደርጓል። ሯጩ ለመቀላቀል የእፎይታ ጊዜ ተሰጥቶታል። ሯጩ ከጀርባው ሊጀምር ይችላል.ዲ. ሯጩ በጊዜ ማጣት ይቀጣል።</v>
      </c>
      <c r="J48" s="11" t="str">
        <f>IFERROR(__xludf.DUMMYFUNCTION(" GOOGLETRANSLATE(D48, ""en"", ""am"")"),"ሯጩ ለመቀላቀል የእፎይታ ጊዜ ተሰጥቶታል።")</f>
        <v>ሯጩ ለመቀላቀል የእፎይታ ጊዜ ተሰጥቶታል።</v>
      </c>
      <c r="K48" s="11" t="str">
        <f>IFERROR(__xludf.DUMMYFUNCTION(" GOOGLETRANSLATE(E48, ""en"", ""am"")"),"ዘግይተው የሚመጡ ሰዎች በአንዳንድ ውድድሮች ላይ ቅጣት ሊገጥማቸው ይችላል።")</f>
        <v>ዘግይተው የሚመጡ ሰዎች በአንዳንድ ውድድሮች ላይ ቅጣት ሊገጥማቸው ይችላል።</v>
      </c>
    </row>
    <row r="49" ht="22.5" customHeight="1">
      <c r="A49" s="10">
        <v>48.0</v>
      </c>
      <c r="B49" s="11" t="s">
        <v>1210</v>
      </c>
      <c r="C49" s="11" t="s">
        <v>1211</v>
      </c>
      <c r="D49" s="11" t="s">
        <v>1212</v>
      </c>
      <c r="E49" s="11" t="s">
        <v>1213</v>
      </c>
      <c r="G49" s="11" t="str">
        <f>IFERROR(__xludf.DUMMYFUNCTION(" GOOGLETRANSLATE(A49, ""en"", ""am"")"),"48")</f>
        <v>48</v>
      </c>
      <c r="H49" s="11" t="str">
        <f>IFERROR(__xludf.DUMMYFUNCTION(" GOOGLETRANSLATE(B49, ""en"", ""am"")"),"አንድ ሯጭ ውድድሩን ጨርሷል ነገር ግን ኦፊሴላዊውን የሩጫ ቁጥር አይለብስም። ምን ይሆናል?")</f>
        <v>አንድ ሯጭ ውድድሩን ጨርሷል ነገር ግን ኦፊሴላዊውን የሩጫ ቁጥር አይለብስም። ምን ይሆናል?</v>
      </c>
      <c r="I49" s="11" t="str">
        <f>IFERROR(__xludf.DUMMYFUNCTION(" GOOGLETRANSLATE(C49, ""en"", ""am"")"),"ሀ. ሯጩ ቁጥሩን ስለጎደለው ብቁ አይደለም.ቢ. ሯጩ እንዲጨርስ ተፈቅዶለታል ግን ተቀጥቷል.ሲ. ሯጩ ጊዜያዊ ቁጥር ይሰጠዋል.ዲ. ሯጩ መመለስ እና ትክክለኛውን ቁጥር መልበስ አለበት.")</f>
        <v>ሀ. ሯጩ ቁጥሩን ስለጎደለው ብቁ አይደለም.ቢ. ሯጩ እንዲጨርስ ተፈቅዶለታል ግን ተቀጥቷል.ሲ. ሯጩ ጊዜያዊ ቁጥር ይሰጠዋል.ዲ. ሯጩ መመለስ እና ትክክለኛውን ቁጥር መልበስ አለበት.</v>
      </c>
      <c r="J49" s="11" t="str">
        <f>IFERROR(__xludf.DUMMYFUNCTION(" GOOGLETRANSLATE(D49, ""en"", ""am"")"),"ሯጩ ቁጥሩን ስለጎደለው ብቁ አይደለም.")</f>
        <v>ሯጩ ቁጥሩን ስለጎደለው ብቁ አይደለም.</v>
      </c>
      <c r="K49" s="11" t="str">
        <f>IFERROR(__xludf.DUMMYFUNCTION(" GOOGLETRANSLATE(E49, ""en"", ""am"")"),"ለትክክለኛው መለያ የዘር ቁጥሮች አስፈላጊ ናቸው.")</f>
        <v>ለትክክለኛው መለያ የዘር ቁጥሮች አስፈላጊ ናቸው.</v>
      </c>
    </row>
    <row r="50" ht="22.5" customHeight="1">
      <c r="A50" s="10">
        <v>49.0</v>
      </c>
      <c r="B50" s="11" t="s">
        <v>1214</v>
      </c>
      <c r="C50" s="11" t="s">
        <v>1215</v>
      </c>
      <c r="D50" s="11" t="s">
        <v>1216</v>
      </c>
      <c r="E50" s="11" t="s">
        <v>1217</v>
      </c>
      <c r="G50" s="11" t="str">
        <f>IFERROR(__xludf.DUMMYFUNCTION(" GOOGLETRANSLATE(A50, ""en"", ""am"")"),"49")</f>
        <v>49</v>
      </c>
      <c r="H50" s="11" t="str">
        <f>IFERROR(__xludf.DUMMYFUNCTION(" GOOGLETRANSLATE(B50, ""en"", ""am"")"),"ለሌሎች ተብሎ በተዘጋጀው ትራክ ላይ ሯጭ እየሮጠ ነው። ምን ይሆናል?")</f>
        <v>ለሌሎች ተብሎ በተዘጋጀው ትራክ ላይ ሯጭ እየሮጠ ነው። ምን ይሆናል?</v>
      </c>
      <c r="I50" s="11" t="str">
        <f>IFERROR(__xludf.DUMMYFUNCTION(" GOOGLETRANSLATE(C50, ""en"", ""am"")"),"ሀ. ሯጩ ለትራክ ጥሰት ብቁ አይደለም.ቢ. ሯጩ ወደ መስመራቸው እንዲመለስ ማስጠንቀቂያ ተሰጥቷቸዋል። ሯጩ ትራኩን እንዲለቅ ተጠየቀ.ዲ. ሯጩ በጣልቃ ገብነት ይቀጣል።")</f>
        <v>ሀ. ሯጩ ለትራክ ጥሰት ብቁ አይደለም.ቢ. ሯጩ ወደ መስመራቸው እንዲመለስ ማስጠንቀቂያ ተሰጥቷቸዋል። ሯጩ ትራኩን እንዲለቅ ተጠየቀ.ዲ. ሯጩ በጣልቃ ገብነት ይቀጣል።</v>
      </c>
      <c r="J50" s="11" t="str">
        <f>IFERROR(__xludf.DUMMYFUNCTION(" GOOGLETRANSLATE(D50, ""en"", ""am"")"),"ሯጩ ወደ መስመራቸው እንዲመለስ ማስጠንቀቂያ ተሰጥቷቸዋል።")</f>
        <v>ሯጩ ወደ መስመራቸው እንዲመለስ ማስጠንቀቂያ ተሰጥቷቸዋል።</v>
      </c>
      <c r="K50" s="11" t="str">
        <f>IFERROR(__xludf.DUMMYFUNCTION(" GOOGLETRANSLATE(E50, ""en"", ""am"")"),"የመከታተያ ጥሰቶች ብዙውን ጊዜ ቅጣትን ያስከትላሉ።")</f>
        <v>የመከታተያ ጥሰቶች ብዙውን ጊዜ ቅጣትን ያስከትላሉ።</v>
      </c>
    </row>
    <row r="51" ht="22.5" customHeight="1">
      <c r="A51" s="10">
        <v>50.0</v>
      </c>
      <c r="B51" s="11" t="s">
        <v>1218</v>
      </c>
      <c r="C51" s="11" t="s">
        <v>1219</v>
      </c>
      <c r="D51" s="11" t="s">
        <v>1091</v>
      </c>
      <c r="E51" s="11" t="s">
        <v>1220</v>
      </c>
      <c r="G51" s="11" t="str">
        <f>IFERROR(__xludf.DUMMYFUNCTION(" GOOGLETRANSLATE(A51, ""en"", ""am"")"),"50")</f>
        <v>50</v>
      </c>
      <c r="H51" s="11" t="str">
        <f>IFERROR(__xludf.DUMMYFUNCTION(" GOOGLETRANSLATE(B51, ""en"", ""am"")"),"አንድ ሯጭ በሩጫው ወቅት የውጭ እርዳታ ይቀበላል. ምን ይሆናል?")</f>
        <v>አንድ ሯጭ በሩጫው ወቅት የውጭ እርዳታ ይቀበላል. ምን ይሆናል?</v>
      </c>
      <c r="I51" s="11" t="str">
        <f>IFERROR(__xludf.DUMMYFUNCTION(" GOOGLETRANSLATE(C51, ""en"", ""am"")"),"ሀ. ሯጩ ለውጭ እርዳታ ብቁ አይደለም.ቢ. ሯጩ ከማስጠንቀቂያ በኋላ እንዲቀጥል ተፈቅዶለታል.ሲ. ሯጩ በጊዜ ማጣት ይቀጣል.ዲ. ሯጩ ያለ እርዳታ ውድድሩን ማጠናቀቅ አለበት።")</f>
        <v>ሀ. ሯጩ ለውጭ እርዳታ ብቁ አይደለም.ቢ. ሯጩ ከማስጠንቀቂያ በኋላ እንዲቀጥል ተፈቅዶለታል.ሲ. ሯጩ በጊዜ ማጣት ይቀጣል.ዲ. ሯጩ ያለ እርዳታ ውድድሩን ማጠናቀቅ አለበት።</v>
      </c>
      <c r="J51" s="11" t="str">
        <f>IFERROR(__xludf.DUMMYFUNCTION(" GOOGLETRANSLATE(D51, ""en"", ""am"")"),"ሯጩ ለውጭ እርዳታ ብቁ አይደለም።")</f>
        <v>ሯጩ ለውጭ እርዳታ ብቁ አይደለም።</v>
      </c>
      <c r="K51" s="11" t="str">
        <f>IFERROR(__xludf.DUMMYFUNCTION(" GOOGLETRANSLATE(E51, ""en"", ""am"")"),"በውድድሮች ውስጥ የውጪ እርዳታ ብዙውን ጊዜ የተከለከለ ነው.")</f>
        <v>በውድድሮች ውስጥ የውጪ እርዳታ ብዙውን ጊዜ የተከለከለ ነው.</v>
      </c>
    </row>
    <row r="52" ht="22.5" customHeight="1">
      <c r="A52" s="10">
        <v>51.0</v>
      </c>
      <c r="B52" s="11" t="s">
        <v>1221</v>
      </c>
      <c r="C52" s="11" t="s">
        <v>1222</v>
      </c>
      <c r="D52" s="11" t="s">
        <v>1223</v>
      </c>
      <c r="E52" s="11" t="s">
        <v>1224</v>
      </c>
      <c r="G52" s="11" t="str">
        <f>IFERROR(__xludf.DUMMYFUNCTION(" GOOGLETRANSLATE(A52, ""en"", ""am"")"),"51")</f>
        <v>51</v>
      </c>
      <c r="H52" s="11" t="str">
        <f>IFERROR(__xludf.DUMMYFUNCTION(" GOOGLETRANSLATE(B52, ""en"", ""am"")"),"አንድ ሯጭ በውድድር አጋማሽ ላይ የመደንገጥ ችግር አጋጥሞታል። ምን ይሆናል?")</f>
        <v>አንድ ሯጭ በውድድር አጋማሽ ላይ የመደንገጥ ችግር አጋጥሞታል። ምን ይሆናል?</v>
      </c>
      <c r="I52" s="11" t="str">
        <f>IFERROR(__xludf.DUMMYFUNCTION(" GOOGLETRANSLATE(C52, ""en"", ""am"")"),"ሀ. ሯጩ በህክምና ብቁ አይደለም.ቢ. ሯጩ ሊቀጥል ይችላል ነገር ግን ጊዜ ሊያጣ ይችላል.ሲ. ሯጩ ለህክምና መቆም አለበት.ዲ. ሯጩ ውድድሩን በራሱ ፍጥነት እንዲጨርስ ይፈቀድለታል።")</f>
        <v>ሀ. ሯጩ በህክምና ብቁ አይደለም.ቢ. ሯጩ ሊቀጥል ይችላል ነገር ግን ጊዜ ሊያጣ ይችላል.ሲ. ሯጩ ለህክምና መቆም አለበት.ዲ. ሯጩ ውድድሩን በራሱ ፍጥነት እንዲጨርስ ይፈቀድለታል።</v>
      </c>
      <c r="J52" s="11" t="str">
        <f>IFERROR(__xludf.DUMMYFUNCTION(" GOOGLETRANSLATE(D52, ""en"", ""am"")"),"ሯጩ ሊቀጥል ይችላል ግን ጊዜ ሊያጣ ይችላል።")</f>
        <v>ሯጩ ሊቀጥል ይችላል ግን ጊዜ ሊያጣ ይችላል።</v>
      </c>
      <c r="K52" s="11" t="str">
        <f>IFERROR(__xludf.DUMMYFUNCTION(" GOOGLETRANSLATE(E52, ""en"", ""am"")"),"ከህክምና ምርመራ በኋላ የሆድ ቁርጠት ያለባቸው ሯጮች ሊቀጥሉ ይችላሉ.")</f>
        <v>ከህክምና ምርመራ በኋላ የሆድ ቁርጠት ያለባቸው ሯጮች ሊቀጥሉ ይችላሉ.</v>
      </c>
    </row>
    <row r="53" ht="22.5" customHeight="1">
      <c r="A53" s="10">
        <v>52.0</v>
      </c>
      <c r="B53" s="11" t="s">
        <v>1225</v>
      </c>
      <c r="C53" s="11" t="s">
        <v>1226</v>
      </c>
      <c r="D53" s="11" t="s">
        <v>1227</v>
      </c>
      <c r="E53" s="11" t="s">
        <v>1228</v>
      </c>
      <c r="G53" s="11" t="str">
        <f>IFERROR(__xludf.DUMMYFUNCTION(" GOOGLETRANSLATE(A53, ""en"", ""am"")"),"52")</f>
        <v>52</v>
      </c>
      <c r="H53" s="11" t="str">
        <f>IFERROR(__xludf.DUMMYFUNCTION(" GOOGLETRANSLATE(B53, ""en"", ""am"")"),"ጊዜ ለመቆጠብ ሯጭ ትራኩን ሲቆርጥ ተይዟል። ምን ይሆናል?")</f>
        <v>ጊዜ ለመቆጠብ ሯጭ ትራኩን ሲቆርጥ ተይዟል። ምን ይሆናል?</v>
      </c>
      <c r="I53" s="11" t="str">
        <f>IFERROR(__xludf.DUMMYFUNCTION(" GOOGLETRANSLATE(C53, ""en"", ""am"")"),"ሀ. ሯጩ ለማጭበርበር ብቁ አይደለም.ቢ. ሯጩ ወደ ትራክ እንዲመለስ ማስጠንቀቂያ ተሰጥቷል.ሲ. ሯጩ በጊዜ ማጣት ይቀጣል.ዲ. ሯጩ ያለምንም ቅጣት እንዲቀጥል ተፈቅዶለታል።")</f>
        <v>ሀ. ሯጩ ለማጭበርበር ብቁ አይደለም.ቢ. ሯጩ ወደ ትራክ እንዲመለስ ማስጠንቀቂያ ተሰጥቷል.ሲ. ሯጩ በጊዜ ማጣት ይቀጣል.ዲ. ሯጩ ያለምንም ቅጣት እንዲቀጥል ተፈቅዶለታል።</v>
      </c>
      <c r="J53" s="11" t="str">
        <f>IFERROR(__xludf.DUMMYFUNCTION(" GOOGLETRANSLATE(D53, ""en"", ""am"")"),"ሯጩ ለማጭበርበር ብቁ አይደለም።")</f>
        <v>ሯጩ ለማጭበርበር ብቁ አይደለም።</v>
      </c>
      <c r="K53" s="11" t="str">
        <f>IFERROR(__xludf.DUMMYFUNCTION(" GOOGLETRANSLATE(E53, ""en"", ""am"")"),"ትራኩን በመቁረጥ ማጭበርበር ውድቅ ያደርገዋል።")</f>
        <v>ትራኩን በመቁረጥ ማጭበርበር ውድቅ ያደርገዋል።</v>
      </c>
    </row>
    <row r="54" ht="22.5" customHeight="1">
      <c r="A54" s="10">
        <v>53.0</v>
      </c>
      <c r="B54" s="11" t="s">
        <v>1229</v>
      </c>
      <c r="C54" s="11" t="s">
        <v>1230</v>
      </c>
      <c r="D54" s="11" t="s">
        <v>1231</v>
      </c>
      <c r="E54" s="11" t="s">
        <v>1232</v>
      </c>
      <c r="G54" s="11" t="str">
        <f>IFERROR(__xludf.DUMMYFUNCTION(" GOOGLETRANSLATE(A54, ""en"", ""am"")"),"53")</f>
        <v>53</v>
      </c>
      <c r="H54" s="11" t="str">
        <f>IFERROR(__xludf.DUMMYFUNCTION(" GOOGLETRANSLATE(B54, ""en"", ""am"")"),"ሯጭ በሩጫ ጊዜ ይጓዛል። ምን ይሆናል?")</f>
        <v>ሯጭ በሩጫ ጊዜ ይጓዛል። ምን ይሆናል?</v>
      </c>
      <c r="I54" s="11" t="str">
        <f>IFERROR(__xludf.DUMMYFUNCTION(" GOOGLETRANSLATE(C54, ""en"", ""am"")"),"ሀ. ሯጩ ለመሰናከል ብቁ አይደለም.ቢ. ሯጩ ከቆመ በኋላ እንዲቀጥል ይፈቀድለታል.ሲ. ሯጩ ባለመሳካቱ ይቀጣል.ዲ. ሯጩ የሕክምና ክትትል ይደረግለታል እና እንዲቀጥል ይፈቀድለታል.")</f>
        <v>ሀ. ሯጩ ለመሰናከል ብቁ አይደለም.ቢ. ሯጩ ከቆመ በኋላ እንዲቀጥል ይፈቀድለታል.ሲ. ሯጩ ባለመሳካቱ ይቀጣል.ዲ. ሯጩ የሕክምና ክትትል ይደረግለታል እና እንዲቀጥል ይፈቀድለታል.</v>
      </c>
      <c r="J54" s="11" t="str">
        <f>IFERROR(__xludf.DUMMYFUNCTION(" GOOGLETRANSLATE(D54, ""en"", ""am"")"),"ሯጩ ከቆመ በኋላ እንዲቀጥል ይፈቀድለታል።")</f>
        <v>ሯጩ ከቆመ በኋላ እንዲቀጥል ይፈቀድለታል።</v>
      </c>
      <c r="K54" s="11" t="str">
        <f>IFERROR(__xludf.DUMMYFUNCTION(" GOOGLETRANSLATE(E54, ""en"", ""am"")"),"ብዙ ጊዜ የሚጓዙ ሯጮች ለመቀጠል እድሉ ይሰጣቸዋል።")</f>
        <v>ብዙ ጊዜ የሚጓዙ ሯጮች ለመቀጠል እድሉ ይሰጣቸዋል።</v>
      </c>
    </row>
    <row r="55" ht="22.5" customHeight="1">
      <c r="A55" s="10">
        <v>54.0</v>
      </c>
      <c r="B55" s="11" t="s">
        <v>1233</v>
      </c>
      <c r="C55" s="11" t="s">
        <v>1234</v>
      </c>
      <c r="D55" s="11" t="s">
        <v>1075</v>
      </c>
      <c r="E55" s="11" t="s">
        <v>1235</v>
      </c>
      <c r="G55" s="11" t="str">
        <f>IFERROR(__xludf.DUMMYFUNCTION(" GOOGLETRANSLATE(A55, ""en"", ""am"")"),"54")</f>
        <v>54</v>
      </c>
      <c r="H55" s="11" t="str">
        <f>IFERROR(__xludf.DUMMYFUNCTION(" GOOGLETRANSLATE(B55, ""en"", ""am"")"),"በሩጫው ወቅት የአንድ ሯጭ መሳሪያ ተጎድቷል። ምን ይሆናል?")</f>
        <v>በሩጫው ወቅት የአንድ ሯጭ መሳሪያ ተጎድቷል። ምን ይሆናል?</v>
      </c>
      <c r="I55" s="11" t="str">
        <f>IFERROR(__xludf.DUMMYFUNCTION(" GOOGLETRANSLATE(C55, ""en"", ""am"")"),"ሀ. ሯጩ ለመሳሪያ ብልሽት ብቁ አይደለም.ቢ. ሯጩ ከመቀጠሉ በፊት መሳሪያውን መጠገን አለበት.ሲ. ሯጩ ያለምንም ቅጣት እንዲቀጥል ተፈቅዶለታል.ዲ. ሯጩ ምትክ መሳሪያ ይሰጠዋል.")</f>
        <v>ሀ. ሯጩ ለመሳሪያ ብልሽት ብቁ አይደለም.ቢ. ሯጩ ከመቀጠሉ በፊት መሳሪያውን መጠገን አለበት.ሲ. ሯጩ ያለምንም ቅጣት እንዲቀጥል ተፈቅዶለታል.ዲ. ሯጩ ምትክ መሳሪያ ይሰጠዋል.</v>
      </c>
      <c r="J55" s="11" t="str">
        <f>IFERROR(__xludf.DUMMYFUNCTION(" GOOGLETRANSLATE(D55, ""en"", ""am"")"),"ሯጩ ያለምንም ቅጣት እንዲቀጥል ተፈቅዶለታል።")</f>
        <v>ሯጩ ያለምንም ቅጣት እንዲቀጥል ተፈቅዶለታል።</v>
      </c>
      <c r="K55" s="11" t="str">
        <f>IFERROR(__xludf.DUMMYFUNCTION(" GOOGLETRANSLATE(E55, ""en"", ""am"")"),"የተበላሹ መሣሪያዎች ያሏቸው ሯጮች አሁንም ውድድሩን መጨረስ ይችላሉ።")</f>
        <v>የተበላሹ መሣሪያዎች ያሏቸው ሯጮች አሁንም ውድድሩን መጨረስ ይችላሉ።</v>
      </c>
    </row>
    <row r="56" ht="22.5" customHeight="1">
      <c r="A56" s="10">
        <v>55.0</v>
      </c>
      <c r="B56" s="11" t="s">
        <v>1236</v>
      </c>
      <c r="C56" s="11" t="s">
        <v>1237</v>
      </c>
      <c r="D56" s="11" t="s">
        <v>1238</v>
      </c>
      <c r="E56" s="11" t="s">
        <v>1239</v>
      </c>
      <c r="G56" s="11" t="str">
        <f>IFERROR(__xludf.DUMMYFUNCTION(" GOOGLETRANSLATE(A56, ""en"", ""am"")"),"55")</f>
        <v>55</v>
      </c>
      <c r="H56" s="11" t="str">
        <f>IFERROR(__xludf.DUMMYFUNCTION(" GOOGLETRANSLATE(B56, ""en"", ""am"")"),"አንድ ሯጭ ጨርሷል ነገር ግን የጊዜ ቺፑን ማስወገድ ይረሳል። ምን ይሆናል?")</f>
        <v>አንድ ሯጭ ጨርሷል ነገር ግን የጊዜ ቺፑን ማስወገድ ይረሳል። ምን ይሆናል?</v>
      </c>
      <c r="I56" s="11" t="str">
        <f>IFERROR(__xludf.DUMMYFUNCTION(" GOOGLETRANSLATE(C56, ""en"", ""am"")"),"ሀ. ሯጩ ሂደቱን ባለመከተሉ ይቀጣል.B. ሯጩ ከሩጫው በኋላ እንዲያስወግደው ይፈቀድለታል.ሲ. ሯጩ አግባብ ባልሆነ መሳሪያ አያያዝ.ዲ. ሯጩ ሂደቶችን እንዲከተሉ ማስጠንቀቂያ ተሰጥቶታል.")</f>
        <v>ሀ. ሯጩ ሂደቱን ባለመከተሉ ይቀጣል.B. ሯጩ ከሩጫው በኋላ እንዲያስወግደው ይፈቀድለታል.ሲ. ሯጩ አግባብ ባልሆነ መሳሪያ አያያዝ.ዲ. ሯጩ ሂደቶችን እንዲከተሉ ማስጠንቀቂያ ተሰጥቶታል.</v>
      </c>
      <c r="J56" s="11" t="str">
        <f>IFERROR(__xludf.DUMMYFUNCTION(" GOOGLETRANSLATE(D56, ""en"", ""am"")"),"ሯጩ ከውድድሩ በኋላ እንዲያስወግደው ይፈቀድለታል.")</f>
        <v>ሯጩ ከውድድሩ በኋላ እንዲያስወግደው ይፈቀድለታል.</v>
      </c>
      <c r="K56" s="11" t="str">
        <f>IFERROR(__xludf.DUMMYFUNCTION(" GOOGLETRANSLATE(E56, ""en"", ""am"")"),"የጊዜ ቺፖችን ማስወገድ አለመቻል ወደ ቅጣቶች ሊመራ ይችላል.")</f>
        <v>የጊዜ ቺፖችን ማስወገድ አለመቻል ወደ ቅጣቶች ሊመራ ይችላል.</v>
      </c>
    </row>
    <row r="57" ht="22.5" customHeight="1">
      <c r="A57" s="10">
        <v>56.0</v>
      </c>
      <c r="B57" s="11" t="s">
        <v>1240</v>
      </c>
      <c r="C57" s="11" t="s">
        <v>1241</v>
      </c>
      <c r="D57" s="11" t="s">
        <v>1242</v>
      </c>
      <c r="E57" s="11" t="s">
        <v>1243</v>
      </c>
      <c r="G57" s="11" t="str">
        <f>IFERROR(__xludf.DUMMYFUNCTION(" GOOGLETRANSLATE(A57, ""en"", ""am"")"),"56")</f>
        <v>56</v>
      </c>
      <c r="H57" s="11" t="str">
        <f>IFERROR(__xludf.DUMMYFUNCTION(" GOOGLETRANSLATE(B57, ""en"", ""am"")"),"አንድ ሯጭ ውድድሩን ያጠናቅቃል ነገር ግን የጊዜ አጠባበቅ ስርዓቱ ጠፍቷል። ምን ይሆናል?")</f>
        <v>አንድ ሯጭ ውድድሩን ያጠናቅቃል ነገር ግን የጊዜ አጠባበቅ ስርዓቱ ጠፍቷል። ምን ይሆናል?</v>
      </c>
      <c r="I57" s="11" t="str">
        <f>IFERROR(__xludf.DUMMYFUNCTION(" GOOGLETRANSLATE(C57, ""en"", ""am"")"),"ሀ. ሯጩ ለቴክኒካዊ ጉዳዮች ብቁ አይደለም.ቢ. የሯጩ አጨራረስ በእጅ ይመዘገባል.ሲ. ሯጩ ውድድሩን እንደገና መውሰድ አለበት.ዲ. ውድድሩ ለዚያ ሯጭ ልክ እንዳልሆነ ታውጇል።")</f>
        <v>ሀ. ሯጩ ለቴክኒካዊ ጉዳዮች ብቁ አይደለም.ቢ. የሯጩ አጨራረስ በእጅ ይመዘገባል.ሲ. ሯጩ ውድድሩን እንደገና መውሰድ አለበት.ዲ. ውድድሩ ለዚያ ሯጭ ልክ እንዳልሆነ ታውጇል።</v>
      </c>
      <c r="J57" s="11" t="str">
        <f>IFERROR(__xludf.DUMMYFUNCTION(" GOOGLETRANSLATE(D57, ""en"", ""am"")"),"የሯጩ አጨራረስ በእጅ ይመዘገባል.")</f>
        <v>የሯጩ አጨራረስ በእጅ ይመዘገባል.</v>
      </c>
      <c r="K57" s="11" t="str">
        <f>IFERROR(__xludf.DUMMYFUNCTION(" GOOGLETRANSLATE(E57, ""en"", ""am"")"),"የጊዜ ጉዳዮች ብዙ ጊዜ በእጅ ምትኬዎች ይፈታሉ።")</f>
        <v>የጊዜ ጉዳዮች ብዙ ጊዜ በእጅ ምትኬዎች ይፈታሉ።</v>
      </c>
    </row>
    <row r="58" ht="22.5" customHeight="1">
      <c r="A58" s="10">
        <v>57.0</v>
      </c>
      <c r="B58" s="11" t="s">
        <v>1244</v>
      </c>
      <c r="C58" s="11" t="s">
        <v>1245</v>
      </c>
      <c r="D58" s="11" t="s">
        <v>1246</v>
      </c>
      <c r="E58" s="11" t="s">
        <v>1247</v>
      </c>
      <c r="G58" s="11" t="str">
        <f>IFERROR(__xludf.DUMMYFUNCTION(" GOOGLETRANSLATE(A58, ""en"", ""am"")"),"57")</f>
        <v>57</v>
      </c>
      <c r="H58" s="11" t="str">
        <f>IFERROR(__xludf.DUMMYFUNCTION(" GOOGLETRANSLATE(B58, ""en"", ""am"")"),"አንድ ሯጭ ለደንብ ጥሰት ብቁ አይሆንም ነገር ግን ጉዳያቸውን ይከራከራሉ። ምን ይሆናል?")</f>
        <v>አንድ ሯጭ ለደንብ ጥሰት ብቁ አይሆንም ነገር ግን ጉዳያቸውን ይከራከራሉ። ምን ይሆናል?</v>
      </c>
      <c r="I58" s="11" t="str">
        <f>IFERROR(__xludf.DUMMYFUNCTION(" GOOGLETRANSLATE(C58, ""en"", ""am"")"),"ሀ. ሯጩ ከግምገማ በኋላ እንደገና ወደ ውድድር እንዲገባ ይፈቀድለታል። ሯጩ ከባለሥልጣናት ጋር ለመከራከር ብቁ አይደለም.ሲ. የሯጩ ጉዳይ ታይቶ ውሳኔ ይሰጣል።መ. ሯጩ ከባለሥልጣናቱ ጋር በመጨቃጨቁ ይቀጣል።")</f>
        <v>ሀ. ሯጩ ከግምገማ በኋላ እንደገና ወደ ውድድር እንዲገባ ይፈቀድለታል። ሯጩ ከባለሥልጣናት ጋር ለመከራከር ብቁ አይደለም.ሲ. የሯጩ ጉዳይ ታይቶ ውሳኔ ይሰጣል።መ. ሯጩ ከባለሥልጣናቱ ጋር በመጨቃጨቁ ይቀጣል።</v>
      </c>
      <c r="J58" s="11" t="str">
        <f>IFERROR(__xludf.DUMMYFUNCTION(" GOOGLETRANSLATE(D58, ""en"", ""am"")"),"የሯጩ ጉዳይ ታይቶ ውሳኔ ይሰጣል።")</f>
        <v>የሯጩ ጉዳይ ታይቶ ውሳኔ ይሰጣል።</v>
      </c>
      <c r="K58" s="11" t="str">
        <f>IFERROR(__xludf.DUMMYFUNCTION(" GOOGLETRANSLATE(E58, ""en"", ""am"")"),"ኦፊሴላዊ ግምገማዎች አለመግባባቶችን በፍትሃዊ ውድድር ለመፍታት ይረዳሉ።")</f>
        <v>ኦፊሴላዊ ግምገማዎች አለመግባባቶችን በፍትሃዊ ውድድር ለመፍታት ይረዳሉ።</v>
      </c>
    </row>
    <row r="59" ht="22.5" customHeight="1">
      <c r="A59" s="10">
        <v>58.0</v>
      </c>
      <c r="B59" s="11" t="s">
        <v>1248</v>
      </c>
      <c r="C59" s="11" t="s">
        <v>1249</v>
      </c>
      <c r="D59" s="11" t="s">
        <v>1250</v>
      </c>
      <c r="E59" s="11" t="s">
        <v>1251</v>
      </c>
      <c r="G59" s="11" t="str">
        <f>IFERROR(__xludf.DUMMYFUNCTION(" GOOGLETRANSLATE(A59, ""en"", ""am"")"),"58")</f>
        <v>58</v>
      </c>
      <c r="H59" s="11" t="str">
        <f>IFERROR(__xludf.DUMMYFUNCTION(" GOOGLETRANSLATE(B59, ""en"", ""am"")"),"ያልተፈቀዱ መሳሪያዎችን ሲጠቀም ሯጭ ተይዟል። ምን ይሆናል?")</f>
        <v>ያልተፈቀዱ መሳሪያዎችን ሲጠቀም ሯጭ ተይዟል። ምን ይሆናል?</v>
      </c>
      <c r="I59" s="11" t="str">
        <f>IFERROR(__xludf.DUMMYFUNCTION(" GOOGLETRANSLATE(C59, ""en"", ""am"")"),"ሀ. ሯጩ ያልተፈቀዱ መሳሪያዎችን ለመጠቀም ብቁ አይደለም.ቢ. ሯጩ መሳሪያውን እንዲያስወግድ ማስጠንቀቂያ ተሰጥቶታል.ሲ. ሯጩ ያለምንም ቅጣት እንዲቀጥል ተፈቅዶለታል.ዲ. ሯጩ በጊዜ ማጣት ይቀጣል።")</f>
        <v>ሀ. ሯጩ ያልተፈቀዱ መሳሪያዎችን ለመጠቀም ብቁ አይደለም.ቢ. ሯጩ መሳሪያውን እንዲያስወግድ ማስጠንቀቂያ ተሰጥቶታል.ሲ. ሯጩ ያለምንም ቅጣት እንዲቀጥል ተፈቅዶለታል.ዲ. ሯጩ በጊዜ ማጣት ይቀጣል።</v>
      </c>
      <c r="J59" s="11" t="str">
        <f>IFERROR(__xludf.DUMMYFUNCTION(" GOOGLETRANSLATE(D59, ""en"", ""am"")"),"ሯጩ ያልተፈቀዱ መሳሪያዎችን ለመጠቀም ብቁ አይደለም።")</f>
        <v>ሯጩ ያልተፈቀዱ መሳሪያዎችን ለመጠቀም ብቁ አይደለም።</v>
      </c>
      <c r="K59" s="11" t="str">
        <f>IFERROR(__xludf.DUMMYFUNCTION(" GOOGLETRANSLATE(E59, ""en"", ""am"")"),"የመሳሪያዎች ደንቦች በውድድሩ ውስጥ ፍትሃዊነትን እና ደህንነትን ያረጋግጣሉ.")</f>
        <v>የመሳሪያዎች ደንቦች በውድድሩ ውስጥ ፍትሃዊነትን እና ደህንነትን ያረጋግጣሉ.</v>
      </c>
    </row>
    <row r="60" ht="22.5" customHeight="1">
      <c r="A60" s="10">
        <v>59.0</v>
      </c>
      <c r="B60" s="11" t="s">
        <v>1252</v>
      </c>
      <c r="C60" s="11" t="s">
        <v>1253</v>
      </c>
      <c r="D60" s="11" t="s">
        <v>1254</v>
      </c>
      <c r="E60" s="11" t="s">
        <v>1255</v>
      </c>
      <c r="G60" s="11" t="str">
        <f>IFERROR(__xludf.DUMMYFUNCTION(" GOOGLETRANSLATE(A60, ""en"", ""am"")"),"59")</f>
        <v>59</v>
      </c>
      <c r="H60" s="11" t="str">
        <f>IFERROR(__xludf.DUMMYFUNCTION(" GOOGLETRANSLATE(B60, ""en"", ""am"")"),"ሯጭ በትክክል ሳይሞቅ ይጀምራል። ምን ይሆናል?")</f>
        <v>ሯጭ በትክክል ሳይሞቅ ይጀምራል። ምን ይሆናል?</v>
      </c>
      <c r="I60" s="11" t="str">
        <f>IFERROR(__xludf.DUMMYFUNCTION(" GOOGLETRANSLATE(C60, ""en"", ""am"")"),"ሀ. ሯጩ ብቁ ላልሆነ ክስተት ብቁ አይደለም። ሯጩ እንዲቀጥል ተፈቅዶለታል ነገር ግን ሊጎዳ ይችላል.ሲ. ሯጩ በጊዜ ማጣት ይቀጣል.ዲ. ሯጩ ከመቀጠልዎ በፊት ማሞቂያውን ማጠናቀቅ አለበት.")</f>
        <v>ሀ. ሯጩ ብቁ ላልሆነ ክስተት ብቁ አይደለም። ሯጩ እንዲቀጥል ተፈቅዶለታል ነገር ግን ሊጎዳ ይችላል.ሲ. ሯጩ በጊዜ ማጣት ይቀጣል.ዲ. ሯጩ ከመቀጠልዎ በፊት ማሞቂያውን ማጠናቀቅ አለበት.</v>
      </c>
      <c r="J60" s="11" t="str">
        <f>IFERROR(__xludf.DUMMYFUNCTION(" GOOGLETRANSLATE(D60, ""en"", ""am"")"),"ሯጩ እንዲቀጥል ተፈቅዶለታል ግን ሊጎዳ ይችላል።")</f>
        <v>ሯጩ እንዲቀጥል ተፈቅዶለታል ግን ሊጎዳ ይችላል።</v>
      </c>
      <c r="K60" s="11" t="str">
        <f>IFERROR(__xludf.DUMMYFUNCTION(" GOOGLETRANSLATE(E60, ""en"", ""am"")"),"ማሞቅ ጉዳቶችን ለመከላከል እና አፈፃፀሙን ለማሻሻል ይረዳል.")</f>
        <v>ማሞቅ ጉዳቶችን ለመከላከል እና አፈፃፀሙን ለማሻሻል ይረዳል.</v>
      </c>
    </row>
    <row r="61" ht="22.5" customHeight="1">
      <c r="A61" s="10">
        <v>60.0</v>
      </c>
      <c r="B61" s="11" t="s">
        <v>1256</v>
      </c>
      <c r="C61" s="11" t="s">
        <v>1257</v>
      </c>
      <c r="D61" s="11" t="s">
        <v>1258</v>
      </c>
      <c r="E61" s="11" t="s">
        <v>1259</v>
      </c>
      <c r="G61" s="11" t="str">
        <f>IFERROR(__xludf.DUMMYFUNCTION(" GOOGLETRANSLATE(A61, ""en"", ""am"")"),"60")</f>
        <v>60</v>
      </c>
      <c r="H61" s="11" t="str">
        <f>IFERROR(__xludf.DUMMYFUNCTION(" GOOGLETRANSLATE(B61, ""en"", ""am"")"),"አንድ ሯጭ ውድድሩ ሲጀምር መግባቱን ይረሳል። ምን ይሆናል?")</f>
        <v>አንድ ሯጭ ውድድሩ ሲጀምር መግባቱን ይረሳል። ምን ይሆናል?</v>
      </c>
      <c r="I61" s="11" t="str">
        <f>IFERROR(__xludf.DUMMYFUNCTION(" GOOGLETRANSLATE(C61, ""en"", ""am"")"),"ሀ. ሯጩ ስላልገባ ብቁ አይደለም ለ. ሯጩ እንዲወዳደር ተፈቅዶለታል ግን በይፋ ጊዜ ሊሰጥ አይችልም.ሲ. ሯጩ በመጨረሻ ከገባ በኋላ እንዲወዳደር ይፈቀድለታል ዲ. ሯጩ መግባትን ስለረሳው ይቀጣል።")</f>
        <v>ሀ. ሯጩ ስላልገባ ብቁ አይደለም ለ. ሯጩ እንዲወዳደር ተፈቅዶለታል ግን በይፋ ጊዜ ሊሰጥ አይችልም.ሲ. ሯጩ በመጨረሻ ከገባ በኋላ እንዲወዳደር ይፈቀድለታል ዲ. ሯጩ መግባትን ስለረሳው ይቀጣል።</v>
      </c>
      <c r="J61" s="11" t="str">
        <f>IFERROR(__xludf.DUMMYFUNCTION(" GOOGLETRANSLATE(D61, ""en"", ""am"")"),"ሯጩ እንዲወዳደር ተፈቅዶለታል ግን በይፋ ጊዜ ሊሰጠው አይችልም።")</f>
        <v>ሯጩ እንዲወዳደር ተፈቅዶለታል ግን በይፋ ጊዜ ሊሰጠው አይችልም።</v>
      </c>
      <c r="K61" s="11" t="str">
        <f>IFERROR(__xludf.DUMMYFUNCTION(" GOOGLETRANSLATE(E61, ""en"", ""am"")"),"በይፋ አለመብቃት ውስጥ ውጤቶችን መግባት አለመቻል።")</f>
        <v>በይፋ አለመብቃት ውስጥ ውጤቶችን መግባት አለመቻል።</v>
      </c>
    </row>
    <row r="62" ht="22.5" customHeight="1">
      <c r="A62" s="10">
        <v>61.0</v>
      </c>
      <c r="B62" s="11" t="s">
        <v>1260</v>
      </c>
      <c r="C62" s="11" t="s">
        <v>1261</v>
      </c>
      <c r="D62" s="11" t="s">
        <v>1262</v>
      </c>
      <c r="E62" s="11" t="s">
        <v>1263</v>
      </c>
      <c r="G62" s="11" t="str">
        <f>IFERROR(__xludf.DUMMYFUNCTION(" GOOGLETRANSLATE(A62, ""en"", ""am"")"),"61")</f>
        <v>61</v>
      </c>
      <c r="H62" s="11" t="str">
        <f>IFERROR(__xludf.DUMMYFUNCTION(" GOOGLETRANSLATE(B62, ""en"", ""am"")"),"በሩጫ ወቅት የሯጭ እግር መስመሩን ይነካል። ምን ይሆናል?")</f>
        <v>በሩጫ ወቅት የሯጭ እግር መስመሩን ይነካል። ምን ይሆናል?</v>
      </c>
      <c r="I62" s="11" t="str">
        <f>IFERROR(__xludf.DUMMYFUNCTION(" GOOGLETRANSLATE(C62, ""en"", ""am"")"),"ሀ. ሯጩ በውሸት ጅምር ለመጀመር ብቁ አይደለም.ቢ. ሯጩ በማስጠንቀቂያ እንዲቀጥል ተፈቅዶለታል.ሲ. ሯጩ በጊዜ ማጣት ይቀጣል.ዲ. ሯጩ የመነሻ መስመሩን ትቶ እንደገና እንዲሞክር ይጠየቃል።")</f>
        <v>ሀ. ሯጩ በውሸት ጅምር ለመጀመር ብቁ አይደለም.ቢ. ሯጩ በማስጠንቀቂያ እንዲቀጥል ተፈቅዶለታል.ሲ. ሯጩ በጊዜ ማጣት ይቀጣል.ዲ. ሯጩ የመነሻ መስመሩን ትቶ እንደገና እንዲሞክር ይጠየቃል።</v>
      </c>
      <c r="J62" s="11" t="str">
        <f>IFERROR(__xludf.DUMMYFUNCTION(" GOOGLETRANSLATE(D62, ""en"", ""am"")"),"ሯጩ በማስጠንቀቂያ እንዲቀጥል ተፈቅዶለታል።")</f>
        <v>ሯጩ በማስጠንቀቂያ እንዲቀጥል ተፈቅዶለታል።</v>
      </c>
      <c r="K62" s="11" t="str">
        <f>IFERROR(__xludf.DUMMYFUNCTION(" GOOGLETRANSLATE(E62, ""en"", ""am"")"),"የውሸት ጅምር ቅጣቶች ብዙውን ጊዜ መስመር ከተሻገረ ነው።")</f>
        <v>የውሸት ጅምር ቅጣቶች ብዙውን ጊዜ መስመር ከተሻገረ ነው።</v>
      </c>
    </row>
    <row r="63" ht="22.5" customHeight="1">
      <c r="A63" s="10">
        <v>62.0</v>
      </c>
      <c r="B63" s="11" t="s">
        <v>1264</v>
      </c>
      <c r="C63" s="11" t="s">
        <v>1265</v>
      </c>
      <c r="D63" s="11" t="s">
        <v>1266</v>
      </c>
      <c r="E63" s="11" t="s">
        <v>1267</v>
      </c>
      <c r="G63" s="11" t="str">
        <f>IFERROR(__xludf.DUMMYFUNCTION(" GOOGLETRANSLATE(A63, ""en"", ""am"")"),"62")</f>
        <v>62</v>
      </c>
      <c r="H63" s="11" t="str">
        <f>IFERROR(__xludf.DUMMYFUNCTION(" GOOGLETRANSLATE(B63, ""en"", ""am"")"),"አንድ ሯጭ በውድድሩ ወቅት ማስጠንቀቂያ ይደርሰዋል። ምን ይሆናል?")</f>
        <v>አንድ ሯጭ በውድድሩ ወቅት ማስጠንቀቂያ ይደርሰዋል። ምን ይሆናል?</v>
      </c>
      <c r="I63" s="11" t="str">
        <f>IFERROR(__xludf.DUMMYFUNCTION(" GOOGLETRANSLATE(C63, ""en"", ""am"")"),"ሀ. ሯጩ ለተደጋጋሚ ማስጠንቀቂያ ብቁ አይደለም.ቢ. ህጉ እንደገና ካልተጣሰ በስተቀር ሯጩ ያለ ቅጣት ይቀጥላል። ሯጩ በጊዜ ማጣት ይቀጣል.ዲ. ሯጩ ለመቀጠል ሌላ እድል ይሰጠዋል.")</f>
        <v>ሀ. ሯጩ ለተደጋጋሚ ማስጠንቀቂያ ብቁ አይደለም.ቢ. ህጉ እንደገና ካልተጣሰ በስተቀር ሯጩ ያለ ቅጣት ይቀጥላል። ሯጩ በጊዜ ማጣት ይቀጣል.ዲ. ሯጩ ለመቀጠል ሌላ እድል ይሰጠዋል.</v>
      </c>
      <c r="J63" s="11" t="str">
        <f>IFERROR(__xludf.DUMMYFUNCTION(" GOOGLETRANSLATE(D63, ""en"", ""am"")"),"ህጉ እንደገና ካልተጣሰ በስተቀር ሯጩ ያለ ቅጣት ይቀጥላል።")</f>
        <v>ህጉ እንደገና ካልተጣሰ በስተቀር ሯጩ ያለ ቅጣት ይቀጥላል።</v>
      </c>
      <c r="K63" s="11" t="str">
        <f>IFERROR(__xludf.DUMMYFUNCTION(" GOOGLETRANSLATE(E63, ""en"", ""am"")"),"ማስጠንቀቂያዎች በውድድር ወቅት ባህሪን ለማስተካከል እድል ናቸው።")</f>
        <v>ማስጠንቀቂያዎች በውድድር ወቅት ባህሪን ለማስተካከል እድል ናቸው።</v>
      </c>
    </row>
    <row r="64" ht="22.5" customHeight="1">
      <c r="A64" s="10">
        <v>63.0</v>
      </c>
      <c r="B64" s="11" t="s">
        <v>1268</v>
      </c>
      <c r="C64" s="11" t="s">
        <v>1269</v>
      </c>
      <c r="D64" s="11" t="s">
        <v>1270</v>
      </c>
      <c r="E64" s="11" t="s">
        <v>1271</v>
      </c>
      <c r="G64" s="11" t="str">
        <f>IFERROR(__xludf.DUMMYFUNCTION(" GOOGLETRANSLATE(A64, ""en"", ""am"")"),"63")</f>
        <v>63</v>
      </c>
      <c r="H64" s="11" t="str">
        <f>IFERROR(__xludf.DUMMYFUNCTION(" GOOGLETRANSLATE(B64, ""en"", ""am"")"),"ሯጭ ከሌሎች ቀድመው የማጠናቀቂያ መስመሩን ይሻገራል ግን አያከብርም። ምን ይሆናል?")</f>
        <v>ሯጭ ከሌሎች ቀድመው የማጠናቀቂያ መስመሩን ይሻገራል ግን አያከብርም። ምን ይሆናል?</v>
      </c>
      <c r="I64" s="11" t="str">
        <f>IFERROR(__xludf.DUMMYFUNCTION(" GOOGLETRANSLATE(C64, ""en"", ""am"")"),"ሀ. ሯጩ በስፖርታዊ ጨዋነት ጉድለት ተቀጣ። ሯጩ በሙያው ተመስግኗል። ሯጩ በመጨረሱ ደስተኛ ነበር ዲ. ሯጩ በንግግራቸው እክል ምክንያት ችላ ይባላል.")</f>
        <v>ሀ. ሯጩ በስፖርታዊ ጨዋነት ጉድለት ተቀጣ። ሯጩ በሙያው ተመስግኗል። ሯጩ በመጨረሱ ደስተኛ ነበር ዲ. ሯጩ በንግግራቸው እክል ምክንያት ችላ ይባላል.</v>
      </c>
      <c r="J64" s="11" t="str">
        <f>IFERROR(__xludf.DUMMYFUNCTION(" GOOGLETRANSLATE(D64, ""en"", ""am"")"),"ሯጩ በሙያውነቱ ይወደሳል።")</f>
        <v>ሯጩ በሙያውነቱ ይወደሳል።</v>
      </c>
      <c r="K64" s="11" t="str">
        <f>IFERROR(__xludf.DUMMYFUNCTION(" GOOGLETRANSLATE(E64, ""en"", ""am"")"),"የበዓላት እጦት ብዙውን ጊዜ የዘር ውጤቶችን አይጎዳውም.")</f>
        <v>የበዓላት እጦት ብዙውን ጊዜ የዘር ውጤቶችን አይጎዳውም.</v>
      </c>
    </row>
    <row r="65" ht="22.5" customHeight="1">
      <c r="A65" s="10">
        <v>64.0</v>
      </c>
      <c r="B65" s="11" t="s">
        <v>1272</v>
      </c>
      <c r="C65" s="11" t="s">
        <v>1273</v>
      </c>
      <c r="D65" s="11" t="s">
        <v>1274</v>
      </c>
      <c r="E65" s="11" t="s">
        <v>1275</v>
      </c>
      <c r="G65" s="11" t="str">
        <f>IFERROR(__xludf.DUMMYFUNCTION(" GOOGLETRANSLATE(A65, ""en"", ""am"")"),"64")</f>
        <v>64</v>
      </c>
      <c r="H65" s="11" t="str">
        <f>IFERROR(__xludf.DUMMYFUNCTION(" GOOGLETRANSLATE(B65, ""en"", ""am"")"),"ሯጭ ውድድሩን ጨርሷል ነገርግን ወዲያውኑ አያቆምም። ምን ይሆናል?")</f>
        <v>ሯጭ ውድድሩን ጨርሷል ነገርግን ወዲያውኑ አያቆምም። ምን ይሆናል?</v>
      </c>
      <c r="I65" s="11" t="str">
        <f>IFERROR(__xludf.DUMMYFUNCTION(" GOOGLETRANSLATE(C65, ""en"", ""am"")"),"ሀ. ሯጩ ለማቆም ብቁ አይሆንም.ቢ. ሯጩ በጊዜ ማጣት ይቀጣል.ሲ. ሯጩ ከጨረሰ በኋላ እንዲያቆም ማስጠንቀቂያ ተሰጥቷል.ዲ. ሯጮች በራሳቸው ፍጥነት እንዲጨርሱ ይፈቀድላቸዋል።")</f>
        <v>ሀ. ሯጩ ለማቆም ብቁ አይሆንም.ቢ. ሯጩ በጊዜ ማጣት ይቀጣል.ሲ. ሯጩ ከጨረሰ በኋላ እንዲያቆም ማስጠንቀቂያ ተሰጥቷል.ዲ. ሯጮች በራሳቸው ፍጥነት እንዲጨርሱ ይፈቀድላቸዋል።</v>
      </c>
      <c r="J65" s="11" t="str">
        <f>IFERROR(__xludf.DUMMYFUNCTION(" GOOGLETRANSLATE(D65, ""en"", ""am"")"),"ሯጩ ከጨረሰ በኋላ እንዲያቆም ማስጠንቀቂያ ተሰጥቷል።")</f>
        <v>ሯጩ ከጨረሰ በኋላ እንዲያቆም ማስጠንቀቂያ ተሰጥቷል።</v>
      </c>
      <c r="K65" s="11" t="str">
        <f>IFERROR(__xludf.DUMMYFUNCTION(" GOOGLETRANSLATE(E65, ""en"", ""am"")"),"ውድድሩን በይፋ ለመጨረስ ሯጩ ማቆም አለበት።")</f>
        <v>ውድድሩን በይፋ ለመጨረስ ሯጩ ማቆም አለበት።</v>
      </c>
    </row>
    <row r="66" ht="22.5" customHeight="1">
      <c r="A66" s="10">
        <v>65.0</v>
      </c>
      <c r="B66" s="11" t="s">
        <v>1276</v>
      </c>
      <c r="C66" s="11" t="s">
        <v>1277</v>
      </c>
      <c r="D66" s="11" t="s">
        <v>1196</v>
      </c>
      <c r="E66" s="11" t="s">
        <v>1197</v>
      </c>
      <c r="G66" s="11" t="str">
        <f>IFERROR(__xludf.DUMMYFUNCTION(" GOOGLETRANSLATE(A66, ""en"", ""am"")"),"65")</f>
        <v>65</v>
      </c>
      <c r="H66" s="11" t="str">
        <f>IFERROR(__xludf.DUMMYFUNCTION(" GOOGLETRANSLATE(B66, ""en"", ""am"")"),"ሯጭ ውድድሩን ቀደም ብሎ ይጀምራል እና ይያዛል። ምን ይሆናል?")</f>
        <v>ሯጭ ውድድሩን ቀደም ብሎ ይጀምራል እና ይያዛል። ምን ይሆናል?</v>
      </c>
      <c r="I66" s="11" t="str">
        <f>IFERROR(__xludf.DUMMYFUNCTION(" GOOGLETRANSLATE(C66, ""en"", ""am"")"),"ሀ. ሯጩ በውሸት ጅምር ለመጀመር ብቁ አይደለም.ቢ. ሯጩ ማስጠንቀቂያ ተሰጥቶት እንዲቀጥል ተፈቅዶለታል። ሯጩ በጊዜ ማጣት ይቀጣል.ዲ. ሯጩ ከጀርባ መጀመር አለበት.")</f>
        <v>ሀ. ሯጩ በውሸት ጅምር ለመጀመር ብቁ አይደለም.ቢ. ሯጩ ማስጠንቀቂያ ተሰጥቶት እንዲቀጥል ተፈቅዶለታል። ሯጩ በጊዜ ማጣት ይቀጣል.ዲ. ሯጩ ከጀርባ መጀመር አለበት.</v>
      </c>
      <c r="J66" s="11" t="str">
        <f>IFERROR(__xludf.DUMMYFUNCTION(" GOOGLETRANSLATE(D66, ""en"", ""am"")"),"ሯጩ በውሸት ጅምር ለመጀመር ብቁ አይደለም።")</f>
        <v>ሯጩ በውሸት ጅምር ለመጀመር ብቁ አይደለም።</v>
      </c>
      <c r="K66" s="11" t="str">
        <f>IFERROR(__xludf.DUMMYFUNCTION(" GOOGLETRANSLATE(E66, ""en"", ""am"")"),"የውሸት ጅምር ብዙ ጊዜ ብቁ አለመሆንን ያስከትላል።")</f>
        <v>የውሸት ጅምር ብዙ ጊዜ ብቁ አለመሆንን ያስከትላል።</v>
      </c>
    </row>
    <row r="67" ht="22.5" customHeight="1">
      <c r="A67" s="10">
        <v>66.0</v>
      </c>
      <c r="B67" s="11" t="s">
        <v>1278</v>
      </c>
      <c r="C67" s="11" t="s">
        <v>1279</v>
      </c>
      <c r="D67" s="11" t="s">
        <v>1280</v>
      </c>
      <c r="E67" s="11" t="s">
        <v>1281</v>
      </c>
      <c r="G67" s="11" t="str">
        <f>IFERROR(__xludf.DUMMYFUNCTION(" GOOGLETRANSLATE(A67, ""en"", ""am"")"),"66")</f>
        <v>66</v>
      </c>
      <c r="H67" s="11" t="str">
        <f>IFERROR(__xludf.DUMMYFUNCTION(" GOOGLETRANSLATE(B67, ""en"", ""am"")"),"ሯጭ ውድድሩን ቢያጠናቅቅም የፍጻሜውን መስመር በትክክል ማለፍ አልቻለም። ምን ይሆናል?")</f>
        <v>ሯጭ ውድድሩን ቢያጠናቅቅም የፍጻሜውን መስመር በትክክል ማለፍ አልቻለም። ምን ይሆናል?</v>
      </c>
      <c r="I67" s="11" t="str">
        <f>IFERROR(__xludf.DUMMYFUNCTION(" GOOGLETRANSLATE(C67, ""en"", ""am"")"),"ሀ. ሯጩ በአግባቡ ባለማጠናቀቁ ውድቅ ተደርጓል። ሯጩ የመጨረሻውን መስመር ለመሻገር ሁለተኛ እድል ይሰጠዋል.ሲ. ሯጩ ላልተገባ አጨራረስ ይቀጣል.ዲ. ሯጩ እንደገና እንዲጨርስ ተፈቅዶለታል።")</f>
        <v>ሀ. ሯጩ በአግባቡ ባለማጠናቀቁ ውድቅ ተደርጓል። ሯጩ የመጨረሻውን መስመር ለመሻገር ሁለተኛ እድል ይሰጠዋል.ሲ. ሯጩ ላልተገባ አጨራረስ ይቀጣል.ዲ. ሯጩ እንደገና እንዲጨርስ ተፈቅዶለታል።</v>
      </c>
      <c r="J67" s="11" t="str">
        <f>IFERROR(__xludf.DUMMYFUNCTION(" GOOGLETRANSLATE(D67, ""en"", ""am"")"),"ሯጩ በአግባቡ ባለማጠናቀቁ ውድቅ ተደርጓል።")</f>
        <v>ሯጩ በአግባቡ ባለማጠናቀቁ ውድቅ ተደርጓል።</v>
      </c>
      <c r="K67" s="11" t="str">
        <f>IFERROR(__xludf.DUMMYFUNCTION(" GOOGLETRANSLATE(E67, ""en"", ""am"")"),"የመጨረሻውን መስመር በትክክል ማለፍ ለኦፊሴላዊ ውጤቶች አስፈላጊ ነው.")</f>
        <v>የመጨረሻውን መስመር በትክክል ማለፍ ለኦፊሴላዊ ውጤቶች አስፈላጊ ነው.</v>
      </c>
    </row>
    <row r="68" ht="22.5" customHeight="1">
      <c r="A68" s="10">
        <v>67.0</v>
      </c>
      <c r="B68" s="11" t="s">
        <v>1282</v>
      </c>
      <c r="C68" s="11" t="s">
        <v>1283</v>
      </c>
      <c r="D68" s="11" t="s">
        <v>1284</v>
      </c>
      <c r="E68" s="11" t="s">
        <v>1285</v>
      </c>
      <c r="G68" s="11" t="str">
        <f>IFERROR(__xludf.DUMMYFUNCTION(" GOOGLETRANSLATE(A68, ""en"", ""am"")"),"67")</f>
        <v>67</v>
      </c>
      <c r="H68" s="11" t="str">
        <f>IFERROR(__xludf.DUMMYFUNCTION(" GOOGLETRANSLATE(B68, ""en"", ""am"")"),"በውድድሩ ወቅት ሯጭ ሌላ ሯጭ ያልፋል። ምን ይሆናል?")</f>
        <v>በውድድሩ ወቅት ሯጭ ሌላ ሯጭ ያልፋል። ምን ይሆናል?</v>
      </c>
      <c r="I68" s="11" t="str">
        <f>IFERROR(__xludf.DUMMYFUNCTION(" GOOGLETRANSLATE(C68, ""en"", ""am"")"),"ሀ. ሯጩ ጣልቃ ለመግባት ብቁ አይደለም.ቢ. ሯጩ ማስጠንቀቂያ ተሰጥቶታል ግን እንዲቀጥል ተፈቅዶለታል። ሯጩ በጊዜ ማጣት ይቀጣል.ዲ. ሯጩ ይቅርታ መጠየቅ እና መቀጠል አለበት።")</f>
        <v>ሀ. ሯጩ ጣልቃ ለመግባት ብቁ አይደለም.ቢ. ሯጩ ማስጠንቀቂያ ተሰጥቶታል ግን እንዲቀጥል ተፈቅዶለታል። ሯጩ በጊዜ ማጣት ይቀጣል.ዲ. ሯጩ ይቅርታ መጠየቅ እና መቀጠል አለበት።</v>
      </c>
      <c r="J68" s="11" t="str">
        <f>IFERROR(__xludf.DUMMYFUNCTION(" GOOGLETRANSLATE(D68, ""en"", ""am"")"),"ሯጩ ጣልቃ ለመግባት ብቁ አይደለም።")</f>
        <v>ሯጩ ጣልቃ ለመግባት ብቁ አይደለም።</v>
      </c>
      <c r="K68" s="11" t="str">
        <f>IFERROR(__xludf.DUMMYFUNCTION(" GOOGLETRANSLATE(E68, ""en"", ""am"")"),"በሌላ ሯጭ አፈጻጸም ላይ ጣልቃ መግባቱ ብቁ እንዳይሆን ሊያደርግ ይችላል።")</f>
        <v>በሌላ ሯጭ አፈጻጸም ላይ ጣልቃ መግባቱ ብቁ እንዳይሆን ሊያደርግ ይችላል።</v>
      </c>
    </row>
    <row r="69" ht="22.5" customHeight="1">
      <c r="A69" s="10">
        <v>68.0</v>
      </c>
      <c r="B69" s="11" t="s">
        <v>1286</v>
      </c>
      <c r="C69" s="11" t="s">
        <v>1287</v>
      </c>
      <c r="D69" s="11" t="s">
        <v>1288</v>
      </c>
      <c r="E69" s="11" t="s">
        <v>1289</v>
      </c>
      <c r="G69" s="11" t="str">
        <f>IFERROR(__xludf.DUMMYFUNCTION(" GOOGLETRANSLATE(A69, ""en"", ""am"")"),"68")</f>
        <v>68</v>
      </c>
      <c r="H69" s="11" t="str">
        <f>IFERROR(__xludf.DUMMYFUNCTION(" GOOGLETRANSLATE(B69, ""en"", ""am"")"),"ሯጭ ውድድሩን ጨርሷል ነገር ግን ሰዓት ቆጣሪውን ማቆም ይረሳል። ምን ይሆናል?")</f>
        <v>ሯጭ ውድድሩን ጨርሷል ነገር ግን ሰዓት ቆጣሪውን ማቆም ይረሳል። ምን ይሆናል?</v>
      </c>
      <c r="I69" s="11" t="str">
        <f>IFERROR(__xludf.DUMMYFUNCTION(" GOOGLETRANSLATE(C69, ""en"", ""am"")"),"ሀ. ሯጩ የሰዓት ቆጣሪውን ለማቆም ባለመቻሉ ብቁ አይደለም.ቢ. ሯጩ በጊዜ ማጣት ይቀጣል.ሲ. ሯጩ ጊዜ ቆጣሪቸውን እንዲያቆም ማስጠንቀቂያ ተሰጥቷል.ዲ. ሯጩ ያለምንም ቅጣት እንዲቀጥል ተፈቅዶለታል።")</f>
        <v>ሀ. ሯጩ የሰዓት ቆጣሪውን ለማቆም ባለመቻሉ ብቁ አይደለም.ቢ. ሯጩ በጊዜ ማጣት ይቀጣል.ሲ. ሯጩ ጊዜ ቆጣሪቸውን እንዲያቆም ማስጠንቀቂያ ተሰጥቷል.ዲ. ሯጩ ያለምንም ቅጣት እንዲቀጥል ተፈቅዶለታል።</v>
      </c>
      <c r="J69" s="11" t="str">
        <f>IFERROR(__xludf.DUMMYFUNCTION(" GOOGLETRANSLATE(D69, ""en"", ""am"")"),"ሯጩ ጊዜ ቆጣሪቸውን እንዲያቆም ማስጠንቀቂያ ተሰጥቶታል።")</f>
        <v>ሯጩ ጊዜ ቆጣሪቸውን እንዲያቆም ማስጠንቀቂያ ተሰጥቶታል።</v>
      </c>
      <c r="K69" s="11" t="str">
        <f>IFERROR(__xludf.DUMMYFUNCTION(" GOOGLETRANSLATE(E69, ""en"", ""am"")"),"ሰዓት ቆጣሪውን አለማቆም ከኦፊሴላዊው ሰዓት ጋር ግራ መጋባትን ሊያስከትል ይችላል።")</f>
        <v>ሰዓት ቆጣሪውን አለማቆም ከኦፊሴላዊው ሰዓት ጋር ግራ መጋባትን ሊያስከትል ይችላል።</v>
      </c>
    </row>
    <row r="70" ht="22.5" customHeight="1">
      <c r="A70" s="10">
        <v>69.0</v>
      </c>
      <c r="B70" s="11" t="s">
        <v>1290</v>
      </c>
      <c r="C70" s="11" t="s">
        <v>1291</v>
      </c>
      <c r="D70" s="11" t="s">
        <v>1292</v>
      </c>
      <c r="E70" s="11" t="s">
        <v>1293</v>
      </c>
      <c r="G70" s="11" t="str">
        <f>IFERROR(__xludf.DUMMYFUNCTION(" GOOGLETRANSLATE(A70, ""en"", ""am"")"),"69")</f>
        <v>69</v>
      </c>
      <c r="H70" s="11" t="str">
        <f>IFERROR(__xludf.DUMMYFUNCTION(" GOOGLETRANSLATE(B70, ""en"", ""am"")"),"ሯጭ ግራ ይጋባና ወደ ተሳሳተ አቅጣጫ መሮጥ ይጀምራል። ምን ይሆናል?")</f>
        <v>ሯጭ ግራ ይጋባና ወደ ተሳሳተ አቅጣጫ መሮጥ ይጀምራል። ምን ይሆናል?</v>
      </c>
      <c r="I70" s="11" t="str">
        <f>IFERROR(__xludf.DUMMYFUNCTION(" GOOGLETRANSLATE(C70, ""en"", ""am"")"),"ሀ. ሯጩ ትክክለኛውን መንገድ ባለመከተሉ ውድቅ ተደርጓል። ሯጩ አቅጣጫቸውን እንዲያስተካክሉ እና እንዲቀጥሉ ተፈቅዶላቸዋል.ሲ. ሯጩ በጊዜ ማጣት ይቀጣል.ዲ. ሯጩ ወዲያውኑ ወደ ትክክለኛው መንገድ እንዲመለስ ይፈለጋል.")</f>
        <v>ሀ. ሯጩ ትክክለኛውን መንገድ ባለመከተሉ ውድቅ ተደርጓል። ሯጩ አቅጣጫቸውን እንዲያስተካክሉ እና እንዲቀጥሉ ተፈቅዶላቸዋል.ሲ. ሯጩ በጊዜ ማጣት ይቀጣል.ዲ. ሯጩ ወዲያውኑ ወደ ትክክለኛው መንገድ እንዲመለስ ይፈለጋል.</v>
      </c>
      <c r="J70" s="11" t="str">
        <f>IFERROR(__xludf.DUMMYFUNCTION(" GOOGLETRANSLATE(D70, ""en"", ""am"")"),"ሯጩ አቅጣጫቸውን እንዲያስተካክል እና እንዲቀጥል ይፈቀድለታል.")</f>
        <v>ሯጩ አቅጣጫቸውን እንዲያስተካክል እና እንዲቀጥል ይፈቀድለታል.</v>
      </c>
      <c r="K70" s="11" t="str">
        <f>IFERROR(__xludf.DUMMYFUNCTION(" GOOGLETRANSLATE(E70, ""en"", ""am"")"),"ከመንገድ የራቁ ሯጮች በፍጥነት ወደ ትክክለኛው መንገድ መመለስ አለባቸው።")</f>
        <v>ከመንገድ የራቁ ሯጮች በፍጥነት ወደ ትክክለኛው መንገድ መመለስ አለባቸው።</v>
      </c>
    </row>
    <row r="71" ht="22.5" customHeight="1">
      <c r="A71" s="10">
        <v>70.0</v>
      </c>
      <c r="B71" s="11" t="s">
        <v>1294</v>
      </c>
      <c r="C71" s="11" t="s">
        <v>1295</v>
      </c>
      <c r="D71" s="11" t="s">
        <v>1296</v>
      </c>
      <c r="E71" s="11" t="s">
        <v>1297</v>
      </c>
      <c r="G71" s="11" t="str">
        <f>IFERROR(__xludf.DUMMYFUNCTION(" GOOGLETRANSLATE(A71, ""en"", ""am"")"),"70")</f>
        <v>70</v>
      </c>
      <c r="H71" s="11" t="str">
        <f>IFERROR(__xludf.DUMMYFUNCTION(" GOOGLETRANSLATE(B71, ""en"", ""am"")"),"በሩጫው ወቅት አንድ ሯጭ በትራክ ላይ የህክምና እርዳታ ያገኛል። ምን ይሆናል?")</f>
        <v>በሩጫው ወቅት አንድ ሯጭ በትራክ ላይ የህክምና እርዳታ ያገኛል። ምን ይሆናል?</v>
      </c>
      <c r="I71" s="11" t="str">
        <f>IFERROR(__xludf.DUMMYFUNCTION(" GOOGLETRANSLATE(C71, ""en"", ""am"")"),"ሀ. ሯጩ ለህክምና እርዳታ ብቁ አይደለም.ቢ. ሯጩ በህክምና ባለሙያዎች ከተፈተሸ በኋላ እንዲቀጥል ይፈቀድለታል.ሲ. ሯጩ የሚቀጣው የሕክምና እረፍት በመውሰድ ነው.ዲ. ሯጩ ሙሉ በሙሉ እስኪያገግም ድረስ እንዳይቀጥል ይደረጋል።")</f>
        <v>ሀ. ሯጩ ለህክምና እርዳታ ብቁ አይደለም.ቢ. ሯጩ በህክምና ባለሙያዎች ከተፈተሸ በኋላ እንዲቀጥል ይፈቀድለታል.ሲ. ሯጩ የሚቀጣው የሕክምና እረፍት በመውሰድ ነው.ዲ. ሯጩ ሙሉ በሙሉ እስኪያገግም ድረስ እንዳይቀጥል ይደረጋል።</v>
      </c>
      <c r="J71" s="11" t="str">
        <f>IFERROR(__xludf.DUMMYFUNCTION(" GOOGLETRANSLATE(D71, ""en"", ""am"")"),"ሯጩ በህክምና ባለሙያዎች ከተጣራ በኋላ እንዲቀጥል ይፈቀድለታል.")</f>
        <v>ሯጩ በህክምና ባለሙያዎች ከተጣራ በኋላ እንዲቀጥል ይፈቀድለታል.</v>
      </c>
      <c r="K71" s="11" t="str">
        <f>IFERROR(__xludf.DUMMYFUNCTION(" GOOGLETRANSLATE(E71, ""en"", ""am"")"),"የሕክምና ምርመራዎች ከመቀጠላቸው በፊት የሯጩን ደህንነት ያረጋግጣል.")</f>
        <v>የሕክምና ምርመራዎች ከመቀጠላቸው በፊት የሯጩን ደህንነት ያረጋግጣል.</v>
      </c>
    </row>
    <row r="72" ht="22.5" customHeight="1">
      <c r="A72" s="10">
        <v>71.0</v>
      </c>
      <c r="B72" s="11" t="s">
        <v>1298</v>
      </c>
      <c r="C72" s="11" t="s">
        <v>1299</v>
      </c>
      <c r="D72" s="11" t="s">
        <v>1300</v>
      </c>
      <c r="E72" s="11" t="s">
        <v>1301</v>
      </c>
      <c r="G72" s="11" t="str">
        <f>IFERROR(__xludf.DUMMYFUNCTION(" GOOGLETRANSLATE(A72, ""en"", ""am"")"),"71")</f>
        <v>71</v>
      </c>
      <c r="H72" s="11" t="str">
        <f>IFERROR(__xludf.DUMMYFUNCTION(" GOOGLETRANSLATE(B72, ""en"", ""am"")"),"ሯጭ ጫማውን ለማስተካከል በሩጫ መሀል ይቆማል። ምን ይሆናል?")</f>
        <v>ሯጭ ጫማውን ለማስተካከል በሩጫ መሀል ይቆማል። ምን ይሆናል?</v>
      </c>
      <c r="I72" s="11" t="str">
        <f>IFERROR(__xludf.DUMMYFUNCTION(" GOOGLETRANSLATE(C72, ""en"", ""am"")"),"ሀ. ሯጩ ለአላስፈላጊ መቆራረጥ ብቁ አይሆንም። ሯጩ ለማቆም ጊዜ በማጣቱ ይቀጣል.ሲ. ሯጩ ጫማቸውን ካስተካከለ በኋላ እንዲቀጥል ተፈቅዶለታል.ዲ. ሯጩ ለአላስፈላጊ ማቆም ማስጠንቀቂያ ይሰጠዋል.")</f>
        <v>ሀ. ሯጩ ለአላስፈላጊ መቆራረጥ ብቁ አይሆንም። ሯጩ ለማቆም ጊዜ በማጣቱ ይቀጣል.ሲ. ሯጩ ጫማቸውን ካስተካከለ በኋላ እንዲቀጥል ተፈቅዶለታል.ዲ. ሯጩ ለአላስፈላጊ ማቆም ማስጠንቀቂያ ይሰጠዋል.</v>
      </c>
      <c r="J72" s="11" t="str">
        <f>IFERROR(__xludf.DUMMYFUNCTION(" GOOGLETRANSLATE(D72, ""en"", ""am"")"),"ሯጭ ጫማቸውን ካስተካከለ በኋላ እንዲቀጥል ይፈቀድለታል.")</f>
        <v>ሯጭ ጫማቸውን ካስተካከለ በኋላ እንዲቀጥል ይፈቀድለታል.</v>
      </c>
      <c r="K72" s="11" t="str">
        <f>IFERROR(__xludf.DUMMYFUNCTION(" GOOGLETRANSLATE(E72, ""en"", ""am"")"),"ሯጮች ያለ ቅጣት አጭር ማስተካከያ ይፈቀዳሉ።")</f>
        <v>ሯጮች ያለ ቅጣት አጭር ማስተካከያ ይፈቀዳሉ።</v>
      </c>
    </row>
    <row r="73" ht="22.5" customHeight="1">
      <c r="A73" s="10">
        <v>72.0</v>
      </c>
      <c r="B73" s="11" t="s">
        <v>1302</v>
      </c>
      <c r="C73" s="11" t="s">
        <v>1303</v>
      </c>
      <c r="D73" s="11" t="s">
        <v>1227</v>
      </c>
      <c r="E73" s="11" t="s">
        <v>1304</v>
      </c>
      <c r="G73" s="11" t="str">
        <f>IFERROR(__xludf.DUMMYFUNCTION(" GOOGLETRANSLATE(A73, ""en"", ""am"")"),"72")</f>
        <v>72</v>
      </c>
      <c r="H73" s="11" t="str">
        <f>IFERROR(__xludf.DUMMYFUNCTION(" GOOGLETRANSLATE(B73, ""en"", ""am"")"),"አንድ ሯጭ ጥቅም ለማግኘት አቋራጭ መንገድ ይወስዳል። ምን ይሆናል?")</f>
        <v>አንድ ሯጭ ጥቅም ለማግኘት አቋራጭ መንገድ ይወስዳል። ምን ይሆናል?</v>
      </c>
      <c r="I73" s="11" t="str">
        <f>IFERROR(__xludf.DUMMYFUNCTION(" GOOGLETRANSLATE(C73, ""en"", ""am"")"),"ሀ. ሯጩ ለማጭበርበር ብቁ አይደለም.ቢ. ሯጩ አግባብ ባልሆነ ጥቅም ተቀጥቷል.ሲ. ሯጩ ያለ ምንም ቅጣት እንዲቀጥል ተፈቅዶለታል.ዲ. ሯጩ በጊዜ ማጣት ይቀጣል።")</f>
        <v>ሀ. ሯጩ ለማጭበርበር ብቁ አይደለም.ቢ. ሯጩ አግባብ ባልሆነ ጥቅም ተቀጥቷል.ሲ. ሯጩ ያለ ምንም ቅጣት እንዲቀጥል ተፈቅዶለታል.ዲ. ሯጩ በጊዜ ማጣት ይቀጣል።</v>
      </c>
      <c r="J73" s="11" t="str">
        <f>IFERROR(__xludf.DUMMYFUNCTION(" GOOGLETRANSLATE(D73, ""en"", ""am"")"),"ሯጩ ለማጭበርበር ብቁ አይደለም።")</f>
        <v>ሯጩ ለማጭበርበር ብቁ አይደለም።</v>
      </c>
      <c r="K73" s="11" t="str">
        <f>IFERROR(__xludf.DUMMYFUNCTION(" GOOGLETRANSLATE(E73, ""en"", ""am"")"),"በሩጫው ወቅት አቋራጭ መንገዶችን ማድረግ ወደ ውድቅት ያመራል.")</f>
        <v>በሩጫው ወቅት አቋራጭ መንገዶችን ማድረግ ወደ ውድቅት ያመራል.</v>
      </c>
    </row>
    <row r="74" ht="22.5" customHeight="1">
      <c r="A74" s="10">
        <v>73.0</v>
      </c>
      <c r="B74" s="11" t="s">
        <v>1305</v>
      </c>
      <c r="C74" s="11" t="s">
        <v>1306</v>
      </c>
      <c r="D74" s="11" t="s">
        <v>1307</v>
      </c>
      <c r="E74" s="11" t="s">
        <v>1308</v>
      </c>
      <c r="G74" s="11" t="str">
        <f>IFERROR(__xludf.DUMMYFUNCTION(" GOOGLETRANSLATE(A74, ""en"", ""am"")"),"73")</f>
        <v>73</v>
      </c>
      <c r="H74" s="11" t="str">
        <f>IFERROR(__xludf.DUMMYFUNCTION(" GOOGLETRANSLATE(B74, ""en"", ""am"")"),"ሯጭ ውድድሩን ጨርሷል ነገር ግን የሩጫ ጫማቸው ተደብቋል። ምን ይሆናል?")</f>
        <v>ሯጭ ውድድሩን ጨርሷል ነገር ግን የሩጫ ጫማቸው ተደብቋል። ምን ይሆናል?</v>
      </c>
      <c r="I74" s="11" t="str">
        <f>IFERROR(__xludf.DUMMYFUNCTION(" GOOGLETRANSLATE(C74, ""en"", ""am"")"),"ሀ. ሯጩ መጽሃፋቸውን በትክክል ባለማሳየታቸው ውድቅ ተደርጓል። ሯጩ እንዲጨርስ ተፈቅዶለታል ግን ተቀጥቷል.ሲ. ችግሩን ለማስተካከል ሯጩ ወደ መጀመሪያው መስመር መመለስ አለበት.ዲ. የማይታይ ቢብ ከሌለ የሯጩ ውጤት ልክ ያልሆነ ነው።")</f>
        <v>ሀ. ሯጩ መጽሃፋቸውን በትክክል ባለማሳየታቸው ውድቅ ተደርጓል። ሯጩ እንዲጨርስ ተፈቅዶለታል ግን ተቀጥቷል.ሲ. ችግሩን ለማስተካከል ሯጩ ወደ መጀመሪያው መስመር መመለስ አለበት.ዲ. የማይታይ ቢብ ከሌለ የሯጩ ውጤት ልክ ያልሆነ ነው።</v>
      </c>
      <c r="J74" s="11" t="str">
        <f>IFERROR(__xludf.DUMMYFUNCTION(" GOOGLETRANSLATE(D74, ""en"", ""am"")"),"ሯጩ መጽሃፋቸውን በትክክል ባለማሳየታቸው ውድቅ ተደርጓል።")</f>
        <v>ሯጩ መጽሃፋቸውን በትክክል ባለማሳየታቸው ውድቅ ተደርጓል።</v>
      </c>
      <c r="K74" s="11" t="str">
        <f>IFERROR(__xludf.DUMMYFUNCTION(" GOOGLETRANSLATE(E74, ""en"", ""am"")"),"ይፋዊ እውቅና ለማግኘት የዘር ባይብ ታይነት ያስፈልጋል።")</f>
        <v>ይፋዊ እውቅና ለማግኘት የዘር ባይብ ታይነት ያስፈልጋል።</v>
      </c>
    </row>
    <row r="75" ht="22.5" customHeight="1">
      <c r="A75" s="10">
        <v>74.0</v>
      </c>
      <c r="B75" s="11" t="s">
        <v>1309</v>
      </c>
      <c r="C75" s="11" t="s">
        <v>1310</v>
      </c>
      <c r="D75" s="11" t="s">
        <v>1071</v>
      </c>
      <c r="E75" s="11" t="s">
        <v>1311</v>
      </c>
      <c r="G75" s="11" t="str">
        <f>IFERROR(__xludf.DUMMYFUNCTION(" GOOGLETRANSLATE(A75, ""en"", ""am"")"),"74")</f>
        <v>74</v>
      </c>
      <c r="H75" s="11" t="str">
        <f>IFERROR(__xludf.DUMMYFUNCTION(" GOOGLETRANSLATE(B75, ""en"", ""am"")"),"ሯጭ ያለ ትክክለኛ የሩጫ ማርሽ ይወዳደራል። ምን ይሆናል?")</f>
        <v>ሯጭ ያለ ትክክለኛ የሩጫ ማርሽ ይወዳደራል። ምን ይሆናል?</v>
      </c>
      <c r="I75" s="11" t="str">
        <f>IFERROR(__xludf.DUMMYFUNCTION(" GOOGLETRANSLATE(C75, ""en"", ""am"")"),"ሀ. ሯጩ ተገቢ ያልሆነ ልብስ ለመልበስ ብቁ አይደለም.ቢ. ሯጩ ማስጠንቀቂያ ተሰጥቶት እንዲቀጥል ተፈቅዶለታል። ሯጩ በጊዜ ማጣት ይቀጣል.ዲ. ሯጩ ከመቀጠሉ በፊት ተገቢውን ልብስ ይሰጠዋል.")</f>
        <v>ሀ. ሯጩ ተገቢ ያልሆነ ልብስ ለመልበስ ብቁ አይደለም.ቢ. ሯጩ ማስጠንቀቂያ ተሰጥቶት እንዲቀጥል ተፈቅዶለታል። ሯጩ በጊዜ ማጣት ይቀጣል.ዲ. ሯጩ ከመቀጠሉ በፊት ተገቢውን ልብስ ይሰጠዋል.</v>
      </c>
      <c r="J75" s="11" t="str">
        <f>IFERROR(__xludf.DUMMYFUNCTION(" GOOGLETRANSLATE(D75, ""en"", ""am"")"),"ሯጩ ማስጠንቀቂያ ተሰጥቶት እንዲቀጥል ተፈቀደለት።")</f>
        <v>ሯጩ ማስጠንቀቂያ ተሰጥቶት እንዲቀጥል ተፈቀደለት።</v>
      </c>
      <c r="K75" s="11" t="str">
        <f>IFERROR(__xludf.DUMMYFUNCTION(" GOOGLETRANSLATE(E75, ""en"", ""am"")"),"ሩጫዎች በተለምዶ ለደህንነት እና ለፍትሃዊነት ተገቢውን ልብስ ይፈልጋሉ።")</f>
        <v>ሩጫዎች በተለምዶ ለደህንነት እና ለፍትሃዊነት ተገቢውን ልብስ ይፈልጋሉ።</v>
      </c>
    </row>
    <row r="76" ht="22.5" customHeight="1">
      <c r="A76" s="10">
        <v>75.0</v>
      </c>
      <c r="B76" s="11" t="s">
        <v>1312</v>
      </c>
      <c r="C76" s="11" t="s">
        <v>1313</v>
      </c>
      <c r="D76" s="11" t="s">
        <v>1314</v>
      </c>
      <c r="E76" s="11" t="s">
        <v>1315</v>
      </c>
      <c r="G76" s="11" t="str">
        <f>IFERROR(__xludf.DUMMYFUNCTION(" GOOGLETRANSLATE(A76, ""en"", ""am"")"),"75")</f>
        <v>75</v>
      </c>
      <c r="H76" s="11" t="str">
        <f>IFERROR(__xludf.DUMMYFUNCTION(" GOOGLETRANSLATE(B76, ""en"", ""am"")"),"አንድ ሯጭ ከትራኩ ወጥቶ በሩጫው ወቅት ወደ ተመልካች ቦታ ይገባል ። ምን ይሆናል?")</f>
        <v>አንድ ሯጭ ከትራኩ ወጥቶ በሩጫው ወቅት ወደ ተመልካች ቦታ ይገባል ። ምን ይሆናል?</v>
      </c>
      <c r="I76" s="11" t="str">
        <f>IFERROR(__xludf.DUMMYFUNCTION(" GOOGLETRANSLATE(C76, ""en"", ""am"")"),"ሀ. ሯጩ ትራኩን ለመልቀቅ ብቁ አይደለም.ቢ. ሯጩ ማስጠንቀቂያ ተሰጥቶት እንዲመለስ ይጠየቃል.ሲ. ሯጩ በጊዜ ማጣት ይቀጣል.ዲ. ሯጩ ከማስጠንቀቂያ በኋላ እንዲመለስ ተፈቅዶለታል።")</f>
        <v>ሀ. ሯጩ ትራኩን ለመልቀቅ ብቁ አይደለም.ቢ. ሯጩ ማስጠንቀቂያ ተሰጥቶት እንዲመለስ ይጠየቃል.ሲ. ሯጩ በጊዜ ማጣት ይቀጣል.ዲ. ሯጩ ከማስጠንቀቂያ በኋላ እንዲመለስ ተፈቅዶለታል።</v>
      </c>
      <c r="J76" s="11" t="str">
        <f>IFERROR(__xludf.DUMMYFUNCTION(" GOOGLETRANSLATE(D76, ""en"", ""am"")"),"ሯጩ ትራኩን ለመልቀቅ ብቁ አይደለም።")</f>
        <v>ሯጩ ትራኩን ለመልቀቅ ብቁ አይደለም።</v>
      </c>
      <c r="K76" s="11" t="str">
        <f>IFERROR(__xludf.DUMMYFUNCTION(" GOOGLETRANSLATE(E76, ""en"", ""am"")"),"በሩጫው ወቅት ትራኩን መልቀቅ ወደ ውድቅነት ያመራል።")</f>
        <v>በሩጫው ወቅት ትራኩን መልቀቅ ወደ ውድቅነት ያመራል።</v>
      </c>
    </row>
    <row r="77" ht="22.5" customHeight="1">
      <c r="A77" s="10">
        <v>76.0</v>
      </c>
      <c r="B77" s="11" t="s">
        <v>1316</v>
      </c>
      <c r="C77" s="11" t="s">
        <v>1317</v>
      </c>
      <c r="D77" s="11" t="s">
        <v>1318</v>
      </c>
      <c r="E77" s="11" t="s">
        <v>1319</v>
      </c>
      <c r="G77" s="11" t="str">
        <f>IFERROR(__xludf.DUMMYFUNCTION(" GOOGLETRANSLATE(A77, ""en"", ""am"")"),"76")</f>
        <v>76</v>
      </c>
      <c r="H77" s="11" t="str">
        <f>IFERROR(__xludf.DUMMYFUNCTION(" GOOGLETRANSLATE(B77, ""en"", ""am"")"),"ሯጭ በሩጫ ጊዜ ፍጥነት ይቀንሳል እና በሌላ ሯጭ ያልፋል። ምን ይሆናል?")</f>
        <v>ሯጭ በሩጫ ጊዜ ፍጥነት ይቀንሳል እና በሌላ ሯጭ ያልፋል። ምን ይሆናል?</v>
      </c>
      <c r="I77" s="11" t="str">
        <f>IFERROR(__xludf.DUMMYFUNCTION(" GOOGLETRANSLATE(C77, ""en"", ""am"")"),"ሀ. ሯጩ ለደካማ አፈጻጸም ብቁ አይደለም.ቢ. ሯጩ በራሳቸው ፍጥነት እንዲቀጥሉ ተፈቅዶላቸዋል። ሯጩ በመቀነሱ ይቀጣል.ዲ. ሯጩ ፍጥነቱን እንዲወስድ ማስጠንቀቂያ ተሰጥቶታል።")</f>
        <v>ሀ. ሯጩ ለደካማ አፈጻጸም ብቁ አይደለም.ቢ. ሯጩ በራሳቸው ፍጥነት እንዲቀጥሉ ተፈቅዶላቸዋል። ሯጩ በመቀነሱ ይቀጣል.ዲ. ሯጩ ፍጥነቱን እንዲወስድ ማስጠንቀቂያ ተሰጥቶታል።</v>
      </c>
      <c r="J77" s="11" t="str">
        <f>IFERROR(__xludf.DUMMYFUNCTION(" GOOGLETRANSLATE(D77, ""en"", ""am"")"),"ሯጩ በራሳቸው ፍጥነት እንዲቀጥሉ ይፈቀድላቸዋል.")</f>
        <v>ሯጩ በራሳቸው ፍጥነት እንዲቀጥሉ ይፈቀድላቸዋል.</v>
      </c>
      <c r="K77" s="11" t="str">
        <f>IFERROR(__xludf.DUMMYFUNCTION(" GOOGLETRANSLATE(E77, ""en"", ""am"")"),"መከልከል አብዛኛውን ጊዜ ቅጣትን አያስከትልም።")</f>
        <v>መከልከል አብዛኛውን ጊዜ ቅጣትን አያስከትልም።</v>
      </c>
    </row>
    <row r="78" ht="22.5" customHeight="1">
      <c r="A78" s="10">
        <v>77.0</v>
      </c>
      <c r="B78" s="11" t="s">
        <v>1320</v>
      </c>
      <c r="C78" s="11" t="s">
        <v>1321</v>
      </c>
      <c r="D78" s="11" t="s">
        <v>1322</v>
      </c>
      <c r="E78" s="11" t="s">
        <v>1323</v>
      </c>
      <c r="G78" s="11" t="str">
        <f>IFERROR(__xludf.DUMMYFUNCTION(" GOOGLETRANSLATE(A78, ""en"", ""am"")"),"77")</f>
        <v>77</v>
      </c>
      <c r="H78" s="11" t="str">
        <f>IFERROR(__xludf.DUMMYFUNCTION(" GOOGLETRANSLATE(B78, ""en"", ""am"")"),"አንድ ሯጭ ውድድሩን ቢያጠናቅቅም ከሚፈለገው ርቀት ያነሰ ነው። ምን ይሆናል?")</f>
        <v>አንድ ሯጭ ውድድሩን ቢያጠናቅቅም ከሚፈለገው ርቀት ያነሰ ነው። ምን ይሆናል?</v>
      </c>
      <c r="I78" s="11" t="str">
        <f>IFERROR(__xludf.DUMMYFUNCTION(" GOOGLETRANSLATE(C78, ""en"", ""am"")"),"ሀ. ሯጩ ሙሉ ርቀቱን ባለማጠናቀቁ ውድቅ ተደርጓል። ሯጩ በጊዜ ማጣት ይቀጣል.ሲ. ሯጩ ተጨማሪውን ርቀት እንዲያጠናቅቅ ተፈቅዶለታል.ዲ. ሯጩ ርቀቱን ለማጠናቀቅ እድሉ ሊሰጠው ይገባል.")</f>
        <v>ሀ. ሯጩ ሙሉ ርቀቱን ባለማጠናቀቁ ውድቅ ተደርጓል። ሯጩ በጊዜ ማጣት ይቀጣል.ሲ. ሯጩ ተጨማሪውን ርቀት እንዲያጠናቅቅ ተፈቅዶለታል.ዲ. ሯጩ ርቀቱን ለማጠናቀቅ እድሉ ሊሰጠው ይገባል.</v>
      </c>
      <c r="J78" s="11" t="str">
        <f>IFERROR(__xludf.DUMMYFUNCTION(" GOOGLETRANSLATE(D78, ""en"", ""am"")"),"ሯጩ ሙሉ ርቀቱን ባለማጠናቀቁ ውድቅ ተደርጓል።")</f>
        <v>ሯጩ ሙሉ ርቀቱን ባለማጠናቀቁ ውድቅ ተደርጓል።</v>
      </c>
      <c r="K78" s="11" t="str">
        <f>IFERROR(__xludf.DUMMYFUNCTION(" GOOGLETRANSLATE(E78, ""en"", ""am"")"),"ሯጮች ግምት ውስጥ ለመግባት ሙሉውን የውድድር ርቀት ማጠናቀቅ አለባቸው።")</f>
        <v>ሯጮች ግምት ውስጥ ለመግባት ሙሉውን የውድድር ርቀት ማጠናቀቅ አለባቸው።</v>
      </c>
    </row>
    <row r="79" ht="22.5" customHeight="1">
      <c r="A79" s="10">
        <v>78.0</v>
      </c>
      <c r="B79" s="11" t="s">
        <v>1324</v>
      </c>
      <c r="C79" s="11" t="s">
        <v>1325</v>
      </c>
      <c r="D79" s="11" t="s">
        <v>1326</v>
      </c>
      <c r="E79" s="11" t="s">
        <v>1327</v>
      </c>
      <c r="G79" s="11" t="str">
        <f>IFERROR(__xludf.DUMMYFUNCTION(" GOOGLETRANSLATE(A79, ""en"", ""am"")"),"78")</f>
        <v>78</v>
      </c>
      <c r="H79" s="11" t="str">
        <f>IFERROR(__xludf.DUMMYFUNCTION(" GOOGLETRANSLATE(B79, ""en"", ""am"")"),"አንድ ሯጭ በመነሻ ምልክት ግራ በመጋባት ይጀምራል። ምን ይሆናል?")</f>
        <v>አንድ ሯጭ በመነሻ ምልክት ግራ በመጋባት ይጀምራል። ምን ይሆናል?</v>
      </c>
      <c r="I79" s="11" t="str">
        <f>IFERROR(__xludf.DUMMYFUNCTION(" GOOGLETRANSLATE(C79, ""en"", ""am"")"),"ሀ. ሯጩ ጠመንጃውን ለመዝለል ብቁ አይደለም.ቢ. ሯጩ በጊዜ ማጣት ይቀጣል.ሲ. ሯጩ በማስጠንቀቂያ እንዲቀጥል ተፈቅዶለታል.ዲ. ሯጩ ለመጀመር ሁለተኛ እድል ይሰጠዋል.")</f>
        <v>ሀ. ሯጩ ጠመንጃውን ለመዝለል ብቁ አይደለም.ቢ. ሯጩ በጊዜ ማጣት ይቀጣል.ሲ. ሯጩ በማስጠንቀቂያ እንዲቀጥል ተፈቅዶለታል.ዲ. ሯጩ ለመጀመር ሁለተኛ እድል ይሰጠዋል.</v>
      </c>
      <c r="J79" s="11" t="str">
        <f>IFERROR(__xludf.DUMMYFUNCTION(" GOOGLETRANSLATE(D79, ""en"", ""am"")"),"ሯጩ ጠመንጃውን ለመዝለል ብቁ አይደለም.")</f>
        <v>ሯጩ ጠመንጃውን ለመዝለል ብቁ አይደለም.</v>
      </c>
      <c r="K79" s="11" t="str">
        <f>IFERROR(__xludf.DUMMYFUNCTION(" GOOGLETRANSLATE(E79, ""en"", ""am"")"),"የመነሻ ምልክትን መዝለል ወደ ቅጣቶች ይመራል.")</f>
        <v>የመነሻ ምልክትን መዝለል ወደ ቅጣቶች ይመራል.</v>
      </c>
    </row>
    <row r="80" ht="22.5" customHeight="1">
      <c r="A80" s="10">
        <v>79.0</v>
      </c>
      <c r="B80" s="11" t="s">
        <v>1328</v>
      </c>
      <c r="C80" s="11" t="s">
        <v>1329</v>
      </c>
      <c r="D80" s="11" t="s">
        <v>1330</v>
      </c>
      <c r="E80" s="11" t="s">
        <v>1331</v>
      </c>
      <c r="G80" s="11" t="str">
        <f>IFERROR(__xludf.DUMMYFUNCTION(" GOOGLETRANSLATE(A80, ""en"", ""am"")"),"79")</f>
        <v>79</v>
      </c>
      <c r="H80" s="11" t="str">
        <f>IFERROR(__xludf.DUMMYFUNCTION(" GOOGLETRANSLATE(B80, ""en"", ""am"")"),"በመጨረሻው ርቀት ሯጭ ከሌላ ተፎካካሪ ጋር ተሸንፏል። ምን ይሆናል?")</f>
        <v>በመጨረሻው ርቀት ሯጭ ከሌላ ተፎካካሪ ጋር ተሸንፏል። ምን ይሆናል?</v>
      </c>
      <c r="I80" s="11" t="str">
        <f>IFERROR(__xludf.DUMMYFUNCTION(" GOOGLETRANSLATE(C80, ""en"", ""am"")"),"ሀ. ሯጩ ቦታውን በማጣቱ ይቀጣል.ቢ. ሯጩ እንዲቀጥል እና ውድድሩን እንዲያጠናቅቅ ተፈቅዶለታል.ሲ. ሯጩ ቦታቸውን መልሶ ለማግኘት ሁለተኛ እድል ተሰጥቶታል.ዲ. ሯጩ ሌሎች እንዲያልፉ ለማድረግ ብቁ አይደለም።")</f>
        <v>ሀ. ሯጩ ቦታውን በማጣቱ ይቀጣል.ቢ. ሯጩ እንዲቀጥል እና ውድድሩን እንዲያጠናቅቅ ተፈቅዶለታል.ሲ. ሯጩ ቦታቸውን መልሶ ለማግኘት ሁለተኛ እድል ተሰጥቶታል.ዲ. ሯጩ ሌሎች እንዲያልፉ ለማድረግ ብቁ አይደለም።</v>
      </c>
      <c r="J80" s="11" t="str">
        <f>IFERROR(__xludf.DUMMYFUNCTION(" GOOGLETRANSLATE(D80, ""en"", ""am"")"),"ሯጩ እንዲቀጥል እና ውድድሩን እንዲያጠናቅቅ ተፈቅዶለታል።")</f>
        <v>ሯጩ እንዲቀጥል እና ውድድሩን እንዲያጠናቅቅ ተፈቅዶለታል።</v>
      </c>
      <c r="K80" s="11" t="str">
        <f>IFERROR(__xludf.DUMMYFUNCTION(" GOOGLETRANSLATE(E80, ""en"", ""am"")"),"ሯጮች በራሳቸው ፍጥነት እንዲጨርሱ ይፈቀድላቸዋል።")</f>
        <v>ሯጮች በራሳቸው ፍጥነት እንዲጨርሱ ይፈቀድላቸዋል።</v>
      </c>
    </row>
    <row r="81" ht="22.5" customHeight="1">
      <c r="A81" s="10">
        <v>80.0</v>
      </c>
      <c r="B81" s="11" t="s">
        <v>1332</v>
      </c>
      <c r="C81" s="11" t="s">
        <v>1333</v>
      </c>
      <c r="D81" s="11" t="s">
        <v>1145</v>
      </c>
      <c r="E81" s="11" t="s">
        <v>1334</v>
      </c>
      <c r="G81" s="11" t="str">
        <f>IFERROR(__xludf.DUMMYFUNCTION(" GOOGLETRANSLATE(A81, ""en"", ""am"")"),"80")</f>
        <v>80</v>
      </c>
      <c r="H81" s="11" t="str">
        <f>IFERROR(__xludf.DUMMYFUNCTION(" GOOGLETRANSLATE(B81, ""en"", ""am"")"),"ሯጭ ትክክለኛውን መስመር ሳይከተል ሌላ ሯጭ ያልፋል። ምን ይሆናል?")</f>
        <v>ሯጭ ትክክለኛውን መስመር ሳይከተል ሌላ ሯጭ ያልፋል። ምን ይሆናል?</v>
      </c>
      <c r="I81" s="11" t="str">
        <f>IFERROR(__xludf.DUMMYFUNCTION(" GOOGLETRANSLATE(C81, ""en"", ""am"")"),"ሀ. ሯጩ ለሌይን ጥሰት ብቁ አይደለም.ቢ. ሯጩ ከማስጠንቀቂያ በኋላ እንዲቀጥል ተፈቅዶለታል.ሲ. ሯጩ በጊዜ ማጣት ይቀጣል.ዲ. ሯጩ ወደ ትክክለኛው መንገድ መመለስ አለበት።")</f>
        <v>ሀ. ሯጩ ለሌይን ጥሰት ብቁ አይደለም.ቢ. ሯጩ ከማስጠንቀቂያ በኋላ እንዲቀጥል ተፈቅዶለታል.ሲ. ሯጩ በጊዜ ማጣት ይቀጣል.ዲ. ሯጩ ወደ ትክክለኛው መንገድ መመለስ አለበት።</v>
      </c>
      <c r="J81" s="11" t="str">
        <f>IFERROR(__xludf.DUMMYFUNCTION(" GOOGLETRANSLATE(D81, ""en"", ""am"")"),"ሯጩ ለሌይን ጥሰት ብቁ አይደለም።")</f>
        <v>ሯጩ ለሌይን ጥሰት ብቁ አይደለም።</v>
      </c>
      <c r="K81" s="11" t="str">
        <f>IFERROR(__xludf.DUMMYFUNCTION(" GOOGLETRANSLATE(E81, ""en"", ""am"")"),"የሌይን ጥሰቶች ብዙውን ጊዜ ብቁ አለመሆንን ያስከትላሉ።")</f>
        <v>የሌይን ጥሰቶች ብዙውን ጊዜ ብቁ አለመሆንን ያስከትላሉ።</v>
      </c>
    </row>
    <row r="82" ht="22.5" customHeight="1">
      <c r="A82" s="10">
        <v>81.0</v>
      </c>
      <c r="B82" s="11" t="s">
        <v>1335</v>
      </c>
      <c r="C82" s="11" t="s">
        <v>1336</v>
      </c>
      <c r="D82" s="11" t="s">
        <v>1337</v>
      </c>
      <c r="E82" s="11" t="s">
        <v>1338</v>
      </c>
      <c r="G82" s="11" t="str">
        <f>IFERROR(__xludf.DUMMYFUNCTION(" GOOGLETRANSLATE(A82, ""en"", ""am"")"),"81")</f>
        <v>81</v>
      </c>
      <c r="H82" s="11" t="str">
        <f>IFERROR(__xludf.DUMMYFUNCTION(" GOOGLETRANSLATE(B82, ""en"", ""am"")"),"የጊዜ ገደቡ ካለቀ በኋላ ሯጩ የመጨረሻውን መስመር ይሻገራል. ምን ይሆናል?")</f>
        <v>የጊዜ ገደቡ ካለቀ በኋላ ሯጩ የመጨረሻውን መስመር ይሻገራል. ምን ይሆናል?</v>
      </c>
      <c r="I82" s="11" t="str">
        <f>IFERROR(__xludf.DUMMYFUNCTION(" GOOGLETRANSLATE(C82, ""en"", ""am"")"),"ሀ. ሯጩ ከተወሰነ ጊዜ በኋላ ለመጨረስ ብቁ አይደለም.ቢ. ሯጩ በጊዜ ማጣት ይቀጣል.ሲ. ሯጩ እንዲጨርስ ተፈቅዶለታል ነገር ግን ምንም ውጤት አላመጣም.ዲ. ሯጩ ወዲያውኑ ማቆም እና ትራኩን መተው አለበት።")</f>
        <v>ሀ. ሯጩ ከተወሰነ ጊዜ በኋላ ለመጨረስ ብቁ አይደለም.ቢ. ሯጩ በጊዜ ማጣት ይቀጣል.ሲ. ሯጩ እንዲጨርስ ተፈቅዶለታል ነገር ግን ምንም ውጤት አላመጣም.ዲ. ሯጩ ወዲያውኑ ማቆም እና ትራኩን መተው አለበት።</v>
      </c>
      <c r="J82" s="11" t="str">
        <f>IFERROR(__xludf.DUMMYFUNCTION(" GOOGLETRANSLATE(D82, ""en"", ""am"")"),"ሯጩ ከተወሰነ ጊዜ በኋላ ለመጨረስ ብቁ አይደለም።")</f>
        <v>ሯጩ ከተወሰነ ጊዜ በኋላ ለመጨረስ ብቁ አይደለም።</v>
      </c>
      <c r="K82" s="11" t="str">
        <f>IFERROR(__xludf.DUMMYFUNCTION(" GOOGLETRANSLATE(E82, ""en"", ""am"")"),"ውድድሮች ብዙውን ጊዜ ለማጠናቀቅ ጥብቅ የጊዜ ገደቦች አሏቸው።")</f>
        <v>ውድድሮች ብዙውን ጊዜ ለማጠናቀቅ ጥብቅ የጊዜ ገደቦች አሏቸው።</v>
      </c>
    </row>
    <row r="83" ht="22.5" customHeight="1">
      <c r="A83" s="10">
        <v>82.0</v>
      </c>
      <c r="B83" s="11" t="s">
        <v>1339</v>
      </c>
      <c r="C83" s="11" t="s">
        <v>1340</v>
      </c>
      <c r="D83" s="11" t="s">
        <v>1071</v>
      </c>
      <c r="E83" s="11" t="s">
        <v>1341</v>
      </c>
      <c r="G83" s="11" t="str">
        <f>IFERROR(__xludf.DUMMYFUNCTION(" GOOGLETRANSLATE(A83, ""en"", ""am"")"),"82")</f>
        <v>82</v>
      </c>
      <c r="H83" s="11" t="str">
        <f>IFERROR(__xludf.DUMMYFUNCTION(" GOOGLETRANSLATE(B83, ""en"", ""am"")"),"አንድ ሯጭ የቅድመ ውድድር መግለጫውን መከተል አልቻለም። ምን ይሆናል?")</f>
        <v>አንድ ሯጭ የቅድመ ውድድር መግለጫውን መከተል አልቻለም። ምን ይሆናል?</v>
      </c>
      <c r="I83" s="11" t="str">
        <f>IFERROR(__xludf.DUMMYFUNCTION(" GOOGLETRANSLATE(C83, ""en"", ""am"")"),"ሀ. ሯጩ አጭር ዝርዝሩን በማጣቱ ውድቅ ተደርጓል። ሯጩ ማስጠንቀቂያ ተሰጥቶት እንዲቀጥል ተፈቅዶለታል። ሯጩ በጊዜ ማጣት ይቀጣል.ዲ. ሯጩ ከመጀመሩ በፊት በማጠቃለያው ላይ እንዲገኝ ይጠየቃል።")</f>
        <v>ሀ. ሯጩ አጭር ዝርዝሩን በማጣቱ ውድቅ ተደርጓል። ሯጩ ማስጠንቀቂያ ተሰጥቶት እንዲቀጥል ተፈቅዶለታል። ሯጩ በጊዜ ማጣት ይቀጣል.ዲ. ሯጩ ከመጀመሩ በፊት በማጠቃለያው ላይ እንዲገኝ ይጠየቃል።</v>
      </c>
      <c r="J83" s="11" t="str">
        <f>IFERROR(__xludf.DUMMYFUNCTION(" GOOGLETRANSLATE(D83, ""en"", ""am"")"),"ሯጩ ማስጠንቀቂያ ተሰጥቶት እንዲቀጥል ተፈቀደለት።")</f>
        <v>ሯጩ ማስጠንቀቂያ ተሰጥቶት እንዲቀጥል ተፈቀደለት።</v>
      </c>
      <c r="K83" s="11" t="str">
        <f>IFERROR(__xludf.DUMMYFUNCTION(" GOOGLETRANSLATE(E83, ""en"", ""am"")"),"የቅድመ ውድድር መግለጫዎች ተሳታፊዎች ደንቦቹን እንዲገነዘቡ ያረጋግጣሉ።")</f>
        <v>የቅድመ ውድድር መግለጫዎች ተሳታፊዎች ደንቦቹን እንዲገነዘቡ ያረጋግጣሉ።</v>
      </c>
    </row>
    <row r="84" ht="22.5" customHeight="1">
      <c r="A84" s="10">
        <v>83.0</v>
      </c>
      <c r="B84" s="11" t="s">
        <v>1342</v>
      </c>
      <c r="C84" s="11" t="s">
        <v>1343</v>
      </c>
      <c r="D84" s="11" t="s">
        <v>1075</v>
      </c>
      <c r="E84" s="11" t="s">
        <v>1344</v>
      </c>
      <c r="G84" s="11" t="str">
        <f>IFERROR(__xludf.DUMMYFUNCTION(" GOOGLETRANSLATE(A84, ""en"", ""am"")"),"83")</f>
        <v>83</v>
      </c>
      <c r="H84" s="11" t="str">
        <f>IFERROR(__xludf.DUMMYFUNCTION(" GOOGLETRANSLATE(B84, ""en"", ""am"")"),"በሩጫው ወቅት የሯጭ ሃይድሬሽን እሽግ ይፈስሳል። ምን ይሆናል?")</f>
        <v>በሩጫው ወቅት የሯጭ ሃይድሬሽን እሽግ ይፈስሳል። ምን ይሆናል?</v>
      </c>
      <c r="I84" s="11" t="str">
        <f>IFERROR(__xludf.DUMMYFUNCTION(" GOOGLETRANSLATE(C84, ""en"", ""am"")"),"ሀ. ሯጩ ለመሳሪያ ብልሽት ብቁ አይደለም.ቢ. ሯጩ አዲስ የሃይድሪሽን እሽግ ይሰጠዋል.ሲ. ሯጩ ያለምንም ቅጣት እንዲቀጥል ተፈቅዶለታል.ዲ. ሯጩ በጊዜ ማጣት ይቀጣል።")</f>
        <v>ሀ. ሯጩ ለመሳሪያ ብልሽት ብቁ አይደለም.ቢ. ሯጩ አዲስ የሃይድሪሽን እሽግ ይሰጠዋል.ሲ. ሯጩ ያለምንም ቅጣት እንዲቀጥል ተፈቅዶለታል.ዲ. ሯጩ በጊዜ ማጣት ይቀጣል።</v>
      </c>
      <c r="J84" s="11" t="str">
        <f>IFERROR(__xludf.DUMMYFUNCTION(" GOOGLETRANSLATE(D84, ""en"", ""am"")"),"ሯጩ ያለምንም ቅጣት እንዲቀጥል ተፈቅዶለታል።")</f>
        <v>ሯጩ ያለምንም ቅጣት እንዲቀጥል ተፈቅዶለታል።</v>
      </c>
      <c r="K84" s="11" t="str">
        <f>IFERROR(__xludf.DUMMYFUNCTION(" GOOGLETRANSLATE(E84, ""en"", ""am"")"),"ለሯጮች ደህንነት ሲባል የሃይድሪሽን ፓኬጆች አስፈላጊ ናቸው።")</f>
        <v>ለሯጮች ደህንነት ሲባል የሃይድሪሽን ፓኬጆች አስፈላጊ ናቸው።</v>
      </c>
    </row>
    <row r="85" ht="22.5" customHeight="1">
      <c r="A85" s="10">
        <v>84.0</v>
      </c>
      <c r="B85" s="11" t="s">
        <v>1345</v>
      </c>
      <c r="C85" s="11" t="s">
        <v>1346</v>
      </c>
      <c r="D85" s="11" t="s">
        <v>1347</v>
      </c>
      <c r="E85" s="11" t="s">
        <v>1348</v>
      </c>
      <c r="G85" s="11" t="str">
        <f>IFERROR(__xludf.DUMMYFUNCTION(" GOOGLETRANSLATE(A85, ""en"", ""am"")"),"84")</f>
        <v>84</v>
      </c>
      <c r="H85" s="11" t="str">
        <f>IFERROR(__xludf.DUMMYFUNCTION(" GOOGLETRANSLATE(B85, ""en"", ""am"")"),"አንድ ሯጭ ውድድሩ ሲጀምር የተሳሳተ ምልክት ይቀበላል። ምን ይሆናል?")</f>
        <v>አንድ ሯጭ ውድድሩ ሲጀምር የተሳሳተ ምልክት ይቀበላል። ምን ይሆናል?</v>
      </c>
      <c r="I85" s="11" t="str">
        <f>IFERROR(__xludf.DUMMYFUNCTION(" GOOGLETRANSLATE(C85, ""en"", ""am"")"),"ሀ. ሯጩ ቀደም ብሎ ለመጀመር ብቁ አይደለም.ቢ. ፍትሃዊነትን ለማረጋገጥ ውድድሩ እንደገና ተጀምሯል። ሯጩ የጊዜ ቅጣት ይሰጠዋል.ዲ. ሯጩ ያለምንም ቅጣት እንዲቀጥል ተፈቅዶለታል።")</f>
        <v>ሀ. ሯጩ ቀደም ብሎ ለመጀመር ብቁ አይደለም.ቢ. ፍትሃዊነትን ለማረጋገጥ ውድድሩ እንደገና ተጀምሯል። ሯጩ የጊዜ ቅጣት ይሰጠዋል.ዲ. ሯጩ ያለምንም ቅጣት እንዲቀጥል ተፈቅዶለታል።</v>
      </c>
      <c r="J85" s="11" t="str">
        <f>IFERROR(__xludf.DUMMYFUNCTION(" GOOGLETRANSLATE(D85, ""en"", ""am"")"),"ፍትሃዊነትን ለማረጋገጥ ውድድሩ እንደገና ተጀምሯል።")</f>
        <v>ፍትሃዊነትን ለማረጋገጥ ውድድሩ እንደገና ተጀምሯል።</v>
      </c>
      <c r="K85" s="11" t="str">
        <f>IFERROR(__xludf.DUMMYFUNCTION(" GOOGLETRANSLATE(E85, ""en"", ""am"")"),"የተሳሳቱ የመነሻ ምልክቶች ወደ ውድድር ዳግም መጀመር ሊመሩ ይችላሉ።")</f>
        <v>የተሳሳቱ የመነሻ ምልክቶች ወደ ውድድር ዳግም መጀመር ሊመሩ ይችላሉ።</v>
      </c>
    </row>
    <row r="86" ht="22.5" customHeight="1">
      <c r="A86" s="10">
        <v>85.0</v>
      </c>
      <c r="B86" s="11" t="s">
        <v>1349</v>
      </c>
      <c r="C86" s="11" t="s">
        <v>1350</v>
      </c>
      <c r="D86" s="11" t="s">
        <v>1351</v>
      </c>
      <c r="E86" s="11" t="s">
        <v>1352</v>
      </c>
      <c r="G86" s="11" t="str">
        <f>IFERROR(__xludf.DUMMYFUNCTION(" GOOGLETRANSLATE(A86, ""en"", ""am"")"),"85")</f>
        <v>85</v>
      </c>
      <c r="H86" s="11" t="str">
        <f>IFERROR(__xludf.DUMMYFUNCTION(" GOOGLETRANSLATE(B86, ""en"", ""am"")"),"አንድ ሯጭ ውድድሩን ሲያጠናቅቅ የመጨረሻ ሰዓታቸው ይጠፋል። ምን ይሆናል?")</f>
        <v>አንድ ሯጭ ውድድሩን ሲያጠናቅቅ የመጨረሻ ሰዓታቸው ይጠፋል። ምን ይሆናል?</v>
      </c>
      <c r="I86" s="11" t="str">
        <f>IFERROR(__xludf.DUMMYFUNCTION(" GOOGLETRANSLATE(C86, ""en"", ""am"")"),"ሀ. ሯጩ ጊዜውን በማጣቱ ውድቅ ሆኗል. የሯጩ ጊዜ ከሩጫው በኋላ በእጅ ይመዘገባል.ሲ. ሯጩ ጊዜያዊ ጊዜ ተሰጥቶታል.ዲ. ሯጩ ውድድሩን እንደገና እንዲያካሂድ ተፈቅዶለታል።")</f>
        <v>ሀ. ሯጩ ጊዜውን በማጣቱ ውድቅ ሆኗል. የሯጩ ጊዜ ከሩጫው በኋላ በእጅ ይመዘገባል.ሲ. ሯጩ ጊዜያዊ ጊዜ ተሰጥቶታል.ዲ. ሯጩ ውድድሩን እንደገና እንዲያካሂድ ተፈቅዶለታል።</v>
      </c>
      <c r="J86" s="11" t="str">
        <f>IFERROR(__xludf.DUMMYFUNCTION(" GOOGLETRANSLATE(D86, ""en"", ""am"")"),"የሯጩ ጊዜ ከውድድሩ በኋላ በእጅ ይመዘገባል።")</f>
        <v>የሯጩ ጊዜ ከውድድሩ በኋላ በእጅ ይመዘገባል።</v>
      </c>
      <c r="K86" s="11" t="str">
        <f>IFERROR(__xludf.DUMMYFUNCTION(" GOOGLETRANSLATE(E86, ""en"", ""am"")"),"ከሩጫው በኋላ የወቅቱ ስህተቶች ሊስተካከሉ ይችላሉ.")</f>
        <v>ከሩጫው በኋላ የወቅቱ ስህተቶች ሊስተካከሉ ይችላሉ.</v>
      </c>
    </row>
    <row r="87" ht="22.5" customHeight="1">
      <c r="A87" s="10">
        <v>86.0</v>
      </c>
      <c r="B87" s="11" t="s">
        <v>1353</v>
      </c>
      <c r="C87" s="11" t="s">
        <v>1354</v>
      </c>
      <c r="D87" s="11" t="s">
        <v>1355</v>
      </c>
      <c r="E87" s="11" t="s">
        <v>1356</v>
      </c>
      <c r="G87" s="11" t="str">
        <f>IFERROR(__xludf.DUMMYFUNCTION(" GOOGLETRANSLATE(A87, ""en"", ""am"")"),"86")</f>
        <v>86</v>
      </c>
      <c r="H87" s="11" t="str">
        <f>IFERROR(__xludf.DUMMYFUNCTION(" GOOGLETRANSLATE(B87, ""en"", ""am"")"),"ሯጭ ውድድሩን ከመጀመሩ በፊት አፈፃፀምን የሚያሻሽሉ ንጥረ ነገሮችን ሲወስድ ይታያል። ምን ይሆናል?")</f>
        <v>ሯጭ ውድድሩን ከመጀመሩ በፊት አፈፃፀምን የሚያሻሽሉ ንጥረ ነገሮችን ሲወስድ ይታያል። ምን ይሆናል?</v>
      </c>
      <c r="I87" s="11" t="str">
        <f>IFERROR(__xludf.DUMMYFUNCTION(" GOOGLETRANSLATE(C87, ""en"", ""am"")"),"ሀ. ሯጩ ለማጭበርበር ብቁ አይደለም እና ታግዷል.B. ሯጩ ማስጠንቀቂያ ተሰጥቶት እንዲቀጥል ተፈቅዶለታል። ሯጩ በጊዜ ማጣት ይቀጣል.ዲ. ሯጩ ማስጠንቀቂያ ተሰጥቶታል ነገር ግን እንዲሮጥ ተፈቅዶለታል።")</f>
        <v>ሀ. ሯጩ ለማጭበርበር ብቁ አይደለም እና ታግዷል.B. ሯጩ ማስጠንቀቂያ ተሰጥቶት እንዲቀጥል ተፈቅዶለታል። ሯጩ በጊዜ ማጣት ይቀጣል.ዲ. ሯጩ ማስጠንቀቂያ ተሰጥቶታል ነገር ግን እንዲሮጥ ተፈቅዶለታል።</v>
      </c>
      <c r="J87" s="11" t="str">
        <f>IFERROR(__xludf.DUMMYFUNCTION(" GOOGLETRANSLATE(D87, ""en"", ""am"")"),"ሯጩ ለማጭበርበር ብቁ አይደለም እና ታግዷል።")</f>
        <v>ሯጩ ለማጭበርበር ብቁ አይደለም እና ታግዷል።</v>
      </c>
      <c r="K87" s="11" t="str">
        <f>IFERROR(__xludf.DUMMYFUNCTION(" GOOGLETRANSLATE(E87, ""en"", ""am"")"),"የተከለከሉ ንጥረ ነገሮችን መጠቀም ብቁ አለመሆንን ያስከትላል.")</f>
        <v>የተከለከሉ ንጥረ ነገሮችን መጠቀም ብቁ አለመሆንን ያስከትላል.</v>
      </c>
    </row>
    <row r="88" ht="22.5" customHeight="1">
      <c r="A88" s="10">
        <v>87.0</v>
      </c>
      <c r="B88" s="11" t="s">
        <v>1357</v>
      </c>
      <c r="C88" s="11" t="s">
        <v>1358</v>
      </c>
      <c r="D88" s="11" t="s">
        <v>1359</v>
      </c>
      <c r="E88" s="11" t="s">
        <v>1360</v>
      </c>
      <c r="G88" s="11" t="str">
        <f>IFERROR(__xludf.DUMMYFUNCTION(" GOOGLETRANSLATE(A88, ""en"", ""am"")"),"87")</f>
        <v>87</v>
      </c>
      <c r="H88" s="11" t="str">
        <f>IFERROR(__xludf.DUMMYFUNCTION(" GOOGLETRANSLATE(B88, ""en"", ""am"")"),"አንድ ሯጭ የማጠናቀቂያ መስመሩን አቋርጦ ያልፋል ነገር ግን ከመቋረጡ በፊት መጨረሱን እርግጠኛ አይሆንም። ምን ይሆናል?")</f>
        <v>አንድ ሯጭ የማጠናቀቂያ መስመሩን አቋርጦ ያልፋል ነገር ግን ከመቋረጡ በፊት መጨረሱን እርግጠኛ አይሆንም። ምን ይሆናል?</v>
      </c>
      <c r="I88" s="11" t="str">
        <f>IFERROR(__xludf.DUMMYFUNCTION(" GOOGLETRANSLATE(C88, ""en"", ""am"")"),"ሀ. ሯጩ በሰዓቱ ካላጠናቀቀ ከውድድሩ ውጪ ይሆናል። የሯጩ ጊዜ ለትክክለኛነቱ በባለሥልጣናት ይገመገማል። ሯጩ ስለ መጨረሻው እርግጠኛ ባለመሆኑ ይቀጣል.ዲ. ሯጩ የመጨረሻውን መስመር ለመሻገር ሁለተኛ እድል ይሰጠዋል.")</f>
        <v>ሀ. ሯጩ በሰዓቱ ካላጠናቀቀ ከውድድሩ ውጪ ይሆናል። የሯጩ ጊዜ ለትክክለኛነቱ በባለሥልጣናት ይገመገማል። ሯጩ ስለ መጨረሻው እርግጠኛ ባለመሆኑ ይቀጣል.ዲ. ሯጩ የመጨረሻውን መስመር ለመሻገር ሁለተኛ እድል ይሰጠዋል.</v>
      </c>
      <c r="J88" s="11" t="str">
        <f>IFERROR(__xludf.DUMMYFUNCTION(" GOOGLETRANSLATE(D88, ""en"", ""am"")"),"የሯጩ ጊዜ ለትክክለኛነቱ በባለሥልጣናት ይገመገማል።")</f>
        <v>የሯጩ ጊዜ ለትክክለኛነቱ በባለሥልጣናት ይገመገማል።</v>
      </c>
      <c r="K88" s="11" t="str">
        <f>IFERROR(__xludf.DUMMYFUNCTION(" GOOGLETRANSLATE(E88, ""en"", ""am"")"),"አለመግባባቶች በሚፈጠሩበት ጊዜ የማጠናቀቂያ ጊዜዎች በባለሥልጣናት ይገመገማሉ.")</f>
        <v>አለመግባባቶች በሚፈጠሩበት ጊዜ የማጠናቀቂያ ጊዜዎች በባለሥልጣናት ይገመገማሉ.</v>
      </c>
    </row>
    <row r="89" ht="22.5" customHeight="1">
      <c r="A89" s="10">
        <v>88.0</v>
      </c>
      <c r="B89" s="11" t="s">
        <v>1361</v>
      </c>
      <c r="C89" s="11" t="s">
        <v>1362</v>
      </c>
      <c r="D89" s="11" t="s">
        <v>1075</v>
      </c>
      <c r="E89" s="11" t="s">
        <v>1363</v>
      </c>
      <c r="G89" s="11" t="str">
        <f>IFERROR(__xludf.DUMMYFUNCTION(" GOOGLETRANSLATE(A89, ""en"", ""am"")"),"88")</f>
        <v>88</v>
      </c>
      <c r="H89" s="11" t="str">
        <f>IFERROR(__xludf.DUMMYFUNCTION(" GOOGLETRANSLATE(B89, ""en"", ""am"")"),"ሯጭ በሩጫ ወቅት ጫማውን ቢያጣም እሱ ግን መሄዱን ቀጥሏል። ምን ይሆናል?")</f>
        <v>ሯጭ በሩጫ ወቅት ጫማውን ቢያጣም እሱ ግን መሄዱን ቀጥሏል። ምን ይሆናል?</v>
      </c>
      <c r="I89" s="11" t="str">
        <f>IFERROR(__xludf.DUMMYFUNCTION(" GOOGLETRANSLATE(C89, ""en"", ""am"")"),"ሀ. ሯጩ ተገቢ ልብስ ሳይለብስ በመሮጡ ይቀጣል። ሯጩ የሩጫውን ህግ ባለማክበር ውድቅ ይደረጋል። ሯጩ ያለምንም ቅጣት እንዲቀጥል ተፈቅዶለታል.ዲ. ሯጩ ጫማውን በማጣቱ የጊዜ ቅጣት ይሰጠዋል.")</f>
        <v>ሀ. ሯጩ ተገቢ ልብስ ሳይለብስ በመሮጡ ይቀጣል። ሯጩ የሩጫውን ህግ ባለማክበር ውድቅ ይደረጋል። ሯጩ ያለምንም ቅጣት እንዲቀጥል ተፈቅዶለታል.ዲ. ሯጩ ጫማውን በማጣቱ የጊዜ ቅጣት ይሰጠዋል.</v>
      </c>
      <c r="J89" s="11" t="str">
        <f>IFERROR(__xludf.DUMMYFUNCTION(" GOOGLETRANSLATE(D89, ""en"", ""am"")"),"ሯጩ ያለምንም ቅጣት እንዲቀጥል ተፈቅዶለታል።")</f>
        <v>ሯጩ ያለምንም ቅጣት እንዲቀጥል ተፈቅዶለታል።</v>
      </c>
      <c r="K89" s="11" t="str">
        <f>IFERROR(__xludf.DUMMYFUNCTION(" GOOGLETRANSLATE(E89, ""en"", ""am"")"),"እድገታቸውን እስካልከለከለ ድረስ ሯጮች እንዲቀጥሉ ተፈቅዶላቸዋል።")</f>
        <v>እድገታቸውን እስካልከለከለ ድረስ ሯጮች እንዲቀጥሉ ተፈቅዶላቸዋል።</v>
      </c>
    </row>
    <row r="90" ht="22.5" customHeight="1">
      <c r="A90" s="10">
        <v>89.0</v>
      </c>
      <c r="B90" s="11" t="s">
        <v>1364</v>
      </c>
      <c r="C90" s="11" t="s">
        <v>1365</v>
      </c>
      <c r="D90" s="11" t="s">
        <v>1366</v>
      </c>
      <c r="E90" s="11" t="s">
        <v>1367</v>
      </c>
      <c r="G90" s="11" t="str">
        <f>IFERROR(__xludf.DUMMYFUNCTION(" GOOGLETRANSLATE(A90, ""en"", ""am"")"),"89")</f>
        <v>89</v>
      </c>
      <c r="H90" s="11" t="str">
        <f>IFERROR(__xludf.DUMMYFUNCTION(" GOOGLETRANSLATE(B90, ""en"", ""am"")"),"አንድ ሯጭ ለጊዜው ከትራኩ ወጣ ግን በፍጥነት ወደ መስመራቸው ይመለሳል። ምን ይሆናል?")</f>
        <v>አንድ ሯጭ ለጊዜው ከትራኩ ወጣ ግን በፍጥነት ወደ መስመራቸው ይመለሳል። ምን ይሆናል?</v>
      </c>
      <c r="I90" s="11" t="str">
        <f>IFERROR(__xludf.DUMMYFUNCTION(" GOOGLETRANSLATE(C90, ""en"", ""am"")"),"ሀ. ሯጩ ትራኩን ለመልቀቅ ብቁ አይደለም.ቢ. ሯጩ ትራኩን ለመልቀቅ ጊዜ በማጣት ይቀጣል። ሯጩ ያለ ምንም ቅጣት እንዲቀጥል ተፈቅዶለታል.ዲ. ሯጩ ከትራክ ላይ ለመውጣት ማስጠንቀቂያ ሊሰጠው ይገባል.")</f>
        <v>ሀ. ሯጩ ትራኩን ለመልቀቅ ብቁ አይደለም.ቢ. ሯጩ ትራኩን ለመልቀቅ ጊዜ በማጣት ይቀጣል። ሯጩ ያለ ምንም ቅጣት እንዲቀጥል ተፈቅዶለታል.ዲ. ሯጩ ከትራክ ላይ ለመውጣት ማስጠንቀቂያ ሊሰጠው ይገባል.</v>
      </c>
      <c r="J90" s="11" t="str">
        <f>IFERROR(__xludf.DUMMYFUNCTION(" GOOGLETRANSLATE(D90, ""en"", ""am"")"),"ሯጩ ትራኩን ለቆ ለመውጣት ጊዜ በማጣት ይቀጣል።")</f>
        <v>ሯጩ ትራኩን ለቆ ለመውጣት ጊዜ በማጣት ይቀጣል።</v>
      </c>
      <c r="K90" s="11" t="str">
        <f>IFERROR(__xludf.DUMMYFUNCTION(" GOOGLETRANSLATE(E90, ""en"", ""am"")"),"ያለ በቂ ምክንያት ትራኩን መልቀቅ ቅጣቶችን ሊያስከትል ይችላል።")</f>
        <v>ያለ በቂ ምክንያት ትራኩን መልቀቅ ቅጣቶችን ሊያስከትል ይችላል።</v>
      </c>
    </row>
    <row r="91" ht="22.5" customHeight="1">
      <c r="A91" s="10">
        <v>90.0</v>
      </c>
      <c r="B91" s="11" t="s">
        <v>1368</v>
      </c>
      <c r="C91" s="11" t="s">
        <v>1369</v>
      </c>
      <c r="D91" s="11" t="s">
        <v>1370</v>
      </c>
      <c r="E91" s="11" t="s">
        <v>1371</v>
      </c>
      <c r="G91" s="11" t="str">
        <f>IFERROR(__xludf.DUMMYFUNCTION(" GOOGLETRANSLATE(A91, ""en"", ""am"")"),"90")</f>
        <v>90</v>
      </c>
      <c r="H91" s="11" t="str">
        <f>IFERROR(__xludf.DUMMYFUNCTION(" GOOGLETRANSLATE(B91, ""en"", ""am"")"),"ሯጭ ከጉዳት ጋር ይወዳደራል ግን ውድድሩን ያጠናቅቃል። ምን ይሆናል?")</f>
        <v>ሯጭ ከጉዳት ጋር ይወዳደራል ግን ውድድሩን ያጠናቅቃል። ምን ይሆናል?</v>
      </c>
      <c r="I91" s="11" t="str">
        <f>IFERROR(__xludf.DUMMYFUNCTION(" GOOGLETRANSLATE(C91, ""en"", ""am"")"),"ሀ. ሯጭ ጉዳት ሲደርስበት ለመወዳደር ብቁ አይደለም.ቢ. ሯጩ እንዲጨርስ ተፈቅዶለታል ግን ሊቀጣ ይችላል።ሲ. ሯጩ በህክምና ባለሙያዎች ከተጣራ እንዲቀጥል ይፈቀድለታል.ዲ. ሯጩ ከመጠናቀቁ በፊት የሕክምና ክትትል ማግኘት አለበት.")</f>
        <v>ሀ. ሯጭ ጉዳት ሲደርስበት ለመወዳደር ብቁ አይደለም.ቢ. ሯጩ እንዲጨርስ ተፈቅዶለታል ግን ሊቀጣ ይችላል።ሲ. ሯጩ በህክምና ባለሙያዎች ከተጣራ እንዲቀጥል ይፈቀድለታል.ዲ. ሯጩ ከመጠናቀቁ በፊት የሕክምና ክትትል ማግኘት አለበት.</v>
      </c>
      <c r="J91" s="11" t="str">
        <f>IFERROR(__xludf.DUMMYFUNCTION(" GOOGLETRANSLATE(D91, ""en"", ""am"")"),"ሯጩ በህክምና ባለሙያዎች ከተጣራ እንዲቀጥል ይፈቀድለታል።")</f>
        <v>ሯጩ በህክምና ባለሙያዎች ከተጣራ እንዲቀጥል ይፈቀድለታል።</v>
      </c>
      <c r="K91" s="11" t="str">
        <f>IFERROR(__xludf.DUMMYFUNCTION(" GOOGLETRANSLATE(E91, ""en"", ""am"")"),"ጉዳት የደረሰባቸው ሯጮች ለህክምና ተስማሚ ከሆኑ እንዲጨርሱ ይፈቀድላቸዋል።")</f>
        <v>ጉዳት የደረሰባቸው ሯጮች ለህክምና ተስማሚ ከሆኑ እንዲጨርሱ ይፈቀድላቸዋል።</v>
      </c>
    </row>
    <row r="92" ht="22.5" customHeight="1">
      <c r="A92" s="10">
        <v>91.0</v>
      </c>
      <c r="B92" s="11" t="s">
        <v>1372</v>
      </c>
      <c r="C92" s="11" t="s">
        <v>1373</v>
      </c>
      <c r="D92" s="11" t="s">
        <v>1374</v>
      </c>
      <c r="E92" s="11" t="s">
        <v>1375</v>
      </c>
      <c r="G92" s="11" t="str">
        <f>IFERROR(__xludf.DUMMYFUNCTION(" GOOGLETRANSLATE(A92, ""en"", ""am"")"),"91")</f>
        <v>91</v>
      </c>
      <c r="H92" s="11" t="str">
        <f>IFERROR(__xludf.DUMMYFUNCTION(" GOOGLETRANSLATE(B92, ""en"", ""am"")"),"ሯጭ ሩጫ ይጀምራል ነገር ግን ፍጥነቱን ለመጠበቅ ይታገላል። ምን ይሆናል?")</f>
        <v>ሯጭ ሩጫ ይጀምራል ነገር ግን ፍጥነቱን ለመጠበቅ ይታገላል። ምን ይሆናል?</v>
      </c>
      <c r="I92" s="11" t="str">
        <f>IFERROR(__xludf.DUMMYFUNCTION(" GOOGLETRANSLATE(C92, ""en"", ""am"")"),"ሀ. ሯጩ ፍጥነቱን ባለመጠበቁ ከውድድሩ ይጠፋል። ሯጩ ፍጥነቱን ባለመጠበቁ ይቀጣል.ሲ. ሯጮች በራሳቸው ፍጥነት እንዲቀጥሉ ተፈቅዶላቸዋል.ዲ. ሯጩ ውድድሩን ለመጨረስ ተጨማሪ ጊዜ ይሰጠዋል.")</f>
        <v>ሀ. ሯጩ ፍጥነቱን ባለመጠበቁ ከውድድሩ ይጠፋል። ሯጩ ፍጥነቱን ባለመጠበቁ ይቀጣል.ሲ. ሯጮች በራሳቸው ፍጥነት እንዲቀጥሉ ተፈቅዶላቸዋል.ዲ. ሯጩ ውድድሩን ለመጨረስ ተጨማሪ ጊዜ ይሰጠዋል.</v>
      </c>
      <c r="J92" s="11" t="str">
        <f>IFERROR(__xludf.DUMMYFUNCTION(" GOOGLETRANSLATE(D92, ""en"", ""am"")"),"ሯጮች በራሳቸው ፍጥነት እንዲቀጥሉ ተፈቅዶላቸዋል።")</f>
        <v>ሯጮች በራሳቸው ፍጥነት እንዲቀጥሉ ተፈቅዶላቸዋል።</v>
      </c>
      <c r="K92" s="11" t="str">
        <f>IFERROR(__xludf.DUMMYFUNCTION(" GOOGLETRANSLATE(E92, ""en"", ""am"")"),"ሯጮች ያለ ምንም ቅጣት በራሳቸው ፍጥነት እንዲሮጡ ይፈቀድላቸዋል።")</f>
        <v>ሯጮች ያለ ምንም ቅጣት በራሳቸው ፍጥነት እንዲሮጡ ይፈቀድላቸዋል።</v>
      </c>
    </row>
    <row r="93" ht="22.5" customHeight="1">
      <c r="A93" s="10">
        <v>92.0</v>
      </c>
      <c r="B93" s="11" t="s">
        <v>1376</v>
      </c>
      <c r="C93" s="11" t="s">
        <v>1377</v>
      </c>
      <c r="D93" s="11" t="s">
        <v>1378</v>
      </c>
      <c r="E93" s="11" t="s">
        <v>1379</v>
      </c>
      <c r="G93" s="11" t="str">
        <f>IFERROR(__xludf.DUMMYFUNCTION(" GOOGLETRANSLATE(A93, ""en"", ""am"")"),"92")</f>
        <v>92</v>
      </c>
      <c r="H93" s="11" t="str">
        <f>IFERROR(__xludf.DUMMYFUNCTION(" GOOGLETRANSLATE(B93, ""en"", ""am"")"),"በሩጫ ውድድር ወቅት ሯጭ በተመልካች ይቀርባል። ምን ይሆናል?")</f>
        <v>በሩጫ ውድድር ወቅት ሯጭ በተመልካች ይቀርባል። ምን ይሆናል?</v>
      </c>
      <c r="I93" s="11" t="str">
        <f>IFERROR(__xludf.DUMMYFUNCTION(" GOOGLETRANSLATE(C93, ""en"", ""am"")"),"ሀ. ሯጩ ከተመልካቾች ጋር ለመግባባት ብቁ አይደለም.ቢ. ሯጩ ለተከፋፈለ ጊዜ በማጣቱ ይቀጣል። ሯጩ ያለ ምንም ቅጣት እንዲቀጥል ተፈቅዶለታል.ዲ. ሯጩ በሩጫው ላይ እንዲያተኩር ማስጠንቀቂያ ተሰጥቷል።")</f>
        <v>ሀ. ሯጩ ከተመልካቾች ጋር ለመግባባት ብቁ አይደለም.ቢ. ሯጩ ለተከፋፈለ ጊዜ በማጣቱ ይቀጣል። ሯጩ ያለ ምንም ቅጣት እንዲቀጥል ተፈቅዶለታል.ዲ. ሯጩ በሩጫው ላይ እንዲያተኩር ማስጠንቀቂያ ተሰጥቷል።</v>
      </c>
      <c r="J93" s="11" t="str">
        <f>IFERROR(__xludf.DUMMYFUNCTION(" GOOGLETRANSLATE(D93, ""en"", ""am"")"),"ሯጩ ያለ ምንም ቅጣት እንዲቀጥል ተፈቅዶለታል።")</f>
        <v>ሯጩ ያለ ምንም ቅጣት እንዲቀጥል ተፈቅዶለታል።</v>
      </c>
      <c r="K93" s="11" t="str">
        <f>IFERROR(__xludf.DUMMYFUNCTION(" GOOGLETRANSLATE(E93, ""en"", ""am"")"),"በአጠቃላይ ሯጮች በውድድሩ ወቅት ከተመልካቾች ጋር እንዲገናኙ አይፈቀድላቸውም።")</f>
        <v>በአጠቃላይ ሯጮች በውድድሩ ወቅት ከተመልካቾች ጋር እንዲገናኙ አይፈቀድላቸውም።</v>
      </c>
    </row>
    <row r="94" ht="22.5" customHeight="1">
      <c r="A94" s="10">
        <v>93.0</v>
      </c>
      <c r="B94" s="11" t="s">
        <v>1380</v>
      </c>
      <c r="C94" s="11" t="s">
        <v>1381</v>
      </c>
      <c r="D94" s="11" t="s">
        <v>1382</v>
      </c>
      <c r="E94" s="11" t="s">
        <v>1383</v>
      </c>
      <c r="G94" s="11" t="str">
        <f>IFERROR(__xludf.DUMMYFUNCTION(" GOOGLETRANSLATE(A94, ""en"", ""am"")"),"93")</f>
        <v>93</v>
      </c>
      <c r="H94" s="11" t="str">
        <f>IFERROR(__xludf.DUMMYFUNCTION(" GOOGLETRANSLATE(B94, ""en"", ""am"")"),"ሯጭ የፍጻሜውን መስመር ያቋርጣል፣ ነገር ግን የዘር ባለስልጣኖች የማጠናቀቂያ ሰዓታቸው የተሳሳተ ነው። ምን ይሆናል?")</f>
        <v>ሯጭ የፍጻሜውን መስመር ያቋርጣል፣ ነገር ግን የዘር ባለስልጣኖች የማጠናቀቂያ ሰዓታቸው የተሳሳተ ነው። ምን ይሆናል?</v>
      </c>
      <c r="I94" s="11" t="str">
        <f>IFERROR(__xludf.DUMMYFUNCTION(" GOOGLETRANSLATE(C94, ""en"", ""am"")"),"ሀ. ሯጩ ለባለሥልጣናቱ ስህተት ብቁ አይደለም.ቢ. የውድድር ቀረጻውን ከገመገመ በኋላ የሯጩ ጊዜ ተስተካክሏል። ሯጩ ለትክክለኛው ጊዜ ውድድሩን እንደገና እንዲያካሂድ ተፈቅዶለታል። ሯጩ በጊዜ ማጣት ግራ በመጋባቱ ይቀጣል።")</f>
        <v>ሀ. ሯጩ ለባለሥልጣናቱ ስህተት ብቁ አይደለም.ቢ. የውድድር ቀረጻውን ከገመገመ በኋላ የሯጩ ጊዜ ተስተካክሏል። ሯጩ ለትክክለኛው ጊዜ ውድድሩን እንደገና እንዲያካሂድ ተፈቅዶለታል። ሯጩ በጊዜ ማጣት ግራ በመጋባቱ ይቀጣል።</v>
      </c>
      <c r="J94" s="11" t="str">
        <f>IFERROR(__xludf.DUMMYFUNCTION(" GOOGLETRANSLATE(D94, ""en"", ""am"")"),"የውድድር ቀረጻውን ከገመገመ በኋላ የሯጩ ጊዜ ተስተካክሏል።")</f>
        <v>የውድድር ቀረጻውን ከገመገመ በኋላ የሯጩ ጊዜ ተስተካክሏል።</v>
      </c>
      <c r="K94" s="11" t="str">
        <f>IFERROR(__xludf.DUMMYFUNCTION(" GOOGLETRANSLATE(E94, ""en"", ""am"")"),"የዘር ባለስልጣናት የጊዜ ስህተቶችን ለማስተካከል ቀረጻውን ይገመግማሉ።")</f>
        <v>የዘር ባለስልጣናት የጊዜ ስህተቶችን ለማስተካከል ቀረጻውን ይገመግማሉ።</v>
      </c>
    </row>
    <row r="95" ht="22.5" customHeight="1">
      <c r="A95" s="10">
        <v>94.0</v>
      </c>
      <c r="B95" s="11" t="s">
        <v>1384</v>
      </c>
      <c r="C95" s="11" t="s">
        <v>1385</v>
      </c>
      <c r="D95" s="11" t="s">
        <v>1386</v>
      </c>
      <c r="E95" s="11" t="s">
        <v>1387</v>
      </c>
      <c r="G95" s="11" t="str">
        <f>IFERROR(__xludf.DUMMYFUNCTION(" GOOGLETRANSLATE(A95, ""en"", ""am"")"),"94")</f>
        <v>94</v>
      </c>
      <c r="H95" s="11" t="str">
        <f>IFERROR(__xludf.DUMMYFUNCTION(" GOOGLETRANSLATE(B95, ""en"", ""am"")"),"አንድ ሯጭ በሩጫው ወቅት በመሳሪያው ላይ ችግር አለበት. ምን ይሆናል?")</f>
        <v>አንድ ሯጭ በሩጫው ወቅት በመሳሪያው ላይ ችግር አለበት. ምን ይሆናል?</v>
      </c>
      <c r="I95" s="11" t="str">
        <f>IFERROR(__xludf.DUMMYFUNCTION(" GOOGLETRANSLATE(C95, ""en"", ""am"")"),"ሀ. ሯጩ ለመሳሪያ ብልሽት ብቁ አይደለም.ቢ. ሯጩ መሳሪያውን ለመጠገን ጊዜ ይሰጠዋል.ሲ. ሯጩ መሳሪያቸውን ባለመያዙ ይቀጣል.ዲ. ስህተቱን ካስተካከለ በኋላ, ሯጩ እንዲቀጥል ይፈቀድለታል.")</f>
        <v>ሀ. ሯጩ ለመሳሪያ ብልሽት ብቁ አይደለም.ቢ. ሯጩ መሳሪያውን ለመጠገን ጊዜ ይሰጠዋል.ሲ. ሯጩ መሳሪያቸውን ባለመያዙ ይቀጣል.ዲ. ስህተቱን ካስተካከለ በኋላ, ሯጩ እንዲቀጥል ይፈቀድለታል.</v>
      </c>
      <c r="J95" s="11" t="str">
        <f>IFERROR(__xludf.DUMMYFUNCTION(" GOOGLETRANSLATE(D95, ""en"", ""am"")"),"ስህተቱን ካስተካከለ በኋላ, ሯጩ እንዲቀጥል ይፈቀድለታል.")</f>
        <v>ስህተቱን ካስተካከለ በኋላ, ሯጩ እንዲቀጥል ይፈቀድለታል.</v>
      </c>
      <c r="K95" s="11" t="str">
        <f>IFERROR(__xludf.DUMMYFUNCTION(" GOOGLETRANSLATE(E95, ""en"", ""am"")"),"ሯጮች የመሳሪያ ችግሮችን በፍጥነት እስካልፈቱ ድረስ ሊቀጥሉ ይችላሉ።")</f>
        <v>ሯጮች የመሳሪያ ችግሮችን በፍጥነት እስካልፈቱ ድረስ ሊቀጥሉ ይችላሉ።</v>
      </c>
    </row>
    <row r="96" ht="22.5" customHeight="1">
      <c r="A96" s="10">
        <v>95.0</v>
      </c>
      <c r="B96" s="11" t="s">
        <v>1388</v>
      </c>
      <c r="C96" s="11" t="s">
        <v>1389</v>
      </c>
      <c r="D96" s="11" t="s">
        <v>1378</v>
      </c>
      <c r="E96" s="11" t="s">
        <v>1390</v>
      </c>
      <c r="G96" s="11" t="str">
        <f>IFERROR(__xludf.DUMMYFUNCTION(" GOOGLETRANSLATE(A96, ""en"", ""am"")"),"95")</f>
        <v>95</v>
      </c>
      <c r="H96" s="11" t="str">
        <f>IFERROR(__xludf.DUMMYFUNCTION(" GOOGLETRANSLATE(B96, ""en"", ""am"")"),"ሯጭ ወድቆ በፍጥነት ይነሳል። ምን ይሆናል?")</f>
        <v>ሯጭ ወድቆ በፍጥነት ይነሳል። ምን ይሆናል?</v>
      </c>
      <c r="I96" s="11" t="str">
        <f>IFERROR(__xludf.DUMMYFUNCTION(" GOOGLETRANSLATE(C96, ""en"", ""am"")"),"ሀ. ሯጩ ለመውደቅ ብቁ አይደለም.ቢ. ሯጩ ያለ ምንም ቅጣት እንዲቀጥል ተፈቅዶለታል። ሯጩ በሩጫው ወደ ኋላ በመውደቁ ይቀጣል.ዲ. የሕክምና ምርመራ እስኪደረግ ድረስ ሯጩ ማቆም አለበት.")</f>
        <v>ሀ. ሯጩ ለመውደቅ ብቁ አይደለም.ቢ. ሯጩ ያለ ምንም ቅጣት እንዲቀጥል ተፈቅዶለታል። ሯጩ በሩጫው ወደ ኋላ በመውደቁ ይቀጣል.ዲ. የሕክምና ምርመራ እስኪደረግ ድረስ ሯጩ ማቆም አለበት.</v>
      </c>
      <c r="J96" s="11" t="str">
        <f>IFERROR(__xludf.DUMMYFUNCTION(" GOOGLETRANSLATE(D96, ""en"", ""am"")"),"ሯጩ ያለ ምንም ቅጣት እንዲቀጥል ተፈቅዶለታል።")</f>
        <v>ሯጩ ያለ ምንም ቅጣት እንዲቀጥል ተፈቅዶለታል።</v>
      </c>
      <c r="K96" s="11" t="str">
        <f>IFERROR(__xludf.DUMMYFUNCTION(" GOOGLETRANSLATE(E96, ""en"", ""am"")"),"በሩጫ ወቅት መውደቅ ሯጭን በራስ ሰር አያሰናክልም።")</f>
        <v>በሩጫ ወቅት መውደቅ ሯጭን በራስ ሰር አያሰናክልም።</v>
      </c>
    </row>
    <row r="97" ht="22.5" customHeight="1">
      <c r="A97" s="10">
        <v>96.0</v>
      </c>
      <c r="B97" s="11" t="s">
        <v>1391</v>
      </c>
      <c r="C97" s="11" t="s">
        <v>1392</v>
      </c>
      <c r="D97" s="11" t="s">
        <v>1227</v>
      </c>
      <c r="E97" s="11" t="s">
        <v>1393</v>
      </c>
      <c r="G97" s="11" t="str">
        <f>IFERROR(__xludf.DUMMYFUNCTION(" GOOGLETRANSLATE(A97, ""en"", ""am"")"),"96")</f>
        <v>96</v>
      </c>
      <c r="H97" s="11" t="str">
        <f>IFERROR(__xludf.DUMMYFUNCTION(" GOOGLETRANSLATE(B97, ""en"", ""am"")"),"አንድ ሯጭ አደገኛ የሆነውን የኮርሱን ክፍል ለማስወገድ አቋራጭ መንገድ ይወስዳል። ምን ይሆናል?")</f>
        <v>አንድ ሯጭ አደገኛ የሆነውን የኮርሱን ክፍል ለማስወገድ አቋራጭ መንገድ ይወስዳል። ምን ይሆናል?</v>
      </c>
      <c r="I97" s="11" t="str">
        <f>IFERROR(__xludf.DUMMYFUNCTION(" GOOGLETRANSLATE(C97, ""en"", ""am"")"),"ሀ. ሯጩ ለማጭበርበር ብቁ አይደለም.ቢ. ሯጩ የጊዜ ቅጣት ይሰጠዋል.ሲ. ሯጩ ያለ ምንም ቅጣት እንዲቀጥል ተፈቅዶለታል.ዲ. ሯጩ ወደ ትክክለኛው ኮርስ ይመለሳል ተብሎ ይጠበቃል።")</f>
        <v>ሀ. ሯጩ ለማጭበርበር ብቁ አይደለም.ቢ. ሯጩ የጊዜ ቅጣት ይሰጠዋል.ሲ. ሯጩ ያለ ምንም ቅጣት እንዲቀጥል ተፈቅዶለታል.ዲ. ሯጩ ወደ ትክክለኛው ኮርስ ይመለሳል ተብሎ ይጠበቃል።</v>
      </c>
      <c r="J97" s="11" t="str">
        <f>IFERROR(__xludf.DUMMYFUNCTION(" GOOGLETRANSLATE(D97, ""en"", ""am"")"),"ሯጩ ለማጭበርበር ብቁ አይደለም።")</f>
        <v>ሯጩ ለማጭበርበር ብቁ አይደለም።</v>
      </c>
      <c r="K97" s="11" t="str">
        <f>IFERROR(__xludf.DUMMYFUNCTION(" GOOGLETRANSLATE(E97, ""en"", ""am"")"),"አቋራጮችን በመጠቀም ማጭበርበር ውድቅ ያደርገዋል።")</f>
        <v>አቋራጮችን በመጠቀም ማጭበርበር ውድቅ ያደርገዋል።</v>
      </c>
    </row>
    <row r="98" ht="22.5" customHeight="1">
      <c r="A98" s="10">
        <v>97.0</v>
      </c>
      <c r="B98" s="11" t="s">
        <v>1394</v>
      </c>
      <c r="C98" s="11" t="s">
        <v>1395</v>
      </c>
      <c r="D98" s="11" t="s">
        <v>1396</v>
      </c>
      <c r="E98" s="11" t="s">
        <v>1397</v>
      </c>
      <c r="G98" s="11" t="str">
        <f>IFERROR(__xludf.DUMMYFUNCTION(" GOOGLETRANSLATE(A98, ""en"", ""am"")"),"97")</f>
        <v>97</v>
      </c>
      <c r="H98" s="11" t="str">
        <f>IFERROR(__xludf.DUMMYFUNCTION(" GOOGLETRANSLATE(B98, ""en"", ""am"")"),"አንድ ሯጭ የውድድር ካርታውን በተሳሳተ መንገድ አንብቦ በተሳሳተ መንገድ ይሮጣል። ምን ይሆናል?")</f>
        <v>አንድ ሯጭ የውድድር ካርታውን በተሳሳተ መንገድ አንብቦ በተሳሳተ መንገድ ይሮጣል። ምን ይሆናል?</v>
      </c>
      <c r="I98" s="11" t="str">
        <f>IFERROR(__xludf.DUMMYFUNCTION(" GOOGLETRANSLATE(C98, ""en"", ""am"")"),"ሀ. ሯጩ ካርታውን ላለመከተል ብቃት የለውም.ቢ. ሯጩ በተሳሳተ መንገድ በመሮጡ ይቀጣል.ሲ. ሯጩ አቅጣጫቸውን እንዲያስተካክል ተፈቅዶለታል ዲ. ሯጩ ወዲያውኑ ወደ ትክክለኛው መንገድ መመለስ አለበት.")</f>
        <v>ሀ. ሯጩ ካርታውን ላለመከተል ብቃት የለውም.ቢ. ሯጩ በተሳሳተ መንገድ በመሮጡ ይቀጣል.ሲ. ሯጩ አቅጣጫቸውን እንዲያስተካክል ተፈቅዶለታል ዲ. ሯጩ ወዲያውኑ ወደ ትክክለኛው መንገድ መመለስ አለበት.</v>
      </c>
      <c r="J98" s="11" t="str">
        <f>IFERROR(__xludf.DUMMYFUNCTION(" GOOGLETRANSLATE(D98, ""en"", ""am"")"),"ሯጩ አቅጣጫቸውን እንዲያስተካክል ይፈቀድለታል.")</f>
        <v>ሯጩ አቅጣጫቸውን እንዲያስተካክል ይፈቀድለታል.</v>
      </c>
      <c r="K98" s="11" t="str">
        <f>IFERROR(__xludf.DUMMYFUNCTION(" GOOGLETRANSLATE(E98, ""en"", ""am"")"),"ከትክክለኛው መንገድ የወጡ ሯጮች በፍጥነት መመለስ አለባቸው።")</f>
        <v>ከትክክለኛው መንገድ የወጡ ሯጮች በፍጥነት መመለስ አለባቸው።</v>
      </c>
    </row>
    <row r="99" ht="22.5" customHeight="1">
      <c r="A99" s="10">
        <v>98.0</v>
      </c>
      <c r="B99" s="11" t="s">
        <v>1398</v>
      </c>
      <c r="C99" s="11" t="s">
        <v>1399</v>
      </c>
      <c r="D99" s="11" t="s">
        <v>1378</v>
      </c>
      <c r="E99" s="11" t="s">
        <v>1400</v>
      </c>
      <c r="G99" s="11" t="str">
        <f>IFERROR(__xludf.DUMMYFUNCTION(" GOOGLETRANSLATE(A99, ""en"", ""am"")"),"98")</f>
        <v>98</v>
      </c>
      <c r="H99" s="11" t="str">
        <f>IFERROR(__xludf.DUMMYFUNCTION(" GOOGLETRANSLATE(B99, ""en"", ""am"")"),"ሯጭ በሩጫ ወቅት ተገቢ ያልሆነ ጫማ ያደርጋል። ምን ይሆናል?")</f>
        <v>ሯጭ በሩጫ ወቅት ተገቢ ያልሆነ ጫማ ያደርጋል። ምን ይሆናል?</v>
      </c>
      <c r="I99" s="11" t="str">
        <f>IFERROR(__xludf.DUMMYFUNCTION(" GOOGLETRANSLATE(C99, ""en"", ""am"")"),"ሀ. ሯጩ ተገቢ ያልሆኑ ጫማዎችን ለመልበስ ብቁ አይደለም.ቢ. ሯጩ ተገቢ ባልሆነ ጫማ ምክንያት ለጠፋው ጊዜ ይቀጣል.ሲ. ሯጩ ያለ ምንም ቅጣት እንዲቀጥል ተፈቅዶለታል.ዲ. ሯጩ ለመቀጠል ትክክለኛ ጫማ ማድረግ አለበት።")</f>
        <v>ሀ. ሯጩ ተገቢ ያልሆኑ ጫማዎችን ለመልበስ ብቁ አይደለም.ቢ. ሯጩ ተገቢ ባልሆነ ጫማ ምክንያት ለጠፋው ጊዜ ይቀጣል.ሲ. ሯጩ ያለ ምንም ቅጣት እንዲቀጥል ተፈቅዶለታል.ዲ. ሯጩ ለመቀጠል ትክክለኛ ጫማ ማድረግ አለበት።</v>
      </c>
      <c r="J99" s="11" t="str">
        <f>IFERROR(__xludf.DUMMYFUNCTION(" GOOGLETRANSLATE(D99, ""en"", ""am"")"),"ሯጩ ያለ ምንም ቅጣት እንዲቀጥል ተፈቅዶለታል።")</f>
        <v>ሯጩ ያለ ምንም ቅጣት እንዲቀጥል ተፈቅዶለታል።</v>
      </c>
      <c r="K99" s="11" t="str">
        <f>IFERROR(__xludf.DUMMYFUNCTION(" GOOGLETRANSLATE(E99, ""en"", ""am"")"),"በውድድሩ ወቅት ትክክለኛ ጫማ ለደህንነት ሲባል አስፈላጊ ነው።")</f>
        <v>በውድድሩ ወቅት ትክክለኛ ጫማ ለደህንነት ሲባል አስፈላጊ ነው።</v>
      </c>
    </row>
    <row r="100" ht="22.5" customHeight="1">
      <c r="A100" s="10">
        <v>99.0</v>
      </c>
      <c r="B100" s="11" t="s">
        <v>1401</v>
      </c>
      <c r="C100" s="11" t="s">
        <v>1402</v>
      </c>
      <c r="D100" s="11" t="s">
        <v>1403</v>
      </c>
      <c r="E100" s="11" t="s">
        <v>1404</v>
      </c>
      <c r="G100" s="11" t="str">
        <f>IFERROR(__xludf.DUMMYFUNCTION(" GOOGLETRANSLATE(A100, ""en"", ""am"")"),"99")</f>
        <v>99</v>
      </c>
      <c r="H100" s="11" t="str">
        <f>IFERROR(__xludf.DUMMYFUNCTION(" GOOGLETRANSLATE(B100, ""en"", ""am"")"),"ሯጭ ውድድሩን ጨርሷል ነገር ግን በስህተት ሜዳሊያውን አላገኘም። ምን ይሆናል?")</f>
        <v>ሯጭ ውድድሩን ጨርሷል ነገር ግን በስህተት ሜዳሊያውን አላገኘም። ምን ይሆናል?</v>
      </c>
      <c r="I100" s="11" t="str">
        <f>IFERROR(__xludf.DUMMYFUNCTION(" GOOGLETRANSLATE(C100, ""en"", ""am"")"),"ሀ. ሯጩ ሜዳሊያውን ባለማግኘቱ ውድቅ ተደርጓል። ሯጩ ሜዳሊያውን የሚሸለመው ውድድሩ ከተፈረደ በኋላ ነው.ሲ. ሯጩ ሜዳሊያውን ባለመሰብሰቡ ይቀጣል.ዲ. ሯጩ ለመቀበል የሜዳሊያ ሥነ ሥርዓቱ እስኪደርስ መጠበቅ አለበት።")</f>
        <v>ሀ. ሯጩ ሜዳሊያውን ባለማግኘቱ ውድቅ ተደርጓል። ሯጩ ሜዳሊያውን የሚሸለመው ውድድሩ ከተፈረደ በኋላ ነው.ሲ. ሯጩ ሜዳሊያውን ባለመሰብሰቡ ይቀጣል.ዲ. ሯጩ ለመቀበል የሜዳሊያ ሥነ ሥርዓቱ እስኪደርስ መጠበቅ አለበት።</v>
      </c>
      <c r="J100" s="11" t="str">
        <f>IFERROR(__xludf.DUMMYFUNCTION(" GOOGLETRANSLATE(D100, ""en"", ""am"")"),"ውድድሩ ከተገመገመ በኋላ ሯጩ ሜዳሊያውን ይሸለማል.")</f>
        <v>ውድድሩ ከተገመገመ በኋላ ሯጩ ሜዳሊያውን ይሸለማል.</v>
      </c>
      <c r="K100" s="11" t="str">
        <f>IFERROR(__xludf.DUMMYFUNCTION(" GOOGLETRANSLATE(E100, ""en"", ""am"")"),"የውድድር አዘጋጆች ሯጮች ውድድሩን ካደረጉ በኋላ ሜዳሊያዎቻቸውን እንደሚያገኙ ያረጋግጣሉ።")</f>
        <v>የውድድር አዘጋጆች ሯጮች ውድድሩን ካደረጉ በኋላ ሜዳሊያዎቻቸውን እንደሚያገኙ ያረጋግጣሉ።</v>
      </c>
    </row>
    <row r="101" ht="22.5" customHeight="1">
      <c r="A101" s="10">
        <v>100.0</v>
      </c>
      <c r="B101" s="11" t="s">
        <v>1405</v>
      </c>
      <c r="C101" s="11" t="s">
        <v>1406</v>
      </c>
      <c r="D101" s="11" t="s">
        <v>1250</v>
      </c>
      <c r="E101" s="11" t="s">
        <v>1407</v>
      </c>
      <c r="G101" s="11" t="str">
        <f>IFERROR(__xludf.DUMMYFUNCTION(" GOOGLETRANSLATE(A101, ""en"", ""am"")"),"100")</f>
        <v>100</v>
      </c>
      <c r="H101" s="11" t="str">
        <f>IFERROR(__xludf.DUMMYFUNCTION(" GOOGLETRANSLATE(B101, ""en"", ""am"")"),"በሩጫ ውድድር ወቅት ሯጭ ያልተፈቀዱ መሳሪያዎችን ሲጠቀም ተይዟል። ምን ይሆናል?")</f>
        <v>በሩጫ ውድድር ወቅት ሯጭ ያልተፈቀዱ መሳሪያዎችን ሲጠቀም ተይዟል። ምን ይሆናል?</v>
      </c>
      <c r="I101" s="11" t="str">
        <f>IFERROR(__xludf.DUMMYFUNCTION(" GOOGLETRANSLATE(C101, ""en"", ""am"")"),"ሀ. ሯጩ ያልተፈቀዱ መሳሪያዎችን ለመጠቀም ብቁ አይደለም.ቢ. ሯጩ በጊዜ ማጣት ይቀጣል.ሲ. ሯጩ በማስጠንቀቂያ እንዲቀጥል ተፈቅዶለታል.ዲ. ሯጩ መሳሪያውን ወደ አዘጋጆቹ መመለስ አለበት.")</f>
        <v>ሀ. ሯጩ ያልተፈቀዱ መሳሪያዎችን ለመጠቀም ብቁ አይደለም.ቢ. ሯጩ በጊዜ ማጣት ይቀጣል.ሲ. ሯጩ በማስጠንቀቂያ እንዲቀጥል ተፈቅዶለታል.ዲ. ሯጩ መሳሪያውን ወደ አዘጋጆቹ መመለስ አለበት.</v>
      </c>
      <c r="J101" s="11" t="str">
        <f>IFERROR(__xludf.DUMMYFUNCTION(" GOOGLETRANSLATE(D101, ""en"", ""am"")"),"ሯጩ ያልተፈቀዱ መሳሪያዎችን ለመጠቀም ብቁ አይደለም።")</f>
        <v>ሯጩ ያልተፈቀዱ መሳሪያዎችን ለመጠቀም ብቁ አይደለም።</v>
      </c>
      <c r="K101" s="11" t="str">
        <f>IFERROR(__xludf.DUMMYFUNCTION(" GOOGLETRANSLATE(E101, ""en"", ""am"")"),"ያልተፈቀዱ መሳሪያዎችን መጠቀም ብቁ አለመሆንን ያስከትላል.")</f>
        <v>ያልተፈቀዱ መሳሪያዎችን መጠቀም ብቁ አለመሆንን ያስከትላል.</v>
      </c>
    </row>
    <row r="102" ht="22.5" customHeight="1">
      <c r="A102" s="10">
        <v>101.0</v>
      </c>
      <c r="B102" s="11" t="s">
        <v>1408</v>
      </c>
      <c r="C102" s="11" t="s">
        <v>1409</v>
      </c>
      <c r="D102" s="11" t="s">
        <v>1410</v>
      </c>
      <c r="E102" s="11" t="s">
        <v>1411</v>
      </c>
      <c r="G102" s="11" t="str">
        <f>IFERROR(__xludf.DUMMYFUNCTION(" GOOGLETRANSLATE(A102, ""en"", ""am"")"),"101")</f>
        <v>101</v>
      </c>
      <c r="H102" s="11" t="str">
        <f>IFERROR(__xludf.DUMMYFUNCTION(" GOOGLETRANSLATE(B102, ""en"", ""am"")"),"አንድ ሯጭ ውድድሩን ጨርሷል፣ ነገር ግን የጊዜ ሰሌዳቸው ተበላሽቷል። ምን ይሆናል?")</f>
        <v>አንድ ሯጭ ውድድሩን ጨርሷል፣ ነገር ግን የጊዜ ሰሌዳቸው ተበላሽቷል። ምን ይሆናል?</v>
      </c>
      <c r="I102" s="11" t="str">
        <f>IFERROR(__xludf.DUMMYFUNCTION(" GOOGLETRANSLATE(C102, ""en"", ""am"")"),"ሀ. ሯጩ በጊዜ ቺፕ ውድቀት ምክንያት ውድቅ ሆኗል.ቢ. ሯጩ እንዲጨርስ ይፈቀድለታል, እና ሰዓቱ በኋላ ላይ ተስተካክሏል.ሲ. ሯጩ ለመቅዳት ጊዜ አማራጭ ዘዴ ይሰጠዋል.ዲ. ሯጩ የጊዜ ቺፑን ባለመጠቀሙ ይቀጣል።")</f>
        <v>ሀ. ሯጩ በጊዜ ቺፕ ውድቀት ምክንያት ውድቅ ሆኗል.ቢ. ሯጩ እንዲጨርስ ይፈቀድለታል, እና ሰዓቱ በኋላ ላይ ተስተካክሏል.ሲ. ሯጩ ለመቅዳት ጊዜ አማራጭ ዘዴ ይሰጠዋል.ዲ. ሯጩ የጊዜ ቺፑን ባለመጠቀሙ ይቀጣል።</v>
      </c>
      <c r="J102" s="11" t="str">
        <f>IFERROR(__xludf.DUMMYFUNCTION(" GOOGLETRANSLATE(D102, ""en"", ""am"")"),"ሯጩ እንዲጨርስ ይፈቀድለታል, እና ሰዓቱ በኋላ ላይ ይስተካከላል.")</f>
        <v>ሯጩ እንዲጨርስ ይፈቀድለታል, እና ሰዓቱ በኋላ ላይ ይስተካከላል.</v>
      </c>
      <c r="K102" s="11" t="str">
        <f>IFERROR(__xludf.DUMMYFUNCTION(" GOOGLETRANSLATE(E102, ""en"", ""am"")"),"የዘር ባለስልጣናት ብልሽት በሚፈጠርበት ጊዜ ጊዜዎችን በእጅ ማስተካከል ይችላሉ።")</f>
        <v>የዘር ባለስልጣናት ብልሽት በሚፈጠርበት ጊዜ ጊዜዎችን በእጅ ማስተካከል ይችላሉ።</v>
      </c>
    </row>
    <row r="103" ht="22.5" customHeight="1">
      <c r="A103" s="10">
        <v>102.0</v>
      </c>
      <c r="B103" s="11" t="s">
        <v>1412</v>
      </c>
      <c r="C103" s="11" t="s">
        <v>1413</v>
      </c>
      <c r="D103" s="11" t="s">
        <v>1414</v>
      </c>
      <c r="E103" s="11" t="s">
        <v>1415</v>
      </c>
      <c r="G103" s="11" t="str">
        <f>IFERROR(__xludf.DUMMYFUNCTION(" GOOGLETRANSLATE(A103, ""en"", ""am"")"),"102")</f>
        <v>102</v>
      </c>
      <c r="H103" s="11" t="str">
        <f>IFERROR(__xludf.DUMMYFUNCTION(" GOOGLETRANSLATE(B103, ""en"", ""am"")"),"በመጨረሻው ቦታ ያለው ሯጭ ሌላ ሯጭ ያልፋል ግን ይሰናከላል። ምን ይሆናል?")</f>
        <v>በመጨረሻው ቦታ ያለው ሯጭ ሌላ ሯጭ ያልፋል ግን ይሰናከላል። ምን ይሆናል?</v>
      </c>
      <c r="I103" s="11" t="str">
        <f>IFERROR(__xludf.DUMMYFUNCTION(" GOOGLETRANSLATE(C103, ""en"", ""am"")"),"ሀ. ሯጩ በመጨረሻው መስመር ላይ በመሰናከሉ ይቀጣል። ሯጩ ለመሰናከል ብቁ አይደለም.ሲ. ሯጩ ካገገመ በኋላ እንዲጨርስ ይፈቀድለታል.ዲ. ሯጩ ወደ መጀመሪያው መስመር መመለስ አለበት።")</f>
        <v>ሀ. ሯጩ በመጨረሻው መስመር ላይ በመሰናከሉ ይቀጣል። ሯጩ ለመሰናከል ብቁ አይደለም.ሲ. ሯጩ ካገገመ በኋላ እንዲጨርስ ይፈቀድለታል.ዲ. ሯጩ ወደ መጀመሪያው መስመር መመለስ አለበት።</v>
      </c>
      <c r="J103" s="11" t="str">
        <f>IFERROR(__xludf.DUMMYFUNCTION(" GOOGLETRANSLATE(D103, ""en"", ""am"")"),"ሯጩ ካገገመ በኋላ እንዲጨርስ ይፈቀድለታል።")</f>
        <v>ሯጩ ካገገመ በኋላ እንዲጨርስ ይፈቀድለታል።</v>
      </c>
      <c r="K103" s="11" t="str">
        <f>IFERROR(__xludf.DUMMYFUNCTION(" GOOGLETRANSLATE(E103, ""en"", ""am"")"),"ሯጮች ከትንሽ እንቅፋቶች እንዲያገግሙ ተፈቅዶላቸዋል።")</f>
        <v>ሯጮች ከትንሽ እንቅፋቶች እንዲያገግሙ ተፈቅዶላቸዋል።</v>
      </c>
    </row>
    <row r="104" ht="22.5" customHeight="1">
      <c r="A104" s="10">
        <v>103.0</v>
      </c>
      <c r="B104" s="11" t="s">
        <v>1416</v>
      </c>
      <c r="C104" s="11" t="s">
        <v>1417</v>
      </c>
      <c r="D104" s="11" t="s">
        <v>1071</v>
      </c>
      <c r="E104" s="11" t="s">
        <v>1418</v>
      </c>
      <c r="G104" s="11" t="str">
        <f>IFERROR(__xludf.DUMMYFUNCTION(" GOOGLETRANSLATE(A104, ""en"", ""am"")"),"103")</f>
        <v>103</v>
      </c>
      <c r="H104" s="11" t="str">
        <f>IFERROR(__xludf.DUMMYFUNCTION(" GOOGLETRANSLATE(B104, ""en"", ""am"")"),"በውድድሩ ወቅት አንድ ሯጭ ከቁጥጥር ውጪ የሆነ የደንብ ልብስ ለብሶ ይታያል። ምን ይሆናል?")</f>
        <v>በውድድሩ ወቅት አንድ ሯጭ ከቁጥጥር ውጪ የሆነ የደንብ ልብስ ለብሶ ይታያል። ምን ይሆናል?</v>
      </c>
      <c r="I104" s="11" t="str">
        <f>IFERROR(__xludf.DUMMYFUNCTION(" GOOGLETRANSLATE(C104, ""en"", ""am"")"),"ሀ. ሯጩ ተገቢ ያልሆነ ልብስ ለመልበስ ብቁ አይደለም.ቢ. ሯጩ ማስጠንቀቂያ ተሰጥቶት እንዲቀጥል ተፈቅዶለታል። ሯጩ ተገቢ ባልሆነ አለባበስ ይቀጣል.ዲ. ሯጩ ወዲያውኑ ዩኒፎርማቸውን እንዲቀይሩ ይጠበቅባቸዋል.")</f>
        <v>ሀ. ሯጩ ተገቢ ያልሆነ ልብስ ለመልበስ ብቁ አይደለም.ቢ. ሯጩ ማስጠንቀቂያ ተሰጥቶት እንዲቀጥል ተፈቅዶለታል። ሯጩ ተገቢ ባልሆነ አለባበስ ይቀጣል.ዲ. ሯጩ ወዲያውኑ ዩኒፎርማቸውን እንዲቀይሩ ይጠበቅባቸዋል.</v>
      </c>
      <c r="J104" s="11" t="str">
        <f>IFERROR(__xludf.DUMMYFUNCTION(" GOOGLETRANSLATE(D104, ""en"", ""am"")"),"ሯጩ ማስጠንቀቂያ ተሰጥቶት እንዲቀጥል ተፈቀደለት።")</f>
        <v>ሯጩ ማስጠንቀቂያ ተሰጥቶት እንዲቀጥል ተፈቀደለት።</v>
      </c>
      <c r="K104" s="11" t="str">
        <f>IFERROR(__xludf.DUMMYFUNCTION(" GOOGLETRANSLATE(E104, ""en"", ""am"")"),"ፍትሃዊነትን ለመጠበቅ አንድ ወጥ ህጎች ተፈጻሚ ይሆናሉ።")</f>
        <v>ፍትሃዊነትን ለመጠበቅ አንድ ወጥ ህጎች ተፈጻሚ ይሆናሉ።</v>
      </c>
    </row>
    <row r="105" ht="22.5" customHeight="1">
      <c r="A105" s="10">
        <v>104.0</v>
      </c>
      <c r="B105" s="11" t="s">
        <v>1419</v>
      </c>
      <c r="C105" s="11" t="s">
        <v>1420</v>
      </c>
      <c r="D105" s="11" t="s">
        <v>1421</v>
      </c>
      <c r="E105" s="11" t="s">
        <v>1422</v>
      </c>
      <c r="G105" s="11" t="str">
        <f>IFERROR(__xludf.DUMMYFUNCTION(" GOOGLETRANSLATE(A105, ""en"", ""am"")"),"104")</f>
        <v>104</v>
      </c>
      <c r="H105" s="11" t="str">
        <f>IFERROR(__xludf.DUMMYFUNCTION(" GOOGLETRANSLATE(B105, ""en"", ""am"")"),"አንድ ሯጭ ውድድሩን ጨርሷል ነገርግን የመጨረሻውን መስመር ማለፍ አልቻለም። ምን ይሆናል?")</f>
        <v>አንድ ሯጭ ውድድሩን ጨርሷል ነገርግን የመጨረሻውን መስመር ማለፍ አልቻለም። ምን ይሆናል?</v>
      </c>
      <c r="I105" s="11" t="str">
        <f>IFERROR(__xludf.DUMMYFUNCTION(" GOOGLETRANSLATE(C105, ""en"", ""am"")"),"ሀ. ሯጩ መግባት ባለመቻሉ ከውድድሩ ተሰርዟል። ሯጩ እንዲጨርስ ተፈቅዶለታል ግን በኋላ ማረጋገጥ አለበት። ሯጩ ባለመግባቱ ይቀጣል.ዲ. የሯጩ አጨራረስ አልተመዘገበም።")</f>
        <v>ሀ. ሯጩ መግባት ባለመቻሉ ከውድድሩ ተሰርዟል። ሯጩ እንዲጨርስ ተፈቅዶለታል ግን በኋላ ማረጋገጥ አለበት። ሯጩ ባለመግባቱ ይቀጣል.ዲ. የሯጩ አጨራረስ አልተመዘገበም።</v>
      </c>
      <c r="J105" s="11" t="str">
        <f>IFERROR(__xludf.DUMMYFUNCTION(" GOOGLETRANSLATE(D105, ""en"", ""am"")"),"ሯጩ እንዲጨርስ ተፈቅዶለታል ግን በኋላ ማረጋገጥ አለበት።")</f>
        <v>ሯጩ እንዲጨርስ ተፈቅዶለታል ግን በኋላ ማረጋገጥ አለበት።</v>
      </c>
      <c r="K105" s="11" t="str">
        <f>IFERROR(__xludf.DUMMYFUNCTION(" GOOGLETRANSLATE(E105, ""en"", ""am"")"),"ለኦፊሴላዊ ዘር ውጤቶች መግባት ወሳኝ ነው።")</f>
        <v>ለኦፊሴላዊ ዘር ውጤቶች መግባት ወሳኝ ነው።</v>
      </c>
    </row>
    <row r="106" ht="22.5" customHeight="1">
      <c r="A106" s="10">
        <v>105.0</v>
      </c>
      <c r="B106" s="11" t="s">
        <v>1423</v>
      </c>
      <c r="C106" s="11" t="s">
        <v>1424</v>
      </c>
      <c r="D106" s="11" t="s">
        <v>1075</v>
      </c>
      <c r="E106" s="11" t="s">
        <v>1425</v>
      </c>
      <c r="G106" s="11" t="str">
        <f>IFERROR(__xludf.DUMMYFUNCTION(" GOOGLETRANSLATE(A106, ""en"", ""am"")"),"105")</f>
        <v>105</v>
      </c>
      <c r="H106" s="11" t="str">
        <f>IFERROR(__xludf.DUMMYFUNCTION(" GOOGLETRANSLATE(B106, ""en"", ""am"")"),"ሯጭ በሩጫ ወቅት ከቡድን አጋሩ ማበረታቻ ያገኛል። ምን ይሆናል?")</f>
        <v>ሯጭ በሩጫ ወቅት ከቡድን አጋሩ ማበረታቻ ያገኛል። ምን ይሆናል?</v>
      </c>
      <c r="I106" s="11" t="str">
        <f>IFERROR(__xludf.DUMMYFUNCTION(" GOOGLETRANSLATE(C106, ""en"", ""am"")"),"ሀ. ሯጩ ለውጭ እርዳታ ብቁ አይደለም.ቢ. ሯጩ ያለምንም ቅጣት እንዲቀጥል ተፈቅዶለታል.ሲ. ሯጩ የውጭ እርዳታን በመቀበል ይቀጣል.ዲ. ሯጩ ለውጭ እርዳታ ማስጠንቀቂያ ተሰጥቶታል።")</f>
        <v>ሀ. ሯጩ ለውጭ እርዳታ ብቁ አይደለም.ቢ. ሯጩ ያለምንም ቅጣት እንዲቀጥል ተፈቅዶለታል.ሲ. ሯጩ የውጭ እርዳታን በመቀበል ይቀጣል.ዲ. ሯጩ ለውጭ እርዳታ ማስጠንቀቂያ ተሰጥቶታል።</v>
      </c>
      <c r="J106" s="11" t="str">
        <f>IFERROR(__xludf.DUMMYFUNCTION(" GOOGLETRANSLATE(D106, ""en"", ""am"")"),"ሯጩ ያለምንም ቅጣት እንዲቀጥል ተፈቅዶለታል።")</f>
        <v>ሯጩ ያለምንም ቅጣት እንዲቀጥል ተፈቅዶለታል።</v>
      </c>
      <c r="K106" s="11" t="str">
        <f>IFERROR(__xludf.DUMMYFUNCTION(" GOOGLETRANSLATE(E106, ""en"", ""am"")"),"በውድድሮች ወቅት ከቡድን አጋሮች የሚደረግ እርዳታ በአጠቃላይ አይፈቀድም።")</f>
        <v>በውድድሮች ወቅት ከቡድን አጋሮች የሚደረግ እርዳታ በአጠቃላይ አይፈቀድም።</v>
      </c>
    </row>
    <row r="107" ht="22.5" customHeight="1">
      <c r="A107" s="10">
        <v>106.0</v>
      </c>
      <c r="B107" s="11" t="s">
        <v>1426</v>
      </c>
      <c r="C107" s="11" t="s">
        <v>1427</v>
      </c>
      <c r="D107" s="11" t="s">
        <v>1428</v>
      </c>
      <c r="E107" s="11" t="s">
        <v>1429</v>
      </c>
      <c r="G107" s="11" t="str">
        <f>IFERROR(__xludf.DUMMYFUNCTION(" GOOGLETRANSLATE(A107, ""en"", ""am"")"),"106")</f>
        <v>106</v>
      </c>
      <c r="H107" s="11" t="str">
        <f>IFERROR(__xludf.DUMMYFUNCTION(" GOOGLETRANSLATE(B107, ""en"", ""am"")"),"ሯጭ በሩጫው ውስጥ ሳይመዘገብ ይሳተፋል። ምን ይሆናል?")</f>
        <v>ሯጭ በሩጫው ውስጥ ሳይመዘገብ ይሳተፋል። ምን ይሆናል?</v>
      </c>
      <c r="I107" s="11" t="str">
        <f>IFERROR(__xludf.DUMMYFUNCTION(" GOOGLETRANSLATE(C107, ""en"", ""am"")"),"ሀ. ሯጩ ባለመመዝገቡ ውድቅ ተደርጓል ለ. ሯጩ እንዲጨርስ ተፈቅዶለታል ግን ደረጃ አልተሰጠውም።ሲ. ሯጩ በጊዜ ማጣት ይቀጣል.ዲ. ሯጩ ከውድድሩ በኋላ የመመዝገብ እድል ይሰጠዋል.")</f>
        <v>ሀ. ሯጩ ባለመመዝገቡ ውድቅ ተደርጓል ለ. ሯጩ እንዲጨርስ ተፈቅዶለታል ግን ደረጃ አልተሰጠውም።ሲ. ሯጩ በጊዜ ማጣት ይቀጣል.ዲ. ሯጩ ከውድድሩ በኋላ የመመዝገብ እድል ይሰጠዋል.</v>
      </c>
      <c r="J107" s="11" t="str">
        <f>IFERROR(__xludf.DUMMYFUNCTION(" GOOGLETRANSLATE(D107, ""en"", ""am"")"),"ሯጩ እንዲጨርስ ተፈቅዶለታል ግን ደረጃ አልተሰጠውም።")</f>
        <v>ሯጩ እንዲጨርስ ተፈቅዶለታል ግን ደረጃ አልተሰጠውም።</v>
      </c>
      <c r="K107" s="11" t="str">
        <f>IFERROR(__xludf.DUMMYFUNCTION(" GOOGLETRANSLATE(E107, ""en"", ""am"")"),"ሯጮች ለመወዳደር በይፋ መመዝገብ አለባቸው።")</f>
        <v>ሯጮች ለመወዳደር በይፋ መመዝገብ አለባቸው።</v>
      </c>
    </row>
    <row r="108" ht="22.5" customHeight="1">
      <c r="A108" s="10">
        <v>107.0</v>
      </c>
      <c r="B108" s="11" t="s">
        <v>1430</v>
      </c>
      <c r="C108" s="11" t="s">
        <v>1431</v>
      </c>
      <c r="D108" s="11" t="s">
        <v>1432</v>
      </c>
      <c r="E108" s="11" t="s">
        <v>1433</v>
      </c>
      <c r="G108" s="11" t="str">
        <f>IFERROR(__xludf.DUMMYFUNCTION(" GOOGLETRANSLATE(A108, ""en"", ""am"")"),"107")</f>
        <v>107</v>
      </c>
      <c r="H108" s="11" t="str">
        <f>IFERROR(__xludf.DUMMYFUNCTION(" GOOGLETRANSLATE(B108, ""en"", ""am"")"),"አንድ ሯጭ በመጀመሪያ ያጠናቅቃል ነገር ግን የትምህርቱን የተወሰነ ክፍል ቆርጦ ተገኝቷል። ምን ይሆናል?")</f>
        <v>አንድ ሯጭ በመጀመሪያ ያጠናቅቃል ነገር ግን የትምህርቱን የተወሰነ ክፍል ቆርጦ ተገኝቷል። ምን ይሆናል?</v>
      </c>
      <c r="I108" s="11" t="str">
        <f>IFERROR(__xludf.DUMMYFUNCTION(" GOOGLETRANSLATE(C108, ""en"", ""am"")"),"ሀ. ሯጩ ትራኩን ለመቁረጥ ብቁ አይደለም.ቢ. ሯጩ በጊዜ ማጣት ይቀጣል.ሲ. ሯጩ የመጀመሪያውን ቦታ እንዲይዝ ተፈቅዶለታል.ዲ. ሯጩ ትራኩን ለመቁረጥ ማስጠንቀቂያ ተሰጥቷል.")</f>
        <v>ሀ. ሯጩ ትራኩን ለመቁረጥ ብቁ አይደለም.ቢ. ሯጩ በጊዜ ማጣት ይቀጣል.ሲ. ሯጩ የመጀመሪያውን ቦታ እንዲይዝ ተፈቅዶለታል.ዲ. ሯጩ ትራኩን ለመቁረጥ ማስጠንቀቂያ ተሰጥቷል.</v>
      </c>
      <c r="J108" s="11" t="str">
        <f>IFERROR(__xludf.DUMMYFUNCTION(" GOOGLETRANSLATE(D108, ""en"", ""am"")"),"ሯጩ ትራኩን ለመቁረጥ ብቁ አይደለም።")</f>
        <v>ሯጩ ትራኩን ለመቁረጥ ብቁ አይደለም።</v>
      </c>
      <c r="K108" s="11" t="str">
        <f>IFERROR(__xludf.DUMMYFUNCTION(" GOOGLETRANSLATE(E108, ""en"", ""am"")"),"ትራኩን መቁረጥ ውድቅ ለማድረግ ምክንያት ነው.")</f>
        <v>ትራኩን መቁረጥ ውድቅ ለማድረግ ምክንያት ነው.</v>
      </c>
    </row>
    <row r="109" ht="22.5" customHeight="1">
      <c r="A109" s="10">
        <v>108.0</v>
      </c>
      <c r="B109" s="11" t="s">
        <v>1434</v>
      </c>
      <c r="C109" s="11" t="s">
        <v>1435</v>
      </c>
      <c r="D109" s="11" t="s">
        <v>1075</v>
      </c>
      <c r="E109" s="11" t="s">
        <v>1436</v>
      </c>
      <c r="G109" s="11" t="str">
        <f>IFERROR(__xludf.DUMMYFUNCTION(" GOOGLETRANSLATE(A109, ""en"", ""am"")"),"108")</f>
        <v>108</v>
      </c>
      <c r="H109" s="11" t="str">
        <f>IFERROR(__xludf.DUMMYFUNCTION(" GOOGLETRANSLATE(B109, ""en"", ""am"")"),"አንድ ሯጭ በታላቅ ድምፅ ትኩረቱ ይከፋፈላል እና ትኩረቱን ያጣል። ምን ይሆናል?")</f>
        <v>አንድ ሯጭ በታላቅ ድምፅ ትኩረቱ ይከፋፈላል እና ትኩረቱን ያጣል። ምን ይሆናል?</v>
      </c>
      <c r="I109" s="11" t="str">
        <f>IFERROR(__xludf.DUMMYFUNCTION(" GOOGLETRANSLATE(C109, ""en"", ""am"")"),"ሀ. ሯጩ ትኩረቱን በማጣቱ ይቀጣል.ቢ. ሯጩ ያለምንም ቅጣት እንዲቀጥል ተፈቅዶለታል.ሲ. ሯጩ መዘናጋት አይገባውም.ዲ. ሯጩ ለመጨረስ ተጨማሪ ጊዜ ይሰጠዋል.")</f>
        <v>ሀ. ሯጩ ትኩረቱን በማጣቱ ይቀጣል.ቢ. ሯጩ ያለምንም ቅጣት እንዲቀጥል ተፈቅዶለታል.ሲ. ሯጩ መዘናጋት አይገባውም.ዲ. ሯጩ ለመጨረስ ተጨማሪ ጊዜ ይሰጠዋል.</v>
      </c>
      <c r="J109" s="11" t="str">
        <f>IFERROR(__xludf.DUMMYFUNCTION(" GOOGLETRANSLATE(D109, ""en"", ""am"")"),"ሯጩ ያለምንም ቅጣት እንዲቀጥል ተፈቅዶለታል።")</f>
        <v>ሯጩ ያለምንም ቅጣት እንዲቀጥል ተፈቅዶለታል።</v>
      </c>
      <c r="K109" s="11" t="str">
        <f>IFERROR(__xludf.DUMMYFUNCTION(" GOOGLETRANSLATE(E109, ""en"", ""am"")"),"ሯጮች በውድድሩ ሁሉ ትኩረታቸውን እንዲጠብቁ ይጠበቅባቸዋል።")</f>
        <v>ሯጮች በውድድሩ ሁሉ ትኩረታቸውን እንዲጠብቁ ይጠበቅባቸዋል።</v>
      </c>
    </row>
    <row r="110" ht="22.5" customHeight="1">
      <c r="A110" s="10">
        <v>109.0</v>
      </c>
      <c r="B110" s="11" t="s">
        <v>1437</v>
      </c>
      <c r="C110" s="11" t="s">
        <v>1438</v>
      </c>
      <c r="D110" s="11" t="s">
        <v>1439</v>
      </c>
      <c r="E110" s="11" t="s">
        <v>1440</v>
      </c>
      <c r="G110" s="11" t="str">
        <f>IFERROR(__xludf.DUMMYFUNCTION(" GOOGLETRANSLATE(A110, ""en"", ""am"")"),"109")</f>
        <v>109</v>
      </c>
      <c r="H110" s="11" t="str">
        <f>IFERROR(__xludf.DUMMYFUNCTION(" GOOGLETRANSLATE(B110, ""en"", ""am"")"),"ሯጭ በጥሩ ሁኔታ ይሮጣል እና የመቁሰል አደጋ ተጋርጦበታል። ምን ይሆናል?")</f>
        <v>ሯጭ በጥሩ ሁኔታ ይሮጣል እና የመቁሰል አደጋ ተጋርጦበታል። ምን ይሆናል?</v>
      </c>
      <c r="I110" s="11" t="str">
        <f>IFERROR(__xludf.DUMMYFUNCTION(" GOOGLETRANSLATE(C110, ""en"", ""am"")"),"ሀ. ሯጩ ላልሆነ ቅጽ ብቁ አይደለም። ሯጩ እንዲቀጥል ተፈቅዶለታል ግን ቅጹን ማረም አለበት.ሲ. ሯጩ ፎርሙን እንዲያስተካክል የሕክምና ምክር ይሰጠዋል.ዲ. ሯጩ ፍትሃዊ ባልሆነ መልኩ ተቀጥቷል።")</f>
        <v>ሀ. ሯጩ ላልሆነ ቅጽ ብቁ አይደለም። ሯጩ እንዲቀጥል ተፈቅዶለታል ግን ቅጹን ማረም አለበት.ሲ. ሯጩ ፎርሙን እንዲያስተካክል የሕክምና ምክር ይሰጠዋል.ዲ. ሯጩ ፍትሃዊ ባልሆነ መልኩ ተቀጥቷል።</v>
      </c>
      <c r="J110" s="11" t="str">
        <f>IFERROR(__xludf.DUMMYFUNCTION(" GOOGLETRANSLATE(D110, ""en"", ""am"")"),"ሯጩ እንዲቀጥል ተፈቅዶለታል ግን ቅጹን ማረም አለበት።")</f>
        <v>ሯጩ እንዲቀጥል ተፈቅዶለታል ግን ቅጹን ማረም አለበት።</v>
      </c>
      <c r="K110" s="11" t="str">
        <f>IFERROR(__xludf.DUMMYFUNCTION(" GOOGLETRANSLATE(E110, ""en"", ""am"")"),"ጉዳትን መከላከል ቅድሚያ የሚሰጠው ጉዳይ ነው, እና ሯጮች ቅርጻቸውን እንዲያሻሽሉ ሊመከሩ ይችላሉ.")</f>
        <v>ጉዳትን መከላከል ቅድሚያ የሚሰጠው ጉዳይ ነው, እና ሯጮች ቅርጻቸውን እንዲያሻሽሉ ሊመከሩ ይችላሉ.</v>
      </c>
    </row>
    <row r="111" ht="22.5" customHeight="1">
      <c r="A111" s="10">
        <v>110.0</v>
      </c>
      <c r="B111" s="11" t="s">
        <v>1441</v>
      </c>
      <c r="C111" s="11" t="s">
        <v>1442</v>
      </c>
      <c r="D111" s="11" t="s">
        <v>1443</v>
      </c>
      <c r="E111" s="11" t="s">
        <v>1444</v>
      </c>
      <c r="G111" s="11" t="str">
        <f>IFERROR(__xludf.DUMMYFUNCTION(" GOOGLETRANSLATE(A111, ""en"", ""am"")"),"110")</f>
        <v>110</v>
      </c>
      <c r="H111" s="11" t="str">
        <f>IFERROR(__xludf.DUMMYFUNCTION(" GOOGLETRANSLATE(B111, ""en"", ""am"")"),"ሯጭ በአጋጣሚ ወደ ሌላ ሯጭ መስመር ይሻገራል። ምን ይሆናል?")</f>
        <v>ሯጭ በአጋጣሚ ወደ ሌላ ሯጭ መስመር ይሻገራል። ምን ይሆናል?</v>
      </c>
      <c r="I111" s="11" t="str">
        <f>IFERROR(__xludf.DUMMYFUNCTION(" GOOGLETRANSLATE(C111, ""en"", ""am"")"),"ሀ. ሯጩ ወደ ሌላ መስመር ለመግባት ብቁ አይደለም.ቢ. ሯጩ በሌይን ጥሰት ምክንያት ይቀጣል።ሲ. ሯጩ እንዲቀጥል ተፈቅዶለታል ግን አስጠንቅቋል.ዲ. ሯጩ ከመጀመሪያው ጀምሮ እንደገና ለመጀመር ይገደዳል.")</f>
        <v>ሀ. ሯጩ ወደ ሌላ መስመር ለመግባት ብቁ አይደለም.ቢ. ሯጩ በሌይን ጥሰት ምክንያት ይቀጣል።ሲ. ሯጩ እንዲቀጥል ተፈቅዶለታል ግን አስጠንቅቋል.ዲ. ሯጩ ከመጀመሪያው ጀምሮ እንደገና ለመጀመር ይገደዳል.</v>
      </c>
      <c r="J111" s="11" t="str">
        <f>IFERROR(__xludf.DUMMYFUNCTION(" GOOGLETRANSLATE(D111, ""en"", ""am"")"),"ሯጩ በሌይን ጥሰት ምክንያት ይቀጣል።")</f>
        <v>ሯጩ በሌይን ጥሰት ምክንያት ይቀጣል።</v>
      </c>
      <c r="K111" s="11" t="str">
        <f>IFERROR(__xludf.DUMMYFUNCTION(" GOOGLETRANSLATE(E111, ""en"", ""am"")"),"የሌይን ጥሰቶች ብዙውን ጊዜ ቅጣቶችን ወይም ብቁነትን ያስከትላሉ።")</f>
        <v>የሌይን ጥሰቶች ብዙውን ጊዜ ቅጣቶችን ወይም ብቁነትን ያስከትላሉ።</v>
      </c>
    </row>
    <row r="112" ht="22.5" customHeight="1">
      <c r="A112" s="10">
        <v>111.0</v>
      </c>
      <c r="B112" s="11" t="s">
        <v>1339</v>
      </c>
      <c r="C112" s="11" t="s">
        <v>1445</v>
      </c>
      <c r="D112" s="11" t="s">
        <v>1075</v>
      </c>
      <c r="E112" s="11" t="s">
        <v>1446</v>
      </c>
      <c r="G112" s="11" t="str">
        <f>IFERROR(__xludf.DUMMYFUNCTION(" GOOGLETRANSLATE(A112, ""en"", ""am"")"),"111")</f>
        <v>111</v>
      </c>
      <c r="H112" s="11" t="str">
        <f>IFERROR(__xludf.DUMMYFUNCTION(" GOOGLETRANSLATE(B112, ""en"", ""am"")"),"አንድ ሯጭ የቅድመ ውድድር መግለጫውን መከተል አልቻለም። ምን ይሆናል?")</f>
        <v>አንድ ሯጭ የቅድመ ውድድር መግለጫውን መከተል አልቻለም። ምን ይሆናል?</v>
      </c>
      <c r="I112" s="11" t="str">
        <f>IFERROR(__xludf.DUMMYFUNCTION(" GOOGLETRANSLATE(C112, ""en"", ""am"")"),"ሀ. ሯጩ አጭር ዝርዝሩን በማጣቱ ውድቅ ተደርጓል። ሯጩ ያለምንም ቅጣት እንዲቀጥል ተፈቅዶለታል.ሲ. ሯጩ የጊዜ ቅጣት ይሰጠዋል.ዲ. ሯጩ ማስጠንቀቂያ ተሰጥቶት እንዲቀጥል ተፈቀደለት።")</f>
        <v>ሀ. ሯጩ አጭር ዝርዝሩን በማጣቱ ውድቅ ተደርጓል። ሯጩ ያለምንም ቅጣት እንዲቀጥል ተፈቅዶለታል.ሲ. ሯጩ የጊዜ ቅጣት ይሰጠዋል.ዲ. ሯጩ ማስጠንቀቂያ ተሰጥቶት እንዲቀጥል ተፈቀደለት።</v>
      </c>
      <c r="J112" s="11" t="str">
        <f>IFERROR(__xludf.DUMMYFUNCTION(" GOOGLETRANSLATE(D112, ""en"", ""am"")"),"ሯጩ ያለምንም ቅጣት እንዲቀጥል ተፈቅዶለታል።")</f>
        <v>ሯጩ ያለምንም ቅጣት እንዲቀጥል ተፈቅዶለታል።</v>
      </c>
      <c r="K112" s="11" t="str">
        <f>IFERROR(__xludf.DUMMYFUNCTION(" GOOGLETRANSLATE(E112, ""en"", ""am"")"),"የቅድመ ውድድር አጭር መግለጫዎች ለዘር ህጎች እና ደህንነት አስፈላጊ ናቸው።")</f>
        <v>የቅድመ ውድድር አጭር መግለጫዎች ለዘር ህጎች እና ደህንነት አስፈላጊ ናቸው።</v>
      </c>
    </row>
    <row r="113" ht="22.5" customHeight="1">
      <c r="A113" s="10">
        <v>112.0</v>
      </c>
      <c r="B113" s="11" t="s">
        <v>1447</v>
      </c>
      <c r="C113" s="11" t="s">
        <v>1448</v>
      </c>
      <c r="D113" s="11" t="s">
        <v>1075</v>
      </c>
      <c r="E113" s="11" t="s">
        <v>1449</v>
      </c>
      <c r="G113" s="11" t="str">
        <f>IFERROR(__xludf.DUMMYFUNCTION(" GOOGLETRANSLATE(A113, ""en"", ""am"")"),"112")</f>
        <v>112</v>
      </c>
      <c r="H113" s="11" t="str">
        <f>IFERROR(__xludf.DUMMYFUNCTION(" GOOGLETRANSLATE(B113, ""en"", ""am"")"),"በሩጫ ወቅት ሯጭ በአጋጣሚ ከሌላ ተፎካካሪ ጋር ይጋጫል። ምን ይሆናል?")</f>
        <v>በሩጫ ወቅት ሯጭ በአጋጣሚ ከሌላ ተፎካካሪ ጋር ይጋጫል። ምን ይሆናል?</v>
      </c>
      <c r="I113" s="11" t="str">
        <f>IFERROR(__xludf.DUMMYFUNCTION(" GOOGLETRANSLATE(C113, ""en"", ""am"")"),"ሀ. ሯጩ ለግጭቱ መንስኤ ብቁ አይደለም.ቢ. ሯጩ ለግጭቱ ጊዜ በማጣት ይቀጣል። ሯጩ ያለምንም ቅጣት እንዲቀጥል ተፈቅዶለታል.ዲ. ሯጩ ይቅርታ መጠየቅ እና መቀጠል አለበት።")</f>
        <v>ሀ. ሯጩ ለግጭቱ መንስኤ ብቁ አይደለም.ቢ. ሯጩ ለግጭቱ ጊዜ በማጣት ይቀጣል። ሯጩ ያለምንም ቅጣት እንዲቀጥል ተፈቅዶለታል.ዲ. ሯጩ ይቅርታ መጠየቅ እና መቀጠል አለበት።</v>
      </c>
      <c r="J113" s="11" t="str">
        <f>IFERROR(__xludf.DUMMYFUNCTION(" GOOGLETRANSLATE(D113, ""en"", ""am"")"),"ሯጩ ያለምንም ቅጣት እንዲቀጥል ተፈቅዶለታል።")</f>
        <v>ሯጩ ያለምንም ቅጣት እንዲቀጥል ተፈቅዶለታል።</v>
      </c>
      <c r="K113" s="11" t="str">
        <f>IFERROR(__xludf.DUMMYFUNCTION(" GOOGLETRANSLATE(E113, ""en"", ""am"")"),"ድንገተኛ ግጭቶች የውድድሩ አካል ናቸው ነገርግን ጥንቃቄ ማድረግ ይመከራል።")</f>
        <v>ድንገተኛ ግጭቶች የውድድሩ አካል ናቸው ነገርግን ጥንቃቄ ማድረግ ይመከራል።</v>
      </c>
    </row>
    <row r="114" ht="22.5" customHeight="1">
      <c r="A114" s="10">
        <v>113.0</v>
      </c>
      <c r="B114" s="11" t="s">
        <v>1450</v>
      </c>
      <c r="C114" s="11" t="s">
        <v>1451</v>
      </c>
      <c r="D114" s="11" t="s">
        <v>1452</v>
      </c>
      <c r="E114" s="11" t="s">
        <v>1453</v>
      </c>
      <c r="G114" s="11" t="str">
        <f>IFERROR(__xludf.DUMMYFUNCTION(" GOOGLETRANSLATE(A114, ""en"", ""am"")"),"113")</f>
        <v>113</v>
      </c>
      <c r="H114" s="11" t="str">
        <f>IFERROR(__xludf.DUMMYFUNCTION(" GOOGLETRANSLATE(B114, ""en"", ""am"")"),"ሯጭ ውድድሩን ጨርሷል ነገር ግን ወዲያውኑ ከትራክ አይወጣም። ምን ይሆናል?")</f>
        <v>ሯጭ ውድድሩን ጨርሷል ነገር ግን ወዲያውኑ ከትራክ አይወጣም። ምን ይሆናል?</v>
      </c>
      <c r="I114" s="11" t="str">
        <f>IFERROR(__xludf.DUMMYFUNCTION(" GOOGLETRANSLATE(C114, ""en"", ""am"")"),"ሀ. ሯጩ ትራኩን በመዝጋቱ ይቀጣል.ቢ. ሯጩ ለበዓል እንዲቆይ ተፈቅዶለታል.ሲ. ሯጩ ወዲያውኑ ትራኩን እንዲለቅ ይጠየቃል.ዲ. ሯጩ በመንገዱ ላይ ለመቆየት ብቁ አይደለም።")</f>
        <v>ሀ. ሯጩ ትራኩን በመዝጋቱ ይቀጣል.ቢ. ሯጩ ለበዓል እንዲቆይ ተፈቅዶለታል.ሲ. ሯጩ ወዲያውኑ ትራኩን እንዲለቅ ይጠየቃል.ዲ. ሯጩ በመንገዱ ላይ ለመቆየት ብቁ አይደለም።</v>
      </c>
      <c r="J114" s="11" t="str">
        <f>IFERROR(__xludf.DUMMYFUNCTION(" GOOGLETRANSLATE(D114, ""en"", ""am"")"),"ሯጩ ለበዓል እንዲቆይ ተፈቅዶለታል።")</f>
        <v>ሯጩ ለበዓል እንዲቆይ ተፈቅዶለታል።</v>
      </c>
      <c r="K114" s="11" t="str">
        <f>IFERROR(__xludf.DUMMYFUNCTION(" GOOGLETRANSLATE(E114, ""en"", ""am"")"),"ሯጮች ከጨረሱ በኋላ ወዲያውኑ ትራኩን ማጽዳት አለባቸው።")</f>
        <v>ሯጮች ከጨረሱ በኋላ ወዲያውኑ ትራኩን ማጽዳት አለባቸው።</v>
      </c>
    </row>
    <row r="115" ht="22.5" customHeight="1">
      <c r="A115" s="10">
        <v>114.0</v>
      </c>
      <c r="B115" s="11" t="s">
        <v>1454</v>
      </c>
      <c r="C115" s="11" t="s">
        <v>1455</v>
      </c>
      <c r="D115" s="11" t="s">
        <v>1456</v>
      </c>
      <c r="E115" s="11" t="s">
        <v>1457</v>
      </c>
      <c r="G115" s="11" t="str">
        <f>IFERROR(__xludf.DUMMYFUNCTION(" GOOGLETRANSLATE(A115, ""en"", ""am"")"),"114")</f>
        <v>114</v>
      </c>
      <c r="H115" s="11" t="str">
        <f>IFERROR(__xludf.DUMMYFUNCTION(" GOOGLETRANSLATE(B115, ""en"", ""am"")"),"አንድ ሯጭ ከፍተኛ ድካም ያጋጥመዋል እናም ለመጨረስ እርዳታ ያስፈልገዋል። ምን ይሆናል?")</f>
        <v>አንድ ሯጭ ከፍተኛ ድካም ያጋጥመዋል እናም ለመጨረስ እርዳታ ያስፈልገዋል። ምን ይሆናል?</v>
      </c>
      <c r="I115" s="11" t="str">
        <f>IFERROR(__xludf.DUMMYFUNCTION(" GOOGLETRANSLATE(C115, ""en"", ""am"")"),"ሀ. ሯጩ እርዳታ ለመጠየቅ ብቁ አይደለም.ቢ. ሯጩ በህክምና እርዳታ እንዲቀጥል ተፈቅዶለታል.ሲ. ሯጩ እርዳታ ሲቀበል የጊዜ ቅጣት ይሰጠዋል.ዲ. ሯጩ እንዲያርፍ እና ካገገመ በኋላ እንደገና እንዲቀጥል ይፈቀድለታል.")</f>
        <v>ሀ. ሯጩ እርዳታ ለመጠየቅ ብቁ አይደለም.ቢ. ሯጩ በህክምና እርዳታ እንዲቀጥል ተፈቅዶለታል.ሲ. ሯጩ እርዳታ ሲቀበል የጊዜ ቅጣት ይሰጠዋል.ዲ. ሯጩ እንዲያርፍ እና ካገገመ በኋላ እንደገና እንዲቀጥል ይፈቀድለታል.</v>
      </c>
      <c r="J115" s="11" t="str">
        <f>IFERROR(__xludf.DUMMYFUNCTION(" GOOGLETRANSLATE(D115, ""en"", ""am"")"),"ሯጩ በህክምና እርዳታ እንዲቀጥል ተፈቅዶለታል።")</f>
        <v>ሯጩ በህክምና እርዳታ እንዲቀጥል ተፈቅዶለታል።</v>
      </c>
      <c r="K115" s="11" t="str">
        <f>IFERROR(__xludf.DUMMYFUNCTION(" GOOGLETRANSLATE(E115, ""en"", ""am"")"),"እርዳታ ለሚፈልጉ ሯጮች የህክምና ድጋፍ አለ።")</f>
        <v>እርዳታ ለሚፈልጉ ሯጮች የህክምና ድጋፍ አለ።</v>
      </c>
    </row>
    <row r="116" ht="22.5" customHeight="1">
      <c r="A116" s="10">
        <v>115.0</v>
      </c>
      <c r="B116" s="11" t="s">
        <v>1458</v>
      </c>
      <c r="C116" s="11" t="s">
        <v>1459</v>
      </c>
      <c r="D116" s="11" t="s">
        <v>1460</v>
      </c>
      <c r="E116" s="11" t="s">
        <v>1461</v>
      </c>
      <c r="G116" s="11" t="str">
        <f>IFERROR(__xludf.DUMMYFUNCTION(" GOOGLETRANSLATE(A116, ""en"", ""am"")"),"115")</f>
        <v>115</v>
      </c>
      <c r="H116" s="11" t="str">
        <f>IFERROR(__xludf.DUMMYFUNCTION(" GOOGLETRANSLATE(B116, ""en"", ""am"")"),"አንድ ሯጭ ጥግውን በመቁረጥ ሌላ ሯጭ ለማለፍ ይሞክራል። ምን ይሆናል?")</f>
        <v>አንድ ሯጭ ጥግውን በመቁረጥ ሌላ ሯጭ ለማለፍ ይሞክራል። ምን ይሆናል?</v>
      </c>
      <c r="I116" s="11" t="str">
        <f>IFERROR(__xludf.DUMMYFUNCTION(" GOOGLETRANSLATE(C116, ""en"", ""am"")"),"ሀ. ሯጩ ለማጭበርበር ብቁ አይደለም.ቢ. ሯጩ አቋራጭ በመውሰዱ ይቀጣል.ሲ. ሯጩ ያለ ምንም ቅጣት እንዲቀጥል ተፈቅዶለታል.ዲ. ሯጩ ማስጠንቀቂያ ቢሰጠውም እንዲቀጥል ተፈቅዶለታል።")</f>
        <v>ሀ. ሯጩ ለማጭበርበር ብቁ አይደለም.ቢ. ሯጩ አቋራጭ በመውሰዱ ይቀጣል.ሲ. ሯጩ ያለ ምንም ቅጣት እንዲቀጥል ተፈቅዶለታል.ዲ. ሯጩ ማስጠንቀቂያ ቢሰጠውም እንዲቀጥል ተፈቅዶለታል።</v>
      </c>
      <c r="J116" s="11" t="str">
        <f>IFERROR(__xludf.DUMMYFUNCTION(" GOOGLETRANSLATE(D116, ""en"", ""am"")"),"ሯጩ አቋራጭ በመውሰዱ ይቀጣል።")</f>
        <v>ሯጩ አቋራጭ በመውሰዱ ይቀጣል።</v>
      </c>
      <c r="K116" s="11" t="str">
        <f>IFERROR(__xludf.DUMMYFUNCTION(" GOOGLETRANSLATE(E116, ""en"", ""am"")"),"በውድድር ወቅት የሚደረጉ አቋራጮች ቅጣቶች ወይም ውድቀቶችን ያስከትላሉ።")</f>
        <v>በውድድር ወቅት የሚደረጉ አቋራጮች ቅጣቶች ወይም ውድቀቶችን ያስከትላሉ።</v>
      </c>
    </row>
    <row r="117" ht="22.5" customHeight="1">
      <c r="A117" s="10">
        <v>116.0</v>
      </c>
      <c r="B117" s="11" t="s">
        <v>1462</v>
      </c>
      <c r="C117" s="11" t="s">
        <v>1463</v>
      </c>
      <c r="D117" s="11" t="s">
        <v>1464</v>
      </c>
      <c r="E117" s="11" t="s">
        <v>1465</v>
      </c>
      <c r="G117" s="11" t="str">
        <f>IFERROR(__xludf.DUMMYFUNCTION(" GOOGLETRANSLATE(A117, ""en"", ""am"")"),"116")</f>
        <v>116</v>
      </c>
      <c r="H117" s="11" t="str">
        <f>IFERROR(__xludf.DUMMYFUNCTION(" GOOGLETRANSLATE(B117, ""en"", ""am"")"),"ሯጭ የውሸት ጅምር ተሰጥቶታል። ምን ይሆናል?")</f>
        <v>ሯጭ የውሸት ጅምር ተሰጥቶታል። ምን ይሆናል?</v>
      </c>
      <c r="I117" s="11" t="str">
        <f>IFERROR(__xludf.DUMMYFUNCTION(" GOOGLETRANSLATE(C117, ""en"", ""am"")"),"ሀ. ሯጩ ወዲያውኑ ውድቅ ይሆናል.B. ሯጩ ማስጠንቀቂያ ተሰጥቶት እንደገና እንዲጀምር ተፈቅዶለታል። ሯጩ በጊዜ ማጣት ይቀጣል.ዲ. ሯጩ ውድድሩ እንደገና እስኪጀምር መጠበቅ አለበት።")</f>
        <v>ሀ. ሯጩ ወዲያውኑ ውድቅ ይሆናል.B. ሯጩ ማስጠንቀቂያ ተሰጥቶት እንደገና እንዲጀምር ተፈቅዶለታል። ሯጩ በጊዜ ማጣት ይቀጣል.ዲ. ሯጩ ውድድሩ እንደገና እስኪጀምር መጠበቅ አለበት።</v>
      </c>
      <c r="J117" s="11" t="str">
        <f>IFERROR(__xludf.DUMMYFUNCTION(" GOOGLETRANSLATE(D117, ""en"", ""am"")"),"ሯጩ ማስጠንቀቂያ ተሰጥቶት እንደገና እንዲጀምር ይፈቀድለታል።")</f>
        <v>ሯጩ ማስጠንቀቂያ ተሰጥቶት እንደገና እንዲጀምር ይፈቀድለታል።</v>
      </c>
      <c r="K117" s="11" t="str">
        <f>IFERROR(__xludf.DUMMYFUNCTION(" GOOGLETRANSLATE(E117, ""en"", ""am"")"),"የውሸት ጅምር ቅጣቶችን ወይም ውድቅነትን ያስከትላል።")</f>
        <v>የውሸት ጅምር ቅጣቶችን ወይም ውድቅነትን ያስከትላል።</v>
      </c>
    </row>
    <row r="118" ht="22.5" customHeight="1">
      <c r="A118" s="10">
        <v>117.0</v>
      </c>
      <c r="B118" s="11" t="s">
        <v>1466</v>
      </c>
      <c r="C118" s="11" t="s">
        <v>1467</v>
      </c>
      <c r="D118" s="11" t="s">
        <v>1468</v>
      </c>
      <c r="E118" s="11" t="s">
        <v>1469</v>
      </c>
      <c r="G118" s="11" t="str">
        <f>IFERROR(__xludf.DUMMYFUNCTION(" GOOGLETRANSLATE(A118, ""en"", ""am"")"),"117")</f>
        <v>117</v>
      </c>
      <c r="H118" s="11" t="str">
        <f>IFERROR(__xludf.DUMMYFUNCTION(" GOOGLETRANSLATE(B118, ""en"", ""am"")"),"አንድ ሯጭ በውድድሩ ወቅት የጆሮ ማዳመጫዎችን የሚከለክል ህግ ይጥሳል። ምን ይሆናል?")</f>
        <v>አንድ ሯጭ በውድድሩ ወቅት የጆሮ ማዳመጫዎችን የሚከለክል ህግ ይጥሳል። ምን ይሆናል?</v>
      </c>
      <c r="I118" s="11" t="str">
        <f>IFERROR(__xludf.DUMMYFUNCTION(" GOOGLETRANSLATE(C118, ""en"", ""am"")"),"ሀ. ሯጩ የጆሮ ማዳመጫዎችን ለመጠቀም ብቁ አይደለም.ቢ. ሯጩ በጊዜ ማጣት ይቀጣል.ሲ. ሯጩ በማስጠንቀቂያ እንዲቀጥል ተፈቅዶለታል.ዲ. ሯጩ ለማጠናቀቅ ተጨማሪ ስራ ይሰጠዋል.")</f>
        <v>ሀ. ሯጩ የጆሮ ማዳመጫዎችን ለመጠቀም ብቁ አይደለም.ቢ. ሯጩ በጊዜ ማጣት ይቀጣል.ሲ. ሯጩ በማስጠንቀቂያ እንዲቀጥል ተፈቅዶለታል.ዲ. ሯጩ ለማጠናቀቅ ተጨማሪ ስራ ይሰጠዋል.</v>
      </c>
      <c r="J118" s="11" t="str">
        <f>IFERROR(__xludf.DUMMYFUNCTION(" GOOGLETRANSLATE(D118, ""en"", ""am"")"),"ሯጩ በጊዜ ማጣት ይቀጣል።")</f>
        <v>ሯጩ በጊዜ ማጣት ይቀጣል።</v>
      </c>
      <c r="K118" s="11" t="str">
        <f>IFERROR(__xludf.DUMMYFUNCTION(" GOOGLETRANSLATE(E118, ""en"", ""am"")"),"በሩጫው ወቅት የጆሮ ማዳመጫዎችን መጠቀም ቅጣትን ሊያስከትል ይችላል.")</f>
        <v>በሩጫው ወቅት የጆሮ ማዳመጫዎችን መጠቀም ቅጣትን ሊያስከትል ይችላል.</v>
      </c>
    </row>
    <row r="119" ht="22.5" customHeight="1">
      <c r="A119" s="10">
        <v>118.0</v>
      </c>
      <c r="B119" s="11" t="s">
        <v>1470</v>
      </c>
      <c r="C119" s="11" t="s">
        <v>1471</v>
      </c>
      <c r="D119" s="11" t="s">
        <v>1472</v>
      </c>
      <c r="E119" s="11" t="s">
        <v>1473</v>
      </c>
      <c r="G119" s="11" t="str">
        <f>IFERROR(__xludf.DUMMYFUNCTION(" GOOGLETRANSLATE(A119, ""en"", ""am"")"),"118")</f>
        <v>118</v>
      </c>
      <c r="H119" s="11" t="str">
        <f>IFERROR(__xludf.DUMMYFUNCTION(" GOOGLETRANSLATE(B119, ""en"", ""am"")"),"አንድ ሯጭ አበረታች መድሃኒት ሲጠቀም ተይዟል። ምን ይሆናል?")</f>
        <v>አንድ ሯጭ አበረታች መድሃኒት ሲጠቀም ተይዟል። ምን ይሆናል?</v>
      </c>
      <c r="I119" s="11" t="str">
        <f>IFERROR(__xludf.DUMMYFUNCTION(" GOOGLETRANSLATE(C119, ""en"", ""am"")"),"ሀ. ሯጩ ውድቅ ሆኖ ከወደፊት ዝግጅቶች ታግዷል። ሯጩ የጊዜ ቅጣት ተሰጥቶት እንዲቀጥል ተፈቅዶለታል። ሯጩ በማስጠንቀቂያ እንዲቀጥል ተፈቅዶለታል.ዲ. ሯጩ የሕክምና ዕርዳታ ተሰጥቶት እንዲወዳደር ይፈቀድለታል።")</f>
        <v>ሀ. ሯጩ ውድቅ ሆኖ ከወደፊት ዝግጅቶች ታግዷል። ሯጩ የጊዜ ቅጣት ተሰጥቶት እንዲቀጥል ተፈቅዶለታል። ሯጩ በማስጠንቀቂያ እንዲቀጥል ተፈቅዶለታል.ዲ. ሯጩ የሕክምና ዕርዳታ ተሰጥቶት እንዲወዳደር ይፈቀድለታል።</v>
      </c>
      <c r="J119" s="11" t="str">
        <f>IFERROR(__xludf.DUMMYFUNCTION(" GOOGLETRANSLATE(D119, ""en"", ""am"")"),"ሯጩ ውድቅ ሆኖ ከወደፊቱ ዝግጅቶች ታግዷል።")</f>
        <v>ሯጩ ውድቅ ሆኖ ከወደፊቱ ዝግጅቶች ታግዷል።</v>
      </c>
      <c r="K119" s="11" t="str">
        <f>IFERROR(__xludf.DUMMYFUNCTION(" GOOGLETRANSLATE(E119, ""en"", ""am"")"),"የዶፒንግ ጥሰቶች ወደ ውድቀቶች እና እገዳዎች ይመራሉ.")</f>
        <v>የዶፒንግ ጥሰቶች ወደ ውድቀቶች እና እገዳዎች ይመራሉ.</v>
      </c>
    </row>
    <row r="120" ht="22.5" customHeight="1">
      <c r="A120" s="10">
        <v>119.0</v>
      </c>
      <c r="B120" s="11" t="s">
        <v>1474</v>
      </c>
      <c r="C120" s="11" t="s">
        <v>1475</v>
      </c>
      <c r="D120" s="11" t="s">
        <v>1476</v>
      </c>
      <c r="E120" s="11" t="s">
        <v>1477</v>
      </c>
      <c r="G120" s="11" t="str">
        <f>IFERROR(__xludf.DUMMYFUNCTION(" GOOGLETRANSLATE(A120, ""en"", ""am"")"),"119")</f>
        <v>119</v>
      </c>
      <c r="H120" s="11" t="str">
        <f>IFERROR(__xludf.DUMMYFUNCTION(" GOOGLETRANSLATE(B120, ""en"", ""am"")"),"አንድ ሯጭ ውድድሩን ሲያጠናቅቅ በኋላ ግን አቋራጭ መንገድ እንደወሰደ አምኗል። ምን ይሆናል?")</f>
        <v>አንድ ሯጭ ውድድሩን ሲያጠናቅቅ በኋላ ግን አቋራጭ መንገድ እንደወሰደ አምኗል። ምን ይሆናል?</v>
      </c>
      <c r="I120" s="11" t="str">
        <f>IFERROR(__xludf.DUMMYFUNCTION(" GOOGLETRANSLATE(C120, ""en"", ""am"")"),"ሀ. ሯጩ ውድቅ ተደርጓል እና ታግዷል.B. ሯጩ ለአጭር ጊዜ ይቀጣል.ሲ. ሯጮቹ ጊዜያቸውን እና ደረጃቸውን እንዲጠብቁ ተፈቅዶላቸዋል.ዲ. ሯጮቹ ጊዜያቸውን ለማረጋገጥ ውድድሩን እንደገና መሮጥ አለባቸው።")</f>
        <v>ሀ. ሯጩ ውድቅ ተደርጓል እና ታግዷል.B. ሯጩ ለአጭር ጊዜ ይቀጣል.ሲ. ሯጮቹ ጊዜያቸውን እና ደረጃቸውን እንዲጠብቁ ተፈቅዶላቸዋል.ዲ. ሯጮቹ ጊዜያቸውን ለማረጋገጥ ውድድሩን እንደገና መሮጥ አለባቸው።</v>
      </c>
      <c r="J120" s="11" t="str">
        <f>IFERROR(__xludf.DUMMYFUNCTION(" GOOGLETRANSLATE(D120, ""en"", ""am"")"),"ሯጩ ውድቅ ተደርጓል እና ታግዷል።")</f>
        <v>ሯጩ ውድቅ ተደርጓል እና ታግዷል።</v>
      </c>
      <c r="K120" s="11" t="str">
        <f>IFERROR(__xludf.DUMMYFUNCTION(" GOOGLETRANSLATE(E120, ""en"", ""am"")"),"ከእውነታው በኋላ አቋራጮችን መውሰድ ውድቅነትን ያስከትላል.")</f>
        <v>ከእውነታው በኋላ አቋራጮችን መውሰድ ውድቅነትን ያስከትላል.</v>
      </c>
    </row>
    <row r="121" ht="22.5" customHeight="1">
      <c r="A121" s="10">
        <v>120.0</v>
      </c>
      <c r="B121" s="11" t="s">
        <v>1478</v>
      </c>
      <c r="C121" s="11" t="s">
        <v>1479</v>
      </c>
      <c r="D121" s="11" t="s">
        <v>1480</v>
      </c>
      <c r="E121" s="11" t="s">
        <v>1481</v>
      </c>
      <c r="G121" s="11" t="str">
        <f>IFERROR(__xludf.DUMMYFUNCTION(" GOOGLETRANSLATE(A121, ""en"", ""am"")"),"120")</f>
        <v>120</v>
      </c>
      <c r="H121" s="11" t="str">
        <f>IFERROR(__xludf.DUMMYFUNCTION(" GOOGLETRANSLATE(B121, ""en"", ""am"")"),"አንድ ሯጭ በውድድሩ ወቅት የውጪ እርዳታ በማግኘት ሲያጭበረብር ተይዟል። ምን ይሆናል?")</f>
        <v>አንድ ሯጭ በውድድሩ ወቅት የውጪ እርዳታ በማግኘት ሲያጭበረብር ተይዟል። ምን ይሆናል?</v>
      </c>
      <c r="I121" s="11" t="str">
        <f>IFERROR(__xludf.DUMMYFUNCTION(" GOOGLETRANSLATE(C121, ""en"", ""am"")"),"ሀ. ሯጩ ውድቅ ሆኖ ከዝግጅቱ ታግዷል.B. ሯጩ ማስጠንቀቂያ ተሰጥቶት እንዲቀጥል ተፈቅዶለታል። ሯጩ በጊዜ ማጣት ይቀጣል.ዲ. ሯጩ ያለ ምንም ቅጣት እንዲቀጥል ተፈቅዶለታል።")</f>
        <v>ሀ. ሯጩ ውድቅ ሆኖ ከዝግጅቱ ታግዷል.B. ሯጩ ማስጠንቀቂያ ተሰጥቶት እንዲቀጥል ተፈቅዶለታል። ሯጩ በጊዜ ማጣት ይቀጣል.ዲ. ሯጩ ያለ ምንም ቅጣት እንዲቀጥል ተፈቅዶለታል።</v>
      </c>
      <c r="J121" s="11" t="str">
        <f>IFERROR(__xludf.DUMMYFUNCTION(" GOOGLETRANSLATE(D121, ""en"", ""am"")"),"ሯጩ ከውድድሩ ታግዷል።")</f>
        <v>ሯጩ ከውድድሩ ታግዷል።</v>
      </c>
      <c r="K121" s="11" t="str">
        <f>IFERROR(__xludf.DUMMYFUNCTION(" GOOGLETRANSLATE(E121, ""en"", ""am"")"),"በሩጫው ወቅት የውጭ እርዳታን መቀበል ውድቅነትን ያስከትላል.")</f>
        <v>በሩጫው ወቅት የውጭ እርዳታን መቀበል ውድቅነትን ያስከትላል.</v>
      </c>
    </row>
    <row r="122" ht="22.5" customHeight="1">
      <c r="A122" s="10">
        <v>121.0</v>
      </c>
      <c r="B122" s="11" t="s">
        <v>1482</v>
      </c>
      <c r="C122" s="11" t="s">
        <v>1483</v>
      </c>
      <c r="D122" s="11" t="s">
        <v>1484</v>
      </c>
      <c r="E122" s="11" t="s">
        <v>1485</v>
      </c>
      <c r="G122" s="11" t="str">
        <f>IFERROR(__xludf.DUMMYFUNCTION(" GOOGLETRANSLATE(A122, ""en"", ""am"")"),"121")</f>
        <v>121</v>
      </c>
      <c r="H122" s="11" t="str">
        <f>IFERROR(__xludf.DUMMYFUNCTION(" GOOGLETRANSLATE(B122, ""en"", ""am"")"),"አንድ ሯጭ ቆስሏል ነገር ግን አሁንም ውድድሩን ለመጨረስ እየሞከረ ነው። ምን ይሆናል?")</f>
        <v>አንድ ሯጭ ቆስሏል ነገር ግን አሁንም ውድድሩን ለመጨረስ እየሞከረ ነው። ምን ይሆናል?</v>
      </c>
      <c r="I122" s="11" t="str">
        <f>IFERROR(__xludf.DUMMYFUNCTION(" GOOGLETRANSLATE(C122, ""en"", ""am"")"),"ሀ. ሯጩ ጉዳት ቢደርስበትም ለመቀጠል ብቁ አይደለም.ቢ. ሯጩ በህክምና ክሊራንስ እንዲጨርስ ተፈቅዶለታል። ሯጩ በጊዜ ማጣት ባለመቆሙ ይቀጣል.ዲ. ሯጩ የሕክምና ፈቃድ ለማግኘት ይፈለጋል.")</f>
        <v>ሀ. ሯጩ ጉዳት ቢደርስበትም ለመቀጠል ብቁ አይደለም.ቢ. ሯጩ በህክምና ክሊራንስ እንዲጨርስ ተፈቅዶለታል። ሯጩ በጊዜ ማጣት ባለመቆሙ ይቀጣል.ዲ. ሯጩ የሕክምና ፈቃድ ለማግኘት ይፈለጋል.</v>
      </c>
      <c r="J122" s="11" t="str">
        <f>IFERROR(__xludf.DUMMYFUNCTION(" GOOGLETRANSLATE(D122, ""en"", ""am"")"),"ሯጩ በህክምና ፈቃድ እንዲጨርስ ተፈቅዶለታል።")</f>
        <v>ሯጩ በህክምና ፈቃድ እንዲጨርስ ተፈቅዶለታል።</v>
      </c>
      <c r="K122" s="11" t="str">
        <f>IFERROR(__xludf.DUMMYFUNCTION(" GOOGLETRANSLATE(E122, ""en"", ""am"")"),"በህክምና ባለሙያዎች ከተጣራ ሯጮች እንዲጨርሱ ይፈቀድላቸዋል።")</f>
        <v>በህክምና ባለሙያዎች ከተጣራ ሯጮች እንዲጨርሱ ይፈቀድላቸዋል።</v>
      </c>
    </row>
    <row r="123" ht="22.5" customHeight="1">
      <c r="A123" s="10">
        <v>122.0</v>
      </c>
      <c r="B123" s="11" t="s">
        <v>1486</v>
      </c>
      <c r="C123" s="11" t="s">
        <v>1487</v>
      </c>
      <c r="D123" s="11" t="s">
        <v>1488</v>
      </c>
      <c r="E123" s="11" t="s">
        <v>1489</v>
      </c>
      <c r="G123" s="11" t="str">
        <f>IFERROR(__xludf.DUMMYFUNCTION(" GOOGLETRANSLATE(A123, ""en"", ""am"")"),"122")</f>
        <v>122</v>
      </c>
      <c r="H123" s="11" t="str">
        <f>IFERROR(__xludf.DUMMYFUNCTION(" GOOGLETRANSLATE(B123, ""en"", ""am"")"),"አንድ ሯጭ የግል ምርጡን ሰበረ ነገር ግን የማጣሪያ ጊዜውን አምልጦታል። ምን ይሆናል?")</f>
        <v>አንድ ሯጭ የግል ምርጡን ሰበረ ነገር ግን የማጣሪያ ጊዜውን አምልጦታል። ምን ይሆናል?</v>
      </c>
      <c r="I123" s="11" t="str">
        <f>IFERROR(__xludf.DUMMYFUNCTION(" GOOGLETRANSLATE(C123, ""en"", ""am"")"),"ሀ. ሯጩ የመመዘኛ ሰአቱን በማጣቱ ከውድድሩ ተወግዷል። ሯጩ በግል መዝገብ ምክንያት ብቁ እንዲሆን ተፈቅዶለታል። ሯጩ ተቀጥቷል ነገር ግን ብቁ እንዲሆን ተፈቅዶለታል.ዲ. ሯጩ ብቁ ለመሆን ሁለተኛ ሙከራ ይደረግለታል።")</f>
        <v>ሀ. ሯጩ የመመዘኛ ሰአቱን በማጣቱ ከውድድሩ ተወግዷል። ሯጩ በግል መዝገብ ምክንያት ብቁ እንዲሆን ተፈቅዶለታል። ሯጩ ተቀጥቷል ነገር ግን ብቁ እንዲሆን ተፈቅዶለታል.ዲ. ሯጩ ብቁ ለመሆን ሁለተኛ ሙከራ ይደረግለታል።</v>
      </c>
      <c r="J123" s="11" t="str">
        <f>IFERROR(__xludf.DUMMYFUNCTION(" GOOGLETRANSLATE(D123, ""en"", ""am"")"),"ሯጩ የማጣሪያ ጊዜውን በማጣቱ ከውድድሩ ውጪ ሆኗል።")</f>
        <v>ሯጩ የማጣሪያ ጊዜውን በማጣቱ ከውድድሩ ውጪ ሆኗል።</v>
      </c>
      <c r="K123" s="11" t="str">
        <f>IFERROR(__xludf.DUMMYFUNCTION(" GOOGLETRANSLATE(E123, ""en"", ""am"")"),"ለመግቢያ መመዘኛዎች አስገዳጅ ናቸው.")</f>
        <v>ለመግቢያ መመዘኛዎች አስገዳጅ ናቸው.</v>
      </c>
    </row>
    <row r="124" ht="22.5" customHeight="1">
      <c r="A124" s="10">
        <v>123.0</v>
      </c>
      <c r="B124" s="11" t="s">
        <v>1490</v>
      </c>
      <c r="C124" s="11" t="s">
        <v>1491</v>
      </c>
      <c r="D124" s="11" t="s">
        <v>1075</v>
      </c>
      <c r="E124" s="11" t="s">
        <v>1492</v>
      </c>
      <c r="G124" s="11" t="str">
        <f>IFERROR(__xludf.DUMMYFUNCTION(" GOOGLETRANSLATE(A124, ""en"", ""am"")"),"123")</f>
        <v>123</v>
      </c>
      <c r="H124" s="11" t="str">
        <f>IFERROR(__xludf.DUMMYFUNCTION(" GOOGLETRANSLATE(B124, ""en"", ""am"")"),"አንድ ሯጭ ከትራኩ ላይ ይወድቃል ግን በፍጥነት ይመለሳል። ምን ይሆናል?")</f>
        <v>አንድ ሯጭ ከትራኩ ላይ ይወድቃል ግን በፍጥነት ይመለሳል። ምን ይሆናል?</v>
      </c>
      <c r="I124" s="11" t="str">
        <f>IFERROR(__xludf.DUMMYFUNCTION(" GOOGLETRANSLATE(C124, ""en"", ""am"")"),"ሀ. ሯጩ ትራኩን ለመልቀቅ ብቁ አይደለም.ቢ. ሯጩ ትራኩን ለመልቀቅ ጊዜ በማጣት ይቀጣል። ሯጩ ያለምንም ቅጣት እንዲቀጥል ተፈቅዶለታል.ዲ. ሯጩ ወደ መጀመሪያ ቦታቸው መመለስ አለበት.")</f>
        <v>ሀ. ሯጩ ትራኩን ለመልቀቅ ብቁ አይደለም.ቢ. ሯጩ ትራኩን ለመልቀቅ ጊዜ በማጣት ይቀጣል። ሯጩ ያለምንም ቅጣት እንዲቀጥል ተፈቅዶለታል.ዲ. ሯጩ ወደ መጀመሪያ ቦታቸው መመለስ አለበት.</v>
      </c>
      <c r="J124" s="11" t="str">
        <f>IFERROR(__xludf.DUMMYFUNCTION(" GOOGLETRANSLATE(D124, ""en"", ""am"")"),"ሯጩ ያለምንም ቅጣት እንዲቀጥል ተፈቅዶለታል።")</f>
        <v>ሯጩ ያለምንም ቅጣት እንዲቀጥል ተፈቅዶለታል።</v>
      </c>
      <c r="K124" s="11" t="str">
        <f>IFERROR(__xludf.DUMMYFUNCTION(" GOOGLETRANSLATE(E124, ""en"", ""am"")"),"ውድድሩን ካላስተጓጎለ በስተቀር ትራኩን መልቀቅ በአጠቃላይ አይቀጣም።")</f>
        <v>ውድድሩን ካላስተጓጎለ በስተቀር ትራኩን መልቀቅ በአጠቃላይ አይቀጣም።</v>
      </c>
    </row>
    <row r="125" ht="22.5" customHeight="1">
      <c r="A125" s="10">
        <v>124.0</v>
      </c>
      <c r="B125" s="11" t="s">
        <v>1493</v>
      </c>
      <c r="C125" s="11" t="s">
        <v>1494</v>
      </c>
      <c r="D125" s="11" t="s">
        <v>1495</v>
      </c>
      <c r="E125" s="11" t="s">
        <v>1496</v>
      </c>
      <c r="G125" s="11" t="str">
        <f>IFERROR(__xludf.DUMMYFUNCTION(" GOOGLETRANSLATE(A125, ""en"", ""am"")"),"124")</f>
        <v>124</v>
      </c>
      <c r="H125" s="11" t="str">
        <f>IFERROR(__xludf.DUMMYFUNCTION(" GOOGLETRANSLATE(B125, ""en"", ""am"")"),"አንድ ሯጭ የሩጫውን መስመር ባለመከተሉ ተይዟል። ምን ይሆናል?")</f>
        <v>አንድ ሯጭ የሩጫውን መስመር ባለመከተሉ ተይዟል። ምን ይሆናል?</v>
      </c>
      <c r="I125" s="11" t="str">
        <f>IFERROR(__xludf.DUMMYFUNCTION(" GOOGLETRANSLATE(C125, ""en"", ""am"")"),"ሀ. ሯጩ መንገዱን ላለመከተል ብቁ ነው.ቢ. ሯጩ ለመንገድ ብልሽት ጊዜ በማጣት ይቀጣል። ሯጩ ማስጠንቀቂያ ተሰጥቶት እንዲቀጥል ተፈቅዶለታል።ዲ. ሯጩ ውድድሩን እንደገና እንዲጀምር ይጠየቃል።")</f>
        <v>ሀ. ሯጩ መንገዱን ላለመከተል ብቁ ነው.ቢ. ሯጩ ለመንገድ ብልሽት ጊዜ በማጣት ይቀጣል። ሯጩ ማስጠንቀቂያ ተሰጥቶት እንዲቀጥል ተፈቅዶለታል።ዲ. ሯጩ ውድድሩን እንደገና እንዲጀምር ይጠየቃል።</v>
      </c>
      <c r="J125" s="11" t="str">
        <f>IFERROR(__xludf.DUMMYFUNCTION(" GOOGLETRANSLATE(D125, ""en"", ""am"")"),"ሯጩ መንገዱን ላለመከተል ብቃት የለውም።")</f>
        <v>ሯጩ መንገዱን ላለመከተል ብቃት የለውም።</v>
      </c>
      <c r="K125" s="11" t="str">
        <f>IFERROR(__xludf.DUMMYFUNCTION(" GOOGLETRANSLATE(E125, ""en"", ""am"")"),"መንገዱን አለመከተል ብቃት ማነስን ያስከትላል።")</f>
        <v>መንገዱን አለመከተል ብቃት ማነስን ያስከትላል።</v>
      </c>
    </row>
    <row r="126" ht="22.5" customHeight="1">
      <c r="A126" s="10">
        <v>125.0</v>
      </c>
      <c r="B126" s="11" t="s">
        <v>1497</v>
      </c>
      <c r="C126" s="11" t="s">
        <v>1498</v>
      </c>
      <c r="D126" s="11" t="s">
        <v>1499</v>
      </c>
      <c r="E126" s="11" t="s">
        <v>1500</v>
      </c>
      <c r="G126" s="11" t="str">
        <f>IFERROR(__xludf.DUMMYFUNCTION(" GOOGLETRANSLATE(A126, ""en"", ""am"")"),"125")</f>
        <v>125</v>
      </c>
      <c r="H126" s="11" t="str">
        <f>IFERROR(__xludf.DUMMYFUNCTION(" GOOGLETRANSLATE(B126, ""en"", ""am"")"),"አንድ ሯጭ በውድድሩ ወቅት የቢብ ቁጥሩን ያጣል። ምን ይሆናል?")</f>
        <v>አንድ ሯጭ በውድድሩ ወቅት የቢብ ቁጥሩን ያጣል። ምን ይሆናል?</v>
      </c>
      <c r="I126" s="11" t="str">
        <f>IFERROR(__xludf.DUMMYFUNCTION(" GOOGLETRANSLATE(C126, ""en"", ""am"")"),"ሀ. ሯጩ የቢብ ቁጥራቸውን በማጣቱ ውድቅ ተደርጓል። ሯጩ ምትክ ቢቢ ተሰጥቶት እንዲቀጥል ተፈቅዶለታል። ሯጩ የቢብ ቁጥሩን በማጣቱ ይቀጣል.ዲ. ሯጩ የቢብ ቁጥሩን ለማውጣት መቆም አለበት።")</f>
        <v>ሀ. ሯጩ የቢብ ቁጥራቸውን በማጣቱ ውድቅ ተደርጓል። ሯጩ ምትክ ቢቢ ተሰጥቶት እንዲቀጥል ተፈቅዶለታል። ሯጩ የቢብ ቁጥሩን በማጣቱ ይቀጣል.ዲ. ሯጩ የቢብ ቁጥሩን ለማውጣት መቆም አለበት።</v>
      </c>
      <c r="J126" s="11" t="str">
        <f>IFERROR(__xludf.DUMMYFUNCTION(" GOOGLETRANSLATE(D126, ""en"", ""am"")"),"ሯጩ ምትክ ቢቢ ይሰጠዋል እና እንዲቀጥል ተፈቅዶለታል።")</f>
        <v>ሯጩ ምትክ ቢቢ ይሰጠዋል እና እንዲቀጥል ተፈቅዶለታል።</v>
      </c>
      <c r="K126" s="11" t="str">
        <f>IFERROR(__xludf.DUMMYFUNCTION(" GOOGLETRANSLATE(E126, ""en"", ""am"")"),"ቢቢሳቸውን ያጡ ሯጮች ምትክ ሊሰጣቸው ይችላል።")</f>
        <v>ቢቢሳቸውን ያጡ ሯጮች ምትክ ሊሰጣቸው ይችላል።</v>
      </c>
    </row>
    <row r="127" ht="22.5" customHeight="1">
      <c r="A127" s="10">
        <v>126.0</v>
      </c>
      <c r="B127" s="11" t="s">
        <v>1501</v>
      </c>
      <c r="C127" s="11" t="s">
        <v>1502</v>
      </c>
      <c r="D127" s="11" t="s">
        <v>1503</v>
      </c>
      <c r="E127" s="11" t="s">
        <v>1504</v>
      </c>
      <c r="G127" s="11" t="str">
        <f>IFERROR(__xludf.DUMMYFUNCTION(" GOOGLETRANSLATE(A127, ""en"", ""am"")"),"126")</f>
        <v>126</v>
      </c>
      <c r="H127" s="11" t="str">
        <f>IFERROR(__xludf.DUMMYFUNCTION(" GOOGLETRANSLATE(B127, ""en"", ""am"")"),"ሯጭ በሩጫ ወቅት ኢነርጂ ጄል ሲበላ ይታያል። ምን ይሆናል?")</f>
        <v>ሯጭ በሩጫ ወቅት ኢነርጂ ጄል ሲበላ ይታያል። ምን ይሆናል?</v>
      </c>
      <c r="I127" s="11" t="str">
        <f>IFERROR(__xludf.DUMMYFUNCTION(" GOOGLETRANSLATE(C127, ""en"", ""am"")"),"ሀ. ሯጩ የተከለከሉ ንጥረ ነገሮችን ለመመገብ ብቁ አይደለም.ቢ. ሯጩ ተጨማሪ ነዳጅ ስለበላ ይቀጣል.ሲ. ሯጩ የኢነርጂ ጄል ያለምንም ቅጣት እንዲጠቀም ይፈቀድለታል.ዲ. ሯጩ ስለ ነዳጅ ፍጆታ ማስጠንቀቂያ ይሰጠዋል እና እንዲቀጥል ይፈቀድለታል.")</f>
        <v>ሀ. ሯጩ የተከለከሉ ንጥረ ነገሮችን ለመመገብ ብቁ አይደለም.ቢ. ሯጩ ተጨማሪ ነዳጅ ስለበላ ይቀጣል.ሲ. ሯጩ የኢነርጂ ጄል ያለምንም ቅጣት እንዲጠቀም ይፈቀድለታል.ዲ. ሯጩ ስለ ነዳጅ ፍጆታ ማስጠንቀቂያ ይሰጠዋል እና እንዲቀጥል ይፈቀድለታል.</v>
      </c>
      <c r="J127" s="11" t="str">
        <f>IFERROR(__xludf.DUMMYFUNCTION(" GOOGLETRANSLATE(D127, ""en"", ""am"")"),"ሯጩ የኃይል ጄል ያለ ቅጣት እንዲጠቀም ይፈቀድለታል።")</f>
        <v>ሯጩ የኃይል ጄል ያለ ቅጣት እንዲጠቀም ይፈቀድለታል።</v>
      </c>
      <c r="K127" s="11" t="str">
        <f>IFERROR(__xludf.DUMMYFUNCTION(" GOOGLETRANSLATE(E127, ""en"", ""am"")"),"በሌላ መልኩ ካልተገለጸ በቀር፣ በውድድሩ ወቅት የኢነርጂ ጄል በአጠቃላይ ይፈቀዳል።")</f>
        <v>በሌላ መልኩ ካልተገለጸ በቀር፣ በውድድሩ ወቅት የኢነርጂ ጄል በአጠቃላይ ይፈቀዳል።</v>
      </c>
    </row>
    <row r="128" ht="22.5" customHeight="1">
      <c r="A128" s="10">
        <v>127.0</v>
      </c>
      <c r="B128" s="11" t="s">
        <v>1505</v>
      </c>
      <c r="C128" s="11" t="s">
        <v>1506</v>
      </c>
      <c r="D128" s="11" t="s">
        <v>1507</v>
      </c>
      <c r="E128" s="11" t="s">
        <v>1508</v>
      </c>
      <c r="G128" s="11" t="str">
        <f>IFERROR(__xludf.DUMMYFUNCTION(" GOOGLETRANSLATE(A128, ""en"", ""am"")"),"127")</f>
        <v>127</v>
      </c>
      <c r="H128" s="11" t="str">
        <f>IFERROR(__xludf.DUMMYFUNCTION(" GOOGLETRANSLATE(B128, ""en"", ""am"")"),"አንድ ሯጭ ውድድሩን ይጀምራል ግን በአጋጣሚ የሚጀምረው በተሳሳተ የሙቀት መጠን ነው። ምን ይሆናል?")</f>
        <v>አንድ ሯጭ ውድድሩን ይጀምራል ግን በአጋጣሚ የሚጀምረው በተሳሳተ የሙቀት መጠን ነው። ምን ይሆናል?</v>
      </c>
      <c r="I128" s="11" t="str">
        <f>IFERROR(__xludf.DUMMYFUNCTION(" GOOGLETRANSLATE(C128, ""en"", ""am"")"),"ሀ. ሯጩ በተሳሳተ የሙቀት መጠን ለመጀመር ብቁ አይደለም.ቢ. ሯጩ ማስጠንቀቂያ ተሰጥቶት በትክክለኛው የሙቀት መጠን እንዲጀምር ይፈቀድለታል። ሯጩ ጊዜ በማጣት ስህተት በመፈጸሙ ይቀጣል.ዲ. ሯጩ ትክክለኛውን የሙቀት መጠን እንደገና ማስገባት እና እንደገና መጀመር አለበት.")</f>
        <v>ሀ. ሯጩ በተሳሳተ የሙቀት መጠን ለመጀመር ብቁ አይደለም.ቢ. ሯጩ ማስጠንቀቂያ ተሰጥቶት በትክክለኛው የሙቀት መጠን እንዲጀምር ይፈቀድለታል። ሯጩ ጊዜ በማጣት ስህተት በመፈጸሙ ይቀጣል.ዲ. ሯጩ ትክክለኛውን የሙቀት መጠን እንደገና ማስገባት እና እንደገና መጀመር አለበት.</v>
      </c>
      <c r="J128" s="11" t="str">
        <f>IFERROR(__xludf.DUMMYFUNCTION(" GOOGLETRANSLATE(D128, ""en"", ""am"")"),"ሯጩ ማስጠንቀቂያ ይሰጠዋል እና በትክክለኛው የሙቀት መጠን እንዲጀምር ይፈቀድለታል።")</f>
        <v>ሯጩ ማስጠንቀቂያ ይሰጠዋል እና በትክክለኛው የሙቀት መጠን እንዲጀምር ይፈቀድለታል።</v>
      </c>
      <c r="K128" s="11" t="str">
        <f>IFERROR(__xludf.DUMMYFUNCTION(" GOOGLETRANSLATE(E128, ""en"", ""am"")"),"በተሳሳተ የሙቀት መጠን መጀመር ቅጣቶችን ወይም ውድቅነትን ሊያስከትል ይችላል.")</f>
        <v>በተሳሳተ የሙቀት መጠን መጀመር ቅጣቶችን ወይም ውድቅነትን ሊያስከትል ይችላል.</v>
      </c>
    </row>
    <row r="129" ht="22.5" customHeight="1">
      <c r="A129" s="10">
        <v>128.0</v>
      </c>
      <c r="B129" s="11" t="s">
        <v>1509</v>
      </c>
      <c r="C129" s="11" t="s">
        <v>1510</v>
      </c>
      <c r="D129" s="11" t="s">
        <v>1511</v>
      </c>
      <c r="E129" s="11" t="s">
        <v>1512</v>
      </c>
      <c r="G129" s="11" t="str">
        <f>IFERROR(__xludf.DUMMYFUNCTION(" GOOGLETRANSLATE(A129, ""en"", ""am"")"),"128")</f>
        <v>128</v>
      </c>
      <c r="H129" s="11" t="str">
        <f>IFERROR(__xludf.DUMMYFUNCTION(" GOOGLETRANSLATE(B129, ""en"", ""am"")"),"አንድ ሯጭ መጀመሪያ የማጠናቀቂያ መስመሩን አቋርጦ ቢያልፍም በኋላ ግን አስፈላጊውን ዙር እንዳላጠናቀቀ አምኗል። ምን ይሆናል?")</f>
        <v>አንድ ሯጭ መጀመሪያ የማጠናቀቂያ መስመሩን አቋርጦ ቢያልፍም በኋላ ግን አስፈላጊውን ዙር እንዳላጠናቀቀ አምኗል። ምን ይሆናል?</v>
      </c>
      <c r="I129" s="11" t="str">
        <f>IFERROR(__xludf.DUMMYFUNCTION(" GOOGLETRANSLATE(C129, ""en"", ""am"")"),"ሀ. ሯጩ ውድድሩን በአግባቡ ባለማጠናቀቁ ውድቅ ተደርጓል። ሯጩ ጊዜ በማጣቱ ይቀጣል እና እንዲጨርስ ተፈቅዶለታል። ሯጩ እንዲጨርስ ተፈቅዶለታል ግን ደረጃ አልተሰጠውም.ዲ. ሯጩ ተጨማሪ ዙርዎችን ለማጠናቀቅ ይፈለጋል.")</f>
        <v>ሀ. ሯጩ ውድድሩን በአግባቡ ባለማጠናቀቁ ውድቅ ተደርጓል። ሯጩ ጊዜ በማጣቱ ይቀጣል እና እንዲጨርስ ተፈቅዶለታል። ሯጩ እንዲጨርስ ተፈቅዶለታል ግን ደረጃ አልተሰጠውም.ዲ. ሯጩ ተጨማሪ ዙርዎችን ለማጠናቀቅ ይፈለጋል.</v>
      </c>
      <c r="J129" s="11" t="str">
        <f>IFERROR(__xludf.DUMMYFUNCTION(" GOOGLETRANSLATE(D129, ""en"", ""am"")"),"ሯጩ ውድድሩን በአግባቡ ባለማጠናቀቁ ውድቅ ተደርጓል።")</f>
        <v>ሯጩ ውድድሩን በአግባቡ ባለማጠናቀቁ ውድቅ ተደርጓል።</v>
      </c>
      <c r="K129" s="11" t="str">
        <f>IFERROR(__xludf.DUMMYFUNCTION(" GOOGLETRANSLATE(E129, ""en"", ""am"")"),"አስፈላጊውን ዙር አለማጠናቀቅ ውድቅ ያደርገዋል።")</f>
        <v>አስፈላጊውን ዙር አለማጠናቀቅ ውድቅ ያደርገዋል።</v>
      </c>
    </row>
    <row r="130" ht="22.5" customHeight="1">
      <c r="A130" s="10">
        <v>129.0</v>
      </c>
      <c r="B130" s="11" t="s">
        <v>1513</v>
      </c>
      <c r="C130" s="11" t="s">
        <v>1514</v>
      </c>
      <c r="D130" s="11" t="s">
        <v>1515</v>
      </c>
      <c r="E130" s="11" t="s">
        <v>1516</v>
      </c>
      <c r="G130" s="11" t="str">
        <f>IFERROR(__xludf.DUMMYFUNCTION(" GOOGLETRANSLATE(A130, ""en"", ""am"")"),"129")</f>
        <v>129</v>
      </c>
      <c r="H130" s="11" t="str">
        <f>IFERROR(__xludf.DUMMYFUNCTION(" GOOGLETRANSLATE(B130, ""en"", ""am"")"),"አንድ ሯጭ ከቁጥጥር ውጪ የሆነ ዩኒፎርም ለብሷል። ምን ይሆናል?")</f>
        <v>አንድ ሯጭ ከቁጥጥር ውጪ የሆነ ዩኒፎርም ለብሷል። ምን ይሆናል?</v>
      </c>
      <c r="I130" s="11" t="str">
        <f>IFERROR(__xludf.DUMMYFUNCTION(" GOOGLETRANSLATE(C130, ""en"", ""am"")"),"ሀ. ሯጩ ከቁጥጥር ውጭ የሆነ ልብስ ለመልበስ ብቁ አይደለም.ቢ. ሯጩ ተገቢ ባልሆነ አለባበስ ጊዜ በማጣት ይቀጣል.ሲ. ሯጩ በማስጠንቀቂያ እንዲቀጥል ተፈቅዶለታል.ዲ. ሯጩ ወደ ኦፊሴላዊው ልብስ መቀየር ይጠበቅበታል.")</f>
        <v>ሀ. ሯጩ ከቁጥጥር ውጭ የሆነ ልብስ ለመልበስ ብቁ አይደለም.ቢ. ሯጩ ተገቢ ባልሆነ አለባበስ ጊዜ በማጣት ይቀጣል.ሲ. ሯጩ በማስጠንቀቂያ እንዲቀጥል ተፈቅዶለታል.ዲ. ሯጩ ወደ ኦፊሴላዊው ልብስ መቀየር ይጠበቅበታል.</v>
      </c>
      <c r="J130" s="11" t="str">
        <f>IFERROR(__xludf.DUMMYFUNCTION(" GOOGLETRANSLATE(D130, ""en"", ""am"")"),"ሯጩ ላልተገባ አለባበስ ጊዜ በማጣት ይቀጣል።")</f>
        <v>ሯጩ ላልተገባ አለባበስ ጊዜ በማጣት ይቀጣል።</v>
      </c>
      <c r="K130" s="11" t="str">
        <f>IFERROR(__xludf.DUMMYFUNCTION(" GOOGLETRANSLATE(E130, ""en"", ""am"")"),"ተገቢ ያልሆነ አለባበስ መቀጫ ወይም መባረር ሊያስከትል ይችላል።")</f>
        <v>ተገቢ ያልሆነ አለባበስ መቀጫ ወይም መባረር ሊያስከትል ይችላል።</v>
      </c>
    </row>
    <row r="131" ht="22.5" customHeight="1">
      <c r="A131" s="10">
        <v>130.0</v>
      </c>
      <c r="B131" s="11" t="s">
        <v>1517</v>
      </c>
      <c r="C131" s="11" t="s">
        <v>1518</v>
      </c>
      <c r="D131" s="11" t="s">
        <v>1519</v>
      </c>
      <c r="E131" s="11" t="s">
        <v>1520</v>
      </c>
      <c r="G131" s="11" t="str">
        <f>IFERROR(__xludf.DUMMYFUNCTION(" GOOGLETRANSLATE(A131, ""en"", ""am"")"),"130")</f>
        <v>130</v>
      </c>
      <c r="H131" s="11" t="str">
        <f>IFERROR(__xludf.DUMMYFUNCTION(" GOOGLETRANSLATE(B131, ""en"", ""am"")"),"ሯጭ እንደ ሞተር ስኩተር ያለ የተከለከለ አጋዥ መሳሪያ ይጠቀማል። ምን ይሆናል?")</f>
        <v>ሯጭ እንደ ሞተር ስኩተር ያለ የተከለከለ አጋዥ መሳሪያ ይጠቀማል። ምን ይሆናል?</v>
      </c>
      <c r="I131" s="11" t="str">
        <f>IFERROR(__xludf.DUMMYFUNCTION(" GOOGLETRANSLATE(C131, ""en"", ""am"")"),"ሀ. ሯጩ የተከለከለ መሳሪያ ለመጠቀም ብቁ አይደለም.ቢ. ሯጩ የረዳት መሳሪያውን ሲጠቀም ይቀጣል. ሯጩ በማስጠንቀቂያ እንዲቀጥል ተፈቅዶለታል.ዲ. ሯጩ መሳሪያውን ወደ አዘጋጆቹ መመለስ አለበት.")</f>
        <v>ሀ. ሯጩ የተከለከለ መሳሪያ ለመጠቀም ብቁ አይደለም.ቢ. ሯጩ የረዳት መሳሪያውን ሲጠቀም ይቀጣል. ሯጩ በማስጠንቀቂያ እንዲቀጥል ተፈቅዶለታል.ዲ. ሯጩ መሳሪያውን ወደ አዘጋጆቹ መመለስ አለበት.</v>
      </c>
      <c r="J131" s="11" t="str">
        <f>IFERROR(__xludf.DUMMYFUNCTION(" GOOGLETRANSLATE(D131, ""en"", ""am"")"),"ሯጩ የተከለከለ መሳሪያ ለመጠቀም ብቁ አይደለም።")</f>
        <v>ሯጩ የተከለከለ መሳሪያ ለመጠቀም ብቁ አይደለም።</v>
      </c>
      <c r="K131" s="11" t="str">
        <f>IFERROR(__xludf.DUMMYFUNCTION(" GOOGLETRANSLATE(E131, ""en"", ""am"")"),"የተከለከሉ እርዳታዎችን መጠቀም ወደ ውድቅነት ያመራል.")</f>
        <v>የተከለከሉ እርዳታዎችን መጠቀም ወደ ውድቅነት ያመራል.</v>
      </c>
    </row>
    <row r="132" ht="22.5" customHeight="1">
      <c r="A132" s="10">
        <v>131.0</v>
      </c>
      <c r="B132" s="11" t="s">
        <v>1521</v>
      </c>
      <c r="C132" s="11" t="s">
        <v>1522</v>
      </c>
      <c r="D132" s="11" t="s">
        <v>1523</v>
      </c>
      <c r="E132" s="11" t="s">
        <v>1524</v>
      </c>
      <c r="G132" s="11" t="str">
        <f>IFERROR(__xludf.DUMMYFUNCTION(" GOOGLETRANSLATE(A132, ""en"", ""am"")"),"131")</f>
        <v>131</v>
      </c>
      <c r="H132" s="11" t="str">
        <f>IFERROR(__xludf.DUMMYFUNCTION(" GOOGLETRANSLATE(B132, ""en"", ""am"")"),"ሯጭ በውድድር ወቅት ከተመረጠው ኮርስ በአጋጣሚ ይወጣል። ምን ይሆናል?")</f>
        <v>ሯጭ በውድድር ወቅት ከተመረጠው ኮርስ በአጋጣሚ ይወጣል። ምን ይሆናል?</v>
      </c>
      <c r="I132" s="11" t="str">
        <f>IFERROR(__xludf.DUMMYFUNCTION(" GOOGLETRANSLATE(C132, ""en"", ""am"")"),"ሀ. ሯጩ ውድቅ ተደርጓል.ቢ. ሯጩ የጊዜ ቅጣት ይሰጠዋል.ሲ. ሯጩ ያለምንም ቅጣት እንዲቀጥል ተፈቅዶለታል.ዲ. ሯጩ ኮርሱን ከወጣበት ቦታ እንደገና እንዲጀምር ይጠየቃል።")</f>
        <v>ሀ. ሯጩ ውድቅ ተደርጓል.ቢ. ሯጩ የጊዜ ቅጣት ይሰጠዋል.ሲ. ሯጩ ያለምንም ቅጣት እንዲቀጥል ተፈቅዶለታል.ዲ. ሯጩ ኮርሱን ከወጣበት ቦታ እንደገና እንዲጀምር ይጠየቃል።</v>
      </c>
      <c r="J132" s="11" t="str">
        <f>IFERROR(__xludf.DUMMYFUNCTION(" GOOGLETRANSLATE(D132, ""en"", ""am"")"),"ሯጩ የጊዜ ቅጣት ይሰጠዋል.")</f>
        <v>ሯጩ የጊዜ ቅጣት ይሰጠዋል.</v>
      </c>
      <c r="K132" s="11" t="str">
        <f>IFERROR(__xludf.DUMMYFUNCTION(" GOOGLETRANSLATE(E132, ""en"", ""am"")"),"ከትምህርቱ ማምለጥ ውድቅ ወይም ቅጣት ሊያስከትል ይችላል.")</f>
        <v>ከትምህርቱ ማምለጥ ውድቅ ወይም ቅጣት ሊያስከትል ይችላል.</v>
      </c>
    </row>
    <row r="133" ht="22.5" customHeight="1">
      <c r="A133" s="10">
        <v>132.0</v>
      </c>
      <c r="B133" s="11" t="s">
        <v>1525</v>
      </c>
      <c r="C133" s="11" t="s">
        <v>1526</v>
      </c>
      <c r="D133" s="11" t="s">
        <v>1527</v>
      </c>
      <c r="E133" s="11" t="s">
        <v>1528</v>
      </c>
      <c r="G133" s="11" t="str">
        <f>IFERROR(__xludf.DUMMYFUNCTION(" GOOGLETRANSLATE(A133, ""en"", ""am"")"),"132")</f>
        <v>132</v>
      </c>
      <c r="H133" s="11" t="str">
        <f>IFERROR(__xludf.DUMMYFUNCTION(" GOOGLETRANSLATE(B133, ""en"", ""am"")"),"አንድ ሯጭ ማራቶን ቢያጠናቅቅም ሰአታቸው ከኦፊሴላዊው የኮርስ ሪከርድ የበለጠ ፈጣን ነው። ምን ይሆናል?")</f>
        <v>አንድ ሯጭ ማራቶን ቢያጠናቅቅም ሰአታቸው ከኦፊሴላዊው የኮርስ ሪከርድ የበለጠ ፈጣን ነው። ምን ይሆናል?</v>
      </c>
      <c r="I133" s="11" t="str">
        <f>IFERROR(__xludf.DUMMYFUNCTION(" GOOGLETRANSLATE(C133, ""en"", ""am"")"),"ሀ. ሯጩ ኦፊሴላዊውን መንገድ ባለመከተሉ ውድቅ ተደርጓል። ለማጽደቅ የሯጩ ጊዜ ይገመገማል።ሲ. ሯጩ ሪከርዱን በመስበር ይፋዊ እውቅና ያገኛል።ዲ. ሯጩ ሰዓቱን ለማረጋገጥ ሌላ ውድድር እንዲያጠናቅቅ ይጠየቃል።")</f>
        <v>ሀ. ሯጩ ኦፊሴላዊውን መንገድ ባለመከተሉ ውድቅ ተደርጓል። ለማጽደቅ የሯጩ ጊዜ ይገመገማል።ሲ. ሯጩ ሪከርዱን በመስበር ይፋዊ እውቅና ያገኛል።ዲ. ሯጩ ሰዓቱን ለማረጋገጥ ሌላ ውድድር እንዲያጠናቅቅ ይጠየቃል።</v>
      </c>
      <c r="J133" s="11" t="str">
        <f>IFERROR(__xludf.DUMMYFUNCTION(" GOOGLETRANSLATE(D133, ""en"", ""am"")"),"ሯጩ ሪከርዱን በመስበሩ ይፋዊ እውቅና ያገኛል።")</f>
        <v>ሯጩ ሪከርዱን በመስበሩ ይፋዊ እውቅና ያገኛል።</v>
      </c>
      <c r="K133" s="11" t="str">
        <f>IFERROR(__xludf.DUMMYFUNCTION(" GOOGLETRANSLATE(E133, ""en"", ""am"")"),"የኮርስ ሪከርድን መስበር ይከበራል እና በይፋ ይታወቃል።")</f>
        <v>የኮርስ ሪከርድን መስበር ይከበራል እና በይፋ ይታወቃል።</v>
      </c>
    </row>
    <row r="134" ht="22.5" customHeight="1">
      <c r="A134" s="10">
        <v>133.0</v>
      </c>
      <c r="B134" s="11" t="s">
        <v>1529</v>
      </c>
      <c r="C134" s="11" t="s">
        <v>1530</v>
      </c>
      <c r="D134" s="11" t="s">
        <v>1531</v>
      </c>
      <c r="E134" s="11" t="s">
        <v>1532</v>
      </c>
      <c r="G134" s="11" t="str">
        <f>IFERROR(__xludf.DUMMYFUNCTION(" GOOGLETRANSLATE(A134, ""en"", ""am"")"),"133")</f>
        <v>133</v>
      </c>
      <c r="H134" s="11" t="str">
        <f>IFERROR(__xludf.DUMMYFUNCTION(" GOOGLETRANSLATE(B134, ""en"", ""am"")"),"አንድ ሯጭ በሩጫ ውድድር ወቅት ስለ ትራኩ ደካማ ሁኔታ ቅሬታ ያቀርባል። ምን ይሆናል?")</f>
        <v>አንድ ሯጭ በሩጫ ውድድር ወቅት ስለ ትራኩ ደካማ ሁኔታ ቅሬታ ያቀርባል። ምን ይሆናል?</v>
      </c>
      <c r="I134" s="11" t="str">
        <f>IFERROR(__xludf.DUMMYFUNCTION(" GOOGLETRANSLATE(C134, ""en"", ""am"")"),"ሀ. ሯጩ ውድድሩን በማስተጓጎል ይቀጣል.ቢ. የውድድሩ አዘጋጆች ጉዳዩን ይመረምራሉ እና ውድድሩን ለሌላ ጊዜ ማስተላለፍ ይችላሉ። ሯጩ ቅሬታ ለማቅረብ ውድድሩን እንዲለቅ ይጠየቃል.ዲ. ቅሬታው ችላ ይባላል, እና ውድድሩ እንደታቀደው ይቀጥላል.")</f>
        <v>ሀ. ሯጩ ውድድሩን በማስተጓጎል ይቀጣል.ቢ. የውድድሩ አዘጋጆች ጉዳዩን ይመረምራሉ እና ውድድሩን ለሌላ ጊዜ ማስተላለፍ ይችላሉ። ሯጩ ቅሬታ ለማቅረብ ውድድሩን እንዲለቅ ይጠየቃል.ዲ. ቅሬታው ችላ ይባላል, እና ውድድሩ እንደታቀደው ይቀጥላል.</v>
      </c>
      <c r="J134" s="11" t="str">
        <f>IFERROR(__xludf.DUMMYFUNCTION(" GOOGLETRANSLATE(D134, ""en"", ""am"")"),"የውድድሩ አዘጋጆች ጉዳዩን ይመረምራሉ እና ውድድሩን ለሌላ ጊዜ ማስተላለፍ ይችላሉ።")</f>
        <v>የውድድሩ አዘጋጆች ጉዳዩን ይመረምራሉ እና ውድድሩን ለሌላ ጊዜ ማስተላለፍ ይችላሉ።</v>
      </c>
      <c r="K134" s="11" t="str">
        <f>IFERROR(__xludf.DUMMYFUNCTION(" GOOGLETRANSLATE(E134, ""en"", ""am"")"),"የትራክ ሁኔታዎች ብዙ ጊዜ በአዘጋጆች ይገመገማሉ፣ እና ማስተካከያዎች ሊደረጉ ይችላሉ።")</f>
        <v>የትራክ ሁኔታዎች ብዙ ጊዜ በአዘጋጆች ይገመገማሉ፣ እና ማስተካከያዎች ሊደረጉ ይችላሉ።</v>
      </c>
    </row>
    <row r="135" ht="22.5" customHeight="1">
      <c r="A135" s="10">
        <v>134.0</v>
      </c>
      <c r="B135" s="11" t="s">
        <v>1533</v>
      </c>
      <c r="C135" s="11" t="s">
        <v>1534</v>
      </c>
      <c r="D135" s="11" t="s">
        <v>1535</v>
      </c>
      <c r="E135" s="11" t="s">
        <v>1536</v>
      </c>
      <c r="G135" s="11" t="str">
        <f>IFERROR(__xludf.DUMMYFUNCTION(" GOOGLETRANSLATE(A135, ""en"", ""am"")"),"134")</f>
        <v>134</v>
      </c>
      <c r="H135" s="11" t="str">
        <f>IFERROR(__xludf.DUMMYFUNCTION(" GOOGLETRANSLATE(B135, ""en"", ""am"")"),"ሯጭ በሩጫ ውድድር ውስጥ የእንቅስቃሴ ህጎችን ሳይከተል ተገኝቷል። ምን ይሆናል?")</f>
        <v>ሯጭ በሩጫ ውድድር ውስጥ የእንቅስቃሴ ህጎችን ሳይከተል ተገኝቷል። ምን ይሆናል?</v>
      </c>
      <c r="I135" s="11" t="str">
        <f>IFERROR(__xludf.DUMMYFUNCTION(" GOOGLETRANSLATE(C135, ""en"", ""am"")"),"ሀ. ሯጩ የመራመጃ ደንቦችን ለመጣስ ብቁ አይደለም.ቢ. ሯጩ ህጎቹን እንዲከተል ማስጠንቀቂያ ተሰጥቶታል.ሲ. ሯጩ ተቀጥቷል ግን እንዲቀጥል ተፈቅዶለታል።ዲ. ሯጩ ውድድሩን እንደገና እንዲጀምር ያስፈልጋል።")</f>
        <v>ሀ. ሯጩ የመራመጃ ደንቦችን ለመጣስ ብቁ አይደለም.ቢ. ሯጩ ህጎቹን እንዲከተል ማስጠንቀቂያ ተሰጥቶታል.ሲ. ሯጩ ተቀጥቷል ግን እንዲቀጥል ተፈቅዶለታል።ዲ. ሯጩ ውድድሩን እንደገና እንዲጀምር ያስፈልጋል።</v>
      </c>
      <c r="J135" s="11" t="str">
        <f>IFERROR(__xludf.DUMMYFUNCTION(" GOOGLETRANSLATE(D135, ""en"", ""am"")"),"ሯጩ የመራመጃ ህጎችን ለመጣስ ብቁ አይደለም።")</f>
        <v>ሯጩ የመራመጃ ህጎችን ለመጣስ ብቁ አይደለም።</v>
      </c>
      <c r="K135" s="11" t="str">
        <f>IFERROR(__xludf.DUMMYFUNCTION(" GOOGLETRANSLATE(E135, ""en"", ""am"")"),"ደንቦችን ማለፍ ፍትሃዊ ውድድርን ያረጋግጣል እና ከተጣሰ ውድቅ ያደርገዋል።")</f>
        <v>ደንቦችን ማለፍ ፍትሃዊ ውድድርን ያረጋግጣል እና ከተጣሰ ውድቅ ያደርገዋል።</v>
      </c>
    </row>
    <row r="136" ht="22.5" customHeight="1">
      <c r="A136" s="10">
        <v>135.0</v>
      </c>
      <c r="B136" s="11" t="s">
        <v>1537</v>
      </c>
      <c r="C136" s="11" t="s">
        <v>1538</v>
      </c>
      <c r="D136" s="11" t="s">
        <v>1091</v>
      </c>
      <c r="E136" s="11" t="s">
        <v>1539</v>
      </c>
      <c r="G136" s="11" t="str">
        <f>IFERROR(__xludf.DUMMYFUNCTION(" GOOGLETRANSLATE(A136, ""en"", ""am"")"),"135")</f>
        <v>135</v>
      </c>
      <c r="H136" s="11" t="str">
        <f>IFERROR(__xludf.DUMMYFUNCTION(" GOOGLETRANSLATE(B136, ""en"", ""am"")"),"በሩጫው ወቅት የሯጭ የግል አሰልጣኝ ምክር ሲሰጥ ይታያል። ምን ይሆናል?")</f>
        <v>በሩጫው ወቅት የሯጭ የግል አሰልጣኝ ምክር ሲሰጥ ይታያል። ምን ይሆናል?</v>
      </c>
      <c r="I136" s="11" t="str">
        <f>IFERROR(__xludf.DUMMYFUNCTION(" GOOGLETRANSLATE(C136, ""en"", ""am"")"),"ሀ. ሯጩ ለውጭ እርዳታ ብቁ አይደለም.ቢ. ሯጩ እርዳታ ሲቀበል የጊዜ ቅጣት ይሰጠዋል.ሲ. ሯጩ ማስጠንቀቂያ ተሰጥቶታል ግን እንዲቀጥል ተፈቅዶለታል።ዲ. ሯጩ እንዲያቆም እና ያለእርዳታ እንዲቀጥል ይጠየቃል.")</f>
        <v>ሀ. ሯጩ ለውጭ እርዳታ ብቁ አይደለም.ቢ. ሯጩ እርዳታ ሲቀበል የጊዜ ቅጣት ይሰጠዋል.ሲ. ሯጩ ማስጠንቀቂያ ተሰጥቶታል ግን እንዲቀጥል ተፈቅዶለታል።ዲ. ሯጩ እንዲያቆም እና ያለእርዳታ እንዲቀጥል ይጠየቃል.</v>
      </c>
      <c r="J136" s="11" t="str">
        <f>IFERROR(__xludf.DUMMYFUNCTION(" GOOGLETRANSLATE(D136, ""en"", ""am"")"),"ሯጩ ለውጭ እርዳታ ብቁ አይደለም።")</f>
        <v>ሯጩ ለውጭ እርዳታ ብቁ አይደለም።</v>
      </c>
      <c r="K136" s="11" t="str">
        <f>IFERROR(__xludf.DUMMYFUNCTION(" GOOGLETRANSLATE(E136, ""en"", ""am"")"),"በሩጫው ወቅት የውጭ እርዳታ ወደ ውድቀት ይመራል.")</f>
        <v>በሩጫው ወቅት የውጭ እርዳታ ወደ ውድቀት ይመራል.</v>
      </c>
    </row>
    <row r="137" ht="22.5" customHeight="1">
      <c r="A137" s="10">
        <v>136.0</v>
      </c>
      <c r="B137" s="11" t="s">
        <v>1540</v>
      </c>
      <c r="C137" s="11" t="s">
        <v>1541</v>
      </c>
      <c r="D137" s="11" t="s">
        <v>1468</v>
      </c>
      <c r="E137" s="11" t="s">
        <v>1542</v>
      </c>
      <c r="G137" s="11" t="str">
        <f>IFERROR(__xludf.DUMMYFUNCTION(" GOOGLETRANSLATE(A137, ""en"", ""am"")"),"136")</f>
        <v>136</v>
      </c>
      <c r="H137" s="11" t="str">
        <f>IFERROR(__xludf.DUMMYFUNCTION(" GOOGLETRANSLATE(B137, ""en"", ""am"")"),"በሩጫ ወቅት አንድ ሯጭ በድንገት ዳኛውን ይመታል። ምን ይሆናል?")</f>
        <v>በሩጫ ወቅት አንድ ሯጭ በድንገት ዳኛውን ይመታል። ምን ይሆናል?</v>
      </c>
      <c r="I137" s="11" t="str">
        <f>IFERROR(__xludf.DUMMYFUNCTION(" GOOGLETRANSLATE(C137, ""en"", ""am"")"),"ሀ. ሯጩ ዳኛውን በመምታቱ ወዲያውኑ ውድቅ ይደረጋል። ሯጩ በጊዜ ማጣት ይቀጣል.ሲ. ሯጩ ማስጠንቀቂያ ተሰጥቶታል ግን እንዲቀጥል ተፈቅዶለታል።ዲ. ሯጩ ይቅርታ መጠየቅ እና መቀጠል አለበት።")</f>
        <v>ሀ. ሯጩ ዳኛውን በመምታቱ ወዲያውኑ ውድቅ ይደረጋል። ሯጩ በጊዜ ማጣት ይቀጣል.ሲ. ሯጩ ማስጠንቀቂያ ተሰጥቶታል ግን እንዲቀጥል ተፈቅዶለታል።ዲ. ሯጩ ይቅርታ መጠየቅ እና መቀጠል አለበት።</v>
      </c>
      <c r="J137" s="11" t="str">
        <f>IFERROR(__xludf.DUMMYFUNCTION(" GOOGLETRANSLATE(D137, ""en"", ""am"")"),"ሯጩ በጊዜ ማጣት ይቀጣል።")</f>
        <v>ሯጩ በጊዜ ማጣት ይቀጣል።</v>
      </c>
      <c r="K137" s="11" t="str">
        <f>IFERROR(__xludf.DUMMYFUNCTION(" GOOGLETRANSLATE(E137, ""en"", ""am"")"),"ዳኛን በአጋጣሚ መምታት ቅጣት ወይም ውድቅ ማድረግን ያስከትላል።")</f>
        <v>ዳኛን በአጋጣሚ መምታት ቅጣት ወይም ውድቅ ማድረግን ያስከትላል።</v>
      </c>
    </row>
    <row r="138" ht="22.5" customHeight="1">
      <c r="A138" s="10">
        <v>137.0</v>
      </c>
      <c r="B138" s="11" t="s">
        <v>1543</v>
      </c>
      <c r="C138" s="11" t="s">
        <v>1544</v>
      </c>
      <c r="D138" s="11" t="s">
        <v>1545</v>
      </c>
      <c r="E138" s="11" t="s">
        <v>1546</v>
      </c>
      <c r="G138" s="11" t="str">
        <f>IFERROR(__xludf.DUMMYFUNCTION(" GOOGLETRANSLATE(A138, ""en"", ""am"")"),"137")</f>
        <v>137</v>
      </c>
      <c r="H138" s="11" t="str">
        <f>IFERROR(__xludf.DUMMYFUNCTION(" GOOGLETRANSLATE(B138, ""en"", ""am"")"),"ሯጭ ውድድሩን ጨርሷል ነገር ግን የፍጻሜውን መስመር በትክክል አያልፍም። ምን ይሆናል?")</f>
        <v>ሯጭ ውድድሩን ጨርሷል ነገር ግን የፍጻሜውን መስመር በትክክል አያልፍም። ምን ይሆናል?</v>
      </c>
      <c r="I138" s="11" t="str">
        <f>IFERROR(__xludf.DUMMYFUNCTION(" GOOGLETRANSLATE(C138, ""en"", ""am"")"),"ሀ. ሯጩ በአግባቡ ባለማጠናቀቁ ውድቅ ተደርጓል። ሯጩ ውድድሩን ለማጠናቀቅ ወደ መጨረሻው መስመር እንዲመለስ ይጠየቃል.ሲ. ሯጩ በጊዜ ማጣት ይቀጣል.ዲ. ሯጩ በትክክል እንዲጨርስ ሌላ እድል ይሰጠዋል.")</f>
        <v>ሀ. ሯጩ በአግባቡ ባለማጠናቀቁ ውድቅ ተደርጓል። ሯጩ ውድድሩን ለማጠናቀቅ ወደ መጨረሻው መስመር እንዲመለስ ይጠየቃል.ሲ. ሯጩ በጊዜ ማጣት ይቀጣል.ዲ. ሯጩ በትክክል እንዲጨርስ ሌላ እድል ይሰጠዋል.</v>
      </c>
      <c r="J138" s="11" t="str">
        <f>IFERROR(__xludf.DUMMYFUNCTION(" GOOGLETRANSLATE(D138, ""en"", ""am"")"),"ሯጩ ውድድሩን ለማጠናቀቅ ወደ መጨረሻው መስመር እንዲመለስ ይጠየቃል።")</f>
        <v>ሯጩ ውድድሩን ለማጠናቀቅ ወደ መጨረሻው መስመር እንዲመለስ ይጠየቃል።</v>
      </c>
      <c r="K138" s="11" t="str">
        <f>IFERROR(__xludf.DUMMYFUNCTION(" GOOGLETRANSLATE(E138, ""en"", ""am"")"),"ውድድሩን ለማጠናቀቅ የመጨረሻውን መስመር በትክክል ማለፍ አስፈላጊ ነው.")</f>
        <v>ውድድሩን ለማጠናቀቅ የመጨረሻውን መስመር በትክክል ማለፍ አስፈላጊ ነው.</v>
      </c>
    </row>
    <row r="139" ht="22.5" customHeight="1">
      <c r="A139" s="10">
        <v>138.0</v>
      </c>
      <c r="B139" s="11" t="s">
        <v>1547</v>
      </c>
      <c r="C139" s="11" t="s">
        <v>1548</v>
      </c>
      <c r="D139" s="11" t="s">
        <v>1549</v>
      </c>
      <c r="E139" s="11" t="s">
        <v>1550</v>
      </c>
      <c r="G139" s="11" t="str">
        <f>IFERROR(__xludf.DUMMYFUNCTION(" GOOGLETRANSLATE(A139, ""en"", ""am"")"),"138")</f>
        <v>138</v>
      </c>
      <c r="H139" s="11" t="str">
        <f>IFERROR(__xludf.DUMMYFUNCTION(" GOOGLETRANSLATE(B139, ""en"", ""am"")"),"አንድ ሯጭ የሩጫ ማርሽ ሲቀይር ተይዟል። ምን ይሆናል?")</f>
        <v>አንድ ሯጭ የሩጫ ማርሽ ሲቀይር ተይዟል። ምን ይሆናል?</v>
      </c>
      <c r="I139" s="11" t="str">
        <f>IFERROR(__xludf.DUMMYFUNCTION(" GOOGLETRANSLATE(C139, ""en"", ""am"")"),"ሀ. ሯጩ የውድድር መሳሪያዎችን ለመለወጥ ብቁ አይደለም.ቢ. ሯጩ በጊዜ ማጣት ይቀጣል.ሲ. ሯጩ በማስጠንቀቂያ እንዲቀጥል ተፈቅዶለታል.ዲ. ሯጩ ማቆም እና ለውጦቹን ማስወገድ አለበት.")</f>
        <v>ሀ. ሯጩ የውድድር መሳሪያዎችን ለመለወጥ ብቁ አይደለም.ቢ. ሯጩ በጊዜ ማጣት ይቀጣል.ሲ. ሯጩ በማስጠንቀቂያ እንዲቀጥል ተፈቅዶለታል.ዲ. ሯጩ ማቆም እና ለውጦቹን ማስወገድ አለበት.</v>
      </c>
      <c r="J139" s="11" t="str">
        <f>IFERROR(__xludf.DUMMYFUNCTION(" GOOGLETRANSLATE(D139, ""en"", ""am"")"),"ሯጩ የውድድር መሳሪያዎችን ለመለወጥ ብቁ አይደለም.")</f>
        <v>ሯጩ የውድድር መሳሪያዎችን ለመለወጥ ብቁ አይደለም.</v>
      </c>
      <c r="K139" s="11" t="str">
        <f>IFERROR(__xludf.DUMMYFUNCTION(" GOOGLETRANSLATE(E139, ""en"", ""am"")"),"የውድድር መሳሪያዎችን መቀየር ውድቅነትን ያስከትላል.")</f>
        <v>የውድድር መሳሪያዎችን መቀየር ውድቅነትን ያስከትላል.</v>
      </c>
    </row>
    <row r="140" ht="22.5" customHeight="1">
      <c r="A140" s="10">
        <v>139.0</v>
      </c>
      <c r="B140" s="11" t="s">
        <v>1551</v>
      </c>
      <c r="C140" s="11" t="s">
        <v>1552</v>
      </c>
      <c r="D140" s="11" t="s">
        <v>1553</v>
      </c>
      <c r="E140" s="11" t="s">
        <v>1554</v>
      </c>
      <c r="G140" s="11" t="str">
        <f>IFERROR(__xludf.DUMMYFUNCTION(" GOOGLETRANSLATE(A140, ""en"", ""am"")"),"139")</f>
        <v>139</v>
      </c>
      <c r="H140" s="11" t="str">
        <f>IFERROR(__xludf.DUMMYFUNCTION(" GOOGLETRANSLATE(B140, ""en"", ""am"")"),"አንድ ሯጭ እረፍት ወስዶ ከተመደበው የእረፍት ጊዜ ውጭ ውሃ ይጠጣል። ምን ይሆናል?")</f>
        <v>አንድ ሯጭ እረፍት ወስዶ ከተመደበው የእረፍት ጊዜ ውጭ ውሃ ይጠጣል። ምን ይሆናል?</v>
      </c>
      <c r="I140" s="11" t="str">
        <f>IFERROR(__xludf.DUMMYFUNCTION(" GOOGLETRANSLATE(C140, ""en"", ""am"")"),"ሀ. ሯጩ ህጎቹን ለመጣስ ብቁ አይሆንም። ሯጩ ላልተፈቀደ እረፍቶች የጊዜ ቅጣት ይሰጠዋል.ሲ. ሯጩ ማስጠንቀቂያ ተሰጥቶታል ግን እንዲቀጥል ተፈቅዶለታል።ዲ. ሯጩ እረፍት በመውሰድ ይቀጣል።")</f>
        <v>ሀ. ሯጩ ህጎቹን ለመጣስ ብቁ አይሆንም። ሯጩ ላልተፈቀደ እረፍቶች የጊዜ ቅጣት ይሰጠዋል.ሲ. ሯጩ ማስጠንቀቂያ ተሰጥቶታል ግን እንዲቀጥል ተፈቅዶለታል።ዲ. ሯጩ እረፍት በመውሰድ ይቀጣል።</v>
      </c>
      <c r="J140" s="11" t="str">
        <f>IFERROR(__xludf.DUMMYFUNCTION(" GOOGLETRANSLATE(D140, ""en"", ""am"")"),"ሯጩ ማስጠንቀቂያ ቢሰጠውም እንዲቀጥል ተፈቅዶለታል።")</f>
        <v>ሯጩ ማስጠንቀቂያ ቢሰጠውም እንዲቀጥል ተፈቅዶለታል።</v>
      </c>
      <c r="K140" s="11" t="str">
        <f>IFERROR(__xludf.DUMMYFUNCTION(" GOOGLETRANSLATE(E140, ""en"", ""am"")"),"ከተጠቀሰው ጊዜ ውጭ እረፍት መውሰድ ወደ ቅጣቶች ሊመራ ይችላል.")</f>
        <v>ከተጠቀሰው ጊዜ ውጭ እረፍት መውሰድ ወደ ቅጣቶች ሊመራ ይችላል.</v>
      </c>
    </row>
    <row r="141" ht="22.5" customHeight="1">
      <c r="A141" s="10">
        <v>140.0</v>
      </c>
      <c r="B141" s="11" t="s">
        <v>1555</v>
      </c>
      <c r="C141" s="11" t="s">
        <v>1556</v>
      </c>
      <c r="D141" s="11" t="s">
        <v>1557</v>
      </c>
      <c r="E141" s="11" t="s">
        <v>1558</v>
      </c>
      <c r="G141" s="11" t="str">
        <f>IFERROR(__xludf.DUMMYFUNCTION(" GOOGLETRANSLATE(A141, ""en"", ""am"")"),"140")</f>
        <v>140</v>
      </c>
      <c r="H141" s="11" t="str">
        <f>IFERROR(__xludf.DUMMYFUNCTION(" GOOGLETRANSLATE(B141, ""en"", ""am"")"),"አንድ ሯጭ የጊዜ ስርዓቱን ሲያበላሽ ተይዟል። ምን ይሆናል?")</f>
        <v>አንድ ሯጭ የጊዜ ስርዓቱን ሲያበላሽ ተይዟል። ምን ይሆናል?</v>
      </c>
      <c r="I141" s="11" t="str">
        <f>IFERROR(__xludf.DUMMYFUNCTION(" GOOGLETRANSLATE(C141, ""en"", ""am"")"),"ሀ. ሯጩ ውድቅ ተደረገ እና ከወደፊት ውድድሮች ታግዷል.B. ሯጩ ለጊዜ ማጣት ይቀጣል እና እንዲቀጥል ተፈቅዶለታል.ሲ. ሯጩ ማስጠንቀቂያ ተሰጥቶት እንዲጨርስ ተፈቀደለት.ዲ. ሯጩ ለማስረዳት እድል ተሰጥቶት ይቀጥላል።")</f>
        <v>ሀ. ሯጩ ውድቅ ተደረገ እና ከወደፊት ውድድሮች ታግዷል.B. ሯጩ ለጊዜ ማጣት ይቀጣል እና እንዲቀጥል ተፈቅዶለታል.ሲ. ሯጩ ማስጠንቀቂያ ተሰጥቶት እንዲጨርስ ተፈቀደለት.ዲ. ሯጩ ለማስረዳት እድል ተሰጥቶት ይቀጥላል።</v>
      </c>
      <c r="J141" s="11" t="str">
        <f>IFERROR(__xludf.DUMMYFUNCTION(" GOOGLETRANSLATE(D141, ""en"", ""am"")"),"ሯጩ ከውድድሩ ውድቅ ተደረገ እና ከወደፊት ውድድሮች ታግዷል።")</f>
        <v>ሯጩ ከውድድሩ ውድቅ ተደረገ እና ከወደፊት ውድድሮች ታግዷል።</v>
      </c>
      <c r="K141" s="11" t="str">
        <f>IFERROR(__xludf.DUMMYFUNCTION(" GOOGLETRANSLATE(E141, ""en"", ""am"")"),"የውድድር ደንቦችን መጣስ ወደ ውድቅት እና እገዳዎች ይመራል.")</f>
        <v>የውድድር ደንቦችን መጣስ ወደ ውድቅት እና እገዳዎች ይመራል.</v>
      </c>
    </row>
    <row r="142" ht="22.5" customHeight="1">
      <c r="A142" s="10">
        <v>141.0</v>
      </c>
      <c r="B142" s="11" t="s">
        <v>1559</v>
      </c>
      <c r="C142" s="11" t="s">
        <v>1560</v>
      </c>
      <c r="D142" s="11" t="s">
        <v>1561</v>
      </c>
      <c r="E142" s="11" t="s">
        <v>1562</v>
      </c>
      <c r="G142" s="11" t="str">
        <f>IFERROR(__xludf.DUMMYFUNCTION(" GOOGLETRANSLATE(A142, ""en"", ""am"")"),"141")</f>
        <v>141</v>
      </c>
      <c r="H142" s="11" t="str">
        <f>IFERROR(__xludf.DUMMYFUNCTION(" GOOGLETRANSLATE(B142, ""en"", ""am"")"),"ሯጭ የተፈቀደውን መስፈርት የማያሟሉ ጫማዎችን ይለብሳል። ምን ይሆናል?")</f>
        <v>ሯጭ የተፈቀደውን መስፈርት የማያሟሉ ጫማዎችን ይለብሳል። ምን ይሆናል?</v>
      </c>
      <c r="I142" s="11" t="str">
        <f>IFERROR(__xludf.DUMMYFUNCTION(" GOOGLETRANSLATE(C142, ""en"", ""am"")"),"ሀ. ሯጩ ዝርዝሩን ባለመከተሉ ውድቅ ተደርጓል። ሯጩ በጊዜ ማጣት ይቀጣል.ሲ. ሯጩ ማስጠንቀቂያ ተሰጥቶት እንዲቀጥል ተፈቅዶለታል።ዲ. ሯጩ ከመቀጠሉ በፊት ጫማቸውን እንዲቀይሩ ይጠየቃሉ.")</f>
        <v>ሀ. ሯጩ ዝርዝሩን ባለመከተሉ ውድቅ ተደርጓል። ሯጩ በጊዜ ማጣት ይቀጣል.ሲ. ሯጩ ማስጠንቀቂያ ተሰጥቶት እንዲቀጥል ተፈቅዶለታል።ዲ. ሯጩ ከመቀጠሉ በፊት ጫማቸውን እንዲቀይሩ ይጠየቃሉ.</v>
      </c>
      <c r="J142" s="11" t="str">
        <f>IFERROR(__xludf.DUMMYFUNCTION(" GOOGLETRANSLATE(D142, ""en"", ""am"")"),"ሯጩ ዝርዝር መግለጫዎችን ባለመከተል ብቁ አይደለም።")</f>
        <v>ሯጩ ዝርዝር መግለጫዎችን ባለመከተል ብቁ አይደለም።</v>
      </c>
      <c r="K142" s="11" t="str">
        <f>IFERROR(__xludf.DUMMYFUNCTION(" GOOGLETRANSLATE(E142, ""en"", ""am"")"),"ተገቢ ያልሆኑ ጫማዎች ውድቅ ሊሆኑ ይችላሉ.")</f>
        <v>ተገቢ ያልሆኑ ጫማዎች ውድቅ ሊሆኑ ይችላሉ.</v>
      </c>
    </row>
    <row r="143" ht="22.5" customHeight="1">
      <c r="A143" s="10">
        <v>142.0</v>
      </c>
      <c r="B143" s="11" t="s">
        <v>1563</v>
      </c>
      <c r="C143" s="11" t="s">
        <v>1564</v>
      </c>
      <c r="D143" s="11" t="s">
        <v>1468</v>
      </c>
      <c r="E143" s="11" t="s">
        <v>1565</v>
      </c>
      <c r="G143" s="11" t="str">
        <f>IFERROR(__xludf.DUMMYFUNCTION(" GOOGLETRANSLATE(A143, ""en"", ""am"")"),"142")</f>
        <v>142</v>
      </c>
      <c r="H143" s="11" t="str">
        <f>IFERROR(__xludf.DUMMYFUNCTION(" GOOGLETRANSLATE(B143, ""en"", ""am"")"),"ሯጭ ለሐሰት ጅምር ብቁ አይሆንም። ቀጥሎ ምን ይሆናል?")</f>
        <v>ሯጭ ለሐሰት ጅምር ብቁ አይሆንም። ቀጥሎ ምን ይሆናል?</v>
      </c>
      <c r="I143" s="11" t="str">
        <f>IFERROR(__xludf.DUMMYFUNCTION(" GOOGLETRANSLATE(C143, ""en"", ""am"")"),"ሀ. ሯጩ ከግዜ ቅጣት በኋላ እንደገና እንዲጀምር ተፈቅዶለታል። ሯጩ በጊዜ ማጣት ይቀጣል.ሲ. ሯጩ እንደገና እንዲወዳደር አይፈቀድለትም.ዲ. ሯጩ ከማስጠንቀቂያ በኋላ ሁለተኛ እድል ይሰጠዋል.")</f>
        <v>ሀ. ሯጩ ከግዜ ቅጣት በኋላ እንደገና እንዲጀምር ተፈቅዶለታል። ሯጩ በጊዜ ማጣት ይቀጣል.ሲ. ሯጩ እንደገና እንዲወዳደር አይፈቀድለትም.ዲ. ሯጩ ከማስጠንቀቂያ በኋላ ሁለተኛ እድል ይሰጠዋል.</v>
      </c>
      <c r="J143" s="11" t="str">
        <f>IFERROR(__xludf.DUMMYFUNCTION(" GOOGLETRANSLATE(D143, ""en"", ""am"")"),"ሯጩ በጊዜ ማጣት ይቀጣል።")</f>
        <v>ሯጩ በጊዜ ማጣት ይቀጣል።</v>
      </c>
      <c r="K143" s="11" t="str">
        <f>IFERROR(__xludf.DUMMYFUNCTION(" GOOGLETRANSLATE(E143, ""en"", ""am"")"),"የተሳሳተ ጅምር ወደ ውድቅነት ወይም ቅጣት ሊያመራ ይችላል።")</f>
        <v>የተሳሳተ ጅምር ወደ ውድቅነት ወይም ቅጣት ሊያመራ ይችላል።</v>
      </c>
    </row>
    <row r="144" ht="22.5" customHeight="1">
      <c r="A144" s="10">
        <v>143.0</v>
      </c>
      <c r="B144" s="11" t="s">
        <v>1566</v>
      </c>
      <c r="C144" s="11" t="s">
        <v>1567</v>
      </c>
      <c r="D144" s="11" t="s">
        <v>1568</v>
      </c>
      <c r="E144" s="11" t="s">
        <v>1569</v>
      </c>
      <c r="G144" s="11" t="str">
        <f>IFERROR(__xludf.DUMMYFUNCTION(" GOOGLETRANSLATE(A144, ""en"", ""am"")"),"143")</f>
        <v>143</v>
      </c>
      <c r="H144" s="11" t="str">
        <f>IFERROR(__xludf.DUMMYFUNCTION(" GOOGLETRANSLATE(B144, ""en"", ""am"")"),"አንድ ሯጭ በውድድር ወቅት ብቃታቸውን ለመከታተል ቴክኖሎጂን በመጠቀም ተይዟል። ምን ይሆናል?")</f>
        <v>አንድ ሯጭ በውድድር ወቅት ብቃታቸውን ለመከታተል ቴክኖሎጂን በመጠቀም ተይዟል። ምን ይሆናል?</v>
      </c>
      <c r="I144" s="11" t="str">
        <f>IFERROR(__xludf.DUMMYFUNCTION(" GOOGLETRANSLATE(C144, ""en"", ""am"")"),"ሀ. ሯጩ የተከለከለ ቴክኖሎጂን ለመጠቀም ብቁ አይደለም.ቢ. ሯጩ እንዲቀጥል ተፈቅዶለታል ግን አስጠንቅቋል። ሯጩ በጊዜ ማጣት ይቀጣል.ዲ. ሯጩ በማስጠንቀቂያ እንዲቀጥል ተፈቅዶለታል።")</f>
        <v>ሀ. ሯጩ የተከለከለ ቴክኖሎጂን ለመጠቀም ብቁ አይደለም.ቢ. ሯጩ እንዲቀጥል ተፈቅዶለታል ግን አስጠንቅቋል። ሯጩ በጊዜ ማጣት ይቀጣል.ዲ. ሯጩ በማስጠንቀቂያ እንዲቀጥል ተፈቅዶለታል።</v>
      </c>
      <c r="J144" s="11" t="str">
        <f>IFERROR(__xludf.DUMMYFUNCTION(" GOOGLETRANSLATE(D144, ""en"", ""am"")"),"ሯጩ የተከለከለ ቴክኖሎጂን ለመጠቀም ብቁ አይደለም።")</f>
        <v>ሯጩ የተከለከለ ቴክኖሎጂን ለመጠቀም ብቁ አይደለም።</v>
      </c>
      <c r="K144" s="11" t="str">
        <f>IFERROR(__xludf.DUMMYFUNCTION(" GOOGLETRANSLATE(E144, ""en"", ""am"")"),"አፈጻጸምን ለመርዳት ቴክኖሎጂን መጠቀም ውድቀትን ያስከትላል።")</f>
        <v>አፈጻጸምን ለመርዳት ቴክኖሎጂን መጠቀም ውድቀትን ያስከትላል።</v>
      </c>
    </row>
    <row r="145" ht="22.5" customHeight="1">
      <c r="A145" s="10">
        <v>144.0</v>
      </c>
      <c r="B145" s="11" t="s">
        <v>1570</v>
      </c>
      <c r="C145" s="11" t="s">
        <v>1571</v>
      </c>
      <c r="D145" s="11" t="s">
        <v>1572</v>
      </c>
      <c r="E145" s="11" t="s">
        <v>1573</v>
      </c>
      <c r="G145" s="11" t="str">
        <f>IFERROR(__xludf.DUMMYFUNCTION(" GOOGLETRANSLATE(A145, ""en"", ""am"")"),"144")</f>
        <v>144</v>
      </c>
      <c r="H145" s="11" t="str">
        <f>IFERROR(__xludf.DUMMYFUNCTION(" GOOGLETRANSLATE(B145, ""en"", ""am"")"),"ሯጭ ሆን ብሎ ሌላውን ሯጭ እንዳያልፈው ይከለክላል። ምን ይሆናል?")</f>
        <v>ሯጭ ሆን ብሎ ሌላውን ሯጭ እንዳያልፈው ይከለክላል። ምን ይሆናል?</v>
      </c>
      <c r="I145" s="11" t="str">
        <f>IFERROR(__xludf.DUMMYFUNCTION(" GOOGLETRANSLATE(C145, ""en"", ""am"")"),"ሀ. ሯጩ ከስፖርታዊ ጨዋነት የጎደለው ድርጊት ውድቅ ተደርጓል። ሯጩ በጊዜ ማጣት ይቀጣል.ሲ. ሯጩ በማስጠንቀቂያ እንዲቀጥል ተፈቅዶለታል.ዲ. ሯጩ ወዲያውኑ ሌሎች እንዲያልፉ መፍቀድ አለበት።")</f>
        <v>ሀ. ሯጩ ከስፖርታዊ ጨዋነት የጎደለው ድርጊት ውድቅ ተደርጓል። ሯጩ በጊዜ ማጣት ይቀጣል.ሲ. ሯጩ በማስጠንቀቂያ እንዲቀጥል ተፈቅዶለታል.ዲ. ሯጩ ወዲያውኑ ሌሎች እንዲያልፉ መፍቀድ አለበት።</v>
      </c>
      <c r="J145" s="11" t="str">
        <f>IFERROR(__xludf.DUMMYFUNCTION(" GOOGLETRANSLATE(D145, ""en"", ""am"")"),"ሯጩ ከስፖርታዊ ጨዋነት የጎደለው ድርጊት ውድቅ ተደርጓል።")</f>
        <v>ሯጩ ከስፖርታዊ ጨዋነት የጎደለው ድርጊት ውድቅ ተደርጓል።</v>
      </c>
      <c r="K145" s="11" t="str">
        <f>IFERROR(__xludf.DUMMYFUNCTION(" GOOGLETRANSLATE(E145, ""en"", ""am"")"),"ሆን ተብሎ ሌላ ሯጭ ማገድ ውድቀቱን ያስከትላል።")</f>
        <v>ሆን ተብሎ ሌላ ሯጭ ማገድ ውድቀቱን ያስከትላል።</v>
      </c>
    </row>
    <row r="146" ht="22.5" customHeight="1">
      <c r="A146" s="10">
        <v>145.0</v>
      </c>
      <c r="B146" s="11" t="s">
        <v>1574</v>
      </c>
      <c r="C146" s="11" t="s">
        <v>1575</v>
      </c>
      <c r="D146" s="11" t="s">
        <v>1576</v>
      </c>
      <c r="E146" s="11" t="s">
        <v>1577</v>
      </c>
      <c r="G146" s="11" t="str">
        <f>IFERROR(__xludf.DUMMYFUNCTION(" GOOGLETRANSLATE(A146, ""en"", ""am"")"),"145")</f>
        <v>145</v>
      </c>
      <c r="H146" s="11" t="str">
        <f>IFERROR(__xludf.DUMMYFUNCTION(" GOOGLETRANSLATE(B146, ""en"", ""am"")"),"በሩጫው ወቅት የአንድ ሯጭ መሳሪያ ይሰበራል። ምን ይሆናል?")</f>
        <v>በሩጫው ወቅት የአንድ ሯጭ መሳሪያ ይሰበራል። ምን ይሆናል?</v>
      </c>
      <c r="I146" s="11" t="str">
        <f>IFERROR(__xludf.DUMMYFUNCTION(" GOOGLETRANSLATE(C146, ""en"", ""am"")"),"ሀ. ሯጩ ለመሳሪያ ብልሽት ብቁ አይደለም.ቢ. ሯጩ መሳሪያውን ከጠገነ በኋላ እንዲቀጥል ይፈቀድለታል.ሲ. ሯጩ መሳሪያውን ለመጠገን ጊዜ በማጣቱ ይቀጣል.ዲ. ሯጩ መሳሪያውን ሳይጠግን ማለቅ አለበት.")</f>
        <v>ሀ. ሯጩ ለመሳሪያ ብልሽት ብቁ አይደለም.ቢ. ሯጩ መሳሪያውን ከጠገነ በኋላ እንዲቀጥል ይፈቀድለታል.ሲ. ሯጩ መሳሪያውን ለመጠገን ጊዜ በማጣቱ ይቀጣል.ዲ. ሯጩ መሳሪያውን ሳይጠግን ማለቅ አለበት.</v>
      </c>
      <c r="J146" s="11" t="str">
        <f>IFERROR(__xludf.DUMMYFUNCTION(" GOOGLETRANSLATE(D146, ""en"", ""am"")"),"ሯጩ መሳሪያውን ከጠገነ በኋላ እንዲቀጥል ይፈቀድለታል.")</f>
        <v>ሯጩ መሳሪያውን ከጠገነ በኋላ እንዲቀጥል ይፈቀድለታል.</v>
      </c>
      <c r="K146" s="11" t="str">
        <f>IFERROR(__xludf.DUMMYFUNCTION(" GOOGLETRANSLATE(E146, ""en"", ""am"")"),"የተበላሹ መሳሪያዎች ሊጠገኑ ይችላሉ, ነገር ግን ወደ ጊዜ ማጣት ሊያመራ ይችላል.")</f>
        <v>የተበላሹ መሳሪያዎች ሊጠገኑ ይችላሉ, ነገር ግን ወደ ጊዜ ማጣት ሊያመራ ይችላል.</v>
      </c>
    </row>
    <row r="147" ht="22.5" customHeight="1">
      <c r="A147" s="10">
        <v>146.0</v>
      </c>
      <c r="B147" s="11" t="s">
        <v>1578</v>
      </c>
      <c r="C147" s="11" t="s">
        <v>1579</v>
      </c>
      <c r="D147" s="11" t="s">
        <v>1553</v>
      </c>
      <c r="E147" s="11" t="s">
        <v>1580</v>
      </c>
      <c r="G147" s="11" t="str">
        <f>IFERROR(__xludf.DUMMYFUNCTION(" GOOGLETRANSLATE(A147, ""en"", ""am"")"),"146")</f>
        <v>146</v>
      </c>
      <c r="H147" s="11" t="str">
        <f>IFERROR(__xludf.DUMMYFUNCTION(" GOOGLETRANSLATE(B147, ""en"", ""am"")"),"በሩጫው ወቅት ሯጭ ቆሻሻ ሲጥል ይታያል። ምን ይሆናል?")</f>
        <v>በሩጫው ወቅት ሯጭ ቆሻሻ ሲጥል ይታያል። ምን ይሆናል?</v>
      </c>
      <c r="I147" s="11" t="str">
        <f>IFERROR(__xludf.DUMMYFUNCTION(" GOOGLETRANSLATE(C147, ""en"", ""am"")"),"ሀ. ሯጩ ለቆሻሻው ብቁ አይደለም.ቢ. ሯጩ በቆሻሻ መጣያ ውስጥ ጊዜ በማጣቱ ይቀጣል። ሯጩ ማስጠንቀቂያ ተሰጥቶታል ግን እንዲቀጥል ተፈቅዶለታል።ዲ. ሯጩ ቆሻሻውን እንዲያጸዳ እና እንዲቀጥል ይጠየቃል.")</f>
        <v>ሀ. ሯጩ ለቆሻሻው ብቁ አይደለም.ቢ. ሯጩ በቆሻሻ መጣያ ውስጥ ጊዜ በማጣቱ ይቀጣል። ሯጩ ማስጠንቀቂያ ተሰጥቶታል ግን እንዲቀጥል ተፈቅዶለታል።ዲ. ሯጩ ቆሻሻውን እንዲያጸዳ እና እንዲቀጥል ይጠየቃል.</v>
      </c>
      <c r="J147" s="11" t="str">
        <f>IFERROR(__xludf.DUMMYFUNCTION(" GOOGLETRANSLATE(D147, ""en"", ""am"")"),"ሯጩ ማስጠንቀቂያ ቢሰጠውም እንዲቀጥል ተፈቅዶለታል።")</f>
        <v>ሯጩ ማስጠንቀቂያ ቢሰጠውም እንዲቀጥል ተፈቅዶለታል።</v>
      </c>
      <c r="K147" s="11" t="str">
        <f>IFERROR(__xludf.DUMMYFUNCTION(" GOOGLETRANSLATE(E147, ""en"", ""am"")"),"ቆሻሻ መጣያ ብዙውን ጊዜ በገንዘብ ይቀጣል ነገር ግን ማስጠንቀቂያም ሊያስከትል ይችላል።")</f>
        <v>ቆሻሻ መጣያ ብዙውን ጊዜ በገንዘብ ይቀጣል ነገር ግን ማስጠንቀቂያም ሊያስከትል ይችላል።</v>
      </c>
    </row>
    <row r="148" ht="22.5" customHeight="1">
      <c r="A148" s="10">
        <v>147.0</v>
      </c>
      <c r="B148" s="11" t="s">
        <v>1581</v>
      </c>
      <c r="C148" s="11" t="s">
        <v>1582</v>
      </c>
      <c r="D148" s="11" t="s">
        <v>1583</v>
      </c>
      <c r="E148" s="11" t="s">
        <v>1584</v>
      </c>
      <c r="G148" s="11" t="str">
        <f>IFERROR(__xludf.DUMMYFUNCTION(" GOOGLETRANSLATE(A148, ""en"", ""am"")"),"147")</f>
        <v>147</v>
      </c>
      <c r="H148" s="11" t="str">
        <f>IFERROR(__xludf.DUMMYFUNCTION(" GOOGLETRANSLATE(B148, ""en"", ""am"")"),"አንድ ሯጭ ውድድሩን ሲጨርስ የፍጻሜውን መስመር በትክክል ማለፉን እርግጠኛ አይሆንም። ምን ይሆናል?")</f>
        <v>አንድ ሯጭ ውድድሩን ሲጨርስ የፍጻሜውን መስመር በትክክል ማለፉን እርግጠኛ አይሆንም። ምን ይሆናል?</v>
      </c>
      <c r="I148" s="11" t="str">
        <f>IFERROR(__xludf.DUMMYFUNCTION(" GOOGLETRANSLATE(C148, ""en"", ""am"")"),"ሀ. ሯጩ ውድድሩን እንዲደግም ይጠየቃል.ቢ. ሯጩ በጊዜ ማጣት ይቀጣል.ሲ. ሯጩ ከዘር ባለስልጣናት ጋር ለመፈተሽ እድሉ ይሰጠዋል.ዲ. ሯጩ በህገ ወጥ መንገድ ለመጨረስ ብቁ አይደለም።")</f>
        <v>ሀ. ሯጩ ውድድሩን እንዲደግም ይጠየቃል.ቢ. ሯጩ በጊዜ ማጣት ይቀጣል.ሲ. ሯጩ ከዘር ባለስልጣናት ጋር ለመፈተሽ እድሉ ይሰጠዋል.ዲ. ሯጩ በህገ ወጥ መንገድ ለመጨረስ ብቁ አይደለም።</v>
      </c>
      <c r="J148" s="11" t="str">
        <f>IFERROR(__xludf.DUMMYFUNCTION(" GOOGLETRANSLATE(D148, ""en"", ""am"")"),"ሯጩ ከዘር ባለስልጣናት ጋር ለመፈተሽ እድሉ ይሰጠዋል.")</f>
        <v>ሯጩ ከዘር ባለስልጣናት ጋር ለመፈተሽ እድሉ ይሰጠዋል.</v>
      </c>
      <c r="K148" s="11" t="str">
        <f>IFERROR(__xludf.DUMMYFUNCTION(" GOOGLETRANSLATE(E148, ""en"", ""am"")"),"ቅጣቶችን ለማስወገድ ትክክለኛውን አጨራረስ ማረጋገጥ አስፈላጊ ነው.")</f>
        <v>ቅጣቶችን ለማስወገድ ትክክለኛውን አጨራረስ ማረጋገጥ አስፈላጊ ነው.</v>
      </c>
    </row>
    <row r="149" ht="22.5" customHeight="1">
      <c r="A149" s="10">
        <v>148.0</v>
      </c>
      <c r="B149" s="11" t="s">
        <v>1585</v>
      </c>
      <c r="C149" s="11" t="s">
        <v>1586</v>
      </c>
      <c r="D149" s="11" t="s">
        <v>1071</v>
      </c>
      <c r="E149" s="11" t="s">
        <v>1587</v>
      </c>
      <c r="G149" s="11" t="str">
        <f>IFERROR(__xludf.DUMMYFUNCTION(" GOOGLETRANSLATE(A149, ""en"", ""am"")"),"148")</f>
        <v>148</v>
      </c>
      <c r="H149" s="11" t="str">
        <f>IFERROR(__xludf.DUMMYFUNCTION(" GOOGLETRANSLATE(B149, ""en"", ""am"")"),"በውድድሩ ወቅት ሯጭ በአጋጣሚ የሌላውን ሯጭ እግር ይረግጣል። ምን ይሆናል?")</f>
        <v>በውድድሩ ወቅት ሯጭ በአጋጣሚ የሌላውን ሯጭ እግር ይረግጣል። ምን ይሆናል?</v>
      </c>
      <c r="I149" s="11" t="str">
        <f>IFERROR(__xludf.DUMMYFUNCTION(" GOOGLETRANSLATE(C149, ""en"", ""am"")"),"ሀ. ሯጩ እንቅፋት በመፍጠር ይቀጣል.ቢ. ሯጩ እንቅፋት ለመፍጠር ብቁ አይደለም.ሲ. ሯጩ ማስጠንቀቂያ ተሰጥቶት እንዲቀጥል ተፈቅዶለታል።ዲ. ሯጩ ይቅርታ ጠይቆ ወደ ፊት ሄደ።")</f>
        <v>ሀ. ሯጩ እንቅፋት በመፍጠር ይቀጣል.ቢ. ሯጩ እንቅፋት ለመፍጠር ብቁ አይደለም.ሲ. ሯጩ ማስጠንቀቂያ ተሰጥቶት እንዲቀጥል ተፈቅዶለታል።ዲ. ሯጩ ይቅርታ ጠይቆ ወደ ፊት ሄደ።</v>
      </c>
      <c r="J149" s="11" t="str">
        <f>IFERROR(__xludf.DUMMYFUNCTION(" GOOGLETRANSLATE(D149, ""en"", ""am"")"),"ሯጩ ማስጠንቀቂያ ተሰጥቶት እንዲቀጥል ተፈቀደለት።")</f>
        <v>ሯጩ ማስጠንቀቂያ ተሰጥቶት እንዲቀጥል ተፈቀደለት።</v>
      </c>
      <c r="K149" s="11" t="str">
        <f>IFERROR(__xludf.DUMMYFUNCTION(" GOOGLETRANSLATE(E149, ""en"", ""am"")"),"የአጋጣሚ ጉዳይ ማስጠንቀቂያ ሊያስከትል ይችላል ነገር ግን ውድቅ አይሆንም.")</f>
        <v>የአጋጣሚ ጉዳይ ማስጠንቀቂያ ሊያስከትል ይችላል ነገር ግን ውድቅ አይሆንም.</v>
      </c>
    </row>
    <row r="150" ht="22.5" customHeight="1">
      <c r="A150" s="10">
        <v>149.0</v>
      </c>
      <c r="B150" s="11" t="s">
        <v>1588</v>
      </c>
      <c r="C150" s="11" t="s">
        <v>1589</v>
      </c>
      <c r="D150" s="11" t="s">
        <v>1590</v>
      </c>
      <c r="E150" s="11" t="s">
        <v>1591</v>
      </c>
      <c r="G150" s="11" t="str">
        <f>IFERROR(__xludf.DUMMYFUNCTION(" GOOGLETRANSLATE(A150, ""en"", ""am"")"),"149")</f>
        <v>149</v>
      </c>
      <c r="H150" s="11" t="str">
        <f>IFERROR(__xludf.DUMMYFUNCTION(" GOOGLETRANSLATE(B150, ""en"", ""am"")"),"ሯጭ ይወድቃል ነገር ግን በፍጥነት ተነስቶ ውድድሩን ጨርሷል። ምን ይሆናል?")</f>
        <v>ሯጭ ይወድቃል ነገር ግን በፍጥነት ተነስቶ ውድድሩን ጨርሷል። ምን ይሆናል?</v>
      </c>
      <c r="I150" s="11" t="str">
        <f>IFERROR(__xludf.DUMMYFUNCTION(" GOOGLETRANSLATE(C150, ""en"", ""am"")"),"ሀ. ሯጩ ለመውደቅ ብቁ አይደለም.ቢ. ሯጩ በመውደቅ ጊዜ በማጣቱ ይቀጣል.ሲ. ሯጩ ያለ ቅጣት እንዲጨርስ ተፈቅዶለታል።ዲ. ሯጩ ከመቀጠሉ በፊት እንዲያርፍ ይጠየቃል።")</f>
        <v>ሀ. ሯጩ ለመውደቅ ብቁ አይደለም.ቢ. ሯጩ በመውደቅ ጊዜ በማጣቱ ይቀጣል.ሲ. ሯጩ ያለ ቅጣት እንዲጨርስ ተፈቅዶለታል።ዲ. ሯጩ ከመቀጠሉ በፊት እንዲያርፍ ይጠየቃል።</v>
      </c>
      <c r="J150" s="11" t="str">
        <f>IFERROR(__xludf.DUMMYFUNCTION(" GOOGLETRANSLATE(D150, ""en"", ""am"")"),"ሯጩ ያለ ምንም ቅጣት እንዲጨርስ ተፈቅዶለታል።")</f>
        <v>ሯጩ ያለ ምንም ቅጣት እንዲጨርስ ተፈቅዶለታል።</v>
      </c>
      <c r="K150" s="11" t="str">
        <f>IFERROR(__xludf.DUMMYFUNCTION(" GOOGLETRANSLATE(E150, ""en"", ""am"")"),"መውደቅ የሩጫው አካል ነው እንጂ ውድቀትን አያመለክትም።")</f>
        <v>መውደቅ የሩጫው አካል ነው እንጂ ውድቀትን አያመለክትም።</v>
      </c>
    </row>
    <row r="151" ht="22.5" customHeight="1">
      <c r="A151" s="10">
        <v>150.0</v>
      </c>
      <c r="B151" s="11" t="s">
        <v>1592</v>
      </c>
      <c r="C151" s="11" t="s">
        <v>1593</v>
      </c>
      <c r="D151" s="11" t="s">
        <v>1075</v>
      </c>
      <c r="E151" s="11" t="s">
        <v>1594</v>
      </c>
      <c r="G151" s="11" t="str">
        <f>IFERROR(__xludf.DUMMYFUNCTION(" GOOGLETRANSLATE(A151, ""en"", ""am"")"),"150")</f>
        <v>150</v>
      </c>
      <c r="H151" s="11" t="str">
        <f>IFERROR(__xludf.DUMMYFUNCTION(" GOOGLETRANSLATE(B151, ""en"", ""am"")"),"አንድ ሯጭ ጉዳት ከደረሰ በኋላ የሕክምና እርዳታ አይቀበልም. ምን ይሆናል?")</f>
        <v>አንድ ሯጭ ጉዳት ከደረሰ በኋላ የሕክምና እርዳታ አይቀበልም. ምን ይሆናል?</v>
      </c>
      <c r="I151" s="11" t="str">
        <f>IFERROR(__xludf.DUMMYFUNCTION(" GOOGLETRANSLATE(C151, ""en"", ""am"")"),"ሀ. ሯጩ የህክምና ክትትል ባለማድረግ ከውድድሩ ውጪ ሆኗል. ሯጩ ያለምንም ቅጣት እንዲቀጥል ተፈቅዶለታል.ሲ. ሯጩ እርዳታ ባለመቀበል ጊዜ በማጣቱ ይቀጣል.ዲ. ሯጩ ለመቀጠል የህክምና እርዳታ እንደሚፈልግ ይጠበቃል።")</f>
        <v>ሀ. ሯጩ የህክምና ክትትል ባለማድረግ ከውድድሩ ውጪ ሆኗል. ሯጩ ያለምንም ቅጣት እንዲቀጥል ተፈቅዶለታል.ሲ. ሯጩ እርዳታ ባለመቀበል ጊዜ በማጣቱ ይቀጣል.ዲ. ሯጩ ለመቀጠል የህክምና እርዳታ እንደሚፈልግ ይጠበቃል።</v>
      </c>
      <c r="J151" s="11" t="str">
        <f>IFERROR(__xludf.DUMMYFUNCTION(" GOOGLETRANSLATE(D151, ""en"", ""am"")"),"ሯጩ ያለምንም ቅጣት እንዲቀጥል ተፈቅዶለታል።")</f>
        <v>ሯጩ ያለምንም ቅጣት እንዲቀጥል ተፈቅዶለታል።</v>
      </c>
      <c r="K151" s="11" t="str">
        <f>IFERROR(__xludf.DUMMYFUNCTION(" GOOGLETRANSLATE(E151, ""en"", ""am"")"),"የሕክምና እርዳታን አለመቀበል ብዙውን ጊዜ ቅጣትን አያስከትልም.")</f>
        <v>የሕክምና እርዳታን አለመቀበል ብዙውን ጊዜ ቅጣትን አያስከትልም.</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5" width="37.63"/>
    <col customWidth="1" min="7" max="11" width="37.63"/>
  </cols>
  <sheetData>
    <row r="1" ht="22.5" customHeight="1">
      <c r="A1" s="1" t="s">
        <v>0</v>
      </c>
      <c r="B1" s="1" t="s">
        <v>1</v>
      </c>
      <c r="C1" s="1" t="s">
        <v>2</v>
      </c>
      <c r="D1" s="1" t="s">
        <v>3</v>
      </c>
      <c r="E1" s="1" t="s">
        <v>4</v>
      </c>
      <c r="F1" s="2"/>
      <c r="G1" s="3" t="s">
        <v>5</v>
      </c>
      <c r="H1" s="3" t="s">
        <v>6</v>
      </c>
      <c r="I1" s="3" t="s">
        <v>7</v>
      </c>
      <c r="J1" s="3" t="s">
        <v>8</v>
      </c>
      <c r="K1" s="3" t="s">
        <v>9</v>
      </c>
      <c r="L1" s="2"/>
      <c r="M1" s="2"/>
      <c r="N1" s="2"/>
      <c r="O1" s="2"/>
      <c r="P1" s="2"/>
      <c r="Q1" s="2"/>
      <c r="R1" s="2"/>
      <c r="S1" s="2"/>
      <c r="T1" s="2"/>
      <c r="U1" s="2"/>
    </row>
    <row r="2" ht="22.5" customHeight="1">
      <c r="A2" s="10">
        <v>1.0</v>
      </c>
      <c r="B2" s="11" t="s">
        <v>1595</v>
      </c>
      <c r="C2" s="11" t="s">
        <v>1596</v>
      </c>
      <c r="D2" s="11" t="s">
        <v>1597</v>
      </c>
      <c r="E2" s="11" t="s">
        <v>1598</v>
      </c>
      <c r="G2" s="11" t="str">
        <f>IFERROR(__xludf.DUMMYFUNCTION("GOOGLETRANSLATE(A2, ""en"", ""am"")"),"1")</f>
        <v>1</v>
      </c>
      <c r="H2" s="11" t="str">
        <f>IFERROR(__xludf.DUMMYFUNCTION("GOOGLETRANSLATE(B2, ""en"", ""am"")"),"አንድ ታጋይ በጠንካራ የትከሻ ክስ ተፎካካሪውን መሬት ላይ ይጥላል ነገር ግን ወዲያውኑ አይሰካቸውም። ምን ይሆናል?")</f>
        <v>አንድ ታጋይ በጠንካራ የትከሻ ክስ ተፎካካሪውን መሬት ላይ ይጥላል ነገር ግን ወዲያውኑ አይሰካቸውም። ምን ይሆናል?</v>
      </c>
      <c r="I2" s="11" t="str">
        <f>IFERROR(__xludf.DUMMYFUNCTION("GOOGLETRANSLATE(C2, ""en"", ""am"")"),"ሀ. ተቃዋሚው ጨዋታውን ያሸንፋል.ቢ. ተዋጊው ማስጠንቀቂያ ተሰጥቶታል.ሲ. ጨዋታው ተቃዋሚው እስኪሰካ ድረስ ይቀጥላል.ዲ. ተቃዋሚው በተቃዋሚው ላይ ተስፋ ባለመቁረጥ ከውድድሩ ተወገደ።")</f>
        <v>ሀ. ተቃዋሚው ጨዋታውን ያሸንፋል.ቢ. ተዋጊው ማስጠንቀቂያ ተሰጥቶታል.ሲ. ጨዋታው ተቃዋሚው እስኪሰካ ድረስ ይቀጥላል.ዲ. ተቃዋሚው በተቃዋሚው ላይ ተስፋ ባለመቁረጥ ከውድድሩ ተወገደ።</v>
      </c>
      <c r="J2" s="11" t="str">
        <f>IFERROR(__xludf.DUMMYFUNCTION("GOOGLETRANSLATE(D2, ""en"", ""am"")"),"ተቃዋሚው እስኪሰካ ድረስ ጨዋታው ይቀጥላል።")</f>
        <v>ተቃዋሚው እስኪሰካ ድረስ ጨዋታው ይቀጥላል።</v>
      </c>
      <c r="K2" s="11" t="str">
        <f>IFERROR(__xludf.DUMMYFUNCTION("GOOGLETRANSLATE(E2, ""en"", ""am"")"),"ጨዋታው በአባ ገዳ ላይ የትግል ፒን እስኪገኝ ድረስ ይቀጥላል።")</f>
        <v>ጨዋታው በአባ ገዳ ላይ የትግል ፒን እስኪገኝ ድረስ ይቀጥላል።</v>
      </c>
    </row>
    <row r="3" ht="22.5" customHeight="1">
      <c r="A3" s="10">
        <v>2.0</v>
      </c>
      <c r="B3" s="11" t="s">
        <v>1599</v>
      </c>
      <c r="C3" s="11" t="s">
        <v>1600</v>
      </c>
      <c r="D3" s="11" t="s">
        <v>1601</v>
      </c>
      <c r="E3" s="11" t="s">
        <v>1602</v>
      </c>
      <c r="G3" s="11" t="str">
        <f>IFERROR(__xludf.DUMMYFUNCTION("GOOGLETRANSLATE(A3, ""en"", ""am"")"),"2")</f>
        <v>2</v>
      </c>
      <c r="H3" s="11" t="str">
        <f>IFERROR(__xludf.DUMMYFUNCTION("GOOGLETRANSLATE(B3, ""en"", ""am"")"),"አንድ ታጋይ እንቅስቃሴ ካደረገ በኋላ ሚዛኑን አጥቶ መሬት ላይ ይወድቃል። ቀጥሎ ምን ይሆናል?")</f>
        <v>አንድ ታጋይ እንቅስቃሴ ካደረገ በኋላ ሚዛኑን አጥቶ መሬት ላይ ይወድቃል። ቀጥሎ ምን ይሆናል?</v>
      </c>
      <c r="I3" s="11" t="str">
        <f>IFERROR(__xludf.DUMMYFUNCTION("GOOGLETRANSLATE(C3, ""en"", ""am"")"),"ሀ. ተቃዋሚው ወዲያውኑ ጨዋታውን ያሸንፋል.ቢ. ተዋጊው ሚዛኑን በማጣቱ ይቀጣል.ሲ. ግጥሚያው ይቀጥላል, እና ተቃዋሚው ማገገም አለበት.ዲ. ተዋጊው ለመውደቅ ብቁ አይደለም።")</f>
        <v>ሀ. ተቃዋሚው ወዲያውኑ ጨዋታውን ያሸንፋል.ቢ. ተዋጊው ሚዛኑን በማጣቱ ይቀጣል.ሲ. ግጥሚያው ይቀጥላል, እና ተቃዋሚው ማገገም አለበት.ዲ. ተዋጊው ለመውደቅ ብቁ አይደለም።</v>
      </c>
      <c r="J3" s="11" t="str">
        <f>IFERROR(__xludf.DUMMYFUNCTION("GOOGLETRANSLATE(D3, ""en"", ""am"")"),"ግጥሚያው ይቀጥላል, እና ተቃዋሚው ማገገም አለበት.")</f>
        <v>ግጥሚያው ይቀጥላል, እና ተቃዋሚው ማገገም አለበት.</v>
      </c>
      <c r="K3" s="11" t="str">
        <f>IFERROR(__xludf.DUMMYFUNCTION("GOOGLETRANSLATE(E3, ""en"", ""am"")"),"ውድቀት ወደ ውድቅነት አያስከትልም; ግጥሚያው እስከ ፒን ድረስ ይቀጥላል.")</f>
        <v>ውድቀት ወደ ውድቅነት አያስከትልም; ግጥሚያው እስከ ፒን ድረስ ይቀጥላል.</v>
      </c>
    </row>
    <row r="4" ht="22.5" customHeight="1">
      <c r="A4" s="10">
        <v>3.0</v>
      </c>
      <c r="B4" s="11" t="s">
        <v>1603</v>
      </c>
      <c r="C4" s="11" t="s">
        <v>1604</v>
      </c>
      <c r="D4" s="11" t="s">
        <v>1605</v>
      </c>
      <c r="E4" s="11" t="s">
        <v>1606</v>
      </c>
      <c r="G4" s="11" t="str">
        <f>IFERROR(__xludf.DUMMYFUNCTION("GOOGLETRANSLATE(A4, ""en"", ""am"")"),"3")</f>
        <v>3</v>
      </c>
      <c r="H4" s="11" t="str">
        <f>IFERROR(__xludf.DUMMYFUNCTION("GOOGLETRANSLATE(B4, ""en"", ""am"")"),"በጨዋታው ወቅት ተጫዋቹ ተፎካካሪውን ከጭንቅላቱ በላይ ቢያነሳም ትክክለኛውን ውርወራ ማድረግ አልቻለም። ምን ይሆናል?")</f>
        <v>በጨዋታው ወቅት ተጫዋቹ ተፎካካሪውን ከጭንቅላቱ በላይ ቢያነሳም ትክክለኛውን ውርወራ ማድረግ አልቻለም። ምን ይሆናል?</v>
      </c>
      <c r="I4" s="11" t="str">
        <f>IFERROR(__xludf.DUMMYFUNCTION("GOOGLETRANSLATE(C4, ""en"", ""am"")"),"ሀ. ተዋጊው ለማንሳት ነጥብ ይሰጠዋል.B. ተቃዋሚውን ለማምለጥ እድል ይሰጣል። ተቃዋሚው ሚዛኑን አጥቶ ጨዋታው ይቀጥላል ዲ. እርምጃው ሕገወጥ ነው ተብሎ ይታሰባል፣ እናም ታጋዩ ይቀጣል።")</f>
        <v>ሀ. ተዋጊው ለማንሳት ነጥብ ይሰጠዋል.B. ተቃዋሚውን ለማምለጥ እድል ይሰጣል። ተቃዋሚው ሚዛኑን አጥቶ ጨዋታው ይቀጥላል ዲ. እርምጃው ሕገወጥ ነው ተብሎ ይታሰባል፣ እናም ታጋዩ ይቀጣል።</v>
      </c>
      <c r="J4" s="11" t="str">
        <f>IFERROR(__xludf.DUMMYFUNCTION("GOOGLETRANSLATE(D4, ""en"", ""am"")"),"እርምጃው ሕገወጥ ነው ተብሎ ይታሰባል፣ እናም ታጋዩ ይቀጣል።")</f>
        <v>እርምጃው ሕገወጥ ነው ተብሎ ይታሰባል፣ እናም ታጋዩ ይቀጣል።</v>
      </c>
      <c r="K4" s="11" t="str">
        <f>IFERROR(__xludf.DUMMYFUNCTION("GOOGLETRANSLATE(E4, ""en"", ""am"")"),"ትክክለኛ ግድያ ሳይፈጽሙ ተቃዋሚን ማንሳት ወደ ቅጣት ሊያመራ ይችላል።")</f>
        <v>ትክክለኛ ግድያ ሳይፈጽሙ ተቃዋሚን ማንሳት ወደ ቅጣት ሊያመራ ይችላል።</v>
      </c>
    </row>
    <row r="5" ht="22.5" customHeight="1">
      <c r="A5" s="10">
        <v>4.0</v>
      </c>
      <c r="B5" s="11" t="s">
        <v>1607</v>
      </c>
      <c r="C5" s="11" t="s">
        <v>1608</v>
      </c>
      <c r="D5" s="11" t="s">
        <v>1609</v>
      </c>
      <c r="E5" s="11" t="s">
        <v>1610</v>
      </c>
      <c r="G5" s="11" t="str">
        <f>IFERROR(__xludf.DUMMYFUNCTION("GOOGLETRANSLATE(A5, ""en"", ""am"")"),"4")</f>
        <v>4</v>
      </c>
      <c r="H5" s="11" t="str">
        <f>IFERROR(__xludf.DUMMYFUNCTION("GOOGLETRANSLATE(B5, ""en"", ""am"")"),"አንድ ታጋይ የባላንጣውን እግር ለመያዝ ቢሞክርም ተቃዋሚው አመለጠ። ቀጥሎ ምን ይሆናል?")</f>
        <v>አንድ ታጋይ የባላንጣውን እግር ለመያዝ ቢሞክርም ተቃዋሚው አመለጠ። ቀጥሎ ምን ይሆናል?</v>
      </c>
      <c r="I5" s="11" t="str">
        <f>IFERROR(__xludf.DUMMYFUNCTION("GOOGLETRANSLATE(C5, ""en"", ""am"")"),"ሀ. ታጋዩ እግሩን መቆጣጠር ባለመቻሉ ይቀጣል.ቢ. ጨዋታው ያለምንም ቅጣት ቀጥሏል.ሲ. ተቃዋሚው ጨዋታውን ያሸንፋል.ዲ. ተዋጊው ለተሳሳተ ቴክኒክ ማስጠንቀቂያ ተሰጥቶታል።")</f>
        <v>ሀ. ታጋዩ እግሩን መቆጣጠር ባለመቻሉ ይቀጣል.ቢ. ጨዋታው ያለምንም ቅጣት ቀጥሏል.ሲ. ተቃዋሚው ጨዋታውን ያሸንፋል.ዲ. ተዋጊው ለተሳሳተ ቴክኒክ ማስጠንቀቂያ ተሰጥቶታል።</v>
      </c>
      <c r="J5" s="11" t="str">
        <f>IFERROR(__xludf.DUMMYFUNCTION("GOOGLETRANSLATE(D5, ""en"", ""am"")"),"ጨዋታው ያለምንም ቅጣት ቀጥሏል።")</f>
        <v>ጨዋታው ያለምንም ቅጣት ቀጥሏል።</v>
      </c>
      <c r="K5" s="11" t="str">
        <f>IFERROR(__xludf.DUMMYFUNCTION("GOOGLETRANSLATE(E5, ""en"", ""am"")"),"ከመያዣ ማምለጥ በራስ-ሰር ግጥሚያውን አያቆምም እና ግጥሚያው ይቀጥላል።")</f>
        <v>ከመያዣ ማምለጥ በራስ-ሰር ግጥሚያውን አያቆምም እና ግጥሚያው ይቀጥላል።</v>
      </c>
    </row>
    <row r="6" ht="22.5" customHeight="1">
      <c r="A6" s="10">
        <v>5.0</v>
      </c>
      <c r="B6" s="11" t="s">
        <v>1611</v>
      </c>
      <c r="C6" s="11" t="s">
        <v>1612</v>
      </c>
      <c r="D6" s="11" t="s">
        <v>1601</v>
      </c>
      <c r="E6" s="11" t="s">
        <v>1613</v>
      </c>
      <c r="G6" s="11" t="str">
        <f>IFERROR(__xludf.DUMMYFUNCTION("GOOGLETRANSLATE(A6, ""en"", ""am"")"),"5")</f>
        <v>5</v>
      </c>
      <c r="H6" s="11" t="str">
        <f>IFERROR(__xludf.DUMMYFUNCTION("GOOGLETRANSLATE(B6, ""en"", ""am"")"),"በጨዋታው ወቅት አንድ ታጋይ በአጋጣሚ በእጁ መሬቱን ይነካል። ምን ይሆናል?")</f>
        <v>በጨዋታው ወቅት አንድ ታጋይ በአጋጣሚ በእጁ መሬቱን ይነካል። ምን ይሆናል?</v>
      </c>
      <c r="I6" s="11" t="str">
        <f>IFERROR(__xludf.DUMMYFUNCTION("GOOGLETRANSLATE(C6, ""en"", ""am"")"),"ሀ. ተቃዋሚው ጨዋታውን ያሸንፋል.ቢ. ተፋላሚው መሬትን ለመንካት ማስጠንቀቂያ ተሰጥቶታል.ሲ. ግጥሚያው ይቀጥላል, እና ተቃዋሚው ማገገም አለበት.ዲ. ተዋጊው ለመቆጣጠር ብቁ አይደለም።")</f>
        <v>ሀ. ተቃዋሚው ጨዋታውን ያሸንፋል.ቢ. ተፋላሚው መሬትን ለመንካት ማስጠንቀቂያ ተሰጥቶታል.ሲ. ግጥሚያው ይቀጥላል, እና ተቃዋሚው ማገገም አለበት.ዲ. ተዋጊው ለመቆጣጠር ብቁ አይደለም።</v>
      </c>
      <c r="J6" s="11" t="str">
        <f>IFERROR(__xludf.DUMMYFUNCTION("GOOGLETRANSLATE(D6, ""en"", ""am"")"),"ግጥሚያው ይቀጥላል, እና ተቃዋሚው ማገገም አለበት.")</f>
        <v>ግጥሚያው ይቀጥላል, እና ተቃዋሚው ማገገም አለበት.</v>
      </c>
      <c r="K6" s="11" t="str">
        <f>IFERROR(__xludf.DUMMYFUNCTION("GOOGLETRANSLATE(E6, ""en"", ""am"")"),"መሬቱን መንካቱ ተጋድሎውን እንዲወድቅ ካላደረገው አያቆመውም።")</f>
        <v>መሬቱን መንካቱ ተጋድሎውን እንዲወድቅ ካላደረገው አያቆመውም።</v>
      </c>
    </row>
    <row r="7" ht="22.5" customHeight="1">
      <c r="A7" s="10">
        <v>6.0</v>
      </c>
      <c r="B7" s="11" t="s">
        <v>1614</v>
      </c>
      <c r="C7" s="11" t="s">
        <v>1615</v>
      </c>
      <c r="D7" s="11" t="s">
        <v>1616</v>
      </c>
      <c r="E7" s="11" t="s">
        <v>1617</v>
      </c>
      <c r="G7" s="11" t="str">
        <f>IFERROR(__xludf.DUMMYFUNCTION("GOOGLETRANSLATE(A7, ""en"", ""am"")"),"6")</f>
        <v>6</v>
      </c>
      <c r="H7" s="11" t="str">
        <f>IFERROR(__xludf.DUMMYFUNCTION("GOOGLETRANSLATE(B7, ""en"", ""am"")"),"አንድ ታጋይ ፒን ሳይሞክር ተፎካካሪያቸውን ወደ ታች ለመያዝ ከመጠን በላይ ኃይል ይጠቀማል። ምን ይሆናል?")</f>
        <v>አንድ ታጋይ ፒን ሳይሞክር ተፎካካሪያቸውን ወደ ታች ለመያዝ ከመጠን በላይ ኃይል ይጠቀማል። ምን ይሆናል?</v>
      </c>
      <c r="I7" s="11" t="str">
        <f>IFERROR(__xludf.DUMMYFUNCTION("GOOGLETRANSLATE(C7, ""en"", ""am"")"),"ሀ. ተዋጊው ከስፖርታዊ ጨዋነት ውጪ በሆነ ድርጊት ተቀጥቷል። ጨዋታው ቆም ብሎ ዳኛው ድርጊቱን እንዲገመግም ተደረገ። ተዋጊው ስለ መጥፎ ባህሪ ማስጠንቀቂያ ተሰጥቶታል.ዲ. ተቃዋሚው ጨዋታውን ያሸንፋል።")</f>
        <v>ሀ. ተዋጊው ከስፖርታዊ ጨዋነት ውጪ በሆነ ድርጊት ተቀጥቷል። ጨዋታው ቆም ብሎ ዳኛው ድርጊቱን እንዲገመግም ተደረገ። ተዋጊው ስለ መጥፎ ባህሪ ማስጠንቀቂያ ተሰጥቶታል.ዲ. ተቃዋሚው ጨዋታውን ያሸንፋል።</v>
      </c>
      <c r="J7" s="11" t="str">
        <f>IFERROR(__xludf.DUMMYFUNCTION("GOOGLETRANSLATE(D7, ""en"", ""am"")"),"ተዋጊው ከስፖርታዊ ጨዋነት ውጪ በሆነ ድርጊት ይቀጣል።")</f>
        <v>ተዋጊው ከስፖርታዊ ጨዋነት ውጪ በሆነ ድርጊት ይቀጣል።</v>
      </c>
      <c r="K7" s="11" t="str">
        <f>IFERROR(__xludf.DUMMYFUNCTION("GOOGLETRANSLATE(E7, ""en"", ""am"")"),"ፒኑን ሳይሞክሩ ከመጠን በላይ ኃይል መጠቀም ወደ ቅጣቶች ሊመራ ይችላል.")</f>
        <v>ፒኑን ሳይሞክሩ ከመጠን በላይ ኃይል መጠቀም ወደ ቅጣቶች ሊመራ ይችላል.</v>
      </c>
    </row>
    <row r="8" ht="22.5" customHeight="1">
      <c r="A8" s="10">
        <v>7.0</v>
      </c>
      <c r="B8" s="11" t="s">
        <v>1618</v>
      </c>
      <c r="C8" s="11" t="s">
        <v>1619</v>
      </c>
      <c r="D8" s="11" t="s">
        <v>1620</v>
      </c>
      <c r="E8" s="11" t="s">
        <v>1621</v>
      </c>
      <c r="G8" s="11" t="str">
        <f>IFERROR(__xludf.DUMMYFUNCTION("GOOGLETRANSLATE(A8, ""en"", ""am"")"),"7")</f>
        <v>7</v>
      </c>
      <c r="H8" s="11" t="str">
        <f>IFERROR(__xludf.DUMMYFUNCTION("GOOGLETRANSLATE(B8, ""en"", ""am"")"),"በአንድ ግጥሚያ ወቅት የተጋለጠ ጭንቅላት ይለቀቃል። ምን ይሆናል?")</f>
        <v>በአንድ ግጥሚያ ወቅት የተጋለጠ ጭንቅላት ይለቀቃል። ምን ይሆናል?</v>
      </c>
      <c r="I8" s="11" t="str">
        <f>IFERROR(__xludf.DUMMYFUNCTION("GOOGLETRANSLATE(C8, ""en"", ""am"")"),"ሀ. ጨዋታው ያለማቋረጥ ይቀጥላል.ቢ. ተቃዋሚው ከመቀጠሉ በፊት ከጭንቅላቱ የማገገም እድል ይሰጠዋል. ግጥሚያው ቆሟል፣ እና ተቃዋሚው ውድቅ ተደርጓል።ዲ. ተዋጊው እንዲቀጥል ተፈቅዶለታል ግን በጊዜ ቅጣት።")</f>
        <v>ሀ. ጨዋታው ያለማቋረጥ ይቀጥላል.ቢ. ተቃዋሚው ከመቀጠሉ በፊት ከጭንቅላቱ የማገገም እድል ይሰጠዋል. ግጥሚያው ቆሟል፣ እና ተቃዋሚው ውድቅ ተደርጓል።ዲ. ተዋጊው እንዲቀጥል ተፈቅዶለታል ግን በጊዜ ቅጣት።</v>
      </c>
      <c r="J8" s="11" t="str">
        <f>IFERROR(__xludf.DUMMYFUNCTION("GOOGLETRANSLATE(D8, ""en"", ""am"")"),"ተቃዋሚው ከመቀጠልዎ በፊት ከጭንቅላቱ የማገገም እድል ይሰጠዋል.")</f>
        <v>ተቃዋሚው ከመቀጠልዎ በፊት ከጭንቅላቱ የማገገም እድል ይሰጠዋል.</v>
      </c>
      <c r="K8" s="11" t="str">
        <f>IFERROR(__xludf.DUMMYFUNCTION("GOOGLETRANSLATE(E8, ""en"", ""am"")"),"የራስጌር ጉዳዮች ያለ ቅጣት እንዲስተካከሉ ተፈቅዶላቸዋል።")</f>
        <v>የራስጌር ጉዳዮች ያለ ቅጣት እንዲስተካከሉ ተፈቅዶላቸዋል።</v>
      </c>
    </row>
    <row r="9" ht="22.5" customHeight="1">
      <c r="A9" s="10">
        <v>8.0</v>
      </c>
      <c r="B9" s="11" t="s">
        <v>1622</v>
      </c>
      <c r="C9" s="11" t="s">
        <v>1623</v>
      </c>
      <c r="D9" s="11" t="s">
        <v>1609</v>
      </c>
      <c r="E9" s="11" t="s">
        <v>1624</v>
      </c>
      <c r="G9" s="11" t="str">
        <f>IFERROR(__xludf.DUMMYFUNCTION("GOOGLETRANSLATE(A9, ""en"", ""am"")"),"8")</f>
        <v>8</v>
      </c>
      <c r="H9" s="11" t="str">
        <f>IFERROR(__xludf.DUMMYFUNCTION("GOOGLETRANSLATE(B9, ""en"", ""am"")"),"አንድ ታጋይ ተቃዋሚውን መሬት ላይ ይሰካል፣ ተቃዋሚው ግን ፒኑ ሳይጠናቀቅ ለማምለጥ ችሏል። ምን ይሆናል?")</f>
        <v>አንድ ታጋይ ተቃዋሚውን መሬት ላይ ይሰካል፣ ተቃዋሚው ግን ፒኑ ሳይጠናቀቅ ለማምለጥ ችሏል። ምን ይሆናል?</v>
      </c>
      <c r="I9" s="11" t="str">
        <f>IFERROR(__xludf.DUMMYFUNCTION("GOOGLETRANSLATE(C9, ""en"", ""am"")"),"ሀ.ጨዋታው ያለ ቅጣት ቀጥሏል.ቢ. ተቃዋሚው የመልሶ ማጥቃት እድል ይሰጠዋል.ሲ. ተዋጊው ላልተሟላ ፒን.ዲ. ተቃዋሚው ወዲያውኑ ጨዋታውን ያሸንፋል።")</f>
        <v>ሀ.ጨዋታው ያለ ቅጣት ቀጥሏል.ቢ. ተቃዋሚው የመልሶ ማጥቃት እድል ይሰጠዋል.ሲ. ተዋጊው ላልተሟላ ፒን.ዲ. ተቃዋሚው ወዲያውኑ ጨዋታውን ያሸንፋል።</v>
      </c>
      <c r="J9" s="11" t="str">
        <f>IFERROR(__xludf.DUMMYFUNCTION("GOOGLETRANSLATE(D9, ""en"", ""am"")"),"ጨዋታው ያለምንም ቅጣት ቀጥሏል።")</f>
        <v>ጨዋታው ያለምንም ቅጣት ቀጥሏል።</v>
      </c>
      <c r="K9" s="11" t="str">
        <f>IFERROR(__xludf.DUMMYFUNCTION("GOOGLETRANSLATE(E9, ""en"", ""am"")"),"ፒን እንደ ድል ከመቆጠር በፊት መጠናቀቅ አለበት; ግጥሚያው ቀጥሏል።")</f>
        <v>ፒን እንደ ድል ከመቆጠር በፊት መጠናቀቅ አለበት; ግጥሚያው ቀጥሏል።</v>
      </c>
    </row>
    <row r="10" ht="22.5" customHeight="1">
      <c r="A10" s="10">
        <v>9.0</v>
      </c>
      <c r="B10" s="11" t="s">
        <v>1625</v>
      </c>
      <c r="C10" s="11" t="s">
        <v>1626</v>
      </c>
      <c r="D10" s="11" t="s">
        <v>1609</v>
      </c>
      <c r="E10" s="11" t="s">
        <v>1627</v>
      </c>
      <c r="G10" s="11" t="str">
        <f>IFERROR(__xludf.DUMMYFUNCTION("GOOGLETRANSLATE(A10, ""en"", ""am"")"),"9")</f>
        <v>9</v>
      </c>
      <c r="H10" s="11" t="str">
        <f>IFERROR(__xludf.DUMMYFUNCTION("GOOGLETRANSLATE(B10, ""en"", ""am"")"),"አንድ ታጋይ የጭንቅላት መቆለፍን ሞክሯል ነገርግን በትክክል አላስፈፀመውም ይህም ተቃዋሚው እንዲያመልጥ አስችሎታል። ምን ይሆናል?")</f>
        <v>አንድ ታጋይ የጭንቅላት መቆለፍን ሞክሯል ነገርግን በትክክል አላስፈፀመውም ይህም ተቃዋሚው እንዲያመልጥ አስችሎታል። ምን ይሆናል?</v>
      </c>
      <c r="I10" s="11" t="str">
        <f>IFERROR(__xludf.DUMMYFUNCTION("GOOGLETRANSLATE(C10, ""en"", ""am"")"),"ሀ. ተቃዋሚው ላልተሳካው ሙከራ ብቁ አይደለም.ቢ. ጨዋታው ያለምንም ቅጣት ቀጥሏል.ሲ. ተፋላሚው ተገቢ ባልሆነ ቴክኒክ ይቀጣል.ዲ. ተቃዋሚው በማምለጥ ጨዋታውን ያሸንፋል።")</f>
        <v>ሀ. ተቃዋሚው ላልተሳካው ሙከራ ብቁ አይደለም.ቢ. ጨዋታው ያለምንም ቅጣት ቀጥሏል.ሲ. ተፋላሚው ተገቢ ባልሆነ ቴክኒክ ይቀጣል.ዲ. ተቃዋሚው በማምለጥ ጨዋታውን ያሸንፋል።</v>
      </c>
      <c r="J10" s="11" t="str">
        <f>IFERROR(__xludf.DUMMYFUNCTION("GOOGLETRANSLATE(D10, ""en"", ""am"")"),"ጨዋታው ያለምንም ቅጣት ቀጥሏል።")</f>
        <v>ጨዋታው ያለምንም ቅጣት ቀጥሏል።</v>
      </c>
      <c r="K10" s="11" t="str">
        <f>IFERROR(__xludf.DUMMYFUNCTION("GOOGLETRANSLATE(E10, ""en"", ""am"")"),"ያልተሟላ ቴክኒክ ሕገ-ወጥ ድርጊት ካልሆነ ቅጣትን አያስከትልም.")</f>
        <v>ያልተሟላ ቴክኒክ ሕገ-ወጥ ድርጊት ካልሆነ ቅጣትን አያስከትልም.</v>
      </c>
    </row>
    <row r="11" ht="22.5" customHeight="1">
      <c r="A11" s="10">
        <v>10.0</v>
      </c>
      <c r="B11" s="11" t="s">
        <v>1628</v>
      </c>
      <c r="C11" s="11" t="s">
        <v>1629</v>
      </c>
      <c r="D11" s="11" t="s">
        <v>1630</v>
      </c>
      <c r="E11" s="11" t="s">
        <v>1631</v>
      </c>
      <c r="G11" s="11" t="str">
        <f>IFERROR(__xludf.DUMMYFUNCTION("GOOGLETRANSLATE(A11, ""en"", ""am"")"),"10")</f>
        <v>10</v>
      </c>
      <c r="H11" s="11" t="str">
        <f>IFERROR(__xludf.DUMMYFUNCTION("GOOGLETRANSLATE(B11, ""en"", ""am"")"),"አንድ ታጋይ ፍጹም የሆነ ውርወራ ያደርጋል፣ ተጋጣሚያቸው ግን በአስቸጋሪ ሁኔታ ያረፈ እና የተጎዳ ይመስላል። ምን ይሆናል?")</f>
        <v>አንድ ታጋይ ፍጹም የሆነ ውርወራ ያደርጋል፣ ተጋጣሚያቸው ግን በአስቸጋሪ ሁኔታ ያረፈ እና የተጎዳ ይመስላል። ምን ይሆናል?</v>
      </c>
      <c r="I11" s="11" t="str">
        <f>IFERROR(__xludf.DUMMYFUNCTION("GOOGLETRANSLATE(C11, ""en"", ""am"")"),"ሀ.ጨዋታው ቆሟል እና የተጎዳው ተጫዋች በህክምና ባለሙያዎች ክትትል እየተደረገለት ነው.ቢ. ጨዋታው ቀጥሏል ነገር ግን የተጎዳው ተጋጣሚ ተቀጥቷል። ውርወራውን ያከናወነው ተዋጊ ውድቅ ሆነ.ዲ. ግጥሚያው ይቀጥላል, እና የተጎዳው ተቃዋሚ በራሱ ማገገም አለበት.")</f>
        <v>ሀ.ጨዋታው ቆሟል እና የተጎዳው ተጫዋች በህክምና ባለሙያዎች ክትትል እየተደረገለት ነው.ቢ. ጨዋታው ቀጥሏል ነገር ግን የተጎዳው ተጋጣሚ ተቀጥቷል። ውርወራውን ያከናወነው ተዋጊ ውድቅ ሆነ.ዲ. ግጥሚያው ይቀጥላል, እና የተጎዳው ተቃዋሚ በራሱ ማገገም አለበት.</v>
      </c>
      <c r="J11" s="11" t="str">
        <f>IFERROR(__xludf.DUMMYFUNCTION("GOOGLETRANSLATE(D11, ""en"", ""am"")"),"ጨዋታው የቆመ ሲሆን የተጎዳው ተጫዋች በህክምና ባለሙያዎች ክትትል እየተደረገለት ነው።")</f>
        <v>ጨዋታው የቆመ ሲሆን የተጎዳው ተጫዋች በህክምና ባለሙያዎች ክትትል እየተደረገለት ነው።</v>
      </c>
      <c r="K11" s="11" t="str">
        <f>IFERROR(__xludf.DUMMYFUNCTION("GOOGLETRANSLATE(E11, ""en"", ""am"")"),"በትግል ላይ ጉዳቶች የተለመዱ ናቸው, እና የሕክምና ባልደረቦች ሁኔታውን ይገመግማሉ.")</f>
        <v>በትግል ላይ ጉዳቶች የተለመዱ ናቸው, እና የሕክምና ባልደረቦች ሁኔታውን ይገመግማሉ.</v>
      </c>
    </row>
    <row r="12" ht="22.5" customHeight="1">
      <c r="A12" s="10">
        <v>11.0</v>
      </c>
      <c r="B12" s="11" t="s">
        <v>1632</v>
      </c>
      <c r="C12" s="11" t="s">
        <v>1633</v>
      </c>
      <c r="D12" s="11" t="s">
        <v>1609</v>
      </c>
      <c r="E12" s="11" t="s">
        <v>1634</v>
      </c>
      <c r="G12" s="11" t="str">
        <f>IFERROR(__xludf.DUMMYFUNCTION("GOOGLETRANSLATE(A12, ""en"", ""am"")"),"11")</f>
        <v>11</v>
      </c>
      <c r="H12" s="11" t="str">
        <f>IFERROR(__xludf.DUMMYFUNCTION("GOOGLETRANSLATE(B12, ""en"", ""am"")"),"አንድ ታጋይ ተቃዋሚውን ከመሬት ላይ ቢያነሳም በትክክል ሊቆጣጠረው አልቻለም። ምን ይሆናል?")</f>
        <v>አንድ ታጋይ ተቃዋሚውን ከመሬት ላይ ቢያነሳም በትክክል ሊቆጣጠረው አልቻለም። ምን ይሆናል?</v>
      </c>
      <c r="I12" s="11" t="str">
        <f>IFERROR(__xludf.DUMMYFUNCTION("GOOGLETRANSLATE(C12, ""en"", ""am"")"),"ሀ.ተጋዳኙ ተገቢ ያልሆነ ቁጥጥር እንዲደረግ ማስጠንቀቂያ ተሰጥቶታል.ቢ. ተዋጊው እርምጃውን ባለማጠናቀቁ ይቀጣል.ሲ. ጨዋታው ያለ ቅጣት ቀጥሏል ዲ. ተዋጊው ለደካማ ዘዴ ብቁ አይደለም.")</f>
        <v>ሀ.ተጋዳኙ ተገቢ ያልሆነ ቁጥጥር እንዲደረግ ማስጠንቀቂያ ተሰጥቶታል.ቢ. ተዋጊው እርምጃውን ባለማጠናቀቁ ይቀጣል.ሲ. ጨዋታው ያለ ቅጣት ቀጥሏል ዲ. ተዋጊው ለደካማ ዘዴ ብቁ አይደለም.</v>
      </c>
      <c r="J12" s="11" t="str">
        <f>IFERROR(__xludf.DUMMYFUNCTION("GOOGLETRANSLATE(D12, ""en"", ""am"")"),"ጨዋታው ያለምንም ቅጣት ቀጥሏል።")</f>
        <v>ጨዋታው ያለምንም ቅጣት ቀጥሏል።</v>
      </c>
      <c r="K12" s="11" t="str">
        <f>IFERROR(__xludf.DUMMYFUNCTION("GOOGLETRANSLATE(E12, ""en"", ""am"")"),"ተቃዋሚን መቆጣጠር አለመቻል አደገኛ ካልሆነ በስተቀር ተቃዋሚውን አያጠፋውም።")</f>
        <v>ተቃዋሚን መቆጣጠር አለመቻል አደገኛ ካልሆነ በስተቀር ተቃዋሚውን አያጠፋውም።</v>
      </c>
    </row>
    <row r="13" ht="22.5" customHeight="1">
      <c r="A13" s="10">
        <v>12.0</v>
      </c>
      <c r="B13" s="11" t="s">
        <v>1635</v>
      </c>
      <c r="C13" s="11" t="s">
        <v>1636</v>
      </c>
      <c r="D13" s="11" t="s">
        <v>1616</v>
      </c>
      <c r="E13" s="11" t="s">
        <v>1637</v>
      </c>
      <c r="G13" s="11" t="str">
        <f>IFERROR(__xludf.DUMMYFUNCTION("GOOGLETRANSLATE(A13, ""en"", ""am"")"),"12")</f>
        <v>12</v>
      </c>
      <c r="H13" s="11" t="str">
        <f>IFERROR(__xludf.DUMMYFUNCTION("GOOGLETRANSLATE(B13, ""en"", ""am"")"),"ተዋጊ የተቃዋሚውን ክንድ ለመጠምዘዝ ከመጠን ያለፈ ኃይል ይጠቀማል። ምን ይሆናል?")</f>
        <v>ተዋጊ የተቃዋሚውን ክንድ ለመጠምዘዝ ከመጠን ያለፈ ኃይል ይጠቀማል። ምን ይሆናል?</v>
      </c>
      <c r="I13" s="11" t="str">
        <f>IFERROR(__xludf.DUMMYFUNCTION("GOOGLETRANSLATE(C13, ""en"", ""am"")"),"ሀ. ተቃዋሚው ጨዋታውን ያሸንፋል.ቢ. ተዋጊው ከስፖርታዊ ጨዋነት ውጪ በሆነ ድርጊት ይቀጣል። ጨዋታው ለህክምና ምርመራ ቆመ.ዲ. ተዋጊው ለአደገኛ ጨዋታ ተስማሚ አይደለም.")</f>
        <v>ሀ. ተቃዋሚው ጨዋታውን ያሸንፋል.ቢ. ተዋጊው ከስፖርታዊ ጨዋነት ውጪ በሆነ ድርጊት ይቀጣል። ጨዋታው ለህክምና ምርመራ ቆመ.ዲ. ተዋጊው ለአደገኛ ጨዋታ ተስማሚ አይደለም.</v>
      </c>
      <c r="J13" s="11" t="str">
        <f>IFERROR(__xludf.DUMMYFUNCTION("GOOGLETRANSLATE(D13, ""en"", ""am"")"),"ተዋጊው ከስፖርታዊ ጨዋነት ውጪ በሆነ ድርጊት ይቀጣል።")</f>
        <v>ተዋጊው ከስፖርታዊ ጨዋነት ውጪ በሆነ ድርጊት ይቀጣል።</v>
      </c>
      <c r="K13" s="11" t="str">
        <f>IFERROR(__xludf.DUMMYFUNCTION("GOOGLETRANSLATE(E13, ""en"", ""am"")"),"ከመጠን በላይ ኃይል መጠቀም ደህንነቱ ያልተጠበቀ ሆኖ ከተገኘ ቅጣትን ያስከትላል.")</f>
        <v>ከመጠን በላይ ኃይል መጠቀም ደህንነቱ ያልተጠበቀ ሆኖ ከተገኘ ቅጣትን ያስከትላል.</v>
      </c>
    </row>
    <row r="14" ht="22.5" customHeight="1">
      <c r="A14" s="10">
        <v>13.0</v>
      </c>
      <c r="B14" s="11" t="s">
        <v>1638</v>
      </c>
      <c r="C14" s="11" t="s">
        <v>1639</v>
      </c>
      <c r="D14" s="11" t="s">
        <v>1640</v>
      </c>
      <c r="E14" s="11" t="s">
        <v>1641</v>
      </c>
      <c r="G14" s="11" t="str">
        <f>IFERROR(__xludf.DUMMYFUNCTION("GOOGLETRANSLATE(A14, ""en"", ""am"")"),"13")</f>
        <v>13</v>
      </c>
      <c r="H14" s="11" t="str">
        <f>IFERROR(__xludf.DUMMYFUNCTION("GOOGLETRANSLATE(B14, ""en"", ""am"")"),"ተዋጊ በተሳካ ሁኔታ የተጋጣሚውን ትከሻ ለ3 ሰከንድ መሬት ላይ ይሰኩት። ቀጥሎ ምን ይሆናል?")</f>
        <v>ተዋጊ በተሳካ ሁኔታ የተጋጣሚውን ትከሻ ለ3 ሰከንድ መሬት ላይ ይሰኩት። ቀጥሎ ምን ይሆናል?</v>
      </c>
      <c r="I14" s="11" t="str">
        <f>IFERROR(__xludf.DUMMYFUNCTION("GOOGLETRANSLATE(C14, ""en"", ""am"")"),"ሀ. ተቃዋሚው ወዲያውኑ ጨዋታውን ያሸንፋል.ቢ. ተቃዋሚው ከፒን ለማምለጥ ሌላ እድል ያገኛል. ተዋጊው ለፒን ርዝመት ይቀጣል.ዲ. ጨዋታው ያለ አሸናፊነት ቀጥሏል።")</f>
        <v>ሀ. ተቃዋሚው ወዲያውኑ ጨዋታውን ያሸንፋል.ቢ. ተቃዋሚው ከፒን ለማምለጥ ሌላ እድል ያገኛል. ተዋጊው ለፒን ርዝመት ይቀጣል.ዲ. ጨዋታው ያለ አሸናፊነት ቀጥሏል።</v>
      </c>
      <c r="J14" s="11" t="str">
        <f>IFERROR(__xludf.DUMMYFUNCTION("GOOGLETRANSLATE(D14, ""en"", ""am"")"),"ተቃዋሚው ወዲያውኑ ጨዋታውን ያሸንፋል።")</f>
        <v>ተቃዋሚው ወዲያውኑ ጨዋታውን ያሸንፋል።</v>
      </c>
      <c r="K14" s="11" t="str">
        <f>IFERROR(__xludf.DUMMYFUNCTION("GOOGLETRANSLATE(E14, ""en"", ""am"")"),"ለ 3 ሰከንድ የሚቆይ ፒን ለድል ያስገኛል።")</f>
        <v>ለ 3 ሰከንድ የሚቆይ ፒን ለድል ያስገኛል።</v>
      </c>
    </row>
    <row r="15" ht="22.5" customHeight="1">
      <c r="A15" s="10">
        <v>14.0</v>
      </c>
      <c r="B15" s="11" t="s">
        <v>1642</v>
      </c>
      <c r="C15" s="11" t="s">
        <v>1643</v>
      </c>
      <c r="D15" s="11" t="s">
        <v>1644</v>
      </c>
      <c r="E15" s="11" t="s">
        <v>1645</v>
      </c>
      <c r="G15" s="11" t="str">
        <f>IFERROR(__xludf.DUMMYFUNCTION("GOOGLETRANSLATE(A15, ""en"", ""am"")"),"14")</f>
        <v>14</v>
      </c>
      <c r="H15" s="11" t="str">
        <f>IFERROR(__xludf.DUMMYFUNCTION("GOOGLETRANSLATE(B15, ""en"", ""am"")"),"በጨዋታው ወቅት አንድ ታጋይ በእጁ የተጋጣሚውን እግር ይነካል። ምን ይሆናል?")</f>
        <v>በጨዋታው ወቅት አንድ ታጋይ በእጁ የተጋጣሚውን እግር ይነካል። ምን ይሆናል?</v>
      </c>
      <c r="I15" s="11" t="str">
        <f>IFERROR(__xludf.DUMMYFUNCTION("GOOGLETRANSLATE(C15, ""en"", ""am"")"),"ሀ.ጨዋታው ለፍፁም ቅጣት ምት ተቋርጧል። ተዋጊው ላልተገባ ቴክኒክ ማስጠንቀቂያ ተሰጥቷል.ሲ. ተዋጊው የተቃዋሚውን እግር ለመንካት ብቁ አይደለም.ዲ. ጨዋታው ያለምንም ቅጣት ቀጥሏል።")</f>
        <v>ሀ.ጨዋታው ለፍፁም ቅጣት ምት ተቋርጧል። ተዋጊው ላልተገባ ቴክኒክ ማስጠንቀቂያ ተሰጥቷል.ሲ. ተዋጊው የተቃዋሚውን እግር ለመንካት ብቁ አይደለም.ዲ. ጨዋታው ያለምንም ቅጣት ቀጥሏል።</v>
      </c>
      <c r="J15" s="11" t="str">
        <f>IFERROR(__xludf.DUMMYFUNCTION("GOOGLETRANSLATE(D15, ""en"", ""am"")"),"ተዋጊው ላልተገባ ቴክኒክ ማስጠንቀቂያ ተሰጥቷል።")</f>
        <v>ተዋጊው ላልተገባ ቴክኒክ ማስጠንቀቂያ ተሰጥቷል።</v>
      </c>
      <c r="K15" s="11" t="str">
        <f>IFERROR(__xludf.DUMMYFUNCTION("GOOGLETRANSLATE(E15, ""en"", ""am"")"),"የተቃዋሚን እግር ለመንካት ካልሆነ በስተቀር መንካት ሕገወጥ አይደለም።")</f>
        <v>የተቃዋሚን እግር ለመንካት ካልሆነ በስተቀር መንካት ሕገወጥ አይደለም።</v>
      </c>
    </row>
    <row r="16" ht="22.5" customHeight="1">
      <c r="A16" s="10">
        <v>15.0</v>
      </c>
      <c r="B16" s="11" t="s">
        <v>1646</v>
      </c>
      <c r="C16" s="11" t="s">
        <v>1647</v>
      </c>
      <c r="D16" s="11" t="s">
        <v>1609</v>
      </c>
      <c r="E16" s="11" t="s">
        <v>1648</v>
      </c>
      <c r="G16" s="11" t="str">
        <f>IFERROR(__xludf.DUMMYFUNCTION("GOOGLETRANSLATE(A16, ""en"", ""am"")"),"15")</f>
        <v>15</v>
      </c>
      <c r="H16" s="11" t="str">
        <f>IFERROR(__xludf.DUMMYFUNCTION("GOOGLETRANSLATE(B16, ""en"", ""am"")"),"አንድ ተዋጊ በረት ውስጥ ተይዟል፣ ነገር ግን ከመታሰሩ በፊት ለማምለጥ ችሏል። ምን ይሆናል?")</f>
        <v>አንድ ተዋጊ በረት ውስጥ ተይዟል፣ ነገር ግን ከመታሰሩ በፊት ለማምለጥ ችሏል። ምን ይሆናል?</v>
      </c>
      <c r="I16" s="11" t="str">
        <f>IFERROR(__xludf.DUMMYFUNCTION("GOOGLETRANSLATE(C16, ""en"", ""am"")"),"ሀ.ጨዋታው ያለ ቅጣት ቀጥሏል.ቢ. ተቃዋሚው በማምለጥ ጨዋታውን ያሸንፋል። ያመለጠው ታጋይ ፒን ባለመሞከሩ ይቀጣል.ዲ. ማምለጫውን ለመገምገም ጨዋታው በመንገዱ ላይ ቆመ።")</f>
        <v>ሀ.ጨዋታው ያለ ቅጣት ቀጥሏል.ቢ. ተቃዋሚው በማምለጥ ጨዋታውን ያሸንፋል። ያመለጠው ታጋይ ፒን ባለመሞከሩ ይቀጣል.ዲ. ማምለጫውን ለመገምገም ጨዋታው በመንገዱ ላይ ቆመ።</v>
      </c>
      <c r="J16" s="11" t="str">
        <f>IFERROR(__xludf.DUMMYFUNCTION("GOOGLETRANSLATE(D16, ""en"", ""am"")"),"ጨዋታው ያለምንም ቅጣት ቀጥሏል።")</f>
        <v>ጨዋታው ያለምንም ቅጣት ቀጥሏል።</v>
      </c>
      <c r="K16" s="11" t="str">
        <f>IFERROR(__xludf.DUMMYFUNCTION("GOOGLETRANSLATE(E16, ""en"", ""am"")"),"ከመያዣ ማምለጥ ወዲያውኑ ወደ ቅጣት አይመራም.")</f>
        <v>ከመያዣ ማምለጥ ወዲያውኑ ወደ ቅጣት አይመራም.</v>
      </c>
    </row>
    <row r="17" ht="22.5" customHeight="1">
      <c r="A17" s="10">
        <v>16.0</v>
      </c>
      <c r="B17" s="11" t="s">
        <v>1649</v>
      </c>
      <c r="C17" s="11" t="s">
        <v>1650</v>
      </c>
      <c r="D17" s="11" t="s">
        <v>1651</v>
      </c>
      <c r="E17" s="11" t="s">
        <v>1652</v>
      </c>
      <c r="G17" s="11" t="str">
        <f>IFERROR(__xludf.DUMMYFUNCTION("GOOGLETRANSLATE(A17, ""en"", ""am"")"),"16")</f>
        <v>16</v>
      </c>
      <c r="H17" s="11" t="str">
        <f>IFERROR(__xludf.DUMMYFUNCTION("GOOGLETRANSLATE(B17, ""en"", ""am"")"),"አንድ ታጋይ ለማውረድ ሲሞክር ተጋጣሚያቸው በተሳካ ውርወራ ይቆጣጠራሉ። ምን ይሆናል?")</f>
        <v>አንድ ታጋይ ለማውረድ ሲሞክር ተጋጣሚያቸው በተሳካ ውርወራ ይቆጣጠራሉ። ምን ይሆናል?</v>
      </c>
      <c r="I17" s="11" t="str">
        <f>IFERROR(__xludf.DUMMYFUNCTION("GOOGLETRANSLATE(C17, ""en"", ""am"")"),"ሀ. ተዋጊው ማውረዱ ስላልተሳካለት ተቀጥቷል። ተቃዋሚው ወዲያውኑ ጨዋታውን ያሸንፋል.ሲ. ግጥሚያው ቀጥሏል እና ውርወራውን የሰራው ታጋይ አሁን ተቆጣጥሮታል ዲ. ተዋጊው ማውረዱን ባለማጠናቀቁ ማስጠንቀቂያ ተሰጥቷል።")</f>
        <v>ሀ. ተዋጊው ማውረዱ ስላልተሳካለት ተቀጥቷል። ተቃዋሚው ወዲያውኑ ጨዋታውን ያሸንፋል.ሲ. ግጥሚያው ቀጥሏል እና ውርወራውን የሰራው ታጋይ አሁን ተቆጣጥሮታል ዲ. ተዋጊው ማውረዱን ባለማጠናቀቁ ማስጠንቀቂያ ተሰጥቷል።</v>
      </c>
      <c r="J17" s="11" t="str">
        <f>IFERROR(__xludf.DUMMYFUNCTION("GOOGLETRANSLATE(D17, ""en"", ""am"")"),"ግጥሚያው ቀጥሏል እና ውርወራውን የፈጠረው ታጋይ አሁን ተቆጣጥሯል።")</f>
        <v>ግጥሚያው ቀጥሏል እና ውርወራውን የፈጠረው ታጋይ አሁን ተቆጣጥሯል።</v>
      </c>
      <c r="K17" s="11" t="str">
        <f>IFERROR(__xludf.DUMMYFUNCTION("GOOGLETRANSLATE(E17, ""en"", ""am"")"),"የተሳካ የመልሶ ማጥቃት የጨዋታውን ቁጥጥር ያደርጋል።")</f>
        <v>የተሳካ የመልሶ ማጥቃት የጨዋታውን ቁጥጥር ያደርጋል።</v>
      </c>
    </row>
    <row r="18" ht="22.5" customHeight="1">
      <c r="A18" s="10">
        <v>17.0</v>
      </c>
      <c r="B18" s="11" t="s">
        <v>1653</v>
      </c>
      <c r="C18" s="11" t="s">
        <v>1654</v>
      </c>
      <c r="D18" s="11" t="s">
        <v>1655</v>
      </c>
      <c r="E18" s="11" t="s">
        <v>1656</v>
      </c>
      <c r="G18" s="11" t="str">
        <f>IFERROR(__xludf.DUMMYFUNCTION("GOOGLETRANSLATE(A18, ""en"", ""am"")"),"17")</f>
        <v>17</v>
      </c>
      <c r="H18" s="11" t="str">
        <f>IFERROR(__xludf.DUMMYFUNCTION("GOOGLETRANSLATE(B18, ""en"", ""am"")"),"አንድ ታጋይ በድንገት ከቀለበት ወድቋል። ምን ይሆናል?")</f>
        <v>አንድ ታጋይ በድንገት ከቀለበት ወድቋል። ምን ይሆናል?</v>
      </c>
      <c r="I18" s="11" t="str">
        <f>IFERROR(__xludf.DUMMYFUNCTION("GOOGLETRANSLATE(C18, ""en"", ""am"")"),"ሀ. ተቃዋሚው ጨዋታውን ያሸንፋል.ቢ. ተዋጊው ማስጠንቀቂያ ተሰጥቶታል.ሲ. ጨዋታው ያለ ቅጣት ቀጥሏል ዲ. ተዋጊው ብቃት የለውም።")</f>
        <v>ሀ. ተቃዋሚው ጨዋታውን ያሸንፋል.ቢ. ተዋጊው ማስጠንቀቂያ ተሰጥቶታል.ሲ. ጨዋታው ያለ ቅጣት ቀጥሏል ዲ. ተዋጊው ብቃት የለውም።</v>
      </c>
      <c r="J18" s="11" t="str">
        <f>IFERROR(__xludf.DUMMYFUNCTION("GOOGLETRANSLATE(D18, ""en"", ""am"")"),"ተዋጊው ማስጠንቀቂያ ተሰጥቶታል።")</f>
        <v>ተዋጊው ማስጠንቀቂያ ተሰጥቶታል።</v>
      </c>
      <c r="K18" s="11" t="str">
        <f>IFERROR(__xludf.DUMMYFUNCTION("GOOGLETRANSLATE(E18, ""en"", ""am"")"),"ከቀለበት ውጭ መሄድ ብዙውን ጊዜ ማስጠንቀቂያ እንጂ ብቃት ማጣት አይደለም።")</f>
        <v>ከቀለበት ውጭ መሄድ ብዙውን ጊዜ ማስጠንቀቂያ እንጂ ብቃት ማጣት አይደለም።</v>
      </c>
    </row>
    <row r="19" ht="22.5" customHeight="1">
      <c r="A19" s="10">
        <v>18.0</v>
      </c>
      <c r="B19" s="11" t="s">
        <v>1657</v>
      </c>
      <c r="C19" s="11" t="s">
        <v>1658</v>
      </c>
      <c r="D19" s="11" t="s">
        <v>1659</v>
      </c>
      <c r="E19" s="11" t="s">
        <v>1660</v>
      </c>
      <c r="G19" s="11" t="str">
        <f>IFERROR(__xludf.DUMMYFUNCTION("GOOGLETRANSLATE(A19, ""en"", ""am"")"),"18")</f>
        <v>18</v>
      </c>
      <c r="H19" s="11" t="str">
        <f>IFERROR(__xludf.DUMMYFUNCTION("GOOGLETRANSLATE(B19, ""en"", ""am"")"),"በጨዋታው ወቅት ተጋላጭ የሆነ ራስጌተር ይወድቃል። ምን ይሆናል?")</f>
        <v>በጨዋታው ወቅት ተጋላጭ የሆነ ራስጌተር ይወድቃል። ምን ይሆናል?</v>
      </c>
      <c r="I19" s="11" t="str">
        <f>IFERROR(__xludf.DUMMYFUNCTION("GOOGLETRANSLATE(C19, ""en"", ""am"")"),"ሀ. ግጥሚያው የቆመው የጭንቅላት መቁረጫውን ለማረም ነው። ተቃዋሚው ጨዋታውን ያሸንፋል። ጨዋታው ያለማቋረጥ ይቀጥላል.ዲ. ተፋላሚው ተገቢ ያልሆነ የራስ መሸፈኛ በመልበሱ ይቀጣል።")</f>
        <v>ሀ. ግጥሚያው የቆመው የጭንቅላት መቁረጫውን ለማረም ነው። ተቃዋሚው ጨዋታውን ያሸንፋል። ጨዋታው ያለማቋረጥ ይቀጥላል.ዲ. ተፋላሚው ተገቢ ያልሆነ የራስ መሸፈኛ በመልበሱ ይቀጣል።</v>
      </c>
      <c r="J19" s="11" t="str">
        <f>IFERROR(__xludf.DUMMYFUNCTION("GOOGLETRANSLATE(D19, ""en"", ""am"")"),"ግጥሚያው የቆመው የጭንቅላት መቁረጡን ለማረም ነው።")</f>
        <v>ግጥሚያው የቆመው የጭንቅላት መቁረጡን ለማረም ነው።</v>
      </c>
      <c r="K19" s="11" t="str">
        <f>IFERROR(__xludf.DUMMYFUNCTION("GOOGLETRANSLATE(E19, ""en"", ""am"")"),"የጭንቅላት መሸፈኛ ጉዳዮች ያለ ቅጣት እንዲታረሙ ተፈቅዶላቸዋል።")</f>
        <v>የጭንቅላት መሸፈኛ ጉዳዮች ያለ ቅጣት እንዲታረሙ ተፈቅዶላቸዋል።</v>
      </c>
    </row>
    <row r="20" ht="22.5" customHeight="1">
      <c r="A20" s="10">
        <v>19.0</v>
      </c>
      <c r="B20" s="11" t="s">
        <v>1661</v>
      </c>
      <c r="C20" s="11" t="s">
        <v>1662</v>
      </c>
      <c r="D20" s="11" t="s">
        <v>1609</v>
      </c>
      <c r="E20" s="11" t="s">
        <v>1663</v>
      </c>
      <c r="G20" s="11" t="str">
        <f>IFERROR(__xludf.DUMMYFUNCTION("GOOGLETRANSLATE(A20, ""en"", ""am"")"),"19")</f>
        <v>19</v>
      </c>
      <c r="H20" s="11" t="str">
        <f>IFERROR(__xludf.DUMMYFUNCTION("GOOGLETRANSLATE(B20, ""en"", ""am"")"),"አንድ ታጋይ በጭንቅላቱ መቆለፊያ ውስጥ ተይዟል ነገር ግን ነፃ ለማውጣት ችሏል. ቀጥሎ ምን ይሆናል?")</f>
        <v>አንድ ታጋይ በጭንቅላቱ መቆለፊያ ውስጥ ተይዟል ነገር ግን ነፃ ለማውጣት ችሏል. ቀጥሎ ምን ይሆናል?</v>
      </c>
      <c r="I20" s="11" t="str">
        <f>IFERROR(__xludf.DUMMYFUNCTION("GOOGLETRANSLATE(C20, ""en"", ""am"")"),"ሀ.ጨዋታው ያለ ቅጣት ቀጥሏል.ቢ. ታጋዩ መያዣውን በማፍረሱ ይቀጣል.ሲ. ተቃዋሚው የጭንቅላት መቆለፊያውን በመፈጸም ጨዋታውን ያሸንፋል.ዲ. ነፃ የወጣው ተዋጊ መልሶ ለማጥቃት እድል ተሰጥቶታል።")</f>
        <v>ሀ.ጨዋታው ያለ ቅጣት ቀጥሏል.ቢ. ታጋዩ መያዣውን በማፍረሱ ይቀጣል.ሲ. ተቃዋሚው የጭንቅላት መቆለፊያውን በመፈጸም ጨዋታውን ያሸንፋል.ዲ. ነፃ የወጣው ተዋጊ መልሶ ለማጥቃት እድል ተሰጥቶታል።</v>
      </c>
      <c r="J20" s="11" t="str">
        <f>IFERROR(__xludf.DUMMYFUNCTION("GOOGLETRANSLATE(D20, ""en"", ""am"")"),"ጨዋታው ያለምንም ቅጣት ቀጥሏል።")</f>
        <v>ጨዋታው ያለምንም ቅጣት ቀጥሏል።</v>
      </c>
      <c r="K20" s="11" t="str">
        <f>IFERROR(__xludf.DUMMYFUNCTION("GOOGLETRANSLATE(E20, ""en"", ""am"")"),"የጭንቅላት መቆለፍን መስበር ቅጣትን አያስከትልም።")</f>
        <v>የጭንቅላት መቆለፍን መስበር ቅጣትን አያስከትልም።</v>
      </c>
    </row>
    <row r="21" ht="22.5" customHeight="1">
      <c r="A21" s="10">
        <v>20.0</v>
      </c>
      <c r="B21" s="11" t="s">
        <v>1664</v>
      </c>
      <c r="C21" s="11" t="s">
        <v>1665</v>
      </c>
      <c r="D21" s="11" t="s">
        <v>1666</v>
      </c>
      <c r="E21" s="11" t="s">
        <v>1667</v>
      </c>
      <c r="G21" s="11" t="str">
        <f>IFERROR(__xludf.DUMMYFUNCTION("GOOGLETRANSLATE(A21, ""en"", ""am"")"),"20")</f>
        <v>20</v>
      </c>
      <c r="H21" s="11" t="str">
        <f>IFERROR(__xludf.DUMMYFUNCTION("GOOGLETRANSLATE(B21, ""en"", ""am"")"),"አንድ ታጋይ ባላንጣውን ሲሰካ፣ ተቃዋሚው ግን ዳኛው ወደ 3 ከመቁጠሩ በፊት ፒኑን መገልበጥ ችሏል። ምን ይሆናል?")</f>
        <v>አንድ ታጋይ ባላንጣውን ሲሰካ፣ ተቃዋሚው ግን ዳኛው ወደ 3 ከመቁጠሩ በፊት ፒኑን መገልበጥ ችሏል። ምን ይሆናል?</v>
      </c>
      <c r="I21" s="11" t="str">
        <f>IFERROR(__xludf.DUMMYFUNCTION("GOOGLETRANSLATE(C21, ""en"", ""am"")"),"ሀ. ጨዋታው በተቃዋሚው ቁጥጥር ስር ይቀጥላል.ቢ. ተቃዋሚው ፒን ለመሞከር ብቁ አይደለም. ዳኛው ለተገላቢጦሽ አዲስ ቆጠራ ይጀምራል ዲ. ግጥሚያው የቆመው የተገላቢጦሹን ሁኔታ ለመገምገም ነው።")</f>
        <v>ሀ. ጨዋታው በተቃዋሚው ቁጥጥር ስር ይቀጥላል.ቢ. ተቃዋሚው ፒን ለመሞከር ብቁ አይደለም. ዳኛው ለተገላቢጦሽ አዲስ ቆጠራ ይጀምራል ዲ. ግጥሚያው የቆመው የተገላቢጦሹን ሁኔታ ለመገምገም ነው።</v>
      </c>
      <c r="J21" s="11" t="str">
        <f>IFERROR(__xludf.DUMMYFUNCTION("GOOGLETRANSLATE(D21, ""en"", ""am"")"),"ጨዋታው በተቃዋሚው ቁጥጥር ስር ሆኖ ቀጥሏል።")</f>
        <v>ጨዋታው በተቃዋሚው ቁጥጥር ስር ሆኖ ቀጥሏል።</v>
      </c>
      <c r="K21" s="11" t="str">
        <f>IFERROR(__xludf.DUMMYFUNCTION("GOOGLETRANSLATE(E21, ""en"", ""am"")"),"ፒኑን መቀልበስ ተቃዋሚው ግጥሚያውን እንዲቆጣጠር ያስችለዋል።")</f>
        <v>ፒኑን መቀልበስ ተቃዋሚው ግጥሚያውን እንዲቆጣጠር ያስችለዋል።</v>
      </c>
    </row>
    <row r="22" ht="22.5" customHeight="1">
      <c r="A22" s="10">
        <v>21.0</v>
      </c>
      <c r="B22" s="11" t="s">
        <v>1668</v>
      </c>
      <c r="C22" s="11" t="s">
        <v>1669</v>
      </c>
      <c r="D22" s="11" t="s">
        <v>1670</v>
      </c>
      <c r="E22" s="11" t="s">
        <v>1671</v>
      </c>
      <c r="G22" s="11" t="str">
        <f>IFERROR(__xludf.DUMMYFUNCTION("GOOGLETRANSLATE(A22, ""en"", ""am"")"),"21")</f>
        <v>21</v>
      </c>
      <c r="H22" s="11" t="str">
        <f>IFERROR(__xludf.DUMMYFUNCTION("GOOGLETRANSLATE(B22, ""en"", ""am"")"),"አንድ ታጋይ ተፎካካሪውን ከመሬት ላይ ያነሳል, ነገር ግን ተቃዋሚው ትክክለኛውን ውርወራ ከመፈጸሙ በፊት አመለጠ. ምን ይሆናል?")</f>
        <v>አንድ ታጋይ ተፎካካሪውን ከመሬት ላይ ያነሳል, ነገር ግን ተቃዋሚው ትክክለኛውን ውርወራ ከመፈጸሙ በፊት አመለጠ. ምን ይሆናል?</v>
      </c>
      <c r="I22" s="11" t="str">
        <f>IFERROR(__xludf.DUMMYFUNCTION("GOOGLETRANSLATE(C22, ""en"", ""am"")"),"ሀ. ተቃዋሚው ትክክለኛውን ውርወራ ባለማድረጉ ይቀጣል.ቢ. ተቃዋሚው ጨዋታውን የሚያሸንፈው ከሊቨር በማምለጥ ነው። ግጥሚያው ይቀጥላል፣ እና ተቃዋሚው እንደገና ይሞክራል።ዲ. ተፋላሚው ላልተገባ ማንሳት ማስጠንቀቂያ ተሰጥቶታል።")</f>
        <v>ሀ. ተቃዋሚው ትክክለኛውን ውርወራ ባለማድረጉ ይቀጣል.ቢ. ተቃዋሚው ጨዋታውን የሚያሸንፈው ከሊቨር በማምለጥ ነው። ግጥሚያው ይቀጥላል፣ እና ተቃዋሚው እንደገና ይሞክራል።ዲ. ተፋላሚው ላልተገባ ማንሳት ማስጠንቀቂያ ተሰጥቶታል።</v>
      </c>
      <c r="J22" s="11" t="str">
        <f>IFERROR(__xludf.DUMMYFUNCTION("GOOGLETRANSLATE(D22, ""en"", ""am"")"),"ግጥሚያው ይቀጥላል, እና ተቃዋሚው እንደገና ይሞክራል.")</f>
        <v>ግጥሚያው ይቀጥላል, እና ተቃዋሚው እንደገና ይሞክራል.</v>
      </c>
      <c r="K22" s="11" t="str">
        <f>IFERROR(__xludf.DUMMYFUNCTION("GOOGLETRANSLATE(E22, ""en"", ""am"")"),"የተሳካ ቆጣሪ እስካልተገኘ ድረስ ማምለጥ ጨዋታውን አያቆምም።")</f>
        <v>የተሳካ ቆጣሪ እስካልተገኘ ድረስ ማምለጥ ጨዋታውን አያቆምም።</v>
      </c>
    </row>
    <row r="23" ht="22.5" customHeight="1">
      <c r="A23" s="10">
        <v>22.0</v>
      </c>
      <c r="B23" s="11" t="s">
        <v>1672</v>
      </c>
      <c r="C23" s="11" t="s">
        <v>1673</v>
      </c>
      <c r="D23" s="11" t="s">
        <v>1674</v>
      </c>
      <c r="E23" s="11" t="s">
        <v>1675</v>
      </c>
      <c r="G23" s="11" t="str">
        <f>IFERROR(__xludf.DUMMYFUNCTION("GOOGLETRANSLATE(A23, ""en"", ""am"")"),"22")</f>
        <v>22</v>
      </c>
      <c r="H23" s="11" t="str">
        <f>IFERROR(__xludf.DUMMYFUNCTION("GOOGLETRANSLATE(B23, ""en"", ""am"")"),"በጨዋታው ወቅት አንድ ታጋይ በድንገት ተቀናቃኙን ይመታል። ምን ይሆናል?")</f>
        <v>በጨዋታው ወቅት አንድ ታጋይ በድንገት ተቀናቃኙን ይመታል። ምን ይሆናል?</v>
      </c>
      <c r="I23" s="11" t="str">
        <f>IFERROR(__xludf.DUMMYFUNCTION("GOOGLETRANSLATE(C23, ""en"", ""am"")"),"ሀ. ታጋዩ ተቀናቃኙን በመምታቱ ይቀጣል። ጨዋታው ያለምንም ቅጣት ቀጥሏል.ሲ. ታጋዩ ሆን ብሎ ለመምታት ብቁ አይደለም.ዲ. ተቃዋሚው ወዲያውኑ ጨዋታውን ያሸንፋል።")</f>
        <v>ሀ. ታጋዩ ተቀናቃኙን በመምታቱ ይቀጣል። ጨዋታው ያለምንም ቅጣት ቀጥሏል.ሲ. ታጋዩ ሆን ብሎ ለመምታት ብቁ አይደለም.ዲ. ተቃዋሚው ወዲያውኑ ጨዋታውን ያሸንፋል።</v>
      </c>
      <c r="J23" s="11" t="str">
        <f>IFERROR(__xludf.DUMMYFUNCTION("GOOGLETRANSLATE(D23, ""en"", ""am"")"),"ተዋጊው ተቀናቃኙን በመምታቱ ይቀጣል።")</f>
        <v>ተዋጊው ተቀናቃኙን በመምታቱ ይቀጣል።</v>
      </c>
      <c r="K23" s="11" t="str">
        <f>IFERROR(__xludf.DUMMYFUNCTION("GOOGLETRANSLATE(E23, ""en"", ""am"")"),"በድንገት ተቃዋሚን መምታት ማስጠንቀቂያ ያስከትላል።")</f>
        <v>በድንገት ተቃዋሚን መምታት ማስጠንቀቂያ ያስከትላል።</v>
      </c>
    </row>
    <row r="24" ht="22.5" customHeight="1">
      <c r="A24" s="10">
        <v>23.0</v>
      </c>
      <c r="B24" s="11" t="s">
        <v>1676</v>
      </c>
      <c r="C24" s="11" t="s">
        <v>1677</v>
      </c>
      <c r="D24" s="11" t="s">
        <v>1609</v>
      </c>
      <c r="E24" s="11" t="s">
        <v>1678</v>
      </c>
      <c r="G24" s="11" t="str">
        <f>IFERROR(__xludf.DUMMYFUNCTION("GOOGLETRANSLATE(A24, ""en"", ""am"")"),"23")</f>
        <v>23</v>
      </c>
      <c r="H24" s="11" t="str">
        <f>IFERROR(__xludf.DUMMYFUNCTION("GOOGLETRANSLATE(B24, ""en"", ""am"")"),"አንድ ተዋጊ በአጋጣሚ እግሩን በማንሸራተት መሬት ላይ ይወድቃሉ። ቀጥሎ ምን ይሆናል?")</f>
        <v>አንድ ተዋጊ በአጋጣሚ እግሩን በማንሸራተት መሬት ላይ ይወድቃሉ። ቀጥሎ ምን ይሆናል?</v>
      </c>
      <c r="I24" s="11" t="str">
        <f>IFERROR(__xludf.DUMMYFUNCTION("GOOGLETRANSLATE(C24, ""en"", ""am"")"),"ሀ. ተቃዋሚው ለመውደቅ ነጥብ ይሰጠዋል.ቢ. ጨዋታው ያለምንም ቅጣት ቀጥሏል.ሲ. ተዋጊው ሚዛኑን በማጣቱ ይቀጣል.ዲ. ጨዋታው ለህክምና ምርመራ ተቋርጧል።")</f>
        <v>ሀ. ተቃዋሚው ለመውደቅ ነጥብ ይሰጠዋል.ቢ. ጨዋታው ያለምንም ቅጣት ቀጥሏል.ሲ. ተዋጊው ሚዛኑን በማጣቱ ይቀጣል.ዲ. ጨዋታው ለህክምና ምርመራ ተቋርጧል።</v>
      </c>
      <c r="J24" s="11" t="str">
        <f>IFERROR(__xludf.DUMMYFUNCTION("GOOGLETRANSLATE(D24, ""en"", ""am"")"),"ጨዋታው ያለምንም ቅጣት ቀጥሏል።")</f>
        <v>ጨዋታው ያለምንም ቅጣት ቀጥሏል።</v>
      </c>
      <c r="K24" s="11" t="str">
        <f>IFERROR(__xludf.DUMMYFUNCTION("GOOGLETRANSLATE(E24, ""en"", ""am"")"),"ሚዛን በማጣት ምክንያት መውደቅ አደገኛ ካልሆነ ቅጣትን አያስከትልም.")</f>
        <v>ሚዛን በማጣት ምክንያት መውደቅ አደገኛ ካልሆነ ቅጣትን አያስከትልም.</v>
      </c>
    </row>
    <row r="25" ht="22.5" customHeight="1">
      <c r="A25" s="10">
        <v>24.0</v>
      </c>
      <c r="B25" s="11" t="s">
        <v>1679</v>
      </c>
      <c r="C25" s="11" t="s">
        <v>1680</v>
      </c>
      <c r="D25" s="11" t="s">
        <v>1609</v>
      </c>
      <c r="E25" s="11" t="s">
        <v>1681</v>
      </c>
      <c r="G25" s="11" t="str">
        <f>IFERROR(__xludf.DUMMYFUNCTION("GOOGLETRANSLATE(A25, ""en"", ""am"")"),"24")</f>
        <v>24</v>
      </c>
      <c r="H25" s="11" t="str">
        <f>IFERROR(__xludf.DUMMYFUNCTION("GOOGLETRANSLATE(B25, ""en"", ""am"")"),"አንድ ታጋይ የባላንጣውን ትከሻ መሬት ላይ ይሰካል፣ ተቃዋሚው ግን ነፃ ለማውጣት ይሞክራል። ምን ይሆናል?")</f>
        <v>አንድ ታጋይ የባላንጣውን ትከሻ መሬት ላይ ይሰካል፣ ተቃዋሚው ግን ነፃ ለማውጣት ይሞክራል። ምን ይሆናል?</v>
      </c>
      <c r="I25" s="11" t="str">
        <f>IFERROR(__xludf.DUMMYFUNCTION("GOOGLETRANSLATE(C25, ""en"", ""am"")"),"ሀ.ጨዋታው ያለ ቅጣት ቀጥሏል.ቢ. ተዋጊው ወዲያው ያሸንፋል። ተቃዋሚው ከፒን ለማምለጥ እድል ይሰጠዋል.ዲ. ተፋላሚው ፒኑን ባለመያዙ ምክንያት ውድቅ ተደርጓል።")</f>
        <v>ሀ.ጨዋታው ያለ ቅጣት ቀጥሏል.ቢ. ተዋጊው ወዲያው ያሸንፋል። ተቃዋሚው ከፒን ለማምለጥ እድል ይሰጠዋል.ዲ. ተፋላሚው ፒኑን ባለመያዙ ምክንያት ውድቅ ተደርጓል።</v>
      </c>
      <c r="J25" s="11" t="str">
        <f>IFERROR(__xludf.DUMMYFUNCTION("GOOGLETRANSLATE(D25, ""en"", ""am"")"),"ጨዋታው ያለምንም ቅጣት ቀጥሏል።")</f>
        <v>ጨዋታው ያለምንም ቅጣት ቀጥሏል።</v>
      </c>
      <c r="K25" s="11" t="str">
        <f>IFERROR(__xludf.DUMMYFUNCTION("GOOGLETRANSLATE(E25, ""en"", ""am"")"),"ተቃዋሚው ሙሉ በሙሉ እስኪቆጣጠር ድረስ ፒን አይጠናቀቅም።")</f>
        <v>ተቃዋሚው ሙሉ በሙሉ እስኪቆጣጠር ድረስ ፒን አይጠናቀቅም።</v>
      </c>
    </row>
    <row r="26" ht="22.5" customHeight="1">
      <c r="A26" s="10">
        <v>25.0</v>
      </c>
      <c r="B26" s="11" t="s">
        <v>1682</v>
      </c>
      <c r="C26" s="11" t="s">
        <v>1683</v>
      </c>
      <c r="D26" s="11" t="s">
        <v>1666</v>
      </c>
      <c r="E26" s="11" t="s">
        <v>1684</v>
      </c>
      <c r="G26" s="11" t="str">
        <f>IFERROR(__xludf.DUMMYFUNCTION("GOOGLETRANSLATE(A26, ""en"", ""am"")"),"25")</f>
        <v>25</v>
      </c>
      <c r="H26" s="11" t="str">
        <f>IFERROR(__xludf.DUMMYFUNCTION("GOOGLETRANSLATE(B26, ""en"", ""am"")"),"አንድ ታጋይ ፍጹም ውርወራ ያደርጋል፣ ተቃዋሚው ግን ከማረፍ በፊት ያገግማል። ምን ይሆናል?")</f>
        <v>አንድ ታጋይ ፍጹም ውርወራ ያደርጋል፣ ተቃዋሚው ግን ከማረፍ በፊት ያገግማል። ምን ይሆናል?</v>
      </c>
      <c r="I26" s="11" t="str">
        <f>IFERROR(__xludf.DUMMYFUNCTION("GOOGLETRANSLATE(C26, ""en"", ""am"")"),"ሀ. ጨዋታው በተቃዋሚው ቁጥጥር ስር ይቀጥላል.ቢ. ተቃዋሚው ጨዋታውን ያሸንፋል። ተቃዋሚው ለማገገም ይቀጣል.ዲ. ጨዋታው ለተወሰነ ጊዜ ቆሟል።")</f>
        <v>ሀ. ጨዋታው በተቃዋሚው ቁጥጥር ስር ይቀጥላል.ቢ. ተቃዋሚው ጨዋታውን ያሸንፋል። ተቃዋሚው ለማገገም ይቀጣል.ዲ. ጨዋታው ለተወሰነ ጊዜ ቆሟል።</v>
      </c>
      <c r="J26" s="11" t="str">
        <f>IFERROR(__xludf.DUMMYFUNCTION("GOOGLETRANSLATE(D26, ""en"", ""am"")"),"ጨዋታው በተቃዋሚው ቁጥጥር ስር ሆኖ ቀጥሏል።")</f>
        <v>ጨዋታው በተቃዋሚው ቁጥጥር ስር ሆኖ ቀጥሏል።</v>
      </c>
      <c r="K26" s="11" t="str">
        <f>IFERROR(__xludf.DUMMYFUNCTION("GOOGLETRANSLATE(E26, ""en"", ""am"")"),"ከመወርወር ማገገም አውቶማቲክ ቅጣቶችን አያመጣም.")</f>
        <v>ከመወርወር ማገገም አውቶማቲክ ቅጣቶችን አያመጣም.</v>
      </c>
    </row>
    <row r="27" ht="22.5" customHeight="1">
      <c r="A27" s="10">
        <v>26.0</v>
      </c>
      <c r="B27" s="11" t="s">
        <v>1685</v>
      </c>
      <c r="C27" s="11" t="s">
        <v>1686</v>
      </c>
      <c r="D27" s="11" t="s">
        <v>1687</v>
      </c>
      <c r="E27" s="11" t="s">
        <v>1688</v>
      </c>
      <c r="G27" s="11" t="str">
        <f>IFERROR(__xludf.DUMMYFUNCTION("GOOGLETRANSLATE(A27, ""en"", ""am"")"),"26")</f>
        <v>26</v>
      </c>
      <c r="H27" s="11" t="str">
        <f>IFERROR(__xludf.DUMMYFUNCTION("GOOGLETRANSLATE(B27, ""en"", ""am"")"),"ተዋጊው ማነቆውን ይተገብራል ፣ ግን ቁጥጥርን አይጠብቅም። ምን ይሆናል?")</f>
        <v>ተዋጊው ማነቆውን ይተገብራል ፣ ግን ቁጥጥርን አይጠብቅም። ምን ይሆናል?</v>
      </c>
      <c r="I27" s="11" t="str">
        <f>IFERROR(__xludf.DUMMYFUNCTION("GOOGLETRANSLATE(C27, ""en"", ""am"")"),"ሀ. ተቃዋሚው ከወጥመዱ በማምለጥ ጨዋታውን ያሸንፋል። ተዋጊው ማነቆውን መቆጣጠር ባለመቻሉ ይቀጣል.ሲ. ጨዋታው ያለ ቅጣት ቀጥሏል ዲ. ተዋጊው ለህገወጥ ማነቆ ብቁ አይደለም።")</f>
        <v>ሀ. ተቃዋሚው ከወጥመዱ በማምለጥ ጨዋታውን ያሸንፋል። ተዋጊው ማነቆውን መቆጣጠር ባለመቻሉ ይቀጣል.ሲ. ጨዋታው ያለ ቅጣት ቀጥሏል ዲ. ተዋጊው ለህገወጥ ማነቆ ብቁ አይደለም።</v>
      </c>
      <c r="J27" s="11" t="str">
        <f>IFERROR(__xludf.DUMMYFUNCTION("GOOGLETRANSLATE(D27, ""en"", ""am"")"),"ተዋጊው ማነቆውን መቆጣጠር ባለመቻሉ ይቀጣል.")</f>
        <v>ተዋጊው ማነቆውን መቆጣጠር ባለመቻሉ ይቀጣል.</v>
      </c>
      <c r="K27" s="11" t="str">
        <f>IFERROR(__xludf.DUMMYFUNCTION("GOOGLETRANSLATE(E27, ""en"", ""am"")"),"ከቁጥጥር ውጭ የሆነ ማነቆ ቅጣትን ወይም ውድቅ ማድረግን ሊያስከትል ይችላል.")</f>
        <v>ከቁጥጥር ውጭ የሆነ ማነቆ ቅጣትን ወይም ውድቅ ማድረግን ሊያስከትል ይችላል.</v>
      </c>
    </row>
    <row r="28" ht="22.5" customHeight="1">
      <c r="A28" s="10">
        <v>27.0</v>
      </c>
      <c r="B28" s="11" t="s">
        <v>1689</v>
      </c>
      <c r="C28" s="11" t="s">
        <v>1690</v>
      </c>
      <c r="D28" s="11" t="s">
        <v>1691</v>
      </c>
      <c r="E28" s="11" t="s">
        <v>1692</v>
      </c>
      <c r="G28" s="11" t="str">
        <f>IFERROR(__xludf.DUMMYFUNCTION("GOOGLETRANSLATE(A28, ""en"", ""am"")"),"27")</f>
        <v>27</v>
      </c>
      <c r="H28" s="11" t="str">
        <f>IFERROR(__xludf.DUMMYFUNCTION("GOOGLETRANSLATE(B28, ""en"", ""am"")"),"አንድ ተዋጊ በቁጥጥር ስር ዋለ ነገር ግን ነጻ መውጣት ችሏል። ምን ይሆናል?")</f>
        <v>አንድ ተዋጊ በቁጥጥር ስር ዋለ ነገር ግን ነጻ መውጣት ችሏል። ምን ይሆናል?</v>
      </c>
      <c r="I28" s="11" t="str">
        <f>IFERROR(__xludf.DUMMYFUNCTION("GOOGLETRANSLATE(C28, ""en"", ""am"")"),"ሀ. ተቃዋሚው ለመቅረብ ሙከራ ነጥብ ያስመዘግባል። ጨዋታው አሁን በተቆጣጠረው ተዋጊ ቀጥሏል። ተቃዋሚው ግጥሚያውን ለማሸነፍ ሙከራ ያሸንፋል።ዲ. ተዋጊው በህገወጥ መንገድ ለማምለጥ ብቁ አይደለም.")</f>
        <v>ሀ. ተቃዋሚው ለመቅረብ ሙከራ ነጥብ ያስመዘግባል። ጨዋታው አሁን በተቆጣጠረው ተዋጊ ቀጥሏል። ተቃዋሚው ግጥሚያውን ለማሸነፍ ሙከራ ያሸንፋል።ዲ. ተዋጊው በህገወጥ መንገድ ለማምለጥ ብቁ አይደለም.</v>
      </c>
      <c r="J28" s="11" t="str">
        <f>IFERROR(__xludf.DUMMYFUNCTION("GOOGLETRANSLATE(D28, ""en"", ""am"")"),"ጨዋታው አሁን በተቆጣጠረው ተዋጊ ቀጥሏል።")</f>
        <v>ጨዋታው አሁን በተቆጣጠረው ተዋጊ ቀጥሏል።</v>
      </c>
      <c r="K28" s="11" t="str">
        <f>IFERROR(__xludf.DUMMYFUNCTION("GOOGLETRANSLATE(E28, ""en"", ""am"")"),"የማስረከቢያ መያዣን መቀልበስ ለተጋጣሚው የጨዋታውን ቁጥጥር ይሰጣል።")</f>
        <v>የማስረከቢያ መያዣን መቀልበስ ለተጋጣሚው የጨዋታውን ቁጥጥር ይሰጣል።</v>
      </c>
    </row>
    <row r="29" ht="22.5" customHeight="1">
      <c r="A29" s="10">
        <v>28.0</v>
      </c>
      <c r="B29" s="11" t="s">
        <v>1693</v>
      </c>
      <c r="C29" s="11" t="s">
        <v>1694</v>
      </c>
      <c r="D29" s="11" t="s">
        <v>1609</v>
      </c>
      <c r="E29" s="11" t="s">
        <v>1695</v>
      </c>
      <c r="G29" s="11" t="str">
        <f>IFERROR(__xludf.DUMMYFUNCTION("GOOGLETRANSLATE(A29, ""en"", ""am"")"),"28")</f>
        <v>28</v>
      </c>
      <c r="H29" s="11" t="str">
        <f>IFERROR(__xludf.DUMMYFUNCTION("GOOGLETRANSLATE(B29, ""en"", ""am"")"),"አንድ ታጋይ ተጋጣሚውን ከጭንቅላቱ በላይ ቢያነሳም ውርወራውን ማጠናቀቅ አልቻለም። ምን ይሆናል?")</f>
        <v>አንድ ታጋይ ተጋጣሚውን ከጭንቅላቱ በላይ ቢያነሳም ውርወራውን ማጠናቀቅ አልቻለም። ምን ይሆናል?</v>
      </c>
      <c r="I29" s="11" t="str">
        <f>IFERROR(__xludf.DUMMYFUNCTION("GOOGLETRANSLATE(C29, ""en"", ""am"")"),"ሀ.ጨዋታው ያለ ቅጣት ቀጥሏል.ቢ. ተቃዋሚው ወዲያውኑ ጨዋታውን ያሸንፋል.ሲ. ተቃዋሚው ውርወራውን ባለማጠናቀቁ ይቀጣል.ዲ. ተቃዋሚው ውርወራውን ለማስፈጸም ሌላ እድል ያገኛል።")</f>
        <v>ሀ.ጨዋታው ያለ ቅጣት ቀጥሏል.ቢ. ተቃዋሚው ወዲያውኑ ጨዋታውን ያሸንፋል.ሲ. ተቃዋሚው ውርወራውን ባለማጠናቀቁ ይቀጣል.ዲ. ተቃዋሚው ውርወራውን ለማስፈጸም ሌላ እድል ያገኛል።</v>
      </c>
      <c r="J29" s="11" t="str">
        <f>IFERROR(__xludf.DUMMYFUNCTION("GOOGLETRANSLATE(D29, ""en"", ""am"")"),"ጨዋታው ያለምንም ቅጣት ቀጥሏል።")</f>
        <v>ጨዋታው ያለምንም ቅጣት ቀጥሏል።</v>
      </c>
      <c r="K29" s="11" t="str">
        <f>IFERROR(__xludf.DUMMYFUNCTION("GOOGLETRANSLATE(E29, ""en"", ""am"")"),"መወርወርን አለማጠናቀቅ አደገኛ ካልሆነ ቅጣትን አያስከትልም።")</f>
        <v>መወርወርን አለማጠናቀቅ አደገኛ ካልሆነ ቅጣትን አያስከትልም።</v>
      </c>
    </row>
    <row r="30" ht="22.5" customHeight="1">
      <c r="A30" s="10">
        <v>29.0</v>
      </c>
      <c r="B30" s="11" t="s">
        <v>1696</v>
      </c>
      <c r="C30" s="11" t="s">
        <v>1697</v>
      </c>
      <c r="D30" s="11" t="s">
        <v>1670</v>
      </c>
      <c r="E30" s="11" t="s">
        <v>1698</v>
      </c>
      <c r="G30" s="11" t="str">
        <f>IFERROR(__xludf.DUMMYFUNCTION("GOOGLETRANSLATE(A30, ""en"", ""am"")"),"29")</f>
        <v>29</v>
      </c>
      <c r="H30" s="11" t="str">
        <f>IFERROR(__xludf.DUMMYFUNCTION("GOOGLETRANSLATE(B30, ""en"", ""am"")"),"አንድ ታጋይ በፍጥነት ለማውረድ ይሄዳል ነገር ግን ናፈቀ። ምን ይሆናል?")</f>
        <v>አንድ ታጋይ በፍጥነት ለማውረድ ይሄዳል ነገር ግን ናፈቀ። ምን ይሆናል?</v>
      </c>
      <c r="I30" s="11" t="str">
        <f>IFERROR(__xludf.DUMMYFUNCTION("GOOGLETRANSLATE(C30, ""en"", ""am"")"),"ሀ. ግጥሚያው ይቀጥላል፣ እና ተቃዋሚው እንደገና ይሞክራል። ተፋላሚው ማውረዱ ስላልተሳካለት ተቀጥቷል። ተቃዋሚው ጨዋታውን ያሸንፋል.ዲ. የማውረድ ሙከራውን ለመገምገም ጨዋታው ባለበት ቆሟል።")</f>
        <v>ሀ. ግጥሚያው ይቀጥላል፣ እና ተቃዋሚው እንደገና ይሞክራል። ተፋላሚው ማውረዱ ስላልተሳካለት ተቀጥቷል። ተቃዋሚው ጨዋታውን ያሸንፋል.ዲ. የማውረድ ሙከራውን ለመገምገም ጨዋታው ባለበት ቆሟል።</v>
      </c>
      <c r="J30" s="11" t="str">
        <f>IFERROR(__xludf.DUMMYFUNCTION("GOOGLETRANSLATE(D30, ""en"", ""am"")"),"ግጥሚያው ይቀጥላል, እና ተቃዋሚው እንደገና ይሞክራል.")</f>
        <v>ግጥሚያው ይቀጥላል, እና ተቃዋሚው እንደገና ይሞክራል.</v>
      </c>
      <c r="K30" s="11" t="str">
        <f>IFERROR(__xludf.DUMMYFUNCTION("GOOGLETRANSLATE(E30, ""en"", ""am"")"),"ለማውረድ አለመቻል አደገኛ ካልሆነ ቅጣትን አያስከትልም።")</f>
        <v>ለማውረድ አለመቻል አደገኛ ካልሆነ ቅጣትን አያስከትልም።</v>
      </c>
    </row>
    <row r="31" ht="22.5" customHeight="1">
      <c r="A31" s="10">
        <v>30.0</v>
      </c>
      <c r="B31" s="11" t="s">
        <v>1699</v>
      </c>
      <c r="C31" s="11" t="s">
        <v>1700</v>
      </c>
      <c r="D31" s="11" t="s">
        <v>1701</v>
      </c>
      <c r="E31" s="11" t="s">
        <v>1702</v>
      </c>
      <c r="G31" s="11" t="str">
        <f>IFERROR(__xludf.DUMMYFUNCTION("GOOGLETRANSLATE(A31, ""en"", ""am"")"),"30")</f>
        <v>30</v>
      </c>
      <c r="H31" s="11" t="str">
        <f>IFERROR(__xludf.DUMMYFUNCTION("GOOGLETRANSLATE(B31, ""en"", ""am"")"),"አንድ ታጋይ መሰካት ተስኖታል ነገር ግን ተቃዋሚውን መሬት ላይ መቆጣጠር ችሏል። ምን ይሆናል?")</f>
        <v>አንድ ታጋይ መሰካት ተስኖታል ነገር ግን ተቃዋሚውን መሬት ላይ መቆጣጠር ችሏል። ምን ይሆናል?</v>
      </c>
      <c r="I31" s="11" t="str">
        <f>IFERROR(__xludf.DUMMYFUNCTION("GOOGLETRANSLATE(C31, ""en"", ""am"")"),"ሀ. ግጥሚያው ቀጠለ እና ተቃዋሚው ሌላ ፒን ሞከረ። ተቃዋሚው ወዲያውኑ ጨዋታውን ያሸንፋል.ሲ. ተቃዋሚው አመለጠ፣ ግጥሚያውም ይቀጥላል.ዲ. ተፋላሚው ፒኑን ባለማቆየቱ ይቀጣል።")</f>
        <v>ሀ. ግጥሚያው ቀጠለ እና ተቃዋሚው ሌላ ፒን ሞከረ። ተቃዋሚው ወዲያውኑ ጨዋታውን ያሸንፋል.ሲ. ተቃዋሚው አመለጠ፣ ግጥሚያውም ይቀጥላል.ዲ. ተፋላሚው ፒኑን ባለማቆየቱ ይቀጣል።</v>
      </c>
      <c r="J31" s="11" t="str">
        <f>IFERROR(__xludf.DUMMYFUNCTION("GOOGLETRANSLATE(D31, ""en"", ""am"")"),"ጨዋታው ቀጠለ እና ተጋጣሚው ሌላ ፒን ሞክሯል።")</f>
        <v>ጨዋታው ቀጠለ እና ተጋጣሚው ሌላ ፒን ሞክሯል።</v>
      </c>
      <c r="K31" s="11" t="str">
        <f>IFERROR(__xludf.DUMMYFUNCTION("GOOGLETRANSLATE(E31, ""en"", ""am"")"),"ፒን ማድረግ አለመቻል ተቃዋሚው ካላመለጠ በስተቀር ቅጣትን አያስከትልም።")</f>
        <v>ፒን ማድረግ አለመቻል ተቃዋሚው ካላመለጠ በስተቀር ቅጣትን አያስከትልም።</v>
      </c>
    </row>
    <row r="32" ht="22.5" customHeight="1">
      <c r="A32" s="10">
        <v>31.0</v>
      </c>
      <c r="B32" s="11" t="s">
        <v>1703</v>
      </c>
      <c r="C32" s="11" t="s">
        <v>1704</v>
      </c>
      <c r="D32" s="11" t="s">
        <v>1705</v>
      </c>
      <c r="E32" s="11" t="s">
        <v>1706</v>
      </c>
      <c r="G32" s="11" t="str">
        <f>IFERROR(__xludf.DUMMYFUNCTION("GOOGLETRANSLATE(A32, ""en"", ""am"")"),"31")</f>
        <v>31</v>
      </c>
      <c r="H32" s="11" t="str">
        <f>IFERROR(__xludf.DUMMYFUNCTION("GOOGLETRANSLATE(B32, ""en"", ""am"")"),"ተፋላሚው በማውረድ ሙከራ ወቅት ከተጋጣሚው ጋር ይነጋገራል። ምን ይሆናል?")</f>
        <v>ተፋላሚው በማውረድ ሙከራ ወቅት ከተጋጣሚው ጋር ይነጋገራል። ምን ይሆናል?</v>
      </c>
      <c r="I32" s="11" t="str">
        <f>IFERROR(__xludf.DUMMYFUNCTION("GOOGLETRANSLATE(C32, ""en"", ""am"")"),"ሀ. ታጋዩ ህገወጥ ቴክኒኮችን በመጠቀሙ ይቀጣል። ጨዋታው ያለምንም ቅጣት ቀጥሏል.ሲ. ተቃዋሚው ጨዋታውን ያሸንፋል.ዲ. ጨዋታው ለጉዞው ግምገማ ቆሟል።")</f>
        <v>ሀ. ታጋዩ ህገወጥ ቴክኒኮችን በመጠቀሙ ይቀጣል። ጨዋታው ያለምንም ቅጣት ቀጥሏል.ሲ. ተቃዋሚው ጨዋታውን ያሸንፋል.ዲ. ጨዋታው ለጉዞው ግምገማ ቆሟል።</v>
      </c>
      <c r="J32" s="11" t="str">
        <f>IFERROR(__xludf.DUMMYFUNCTION("GOOGLETRANSLATE(D32, ""en"", ""am"")"),"ታጋዩ ህገወጥ ቴክኒኮችን በመጠቀሙ ይቀጣል።")</f>
        <v>ታጋዩ ህገወጥ ቴክኒኮችን በመጠቀሙ ይቀጣል።</v>
      </c>
      <c r="K32" s="11" t="str">
        <f>IFERROR(__xludf.DUMMYFUNCTION("GOOGLETRANSLATE(E32, ""en"", ""am"")"),"በማውረድ አውድ ውስጥ፣ ጉዞዎች ብዙ ጊዜ እንደ ህገወጥ ይቆጠራሉ።")</f>
        <v>በማውረድ አውድ ውስጥ፣ ጉዞዎች ብዙ ጊዜ እንደ ህገወጥ ይቆጠራሉ።</v>
      </c>
    </row>
    <row r="33" ht="22.5" customHeight="1">
      <c r="A33" s="10">
        <v>32.0</v>
      </c>
      <c r="B33" s="11" t="s">
        <v>1707</v>
      </c>
      <c r="C33" s="11" t="s">
        <v>1708</v>
      </c>
      <c r="D33" s="11" t="s">
        <v>1709</v>
      </c>
      <c r="E33" s="11" t="s">
        <v>1710</v>
      </c>
      <c r="G33" s="11" t="str">
        <f>IFERROR(__xludf.DUMMYFUNCTION("GOOGLETRANSLATE(A33, ""en"", ""am"")"),"32")</f>
        <v>32</v>
      </c>
      <c r="H33" s="11" t="str">
        <f>IFERROR(__xludf.DUMMYFUNCTION("GOOGLETRANSLATE(B33, ""en"", ""am"")"),"አንድ ተዋጊ ሱፕሌክስ ይሠራል ነገር ግን በተጋጣሚው ላይ በደህና አያርፍም። ምን ይሆናል?")</f>
        <v>አንድ ተዋጊ ሱፕሌክስ ይሠራል ነገር ግን በተጋጣሚው ላይ በደህና አያርፍም። ምን ይሆናል?</v>
      </c>
      <c r="I33" s="11" t="str">
        <f>IFERROR(__xludf.DUMMYFUNCTION("GOOGLETRANSLATE(C33, ""en"", ""am"")"),"ሀ. ተቃዋሚው ለደህንነት ጥሰቶች ግጥሚያውን ያሸንፋል። ተዋጊው ደህንነቱ ባልተጠበቀ ሱፕሌክስ.ሲ. ጨዋታው ያለ ቅጣት ቀጥሏል ዲ. ጨዋታው ለህክምና ምርመራ ተቋርጧል።")</f>
        <v>ሀ. ተቃዋሚው ለደህንነት ጥሰቶች ግጥሚያውን ያሸንፋል። ተዋጊው ደህንነቱ ባልተጠበቀ ሱፕሌክስ.ሲ. ጨዋታው ያለ ቅጣት ቀጥሏል ዲ. ጨዋታው ለህክምና ምርመራ ተቋርጧል።</v>
      </c>
      <c r="J33" s="11" t="str">
        <f>IFERROR(__xludf.DUMMYFUNCTION("GOOGLETRANSLATE(D33, ""en"", ""am"")"),"ተዋጊው ደህንነቱ ባልተጠበቀ ሱፕሌክስ ተቀጥቷል።")</f>
        <v>ተዋጊው ደህንነቱ ባልተጠበቀ ሱፕሌክስ ተቀጥቷል።</v>
      </c>
      <c r="K33" s="11" t="str">
        <f>IFERROR(__xludf.DUMMYFUNCTION("GOOGLETRANSLATE(E33, ""en"", ""am"")"),"ያልተጠበቀ መወርወር ቅጣቶችን ወይም የሕክምና ግምገማዎችን ሊያስከትል ይችላል.")</f>
        <v>ያልተጠበቀ መወርወር ቅጣቶችን ወይም የሕክምና ግምገማዎችን ሊያስከትል ይችላል.</v>
      </c>
    </row>
    <row r="34" ht="22.5" customHeight="1">
      <c r="A34" s="10">
        <v>33.0</v>
      </c>
      <c r="B34" s="11" t="s">
        <v>1711</v>
      </c>
      <c r="C34" s="11" t="s">
        <v>1712</v>
      </c>
      <c r="D34" s="11" t="s">
        <v>1713</v>
      </c>
      <c r="E34" s="11" t="s">
        <v>1714</v>
      </c>
      <c r="G34" s="11" t="str">
        <f>IFERROR(__xludf.DUMMYFUNCTION("GOOGLETRANSLATE(A34, ""en"", ""am"")"),"33")</f>
        <v>33</v>
      </c>
      <c r="H34" s="11" t="str">
        <f>IFERROR(__xludf.DUMMYFUNCTION("GOOGLETRANSLATE(B34, ""en"", ""am"")"),"አንድ ተዋጊ ሊያወርዳቸው ቢሞክርም በአጋጣሚ ግን ጀርባቸው ላይ አረፈ። ምን ይሆናል?")</f>
        <v>አንድ ተዋጊ ሊያወርዳቸው ቢሞክርም በአጋጣሚ ግን ጀርባቸው ላይ አረፈ። ምን ይሆናል?</v>
      </c>
      <c r="I34" s="11" t="str">
        <f>IFERROR(__xludf.DUMMYFUNCTION("GOOGLETRANSLATE(C34, ""en"", ""am"")"),"ሀ. ተቃዋሚው ወዲያውኑ ጨዋታውን ያሸንፋል.ቢ. ተዋጊው በመውደቅ ይቀጣል.ሲ. ግጥሚያው በተጋጣሚው መቆጣጠሩን ቀጠለ።ዲ. ጨዋታው ለህክምና ቆመ።")</f>
        <v>ሀ. ተቃዋሚው ወዲያውኑ ጨዋታውን ያሸንፋል.ቢ. ተዋጊው በመውደቅ ይቀጣል.ሲ. ግጥሚያው በተጋጣሚው መቆጣጠሩን ቀጠለ።ዲ. ጨዋታው ለህክምና ቆመ።</v>
      </c>
      <c r="J34" s="11" t="str">
        <f>IFERROR(__xludf.DUMMYFUNCTION("GOOGLETRANSLATE(D34, ""en"", ""am"")"),"ጨዋታው በተጋጣሚው ቁጥጥር መደረጉን ቀጥሏል።")</f>
        <v>ጨዋታው በተጋጣሚው ቁጥጥር መደረጉን ቀጥሏል።</v>
      </c>
      <c r="K34" s="11" t="str">
        <f>IFERROR(__xludf.DUMMYFUNCTION("GOOGLETRANSLATE(E34, ""en"", ""am"")"),"በጀርባዎ ላይ መውደቅ አደገኛ ካልሆነ ቅጣትን አያስከትልም.")</f>
        <v>በጀርባዎ ላይ መውደቅ አደገኛ ካልሆነ ቅጣትን አያስከትልም.</v>
      </c>
    </row>
    <row r="35" ht="22.5" customHeight="1">
      <c r="A35" s="10">
        <v>34.0</v>
      </c>
      <c r="B35" s="11" t="s">
        <v>1715</v>
      </c>
      <c r="C35" s="11" t="s">
        <v>1716</v>
      </c>
      <c r="D35" s="11" t="s">
        <v>1666</v>
      </c>
      <c r="E35" s="11" t="s">
        <v>1717</v>
      </c>
      <c r="G35" s="11" t="str">
        <f>IFERROR(__xludf.DUMMYFUNCTION("GOOGLETRANSLATE(A35, ""en"", ""am"")"),"34")</f>
        <v>34</v>
      </c>
      <c r="H35" s="11" t="str">
        <f>IFERROR(__xludf.DUMMYFUNCTION("GOOGLETRANSLATE(B35, ""en"", ""am"")"),"አንድ ታጋይ ለማስገባት ሲሞክር ተቃዋሚው ነፃ ይወጣል። ምን ይሆናል?")</f>
        <v>አንድ ታጋይ ለማስገባት ሲሞክር ተቃዋሚው ነፃ ይወጣል። ምን ይሆናል?</v>
      </c>
      <c r="I35" s="11" t="str">
        <f>IFERROR(__xludf.DUMMYFUNCTION("GOOGLETRANSLATE(C35, ""en"", ""am"")"),"ሀ. ጨዋታው በተቃዋሚው ቁጥጥር ስር ይቀጥላል.ቢ. ተፎካካሪው ላልተሳካው ግቤት ይቀጣል.ሲ. ተጋጣሚው ግጥሚያውን በመሞከር አሸንፏል።ዲ. ግጥሚያው የቆመው ግቤትን ለመገምገም ነው።")</f>
        <v>ሀ. ጨዋታው በተቃዋሚው ቁጥጥር ስር ይቀጥላል.ቢ. ተፎካካሪው ላልተሳካው ግቤት ይቀጣል.ሲ. ተጋጣሚው ግጥሚያውን በመሞከር አሸንፏል።ዲ. ግጥሚያው የቆመው ግቤትን ለመገምገም ነው።</v>
      </c>
      <c r="J35" s="11" t="str">
        <f>IFERROR(__xludf.DUMMYFUNCTION("GOOGLETRANSLATE(D35, ""en"", ""am"")"),"ጨዋታው በተቃዋሚው ቁጥጥር ስር ሆኖ ቀጥሏል።")</f>
        <v>ጨዋታው በተቃዋሚው ቁጥጥር ስር ሆኖ ቀጥሏል።</v>
      </c>
      <c r="K35" s="11" t="str">
        <f>IFERROR(__xludf.DUMMYFUNCTION("GOOGLETRANSLATE(E35, ""en"", ""am"")"),"አለማቅረብ ወደ አውቶማቲክ ቅጣቶች አያመራም።")</f>
        <v>አለማቅረብ ወደ አውቶማቲክ ቅጣቶች አያመራም።</v>
      </c>
    </row>
    <row r="36" ht="22.5" customHeight="1">
      <c r="A36" s="10">
        <v>35.0</v>
      </c>
      <c r="B36" s="11" t="s">
        <v>1718</v>
      </c>
      <c r="C36" s="11" t="s">
        <v>1719</v>
      </c>
      <c r="D36" s="11" t="s">
        <v>1616</v>
      </c>
      <c r="E36" s="11" t="s">
        <v>1720</v>
      </c>
      <c r="G36" s="11" t="str">
        <f>IFERROR(__xludf.DUMMYFUNCTION("GOOGLETRANSLATE(A36, ""en"", ""am"")"),"35")</f>
        <v>35</v>
      </c>
      <c r="H36" s="11" t="str">
        <f>IFERROR(__xludf.DUMMYFUNCTION("GOOGLETRANSLATE(B36, ""en"", ""am"")"),"አንድ ተዋጊ በጨዋታ ጊዜ የተቃዋሚውን ልብስ ይይዛል። ምን ይሆናል?")</f>
        <v>አንድ ተዋጊ በጨዋታ ጊዜ የተቃዋሚውን ልብስ ይይዛል። ምን ይሆናል?</v>
      </c>
      <c r="I36" s="11" t="str">
        <f>IFERROR(__xludf.DUMMYFUNCTION("GOOGLETRANSLATE(C36, ""en"", ""am"")"),"ሀ. ተዋጊው ከስፖርታዊ ጨዋነት ውጪ በሆነ ድርጊት ተቀጥቷል። ተቃዋሚው ጨዋታውን ያሸንፋል። ጨዋታው ያለ ቅጣት ቀጥሏል ዲ. ተዋጊው ለህገወጥ ድርጊቶች ብቁ አይደለም.")</f>
        <v>ሀ. ተዋጊው ከስፖርታዊ ጨዋነት ውጪ በሆነ ድርጊት ተቀጥቷል። ተቃዋሚው ጨዋታውን ያሸንፋል። ጨዋታው ያለ ቅጣት ቀጥሏል ዲ. ተዋጊው ለህገወጥ ድርጊቶች ብቁ አይደለም.</v>
      </c>
      <c r="J36" s="11" t="str">
        <f>IFERROR(__xludf.DUMMYFUNCTION("GOOGLETRANSLATE(D36, ""en"", ""am"")"),"ተዋጊው ከስፖርታዊ ጨዋነት ውጪ በሆነ ድርጊት ይቀጣል።")</f>
        <v>ተዋጊው ከስፖርታዊ ጨዋነት ውጪ በሆነ ድርጊት ይቀጣል።</v>
      </c>
      <c r="K36" s="11" t="str">
        <f>IFERROR(__xludf.DUMMYFUNCTION("GOOGLETRANSLATE(E36, ""en"", ""am"")"),"አልባሳት መያዝ ሕገ-ወጥ እና የገንዘብ ቅጣት የሚጣልበት ነው።")</f>
        <v>አልባሳት መያዝ ሕገ-ወጥ እና የገንዘብ ቅጣት የሚጣልበት ነው።</v>
      </c>
    </row>
    <row r="37" ht="22.5" customHeight="1">
      <c r="A37" s="10">
        <v>36.0</v>
      </c>
      <c r="B37" s="11" t="s">
        <v>1721</v>
      </c>
      <c r="C37" s="11" t="s">
        <v>1722</v>
      </c>
      <c r="D37" s="11" t="s">
        <v>1723</v>
      </c>
      <c r="E37" s="11" t="s">
        <v>1724</v>
      </c>
      <c r="G37" s="11" t="str">
        <f>IFERROR(__xludf.DUMMYFUNCTION("GOOGLETRANSLATE(A37, ""en"", ""am"")"),"36")</f>
        <v>36</v>
      </c>
      <c r="H37" s="11" t="str">
        <f>IFERROR(__xludf.DUMMYFUNCTION("GOOGLETRANSLATE(B37, ""en"", ""am"")"),"አንድ ታጋይ ከፒን ለማምለጥ ቢሞክርም አልተሳካም። ምን ይሆናል?")</f>
        <v>አንድ ታጋይ ከፒን ለማምለጥ ቢሞክርም አልተሳካም። ምን ይሆናል?</v>
      </c>
      <c r="I37" s="11" t="str">
        <f>IFERROR(__xludf.DUMMYFUNCTION("GOOGLETRANSLATE(C37, ""en"", ""am"")"),"ሀ. ተቃዋሚው ፒኑን ለመጠበቅ ግጥሚያውን ያሸንፋል። ግጥሚያው በተጋጣሚው መቆጣጠሩን ቀጠለ። ታጋዩ ማምለጥ ባለመቻሉ ይቀጣል.ዲ. ጨዋታው ለህክምና ግምገማ ቆሟል።")</f>
        <v>ሀ. ተቃዋሚው ፒኑን ለመጠበቅ ግጥሚያውን ያሸንፋል። ግጥሚያው በተጋጣሚው መቆጣጠሩን ቀጠለ። ታጋዩ ማምለጥ ባለመቻሉ ይቀጣል.ዲ. ጨዋታው ለህክምና ግምገማ ቆሟል።</v>
      </c>
      <c r="J37" s="11" t="str">
        <f>IFERROR(__xludf.DUMMYFUNCTION("GOOGLETRANSLATE(D37, ""en"", ""am"")"),"ተቃዋሚው ፒኑን ለመጠበቅ ግጥሚያውን ያሸንፋል።")</f>
        <v>ተቃዋሚው ፒኑን ለመጠበቅ ግጥሚያውን ያሸንፋል።</v>
      </c>
      <c r="K37" s="11" t="str">
        <f>IFERROR(__xludf.DUMMYFUNCTION("GOOGLETRANSLATE(E37, ""en"", ""am"")"),"አንድ ታጋይ ማምለጥ ካልቻለ ግጥሚያው በፒን ድል ያበቃል።")</f>
        <v>አንድ ታጋይ ማምለጥ ካልቻለ ግጥሚያው በፒን ድል ያበቃል።</v>
      </c>
    </row>
    <row r="38" ht="22.5" customHeight="1">
      <c r="A38" s="10">
        <v>37.0</v>
      </c>
      <c r="B38" s="11" t="s">
        <v>1725</v>
      </c>
      <c r="C38" s="11" t="s">
        <v>1726</v>
      </c>
      <c r="D38" s="11" t="s">
        <v>1713</v>
      </c>
      <c r="E38" s="11" t="s">
        <v>1727</v>
      </c>
      <c r="G38" s="11" t="str">
        <f>IFERROR(__xludf.DUMMYFUNCTION("GOOGLETRANSLATE(A38, ""en"", ""am"")"),"37")</f>
        <v>37</v>
      </c>
      <c r="H38" s="11" t="str">
        <f>IFERROR(__xludf.DUMMYFUNCTION("GOOGLETRANSLATE(B38, ""en"", ""am"")"),"ተዋጊ የተቃዋሚን ጥቃት በተሳካ ሁኔታ ይቋቋማል። ምን ይሆናል?")</f>
        <v>ተዋጊ የተቃዋሚን ጥቃት በተሳካ ሁኔታ ይቋቋማል። ምን ይሆናል?</v>
      </c>
      <c r="I38" s="11" t="str">
        <f>IFERROR(__xludf.DUMMYFUNCTION("GOOGLETRANSLATE(C38, ""en"", ""am"")"),"ሀ. ግጥሚያው በተጋጣሚው መቆጣጠሩን ቀጥሏል.ቢ. ተቃዋሚው ጨዋታውን ያሸንፋል። ተዋጊው ቆጣሪውን ነጥብ ይሰጣል.ዲ. ጨዋታው ቆጣሪውን ለመገምገም ይቆማል።")</f>
        <v>ሀ. ግጥሚያው በተጋጣሚው መቆጣጠሩን ቀጥሏል.ቢ. ተቃዋሚው ጨዋታውን ያሸንፋል። ተዋጊው ቆጣሪውን ነጥብ ይሰጣል.ዲ. ጨዋታው ቆጣሪውን ለመገምገም ይቆማል።</v>
      </c>
      <c r="J38" s="11" t="str">
        <f>IFERROR(__xludf.DUMMYFUNCTION("GOOGLETRANSLATE(D38, ""en"", ""am"")"),"ጨዋታው በተጋጣሚው ቁጥጥር መደረጉን ቀጥሏል።")</f>
        <v>ጨዋታው በተጋጣሚው ቁጥጥር መደረጉን ቀጥሏል።</v>
      </c>
      <c r="K38" s="11" t="str">
        <f>IFERROR(__xludf.DUMMYFUNCTION("GOOGLETRANSLATE(E38, ""en"", ""am"")"),"ስኬታማ ቆጣሪዎች ብዙውን ጊዜ ወደ መቆጣጠሪያ ወይም ወደ ነጥቦች ይመራሉ.")</f>
        <v>ስኬታማ ቆጣሪዎች ብዙውን ጊዜ ወደ መቆጣጠሪያ ወይም ወደ ነጥቦች ይመራሉ.</v>
      </c>
    </row>
    <row r="39" ht="22.5" customHeight="1">
      <c r="A39" s="10">
        <v>38.0</v>
      </c>
      <c r="B39" s="11" t="s">
        <v>1728</v>
      </c>
      <c r="C39" s="11" t="s">
        <v>1729</v>
      </c>
      <c r="D39" s="11" t="s">
        <v>1730</v>
      </c>
      <c r="E39" s="11" t="s">
        <v>1731</v>
      </c>
      <c r="G39" s="11" t="str">
        <f>IFERROR(__xludf.DUMMYFUNCTION("GOOGLETRANSLATE(A39, ""en"", ""am"")"),"38")</f>
        <v>38</v>
      </c>
      <c r="H39" s="11" t="str">
        <f>IFERROR(__xludf.DUMMYFUNCTION("GOOGLETRANSLATE(B39, ""en"", ""am"")"),"አንድ ታጋይ በተጋጣሚያቸው የማውረድ ሙከራ ላይ ፈጣን ለውጥ ያደርጋል። ምን ይሆናል?")</f>
        <v>አንድ ታጋይ በተጋጣሚያቸው የማውረድ ሙከራ ላይ ፈጣን ለውጥ ያደርጋል። ምን ይሆናል?</v>
      </c>
      <c r="I39" s="11" t="str">
        <f>IFERROR(__xludf.DUMMYFUNCTION("GOOGLETRANSLATE(C39, ""en"", ""am"")"),"ሀ. ተቃዋሚው ጨዋታውን ለወደቀው ማውረድ ያሸንፋል። ተዋጊው ለተገላቢጦሽ ነጥብ ተሸልሟል.ሲ. ጨዋታው ያለ ቅጣት ቀጥሏል ዲ. ጨዋታው ተቃራኒውን ለመገመት በቦታው ቆመ።")</f>
        <v>ሀ. ተቃዋሚው ጨዋታውን ለወደቀው ማውረድ ያሸንፋል። ተዋጊው ለተገላቢጦሽ ነጥብ ተሸልሟል.ሲ. ጨዋታው ያለ ቅጣት ቀጥሏል ዲ. ጨዋታው ተቃራኒውን ለመገመት በቦታው ቆመ።</v>
      </c>
      <c r="J39" s="11" t="str">
        <f>IFERROR(__xludf.DUMMYFUNCTION("GOOGLETRANSLATE(D39, ""en"", ""am"")"),"ተዋጊው ለተገላቢጦሽ ነጥብ ተሸልሟል።")</f>
        <v>ተዋጊው ለተገላቢጦሽ ነጥብ ተሸልሟል።</v>
      </c>
      <c r="K39" s="11" t="str">
        <f>IFERROR(__xludf.DUMMYFUNCTION("GOOGLETRANSLATE(E39, ""en"", ""am"")"),"ማውረዱን መቀልበስ የተሳካ ቆጣሪ ተደርጎ ይቆጠራል።")</f>
        <v>ማውረዱን መቀልበስ የተሳካ ቆጣሪ ተደርጎ ይቆጠራል።</v>
      </c>
    </row>
    <row r="40" ht="22.5" customHeight="1">
      <c r="A40" s="10">
        <v>39.0</v>
      </c>
      <c r="B40" s="11" t="s">
        <v>1732</v>
      </c>
      <c r="C40" s="11" t="s">
        <v>1733</v>
      </c>
      <c r="D40" s="11" t="s">
        <v>1734</v>
      </c>
      <c r="E40" s="11" t="s">
        <v>1735</v>
      </c>
      <c r="G40" s="11" t="str">
        <f>IFERROR(__xludf.DUMMYFUNCTION("GOOGLETRANSLATE(A40, ""en"", ""am"")"),"39")</f>
        <v>39</v>
      </c>
      <c r="H40" s="11" t="str">
        <f>IFERROR(__xludf.DUMMYFUNCTION("GOOGLETRANSLATE(B40, ""en"", ""am"")"),"አንድ ተዋጊ በጨዋታ ላይ ተጎድቷል። ቀጥሎ ምን ይሆናል?")</f>
        <v>አንድ ተዋጊ በጨዋታ ላይ ተጎድቷል። ቀጥሎ ምን ይሆናል?</v>
      </c>
      <c r="I40" s="11" t="str">
        <f>IFERROR(__xludf.DUMMYFUNCTION("GOOGLETRANSLATE(C40, ""en"", ""am"")"),"ሀ.ጨዋታው የቆመው ለህክምና ግምገማ ነው.ቢ. ተዋጊው ብቃት የለውም.ሲ. ተቃዋሚው በነባሪ ጨዋታውን ያሸንፋል።ዲ. ጨዋታው ያለማቋረጥ ይቀጥላል።")</f>
        <v>ሀ.ጨዋታው የቆመው ለህክምና ግምገማ ነው.ቢ. ተዋጊው ብቃት የለውም.ሲ. ተቃዋሚው በነባሪ ጨዋታውን ያሸንፋል።ዲ. ጨዋታው ያለማቋረጥ ይቀጥላል።</v>
      </c>
      <c r="J40" s="11" t="str">
        <f>IFERROR(__xludf.DUMMYFUNCTION("GOOGLETRANSLATE(D40, ""en"", ""am"")"),"ጨዋታው የቆመው ለህክምና ምርመራ ነው።")</f>
        <v>ጨዋታው የቆመው ለህክምና ምርመራ ነው።</v>
      </c>
      <c r="K40" s="11" t="str">
        <f>IFERROR(__xludf.DUMMYFUNCTION("GOOGLETRANSLATE(E40, ""en"", ""am"")"),"ጉዳቶች በተለምዶ ለህክምና ግምገማ ግጥሚያውን ያቆማሉ።")</f>
        <v>ጉዳቶች በተለምዶ ለህክምና ግምገማ ግጥሚያውን ያቆማሉ።</v>
      </c>
    </row>
    <row r="41" ht="22.5" customHeight="1">
      <c r="A41" s="10">
        <v>40.0</v>
      </c>
      <c r="B41" s="11" t="s">
        <v>1736</v>
      </c>
      <c r="C41" s="11" t="s">
        <v>1737</v>
      </c>
      <c r="D41" s="11" t="s">
        <v>1738</v>
      </c>
      <c r="E41" s="11" t="s">
        <v>1739</v>
      </c>
      <c r="G41" s="11" t="str">
        <f>IFERROR(__xludf.DUMMYFUNCTION("GOOGLETRANSLATE(A41, ""en"", ""am"")"),"40")</f>
        <v>40</v>
      </c>
      <c r="H41" s="11" t="str">
        <f>IFERROR(__xludf.DUMMYFUNCTION("GOOGLETRANSLATE(B41, ""en"", ""am"")"),"አንድ ታጋይ ለመንቀሳቀስ ቢሞክርም በአጋጣሚ ዳኛውን መታው። ምን ይሆናል?")</f>
        <v>አንድ ታጋይ ለመንቀሳቀስ ቢሞክርም በአጋጣሚ ዳኛውን መታው። ምን ይሆናል?</v>
      </c>
      <c r="I41" s="11" t="str">
        <f>IFERROR(__xludf.DUMMYFUNCTION("GOOGLETRANSLATE(C41, ""en"", ""am"")"),"ሀ. ግጥሚያው የቆመው ሁኔታውን ለመገምገም ነው.ቢ. ተዋጊው ብቃት የለውም.ሲ. ዳኛው ጨዋታውን ያሸንፋል.ዲ. ጨዋታው ያለምንም ቅጣት ቀጥሏል።")</f>
        <v>ሀ. ግጥሚያው የቆመው ሁኔታውን ለመገምገም ነው.ቢ. ተዋጊው ብቃት የለውም.ሲ. ዳኛው ጨዋታውን ያሸንፋል.ዲ. ጨዋታው ያለምንም ቅጣት ቀጥሏል።</v>
      </c>
      <c r="J41" s="11" t="str">
        <f>IFERROR(__xludf.DUMMYFUNCTION("GOOGLETRANSLATE(D41, ""en"", ""am"")"),"ሁኔታውን ለመገምገም ጨዋታው ተቋርጧል።")</f>
        <v>ሁኔታውን ለመገምገም ጨዋታው ተቋርጧል።</v>
      </c>
      <c r="K41" s="11" t="str">
        <f>IFERROR(__xludf.DUMMYFUNCTION("GOOGLETRANSLATE(E41, ""en"", ""am"")"),"በአጋጣሚ ዳኛን መምታት ብዙ ጊዜ ይገመገማል እንጂ አይቀጣም።")</f>
        <v>በአጋጣሚ ዳኛን መምታት ብዙ ጊዜ ይገመገማል እንጂ አይቀጣም።</v>
      </c>
    </row>
    <row r="42" ht="22.5" customHeight="1">
      <c r="A42" s="10">
        <v>41.0</v>
      </c>
      <c r="B42" s="11" t="s">
        <v>1740</v>
      </c>
      <c r="C42" s="11" t="s">
        <v>1741</v>
      </c>
      <c r="D42" s="11" t="s">
        <v>1742</v>
      </c>
      <c r="E42" s="11" t="s">
        <v>1743</v>
      </c>
      <c r="G42" s="11" t="str">
        <f>IFERROR(__xludf.DUMMYFUNCTION("GOOGLETRANSLATE(A42, ""en"", ""am"")"),"41")</f>
        <v>41</v>
      </c>
      <c r="H42" s="11" t="str">
        <f>IFERROR(__xludf.DUMMYFUNCTION("GOOGLETRANSLATE(B42, ""en"", ""am"")"),"አንድ ተዋጊ በማውረድ ጊዜ ከመጠን በላይ ኃይል ይጠቀማል። ምን ይሆናል?")</f>
        <v>አንድ ተዋጊ በማውረድ ጊዜ ከመጠን በላይ ኃይል ይጠቀማል። ምን ይሆናል?</v>
      </c>
      <c r="I42" s="11" t="str">
        <f>IFERROR(__xludf.DUMMYFUNCTION("GOOGLETRANSLATE(C42, ""en"", ""am"")"),"ሀ. ተዋጊው ከስፖርታዊ ጨዋነት የጎደለው ድርጊት ውድቅ ተደርጓል። ጨዋታው ያለምንም ቅጣት ቀጥሏል.ሲ. ተቃዋሚው ጨዋታውን ያሸንፋል.ዲ. ተዋጊው ከመጠን በላይ በሆነ ኃይል ይቀጣል.")</f>
        <v>ሀ. ተዋጊው ከስፖርታዊ ጨዋነት የጎደለው ድርጊት ውድቅ ተደርጓል። ጨዋታው ያለምንም ቅጣት ቀጥሏል.ሲ. ተቃዋሚው ጨዋታውን ያሸንፋል.ዲ. ተዋጊው ከመጠን በላይ በሆነ ኃይል ይቀጣል.</v>
      </c>
      <c r="J42" s="11" t="str">
        <f>IFERROR(__xludf.DUMMYFUNCTION("GOOGLETRANSLATE(D42, ""en"", ""am"")"),"ተዋጊው ከመጠን በላይ በሆነ ኃይል ይቀጣል.")</f>
        <v>ተዋጊው ከመጠን በላይ በሆነ ኃይል ይቀጣል.</v>
      </c>
      <c r="K42" s="11" t="str">
        <f>IFERROR(__xludf.DUMMYFUNCTION("GOOGLETRANSLATE(E42, ""en"", ""am"")"),"ከመጠን በላይ ኃይል ወደ ቅጣቶች ወይም ውድቀቶች ሊመራ ይችላል.")</f>
        <v>ከመጠን በላይ ኃይል ወደ ቅጣቶች ወይም ውድቀቶች ሊመራ ይችላል.</v>
      </c>
    </row>
    <row r="43" ht="22.5" customHeight="1">
      <c r="A43" s="10">
        <v>42.0</v>
      </c>
      <c r="B43" s="11" t="s">
        <v>1744</v>
      </c>
      <c r="C43" s="11" t="s">
        <v>1745</v>
      </c>
      <c r="D43" s="11" t="s">
        <v>1713</v>
      </c>
      <c r="E43" s="11" t="s">
        <v>1746</v>
      </c>
      <c r="G43" s="11" t="str">
        <f>IFERROR(__xludf.DUMMYFUNCTION("GOOGLETRANSLATE(A43, ""en"", ""am"")"),"42")</f>
        <v>42</v>
      </c>
      <c r="H43" s="11" t="str">
        <f>IFERROR(__xludf.DUMMYFUNCTION("GOOGLETRANSLATE(B43, ""en"", ""am"")"),"ተጋጣሚው ተፎካካሪውን ያነሳል ግን መወርወሩን አያጠናቅቅም። ምን ይሆናል?")</f>
        <v>ተጋጣሚው ተፎካካሪውን ያነሳል ግን መወርወሩን አያጠናቅቅም። ምን ይሆናል?</v>
      </c>
      <c r="I43" s="11" t="str">
        <f>IFERROR(__xludf.DUMMYFUNCTION("GOOGLETRANSLATE(C43, ""en"", ""am"")"),"ሀ. ግጥሚያው ለድርጊት ግምገማ ይቆማል.B. ተቃዋሚው ያልተሟላ ውርወራ ይቀጣል.ሲ. ግጥሚያው በተጋጣሚው መቆጣጠሩን ቀጠለ።ዲ. ተቃዋሚው ጨዋታውን ያሸንፋል።")</f>
        <v>ሀ. ግጥሚያው ለድርጊት ግምገማ ይቆማል.B. ተቃዋሚው ያልተሟላ ውርወራ ይቀጣል.ሲ. ግጥሚያው በተጋጣሚው መቆጣጠሩን ቀጠለ።ዲ. ተቃዋሚው ጨዋታውን ያሸንፋል።</v>
      </c>
      <c r="J43" s="11" t="str">
        <f>IFERROR(__xludf.DUMMYFUNCTION("GOOGLETRANSLATE(D43, ""en"", ""am"")"),"ጨዋታው በተጋጣሚው ቁጥጥር መደረጉን ቀጥሏል።")</f>
        <v>ጨዋታው በተጋጣሚው ቁጥጥር መደረጉን ቀጥሏል።</v>
      </c>
      <c r="K43" s="11" t="str">
        <f>IFERROR(__xludf.DUMMYFUNCTION("GOOGLETRANSLATE(E43, ""en"", ""am"")"),"ያልተሟላ ውርወራ አደገኛ ካልሆነ ቅጣት አያስከትልም።")</f>
        <v>ያልተሟላ ውርወራ አደገኛ ካልሆነ ቅጣት አያስከትልም።</v>
      </c>
    </row>
    <row r="44" ht="22.5" customHeight="1">
      <c r="A44" s="10">
        <v>43.0</v>
      </c>
      <c r="B44" s="11" t="s">
        <v>1747</v>
      </c>
      <c r="C44" s="11" t="s">
        <v>1748</v>
      </c>
      <c r="D44" s="11" t="s">
        <v>1713</v>
      </c>
      <c r="E44" s="11" t="s">
        <v>1749</v>
      </c>
      <c r="G44" s="11" t="str">
        <f>IFERROR(__xludf.DUMMYFUNCTION("GOOGLETRANSLATE(A44, ""en"", ""am"")"),"43")</f>
        <v>43</v>
      </c>
      <c r="H44" s="11" t="str">
        <f>IFERROR(__xludf.DUMMYFUNCTION("GOOGLETRANSLATE(B44, ""en"", ""am"")"),"አንድ ታጋይ የተሳካ ፒን ይሰራል ነገር ግን የተጋጣሚያቸው ትከሻ ሙሉ በሙሉ አልወረደም። ምን ይሆናል?")</f>
        <v>አንድ ታጋይ የተሳካ ፒን ይሰራል ነገር ግን የተጋጣሚያቸው ትከሻ ሙሉ በሙሉ አልወረደም። ምን ይሆናል?</v>
      </c>
      <c r="I44" s="11" t="str">
        <f>IFERROR(__xludf.DUMMYFUNCTION("GOOGLETRANSLATE(C44, ""en"", ""am"")"),"ሀ. ግጥሚያው በተጋጣሚው መቆጣጠሩን ቀጥሏል.ቢ. ተፋላሚው በትክክል መሰካት ባለመቻሉ ይቀጣል። ግጥሚያው ለፒን ግምገማ ይቆማል።ዲ. ተቃዋሚው ከፒን ያመልጣል.")</f>
        <v>ሀ. ግጥሚያው በተጋጣሚው መቆጣጠሩን ቀጥሏል.ቢ. ተፋላሚው በትክክል መሰካት ባለመቻሉ ይቀጣል። ግጥሚያው ለፒን ግምገማ ይቆማል።ዲ. ተቃዋሚው ከፒን ያመልጣል.</v>
      </c>
      <c r="J44" s="11" t="str">
        <f>IFERROR(__xludf.DUMMYFUNCTION("GOOGLETRANSLATE(D44, ""en"", ""am"")"),"ጨዋታው በተጋጣሚው ቁጥጥር መደረጉን ቀጥሏል።")</f>
        <v>ጨዋታው በተጋጣሚው ቁጥጥር መደረጉን ቀጥሏል።</v>
      </c>
      <c r="K44" s="11" t="str">
        <f>IFERROR(__xludf.DUMMYFUNCTION("GOOGLETRANSLATE(E44, ""en"", ""am"")"),"ፒኑ ሁለቱንም ትከሻዎች ሙሉ በሙሉ ዝቅ ማድረግ ያስፈልገዋል.")</f>
        <v>ፒኑ ሁለቱንም ትከሻዎች ሙሉ በሙሉ ዝቅ ማድረግ ያስፈልገዋል.</v>
      </c>
    </row>
    <row r="45" ht="22.5" customHeight="1">
      <c r="A45" s="10">
        <v>44.0</v>
      </c>
      <c r="B45" s="11" t="s">
        <v>1750</v>
      </c>
      <c r="C45" s="11" t="s">
        <v>1751</v>
      </c>
      <c r="D45" s="11" t="s">
        <v>1752</v>
      </c>
      <c r="E45" s="11" t="s">
        <v>1753</v>
      </c>
      <c r="G45" s="11" t="str">
        <f>IFERROR(__xludf.DUMMYFUNCTION("GOOGLETRANSLATE(A45, ""en"", ""am"")"),"44")</f>
        <v>44</v>
      </c>
      <c r="H45" s="11" t="str">
        <f>IFERROR(__xludf.DUMMYFUNCTION("GOOGLETRANSLATE(B45, ""en"", ""am"")"),"አንድ ታጋይ ማነቆ ሲሰራ ተይዟል። ምን ይሆናል?")</f>
        <v>አንድ ታጋይ ማነቆ ሲሰራ ተይዟል። ምን ይሆናል?</v>
      </c>
      <c r="I45" s="11" t="str">
        <f>IFERROR(__xludf.DUMMYFUNCTION("GOOGLETRANSLATE(C45, ""en"", ""am"")"),"A. ተዋጊው ወዲያውኑ ውድቅ ይደረጋል.B. ጨዋታው ያለምንም ቅጣት ቀጥሏል.ሲ. ተጋዳላይው በህገወጥ ቴክኒኮች ይቀጣል.ዲ. ተቃዋሚው ጨዋታውን ያሸንፋል።")</f>
        <v>A. ተዋጊው ወዲያውኑ ውድቅ ይደረጋል.B. ጨዋታው ያለምንም ቅጣት ቀጥሏል.ሲ. ተጋዳላይው በህገወጥ ቴክኒኮች ይቀጣል.ዲ. ተቃዋሚው ጨዋታውን ያሸንፋል።</v>
      </c>
      <c r="J45" s="11" t="str">
        <f>IFERROR(__xludf.DUMMYFUNCTION("GOOGLETRANSLATE(D45, ""en"", ""am"")"),"ተፋላሚው በህገወጥ ዘዴዎች ይቀጣል።")</f>
        <v>ተፋላሚው በህገወጥ ዘዴዎች ይቀጣል።</v>
      </c>
      <c r="K45" s="11" t="str">
        <f>IFERROR(__xludf.DUMMYFUNCTION("GOOGLETRANSLATE(E45, ""en"", ""am"")"),"ማነቆዎች ሕገ-ወጥ ናቸው እና የገንዘብ ቅጣት ያስከትላሉ.")</f>
        <v>ማነቆዎች ሕገ-ወጥ ናቸው እና የገንዘብ ቅጣት ያስከትላሉ.</v>
      </c>
    </row>
    <row r="46" ht="22.5" customHeight="1">
      <c r="A46" s="10">
        <v>45.0</v>
      </c>
      <c r="B46" s="11" t="s">
        <v>1754</v>
      </c>
      <c r="C46" s="11" t="s">
        <v>1755</v>
      </c>
      <c r="D46" s="11" t="s">
        <v>1756</v>
      </c>
      <c r="E46" s="11" t="s">
        <v>1757</v>
      </c>
      <c r="G46" s="11" t="str">
        <f>IFERROR(__xludf.DUMMYFUNCTION("GOOGLETRANSLATE(A46, ""en"", ""am"")"),"45")</f>
        <v>45</v>
      </c>
      <c r="H46" s="11" t="str">
        <f>IFERROR(__xludf.DUMMYFUNCTION("GOOGLETRANSLATE(B46, ""en"", ""am"")"),"አንድ ታጋይ መገዛት ያዝ ቢልም ተቃዋሚው ደበደበው። ምን ይሆናል?")</f>
        <v>አንድ ታጋይ መገዛት ያዝ ቢልም ተቃዋሚው ደበደበው። ምን ይሆናል?</v>
      </c>
      <c r="I46" s="11" t="str">
        <f>IFERROR(__xludf.DUMMYFUNCTION("GOOGLETRANSLATE(C46, ""en"", ""am"")"),"ሀ. ተቃዋሚው ጨዋታውን ያሸንፋል.ቢ. ጨዋታው ያለምንም ቅጣት ቀጥሏል.ሲ. ተቃዋሚው በመገዛት ያሸንፋል።ዲ. ተዋጊው ላልተሳካ ግቤት ይቀጣል።")</f>
        <v>ሀ. ተቃዋሚው ጨዋታውን ያሸንፋል.ቢ. ጨዋታው ያለምንም ቅጣት ቀጥሏል.ሲ. ተቃዋሚው በመገዛት ያሸንፋል።ዲ. ተዋጊው ላልተሳካ ግቤት ይቀጣል።</v>
      </c>
      <c r="J46" s="11" t="str">
        <f>IFERROR(__xludf.DUMMYFUNCTION("GOOGLETRANSLATE(D46, ""en"", ""am"")"),"ተቃዋሚው ጨዋታውን ያሸንፋል።")</f>
        <v>ተቃዋሚው ጨዋታውን ያሸንፋል።</v>
      </c>
      <c r="K46" s="11" t="str">
        <f>IFERROR(__xludf.DUMMYFUNCTION("GOOGLETRANSLATE(E46, ""en"", ""am"")"),"አስገባ የሚለውን ቁልፍ በመንካት ግጥሚያው ያበቃል።")</f>
        <v>አስገባ የሚለውን ቁልፍ በመንካት ግጥሚያው ያበቃል።</v>
      </c>
    </row>
    <row r="47" ht="22.5" customHeight="1">
      <c r="A47" s="10">
        <v>46.0</v>
      </c>
      <c r="B47" s="11" t="s">
        <v>1758</v>
      </c>
      <c r="C47" s="11" t="s">
        <v>1759</v>
      </c>
      <c r="D47" s="11" t="s">
        <v>1760</v>
      </c>
      <c r="E47" s="11" t="s">
        <v>1761</v>
      </c>
      <c r="G47" s="11" t="str">
        <f>IFERROR(__xludf.DUMMYFUNCTION("GOOGLETRANSLATE(A47, ""en"", ""am"")"),"46")</f>
        <v>46</v>
      </c>
      <c r="H47" s="11" t="str">
        <f>IFERROR(__xludf.DUMMYFUNCTION("GOOGLETRANSLATE(B47, ""en"", ""am"")"),"በጨዋታው ወቅት ተዋጊ እየደማ ነው። ምን ይሆናል?")</f>
        <v>በጨዋታው ወቅት ተዋጊ እየደማ ነው። ምን ይሆናል?</v>
      </c>
      <c r="I47" s="11" t="str">
        <f>IFERROR(__xludf.DUMMYFUNCTION("GOOGLETRANSLATE(C47, ""en"", ""am"")"),"ሀ. ጨዋታው በህክምና ክትትል ቀጥሏል.ቢ. ተዋጊው ብቃት የለውም.ሲ. ተቃዋሚው ጨዋታውን ያሸንፋል.ዲ. ጨዋታው ለህክምና ምርመራ ይቆማል።")</f>
        <v>ሀ. ጨዋታው በህክምና ክትትል ቀጥሏል.ቢ. ተዋጊው ብቃት የለውም.ሲ. ተቃዋሚው ጨዋታውን ያሸንፋል.ዲ. ጨዋታው ለህክምና ምርመራ ይቆማል።</v>
      </c>
      <c r="J47" s="11" t="str">
        <f>IFERROR(__xludf.DUMMYFUNCTION("GOOGLETRANSLATE(D47, ""en"", ""am"")"),"ጨዋታው በህክምና ክትትል ቀጥሏል።")</f>
        <v>ጨዋታው በህክምና ክትትል ቀጥሏል።</v>
      </c>
      <c r="K47" s="11" t="str">
        <f>IFERROR(__xludf.DUMMYFUNCTION("GOOGLETRANSLATE(E47, ""en"", ""am"")"),"ብዙውን ጊዜ የደም መፍሰስ ለግምገማው ጊዜያዊ መቋረጥ ያስከትላል.")</f>
        <v>ብዙውን ጊዜ የደም መፍሰስ ለግምገማው ጊዜያዊ መቋረጥ ያስከትላል.</v>
      </c>
    </row>
    <row r="48" ht="22.5" customHeight="1">
      <c r="A48" s="10">
        <v>47.0</v>
      </c>
      <c r="B48" s="11" t="s">
        <v>1762</v>
      </c>
      <c r="C48" s="11" t="s">
        <v>1763</v>
      </c>
      <c r="D48" s="11" t="s">
        <v>1730</v>
      </c>
      <c r="E48" s="11" t="s">
        <v>1764</v>
      </c>
      <c r="G48" s="11" t="str">
        <f>IFERROR(__xludf.DUMMYFUNCTION("GOOGLETRANSLATE(A48, ""en"", ""am"")"),"47")</f>
        <v>47</v>
      </c>
      <c r="H48" s="11" t="str">
        <f>IFERROR(__xludf.DUMMYFUNCTION("GOOGLETRANSLATE(B48, ""en"", ""am"")"),"አንድ ተዋጊ ሱፕሌክስን ይቆጣጠራል። ምን ይሆናል?")</f>
        <v>አንድ ተዋጊ ሱፕሌክስን ይቆጣጠራል። ምን ይሆናል?</v>
      </c>
      <c r="I48" s="11" t="str">
        <f>IFERROR(__xludf.DUMMYFUNCTION("GOOGLETRANSLATE(C48, ""en"", ""am"")"),"ሀ. ግጥሚያው በተጋጣሚው መቆጣጠሩን ቀጥሏል.ቢ. ተቃዋሚው ጨዋታውን በማገላበጥ ያሸንፋል። ተዋጊው ለተገላቢጦሽ ነጥብ ተሸልሟል.ዲ. እንቅስቃሴውን ለመገምገም ጨዋታው ቆመ።")</f>
        <v>ሀ. ግጥሚያው በተጋጣሚው መቆጣጠሩን ቀጥሏል.ቢ. ተቃዋሚው ጨዋታውን በማገላበጥ ያሸንፋል። ተዋጊው ለተገላቢጦሽ ነጥብ ተሸልሟል.ዲ. እንቅስቃሴውን ለመገምገም ጨዋታው ቆመ።</v>
      </c>
      <c r="J48" s="11" t="str">
        <f>IFERROR(__xludf.DUMMYFUNCTION("GOOGLETRANSLATE(D48, ""en"", ""am"")"),"ተዋጊው ለተገላቢጦሽ ነጥብ ተሸልሟል።")</f>
        <v>ተዋጊው ለተገላቢጦሽ ነጥብ ተሸልሟል።</v>
      </c>
      <c r="K48" s="11" t="str">
        <f>IFERROR(__xludf.DUMMYFUNCTION("GOOGLETRANSLATE(E48, ""en"", ""am"")"),"ሱፕሌክስን መቀልበስ እንደ ስኬታማ እርምጃ ይቆጠራል.")</f>
        <v>ሱፕሌክስን መቀልበስ እንደ ስኬታማ እርምጃ ይቆጠራል.</v>
      </c>
    </row>
    <row r="49" ht="22.5" customHeight="1">
      <c r="A49" s="10">
        <v>48.0</v>
      </c>
      <c r="B49" s="11" t="s">
        <v>1765</v>
      </c>
      <c r="C49" s="11" t="s">
        <v>1766</v>
      </c>
      <c r="D49" s="11" t="s">
        <v>1666</v>
      </c>
      <c r="E49" s="11" t="s">
        <v>1767</v>
      </c>
      <c r="G49" s="11" t="str">
        <f>IFERROR(__xludf.DUMMYFUNCTION("GOOGLETRANSLATE(A49, ""en"", ""am"")"),"48")</f>
        <v>48</v>
      </c>
      <c r="H49" s="11" t="str">
        <f>IFERROR(__xludf.DUMMYFUNCTION("GOOGLETRANSLATE(B49, ""en"", ""am"")"),"ተዋጊ በከፍተኛ ፍጥነት የሚበር እንቅስቃሴን ቢሞክርም አምልጦታል። ምን ይሆናል?")</f>
        <v>ተዋጊ በከፍተኛ ፍጥነት የሚበር እንቅስቃሴን ቢሞክርም አምልጦታል። ምን ይሆናል?</v>
      </c>
      <c r="I49" s="11" t="str">
        <f>IFERROR(__xludf.DUMMYFUNCTION("GOOGLETRANSLATE(C49, ""en"", ""am"")"),"A. ጨዋታው ለህክምና ምርመራ ይቆማል.B. ተዋጊው ድርጊቱን ባለመውሰዱ ይቀጣል.ሲ. ተቃዋሚው ላመለጠው እንቅስቃሴ ነጥብ ያገኛል።ዲ. ጨዋታው በተቃዋሚው ቁጥጥር ስር ሆኖ ቀጥሏል።")</f>
        <v>A. ጨዋታው ለህክምና ምርመራ ይቆማል.B. ተዋጊው ድርጊቱን ባለመውሰዱ ይቀጣል.ሲ. ተቃዋሚው ላመለጠው እንቅስቃሴ ነጥብ ያገኛል።ዲ. ጨዋታው በተቃዋሚው ቁጥጥር ስር ሆኖ ቀጥሏል።</v>
      </c>
      <c r="J49" s="11" t="str">
        <f>IFERROR(__xludf.DUMMYFUNCTION("GOOGLETRANSLATE(D49, ""en"", ""am"")"),"ጨዋታው በተቃዋሚው ቁጥጥር ስር ሆኖ ቀጥሏል።")</f>
        <v>ጨዋታው በተቃዋሚው ቁጥጥር ስር ሆኖ ቀጥሏል።</v>
      </c>
      <c r="K49" s="11" t="str">
        <f>IFERROR(__xludf.DUMMYFUNCTION("GOOGLETRANSLATE(E49, ""en"", ""am"")"),"ከፍተኛ የበረራ እንቅስቃሴ ማጣት ቅጣቶችን አያስከትልም።")</f>
        <v>ከፍተኛ የበረራ እንቅስቃሴ ማጣት ቅጣቶችን አያስከትልም።</v>
      </c>
    </row>
    <row r="50" ht="22.5" customHeight="1">
      <c r="A50" s="10">
        <v>49.0</v>
      </c>
      <c r="B50" s="11" t="s">
        <v>1768</v>
      </c>
      <c r="C50" s="11" t="s">
        <v>1769</v>
      </c>
      <c r="D50" s="11" t="s">
        <v>1770</v>
      </c>
      <c r="E50" s="11" t="s">
        <v>1771</v>
      </c>
      <c r="G50" s="11" t="str">
        <f>IFERROR(__xludf.DUMMYFUNCTION("GOOGLETRANSLATE(A50, ""en"", ""am"")"),"49")</f>
        <v>49</v>
      </c>
      <c r="H50" s="11" t="str">
        <f>IFERROR(__xludf.DUMMYFUNCTION("GOOGLETRANSLATE(B50, ""en"", ""am"")"),"አንድ ታጋይ ከፒን ለማምለጥ ገመዱን ይይዛል። ምን ይሆናል?")</f>
        <v>አንድ ታጋይ ከፒን ለማምለጥ ገመዱን ይይዛል። ምን ይሆናል?</v>
      </c>
      <c r="I50" s="11" t="str">
        <f>IFERROR(__xludf.DUMMYFUNCTION("GOOGLETRANSLATE(C50, ""en"", ""am"")"),"ሀ.ጨዋታው ያለ ቅጣት ቀጥሏል.ቢ. ተቃዋሚው በጨዋታው አሸንፏል.ሲ. ተዋጊው ለህገወጥ ድርጊቶች ብቁ አይደለም.ዲ. ተጋጣሚው ገመዱን በመጠቀሙ ይቀጣል።")</f>
        <v>ሀ.ጨዋታው ያለ ቅጣት ቀጥሏል.ቢ. ተቃዋሚው በጨዋታው አሸንፏል.ሲ. ተዋጊው ለህገወጥ ድርጊቶች ብቁ አይደለም.ዲ. ተጋጣሚው ገመዱን በመጠቀሙ ይቀጣል።</v>
      </c>
      <c r="J50" s="11" t="str">
        <f>IFERROR(__xludf.DUMMYFUNCTION("GOOGLETRANSLATE(D50, ""en"", ""am"")"),"ተጋጣሚው ገመዱን በመጠቀሙ ይቀጣል።")</f>
        <v>ተጋጣሚው ገመዱን በመጠቀሙ ይቀጣል።</v>
      </c>
      <c r="K50" s="11" t="str">
        <f>IFERROR(__xludf.DUMMYFUNCTION("GOOGLETRANSLATE(E50, ""en"", ""am"")"),"ለማምለጥ ገመዱን መጠቀም ህገወጥ እና በህግ የሚያስቀጣ ነው።")</f>
        <v>ለማምለጥ ገመዱን መጠቀም ህገወጥ እና በህግ የሚያስቀጣ ነው።</v>
      </c>
    </row>
    <row r="51" ht="22.5" customHeight="1">
      <c r="A51" s="10">
        <v>50.0</v>
      </c>
      <c r="B51" s="11" t="s">
        <v>1772</v>
      </c>
      <c r="C51" s="11" t="s">
        <v>1773</v>
      </c>
      <c r="D51" s="11" t="s">
        <v>1616</v>
      </c>
      <c r="E51" s="11" t="s">
        <v>1774</v>
      </c>
      <c r="G51" s="11" t="str">
        <f>IFERROR(__xludf.DUMMYFUNCTION("GOOGLETRANSLATE(A51, ""en"", ""am"")"),"50")</f>
        <v>50</v>
      </c>
      <c r="H51" s="11" t="str">
        <f>IFERROR(__xludf.DUMMYFUNCTION("GOOGLETRANSLATE(B51, ""en"", ""am"")"),"አንድ ተዋጊ በጨዋታ ወቅት የተቃዋሚውን ፀጉር ይይዛል። ምን ይሆናል?")</f>
        <v>አንድ ተዋጊ በጨዋታ ወቅት የተቃዋሚውን ፀጉር ይይዛል። ምን ይሆናል?</v>
      </c>
      <c r="I51" s="11" t="str">
        <f>IFERROR(__xludf.DUMMYFUNCTION("GOOGLETRANSLATE(C51, ""en"", ""am"")"),"ሀ. ግጥሚያው የቆመው ሁኔታውን ለመገምገም ነው.ቢ. ተዋጊው ከስፖርታዊ ጨዋነት ውጪ በሆነ ድርጊት ይቀጣል። ተቃዋሚው ጨዋታውን ያሸንፋል.ዲ. ጨዋታው ያለምንም ቅጣት ቀጥሏል።")</f>
        <v>ሀ. ግጥሚያው የቆመው ሁኔታውን ለመገምገም ነው.ቢ. ተዋጊው ከስፖርታዊ ጨዋነት ውጪ በሆነ ድርጊት ይቀጣል። ተቃዋሚው ጨዋታውን ያሸንፋል.ዲ. ጨዋታው ያለምንም ቅጣት ቀጥሏል።</v>
      </c>
      <c r="J51" s="11" t="str">
        <f>IFERROR(__xludf.DUMMYFUNCTION("GOOGLETRANSLATE(D51, ""en"", ""am"")"),"ተዋጊው ከስፖርታዊ ጨዋነት ውጪ በሆነ ድርጊት ይቀጣል።")</f>
        <v>ተዋጊው ከስፖርታዊ ጨዋነት ውጪ በሆነ ድርጊት ይቀጣል።</v>
      </c>
      <c r="K51" s="11" t="str">
        <f>IFERROR(__xludf.DUMMYFUNCTION("GOOGLETRANSLATE(E51, ""en"", ""am"")"),"ፀጉርን መያዝ ሕገ-ወጥ ነው እና የገንዘብ ቅጣት ሊያስከትል ይችላል.")</f>
        <v>ፀጉርን መያዝ ሕገ-ወጥ ነው እና የገንዘብ ቅጣት ሊያስከትል ይችላል.</v>
      </c>
    </row>
    <row r="52" ht="22.5" customHeight="1">
      <c r="A52" s="10">
        <v>51.0</v>
      </c>
      <c r="B52" s="11" t="s">
        <v>1775</v>
      </c>
      <c r="C52" s="11" t="s">
        <v>1776</v>
      </c>
      <c r="D52" s="11" t="s">
        <v>1777</v>
      </c>
      <c r="E52" s="11" t="s">
        <v>1778</v>
      </c>
      <c r="G52" s="11" t="str">
        <f>IFERROR(__xludf.DUMMYFUNCTION("GOOGLETRANSLATE(A52, ""en"", ""am"")"),"51")</f>
        <v>51</v>
      </c>
      <c r="H52" s="11" t="str">
        <f>IFERROR(__xludf.DUMMYFUNCTION("GOOGLETRANSLATE(B52, ""en"", ""am"")"),"አንድ ተዋጊ በመግቢያው ወቅት ህገ-ወጥ እንቅስቃሴ ያደርጋል። ምን ይሆናል?")</f>
        <v>አንድ ተዋጊ በመግቢያው ወቅት ህገ-ወጥ እንቅስቃሴ ያደርጋል። ምን ይሆናል?</v>
      </c>
      <c r="I52" s="11" t="str">
        <f>IFERROR(__xludf.DUMMYFUNCTION("GOOGLETRANSLATE(C52, ""en"", ""am"")"),"A. ተዋጊው ብቃት የለውም.ቢ. ጨዋታው ያለምንም ቅጣት ቀጥሏል.ሲ. ታጋዩ በህገወጥ እርምጃው ተቀጥቷል.ዲ. ግጥሚያው ለግምገማ ይቆማል።")</f>
        <v>A. ተዋጊው ብቃት የለውም.ቢ. ጨዋታው ያለምንም ቅጣት ቀጥሏል.ሲ. ታጋዩ በህገወጥ እርምጃው ተቀጥቷል.ዲ. ግጥሚያው ለግምገማ ይቆማል።</v>
      </c>
      <c r="J52" s="11" t="str">
        <f>IFERROR(__xludf.DUMMYFUNCTION("GOOGLETRANSLATE(D52, ""en"", ""am"")"),"ታጋዩ በህገ ወጥ እርምጃ ተቀጣ።")</f>
        <v>ታጋዩ በህገ ወጥ እርምጃ ተቀጣ።</v>
      </c>
      <c r="K52" s="11" t="str">
        <f>IFERROR(__xludf.DUMMYFUNCTION("GOOGLETRANSLATE(E52, ""en"", ""am"")"),"ሕገ-ወጥ የመላኪያ ዘዴዎች ቅጣቶችን ያስከትላሉ.")</f>
        <v>ሕገ-ወጥ የመላኪያ ዘዴዎች ቅጣቶችን ያስከትላሉ.</v>
      </c>
    </row>
    <row r="53" ht="22.5" customHeight="1">
      <c r="A53" s="10">
        <v>52.0</v>
      </c>
      <c r="B53" s="11" t="s">
        <v>1779</v>
      </c>
      <c r="C53" s="11" t="s">
        <v>1780</v>
      </c>
      <c r="D53" s="11" t="s">
        <v>1781</v>
      </c>
      <c r="E53" s="11" t="s">
        <v>1782</v>
      </c>
      <c r="G53" s="11" t="str">
        <f>IFERROR(__xludf.DUMMYFUNCTION("GOOGLETRANSLATE(A53, ""en"", ""am"")"),"52")</f>
        <v>52</v>
      </c>
      <c r="H53" s="11" t="str">
        <f>IFERROR(__xludf.DUMMYFUNCTION("GOOGLETRANSLATE(B53, ""en"", ""am"")"),"ደወሉ ከተደወለ በኋላ ተዋጊው ተቃዋሚውን ያጠቃል። ምን ይሆናል?")</f>
        <v>ደወሉ ከተደወለ በኋላ ተዋጊው ተቃዋሚውን ያጠቃል። ምን ይሆናል?</v>
      </c>
      <c r="I53" s="11" t="str">
        <f>IFERROR(__xludf.DUMMYFUNCTION("GOOGLETRANSLATE(C53, ""en"", ""am"")"),"ሀ. ተቃዋሚው ውድድሩን ከውድድሩ ውጪ አሸንፏል.B. ጨዋታው በማስጠንቀቂያ ቀጠለ.ሲ. ተዋጊው ከደወል በኋላ ለማጥቃት ብቁ አይደለም.ዲ. ሁኔታውን ለመገምገም ጨዋታው ተቋርጧል።")</f>
        <v>ሀ. ተቃዋሚው ውድድሩን ከውድድሩ ውጪ አሸንፏል.B. ጨዋታው በማስጠንቀቂያ ቀጠለ.ሲ. ተዋጊው ከደወል በኋላ ለማጥቃት ብቁ አይደለም.ዲ. ሁኔታውን ለመገምገም ጨዋታው ተቋርጧል።</v>
      </c>
      <c r="J53" s="11" t="str">
        <f>IFERROR(__xludf.DUMMYFUNCTION("GOOGLETRANSLATE(D53, ""en"", ""am"")"),"ተዋጊው ከደወል በኋላ ለማጥቃት ብቁ አይደለም.")</f>
        <v>ተዋጊው ከደወል በኋላ ለማጥቃት ብቁ አይደለም.</v>
      </c>
      <c r="K53" s="11" t="str">
        <f>IFERROR(__xludf.DUMMYFUNCTION("GOOGLETRANSLATE(E53, ""en"", ""am"")"),"ከጥሪው በኋላ ማጥቃት ውድቅ ያደርገዋል።")</f>
        <v>ከጥሪው በኋላ ማጥቃት ውድቅ ያደርገዋል።</v>
      </c>
    </row>
    <row r="54" ht="22.5" customHeight="1">
      <c r="A54" s="10">
        <v>53.0</v>
      </c>
      <c r="B54" s="11" t="s">
        <v>1783</v>
      </c>
      <c r="C54" s="11" t="s">
        <v>1784</v>
      </c>
      <c r="D54" s="11" t="s">
        <v>1785</v>
      </c>
      <c r="E54" s="11" t="s">
        <v>1786</v>
      </c>
      <c r="G54" s="11" t="str">
        <f>IFERROR(__xludf.DUMMYFUNCTION("GOOGLETRANSLATE(A54, ""en"", ""am"")"),"53")</f>
        <v>53</v>
      </c>
      <c r="H54" s="11" t="str">
        <f>IFERROR(__xludf.DUMMYFUNCTION("GOOGLETRANSLATE(B54, ""en"", ""am"")"),"አንድ ተዋጊ የተሳካ እንቅስቃሴ ሲያደርግ ግን ተጎድቷል። ምን ይሆናል?")</f>
        <v>አንድ ተዋጊ የተሳካ እንቅስቃሴ ሲያደርግ ግን ተጎድቷል። ምን ይሆናል?</v>
      </c>
      <c r="I54" s="11" t="str">
        <f>IFERROR(__xludf.DUMMYFUNCTION("GOOGLETRANSLATE(C54, ""en"", ""am"")"),"ሀ ግጥሚያው የቆመው ለህክምና ግምገማ ነው። ጨዋታው ያለምንም ቅጣት ቀጥሏል.ሲ. ተቃዋሚው ላለመቀጠል ብቁ ሆኗል.ዲ. ተቃዋሚው በነባሪ ጨዋታውን ያሸንፋል።")</f>
        <v>ሀ ግጥሚያው የቆመው ለህክምና ግምገማ ነው። ጨዋታው ያለምንም ቅጣት ቀጥሏል.ሲ. ተቃዋሚው ላለመቀጠል ብቁ ሆኗል.ዲ. ተቃዋሚው በነባሪ ጨዋታውን ያሸንፋል።</v>
      </c>
      <c r="J54" s="11" t="str">
        <f>IFERROR(__xludf.DUMMYFUNCTION("GOOGLETRANSLATE(D54, ""en"", ""am"")"),"ጨዋታው የቆመው ለህክምና ምርመራ ነው።")</f>
        <v>ጨዋታው የቆመው ለህክምና ምርመራ ነው።</v>
      </c>
      <c r="K54" s="11" t="str">
        <f>IFERROR(__xludf.DUMMYFUNCTION("GOOGLETRANSLATE(E54, ""en"", ""am"")"),"ጉዳቶች ብዙውን ጊዜ ለህክምና ግምገማ ግጥሚያውን ያቆማሉ።")</f>
        <v>ጉዳቶች ብዙውን ጊዜ ለህክምና ግምገማ ግጥሚያውን ያቆማሉ።</v>
      </c>
    </row>
    <row r="55" ht="22.5" customHeight="1">
      <c r="A55" s="10">
        <v>54.0</v>
      </c>
      <c r="B55" s="11" t="s">
        <v>1787</v>
      </c>
      <c r="C55" s="11" t="s">
        <v>1788</v>
      </c>
      <c r="D55" s="11" t="s">
        <v>1789</v>
      </c>
      <c r="E55" s="11" t="s">
        <v>1790</v>
      </c>
      <c r="G55" s="11" t="str">
        <f>IFERROR(__xludf.DUMMYFUNCTION("GOOGLETRANSLATE(A55, ""en"", ""am"")"),"54")</f>
        <v>54</v>
      </c>
      <c r="H55" s="11" t="str">
        <f>IFERROR(__xludf.DUMMYFUNCTION("GOOGLETRANSLATE(B55, ""en"", ""am"")"),"አንድ ታጋይ በውድድር ጊዜ ባዕድ ነገሮችን ሲጠቀም ተይዟል። ምን ይሆናል?")</f>
        <v>አንድ ታጋይ በውድድር ጊዜ ባዕድ ነገሮችን ሲጠቀም ተይዟል። ምን ይሆናል?</v>
      </c>
      <c r="I55" s="11" t="str">
        <f>IFERROR(__xludf.DUMMYFUNCTION("GOOGLETRANSLATE(C55, ""en"", ""am"")"),"ሀ. ተዋጊው ለህገወጥ ድርጊቶች ብቁ አይደለም.ቢ. ጨዋታው ያለምንም ቅጣት ቀጥሏል.ሲ. ተዋጊው ባዕድ ነገሮችን በመጠቀሙ ይቀጣል.ዲ. ተቃዋሚው ጨዋታውን ያሸንፋል።")</f>
        <v>ሀ. ተዋጊው ለህገወጥ ድርጊቶች ብቁ አይደለም.ቢ. ጨዋታው ያለምንም ቅጣት ቀጥሏል.ሲ. ተዋጊው ባዕድ ነገሮችን በመጠቀሙ ይቀጣል.ዲ. ተቃዋሚው ጨዋታውን ያሸንፋል።</v>
      </c>
      <c r="J55" s="11" t="str">
        <f>IFERROR(__xludf.DUMMYFUNCTION("GOOGLETRANSLATE(D55, ""en"", ""am"")"),"ተዋጊው ለህገወጥ ድርጊቶች ብቁ አይደለም.")</f>
        <v>ተዋጊው ለህገወጥ ድርጊቶች ብቁ አይደለም.</v>
      </c>
      <c r="K55" s="11" t="str">
        <f>IFERROR(__xludf.DUMMYFUNCTION("GOOGLETRANSLATE(E55, ""en"", ""am"")"),"የውጭ ቁሳቁሶችን መጠቀም ወደ ውድቀት ይመራል.")</f>
        <v>የውጭ ቁሳቁሶችን መጠቀም ወደ ውድቀት ይመራል.</v>
      </c>
    </row>
    <row r="56" ht="22.5" customHeight="1">
      <c r="A56" s="10">
        <v>55.0</v>
      </c>
      <c r="B56" s="11" t="s">
        <v>1791</v>
      </c>
      <c r="C56" s="11" t="s">
        <v>1792</v>
      </c>
      <c r="D56" s="11" t="s">
        <v>1793</v>
      </c>
      <c r="E56" s="11" t="s">
        <v>1794</v>
      </c>
      <c r="G56" s="11" t="str">
        <f>IFERROR(__xludf.DUMMYFUNCTION("GOOGLETRANSLATE(A56, ""en"", ""am"")"),"55")</f>
        <v>55</v>
      </c>
      <c r="H56" s="11" t="str">
        <f>IFERROR(__xludf.DUMMYFUNCTION("GOOGLETRANSLATE(B56, ""en"", ""am"")"),"አንድ ተዋጊ ከመገዛት ለማምለጥ ይሞክራል ነገር ግን ወደ ውጭ ይመታል። ምን ይሆናል?")</f>
        <v>አንድ ተዋጊ ከመገዛት ለማምለጥ ይሞክራል ነገር ግን ወደ ውጭ ይመታል። ምን ይሆናል?</v>
      </c>
      <c r="I56" s="11" t="str">
        <f>IFERROR(__xludf.DUMMYFUNCTION("GOOGLETRANSLATE(C56, ""en"", ""am"")"),"ሀ. ተቃዋሚው አሸንፏል.ቢ. ታጋዩ በመነካቱ ይቀጣል.ሲ. ግጥሚያው በተጋጣሚው መቆጣጠሩን ቀጠለ።ዲ. ተዋጊው መውደቅን በመቃወም ያሸንፋል።")</f>
        <v>ሀ. ተቃዋሚው አሸንፏል.ቢ. ታጋዩ በመነካቱ ይቀጣል.ሲ. ግጥሚያው በተጋጣሚው መቆጣጠሩን ቀጠለ።ዲ. ተዋጊው መውደቅን በመቃወም ያሸንፋል።</v>
      </c>
      <c r="J56" s="11" t="str">
        <f>IFERROR(__xludf.DUMMYFUNCTION("GOOGLETRANSLATE(D56, ""en"", ""am"")"),"ተጋጣሚው በጨዋታው አሸንፏል።")</f>
        <v>ተጋጣሚው በጨዋታው አሸንፏል።</v>
      </c>
      <c r="K56" s="11" t="str">
        <f>IFERROR(__xludf.DUMMYFUNCTION("GOOGLETRANSLATE(E56, ""en"", ""am"")"),"ማንኳኳት ጨዋታውን ተቃዋሚውን በመደገፍ ያበቃል።")</f>
        <v>ማንኳኳት ጨዋታውን ተቃዋሚውን በመደገፍ ያበቃል።</v>
      </c>
    </row>
    <row r="57" ht="22.5" customHeight="1">
      <c r="A57" s="10">
        <v>56.0</v>
      </c>
      <c r="B57" s="11" t="s">
        <v>1795</v>
      </c>
      <c r="C57" s="11" t="s">
        <v>1796</v>
      </c>
      <c r="D57" s="11" t="s">
        <v>1756</v>
      </c>
      <c r="E57" s="11" t="s">
        <v>1797</v>
      </c>
      <c r="G57" s="11" t="str">
        <f>IFERROR(__xludf.DUMMYFUNCTION("GOOGLETRANSLATE(A57, ""en"", ""am"")"),"56")</f>
        <v>56</v>
      </c>
      <c r="H57" s="11" t="str">
        <f>IFERROR(__xludf.DUMMYFUNCTION("GOOGLETRANSLATE(B57, ""en"", ""am"")"),"አንድ ታጋይ ከስፖርታዊ ጨዋነት የጎደለው ድርጊት ውድቅ ተደርጓል። ምን ይሆናል?")</f>
        <v>አንድ ታጋይ ከስፖርታዊ ጨዋነት የጎደለው ድርጊት ውድቅ ተደርጓል። ምን ይሆናል?</v>
      </c>
      <c r="I57" s="11" t="str">
        <f>IFERROR(__xludf.DUMMYFUNCTION("GOOGLETRANSLATE(C57, ""en"", ""am"")"),"ሀ. ተቃዋሚው ጨዋታውን ያሸንፋል.ቢ. ጨዋታው በማስጠንቀቂያ ቀጠለ.ሲ. ግጥሚያው የቆመው ለሥነምግባር ግምገማ ነው።ዲ. ተቃዋሚው ተቀጥቷል ግን እንዲቀጥል ተፈቅዶለታል።")</f>
        <v>ሀ. ተቃዋሚው ጨዋታውን ያሸንፋል.ቢ. ጨዋታው በማስጠንቀቂያ ቀጠለ.ሲ. ግጥሚያው የቆመው ለሥነምግባር ግምገማ ነው።ዲ. ተቃዋሚው ተቀጥቷል ግን እንዲቀጥል ተፈቅዶለታል።</v>
      </c>
      <c r="J57" s="11" t="str">
        <f>IFERROR(__xludf.DUMMYFUNCTION("GOOGLETRANSLATE(D57, ""en"", ""am"")"),"ተቃዋሚው ጨዋታውን ያሸንፋል።")</f>
        <v>ተቃዋሚው ጨዋታውን ያሸንፋል።</v>
      </c>
      <c r="K57" s="11" t="str">
        <f>IFERROR(__xludf.DUMMYFUNCTION("GOOGLETRANSLATE(E57, ""en"", ""am"")"),"ለተቃዋሚው በራስ-ሰር አሸናፊነት ውጤቱን ብቁ ማድረግ አለመቻል።")</f>
        <v>ለተቃዋሚው በራስ-ሰር አሸናፊነት ውጤቱን ብቁ ማድረግ አለመቻል።</v>
      </c>
    </row>
    <row r="58" ht="22.5" customHeight="1">
      <c r="A58" s="10">
        <v>57.0</v>
      </c>
      <c r="B58" s="11" t="s">
        <v>1798</v>
      </c>
      <c r="C58" s="11" t="s">
        <v>1799</v>
      </c>
      <c r="D58" s="11" t="s">
        <v>1793</v>
      </c>
      <c r="E58" s="11" t="s">
        <v>1757</v>
      </c>
      <c r="G58" s="11" t="str">
        <f>IFERROR(__xludf.DUMMYFUNCTION("GOOGLETRANSLATE(A58, ""en"", ""am"")"),"57")</f>
        <v>57</v>
      </c>
      <c r="H58" s="11" t="str">
        <f>IFERROR(__xludf.DUMMYFUNCTION("GOOGLETRANSLATE(B58, ""en"", ""am"")"),"ተዋጊ የአርባር ማስረከቢያን ተግባራዊ ያደርጋል። ተቃዋሚው ወደ ውጭ ይወጣል. ምን ይሆናል?")</f>
        <v>ተዋጊ የአርባር ማስረከቢያን ተግባራዊ ያደርጋል። ተቃዋሚው ወደ ውጭ ይወጣል. ምን ይሆናል?</v>
      </c>
      <c r="I58" s="11" t="str">
        <f>IFERROR(__xludf.DUMMYFUNCTION("GOOGLETRANSLATE(C58, ""en"", ""am"")"),"ሀ. ጨዋታው በተቃዋሚው ቁጥጥር ስር ይቀጥላል.ቢ. ተቃዋሚው በጨዋታው አሸንፏል.ሲ. ተቃዋሚው በመንካት ይቀጣል.ዲ. የክንድ አሞሌውን ለመገምገም ግጥሚያው በቦታው ቆመ።")</f>
        <v>ሀ. ጨዋታው በተቃዋሚው ቁጥጥር ስር ይቀጥላል.ቢ. ተቃዋሚው በጨዋታው አሸንፏል.ሲ. ተቃዋሚው በመንካት ይቀጣል.ዲ. የክንድ አሞሌውን ለመገምገም ግጥሚያው በቦታው ቆመ።</v>
      </c>
      <c r="J58" s="11" t="str">
        <f>IFERROR(__xludf.DUMMYFUNCTION("GOOGLETRANSLATE(D58, ""en"", ""am"")"),"ተጋጣሚው በጨዋታው አሸንፏል።")</f>
        <v>ተጋጣሚው በጨዋታው አሸንፏል።</v>
      </c>
      <c r="K58" s="11" t="str">
        <f>IFERROR(__xludf.DUMMYFUNCTION("GOOGLETRANSLATE(E58, ""en"", ""am"")"),"አስገባ የሚለውን ቁልፍ በመንካት ግጥሚያው ያበቃል።")</f>
        <v>አስገባ የሚለውን ቁልፍ በመንካት ግጥሚያው ያበቃል።</v>
      </c>
    </row>
    <row r="59" ht="22.5" customHeight="1">
      <c r="A59" s="10">
        <v>58.0</v>
      </c>
      <c r="B59" s="11" t="s">
        <v>1800</v>
      </c>
      <c r="C59" s="11" t="s">
        <v>1801</v>
      </c>
      <c r="D59" s="11" t="s">
        <v>1705</v>
      </c>
      <c r="E59" s="11" t="s">
        <v>1802</v>
      </c>
      <c r="G59" s="11" t="str">
        <f>IFERROR(__xludf.DUMMYFUNCTION("GOOGLETRANSLATE(A59, ""en"", ""am"")"),"58")</f>
        <v>58</v>
      </c>
      <c r="H59" s="11" t="str">
        <f>IFERROR(__xludf.DUMMYFUNCTION("GOOGLETRANSLATE(B59, ""en"", ""am"")"),"በህገ ወጥ መንገድ የስራ ማቆም አድማ የተጠቀመ ሰራተኛ በቁጥጥር ስር ውሏል። ምን ይሆናል?")</f>
        <v>በህገ ወጥ መንገድ የስራ ማቆም አድማ የተጠቀመ ሰራተኛ በቁጥጥር ስር ውሏል። ምን ይሆናል?</v>
      </c>
      <c r="I59" s="11" t="str">
        <f>IFERROR(__xludf.DUMMYFUNCTION("GOOGLETRANSLATE(C59, ""en"", ""am"")"),"A. ተዋጊው ወዲያውኑ ውድቅ ይደረጋል.B. ጨዋታው ያለምንም ቅጣት ቀጥሏል.ሲ. ተቃዋሚው ውድድሩን ከውድድሩ ውጪ አሸንፏል.ዲ. ታጋዩ ህገወጥ ቴክኒኮችን በመጠቀሙ ይቀጣል።")</f>
        <v>A. ተዋጊው ወዲያውኑ ውድቅ ይደረጋል.B. ጨዋታው ያለምንም ቅጣት ቀጥሏል.ሲ. ተቃዋሚው ውድድሩን ከውድድሩ ውጪ አሸንፏል.ዲ. ታጋዩ ህገወጥ ቴክኒኮችን በመጠቀሙ ይቀጣል።</v>
      </c>
      <c r="J59" s="11" t="str">
        <f>IFERROR(__xludf.DUMMYFUNCTION("GOOGLETRANSLATE(D59, ""en"", ""am"")"),"ታጋዩ ህገወጥ ቴክኒኮችን በመጠቀሙ ይቀጣል።")</f>
        <v>ታጋዩ ህገወጥ ቴክኒኮችን በመጠቀሙ ይቀጣል።</v>
      </c>
      <c r="K59" s="11" t="str">
        <f>IFERROR(__xludf.DUMMYFUNCTION("GOOGLETRANSLATE(E59, ""en"", ""am"")"),"ህገወጥ የስራ ማቆም አድማ ቅጣትን ወይም ውድቅ ማድረግን ሊያስከትል ይችላል።")</f>
        <v>ህገወጥ የስራ ማቆም አድማ ቅጣትን ወይም ውድቅ ማድረግን ሊያስከትል ይችላል።</v>
      </c>
    </row>
    <row r="60" ht="22.5" customHeight="1">
      <c r="A60" s="10">
        <v>59.0</v>
      </c>
      <c r="B60" s="11" t="s">
        <v>1803</v>
      </c>
      <c r="C60" s="11" t="s">
        <v>1804</v>
      </c>
      <c r="D60" s="11" t="s">
        <v>1713</v>
      </c>
      <c r="E60" s="11" t="s">
        <v>1805</v>
      </c>
      <c r="G60" s="11" t="str">
        <f>IFERROR(__xludf.DUMMYFUNCTION("GOOGLETRANSLATE(A60, ""en"", ""am"")"),"59")</f>
        <v>59</v>
      </c>
      <c r="H60" s="11" t="str">
        <f>IFERROR(__xludf.DUMMYFUNCTION("GOOGLETRANSLATE(B60, ""en"", ""am"")"),"ተዋጊ በተቃዋሚው ላይ የተሳካ እንቅስቃሴ ያደርጋል። ምን ይሆናል?")</f>
        <v>ተዋጊ በተቃዋሚው ላይ የተሳካ እንቅስቃሴ ያደርጋል። ምን ይሆናል?</v>
      </c>
      <c r="I60" s="11" t="str">
        <f>IFERROR(__xludf.DUMMYFUNCTION("GOOGLETRANSLATE(C60, ""en"", ""am"")"),"ሀ. ግጥሚያው በተጋጣሚው መቆጣጠሩን ቀጥሏል.ቢ. ተዋጊው ከመጠን በላይ በሆነ ኃይል ይቀጣል.ሲ. ጨዋታውን ያሸነፈው ተቃዋሚው ስለተሸነፈ ነው ዲ. ድርጊቱን ለመገምገም ጨዋታው ይቆማል።")</f>
        <v>ሀ. ግጥሚያው በተጋጣሚው መቆጣጠሩን ቀጥሏል.ቢ. ተዋጊው ከመጠን በላይ በሆነ ኃይል ይቀጣል.ሲ. ጨዋታውን ያሸነፈው ተቃዋሚው ስለተሸነፈ ነው ዲ. ድርጊቱን ለመገምገም ጨዋታው ይቆማል።</v>
      </c>
      <c r="J60" s="11" t="str">
        <f>IFERROR(__xludf.DUMMYFUNCTION("GOOGLETRANSLATE(D60, ""en"", ""am"")"),"ጨዋታው በተጋጣሚው ቁጥጥር መደረጉን ቀጥሏል።")</f>
        <v>ጨዋታው በተጋጣሚው ቁጥጥር መደረጉን ቀጥሏል።</v>
      </c>
      <c r="K60" s="11" t="str">
        <f>IFERROR(__xludf.DUMMYFUNCTION("GOOGLETRANSLATE(E60, ""en"", ""am"")"),"ስኬታማ ስሌቶች ብዙውን ጊዜ ነጥቦችን ወይም ቁጥጥርን ያስከትላሉ.")</f>
        <v>ስኬታማ ስሌቶች ብዙውን ጊዜ ነጥቦችን ወይም ቁጥጥርን ያስከትላሉ.</v>
      </c>
    </row>
    <row r="61" ht="22.5" customHeight="1">
      <c r="A61" s="10">
        <v>60.0</v>
      </c>
      <c r="B61" s="11" t="s">
        <v>1806</v>
      </c>
      <c r="C61" s="11" t="s">
        <v>1807</v>
      </c>
      <c r="D61" s="11" t="s">
        <v>1793</v>
      </c>
      <c r="E61" s="11" t="s">
        <v>1808</v>
      </c>
      <c r="G61" s="11" t="str">
        <f>IFERROR(__xludf.DUMMYFUNCTION("GOOGLETRANSLATE(A61, ""en"", ""am"")"),"60")</f>
        <v>60</v>
      </c>
      <c r="H61" s="11" t="str">
        <f>IFERROR(__xludf.DUMMYFUNCTION("GOOGLETRANSLATE(B61, ""en"", ""am"")"),"ተዋጊ ተፎካካሪውን ያለፈበት የማስረከቢያ እንቅስቃሴ ያደርጋል። ምን ይሆናል?")</f>
        <v>ተዋጊ ተፎካካሪውን ያለፈበት የማስረከቢያ እንቅስቃሴ ያደርጋል። ምን ይሆናል?</v>
      </c>
      <c r="I61" s="11" t="str">
        <f>IFERROR(__xludf.DUMMYFUNCTION("GOOGLETRANSLATE(C61, ""en"", ""am"")"),"ሀ. ተቃዋሚው አሸንፏል.ቢ. ተቃዋሚው በማለፍ ያሸንፋል። ጨዋታው ያለ ቅጣት ቀጥሏል ዲ. ጨዋታው ለህክምና ምርመራ ይቆማል።")</f>
        <v>ሀ. ተቃዋሚው አሸንፏል.ቢ. ተቃዋሚው በማለፍ ያሸንፋል። ጨዋታው ያለ ቅጣት ቀጥሏል ዲ. ጨዋታው ለህክምና ምርመራ ይቆማል።</v>
      </c>
      <c r="J61" s="11" t="str">
        <f>IFERROR(__xludf.DUMMYFUNCTION("GOOGLETRANSLATE(D61, ""en"", ""am"")"),"ተጋጣሚው በጨዋታው አሸንፏል።")</f>
        <v>ተጋጣሚው በጨዋታው አሸንፏል።</v>
      </c>
      <c r="K61" s="11" t="str">
        <f>IFERROR(__xludf.DUMMYFUNCTION("GOOGLETRANSLATE(E61, ""en"", ""am"")"),"በማስረከብ ምክንያት ማለፍ ጨዋታውን ያበቃል።")</f>
        <v>በማስረከብ ምክንያት ማለፍ ጨዋታውን ያበቃል።</v>
      </c>
    </row>
    <row r="62" ht="22.5" customHeight="1">
      <c r="A62" s="10">
        <v>61.0</v>
      </c>
      <c r="B62" s="11" t="s">
        <v>1809</v>
      </c>
      <c r="C62" s="11" t="s">
        <v>1810</v>
      </c>
      <c r="D62" s="11" t="s">
        <v>1713</v>
      </c>
      <c r="E62" s="11" t="s">
        <v>1811</v>
      </c>
      <c r="G62" s="11" t="str">
        <f>IFERROR(__xludf.DUMMYFUNCTION("GOOGLETRANSLATE(A62, ""en"", ""am"")"),"61")</f>
        <v>61</v>
      </c>
      <c r="H62" s="11" t="str">
        <f>IFERROR(__xludf.DUMMYFUNCTION("GOOGLETRANSLATE(B62, ""en"", ""am"")"),"አንድ ተዋጊ በሚንቀሳቀስበት ጊዜ ተጎድቷል ነገር ግን ለማቆም ፈቃደኛ አይሆንም። ምን ይሆናል?")</f>
        <v>አንድ ተዋጊ በሚንቀሳቀስበት ጊዜ ተጎድቷል ነገር ግን ለማቆም ፈቃደኛ አይሆንም። ምን ይሆናል?</v>
      </c>
      <c r="I62" s="11" t="str">
        <f>IFERROR(__xludf.DUMMYFUNCTION("GOOGLETRANSLATE(C62, ""en"", ""am"")"),"ሀ. ግጥሚያው በተጋጣሚው መቆጣጠሩን ቀጥሏል.ቢ. ተዋጊው አለማቆም ይችላል.ሲ. ጨዋታው ለህክምና ግምገማ ቆሟል።ዲ. ተቃዋሚው በነባሪ ጨዋታውን ያሸንፋል።")</f>
        <v>ሀ. ግጥሚያው በተጋጣሚው መቆጣጠሩን ቀጥሏል.ቢ. ተዋጊው አለማቆም ይችላል.ሲ. ጨዋታው ለህክምና ግምገማ ቆሟል።ዲ. ተቃዋሚው በነባሪ ጨዋታውን ያሸንፋል።</v>
      </c>
      <c r="J62" s="11" t="str">
        <f>IFERROR(__xludf.DUMMYFUNCTION("GOOGLETRANSLATE(D62, ""en"", ""am"")"),"ጨዋታው በተጋጣሚው ቁጥጥር መደረጉን ቀጥሏል።")</f>
        <v>ጨዋታው በተጋጣሚው ቁጥጥር መደረጉን ቀጥሏል።</v>
      </c>
      <c r="K62" s="11" t="str">
        <f>IFERROR(__xludf.DUMMYFUNCTION("GOOGLETRANSLATE(E62, ""en"", ""am"")"),"ጉዳት ቢደርስም ለማቆም እምቢ ማለት ቅጣቶችን ያስከትላል.")</f>
        <v>ጉዳት ቢደርስም ለማቆም እምቢ ማለት ቅጣቶችን ያስከትላል.</v>
      </c>
    </row>
    <row r="63" ht="22.5" customHeight="1">
      <c r="A63" s="10">
        <v>62.0</v>
      </c>
      <c r="B63" s="11" t="s">
        <v>1812</v>
      </c>
      <c r="C63" s="11" t="s">
        <v>1813</v>
      </c>
      <c r="D63" s="11" t="s">
        <v>1814</v>
      </c>
      <c r="E63" s="11" t="s">
        <v>1815</v>
      </c>
      <c r="G63" s="11" t="str">
        <f>IFERROR(__xludf.DUMMYFUNCTION("GOOGLETRANSLATE(A63, ""en"", ""am"")"),"62")</f>
        <v>62</v>
      </c>
      <c r="H63" s="11" t="str">
        <f>IFERROR(__xludf.DUMMYFUNCTION("GOOGLETRANSLATE(B63, ""en"", ""am"")"),"አንድ ተዋጊ በተቃዋሚው ላይ ዝቅተኛ ድብደባ ደረሰበት። ምን ይሆናል?")</f>
        <v>አንድ ተዋጊ በተቃዋሚው ላይ ዝቅተኛ ድብደባ ደረሰበት። ምን ይሆናል?</v>
      </c>
      <c r="I63" s="11" t="str">
        <f>IFERROR(__xludf.DUMMYFUNCTION("GOOGLETRANSLATE(C63, ""en"", ""am"")"),"A. ተዋጊው ወዲያውኑ ውድቅ ይደረጋል.B. ጨዋታው ያለምንም ቅጣት ቀጥሏል.ሲ. ተቃዋሚው ጨዋታውን ያሸንፋል.ዲ. ታጋዩ በህገወጥ ድርጊት ይቀጣል።")</f>
        <v>A. ተዋጊው ወዲያውኑ ውድቅ ይደረጋል.B. ጨዋታው ያለምንም ቅጣት ቀጥሏል.ሲ. ተቃዋሚው ጨዋታውን ያሸንፋል.ዲ. ታጋዩ በህገወጥ ድርጊት ይቀጣል።</v>
      </c>
      <c r="J63" s="11" t="str">
        <f>IFERROR(__xludf.DUMMYFUNCTION("GOOGLETRANSLATE(D63, ""en"", ""am"")"),"ተዋጊው ወዲያውኑ ውድቅ ይደረጋል.")</f>
        <v>ተዋጊው ወዲያውኑ ውድቅ ይደረጋል.</v>
      </c>
      <c r="K63" s="11" t="str">
        <f>IFERROR(__xludf.DUMMYFUNCTION("GOOGLETRANSLATE(E63, ""en"", ""am"")"),"ዝቅተኛ ውጤቶች እንደ ህገወጥ ይቆጠራሉ እና ወደ ውድቅነት ያመራሉ.")</f>
        <v>ዝቅተኛ ውጤቶች እንደ ህገወጥ ይቆጠራሉ እና ወደ ውድቅነት ያመራሉ.</v>
      </c>
    </row>
    <row r="64" ht="22.5" customHeight="1">
      <c r="A64" s="10">
        <v>63.0</v>
      </c>
      <c r="B64" s="11" t="s">
        <v>1816</v>
      </c>
      <c r="C64" s="11" t="s">
        <v>1817</v>
      </c>
      <c r="D64" s="11" t="s">
        <v>1770</v>
      </c>
      <c r="E64" s="11" t="s">
        <v>1818</v>
      </c>
      <c r="G64" s="11" t="str">
        <f>IFERROR(__xludf.DUMMYFUNCTION("GOOGLETRANSLATE(A64, ""en"", ""am"")"),"63")</f>
        <v>63</v>
      </c>
      <c r="H64" s="11" t="str">
        <f>IFERROR(__xludf.DUMMYFUNCTION("GOOGLETRANSLATE(B64, ""en"", ""am"")"),"አንድ ታጋይ ለመሰካት ገመዱን ይጠቀማል። ምን ይሆናል?")</f>
        <v>አንድ ታጋይ ለመሰካት ገመዱን ይጠቀማል። ምን ይሆናል?</v>
      </c>
      <c r="I64" s="11" t="str">
        <f>IFERROR(__xludf.DUMMYFUNCTION("GOOGLETRANSLATE(C64, ""en"", ""am"")"),"ሀ. ተዋጊው ለህገወጥ ድርጊቶች ብቁ አይደለም.ቢ. ጨዋታው ያለምንም ቅጣት ቀጥሏል.ሲ. ተዋጊው ገመዱን በመጠቀሙ ይቀጣል.ዲ. ተቃዋሚው ውድድሩን ከውድድሩ ውጪ አሸንፏል።")</f>
        <v>ሀ. ተዋጊው ለህገወጥ ድርጊቶች ብቁ አይደለም.ቢ. ጨዋታው ያለምንም ቅጣት ቀጥሏል.ሲ. ተዋጊው ገመዱን በመጠቀሙ ይቀጣል.ዲ. ተቃዋሚው ውድድሩን ከውድድሩ ውጪ አሸንፏል።</v>
      </c>
      <c r="J64" s="11" t="str">
        <f>IFERROR(__xludf.DUMMYFUNCTION("GOOGLETRANSLATE(D64, ""en"", ""am"")"),"ተጋጣሚው ገመዱን በመጠቀሙ ይቀጣል።")</f>
        <v>ተጋጣሚው ገመዱን በመጠቀሙ ይቀጣል።</v>
      </c>
      <c r="K64" s="11" t="str">
        <f>IFERROR(__xludf.DUMMYFUNCTION("GOOGLETRANSLATE(E64, ""en"", ""am"")"),"በፒን ጊዜ ገመዶችን መጠቀም ህገወጥ ነው.")</f>
        <v>በፒን ጊዜ ገመዶችን መጠቀም ህገወጥ ነው.</v>
      </c>
    </row>
    <row r="65" ht="22.5" customHeight="1">
      <c r="A65" s="10">
        <v>64.0</v>
      </c>
      <c r="B65" s="11" t="s">
        <v>1819</v>
      </c>
      <c r="C65" s="11" t="s">
        <v>1820</v>
      </c>
      <c r="D65" s="11" t="s">
        <v>1713</v>
      </c>
      <c r="E65" s="11" t="s">
        <v>1821</v>
      </c>
      <c r="G65" s="11" t="str">
        <f>IFERROR(__xludf.DUMMYFUNCTION("GOOGLETRANSLATE(A65, ""en"", ""am"")"),"64")</f>
        <v>64</v>
      </c>
      <c r="H65" s="11" t="str">
        <f>IFERROR(__xludf.DUMMYFUNCTION("GOOGLETRANSLATE(B65, ""en"", ""am"")"),"አንድ ታጋይ ከፒን ሙከራ ቢያመልጥ ዳኛው ካላዩት ምን ይሆናል?")</f>
        <v>አንድ ታጋይ ከፒን ሙከራ ቢያመልጥ ዳኛው ካላዩት ምን ይሆናል?</v>
      </c>
      <c r="I65" s="11" t="str">
        <f>IFERROR(__xludf.DUMMYFUNCTION("GOOGLETRANSLATE(C65, ""en"", ""am"")"),"ሀ. ግጥሚያው በተጋጣሚው መቆጣጠሩን ቀጥሏል.ቢ. ተቃዋሚው ጨዋታውን በፒን.ሲ. ግጥሚያው ለፒን ግምገማ ቆሟል።ዲ. ተፋላሚው ከፒን በማምለጡ ይቀጣል።")</f>
        <v>ሀ. ግጥሚያው በተጋጣሚው መቆጣጠሩን ቀጥሏል.ቢ. ተቃዋሚው ጨዋታውን በፒን.ሲ. ግጥሚያው ለፒን ግምገማ ቆሟል።ዲ. ተፋላሚው ከፒን በማምለጡ ይቀጣል።</v>
      </c>
      <c r="J65" s="11" t="str">
        <f>IFERROR(__xludf.DUMMYFUNCTION("GOOGLETRANSLATE(D65, ""en"", ""am"")"),"ጨዋታው በተጋጣሚው ቁጥጥር መደረጉን ቀጥሏል።")</f>
        <v>ጨዋታው በተጋጣሚው ቁጥጥር መደረጉን ቀጥሏል።</v>
      </c>
      <c r="K65" s="11" t="str">
        <f>IFERROR(__xludf.DUMMYFUNCTION("GOOGLETRANSLATE(E65, ""en"", ""am"")"),"የዳኛው ውሳኔ ካልተሻረ በስተቀር የመጨረሻ ነው።")</f>
        <v>የዳኛው ውሳኔ ካልተሻረ በስተቀር የመጨረሻ ነው።</v>
      </c>
    </row>
    <row r="66" ht="22.5" customHeight="1">
      <c r="A66" s="10">
        <v>65.0</v>
      </c>
      <c r="B66" s="11" t="s">
        <v>1822</v>
      </c>
      <c r="C66" s="11" t="s">
        <v>1823</v>
      </c>
      <c r="D66" s="11" t="s">
        <v>1713</v>
      </c>
      <c r="E66" s="11" t="s">
        <v>1824</v>
      </c>
      <c r="G66" s="11" t="str">
        <f>IFERROR(__xludf.DUMMYFUNCTION("GOOGLETRANSLATE(A66, ""en"", ""am"")"),"65")</f>
        <v>65</v>
      </c>
      <c r="H66" s="11" t="str">
        <f>IFERROR(__xludf.DUMMYFUNCTION("GOOGLETRANSLATE(B66, ""en"", ""am"")"),"ተፎካካሪው የተሳካ የማስረከቢያ እንቅስቃሴን ያከናውናል ነገር ግን ተቃዋሚው አይነካውም. ምን ይሆናል?")</f>
        <v>ተፎካካሪው የተሳካ የማስረከቢያ እንቅስቃሴን ያከናውናል ነገር ግን ተቃዋሚው አይነካውም. ምን ይሆናል?</v>
      </c>
      <c r="I66" s="11" t="str">
        <f>IFERROR(__xludf.DUMMYFUNCTION("GOOGLETRANSLATE(C66, ""en"", ""am"")"),"ሀ. ግጥሚያው በተጋጣሚው መቆጣጠሩን ቀጥሏል.ቢ. ተዋጊው ባለማስረከብ ይቀጣል። ተቃዋሚው ከመገዛት ያመልጣል.ዲ. ተዋጊው የሚያሸንፈው በመገዛት ነው።")</f>
        <v>ሀ. ግጥሚያው በተጋጣሚው መቆጣጠሩን ቀጥሏል.ቢ. ተዋጊው ባለማስረከብ ይቀጣል። ተቃዋሚው ከመገዛት ያመልጣል.ዲ. ተዋጊው የሚያሸንፈው በመገዛት ነው።</v>
      </c>
      <c r="J66" s="11" t="str">
        <f>IFERROR(__xludf.DUMMYFUNCTION("GOOGLETRANSLATE(D66, ""en"", ""am"")"),"ጨዋታው በተጋጣሚው ቁጥጥር መደረጉን ቀጥሏል።")</f>
        <v>ጨዋታው በተጋጣሚው ቁጥጥር መደረጉን ቀጥሏል።</v>
      </c>
      <c r="K66" s="11" t="str">
        <f>IFERROR(__xludf.DUMMYFUNCTION("GOOGLETRANSLATE(E66, ""en"", ""am"")"),"ማስረከቡ መጠናቀቅ ወይም ለስኬት መራቅ አለበት።")</f>
        <v>ማስረከቡ መጠናቀቅ ወይም ለስኬት መራቅ አለበት።</v>
      </c>
    </row>
    <row r="67" ht="22.5" customHeight="1">
      <c r="A67" s="10">
        <v>66.0</v>
      </c>
      <c r="B67" s="11" t="s">
        <v>1825</v>
      </c>
      <c r="C67" s="11" t="s">
        <v>1826</v>
      </c>
      <c r="D67" s="11" t="s">
        <v>1827</v>
      </c>
      <c r="E67" s="11" t="s">
        <v>1828</v>
      </c>
      <c r="G67" s="11" t="str">
        <f>IFERROR(__xludf.DUMMYFUNCTION("GOOGLETRANSLATE(A67, ""en"", ""am"")"),"66")</f>
        <v>66</v>
      </c>
      <c r="H67" s="11" t="str">
        <f>IFERROR(__xludf.DUMMYFUNCTION("GOOGLETRANSLATE(B67, ""en"", ""am"")"),"አንድ ተፋላሚ ፍጹም ክንድ ይጎትታል ነገር ግን ተቃዋሚዎቻቸው በጀርባ ክርናቸው ይቆጥራሉ። ምን ይሆናል?")</f>
        <v>አንድ ተፋላሚ ፍጹም ክንድ ይጎትታል ነገር ግን ተቃዋሚዎቻቸው በጀርባ ክርናቸው ይቆጥራሉ። ምን ይሆናል?</v>
      </c>
      <c r="I67" s="11" t="str">
        <f>IFERROR(__xludf.DUMMYFUNCTION("GOOGLETRANSLATE(C67, ""en"", ""am"")"),"ሀ. ተቃዋሚው የክንድ መጎተትን በተሳካ ሁኔታ ይቃኛል.B. ታጋዩ ለተሳሳተ እርምጃ ይቀጣል። ጨዋታው ቆጣሪውን ለመገምገም ይቆማል.ዲ. ተዋጊው በተሳካ ሁኔታ የእጅ ማንጠልጠያ ይሠራል.")</f>
        <v>ሀ. ተቃዋሚው የክንድ መጎተትን በተሳካ ሁኔታ ይቃኛል.B. ታጋዩ ለተሳሳተ እርምጃ ይቀጣል። ጨዋታው ቆጣሪውን ለመገምገም ይቆማል.ዲ. ተዋጊው በተሳካ ሁኔታ የእጅ ማንጠልጠያ ይሠራል.</v>
      </c>
      <c r="J67" s="11" t="str">
        <f>IFERROR(__xludf.DUMMYFUNCTION("GOOGLETRANSLATE(D67, ""en"", ""am"")"),"ተቃዋሚው የክንድ መጎተቱን በተሳካ ሁኔታ ይቃኛል.")</f>
        <v>ተቃዋሚው የክንድ መጎተቱን በተሳካ ሁኔታ ይቃኛል.</v>
      </c>
      <c r="K67" s="11" t="str">
        <f>IFERROR(__xludf.DUMMYFUNCTION("GOOGLETRANSLATE(E67, ""en"", ""am"")"),"አጸፋዊ እርምጃ ጠበኛ እርምጃን ያስወግዳል.")</f>
        <v>አጸፋዊ እርምጃ ጠበኛ እርምጃን ያስወግዳል.</v>
      </c>
    </row>
    <row r="68" ht="22.5" customHeight="1">
      <c r="A68" s="10">
        <v>67.0</v>
      </c>
      <c r="B68" s="11" t="s">
        <v>1829</v>
      </c>
      <c r="C68" s="11" t="s">
        <v>1830</v>
      </c>
      <c r="D68" s="11" t="s">
        <v>1831</v>
      </c>
      <c r="E68" s="11" t="s">
        <v>1832</v>
      </c>
      <c r="G68" s="11" t="str">
        <f>IFERROR(__xludf.DUMMYFUNCTION("GOOGLETRANSLATE(A68, ""en"", ""am"")"),"67")</f>
        <v>67</v>
      </c>
      <c r="H68" s="11" t="str">
        <f>IFERROR(__xludf.DUMMYFUNCTION("GOOGLETRANSLATE(B68, ""en"", ""am"")"),"አንድ ተዋጊ ከሰውነት መቆለፊያ ለማምለጥ ይሞክራል ነገር ግን ተቃዋሚዎቻቸው ወደ ድብ እቅፍ ይንቀሳቀሳሉ። ምን ይሆናል?")</f>
        <v>አንድ ተዋጊ ከሰውነት መቆለፊያ ለማምለጥ ይሞክራል ነገር ግን ተቃዋሚዎቻቸው ወደ ድብ እቅፍ ይንቀሳቀሳሉ። ምን ይሆናል?</v>
      </c>
      <c r="I68" s="11" t="str">
        <f>IFERROR(__xludf.DUMMYFUNCTION("GOOGLETRANSLATE(C68, ""en"", ""am"")"),"ሀ. ተዋጊው ከሰውነት መቆለፊያ አምልጦ ያሸንፋል። ግጥሚያው በድብ ማቀፍ ይቀጥላል። ተዋጊው ማምለጥ ባለመቻሉ ይቀጣል.ዲ. ተቃዋሚው ድብ እቅፉን ስለተጠቀመ ይቀጣል.")</f>
        <v>ሀ. ተዋጊው ከሰውነት መቆለፊያ አምልጦ ያሸንፋል። ግጥሚያው በድብ ማቀፍ ይቀጥላል። ተዋጊው ማምለጥ ባለመቻሉ ይቀጣል.ዲ. ተቃዋሚው ድብ እቅፉን ስለተጠቀመ ይቀጣል.</v>
      </c>
      <c r="J68" s="11" t="str">
        <f>IFERROR(__xludf.DUMMYFUNCTION("GOOGLETRANSLATE(D68, ""en"", ""am"")"),"ጨዋታው በድብ በመተቃቀፍ ይቀጥላል።")</f>
        <v>ጨዋታው በድብ በመተቃቀፍ ይቀጥላል።</v>
      </c>
      <c r="K68" s="11" t="str">
        <f>IFERROR(__xludf.DUMMYFUNCTION("GOOGLETRANSLATE(E68, ""en"", ""am"")"),"ከሰውነት መቆለፊያ ወደ ድብ እቅፍ የሚደረግ ሽግግር ትክክለኛ ዘዴ ነው.")</f>
        <v>ከሰውነት መቆለፊያ ወደ ድብ እቅፍ የሚደረግ ሽግግር ትክክለኛ ዘዴ ነው.</v>
      </c>
    </row>
    <row r="69" ht="22.5" customHeight="1">
      <c r="A69" s="10">
        <v>68.0</v>
      </c>
      <c r="B69" s="11" t="s">
        <v>1833</v>
      </c>
      <c r="C69" s="11" t="s">
        <v>1834</v>
      </c>
      <c r="D69" s="11" t="s">
        <v>1835</v>
      </c>
      <c r="E69" s="11" t="s">
        <v>1836</v>
      </c>
      <c r="G69" s="11" t="str">
        <f>IFERROR(__xludf.DUMMYFUNCTION("GOOGLETRANSLATE(A69, ""en"", ""am"")"),"68")</f>
        <v>68</v>
      </c>
      <c r="H69" s="11" t="str">
        <f>IFERROR(__xludf.DUMMYFUNCTION("GOOGLETRANSLATE(B69, ""en"", ""am"")"),"አንድ ታጋይ በክሊች ጊዜ ተቀናቃኛቸውን ደረቱ ላይ ይመታል። ምን ይሆናል?")</f>
        <v>አንድ ታጋይ በክሊች ጊዜ ተቀናቃኛቸውን ደረቱ ላይ ይመታል። ምን ይሆናል?</v>
      </c>
      <c r="I69" s="11" t="str">
        <f>IFERROR(__xludf.DUMMYFUNCTION("GOOGLETRANSLATE(C69, ""en"", ""am"")"),"ሀ. ግጥሚያው ለግምገማ ይቆማል።B. ታጋዩ በህገ-ወጥ የረገጠ ቅጣት ተቀጣ። ጨዋታው ያለ ቅጣት ቀጥሏል ዲ. ተቃዋሚው ውድድሩን ከውድድሩ ውጪ አሸንፏል።")</f>
        <v>ሀ. ግጥሚያው ለግምገማ ይቆማል።B. ታጋዩ በህገ-ወጥ የረገጠ ቅጣት ተቀጣ። ጨዋታው ያለ ቅጣት ቀጥሏል ዲ. ተቃዋሚው ውድድሩን ከውድድሩ ውጪ አሸንፏል።</v>
      </c>
      <c r="J69" s="11" t="str">
        <f>IFERROR(__xludf.DUMMYFUNCTION("GOOGLETRANSLATE(D69, ""en"", ""am"")"),"ተጋዳላይው በህገ ወጥ የእግር ኳስ ተቀጥቷል።")</f>
        <v>ተጋዳላይው በህገ ወጥ የእግር ኳስ ተቀጥቷል።</v>
      </c>
      <c r="K69" s="11" t="str">
        <f>IFERROR(__xludf.DUMMYFUNCTION("GOOGLETRANSLATE(E69, ""en"", ""am"")"),"በደረት ላይ የሚደረጉ ምቶች ብዙውን ጊዜ ህገ-ወጥ ናቸው እና ቅጣትን ያስከትላሉ.")</f>
        <v>በደረት ላይ የሚደረጉ ምቶች ብዙውን ጊዜ ህገ-ወጥ ናቸው እና ቅጣትን ያስከትላሉ.</v>
      </c>
    </row>
    <row r="70" ht="22.5" customHeight="1">
      <c r="A70" s="10">
        <v>69.0</v>
      </c>
      <c r="B70" s="11" t="s">
        <v>1837</v>
      </c>
      <c r="C70" s="11" t="s">
        <v>1838</v>
      </c>
      <c r="D70" s="11" t="s">
        <v>1666</v>
      </c>
      <c r="E70" s="11" t="s">
        <v>1839</v>
      </c>
      <c r="G70" s="11" t="str">
        <f>IFERROR(__xludf.DUMMYFUNCTION("GOOGLETRANSLATE(A70, ""en"", ""am"")"),"69")</f>
        <v>69</v>
      </c>
      <c r="H70" s="11" t="str">
        <f>IFERROR(__xludf.DUMMYFUNCTION("GOOGLETRANSLATE(B70, ""en"", ""am"")"),"አንድ ተዋጊ የሂፕ ግፊት እያደረገ ነው ነገር ግን ተቃዋሚው በእግራቸው አረፈ። ምን ይሆናል?")</f>
        <v>አንድ ተዋጊ የሂፕ ግፊት እያደረገ ነው ነገር ግን ተቃዋሚው በእግራቸው አረፈ። ምን ይሆናል?</v>
      </c>
      <c r="I70" s="11" t="str">
        <f>IFERROR(__xludf.DUMMYFUNCTION("GOOGLETRANSLATE(C70, ""en"", ""am"")"),"ሀ. ጨዋታው በተቃዋሚው ቁጥጥር ስር ይቀጥላል.ቢ. ተቃዋሚው መወርወር ስላልቻለ ብቁ አይደለም.ሲ. ተቃዋሚው በእግራቸው ለማረፊያ ነጥብ ያገኛል.ዲ. ጨዋታው በተጋጣሚው ቁጥጥር መደረጉን ቀጥሏል።")</f>
        <v>ሀ. ጨዋታው በተቃዋሚው ቁጥጥር ስር ይቀጥላል.ቢ. ተቃዋሚው መወርወር ስላልቻለ ብቁ አይደለም.ሲ. ተቃዋሚው በእግራቸው ለማረፊያ ነጥብ ያገኛል.ዲ. ጨዋታው በተጋጣሚው ቁጥጥር መደረጉን ቀጥሏል።</v>
      </c>
      <c r="J70" s="11" t="str">
        <f>IFERROR(__xludf.DUMMYFUNCTION("GOOGLETRANSLATE(D70, ""en"", ""am"")"),"ጨዋታው በተቃዋሚው ቁጥጥር ስር ሆኖ ቀጥሏል።")</f>
        <v>ጨዋታው በተቃዋሚው ቁጥጥር ስር ሆኖ ቀጥሏል።</v>
      </c>
      <c r="K70" s="11" t="str">
        <f>IFERROR(__xludf.DUMMYFUNCTION("GOOGLETRANSLATE(E70, ""en"", ""am"")"),"እግርን መወርወር ብዙውን ጊዜ እንደገና መመለስን ያስከትላል.")</f>
        <v>እግርን መወርወር ብዙውን ጊዜ እንደገና መመለስን ያስከትላል.</v>
      </c>
    </row>
    <row r="71" ht="22.5" customHeight="1">
      <c r="A71" s="10">
        <v>70.0</v>
      </c>
      <c r="B71" s="11" t="s">
        <v>1840</v>
      </c>
      <c r="C71" s="11" t="s">
        <v>1841</v>
      </c>
      <c r="D71" s="11" t="s">
        <v>1770</v>
      </c>
      <c r="E71" s="11" t="s">
        <v>1842</v>
      </c>
      <c r="G71" s="11" t="str">
        <f>IFERROR(__xludf.DUMMYFUNCTION("GOOGLETRANSLATE(A71, ""en"", ""am"")"),"70")</f>
        <v>70</v>
      </c>
      <c r="H71" s="11" t="str">
        <f>IFERROR(__xludf.DUMMYFUNCTION("GOOGLETRANSLATE(B71, ""en"", ""am"")"),"በመግቢያ እንቅስቃሴ ወቅት አንድ ታጋይ ገመዱን ይዞ ተይዟል። ምን ይሆናል?")</f>
        <v>በመግቢያ እንቅስቃሴ ወቅት አንድ ታጋይ ገመዱን ይዞ ተይዟል። ምን ይሆናል?</v>
      </c>
      <c r="I71" s="11" t="str">
        <f>IFERROR(__xludf.DUMMYFUNCTION("GOOGLETRANSLATE(C71, ""en"", ""am"")"),"ሀ. ተቃዋሚው አሸንፏል.ቢ. ታጋዩ ገመዱን በመጠቀሙ ይቀጣል። ጨዋታው ያለ ቅጣት ቀጥሏል ዲ. ጨዋታው ሁኔታውን ለመገምገም ይቆማል.")</f>
        <v>ሀ. ተቃዋሚው አሸንፏል.ቢ. ታጋዩ ገመዱን በመጠቀሙ ይቀጣል። ጨዋታው ያለ ቅጣት ቀጥሏል ዲ. ጨዋታው ሁኔታውን ለመገምገም ይቆማል.</v>
      </c>
      <c r="J71" s="11" t="str">
        <f>IFERROR(__xludf.DUMMYFUNCTION("GOOGLETRANSLATE(D71, ""en"", ""am"")"),"ተጋጣሚው ገመዱን በመጠቀሙ ይቀጣል።")</f>
        <v>ተጋጣሚው ገመዱን በመጠቀሙ ይቀጣል።</v>
      </c>
      <c r="K71" s="11" t="str">
        <f>IFERROR(__xludf.DUMMYFUNCTION("GOOGLETRANSLATE(E71, ""en"", ""am"")"),"በሚላክበት ጊዜ ኬብሎችን መጠቀም ቅጣቶችን ሊያስከትል ይችላል.")</f>
        <v>በሚላክበት ጊዜ ኬብሎችን መጠቀም ቅጣቶችን ሊያስከትል ይችላል.</v>
      </c>
    </row>
    <row r="72" ht="22.5" customHeight="1">
      <c r="A72" s="10">
        <v>71.0</v>
      </c>
      <c r="B72" s="11" t="s">
        <v>1843</v>
      </c>
      <c r="C72" s="11" t="s">
        <v>1844</v>
      </c>
      <c r="D72" s="11" t="s">
        <v>1845</v>
      </c>
      <c r="E72" s="11" t="s">
        <v>1846</v>
      </c>
      <c r="G72" s="11" t="str">
        <f>IFERROR(__xludf.DUMMYFUNCTION("GOOGLETRANSLATE(A72, ""en"", ""am"")"),"71")</f>
        <v>71</v>
      </c>
      <c r="H72" s="11" t="str">
        <f>IFERROR(__xludf.DUMMYFUNCTION("GOOGLETRANSLATE(B72, ""en"", ""am"")"),"አንድ ተዋጊ ሱፕሌክስ ለመስራት ይሞክራል፣ ነገር ግን ተቃዋሚያቸው በጉልበታቸው ተንበርክከው ከፊታቸው ቆሟል። ምን ይሆናል?")</f>
        <v>አንድ ተዋጊ ሱፕሌክስ ለመስራት ይሞክራል፣ ነገር ግን ተቃዋሚያቸው በጉልበታቸው ተንበርክከው ከፊታቸው ቆሟል። ምን ይሆናል?</v>
      </c>
      <c r="I72" s="11" t="str">
        <f>IFERROR(__xludf.DUMMYFUNCTION("GOOGLETRANSLATE(C72, ""en"", ""am"")"),"A. Suplex ስኬታማ ነው.ቢ. ተቃዋሚው ቆጣሪውን ነጥብ ይሰጣል.ሲ. ጨዋታው ለህክምና ግምገማ ቆሟል።ዲ. ተዋጊው ሱፕሌክስ በማረፍ ይቀጣል።")</f>
        <v>A. Suplex ስኬታማ ነው.ቢ. ተቃዋሚው ቆጣሪውን ነጥብ ይሰጣል.ሲ. ጨዋታው ለህክምና ግምገማ ቆሟል።ዲ. ተዋጊው ሱፕሌክስ በማረፍ ይቀጣል።</v>
      </c>
      <c r="J72" s="11" t="str">
        <f>IFERROR(__xludf.DUMMYFUNCTION("GOOGLETRANSLATE(D72, ""en"", ""am"")"),"ጨዋታው ለህክምና ግምገማ ቆሟል።")</f>
        <v>ጨዋታው ለህክምና ግምገማ ቆሟል።</v>
      </c>
      <c r="K72" s="11" t="str">
        <f>IFERROR(__xludf.DUMMYFUNCTION("GOOGLETRANSLATE(E72, ""en"", ""am"")"),"ፊት ላይ መንበርከክ ህገወጥ እና ቅጣትን ሊያስከትል ይችላል.")</f>
        <v>ፊት ላይ መንበርከክ ህገወጥ እና ቅጣትን ሊያስከትል ይችላል.</v>
      </c>
    </row>
    <row r="73" ht="22.5" customHeight="1">
      <c r="A73" s="10">
        <v>72.0</v>
      </c>
      <c r="B73" s="11" t="s">
        <v>1847</v>
      </c>
      <c r="C73" s="11" t="s">
        <v>1848</v>
      </c>
      <c r="D73" s="11" t="s">
        <v>1849</v>
      </c>
      <c r="E73" s="11" t="s">
        <v>1850</v>
      </c>
      <c r="G73" s="11" t="str">
        <f>IFERROR(__xludf.DUMMYFUNCTION("GOOGLETRANSLATE(A73, ""en"", ""am"")"),"72")</f>
        <v>72</v>
      </c>
      <c r="H73" s="11" t="str">
        <f>IFERROR(__xludf.DUMMYFUNCTION("GOOGLETRANSLATE(B73, ""en"", ""am"")"),"አንድ ታጋይ ገመዱን በመድረስ ከመገዛት ማምለጥ አለበት። ምን ይሆናል?")</f>
        <v>አንድ ታጋይ ገመዱን በመድረስ ከመገዛት ማምለጥ አለበት። ምን ይሆናል?</v>
      </c>
      <c r="I73" s="11" t="str">
        <f>IFERROR(__xludf.DUMMYFUNCTION("GOOGLETRANSLATE(C73, ""en"", ""am"")"),"ሀ. ግጥሚያው ቆሟል፣ እና ማስረከቡ ተሰብሯል.ቢ. ተዋጊው ለማምለጥ ብቁ አይደለም.ሲ. ጨዋታው ያለ ቅጣት ቀጥሏል ዲ. ተጋጣሚው በጨዋታው አሸንፏል።")</f>
        <v>ሀ. ግጥሚያው ቆሟል፣ እና ማስረከቡ ተሰብሯል.ቢ. ተዋጊው ለማምለጥ ብቁ አይደለም.ሲ. ጨዋታው ያለ ቅጣት ቀጥሏል ዲ. ተጋጣሚው በጨዋታው አሸንፏል።</v>
      </c>
      <c r="J73" s="11" t="str">
        <f>IFERROR(__xludf.DUMMYFUNCTION("GOOGLETRANSLATE(D73, ""en"", ""am"")"),"ግጥሚያው ቆሟል፣ እና ማስረከቡ ተሰብሯል።")</f>
        <v>ግጥሚያው ቆሟል፣ እና ማስረከቡ ተሰብሯል።</v>
      </c>
      <c r="K73" s="11" t="str">
        <f>IFERROR(__xludf.DUMMYFUNCTION("GOOGLETRANSLATE(E73, ""en"", ""am"")"),"ገመዱ ላይ መድረስ መገዛትን ያፈርሳል።")</f>
        <v>ገመዱ ላይ መድረስ መገዛትን ያፈርሳል።</v>
      </c>
    </row>
    <row r="74" ht="22.5" customHeight="1">
      <c r="A74" s="10">
        <v>73.0</v>
      </c>
      <c r="B74" s="11" t="s">
        <v>1851</v>
      </c>
      <c r="C74" s="11" t="s">
        <v>1852</v>
      </c>
      <c r="D74" s="11" t="s">
        <v>1853</v>
      </c>
      <c r="E74" s="11" t="s">
        <v>1854</v>
      </c>
      <c r="G74" s="11" t="str">
        <f>IFERROR(__xludf.DUMMYFUNCTION("GOOGLETRANSLATE(A74, ""en"", ""am"")"),"73")</f>
        <v>73</v>
      </c>
      <c r="H74" s="11" t="str">
        <f>IFERROR(__xludf.DUMMYFUNCTION("GOOGLETRANSLATE(B74, ""en"", ""am"")"),"አንድ ተዋጊ እራሱን በምስል-አራት እግር መቆለፊያ ውስጥ ይቆልፋል። ተቃዋሚው ይለውጠዋል, የተጋላሚውን ትከሻዎች ወደ ታች ይሰኩት. ምን ይሆናል?")</f>
        <v>አንድ ተዋጊ እራሱን በምስል-አራት እግር መቆለፊያ ውስጥ ይቆልፋል። ተቃዋሚው ይለውጠዋል, የተጋላሚውን ትከሻዎች ወደ ታች ይሰኩት. ምን ይሆናል?</v>
      </c>
      <c r="I74" s="11" t="str">
        <f>IFERROR(__xludf.DUMMYFUNCTION("GOOGLETRANSLATE(C74, ""en"", ""am"")"),"ሀ. ተቃዋሚው በፒን ቢ. ተቃዋሚው በተቃራኒው ይቀጣል.ሲ. ጨዋታው ያለ ቅጣት ቀጥሏል ዲ. ምስል፡ ባለ አራት እግር መቆለፊያ አሁንም በስራ ላይ ነው።")</f>
        <v>ሀ. ተቃዋሚው በፒን ቢ. ተቃዋሚው በተቃራኒው ይቀጣል.ሲ. ጨዋታው ያለ ቅጣት ቀጥሏል ዲ. ምስል፡ ባለ አራት እግር መቆለፊያ አሁንም በስራ ላይ ነው።</v>
      </c>
      <c r="J74" s="11" t="str">
        <f>IFERROR(__xludf.DUMMYFUNCTION("GOOGLETRANSLATE(D74, ""en"", ""am"")"),"ተቃዋሚው በፒን ግጥሚያውን ያጣል።")</f>
        <v>ተቃዋሚው በፒን ግጥሚያውን ያጣል።</v>
      </c>
      <c r="K74" s="11" t="str">
        <f>IFERROR(__xludf.DUMMYFUNCTION("GOOGLETRANSLATE(E74, ""en"", ""am"")"),"ወደ ፒን ግቤት መቀልበስ አሸናፊነት ነው።")</f>
        <v>ወደ ፒን ግቤት መቀልበስ አሸናፊነት ነው።</v>
      </c>
    </row>
    <row r="75" ht="22.5" customHeight="1">
      <c r="A75" s="10">
        <v>74.0</v>
      </c>
      <c r="B75" s="11" t="s">
        <v>1855</v>
      </c>
      <c r="C75" s="11" t="s">
        <v>1856</v>
      </c>
      <c r="D75" s="11" t="s">
        <v>1713</v>
      </c>
      <c r="E75" s="11" t="s">
        <v>1857</v>
      </c>
      <c r="G75" s="11" t="str">
        <f>IFERROR(__xludf.DUMMYFUNCTION("GOOGLETRANSLATE(A75, ""en"", ""am"")"),"74")</f>
        <v>74</v>
      </c>
      <c r="H75" s="11" t="str">
        <f>IFERROR(__xludf.DUMMYFUNCTION("GOOGLETRANSLATE(B75, ""en"", ""am"")"),"አንድ ታጋይ ተቀናቃኙን ወደ ቀለበት ይጥለዋል። ተቃዋሚው በልብስ መስመር ይመለሳል. ምን ይሆናል?")</f>
        <v>አንድ ታጋይ ተቀናቃኙን ወደ ቀለበት ይጥለዋል። ተቃዋሚው በልብስ መስመር ይመለሳል. ምን ይሆናል?</v>
      </c>
      <c r="I75" s="11" t="str">
        <f>IFERROR(__xludf.DUMMYFUNCTION("GOOGLETRANSLATE(C75, ""en"", ""am"")"),"ሀ. ግጥሚያው በተጋጣሚው መቆጣጠሩን ቀጥሏል.ቢ. ተቃዋሚው ጨዋታውን በልብስ መስመር ያሸንፋል። ተፋላሚው መታጠፊያውን በመጠቀሙ ይቀጣል.ዲ. ጨዋታው የልብስ መስመሩን ለመገምገም ይቆማል።")</f>
        <v>ሀ. ግጥሚያው በተጋጣሚው መቆጣጠሩን ቀጥሏል.ቢ. ተቃዋሚው ጨዋታውን በልብስ መስመር ያሸንፋል። ተፋላሚው መታጠፊያውን በመጠቀሙ ይቀጣል.ዲ. ጨዋታው የልብስ መስመሩን ለመገምገም ይቆማል።</v>
      </c>
      <c r="J75" s="11" t="str">
        <f>IFERROR(__xludf.DUMMYFUNCTION("GOOGLETRANSLATE(D75, ""en"", ""am"")"),"ጨዋታው በተጋጣሚው ቁጥጥር መደረጉን ቀጥሏል።")</f>
        <v>ጨዋታው በተጋጣሚው ቁጥጥር መደረጉን ቀጥሏል።</v>
      </c>
      <c r="K75" s="11" t="str">
        <f>IFERROR(__xludf.DUMMYFUNCTION("GOOGLETRANSLATE(E75, ""en"", ""am"")"),"የተቃዋሚው እንደገና የታሸገ የልብስ መስመር መቆጣጠሪያውን ሊለውጠው ይችላል።")</f>
        <v>የተቃዋሚው እንደገና የታሸገ የልብስ መስመር መቆጣጠሪያውን ሊለውጠው ይችላል።</v>
      </c>
    </row>
    <row r="76" ht="22.5" customHeight="1">
      <c r="A76" s="10">
        <v>75.0</v>
      </c>
      <c r="B76" s="11" t="s">
        <v>1858</v>
      </c>
      <c r="C76" s="11" t="s">
        <v>1859</v>
      </c>
      <c r="D76" s="11" t="s">
        <v>1666</v>
      </c>
      <c r="E76" s="11" t="s">
        <v>1860</v>
      </c>
      <c r="G76" s="11" t="str">
        <f>IFERROR(__xludf.DUMMYFUNCTION("GOOGLETRANSLATE(A76, ""en"", ""am"")"),"75")</f>
        <v>75</v>
      </c>
      <c r="H76" s="11" t="str">
        <f>IFERROR(__xludf.DUMMYFUNCTION("GOOGLETRANSLATE(B76, ""en"", ""am"")"),"አንድ ታጋይ ከላይኛው ገመድ ላይ ለመጥለቅ ይሄዳል ፣ ግን ተቃዋሚዎቻቸው ይንቀሳቀሳሉ ። ምን ይሆናል?")</f>
        <v>አንድ ታጋይ ከላይኛው ገመድ ላይ ለመጥለቅ ይሄዳል ፣ ግን ተቃዋሚዎቻቸው ይንቀሳቀሳሉ ። ምን ይሆናል?</v>
      </c>
      <c r="I76" s="11" t="str">
        <f>IFERROR(__xludf.DUMMYFUNCTION("GOOGLETRANSLATE(C76, ""en"", ""am"")"),"ሀ. ጨዋታው በተቃዋሚው ቁጥጥር ስር ይቀጥላል.ቢ. ተቃዋሚው በውድቀቱ ከባድ ቅጣት ይደርስበታል.ሲ. ጨዋታው ለህክምና ግምገማ ይቆማል.ዲ. ተቃዋሚው ዳይቭውን በመቃወም ያሸንፋል።")</f>
        <v>ሀ. ጨዋታው በተቃዋሚው ቁጥጥር ስር ይቀጥላል.ቢ. ተቃዋሚው በውድቀቱ ከባድ ቅጣት ይደርስበታል.ሲ. ጨዋታው ለህክምና ግምገማ ይቆማል.ዲ. ተቃዋሚው ዳይቭውን በመቃወም ያሸንፋል።</v>
      </c>
      <c r="J76" s="11" t="str">
        <f>IFERROR(__xludf.DUMMYFUNCTION("GOOGLETRANSLATE(D76, ""en"", ""am"")"),"ጨዋታው በተቃዋሚው ቁጥጥር ስር ሆኖ ቀጥሏል።")</f>
        <v>ጨዋታው በተቃዋሚው ቁጥጥር ስር ሆኖ ቀጥሏል።</v>
      </c>
      <c r="K76" s="11" t="str">
        <f>IFERROR(__xludf.DUMMYFUNCTION("GOOGLETRANSLATE(E76, ""en"", ""am"")"),"የከፍተኛ የበረራ ተለዋዋጭነት ማጣት ብዙውን ጊዜ መቆጣጠሪያውን ወደ ማጣት ያመራል.")</f>
        <v>የከፍተኛ የበረራ ተለዋዋጭነት ማጣት ብዙውን ጊዜ መቆጣጠሪያውን ወደ ማጣት ያመራል.</v>
      </c>
    </row>
    <row r="77" ht="22.5" customHeight="1">
      <c r="A77" s="10">
        <v>76.0</v>
      </c>
      <c r="B77" s="11" t="s">
        <v>1861</v>
      </c>
      <c r="C77" s="11" t="s">
        <v>1862</v>
      </c>
      <c r="D77" s="11" t="s">
        <v>1863</v>
      </c>
      <c r="E77" s="11" t="s">
        <v>1757</v>
      </c>
      <c r="G77" s="11" t="str">
        <f>IFERROR(__xludf.DUMMYFUNCTION("GOOGLETRANSLATE(A77, ""en"", ""am"")"),"76")</f>
        <v>76</v>
      </c>
      <c r="H77" s="11" t="str">
        <f>IFERROR(__xludf.DUMMYFUNCTION("GOOGLETRANSLATE(B77, ""en"", ""am"")"),"አንድ ተዋጊ የተቃዋሚውን ክንድ ለመያዝ እየሞከረ ነው። ተቃዋሚው ወደ ውጭ ይወጣል. ምን ይሆናል?")</f>
        <v>አንድ ተዋጊ የተቃዋሚውን ክንድ ለመያዝ እየሞከረ ነው። ተቃዋሚው ወደ ውጭ ይወጣል. ምን ይሆናል?</v>
      </c>
      <c r="I77" s="11" t="str">
        <f>IFERROR(__xludf.DUMMYFUNCTION("GOOGLETRANSLATE(C77, ""en"", ""am"")"),"ሀ.ጨዋታው ያለ ቅጣት ቀጥሏል.ቢ. ተዋጊው የሚያሸንፈው በመገዛት ነው። ተቃዋሚው ከመገዛት ያመልጣል.ዲ. ግጥሚያው ለግምገማ ይቆማል።")</f>
        <v>ሀ.ጨዋታው ያለ ቅጣት ቀጥሏል.ቢ. ተዋጊው የሚያሸንፈው በመገዛት ነው። ተቃዋሚው ከመገዛት ያመልጣል.ዲ. ግጥሚያው ለግምገማ ይቆማል።</v>
      </c>
      <c r="J77" s="11" t="str">
        <f>IFERROR(__xludf.DUMMYFUNCTION("GOOGLETRANSLATE(D77, ""en"", ""am"")"),"ተዋጊው የሚያሸንፈው በመገዛት ነው።")</f>
        <v>ተዋጊው የሚያሸንፈው በመገዛት ነው።</v>
      </c>
      <c r="K77" s="11" t="str">
        <f>IFERROR(__xludf.DUMMYFUNCTION("GOOGLETRANSLATE(E77, ""en"", ""am"")"),"አስገባ የሚለውን ቁልፍ በመንካት ግጥሚያው ያበቃል።")</f>
        <v>አስገባ የሚለውን ቁልፍ በመንካት ግጥሚያው ያበቃል።</v>
      </c>
    </row>
    <row r="78" ht="22.5" customHeight="1">
      <c r="A78" s="10">
        <v>77.0</v>
      </c>
      <c r="B78" s="11" t="s">
        <v>1864</v>
      </c>
      <c r="C78" s="11" t="s">
        <v>1865</v>
      </c>
      <c r="D78" s="11" t="s">
        <v>1866</v>
      </c>
      <c r="E78" s="11" t="s">
        <v>1867</v>
      </c>
      <c r="G78" s="11" t="str">
        <f>IFERROR(__xludf.DUMMYFUNCTION("GOOGLETRANSLATE(A78, ""en"", ""am"")"),"77")</f>
        <v>77</v>
      </c>
      <c r="H78" s="11" t="str">
        <f>IFERROR(__xludf.DUMMYFUNCTION("GOOGLETRANSLATE(B78, ""en"", ""am"")"),"ተጋዳላይ በተቃዋሚው ፊት ላይ ህገወጥ የጭንቅላት ምት ይሰጣል። ምን ይሆናል?")</f>
        <v>ተጋዳላይ በተቃዋሚው ፊት ላይ ህገወጥ የጭንቅላት ምት ይሰጣል። ምን ይሆናል?</v>
      </c>
      <c r="I78" s="11" t="str">
        <f>IFERROR(__xludf.DUMMYFUNCTION("GOOGLETRANSLATE(C78, ""en"", ""am"")"),"ሀ.ጨዋታው ያለ ቅጣት ቀጥሏል.ቢ. ተዋጊው ለሕገ-ወጥ እርምጃው ብቁ አይደለም.ሲ. ጨዋታው ለህክምና ግምገማ ቆሟል።ዲ. ተቃዋሚው ውድድሩን ከውድድሩ ውጪ አሸንፏል።")</f>
        <v>ሀ.ጨዋታው ያለ ቅጣት ቀጥሏል.ቢ. ተዋጊው ለሕገ-ወጥ እርምጃው ብቁ አይደለም.ሲ. ጨዋታው ለህክምና ግምገማ ቆሟል።ዲ. ተቃዋሚው ውድድሩን ከውድድሩ ውጪ አሸንፏል።</v>
      </c>
      <c r="J78" s="11" t="str">
        <f>IFERROR(__xludf.DUMMYFUNCTION("GOOGLETRANSLATE(D78, ""en"", ""am"")"),"ተዋጊው ለሕገ-ወጥ እርምጃው ብቁ አይደለም.")</f>
        <v>ተዋጊው ለሕገ-ወጥ እርምጃው ብቁ አይደለም.</v>
      </c>
      <c r="K78" s="11" t="str">
        <f>IFERROR(__xludf.DUMMYFUNCTION("GOOGLETRANSLATE(E78, ""en"", ""am"")"),"ህገ-ወጥ የጭንቅላት እገዳዎች ብቃት ማጣትን ያስከትላል።")</f>
        <v>ህገ-ወጥ የጭንቅላት እገዳዎች ብቃት ማጣትን ያስከትላል።</v>
      </c>
    </row>
    <row r="79" ht="22.5" customHeight="1">
      <c r="A79" s="10">
        <v>78.0</v>
      </c>
      <c r="B79" s="11" t="s">
        <v>1868</v>
      </c>
      <c r="C79" s="11" t="s">
        <v>1869</v>
      </c>
      <c r="D79" s="11" t="s">
        <v>1870</v>
      </c>
      <c r="E79" s="11" t="s">
        <v>1871</v>
      </c>
      <c r="G79" s="11" t="str">
        <f>IFERROR(__xludf.DUMMYFUNCTION("GOOGLETRANSLATE(A79, ""en"", ""am"")"),"78")</f>
        <v>78</v>
      </c>
      <c r="H79" s="11" t="str">
        <f>IFERROR(__xludf.DUMMYFUNCTION("GOOGLETRANSLATE(B79, ""en"", ""am"")"),"አንድ ተዋጊ ጀርመናዊ ሱፕሌክስን ቢፈጽም ተቃዋሚው ግን አንገታቸው ላይ አረፈ። ምን ይሆናል?")</f>
        <v>አንድ ተዋጊ ጀርመናዊ ሱፕሌክስን ቢፈጽም ተቃዋሚው ግን አንገታቸው ላይ አረፈ። ምን ይሆናል?</v>
      </c>
      <c r="I79" s="11" t="str">
        <f>IFERROR(__xludf.DUMMYFUNCTION("GOOGLETRANSLATE(C79, ""en"", ""am"")"),"ሀ.ጨዋታው ለህክምና ግምገማ ይቆማል.ቢ. ተዋጊው ለአደገኛ ተግባራት ተስማሚ አይደለም.ሲ. ተቃዋሚው በነባሪ ጨዋታውን ያሸንፋል።ዲ. ጨዋታው በተጋጣሚው ቁጥጥር መደረጉን ቀጥሏል።")</f>
        <v>ሀ.ጨዋታው ለህክምና ግምገማ ይቆማል.ቢ. ተዋጊው ለአደገኛ ተግባራት ተስማሚ አይደለም.ሲ. ተቃዋሚው በነባሪ ጨዋታውን ያሸንፋል።ዲ. ጨዋታው በተጋጣሚው ቁጥጥር መደረጉን ቀጥሏል።</v>
      </c>
      <c r="J79" s="11" t="str">
        <f>IFERROR(__xludf.DUMMYFUNCTION("GOOGLETRANSLATE(D79, ""en"", ""am"")"),"ጨዋታው ለህክምና ምርመራ ይቆማል።")</f>
        <v>ጨዋታው ለህክምና ምርመራ ይቆማል።</v>
      </c>
      <c r="K79" s="11" t="str">
        <f>IFERROR(__xludf.DUMMYFUNCTION("GOOGLETRANSLATE(E79, ""en"", ""am"")"),"አደገኛ እንቅስቃሴዎች ብዙውን ጊዜ ወደ የሕክምና ግምገማዎች ይመራሉ.")</f>
        <v>አደገኛ እንቅስቃሴዎች ብዙውን ጊዜ ወደ የሕክምና ግምገማዎች ይመራሉ.</v>
      </c>
    </row>
    <row r="80" ht="22.5" customHeight="1">
      <c r="A80" s="10">
        <v>79.0</v>
      </c>
      <c r="B80" s="11" t="s">
        <v>1872</v>
      </c>
      <c r="C80" s="11" t="s">
        <v>1873</v>
      </c>
      <c r="D80" s="11" t="s">
        <v>1609</v>
      </c>
      <c r="E80" s="11" t="s">
        <v>1749</v>
      </c>
      <c r="G80" s="11" t="str">
        <f>IFERROR(__xludf.DUMMYFUNCTION("GOOGLETRANSLATE(A80, ""en"", ""am"")"),"79")</f>
        <v>79</v>
      </c>
      <c r="H80" s="11" t="str">
        <f>IFERROR(__xludf.DUMMYFUNCTION("GOOGLETRANSLATE(B80, ""en"", ""am"")"),"አንድ ታጋይ የባላጋራቸውን እግር ለፒን ይይዛል ነገር ግን ትከሻቸውን ሙሉ በሙሉ አልያዘም። ምን ይሆናል?")</f>
        <v>አንድ ታጋይ የባላጋራቸውን እግር ለፒን ይይዛል ነገር ግን ትከሻቸውን ሙሉ በሙሉ አልያዘም። ምን ይሆናል?</v>
      </c>
      <c r="I80" s="11" t="str">
        <f>IFERROR(__xludf.DUMMYFUNCTION("GOOGLETRANSLATE(C80, ""en"", ""am"")"),"ሀ.ጨዋታው ያለ ቅጣት ቀጥሏል.ቢ. ተቃዋሚው ጨዋታውን በፒን.ሲ. ተቃዋሚው ከፒን.ዲ. ፒኑን ለመገምገም ግጥሚያው በመንገዱ ላይ ቆሟል።")</f>
        <v>ሀ.ጨዋታው ያለ ቅጣት ቀጥሏል.ቢ. ተቃዋሚው ጨዋታውን በፒን.ሲ. ተቃዋሚው ከፒን.ዲ. ፒኑን ለመገምገም ግጥሚያው በመንገዱ ላይ ቆሟል።</v>
      </c>
      <c r="J80" s="11" t="str">
        <f>IFERROR(__xludf.DUMMYFUNCTION("GOOGLETRANSLATE(D80, ""en"", ""am"")"),"ጨዋታው ያለምንም ቅጣት ቀጥሏል።")</f>
        <v>ጨዋታው ያለምንም ቅጣት ቀጥሏል።</v>
      </c>
      <c r="K80" s="11" t="str">
        <f>IFERROR(__xludf.DUMMYFUNCTION("GOOGLETRANSLATE(E80, ""en"", ""am"")"),"ፒኑ ሁለቱንም ትከሻዎች ሙሉ በሙሉ ዝቅ ማድረግ ያስፈልገዋል.")</f>
        <v>ፒኑ ሁለቱንም ትከሻዎች ሙሉ በሙሉ ዝቅ ማድረግ ያስፈልገዋል.</v>
      </c>
    </row>
    <row r="81" ht="22.5" customHeight="1">
      <c r="A81" s="10">
        <v>80.0</v>
      </c>
      <c r="B81" s="11" t="s">
        <v>1874</v>
      </c>
      <c r="C81" s="11" t="s">
        <v>1875</v>
      </c>
      <c r="D81" s="11" t="s">
        <v>1876</v>
      </c>
      <c r="E81" s="11" t="s">
        <v>1743</v>
      </c>
      <c r="G81" s="11" t="str">
        <f>IFERROR(__xludf.DUMMYFUNCTION("GOOGLETRANSLATE(A81, ""en"", ""am"")"),"80")</f>
        <v>80</v>
      </c>
      <c r="H81" s="11" t="str">
        <f>IFERROR(__xludf.DUMMYFUNCTION("GOOGLETRANSLATE(B81, ""en"", ""am"")"),"የአንድ ተዋጊ አካል በሚመታበት ጊዜ ከልክ ያለፈ ኃይል ይገዛል። ምን ይሆናል?")</f>
        <v>የአንድ ተዋጊ አካል በሚመታበት ጊዜ ከልክ ያለፈ ኃይል ይገዛል። ምን ይሆናል?</v>
      </c>
      <c r="I81" s="11" t="str">
        <f>IFERROR(__xludf.DUMMYFUNCTION("GOOGLETRANSLATE(C81, ""en"", ""am"")"),"ሀ.ጨዋታው ያለ ቅጣት ቀጥሏል.ቢ. ተዋጊው ከመጠን ያለፈ ጉልበት ብቁ አይደለም.ሲ. ተቃዋሚው ጨዋታውን ያሸንፋል.ዲ. ጨዋታው ለእንቅስቃሴው ግምገማ ቆሟል።")</f>
        <v>ሀ.ጨዋታው ያለ ቅጣት ቀጥሏል.ቢ. ተዋጊው ከመጠን ያለፈ ጉልበት ብቁ አይደለም.ሲ. ተቃዋሚው ጨዋታውን ያሸንፋል.ዲ. ጨዋታው ለእንቅስቃሴው ግምገማ ቆሟል።</v>
      </c>
      <c r="J81" s="11" t="str">
        <f>IFERROR(__xludf.DUMMYFUNCTION("GOOGLETRANSLATE(D81, ""en"", ""am"")"),"ተዋጊው ከልክ ያለፈ ጉልበት ብቁ አይደለም.")</f>
        <v>ተዋጊው ከልክ ያለፈ ጉልበት ብቁ አይደለም.</v>
      </c>
      <c r="K81" s="11" t="str">
        <f>IFERROR(__xludf.DUMMYFUNCTION("GOOGLETRANSLATE(E81, ""en"", ""am"")"),"ከመጠን በላይ ኃይል ወደ ቅጣቶች ወይም ውድቀቶች ሊመራ ይችላል.")</f>
        <v>ከመጠን በላይ ኃይል ወደ ቅጣቶች ወይም ውድቀቶች ሊመራ ይችላል.</v>
      </c>
    </row>
    <row r="82" ht="22.5" customHeight="1">
      <c r="A82" s="10">
        <v>81.0</v>
      </c>
      <c r="B82" s="11" t="s">
        <v>1877</v>
      </c>
      <c r="C82" s="11" t="s">
        <v>1878</v>
      </c>
      <c r="D82" s="11" t="s">
        <v>1609</v>
      </c>
      <c r="E82" s="11" t="s">
        <v>1879</v>
      </c>
      <c r="G82" s="11" t="str">
        <f>IFERROR(__xludf.DUMMYFUNCTION("GOOGLETRANSLATE(A82, ""en"", ""am"")"),"81")</f>
        <v>81</v>
      </c>
      <c r="H82" s="11" t="str">
        <f>IFERROR(__xludf.DUMMYFUNCTION("GOOGLETRANSLATE(B82, ""en"", ""am"")"),"አንድ ታጋይ በግቤት ውስጥ ተቆልፏል, ነገር ግን ተቃዋሚዎቻቸው ህመም ቢሰማቸውም ለመምታት ፈቃደኛ አይደሉም. ምን ይሆናል?")</f>
        <v>አንድ ታጋይ በግቤት ውስጥ ተቆልፏል, ነገር ግን ተቃዋሚዎቻቸው ህመም ቢሰማቸውም ለመምታት ፈቃደኛ አይደሉም. ምን ይሆናል?</v>
      </c>
      <c r="I82" s="11" t="str">
        <f>IFERROR(__xludf.DUMMYFUNCTION("GOOGLETRANSLATE(C82, ""en"", ""am"")"),"ሀ.ጨዋታው ያለ ቅጣት ቀጥሏል.ቢ. ተቃዋሚው ጨዋታውን ለመንካት ፈቃደኛ ባለመሆኑ ያሸንፋል። ጨዋታው ለህክምና ግምገማ ይቆማል.ዲ. ታጋዩ ባለማስረከብ ይቀጣል።")</f>
        <v>ሀ.ጨዋታው ያለ ቅጣት ቀጥሏል.ቢ. ተቃዋሚው ጨዋታውን ለመንካት ፈቃደኛ ባለመሆኑ ያሸንፋል። ጨዋታው ለህክምና ግምገማ ይቆማል.ዲ. ታጋዩ ባለማስረከብ ይቀጣል።</v>
      </c>
      <c r="J82" s="11" t="str">
        <f>IFERROR(__xludf.DUMMYFUNCTION("GOOGLETRANSLATE(D82, ""en"", ""am"")"),"ጨዋታው ያለምንም ቅጣት ቀጥሏል።")</f>
        <v>ጨዋታው ያለምንም ቅጣት ቀጥሏል።</v>
      </c>
      <c r="K82" s="11" t="str">
        <f>IFERROR(__xludf.DUMMYFUNCTION("GOOGLETRANSLATE(E82, ""en"", ""am"")"),"ለመንካት ፈቃደኛ አለመሆን ማስገባቱን አያቆምም።")</f>
        <v>ለመንካት ፈቃደኛ አለመሆን ማስገባቱን አያቆምም።</v>
      </c>
    </row>
    <row r="83" ht="22.5" customHeight="1">
      <c r="A83" s="10">
        <v>82.0</v>
      </c>
      <c r="B83" s="11" t="s">
        <v>1880</v>
      </c>
      <c r="C83" s="11" t="s">
        <v>1881</v>
      </c>
      <c r="D83" s="11" t="s">
        <v>1882</v>
      </c>
      <c r="E83" s="11" t="s">
        <v>1883</v>
      </c>
      <c r="G83" s="11" t="str">
        <f>IFERROR(__xludf.DUMMYFUNCTION("GOOGLETRANSLATE(A83, ""en"", ""am"")"),"82")</f>
        <v>82</v>
      </c>
      <c r="H83" s="11" t="str">
        <f>IFERROR(__xludf.DUMMYFUNCTION("GOOGLETRANSLATE(B83, ""en"", ""am"")"),"አንድ ተዋጊ በአቅርቦት ሙከራ ወቅት ዝቅተኛ ምት በመጠቀም ተይዟል። ምን ይሆናል?")</f>
        <v>አንድ ተዋጊ በአቅርቦት ሙከራ ወቅት ዝቅተኛ ምት በመጠቀም ተይዟል። ምን ይሆናል?</v>
      </c>
      <c r="I83" s="11" t="str">
        <f>IFERROR(__xludf.DUMMYFUNCTION("GOOGLETRANSLATE(C83, ""en"", ""am"")"),"ሀ. ተፎካካሪው በሽንፈት ያሸንፋል። ተፋላሚው ለዝቅተኛ ምት ይቀጣል። ጨዋታው ያለ ቅጣት ቀጥሏል ዲ. ተዋጊው ለህገወጥ ድርጊቶች ብቁ አይደለም.")</f>
        <v>ሀ. ተፎካካሪው በሽንፈት ያሸንፋል። ተፋላሚው ለዝቅተኛ ምት ይቀጣል። ጨዋታው ያለ ቅጣት ቀጥሏል ዲ. ተዋጊው ለህገወጥ ድርጊቶች ብቁ አይደለም.</v>
      </c>
      <c r="J83" s="11" t="str">
        <f>IFERROR(__xludf.DUMMYFUNCTION("GOOGLETRANSLATE(D83, ""en"", ""am"")"),"ተፋላሚው ለዝቅተኛ ምት ይቀጣል።")</f>
        <v>ተፋላሚው ለዝቅተኛ ምት ይቀጣል።</v>
      </c>
      <c r="K83" s="11" t="str">
        <f>IFERROR(__xludf.DUMMYFUNCTION("GOOGLETRANSLATE(E83, ""en"", ""am"")"),"ዝቅተኛ ውጤቶች ቅጣቶች ወይም ብቁ አለመሆንን ያስከትላል።")</f>
        <v>ዝቅተኛ ውጤቶች ቅጣቶች ወይም ብቁ አለመሆንን ያስከትላል።</v>
      </c>
    </row>
    <row r="84" ht="22.5" customHeight="1">
      <c r="A84" s="10">
        <v>83.0</v>
      </c>
      <c r="B84" s="11" t="s">
        <v>1884</v>
      </c>
      <c r="C84" s="11" t="s">
        <v>1885</v>
      </c>
      <c r="D84" s="11" t="s">
        <v>1734</v>
      </c>
      <c r="E84" s="11" t="s">
        <v>1886</v>
      </c>
      <c r="G84" s="11" t="str">
        <f>IFERROR(__xludf.DUMMYFUNCTION("GOOGLETRANSLATE(A84, ""en"", ""am"")"),"83")</f>
        <v>83</v>
      </c>
      <c r="H84" s="11" t="str">
        <f>IFERROR(__xludf.DUMMYFUNCTION("GOOGLETRANSLATE(B84, ""en"", ""am"")"),"አንድ ታጋይ በተቃዋሚው ላይ የኋላ ገለባ ያደርጋል። ተቃዋሚው መቀጠል ካልቻለ ምን ይሆናል?")</f>
        <v>አንድ ታጋይ በተቃዋሚው ላይ የኋላ ገለባ ያደርጋል። ተቃዋሚው መቀጠል ካልቻለ ምን ይሆናል?</v>
      </c>
      <c r="I84" s="11" t="str">
        <f>IFERROR(__xludf.DUMMYFUNCTION("GOOGLETRANSLATE(C84, ""en"", ""am"")"),"ሀ. ተቃዋሚው በነባሪ ጨዋታውን ያሸንፋል። ጨዋታው ለህክምና ግምገማ ቆመ.ሲ. ተዋጊው ለመጠባበቂያ ጥቃት ብቁ አይደለም.ዲ. ጨዋታው በተቃዋሚው ቁጥጥር ስር ሆኖ ቀጥሏል።")</f>
        <v>ሀ. ተቃዋሚው በነባሪ ጨዋታውን ያሸንፋል። ጨዋታው ለህክምና ግምገማ ቆመ.ሲ. ተዋጊው ለመጠባበቂያ ጥቃት ብቁ አይደለም.ዲ. ጨዋታው በተቃዋሚው ቁጥጥር ስር ሆኖ ቀጥሏል።</v>
      </c>
      <c r="J84" s="11" t="str">
        <f>IFERROR(__xludf.DUMMYFUNCTION("GOOGLETRANSLATE(D84, ""en"", ""am"")"),"ጨዋታው የቆመው ለህክምና ምርመራ ነው።")</f>
        <v>ጨዋታው የቆመው ለህክምና ምርመራ ነው።</v>
      </c>
      <c r="K84" s="11" t="str">
        <f>IFERROR(__xludf.DUMMYFUNCTION("GOOGLETRANSLATE(E84, ""en"", ""am"")"),"ከባድ ጉዳት ከመቀጠልዎ በፊት የሕክምና ግምገማ ያስፈልገዋል.")</f>
        <v>ከባድ ጉዳት ከመቀጠልዎ በፊት የሕክምና ግምገማ ያስፈልገዋል.</v>
      </c>
    </row>
    <row r="85" ht="22.5" customHeight="1">
      <c r="A85" s="10">
        <v>84.0</v>
      </c>
      <c r="B85" s="11" t="s">
        <v>1887</v>
      </c>
      <c r="C85" s="11" t="s">
        <v>1888</v>
      </c>
      <c r="D85" s="11" t="s">
        <v>1666</v>
      </c>
      <c r="E85" s="11" t="s">
        <v>1889</v>
      </c>
      <c r="G85" s="11" t="str">
        <f>IFERROR(__xludf.DUMMYFUNCTION("GOOGLETRANSLATE(A85, ""en"", ""am"")"),"84")</f>
        <v>84</v>
      </c>
      <c r="H85" s="11" t="str">
        <f>IFERROR(__xludf.DUMMYFUNCTION("GOOGLETRANSLATE(B85, ""en"", ""am"")"),"አንድ ተዋጊ የሚበር የክርን መውደቅን ቢሞክርም አምልጦታል። ምን ይሆናል?")</f>
        <v>አንድ ተዋጊ የሚበር የክርን መውደቅን ቢሞክርም አምልጦታል። ምን ይሆናል?</v>
      </c>
      <c r="I85" s="11" t="str">
        <f>IFERROR(__xludf.DUMMYFUNCTION("GOOGLETRANSLATE(C85, ""en"", ""am"")"),"ሀ. ጨዋታው በተቃዋሚው ቁጥጥር ስር ይቀጥላል.ቢ. ተቃዋሚው ባልተሳካለት እርምጃ ይቀጣል.ሲ. ጨዋታው ለድርጊት ግምገማ ቆሟል።ዲ. ጨዋታው በተጋጣሚው ቁጥጥር መደረጉን ቀጥሏል።")</f>
        <v>ሀ. ጨዋታው በተቃዋሚው ቁጥጥር ስር ይቀጥላል.ቢ. ተቃዋሚው ባልተሳካለት እርምጃ ይቀጣል.ሲ. ጨዋታው ለድርጊት ግምገማ ቆሟል።ዲ. ጨዋታው በተጋጣሚው ቁጥጥር መደረጉን ቀጥሏል።</v>
      </c>
      <c r="J85" s="11" t="str">
        <f>IFERROR(__xludf.DUMMYFUNCTION("GOOGLETRANSLATE(D85, ""en"", ""am"")"),"ጨዋታው በተቃዋሚው ቁጥጥር ስር ሆኖ ቀጥሏል።")</f>
        <v>ጨዋታው በተቃዋሚው ቁጥጥር ስር ሆኖ ቀጥሏል።</v>
      </c>
      <c r="K85" s="11" t="str">
        <f>IFERROR(__xludf.DUMMYFUNCTION("GOOGLETRANSLATE(E85, ""en"", ""am"")"),"ከፍተኛ የበረራ እንቅስቃሴን ማጣት ተቃዋሚውን ይቆጣጠራል.")</f>
        <v>ከፍተኛ የበረራ እንቅስቃሴን ማጣት ተቃዋሚውን ይቆጣጠራል.</v>
      </c>
    </row>
    <row r="86" ht="22.5" customHeight="1">
      <c r="A86" s="10">
        <v>85.0</v>
      </c>
      <c r="B86" s="11" t="s">
        <v>1890</v>
      </c>
      <c r="C86" s="11" t="s">
        <v>1891</v>
      </c>
      <c r="D86" s="11" t="s">
        <v>1713</v>
      </c>
      <c r="E86" s="11" t="s">
        <v>1821</v>
      </c>
      <c r="G86" s="11" t="str">
        <f>IFERROR(__xludf.DUMMYFUNCTION("GOOGLETRANSLATE(A86, ""en"", ""am"")"),"85")</f>
        <v>85</v>
      </c>
      <c r="H86" s="11" t="str">
        <f>IFERROR(__xludf.DUMMYFUNCTION("GOOGLETRANSLATE(B86, ""en"", ""am"")"),"የትግል እግር በፒን ጊዜ ገመዱን ይነካዋል, ዳኛው ግን አያየውም. ምን ይሆናል?")</f>
        <v>የትግል እግር በፒን ጊዜ ገመዱን ይነካዋል, ዳኛው ግን አያየውም. ምን ይሆናል?</v>
      </c>
      <c r="I86" s="11" t="str">
        <f>IFERROR(__xludf.DUMMYFUNCTION("GOOGLETRANSLATE(C86, ""en"", ""am"")"),"ሀ. ግጥሚያው በተጋጣሚው መቆጣጠሩን ቀጥሏል.ቢ. ተቃዋሚው ጨዋታውን በፒን.ሲ. ተቃዋሚው ገመዱን ለመንካት ብቁ አይደለም.ዲ. ጨዋታው ለፒን ግምገማ ቆሟል።")</f>
        <v>ሀ. ግጥሚያው በተጋጣሚው መቆጣጠሩን ቀጥሏል.ቢ. ተቃዋሚው ጨዋታውን በፒን.ሲ. ተቃዋሚው ገመዱን ለመንካት ብቁ አይደለም.ዲ. ጨዋታው ለፒን ግምገማ ቆሟል።</v>
      </c>
      <c r="J86" s="11" t="str">
        <f>IFERROR(__xludf.DUMMYFUNCTION("GOOGLETRANSLATE(D86, ""en"", ""am"")"),"ጨዋታው በተጋጣሚው ቁጥጥር መደረጉን ቀጥሏል።")</f>
        <v>ጨዋታው በተጋጣሚው ቁጥጥር መደረጉን ቀጥሏል።</v>
      </c>
      <c r="K86" s="11" t="str">
        <f>IFERROR(__xludf.DUMMYFUNCTION("GOOGLETRANSLATE(E86, ""en"", ""am"")"),"የዳኛው ውሳኔ ካልተሻረ በስተቀር የመጨረሻ ነው።")</f>
        <v>የዳኛው ውሳኔ ካልተሻረ በስተቀር የመጨረሻ ነው።</v>
      </c>
    </row>
    <row r="87" ht="22.5" customHeight="1">
      <c r="A87" s="10">
        <v>86.0</v>
      </c>
      <c r="B87" s="11" t="s">
        <v>1892</v>
      </c>
      <c r="C87" s="11" t="s">
        <v>1893</v>
      </c>
      <c r="D87" s="11" t="s">
        <v>1785</v>
      </c>
      <c r="E87" s="11" t="s">
        <v>1894</v>
      </c>
      <c r="G87" s="11" t="str">
        <f>IFERROR(__xludf.DUMMYFUNCTION("GOOGLETRANSLATE(A87, ""en"", ""am"")"),"86")</f>
        <v>86</v>
      </c>
      <c r="H87" s="11" t="str">
        <f>IFERROR(__xludf.DUMMYFUNCTION("GOOGLETRANSLATE(B87, ""en"", ""am"")"),"አንድ ታጋይ ዲዲቲ ያከናውናል እና ተቃዋሚው ወድቋል። ምን ይሆናል?")</f>
        <v>አንድ ታጋይ ዲዲቲ ያከናውናል እና ተቃዋሚው ወድቋል። ምን ይሆናል?</v>
      </c>
      <c r="I87" s="11" t="str">
        <f>IFERROR(__xludf.DUMMYFUNCTION("GOOGLETRANSLATE(C87, ""en"", ""am"")"),"ሀ ግጥሚያው የቆመው ለህክምና ግምገማ ነው። ተቃዋሚው በነባሪ ጨዋታውን ያሸንፋል። ተዋጊው ለእንቅስቃሴው ተስማሚ አይደለም.ዲ. ጨዋታው በተጋጣሚው ቁጥጥር መደረጉን ቀጥሏል።")</f>
        <v>ሀ ግጥሚያው የቆመው ለህክምና ግምገማ ነው። ተቃዋሚው በነባሪ ጨዋታውን ያሸንፋል። ተዋጊው ለእንቅስቃሴው ተስማሚ አይደለም.ዲ. ጨዋታው በተጋጣሚው ቁጥጥር መደረጉን ቀጥሏል።</v>
      </c>
      <c r="J87" s="11" t="str">
        <f>IFERROR(__xludf.DUMMYFUNCTION("GOOGLETRANSLATE(D87, ""en"", ""am"")"),"ጨዋታው የቆመው ለህክምና ምርመራ ነው።")</f>
        <v>ጨዋታው የቆመው ለህክምና ምርመራ ነው።</v>
      </c>
      <c r="K87" s="11" t="str">
        <f>IFERROR(__xludf.DUMMYFUNCTION("GOOGLETRANSLATE(E87, ""en"", ""am"")"),"ማንኳኳት ከመቀጠልዎ በፊት የሕክምና ግምገማዎችን ይጠይቃል.")</f>
        <v>ማንኳኳት ከመቀጠልዎ በፊት የሕክምና ግምገማዎችን ይጠይቃል.</v>
      </c>
    </row>
    <row r="88" ht="22.5" customHeight="1">
      <c r="A88" s="10">
        <v>87.0</v>
      </c>
      <c r="B88" s="11" t="s">
        <v>1895</v>
      </c>
      <c r="C88" s="11" t="s">
        <v>1896</v>
      </c>
      <c r="D88" s="11" t="s">
        <v>1713</v>
      </c>
      <c r="E88" s="11" t="s">
        <v>1897</v>
      </c>
      <c r="G88" s="11" t="str">
        <f>IFERROR(__xludf.DUMMYFUNCTION("GOOGLETRANSLATE(A88, ""en"", ""am"")"),"87")</f>
        <v>87</v>
      </c>
      <c r="H88" s="11" t="str">
        <f>IFERROR(__xludf.DUMMYFUNCTION("GOOGLETRANSLATE(B88, ""en"", ""am"")"),"አንድ ታጋይ የተጋጣሚውን ምት ይይዛል እና የሚሽከረከር የኋላ ገለባ ያደርጋል። ምን ይሆናል?")</f>
        <v>አንድ ታጋይ የተጋጣሚውን ምት ይይዛል እና የሚሽከረከር የኋላ ገለባ ያደርጋል። ምን ይሆናል?</v>
      </c>
      <c r="I88" s="11" t="str">
        <f>IFERROR(__xludf.DUMMYFUNCTION("GOOGLETRANSLATE(C88, ""en"", ""am"")"),"ሀ. ግጥሚያው በተጋጣሚው መቆጣጠሩን ቀጥሏል.ቢ. ተቃዋሚው እንቅስቃሴውን በማስወገድ ያሸንፋል። ተዋጊው ከመጠን ያለፈ ኃይል በመጠቀሙ ይቀጣል.ዲ. ጨዋታው በተጋጣሚው ቁጥጥር መደረጉን ቀጥሏል።")</f>
        <v>ሀ. ግጥሚያው በተጋጣሚው መቆጣጠሩን ቀጥሏል.ቢ. ተቃዋሚው እንቅስቃሴውን በማስወገድ ያሸንፋል። ተዋጊው ከመጠን ያለፈ ኃይል በመጠቀሙ ይቀጣል.ዲ. ጨዋታው በተጋጣሚው ቁጥጥር መደረጉን ቀጥሏል።</v>
      </c>
      <c r="J88" s="11" t="str">
        <f>IFERROR(__xludf.DUMMYFUNCTION("GOOGLETRANSLATE(D88, ""en"", ""am"")"),"ጨዋታው በተጋጣሚው ቁጥጥር መደረጉን ቀጥሏል።")</f>
        <v>ጨዋታው በተጋጣሚው ቁጥጥር መደረጉን ቀጥሏል።</v>
      </c>
      <c r="K88" s="11" t="str">
        <f>IFERROR(__xludf.DUMMYFUNCTION("GOOGLETRANSLATE(E88, ""en"", ""am"")"),"ምቱን በጥይት መቃወም ፍጥነቱን ሊለውጠው ይችላል።")</f>
        <v>ምቱን በጥይት መቃወም ፍጥነቱን ሊለውጠው ይችላል።</v>
      </c>
    </row>
    <row r="89" ht="22.5" customHeight="1">
      <c r="A89" s="10">
        <v>88.0</v>
      </c>
      <c r="B89" s="11" t="s">
        <v>1898</v>
      </c>
      <c r="C89" s="11" t="s">
        <v>1899</v>
      </c>
      <c r="D89" s="11" t="s">
        <v>1666</v>
      </c>
      <c r="E89" s="11" t="s">
        <v>1900</v>
      </c>
      <c r="G89" s="11" t="str">
        <f>IFERROR(__xludf.DUMMYFUNCTION("GOOGLETRANSLATE(A89, ""en"", ""am"")"),"88")</f>
        <v>88</v>
      </c>
      <c r="H89" s="11" t="str">
        <f>IFERROR(__xludf.DUMMYFUNCTION("GOOGLETRANSLATE(B89, ""en"", ""am"")"),"አንድ ታጋይ እንቁራሪትን ለመርጨት ቢሞክርም ናፈቀ። ምን ይሆናል?")</f>
        <v>አንድ ታጋይ እንቁራሪትን ለመርጨት ቢሞክርም ናፈቀ። ምን ይሆናል?</v>
      </c>
      <c r="I89" s="11" t="str">
        <f>IFERROR(__xludf.DUMMYFUNCTION("GOOGLETRANSLATE(C89, ""en"", ""am"")"),"ሀ. ጨዋታው በተቃዋሚው ቁጥጥር ስር ይቀጥላል.ቢ. ግጥሚያው ያመለጠውን ብልጭታ ለመገምገም ባለበት ቆመ። ታጋዩ ፍጥነቱን መቀጠል ባለመቻሉ ይቀጣል.ዲ. ጨዋታው በተቃዋሚው ቁጥጥር ስር ሆኖ ቀጥሏል።")</f>
        <v>ሀ. ጨዋታው በተቃዋሚው ቁጥጥር ስር ይቀጥላል.ቢ. ግጥሚያው ያመለጠውን ብልጭታ ለመገምገም ባለበት ቆመ። ታጋዩ ፍጥነቱን መቀጠል ባለመቻሉ ይቀጣል.ዲ. ጨዋታው በተቃዋሚው ቁጥጥር ስር ሆኖ ቀጥሏል።</v>
      </c>
      <c r="J89" s="11" t="str">
        <f>IFERROR(__xludf.DUMMYFUNCTION("GOOGLETRANSLATE(D89, ""en"", ""am"")"),"ጨዋታው በተቃዋሚው ቁጥጥር ስር ሆኖ ቀጥሏል።")</f>
        <v>ጨዋታው በተቃዋሚው ቁጥጥር ስር ሆኖ ቀጥሏል።</v>
      </c>
      <c r="K89" s="11" t="str">
        <f>IFERROR(__xludf.DUMMYFUNCTION("GOOGLETRANSLATE(E89, ""en"", ""am"")"),"የአየር እንቅስቃሴን ማጣት መቆጣጠርን ያስከትላል.")</f>
        <v>የአየር እንቅስቃሴን ማጣት መቆጣጠርን ያስከትላል.</v>
      </c>
    </row>
    <row r="90" ht="22.5" customHeight="1">
      <c r="A90" s="10">
        <v>89.0</v>
      </c>
      <c r="B90" s="11" t="s">
        <v>1901</v>
      </c>
      <c r="C90" s="11" t="s">
        <v>1902</v>
      </c>
      <c r="D90" s="11" t="s">
        <v>1903</v>
      </c>
      <c r="E90" s="11" t="s">
        <v>1904</v>
      </c>
      <c r="G90" s="11" t="str">
        <f>IFERROR(__xludf.DUMMYFUNCTION("GOOGLETRANSLATE(A90, ""en"", ""am"")"),"89")</f>
        <v>89</v>
      </c>
      <c r="H90" s="11" t="str">
        <f>IFERROR(__xludf.DUMMYFUNCTION("GOOGLETRANSLATE(B90, ""en"", ""am"")"),"አንድ ታጋይ በተቃዋሚው ላይ ክምር ይሠራል። የተቃዋሚው አንገት ተጎድቷል. ምን ይሆናል?")</f>
        <v>አንድ ታጋይ በተቃዋሚው ላይ ክምር ይሠራል። የተቃዋሚው አንገት ተጎድቷል. ምን ይሆናል?</v>
      </c>
      <c r="I90" s="11" t="str">
        <f>IFERROR(__xludf.DUMMYFUNCTION("GOOGLETRANSLATE(C90, ""en"", ""am"")"),"ሀ.ጨዋታው በህክምና ግምገማ ቀጥሏል.ቢ. ተዋጊው ለአደገኛው እርምጃ ተስማሚ አይደለም.ሲ. ተቃዋሚው በነባሪ በጉዳት ያሸንፋል።ዲ. ጨዋታው የቆመው ለህክምና ምርመራ ነው።")</f>
        <v>ሀ.ጨዋታው በህክምና ግምገማ ቀጥሏል.ቢ. ተዋጊው ለአደገኛው እርምጃ ተስማሚ አይደለም.ሲ. ተቃዋሚው በነባሪ በጉዳት ያሸንፋል።ዲ. ጨዋታው የቆመው ለህክምና ምርመራ ነው።</v>
      </c>
      <c r="J90" s="11" t="str">
        <f>IFERROR(__xludf.DUMMYFUNCTION("GOOGLETRANSLATE(D90, ""en"", ""am"")"),"ተዋጊው ለአደገኛው እርምጃ ተስማሚ አይደለም.")</f>
        <v>ተዋጊው ለአደገኛው እርምጃ ተስማሚ አይደለም.</v>
      </c>
      <c r="K90" s="11" t="str">
        <f>IFERROR(__xludf.DUMMYFUNCTION("GOOGLETRANSLATE(E90, ""en"", ""am"")"),"አደገኛ እንቅስቃሴዎች የሕክምና ግምገማዎችን እና ውድቅነትን ሊያስከትሉ ይችላሉ.")</f>
        <v>አደገኛ እንቅስቃሴዎች የሕክምና ግምገማዎችን እና ውድቅነትን ሊያስከትሉ ይችላሉ.</v>
      </c>
    </row>
    <row r="91" ht="22.5" customHeight="1">
      <c r="A91" s="10">
        <v>90.0</v>
      </c>
      <c r="B91" s="11" t="s">
        <v>1905</v>
      </c>
      <c r="C91" s="11" t="s">
        <v>1906</v>
      </c>
      <c r="D91" s="11" t="s">
        <v>1907</v>
      </c>
      <c r="E91" s="11" t="s">
        <v>1908</v>
      </c>
      <c r="G91" s="11" t="str">
        <f>IFERROR(__xludf.DUMMYFUNCTION("GOOGLETRANSLATE(A91, ""en"", ""am"")"),"90")</f>
        <v>90</v>
      </c>
      <c r="H91" s="11" t="str">
        <f>IFERROR(__xludf.DUMMYFUNCTION("GOOGLETRANSLATE(B91, ""en"", ""am"")"),"አንድ ተዋጊ መሳሪያ ሲጠቀም ተይዟል። ምን ይሆናል?")</f>
        <v>አንድ ተዋጊ መሳሪያ ሲጠቀም ተይዟል። ምን ይሆናል?</v>
      </c>
      <c r="I91" s="11" t="str">
        <f>IFERROR(__xludf.DUMMYFUNCTION("GOOGLETRANSLATE(C91, ""en"", ""am"")"),"ሀ. ግጥሚያው በተጋጣሚው መቆጣጠሩን ቀጥሏል.ቢ. ተዋጊው መሳሪያ ስለተጠቀመ ይቀጣል.ሲ. ሁኔታውን ለመገምገም ጨዋታው ቆመ።ዲ. ተቃዋሚው ውድድሩን ከውድድሩ ውጪ አሸንፏል።")</f>
        <v>ሀ. ግጥሚያው በተጋጣሚው መቆጣጠሩን ቀጥሏል.ቢ. ተዋጊው መሳሪያ ስለተጠቀመ ይቀጣል.ሲ. ሁኔታውን ለመገምገም ጨዋታው ቆመ።ዲ. ተቃዋሚው ውድድሩን ከውድድሩ ውጪ አሸንፏል።</v>
      </c>
      <c r="J91" s="11" t="str">
        <f>IFERROR(__xludf.DUMMYFUNCTION("GOOGLETRANSLATE(D91, ""en"", ""am"")"),"ተዋጊው መሳሪያ በመጠቀሙ ይቀጣል።")</f>
        <v>ተዋጊው መሳሪያ በመጠቀሙ ይቀጣል።</v>
      </c>
      <c r="K91" s="11" t="str">
        <f>IFERROR(__xludf.DUMMYFUNCTION("GOOGLETRANSLATE(E91, ""en"", ""am"")"),"በመግቢያ ስራዎች ወቅት የጦር መሳሪያዎች ውድቅ ናቸው.")</f>
        <v>በመግቢያ ስራዎች ወቅት የጦር መሳሪያዎች ውድቅ ናቸው.</v>
      </c>
    </row>
    <row r="92" ht="22.5" customHeight="1">
      <c r="A92" s="10">
        <v>91.0</v>
      </c>
      <c r="B92" s="11" t="s">
        <v>1909</v>
      </c>
      <c r="C92" s="11" t="s">
        <v>1910</v>
      </c>
      <c r="D92" s="11" t="s">
        <v>1666</v>
      </c>
      <c r="E92" s="11" t="s">
        <v>1911</v>
      </c>
      <c r="G92" s="11" t="str">
        <f>IFERROR(__xludf.DUMMYFUNCTION("GOOGLETRANSLATE(A92, ""en"", ""am"")"),"91")</f>
        <v>91</v>
      </c>
      <c r="H92" s="11" t="str">
        <f>IFERROR(__xludf.DUMMYFUNCTION("GOOGLETRANSLATE(B92, ""en"", ""am"")"),"አንድ ተዋጊ ተቀናቃኞቻቸውን ወደ መረጋጋት ቦታ ያነሳቸዋል ፣ ግን ተቃዋሚው ለማምለጥ ችሏል። ምን ይሆናል?")</f>
        <v>አንድ ተዋጊ ተቀናቃኞቻቸውን ወደ መረጋጋት ቦታ ያነሳቸዋል ፣ ግን ተቃዋሚው ለማምለጥ ችሏል። ምን ይሆናል?</v>
      </c>
      <c r="I92" s="11" t="str">
        <f>IFERROR(__xludf.DUMMYFUNCTION("GOOGLETRANSLATE(C92, ""en"", ""am"")"),"ሀ. ጨዋታው በተቃዋሚው ቁጥጥር ስር ይቀጥላል.ቢ. ተዋጊው ለስኬታማ ሱፕሌክስ ይቀጣል.ሲ. ግጥሚያው የማምለጫውን ግምገማ ያቆማል.ዲ. ተቃዋሚው ለማምለጥ ነጥብ ይሰጠዋል.")</f>
        <v>ሀ. ጨዋታው በተቃዋሚው ቁጥጥር ስር ይቀጥላል.ቢ. ተዋጊው ለስኬታማ ሱፕሌክስ ይቀጣል.ሲ. ግጥሚያው የማምለጫውን ግምገማ ያቆማል.ዲ. ተቃዋሚው ለማምለጥ ነጥብ ይሰጠዋል.</v>
      </c>
      <c r="J92" s="11" t="str">
        <f>IFERROR(__xludf.DUMMYFUNCTION("GOOGLETRANSLATE(D92, ""en"", ""am"")"),"ጨዋታው በተቃዋሚው ቁጥጥር ስር ሆኖ ቀጥሏል።")</f>
        <v>ጨዋታው በተቃዋሚው ቁጥጥር ስር ሆኖ ቀጥሏል።</v>
      </c>
      <c r="K92" s="11" t="str">
        <f>IFERROR(__xludf.DUMMYFUNCTION("GOOGLETRANSLATE(E92, ""en"", ""am"")"),"ከሱፕሌክስ ማምለጥ ብዙውን ጊዜ መቆጣጠርን ያስከትላል.")</f>
        <v>ከሱፕሌክስ ማምለጥ ብዙውን ጊዜ መቆጣጠርን ያስከትላል.</v>
      </c>
    </row>
    <row r="93" ht="22.5" customHeight="1">
      <c r="A93" s="10">
        <v>92.0</v>
      </c>
      <c r="B93" s="11" t="s">
        <v>1912</v>
      </c>
      <c r="C93" s="11" t="s">
        <v>1913</v>
      </c>
      <c r="D93" s="11" t="s">
        <v>1666</v>
      </c>
      <c r="E93" s="11" t="s">
        <v>1914</v>
      </c>
      <c r="G93" s="11" t="str">
        <f>IFERROR(__xludf.DUMMYFUNCTION("GOOGLETRANSLATE(A93, ""en"", ""am"")"),"92")</f>
        <v>92</v>
      </c>
      <c r="H93" s="11" t="str">
        <f>IFERROR(__xludf.DUMMYFUNCTION("GOOGLETRANSLATE(B93, ""en"", ""am"")"),"አንድ ተፋላሚ ለ dropkick ይሄዳል ነገር ግን ሙሉ በሙሉ ይናፍቀዋል። ምን ይሆናል?")</f>
        <v>አንድ ተፋላሚ ለ dropkick ይሄዳል ነገር ግን ሙሉ በሙሉ ይናፍቀዋል። ምን ይሆናል?</v>
      </c>
      <c r="I93" s="11" t="str">
        <f>IFERROR(__xludf.DUMMYFUNCTION("GOOGLETRANSLATE(C93, ""en"", ""am"")"),"ሀ. ተቃዋሚው በፒን.ቢ. ጨዋታው በተቃዋሚው ቁጥጥር ስር ይቀጥላል.ሲ. ተቃዋሚው ላመለጠው እንቅስቃሴ ይቀጣል.ዲ. ጨዋታው ለህክምና ምርመራ ይቆማል።")</f>
        <v>ሀ. ተቃዋሚው በፒን.ቢ. ጨዋታው በተቃዋሚው ቁጥጥር ስር ይቀጥላል.ሲ. ተቃዋሚው ላመለጠው እንቅስቃሴ ይቀጣል.ዲ. ጨዋታው ለህክምና ምርመራ ይቆማል።</v>
      </c>
      <c r="J93" s="11" t="str">
        <f>IFERROR(__xludf.DUMMYFUNCTION("GOOGLETRANSLATE(D93, ""en"", ""am"")"),"ጨዋታው በተቃዋሚው ቁጥጥር ስር ሆኖ ቀጥሏል።")</f>
        <v>ጨዋታው በተቃዋሚው ቁጥጥር ስር ሆኖ ቀጥሏል።</v>
      </c>
      <c r="K93" s="11" t="str">
        <f>IFERROR(__xludf.DUMMYFUNCTION("GOOGLETRANSLATE(E93, ""en"", ""am"")"),"ከፍተኛ የበረራ እንቅስቃሴን ማጣት ወደ ኪሳራ ሊያመራ ይችላል.")</f>
        <v>ከፍተኛ የበረራ እንቅስቃሴን ማጣት ወደ ኪሳራ ሊያመራ ይችላል.</v>
      </c>
    </row>
    <row r="94" ht="22.5" customHeight="1">
      <c r="A94" s="10">
        <v>93.0</v>
      </c>
      <c r="B94" s="11" t="s">
        <v>1915</v>
      </c>
      <c r="C94" s="11" t="s">
        <v>1916</v>
      </c>
      <c r="D94" s="11" t="s">
        <v>1917</v>
      </c>
      <c r="E94" s="11" t="s">
        <v>1918</v>
      </c>
      <c r="G94" s="11" t="str">
        <f>IFERROR(__xludf.DUMMYFUNCTION("GOOGLETRANSLATE(A94, ""en"", ""am"")"),"93")</f>
        <v>93</v>
      </c>
      <c r="H94" s="11" t="str">
        <f>IFERROR(__xludf.DUMMYFUNCTION("GOOGLETRANSLATE(B94, ""en"", ""am"")"),"አንድ ታጋይ እንቅልፍ የሚይዘውን ለመቆለፍ ይሞክራል፣ ነገር ግን ተቃዋሚው በሚሽከረከርበት ፒን ይቆጥራል። ምን ይሆናል?")</f>
        <v>አንድ ታጋይ እንቅልፍ የሚይዘውን ለመቆለፍ ይሞክራል፣ ነገር ግን ተቃዋሚው በሚሽከረከርበት ፒን ይቆጥራል። ምን ይሆናል?</v>
      </c>
      <c r="I94" s="11" t="str">
        <f>IFERROR(__xludf.DUMMYFUNCTION("GOOGLETRANSLATE(C94, ""en"", ""am"")"),"ሀ. ተቃዋሚው አሸንፏል.ቢ. ጨዋታው በተቃዋሚው ቁጥጥር ስር ይቀጥላል.ሲ. ተቃዋሚው ተሰክቶ በጨዋታው ተሸንፏል።ዲ. ተቃዋሚው ጨዋታውን በፒን ያሸንፋል።")</f>
        <v>ሀ. ተቃዋሚው አሸንፏል.ቢ. ጨዋታው በተቃዋሚው ቁጥጥር ስር ይቀጥላል.ሲ. ተቃዋሚው ተሰክቶ በጨዋታው ተሸንፏል።ዲ. ተቃዋሚው ጨዋታውን በፒን ያሸንፋል።</v>
      </c>
      <c r="J94" s="11" t="str">
        <f>IFERROR(__xludf.DUMMYFUNCTION("GOOGLETRANSLATE(D94, ""en"", ""am"")"),"ተጋጣሚው ተሰክቶ በጨዋታው ተሸንፏል።")</f>
        <v>ተጋጣሚው ተሰክቶ በጨዋታው ተሸንፏል።</v>
      </c>
      <c r="K94" s="11" t="str">
        <f>IFERROR(__xludf.DUMMYFUNCTION("GOOGLETRANSLATE(E94, ""en"", ""am"")"),"በፒን ግቤትን መቃወም አሸናፊነትን ያስከትላል።")</f>
        <v>በፒን ግቤትን መቃወም አሸናፊነትን ያስከትላል።</v>
      </c>
    </row>
    <row r="95" ht="22.5" customHeight="1">
      <c r="A95" s="10">
        <v>94.0</v>
      </c>
      <c r="B95" s="11" t="s">
        <v>1919</v>
      </c>
      <c r="C95" s="11" t="s">
        <v>1920</v>
      </c>
      <c r="D95" s="11" t="s">
        <v>1921</v>
      </c>
      <c r="E95" s="11" t="s">
        <v>1922</v>
      </c>
      <c r="G95" s="11" t="str">
        <f>IFERROR(__xludf.DUMMYFUNCTION("GOOGLETRANSLATE(A95, ""en"", ""am"")"),"94")</f>
        <v>94</v>
      </c>
      <c r="H95" s="11" t="str">
        <f>IFERROR(__xludf.DUMMYFUNCTION("GOOGLETRANSLATE(B95, ""en"", ""am"")"),"አንድ ተፋላሚ ማነቆ እየሰራ ነው፣ ዳኛው ግን አስተውሎ የእረፍት ጊዜውን ጠራ። ምን ይሆናል?")</f>
        <v>አንድ ተፋላሚ ማነቆ እየሰራ ነው፣ ዳኛው ግን አስተውሎ የእረፍት ጊዜውን ጠራ። ምን ይሆናል?</v>
      </c>
      <c r="I95" s="11" t="str">
        <f>IFERROR(__xludf.DUMMYFUNCTION("GOOGLETRANSLATE(C95, ""en"", ""am"")"),"ሀ. ተዋጊው የሚያሸንፈው በመገዛት ነው።ለ. ጨዋታው በዳኛ ማስጠንቀቂያ ቀጠለ። ተዋጊው ማነቆውን በህገወጥ መንገድ ለመጠቀም ብቁ አይደለም.ዲ. ጨዋታው ለድርጊት ግምገማ ቆሟል።")</f>
        <v>ሀ. ተዋጊው የሚያሸንፈው በመገዛት ነው።ለ. ጨዋታው በዳኛ ማስጠንቀቂያ ቀጠለ። ተዋጊው ማነቆውን በህገወጥ መንገድ ለመጠቀም ብቁ አይደለም.ዲ. ጨዋታው ለድርጊት ግምገማ ቆሟል።</v>
      </c>
      <c r="J95" s="11" t="str">
        <f>IFERROR(__xludf.DUMMYFUNCTION("GOOGLETRANSLATE(D95, ""en"", ""am"")"),"ጨዋታው በዳኛ ማስጠንቀቂያ ቀጠለ።")</f>
        <v>ጨዋታው በዳኛ ማስጠንቀቂያ ቀጠለ።</v>
      </c>
      <c r="K95" s="11" t="str">
        <f>IFERROR(__xludf.DUMMYFUNCTION("GOOGLETRANSLATE(E95, ""en"", ""am"")"),"ማገድ ብዙ ጊዜ ህገወጥ ነው እና ወደ ማስጠንቀቂያዎች ወይም ብቁ አለመሆንን ያስከትላል።")</f>
        <v>ማገድ ብዙ ጊዜ ህገወጥ ነው እና ወደ ማስጠንቀቂያዎች ወይም ብቁ አለመሆንን ያስከትላል።</v>
      </c>
    </row>
    <row r="96" ht="22.5" customHeight="1">
      <c r="A96" s="10">
        <v>95.0</v>
      </c>
      <c r="B96" s="11" t="s">
        <v>1923</v>
      </c>
      <c r="C96" s="11" t="s">
        <v>1924</v>
      </c>
      <c r="D96" s="11" t="s">
        <v>1925</v>
      </c>
      <c r="E96" s="11" t="s">
        <v>1926</v>
      </c>
      <c r="G96" s="11" t="str">
        <f>IFERROR(__xludf.DUMMYFUNCTION("GOOGLETRANSLATE(A96, ""en"", ""am"")"),"95")</f>
        <v>95</v>
      </c>
      <c r="H96" s="11" t="str">
        <f>IFERROR(__xludf.DUMMYFUNCTION("GOOGLETRANSLATE(B96, ""en"", ""am"")"),"አንድ ተዋጊ በተሳካ ሁኔታ አንድ ሱፐርፕሌክስን ከላይኛው ገመድ ያስፈጽማል, ነገር ግን ሁለቱም ተዋጊዎች በጣም ርቀው ይወድቃሉ. ምን ይሆናል?")</f>
        <v>አንድ ተዋጊ በተሳካ ሁኔታ አንድ ሱፐርፕሌክስን ከላይኛው ገመድ ያስፈጽማል, ነገር ግን ሁለቱም ተዋጊዎች በጣም ርቀው ይወድቃሉ. ምን ይሆናል?</v>
      </c>
      <c r="I96" s="11" t="str">
        <f>IFERROR(__xludf.DUMMYFUNCTION("GOOGLETRANSLATE(C96, ""en"", ""am"")"),"ሀ ግጥሚያው ከሁለቱም ታጋዮች ጋር በህመም ቀጠለ። እርምጃውን የወሰደው ተዋጊ ውድቅ ሆኗል.ሲ. ጨዋታው ለህክምና ቆመ.ዲ. ተቃዋሚው መቀጠል እንዳልቻለ ተቆጥሯል።")</f>
        <v>ሀ ግጥሚያው ከሁለቱም ታጋዮች ጋር በህመም ቀጠለ። እርምጃውን የወሰደው ተዋጊ ውድቅ ሆኗል.ሲ. ጨዋታው ለህክምና ቆመ.ዲ. ተቃዋሚው መቀጠል እንዳልቻለ ተቆጥሯል።</v>
      </c>
      <c r="J96" s="11" t="str">
        <f>IFERROR(__xludf.DUMMYFUNCTION("GOOGLETRANSLATE(D96, ""en"", ""am"")"),"ጨዋታው ለህክምና ቆመ።")</f>
        <v>ጨዋታው ለህክምና ቆመ።</v>
      </c>
      <c r="K96" s="11" t="str">
        <f>IFERROR(__xludf.DUMMYFUNCTION("GOOGLETRANSLATE(E96, ""en"", ""am"")"),"እንደ ሱፐርፕሌክስ ያሉ አደገኛ እንቅስቃሴዎች ብዙ ጊዜ የሕክምና ግምገማ ያስፈልጋቸዋል።")</f>
        <v>እንደ ሱፐርፕሌክስ ያሉ አደገኛ እንቅስቃሴዎች ብዙ ጊዜ የሕክምና ግምገማ ያስፈልጋቸዋል።</v>
      </c>
    </row>
    <row r="97" ht="22.5" customHeight="1">
      <c r="A97" s="10">
        <v>96.0</v>
      </c>
      <c r="B97" s="11" t="s">
        <v>1927</v>
      </c>
      <c r="C97" s="11" t="s">
        <v>1928</v>
      </c>
      <c r="D97" s="11" t="s">
        <v>1929</v>
      </c>
      <c r="E97" s="11" t="s">
        <v>1930</v>
      </c>
      <c r="G97" s="11" t="str">
        <f>IFERROR(__xludf.DUMMYFUNCTION("GOOGLETRANSLATE(A97, ""en"", ""am"")"),"96")</f>
        <v>96</v>
      </c>
      <c r="H97" s="11" t="str">
        <f>IFERROR(__xludf.DUMMYFUNCTION("GOOGLETRANSLATE(B97, ""en"", ""am"")"),"አንድ ተዋጊ በተጋጣሚው ላይ በከፍተኛ የሚበር ጠልቆ ይፈጽማል፣ ነገር ግን ሁለቱም ተዋጊዎች ቀለበቱ ውስጥ ይጋጫሉ። ምን ይሆናል?")</f>
        <v>አንድ ተዋጊ በተጋጣሚው ላይ በከፍተኛ የሚበር ጠልቆ ይፈጽማል፣ ነገር ግን ሁለቱም ተዋጊዎች ቀለበቱ ውስጥ ይጋጫሉ። ምን ይሆናል?</v>
      </c>
      <c r="I97" s="11" t="str">
        <f>IFERROR(__xludf.DUMMYFUNCTION("GOOGLETRANSLATE(C97, ""en"", ""am"")"),"ሀ/ ሁለቱም ተጋጣሚዎች መንቀሳቀስ ባለመቻላቸው ጨዋታው ቀጠለ። ተቃዋሚው የአደጋው መንስኤ ለመሆን ብቁ አይደለም.ሲ. ጨዋታው በሁለቱም ተዋጊዎች የህክምና ግምገማ ምክንያት ተቋርጧል።ዲ. ተዋጊው ለከፍተኛ በረራ ለመጥለቅ ብቁ አይደለም።")</f>
        <v>ሀ/ ሁለቱም ተጋጣሚዎች መንቀሳቀስ ባለመቻላቸው ጨዋታው ቀጠለ። ተቃዋሚው የአደጋው መንስኤ ለመሆን ብቁ አይደለም.ሲ. ጨዋታው በሁለቱም ተዋጊዎች የህክምና ግምገማ ምክንያት ተቋርጧል።ዲ. ተዋጊው ለከፍተኛ በረራ ለመጥለቅ ብቁ አይደለም።</v>
      </c>
      <c r="J97" s="11" t="str">
        <f>IFERROR(__xludf.DUMMYFUNCTION("GOOGLETRANSLATE(D97, ""en"", ""am"")"),"በሁለቱም ተዋጊዎች የህክምና ግምገማ ምክንያት ጨዋታው ተቋርጧል።")</f>
        <v>በሁለቱም ተዋጊዎች የህክምና ግምገማ ምክንያት ጨዋታው ተቋርጧል።</v>
      </c>
      <c r="K97" s="11" t="str">
        <f>IFERROR(__xludf.DUMMYFUNCTION("GOOGLETRANSLATE(E97, ""en"", ""am"")"),"ወደ መጠለያው መግባት የሕክምና ግምገማ ያስፈልገዋል.")</f>
        <v>ወደ መጠለያው መግባት የሕክምና ግምገማ ያስፈልገዋል.</v>
      </c>
    </row>
    <row r="98" ht="22.5" customHeight="1">
      <c r="A98" s="10">
        <v>97.0</v>
      </c>
      <c r="B98" s="11" t="s">
        <v>1931</v>
      </c>
      <c r="C98" s="11" t="s">
        <v>1932</v>
      </c>
      <c r="D98" s="11" t="s">
        <v>1734</v>
      </c>
      <c r="E98" s="11" t="s">
        <v>1933</v>
      </c>
      <c r="G98" s="11" t="str">
        <f>IFERROR(__xludf.DUMMYFUNCTION("GOOGLETRANSLATE(A98, ""en"", ""am"")"),"97")</f>
        <v>97</v>
      </c>
      <c r="H98" s="11" t="str">
        <f>IFERROR(__xludf.DUMMYFUNCTION("GOOGLETRANSLATE(B98, ""en"", ""am"")"),"አንድ ተፋላሚ ፒልድሪቨርን ይሰራል፣ ነገር ግን በእንቅስቃሴው ወቅት የተቃዋሚው አንገት ይጎዳል። ምን ይሆናል?")</f>
        <v>አንድ ተፋላሚ ፒልድሪቨርን ይሰራል፣ ነገር ግን በእንቅስቃሴው ወቅት የተቃዋሚው አንገት ይጎዳል። ምን ይሆናል?</v>
      </c>
      <c r="I98" s="11" t="str">
        <f>IFERROR(__xludf.DUMMYFUNCTION("GOOGLETRANSLATE(C98, ""en"", ""am"")"),"ሀ.ጨዋታው በህክምና ግምገማ ቀጥሏል.ቢ. ተዋጊው ለአደገኛው እርምጃ ተስማሚ አይደለም.ሲ. ጨዋታው ለህክምና ግምገማ ቆመ.ዲ. በጉዳት ምክንያት ተቃዋሚው በነባሪነት ያሸንፋል።")</f>
        <v>ሀ.ጨዋታው በህክምና ግምገማ ቀጥሏል.ቢ. ተዋጊው ለአደገኛው እርምጃ ተስማሚ አይደለም.ሲ. ጨዋታው ለህክምና ግምገማ ቆመ.ዲ. በጉዳት ምክንያት ተቃዋሚው በነባሪነት ያሸንፋል።</v>
      </c>
      <c r="J98" s="11" t="str">
        <f>IFERROR(__xludf.DUMMYFUNCTION("GOOGLETRANSLATE(D98, ""en"", ""am"")"),"ጨዋታው የቆመው ለህክምና ምርመራ ነው።")</f>
        <v>ጨዋታው የቆመው ለህክምና ምርመራ ነው።</v>
      </c>
      <c r="K98" s="11" t="str">
        <f>IFERROR(__xludf.DUMMYFUNCTION("GOOGLETRANSLATE(E98, ""en"", ""am"")"),"እንደ መቅዘፊያ ያሉ አደገኛ እንቅስቃሴዎች ከባድ የአካል ጉዳት እና የህክምና ግምገማ ሊያስከትሉ ይችላሉ።")</f>
        <v>እንደ መቅዘፊያ ያሉ አደገኛ እንቅስቃሴዎች ከባድ የአካል ጉዳት እና የህክምና ግምገማ ሊያስከትሉ ይችላሉ።</v>
      </c>
    </row>
    <row r="99" ht="22.5" customHeight="1">
      <c r="A99" s="10">
        <v>98.0</v>
      </c>
      <c r="B99" s="11" t="s">
        <v>1934</v>
      </c>
      <c r="C99" s="11" t="s">
        <v>1935</v>
      </c>
      <c r="D99" s="11" t="s">
        <v>1936</v>
      </c>
      <c r="E99" s="11" t="s">
        <v>1937</v>
      </c>
      <c r="G99" s="11" t="str">
        <f>IFERROR(__xludf.DUMMYFUNCTION("GOOGLETRANSLATE(A99, ""en"", ""am"")"),"98")</f>
        <v>98</v>
      </c>
      <c r="H99" s="11" t="str">
        <f>IFERROR(__xludf.DUMMYFUNCTION("GOOGLETRANSLATE(B99, ""en"", ""am"")"),"አንድ ተዋጊ የቁርጭምጭሚትን መቆለፊያ ለመቆለፍ ይሞክራል ፣ ግን ተቃዋሚው በመንከባለል ይቃወማል። ምን ይሆናል?")</f>
        <v>አንድ ተዋጊ የቁርጭምጭሚትን መቆለፊያ ለመቆለፍ ይሞክራል ፣ ግን ተቃዋሚው በመንከባለል ይቃወማል። ምን ይሆናል?</v>
      </c>
      <c r="I99" s="11" t="str">
        <f>IFERROR(__xludf.DUMMYFUNCTION("GOOGLETRANSLATE(C99, ""en"", ""am"")"),"ሀ. ግጥሚያው አሁንም እንደ ተቃዋሚው ቀጥሏል.ቢ. ተቃዋሚው ይሸሻል እና እንቅስቃሴውን ይቆጣጠራል.ሲ. ጨዋታው ቆጣሪውን ለመገምገም ይቆማል.ዲ. ተጋጣሚው በጨዋታው አሸንፏል።")</f>
        <v>ሀ. ግጥሚያው አሁንም እንደ ተቃዋሚው ቀጥሏል.ቢ. ተቃዋሚው ይሸሻል እና እንቅስቃሴውን ይቆጣጠራል.ሲ. ጨዋታው ቆጣሪውን ለመገምገም ይቆማል.ዲ. ተጋጣሚው በጨዋታው አሸንፏል።</v>
      </c>
      <c r="J99" s="11" t="str">
        <f>IFERROR(__xludf.DUMMYFUNCTION("GOOGLETRANSLATE(D99, ""en"", ""am"")"),"ተቃዋሚው ይሸሻል እና እንቅስቃሴውን ይቆጣጠራል።")</f>
        <v>ተቃዋሚው ይሸሻል እና እንቅስቃሴውን ይቆጣጠራል።</v>
      </c>
      <c r="K99" s="11" t="str">
        <f>IFERROR(__xludf.DUMMYFUNCTION("GOOGLETRANSLATE(E99, ""en"", ""am"")"),"የቁርጭምጭሚትን መቆለፊያ ማምለጥ ለተቃዋሚው ቁጥጥር ይሰጣል.")</f>
        <v>የቁርጭምጭሚትን መቆለፊያ ማምለጥ ለተቃዋሚው ቁጥጥር ይሰጣል.</v>
      </c>
    </row>
    <row r="100" ht="22.5" customHeight="1">
      <c r="A100" s="10">
        <v>99.0</v>
      </c>
      <c r="B100" s="11" t="s">
        <v>1938</v>
      </c>
      <c r="C100" s="11" t="s">
        <v>1939</v>
      </c>
      <c r="D100" s="11" t="s">
        <v>1940</v>
      </c>
      <c r="E100" s="11" t="s">
        <v>1941</v>
      </c>
      <c r="G100" s="11" t="str">
        <f>IFERROR(__xludf.DUMMYFUNCTION("GOOGLETRANSLATE(A100, ""en"", ""am"")"),"99")</f>
        <v>99</v>
      </c>
      <c r="H100" s="11" t="str">
        <f>IFERROR(__xludf.DUMMYFUNCTION("GOOGLETRANSLATE(B100, ""en"", ""am"")"),"ተጋጣሚያቸው በባዕድ ነገር ይመታቸውና ዳኛው ያያሉ። ምን ይሆናል?")</f>
        <v>ተጋጣሚያቸው በባዕድ ነገር ይመታቸውና ዳኛው ያያሉ። ምን ይሆናል?</v>
      </c>
      <c r="I100" s="11" t="str">
        <f>IFERROR(__xludf.DUMMYFUNCTION("GOOGLETRANSLATE(C100, ""en"", ""am"")"),"ሀ.ጨዋታው ያለ ቅጣት ቀጥሏል.ቢ. ተዋጊው ባዕድ ነገር ለመጠቀም ብቁ አይደለም.ሲ. ተቃዋሚው ውድድሩን ከውድድሩ ውጪ አሸንፏል.ዲ. ጨዋታው ሁኔታውን ለመገምገም ይቆማል.")</f>
        <v>ሀ.ጨዋታው ያለ ቅጣት ቀጥሏል.ቢ. ተዋጊው ባዕድ ነገር ለመጠቀም ብቁ አይደለም.ሲ. ተቃዋሚው ውድድሩን ከውድድሩ ውጪ አሸንፏል.ዲ. ጨዋታው ሁኔታውን ለመገምገም ይቆማል.</v>
      </c>
      <c r="J100" s="11" t="str">
        <f>IFERROR(__xludf.DUMMYFUNCTION("GOOGLETRANSLATE(D100, ""en"", ""am"")"),"ተዋጊው ባዕድ ነገር ለመጠቀም ብቁ አይደለም.")</f>
        <v>ተዋጊው ባዕድ ነገር ለመጠቀም ብቁ አይደለም.</v>
      </c>
      <c r="K100" s="11" t="str">
        <f>IFERROR(__xludf.DUMMYFUNCTION("GOOGLETRANSLATE(E100, ""en"", ""am"")"),"የውጭ ቁሳቁሶችን መጠቀም ውድቅ ያደርገዋል.")</f>
        <v>የውጭ ቁሳቁሶችን መጠቀም ውድቅ ያደርገዋል.</v>
      </c>
    </row>
    <row r="101" ht="22.5" customHeight="1">
      <c r="A101" s="10">
        <v>100.0</v>
      </c>
      <c r="B101" s="11" t="s">
        <v>1942</v>
      </c>
      <c r="C101" s="11" t="s">
        <v>1943</v>
      </c>
      <c r="D101" s="11" t="s">
        <v>1944</v>
      </c>
      <c r="E101" s="11" t="s">
        <v>1945</v>
      </c>
      <c r="G101" s="11" t="str">
        <f>IFERROR(__xludf.DUMMYFUNCTION("GOOGLETRANSLATE(A101, ""en"", ""am"")"),"100")</f>
        <v>100</v>
      </c>
      <c r="H101" s="11" t="str">
        <f>IFERROR(__xludf.DUMMYFUNCTION("GOOGLETRANSLATE(B101, ""en"", ""am"")"),"አንድ ተዋጊ ከላይኛው ገመድ ላይ ሆኖ የጨረቃ መውረርን ሲሞክር ግን አምልጦ ምንጣፉ ላይ ወደቀ። ምን ይሆናል?")</f>
        <v>አንድ ተዋጊ ከላይኛው ገመድ ላይ ሆኖ የጨረቃ መውረርን ሲሞክር ግን አምልጦ ምንጣፉ ላይ ወደቀ። ምን ይሆናል?</v>
      </c>
      <c r="I101" s="11" t="str">
        <f>IFERROR(__xludf.DUMMYFUNCTION("GOOGLETRANSLATE(C101, ""en"", ""am"")"),"ሀ. ግጥሚያው በተቃዋሚው ቁጥጥር ይቀጥላል.ቢ. ተቃዋሚው ለተሳካው እርምጃ ነጥብ ይሰጠዋል.ሲ. ተፋላሚው ያልተሳካለት የጨረቃ ሳርስን ይቀጣል.ዲ. ጨዋታው ያልተሳካውን እንቅስቃሴ ለመገምገም ይቆማል።")</f>
        <v>ሀ. ግጥሚያው በተቃዋሚው ቁጥጥር ይቀጥላል.ቢ. ተቃዋሚው ለተሳካው እርምጃ ነጥብ ይሰጠዋል.ሲ. ተፋላሚው ያልተሳካለት የጨረቃ ሳርስን ይቀጣል.ዲ. ጨዋታው ያልተሳካውን እንቅስቃሴ ለመገምገም ይቆማል።</v>
      </c>
      <c r="J101" s="11" t="str">
        <f>IFERROR(__xludf.DUMMYFUNCTION("GOOGLETRANSLATE(D101, ""en"", ""am"")"),"ተጋጣሚው ተቆጣጥሮ ጨዋታው ቀጥሏል።")</f>
        <v>ተጋጣሚው ተቆጣጥሮ ጨዋታው ቀጥሏል።</v>
      </c>
      <c r="K101" s="11" t="str">
        <f>IFERROR(__xludf.DUMMYFUNCTION("GOOGLETRANSLATE(E101, ""en"", ""am"")"),"የጨረቃ ሣልት ማጣት ብዙውን ጊዜ መቆጣጠርን ያስከትላል።")</f>
        <v>የጨረቃ ሣልት ማጣት ብዙውን ጊዜ መቆጣጠርን ያስከትላል።</v>
      </c>
    </row>
    <row r="102" ht="22.5" customHeight="1">
      <c r="A102" s="10">
        <v>101.0</v>
      </c>
      <c r="B102" s="11" t="s">
        <v>1946</v>
      </c>
      <c r="C102" s="11" t="s">
        <v>1947</v>
      </c>
      <c r="D102" s="11" t="s">
        <v>1948</v>
      </c>
      <c r="E102" s="11" t="s">
        <v>1949</v>
      </c>
      <c r="G102" s="11" t="str">
        <f>IFERROR(__xludf.DUMMYFUNCTION("GOOGLETRANSLATE(A102, ""en"", ""am"")"),"101")</f>
        <v>101</v>
      </c>
      <c r="H102" s="11" t="str">
        <f>IFERROR(__xludf.DUMMYFUNCTION("GOOGLETRANSLATE(B102, ""en"", ""am"")"),"አንድ ተዋጊ ተፎካካሪያቸው መታ ካደረጉ በኋላ በጣም ረጅም ግቤት ይይዛል። ምን ይሆናል?")</f>
        <v>አንድ ተዋጊ ተፎካካሪያቸው መታ ካደረጉ በኋላ በጣም ረጅም ግቤት ይይዛል። ምን ይሆናል?</v>
      </c>
      <c r="I102" s="11" t="str">
        <f>IFERROR(__xludf.DUMMYFUNCTION("GOOGLETRANSLATE(C102, ""en"", ""am"")"),"ሀ. ታጋዩ የተያዘውን ባለመልቀቁ ውድቅ ሆኗል.B. ግጥሚያው በተቆጣጣሪው ይቀጥላል። ተቃዋሚው በመገዛት ያሸንፋል።ዲ. ዳኛው ጨዋታውን አቁሞ ተጋጣሚውን ያስጠነቅቃል።")</f>
        <v>ሀ. ታጋዩ የተያዘውን ባለመልቀቁ ውድቅ ሆኗል.B. ግጥሚያው በተቆጣጣሪው ይቀጥላል። ተቃዋሚው በመገዛት ያሸንፋል።ዲ. ዳኛው ጨዋታውን አቁሞ ተጋጣሚውን ያስጠነቅቃል።</v>
      </c>
      <c r="J102" s="11" t="str">
        <f>IFERROR(__xludf.DUMMYFUNCTION("GOOGLETRANSLATE(D102, ""en"", ""am"")"),"ተፋላሚው መያዣውን ባለመልቀቁ ምክንያት ውድቅ ተደርጓል።")</f>
        <v>ተፋላሚው መያዣውን ባለመልቀቁ ምክንያት ውድቅ ተደርጓል።</v>
      </c>
      <c r="K102" s="11" t="str">
        <f>IFERROR(__xludf.DUMMYFUNCTION("GOOGLETRANSLATE(E102, ""en"", ""am"")"),"ከቧንቧው በኋላ ማስረከብን መያዙ ውድቅ ማድረጉን ያስከትላል።")</f>
        <v>ከቧንቧው በኋላ ማስረከብን መያዙ ውድቅ ማድረጉን ያስከትላል።</v>
      </c>
    </row>
    <row r="103" ht="22.5" customHeight="1">
      <c r="A103" s="10">
        <v>102.0</v>
      </c>
      <c r="B103" s="11" t="s">
        <v>1950</v>
      </c>
      <c r="C103" s="11" t="s">
        <v>1951</v>
      </c>
      <c r="D103" s="11" t="s">
        <v>1944</v>
      </c>
      <c r="E103" s="11" t="s">
        <v>1952</v>
      </c>
      <c r="G103" s="11" t="str">
        <f>IFERROR(__xludf.DUMMYFUNCTION("GOOGLETRANSLATE(A103, ""en"", ""am"")"),"102")</f>
        <v>102</v>
      </c>
      <c r="H103" s="11" t="str">
        <f>IFERROR(__xludf.DUMMYFUNCTION("GOOGLETRANSLATE(B103, ""en"", ""am"")"),"አንድ ተፋላሚ በስእል-አራት እግር መቆለፊያን ይተገብራል, ነገር ግን ተቃዋሚው በመገልበጥ ይቆጥራል. ምን ይሆናል?")</f>
        <v>አንድ ተፋላሚ በስእል-አራት እግር መቆለፊያን ይተገብራል, ነገር ግን ተቃዋሚው በመገልበጥ ይቆጥራል. ምን ይሆናል?</v>
      </c>
      <c r="I103" s="11" t="str">
        <f>IFERROR(__xludf.DUMMYFUNCTION("GOOGLETRANSLATE(C103, ""en"", ""am"")"),"ሀ. ተቃዋሚው ተሰክቷል እና ጨዋታውን ያሸንፋል። ግጥሚያው በተቃዋሚው ቁጥጥር ይቀጥላል.ሲ. ተዋጊው በግጥሚያው ያሸንፋል።ዲ. ግጥሚያው የተገላቢጦሹን ግምገማ ይቆማል።")</f>
        <v>ሀ. ተቃዋሚው ተሰክቷል እና ጨዋታውን ያሸንፋል። ግጥሚያው በተቃዋሚው ቁጥጥር ይቀጥላል.ሲ. ተዋጊው በግጥሚያው ያሸንፋል።ዲ. ግጥሚያው የተገላቢጦሹን ግምገማ ይቆማል።</v>
      </c>
      <c r="J103" s="11" t="str">
        <f>IFERROR(__xludf.DUMMYFUNCTION("GOOGLETRANSLATE(D103, ""en"", ""am"")"),"ተጋጣሚው ተቆጣጥሮ ጨዋታው ቀጥሏል።")</f>
        <v>ተጋጣሚው ተቆጣጥሮ ጨዋታው ቀጥሏል።</v>
      </c>
      <c r="K103" s="11" t="str">
        <f>IFERROR(__xludf.DUMMYFUNCTION("GOOGLETRANSLATE(E103, ""en"", ""am"")"),"በፒን ውስጥ ማስገባትን መቀልበስ ብዙውን ጊዜ ግጥሚያውን ወደ አሸናፊነት ይመራል።")</f>
        <v>በፒን ውስጥ ማስገባትን መቀልበስ ብዙውን ጊዜ ግጥሚያውን ወደ አሸናፊነት ይመራል።</v>
      </c>
    </row>
    <row r="104" ht="22.5" customHeight="1">
      <c r="A104" s="10">
        <v>103.0</v>
      </c>
      <c r="B104" s="11" t="s">
        <v>1953</v>
      </c>
      <c r="C104" s="11" t="s">
        <v>1954</v>
      </c>
      <c r="D104" s="11" t="s">
        <v>1955</v>
      </c>
      <c r="E104" s="11" t="s">
        <v>1956</v>
      </c>
      <c r="G104" s="11" t="str">
        <f>IFERROR(__xludf.DUMMYFUNCTION("GOOGLETRANSLATE(A104, ""en"", ""am"")"),"103")</f>
        <v>103</v>
      </c>
      <c r="H104" s="11" t="str">
        <f>IFERROR(__xludf.DUMMYFUNCTION("GOOGLETRANSLATE(B104, ""en"", ""am"")"),"አንድ ተዋጊ በግጥሚያ ወቅት ዝቅተኛ ምት ይመታል። ምን ይሆናል?")</f>
        <v>አንድ ተዋጊ በግጥሚያ ወቅት ዝቅተኛ ምት ይመታል። ምን ይሆናል?</v>
      </c>
      <c r="I104" s="11" t="str">
        <f>IFERROR(__xludf.DUMMYFUNCTION("GOOGLETRANSLATE(C104, ""en"", ""am"")"),"ሀ. ግጥሚያው ይቆማል እና ተጋጣሚው ውድቅ ሆኗል.B. ተቃዋሚው በውድድሩ ያሸንፋል። ታጋዩ በማስጠንቀቂያ ይቀጣል.ዲ. ተጋጣሚው ተቆጣጥሮ ጨዋታው ቀጥሏል።")</f>
        <v>ሀ. ግጥሚያው ይቆማል እና ተጋጣሚው ውድቅ ሆኗል.B. ተቃዋሚው በውድድሩ ያሸንፋል። ታጋዩ በማስጠንቀቂያ ይቀጣል.ዲ. ተጋጣሚው ተቆጣጥሮ ጨዋታው ቀጥሏል።</v>
      </c>
      <c r="J104" s="11" t="str">
        <f>IFERROR(__xludf.DUMMYFUNCTION("GOOGLETRANSLATE(D104, ""en"", ""am"")"),"ተጋጣሚው በውድድሩ ያሸነፈው ከውድድሩ ውጪ ነው።")</f>
        <v>ተጋጣሚው በውድድሩ ያሸነፈው ከውድድሩ ውጪ ነው።</v>
      </c>
      <c r="K104" s="11" t="str">
        <f>IFERROR(__xludf.DUMMYFUNCTION("GOOGLETRANSLATE(E104, ""en"", ""am"")"),"ዝቅተኛ ድብደባዎች ሕገ-ወጥ ናቸው እና ውድቅነትን ያስከትላሉ.")</f>
        <v>ዝቅተኛ ድብደባዎች ሕገ-ወጥ ናቸው እና ውድቅነትን ያስከትላሉ.</v>
      </c>
    </row>
    <row r="105" ht="22.5" customHeight="1">
      <c r="A105" s="10">
        <v>104.0</v>
      </c>
      <c r="B105" s="11" t="s">
        <v>1957</v>
      </c>
      <c r="C105" s="11" t="s">
        <v>1958</v>
      </c>
      <c r="D105" s="11" t="s">
        <v>1959</v>
      </c>
      <c r="E105" s="11" t="s">
        <v>1960</v>
      </c>
      <c r="G105" s="11" t="str">
        <f>IFERROR(__xludf.DUMMYFUNCTION("GOOGLETRANSLATE(A105, ""en"", ""am"")"),"104")</f>
        <v>104</v>
      </c>
      <c r="H105" s="11" t="str">
        <f>IFERROR(__xludf.DUMMYFUNCTION("GOOGLETRANSLATE(B105, ""en"", ""am"")"),"አንድ ታጋይ ከላይኛው ገመድ ላይ ሆኖ ተሻጋሪውን ቢሞክርም በተጋጣሚው ተይዟል። ምን ይሆናል?")</f>
        <v>አንድ ታጋይ ከላይኛው ገመድ ላይ ሆኖ ተሻጋሪውን ቢሞክርም በተጋጣሚው ተይዟል። ምን ይሆናል?</v>
      </c>
      <c r="I105" s="11" t="str">
        <f>IFERROR(__xludf.DUMMYFUNCTION("GOOGLETRANSLATE(C105, ""en"", ""am"")"),"ሀ. ግጥሚያው በተቃዋሚው ቁጥጥር ይቀጥላል.ቢ. ተፋላሚው ወዲያው ተሰክቷል.ሲ. ተቃዋሚው እርምጃውን ወደ ስላም.ዲ. ግጥሚያው ለእንቅስቃሴው ግምገማ ይቆማል።")</f>
        <v>ሀ. ግጥሚያው በተቃዋሚው ቁጥጥር ይቀጥላል.ቢ. ተፋላሚው ወዲያው ተሰክቷል.ሲ. ተቃዋሚው እርምጃውን ወደ ስላም.ዲ. ግጥሚያው ለእንቅስቃሴው ግምገማ ይቆማል።</v>
      </c>
      <c r="J105" s="11" t="str">
        <f>IFERROR(__xludf.DUMMYFUNCTION("GOOGLETRANSLATE(D105, ""en"", ""am"")"),"ተቃዋሚው እርምጃውን ወደ ጩኸት ይቃወማል።")</f>
        <v>ተቃዋሚው እርምጃውን ወደ ጩኸት ይቃወማል።</v>
      </c>
      <c r="K105" s="11" t="str">
        <f>IFERROR(__xludf.DUMMYFUNCTION("GOOGLETRANSLATE(E105, ""en"", ""am"")"),"መስቀለኛ መንገድን መያዝ ለቆጣሪ መንሸራተት ያስችላል።")</f>
        <v>መስቀለኛ መንገድን መያዝ ለቆጣሪ መንሸራተት ያስችላል።</v>
      </c>
    </row>
    <row r="106" ht="22.5" customHeight="1">
      <c r="A106" s="10">
        <v>105.0</v>
      </c>
      <c r="B106" s="11" t="s">
        <v>1961</v>
      </c>
      <c r="C106" s="11" t="s">
        <v>1962</v>
      </c>
      <c r="D106" s="11" t="s">
        <v>1963</v>
      </c>
      <c r="E106" s="11" t="s">
        <v>1964</v>
      </c>
      <c r="G106" s="11" t="str">
        <f>IFERROR(__xludf.DUMMYFUNCTION("GOOGLETRANSLATE(A106, ""en"", ""am"")"),"105")</f>
        <v>105</v>
      </c>
      <c r="H106" s="11" t="str">
        <f>IFERROR(__xludf.DUMMYFUNCTION("GOOGLETRANSLATE(B106, ""en"", ""am"")"),"አንድ ታጋይ ግቤትን ለመቆለፍ ይሞክራል ነገር ግን ተቃዋሚው ቀለበቱን በማንከባለል ይቆጥራል። ምን ይሆናል?")</f>
        <v>አንድ ታጋይ ግቤትን ለመቆለፍ ይሞክራል ነገር ግን ተቃዋሚው ቀለበቱን በማንከባለል ይቆጥራል። ምን ይሆናል?</v>
      </c>
      <c r="I106" s="11" t="str">
        <f>IFERROR(__xludf.DUMMYFUNCTION("GOOGLETRANSLATE(C106, ""en"", ""am"")"),"ሀ ግጥሚያው ከቀለበት ውጪ ካለው ተቀናቃኝ ጋር ይቀጥላል። ጨዋታው ሁኔታውን ለመገምገም ይቆማል.ሲ. ተፋላሚው የሚያሸንፈው በመቁጠር ነው።ዲ. ግጥሚያው ከቀለበት ውጭ ካለው ተቃዋሚ ጋር ይቀጥላል።")</f>
        <v>ሀ ግጥሚያው ከቀለበት ውጪ ካለው ተቀናቃኝ ጋር ይቀጥላል። ጨዋታው ሁኔታውን ለመገምገም ይቆማል.ሲ. ተፋላሚው የሚያሸንፈው በመቁጠር ነው።ዲ. ግጥሚያው ከቀለበት ውጭ ካለው ተቃዋሚ ጋር ይቀጥላል።</v>
      </c>
      <c r="J106" s="11" t="str">
        <f>IFERROR(__xludf.DUMMYFUNCTION("GOOGLETRANSLATE(D106, ""en"", ""am"")"),"ግጥሚያው ከቀለበት ውጭ ካለው ተቃዋሚ ጋር ይቀጥላል።")</f>
        <v>ግጥሚያው ከቀለበት ውጭ ካለው ተቃዋሚ ጋር ይቀጥላል።</v>
      </c>
      <c r="K106" s="11" t="str">
        <f>IFERROR(__xludf.DUMMYFUNCTION("GOOGLETRANSLATE(E106, ""en"", ""am"")"),"ቀለበቱን ማምለጥ ማስረከብን ሊያፈርስ እና ግጥሚያውን ዳግም ሊያስጀምር ይችላል።")</f>
        <v>ቀለበቱን ማምለጥ ማስረከብን ሊያፈርስ እና ግጥሚያውን ዳግም ሊያስጀምር ይችላል።</v>
      </c>
    </row>
    <row r="107" ht="22.5" customHeight="1">
      <c r="A107" s="10">
        <v>106.0</v>
      </c>
      <c r="B107" s="11" t="s">
        <v>1965</v>
      </c>
      <c r="C107" s="11" t="s">
        <v>1966</v>
      </c>
      <c r="D107" s="11" t="s">
        <v>1967</v>
      </c>
      <c r="E107" s="11" t="s">
        <v>1968</v>
      </c>
      <c r="G107" s="11" t="str">
        <f>IFERROR(__xludf.DUMMYFUNCTION("GOOGLETRANSLATE(A107, ""en"", ""am"")"),"106")</f>
        <v>106</v>
      </c>
      <c r="H107" s="11" t="str">
        <f>IFERROR(__xludf.DUMMYFUNCTION("GOOGLETRANSLATE(B107, ""en"", ""am"")"),"ተጋጣሚያቸው በብረት ወንበር ቢመታቸውም ዳኛው ግን አላየውም። ምን ይሆናል?")</f>
        <v>ተጋጣሚያቸው በብረት ወንበር ቢመታቸውም ዳኛው ግን አላየውም። ምን ይሆናል?</v>
      </c>
      <c r="I107" s="11" t="str">
        <f>IFERROR(__xludf.DUMMYFUNCTION("GOOGLETRANSLATE(C107, ""en"", ""am"")"),"ሀ ግጥሚያው በቁጥጥሩ ስር ባለ ታጋዩ ቀጥሏል። ተፋላሚው ወንበር ለመጠቀም ብቁ አይደለም.ሲ. ተቃዋሚው በውድድሩ ያሸነፈው ብቃትን በማጣት ነው ዲ. ጨዋታው ያለምንም ቅጣት ቀጥሏል።")</f>
        <v>ሀ ግጥሚያው በቁጥጥሩ ስር ባለ ታጋዩ ቀጥሏል። ተፋላሚው ወንበር ለመጠቀም ብቁ አይደለም.ሲ. ተቃዋሚው በውድድሩ ያሸነፈው ብቃትን በማጣት ነው ዲ. ጨዋታው ያለምንም ቅጣት ቀጥሏል።</v>
      </c>
      <c r="J107" s="11" t="str">
        <f>IFERROR(__xludf.DUMMYFUNCTION("GOOGLETRANSLATE(D107, ""en"", ""am"")"),"ግጥሚያው በተጋጣሚው ተቆጣጥሮ ቀጥሏል።")</f>
        <v>ግጥሚያው በተጋጣሚው ተቆጣጥሮ ቀጥሏል።</v>
      </c>
      <c r="K107" s="11" t="str">
        <f>IFERROR(__xludf.DUMMYFUNCTION("GOOGLETRANSLATE(E107, ""en"", ""am"")"),"ሳይታወቅ ወንበር መጠቀም ብዙውን ጊዜ ጥቅምን ያስገኛል.")</f>
        <v>ሳይታወቅ ወንበር መጠቀም ብዙውን ጊዜ ጥቅምን ያስገኛል.</v>
      </c>
    </row>
    <row r="108" ht="22.5" customHeight="1">
      <c r="A108" s="10">
        <v>107.0</v>
      </c>
      <c r="B108" s="11" t="s">
        <v>1969</v>
      </c>
      <c r="C108" s="11" t="s">
        <v>1970</v>
      </c>
      <c r="D108" s="11" t="s">
        <v>1944</v>
      </c>
      <c r="E108" s="11" t="s">
        <v>1971</v>
      </c>
      <c r="G108" s="11" t="str">
        <f>IFERROR(__xludf.DUMMYFUNCTION("GOOGLETRANSLATE(A108, ""en"", ""am"")"),"107")</f>
        <v>107</v>
      </c>
      <c r="H108" s="11" t="str">
        <f>IFERROR(__xludf.DUMMYFUNCTION("GOOGLETRANSLATE(B108, ""en"", ""am"")"),"አንድ ተዋጊ ተፎካካሪያቸውን ለሃይል ቦምብ ያነሳል ነገር ግን ተቃዋሚው አውሎ ነፋሱን ለመቋቋም ችሏል። ምን ይሆናል?")</f>
        <v>አንድ ተዋጊ ተፎካካሪያቸውን ለሃይል ቦምብ ያነሳል ነገር ግን ተቃዋሚው አውሎ ነፋሱን ለመቋቋም ችሏል። ምን ይሆናል?</v>
      </c>
      <c r="I108" s="11" t="str">
        <f>IFERROR(__xludf.DUMMYFUNCTION("GOOGLETRANSLATE(C108, ""en"", ""am"")"),"ሀ. ታጋዩ ወዲያው ተሰክቷል.ቢ. ግጥሚያው በተቃዋሚው ቁጥጥር ይቀጥላል.ሲ. ተጋጣሚው ውድድሩን በተገላቢጦሽ ያሸንፋል.ዲ. ግጥሚያው ለእንቅስቃሴው ግምገማ ይቆማል።")</f>
        <v>ሀ. ታጋዩ ወዲያው ተሰክቷል.ቢ. ግጥሚያው በተቃዋሚው ቁጥጥር ይቀጥላል.ሲ. ተጋጣሚው ውድድሩን በተገላቢጦሽ ያሸንፋል.ዲ. ግጥሚያው ለእንቅስቃሴው ግምገማ ይቆማል።</v>
      </c>
      <c r="J108" s="11" t="str">
        <f>IFERROR(__xludf.DUMMYFUNCTION("GOOGLETRANSLATE(D108, ""en"", ""am"")"),"ተጋጣሚው ተቆጣጥሮ ጨዋታው ቀጥሏል።")</f>
        <v>ተጋጣሚው ተቆጣጥሮ ጨዋታው ቀጥሏል።</v>
      </c>
      <c r="K108" s="11" t="str">
        <f>IFERROR(__xludf.DUMMYFUNCTION("GOOGLETRANSLATE(E108, ""en"", ""am"")"),"ኃይለኛ ቦምብ ከአውሎ ነፋስ ጋር መቃወም ብዙውን ጊዜ ቁጥጥርን ያስከትላል።")</f>
        <v>ኃይለኛ ቦምብ ከአውሎ ነፋስ ጋር መቃወም ብዙውን ጊዜ ቁጥጥርን ያስከትላል።</v>
      </c>
    </row>
    <row r="109" ht="22.5" customHeight="1">
      <c r="A109" s="10">
        <v>108.0</v>
      </c>
      <c r="B109" s="11" t="s">
        <v>1972</v>
      </c>
      <c r="C109" s="11" t="s">
        <v>1973</v>
      </c>
      <c r="D109" s="11" t="s">
        <v>1944</v>
      </c>
      <c r="E109" s="11" t="s">
        <v>1974</v>
      </c>
      <c r="G109" s="11" t="str">
        <f>IFERROR(__xludf.DUMMYFUNCTION("GOOGLETRANSLATE(A109, ""en"", ""am"")"),"108")</f>
        <v>108</v>
      </c>
      <c r="H109" s="11" t="str">
        <f>IFERROR(__xludf.DUMMYFUNCTION("GOOGLETRANSLATE(B109, ""en"", ""am"")"),"አንድ ተዋጊ ጀርመናዊውን ሱፕሌክስ ያስፈጽማል ነገር ግን ተቃዋሚው በእግራቸው ላይ አረፈ እና በሱፐርኪክ ባንኮኒዎች. ምን ይሆናል?")</f>
        <v>አንድ ተዋጊ ጀርመናዊውን ሱፕሌክስ ያስፈጽማል ነገር ግን ተቃዋሚው በእግራቸው ላይ አረፈ እና በሱፐርኪክ ባንኮኒዎች. ምን ይሆናል?</v>
      </c>
      <c r="I109" s="11" t="str">
        <f>IFERROR(__xludf.DUMMYFUNCTION("GOOGLETRANSLATE(C109, ""en"", ""am"")"),"ሀ. ግጥሚያው በተቃዋሚው ቁጥጥር ይቀጥላል.ቢ. ተፋላሚው ወዲያው ተሰክቷል.ሲ. ግጥሚያው ቆሟል ለግምገማ ቆጣሪ.ዲ. ተቃዋሚው ለሱፐርኪክ ብቁ አይደለም።")</f>
        <v>ሀ. ግጥሚያው በተቃዋሚው ቁጥጥር ይቀጥላል.ቢ. ተፋላሚው ወዲያው ተሰክቷል.ሲ. ግጥሚያው ቆሟል ለግምገማ ቆጣሪ.ዲ. ተቃዋሚው ለሱፐርኪክ ብቁ አይደለም።</v>
      </c>
      <c r="J109" s="11" t="str">
        <f>IFERROR(__xludf.DUMMYFUNCTION("GOOGLETRANSLATE(D109, ""en"", ""am"")"),"ተጋጣሚው ተቆጣጥሮ ጨዋታው ቀጥሏል።")</f>
        <v>ተጋጣሚው ተቆጣጥሮ ጨዋታው ቀጥሏል።</v>
      </c>
      <c r="K109" s="11" t="str">
        <f>IFERROR(__xludf.DUMMYFUNCTION("GOOGLETRANSLATE(E109, ""en"", ""am"")"),"ከሱፕሌክስ በእግር ላይ ማረፍ ብዙውን ጊዜ ወደ ቆጣሪ መንቀሳቀስ ይመራል.")</f>
        <v>ከሱፕሌክስ በእግር ላይ ማረፍ ብዙውን ጊዜ ወደ ቆጣሪ መንቀሳቀስ ይመራል.</v>
      </c>
    </row>
    <row r="110" ht="22.5" customHeight="1">
      <c r="A110" s="10">
        <v>109.0</v>
      </c>
      <c r="B110" s="11" t="s">
        <v>1975</v>
      </c>
      <c r="C110" s="11" t="s">
        <v>1976</v>
      </c>
      <c r="D110" s="11" t="s">
        <v>1944</v>
      </c>
      <c r="E110" s="11" t="s">
        <v>1977</v>
      </c>
      <c r="G110" s="11" t="str">
        <f>IFERROR(__xludf.DUMMYFUNCTION("GOOGLETRANSLATE(A110, ""en"", ""am"")"),"109")</f>
        <v>109</v>
      </c>
      <c r="H110" s="11" t="str">
        <f>IFERROR(__xludf.DUMMYFUNCTION("GOOGLETRANSLATE(B110, ""en"", ""am"")"),"አንድ ታጋይ ዲዲቲ ለመምታት ሲሞክር ተቃዋሚያቸው ከሆድ ወደ ሆድ ሱፕሌክስ በማንሳት ይቃወማሉ። ምን ይሆናል?")</f>
        <v>አንድ ታጋይ ዲዲቲ ለመምታት ሲሞክር ተቃዋሚያቸው ከሆድ ወደ ሆድ ሱፕሌክስ በማንሳት ይቃወማሉ። ምን ይሆናል?</v>
      </c>
      <c r="I110" s="11" t="str">
        <f>IFERROR(__xludf.DUMMYFUNCTION("GOOGLETRANSLATE(C110, ""en"", ""am"")"),"ሀ. ግጥሚያው በተቃዋሚው ቁጥጥር ይቀጥላል.ቢ. ተፋላሚው ወዲያው ተሰክቷል.ሲ. ግጥሚያው የተገላቢጦሹን ግምገማ ይቆማል።ዲ. ተጋጣሚው በፒን ግጥሚያውን ያሸንፋል።")</f>
        <v>ሀ. ግጥሚያው በተቃዋሚው ቁጥጥር ይቀጥላል.ቢ. ተፋላሚው ወዲያው ተሰክቷል.ሲ. ግጥሚያው የተገላቢጦሹን ግምገማ ይቆማል።ዲ. ተጋጣሚው በፒን ግጥሚያውን ያሸንፋል።</v>
      </c>
      <c r="J110" s="11" t="str">
        <f>IFERROR(__xludf.DUMMYFUNCTION("GOOGLETRANSLATE(D110, ""en"", ""am"")"),"ተጋጣሚው ተቆጣጥሮ ጨዋታው ቀጥሏል።")</f>
        <v>ተጋጣሚው ተቆጣጥሮ ጨዋታው ቀጥሏል።</v>
      </c>
      <c r="K110" s="11" t="str">
        <f>IFERROR(__xludf.DUMMYFUNCTION("GOOGLETRANSLATE(E110, ""en"", ""am"")"),"ዲዲቲን ወደ ሱፕሌክስ መገልበጥ ብዙውን ጊዜ ግጥሚያውን ለመቆጣጠር ይመራል።")</f>
        <v>ዲዲቲን ወደ ሱፕሌክስ መገልበጥ ብዙውን ጊዜ ግጥሚያውን ለመቆጣጠር ይመራል።</v>
      </c>
    </row>
    <row r="111" ht="22.5" customHeight="1">
      <c r="A111" s="10">
        <v>110.0</v>
      </c>
      <c r="B111" s="11" t="s">
        <v>1978</v>
      </c>
      <c r="C111" s="11" t="s">
        <v>1979</v>
      </c>
      <c r="D111" s="11" t="s">
        <v>1980</v>
      </c>
      <c r="E111" s="11" t="s">
        <v>1981</v>
      </c>
      <c r="G111" s="11" t="str">
        <f>IFERROR(__xludf.DUMMYFUNCTION("GOOGLETRANSLATE(A111, ""en"", ""am"")"),"110")</f>
        <v>110</v>
      </c>
      <c r="H111" s="11" t="str">
        <f>IFERROR(__xludf.DUMMYFUNCTION("GOOGLETRANSLATE(B111, ""en"", ""am"")"),"ተጋዳላይ በመገዛት ሊያሸንፍ ነው፡ ተጋጣሚያቸው ግን ዳኛውን በማዘናጋት ለፒን ያንከባልላቸዋል። ምን ይሆናል?")</f>
        <v>ተጋዳላይ በመገዛት ሊያሸንፍ ነው፡ ተጋጣሚያቸው ግን ዳኛውን በማዘናጋት ለፒን ያንከባልላቸዋል። ምን ይሆናል?</v>
      </c>
      <c r="I111" s="11" t="str">
        <f>IFERROR(__xludf.DUMMYFUNCTION("GOOGLETRANSLATE(C111, ""en"", ""am"")"),"ሀ ግጥሚያው በፒን ቢ ይቀጥላል። ተቃዋሚው ጨዋታውን በፒን.ሲ. ጨዋታው ሁኔታውን ለመገምገም ይቆማል.ዲ. ታጋዩ የሚያሸንፈው በመገዛት ነው።")</f>
        <v>ሀ ግጥሚያው በፒን ቢ ይቀጥላል። ተቃዋሚው ጨዋታውን በፒን.ሲ. ጨዋታው ሁኔታውን ለመገምገም ይቆማል.ዲ. ታጋዩ የሚያሸንፈው በመገዛት ነው።</v>
      </c>
      <c r="J111" s="11" t="str">
        <f>IFERROR(__xludf.DUMMYFUNCTION("GOOGLETRANSLATE(D111, ""en"", ""am"")"),"ተቃዋሚው ጨዋታውን በፒን ያሸንፋል።")</f>
        <v>ተቃዋሚው ጨዋታውን በፒን ያሸንፋል።</v>
      </c>
      <c r="K111" s="11" t="str">
        <f>IFERROR(__xludf.DUMMYFUNCTION("GOOGLETRANSLATE(E111, ""en"", ""am"")"),"ትኩረትን የሚከፋፍል ግጥሚያውን ለማሸነፍ ቆጣሪ ፒን ይፈቅዳል።")</f>
        <v>ትኩረትን የሚከፋፍል ግጥሚያውን ለማሸነፍ ቆጣሪ ፒን ይፈቅዳል።</v>
      </c>
    </row>
    <row r="112" ht="22.5" customHeight="1">
      <c r="A112" s="10">
        <v>111.0</v>
      </c>
      <c r="B112" s="11" t="s">
        <v>1982</v>
      </c>
      <c r="C112" s="11" t="s">
        <v>1983</v>
      </c>
      <c r="D112" s="11" t="s">
        <v>1984</v>
      </c>
      <c r="E112" s="11" t="s">
        <v>1985</v>
      </c>
      <c r="G112" s="11" t="str">
        <f>IFERROR(__xludf.DUMMYFUNCTION("GOOGLETRANSLATE(A112, ""en"", ""am"")"),"111")</f>
        <v>111</v>
      </c>
      <c r="H112" s="11" t="str">
        <f>IFERROR(__xludf.DUMMYFUNCTION("GOOGLETRANSLATE(B112, ""en"", ""am"")"),"አንድ ታጋይ በተጋጣሚው ፊት ላይ ከባድ ጡጫ ይሰጣል። ዳኛው አስተውለው ያስጠነቅቃቸዋል። ምን ይሆናል?")</f>
        <v>አንድ ታጋይ በተጋጣሚው ፊት ላይ ከባድ ጡጫ ይሰጣል። ዳኛው አስተውለው ያስጠነቅቃቸዋል። ምን ይሆናል?</v>
      </c>
      <c r="I112" s="11" t="str">
        <f>IFERROR(__xludf.DUMMYFUNCTION("GOOGLETRANSLATE(C112, ""en"", ""am"")"),"ሀ. ግጥሚያው ለተዋጊው ማስጠንቀቂያ ይቀጥላል.ቢ. ተፎካካሪው ያሸነፈው ከብቃት ውጪ ነው.ሲ. ግጥሚያው ለህክምና ምርመራ ይቆማል.ዲ. ተፋላሚው ለቡጢው ይቀጣል።")</f>
        <v>ሀ. ግጥሚያው ለተዋጊው ማስጠንቀቂያ ይቀጥላል.ቢ. ተፎካካሪው ያሸነፈው ከብቃት ውጪ ነው.ሲ. ግጥሚያው ለህክምና ምርመራ ይቆማል.ዲ. ተፋላሚው ለቡጢው ይቀጣል።</v>
      </c>
      <c r="J112" s="11" t="str">
        <f>IFERROR(__xludf.DUMMYFUNCTION("GOOGLETRANSLATE(D112, ""en"", ""am"")"),"ግጥሚያው ለታጋዩ ማስጠንቀቂያ በመስጠት ቀጥሏል።")</f>
        <v>ግጥሚያው ለታጋዩ ማስጠንቀቂያ በመስጠት ቀጥሏል።</v>
      </c>
      <c r="K112" s="11" t="str">
        <f>IFERROR(__xludf.DUMMYFUNCTION("GOOGLETRANSLATE(E112, ""en"", ""am"")"),"ሕገወጥ ቡጢ ብዙውን ጊዜ ማስጠንቀቂያ ወይም ቅጣት ያስከትላል።")</f>
        <v>ሕገወጥ ቡጢ ብዙውን ጊዜ ማስጠንቀቂያ ወይም ቅጣት ያስከትላል።</v>
      </c>
    </row>
    <row r="113" ht="22.5" customHeight="1">
      <c r="A113" s="10">
        <v>112.0</v>
      </c>
      <c r="B113" s="11" t="s">
        <v>1986</v>
      </c>
      <c r="C113" s="11" t="s">
        <v>1987</v>
      </c>
      <c r="D113" s="11" t="s">
        <v>1988</v>
      </c>
      <c r="E113" s="11" t="s">
        <v>1989</v>
      </c>
      <c r="G113" s="11" t="str">
        <f>IFERROR(__xludf.DUMMYFUNCTION("GOOGLETRANSLATE(A113, ""en"", ""am"")"),"112")</f>
        <v>112</v>
      </c>
      <c r="H113" s="11" t="str">
        <f>IFERROR(__xludf.DUMMYFUNCTION("GOOGLETRANSLATE(B113, ""en"", ""am"")"),"አንድ ተዋጊ ገመዱን ለመያዝ ሲሞክር ዳኛው አስተውሎ ለእረፍት ጠራ። ምን ይሆናል?")</f>
        <v>አንድ ተዋጊ ገመዱን ለመያዝ ሲሞክር ዳኛው አስተውሎ ለእረፍት ጠራ። ምን ይሆናል?</v>
      </c>
      <c r="I113" s="11" t="str">
        <f>IFERROR(__xludf.DUMMYFUNCTION("GOOGLETRANSLATE(C113, ""en"", ""am"")"),"ሀ ግጥሚያው ቀጥሏል በትግሉ አሁንም በቁጥጥር ስር ውሏል። ተጋዳኙ ገመዱን በመጠቀሙ ይቀጣል.ሲ. ተቀናቃኙ የሚያሸንፈው ባለመብቃቱ ነው።ዲ. ጨዋታው ሁኔታውን ለመገምገም ይቆማል።")</f>
        <v>ሀ ግጥሚያው ቀጥሏል በትግሉ አሁንም በቁጥጥር ስር ውሏል። ተጋዳኙ ገመዱን በመጠቀሙ ይቀጣል.ሲ. ተቀናቃኙ የሚያሸንፈው ባለመብቃቱ ነው።ዲ. ጨዋታው ሁኔታውን ለመገምገም ይቆማል።</v>
      </c>
      <c r="J113" s="11" t="str">
        <f>IFERROR(__xludf.DUMMYFUNCTION("GOOGLETRANSLATE(D113, ""en"", ""am"")"),"ገመዱን በመጠቀማቸው ታጋዩ ይቀጣል።")</f>
        <v>ገመዱን በመጠቀማቸው ታጋዩ ይቀጣል።</v>
      </c>
      <c r="K113" s="11" t="str">
        <f>IFERROR(__xludf.DUMMYFUNCTION("GOOGLETRANSLATE(E113, ""en"", ""am"")"),"በማስረከቢያ ጊዜ ገመዶችን መጠቀም ወደ ቅጣት ይመራል.")</f>
        <v>በማስረከቢያ ጊዜ ገመዶችን መጠቀም ወደ ቅጣት ይመራል.</v>
      </c>
    </row>
    <row r="114" ht="22.5" customHeight="1">
      <c r="A114" s="10">
        <v>113.0</v>
      </c>
      <c r="B114" s="11" t="s">
        <v>1990</v>
      </c>
      <c r="C114" s="11" t="s">
        <v>1991</v>
      </c>
      <c r="D114" s="11" t="s">
        <v>1992</v>
      </c>
      <c r="E114" s="11" t="s">
        <v>1993</v>
      </c>
      <c r="G114" s="11" t="str">
        <f>IFERROR(__xludf.DUMMYFUNCTION("GOOGLETRANSLATE(A114, ""en"", ""am"")"),"113")</f>
        <v>113</v>
      </c>
      <c r="H114" s="11" t="str">
        <f>IFERROR(__xludf.DUMMYFUNCTION("GOOGLETRANSLATE(B114, ""en"", ""am"")"),"አንድ ታጋይ እየተሰካ ነው፣ ዳኛው ግን ሁለት ሲቆጥር በድንገት መቁጠሩን አቆመ። ምን ይሆናል?")</f>
        <v>አንድ ታጋይ እየተሰካ ነው፣ ዳኛው ግን ሁለት ሲቆጥር በድንገት መቁጠሩን አቆመ። ምን ይሆናል?</v>
      </c>
      <c r="I114" s="11" t="str">
        <f>IFERROR(__xludf.DUMMYFUNCTION("GOOGLETRANSLATE(C114, ""en"", ""am"")"),"A. ግጥሚያው ያለ ውሳኔ ይቀጥላል.B. ግጥሚያው የቆመው ሁኔታውን ለመገምገም ነው። ተዋጊው ጨዋታውን ያሸነፈው በውድድር ነው ዲ. ዳኛው መቁጠር ባለመቻሉ ይቀጣል።")</f>
        <v>A. ግጥሚያው ያለ ውሳኔ ይቀጥላል.B. ግጥሚያው የቆመው ሁኔታውን ለመገምገም ነው። ተዋጊው ጨዋታውን ያሸነፈው በውድድር ነው ዲ. ዳኛው መቁጠር ባለመቻሉ ይቀጣል።</v>
      </c>
      <c r="J114" s="11" t="str">
        <f>IFERROR(__xludf.DUMMYFUNCTION("GOOGLETRANSLATE(D114, ""en"", ""am"")"),"ግጥሚያው የቆመው ሁኔታውን ለመገምገም ነው።")</f>
        <v>ግጥሚያው የቆመው ሁኔታውን ለመገምገም ነው።</v>
      </c>
      <c r="K114" s="11" t="str">
        <f>IFERROR(__xludf.DUMMYFUNCTION("GOOGLETRANSLATE(E114, ""en"", ""am"")"),"ባለበት የቆመ የፒን ቆጠራ ግራ መጋባትን ወይም ስህተትን ሊያመለክት ይችላል።")</f>
        <v>ባለበት የቆመ የፒን ቆጠራ ግራ መጋባትን ወይም ስህተትን ሊያመለክት ይችላል።</v>
      </c>
    </row>
    <row r="115" ht="22.5" customHeight="1">
      <c r="A115" s="10">
        <v>114.0</v>
      </c>
      <c r="B115" s="11" t="s">
        <v>1994</v>
      </c>
      <c r="C115" s="11" t="s">
        <v>1995</v>
      </c>
      <c r="D115" s="11" t="s">
        <v>1944</v>
      </c>
      <c r="E115" s="11" t="s">
        <v>1996</v>
      </c>
      <c r="G115" s="11" t="str">
        <f>IFERROR(__xludf.DUMMYFUNCTION("GOOGLETRANSLATE(A115, ""en"", ""am"")"),"114")</f>
        <v>114</v>
      </c>
      <c r="H115" s="11" t="str">
        <f>IFERROR(__xludf.DUMMYFUNCTION("GOOGLETRANSLATE(B115, ""en"", ""am"")"),"አንድ ታጋይ የሚሮጥ ጦር ቢሞክርም በድብ ታቅፎ በተቃዋሚው ተይዟል። ምን ይሆናል?")</f>
        <v>አንድ ታጋይ የሚሮጥ ጦር ቢሞክርም በድብ ታቅፎ በተቃዋሚው ተይዟል። ምን ይሆናል?</v>
      </c>
      <c r="I115" s="11" t="str">
        <f>IFERROR(__xludf.DUMMYFUNCTION("GOOGLETRANSLATE(C115, ""en"", ""am"")"),"ሀ. ግጥሚያው በተቃዋሚው ቁጥጥር ይቀጥላል.ቢ. ተጋጣሚው በፒን.ሲ. ግጥሚያው ለግምገማ ይቆማል.ዲ. ተቃዋሚው የድብ እቅፉን ለመጠቀም ብቁ አይደለም።")</f>
        <v>ሀ. ግጥሚያው በተቃዋሚው ቁጥጥር ይቀጥላል.ቢ. ተጋጣሚው በፒን.ሲ. ግጥሚያው ለግምገማ ይቆማል.ዲ. ተቃዋሚው የድብ እቅፉን ለመጠቀም ብቁ አይደለም።</v>
      </c>
      <c r="J115" s="11" t="str">
        <f>IFERROR(__xludf.DUMMYFUNCTION("GOOGLETRANSLATE(D115, ""en"", ""am"")"),"ተጋጣሚው ተቆጣጥሮ ጨዋታው ቀጥሏል።")</f>
        <v>ተጋጣሚው ተቆጣጥሮ ጨዋታው ቀጥሏል።</v>
      </c>
      <c r="K115" s="11" t="str">
        <f>IFERROR(__xludf.DUMMYFUNCTION("GOOGLETRANSLATE(E115, ""en"", ""am"")"),"ጦርን ከድብ እቅፍ ጋር መቃወም ብዙ ጊዜ ወደ ቁጥጥር ይመራል።")</f>
        <v>ጦርን ከድብ እቅፍ ጋር መቃወም ብዙ ጊዜ ወደ ቁጥጥር ይመራል።</v>
      </c>
    </row>
    <row r="116" ht="22.5" customHeight="1">
      <c r="A116" s="10">
        <v>115.0</v>
      </c>
      <c r="B116" s="11" t="s">
        <v>1997</v>
      </c>
      <c r="C116" s="11" t="s">
        <v>1998</v>
      </c>
      <c r="D116" s="11" t="s">
        <v>1967</v>
      </c>
      <c r="E116" s="11" t="s">
        <v>1999</v>
      </c>
      <c r="G116" s="11" t="str">
        <f>IFERROR(__xludf.DUMMYFUNCTION("GOOGLETRANSLATE(A116, ""en"", ""am"")"),"115")</f>
        <v>115</v>
      </c>
      <c r="H116" s="11" t="str">
        <f>IFERROR(__xludf.DUMMYFUNCTION("GOOGLETRANSLATE(B116, ""en"", ""am"")"),"አንድ ተዋጊ የማጠናቀቂያ እንቅስቃሴን በመምታት ወደ ፒን ይሄዳል ፣ ግን ተቃዋሚው በመጨረሻው ሰከንድ ላይ ይወጣል። ምን ይሆናል?")</f>
        <v>አንድ ተዋጊ የማጠናቀቂያ እንቅስቃሴን በመምታት ወደ ፒን ይሄዳል ፣ ግን ተቃዋሚው በመጨረሻው ሰከንድ ላይ ይወጣል። ምን ይሆናል?</v>
      </c>
      <c r="I116" s="11" t="str">
        <f>IFERROR(__xludf.DUMMYFUNCTION("GOOGLETRANSLATE(C116, ""en"", ""am"")"),"ሀ ግጥሚያው በቁጥጥሩ ስር ባለ ታጋዩ ቀጥሏል። ግጥሚያው ለፒን ግምገማ ይቆማል። ተቃዋሚው እርምጃውን በመቃወም ያሸንፋል.ዲ. ተጋጣሚው ባለማሸነፉ ይቀጣል።")</f>
        <v>ሀ ግጥሚያው በቁጥጥሩ ስር ባለ ታጋዩ ቀጥሏል። ግጥሚያው ለፒን ግምገማ ይቆማል። ተቃዋሚው እርምጃውን በመቃወም ያሸንፋል.ዲ. ተጋጣሚው ባለማሸነፉ ይቀጣል።</v>
      </c>
      <c r="J116" s="11" t="str">
        <f>IFERROR(__xludf.DUMMYFUNCTION("GOOGLETRANSLATE(D116, ""en"", ""am"")"),"ግጥሚያው በተጋጣሚው ተቆጣጥሮ ቀጥሏል።")</f>
        <v>ግጥሚያው በተጋጣሚው ተቆጣጥሮ ቀጥሏል።</v>
      </c>
      <c r="K116" s="11" t="str">
        <f>IFERROR(__xludf.DUMMYFUNCTION("GOOGLETRANSLATE(E116, ""en"", ""am"")"),"በቅርብ መውደቅ ውጥረትን ይጨምራል እናም ፍጥነትን ሊለውጥ ይችላል።")</f>
        <v>በቅርብ መውደቅ ውጥረትን ይጨምራል እናም ፍጥነትን ሊለውጥ ይችላል።</v>
      </c>
    </row>
    <row r="117" ht="22.5" customHeight="1">
      <c r="A117" s="10">
        <v>116.0</v>
      </c>
      <c r="B117" s="11" t="s">
        <v>2000</v>
      </c>
      <c r="C117" s="11" t="s">
        <v>2001</v>
      </c>
      <c r="D117" s="11" t="s">
        <v>1944</v>
      </c>
      <c r="E117" s="11" t="s">
        <v>2002</v>
      </c>
      <c r="G117" s="11" t="str">
        <f>IFERROR(__xludf.DUMMYFUNCTION("GOOGLETRANSLATE(A117, ""en"", ""am"")"),"116")</f>
        <v>116</v>
      </c>
      <c r="H117" s="11" t="str">
        <f>IFERROR(__xludf.DUMMYFUNCTION("GOOGLETRANSLATE(B117, ""en"", ""am"")"),"አንድ ተዋጊ ከላይኛው ገመድ ላይ መስመጥ እያደረገ ነው፣ ግን ተቃዋሚያቸው ከመንገድ ወጣ። ምን ይሆናል?")</f>
        <v>አንድ ተዋጊ ከላይኛው ገመድ ላይ መስመጥ እያደረገ ነው፣ ግን ተቃዋሚያቸው ከመንገድ ወጣ። ምን ይሆናል?</v>
      </c>
      <c r="I117" s="11" t="str">
        <f>IFERROR(__xludf.DUMMYFUNCTION("GOOGLETRANSLATE(C117, ""en"", ""am"")"),"ሀ. ግጥሚያው በተቃዋሚው ቁጥጥር ይቀጥላል.ቢ. ታጋዩ ገመዱን በመምታት መሬት ላይ ወድቋል። ግጥሚያው ያመለጠውን ዳይቭ ለመገምገም ይቆማል።ዲ. ተፋላሚው ለተሳነው ዳይቭ ብቁ አይደለም።")</f>
        <v>ሀ. ግጥሚያው በተቃዋሚው ቁጥጥር ይቀጥላል.ቢ. ታጋዩ ገመዱን በመምታት መሬት ላይ ወድቋል። ግጥሚያው ያመለጠውን ዳይቭ ለመገምገም ይቆማል።ዲ. ተፋላሚው ለተሳነው ዳይቭ ብቁ አይደለም።</v>
      </c>
      <c r="J117" s="11" t="str">
        <f>IFERROR(__xludf.DUMMYFUNCTION("GOOGLETRANSLATE(D117, ""en"", ""am"")"),"ተጋጣሚው ተቆጣጥሮ ጨዋታው ቀጥሏል።")</f>
        <v>ተጋጣሚው ተቆጣጥሮ ጨዋታው ቀጥሏል።</v>
      </c>
      <c r="K117" s="11" t="str">
        <f>IFERROR(__xludf.DUMMYFUNCTION("GOOGLETRANSLATE(E117, ""en"", ""am"")"),"የውሃ መጥለቅለቅ ማጣት ተቃዋሚውን ይቆጣጠራል።")</f>
        <v>የውሃ መጥለቅለቅ ማጣት ተቃዋሚውን ይቆጣጠራል።</v>
      </c>
    </row>
    <row r="118" ht="22.5" customHeight="1">
      <c r="A118" s="10">
        <v>117.0</v>
      </c>
      <c r="B118" s="11" t="s">
        <v>2003</v>
      </c>
      <c r="C118" s="11" t="s">
        <v>2004</v>
      </c>
      <c r="D118" s="11" t="s">
        <v>2005</v>
      </c>
      <c r="E118" s="11" t="s">
        <v>2006</v>
      </c>
      <c r="G118" s="11" t="str">
        <f>IFERROR(__xludf.DUMMYFUNCTION("GOOGLETRANSLATE(A118, ""en"", ""am"")"),"117")</f>
        <v>117</v>
      </c>
      <c r="H118" s="11" t="str">
        <f>IFERROR(__xludf.DUMMYFUNCTION("GOOGLETRANSLATE(B118, ""en"", ""am"")"),"ተጋዳላይ በመገዛት ሊያሸንፍ ነው ተቃዋሚያቸው ግን ወደ ገመድ ያደርገዋል። ምን ይሆናል?")</f>
        <v>ተጋዳላይ በመገዛት ሊያሸንፍ ነው ተቃዋሚያቸው ግን ወደ ገመድ ያደርገዋል። ምን ይሆናል?</v>
      </c>
      <c r="I118" s="11" t="str">
        <f>IFERROR(__xludf.DUMMYFUNCTION("GOOGLETRANSLATE(C118, ""en"", ""am"")"),"ሀ. የማስረከቢያው ተሰብሯል፣ እና ግጥሚያው ይቀጥላል። ታጋዩ የሚያሸንፈው በመገዛት ነው። ተቃዋሚው ግቤትን በማፍረስ ብቁ አይደለም.ዲ. ግጥሚያው ገመዱን ለመገምገም ይቆማል።")</f>
        <v>ሀ. የማስረከቢያው ተሰብሯል፣ እና ግጥሚያው ይቀጥላል። ታጋዩ የሚያሸንፈው በመገዛት ነው። ተቃዋሚው ግቤትን በማፍረስ ብቁ አይደለም.ዲ. ግጥሚያው ገመዱን ለመገምገም ይቆማል።</v>
      </c>
      <c r="J118" s="11" t="str">
        <f>IFERROR(__xludf.DUMMYFUNCTION("GOOGLETRANSLATE(D118, ""en"", ""am"")"),"ማስረከቢያው ተሰብሯል፣ እና ግጥሚያው ይቀጥላል።")</f>
        <v>ማስረከቢያው ተሰብሯል፣ እና ግጥሚያው ይቀጥላል።</v>
      </c>
      <c r="K118" s="11" t="str">
        <f>IFERROR(__xludf.DUMMYFUNCTION("GOOGLETRANSLATE(E118, ""en"", ""am"")"),"ገመዶቹን መድረስ ማስረከቢያውን ይሰብራል.")</f>
        <v>ገመዶቹን መድረስ ማስረከቢያውን ይሰብራል.</v>
      </c>
    </row>
    <row r="119" ht="22.5" customHeight="1">
      <c r="A119" s="10">
        <v>118.0</v>
      </c>
      <c r="B119" s="11" t="s">
        <v>2007</v>
      </c>
      <c r="C119" s="11" t="s">
        <v>2008</v>
      </c>
      <c r="D119" s="11" t="s">
        <v>2009</v>
      </c>
      <c r="E119" s="11" t="s">
        <v>2010</v>
      </c>
      <c r="G119" s="11" t="str">
        <f>IFERROR(__xludf.DUMMYFUNCTION("GOOGLETRANSLATE(A119, ""en"", ""am"")"),"118")</f>
        <v>118</v>
      </c>
      <c r="H119" s="11" t="str">
        <f>IFERROR(__xludf.DUMMYFUNCTION("GOOGLETRANSLATE(B119, ""en"", ""am"")"),"ተጋዳላይ ሊያሸንፍ ነው፣ ዳኛው ግን በሁለተኛው ተፋላሚ ጣልቃ በመግባት ተዘናግቷል። ምን ይሆናል?")</f>
        <v>ተጋዳላይ ሊያሸንፍ ነው፣ ዳኛው ግን በሁለተኛው ተፋላሚ ጣልቃ በመግባት ተዘናግቷል። ምን ይሆናል?</v>
      </c>
      <c r="I119" s="11" t="str">
        <f>IFERROR(__xludf.DUMMYFUNCTION("GOOGLETRANSLATE(C119, ""en"", ""am"")"),"ሀ. ግጥሚያው በጣልቃ ገብነት ይቀጥላል.ቢ. ተፋላሚው ያሸነፈው በውድቅት ነው።ሲ. ግጥሚያው የቆመው ጣልቃገብነቱን ለመገምገም ነው።ዲ. ጣልቃ የገባው ታጋይ ውድቅ ሆኗል።")</f>
        <v>ሀ. ግጥሚያው በጣልቃ ገብነት ይቀጥላል.ቢ. ተፋላሚው ያሸነፈው በውድቅት ነው።ሲ. ግጥሚያው የቆመው ጣልቃገብነቱን ለመገምገም ነው።ዲ. ጣልቃ የገባው ታጋይ ውድቅ ሆኗል።</v>
      </c>
      <c r="J119" s="11" t="str">
        <f>IFERROR(__xludf.DUMMYFUNCTION("GOOGLETRANSLATE(D119, ""en"", ""am"")"),"ጨዋታው በጣልቃ ገብነት ይቀጥላል።")</f>
        <v>ጨዋታው በጣልቃ ገብነት ይቀጥላል።</v>
      </c>
      <c r="K119" s="11" t="str">
        <f>IFERROR(__xludf.DUMMYFUNCTION("GOOGLETRANSLATE(E119, ""en"", ""am"")"),"ጣልቃ ገብነት የጨዋታውን ውጤት ሊለውጥ ይችላል.")</f>
        <v>ጣልቃ ገብነት የጨዋታውን ውጤት ሊለውጥ ይችላል.</v>
      </c>
    </row>
    <row r="120" ht="22.5" customHeight="1">
      <c r="A120" s="10">
        <v>119.0</v>
      </c>
      <c r="B120" s="11" t="s">
        <v>2011</v>
      </c>
      <c r="C120" s="11" t="s">
        <v>2012</v>
      </c>
      <c r="D120" s="11" t="s">
        <v>2013</v>
      </c>
      <c r="E120" s="11" t="s">
        <v>2014</v>
      </c>
      <c r="G120" s="11" t="str">
        <f>IFERROR(__xludf.DUMMYFUNCTION("GOOGLETRANSLATE(A120, ""en"", ""am"")"),"119")</f>
        <v>119</v>
      </c>
      <c r="H120" s="11" t="str">
        <f>IFERROR(__xludf.DUMMYFUNCTION("GOOGLETRANSLATE(B120, ""en"", ""am"")"),"አንድ ታጋይ የማጠናቀቂያ እንቅስቃሴ ሊያደርግ ነው ነገር ግን በህዝቡ ተበሳጨ። ምን ይሆናል?")</f>
        <v>አንድ ታጋይ የማጠናቀቂያ እንቅስቃሴ ሊያደርግ ነው ነገር ግን በህዝቡ ተበሳጨ። ምን ይሆናል?</v>
      </c>
      <c r="I120" s="11" t="str">
        <f>IFERROR(__xludf.DUMMYFUNCTION("GOOGLETRANSLATE(C120, ""en"", ""am"")"),"ሀ. ግጥሚያው በትግሉ ተዘናግቶ ይቀጥላል። ተቃዋሚው መዘናጋትን ይጠቀማል። ታጋዩ ያሸንፋል በፒን.ዲ. ጨዋታው ሁኔታውን ለመገምገም ይቆማል።")</f>
        <v>ሀ. ግጥሚያው በትግሉ ተዘናግቶ ይቀጥላል። ተቃዋሚው መዘናጋትን ይጠቀማል። ታጋዩ ያሸንፋል በፒን.ዲ. ጨዋታው ሁኔታውን ለመገምገም ይቆማል።</v>
      </c>
      <c r="J120" s="11" t="str">
        <f>IFERROR(__xludf.DUMMYFUNCTION("GOOGLETRANSLATE(D120, ""en"", ""am"")"),"ተቃዋሚው ትኩረትን የሚከፋፍልበትን አጋጣሚ ይጠቀማል.")</f>
        <v>ተቃዋሚው ትኩረትን የሚከፋፍልበትን አጋጣሚ ይጠቀማል.</v>
      </c>
      <c r="K120" s="11" t="str">
        <f>IFERROR(__xludf.DUMMYFUNCTION("GOOGLETRANSLATE(E120, ""en"", ""am"")"),"ትኩረትን የሚከፋፍሉ ነገሮች በአንድ ግጥሚያ ውስጥ ያለውን ፍጥነት ሊቀይሩ ይችላሉ።")</f>
        <v>ትኩረትን የሚከፋፍሉ ነገሮች በአንድ ግጥሚያ ውስጥ ያለውን ፍጥነት ሊቀይሩ ይችላሉ።</v>
      </c>
    </row>
    <row r="121" ht="22.5" customHeight="1">
      <c r="A121" s="10">
        <v>120.0</v>
      </c>
      <c r="B121" s="11" t="s">
        <v>2015</v>
      </c>
      <c r="C121" s="11" t="s">
        <v>2016</v>
      </c>
      <c r="D121" s="11" t="s">
        <v>2017</v>
      </c>
      <c r="E121" s="11" t="s">
        <v>2018</v>
      </c>
      <c r="G121" s="11" t="str">
        <f>IFERROR(__xludf.DUMMYFUNCTION("GOOGLETRANSLATE(A121, ""en"", ""am"")"),"120")</f>
        <v>120</v>
      </c>
      <c r="H121" s="11" t="str">
        <f>IFERROR(__xludf.DUMMYFUNCTION("GOOGLETRANSLATE(B121, ""en"", ""am"")"),"አንድ ተጋዳላይ የማስረከቢያ ጊዜን ይፈጽማል፣ ነገር ግን ተቃዋሚው ዳኛው ወደ ሶስት እንደሚቆጠር ሁሉ መታ ያንኳኳል። ምን ይሆናል?")</f>
        <v>አንድ ተጋዳላይ የማስረከቢያ ጊዜን ይፈጽማል፣ ነገር ግን ተቃዋሚው ዳኛው ወደ ሶስት እንደሚቆጠር ሁሉ መታ ያንኳኳል። ምን ይሆናል?</v>
      </c>
      <c r="I121" s="11" t="str">
        <f>IFERROR(__xludf.DUMMYFUNCTION("GOOGLETRANSLATE(C121, ""en"", ""am"")"),"ሀ. ጨዋታው በአቻ ውጤት ይጠናቀቃል.ቢ. ተቃዋሚው የሚያሸንፈው በመገዛት ነው። ታጋዩ የሚያሸንፈው በመገዛት ነው።ዲ. ግጥሚያው እንደገና ተጀምሯል።")</f>
        <v>ሀ. ጨዋታው በአቻ ውጤት ይጠናቀቃል.ቢ. ተቃዋሚው የሚያሸንፈው በመገዛት ነው። ታጋዩ የሚያሸንፈው በመገዛት ነው።ዲ. ግጥሚያው እንደገና ተጀምሯል።</v>
      </c>
      <c r="J121" s="11" t="str">
        <f>IFERROR(__xludf.DUMMYFUNCTION("GOOGLETRANSLATE(D121, ""en"", ""am"")"),"ታጋዩ የሚያሸንፈው በመገዛት ነው።")</f>
        <v>ታጋዩ የሚያሸንፈው በመገዛት ነው።</v>
      </c>
      <c r="K121" s="11" t="str">
        <f>IFERROR(__xludf.DUMMYFUNCTION("GOOGLETRANSLATE(E121, ""en"", ""am"")"),"ቆጠራው ከማብቃቱ በፊት መታ ማድረግ የማስረከቢያ አሸናፊነትን ያስከትላል።")</f>
        <v>ቆጠራው ከማብቃቱ በፊት መታ ማድረግ የማስረከቢያ አሸናፊነትን ያስከትላል።</v>
      </c>
    </row>
    <row r="122" ht="22.5" customHeight="1">
      <c r="A122" s="10">
        <v>121.0</v>
      </c>
      <c r="B122" s="11" t="s">
        <v>2019</v>
      </c>
      <c r="C122" s="11" t="s">
        <v>2020</v>
      </c>
      <c r="D122" s="11" t="s">
        <v>2021</v>
      </c>
      <c r="E122" s="11" t="s">
        <v>2022</v>
      </c>
      <c r="G122" s="11" t="str">
        <f>IFERROR(__xludf.DUMMYFUNCTION("GOOGLETRANSLATE(A122, ""en"", ""am"")"),"121")</f>
        <v>121</v>
      </c>
      <c r="H122" s="11" t="str">
        <f>IFERROR(__xludf.DUMMYFUNCTION("GOOGLETRANSLATE(B122, ""en"", ""am"")"),"ተጋዳላይ ለተጋጣሚው ዝቅተኛ ምት ያደርሳል። ምን ይሆናል?")</f>
        <v>ተጋዳላይ ለተጋጣሚው ዝቅተኛ ምት ያደርሳል። ምን ይሆናል?</v>
      </c>
      <c r="I122" s="11" t="str">
        <f>IFERROR(__xludf.DUMMYFUNCTION("GOOGLETRANSLATE(C122, ""en"", ""am"")"),"ሀ.ጨዋታው ያለ ምንም ቅጣት ይቀጥላል.ቢ. ተፎካካሪው ያሸነፈው ከብቃት ውጪ ነው.ሲ. ታጋዩ ለሕገ-ወጥ እርምጃ ተቀጥቷል.ዲ. ዳኛው ለማስጠንቀቂያ ጨዋታውን ያቆማል።")</f>
        <v>ሀ.ጨዋታው ያለ ምንም ቅጣት ይቀጥላል.ቢ. ተፎካካሪው ያሸነፈው ከብቃት ውጪ ነው.ሲ. ታጋዩ ለሕገ-ወጥ እርምጃ ተቀጥቷል.ዲ. ዳኛው ለማስጠንቀቂያ ጨዋታውን ያቆማል።</v>
      </c>
      <c r="J122" s="11" t="str">
        <f>IFERROR(__xludf.DUMMYFUNCTION("GOOGLETRANSLATE(D122, ""en"", ""am"")"),"ተፎካካሪው የሚያሸንፈው ውድቅ በማጣት ነው።")</f>
        <v>ተፎካካሪው የሚያሸንፈው ውድቅ በማጣት ነው።</v>
      </c>
      <c r="K122" s="11" t="str">
        <f>IFERROR(__xludf.DUMMYFUNCTION("GOOGLETRANSLATE(E122, ""en"", ""am"")"),"ዝቅተኛ ድብደባዎች ብዙውን ጊዜ ብቁነትን ወይም ቅጣቶችን ያስከትላሉ.")</f>
        <v>ዝቅተኛ ድብደባዎች ብዙውን ጊዜ ብቁነትን ወይም ቅጣቶችን ያስከትላሉ.</v>
      </c>
    </row>
    <row r="123" ht="22.5" customHeight="1">
      <c r="A123" s="10">
        <v>122.0</v>
      </c>
      <c r="B123" s="11" t="s">
        <v>2023</v>
      </c>
      <c r="C123" s="11" t="s">
        <v>2024</v>
      </c>
      <c r="D123" s="11" t="s">
        <v>2025</v>
      </c>
      <c r="E123" s="11" t="s">
        <v>2006</v>
      </c>
      <c r="G123" s="11" t="str">
        <f>IFERROR(__xludf.DUMMYFUNCTION("GOOGLETRANSLATE(A123, ""en"", ""am"")"),"122")</f>
        <v>122</v>
      </c>
      <c r="H123" s="11" t="str">
        <f>IFERROR(__xludf.DUMMYFUNCTION("GOOGLETRANSLATE(B123, ""en"", ""am"")"),"አንድ ተዋጊ በእግር ተቆልፎ ተይዟል ነገር ግን ወደ ገመድ ይደርሳል. ምን ይሆናል?")</f>
        <v>አንድ ተዋጊ በእግር ተቆልፎ ተይዟል ነገር ግን ወደ ገመድ ይደርሳል. ምን ይሆናል?</v>
      </c>
      <c r="I123" s="11" t="str">
        <f>IFERROR(__xludf.DUMMYFUNCTION("GOOGLETRANSLATE(C123, ""en"", ""am"")"),"ሀ ግጥሚያው ቀጥሏል በትግሉ አሁንም በቁጥጥር ስር ውሏል። ማስረከቡ ተሰብሯል እና ግጥሚያው ይቀጥላል.ሲ. ታጋዩ ገመዱን ለመጠቀም ብቁ አይደለም.ዲ. ተጋጣሚው የሚያሸንፈው በመገዛት ነው።")</f>
        <v>ሀ ግጥሚያው ቀጥሏል በትግሉ አሁንም በቁጥጥር ስር ውሏል። ማስረከቡ ተሰብሯል እና ግጥሚያው ይቀጥላል.ሲ. ታጋዩ ገመዱን ለመጠቀም ብቁ አይደለም.ዲ. ተጋጣሚው የሚያሸንፈው በመገዛት ነው።</v>
      </c>
      <c r="J123" s="11" t="str">
        <f>IFERROR(__xludf.DUMMYFUNCTION("GOOGLETRANSLATE(D123, ""en"", ""am"")"),"ማስረከቢያው ተሰብሯል እና ግጥሚያው ቀጥሏል።")</f>
        <v>ማስረከቢያው ተሰብሯል እና ግጥሚያው ቀጥሏል።</v>
      </c>
      <c r="K123" s="11" t="str">
        <f>IFERROR(__xludf.DUMMYFUNCTION("GOOGLETRANSLATE(E123, ""en"", ""am"")"),"ገመዶቹን መድረስ ማስረከቢያውን ይሰብራል.")</f>
        <v>ገመዶቹን መድረስ ማስረከቢያውን ይሰብራል.</v>
      </c>
    </row>
    <row r="124" ht="22.5" customHeight="1">
      <c r="A124" s="10">
        <v>123.0</v>
      </c>
      <c r="B124" s="11" t="s">
        <v>2026</v>
      </c>
      <c r="C124" s="11" t="s">
        <v>2027</v>
      </c>
      <c r="D124" s="11" t="s">
        <v>2028</v>
      </c>
      <c r="E124" s="11" t="s">
        <v>2029</v>
      </c>
      <c r="G124" s="11" t="str">
        <f>IFERROR(__xludf.DUMMYFUNCTION("GOOGLETRANSLATE(A124, ""en"", ""am"")"),"123")</f>
        <v>123</v>
      </c>
      <c r="H124" s="11" t="str">
        <f>IFERROR(__xludf.DUMMYFUNCTION("GOOGLETRANSLATE(B124, ""en"", ""am"")"),"አንድ ታጋይ ራሱን ለማጥፋት ቢሞክርም ተቃዋሚውን ናፈቀ። ምን ይሆናል?")</f>
        <v>አንድ ታጋይ ራሱን ለማጥፋት ቢሞክርም ተቃዋሚውን ናፈቀ። ምን ይሆናል?</v>
      </c>
      <c r="I124" s="11" t="str">
        <f>IFERROR(__xludf.DUMMYFUNCTION("GOOGLETRANSLATE(C124, ""en"", ""am"")"),"ሀ ግጥሚያው ቀጥሏል በትግሉ አሁንም በቁጥጥር ስር ውሏል። ተቃዋሚው ያሸነፈው በመቁጠር ነው.ሲ. ተዋጊው ለመጥለቅ መጥፋት ብቁ አይደለም.ዲ. ጨዋታው ያመለጠውን እንቅስቃሴ ለመገምገም ይቆማል።")</f>
        <v>ሀ ግጥሚያው ቀጥሏል በትግሉ አሁንም በቁጥጥር ስር ውሏል። ተቃዋሚው ያሸነፈው በመቁጠር ነው.ሲ. ተዋጊው ለመጥለቅ መጥፋት ብቁ አይደለም.ዲ. ጨዋታው ያመለጠውን እንቅስቃሴ ለመገምገም ይቆማል።</v>
      </c>
      <c r="J124" s="11" t="str">
        <f>IFERROR(__xludf.DUMMYFUNCTION("GOOGLETRANSLATE(D124, ""en"", ""am"")"),"ግጥሚያው አሁንም ተጋጣሚው እንደቀጠለ ነው።")</f>
        <v>ግጥሚያው አሁንም ተጋጣሚው እንደቀጠለ ነው።</v>
      </c>
      <c r="K124" s="11" t="str">
        <f>IFERROR(__xludf.DUMMYFUNCTION("GOOGLETRANSLATE(E124, ""en"", ""am"")"),"የውሃ መጥለቅለቅ ማጣት የፍጥነት ማጣትን ሊያስከትል ይችላል።")</f>
        <v>የውሃ መጥለቅለቅ ማጣት የፍጥነት ማጣትን ሊያስከትል ይችላል።</v>
      </c>
    </row>
    <row r="125" ht="22.5" customHeight="1">
      <c r="A125" s="10">
        <v>124.0</v>
      </c>
      <c r="B125" s="11" t="s">
        <v>2030</v>
      </c>
      <c r="C125" s="11" t="s">
        <v>2031</v>
      </c>
      <c r="D125" s="11" t="s">
        <v>2032</v>
      </c>
      <c r="E125" s="11" t="s">
        <v>2033</v>
      </c>
      <c r="G125" s="11" t="str">
        <f>IFERROR(__xludf.DUMMYFUNCTION("GOOGLETRANSLATE(A125, ""en"", ""am"")"),"124")</f>
        <v>124</v>
      </c>
      <c r="H125" s="11" t="str">
        <f>IFERROR(__xludf.DUMMYFUNCTION("GOOGLETRANSLATE(B125, ""en"", ""am"")"),"አንድ ታጋይ ህገወጥ የወንበር ጥይት አረፈ። ምን ይሆናል?")</f>
        <v>አንድ ታጋይ ህገወጥ የወንበር ጥይት አረፈ። ምን ይሆናል?</v>
      </c>
      <c r="I125" s="11" t="str">
        <f>IFERROR(__xludf.DUMMYFUNCTION("GOOGLETRANSLATE(C125, ""en"", ""am"")"),"ሀ.ጨዋታው ያለ ምንም ቅጣት ይቀጥላል.ቢ. ታጋዩ ወንበሩን ለመጠቀም ብቁ አይደለም.ሲ. ተቀናቃኙ የሚያሸንፈው ባለመብቃቱ ነው።ዲ. ዳኛው ለግምገማ ጨዋታውን ያቆማል።")</f>
        <v>ሀ.ጨዋታው ያለ ምንም ቅጣት ይቀጥላል.ቢ. ታጋዩ ወንበሩን ለመጠቀም ብቁ አይደለም.ሲ. ተቀናቃኙ የሚያሸንፈው ባለመብቃቱ ነው።ዲ. ዳኛው ለግምገማ ጨዋታውን ያቆማል።</v>
      </c>
      <c r="J125" s="11" t="str">
        <f>IFERROR(__xludf.DUMMYFUNCTION("GOOGLETRANSLATE(D125, ""en"", ""am"")"),"ተጋጣሚው ወንበሩን ለመጠቀም ብቁ አይደለም።")</f>
        <v>ተጋጣሚው ወንበሩን ለመጠቀም ብቁ አይደለም።</v>
      </c>
      <c r="K125" s="11" t="str">
        <f>IFERROR(__xludf.DUMMYFUNCTION("GOOGLETRANSLATE(E125, ""en"", ""am"")"),"ህገወጥ የወንበር ጥይቶች ብዙ ጊዜ ወደ ውድቅነት ያመራሉ.")</f>
        <v>ህገወጥ የወንበር ጥይቶች ብዙ ጊዜ ወደ ውድቅነት ያመራሉ.</v>
      </c>
    </row>
    <row r="126" ht="22.5" customHeight="1">
      <c r="A126" s="10">
        <v>125.0</v>
      </c>
      <c r="B126" s="11" t="s">
        <v>2034</v>
      </c>
      <c r="C126" s="11" t="s">
        <v>2035</v>
      </c>
      <c r="D126" s="11" t="s">
        <v>2036</v>
      </c>
      <c r="E126" s="11" t="s">
        <v>2037</v>
      </c>
      <c r="G126" s="11" t="str">
        <f>IFERROR(__xludf.DUMMYFUNCTION("GOOGLETRANSLATE(A126, ""en"", ""am"")"),"125")</f>
        <v>125</v>
      </c>
      <c r="H126" s="11" t="str">
        <f>IFERROR(__xludf.DUMMYFUNCTION("GOOGLETRANSLATE(B126, ""en"", ""am"")"),"አንድ ታጋይ ተቃዋሚውን ለመሰካት ይሞክራል እግሩን ግን አያይዘውም። ምን ይሆናል?")</f>
        <v>አንድ ታጋይ ተቃዋሚውን ለመሰካት ይሞክራል እግሩን ግን አያይዘውም። ምን ይሆናል?</v>
      </c>
      <c r="I126" s="11" t="str">
        <f>IFERROR(__xludf.DUMMYFUNCTION("GOOGLETRANSLATE(C126, ""en"", ""am"")"),"ሀ. ዳኛው ለሶስት ሲቆጥር ተጋጣሚው ያሸንፋል። ግጥሚያው ያለ ፒንፎል ይቀጥላል.ሲ. ዳኛው ተገቢ ባልሆነ መሰካት ምክንያት መቁጠሩን ያቆማል።ዲ. ተፋላሚው የሚያሸንፈው ውድቅ በማጣት ነው።")</f>
        <v>ሀ. ዳኛው ለሶስት ሲቆጥር ተጋጣሚው ያሸንፋል። ግጥሚያው ያለ ፒንፎል ይቀጥላል.ሲ. ዳኛው ተገቢ ባልሆነ መሰካት ምክንያት መቁጠሩን ያቆማል።ዲ. ተፋላሚው የሚያሸንፈው ውድቅ በማጣት ነው።</v>
      </c>
      <c r="J126" s="11" t="str">
        <f>IFERROR(__xludf.DUMMYFUNCTION("GOOGLETRANSLATE(D126, ""en"", ""am"")"),"ግጥሚያው ያለ ጫጫታ ይቀጥላል።")</f>
        <v>ግጥሚያው ያለ ጫጫታ ይቀጥላል።</v>
      </c>
      <c r="K126" s="11" t="str">
        <f>IFERROR(__xludf.DUMMYFUNCTION("GOOGLETRANSLATE(E126, ""en"", ""am"")"),"የእግር መንጠቆ የሌለው ፒን ላይቆጠር ይችላል።")</f>
        <v>የእግር መንጠቆ የሌለው ፒን ላይቆጠር ይችላል።</v>
      </c>
    </row>
    <row r="127" ht="22.5" customHeight="1">
      <c r="A127" s="10">
        <v>126.0</v>
      </c>
      <c r="B127" s="11" t="s">
        <v>2038</v>
      </c>
      <c r="C127" s="11" t="s">
        <v>2039</v>
      </c>
      <c r="D127" s="11" t="s">
        <v>2013</v>
      </c>
      <c r="E127" s="11" t="s">
        <v>2040</v>
      </c>
      <c r="G127" s="11" t="str">
        <f>IFERROR(__xludf.DUMMYFUNCTION("GOOGLETRANSLATE(A127, ""en"", ""am"")"),"126")</f>
        <v>126</v>
      </c>
      <c r="H127" s="11" t="str">
        <f>IFERROR(__xludf.DUMMYFUNCTION("GOOGLETRANSLATE(B127, ""en"", ""am"")"),"ታጋይ ሊያሸንፍ ነው ነገር ግን በባዕድ ነገር ተበሳጨ። ምን ይሆናል?")</f>
        <v>ታጋይ ሊያሸንፍ ነው ነገር ግን በባዕድ ነገር ተበሳጨ። ምን ይሆናል?</v>
      </c>
      <c r="I127" s="11" t="str">
        <f>IFERROR(__xludf.DUMMYFUNCTION("GOOGLETRANSLATE(C127, ""en"", ""am"")"),"ሀ. መዘናጋት ቢፈጠርም ጨዋታው ይቀጥላል። ዳኛው ነገሩን ለመጠቀም ተጋጣሚውን ውድቅ ያደርገዋል። ተቃዋሚው መዘናጋትን ይጠቀማል ዲ. ጨዋታው ሁኔታውን ለመገምገም ይቆማል።")</f>
        <v>ሀ. መዘናጋት ቢፈጠርም ጨዋታው ይቀጥላል። ዳኛው ነገሩን ለመጠቀም ተጋጣሚውን ውድቅ ያደርገዋል። ተቃዋሚው መዘናጋትን ይጠቀማል ዲ. ጨዋታው ሁኔታውን ለመገምገም ይቆማል።</v>
      </c>
      <c r="J127" s="11" t="str">
        <f>IFERROR(__xludf.DUMMYFUNCTION("GOOGLETRANSLATE(D127, ""en"", ""am"")"),"ተቃዋሚው ትኩረትን የሚከፋፍልበትን አጋጣሚ ይጠቀማል.")</f>
        <v>ተቃዋሚው ትኩረትን የሚከፋፍልበትን አጋጣሚ ይጠቀማል.</v>
      </c>
      <c r="K127" s="11" t="str">
        <f>IFERROR(__xludf.DUMMYFUNCTION("GOOGLETRANSLATE(E127, ""en"", ""am"")"),"ትኩረትን የሚከፋፍሉ ነገሮች የግጥሚያውን ፍጥነት ሊለውጡ ይችላሉ።")</f>
        <v>ትኩረትን የሚከፋፍሉ ነገሮች የግጥሚያውን ፍጥነት ሊለውጡ ይችላሉ።</v>
      </c>
    </row>
    <row r="128" ht="22.5" customHeight="1">
      <c r="A128" s="10">
        <v>127.0</v>
      </c>
      <c r="B128" s="11" t="s">
        <v>2041</v>
      </c>
      <c r="C128" s="11" t="s">
        <v>2042</v>
      </c>
      <c r="D128" s="11" t="s">
        <v>2028</v>
      </c>
      <c r="E128" s="11" t="s">
        <v>2043</v>
      </c>
      <c r="G128" s="11" t="str">
        <f>IFERROR(__xludf.DUMMYFUNCTION("GOOGLETRANSLATE(A128, ""en"", ""am"")"),"127")</f>
        <v>127</v>
      </c>
      <c r="H128" s="11" t="str">
        <f>IFERROR(__xludf.DUMMYFUNCTION("GOOGLETRANSLATE(B128, ""en"", ""am"")"),"አንድ ታጋይ ማዞሪያውን ለመውጣት ቢሞክርም ተንሸራቶ ወድቋል። ምን ይሆናል?")</f>
        <v>አንድ ታጋይ ማዞሪያውን ለመውጣት ቢሞክርም ተንሸራቶ ወድቋል። ምን ይሆናል?</v>
      </c>
      <c r="I128" s="11" t="str">
        <f>IFERROR(__xludf.DUMMYFUNCTION("GOOGLETRANSLATE(C128, ""en"", ""am"")"),"ሀ ግጥሚያው ቀጥሏል በትግሉ አሁንም በቁጥጥር ስር ውሏል። ግጥሚያው ይቆማል የውድቀቱን ግምገማ። ተቃዋሚው ስህተቱን እና ጥቃቱን ይጠቅማል.ዲ. ተዋጊው ለመንሸራተት ብቁ አይደለም።")</f>
        <v>ሀ ግጥሚያው ቀጥሏል በትግሉ አሁንም በቁጥጥር ስር ውሏል። ግጥሚያው ይቆማል የውድቀቱን ግምገማ። ተቃዋሚው ስህተቱን እና ጥቃቱን ይጠቅማል.ዲ. ተዋጊው ለመንሸራተት ብቁ አይደለም።</v>
      </c>
      <c r="J128" s="11" t="str">
        <f>IFERROR(__xludf.DUMMYFUNCTION("GOOGLETRANSLATE(D128, ""en"", ""am"")"),"ግጥሚያው አሁንም ተጋጣሚው እንደቀጠለ ነው።")</f>
        <v>ግጥሚያው አሁንም ተጋጣሚው እንደቀጠለ ነው።</v>
      </c>
      <c r="K128" s="11" t="str">
        <f>IFERROR(__xludf.DUMMYFUNCTION("GOOGLETRANSLATE(E128, ""en"", ""am"")"),"መንሸራተቻዎች ወደ ጉልበት ማጣት እና ለተቃዋሚው ጥቅም ሊዳርጉ ይችላሉ.")</f>
        <v>መንሸራተቻዎች ወደ ጉልበት ማጣት እና ለተቃዋሚው ጥቅም ሊዳርጉ ይችላሉ.</v>
      </c>
    </row>
    <row r="129" ht="22.5" customHeight="1">
      <c r="A129" s="10">
        <v>128.0</v>
      </c>
      <c r="B129" s="11" t="s">
        <v>2044</v>
      </c>
      <c r="C129" s="11" t="s">
        <v>2045</v>
      </c>
      <c r="D129" s="11" t="s">
        <v>1967</v>
      </c>
      <c r="E129" s="11" t="s">
        <v>2046</v>
      </c>
      <c r="G129" s="11" t="str">
        <f>IFERROR(__xludf.DUMMYFUNCTION("GOOGLETRANSLATE(A129, ""en"", ""am"")"),"128")</f>
        <v>128</v>
      </c>
      <c r="H129" s="11" t="str">
        <f>IFERROR(__xludf.DUMMYFUNCTION("GOOGLETRANSLATE(B129, ""en"", ""am"")"),"አንድ ተዋጊ ከፍተኛ ተጽዕኖ ያሳደረ እንቅስቃሴን ያከናውናል ነገር ግን ተቃዋሚው ሁለት ላይ ይወጣል። ምን ይሆናል?")</f>
        <v>አንድ ተዋጊ ከፍተኛ ተጽዕኖ ያሳደረ እንቅስቃሴን ያከናውናል ነገር ግን ተቃዋሚው ሁለት ላይ ይወጣል። ምን ይሆናል?</v>
      </c>
      <c r="I129" s="11" t="str">
        <f>IFERROR(__xludf.DUMMYFUNCTION("GOOGLETRANSLATE(C129, ""en"", ""am"")"),"ሀ ግጥሚያው በቁጥጥሩ ስር ባለ ታጋዩ ቀጥሏል። ግጥሚያው ለፒን ግምገማ ይቆማል። ታጋዩ ባለማሸነፉ ይቀጣል.ዲ. ተቃዋሚው እርምጃውን በመቃወም ያሸንፋል።")</f>
        <v>ሀ ግጥሚያው በቁጥጥሩ ስር ባለ ታጋዩ ቀጥሏል። ግጥሚያው ለፒን ግምገማ ይቆማል። ታጋዩ ባለማሸነፉ ይቀጣል.ዲ. ተቃዋሚው እርምጃውን በመቃወም ያሸንፋል።</v>
      </c>
      <c r="J129" s="11" t="str">
        <f>IFERROR(__xludf.DUMMYFUNCTION("GOOGLETRANSLATE(D129, ""en"", ""am"")"),"ግጥሚያው በተጋጣሚው ተቆጣጥሮ ቀጥሏል።")</f>
        <v>ግጥሚያው በተጋጣሚው ተቆጣጥሮ ቀጥሏል።</v>
      </c>
      <c r="K129" s="11" t="str">
        <f>IFERROR(__xludf.DUMMYFUNCTION("GOOGLETRANSLATE(E129, ""en"", ""am"")"),"Kickouts በጨዋታው ውስጥ ያለውን ፍጥነት ሊቀይሩት ይችላሉ።")</f>
        <v>Kickouts በጨዋታው ውስጥ ያለውን ፍጥነት ሊቀይሩት ይችላሉ።</v>
      </c>
    </row>
    <row r="130" ht="22.5" customHeight="1">
      <c r="A130" s="10">
        <v>129.0</v>
      </c>
      <c r="B130" s="11" t="s">
        <v>2047</v>
      </c>
      <c r="C130" s="11" t="s">
        <v>2048</v>
      </c>
      <c r="D130" s="11" t="s">
        <v>2049</v>
      </c>
      <c r="E130" s="11" t="s">
        <v>2050</v>
      </c>
      <c r="G130" s="11" t="str">
        <f>IFERROR(__xludf.DUMMYFUNCTION("GOOGLETRANSLATE(A130, ""en"", ""am"")"),"129")</f>
        <v>129</v>
      </c>
      <c r="H130" s="11" t="str">
        <f>IFERROR(__xludf.DUMMYFUNCTION("GOOGLETRANSLATE(B130, ""en"", ""am"")"),"አንድ ተፋላሚ ለማስረከብ ሞክሯል ነገር ግን ተቃዋሚው ወደ ፒን ይለውጠዋል። ምን ይሆናል?")</f>
        <v>አንድ ተፋላሚ ለማስረከብ ሞክሯል ነገር ግን ተቃዋሚው ወደ ፒን ይለውጠዋል። ምን ይሆናል?</v>
      </c>
      <c r="I130" s="11" t="str">
        <f>IFERROR(__xludf.DUMMYFUNCTION("GOOGLETRANSLATE(C130, ""en"", ""am"")"),"ሀ ግጥሚያው ቀጥሏል በትግሉ አሁንም በቁጥጥር ስር ውሏል። ታጋዩ የሚያሸንፈው በመገዛት ነው። ተቃዋሚው በፒንፎል ያሸንፋል.ዲ. ግጥሚያው የቆመው ለተገላቢጦሽ ግምገማ ነው።")</f>
        <v>ሀ ግጥሚያው ቀጥሏል በትግሉ አሁንም በቁጥጥር ስር ውሏል። ታጋዩ የሚያሸንፈው በመገዛት ነው። ተቃዋሚው በፒንፎል ያሸንፋል.ዲ. ግጥሚያው የቆመው ለተገላቢጦሽ ግምገማ ነው።</v>
      </c>
      <c r="J130" s="11" t="str">
        <f>IFERROR(__xludf.DUMMYFUNCTION("GOOGLETRANSLATE(D130, ""en"", ""am"")"),"ተቃዋሚው በፒንፎል ያሸንፋል።")</f>
        <v>ተቃዋሚው በፒንፎል ያሸንፋል።</v>
      </c>
      <c r="K130" s="11" t="str">
        <f>IFERROR(__xludf.DUMMYFUNCTION("GOOGLETRANSLATE(E130, ""en"", ""am"")"),"ማስረከብን ወደ ፒን መገልበጥ ብዙ ጊዜ አስገራሚ አሸናፊነትን ያስከትላል።")</f>
        <v>ማስረከብን ወደ ፒን መገልበጥ ብዙ ጊዜ አስገራሚ አሸናፊነትን ያስከትላል።</v>
      </c>
    </row>
    <row r="131" ht="22.5" customHeight="1">
      <c r="A131" s="10">
        <v>130.0</v>
      </c>
      <c r="B131" s="11" t="s">
        <v>2051</v>
      </c>
      <c r="C131" s="11" t="s">
        <v>2052</v>
      </c>
      <c r="D131" s="11" t="s">
        <v>2053</v>
      </c>
      <c r="E131" s="11" t="s">
        <v>2054</v>
      </c>
      <c r="G131" s="11" t="str">
        <f>IFERROR(__xludf.DUMMYFUNCTION("GOOGLETRANSLATE(A131, ""en"", ""am"")"),"130")</f>
        <v>130</v>
      </c>
      <c r="H131" s="11" t="str">
        <f>IFERROR(__xludf.DUMMYFUNCTION("GOOGLETRANSLATE(B131, ""en"", ""am"")"),"ተፋላሚ በውድድር ጊዜ ባዕድ ነገር ይጠቀማል ዳኛው ግን አያየውም። ምን ይሆናል?")</f>
        <v>ተፋላሚ በውድድር ጊዜ ባዕድ ነገር ይጠቀማል ዳኛው ግን አያየውም። ምን ይሆናል?</v>
      </c>
      <c r="I131" s="11" t="str">
        <f>IFERROR(__xludf.DUMMYFUNCTION("GOOGLETRANSLATE(C131, ""en"", ""am"")"),"ሀ ግጥሚያው ባዕድ ነገር ጥቅም ላይ እየዋለ ይቀጥላል.B. ተዋጊው የውጪውን ነገር ለመጠቀም ብቁ አይሆንም። ግጥሚያው የቆመው የውጭውን ነገር ለመገምገም ነው.ዲ. ተፎካካሪው የሚያሸንፈው ውድቅ በማጣት ነው።")</f>
        <v>ሀ ግጥሚያው ባዕድ ነገር ጥቅም ላይ እየዋለ ይቀጥላል.B. ተዋጊው የውጪውን ነገር ለመጠቀም ብቁ አይሆንም። ግጥሚያው የቆመው የውጭውን ነገር ለመገምገም ነው.ዲ. ተፎካካሪው የሚያሸንፈው ውድቅ በማጣት ነው።</v>
      </c>
      <c r="J131" s="11" t="str">
        <f>IFERROR(__xludf.DUMMYFUNCTION("GOOGLETRANSLATE(D131, ""en"", ""am"")"),"ግጥሚያው ባዕድ ነገር ጥቅም ላይ እየዋለ ይቀጥላል።")</f>
        <v>ግጥሚያው ባዕድ ነገር ጥቅም ላይ እየዋለ ይቀጥላል።</v>
      </c>
      <c r="K131" s="11" t="str">
        <f>IFERROR(__xludf.DUMMYFUNCTION("GOOGLETRANSLATE(E131, ""en"", ""am"")"),"የዳኞች ቁጥጥር አንዳንድ ጊዜ ህገወጥ ነገሮች ጥቅም ላይ እንዲውሉ ሊፈቅድ ይችላል።")</f>
        <v>የዳኞች ቁጥጥር አንዳንድ ጊዜ ህገወጥ ነገሮች ጥቅም ላይ እንዲውሉ ሊፈቅድ ይችላል።</v>
      </c>
    </row>
    <row r="132" ht="22.5" customHeight="1">
      <c r="A132" s="10">
        <v>131.0</v>
      </c>
      <c r="B132" s="11" t="s">
        <v>2055</v>
      </c>
      <c r="C132" s="11" t="s">
        <v>2056</v>
      </c>
      <c r="D132" s="11" t="s">
        <v>2057</v>
      </c>
      <c r="E132" s="11" t="s">
        <v>2058</v>
      </c>
      <c r="G132" s="11" t="str">
        <f>IFERROR(__xludf.DUMMYFUNCTION("GOOGLETRANSLATE(A132, ""en"", ""am"")"),"131")</f>
        <v>131</v>
      </c>
      <c r="H132" s="11" t="str">
        <f>IFERROR(__xludf.DUMMYFUNCTION("GOOGLETRANSLATE(B132, ""en"", ""am"")"),"ተፋላሚ እንቅልፍ የሚይዘውን ይተገብራል፣ እና ተቃዋሚያቸው መጥፋት ይጀምራል። ምን ይሆናል?")</f>
        <v>ተፋላሚ እንቅልፍ የሚይዘውን ይተገብራል፣ እና ተቃዋሚያቸው መጥፋት ይጀምራል። ምን ይሆናል?</v>
      </c>
      <c r="I132" s="11" t="str">
        <f>IFERROR(__xludf.DUMMYFUNCTION("GOOGLETRANSLATE(C132, ""en"", ""am"")"),"ሀ. ተቃዋሚው እስካልነካ ድረስ ግጥሚያው ይቀጥላል። ተቃዋሚው ኳኳን ገልጿል፣ እና ታጋዩ የሚያሸንፈው በመገዛት ነው። ዳኛው ተቃዋሚው ንቃተ ህሊናውን ካጣ ጨዋታውን ያቆማል።ዲ. ተቃዋሚው የሚያሸንፈው እንቅልፍተኛውን በመቃወም ነው።")</f>
        <v>ሀ. ተቃዋሚው እስካልነካ ድረስ ግጥሚያው ይቀጥላል። ተቃዋሚው ኳኳን ገልጿል፣ እና ታጋዩ የሚያሸንፈው በመገዛት ነው። ዳኛው ተቃዋሚው ንቃተ ህሊናውን ካጣ ጨዋታውን ያቆማል።ዲ. ተቃዋሚው የሚያሸንፈው እንቅልፍተኛውን በመቃወም ነው።</v>
      </c>
      <c r="J132" s="11" t="str">
        <f>IFERROR(__xludf.DUMMYFUNCTION("GOOGLETRANSLATE(D132, ""en"", ""am"")"),"ተጋጣሚው ንቃተ ህሊናውን ካጣ ዳኛው ጨዋታውን ያቆማል።")</f>
        <v>ተጋጣሚው ንቃተ ህሊናውን ካጣ ዳኛው ጨዋታውን ያቆማል።</v>
      </c>
      <c r="K132" s="11" t="str">
        <f>IFERROR(__xludf.DUMMYFUNCTION("GOOGLETRANSLATE(E132, ""en"", ""am"")"),"እንቅልፍ የሚይዘው ተቃዋሚው ከደበዘዘ ማስረከብ ወይም ማቆም ሊያስከትል ይችላል።")</f>
        <v>እንቅልፍ የሚይዘው ተቃዋሚው ከደበዘዘ ማስረከብ ወይም ማቆም ሊያስከትል ይችላል።</v>
      </c>
    </row>
    <row r="133" ht="22.5" customHeight="1">
      <c r="A133" s="10">
        <v>132.0</v>
      </c>
      <c r="B133" s="11" t="s">
        <v>2059</v>
      </c>
      <c r="C133" s="11" t="s">
        <v>2060</v>
      </c>
      <c r="D133" s="11" t="s">
        <v>2061</v>
      </c>
      <c r="E133" s="11" t="s">
        <v>2062</v>
      </c>
      <c r="G133" s="11" t="str">
        <f>IFERROR(__xludf.DUMMYFUNCTION("GOOGLETRANSLATE(A133, ""en"", ""am"")"),"132")</f>
        <v>132</v>
      </c>
      <c r="H133" s="11" t="str">
        <f>IFERROR(__xludf.DUMMYFUNCTION("GOOGLETRANSLATE(B133, ""en"", ""am"")"),"አንድ ተዋጊ ከላይ-ገመድ እንቅስቃሴን ያከናውናል ነገር ግን ተቃዋሚው ከመንገድ ይርቃል። ምን ይሆናል?")</f>
        <v>አንድ ተዋጊ ከላይ-ገመድ እንቅስቃሴን ያከናውናል ነገር ግን ተቃዋሚው ከመንገድ ይርቃል። ምን ይሆናል?</v>
      </c>
      <c r="I133" s="11" t="str">
        <f>IFERROR(__xludf.DUMMYFUNCTION("GOOGLETRANSLATE(C133, ""en"", ""am"")"),"ሀ. ታጋዩ ወደ ምንጣፉ ሲጋጭ፣ ተቃዋሚውም ካፒታላይዝ ያደርጋል። ጨዋታው ያመለጠውን እንቅስቃሴ ለመገምገም ይቆማል። ግጥሚያው ያለ ምንም ለውጥ ይቀጥላል።ዲ. ተጋጣሚው ያሸነፈው ላመለጠው እንቅስቃሴ ብቁ ባለመሆኑ ነው።")</f>
        <v>ሀ. ታጋዩ ወደ ምንጣፉ ሲጋጭ፣ ተቃዋሚውም ካፒታላይዝ ያደርጋል። ጨዋታው ያመለጠውን እንቅስቃሴ ለመገምገም ይቆማል። ግጥሚያው ያለ ምንም ለውጥ ይቀጥላል።ዲ. ተጋጣሚው ያሸነፈው ላመለጠው እንቅስቃሴ ብቁ ባለመሆኑ ነው።</v>
      </c>
      <c r="J133" s="11" t="str">
        <f>IFERROR(__xludf.DUMMYFUNCTION("GOOGLETRANSLATE(D133, ""en"", ""am"")"),"ተፋላሚው ምንጣፉ ላይ ይጋጫል፣ እና ተቃዋሚው ካፒታላይዝ ያደርጋል።")</f>
        <v>ተፋላሚው ምንጣፉ ላይ ይጋጫል፣ እና ተቃዋሚው ካፒታላይዝ ያደርጋል።</v>
      </c>
      <c r="K133" s="11" t="str">
        <f>IFERROR(__xludf.DUMMYFUNCTION("GOOGLETRANSLATE(E133, ""en"", ""am"")"),"የላይ-ገመድ እንቅስቃሴ ማጣት ተቃዋሚውን መቆጣጠር ይችላል።")</f>
        <v>የላይ-ገመድ እንቅስቃሴ ማጣት ተቃዋሚውን መቆጣጠር ይችላል።</v>
      </c>
    </row>
    <row r="134" ht="22.5" customHeight="1">
      <c r="A134" s="10">
        <v>133.0</v>
      </c>
      <c r="B134" s="11" t="s">
        <v>2063</v>
      </c>
      <c r="C134" s="11" t="s">
        <v>2064</v>
      </c>
      <c r="D134" s="11" t="s">
        <v>2065</v>
      </c>
      <c r="E134" s="11" t="s">
        <v>2066</v>
      </c>
      <c r="G134" s="11" t="str">
        <f>IFERROR(__xludf.DUMMYFUNCTION("GOOGLETRANSLATE(A134, ""en"", ""am"")"),"133")</f>
        <v>133</v>
      </c>
      <c r="H134" s="11" t="str">
        <f>IFERROR(__xludf.DUMMYFUNCTION("GOOGLETRANSLATE(B134, ""en"", ""am"")"),"አንድ ተዋጊ የማጠናቀቂያ እንቅስቃሴን ያከናውናል, ነገር ግን ተቃዋሚው ከመውደቁ በፊት ገመዱን ይይዛል. ምን ይሆናል?")</f>
        <v>አንድ ተዋጊ የማጠናቀቂያ እንቅስቃሴን ያከናውናል, ነገር ግን ተቃዋሚው ከመውደቁ በፊት ገመዱን ይይዛል. ምን ይሆናል?</v>
      </c>
      <c r="I134" s="11" t="str">
        <f>IFERROR(__xludf.DUMMYFUNCTION("GOOGLETRANSLATE(C134, ""en"", ""am"")"),"ሀ. ግጥሚያው ያለ ፒንፎል ይቀጥላል.ቢ. ግጥሚያው የቆመው ገመዱን ለመገምገም ነው። ታጋዩ ያሸንፋል በፒንፎል.ዲ. ተፎካካሪው የሚያሸንፈው ውድቅ በማጣት ነው።")</f>
        <v>ሀ. ግጥሚያው ያለ ፒንፎል ይቀጥላል.ቢ. ግጥሚያው የቆመው ገመዱን ለመገምገም ነው። ታጋዩ ያሸንፋል በፒንፎል.ዲ. ተፎካካሪው የሚያሸንፈው ውድቅ በማጣት ነው።</v>
      </c>
      <c r="J134" s="11" t="str">
        <f>IFERROR(__xludf.DUMMYFUNCTION("GOOGLETRANSLATE(D134, ""en"", ""am"")"),"ግጥሚያው ያለ ጫጫታ ይቀጥላል።")</f>
        <v>ግጥሚያው ያለ ጫጫታ ይቀጥላል።</v>
      </c>
      <c r="K134" s="11" t="str">
        <f>IFERROR(__xludf.DUMMYFUNCTION("GOOGLETRANSLATE(E134, ""en"", ""am"")"),"ገመዶቹን መያዝ ፒንፋሉን ይሰብራል.")</f>
        <v>ገመዶቹን መያዝ ፒንፋሉን ይሰብራል.</v>
      </c>
    </row>
    <row r="135" ht="22.5" customHeight="1">
      <c r="A135" s="10">
        <v>134.0</v>
      </c>
      <c r="B135" s="11" t="s">
        <v>2067</v>
      </c>
      <c r="C135" s="11" t="s">
        <v>2068</v>
      </c>
      <c r="D135" s="11" t="s">
        <v>2069</v>
      </c>
      <c r="E135" s="11" t="s">
        <v>2070</v>
      </c>
      <c r="G135" s="11" t="str">
        <f>IFERROR(__xludf.DUMMYFUNCTION("GOOGLETRANSLATE(A135, ""en"", ""am"")"),"134")</f>
        <v>134</v>
      </c>
      <c r="H135" s="11" t="str">
        <f>IFERROR(__xludf.DUMMYFUNCTION("GOOGLETRANSLATE(B135, ""en"", ""am"")"),"አንድ ታጋይ ከቀለበቱ ተንኳኳ። ምን ይሆናል?")</f>
        <v>አንድ ታጋይ ከቀለበቱ ተንኳኳ። ምን ይሆናል?</v>
      </c>
      <c r="I135" s="11" t="str">
        <f>IFERROR(__xludf.DUMMYFUNCTION("GOOGLETRANSLATE(C135, ""en"", ""am"")"),"ሀ ግጥሚያው ከቀለበቱ ውጪ ከትግሉ ጋር ይቀጥላል። ግጥሚያው የቆመው ሁኔታውን ለመገምገም ነው። ተቃዋሚው ያሸነፈው በመቁጠር ነው.ዲ. ተጋጣሚው ቀለበቱን ለመልቀቅ ብቁ አይደለም።")</f>
        <v>ሀ ግጥሚያው ከቀለበቱ ውጪ ከትግሉ ጋር ይቀጥላል። ግጥሚያው የቆመው ሁኔታውን ለመገምገም ነው። ተቃዋሚው ያሸነፈው በመቁጠር ነው.ዲ. ተጋጣሚው ቀለበቱን ለመልቀቅ ብቁ አይደለም።</v>
      </c>
      <c r="J135" s="11" t="str">
        <f>IFERROR(__xludf.DUMMYFUNCTION("GOOGLETRANSLATE(D135, ""en"", ""am"")"),"ግጥሚያው ከቀለበቱ ውጭ ካለው ሬስለር ጋር ይቀጥላል።")</f>
        <v>ግጥሚያው ከቀለበቱ ውጭ ካለው ሬስለር ጋር ይቀጥላል።</v>
      </c>
      <c r="K135" s="11" t="str">
        <f>IFERROR(__xludf.DUMMYFUNCTION("GOOGLETRANSLATE(E135, ""en"", ""am"")"),"ከቀለበት መውጣቱ ወደ ቆጠራ ሊያመራ ይችላል።")</f>
        <v>ከቀለበት መውጣቱ ወደ ቆጠራ ሊያመራ ይችላል።</v>
      </c>
    </row>
    <row r="136" ht="22.5" customHeight="1">
      <c r="A136" s="10">
        <v>135.0</v>
      </c>
      <c r="B136" s="11" t="s">
        <v>2071</v>
      </c>
      <c r="C136" s="11" t="s">
        <v>2072</v>
      </c>
      <c r="D136" s="11" t="s">
        <v>1967</v>
      </c>
      <c r="E136" s="11" t="s">
        <v>2073</v>
      </c>
      <c r="G136" s="11" t="str">
        <f>IFERROR(__xludf.DUMMYFUNCTION("GOOGLETRANSLATE(A136, ""en"", ""am"")"),"135")</f>
        <v>135</v>
      </c>
      <c r="H136" s="11" t="str">
        <f>IFERROR(__xludf.DUMMYFUNCTION("GOOGLETRANSLATE(B136, ""en"", ""am"")"),"አንድ ታጋይ የሩጫ ጉልበቱን በመምታት ተፎካካሪውን ያንኳኳል። ምን ይሆናል?")</f>
        <v>አንድ ታጋይ የሩጫ ጉልበቱን በመምታት ተፎካካሪውን ያንኳኳል። ምን ይሆናል?</v>
      </c>
      <c r="I136" s="11" t="str">
        <f>IFERROR(__xludf.DUMMYFUNCTION("GOOGLETRANSLATE(C136, ""en"", ""am"")"),"ሀ ግጥሚያው በቁጥጥሩ ስር ባለ ታጋዩ ቀጥሏል። ተቃዋሚው ጉልበቱን በመቃወም ያሸንፋል። ግጥሚያው የቆመው የጉልበቱን አድማ ለመገምገም ነው።ዲ. ተቃዋሚው ለህገወጥ ባህሪ ብቁ አይደለም።")</f>
        <v>ሀ ግጥሚያው በቁጥጥሩ ስር ባለ ታጋዩ ቀጥሏል። ተቃዋሚው ጉልበቱን በመቃወም ያሸንፋል። ግጥሚያው የቆመው የጉልበቱን አድማ ለመገምገም ነው።ዲ. ተቃዋሚው ለህገወጥ ባህሪ ብቁ አይደለም።</v>
      </c>
      <c r="J136" s="11" t="str">
        <f>IFERROR(__xludf.DUMMYFUNCTION("GOOGLETRANSLATE(D136, ""en"", ""am"")"),"ግጥሚያው በተጋጣሚው ተቆጣጥሮ ቀጥሏል።")</f>
        <v>ግጥሚያው በተጋጣሚው ተቆጣጥሮ ቀጥሏል።</v>
      </c>
      <c r="K136" s="11" t="str">
        <f>IFERROR(__xludf.DUMMYFUNCTION("GOOGLETRANSLATE(E136, ""en"", ""am"")"),"በጥሩ ሁኔታ የተፈጸመ አድማ የግጥሚያውን ፍጥነት ሊለውጠው ይችላል።")</f>
        <v>በጥሩ ሁኔታ የተፈጸመ አድማ የግጥሚያውን ፍጥነት ሊለውጠው ይችላል።</v>
      </c>
    </row>
    <row r="137" ht="22.5" customHeight="1">
      <c r="A137" s="10">
        <v>136.0</v>
      </c>
      <c r="B137" s="11" t="s">
        <v>2074</v>
      </c>
      <c r="C137" s="11" t="s">
        <v>2075</v>
      </c>
      <c r="D137" s="11" t="s">
        <v>2076</v>
      </c>
      <c r="E137" s="11" t="s">
        <v>2077</v>
      </c>
      <c r="G137" s="11" t="str">
        <f>IFERROR(__xludf.DUMMYFUNCTION("GOOGLETRANSLATE(A137, ""en"", ""am"")"),"136")</f>
        <v>136</v>
      </c>
      <c r="H137" s="11" t="str">
        <f>IFERROR(__xludf.DUMMYFUNCTION("GOOGLETRANSLATE(B137, ""en"", ""am"")"),"ተጋዳላይ ተሰክቷል ነገር ግን የዳኛው እጅ ለሶስት ቆጠራ በፍጥነት ምንጣፉን ይመታል። ምን ይሆናል?")</f>
        <v>ተጋዳላይ ተሰክቷል ነገር ግን የዳኛው እጅ ለሶስት ቆጠራ በፍጥነት ምንጣፉን ይመታል። ምን ይሆናል?</v>
      </c>
      <c r="I137" s="11" t="str">
        <f>IFERROR(__xludf.DUMMYFUNCTION("GOOGLETRANSLATE(C137, ""en"", ""am"")"),"A. ግጥሚያው ያለ ውሳኔ ይቀጥላል.B. ዳኛው ጨዋታውን እንደገና አስጀምሮ እንደገና ይቆጥራል። ተፋላሚው የሚያሸንፈው የዳኛውን ብቃት በማጣት ነው።ዲ. ተቃዋሚው በፒንፎል ያሸንፋል።")</f>
        <v>A. ግጥሚያው ያለ ውሳኔ ይቀጥላል.B. ዳኛው ጨዋታውን እንደገና አስጀምሮ እንደገና ይቆጥራል። ተፋላሚው የሚያሸንፈው የዳኛውን ብቃት በማጣት ነው።ዲ. ተቃዋሚው በፒንፎል ያሸንፋል።</v>
      </c>
      <c r="J137" s="11" t="str">
        <f>IFERROR(__xludf.DUMMYFUNCTION("GOOGLETRANSLATE(D137, ""en"", ""am"")"),"ዳኛው ጨዋታውን እንደገና አስጀምሮ እንደገና ይቆጥራል።")</f>
        <v>ዳኛው ጨዋታውን እንደገና አስጀምሮ እንደገና ይቆጥራል።</v>
      </c>
      <c r="K137" s="11" t="str">
        <f>IFERROR(__xludf.DUMMYFUNCTION("GOOGLETRANSLATE(E137, ""en"", ""am"")"),"ቀደም ብሎ ቆጠራ ወደ ክርክር አጨራረስ ሊያመራ ይችላል።")</f>
        <v>ቀደም ብሎ ቆጠራ ወደ ክርክር አጨራረስ ሊያመራ ይችላል።</v>
      </c>
    </row>
    <row r="138" ht="22.5" customHeight="1">
      <c r="A138" s="10">
        <v>137.0</v>
      </c>
      <c r="B138" s="11" t="s">
        <v>2078</v>
      </c>
      <c r="C138" s="11" t="s">
        <v>2079</v>
      </c>
      <c r="D138" s="11" t="s">
        <v>1992</v>
      </c>
      <c r="E138" s="11" t="s">
        <v>2080</v>
      </c>
      <c r="G138" s="11" t="str">
        <f>IFERROR(__xludf.DUMMYFUNCTION("GOOGLETRANSLATE(A138, ""en"", ""am"")"),"137")</f>
        <v>137</v>
      </c>
      <c r="H138" s="11" t="str">
        <f>IFERROR(__xludf.DUMMYFUNCTION("GOOGLETRANSLATE(B138, ""en"", ""am"")"),"አንድ ተፋላሚ ማጠናቀቂያውን ሰርቶ ወደ ፒን ይሄዳል፣ ነገር ግን መብራቱ በመድረኩ ይጠፋል። ምን ይሆናል?")</f>
        <v>አንድ ተፋላሚ ማጠናቀቂያውን ሰርቶ ወደ ፒን ይሄዳል፣ ነገር ግን መብራቱ በመድረኩ ይጠፋል። ምን ይሆናል?</v>
      </c>
      <c r="I138" s="11" t="str">
        <f>IFERROR(__xludf.DUMMYFUNCTION("GOOGLETRANSLATE(C138, ""en"", ""am"")"),"ሀ. ግጥሚያው ያለማቋረጥ ይቀጥላል.ቢ. ግጥሚያው የቆመው ሁኔታውን ለመገምገም ነው። ተቃዋሚው ያሸነፈው በመቁጠር ነው.ዲ. መብራቶቹ እስኪመለሱ ድረስ ጨዋታው በጨለማ ይቀጥላል።")</f>
        <v>ሀ. ግጥሚያው ያለማቋረጥ ይቀጥላል.ቢ. ግጥሚያው የቆመው ሁኔታውን ለመገምገም ነው። ተቃዋሚው ያሸነፈው በመቁጠር ነው.ዲ. መብራቶቹ እስኪመለሱ ድረስ ጨዋታው በጨለማ ይቀጥላል።</v>
      </c>
      <c r="J138" s="11" t="str">
        <f>IFERROR(__xludf.DUMMYFUNCTION("GOOGLETRANSLATE(D138, ""en"", ""am"")"),"ግጥሚያው የቆመው ሁኔታውን ለመገምገም ነው።")</f>
        <v>ግጥሚያው የቆመው ሁኔታውን ለመገምገም ነው።</v>
      </c>
      <c r="K138" s="11" t="str">
        <f>IFERROR(__xludf.DUMMYFUNCTION("GOOGLETRANSLATE(E138, ""en"", ""am"")"),"ያልተጠበቁ መቆራረጦች የግጥሚያውን ፍሰት ሊለውጡ ይችላሉ።")</f>
        <v>ያልተጠበቁ መቆራረጦች የግጥሚያውን ፍሰት ሊለውጡ ይችላሉ።</v>
      </c>
    </row>
    <row r="139" ht="22.5" customHeight="1">
      <c r="A139" s="10">
        <v>138.0</v>
      </c>
      <c r="B139" s="11" t="s">
        <v>2081</v>
      </c>
      <c r="C139" s="11" t="s">
        <v>2082</v>
      </c>
      <c r="D139" s="11" t="s">
        <v>2083</v>
      </c>
      <c r="E139" s="11" t="s">
        <v>2084</v>
      </c>
      <c r="G139" s="11" t="str">
        <f>IFERROR(__xludf.DUMMYFUNCTION("GOOGLETRANSLATE(A139, ""en"", ""am"")"),"138")</f>
        <v>138</v>
      </c>
      <c r="H139" s="11" t="str">
        <f>IFERROR(__xludf.DUMMYFUNCTION("GOOGLETRANSLATE(B139, ""en"", ""am"")"),"ተጋዳላይ ተያዘ። ምን ይሆናል?")</f>
        <v>ተጋዳላይ ተያዘ። ምን ይሆናል?</v>
      </c>
      <c r="I139" s="11" t="str">
        <f>IFERROR(__xludf.DUMMYFUNCTION("GOOGLETRANSLATE(C139, ""en"", ""am"")"),"ሀ. ግጥሚያው መታ መውጣቱን ሳያውቅ ይቀጥላል። ታጋዩ የሚያሸንፈው በመገዛት ነው። ግጥሚያው የቆመው መታ መውጣቱን ለመገምገም ነው። ተዋጊው ለመንካት ብቁ አይደለም።")</f>
        <v>ሀ. ግጥሚያው መታ መውጣቱን ሳያውቅ ይቀጥላል። ታጋዩ የሚያሸንፈው በመገዛት ነው። ግጥሚያው የቆመው መታ መውጣቱን ለመገምገም ነው። ተዋጊው ለመንካት ብቁ አይደለም።</v>
      </c>
      <c r="J139" s="11" t="str">
        <f>IFERROR(__xludf.DUMMYFUNCTION("GOOGLETRANSLATE(D139, ""en"", ""am"")"),"መታ መውጣቱን ሳያውቅ ጨዋታው ይቀጥላል።")</f>
        <v>መታ መውጣቱን ሳያውቅ ጨዋታው ይቀጥላል።</v>
      </c>
      <c r="K139" s="11" t="str">
        <f>IFERROR(__xludf.DUMMYFUNCTION("GOOGLETRANSLATE(E139, ""en"", ""am"")"),"የዳኞች ስህተቶች ወደ አወዛጋቢ አጨራረስ ሊመሩ ይችላሉ።")</f>
        <v>የዳኞች ስህተቶች ወደ አወዛጋቢ አጨራረስ ሊመሩ ይችላሉ።</v>
      </c>
    </row>
    <row r="140" ht="22.5" customHeight="1">
      <c r="A140" s="10">
        <v>139.0</v>
      </c>
      <c r="B140" s="11" t="s">
        <v>2085</v>
      </c>
      <c r="C140" s="11" t="s">
        <v>2086</v>
      </c>
      <c r="D140" s="11" t="s">
        <v>2087</v>
      </c>
      <c r="E140" s="11" t="s">
        <v>2088</v>
      </c>
      <c r="G140" s="11" t="str">
        <f>IFERROR(__xludf.DUMMYFUNCTION("GOOGLETRANSLATE(A140, ""en"", ""am"")"),"139")</f>
        <v>139</v>
      </c>
      <c r="H140" s="11" t="str">
        <f>IFERROR(__xludf.DUMMYFUNCTION("GOOGLETRANSLATE(B140, ""en"", ""am"")"),"አንድ ታጋይ በገመድ ውስጥ ተይዟል, ተቃዋሚዎቻቸው ግን ማጥቃት ያቆማሉ. ምን ይሆናል?")</f>
        <v>አንድ ታጋይ በገመድ ውስጥ ተይዟል, ተቃዋሚዎቻቸው ግን ማጥቃት ያቆማሉ. ምን ይሆናል?</v>
      </c>
      <c r="I140" s="11" t="str">
        <f>IFERROR(__xludf.DUMMYFUNCTION("GOOGLETRANSLATE(C140, ""en"", ""am"")"),"ሀ ግጥሚያው አሁንም በገመድ ውስጥ ካለው ታጋዩ ጋር ይቀጥላል። ዳኛው ተቃዋሚውን ለማቆም ብቁ ያደርገዋል። ጨዋታው ሁኔታውን ለመገምገም ይቆማል.ዲ. ተፋላሚው በገመድ ውስጥ እንደታሰረ ይቆጠራል።")</f>
        <v>ሀ ግጥሚያው አሁንም በገመድ ውስጥ ካለው ታጋዩ ጋር ይቀጥላል። ዳኛው ተቃዋሚውን ለማቆም ብቁ ያደርገዋል። ጨዋታው ሁኔታውን ለመገምገም ይቆማል.ዲ. ተፋላሚው በገመድ ውስጥ እንደታሰረ ይቆጠራል።</v>
      </c>
      <c r="J140" s="11" t="str">
        <f>IFERROR(__xludf.DUMMYFUNCTION("GOOGLETRANSLATE(D140, ""en"", ""am"")"),"ግጥሚያው አሁንም በገመድ ውስጥ ካለው ታጋዩ ጋር ይቀጥላል።")</f>
        <v>ግጥሚያው አሁንም በገመድ ውስጥ ካለው ታጋዩ ጋር ይቀጥላል።</v>
      </c>
      <c r="K140" s="11" t="str">
        <f>IFERROR(__xludf.DUMMYFUNCTION("GOOGLETRANSLATE(E140, ""en"", ""am"")"),"በገመድ ውስጥ መያዙ ወደ ማጣት ሊያመራ ይችላል.")</f>
        <v>በገመድ ውስጥ መያዙ ወደ ማጣት ሊያመራ ይችላል.</v>
      </c>
    </row>
    <row r="141" ht="22.5" customHeight="1">
      <c r="A141" s="10">
        <v>140.0</v>
      </c>
      <c r="B141" s="11" t="s">
        <v>2089</v>
      </c>
      <c r="C141" s="11" t="s">
        <v>2090</v>
      </c>
      <c r="D141" s="11" t="s">
        <v>2091</v>
      </c>
      <c r="E141" s="11" t="s">
        <v>2092</v>
      </c>
      <c r="G141" s="11" t="str">
        <f>IFERROR(__xludf.DUMMYFUNCTION("GOOGLETRANSLATE(A141, ""en"", ""am"")"),"140")</f>
        <v>140</v>
      </c>
      <c r="H141" s="11" t="str">
        <f>IFERROR(__xludf.DUMMYFUNCTION("GOOGLETRANSLATE(B141, ""en"", ""am"")"),"አንድ ተጋጣሚ የቀለበት ፖስታውን እንደ መሳሪያ ሊጠቀም ቢሞክርም በዳኛው ቆመ። ምን ይሆናል?")</f>
        <v>አንድ ተጋጣሚ የቀለበት ፖስታውን እንደ መሳሪያ ሊጠቀም ቢሞክርም በዳኛው ቆመ። ምን ይሆናል?</v>
      </c>
      <c r="I141" s="11" t="str">
        <f>IFERROR(__xludf.DUMMYFUNCTION("GOOGLETRANSLATE(C141, ""en"", ""am"")"),"ሀ. ታጋዩ ማስጠንቀቂያ ተሰጥቶታል ነገር ግን ግጥሚያው ቀጥሏል.ቢ. ተጋጣሚው የቀለበት ፖስታውን ለመጠቀም ብቁ አይደለም። ግጥሚያው የቆመው ሁኔታውን ለመገምገም ነው ዲ. ተቃዋሚው የሚያሸንፈው የተጋጣሚውን ብቃት በማጣት ነው።")</f>
        <v>ሀ. ታጋዩ ማስጠንቀቂያ ተሰጥቶታል ነገር ግን ግጥሚያው ቀጥሏል.ቢ. ተጋጣሚው የቀለበት ፖስታውን ለመጠቀም ብቁ አይደለም። ግጥሚያው የቆመው ሁኔታውን ለመገምገም ነው ዲ. ተቃዋሚው የሚያሸንፈው የተጋጣሚውን ብቃት በማጣት ነው።</v>
      </c>
      <c r="J141" s="11" t="str">
        <f>IFERROR(__xludf.DUMMYFUNCTION("GOOGLETRANSLATE(D141, ""en"", ""am"")"),"ተጋጣሚው ማስጠንቀቂያ ተሰጥቶታል ግን ግጥሚያው ቀጥሏል።")</f>
        <v>ተጋጣሚው ማስጠንቀቂያ ተሰጥቶታል ግን ግጥሚያው ቀጥሏል።</v>
      </c>
      <c r="K141" s="11" t="str">
        <f>IFERROR(__xludf.DUMMYFUNCTION("GOOGLETRANSLATE(E141, ""en"", ""am"")"),"የቀለበት ፖስታውን መጠቀም ማስጠንቀቂያ ወይም ብቃት ማጣት ሊያስከትል ይችላል።")</f>
        <v>የቀለበት ፖስታውን መጠቀም ማስጠንቀቂያ ወይም ብቃት ማጣት ሊያስከትል ይችላል።</v>
      </c>
    </row>
    <row r="142" ht="22.5" customHeight="1">
      <c r="A142" s="10">
        <v>141.0</v>
      </c>
      <c r="B142" s="11" t="s">
        <v>2093</v>
      </c>
      <c r="C142" s="11" t="s">
        <v>2094</v>
      </c>
      <c r="D142" s="11" t="s">
        <v>2095</v>
      </c>
      <c r="E142" s="11" t="s">
        <v>2096</v>
      </c>
      <c r="G142" s="11" t="str">
        <f>IFERROR(__xludf.DUMMYFUNCTION("GOOGLETRANSLATE(A142, ""en"", ""am"")"),"141")</f>
        <v>141</v>
      </c>
      <c r="H142" s="11" t="str">
        <f>IFERROR(__xludf.DUMMYFUNCTION("GOOGLETRANSLATE(B142, ""en"", ""am"")"),"አንድ ታጋይ ተቀናቃኛቸውን በጭንቅላት ቆልፍ ቢቆልፈውም ተቃዋሚው ግን ለማምለጥ ችሏል። ምን ይሆናል?")</f>
        <v>አንድ ታጋይ ተቀናቃኛቸውን በጭንቅላት ቆልፍ ቢቆልፈውም ተቃዋሚው ግን ለማምለጥ ችሏል። ምን ይሆናል?</v>
      </c>
      <c r="I142" s="11" t="str">
        <f>IFERROR(__xludf.DUMMYFUNCTION("GOOGLETRANSLATE(C142, ""en"", ""am"")"),"ሀ. ጨዋታው ያለ ምንም መቆራረጥ ይቀጥላል.ቢ. ተቃዋሚው የሚያሸንፈው በመገዛት ነው። ተዋጊው በጣም ረጅም በመያዙ ይቀጣል.ዲ. ማምለጫውን ለመገምገም ግጥሚያው ቆሟል።")</f>
        <v>ሀ. ጨዋታው ያለ ምንም መቆራረጥ ይቀጥላል.ቢ. ተቃዋሚው የሚያሸንፈው በመገዛት ነው። ተዋጊው በጣም ረጅም በመያዙ ይቀጣል.ዲ. ማምለጫውን ለመገምገም ግጥሚያው ቆሟል።</v>
      </c>
      <c r="J142" s="11" t="str">
        <f>IFERROR(__xludf.DUMMYFUNCTION("GOOGLETRANSLATE(D142, ""en"", ""am"")"),"ጨዋታው ያለምንም መቆራረጥ ይቀጥላል።")</f>
        <v>ጨዋታው ያለምንም መቆራረጥ ይቀጥላል።</v>
      </c>
      <c r="K142" s="11" t="str">
        <f>IFERROR(__xludf.DUMMYFUNCTION("GOOGLETRANSLATE(E142, ""en"", ""am"")"),"ከመያዣ ማምለጥ ብዙ ጊዜ ፍጥነቱን ይለውጣል።")</f>
        <v>ከመያዣ ማምለጥ ብዙ ጊዜ ፍጥነቱን ይለውጣል።</v>
      </c>
    </row>
    <row r="143" ht="22.5" customHeight="1">
      <c r="A143" s="10">
        <v>142.0</v>
      </c>
      <c r="B143" s="11" t="s">
        <v>2097</v>
      </c>
      <c r="C143" s="11" t="s">
        <v>2098</v>
      </c>
      <c r="D143" s="11" t="s">
        <v>2069</v>
      </c>
      <c r="E143" s="11" t="s">
        <v>2099</v>
      </c>
      <c r="G143" s="11" t="str">
        <f>IFERROR(__xludf.DUMMYFUNCTION("GOOGLETRANSLATE(A143, ""en"", ""am"")"),"142")</f>
        <v>142</v>
      </c>
      <c r="H143" s="11" t="str">
        <f>IFERROR(__xludf.DUMMYFUNCTION("GOOGLETRANSLATE(B143, ""en"", ""am"")"),"አንድ ታጋይ ከቀለበት ውስጥ ይጣላል ነገር ግን በደህና ወደ ውጭ ያርፋል። ምን ይሆናል?")</f>
        <v>አንድ ታጋይ ከቀለበት ውስጥ ይጣላል ነገር ግን በደህና ወደ ውጭ ያርፋል። ምን ይሆናል?</v>
      </c>
      <c r="I143" s="11" t="str">
        <f>IFERROR(__xludf.DUMMYFUNCTION("GOOGLETRANSLATE(C143, ""en"", ""am"")"),"ሀ ግጥሚያው ከቀለበቱ ውጪ ከትግሉ ጋር ይቀጥላል። ተቃዋሚው ያሸነፈው በመቁጠር ነው.ሲ. ዳኛው ጨዋታው እንደገና እንዲጀመር ጥሪ አቅርበዋል.ዲ. ጨዋታው ሁኔታውን ለመገምገም ይቆማል።")</f>
        <v>ሀ ግጥሚያው ከቀለበቱ ውጪ ከትግሉ ጋር ይቀጥላል። ተቃዋሚው ያሸነፈው በመቁጠር ነው.ሲ. ዳኛው ጨዋታው እንደገና እንዲጀመር ጥሪ አቅርበዋል.ዲ. ጨዋታው ሁኔታውን ለመገምገም ይቆማል።</v>
      </c>
      <c r="J143" s="11" t="str">
        <f>IFERROR(__xludf.DUMMYFUNCTION("GOOGLETRANSLATE(D143, ""en"", ""am"")"),"ግጥሚያው ከቀለበቱ ውጭ ካለው ሬስለር ጋር ይቀጥላል።")</f>
        <v>ግጥሚያው ከቀለበቱ ውጭ ካለው ሬስለር ጋር ይቀጥላል።</v>
      </c>
      <c r="K143" s="11" t="str">
        <f>IFERROR(__xludf.DUMMYFUNCTION("GOOGLETRANSLATE(E143, ""en"", ""am"")"),"ከቀለበቱ ውስጥ መወርወር ወደ ቆጠራ ሊያመራ ይችላል.")</f>
        <v>ከቀለበቱ ውስጥ መወርወር ወደ ቆጠራ ሊያመራ ይችላል.</v>
      </c>
    </row>
    <row r="144" ht="22.5" customHeight="1">
      <c r="A144" s="10">
        <v>143.0</v>
      </c>
      <c r="B144" s="11" t="s">
        <v>2100</v>
      </c>
      <c r="C144" s="11" t="s">
        <v>2101</v>
      </c>
      <c r="D144" s="11" t="s">
        <v>1944</v>
      </c>
      <c r="E144" s="11" t="s">
        <v>2102</v>
      </c>
      <c r="G144" s="11" t="str">
        <f>IFERROR(__xludf.DUMMYFUNCTION("GOOGLETRANSLATE(A144, ""en"", ""am"")"),"143")</f>
        <v>143</v>
      </c>
      <c r="H144" s="11" t="str">
        <f>IFERROR(__xludf.DUMMYFUNCTION("GOOGLETRANSLATE(B144, ""en"", ""am"")"),"አንድ ታጋይ ሱፕሌክስን ቢሞክርም ተቃዋሚው ይቃወመዋል። ምን ይሆናል?")</f>
        <v>አንድ ታጋይ ሱፕሌክስን ቢሞክርም ተቃዋሚው ይቃወመዋል። ምን ይሆናል?</v>
      </c>
      <c r="I144" s="11" t="str">
        <f>IFERROR(__xludf.DUMMYFUNCTION("GOOGLETRANSLATE(C144, ""en"", ""am"")"),"ሀ. ግጥሚያው በተቃዋሚው ቁጥጥር ይቀጥላል.ቢ. ተዋጊው ሱፕሌክስን ለመሞከር ብቁ አይደለም.ሲ. ተቃዋሚው በመገዛት ያሸንፋል።ዲ. ጨዋታው ቆጣሪውን ለመገምገም ይቆማል።")</f>
        <v>ሀ. ግጥሚያው በተቃዋሚው ቁጥጥር ይቀጥላል.ቢ. ተዋጊው ሱፕሌክስን ለመሞከር ብቁ አይደለም.ሲ. ተቃዋሚው በመገዛት ያሸንፋል።ዲ. ጨዋታው ቆጣሪውን ለመገምገም ይቆማል።</v>
      </c>
      <c r="J144" s="11" t="str">
        <f>IFERROR(__xludf.DUMMYFUNCTION("GOOGLETRANSLATE(D144, ""en"", ""am"")"),"ተጋጣሚው ተቆጣጥሮ ጨዋታው ቀጥሏል።")</f>
        <v>ተጋጣሚው ተቆጣጥሮ ጨዋታው ቀጥሏል።</v>
      </c>
      <c r="K144" s="11" t="str">
        <f>IFERROR(__xludf.DUMMYFUNCTION("GOOGLETRANSLATE(E144, ""en"", ""am"")"),"ቆጣሪዎች ብዙውን ጊዜ ወደ ቁጥጥር ለውጥ ያመራሉ.")</f>
        <v>ቆጣሪዎች ብዙውን ጊዜ ወደ ቁጥጥር ለውጥ ያመራሉ.</v>
      </c>
    </row>
    <row r="145" ht="22.5" customHeight="1">
      <c r="A145" s="10">
        <v>144.0</v>
      </c>
      <c r="B145" s="11" t="s">
        <v>2103</v>
      </c>
      <c r="C145" s="11" t="s">
        <v>2104</v>
      </c>
      <c r="D145" s="11" t="s">
        <v>2105</v>
      </c>
      <c r="E145" s="11" t="s">
        <v>2106</v>
      </c>
      <c r="G145" s="11" t="str">
        <f>IFERROR(__xludf.DUMMYFUNCTION("GOOGLETRANSLATE(A145, ""en"", ""am"")"),"144")</f>
        <v>144</v>
      </c>
      <c r="H145" s="11" t="str">
        <f>IFERROR(__xludf.DUMMYFUNCTION("GOOGLETRANSLATE(B145, ""en"", ""am"")"),"አንድ ተፋላሚ አጨራረስ ለመስራት ቢሞክርም ባልተጠበቀ ጣልቃ ገብነት ይቋረጣል። ምን ይሆናል?")</f>
        <v>አንድ ተፋላሚ አጨራረስ ለመስራት ቢሞክርም ባልተጠበቀ ጣልቃ ገብነት ይቋረጣል። ምን ይሆናል?</v>
      </c>
      <c r="I145" s="11" t="str">
        <f>IFERROR(__xludf.DUMMYFUNCTION("GOOGLETRANSLATE(C145, ""en"", ""am"")"),"ሀ. ግጥሚያው ያለማቋረጥ ይቀጥላል.ቢ. ተዋጊው ጣልቃ ገብነትን ለመጠቀም ብቁ አይደለም.ሲ. ግጥሚያው የሚቆመው ጣልቃገብነቱን ለመገምገም ነው.ዲ. ተፎካካሪው በመቁጠር ያሸንፋል።")</f>
        <v>ሀ. ግጥሚያው ያለማቋረጥ ይቀጥላል.ቢ. ተዋጊው ጣልቃ ገብነትን ለመጠቀም ብቁ አይደለም.ሲ. ግጥሚያው የሚቆመው ጣልቃገብነቱን ለመገምገም ነው.ዲ. ተፎካካሪው በመቁጠር ያሸንፋል።</v>
      </c>
      <c r="J145" s="11" t="str">
        <f>IFERROR(__xludf.DUMMYFUNCTION("GOOGLETRANSLATE(D145, ""en"", ""am"")"),"ግጥሚያው ጣልቃ ገብነትን ለመገምገም ይቆማል።")</f>
        <v>ግጥሚያው ጣልቃ ገብነትን ለመገምገም ይቆማል።</v>
      </c>
      <c r="K145" s="11" t="str">
        <f>IFERROR(__xludf.DUMMYFUNCTION("GOOGLETRANSLATE(E145, ""en"", ""am"")"),"ጣልቃ ገብነት የጨዋታውን ሂደት ሊለውጠው ይችላል።")</f>
        <v>ጣልቃ ገብነት የጨዋታውን ሂደት ሊለውጠው ይችላል።</v>
      </c>
    </row>
    <row r="146" ht="22.5" customHeight="1">
      <c r="A146" s="10">
        <v>145.0</v>
      </c>
      <c r="B146" s="11" t="s">
        <v>2107</v>
      </c>
      <c r="C146" s="11" t="s">
        <v>2108</v>
      </c>
      <c r="D146" s="11" t="s">
        <v>1967</v>
      </c>
      <c r="E146" s="11" t="s">
        <v>2109</v>
      </c>
      <c r="G146" s="11" t="str">
        <f>IFERROR(__xludf.DUMMYFUNCTION("GOOGLETRANSLATE(A146, ""en"", ""am"")"),"145")</f>
        <v>145</v>
      </c>
      <c r="H146" s="11" t="str">
        <f>IFERROR(__xludf.DUMMYFUNCTION("GOOGLETRANSLATE(B146, ""en"", ""am"")"),"አንድ ተዋጊ የተሳካ የሰውነት መቆንጠጥ ያቀርባል ነገር ግን ተቃዋሚው ወዲያውኑ ይወጣል. ምን ይሆናል?")</f>
        <v>አንድ ተዋጊ የተሳካ የሰውነት መቆንጠጥ ያቀርባል ነገር ግን ተቃዋሚው ወዲያውኑ ይወጣል. ምን ይሆናል?</v>
      </c>
      <c r="I146" s="11" t="str">
        <f>IFERROR(__xludf.DUMMYFUNCTION("GOOGLETRANSLATE(C146, ""en"", ""am"")"),"ሀ ግጥሚያው በቁጥጥሩ ስር ባለ ታጋዩ ቀጥሏል። ግጥሚያው ለፒን ግምገማ ይቆማል። ተቃዋሚው በመገዛት ያሸንፋል።ዲ. ተጋጣሚው ባለማሸነፉ ይቀጣል።")</f>
        <v>ሀ ግጥሚያው በቁጥጥሩ ስር ባለ ታጋዩ ቀጥሏል። ግጥሚያው ለፒን ግምገማ ይቆማል። ተቃዋሚው በመገዛት ያሸንፋል።ዲ. ተጋጣሚው ባለማሸነፉ ይቀጣል።</v>
      </c>
      <c r="J146" s="11" t="str">
        <f>IFERROR(__xludf.DUMMYFUNCTION("GOOGLETRANSLATE(D146, ""en"", ""am"")"),"ግጥሚያው በተጋጣሚው ተቆጣጥሮ ቀጥሏል።")</f>
        <v>ግጥሚያው በተጋጣሚው ተቆጣጥሮ ቀጥሏል።</v>
      </c>
      <c r="K146" s="11" t="str">
        <f>IFERROR(__xludf.DUMMYFUNCTION("GOOGLETRANSLATE(E146, ""en"", ""am"")"),"Kickouts ወደ ፈጣን ለውጥ ሊያመራ ይችላል።")</f>
        <v>Kickouts ወደ ፈጣን ለውጥ ሊያመራ ይችላል።</v>
      </c>
    </row>
    <row r="147" ht="22.5" customHeight="1">
      <c r="A147" s="10">
        <v>146.0</v>
      </c>
      <c r="B147" s="11" t="s">
        <v>2110</v>
      </c>
      <c r="C147" s="11" t="s">
        <v>2111</v>
      </c>
      <c r="D147" s="11" t="s">
        <v>2112</v>
      </c>
      <c r="E147" s="11" t="s">
        <v>2113</v>
      </c>
      <c r="G147" s="11" t="str">
        <f>IFERROR(__xludf.DUMMYFUNCTION("GOOGLETRANSLATE(A147, ""en"", ""am"")"),"146")</f>
        <v>146</v>
      </c>
      <c r="H147" s="11" t="str">
        <f>IFERROR(__xludf.DUMMYFUNCTION("GOOGLETRANSLATE(B147, ""en"", ""am"")"),"አንድ ታጋይ በእጥፍ ስር መንጠቆ ቢሞክርም ሚዛኑን አጣ። ምን ይሆናል?")</f>
        <v>አንድ ታጋይ በእጥፍ ስር መንጠቆ ቢሞክርም ሚዛኑን አጣ። ምን ይሆናል?</v>
      </c>
      <c r="I147" s="11" t="str">
        <f>IFERROR(__xludf.DUMMYFUNCTION("GOOGLETRANSLATE(C147, ""en"", ""am"")"),"ሀ. ግጥሚያው በትግሉ በማገገም ይቀጥላል። ተቃዋሚው እርምጃውን በመቃወም ያሸንፋል። ግጥሚያው ለውድቀት ግምገማ ይቆማል።ዲ. ተፋላሚው ለሚዛን ማጣት ብቁ አይደለም።")</f>
        <v>ሀ. ግጥሚያው በትግሉ በማገገም ይቀጥላል። ተቃዋሚው እርምጃውን በመቃወም ያሸንፋል። ግጥሚያው ለውድቀት ግምገማ ይቆማል።ዲ. ተፋላሚው ለሚዛን ማጣት ብቁ አይደለም።</v>
      </c>
      <c r="J147" s="11" t="str">
        <f>IFERROR(__xludf.DUMMYFUNCTION("GOOGLETRANSLATE(D147, ""en"", ""am"")"),"ተጋጣሚው በማገገም ጨዋታው ቀጥሏል።")</f>
        <v>ተጋጣሚው በማገገም ጨዋታው ቀጥሏል።</v>
      </c>
      <c r="K147" s="11" t="str">
        <f>IFERROR(__xludf.DUMMYFUNCTION("GOOGLETRANSLATE(E147, ""en"", ""am"")"),"ሚዛን ማጣት የቁጥጥር መጥፋት ሊያስከትል ይችላል.")</f>
        <v>ሚዛን ማጣት የቁጥጥር መጥፋት ሊያስከትል ይችላል.</v>
      </c>
    </row>
    <row r="148" ht="22.5" customHeight="1">
      <c r="A148" s="10">
        <v>147.0</v>
      </c>
      <c r="B148" s="11" t="s">
        <v>2114</v>
      </c>
      <c r="C148" s="11" t="s">
        <v>2115</v>
      </c>
      <c r="D148" s="11" t="s">
        <v>1967</v>
      </c>
      <c r="E148" s="11" t="s">
        <v>2116</v>
      </c>
      <c r="G148" s="11" t="str">
        <f>IFERROR(__xludf.DUMMYFUNCTION("GOOGLETRANSLATE(A148, ""en"", ""am"")"),"147")</f>
        <v>147</v>
      </c>
      <c r="H148" s="11" t="str">
        <f>IFERROR(__xludf.DUMMYFUNCTION("GOOGLETRANSLATE(B148, ""en"", ""am"")"),"ተጋዳላይ ተገዢነትን ያከናውናል ተቃዋሚው ግን አመለጠ። ምን ይሆናል?")</f>
        <v>ተጋዳላይ ተገዢነትን ያከናውናል ተቃዋሚው ግን አመለጠ። ምን ይሆናል?</v>
      </c>
      <c r="I148" s="11" t="str">
        <f>IFERROR(__xludf.DUMMYFUNCTION("GOOGLETRANSLATE(C148, ""en"", ""am"")"),"ሀ ግጥሚያው በቁጥጥሩ ስር ባለ ታጋዩ ቀጥሏል። የማስረከቢያው መያዣ ሕገ-ወጥ እንደሆነ ይቆጠራል.ሲ. ተቃዋሚው በመገዛት ያሸንፋል።ዲ. ግጥሚያው የማምለጡን ግምገማ ይቆማል።")</f>
        <v>ሀ ግጥሚያው በቁጥጥሩ ስር ባለ ታጋዩ ቀጥሏል። የማስረከቢያው መያዣ ሕገ-ወጥ እንደሆነ ይቆጠራል.ሲ. ተቃዋሚው በመገዛት ያሸንፋል።ዲ. ግጥሚያው የማምለጡን ግምገማ ይቆማል።</v>
      </c>
      <c r="J148" s="11" t="str">
        <f>IFERROR(__xludf.DUMMYFUNCTION("GOOGLETRANSLATE(D148, ""en"", ""am"")"),"ግጥሚያው በተጋጣሚው ተቆጣጥሮ ቀጥሏል።")</f>
        <v>ግጥሚያው በተጋጣሚው ተቆጣጥሮ ቀጥሏል።</v>
      </c>
      <c r="K148" s="11" t="str">
        <f>IFERROR(__xludf.DUMMYFUNCTION("GOOGLETRANSLATE(E148, ""en"", ""am"")"),"ከማስረከብ ማምለጥ ቁጥጥርን ሊቀይር ይችላል።")</f>
        <v>ከማስረከብ ማምለጥ ቁጥጥርን ሊቀይር ይችላል።</v>
      </c>
    </row>
    <row r="149" ht="22.5" customHeight="1">
      <c r="A149" s="10">
        <v>148.0</v>
      </c>
      <c r="B149" s="11" t="s">
        <v>2117</v>
      </c>
      <c r="C149" s="11" t="s">
        <v>2118</v>
      </c>
      <c r="D149" s="11" t="s">
        <v>2119</v>
      </c>
      <c r="E149" s="11" t="s">
        <v>2120</v>
      </c>
      <c r="G149" s="11" t="str">
        <f>IFERROR(__xludf.DUMMYFUNCTION("GOOGLETRANSLATE(A149, ""en"", ""am"")"),"148")</f>
        <v>148</v>
      </c>
      <c r="H149" s="11" t="str">
        <f>IFERROR(__xludf.DUMMYFUNCTION("GOOGLETRANSLATE(B149, ""en"", ""am"")"),"አንድ ታጋይ በተጋጣሚው የማጠናቀቂያ እንቅስቃሴ ተይዟል ግን ነፃ መውጣት ይችላል። ምን ይሆናል?")</f>
        <v>አንድ ታጋይ በተጋጣሚው የማጠናቀቂያ እንቅስቃሴ ተይዟል ግን ነፃ መውጣት ይችላል። ምን ይሆናል?</v>
      </c>
      <c r="I149" s="11" t="str">
        <f>IFERROR(__xludf.DUMMYFUNCTION("GOOGLETRANSLATE(C149, ""en"", ""am"")"),"ሀ. ግጥሚያው ከትግሉ ማምለጫ ጋር ይቀጥላል። ታጋዩ የሚያሸንፈው በመገዛት ነው። ተቃዋሚው በመገዛት ያሸንፋል።ዲ. ማምለጫውን ለመገምገም ግጥሚያው ቆሟል።")</f>
        <v>ሀ. ግጥሚያው ከትግሉ ማምለጫ ጋር ይቀጥላል። ታጋዩ የሚያሸንፈው በመገዛት ነው። ተቃዋሚው በመገዛት ያሸንፋል።ዲ. ማምለጫውን ለመገምገም ግጥሚያው ቆሟል።</v>
      </c>
      <c r="J149" s="11" t="str">
        <f>IFERROR(__xludf.DUMMYFUNCTION("GOOGLETRANSLATE(D149, ""en"", ""am"")"),"ተጋጣሚው በማምለጡ ግጥሚያው ቀጥሏል።")</f>
        <v>ተጋጣሚው በማምለጡ ግጥሚያው ቀጥሏል።</v>
      </c>
      <c r="K149" s="11" t="str">
        <f>IFERROR(__xludf.DUMMYFUNCTION("GOOGLETRANSLATE(E149, ""en"", ""am"")"),"ከአጨራቂ መላቀቅ ብዙ ጊዜ ፍጥነትን ይቀይራል።")</f>
        <v>ከአጨራቂ መላቀቅ ብዙ ጊዜ ፍጥነትን ይቀይራል።</v>
      </c>
    </row>
    <row r="150" ht="22.5" customHeight="1">
      <c r="A150" s="10">
        <v>149.0</v>
      </c>
      <c r="B150" s="11" t="s">
        <v>2121</v>
      </c>
      <c r="C150" s="11" t="s">
        <v>2122</v>
      </c>
      <c r="D150" s="11" t="s">
        <v>2123</v>
      </c>
      <c r="E150" s="11" t="s">
        <v>2124</v>
      </c>
      <c r="G150" s="11" t="str">
        <f>IFERROR(__xludf.DUMMYFUNCTION("GOOGLETRANSLATE(A150, ""en"", ""am"")"),"149")</f>
        <v>149</v>
      </c>
      <c r="H150" s="11" t="str">
        <f>IFERROR(__xludf.DUMMYFUNCTION("GOOGLETRANSLATE(B150, ""en"", ""am"")"),"አንድ ተጋዳላይ ከፍተኛ የሚበር ማንዌቭን ይሰራል ነገር ግን ኢላማውን ያጣል። ምን ይሆናል?")</f>
        <v>አንድ ተጋዳላይ ከፍተኛ የሚበር ማንዌቭን ይሰራል ነገር ግን ኢላማውን ያጣል። ምን ይሆናል?</v>
      </c>
      <c r="I150" s="11" t="str">
        <f>IFERROR(__xludf.DUMMYFUNCTION("GOOGLETRANSLATE(C150, ""en"", ""am"")"),"ሀ. ግጥሚያው በትግሉ በማገገም ይቀጥላል። ተቃዋሚው ያመለጠውን እንቅስቃሴ በካፒታል ይጠቀማል። ግጥሚያው ያመለጠውን ማኑዌር ለመገምገም ይቆማል።ዲ. ተፋላሚው የሚያሸንፈው ውድቅ በማጣት ነው።")</f>
        <v>ሀ. ግጥሚያው በትግሉ በማገገም ይቀጥላል። ተቃዋሚው ያመለጠውን እንቅስቃሴ በካፒታል ይጠቀማል። ግጥሚያው ያመለጠውን ማኑዌር ለመገምገም ይቆማል።ዲ. ተፋላሚው የሚያሸንፈው ውድቅ በማጣት ነው።</v>
      </c>
      <c r="J150" s="11" t="str">
        <f>IFERROR(__xludf.DUMMYFUNCTION("GOOGLETRANSLATE(D150, ""en"", ""am"")"),"ተቃዋሚው ያመለጠውን እንቅስቃሴ ይጠቅማል።")</f>
        <v>ተቃዋሚው ያመለጠውን እንቅስቃሴ ይጠቅማል።</v>
      </c>
      <c r="K150" s="11" t="str">
        <f>IFERROR(__xludf.DUMMYFUNCTION("GOOGLETRANSLATE(E150, ""en"", ""am"")"),"ከፍተኛ የሚበር ማንዌቭ ማጣት ብዙውን ጊዜ ቁጥጥርን ያስከትላል።")</f>
        <v>ከፍተኛ የሚበር ማንዌቭ ማጣት ብዙውን ጊዜ ቁጥጥርን ያስከትላል።</v>
      </c>
    </row>
    <row r="151" ht="22.5" customHeight="1">
      <c r="A151" s="10">
        <v>150.0</v>
      </c>
      <c r="B151" s="11" t="s">
        <v>2125</v>
      </c>
      <c r="C151" s="11" t="s">
        <v>2126</v>
      </c>
      <c r="D151" s="11" t="s">
        <v>2127</v>
      </c>
      <c r="E151" s="11" t="s">
        <v>2128</v>
      </c>
      <c r="G151" s="11" t="str">
        <f>IFERROR(__xludf.DUMMYFUNCTION("GOOGLETRANSLATE(A151, ""en"", ""am"")"),"150")</f>
        <v>150</v>
      </c>
      <c r="H151" s="11" t="str">
        <f>IFERROR(__xludf.DUMMYFUNCTION("GOOGLETRANSLATE(B151, ""en"", ""am"")"),"አንድ ተዋጊ በግቤት ላይ ነው ነገር ግን መታ ለማድረግ ፈቃደኛ አልሆነም። ምን ይሆናል?")</f>
        <v>አንድ ተዋጊ በግቤት ላይ ነው ነገር ግን መታ ለማድረግ ፈቃደኛ አልሆነም። ምን ይሆናል?</v>
      </c>
      <c r="I151" s="11" t="str">
        <f>IFERROR(__xludf.DUMMYFUNCTION("GOOGLETRANSLATE(C151, ""en"", ""am"")"),"ሀ ግጥሚያው ከታጋዩ ጋር በህመም ይቀጥላል። ዳኛው ግጥሚያውን ያቆመው ተጋጣሚው ካለፈ ሲ. ተቃዋሚው በፒንፎል ያሸንፋል.ዲ. ተፋላሚው የሚያሸንፈው ውድቅ በማጣት ነው።")</f>
        <v>ሀ ግጥሚያው ከታጋዩ ጋር በህመም ይቀጥላል። ዳኛው ግጥሚያውን ያቆመው ተጋጣሚው ካለፈ ሲ. ተቃዋሚው በፒንፎል ያሸንፋል.ዲ. ተፋላሚው የሚያሸንፈው ውድቅ በማጣት ነው።</v>
      </c>
      <c r="J151" s="11" t="str">
        <f>IFERROR(__xludf.DUMMYFUNCTION("GOOGLETRANSLATE(D151, ""en"", ""am"")"),"ተጋጣሚው ካለፈ ዳኛው ጨዋታውን ያቆማል።")</f>
        <v>ተጋጣሚው ካለፈ ዳኛው ጨዋታውን ያቆማል።</v>
      </c>
      <c r="K151" s="11" t="str">
        <f>IFERROR(__xludf.DUMMYFUNCTION("GOOGLETRANSLATE(E151, ""en"", ""am"")"),"ለመንካት አለመቀበል ወደ ንቃተ ህሊና ማጣት ወይም ወደ ማቆም ሊያመራ ይችላል።")</f>
        <v>ለመንካት አለመቀበል ወደ ንቃተ ህሊና ማጣት ወይም ወደ ማቆም ሊያመራ ይችላል።</v>
      </c>
    </row>
    <row r="152" ht="22.5" customHeight="1">
      <c r="A152" s="10">
        <v>151.0</v>
      </c>
      <c r="B152" s="11" t="s">
        <v>2129</v>
      </c>
      <c r="C152" s="11" t="s">
        <v>2130</v>
      </c>
      <c r="D152" s="11" t="s">
        <v>2131</v>
      </c>
      <c r="E152" s="11" t="s">
        <v>2132</v>
      </c>
      <c r="G152" s="11" t="str">
        <f>IFERROR(__xludf.DUMMYFUNCTION("GOOGLETRANSLATE(A152, ""en"", ""am"")"),"151")</f>
        <v>151</v>
      </c>
      <c r="H152" s="11" t="str">
        <f>IFERROR(__xludf.DUMMYFUNCTION("GOOGLETRANSLATE(B152, ""en"", ""am"")"),"አንድ ታጋይ ተከታታይ ቡጢዎችን ቢያደርግም በዳኛው ቆመ። ምን ይሆናል?")</f>
        <v>አንድ ታጋይ ተከታታይ ቡጢዎችን ቢያደርግም በዳኛው ቆመ። ምን ይሆናል?</v>
      </c>
      <c r="I152" s="11" t="str">
        <f>IFERROR(__xludf.DUMMYFUNCTION("GOOGLETRANSLATE(C152, ""en"", ""am"")"),"ሀ.ጨዋታው ያለ ምንም ቅጣት ይቀጥላል.ቢ. ታጋዩ ለሕገወጥ አድማዎች ብቁ አይደለም.ሲ. ተቃዋሚው በማቆሚያው ላይ ካፒታላይዝ ያደርጋል.ዲ. ግጥሚያው ለተጋጣሚው ማስጠንቀቂያ ይቆማል።")</f>
        <v>ሀ.ጨዋታው ያለ ምንም ቅጣት ይቀጥላል.ቢ. ታጋዩ ለሕገወጥ አድማዎች ብቁ አይደለም.ሲ. ተቃዋሚው በማቆሚያው ላይ ካፒታላይዝ ያደርጋል.ዲ. ግጥሚያው ለተጋጣሚው ማስጠንቀቂያ ይቆማል።</v>
      </c>
      <c r="J152" s="11" t="str">
        <f>IFERROR(__xludf.DUMMYFUNCTION("GOOGLETRANSLATE(D152, ""en"", ""am"")"),"ጨዋታው ያለ ምንም ቅጣት ቀጥሏል።")</f>
        <v>ጨዋታው ያለ ምንም ቅጣት ቀጥሏል።</v>
      </c>
      <c r="K152" s="11" t="str">
        <f>IFERROR(__xludf.DUMMYFUNCTION("GOOGLETRANSLATE(E152, ""en"", ""am"")"),"ተደጋጋሚ የስራ ማቆም አድማ ወደ ማስጠንቀቂያዎች ወይም ብቁ አለመሆንን ሊያስከትል ይችላል።")</f>
        <v>ተደጋጋሚ የስራ ማቆም አድማ ወደ ማስጠንቀቂያዎች ወይም ብቁ አለመሆንን ሊያስከትል ይችላል።</v>
      </c>
    </row>
    <row r="153" ht="22.5" customHeight="1">
      <c r="A153" s="10">
        <v>152.0</v>
      </c>
      <c r="B153" s="11" t="s">
        <v>2133</v>
      </c>
      <c r="C153" s="11" t="s">
        <v>2134</v>
      </c>
      <c r="D153" s="11" t="s">
        <v>2065</v>
      </c>
      <c r="E153" s="11" t="s">
        <v>2135</v>
      </c>
      <c r="G153" s="11" t="str">
        <f>IFERROR(__xludf.DUMMYFUNCTION("GOOGLETRANSLATE(A153, ""en"", ""am"")"),"152")</f>
        <v>152</v>
      </c>
      <c r="H153" s="11" t="str">
        <f>IFERROR(__xludf.DUMMYFUNCTION("GOOGLETRANSLATE(B153, ""en"", ""am"")"),"አንድ ታጋይ ፒን ሲሞክር የተጋጣሚያቸው እግር ከገመድ በታች ነው። ምን ይሆናል?")</f>
        <v>አንድ ታጋይ ፒን ሲሞክር የተጋጣሚያቸው እግር ከገመድ በታች ነው። ምን ይሆናል?</v>
      </c>
      <c r="I153" s="11" t="str">
        <f>IFERROR(__xludf.DUMMYFUNCTION("GOOGLETRANSLATE(C153, ""en"", ""am"")"),"ሀ. ግጥሚያው ያለ ፒንፎል ይቀጥላል.ቢ. ግጥሚያው የገመድ ሁኔታን ለመገምገም ይቆማል። ቁንጮው እንደ ህጋዊ ይቆጠራል.ዲ. ተፎካካሪው የሚያሸንፈው ውድቅ በማጣት ነው።")</f>
        <v>ሀ. ግጥሚያው ያለ ፒንፎል ይቀጥላል.ቢ. ግጥሚያው የገመድ ሁኔታን ለመገምገም ይቆማል። ቁንጮው እንደ ህጋዊ ይቆጠራል.ዲ. ተፎካካሪው የሚያሸንፈው ውድቅ በማጣት ነው።</v>
      </c>
      <c r="J153" s="11" t="str">
        <f>IFERROR(__xludf.DUMMYFUNCTION("GOOGLETRANSLATE(D153, ""en"", ""am"")"),"ግጥሚያው ያለ ጫጫታ ይቀጥላል።")</f>
        <v>ግጥሚያው ያለ ጫጫታ ይቀጥላል።</v>
      </c>
      <c r="K153" s="11" t="str">
        <f>IFERROR(__xludf.DUMMYFUNCTION("GOOGLETRANSLATE(E153, ""en"", ""am"")"),"በፒን ጊዜ ገመድ መሰባበር ፒኑን ሊያሳጣው ይችላል።")</f>
        <v>በፒን ጊዜ ገመድ መሰባበር ፒኑን ሊያሳጣው ይችላል።</v>
      </c>
    </row>
    <row r="154" ht="22.5" customHeight="1">
      <c r="A154" s="10">
        <v>153.0</v>
      </c>
      <c r="B154" s="11" t="s">
        <v>2136</v>
      </c>
      <c r="C154" s="11" t="s">
        <v>2137</v>
      </c>
      <c r="D154" s="11" t="s">
        <v>2138</v>
      </c>
      <c r="E154" s="11" t="s">
        <v>2139</v>
      </c>
      <c r="G154" s="11" t="str">
        <f>IFERROR(__xludf.DUMMYFUNCTION("GOOGLETRANSLATE(A154, ""en"", ""am"")"),"153")</f>
        <v>153</v>
      </c>
      <c r="H154" s="11" t="str">
        <f>IFERROR(__xludf.DUMMYFUNCTION("GOOGLETRANSLATE(B154, ""en"", ""am"")"),"አንድ ታጋይ ሊያሸንፍ ነው ግን አስተዳዳሪው በጨዋታው ውስጥ ጣልቃ ገባ። ምን ይሆናል?")</f>
        <v>አንድ ታጋይ ሊያሸንፍ ነው ግን አስተዳዳሪው በጨዋታው ውስጥ ጣልቃ ገባ። ምን ይሆናል?</v>
      </c>
      <c r="I154" s="11" t="str">
        <f>IFERROR(__xludf.DUMMYFUNCTION("GOOGLETRANSLATE(C154, ""en"", ""am"")"),"ሀ. ተጋጣሚው ምንም እንኳን ጣልቃ ገብነት ቢኖርም ያሸንፋል። ጨዋታው ያለምንም ቅጣት ቀጥሏል.ሲ. ዳኛው ለመጠላለፍ ጨዋታውን ያቆማል።ዲ. ተዋጊው ለአስተዳዳሪ ጣልቃገብነት ብቁ አይደለም።")</f>
        <v>ሀ. ተጋጣሚው ምንም እንኳን ጣልቃ ገብነት ቢኖርም ያሸንፋል። ጨዋታው ያለምንም ቅጣት ቀጥሏል.ሲ. ዳኛው ለመጠላለፍ ጨዋታውን ያቆማል።ዲ. ተዋጊው ለአስተዳዳሪ ጣልቃገብነት ብቁ አይደለም።</v>
      </c>
      <c r="J154" s="11" t="str">
        <f>IFERROR(__xludf.DUMMYFUNCTION("GOOGLETRANSLATE(D154, ""en"", ""am"")"),"ዳኛው ለጣልቃ ገብነት ጨዋታውን ያቆማል።")</f>
        <v>ዳኛው ለጣልቃ ገብነት ጨዋታውን ያቆማል።</v>
      </c>
      <c r="K154" s="11" t="str">
        <f>IFERROR(__xludf.DUMMYFUNCTION("GOOGLETRANSLATE(E154, ""en"", ""am"")"),"የአስተዳዳሪው ጣልቃገብነት ወደ ውድቅነት ሊያመራ ይችላል.")</f>
        <v>የአስተዳዳሪው ጣልቃገብነት ወደ ውድቅነት ሊያመራ ይችላል.</v>
      </c>
    </row>
    <row r="155" ht="22.5" customHeight="1">
      <c r="A155" s="10">
        <v>154.0</v>
      </c>
      <c r="B155" s="11" t="s">
        <v>2140</v>
      </c>
      <c r="C155" s="11" t="s">
        <v>2141</v>
      </c>
      <c r="D155" s="11" t="s">
        <v>2142</v>
      </c>
      <c r="E155" s="11" t="s">
        <v>2143</v>
      </c>
      <c r="G155" s="11" t="str">
        <f>IFERROR(__xludf.DUMMYFUNCTION("GOOGLETRANSLATE(A155, ""en"", ""am"")"),"154")</f>
        <v>154</v>
      </c>
      <c r="H155" s="11" t="str">
        <f>IFERROR(__xludf.DUMMYFUNCTION("GOOGLETRANSLATE(B155, ""en"", ""am"")"),"አንድ ታጋይ በቡጢ ቢመታም ዳኛው በስህተት ዝቅተኛ ምት ብለውታል። ምን ይሆናል?")</f>
        <v>አንድ ታጋይ በቡጢ ቢመታም ዳኛው በስህተት ዝቅተኛ ምት ብለውታል። ምን ይሆናል?</v>
      </c>
      <c r="I155" s="11" t="str">
        <f>IFERROR(__xludf.DUMMYFUNCTION("GOOGLETRANSLATE(C155, ""en"", ""am"")"),"ሀ/ ጨዋታው በዳኛው ውሳኔ ቀጥሏል ለ. ተጋጣሚው የሚያሸንፈው የዳኛውን ብቃት በማጣት ነው። ግጥሚያው ለጥሪው ግምገማ ቆሟል።ዲ. ተቃዋሚው ለዝቅተኛ ምት ምላሽ ለመስጠት ብቁ አይደለም።")</f>
        <v>ሀ/ ጨዋታው በዳኛው ውሳኔ ቀጥሏል ለ. ተጋጣሚው የሚያሸንፈው የዳኛውን ብቃት በማጣት ነው። ግጥሚያው ለጥሪው ግምገማ ቆሟል።ዲ. ተቃዋሚው ለዝቅተኛ ምት ምላሽ ለመስጠት ብቁ አይደለም።</v>
      </c>
      <c r="J155" s="11" t="str">
        <f>IFERROR(__xludf.DUMMYFUNCTION("GOOGLETRANSLATE(D155, ""en"", ""am"")"),"ጨዋታው ለጥሪው ግምገማ ይቆማል።")</f>
        <v>ጨዋታው ለጥሪው ግምገማ ይቆማል።</v>
      </c>
      <c r="K155" s="11" t="str">
        <f>IFERROR(__xludf.DUMMYFUNCTION("GOOGLETRANSLATE(E155, ""en"", ""am"")"),"የዳኞች ስህተቶች አወዛጋቢ ጥሪዎችን ሊያስከትሉ ይችላሉ።")</f>
        <v>የዳኞች ስህተቶች አወዛጋቢ ጥሪዎችን ሊያስከትሉ ይችላሉ።</v>
      </c>
    </row>
    <row r="156" ht="22.5" customHeight="1">
      <c r="A156" s="10">
        <v>155.0</v>
      </c>
      <c r="B156" s="11" t="s">
        <v>2144</v>
      </c>
      <c r="C156" s="11" t="s">
        <v>2145</v>
      </c>
      <c r="D156" s="11" t="s">
        <v>1967</v>
      </c>
      <c r="E156" s="11" t="s">
        <v>2146</v>
      </c>
      <c r="G156" s="11" t="str">
        <f>IFERROR(__xludf.DUMMYFUNCTION("GOOGLETRANSLATE(A156, ""en"", ""am"")"),"155")</f>
        <v>155</v>
      </c>
      <c r="H156" s="11" t="str">
        <f>IFERROR(__xludf.DUMMYFUNCTION("GOOGLETRANSLATE(B156, ""en"", ""am"")"),"ተፋላሚ ሃይል ቦምብ ይፈጽማል ግን ለፒን አይሸፍነውም። ምን ይሆናል?")</f>
        <v>ተፋላሚ ሃይል ቦምብ ይፈጽማል ግን ለፒን አይሸፍነውም። ምን ይሆናል?</v>
      </c>
      <c r="I156" s="11" t="str">
        <f>IFERROR(__xludf.DUMMYFUNCTION("GOOGLETRANSLATE(C156, ""en"", ""am"")"),"ሀ ግጥሚያው በቁጥጥሩ ስር ባለ ታጋዩ ቀጥሏል። ተፎካካሪው ያሸነፈው ከብቃት ውጪ ነው.ሲ. ግጥሚያው ለእንቅስቃሴው ግምገማ ቆሟል።ዲ. ተፋላሚው በፒንፎል ያሸንፋል።")</f>
        <v>ሀ ግጥሚያው በቁጥጥሩ ስር ባለ ታጋዩ ቀጥሏል። ተፎካካሪው ያሸነፈው ከብቃት ውጪ ነው.ሲ. ግጥሚያው ለእንቅስቃሴው ግምገማ ቆሟል።ዲ. ተፋላሚው በፒንፎል ያሸንፋል።</v>
      </c>
      <c r="J156" s="11" t="str">
        <f>IFERROR(__xludf.DUMMYFUNCTION("GOOGLETRANSLATE(D156, ""en"", ""am"")"),"ግጥሚያው በተጋጣሚው ተቆጣጥሮ ቀጥሏል።")</f>
        <v>ግጥሚያው በተጋጣሚው ተቆጣጥሮ ቀጥሏል።</v>
      </c>
      <c r="K156" s="11" t="str">
        <f>IFERROR(__xludf.DUMMYFUNCTION("GOOGLETRANSLATE(E156, ""en"", ""am"")"),"ከትልቅ እንቅስቃሴ በኋላ ፒን ማድረግ አለመቻል ያመለጡ እድሎችን ያስከትላል።")</f>
        <v>ከትልቅ እንቅስቃሴ በኋላ ፒን ማድረግ አለመቻል ያመለጡ እድሎችን ያስከትላል።</v>
      </c>
    </row>
    <row r="157" ht="22.5" customHeight="1">
      <c r="A157" s="10">
        <v>156.0</v>
      </c>
      <c r="B157" s="11" t="s">
        <v>2147</v>
      </c>
      <c r="C157" s="11" t="s">
        <v>2148</v>
      </c>
      <c r="D157" s="11" t="s">
        <v>2149</v>
      </c>
      <c r="E157" s="11" t="s">
        <v>2150</v>
      </c>
      <c r="G157" s="11" t="str">
        <f>IFERROR(__xludf.DUMMYFUNCTION("GOOGLETRANSLATE(A157, ""en"", ""am"")"),"156")</f>
        <v>156</v>
      </c>
      <c r="H157" s="11" t="str">
        <f>IFERROR(__xludf.DUMMYFUNCTION("GOOGLETRANSLATE(B157, ""en"", ""am"")"),"አንድ ታጋይ ለተቃዋሚው አጥፊ የጉልበት ሽንፈትን ይሰጣል ነገር ግን አይከተልም። ምን ይሆናል?")</f>
        <v>አንድ ታጋይ ለተቃዋሚው አጥፊ የጉልበት ሽንፈትን ይሰጣል ነገር ግን አይከተልም። ምን ይሆናል?</v>
      </c>
      <c r="I157" s="11" t="str">
        <f>IFERROR(__xludf.DUMMYFUNCTION("GOOGLETRANSLATE(C157, ""en"", ""am"")"),"ሀ. ተቃዋሚው በቆመበት እና በመልሶ ማጥቃት ላይ ትልቅ ያደርገዋል። ግጥሚያው በተቆጣጣሪው ይቀጥላል። ተፋላሚው ባለመከተሉ ይቀጣል.ዲ. ግጥሚያው የቆመው የጉልበት አድማን ለመገምገም ነው።")</f>
        <v>ሀ. ተቃዋሚው በቆመበት እና በመልሶ ማጥቃት ላይ ትልቅ ያደርገዋል። ግጥሚያው በተቆጣጣሪው ይቀጥላል። ተፋላሚው ባለመከተሉ ይቀጣል.ዲ. ግጥሚያው የቆመው የጉልበት አድማን ለመገምገም ነው።</v>
      </c>
      <c r="J157" s="11" t="str">
        <f>IFERROR(__xludf.DUMMYFUNCTION("GOOGLETRANSLATE(D157, ""en"", ""am"")"),"ተቃዋሚው በቆመበት እና በመልሶ ማጥቃት ላይ ትልቅ ያደርገዋል።")</f>
        <v>ተቃዋሚው በቆመበት እና በመልሶ ማጥቃት ላይ ትልቅ ያደርገዋል።</v>
      </c>
      <c r="K157" s="11" t="str">
        <f>IFERROR(__xludf.DUMMYFUNCTION("GOOGLETRANSLATE(E157, ""en"", ""am"")"),"ከትልቅ የስራ ማቆም አድማ በኋላ አለመከታተል ብዙ ጊዜ ወደ ማጣት ይመራዋል።")</f>
        <v>ከትልቅ የስራ ማቆም አድማ በኋላ አለመከታተል ብዙ ጊዜ ወደ ማጣት ይመራዋል።</v>
      </c>
    </row>
    <row r="158" ht="22.5" customHeight="1">
      <c r="A158" s="10">
        <v>157.0</v>
      </c>
      <c r="B158" s="11" t="s">
        <v>2151</v>
      </c>
      <c r="C158" s="11" t="s">
        <v>2152</v>
      </c>
      <c r="D158" s="11" t="s">
        <v>2025</v>
      </c>
      <c r="E158" s="11" t="s">
        <v>2153</v>
      </c>
      <c r="G158" s="11" t="str">
        <f>IFERROR(__xludf.DUMMYFUNCTION("GOOGLETRANSLATE(A158, ""en"", ""am"")"),"157")</f>
        <v>157</v>
      </c>
      <c r="H158" s="11" t="str">
        <f>IFERROR(__xludf.DUMMYFUNCTION("GOOGLETRANSLATE(B158, ""en"", ""am"")"),"አንድ ተፋላሚ የማስረከብ ስራ እየሰራ ነው፣ ተቃዋሚው ግን ገመዱን ይይዛል። ምን ይሆናል?")</f>
        <v>አንድ ተፋላሚ የማስረከብ ስራ እየሰራ ነው፣ ተቃዋሚው ግን ገመዱን ይይዛል። ምን ይሆናል?</v>
      </c>
      <c r="I158" s="11" t="str">
        <f>IFERROR(__xludf.DUMMYFUNCTION("GOOGLETRANSLATE(C158, ""en"", ""am"")"),"ሀ. የማስረከቢያው ተሰብሯል እና ግጥሚያው ይቀጥላል.ቢ. ጨዋታው ሁኔታውን ለመገምገም ይቆማል.ሲ. ታጋዩ የሚያሸንፈው በመገዛት ነው።ዲ. ተቃዋሚው ገመዱን ለመያዝ ብቁ አይደለም.")</f>
        <v>ሀ. የማስረከቢያው ተሰብሯል እና ግጥሚያው ይቀጥላል.ቢ. ጨዋታው ሁኔታውን ለመገምገም ይቆማል.ሲ. ታጋዩ የሚያሸንፈው በመገዛት ነው።ዲ. ተቃዋሚው ገመዱን ለመያዝ ብቁ አይደለም.</v>
      </c>
      <c r="J158" s="11" t="str">
        <f>IFERROR(__xludf.DUMMYFUNCTION("GOOGLETRANSLATE(D158, ""en"", ""am"")"),"ማስረከቢያው ተሰብሯል እና ግጥሚያው ቀጥሏል።")</f>
        <v>ማስረከቢያው ተሰብሯል እና ግጥሚያው ቀጥሏል።</v>
      </c>
      <c r="K158" s="11" t="str">
        <f>IFERROR(__xludf.DUMMYFUNCTION("GOOGLETRANSLATE(E158, ""en"", ""am"")"),"ገመዱን መያዝ የማስረከቢያ መያዣን ሊሰብር ይችላል።")</f>
        <v>ገመዱን መያዝ የማስረከቢያ መያዣን ሊሰብር ይችላል።</v>
      </c>
    </row>
    <row r="159" ht="22.5" customHeight="1">
      <c r="A159" s="10">
        <v>158.0</v>
      </c>
      <c r="B159" s="11" t="s">
        <v>2154</v>
      </c>
      <c r="C159" s="11" t="s">
        <v>2155</v>
      </c>
      <c r="D159" s="11" t="s">
        <v>2156</v>
      </c>
      <c r="E159" s="11" t="s">
        <v>2157</v>
      </c>
      <c r="G159" s="11" t="str">
        <f>IFERROR(__xludf.DUMMYFUNCTION("GOOGLETRANSLATE(A159, ""en"", ""am"")"),"158")</f>
        <v>158</v>
      </c>
      <c r="H159" s="11" t="str">
        <f>IFERROR(__xludf.DUMMYFUNCTION("GOOGLETRANSLATE(B159, ""en"", ""am"")"),"አንድ ታጋይ ማነቆ ውስጥ ተይዞ ሊያልፍ ነው። ምን ይሆናል?")</f>
        <v>አንድ ታጋይ ማነቆ ውስጥ ተይዞ ሊያልፍ ነው። ምን ይሆናል?</v>
      </c>
      <c r="I159" s="11" t="str">
        <f>IFERROR(__xludf.DUMMYFUNCTION("GOOGLETRANSLATE(C159, ""en"", ""am"")"),"ሀ. ግጥሚያው የቆመው ሁኔታውን ለመገምገም ነው.ቢ. ዳኛው ተጋጣሚውን ለመፈተሽ ጨዋታውን ያቆማል። ተቃዋሚው በፒንፎል ያሸንፋል.ዲ. ተጋጣሚው መታ እስኪወጣ ድረስ ጨዋታው ይቀጥላል።")</f>
        <v>ሀ. ግጥሚያው የቆመው ሁኔታውን ለመገምገም ነው.ቢ. ዳኛው ተጋጣሚውን ለመፈተሽ ጨዋታውን ያቆማል። ተቃዋሚው በፒንፎል ያሸንፋል.ዲ. ተጋጣሚው መታ እስኪወጣ ድረስ ጨዋታው ይቀጥላል።</v>
      </c>
      <c r="J159" s="11" t="str">
        <f>IFERROR(__xludf.DUMMYFUNCTION("GOOGLETRANSLATE(D159, ""en"", ""am"")"),"ዳኛው ተጋጣሚውን ለመፈተሽ ጨዋታውን ያቆማል።")</f>
        <v>ዳኛው ተጋጣሚውን ለመፈተሽ ጨዋታውን ያቆማል።</v>
      </c>
      <c r="K159" s="11" t="str">
        <f>IFERROR(__xludf.DUMMYFUNCTION("GOOGLETRANSLATE(E159, ""en"", ""am"")"),"በማነቆ ውስጥ ማለፍ ወደ ማቆም ያመራል።")</f>
        <v>በማነቆ ውስጥ ማለፍ ወደ ማቆም ያመራል።</v>
      </c>
    </row>
    <row r="160" ht="22.5" customHeight="1">
      <c r="A160" s="10">
        <v>159.0</v>
      </c>
      <c r="B160" s="11" t="s">
        <v>2158</v>
      </c>
      <c r="C160" s="11" t="s">
        <v>2159</v>
      </c>
      <c r="D160" s="11" t="s">
        <v>2160</v>
      </c>
      <c r="E160" s="11" t="s">
        <v>2161</v>
      </c>
      <c r="G160" s="11" t="str">
        <f>IFERROR(__xludf.DUMMYFUNCTION("GOOGLETRANSLATE(A160, ""en"", ""am"")"),"159")</f>
        <v>159</v>
      </c>
      <c r="H160" s="11" t="str">
        <f>IFERROR(__xludf.DUMMYFUNCTION("GOOGLETRANSLATE(B160, ""en"", ""am"")"),"አንድ ታጋይ በድንገት የራሳቸውን መለያ ቡድን አጋራቸውን መታ። ምን ይሆናል?")</f>
        <v>አንድ ታጋይ በድንገት የራሳቸውን መለያ ቡድን አጋራቸውን መታ። ምን ይሆናል?</v>
      </c>
      <c r="I160" s="11" t="str">
        <f>IFERROR(__xludf.DUMMYFUNCTION("GOOGLETRANSLATE(C160, ""en"", ""am"")"),"ሀ.ጨዋታው ያለ ምንም ቅጣት ይቀጥላል.ቢ. ባልደረባው ለመጠላለፍ ብቁ አይደለም.ሲ. ተቃዋሚው ግራ መጋባትን ያበዛል።ዲ. ግጥሚያው የቆመው ሁኔታውን ለመገምገም ነው።")</f>
        <v>ሀ.ጨዋታው ያለ ምንም ቅጣት ይቀጥላል.ቢ. ባልደረባው ለመጠላለፍ ብቁ አይደለም.ሲ. ተቃዋሚው ግራ መጋባትን ያበዛል።ዲ. ግጥሚያው የቆመው ሁኔታውን ለመገምገም ነው።</v>
      </c>
      <c r="J160" s="11" t="str">
        <f>IFERROR(__xludf.DUMMYFUNCTION("GOOGLETRANSLATE(D160, ""en"", ""am"")"),"ተቃዋሚው ግራ መጋባትን ያበዛል።")</f>
        <v>ተቃዋሚው ግራ መጋባትን ያበዛል።</v>
      </c>
      <c r="K160" s="11" t="str">
        <f>IFERROR(__xludf.DUMMYFUNCTION("GOOGLETRANSLATE(E160, ""en"", ""am"")"),"ድንገተኛ ጥቃቶች ግራ መጋባት እና የፍጥነት ለውጦችን ሊያስከትሉ ይችላሉ።")</f>
        <v>ድንገተኛ ጥቃቶች ግራ መጋባት እና የፍጥነት ለውጦችን ሊያስከትሉ ይችላሉ።</v>
      </c>
    </row>
    <row r="161" ht="22.5" customHeight="1">
      <c r="A161" s="10">
        <v>160.0</v>
      </c>
      <c r="B161" s="11" t="s">
        <v>2162</v>
      </c>
      <c r="C161" s="11" t="s">
        <v>2163</v>
      </c>
      <c r="D161" s="11" t="s">
        <v>2164</v>
      </c>
      <c r="E161" s="11" t="s">
        <v>2165</v>
      </c>
      <c r="G161" s="11" t="str">
        <f>IFERROR(__xludf.DUMMYFUNCTION("GOOGLETRANSLATE(A161, ""en"", ""am"")"),"160")</f>
        <v>160</v>
      </c>
      <c r="H161" s="11" t="str">
        <f>IFERROR(__xludf.DUMMYFUNCTION("GOOGLETRANSLATE(B161, ""en"", ""am"")"),"አንድ ተጋዳላይ ለመቅረብ እየሞከረ ነው ግን ዳኛው ትኩረቱ ተከፋፍሏል። ምን ይሆናል?")</f>
        <v>አንድ ተጋዳላይ ለመቅረብ እየሞከረ ነው ግን ዳኛው ትኩረቱ ተከፋፍሏል። ምን ይሆናል?</v>
      </c>
      <c r="I161" s="11" t="str">
        <f>IFERROR(__xludf.DUMMYFUNCTION("GOOGLETRANSLATE(C161, ""en"", ""am"")"),"ሀ.ጨዋታው ያለ ምንም ቅጣት ይቀጥላል.ቢ. ማቅረቡ ሕገወጥ እንደሆነ ይቆጠራል.ሲ. ተቃዋሚው በመገዛት ያሸንፋል።ዲ. ዳኛው ለግምገማ ጨዋታውን ያቆማል።")</f>
        <v>ሀ.ጨዋታው ያለ ምንም ቅጣት ይቀጥላል.ቢ. ማቅረቡ ሕገወጥ እንደሆነ ይቆጠራል.ሲ. ተቃዋሚው በመገዛት ያሸንፋል።ዲ. ዳኛው ለግምገማ ጨዋታውን ያቆማል።</v>
      </c>
      <c r="J161" s="11" t="str">
        <f>IFERROR(__xludf.DUMMYFUNCTION("GOOGLETRANSLATE(D161, ""en"", ""am"")"),"ጨዋታው ያለ ምንም ቅጣት ቀጥሏል።")</f>
        <v>ጨዋታው ያለ ምንም ቅጣት ቀጥሏል።</v>
      </c>
      <c r="K161" s="11" t="str">
        <f>IFERROR(__xludf.DUMMYFUNCTION("GOOGLETRANSLATE(E161, ""en"", ""am"")"),"የዳኛ ትኩረትን የሚከፋፍሉ ነገሮች ወደ ስህተቶች ወይም እድሎች ያመለጡ ሊሆኑ ይችላሉ።")</f>
        <v>የዳኛ ትኩረትን የሚከፋፍሉ ነገሮች ወደ ስህተቶች ወይም እድሎች ያመለጡ ሊሆኑ ይችላሉ።</v>
      </c>
    </row>
    <row r="162" ht="22.5" customHeight="1">
      <c r="A162" s="10">
        <v>161.0</v>
      </c>
      <c r="B162" s="11" t="s">
        <v>2166</v>
      </c>
      <c r="C162" s="11" t="s">
        <v>2167</v>
      </c>
      <c r="D162" s="11" t="s">
        <v>1967</v>
      </c>
      <c r="E162" s="11" t="s">
        <v>2168</v>
      </c>
      <c r="G162" s="11" t="str">
        <f>IFERROR(__xludf.DUMMYFUNCTION("GOOGLETRANSLATE(A162, ""en"", ""am"")"),"161")</f>
        <v>161</v>
      </c>
      <c r="H162" s="11" t="str">
        <f>IFERROR(__xludf.DUMMYFUNCTION("GOOGLETRANSLATE(B162, ""en"", ""am"")"),"አንድ ተዋጊ የሩጫ ልብስ መስመር ይሠራል እና ተቃዋሚውን ያንኳኳል። ምን ይሆናል?")</f>
        <v>አንድ ተዋጊ የሩጫ ልብስ መስመር ይሠራል እና ተቃዋሚውን ያንኳኳል። ምን ይሆናል?</v>
      </c>
      <c r="I162" s="11" t="str">
        <f>IFERROR(__xludf.DUMMYFUNCTION("GOOGLETRANSLATE(C162, ""en"", ""am"")"),"ሀ ግጥሚያው በቁጥጥሩ ስር ባለ ታጋዩ ቀጥሏል። ተቃዋሚው የልብስ መስመሩን ይቆጥራል.ሲ. ግጥሚያው የሚቆመው አድማውን ለመገምገም ነው።ዲ. ተቃዋሚው የሚያሸንፈው የልብስ መስመሩን በመቃወም ነው።")</f>
        <v>ሀ ግጥሚያው በቁጥጥሩ ስር ባለ ታጋዩ ቀጥሏል። ተቃዋሚው የልብስ መስመሩን ይቆጥራል.ሲ. ግጥሚያው የሚቆመው አድማውን ለመገምገም ነው።ዲ. ተቃዋሚው የሚያሸንፈው የልብስ መስመሩን በመቃወም ነው።</v>
      </c>
      <c r="J162" s="11" t="str">
        <f>IFERROR(__xludf.DUMMYFUNCTION("GOOGLETRANSLATE(D162, ""en"", ""am"")"),"ግጥሚያው በተጋጣሚው ተቆጣጥሮ ቀጥሏል።")</f>
        <v>ግጥሚያው በተጋጣሚው ተቆጣጥሮ ቀጥሏል።</v>
      </c>
      <c r="K162" s="11" t="str">
        <f>IFERROR(__xludf.DUMMYFUNCTION("GOOGLETRANSLATE(E162, ""en"", ""am"")"),"የተሳካ የልብስ መስመር ለአጥቂው ቁጥጥር ሊሰጥ ይችላል.")</f>
        <v>የተሳካ የልብስ መስመር ለአጥቂው ቁጥጥር ሊሰጥ ይችላል.</v>
      </c>
    </row>
    <row r="163" ht="22.5" customHeight="1">
      <c r="A163" s="10">
        <v>162.0</v>
      </c>
      <c r="B163" s="11" t="s">
        <v>2169</v>
      </c>
      <c r="C163" s="11" t="s">
        <v>2170</v>
      </c>
      <c r="D163" s="11" t="s">
        <v>1967</v>
      </c>
      <c r="E163" s="11" t="s">
        <v>2171</v>
      </c>
      <c r="G163" s="11" t="str">
        <f>IFERROR(__xludf.DUMMYFUNCTION("GOOGLETRANSLATE(A163, ""en"", ""am"")"),"162")</f>
        <v>162</v>
      </c>
      <c r="H163" s="11" t="str">
        <f>IFERROR(__xludf.DUMMYFUNCTION("GOOGLETRANSLATE(B163, ""en"", ""am"")"),"አንድ ተዋጊ የፊርማ እንቅስቃሴን ሲመታ ተጋጣሚያቸው ግን ሁለት ላይ ወጥቷል። ምን ይሆናል?")</f>
        <v>አንድ ተዋጊ የፊርማ እንቅስቃሴን ሲመታ ተጋጣሚያቸው ግን ሁለት ላይ ወጥቷል። ምን ይሆናል?</v>
      </c>
      <c r="I163" s="11" t="str">
        <f>IFERROR(__xludf.DUMMYFUNCTION("GOOGLETRANSLATE(C163, ""en"", ""am"")"),"ሀ ግጥሚያው በቁጥጥሩ ስር ባለ ታጋዩ ቀጥሏል። ግጥሚያው የቆመው የውድድሩን ግምገማ ለመገምገም ነው። ተቃዋሚው በመገዛት ያሸንፋል።ዲ. ተጋጣሚው ባለማሸነፉ ይቀጣል።")</f>
        <v>ሀ ግጥሚያው በቁጥጥሩ ስር ባለ ታጋዩ ቀጥሏል። ግጥሚያው የቆመው የውድድሩን ግምገማ ለመገምገም ነው። ተቃዋሚው በመገዛት ያሸንፋል።ዲ. ተጋጣሚው ባለማሸነፉ ይቀጣል።</v>
      </c>
      <c r="J163" s="11" t="str">
        <f>IFERROR(__xludf.DUMMYFUNCTION("GOOGLETRANSLATE(D163, ""en"", ""am"")"),"ግጥሚያው በተጋጣሚው ተቆጣጥሮ ቀጥሏል።")</f>
        <v>ግጥሚያው በተጋጣሚው ተቆጣጥሮ ቀጥሏል።</v>
      </c>
      <c r="K163" s="11" t="str">
        <f>IFERROR(__xludf.DUMMYFUNCTION("GOOGLETRANSLATE(E163, ""en"", ""am"")"),"ከትልቅ እንቅስቃሴ በኋላ ኳሶች ፍጥነቱን ሊቀይሩ ይችላሉ።")</f>
        <v>ከትልቅ እንቅስቃሴ በኋላ ኳሶች ፍጥነቱን ሊቀይሩ ይችላሉ።</v>
      </c>
    </row>
    <row r="164" ht="22.5" customHeight="1">
      <c r="A164" s="10">
        <v>163.0</v>
      </c>
      <c r="B164" s="11" t="s">
        <v>2172</v>
      </c>
      <c r="C164" s="11" t="s">
        <v>2173</v>
      </c>
      <c r="D164" s="11" t="s">
        <v>2174</v>
      </c>
      <c r="E164" s="11" t="s">
        <v>2175</v>
      </c>
      <c r="G164" s="11" t="str">
        <f>IFERROR(__xludf.DUMMYFUNCTION("GOOGLETRANSLATE(A164, ""en"", ""am"")"),"163")</f>
        <v>163</v>
      </c>
      <c r="H164" s="11" t="str">
        <f>IFERROR(__xludf.DUMMYFUNCTION("GOOGLETRANSLATE(B164, ""en"", ""am"")"),"አንድ ተዋጊ በከፍተኛ የበረራ እንቅስቃሴ ሊፈጽም ነው ነገር ግን ይንሸራተታል። ምን ይሆናል?")</f>
        <v>አንድ ተዋጊ በከፍተኛ የበረራ እንቅስቃሴ ሊፈጽም ነው ነገር ግን ይንሸራተታል። ምን ይሆናል?</v>
      </c>
      <c r="I164" s="11" t="str">
        <f>IFERROR(__xludf.DUMMYFUNCTION("GOOGLETRANSLATE(C164, ""en"", ""am"")"),"ሀ. ግጥሚያው በትግሉ በማገገም ይቀጥላል። ተቃዋሚው በተንሸራታች እና በቆጣሪዎች ላይ አቢይ ያደርገዋል.ሲ. ግጥሚያው የሚቆመው ስለ ሸርተቴ ግምገማ ነው.ዲ. ተፋላሚው የሚያሸንፈው ውድቅ በማጣት ነው።")</f>
        <v>ሀ. ግጥሚያው በትግሉ በማገገም ይቀጥላል። ተቃዋሚው በተንሸራታች እና በቆጣሪዎች ላይ አቢይ ያደርገዋል.ሲ. ግጥሚያው የሚቆመው ስለ ሸርተቴ ግምገማ ነው.ዲ. ተፋላሚው የሚያሸንፈው ውድቅ በማጣት ነው።</v>
      </c>
      <c r="J164" s="11" t="str">
        <f>IFERROR(__xludf.DUMMYFUNCTION("GOOGLETRANSLATE(D164, ""en"", ""am"")"),"ተቃዋሚው በተንሸራታች እና በቆጣሪዎች ላይ ትልቅ ያደርገዋል።")</f>
        <v>ተቃዋሚው በተንሸራታች እና በቆጣሪዎች ላይ ትልቅ ያደርገዋል።</v>
      </c>
      <c r="K164" s="11" t="str">
        <f>IFERROR(__xludf.DUMMYFUNCTION("GOOGLETRANSLATE(E164, ""en"", ""am"")"),"መንሸራተት የጠፉ እድሎችን ወይም ቆጣሪዎችን ሊያስከትል ይችላል።")</f>
        <v>መንሸራተት የጠፉ እድሎችን ወይም ቆጣሪዎችን ሊያስከትል ይችላል።</v>
      </c>
    </row>
    <row r="165" ht="22.5" customHeight="1">
      <c r="A165" s="10">
        <v>164.0</v>
      </c>
      <c r="B165" s="11" t="s">
        <v>2176</v>
      </c>
      <c r="C165" s="11" t="s">
        <v>2177</v>
      </c>
      <c r="D165" s="11" t="s">
        <v>2178</v>
      </c>
      <c r="E165" s="11" t="s">
        <v>2179</v>
      </c>
      <c r="G165" s="11" t="str">
        <f>IFERROR(__xludf.DUMMYFUNCTION("GOOGLETRANSLATE(A165, ""en"", ""am"")"),"164")</f>
        <v>164</v>
      </c>
      <c r="H165" s="11" t="str">
        <f>IFERROR(__xludf.DUMMYFUNCTION("GOOGLETRANSLATE(B165, ""en"", ""am"")"),"አንድ ተጋዳላይ በጭንቅላቱ መቆለፊያ ውስጥ ተይዞ ዳኛው አውቆ እንደሆነ ይፈትሻል። ምን ይሆናል?")</f>
        <v>አንድ ተጋዳላይ በጭንቅላቱ መቆለፊያ ውስጥ ተይዞ ዳኛው አውቆ እንደሆነ ይፈትሻል። ምን ይሆናል?</v>
      </c>
      <c r="I165" s="11" t="str">
        <f>IFERROR(__xludf.DUMMYFUNCTION("GOOGLETRANSLATE(C165, ""en"", ""am"")"),"ሀ. ግጥሚያው የሚቀጥል ከሆነ ታጋዩ ንቃተ ህሊና ካለው። ዳኛው ጨዋታውን ያቆማል ተፋላሚው ራሱን ሳያውቅ ሲ. ተቃዋሚው በፒንፎል ያሸንፋል.ዲ. ጨዋታው ያለምንም ቅጣት ቀጥሏል።")</f>
        <v>ሀ. ግጥሚያው የሚቀጥል ከሆነ ታጋዩ ንቃተ ህሊና ካለው። ዳኛው ጨዋታውን ያቆማል ተፋላሚው ራሱን ሳያውቅ ሲ. ተቃዋሚው በፒንፎል ያሸንፋል.ዲ. ጨዋታው ያለምንም ቅጣት ቀጥሏል።</v>
      </c>
      <c r="J165" s="11" t="str">
        <f>IFERROR(__xludf.DUMMYFUNCTION("GOOGLETRANSLATE(D165, ""en"", ""am"")"),"ዳኛው ጨዋታውን ያቆመው ተጋጣሚው ራሱን ስቶ ከሆነ ነው።")</f>
        <v>ዳኛው ጨዋታውን ያቆመው ተጋጣሚው ራሱን ስቶ ከሆነ ነው።</v>
      </c>
      <c r="K165" s="11" t="str">
        <f>IFERROR(__xludf.DUMMYFUNCTION("GOOGLETRANSLATE(E165, ""en"", ""am"")"),"በመያዣው ውስጥ ንቃተ ህሊና ማጣት ወደ ግጥሚያ ማቆም ሊያመራ ይችላል።")</f>
        <v>በመያዣው ውስጥ ንቃተ ህሊና ማጣት ወደ ግጥሚያ ማቆም ሊያመራ ይችላል።</v>
      </c>
    </row>
    <row r="166" ht="22.5" customHeight="1">
      <c r="A166" s="10">
        <v>165.0</v>
      </c>
      <c r="B166" s="11" t="s">
        <v>2180</v>
      </c>
      <c r="C166" s="11" t="s">
        <v>2181</v>
      </c>
      <c r="D166" s="11" t="s">
        <v>2182</v>
      </c>
      <c r="E166" s="11" t="s">
        <v>2183</v>
      </c>
      <c r="G166" s="11" t="str">
        <f>IFERROR(__xludf.DUMMYFUNCTION("GOOGLETRANSLATE(A166, ""en"", ""am"")"),"165")</f>
        <v>165</v>
      </c>
      <c r="H166" s="11" t="str">
        <f>IFERROR(__xludf.DUMMYFUNCTION("GOOGLETRANSLATE(B166, ""en"", ""am"")"),"አንድ ተጋጣሚ ተጋጣሚውን ለመሰካት ቢሞክርም ዳኛው ግን ከቦታው ውጪ ነው። ምን ይሆናል?")</f>
        <v>አንድ ተጋጣሚ ተጋጣሚውን ለመሰካት ቢሞክርም ዳኛው ግን ከቦታው ውጪ ነው። ምን ይሆናል?</v>
      </c>
      <c r="I166" s="11" t="str">
        <f>IFERROR(__xludf.DUMMYFUNCTION("GOOGLETRANSLATE(C166, ""en"", ""am"")"),"ሀ/ ዳኛው እራሱ እስኪቀመጥ ድረስ ጨዋታው ይቀጥላል። ተቃዋሚው የሚያሸንፈው የዳኛውን ብቃት በማጣት ነው።ሲ. ግጥሚያው የቆመው ቦታውን ለመገምገም ነው.ዲ. ዳኛው ቦታ ላይ እስኪሆን ድረስ ፒኑ ልክ እንዳልሆነ ይቆጠራል።")</f>
        <v>ሀ/ ዳኛው እራሱ እስኪቀመጥ ድረስ ጨዋታው ይቀጥላል። ተቃዋሚው የሚያሸንፈው የዳኛውን ብቃት በማጣት ነው።ሲ. ግጥሚያው የቆመው ቦታውን ለመገምገም ነው.ዲ. ዳኛው ቦታ ላይ እስኪሆን ድረስ ፒኑ ልክ እንዳልሆነ ይቆጠራል።</v>
      </c>
      <c r="J166" s="11" t="str">
        <f>IFERROR(__xludf.DUMMYFUNCTION("GOOGLETRANSLATE(D166, ""en"", ""am"")"),"ዳኛው እራሱን እስኪያስቀምጥ ድረስ ጨዋታው ይቀጥላል።")</f>
        <v>ዳኛው እራሱን እስኪያስቀምጥ ድረስ ጨዋታው ይቀጥላል።</v>
      </c>
      <c r="K166" s="11" t="str">
        <f>IFERROR(__xludf.DUMMYFUNCTION("GOOGLETRANSLATE(E166, ""en"", ""am"")"),"የዳኛ አቀማመጥ በፒን ውጤት ላይ ተጽዕኖ ሊያሳድር ይችላል።")</f>
        <v>የዳኛ አቀማመጥ በፒን ውጤት ላይ ተጽዕኖ ሊያሳድር ይችላል።</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7.63"/>
    <col customWidth="1" min="7" max="7" width="37.63"/>
    <col customWidth="1" min="8" max="8" width="37.38"/>
    <col customWidth="1" min="9" max="10" width="37.63"/>
    <col customWidth="1" min="11" max="11" width="36.63"/>
  </cols>
  <sheetData>
    <row r="1" ht="22.5" customHeight="1">
      <c r="A1" s="1" t="s">
        <v>0</v>
      </c>
      <c r="B1" s="1" t="s">
        <v>1</v>
      </c>
      <c r="C1" s="1" t="s">
        <v>2</v>
      </c>
      <c r="D1" s="1" t="s">
        <v>3</v>
      </c>
      <c r="E1" s="1" t="s">
        <v>4</v>
      </c>
      <c r="F1" s="2"/>
      <c r="G1" s="12" t="s">
        <v>2184</v>
      </c>
      <c r="H1" s="12" t="s">
        <v>2185</v>
      </c>
      <c r="I1" s="12" t="s">
        <v>2186</v>
      </c>
      <c r="J1" s="12" t="s">
        <v>2187</v>
      </c>
      <c r="K1" s="12" t="s">
        <v>2188</v>
      </c>
      <c r="L1" s="2"/>
      <c r="M1" s="2"/>
      <c r="N1" s="2"/>
      <c r="O1" s="2"/>
      <c r="P1" s="2"/>
      <c r="Q1" s="2"/>
      <c r="R1" s="2"/>
      <c r="S1" s="2"/>
      <c r="T1" s="2"/>
      <c r="U1" s="2"/>
    </row>
    <row r="2" ht="22.5" customHeight="1">
      <c r="A2" s="10">
        <v>1.0</v>
      </c>
      <c r="B2" s="11" t="s">
        <v>2189</v>
      </c>
      <c r="C2" s="11" t="s">
        <v>2190</v>
      </c>
      <c r="D2" s="11" t="s">
        <v>2191</v>
      </c>
      <c r="E2" s="11" t="s">
        <v>2192</v>
      </c>
      <c r="G2" s="11" t="str">
        <f>IFERROR(__xludf.DUMMYFUNCTION("GOOGLETRANSLATE(A2, ""en"", ""am"")"),"1")</f>
        <v>1</v>
      </c>
      <c r="H2" s="11" t="str">
        <f>IFERROR(__xludf.DUMMYFUNCTION("GOOGLETRANSLATE(B2, ""en"", ""am"")"),"ኳሱ በአየር ላይ ይጣላል, እና ወደ ዒላማው መሃከል አጠገብ ያርፋል. ምን ይሆናል?")</f>
        <v>ኳሱ በአየር ላይ ይጣላል, እና ወደ ዒላማው መሃከል አጠገብ ያርፋል. ምን ይሆናል?</v>
      </c>
      <c r="I2" s="11" t="str">
        <f>IFERROR(__xludf.DUMMYFUNCTION("GOOGLETRANSLATE(C2, ""en"", ""am"")"),"ሀ. ምንም ነጥብ አልተሰጠም.B. አንድ ነጥብ ተሰጥቷል.ሲ. ሁለት ነጥብ ተሰጥቷል.ዲ. ሶስት ነጥብ ተሰጥቷል።")</f>
        <v>ሀ. ምንም ነጥብ አልተሰጠም.B. አንድ ነጥብ ተሰጥቷል.ሲ. ሁለት ነጥብ ተሰጥቷል.ዲ. ሶስት ነጥብ ተሰጥቷል።</v>
      </c>
      <c r="J2" s="11" t="str">
        <f>IFERROR(__xludf.DUMMYFUNCTION("GOOGLETRANSLATE(D2, ""en"", ""am"")"),"አንድ ነጥብ ተሰጥቷል.")</f>
        <v>አንድ ነጥብ ተሰጥቷል.</v>
      </c>
      <c r="K2" s="11" t="str">
        <f>IFERROR(__xludf.DUMMYFUNCTION("GOOGLETRANSLATE(E2, ""en"", ""am"")"),"ከዒላማው አጠገብ ማረፍ በአጠቃላይ በአፉላ አንድ ነጥብ ያስገኛል።")</f>
        <v>ከዒላማው አጠገብ ማረፍ በአጠቃላይ በአፉላ አንድ ነጥብ ያስገኛል።</v>
      </c>
    </row>
    <row r="3" ht="22.5" customHeight="1">
      <c r="A3" s="10">
        <v>2.0</v>
      </c>
      <c r="B3" s="11" t="s">
        <v>2193</v>
      </c>
      <c r="C3" s="11" t="s">
        <v>2194</v>
      </c>
      <c r="D3" s="11" t="s">
        <v>2195</v>
      </c>
      <c r="E3" s="11" t="s">
        <v>2196</v>
      </c>
      <c r="G3" s="11" t="str">
        <f>IFERROR(__xludf.DUMMYFUNCTION("GOOGLETRANSLATE(A3, ""en"", ""am"")"),"2")</f>
        <v>2</v>
      </c>
      <c r="H3" s="11" t="str">
        <f>IFERROR(__xludf.DUMMYFUNCTION("GOOGLETRANSLATE(B3, ""en"", ""am"")"),"በጨዋታው ወቅት አንድ ተጫዋች የተመደበውን የመጫወቻ ቦታ ይተዋል. ምን ይሆናል?")</f>
        <v>በጨዋታው ወቅት አንድ ተጫዋች የተመደበውን የመጫወቻ ቦታ ይተዋል. ምን ይሆናል?</v>
      </c>
      <c r="I3" s="11" t="str">
        <f>IFERROR(__xludf.DUMMYFUNCTION("GOOGLETRANSLATE(C3, ""en"", ""am"")"),"ሀ. ጨዋታው ያለማቋረጥ ይቀጥላል.ቢ. ተጫዋቹ ተቀጥቷል.ሲ. ተቃዋሚው በፎርፌ ያሸንፋል.ዲ. ተጫዋቹ ለዙሩ ብቁ አይደለም።")</f>
        <v>ሀ. ጨዋታው ያለማቋረጥ ይቀጥላል.ቢ. ተጫዋቹ ተቀጥቷል.ሲ. ተቃዋሚው በፎርፌ ያሸንፋል.ዲ. ተጫዋቹ ለዙሩ ብቁ አይደለም።</v>
      </c>
      <c r="J3" s="11" t="str">
        <f>IFERROR(__xludf.DUMMYFUNCTION("GOOGLETRANSLATE(D3, ""en"", ""am"")"),"ተጫዋቹ ተቀጥቷል።")</f>
        <v>ተጫዋቹ ተቀጥቷል።</v>
      </c>
      <c r="K3" s="11" t="str">
        <f>IFERROR(__xludf.DUMMYFUNCTION("GOOGLETRANSLATE(E3, ""en"", ""am"")"),"የመጫወቻ ቦታውን መልቀቅ ብዙ ጊዜ ቅጣት ያስከትላል።")</f>
        <v>የመጫወቻ ቦታውን መልቀቅ ብዙ ጊዜ ቅጣት ያስከትላል።</v>
      </c>
    </row>
    <row r="4" ht="22.5" customHeight="1">
      <c r="A4" s="10">
        <v>3.0</v>
      </c>
      <c r="B4" s="11" t="s">
        <v>2197</v>
      </c>
      <c r="C4" s="11" t="s">
        <v>2198</v>
      </c>
      <c r="D4" s="11" t="s">
        <v>2199</v>
      </c>
      <c r="E4" s="11" t="s">
        <v>2200</v>
      </c>
      <c r="G4" s="11" t="str">
        <f>IFERROR(__xludf.DUMMYFUNCTION("GOOGLETRANSLATE(A4, ""en"", ""am"")"),"3")</f>
        <v>3</v>
      </c>
      <c r="H4" s="11" t="str">
        <f>IFERROR(__xludf.DUMMYFUNCTION("GOOGLETRANSLATE(B4, ""en"", ""am"")"),"አንድ ተጫዋች ኳሱን ይጥላል, ነገር ግን ኢላማው ላይ ከመድረሱ በፊት መሬት ይመታል. ምን ይሆናል?")</f>
        <v>አንድ ተጫዋች ኳሱን ይጥላል, ነገር ግን ኢላማው ላይ ከመድረሱ በፊት መሬት ይመታል. ምን ይሆናል?</v>
      </c>
      <c r="I4" s="11" t="str">
        <f>IFERROR(__xludf.DUMMYFUNCTION("GOOGLETRANSLATE(C4, ""en"", ""am"")"),"ሀ. መወርወሩ እንደ ፈተና ይቆጠራል.B. መወርወሩ ልክ እንዳልሆነ ይቆጠራል እና ምንም ነጥብ አይሰጥም.ሲ. መወርወሩ እንደ ግማሽ ነጥብ ይቆጠራል.ዲ. መጣል እንደ መጥፎ ነገር ይቆጠራል.")</f>
        <v>ሀ. መወርወሩ እንደ ፈተና ይቆጠራል.B. መወርወሩ ልክ እንዳልሆነ ይቆጠራል እና ምንም ነጥብ አይሰጥም.ሲ. መወርወሩ እንደ ግማሽ ነጥብ ይቆጠራል.ዲ. መጣል እንደ መጥፎ ነገር ይቆጠራል.</v>
      </c>
      <c r="J4" s="11" t="str">
        <f>IFERROR(__xludf.DUMMYFUNCTION("GOOGLETRANSLATE(D4, ""en"", ""am"")"),"መወርወሩ ልክ እንዳልሆነ ይቆጠራል እና ምንም ነጥብ አይሰጥም።")</f>
        <v>መወርወሩ ልክ እንዳልሆነ ይቆጠራል እና ምንም ነጥብ አይሰጥም።</v>
      </c>
      <c r="K4" s="11" t="str">
        <f>IFERROR(__xludf.DUMMYFUNCTION("GOOGLETRANSLATE(E4, ""en"", ""am"")"),"ከዒላማው በፊት መሬቱን መምታት ምንም ነጥብ አያመጣም.")</f>
        <v>ከዒላማው በፊት መሬቱን መምታት ምንም ነጥብ አያመጣም.</v>
      </c>
    </row>
    <row r="5" ht="22.5" customHeight="1">
      <c r="A5" s="10">
        <v>4.0</v>
      </c>
      <c r="B5" s="11" t="s">
        <v>2201</v>
      </c>
      <c r="C5" s="11" t="s">
        <v>2202</v>
      </c>
      <c r="D5" s="11" t="s">
        <v>2203</v>
      </c>
      <c r="E5" s="11" t="s">
        <v>2204</v>
      </c>
      <c r="G5" s="11" t="str">
        <f>IFERROR(__xludf.DUMMYFUNCTION("GOOGLETRANSLATE(A5, ""en"", ""am"")"),"4")</f>
        <v>4</v>
      </c>
      <c r="H5" s="11" t="str">
        <f>IFERROR(__xludf.DUMMYFUNCTION("GOOGLETRANSLATE(B5, ""en"", ""am"")"),"የተጫዋቹ ኳስ ኢላማው ላይ ከመድረሱ በፊት በቀጥታ የተጋጣሚውን ኳስ ይመታል። ምን ይሆናል?")</f>
        <v>የተጫዋቹ ኳስ ኢላማው ላይ ከመድረሱ በፊት በቀጥታ የተጋጣሚውን ኳስ ይመታል። ምን ይሆናል?</v>
      </c>
      <c r="I5" s="11" t="str">
        <f>IFERROR(__xludf.DUMMYFUNCTION("GOOGLETRANSLATE(C5, ""en"", ""am"")"),"ሀ. መወርወሩ አሁንም ተቆጥሯል እና ነጥቦቹ ተሰጥተዋል.B. መወርወሩ ይቆጥራል፣ ተቃዋሚው ግን ተጨማሪ ነጥቦችን ያገኛል። መወርወሩ ልክ እንዳልሆነ ይቆጠራል.ዲ. መወርወሩ እንደ ግማሽ ነጥብ ይቆጠራል.")</f>
        <v>ሀ. መወርወሩ አሁንም ተቆጥሯል እና ነጥቦቹ ተሰጥተዋል.B. መወርወሩ ይቆጥራል፣ ተቃዋሚው ግን ተጨማሪ ነጥቦችን ያገኛል። መወርወሩ ልክ እንዳልሆነ ይቆጠራል.ዲ. መወርወሩ እንደ ግማሽ ነጥብ ይቆጠራል.</v>
      </c>
      <c r="J5" s="11" t="str">
        <f>IFERROR(__xludf.DUMMYFUNCTION("GOOGLETRANSLATE(D5, ""en"", ""am"")"),"መወርወሩ አሁንም ተቆጥሯል እና ነጥቦቹ ተሰጥተዋል.")</f>
        <v>መወርወሩ አሁንም ተቆጥሯል እና ነጥቦቹ ተሰጥተዋል.</v>
      </c>
      <c r="K5" s="11" t="str">
        <f>IFERROR(__xludf.DUMMYFUNCTION("GOOGLETRANSLATE(E5, ""en"", ""am"")"),"የተጋጣሚውን ኳስ መምታት ብዙውን ጊዜ ውርወራውን አያበላሽም።")</f>
        <v>የተጋጣሚውን ኳስ መምታት ብዙውን ጊዜ ውርወራውን አያበላሽም።</v>
      </c>
    </row>
    <row r="6" ht="22.5" customHeight="1">
      <c r="A6" s="10">
        <v>5.0</v>
      </c>
      <c r="B6" s="11" t="s">
        <v>2205</v>
      </c>
      <c r="C6" s="11" t="s">
        <v>2206</v>
      </c>
      <c r="D6" s="11" t="s">
        <v>2207</v>
      </c>
      <c r="E6" s="11" t="s">
        <v>2208</v>
      </c>
      <c r="G6" s="11" t="str">
        <f>IFERROR(__xludf.DUMMYFUNCTION("GOOGLETRANSLATE(A6, ""en"", ""am"")"),"5")</f>
        <v>5</v>
      </c>
      <c r="H6" s="11" t="str">
        <f>IFERROR(__xludf.DUMMYFUNCTION("GOOGLETRANSLATE(B6, ""en"", ""am"")"),"አንድ ተጫዋች የሚወረውረው ተጨማሪ ኳሶች የሉትም። ምን ይሆናል?")</f>
        <v>አንድ ተጫዋች የሚወረውረው ተጨማሪ ኳሶች የሉትም። ምን ይሆናል?</v>
      </c>
      <c r="I6" s="11" t="str">
        <f>IFERROR(__xludf.DUMMYFUNCTION("GOOGLETRANSLATE(C6, ""en"", ""am"")"),"ሀ. ተጫዋቹ ጨዋታውን ይሸነፋል.ቢ. ጨዋታው በተጋጣሚው ተረክቦ ቀጥሏል.ሲ. ተጫዋቹ ከጨዋታው ውጪ ነው ዲ. ተጫዋቹ ተጨማሪ ውርወራዎችን መጠየቅ ይችላል።")</f>
        <v>ሀ. ተጫዋቹ ጨዋታውን ይሸነፋል.ቢ. ጨዋታው በተጋጣሚው ተረክቦ ቀጥሏል.ሲ. ተጫዋቹ ከጨዋታው ውጪ ነው ዲ. ተጫዋቹ ተጨማሪ ውርወራዎችን መጠየቅ ይችላል።</v>
      </c>
      <c r="J6" s="11" t="str">
        <f>IFERROR(__xludf.DUMMYFUNCTION("GOOGLETRANSLATE(D6, ""en"", ""am"")"),"ተጋጣሚው ተረክቦ ጨዋታው ቀጠለ።")</f>
        <v>ተጋጣሚው ተረክቦ ጨዋታው ቀጠለ።</v>
      </c>
      <c r="K6" s="11" t="str">
        <f>IFERROR(__xludf.DUMMYFUNCTION("GOOGLETRANSLATE(E6, ""en"", ""am"")"),"የኳስ እጥረት አብዛኛውን ጊዜ ውድቅ ማድረግን አያስከትልም።")</f>
        <v>የኳስ እጥረት አብዛኛውን ጊዜ ውድቅ ማድረግን አያስከትልም።</v>
      </c>
    </row>
    <row r="7" ht="22.5" customHeight="1">
      <c r="A7" s="10">
        <v>6.0</v>
      </c>
      <c r="B7" s="11" t="s">
        <v>2209</v>
      </c>
      <c r="C7" s="11" t="s">
        <v>2210</v>
      </c>
      <c r="D7" s="11" t="s">
        <v>2211</v>
      </c>
      <c r="E7" s="11" t="s">
        <v>2212</v>
      </c>
      <c r="G7" s="11" t="str">
        <f>IFERROR(__xludf.DUMMYFUNCTION("GOOGLETRANSLATE(A7, ""en"", ""am"")"),"6")</f>
        <v>6</v>
      </c>
      <c r="H7" s="11" t="str">
        <f>IFERROR(__xludf.DUMMYFUNCTION("GOOGLETRANSLATE(B7, ""en"", ""am"")"),"ተጫዋቹ ኳሱን ይጥላል, ነገር ግን ከነጥብ ዞኑ ውጭ ትንሽ ነው. ምን ይሆናል?")</f>
        <v>ተጫዋቹ ኳሱን ይጥላል, ነገር ግን ከነጥብ ዞኑ ውጭ ትንሽ ነው. ምን ይሆናል?</v>
      </c>
      <c r="I7" s="11" t="str">
        <f>IFERROR(__xludf.DUMMYFUNCTION("GOOGLETRANSLATE(C7, ""en"", ""am"")"),"ሀ. መወርወሩ ትክክል ነው እና በዝቅተኛው ዋጋ ተመዝግቧል። መጣል እንደ መጥፎ ይቆጠራል.ሲ. መወርወሩ ልክ ያልሆነ ነው እና ምንም ነጥብ አልተሰጠም.ዲ. መወርወሩ በከፍተኛው ዋጋ ተመዝግቧል።")</f>
        <v>ሀ. መወርወሩ ትክክል ነው እና በዝቅተኛው ዋጋ ተመዝግቧል። መጣል እንደ መጥፎ ይቆጠራል.ሲ. መወርወሩ ልክ ያልሆነ ነው እና ምንም ነጥብ አልተሰጠም.ዲ. መወርወሩ በከፍተኛው ዋጋ ተመዝግቧል።</v>
      </c>
      <c r="J7" s="11" t="str">
        <f>IFERROR(__xludf.DUMMYFUNCTION("GOOGLETRANSLATE(D7, ""en"", ""am"")"),"መወርወሩ ትክክል ነው እና በዝቅተኛው ዋጋ ተመዝግቧል።")</f>
        <v>መወርወሩ ትክክል ነው እና በዝቅተኛው ዋጋ ተመዝግቧል።</v>
      </c>
      <c r="K7" s="11" t="str">
        <f>IFERROR(__xludf.DUMMYFUNCTION("GOOGLETRANSLATE(E7, ""en"", ""am"")"),"ከውጤት ዞኑ ውጭ ማረፍ ብዙ ጊዜ ዝቅተኛ ነጥቦችን ያስከትላል።")</f>
        <v>ከውጤት ዞኑ ውጭ ማረፍ ብዙ ጊዜ ዝቅተኛ ነጥቦችን ያስከትላል።</v>
      </c>
    </row>
    <row r="8" ht="22.5" customHeight="1">
      <c r="A8" s="10">
        <v>7.0</v>
      </c>
      <c r="B8" s="11" t="s">
        <v>2213</v>
      </c>
      <c r="C8" s="11" t="s">
        <v>2214</v>
      </c>
      <c r="D8" s="11" t="s">
        <v>2215</v>
      </c>
      <c r="E8" s="11" t="s">
        <v>2216</v>
      </c>
      <c r="G8" s="11" t="str">
        <f>IFERROR(__xludf.DUMMYFUNCTION("GOOGLETRANSLATE(A8, ""en"", ""am"")"),"7")</f>
        <v>7</v>
      </c>
      <c r="H8" s="11" t="str">
        <f>IFERROR(__xludf.DUMMYFUNCTION("GOOGLETRANSLATE(B8, ""en"", ""am"")"),"አንድ ተጫዋች ኳሱን ወርውሮ ከመሬት ተነስቶ ኢላማው ላይ ያርፋል። ምን ይሆናል?")</f>
        <v>አንድ ተጫዋች ኳሱን ወርውሮ ከመሬት ተነስቶ ኢላማው ላይ ያርፋል። ምን ይሆናል?</v>
      </c>
      <c r="I8" s="11" t="str">
        <f>IFERROR(__xludf.DUMMYFUNCTION("GOOGLETRANSLATE(C8, ""en"", ""am"")"),"ሀ. መወርወሩ ልክ እንዳልሆነ ይቆጠራል.ቢ. መወርወሩ ዒላማው ላይ ካረፈ ስኬታማ እንደሆነ ይቆጠራል። ውርወራው ከተጣለ ዋጋ የለውም.ዲ. መወርወሩ ይቆጥራል, ነገር ግን ውጤቱ ይቀንሳል.")</f>
        <v>ሀ. መወርወሩ ልክ እንዳልሆነ ይቆጠራል.ቢ. መወርወሩ ዒላማው ላይ ካረፈ ስኬታማ እንደሆነ ይቆጠራል። ውርወራው ከተጣለ ዋጋ የለውም.ዲ. መወርወሩ ይቆጥራል, ነገር ግን ውጤቱ ይቀንሳል.</v>
      </c>
      <c r="J8" s="11" t="str">
        <f>IFERROR(__xludf.DUMMYFUNCTION("GOOGLETRANSLATE(D8, ""en"", ""am"")"),"መወርወሩ ዒላማው ላይ ካረፈ ስኬታማ እንደሆነ ይቆጠራል።")</f>
        <v>መወርወሩ ዒላማው ላይ ካረፈ ስኬታማ እንደሆነ ይቆጠራል።</v>
      </c>
      <c r="K8" s="11" t="str">
        <f>IFERROR(__xludf.DUMMYFUNCTION("GOOGLETRANSLATE(E8, ""en"", ""am"")"),"ብዙውን ጊዜ ከመሬት ላይ መወርወር ውርወራውን አያበላሽም.")</f>
        <v>ብዙውን ጊዜ ከመሬት ላይ መወርወር ውርወራውን አያበላሽም.</v>
      </c>
    </row>
    <row r="9" ht="22.5" customHeight="1">
      <c r="A9" s="10">
        <v>8.0</v>
      </c>
      <c r="B9" s="11" t="s">
        <v>2217</v>
      </c>
      <c r="C9" s="11" t="s">
        <v>2218</v>
      </c>
      <c r="D9" s="11" t="s">
        <v>2219</v>
      </c>
      <c r="E9" s="11" t="s">
        <v>2220</v>
      </c>
      <c r="G9" s="11" t="str">
        <f>IFERROR(__xludf.DUMMYFUNCTION("GOOGLETRANSLATE(A9, ""en"", ""am"")"),"8")</f>
        <v>8</v>
      </c>
      <c r="H9" s="11" t="str">
        <f>IFERROR(__xludf.DUMMYFUNCTION("GOOGLETRANSLATE(B9, ""en"", ""am"")"),"በጨዋታው ወቅት ተጫዋቹ በሚጥልበት ጊዜ ተፎካካሪውን ለማዘናጋት ይሞክራል። ምን ይሆናል?")</f>
        <v>በጨዋታው ወቅት ተጫዋቹ በሚጥልበት ጊዜ ተፎካካሪውን ለማዘናጋት ይሞክራል። ምን ይሆናል?</v>
      </c>
      <c r="I9" s="11" t="str">
        <f>IFERROR(__xludf.DUMMYFUNCTION("GOOGLETRANSLATE(C9, ""en"", ""am"")"),"አ.ተጫዋቹ ማስጠንቀቂያ ተሰጥቶታል.ቢ. ተቃዋሚው ተጨማሪ ነጥብ ያገኛል.ሲ. ጨዋታው ቆሟል፣ ተጫዋቹም ተቀጥቷል ዲ. መወርወሩ ውድቅ ነው, እና ተቃዋሚው ዙሩን ያሸንፋል.")</f>
        <v>አ.ተጫዋቹ ማስጠንቀቂያ ተሰጥቶታል.ቢ. ተቃዋሚው ተጨማሪ ነጥብ ያገኛል.ሲ. ጨዋታው ቆሟል፣ ተጫዋቹም ተቀጥቷል ዲ. መወርወሩ ውድቅ ነው, እና ተቃዋሚው ዙሩን ያሸንፋል.</v>
      </c>
      <c r="J9" s="11" t="str">
        <f>IFERROR(__xludf.DUMMYFUNCTION("GOOGLETRANSLATE(D9, ""en"", ""am"")"),"ተጫዋቹ ማስጠንቀቂያ ተሰጥቶታል።")</f>
        <v>ተጫዋቹ ማስጠንቀቂያ ተሰጥቶታል።</v>
      </c>
      <c r="K9" s="11" t="str">
        <f>IFERROR(__xludf.DUMMYFUNCTION("GOOGLETRANSLATE(E9, ""en"", ""am"")"),"ትኩረትን ለመሳብ መሞከር አብዛኛውን ጊዜ ወደ ማስጠንቀቂያ ወይም ቅጣት ይመራል.")</f>
        <v>ትኩረትን ለመሳብ መሞከር አብዛኛውን ጊዜ ወደ ማስጠንቀቂያ ወይም ቅጣት ይመራል.</v>
      </c>
    </row>
    <row r="10" ht="22.5" customHeight="1">
      <c r="A10" s="10">
        <v>9.0</v>
      </c>
      <c r="B10" s="11" t="s">
        <v>2221</v>
      </c>
      <c r="C10" s="11" t="s">
        <v>2222</v>
      </c>
      <c r="D10" s="11" t="s">
        <v>2223</v>
      </c>
      <c r="E10" s="11" t="s">
        <v>2224</v>
      </c>
      <c r="G10" s="11" t="str">
        <f>IFERROR(__xludf.DUMMYFUNCTION("GOOGLETRANSLATE(A10, ""en"", ""am"")"),"9")</f>
        <v>9</v>
      </c>
      <c r="H10" s="11" t="str">
        <f>IFERROR(__xludf.DUMMYFUNCTION("GOOGLETRANSLATE(B10, ""en"", ""am"")"),"ተጫዋቹ ኳሱን ይጥላል እና ቀደም ሲል የተቀመጠውን ኳስ በዒላማው ይመታል. ምን ይሆናል?")</f>
        <v>ተጫዋቹ ኳሱን ይጥላል እና ቀደም ሲል የተቀመጠውን ኳስ በዒላማው ይመታል. ምን ይሆናል?</v>
      </c>
      <c r="I10" s="11" t="str">
        <f>IFERROR(__xludf.DUMMYFUNCTION("GOOGLETRANSLATE(C10, ""en"", ""am"")"),"ሀ. የመጀመሪያዎቹ የኳስ ነጥቦች ይቀራሉ.B. ኳሱ ከዒላማው ቦታ ውጭ ተቀምጧል.ሲ. ሁለቱም ኳሶች ተጎድተዋል.ዲ. ውጤቱም ለሁለቱም ኳሶች ተሰጥቷል.")</f>
        <v>ሀ. የመጀመሪያዎቹ የኳስ ነጥቦች ይቀራሉ.B. ኳሱ ከዒላማው ቦታ ውጭ ተቀምጧል.ሲ. ሁለቱም ኳሶች ተጎድተዋል.ዲ. ውጤቱም ለሁለቱም ኳሶች ተሰጥቷል.</v>
      </c>
      <c r="J10" s="11" t="str">
        <f>IFERROR(__xludf.DUMMYFUNCTION("GOOGLETRANSLATE(D10, ""en"", ""am"")"),"የመጀመሪያዎቹ የኳስ ነጥቦች ይቀራሉ.")</f>
        <v>የመጀመሪያዎቹ የኳስ ነጥቦች ይቀራሉ.</v>
      </c>
      <c r="K10" s="11" t="str">
        <f>IFERROR(__xludf.DUMMYFUNCTION("GOOGLETRANSLATE(E10, ""en"", ""am"")"),"ኳሱን ዒላማው ላይ መምታት ብዙ ጊዜ እንዲጠፋ አያደርገውም።")</f>
        <v>ኳሱን ዒላማው ላይ መምታት ብዙ ጊዜ እንዲጠፋ አያደርገውም።</v>
      </c>
    </row>
    <row r="11" ht="22.5" customHeight="1">
      <c r="A11" s="10">
        <v>10.0</v>
      </c>
      <c r="B11" s="11" t="s">
        <v>2225</v>
      </c>
      <c r="C11" s="11" t="s">
        <v>2226</v>
      </c>
      <c r="D11" s="11" t="s">
        <v>2215</v>
      </c>
      <c r="E11" s="11" t="s">
        <v>2227</v>
      </c>
      <c r="G11" s="11" t="str">
        <f>IFERROR(__xludf.DUMMYFUNCTION("GOOGLETRANSLATE(A11, ""en"", ""am"")"),"10")</f>
        <v>10</v>
      </c>
      <c r="H11" s="11" t="str">
        <f>IFERROR(__xludf.DUMMYFUNCTION("GOOGLETRANSLATE(B11, ""en"", ""am"")"),"አንድ ተጫዋች ኳሱን ይጥላል, ነገር ግን ጥቂት ከተመታ በኋላ ዒላማው ላይ አረፈ. ምን ይሆናል?")</f>
        <v>አንድ ተጫዋች ኳሱን ይጥላል, ነገር ግን ጥቂት ከተመታ በኋላ ዒላማው ላይ አረፈ. ምን ይሆናል?</v>
      </c>
      <c r="I11" s="11" t="str">
        <f>IFERROR(__xludf.DUMMYFUNCTION("GOOGLETRANSLATE(C11, ""en"", ""am"")"),"ሀ. ውርወራው ዒላማው ላይ ካረፈ ስኬታማ እንደሆነ ይቆጠራል። መወርወሩ ልክ እንዳልሆነ ይቆጠራል።ሲ. ተጫዋቹ ኳሱን በመወርወሩ ይቀጣል.ዲ. ኳሱ ሳይወርድ በንጽህና ማረፍ አለበት።")</f>
        <v>ሀ. ውርወራው ዒላማው ላይ ካረፈ ስኬታማ እንደሆነ ይቆጠራል። መወርወሩ ልክ እንዳልሆነ ይቆጠራል።ሲ. ተጫዋቹ ኳሱን በመወርወሩ ይቀጣል.ዲ. ኳሱ ሳይወርድ በንጽህና ማረፍ አለበት።</v>
      </c>
      <c r="J11" s="11" t="str">
        <f>IFERROR(__xludf.DUMMYFUNCTION("GOOGLETRANSLATE(D11, ""en"", ""am"")"),"መወርወሩ ዒላማው ላይ ካረፈ ስኬታማ እንደሆነ ይቆጠራል።")</f>
        <v>መወርወሩ ዒላማው ላይ ካረፈ ስኬታማ እንደሆነ ይቆጠራል።</v>
      </c>
      <c r="K11" s="11" t="str">
        <f>IFERROR(__xludf.DUMMYFUNCTION("GOOGLETRANSLATE(E11, ""en"", ""am"")"),"ከተነሳ በኋላ በታለመው ቦታ ላይ ማረፍ አሁንም ሊቆጠር ይችላል።")</f>
        <v>ከተነሳ በኋላ በታለመው ቦታ ላይ ማረፍ አሁንም ሊቆጠር ይችላል።</v>
      </c>
    </row>
    <row r="12" ht="22.5" customHeight="1">
      <c r="A12" s="10">
        <v>11.0</v>
      </c>
      <c r="B12" s="11" t="s">
        <v>2228</v>
      </c>
      <c r="C12" s="11" t="s">
        <v>2229</v>
      </c>
      <c r="D12" s="11" t="s">
        <v>2230</v>
      </c>
      <c r="E12" s="11" t="s">
        <v>2231</v>
      </c>
      <c r="G12" s="11" t="str">
        <f>IFERROR(__xludf.DUMMYFUNCTION("GOOGLETRANSLATE(A12, ""en"", ""am"")"),"11")</f>
        <v>11</v>
      </c>
      <c r="H12" s="11" t="str">
        <f>IFERROR(__xludf.DUMMYFUNCTION("GOOGLETRANSLATE(B12, ""en"", ""am"")"),"አንድ ተጫዋች ኳሱን ወርውሮ ከግብ ክልል ውጪ ቢያርፍም በጣም ቅርብ ነው። ምን ይሆናል?")</f>
        <v>አንድ ተጫዋች ኳሱን ወርውሮ ከግብ ክልል ውጪ ቢያርፍም በጣም ቅርብ ነው። ምን ይሆናል?</v>
      </c>
      <c r="I12" s="11" t="str">
        <f>IFERROR(__xludf.DUMMYFUNCTION("GOOGLETRANSLATE(C12, ""en"", ""am"")"),"ሀ. መወርወሩ እንደ ግማሽ ነጥብ ይቆጠራል.ቢ. ምንም ነጥብ አልተሰጠም.ሲ. መወርወሩ ልክ ያልሆነ ነው.ዲ. መወርወሩ እንደ አንድ ነጥብ ይቆጠራል.")</f>
        <v>ሀ. መወርወሩ እንደ ግማሽ ነጥብ ይቆጠራል.ቢ. ምንም ነጥብ አልተሰጠም.ሲ. መወርወሩ ልክ ያልሆነ ነው.ዲ. መወርወሩ እንደ አንድ ነጥብ ይቆጠራል.</v>
      </c>
      <c r="J12" s="11" t="str">
        <f>IFERROR(__xludf.DUMMYFUNCTION("GOOGLETRANSLATE(D12, ""en"", ""am"")"),"መወርወሩ እንደ አንድ ነጥብ ይቆጠራል.")</f>
        <v>መወርወሩ እንደ አንድ ነጥብ ይቆጠራል.</v>
      </c>
      <c r="K12" s="11" t="str">
        <f>IFERROR(__xludf.DUMMYFUNCTION("GOOGLETRANSLATE(E12, ""en"", ""am"")"),"በውጤት መስጫ ዞን አቅራቢያ ማረፍ አብዛኛውን ጊዜ ለአንድ ነጥብ ይቆጠራል.")</f>
        <v>በውጤት መስጫ ዞን አቅራቢያ ማረፍ አብዛኛውን ጊዜ ለአንድ ነጥብ ይቆጠራል.</v>
      </c>
    </row>
    <row r="13" ht="22.5" customHeight="1">
      <c r="A13" s="10">
        <v>12.0</v>
      </c>
      <c r="B13" s="11" t="s">
        <v>2232</v>
      </c>
      <c r="C13" s="11" t="s">
        <v>2233</v>
      </c>
      <c r="D13" s="11" t="s">
        <v>2234</v>
      </c>
      <c r="E13" s="11" t="s">
        <v>2235</v>
      </c>
      <c r="G13" s="11" t="str">
        <f>IFERROR(__xludf.DUMMYFUNCTION("GOOGLETRANSLATE(A13, ""en"", ""am"")"),"12")</f>
        <v>12</v>
      </c>
      <c r="H13" s="11" t="str">
        <f>IFERROR(__xludf.DUMMYFUNCTION("GOOGLETRANSLATE(B13, ""en"", ""am"")"),"አንድ ተጫዋች ኳሱን ይጥላል, እና ሌላ ኳስ ኢላማውን ይመታል. ምን ይሆናል?")</f>
        <v>አንድ ተጫዋች ኳሱን ይጥላል, እና ሌላ ኳስ ኢላማውን ይመታል. ምን ይሆናል?</v>
      </c>
      <c r="I13" s="11" t="str">
        <f>IFERROR(__xludf.DUMMYFUNCTION("GOOGLETRANSLATE(C13, ""en"", ""am"")"),"ሀ. መወርወሩ ለተጨማሪ ነጥብ ይቆጥራል.B. ነጥቦቹ የተንኳኳውን ኳስ ባለቤት ወደሆነው ተጫዋች ይተላለፋሉ.ሲ. ምንም ነጥብ አልተሰጠም.ዲ. ተቃዋሚው ነጥብ ያስመዘግባል።")</f>
        <v>ሀ. መወርወሩ ለተጨማሪ ነጥብ ይቆጥራል.B. ነጥቦቹ የተንኳኳውን ኳስ ባለቤት ወደሆነው ተጫዋች ይተላለፋሉ.ሲ. ምንም ነጥብ አልተሰጠም.ዲ. ተቃዋሚው ነጥብ ያስመዘግባል።</v>
      </c>
      <c r="J13" s="11" t="str">
        <f>IFERROR(__xludf.DUMMYFUNCTION("GOOGLETRANSLATE(D13, ""en"", ""am"")"),"መወርወሩ ለተጨማሪ ነጥቦች ይቆጠራል።")</f>
        <v>መወርወሩ ለተጨማሪ ነጥቦች ይቆጠራል።</v>
      </c>
      <c r="K13" s="11" t="str">
        <f>IFERROR(__xludf.DUMMYFUNCTION("GOOGLETRANSLATE(E13, ""en"", ""am"")"),"ወደ ኢላማው ሌላ ኳስ ማንኳኳቱ የጉርሻ ነጥቦችን ያስከትላል።")</f>
        <v>ወደ ኢላማው ሌላ ኳስ ማንኳኳቱ የጉርሻ ነጥቦችን ያስከትላል።</v>
      </c>
    </row>
    <row r="14" ht="22.5" customHeight="1">
      <c r="A14" s="10">
        <v>13.0</v>
      </c>
      <c r="B14" s="11" t="s">
        <v>2236</v>
      </c>
      <c r="C14" s="11" t="s">
        <v>2237</v>
      </c>
      <c r="D14" s="11" t="s">
        <v>2238</v>
      </c>
      <c r="E14" s="11" t="s">
        <v>2239</v>
      </c>
      <c r="G14" s="11" t="str">
        <f>IFERROR(__xludf.DUMMYFUNCTION("GOOGLETRANSLATE(A14, ""en"", ""am"")"),"13")</f>
        <v>13</v>
      </c>
      <c r="H14" s="11" t="str">
        <f>IFERROR(__xludf.DUMMYFUNCTION("GOOGLETRANSLATE(B14, ""en"", ""am"")"),"አንድ ኳስ በመጨረሻው ዞን ላይ ቢያርፍም የሜዳውን ጫፍ ይነካል. ምን ይሆናል?")</f>
        <v>አንድ ኳስ በመጨረሻው ዞን ላይ ቢያርፍም የሜዳውን ጫፍ ይነካል. ምን ይሆናል?</v>
      </c>
      <c r="I14" s="11" t="str">
        <f>IFERROR(__xludf.DUMMYFUNCTION("GOOGLETRANSLATE(C14, ""en"", ""am"")"),"ሀ. መወርወሩ ለዝቅተኛ ነጥቦች ይቆጠራል.ቢ. መወርወር ተቀባይነት የለውም.ሲ. ውርወራው ግማሽ ነጥብ ተሸልሟል.ዲ. መወርወሩ ልክ እንደ ሙከራ ይቆጠራል።")</f>
        <v>ሀ. መወርወሩ ለዝቅተኛ ነጥቦች ይቆጠራል.ቢ. መወርወር ተቀባይነት የለውም.ሲ. ውርወራው ግማሽ ነጥብ ተሸልሟል.ዲ. መወርወሩ ልክ እንደ ሙከራ ይቆጠራል።</v>
      </c>
      <c r="J14" s="11" t="str">
        <f>IFERROR(__xludf.DUMMYFUNCTION("GOOGLETRANSLATE(D14, ""en"", ""am"")"),"መወርወሩ ለዝቅተኛ ነጥቦች ይቆጠራል.")</f>
        <v>መወርወሩ ለዝቅተኛ ነጥቦች ይቆጠራል.</v>
      </c>
      <c r="K14" s="11" t="str">
        <f>IFERROR(__xludf.DUMMYFUNCTION("GOOGLETRANSLATE(E14, ""en"", ""am"")"),"የዒላማውን ጫፍ መንካት ብዙውን ጊዜ ዝቅተኛ ነጥቦችን ይቆጥራል.")</f>
        <v>የዒላማውን ጫፍ መንካት ብዙውን ጊዜ ዝቅተኛ ነጥቦችን ይቆጥራል.</v>
      </c>
    </row>
    <row r="15" ht="22.5" customHeight="1">
      <c r="A15" s="10">
        <v>14.0</v>
      </c>
      <c r="B15" s="11" t="s">
        <v>2240</v>
      </c>
      <c r="C15" s="11" t="s">
        <v>2241</v>
      </c>
      <c r="D15" s="11" t="s">
        <v>2242</v>
      </c>
      <c r="E15" s="11" t="s">
        <v>2243</v>
      </c>
      <c r="G15" s="11" t="str">
        <f>IFERROR(__xludf.DUMMYFUNCTION("GOOGLETRANSLATE(A15, ""en"", ""am"")"),"14")</f>
        <v>14</v>
      </c>
      <c r="H15" s="11" t="str">
        <f>IFERROR(__xludf.DUMMYFUNCTION("GOOGLETRANSLATE(B15, ""en"", ""am"")"),"አንድ ተጫዋች ኳሱን በእጁ ይጥላል, ነገር ግን ዒላማው ላይ ከመድረሱ በፊት ከመሬት ላይ ይወጣል. ምን ይሆናል?")</f>
        <v>አንድ ተጫዋች ኳሱን በእጁ ይጥላል, ነገር ግን ዒላማው ላይ ከመድረሱ በፊት ከመሬት ላይ ይወጣል. ምን ይሆናል?</v>
      </c>
      <c r="I15" s="11" t="str">
        <f>IFERROR(__xludf.DUMMYFUNCTION("GOOGLETRANSLATE(C15, ""en"", ""am"")"),"ሀ. መወርወሩ ኢላማው ላይ ካረፈ ትክክለኛ ነው.ቢ. መወርወሩ ልክ ያልሆነ ነው።ሲ. ተጫዋቹ ከእጅ በታች ለመወርወር ተጨማሪ ነጥቦችን ያገኛል.ዲ. በመወርወሩ ምክንያት መወርወሩ ልክ ያልሆነ ነው።")</f>
        <v>ሀ. መወርወሩ ኢላማው ላይ ካረፈ ትክክለኛ ነው.ቢ. መወርወሩ ልክ ያልሆነ ነው።ሲ. ተጫዋቹ ከእጅ በታች ለመወርወር ተጨማሪ ነጥቦችን ያገኛል.ዲ. በመወርወሩ ምክንያት መወርወሩ ልክ ያልሆነ ነው።</v>
      </c>
      <c r="J15" s="11" t="str">
        <f>IFERROR(__xludf.DUMMYFUNCTION("GOOGLETRANSLATE(D15, ""en"", ""am"")"),"መወርወሩ በዒላማው ላይ ካረፈ ትክክለኛ ነው.")</f>
        <v>መወርወሩ በዒላማው ላይ ካረፈ ትክክለኛ ነው.</v>
      </c>
      <c r="K15" s="11" t="str">
        <f>IFERROR(__xludf.DUMMYFUNCTION("GOOGLETRANSLATE(E15, ""en"", ""am"")"),"ዒላማው ላይ ከማረፍዎ በፊት መወርወር ውርወራውን አያበላሽም።")</f>
        <v>ዒላማው ላይ ከማረፍዎ በፊት መወርወር ውርወራውን አያበላሽም።</v>
      </c>
    </row>
    <row r="16" ht="22.5" customHeight="1">
      <c r="A16" s="10">
        <v>15.0</v>
      </c>
      <c r="B16" s="11" t="s">
        <v>2244</v>
      </c>
      <c r="C16" s="11" t="s">
        <v>2245</v>
      </c>
      <c r="D16" s="11" t="s">
        <v>2246</v>
      </c>
      <c r="E16" s="11" t="s">
        <v>2247</v>
      </c>
      <c r="G16" s="11" t="str">
        <f>IFERROR(__xludf.DUMMYFUNCTION("GOOGLETRANSLATE(A16, ""en"", ""am"")"),"15")</f>
        <v>15</v>
      </c>
      <c r="H16" s="11" t="str">
        <f>IFERROR(__xludf.DUMMYFUNCTION("GOOGLETRANSLATE(B16, ""en"", ""am"")"),"አንድ ተጫዋች እየወረወረ ወደ መስመሩ ገባ። ምን ይሆናል?")</f>
        <v>አንድ ተጫዋች እየወረወረ ወደ መስመሩ ገባ። ምን ይሆናል?</v>
      </c>
      <c r="I16" s="11" t="str">
        <f>IFERROR(__xludf.DUMMYFUNCTION("GOOGLETRANSLATE(C16, ""en"", ""am"")"),"ሀ. መወርወሩ ልክ እንደሆነ ይቆጠራል.ቢ. ተጫዋቹ ከመስመሩ በላይ በመውጣቱ ይቀጣል። መወርወር ተቀባይነት የለውም ዲ. መወርወሩ እንደ ግማሽ ነጥብ ይቆጠራል.")</f>
        <v>ሀ. መወርወሩ ልክ እንደሆነ ይቆጠራል.ቢ. ተጫዋቹ ከመስመሩ በላይ በመውጣቱ ይቀጣል። መወርወር ተቀባይነት የለውም ዲ. መወርወሩ እንደ ግማሽ ነጥብ ይቆጠራል.</v>
      </c>
      <c r="J16" s="11" t="str">
        <f>IFERROR(__xludf.DUMMYFUNCTION("GOOGLETRANSLATE(D16, ""en"", ""am"")"),"ተጫዋቹ ከመስመሩ በላይ በመውጣቱ ይቀጣል።")</f>
        <v>ተጫዋቹ ከመስመሩ በላይ በመውጣቱ ይቀጣል።</v>
      </c>
      <c r="K16" s="11" t="str">
        <f>IFERROR(__xludf.DUMMYFUNCTION("GOOGLETRANSLATE(E16, ""en"", ""am"")"),"በመስመሩ ላይ መራመድ ብዙ ጊዜ ቅጣትን ያስከትላል።")</f>
        <v>በመስመሩ ላይ መራመድ ብዙ ጊዜ ቅጣትን ያስከትላል።</v>
      </c>
    </row>
    <row r="17" ht="22.5" customHeight="1">
      <c r="A17" s="10">
        <v>16.0</v>
      </c>
      <c r="B17" s="11" t="s">
        <v>2248</v>
      </c>
      <c r="C17" s="11" t="s">
        <v>2249</v>
      </c>
      <c r="D17" s="11" t="s">
        <v>2250</v>
      </c>
      <c r="E17" s="11" t="s">
        <v>2251</v>
      </c>
      <c r="G17" s="11" t="str">
        <f>IFERROR(__xludf.DUMMYFUNCTION("GOOGLETRANSLATE(A17, ""en"", ""am"")"),"16")</f>
        <v>16</v>
      </c>
      <c r="H17" s="11" t="str">
        <f>IFERROR(__xludf.DUMMYFUNCTION("GOOGLETRANSLATE(B17, ""en"", ""am"")"),"ተጫዋቹ ኳሱን ይጥላል, ነገር ግን በዒላማው ቦታ ላይ ያርፍ እና ከዚያም ይንከባለል. ምን ይሆናል?")</f>
        <v>ተጫዋቹ ኳሱን ይጥላል, ነገር ግን በዒላማው ቦታ ላይ ያርፍ እና ከዚያም ይንከባለል. ምን ይሆናል?</v>
      </c>
      <c r="I17" s="11" t="str">
        <f>IFERROR(__xludf.DUMMYFUNCTION("GOOGLETRANSLATE(C17, ""en"", ""am"")"),"ሀ. መወርወሩ ልክ እንዳልሆነ ይቆጠራል.ቢ. መወርወሩ በዒላማው ውስጥ እስካለ ድረስ ልክ እንደሆነ ይቆጠራል። ምንም ነጥብ አልተሰጠም.ዲ. መወርወሩ ልክ እንደሆነ ይቆጠራል።")</f>
        <v>ሀ. መወርወሩ ልክ እንዳልሆነ ይቆጠራል.ቢ. መወርወሩ በዒላማው ውስጥ እስካለ ድረስ ልክ እንደሆነ ይቆጠራል። ምንም ነጥብ አልተሰጠም.ዲ. መወርወሩ ልክ እንደሆነ ይቆጠራል።</v>
      </c>
      <c r="J17" s="11" t="str">
        <f>IFERROR(__xludf.DUMMYFUNCTION("GOOGLETRANSLATE(D17, ""en"", ""am"")"),"መወርወሩ በዒላማው ውስጥ እስካለ ድረስ ልክ እንደሆነ ይቆጠራል።")</f>
        <v>መወርወሩ በዒላማው ውስጥ እስካለ ድረስ ልክ እንደሆነ ይቆጠራል።</v>
      </c>
      <c r="K17" s="11" t="str">
        <f>IFERROR(__xludf.DUMMYFUNCTION("GOOGLETRANSLATE(E17, ""en"", ""am"")"),"ከዒላማ መውጣት ብዙ ጊዜ መወርወርን ያስወግዳል።")</f>
        <v>ከዒላማ መውጣት ብዙ ጊዜ መወርወርን ያስወግዳል።</v>
      </c>
    </row>
    <row r="18" ht="22.5" customHeight="1">
      <c r="A18" s="10">
        <v>17.0</v>
      </c>
      <c r="B18" s="11" t="s">
        <v>2252</v>
      </c>
      <c r="C18" s="11" t="s">
        <v>2253</v>
      </c>
      <c r="D18" s="11" t="s">
        <v>2254</v>
      </c>
      <c r="E18" s="11" t="s">
        <v>2255</v>
      </c>
      <c r="G18" s="11" t="str">
        <f>IFERROR(__xludf.DUMMYFUNCTION("GOOGLETRANSLATE(A18, ""en"", ""am"")"),"17")</f>
        <v>17</v>
      </c>
      <c r="H18" s="11" t="str">
        <f>IFERROR(__xludf.DUMMYFUNCTION("GOOGLETRANSLATE(B18, ""en"", ""am"")"),"የተጫዋቹ ኳስ ኢላማው ላይ ቢያርፍም ከመሃል በጣም የራቀ ነው። ምን ይሆናል?")</f>
        <v>የተጫዋቹ ኳስ ኢላማው ላይ ቢያርፍም ከመሃል በጣም የራቀ ነው። ምን ይሆናል?</v>
      </c>
      <c r="I18" s="11" t="str">
        <f>IFERROR(__xludf.DUMMYFUNCTION("GOOGLETRANSLATE(C18, ""en"", ""am"")"),"ሀ. መወርወሩ ይቆጥራል, ነገር ግን ከፊል ነጥብ ብቻ ይሸለማሉ.B. መወርወሩ ልክ ያልሆነ ነው እና ምንም ነጥብ አልተሰጠም።ሲ. መወርወሩ ሙሉ ነጥብ ይቆጥራል.ዲ. መወርወሩ ይቆጥራል ነገር ግን ውጤቱ ዝቅተኛ ነው።")</f>
        <v>ሀ. መወርወሩ ይቆጥራል, ነገር ግን ከፊል ነጥብ ብቻ ይሸለማሉ.B. መወርወሩ ልክ ያልሆነ ነው እና ምንም ነጥብ አልተሰጠም።ሲ. መወርወሩ ሙሉ ነጥብ ይቆጥራል.ዲ. መወርወሩ ይቆጥራል ነገር ግን ውጤቱ ዝቅተኛ ነው።</v>
      </c>
      <c r="J18" s="11" t="str">
        <f>IFERROR(__xludf.DUMMYFUNCTION("GOOGLETRANSLATE(D18, ""en"", ""am"")"),"ውርወራው ይቆጥራል፣ ነገር ግን ከፊል ነጥቦች ብቻ ይሸለማሉ።")</f>
        <v>ውርወራው ይቆጥራል፣ ነገር ግን ከፊል ነጥቦች ብቻ ይሸለማሉ።</v>
      </c>
      <c r="K18" s="11" t="str">
        <f>IFERROR(__xludf.DUMMYFUNCTION("GOOGLETRANSLATE(E18, ""en"", ""am"")"),"ከማዕከሉ በጣም ርቆ መሄድ አብዛኛውን ጊዜ ከፊል ነጥቦችን ያስከትላል.")</f>
        <v>ከማዕከሉ በጣም ርቆ መሄድ አብዛኛውን ጊዜ ከፊል ነጥቦችን ያስከትላል.</v>
      </c>
    </row>
    <row r="19" ht="22.5" customHeight="1">
      <c r="A19" s="10">
        <v>18.0</v>
      </c>
      <c r="B19" s="11" t="s">
        <v>2256</v>
      </c>
      <c r="C19" s="11" t="s">
        <v>2257</v>
      </c>
      <c r="D19" s="11" t="s">
        <v>2258</v>
      </c>
      <c r="E19" s="11" t="s">
        <v>2259</v>
      </c>
      <c r="G19" s="11" t="str">
        <f>IFERROR(__xludf.DUMMYFUNCTION("GOOGLETRANSLATE(A19, ""en"", ""am"")"),"18")</f>
        <v>18</v>
      </c>
      <c r="H19" s="11" t="str">
        <f>IFERROR(__xludf.DUMMYFUNCTION("GOOGLETRANSLATE(B19, ""en"", ""am"")"),"አንድ ተጫዋች ኳሱን ይጥላል, ነገር ግን ከቁጥጥር ውጭ ይሽከረከራል እና ዒላማውን ሙሉ በሙሉ ያጣል. ምን ይሆናል?")</f>
        <v>አንድ ተጫዋች ኳሱን ይጥላል, ነገር ግን ከቁጥጥር ውጭ ይሽከረከራል እና ዒላማውን ሙሉ በሙሉ ያጣል. ምን ይሆናል?</v>
      </c>
      <c r="I19" s="11" t="str">
        <f>IFERROR(__xludf.DUMMYFUNCTION("GOOGLETRANSLATE(C19, ""en"", ""am"")"),"ሀ. መወርወር ተቀባይነት የለውም.ቢ. መወርወሩ ምንም ነጥብ እንደሌለው ይቆጠራል.ሲ. መወርወሩ ያልተሳካ ሙከራ ተደርጎ ይቆጠራል.ዲ. ምንም ነጥብ አልተሰጠም።")</f>
        <v>ሀ. መወርወር ተቀባይነት የለውም.ቢ. መወርወሩ ምንም ነጥብ እንደሌለው ይቆጠራል.ሲ. መወርወሩ ያልተሳካ ሙከራ ተደርጎ ይቆጠራል.ዲ. ምንም ነጥብ አልተሰጠም።</v>
      </c>
      <c r="J19" s="11" t="str">
        <f>IFERROR(__xludf.DUMMYFUNCTION("GOOGLETRANSLATE(D19, ""en"", ""am"")"),"መወርወር ተቀባይነት የለውም።")</f>
        <v>መወርወር ተቀባይነት የለውም።</v>
      </c>
      <c r="K19" s="11" t="str">
        <f>IFERROR(__xludf.DUMMYFUNCTION("GOOGLETRANSLATE(E19, ""en"", ""am"")"),"ከቁጥጥር ውጭ ማሽከርከር ብዙውን ጊዜ ምንም ነጥብ አያስከትልም።")</f>
        <v>ከቁጥጥር ውጭ ማሽከርከር ብዙውን ጊዜ ምንም ነጥብ አያስከትልም።</v>
      </c>
    </row>
    <row r="20" ht="22.5" customHeight="1">
      <c r="A20" s="10">
        <v>19.0</v>
      </c>
      <c r="B20" s="11" t="s">
        <v>2260</v>
      </c>
      <c r="C20" s="11" t="s">
        <v>2261</v>
      </c>
      <c r="D20" s="11" t="s">
        <v>2262</v>
      </c>
      <c r="E20" s="11" t="s">
        <v>2263</v>
      </c>
      <c r="G20" s="11" t="str">
        <f>IFERROR(__xludf.DUMMYFUNCTION("GOOGLETRANSLATE(A20, ""en"", ""am"")"),"19")</f>
        <v>19</v>
      </c>
      <c r="H20" s="11" t="str">
        <f>IFERROR(__xludf.DUMMYFUNCTION("GOOGLETRANSLATE(B20, ""en"", ""am"")"),"በጨዋታው ወቅት የአየር ሁኔታ በድንገት ይለወጣል, እናም ዝናብ ይጀምራል. ምን ይሆናል?")</f>
        <v>በጨዋታው ወቅት የአየር ሁኔታ በድንገት ይለወጣል, እናም ዝናብ ይጀምራል. ምን ይሆናል?</v>
      </c>
      <c r="I20" s="11" t="str">
        <f>IFERROR(__xludf.DUMMYFUNCTION("GOOGLETRANSLATE(C20, ""en"", ""am"")"),"ሀ. ጨዋታው ዝናብ ቢዘንብም ቀጥሏል.ቢ. ዝናቡ እስኪቆም ድረስ ጨዋታው ቆመ። ጨዋታው በዝናብ ምክንያት ተሰርዟል።ዲ. ተጫዋቾቹ ከዝናብ ጋር መላመድ አለባቸው።")</f>
        <v>ሀ. ጨዋታው ዝናብ ቢዘንብም ቀጥሏል.ቢ. ዝናቡ እስኪቆም ድረስ ጨዋታው ቆመ። ጨዋታው በዝናብ ምክንያት ተሰርዟል።ዲ. ተጫዋቾቹ ከዝናብ ጋር መላመድ አለባቸው።</v>
      </c>
      <c r="J20" s="11" t="str">
        <f>IFERROR(__xludf.DUMMYFUNCTION("GOOGLETRANSLATE(D20, ""en"", ""am"")"),"ዝናቡ እስኪቆም ድረስ ጨዋታው ቆመ።")</f>
        <v>ዝናቡ እስኪቆም ድረስ ጨዋታው ቆመ።</v>
      </c>
      <c r="K20" s="11" t="str">
        <f>IFERROR(__xludf.DUMMYFUNCTION("GOOGLETRANSLATE(E20, ""en"", ""am"")"),"ሁኔታዎች ካልተመቻቹ ዝናብ ጨዋታውን ለአፍታ ሊያቆመው ይችላል።")</f>
        <v>ሁኔታዎች ካልተመቻቹ ዝናብ ጨዋታውን ለአፍታ ሊያቆመው ይችላል።</v>
      </c>
    </row>
    <row r="21" ht="22.5" customHeight="1">
      <c r="A21" s="10">
        <v>20.0</v>
      </c>
      <c r="B21" s="11" t="s">
        <v>2264</v>
      </c>
      <c r="C21" s="11" t="s">
        <v>2265</v>
      </c>
      <c r="D21" s="11" t="s">
        <v>2266</v>
      </c>
      <c r="E21" s="11" t="s">
        <v>2267</v>
      </c>
      <c r="G21" s="11" t="str">
        <f>IFERROR(__xludf.DUMMYFUNCTION("GOOGLETRANSLATE(A21, ""en"", ""am"")"),"20")</f>
        <v>20</v>
      </c>
      <c r="H21" s="11" t="str">
        <f>IFERROR(__xludf.DUMMYFUNCTION("GOOGLETRANSLATE(B21, ""en"", ""am"")"),"ተጫዋቹ ኳሱን በጠንካራ ሽክርክሪት ይጥለዋል እና ወደ ዒላማው ቦታ ይገባል. ምን ይሆናል?")</f>
        <v>ተጫዋቹ ኳሱን በጠንካራ ሽክርክሪት ይጥለዋል እና ወደ ዒላማው ቦታ ይገባል. ምን ይሆናል?</v>
      </c>
      <c r="I21" s="11" t="str">
        <f>IFERROR(__xludf.DUMMYFUNCTION("GOOGLETRANSLATE(C21, ""en"", ""am"")"),"ሀ. መወርወሩ ልክ እንደሆነ ይቆጠራል.ቢ. መወርወሩ ከመጠን በላይ ለመዞር ብቁ አይደለም.ሲ. መወርወሩ ለከፊል ነጥቦች ይቆጥራል.ዲ. መወርወሩ ለተጨማሪ ነጥቦች ይቆጠራል።")</f>
        <v>ሀ. መወርወሩ ልክ እንደሆነ ይቆጠራል.ቢ. መወርወሩ ከመጠን በላይ ለመዞር ብቁ አይደለም.ሲ. መወርወሩ ለከፊል ነጥቦች ይቆጥራል.ዲ. መወርወሩ ለተጨማሪ ነጥቦች ይቆጠራል።</v>
      </c>
      <c r="J21" s="11" t="str">
        <f>IFERROR(__xludf.DUMMYFUNCTION("GOOGLETRANSLATE(D21, ""en"", ""am"")"),"መወርወሩ ልክ እንደሆነ ይቆጠራል።")</f>
        <v>መወርወሩ ልክ እንደሆነ ይቆጠራል።</v>
      </c>
      <c r="K21" s="11" t="str">
        <f>IFERROR(__xludf.DUMMYFUNCTION("GOOGLETRANSLATE(E21, ""en"", ""am"")"),"ኳሱ ዒላማው ላይ እስካረፈ ድረስ ከባድ ሽክርክሪት ይፈቀዳል።")</f>
        <v>ኳሱ ዒላማው ላይ እስካረፈ ድረስ ከባድ ሽክርክሪት ይፈቀዳል።</v>
      </c>
    </row>
    <row r="22" ht="22.5" customHeight="1">
      <c r="A22" s="10">
        <v>21.0</v>
      </c>
      <c r="B22" s="11" t="s">
        <v>2268</v>
      </c>
      <c r="C22" s="11" t="s">
        <v>2269</v>
      </c>
      <c r="D22" s="11" t="s">
        <v>2270</v>
      </c>
      <c r="E22" s="11" t="s">
        <v>2271</v>
      </c>
      <c r="G22" s="11" t="str">
        <f>IFERROR(__xludf.DUMMYFUNCTION("GOOGLETRANSLATE(A22, ""en"", ""am"")"),"21")</f>
        <v>21</v>
      </c>
      <c r="H22" s="11" t="str">
        <f>IFERROR(__xludf.DUMMYFUNCTION("GOOGLETRANSLATE(B22, ""en"", ""am"")"),"አንድ ተጫዋች በአየር ላይ ሌላ ኳስ የሚመታ ኳስ ይጥላል እና ሁለቱም ኢላማው ላይ ያርፋሉ። ምን ይሆናል?")</f>
        <v>አንድ ተጫዋች በአየር ላይ ሌላ ኳስ የሚመታ ኳስ ይጥላል እና ሁለቱም ኢላማው ላይ ያርፋሉ። ምን ይሆናል?</v>
      </c>
      <c r="I22" s="11" t="str">
        <f>IFERROR(__xludf.DUMMYFUNCTION("GOOGLETRANSLATE(C22, ""en"", ""am"")"),"ሀ. ሁለቱም ኳሶች ለአንድ ነጥብ ይቆጠራሉ.B. የመጀመሪያው ኳስ ይቆጠራል, ሁለተኛው ግን አይደለም.C. ምንም ነጥብ አልተሰጠም.ዲ. ሁለተኛው ኳስ ልክ እንዳልሆነ ይቆጠራል።")</f>
        <v>ሀ. ሁለቱም ኳሶች ለአንድ ነጥብ ይቆጠራሉ.B. የመጀመሪያው ኳስ ይቆጠራል, ሁለተኛው ግን አይደለም.C. ምንም ነጥብ አልተሰጠም.ዲ. ሁለተኛው ኳስ ልክ እንዳልሆነ ይቆጠራል።</v>
      </c>
      <c r="J22" s="11" t="str">
        <f>IFERROR(__xludf.DUMMYFUNCTION("GOOGLETRANSLATE(D22, ""en"", ""am"")"),"ሁለቱም ኳሶች ለአንድ ነጥብ ይቆጠራሉ።")</f>
        <v>ሁለቱም ኳሶች ለአንድ ነጥብ ይቆጠራሉ።</v>
      </c>
      <c r="K22" s="11" t="str">
        <f>IFERROR(__xludf.DUMMYFUNCTION("GOOGLETRANSLATE(E22, ""en"", ""am"")"),"በአየር መሃል ኳስ መምታት እና ዒላማው ላይ ማረፍ እንደ ነጥብ ሊቆጠር ይችላል።")</f>
        <v>በአየር መሃል ኳስ መምታት እና ዒላማው ላይ ማረፍ እንደ ነጥብ ሊቆጠር ይችላል።</v>
      </c>
    </row>
    <row r="23" ht="22.5" customHeight="1">
      <c r="A23" s="10">
        <v>22.0</v>
      </c>
      <c r="B23" s="11" t="s">
        <v>2272</v>
      </c>
      <c r="C23" s="11" t="s">
        <v>2273</v>
      </c>
      <c r="D23" s="11" t="s">
        <v>2274</v>
      </c>
      <c r="E23" s="11" t="s">
        <v>2275</v>
      </c>
      <c r="G23" s="11" t="str">
        <f>IFERROR(__xludf.DUMMYFUNCTION("GOOGLETRANSLATE(A23, ""en"", ""am"")"),"22")</f>
        <v>22</v>
      </c>
      <c r="H23" s="11" t="str">
        <f>IFERROR(__xludf.DUMMYFUNCTION("GOOGLETRANSLATE(B23, ""en"", ""am"")"),"ኳሱ በዒላማው ቦታ ላይ ያርፋል፣ ነገር ግን ከገደቡ በጥቂቱ ይንከባለል። ምን ይሆናል?")</f>
        <v>ኳሱ በዒላማው ቦታ ላይ ያርፋል፣ ነገር ግን ከገደቡ በጥቂቱ ይንከባለል። ምን ይሆናል?</v>
      </c>
      <c r="I23" s="11" t="str">
        <f>IFERROR(__xludf.DUMMYFUNCTION("GOOGLETRANSLATE(C23, ""en"", ""am"")"),"ሀ. መወርወሩ ከፊል ነጥብ ይቆጥራል.ቢ. ለዚህ ውርወራ ምንም ነጥብ አልተሰጠም.ሲ. መወርወሩ ልክ ያልሆነ ነው.ዲ. መወርወሩ ያልተሳካ ሙከራ ተደርጎ ይቆጠራል።")</f>
        <v>ሀ. መወርወሩ ከፊል ነጥብ ይቆጥራል.ቢ. ለዚህ ውርወራ ምንም ነጥብ አልተሰጠም.ሲ. መወርወሩ ልክ ያልሆነ ነው.ዲ. መወርወሩ ያልተሳካ ሙከራ ተደርጎ ይቆጠራል።</v>
      </c>
      <c r="J23" s="11" t="str">
        <f>IFERROR(__xludf.DUMMYFUNCTION("GOOGLETRANSLATE(D23, ""en"", ""am"")"),"መወርወሩ ለከፊል ነጥቦች ይቆጠራል.")</f>
        <v>መወርወሩ ለከፊል ነጥቦች ይቆጠራል.</v>
      </c>
      <c r="K23" s="11" t="str">
        <f>IFERROR(__xludf.DUMMYFUNCTION("GOOGLETRANSLATE(E23, ""en"", ""am"")"),"ከድንበር መውጣት አብዛኛውን ጊዜ ከፊል ነጥቦችን ያስከትላል።")</f>
        <v>ከድንበር መውጣት አብዛኛውን ጊዜ ከፊል ነጥቦችን ያስከትላል።</v>
      </c>
    </row>
    <row r="24" ht="22.5" customHeight="1">
      <c r="A24" s="10">
        <v>23.0</v>
      </c>
      <c r="B24" s="11" t="s">
        <v>2276</v>
      </c>
      <c r="C24" s="11" t="s">
        <v>2277</v>
      </c>
      <c r="D24" s="11" t="s">
        <v>2278</v>
      </c>
      <c r="E24" s="11" t="s">
        <v>2279</v>
      </c>
      <c r="G24" s="11" t="str">
        <f>IFERROR(__xludf.DUMMYFUNCTION("GOOGLETRANSLATE(A24, ""en"", ""am"")"),"23")</f>
        <v>23</v>
      </c>
      <c r="H24" s="11" t="str">
        <f>IFERROR(__xludf.DUMMYFUNCTION("GOOGLETRANSLATE(B24, ""en"", ""am"")"),"አንድ ተጫዋች ኳሱን ይጥላል, ነገር ግን በሌላ ተጫዋች ኳስ ላይ ስለሚያርፍ እንዲንቀሳቀስ ያደርገዋል. ምን ይሆናል?")</f>
        <v>አንድ ተጫዋች ኳሱን ይጥላል, ነገር ግን በሌላ ተጫዋች ኳስ ላይ ስለሚያርፍ እንዲንቀሳቀስ ያደርገዋል. ምን ይሆናል?</v>
      </c>
      <c r="I24" s="11" t="str">
        <f>IFERROR(__xludf.DUMMYFUNCTION("GOOGLETRANSLATE(C24, ""en"", ""am"")"),"ሀ. ኳሱ ብቁ አይደለም፣ እና ተጫዋቹ ተራውን ያጣል። ኳሱ ይቆጥራል፣ እና ተጫዋቹ ነጥብ ያስመዘግባል። ምንም ነጥብ አልተሰጠም, ግን ጨዋታው ቀጠለ.ዲ. ድርጊቱ እንደ በደል ይቆጠራል.")</f>
        <v>ሀ. ኳሱ ብቁ አይደለም፣ እና ተጫዋቹ ተራውን ያጣል። ኳሱ ይቆጥራል፣ እና ተጫዋቹ ነጥብ ያስመዘግባል። ምንም ነጥብ አልተሰጠም, ግን ጨዋታው ቀጠለ.ዲ. ድርጊቱ እንደ በደል ይቆጠራል.</v>
      </c>
      <c r="J24" s="11" t="str">
        <f>IFERROR(__xludf.DUMMYFUNCTION("GOOGLETRANSLATE(D24, ""en"", ""am"")"),"ኳሱ ይቆጥራል, እና ተጫዋቹ ነጥቦችን ይመዘግባል.")</f>
        <v>ኳሱ ይቆጥራል, እና ተጫዋቹ ነጥቦችን ይመዘግባል.</v>
      </c>
      <c r="K24" s="11" t="str">
        <f>IFERROR(__xludf.DUMMYFUNCTION("GOOGLETRANSLATE(E24, ""en"", ""am"")"),"ሌላ ኳስ መምታት ብዙውን ጊዜ ውርወራውን አያስወግደውም።")</f>
        <v>ሌላ ኳስ መምታት ብዙውን ጊዜ ውርወራውን አያስወግደውም።</v>
      </c>
    </row>
    <row r="25" ht="22.5" customHeight="1">
      <c r="A25" s="10">
        <v>24.0</v>
      </c>
      <c r="B25" s="11" t="s">
        <v>2280</v>
      </c>
      <c r="C25" s="11" t="s">
        <v>2281</v>
      </c>
      <c r="D25" s="11" t="s">
        <v>2282</v>
      </c>
      <c r="E25" s="11" t="s">
        <v>2283</v>
      </c>
      <c r="G25" s="11" t="str">
        <f>IFERROR(__xludf.DUMMYFUNCTION("GOOGLETRANSLATE(A25, ""en"", ""am"")"),"24")</f>
        <v>24</v>
      </c>
      <c r="H25" s="11" t="str">
        <f>IFERROR(__xludf.DUMMYFUNCTION("GOOGLETRANSLATE(B25, ""en"", ""am"")"),"የተጫዋቹ ኳስ ከዒላማው ውጪ ቢያርፍም በጣም ቅርብ ነው። ምን ይሆናል?")</f>
        <v>የተጫዋቹ ኳስ ከዒላማው ውጪ ቢያርፍም በጣም ቅርብ ነው። ምን ይሆናል?</v>
      </c>
      <c r="I25" s="11" t="str">
        <f>IFERROR(__xludf.DUMMYFUNCTION("GOOGLETRANSLATE(C25, ""en"", ""am"")"),"ሀ. ምንም ነጥብ አልተሰጠም.B. ኳሱ እንደ አንድ ነጥብ ይቆጠራል.ሲ. መወርወሩ እንደ ፈተና ይቆጠራል.ዲ. ለቅርብነት ከፊል ነጥቦች ተሰጥተዋል።")</f>
        <v>ሀ. ምንም ነጥብ አልተሰጠም.B. ኳሱ እንደ አንድ ነጥብ ይቆጠራል.ሲ. መወርወሩ እንደ ፈተና ይቆጠራል.ዲ. ለቅርብነት ከፊል ነጥቦች ተሰጥተዋል።</v>
      </c>
      <c r="J25" s="11" t="str">
        <f>IFERROR(__xludf.DUMMYFUNCTION("GOOGLETRANSLATE(D25, ""en"", ""am"")"),"ኳሱ እንደ አንድ ነጥብ ይቆጠራል.")</f>
        <v>ኳሱ እንደ አንድ ነጥብ ይቆጠራል.</v>
      </c>
      <c r="K25" s="11" t="str">
        <f>IFERROR(__xludf.DUMMYFUNCTION("GOOGLETRANSLATE(E25, ""en"", ""am"")"),"መቀራረብ ግን ውጭ መሆን ብዙ ጊዜ ነጥብ ያስከትላል።")</f>
        <v>መቀራረብ ግን ውጭ መሆን ብዙ ጊዜ ነጥብ ያስከትላል።</v>
      </c>
    </row>
    <row r="26" ht="22.5" customHeight="1">
      <c r="A26" s="10">
        <v>25.0</v>
      </c>
      <c r="B26" s="11" t="s">
        <v>2284</v>
      </c>
      <c r="C26" s="11" t="s">
        <v>2285</v>
      </c>
      <c r="D26" s="11" t="s">
        <v>2286</v>
      </c>
      <c r="E26" s="11" t="s">
        <v>2287</v>
      </c>
      <c r="G26" s="11" t="str">
        <f>IFERROR(__xludf.DUMMYFUNCTION("GOOGLETRANSLATE(A26, ""en"", ""am"")"),"25")</f>
        <v>25</v>
      </c>
      <c r="H26" s="11" t="str">
        <f>IFERROR(__xludf.DUMMYFUNCTION("GOOGLETRANSLATE(B26, ""en"", ""am"")"),"ተጫዋቹ ኳሱን ይጥላል, ነገር ግን ወደ ጎል ማስቆጠር ቦታ ላይ ወድቆ ከወሰን ውጭ ይወጣል. ምን ይሆናል?")</f>
        <v>ተጫዋቹ ኳሱን ይጥላል, ነገር ግን ወደ ጎል ማስቆጠር ቦታ ላይ ወድቆ ከወሰን ውጭ ይወጣል. ምን ይሆናል?</v>
      </c>
      <c r="I26" s="11" t="str">
        <f>IFERROR(__xludf.DUMMYFUNCTION("GOOGLETRANSLATE(C26, ""en"", ""am"")"),"ሀ. ምንም ነጥብ አልተሰጠም.B. መወርወሩ ለከፊል ነጥቦች ይቆጠራል.ሲ. መወርወሩ ልክ እንደሆነ ይቆጠራል.ዲ. ኳሱ በዒላማው ቦታ ላይ መቆየት አለበት.")</f>
        <v>ሀ. ምንም ነጥብ አልተሰጠም.B. መወርወሩ ለከፊል ነጥቦች ይቆጠራል.ሲ. መወርወሩ ልክ እንደሆነ ይቆጠራል.ዲ. ኳሱ በዒላማው ቦታ ላይ መቆየት አለበት.</v>
      </c>
      <c r="J26" s="11" t="str">
        <f>IFERROR(__xludf.DUMMYFUNCTION("GOOGLETRANSLATE(D26, ""en"", ""am"")"),"ምንም ነጥብ አልተሰጠም።")</f>
        <v>ምንም ነጥብ አልተሰጠም።</v>
      </c>
      <c r="K26" s="11" t="str">
        <f>IFERROR(__xludf.DUMMYFUNCTION("GOOGLETRANSLATE(E26, ""en"", ""am"")"),"ከዒላማ መውጣት ውርወራውን ያስከፍላል።")</f>
        <v>ከዒላማ መውጣት ውርወራውን ያስከፍላል።</v>
      </c>
    </row>
    <row r="27" ht="22.5" customHeight="1">
      <c r="A27" s="10">
        <v>26.0</v>
      </c>
      <c r="B27" s="11" t="s">
        <v>2288</v>
      </c>
      <c r="C27" s="11" t="s">
        <v>2289</v>
      </c>
      <c r="D27" s="11" t="s">
        <v>2290</v>
      </c>
      <c r="E27" s="11" t="s">
        <v>2291</v>
      </c>
      <c r="G27" s="11" t="str">
        <f>IFERROR(__xludf.DUMMYFUNCTION("GOOGLETRANSLATE(A27, ""en"", ""am"")"),"26")</f>
        <v>26</v>
      </c>
      <c r="H27" s="11" t="str">
        <f>IFERROR(__xludf.DUMMYFUNCTION("GOOGLETRANSLATE(B27, ""en"", ""am"")"),"ኳሱ ወደ ዒላማው ይገባል, ግን በከፊል በሌላ ኳስ ተሸፍኗል. ምን ይሆናል?")</f>
        <v>ኳሱ ወደ ዒላማው ይገባል, ግን በከፊል በሌላ ኳስ ተሸፍኗል. ምን ይሆናል?</v>
      </c>
      <c r="I27" s="11" t="str">
        <f>IFERROR(__xludf.DUMMYFUNCTION("GOOGLETRANSLATE(C27, ""en"", ""am"")"),"ሀ. መወርወሩ ከፊል ነጥብ ይቆጥራል.ቢ. መወርወሩ ሙሉ ነጥቦችን ይይዛል.ሲ. ስለተሸፈነ ምንም ነጥብ አልተሰጠም.ዲ. ኳሱ ልክ እንዳልሆነ ይቆጠራል።")</f>
        <v>ሀ. መወርወሩ ከፊል ነጥብ ይቆጥራል.ቢ. መወርወሩ ሙሉ ነጥቦችን ይይዛል.ሲ. ስለተሸፈነ ምንም ነጥብ አልተሰጠም.ዲ. ኳሱ ልክ እንዳልሆነ ይቆጠራል።</v>
      </c>
      <c r="J27" s="11" t="str">
        <f>IFERROR(__xludf.DUMMYFUNCTION("GOOGLETRANSLATE(D27, ""en"", ""am"")"),"መወርወሩ ሙሉ ነጥቦችን ይይዛል።")</f>
        <v>መወርወሩ ሙሉ ነጥቦችን ይይዛል።</v>
      </c>
      <c r="K27" s="11" t="str">
        <f>IFERROR(__xludf.DUMMYFUNCTION("GOOGLETRANSLATE(E27, ""en"", ""am"")"),"ከሌላ ኳስ ጋር ከፊል ሽፋን ብዙውን ጊዜ መወርወርን አያበላሽም።")</f>
        <v>ከሌላ ኳስ ጋር ከፊል ሽፋን ብዙውን ጊዜ መወርወርን አያበላሽም።</v>
      </c>
    </row>
    <row r="28" ht="22.5" customHeight="1">
      <c r="A28" s="10">
        <v>27.0</v>
      </c>
      <c r="B28" s="11" t="s">
        <v>2292</v>
      </c>
      <c r="C28" s="11" t="s">
        <v>2293</v>
      </c>
      <c r="D28" s="11" t="s">
        <v>2195</v>
      </c>
      <c r="E28" s="11" t="s">
        <v>2294</v>
      </c>
      <c r="G28" s="11" t="str">
        <f>IFERROR(__xludf.DUMMYFUNCTION("GOOGLETRANSLATE(A28, ""en"", ""am"")"),"27")</f>
        <v>27</v>
      </c>
      <c r="H28" s="11" t="str">
        <f>IFERROR(__xludf.DUMMYFUNCTION("GOOGLETRANSLATE(B28, ""en"", ""am"")"),"አንድ ተጫዋች ሆን ብሎ የተጋጣሚውን ኳስ ከእነሱ ጋር ያግዳል። ምን ይሆናል?")</f>
        <v>አንድ ተጫዋች ሆን ብሎ የተጋጣሚውን ኳስ ከእነሱ ጋር ያግዳል። ምን ይሆናል?</v>
      </c>
      <c r="I28" s="11" t="str">
        <f>IFERROR(__xludf.DUMMYFUNCTION("GOOGLETRANSLATE(C28, ""en"", ""am"")"),"ሀ.ተጫዋቹ ተቀጥቷል.ቢ. ተቃዋሚው ተጨማሪ ነጥቦችን ያገኛል.ሲ. ጨዋታው ቆሟል እና እንደገና ተጀምሯል.ዲ. እርምጃው እንደ መከላከያ ጨዋታ ይቆጠራል።")</f>
        <v>ሀ.ተጫዋቹ ተቀጥቷል.ቢ. ተቃዋሚው ተጨማሪ ነጥቦችን ያገኛል.ሲ. ጨዋታው ቆሟል እና እንደገና ተጀምሯል.ዲ. እርምጃው እንደ መከላከያ ጨዋታ ይቆጠራል።</v>
      </c>
      <c r="J28" s="11" t="str">
        <f>IFERROR(__xludf.DUMMYFUNCTION("GOOGLETRANSLATE(D28, ""en"", ""am"")"),"ተጫዋቹ ተቀጥቷል።")</f>
        <v>ተጫዋቹ ተቀጥቷል።</v>
      </c>
      <c r="K28" s="11" t="str">
        <f>IFERROR(__xludf.DUMMYFUNCTION("GOOGLETRANSLATE(E28, ""en"", ""am"")"),"ሆን ተብሎ መታገድ ብዙ ጊዜ ቅጣትን ያስከትላል።")</f>
        <v>ሆን ተብሎ መታገድ ብዙ ጊዜ ቅጣትን ያስከትላል።</v>
      </c>
    </row>
    <row r="29" ht="22.5" customHeight="1">
      <c r="A29" s="10">
        <v>28.0</v>
      </c>
      <c r="B29" s="11" t="s">
        <v>2295</v>
      </c>
      <c r="C29" s="11" t="s">
        <v>2296</v>
      </c>
      <c r="D29" s="11" t="s">
        <v>2286</v>
      </c>
      <c r="E29" s="11" t="s">
        <v>2297</v>
      </c>
      <c r="G29" s="11" t="str">
        <f>IFERROR(__xludf.DUMMYFUNCTION("GOOGLETRANSLATE(A29, ""en"", ""am"")"),"28")</f>
        <v>28</v>
      </c>
      <c r="H29" s="11" t="str">
        <f>IFERROR(__xludf.DUMMYFUNCTION("GOOGLETRANSLATE(B29, ""en"", ""am"")"),"የተጫዋች ውርወራ በጣም ጠንካራ ነው እና ኢላማውን ሙሉ በሙሉ ስቶታል። ምን ይሆናል?")</f>
        <v>የተጫዋች ውርወራ በጣም ጠንካራ ነው እና ኢላማውን ሙሉ በሙሉ ስቶታል። ምን ይሆናል?</v>
      </c>
      <c r="I29" s="11" t="str">
        <f>IFERROR(__xludf.DUMMYFUNCTION("GOOGLETRANSLATE(C29, ""en"", ""am"")"),"ሀ. ምንም ነጥብ አልተሰጠም.B. ተጫዋቹ ለመሞከር አንድ ነጥብ ያገኛል.ሲ. መወርወሩ እንደ ግማሽ ነጥብ ይቆጠራል.ዲ. የተጫዋቹ ተራ አልቋል።")</f>
        <v>ሀ. ምንም ነጥብ አልተሰጠም.B. ተጫዋቹ ለመሞከር አንድ ነጥብ ያገኛል.ሲ. መወርወሩ እንደ ግማሽ ነጥብ ይቆጠራል.ዲ. የተጫዋቹ ተራ አልቋል።</v>
      </c>
      <c r="J29" s="11" t="str">
        <f>IFERROR(__xludf.DUMMYFUNCTION("GOOGLETRANSLATE(D29, ""en"", ""am"")"),"ምንም ነጥብ አልተሰጠም።")</f>
        <v>ምንም ነጥብ አልተሰጠም።</v>
      </c>
      <c r="K29" s="11" t="str">
        <f>IFERROR(__xludf.DUMMYFUNCTION("GOOGLETRANSLATE(E29, ""en"", ""am"")"),"ያመለጠ ኢላማ ብዙ ጊዜ ምንም ነጥብ አያስከትልም።")</f>
        <v>ያመለጠ ኢላማ ብዙ ጊዜ ምንም ነጥብ አያስከትልም።</v>
      </c>
    </row>
    <row r="30" ht="22.5" customHeight="1">
      <c r="A30" s="10">
        <v>29.0</v>
      </c>
      <c r="B30" s="11" t="s">
        <v>2298</v>
      </c>
      <c r="C30" s="11" t="s">
        <v>2299</v>
      </c>
      <c r="D30" s="11" t="s">
        <v>2290</v>
      </c>
      <c r="E30" s="11" t="s">
        <v>2300</v>
      </c>
      <c r="G30" s="11" t="str">
        <f>IFERROR(__xludf.DUMMYFUNCTION("GOOGLETRANSLATE(A30, ""en"", ""am"")"),"29")</f>
        <v>29</v>
      </c>
      <c r="H30" s="11" t="str">
        <f>IFERROR(__xludf.DUMMYFUNCTION("GOOGLETRANSLATE(B30, ""en"", ""am"")"),"የተጫዋቹ ኳስ ዒላማው ላይ ቢያርፍም ሌላ ኳስ በላዩ ላይ አረፈ። ምን ይሆናል?")</f>
        <v>የተጫዋቹ ኳስ ዒላማው ላይ ቢያርፍም ሌላ ኳስ በላዩ ላይ አረፈ። ምን ይሆናል?</v>
      </c>
      <c r="I30" s="11" t="str">
        <f>IFERROR(__xludf.DUMMYFUNCTION("GOOGLETRANSLATE(C30, ""en"", ""am"")"),"ሀ. መወርወሩ ሙሉ ነጥቦችን ይይዛል.ቢ. ኳሱ ልክ እንዳልሆነ ይቆጠራል.ሲ. ኳሱ እንደ መጥፎ ነገር ይቆጠራል.ዲ. ኳሶቹ ከዒላማው ቦታ ይጸዳሉ.")</f>
        <v>ሀ. መወርወሩ ሙሉ ነጥቦችን ይይዛል.ቢ. ኳሱ ልክ እንዳልሆነ ይቆጠራል.ሲ. ኳሱ እንደ መጥፎ ነገር ይቆጠራል.ዲ. ኳሶቹ ከዒላማው ቦታ ይጸዳሉ.</v>
      </c>
      <c r="J30" s="11" t="str">
        <f>IFERROR(__xludf.DUMMYFUNCTION("GOOGLETRANSLATE(D30, ""en"", ""am"")"),"መወርወሩ ሙሉ ነጥቦችን ይይዛል።")</f>
        <v>መወርወሩ ሙሉ ነጥቦችን ይይዛል።</v>
      </c>
      <c r="K30" s="11" t="str">
        <f>IFERROR(__xludf.DUMMYFUNCTION("GOOGLETRANSLATE(E30, ""en"", ""am"")"),"በዒላማው ውስጥ ያለው የኳሱ መደራረብ ብዙውን ጊዜ ውርወራውን አያበላሸውም።")</f>
        <v>በዒላማው ውስጥ ያለው የኳሱ መደራረብ ብዙውን ጊዜ ውርወራውን አያበላሸውም።</v>
      </c>
    </row>
    <row r="31" ht="22.5" customHeight="1">
      <c r="A31" s="10">
        <v>30.0</v>
      </c>
      <c r="B31" s="11" t="s">
        <v>2301</v>
      </c>
      <c r="C31" s="11" t="s">
        <v>2302</v>
      </c>
      <c r="D31" s="11" t="s">
        <v>2303</v>
      </c>
      <c r="E31" s="11" t="s">
        <v>2304</v>
      </c>
      <c r="G31" s="11" t="str">
        <f>IFERROR(__xludf.DUMMYFUNCTION("GOOGLETRANSLATE(A31, ""en"", ""am"")"),"30")</f>
        <v>30</v>
      </c>
      <c r="H31" s="11" t="str">
        <f>IFERROR(__xludf.DUMMYFUNCTION("GOOGLETRANSLATE(B31, ""en"", ""am"")"),"የተጫዋቹ ኳስ ወደ ዒላማው መሀል ላይ ቢያርፍ ነገር ግን በትክክል መሃል ላይ ካልሆነ ምን ይከሰታል?")</f>
        <v>የተጫዋቹ ኳስ ወደ ዒላማው መሀል ላይ ቢያርፍ ነገር ግን በትክክል መሃል ላይ ካልሆነ ምን ይከሰታል?</v>
      </c>
      <c r="I31" s="11" t="str">
        <f>IFERROR(__xludf.DUMMYFUNCTION("GOOGLETRANSLATE(C31, ""en"", ""am"")"),"ሀ. መወርወሩ ልክ እንደሆነ ተቆጥሯል ነገር ግን ዝቅተኛ ነጥብ አግኝቷል። መወርወሩ ልክ ያልሆነ ነው።ሲ. መወርወሩ ለዝቅተኛው ነጥብ ይቆጠራል።ዲ. መወርወሩ ልክ እንደ ሙከራ ይቆጠራል።")</f>
        <v>ሀ. መወርወሩ ልክ እንደሆነ ተቆጥሯል ነገር ግን ዝቅተኛ ነጥብ አግኝቷል። መወርወሩ ልክ ያልሆነ ነው።ሲ. መወርወሩ ለዝቅተኛው ነጥብ ይቆጠራል።ዲ. መወርወሩ ልክ እንደ ሙከራ ይቆጠራል።</v>
      </c>
      <c r="J31" s="11" t="str">
        <f>IFERROR(__xludf.DUMMYFUNCTION("GOOGLETRANSLATE(D31, ""en"", ""am"")"),"ውርወራው ልክ እንደሆነ ተቆጥሯል ነገርግን ዝቅተኛ ነጥብ አግኝቷል።")</f>
        <v>ውርወራው ልክ እንደሆነ ተቆጥሯል ነገርግን ዝቅተኛ ነጥብ አግኝቷል።</v>
      </c>
      <c r="K31" s="11" t="str">
        <f>IFERROR(__xludf.DUMMYFUNCTION("GOOGLETRANSLATE(E31, ""en"", ""am"")"),"ወደ መሃል መቅረብ, ነገር ግን በትክክል አይደለም, ብዙ ጊዜ ዝቅተኛ ውጤቶችን ያስከትላል.")</f>
        <v>ወደ መሃል መቅረብ, ነገር ግን በትክክል አይደለም, ብዙ ጊዜ ዝቅተኛ ውጤቶችን ያስከትላል.</v>
      </c>
    </row>
    <row r="32" ht="22.5" customHeight="1">
      <c r="A32" s="10">
        <v>31.0</v>
      </c>
      <c r="B32" s="11" t="s">
        <v>2305</v>
      </c>
      <c r="C32" s="11" t="s">
        <v>2306</v>
      </c>
      <c r="D32" s="11" t="s">
        <v>2258</v>
      </c>
      <c r="E32" s="11" t="s">
        <v>2307</v>
      </c>
      <c r="G32" s="11" t="str">
        <f>IFERROR(__xludf.DUMMYFUNCTION("GOOGLETRANSLATE(A32, ""en"", ""am"")"),"31")</f>
        <v>31</v>
      </c>
      <c r="H32" s="11" t="str">
        <f>IFERROR(__xludf.DUMMYFUNCTION("GOOGLETRANSLATE(B32, ""en"", ""am"")"),"ተጫዋቹ ሳያሳርፍ ኳሱን ወደ ዒላማው ቦታ ይጥላል። ምን ይሆናል?")</f>
        <v>ተጫዋቹ ሳያሳርፍ ኳሱን ወደ ዒላማው ቦታ ይጥላል። ምን ይሆናል?</v>
      </c>
      <c r="I32" s="11" t="str">
        <f>IFERROR(__xludf.DUMMYFUNCTION("GOOGLETRANSLATE(C32, ""en"", ""am"")"),"ሀ. መወርወር ተቀባይነት የለውም.ቢ. መወርወሩ ምንም ፋይዳ የለውም.ሲ. ውርወራው ለግማሽ ነጥብ ይቆጠራል.ዲ. መወርወሩ በአካባቢው አቅራቢያ እንደደረሰ ይቆጠራል.")</f>
        <v>ሀ. መወርወር ተቀባይነት የለውም.ቢ. መወርወሩ ምንም ፋይዳ የለውም.ሲ. ውርወራው ለግማሽ ነጥብ ይቆጠራል.ዲ. መወርወሩ በአካባቢው አቅራቢያ እንደደረሰ ይቆጠራል.</v>
      </c>
      <c r="J32" s="11" t="str">
        <f>IFERROR(__xludf.DUMMYFUNCTION("GOOGLETRANSLATE(D32, ""en"", ""am"")"),"መወርወር ተቀባይነት የለውም።")</f>
        <v>መወርወር ተቀባይነት የለውም።</v>
      </c>
      <c r="K32" s="11" t="str">
        <f>IFERROR(__xludf.DUMMYFUNCTION("GOOGLETRANSLATE(E32, ""en"", ""am"")"),"በዒላማው ላይ መወርወር ብዙውን ጊዜ ምንም ነጥብ አያስከትልም.")</f>
        <v>በዒላማው ላይ መወርወር ብዙውን ጊዜ ምንም ነጥብ አያስከትልም.</v>
      </c>
    </row>
    <row r="33" ht="22.5" customHeight="1">
      <c r="A33" s="10">
        <v>32.0</v>
      </c>
      <c r="B33" s="11" t="s">
        <v>2308</v>
      </c>
      <c r="C33" s="11" t="s">
        <v>2309</v>
      </c>
      <c r="D33" s="11" t="s">
        <v>2310</v>
      </c>
      <c r="E33" s="11" t="s">
        <v>2311</v>
      </c>
      <c r="G33" s="11" t="str">
        <f>IFERROR(__xludf.DUMMYFUNCTION("GOOGLETRANSLATE(A33, ""en"", ""am"")"),"32")</f>
        <v>32</v>
      </c>
      <c r="H33" s="11" t="str">
        <f>IFERROR(__xludf.DUMMYFUNCTION("GOOGLETRANSLATE(B33, ""en"", ""am"")"),"የተጫዋች ውርወራ ዒላማው ላይ ከመድረሱ በፊት መሬት ይመታል። ምን ይሆናል?")</f>
        <v>የተጫዋች ውርወራ ዒላማው ላይ ከመድረሱ በፊት መሬት ይመታል። ምን ይሆናል?</v>
      </c>
      <c r="I33" s="11" t="str">
        <f>IFERROR(__xludf.DUMMYFUNCTION("GOOGLETRANSLATE(C33, ""en"", ""am"")"),"ሀ. መወርወሩ ልክ እንዳልሆነ ይቆጠራል.ቢ. መወርወሩ ዒላማው ላይ ካረፈ ስኬታማ እንደሆነ ይቆጠራል። መወርወሩ ልክ እንደሆነ ይቆጠራል.ዲ. መወርወሩ ያልተሳካ ሙከራ ተደርጎ ይቆጠራል።")</f>
        <v>ሀ. መወርወሩ ልክ እንዳልሆነ ይቆጠራል.ቢ. መወርወሩ ዒላማው ላይ ካረፈ ስኬታማ እንደሆነ ይቆጠራል። መወርወሩ ልክ እንደሆነ ይቆጠራል.ዲ. መወርወሩ ያልተሳካ ሙከራ ተደርጎ ይቆጠራል።</v>
      </c>
      <c r="J33" s="11" t="str">
        <f>IFERROR(__xludf.DUMMYFUNCTION("GOOGLETRANSLATE(D33, ""en"", ""am"")"),"መወርወሩ ልክ እንዳልሆነ ይቆጠራል።")</f>
        <v>መወርወሩ ልክ እንዳልሆነ ይቆጠራል።</v>
      </c>
      <c r="K33" s="11" t="str">
        <f>IFERROR(__xludf.DUMMYFUNCTION("GOOGLETRANSLATE(E33, ""en"", ""am"")"),"መሰናክሎችን መምታት ብዙ ጊዜ መወርወርን ያስወግዳል።")</f>
        <v>መሰናክሎችን መምታት ብዙ ጊዜ መወርወርን ያስወግዳል።</v>
      </c>
    </row>
    <row r="34" ht="22.5" customHeight="1">
      <c r="A34" s="10">
        <v>33.0</v>
      </c>
      <c r="B34" s="11" t="s">
        <v>2312</v>
      </c>
      <c r="C34" s="11" t="s">
        <v>2313</v>
      </c>
      <c r="D34" s="11" t="s">
        <v>2274</v>
      </c>
      <c r="E34" s="11" t="s">
        <v>2314</v>
      </c>
      <c r="G34" s="11" t="str">
        <f>IFERROR(__xludf.DUMMYFUNCTION("GOOGLETRANSLATE(A34, ""en"", ""am"")"),"33")</f>
        <v>33</v>
      </c>
      <c r="H34" s="11" t="str">
        <f>IFERROR(__xludf.DUMMYFUNCTION("GOOGLETRANSLATE(B34, ""en"", ""am"")"),"የተጫዋቹ ኳስ በውጤት ማስመዝገቢያ ዞኑ አቅራቢያ ቢያርፍም በትንሹ ወደ ውጭ ይንከባለላል። ምን ይሆናል?")</f>
        <v>የተጫዋቹ ኳስ በውጤት ማስመዝገቢያ ዞኑ አቅራቢያ ቢያርፍም በትንሹ ወደ ውጭ ይንከባለላል። ምን ይሆናል?</v>
      </c>
      <c r="I34" s="11" t="str">
        <f>IFERROR(__xludf.DUMMYFUNCTION("GOOGLETRANSLATE(C34, ""en"", ""am"")"),"ሀ. መወርወሩ ከፊል ነጥብ ይቆጥራል.ቢ. መወርወር ተቀባይነት የለውም.ሲ. ውርወራው እንደ አንድ ነጥብ ይቆጠራል.ዲ. ምንም ነጥብ አልተሰጠም።")</f>
        <v>ሀ. መወርወሩ ከፊል ነጥብ ይቆጥራል.ቢ. መወርወር ተቀባይነት የለውም.ሲ. ውርወራው እንደ አንድ ነጥብ ይቆጠራል.ዲ. ምንም ነጥብ አልተሰጠም።</v>
      </c>
      <c r="J34" s="11" t="str">
        <f>IFERROR(__xludf.DUMMYFUNCTION("GOOGLETRANSLATE(D34, ""en"", ""am"")"),"መወርወሩ ለከፊል ነጥቦች ይቆጠራል.")</f>
        <v>መወርወሩ ለከፊል ነጥቦች ይቆጠራል.</v>
      </c>
      <c r="K34" s="11" t="str">
        <f>IFERROR(__xludf.DUMMYFUNCTION("GOOGLETRANSLATE(E34, ""en"", ""am"")"),"ከዞኑ ውጭ ማሽከርከር ብዙውን ጊዜ ከፊል ነጥቦችን ያስከትላል.")</f>
        <v>ከዞኑ ውጭ ማሽከርከር ብዙውን ጊዜ ከፊል ነጥቦችን ያስከትላል.</v>
      </c>
    </row>
    <row r="35" ht="22.5" customHeight="1">
      <c r="A35" s="10">
        <v>34.0</v>
      </c>
      <c r="B35" s="11" t="s">
        <v>2315</v>
      </c>
      <c r="C35" s="11" t="s">
        <v>2316</v>
      </c>
      <c r="D35" s="11" t="s">
        <v>2317</v>
      </c>
      <c r="E35" s="11" t="s">
        <v>2318</v>
      </c>
      <c r="G35" s="11" t="str">
        <f>IFERROR(__xludf.DUMMYFUNCTION("GOOGLETRANSLATE(A35, ""en"", ""am"")"),"34")</f>
        <v>34</v>
      </c>
      <c r="H35" s="11" t="str">
        <f>IFERROR(__xludf.DUMMYFUNCTION("GOOGLETRANSLATE(B35, ""en"", ""am"")"),"የተጫዋቹ ኳስ ኢላማው ላይ ያረፈ ሲሆን ወደ መሃል በጣም ቅርብ ነው። ምን ይሆናል?")</f>
        <v>የተጫዋቹ ኳስ ኢላማው ላይ ያረፈ ሲሆን ወደ መሃል በጣም ቅርብ ነው። ምን ይሆናል?</v>
      </c>
      <c r="I35" s="11" t="str">
        <f>IFERROR(__xludf.DUMMYFUNCTION("GOOGLETRANSLATE(C35, ""en"", ""am"")"),"ሀ. ተጫዋቹ ሙሉ ነጥብ ያገኛል.ቢ. መወርወሩ እንደ ፈተና ይቆጠራል.ሲ. ምንም ነጥብ አልተሰጠም.ዲ. መወርወሩ እንደ ግማሽ ነጥብ ይቆጠራል.")</f>
        <v>ሀ. ተጫዋቹ ሙሉ ነጥብ ያገኛል.ቢ. መወርወሩ እንደ ፈተና ይቆጠራል.ሲ. ምንም ነጥብ አልተሰጠም.ዲ. መወርወሩ እንደ ግማሽ ነጥብ ይቆጠራል.</v>
      </c>
      <c r="J35" s="11" t="str">
        <f>IFERROR(__xludf.DUMMYFUNCTION("GOOGLETRANSLATE(D35, ""en"", ""am"")"),"ተጫዋቹ ሙሉ ነጥቦችን ያገኛል.")</f>
        <v>ተጫዋቹ ሙሉ ነጥቦችን ያገኛል.</v>
      </c>
      <c r="K35" s="11" t="str">
        <f>IFERROR(__xludf.DUMMYFUNCTION("GOOGLETRANSLATE(E35, ""en"", ""am"")"),"ወደ መሃል መቅረብ አብዛኛውን ጊዜ ሙሉ ነጥቦችን ያረጋግጣል.")</f>
        <v>ወደ መሃል መቅረብ አብዛኛውን ጊዜ ሙሉ ነጥቦችን ያረጋግጣል.</v>
      </c>
    </row>
    <row r="36" ht="22.5" customHeight="1">
      <c r="A36" s="10">
        <v>35.0</v>
      </c>
      <c r="B36" s="11" t="s">
        <v>2319</v>
      </c>
      <c r="C36" s="11" t="s">
        <v>2320</v>
      </c>
      <c r="D36" s="11" t="s">
        <v>2321</v>
      </c>
      <c r="E36" s="11" t="s">
        <v>2322</v>
      </c>
      <c r="G36" s="11" t="str">
        <f>IFERROR(__xludf.DUMMYFUNCTION("GOOGLETRANSLATE(A36, ""en"", ""am"")"),"35")</f>
        <v>35</v>
      </c>
      <c r="H36" s="11" t="str">
        <f>IFERROR(__xludf.DUMMYFUNCTION("GOOGLETRANSLATE(B36, ""en"", ""am"")"),"ጨዋታው ከመጨረሻው ዙር በኋላ እኩል ነው። ቀጥሎ ምን ይሆናል?")</f>
        <v>ጨዋታው ከመጨረሻው ዙር በኋላ እኩል ነው። ቀጥሎ ምን ይሆናል?</v>
      </c>
      <c r="I36" s="11" t="str">
        <f>IFERROR(__xludf.DUMMYFUNCTION("GOOGLETRANSLATE(C36, ""en"", ""am"")"),"ሀ. ጨዋታው አልቋል፣ እና ሁለቱም ተጫዋቾች አሸናፊዎች ናቸው። የማጣሪያ ዙር ተጫውቷል.ሲ. ብዙ ነጥብ ያገኘው ተጫዋቹ አሸናፊ መሆኑ ተነግሯል ዲ. ጨዋታው ተሰርዟል።")</f>
        <v>ሀ. ጨዋታው አልቋል፣ እና ሁለቱም ተጫዋቾች አሸናፊዎች ናቸው። የማጣሪያ ዙር ተጫውቷል.ሲ. ብዙ ነጥብ ያገኘው ተጫዋቹ አሸናፊ መሆኑ ተነግሯል ዲ. ጨዋታው ተሰርዟል።</v>
      </c>
      <c r="J36" s="11" t="str">
        <f>IFERROR(__xludf.DUMMYFUNCTION("GOOGLETRANSLATE(D36, ""en"", ""am"")"),"የማጣሪያ ዙር ተካሂዷል።")</f>
        <v>የማጣሪያ ዙር ተካሂዷል።</v>
      </c>
      <c r="K36" s="11" t="str">
        <f>IFERROR(__xludf.DUMMYFUNCTION("GOOGLETRANSLATE(E36, ""en"", ""am"")"),"አሸናፊውን ለማወቅ የእኩል ጨዋታዎች ብዙ ጊዜ ልዩ ዙር ያስፈልጋቸዋል።")</f>
        <v>አሸናፊውን ለማወቅ የእኩል ጨዋታዎች ብዙ ጊዜ ልዩ ዙር ያስፈልጋቸዋል።</v>
      </c>
    </row>
    <row r="37" ht="22.5" customHeight="1">
      <c r="A37" s="10">
        <v>36.0</v>
      </c>
      <c r="B37" s="11" t="s">
        <v>2323</v>
      </c>
      <c r="C37" s="11" t="s">
        <v>2324</v>
      </c>
      <c r="D37" s="11" t="s">
        <v>2286</v>
      </c>
      <c r="E37" s="11" t="s">
        <v>2325</v>
      </c>
      <c r="G37" s="11" t="str">
        <f>IFERROR(__xludf.DUMMYFUNCTION("GOOGLETRANSLATE(A37, ""en"", ""am"")"),"36")</f>
        <v>36</v>
      </c>
      <c r="H37" s="11" t="str">
        <f>IFERROR(__xludf.DUMMYFUNCTION("GOOGLETRANSLATE(B37, ""en"", ""am"")"),"አንድ ተጫዋች ኳሱን ወርውሮ ከታለመለት ቦታ ውጭ ያርፋል፣ ነገር ግን በአቅራቢያ ምንም ኳሶች የሉም። ምን ይሆናል?")</f>
        <v>አንድ ተጫዋች ኳሱን ወርውሮ ከታለመለት ቦታ ውጭ ያርፋል፣ ነገር ግን በአቅራቢያ ምንም ኳሶች የሉም። ምን ይሆናል?</v>
      </c>
      <c r="I37" s="11" t="str">
        <f>IFERROR(__xludf.DUMMYFUNCTION("GOOGLETRANSLATE(C37, ""en"", ""am"")"),"ሀ. ምንም ነጥብ አልተሰጠም.B. መወርወሩ እንደ አንድ ነጥብ ይቆጠራል.ሲ. መወርወሩ ያልተሳካ ሙከራ ተደርጎ ይቆጠራል.ዲ. መወርወሩ ልክ እንደሆነ ይቆጠራል።")</f>
        <v>ሀ. ምንም ነጥብ አልተሰጠም.B. መወርወሩ እንደ አንድ ነጥብ ይቆጠራል.ሲ. መወርወሩ ያልተሳካ ሙከራ ተደርጎ ይቆጠራል.ዲ. መወርወሩ ልክ እንደሆነ ይቆጠራል።</v>
      </c>
      <c r="J37" s="11" t="str">
        <f>IFERROR(__xludf.DUMMYFUNCTION("GOOGLETRANSLATE(D37, ""en"", ""am"")"),"ምንም ነጥብ አልተሰጠም።")</f>
        <v>ምንም ነጥብ አልተሰጠም።</v>
      </c>
      <c r="K37" s="11" t="str">
        <f>IFERROR(__xludf.DUMMYFUNCTION("GOOGLETRANSLATE(E37, ""en"", ""am"")"),"በአቅራቢያ ያሉ ሌሎች ኳሶች ለጠፉ ምንም ነጥብ አይሰጥም።")</f>
        <v>በአቅራቢያ ያሉ ሌሎች ኳሶች ለጠፉ ምንም ነጥብ አይሰጥም።</v>
      </c>
    </row>
    <row r="38" ht="22.5" customHeight="1">
      <c r="A38" s="10">
        <v>37.0</v>
      </c>
      <c r="B38" s="11" t="s">
        <v>2326</v>
      </c>
      <c r="C38" s="11" t="s">
        <v>2327</v>
      </c>
      <c r="D38" s="11" t="s">
        <v>2317</v>
      </c>
      <c r="E38" s="11" t="s">
        <v>2328</v>
      </c>
      <c r="G38" s="11" t="str">
        <f>IFERROR(__xludf.DUMMYFUNCTION("GOOGLETRANSLATE(A38, ""en"", ""am"")"),"37")</f>
        <v>37</v>
      </c>
      <c r="H38" s="11" t="str">
        <f>IFERROR(__xludf.DUMMYFUNCTION("GOOGLETRANSLATE(B38, ""en"", ""am"")"),"አንድ ተጫዋች ኳሱን ወርውሮ ወደ ዒላማው መሀል አጠገብ ያሳርፋል። ምን ይሆናል?")</f>
        <v>አንድ ተጫዋች ኳሱን ወርውሮ ወደ ዒላማው መሀል አጠገብ ያሳርፋል። ምን ይሆናል?</v>
      </c>
      <c r="I38" s="11" t="str">
        <f>IFERROR(__xludf.DUMMYFUNCTION("GOOGLETRANSLATE(C38, ""en"", ""am"")"),"ሀ. ተጫዋቹ ሙሉ ነጥብ ያገኛል.ቢ. መወርወሩ ለከፊል ነጥቦች ይቆጠራል.ሲ. ምንም ነጥብ አልተሰጠም.ዲ. መወርወር ተቀባይነት የለውም።")</f>
        <v>ሀ. ተጫዋቹ ሙሉ ነጥብ ያገኛል.ቢ. መወርወሩ ለከፊል ነጥቦች ይቆጠራል.ሲ. ምንም ነጥብ አልተሰጠም.ዲ. መወርወር ተቀባይነት የለውም።</v>
      </c>
      <c r="J38" s="11" t="str">
        <f>IFERROR(__xludf.DUMMYFUNCTION("GOOGLETRANSLATE(D38, ""en"", ""am"")"),"ተጫዋቹ ሙሉ ነጥቦችን ያገኛል.")</f>
        <v>ተጫዋቹ ሙሉ ነጥቦችን ያገኛል.</v>
      </c>
      <c r="K38" s="11" t="str">
        <f>IFERROR(__xludf.DUMMYFUNCTION("GOOGLETRANSLATE(E38, ""en"", ""am"")"),"ከዒላማው መሃል አጠገብ ማረፍ ብዙውን ጊዜ ሙሉ ነጥቦችን ያስከትላል።")</f>
        <v>ከዒላማው መሃል አጠገብ ማረፍ ብዙውን ጊዜ ሙሉ ነጥቦችን ያስከትላል።</v>
      </c>
    </row>
    <row r="39" ht="22.5" customHeight="1">
      <c r="A39" s="10">
        <v>38.0</v>
      </c>
      <c r="B39" s="11" t="s">
        <v>2329</v>
      </c>
      <c r="C39" s="11" t="s">
        <v>2330</v>
      </c>
      <c r="D39" s="11" t="s">
        <v>2331</v>
      </c>
      <c r="E39" s="11" t="s">
        <v>2332</v>
      </c>
      <c r="G39" s="11" t="str">
        <f>IFERROR(__xludf.DUMMYFUNCTION("GOOGLETRANSLATE(A39, ""en"", ""am"")"),"38")</f>
        <v>38</v>
      </c>
      <c r="H39" s="11" t="str">
        <f>IFERROR(__xludf.DUMMYFUNCTION("GOOGLETRANSLATE(B39, ""en"", ""am"")"),"አንድ ተጫዋች ኳሱን ወደ ኢላማው ይጥላል፣ ነገር ግን በሌላ ተጫዋች ወደ ኋላ ይገፋል። ምን ይሆናል?")</f>
        <v>አንድ ተጫዋች ኳሱን ወደ ኢላማው ይጥላል፣ ነገር ግን በሌላ ተጫዋች ወደ ኋላ ይገፋል። ምን ይሆናል?</v>
      </c>
      <c r="I39" s="11" t="str">
        <f>IFERROR(__xludf.DUMMYFUNCTION("GOOGLETRANSLATE(C39, ""en"", ""am"")"),"ሀ. የተቃዋሚው ኳስ ብቁ አይደለም.ቢ. ተጫዋቹ ተጨማሪ ነጥብ ያስመዘግባል። ለመወርወር ምንም ነጥብ አልተሰጠም.ዲ. መወርወሩ ለከፊል ነጥቦች ይቆጠራል.")</f>
        <v>ሀ. የተቃዋሚው ኳስ ብቁ አይደለም.ቢ. ተጫዋቹ ተጨማሪ ነጥብ ያስመዘግባል። ለመወርወር ምንም ነጥብ አልተሰጠም.ዲ. መወርወሩ ለከፊል ነጥቦች ይቆጠራል.</v>
      </c>
      <c r="J39" s="11" t="str">
        <f>IFERROR(__xludf.DUMMYFUNCTION("GOOGLETRANSLATE(D39, ""en"", ""am"")"),"ተጫዋቹ ተጨማሪ ነጥቦችን ያስመዘግባል።")</f>
        <v>ተጫዋቹ ተጨማሪ ነጥቦችን ያስመዘግባል።</v>
      </c>
      <c r="K39" s="11" t="str">
        <f>IFERROR(__xludf.DUMMYFUNCTION("GOOGLETRANSLATE(E39, ""en"", ""am"")"),"የተጋጣሚን ኳስ መምታት ተጨማሪ ነጥብ ያስገኛል።")</f>
        <v>የተጋጣሚን ኳስ መምታት ተጨማሪ ነጥብ ያስገኛል።</v>
      </c>
    </row>
    <row r="40" ht="22.5" customHeight="1">
      <c r="A40" s="10">
        <v>39.0</v>
      </c>
      <c r="B40" s="11" t="s">
        <v>2333</v>
      </c>
      <c r="C40" s="11" t="s">
        <v>2334</v>
      </c>
      <c r="D40" s="11" t="s">
        <v>2303</v>
      </c>
      <c r="E40" s="11" t="s">
        <v>2335</v>
      </c>
      <c r="G40" s="11" t="str">
        <f>IFERROR(__xludf.DUMMYFUNCTION("GOOGLETRANSLATE(A40, ""en"", ""am"")"),"39")</f>
        <v>39</v>
      </c>
      <c r="H40" s="11" t="str">
        <f>IFERROR(__xludf.DUMMYFUNCTION("GOOGLETRANSLATE(B40, ""en"", ""am"")"),"የተጫዋቹ ውርወራ በጣም ደካማ ነው, እና ኳሱ ወደ ዒላማው ቦታ እምብዛም አይደርስም. ምን ይሆናል?")</f>
        <v>የተጫዋቹ ውርወራ በጣም ደካማ ነው, እና ኳሱ ወደ ዒላማው ቦታ እምብዛም አይደርስም. ምን ይሆናል?</v>
      </c>
      <c r="I40" s="11" t="str">
        <f>IFERROR(__xludf.DUMMYFUNCTION("GOOGLETRANSLATE(C40, ""en"", ""am"")"),"ሀ. መወርወሩ ልክ እንደሆነ ተቆጥሯል ነገር ግን ዝቅተኛ ነጥብ አግኝቷል። መወርወሩ ለከፊል ነጥቦች ይቆጠራል.ሲ. ምንም ነጥብ አልተሰጠም.ዲ. ተጫዋቹ ሙሉ ነጥቦችን ያገኛል.")</f>
        <v>ሀ. መወርወሩ ልክ እንደሆነ ተቆጥሯል ነገር ግን ዝቅተኛ ነጥብ አግኝቷል። መወርወሩ ለከፊል ነጥቦች ይቆጠራል.ሲ. ምንም ነጥብ አልተሰጠም.ዲ. ተጫዋቹ ሙሉ ነጥቦችን ያገኛል.</v>
      </c>
      <c r="J40" s="11" t="str">
        <f>IFERROR(__xludf.DUMMYFUNCTION("GOOGLETRANSLATE(D40, ""en"", ""am"")"),"ውርወራው ልክ እንደሆነ ተቆጥሯል ነገርግን ዝቅተኛ ነጥብ አግኝቷል።")</f>
        <v>ውርወራው ልክ እንደሆነ ተቆጥሯል ነገርግን ዝቅተኛ ነጥብ አግኝቷል።</v>
      </c>
      <c r="K40" s="11" t="str">
        <f>IFERROR(__xludf.DUMMYFUNCTION("GOOGLETRANSLATE(E40, ""en"", ""am"")"),"ደካማ መወርወር ብዙውን ጊዜ ደካማ ውጤቶችን ያስከትላል.")</f>
        <v>ደካማ መወርወር ብዙውን ጊዜ ደካማ ውጤቶችን ያስከትላል.</v>
      </c>
    </row>
    <row r="41" ht="22.5" customHeight="1">
      <c r="A41" s="10">
        <v>40.0</v>
      </c>
      <c r="B41" s="11" t="s">
        <v>2336</v>
      </c>
      <c r="C41" s="11" t="s">
        <v>2337</v>
      </c>
      <c r="D41" s="11" t="s">
        <v>2290</v>
      </c>
      <c r="E41" s="11" t="s">
        <v>2338</v>
      </c>
      <c r="G41" s="11" t="str">
        <f>IFERROR(__xludf.DUMMYFUNCTION("GOOGLETRANSLATE(A41, ""en"", ""am"")"),"40")</f>
        <v>40</v>
      </c>
      <c r="H41" s="11" t="str">
        <f>IFERROR(__xludf.DUMMYFUNCTION("GOOGLETRANSLATE(B41, ""en"", ""am"")"),"ተጫዋቹ ከውጤት ዞኑ ውጪ ያረፈ ኳሱን ይጥላል ነገር ግን ወደ ሜዳ ይንከባለላል። ምን ይሆናል?")</f>
        <v>ተጫዋቹ ከውጤት ዞኑ ውጪ ያረፈ ኳሱን ይጥላል ነገር ግን ወደ ሜዳ ይንከባለላል። ምን ይሆናል?</v>
      </c>
      <c r="I41" s="11" t="str">
        <f>IFERROR(__xludf.DUMMYFUNCTION("GOOGLETRANSLATE(C41, ""en"", ""am"")"),"ሀ. መወርወሩ ሙሉ ነጥቦችን ይይዛል.ቢ. መወርወሩ ልክ እንዳልሆነ ይቆጠራል።ሲ. መወርወሩ ለከፊል ነጥቦች ይቆጥራል.ዲ. ምንም ነጥብ አልተሰጠም።")</f>
        <v>ሀ. መወርወሩ ሙሉ ነጥቦችን ይይዛል.ቢ. መወርወሩ ልክ እንዳልሆነ ይቆጠራል።ሲ. መወርወሩ ለከፊል ነጥቦች ይቆጥራል.ዲ. ምንም ነጥብ አልተሰጠም።</v>
      </c>
      <c r="J41" s="11" t="str">
        <f>IFERROR(__xludf.DUMMYFUNCTION("GOOGLETRANSLATE(D41, ""en"", ""am"")"),"መወርወሩ ሙሉ ነጥቦችን ይይዛል።")</f>
        <v>መወርወሩ ሙሉ ነጥቦችን ይይዛል።</v>
      </c>
      <c r="K41" s="11" t="str">
        <f>IFERROR(__xludf.DUMMYFUNCTION("GOOGLETRANSLATE(E41, ""en"", ""am"")"),"ወደ የውጤት ማስመዝገቢያ ዞን መመለስ አብዛኛውን ጊዜ ሙሉ ነጥቦችን ይይዛል።")</f>
        <v>ወደ የውጤት ማስመዝገቢያ ዞን መመለስ አብዛኛውን ጊዜ ሙሉ ነጥቦችን ይይዛል።</v>
      </c>
    </row>
    <row r="42" ht="22.5" customHeight="1">
      <c r="A42" s="10">
        <v>41.0</v>
      </c>
      <c r="B42" s="11" t="s">
        <v>2339</v>
      </c>
      <c r="C42" s="11" t="s">
        <v>2340</v>
      </c>
      <c r="D42" s="11" t="s">
        <v>2341</v>
      </c>
      <c r="E42" s="11" t="s">
        <v>2342</v>
      </c>
      <c r="G42" s="11" t="str">
        <f>IFERROR(__xludf.DUMMYFUNCTION("GOOGLETRANSLATE(A42, ""en"", ""am"")"),"41")</f>
        <v>41</v>
      </c>
      <c r="H42" s="11" t="str">
        <f>IFERROR(__xludf.DUMMYFUNCTION("GOOGLETRANSLATE(B42, ""en"", ""am"")"),"ኳስህ የሌላ ተጫዋችን ኳስ በመምታት ወደ ኢላማው ያንቀሳቅሰዋል። ነጥቦቹን ማን ያስመዘገበው?")</f>
        <v>ኳስህ የሌላ ተጫዋችን ኳስ በመምታት ወደ ኢላማው ያንቀሳቅሰዋል። ነጥቦቹን ማን ያስመዘገበው?</v>
      </c>
      <c r="I42" s="11" t="str">
        <f>IFERROR(__xludf.DUMMYFUNCTION("GOOGLETRANSLATE(C42, ""en"", ""am"")"),"ሀ. ነጥቡን አስመዝግበዋል.ቢ. ሌላኛው ተጫዋች ነጥቦቹን ይከታተላል.ሲ. ሁለቱም ተጫዋቾች ነጥቦቹን ተከፋፍለዋል.ዲ. ምንም ነጥብ አልተገኘም።")</f>
        <v>ሀ. ነጥቡን አስመዝግበዋል.ቢ. ሌላኛው ተጫዋች ነጥቦቹን ይከታተላል.ሲ. ሁለቱም ተጫዋቾች ነጥቦቹን ተከፋፍለዋል.ዲ. ምንም ነጥብ አልተገኘም።</v>
      </c>
      <c r="J42" s="11" t="str">
        <f>IFERROR(__xludf.DUMMYFUNCTION("GOOGLETRANSLATE(D42, ""en"", ""am"")"),"ሌላኛው ተጫዋች ነጥቦቹን ይከታተላል.")</f>
        <v>ሌላኛው ተጫዋች ነጥቦቹን ይከታተላል.</v>
      </c>
      <c r="K42" s="11" t="str">
        <f>IFERROR(__xludf.DUMMYFUNCTION("GOOGLETRANSLATE(E42, ""en"", ""am"")"),"ነጥቦች የሚሸለሙት ኳሱ ወደ ዒላማው ቅርብ ለሆነው ተጫዋች ነው።")</f>
        <v>ነጥቦች የሚሸለሙት ኳሱ ወደ ዒላማው ቅርብ ለሆነው ተጫዋች ነው።</v>
      </c>
    </row>
    <row r="43" ht="22.5" customHeight="1">
      <c r="A43" s="10">
        <v>42.0</v>
      </c>
      <c r="B43" s="11" t="s">
        <v>2343</v>
      </c>
      <c r="C43" s="11" t="s">
        <v>2344</v>
      </c>
      <c r="D43" s="11" t="s">
        <v>2345</v>
      </c>
      <c r="E43" s="11" t="s">
        <v>2346</v>
      </c>
      <c r="G43" s="11" t="str">
        <f>IFERROR(__xludf.DUMMYFUNCTION("GOOGLETRANSLATE(A43, ""en"", ""am"")"),"42")</f>
        <v>42</v>
      </c>
      <c r="H43" s="11" t="str">
        <f>IFERROR(__xludf.DUMMYFUNCTION("GOOGLETRANSLATE(B43, ""en"", ""am"")"),"ተጫዋቹ ኳሱን ከተወሰነው የመጫወቻ ቦታ ውጭ ይጥላል። ምን ይሆናል?")</f>
        <v>ተጫዋቹ ኳሱን ከተወሰነው የመጫወቻ ቦታ ውጭ ይጥላል። ምን ይሆናል?</v>
      </c>
      <c r="I43" s="11" t="str">
        <f>IFERROR(__xludf.DUMMYFUNCTION("GOOGLETRANSLATE(C43, ""en"", ""am"")"),"ሀ. መወርወሩ ልክ ያልሆነ ነው.ቢ. ተጫዋቹ ሌላ እድል ያገኛል.ሲ. የተሸለሙ ከፊል ነጥቦች ዲ. መወርወር ይቆጠራል፣ ግን በቅጣት።")</f>
        <v>ሀ. መወርወሩ ልክ ያልሆነ ነው.ቢ. ተጫዋቹ ሌላ እድል ያገኛል.ሲ. የተሸለሙ ከፊል ነጥቦች ዲ. መወርወር ይቆጠራል፣ ግን በቅጣት።</v>
      </c>
      <c r="J43" s="11" t="str">
        <f>IFERROR(__xludf.DUMMYFUNCTION("GOOGLETRANSLATE(D43, ""en"", ""am"")"),"መወርወሩ ልክ ያልሆነ ነው።")</f>
        <v>መወርወሩ ልክ ያልሆነ ነው።</v>
      </c>
      <c r="K43" s="11" t="str">
        <f>IFERROR(__xludf.DUMMYFUNCTION("GOOGLETRANSLATE(E43, ""en"", ""am"")"),"ከመጫወቻ ቦታ ውጭ ያሉ ኳሶች ልክ እንዳልሆኑ ይቆጠራሉ እና ምንም ነጥብ አያገኙም።")</f>
        <v>ከመጫወቻ ቦታ ውጭ ያሉ ኳሶች ልክ እንዳልሆኑ ይቆጠራሉ እና ምንም ነጥብ አያገኙም።</v>
      </c>
    </row>
    <row r="44" ht="22.5" customHeight="1">
      <c r="A44" s="10">
        <v>43.0</v>
      </c>
      <c r="B44" s="11" t="s">
        <v>2347</v>
      </c>
      <c r="C44" s="11" t="s">
        <v>2348</v>
      </c>
      <c r="D44" s="11" t="s">
        <v>2349</v>
      </c>
      <c r="E44" s="11" t="s">
        <v>2350</v>
      </c>
      <c r="G44" s="11" t="str">
        <f>IFERROR(__xludf.DUMMYFUNCTION("GOOGLETRANSLATE(A44, ""en"", ""am"")"),"43")</f>
        <v>43</v>
      </c>
      <c r="H44" s="11" t="str">
        <f>IFERROR(__xludf.DUMMYFUNCTION("GOOGLETRANSLATE(B44, ""en"", ""am"")"),"ኳስህን ልትወረውር ነው፣ ነገር ግን በመጫወቻ ሜዳ ላይ ፍርስራሽ ታያለህ። ምን ማድረግ አለቦት?")</f>
        <v>ኳስህን ልትወረውር ነው፣ ነገር ግን በመጫወቻ ሜዳ ላይ ፍርስራሽ ታያለህ። ምን ማድረግ አለቦት?</v>
      </c>
      <c r="I44" s="11" t="str">
        <f>IFERROR(__xludf.DUMMYFUNCTION("GOOGLETRANSLATE(C44, ""en"", ""am"")"),"ሀ. በጥንቃቄ ያስወግዱ እና ቆሻሻን ያስወግዱ. አካባቢውን እንዲያጸዳ ዳኛ ይጠይቁ። ችላ ይበሉ እና በመጣል ይቀጥሉ.ዲ. ፍርስራሹን ለማጽዳት በሙሉ ሃይልዎ ይጣሉት.")</f>
        <v>ሀ. በጥንቃቄ ያስወግዱ እና ቆሻሻን ያስወግዱ. አካባቢውን እንዲያጸዳ ዳኛ ይጠይቁ። ችላ ይበሉ እና በመጣል ይቀጥሉ.ዲ. ፍርስራሹን ለማጽዳት በሙሉ ሃይልዎ ይጣሉት.</v>
      </c>
      <c r="J44" s="11" t="str">
        <f>IFERROR(__xludf.DUMMYFUNCTION("GOOGLETRANSLATE(D44, ""en"", ""am"")"),"አካባቢውን እንዲያጸዳ ዳኛ ይጠይቁ።")</f>
        <v>አካባቢውን እንዲያጸዳ ዳኛ ይጠይቁ።</v>
      </c>
      <c r="K44" s="11" t="str">
        <f>IFERROR(__xludf.DUMMYFUNCTION("GOOGLETRANSLATE(E44, ""en"", ""am"")"),"ተጫዋቾች ከመወርወሩ በፊት የመጫወቻ ቦታው ግልጽ መሆኑን እንዲያረጋግጡ ዳኛውን ሊጠይቁ ይችላሉ።")</f>
        <v>ተጫዋቾች ከመወርወሩ በፊት የመጫወቻ ቦታው ግልጽ መሆኑን እንዲያረጋግጡ ዳኛውን ሊጠይቁ ይችላሉ።</v>
      </c>
    </row>
    <row r="45" ht="22.5" customHeight="1">
      <c r="A45" s="10">
        <v>44.0</v>
      </c>
      <c r="B45" s="11" t="s">
        <v>2351</v>
      </c>
      <c r="C45" s="11" t="s">
        <v>2352</v>
      </c>
      <c r="D45" s="11" t="s">
        <v>2353</v>
      </c>
      <c r="E45" s="11" t="s">
        <v>2354</v>
      </c>
      <c r="G45" s="11" t="str">
        <f>IFERROR(__xludf.DUMMYFUNCTION("GOOGLETRANSLATE(A45, ""en"", ""am"")"),"44")</f>
        <v>44</v>
      </c>
      <c r="H45" s="11" t="str">
        <f>IFERROR(__xludf.DUMMYFUNCTION("GOOGLETRANSLATE(B45, ""en"", ""am"")"),"ኳስህ የመሀል ኢላማውን በመምታት ከወሰን ውጪ ወጣች። ስንት ነጥብ አስመዝግበሃል?")</f>
        <v>ኳስህ የመሀል ኢላማውን በመምታት ከወሰን ውጪ ወጣች። ስንት ነጥብ አስመዝግበሃል?</v>
      </c>
      <c r="I45" s="11" t="str">
        <f>IFERROR(__xludf.DUMMYFUNCTION("GOOGLETRANSLATE(C45, ""en"", ""am"")"),"ሀ. ሙሉ ነጥቦች ለ. ምንም ነጥብ የለም.ሲ. ከፊል ነጥቦች ዲ. ሌላ ዙር ታገኛላችሁ።")</f>
        <v>ሀ. ሙሉ ነጥቦች ለ. ምንም ነጥብ የለም.ሲ. ከፊል ነጥቦች ዲ. ሌላ ዙር ታገኛላችሁ።</v>
      </c>
      <c r="J45" s="11" t="str">
        <f>IFERROR(__xludf.DUMMYFUNCTION("GOOGLETRANSLATE(D45, ""en"", ""am"")"),"ምንም ነጥብ የለም.")</f>
        <v>ምንም ነጥብ የለም.</v>
      </c>
      <c r="K45" s="11" t="str">
        <f>IFERROR(__xludf.DUMMYFUNCTION("GOOGLETRANSLATE(E45, ""en"", ""am"")"),"አንድ ኳስ እንደ ነጥብ ለመቁጠር በውጤት ቦታው ውስጥ መቆየት አለበት።")</f>
        <v>አንድ ኳስ እንደ ነጥብ ለመቁጠር በውጤት ቦታው ውስጥ መቆየት አለበት።</v>
      </c>
    </row>
    <row r="46" ht="22.5" customHeight="1">
      <c r="A46" s="10">
        <v>45.0</v>
      </c>
      <c r="B46" s="11" t="s">
        <v>2355</v>
      </c>
      <c r="C46" s="11" t="s">
        <v>2356</v>
      </c>
      <c r="D46" s="11" t="s">
        <v>2357</v>
      </c>
      <c r="E46" s="11" t="s">
        <v>2358</v>
      </c>
      <c r="G46" s="11" t="str">
        <f>IFERROR(__xludf.DUMMYFUNCTION("GOOGLETRANSLATE(A46, ""en"", ""am"")"),"45")</f>
        <v>45</v>
      </c>
      <c r="H46" s="11" t="str">
        <f>IFERROR(__xludf.DUMMYFUNCTION("GOOGLETRANSLATE(B46, ""en"", ""am"")"),"የሁለት ተጫዋቾች ኳሶች በአንድ ዙር መጨረሻ ላይ ከመሃል እኩል ርቀት ላይ ይገኛሉ። ቀጥሎ ምን ይሆናል?")</f>
        <v>የሁለት ተጫዋቾች ኳሶች በአንድ ዙር መጨረሻ ላይ ከመሃል እኩል ርቀት ላይ ይገኛሉ። ቀጥሎ ምን ይሆናል?</v>
      </c>
      <c r="I46" s="11" t="str">
        <f>IFERROR(__xludf.DUMMYFUNCTION("GOOGLETRANSLATE(C46, ""en"", ""am"")"),"ሀ. ሁለቱም ተጫዋቾች ሙሉ ነጥብ ተሰጥቷቸዋል.ቢ. ዙሩ እኩልነት ታውጇል። መወርወር ይካሄዳል ዲ. ነጥቦች በእኩል ይከፋፈላሉ.")</f>
        <v>ሀ. ሁለቱም ተጫዋቾች ሙሉ ነጥብ ተሰጥቷቸዋል.ቢ. ዙሩ እኩልነት ታውጇል። መወርወር ይካሄዳል ዲ. ነጥቦች በእኩል ይከፋፈላሉ.</v>
      </c>
      <c r="J46" s="11" t="str">
        <f>IFERROR(__xludf.DUMMYFUNCTION("GOOGLETRANSLATE(D46, ""en"", ""am"")"),"መወርወር ይካሄዳል።")</f>
        <v>መወርወር ይካሄዳል።</v>
      </c>
      <c r="K46" s="11" t="str">
        <f>IFERROR(__xludf.DUMMYFUNCTION("GOOGLETRANSLATE(E46, ""en"", ""am"")"),"በእንደዚህ ዓይነት ሁኔታዎች ውስጥ አሸናፊውን ለመወሰን የቲኬት መሸጫዎች ጥቅም ላይ ይውላሉ.")</f>
        <v>በእንደዚህ ዓይነት ሁኔታዎች ውስጥ አሸናፊውን ለመወሰን የቲኬት መሸጫዎች ጥቅም ላይ ይውላሉ.</v>
      </c>
    </row>
    <row r="47" ht="22.5" customHeight="1">
      <c r="A47" s="10">
        <v>46.0</v>
      </c>
      <c r="B47" s="11" t="s">
        <v>2359</v>
      </c>
      <c r="C47" s="11" t="s">
        <v>2360</v>
      </c>
      <c r="D47" s="11" t="s">
        <v>2361</v>
      </c>
      <c r="E47" s="11" t="s">
        <v>2362</v>
      </c>
      <c r="G47" s="11" t="str">
        <f>IFERROR(__xludf.DUMMYFUNCTION("GOOGLETRANSLATE(A47, ""en"", ""am"")"),"46")</f>
        <v>46</v>
      </c>
      <c r="H47" s="11" t="str">
        <f>IFERROR(__xludf.DUMMYFUNCTION("GOOGLETRANSLATE(B47, ""en"", ""am"")"),"ኳሱን ከመወርወርዎ በፊት በድንገት ይጥሉታል። አንስተህ እንደገና መጣል ትችላለህ?")</f>
        <v>ኳሱን ከመወርወርዎ በፊት በድንገት ይጥሉታል። አንስተህ እንደገና መጣል ትችላለህ?</v>
      </c>
      <c r="I47" s="11" t="str">
        <f>IFERROR(__xludf.DUMMYFUNCTION("GOOGLETRANSLATE(C47, ""en"", ""am"")"),"ሀ.አዎ እስካልተጠቀለለ ድረስ.ቢ. አይ፣ መዞሩ አልቋል። አዎ፣ ግን በቅጣት ብቻ.ዲ. አይ፣ መወርወሩ ልክ እንዳልሆነ ይቆጠራል።")</f>
        <v>ሀ.አዎ እስካልተጠቀለለ ድረስ.ቢ. አይ፣ መዞሩ አልቋል። አዎ፣ ግን በቅጣት ብቻ.ዲ. አይ፣ መወርወሩ ልክ እንዳልሆነ ይቆጠራል።</v>
      </c>
      <c r="J47" s="11" t="str">
        <f>IFERROR(__xludf.DUMMYFUNCTION("GOOGLETRANSLATE(D47, ""en"", ""am"")"),"አዎ እስካልተጠቀለለ ድረስ።")</f>
        <v>አዎ እስካልተጠቀለለ ድረስ።</v>
      </c>
      <c r="K47" s="11" t="str">
        <f>IFERROR(__xludf.DUMMYFUNCTION("GOOGLETRANSLATE(E47, ""en"", ""am"")"),"የተወረወሩ ኳሶች ሜዳውን ካልተንከባለሉ ወይም ካልረበሹ እንደገና ሊጣሉ ይችላሉ።")</f>
        <v>የተወረወሩ ኳሶች ሜዳውን ካልተንከባለሉ ወይም ካልረበሹ እንደገና ሊጣሉ ይችላሉ።</v>
      </c>
    </row>
    <row r="48" ht="22.5" customHeight="1">
      <c r="A48" s="10">
        <v>47.0</v>
      </c>
      <c r="B48" s="11" t="s">
        <v>2363</v>
      </c>
      <c r="C48" s="11" t="s">
        <v>2364</v>
      </c>
      <c r="D48" s="11" t="s">
        <v>2365</v>
      </c>
      <c r="E48" s="11" t="s">
        <v>2366</v>
      </c>
      <c r="G48" s="11" t="str">
        <f>IFERROR(__xludf.DUMMYFUNCTION("GOOGLETRANSLATE(A48, ""en"", ""am"")"),"47")</f>
        <v>47</v>
      </c>
      <c r="H48" s="11" t="str">
        <f>IFERROR(__xludf.DUMMYFUNCTION("GOOGLETRANSLATE(B48, ""en"", ""am"")"),"የተቃዋሚዎ ኳስ በዒላማዎ ላይ ትክክለኛውን ምትዎን ይከለክላል። ምን ማድረግ አለቦት?")</f>
        <v>የተቃዋሚዎ ኳስ በዒላማዎ ላይ ትክክለኛውን ምትዎን ይከለክላል። ምን ማድረግ አለቦት?</v>
      </c>
      <c r="I48" s="11" t="str">
        <f>IFERROR(__xludf.DUMMYFUNCTION("GOOGLETRANSLATE(C48, ""en"", ""am"")"),"ሀ. ኳሳቸውን ለማስወጣት ተጨማሪ ሃይል ይጣሉ። የዒላማውን የተወሰነ ክፍል ዒላማ ያድርጉ.ሲ. ደንቦቹን በመጣስ ቅጣትን ይጠይቁ D. ተራህን ዝለል።")</f>
        <v>ሀ. ኳሳቸውን ለማስወጣት ተጨማሪ ሃይል ይጣሉ። የዒላማውን የተወሰነ ክፍል ዒላማ ያድርጉ.ሲ. ደንቦቹን በመጣስ ቅጣትን ይጠይቁ D. ተራህን ዝለል።</v>
      </c>
      <c r="J48" s="11" t="str">
        <f>IFERROR(__xludf.DUMMYFUNCTION("GOOGLETRANSLATE(D48, ""en"", ""am"")"),"የዒላማውን የተወሰነ ክፍል ዒላማ ያድርጉ.")</f>
        <v>የዒላማውን የተወሰነ ክፍል ዒላማ ያድርጉ.</v>
      </c>
      <c r="K48" s="11" t="str">
        <f>IFERROR(__xludf.DUMMYFUNCTION("GOOGLETRANSLATE(E48, ""en"", ""am"")"),"ተጨዋቾች የተጋጣሚን ኳስ ሲከለክሉ ስልታቸውን ማስተካከል አለባቸው።")</f>
        <v>ተጨዋቾች የተጋጣሚን ኳስ ሲከለክሉ ስልታቸውን ማስተካከል አለባቸው።</v>
      </c>
    </row>
    <row r="49" ht="22.5" customHeight="1">
      <c r="A49" s="10">
        <v>48.0</v>
      </c>
      <c r="B49" s="11" t="s">
        <v>2367</v>
      </c>
      <c r="C49" s="11" t="s">
        <v>2368</v>
      </c>
      <c r="D49" s="11" t="s">
        <v>2369</v>
      </c>
      <c r="E49" s="11" t="s">
        <v>2370</v>
      </c>
      <c r="G49" s="11" t="str">
        <f>IFERROR(__xludf.DUMMYFUNCTION("GOOGLETRANSLATE(A49, ""en"", ""am"")"),"48")</f>
        <v>48</v>
      </c>
      <c r="H49" s="11" t="str">
        <f>IFERROR(__xludf.DUMMYFUNCTION("GOOGLETRANSLATE(B49, ""en"", ""am"")"),"ኳሱ በውጤት ማስመዝገቢያ ዞን ውስጥ ካረፈ በኋላ ኃይለኛ የንፋስ ነበልባል ያጠፋዋል። ምን ይሆናል?")</f>
        <v>ኳሱ በውጤት ማስመዝገቢያ ዞን ውስጥ ካረፈ በኋላ ኃይለኛ የንፋስ ነበልባል ያጠፋዋል። ምን ይሆናል?</v>
      </c>
      <c r="I49" s="11" t="str">
        <f>IFERROR(__xludf.DUMMYFUNCTION("GOOGLETRANSLATE(C49, ""en"", ""am"")"),"ሀ. የኳሱ አቀማመጥ በእጅ ተስተካክሏል.ቢ. ውጤቱ በመጨረሻው ቦታ ላይ ተመስርቶ ይሰላል.ሲ. መጣል ዋጋ የለውም.ዲ. ዙሩ በድጋሚ ተካሂዷል።")</f>
        <v>ሀ. የኳሱ አቀማመጥ በእጅ ተስተካክሏል.ቢ. ውጤቱ በመጨረሻው ቦታ ላይ ተመስርቶ ይሰላል.ሲ. መጣል ዋጋ የለውም.ዲ. ዙሩ በድጋሚ ተካሂዷል።</v>
      </c>
      <c r="J49" s="11" t="str">
        <f>IFERROR(__xludf.DUMMYFUNCTION("GOOGLETRANSLATE(D49, ""en"", ""am"")"),"ውጤቱ በመጨረሻው ቦታ ላይ ተመስርቶ ይሰላል.")</f>
        <v>ውጤቱ በመጨረሻው ቦታ ላይ ተመስርቶ ይሰላል.</v>
      </c>
      <c r="K49" s="11" t="str">
        <f>IFERROR(__xludf.DUMMYFUNCTION("GOOGLETRANSLATE(E49, ""en"", ""am"")"),"እንደ ንፋስ ያሉ የአካባቢ ሁኔታዎች የጨዋታው አካል ናቸው, እና የመጨረሻው ቦታ ውጤቱን ይወስናል.")</f>
        <v>እንደ ንፋስ ያሉ የአካባቢ ሁኔታዎች የጨዋታው አካል ናቸው, እና የመጨረሻው ቦታ ውጤቱን ይወስናል.</v>
      </c>
    </row>
    <row r="50" ht="22.5" customHeight="1">
      <c r="A50" s="10">
        <v>49.0</v>
      </c>
      <c r="B50" s="11" t="s">
        <v>2371</v>
      </c>
      <c r="C50" s="11" t="s">
        <v>2372</v>
      </c>
      <c r="D50" s="11" t="s">
        <v>2373</v>
      </c>
      <c r="E50" s="11" t="s">
        <v>2374</v>
      </c>
      <c r="G50" s="11" t="str">
        <f>IFERROR(__xludf.DUMMYFUNCTION("GOOGLETRANSLATE(A50, ""en"", ""am"")"),"49")</f>
        <v>49</v>
      </c>
      <c r="H50" s="11" t="str">
        <f>IFERROR(__xludf.DUMMYFUNCTION("GOOGLETRANSLATE(B50, ""en"", ""am"")"),"አንድ ተጫዋች ለመወርወር ረዘም ያለ ጊዜ ሲወስድ አስተውለሃል። ምን ማድረግ አለቦት?")</f>
        <v>አንድ ተጫዋች ለመወርወር ረዘም ያለ ጊዜ ሲወስድ አስተውለሃል። ምን ማድረግ አለቦት?</v>
      </c>
      <c r="I50" s="11" t="str">
        <f>IFERROR(__xludf.DUMMYFUNCTION("GOOGLETRANSLATE(C50, ""en"", ""am"")"),"ሀ. ማስጠንቀቂያ ለመስጠት ዳኛውን ይደውሉ.B. ችላ ይበሉ እና በጨዋታዎ ላይ ያተኩሩ። ዙሩ እንደገና እንዲጀመር ይጠይቁ።ዲ. ተጫዋቹ እንዲፋጠን ይጠይቁ።")</f>
        <v>ሀ. ማስጠንቀቂያ ለመስጠት ዳኛውን ይደውሉ.B. ችላ ይበሉ እና በጨዋታዎ ላይ ያተኩሩ። ዙሩ እንደገና እንዲጀመር ይጠይቁ።ዲ. ተጫዋቹ እንዲፋጠን ይጠይቁ።</v>
      </c>
      <c r="J50" s="11" t="str">
        <f>IFERROR(__xludf.DUMMYFUNCTION("GOOGLETRANSLATE(D50, ""en"", ""am"")"),"ማስጠንቀቂያ ለመስጠት ዳኛውን ይደውሉ።")</f>
        <v>ማስጠንቀቂያ ለመስጠት ዳኛውን ይደውሉ።</v>
      </c>
      <c r="K50" s="11" t="str">
        <f>IFERROR(__xludf.DUMMYFUNCTION("GOOGLETRANSLATE(E50, ""en"", ""am"")"),"ዳኞች የጊዜ ገደቦችን ይቆጣጠራሉ, እና ከመጠን በላይ መዘግየቶች ማስጠንቀቂያዎችን ሊያስከትሉ ይችላሉ.")</f>
        <v>ዳኞች የጊዜ ገደቦችን ይቆጣጠራሉ, እና ከመጠን በላይ መዘግየቶች ማስጠንቀቂያዎችን ሊያስከትሉ ይችላሉ.</v>
      </c>
    </row>
    <row r="51" ht="22.5" customHeight="1">
      <c r="A51" s="10">
        <v>50.0</v>
      </c>
      <c r="B51" s="11" t="s">
        <v>2375</v>
      </c>
      <c r="C51" s="11" t="s">
        <v>2376</v>
      </c>
      <c r="D51" s="11" t="s">
        <v>2377</v>
      </c>
      <c r="E51" s="11" t="s">
        <v>2378</v>
      </c>
      <c r="G51" s="11" t="str">
        <f>IFERROR(__xludf.DUMMYFUNCTION("GOOGLETRANSLATE(A51, ""en"", ""am"")"),"50")</f>
        <v>50</v>
      </c>
      <c r="H51" s="11" t="str">
        <f>IFERROR(__xludf.DUMMYFUNCTION("GOOGLETRANSLATE(B51, ""en"", ""am"")"),"ኳሱ በእንቅስቃሴ ላይ እያለ አንድ ተመልካች በድንገት ወደ መጨረሻው ዞን ይገባል. ምን ይሆናል?")</f>
        <v>ኳሱ በእንቅስቃሴ ላይ እያለ አንድ ተመልካች በድንገት ወደ መጨረሻው ዞን ይገባል. ምን ይሆናል?</v>
      </c>
      <c r="I51" s="11" t="str">
        <f>IFERROR(__xludf.DUMMYFUNCTION("GOOGLETRANSLATE(C51, ""en"", ""am"")"),"ሀ. ዙሩ በድጋሚ ተጫውቷል.ቢ. ተመልካቹ እንዲሄድ ይጠየቃል.ሲ. መጣል ዋጋ የለውም.ዲ. የኳሱ አቀማመጥ በእጅ ተስተካክሏል.")</f>
        <v>ሀ. ዙሩ በድጋሚ ተጫውቷል.ቢ. ተመልካቹ እንዲሄድ ይጠየቃል.ሲ. መጣል ዋጋ የለውም.ዲ. የኳሱ አቀማመጥ በእጅ ተስተካክሏል.</v>
      </c>
      <c r="J51" s="11" t="str">
        <f>IFERROR(__xludf.DUMMYFUNCTION("GOOGLETRANSLATE(D51, ""en"", ""am"")"),"ዙሩ በድጋሚ ተካሂዷል።")</f>
        <v>ዙሩ በድጋሚ ተካሂዷል።</v>
      </c>
      <c r="K51" s="11" t="str">
        <f>IFERROR(__xludf.DUMMYFUNCTION("GOOGLETRANSLATE(E51, ""en"", ""am"")"),"የውጭ ጣልቃገብነት ብዙውን ጊዜ ዙሩን እንደገና ማጫወት ያስከትላል.")</f>
        <v>የውጭ ጣልቃገብነት ብዙውን ጊዜ ዙሩን እንደገና ማጫወት ያስከትላል.</v>
      </c>
    </row>
    <row r="52" ht="22.5" customHeight="1">
      <c r="A52" s="10">
        <v>51.0</v>
      </c>
      <c r="B52" s="11" t="s">
        <v>2379</v>
      </c>
      <c r="C52" s="11" t="s">
        <v>2380</v>
      </c>
      <c r="D52" s="11" t="s">
        <v>2381</v>
      </c>
      <c r="E52" s="11" t="s">
        <v>2382</v>
      </c>
      <c r="G52" s="11" t="str">
        <f>IFERROR(__xludf.DUMMYFUNCTION("GOOGLETRANSLATE(A52, ""en"", ""am"")"),"51")</f>
        <v>51</v>
      </c>
      <c r="H52" s="11" t="str">
        <f>IFERROR(__xludf.DUMMYFUNCTION("GOOGLETRANSLATE(B52, ""en"", ""am"")"),"በማወዛወዝዎ ወቅት ኳስዎ በነጥብ ማስቆጠር ዞን ውስጥ በሌላ ኳስ ላይ በቀጥታ ያርፋል። ምን ይሆናል?")</f>
        <v>በማወዛወዝዎ ወቅት ኳስዎ በነጥብ ማስቆጠር ዞን ውስጥ በሌላ ኳስ ላይ በቀጥታ ያርፋል። ምን ይሆናል?</v>
      </c>
      <c r="I52" s="11" t="str">
        <f>IFERROR(__xludf.DUMMYFUNCTION("GOOGLETRANSLATE(C52, ""en"", ""am"")"),"ሀ. ተጨማሪ ነጥብ አስመዝግበዋል.ቢ. ለሁለቱም ኳሶች ነጥቦች ተከልክለዋል.ሲ. ኳስዎ ከመጨረሻው ዞን ተወግዷል.ዲ. ሁለቱም ኳሶች እንደ ግብ ይቆጠራሉ።")</f>
        <v>ሀ. ተጨማሪ ነጥብ አስመዝግበዋል.ቢ. ለሁለቱም ኳሶች ነጥቦች ተከልክለዋል.ሲ. ኳስዎ ከመጨረሻው ዞን ተወግዷል.ዲ. ሁለቱም ኳሶች እንደ ግብ ይቆጠራሉ።</v>
      </c>
      <c r="J52" s="11" t="str">
        <f>IFERROR(__xludf.DUMMYFUNCTION("GOOGLETRANSLATE(D52, ""en"", ""am"")"),"ሁለቱም ኳሶች እንደ ግብ ይቆጠራሉ።")</f>
        <v>ሁለቱም ኳሶች እንደ ግብ ይቆጠራሉ።</v>
      </c>
      <c r="K52" s="11" t="str">
        <f>IFERROR(__xludf.DUMMYFUNCTION("GOOGLETRANSLATE(E52, ""en"", ""am"")"),"በግብ ክልል ውስጥ የተቀመጡ ኳሶች ትክክለኛ ናቸው እና ሁለቱም ለውጤቱ አስተዋፅኦ ያደርጋሉ።")</f>
        <v>በግብ ክልል ውስጥ የተቀመጡ ኳሶች ትክክለኛ ናቸው እና ሁለቱም ለውጤቱ አስተዋፅኦ ያደርጋሉ።</v>
      </c>
    </row>
    <row r="53" ht="22.5" customHeight="1">
      <c r="A53" s="10">
        <v>52.0</v>
      </c>
      <c r="B53" s="11" t="s">
        <v>2383</v>
      </c>
      <c r="C53" s="11" t="s">
        <v>2384</v>
      </c>
      <c r="D53" s="11" t="s">
        <v>2345</v>
      </c>
      <c r="E53" s="11" t="s">
        <v>2385</v>
      </c>
      <c r="G53" s="11" t="str">
        <f>IFERROR(__xludf.DUMMYFUNCTION("GOOGLETRANSLATE(A53, ""en"", ""am"")"),"52")</f>
        <v>52</v>
      </c>
      <c r="H53" s="11" t="str">
        <f>IFERROR(__xludf.DUMMYFUNCTION("GOOGLETRANSLATE(B53, ""en"", ""am"")"),"አንድ ተጫዋች በአጋጣሚ ኳሱን በጣም አጠር አድርጎ ይጥላል እና ወደ ግብ ክልል አይደርስም። ምን ይሆናል?")</f>
        <v>አንድ ተጫዋች በአጋጣሚ ኳሱን በጣም አጠር አድርጎ ይጥላል እና ወደ ግብ ክልል አይደርስም። ምን ይሆናል?</v>
      </c>
      <c r="I53" s="11" t="str">
        <f>IFERROR(__xludf.DUMMYFUNCTION("GOOGLETRANSLATE(C53, ""en"", ""am"")"),"ሀ. መወርወሩ ልክ ያልሆነ ነው.ቢ. ተጫዋቹ ነጥብ ያጣል.ሲ. ተጫዋቹ ሌላ ዙር ያገኛል.ዲ. ኳሱ ወደ መጨረሻው ዞን ቅርብ ነው.")</f>
        <v>ሀ. መወርወሩ ልክ ያልሆነ ነው.ቢ. ተጫዋቹ ነጥብ ያጣል.ሲ. ተጫዋቹ ሌላ ዙር ያገኛል.ዲ. ኳሱ ወደ መጨረሻው ዞን ቅርብ ነው.</v>
      </c>
      <c r="J53" s="11" t="str">
        <f>IFERROR(__xludf.DUMMYFUNCTION("GOOGLETRANSLATE(D53, ""en"", ""am"")"),"መወርወሩ ልክ ያልሆነ ነው።")</f>
        <v>መወርወሩ ልክ ያልሆነ ነው።</v>
      </c>
      <c r="K53" s="11" t="str">
        <f>IFERROR(__xludf.DUMMYFUNCTION("GOOGLETRANSLATE(E53, ""en"", ""am"")"),"የውጤት ማስመዝገቢያ ዞን ያልደረሱ ኳሶች ልክ እንዳልሆኑ ይቆጠራሉ።")</f>
        <v>የውጤት ማስመዝገቢያ ዞን ያልደረሱ ኳሶች ልክ እንዳልሆኑ ይቆጠራሉ።</v>
      </c>
    </row>
    <row r="54" ht="22.5" customHeight="1">
      <c r="A54" s="10">
        <v>53.0</v>
      </c>
      <c r="B54" s="11" t="s">
        <v>2386</v>
      </c>
      <c r="C54" s="11" t="s">
        <v>2387</v>
      </c>
      <c r="D54" s="11" t="s">
        <v>2388</v>
      </c>
      <c r="E54" s="11" t="s">
        <v>2389</v>
      </c>
      <c r="G54" s="11" t="str">
        <f>IFERROR(__xludf.DUMMYFUNCTION("GOOGLETRANSLATE(A54, ""en"", ""am"")"),"53")</f>
        <v>53</v>
      </c>
      <c r="H54" s="11" t="str">
        <f>IFERROR(__xludf.DUMMYFUNCTION("GOOGLETRANSLATE(B54, ""en"", ""am"")"),"በነጥብ እየመራህ ነው፣ እና ተቃዋሚህ የኳስ ቦታህን እንዲፈትሽ ጠይቋል። ምን ማድረግ አለቦት?")</f>
        <v>በነጥብ እየመራህ ነው፣ እና ተቃዋሚህ የኳስ ቦታህን እንዲፈትሽ ጠይቋል። ምን ማድረግ አለቦት?</v>
      </c>
      <c r="I54" s="11" t="str">
        <f>IFERROR(__xludf.DUMMYFUNCTION("GOOGLETRANSLATE(C54, ""en"", ""am"")"),"ሀ. እምቢ እና መጫወት ይቀጥሉ.B. ቦታውን ለማረጋገጥ ዳኛውን ይደውሉ። ቅኝቱን ፍቀድ.D. ጥያቄውን ችላ በል.")</f>
        <v>ሀ. እምቢ እና መጫወት ይቀጥሉ.B. ቦታውን ለማረጋገጥ ዳኛውን ይደውሉ። ቅኝቱን ፍቀድ.D. ጥያቄውን ችላ በል.</v>
      </c>
      <c r="J54" s="11" t="str">
        <f>IFERROR(__xludf.DUMMYFUNCTION("GOOGLETRANSLATE(D54, ""en"", ""am"")"),"ቦታውን ለማረጋገጥ ዳኛውን ይደውሉ።")</f>
        <v>ቦታውን ለማረጋገጥ ዳኛውን ይደውሉ።</v>
      </c>
      <c r="K54" s="11" t="str">
        <f>IFERROR(__xludf.DUMMYFUNCTION("GOOGLETRANSLATE(E54, ""en"", ""am"")"),"ዳኛው የኳሱን ቦታ በመፈተሽ ፍትሃዊ ጨዋታን ያረጋግጣል።")</f>
        <v>ዳኛው የኳሱን ቦታ በመፈተሽ ፍትሃዊ ጨዋታን ያረጋግጣል።</v>
      </c>
    </row>
    <row r="55" ht="22.5" customHeight="1">
      <c r="A55" s="10">
        <v>54.0</v>
      </c>
      <c r="B55" s="11" t="s">
        <v>2390</v>
      </c>
      <c r="C55" s="11" t="s">
        <v>2391</v>
      </c>
      <c r="D55" s="11" t="s">
        <v>2392</v>
      </c>
      <c r="E55" s="11" t="s">
        <v>2393</v>
      </c>
      <c r="G55" s="11" t="str">
        <f>IFERROR(__xludf.DUMMYFUNCTION("GOOGLETRANSLATE(A55, ""en"", ""am"")"),"54")</f>
        <v>54</v>
      </c>
      <c r="H55" s="11" t="str">
        <f>IFERROR(__xludf.DUMMYFUNCTION("GOOGLETRANSLATE(B55, ""en"", ""am"")"),"ኳስዎ የመጨረሻውን ዞን የድንበር መስመር ይነካል. ልክ እንደሆነ ይቆጠራል?")</f>
        <v>ኳስዎ የመጨረሻውን ዞን የድንበር መስመር ይነካል. ልክ እንደሆነ ይቆጠራል?</v>
      </c>
      <c r="I55" s="11" t="str">
        <f>IFERROR(__xludf.DUMMYFUNCTION("GOOGLETRANSLATE(C55, ""en"", ""am"")"),"A. አዎ፣ መስመሩን እስካልተሻገረ ድረስ.B. የለም፣ ሙሉ በሙሉ ከውስጥ መሆን አለበት። እንደ ዳኛው ውሳኔ ይወሰናል.ዲ. አዎ, ግን ለግማሽ ነጥብ ብቻ.")</f>
        <v>A. አዎ፣ መስመሩን እስካልተሻገረ ድረስ.B. የለም፣ ሙሉ በሙሉ ከውስጥ መሆን አለበት። እንደ ዳኛው ውሳኔ ይወሰናል.ዲ. አዎ, ግን ለግማሽ ነጥብ ብቻ.</v>
      </c>
      <c r="J55" s="11" t="str">
        <f>IFERROR(__xludf.DUMMYFUNCTION("GOOGLETRANSLATE(D55, ""en"", ""am"")"),"አዎ፣ መስመሩን እስካልተሻገረ ድረስ።")</f>
        <v>አዎ፣ መስመሩን እስካልተሻገረ ድረስ።</v>
      </c>
      <c r="K55" s="11" t="str">
        <f>IFERROR(__xludf.DUMMYFUNCTION("GOOGLETRANSLATE(E55, ""en"", ""am"")"),"የጎል መስመርን የነካ ኳስ አሁንም ልክ እንደሆነ ይቆጠራል።")</f>
        <v>የጎል መስመርን የነካ ኳስ አሁንም ልክ እንደሆነ ይቆጠራል።</v>
      </c>
    </row>
    <row r="56" ht="22.5" customHeight="1">
      <c r="A56" s="10">
        <v>55.0</v>
      </c>
      <c r="B56" s="11" t="s">
        <v>2394</v>
      </c>
      <c r="C56" s="11" t="s">
        <v>2395</v>
      </c>
      <c r="D56" s="11" t="s">
        <v>2396</v>
      </c>
      <c r="E56" s="11" t="s">
        <v>2397</v>
      </c>
      <c r="G56" s="11" t="str">
        <f>IFERROR(__xludf.DUMMYFUNCTION("GOOGLETRANSLATE(A56, ""en"", ""am"")"),"55")</f>
        <v>55</v>
      </c>
      <c r="H56" s="11" t="str">
        <f>IFERROR(__xludf.DUMMYFUNCTION("GOOGLETRANSLATE(B56, ""en"", ""am"")"),"የቡድን ጓደኛዎ በድንገት ኳሱን ከተራው አውጥቶ ይጥላል። ምን ይሆናል?")</f>
        <v>የቡድን ጓደኛዎ በድንገት ኳሱን ከተራው አውጥቶ ይጥላል። ምን ይሆናል?</v>
      </c>
      <c r="I56" s="11" t="str">
        <f>IFERROR(__xludf.DUMMYFUNCTION("GOOGLETRANSLATE(C56, ""en"", ""am"")"),"ሀ. መጣል ዋጋ የለውም.ቢ. ተቃራኒው ቡድን ነጥብ ያገኛል.ሲ. ዙሩ እንደገና ይጀምራል.ዲ. ውርወራው ይቆጠራል፣ ግን ከቅጣት ጋር።")</f>
        <v>ሀ. መጣል ዋጋ የለውም.ቢ. ተቃራኒው ቡድን ነጥብ ያገኛል.ሲ. ዙሩ እንደገና ይጀምራል.ዲ. ውርወራው ይቆጠራል፣ ግን ከቅጣት ጋር።</v>
      </c>
      <c r="J56" s="11" t="str">
        <f>IFERROR(__xludf.DUMMYFUNCTION("GOOGLETRANSLATE(D56, ""en"", ""am"")"),"መጣል ዋጋ የለውም።")</f>
        <v>መጣል ዋጋ የለውም።</v>
      </c>
      <c r="K56" s="11" t="str">
        <f>IFERROR(__xludf.DUMMYFUNCTION("GOOGLETRANSLATE(E56, ""en"", ""am"")"),"በተራው የተጣሉት ልክ እንደሌሉ ይቆጠራሉ እና አይቆጠሩም.")</f>
        <v>በተራው የተጣሉት ልክ እንደሌሉ ይቆጠራሉ እና አይቆጠሩም.</v>
      </c>
    </row>
    <row r="57" ht="22.5" customHeight="1">
      <c r="A57" s="10">
        <v>56.0</v>
      </c>
      <c r="B57" s="11" t="s">
        <v>2398</v>
      </c>
      <c r="C57" s="11" t="s">
        <v>2399</v>
      </c>
      <c r="D57" s="11" t="s">
        <v>2400</v>
      </c>
      <c r="E57" s="11" t="s">
        <v>2401</v>
      </c>
      <c r="G57" s="11" t="str">
        <f>IFERROR(__xludf.DUMMYFUNCTION("GOOGLETRANSLATE(A57, ""en"", ""am"")"),"56")</f>
        <v>56</v>
      </c>
      <c r="H57" s="11" t="str">
        <f>IFERROR(__xludf.DUMMYFUNCTION("GOOGLETRANSLATE(B57, ""en"", ""am"")"),"ዒላማው ከጠንካራ ውርወራ በኋላ በትንሹ ይንቀሳቀሳል። ይህ ውጤቱን እንዴት ይነካል?")</f>
        <v>ዒላማው ከጠንካራ ውርወራ በኋላ በትንሹ ይንቀሳቀሳል። ይህ ውጤቱን እንዴት ይነካል?</v>
      </c>
      <c r="I57" s="11" t="str">
        <f>IFERROR(__xludf.DUMMYFUNCTION("GOOGLETRANSLATE(C57, ""en"", ""am"")"),"ሀ. ዙሩ የተሳሳተ ነው.ቢ. ውጤቱ በአዲሱ የዒላማ ቦታ ላይ በመመስረት ይቀጥላል.ሲ. ዒላማው እንደገና ተጀምሯል.ዲ. ተጫዋቹ ተቀጥቷል።")</f>
        <v>ሀ. ዙሩ የተሳሳተ ነው.ቢ. ውጤቱ በአዲሱ የዒላማ ቦታ ላይ በመመስረት ይቀጥላል.ሲ. ዒላማው እንደገና ተጀምሯል.ዲ. ተጫዋቹ ተቀጥቷል።</v>
      </c>
      <c r="J57" s="11" t="str">
        <f>IFERROR(__xludf.DUMMYFUNCTION("GOOGLETRANSLATE(D57, ""en"", ""am"")"),"በአዲሱ የዒላማ ቦታ ላይ በመመስረት ነጥብ ማስመዝገብ ይቀጥላል።")</f>
        <v>በአዲሱ የዒላማ ቦታ ላይ በመመስረት ነጥብ ማስመዝገብ ይቀጥላል።</v>
      </c>
      <c r="K57" s="11" t="str">
        <f>IFERROR(__xludf.DUMMYFUNCTION("GOOGLETRANSLATE(E57, ""en"", ""am"")"),"አንዴ ዒላማው ከተንቀሳቀሰ በኋላ አዲሱ ቦታው ለጎል ማስቆጠር የሚሰራ ይሆናል።")</f>
        <v>አንዴ ዒላማው ከተንቀሳቀሰ በኋላ አዲሱ ቦታው ለጎል ማስቆጠር የሚሰራ ይሆናል።</v>
      </c>
    </row>
    <row r="58" ht="22.5" customHeight="1">
      <c r="A58" s="10">
        <v>57.0</v>
      </c>
      <c r="B58" s="11" t="s">
        <v>2402</v>
      </c>
      <c r="C58" s="11" t="s">
        <v>2403</v>
      </c>
      <c r="D58" s="11" t="s">
        <v>2404</v>
      </c>
      <c r="E58" s="11" t="s">
        <v>2405</v>
      </c>
      <c r="G58" s="11" t="str">
        <f>IFERROR(__xludf.DUMMYFUNCTION("GOOGLETRANSLATE(A58, ""en"", ""am"")"),"57")</f>
        <v>57</v>
      </c>
      <c r="H58" s="11" t="str">
        <f>IFERROR(__xludf.DUMMYFUNCTION("GOOGLETRANSLATE(B58, ""en"", ""am"")"),"ኳሱ ወደ ዒላማው ቅርብ ነው, ነገር ግን ከሌላ ኳስ ጋር ከተጋጨ በኋላ ይንከባለል. ምን ይሆናል?")</f>
        <v>ኳሱ ወደ ዒላማው ቅርብ ነው, ነገር ግን ከሌላ ኳስ ጋር ከተጋጨ በኋላ ይንከባለል. ምን ይሆናል?</v>
      </c>
      <c r="I58" s="11" t="str">
        <f>IFERROR(__xludf.DUMMYFUNCTION("GOOGLETRANSLATE(C58, ""en"", ""am"")"),"ሀ. ነጥቦች በመጨረሻው ቦታ ላይ የተመሰረቱ ናቸው.B. ነጥቦች የሚሸለሙት ጊዜያቸው ከማለፉ በፊት ነው። ዙሩ በድጋሚ ተጫውቷል.ዲ. ምንም ነጥብ አልተሰጠም።")</f>
        <v>ሀ. ነጥቦች በመጨረሻው ቦታ ላይ የተመሰረቱ ናቸው.B. ነጥቦች የሚሸለሙት ጊዜያቸው ከማለፉ በፊት ነው። ዙሩ በድጋሚ ተጫውቷል.ዲ. ምንም ነጥብ አልተሰጠም።</v>
      </c>
      <c r="J58" s="11" t="str">
        <f>IFERROR(__xludf.DUMMYFUNCTION("GOOGLETRANSLATE(D58, ""en"", ""am"")"),"ነጥቦች በመጨረሻው ቦታ ላይ የተመሰረቱ ናቸው.")</f>
        <v>ነጥቦች በመጨረሻው ቦታ ላይ የተመሰረቱ ናቸው.</v>
      </c>
      <c r="K58" s="11" t="str">
        <f>IFERROR(__xludf.DUMMYFUNCTION("GOOGLETRANSLATE(E58, ""en"", ""am"")"),"የኳሱ የመጨረሻ ማረፊያ ቦታ ውጤቱን ይወስናል.")</f>
        <v>የኳሱ የመጨረሻ ማረፊያ ቦታ ውጤቱን ይወስናል.</v>
      </c>
    </row>
    <row r="59" ht="22.5" customHeight="1">
      <c r="A59" s="10">
        <v>58.0</v>
      </c>
      <c r="B59" s="11" t="s">
        <v>2406</v>
      </c>
      <c r="C59" s="11" t="s">
        <v>2407</v>
      </c>
      <c r="D59" s="11" t="s">
        <v>2408</v>
      </c>
      <c r="E59" s="11" t="s">
        <v>2409</v>
      </c>
      <c r="G59" s="11" t="str">
        <f>IFERROR(__xludf.DUMMYFUNCTION("GOOGLETRANSLATE(A59, ""en"", ""am"")"),"58")</f>
        <v>58</v>
      </c>
      <c r="H59" s="11" t="str">
        <f>IFERROR(__xludf.DUMMYFUNCTION("GOOGLETRANSLATE(B59, ""en"", ""am"")"),"በምትወረውርበት ጊዜ ተቃዋሚ ሆን ብሎ ያዘናጋሃል። ምን ማድረግ አለቦት?")</f>
        <v>በምትወረውርበት ጊዜ ተቃዋሚ ሆን ብሎ ያዘናጋሃል። ምን ማድረግ አለቦት?</v>
      </c>
      <c r="I59" s="11" t="str">
        <f>IFERROR(__xludf.DUMMYFUNCTION("GOOGLETRANSLATE(C59, ""en"", ""am"")"),"ሀ. ችላ በል እና በመጣልዎ ላይ ያተኩሩ.B. ዳኛውን ለቅጣት ጠይቁ.ሲ. ኳሱን እንደገና ይጣሉት.ዲ. ተቃዋሚውን ይጋፈጡ።")</f>
        <v>ሀ. ችላ በል እና በመጣልዎ ላይ ያተኩሩ.B. ዳኛውን ለቅጣት ጠይቁ.ሲ. ኳሱን እንደገና ይጣሉት.ዲ. ተቃዋሚውን ይጋፈጡ።</v>
      </c>
      <c r="J59" s="11" t="str">
        <f>IFERROR(__xludf.DUMMYFUNCTION("GOOGLETRANSLATE(D59, ""en"", ""am"")"),"ዳኛውን ለቅጣት ይጠይቁ.")</f>
        <v>ዳኛውን ለቅጣት ይጠይቁ.</v>
      </c>
      <c r="K59" s="11" t="str">
        <f>IFERROR(__xludf.DUMMYFUNCTION("GOOGLETRANSLATE(E59, ""en"", ""am"")"),"ስፖርታዊ ጨዋነት የጎደለው ድርጊት በዳኛው ውሳኔ ቅጣት ያስከትላል።")</f>
        <v>ስፖርታዊ ጨዋነት የጎደለው ድርጊት በዳኛው ውሳኔ ቅጣት ያስከትላል።</v>
      </c>
    </row>
    <row r="60" ht="22.5" customHeight="1">
      <c r="A60" s="10">
        <v>59.0</v>
      </c>
      <c r="B60" s="11" t="s">
        <v>2410</v>
      </c>
      <c r="C60" s="11" t="s">
        <v>2411</v>
      </c>
      <c r="D60" s="11" t="s">
        <v>2412</v>
      </c>
      <c r="E60" s="11" t="s">
        <v>2413</v>
      </c>
      <c r="G60" s="11" t="str">
        <f>IFERROR(__xludf.DUMMYFUNCTION("GOOGLETRANSLATE(A60, ""en"", ""am"")"),"59")</f>
        <v>59</v>
      </c>
      <c r="H60" s="11" t="str">
        <f>IFERROR(__xludf.DUMMYFUNCTION("GOOGLETRANSLATE(B60, ""en"", ""am"")"),"ኳሱን ስትለቁ ታዳሚው ጮክ ብሎ ይጮኻል። ምን ይሆናል?")</f>
        <v>ኳሱን ስትለቁ ታዳሚው ጮክ ብሎ ይጮኻል። ምን ይሆናል?</v>
      </c>
      <c r="I60" s="11" t="str">
        <f>IFERROR(__xludf.DUMMYFUNCTION("GOOGLETRANSLATE(C60, ""en"", ""am"")"),"ሀ. ውርወራው እንዳለ ይቆያል.B. ሌላ መወርወር ያገኛሉ.C. ክበቡ ቆሟል.ዲ. ዳኛው ተመልካቹን ይቀጣል.")</f>
        <v>ሀ. ውርወራው እንዳለ ይቆያል.B. ሌላ መወርወር ያገኛሉ.C. ክበቡ ቆሟል.ዲ. ዳኛው ተመልካቹን ይቀጣል.</v>
      </c>
      <c r="J60" s="11" t="str">
        <f>IFERROR(__xludf.DUMMYFUNCTION("GOOGLETRANSLATE(D60, ""en"", ""am"")"),"መወርወሩ እንዳለ ይቆያል።")</f>
        <v>መወርወሩ እንዳለ ይቆያል።</v>
      </c>
      <c r="K60" s="11" t="str">
        <f>IFERROR(__xludf.DUMMYFUNCTION("GOOGLETRANSLATE(E60, ""en"", ""am"")"),"የተመልካቾች ባህሪ የመወርወሩን ትክክለኛነት አይጎዳውም.")</f>
        <v>የተመልካቾች ባህሪ የመወርወሩን ትክክለኛነት አይጎዳውም.</v>
      </c>
    </row>
    <row r="61" ht="22.5" customHeight="1">
      <c r="A61" s="10">
        <v>60.0</v>
      </c>
      <c r="B61" s="11" t="s">
        <v>2414</v>
      </c>
      <c r="C61" s="11" t="s">
        <v>2415</v>
      </c>
      <c r="D61" s="11" t="s">
        <v>2416</v>
      </c>
      <c r="E61" s="11" t="s">
        <v>2417</v>
      </c>
      <c r="G61" s="11" t="str">
        <f>IFERROR(__xludf.DUMMYFUNCTION("GOOGLETRANSLATE(A61, ""en"", ""am"")"),"60")</f>
        <v>60</v>
      </c>
      <c r="H61" s="11" t="str">
        <f>IFERROR(__xludf.DUMMYFUNCTION("GOOGLETRANSLATE(B61, ""en"", ""am"")"),"ኳስዎ ዒላማውን ይመታል እና ወደ መጨረሻው ዞን ይንከባለል። ምን ይሆናል?")</f>
        <v>ኳስዎ ዒላማውን ይመታል እና ወደ መጨረሻው ዞን ይንከባለል። ምን ይሆናል?</v>
      </c>
      <c r="I61" s="11" t="str">
        <f>IFERROR(__xludf.DUMMYFUNCTION("GOOGLETRANSLATE(C61, ""en"", ""am"")"),"ሀ. ሁለት ነጥብ አስመዝግበሃል.B. የዒላማው ቦታ እንደገና ተቀምጧል.ሲ. ነጥቦች የተመዘገቡት በዒላማው አዲስ ቦታ ላይ በመመስረት ነው.ዲ. መጣል ዋጋ የለውም።")</f>
        <v>ሀ. ሁለት ነጥብ አስመዝግበሃል.B. የዒላማው ቦታ እንደገና ተቀምጧል.ሲ. ነጥቦች የተመዘገቡት በዒላማው አዲስ ቦታ ላይ በመመስረት ነው.ዲ. መጣል ዋጋ የለውም።</v>
      </c>
      <c r="J61" s="11" t="str">
        <f>IFERROR(__xludf.DUMMYFUNCTION("GOOGLETRANSLATE(D61, ""en"", ""am"")"),"ነጥቦች የተመዘገቡት በታለመው አዲስ ቦታ ላይ በመመስረት ነው።")</f>
        <v>ነጥቦች የተመዘገቡት በታለመው አዲስ ቦታ ላይ በመመስረት ነው።</v>
      </c>
      <c r="K61" s="11" t="str">
        <f>IFERROR(__xludf.DUMMYFUNCTION("GOOGLETRANSLATE(E61, ""en"", ""am"")"),"የዒላማው አዲሱ ቦታ ቀጣይ ውርወራዎችን ለማስቆጠር ይጠቅማል።")</f>
        <v>የዒላማው አዲሱ ቦታ ቀጣይ ውርወራዎችን ለማስቆጠር ይጠቅማል።</v>
      </c>
    </row>
    <row r="62" ht="22.5" customHeight="1">
      <c r="A62" s="10">
        <v>61.0</v>
      </c>
      <c r="B62" s="11" t="s">
        <v>2418</v>
      </c>
      <c r="C62" s="11" t="s">
        <v>2419</v>
      </c>
      <c r="D62" s="11" t="s">
        <v>2420</v>
      </c>
      <c r="E62" s="11" t="s">
        <v>2421</v>
      </c>
      <c r="G62" s="11" t="str">
        <f>IFERROR(__xludf.DUMMYFUNCTION("GOOGLETRANSLATE(A62, ""en"", ""am"")"),"61")</f>
        <v>61</v>
      </c>
      <c r="H62" s="11" t="str">
        <f>IFERROR(__xludf.DUMMYFUNCTION("GOOGLETRANSLATE(B62, ""en"", ""am"")"),"የቡድን ጓደኛዎ ኳሱን ወደ እርስዎ በመምታት ወደ ኢላማው ተጠጋ። የማን ነጥብ ነው የሚቆጠረው?")</f>
        <v>የቡድን ጓደኛዎ ኳሱን ወደ እርስዎ በመምታት ወደ ኢላማው ተጠጋ። የማን ነጥብ ነው የሚቆጠረው?</v>
      </c>
      <c r="I62" s="11" t="str">
        <f>IFERROR(__xludf.DUMMYFUNCTION("GOOGLETRANSLATE(C62, ""en"", ""am"")"),"ሀ. የእርስዎ ነጥቦችB. የቡድን ጓደኛዎ ነጥብ ሐ. ምንም ነጥብ አልተሰጠም.ዲ. ነጥቦች ተሸልመዋል።")</f>
        <v>ሀ. የእርስዎ ነጥቦችB. የቡድን ጓደኛዎ ነጥብ ሐ. ምንም ነጥብ አልተሰጠም.ዲ. ነጥቦች ተሸልመዋል።</v>
      </c>
      <c r="J62" s="11" t="str">
        <f>IFERROR(__xludf.DUMMYFUNCTION("GOOGLETRANSLATE(D62, ""en"", ""am"")"),"ነጥቦችህ")</f>
        <v>ነጥቦችህ</v>
      </c>
      <c r="K62" s="11" t="str">
        <f>IFERROR(__xludf.DUMMYFUNCTION("GOOGLETRANSLATE(E62, ""en"", ""am"")"),"ማን ያንቀሳቅሰው ምንም ይሁን ምን ወደ ኢላማው የቀረበ ኳስ ነጥብ ያገኛል።")</f>
        <v>ማን ያንቀሳቅሰው ምንም ይሁን ምን ወደ ኢላማው የቀረበ ኳስ ነጥብ ያገኛል።</v>
      </c>
    </row>
    <row r="63" ht="22.5" customHeight="1">
      <c r="A63" s="10">
        <v>62.0</v>
      </c>
      <c r="B63" s="11" t="s">
        <v>2422</v>
      </c>
      <c r="C63" s="11" t="s">
        <v>2423</v>
      </c>
      <c r="D63" s="11" t="s">
        <v>2424</v>
      </c>
      <c r="E63" s="11" t="s">
        <v>2425</v>
      </c>
      <c r="G63" s="11" t="str">
        <f>IFERROR(__xludf.DUMMYFUNCTION("GOOGLETRANSLATE(A63, ""en"", ""am"")"),"62")</f>
        <v>62</v>
      </c>
      <c r="H63" s="11" t="str">
        <f>IFERROR(__xludf.DUMMYFUNCTION("GOOGLETRANSLATE(B63, ""en"", ""am"")"),"ኳሱን እያነሱ በድንገት ወደ መጨረሻው ዞን ይገባሉ። ምን ይሆናል?")</f>
        <v>ኳሱን እያነሱ በድንገት ወደ መጨረሻው ዞን ይገባሉ። ምን ይሆናል?</v>
      </c>
      <c r="I63" s="11" t="str">
        <f>IFERROR(__xludf.DUMMYFUNCTION("GOOGLETRANSLATE(C63, ""en"", ""am"")"),"ሀ. ተራዎን ያጣሉ.B. ነጥቦችህ ተቀንሰዋል።ሲ. ዳኛው ማስጠንቀቂያ ሰጡ.ዲ. ዙሩ በድጋሚ ተካሂዷል።")</f>
        <v>ሀ. ተራዎን ያጣሉ.B. ነጥቦችህ ተቀንሰዋል።ሲ. ዳኛው ማስጠንቀቂያ ሰጡ.ዲ. ዙሩ በድጋሚ ተካሂዷል።</v>
      </c>
      <c r="J63" s="11" t="str">
        <f>IFERROR(__xludf.DUMMYFUNCTION("GOOGLETRANSLATE(D63, ""en"", ""am"")"),"ዳኛው ማስጠንቀቂያ ሰጥተዋል።")</f>
        <v>ዳኛው ማስጠንቀቂያ ሰጥተዋል።</v>
      </c>
      <c r="K63" s="11" t="str">
        <f>IFERROR(__xludf.DUMMYFUNCTION("GOOGLETRANSLATE(E63, ""en"", ""am"")"),"ተጨዋቾች ካልታዘዙ ወደ ጎል ማስቆጠር ዞን ከመግባት መቆጠብ አለባቸው።")</f>
        <v>ተጨዋቾች ካልታዘዙ ወደ ጎል ማስቆጠር ዞን ከመግባት መቆጠብ አለባቸው።</v>
      </c>
    </row>
    <row r="64" ht="22.5" customHeight="1">
      <c r="A64" s="10">
        <v>63.0</v>
      </c>
      <c r="B64" s="11" t="s">
        <v>2426</v>
      </c>
      <c r="C64" s="11" t="s">
        <v>2427</v>
      </c>
      <c r="D64" s="11" t="s">
        <v>2428</v>
      </c>
      <c r="E64" s="11" t="s">
        <v>2429</v>
      </c>
      <c r="G64" s="11" t="str">
        <f>IFERROR(__xludf.DUMMYFUNCTION("GOOGLETRANSLATE(A64, ""en"", ""am"")"),"63")</f>
        <v>63</v>
      </c>
      <c r="H64" s="11" t="str">
        <f>IFERROR(__xludf.DUMMYFUNCTION("GOOGLETRANSLATE(B64, ""en"", ""am"")"),"ተቃዋሚዎ እርስዎ ያዘጋጁት የጊዜ ገደብ አልፏል ይላል። ምን ማድረግ አለቦት?")</f>
        <v>ተቃዋሚዎ እርስዎ ያዘጋጁት የጊዜ ገደብ አልፏል ይላል። ምን ማድረግ አለቦት?</v>
      </c>
      <c r="I64" s="11" t="str">
        <f>IFERROR(__xludf.DUMMYFUNCTION("GOOGLETRANSLATE(C64, ""en"", ""am"")"),"ሀ. የይገባኛል ጥያቄውን ተቀበል እና አጥፋው.B. እንዲያረጋግጡ ዳኛ ይጠይቁ ሲ. ተራህን እንደገና አጫውት.ዲ. የይገባኛል ጥያቄውን ችላ ይበሉ።")</f>
        <v>ሀ. የይገባኛል ጥያቄውን ተቀበል እና አጥፋው.B. እንዲያረጋግጡ ዳኛ ይጠይቁ ሲ. ተራህን እንደገና አጫውት.ዲ. የይገባኛል ጥያቄውን ችላ ይበሉ።</v>
      </c>
      <c r="J64" s="11" t="str">
        <f>IFERROR(__xludf.DUMMYFUNCTION("GOOGLETRANSLATE(D64, ""en"", ""am"")"),"እንዲያረጋግጥ ዳኛ ይጠይቁ።")</f>
        <v>እንዲያረጋግጥ ዳኛ ይጠይቁ።</v>
      </c>
      <c r="K64" s="11" t="str">
        <f>IFERROR(__xludf.DUMMYFUNCTION("GOOGLETRANSLATE(E64, ""en"", ""am"")"),"ዳኛው የጊዜ ገደቦች መሟላታቸውን ያረጋግጣል እና የይገባኛል ጥያቄውን ማረጋገጥ ይችላል።")</f>
        <v>ዳኛው የጊዜ ገደቦች መሟላታቸውን ያረጋግጣል እና የይገባኛል ጥያቄውን ማረጋገጥ ይችላል።</v>
      </c>
    </row>
    <row r="65" ht="22.5" customHeight="1">
      <c r="A65" s="10">
        <v>64.0</v>
      </c>
      <c r="B65" s="11" t="s">
        <v>2430</v>
      </c>
      <c r="C65" s="11" t="s">
        <v>2431</v>
      </c>
      <c r="D65" s="11" t="s">
        <v>2432</v>
      </c>
      <c r="E65" s="11" t="s">
        <v>2433</v>
      </c>
      <c r="G65" s="11" t="str">
        <f>IFERROR(__xludf.DUMMYFUNCTION("GOOGLETRANSLATE(A65, ""en"", ""am"")"),"64")</f>
        <v>64</v>
      </c>
      <c r="H65" s="11" t="str">
        <f>IFERROR(__xludf.DUMMYFUNCTION("GOOGLETRANSLATE(B65, ""en"", ""am"")"),"ኳስዎ ሌላ ኳስ ነካ እና አቅጣጫውን ይለውጣል። ምን ይሆናል?")</f>
        <v>ኳስዎ ሌላ ኳስ ነካ እና አቅጣጫውን ይለውጣል። ምን ይሆናል?</v>
      </c>
      <c r="I65" s="11" t="str">
        <f>IFERROR(__xludf.DUMMYFUNCTION("GOOGLETRANSLATE(C65, ""en"", ""am"")"),"ሀ. ነጥቦች በመጨረሻው ቦታ ላይ የተመሰረቱ ናቸው.ቢ. ዙሩ በድጋሚ ተጫውቷል.ሲ. ኳስህ ብቻ ነጥብ ነው የምታገኘው።ዲ. ነጥብ የሚያገኘው የተጋጣሚው ኳስ ብቻ ነው።")</f>
        <v>ሀ. ነጥቦች በመጨረሻው ቦታ ላይ የተመሰረቱ ናቸው.ቢ. ዙሩ በድጋሚ ተጫውቷል.ሲ. ኳስህ ብቻ ነጥብ ነው የምታገኘው።ዲ. ነጥብ የሚያገኘው የተጋጣሚው ኳስ ብቻ ነው።</v>
      </c>
      <c r="J65" s="11" t="str">
        <f>IFERROR(__xludf.DUMMYFUNCTION("GOOGLETRANSLATE(D65, ""en"", ""am"")"),"ነጥቦች በመጨረሻው ቦታ ላይ የተመሰረቱ ናቸው.")</f>
        <v>ነጥቦች በመጨረሻው ቦታ ላይ የተመሰረቱ ናቸው.</v>
      </c>
      <c r="K65" s="11" t="str">
        <f>IFERROR(__xludf.DUMMYFUNCTION("GOOGLETRANSLATE(E65, ""en"", ""am"")"),"የሁሉም ኳሶች የመጨረሻ ማረፊያ ቦታዎች ውጤቱን ይወስናሉ.")</f>
        <v>የሁሉም ኳሶች የመጨረሻ ማረፊያ ቦታዎች ውጤቱን ይወስናሉ.</v>
      </c>
    </row>
    <row r="66" ht="22.5" customHeight="1">
      <c r="A66" s="10">
        <v>65.0</v>
      </c>
      <c r="B66" s="11" t="s">
        <v>2434</v>
      </c>
      <c r="C66" s="11" t="s">
        <v>2435</v>
      </c>
      <c r="D66" s="11" t="s">
        <v>2424</v>
      </c>
      <c r="E66" s="11" t="s">
        <v>2436</v>
      </c>
      <c r="G66" s="11" t="str">
        <f>IFERROR(__xludf.DUMMYFUNCTION("GOOGLETRANSLATE(A66, ""en"", ""am"")"),"65")</f>
        <v>65</v>
      </c>
      <c r="H66" s="11" t="str">
        <f>IFERROR(__xludf.DUMMYFUNCTION("GOOGLETRANSLATE(B66, ""en"", ""am"")"),"አንድ ተጫዋች ሆን ብሎ የጨዋታውን ፍሰት ለማደናቀፍ ውርወራውን ያዘገያል። ምን ይሆናል?")</f>
        <v>አንድ ተጫዋች ሆን ብሎ የጨዋታውን ፍሰት ለማደናቀፍ ውርወራውን ያዘገያል። ምን ይሆናል?</v>
      </c>
      <c r="I66" s="11" t="str">
        <f>IFERROR(__xludf.DUMMYFUNCTION("GOOGLETRANSLATE(C66, ""en"", ""am"")"),"ሀ. ዳኛው ማስጠንቀቂያ ሰጥተዋል.B. ተጫዋቹ ነጥብ ያጣል.ሲ. ተራው ተዘሏል.ዲ. ዙሩ በድጋሚ ተካሂዷል።")</f>
        <v>ሀ. ዳኛው ማስጠንቀቂያ ሰጥተዋል.B. ተጫዋቹ ነጥብ ያጣል.ሲ. ተራው ተዘሏል.ዲ. ዙሩ በድጋሚ ተካሂዷል።</v>
      </c>
      <c r="J66" s="11" t="str">
        <f>IFERROR(__xludf.DUMMYFUNCTION("GOOGLETRANSLATE(D66, ""en"", ""am"")"),"ዳኛው ማስጠንቀቂያ ሰጥተዋል።")</f>
        <v>ዳኛው ማስጠንቀቂያ ሰጥተዋል።</v>
      </c>
      <c r="K66" s="11" t="str">
        <f>IFERROR(__xludf.DUMMYFUNCTION("GOOGLETRANSLATE(E66, ""en"", ""am"")"),"ሆን ተብሎ መዘግየቶች ማስጠንቀቂያዎች ወይም ቅጣቶች ሊያስከትሉ ይችላሉ.")</f>
        <v>ሆን ተብሎ መዘግየቶች ማስጠንቀቂያዎች ወይም ቅጣቶች ሊያስከትሉ ይችላሉ.</v>
      </c>
    </row>
    <row r="67" ht="22.5" customHeight="1">
      <c r="A67" s="10">
        <v>66.0</v>
      </c>
      <c r="B67" s="11" t="s">
        <v>2437</v>
      </c>
      <c r="C67" s="11" t="s">
        <v>2438</v>
      </c>
      <c r="D67" s="11" t="s">
        <v>2396</v>
      </c>
      <c r="E67" s="11" t="s">
        <v>2439</v>
      </c>
      <c r="G67" s="11" t="str">
        <f>IFERROR(__xludf.DUMMYFUNCTION("GOOGLETRANSLATE(A67, ""en"", ""am"")"),"66")</f>
        <v>66</v>
      </c>
      <c r="H67" s="11" t="str">
        <f>IFERROR(__xludf.DUMMYFUNCTION("GOOGLETRANSLATE(B67, ""en"", ""am"")"),"ኳስህን ትወረውረዋለህ፣ እና በአጋጣሚ ዳኛውን ይመታል። ምን ይሆናል?")</f>
        <v>ኳስህን ትወረውረዋለህ፣ እና በአጋጣሚ ዳኛውን ይመታል። ምን ይሆናል?</v>
      </c>
      <c r="I67" s="11" t="str">
        <f>IFERROR(__xludf.DUMMYFUNCTION("GOOGLETRANSLATE(C67, ""en"", ""am"")"),"ሀ. መጣል ዋጋ የለውም.ቢ. ነጥብ ታጣለህ.ሲ. ዙሩ በድጋሚ ተጫውቷል.ዲ. ዳኛው የኳሱን አቀማመጥ ያስተካክላል.")</f>
        <v>ሀ. መጣል ዋጋ የለውም.ቢ. ነጥብ ታጣለህ.ሲ. ዙሩ በድጋሚ ተጫውቷል.ዲ. ዳኛው የኳሱን አቀማመጥ ያስተካክላል.</v>
      </c>
      <c r="J67" s="11" t="str">
        <f>IFERROR(__xludf.DUMMYFUNCTION("GOOGLETRANSLATE(D67, ""en"", ""am"")"),"መጣል ዋጋ የለውም።")</f>
        <v>መጣል ዋጋ የለውም።</v>
      </c>
      <c r="K67" s="11" t="str">
        <f>IFERROR(__xludf.DUMMYFUNCTION("GOOGLETRANSLATE(E67, ""en"", ""am"")"),"በዳኛው ወይም በመሳሪያው ላይ ጣልቃ የሚገቡ ውርወራዎች ልክ እንዳልሆኑ ይቆጠራሉ።")</f>
        <v>በዳኛው ወይም በመሳሪያው ላይ ጣልቃ የሚገቡ ውርወራዎች ልክ እንዳልሆኑ ይቆጠራሉ።</v>
      </c>
    </row>
    <row r="68" ht="22.5" customHeight="1">
      <c r="A68" s="10">
        <v>67.0</v>
      </c>
      <c r="B68" s="11" t="s">
        <v>2440</v>
      </c>
      <c r="C68" s="11" t="s">
        <v>2441</v>
      </c>
      <c r="D68" s="11" t="s">
        <v>2442</v>
      </c>
      <c r="E68" s="11" t="s">
        <v>2443</v>
      </c>
      <c r="G68" s="11" t="str">
        <f>IFERROR(__xludf.DUMMYFUNCTION("GOOGLETRANSLATE(A68, ""en"", ""am"")"),"67")</f>
        <v>67</v>
      </c>
      <c r="H68" s="11" t="str">
        <f>IFERROR(__xludf.DUMMYFUNCTION("GOOGLETRANSLATE(B68, ""en"", ""am"")"),"የተጋጣሚ ቡድን ኳስ በቀጥታ ወደ ግብ ክልል ገብታለች። ልታወጣው ትችላለህ?")</f>
        <v>የተጋጣሚ ቡድን ኳስ በቀጥታ ወደ ግብ ክልል ገብታለች። ልታወጣው ትችላለህ?</v>
      </c>
      <c r="I68" s="11" t="str">
        <f>IFERROR(__xludf.DUMMYFUNCTION("GOOGLETRANSLATE(C68, ""en"", ""am"")"),"A. አዎ፣ የእርስዎ ተራ ከሆነ.B. አይ፣ ያ ከህጎቹ ጋር የሚቃረን ነው። አዎ፣ ነገር ግን ነጥብ ታጣለህ.ዲ. አይደለም ዳኛው ብቻ ነው የሚያንቀሳቅሰው።")</f>
        <v>A. አዎ፣ የእርስዎ ተራ ከሆነ.B. አይ፣ ያ ከህጎቹ ጋር የሚቃረን ነው። አዎ፣ ነገር ግን ነጥብ ታጣለህ.ዲ. አይደለም ዳኛው ብቻ ነው የሚያንቀሳቅሰው።</v>
      </c>
      <c r="J68" s="11" t="str">
        <f>IFERROR(__xludf.DUMMYFUNCTION("GOOGLETRANSLATE(D68, ""en"", ""am"")"),"አዎ፣ የእርስዎ ተራ ከሆነ።")</f>
        <v>አዎ፣ የእርስዎ ተራ ከሆነ።</v>
      </c>
      <c r="K68" s="11" t="str">
        <f>IFERROR(__xludf.DUMMYFUNCTION("GOOGLETRANSLATE(E68, ""en"", ""am"")"),"ተጨዋቾች በተራቸው ጊዜ ስልታዊ በሆነ መንገድ የተጋጣሚን ኳሶች እንዲያንኳኳ ይፈቀድላቸዋል።")</f>
        <v>ተጨዋቾች በተራቸው ጊዜ ስልታዊ በሆነ መንገድ የተጋጣሚን ኳሶች እንዲያንኳኳ ይፈቀድላቸዋል።</v>
      </c>
    </row>
    <row r="69" ht="22.5" customHeight="1">
      <c r="A69" s="10">
        <v>68.0</v>
      </c>
      <c r="B69" s="11" t="s">
        <v>2444</v>
      </c>
      <c r="C69" s="11" t="s">
        <v>2445</v>
      </c>
      <c r="D69" s="11" t="s">
        <v>2446</v>
      </c>
      <c r="E69" s="11" t="s">
        <v>2447</v>
      </c>
      <c r="G69" s="11" t="str">
        <f>IFERROR(__xludf.DUMMYFUNCTION("GOOGLETRANSLATE(A69, ""en"", ""am"")"),"68")</f>
        <v>68</v>
      </c>
      <c r="H69" s="11" t="str">
        <f>IFERROR(__xludf.DUMMYFUNCTION("GOOGLETRANSLATE(B69, ""en"", ""am"")"),"ጨዋታው በአቻ ውጤት ይጠናቀቃል። ቀጥሎ ምን ይሆናል?")</f>
        <v>ጨዋታው በአቻ ውጤት ይጠናቀቃል። ቀጥሎ ምን ይሆናል?</v>
      </c>
      <c r="I69" s="11" t="str">
        <f>IFERROR(__xludf.DUMMYFUNCTION("GOOGLETRANSLATE(C69, ""en"", ""am"")"),"A. የማጣሪያው ዙር ተጫውቷል.B. ጨዋታው በአቻ ውጤት መጠናቀቁ ተገለጸ። ነጥቦች እንደገና ይሰላሉ.ዲ. በትንሹ ቅጣት ምት ያለው ቡድን ያሸንፋል።")</f>
        <v>A. የማጣሪያው ዙር ተጫውቷል.B. ጨዋታው በአቻ ውጤት መጠናቀቁ ተገለጸ። ነጥቦች እንደገና ይሰላሉ.ዲ. በትንሹ ቅጣት ምት ያለው ቡድን ያሸንፋል።</v>
      </c>
      <c r="J69" s="11" t="str">
        <f>IFERROR(__xludf.DUMMYFUNCTION("GOOGLETRANSLATE(D69, ""en"", ""am"")"),"የማጣሪያው ዙር ተካሂዷል።")</f>
        <v>የማጣሪያው ዙር ተካሂዷል።</v>
      </c>
      <c r="K69" s="11" t="str">
        <f>IFERROR(__xludf.DUMMYFUNCTION("GOOGLETRANSLATE(E69, ""en"", ""am"")"),"አሸናፊ ዙሮች አሸናፊውን ለመለየት ውጤቶቹ ሲገናኙ ነው።")</f>
        <v>አሸናፊ ዙሮች አሸናፊውን ለመለየት ውጤቶቹ ሲገናኙ ነው።</v>
      </c>
    </row>
    <row r="70" ht="22.5" customHeight="1">
      <c r="A70" s="10">
        <v>69.0</v>
      </c>
      <c r="B70" s="11" t="s">
        <v>2448</v>
      </c>
      <c r="C70" s="11" t="s">
        <v>2449</v>
      </c>
      <c r="D70" s="11" t="s">
        <v>2450</v>
      </c>
      <c r="E70" s="11" t="s">
        <v>2451</v>
      </c>
      <c r="G70" s="11" t="str">
        <f>IFERROR(__xludf.DUMMYFUNCTION("GOOGLETRANSLATE(A70, ""en"", ""am"")"),"69")</f>
        <v>69</v>
      </c>
      <c r="H70" s="11" t="str">
        <f>IFERROR(__xludf.DUMMYFUNCTION("GOOGLETRANSLATE(B70, ""en"", ""am"")"),"በጨዋታ ጊዜ ኳስዎ ላይ ጉድለት እንዳለ ያስተውላሉ። ምን ማድረግ አለቦት?")</f>
        <v>በጨዋታ ጊዜ ኳስዎ ላይ ጉድለት እንዳለ ያስተውላሉ። ምን ማድረግ አለቦት?</v>
      </c>
      <c r="I70" s="11" t="str">
        <f>IFERROR(__xludf.DUMMYFUNCTION("GOOGLETRANSLATE(C70, ""en"", ""am"")"),"ሀ. ምትክ ኳስ ቢ ይጠይቁ። ከእሱ ጋር መጫወትዎን ይቀጥሉ.ሲ. ድጋሚ እንዲጀመር ጠይቅD. ኳሱን ከተጋጣሚው ተበደሩ።")</f>
        <v>ሀ. ምትክ ኳስ ቢ ይጠይቁ። ከእሱ ጋር መጫወትዎን ይቀጥሉ.ሲ. ድጋሚ እንዲጀመር ጠይቅD. ኳሱን ከተጋጣሚው ተበደሩ።</v>
      </c>
      <c r="J70" s="11" t="str">
        <f>IFERROR(__xludf.DUMMYFUNCTION("GOOGLETRANSLATE(D70, ""en"", ""am"")"),"ምትክ ኳስ ይጠይቁ")</f>
        <v>ምትክ ኳስ ይጠይቁ</v>
      </c>
      <c r="K70" s="11" t="str">
        <f>IFERROR(__xludf.DUMMYFUNCTION("GOOGLETRANSLATE(E70, ""en"", ""am"")"),"ለዳኛው ሪፖርት ከተደረገ የተበላሹ መሳሪያዎችን መተካት ይቻላል.")</f>
        <v>ለዳኛው ሪፖርት ከተደረገ የተበላሹ መሳሪያዎችን መተካት ይቻላል.</v>
      </c>
    </row>
    <row r="71" ht="22.5" customHeight="1">
      <c r="A71" s="10">
        <v>70.0</v>
      </c>
      <c r="B71" s="11" t="s">
        <v>2452</v>
      </c>
      <c r="C71" s="11" t="s">
        <v>2453</v>
      </c>
      <c r="D71" s="11" t="s">
        <v>2454</v>
      </c>
      <c r="E71" s="11" t="s">
        <v>2455</v>
      </c>
      <c r="G71" s="11" t="str">
        <f>IFERROR(__xludf.DUMMYFUNCTION("GOOGLETRANSLATE(A71, ""en"", ""am"")"),"70")</f>
        <v>70</v>
      </c>
      <c r="H71" s="11" t="str">
        <f>IFERROR(__xludf.DUMMYFUNCTION("GOOGLETRANSLATE(B71, ""en"", ""am"")"),"ወደ መጨረሻው ዞን ከመግባትዎ በፊት ኳስዎ መሬቱን ይተዋል. ትክክል ነው?")</f>
        <v>ወደ መጨረሻው ዞን ከመግባትዎ በፊት ኳስዎ መሬቱን ይተዋል. ትክክል ነው?</v>
      </c>
      <c r="I71" s="11" t="str">
        <f>IFERROR(__xludf.DUMMYFUNCTION("GOOGLETRANSLATE(C71, ""en"", ""am"")"),"A. አዎ፣ በዞኑ እስካለ ድረስ.ቢ. አይ, መብረቅ መሆን የለበትም.ሲ. አዎ፣ ግን በተቀነሰ ነጥቦችD አይደለም፣ ልክ እንዳልሆነ ይቆጠራል።")</f>
        <v>A. አዎ፣ በዞኑ እስካለ ድረስ.ቢ. አይ, መብረቅ መሆን የለበትም.ሲ. አዎ፣ ግን በተቀነሰ ነጥቦችD አይደለም፣ ልክ እንዳልሆነ ይቆጠራል።</v>
      </c>
      <c r="J71" s="11" t="str">
        <f>IFERROR(__xludf.DUMMYFUNCTION("GOOGLETRANSLATE(D71, ""en"", ""am"")"),"አዎ፣ በዞኑ ውስጥ እስካለ ድረስ።")</f>
        <v>አዎ፣ በዞኑ ውስጥ እስካለ ድረስ።</v>
      </c>
      <c r="K71" s="11" t="str">
        <f>IFERROR(__xludf.DUMMYFUNCTION("GOOGLETRANSLATE(E71, ""en"", ""am"")"),"የተጣደፉ ኳሶች በግብ ክልል ውስጥ ቢቆዩ ዋጋ አላቸው።")</f>
        <v>የተጣደፉ ኳሶች በግብ ክልል ውስጥ ቢቆዩ ዋጋ አላቸው።</v>
      </c>
    </row>
    <row r="72" ht="22.5" customHeight="1">
      <c r="A72" s="10">
        <v>71.0</v>
      </c>
      <c r="B72" s="11" t="s">
        <v>2456</v>
      </c>
      <c r="C72" s="11" t="s">
        <v>2457</v>
      </c>
      <c r="D72" s="11" t="s">
        <v>2458</v>
      </c>
      <c r="E72" s="11" t="s">
        <v>2459</v>
      </c>
      <c r="G72" s="11" t="str">
        <f>IFERROR(__xludf.DUMMYFUNCTION("GOOGLETRANSLATE(A72, ""en"", ""am"")"),"71")</f>
        <v>71</v>
      </c>
      <c r="H72" s="11" t="str">
        <f>IFERROR(__xludf.DUMMYFUNCTION("GOOGLETRANSLATE(B72, ""en"", ""am"")"),"የእርስዎ ኳስ ዒላማውን እና የሌላ ተጫዋችን ኳስ በተመሳሳይ ጊዜ ይመታል። የማን ነጥብ ነው የሚቆጠረው?")</f>
        <v>የእርስዎ ኳስ ዒላማውን እና የሌላ ተጫዋችን ኳስ በተመሳሳይ ጊዜ ይመታል። የማን ነጥብ ነው የሚቆጠረው?</v>
      </c>
      <c r="I72" s="11" t="str">
        <f>IFERROR(__xludf.DUMMYFUNCTION("GOOGLETRANSLATE(C72, ""en"", ""am"")"),"ሀ. ነጥቦችህ ብቻ.B. ተቃራኒ ነጥቦች ሲ. ሁለቱም ነጥቦች ትክክል ናቸው ዲ. ምንም ነጥብ አልተሰጠም።")</f>
        <v>ሀ. ነጥቦችህ ብቻ.B. ተቃራኒ ነጥቦች ሲ. ሁለቱም ነጥቦች ትክክል ናቸው ዲ. ምንም ነጥብ አልተሰጠም።</v>
      </c>
      <c r="J72" s="11" t="str">
        <f>IFERROR(__xludf.DUMMYFUNCTION("GOOGLETRANSLATE(D72, ""en"", ""am"")"),"ሁለቱም ነጥቦች ትክክል ናቸው።")</f>
        <v>ሁለቱም ነጥቦች ትክክል ናቸው።</v>
      </c>
      <c r="K72" s="11" t="str">
        <f>IFERROR(__xludf.DUMMYFUNCTION("GOOGLETRANSLATE(E72, ""en"", ""am"")"),"ብዙ ኳሶች ኢላማውን ሲመቱ ሁለቱም በቅርበት ላይ ተመስርተው ይቆጠራሉ።")</f>
        <v>ብዙ ኳሶች ኢላማውን ሲመቱ ሁለቱም በቅርበት ላይ ተመስርተው ይቆጠራሉ።</v>
      </c>
    </row>
    <row r="73" ht="22.5" customHeight="1">
      <c r="A73" s="10">
        <v>72.0</v>
      </c>
      <c r="B73" s="11" t="s">
        <v>2460</v>
      </c>
      <c r="C73" s="11" t="s">
        <v>2461</v>
      </c>
      <c r="D73" s="11" t="s">
        <v>2462</v>
      </c>
      <c r="E73" s="11" t="s">
        <v>2463</v>
      </c>
      <c r="G73" s="11" t="str">
        <f>IFERROR(__xludf.DUMMYFUNCTION("GOOGLETRANSLATE(A73, ""en"", ""am"")"),"72")</f>
        <v>72</v>
      </c>
      <c r="H73" s="11" t="str">
        <f>IFERROR(__xludf.DUMMYFUNCTION("GOOGLETRANSLATE(B73, ""en"", ""am"")"),"በመወርወር ወቅት ኃይለኛ ነፋስ ኳሱን በትንሹ ወደ ኮርስ ያንቀሳቅሰዋል። ምን ይሆናል?")</f>
        <v>በመወርወር ወቅት ኃይለኛ ነፋስ ኳሱን በትንሹ ወደ ኮርስ ያንቀሳቅሰዋል። ምን ይሆናል?</v>
      </c>
      <c r="I73" s="11" t="str">
        <f>IFERROR(__xludf.DUMMYFUNCTION("GOOGLETRANSLATE(C73, ""en"", ""am"")"),"ሀ. መወርወሩ ትክክል ነው.ቢ. መወርወሩ ልክ ያልሆነ ነው።ሲ. ክበቡ ቆሟል.ዲ. ዳኛው ይወስናል።")</f>
        <v>ሀ. መወርወሩ ትክክል ነው.ቢ. መወርወሩ ልክ ያልሆነ ነው።ሲ. ክበቡ ቆሟል.ዲ. ዳኛው ይወስናል።</v>
      </c>
      <c r="J73" s="11" t="str">
        <f>IFERROR(__xludf.DUMMYFUNCTION("GOOGLETRANSLATE(D73, ""en"", ""am"")"),"መወርወሩ ትክክል ነው።")</f>
        <v>መወርወሩ ትክክል ነው።</v>
      </c>
      <c r="K73" s="11" t="str">
        <f>IFERROR(__xludf.DUMMYFUNCTION("GOOGLETRANSLATE(E73, ""en"", ""am"")"),"እንደ ንፋስ ያሉ የአካባቢ ሁኔታዎች መጣልን አይጎዱም.")</f>
        <v>እንደ ንፋስ ያሉ የአካባቢ ሁኔታዎች መጣልን አይጎዱም.</v>
      </c>
    </row>
    <row r="74" ht="22.5" customHeight="1">
      <c r="A74" s="10">
        <v>73.0</v>
      </c>
      <c r="B74" s="11" t="s">
        <v>2464</v>
      </c>
      <c r="C74" s="11" t="s">
        <v>2465</v>
      </c>
      <c r="D74" s="11" t="s">
        <v>2466</v>
      </c>
      <c r="E74" s="11" t="s">
        <v>2467</v>
      </c>
      <c r="G74" s="11" t="str">
        <f>IFERROR(__xludf.DUMMYFUNCTION("GOOGLETRANSLATE(A74, ""en"", ""am"")"),"73")</f>
        <v>73</v>
      </c>
      <c r="H74" s="11" t="str">
        <f>IFERROR(__xludf.DUMMYFUNCTION("GOOGLETRANSLATE(B74, ""en"", ""am"")"),"ኳስዎ ወደ መጨረሻው ዞን ይንከባለላል ነገር ግን ከድንበር መስመር ውጭ ይቆማል። ትክክል ነው?")</f>
        <v>ኳስዎ ወደ መጨረሻው ዞን ይንከባለላል ነገር ግን ከድንበር መስመር ውጭ ይቆማል። ትክክል ነው?</v>
      </c>
      <c r="I74" s="11" t="str">
        <f>IFERROR(__xludf.DUMMYFUNCTION("GOOGLETRANSLATE(C74, ""en"", ""am"")"),"A. አዎ ልክ ነው.B. አይ፣ ትክክል አይደለም.ሲ. ለግማሽ ነጥብ ይሰራል ዲ. የዳኛ ውሳኔ ነው።")</f>
        <v>A. አዎ ልክ ነው.B. አይ፣ ትክክል አይደለም.ሲ. ለግማሽ ነጥብ ይሰራል ዲ. የዳኛ ውሳኔ ነው።</v>
      </c>
      <c r="J74" s="11" t="str">
        <f>IFERROR(__xludf.DUMMYFUNCTION("GOOGLETRANSLATE(D74, ""en"", ""am"")"),"አይ፣ ትክክል አይደለም።")</f>
        <v>አይ፣ ትክክል አይደለም።</v>
      </c>
      <c r="K74" s="11" t="str">
        <f>IFERROR(__xludf.DUMMYFUNCTION("GOOGLETRANSLATE(E74, ""en"", ""am"")"),"ኳሶች ትክክለኛ ለመሆን ሙሉ በሙሉ በመጨረሻው ዞን ውስጥ መሆን አለባቸው።")</f>
        <v>ኳሶች ትክክለኛ ለመሆን ሙሉ በሙሉ በመጨረሻው ዞን ውስጥ መሆን አለባቸው።</v>
      </c>
    </row>
    <row r="75" ht="22.5" customHeight="1">
      <c r="A75" s="10">
        <v>74.0</v>
      </c>
      <c r="B75" s="11" t="s">
        <v>2468</v>
      </c>
      <c r="C75" s="11" t="s">
        <v>2469</v>
      </c>
      <c r="D75" s="11" t="s">
        <v>2470</v>
      </c>
      <c r="E75" s="11" t="s">
        <v>2401</v>
      </c>
      <c r="G75" s="11" t="str">
        <f>IFERROR(__xludf.DUMMYFUNCTION("GOOGLETRANSLATE(A75, ""en"", ""am"")"),"74")</f>
        <v>74</v>
      </c>
      <c r="H75" s="11" t="str">
        <f>IFERROR(__xludf.DUMMYFUNCTION("GOOGLETRANSLATE(B75, ""en"", ""am"")"),"የቡድን ጓደኛው ኳሱን ወደ ላይ ይጥላል እና ኢላማውን ከግብ ክልል ውስጥ አውጥቶታል። ምን ይሆናል?")</f>
        <v>የቡድን ጓደኛው ኳሱን ወደ ላይ ይጥላል እና ኢላማውን ከግብ ክልል ውስጥ አውጥቶታል። ምን ይሆናል?</v>
      </c>
      <c r="I75" s="11" t="str">
        <f>IFERROR(__xludf.DUMMYFUNCTION("GOOGLETRANSLATE(C75, ""en"", ""am"")"),"ሀ. ዒላማው እንደገና ተጀምሯል.B. ዙሩ ከዒላማው ጋር በአዲሱ ቦታ ይቀጥላል.ሲ. ነጥቦች ተቀንሰዋል ዲ. መወርወሩ ልክ ያልሆነ ነው።")</f>
        <v>ሀ. ዒላማው እንደገና ተጀምሯል.B. ዙሩ ከዒላማው ጋር በአዲሱ ቦታ ይቀጥላል.ሲ. ነጥቦች ተቀንሰዋል ዲ. መወርወሩ ልክ ያልሆነ ነው።</v>
      </c>
      <c r="J75" s="11" t="str">
        <f>IFERROR(__xludf.DUMMYFUNCTION("GOOGLETRANSLATE(D75, ""en"", ""am"")"),"ዙሩ በአዲሱ ቦታ ከዒላማው ጋር ይቀጥላል.")</f>
        <v>ዙሩ በአዲሱ ቦታ ከዒላማው ጋር ይቀጥላል.</v>
      </c>
      <c r="K75" s="11" t="str">
        <f>IFERROR(__xludf.DUMMYFUNCTION("GOOGLETRANSLATE(E75, ""en"", ""am"")"),"አንዴ ዒላማው ከተንቀሳቀሰ በኋላ አዲሱ ቦታው ለጎል ማስቆጠር የሚሰራ ይሆናል።")</f>
        <v>አንዴ ዒላማው ከተንቀሳቀሰ በኋላ አዲሱ ቦታው ለጎል ማስቆጠር የሚሰራ ይሆናል።</v>
      </c>
    </row>
    <row r="76" ht="22.5" customHeight="1">
      <c r="A76" s="10">
        <v>75.0</v>
      </c>
      <c r="B76" s="11" t="s">
        <v>2471</v>
      </c>
      <c r="C76" s="11" t="s">
        <v>2472</v>
      </c>
      <c r="D76" s="11" t="s">
        <v>2473</v>
      </c>
      <c r="E76" s="11" t="s">
        <v>2474</v>
      </c>
      <c r="G76" s="11" t="str">
        <f>IFERROR(__xludf.DUMMYFUNCTION("GOOGLETRANSLATE(A76, ""en"", ""am"")"),"75")</f>
        <v>75</v>
      </c>
      <c r="H76" s="11" t="str">
        <f>IFERROR(__xludf.DUMMYFUNCTION("GOOGLETRANSLATE(B76, ""en"", ""am"")"),"የባላጋራህ ኳስ ወደ ኢላማው በጣም ቅርብ ነው። በህጋዊ መንገድ ልታወጣው ትችላለህ?")</f>
        <v>የባላጋራህ ኳስ ወደ ኢላማው በጣም ቅርብ ነው። በህጋዊ መንገድ ልታወጣው ትችላለህ?</v>
      </c>
      <c r="I76" s="11" t="str">
        <f>IFERROR(__xludf.DUMMYFUNCTION("GOOGLETRANSLATE(C76, ""en"", ""am"")"),"A. አዎ፣ በእርስዎ ተራ ወቅት.B. አይ, አይፈቀድም.ሲ. አዎ፣ ግን በተቀነሰ ነጥቦችD አይ፣ ኳሶችን ማንቀሳቀስ የሚችሉት ዳኞች ብቻ ናቸው።")</f>
        <v>A. አዎ፣ በእርስዎ ተራ ወቅት.B. አይ, አይፈቀድም.ሲ. አዎ፣ ግን በተቀነሰ ነጥቦችD አይ፣ ኳሶችን ማንቀሳቀስ የሚችሉት ዳኞች ብቻ ናቸው።</v>
      </c>
      <c r="J76" s="11" t="str">
        <f>IFERROR(__xludf.DUMMYFUNCTION("GOOGLETRANSLATE(D76, ""en"", ""am"")"),"አዎ፣ በእርስዎ ተራ ወቅት።")</f>
        <v>አዎ፣ በእርስዎ ተራ ወቅት።</v>
      </c>
      <c r="K76" s="11" t="str">
        <f>IFERROR(__xludf.DUMMYFUNCTION("GOOGLETRANSLATE(E76, ""en"", ""am"")"),"ተጫዋቾቹ በተራቸው ጊዜ ስልታዊ በሆነ መንገድ የተጋጣሚን ኳሶች ማፍረስ ይችላሉ።")</f>
        <v>ተጫዋቾቹ በተራቸው ጊዜ ስልታዊ በሆነ መንገድ የተጋጣሚን ኳሶች ማፍረስ ይችላሉ።</v>
      </c>
    </row>
    <row r="77" ht="22.5" customHeight="1">
      <c r="A77" s="10">
        <v>76.0</v>
      </c>
      <c r="B77" s="11" t="s">
        <v>2475</v>
      </c>
      <c r="C77" s="11" t="s">
        <v>2476</v>
      </c>
      <c r="D77" s="11" t="s">
        <v>2477</v>
      </c>
      <c r="E77" s="11" t="s">
        <v>2478</v>
      </c>
      <c r="G77" s="11" t="str">
        <f>IFERROR(__xludf.DUMMYFUNCTION("GOOGLETRANSLATE(A77, ""en"", ""am"")"),"76")</f>
        <v>76</v>
      </c>
      <c r="H77" s="11" t="str">
        <f>IFERROR(__xludf.DUMMYFUNCTION("GOOGLETRANSLATE(B77, ""en"", ""am"")"),"ዳኛው በአጋጣሚ በጎል ክልል ውስጥ ኳሱን ረግጦ ወጥቷል። ቀጥሎ ምን መሆን አለበት?")</f>
        <v>ዳኛው በአጋጣሚ በጎል ክልል ውስጥ ኳሱን ረግጦ ወጥቷል። ቀጥሎ ምን መሆን አለበት?</v>
      </c>
      <c r="I77" s="11" t="str">
        <f>IFERROR(__xludf.DUMMYFUNCTION("GOOGLETRANSLATE(C77, ""en"", ""am"")"),"ሀ. ዙሩ የተሳሳተ ነው.ቢ. የኳሱ ቦታ እንደገና ተጀምሯል.ሲ. ነጥቦች እንደገና ይሰላሉ.ዲ. የተጎዳው ኳስ ይወገዳል.")</f>
        <v>ሀ. ዙሩ የተሳሳተ ነው.ቢ. የኳሱ ቦታ እንደገና ተጀምሯል.ሲ. ነጥቦች እንደገና ይሰላሉ.ዲ. የተጎዳው ኳስ ይወገዳል.</v>
      </c>
      <c r="J77" s="11" t="str">
        <f>IFERROR(__xludf.DUMMYFUNCTION("GOOGLETRANSLATE(D77, ""en"", ""am"")"),"የኳሱ ቦታ እንደገና ተጀምሯል።")</f>
        <v>የኳሱ ቦታ እንደገና ተጀምሯል።</v>
      </c>
      <c r="K77" s="11" t="str">
        <f>IFERROR(__xludf.DUMMYFUNCTION("GOOGLETRANSLATE(E77, ""en"", ""am"")"),"ዳኛው ኳሱን ወደ ቦታው ይመልሳል።")</f>
        <v>ዳኛው ኳሱን ወደ ቦታው ይመልሳል።</v>
      </c>
    </row>
    <row r="78" ht="22.5" customHeight="1">
      <c r="A78" s="10">
        <v>77.0</v>
      </c>
      <c r="B78" s="11" t="s">
        <v>2479</v>
      </c>
      <c r="C78" s="11" t="s">
        <v>2480</v>
      </c>
      <c r="D78" s="11" t="s">
        <v>2481</v>
      </c>
      <c r="E78" s="11" t="s">
        <v>2482</v>
      </c>
      <c r="G78" s="11" t="str">
        <f>IFERROR(__xludf.DUMMYFUNCTION("GOOGLETRANSLATE(A78, ""en"", ""am"")"),"77")</f>
        <v>77</v>
      </c>
      <c r="H78" s="11" t="str">
        <f>IFERROR(__xludf.DUMMYFUNCTION("GOOGLETRANSLATE(B78, ""en"", ""am"")"),"ኳስህን ትወረውረዋለህ፣ ነገር ግን በአየር መካከል ከተቃዋሚዎች ውርወራ ጋር ይጋጫል። ምን ይሆናል?")</f>
        <v>ኳስህን ትወረውረዋለህ፣ ነገር ግን በአየር መካከል ከተቃዋሚዎች ውርወራ ጋር ይጋጫል። ምን ይሆናል?</v>
      </c>
      <c r="I78" s="11" t="str">
        <f>IFERROR(__xludf.DUMMYFUNCTION("GOOGLETRANSLATE(C78, ""en"", ""am"")"),"ሀ. ሁለቱም ውርወራዎች እንደገና ይጫወታሉ.B. መወርወርህ ብቻ ነው የሚደገመው።C. ውርወራዎቹ እንደ መሬት ይቆጠራሉ.ዲ. ዳኛው ይወስናል።")</f>
        <v>ሀ. ሁለቱም ውርወራዎች እንደገና ይጫወታሉ.B. መወርወርህ ብቻ ነው የሚደገመው።C. ውርወራዎቹ እንደ መሬት ይቆጠራሉ.ዲ. ዳኛው ይወስናል።</v>
      </c>
      <c r="J78" s="11" t="str">
        <f>IFERROR(__xludf.DUMMYFUNCTION("GOOGLETRANSLATE(D78, ""en"", ""am"")"),"ሁለቱም ውርወራዎች እንደገና ይጫወታሉ።")</f>
        <v>ሁለቱም ውርወራዎች እንደገና ይጫወታሉ።</v>
      </c>
      <c r="K78" s="11" t="str">
        <f>IFERROR(__xludf.DUMMYFUNCTION("GOOGLETRANSLATE(E78, ""en"", ""am"")"),"የአየር መሃከል ግጭቶች ወደ ፍትሃዊ ድግግሞሽ ያመራሉ.")</f>
        <v>የአየር መሃከል ግጭቶች ወደ ፍትሃዊ ድግግሞሽ ያመራሉ.</v>
      </c>
    </row>
    <row r="79" ht="22.5" customHeight="1">
      <c r="A79" s="10">
        <v>78.0</v>
      </c>
      <c r="B79" s="11" t="s">
        <v>2483</v>
      </c>
      <c r="C79" s="11" t="s">
        <v>2484</v>
      </c>
      <c r="D79" s="11" t="s">
        <v>2396</v>
      </c>
      <c r="E79" s="11" t="s">
        <v>2485</v>
      </c>
      <c r="G79" s="11" t="str">
        <f>IFERROR(__xludf.DUMMYFUNCTION("GOOGLETRANSLATE(A79, ""en"", ""am"")"),"78")</f>
        <v>78</v>
      </c>
      <c r="H79" s="11" t="str">
        <f>IFERROR(__xludf.DUMMYFUNCTION("GOOGLETRANSLATE(B79, ""en"", ""am"")"),"የቡድን ጓደኛው በድንገት ኳሱን ወደ ፍፁም ቅጣት ምት ክልል ወርውሮታል። ውጤቱስ ምንድን ነው?")</f>
        <v>የቡድን ጓደኛው በድንገት ኳሱን ወደ ፍፁም ቅጣት ምት ክልል ወርውሮታል። ውጤቱስ ምንድን ነው?</v>
      </c>
      <c r="I79" s="11" t="str">
        <f>IFERROR(__xludf.DUMMYFUNCTION("GOOGLETRANSLATE(C79, ""en"", ""am"")"),"ሀ. ኳሱ ከጨዋታ ውጪ ነው የሚወሰደው.ቢ. ቡድኑ ነጥብ ያጣል.ሲ. መጣል ዋጋ የለውም.ዲ. ዙሩ እንደገና ተጀምሯል።")</f>
        <v>ሀ. ኳሱ ከጨዋታ ውጪ ነው የሚወሰደው.ቢ. ቡድኑ ነጥብ ያጣል.ሲ. መጣል ዋጋ የለውም.ዲ. ዙሩ እንደገና ተጀምሯል።</v>
      </c>
      <c r="J79" s="11" t="str">
        <f>IFERROR(__xludf.DUMMYFUNCTION("GOOGLETRANSLATE(D79, ""en"", ""am"")"),"መጣል ዋጋ የለውም።")</f>
        <v>መጣል ዋጋ የለውም።</v>
      </c>
      <c r="K79" s="11" t="str">
        <f>IFERROR(__xludf.DUMMYFUNCTION("GOOGLETRANSLATE(E79, ""en"", ""am"")"),"በቅጣት ዞኖች ውስጥ የተደረጉ ማረፊያዎች አይቆጠሩም.")</f>
        <v>በቅጣት ዞኖች ውስጥ የተደረጉ ማረፊያዎች አይቆጠሩም.</v>
      </c>
    </row>
    <row r="80" ht="22.5" customHeight="1">
      <c r="A80" s="10">
        <v>79.0</v>
      </c>
      <c r="B80" s="11" t="s">
        <v>2486</v>
      </c>
      <c r="C80" s="11" t="s">
        <v>2487</v>
      </c>
      <c r="D80" s="11" t="s">
        <v>2488</v>
      </c>
      <c r="E80" s="11" t="s">
        <v>2489</v>
      </c>
      <c r="G80" s="11" t="str">
        <f>IFERROR(__xludf.DUMMYFUNCTION("GOOGLETRANSLATE(A80, ""en"", ""am"")"),"79")</f>
        <v>79</v>
      </c>
      <c r="H80" s="11" t="str">
        <f>IFERROR(__xludf.DUMMYFUNCTION("GOOGLETRANSLATE(B80, ""en"", ""am"")"),"ኢላማው ወደ መጨረሻው ዞን ጥግ ተንኳኳ። ማቀድ ይችላሉ?")</f>
        <v>ኢላማው ወደ መጨረሻው ዞን ጥግ ተንኳኳ። ማቀድ ይችላሉ?</v>
      </c>
      <c r="I80" s="11" t="str">
        <f>IFERROR(__xludf.DUMMYFUNCTION("GOOGLETRANSLATE(C80, ""en"", ""am"")"),"A. አዎ፣ አሁንም እውነት ነው። አይ፣ ማዕዘኖች አልተካተቱም።ሲ. አዎ፣ ግን ለተቀነሰ ነጥቦች ዲ. እንደ ዳኛው ይወሰናል.")</f>
        <v>A. አዎ፣ አሁንም እውነት ነው። አይ፣ ማዕዘኖች አልተካተቱም።ሲ. አዎ፣ ግን ለተቀነሰ ነጥቦች ዲ. እንደ ዳኛው ይወሰናል.</v>
      </c>
      <c r="J80" s="11" t="str">
        <f>IFERROR(__xludf.DUMMYFUNCTION("GOOGLETRANSLATE(D80, ""en"", ""am"")"),"አዎ፣ አሁንም እውነት ነው።")</f>
        <v>አዎ፣ አሁንም እውነት ነው።</v>
      </c>
      <c r="K80" s="11" t="str">
        <f>IFERROR(__xludf.DUMMYFUNCTION("GOOGLETRANSLATE(E80, ""en"", ""am"")"),"በተፅእኖ ዞን ውስጥ የሚገኝ ቦታ ምንም ይሁን ምን ዒላማው የሚሰራ ሆኖ ይቆያል።")</f>
        <v>በተፅእኖ ዞን ውስጥ የሚገኝ ቦታ ምንም ይሁን ምን ዒላማው የሚሰራ ሆኖ ይቆያል።</v>
      </c>
    </row>
    <row r="81" ht="22.5" customHeight="1">
      <c r="A81" s="10">
        <v>80.0</v>
      </c>
      <c r="B81" s="11" t="s">
        <v>2490</v>
      </c>
      <c r="C81" s="11" t="s">
        <v>2491</v>
      </c>
      <c r="D81" s="11" t="s">
        <v>2450</v>
      </c>
      <c r="E81" s="11" t="s">
        <v>2492</v>
      </c>
      <c r="G81" s="11" t="str">
        <f>IFERROR(__xludf.DUMMYFUNCTION("GOOGLETRANSLATE(A81, ""en"", ""am"")"),"80")</f>
        <v>80</v>
      </c>
      <c r="H81" s="11" t="str">
        <f>IFERROR(__xludf.DUMMYFUNCTION("GOOGLETRANSLATE(B81, ""en"", ""am"")"),"አንድ የቡድን ጓደኛ የተበላሸ ኳስ ሲጠቀም ያስተውላሉ። ምን ማድረግ አለቦት?")</f>
        <v>አንድ የቡድን ጓደኛ የተበላሸ ኳስ ሲጠቀም ያስተውላሉ። ምን ማድረግ አለቦት?</v>
      </c>
      <c r="I81" s="11" t="str">
        <f>IFERROR(__xludf.DUMMYFUNCTION("GOOGLETRANSLATE(C81, ""en"", ""am"")"),"ሀ. ምትክ ኳስ ቢ ይጠይቁ። መጫወቱን ይቀጥሉ.ሲ. ዙሩን ለአፍታ አቁም.ዲ. ጉዳዩን ችላ በል.")</f>
        <v>ሀ. ምትክ ኳስ ቢ ይጠይቁ። መጫወቱን ይቀጥሉ.ሲ. ዙሩን ለአፍታ አቁም.ዲ. ጉዳዩን ችላ በል.</v>
      </c>
      <c r="J81" s="11" t="str">
        <f>IFERROR(__xludf.DUMMYFUNCTION("GOOGLETRANSLATE(D81, ""en"", ""am"")"),"ምትክ ኳስ ይጠይቁ")</f>
        <v>ምትክ ኳስ ይጠይቁ</v>
      </c>
      <c r="K81" s="11" t="str">
        <f>IFERROR(__xludf.DUMMYFUNCTION("GOOGLETRANSLATE(E81, ""en"", ""am"")"),"ለፍትሃዊ ጨዋታ የተበላሹ መሳሪያዎች መተካት አለባቸው.")</f>
        <v>ለፍትሃዊ ጨዋታ የተበላሹ መሳሪያዎች መተካት አለባቸው.</v>
      </c>
    </row>
    <row r="82" ht="22.5" customHeight="1">
      <c r="A82" s="10">
        <v>81.0</v>
      </c>
      <c r="B82" s="11" t="s">
        <v>2493</v>
      </c>
      <c r="C82" s="11" t="s">
        <v>2494</v>
      </c>
      <c r="D82" s="11" t="s">
        <v>2495</v>
      </c>
      <c r="E82" s="11" t="s">
        <v>2496</v>
      </c>
      <c r="G82" s="11" t="str">
        <f>IFERROR(__xludf.DUMMYFUNCTION("GOOGLETRANSLATE(A82, ""en"", ""am"")"),"81")</f>
        <v>81</v>
      </c>
      <c r="H82" s="11" t="str">
        <f>IFERROR(__xludf.DUMMYFUNCTION("GOOGLETRANSLATE(B82, ""en"", ""am"")"),"ኳስህን ትወረውረዋለህ፣ እና ከዒላማው ወጥቶ ወደ ሌላ ኳስ ይወጣል። ምን ይሆናል?")</f>
        <v>ኳስህን ትወረውረዋለህ፣ እና ከዒላማው ወጥቶ ወደ ሌላ ኳስ ይወጣል። ምን ይሆናል?</v>
      </c>
      <c r="I82" s="11" t="str">
        <f>IFERROR(__xludf.DUMMYFUNCTION("GOOGLETRANSLATE(C82, ""en"", ""am"")"),"ሀ. ሁለቱም ኳሶች ተቆጥረዋል.ቢ. ዒላማው ብቻ ተቆጥሯል.ሲ. ምንም ነጥብ አልተሰጠም.ዲ. መወርወሩ ልክ ያልሆነ ነው።")</f>
        <v>ሀ. ሁለቱም ኳሶች ተቆጥረዋል.ቢ. ዒላማው ብቻ ተቆጥሯል.ሲ. ምንም ነጥብ አልተሰጠም.ዲ. መወርወሩ ልክ ያልሆነ ነው።</v>
      </c>
      <c r="J82" s="11" t="str">
        <f>IFERROR(__xludf.DUMMYFUNCTION("GOOGLETRANSLATE(D82, ""en"", ""am"")"),"ሁለቱም ኳሶች ተቆጥረዋል።")</f>
        <v>ሁለቱም ኳሶች ተቆጥረዋል።</v>
      </c>
      <c r="K82" s="11" t="str">
        <f>IFERROR(__xludf.DUMMYFUNCTION("GOOGLETRANSLATE(E82, ""en"", ""am"")"),"ውጤትን ለማስገኘት የሚያበረክተው ማንኛውም ትክክለኛ መስተጋብር ይቆጠራል።")</f>
        <v>ውጤትን ለማስገኘት የሚያበረክተው ማንኛውም ትክክለኛ መስተጋብር ይቆጠራል።</v>
      </c>
    </row>
    <row r="83" ht="22.5" customHeight="1">
      <c r="A83" s="10">
        <v>82.0</v>
      </c>
      <c r="B83" s="11" t="s">
        <v>2497</v>
      </c>
      <c r="C83" s="11" t="s">
        <v>2498</v>
      </c>
      <c r="D83" s="11" t="s">
        <v>2404</v>
      </c>
      <c r="E83" s="11" t="s">
        <v>2499</v>
      </c>
      <c r="G83" s="11" t="str">
        <f>IFERROR(__xludf.DUMMYFUNCTION("GOOGLETRANSLATE(A83, ""en"", ""am"")"),"82")</f>
        <v>82</v>
      </c>
      <c r="H83" s="11" t="str">
        <f>IFERROR(__xludf.DUMMYFUNCTION("GOOGLETRANSLATE(B83, ""en"", ""am"")"),"ኳሱ በትክክል ዒላማው ላይ ቢያርፍም ከተፅዕኖ በኋላ ይንከባለል። ምን ይሆናል?")</f>
        <v>ኳሱ በትክክል ዒላማው ላይ ቢያርፍም ከተፅዕኖ በኋላ ይንከባለል። ምን ይሆናል?</v>
      </c>
      <c r="I83" s="11" t="str">
        <f>IFERROR(__xludf.DUMMYFUNCTION("GOOGLETRANSLATE(C83, ""en"", ""am"")"),"ሀ. ከመንቀሳቀስ በፊት ይቆጥራሉ.B. ነጥቦች በመጨረሻው ቦታ ላይ የተመሰረቱ ናቸው.ሲ. ምንም ነጥብ አልተሰጠም.ዲ. ዳኛው ይወስናል።")</f>
        <v>ሀ. ከመንቀሳቀስ በፊት ይቆጥራሉ.B. ነጥቦች በመጨረሻው ቦታ ላይ የተመሰረቱ ናቸው.ሲ. ምንም ነጥብ አልተሰጠም.ዲ. ዳኛው ይወስናል።</v>
      </c>
      <c r="J83" s="11" t="str">
        <f>IFERROR(__xludf.DUMMYFUNCTION("GOOGLETRANSLATE(D83, ""en"", ""am"")"),"ነጥቦች በመጨረሻው ቦታ ላይ የተመሰረቱ ናቸው.")</f>
        <v>ነጥቦች በመጨረሻው ቦታ ላይ የተመሰረቱ ናቸው.</v>
      </c>
      <c r="K83" s="11" t="str">
        <f>IFERROR(__xludf.DUMMYFUNCTION("GOOGLETRANSLATE(E83, ""en"", ""am"")"),"የመጨረሻው ማረፊያ ቦታ ነጥቡን ይወስናል.")</f>
        <v>የመጨረሻው ማረፊያ ቦታ ነጥቡን ይወስናል.</v>
      </c>
    </row>
    <row r="84" ht="22.5" customHeight="1">
      <c r="A84" s="10">
        <v>83.0</v>
      </c>
      <c r="B84" s="11" t="s">
        <v>2500</v>
      </c>
      <c r="C84" s="11" t="s">
        <v>2501</v>
      </c>
      <c r="D84" s="11" t="s">
        <v>2502</v>
      </c>
      <c r="E84" s="11" t="s">
        <v>2503</v>
      </c>
      <c r="G84" s="11" t="str">
        <f>IFERROR(__xludf.DUMMYFUNCTION("GOOGLETRANSLATE(A84, ""en"", ""am"")"),"83")</f>
        <v>83</v>
      </c>
      <c r="H84" s="11" t="str">
        <f>IFERROR(__xludf.DUMMYFUNCTION("GOOGLETRANSLATE(B84, ""en"", ""am"")"),"አንድ ተጫዋች እርስዎን ለማዘናጋት ሆን ብሎ ውርወራውን ያዘገያል። ምን እርምጃ መውሰድ ይችላሉ?")</f>
        <v>አንድ ተጫዋች እርስዎን ለማዘናጋት ሆን ብሎ ውርወራውን ያዘገያል። ምን እርምጃ መውሰድ ይችላሉ?</v>
      </c>
      <c r="I84" s="11" t="str">
        <f>IFERROR(__xludf.DUMMYFUNCTION("GOOGLETRANSLATE(C84, ""en"", ""am"")"),"ሀ. ዳኛውን ለማስጠንቀቂያ ይደውሉ.B. ችላ ይበሉ እና ይጠብቁ ሲ. መዘግየትን ለማስወገድ ወዲያውኑ ያስወግዱት። ጨዋታውን ለአፍታ አቁም.")</f>
        <v>ሀ. ዳኛውን ለማስጠንቀቂያ ይደውሉ.B. ችላ ይበሉ እና ይጠብቁ ሲ. መዘግየትን ለማስወገድ ወዲያውኑ ያስወግዱት። ጨዋታውን ለአፍታ አቁም.</v>
      </c>
      <c r="J84" s="11" t="str">
        <f>IFERROR(__xludf.DUMMYFUNCTION("GOOGLETRANSLATE(D84, ""en"", ""am"")"),"ለማስጠንቀቂያ ዳኛው ይደውሉ።")</f>
        <v>ለማስጠንቀቂያ ዳኛው ይደውሉ።</v>
      </c>
      <c r="K84" s="11" t="str">
        <f>IFERROR(__xludf.DUMMYFUNCTION("GOOGLETRANSLATE(E84, ""en"", ""am"")"),"ስፖርታዊ ጨዋነት የጎደለው ድርጊት በዳኛው ማስጠንቀቂያ ይሰጣል።")</f>
        <v>ስፖርታዊ ጨዋነት የጎደለው ድርጊት በዳኛው ማስጠንቀቂያ ይሰጣል።</v>
      </c>
    </row>
    <row r="85" ht="22.5" customHeight="1">
      <c r="A85" s="10">
        <v>84.0</v>
      </c>
      <c r="B85" s="11" t="s">
        <v>2504</v>
      </c>
      <c r="C85" s="11" t="s">
        <v>2505</v>
      </c>
      <c r="D85" s="11" t="s">
        <v>2506</v>
      </c>
      <c r="E85" s="11" t="s">
        <v>2507</v>
      </c>
      <c r="G85" s="11" t="str">
        <f>IFERROR(__xludf.DUMMYFUNCTION("GOOGLETRANSLATE(A85, ""en"", ""am"")"),"84")</f>
        <v>84</v>
      </c>
      <c r="H85" s="11" t="str">
        <f>IFERROR(__xludf.DUMMYFUNCTION("GOOGLETRANSLATE(B85, ""en"", ""am"")"),"የውጤት ዞኑ ወሰን በትንሹ ተዛብቷል። ምን መደረግ አለበት?")</f>
        <v>የውጤት ዞኑ ወሰን በትንሹ ተዛብቷል። ምን መደረግ አለበት?</v>
      </c>
      <c r="I85" s="11" t="str">
        <f>IFERROR(__xludf.DUMMYFUNCTION("GOOGLETRANSLATE(C85, ""en"", ""am"")"),"ሀ. ዳኛው መስመሩን ይስላል.ቢ. ጨዋታው እንደቀጠለ ነው.ሲ. ጨዋታው ባለበት ቆሟል።ዲ. የውጤት ዞኑ መጠን ተለውጧል።")</f>
        <v>ሀ. ዳኛው መስመሩን ይስላል.ቢ. ጨዋታው እንደቀጠለ ነው.ሲ. ጨዋታው ባለበት ቆሟል።ዲ. የውጤት ዞኑ መጠን ተለውጧል።</v>
      </c>
      <c r="J85" s="11" t="str">
        <f>IFERROR(__xludf.DUMMYFUNCTION("GOOGLETRANSLATE(D85, ""en"", ""am"")"),"ዳኛው መስመር ይሳሉ።")</f>
        <v>ዳኛው መስመር ይሳሉ።</v>
      </c>
      <c r="K85" s="11" t="str">
        <f>IFERROR(__xludf.DUMMYFUNCTION("GOOGLETRANSLATE(E85, ""en"", ""am"")"),"ለፍትሃዊ ጨዋታ ግልፅ ድንበሮች አስፈላጊ ናቸው።")</f>
        <v>ለፍትሃዊ ጨዋታ ግልፅ ድንበሮች አስፈላጊ ናቸው።</v>
      </c>
    </row>
    <row r="86" ht="22.5" customHeight="1">
      <c r="A86" s="10">
        <v>85.0</v>
      </c>
      <c r="B86" s="11" t="s">
        <v>2508</v>
      </c>
      <c r="C86" s="11" t="s">
        <v>2509</v>
      </c>
      <c r="D86" s="11" t="s">
        <v>2510</v>
      </c>
      <c r="E86" s="11" t="s">
        <v>2511</v>
      </c>
      <c r="G86" s="11" t="str">
        <f>IFERROR(__xludf.DUMMYFUNCTION("GOOGLETRANSLATE(A86, ""en"", ""am"")"),"85")</f>
        <v>85</v>
      </c>
      <c r="H86" s="11" t="str">
        <f>IFERROR(__xludf.DUMMYFUNCTION("GOOGLETRANSLATE(B86, ""en"", ""am"")"),"ኳሱ ኢላማውን ቢመታም ሌላ ተጫዋች ግን ከወሰን ውጪ እንደሆነ ይናገራል። ምን ይሆናል?")</f>
        <v>ኳሱ ኢላማውን ቢመታም ሌላ ተጫዋች ግን ከወሰን ውጪ እንደሆነ ይናገራል። ምን ይሆናል?</v>
      </c>
      <c r="I86" s="11" t="str">
        <f>IFERROR(__xludf.DUMMYFUNCTION("GOOGLETRANSLATE(C86, ""en"", ""am"")"),"ሀ. ዳኛው ሂደቱን ይመረምራል.B. መዞሩ ጠፍቷል.ሲ. ነጥቦች ውድቅ ሆነዋል።ዲ. ዙሩ እንደገና ይጀምራል።")</f>
        <v>ሀ. ዳኛው ሂደቱን ይመረምራል.B. መዞሩ ጠፍቷል.ሲ. ነጥቦች ውድቅ ሆነዋል።ዲ. ዙሩ እንደገና ይጀምራል።</v>
      </c>
      <c r="J86" s="11" t="str">
        <f>IFERROR(__xludf.DUMMYFUNCTION("GOOGLETRANSLATE(D86, ""en"", ""am"")"),"ዳኛው ሂደቱን ይመረምራል።")</f>
        <v>ዳኛው ሂደቱን ይመረምራል።</v>
      </c>
      <c r="K86" s="11" t="str">
        <f>IFERROR(__xludf.DUMMYFUNCTION("GOOGLETRANSLATE(E86, ""en"", ""am"")"),"ዳኛው ትክክለኛውን የማዞሪያ ቅደም ተከተል መከተሉን ያረጋግጣል.")</f>
        <v>ዳኛው ትክክለኛውን የማዞሪያ ቅደም ተከተል መከተሉን ያረጋግጣል.</v>
      </c>
    </row>
    <row r="87" ht="22.5" customHeight="1">
      <c r="A87" s="10">
        <v>86.0</v>
      </c>
      <c r="B87" s="11" t="s">
        <v>2512</v>
      </c>
      <c r="C87" s="11" t="s">
        <v>2513</v>
      </c>
      <c r="D87" s="11" t="s">
        <v>2514</v>
      </c>
      <c r="E87" s="11" t="s">
        <v>2515</v>
      </c>
      <c r="G87" s="11" t="str">
        <f>IFERROR(__xludf.DUMMYFUNCTION("GOOGLETRANSLATE(A87, ""en"", ""am"")"),"86")</f>
        <v>86</v>
      </c>
      <c r="H87" s="11" t="str">
        <f>IFERROR(__xludf.DUMMYFUNCTION("GOOGLETRANSLATE(B87, ""en"", ""am"")"),"ኢላማው ሙሉ በሙሉ ከነጥብ ዞኑ ውጪ ነው። ቀጥሎ ምን ይሆናል?")</f>
        <v>ኢላማው ሙሉ በሙሉ ከነጥብ ዞኑ ውጪ ነው። ቀጥሎ ምን ይሆናል?</v>
      </c>
      <c r="I87" s="11" t="str">
        <f>IFERROR(__xludf.DUMMYFUNCTION("GOOGLETRANSLATE(C87, ""en"", ""am"")"),"A. ዙሩ ያበቃል.ቢ. ዒላማው ወደ መጀመሪያው ቦታ ተዘጋጅቷል.ሲ. ነጥቦች እንደገና ይሰላሉ.ዲ. ውርወራው በድጋሚ ተጫውቷል።")</f>
        <v>A. ዙሩ ያበቃል.ቢ. ዒላማው ወደ መጀመሪያው ቦታ ተዘጋጅቷል.ሲ. ነጥቦች እንደገና ይሰላሉ.ዲ. ውርወራው በድጋሚ ተጫውቷል።</v>
      </c>
      <c r="J87" s="11" t="str">
        <f>IFERROR(__xludf.DUMMYFUNCTION("GOOGLETRANSLATE(D87, ""en"", ""am"")"),"ዒላማው ወደ መጀመሪያው ቦታ ተዘጋጅቷል.")</f>
        <v>ዒላማው ወደ መጀመሪያው ቦታ ተዘጋጅቷል.</v>
      </c>
      <c r="K87" s="11" t="str">
        <f>IFERROR(__xludf.DUMMYFUNCTION("GOOGLETRANSLATE(E87, ""en"", ""am"")"),"ዒላማው የውጤት ዞኑን ከለቀቀ፣ እንደገና መጀመር አለበት።")</f>
        <v>ዒላማው የውጤት ዞኑን ከለቀቀ፣ እንደገና መጀመር አለበት።</v>
      </c>
    </row>
    <row r="88" ht="22.5" customHeight="1">
      <c r="A88" s="10">
        <v>87.0</v>
      </c>
      <c r="B88" s="11" t="s">
        <v>2516</v>
      </c>
      <c r="C88" s="11" t="s">
        <v>2517</v>
      </c>
      <c r="D88" s="11" t="s">
        <v>2518</v>
      </c>
      <c r="E88" s="11" t="s">
        <v>2519</v>
      </c>
      <c r="G88" s="11" t="str">
        <f>IFERROR(__xludf.DUMMYFUNCTION("GOOGLETRANSLATE(A88, ""en"", ""am"")"),"87")</f>
        <v>87</v>
      </c>
      <c r="H88" s="11" t="str">
        <f>IFERROR(__xludf.DUMMYFUNCTION("GOOGLETRANSLATE(B88, ""en"", ""am"")"),"አንድ ተመልካች ወደ ጎል ማስቆጠር ዞኑ ተጠግቶ ኳሱን በድንገት ያወከው። ምን ይሆናል?")</f>
        <v>አንድ ተመልካች ወደ ጎል ማስቆጠር ዞኑ ተጠግቶ ኳሱን በድንገት ያወከው። ምን ይሆናል?</v>
      </c>
      <c r="I88" s="11" t="str">
        <f>IFERROR(__xludf.DUMMYFUNCTION("GOOGLETRANSLATE(C88, ""en"", ""am"")"),"ሀ. ዳኛው የኳሱን ቦታ ይመልሳል.B. ክበቡ ቆሟል.ሲ. ጨዋታው እንደገና ተጀምሯል.ዲ. ዳኛው ተመልካቹን ይቀጣል.")</f>
        <v>ሀ. ዳኛው የኳሱን ቦታ ይመልሳል.B. ክበቡ ቆሟል.ሲ. ጨዋታው እንደገና ተጀምሯል.ዲ. ዳኛው ተመልካቹን ይቀጣል.</v>
      </c>
      <c r="J88" s="11" t="str">
        <f>IFERROR(__xludf.DUMMYFUNCTION("GOOGLETRANSLATE(D88, ""en"", ""am"")"),"ዳኛው የኳሱን ቦታ ይመልሳል።")</f>
        <v>ዳኛው የኳሱን ቦታ ይመልሳል።</v>
      </c>
      <c r="K88" s="11" t="str">
        <f>IFERROR(__xludf.DUMMYFUNCTION("GOOGLETRANSLATE(E88, ""en"", ""am"")"),"የውጭ ብጥብጦች የኳስ ቦታዎችን ወደነበሩበት በመመለስ ይፈታሉ.")</f>
        <v>የውጭ ብጥብጦች የኳስ ቦታዎችን ወደነበሩበት በመመለስ ይፈታሉ.</v>
      </c>
    </row>
    <row r="89" ht="22.5" customHeight="1">
      <c r="A89" s="10">
        <v>88.0</v>
      </c>
      <c r="B89" s="11" t="s">
        <v>2520</v>
      </c>
      <c r="C89" s="11" t="s">
        <v>2521</v>
      </c>
      <c r="D89" s="11" t="s">
        <v>2522</v>
      </c>
      <c r="E89" s="11" t="s">
        <v>2523</v>
      </c>
      <c r="G89" s="11" t="str">
        <f>IFERROR(__xludf.DUMMYFUNCTION("GOOGLETRANSLATE(A89, ""en"", ""am"")"),"88")</f>
        <v>88</v>
      </c>
      <c r="H89" s="11" t="str">
        <f>IFERROR(__xludf.DUMMYFUNCTION("GOOGLETRANSLATE(B89, ""en"", ""am"")"),"የቡድን ጓደኛዎ ኳስ ወደ ተቃዋሚው ኳስ ተጠግቶ ኢላማውን ይመታል። ምን ይሆናል?")</f>
        <v>የቡድን ጓደኛዎ ኳስ ወደ ተቃዋሚው ኳስ ተጠግቶ ኢላማውን ይመታል። ምን ይሆናል?</v>
      </c>
      <c r="I89" s="11" t="str">
        <f>IFERROR(__xludf.DUMMYFUNCTION("GOOGLETRANSLATE(C89, ""en"", ""am"")"),"ሀ. ተጋጣሚው ብዙ ነጥብ ያስመዘግብ.ቢ. የቡድንህ ኳስ ቅድሚያ ተሰጥቶታል.ሲ. አዲሱ ቦታ ነጥብ ለማስቆጠር የተነደፈ ነው.ዲ. ዙሩ እንደገና ተጀምሯል።")</f>
        <v>ሀ. ተጋጣሚው ብዙ ነጥብ ያስመዘግብ.ቢ. የቡድንህ ኳስ ቅድሚያ ተሰጥቶታል.ሲ. አዲሱ ቦታ ነጥብ ለማስቆጠር የተነደፈ ነው.ዲ. ዙሩ እንደገና ተጀምሯል።</v>
      </c>
      <c r="J89" s="11" t="str">
        <f>IFERROR(__xludf.DUMMYFUNCTION("GOOGLETRANSLATE(D89, ""en"", ""am"")"),"አዲሱ ቦታ ነጥብ ለማስቆጠር የተነደፈ ነው።")</f>
        <v>አዲሱ ቦታ ነጥብ ለማስቆጠር የተነደፈ ነው።</v>
      </c>
      <c r="K89" s="11" t="str">
        <f>IFERROR(__xludf.DUMMYFUNCTION("GOOGLETRANSLATE(E89, ""en"", ""am"")"),"ነጥብ ማስመዝገብ ሁልጊዜ የዒላማውን የመጨረሻ ቦታ ያንፀባርቃል።")</f>
        <v>ነጥብ ማስመዝገብ ሁልጊዜ የዒላማውን የመጨረሻ ቦታ ያንፀባርቃል።</v>
      </c>
    </row>
    <row r="90" ht="22.5" customHeight="1">
      <c r="A90" s="10">
        <v>89.0</v>
      </c>
      <c r="B90" s="11" t="s">
        <v>2524</v>
      </c>
      <c r="C90" s="11" t="s">
        <v>2525</v>
      </c>
      <c r="D90" s="11" t="s">
        <v>2526</v>
      </c>
      <c r="E90" s="11" t="s">
        <v>2527</v>
      </c>
      <c r="G90" s="11" t="str">
        <f>IFERROR(__xludf.DUMMYFUNCTION("GOOGLETRANSLATE(A90, ""en"", ""am"")"),"89")</f>
        <v>89</v>
      </c>
      <c r="H90" s="11" t="str">
        <f>IFERROR(__xludf.DUMMYFUNCTION("GOOGLETRANSLATE(B90, ""en"", ""am"")"),"የዳኛ ስህተት ለተሳሳተ ቡድን ነጥብ ይሰጣል። ምን ማድረግ አለቦት?")</f>
        <v>የዳኛ ስህተት ለተሳሳተ ቡድን ነጥብ ይሰጣል። ምን ማድረግ አለቦት?</v>
      </c>
      <c r="I90" s="11" t="str">
        <f>IFERROR(__xludf.DUMMYFUNCTION("GOOGLETRANSLATE(C90, ""en"", ""am"")"),"ሀ. ግምገማ ይጠይቁB. ውሳኔውን ተቀበል.ሲ. ዙሩን እንደገና ያስጀምሩ.D. ዳኛውን ፈትኑት።")</f>
        <v>ሀ. ግምገማ ይጠይቁB. ውሳኔውን ተቀበል.ሲ. ዙሩን እንደገና ያስጀምሩ.D. ዳኛውን ፈትኑት።</v>
      </c>
      <c r="J90" s="11" t="str">
        <f>IFERROR(__xludf.DUMMYFUNCTION("GOOGLETRANSLATE(D90, ""en"", ""am"")"),"ግምገማ ይጠይቁ")</f>
        <v>ግምገማ ይጠይቁ</v>
      </c>
      <c r="K90" s="11" t="str">
        <f>IFERROR(__xludf.DUMMYFUNCTION("GOOGLETRANSLATE(E90, ""en"", ""am"")"),"ዳኞች በጨዋታው ወቅት ስህተቶችን መገምገም እና ማስተካከል ይችላሉ።")</f>
        <v>ዳኞች በጨዋታው ወቅት ስህተቶችን መገምገም እና ማስተካከል ይችላሉ።</v>
      </c>
    </row>
    <row r="91" ht="22.5" customHeight="1">
      <c r="A91" s="10">
        <v>90.0</v>
      </c>
      <c r="B91" s="11" t="s">
        <v>2528</v>
      </c>
      <c r="C91" s="11" t="s">
        <v>2529</v>
      </c>
      <c r="D91" s="11" t="s">
        <v>2530</v>
      </c>
      <c r="E91" s="11" t="s">
        <v>2531</v>
      </c>
      <c r="G91" s="11" t="str">
        <f>IFERROR(__xludf.DUMMYFUNCTION("GOOGLETRANSLATE(A91, ""en"", ""am"")"),"90")</f>
        <v>90</v>
      </c>
      <c r="H91" s="11" t="str">
        <f>IFERROR(__xludf.DUMMYFUNCTION("GOOGLETRANSLATE(B91, ""en"", ""am"")"),"በአጋጣሚ ከአንድ ይልቅ ሁለት ኳሶችን ትጥላለህ። ምን ይሆናል?")</f>
        <v>በአጋጣሚ ከአንድ ይልቅ ሁለት ኳሶችን ትጥላለህ። ምን ይሆናል?</v>
      </c>
      <c r="I91" s="11" t="str">
        <f>IFERROR(__xludf.DUMMYFUNCTION("GOOGLETRANSLATE(C91, ""en"", ""am"")"),"ሀ. ሁለቱም ውርወራዎች ልክ ያልሆኑ ናቸው.ቢ. ዳኛው ዋጋ የለውም.ሲ. የመጀመሪያው ኳስ ብቻ ነው የሚሰራው.ዲ. ክበቡ ቆሟል።")</f>
        <v>ሀ. ሁለቱም ውርወራዎች ልክ ያልሆኑ ናቸው.ቢ. ዳኛው ዋጋ የለውም.ሲ. የመጀመሪያው ኳስ ብቻ ነው የሚሰራው.ዲ. ክበቡ ቆሟል።</v>
      </c>
      <c r="J91" s="11" t="str">
        <f>IFERROR(__xludf.DUMMYFUNCTION("GOOGLETRANSLATE(D91, ""en"", ""am"")"),"ሁለቱም ውርወራዎች ልክ አይደሉም።")</f>
        <v>ሁለቱም ውርወራዎች ልክ አይደሉም።</v>
      </c>
      <c r="K91" s="11" t="str">
        <f>IFERROR(__xludf.DUMMYFUNCTION("GOOGLETRANSLATE(E91, ""en"", ""am"")"),"በአንድ ጊዜ ከአንድ በላይ ኳስ መወርወር ተወርዋሪውን ያስከፍላል።")</f>
        <v>በአንድ ጊዜ ከአንድ በላይ ኳስ መወርወር ተወርዋሪውን ያስከፍላል።</v>
      </c>
    </row>
    <row r="92" ht="22.5" customHeight="1">
      <c r="A92" s="10">
        <v>91.0</v>
      </c>
      <c r="B92" s="11" t="s">
        <v>2532</v>
      </c>
      <c r="C92" s="11" t="s">
        <v>2533</v>
      </c>
      <c r="D92" s="11" t="s">
        <v>2534</v>
      </c>
      <c r="E92" s="11" t="s">
        <v>2535</v>
      </c>
      <c r="G92" s="11" t="str">
        <f>IFERROR(__xludf.DUMMYFUNCTION("GOOGLETRANSLATE(A92, ""en"", ""am"")"),"91")</f>
        <v>91</v>
      </c>
      <c r="H92" s="11" t="str">
        <f>IFERROR(__xludf.DUMMYFUNCTION("GOOGLETRANSLATE(B92, ""en"", ""am"")"),"የተጋጣሚዎ ኳስ ወደ ኢላማው ቅርብ ነው፣ ግን በከፊል ከነጥብ ዞኑ ውጪ ነው። እንዴት ይመዘገባል?")</f>
        <v>የተጋጣሚዎ ኳስ ወደ ኢላማው ቅርብ ነው፣ ግን በከፊል ከነጥብ ዞኑ ውጪ ነው። እንዴት ይመዘገባል?</v>
      </c>
      <c r="I92" s="11" t="str">
        <f>IFERROR(__xludf.DUMMYFUNCTION("GOOGLETRANSLATE(C92, ""en"", ""am"")"),"ሀ. ሙሉ ለሙሉ የሚሰራ ነው.ቢ. በከፊል እየሰራ ነው.ሲ. ልክ ያልሆነ ነው.ዲ. ዳኛው ይወስናል።")</f>
        <v>ሀ. ሙሉ ለሙሉ የሚሰራ ነው.ቢ. በከፊል እየሰራ ነው.ሲ. ልክ ያልሆነ ነው.ዲ. ዳኛው ይወስናል።</v>
      </c>
      <c r="J92" s="11" t="str">
        <f>IFERROR(__xludf.DUMMYFUNCTION("GOOGLETRANSLATE(D92, ""en"", ""am"")"),"ልክ ያልሆነ ነው።")</f>
        <v>ልክ ያልሆነ ነው።</v>
      </c>
      <c r="K92" s="11" t="str">
        <f>IFERROR(__xludf.DUMMYFUNCTION("GOOGLETRANSLATE(E92, ""en"", ""am"")"),"ኳሶች ጎል ለማግኘት ሙሉ በሙሉ በመጨረሻው ዞን ውስጥ መሆን አለባቸው።")</f>
        <v>ኳሶች ጎል ለማግኘት ሙሉ በሙሉ በመጨረሻው ዞን ውስጥ መሆን አለባቸው።</v>
      </c>
    </row>
    <row r="93" ht="22.5" customHeight="1">
      <c r="A93" s="10">
        <v>92.0</v>
      </c>
      <c r="B93" s="11" t="s">
        <v>2536</v>
      </c>
      <c r="C93" s="11" t="s">
        <v>2537</v>
      </c>
      <c r="D93" s="11" t="s">
        <v>2538</v>
      </c>
      <c r="E93" s="11" t="s">
        <v>2539</v>
      </c>
      <c r="G93" s="11" t="str">
        <f>IFERROR(__xludf.DUMMYFUNCTION("GOOGLETRANSLATE(A93, ""en"", ""am"")"),"92")</f>
        <v>92</v>
      </c>
      <c r="H93" s="11" t="str">
        <f>IFERROR(__xludf.DUMMYFUNCTION("GOOGLETRANSLATE(B93, ""en"", ""am"")"),"ዒላማው በሜዳው ውስጥ ወደተሸፈነው ቦታ ይንቀሳቀሳል. ምን ይሆናል?")</f>
        <v>ዒላማው በሜዳው ውስጥ ወደተሸፈነው ቦታ ይንቀሳቀሳል. ምን ይሆናል?</v>
      </c>
      <c r="I93" s="11" t="str">
        <f>IFERROR(__xludf.DUMMYFUNCTION("GOOGLETRANSLATE(C93, ""en"", ""am"")"),"ሀ. ዙሩ እንደተለመደው ይቀጥላል B. ዒላማው እንደገና ተጀምሯል.ሲ. ክበቡ ቆሟል.ዲ. ዳኛው ይወስናል።")</f>
        <v>ሀ. ዙሩ እንደተለመደው ይቀጥላል B. ዒላማው እንደገና ተጀምሯል.ሲ. ክበቡ ቆሟል.ዲ. ዳኛው ይወስናል።</v>
      </c>
      <c r="J93" s="11" t="str">
        <f>IFERROR(__xludf.DUMMYFUNCTION("GOOGLETRANSLATE(D93, ""en"", ""am"")"),"ዙሩ እንደተለመደው ይቀጥላል።")</f>
        <v>ዙሩ እንደተለመደው ይቀጥላል።</v>
      </c>
      <c r="K93" s="11" t="str">
        <f>IFERROR(__xludf.DUMMYFUNCTION("GOOGLETRANSLATE(E93, ""en"", ""am"")"),"የመብራት ሁኔታ ምንም ይሁን ምን ጨዋታው ይቀጥላል.")</f>
        <v>የመብራት ሁኔታ ምንም ይሁን ምን ጨዋታው ይቀጥላል.</v>
      </c>
    </row>
    <row r="94" ht="22.5" customHeight="1">
      <c r="A94" s="10">
        <v>93.0</v>
      </c>
      <c r="B94" s="11" t="s">
        <v>2540</v>
      </c>
      <c r="C94" s="11" t="s">
        <v>2541</v>
      </c>
      <c r="D94" s="11" t="s">
        <v>2542</v>
      </c>
      <c r="E94" s="11" t="s">
        <v>2543</v>
      </c>
      <c r="G94" s="11" t="str">
        <f>IFERROR(__xludf.DUMMYFUNCTION("GOOGLETRANSLATE(A94, ""en"", ""am"")"),"93")</f>
        <v>93</v>
      </c>
      <c r="H94" s="11" t="str">
        <f>IFERROR(__xludf.DUMMYFUNCTION("GOOGLETRANSLATE(B94, ""en"", ""am"")"),"የቡድን ጓደኛው በድንገት ኳሱን ወደ ተጋጣሚው የግብ ክልል ይጥላል። ምን ይሆናል?")</f>
        <v>የቡድን ጓደኛው በድንገት ኳሱን ወደ ተጋጣሚው የግብ ክልል ይጥላል። ምን ይሆናል?</v>
      </c>
      <c r="I94" s="11" t="str">
        <f>IFERROR(__xludf.DUMMYFUNCTION("GOOGLETRANSLATE(C94, ""en"", ""am"")"),"ሀ. መወርወሩ ልክ ያልሆነ ነው.ቢ. ነጥቦች ወደ ተቃዋሚው ይሄዳሉ። ኳሱ ይጣላል.ዲ. ዳኛው ቡድንህን ይቀጣል።")</f>
        <v>ሀ. መወርወሩ ልክ ያልሆነ ነው.ቢ. ነጥቦች ወደ ተቃዋሚው ይሄዳሉ። ኳሱ ይጣላል.ዲ. ዳኛው ቡድንህን ይቀጣል።</v>
      </c>
      <c r="J94" s="11" t="str">
        <f>IFERROR(__xludf.DUMMYFUNCTION("GOOGLETRANSLATE(D94, ""en"", ""am"")"),"ኳሱ ይጣላል.")</f>
        <v>ኳሱ ይጣላል.</v>
      </c>
      <c r="K94" s="11" t="str">
        <f>IFERROR(__xludf.DUMMYFUNCTION("GOOGLETRANSLATE(E94, ""en"", ""am"")"),"በተጋጣሚው የመጨረሻ ክልል ውስጥ ያሉ ኳሶች ከጨዋታ ውጪ ናቸው።")</f>
        <v>በተጋጣሚው የመጨረሻ ክልል ውስጥ ያሉ ኳሶች ከጨዋታ ውጪ ናቸው።</v>
      </c>
    </row>
    <row r="95" ht="22.5" customHeight="1">
      <c r="A95" s="10">
        <v>94.0</v>
      </c>
      <c r="B95" s="11" t="s">
        <v>2544</v>
      </c>
      <c r="C95" s="11" t="s">
        <v>2545</v>
      </c>
      <c r="D95" s="11" t="s">
        <v>2345</v>
      </c>
      <c r="E95" s="11" t="s">
        <v>2546</v>
      </c>
      <c r="G95" s="11" t="str">
        <f>IFERROR(__xludf.DUMMYFUNCTION("GOOGLETRANSLATE(A95, ""en"", ""am"")"),"94")</f>
        <v>94</v>
      </c>
      <c r="H95" s="11" t="str">
        <f>IFERROR(__xludf.DUMMYFUNCTION("GOOGLETRANSLATE(B95, ""en"", ""am"")"),"ኳስህን ትወረውራለህ, እና በድንገት በሁለት ክፍሎች ይከፈላል. ምን ይሆናል?")</f>
        <v>ኳስህን ትወረውራለህ, እና በድንገት በሁለት ክፍሎች ይከፈላል. ምን ይሆናል?</v>
      </c>
      <c r="I95" s="11" t="str">
        <f>IFERROR(__xludf.DUMMYFUNCTION("GOOGLETRANSLATE(C95, ""en"", ""am"")"),"ሀ. መወርወሩ ልክ ያልሆነ ነው.ቢ. ነጥቦች ለትልቅ ቁራጭ ይሰጣሉ.ሲ. ክበቡ ቆሟል.ዲ. ዳኛው ይወስናል።")</f>
        <v>ሀ. መወርወሩ ልክ ያልሆነ ነው.ቢ. ነጥቦች ለትልቅ ቁራጭ ይሰጣሉ.ሲ. ክበቡ ቆሟል.ዲ. ዳኛው ይወስናል።</v>
      </c>
      <c r="J95" s="11" t="str">
        <f>IFERROR(__xludf.DUMMYFUNCTION("GOOGLETRANSLATE(D95, ""en"", ""am"")"),"መወርወሩ ልክ ያልሆነ ነው።")</f>
        <v>መወርወሩ ልክ ያልሆነ ነው።</v>
      </c>
      <c r="K95" s="11" t="str">
        <f>IFERROR(__xludf.DUMMYFUNCTION("GOOGLETRANSLATE(E95, ""en"", ""am"")"),"የተበላሹ መሳሪያዎች መወርወርን ያበላሻሉ.")</f>
        <v>የተበላሹ መሳሪያዎች መወርወርን ያበላሻሉ.</v>
      </c>
    </row>
    <row r="96" ht="22.5" customHeight="1">
      <c r="A96" s="10">
        <v>95.0</v>
      </c>
      <c r="B96" s="11" t="s">
        <v>2547</v>
      </c>
      <c r="C96" s="11" t="s">
        <v>2548</v>
      </c>
      <c r="D96" s="11" t="s">
        <v>2549</v>
      </c>
      <c r="E96" s="11" t="s">
        <v>2550</v>
      </c>
      <c r="G96" s="11" t="str">
        <f>IFERROR(__xludf.DUMMYFUNCTION("GOOGLETRANSLATE(A96, ""en"", ""am"")"),"95")</f>
        <v>95</v>
      </c>
      <c r="H96" s="11" t="str">
        <f>IFERROR(__xludf.DUMMYFUNCTION("GOOGLETRANSLATE(B96, ""en"", ""am"")"),"ዒላማው ተመትቷል, ነገር ግን በሸካራ መሬት ላይ ያርፋል. ምን ይሆናል?")</f>
        <v>ዒላማው ተመትቷል, ነገር ግን በሸካራ መሬት ላይ ያርፋል. ምን ይሆናል?</v>
      </c>
      <c r="I96" s="11" t="str">
        <f>IFERROR(__xludf.DUMMYFUNCTION("GOOGLETRANSLATE(C96, ""en"", ""am"")"),"A. ዙሩ ይቀጥላል.B. ዒላማው እንደገና ተጀምሯል.ሲ. ነጥቦች ይቀነሳሉ.ዲ. ውርወራው በድጋሚ ተጫውቷል።")</f>
        <v>A. ዙሩ ይቀጥላል.B. ዒላማው እንደገና ተጀምሯል.ሲ. ነጥቦች ይቀነሳሉ.ዲ. ውርወራው በድጋሚ ተጫውቷል።</v>
      </c>
      <c r="J96" s="11" t="str">
        <f>IFERROR(__xludf.DUMMYFUNCTION("GOOGLETRANSLATE(D96, ""en"", ""am"")"),"ዙሩ ቀጥሏል።")</f>
        <v>ዙሩ ቀጥሏል።</v>
      </c>
      <c r="K96" s="11" t="str">
        <f>IFERROR(__xludf.DUMMYFUNCTION("GOOGLETRANSLATE(E96, ""en"", ""am"")"),"ያልተስተካከሉ ንጣፎች የዒላማው አቀማመጥ ትክክለኛነት ላይ ተጽዕኖ አያሳርፉም.")</f>
        <v>ያልተስተካከሉ ንጣፎች የዒላማው አቀማመጥ ትክክለኛነት ላይ ተጽዕኖ አያሳርፉም.</v>
      </c>
    </row>
    <row r="97" ht="22.5" customHeight="1">
      <c r="A97" s="10">
        <v>96.0</v>
      </c>
      <c r="B97" s="11" t="s">
        <v>2551</v>
      </c>
      <c r="C97" s="11" t="s">
        <v>2552</v>
      </c>
      <c r="D97" s="11" t="s">
        <v>2553</v>
      </c>
      <c r="E97" s="11" t="s">
        <v>2554</v>
      </c>
      <c r="G97" s="11" t="str">
        <f>IFERROR(__xludf.DUMMYFUNCTION("GOOGLETRANSLATE(A97, ""en"", ""am"")"),"96")</f>
        <v>96</v>
      </c>
      <c r="H97" s="11" t="str">
        <f>IFERROR(__xludf.DUMMYFUNCTION("GOOGLETRANSLATE(B97, ""en"", ""am"")"),"አንድ ያልተጠበቀ እንስሳ በመጨረሻው ዞን ውስጥ እየሮጠ እና ኳሶችን እያስተጓጎለ ነው. ምን መሆን አለበት?")</f>
        <v>አንድ ያልተጠበቀ እንስሳ በመጨረሻው ዞን ውስጥ እየሮጠ እና ኳሶችን እያስተጓጎለ ነው. ምን መሆን አለበት?</v>
      </c>
      <c r="I97" s="11" t="str">
        <f>IFERROR(__xludf.DUMMYFUNCTION("GOOGLETRANSLATE(C97, ""en"", ""am"")"),"ሀ. ኳሶቹ ወደ መጀመሪያ ቦታቸው ይመለሳሉ.B. ዙሩ በድጋሚ ተጫውቷል.ሲ. ዳኛው ይወስናሉ.ዲ. ዑደቱ እንዳለ ይቀጥላል።")</f>
        <v>ሀ. ኳሶቹ ወደ መጀመሪያ ቦታቸው ይመለሳሉ.B. ዙሩ በድጋሚ ተጫውቷል.ሲ. ዳኛው ይወስናሉ.ዲ. ዑደቱ እንዳለ ይቀጥላል።</v>
      </c>
      <c r="J97" s="11" t="str">
        <f>IFERROR(__xludf.DUMMYFUNCTION("GOOGLETRANSLATE(D97, ""en"", ""am"")"),"ኳሶቹ ወደ መጀመሪያ ቦታቸው ይመለሳሉ.")</f>
        <v>ኳሶቹ ወደ መጀመሪያ ቦታቸው ይመለሳሉ.</v>
      </c>
      <c r="K97" s="11" t="str">
        <f>IFERROR(__xludf.DUMMYFUNCTION("GOOGLETRANSLATE(E97, ""en"", ""am"")"),"ከተፈጥሮ ውጪ የሆኑ ብጥብጦች የኳስ ቦታዎችን በማስተካከል ይፈታሉ.")</f>
        <v>ከተፈጥሮ ውጪ የሆኑ ብጥብጦች የኳስ ቦታዎችን በማስተካከል ይፈታሉ.</v>
      </c>
    </row>
    <row r="98" ht="22.5" customHeight="1">
      <c r="A98" s="10">
        <v>97.0</v>
      </c>
      <c r="B98" s="11" t="s">
        <v>2555</v>
      </c>
      <c r="C98" s="11" t="s">
        <v>2556</v>
      </c>
      <c r="D98" s="11" t="s">
        <v>2557</v>
      </c>
      <c r="E98" s="11" t="s">
        <v>2558</v>
      </c>
      <c r="G98" s="11" t="str">
        <f>IFERROR(__xludf.DUMMYFUNCTION("GOOGLETRANSLATE(A98, ""en"", ""am"")"),"97")</f>
        <v>97</v>
      </c>
      <c r="H98" s="11" t="str">
        <f>IFERROR(__xludf.DUMMYFUNCTION("GOOGLETRANSLATE(B98, ""en"", ""am"")"),"አንድ ተጫዋች ባልተለመደ መንገድ የሚንከባለል ኳስ ይጠቀማል። ምን ይሆናል?")</f>
        <v>አንድ ተጫዋች ባልተለመደ መንገድ የሚንከባለል ኳስ ይጠቀማል። ምን ይሆናል?</v>
      </c>
      <c r="I98" s="11" t="str">
        <f>IFERROR(__xludf.DUMMYFUNCTION("GOOGLETRANSLATE(C98, ""en"", ""am"")"),"ሀ. ኳሱ ይፈቀዳል.ቢ. ተጫዋቹ ማስጠንቀቂያ ተሰጥቶታል.ሲ. ኳሱ ተተካ.ዲ. ክበቡ ቆሟል።")</f>
        <v>ሀ. ኳሱ ይፈቀዳል.ቢ. ተጫዋቹ ማስጠንቀቂያ ተሰጥቶታል.ሲ. ኳሱ ተተካ.ዲ. ክበቡ ቆሟል።</v>
      </c>
      <c r="J98" s="11" t="str">
        <f>IFERROR(__xludf.DUMMYFUNCTION("GOOGLETRANSLATE(D98, ""en"", ""am"")"),"ኳሱ ተተክቷል.")</f>
        <v>ኳሱ ተተክቷል.</v>
      </c>
      <c r="K98" s="11" t="str">
        <f>IFERROR(__xludf.DUMMYFUNCTION("GOOGLETRANSLATE(E98, ""en"", ""am"")"),"ተጨዋቾች ለፍትሃዊ ጨዋታ የመቆጣጠሪያ ኳሶችን መጠቀም አለባቸው።")</f>
        <v>ተጨዋቾች ለፍትሃዊ ጨዋታ የመቆጣጠሪያ ኳሶችን መጠቀም አለባቸው።</v>
      </c>
    </row>
    <row r="99" ht="22.5" customHeight="1">
      <c r="A99" s="10">
        <v>98.0</v>
      </c>
      <c r="B99" s="11" t="s">
        <v>2559</v>
      </c>
      <c r="C99" s="11" t="s">
        <v>2560</v>
      </c>
      <c r="D99" s="11" t="s">
        <v>2345</v>
      </c>
      <c r="E99" s="11" t="s">
        <v>2561</v>
      </c>
      <c r="G99" s="11" t="str">
        <f>IFERROR(__xludf.DUMMYFUNCTION("GOOGLETRANSLATE(A99, ""en"", ""am"")"),"98")</f>
        <v>98</v>
      </c>
      <c r="H99" s="11" t="str">
        <f>IFERROR(__xludf.DUMMYFUNCTION("GOOGLETRANSLATE(B99, ""en"", ""am"")"),"የቡድን ጓደኛዎ ኳሱን በጣም አጥብቆ ይጥለዋል፣ እና ከድንበር ውጪ ነው የሚበርው። ምን ይሆናል?")</f>
        <v>የቡድን ጓደኛዎ ኳሱን በጣም አጥብቆ ይጥለዋል፣ እና ከድንበር ውጪ ነው የሚበርው። ምን ይሆናል?</v>
      </c>
      <c r="I99" s="11" t="str">
        <f>IFERROR(__xludf.DUMMYFUNCTION("GOOGLETRANSLATE(C99, ""en"", ""am"")"),"ሀ. መወርወሩ ልክ ያልሆነ ነው.ቢ. ዙሩ እንደገና ተጀምሯል.ሲ. ነጥቦች ተቀንሰዋል ዲ. ዳኛው ማስጠንቀቂያ ሰጥተዋል።")</f>
        <v>ሀ. መወርወሩ ልክ ያልሆነ ነው.ቢ. ዙሩ እንደገና ተጀምሯል.ሲ. ነጥቦች ተቀንሰዋል ዲ. ዳኛው ማስጠንቀቂያ ሰጥተዋል።</v>
      </c>
      <c r="J99" s="11" t="str">
        <f>IFERROR(__xludf.DUMMYFUNCTION("GOOGLETRANSLATE(D99, ""en"", ""am"")"),"መወርወሩ ልክ ያልሆነ ነው።")</f>
        <v>መወርወሩ ልክ ያልሆነ ነው።</v>
      </c>
      <c r="K99" s="11" t="str">
        <f>IFERROR(__xludf.DUMMYFUNCTION("GOOGLETRANSLATE(E99, ""en"", ""am"")"),"ኳሶች ትክክለኛ እንዲሆኑ በመስክ ላይ መቆየት አለባቸው።")</f>
        <v>ኳሶች ትክክለኛ እንዲሆኑ በመስክ ላይ መቆየት አለባቸው።</v>
      </c>
    </row>
    <row r="100" ht="22.5" customHeight="1">
      <c r="A100" s="10">
        <v>99.0</v>
      </c>
      <c r="B100" s="11" t="s">
        <v>2562</v>
      </c>
      <c r="C100" s="11" t="s">
        <v>2563</v>
      </c>
      <c r="D100" s="11" t="s">
        <v>2564</v>
      </c>
      <c r="E100" s="11" t="s">
        <v>2565</v>
      </c>
      <c r="G100" s="11" t="str">
        <f>IFERROR(__xludf.DUMMYFUNCTION("GOOGLETRANSLATE(A100, ""en"", ""am"")"),"99")</f>
        <v>99</v>
      </c>
      <c r="H100" s="11" t="str">
        <f>IFERROR(__xludf.DUMMYFUNCTION("GOOGLETRANSLATE(B100, ""en"", ""am"")"),"ኃይለኛ የንፋስ ነበልባል ዒላማውን ወደ ተቃዋሚው ኳስ ይጠጋል። ምን ይሆናል?")</f>
        <v>ኃይለኛ የንፋስ ነበልባል ዒላማውን ወደ ተቃዋሚው ኳስ ይጠጋል። ምን ይሆናል?</v>
      </c>
      <c r="I100" s="11" t="str">
        <f>IFERROR(__xludf.DUMMYFUNCTION("GOOGLETRANSLATE(C100, ""en"", ""am"")"),"ሀ. አዲሱ ቦታ ትክክል ነው.ቢ. ዒላማው እንደገና ተጀምሯል.ሲ. ነጥቦች እንደገና ይሰላሉ.ዲ. ክበቡ ቆሟል።")</f>
        <v>ሀ. አዲሱ ቦታ ትክክል ነው.ቢ. ዒላማው እንደገና ተጀምሯል.ሲ. ነጥቦች እንደገና ይሰላሉ.ዲ. ክበቡ ቆሟል።</v>
      </c>
      <c r="J100" s="11" t="str">
        <f>IFERROR(__xludf.DUMMYFUNCTION("GOOGLETRANSLATE(D100, ""en"", ""am"")"),"አዲሱ ቦታ ትክክል ነው።")</f>
        <v>አዲሱ ቦታ ትክክል ነው።</v>
      </c>
      <c r="K100" s="11" t="str">
        <f>IFERROR(__xludf.DUMMYFUNCTION("GOOGLETRANSLATE(E100, ""en"", ""am"")"),"የአካባቢ ሁኔታዎች ትክክለኛ የሆነ አዲስ የዒላማ ቦታ ይመሰርታሉ።")</f>
        <v>የአካባቢ ሁኔታዎች ትክክለኛ የሆነ አዲስ የዒላማ ቦታ ይመሰርታሉ።</v>
      </c>
    </row>
    <row r="101" ht="22.5" customHeight="1">
      <c r="A101" s="10">
        <v>100.0</v>
      </c>
      <c r="B101" s="11" t="s">
        <v>2566</v>
      </c>
      <c r="C101" s="11" t="s">
        <v>2567</v>
      </c>
      <c r="D101" s="11" t="s">
        <v>2568</v>
      </c>
      <c r="E101" s="11" t="s">
        <v>2569</v>
      </c>
      <c r="G101" s="11" t="str">
        <f>IFERROR(__xludf.DUMMYFUNCTION("GOOGLETRANSLATE(A101, ""en"", ""am"")"),"100")</f>
        <v>100</v>
      </c>
      <c r="H101" s="11" t="str">
        <f>IFERROR(__xludf.DUMMYFUNCTION("GOOGLETRANSLATE(B101, ""en"", ""am"")"),"ተቃዋሚዎ ኳስዎ ኢላማውን እንደመታ ይናገራል, ነገር ግን አላዩትም. ምን ይሆናል?")</f>
        <v>ተቃዋሚዎ ኳስዎ ኢላማውን እንደመታ ይናገራል, ነገር ግን አላዩትም. ምን ይሆናል?</v>
      </c>
      <c r="I101" s="11" t="str">
        <f>IFERROR(__xludf.DUMMYFUNCTION("GOOGLETRANSLATE(C101, ""en"", ""am"")"),"ሀ. ዳኛው ይወስናሉ.B. መወርወሩ ልክ ያልሆነ ነው።ሲ. የይገባኛል ጥያቄው ችላ ተብሏል ዲ. ሁለቱም ውርወራዎች እንደገና ይጫወታሉ።")</f>
        <v>ሀ. ዳኛው ይወስናሉ.B. መወርወሩ ልክ ያልሆነ ነው።ሲ. የይገባኛል ጥያቄው ችላ ተብሏል ዲ. ሁለቱም ውርወራዎች እንደገና ይጫወታሉ።</v>
      </c>
      <c r="J101" s="11" t="str">
        <f>IFERROR(__xludf.DUMMYFUNCTION("GOOGLETRANSLATE(D101, ""en"", ""am"")"),"ዳኛው ይወስናል።")</f>
        <v>ዳኛው ይወስናል።</v>
      </c>
      <c r="K101" s="11" t="str">
        <f>IFERROR(__xludf.DUMMYFUNCTION("GOOGLETRANSLATE(E101, ""en"", ""am"")"),"በተጨቃጨቁ ሁኔታዎች ውስጥ, ዳኛው የመጨረሻው ውሳኔ አለው.")</f>
        <v>በተጨቃጨቁ ሁኔታዎች ውስጥ, ዳኛው የመጨረሻው ውሳኔ አለው.</v>
      </c>
    </row>
    <row r="102" ht="22.5" customHeight="1">
      <c r="A102" s="10">
        <v>101.0</v>
      </c>
      <c r="B102" s="11" t="s">
        <v>2570</v>
      </c>
      <c r="C102" s="11" t="s">
        <v>2571</v>
      </c>
      <c r="D102" s="11" t="s">
        <v>2572</v>
      </c>
      <c r="E102" s="11" t="s">
        <v>2573</v>
      </c>
      <c r="G102" s="11" t="str">
        <f>IFERROR(__xludf.DUMMYFUNCTION("GOOGLETRANSLATE(A102, ""en"", ""am"")"),"101")</f>
        <v>101</v>
      </c>
      <c r="H102" s="11" t="str">
        <f>IFERROR(__xludf.DUMMYFUNCTION("GOOGLETRANSLATE(B102, ""en"", ""am"")"),"አንድ ተጫዋች ሆን ብሎ በመወርወር ወቅት በመጮህ ሌሎችን ያናጋል። ምን ማድረግ አለቦት?")</f>
        <v>አንድ ተጫዋች ሆን ብሎ በመወርወር ወቅት በመጮህ ሌሎችን ያናጋል። ምን ማድረግ አለቦት?</v>
      </c>
      <c r="I102" s="11" t="str">
        <f>IFERROR(__xludf.DUMMYFUNCTION("GOOGLETRANSLATE(C102, ""en"", ""am"")"),"ሀ. ችላ በል እና ተጫወት.B. ለዳኛው ሪፖርት አድርግ.ሲ. ዙሩን ለአፍታ አቁም.ዲ. ውርወራዎን እንደገና ይጫወቱ።")</f>
        <v>ሀ. ችላ በል እና ተጫወት.B. ለዳኛው ሪፖርት አድርግ.ሲ. ዙሩን ለአፍታ አቁም.ዲ. ውርወራዎን እንደገና ይጫወቱ።</v>
      </c>
      <c r="J102" s="11" t="str">
        <f>IFERROR(__xludf.DUMMYFUNCTION("GOOGLETRANSLATE(D102, ""en"", ""am"")"),"ለዳኛው ሪፖርት አድርግ።")</f>
        <v>ለዳኛው ሪፖርት አድርግ።</v>
      </c>
      <c r="K102" s="11" t="str">
        <f>IFERROR(__xludf.DUMMYFUNCTION("GOOGLETRANSLATE(E102, ""en"", ""am"")"),"የሚረብሽ ባህሪ ወደ ዳኛ ጣልቃ ገብነት ሊያመራ ይችላል.")</f>
        <v>የሚረብሽ ባህሪ ወደ ዳኛ ጣልቃ ገብነት ሊያመራ ይችላል.</v>
      </c>
    </row>
    <row r="103" ht="22.5" customHeight="1">
      <c r="A103" s="10">
        <v>102.0</v>
      </c>
      <c r="B103" s="11" t="s">
        <v>2574</v>
      </c>
      <c r="C103" s="11" t="s">
        <v>2575</v>
      </c>
      <c r="D103" s="11" t="s">
        <v>2576</v>
      </c>
      <c r="E103" s="11" t="s">
        <v>2577</v>
      </c>
      <c r="G103" s="11" t="str">
        <f>IFERROR(__xludf.DUMMYFUNCTION("GOOGLETRANSLATE(A103, ""en"", ""am"")"),"102")</f>
        <v>102</v>
      </c>
      <c r="H103" s="11" t="str">
        <f>IFERROR(__xludf.DUMMYFUNCTION("GOOGLETRANSLATE(B103, ""en"", ""am"")"),"ኳሱ ብዙም ኢላማውን ሳይወጣ ቢቀርም ሌላ ኳስ በጥሩ ሁኔታ ወጥቷል። ማን አስቆጥሯል?")</f>
        <v>ኳሱ ብዙም ኢላማውን ሳይወጣ ቢቀርም ሌላ ኳስ በጥሩ ሁኔታ ወጥቷል። ማን አስቆጥሯል?</v>
      </c>
      <c r="I103" s="11" t="str">
        <f>IFERROR(__xludf.DUMMYFUNCTION("GOOGLETRANSLATE(C103, ""en"", ""am"")"),"A. የመጀመሪያውን ጎል አስቆጠረ.ቢ. ሁለተኛው ግብ ተቆጠረ.ሲ. ሁለቱም ኳሶች ይመታሉ። ምንም ነጥብ አልተሰጠም።")</f>
        <v>A. የመጀመሪያውን ጎል አስቆጠረ.ቢ. ሁለተኛው ግብ ተቆጠረ.ሲ. ሁለቱም ኳሶች ይመታሉ። ምንም ነጥብ አልተሰጠም።</v>
      </c>
      <c r="J103" s="11" t="str">
        <f>IFERROR(__xludf.DUMMYFUNCTION("GOOGLETRANSLATE(D103, ""en"", ""am"")"),"ሁለተኛው ግብ ተቆጠረ።")</f>
        <v>ሁለተኛው ግብ ተቆጠረ።</v>
      </c>
      <c r="K103" s="11" t="str">
        <f>IFERROR(__xludf.DUMMYFUNCTION("GOOGLETRANSLATE(E103, ""en"", ""am"")"),"ከፍተኛ ተጽዕኖ ያለው ኳስ.")</f>
        <v>ከፍተኛ ተጽዕኖ ያለው ኳስ.</v>
      </c>
    </row>
    <row r="104" ht="22.5" customHeight="1">
      <c r="A104" s="10">
        <v>103.0</v>
      </c>
      <c r="B104" s="11" t="s">
        <v>2578</v>
      </c>
      <c r="C104" s="11" t="s">
        <v>2579</v>
      </c>
      <c r="D104" s="11" t="s">
        <v>101</v>
      </c>
      <c r="E104" s="11" t="s">
        <v>2580</v>
      </c>
      <c r="G104" s="11" t="str">
        <f>IFERROR(__xludf.DUMMYFUNCTION("GOOGLETRANSLATE(A104, ""en"", ""am"")"),"103")</f>
        <v>103</v>
      </c>
      <c r="H104" s="11" t="str">
        <f>IFERROR(__xludf.DUMMYFUNCTION("GOOGLETRANSLATE(B104, ""en"", ""am"")"),"ኢላማው ያልተስተካከለ መሬት ላይ ስለሚያርፍ ለመድረስ አስቸጋሪ ያደርገዋል። ምን ይሆናል?")</f>
        <v>ኢላማው ያልተስተካከለ መሬት ላይ ስለሚያርፍ ለመድረስ አስቸጋሪ ያደርገዋል። ምን ይሆናል?</v>
      </c>
      <c r="I104" s="11" t="str">
        <f>IFERROR(__xludf.DUMMYFUNCTION("GOOGLETRANSLATE(C104, ""en"", ""am"")"),"ሀ. ጨዋታው ይቀጥላል.ቢ. ዒላማው እንደገና ተጀምሯል.ሲ. ነጥቦች በግማሽ ተከፍለዋል። ዙሩ በድጋሚ ተካሂዷል።")</f>
        <v>ሀ. ጨዋታው ይቀጥላል.ቢ. ዒላማው እንደገና ተጀምሯል.ሲ. ነጥቦች በግማሽ ተከፍለዋል። ዙሩ በድጋሚ ተካሂዷል።</v>
      </c>
      <c r="J104" s="11" t="str">
        <f>IFERROR(__xludf.DUMMYFUNCTION("GOOGLETRANSLATE(D104, ""en"", ""am"")"),"ጨዋታው ቀጥሏል።")</f>
        <v>ጨዋታው ቀጥሏል።</v>
      </c>
      <c r="K104" s="11" t="str">
        <f>IFERROR(__xludf.DUMMYFUNCTION("GOOGLETRANSLATE(E104, ""en"", ""am"")"),"የመሬቱ አቀማመጥ ምንም ይሁን ምን ዒላማው ልክ እንደሆነ ይቆያል።")</f>
        <v>የመሬቱ አቀማመጥ ምንም ይሁን ምን ዒላማው ልክ እንደሆነ ይቆያል።</v>
      </c>
    </row>
    <row r="105" ht="22.5" customHeight="1">
      <c r="A105" s="10">
        <v>104.0</v>
      </c>
      <c r="B105" s="11" t="s">
        <v>2581</v>
      </c>
      <c r="C105" s="11" t="s">
        <v>2582</v>
      </c>
      <c r="D105" s="11" t="s">
        <v>2396</v>
      </c>
      <c r="E105" s="11" t="s">
        <v>2583</v>
      </c>
      <c r="G105" s="11" t="str">
        <f>IFERROR(__xludf.DUMMYFUNCTION("GOOGLETRANSLATE(A105, ""en"", ""am"")"),"104")</f>
        <v>104</v>
      </c>
      <c r="H105" s="11" t="str">
        <f>IFERROR(__xludf.DUMMYFUNCTION("GOOGLETRANSLATE(B105, ""en"", ""am"")"),"ኳስህ ወደ ኢላማው በጣም ቅርብ ናት ነገርግን ዳኛው ህገወጥ ውርወራ አስተውለዋል። ምን ይሆናል?")</f>
        <v>ኳስህ ወደ ኢላማው በጣም ቅርብ ናት ነገርግን ዳኛው ህገወጥ ውርወራ አስተውለዋል። ምን ይሆናል?</v>
      </c>
      <c r="I105" s="11" t="str">
        <f>IFERROR(__xludf.DUMMYFUNCTION("GOOGLETRANSLATE(C105, ""en"", ""am"")"),"ሀ. መጣል ዋጋ የለውም.ቢ. የተሸለሙ ነጥቦች ሲ. ክበቡ ቆሟል.ዲ. ዳኛው ይወስናል።")</f>
        <v>ሀ. መጣል ዋጋ የለውም.ቢ. የተሸለሙ ነጥቦች ሲ. ክበቡ ቆሟል.ዲ. ዳኛው ይወስናል።</v>
      </c>
      <c r="J105" s="11" t="str">
        <f>IFERROR(__xludf.DUMMYFUNCTION("GOOGLETRANSLATE(D105, ""en"", ""am"")"),"መጣል ዋጋ የለውም።")</f>
        <v>መጣል ዋጋ የለውም።</v>
      </c>
      <c r="K105" s="11" t="str">
        <f>IFERROR(__xludf.DUMMYFUNCTION("GOOGLETRANSLATE(E105, ""en"", ""am"")"),"ህገወጥ ውርወራ ውርወራውን ብቁ ያደርገዋል።")</f>
        <v>ህገወጥ ውርወራ ውርወራውን ብቁ ያደርገዋል።</v>
      </c>
    </row>
    <row r="106" ht="22.5" customHeight="1">
      <c r="A106" s="10">
        <v>105.0</v>
      </c>
      <c r="B106" s="11" t="s">
        <v>2584</v>
      </c>
      <c r="C106" s="11" t="s">
        <v>2585</v>
      </c>
      <c r="D106" s="11" t="s">
        <v>2345</v>
      </c>
      <c r="E106" s="11" t="s">
        <v>2586</v>
      </c>
      <c r="G106" s="11" t="str">
        <f>IFERROR(__xludf.DUMMYFUNCTION("GOOGLETRANSLATE(A106, ""en"", ""am"")"),"105")</f>
        <v>105</v>
      </c>
      <c r="H106" s="11" t="str">
        <f>IFERROR(__xludf.DUMMYFUNCTION("GOOGLETRANSLATE(B106, ""en"", ""am"")"),"በአጋጣሚ ኳሱን በተራው ወደ ውጭ ይጥሉታል። ምን ይሆናል?")</f>
        <v>በአጋጣሚ ኳሱን በተራው ወደ ውጭ ይጥሉታል። ምን ይሆናል?</v>
      </c>
      <c r="I106" s="11" t="str">
        <f>IFERROR(__xludf.DUMMYFUNCTION("GOOGLETRANSLATE(C106, ""en"", ""am"")"),"ሀ. መወርወሩ ልክ ያልሆነ ነው.ቢ. ዙሩ እንደገና ተጀምሯል.ሲ. ነጥቦች ተቀንሰዋል ዲ. ኳሱ ይጣላል.")</f>
        <v>ሀ. መወርወሩ ልክ ያልሆነ ነው.ቢ. ዙሩ እንደገና ተጀምሯል.ሲ. ነጥቦች ተቀንሰዋል ዲ. ኳሱ ይጣላል.</v>
      </c>
      <c r="J106" s="11" t="str">
        <f>IFERROR(__xludf.DUMMYFUNCTION("GOOGLETRANSLATE(D106, ""en"", ""am"")"),"መወርወሩ ልክ ያልሆነ ነው።")</f>
        <v>መወርወሩ ልክ ያልሆነ ነው።</v>
      </c>
      <c r="K106" s="11" t="str">
        <f>IFERROR(__xludf.DUMMYFUNCTION("GOOGLETRANSLATE(E106, ""en"", ""am"")"),"በየተራ የሚዋጉ አይቆጠሩም።")</f>
        <v>በየተራ የሚዋጉ አይቆጠሩም።</v>
      </c>
    </row>
    <row r="107" ht="22.5" customHeight="1">
      <c r="A107" s="10">
        <v>106.0</v>
      </c>
      <c r="B107" s="11" t="s">
        <v>2587</v>
      </c>
      <c r="C107" s="11" t="s">
        <v>2588</v>
      </c>
      <c r="D107" s="11" t="s">
        <v>2219</v>
      </c>
      <c r="E107" s="11" t="s">
        <v>2589</v>
      </c>
      <c r="G107" s="11" t="str">
        <f>IFERROR(__xludf.DUMMYFUNCTION("GOOGLETRANSLATE(A107, ""en"", ""am"")"),"106")</f>
        <v>106</v>
      </c>
      <c r="H107" s="11" t="str">
        <f>IFERROR(__xludf.DUMMYFUNCTION("GOOGLETRANSLATE(B107, ""en"", ""am"")"),"ተመልካች አንድ ተጫዋች የት እንደሚጥል ይመክራል። ምን መሆን አለበት?")</f>
        <v>ተመልካች አንድ ተጫዋች የት እንደሚጥል ይመክራል። ምን መሆን አለበት?</v>
      </c>
      <c r="I107" s="11" t="str">
        <f>IFERROR(__xludf.DUMMYFUNCTION("GOOGLETRANSLATE(C107, ""en"", ""am"")"),"አ.ተጫዋቹ ማስጠንቀቂያ ተሰጥቶታል.ቢ. ክበቡ ቆሟል.ሲ. ተመልካቹ ይወገዳል.ዲ. መወርወሩ ልክ ያልሆነ ነው።")</f>
        <v>አ.ተጫዋቹ ማስጠንቀቂያ ተሰጥቶታል.ቢ. ክበቡ ቆሟል.ሲ. ተመልካቹ ይወገዳል.ዲ. መወርወሩ ልክ ያልሆነ ነው።</v>
      </c>
      <c r="J107" s="11" t="str">
        <f>IFERROR(__xludf.DUMMYFUNCTION("GOOGLETRANSLATE(D107, ""en"", ""am"")"),"ተጫዋቹ ማስጠንቀቂያ ተሰጥቶታል።")</f>
        <v>ተጫዋቹ ማስጠንቀቂያ ተሰጥቶታል።</v>
      </c>
      <c r="K107" s="11" t="str">
        <f>IFERROR(__xludf.DUMMYFUNCTION("GOOGLETRANSLATE(E107, ""en"", ""am"")"),"በጨዋታው ወቅት የውጪ ምክር አይፈቀድም.")</f>
        <v>በጨዋታው ወቅት የውጪ ምክር አይፈቀድም.</v>
      </c>
    </row>
    <row r="108" ht="22.5" customHeight="1">
      <c r="A108" s="10">
        <v>107.0</v>
      </c>
      <c r="B108" s="11" t="s">
        <v>2590</v>
      </c>
      <c r="C108" s="11" t="s">
        <v>2591</v>
      </c>
      <c r="D108" s="11" t="s">
        <v>2592</v>
      </c>
      <c r="E108" s="11" t="s">
        <v>2593</v>
      </c>
      <c r="G108" s="11" t="str">
        <f>IFERROR(__xludf.DUMMYFUNCTION("GOOGLETRANSLATE(A108, ""en"", ""am"")"),"107")</f>
        <v>107</v>
      </c>
      <c r="H108" s="11" t="str">
        <f>IFERROR(__xludf.DUMMYFUNCTION("GOOGLETRANSLATE(B108, ""en"", ""am"")"),"ኳሱ ኢላማው ላይ አርፎ እዚያው ይቆያል። ምን ይሆናል?")</f>
        <v>ኳሱ ኢላማው ላይ አርፎ እዚያው ይቆያል። ምን ይሆናል?</v>
      </c>
      <c r="I108" s="11" t="str">
        <f>IFERROR(__xludf.DUMMYFUNCTION("GOOGLETRANSLATE(C108, ""en"", ""am"")"),"A. እርስዎ ከፍተኛ ነጥብ ያስመዘገቡ.B. ምንም ነጥብ አላስመዘገብክም።ሲ. ዙሩ በድጋሚ ተጫውቷል.ዲ. ዳኛው ይወስናል።")</f>
        <v>A. እርስዎ ከፍተኛ ነጥብ ያስመዘገቡ.B. ምንም ነጥብ አላስመዘገብክም።ሲ. ዙሩ በድጋሚ ተጫውቷል.ዲ. ዳኛው ይወስናል።</v>
      </c>
      <c r="J108" s="11" t="str">
        <f>IFERROR(__xludf.DUMMYFUNCTION("GOOGLETRANSLATE(D108, ""en"", ""am"")"),"ከፍተኛ ነጥብ አስመዝግበሃል።")</f>
        <v>ከፍተኛ ነጥብ አስመዝግበሃል።</v>
      </c>
      <c r="K108" s="11" t="str">
        <f>IFERROR(__xludf.DUMMYFUNCTION("GOOGLETRANSLATE(E108, ""en"", ""am"")"),"በዒላማው ላይ በቀጥታ ማረፍ ከፍተኛውን ነጥብ ያስገኝልዎታል.")</f>
        <v>በዒላማው ላይ በቀጥታ ማረፍ ከፍተኛውን ነጥብ ያስገኝልዎታል.</v>
      </c>
    </row>
    <row r="109" ht="22.5" customHeight="1">
      <c r="A109" s="10">
        <v>108.0</v>
      </c>
      <c r="B109" s="11" t="s">
        <v>2594</v>
      </c>
      <c r="C109" s="11" t="s">
        <v>2595</v>
      </c>
      <c r="D109" s="11" t="s">
        <v>2596</v>
      </c>
      <c r="E109" s="11" t="s">
        <v>2597</v>
      </c>
      <c r="G109" s="11" t="str">
        <f>IFERROR(__xludf.DUMMYFUNCTION("GOOGLETRANSLATE(A109, ""en"", ""am"")"),"108")</f>
        <v>108</v>
      </c>
      <c r="H109" s="11" t="str">
        <f>IFERROR(__xludf.DUMMYFUNCTION("GOOGLETRANSLATE(B109, ""en"", ""am"")"),"ዒላማው ከተመታ በኋላ በዛፍ ስር ይንቀሳቀሳል. መቀጠል ትችላለህ?")</f>
        <v>ዒላማው ከተመታ በኋላ በዛፍ ስር ይንቀሳቀሳል. መቀጠል ትችላለህ?</v>
      </c>
      <c r="I109" s="11" t="str">
        <f>IFERROR(__xludf.DUMMYFUNCTION("GOOGLETRANSLATE(C109, ""en"", ""am"")"),"ሀ. አዎ፣ ኢላማው አሁንም ልክ ነው.ቢ. አይ፣ እንደገና መጀመር አለበት።ሲ. አዎ፣ ግን በተቀነሰ ነጥቦችD አይ ዙሩ ቆሟል።")</f>
        <v>ሀ. አዎ፣ ኢላማው አሁንም ልክ ነው.ቢ. አይ፣ እንደገና መጀመር አለበት።ሲ. አዎ፣ ግን በተቀነሰ ነጥቦችD አይ ዙሩ ቆሟል።</v>
      </c>
      <c r="J109" s="11" t="str">
        <f>IFERROR(__xludf.DUMMYFUNCTION("GOOGLETRANSLATE(D109, ""en"", ""am"")"),"አዎ፣ ኢላማው አሁንም ልክ ነው።")</f>
        <v>አዎ፣ ኢላማው አሁንም ልክ ነው።</v>
      </c>
      <c r="K109" s="11" t="str">
        <f>IFERROR(__xludf.DUMMYFUNCTION("GOOGLETRANSLATE(E109, ""en"", ""am"")"),"የዒላማው አዲስ ቦታ ለውጤት የሚውል ሆኖ ይቆያል።")</f>
        <v>የዒላማው አዲስ ቦታ ለውጤት የሚውል ሆኖ ይቆያል።</v>
      </c>
    </row>
    <row r="110" ht="22.5" customHeight="1">
      <c r="A110" s="10">
        <v>109.0</v>
      </c>
      <c r="B110" s="11" t="s">
        <v>2598</v>
      </c>
      <c r="C110" s="11" t="s">
        <v>2599</v>
      </c>
      <c r="D110" s="11" t="s">
        <v>2345</v>
      </c>
      <c r="E110" s="11" t="s">
        <v>2600</v>
      </c>
      <c r="G110" s="11" t="str">
        <f>IFERROR(__xludf.DUMMYFUNCTION("GOOGLETRANSLATE(A110, ""en"", ""am"")"),"109")</f>
        <v>109</v>
      </c>
      <c r="H110" s="11" t="str">
        <f>IFERROR(__xludf.DUMMYFUNCTION("GOOGLETRANSLATE(B110, ""en"", ""am"")"),"የቡድን አጋራቸው በውርወራቸው ወቅት ኢላማውን በስህተት ይመታል። ምን ይሆናል?")</f>
        <v>የቡድን አጋራቸው በውርወራቸው ወቅት ኢላማውን በስህተት ይመታል። ምን ይሆናል?</v>
      </c>
      <c r="I110" s="11" t="str">
        <f>IFERROR(__xludf.DUMMYFUNCTION("GOOGLETRANSLATE(C110, ""en"", ""am"")"),"ሀ. ዙሩ የተሳሳተ ነው.ቢ. ዒላማው እንደገና ተጀምሯል.ሲ. መወርወሩ ልክ ያልሆነ ነው.ዲ. ዳኛው ይወስናል።")</f>
        <v>ሀ. ዙሩ የተሳሳተ ነው.ቢ. ዒላማው እንደገና ተጀምሯል.ሲ. መወርወሩ ልክ ያልሆነ ነው.ዲ. ዳኛው ይወስናል።</v>
      </c>
      <c r="J110" s="11" t="str">
        <f>IFERROR(__xludf.DUMMYFUNCTION("GOOGLETRANSLATE(D110, ""en"", ""am"")"),"መወርወሩ ልክ ያልሆነ ነው።")</f>
        <v>መወርወሩ ልክ ያልሆነ ነው።</v>
      </c>
      <c r="K110" s="11" t="str">
        <f>IFERROR(__xludf.DUMMYFUNCTION("GOOGLETRANSLATE(E110, ""en"", ""am"")"),"ተጫዋቾች ኢላማውን በአካል ከማወክ መቆጠብ አለባቸው።")</f>
        <v>ተጫዋቾች ኢላማውን በአካል ከማወክ መቆጠብ አለባቸው።</v>
      </c>
    </row>
    <row r="111" ht="22.5" customHeight="1">
      <c r="A111" s="10">
        <v>110.0</v>
      </c>
      <c r="B111" s="11" t="s">
        <v>2601</v>
      </c>
      <c r="C111" s="11" t="s">
        <v>2602</v>
      </c>
      <c r="D111" s="11" t="s">
        <v>2603</v>
      </c>
      <c r="E111" s="11" t="s">
        <v>2604</v>
      </c>
      <c r="G111" s="11" t="str">
        <f>IFERROR(__xludf.DUMMYFUNCTION("GOOGLETRANSLATE(A111, ""en"", ""am"")"),"110")</f>
        <v>110</v>
      </c>
      <c r="H111" s="11" t="str">
        <f>IFERROR(__xludf.DUMMYFUNCTION("GOOGLETRANSLATE(B111, ""en"", ""am"")"),"የውጤት ማስመዝገቢያ ዞን በዝናብ ምክንያት በከፊል በጎርፍ ተጥለቅልቋል። ምን ማድረግ ነው የሚገባኝ፧")</f>
        <v>የውጤት ማስመዝገቢያ ዞን በዝናብ ምክንያት በከፊል በጎርፍ ተጥለቅልቋል። ምን ማድረግ ነው የሚገባኝ፧</v>
      </c>
      <c r="I111" s="11" t="str">
        <f>IFERROR(__xludf.DUMMYFUNCTION("GOOGLETRANSLATE(C111, ""en"", ""am"")"),"ሀ. ጨዋታው ይቀጥላል.ቢ. ዳኛው ማስተካከያውን ይወስናል.ሲ. ዙሩ ተላልፏል ዲ. የጎርፍ ዞን አልተካተተም።")</f>
        <v>ሀ. ጨዋታው ይቀጥላል.ቢ. ዳኛው ማስተካከያውን ይወስናል.ሲ. ዙሩ ተላልፏል ዲ. የጎርፍ ዞን አልተካተተም።</v>
      </c>
      <c r="J111" s="11" t="str">
        <f>IFERROR(__xludf.DUMMYFUNCTION("GOOGLETRANSLATE(D111, ""en"", ""am"")"),"ዳኛው ማስተካከያውን ይወስናል.")</f>
        <v>ዳኛው ማስተካከያውን ይወስናል.</v>
      </c>
      <c r="K111" s="11" t="str">
        <f>IFERROR(__xludf.DUMMYFUNCTION("GOOGLETRANSLATE(E111, ""en"", ""am"")"),"ዳኞች ባልተጠበቁ ሁኔታዎች ውስጥ ፍትሃዊ ጨዋታን ያረጋግጣሉ ።")</f>
        <v>ዳኞች ባልተጠበቁ ሁኔታዎች ውስጥ ፍትሃዊ ጨዋታን ያረጋግጣሉ ።</v>
      </c>
    </row>
    <row r="112" ht="22.5" customHeight="1">
      <c r="A112" s="10">
        <v>111.0</v>
      </c>
      <c r="B112" s="11" t="s">
        <v>2605</v>
      </c>
      <c r="C112" s="11" t="s">
        <v>2606</v>
      </c>
      <c r="D112" s="11" t="s">
        <v>2607</v>
      </c>
      <c r="E112" s="11" t="s">
        <v>2608</v>
      </c>
      <c r="G112" s="11" t="str">
        <f>IFERROR(__xludf.DUMMYFUNCTION("GOOGLETRANSLATE(A112, ""en"", ""am"")"),"111")</f>
        <v>111</v>
      </c>
      <c r="H112" s="11" t="str">
        <f>IFERROR(__xludf.DUMMYFUNCTION("GOOGLETRANSLATE(B112, ""en"", ""am"")"),"የተጫዋቹ ኳስ በቀጥታ በድንበር መስመር ላይ ያርፋል. ትክክል ነው?")</f>
        <v>የተጫዋቹ ኳስ በቀጥታ በድንበር መስመር ላይ ያርፋል. ትክክል ነው?</v>
      </c>
      <c r="I112" s="11" t="str">
        <f>IFERROR(__xludf.DUMMYFUNCTION("GOOGLETRANSLATE(C112, ""en"", ""am"")"),"A. አዎ ልክ ነው.B. አይ፣ ትክክል አይደለም.ሲ. እንደ ዳኛው ይወሰናል.ዲ. ግማሽ ነጥብ ብቻ ነው የሚሰጠው።")</f>
        <v>A. አዎ ልክ ነው.B. አይ፣ ትክክል አይደለም.ሲ. እንደ ዳኛው ይወሰናል.ዲ. ግማሽ ነጥብ ብቻ ነው የሚሰጠው።</v>
      </c>
      <c r="J112" s="11" t="str">
        <f>IFERROR(__xludf.DUMMYFUNCTION("GOOGLETRANSLATE(D112, ""en"", ""am"")"),"አዎ ልክ ነው።")</f>
        <v>አዎ ልክ ነው።</v>
      </c>
      <c r="K112" s="11" t="str">
        <f>IFERROR(__xludf.DUMMYFUNCTION("GOOGLETRANSLATE(E112, ""en"", ""am"")"),"የድንበሩን መስመር የሚነኩ ኳሶች እንደ ጨዋታ ይቆጠራሉ።")</f>
        <v>የድንበሩን መስመር የሚነኩ ኳሶች እንደ ጨዋታ ይቆጠራሉ።</v>
      </c>
    </row>
    <row r="113" ht="22.5" customHeight="1">
      <c r="A113" s="10">
        <v>112.0</v>
      </c>
      <c r="B113" s="11" t="s">
        <v>2609</v>
      </c>
      <c r="C113" s="11" t="s">
        <v>2610</v>
      </c>
      <c r="D113" s="11" t="s">
        <v>2611</v>
      </c>
      <c r="E113" s="11" t="s">
        <v>2612</v>
      </c>
      <c r="G113" s="11" t="str">
        <f>IFERROR(__xludf.DUMMYFUNCTION("GOOGLETRANSLATE(A113, ""en"", ""am"")"),"112")</f>
        <v>112</v>
      </c>
      <c r="H113" s="11" t="str">
        <f>IFERROR(__xludf.DUMMYFUNCTION("GOOGLETRANSLATE(B113, ""en"", ""am"")"),"አንድ ልጅ መሀል ሜዳ ላይ ሮጦ ኳሱን ይረብሸዋል። ምን መሆን አለበት?")</f>
        <v>አንድ ልጅ መሀል ሜዳ ላይ ሮጦ ኳሱን ይረብሸዋል። ምን መሆን አለበት?</v>
      </c>
      <c r="I113" s="11" t="str">
        <f>IFERROR(__xludf.DUMMYFUNCTION("GOOGLETRANSLATE(C113, ""en"", ""am"")"),"ሀ. ኳሶቹ እንደገና ተጀምረዋል.ቢ. ዙሩ በድጋሚ ተጫውቷል.ሲ. ልጁ ይወገዳል.ዲ. ነጥቦች እንደገና ይሰላሉ.")</f>
        <v>ሀ. ኳሶቹ እንደገና ተጀምረዋል.ቢ. ዙሩ በድጋሚ ተጫውቷል.ሲ. ልጁ ይወገዳል.ዲ. ነጥቦች እንደገና ይሰላሉ.</v>
      </c>
      <c r="J113" s="11" t="str">
        <f>IFERROR(__xludf.DUMMYFUNCTION("GOOGLETRANSLATE(D113, ""en"", ""am"")"),"ኳሶቹ እንደገና ተጀምረዋል።")</f>
        <v>ኳሶቹ እንደገና ተጀምረዋል።</v>
      </c>
      <c r="K113" s="11" t="str">
        <f>IFERROR(__xludf.DUMMYFUNCTION("GOOGLETRANSLATE(E113, ""en"", ""am"")"),"ውጫዊ ረብሻዎች የኳስ ቦታዎችን ዳግም ማስጀመር ያስፈልጋቸዋል።")</f>
        <v>ውጫዊ ረብሻዎች የኳስ ቦታዎችን ዳግም ማስጀመር ያስፈልጋቸዋል።</v>
      </c>
    </row>
    <row r="114" ht="22.5" customHeight="1">
      <c r="A114" s="10">
        <v>113.0</v>
      </c>
      <c r="B114" s="11" t="s">
        <v>2613</v>
      </c>
      <c r="C114" s="11" t="s">
        <v>2614</v>
      </c>
      <c r="D114" s="11" t="s">
        <v>2526</v>
      </c>
      <c r="E114" s="11" t="s">
        <v>2615</v>
      </c>
      <c r="G114" s="11" t="str">
        <f>IFERROR(__xludf.DUMMYFUNCTION("GOOGLETRANSLATE(A114, ""en"", ""am"")"),"113")</f>
        <v>113</v>
      </c>
      <c r="H114" s="11" t="str">
        <f>IFERROR(__xludf.DUMMYFUNCTION("GOOGLETRANSLATE(B114, ""en"", ""am"")"),"ዳኛው ለአንድ ዙር ውጤቱን በስህተት አስልተዋል። ምን ማድረግ አለቦት?")</f>
        <v>ዳኛው ለአንድ ዙር ውጤቱን በስህተት አስልተዋል። ምን ማድረግ አለቦት?</v>
      </c>
      <c r="I114" s="11" t="str">
        <f>IFERROR(__xludf.DUMMYFUNCTION("GOOGLETRANSLATE(C114, ""en"", ""am"")"),"ሀ. ግምገማ ይጠይቁB. ውሳኔውን ተቀበል.ሲ. ዙሩን እንደገና ይጫወቱ.ዲ. ዳኛውን ፈትኑት።")</f>
        <v>ሀ. ግምገማ ይጠይቁB. ውሳኔውን ተቀበል.ሲ. ዙሩን እንደገና ይጫወቱ.ዲ. ዳኛውን ፈትኑት።</v>
      </c>
      <c r="J114" s="11" t="str">
        <f>IFERROR(__xludf.DUMMYFUNCTION("GOOGLETRANSLATE(D114, ""en"", ""am"")"),"ግምገማ ይጠይቁ")</f>
        <v>ግምገማ ይጠይቁ</v>
      </c>
      <c r="K114" s="11" t="str">
        <f>IFERROR(__xludf.DUMMYFUNCTION("GOOGLETRANSLATE(E114, ""en"", ""am"")"),"ተጫዋቾች ለትክክለኛነት የውጤት ግምገማዎችን መጠየቅ ይችላሉ።")</f>
        <v>ተጫዋቾች ለትክክለኛነት የውጤት ግምገማዎችን መጠየቅ ይችላሉ።</v>
      </c>
    </row>
    <row r="115" ht="22.5" customHeight="1">
      <c r="A115" s="10">
        <v>114.0</v>
      </c>
      <c r="B115" s="11" t="s">
        <v>2616</v>
      </c>
      <c r="C115" s="11" t="s">
        <v>2617</v>
      </c>
      <c r="D115" s="11" t="s">
        <v>2404</v>
      </c>
      <c r="E115" s="11" t="s">
        <v>2618</v>
      </c>
      <c r="G115" s="11" t="str">
        <f>IFERROR(__xludf.DUMMYFUNCTION("GOOGLETRANSLATE(A115, ""en"", ""am"")"),"114")</f>
        <v>114</v>
      </c>
      <c r="H115" s="11" t="str">
        <f>IFERROR(__xludf.DUMMYFUNCTION("GOOGLETRANSLATE(B115, ""en"", ""am"")"),"ኳሱ ወደ ኢላማው ቅርብ ቢሆንም በሌላ ኳስ ከተመታ በኋላ ይንከባለል። ምን ይሆናል?")</f>
        <v>ኳሱ ወደ ኢላማው ቅርብ ቢሆንም በሌላ ኳስ ከተመታ በኋላ ይንከባለል። ምን ይሆናል?</v>
      </c>
      <c r="I115" s="11" t="str">
        <f>IFERROR(__xludf.DUMMYFUNCTION("GOOGLETRANSLATE(C115, ""en"", ""am"")"),"ሀ. ነጥቦች በመጨረሻው ቦታ ላይ የተመሰረቱ ናቸው.B. ሙሉ ነጥብ አስመዝግበሃል። ምንም ነጥብ አልተሰጠም.ዲ. ዳኛው ይወስናል።")</f>
        <v>ሀ. ነጥቦች በመጨረሻው ቦታ ላይ የተመሰረቱ ናቸው.B. ሙሉ ነጥብ አስመዝግበሃል። ምንም ነጥብ አልተሰጠም.ዲ. ዳኛው ይወስናል።</v>
      </c>
      <c r="J115" s="11" t="str">
        <f>IFERROR(__xludf.DUMMYFUNCTION("GOOGLETRANSLATE(D115, ""en"", ""am"")"),"ነጥቦች በመጨረሻው ቦታ ላይ የተመሰረቱ ናቸው.")</f>
        <v>ነጥቦች በመጨረሻው ቦታ ላይ የተመሰረቱ ናቸው.</v>
      </c>
      <c r="K115" s="11" t="str">
        <f>IFERROR(__xludf.DUMMYFUNCTION("GOOGLETRANSLATE(E115, ""en"", ""am"")"),"የመጨረሻ ቦታዎች ሁልጊዜ ነጥቦችን ይወስናሉ.")</f>
        <v>የመጨረሻ ቦታዎች ሁልጊዜ ነጥቦችን ይወስናሉ.</v>
      </c>
    </row>
    <row r="116" ht="22.5" customHeight="1">
      <c r="A116" s="10">
        <v>115.0</v>
      </c>
      <c r="B116" s="11" t="s">
        <v>2619</v>
      </c>
      <c r="C116" s="11" t="s">
        <v>2620</v>
      </c>
      <c r="D116" s="11" t="s">
        <v>2345</v>
      </c>
      <c r="E116" s="11" t="s">
        <v>2621</v>
      </c>
      <c r="G116" s="11" t="str">
        <f>IFERROR(__xludf.DUMMYFUNCTION("GOOGLETRANSLATE(A116, ""en"", ""am"")"),"115")</f>
        <v>115</v>
      </c>
      <c r="H116" s="11" t="str">
        <f>IFERROR(__xludf.DUMMYFUNCTION("GOOGLETRANSLATE(B116, ""en"", ""am"")"),"አንድ የቡድን ጓደኛ በውርወራ ወቅት በድንገት ወደ ግብ ማስቆጠር ዞኑ ገባ። ምን ይሆናል?")</f>
        <v>አንድ የቡድን ጓደኛ በውርወራ ወቅት በድንገት ወደ ግብ ማስቆጠር ዞኑ ገባ። ምን ይሆናል?</v>
      </c>
      <c r="I116" s="11" t="str">
        <f>IFERROR(__xludf.DUMMYFUNCTION("GOOGLETRANSLATE(C116, ""en"", ""am"")"),"ሀ. መወርወሩ ልክ ያልሆነ ነው.ቢ. ክበቡ ቆሟል.ሲ. ነጥቦች ተቀንሰዋል ዲ. ዳኛው ቡድኑን ያስጠነቅቃል።")</f>
        <v>ሀ. መወርወሩ ልክ ያልሆነ ነው.ቢ. ክበቡ ቆሟል.ሲ. ነጥቦች ተቀንሰዋል ዲ. ዳኛው ቡድኑን ያስጠነቅቃል።</v>
      </c>
      <c r="J116" s="11" t="str">
        <f>IFERROR(__xludf.DUMMYFUNCTION("GOOGLETRANSLATE(D116, ""en"", ""am"")"),"መወርወሩ ልክ ያልሆነ ነው።")</f>
        <v>መወርወሩ ልክ ያልሆነ ነው።</v>
      </c>
      <c r="K116" s="11" t="str">
        <f>IFERROR(__xludf.DUMMYFUNCTION("GOOGLETRANSLATE(E116, ""en"", ""am"")"),"በጨዋታው ወቅት ተጫዋቾች ወደ ጎል ማስቆጠር ዞን ከመግባት መቆጠብ አለባቸው።")</f>
        <v>በጨዋታው ወቅት ተጫዋቾች ወደ ጎል ማስቆጠር ዞን ከመግባት መቆጠብ አለባቸው።</v>
      </c>
    </row>
    <row r="117" ht="22.5" customHeight="1">
      <c r="A117" s="10">
        <v>116.0</v>
      </c>
      <c r="B117" s="11" t="s">
        <v>2622</v>
      </c>
      <c r="C117" s="11" t="s">
        <v>2623</v>
      </c>
      <c r="D117" s="11" t="s">
        <v>2424</v>
      </c>
      <c r="E117" s="11" t="s">
        <v>2624</v>
      </c>
      <c r="G117" s="11" t="str">
        <f>IFERROR(__xludf.DUMMYFUNCTION("GOOGLETRANSLATE(A117, ""en"", ""am"")"),"116")</f>
        <v>116</v>
      </c>
      <c r="H117" s="11" t="str">
        <f>IFERROR(__xludf.DUMMYFUNCTION("GOOGLETRANSLATE(B117, ""en"", ""am"")"),"አንድ ተጫዋች ደውሎ ከዳኛው ጋር ተከራከረ። ቀጥሎ ምን ይሆናል?")</f>
        <v>አንድ ተጫዋች ደውሎ ከዳኛው ጋር ተከራከረ። ቀጥሎ ምን ይሆናል?</v>
      </c>
      <c r="I117" s="11" t="str">
        <f>IFERROR(__xludf.DUMMYFUNCTION("GOOGLETRANSLATE(C117, ""en"", ""am"")"),"ሀ. ጨዋታው ባለበት ቆሟል.ቢ. ዳኛው ማስጠንቀቂያ ሰጥተዋል.ሲ. ዙሩ ስህተት ነው ዲ. ተጫዋቹ ውድቅ ተደርጓል።")</f>
        <v>ሀ. ጨዋታው ባለበት ቆሟል.ቢ. ዳኛው ማስጠንቀቂያ ሰጥተዋል.ሲ. ዙሩ ስህተት ነው ዲ. ተጫዋቹ ውድቅ ተደርጓል።</v>
      </c>
      <c r="J117" s="11" t="str">
        <f>IFERROR(__xludf.DUMMYFUNCTION("GOOGLETRANSLATE(D117, ""en"", ""am"")"),"ዳኛው ማስጠንቀቂያ ሰጥተዋል።")</f>
        <v>ዳኛው ማስጠንቀቂያ ሰጥተዋል።</v>
      </c>
      <c r="K117" s="11" t="str">
        <f>IFERROR(__xludf.DUMMYFUNCTION("GOOGLETRANSLATE(E117, ""en"", ""am"")"),"ዳኞች ተጫዋቾችን ከስፖርታዊ ጨዋነት የጎደለው ድርጊት ሊቀጡ ይችላሉ።")</f>
        <v>ዳኞች ተጫዋቾችን ከስፖርታዊ ጨዋነት የጎደለው ድርጊት ሊቀጡ ይችላሉ።</v>
      </c>
    </row>
    <row r="118" ht="22.5" customHeight="1">
      <c r="A118" s="10">
        <v>117.0</v>
      </c>
      <c r="B118" s="11" t="s">
        <v>2625</v>
      </c>
      <c r="C118" s="11" t="s">
        <v>2626</v>
      </c>
      <c r="D118" s="11" t="s">
        <v>2592</v>
      </c>
      <c r="E118" s="11" t="s">
        <v>2627</v>
      </c>
      <c r="G118" s="11" t="str">
        <f>IFERROR(__xludf.DUMMYFUNCTION("GOOGLETRANSLATE(A118, ""en"", ""am"")"),"117")</f>
        <v>117</v>
      </c>
      <c r="H118" s="11" t="str">
        <f>IFERROR(__xludf.DUMMYFUNCTION("GOOGLETRANSLATE(B118, ""en"", ""am"")"),"ኳስዎ ከዒላማው አጠገብ ባለው ሌላ ኳስ ላይ በቀጥታ ያርፋል። ምን ይሆናል?")</f>
        <v>ኳስዎ ከዒላማው አጠገብ ባለው ሌላ ኳስ ላይ በቀጥታ ያርፋል። ምን ይሆናል?</v>
      </c>
      <c r="I118" s="11" t="str">
        <f>IFERROR(__xludf.DUMMYFUNCTION("GOOGLETRANSLATE(C118, ""en"", ""am"")"),"A. እርስዎ ከፍተኛ ነጥብ ያስመዘገቡ.B. የላይኛው ኳስ ልክ ያልሆነ ነው.ሲ. ሁለቱም ኳሶች ተቆጥረዋል ዲ. ዳኛው ይወስናል።")</f>
        <v>A. እርስዎ ከፍተኛ ነጥብ ያስመዘገቡ.B. የላይኛው ኳስ ልክ ያልሆነ ነው.ሲ. ሁለቱም ኳሶች ተቆጥረዋል ዲ. ዳኛው ይወስናል።</v>
      </c>
      <c r="J118" s="11" t="str">
        <f>IFERROR(__xludf.DUMMYFUNCTION("GOOGLETRANSLATE(D118, ""en"", ""am"")"),"ከፍተኛ ነጥብ አስመዝግበሃል።")</f>
        <v>ከፍተኛ ነጥብ አስመዝግበሃል።</v>
      </c>
      <c r="K118" s="11" t="str">
        <f>IFERROR(__xludf.DUMMYFUNCTION("GOOGLETRANSLATE(E118, ""en"", ""am"")"),"ከዒላማው አጠገብ በሌላ ኳስ ላይ በቀጥታ ማረፍ ከፍተኛ ነጥብ ይሰጣል።")</f>
        <v>ከዒላማው አጠገብ በሌላ ኳስ ላይ በቀጥታ ማረፍ ከፍተኛ ነጥብ ይሰጣል።</v>
      </c>
    </row>
    <row r="119" ht="22.5" customHeight="1">
      <c r="A119" s="10">
        <v>118.0</v>
      </c>
      <c r="B119" s="11" t="s">
        <v>2628</v>
      </c>
      <c r="C119" s="11" t="s">
        <v>2629</v>
      </c>
      <c r="D119" s="11" t="s">
        <v>2630</v>
      </c>
      <c r="E119" s="11" t="s">
        <v>2631</v>
      </c>
      <c r="G119" s="11" t="str">
        <f>IFERROR(__xludf.DUMMYFUNCTION("GOOGLETRANSLATE(A119, ""en"", ""am"")"),"118")</f>
        <v>118</v>
      </c>
      <c r="H119" s="11" t="str">
        <f>IFERROR(__xludf.DUMMYFUNCTION("GOOGLETRANSLATE(B119, ""en"", ""am"")"),"የቡድን ጓደኛዎ እየጣለ ነው እና ኳሳቸው እየመታዎት ወደ ኢላማው እየቀረበ ነው። ምን ይሆናል?")</f>
        <v>የቡድን ጓደኛዎ እየጣለ ነው እና ኳሳቸው እየመታዎት ወደ ኢላማው እየቀረበ ነው። ምን ይሆናል?</v>
      </c>
      <c r="I119" s="11" t="str">
        <f>IFERROR(__xludf.DUMMYFUNCTION("GOOGLETRANSLATE(C119, ""en"", ""am"")"),"ሀ. የኳስ ቦታህ ይቆጠራል.B. የኳስ ቦታቸው ይቆጠራል.ሲ. ሁለቱም ቦታዎች ይቆጠራሉ.ዲ. መወርወሩ ልክ ያልሆነ ነው።")</f>
        <v>ሀ. የኳስ ቦታህ ይቆጠራል.B. የኳስ ቦታቸው ይቆጠራል.ሲ. ሁለቱም ቦታዎች ይቆጠራሉ.ዲ. መወርወሩ ልክ ያልሆነ ነው።</v>
      </c>
      <c r="J119" s="11" t="str">
        <f>IFERROR(__xludf.DUMMYFUNCTION("GOOGLETRANSLATE(D119, ""en"", ""am"")"),"የኳስ ቦታዎ ይቆጠራል።")</f>
        <v>የኳስ ቦታዎ ይቆጠራል።</v>
      </c>
      <c r="K119" s="11" t="str">
        <f>IFERROR(__xludf.DUMMYFUNCTION("GOOGLETRANSLATE(E119, ""en"", ""am"")"),"የተጎዳው ኳስ የመጨረሻው ቦታ ብቻ ነው የሚወሰደው.")</f>
        <v>የተጎዳው ኳስ የመጨረሻው ቦታ ብቻ ነው የሚወሰደው.</v>
      </c>
    </row>
    <row r="120" ht="22.5" customHeight="1">
      <c r="A120" s="10">
        <v>119.0</v>
      </c>
      <c r="B120" s="11" t="s">
        <v>2632</v>
      </c>
      <c r="C120" s="11" t="s">
        <v>2633</v>
      </c>
      <c r="D120" s="11" t="s">
        <v>2634</v>
      </c>
      <c r="E120" s="11" t="s">
        <v>2635</v>
      </c>
      <c r="G120" s="11" t="str">
        <f>IFERROR(__xludf.DUMMYFUNCTION("GOOGLETRANSLATE(A120, ""en"", ""am"")"),"119")</f>
        <v>119</v>
      </c>
      <c r="H120" s="11" t="str">
        <f>IFERROR(__xludf.DUMMYFUNCTION("GOOGLETRANSLATE(B120, ""en"", ""am"")"),"ኢላማው ተመትቶ በሚያዳልጥ ቦታ ላይ አረፈ። ምን ይሆናል?")</f>
        <v>ኢላማው ተመትቶ በሚያዳልጥ ቦታ ላይ አረፈ። ምን ይሆናል?</v>
      </c>
      <c r="I120" s="11" t="str">
        <f>IFERROR(__xludf.DUMMYFUNCTION("GOOGLETRANSLATE(C120, ""en"", ""am"")"),"ሀ. የዒላማው አቀማመጥ ትክክል ነው.ቢ. ዒላማው እንደገና ተጀምሯል.ሲ. ዙሩ በድጋሚ ተጫውቷል.ዲ. ነጥቦች በግማሽ ተቀነሱ")</f>
        <v>ሀ. የዒላማው አቀማመጥ ትክክል ነው.ቢ. ዒላማው እንደገና ተጀምሯል.ሲ. ዙሩ በድጋሚ ተጫውቷል.ዲ. ነጥቦች በግማሽ ተቀነሱ</v>
      </c>
      <c r="J120" s="11" t="str">
        <f>IFERROR(__xludf.DUMMYFUNCTION("GOOGLETRANSLATE(D120, ""en"", ""am"")"),"የዒላማው አቀማመጥ ትክክል ነው.")</f>
        <v>የዒላማው አቀማመጥ ትክክል ነው.</v>
      </c>
      <c r="K120" s="11" t="str">
        <f>IFERROR(__xludf.DUMMYFUNCTION("GOOGLETRANSLATE(E120, ""en"", ""am"")"),"የሚያዳልጥ ቦታ የታለመውን ቦታ አይጎዳውም.")</f>
        <v>የሚያዳልጥ ቦታ የታለመውን ቦታ አይጎዳውም.</v>
      </c>
    </row>
    <row r="121" ht="22.5" customHeight="1">
      <c r="A121" s="10">
        <v>120.0</v>
      </c>
      <c r="B121" s="11" t="s">
        <v>2636</v>
      </c>
      <c r="C121" s="11" t="s">
        <v>2637</v>
      </c>
      <c r="D121" s="11" t="s">
        <v>2638</v>
      </c>
      <c r="E121" s="11" t="s">
        <v>2639</v>
      </c>
      <c r="G121" s="11" t="str">
        <f>IFERROR(__xludf.DUMMYFUNCTION("GOOGLETRANSLATE(A121, ""en"", ""am"")"),"120")</f>
        <v>120</v>
      </c>
      <c r="H121" s="11" t="str">
        <f>IFERROR(__xludf.DUMMYFUNCTION("GOOGLETRANSLATE(B121, ""en"", ""am"")"),"ኳስህ ወደ ዒላማው ይንከባለላል ነገር ግን የወሰን ምልክትን ይመታል። ምን ይሆናል?")</f>
        <v>ኳስህ ወደ ዒላማው ይንከባለላል ነገር ግን የወሰን ምልክትን ይመታል። ምን ይሆናል?</v>
      </c>
      <c r="I121" s="11" t="str">
        <f>IFERROR(__xludf.DUMMYFUNCTION("GOOGLETRANSLATE(C121, ""en"", ""am"")"),"ሀ. ኳሱ ልክ ያልሆነ ነው.ቢ. ግማሽ ነጥብ ተሸልሟል ሐ. ኳሱ ትክክለኛ ነው.ዲ. ዳኛው ይወስናል።")</f>
        <v>ሀ. ኳሱ ልክ ያልሆነ ነው.ቢ. ግማሽ ነጥብ ተሸልሟል ሐ. ኳሱ ትክክለኛ ነው.ዲ. ዳኛው ይወስናል።</v>
      </c>
      <c r="J121" s="11" t="str">
        <f>IFERROR(__xludf.DUMMYFUNCTION("GOOGLETRANSLATE(D121, ""en"", ""am"")"),"ኳሱ ትክክለኛ ነው።")</f>
        <v>ኳሱ ትክክለኛ ነው።</v>
      </c>
      <c r="K121" s="11" t="str">
        <f>IFERROR(__xludf.DUMMYFUNCTION("GOOGLETRANSLATE(E121, ""en"", ""am"")"),"የድንበሩን ምልክት የሚነኩ ኳሶች ልክ እንደሆኑ ይቆጠራሉ።")</f>
        <v>የድንበሩን ምልክት የሚነኩ ኳሶች ልክ እንደሆኑ ይቆጠራሉ።</v>
      </c>
    </row>
    <row r="122" ht="22.5" customHeight="1">
      <c r="A122" s="10">
        <v>121.0</v>
      </c>
      <c r="B122" s="11" t="s">
        <v>2640</v>
      </c>
      <c r="C122" s="11" t="s">
        <v>2545</v>
      </c>
      <c r="D122" s="11" t="s">
        <v>2345</v>
      </c>
      <c r="E122" s="11" t="s">
        <v>2641</v>
      </c>
      <c r="G122" s="11" t="str">
        <f>IFERROR(__xludf.DUMMYFUNCTION("GOOGLETRANSLATE(A122, ""en"", ""am"")"),"121")</f>
        <v>121</v>
      </c>
      <c r="H122" s="11" t="str">
        <f>IFERROR(__xludf.DUMMYFUNCTION("GOOGLETRANSLATE(B122, ""en"", ""am"")"),"የቡድን ጓደኛው ኳሱን ይጥላል, ነገር ግን በአየር ውስጥ ለሁለት ተከፈለ. ምን ይሆናል?")</f>
        <v>የቡድን ጓደኛው ኳሱን ይጥላል, ነገር ግን በአየር ውስጥ ለሁለት ተከፈለ. ምን ይሆናል?</v>
      </c>
      <c r="I122" s="11" t="str">
        <f>IFERROR(__xludf.DUMMYFUNCTION("GOOGLETRANSLATE(C122, ""en"", ""am"")"),"ሀ. መወርወሩ ልክ ያልሆነ ነው.ቢ. ነጥቦች ለትልቅ ቁራጭ ይሰጣሉ.ሲ. ክበቡ ቆሟል.ዲ. ዳኛው ይወስናል።")</f>
        <v>ሀ. መወርወሩ ልክ ያልሆነ ነው.ቢ. ነጥቦች ለትልቅ ቁራጭ ይሰጣሉ.ሲ. ክበቡ ቆሟል.ዲ. ዳኛው ይወስናል።</v>
      </c>
      <c r="J122" s="11" t="str">
        <f>IFERROR(__xludf.DUMMYFUNCTION("GOOGLETRANSLATE(D122, ""en"", ""am"")"),"መወርወሩ ልክ ያልሆነ ነው።")</f>
        <v>መወርወሩ ልክ ያልሆነ ነው።</v>
      </c>
      <c r="K122" s="11" t="str">
        <f>IFERROR(__xludf.DUMMYFUNCTION("GOOGLETRANSLATE(E122, ""en"", ""am"")"),"በውርወራ ወቅት የተሰበሩ ኳሶች ውርወራውን በራስ-ሰር ያበላሹታል።")</f>
        <v>በውርወራ ወቅት የተሰበሩ ኳሶች ውርወራውን በራስ-ሰር ያበላሹታል።</v>
      </c>
    </row>
    <row r="123" ht="22.5" customHeight="1">
      <c r="A123" s="10">
        <v>122.0</v>
      </c>
      <c r="B123" s="11" t="s">
        <v>2642</v>
      </c>
      <c r="C123" s="11" t="s">
        <v>2643</v>
      </c>
      <c r="D123" s="11" t="s">
        <v>2644</v>
      </c>
      <c r="E123" s="11" t="s">
        <v>2645</v>
      </c>
      <c r="G123" s="11" t="str">
        <f>IFERROR(__xludf.DUMMYFUNCTION("GOOGLETRANSLATE(A123, ""en"", ""am"")"),"122")</f>
        <v>122</v>
      </c>
      <c r="H123" s="11" t="str">
        <f>IFERROR(__xludf.DUMMYFUNCTION("GOOGLETRANSLATE(B123, ""en"", ""am"")"),"ኳሱ ኢላማውን ይመታል እና ወደ ተቀናቃኝዎ ኳስ ያንቀሳቅሰዋል። ማን ነው ያስመዘገበው?")</f>
        <v>ኳሱ ኢላማውን ይመታል እና ወደ ተቀናቃኝዎ ኳስ ያንቀሳቅሰዋል። ማን ነው ያስመዘገበው?</v>
      </c>
      <c r="I123" s="11" t="str">
        <f>IFERROR(__xludf.DUMMYFUNCTION("GOOGLETRANSLATE(C123, ""en"", ""am"")"),"ሀ. ቡድንህ አስቆጥሯል.B. ተቃዋሚው ነጥብ አስመዝግቧል። ምንም ነጥብ አልተሰጠም.ዲ. ሁለቱም ቡድኖች ጎል አስቆጥረዋል።")</f>
        <v>ሀ. ቡድንህ አስቆጥሯል.B. ተቃዋሚው ነጥብ አስመዝግቧል። ምንም ነጥብ አልተሰጠም.ዲ. ሁለቱም ቡድኖች ጎል አስቆጥረዋል።</v>
      </c>
      <c r="J123" s="11" t="str">
        <f>IFERROR(__xludf.DUMMYFUNCTION("GOOGLETRANSLATE(D123, ""en"", ""am"")"),"ተጋጣሚው ነጥብ አስመዝግቧል።")</f>
        <v>ተጋጣሚው ነጥብ አስመዝግቧል።</v>
      </c>
      <c r="K123" s="11" t="str">
        <f>IFERROR(__xludf.DUMMYFUNCTION("GOOGLETRANSLATE(E123, ""en"", ""am"")"),"የእንቅስቃሴው ውጤት ከተመዘገቡ በኋላ ወደ ዒላማው የሚቀርበው ኳስ.")</f>
        <v>የእንቅስቃሴው ውጤት ከተመዘገቡ በኋላ ወደ ዒላማው የሚቀርበው ኳስ.</v>
      </c>
    </row>
    <row r="124" ht="22.5" customHeight="1">
      <c r="A124" s="10">
        <v>123.0</v>
      </c>
      <c r="B124" s="11" t="s">
        <v>2646</v>
      </c>
      <c r="C124" s="11" t="s">
        <v>2647</v>
      </c>
      <c r="D124" s="11" t="s">
        <v>2424</v>
      </c>
      <c r="E124" s="11" t="s">
        <v>2648</v>
      </c>
      <c r="G124" s="11" t="str">
        <f>IFERROR(__xludf.DUMMYFUNCTION("GOOGLETRANSLATE(A124, ""en"", ""am"")"),"123")</f>
        <v>123</v>
      </c>
      <c r="H124" s="11" t="str">
        <f>IFERROR(__xludf.DUMMYFUNCTION("GOOGLETRANSLATE(B124, ""en"", ""am"")"),"ተጫዋቹ ሆን ብሎ ተቃዋሚዎችን ለማደናቀፍ ውርወራውን ያዘገያል። ምን መሆን አለበት?")</f>
        <v>ተጫዋቹ ሆን ብሎ ተቃዋሚዎችን ለማደናቀፍ ውርወራውን ያዘገያል። ምን መሆን አለበት?</v>
      </c>
      <c r="I124" s="11" t="str">
        <f>IFERROR(__xludf.DUMMYFUNCTION("GOOGLETRANSLATE(C124, ""en"", ""am"")"),"ሀ. ዳኛው ማስጠንቀቂያ ሰጥተዋል.B. ተጫዋቹ ውድቅ ተደርጓል.ሲ. ክበቡ ቆሟል.ዲ. መወርወሩ ልክ ያልሆነ ነው።")</f>
        <v>ሀ. ዳኛው ማስጠንቀቂያ ሰጥተዋል.B. ተጫዋቹ ውድቅ ተደርጓል.ሲ. ክበቡ ቆሟል.ዲ. መወርወሩ ልክ ያልሆነ ነው።</v>
      </c>
      <c r="J124" s="11" t="str">
        <f>IFERROR(__xludf.DUMMYFUNCTION("GOOGLETRANSLATE(D124, ""en"", ""am"")"),"ዳኛው ማስጠንቀቂያ ሰጥተዋል።")</f>
        <v>ዳኛው ማስጠንቀቂያ ሰጥተዋል።</v>
      </c>
      <c r="K124" s="11" t="str">
        <f>IFERROR(__xludf.DUMMYFUNCTION("GOOGLETRANSLATE(E124, ""en"", ""am"")"),"ሆን ተብሎ የተደረገ መዘግየት በማስጠንቀቂያ ይቀጣል።")</f>
        <v>ሆን ተብሎ የተደረገ መዘግየት በማስጠንቀቂያ ይቀጣል።</v>
      </c>
    </row>
    <row r="125" ht="22.5" customHeight="1">
      <c r="A125" s="10">
        <v>124.0</v>
      </c>
      <c r="B125" s="11" t="s">
        <v>2649</v>
      </c>
      <c r="C125" s="11" t="s">
        <v>2591</v>
      </c>
      <c r="D125" s="11" t="s">
        <v>2592</v>
      </c>
      <c r="E125" s="11" t="s">
        <v>2593</v>
      </c>
      <c r="G125" s="11" t="str">
        <f>IFERROR(__xludf.DUMMYFUNCTION("GOOGLETRANSLATE(A125, ""en"", ""am"")"),"124")</f>
        <v>124</v>
      </c>
      <c r="H125" s="11" t="str">
        <f>IFERROR(__xludf.DUMMYFUNCTION("GOOGLETRANSLATE(B125, ""en"", ""am"")"),"ኳሱ በቀጥታ ወደ ዒላማው ይወርዳል እና መንቀሳቀስ ያቆማል። ምን ይሆናል?")</f>
        <v>ኳሱ በቀጥታ ወደ ዒላማው ይወርዳል እና መንቀሳቀስ ያቆማል። ምን ይሆናል?</v>
      </c>
      <c r="I125" s="11" t="str">
        <f>IFERROR(__xludf.DUMMYFUNCTION("GOOGLETRANSLATE(C125, ""en"", ""am"")"),"A. እርስዎ ከፍተኛ ነጥብ ያስመዘገቡ.B. ምንም ነጥብ አላስመዘገብክም።ሲ. ዙሩ በድጋሚ ተጫውቷል.ዲ. ዳኛው ይወስናል።")</f>
        <v>A. እርስዎ ከፍተኛ ነጥብ ያስመዘገቡ.B. ምንም ነጥብ አላስመዘገብክም።ሲ. ዙሩ በድጋሚ ተጫውቷል.ዲ. ዳኛው ይወስናል።</v>
      </c>
      <c r="J125" s="11" t="str">
        <f>IFERROR(__xludf.DUMMYFUNCTION("GOOGLETRANSLATE(D125, ""en"", ""am"")"),"ከፍተኛ ነጥብ አስመዝግበሃል።")</f>
        <v>ከፍተኛ ነጥብ አስመዝግበሃል።</v>
      </c>
      <c r="K125" s="11" t="str">
        <f>IFERROR(__xludf.DUMMYFUNCTION("GOOGLETRANSLATE(E125, ""en"", ""am"")"),"በዒላማው ላይ በቀጥታ ማረፍ ከፍተኛውን ነጥብ ያስገኝልዎታል.")</f>
        <v>በዒላማው ላይ በቀጥታ ማረፍ ከፍተኛውን ነጥብ ያስገኝልዎታል.</v>
      </c>
    </row>
    <row r="126" ht="22.5" customHeight="1">
      <c r="A126" s="10">
        <v>125.0</v>
      </c>
      <c r="B126" s="11" t="s">
        <v>2650</v>
      </c>
      <c r="C126" s="11" t="s">
        <v>2651</v>
      </c>
      <c r="D126" s="11" t="s">
        <v>2652</v>
      </c>
      <c r="E126" s="11" t="s">
        <v>2653</v>
      </c>
      <c r="G126" s="11" t="str">
        <f>IFERROR(__xludf.DUMMYFUNCTION("GOOGLETRANSLATE(A126, ""en"", ""am"")"),"125")</f>
        <v>125</v>
      </c>
      <c r="H126" s="11" t="str">
        <f>IFERROR(__xludf.DUMMYFUNCTION("GOOGLETRANSLATE(B126, ""en"", ""am"")"),"የውጤት ማስመዝገቢያ ዞኑ በድንገተኛ ከባድ ዝናብ ተቋርጧል። ምን ይሆናል?")</f>
        <v>የውጤት ማስመዝገቢያ ዞኑ በድንገተኛ ከባድ ዝናብ ተቋርጧል። ምን ይሆናል?</v>
      </c>
      <c r="I126" s="11" t="str">
        <f>IFERROR(__xludf.DUMMYFUNCTION("GOOGLETRANSLATE(C126, ""en"", ""am"")"),"ሀ. ጨዋታው ይቀጥላል.ቢ. ክበቡ ቆሟል.ሲ. ነጥቦች እንደገና ይሰላሉ.ዲ. ዳኛው ይወስናል።")</f>
        <v>ሀ. ጨዋታው ይቀጥላል.ቢ. ክበቡ ቆሟል.ሲ. ነጥቦች እንደገና ይሰላሉ.ዲ. ዳኛው ይወስናል።</v>
      </c>
      <c r="J126" s="11" t="str">
        <f>IFERROR(__xludf.DUMMYFUNCTION("GOOGLETRANSLATE(D126, ""en"", ""am"")"),"ክበቡ ቆሟል።")</f>
        <v>ክበቡ ቆሟል።</v>
      </c>
      <c r="K126" s="11" t="str">
        <f>IFERROR(__xludf.DUMMYFUNCTION("GOOGLETRANSLATE(E126, ""en"", ""am"")"),"የአየር ሁኔታ መስተጓጎል በተለምዶ ጉብኝቱን በመንገዱ ላይ ያቆመዋል።")</f>
        <v>የአየር ሁኔታ መስተጓጎል በተለምዶ ጉብኝቱን በመንገዱ ላይ ያቆመዋል።</v>
      </c>
    </row>
    <row r="127" ht="22.5" customHeight="1">
      <c r="A127" s="10">
        <v>126.0</v>
      </c>
      <c r="B127" s="11" t="s">
        <v>2654</v>
      </c>
      <c r="C127" s="11" t="s">
        <v>2655</v>
      </c>
      <c r="D127" s="11" t="s">
        <v>2656</v>
      </c>
      <c r="E127" s="11" t="s">
        <v>2515</v>
      </c>
      <c r="G127" s="11" t="str">
        <f>IFERROR(__xludf.DUMMYFUNCTION("GOOGLETRANSLATE(A127, ""en"", ""am"")"),"126")</f>
        <v>126</v>
      </c>
      <c r="H127" s="11" t="str">
        <f>IFERROR(__xludf.DUMMYFUNCTION("GOOGLETRANSLATE(B127, ""en"", ""am"")"),"የባላጋራህ ኳስ ኢላማውን ከመጨረሻው ዞን ያወጣል። ምን ይሆናል?")</f>
        <v>የባላጋራህ ኳስ ኢላማውን ከመጨረሻው ዞን ያወጣል። ምን ይሆናል?</v>
      </c>
      <c r="I127" s="11" t="str">
        <f>IFERROR(__xludf.DUMMYFUNCTION("GOOGLETRANSLATE(C127, ""en"", ""am"")"),"ሀ. ዒላማው እንደገና ተጀምሯል.B. የተቃዋሚው ውርወራ ልክ ያልሆነ ነው።ሲ. በዚህ ዙር ምንም ነጥብ አልተገኘም.ዲ. ዙሩ በድጋሚ ተካሂዷል።")</f>
        <v>ሀ. ዒላማው እንደገና ተጀምሯል.B. የተቃዋሚው ውርወራ ልክ ያልሆነ ነው።ሲ. በዚህ ዙር ምንም ነጥብ አልተገኘም.ዲ. ዙሩ በድጋሚ ተካሂዷል።</v>
      </c>
      <c r="J127" s="11" t="str">
        <f>IFERROR(__xludf.DUMMYFUNCTION("GOOGLETRANSLATE(D127, ""en"", ""am"")"),"ዒላማው እንደገና ተጀምሯል።")</f>
        <v>ዒላማው እንደገና ተጀምሯል።</v>
      </c>
      <c r="K127" s="11" t="str">
        <f>IFERROR(__xludf.DUMMYFUNCTION("GOOGLETRANSLATE(E127, ""en"", ""am"")"),"ዒላማው የውጤት ዞኑን ከለቀቀ፣ እንደገና መጀመር አለበት።")</f>
        <v>ዒላማው የውጤት ዞኑን ከለቀቀ፣ እንደገና መጀመር አለበት።</v>
      </c>
    </row>
    <row r="128" ht="22.5" customHeight="1">
      <c r="A128" s="10">
        <v>127.0</v>
      </c>
      <c r="B128" s="11" t="s">
        <v>2657</v>
      </c>
      <c r="C128" s="11" t="s">
        <v>2658</v>
      </c>
      <c r="D128" s="11" t="s">
        <v>2659</v>
      </c>
      <c r="E128" s="11" t="s">
        <v>2645</v>
      </c>
      <c r="G128" s="11" t="str">
        <f>IFERROR(__xludf.DUMMYFUNCTION("GOOGLETRANSLATE(A128, ""en"", ""am"")"),"127")</f>
        <v>127</v>
      </c>
      <c r="H128" s="11" t="str">
        <f>IFERROR(__xludf.DUMMYFUNCTION("GOOGLETRANSLATE(B128, ""en"", ""am"")"),"ኳሱ ኢላማውን ይመታል ነገር ግን ከዒላማው ወጥታ የቡድን ጓደኛህ ኳስ ውስጥ ትገባለች። ማን ነው ያስመዘገበው?")</f>
        <v>ኳሱ ኢላማውን ይመታል ነገር ግን ከዒላማው ወጥታ የቡድን ጓደኛህ ኳስ ውስጥ ትገባለች። ማን ነው ያስመዘገበው?</v>
      </c>
      <c r="I128" s="11" t="str">
        <f>IFERROR(__xludf.DUMMYFUNCTION("GOOGLETRANSLATE(C128, ""en"", ""am"")"),"ሀ. ቡድንህ አስቆጥሯል.B. የቡድን ጓደኛው አስቆጥሯል.C. ሁለቱም ኳሶች ይመታሉ። ምንም ነጥብ አልተሰጠም።")</f>
        <v>ሀ. ቡድንህ አስቆጥሯል.B. የቡድን ጓደኛው አስቆጥሯል.C. ሁለቱም ኳሶች ይመታሉ። ምንም ነጥብ አልተሰጠም።</v>
      </c>
      <c r="J128" s="11" t="str">
        <f>IFERROR(__xludf.DUMMYFUNCTION("GOOGLETRANSLATE(D128, ""en"", ""am"")"),"የቡድን ጓደኛው አስቆጥሯል።")</f>
        <v>የቡድን ጓደኛው አስቆጥሯል።</v>
      </c>
      <c r="K128" s="11" t="str">
        <f>IFERROR(__xludf.DUMMYFUNCTION("GOOGLETRANSLATE(E128, ""en"", ""am"")"),"የእንቅስቃሴው ውጤት ከተመዘገቡ በኋላ ወደ ዒላማው የሚቀርበው ኳስ.")</f>
        <v>የእንቅስቃሴው ውጤት ከተመዘገቡ በኋላ ወደ ዒላማው የሚቀርበው ኳስ.</v>
      </c>
    </row>
    <row r="129" ht="22.5" customHeight="1">
      <c r="A129" s="10">
        <v>128.0</v>
      </c>
      <c r="B129" s="11" t="s">
        <v>2660</v>
      </c>
      <c r="C129" s="11" t="s">
        <v>2661</v>
      </c>
      <c r="D129" s="11" t="s">
        <v>2345</v>
      </c>
      <c r="E129" s="11" t="s">
        <v>2662</v>
      </c>
      <c r="G129" s="11" t="str">
        <f>IFERROR(__xludf.DUMMYFUNCTION("GOOGLETRANSLATE(A129, ""en"", ""am"")"),"128")</f>
        <v>128</v>
      </c>
      <c r="H129" s="11" t="str">
        <f>IFERROR(__xludf.DUMMYFUNCTION("GOOGLETRANSLATE(B129, ""en"", ""am"")"),"አንድ ተጫዋች በድንገት ከተወረወረበት ቦታ ውጭ ቆሞ ኳሱን ይጥላል። ምን ይሆናል?")</f>
        <v>አንድ ተጫዋች በድንገት ከተወረወረበት ቦታ ውጭ ቆሞ ኳሱን ይጥላል። ምን ይሆናል?</v>
      </c>
      <c r="I129" s="11" t="str">
        <f>IFERROR(__xludf.DUMMYFUNCTION("GOOGLETRANSLATE(C129, ""en"", ""am"")"),"ሀ. መወርወሩ ልክ ያልሆነ ነው.ቢ. ዙሩ በድጋሚ ተጫውቷል.ሲ. ነጥቦች ተቀንሰዋል ዲ. ዳኛው ተጫዋቹን ያስጠነቅቃል.")</f>
        <v>ሀ. መወርወሩ ልክ ያልሆነ ነው.ቢ. ዙሩ በድጋሚ ተጫውቷል.ሲ. ነጥቦች ተቀንሰዋል ዲ. ዳኛው ተጫዋቹን ያስጠነቅቃል.</v>
      </c>
      <c r="J129" s="11" t="str">
        <f>IFERROR(__xludf.DUMMYFUNCTION("GOOGLETRANSLATE(D129, ""en"", ""am"")"),"መወርወሩ ልክ ያልሆነ ነው።")</f>
        <v>መወርወሩ ልክ ያልሆነ ነው።</v>
      </c>
      <c r="K129" s="11" t="str">
        <f>IFERROR(__xludf.DUMMYFUNCTION("GOOGLETRANSLATE(E129, ""en"", ""am"")"),"ከተመደበው የመወርወሪያ ዞን ውጭ የተሰሩ ውርወራዎች ልክ አይደሉም።")</f>
        <v>ከተመደበው የመወርወሪያ ዞን ውጭ የተሰሩ ውርወራዎች ልክ አይደሉም።</v>
      </c>
    </row>
    <row r="130" ht="22.5" customHeight="1">
      <c r="A130" s="10">
        <v>129.0</v>
      </c>
      <c r="B130" s="11" t="s">
        <v>2663</v>
      </c>
      <c r="C130" s="11" t="s">
        <v>2664</v>
      </c>
      <c r="D130" s="11" t="s">
        <v>2607</v>
      </c>
      <c r="E130" s="11" t="s">
        <v>2665</v>
      </c>
      <c r="G130" s="11" t="str">
        <f>IFERROR(__xludf.DUMMYFUNCTION("GOOGLETRANSLATE(A130, ""en"", ""am"")"),"129")</f>
        <v>129</v>
      </c>
      <c r="H130" s="11" t="str">
        <f>IFERROR(__xludf.DUMMYFUNCTION("GOOGLETRANSLATE(B130, ""en"", ""am"")"),"ኢላማው ከተጣለ በኋላ በከፊል በውሃ ውስጥ ይወርዳል. ትክክል ነው?")</f>
        <v>ኢላማው ከተጣለ በኋላ በከፊል በውሃ ውስጥ ይወርዳል. ትክክል ነው?</v>
      </c>
      <c r="I130" s="11" t="str">
        <f>IFERROR(__xludf.DUMMYFUNCTION("GOOGLETRANSLATE(C130, ""en"", ""am"")"),"A. አዎ ልክ ነው.B. አይ፣ ልክ ያልሆነ ነው።ሲ. ዙሩ በድጋሚ ተጫውቷል.ዲ. ዳኛው ይወስናል።")</f>
        <v>A. አዎ ልክ ነው.B. አይ፣ ልክ ያልሆነ ነው።ሲ. ዙሩ በድጋሚ ተጫውቷል.ዲ. ዳኛው ይወስናል።</v>
      </c>
      <c r="J130" s="11" t="str">
        <f>IFERROR(__xludf.DUMMYFUNCTION("GOOGLETRANSLATE(D130, ""en"", ""am"")"),"አዎ ልክ ነው።")</f>
        <v>አዎ ልክ ነው።</v>
      </c>
      <c r="K130" s="11" t="str">
        <f>IFERROR(__xludf.DUMMYFUNCTION("GOOGLETRANSLATE(E130, ""en"", ""am"")"),"ከፊል ጠልቆ የገባ ኢላማ ሙሉ በሙሉ ካልጠለቀ በቀር ትክክለኛ ይሆናል።")</f>
        <v>ከፊል ጠልቆ የገባ ኢላማ ሙሉ በሙሉ ካልጠለቀ በቀር ትክክለኛ ይሆናል።</v>
      </c>
    </row>
    <row r="131" ht="22.5" customHeight="1">
      <c r="A131" s="10">
        <v>130.0</v>
      </c>
      <c r="B131" s="11" t="s">
        <v>2666</v>
      </c>
      <c r="C131" s="11" t="s">
        <v>2667</v>
      </c>
      <c r="D131" s="11" t="s">
        <v>2345</v>
      </c>
      <c r="E131" s="11" t="s">
        <v>2668</v>
      </c>
      <c r="G131" s="11" t="str">
        <f>IFERROR(__xludf.DUMMYFUNCTION("GOOGLETRANSLATE(A131, ""en"", ""am"")"),"130")</f>
        <v>130</v>
      </c>
      <c r="H131" s="11" t="str">
        <f>IFERROR(__xludf.DUMMYFUNCTION("GOOGLETRANSLATE(B131, ""en"", ""am"")"),"የቡድን ጓደኛው ኳሱን ቢጥልም ወደ ጎል ክልል አልደረሰም። ምን ይሆናል?")</f>
        <v>የቡድን ጓደኛው ኳሱን ቢጥልም ወደ ጎል ክልል አልደረሰም። ምን ይሆናል?</v>
      </c>
      <c r="I131" s="11" t="str">
        <f>IFERROR(__xludf.DUMMYFUNCTION("GOOGLETRANSLATE(C131, ""en"", ""am"")"),"ሀ. መወርወሩ ልክ ያልሆነ ነው.ቢ. ነጥቦች በግማሽ ተከፍለዋል። ኳሱ ይጣላል.ዲ. ዳኛው ይወስናል።")</f>
        <v>ሀ. መወርወሩ ልክ ያልሆነ ነው.ቢ. ነጥቦች በግማሽ ተከፍለዋል። ኳሱ ይጣላል.ዲ. ዳኛው ይወስናል።</v>
      </c>
      <c r="J131" s="11" t="str">
        <f>IFERROR(__xludf.DUMMYFUNCTION("GOOGLETRANSLATE(D131, ""en"", ""am"")"),"መወርወሩ ልክ ያልሆነ ነው።")</f>
        <v>መወርወሩ ልክ ያልሆነ ነው።</v>
      </c>
      <c r="K131" s="11" t="str">
        <f>IFERROR(__xludf.DUMMYFUNCTION("GOOGLETRANSLATE(E131, ""en"", ""am"")"),"የውጤት መስጫ ዞኑን መድረስ ያልቻሉ ውርወራዎች አይቆጠሩም።")</f>
        <v>የውጤት መስጫ ዞኑን መድረስ ያልቻሉ ውርወራዎች አይቆጠሩም።</v>
      </c>
    </row>
    <row r="132" ht="22.5" customHeight="1">
      <c r="A132" s="10">
        <v>131.0</v>
      </c>
      <c r="B132" s="11" t="s">
        <v>2669</v>
      </c>
      <c r="C132" s="11" t="s">
        <v>2670</v>
      </c>
      <c r="D132" s="11" t="s">
        <v>2572</v>
      </c>
      <c r="E132" s="11" t="s">
        <v>2671</v>
      </c>
      <c r="G132" s="11" t="str">
        <f>IFERROR(__xludf.DUMMYFUNCTION("GOOGLETRANSLATE(A132, ""en"", ""am"")"),"131")</f>
        <v>131</v>
      </c>
      <c r="H132" s="11" t="str">
        <f>IFERROR(__xludf.DUMMYFUNCTION("GOOGLETRANSLATE(B132, ""en"", ""am"")"),"ተቃዋሚዎች እየጣሉ እያለ ጮክ ብለው በመናገር ቡድንዎን ያዘናጋሉ። ምን ማድረግ አለቦት?")</f>
        <v>ተቃዋሚዎች እየጣሉ እያለ ጮክ ብለው በመናገር ቡድንዎን ያዘናጋሉ። ምን ማድረግ አለቦት?</v>
      </c>
      <c r="I132" s="11" t="str">
        <f>IFERROR(__xludf.DUMMYFUNCTION("GOOGLETRANSLATE(C132, ""en"", ""am"")"),"ሀ. ለዳኛው ሪፖርት አድርግ.B. ችላ በል እና ቀጥል.ሲ. ጨዋታውን ለአፍታ አቁም.ዲ. እንደገና ማጫወት ይጠይቁ")</f>
        <v>ሀ. ለዳኛው ሪፖርት አድርግ.B. ችላ በል እና ቀጥል.ሲ. ጨዋታውን ለአፍታ አቁም.ዲ. እንደገና ማጫወት ይጠይቁ</v>
      </c>
      <c r="J132" s="11" t="str">
        <f>IFERROR(__xludf.DUMMYFUNCTION("GOOGLETRANSLATE(D132, ""en"", ""am"")"),"ለዳኛው ሪፖርት አድርግ።")</f>
        <v>ለዳኛው ሪፖርት አድርግ።</v>
      </c>
      <c r="K132" s="11" t="str">
        <f>IFERROR(__xludf.DUMMYFUNCTION("GOOGLETRANSLATE(E132, ""en"", ""am"")"),"በተቃዋሚዎች ምክንያት የሚፈጠሩ መዘናጋት ለዳኛው ማሳወቅ አለበት።")</f>
        <v>በተቃዋሚዎች ምክንያት የሚፈጠሩ መዘናጋት ለዳኛው ማሳወቅ አለበት።</v>
      </c>
    </row>
    <row r="133" ht="22.5" customHeight="1">
      <c r="A133" s="10">
        <v>132.0</v>
      </c>
      <c r="B133" s="11" t="s">
        <v>2672</v>
      </c>
      <c r="C133" s="11" t="s">
        <v>2673</v>
      </c>
      <c r="D133" s="11" t="s">
        <v>2674</v>
      </c>
      <c r="E133" s="11" t="s">
        <v>2675</v>
      </c>
      <c r="G133" s="11" t="str">
        <f>IFERROR(__xludf.DUMMYFUNCTION("GOOGLETRANSLATE(A133, ""en"", ""am"")"),"132")</f>
        <v>132</v>
      </c>
      <c r="H133" s="11" t="str">
        <f>IFERROR(__xludf.DUMMYFUNCTION("GOOGLETRANSLATE(B133, ""en"", ""am"")"),"ኳስህ ኢላማውን በጥቂቱ ይንቀጠቀጣል ግን ብዙ አያንቀሳቅሰውም። ምን ይሆናል?")</f>
        <v>ኳስህ ኢላማውን በጥቂቱ ይንቀጠቀጣል ግን ብዙ አያንቀሳቅሰውም። ምን ይሆናል?</v>
      </c>
      <c r="I133" s="11" t="str">
        <f>IFERROR(__xludf.DUMMYFUNCTION("GOOGLETRANSLATE(C133, ""en"", ""am"")"),"ሀ. ምንም ነጥብ አላስመዘገብክም.B. ግማሽ ነጥብ ያገኛሉ.ሲ. ሙሉ ነጥብ አስመዝግበሃል።ዲ. ዳኛው ይወስናል።")</f>
        <v>ሀ. ምንም ነጥብ አላስመዘገብክም.B. ግማሽ ነጥብ ያገኛሉ.ሲ. ሙሉ ነጥብ አስመዝግበሃል።ዲ. ዳኛው ይወስናል።</v>
      </c>
      <c r="J133" s="11" t="str">
        <f>IFERROR(__xludf.DUMMYFUNCTION("GOOGLETRANSLATE(D133, ""en"", ""am"")"),"ግማሽ ነጥብ ያገኛሉ.")</f>
        <v>ግማሽ ነጥብ ያገኛሉ.</v>
      </c>
      <c r="K133" s="11" t="str">
        <f>IFERROR(__xludf.DUMMYFUNCTION("GOOGLETRANSLATE(E133, ""en"", ""am"")"),"ትንሽ መወርወር በርቀት ላይ በመመስረት ከፊል ነጥቦችን ያገኛል።")</f>
        <v>ትንሽ መወርወር በርቀት ላይ በመመስረት ከፊል ነጥቦችን ያገኛል።</v>
      </c>
    </row>
    <row r="134" ht="22.5" customHeight="1">
      <c r="A134" s="10">
        <v>133.0</v>
      </c>
      <c r="B134" s="11" t="s">
        <v>2676</v>
      </c>
      <c r="C134" s="11" t="s">
        <v>2677</v>
      </c>
      <c r="D134" s="11" t="s">
        <v>2656</v>
      </c>
      <c r="E134" s="11" t="s">
        <v>2678</v>
      </c>
      <c r="G134" s="11" t="str">
        <f>IFERROR(__xludf.DUMMYFUNCTION("GOOGLETRANSLATE(A134, ""en"", ""am"")"),"133")</f>
        <v>133</v>
      </c>
      <c r="H134" s="11" t="str">
        <f>IFERROR(__xludf.DUMMYFUNCTION("GOOGLETRANSLATE(B134, ""en"", ""am"")"),"ዒላማው ተመትቷል፣ ግን ምልክት ከተደረገበት የመጫወቻ ቦታ ውጭ ይንከባለል። ምን ይሆናል?")</f>
        <v>ዒላማው ተመትቷል፣ ግን ምልክት ከተደረገበት የመጫወቻ ቦታ ውጭ ይንከባለል። ምን ይሆናል?</v>
      </c>
      <c r="I134" s="11" t="str">
        <f>IFERROR(__xludf.DUMMYFUNCTION("GOOGLETRANSLATE(C134, ""en"", ""am"")"),"ሀ. ዒላማው እንደገና ተጀምሯል.B. ምንም ነጥብ አልተሰጠም.ሲ. ዙሩ በድጋሚ ተጫውቷል.ዲ. ዳኛው ይወስናል።")</f>
        <v>ሀ. ዒላማው እንደገና ተጀምሯል.B. ምንም ነጥብ አልተሰጠም.ሲ. ዙሩ በድጋሚ ተጫውቷል.ዲ. ዳኛው ይወስናል።</v>
      </c>
      <c r="J134" s="11" t="str">
        <f>IFERROR(__xludf.DUMMYFUNCTION("GOOGLETRANSLATE(D134, ""en"", ""am"")"),"ዒላማው እንደገና ተጀምሯል።")</f>
        <v>ዒላማው እንደገና ተጀምሯል።</v>
      </c>
      <c r="K134" s="11" t="str">
        <f>IFERROR(__xludf.DUMMYFUNCTION("GOOGLETRANSLATE(E134, ""en"", ""am"")"),"የመጫወቻ ቦታውን የሚለቁ ዒላማዎች እንደገና መጀመር አለባቸው.")</f>
        <v>የመጫወቻ ቦታውን የሚለቁ ዒላማዎች እንደገና መጀመር አለባቸው.</v>
      </c>
    </row>
    <row r="135" ht="22.5" customHeight="1">
      <c r="A135" s="10">
        <v>134.0</v>
      </c>
      <c r="B135" s="11" t="s">
        <v>2679</v>
      </c>
      <c r="C135" s="11" t="s">
        <v>2680</v>
      </c>
      <c r="D135" s="11" t="s">
        <v>2345</v>
      </c>
      <c r="E135" s="11" t="s">
        <v>2681</v>
      </c>
      <c r="G135" s="11" t="str">
        <f>IFERROR(__xludf.DUMMYFUNCTION("GOOGLETRANSLATE(A135, ""en"", ""am"")"),"134")</f>
        <v>134</v>
      </c>
      <c r="H135" s="11" t="str">
        <f>IFERROR(__xludf.DUMMYFUNCTION("GOOGLETRANSLATE(B135, ""en"", ""am"")"),"እየወረወሩ በአጋጣሚ ወደ መጨረሻው ዞን ገቡ። ምን ይሆናል?")</f>
        <v>እየወረወሩ በአጋጣሚ ወደ መጨረሻው ዞን ገቡ። ምን ይሆናል?</v>
      </c>
      <c r="I135" s="11" t="str">
        <f>IFERROR(__xludf.DUMMYFUNCTION("GOOGLETRANSLATE(C135, ""en"", ""am"")"),"ሀ. መወርወሩ ልክ ያልሆነ ነው.ቢ. ክበቡ ቆሟል.ሲ. ነጥቦች ተቀንሰዋል ዲ. ዳኛው ማስጠንቀቂያ ሰጥተዋል።")</f>
        <v>ሀ. መወርወሩ ልክ ያልሆነ ነው.ቢ. ክበቡ ቆሟል.ሲ. ነጥቦች ተቀንሰዋል ዲ. ዳኛው ማስጠንቀቂያ ሰጥተዋል።</v>
      </c>
      <c r="J135" s="11" t="str">
        <f>IFERROR(__xludf.DUMMYFUNCTION("GOOGLETRANSLATE(D135, ""en"", ""am"")"),"መወርወሩ ልክ ያልሆነ ነው።")</f>
        <v>መወርወሩ ልክ ያልሆነ ነው።</v>
      </c>
      <c r="K135" s="11" t="str">
        <f>IFERROR(__xludf.DUMMYFUNCTION("GOOGLETRANSLATE(E135, ""en"", ""am"")"),"ተጫዋቾቹ በሚጣሉበት ጊዜ ወደ የውጤት ዞኑ መግባት የለባቸውም።")</f>
        <v>ተጫዋቾቹ በሚጣሉበት ጊዜ ወደ የውጤት ዞኑ መግባት የለባቸውም።</v>
      </c>
    </row>
    <row r="136" ht="22.5" customHeight="1">
      <c r="A136" s="10">
        <v>135.0</v>
      </c>
      <c r="B136" s="11" t="s">
        <v>2682</v>
      </c>
      <c r="C136" s="11" t="s">
        <v>2683</v>
      </c>
      <c r="D136" s="11" t="s">
        <v>2684</v>
      </c>
      <c r="E136" s="11" t="s">
        <v>2685</v>
      </c>
      <c r="G136" s="11" t="str">
        <f>IFERROR(__xludf.DUMMYFUNCTION("GOOGLETRANSLATE(A136, ""en"", ""am"")"),"135")</f>
        <v>135</v>
      </c>
      <c r="H136" s="11" t="str">
        <f>IFERROR(__xludf.DUMMYFUNCTION("GOOGLETRANSLATE(B136, ""en"", ""am"")"),"አንድ ተጫዋች ጥቅም ለማግኘት የበለጠ ክብደት ያለው ኳስ ይጠቀማል። ምን መሆን አለበት?")</f>
        <v>አንድ ተጫዋች ጥቅም ለማግኘት የበለጠ ክብደት ያለው ኳስ ይጠቀማል። ምን መሆን አለበት?</v>
      </c>
      <c r="I136" s="11" t="str">
        <f>IFERROR(__xludf.DUMMYFUNCTION("GOOGLETRANSLATE(C136, ""en"", ""am"")"),"ሀ. ኳሱ ከወሰን ውጪ ነው.ቢ. ተጫዋቹ ውድቅ ተደርጓል.ሲ. ዙሩ በድጋሚ ተጫውቷል.ዲ. ዳኛው ይወስናል።")</f>
        <v>ሀ. ኳሱ ከወሰን ውጪ ነው.ቢ. ተጫዋቹ ውድቅ ተደርጓል.ሲ. ዙሩ በድጋሚ ተጫውቷል.ዲ. ዳኛው ይወስናል።</v>
      </c>
      <c r="J136" s="11" t="str">
        <f>IFERROR(__xludf.DUMMYFUNCTION("GOOGLETRANSLATE(D136, ""en"", ""am"")"),"ኳሱ ከወሰን ውጪ ነው።")</f>
        <v>ኳሱ ከወሰን ውጪ ነው።</v>
      </c>
      <c r="K136" s="11" t="str">
        <f>IFERROR(__xludf.DUMMYFUNCTION("GOOGLETRANSLATE(E136, ""en"", ""am"")"),"ለፍትሃዊነት መቆጣጠሪያ መሳሪያዎች ብቻ ይፈቀዳሉ.")</f>
        <v>ለፍትሃዊነት መቆጣጠሪያ መሳሪያዎች ብቻ ይፈቀዳሉ.</v>
      </c>
    </row>
    <row r="137" ht="22.5" customHeight="1">
      <c r="A137" s="10">
        <v>136.0</v>
      </c>
      <c r="B137" s="11" t="s">
        <v>2686</v>
      </c>
      <c r="C137" s="11" t="s">
        <v>2687</v>
      </c>
      <c r="D137" s="11" t="s">
        <v>2688</v>
      </c>
      <c r="E137" s="11" t="s">
        <v>2689</v>
      </c>
      <c r="G137" s="11" t="str">
        <f>IFERROR(__xludf.DUMMYFUNCTION("GOOGLETRANSLATE(A137, ""en"", ""am"")"),"136")</f>
        <v>136</v>
      </c>
      <c r="H137" s="11" t="str">
        <f>IFERROR(__xludf.DUMMYFUNCTION("GOOGLETRANSLATE(B137, ""en"", ""am"")"),"ኳስህ ወደ ዒላማው ቅርብ ናት ነገር ግን የባላጋራህን ኳስ ትነካለች። ምን ይሆናል?")</f>
        <v>ኳስህ ወደ ዒላማው ቅርብ ናት ነገር ግን የባላጋራህን ኳስ ትነካለች። ምን ይሆናል?</v>
      </c>
      <c r="I137" s="11" t="str">
        <f>IFERROR(__xludf.DUMMYFUNCTION("GOOGLETRANSLATE(C137, ""en"", ""am"")"),"ሀ. ሁለቱም ኳሶች ትክክለኛ ናቸው.ቢ. ኳስህ ልክ ያልሆነ ነው።ሲ. በጣም ቅርብ የሆኑት ኳሶች ብቻ ናቸው ዲ. ዳኛው ይወስናል።")</f>
        <v>ሀ. ሁለቱም ኳሶች ትክክለኛ ናቸው.ቢ. ኳስህ ልክ ያልሆነ ነው።ሲ. በጣም ቅርብ የሆኑት ኳሶች ብቻ ናቸው ዲ. ዳኛው ይወስናል።</v>
      </c>
      <c r="J137" s="11" t="str">
        <f>IFERROR(__xludf.DUMMYFUNCTION("GOOGLETRANSLATE(D137, ""en"", ""am"")"),"በጣም ቅርብ የሆኑት ኳሶች ብቻ አሉ።")</f>
        <v>በጣም ቅርብ የሆኑት ኳሶች ብቻ አሉ።</v>
      </c>
      <c r="K137" s="11" t="str">
        <f>IFERROR(__xludf.DUMMYFUNCTION("GOOGLETRANSLATE(E137, ""en"", ""am"")"),"የውጤት አሰጣጥ ከሁሉም እንቅስቃሴዎች በኋላ ወደ ዒላማው ቅርበት ላይ የተመሰረተ ነው.")</f>
        <v>የውጤት አሰጣጥ ከሁሉም እንቅስቃሴዎች በኋላ ወደ ዒላማው ቅርበት ላይ የተመሰረተ ነው.</v>
      </c>
    </row>
    <row r="138" ht="22.5" customHeight="1">
      <c r="A138" s="10">
        <v>137.0</v>
      </c>
      <c r="B138" s="11" t="s">
        <v>2690</v>
      </c>
      <c r="C138" s="11" t="s">
        <v>2691</v>
      </c>
      <c r="D138" s="11" t="s">
        <v>2692</v>
      </c>
      <c r="E138" s="11" t="s">
        <v>2693</v>
      </c>
      <c r="G138" s="11" t="str">
        <f>IFERROR(__xludf.DUMMYFUNCTION("GOOGLETRANSLATE(A138, ""en"", ""am"")"),"137")</f>
        <v>137</v>
      </c>
      <c r="H138" s="11" t="str">
        <f>IFERROR(__xludf.DUMMYFUNCTION("GOOGLETRANSLATE(B138, ""en"", ""am"")"),"ዒላማው ከተመታ በኋላ ወደ መሰናክል ቦታ ይንቀሳቀሳል. ምን ይሆናል?")</f>
        <v>ዒላማው ከተመታ በኋላ ወደ መሰናክል ቦታ ይንቀሳቀሳል. ምን ይሆናል?</v>
      </c>
      <c r="I138" s="11" t="str">
        <f>IFERROR(__xludf.DUMMYFUNCTION("GOOGLETRANSLATE(C138, ""en"", ""am"")"),"ሀ. ዒላማው ትክክለኛ ነው.ቢ. ዒላማው እንደገና ተጀምሯል.ሲ. ክበቡ ቆሟል.ዲ. ነጥቦች በግማሽ ተቀነሱ")</f>
        <v>ሀ. ዒላማው ትክክለኛ ነው.ቢ. ዒላማው እንደገና ተጀምሯል.ሲ. ክበቡ ቆሟል.ዲ. ነጥቦች በግማሽ ተቀነሱ</v>
      </c>
      <c r="J138" s="11" t="str">
        <f>IFERROR(__xludf.DUMMYFUNCTION("GOOGLETRANSLATE(D138, ""en"", ""am"")"),"ዒላማው ትክክለኛ ነው።")</f>
        <v>ዒላማው ትክክለኛ ነው።</v>
      </c>
      <c r="K138" s="11" t="str">
        <f>IFERROR(__xludf.DUMMYFUNCTION("GOOGLETRANSLATE(E138, ""en"", ""am"")"),"እንቅፋቶች የታለመውን ቦታ አያጠፉም.")</f>
        <v>እንቅፋቶች የታለመውን ቦታ አያጠፉም.</v>
      </c>
    </row>
    <row r="139" ht="22.5" customHeight="1">
      <c r="A139" s="10">
        <v>138.0</v>
      </c>
      <c r="B139" s="11" t="s">
        <v>2694</v>
      </c>
      <c r="C139" s="11" t="s">
        <v>2695</v>
      </c>
      <c r="D139" s="11" t="s">
        <v>2638</v>
      </c>
      <c r="E139" s="11" t="s">
        <v>2696</v>
      </c>
      <c r="G139" s="11" t="str">
        <f>IFERROR(__xludf.DUMMYFUNCTION("GOOGLETRANSLATE(A139, ""en"", ""am"")"),"138")</f>
        <v>138</v>
      </c>
      <c r="H139" s="11" t="str">
        <f>IFERROR(__xludf.DUMMYFUNCTION("GOOGLETRANSLATE(B139, ""en"", ""am"")"),"ኳስዎ ወደ ኢላማው በጣም ቅርብ ነው, ግን በከፊል ተቀብሯል. ምን ይሆናል?")</f>
        <v>ኳስዎ ወደ ኢላማው በጣም ቅርብ ነው, ግን በከፊል ተቀብሯል. ምን ይሆናል?</v>
      </c>
      <c r="I139" s="11" t="str">
        <f>IFERROR(__xludf.DUMMYFUNCTION("GOOGLETRANSLATE(C139, ""en"", ""am"")"),"ሀ. ኳሱ ትክክለኛ ነው.ቢ. ኳሱ ልክ ያልሆነ ነው.ሲ. ነጥቦች በግማሽ ተከፍለዋል። ዳኛው ይወስናል።")</f>
        <v>ሀ. ኳሱ ትክክለኛ ነው.ቢ. ኳሱ ልክ ያልሆነ ነው.ሲ. ነጥቦች በግማሽ ተከፍለዋል። ዳኛው ይወስናል።</v>
      </c>
      <c r="J139" s="11" t="str">
        <f>IFERROR(__xludf.DUMMYFUNCTION("GOOGLETRANSLATE(D139, ""en"", ""am"")"),"ኳሱ ትክክለኛ ነው።")</f>
        <v>ኳሱ ትክክለኛ ነው።</v>
      </c>
      <c r="K139" s="11" t="str">
        <f>IFERROR(__xludf.DUMMYFUNCTION("GOOGLETRANSLATE(E139, ""en"", ""am"")"),"በከፊል የተቀበሩ ኳሶች አሁንም የሚታዩ ከሆኑ ደህና ናቸው።")</f>
        <v>በከፊል የተቀበሩ ኳሶች አሁንም የሚታዩ ከሆኑ ደህና ናቸው።</v>
      </c>
    </row>
    <row r="140" ht="22.5" customHeight="1">
      <c r="A140" s="10">
        <v>139.0</v>
      </c>
      <c r="B140" s="11" t="s">
        <v>2697</v>
      </c>
      <c r="C140" s="11" t="s">
        <v>2698</v>
      </c>
      <c r="D140" s="11" t="s">
        <v>2656</v>
      </c>
      <c r="E140" s="11" t="s">
        <v>2699</v>
      </c>
      <c r="G140" s="11" t="str">
        <f>IFERROR(__xludf.DUMMYFUNCTION("GOOGLETRANSLATE(A140, ""en"", ""am"")"),"139")</f>
        <v>139</v>
      </c>
      <c r="H140" s="11" t="str">
        <f>IFERROR(__xludf.DUMMYFUNCTION("GOOGLETRANSLATE(B140, ""en"", ""am"")"),"አንድ ተመልካች በድንገት ዒላማውን በእግሩ ያንቀሳቅሰዋል. ምን መሆን አለበት?")</f>
        <v>አንድ ተመልካች በድንገት ዒላማውን በእግሩ ያንቀሳቅሰዋል. ምን መሆን አለበት?</v>
      </c>
      <c r="I140" s="11" t="str">
        <f>IFERROR(__xludf.DUMMYFUNCTION("GOOGLETRANSLATE(C140, ""en"", ""am"")"),"ሀ. ዒላማው እንደገና ተጀምሯል.B. ዙሩ በድጋሚ ተጫውቷል.ሲ. ነጥቦች እንደገና ይሰላሉ.ዲ. ዳኛው ተጫዋቹን ይቀጣዋል።")</f>
        <v>ሀ. ዒላማው እንደገና ተጀምሯል.B. ዙሩ በድጋሚ ተጫውቷል.ሲ. ነጥቦች እንደገና ይሰላሉ.ዲ. ዳኛው ተጫዋቹን ይቀጣዋል።</v>
      </c>
      <c r="J140" s="11" t="str">
        <f>IFERROR(__xludf.DUMMYFUNCTION("GOOGLETRANSLATE(D140, ""en"", ""am"")"),"ዒላማው እንደገና ተጀምሯል።")</f>
        <v>ዒላማው እንደገና ተጀምሯል።</v>
      </c>
      <c r="K140" s="11" t="str">
        <f>IFERROR(__xludf.DUMMYFUNCTION("GOOGLETRANSLATE(E140, ""en"", ""am"")"),"የውጭ ጣልቃገብነት ወደ ዒላማው መመለስ ይመራል.")</f>
        <v>የውጭ ጣልቃገብነት ወደ ዒላማው መመለስ ይመራል.</v>
      </c>
    </row>
    <row r="141" ht="22.5" customHeight="1">
      <c r="A141" s="10">
        <v>140.0</v>
      </c>
      <c r="B141" s="11" t="s">
        <v>2700</v>
      </c>
      <c r="C141" s="11" t="s">
        <v>2701</v>
      </c>
      <c r="D141" s="11" t="s">
        <v>2568</v>
      </c>
      <c r="E141" s="11" t="s">
        <v>2702</v>
      </c>
      <c r="G141" s="11" t="str">
        <f>IFERROR(__xludf.DUMMYFUNCTION("GOOGLETRANSLATE(A141, ""en"", ""am"")"),"140")</f>
        <v>140</v>
      </c>
      <c r="H141" s="11" t="str">
        <f>IFERROR(__xludf.DUMMYFUNCTION("GOOGLETRANSLATE(B141, ""en"", ""am"")"),"ተቃዋሚዎ ኳሳቸው መጀመሪያ ኢላማውን እንደነካው ተናግሯል፣ ግን እርስዎ አልተስማሙም። ምን ይሆናል?")</f>
        <v>ተቃዋሚዎ ኳሳቸው መጀመሪያ ኢላማውን እንደነካው ተናግሯል፣ ግን እርስዎ አልተስማሙም። ምን ይሆናል?</v>
      </c>
      <c r="I141" s="11" t="str">
        <f>IFERROR(__xludf.DUMMYFUNCTION("GOOGLETRANSLATE(C141, ""en"", ""am"")"),"ሀ. ዳኛው ይወስናሉ.B. የይገባኛል ጥያቄው ችላ ተብሏል.ሲ. ዙሩ በድጋሚ ተጫውቷል.ዲ. ሁለቱም ውርወራዎች ልክ አይደሉም።")</f>
        <v>ሀ. ዳኛው ይወስናሉ.B. የይገባኛል ጥያቄው ችላ ተብሏል.ሲ. ዙሩ በድጋሚ ተጫውቷል.ዲ. ሁለቱም ውርወራዎች ልክ አይደሉም።</v>
      </c>
      <c r="J141" s="11" t="str">
        <f>IFERROR(__xludf.DUMMYFUNCTION("GOOGLETRANSLATE(D141, ""en"", ""am"")"),"ዳኛው ይወስናል።")</f>
        <v>ዳኛው ይወስናል።</v>
      </c>
      <c r="K141" s="11" t="str">
        <f>IFERROR(__xludf.DUMMYFUNCTION("GOOGLETRANSLATE(E141, ""en"", ""am"")"),"ዳኛው የኳስ መስተጋብርን በተመለከተ አለመግባባቶችን ይፈታል።")</f>
        <v>ዳኛው የኳስ መስተጋብርን በተመለከተ አለመግባባቶችን ይፈታል።</v>
      </c>
    </row>
    <row r="142" ht="22.5" customHeight="1">
      <c r="A142" s="10">
        <v>141.0</v>
      </c>
      <c r="B142" s="11" t="s">
        <v>2703</v>
      </c>
      <c r="C142" s="11" t="s">
        <v>2704</v>
      </c>
      <c r="D142" s="11" t="s">
        <v>2705</v>
      </c>
      <c r="E142" s="11" t="s">
        <v>2706</v>
      </c>
      <c r="G142" s="11" t="str">
        <f>IFERROR(__xludf.DUMMYFUNCTION("GOOGLETRANSLATE(A142, ""en"", ""am"")"),"141")</f>
        <v>141</v>
      </c>
      <c r="H142" s="11" t="str">
        <f>IFERROR(__xludf.DUMMYFUNCTION("GOOGLETRANSLATE(B142, ""en"", ""am"")"),"ኳስህ ከዒላማው ወጥታ ከግብ ክልል ወጥታለች። ምን ይሆናል?")</f>
        <v>ኳስህ ከዒላማው ወጥታ ከግብ ክልል ወጥታለች። ምን ይሆናል?</v>
      </c>
      <c r="I142" s="11" t="str">
        <f>IFERROR(__xludf.DUMMYFUNCTION("GOOGLETRANSLATE(C142, ""en"", ""am"")"),"ሀ. ኳሱ ልክ ያልሆነ ነው.ቢ. ነጥቦች በግማሽ ተከፍለዋል። ኳሱ ተቆጥሯል ዲ. ዙሩ በድጋሚ ተካሂዷል።")</f>
        <v>ሀ. ኳሱ ልክ ያልሆነ ነው.ቢ. ነጥቦች በግማሽ ተከፍለዋል። ኳሱ ተቆጥሯል ዲ. ዙሩ በድጋሚ ተካሂዷል።</v>
      </c>
      <c r="J142" s="11" t="str">
        <f>IFERROR(__xludf.DUMMYFUNCTION("GOOGLETRANSLATE(D142, ""en"", ""am"")"),"ኳሱ ልክ ያልሆነ ነው።")</f>
        <v>ኳሱ ልክ ያልሆነ ነው።</v>
      </c>
      <c r="K142" s="11" t="str">
        <f>IFERROR(__xludf.DUMMYFUNCTION("GOOGLETRANSLATE(E142, ""en"", ""am"")"),"ከመጨረሻው ዞን ውጭ የሚያርፉ ኳሶች ልክ አይደሉም።")</f>
        <v>ከመጨረሻው ዞን ውጭ የሚያርፉ ኳሶች ልክ አይደሉም።</v>
      </c>
    </row>
    <row r="143" ht="22.5" customHeight="1">
      <c r="A143" s="10">
        <v>142.0</v>
      </c>
      <c r="B143" s="11" t="s">
        <v>2707</v>
      </c>
      <c r="C143" s="11" t="s">
        <v>2708</v>
      </c>
      <c r="D143" s="11" t="s">
        <v>2286</v>
      </c>
      <c r="E143" s="11" t="s">
        <v>2709</v>
      </c>
      <c r="G143" s="11" t="str">
        <f>IFERROR(__xludf.DUMMYFUNCTION("GOOGLETRANSLATE(A143, ""en"", ""am"")"),"142")</f>
        <v>142</v>
      </c>
      <c r="H143" s="11" t="str">
        <f>IFERROR(__xludf.DUMMYFUNCTION("GOOGLETRANSLATE(B143, ""en"", ""am"")"),"የቡድን ጓደኛው ኳሱን ይጥላል, እና እንቅፋት ከተመታ በኋላ ለሁለት ይከፈላል. ምን ይሆናል?")</f>
        <v>የቡድን ጓደኛው ኳሱን ይጥላል, እና እንቅፋት ከተመታ በኋላ ለሁለት ይከፈላል. ምን ይሆናል?</v>
      </c>
      <c r="I143" s="11" t="str">
        <f>IFERROR(__xludf.DUMMYFUNCTION("GOOGLETRANSLATE(C143, ""en"", ""am"")"),"ሀ. ምንም ነጥብ አልተሰጠም.B. ነጥቦች ለእያንዳንዱ ግማሽ ተሰጥተዋል.C. ውርወራው በድጋሚ ተጫውቷል.ዲ. ትልቁ ግማሽ ነጥብ ያስገኛል.")</f>
        <v>ሀ. ምንም ነጥብ አልተሰጠም.B. ነጥቦች ለእያንዳንዱ ግማሽ ተሰጥተዋል.C. ውርወራው በድጋሚ ተጫውቷል.ዲ. ትልቁ ግማሽ ነጥብ ያስገኛል.</v>
      </c>
      <c r="J143" s="11" t="str">
        <f>IFERROR(__xludf.DUMMYFUNCTION("GOOGLETRANSLATE(D143, ""en"", ""am"")"),"ምንም ነጥብ አልተሰጠም።")</f>
        <v>ምንም ነጥብ አልተሰጠም።</v>
      </c>
      <c r="K143" s="11" t="str">
        <f>IFERROR(__xludf.DUMMYFUNCTION("GOOGLETRANSLATE(E143, ""en"", ""am"")"),"የኳስ መሰንጠቅ መወርወርን ሙሉ በሙሉ ያስወግዳል።")</f>
        <v>የኳስ መሰንጠቅ መወርወርን ሙሉ በሙሉ ያስወግዳል።</v>
      </c>
    </row>
    <row r="144" ht="22.5" customHeight="1">
      <c r="A144" s="10">
        <v>143.0</v>
      </c>
      <c r="B144" s="11" t="s">
        <v>2710</v>
      </c>
      <c r="C144" s="11" t="s">
        <v>2711</v>
      </c>
      <c r="D144" s="11" t="s">
        <v>2692</v>
      </c>
      <c r="E144" s="11" t="s">
        <v>2712</v>
      </c>
      <c r="G144" s="11" t="str">
        <f>IFERROR(__xludf.DUMMYFUNCTION("GOOGLETRANSLATE(A144, ""en"", ""am"")"),"143")</f>
        <v>143</v>
      </c>
      <c r="H144" s="11" t="str">
        <f>IFERROR(__xludf.DUMMYFUNCTION("GOOGLETRANSLATE(B144, ""en"", ""am"")"),"ኢላማው ከተመታ በኋላ በጠረጴዛው ስር ይንቀሳቀሳል. ምን ይሆናል?")</f>
        <v>ኢላማው ከተመታ በኋላ በጠረጴዛው ስር ይንቀሳቀሳል. ምን ይሆናል?</v>
      </c>
      <c r="I144" s="11" t="str">
        <f>IFERROR(__xludf.DUMMYFUNCTION("GOOGLETRANSLATE(C144, ""en"", ""am"")"),"ሀ. ዒላማው ትክክለኛ ነው.ቢ. ዒላማው እንደገና ተጀምሯል.ሲ. ዙሩ በድጋሚ ተጫውቷል.ዲ. ነጥቦች በግማሽ ተቀነሱ")</f>
        <v>ሀ. ዒላማው ትክክለኛ ነው.ቢ. ዒላማው እንደገና ተጀምሯል.ሲ. ዙሩ በድጋሚ ተጫውቷል.ዲ. ነጥቦች በግማሽ ተቀነሱ</v>
      </c>
      <c r="J144" s="11" t="str">
        <f>IFERROR(__xludf.DUMMYFUNCTION("GOOGLETRANSLATE(D144, ""en"", ""am"")"),"ዒላማው ትክክለኛ ነው።")</f>
        <v>ዒላማው ትክክለኛ ነው።</v>
      </c>
      <c r="K144" s="11" t="str">
        <f>IFERROR(__xludf.DUMMYFUNCTION("GOOGLETRANSLATE(E144, ""en"", ""am"")"),"ዒላማው ላይ መድረስ እስከተቻለ ድረስ የሚሰራ ሆኖ ይቆያል።")</f>
        <v>ዒላማው ላይ መድረስ እስከተቻለ ድረስ የሚሰራ ሆኖ ይቆያል።</v>
      </c>
    </row>
    <row r="145" ht="22.5" customHeight="1">
      <c r="A145" s="10">
        <v>144.0</v>
      </c>
      <c r="B145" s="11" t="s">
        <v>2713</v>
      </c>
      <c r="C145" s="11" t="s">
        <v>2714</v>
      </c>
      <c r="D145" s="11" t="s">
        <v>2592</v>
      </c>
      <c r="E145" s="11" t="s">
        <v>2715</v>
      </c>
      <c r="G145" s="11" t="str">
        <f>IFERROR(__xludf.DUMMYFUNCTION("GOOGLETRANSLATE(A145, ""en"", ""am"")"),"144")</f>
        <v>144</v>
      </c>
      <c r="H145" s="11" t="str">
        <f>IFERROR(__xludf.DUMMYFUNCTION("GOOGLETRANSLATE(B145, ""en"", ""am"")"),"ኳስዎ በመጨረሻው ዞን ትክክለኛ መሃል ላይ ያርፋል። ምን ይሆናል?")</f>
        <v>ኳስዎ በመጨረሻው ዞን ትክክለኛ መሃል ላይ ያርፋል። ምን ይሆናል?</v>
      </c>
      <c r="I145" s="11" t="str">
        <f>IFERROR(__xludf.DUMMYFUNCTION("GOOGLETRANSLATE(C145, ""en"", ""am"")"),"A. እርስዎ ከፍተኛ ነጥብ ያስመዘገቡ.B. ነጥቦች በእጥፍ ይጨምራሉ.ሲ. ዙሩ ያበቃል.ዲ. መወርወሩ ልክ ያልሆነ ነው።")</f>
        <v>A. እርስዎ ከፍተኛ ነጥብ ያስመዘገቡ.B. ነጥቦች በእጥፍ ይጨምራሉ.ሲ. ዙሩ ያበቃል.ዲ. መወርወሩ ልክ ያልሆነ ነው።</v>
      </c>
      <c r="J145" s="11" t="str">
        <f>IFERROR(__xludf.DUMMYFUNCTION("GOOGLETRANSLATE(D145, ""en"", ""am"")"),"ከፍተኛ ነጥብ አስመዝግበሃል።")</f>
        <v>ከፍተኛ ነጥብ አስመዝግበሃል።</v>
      </c>
      <c r="K145" s="11" t="str">
        <f>IFERROR(__xludf.DUMMYFUNCTION("GOOGLETRANSLATE(E145, ""en"", ""am"")"),"በመሃል ላይ ማቆም ከፍተኛውን ውጤት ያስገኛል.")</f>
        <v>በመሃል ላይ ማቆም ከፍተኛውን ውጤት ያስገኛል.</v>
      </c>
    </row>
    <row r="146" ht="22.5" customHeight="1">
      <c r="A146" s="10">
        <v>145.0</v>
      </c>
      <c r="B146" s="11" t="s">
        <v>2716</v>
      </c>
      <c r="C146" s="11" t="s">
        <v>2717</v>
      </c>
      <c r="D146" s="11" t="s">
        <v>137</v>
      </c>
      <c r="E146" s="11" t="s">
        <v>2718</v>
      </c>
      <c r="G146" s="11" t="str">
        <f>IFERROR(__xludf.DUMMYFUNCTION("GOOGLETRANSLATE(A146, ""en"", ""am"")"),"145")</f>
        <v>145</v>
      </c>
      <c r="H146" s="11" t="str">
        <f>IFERROR(__xludf.DUMMYFUNCTION("GOOGLETRANSLATE(B146, ""en"", ""am"")"),"ዳኛው ተጫዋቹ በሚጥልበት መስመር ላይ ያለማቋረጥ እየረገጠ መሆኑን ያስተውላሉ። ምን ይሆናል?")</f>
        <v>ዳኛው ተጫዋቹ በሚጥልበት መስመር ላይ ያለማቋረጥ እየረገጠ መሆኑን ያስተውላሉ። ምን ይሆናል?</v>
      </c>
      <c r="I146" s="11" t="str">
        <f>IFERROR(__xludf.DUMMYFUNCTION("GOOGLETRANSLATE(C146, ""en"", ""am"")"),"ሀ. ተጫዋቹ ማስጠንቀቂያ ይደርሰዋል.B. መወርወሩ ልክ ያልሆነ ነው።ሲ. ነጥቦች ተቀንሰዋል ዲ. ዙሩ በድጋሚ ተካሂዷል።")</f>
        <v>ሀ. ተጫዋቹ ማስጠንቀቂያ ይደርሰዋል.B. መወርወሩ ልክ ያልሆነ ነው።ሲ. ነጥቦች ተቀንሰዋል ዲ. ዙሩ በድጋሚ ተካሂዷል።</v>
      </c>
      <c r="J146" s="11" t="str">
        <f>IFERROR(__xludf.DUMMYFUNCTION("GOOGLETRANSLATE(D146, ""en"", ""am"")"),"ተጫዋቹ ማስጠንቀቂያ ይደርሰዋል።")</f>
        <v>ተጫዋቹ ማስጠንቀቂያ ይደርሰዋል።</v>
      </c>
      <c r="K146" s="11" t="str">
        <f>IFERROR(__xludf.DUMMYFUNCTION("GOOGLETRANSLATE(E146, ""en"", ""am"")"),"መስመሩን ማለፍ ኦፊሴላዊ ማስጠንቀቂያን ያስከትላል።")</f>
        <v>መስመሩን ማለፍ ኦፊሴላዊ ማስጠንቀቂያን ያስከትላል።</v>
      </c>
    </row>
    <row r="147" ht="22.5" customHeight="1">
      <c r="A147" s="10">
        <v>146.0</v>
      </c>
      <c r="B147" s="11" t="s">
        <v>2719</v>
      </c>
      <c r="C147" s="11" t="s">
        <v>2720</v>
      </c>
      <c r="D147" s="11" t="s">
        <v>2377</v>
      </c>
      <c r="E147" s="11" t="s">
        <v>2721</v>
      </c>
      <c r="G147" s="11" t="str">
        <f>IFERROR(__xludf.DUMMYFUNCTION("GOOGLETRANSLATE(A147, ""en"", ""am"")"),"146")</f>
        <v>146</v>
      </c>
      <c r="H147" s="11" t="str">
        <f>IFERROR(__xludf.DUMMYFUNCTION("GOOGLETRANSLATE(B147, ""en"", ""am"")"),"ኳስዎ ሜዳውን ከሚያቋርጥ እንስሳ ጋር በድንገት ይጋጫል። ምን ይሆናል?")</f>
        <v>ኳስዎ ሜዳውን ከሚያቋርጥ እንስሳ ጋር በድንገት ይጋጫል። ምን ይሆናል?</v>
      </c>
      <c r="I147" s="11" t="str">
        <f>IFERROR(__xludf.DUMMYFUNCTION("GOOGLETRANSLATE(C147, ""en"", ""am"")"),"ሀ. መወርወሩ ልክ ያልሆነ ነው.ቢ. ዙሩ በድጋሚ ተጫውቷል.ሲ. የተሸለሙ ነጥቦች ዲ. ዳኛው ይወስናል።")</f>
        <v>ሀ. መወርወሩ ልክ ያልሆነ ነው.ቢ. ዙሩ በድጋሚ ተጫውቷል.ሲ. የተሸለሙ ነጥቦች ዲ. ዳኛው ይወስናል።</v>
      </c>
      <c r="J147" s="11" t="str">
        <f>IFERROR(__xludf.DUMMYFUNCTION("GOOGLETRANSLATE(D147, ""en"", ""am"")"),"ዙሩ በድጋሚ ተካሂዷል።")</f>
        <v>ዙሩ በድጋሚ ተካሂዷል።</v>
      </c>
      <c r="K147" s="11" t="str">
        <f>IFERROR(__xludf.DUMMYFUNCTION("GOOGLETRANSLATE(E147, ""en"", ""am"")"),"ያለፈቃድ የውጭ ጣልቃገብነት ውርወራው እንደገና እንዲጫወት ያደርገዋል.")</f>
        <v>ያለፈቃድ የውጭ ጣልቃገብነት ውርወራው እንደገና እንዲጫወት ያደርገዋል.</v>
      </c>
    </row>
    <row r="148" ht="22.5" customHeight="1">
      <c r="A148" s="10">
        <v>147.0</v>
      </c>
      <c r="B148" s="11" t="s">
        <v>2722</v>
      </c>
      <c r="C148" s="11" t="s">
        <v>2723</v>
      </c>
      <c r="D148" s="11" t="s">
        <v>2724</v>
      </c>
      <c r="E148" s="11" t="s">
        <v>2725</v>
      </c>
      <c r="G148" s="11" t="str">
        <f>IFERROR(__xludf.DUMMYFUNCTION("GOOGLETRANSLATE(A148, ""en"", ""am"")"),"147")</f>
        <v>147</v>
      </c>
      <c r="H148" s="11" t="str">
        <f>IFERROR(__xludf.DUMMYFUNCTION("GOOGLETRANSLATE(B148, ""en"", ""am"")"),"የባላጋራህ ኳስ የአንተን ይመታል፣ ወደ ኢላማው ይጠጋል። ማን ነው ያስመዘገበው?")</f>
        <v>የባላጋራህ ኳስ የአንተን ይመታል፣ ወደ ኢላማው ይጠጋል። ማን ነው ያስመዘገበው?</v>
      </c>
      <c r="I148" s="11" t="str">
        <f>IFERROR(__xludf.DUMMYFUNCTION("GOOGLETRANSLATE(C148, ""en"", ""am"")"),"ሀ. ቡድንህ አስቆጥሯል.B. ተቃዋሚው ነጥብ አስመዝግቧል። ሁለቱም ቡድኖች አስቆጥረዋል ዲ. ምንም ነጥብ አልተሰጠም።")</f>
        <v>ሀ. ቡድንህ አስቆጥሯል.B. ተቃዋሚው ነጥብ አስመዝግቧል። ሁለቱም ቡድኖች አስቆጥረዋል ዲ. ምንም ነጥብ አልተሰጠም።</v>
      </c>
      <c r="J148" s="11" t="str">
        <f>IFERROR(__xludf.DUMMYFUNCTION("GOOGLETRANSLATE(D148, ""en"", ""am"")"),"ቡድንህ አስቆጥሯል።")</f>
        <v>ቡድንህ አስቆጥሯል።</v>
      </c>
      <c r="K148" s="11" t="str">
        <f>IFERROR(__xludf.DUMMYFUNCTION("GOOGLETRANSLATE(E148, ""en"", ""am"")"),"የኳስዎ የመጨረሻ ቦታ የቡድንዎን ውጤት ይወስናል።")</f>
        <v>የኳስዎ የመጨረሻ ቦታ የቡድንዎን ውጤት ይወስናል።</v>
      </c>
    </row>
    <row r="149" ht="22.5" customHeight="1">
      <c r="A149" s="10">
        <v>148.0</v>
      </c>
      <c r="B149" s="11" t="s">
        <v>2726</v>
      </c>
      <c r="C149" s="11" t="s">
        <v>2727</v>
      </c>
      <c r="D149" s="11" t="s">
        <v>2345</v>
      </c>
      <c r="E149" s="11" t="s">
        <v>2728</v>
      </c>
      <c r="G149" s="11" t="str">
        <f>IFERROR(__xludf.DUMMYFUNCTION("GOOGLETRANSLATE(A149, ""en"", ""am"")"),"148")</f>
        <v>148</v>
      </c>
      <c r="H149" s="11" t="str">
        <f>IFERROR(__xludf.DUMMYFUNCTION("GOOGLETRANSLATE(B149, ""en"", ""am"")"),"የተጫዋች ኳስ የተከለከለ ቦታ ላይ ቢያርፍም አሁንም ኢላማውን ይነካል። ምን ይሆናል?")</f>
        <v>የተጫዋች ኳስ የተከለከለ ቦታ ላይ ቢያርፍም አሁንም ኢላማውን ይነካል። ምን ይሆናል?</v>
      </c>
      <c r="I149" s="11" t="str">
        <f>IFERROR(__xludf.DUMMYFUNCTION("GOOGLETRANSLATE(C149, ""en"", ""am"")"),"ሀ. መወርወሩ ልክ ያልሆነ ነው.ቢ. ዒላማው እንደገና ተጀምሯል.ሲ. ነጥቦች በግማሽ ተከፍለዋል። ዳኛው ይወስናል።")</f>
        <v>ሀ. መወርወሩ ልክ ያልሆነ ነው.ቢ. ዒላማው እንደገና ተጀምሯል.ሲ. ነጥቦች በግማሽ ተከፍለዋል። ዳኛው ይወስናል።</v>
      </c>
      <c r="J149" s="11" t="str">
        <f>IFERROR(__xludf.DUMMYFUNCTION("GOOGLETRANSLATE(D149, ""en"", ""am"")"),"መወርወሩ ልክ ያልሆነ ነው።")</f>
        <v>መወርወሩ ልክ ያልሆነ ነው።</v>
      </c>
      <c r="K149" s="11" t="str">
        <f>IFERROR(__xludf.DUMMYFUNCTION("GOOGLETRANSLATE(E149, ""en"", ""am"")"),"በተከለከሉ ቦታዎች ያሉ ማናቸውም ማረፊያዎች ወዲያውኑ ይሰረዛሉ።")</f>
        <v>በተከለከሉ ቦታዎች ያሉ ማናቸውም ማረፊያዎች ወዲያውኑ ይሰረዛሉ።</v>
      </c>
    </row>
    <row r="150" ht="22.5" customHeight="1">
      <c r="A150" s="10">
        <v>149.0</v>
      </c>
      <c r="B150" s="11" t="s">
        <v>2729</v>
      </c>
      <c r="C150" s="11" t="s">
        <v>2730</v>
      </c>
      <c r="D150" s="11" t="s">
        <v>2731</v>
      </c>
      <c r="E150" s="11" t="s">
        <v>2732</v>
      </c>
      <c r="G150" s="11" t="str">
        <f>IFERROR(__xludf.DUMMYFUNCTION("GOOGLETRANSLATE(A150, ""en"", ""am"")"),"149")</f>
        <v>149</v>
      </c>
      <c r="H150" s="11" t="str">
        <f>IFERROR(__xludf.DUMMYFUNCTION("GOOGLETRANSLATE(B150, ""en"", ""am"")"),"ኳሱ ኢላማውን ይመታል, ነገር ግን ዒላማው ወደ ጉድጓዱ ውስጥ ይወድቃል. ምን ይሆናል?")</f>
        <v>ኳሱ ኢላማውን ይመታል, ነገር ግን ዒላማው ወደ ጉድጓዱ ውስጥ ይወድቃል. ምን ይሆናል?</v>
      </c>
      <c r="I150" s="11" t="str">
        <f>IFERROR(__xludf.DUMMYFUNCTION("GOOGLETRANSLATE(C150, ""en"", ""am"")"),"ሀ. ዒላማው እንደገና ተጀምሯል.B. ዒላማው የሚሰራ ሆኖ ይቆያል።ሲ. ዙሩ በድጋሚ ተጫውቷል.ዲ. ምንም ነጥብ አልተሰጠም።")</f>
        <v>ሀ. ዒላማው እንደገና ተጀምሯል.B. ዒላማው የሚሰራ ሆኖ ይቆያል።ሲ. ዙሩ በድጋሚ ተጫውቷል.ዲ. ምንም ነጥብ አልተሰጠም።</v>
      </c>
      <c r="J150" s="11" t="str">
        <f>IFERROR(__xludf.DUMMYFUNCTION("GOOGLETRANSLATE(D150, ""en"", ""am"")"),"ዒላማው ልክ እንደሆነ ይቆያል።")</f>
        <v>ዒላማው ልክ እንደሆነ ይቆያል።</v>
      </c>
      <c r="K150" s="11" t="str">
        <f>IFERROR(__xludf.DUMMYFUNCTION("GOOGLETRANSLATE(E150, ""en"", ""am"")"),"እንደ ጉድጓዶች ባሉ ተደራሽ ቦታዎች ላይ የሚወድቁ ኢላማዎች ልክ ናቸው።")</f>
        <v>እንደ ጉድጓዶች ባሉ ተደራሽ ቦታዎች ላይ የሚወድቁ ኢላማዎች ልክ ናቸው።</v>
      </c>
    </row>
    <row r="151" ht="22.5" customHeight="1">
      <c r="A151" s="10">
        <v>150.0</v>
      </c>
      <c r="B151" s="11" t="s">
        <v>2733</v>
      </c>
      <c r="C151" s="11" t="s">
        <v>2734</v>
      </c>
      <c r="D151" s="11" t="s">
        <v>2345</v>
      </c>
      <c r="E151" s="11" t="s">
        <v>2735</v>
      </c>
      <c r="G151" s="11" t="str">
        <f>IFERROR(__xludf.DUMMYFUNCTION("GOOGLETRANSLATE(A151, ""en"", ""am"")"),"150")</f>
        <v>150</v>
      </c>
      <c r="H151" s="11" t="str">
        <f>IFERROR(__xludf.DUMMYFUNCTION("GOOGLETRANSLATE(B151, ""en"", ""am"")"),"የቡድን ጓደኛው ለመወርወር ህገወጥ ኳስ ይጠቀማል። ምን ይሆናል?")</f>
        <v>የቡድን ጓደኛው ለመወርወር ህገወጥ ኳስ ይጠቀማል። ምን ይሆናል?</v>
      </c>
      <c r="I151" s="11" t="str">
        <f>IFERROR(__xludf.DUMMYFUNCTION("GOOGLETRANSLATE(C151, ""en"", ""am"")"),"ሀ. መወርወሩ ልክ ያልሆነ ነው.ቢ. የተቀነሱ ነጥቦች ሐ. ክበቡ ቆሟል.ዲ. ዳኛው ማስጠንቀቂያ ሰጥተዋል።")</f>
        <v>ሀ. መወርወሩ ልክ ያልሆነ ነው.ቢ. የተቀነሱ ነጥቦች ሐ. ክበቡ ቆሟል.ዲ. ዳኛው ማስጠንቀቂያ ሰጥተዋል።</v>
      </c>
      <c r="J151" s="11" t="str">
        <f>IFERROR(__xludf.DUMMYFUNCTION("GOOGLETRANSLATE(D151, ""en"", ""am"")"),"መወርወሩ ልክ ያልሆነ ነው።")</f>
        <v>መወርወሩ ልክ ያልሆነ ነው።</v>
      </c>
      <c r="K151" s="11" t="str">
        <f>IFERROR(__xludf.DUMMYFUNCTION("GOOGLETRANSLATE(E151, ""en"", ""am"")"),"ያልተፈቀዱ መሳሪያዎችን መጠቀም ብዙ ዋጋ ያስከፍልዎታል.")</f>
        <v>ያልተፈቀዱ መሳሪያዎችን መጠቀም ብዙ ዋጋ ያስከፍልዎታል.</v>
      </c>
    </row>
    <row r="152" ht="22.5" customHeight="1">
      <c r="A152" s="10">
        <v>151.0</v>
      </c>
      <c r="B152" s="11" t="s">
        <v>2736</v>
      </c>
      <c r="C152" s="11" t="s">
        <v>2695</v>
      </c>
      <c r="D152" s="11" t="s">
        <v>2638</v>
      </c>
      <c r="E152" s="11" t="s">
        <v>2737</v>
      </c>
      <c r="G152" s="11" t="str">
        <f>IFERROR(__xludf.DUMMYFUNCTION("GOOGLETRANSLATE(A152, ""en"", ""am"")"),"151")</f>
        <v>151</v>
      </c>
      <c r="H152" s="11" t="str">
        <f>IFERROR(__xludf.DUMMYFUNCTION("GOOGLETRANSLATE(B152, ""en"", ""am"")"),"ኳሱ ግቡን ይመታል ነገር ግን ወደ መሰናክል ዞን ይንቀሳቀሳል። ምን ይሆናል?")</f>
        <v>ኳሱ ግቡን ይመታል ነገር ግን ወደ መሰናክል ዞን ይንቀሳቀሳል። ምን ይሆናል?</v>
      </c>
      <c r="I152" s="11" t="str">
        <f>IFERROR(__xludf.DUMMYFUNCTION("GOOGLETRANSLATE(C152, ""en"", ""am"")"),"ሀ. ኳሱ ትክክለኛ ነው.ቢ. ኳሱ ልክ ያልሆነ ነው.ሲ. ነጥቦች በግማሽ ተከፍለዋል። ዳኛው ይወስናል።")</f>
        <v>ሀ. ኳሱ ትክክለኛ ነው.ቢ. ኳሱ ልክ ያልሆነ ነው.ሲ. ነጥቦች በግማሽ ተከፍለዋል። ዳኛው ይወስናል።</v>
      </c>
      <c r="J152" s="11" t="str">
        <f>IFERROR(__xludf.DUMMYFUNCTION("GOOGLETRANSLATE(D152, ""en"", ""am"")"),"ኳሱ ትክክለኛ ነው።")</f>
        <v>ኳሱ ትክክለኛ ነው።</v>
      </c>
      <c r="K152" s="11" t="str">
        <f>IFERROR(__xludf.DUMMYFUNCTION("GOOGLETRANSLATE(E152, ""en"", ""am"")"),"ወደ መሰናክል ዞኖች የሚገቡ ኳሶች የማይደረስባቸው ካልሆኑ በስተቀር ልክ እንደሆኑ ይቆያሉ።")</f>
        <v>ወደ መሰናክል ዞኖች የሚገቡ ኳሶች የማይደረስባቸው ካልሆኑ በስተቀር ልክ እንደሆኑ ይቆያሉ።</v>
      </c>
    </row>
    <row r="153" ht="22.5" customHeight="1">
      <c r="A153" s="10">
        <v>152.0</v>
      </c>
      <c r="B153" s="11" t="s">
        <v>2738</v>
      </c>
      <c r="C153" s="11" t="s">
        <v>2739</v>
      </c>
      <c r="D153" s="11" t="s">
        <v>2656</v>
      </c>
      <c r="E153" s="11" t="s">
        <v>2740</v>
      </c>
      <c r="G153" s="11" t="str">
        <f>IFERROR(__xludf.DUMMYFUNCTION("GOOGLETRANSLATE(A153, ""en"", ""am"")"),"152")</f>
        <v>152</v>
      </c>
      <c r="H153" s="11" t="str">
        <f>IFERROR(__xludf.DUMMYFUNCTION("GOOGLETRANSLATE(B153, ""en"", ""am"")"),"ዒላማው ይጣላል እና ከዚያም ከመጫወቻ ሜዳ ይወገዳል. ምን ይሆናል?")</f>
        <v>ዒላማው ይጣላል እና ከዚያም ከመጫወቻ ሜዳ ይወገዳል. ምን ይሆናል?</v>
      </c>
      <c r="I153" s="11" t="str">
        <f>IFERROR(__xludf.DUMMYFUNCTION("GOOGLETRANSLATE(C153, ""en"", ""am"")"),"ሀ. ዒላማው እንደገና ተጀምሯል.B. ምንም ነጥብ አልተሰጠም.ሲ. ዙሩ ያበቃል.ዲ. ዳኛው ይወስናል።")</f>
        <v>ሀ. ዒላማው እንደገና ተጀምሯል.B. ምንም ነጥብ አልተሰጠም.ሲ. ዙሩ ያበቃል.ዲ. ዳኛው ይወስናል።</v>
      </c>
      <c r="J153" s="11" t="str">
        <f>IFERROR(__xludf.DUMMYFUNCTION("GOOGLETRANSLATE(D153, ""en"", ""am"")"),"ዒላማው እንደገና ተጀምሯል።")</f>
        <v>ዒላማው እንደገና ተጀምሯል።</v>
      </c>
      <c r="K153" s="11" t="str">
        <f>IFERROR(__xludf.DUMMYFUNCTION("GOOGLETRANSLATE(E153, ""en"", ""am"")"),"የመጫወቻ ቦታውን ለቀው የሚሄዱ ዒላማዎች ወደ መጀመሪያ ቦታቸው ተጀምረዋል።")</f>
        <v>የመጫወቻ ቦታውን ለቀው የሚሄዱ ዒላማዎች ወደ መጀመሪያ ቦታቸው ተጀምረዋል።</v>
      </c>
    </row>
    <row r="154" ht="22.5" customHeight="1">
      <c r="A154" s="10">
        <v>153.0</v>
      </c>
      <c r="B154" s="11" t="s">
        <v>2741</v>
      </c>
      <c r="C154" s="11" t="s">
        <v>2643</v>
      </c>
      <c r="D154" s="11" t="s">
        <v>2724</v>
      </c>
      <c r="E154" s="11" t="s">
        <v>2742</v>
      </c>
      <c r="G154" s="11" t="str">
        <f>IFERROR(__xludf.DUMMYFUNCTION("GOOGLETRANSLATE(A154, ""en"", ""am"")"),"153")</f>
        <v>153</v>
      </c>
      <c r="H154" s="11" t="str">
        <f>IFERROR(__xludf.DUMMYFUNCTION("GOOGLETRANSLATE(B154, ""en"", ""am"")"),"ኳሱ ዒላማው ላይ ቢያርፍም የተጋጣሚውን ኳስም ይነካል። ማን ነው ያስመዘገበው?")</f>
        <v>ኳሱ ዒላማው ላይ ቢያርፍም የተጋጣሚውን ኳስም ይነካል። ማን ነው ያስመዘገበው?</v>
      </c>
      <c r="I154" s="11" t="str">
        <f>IFERROR(__xludf.DUMMYFUNCTION("GOOGLETRANSLATE(C154, ""en"", ""am"")"),"ሀ. ቡድንህ አስቆጥሯል.B. ተቃዋሚው ነጥብ አስመዝግቧል። ምንም ነጥብ አልተሰጠም.ዲ. ሁለቱም ቡድኖች ጎል አስቆጥረዋል።")</f>
        <v>ሀ. ቡድንህ አስቆጥሯል.B. ተቃዋሚው ነጥብ አስመዝግቧል። ምንም ነጥብ አልተሰጠም.ዲ. ሁለቱም ቡድኖች ጎል አስቆጥረዋል።</v>
      </c>
      <c r="J154" s="11" t="str">
        <f>IFERROR(__xludf.DUMMYFUNCTION("GOOGLETRANSLATE(D154, ""en"", ""am"")"),"ቡድንህ አስቆጥሯል።")</f>
        <v>ቡድንህ አስቆጥሯል።</v>
      </c>
      <c r="K154" s="11" t="str">
        <f>IFERROR(__xludf.DUMMYFUNCTION("GOOGLETRANSLATE(E154, ""en"", ""am"")"),"ወደ ዒላማው በጣም ቅርብ የሆነ ኳስ, ሌሎችን ቢነካውም.")</f>
        <v>ወደ ዒላማው በጣም ቅርብ የሆነ ኳስ, ሌሎችን ቢነካውም.</v>
      </c>
    </row>
    <row r="155" ht="22.5" customHeight="1">
      <c r="A155" s="10">
        <v>154.0</v>
      </c>
      <c r="B155" s="11" t="s">
        <v>2743</v>
      </c>
      <c r="C155" s="11" t="s">
        <v>2744</v>
      </c>
      <c r="D155" s="11" t="s">
        <v>2345</v>
      </c>
      <c r="E155" s="11" t="s">
        <v>2745</v>
      </c>
      <c r="G155" s="11" t="str">
        <f>IFERROR(__xludf.DUMMYFUNCTION("GOOGLETRANSLATE(A155, ""en"", ""am"")"),"154")</f>
        <v>154</v>
      </c>
      <c r="H155" s="11" t="str">
        <f>IFERROR(__xludf.DUMMYFUNCTION("GOOGLETRANSLATE(B155, ""en"", ""am"")"),"ተቃዋሚው ከመዞራቸው በፊት ይጥላል. ምን መሆን አለበት?")</f>
        <v>ተቃዋሚው ከመዞራቸው በፊት ይጥላል. ምን መሆን አለበት?</v>
      </c>
      <c r="I155" s="11" t="str">
        <f>IFERROR(__xludf.DUMMYFUNCTION("GOOGLETRANSLATE(C155, ""en"", ""am"")"),"ሀ. መወርወሩ ልክ ያልሆነ ነው.ቢ. የተቀነሱ ነጥቦች ሐ. ዳኛው ጨዋታውን ለአፍታ አቆመው.ዲ. ዙሩ በድጋሚ ተካሂዷል።")</f>
        <v>ሀ. መወርወሩ ልክ ያልሆነ ነው.ቢ. የተቀነሱ ነጥቦች ሐ. ዳኛው ጨዋታውን ለአፍታ አቆመው.ዲ. ዙሩ በድጋሚ ተካሂዷል።</v>
      </c>
      <c r="J155" s="11" t="str">
        <f>IFERROR(__xludf.DUMMYFUNCTION("GOOGLETRANSLATE(D155, ""en"", ""am"")"),"መወርወሩ ልክ ያልሆነ ነው።")</f>
        <v>መወርወሩ ልክ ያልሆነ ነው።</v>
      </c>
      <c r="K155" s="11" t="str">
        <f>IFERROR(__xludf.DUMMYFUNCTION("GOOGLETRANSLATE(E155, ""en"", ""am"")"),"በተራው መወርወር ዋጋ ያስከፍላል።")</f>
        <v>በተራው መወርወር ዋጋ ያስከፍላል።</v>
      </c>
    </row>
    <row r="156" ht="22.5" customHeight="1">
      <c r="A156" s="10">
        <v>155.0</v>
      </c>
      <c r="B156" s="11" t="s">
        <v>2746</v>
      </c>
      <c r="C156" s="11" t="s">
        <v>2747</v>
      </c>
      <c r="D156" s="11" t="s">
        <v>2748</v>
      </c>
      <c r="E156" s="11" t="s">
        <v>2749</v>
      </c>
      <c r="G156" s="11" t="str">
        <f>IFERROR(__xludf.DUMMYFUNCTION("GOOGLETRANSLATE(A156, ""en"", ""am"")"),"155")</f>
        <v>155</v>
      </c>
      <c r="H156" s="11" t="str">
        <f>IFERROR(__xludf.DUMMYFUNCTION("GOOGLETRANSLATE(B156, ""en"", ""am"")"),"ዳኛው ቦታውን ለመለየት ኢላማውን በትንሹ ያንቀሳቅሰዋል. ይህ ይፈቀዳል?")</f>
        <v>ዳኛው ቦታውን ለመለየት ኢላማውን በትንሹ ያንቀሳቅሰዋል. ይህ ይፈቀዳል?</v>
      </c>
      <c r="I156" s="11" t="str">
        <f>IFERROR(__xludf.DUMMYFUNCTION("GOOGLETRANSLATE(C156, ""en"", ""am"")"),"A. አዎ፣ ተፈቅዷል.ቢ. አይ, አይፈቀድም.ሲ. ተጫዋቾች ከተስማሙ ብቻ። ከዙሩ በኋላ ብቻ")</f>
        <v>A. አዎ፣ ተፈቅዷል.ቢ. አይ, አይፈቀድም.ሲ. ተጫዋቾች ከተስማሙ ብቻ። ከዙሩ በኋላ ብቻ</v>
      </c>
      <c r="J156" s="11" t="str">
        <f>IFERROR(__xludf.DUMMYFUNCTION("GOOGLETRANSLATE(D156, ""en"", ""am"")"),"አዎ፣ ተፈቅዷል።")</f>
        <v>አዎ፣ ተፈቅዷል።</v>
      </c>
      <c r="K156" s="11" t="str">
        <f>IFERROR(__xludf.DUMMYFUNCTION("GOOGLETRANSLATE(E156, ""en"", ""am"")"),"ግልጽነትን ለመጠበቅ ዳኞች ኢላማውን ማስተካከል ይችላሉ።")</f>
        <v>ግልጽነትን ለመጠበቅ ዳኞች ኢላማውን ማስተካከል ይችላሉ።</v>
      </c>
    </row>
    <row r="157" ht="22.5" customHeight="1">
      <c r="A157" s="10">
        <v>156.0</v>
      </c>
      <c r="B157" s="11" t="s">
        <v>2750</v>
      </c>
      <c r="C157" s="11" t="s">
        <v>2751</v>
      </c>
      <c r="D157" s="11" t="s">
        <v>2692</v>
      </c>
      <c r="E157" s="11" t="s">
        <v>2752</v>
      </c>
      <c r="G157" s="11" t="str">
        <f>IFERROR(__xludf.DUMMYFUNCTION("GOOGLETRANSLATE(A157, ""en"", ""am"")"),"156")</f>
        <v>156</v>
      </c>
      <c r="H157" s="11" t="str">
        <f>IFERROR(__xludf.DUMMYFUNCTION("GOOGLETRANSLATE(B157, ""en"", ""am"")"),"ኳሱ ግቡን ይመታል, ነገር ግን ዒላማው ወደ ትንሽ መያዣ ውስጥ ይገባል. ምን ይሆናል?")</f>
        <v>ኳሱ ግቡን ይመታል, ነገር ግን ዒላማው ወደ ትንሽ መያዣ ውስጥ ይገባል. ምን ይሆናል?</v>
      </c>
      <c r="I157" s="11" t="str">
        <f>IFERROR(__xludf.DUMMYFUNCTION("GOOGLETRANSLATE(C157, ""en"", ""am"")"),"ሀ. ዒላማው ትክክለኛ ነው.ቢ. ዒላማው እንደገና ተጀምሯል.ሲ. መወርወሩ ልክ ያልሆነ ነው.ዲ. ነጥቦች በግማሽ ተቀነሱ")</f>
        <v>ሀ. ዒላማው ትክክለኛ ነው.ቢ. ዒላማው እንደገና ተጀምሯል.ሲ. መወርወሩ ልክ ያልሆነ ነው.ዲ. ነጥቦች በግማሽ ተቀነሱ</v>
      </c>
      <c r="J157" s="11" t="str">
        <f>IFERROR(__xludf.DUMMYFUNCTION("GOOGLETRANSLATE(D157, ""en"", ""am"")"),"ዒላማው ትክክለኛ ነው።")</f>
        <v>ዒላማው ትክክለኛ ነው።</v>
      </c>
      <c r="K157" s="11" t="str">
        <f>IFERROR(__xludf.DUMMYFUNCTION("GOOGLETRANSLATE(E157, ""en"", ""am"")"),"ዒላማው የሚታይ እና ሊደረስበት እስከቻለ ድረስ የሚሰራ ሆኖ ይቆያል።")</f>
        <v>ዒላማው የሚታይ እና ሊደረስበት እስከቻለ ድረስ የሚሰራ ሆኖ ይቆያል።</v>
      </c>
    </row>
    <row r="158" ht="22.5" customHeight="1">
      <c r="A158" s="10">
        <v>157.0</v>
      </c>
      <c r="B158" s="11" t="s">
        <v>2753</v>
      </c>
      <c r="C158" s="11" t="s">
        <v>2754</v>
      </c>
      <c r="D158" s="11" t="s">
        <v>2652</v>
      </c>
      <c r="E158" s="11" t="s">
        <v>2755</v>
      </c>
      <c r="G158" s="11" t="str">
        <f>IFERROR(__xludf.DUMMYFUNCTION("GOOGLETRANSLATE(A158, ""en"", ""am"")"),"157")</f>
        <v>157</v>
      </c>
      <c r="H158" s="11" t="str">
        <f>IFERROR(__xludf.DUMMYFUNCTION("GOOGLETRANSLATE(B158, ""en"", ""am"")"),"በጨዋታው የፍጻሜ ክልል በከፊል በጎርፍ ተጥለቅልቋል። ምን ይሆናል?")</f>
        <v>በጨዋታው የፍጻሜ ክልል በከፊል በጎርፍ ተጥለቅልቋል። ምን ይሆናል?</v>
      </c>
      <c r="I158" s="11" t="str">
        <f>IFERROR(__xludf.DUMMYFUNCTION("GOOGLETRANSLATE(C158, ""en"", ""am"")"),"A. ክበቡ ቆሟል.B. ነጥቦች እንደገና ይሰላሉ.ሲ. ጨዋታው ይቀጥላል.ዲ. ዳኛው ይወስናል።")</f>
        <v>A. ክበቡ ቆሟል.B. ነጥቦች እንደገና ይሰላሉ.ሲ. ጨዋታው ይቀጥላል.ዲ. ዳኛው ይወስናል።</v>
      </c>
      <c r="J158" s="11" t="str">
        <f>IFERROR(__xludf.DUMMYFUNCTION("GOOGLETRANSLATE(D158, ""en"", ""am"")"),"ክበቡ ቆሟል።")</f>
        <v>ክበቡ ቆሟል።</v>
      </c>
      <c r="K158" s="11" t="str">
        <f>IFERROR(__xludf.DUMMYFUNCTION("GOOGLETRANSLATE(E158, ""en"", ""am"")"),"የውኃ መጥለቅለቅ ሁኔታዎች ብዙውን ጊዜ ጨዋታውን ወደ ማቆም ያመራሉ.")</f>
        <v>የውኃ መጥለቅለቅ ሁኔታዎች ብዙውን ጊዜ ጨዋታውን ወደ ማቆም ያመራሉ.</v>
      </c>
    </row>
    <row r="159" ht="22.5" customHeight="1">
      <c r="A159" s="10">
        <v>158.0</v>
      </c>
      <c r="B159" s="11" t="s">
        <v>2756</v>
      </c>
      <c r="C159" s="11" t="s">
        <v>2757</v>
      </c>
      <c r="D159" s="11" t="s">
        <v>2607</v>
      </c>
      <c r="E159" s="11" t="s">
        <v>2758</v>
      </c>
      <c r="G159" s="11" t="str">
        <f>IFERROR(__xludf.DUMMYFUNCTION("GOOGLETRANSLATE(A159, ""en"", ""am"")"),"158")</f>
        <v>158</v>
      </c>
      <c r="H159" s="11" t="str">
        <f>IFERROR(__xludf.DUMMYFUNCTION("GOOGLETRANSLATE(B159, ""en"", ""am"")"),"የቡድን ጓደኛዎ በድንበር መስመር ላይ በትክክል የሚያርፍ ኳስ ይጥላል። ትክክል ነው?")</f>
        <v>የቡድን ጓደኛዎ በድንበር መስመር ላይ በትክክል የሚያርፍ ኳስ ይጥላል። ትክክል ነው?</v>
      </c>
      <c r="I159" s="11" t="str">
        <f>IFERROR(__xludf.DUMMYFUNCTION("GOOGLETRANSLATE(C159, ""en"", ""am"")"),"A. አዎ ልክ ነው.B. አይ፣ ትክክል አይደለም.ሲ. በተጫዋቾቹ ከተስማሙ ብቻ D. ዳኛው ይወስናል።")</f>
        <v>A. አዎ ልክ ነው.B. አይ፣ ትክክል አይደለም.ሲ. በተጫዋቾቹ ከተስማሙ ብቻ D. ዳኛው ይወስናል።</v>
      </c>
      <c r="J159" s="11" t="str">
        <f>IFERROR(__xludf.DUMMYFUNCTION("GOOGLETRANSLATE(D159, ""en"", ""am"")"),"አዎ ልክ ነው።")</f>
        <v>አዎ ልክ ነው።</v>
      </c>
      <c r="K159" s="11" t="str">
        <f>IFERROR(__xludf.DUMMYFUNCTION("GOOGLETRANSLATE(E159, ""en"", ""am"")"),"የድንበሩን መስመር የሚነኩ ኳሶች ልክ እንደሆኑ ይቆጠራሉ።")</f>
        <v>የድንበሩን መስመር የሚነኩ ኳሶች ልክ እንደሆኑ ይቆጠራሉ።</v>
      </c>
    </row>
    <row r="160" ht="22.5" customHeight="1">
      <c r="A160" s="10">
        <v>159.0</v>
      </c>
      <c r="B160" s="11" t="s">
        <v>2759</v>
      </c>
      <c r="C160" s="11" t="s">
        <v>2760</v>
      </c>
      <c r="D160" s="11" t="s">
        <v>2377</v>
      </c>
      <c r="E160" s="11" t="s">
        <v>2761</v>
      </c>
      <c r="G160" s="11" t="str">
        <f>IFERROR(__xludf.DUMMYFUNCTION("GOOGLETRANSLATE(A160, ""en"", ""am"")"),"159")</f>
        <v>159</v>
      </c>
      <c r="H160" s="11" t="str">
        <f>IFERROR(__xludf.DUMMYFUNCTION("GOOGLETRANSLATE(B160, ""en"", ""am"")"),"የባላጋራህ ኳስ በድንገት ዳኛውን መታው። ምን ይሆናል?")</f>
        <v>የባላጋራህ ኳስ በድንገት ዳኛውን መታው። ምን ይሆናል?</v>
      </c>
      <c r="I160" s="11" t="str">
        <f>IFERROR(__xludf.DUMMYFUNCTION("GOOGLETRANSLATE(C160, ""en"", ""am"")"),"ሀ. መወርወሩ ልክ ያልሆነ ነው.ቢ. ዙሩ በድጋሚ ተጫውቷል.ሲ. ነጥቦች ተቀንሰዋል ዲ. ዳኛው ማስጠንቀቂያ ሰጥተዋል።")</f>
        <v>ሀ. መወርወሩ ልክ ያልሆነ ነው.ቢ. ዙሩ በድጋሚ ተጫውቷል.ሲ. ነጥቦች ተቀንሰዋል ዲ. ዳኛው ማስጠንቀቂያ ሰጥተዋል።</v>
      </c>
      <c r="J160" s="11" t="str">
        <f>IFERROR(__xludf.DUMMYFUNCTION("GOOGLETRANSLATE(D160, ""en"", ""am"")"),"ዙሩ በድጋሚ ተካሂዷል።")</f>
        <v>ዙሩ በድጋሚ ተካሂዷል።</v>
      </c>
      <c r="K160" s="11" t="str">
        <f>IFERROR(__xludf.DUMMYFUNCTION("GOOGLETRANSLATE(E160, ""en"", ""am"")"),"ያልተፈቀደ ጣልቃ ገብነት ወረወሩ እንደገና እንዲጫወት ያደርገዋል.")</f>
        <v>ያልተፈቀደ ጣልቃ ገብነት ወረወሩ እንደገና እንዲጫወት ያደርገዋል.</v>
      </c>
    </row>
    <row r="161" ht="22.5" customHeight="1">
      <c r="A161" s="10">
        <v>160.0</v>
      </c>
      <c r="B161" s="11" t="s">
        <v>2762</v>
      </c>
      <c r="C161" s="11" t="s">
        <v>2763</v>
      </c>
      <c r="D161" s="11" t="s">
        <v>2764</v>
      </c>
      <c r="E161" s="11" t="s">
        <v>2765</v>
      </c>
      <c r="G161" s="11" t="str">
        <f>IFERROR(__xludf.DUMMYFUNCTION("GOOGLETRANSLATE(A161, ""en"", ""am"")"),"160")</f>
        <v>160</v>
      </c>
      <c r="H161" s="11" t="str">
        <f>IFERROR(__xludf.DUMMYFUNCTION("GOOGLETRANSLATE(B161, ""en"", ""am"")"),"ኳስህ ወደ ኢላማው ሌላ ኳስ ያንኳኳል። ማን ነው ያስመዘገበው?")</f>
        <v>ኳስህ ወደ ኢላማው ሌላ ኳስ ያንኳኳል። ማን ነው ያስመዘገበው?</v>
      </c>
      <c r="I161" s="11" t="str">
        <f>IFERROR(__xludf.DUMMYFUNCTION("GOOGLETRANSLATE(C161, ""en"", ""am"")"),"ሀ. የቅርቡ ኳስ ነጥብ B. ቡድንህ አስቆጥሯል.ሲ. ሁለቱም ቡድኖች አስቆጥረዋል ዲ. ምንም ነጥብ አልተሰጠም።")</f>
        <v>ሀ. የቅርቡ ኳስ ነጥብ B. ቡድንህ አስቆጥሯል.ሲ. ሁለቱም ቡድኖች አስቆጥረዋል ዲ. ምንም ነጥብ አልተሰጠም።</v>
      </c>
      <c r="J161" s="11" t="str">
        <f>IFERROR(__xludf.DUMMYFUNCTION("GOOGLETRANSLATE(D161, ""en"", ""am"")"),"የቅርቡ ኳስ ነጥብ")</f>
        <v>የቅርቡ ኳስ ነጥብ</v>
      </c>
      <c r="K161" s="11" t="str">
        <f>IFERROR(__xludf.DUMMYFUNCTION("GOOGLETRANSLATE(E161, ""en"", ""am"")"),"የውጤት አሰጣጥ ከእንቅስቃሴ በኋላ ባለው ቅርበት ላይ የተመሰረተ ነው.")</f>
        <v>የውጤት አሰጣጥ ከእንቅስቃሴ በኋላ ባለው ቅርበት ላይ የተመሰረተ ነው.</v>
      </c>
    </row>
    <row r="162" ht="22.5" customHeight="1">
      <c r="A162" s="10">
        <v>161.0</v>
      </c>
      <c r="B162" s="11" t="s">
        <v>2766</v>
      </c>
      <c r="C162" s="11" t="s">
        <v>2767</v>
      </c>
      <c r="D162" s="11" t="s">
        <v>2768</v>
      </c>
      <c r="E162" s="11" t="s">
        <v>2769</v>
      </c>
      <c r="G162" s="11" t="str">
        <f>IFERROR(__xludf.DUMMYFUNCTION("GOOGLETRANSLATE(A162, ""en"", ""am"")"),"161")</f>
        <v>161</v>
      </c>
      <c r="H162" s="11" t="str">
        <f>IFERROR(__xludf.DUMMYFUNCTION("GOOGLETRANSLATE(B162, ""en"", ""am"")"),"አንድ ተጫዋች በመወርወር ወቅት ስለ ኢ-ፍትሃዊ መብራት ቅሬታ ያቀርባል። ምን መሆን አለበት?")</f>
        <v>አንድ ተጫዋች በመወርወር ወቅት ስለ ኢ-ፍትሃዊ መብራት ቅሬታ ያቀርባል። ምን መሆን አለበት?</v>
      </c>
      <c r="I162" s="11" t="str">
        <f>IFERROR(__xludf.DUMMYFUNCTION("GOOGLETRANSLATE(C162, ""en"", ""am"")"),"ሀ. ዳኛው ጨዋታውን ለአፍታ አቆመው.ቢ. መወርወሩ ልክ ያልሆነ ነው።ሲ. ዙሩ በድጋሚ ተጫውቷል.ዲ. ተጫዋቹ ማስጠንቀቂያ ተሰጥቶታል።")</f>
        <v>ሀ. ዳኛው ጨዋታውን ለአፍታ አቆመው.ቢ. መወርወሩ ልክ ያልሆነ ነው።ሲ. ዙሩ በድጋሚ ተጫውቷል.ዲ. ተጫዋቹ ማስጠንቀቂያ ተሰጥቶታል።</v>
      </c>
      <c r="J162" s="11" t="str">
        <f>IFERROR(__xludf.DUMMYFUNCTION("GOOGLETRANSLATE(D162, ""en"", ""am"")"),"ዳኛው ጨዋታውን ለአፍታ አቁሟል።")</f>
        <v>ዳኛው ጨዋታውን ለአፍታ አቁሟል።</v>
      </c>
      <c r="K162" s="11" t="str">
        <f>IFERROR(__xludf.DUMMYFUNCTION("GOOGLETRANSLATE(E162, ""en"", ""am"")"),"ፍትሃዊ ያልሆኑ ሁኔታዎች መፍትሄ እስኪያገኙ ድረስ ጨዋታውን ለአፍታ ማቆም ይችላሉ።")</f>
        <v>ፍትሃዊ ያልሆኑ ሁኔታዎች መፍትሄ እስኪያገኙ ድረስ ጨዋታውን ለአፍታ ማቆም ይችላሉ።</v>
      </c>
    </row>
    <row r="163" ht="22.5" customHeight="1">
      <c r="A163" s="10">
        <v>162.0</v>
      </c>
      <c r="B163" s="11" t="s">
        <v>2770</v>
      </c>
      <c r="C163" s="11" t="s">
        <v>2771</v>
      </c>
      <c r="D163" s="11" t="s">
        <v>2772</v>
      </c>
      <c r="E163" s="11" t="s">
        <v>2773</v>
      </c>
      <c r="G163" s="11" t="str">
        <f>IFERROR(__xludf.DUMMYFUNCTION("GOOGLETRANSLATE(A163, ""en"", ""am"")"),"162")</f>
        <v>162</v>
      </c>
      <c r="H163" s="11" t="str">
        <f>IFERROR(__xludf.DUMMYFUNCTION("GOOGLETRANSLATE(B163, ""en"", ""am"")"),"ዒላማው ከተመታ በኋላ በቆሻሻ የተሸፈነ ነው. ምን ይሆናል?")</f>
        <v>ዒላማው ከተመታ በኋላ በቆሻሻ የተሸፈነ ነው. ምን ይሆናል?</v>
      </c>
      <c r="I163" s="11" t="str">
        <f>IFERROR(__xludf.DUMMYFUNCTION("GOOGLETRANSLATE(C163, ""en"", ""am"")"),"ሀ. ዳኛው ፍርስራሹን ያጸዳል.ቢ. ዙሩ በድጋሚ ተጫውቷል.ሲ. ነጥቦች እንደገና ይሰላሉ.ዲ. ምንም ነጥብ አልተሰጠም።")</f>
        <v>ሀ. ዳኛው ፍርስራሹን ያጸዳል.ቢ. ዙሩ በድጋሚ ተጫውቷል.ሲ. ነጥቦች እንደገና ይሰላሉ.ዲ. ምንም ነጥብ አልተሰጠም።</v>
      </c>
      <c r="J163" s="11" t="str">
        <f>IFERROR(__xludf.DUMMYFUNCTION("GOOGLETRANSLATE(D163, ""en"", ""am"")"),"ዳኛው ፍርስራሹን ያጸዳል.")</f>
        <v>ዳኛው ፍርስራሹን ያጸዳል.</v>
      </c>
      <c r="K163" s="11" t="str">
        <f>IFERROR(__xludf.DUMMYFUNCTION("GOOGLETRANSLATE(E163, ""en"", ""am"")"),"ዳኞች ፍትሃዊነትን ለመጠበቅ እንቅፋቶችን ማጽዳት ይችላሉ.")</f>
        <v>ዳኞች ፍትሃዊነትን ለመጠበቅ እንቅፋቶችን ማጽዳት ይችላሉ.</v>
      </c>
    </row>
    <row r="164" ht="22.5" customHeight="1">
      <c r="A164" s="10">
        <v>163.0</v>
      </c>
      <c r="B164" s="11" t="s">
        <v>2774</v>
      </c>
      <c r="C164" s="11" t="s">
        <v>2775</v>
      </c>
      <c r="D164" s="11" t="s">
        <v>2345</v>
      </c>
      <c r="E164" s="11" t="s">
        <v>2776</v>
      </c>
      <c r="G164" s="11" t="str">
        <f>IFERROR(__xludf.DUMMYFUNCTION("GOOGLETRANSLATE(A164, ""en"", ""am"")"),"163")</f>
        <v>163</v>
      </c>
      <c r="H164" s="11" t="str">
        <f>IFERROR(__xludf.DUMMYFUNCTION("GOOGLETRANSLATE(B164, ""en"", ""am"")"),"የቡድን ጓደኛዎ ወረወረው ፣ ግን ኳሱ በተገናኘ ጊዜ ትፈነዳለች። ምን ይሆናል?")</f>
        <v>የቡድን ጓደኛዎ ወረወረው ፣ ግን ኳሱ በተገናኘ ጊዜ ትፈነዳለች። ምን ይሆናል?</v>
      </c>
      <c r="I164" s="11" t="str">
        <f>IFERROR(__xludf.DUMMYFUNCTION("GOOGLETRANSLATE(C164, ""en"", ""am"")"),"ሀ. መወርወሩ ልክ ያልሆነ ነው.ቢ. ክበቡ ቆሟል.ሲ. የተሸለሙ ነጥቦች ዲ. ዳኛው ይወስናል።")</f>
        <v>ሀ. መወርወሩ ልክ ያልሆነ ነው.ቢ. ክበቡ ቆሟል.ሲ. የተሸለሙ ነጥቦች ዲ. ዳኛው ይወስናል።</v>
      </c>
      <c r="J164" s="11" t="str">
        <f>IFERROR(__xludf.DUMMYFUNCTION("GOOGLETRANSLATE(D164, ""en"", ""am"")"),"መወርወሩ ልክ ያልሆነ ነው።")</f>
        <v>መወርወሩ ልክ ያልሆነ ነው።</v>
      </c>
      <c r="K164" s="11" t="str">
        <f>IFERROR(__xludf.DUMMYFUNCTION("GOOGLETRANSLATE(E164, ""en"", ""am"")"),"የሚፈነዱ ኳሶች ውርወራውን በራስ-ሰር ያጠፋሉ.")</f>
        <v>የሚፈነዱ ኳሶች ውርወራውን በራስ-ሰር ያጠፋሉ.</v>
      </c>
    </row>
    <row r="165" ht="22.5" customHeight="1">
      <c r="A165" s="10">
        <v>164.0</v>
      </c>
      <c r="B165" s="11" t="s">
        <v>2777</v>
      </c>
      <c r="C165" s="11" t="s">
        <v>2778</v>
      </c>
      <c r="D165" s="11" t="s">
        <v>2748</v>
      </c>
      <c r="E165" s="11" t="s">
        <v>2779</v>
      </c>
      <c r="G165" s="11" t="str">
        <f>IFERROR(__xludf.DUMMYFUNCTION("GOOGLETRANSLATE(A165, ""en"", ""am"")"),"164")</f>
        <v>164</v>
      </c>
      <c r="H165" s="11" t="str">
        <f>IFERROR(__xludf.DUMMYFUNCTION("GOOGLETRANSLATE(B165, ""en"", ""am"")"),"ተቃዋሚዎ ሆን ብሎ ኳሱን ከዒላማው ለማራቅ እያሰበ ነው። ይህ ይፈቀዳል?")</f>
        <v>ተቃዋሚዎ ሆን ብሎ ኳሱን ከዒላማው ለማራቅ እያሰበ ነው። ይህ ይፈቀዳል?</v>
      </c>
      <c r="I165" s="11" t="str">
        <f>IFERROR(__xludf.DUMMYFUNCTION("GOOGLETRANSLATE(C165, ""en"", ""am"")"),"A. አዎ፣ ተፈቅዷል.ቢ. አይ, አይፈቀድም.ሲ. ዳኛው ከተስማሙ ብቻ.ዲ. ዒላማው ካልተመታ ብቻ ነው.")</f>
        <v>A. አዎ፣ ተፈቅዷል.ቢ. አይ, አይፈቀድም.ሲ. ዳኛው ከተስማሙ ብቻ.ዲ. ዒላማው ካልተመታ ብቻ ነው.</v>
      </c>
      <c r="J165" s="11" t="str">
        <f>IFERROR(__xludf.DUMMYFUNCTION("GOOGLETRANSLATE(D165, ""en"", ""am"")"),"አዎ፣ ተፈቅዷል።")</f>
        <v>አዎ፣ ተፈቅዷል።</v>
      </c>
      <c r="K165" s="11" t="str">
        <f>IFERROR(__xludf.DUMMYFUNCTION("GOOGLETRANSLATE(E165, ""en"", ""am"")"),"ሌሎች ኳሶችን በስልት ማነጣጠር በአፉላ ይፈቀዳል።")</f>
        <v>ሌሎች ኳሶችን በስልት ማነጣጠር በአፉላ ይፈቀዳል።</v>
      </c>
    </row>
    <row r="166" ht="22.5" customHeight="1">
      <c r="A166" s="10">
        <v>165.0</v>
      </c>
      <c r="B166" s="11" t="s">
        <v>2780</v>
      </c>
      <c r="C166" s="11" t="s">
        <v>2781</v>
      </c>
      <c r="D166" s="11" t="s">
        <v>2782</v>
      </c>
      <c r="E166" s="11" t="s">
        <v>2783</v>
      </c>
      <c r="G166" s="11" t="str">
        <f>IFERROR(__xludf.DUMMYFUNCTION("GOOGLETRANSLATE(A166, ""en"", ""am"")"),"165")</f>
        <v>165</v>
      </c>
      <c r="H166" s="11" t="str">
        <f>IFERROR(__xludf.DUMMYFUNCTION("GOOGLETRANSLATE(B166, ""en"", ""am"")"),"ጨዋታው በአቅራቢያው ባለው ይፋዊ ስነስርዓት ተቋርጧል። ምን ይሆናል?")</f>
        <v>ጨዋታው በአቅራቢያው ባለው ይፋዊ ስነስርዓት ተቋርጧል። ምን ይሆናል?</v>
      </c>
      <c r="I166" s="11" t="str">
        <f>IFERROR(__xludf.DUMMYFUNCTION("GOOGLETRANSLATE(C166, ""en"", ""am"")"),"ሀ. ጨዋታው ባለበት ቆሟል.ቢ. ዙሩ ይቀጥላል.ሲ. ነጥቦች እንደገና ይሰላሉ.ዲ. ዳኛው ይወስናል።")</f>
        <v>ሀ. ጨዋታው ባለበት ቆሟል.ቢ. ዙሩ ይቀጥላል.ሲ. ነጥቦች እንደገና ይሰላሉ.ዲ. ዳኛው ይወስናል።</v>
      </c>
      <c r="J166" s="11" t="str">
        <f>IFERROR(__xludf.DUMMYFUNCTION("GOOGLETRANSLATE(D166, ""en"", ""am"")"),"ጨዋታው ባለበት ቆሟል።")</f>
        <v>ጨዋታው ባለበት ቆሟል።</v>
      </c>
      <c r="K166" s="11" t="str">
        <f>IFERROR(__xludf.DUMMYFUNCTION("GOOGLETRANSLATE(E166, ""en"", ""am"")"),"በውጫዊ ክስተቶች ምክንያት መቆራረጥ ጨዋታው እንዲቆም ያደርገዋል.")</f>
        <v>በውጫዊ ክስተቶች ምክንያት መቆራረጥ ጨዋታው እንዲቆም ያደርገዋል.</v>
      </c>
    </row>
    <row r="167" ht="22.5" customHeight="1">
      <c r="A167" s="10">
        <v>166.0</v>
      </c>
      <c r="B167" s="11" t="s">
        <v>2784</v>
      </c>
      <c r="C167" s="11" t="s">
        <v>2711</v>
      </c>
      <c r="D167" s="11" t="s">
        <v>2692</v>
      </c>
      <c r="E167" s="11" t="s">
        <v>2785</v>
      </c>
      <c r="G167" s="11" t="str">
        <f>IFERROR(__xludf.DUMMYFUNCTION("GOOGLETRANSLATE(A167, ""en"", ""am"")"),"166")</f>
        <v>166</v>
      </c>
      <c r="H167" s="11" t="str">
        <f>IFERROR(__xludf.DUMMYFUNCTION("GOOGLETRANSLATE(B167, ""en"", ""am"")"),"ኳሱ ዒላማውን ይመታል ፣ ግን ኢላማው ወደ ድብቅ ጥግ ይንቀሳቀሳል። ምን ይሆናል?")</f>
        <v>ኳሱ ዒላማውን ይመታል ፣ ግን ኢላማው ወደ ድብቅ ጥግ ይንቀሳቀሳል። ምን ይሆናል?</v>
      </c>
      <c r="I167" s="11" t="str">
        <f>IFERROR(__xludf.DUMMYFUNCTION("GOOGLETRANSLATE(C167, ""en"", ""am"")"),"ሀ. ዒላማው ትክክለኛ ነው.ቢ. ዒላማው እንደገና ተጀምሯል.ሲ. ዙሩ በድጋሚ ተጫውቷል.ዲ. ነጥቦች በግማሽ ተቀነሱ")</f>
        <v>ሀ. ዒላማው ትክክለኛ ነው.ቢ. ዒላማው እንደገና ተጀምሯል.ሲ. ዙሩ በድጋሚ ተጫውቷል.ዲ. ነጥቦች በግማሽ ተቀነሱ</v>
      </c>
      <c r="J167" s="11" t="str">
        <f>IFERROR(__xludf.DUMMYFUNCTION("GOOGLETRANSLATE(D167, ""en"", ""am"")"),"ዒላማው ትክክለኛ ነው።")</f>
        <v>ዒላማው ትክክለኛ ነው።</v>
      </c>
      <c r="K167" s="11" t="str">
        <f>IFERROR(__xludf.DUMMYFUNCTION("GOOGLETRANSLATE(E167, ""en"", ""am"")"),"ሙሉ በሙሉ ተደራሽ ካልሆኑ በስተቀር የተደበቁ ኢላማዎች ልክ እንደሆኑ ይቆያሉ።")</f>
        <v>ሙሉ በሙሉ ተደራሽ ካልሆኑ በስተቀር የተደበቁ ኢላማዎች ልክ እንደሆኑ ይቆያሉ።</v>
      </c>
    </row>
    <row r="168" ht="22.5" customHeight="1">
      <c r="A168" s="10">
        <v>167.0</v>
      </c>
      <c r="B168" s="11" t="s">
        <v>2786</v>
      </c>
      <c r="C168" s="11" t="s">
        <v>2787</v>
      </c>
      <c r="D168" s="11" t="s">
        <v>2788</v>
      </c>
      <c r="E168" s="11" t="s">
        <v>2789</v>
      </c>
      <c r="G168" s="11" t="str">
        <f>IFERROR(__xludf.DUMMYFUNCTION("GOOGLETRANSLATE(A168, ""en"", ""am"")"),"167")</f>
        <v>167</v>
      </c>
      <c r="H168" s="11" t="str">
        <f>IFERROR(__xludf.DUMMYFUNCTION("GOOGLETRANSLATE(B168, ""en"", ""am"")"),"ኳስህ የተጋጣሚውን ኳስ ከውጤት ዞኑ ውስጥ ያንኳኳል። ምን ይሆናል?")</f>
        <v>ኳስህ የተጋጣሚውን ኳስ ከውጤት ዞኑ ውስጥ ያንኳኳል። ምን ይሆናል?</v>
      </c>
      <c r="I168" s="11" t="str">
        <f>IFERROR(__xludf.DUMMYFUNCTION("GOOGLETRANSLATE(C168, ""en"", ""am"")"),"ሀ. የቡድንዎ ጥቅሞች ለ. ምንም ነጥብ አልተሰጠም.ሲ. የተቃዋሚው ኳስ ልክ ያልሆነ ነው.ዲ. ዙሩ በድጋሚ ተካሂዷል።")</f>
        <v>ሀ. የቡድንዎ ጥቅሞች ለ. ምንም ነጥብ አልተሰጠም.ሲ. የተቃዋሚው ኳስ ልክ ያልሆነ ነው.ዲ. ዙሩ በድጋሚ ተካሂዷል።</v>
      </c>
      <c r="J168" s="11" t="str">
        <f>IFERROR(__xludf.DUMMYFUNCTION("GOOGLETRANSLATE(D168, ""en"", ""am"")"),"የእርስዎ ቡድን ይጠቅማል")</f>
        <v>የእርስዎ ቡድን ይጠቅማል</v>
      </c>
      <c r="K168" s="11" t="str">
        <f>IFERROR(__xludf.DUMMYFUNCTION("GOOGLETRANSLATE(E168, ""en"", ""am"")"),"የተጋጣሚ ኳሶችን ማፈናቀል የውጤት ጥቅሞችን መፍጠር ይችላል።")</f>
        <v>የተጋጣሚ ኳሶችን ማፈናቀል የውጤት ጥቅሞችን መፍጠር ይችላል።</v>
      </c>
    </row>
    <row r="169" ht="22.5" customHeight="1">
      <c r="A169" s="10">
        <v>168.0</v>
      </c>
      <c r="B169" s="11" t="s">
        <v>2790</v>
      </c>
      <c r="C169" s="11" t="s">
        <v>2791</v>
      </c>
      <c r="D169" s="11" t="s">
        <v>2404</v>
      </c>
      <c r="E169" s="11" t="s">
        <v>2792</v>
      </c>
      <c r="G169" s="11" t="str">
        <f>IFERROR(__xludf.DUMMYFUNCTION("GOOGLETRANSLATE(A169, ""en"", ""am"")"),"168")</f>
        <v>168</v>
      </c>
      <c r="H169" s="11" t="str">
        <f>IFERROR(__xludf.DUMMYFUNCTION("GOOGLETRANSLATE(B169, ""en"", ""am"")"),"የተጫዋች ኳስ ኢላማውን ቢመታም የሌላ ተጫዋች ኳስንም ያፈናቅላል። ምን ይሆናል?")</f>
        <v>የተጫዋች ኳስ ኢላማውን ቢመታም የሌላ ተጫዋች ኳስንም ያፈናቅላል። ምን ይሆናል?</v>
      </c>
      <c r="I169" s="11" t="str">
        <f>IFERROR(__xludf.DUMMYFUNCTION("GOOGLETRANSLATE(C169, ""en"", ""am"")"),"ሀ. ነጥቦች በመጨረሻው ቦታ ላይ የተመሰረቱ ናቸው.B. መወርወሩ ልክ ያልሆነ ነው።ሲ. ምንም ነጥብ አልተሰጠም.ዲ. ዳኛው ይወስናል።")</f>
        <v>ሀ. ነጥቦች በመጨረሻው ቦታ ላይ የተመሰረቱ ናቸው.B. መወርወሩ ልክ ያልሆነ ነው።ሲ. ምንም ነጥብ አልተሰጠም.ዲ. ዳኛው ይወስናል።</v>
      </c>
      <c r="J169" s="11" t="str">
        <f>IFERROR(__xludf.DUMMYFUNCTION("GOOGLETRANSLATE(D169, ""en"", ""am"")"),"ነጥቦች በመጨረሻው ቦታ ላይ የተመሰረቱ ናቸው.")</f>
        <v>ነጥቦች በመጨረሻው ቦታ ላይ የተመሰረቱ ናቸው.</v>
      </c>
      <c r="K169" s="11" t="str">
        <f>IFERROR(__xludf.DUMMYFUNCTION("GOOGLETRANSLATE(E169, ""en"", ""am"")"),"በአፉላ ውስጥ ማስቆጠር በኳሶቹ የመጨረሻ ቦታዎች ላይ የተመሰረተ ነው.")</f>
        <v>በአፉላ ውስጥ ማስቆጠር በኳሶቹ የመጨረሻ ቦታዎች ላይ የተመሰረተ ነው.</v>
      </c>
    </row>
    <row r="170" ht="22.5" customHeight="1">
      <c r="A170" s="10">
        <v>169.0</v>
      </c>
      <c r="B170" s="11" t="s">
        <v>2793</v>
      </c>
      <c r="C170" s="11" t="s">
        <v>2794</v>
      </c>
      <c r="D170" s="11" t="s">
        <v>2652</v>
      </c>
      <c r="E170" s="11" t="s">
        <v>2795</v>
      </c>
      <c r="G170" s="11" t="str">
        <f>IFERROR(__xludf.DUMMYFUNCTION("GOOGLETRANSLATE(A170, ""en"", ""am"")"),"169")</f>
        <v>169</v>
      </c>
      <c r="H170" s="11" t="str">
        <f>IFERROR(__xludf.DUMMYFUNCTION("GOOGLETRANSLATE(B170, ""en"", ""am"")"),"ዒላማው ሙሉ በሙሉ በአንድ ዙር በወደቀ የዛፍ ቅርንጫፍ ተሸፍኗል። ምን ይሆናል?")</f>
        <v>ዒላማው ሙሉ በሙሉ በአንድ ዙር በወደቀ የዛፍ ቅርንጫፍ ተሸፍኗል። ምን ይሆናል?</v>
      </c>
      <c r="I170" s="11" t="str">
        <f>IFERROR(__xludf.DUMMYFUNCTION("GOOGLETRANSLATE(C170, ""en"", ""am"")"),"A. ክበቡ ቆሟል.B. ዒላማው እንደገና ተጀምሯል.ሲ. ምንም ነጥብ አልተሰጠም.ዲ. ዳኛው ይወስናል።")</f>
        <v>A. ክበቡ ቆሟል.B. ዒላማው እንደገና ተጀምሯል.ሲ. ምንም ነጥብ አልተሰጠም.ዲ. ዳኛው ይወስናል።</v>
      </c>
      <c r="J170" s="11" t="str">
        <f>IFERROR(__xludf.DUMMYFUNCTION("GOOGLETRANSLATE(D170, ""en"", ""am"")"),"ክበቡ ቆሟል።")</f>
        <v>ክበቡ ቆሟል።</v>
      </c>
      <c r="K170" s="11" t="str">
        <f>IFERROR(__xludf.DUMMYFUNCTION("GOOGLETRANSLATE(E170, ""en"", ""am"")"),"እንደ ቅርንጫፎች ያሉ ውጫዊ መሰናክሎች ተሽከርካሪው ባለበት እንዲቆም ይጠይቃሉ.")</f>
        <v>እንደ ቅርንጫፎች ያሉ ውጫዊ መሰናክሎች ተሽከርካሪው ባለበት እንዲቆም ይጠይቃሉ.</v>
      </c>
    </row>
    <row r="171" ht="22.5" customHeight="1">
      <c r="A171" s="10">
        <v>170.0</v>
      </c>
      <c r="B171" s="11" t="s">
        <v>2796</v>
      </c>
      <c r="C171" s="11" t="s">
        <v>2797</v>
      </c>
      <c r="D171" s="11" t="s">
        <v>2798</v>
      </c>
      <c r="E171" s="11" t="s">
        <v>2799</v>
      </c>
      <c r="G171" s="11" t="str">
        <f>IFERROR(__xludf.DUMMYFUNCTION("GOOGLETRANSLATE(A171, ""en"", ""am"")"),"170")</f>
        <v>170</v>
      </c>
      <c r="H171" s="11" t="str">
        <f>IFERROR(__xludf.DUMMYFUNCTION("GOOGLETRANSLATE(B171, ""en"", ""am"")"),"ኳስዎ በነጥብ ማስቆጠር ዞን ውስጥ በሌላ ኳስ ላይ በቀጥታ ያርፋል። ማን አስቆጥሯል?")</f>
        <v>ኳስዎ በነጥብ ማስቆጠር ዞን ውስጥ በሌላ ኳስ ላይ በቀጥታ ያርፋል። ማን አስቆጥሯል?</v>
      </c>
      <c r="I171" s="11" t="str">
        <f>IFERROR(__xludf.DUMMYFUNCTION("GOOGLETRANSLATE(C171, ""en"", ""am"")"),"ሀ. የታችኛው ኳስ ነጥብ ለ. ከፍተኛው ጎል ያስቆጠረ ነው.ሲ. ሁለቱም ኳሶች ይመታሉ። ምንም ነጥብ አልተሰጠም።")</f>
        <v>ሀ. የታችኛው ኳስ ነጥብ ለ. ከፍተኛው ጎል ያስቆጠረ ነው.ሲ. ሁለቱም ኳሶች ይመታሉ። ምንም ነጥብ አልተሰጠም።</v>
      </c>
      <c r="J171" s="11" t="str">
        <f>IFERROR(__xludf.DUMMYFUNCTION("GOOGLETRANSLATE(D171, ""en"", ""am"")"),"የታችኛው ኳስ ነጥብ")</f>
        <v>የታችኛው ኳስ ነጥብ</v>
      </c>
      <c r="K171" s="11" t="str">
        <f>IFERROR(__xludf.DUMMYFUNCTION("GOOGLETRANSLATE(E171, ""en"", ""am"")"),"ወደ መሬት ቅርብ ያለው ኳስ የነጥብ ጥቅምን እንደያዘ ይቆያል።")</f>
        <v>ወደ መሬት ቅርብ ያለው ኳስ የነጥብ ጥቅምን እንደያዘ ይቆያል።</v>
      </c>
    </row>
    <row r="172" ht="22.5" customHeight="1">
      <c r="A172" s="10">
        <v>171.0</v>
      </c>
      <c r="B172" s="11" t="s">
        <v>2800</v>
      </c>
      <c r="C172" s="11" t="s">
        <v>2801</v>
      </c>
      <c r="D172" s="11" t="s">
        <v>2345</v>
      </c>
      <c r="E172" s="11" t="s">
        <v>2802</v>
      </c>
      <c r="G172" s="11" t="str">
        <f>IFERROR(__xludf.DUMMYFUNCTION("GOOGLETRANSLATE(A172, ""en"", ""am"")"),"171")</f>
        <v>171</v>
      </c>
      <c r="H172" s="11" t="str">
        <f>IFERROR(__xludf.DUMMYFUNCTION("GOOGLETRANSLATE(B172, ""en"", ""am"")"),"አንድ ተጫዋች በአጋጣሚ ከአንድ ይልቅ ሁለት ኳሶችን ይጥላል። ምን ይሆናል?")</f>
        <v>አንድ ተጫዋች በአጋጣሚ ከአንድ ይልቅ ሁለት ኳሶችን ይጥላል። ምን ይሆናል?</v>
      </c>
      <c r="I172" s="11" t="str">
        <f>IFERROR(__xludf.DUMMYFUNCTION("GOOGLETRANSLATE(C172, ""en"", ""am"")"),"ሀ. መወርወሩ ልክ ያልሆነ ነው.ቢ. ነጥቦች በእጥፍ ይጨምራሉ.ሲ. አንድ ኳስ ብቻ ነው የሚቆጠረው.ዲ. ዳኛው ማስጠንቀቂያ ሰጥተዋል።")</f>
        <v>ሀ. መወርወሩ ልክ ያልሆነ ነው.ቢ. ነጥቦች በእጥፍ ይጨምራሉ.ሲ. አንድ ኳስ ብቻ ነው የሚቆጠረው.ዲ. ዳኛው ማስጠንቀቂያ ሰጥተዋል።</v>
      </c>
      <c r="J172" s="11" t="str">
        <f>IFERROR(__xludf.DUMMYFUNCTION("GOOGLETRANSLATE(D172, ""en"", ""am"")"),"መወርወሩ ልክ ያልሆነ ነው።")</f>
        <v>መወርወሩ ልክ ያልሆነ ነው።</v>
      </c>
      <c r="K172" s="11" t="str">
        <f>IFERROR(__xludf.DUMMYFUNCTION("GOOGLETRANSLATE(E172, ""en"", ""am"")"),"በአንድ ጊዜ ብዙ ኳሶችን መወርወር በህግ የተከለከለ ነው።")</f>
        <v>በአንድ ጊዜ ብዙ ኳሶችን መወርወር በህግ የተከለከለ ነው።</v>
      </c>
    </row>
    <row r="173" ht="22.5" customHeight="1">
      <c r="A173" s="10">
        <v>172.0</v>
      </c>
      <c r="B173" s="11" t="s">
        <v>2803</v>
      </c>
      <c r="C173" s="11" t="s">
        <v>2804</v>
      </c>
      <c r="D173" s="11" t="s">
        <v>2656</v>
      </c>
      <c r="E173" s="11" t="s">
        <v>2805</v>
      </c>
      <c r="G173" s="11" t="str">
        <f>IFERROR(__xludf.DUMMYFUNCTION("GOOGLETRANSLATE(A173, ""en"", ""am"")"),"172")</f>
        <v>172</v>
      </c>
      <c r="H173" s="11" t="str">
        <f>IFERROR(__xludf.DUMMYFUNCTION("GOOGLETRANSLATE(B173, ""en"", ""am"")"),"ኢላማው ሜዳውን ለቆ ግን በተመልካቹ ወንበር ላይ ያርፋል። ምን ይሆናል?")</f>
        <v>ኢላማው ሜዳውን ለቆ ግን በተመልካቹ ወንበር ላይ ያርፋል። ምን ይሆናል?</v>
      </c>
      <c r="I173" s="11" t="str">
        <f>IFERROR(__xludf.DUMMYFUNCTION("GOOGLETRANSLATE(C173, ""en"", ""am"")"),"ሀ. ዒላማው እንደገና ተጀምሯል.B. ነጥቦች በግማሽ ተከፍለዋል። ዙሩ ይቀጥላል.ዲ. ምንም ነጥብ አልተሰጠም።")</f>
        <v>ሀ. ዒላማው እንደገና ተጀምሯል.B. ነጥቦች በግማሽ ተከፍለዋል። ዙሩ ይቀጥላል.ዲ. ምንም ነጥብ አልተሰጠም።</v>
      </c>
      <c r="J173" s="11" t="str">
        <f>IFERROR(__xludf.DUMMYFUNCTION("GOOGLETRANSLATE(D173, ""en"", ""am"")"),"ዒላማው እንደገና ተጀምሯል።")</f>
        <v>ዒላማው እንደገና ተጀምሯል።</v>
      </c>
      <c r="K173" s="11" t="str">
        <f>IFERROR(__xludf.DUMMYFUNCTION("GOOGLETRANSLATE(E173, ""en"", ""am"")"),"ከመስክ ውጭ ያረፉ ዒላማዎች ወደ መጀመሪያ ቦታቸው ተቀምጠዋል።")</f>
        <v>ከመስክ ውጭ ያረፉ ዒላማዎች ወደ መጀመሪያ ቦታቸው ተቀምጠዋል።</v>
      </c>
    </row>
    <row r="174" ht="22.5" customHeight="1">
      <c r="A174" s="10">
        <v>173.0</v>
      </c>
      <c r="B174" s="11" t="s">
        <v>2806</v>
      </c>
      <c r="C174" s="11" t="s">
        <v>2807</v>
      </c>
      <c r="D174" s="11" t="s">
        <v>2644</v>
      </c>
      <c r="E174" s="11" t="s">
        <v>2808</v>
      </c>
      <c r="G174" s="11" t="str">
        <f>IFERROR(__xludf.DUMMYFUNCTION("GOOGLETRANSLATE(A174, ""en"", ""am"")"),"173")</f>
        <v>173</v>
      </c>
      <c r="H174" s="11" t="str">
        <f>IFERROR(__xludf.DUMMYFUNCTION("GOOGLETRANSLATE(B174, ""en"", ""am"")"),"የተጫዋቹ ኳስ ዒላማውን ወደ ተቃዋሚው ኳስ ያጠጋዋል. ማን ነው ያስመዘገበው?")</f>
        <v>የተጫዋቹ ኳስ ዒላማውን ወደ ተቃዋሚው ኳስ ያጠጋዋል. ማን ነው ያስመዘገበው?</v>
      </c>
      <c r="I174" s="11" t="str">
        <f>IFERROR(__xludf.DUMMYFUNCTION("GOOGLETRANSLATE(C174, ""en"", ""am"")"),"ሀ. ተቃዋሚው ነጥብ አስመዝግቧል። ተጫዋቹ ጎል አስቆጥሯል። ሁለቱም እኩል ነጥብ ያስመዘገቡ።ዲ. ዳኛው ይወስናል።")</f>
        <v>ሀ. ተቃዋሚው ነጥብ አስመዝግቧል። ተጫዋቹ ጎል አስቆጥሯል። ሁለቱም እኩል ነጥብ ያስመዘገቡ።ዲ. ዳኛው ይወስናል።</v>
      </c>
      <c r="J174" s="11" t="str">
        <f>IFERROR(__xludf.DUMMYFUNCTION("GOOGLETRANSLATE(D174, ""en"", ""am"")"),"ተጋጣሚው ነጥብ አስመዝግቧል።")</f>
        <v>ተጋጣሚው ነጥብ አስመዝግቧል።</v>
      </c>
      <c r="K174" s="11" t="str">
        <f>IFERROR(__xludf.DUMMYFUNCTION("GOOGLETRANSLATE(E174, ""en"", ""am"")"),"ግብ ማስቆጠር የሚወሰነው በየትኛው ኳስ ወደ ኢላማው የመጨረሻ ቦታ ቅርብ እንደሆነ ነው።")</f>
        <v>ግብ ማስቆጠር የሚወሰነው በየትኛው ኳስ ወደ ኢላማው የመጨረሻ ቦታ ቅርብ እንደሆነ ነው።</v>
      </c>
    </row>
    <row r="175" ht="22.5" customHeight="1">
      <c r="A175" s="10">
        <v>174.0</v>
      </c>
      <c r="B175" s="11" t="s">
        <v>2809</v>
      </c>
      <c r="C175" s="11" t="s">
        <v>2810</v>
      </c>
      <c r="D175" s="11" t="s">
        <v>2345</v>
      </c>
      <c r="E175" s="11" t="s">
        <v>2811</v>
      </c>
      <c r="G175" s="11" t="str">
        <f>IFERROR(__xludf.DUMMYFUNCTION("GOOGLETRANSLATE(A175, ""en"", ""am"")"),"174")</f>
        <v>174</v>
      </c>
      <c r="H175" s="11" t="str">
        <f>IFERROR(__xludf.DUMMYFUNCTION("GOOGLETRANSLATE(B175, ""en"", ""am"")"),"ሰዓት ቆጣሪው ካለቀ በኋላ አንድ ተጫዋች ለመጣል ይሞክራል። ምን ይሆናል?")</f>
        <v>ሰዓት ቆጣሪው ካለቀ በኋላ አንድ ተጫዋች ለመጣል ይሞክራል። ምን ይሆናል?</v>
      </c>
      <c r="I175" s="11" t="str">
        <f>IFERROR(__xludf.DUMMYFUNCTION("GOOGLETRANSLATE(C175, ""en"", ""am"")"),"ሀ. መወርወሩ ልክ ያልሆነ ነው.ቢ. መወርወር ይፈቀዳል.ሲ. ዳኛው ማስጠንቀቂያ ሰጡ.ዲ. ዙሩ በድጋሚ ተካሂዷል።")</f>
        <v>ሀ. መወርወሩ ልክ ያልሆነ ነው.ቢ. መወርወር ይፈቀዳል.ሲ. ዳኛው ማስጠንቀቂያ ሰጡ.ዲ. ዙሩ በድጋሚ ተካሂዷል።</v>
      </c>
      <c r="J175" s="11" t="str">
        <f>IFERROR(__xludf.DUMMYFUNCTION("GOOGLETRANSLATE(D175, ""en"", ""am"")"),"መወርወሩ ልክ ያልሆነ ነው።")</f>
        <v>መወርወሩ ልክ ያልሆነ ነው።</v>
      </c>
      <c r="K175" s="11" t="str">
        <f>IFERROR(__xludf.DUMMYFUNCTION("GOOGLETRANSLATE(E175, ""en"", ""am"")"),"ጊዜ ቆጣሪው ካለቀ በኋላ መወርወር አይፈቀድም።")</f>
        <v>ጊዜ ቆጣሪው ካለቀ በኋላ መወርወር አይፈቀድም።</v>
      </c>
    </row>
    <row r="176" ht="22.5" customHeight="1">
      <c r="A176" s="10">
        <v>175.0</v>
      </c>
      <c r="B176" s="11" t="s">
        <v>2812</v>
      </c>
      <c r="C176" s="11" t="s">
        <v>2813</v>
      </c>
      <c r="D176" s="11" t="s">
        <v>137</v>
      </c>
      <c r="E176" s="11" t="s">
        <v>2814</v>
      </c>
      <c r="G176" s="11" t="str">
        <f>IFERROR(__xludf.DUMMYFUNCTION("GOOGLETRANSLATE(A176, ""en"", ""am"")"),"175")</f>
        <v>175</v>
      </c>
      <c r="H176" s="11" t="str">
        <f>IFERROR(__xludf.DUMMYFUNCTION("GOOGLETRANSLATE(B176, ""en"", ""am"")"),"ዳኛው አንድ ተጫዋች ያልተፈቀደ ጫማ ማድረጉን አስተውሏል። ምን ይሆናል?")</f>
        <v>ዳኛው አንድ ተጫዋች ያልተፈቀደ ጫማ ማድረጉን አስተውሏል። ምን ይሆናል?</v>
      </c>
      <c r="I176" s="11" t="str">
        <f>IFERROR(__xludf.DUMMYFUNCTION("GOOGLETRANSLATE(C176, ""en"", ""am"")"),"ሀ. ተጫዋቹ ማስጠንቀቂያ ይደርሰዋል.B. ተጫዋቹ ውድቅ ተደርጓል.ሲ. ጨዋታው ይቀጥላል.ዲ. ክበቡ ቆሟል።")</f>
        <v>ሀ. ተጫዋቹ ማስጠንቀቂያ ይደርሰዋል.B. ተጫዋቹ ውድቅ ተደርጓል.ሲ. ጨዋታው ይቀጥላል.ዲ. ክበቡ ቆሟል።</v>
      </c>
      <c r="J176" s="11" t="str">
        <f>IFERROR(__xludf.DUMMYFUNCTION("GOOGLETRANSLATE(D176, ""en"", ""am"")"),"ተጫዋቹ ማስጠንቀቂያ ይደርሰዋል።")</f>
        <v>ተጫዋቹ ማስጠንቀቂያ ይደርሰዋል።</v>
      </c>
      <c r="K176" s="11" t="str">
        <f>IFERROR(__xludf.DUMMYFUNCTION("GOOGLETRANSLATE(E176, ""en"", ""am"")"),"ያልተፈቀደ ልብስ መልበስ ማስጠንቀቂያን ያስከትላል እንጂ ወዲያውኑ ውድቅ አይሆንም።")</f>
        <v>ያልተፈቀደ ልብስ መልበስ ማስጠንቀቂያን ያስከትላል እንጂ ወዲያውኑ ውድቅ አይሆንም።</v>
      </c>
    </row>
    <row r="177" ht="22.5" customHeight="1">
      <c r="A177" s="10">
        <v>176.0</v>
      </c>
      <c r="B177" s="11" t="s">
        <v>2815</v>
      </c>
      <c r="C177" s="11" t="s">
        <v>2816</v>
      </c>
      <c r="D177" s="11" t="s">
        <v>2817</v>
      </c>
      <c r="E177" s="11" t="s">
        <v>2818</v>
      </c>
      <c r="G177" s="11" t="str">
        <f>IFERROR(__xludf.DUMMYFUNCTION("GOOGLETRANSLATE(A177, ""en"", ""am"")"),"176")</f>
        <v>176</v>
      </c>
      <c r="H177" s="11" t="str">
        <f>IFERROR(__xludf.DUMMYFUNCTION("GOOGLETRANSLATE(B177, ""en"", ""am"")"),"ኳስህ ዒላማውን ለሁለት ይከፍላል። ምን ይሆናል?")</f>
        <v>ኳስህ ዒላማውን ለሁለት ይከፍላል። ምን ይሆናል?</v>
      </c>
      <c r="I177" s="11" t="str">
        <f>IFERROR(__xludf.DUMMYFUNCTION("GOOGLETRANSLATE(C177, ""en"", ""am"")"),"ሀ. ዙሩ በድጋሚ ተጫውቷል.ቢ. ትልቁ ቁራጭ እንደ ዒላማ ይቆጠራል.ሲ. ምንም ነጥብ አልተሰጠም.ዲ. ዳኛው ይወስናል።")</f>
        <v>ሀ. ዙሩ በድጋሚ ተጫውቷል.ቢ. ትልቁ ቁራጭ እንደ ዒላማ ይቆጠራል.ሲ. ምንም ነጥብ አልተሰጠም.ዲ. ዳኛው ይወስናል።</v>
      </c>
      <c r="J177" s="11" t="str">
        <f>IFERROR(__xludf.DUMMYFUNCTION("GOOGLETRANSLATE(D177, ""en"", ""am"")"),"ትልቁ ቁራጭ እንደ ዒላማ ይቆጠራል.")</f>
        <v>ትልቁ ቁራጭ እንደ ዒላማ ይቆጠራል.</v>
      </c>
      <c r="K177" s="11" t="str">
        <f>IFERROR(__xludf.DUMMYFUNCTION("GOOGLETRANSLATE(E177, ""en"", ""am"")"),"በአፉላ፣ የዒላማው ትልቁ ክፍል መጫወቱን ለመቀጠል ይጠቅማል።")</f>
        <v>በአፉላ፣ የዒላማው ትልቁ ክፍል መጫወቱን ለመቀጠል ይጠቅማል።</v>
      </c>
    </row>
    <row r="178" ht="22.5" customHeight="1">
      <c r="A178" s="10">
        <v>177.0</v>
      </c>
      <c r="B178" s="11" t="s">
        <v>2819</v>
      </c>
      <c r="C178" s="11" t="s">
        <v>2820</v>
      </c>
      <c r="D178" s="11" t="s">
        <v>2377</v>
      </c>
      <c r="E178" s="11" t="s">
        <v>2821</v>
      </c>
      <c r="G178" s="11" t="str">
        <f>IFERROR(__xludf.DUMMYFUNCTION("GOOGLETRANSLATE(A178, ""en"", ""am"")"),"177")</f>
        <v>177</v>
      </c>
      <c r="H178" s="11" t="str">
        <f>IFERROR(__xludf.DUMMYFUNCTION("GOOGLETRANSLATE(B178, ""en"", ""am"")"),"አንድ ወፍ በሜዳው ላይ ትበርና ኢላማውን ያንቀሳቅሳል. ምን ይሆናል?")</f>
        <v>አንድ ወፍ በሜዳው ላይ ትበርና ኢላማውን ያንቀሳቅሳል. ምን ይሆናል?</v>
      </c>
      <c r="I178" s="11" t="str">
        <f>IFERROR(__xludf.DUMMYFUNCTION("GOOGLETRANSLATE(C178, ""en"", ""am"")"),"ሀ. ዒላማው እንደገና ተጀምሯል.B. ዙሩ በድጋሚ ተጫውቷል.ሲ. ነጥቦች እንደገና ይሰላሉ.ዲ. ዳኛው ይወስናል።")</f>
        <v>ሀ. ዒላማው እንደገና ተጀምሯል.B. ዙሩ በድጋሚ ተጫውቷል.ሲ. ነጥቦች እንደገና ይሰላሉ.ዲ. ዳኛው ይወስናል።</v>
      </c>
      <c r="J178" s="11" t="str">
        <f>IFERROR(__xludf.DUMMYFUNCTION("GOOGLETRANSLATE(D178, ""en"", ""am"")"),"ዙሩ በድጋሚ ተካሂዷል።")</f>
        <v>ዙሩ በድጋሚ ተካሂዷል።</v>
      </c>
      <c r="K178" s="11" t="str">
        <f>IFERROR(__xludf.DUMMYFUNCTION("GOOGLETRANSLATE(E178, ""en"", ""am"")"),"የውጭ ጣልቃገብነት ልክ እንደ ወፍ, ዙሩ እንደገና እንዲጫወት ያደርገዋል.")</f>
        <v>የውጭ ጣልቃገብነት ልክ እንደ ወፍ, ዙሩ እንደገና እንዲጫወት ያደርገዋል.</v>
      </c>
    </row>
    <row r="179" ht="22.5" customHeight="1">
      <c r="A179" s="10">
        <v>178.0</v>
      </c>
      <c r="B179" s="11" t="s">
        <v>2822</v>
      </c>
      <c r="C179" s="11" t="s">
        <v>2823</v>
      </c>
      <c r="D179" s="11" t="s">
        <v>2286</v>
      </c>
      <c r="E179" s="11" t="s">
        <v>2824</v>
      </c>
      <c r="G179" s="11" t="str">
        <f>IFERROR(__xludf.DUMMYFUNCTION("GOOGLETRANSLATE(A179, ""en"", ""am"")"),"178")</f>
        <v>178</v>
      </c>
      <c r="H179" s="11" t="str">
        <f>IFERROR(__xludf.DUMMYFUNCTION("GOOGLETRANSLATE(B179, ""en"", ""am"")"),"ኳሱ ኢላማውን ቢመታም ከወሰን ውጪ ነው። ምን ይሆናል?")</f>
        <v>ኳሱ ኢላማውን ቢመታም ከወሰን ውጪ ነው። ምን ይሆናል?</v>
      </c>
      <c r="I179" s="11" t="str">
        <f>IFERROR(__xludf.DUMMYFUNCTION("GOOGLETRANSLATE(C179, ""en"", ""am"")"),"ሀ. ምንም ነጥብ አልተሰጠም.B. ነጥቦች በግማሽ ተከፍለዋል። ከፍተኛ ነጥብ አስመዝግበሃል። ዙሩ በድጋሚ ተካሂዷል።")</f>
        <v>ሀ. ምንም ነጥብ አልተሰጠም.B. ነጥቦች በግማሽ ተከፍለዋል። ከፍተኛ ነጥብ አስመዝግበሃል። ዙሩ በድጋሚ ተካሂዷል።</v>
      </c>
      <c r="J179" s="11" t="str">
        <f>IFERROR(__xludf.DUMMYFUNCTION("GOOGLETRANSLATE(D179, ""en"", ""am"")"),"ምንም ነጥብ አልተሰጠም።")</f>
        <v>ምንም ነጥብ አልተሰጠም።</v>
      </c>
      <c r="K179" s="11" t="str">
        <f>IFERROR(__xludf.DUMMYFUNCTION("GOOGLETRANSLATE(E179, ""en"", ""am"")"),"ኢላማውን ከነጥብ ማስቆጠር ዞን ማስወገድ ነጥቦቹን ዋጋ ያጣል።")</f>
        <v>ኢላማውን ከነጥብ ማስቆጠር ዞን ማስወገድ ነጥቦቹን ዋጋ ያጣል።</v>
      </c>
    </row>
    <row r="180" ht="22.5" customHeight="1">
      <c r="A180" s="10">
        <v>179.0</v>
      </c>
      <c r="B180" s="11" t="s">
        <v>2825</v>
      </c>
      <c r="C180" s="11" t="s">
        <v>2695</v>
      </c>
      <c r="D180" s="11" t="s">
        <v>2638</v>
      </c>
      <c r="E180" s="11" t="s">
        <v>2826</v>
      </c>
      <c r="G180" s="11" t="str">
        <f>IFERROR(__xludf.DUMMYFUNCTION("GOOGLETRANSLATE(A180, ""en"", ""am"")"),"179")</f>
        <v>179</v>
      </c>
      <c r="H180" s="11" t="str">
        <f>IFERROR(__xludf.DUMMYFUNCTION("GOOGLETRANSLATE(B180, ""en"", ""am"")"),"የቡድን ጓደኛው ኳሱን ይጥላል, እና በትክክል በመጨረሻው መስመር ላይ ይወርዳል. ምን ይሆናል?")</f>
        <v>የቡድን ጓደኛው ኳሱን ይጥላል, እና በትክክል በመጨረሻው መስመር ላይ ይወርዳል. ምን ይሆናል?</v>
      </c>
      <c r="I180" s="11" t="str">
        <f>IFERROR(__xludf.DUMMYFUNCTION("GOOGLETRANSLATE(C180, ""en"", ""am"")"),"ሀ. ኳሱ ትክክለኛ ነው.ቢ. ኳሱ ልክ ያልሆነ ነው.ሲ. ነጥቦች በግማሽ ተከፍለዋል። ዳኛው ይወስናል።")</f>
        <v>ሀ. ኳሱ ትክክለኛ ነው.ቢ. ኳሱ ልክ ያልሆነ ነው.ሲ. ነጥቦች በግማሽ ተከፍለዋል። ዳኛው ይወስናል።</v>
      </c>
      <c r="J180" s="11" t="str">
        <f>IFERROR(__xludf.DUMMYFUNCTION("GOOGLETRANSLATE(D180, ""en"", ""am"")"),"ኳሱ ትክክለኛ ነው።")</f>
        <v>ኳሱ ትክክለኛ ነው።</v>
      </c>
      <c r="K180" s="11" t="str">
        <f>IFERROR(__xludf.DUMMYFUNCTION("GOOGLETRANSLATE(E180, ""en"", ""am"")"),"በድንበር መስመር ላይ ያሉ ኳሶች በአፉላ ልክ እንደሆኑ ይቆጠራሉ።")</f>
        <v>በድንበር መስመር ላይ ያሉ ኳሶች በአፉላ ልክ እንደሆኑ ይቆጠራሉ።</v>
      </c>
    </row>
    <row r="181" ht="22.5" customHeight="1">
      <c r="A181" s="10">
        <v>180.0</v>
      </c>
      <c r="B181" s="11" t="s">
        <v>2827</v>
      </c>
      <c r="C181" s="11" t="s">
        <v>2828</v>
      </c>
      <c r="D181" s="11" t="s">
        <v>2424</v>
      </c>
      <c r="E181" s="11" t="s">
        <v>2829</v>
      </c>
      <c r="G181" s="11" t="str">
        <f>IFERROR(__xludf.DUMMYFUNCTION("GOOGLETRANSLATE(A181, ""en"", ""am"")"),"180")</f>
        <v>180</v>
      </c>
      <c r="H181" s="11" t="str">
        <f>IFERROR(__xludf.DUMMYFUNCTION("GOOGLETRANSLATE(B181, ""en"", ""am"")"),"ተቃዋሚዎ ቡድንዎን ለማደናቀፍ ሆን ብሎ ውርወራውን ያዘገያል። ምን ይሆናል?")</f>
        <v>ተቃዋሚዎ ቡድንዎን ለማደናቀፍ ሆን ብሎ ውርወራውን ያዘገያል። ምን ይሆናል?</v>
      </c>
      <c r="I181" s="11" t="str">
        <f>IFERROR(__xludf.DUMMYFUNCTION("GOOGLETRANSLATE(C181, ""en"", ""am"")"),"ሀ. ዳኛው ማስጠንቀቂያ ሰጥተዋል.B. ክበቡ ቆሟል.ሲ. መወርወሩ ልክ ያልሆነ ነው.ዲ. ነጥቦች ተቀንሰዋል")</f>
        <v>ሀ. ዳኛው ማስጠንቀቂያ ሰጥተዋል.B. ክበቡ ቆሟል.ሲ. መወርወሩ ልክ ያልሆነ ነው.ዲ. ነጥቦች ተቀንሰዋል</v>
      </c>
      <c r="J181" s="11" t="str">
        <f>IFERROR(__xludf.DUMMYFUNCTION("GOOGLETRANSLATE(D181, ""en"", ""am"")"),"ዳኛው ማስጠንቀቂያ ሰጥተዋል።")</f>
        <v>ዳኛው ማስጠንቀቂያ ሰጥተዋል።</v>
      </c>
      <c r="K181" s="11" t="str">
        <f>IFERROR(__xludf.DUMMYFUNCTION("GOOGLETRANSLATE(E181, ""en"", ""am"")"),"ሆን ተብሎ መዘግየቶች ከዳኛው ይፋዊ ማስጠንቀቂያን ያስከትላል።")</f>
        <v>ሆን ተብሎ መዘግየቶች ከዳኛው ይፋዊ ማስጠንቀቂያን ያስከትላል።</v>
      </c>
    </row>
    <row r="182" ht="22.5" customHeight="1">
      <c r="A182" s="10">
        <v>181.0</v>
      </c>
      <c r="B182" s="11" t="s">
        <v>2830</v>
      </c>
      <c r="C182" s="11" t="s">
        <v>2751</v>
      </c>
      <c r="D182" s="11" t="s">
        <v>2692</v>
      </c>
      <c r="E182" s="11" t="s">
        <v>2831</v>
      </c>
      <c r="G182" s="11" t="str">
        <f>IFERROR(__xludf.DUMMYFUNCTION("GOOGLETRANSLATE(A182, ""en"", ""am"")"),"181")</f>
        <v>181</v>
      </c>
      <c r="H182" s="11" t="str">
        <f>IFERROR(__xludf.DUMMYFUNCTION("GOOGLETRANSLATE(B182, ""en"", ""am"")"),"ኳሱ በቀዳዳው ውስጥ ያለውን ኢላማ ይመታል ነገር ግን እንደሚታየው ይቆያል። ምን ይሆናል?")</f>
        <v>ኳሱ በቀዳዳው ውስጥ ያለውን ኢላማ ይመታል ነገር ግን እንደሚታየው ይቆያል። ምን ይሆናል?</v>
      </c>
      <c r="I182" s="11" t="str">
        <f>IFERROR(__xludf.DUMMYFUNCTION("GOOGLETRANSLATE(C182, ""en"", ""am"")"),"ሀ. ዒላማው ትክክለኛ ነው.ቢ. ዒላማው እንደገና ተጀምሯል.ሲ. መወርወሩ ልክ ያልሆነ ነው.ዲ. ነጥቦች በግማሽ ተቀነሱ")</f>
        <v>ሀ. ዒላማው ትክክለኛ ነው.ቢ. ዒላማው እንደገና ተጀምሯል.ሲ. መወርወሩ ልክ ያልሆነ ነው.ዲ. ነጥቦች በግማሽ ተቀነሱ</v>
      </c>
      <c r="J182" s="11" t="str">
        <f>IFERROR(__xludf.DUMMYFUNCTION("GOOGLETRANSLATE(D182, ""en"", ""am"")"),"ዒላማው ትክክለኛ ነው።")</f>
        <v>ዒላማው ትክክለኛ ነው።</v>
      </c>
      <c r="K182" s="11" t="str">
        <f>IFERROR(__xludf.DUMMYFUNCTION("GOOGLETRANSLATE(E182, ""en"", ""am"")"),"ዒላማው እስከታየ ድረስ የሚሰራ ሆኖ ይቆያል።")</f>
        <v>ዒላማው እስከታየ ድረስ የሚሰራ ሆኖ ይቆያል።</v>
      </c>
    </row>
    <row r="183" ht="22.5" customHeight="1">
      <c r="A183" s="10">
        <v>182.0</v>
      </c>
      <c r="B183" s="11" t="s">
        <v>2832</v>
      </c>
      <c r="C183" s="11" t="s">
        <v>2833</v>
      </c>
      <c r="D183" s="11" t="s">
        <v>2834</v>
      </c>
      <c r="E183" s="11" t="s">
        <v>2835</v>
      </c>
      <c r="G183" s="11" t="str">
        <f>IFERROR(__xludf.DUMMYFUNCTION("GOOGLETRANSLATE(A183, ""en"", ""am"")"),"182")</f>
        <v>182</v>
      </c>
      <c r="H183" s="11" t="str">
        <f>IFERROR(__xludf.DUMMYFUNCTION("GOOGLETRANSLATE(B183, ""en"", ""am"")"),"የተጫዋቹ ኳስ ሌላ ኳስ ይንኳኳል, ከዚያም ኢላማውን ይመታል. ማን ነው ያስመዘገበው?")</f>
        <v>የተጫዋቹ ኳስ ሌላ ኳስ ይንኳኳል, ከዚያም ኢላማውን ይመታል. ማን ነው ያስመዘገበው?</v>
      </c>
      <c r="I183" s="11" t="str">
        <f>IFERROR(__xludf.DUMMYFUNCTION("GOOGLETRANSLATE(C183, ""en"", ""am"")"),"ሀ. የቅርቡ የእግር ኳስ ቡድን ቢ. ጎል ያስቆጠረበት የመጨረሻ ኳስ። ምንም ነጥብ አልተሰጠም.ዲ. ዳኛው ይወስናል።")</f>
        <v>ሀ. የቅርቡ የእግር ኳስ ቡድን ቢ. ጎል ያስቆጠረበት የመጨረሻ ኳስ። ምንም ነጥብ አልተሰጠም.ዲ. ዳኛው ይወስናል።</v>
      </c>
      <c r="J183" s="11" t="str">
        <f>IFERROR(__xludf.DUMMYFUNCTION("GOOGLETRANSLATE(D183, ""en"", ""am"")"),"በጣም ቅርብ የሆነው የእግር ኳስ ቡድን")</f>
        <v>በጣም ቅርብ የሆነው የእግር ኳስ ቡድን</v>
      </c>
      <c r="K183" s="11" t="str">
        <f>IFERROR(__xludf.DUMMYFUNCTION("GOOGLETRANSLATE(E183, ""en"", ""am"")"),"ወደ ዒላማው ቅርብ ኳስ ያለው ቡድን ነጥብ አስመዝግቧል።")</f>
        <v>ወደ ዒላማው ቅርብ ኳስ ያለው ቡድን ነጥብ አስመዝግቧል።</v>
      </c>
    </row>
    <row r="184" ht="22.5" customHeight="1">
      <c r="A184" s="10">
        <v>183.0</v>
      </c>
      <c r="B184" s="11" t="s">
        <v>2836</v>
      </c>
      <c r="C184" s="11" t="s">
        <v>2837</v>
      </c>
      <c r="D184" s="11" t="s">
        <v>2782</v>
      </c>
      <c r="E184" s="11" t="s">
        <v>2838</v>
      </c>
      <c r="G184" s="11" t="str">
        <f>IFERROR(__xludf.DUMMYFUNCTION("GOOGLETRANSLATE(A184, ""en"", ""am"")"),"183")</f>
        <v>183</v>
      </c>
      <c r="H184" s="11" t="str">
        <f>IFERROR(__xludf.DUMMYFUNCTION("GOOGLETRANSLATE(B184, ""en"", ""am"")"),"ዳኛው የውጤት ዞኑ ያልተሰለፈ መሆኑን ያስተውላሉ። ምን መደረግ አለበት?")</f>
        <v>ዳኛው የውጤት ዞኑ ያልተሰለፈ መሆኑን ያስተውላሉ። ምን መደረግ አለበት?</v>
      </c>
      <c r="I184" s="11" t="str">
        <f>IFERROR(__xludf.DUMMYFUNCTION("GOOGLETRANSLATE(C184, ""en"", ""am"")"),"ሀ. ጨዋታው ባለበት ቆሟል.ቢ. ነጥቦች እንደገና ይሰላሉ.ሲ. ዙሩ ይቀጥላል.ዲ. ዙሩ በድጋሚ ተካሂዷል።")</f>
        <v>ሀ. ጨዋታው ባለበት ቆሟል.ቢ. ነጥቦች እንደገና ይሰላሉ.ሲ. ዙሩ ይቀጥላል.ዲ. ዙሩ በድጋሚ ተካሂዷል።</v>
      </c>
      <c r="J184" s="11" t="str">
        <f>IFERROR(__xludf.DUMMYFUNCTION("GOOGLETRANSLATE(D184, ""en"", ""am"")"),"ጨዋታው ባለበት ቆሟል።")</f>
        <v>ጨዋታው ባለበት ቆሟል።</v>
      </c>
      <c r="K184" s="11" t="str">
        <f>IFERROR(__xludf.DUMMYFUNCTION("GOOGLETRANSLATE(E184, ""en"", ""am"")"),"ያልተመጣጠነ የውጤት አሰጣጥ ዞን ለማስተካከል በጨዋታው ላይ ለአፍታ ማቆምን ይጠይቃል።")</f>
        <v>ያልተመጣጠነ የውጤት አሰጣጥ ዞን ለማስተካከል በጨዋታው ላይ ለአፍታ ማቆምን ይጠይቃል።</v>
      </c>
    </row>
    <row r="185" ht="22.5" customHeight="1">
      <c r="A185" s="10">
        <v>184.0</v>
      </c>
      <c r="B185" s="11" t="s">
        <v>2839</v>
      </c>
      <c r="C185" s="11" t="s">
        <v>2840</v>
      </c>
      <c r="D185" s="11" t="s">
        <v>2841</v>
      </c>
      <c r="E185" s="11" t="s">
        <v>2842</v>
      </c>
      <c r="G185" s="11" t="str">
        <f>IFERROR(__xludf.DUMMYFUNCTION("GOOGLETRANSLATE(A185, ""en"", ""am"")"),"184")</f>
        <v>184</v>
      </c>
      <c r="H185" s="11" t="str">
        <f>IFERROR(__xludf.DUMMYFUNCTION("GOOGLETRANSLATE(B185, ""en"", ""am"")"),"የባላጋራህ ኳስ ያንተን በመምታት ከነጥብ ማስቆጠር ቀጣናው አውጥቶታል። ምን ይሆናል?")</f>
        <v>የባላጋራህ ኳስ ያንተን በመምታት ከነጥብ ማስቆጠር ቀጣናው አውጥቶታል። ምን ይሆናል?</v>
      </c>
      <c r="I185" s="11" t="str">
        <f>IFERROR(__xludf.DUMMYFUNCTION("GOOGLETRANSLATE(C185, ""en"", ""am"")"),"ሀ. ኳስህ ልክ ያልሆነ ነው.ቢ. ነጥቦች በግማሽ ተከፍለዋል። ዙሩ በድጋሚ ተጫውቷል.ዲ. ኳስህ ትክክለኛ ነው።")</f>
        <v>ሀ. ኳስህ ልክ ያልሆነ ነው.ቢ. ነጥቦች በግማሽ ተከፍለዋል። ዙሩ በድጋሚ ተጫውቷል.ዲ. ኳስህ ትክክለኛ ነው።</v>
      </c>
      <c r="J185" s="11" t="str">
        <f>IFERROR(__xludf.DUMMYFUNCTION("GOOGLETRANSLATE(D185, ""en"", ""am"")"),"ኳስህ ልክ ያልሆነ ነው።")</f>
        <v>ኳስህ ልክ ያልሆነ ነው።</v>
      </c>
      <c r="K185" s="11" t="str">
        <f>IFERROR(__xludf.DUMMYFUNCTION("GOOGLETRANSLATE(E185, ""en"", ""am"")"),"ከመጨረሻው ዞን ውጪ ያሉ ኳሶች ልክ እንዳልሆኑ ይቆጠራሉ።")</f>
        <v>ከመጨረሻው ዞን ውጪ ያሉ ኳሶች ልክ እንዳልሆኑ ይቆጠራሉ።</v>
      </c>
    </row>
    <row r="186" ht="22.5" customHeight="1">
      <c r="A186" s="10">
        <v>185.0</v>
      </c>
      <c r="B186" s="11" t="s">
        <v>2843</v>
      </c>
      <c r="C186" s="11" t="s">
        <v>2844</v>
      </c>
      <c r="D186" s="11" t="s">
        <v>2345</v>
      </c>
      <c r="E186" s="11" t="s">
        <v>2845</v>
      </c>
      <c r="G186" s="11" t="str">
        <f>IFERROR(__xludf.DUMMYFUNCTION("GOOGLETRANSLATE(A186, ""en"", ""am"")"),"185")</f>
        <v>185</v>
      </c>
      <c r="H186" s="11" t="str">
        <f>IFERROR(__xludf.DUMMYFUNCTION("GOOGLETRANSLATE(B186, ""en"", ""am"")"),"አንድ ተጫዋች ኳሱን ይጥላል፣ ነገር ግን መጨረሻው በቡድናቸው መሣሪያ ቦርሳ ውስጥ ነው። ምን ይሆናል?")</f>
        <v>አንድ ተጫዋች ኳሱን ይጥላል፣ ነገር ግን መጨረሻው በቡድናቸው መሣሪያ ቦርሳ ውስጥ ነው። ምን ይሆናል?</v>
      </c>
      <c r="I186" s="11" t="str">
        <f>IFERROR(__xludf.DUMMYFUNCTION("GOOGLETRANSLATE(C186, ""en"", ""am"")"),"ሀ. መወርወሩ ልክ ያልሆነ ነው.ቢ. ውርወራው በድጋሚ ተጫውቷል.ሲ. ነጥቦች በግማሽ ተከፍለዋል። ዳኛው ይወስናል።")</f>
        <v>ሀ. መወርወሩ ልክ ያልሆነ ነው.ቢ. ውርወራው በድጋሚ ተጫውቷል.ሲ. ነጥቦች በግማሽ ተከፍለዋል። ዳኛው ይወስናል።</v>
      </c>
      <c r="J186" s="11" t="str">
        <f>IFERROR(__xludf.DUMMYFUNCTION("GOOGLETRANSLATE(D186, ""en"", ""am"")"),"መወርወሩ ልክ ያልሆነ ነው።")</f>
        <v>መወርወሩ ልክ ያልሆነ ነው።</v>
      </c>
      <c r="K186" s="11" t="str">
        <f>IFERROR(__xludf.DUMMYFUNCTION("GOOGLETRANSLATE(E186, ""en"", ""am"")"),"ባልፀደቁ ቦታዎች ላይ እንደ መሳሪያ ያሉ ኳሶች ልክ አይደሉም።")</f>
        <v>ባልፀደቁ ቦታዎች ላይ እንደ መሳሪያ ያሉ ኳሶች ልክ አይደሉም።</v>
      </c>
    </row>
    <row r="187" ht="22.5" customHeight="1">
      <c r="A187" s="10">
        <v>186.0</v>
      </c>
      <c r="B187" s="11" t="s">
        <v>2846</v>
      </c>
      <c r="C187" s="11" t="s">
        <v>2711</v>
      </c>
      <c r="D187" s="11" t="s">
        <v>2692</v>
      </c>
      <c r="E187" s="11" t="s">
        <v>2712</v>
      </c>
      <c r="G187" s="11" t="str">
        <f>IFERROR(__xludf.DUMMYFUNCTION("GOOGLETRANSLATE(A187, ""en"", ""am"")"),"186")</f>
        <v>186</v>
      </c>
      <c r="H187" s="11" t="str">
        <f>IFERROR(__xludf.DUMMYFUNCTION("GOOGLETRANSLATE(B187, ""en"", ""am"")"),"በጨዋታው ወቅት ዒላማው ወደ ኩሬው ጠርዝ ይንቀሳቀሳል. ምን ይሆናል?")</f>
        <v>በጨዋታው ወቅት ዒላማው ወደ ኩሬው ጠርዝ ይንቀሳቀሳል. ምን ይሆናል?</v>
      </c>
      <c r="I187" s="11" t="str">
        <f>IFERROR(__xludf.DUMMYFUNCTION("GOOGLETRANSLATE(C187, ""en"", ""am"")"),"ሀ. ዒላማው ትክክለኛ ነው.ቢ. ዒላማው እንደገና ተጀምሯል.ሲ. ዙሩ በድጋሚ ተጫውቷል.ዲ. ነጥቦች በግማሽ ተቀነሱ")</f>
        <v>ሀ. ዒላማው ትክክለኛ ነው.ቢ. ዒላማው እንደገና ተጀምሯል.ሲ. ዙሩ በድጋሚ ተጫውቷል.ዲ. ነጥቦች በግማሽ ተቀነሱ</v>
      </c>
      <c r="J187" s="11" t="str">
        <f>IFERROR(__xludf.DUMMYFUNCTION("GOOGLETRANSLATE(D187, ""en"", ""am"")"),"ዒላማው ትክክለኛ ነው።")</f>
        <v>ዒላማው ትክክለኛ ነው።</v>
      </c>
      <c r="K187" s="11" t="str">
        <f>IFERROR(__xludf.DUMMYFUNCTION("GOOGLETRANSLATE(E187, ""en"", ""am"")"),"ዒላማው ላይ መድረስ እስከተቻለ ድረስ የሚሰራ ሆኖ ይቆያል።")</f>
        <v>ዒላማው ላይ መድረስ እስከተቻለ ድረስ የሚሰራ ሆኖ ይቆያል።</v>
      </c>
    </row>
    <row r="188" ht="22.5" customHeight="1">
      <c r="A188" s="10">
        <v>187.0</v>
      </c>
      <c r="B188" s="11" t="s">
        <v>2847</v>
      </c>
      <c r="C188" s="11" t="s">
        <v>2848</v>
      </c>
      <c r="D188" s="11" t="s">
        <v>2849</v>
      </c>
      <c r="E188" s="11" t="s">
        <v>2850</v>
      </c>
      <c r="G188" s="11" t="str">
        <f>IFERROR(__xludf.DUMMYFUNCTION("GOOGLETRANSLATE(A188, ""en"", ""am"")"),"187")</f>
        <v>187</v>
      </c>
      <c r="H188" s="11" t="str">
        <f>IFERROR(__xludf.DUMMYFUNCTION("GOOGLETRANSLATE(B188, ""en"", ""am"")"),"ኳስህ ኢላማውን ከነካ በኋላ የዳኛውን ወንበር ይመታል። ምን ይሆናል?")</f>
        <v>ኳስህ ኢላማውን ከነካ በኋላ የዳኛውን ወንበር ይመታል። ምን ይሆናል?</v>
      </c>
      <c r="I188" s="11" t="str">
        <f>IFERROR(__xludf.DUMMYFUNCTION("GOOGLETRANSLATE(C188, ""en"", ""am"")"),"ሀ. መወርወሩ ልክ ያልሆነ ነው.ቢ. የተሸለሙ ነጥቦች ሲ. ዙሩ በድጋሚ ተጫውቷል.ዲ. ዳኛው ይወስናል።")</f>
        <v>ሀ. መወርወሩ ልክ ያልሆነ ነው.ቢ. የተሸለሙ ነጥቦች ሲ. ዙሩ በድጋሚ ተጫውቷል.ዲ. ዳኛው ይወስናል።</v>
      </c>
      <c r="J188" s="11" t="str">
        <f>IFERROR(__xludf.DUMMYFUNCTION("GOOGLETRANSLATE(D188, ""en"", ""am"")"),"የተሸለሙ ነጥቦች")</f>
        <v>የተሸለሙ ነጥቦች</v>
      </c>
      <c r="K188" s="11" t="str">
        <f>IFERROR(__xludf.DUMMYFUNCTION("GOOGLETRANSLATE(E188, ""en"", ""am"")"),"ምንም አይነት ጣልቃ ገብነት ምንም ይሁን ምን ኳሱ መጀመሪያ ዒላማውን ቢመታ ነጥቦች ይሸለማሉ።")</f>
        <v>ምንም አይነት ጣልቃ ገብነት ምንም ይሁን ምን ኳሱ መጀመሪያ ዒላማውን ቢመታ ነጥቦች ይሸለማሉ።</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4" width="37.63"/>
    <col customWidth="1" min="5" max="5" width="32.0"/>
    <col customWidth="1" min="7" max="7" width="11.38"/>
    <col customWidth="1" min="8" max="9" width="37.63"/>
    <col customWidth="1" min="10" max="10" width="33.0"/>
    <col customWidth="1" min="11" max="11" width="31.88"/>
  </cols>
  <sheetData>
    <row r="1" ht="22.5" customHeight="1">
      <c r="A1" s="1" t="s">
        <v>0</v>
      </c>
      <c r="B1" s="1" t="s">
        <v>1</v>
      </c>
      <c r="C1" s="1" t="s">
        <v>2</v>
      </c>
      <c r="D1" s="1" t="s">
        <v>3</v>
      </c>
      <c r="E1" s="1" t="s">
        <v>4</v>
      </c>
      <c r="F1" s="2"/>
      <c r="G1" s="12" t="s">
        <v>2184</v>
      </c>
      <c r="H1" s="12" t="s">
        <v>2185</v>
      </c>
      <c r="I1" s="12" t="s">
        <v>2186</v>
      </c>
      <c r="J1" s="12" t="s">
        <v>2187</v>
      </c>
      <c r="K1" s="12" t="s">
        <v>2188</v>
      </c>
      <c r="L1" s="2"/>
      <c r="M1" s="2"/>
      <c r="N1" s="2"/>
      <c r="O1" s="2"/>
      <c r="P1" s="2"/>
      <c r="Q1" s="2"/>
      <c r="R1" s="2"/>
      <c r="S1" s="2"/>
      <c r="T1" s="2"/>
      <c r="U1" s="2"/>
    </row>
    <row r="2" ht="22.5" customHeight="1">
      <c r="A2" s="10">
        <v>1.0</v>
      </c>
      <c r="B2" s="11" t="s">
        <v>2851</v>
      </c>
      <c r="C2" s="11" t="s">
        <v>2852</v>
      </c>
      <c r="D2" s="11" t="s">
        <v>2853</v>
      </c>
      <c r="E2" s="11" t="s">
        <v>2854</v>
      </c>
      <c r="G2" s="11" t="str">
        <f>IFERROR(__xludf.DUMMYFUNCTION("GOOGLETRANSLATE(A2, ""en"", ""am"")"),"1")</f>
        <v>1</v>
      </c>
      <c r="H2" s="11" t="str">
        <f>IFERROR(__xludf.DUMMYFUNCTION("GOOGLETRANSLATE(B2, ""en"", ""am"")"),"በሲዳማ ግጥሚያ ወቅት ተጋጣሚህ ወገብህን ነጥቆ ሊያነሳህ ይሞክራል። ይህን እርምጃ እንዴት መቃወም አለብህ?")</f>
        <v>በሲዳማ ግጥሚያ ወቅት ተጋጣሚህ ወገብህን ነጥቆ ሊያነሳህ ይሞክራል። ይህን እርምጃ እንዴት መቃወም አለብህ?</v>
      </c>
      <c r="I2" s="11" t="str">
        <f>IFERROR(__xludf.DUMMYFUNCTION("GOOGLETRANSLATE(C2, ""en"", ""am"")"),"ሀ. ማንሻውን ለማገድ እግሮችዎን ይጠቀሙ። ትከሻቸውን ወደ ኋላ ይግፉት.C. ከመያዛቸው ለማምለጥ ይሞክሩ ዲ. በእግራቸው ያቆዩዋቸው.")</f>
        <v>ሀ. ማንሻውን ለማገድ እግሮችዎን ይጠቀሙ። ትከሻቸውን ወደ ኋላ ይግፉት.C. ከመያዛቸው ለማምለጥ ይሞክሩ ዲ. በእግራቸው ያቆዩዋቸው.</v>
      </c>
      <c r="J2" s="11" t="str">
        <f>IFERROR(__xludf.DUMMYFUNCTION("GOOGLETRANSLATE(D2, ""en"", ""am"")"),"ማንሻውን ለማገድ እግሮችዎን ይጠቀሙ።")</f>
        <v>ማንሻውን ለማገድ እግሮችዎን ይጠቀሙ።</v>
      </c>
      <c r="K2" s="11" t="str">
        <f>IFERROR(__xludf.DUMMYFUNCTION("GOOGLETRANSLATE(E2, ""en"", ""am"")"),"ማንሻውን በእግሮችዎ ማገድ ተቃዋሚው እንዳይቆጣጠር ይከላከላል።")</f>
        <v>ማንሻውን በእግሮችዎ ማገድ ተቃዋሚው እንዳይቆጣጠር ይከላከላል።</v>
      </c>
    </row>
    <row r="3" ht="22.5" customHeight="1">
      <c r="A3" s="10">
        <v>2.0</v>
      </c>
      <c r="B3" s="11" t="s">
        <v>2855</v>
      </c>
      <c r="C3" s="11" t="s">
        <v>2856</v>
      </c>
      <c r="D3" s="11" t="s">
        <v>2857</v>
      </c>
      <c r="E3" s="11" t="s">
        <v>2858</v>
      </c>
      <c r="G3" s="11" t="str">
        <f>IFERROR(__xludf.DUMMYFUNCTION("GOOGLETRANSLATE(A3, ""en"", ""am"")"),"2")</f>
        <v>2</v>
      </c>
      <c r="H3" s="11" t="str">
        <f>IFERROR(__xludf.DUMMYFUNCTION("GOOGLETRANSLATE(B3, ""en"", ""am"")"),"ወጣ ገባ መሬት ላይ ልትታገል ነው። ሚዛንህን ለመጠበቅ ምን ማድረግ አለብህ?")</f>
        <v>ወጣ ገባ መሬት ላይ ልትታገል ነው። ሚዛንህን ለመጠበቅ ምን ማድረግ አለብህ?</v>
      </c>
      <c r="I3" s="11" t="str">
        <f>IFERROR(__xludf.DUMMYFUNCTION("GOOGLETRANSLATE(C3, ""en"", ""am"")"),"ሀ. አቀማመጥህን አስተካክል እና የስበትህን ማዕከል ዝቅ አድርግ። ፈጣን እንቅስቃሴዎች ላይ አተኩር.ሲ. ጠንካራ እንቅስቃሴዎችን ያስወግዱ D. በአንድ እግር ላይ ለመቆም ይሞክሩ.")</f>
        <v>ሀ. አቀማመጥህን አስተካክል እና የስበትህን ማዕከል ዝቅ አድርግ። ፈጣን እንቅስቃሴዎች ላይ አተኩር.ሲ. ጠንካራ እንቅስቃሴዎችን ያስወግዱ D. በአንድ እግር ላይ ለመቆም ይሞክሩ.</v>
      </c>
      <c r="J3" s="11" t="str">
        <f>IFERROR(__xludf.DUMMYFUNCTION("GOOGLETRANSLATE(D3, ""en"", ""am"")"),"አቀማመጥዎን ያስተካክሉ እና የስበት ማእከልዎን ዝቅ ያድርጉ")</f>
        <v>አቀማመጥዎን ያስተካክሉ እና የስበት ማእከልዎን ዝቅ ያድርጉ</v>
      </c>
      <c r="K3" s="11" t="str">
        <f>IFERROR(__xludf.DUMMYFUNCTION("GOOGLETRANSLATE(E3, ""en"", ""am"")"),"የስበት ኃይልን መሃከል ዝቅ ማድረግ ባልተስተካከለ መሬት ላይ መረጋጋት እንዲኖር ይረዳል።")</f>
        <v>የስበት ኃይልን መሃከል ዝቅ ማድረግ ባልተስተካከለ መሬት ላይ መረጋጋት እንዲኖር ይረዳል።</v>
      </c>
    </row>
    <row r="4" ht="22.5" customHeight="1">
      <c r="A4" s="10">
        <v>3.0</v>
      </c>
      <c r="B4" s="11" t="s">
        <v>2859</v>
      </c>
      <c r="C4" s="11" t="s">
        <v>2860</v>
      </c>
      <c r="D4" s="11" t="s">
        <v>2861</v>
      </c>
      <c r="E4" s="11" t="s">
        <v>2862</v>
      </c>
      <c r="G4" s="11" t="str">
        <f>IFERROR(__xludf.DUMMYFUNCTION("GOOGLETRANSLATE(A4, ""en"", ""am"")"),"3")</f>
        <v>3</v>
      </c>
      <c r="H4" s="11" t="str">
        <f>IFERROR(__xludf.DUMMYFUNCTION("GOOGLETRANSLATE(B4, ""en"", ""am"")"),"ተቃዋሚዎ ግጥሚያውን መቆጣጠር ይጀምራል እና ወደ ጦርነቱ ቦታ ጠርዝ ይገፋዎታል። ምን ማድረግ አለቦት?")</f>
        <v>ተቃዋሚዎ ግጥሚያውን መቆጣጠር ይጀምራል እና ወደ ጦርነቱ ቦታ ጠርዝ ይገፋዎታል። ምን ማድረግ አለቦት?</v>
      </c>
      <c r="I4" s="11" t="str">
        <f>IFERROR(__xludf.DUMMYFUNCTION("GOOGLETRANSLATE(C4, ""en"", ""am"")"),"ሀ. ቦታውን ለመመለስ ወደ ጎን ያንቀሳቅሱ እና ያሽከርክሩ.ቢ. በሙሉ ሃይል ወደ ኋላ ግፉ። ዳግም ለመጀመር ሆን ተብሎ ውጣ.ዲ. መሬትዎን ይያዙ እና ይጠብቁት።")</f>
        <v>ሀ. ቦታውን ለመመለስ ወደ ጎን ያንቀሳቅሱ እና ያሽከርክሩ.ቢ. በሙሉ ሃይል ወደ ኋላ ግፉ። ዳግም ለመጀመር ሆን ተብሎ ውጣ.ዲ. መሬትዎን ይያዙ እና ይጠብቁት።</v>
      </c>
      <c r="J4" s="11" t="str">
        <f>IFERROR(__xludf.DUMMYFUNCTION("GOOGLETRANSLATE(D4, ""en"", ""am"")"),"ቦታውን መልሰው ለማግኘት ወደ ጎን ያንቀሳቅሱ እና ያሽከርክሩ።")</f>
        <v>ቦታውን መልሰው ለማግኘት ወደ ጎን ያንቀሳቅሱ እና ያሽከርክሩ።</v>
      </c>
      <c r="K4" s="11" t="str">
        <f>IFERROR(__xludf.DUMMYFUNCTION("GOOGLETRANSLATE(E4, ""en"", ""am"")"),"ወደ ጎን መውጣት ግፊቱን ለማምለጥ እና ወደ ገለልተኛ ቦታ እንዲመለሱ ያስችልዎታል.")</f>
        <v>ወደ ጎን መውጣት ግፊቱን ለማምለጥ እና ወደ ገለልተኛ ቦታ እንዲመለሱ ያስችልዎታል.</v>
      </c>
    </row>
    <row r="5" ht="22.5" customHeight="1">
      <c r="A5" s="10">
        <v>4.0</v>
      </c>
      <c r="B5" s="11" t="s">
        <v>2863</v>
      </c>
      <c r="C5" s="11" t="s">
        <v>2864</v>
      </c>
      <c r="D5" s="11" t="s">
        <v>2865</v>
      </c>
      <c r="E5" s="11" t="s">
        <v>2866</v>
      </c>
      <c r="G5" s="11" t="str">
        <f>IFERROR(__xludf.DUMMYFUNCTION("GOOGLETRANSLATE(A5, ""en"", ""am"")"),"4")</f>
        <v>4</v>
      </c>
      <c r="H5" s="11" t="str">
        <f>IFERROR(__xludf.DUMMYFUNCTION("GOOGLETRANSLATE(B5, ""en"", ""am"")"),"ግጥሚያው ተጀምሯል፣ እና ተቃዋሚዎ በቀኝዎ በኩል ጥቃት ይሰነዝራል። ምን ምላሽ ትሰጣለህ?")</f>
        <v>ግጥሚያው ተጀምሯል፣ እና ተቃዋሚዎ በቀኝዎ በኩል ጥቃት ይሰነዝራል። ምን ምላሽ ትሰጣለህ?</v>
      </c>
      <c r="I5" s="11" t="str">
        <f>IFERROR(__xludf.DUMMYFUNCTION("GOOGLETRANSLATE(C5, ""en"", ""am"")"),"ሀ. ተረጋግተህ የመከላከል አቋምህን ጠብቅ.B. በኃይል ወደፊት ይንፉ.ሲ. ለመቃወም ወደ ቀኝ ተንቀሳቀስ ዲ. እጆችዎን ወደ ጎን ያንቀሳቅሱ.")</f>
        <v>ሀ. ተረጋግተህ የመከላከል አቋምህን ጠብቅ.B. በኃይል ወደፊት ይንፉ.ሲ. ለመቃወም ወደ ቀኝ ተንቀሳቀስ ዲ. እጆችዎን ወደ ጎን ያንቀሳቅሱ.</v>
      </c>
      <c r="J5" s="11" t="str">
        <f>IFERROR(__xludf.DUMMYFUNCTION("GOOGLETRANSLATE(D5, ""en"", ""am"")"),"ይረጋጉ እና የመከላከያ አቋምዎን ይጠብቁ።")</f>
        <v>ይረጋጉ እና የመከላከያ አቋምዎን ይጠብቁ።</v>
      </c>
      <c r="K5" s="11" t="str">
        <f>IFERROR(__xludf.DUMMYFUNCTION("GOOGLETRANSLATE(E5, ""en"", ""am"")"),"የመከላከያ አቋም በመጥፎው ላይ ከመጠን በላይ ምላሽ እንዳይሰጡ ይከላከላል.")</f>
        <v>የመከላከያ አቋም በመጥፎው ላይ ከመጠን በላይ ምላሽ እንዳይሰጡ ይከላከላል.</v>
      </c>
    </row>
    <row r="6" ht="22.5" customHeight="1">
      <c r="A6" s="10">
        <v>5.0</v>
      </c>
      <c r="B6" s="11" t="s">
        <v>2867</v>
      </c>
      <c r="C6" s="11" t="s">
        <v>2868</v>
      </c>
      <c r="D6" s="11" t="s">
        <v>2869</v>
      </c>
      <c r="E6" s="11" t="s">
        <v>2870</v>
      </c>
      <c r="G6" s="11" t="str">
        <f>IFERROR(__xludf.DUMMYFUNCTION("GOOGLETRANSLATE(A6, ""en"", ""am"")"),"5")</f>
        <v>5</v>
      </c>
      <c r="H6" s="11" t="str">
        <f>IFERROR(__xludf.DUMMYFUNCTION("GOOGLETRANSLATE(B6, ""en"", ""am"")"),"በጨዋታው ጊዜ ይንሸራተታሉ፣ እና ተቃዋሚዎ ወዲያውኑ እሱን ለመጠቀም ይሞክራል። በጣም ጥሩው እንቅስቃሴ ምንድነው?")</f>
        <v>በጨዋታው ጊዜ ይንሸራተታሉ፣ እና ተቃዋሚዎ ወዲያውኑ እሱን ለመጠቀም ይሞክራል። በጣም ጥሩው እንቅስቃሴ ምንድነው?</v>
      </c>
      <c r="I6" s="11" t="str">
        <f>IFERROR(__xludf.DUMMYFUNCTION("GOOGLETRANSLATE(C6, ""en"", ""am"")"),"ሀ. በፍጥነት ወደ እግርዎ ይመለሱ እና እራስዎን ይንከባከቡ.B. ተቃዋሚዎን ከእርስዎ ጋር ይጎትቱ ሲ. ሲወድቁ ግፋቸው.ዲ. ዳኛው ጨዋታውን ለአፍታ እንዲያቆም ይጠይቁት።")</f>
        <v>ሀ. በፍጥነት ወደ እግርዎ ይመለሱ እና እራስዎን ይንከባከቡ.B. ተቃዋሚዎን ከእርስዎ ጋር ይጎትቱ ሲ. ሲወድቁ ግፋቸው.ዲ. ዳኛው ጨዋታውን ለአፍታ እንዲያቆም ይጠይቁት።</v>
      </c>
      <c r="J6" s="11" t="str">
        <f>IFERROR(__xludf.DUMMYFUNCTION("GOOGLETRANSLATE(D6, ""en"", ""am"")"),"በፍጥነት ወደ እግርዎ ይመለሱ እና እራስዎን ይንከባከቡ.")</f>
        <v>በፍጥነት ወደ እግርዎ ይመለሱ እና እራስዎን ይንከባከቡ.</v>
      </c>
      <c r="K6" s="11" t="str">
        <f>IFERROR(__xludf.DUMMYFUNCTION("GOOGLETRANSLATE(E6, ""en"", ""am"")"),"በፍጥነት ማገገም ግጥሚያውን የማጣት አደጋን ይቀንሳል።")</f>
        <v>በፍጥነት ማገገም ግጥሚያውን የማጣት አደጋን ይቀንሳል።</v>
      </c>
    </row>
    <row r="7" ht="22.5" customHeight="1">
      <c r="A7" s="10">
        <v>6.0</v>
      </c>
      <c r="B7" s="11" t="s">
        <v>2871</v>
      </c>
      <c r="C7" s="11" t="s">
        <v>2872</v>
      </c>
      <c r="D7" s="11" t="s">
        <v>2873</v>
      </c>
      <c r="E7" s="11" t="s">
        <v>2874</v>
      </c>
      <c r="G7" s="11" t="str">
        <f>IFERROR(__xludf.DUMMYFUNCTION("GOOGLETRANSLATE(A7, ""en"", ""am"")"),"6")</f>
        <v>6</v>
      </c>
      <c r="H7" s="11" t="str">
        <f>IFERROR(__xludf.DUMMYFUNCTION("GOOGLETRANSLATE(B7, ""en"", ""am"")"),"ተቃዋሚህ ካንተ በጣም ይበልጣል። ወደ ግጥሚያው እንዴት መቅረብ አለብዎት?")</f>
        <v>ተቃዋሚህ ካንተ በጣም ይበልጣል። ወደ ግጥሚያው እንዴት መቅረብ አለብዎት?</v>
      </c>
      <c r="I7" s="11" t="str">
        <f>IFERROR(__xludf.DUMMYFUNCTION("GOOGLETRANSLATE(C7, ""en"", ""am"")"),"ሀ. በእግራቸው እና በታችኛው የሰውነት ክፍል ላይ ያተኩሩ. ለላይኛው የሰውነት ጥንካሬ ዓላማ. ተሳትፎን ያስወግዱ እና ስህተቶቻቸውን ይከታተሉ.ዲ. እነሱን ለማስደነቅ ፈጣን ሳንባዎችን ይጠቀሙ።")</f>
        <v>ሀ. በእግራቸው እና በታችኛው የሰውነት ክፍል ላይ ያተኩሩ. ለላይኛው የሰውነት ጥንካሬ ዓላማ. ተሳትፎን ያስወግዱ እና ስህተቶቻቸውን ይከታተሉ.ዲ. እነሱን ለማስደነቅ ፈጣን ሳንባዎችን ይጠቀሙ።</v>
      </c>
      <c r="J7" s="11" t="str">
        <f>IFERROR(__xludf.DUMMYFUNCTION("GOOGLETRANSLATE(D7, ""en"", ""am"")"),"በእግራቸው እና በታችኛው አካል ላይ ያተኩሩ")</f>
        <v>በእግራቸው እና በታችኛው አካል ላይ ያተኩሩ</v>
      </c>
      <c r="K7" s="11" t="str">
        <f>IFERROR(__xludf.DUMMYFUNCTION("GOOGLETRANSLATE(E7, ""en"", ""am"")"),"የታችኛውን ሰውነታቸውን ማነጣጠር የከፍታ ጥቅማቸውን ያስወግዳል.")</f>
        <v>የታችኛውን ሰውነታቸውን ማነጣጠር የከፍታ ጥቅማቸውን ያስወግዳል.</v>
      </c>
    </row>
    <row r="8" ht="22.5" customHeight="1">
      <c r="A8" s="10">
        <v>7.0</v>
      </c>
      <c r="B8" s="11" t="s">
        <v>2875</v>
      </c>
      <c r="C8" s="11" t="s">
        <v>2876</v>
      </c>
      <c r="D8" s="11" t="s">
        <v>2877</v>
      </c>
      <c r="E8" s="11" t="s">
        <v>2878</v>
      </c>
      <c r="G8" s="11" t="str">
        <f>IFERROR(__xludf.DUMMYFUNCTION("GOOGLETRANSLATE(A8, ""en"", ""am"")"),"7")</f>
        <v>7</v>
      </c>
      <c r="H8" s="11" t="str">
        <f>IFERROR(__xludf.DUMMYFUNCTION("GOOGLETRANSLATE(B8, ""en"", ""am"")"),"ግጥሚያው ይጀምራል፣ እና ተቃዋሚዎ ለእርስዎ ኃይለኛ ክፍያ ይጠቀማል። እንዴት ነው የምትይዘው?")</f>
        <v>ግጥሚያው ይጀምራል፣ እና ተቃዋሚዎ ለእርስዎ ኃይለኛ ክፍያ ይጠቀማል። እንዴት ነው የምትይዘው?</v>
      </c>
      <c r="I8" s="11" t="str">
        <f>IFERROR(__xludf.DUMMYFUNCTION("GOOGLETRANSLATE(C8, ""en"", ""am"")"),"ሀ. ወደ ጎን እና ቆጣቢ.B. ጠንክረህ ተነሳ ለተፅዕኖ ተነሳ። ጉዳያቸውን ለማሸነፍ ሞክር ዲ. በጉልበት መልሳቸው።")</f>
        <v>ሀ. ወደ ጎን እና ቆጣቢ.B. ጠንክረህ ተነሳ ለተፅዕኖ ተነሳ። ጉዳያቸውን ለማሸነፍ ሞክር ዲ. በጉልበት መልሳቸው።</v>
      </c>
      <c r="J8" s="11" t="str">
        <f>IFERROR(__xludf.DUMMYFUNCTION("GOOGLETRANSLATE(D8, ""en"", ""am"")"),"ወደ ጎን ይሂዱ እና ቆጣሪ።")</f>
        <v>ወደ ጎን ይሂዱ እና ቆጣሪ።</v>
      </c>
      <c r="K8" s="11" t="str">
        <f>IFERROR(__xludf.DUMMYFUNCTION("GOOGLETRANSLATE(E8, ""en"", ""am"")"),"መደበቅ ከመጠን በላይ መጨናነቅን ይከላከላል እና ለመልሶ ማጥቃት ይዘጋጃል።")</f>
        <v>መደበቅ ከመጠን በላይ መጨናነቅን ይከላከላል እና ለመልሶ ማጥቃት ይዘጋጃል።</v>
      </c>
    </row>
    <row r="9" ht="22.5" customHeight="1">
      <c r="A9" s="10">
        <v>8.0</v>
      </c>
      <c r="B9" s="11" t="s">
        <v>2879</v>
      </c>
      <c r="C9" s="11" t="s">
        <v>2880</v>
      </c>
      <c r="D9" s="11" t="s">
        <v>2881</v>
      </c>
      <c r="E9" s="11" t="s">
        <v>2882</v>
      </c>
      <c r="G9" s="11" t="str">
        <f>IFERROR(__xludf.DUMMYFUNCTION("GOOGLETRANSLATE(A9, ""en"", ""am"")"),"8")</f>
        <v>8</v>
      </c>
      <c r="H9" s="11" t="str">
        <f>IFERROR(__xludf.DUMMYFUNCTION("GOOGLETRANSLATE(B9, ""en"", ""am"")"),"ጨዋታው እየገፋ ሲሄድ ተቃዋሚዎ እየደከመ መሆኑን ያስተውላሉ። ስትራቴጂዎን እንዴት ማላመድ አለብዎት?")</f>
        <v>ጨዋታው እየገፋ ሲሄድ ተቃዋሚዎ እየደከመ መሆኑን ያስተውላሉ። ስትራቴጂዎን እንዴት ማላመድ አለብዎት?</v>
      </c>
      <c r="I9" s="11" t="str">
        <f>IFERROR(__xludf.DUMMYFUNCTION("GOOGLETRANSLATE(C9, ""en"", ""am"")"),"ሀ. አፀያፊ እንቅስቃሴዎችዎን ያሳድጉ ለ. የመከላከል አቋምህን ጠብቅ.ሲ. አላስፈላጊ አደጋዎችን ለማስወገድ ወደ ኋላ ይመለሱ ዲ. የጊዜ ማብቂያ ጠይቅ")</f>
        <v>ሀ. አፀያፊ እንቅስቃሴዎችዎን ያሳድጉ ለ. የመከላከል አቋምህን ጠብቅ.ሲ. አላስፈላጊ አደጋዎችን ለማስወገድ ወደ ኋላ ይመለሱ ዲ. የጊዜ ማብቂያ ጠይቅ</v>
      </c>
      <c r="J9" s="11" t="str">
        <f>IFERROR(__xludf.DUMMYFUNCTION("GOOGLETRANSLATE(D9, ""en"", ""am"")"),"አፀያፊ እንቅስቃሴዎችዎን ያሳድጉ")</f>
        <v>አፀያፊ እንቅስቃሴዎችዎን ያሳድጉ</v>
      </c>
      <c r="K9" s="11" t="str">
        <f>IFERROR(__xludf.DUMMYFUNCTION("GOOGLETRANSLATE(E9, ""en"", ""am"")"),"የተፎካካሪህን ድካም በገንዘብ ማግኘቱ የማሸነፍ እድሎህን ይጨምራል።")</f>
        <v>የተፎካካሪህን ድካም በገንዘብ ማግኘቱ የማሸነፍ እድሎህን ይጨምራል።</v>
      </c>
    </row>
    <row r="10" ht="22.5" customHeight="1">
      <c r="A10" s="10">
        <v>9.0</v>
      </c>
      <c r="B10" s="11" t="s">
        <v>2883</v>
      </c>
      <c r="C10" s="11" t="s">
        <v>2884</v>
      </c>
      <c r="D10" s="11" t="s">
        <v>2885</v>
      </c>
      <c r="E10" s="11" t="s">
        <v>2886</v>
      </c>
      <c r="G10" s="11" t="str">
        <f>IFERROR(__xludf.DUMMYFUNCTION("GOOGLETRANSLATE(A10, ""en"", ""am"")"),"9")</f>
        <v>9</v>
      </c>
      <c r="H10" s="11" t="str">
        <f>IFERROR(__xludf.DUMMYFUNCTION("GOOGLETRANSLATE(B10, ""en"", ""am"")"),"በጨዋታው ወቅት ተቃዋሚዎ እርስዎን ማሾፍ ይጀምራል። ምን ምላሽ መስጠት አለቦት?")</f>
        <v>በጨዋታው ወቅት ተቃዋሚዎ እርስዎን ማሾፍ ይጀምራል። ምን ምላሽ መስጠት አለቦት?</v>
      </c>
      <c r="I10" s="11" t="str">
        <f>IFERROR(__xludf.DUMMYFUNCTION("GOOGLETRANSLATE(C10, ""en"", ""am"")"),"ሀ. መሳለቂያውን ችላ በል እና በአንተ ስልት ላይ አተኩር.B. መተማመናቸውን ለማሳየት ተሳለቁባቸው። የበላይነትን ለማረጋገጥ በብርቱ ይሳተፉ ዲ. ዳኛው ጣልቃ እንዲገባ ይጠይቁ.")</f>
        <v>ሀ. መሳለቂያውን ችላ በል እና በአንተ ስልት ላይ አተኩር.B. መተማመናቸውን ለማሳየት ተሳለቁባቸው። የበላይነትን ለማረጋገጥ በብርቱ ይሳተፉ ዲ. ዳኛው ጣልቃ እንዲገባ ይጠይቁ.</v>
      </c>
      <c r="J10" s="11" t="str">
        <f>IFERROR(__xludf.DUMMYFUNCTION("GOOGLETRANSLATE(D10, ""en"", ""am"")"),"መሳለቂያውን ችላ በል እና በአንተ ስልት ላይ አተኩር።")</f>
        <v>መሳለቂያውን ችላ በል እና በአንተ ስልት ላይ አተኩር።</v>
      </c>
      <c r="K10" s="11" t="str">
        <f>IFERROR(__xludf.DUMMYFUNCTION("GOOGLETRANSLATE(E10, ""en"", ""am"")"),"ትኩረት መስጠት ስሜታዊ መዘናጋትን ይከላከላል እና መረጋጋትዎን ይጠብቃል።")</f>
        <v>ትኩረት መስጠት ስሜታዊ መዘናጋትን ይከላከላል እና መረጋጋትዎን ይጠብቃል።</v>
      </c>
    </row>
    <row r="11" ht="22.5" customHeight="1">
      <c r="A11" s="10">
        <v>10.0</v>
      </c>
      <c r="B11" s="11" t="s">
        <v>2887</v>
      </c>
      <c r="C11" s="11" t="s">
        <v>2888</v>
      </c>
      <c r="D11" s="11" t="s">
        <v>2889</v>
      </c>
      <c r="E11" s="11" t="s">
        <v>2890</v>
      </c>
      <c r="G11" s="11" t="str">
        <f>IFERROR(__xludf.DUMMYFUNCTION("GOOGLETRANSLATE(A11, ""en"", ""am"")"),"10")</f>
        <v>10</v>
      </c>
      <c r="H11" s="11" t="str">
        <f>IFERROR(__xludf.DUMMYFUNCTION("GOOGLETRANSLATE(B11, ""en"", ""am"")"),"ዳኛው ባልጠበቀው ምክንያት ጨዋታውን አቁሟል። ምን ማድረግ አለቦት?")</f>
        <v>ዳኛው ባልጠበቀው ምክንያት ጨዋታውን አቁሟል። ምን ማድረግ አለቦት?</v>
      </c>
      <c r="I11" s="11" t="str">
        <f>IFERROR(__xludf.DUMMYFUNCTION("GOOGLETRANSLATE(C11, ""en"", ""am"")"),"ሀ. በእርጋታ የዳኛውን መመሪያ ጠብቅ.ቢ. ስለ መዘግየቱ ለዳኛው ቅሬታ ያቅርቡ.C. ስትራቴጂ ለማድረግ ለአፍታ ማቆምን ተጠቀም።ዲ. መድረኩን ለጊዜው ይተውት።")</f>
        <v>ሀ. በእርጋታ የዳኛውን መመሪያ ጠብቅ.ቢ. ስለ መዘግየቱ ለዳኛው ቅሬታ ያቅርቡ.C. ስትራቴጂ ለማድረግ ለአፍታ ማቆምን ተጠቀም።ዲ. መድረኩን ለጊዜው ይተውት።</v>
      </c>
      <c r="J11" s="11" t="str">
        <f>IFERROR(__xludf.DUMMYFUNCTION("GOOGLETRANSLATE(D11, ""en"", ""am"")"),"በእርጋታ የዳኛውን መመሪያ ይጠብቁ።")</f>
        <v>በእርጋታ የዳኛውን መመሪያ ይጠብቁ።</v>
      </c>
      <c r="K11" s="11" t="str">
        <f>IFERROR(__xludf.DUMMYFUNCTION("GOOGLETRANSLATE(E11, ""en"", ""am"")"),"የዳኛውን ውሳኔ ማክበር የጨዋታውን ታማኝነት ይጠብቃል።")</f>
        <v>የዳኛውን ውሳኔ ማክበር የጨዋታውን ታማኝነት ይጠብቃል።</v>
      </c>
    </row>
    <row r="12" ht="22.5" customHeight="1">
      <c r="A12" s="10">
        <v>11.0</v>
      </c>
      <c r="B12" s="11" t="s">
        <v>2891</v>
      </c>
      <c r="C12" s="11" t="s">
        <v>2892</v>
      </c>
      <c r="D12" s="11" t="s">
        <v>2893</v>
      </c>
      <c r="E12" s="11" t="s">
        <v>2894</v>
      </c>
      <c r="G12" s="11" t="str">
        <f>IFERROR(__xludf.DUMMYFUNCTION("GOOGLETRANSLATE(A12, ""en"", ""am"")"),"11")</f>
        <v>11</v>
      </c>
      <c r="H12" s="11" t="str">
        <f>IFERROR(__xludf.DUMMYFUNCTION("GOOGLETRANSLATE(B12, ""en"", ""am"")"),"ተቃዋሚዎ ክንድዎን ለመያዝ እየሞከረ ነው። እንዴት ማምለጥ ትችላላችሁ?")</f>
        <v>ተቃዋሚዎ ክንድዎን ለመያዝ እየሞከረ ነው። እንዴት ማምለጥ ትችላላችሁ?</v>
      </c>
      <c r="I12" s="11" t="str">
        <f>IFERROR(__xludf.DUMMYFUNCTION("GOOGLETRANSLATE(C12, ""en"", ""am"")"),"ሀ. ለመልቀቅ ክንድህን በፍጥነት አዙር። አንጓቸውን በሌላ እጃችሁ ግፉ። በሙሉ ጥንካሬህ ወደ ኋላ ጎትት.ዲ. የሚይዙህን ለማዳከም ቀረብ።")</f>
        <v>ሀ. ለመልቀቅ ክንድህን በፍጥነት አዙር። አንጓቸውን በሌላ እጃችሁ ግፉ። በሙሉ ጥንካሬህ ወደ ኋላ ጎትት.ዲ. የሚይዙህን ለማዳከም ቀረብ።</v>
      </c>
      <c r="J12" s="11" t="str">
        <f>IFERROR(__xludf.DUMMYFUNCTION("GOOGLETRANSLATE(D12, ""en"", ""am"")"),"ለመልቀቅ በፍጥነት ክንድህን አዙር።")</f>
        <v>ለመልቀቅ በፍጥነት ክንድህን አዙር።</v>
      </c>
      <c r="K12" s="11" t="str">
        <f>IFERROR(__xludf.DUMMYFUNCTION("GOOGLETRANSLATE(E12, ""en"", ""am"")"),"ማዞር ውጥረትን ይፈጥራል, ለመያዝ አስቸጋሪ ያደርጋቸዋል.")</f>
        <v>ማዞር ውጥረትን ይፈጥራል, ለመያዝ አስቸጋሪ ያደርጋቸዋል.</v>
      </c>
    </row>
    <row r="13" ht="22.5" customHeight="1">
      <c r="A13" s="10">
        <v>12.0</v>
      </c>
      <c r="B13" s="11" t="s">
        <v>2895</v>
      </c>
      <c r="C13" s="11" t="s">
        <v>2896</v>
      </c>
      <c r="D13" s="11" t="s">
        <v>2897</v>
      </c>
      <c r="E13" s="11" t="s">
        <v>2898</v>
      </c>
      <c r="G13" s="11" t="str">
        <f>IFERROR(__xludf.DUMMYFUNCTION("GOOGLETRANSLATE(A13, ""en"", ""am"")"),"12")</f>
        <v>12</v>
      </c>
      <c r="H13" s="11" t="str">
        <f>IFERROR(__xludf.DUMMYFUNCTION("GOOGLETRANSLATE(B13, ""en"", ""am"")"),"ታዳሚው ጮክ ብሎ መደሰት ይጀምራል፣በግጥሚያው ወቅት ትኩረታቸው ይከፋፍላቸዋል። እንደገና እንዲያተኩሩ እንዴት ያደርጋቸዋል?")</f>
        <v>ታዳሚው ጮክ ብሎ መደሰት ይጀምራል፣በግጥሚያው ወቅት ትኩረታቸው ይከፋፍላቸዋል። እንደገና እንዲያተኩሩ እንዴት ያደርጋቸዋል?</v>
      </c>
      <c r="I13" s="11" t="str">
        <f>IFERROR(__xludf.DUMMYFUNCTION("GOOGLETRANSLATE(C13, ""en"", ""am"")"),"ሀ. ዝጋ እና በአተነፋፈስዎ ላይ ያተኩሩ.B. ሥነ ምግባርን ለማሳደግ ከተመልካቾች ጋር ይሳተፉ። ዳኛው ጊዜውን እንዲያበቃ ጠይቅ.ዲ. ከተቃዋሚው ለጥቂት ጊዜ ይራቁ.")</f>
        <v>ሀ. ዝጋ እና በአተነፋፈስዎ ላይ ያተኩሩ.B. ሥነ ምግባርን ለማሳደግ ከተመልካቾች ጋር ይሳተፉ። ዳኛው ጊዜውን እንዲያበቃ ጠይቅ.ዲ. ከተቃዋሚው ለጥቂት ጊዜ ይራቁ.</v>
      </c>
      <c r="J13" s="11" t="str">
        <f>IFERROR(__xludf.DUMMYFUNCTION("GOOGLETRANSLATE(D13, ""en"", ""am"")"),"ዝጋ እና በአተነፋፈስዎ ላይ ያተኩሩ።")</f>
        <v>ዝጋ እና በአተነፋፈስዎ ላይ ያተኩሩ።</v>
      </c>
      <c r="K13" s="11" t="str">
        <f>IFERROR(__xludf.DUMMYFUNCTION("GOOGLETRANSLATE(E13, ""en"", ""am"")"),"የአተነፋፈስ ዘዴዎች ትኩረትን የሚከፋፍሉ ነገሮች ቢኖሩም ትኩረታችሁን መልሰው እንዲያገኙ ይረዳዎታል.")</f>
        <v>የአተነፋፈስ ዘዴዎች ትኩረትን የሚከፋፍሉ ነገሮች ቢኖሩም ትኩረታችሁን መልሰው እንዲያገኙ ይረዳዎታል.</v>
      </c>
    </row>
    <row r="14" ht="22.5" customHeight="1">
      <c r="A14" s="10">
        <v>13.0</v>
      </c>
      <c r="B14" s="11" t="s">
        <v>2899</v>
      </c>
      <c r="C14" s="11" t="s">
        <v>2900</v>
      </c>
      <c r="D14" s="11" t="s">
        <v>2901</v>
      </c>
      <c r="E14" s="11" t="s">
        <v>2902</v>
      </c>
      <c r="G14" s="11" t="str">
        <f>IFERROR(__xludf.DUMMYFUNCTION("GOOGLETRANSLATE(A14, ""en"", ""am"")"),"13")</f>
        <v>13</v>
      </c>
      <c r="H14" s="11" t="str">
        <f>IFERROR(__xludf.DUMMYFUNCTION("GOOGLETRANSLATE(B14, ""en"", ""am"")"),"ተቃዋሚዎ የመከላከያ ስትራቴጂ ይጠቀማል እና መሳተፍን ያስወግዳል። ምን ማድረግ አለቦት?")</f>
        <v>ተቃዋሚዎ የመከላከያ ስትራቴጂ ይጠቀማል እና መሳተፍን ያስወግዳል። ምን ማድረግ አለቦት?</v>
      </c>
      <c r="I14" s="11" t="str">
        <f>IFERROR(__xludf.DUMMYFUNCTION("GOOGLETRANSLATE(C14, ""en"", ""am"")"),"ሀ. ወደ ጥቃት ለመሳብ ፊይንቶችን ይጠቀሙ። የመጀመሪያውን እንቅስቃሴ እስኪያደርጉ ድረስ በትዕግስት ይጠብቁ. መከላከያቸውን ለመስበር በፍጥነት ይሮጡ.ዲ. ዳኛው ጣልቃ እንዲገባ ይጠይቁ.")</f>
        <v>ሀ. ወደ ጥቃት ለመሳብ ፊይንቶችን ይጠቀሙ። የመጀመሪያውን እንቅስቃሴ እስኪያደርጉ ድረስ በትዕግስት ይጠብቁ. መከላከያቸውን ለመስበር በፍጥነት ይሮጡ.ዲ. ዳኛው ጣልቃ እንዲገባ ይጠይቁ.</v>
      </c>
      <c r="J14" s="11" t="str">
        <f>IFERROR(__xludf.DUMMYFUNCTION("GOOGLETRANSLATE(D14, ""en"", ""am"")"),"እነሱን ወደ ጥቃት ለመሳብ ፊይንቶችን ይጠቀሙ።")</f>
        <v>እነሱን ወደ ጥቃት ለመሳብ ፊይንቶችን ይጠቀሙ።</v>
      </c>
      <c r="K14" s="11" t="str">
        <f>IFERROR(__xludf.DUMMYFUNCTION("GOOGLETRANSLATE(E14, ""en"", ""am"")"),"ፌንቶች ምላሽ እንዲሰጡ ያስገድዷቸዋል እና በመከላከል ላይ ክፍተቶችን ይፈጥራሉ.")</f>
        <v>ፌንቶች ምላሽ እንዲሰጡ ያስገድዷቸዋል እና በመከላከል ላይ ክፍተቶችን ይፈጥራሉ.</v>
      </c>
    </row>
    <row r="15" ht="22.5" customHeight="1">
      <c r="A15" s="10">
        <v>14.0</v>
      </c>
      <c r="B15" s="11" t="s">
        <v>2903</v>
      </c>
      <c r="C15" s="11" t="s">
        <v>2904</v>
      </c>
      <c r="D15" s="11" t="s">
        <v>2905</v>
      </c>
      <c r="E15" s="11" t="s">
        <v>2906</v>
      </c>
      <c r="G15" s="11" t="str">
        <f>IFERROR(__xludf.DUMMYFUNCTION("GOOGLETRANSLATE(A15, ""en"", ""am"")"),"14")</f>
        <v>14</v>
      </c>
      <c r="H15" s="11" t="str">
        <f>IFERROR(__xludf.DUMMYFUNCTION("GOOGLETRANSLATE(B15, ""en"", ""am"")"),"ተቃዋሚዎ እግርዎን በመጥረግ ሊያደናቅፍዎት ይሞክራል። እንዴት መቃወም አለብህ?")</f>
        <v>ተቃዋሚዎ እግርዎን በመጥረግ ሊያደናቅፍዎት ይሞክራል። እንዴት መቃወም አለብህ?</v>
      </c>
      <c r="I15" s="11" t="str">
        <f>IFERROR(__xludf.DUMMYFUNCTION("GOOGLETRANSLATE(C15, ""en"", ""am"")"),"ሀ. መጥረጊያውን ለማስወገድ በፍጥነት ወደ ኋላ ይመለሱ.B. በመጥረጊያቸው ላይ ይዝለሉ.ሲ. እየጠራሩ ወደ ታች ይግፏቸው.ዲ. መጥረጊያውን ለማቆም እግራቸውን ይያዙ.")</f>
        <v>ሀ. መጥረጊያውን ለማስወገድ በፍጥነት ወደ ኋላ ይመለሱ.B. በመጥረጊያቸው ላይ ይዝለሉ.ሲ. እየጠራሩ ወደ ታች ይግፏቸው.ዲ. መጥረጊያውን ለማቆም እግራቸውን ይያዙ.</v>
      </c>
      <c r="J15" s="11" t="str">
        <f>IFERROR(__xludf.DUMMYFUNCTION("GOOGLETRANSLATE(D15, ""en"", ""am"")"),"እንዳይጠፋ በፍጥነት ወደ ኋላ መመለስ።")</f>
        <v>እንዳይጠፋ በፍጥነት ወደ ኋላ መመለስ።</v>
      </c>
      <c r="K15" s="11" t="str">
        <f>IFERROR(__xludf.DUMMYFUNCTION("GOOGLETRANSLATE(E15, ""en"", ""am"")"),"ወደ ኋላ መመለስ ጥረታቸውን ያቀዘቅዘዋል እና ሚዛን እንዳይደፋ ያደርግዎታል።")</f>
        <v>ወደ ኋላ መመለስ ጥረታቸውን ያቀዘቅዘዋል እና ሚዛን እንዳይደፋ ያደርግዎታል።</v>
      </c>
    </row>
    <row r="16" ht="22.5" customHeight="1">
      <c r="A16" s="10">
        <v>15.0</v>
      </c>
      <c r="B16" s="11" t="s">
        <v>2907</v>
      </c>
      <c r="C16" s="11" t="s">
        <v>2908</v>
      </c>
      <c r="D16" s="11" t="s">
        <v>2909</v>
      </c>
      <c r="E16" s="11" t="s">
        <v>2910</v>
      </c>
      <c r="G16" s="11" t="str">
        <f>IFERROR(__xludf.DUMMYFUNCTION("GOOGLETRANSLATE(A16, ""en"", ""am"")"),"15")</f>
        <v>15</v>
      </c>
      <c r="H16" s="11" t="str">
        <f>IFERROR(__xludf.DUMMYFUNCTION("GOOGLETRANSLATE(B16, ""en"", ""am"")"),"በጨዋታው ወቅት በድንገት ከድንበር ወጡ። ቀጥሎ ምን ይሆናል?")</f>
        <v>በጨዋታው ወቅት በድንገት ከድንበር ወጡ። ቀጥሎ ምን ይሆናል?</v>
      </c>
      <c r="I16" s="11" t="str">
        <f>IFERROR(__xludf.DUMMYFUNCTION("GOOGLETRANSLATE(C16, ""en"", ""am"")"),"ሀ. ዳኛው ጨዋታውን አቁመው እንደገና አስጀመሩት.ቢ. ነጥብ ታጣለህ.ሲ. ጨዋታው ያለማቋረጥ ቀጠለ።ዲ. ተቃዋሚዎ ጥቅም ያገኛል።")</f>
        <v>ሀ. ዳኛው ጨዋታውን አቁመው እንደገና አስጀመሩት.ቢ. ነጥብ ታጣለህ.ሲ. ጨዋታው ያለማቋረጥ ቀጠለ።ዲ. ተቃዋሚዎ ጥቅም ያገኛል።</v>
      </c>
      <c r="J16" s="11" t="str">
        <f>IFERROR(__xludf.DUMMYFUNCTION("GOOGLETRANSLATE(D16, ""en"", ""am"")"),"ዳኛው ጨዋታውን አቁመው እንደገና አስጀመሩት።")</f>
        <v>ዳኛው ጨዋታውን አቁመው እንደገና አስጀመሩት።</v>
      </c>
      <c r="K16" s="11" t="str">
        <f>IFERROR(__xludf.DUMMYFUNCTION("GOOGLETRANSLATE(E16, ""en"", ""am"")"),"ከድንበሩ ባሻገር መሄድ ወደ ፍትሃዊነት ዳግም ማስጀመር ይመራል።")</f>
        <v>ከድንበሩ ባሻገር መሄድ ወደ ፍትሃዊነት ዳግም ማስጀመር ይመራል።</v>
      </c>
    </row>
    <row r="17" ht="22.5" customHeight="1">
      <c r="A17" s="10">
        <v>16.0</v>
      </c>
      <c r="B17" s="11" t="s">
        <v>2911</v>
      </c>
      <c r="C17" s="11" t="s">
        <v>2912</v>
      </c>
      <c r="D17" s="11" t="s">
        <v>2913</v>
      </c>
      <c r="E17" s="11" t="s">
        <v>2914</v>
      </c>
      <c r="G17" s="11" t="str">
        <f>IFERROR(__xludf.DUMMYFUNCTION("GOOGLETRANSLATE(A17, ""en"", ""am"")"),"16")</f>
        <v>16</v>
      </c>
      <c r="H17" s="11" t="str">
        <f>IFERROR(__xludf.DUMMYFUNCTION("GOOGLETRANSLATE(B17, ""en"", ""am"")"),"ተቃዋሚዎ የእጅ አንጓዎን አጥብቆ ይይዛል እና ለመጠምዘዝ ይሞክራል። ለመቃወም ምን ማድረግ አለቦት?")</f>
        <v>ተቃዋሚዎ የእጅ አንጓዎን አጥብቆ ይይዛል እና ለመጠምዘዝ ይሞክራል። ለመቃወም ምን ማድረግ አለቦት?</v>
      </c>
      <c r="I17" s="11" t="str">
        <f>IFERROR(__xludf.DUMMYFUNCTION("GOOGLETRANSLATE(C17, ""en"", ""am"")"),"ሀ. የእጅ አንጓዎን ወደ ተቃራኒው አቅጣጫ ያሽከርክሩ.ቢ. በሙሉ ኃይል ወደ ኋላ ይጎትቱ። በነጻ እጅህ ገፍፏቸው.ዲ. መያዣውን ለመስበር በፍጥነት ወደኋላ ይሂዱ።")</f>
        <v>ሀ. የእጅ አንጓዎን ወደ ተቃራኒው አቅጣጫ ያሽከርክሩ.ቢ. በሙሉ ኃይል ወደ ኋላ ይጎትቱ። በነጻ እጅህ ገፍፏቸው.ዲ. መያዣውን ለመስበር በፍጥነት ወደኋላ ይሂዱ።</v>
      </c>
      <c r="J17" s="11" t="str">
        <f>IFERROR(__xludf.DUMMYFUNCTION("GOOGLETRANSLATE(D17, ""en"", ""am"")"),"የእጅ አንጓዎን ወደ ተቃራኒው አቅጣጫ ያሽከርክሩ.")</f>
        <v>የእጅ አንጓዎን ወደ ተቃራኒው አቅጣጫ ያሽከርክሩ.</v>
      </c>
      <c r="K17" s="11" t="str">
        <f>IFERROR(__xludf.DUMMYFUNCTION("GOOGLETRANSLATE(E17, ""en"", ""am"")"),"ወደ ተቃራኒው አቅጣጫ መዞር እጆቻቸው እንዲዳከሙ እና እንዲያመልጡ ይረዳቸዋል.")</f>
        <v>ወደ ተቃራኒው አቅጣጫ መዞር እጆቻቸው እንዲዳከሙ እና እንዲያመልጡ ይረዳቸዋል.</v>
      </c>
    </row>
    <row r="18" ht="22.5" customHeight="1">
      <c r="A18" s="10">
        <v>17.0</v>
      </c>
      <c r="B18" s="11" t="s">
        <v>2915</v>
      </c>
      <c r="C18" s="11" t="s">
        <v>2916</v>
      </c>
      <c r="D18" s="11" t="s">
        <v>2917</v>
      </c>
      <c r="E18" s="11" t="s">
        <v>2918</v>
      </c>
      <c r="G18" s="11" t="str">
        <f>IFERROR(__xludf.DUMMYFUNCTION("GOOGLETRANSLATE(A18, ""en"", ""am"")"),"17")</f>
        <v>17</v>
      </c>
      <c r="H18" s="11" t="str">
        <f>IFERROR(__xludf.DUMMYFUNCTION("GOOGLETRANSLATE(B18, ""en"", ""am"")"),"አንተ በነጥብ ትቀድማለህ፣ እና ግጥሚያው ወደ ፍጻሜው እየተቃረበ ነው። እንዴት መጫወት አለብህ?")</f>
        <v>አንተ በነጥብ ትቀድማለህ፣ እና ግጥሚያው ወደ ፍጻሜው እየተቃረበ ነው። እንዴት መጫወት አለብህ?</v>
      </c>
      <c r="I18" s="11" t="str">
        <f>IFERROR(__xludf.DUMMYFUNCTION("GOOGLETRANSLATE(C18, ""en"", ""am"")"),"ሀ. የመከላከል አቋም ይውሰዱ እና አላስፈላጊ አደጋዎችን ያስወግዱB. አጥብቀህ ማጥቃትህን ቀጥል። ተቃዋሚዎን ለመቆጣጠር አደጋ ይውሰዱ። ተመለስ እና ጊዜው አልፏል።")</f>
        <v>ሀ. የመከላከል አቋም ይውሰዱ እና አላስፈላጊ አደጋዎችን ያስወግዱB. አጥብቀህ ማጥቃትህን ቀጥል። ተቃዋሚዎን ለመቆጣጠር አደጋ ይውሰዱ። ተመለስ እና ጊዜው አልፏል።</v>
      </c>
      <c r="J18" s="11" t="str">
        <f>IFERROR(__xludf.DUMMYFUNCTION("GOOGLETRANSLATE(D18, ""en"", ""am"")"),"የመከላከያ አቋም ይውሰዱ እና አላስፈላጊ አደጋዎችን ያስወግዱ")</f>
        <v>የመከላከያ አቋም ይውሰዱ እና አላስፈላጊ አደጋዎችን ያስወግዱ</v>
      </c>
      <c r="K18" s="11" t="str">
        <f>IFERROR(__xludf.DUMMYFUNCTION("GOOGLETRANSLATE(E18, ""en"", ""am"")"),"በመከላከል መጫወት አላስፈላጊ አደጋዎችን ሳይወስዱ መሪነትዎን እንዲጠብቁ ያስችልዎታል።")</f>
        <v>በመከላከል መጫወት አላስፈላጊ አደጋዎችን ሳይወስዱ መሪነትዎን እንዲጠብቁ ያስችልዎታል።</v>
      </c>
    </row>
    <row r="19" ht="22.5" customHeight="1">
      <c r="A19" s="10">
        <v>18.0</v>
      </c>
      <c r="B19" s="11" t="s">
        <v>2919</v>
      </c>
      <c r="C19" s="11" t="s">
        <v>2920</v>
      </c>
      <c r="D19" s="11" t="s">
        <v>2921</v>
      </c>
      <c r="E19" s="11" t="s">
        <v>2922</v>
      </c>
      <c r="G19" s="11" t="str">
        <f>IFERROR(__xludf.DUMMYFUNCTION("GOOGLETRANSLATE(A19, ""en"", ""am"")"),"18")</f>
        <v>18</v>
      </c>
      <c r="H19" s="11" t="str">
        <f>IFERROR(__xludf.DUMMYFUNCTION("GOOGLETRANSLATE(B19, ""en"", ""am"")"),"በጨዋታው ወቅት ተቃዋሚዎ ይንሸራተታል እና ሚዛኑን ያጣል. ምን ማድረግ አለቦት?")</f>
        <v>በጨዋታው ወቅት ተቃዋሚዎ ይንሸራተታል እና ሚዛኑን ያጣል. ምን ማድረግ አለቦት?</v>
      </c>
      <c r="I19" s="11" t="str">
        <f>IFERROR(__xludf.DUMMYFUNCTION("GOOGLETRANSLATE(C19, ""en"", ""am"")"),"ሀ. በማውረድ ፈጣን ካፒታል አድርግ themB. ወደ ኋላ ይመለሱ እና እስኪያገግሙ ድረስ ይጠብቁ። ሚዛናቸውን እንዲመልሱ እርዷቸው.ዲ. ዳኛውን ለአፍታ እንዲያቆም ይጠይቁት።")</f>
        <v>ሀ. በማውረድ ፈጣን ካፒታል አድርግ themB. ወደ ኋላ ይመለሱ እና እስኪያገግሙ ድረስ ይጠብቁ። ሚዛናቸውን እንዲመልሱ እርዷቸው.ዲ. ዳኛውን ለአፍታ እንዲያቆም ይጠይቁት።</v>
      </c>
      <c r="J19" s="11" t="str">
        <f>IFERROR(__xludf.DUMMYFUNCTION("GOOGLETRANSLATE(D19, ""en"", ""am"")"),"እነሱን በማውረድ ፈጣን ካፒታል ያዘጋጁ")</f>
        <v>እነሱን በማውረድ ፈጣን ካፒታል ያዘጋጁ</v>
      </c>
      <c r="K19" s="11" t="str">
        <f>IFERROR(__xludf.DUMMYFUNCTION("GOOGLETRANSLATE(E19, ""en"", ""am"")"),"የእጃቸውን መጨናነቅ በመጠቀም በጨዋታው ውስጥ ወሳኝ ቦታ ይሰጥዎታል።")</f>
        <v>የእጃቸውን መጨናነቅ በመጠቀም በጨዋታው ውስጥ ወሳኝ ቦታ ይሰጥዎታል።</v>
      </c>
    </row>
    <row r="20" ht="22.5" customHeight="1">
      <c r="A20" s="10">
        <v>19.0</v>
      </c>
      <c r="B20" s="11" t="s">
        <v>2923</v>
      </c>
      <c r="C20" s="11" t="s">
        <v>2924</v>
      </c>
      <c r="D20" s="11" t="s">
        <v>2925</v>
      </c>
      <c r="E20" s="11" t="s">
        <v>2926</v>
      </c>
      <c r="G20" s="11" t="str">
        <f>IFERROR(__xludf.DUMMYFUNCTION("GOOGLETRANSLATE(A20, ""en"", ""am"")"),"19")</f>
        <v>19</v>
      </c>
      <c r="H20" s="11" t="str">
        <f>IFERROR(__xludf.DUMMYFUNCTION("GOOGLETRANSLATE(B20, ""en"", ""am"")"),"በጨዋታው ወቅት ድካም ይሰማዎታል, ነገር ግን ተቃዋሚዎ ጉልበተኛ ይመስላል. ምን ላይ ማተኮር አለብህ?")</f>
        <v>በጨዋታው ወቅት ድካም ይሰማዎታል, ነገር ግን ተቃዋሚዎ ጉልበተኛ ይመስላል. ምን ላይ ማተኮር አለብህ?</v>
      </c>
      <c r="I20" s="11" t="str">
        <f>IFERROR(__xludf.DUMMYFUNCTION("GOOGLETRANSLATE(C20, ""en"", ""am"")"),"ሀ. የመከላከያ እርምጃዎችን ይጠቀሙ እና ኢነርጂቢን ይቆጥቡ። ጨዋታውን በፍጥነት ለመጨረስ ሁሉን አቀፍ ማጥቃት ላይ ይሂዱ። ለማገገም ግጥሚያውን ለማቆም ይሞክሩ።ዲ. ዳኛው ጊዜውን እንዲያጠናቅቅ ይጠይቁ።")</f>
        <v>ሀ. የመከላከያ እርምጃዎችን ይጠቀሙ እና ኢነርጂቢን ይቆጥቡ። ጨዋታውን በፍጥነት ለመጨረስ ሁሉን አቀፍ ማጥቃት ላይ ይሂዱ። ለማገገም ግጥሚያውን ለማቆም ይሞክሩ።ዲ. ዳኛው ጊዜውን እንዲያጠናቅቅ ይጠይቁ።</v>
      </c>
      <c r="J20" s="11" t="str">
        <f>IFERROR(__xludf.DUMMYFUNCTION("GOOGLETRANSLATE(D20, ""en"", ""am"")"),"የመከላከያ እርምጃዎችን ይጠቀሙ እና ኃይልን ይቆጥቡ")</f>
        <v>የመከላከያ እርምጃዎችን ይጠቀሙ እና ኃይልን ይቆጥቡ</v>
      </c>
      <c r="K20" s="11" t="str">
        <f>IFERROR(__xludf.DUMMYFUNCTION("GOOGLETRANSLATE(E20, ""en"", ""am"")"),"ጉልበትን መቆጠብ እስከ ግጥሚያው መጨረሻ ድረስ እንዲተርፉ ይረዳዎታል።")</f>
        <v>ጉልበትን መቆጠብ እስከ ግጥሚያው መጨረሻ ድረስ እንዲተርፉ ይረዳዎታል።</v>
      </c>
    </row>
    <row r="21" ht="22.5" customHeight="1">
      <c r="A21" s="10">
        <v>20.0</v>
      </c>
      <c r="B21" s="11" t="s">
        <v>2927</v>
      </c>
      <c r="C21" s="11" t="s">
        <v>2928</v>
      </c>
      <c r="D21" s="11" t="s">
        <v>2929</v>
      </c>
      <c r="E21" s="11" t="s">
        <v>2930</v>
      </c>
      <c r="G21" s="11" t="str">
        <f>IFERROR(__xludf.DUMMYFUNCTION("GOOGLETRANSLATE(A21, ""en"", ""am"")"),"20")</f>
        <v>20</v>
      </c>
      <c r="H21" s="11" t="str">
        <f>IFERROR(__xludf.DUMMYFUNCTION("GOOGLETRANSLATE(B21, ""en"", ""am"")"),"ህዝቡ ለተቃዋሚዎ ጮክ ብሎ መደሰት ይጀምራል። ሁኔታውን እንዴት መያዝ አለቦት?")</f>
        <v>ህዝቡ ለተቃዋሚዎ ጮክ ብሎ መደሰት ይጀምራል። ሁኔታውን እንዴት መያዝ አለቦት?</v>
      </c>
      <c r="I21" s="11" t="str">
        <f>IFERROR(__xludf.DUMMYFUNCTION("GOOGLETRANSLATE(C21, ""en"", ""am"")"),"ሀ. ተረጋግተህ በስልትህ ላይ አተኩር.B. ለማነሳሳት ከህዝቡ ጋር ይሳተፉ። ድምፅ ያሰማሉ.ዲ. ዳኛው ለተሰበሰበው ሕዝብ ንግግር እንዲሰጥ ጠይቅ።")</f>
        <v>ሀ. ተረጋግተህ በስልትህ ላይ አተኩር.B. ለማነሳሳት ከህዝቡ ጋር ይሳተፉ። ድምፅ ያሰማሉ.ዲ. ዳኛው ለተሰበሰበው ሕዝብ ንግግር እንዲሰጥ ጠይቅ።</v>
      </c>
      <c r="J21" s="11" t="str">
        <f>IFERROR(__xludf.DUMMYFUNCTION("GOOGLETRANSLATE(D21, ""en"", ""am"")"),"ተረጋግተህ በስልትህ ላይ አተኩር።")</f>
        <v>ተረጋግተህ በስልትህ ላይ አተኩር።</v>
      </c>
      <c r="K21" s="11" t="str">
        <f>IFERROR(__xludf.DUMMYFUNCTION("GOOGLETRANSLATE(E21, ""en"", ""am"")"),"በስትራቴጂዎ ላይ ማተኮር ህዝቡ በአፈጻጸምዎ ላይ ተጽእኖ እንደማይኖረው ያረጋግጣል.")</f>
        <v>በስትራቴጂዎ ላይ ማተኮር ህዝቡ በአፈጻጸምዎ ላይ ተጽእኖ እንደማይኖረው ያረጋግጣል.</v>
      </c>
    </row>
    <row r="22" ht="22.5" customHeight="1">
      <c r="A22" s="10">
        <v>21.0</v>
      </c>
      <c r="B22" s="11" t="s">
        <v>2931</v>
      </c>
      <c r="C22" s="11" t="s">
        <v>2932</v>
      </c>
      <c r="D22" s="11" t="s">
        <v>2933</v>
      </c>
      <c r="E22" s="11" t="s">
        <v>2934</v>
      </c>
      <c r="G22" s="11" t="str">
        <f>IFERROR(__xludf.DUMMYFUNCTION("GOOGLETRANSLATE(A22, ""en"", ""am"")"),"21")</f>
        <v>21</v>
      </c>
      <c r="H22" s="11" t="str">
        <f>IFERROR(__xludf.DUMMYFUNCTION("GOOGLETRANSLATE(B22, ""en"", ""am"")"),"ግልጽ በሆነ ጉዳት ምክንያት ተቃዋሚዎ አንድ ክንድ ሲደግፍ ያስተውላሉ። ምን ማድረግ አለቦት?")</f>
        <v>ግልጽ በሆነ ጉዳት ምክንያት ተቃዋሚዎ አንድ ክንድ ሲደግፍ ያስተውላሉ። ምን ማድረግ አለቦት?</v>
      </c>
      <c r="I22" s="11" t="str">
        <f>IFERROR(__xludf.DUMMYFUNCTION("GOOGLETRANSLATE(C22, ""en"", ""am"")"),"ሀ. ድክመቶቻቸውን በስትራቴጂካዊ መንገድ ዒላማ ያድርጉ። በፍትሃዊነት የተነሳ የተጎዳውን ክንዳቸውን ከማጥቃት ይቆጠቡ። ጉዳትን ለማስወገድ በመከላከል ላይ ያተኩሩ. ዳኛው ጨዋታውን ለአፍታ እንዲያቆም ይጠይቁት።")</f>
        <v>ሀ. ድክመቶቻቸውን በስትራቴጂካዊ መንገድ ዒላማ ያድርጉ። በፍትሃዊነት የተነሳ የተጎዳውን ክንዳቸውን ከማጥቃት ይቆጠቡ። ጉዳትን ለማስወገድ በመከላከል ላይ ያተኩሩ. ዳኛው ጨዋታውን ለአፍታ እንዲያቆም ይጠይቁት።</v>
      </c>
      <c r="J22" s="11" t="str">
        <f>IFERROR(__xludf.DUMMYFUNCTION("GOOGLETRANSLATE(D22, ""en"", ""am"")"),"ድክመቶቻቸውን በስትራቴጂያዊ መንገድ ዒላማ ያድርጉ")</f>
        <v>ድክመቶቻቸውን በስትራቴጂያዊ መንገድ ዒላማ ያድርጉ</v>
      </c>
      <c r="K22" s="11" t="str">
        <f>IFERROR(__xludf.DUMMYFUNCTION("GOOGLETRANSLATE(E22, ""en"", ""am"")"),"በህጎቹ ውስጥ እስካልቆዩ ድረስ ድክመቶቻቸውን መጠቀማቸው ጥቅም ሊሰጥዎት ይችላል.")</f>
        <v>በህጎቹ ውስጥ እስካልቆዩ ድረስ ድክመቶቻቸውን መጠቀማቸው ጥቅም ሊሰጥዎት ይችላል.</v>
      </c>
    </row>
    <row r="23" ht="22.5" customHeight="1">
      <c r="A23" s="10">
        <v>22.0</v>
      </c>
      <c r="B23" s="11" t="s">
        <v>2935</v>
      </c>
      <c r="C23" s="11" t="s">
        <v>2936</v>
      </c>
      <c r="D23" s="11" t="s">
        <v>2937</v>
      </c>
      <c r="E23" s="11" t="s">
        <v>2938</v>
      </c>
      <c r="G23" s="11" t="str">
        <f>IFERROR(__xludf.DUMMYFUNCTION("GOOGLETRANSLATE(A23, ""en"", ""am"")"),"22")</f>
        <v>22</v>
      </c>
      <c r="H23" s="11" t="str">
        <f>IFERROR(__xludf.DUMMYFUNCTION("GOOGLETRANSLATE(B23, ""en"", ""am"")"),"በጭቃ ውስጥ እየታገልክ ነው, እና መሬቱ ተንሸራታች ነው. ዘዴዎችዎን እንዴት ማስተካከል አለብዎት?")</f>
        <v>በጭቃ ውስጥ እየታገልክ ነው, እና መሬቱ ተንሸራታች ነው. ዘዴዎችዎን እንዴት ማስተካከል አለብዎት?</v>
      </c>
      <c r="I23" s="11" t="str">
        <f>IFERROR(__xludf.DUMMYFUNCTION("GOOGLETRANSLATE(C23, ""en"", ""am"")"),"ሀ. ሚዛኑን ለመጠበቅ አጭር ቁጥጥር የሚደረግበት እንቅስቃሴዎችን ይጠቀሙ። በፈጣን እና በጭካኔ በተሞላ ጥቃቶች ማመን። መሳተፍን ያስወግዱ እና ተቃዋሚዎ እስኪንሸራተት ድረስ ይጠብቁ.ዲ. ዳግም ለመጀመር ቀለበቱን ውጣ።")</f>
        <v>ሀ. ሚዛኑን ለመጠበቅ አጭር ቁጥጥር የሚደረግበት እንቅስቃሴዎችን ይጠቀሙ። በፈጣን እና በጭካኔ በተሞላ ጥቃቶች ማመን። መሳተፍን ያስወግዱ እና ተቃዋሚዎ እስኪንሸራተት ድረስ ይጠብቁ.ዲ. ዳግም ለመጀመር ቀለበቱን ውጣ።</v>
      </c>
      <c r="J23" s="11" t="str">
        <f>IFERROR(__xludf.DUMMYFUNCTION("GOOGLETRANSLATE(D23, ""en"", ""am"")"),"ሚዛኑን ለመጠበቅ አጫጭር እና ቁጥጥር የሚደረግባቸው እንቅስቃሴዎችን ይጠቀሙ።")</f>
        <v>ሚዛኑን ለመጠበቅ አጫጭር እና ቁጥጥር የሚደረግባቸው እንቅስቃሴዎችን ይጠቀሙ።</v>
      </c>
      <c r="K23" s="11" t="str">
        <f>IFERROR(__xludf.DUMMYFUNCTION("GOOGLETRANSLATE(E23, ""en"", ""am"")"),"ቁጥጥር የሚደረግባቸው እንቅስቃሴዎች የመንሸራተት እና የመውደቅ አደጋን ይቀንሳሉ.")</f>
        <v>ቁጥጥር የሚደረግባቸው እንቅስቃሴዎች የመንሸራተት እና የመውደቅ አደጋን ይቀንሳሉ.</v>
      </c>
    </row>
    <row r="24" ht="22.5" customHeight="1">
      <c r="A24" s="10">
        <v>23.0</v>
      </c>
      <c r="B24" s="11" t="s">
        <v>2939</v>
      </c>
      <c r="C24" s="11" t="s">
        <v>2940</v>
      </c>
      <c r="D24" s="11" t="s">
        <v>2941</v>
      </c>
      <c r="E24" s="11" t="s">
        <v>2942</v>
      </c>
      <c r="G24" s="11" t="str">
        <f>IFERROR(__xludf.DUMMYFUNCTION("GOOGLETRANSLATE(A24, ""en"", ""am"")"),"23")</f>
        <v>23</v>
      </c>
      <c r="H24" s="11" t="str">
        <f>IFERROR(__xludf.DUMMYFUNCTION("GOOGLETRANSLATE(B24, ""en"", ""am"")"),"ተቃዋሚዎ ባልተጠበቀ እንቅስቃሴ በድንገት ወደ እግርዎ ይንቀሳቀሳል። እንዴት ነው የምትቃወመው?")</f>
        <v>ተቃዋሚዎ ባልተጠበቀ እንቅስቃሴ በድንገት ወደ እግርዎ ይንቀሳቀሳል። እንዴት ነው የምትቃወመው?</v>
      </c>
      <c r="I24" s="11" t="str">
        <f>IFERROR(__xludf.DUMMYFUNCTION("GOOGLETRANSLATE(C24, ""en"", ""am"")"),"ሀ. ዘርጋ እና እግርህን ወደ ኋላ ግፋ.B. እንዳይያዙ ይዝለሉ.ሲ. ትከሻቸውን ወደ ላይ ያዙ.ዲ. እንዳትያዝ ወደ ጎን ሂድ።")</f>
        <v>ሀ. ዘርጋ እና እግርህን ወደ ኋላ ግፋ.B. እንዳይያዙ ይዝለሉ.ሲ. ትከሻቸውን ወደ ላይ ያዙ.ዲ. እንዳትያዝ ወደ ጎን ሂድ።</v>
      </c>
      <c r="J24" s="11" t="str">
        <f>IFERROR(__xludf.DUMMYFUNCTION("GOOGLETRANSLATE(D24, ""en"", ""am"")"),"ዘርጋ እና እግሮችዎን ወደ ኋላ ይግፉት.")</f>
        <v>ዘርጋ እና እግሮችዎን ወደ ኋላ ይግፉት.</v>
      </c>
      <c r="K24" s="11" t="str">
        <f>IFERROR(__xludf.DUMMYFUNCTION("GOOGLETRANSLATE(E24, ""en"", ""am"")"),"መስፋፋት ተቃዋሚዎ እንቅስቃሴውን በተሳካ ሁኔታ እንዳይፈጽም ይከላከላል።")</f>
        <v>መስፋፋት ተቃዋሚዎ እንቅስቃሴውን በተሳካ ሁኔታ እንዳይፈጽም ይከላከላል።</v>
      </c>
    </row>
    <row r="25" ht="22.5" customHeight="1">
      <c r="A25" s="10">
        <v>24.0</v>
      </c>
      <c r="B25" s="11" t="s">
        <v>2943</v>
      </c>
      <c r="C25" s="11" t="s">
        <v>2944</v>
      </c>
      <c r="D25" s="11" t="s">
        <v>2945</v>
      </c>
      <c r="E25" s="11" t="s">
        <v>2946</v>
      </c>
      <c r="G25" s="11" t="str">
        <f>IFERROR(__xludf.DUMMYFUNCTION("GOOGLETRANSLATE(A25, ""en"", ""am"")"),"24")</f>
        <v>24</v>
      </c>
      <c r="H25" s="11" t="str">
        <f>IFERROR(__xludf.DUMMYFUNCTION("GOOGLETRANSLATE(B25, ""en"", ""am"")"),"ዳኛው ከልክ በላይ መተጣጠፍ ማስጠንቀቂያ ሰጥቷል። ምን ምላሽ መስጠት አለቦት?")</f>
        <v>ዳኛው ከልክ በላይ መተጣጠፍ ማስጠንቀቂያ ሰጥቷል። ምን ምላሽ መስጠት አለቦት?</v>
      </c>
      <c r="I25" s="11" t="str">
        <f>IFERROR(__xludf.DUMMYFUNCTION("GOOGLETRANSLATE(C25, ""en"", ""am"")"),"ሀ.በግጥሚያው ላይ የበለጠ በንቃት መሳተፍ ጀምር። ስትራተጂህን ለዳኛ ጠብቅ። ማስጠንቀቂያውን ችላ በል እና እንደበፊቱ ይቀጥሉ.ዲ. ደንቦቹን እንዲያብራሩ ዳኛውን ይጠይቁ.")</f>
        <v>ሀ.በግጥሚያው ላይ የበለጠ በንቃት መሳተፍ ጀምር። ስትራተጂህን ለዳኛ ጠብቅ። ማስጠንቀቂያውን ችላ በል እና እንደበፊቱ ይቀጥሉ.ዲ. ደንቦቹን እንዲያብራሩ ዳኛውን ይጠይቁ.</v>
      </c>
      <c r="J25" s="11" t="str">
        <f>IFERROR(__xludf.DUMMYFUNCTION("GOOGLETRANSLATE(D25, ""en"", ""am"")"),"በጨዋታው ውስጥ የበለጠ በንቃት መሳተፍ ይጀምሩ።")</f>
        <v>በጨዋታው ውስጥ የበለጠ በንቃት መሳተፍ ይጀምሩ።</v>
      </c>
      <c r="K25" s="11" t="str">
        <f>IFERROR(__xludf.DUMMYFUNCTION("GOOGLETRANSLATE(E25, ""en"", ""am"")"),"ንቁ ተሳትፎ የስንፍና ቅጣትን ያስወግዳል።")</f>
        <v>ንቁ ተሳትፎ የስንፍና ቅጣትን ያስወግዳል።</v>
      </c>
    </row>
    <row r="26" ht="22.5" customHeight="1">
      <c r="A26" s="10">
        <v>25.0</v>
      </c>
      <c r="B26" s="11" t="s">
        <v>2947</v>
      </c>
      <c r="C26" s="11" t="s">
        <v>2948</v>
      </c>
      <c r="D26" s="11" t="s">
        <v>2949</v>
      </c>
      <c r="E26" s="11" t="s">
        <v>2950</v>
      </c>
      <c r="G26" s="11" t="str">
        <f>IFERROR(__xludf.DUMMYFUNCTION("GOOGLETRANSLATE(A26, ""en"", ""am"")"),"25")</f>
        <v>25</v>
      </c>
      <c r="H26" s="11" t="str">
        <f>IFERROR(__xludf.DUMMYFUNCTION("GOOGLETRANSLATE(B26, ""en"", ""am"")"),"ተቃዋሚዎ የጭንቅላት መቆለፍን ሞክሯል። የእርስዎ ምርጥ ምላሽ ምንድን ነው?")</f>
        <v>ተቃዋሚዎ የጭንቅላት መቆለፍን ሞክሯል። የእርስዎ ምርጥ ምላሽ ምንድን ነው?</v>
      </c>
      <c r="I26" s="11" t="str">
        <f>IFERROR(__xludf.DUMMYFUNCTION("GOOGLETRANSLATE(C26, ""en"", ""am"")"),"ሀ. ሰውነትዎን ዝቅ ያድርጉ እና በመያዣው ውስጥ ይግፉት.B. መያዣውን ለመስበር እጃቸውን ይያዙ.C. ሰውነታችሁን ወደ መቆለፊያው ያዙሩት.ዲ. በጉልበት ተመለስ።")</f>
        <v>ሀ. ሰውነትዎን ዝቅ ያድርጉ እና በመያዣው ውስጥ ይግፉት.B. መያዣውን ለመስበር እጃቸውን ይያዙ.C. ሰውነታችሁን ወደ መቆለፊያው ያዙሩት.ዲ. በጉልበት ተመለስ።</v>
      </c>
      <c r="J26" s="11" t="str">
        <f>IFERROR(__xludf.DUMMYFUNCTION("GOOGLETRANSLATE(D26, ""en"", ""am"")"),"ሰውነትዎን ዝቅ ያድርጉ እና በመያዣው ውስጥ ይግፉት.")</f>
        <v>ሰውነትዎን ዝቅ ያድርጉ እና በመያዣው ውስጥ ይግፉት.</v>
      </c>
      <c r="K26" s="11" t="str">
        <f>IFERROR(__xludf.DUMMYFUNCTION("GOOGLETRANSLATE(E26, ""en"", ""am"")"),"ሰውነትዎን ዝቅ ማድረግ የጭንቅላትን መቆንጠጥ ያስወግዳል እና እንዲያመልጡ ያስችልዎታል.")</f>
        <v>ሰውነትዎን ዝቅ ማድረግ የጭንቅላትን መቆንጠጥ ያስወግዳል እና እንዲያመልጡ ያስችልዎታል.</v>
      </c>
    </row>
    <row r="27" ht="22.5" customHeight="1">
      <c r="A27" s="10">
        <v>26.0</v>
      </c>
      <c r="B27" s="11" t="s">
        <v>2951</v>
      </c>
      <c r="C27" s="11" t="s">
        <v>2952</v>
      </c>
      <c r="D27" s="11" t="s">
        <v>2953</v>
      </c>
      <c r="E27" s="11" t="s">
        <v>2954</v>
      </c>
      <c r="G27" s="11" t="str">
        <f>IFERROR(__xludf.DUMMYFUNCTION("GOOGLETRANSLATE(A27, ""en"", ""am"")"),"26")</f>
        <v>26</v>
      </c>
      <c r="H27" s="11" t="str">
        <f>IFERROR(__xludf.DUMMYFUNCTION("GOOGLETRANSLATE(B27, ""en"", ""am"")"),"ተቃዋሚዎ በትከሻዎ ላይ ጠንካራ ጥንካሬ አለው እና እርስዎን ለማስገደድ እየሞከረ ነው። ምን ማድረግ አለቦት?")</f>
        <v>ተቃዋሚዎ በትከሻዎ ላይ ጠንካራ ጥንካሬ አለው እና እርስዎን ለማስገደድ እየሞከረ ነው። ምን ማድረግ አለቦት?</v>
      </c>
      <c r="I27" s="11" t="str">
        <f>IFERROR(__xludf.DUMMYFUNCTION("GOOGLETRANSLATE(C27, ""en"", ""am"")"),"ሀ.ክብደትህን ቀይረህ የሚጨብጡትን ሰብስብ.ቢ. በሙሉ ሃይል ወደ ኋላ ግፉ። እጃቸውን ከትከሻዎ ላይ ለማንሳት ይሞክሩ.ዲ. ግጥሚያውን እንደገና ለማስጀመር ገደቡን ውጣ።")</f>
        <v>ሀ.ክብደትህን ቀይረህ የሚጨብጡትን ሰብስብ.ቢ. በሙሉ ሃይል ወደ ኋላ ግፉ። እጃቸውን ከትከሻዎ ላይ ለማንሳት ይሞክሩ.ዲ. ግጥሚያውን እንደገና ለማስጀመር ገደቡን ውጣ።</v>
      </c>
      <c r="J27" s="11" t="str">
        <f>IFERROR(__xludf.DUMMYFUNCTION("GOOGLETRANSLATE(D27, ""en"", ""am"")"),"ክብደትዎን ይቀይሩ እና መያዣቸውን ይሰብሩ።")</f>
        <v>ክብደትዎን ይቀይሩ እና መያዣቸውን ይሰብሩ።</v>
      </c>
      <c r="K27" s="11" t="str">
        <f>IFERROR(__xludf.DUMMYFUNCTION("GOOGLETRANSLATE(E27, ""en"", ""am"")"),"ክብደትዎን መቀየር ለተቃዋሚዎች አለመረጋጋት ይፈጥራል እና መያዣቸውን ይሰብራል.")</f>
        <v>ክብደትዎን መቀየር ለተቃዋሚዎች አለመረጋጋት ይፈጥራል እና መያዣቸውን ይሰብራል.</v>
      </c>
    </row>
    <row r="28" ht="22.5" customHeight="1">
      <c r="A28" s="10">
        <v>27.0</v>
      </c>
      <c r="B28" s="11" t="s">
        <v>2955</v>
      </c>
      <c r="C28" s="11" t="s">
        <v>2956</v>
      </c>
      <c r="D28" s="11" t="s">
        <v>2957</v>
      </c>
      <c r="E28" s="11" t="s">
        <v>2958</v>
      </c>
      <c r="G28" s="11" t="str">
        <f>IFERROR(__xludf.DUMMYFUNCTION("GOOGLETRANSLATE(A28, ""en"", ""am"")"),"27")</f>
        <v>27</v>
      </c>
      <c r="H28" s="11" t="str">
        <f>IFERROR(__xludf.DUMMYFUNCTION("GOOGLETRANSLATE(B28, ""en"", ""am"")"),"ጨዋታው በኃይለኛ ሙቀት ከቤት ውጭ ይካሄዳል። ውጤታማ ለመሆን ምን ማድረግ ይጠበቅብዎታል?")</f>
        <v>ጨዋታው በኃይለኛ ሙቀት ከቤት ውጭ ይካሄዳል። ውጤታማ ለመሆን ምን ማድረግ ይጠበቅብዎታል?</v>
      </c>
      <c r="I28" s="11" t="str">
        <f>IFERROR(__xludf.DUMMYFUNCTION("GOOGLETRANSLATE(C28, ""en"", ""am"")"),"ሀ. እርጥበት ይኑርዎት እና ኢነርጂን ይቆጥቡ። ፈጣን እና ከፍተኛ ኃይል ባለው ጥቃቶች ላይ ያተኩሩ። ሙቀቱን ችላ ይበሉ እና ሃርድዲ ይግፉ። በጨዋታው ውስጥ ብዙ ጊዜ እረፍት ይውሰዱ.")</f>
        <v>ሀ. እርጥበት ይኑርዎት እና ኢነርጂን ይቆጥቡ። ፈጣን እና ከፍተኛ ኃይል ባለው ጥቃቶች ላይ ያተኩሩ። ሙቀቱን ችላ ይበሉ እና ሃርድዲ ይግፉ። በጨዋታው ውስጥ ብዙ ጊዜ እረፍት ይውሰዱ.</v>
      </c>
      <c r="J28" s="11" t="str">
        <f>IFERROR(__xludf.DUMMYFUNCTION("GOOGLETRANSLATE(D28, ""en"", ""am"")"),"እርጥበት ይኑርዎት እና ኃይልን ይቆጥቡ")</f>
        <v>እርጥበት ይኑርዎት እና ኃይልን ይቆጥቡ</v>
      </c>
      <c r="K28" s="11" t="str">
        <f>IFERROR(__xludf.DUMMYFUNCTION("GOOGLETRANSLATE(E28, ""en"", ""am"")"),"እርጥበትን ማቆየት እና ኃይልን መቆጠብ በአስቸጋሪ ሁኔታዎች ውስጥ ለማከናወን ይረዳዎታል.")</f>
        <v>እርጥበትን ማቆየት እና ኃይልን መቆጠብ በአስቸጋሪ ሁኔታዎች ውስጥ ለማከናወን ይረዳዎታል.</v>
      </c>
    </row>
    <row r="29" ht="22.5" customHeight="1">
      <c r="A29" s="10">
        <v>28.0</v>
      </c>
      <c r="B29" s="11" t="s">
        <v>2959</v>
      </c>
      <c r="C29" s="11" t="s">
        <v>2960</v>
      </c>
      <c r="D29" s="11" t="s">
        <v>2961</v>
      </c>
      <c r="E29" s="11" t="s">
        <v>2962</v>
      </c>
      <c r="G29" s="11" t="str">
        <f>IFERROR(__xludf.DUMMYFUNCTION("GOOGLETRANSLATE(A29, ""en"", ""am"")"),"28")</f>
        <v>28</v>
      </c>
      <c r="H29" s="11" t="str">
        <f>IFERROR(__xludf.DUMMYFUNCTION("GOOGLETRANSLATE(B29, ""en"", ""am"")"),"ተቃዋሚዎ በተሳካ ሁኔታ ያወርዳል, ነገር ግን ዳኛው ጨዋታውን አያቆምም. ምን ማድረግ አለቦት?")</f>
        <v>ተቃዋሚዎ በተሳካ ሁኔታ ያወርዳል, ነገር ግን ዳኛው ጨዋታውን አያቆምም. ምን ማድረግ አለቦት?</v>
      </c>
      <c r="I29" s="11" t="str">
        <f>IFERROR(__xludf.DUMMYFUNCTION("GOOGLETRANSLATE(C29, ""en"", ""am"")"),"ሀ. በፍጥነት ለማምለጥ ይሞክሩ እና ቦታዎን መልሰው ያግኙ። ዳኛው ደንቦቹን እንዲያብራራላቸው ይጠይቁ.ሲ. ተቃዋሚዎ ነፃ እስኪወጣ ድረስ ይጠብቁ.ዲ. ለዳኛው የእርዳታ ምልክት.")</f>
        <v>ሀ. በፍጥነት ለማምለጥ ይሞክሩ እና ቦታዎን መልሰው ያግኙ። ዳኛው ደንቦቹን እንዲያብራራላቸው ይጠይቁ.ሲ. ተቃዋሚዎ ነፃ እስኪወጣ ድረስ ይጠብቁ.ዲ. ለዳኛው የእርዳታ ምልክት.</v>
      </c>
      <c r="J29" s="11" t="str">
        <f>IFERROR(__xludf.DUMMYFUNCTION("GOOGLETRANSLATE(D29, ""en"", ""am"")"),"በፍጥነት ለማምለጥ ይሞክሩ እና ቦታዎን መልሰው ያግኙ።")</f>
        <v>በፍጥነት ለማምለጥ ይሞክሩ እና ቦታዎን መልሰው ያግኙ።</v>
      </c>
      <c r="K29" s="11" t="str">
        <f>IFERROR(__xludf.DUMMYFUNCTION("GOOGLETRANSLATE(E29, ""en"", ""am"")"),"በፍጥነት ማምለጥ ተቃዋሚዎ ወሳኝ ቦታ እንዳያገኝ ይከላከላል።")</f>
        <v>በፍጥነት ማምለጥ ተቃዋሚዎ ወሳኝ ቦታ እንዳያገኝ ይከላከላል።</v>
      </c>
    </row>
    <row r="30" ht="22.5" customHeight="1">
      <c r="A30" s="10">
        <v>29.0</v>
      </c>
      <c r="B30" s="11" t="s">
        <v>2963</v>
      </c>
      <c r="C30" s="11" t="s">
        <v>2964</v>
      </c>
      <c r="D30" s="11" t="s">
        <v>2965</v>
      </c>
      <c r="E30" s="11" t="s">
        <v>2966</v>
      </c>
      <c r="G30" s="11" t="str">
        <f>IFERROR(__xludf.DUMMYFUNCTION("GOOGLETRANSLATE(A30, ""en"", ""am"")"),"29")</f>
        <v>29</v>
      </c>
      <c r="H30" s="11" t="str">
        <f>IFERROR(__xludf.DUMMYFUNCTION("GOOGLETRANSLATE(B30, ""en"", ""am"")"),"ተቃዋሚዎ እርስዎ ምላሽ እንዲሰጡዎት ፌይንት ይጠቀማል። ከመውደቅ መራቅ የምትችለው እንዴት ነው?")</f>
        <v>ተቃዋሚዎ እርስዎ ምላሽ እንዲሰጡዎት ፌይንት ይጠቀማል። ከመውደቅ መራቅ የምትችለው እንዴት ነው?</v>
      </c>
      <c r="I30" s="11" t="str">
        <f>IFERROR(__xludf.DUMMYFUNCTION("GOOGLETRANSLATE(C30, ""en"", ""am"")"),"ሀ. ተረጋጋ እና ቦታህን ያዝ.B. በጠንካራ እንቅስቃሴ ወዲያውኑ ምላሽ ይስጡC. ጥቃቱን ለማስወገድ ይመለሱ ዲ. እንቅስቃሴያቸውን ሙሉ በሙሉ ችላ ይበሉ")</f>
        <v>ሀ. ተረጋጋ እና ቦታህን ያዝ.B. በጠንካራ እንቅስቃሴ ወዲያውኑ ምላሽ ይስጡC. ጥቃቱን ለማስወገድ ይመለሱ ዲ. እንቅስቃሴያቸውን ሙሉ በሙሉ ችላ ይበሉ</v>
      </c>
      <c r="J30" s="11" t="str">
        <f>IFERROR(__xludf.DUMMYFUNCTION("GOOGLETRANSLATE(D30, ""en"", ""am"")"),"ተረጋግተህ ቦታህን ያዝ።")</f>
        <v>ተረጋግተህ ቦታህን ያዝ።</v>
      </c>
      <c r="K30" s="11" t="str">
        <f>IFERROR(__xludf.DUMMYFUNCTION("GOOGLETRANSLATE(E30, ""en"", ""am"")"),"መረጋጋት ለችግሮችዎ አላስፈላጊ ምላሽ እንደማይሰጡ ያረጋግጣል።")</f>
        <v>መረጋጋት ለችግሮችዎ አላስፈላጊ ምላሽ እንደማይሰጡ ያረጋግጣል።</v>
      </c>
    </row>
    <row r="31" ht="22.5" customHeight="1">
      <c r="A31" s="10">
        <v>30.0</v>
      </c>
      <c r="B31" s="11" t="s">
        <v>2967</v>
      </c>
      <c r="C31" s="11" t="s">
        <v>2968</v>
      </c>
      <c r="D31" s="11" t="s">
        <v>2969</v>
      </c>
      <c r="E31" s="11" t="s">
        <v>2970</v>
      </c>
      <c r="G31" s="11" t="str">
        <f>IFERROR(__xludf.DUMMYFUNCTION("GOOGLETRANSLATE(A31, ""en"", ""am"")"),"30")</f>
        <v>30</v>
      </c>
      <c r="H31" s="11" t="str">
        <f>IFERROR(__xludf.DUMMYFUNCTION("GOOGLETRANSLATE(B31, ""en"", ""am"")"),"የትግሉ ቦታ ከወትሮው ያነሰ ነው። ስትራቴጂህን እንዴት ማስተካከል አለብህ?")</f>
        <v>የትግሉ ቦታ ከወትሮው ያነሰ ነው። ስትራቴጂህን እንዴት ማስተካከል አለብህ?</v>
      </c>
      <c r="I31" s="11" t="str">
        <f>IFERROR(__xludf.DUMMYFUNCTION("GOOGLETRANSLATE(C31, ""en"", ""am"")"),"ሀ. የአከባቢውን መሃል በመቆጣጠር ላይ ያተኩሩ.B. ግጥሚያውን ለመቆጣጠር በፍጥነት ያሂዱ። ጥግ እንዳይሆን ፈጣን እንቅስቃሴዎችን ተጠቀም።ዲ. ተቃዋሚው እስኪሳሳት ድረስ ይጠብቁ።")</f>
        <v>ሀ. የአከባቢውን መሃል በመቆጣጠር ላይ ያተኩሩ.B. ግጥሚያውን ለመቆጣጠር በፍጥነት ያሂዱ። ጥግ እንዳይሆን ፈጣን እንቅስቃሴዎችን ተጠቀም።ዲ. ተቃዋሚው እስኪሳሳት ድረስ ይጠብቁ።</v>
      </c>
      <c r="J31" s="11" t="str">
        <f>IFERROR(__xludf.DUMMYFUNCTION("GOOGLETRANSLATE(D31, ""en"", ""am"")"),"የአከባቢውን ማእከል በመቆጣጠር ላይ ያተኩሩ.")</f>
        <v>የአከባቢውን ማእከል በመቆጣጠር ላይ ያተኩሩ.</v>
      </c>
      <c r="K31" s="11" t="str">
        <f>IFERROR(__xludf.DUMMYFUNCTION("GOOGLETRANSLATE(E31, ""en"", ""am"")"),"ማዕከሉን መቆጣጠር ወደ ውጭ የመገፋትን አደጋ ይቀንሳል.")</f>
        <v>ማዕከሉን መቆጣጠር ወደ ውጭ የመገፋትን አደጋ ይቀንሳል.</v>
      </c>
    </row>
    <row r="32" ht="22.5" customHeight="1">
      <c r="A32" s="10">
        <v>31.0</v>
      </c>
      <c r="B32" s="11" t="s">
        <v>2971</v>
      </c>
      <c r="C32" s="11" t="s">
        <v>2972</v>
      </c>
      <c r="D32" s="11" t="s">
        <v>2973</v>
      </c>
      <c r="E32" s="11" t="s">
        <v>2974</v>
      </c>
      <c r="G32" s="11" t="str">
        <f>IFERROR(__xludf.DUMMYFUNCTION("GOOGLETRANSLATE(A32, ""en"", ""am"")"),"31")</f>
        <v>31</v>
      </c>
      <c r="H32" s="11" t="str">
        <f>IFERROR(__xludf.DUMMYFUNCTION("GOOGLETRANSLATE(B32, ""en"", ""am"")"),"ተቃዋሚዎ በጣም የመከላከያ ዘይቤ አለው እና ለመሳተፍ ፈቃደኛ አይሆንም። እንዲከፍቱ ማስገደድ የምትችለው እንዴት ነው?")</f>
        <v>ተቃዋሚዎ በጣም የመከላከያ ዘይቤ አለው እና ለመሳተፍ ፈቃደኛ አይሆንም። እንዲከፍቱ ማስገደድ የምትችለው እንዴት ነው?</v>
      </c>
      <c r="I32" s="11" t="str">
        <f>IFERROR(__xludf.DUMMYFUNCTION("GOOGLETRANSLATE(C32, ""en"", ""am"")"),"ሀ. ማጭበርበሮችን እና የማታለል ድርጊቶችን ይጠቀሙB. ዳኛው ጣልቃ እስኪገባ ድረስ ይጠብቁ.ሲ. በኃይል ወደ ጫፉ ይግፏቸው.ዲ. ስለ ፈቃዳቸው ለዳኛው ቅሬታ ያቅርቡ.")</f>
        <v>ሀ. ማጭበርበሮችን እና የማታለል ድርጊቶችን ይጠቀሙB. ዳኛው ጣልቃ እስኪገባ ድረስ ይጠብቁ.ሲ. በኃይል ወደ ጫፉ ይግፏቸው.ዲ. ስለ ፈቃዳቸው ለዳኛው ቅሬታ ያቅርቡ.</v>
      </c>
      <c r="J32" s="11" t="str">
        <f>IFERROR(__xludf.DUMMYFUNCTION("GOOGLETRANSLATE(D32, ""en"", ""am"")"),"ማጭበርበሮችን እና አታላይ ልምዶችን ተጠቀም")</f>
        <v>ማጭበርበሮችን እና አታላይ ልምዶችን ተጠቀም</v>
      </c>
      <c r="K32" s="11" t="str">
        <f>IFERROR(__xludf.DUMMYFUNCTION("GOOGLETRANSLATE(E32, ""en"", ""am"")"),"ፌንቶች ተቃራኒውን ተከላካይ ምላሽ እንዲሰጡ ያስገድዷቸዋል, ክፍተቶችን ይፈጥራሉ.")</f>
        <v>ፌንቶች ተቃራኒውን ተከላካይ ምላሽ እንዲሰጡ ያስገድዷቸዋል, ክፍተቶችን ይፈጥራሉ.</v>
      </c>
    </row>
    <row r="33" ht="22.5" customHeight="1">
      <c r="A33" s="10">
        <v>32.0</v>
      </c>
      <c r="B33" s="11" t="s">
        <v>2975</v>
      </c>
      <c r="C33" s="11" t="s">
        <v>2976</v>
      </c>
      <c r="D33" s="11" t="s">
        <v>2977</v>
      </c>
      <c r="E33" s="11" t="s">
        <v>2978</v>
      </c>
      <c r="G33" s="11" t="str">
        <f>IFERROR(__xludf.DUMMYFUNCTION("GOOGLETRANSLATE(A33, ""en"", ""am"")"),"32")</f>
        <v>32</v>
      </c>
      <c r="H33" s="11" t="str">
        <f>IFERROR(__xludf.DUMMYFUNCTION("GOOGLETRANSLATE(B33, ""en"", ""am"")"),"ተቃዋሚዎን ለመሰካት ችለዋል፣ ግን እነሱ እየታገሉ ነው። ፒኑን እንዴት መከላከል አለብዎት?")</f>
        <v>ተቃዋሚዎን ለመሰካት ችለዋል፣ ግን እነሱ እየታገሉ ነው። ፒኑን እንዴት መከላከል አለብዎት?</v>
      </c>
      <c r="I33" s="11" t="str">
        <f>IFERROR(__xludf.DUMMYFUNCTION("GOOGLETRANSLATE(C33, ""en"", ""am"")"),"ሀ. ክብደትን ለመቀነስ እንዲረዳዎ አመጋገብዎን በስልት ይለውጡ። እነሱን ለማሸነፍ ሙሉ ጥንካሬን ይጠቀሙ.ሲ. ዳኛው ፒን እስኪጠራ ድረስ ይጠብቁ.D. ዳኛውን እርዳታ ይጠይቁ።")</f>
        <v>ሀ. ክብደትን ለመቀነስ እንዲረዳዎ አመጋገብዎን በስልት ይለውጡ። እነሱን ለማሸነፍ ሙሉ ጥንካሬን ይጠቀሙ.ሲ. ዳኛው ፒን እስኪጠራ ድረስ ይጠብቁ.D. ዳኛውን እርዳታ ይጠይቁ።</v>
      </c>
      <c r="J33" s="11" t="str">
        <f>IFERROR(__xludf.DUMMYFUNCTION("GOOGLETRANSLATE(D33, ""en"", ""am"")"),"ክብደትን ለመቀነስ እንዲረዳዎ አመጋገብዎን በስልት ይለውጡ")</f>
        <v>ክብደትን ለመቀነስ እንዲረዳዎ አመጋገብዎን በስልት ይለውጡ</v>
      </c>
      <c r="K33" s="11" t="str">
        <f>IFERROR(__xludf.DUMMYFUNCTION("GOOGLETRANSLATE(E33, ""en"", ""am"")"),"ክብደትዎን በትክክል መቀየር ቁጥጥርን ለመጠበቅ እና ፒኑን ለመጠበቅ ይረዳል.")</f>
        <v>ክብደትዎን በትክክል መቀየር ቁጥጥርን ለመጠበቅ እና ፒኑን ለመጠበቅ ይረዳል.</v>
      </c>
    </row>
    <row r="34" ht="22.5" customHeight="1">
      <c r="A34" s="10">
        <v>33.0</v>
      </c>
      <c r="B34" s="11" t="s">
        <v>2979</v>
      </c>
      <c r="C34" s="11" t="s">
        <v>2980</v>
      </c>
      <c r="D34" s="11" t="s">
        <v>2981</v>
      </c>
      <c r="E34" s="11" t="s">
        <v>2982</v>
      </c>
      <c r="G34" s="11" t="str">
        <f>IFERROR(__xludf.DUMMYFUNCTION("GOOGLETRANSLATE(A34, ""en"", ""am"")"),"33")</f>
        <v>33</v>
      </c>
      <c r="H34" s="11" t="str">
        <f>IFERROR(__xludf.DUMMYFUNCTION("GOOGLETRANSLATE(B34, ""en"", ""am"")"),"ተቃዋሚዎ እርስዎን በመክበብ ጨዋታውን ይጀምራል። ከሁሉ የተሻለው ምላሽ ምንድን ነው?")</f>
        <v>ተቃዋሚዎ እርስዎን በመክበብ ጨዋታውን ይጀምራል። ከሁሉ የተሻለው ምላሽ ምንድን ነው?</v>
      </c>
      <c r="I34" s="11" t="str">
        <f>IFERROR(__xludf.DUMMYFUNCTION("GOOGLETRANSLATE(C34, ""en"", ""am"")"),"ሀ. መሃል ላይ ይቆዩ እና ጥቃታቸውን ይጠብቁ.B. በኃይል ወደ እነርሱ ሂድ.ሲ. በመስመር ላይ ለመቆየት እንቅስቃሴያቸውን ይከተሉ.ዲ. መዞራቸውን ችላ ይበሉ እና በዘፈቀደ ያጠቁ።")</f>
        <v>ሀ. መሃል ላይ ይቆዩ እና ጥቃታቸውን ይጠብቁ.B. በኃይል ወደ እነርሱ ሂድ.ሲ. በመስመር ላይ ለመቆየት እንቅስቃሴያቸውን ይከተሉ.ዲ. መዞራቸውን ችላ ይበሉ እና በዘፈቀደ ያጠቁ።</v>
      </c>
      <c r="J34" s="11" t="str">
        <f>IFERROR(__xludf.DUMMYFUNCTION("GOOGLETRANSLATE(D34, ""en"", ""am"")"),"መሃል ላይ ይቆዩ እና ጥቃታቸውን ይጠብቁ.")</f>
        <v>መሃል ላይ ይቆዩ እና ጥቃታቸውን ይጠብቁ.</v>
      </c>
      <c r="K34" s="11" t="str">
        <f>IFERROR(__xludf.DUMMYFUNCTION("GOOGLETRANSLATE(E34, ""en"", ""am"")"),"መሃል ላይ መቆየት ወደ መጥፎ ቦታ እንዳትታለል ይከለክላል።")</f>
        <v>መሃል ላይ መቆየት ወደ መጥፎ ቦታ እንዳትታለል ይከለክላል።</v>
      </c>
    </row>
    <row r="35" ht="22.5" customHeight="1">
      <c r="A35" s="10">
        <v>34.0</v>
      </c>
      <c r="B35" s="11" t="s">
        <v>2983</v>
      </c>
      <c r="C35" s="11" t="s">
        <v>2984</v>
      </c>
      <c r="D35" s="11" t="s">
        <v>2985</v>
      </c>
      <c r="E35" s="11" t="s">
        <v>2986</v>
      </c>
      <c r="G35" s="11" t="str">
        <f>IFERROR(__xludf.DUMMYFUNCTION("GOOGLETRANSLATE(A35, ""en"", ""am"")"),"34")</f>
        <v>34</v>
      </c>
      <c r="H35" s="11" t="str">
        <f>IFERROR(__xludf.DUMMYFUNCTION("GOOGLETRANSLATE(B35, ""en"", ""am"")"),"ከተቃዋሚዎ ጋር እኩል ይዛመዳሉ, ውጤቱም አንድ ነው. ምን ዓይነት ስልት መጠቀም አለብዎት?")</f>
        <v>ከተቃዋሚዎ ጋር እኩል ይዛመዳሉ, ውጤቱም አንድ ነው. ምን ዓይነት ስልት መጠቀም አለብዎት?</v>
      </c>
      <c r="I35" s="11" t="str">
        <f>IFERROR(__xludf.DUMMYFUNCTION("GOOGLETRANSLATE(C35, ""en"", ""am"")"),"ሀ. በትዕግስት ላይ ያተኩሩ እና እስኪሳሳቱ ድረስ ይጠብቁ.B. ግጥሚያውን በፍጥነት ለመጨረስ ከፍተኛ ስጋት ያላቸውን እንቅስቃሴዎች ይሂዱ። ነጥብ ላለማጣት በመከላከል ይጫወቱ።ዲ. ለተጨማሪ ጊዜ ዳኛውን ይጠይቁ።")</f>
        <v>ሀ. በትዕግስት ላይ ያተኩሩ እና እስኪሳሳቱ ድረስ ይጠብቁ.B. ግጥሚያውን በፍጥነት ለመጨረስ ከፍተኛ ስጋት ያላቸውን እንቅስቃሴዎች ይሂዱ። ነጥብ ላለማጣት በመከላከል ይጫወቱ።ዲ. ለተጨማሪ ጊዜ ዳኛውን ይጠይቁ።</v>
      </c>
      <c r="J35" s="11" t="str">
        <f>IFERROR(__xludf.DUMMYFUNCTION("GOOGLETRANSLATE(D35, ""en"", ""am"")"),"በትዕግስት ላይ ያተኩሩ እና ስህተት እስኪሰሩ ድረስ ይጠብቁ.")</f>
        <v>በትዕግስት ላይ ያተኩሩ እና ስህተት እስኪሰሩ ድረስ ይጠብቁ.</v>
      </c>
      <c r="K35" s="11" t="str">
        <f>IFERROR(__xludf.DUMMYFUNCTION("GOOGLETRANSLATE(E35, ""en"", ""am"")"),"ትዕግስት እና ጽናት በቅርበት ግጥሚያ ላይ ጠርዙን ሊሰጡዎት ይችላሉ.")</f>
        <v>ትዕግስት እና ጽናት በቅርበት ግጥሚያ ላይ ጠርዙን ሊሰጡዎት ይችላሉ.</v>
      </c>
    </row>
    <row r="36" ht="22.5" customHeight="1">
      <c r="A36" s="10">
        <v>35.0</v>
      </c>
      <c r="B36" s="11" t="s">
        <v>2987</v>
      </c>
      <c r="C36" s="11" t="s">
        <v>2988</v>
      </c>
      <c r="D36" s="11" t="s">
        <v>2989</v>
      </c>
      <c r="E36" s="11" t="s">
        <v>2990</v>
      </c>
      <c r="G36" s="11" t="str">
        <f>IFERROR(__xludf.DUMMYFUNCTION("GOOGLETRANSLATE(A36, ""en"", ""am"")"),"35")</f>
        <v>35</v>
      </c>
      <c r="H36" s="11" t="str">
        <f>IFERROR(__xludf.DUMMYFUNCTION("GOOGLETRANSLATE(B36, ""en"", ""am"")"),"ተቃዋሚዎ እርስዎን ለማውረድ ግልጽ የሆነ የእግር ዘዴ ይጠቀማል። ይህን እንዴት ትቃወማለህ?")</f>
        <v>ተቃዋሚዎ እርስዎን ለማውረድ ግልጽ የሆነ የእግር ዘዴ ይጠቀማል። ይህን እንዴት ትቃወማለህ?</v>
      </c>
      <c r="I36" s="11" t="str">
        <f>IFERROR(__xludf.DUMMYFUNCTION("GOOGLETRANSLATE(C36, ""en"", ""am"")"),"ሀ. በእግር ጣቶችዎ ላይ ይራመዱ እና ሚዛን ይጠብቁ B. በእጆችዎ መልሰው ይግፏቸው.ሲ. እንዳይወሰድ ይዝለሉ.ዲ. እንቅስቃሴውን ለማቆም እግራቸውን ይያዙ.")</f>
        <v>ሀ. በእግር ጣቶችዎ ላይ ይራመዱ እና ሚዛን ይጠብቁ B. በእጆችዎ መልሰው ይግፏቸው.ሲ. እንዳይወሰድ ይዝለሉ.ዲ. እንቅስቃሴውን ለማቆም እግራቸውን ይያዙ.</v>
      </c>
      <c r="J36" s="11" t="str">
        <f>IFERROR(__xludf.DUMMYFUNCTION("GOOGLETRANSLATE(D36, ""en"", ""am"")"),"በእግር ጣቶችዎ ላይ ይራመዱ እና ሚዛን ይጠብቁ")</f>
        <v>በእግር ጣቶችዎ ላይ ይራመዱ እና ሚዛን ይጠብቁ</v>
      </c>
      <c r="K36" s="11" t="str">
        <f>IFERROR(__xludf.DUMMYFUNCTION("GOOGLETRANSLATE(E36, ""en"", ""am"")"),"ወደ ላይ መውጣት የተዝረከረከውን ነገር ያስወግዳል እና ሚዛኑን የጠበቀ ያደርገዋል።")</f>
        <v>ወደ ላይ መውጣት የተዝረከረከውን ነገር ያስወግዳል እና ሚዛኑን የጠበቀ ያደርገዋል።</v>
      </c>
    </row>
    <row r="37" ht="22.5" customHeight="1">
      <c r="A37" s="10">
        <v>36.0</v>
      </c>
      <c r="B37" s="11" t="s">
        <v>2991</v>
      </c>
      <c r="C37" s="11" t="s">
        <v>2992</v>
      </c>
      <c r="D37" s="11" t="s">
        <v>2993</v>
      </c>
      <c r="E37" s="11" t="s">
        <v>2994</v>
      </c>
      <c r="G37" s="11" t="str">
        <f>IFERROR(__xludf.DUMMYFUNCTION("GOOGLETRANSLATE(A37, ""en"", ""am"")"),"36")</f>
        <v>36</v>
      </c>
      <c r="H37" s="11" t="str">
        <f>IFERROR(__xludf.DUMMYFUNCTION("GOOGLETRANSLATE(B37, ""en"", ""am"")"),"በዝናብ ምክንያት ጨዋታው ተቋርጧል። ለመቀጠል እንዴት መዘጋጀት አለቦት?")</f>
        <v>በዝናብ ምክንያት ጨዋታው ተቋርጧል። ለመቀጠል እንዴት መዘጋጀት አለቦት?</v>
      </c>
      <c r="I37" s="11" t="str">
        <f>IFERROR(__xludf.DUMMYFUNCTION("GOOGLETRANSLATE(C37, ""en"", ""am"")"),"ሀ. መያዣውን በማድረቅ እና በመንከባከብ ላይ ያተኩሩ.B. ጨዋታውን እንዲያጠናቅቅ ዳኛውን ግፉበት። ዝናቡ ሙሉ በሙሉ እስኪቆም ድረስ ጨዋታውን ከመቀጠልዎ ይቆጠቡ። መንሸራተትን ለማስወገድ ስልትዎን ይቀይሩ።")</f>
        <v>ሀ. መያዣውን በማድረቅ እና በመንከባከብ ላይ ያተኩሩ.B. ጨዋታውን እንዲያጠናቅቅ ዳኛውን ግፉበት። ዝናቡ ሙሉ በሙሉ እስኪቆም ድረስ ጨዋታውን ከመቀጠልዎ ይቆጠቡ። መንሸራተትን ለማስወገድ ስልትዎን ይቀይሩ።</v>
      </c>
      <c r="J37" s="11" t="str">
        <f>IFERROR(__xludf.DUMMYFUNCTION("GOOGLETRANSLATE(D37, ""en"", ""am"")"),"መያዣውን በማድረቅ እና በመንከባከብ ላይ ያተኩሩ.")</f>
        <v>መያዣውን በማድረቅ እና በመንከባከብ ላይ ያተኩሩ.</v>
      </c>
      <c r="K37" s="11" t="str">
        <f>IFERROR(__xludf.DUMMYFUNCTION("GOOGLETRANSLATE(E37, ""en"", ""am"")"),"ግጥሚያው በሚቀጥልበት ጊዜ መድረቅ መንሸራተትን ይከላከላል።")</f>
        <v>ግጥሚያው በሚቀጥልበት ጊዜ መድረቅ መንሸራተትን ይከላከላል።</v>
      </c>
    </row>
    <row r="38" ht="22.5" customHeight="1">
      <c r="A38" s="10">
        <v>37.0</v>
      </c>
      <c r="B38" s="11" t="s">
        <v>2995</v>
      </c>
      <c r="C38" s="11" t="s">
        <v>2996</v>
      </c>
      <c r="D38" s="11" t="s">
        <v>2997</v>
      </c>
      <c r="E38" s="11" t="s">
        <v>2998</v>
      </c>
      <c r="G38" s="11" t="str">
        <f>IFERROR(__xludf.DUMMYFUNCTION("GOOGLETRANSLATE(A38, ""en"", ""am"")"),"37")</f>
        <v>37</v>
      </c>
      <c r="H38" s="11" t="str">
        <f>IFERROR(__xludf.DUMMYFUNCTION("GOOGLETRANSLATE(B38, ""en"", ""am"")"),"ተቃዋሚህ በሙሉ ኃይሉ ያስከፍልሃል። ከሁሉ የተሻለው ምላሽ ምንድን ነው?")</f>
        <v>ተቃዋሚህ በሙሉ ኃይሉ ያስከፍልሃል። ከሁሉ የተሻለው ምላሽ ምንድን ነው?</v>
      </c>
      <c r="I38" s="11" t="str">
        <f>IFERROR(__xludf.DUMMYFUNCTION("GOOGLETRANSLATE(C38, ""en"", ""am"")"),"ሀ. ወደ ጎን ሄደው ሚዛናቸውን እንዲያጡ አድርጉ.B. እራስህን ታጠቅና ወደ ኋላ ግፋ። እንዳይንቀሳቀሱ ትከሻቸውን ያዙ.ዲ. ተጽእኖውን ለማስወገድ ዳክዬ")</f>
        <v>ሀ. ወደ ጎን ሄደው ሚዛናቸውን እንዲያጡ አድርጉ.B. እራስህን ታጠቅና ወደ ኋላ ግፋ። እንዳይንቀሳቀሱ ትከሻቸውን ያዙ.ዲ. ተጽእኖውን ለማስወገድ ዳክዬ</v>
      </c>
      <c r="J38" s="11" t="str">
        <f>IFERROR(__xludf.DUMMYFUNCTION("GOOGLETRANSLATE(D38, ""en"", ""am"")"),"ወደ ጎን ይሂዱ እና ሚዛናቸውን እንዲያጡ ያድርጉ.")</f>
        <v>ወደ ጎን ይሂዱ እና ሚዛናቸውን እንዲያጡ ያድርጉ.</v>
      </c>
      <c r="K38" s="11" t="str">
        <f>IFERROR(__xludf.DUMMYFUNCTION("GOOGLETRANSLATE(E38, ""en"", ""am"")"),"ወደ ጎን መሄድ ፍጥነታቸውን በእነሱ ላይ ይጠቀማል እና እርስዎን እንዲቆጣጠሩ ያደርጋቸዋል።")</f>
        <v>ወደ ጎን መሄድ ፍጥነታቸውን በእነሱ ላይ ይጠቀማል እና እርስዎን እንዲቆጣጠሩ ያደርጋቸዋል።</v>
      </c>
    </row>
    <row r="39" ht="22.5" customHeight="1">
      <c r="A39" s="10">
        <v>38.0</v>
      </c>
      <c r="B39" s="11" t="s">
        <v>2999</v>
      </c>
      <c r="C39" s="11" t="s">
        <v>3000</v>
      </c>
      <c r="D39" s="11" t="s">
        <v>3001</v>
      </c>
      <c r="E39" s="11" t="s">
        <v>3002</v>
      </c>
      <c r="G39" s="11" t="str">
        <f>IFERROR(__xludf.DUMMYFUNCTION("GOOGLETRANSLATE(A39, ""en"", ""am"")"),"38")</f>
        <v>38</v>
      </c>
      <c r="H39" s="11" t="str">
        <f>IFERROR(__xludf.DUMMYFUNCTION("GOOGLETRANSLATE(B39, ""en"", ""am"")"),"በጨዋታው ወቅት፣ በላብ ምክንያት መያዣዎ ይንሸራተታል። ወዲያውኑ ምን ማድረግ አለቦት?")</f>
        <v>በጨዋታው ወቅት፣ በላብ ምክንያት መያዣዎ ይንሸራተታል። ወዲያውኑ ምን ማድረግ አለቦት?</v>
      </c>
      <c r="I39" s="11" t="str">
        <f>IFERROR(__xludf.DUMMYFUNCTION("GOOGLETRANSLATE(C39, ""en"", ""am"")"),"ሀ. የያዙትን በፍጥነት አስተካክል.ቢ. ወደ ማገገሚያ ተመለስ.ሲ. እጆቻችሁን በልብስዎ ላይ ያብሱ.ዲ. ለተወሰነ ጊዜ ለዳኛው ምልክት ይስጡት።")</f>
        <v>ሀ. የያዙትን በፍጥነት አስተካክል.ቢ. ወደ ማገገሚያ ተመለስ.ሲ. እጆቻችሁን በልብስዎ ላይ ያብሱ.ዲ. ለተወሰነ ጊዜ ለዳኛው ምልክት ይስጡት።</v>
      </c>
      <c r="J39" s="11" t="str">
        <f>IFERROR(__xludf.DUMMYFUNCTION("GOOGLETRANSLATE(D39, ""en"", ""am"")"),"ጉዳይህን በፍጥነት አስተካክል።")</f>
        <v>ጉዳይህን በፍጥነት አስተካክል።</v>
      </c>
      <c r="K39" s="11" t="str">
        <f>IFERROR(__xludf.DUMMYFUNCTION("GOOGLETRANSLATE(E39, ""en"", ""am"")"),"ፈጣን መያዣ ማስተካከያ በጨዋታው ውስጥ ተወዳዳሪ መሆንዎን ያረጋግጣል።")</f>
        <v>ፈጣን መያዣ ማስተካከያ በጨዋታው ውስጥ ተወዳዳሪ መሆንዎን ያረጋግጣል።</v>
      </c>
    </row>
    <row r="40" ht="22.5" customHeight="1">
      <c r="A40" s="10">
        <v>39.0</v>
      </c>
      <c r="B40" s="11" t="s">
        <v>3003</v>
      </c>
      <c r="C40" s="11" t="s">
        <v>3004</v>
      </c>
      <c r="D40" s="11" t="s">
        <v>3005</v>
      </c>
      <c r="E40" s="11" t="s">
        <v>3006</v>
      </c>
      <c r="G40" s="11" t="str">
        <f>IFERROR(__xludf.DUMMYFUNCTION("GOOGLETRANSLATE(A40, ""en"", ""am"")"),"39")</f>
        <v>39</v>
      </c>
      <c r="H40" s="11" t="str">
        <f>IFERROR(__xludf.DUMMYFUNCTION("GOOGLETRANSLATE(B40, ""en"", ""am"")"),"ተቃዋሚዎ እርስዎን ለማውረድ እግሮችዎን ማነጣጠር ይቀጥላል። ውጤታማ በሆነ መንገድ እንዴት መከላከል አለብዎት?")</f>
        <v>ተቃዋሚዎ እርስዎን ለማውረድ እግሮችዎን ማነጣጠር ይቀጥላል። ውጤታማ በሆነ መንገድ እንዴት መከላከል አለብዎት?</v>
      </c>
      <c r="I40" s="11" t="str">
        <f>IFERROR(__xludf.DUMMYFUNCTION("GOOGLETRANSLATE(C40, ""en"", ""am"")"),"ሀ. እግሮችዎን ለመጠበቅ ዝቅተኛ አቋም ይያዙ። ጥቃታቸውን ለማስወገድ ወደ ኋላ መንቀሳቀስዎን ይቀጥሉ። እድገታቸውን ለማቆም እጃቸውን ያዙ.ዲ. ላለመያዝ ለመዝለል ይሞክሩ።")</f>
        <v>ሀ. እግሮችዎን ለመጠበቅ ዝቅተኛ አቋም ይያዙ። ጥቃታቸውን ለማስወገድ ወደ ኋላ መንቀሳቀስዎን ይቀጥሉ። እድገታቸውን ለማቆም እጃቸውን ያዙ.ዲ. ላለመያዝ ለመዝለል ይሞክሩ።</v>
      </c>
      <c r="J40" s="11" t="str">
        <f>IFERROR(__xludf.DUMMYFUNCTION("GOOGLETRANSLATE(D40, ""en"", ""am"")"),"እግርዎን ለመጠበቅ ዝቅተኛ አቋም ይያዙ")</f>
        <v>እግርዎን ለመጠበቅ ዝቅተኛ አቋም ይያዙ</v>
      </c>
      <c r="K40" s="11" t="str">
        <f>IFERROR(__xludf.DUMMYFUNCTION("GOOGLETRANSLATE(E40, ""en"", ""am"")"),"ዝቅተኛ አቋም ተቃዋሚዎ እግርዎ ላይ ለመድረስ አስቸጋሪ ያደርገዋል።")</f>
        <v>ዝቅተኛ አቋም ተቃዋሚዎ እግርዎ ላይ ለመድረስ አስቸጋሪ ያደርገዋል።</v>
      </c>
    </row>
    <row r="41" ht="22.5" customHeight="1">
      <c r="A41" s="10">
        <v>40.0</v>
      </c>
      <c r="B41" s="11" t="s">
        <v>3007</v>
      </c>
      <c r="C41" s="11" t="s">
        <v>3008</v>
      </c>
      <c r="D41" s="11" t="s">
        <v>3009</v>
      </c>
      <c r="E41" s="11" t="s">
        <v>3010</v>
      </c>
      <c r="G41" s="11" t="str">
        <f>IFERROR(__xludf.DUMMYFUNCTION("GOOGLETRANSLATE(A41, ""en"", ""am"")"),"40")</f>
        <v>40</v>
      </c>
      <c r="H41" s="11" t="str">
        <f>IFERROR(__xludf.DUMMYFUNCTION("GOOGLETRANSLATE(B41, ""en"", ""am"")"),"በጨዋታው መካከል ተቃዋሚዎ በከፍተኛ ሁኔታ ሲተነፍስ ያስተውላሉ። የእርስዎ ስልት ምን መሆን አለበት?")</f>
        <v>በጨዋታው መካከል ተቃዋሚዎ በከፍተኛ ሁኔታ ሲተነፍስ ያስተውላሉ። የእርስዎ ስልት ምን መሆን አለበት?</v>
      </c>
      <c r="I41" s="11" t="str">
        <f>IFERROR(__xludf.DUMMYFUNCTION("GOOGLETRANSLATE(C41, ""en"", ""am"")"),"ሀ. ጥቃትህን ጨምር እና ድክመቶቻቸውን ተጠቀምባቸው። ፍጥነትዎን ይቀንሱ እና ጉልበትዎን ይቆጥቡ.C. ለእነሱ እረፍት ለመስጠት የጊዜ ማብቂያ ጠይቅ.ዲ. ስህተቶችን ለማስወገድ በመከላከል ላይ ያተኩሩ")</f>
        <v>ሀ. ጥቃትህን ጨምር እና ድክመቶቻቸውን ተጠቀምባቸው። ፍጥነትዎን ይቀንሱ እና ጉልበትዎን ይቆጥቡ.C. ለእነሱ እረፍት ለመስጠት የጊዜ ማብቂያ ጠይቅ.ዲ. ስህተቶችን ለማስወገድ በመከላከል ላይ ያተኩሩ</v>
      </c>
      <c r="J41" s="11" t="str">
        <f>IFERROR(__xludf.DUMMYFUNCTION("GOOGLETRANSLATE(D41, ""en"", ""am"")"),"ጥቃቶችዎን ይጨምሩ እና ድክመቶቻቸውን ይጠቀሙ።")</f>
        <v>ጥቃቶችዎን ይጨምሩ እና ድክመቶቻቸውን ይጠቀሙ።</v>
      </c>
      <c r="K41" s="11" t="str">
        <f>IFERROR(__xludf.DUMMYFUNCTION("GOOGLETRANSLATE(E41, ""en"", ""am"")"),"ድካማቸውን መበዝበዝ ግጥሚያውን ለእርስዎ ሞገስ ሊለውጠው ይችላል።")</f>
        <v>ድካማቸውን መበዝበዝ ግጥሚያውን ለእርስዎ ሞገስ ሊለውጠው ይችላል።</v>
      </c>
    </row>
    <row r="42" ht="22.5" customHeight="1">
      <c r="A42" s="10">
        <v>41.0</v>
      </c>
      <c r="B42" s="11" t="s">
        <v>3011</v>
      </c>
      <c r="C42" s="11" t="s">
        <v>3012</v>
      </c>
      <c r="D42" s="11" t="s">
        <v>3013</v>
      </c>
      <c r="E42" s="11" t="s">
        <v>3014</v>
      </c>
      <c r="G42" s="11" t="str">
        <f>IFERROR(__xludf.DUMMYFUNCTION("GOOGLETRANSLATE(A42, ""en"", ""am"")"),"41")</f>
        <v>41</v>
      </c>
      <c r="H42" s="11" t="str">
        <f>IFERROR(__xludf.DUMMYFUNCTION("GOOGLETRANSLATE(B42, ""en"", ""am"")"),"ግጥሚያው የሚካሄደው ለስላሳ እና ረባዳማ በሆነ ቦታ ላይ ነው። ዘዴዎን እንዴት ማስተካከል አለብዎት?")</f>
        <v>ግጥሚያው የሚካሄደው ለስላሳ እና ረባዳማ በሆነ ቦታ ላይ ነው። ዘዴዎን እንዴት ማስተካከል አለብዎት?</v>
      </c>
      <c r="I42" s="11" t="str">
        <f>IFERROR(__xludf.DUMMYFUNCTION("GOOGLETRANSLATE(C42, ""en"", ""am"")"),"ሀ. በሚዛናዊነት ላይ ያተኩሩ እና ፈጣን እንቅስቃሴዎችን ያስወግዱB. ተቃዋሚዎን ለመቆጣጠር ኃይለኛ እንቅስቃሴዎችን ይጠቀሙ። መሬት እንዳትይዝ በጉልበት ተንቀሳቀስ።ዲ. ለመረጋጋት የመዝለል ቴክኒኮችን ይተማመኑ")</f>
        <v>ሀ. በሚዛናዊነት ላይ ያተኩሩ እና ፈጣን እንቅስቃሴዎችን ያስወግዱB. ተቃዋሚዎን ለመቆጣጠር ኃይለኛ እንቅስቃሴዎችን ይጠቀሙ። መሬት እንዳትይዝ በጉልበት ተንቀሳቀስ።ዲ. ለመረጋጋት የመዝለል ቴክኒኮችን ይተማመኑ</v>
      </c>
      <c r="J42" s="11" t="str">
        <f>IFERROR(__xludf.DUMMYFUNCTION("GOOGLETRANSLATE(D42, ""en"", ""am"")"),"ሚዛን ላይ ያተኩሩ እና ፈጣን እንቅስቃሴዎችን ያስወግዱ")</f>
        <v>ሚዛን ላይ ያተኩሩ እና ፈጣን እንቅስቃሴዎችን ያስወግዱ</v>
      </c>
      <c r="K42" s="11" t="str">
        <f>IFERROR(__xludf.DUMMYFUNCTION("GOOGLETRANSLATE(E42, ""en"", ""am"")"),"ባልተስተካከሉ ወለል ላይ ሚዛን መጠበቅ ቁልፍ ነው።")</f>
        <v>ባልተስተካከሉ ወለል ላይ ሚዛን መጠበቅ ቁልፍ ነው።</v>
      </c>
    </row>
    <row r="43" ht="22.5" customHeight="1">
      <c r="A43" s="10">
        <v>42.0</v>
      </c>
      <c r="B43" s="11" t="s">
        <v>3015</v>
      </c>
      <c r="C43" s="11" t="s">
        <v>3016</v>
      </c>
      <c r="D43" s="11" t="s">
        <v>3017</v>
      </c>
      <c r="E43" s="11" t="s">
        <v>3018</v>
      </c>
      <c r="G43" s="11" t="str">
        <f>IFERROR(__xludf.DUMMYFUNCTION("GOOGLETRANSLATE(A43, ""en"", ""am"")"),"42")</f>
        <v>42</v>
      </c>
      <c r="H43" s="11" t="str">
        <f>IFERROR(__xludf.DUMMYFUNCTION("GOOGLETRANSLATE(B43, ""en"", ""am"")"),"ተቃዋሚዎ በደረትዎ ላይ ጫና በማድረግ ሊሰካዎት ይሞክራል። ምን ማድረግ አለቦት?")</f>
        <v>ተቃዋሚዎ በደረትዎ ላይ ጫና በማድረግ ሊሰካዎት ይሞክራል። ምን ማድረግ አለቦት?</v>
      </c>
      <c r="I43" s="11" t="str">
        <f>IFERROR(__xludf.DUMMYFUNCTION("GOOGLETRANSLATE(C43, ""en"", ""am"")"),"ሀ. ክብደትዎን ይቀይሩ እና ወደ ጎን ይንከባለሉ.B. በሙሉ ጥንካሬህ ግፋቸው.ሲ. እጃቸውን ለመያዝ እና ግፊታቸውን ለማቆም ይሞክሩ.ዲ. ለዳኛው ጣልቃ ገብነት ይደውሉ።")</f>
        <v>ሀ. ክብደትዎን ይቀይሩ እና ወደ ጎን ይንከባለሉ.B. በሙሉ ጥንካሬህ ግፋቸው.ሲ. እጃቸውን ለመያዝ እና ግፊታቸውን ለማቆም ይሞክሩ.ዲ. ለዳኛው ጣልቃ ገብነት ይደውሉ።</v>
      </c>
      <c r="J43" s="11" t="str">
        <f>IFERROR(__xludf.DUMMYFUNCTION("GOOGLETRANSLATE(D43, ""en"", ""am"")"),"ክብደትዎን ይቀይሩ እና ወደ ጎን ይንከባለሉ.")</f>
        <v>ክብደትዎን ይቀይሩ እና ወደ ጎን ይንከባለሉ.</v>
      </c>
      <c r="K43" s="11" t="str">
        <f>IFERROR(__xludf.DUMMYFUNCTION("GOOGLETRANSLATE(E43, ""en"", ""am"")"),"ወደ ጎን መሽከርከር አቅማቸውን ይቀንሳል እና ለማምለጥ ይረዳዎታል።")</f>
        <v>ወደ ጎን መሽከርከር አቅማቸውን ይቀንሳል እና ለማምለጥ ይረዳዎታል።</v>
      </c>
    </row>
    <row r="44" ht="22.5" customHeight="1">
      <c r="A44" s="10">
        <v>43.0</v>
      </c>
      <c r="B44" s="11" t="s">
        <v>3019</v>
      </c>
      <c r="C44" s="11" t="s">
        <v>3020</v>
      </c>
      <c r="D44" s="11" t="s">
        <v>3021</v>
      </c>
      <c r="E44" s="11" t="s">
        <v>3022</v>
      </c>
      <c r="G44" s="11" t="str">
        <f>IFERROR(__xludf.DUMMYFUNCTION("GOOGLETRANSLATE(A44, ""en"", ""am"")"),"43")</f>
        <v>43</v>
      </c>
      <c r="H44" s="11" t="str">
        <f>IFERROR(__xludf.DUMMYFUNCTION("GOOGLETRANSLATE(B44, ""en"", ""am"")"),"ጨዋታው ሊጠናቀቅ 30 ሰከንድ ብቻ እንደቀረው እና እርስዎም በአንድ ነጥብ እየተከተላችሁ መሆኑን ዳኛው አስታውቀዋል። ምን ማድረግ አለቦት?")</f>
        <v>ጨዋታው ሊጠናቀቅ 30 ሰከንድ ብቻ እንደቀረው እና እርስዎም በአንድ ነጥብ እየተከተላችሁ መሆኑን ዳኛው አስታውቀዋል። ምን ማድረግ አለቦት?</v>
      </c>
      <c r="I44" s="11" t="str">
        <f>IFERROR(__xludf.DUMMYFUNCTION("GOOGLETRANSLATE(C44, ""en"", ""am"")"),"ሀ. በፍጥነት ውጤት ለማግኘት ወደ አረመኔው ማውረድ ይሂዱ። የተቃዋሚውን ስህተት ይከላከሉ እና ተስፋ ያድርጉ። ጊዜው እስኪያልቅ ድረስ ይጠብቁ.D. ተዛማጅ ቅጥያ ይጠይቁ።")</f>
        <v>ሀ. በፍጥነት ውጤት ለማግኘት ወደ አረመኔው ማውረድ ይሂዱ። የተቃዋሚውን ስህተት ይከላከሉ እና ተስፋ ያድርጉ። ጊዜው እስኪያልቅ ድረስ ይጠብቁ.D. ተዛማጅ ቅጥያ ይጠይቁ።</v>
      </c>
      <c r="J44" s="11" t="str">
        <f>IFERROR(__xludf.DUMMYFUNCTION("GOOGLETRANSLATE(D44, ""en"", ""am"")"),"በፍጥነት ውጤት ለማግኘት ወደ አረመኔው ማውረድ ይሂዱ።")</f>
        <v>በፍጥነት ውጤት ለማግኘት ወደ አረመኔው ማውረድ ይሂዱ።</v>
      </c>
      <c r="K44" s="11" t="str">
        <f>IFERROR(__xludf.DUMMYFUNCTION("GOOGLETRANSLATE(E44, ""en"", ""am"")"),"የጥቃት እርምጃ ነጥቦችን ለማግኘት ብቸኛው እድልዎ ሊሆን ይችላል።")</f>
        <v>የጥቃት እርምጃ ነጥቦችን ለማግኘት ብቸኛው እድልዎ ሊሆን ይችላል።</v>
      </c>
    </row>
    <row r="45" ht="22.5" customHeight="1">
      <c r="A45" s="10">
        <v>44.0</v>
      </c>
      <c r="B45" s="11" t="s">
        <v>3023</v>
      </c>
      <c r="C45" s="11" t="s">
        <v>3024</v>
      </c>
      <c r="D45" s="11" t="s">
        <v>3025</v>
      </c>
      <c r="E45" s="11" t="s">
        <v>3026</v>
      </c>
      <c r="G45" s="11" t="str">
        <f>IFERROR(__xludf.DUMMYFUNCTION("GOOGLETRANSLATE(A45, ""en"", ""am"")"),"44")</f>
        <v>44</v>
      </c>
      <c r="H45" s="11" t="str">
        <f>IFERROR(__xludf.DUMMYFUNCTION("GOOGLETRANSLATE(B45, ""en"", ""am"")"),"ተቃዋሚዎ በድንገት ወደማያውቁት አዲስ ዘዴ ይቀየራል። ምን ምላሽ መስጠት አለቦት?")</f>
        <v>ተቃዋሚዎ በድንገት ወደማያውቁት አዲስ ዘዴ ይቀየራል። ምን ምላሽ መስጠት አለቦት?</v>
      </c>
      <c r="I45" s="11" t="str">
        <f>IFERROR(__xludf.DUMMYFUNCTION("GOOGLETRANSLATE(C45, ""en"", ""am"")"),"ሀ. ተረጋጉ እና እንቅስቃሴያቸውን ይከታተሉ.B. በጠንካራ እንቅስቃሴዎ ወዲያውኑ ለመቃወም ይሞክሩ. ዳኛውን ማብራሪያ ይጠይቁ ዲ. ከመቀጠልዎ በፊት ያቁሙ እና እንደገና ይሰብስቡ.")</f>
        <v>ሀ. ተረጋጉ እና እንቅስቃሴያቸውን ይከታተሉ.B. በጠንካራ እንቅስቃሴዎ ወዲያውኑ ለመቃወም ይሞክሩ. ዳኛውን ማብራሪያ ይጠይቁ ዲ. ከመቀጠልዎ በፊት ያቁሙ እና እንደገና ይሰብስቡ.</v>
      </c>
      <c r="J45" s="11" t="str">
        <f>IFERROR(__xludf.DUMMYFUNCTION("GOOGLETRANSLATE(D45, ""en"", ""am"")"),"ተረጋግተህ እንቅስቃሴያቸውን ተከታተል።")</f>
        <v>ተረጋግተህ እንቅስቃሴያቸውን ተከታተል።</v>
      </c>
      <c r="K45" s="11" t="str">
        <f>IFERROR(__xludf.DUMMYFUNCTION("GOOGLETRANSLATE(E45, ""en"", ""am"")"),"መረጋጋት ከአዲሱ ዘዴ ጋር በደንብ እንዲላመዱ ያስችላቸዋል.")</f>
        <v>መረጋጋት ከአዲሱ ዘዴ ጋር በደንብ እንዲላመዱ ያስችላቸዋል.</v>
      </c>
    </row>
    <row r="46" ht="22.5" customHeight="1">
      <c r="A46" s="10">
        <v>45.0</v>
      </c>
      <c r="B46" s="11" t="s">
        <v>3027</v>
      </c>
      <c r="C46" s="11" t="s">
        <v>3028</v>
      </c>
      <c r="D46" s="11" t="s">
        <v>3029</v>
      </c>
      <c r="E46" s="11" t="s">
        <v>3030</v>
      </c>
      <c r="G46" s="11" t="str">
        <f>IFERROR(__xludf.DUMMYFUNCTION("GOOGLETRANSLATE(A46, ""en"", ""am"")"),"45")</f>
        <v>45</v>
      </c>
      <c r="H46" s="11" t="str">
        <f>IFERROR(__xludf.DUMMYFUNCTION("GOOGLETRANSLATE(B46, ""en"", ""am"")"),"ግጥሚያው ለአጭር ጊዜ ቆሟል፣ እና ነፋሻማ ሆኖ ይሰማዎታል። ይህንን ጊዜ እንዴት መጠቀም አለብዎት?")</f>
        <v>ግጥሚያው ለአጭር ጊዜ ቆሟል፣ እና ነፋሻማ ሆኖ ይሰማዎታል። ይህንን ጊዜ እንዴት መጠቀም አለብዎት?</v>
      </c>
      <c r="I46" s="11" t="str">
        <f>IFERROR(__xludf.DUMMYFUNCTION("GOOGLETRANSLATE(C46, ""en"", ""am"")"),"ሀ. ጥንካሬህን ለማግኘት በጥልቅ ትንፋሽ ውሰድ። ውሃ ይጠጡ እና ሰውነትዎን ያርፉ.C. ለቀጣዩ ምዕራፍ ስትራቴጂ ያቅዱ.ዲ. የተራዘመ የእረፍት ፍቃድ ዳኛውን ይጠይቁ።")</f>
        <v>ሀ. ጥንካሬህን ለማግኘት በጥልቅ ትንፋሽ ውሰድ። ውሃ ይጠጡ እና ሰውነትዎን ያርፉ.C. ለቀጣዩ ምዕራፍ ስትራቴጂ ያቅዱ.ዲ. የተራዘመ የእረፍት ፍቃድ ዳኛውን ይጠይቁ።</v>
      </c>
      <c r="J46" s="11" t="str">
        <f>IFERROR(__xludf.DUMMYFUNCTION("GOOGLETRANSLATE(D46, ""en"", ""am"")"),"ጥንካሬዎን ለመመለስ ጥልቅ ትንፋሽ ይውሰዱ።")</f>
        <v>ጥንካሬዎን ለመመለስ ጥልቅ ትንፋሽ ይውሰዱ።</v>
      </c>
      <c r="K46" s="11" t="str">
        <f>IFERROR(__xludf.DUMMYFUNCTION("GOOGLETRANSLATE(E46, ""en"", ""am"")"),"ጥንካሬዎን መልሰው ማግኘት ግጥሚያውን ለመቀጠል ዝግጁ መሆንዎን ያረጋግጣል።")</f>
        <v>ጥንካሬዎን መልሰው ማግኘት ግጥሚያውን ለመቀጠል ዝግጁ መሆንዎን ያረጋግጣል።</v>
      </c>
    </row>
    <row r="47" ht="22.5" customHeight="1">
      <c r="A47" s="10">
        <v>46.0</v>
      </c>
      <c r="B47" s="11" t="s">
        <v>3031</v>
      </c>
      <c r="C47" s="11" t="s">
        <v>3032</v>
      </c>
      <c r="D47" s="11" t="s">
        <v>3033</v>
      </c>
      <c r="E47" s="11" t="s">
        <v>3034</v>
      </c>
      <c r="G47" s="11" t="str">
        <f>IFERROR(__xludf.DUMMYFUNCTION("GOOGLETRANSLATE(A47, ""en"", ""am"")"),"46")</f>
        <v>46</v>
      </c>
      <c r="H47" s="11" t="str">
        <f>IFERROR(__xludf.DUMMYFUNCTION("GOOGLETRANSLATE(B47, ""en"", ""am"")"),"ተቃዋሚዎ ደጋግሞ ሊያደናቅፍዎት ይሞክራል። ይህንን ስልት እንዴት መቋቋም ይችላሉ?")</f>
        <v>ተቃዋሚዎ ደጋግሞ ሊያደናቅፍዎት ይሞክራል። ይህንን ስልት እንዴት መቋቋም ይችላሉ?</v>
      </c>
      <c r="I47" s="11" t="str">
        <f>IFERROR(__xludf.DUMMYFUNCTION("GOOGLETRANSLATE(C47, ""en"", ""am"")"),"ሀ. ተደራጅተህ ለእውነተኛ ጥቃት ጠብቅ። ለእያንዳንዳቸው ጠንከር ያለ ምላሽ ይስጡ.C. እንዳይደርሱህ ወደ ኋላ ተመለስ።ዲ. የራስዎን ትንሽ ይሞክሩ")</f>
        <v>ሀ. ተደራጅተህ ለእውነተኛ ጥቃት ጠብቅ። ለእያንዳንዳቸው ጠንከር ያለ ምላሽ ይስጡ.C. እንዳይደርሱህ ወደ ኋላ ተመለስ።ዲ. የራስዎን ትንሽ ይሞክሩ</v>
      </c>
      <c r="J47" s="11" t="str">
        <f>IFERROR(__xludf.DUMMYFUNCTION("GOOGLETRANSLATE(D47, ""en"", ""am"")"),"ተደራጅተው ይቆዩ እና ለእውነተኛ ጥቃት ይጠብቁ።")</f>
        <v>ተደራጅተው ይቆዩ እና ለእውነተኛ ጥቃት ይጠብቁ።</v>
      </c>
      <c r="K47" s="11" t="str">
        <f>IFERROR(__xludf.DUMMYFUNCTION("GOOGLETRANSLATE(E47, ""en"", ""am"")"),"መረጋጋት በሃሰት እንቅስቃሴዎች ላይ ጉልበት እንዳናባክን ይረዳናል.")</f>
        <v>መረጋጋት በሃሰት እንቅስቃሴዎች ላይ ጉልበት እንዳናባክን ይረዳናል.</v>
      </c>
    </row>
    <row r="48" ht="22.5" customHeight="1">
      <c r="A48" s="10">
        <v>47.0</v>
      </c>
      <c r="B48" s="11" t="s">
        <v>3035</v>
      </c>
      <c r="C48" s="11" t="s">
        <v>3036</v>
      </c>
      <c r="D48" s="11" t="s">
        <v>3037</v>
      </c>
      <c r="E48" s="11" t="s">
        <v>3038</v>
      </c>
      <c r="G48" s="11" t="str">
        <f>IFERROR(__xludf.DUMMYFUNCTION("GOOGLETRANSLATE(A48, ""en"", ""am"")"),"47")</f>
        <v>47</v>
      </c>
      <c r="H48" s="11" t="str">
        <f>IFERROR(__xludf.DUMMYFUNCTION("GOOGLETRANSLATE(B48, ""en"", ""am"")"),"ህዝቡ በአንተ ሞገስ ጮክ ብሎ መጮህ ይጀምራል። ይህንን እንዴት ለእርስዎ ጥቅም ሊጠቀሙበት ይችላሉ?")</f>
        <v>ህዝቡ በአንተ ሞገስ ጮክ ብሎ መጮህ ይጀምራል። ይህንን እንዴት ለእርስዎ ጥቅም ሊጠቀሙበት ይችላሉ?</v>
      </c>
      <c r="I48" s="11" t="str">
        <f>IFERROR(__xludf.DUMMYFUNCTION("GOOGLETRANSLATE(C48, ""en"", ""am"")"),"ሀ. በትኩረት ይቆዩ እና ጉልበቱ እንዲነሳሳ ያድርጉ.B. ህዝቡን ለማስደመም አደገኛ እንቅስቃሴዎችን ያድርጉ። ሞራልን ለማሳደግ ህዝቡን እውቅና ይስጡ። ተቃዋሚዎን በጩኸት ይረብሹት።")</f>
        <v>ሀ. በትኩረት ይቆዩ እና ጉልበቱ እንዲነሳሳ ያድርጉ.B. ህዝቡን ለማስደመም አደገኛ እንቅስቃሴዎችን ያድርጉ። ሞራልን ለማሳደግ ህዝቡን እውቅና ይስጡ። ተቃዋሚዎን በጩኸት ይረብሹት።</v>
      </c>
      <c r="J48" s="11" t="str">
        <f>IFERROR(__xludf.DUMMYFUNCTION("GOOGLETRANSLATE(D48, ""en"", ""am"")"),"በትኩረት ይቆዩ እና ጉልበቱ እንዲያነሳሳዎት ይፍቀዱ።")</f>
        <v>በትኩረት ይቆዩ እና ጉልበቱ እንዲያነሳሳዎት ይፍቀዱ።</v>
      </c>
      <c r="K48" s="11" t="str">
        <f>IFERROR(__xludf.DUMMYFUNCTION("GOOGLETRANSLATE(E48, ""en"", ""am"")"),"የህብረቱን ሃይል በአዎንታዊ መልኩ መጠቀም ትኩረትን እና መተማመንን ለመጠበቅ ይረዳል።")</f>
        <v>የህብረቱን ሃይል በአዎንታዊ መልኩ መጠቀም ትኩረትን እና መተማመንን ለመጠበቅ ይረዳል።</v>
      </c>
    </row>
    <row r="49" ht="22.5" customHeight="1">
      <c r="A49" s="10">
        <v>48.0</v>
      </c>
      <c r="B49" s="11" t="s">
        <v>3039</v>
      </c>
      <c r="C49" s="11" t="s">
        <v>3040</v>
      </c>
      <c r="D49" s="11" t="s">
        <v>3041</v>
      </c>
      <c r="E49" s="11" t="s">
        <v>3042</v>
      </c>
      <c r="G49" s="11" t="str">
        <f>IFERROR(__xludf.DUMMYFUNCTION("GOOGLETRANSLATE(A49, ""en"", ""am"")"),"48")</f>
        <v>48</v>
      </c>
      <c r="H49" s="11" t="str">
        <f>IFERROR(__xludf.DUMMYFUNCTION("GOOGLETRANSLATE(B49, ""en"", ""am"")"),"ተቃዋሚዎ ረጅም እና ረጅም ርቀት ያለው ነው። የእርስዎ ስልት ምን መሆን አለበት?")</f>
        <v>ተቃዋሚዎ ረጅም እና ረጅም ርቀት ያለው ነው። የእርስዎ ስልት ምን መሆን አለበት?</v>
      </c>
      <c r="I49" s="11" t="str">
        <f>IFERROR(__xludf.DUMMYFUNCTION("GOOGLETRANSLATE(C49, ""en"", ""am"")"),"ሀ. ዝቅተኛ መሆን እና ርቀቱን በመዝጋት ላይ ያተኩሩ.B. እጆችዎን ከሚደርሱበት ጋር ለማዛመድ ዘርጋ። በመከላከያ ላይ ይቆዩ እና እስኪከፈት ይጠብቁ.ዲ. ለማስወገድ ይሞክሩ እና እነሱን ለማዳከም ይሞክሩ.")</f>
        <v>ሀ. ዝቅተኛ መሆን እና ርቀቱን በመዝጋት ላይ ያተኩሩ.B. እጆችዎን ከሚደርሱበት ጋር ለማዛመድ ዘርጋ። በመከላከያ ላይ ይቆዩ እና እስኪከፈት ይጠብቁ.ዲ. ለማስወገድ ይሞክሩ እና እነሱን ለማዳከም ይሞክሩ.</v>
      </c>
      <c r="J49" s="11" t="str">
        <f>IFERROR(__xludf.DUMMYFUNCTION("GOOGLETRANSLATE(D49, ""en"", ""am"")"),"ዝቅተኛ መሆን እና ርቀቱን በመዝጋት ላይ ያተኩሩ።")</f>
        <v>ዝቅተኛ መሆን እና ርቀቱን በመዝጋት ላይ ያተኩሩ።</v>
      </c>
      <c r="K49" s="11" t="str">
        <f>IFERROR(__xludf.DUMMYFUNCTION("GOOGLETRANSLATE(E49, ""en"", ""am"")"),"ቅርበት የተራዘመውን ተደራሽነት ጥቅም ያስወግዳል።")</f>
        <v>ቅርበት የተራዘመውን ተደራሽነት ጥቅም ያስወግዳል።</v>
      </c>
    </row>
    <row r="50" ht="22.5" customHeight="1">
      <c r="A50" s="10">
        <v>49.0</v>
      </c>
      <c r="B50" s="11" t="s">
        <v>3043</v>
      </c>
      <c r="C50" s="11" t="s">
        <v>3044</v>
      </c>
      <c r="D50" s="11" t="s">
        <v>3045</v>
      </c>
      <c r="E50" s="11" t="s">
        <v>3046</v>
      </c>
      <c r="G50" s="11" t="str">
        <f>IFERROR(__xludf.DUMMYFUNCTION("GOOGLETRANSLATE(A50, ""en"", ""am"")"),"49")</f>
        <v>49</v>
      </c>
      <c r="H50" s="11" t="str">
        <f>IFERROR(__xludf.DUMMYFUNCTION("GOOGLETRANSLATE(B50, ""en"", ""am"")"),"ዳኛው ለአስተማማኝ እንቅስቃሴዎች ማስጠንቀቂያ ይሰጣል። ቀጥሎ ምን ማድረግ አለቦት?")</f>
        <v>ዳኛው ለአስተማማኝ እንቅስቃሴዎች ማስጠንቀቂያ ይሰጣል። ቀጥሎ ምን ማድረግ አለቦት?</v>
      </c>
      <c r="I50" s="11" t="str">
        <f>IFERROR(__xludf.DUMMYFUNCTION("GOOGLETRANSLATE(C50, ""en"", ""am"")"),"A. በህጎቹ ውስጥ ለመቆየት ዘዴዎን ያስተካክሉ.B. ድርጊትህን ለዳኛው ግለጽ። ማስጠንቀቂያውን ችላ በል እና ቀጥል.ዲ. ዳኛው ማብራሪያ እንዲሰጥህ ጠይቅ።")</f>
        <v>A. በህጎቹ ውስጥ ለመቆየት ዘዴዎን ያስተካክሉ.B. ድርጊትህን ለዳኛው ግለጽ። ማስጠንቀቂያውን ችላ በል እና ቀጥል.ዲ. ዳኛው ማብራሪያ እንዲሰጥህ ጠይቅ።</v>
      </c>
      <c r="J50" s="11" t="str">
        <f>IFERROR(__xludf.DUMMYFUNCTION("GOOGLETRANSLATE(D50, ""en"", ""am"")"),"በህጎቹ ውስጥ ለመቆየት ዘዴዎን ያስተካክሉ.")</f>
        <v>በህጎቹ ውስጥ ለመቆየት ዘዴዎን ያስተካክሉ.</v>
      </c>
      <c r="K50" s="11" t="str">
        <f>IFERROR(__xludf.DUMMYFUNCTION("GOOGLETRANSLATE(E50, ""en"", ""am"")"),"ህጎቹን መከተል ቅጣቶችን ይከላከላል እና ፍትሃዊ ጨዋታን ያረጋግጣል።")</f>
        <v>ህጎቹን መከተል ቅጣቶችን ይከላከላል እና ፍትሃዊ ጨዋታን ያረጋግጣል።</v>
      </c>
    </row>
    <row r="51" ht="22.5" customHeight="1">
      <c r="A51" s="10">
        <v>50.0</v>
      </c>
      <c r="B51" s="11" t="s">
        <v>3047</v>
      </c>
      <c r="C51" s="11" t="s">
        <v>3048</v>
      </c>
      <c r="D51" s="11" t="s">
        <v>3049</v>
      </c>
      <c r="E51" s="11" t="s">
        <v>3050</v>
      </c>
      <c r="G51" s="11" t="str">
        <f>IFERROR(__xludf.DUMMYFUNCTION("GOOGLETRANSLATE(A51, ""en"", ""am"")"),"50")</f>
        <v>50</v>
      </c>
      <c r="H51" s="11" t="str">
        <f>IFERROR(__xludf.DUMMYFUNCTION("GOOGLETRANSLATE(B51, ""en"", ""am"")"),"በቀደሙት እንቅስቃሴዎች ምክንያት ተቃዋሚዎ አንድ እግርን የሚወድ ይመስላል። ስትራቴጂህን እንዴት ማስተካከል አለብህ?")</f>
        <v>በቀደሙት እንቅስቃሴዎች ምክንያት ተቃዋሚዎ አንድ እግርን የሚወድ ይመስላል። ስትራቴጂህን እንዴት ማስተካከል አለብህ?</v>
      </c>
      <c r="I51" s="11" t="str">
        <f>IFERROR(__xludf.DUMMYFUNCTION("GOOGLETRANSLATE(C51, ""en"", ""am"")"),"ሀ. ጥቅም ለማግኘት ድክመታቸውን ዒላማ ያድርጉ። በምትኩ የላይኛው ሰውነታቸውን በማጥቃት ላይ ያተኩሩ። ለፍትሃዊነት ምክንያቶች የተጎዳውን እግር ማነጣጠር ያስወግዱ.ዲ. ጨዋታውን እንዲያቆም ዳኛውን ይጠይቁ።")</f>
        <v>ሀ. ጥቅም ለማግኘት ድክመታቸውን ዒላማ ያድርጉ። በምትኩ የላይኛው ሰውነታቸውን በማጥቃት ላይ ያተኩሩ። ለፍትሃዊነት ምክንያቶች የተጎዳውን እግር ማነጣጠር ያስወግዱ.ዲ. ጨዋታውን እንዲያቆም ዳኛውን ይጠይቁ።</v>
      </c>
      <c r="J51" s="11" t="str">
        <f>IFERROR(__xludf.DUMMYFUNCTION("GOOGLETRANSLATE(D51, ""en"", ""am"")"),"ጥቅም ለማግኘት ድክመቶቻቸውን ዒላማ ያድርጉ።")</f>
        <v>ጥቅም ለማግኘት ድክመቶቻቸውን ዒላማ ያድርጉ።</v>
      </c>
      <c r="K51" s="11" t="str">
        <f>IFERROR(__xludf.DUMMYFUNCTION("GOOGLETRANSLATE(E51, ""en"", ""am"")"),"ድክመትን መጠቀም በህጎቹ ውስጥ ትክክለኛ ስልት ነው።")</f>
        <v>ድክመትን መጠቀም በህጎቹ ውስጥ ትክክለኛ ስልት ነው።</v>
      </c>
    </row>
    <row r="52" ht="22.5" customHeight="1">
      <c r="A52" s="10">
        <v>51.0</v>
      </c>
      <c r="B52" s="11" t="s">
        <v>3051</v>
      </c>
      <c r="C52" s="11" t="s">
        <v>3052</v>
      </c>
      <c r="D52" s="11" t="s">
        <v>3053</v>
      </c>
      <c r="E52" s="11" t="s">
        <v>3054</v>
      </c>
      <c r="G52" s="11" t="str">
        <f>IFERROR(__xludf.DUMMYFUNCTION("GOOGLETRANSLATE(A52, ""en"", ""am"")"),"51")</f>
        <v>51</v>
      </c>
      <c r="H52" s="11" t="str">
        <f>IFERROR(__xludf.DUMMYFUNCTION("GOOGLETRANSLATE(B52, ""en"", ""am"")"),"ግጥሚያው እኩል ነው፣ እና የትርፍ ሰዓት ይፋ ሆኗል። የእርስዎ ትኩረት ምን መሆን አለበት?")</f>
        <v>ግጥሚያው እኩል ነው፣ እና የትርፍ ሰዓት ይፋ ሆኗል። የእርስዎ ትኩረት ምን መሆን አለበት?</v>
      </c>
      <c r="I52" s="11" t="str">
        <f>IFERROR(__xludf.DUMMYFUNCTION("GOOGLETRANSLATE(C52, ""en"", ""am"")"),"ሀ. ጉልበት ይቆጥቡ እና ቁልፍ ክፍተቶችን ያግኙ። ጨዋታውን በፍጥነት ለመጨረስ አጥብቀው ያጠቁ። የተቃዋሚውን ስህተት መከላከል እና ተስፋ ማድረግD. ለመዘጋጀት የተወሰነ ጊዜ ይጠይቁ.")</f>
        <v>ሀ. ጉልበት ይቆጥቡ እና ቁልፍ ክፍተቶችን ያግኙ። ጨዋታውን በፍጥነት ለመጨረስ አጥብቀው ያጠቁ። የተቃዋሚውን ስህተት መከላከል እና ተስፋ ማድረግD. ለመዘጋጀት የተወሰነ ጊዜ ይጠይቁ.</v>
      </c>
      <c r="J52" s="11" t="str">
        <f>IFERROR(__xludf.DUMMYFUNCTION("GOOGLETRANSLATE(D52, ""en"", ""am"")"),"ጉልበት ይቆጥቡ እና ቁልፍ ክፍተቶችን ያግኙ")</f>
        <v>ጉልበት ይቆጥቡ እና ቁልፍ ክፍተቶችን ያግኙ</v>
      </c>
      <c r="K52" s="11" t="str">
        <f>IFERROR(__xludf.DUMMYFUNCTION("GOOGLETRANSLATE(E52, ""en"", ""am"")"),"በትርፍ ሰዓት ውስጥ ተደራጅቶ እና ስልታዊ መሆን ወሳኝ ነው።")</f>
        <v>በትርፍ ሰዓት ውስጥ ተደራጅቶ እና ስልታዊ መሆን ወሳኝ ነው።</v>
      </c>
    </row>
    <row r="53" ht="22.5" customHeight="1">
      <c r="A53" s="10">
        <v>52.0</v>
      </c>
      <c r="B53" s="11" t="s">
        <v>3055</v>
      </c>
      <c r="C53" s="11" t="s">
        <v>3056</v>
      </c>
      <c r="D53" s="11" t="s">
        <v>3057</v>
      </c>
      <c r="E53" s="11" t="s">
        <v>3058</v>
      </c>
      <c r="G53" s="11" t="str">
        <f>IFERROR(__xludf.DUMMYFUNCTION("GOOGLETRANSLATE(A53, ""en"", ""am"")"),"52")</f>
        <v>52</v>
      </c>
      <c r="H53" s="11" t="str">
        <f>IFERROR(__xludf.DUMMYFUNCTION("GOOGLETRANSLATE(B53, ""en"", ""am"")"),"ተቃዋሚዎ የእጅ አንጓዎን ይይዛል እና እርስዎን ሚዛን ሊጥልዎት ይሞክራል። የእርስዎ ምርጥ ምላሽ ምንድን ነው?")</f>
        <v>ተቃዋሚዎ የእጅ አንጓዎን ይይዛል እና እርስዎን ሚዛን ሊጥልዎት ይሞክራል። የእርስዎ ምርጥ ምላሽ ምንድን ነው?</v>
      </c>
      <c r="I53" s="11" t="str">
        <f>IFERROR(__xludf.DUMMYFUNCTION("GOOGLETRANSLATE(C53, ""en"", ""am"")"),"ሀ. በቦታቸው ገብተው መልሰው ቢ. ለመልቀቅ በኃይል ወደ ኋላ ይጎትቱ።C. ከመያዝ ለማምለጥ ዙሩ።ዲ. የእጅ አንጓዎን እስኪለቁ ድረስ ይጠብቁ.")</f>
        <v>ሀ. በቦታቸው ገብተው መልሰው ቢ. ለመልቀቅ በኃይል ወደ ኋላ ይጎትቱ።C. ከመያዝ ለማምለጥ ዙሩ።ዲ. የእጅ አንጓዎን እስኪለቁ ድረስ ይጠብቁ.</v>
      </c>
      <c r="J53" s="11" t="str">
        <f>IFERROR(__xludf.DUMMYFUNCTION("GOOGLETRANSLATE(D53, ""en"", ""am"")"),"ወደ ቦታቸው ይግቡ እና መልሰው ይውሰዱት።")</f>
        <v>ወደ ቦታቸው ይግቡ እና መልሰው ይውሰዱት።</v>
      </c>
      <c r="K53" s="11" t="str">
        <f>IFERROR(__xludf.DUMMYFUNCTION("GOOGLETRANSLATE(E53, ""en"", ""am"")"),"የያዙትን መቃወም ጥቅማቸውን ያጠፋል።")</f>
        <v>የያዙትን መቃወም ጥቅማቸውን ያጠፋል።</v>
      </c>
    </row>
    <row r="54" ht="22.5" customHeight="1">
      <c r="A54" s="10">
        <v>53.0</v>
      </c>
      <c r="B54" s="11" t="s">
        <v>3059</v>
      </c>
      <c r="C54" s="11" t="s">
        <v>3060</v>
      </c>
      <c r="D54" s="11" t="s">
        <v>3061</v>
      </c>
      <c r="E54" s="11" t="s">
        <v>3062</v>
      </c>
      <c r="G54" s="11" t="str">
        <f>IFERROR(__xludf.DUMMYFUNCTION("GOOGLETRANSLATE(A54, ""en"", ""am"")"),"53")</f>
        <v>53</v>
      </c>
      <c r="H54" s="11" t="str">
        <f>IFERROR(__xludf.DUMMYFUNCTION("GOOGLETRANSLATE(B54, ""en"", ""am"")"),"የማሸነፍ እድል አለህ ነገር ግን ተቃዋሚህ ቀበቶህን አጥብቆ ይይዛል። ምን ማድረግ አለቦት?")</f>
        <v>የማሸነፍ እድል አለህ ነገር ግን ተቃዋሚህ ቀበቶህን አጥብቆ ይይዛል። ምን ማድረግ አለቦት?</v>
      </c>
      <c r="I54" s="11" t="str">
        <f>IFERROR(__xludf.DUMMYFUNCTION("GOOGLETRANSLATE(C54, ""en"", ""am"")"),"ሀ. መጨበጥዎን ለማላላት ወገብዎን ያሽከርክሩ.B. መያዣውን ለመስበር እጃቸውን ይጎትቱ.ሲ. ቀበቶውን ለመልቀቅ መልሰው ይግፏቸው.ዲ. መያዣውን ለማስወገድ በፍጥነት ይንቀሳቀሱ.")</f>
        <v>ሀ. መጨበጥዎን ለማላላት ወገብዎን ያሽከርክሩ.B. መያዣውን ለመስበር እጃቸውን ይጎትቱ.ሲ. ቀበቶውን ለመልቀቅ መልሰው ይግፏቸው.ዲ. መያዣውን ለማስወገድ በፍጥነት ይንቀሳቀሱ.</v>
      </c>
      <c r="J54" s="11" t="str">
        <f>IFERROR(__xludf.DUMMYFUNCTION("GOOGLETRANSLATE(D54, ""en"", ""am"")"),"መያዣዎን ለማላላት ወገብዎን ያሽከርክሩ።")</f>
        <v>መያዣዎን ለማላላት ወገብዎን ያሽከርክሩ።</v>
      </c>
      <c r="K54" s="11" t="str">
        <f>IFERROR(__xludf.DUMMYFUNCTION("GOOGLETRANSLATE(E54, ""en"", ""am"")"),"መዞር እጆቻቸውን ያዳክማል እና መክፈቻን ይፈጥራል.")</f>
        <v>መዞር እጆቻቸውን ያዳክማል እና መክፈቻን ይፈጥራል.</v>
      </c>
    </row>
    <row r="55" ht="22.5" customHeight="1">
      <c r="A55" s="10">
        <v>54.0</v>
      </c>
      <c r="B55" s="11" t="s">
        <v>3063</v>
      </c>
      <c r="C55" s="11" t="s">
        <v>3064</v>
      </c>
      <c r="D55" s="11" t="s">
        <v>3065</v>
      </c>
      <c r="E55" s="11" t="s">
        <v>3066</v>
      </c>
      <c r="G55" s="11" t="str">
        <f>IFERROR(__xludf.DUMMYFUNCTION("GOOGLETRANSLATE(A55, ""en"", ""am"")"),"54")</f>
        <v>54</v>
      </c>
      <c r="H55" s="11" t="str">
        <f>IFERROR(__xludf.DUMMYFUNCTION("GOOGLETRANSLATE(B55, ""en"", ""am"")"),"ተቃዋሚዎ በድንገት ያደናቅፍዎታል ፣ ግን በጉልበቶችዎ ላይ ያርፋሉ። በፍጥነት እንዴት ማገገም ይቻላል?")</f>
        <v>ተቃዋሚዎ በድንገት ያደናቅፍዎታል ፣ ግን በጉልበቶችዎ ላይ ያርፋሉ። በፍጥነት እንዴት ማገገም ይቻላል?</v>
      </c>
      <c r="I55" s="11" t="str">
        <f>IFERROR(__xludf.DUMMYFUNCTION("GOOGLETRANSLATE(C55, ""en"", ""am"")"),"A. ክብደትዎን ቀይረው ወዲያውኑ ተነሱ.B. ዳኛው ጨዋታውን ለአፍታ እንዲያቆም ይጠብቁ። እግሮቻቸውን ለመቆጣጠር D. ለመቃወም በብርቱ ወደ ፊት ግፉ።")</f>
        <v>A. ክብደትዎን ቀይረው ወዲያውኑ ተነሱ.B. ዳኛው ጨዋታውን ለአፍታ እንዲያቆም ይጠብቁ። እግሮቻቸውን ለመቆጣጠር D. ለመቃወም በብርቱ ወደ ፊት ግፉ።</v>
      </c>
      <c r="J55" s="11" t="str">
        <f>IFERROR(__xludf.DUMMYFUNCTION("GOOGLETRANSLATE(D55, ""en"", ""am"")"),"ክብደትዎን ይቀይሩ እና ወዲያውኑ ተነሱ.")</f>
        <v>ክብደትዎን ይቀይሩ እና ወዲያውኑ ተነሱ.</v>
      </c>
      <c r="K55" s="11" t="str">
        <f>IFERROR(__xludf.DUMMYFUNCTION("GOOGLETRANSLATE(E55, ""en"", ""am"")"),"ፈጣን የማገገሚያ ነጥቦችን ሳይተዉ በጨዋታው ውስጥ ያቆይዎታል።")</f>
        <v>ፈጣን የማገገሚያ ነጥቦችን ሳይተዉ በጨዋታው ውስጥ ያቆይዎታል።</v>
      </c>
    </row>
    <row r="56" ht="22.5" customHeight="1">
      <c r="A56" s="10">
        <v>55.0</v>
      </c>
      <c r="B56" s="11" t="s">
        <v>3067</v>
      </c>
      <c r="C56" s="11" t="s">
        <v>3068</v>
      </c>
      <c r="D56" s="11" t="s">
        <v>3069</v>
      </c>
      <c r="E56" s="11" t="s">
        <v>3070</v>
      </c>
      <c r="G56" s="11" t="str">
        <f>IFERROR(__xludf.DUMMYFUNCTION("GOOGLETRANSLATE(A56, ""en"", ""am"")"),"55")</f>
        <v>55</v>
      </c>
      <c r="H56" s="11" t="str">
        <f>IFERROR(__xludf.DUMMYFUNCTION("GOOGLETRANSLATE(B56, ""en"", ""am"")"),"በዝናብ ምክንያት ጩኸቱ ተንሸራታች። እንዴት መላመድ አለብህ?")</f>
        <v>በዝናብ ምክንያት ጩኸቱ ተንሸራታች። እንዴት መላመድ አለብህ?</v>
      </c>
      <c r="I56" s="11" t="str">
        <f>IFERROR(__xludf.DUMMYFUNCTION("GOOGLETRANSLATE(C56, ""en"", ""am"")"),"ሀ. በዝግታ እንቅስቃሴዎች ሚዛንን በመጠበቅ ላይ ያተኩሩ። ጨዋታውን ለመጨረስ በፍጥነት ሩጡ። ጨዋታውን ለአፍታ እንዲያቆም ዳኛውን ይጠይቁ።ዲ. መንሸራተትን ለመከላከል ይቀጥሉ.")</f>
        <v>ሀ. በዝግታ እንቅስቃሴዎች ሚዛንን በመጠበቅ ላይ ያተኩሩ። ጨዋታውን ለመጨረስ በፍጥነት ሩጡ። ጨዋታውን ለአፍታ እንዲያቆም ዳኛውን ይጠይቁ።ዲ. መንሸራተትን ለመከላከል ይቀጥሉ.</v>
      </c>
      <c r="J56" s="11" t="str">
        <f>IFERROR(__xludf.DUMMYFUNCTION("GOOGLETRANSLATE(D56, ""en"", ""am"")"),"በቀስታ እንቅስቃሴዎች ሚዛንን በመጠበቅ ላይ ያተኩሩ።")</f>
        <v>በቀስታ እንቅስቃሴዎች ሚዛንን በመጠበቅ ላይ ያተኩሩ።</v>
      </c>
      <c r="K56" s="11" t="str">
        <f>IFERROR(__xludf.DUMMYFUNCTION("GOOGLETRANSLATE(E56, ""en"", ""am"")"),"ጥንቃቄ የተሞላበት እንቅስቃሴዎች በተንሸራታች ሁኔታዎች ምክንያት የመውደቅ አደጋን ይቀንሳሉ.")</f>
        <v>ጥንቃቄ የተሞላበት እንቅስቃሴዎች በተንሸራታች ሁኔታዎች ምክንያት የመውደቅ አደጋን ይቀንሳሉ.</v>
      </c>
    </row>
    <row r="57" ht="22.5" customHeight="1">
      <c r="A57" s="10">
        <v>56.0</v>
      </c>
      <c r="B57" s="11" t="s">
        <v>3071</v>
      </c>
      <c r="C57" s="11" t="s">
        <v>3072</v>
      </c>
      <c r="D57" s="11" t="s">
        <v>3073</v>
      </c>
      <c r="E57" s="11" t="s">
        <v>3074</v>
      </c>
      <c r="G57" s="11" t="str">
        <f>IFERROR(__xludf.DUMMYFUNCTION("GOOGLETRANSLATE(A57, ""en"", ""am"")"),"56")</f>
        <v>56</v>
      </c>
      <c r="H57" s="11" t="str">
        <f>IFERROR(__xludf.DUMMYFUNCTION("GOOGLETRANSLATE(B57, ""en"", ""am"")"),"ከፍተኛ ውርወራ ሲሞክሩ ተቃዋሚዎ የታችኛውን ሰውነታቸውን ያጋልጣል። ምን ማድረግ አለቦት?")</f>
        <v>ከፍተኛ ውርወራ ሲሞክሩ ተቃዋሚዎ የታችኛውን ሰውነታቸውን ያጋልጣል። ምን ማድረግ አለቦት?</v>
      </c>
      <c r="I57" s="11" t="str">
        <f>IFERROR(__xludf.DUMMYFUNCTION("GOOGLETRANSLATE(C57, ""en"", ""am"")"),"ሀ. ቆጣሪ በእግር ፔዳል ቢ. ተመለስ እና አቋምህን አስተካክል። ዳክዬ መወርወርን ለማስወገድ.ዲ. ለመበቀል ሰውነታቸውን ያዙ።")</f>
        <v>ሀ. ቆጣሪ በእግር ፔዳል ቢ. ተመለስ እና አቋምህን አስተካክል። ዳክዬ መወርወርን ለማስወገድ.ዲ. ለመበቀል ሰውነታቸውን ያዙ።</v>
      </c>
      <c r="J57" s="11" t="str">
        <f>IFERROR(__xludf.DUMMYFUNCTION("GOOGLETRANSLATE(D57, ""en"", ""am"")"),"የእግር ፔዳል ያለው ቆጣሪ")</f>
        <v>የእግር ፔዳል ያለው ቆጣሪ</v>
      </c>
      <c r="K57" s="11" t="str">
        <f>IFERROR(__xludf.DUMMYFUNCTION("GOOGLETRANSLATE(E57, ""en"", ""am"")"),"የታችኛውን የሰውነት አካል ማጋለጥ ለእግር መፋቂያዎች ተጋላጭ ያደርጋቸዋል።")</f>
        <v>የታችኛውን የሰውነት አካል ማጋለጥ ለእግር መፋቂያዎች ተጋላጭ ያደርጋቸዋል።</v>
      </c>
    </row>
    <row r="58" ht="22.5" customHeight="1">
      <c r="A58" s="10">
        <v>57.0</v>
      </c>
      <c r="B58" s="11" t="s">
        <v>3075</v>
      </c>
      <c r="C58" s="11" t="s">
        <v>3076</v>
      </c>
      <c r="D58" s="11" t="s">
        <v>3077</v>
      </c>
      <c r="E58" s="11" t="s">
        <v>3078</v>
      </c>
      <c r="G58" s="11" t="str">
        <f>IFERROR(__xludf.DUMMYFUNCTION("GOOGLETRANSLATE(A58, ""en"", ""am"")"),"57")</f>
        <v>57</v>
      </c>
      <c r="H58" s="11" t="str">
        <f>IFERROR(__xludf.DUMMYFUNCTION("GOOGLETRANSLATE(B58, ""en"", ""am"")"),"በጨዋታው ወቅት ተቃዋሚዎ በአንድ ክንድ ሲደግፍዎት ያስተውላሉ። እንዴት መቀጠል አለብህ?")</f>
        <v>በጨዋታው ወቅት ተቃዋሚዎ በአንድ ክንድ ሲደግፍዎት ያስተውላሉ። እንዴት መቀጠል አለብህ?</v>
      </c>
      <c r="I58" s="11" t="str">
        <f>IFERROR(__xludf.DUMMYFUNCTION("GOOGLETRANSLATE(C58, ""en"", ""am"")"),"ሀ. ደካማ ክንዳቸውን ለጥቅም ያነጣጠሩ.B. ይከላከሉ እና እስኪሳሳቱ ይጠብቁ.ሲ. በምትኩ ያጠቁአቸው.ዲ. በእግር ጥቃቶች ላይ ብቻ ያተኩሩ")</f>
        <v>ሀ. ደካማ ክንዳቸውን ለጥቅም ያነጣጠሩ.B. ይከላከሉ እና እስኪሳሳቱ ይጠብቁ.ሲ. በምትኩ ያጠቁአቸው.ዲ. በእግር ጥቃቶች ላይ ብቻ ያተኩሩ</v>
      </c>
      <c r="J58" s="11" t="str">
        <f>IFERROR(__xludf.DUMMYFUNCTION("GOOGLETRANSLATE(D58, ""en"", ""am"")"),"ለጥቅም ሲባል ደካማ ክንዳቸውን ዒላማ ያድርጉ።")</f>
        <v>ለጥቅም ሲባል ደካማ ክንዳቸውን ዒላማ ያድርጉ።</v>
      </c>
      <c r="K58" s="11" t="str">
        <f>IFERROR(__xludf.DUMMYFUNCTION("GOOGLETRANSLATE(E58, ""en"", ""am"")"),"ድክመታቸውን መበዝበዝ የበላይነቱን ይሰጥሃል።")</f>
        <v>ድክመታቸውን መበዝበዝ የበላይነቱን ይሰጥሃል።</v>
      </c>
    </row>
    <row r="59" ht="22.5" customHeight="1">
      <c r="A59" s="10">
        <v>58.0</v>
      </c>
      <c r="B59" s="11" t="s">
        <v>3079</v>
      </c>
      <c r="C59" s="11" t="s">
        <v>3080</v>
      </c>
      <c r="D59" s="11" t="s">
        <v>3081</v>
      </c>
      <c r="E59" s="11" t="s">
        <v>3082</v>
      </c>
      <c r="G59" s="11" t="str">
        <f>IFERROR(__xludf.DUMMYFUNCTION("GOOGLETRANSLATE(A59, ""en"", ""am"")"),"58")</f>
        <v>58</v>
      </c>
      <c r="H59" s="11" t="str">
        <f>IFERROR(__xludf.DUMMYFUNCTION("GOOGLETRANSLATE(B59, ""en"", ""am"")"),"ዳኛው ጨዋታው ለሌላ ዙር እንደሚቀጥል አስታውቀዋል። ምን ቅድሚያ መስጠት አለቦት?")</f>
        <v>ዳኛው ጨዋታው ለሌላ ዙር እንደሚቀጥል አስታውቀዋል። ምን ቅድሚያ መስጠት አለቦት?</v>
      </c>
      <c r="I59" s="11" t="str">
        <f>IFERROR(__xludf.DUMMYFUNCTION("GOOGLETRANSLATE(C59, ""en"", ""am"")"),"ሀ. ለመጨረሻዎቹ እንቅስቃሴዎች ኃይል መቆጠብ. ዙሩን በኃይል መጀመር. አጭር እረፍት በመጠየቅ ላይ. በመከላከያ እርምጃዎች ላይ መተማመን")</f>
        <v>ሀ. ለመጨረሻዎቹ እንቅስቃሴዎች ኃይል መቆጠብ. ዙሩን በኃይል መጀመር. አጭር እረፍት በመጠየቅ ላይ. በመከላከያ እርምጃዎች ላይ መተማመን</v>
      </c>
      <c r="J59" s="11" t="str">
        <f>IFERROR(__xludf.DUMMYFUNCTION("GOOGLETRANSLATE(D59, ""en"", ""am"")"),"ለመጨረሻዎቹ እንቅስቃሴዎች ኃይልን መቆጠብ")</f>
        <v>ለመጨረሻዎቹ እንቅስቃሴዎች ኃይልን መቆጠብ</v>
      </c>
      <c r="K59" s="11" t="str">
        <f>IFERROR(__xludf.DUMMYFUNCTION("GOOGLETRANSLATE(E59, ""en"", ""am"")"),"ኃይልን መቆጠብ እስከ መጨረሻው ድረስ ጠንካራ ያደርግዎታል።")</f>
        <v>ኃይልን መቆጠብ እስከ መጨረሻው ድረስ ጠንካራ ያደርግዎታል።</v>
      </c>
    </row>
    <row r="60" ht="22.5" customHeight="1">
      <c r="A60" s="10">
        <v>59.0</v>
      </c>
      <c r="B60" s="11" t="s">
        <v>3083</v>
      </c>
      <c r="C60" s="11" t="s">
        <v>3084</v>
      </c>
      <c r="D60" s="11" t="s">
        <v>3085</v>
      </c>
      <c r="E60" s="11" t="s">
        <v>3086</v>
      </c>
      <c r="G60" s="11" t="str">
        <f>IFERROR(__xludf.DUMMYFUNCTION("GOOGLETRANSLATE(A60, ""en"", ""am"")"),"59")</f>
        <v>59</v>
      </c>
      <c r="H60" s="11" t="str">
        <f>IFERROR(__xludf.DUMMYFUNCTION("GOOGLETRANSLATE(B60, ""en"", ""am"")"),"ተቃዋሚዎን ከሚዛናዊነት ለመጣል ድንገተኛ ችግርን ይጠቀማል። ምን ምላሽ መስጠት አለቦት?")</f>
        <v>ተቃዋሚዎን ከሚዛናዊነት ለመጣል ድንገተኛ ችግርን ይጠቀማል። ምን ምላሽ መስጠት አለቦት?</v>
      </c>
      <c r="I60" s="11" t="str">
        <f>IFERROR(__xludf.DUMMYFUNCTION("GOOGLETRANSLATE(C60, ""en"", ""am"")"),"ሀ. ተደራጅተህ ቦታህን ያዝ.B. ለድርጊታቸው በፍጥነት ምላሽ ይስጡ ሲ. የአደጋ ጊዜ ግፊት መለኪያ ዲ. ሚዛን ለመመለስ ተመለስ።")</f>
        <v>ሀ. ተደራጅተህ ቦታህን ያዝ.B. ለድርጊታቸው በፍጥነት ምላሽ ይስጡ ሲ. የአደጋ ጊዜ ግፊት መለኪያ ዲ. ሚዛን ለመመለስ ተመለስ።</v>
      </c>
      <c r="J60" s="11" t="str">
        <f>IFERROR(__xludf.DUMMYFUNCTION("GOOGLETRANSLATE(D60, ""en"", ""am"")"),"ተደራጅተህ ቦታህን ያዝ።")</f>
        <v>ተደራጅተህ ቦታህን ያዝ።</v>
      </c>
      <c r="K60" s="11" t="str">
        <f>IFERROR(__xludf.DUMMYFUNCTION("GOOGLETRANSLATE(E60, ""en"", ""am"")"),"ተቀናጅቶ መቆየት አላስፈላጊ ምላሾችን ያስወግዳል።")</f>
        <v>ተቀናጅቶ መቆየት አላስፈላጊ ምላሾችን ያስወግዳል።</v>
      </c>
    </row>
    <row r="61" ht="22.5" customHeight="1">
      <c r="A61" s="10">
        <v>60.0</v>
      </c>
      <c r="B61" s="11" t="s">
        <v>3087</v>
      </c>
      <c r="C61" s="11" t="s">
        <v>3088</v>
      </c>
      <c r="D61" s="11" t="s">
        <v>3089</v>
      </c>
      <c r="E61" s="11" t="s">
        <v>3090</v>
      </c>
      <c r="G61" s="11" t="str">
        <f>IFERROR(__xludf.DUMMYFUNCTION("GOOGLETRANSLATE(A61, ""en"", ""am"")"),"60")</f>
        <v>60</v>
      </c>
      <c r="H61" s="11" t="str">
        <f>IFERROR(__xludf.DUMMYFUNCTION("GOOGLETRANSLATE(B61, ""en"", ""am"")"),"የጂምናዚየም ወለል ያልተስተካከለ ነው, የእግር ችግርን ይፈጥራል. ምን ማስተካከያዎችን ማድረግ አለቦት?")</f>
        <v>የጂምናዚየም ወለል ያልተስተካከለ ነው, የእግር ችግርን ይፈጥራል. ምን ማስተካከያዎችን ማድረግ አለቦት?</v>
      </c>
      <c r="I61" s="11" t="str">
        <f>IFERROR(__xludf.DUMMYFUNCTION("GOOGLETRANSLATE(C61, ""en"", ""am"")"),"ሀ. ዝቅተኛ የስበት ማእከልን በመጠበቅ ላይ ያተኩሩ.B. የእንቅስቃሴዎን ፍጥነት ይጨምሩ ሐ. ቀጥተኛ ግጭትን ያስወግዱ.ዲ. ዳኛው እንደገና እንዲጀምር ይጠይቁ።")</f>
        <v>ሀ. ዝቅተኛ የስበት ማእከልን በመጠበቅ ላይ ያተኩሩ.B. የእንቅስቃሴዎን ፍጥነት ይጨምሩ ሐ. ቀጥተኛ ግጭትን ያስወግዱ.ዲ. ዳኛው እንደገና እንዲጀምር ይጠይቁ።</v>
      </c>
      <c r="J61" s="11" t="str">
        <f>IFERROR(__xludf.DUMMYFUNCTION("GOOGLETRANSLATE(D61, ""en"", ""am"")"),"ዝቅተኛ የስበት ማእከልን በመጠበቅ ላይ ያተኩሩ.")</f>
        <v>ዝቅተኛ የስበት ማእከልን በመጠበቅ ላይ ያተኩሩ.</v>
      </c>
      <c r="K61" s="11" t="str">
        <f>IFERROR(__xludf.DUMMYFUNCTION("GOOGLETRANSLATE(E61, ""en"", ""am"")"),"ዝቅተኛ የስበት ማእከል ያልተስተካከሉ ንጣፎች ላይ መረጋጋትን ይጨምራል።")</f>
        <v>ዝቅተኛ የስበት ማእከል ያልተስተካከሉ ንጣፎች ላይ መረጋጋትን ይጨምራል።</v>
      </c>
    </row>
    <row r="62" ht="22.5" customHeight="1">
      <c r="A62" s="10">
        <v>61.0</v>
      </c>
      <c r="B62" s="11" t="s">
        <v>3091</v>
      </c>
      <c r="C62" s="11" t="s">
        <v>3092</v>
      </c>
      <c r="D62" s="11" t="s">
        <v>3093</v>
      </c>
      <c r="E62" s="11" t="s">
        <v>3094</v>
      </c>
      <c r="G62" s="11" t="str">
        <f>IFERROR(__xludf.DUMMYFUNCTION("GOOGLETRANSLATE(A62, ""en"", ""am"")"),"61")</f>
        <v>61</v>
      </c>
      <c r="H62" s="11" t="str">
        <f>IFERROR(__xludf.DUMMYFUNCTION("GOOGLETRANSLATE(B62, ""en"", ""am"")"),"ተቃዋሚዎ እርስዎን ወደፊት ለመሳብ ተደጋጋሚ ሙከራዎችን ይጠቀማል። ምን ማድረግ አለቦት?")</f>
        <v>ተቃዋሚዎ እርስዎን ወደፊት ለመሳብ ተደጋጋሚ ሙከራዎችን ይጠቀማል። ምን ማድረግ አለቦት?</v>
      </c>
      <c r="I62" s="11" t="str">
        <f>IFERROR(__xludf.DUMMYFUNCTION("GOOGLETRANSLATE(C62, ""en"", ""am"")"),"ሀ. እግርዎን አጥብቀው ይተክላሉ እና ይቃወሙ.B. ድራጎታቸውን ለማስወገድ ወደፊት ይሂዱ። በእኩል ኃይል ይጎትቷቸው.ዲ. ወደ ኋላ ይጎትቱህ ወደ ኋላ ይጎትቱህ።")</f>
        <v>ሀ. እግርዎን አጥብቀው ይተክላሉ እና ይቃወሙ.B. ድራጎታቸውን ለማስወገድ ወደፊት ይሂዱ። በእኩል ኃይል ይጎትቷቸው.ዲ. ወደ ኋላ ይጎትቱህ ወደ ኋላ ይጎትቱህ።</v>
      </c>
      <c r="J62" s="11" t="str">
        <f>IFERROR(__xludf.DUMMYFUNCTION("GOOGLETRANSLATE(D62, ""en"", ""am"")"),"እግርዎን በጥብቅ ይተክላሉ እና ይቃወሙ.")</f>
        <v>እግርዎን በጥብቅ ይተክላሉ እና ይቃወሙ.</v>
      </c>
      <c r="K62" s="11" t="str">
        <f>IFERROR(__xludf.DUMMYFUNCTION("GOOGLETRANSLATE(E62, ""en"", ""am"")"),"በጠንካራ እግሮች መራመድ ሚዛንዎን እንዳያጡ ይከላከላል.")</f>
        <v>በጠንካራ እግሮች መራመድ ሚዛንዎን እንዳያጡ ይከላከላል.</v>
      </c>
    </row>
    <row r="63" ht="22.5" customHeight="1">
      <c r="A63" s="10">
        <v>62.0</v>
      </c>
      <c r="B63" s="11" t="s">
        <v>3095</v>
      </c>
      <c r="C63" s="11" t="s">
        <v>3096</v>
      </c>
      <c r="D63" s="11" t="s">
        <v>3097</v>
      </c>
      <c r="E63" s="11" t="s">
        <v>3098</v>
      </c>
      <c r="G63" s="11" t="str">
        <f>IFERROR(__xludf.DUMMYFUNCTION("GOOGLETRANSLATE(A63, ""en"", ""am"")"),"62")</f>
        <v>62</v>
      </c>
      <c r="H63" s="11" t="str">
        <f>IFERROR(__xludf.DUMMYFUNCTION("GOOGLETRANSLATE(B63, ""en"", ""am"")"),"ህዝቡ ተቃዋሚዎን ጮክ ብሎ እያበረታታ ነው፣ ​​ይህም ትኩረትን የሚከፋፍል ነው። ይህንን እንዴት መያዝ አለቦት?")</f>
        <v>ህዝቡ ተቃዋሚዎን ጮክ ብሎ እያበረታታ ነው፣ ​​ይህም ትኩረትን የሚከፋፍል ነው። ይህንን እንዴት መያዝ አለቦት?</v>
      </c>
      <c r="I63" s="11" t="str">
        <f>IFERROR(__xludf.DUMMYFUNCTION("GOOGLETRANSLATE(C63, ""en"", ""am"")"),"ሀ. በስትራቴጂዎ ላይ ያተኩሩ እና ጫጫታውን ያግዱ። የራስዎን ሞራል ለማሳደግ ህዝቡን ያሳትፉ። ዳኛው ለተሰበሰበው ሕዝብ ንግግር እንዲሰጥ ጠይቅ.ዲ. ጩኸቱ እስኪቀንስ ድረስ ወደ መከላከያ እንቅስቃሴዎች ይቀይሩ.")</f>
        <v>ሀ. በስትራቴጂዎ ላይ ያተኩሩ እና ጫጫታውን ያግዱ። የራስዎን ሞራል ለማሳደግ ህዝቡን ያሳትፉ። ዳኛው ለተሰበሰበው ሕዝብ ንግግር እንዲሰጥ ጠይቅ.ዲ. ጩኸቱ እስኪቀንስ ድረስ ወደ መከላከያ እንቅስቃሴዎች ይቀይሩ.</v>
      </c>
      <c r="J63" s="11" t="str">
        <f>IFERROR(__xludf.DUMMYFUNCTION("GOOGLETRANSLATE(D63, ""en"", ""am"")"),"በስትራቴጂዎ ላይ ያተኩሩ እና ጫጫታውን ያግዱ")</f>
        <v>በስትራቴጂዎ ላይ ያተኩሩ እና ጫጫታውን ያግዱ</v>
      </c>
      <c r="K63" s="11" t="str">
        <f>IFERROR(__xludf.DUMMYFUNCTION("GOOGLETRANSLATE(E63, ""en"", ""am"")"),"በትኩረት መቆየቱ በህዝቡ እንዳይከፋፈል ይረዳዎታል።")</f>
        <v>በትኩረት መቆየቱ በህዝቡ እንዳይከፋፈል ይረዳዎታል።</v>
      </c>
    </row>
    <row r="64" ht="22.5" customHeight="1">
      <c r="A64" s="10">
        <v>63.0</v>
      </c>
      <c r="B64" s="11" t="s">
        <v>3099</v>
      </c>
      <c r="C64" s="11" t="s">
        <v>3100</v>
      </c>
      <c r="D64" s="11" t="s">
        <v>3101</v>
      </c>
      <c r="E64" s="11" t="s">
        <v>3102</v>
      </c>
      <c r="G64" s="11" t="str">
        <f>IFERROR(__xludf.DUMMYFUNCTION("GOOGLETRANSLATE(A64, ""en"", ""am"")"),"63")</f>
        <v>63</v>
      </c>
      <c r="H64" s="11" t="str">
        <f>IFERROR(__xludf.DUMMYFUNCTION("GOOGLETRANSLATE(B64, ""en"", ""am"")"),"ተቃዋሚዎ በአስቸጋሪ ጊዜ ውስጥ እጆችዎን ይቆልፋሉ. ምን ማድረግ አለቦት?")</f>
        <v>ተቃዋሚዎ በአስቸጋሪ ጊዜ ውስጥ እጆችዎን ይቆልፋሉ. ምን ማድረግ አለቦት?</v>
      </c>
      <c r="I64" s="11" t="str">
        <f>IFERROR(__xludf.DUMMYFUNCTION("GOOGLETRANSLATE(C64, ""en"", ""am"")"),"ሀ. ለመልቀቅ ሰውነታችሁን አዙሩ.B. በኃይል ወደ ኋላ ይጎትቱ.ሲ. እነሱን ለማረጋጋት እግሮችዎን ይጠቀሙ.ዲ. ዳኛው ጣልቃ እስኪገባ ድረስ ይጠብቁ.")</f>
        <v>ሀ. ለመልቀቅ ሰውነታችሁን አዙሩ.B. በኃይል ወደ ኋላ ይጎትቱ.ሲ. እነሱን ለማረጋጋት እግሮችዎን ይጠቀሙ.ዲ. ዳኛው ጣልቃ እስኪገባ ድረስ ይጠብቁ.</v>
      </c>
      <c r="J64" s="11" t="str">
        <f>IFERROR(__xludf.DUMMYFUNCTION("GOOGLETRANSLATE(D64, ""en"", ""am"")"),"ለመልቀቅ ሰውነታችሁን አዙሩ።")</f>
        <v>ለመልቀቅ ሰውነታችሁን አዙሩ።</v>
      </c>
      <c r="K64" s="11" t="str">
        <f>IFERROR(__xludf.DUMMYFUNCTION("GOOGLETRANSLATE(E64, ""en"", ""am"")"),"ሰውነትዎን ማዞር የእጅ መቆለፊያን ለማምለጥ ይረዳል.")</f>
        <v>ሰውነትዎን ማዞር የእጅ መቆለፊያን ለማምለጥ ይረዳል.</v>
      </c>
    </row>
    <row r="65" ht="22.5" customHeight="1">
      <c r="A65" s="10">
        <v>64.0</v>
      </c>
      <c r="B65" s="11" t="s">
        <v>3103</v>
      </c>
      <c r="C65" s="11" t="s">
        <v>3104</v>
      </c>
      <c r="D65" s="11" t="s">
        <v>3105</v>
      </c>
      <c r="E65" s="11" t="s">
        <v>3106</v>
      </c>
      <c r="G65" s="11" t="str">
        <f>IFERROR(__xludf.DUMMYFUNCTION("GOOGLETRANSLATE(A65, ""en"", ""am"")"),"64")</f>
        <v>64</v>
      </c>
      <c r="H65" s="11" t="str">
        <f>IFERROR(__xludf.DUMMYFUNCTION("GOOGLETRANSLATE(B65, ""en"", ""am"")"),"ከዳር ዳር ልትወድቅ ነው። በጨዋታው ውስጥ እንዴት መቆየት ይችላሉ?")</f>
        <v>ከዳር ዳር ልትወድቅ ነው። በጨዋታው ውስጥ እንዴት መቆየት ይችላሉ?</v>
      </c>
      <c r="I65" s="11" t="str">
        <f>IFERROR(__xludf.DUMMYFUNCTION("GOOGLETRANSLATE(C65, ""en"", ""am"")"),"ሀ. ክብደትዎን ወደ ሴንተር ቢ ይመልሱ። መጀመሪያ እነሱን ለማውጣት ተቃዋሚዎን ይግፉ። ዳኛው ቦታውን እንደገና እንዲጀምር ይጠይቁ.ዲ. ግጥሚያውን እንደገና ለማስጀመር ሆን ብለው ይውጡ")</f>
        <v>ሀ. ክብደትዎን ወደ ሴንተር ቢ ይመልሱ። መጀመሪያ እነሱን ለማውጣት ተቃዋሚዎን ይግፉ። ዳኛው ቦታውን እንደገና እንዲጀምር ይጠይቁ.ዲ. ግጥሚያውን እንደገና ለማስጀመር ሆን ብለው ይውጡ</v>
      </c>
      <c r="J65" s="11" t="str">
        <f>IFERROR(__xludf.DUMMYFUNCTION("GOOGLETRANSLATE(D65, ""en"", ""am"")"),"ክብደትዎን ወደ መሃል ይመልሱ")</f>
        <v>ክብደትዎን ወደ መሃል ይመልሱ</v>
      </c>
      <c r="K65" s="11" t="str">
        <f>IFERROR(__xludf.DUMMYFUNCTION("GOOGLETRANSLATE(E65, ""en"", ""am"")"),"በገደብ ውስጥ መቆየት ግጥሚያውን ንቁ ያደርገዋል።")</f>
        <v>በገደብ ውስጥ መቆየት ግጥሚያውን ንቁ ያደርገዋል።</v>
      </c>
    </row>
    <row r="66" ht="22.5" customHeight="1">
      <c r="A66" s="10">
        <v>65.0</v>
      </c>
      <c r="B66" s="11" t="s">
        <v>3107</v>
      </c>
      <c r="C66" s="11" t="s">
        <v>3108</v>
      </c>
      <c r="D66" s="11" t="s">
        <v>3109</v>
      </c>
      <c r="E66" s="11" t="s">
        <v>3110</v>
      </c>
      <c r="G66" s="11" t="str">
        <f>IFERROR(__xludf.DUMMYFUNCTION("GOOGLETRANSLATE(A66, ""en"", ""am"")"),"65")</f>
        <v>65</v>
      </c>
      <c r="H66" s="11" t="str">
        <f>IFERROR(__xludf.DUMMYFUNCTION("GOOGLETRANSLATE(B66, ""en"", ""am"")"),"የተቃዋሚዎ እንቅስቃሴ ሊተነበይ የማይችል ነው, ይህም ለመቋቋም አስቸጋሪ ያደርገዋል. ምን ማድረግ አለቦት?")</f>
        <v>የተቃዋሚዎ እንቅስቃሴ ሊተነበይ የማይችል ነው, ይህም ለመቋቋም አስቸጋሪ ያደርገዋል. ምን ማድረግ አለቦት?</v>
      </c>
      <c r="I66" s="11" t="str">
        <f>IFERROR(__xludf.DUMMYFUNCTION("GOOGLETRANSLATE(C66, ""en"", ""am"")"),"ሀ. ስልቶቻቸውን ይመልከቱ እና ጊዜዎን ያስተካክሉ። እነሱን ለማሸነፍ በኃይል ይንቀሳቀሱ.ሲ. እስኪሳኩ ድረስ በመከላከያ ዘዴዎች ላይ ተመርኩዞ መ. እንደገና ለመሰባሰብ የጊዜ ማብቂያ ጠይቅ")</f>
        <v>ሀ. ስልቶቻቸውን ይመልከቱ እና ጊዜዎን ያስተካክሉ። እነሱን ለማሸነፍ በኃይል ይንቀሳቀሱ.ሲ. እስኪሳኩ ድረስ በመከላከያ ዘዴዎች ላይ ተመርኩዞ መ. እንደገና ለመሰባሰብ የጊዜ ማብቂያ ጠይቅ</v>
      </c>
      <c r="J66" s="11" t="str">
        <f>IFERROR(__xludf.DUMMYFUNCTION("GOOGLETRANSLATE(D66, ""en"", ""am"")"),"የእነሱን ዘይቤ ይመልከቱ እና ጊዜዎን ያስተካክሉ።")</f>
        <v>የእነሱን ዘይቤ ይመልከቱ እና ጊዜዎን ያስተካክሉ።</v>
      </c>
      <c r="K66" s="11" t="str">
        <f>IFERROR(__xludf.DUMMYFUNCTION("GOOGLETRANSLATE(E66, ""en"", ""am"")"),"ከእንቅስቃሴዎቻቸው ጋር መላመድ እርስዎን እንዲቆጣጠሩ ያደርግዎታል።")</f>
        <v>ከእንቅስቃሴዎቻቸው ጋር መላመድ እርስዎን እንዲቆጣጠሩ ያደርግዎታል።</v>
      </c>
    </row>
    <row r="67" ht="22.5" customHeight="1">
      <c r="A67" s="10">
        <v>66.0</v>
      </c>
      <c r="B67" s="11" t="s">
        <v>3111</v>
      </c>
      <c r="C67" s="11" t="s">
        <v>3112</v>
      </c>
      <c r="D67" s="11" t="s">
        <v>3113</v>
      </c>
      <c r="E67" s="11" t="s">
        <v>3114</v>
      </c>
      <c r="G67" s="11" t="str">
        <f>IFERROR(__xludf.DUMMYFUNCTION("GOOGLETRANSLATE(A67, ""en"", ""am"")"),"66")</f>
        <v>66</v>
      </c>
      <c r="H67" s="11" t="str">
        <f>IFERROR(__xludf.DUMMYFUNCTION("GOOGLETRANSLATE(B67, ""en"", ""am"")"),"ተቃዋሚዎን በተሳካ ሁኔታ ይሰኩታል፣ ግን እነሱ አጥብቀው ይቃወማሉ። ቁጥጥርን እንዴት ይጠብቃሉ?")</f>
        <v>ተቃዋሚዎን በተሳካ ሁኔታ ይሰኩታል፣ ግን እነሱ አጥብቀው ይቃወማሉ። ቁጥጥርን እንዴት ይጠብቃሉ?</v>
      </c>
      <c r="I67" s="11" t="str">
        <f>IFERROR(__xludf.DUMMYFUNCTION("GOOGLETRANSLATE(C67, ""en"", ""am"")"),"ሀ. ክብደትዎን በእኩል መጠን ያከፋፍሉ እና ሚዛናዊ ይሁኑ. እነሱን ለማዳከም ተጨማሪ ጫና ያድርጉ.ሲ. እነሱን ለማደናገር ቦታዎችን ይቀይሩ.ዲ. ባጭሩ ይልቀቋቸው እና እንደገና ይሳተፉ።")</f>
        <v>ሀ. ክብደትዎን በእኩል መጠን ያከፋፍሉ እና ሚዛናዊ ይሁኑ. እነሱን ለማዳከም ተጨማሪ ጫና ያድርጉ.ሲ. እነሱን ለማደናገር ቦታዎችን ይቀይሩ.ዲ. ባጭሩ ይልቀቋቸው እና እንደገና ይሳተፉ።</v>
      </c>
      <c r="J67" s="11" t="str">
        <f>IFERROR(__xludf.DUMMYFUNCTION("GOOGLETRANSLATE(D67, ""en"", ""am"")"),"ክብደትዎን በእኩል መጠን ያሰራጩ እና ሚዛናዊ ይሁኑ።")</f>
        <v>ክብደትዎን በእኩል መጠን ያሰራጩ እና ሚዛናዊ ይሁኑ።</v>
      </c>
      <c r="K67" s="11" t="str">
        <f>IFERROR(__xludf.DUMMYFUNCTION("GOOGLETRANSLATE(E67, ""en"", ""am"")"),"የተሳካ ፒን ለማቆየት ሚዛን ቁልፍ ነው።")</f>
        <v>የተሳካ ፒን ለማቆየት ሚዛን ቁልፍ ነው።</v>
      </c>
    </row>
    <row r="68" ht="22.5" customHeight="1">
      <c r="A68" s="10">
        <v>67.0</v>
      </c>
      <c r="B68" s="11" t="s">
        <v>3115</v>
      </c>
      <c r="C68" s="11" t="s">
        <v>3116</v>
      </c>
      <c r="D68" s="11" t="s">
        <v>3117</v>
      </c>
      <c r="E68" s="11" t="s">
        <v>3118</v>
      </c>
      <c r="G68" s="11" t="str">
        <f>IFERROR(__xludf.DUMMYFUNCTION("GOOGLETRANSLATE(A68, ""en"", ""am"")"),"67")</f>
        <v>67</v>
      </c>
      <c r="H68" s="11" t="str">
        <f>IFERROR(__xludf.DUMMYFUNCTION("GOOGLETRANSLATE(B68, ""en"", ""am"")"),"ተቃዋሚዎ ጠበኛ እና አደገኛ እንቅስቃሴዎችን መጠቀም ይጀምራል። ምን ማድረግ አለቦት?")</f>
        <v>ተቃዋሚዎ ጠበኛ እና አደገኛ እንቅስቃሴዎችን መጠቀም ይጀምራል። ምን ማድረግ አለቦት?</v>
      </c>
      <c r="I68" s="11" t="str">
        <f>IFERROR(__xludf.DUMMYFUNCTION("GOOGLETRANSLATE(C68, ""en"", ""am"")"),"ሀ. እራስዎን ይጠብቁ እና ዳኛውን ያስጠነቅቁ.B. ጥቃታቸውን በእኩል ኃይል ያዛምዱ። ወደ ኋላ ይመለሱ እና ተሳትፎን ያስወግዱ.ዲ. ደህንነቱ ያልተጠበቀ ቴክኒኮችን ለመቋቋም ይሞክሩ")</f>
        <v>ሀ. እራስዎን ይጠብቁ እና ዳኛውን ያስጠነቅቁ.B. ጥቃታቸውን በእኩል ኃይል ያዛምዱ። ወደ ኋላ ይመለሱ እና ተሳትፎን ያስወግዱ.ዲ. ደህንነቱ ያልተጠበቀ ቴክኒኮችን ለመቋቋም ይሞክሩ</v>
      </c>
      <c r="J68" s="11" t="str">
        <f>IFERROR(__xludf.DUMMYFUNCTION("GOOGLETRANSLATE(D68, ""en"", ""am"")"),"እራስህን ጠብቅ እና ዳኛውን አስጠንቅቅ።")</f>
        <v>እራስህን ጠብቅ እና ዳኛውን አስጠንቅቅ።</v>
      </c>
      <c r="K68" s="11" t="str">
        <f>IFERROR(__xludf.DUMMYFUNCTION("GOOGLETRANSLATE(E68, ""en"", ""am"")"),"ዳኛው ፍትሃዊ ጨዋታ እና ደህንነትን ያረጋግጣል።")</f>
        <v>ዳኛው ፍትሃዊ ጨዋታ እና ደህንነትን ያረጋግጣል።</v>
      </c>
    </row>
    <row r="69" ht="22.5" customHeight="1">
      <c r="A69" s="10">
        <v>68.0</v>
      </c>
      <c r="B69" s="11" t="s">
        <v>3119</v>
      </c>
      <c r="C69" s="11" t="s">
        <v>3120</v>
      </c>
      <c r="D69" s="11" t="s">
        <v>3121</v>
      </c>
      <c r="E69" s="11" t="s">
        <v>3122</v>
      </c>
      <c r="G69" s="11" t="str">
        <f>IFERROR(__xludf.DUMMYFUNCTION("GOOGLETRANSLATE(A69, ""en"", ""am"")"),"68")</f>
        <v>68</v>
      </c>
      <c r="H69" s="11" t="str">
        <f>IFERROR(__xludf.DUMMYFUNCTION("GOOGLETRANSLATE(B69, ""en"", ""am"")"),"ጨዋታው ሊጠናቀቅ አንድ ደቂቃ ብቻ ሲቀረው በአንድ ነጥብ እየመራህ ነው። የእርስዎ ስልት ምን መሆን አለበት?")</f>
        <v>ጨዋታው ሊጠናቀቅ አንድ ደቂቃ ብቻ ሲቀረው በአንድ ነጥብ እየመራህ ነው። የእርስዎ ስልት ምን መሆን አለበት?</v>
      </c>
      <c r="I69" s="11" t="str">
        <f>IFERROR(__xludf.DUMMYFUNCTION("GOOGLETRANSLATE(C69, ""en"", ""am"")"),"ሀ. አመራርህን ለመጠበቅ በጥንቃቄ እራስህን ጠብቅ.B. ተጨማሪ ነጥቦችን ለመጠበቅ አጥብቀው ያጠቁ። ሰዓቱን ለመጨረስ በመቆም ላይ ያተኩሩ.ዲ. ጨዋታውን ቀደም ብሎ እንዲጨርስ ዳኛውን ይጠይቁ።")</f>
        <v>ሀ. አመራርህን ለመጠበቅ በጥንቃቄ እራስህን ጠብቅ.B. ተጨማሪ ነጥቦችን ለመጠበቅ አጥብቀው ያጠቁ። ሰዓቱን ለመጨረስ በመቆም ላይ ያተኩሩ.ዲ. ጨዋታውን ቀደም ብሎ እንዲጨርስ ዳኛውን ይጠይቁ።</v>
      </c>
      <c r="J69" s="11" t="str">
        <f>IFERROR(__xludf.DUMMYFUNCTION("GOOGLETRANSLATE(D69, ""en"", ""am"")"),"አመራርህን ለመጠበቅ በጥንቃቄ እራስህን ጠብቅ።")</f>
        <v>አመራርህን ለመጠበቅ በጥንቃቄ እራስህን ጠብቅ።</v>
      </c>
      <c r="K69" s="11" t="str">
        <f>IFERROR(__xludf.DUMMYFUNCTION("GOOGLETRANSLATE(E69, ""en"", ""am"")"),"የመከላከያ ጨዋታ ያለ አላስፈላጊ አደጋዎች ድልን ለማስጠበቅ ይረዳል።")</f>
        <v>የመከላከያ ጨዋታ ያለ አላስፈላጊ አደጋዎች ድልን ለማስጠበቅ ይረዳል።</v>
      </c>
    </row>
    <row r="70" ht="22.5" customHeight="1">
      <c r="A70" s="10">
        <v>69.0</v>
      </c>
      <c r="B70" s="11" t="s">
        <v>3123</v>
      </c>
      <c r="C70" s="11" t="s">
        <v>3124</v>
      </c>
      <c r="D70" s="11" t="s">
        <v>3125</v>
      </c>
      <c r="E70" s="11" t="s">
        <v>3126</v>
      </c>
      <c r="G70" s="11" t="str">
        <f>IFERROR(__xludf.DUMMYFUNCTION("GOOGLETRANSLATE(A70, ""en"", ""am"")"),"69")</f>
        <v>69</v>
      </c>
      <c r="H70" s="11" t="str">
        <f>IFERROR(__xludf.DUMMYFUNCTION("GOOGLETRANSLATE(B70, ""en"", ""am"")"),"ሊያወርዱህ ሲሞክሩ ተቃዋሚዎ እግርዎን ይይዛል። እንዴት መቃወም አለብህ?")</f>
        <v>ሊያወርዱህ ሲሞክሩ ተቃዋሚዎ እግርዎን ይይዛል። እንዴት መቃወም አለብህ?</v>
      </c>
      <c r="I70" s="11" t="str">
        <f>IFERROR(__xludf.DUMMYFUNCTION("GOOGLETRANSLATE(C70, ""en"", ""am"")"),"ሀ. እነሱን ለማረጋጋት በትከሻቸው ላይ ወደ ታች ይግፉ.B. እግሮችዎን ነፃ ለማድረግ ይዝለሉ። በፍጥነት ወደ ኋላ ይራመዱ.ዲ. እጃቸውን ለመስበር እጆችዎን ይጠቀሙ።")</f>
        <v>ሀ. እነሱን ለማረጋጋት በትከሻቸው ላይ ወደ ታች ይግፉ.B. እግሮችዎን ነፃ ለማድረግ ይዝለሉ። በፍጥነት ወደ ኋላ ይራመዱ.ዲ. እጃቸውን ለመስበር እጆችዎን ይጠቀሙ።</v>
      </c>
      <c r="J70" s="11" t="str">
        <f>IFERROR(__xludf.DUMMYFUNCTION("GOOGLETRANSLATE(D70, ""en"", ""am"")"),"እነሱን ለማረጋጋት በትከሻቸው ላይ ወደታች ይግፉ።")</f>
        <v>እነሱን ለማረጋጋት በትከሻቸው ላይ ወደታች ይግፉ።</v>
      </c>
      <c r="K70" s="11" t="str">
        <f>IFERROR(__xludf.DUMMYFUNCTION("GOOGLETRANSLATE(E70, ""en"", ""am"")"),"ወደ ታች መጫን እጃቸውን ያዛባ እና ቀጥ ያለ መልክ ያደርግዎታል.")</f>
        <v>ወደ ታች መጫን እጃቸውን ያዛባ እና ቀጥ ያለ መልክ ያደርግዎታል.</v>
      </c>
    </row>
    <row r="71" ht="22.5" customHeight="1">
      <c r="A71" s="10">
        <v>70.0</v>
      </c>
      <c r="B71" s="11" t="s">
        <v>3127</v>
      </c>
      <c r="C71" s="11" t="s">
        <v>3128</v>
      </c>
      <c r="D71" s="11" t="s">
        <v>3129</v>
      </c>
      <c r="E71" s="11" t="s">
        <v>3130</v>
      </c>
      <c r="G71" s="11" t="str">
        <f>IFERROR(__xludf.DUMMYFUNCTION("GOOGLETRANSLATE(A71, ""en"", ""am"")"),"70")</f>
        <v>70</v>
      </c>
      <c r="H71" s="11" t="str">
        <f>IFERROR(__xludf.DUMMYFUNCTION("GOOGLETRANSLATE(B71, ""en"", ""am"")"),"በጨዋታው አጋማሽ ላይ ድካም ይሰማዎታል። ምን ማድረግ አለቦት?")</f>
        <v>በጨዋታው አጋማሽ ላይ ድካም ይሰማዎታል። ምን ማድረግ አለቦት?</v>
      </c>
      <c r="I71" s="11" t="str">
        <f>IFERROR(__xludf.DUMMYFUNCTION("GOOGLETRANSLATE(C71, ""en"", ""am"")"),"ሀ. ለማገገም የግጥሚያውን ፍጥነት ይቆጣጠሩ። ግጥሚያውን በበለጠ ፍጥነት ለመጨረስ ይግፉ። ትንፋሹን ለመያዝ ለአጭር ጊዜ ቆም በል.ዲ. ወደ ንጹህ የመከላከያ እንቅስቃሴዎች ይቀይሩ")</f>
        <v>ሀ. ለማገገም የግጥሚያውን ፍጥነት ይቆጣጠሩ። ግጥሚያውን በበለጠ ፍጥነት ለመጨረስ ይግፉ። ትንፋሹን ለመያዝ ለአጭር ጊዜ ቆም በል.ዲ. ወደ ንጹህ የመከላከያ እንቅስቃሴዎች ይቀይሩ</v>
      </c>
      <c r="J71" s="11" t="str">
        <f>IFERROR(__xludf.DUMMYFUNCTION("GOOGLETRANSLATE(D71, ""en"", ""am"")"),"ለማገገም የግጥሚያውን ፍጥነት ይቆጣጠሩ።")</f>
        <v>ለማገገም የግጥሚያውን ፍጥነት ይቆጣጠሩ።</v>
      </c>
      <c r="K71" s="11" t="str">
        <f>IFERROR(__xludf.DUMMYFUNCTION("GOOGLETRANSLATE(E71, ""en"", ""am"")"),"ፍጥነቱን መቆጣጠር ውጤታማ ኃይልን ለመቆጠብ ያስችልዎታል.")</f>
        <v>ፍጥነቱን መቆጣጠር ውጤታማ ኃይልን ለመቆጠብ ያስችልዎታል.</v>
      </c>
    </row>
    <row r="72" ht="22.5" customHeight="1">
      <c r="A72" s="10">
        <v>71.0</v>
      </c>
      <c r="B72" s="11" t="s">
        <v>3131</v>
      </c>
      <c r="C72" s="11" t="s">
        <v>3132</v>
      </c>
      <c r="D72" s="11" t="s">
        <v>3133</v>
      </c>
      <c r="E72" s="11" t="s">
        <v>3134</v>
      </c>
      <c r="G72" s="11" t="str">
        <f>IFERROR(__xludf.DUMMYFUNCTION("GOOGLETRANSLATE(A72, ""en"", ""am"")"),"71")</f>
        <v>71</v>
      </c>
      <c r="H72" s="11" t="str">
        <f>IFERROR(__xludf.DUMMYFUNCTION("GOOGLETRANSLATE(B72, ""en"", ""am"")"),"ተቃዋሚዎ እርስዎን ጭንቅላት ውስጥ በማስገባት እርስዎን ለማውረድ እየሞከረ ነው። የእርስዎ ምርጥ የቆጣሪ እንቅስቃሴ ምንድነው?")</f>
        <v>ተቃዋሚዎ እርስዎን ጭንቅላት ውስጥ በማስገባት እርስዎን ለማውረድ እየሞከረ ነው። የእርስዎ ምርጥ የቆጣሪ እንቅስቃሴ ምንድነው?</v>
      </c>
      <c r="I72" s="11" t="str">
        <f>IFERROR(__xludf.DUMMYFUNCTION("GOOGLETRANSLATE(C72, ""en"", ""am"")"),"ሀ. ሚዛንዎን ለመለወጥ እግሮችዎን ይጠቀሙ.B. የያዝከውን በሃይል ለመስበር ሞክር። ለማምለጥ ሰውነታችሁን አዙሩ። መጨናነቅ እስኪቀንስ ድረስ ይጠብቁ.")</f>
        <v>ሀ. ሚዛንዎን ለመለወጥ እግሮችዎን ይጠቀሙ.B. የያዝከውን በሃይል ለመስበር ሞክር። ለማምለጥ ሰውነታችሁን አዙሩ። መጨናነቅ እስኪቀንስ ድረስ ይጠብቁ.</v>
      </c>
      <c r="J72" s="11" t="str">
        <f>IFERROR(__xludf.DUMMYFUNCTION("GOOGLETRANSLATE(D72, ""en"", ""am"")"),"ለማምለጥ ሰውነታችሁን አዙሩ።")</f>
        <v>ለማምለጥ ሰውነታችሁን አዙሩ።</v>
      </c>
      <c r="K72" s="11" t="str">
        <f>IFERROR(__xludf.DUMMYFUNCTION("GOOGLETRANSLATE(E72, ""en"", ""am"")"),"ሽክርክሪት የጭንቅላት መቆለፊያን ሊያደናቅፍ እና መክፈቻ ሊፈጥር ይችላል.")</f>
        <v>ሽክርክሪት የጭንቅላት መቆለፊያን ሊያደናቅፍ እና መክፈቻ ሊፈጥር ይችላል.</v>
      </c>
    </row>
    <row r="73" ht="22.5" customHeight="1">
      <c r="A73" s="10">
        <v>72.0</v>
      </c>
      <c r="B73" s="11" t="s">
        <v>3135</v>
      </c>
      <c r="C73" s="11" t="s">
        <v>3136</v>
      </c>
      <c r="D73" s="11" t="s">
        <v>3137</v>
      </c>
      <c r="E73" s="11" t="s">
        <v>3138</v>
      </c>
      <c r="G73" s="11" t="str">
        <f>IFERROR(__xludf.DUMMYFUNCTION("GOOGLETRANSLATE(A73, ""en"", ""am"")"),"72")</f>
        <v>72</v>
      </c>
      <c r="H73" s="11" t="str">
        <f>IFERROR(__xludf.DUMMYFUNCTION("GOOGLETRANSLATE(B73, ""en"", ""am"")"),"በጨዋታው ወቅት ተቃዋሚዎ እጆቻቸውን ወደ ታች ሲወርዱ ያስተውላሉ. ምን ማድረግ አለቦት?")</f>
        <v>በጨዋታው ወቅት ተቃዋሚዎ እጆቻቸውን ወደ ታች ሲወርዱ ያስተውላሉ. ምን ማድረግ አለቦት?</v>
      </c>
      <c r="I73" s="11" t="str">
        <f>IFERROR(__xludf.DUMMYFUNCTION("GOOGLETRANSLATE(C73, ""en"", ""am"")"),"ሀ. ለፈጣን የሰውነት አካል ጥቃት ይሂዱ። እግራቸውን ጠቁመዋል። ጥቃታቸውን ለማስወገድ ትኩረት ይስጡ ዲ. መጀመሪያ እንዲያጠቁዋቸው ይጠብቁ።")</f>
        <v>ሀ. ለፈጣን የሰውነት አካል ጥቃት ይሂዱ። እግራቸውን ጠቁመዋል። ጥቃታቸውን ለማስወገድ ትኩረት ይስጡ ዲ. መጀመሪያ እንዲያጠቁዋቸው ይጠብቁ።</v>
      </c>
      <c r="J73" s="11" t="str">
        <f>IFERROR(__xludf.DUMMYFUNCTION("GOOGLETRANSLATE(D73, ""en"", ""am"")"),"ለፈጣን የሰውነት አካል ጥቃት ይሂዱ።")</f>
        <v>ለፈጣን የሰውነት አካል ጥቃት ይሂዱ።</v>
      </c>
      <c r="K73" s="11" t="str">
        <f>IFERROR(__xludf.DUMMYFUNCTION("GOOGLETRANSLATE(E73, ""en"", ""am"")"),"የላይኛውን አካል ማጋለጥ ለፈጣን ጥቃቶች ተጋላጭ ያደርጋቸዋል።")</f>
        <v>የላይኛውን አካል ማጋለጥ ለፈጣን ጥቃቶች ተጋላጭ ያደርጋቸዋል።</v>
      </c>
    </row>
    <row r="74" ht="22.5" customHeight="1">
      <c r="A74" s="10">
        <v>73.0</v>
      </c>
      <c r="B74" s="11" t="s">
        <v>3139</v>
      </c>
      <c r="C74" s="11" t="s">
        <v>3140</v>
      </c>
      <c r="D74" s="11" t="s">
        <v>3141</v>
      </c>
      <c r="E74" s="11" t="s">
        <v>3142</v>
      </c>
      <c r="G74" s="11" t="str">
        <f>IFERROR(__xludf.DUMMYFUNCTION("GOOGLETRANSLATE(A74, ""en"", ""am"")"),"73")</f>
        <v>73</v>
      </c>
      <c r="H74" s="11" t="str">
        <f>IFERROR(__xludf.DUMMYFUNCTION("GOOGLETRANSLATE(B74, ""en"", ""am"")"),"ግጥሚያው ተጀምሯል፣ እና ተቃዋሚዎ በኃይል ያስከፍልዎታል። ምን ምላሽ መስጠት አለቦት?")</f>
        <v>ግጥሚያው ተጀምሯል፣ እና ተቃዋሚዎ በኃይል ያስከፍልዎታል። ምን ምላሽ መስጠት አለቦት?</v>
      </c>
      <c r="I74" s="11" t="str">
        <f>IFERROR(__xludf.DUMMYFUNCTION("GOOGLETRANSLATE(C74, ""en"", ""am"")"),"ሀ. ጎን እና ቆጣሪ ቢ. ለተፅዕኖው ሲ. በፍጥነት ተመለስ.ዲ. በእኩል ኃይል ወደ ኋላ ይግፉ።")</f>
        <v>ሀ. ጎን እና ቆጣሪ ቢ. ለተፅዕኖው ሲ. በፍጥነት ተመለስ.ዲ. በእኩል ኃይል ወደ ኋላ ይግፉ።</v>
      </c>
      <c r="J74" s="11" t="str">
        <f>IFERROR(__xludf.DUMMYFUNCTION("GOOGLETRANSLATE(D74, ""en"", ""am"")"),"ጎን እና ቆጣሪ")</f>
        <v>ጎን እና ቆጣሪ</v>
      </c>
      <c r="K74" s="11" t="str">
        <f>IFERROR(__xludf.DUMMYFUNCTION("GOOGLETRANSLATE(E74, ""en"", ""am"")"),"ቆጣሪ ሲያዘጋጁ ወደ ጎን መራመድ ፍጥነታቸውን ይወስዳሉ።")</f>
        <v>ቆጣሪ ሲያዘጋጁ ወደ ጎን መራመድ ፍጥነታቸውን ይወስዳሉ።</v>
      </c>
    </row>
    <row r="75" ht="22.5" customHeight="1">
      <c r="A75" s="10">
        <v>74.0</v>
      </c>
      <c r="B75" s="11" t="s">
        <v>3143</v>
      </c>
      <c r="C75" s="11" t="s">
        <v>3144</v>
      </c>
      <c r="D75" s="11" t="s">
        <v>3145</v>
      </c>
      <c r="E75" s="11" t="s">
        <v>3146</v>
      </c>
      <c r="G75" s="11" t="str">
        <f>IFERROR(__xludf.DUMMYFUNCTION("GOOGLETRANSLATE(A75, ""en"", ""am"")"),"74")</f>
        <v>74</v>
      </c>
      <c r="H75" s="11" t="str">
        <f>IFERROR(__xludf.DUMMYFUNCTION("GOOGLETRANSLATE(B75, ""en"", ""am"")"),"ወደ ጦርነቱ ቀጣና ጫፍ ይገደዳሉ። እንዴት አድርገው እንደገና መቆጣጠር ይችላሉ?")</f>
        <v>ወደ ጦርነቱ ቀጣና ጫፍ ይገደዳሉ። እንዴት አድርገው እንደገና መቆጣጠር ይችላሉ?</v>
      </c>
      <c r="I75" s="11" t="str">
        <f>IFERROR(__xludf.DUMMYFUNCTION("GOOGLETRANSLATE(C75, ""en"", ""am"")"),"ሀ. ራስዎን መሃል ለማድረግ ወደ ጎን ያዙሩ። ተቃዋሚዎን ወደ ውጭ ይግፉት.C. ከጫፉ አጠገብ ይቆዩ እና ይከላከሉ.ዲ. ዳኛው እንደገና እንዲጀምር ይጠይቁ።")</f>
        <v>ሀ. ራስዎን መሃል ለማድረግ ወደ ጎን ያዙሩ። ተቃዋሚዎን ወደ ውጭ ይግፉት.C. ከጫፉ አጠገብ ይቆዩ እና ይከላከሉ.ዲ. ዳኛው እንደገና እንዲጀምር ይጠይቁ።</v>
      </c>
      <c r="J75" s="11" t="str">
        <f>IFERROR(__xludf.DUMMYFUNCTION("GOOGLETRANSLATE(D75, ""en"", ""am"")"),"እራስዎን መሃል ለማድረግ ወደ ጎን ያዙሩ።")</f>
        <v>እራስዎን መሃል ለማድረግ ወደ ጎን ያዙሩ።</v>
      </c>
      <c r="K75" s="11" t="str">
        <f>IFERROR(__xludf.DUMMYFUNCTION("GOOGLETRANSLATE(E75, ""en"", ""am"")"),"በመሃል ላይ መቆየቱ ከድንበሩ በላይ መሄድ አለመቻልን ያስወግዳል.")</f>
        <v>በመሃል ላይ መቆየቱ ከድንበሩ በላይ መሄድ አለመቻልን ያስወግዳል.</v>
      </c>
    </row>
    <row r="76" ht="22.5" customHeight="1">
      <c r="A76" s="10">
        <v>75.0</v>
      </c>
      <c r="B76" s="11" t="s">
        <v>3147</v>
      </c>
      <c r="C76" s="11" t="s">
        <v>3148</v>
      </c>
      <c r="D76" s="11" t="s">
        <v>3149</v>
      </c>
      <c r="E76" s="11" t="s">
        <v>3150</v>
      </c>
      <c r="G76" s="11" t="str">
        <f>IFERROR(__xludf.DUMMYFUNCTION("GOOGLETRANSLATE(A76, ""en"", ""am"")"),"75")</f>
        <v>75</v>
      </c>
      <c r="H76" s="11" t="str">
        <f>IFERROR(__xludf.DUMMYFUNCTION("GOOGLETRANSLATE(B76, ""en"", ""am"")"),"ተቃዋሚዎ ከእርስዎ የበለጠ ጠንካራ ጥንካሬ አለው. የእርስዎ ስልት ምን መሆን አለበት?")</f>
        <v>ተቃዋሚዎ ከእርስዎ የበለጠ ጠንካራ ጥንካሬ አለው. የእርስዎ ስልት ምን መሆን አለበት?</v>
      </c>
      <c r="I76" s="11" t="str">
        <f>IFERROR(__xludf.DUMMYFUNCTION("GOOGLETRANSLATE(C76, ""en"", ""am"")"),"ሀ.በፍጥነት እና ቴክኒክ ላይ አተኩር። እነሱን ለማዛመድ ቀጥተኛ ጥንካሬን ይተማመኑ። ሙሉ በሙሉ መጨቃጨቅን ያስወግዱ.ዲ. እስኪደክም ድረስ ይጠብቁ.")</f>
        <v>ሀ.በፍጥነት እና ቴክኒክ ላይ አተኩር። እነሱን ለማዛመድ ቀጥተኛ ጥንካሬን ይተማመኑ። ሙሉ በሙሉ መጨቃጨቅን ያስወግዱ.ዲ. እስኪደክም ድረስ ይጠብቁ.</v>
      </c>
      <c r="J76" s="11" t="str">
        <f>IFERROR(__xludf.DUMMYFUNCTION("GOOGLETRANSLATE(D76, ""en"", ""am"")"),"በፍጥነት እና በቴክኒክ ላይ ያተኩሩ")</f>
        <v>በፍጥነት እና በቴክኒክ ላይ ያተኩሩ</v>
      </c>
      <c r="K76" s="11" t="str">
        <f>IFERROR(__xludf.DUMMYFUNCTION("GOOGLETRANSLATE(E76, ""en"", ""am"")"),"ፍጥነት እና ቴክኒክ ጥሬ ጥንካሬን ማሸነፍ ይችላሉ.")</f>
        <v>ፍጥነት እና ቴክኒክ ጥሬ ጥንካሬን ማሸነፍ ይችላሉ.</v>
      </c>
    </row>
    <row r="77" ht="22.5" customHeight="1">
      <c r="A77" s="10">
        <v>76.0</v>
      </c>
      <c r="B77" s="11" t="s">
        <v>3151</v>
      </c>
      <c r="C77" s="11" t="s">
        <v>3152</v>
      </c>
      <c r="D77" s="11" t="s">
        <v>3153</v>
      </c>
      <c r="E77" s="11" t="s">
        <v>3154</v>
      </c>
      <c r="G77" s="11" t="str">
        <f>IFERROR(__xludf.DUMMYFUNCTION("GOOGLETRANSLATE(A77, ""en"", ""am"")"),"76")</f>
        <v>76</v>
      </c>
      <c r="H77" s="11" t="str">
        <f>IFERROR(__xludf.DUMMYFUNCTION("GOOGLETRANSLATE(B77, ""en"", ""am"")"),"በቅርቡ በዝናብ ምክንያት መሬቱ ተንሸራታች ነው። ስትራቴጂህን እንዴት ማስተካከል አለብህ?")</f>
        <v>በቅርቡ በዝናብ ምክንያት መሬቱ ተንሸራታች ነው። ስትራቴጂህን እንዴት ማስተካከል አለብህ?</v>
      </c>
      <c r="I77" s="11" t="str">
        <f>IFERROR(__xludf.DUMMYFUNCTION("GOOGLETRANSLATE(C77, ""en"", ""am"")"),"ሀ. አጭር ቁጥጥር የሚደረግባቸው እንቅስቃሴዎችን ይጠቀሙ። በላይኛው ክፍል ሲ ቢኖርም በኃይል ይንቀሳቀሱ። ግጥሚያው ባለበት እንዲቆም ይጠይቁ ዲ. በመከላከል ላይ ይቆዩ.")</f>
        <v>ሀ. አጭር ቁጥጥር የሚደረግባቸው እንቅስቃሴዎችን ይጠቀሙ። በላይኛው ክፍል ሲ ቢኖርም በኃይል ይንቀሳቀሱ። ግጥሚያው ባለበት እንዲቆም ይጠይቁ ዲ. በመከላከል ላይ ይቆዩ.</v>
      </c>
      <c r="J77" s="11" t="str">
        <f>IFERROR(__xludf.DUMMYFUNCTION("GOOGLETRANSLATE(D77, ""en"", ""am"")"),"አጭር ቁጥጥር የሚደረግባቸው እንቅስቃሴዎችን ይጠቀሙ።")</f>
        <v>አጭር ቁጥጥር የሚደረግባቸው እንቅስቃሴዎችን ይጠቀሙ።</v>
      </c>
      <c r="K77" s="11" t="str">
        <f>IFERROR(__xludf.DUMMYFUNCTION("GOOGLETRANSLATE(E77, ""en"", ""am"")"),"ቁጥጥር የሚደረግባቸው እንቅስቃሴዎች መንሸራተትን ይከላከላሉ እና ሚዛን ይጠብቃሉ.")</f>
        <v>ቁጥጥር የሚደረግባቸው እንቅስቃሴዎች መንሸራተትን ይከላከላሉ እና ሚዛን ይጠብቃሉ.</v>
      </c>
    </row>
    <row r="78" ht="22.5" customHeight="1">
      <c r="A78" s="10">
        <v>77.0</v>
      </c>
      <c r="B78" s="11" t="s">
        <v>3155</v>
      </c>
      <c r="C78" s="11" t="s">
        <v>3156</v>
      </c>
      <c r="D78" s="11" t="s">
        <v>3157</v>
      </c>
      <c r="E78" s="11" t="s">
        <v>3158</v>
      </c>
      <c r="G78" s="11" t="str">
        <f>IFERROR(__xludf.DUMMYFUNCTION("GOOGLETRANSLATE(A78, ""en"", ""am"")"),"77")</f>
        <v>77</v>
      </c>
      <c r="H78" s="11" t="str">
        <f>IFERROR(__xludf.DUMMYFUNCTION("GOOGLETRANSLATE(B78, ""en"", ""am"")"),"ተቃዋሚዎ በተሳካ ሁኔታ ከመሬት ላይ ያነሳዎታል. መወርወርን ለማስወገድ ምን ማድረግ አለብዎት?")</f>
        <v>ተቃዋሚዎ በተሳካ ሁኔታ ከመሬት ላይ ያነሳዎታል. መወርወርን ለማስወገድ ምን ማድረግ አለብዎት?</v>
      </c>
      <c r="I78" s="11" t="str">
        <f>IFERROR(__xludf.DUMMYFUNCTION("GOOGLETRANSLATE(C78, ""en"", ""am"")"),"A. ክብደትዎን ይቀይሩ እና ወደ ታች ይግፉት.B. አጥብቀው ያዟቸው.ሲ. እግርህን በነፃነት ለመምታት ሞክር.ዲ. እነሱ ይጣሉህ እና በኋላ ይቁጠሩ።")</f>
        <v>A. ክብደትዎን ይቀይሩ እና ወደ ታች ይግፉት.B. አጥብቀው ያዟቸው.ሲ. እግርህን በነፃነት ለመምታት ሞክር.ዲ. እነሱ ይጣሉህ እና በኋላ ይቁጠሩ።</v>
      </c>
      <c r="J78" s="11" t="str">
        <f>IFERROR(__xludf.DUMMYFUNCTION("GOOGLETRANSLATE(D78, ""en"", ""am"")"),"ክብደትዎን ይቀይሩ እና ወደ ታች ይግፉ.")</f>
        <v>ክብደትዎን ይቀይሩ እና ወደ ታች ይግፉ.</v>
      </c>
      <c r="K78" s="11" t="str">
        <f>IFERROR(__xludf.DUMMYFUNCTION("GOOGLETRANSLATE(E78, ""en"", ""am"")"),"የክብደት መለዋወጥ ሚዛናቸውን ሊያበላሽ እና መወርወርን ሊያቆማቸው ይችላል።")</f>
        <v>የክብደት መለዋወጥ ሚዛናቸውን ሊያበላሽ እና መወርወርን ሊያቆማቸው ይችላል።</v>
      </c>
    </row>
    <row r="79" ht="22.5" customHeight="1">
      <c r="A79" s="10">
        <v>78.0</v>
      </c>
      <c r="B79" s="11" t="s">
        <v>3159</v>
      </c>
      <c r="C79" s="11" t="s">
        <v>3160</v>
      </c>
      <c r="D79" s="11" t="s">
        <v>3161</v>
      </c>
      <c r="E79" s="11" t="s">
        <v>3162</v>
      </c>
      <c r="G79" s="11" t="str">
        <f>IFERROR(__xludf.DUMMYFUNCTION("GOOGLETRANSLATE(A79, ""en"", ""am"")"),"78")</f>
        <v>78</v>
      </c>
      <c r="H79" s="11" t="str">
        <f>IFERROR(__xludf.DUMMYFUNCTION("GOOGLETRANSLATE(B79, ""en"", ""am"")"),"ከተቃዋሚዎ ጋር እኩል ይዛመዳሉ፣ እና ህዝቡ ጮክ ብሎ ይጮኻል። ትኩረትን እንዴት ይጠብቃሉ?")</f>
        <v>ከተቃዋሚዎ ጋር እኩል ይዛመዳሉ፣ እና ህዝቡ ጮክ ብሎ ይጮኻል። ትኩረትን እንዴት ይጠብቃሉ?</v>
      </c>
      <c r="I79" s="11" t="str">
        <f>IFERROR(__xludf.DUMMYFUNCTION("GOOGLETRANSLATE(C79, ""en"", ""am"")"),"ሀ. በአተነፋፈስዎ እና በእንቅስቃሴዎ ላይ ያተኩሩ.B. የህዝብን ሃይል ይጠቀሙ። ከቴክኒክ ዲ ይልቅ በእውቀት ላይ ተመካ። ቆም ብለህ ሀሳብህን ሰብስብ።")</f>
        <v>ሀ. በአተነፋፈስዎ እና በእንቅስቃሴዎ ላይ ያተኩሩ.B. የህዝብን ሃይል ይጠቀሙ። ከቴክኒክ ዲ ይልቅ በእውቀት ላይ ተመካ። ቆም ብለህ ሀሳብህን ሰብስብ።</v>
      </c>
      <c r="J79" s="11" t="str">
        <f>IFERROR(__xludf.DUMMYFUNCTION("GOOGLETRANSLATE(D79, ""en"", ""am"")"),"በአተነፋፈስዎ እና በእንቅስቃሴዎ ላይ ያተኩሩ.")</f>
        <v>በአተነፋፈስዎ እና በእንቅስቃሴዎ ላይ ያተኩሩ.</v>
      </c>
      <c r="K79" s="11" t="str">
        <f>IFERROR(__xludf.DUMMYFUNCTION("GOOGLETRANSLATE(E79, ""en"", ""am"")"),"በራስዎ ላይ ማተኮር ትኩረትን የሚከፋፍሉ ነገሮችን ለመከላከል ይረዳል.")</f>
        <v>በራስዎ ላይ ማተኮር ትኩረትን የሚከፋፍሉ ነገሮችን ለመከላከል ይረዳል.</v>
      </c>
    </row>
    <row r="80" ht="22.5" customHeight="1">
      <c r="A80" s="10">
        <v>79.0</v>
      </c>
      <c r="B80" s="11" t="s">
        <v>2883</v>
      </c>
      <c r="C80" s="11" t="s">
        <v>3163</v>
      </c>
      <c r="D80" s="11" t="s">
        <v>3164</v>
      </c>
      <c r="E80" s="11" t="s">
        <v>3165</v>
      </c>
      <c r="G80" s="11" t="str">
        <f>IFERROR(__xludf.DUMMYFUNCTION("GOOGLETRANSLATE(A80, ""en"", ""am"")"),"79")</f>
        <v>79</v>
      </c>
      <c r="H80" s="11" t="str">
        <f>IFERROR(__xludf.DUMMYFUNCTION("GOOGLETRANSLATE(B80, ""en"", ""am"")"),"በጨዋታው ወቅት ተቃዋሚዎ እርስዎን ማሾፍ ይጀምራል። ምን ምላሽ መስጠት አለቦት?")</f>
        <v>በጨዋታው ወቅት ተቃዋሚዎ እርስዎን ማሾፍ ይጀምራል። ምን ምላሽ መስጠት አለቦት?</v>
      </c>
      <c r="I80" s="11" t="str">
        <f>IFERROR(__xludf.DUMMYFUNCTION("GOOGLETRANSLATE(C80, ""en"", ""am"")"),"ሀ. ችላ በል እና ትኩረት.B. እነርሱን ለማስፈራራት መልሰው ያፌዙባቸው ነበር.C. ዳኛው ጣልቃ እንዲገባ ጠይቁ.ዲ. እነሱን ለማሸነፍ ግፍዎን ይጨምሩ።")</f>
        <v>ሀ. ችላ በል እና ትኩረት.B. እነርሱን ለማስፈራራት መልሰው ያፌዙባቸው ነበር.C. ዳኛው ጣልቃ እንዲገባ ጠይቁ.ዲ. እነሱን ለማሸነፍ ግፍዎን ይጨምሩ።</v>
      </c>
      <c r="J80" s="11" t="str">
        <f>IFERROR(__xludf.DUMMYFUNCTION("GOOGLETRANSLATE(D80, ""en"", ""am"")"),"እነሱን ችላ ይበሉ እና ትኩረት ያድርጉ።")</f>
        <v>እነሱን ችላ ይበሉ እና ትኩረት ያድርጉ።</v>
      </c>
      <c r="K80" s="11" t="str">
        <f>IFERROR(__xludf.DUMMYFUNCTION("GOOGLETRANSLATE(E80, ""en"", ""am"")"),"በትኩረት መከታተል ማሾፋቸው በአፈጻጸምዎ ላይ ተጽዕኖ እንደማይኖረው ያረጋግጣል።")</f>
        <v>በትኩረት መከታተል ማሾፋቸው በአፈጻጸምዎ ላይ ተጽዕኖ እንደማይኖረው ያረጋግጣል።</v>
      </c>
    </row>
    <row r="81" ht="22.5" customHeight="1">
      <c r="A81" s="10">
        <v>80.0</v>
      </c>
      <c r="B81" s="11" t="s">
        <v>3166</v>
      </c>
      <c r="C81" s="11" t="s">
        <v>3167</v>
      </c>
      <c r="D81" s="11" t="s">
        <v>3168</v>
      </c>
      <c r="E81" s="11" t="s">
        <v>3169</v>
      </c>
      <c r="G81" s="11" t="str">
        <f>IFERROR(__xludf.DUMMYFUNCTION("GOOGLETRANSLATE(A81, ""en"", ""am"")"),"80")</f>
        <v>80</v>
      </c>
      <c r="H81" s="11" t="str">
        <f>IFERROR(__xludf.DUMMYFUNCTION("GOOGLETRANSLATE(B81, ""en"", ""am"")"),"የመጀመሪያውን ዙር ተሸንፈሃል, እና ሁለተኛው ዙር ይጀምራል. የእርስዎ አካሄድ ምን መሆን አለበት?")</f>
        <v>የመጀመሪያውን ዙር ተሸንፈሃል, እና ሁለተኛው ዙር ይጀምራል. የእርስዎ አካሄድ ምን መሆን አለበት?</v>
      </c>
      <c r="I81" s="11" t="str">
        <f>IFERROR(__xludf.DUMMYFUNCTION("GOOGLETRANSLATE(C81, ""en"", ""am"")"),"ሀ. ድክመቶቻቸውን ከመጀመሪያው ዙር ይተንትኑ. ሁሉንም በጉልበት አውጣው.ሲ. ጉልበትን ለመቆጠብ በስሜት ራሳቸውን ይከላከላሉ.ዲ. በአስደናቂ እንቅስቃሴዎች ላይ ብቻ ይተማመኑ")</f>
        <v>ሀ. ድክመቶቻቸውን ከመጀመሪያው ዙር ይተንትኑ. ሁሉንም በጉልበት አውጣው.ሲ. ጉልበትን ለመቆጠብ በስሜት ራሳቸውን ይከላከላሉ.ዲ. በአስደናቂ እንቅስቃሴዎች ላይ ብቻ ይተማመኑ</v>
      </c>
      <c r="J81" s="11" t="str">
        <f>IFERROR(__xludf.DUMMYFUNCTION("GOOGLETRANSLATE(D81, ""en"", ""am"")"),"ድክመቶቻቸውን ከመጀመሪያው ዙር ይተንትኑ.")</f>
        <v>ድክመቶቻቸውን ከመጀመሪያው ዙር ይተንትኑ.</v>
      </c>
      <c r="K81" s="11" t="str">
        <f>IFERROR(__xludf.DUMMYFUNCTION("GOOGLETRANSLATE(E81, ""en"", ""am"")"),"ከመጀመሪያው ዙር መማር ስትራቴጂዎን ለማስተካከል ይረዳዎታል።")</f>
        <v>ከመጀመሪያው ዙር መማር ስትራቴጂዎን ለማስተካከል ይረዳዎታል።</v>
      </c>
    </row>
    <row r="82" ht="22.5" customHeight="1">
      <c r="A82" s="10">
        <v>81.0</v>
      </c>
      <c r="B82" s="11" t="s">
        <v>3170</v>
      </c>
      <c r="C82" s="11" t="s">
        <v>3171</v>
      </c>
      <c r="D82" s="11" t="s">
        <v>3172</v>
      </c>
      <c r="E82" s="11" t="s">
        <v>3173</v>
      </c>
      <c r="G82" s="11" t="str">
        <f>IFERROR(__xludf.DUMMYFUNCTION("GOOGLETRANSLATE(A82, ""en"", ""am"")"),"81")</f>
        <v>81</v>
      </c>
      <c r="H82" s="11" t="str">
        <f>IFERROR(__xludf.DUMMYFUNCTION("GOOGLETRANSLATE(B82, ""en"", ""am"")"),"ተቃዋሚዎ እርስዎን ለመሰካት በተደጋጋሚ ተመሳሳይ ዘዴ ይጠቀማል። ምን ማድረግ አለቦት?")</f>
        <v>ተቃዋሚዎ እርስዎን ለመሰካት በተደጋጋሚ ተመሳሳይ ዘዴ ይጠቀማል። ምን ማድረግ አለቦት?</v>
      </c>
      <c r="I82" s="11" t="str">
        <f>IFERROR(__xludf.DUMMYFUNCTION("GOOGLETRANSLATE(C82, ""en"", ""am"")"),"ሀ. ያንን ዘዴ ለመቃወም መከላከያዎን ያስተካክሉ.B. እነሱ እንዲቀጥሉ እና ስህተቱን ይጠብቁ.ሲ. እነሱን ለማሸነፍ ጥንካሬ ላይ አተኩር.ዲ. ዳኛው እንዲያስጠነቅቃቸው ጠይቁ።")</f>
        <v>ሀ. ያንን ዘዴ ለመቃወም መከላከያዎን ያስተካክሉ.B. እነሱ እንዲቀጥሉ እና ስህተቱን ይጠብቁ.ሲ. እነሱን ለማሸነፍ ጥንካሬ ላይ አተኩር.ዲ. ዳኛው እንዲያስጠነቅቃቸው ጠይቁ።</v>
      </c>
      <c r="J82" s="11" t="str">
        <f>IFERROR(__xludf.DUMMYFUNCTION("GOOGLETRANSLATE(D82, ""en"", ""am"")"),"ያንን ዘዴ ለመቃወም መከላከያዎን ያስተካክሉ።")</f>
        <v>ያንን ዘዴ ለመቃወም መከላከያዎን ያስተካክሉ።</v>
      </c>
      <c r="K82" s="11" t="str">
        <f>IFERROR(__xludf.DUMMYFUNCTION("GOOGLETRANSLATE(E82, ""en"", ""am"")"),"ማመቻቸት ተመሳሳይ እንቅስቃሴን በተደጋጋሚ መጠቀም እንደማይችሉ ያረጋግጣል.")</f>
        <v>ማመቻቸት ተመሳሳይ እንቅስቃሴን በተደጋጋሚ መጠቀም እንደማይችሉ ያረጋግጣል.</v>
      </c>
    </row>
    <row r="83" ht="22.5" customHeight="1">
      <c r="A83" s="10">
        <v>82.0</v>
      </c>
      <c r="B83" s="11" t="s">
        <v>3174</v>
      </c>
      <c r="C83" s="11" t="s">
        <v>3175</v>
      </c>
      <c r="D83" s="11" t="s">
        <v>3176</v>
      </c>
      <c r="E83" s="11" t="s">
        <v>3177</v>
      </c>
      <c r="G83" s="11" t="str">
        <f>IFERROR(__xludf.DUMMYFUNCTION("GOOGLETRANSLATE(A83, ""en"", ""am"")"),"82")</f>
        <v>82</v>
      </c>
      <c r="H83" s="11" t="str">
        <f>IFERROR(__xludf.DUMMYFUNCTION("GOOGLETRANSLATE(B83, ""en"", ""am"")"),"ተቃዋሚዎ ፈጣን ነው ነገር ግን በጥቃታቸው ትክክለኛነቱ ያነሰ ነው። የእርስዎ ምርጥ ስልት ምንድን ነው?")</f>
        <v>ተቃዋሚዎ ፈጣን ነው ነገር ግን በጥቃታቸው ትክክለኛነቱ ያነሰ ነው። የእርስዎ ምርጥ ስልት ምንድን ነው?</v>
      </c>
      <c r="I83" s="11" t="str">
        <f>IFERROR(__xludf.DUMMYFUNCTION("GOOGLETRANSLATE(C83, ""en"", ""am"")"),"ሀ. ስህተቶቻቸውን ለመጠቀም ትክክለኛ ቆጣሪዎችን ይጠቀሙB. ፍጥነታቸውን ለማዛመድ ይሞክሩ። እነርሱን ለማዳከም በስሜት ይከላከላሉ.ዲ. ሁሉንም ጥቃቶቻቸውን በማስወገድ ላይ ያተኩሩ.")</f>
        <v>ሀ. ስህተቶቻቸውን ለመጠቀም ትክክለኛ ቆጣሪዎችን ይጠቀሙB. ፍጥነታቸውን ለማዛመድ ይሞክሩ። እነርሱን ለማዳከም በስሜት ይከላከላሉ.ዲ. ሁሉንም ጥቃቶቻቸውን በማስወገድ ላይ ያተኩሩ.</v>
      </c>
      <c r="J83" s="11" t="str">
        <f>IFERROR(__xludf.DUMMYFUNCTION("GOOGLETRANSLATE(D83, ""en"", ""am"")"),"ስህተቶቻቸውን ለመጠቀም ትክክለኛ ቆጣሪዎችን ይጠቀሙ")</f>
        <v>ስህተቶቻቸውን ለመጠቀም ትክክለኛ ቆጣሪዎችን ይጠቀሙ</v>
      </c>
      <c r="K83" s="11" t="str">
        <f>IFERROR(__xludf.DUMMYFUNCTION("GOOGLETRANSLATE(E83, ""en"", ""am"")"),"ትክክለኛነት በተሳካ ሁኔታ ፍጥነትን ይቋቋማል.")</f>
        <v>ትክክለኛነት በተሳካ ሁኔታ ፍጥነትን ይቋቋማል.</v>
      </c>
    </row>
    <row r="84" ht="22.5" customHeight="1">
      <c r="A84" s="10">
        <v>83.0</v>
      </c>
      <c r="B84" s="11" t="s">
        <v>3178</v>
      </c>
      <c r="C84" s="11" t="s">
        <v>3179</v>
      </c>
      <c r="D84" s="11" t="s">
        <v>3180</v>
      </c>
      <c r="E84" s="11" t="s">
        <v>3181</v>
      </c>
      <c r="G84" s="11" t="str">
        <f>IFERROR(__xludf.DUMMYFUNCTION("GOOGLETRANSLATE(A84, ""en"", ""am"")"),"83")</f>
        <v>83</v>
      </c>
      <c r="H84" s="11" t="str">
        <f>IFERROR(__xludf.DUMMYFUNCTION("GOOGLETRANSLATE(B84, ""en"", ""am"")"),"ዳኛው በጨዋታው ወቅት አጭር እረፍት ይፈቅዳል. ምን ማድረግ አለቦት?")</f>
        <v>ዳኛው በጨዋታው ወቅት አጭር እረፍት ይፈቅዳል. ምን ማድረግ አለቦት?</v>
      </c>
      <c r="I84" s="11" t="str">
        <f>IFERROR(__xludf.DUMMYFUNCTION("GOOGLETRANSLATE(C84, ""en"", ""am"")"),"ሀ. ጉልበትዎን መልሰው ያግኙ እና የእርስዎን ስልት ይገምግሙ.B. ለማነሳሳት ከህዝቡ ጋር ይሳተፉ። የዳኛውን ውሳኔ ተቃወሙ።ዲ. ለማሞቅ ፈጣን እንቅስቃሴዎችን ይለማመዱ።")</f>
        <v>ሀ. ጉልበትዎን መልሰው ያግኙ እና የእርስዎን ስልት ይገምግሙ.B. ለማነሳሳት ከህዝቡ ጋር ይሳተፉ። የዳኛውን ውሳኔ ተቃወሙ።ዲ. ለማሞቅ ፈጣን እንቅስቃሴዎችን ይለማመዱ።</v>
      </c>
      <c r="J84" s="11" t="str">
        <f>IFERROR(__xludf.DUMMYFUNCTION("GOOGLETRANSLATE(D84, ""en"", ""am"")"),"ጉልበትዎን መልሰው ያግኙ እና ስትራቴጂዎን ይገምግሙ።")</f>
        <v>ጉልበትዎን መልሰው ያግኙ እና ስትራቴጂዎን ይገምግሙ።</v>
      </c>
      <c r="K84" s="11" t="str">
        <f>IFERROR(__xludf.DUMMYFUNCTION("GOOGLETRANSLATE(E84, ""en"", ""am"")"),"የእረፍት ጊዜዎን በጥበብ መጠቀም ጥሩ ውጤት ያስገኛል.")</f>
        <v>የእረፍት ጊዜዎን በጥበብ መጠቀም ጥሩ ውጤት ያስገኛል.</v>
      </c>
    </row>
    <row r="85" ht="22.5" customHeight="1">
      <c r="A85" s="10">
        <v>84.0</v>
      </c>
      <c r="B85" s="11" t="s">
        <v>3182</v>
      </c>
      <c r="C85" s="11" t="s">
        <v>3183</v>
      </c>
      <c r="D85" s="11" t="s">
        <v>3184</v>
      </c>
      <c r="E85" s="11" t="s">
        <v>3185</v>
      </c>
      <c r="G85" s="11" t="str">
        <f>IFERROR(__xludf.DUMMYFUNCTION("GOOGLETRANSLATE(A85, ""en"", ""am"")"),"84")</f>
        <v>84</v>
      </c>
      <c r="H85" s="11" t="str">
        <f>IFERROR(__xludf.DUMMYFUNCTION("GOOGLETRANSLATE(B85, ""en"", ""am"")"),"ተቃዋሚዎ ከመሳተፍ ይልቅ ወደ ኋላ መመለሱን ይቀጥላል። ወደ እነርሱ ለመቅረብ ከሁሉ የተሻለው መንገድ ምንድን ነው?")</f>
        <v>ተቃዋሚዎ ከመሳተፍ ይልቅ ወደ ኋላ መመለሱን ይቀጥላል። ወደ እነርሱ ለመቅረብ ከሁሉ የተሻለው መንገድ ምንድን ነው?</v>
      </c>
      <c r="I85" s="11" t="str">
        <f>IFERROR(__xludf.DUMMYFUNCTION("GOOGLETRANSLATE(C85, ""en"", ""am"")"),"ሀ. ርቀቱን በጥንቃቄ ይዝጉ እና ያጠቁ.B. እንቅስቃሴ እስኪያደርጉ ድረስ ይጠብቁ። እንዲያስቡ ያሾፉባቸው.ዲ. ዳኛው ጣልቃ እንዲገባ ይጠይቁ.")</f>
        <v>ሀ. ርቀቱን በጥንቃቄ ይዝጉ እና ያጠቁ.B. እንቅስቃሴ እስኪያደርጉ ድረስ ይጠብቁ። እንዲያስቡ ያሾፉባቸው.ዲ. ዳኛው ጣልቃ እንዲገባ ይጠይቁ.</v>
      </c>
      <c r="J85" s="11" t="str">
        <f>IFERROR(__xludf.DUMMYFUNCTION("GOOGLETRANSLATE(D85, ""en"", ""am"")"),"ርቀቱን በጥንቃቄ ይዝጉ እና ያጠቁ.")</f>
        <v>ርቀቱን በጥንቃቄ ይዝጉ እና ያጠቁ.</v>
      </c>
      <c r="K85" s="11" t="str">
        <f>IFERROR(__xludf.DUMMYFUNCTION("GOOGLETRANSLATE(E85, ""en"", ""am"")"),"ቁጥጥርን ማቆየት እንዲሳተፉ ያስገድዳቸዋል.")</f>
        <v>ቁጥጥርን ማቆየት እንዲሳተፉ ያስገድዳቸዋል.</v>
      </c>
    </row>
    <row r="86" ht="22.5" customHeight="1">
      <c r="A86" s="10">
        <v>85.0</v>
      </c>
      <c r="B86" s="11" t="s">
        <v>3186</v>
      </c>
      <c r="C86" s="11" t="s">
        <v>3187</v>
      </c>
      <c r="D86" s="11" t="s">
        <v>3188</v>
      </c>
      <c r="E86" s="11" t="s">
        <v>3189</v>
      </c>
      <c r="G86" s="11" t="str">
        <f>IFERROR(__xludf.DUMMYFUNCTION("GOOGLETRANSLATE(A86, ""en"", ""am"")"),"85")</f>
        <v>85</v>
      </c>
      <c r="H86" s="11" t="str">
        <f>IFERROR(__xludf.DUMMYFUNCTION("GOOGLETRANSLATE(B86, ""en"", ""am"")"),"ግጥሚያው የተሳሰረ ነው፣ እና እርስዎ በመጨረሻዎቹ ሰከንዶች ውስጥ ነዎት። ምን ቅድሚያ መስጠት አለቦት?")</f>
        <v>ግጥሚያው የተሳሰረ ነው፣ እና እርስዎ በመጨረሻዎቹ ሰከንዶች ውስጥ ነዎት። ምን ቅድሚያ መስጠት አለቦት?</v>
      </c>
      <c r="I86" s="11" t="str">
        <f>IFERROR(__xludf.DUMMYFUNCTION("GOOGLETRANSLATE(C86, ""en"", ""am"")"),"ሀ. ግብን ለማሳካት ወሳኝ እርምጃ መውሰድ. ሽንፈትን ለማስወገድ በመከላከል መጫወት። ተቃዋሚዎን በማሸነፍ ላይ ያተኩሩ.ዲ. ዳኛውን ለተጨማሪ ጊዜ በመጠየቅ")</f>
        <v>ሀ. ግብን ለማሳካት ወሳኝ እርምጃ መውሰድ. ሽንፈትን ለማስወገድ በመከላከል መጫወት። ተቃዋሚዎን በማሸነፍ ላይ ያተኩሩ.ዲ. ዳኛውን ለተጨማሪ ጊዜ በመጠየቅ</v>
      </c>
      <c r="J86" s="11" t="str">
        <f>IFERROR(__xludf.DUMMYFUNCTION("GOOGLETRANSLATE(D86, ""en"", ""am"")"),"ግብ ላይ ለመድረስ ወሳኝ እርምጃ መውሰድ")</f>
        <v>ግብ ላይ ለመድረስ ወሳኝ እርምጃ መውሰድ</v>
      </c>
      <c r="K86" s="11" t="str">
        <f>IFERROR(__xludf.DUMMYFUNCTION("GOOGLETRANSLATE(E86, ""en"", ""am"")"),"ወሳኝ እርምጃዎች ጥብቅ በሆኑ ሁኔታዎች ውስጥ ድልን ማረጋገጥ ይችላሉ.")</f>
        <v>ወሳኝ እርምጃዎች ጥብቅ በሆኑ ሁኔታዎች ውስጥ ድልን ማረጋገጥ ይችላሉ.</v>
      </c>
    </row>
    <row r="87" ht="22.5" customHeight="1">
      <c r="A87" s="10">
        <v>86.0</v>
      </c>
      <c r="B87" s="11" t="s">
        <v>3190</v>
      </c>
      <c r="C87" s="11" t="s">
        <v>3191</v>
      </c>
      <c r="D87" s="11" t="s">
        <v>3192</v>
      </c>
      <c r="E87" s="11" t="s">
        <v>3193</v>
      </c>
      <c r="G87" s="11" t="str">
        <f>IFERROR(__xludf.DUMMYFUNCTION("GOOGLETRANSLATE(A87, ""en"", ""am"")"),"86")</f>
        <v>86</v>
      </c>
      <c r="H87" s="11" t="str">
        <f>IFERROR(__xludf.DUMMYFUNCTION("GOOGLETRANSLATE(B87, ""en"", ""am"")"),"ተቃዋሚዎ ትንሽ ሲወዛወዝ ያስተውላሉ። የእርስዎ ምርጥ ስልት ምንድን ነው?")</f>
        <v>ተቃዋሚዎ ትንሽ ሲወዛወዝ ያስተውላሉ። የእርስዎ ምርጥ ስልት ምንድን ነው?</v>
      </c>
      <c r="I87" s="11" t="str">
        <f>IFERROR(__xludf.DUMMYFUNCTION("GOOGLETRANSLATE(C87, ""en"", ""am"")"),"ሀ. የተዳከመ እንቅስቃሴያቸውን ይጠቀሙ.ቢ. ከማጥቃት ይልቅ በመዋጋት ላይ አተኩር። ጉዳቶቻቸውን ከመጠቀም ተቆጠቡ.ዲ. ዳኛው ጨዋታውን ለአፍታ እንዲያቆም ይጠይቁት።")</f>
        <v>ሀ. የተዳከመ እንቅስቃሴያቸውን ይጠቀሙ.ቢ. ከማጥቃት ይልቅ በመዋጋት ላይ አተኩር። ጉዳቶቻቸውን ከመጠቀም ተቆጠቡ.ዲ. ዳኛው ጨዋታውን ለአፍታ እንዲያቆም ይጠይቁት።</v>
      </c>
      <c r="J87" s="11" t="str">
        <f>IFERROR(__xludf.DUMMYFUNCTION("GOOGLETRANSLATE(D87, ""en"", ""am"")"),"የተዳከመ እንቅስቃሴያቸውን ይጠቀሙ.")</f>
        <v>የተዳከመ እንቅስቃሴያቸውን ይጠቀሙ.</v>
      </c>
      <c r="K87" s="11" t="str">
        <f>IFERROR(__xludf.DUMMYFUNCTION("GOOGLETRANSLATE(E87, ""en"", ""am"")"),"ጉዳታቸውን በገንዘብ ማግኘት ግጥሚያውን ለእርስዎ ሞገስ ሊለውጠው ይችላል።")</f>
        <v>ጉዳታቸውን በገንዘብ ማግኘት ግጥሚያውን ለእርስዎ ሞገስ ሊለውጠው ይችላል።</v>
      </c>
    </row>
    <row r="88" ht="22.5" customHeight="1">
      <c r="A88" s="10">
        <v>87.0</v>
      </c>
      <c r="B88" s="11" t="s">
        <v>3194</v>
      </c>
      <c r="C88" s="11" t="s">
        <v>3195</v>
      </c>
      <c r="D88" s="11" t="s">
        <v>3196</v>
      </c>
      <c r="E88" s="11" t="s">
        <v>3197</v>
      </c>
      <c r="G88" s="11" t="str">
        <f>IFERROR(__xludf.DUMMYFUNCTION("GOOGLETRANSLATE(A88, ""en"", ""am"")"),"87")</f>
        <v>87</v>
      </c>
      <c r="H88" s="11" t="str">
        <f>IFERROR(__xludf.DUMMYFUNCTION("GOOGLETRANSLATE(B88, ""en"", ""am"")"),"መያዣዎ በጣም ወሳኝ በሆነ ጊዜ ላይ እያንሸራተት ነው። እንዴት ማገገም ይቻላል?")</f>
        <v>መያዣዎ በጣም ወሳኝ በሆነ ጊዜ ላይ እያንሸራተት ነው። እንዴት ማገገም ይቻላል?</v>
      </c>
      <c r="I88" s="11" t="str">
        <f>IFERROR(__xludf.DUMMYFUNCTION("GOOGLETRANSLATE(C88, ""en"", ""am"")"),"ሀ. የያዙትን ያስተካክሉ እና ግፊቱን እንደገና ይተግብሩ። ይልቀቁ እና ቦታዎን እንደገና ያስጀምሩ.C. አጥብቆ በመያዝ ላይ አተኩር ዲ. ዳኛው ለአፍታ እንዲያቆም ይጠይቁ።")</f>
        <v>ሀ. የያዙትን ያስተካክሉ እና ግፊቱን እንደገና ይተግብሩ። ይልቀቁ እና ቦታዎን እንደገና ያስጀምሩ.C. አጥብቆ በመያዝ ላይ አተኩር ዲ. ዳኛው ለአፍታ እንዲያቆም ይጠይቁ።</v>
      </c>
      <c r="J88" s="11" t="str">
        <f>IFERROR(__xludf.DUMMYFUNCTION("GOOGLETRANSLATE(D88, ""en"", ""am"")"),"መያዣዎን ያስተካክሉ እና ግፊቱን እንደገና ይተግብሩ።")</f>
        <v>መያዣዎን ያስተካክሉ እና ግፊቱን እንደገና ይተግብሩ።</v>
      </c>
      <c r="K88" s="11" t="str">
        <f>IFERROR(__xludf.DUMMYFUNCTION("GOOGLETRANSLATE(E88, ""en"", ""am"")"),"ማስተካከል ሚዛኑን ሳያጡ መቆጣጠርዎን ያረጋግጣል።")</f>
        <v>ማስተካከል ሚዛኑን ሳያጡ መቆጣጠርዎን ያረጋግጣል።</v>
      </c>
    </row>
    <row r="89" ht="22.5" customHeight="1">
      <c r="A89" s="10">
        <v>88.0</v>
      </c>
      <c r="B89" s="11" t="s">
        <v>3198</v>
      </c>
      <c r="C89" s="11" t="s">
        <v>3199</v>
      </c>
      <c r="D89" s="11" t="s">
        <v>3200</v>
      </c>
      <c r="E89" s="11" t="s">
        <v>3201</v>
      </c>
      <c r="G89" s="11" t="str">
        <f>IFERROR(__xludf.DUMMYFUNCTION("GOOGLETRANSLATE(A89, ""en"", ""am"")"),"88")</f>
        <v>88</v>
      </c>
      <c r="H89" s="11" t="str">
        <f>IFERROR(__xludf.DUMMYFUNCTION("GOOGLETRANSLATE(B89, ""en"", ""am"")"),"ጨዋታው በጠራራ ፀሀይ ስለሚካሄድ ለማየት አስቸጋሪ ያደርገዋል። እንዴት ነው የምትስማማው?")</f>
        <v>ጨዋታው በጠራራ ፀሀይ ስለሚካሄድ ለማየት አስቸጋሪ ያደርገዋል። እንዴት ነው የምትስማማው?</v>
      </c>
      <c r="I89" s="11" t="str">
        <f>IFERROR(__xludf.DUMMYFUNCTION("GOOGLETRANSLATE(C89, ""en"", ""am"")"),"ሀ. የመዳሰስ እንቅስቃሴዎችን በማሰስ ላይ ያተኩሩ.B. በፈጣን ምላሾች ላይ ብቻ ይተማመኑ። ዳኛው የጨዋታውን አቀማመጥ እንዲለውጥ ጠይቁ.ዲ. ስህተቶችን ለማስወገድ ፍጥነትዎን ይቀንሱ")</f>
        <v>ሀ. የመዳሰስ እንቅስቃሴዎችን በማሰስ ላይ ያተኩሩ.B. በፈጣን ምላሾች ላይ ብቻ ይተማመኑ። ዳኛው የጨዋታውን አቀማመጥ እንዲለውጥ ጠይቁ.ዲ. ስህተቶችን ለማስወገድ ፍጥነትዎን ይቀንሱ</v>
      </c>
      <c r="J89" s="11" t="str">
        <f>IFERROR(__xludf.DUMMYFUNCTION("GOOGLETRANSLATE(D89, ""en"", ""am"")"),"የሚዳሰስ እንቅስቃሴዎችን በማሰስ ላይ ያተኩሩ።")</f>
        <v>የሚዳሰስ እንቅስቃሴዎችን በማሰስ ላይ ያተኩሩ።</v>
      </c>
      <c r="K89" s="11" t="str">
        <f>IFERROR(__xludf.DUMMYFUNCTION("GOOGLETRANSLATE(E89, ""en"", ""am"")"),"በንክኪ እንቅስቃሴዎችን ማስተዋል ለእይታ ትኩረትን የሚከፋፍሉ ማካካሻ ነው።")</f>
        <v>በንክኪ እንቅስቃሴዎችን ማስተዋል ለእይታ ትኩረትን የሚከፋፍሉ ማካካሻ ነው።</v>
      </c>
    </row>
    <row r="90" ht="22.5" customHeight="1">
      <c r="A90" s="10">
        <v>89.0</v>
      </c>
      <c r="B90" s="11" t="s">
        <v>3202</v>
      </c>
      <c r="C90" s="11" t="s">
        <v>3203</v>
      </c>
      <c r="D90" s="11" t="s">
        <v>3204</v>
      </c>
      <c r="E90" s="11" t="s">
        <v>3205</v>
      </c>
      <c r="G90" s="11" t="str">
        <f>IFERROR(__xludf.DUMMYFUNCTION("GOOGLETRANSLATE(A90, ""en"", ""am"")"),"89")</f>
        <v>89</v>
      </c>
      <c r="H90" s="11" t="str">
        <f>IFERROR(__xludf.DUMMYFUNCTION("GOOGLETRANSLATE(B90, ""en"", ""am"")"),"ተቃዋሚዎ አደገኛ እንቅስቃሴ ይጀምራል ግን እራሳቸውን ክፍት ይተዋል ። ምን ማድረግ አለቦት?")</f>
        <v>ተቃዋሚዎ አደገኛ እንቅስቃሴ ይጀምራል ግን እራሳቸውን ክፍት ይተዋል ። ምን ማድረግ አለቦት?</v>
      </c>
      <c r="I90" s="11" t="str">
        <f>IFERROR(__xludf.DUMMYFUNCTION("GOOGLETRANSLATE(C90, ""en"", ""am"")"),"ሀ. ለፈጣን ጥቃት ቁልፎቻቸውን ይጠቀሙ። እንቅስቃሴው እስኪጠናቀቅ ድረስ ይጠብቁ.ሲ. የመጀመሪያውን እርምጃ መከላከል.D. ወደኋላ ተመለስ እና አስተውል።")</f>
        <v>ሀ. ለፈጣን ጥቃት ቁልፎቻቸውን ይጠቀሙ። እንቅስቃሴው እስኪጠናቀቅ ድረስ ይጠብቁ.ሲ. የመጀመሪያውን እርምጃ መከላከል.D. ወደኋላ ተመለስ እና አስተውል።</v>
      </c>
      <c r="J90" s="11" t="str">
        <f>IFERROR(__xludf.DUMMYFUNCTION("GOOGLETRANSLATE(D90, ""en"", ""am"")"),"ለፈጣን ጥቃት ቁልፎቻቸውን ይጠቀሙ።")</f>
        <v>ለፈጣን ጥቃት ቁልፎቻቸውን ይጠቀሙ።</v>
      </c>
      <c r="K90" s="11" t="str">
        <f>IFERROR(__xludf.DUMMYFUNCTION("GOOGLETRANSLATE(E90, ""en"", ""am"")"),"በመክፈቻዎች ላይ ብዙ ገንዘብ ማውጣት በጨዋታው ውስጥ ወደፊት እንዲቆዩ ያደርግዎታል።")</f>
        <v>በመክፈቻዎች ላይ ብዙ ገንዘብ ማውጣት በጨዋታው ውስጥ ወደፊት እንዲቆዩ ያደርግዎታል።</v>
      </c>
    </row>
    <row r="91" ht="22.5" customHeight="1">
      <c r="A91" s="10">
        <v>90.0</v>
      </c>
      <c r="B91" s="11" t="s">
        <v>3206</v>
      </c>
      <c r="C91" s="11" t="s">
        <v>3207</v>
      </c>
      <c r="D91" s="11" t="s">
        <v>3208</v>
      </c>
      <c r="E91" s="11" t="s">
        <v>3209</v>
      </c>
      <c r="G91" s="11" t="str">
        <f>IFERROR(__xludf.DUMMYFUNCTION("GOOGLETRANSLATE(A91, ""en"", ""am"")"),"90")</f>
        <v>90</v>
      </c>
      <c r="H91" s="11" t="str">
        <f>IFERROR(__xludf.DUMMYFUNCTION("GOOGLETRANSLATE(B91, ""en"", ""am"")"),"ግጥሚያው ዘግይቷል፣ እና እርስዎ ትዕግስት ማጣት ጀምረዋል። መረጋጋትዎን እንዴት ማቆየት ይችላሉ?")</f>
        <v>ግጥሚያው ዘግይቷል፣ እና እርስዎ ትዕግስት ማጣት ጀምረዋል። መረጋጋትዎን እንዴት ማቆየት ይችላሉ?</v>
      </c>
      <c r="I91" s="11" t="str">
        <f>IFERROR(__xludf.DUMMYFUNCTION("GOOGLETRANSLATE(C91, ""en"", ""am"")"),"ሀ. እንደ እስትንፋስ ባሉ የማረጋጋት ዘዴዎች ላይ ያተኩሩ.B. ኃይልዎን ወደ ሙቀት ያቅርቡ. ህዝቡን በመመልከት ራስዎን ይረብሹ.ዲ. ለዳኛው ቅሬታ አቅርቡ።")</f>
        <v>ሀ. እንደ እስትንፋስ ባሉ የማረጋጋት ዘዴዎች ላይ ያተኩሩ.B. ኃይልዎን ወደ ሙቀት ያቅርቡ. ህዝቡን በመመልከት ራስዎን ይረብሹ.ዲ. ለዳኛው ቅሬታ አቅርቡ።</v>
      </c>
      <c r="J91" s="11" t="str">
        <f>IFERROR(__xludf.DUMMYFUNCTION("GOOGLETRANSLATE(D91, ""en"", ""am"")"),"እንደ መተንፈስ ባሉ የማረጋጋት ዘዴዎች ላይ ያተኩሩ።")</f>
        <v>እንደ መተንፈስ ባሉ የማረጋጋት ዘዴዎች ላይ ያተኩሩ።</v>
      </c>
      <c r="K91" s="11" t="str">
        <f>IFERROR(__xludf.DUMMYFUNCTION("GOOGLETRANSLATE(E91, ""en"", ""am"")"),"መረጋጋት ግጥሚያው ሲቀጥል ዝግጁ መሆንዎን ያረጋግጣል።")</f>
        <v>መረጋጋት ግጥሚያው ሲቀጥል ዝግጁ መሆንዎን ያረጋግጣል።</v>
      </c>
    </row>
    <row r="92" ht="22.5" customHeight="1">
      <c r="A92" s="10">
        <v>91.0</v>
      </c>
      <c r="B92" s="11" t="s">
        <v>3210</v>
      </c>
      <c r="C92" s="11" t="s">
        <v>3211</v>
      </c>
      <c r="D92" s="11" t="s">
        <v>3212</v>
      </c>
      <c r="E92" s="11" t="s">
        <v>3213</v>
      </c>
      <c r="G92" s="11" t="str">
        <f>IFERROR(__xludf.DUMMYFUNCTION("GOOGLETRANSLATE(A92, ""en"", ""am"")"),"91")</f>
        <v>91</v>
      </c>
      <c r="H92" s="11" t="str">
        <f>IFERROR(__xludf.DUMMYFUNCTION("GOOGLETRANSLATE(B92, ""en"", ""am"")"),"በነጥብ እየመራህ ነው፣ ነገር ግን ተቃዋሚህ የብስጭት ምልክቶችን ማሳየት ጀምሯል። የእርስዎ ምርጥ ስልት ምንድን ነው?")</f>
        <v>በነጥብ እየመራህ ነው፣ ነገር ግን ተቃዋሚህ የብስጭት ምልክቶችን ማሳየት ጀምሯል። የእርስዎ ምርጥ ስልት ምንድን ነው?</v>
      </c>
      <c r="I92" s="11" t="str">
        <f>IFERROR(__xludf.DUMMYFUNCTION("GOOGLETRANSLATE(C92, ""en"", ""am"")"),"ሀ. ተረጋጉ እና የጨዋታ እቅድዎን ይከታተሉ.B. የበለጠ እንዲወረውሩ ያፌዙባቸው ነበር.ሲ. ወደ የበለጠ ጠበኛ አቀራረብ ቀይር.ዲ. ኃይልን ለመቆጠብ ፍጥነትዎን ይቀንሱ።")</f>
        <v>ሀ. ተረጋጉ እና የጨዋታ እቅድዎን ይከታተሉ.B. የበለጠ እንዲወረውሩ ያፌዙባቸው ነበር.ሲ. ወደ የበለጠ ጠበኛ አቀራረብ ቀይር.ዲ. ኃይልን ለመቆጠብ ፍጥነትዎን ይቀንሱ።</v>
      </c>
      <c r="J92" s="11" t="str">
        <f>IFERROR(__xludf.DUMMYFUNCTION("GOOGLETRANSLATE(D92, ""en"", ""am"")"),"ይረጋጉ እና የጨዋታ እቅድዎን ይከተሉ።")</f>
        <v>ይረጋጉ እና የጨዋታ እቅድዎን ይከተሉ።</v>
      </c>
      <c r="K92" s="11" t="str">
        <f>IFERROR(__xludf.DUMMYFUNCTION("GOOGLETRANSLATE(E92, ""en"", ""am"")"),"ትኩረት መስጠቱ ለማገገም እድል እንዳይሰጡ ያግዳቸዋል.")</f>
        <v>ትኩረት መስጠቱ ለማገገም እድል እንዳይሰጡ ያግዳቸዋል.</v>
      </c>
    </row>
    <row r="93" ht="22.5" customHeight="1">
      <c r="A93" s="10">
        <v>92.0</v>
      </c>
      <c r="B93" s="11" t="s">
        <v>3214</v>
      </c>
      <c r="C93" s="11" t="s">
        <v>3215</v>
      </c>
      <c r="D93" s="11" t="s">
        <v>3216</v>
      </c>
      <c r="E93" s="11" t="s">
        <v>3217</v>
      </c>
      <c r="G93" s="11" t="str">
        <f>IFERROR(__xludf.DUMMYFUNCTION("GOOGLETRANSLATE(A93, ""en"", ""am"")"),"92")</f>
        <v>92</v>
      </c>
      <c r="H93" s="11" t="str">
        <f>IFERROR(__xludf.DUMMYFUNCTION("GOOGLETRANSLATE(B93, ""en"", ""am"")"),"ተቃዋሚዎ እግሩን ለመጥረግ ሞክሮ ግን ጠፋው። ይህን ስህተት እንዴት ይጠቀማሉ?")</f>
        <v>ተቃዋሚዎ እግሩን ለመጥረግ ሞክሮ ግን ጠፋው። ይህን ስህተት እንዴት ይጠቀማሉ?</v>
      </c>
      <c r="I93" s="11" t="str">
        <f>IFERROR(__xludf.DUMMYFUNCTION("GOOGLETRANSLATE(C93, ""en"", ""am"")"),"ሀ. ሚዛናቸውን በፍጥነት ይግፏቸው.ቢ. ተመለስ እና እንደገና ገምግም.ሲ. እነርሱን ለማስፈራራት ያፌዙባቸዋል.ዲ. ቀጣዩ እርምጃቸውን ይጠብቁ።")</f>
        <v>ሀ. ሚዛናቸውን በፍጥነት ይግፏቸው.ቢ. ተመለስ እና እንደገና ገምግም.ሲ. እነርሱን ለማስፈራራት ያፌዙባቸዋል.ዲ. ቀጣዩ እርምጃቸውን ይጠብቁ።</v>
      </c>
      <c r="J93" s="11" t="str">
        <f>IFERROR(__xludf.DUMMYFUNCTION("GOOGLETRANSLATE(D93, ""en"", ""am"")"),"ሚዛናቸውን በፍጥነት ይግፏቸው።")</f>
        <v>ሚዛናቸውን በፍጥነት ይግፏቸው።</v>
      </c>
      <c r="K93" s="11" t="str">
        <f>IFERROR(__xludf.DUMMYFUNCTION("GOOGLETRANSLATE(E93, ""en"", ""am"")"),"ከስህተታቸው መጠቀማቸው ማዕበሉን ወደ እርስዎ ጥቅም ሊለውጠው ይችላል።")</f>
        <v>ከስህተታቸው መጠቀማቸው ማዕበሉን ወደ እርስዎ ጥቅም ሊለውጠው ይችላል።</v>
      </c>
    </row>
    <row r="94" ht="22.5" customHeight="1">
      <c r="A94" s="10">
        <v>93.0</v>
      </c>
      <c r="B94" s="11" t="s">
        <v>3218</v>
      </c>
      <c r="C94" s="11" t="s">
        <v>3219</v>
      </c>
      <c r="D94" s="11" t="s">
        <v>3220</v>
      </c>
      <c r="E94" s="11" t="s">
        <v>3221</v>
      </c>
      <c r="G94" s="11" t="str">
        <f>IFERROR(__xludf.DUMMYFUNCTION("GOOGLETRANSLATE(A94, ""en"", ""am"")"),"93")</f>
        <v>93</v>
      </c>
      <c r="H94" s="11" t="str">
        <f>IFERROR(__xludf.DUMMYFUNCTION("GOOGLETRANSLATE(B94, ""en"", ""am"")"),"ታዳሚው በተቃዋሚዎ ላይ ጮክ ብሎ ይጮኻል። ጩኸቱን እንዴት ማቆም ይቻላል?")</f>
        <v>ታዳሚው በተቃዋሚዎ ላይ ጮክ ብሎ ይጮኻል። ጩኸቱን እንዴት ማቆም ይቻላል?</v>
      </c>
      <c r="I94" s="11" t="str">
        <f>IFERROR(__xludf.DUMMYFUNCTION("GOOGLETRANSLATE(C94, ""en"", ""am"")"),"ሀ. በቴክኒክዎ እና በአተነፋፈስዎ ላይ ብቻ ያተኩሩ.B. ግፍህን ችላ በል እና ጨምር። ጉልበታቸውንD ለማዛመድ ለህዝቡ ምላሽ ይስጡ። ትኩረትን መልሶ ለማግኘት ግጥሚያውን ለአፍታ ያቁሙ።")</f>
        <v>ሀ. በቴክኒክዎ እና በአተነፋፈስዎ ላይ ብቻ ያተኩሩ.B. ግፍህን ችላ በል እና ጨምር። ጉልበታቸውንD ለማዛመድ ለህዝቡ ምላሽ ይስጡ። ትኩረትን መልሶ ለማግኘት ግጥሚያውን ለአፍታ ያቁሙ።</v>
      </c>
      <c r="J94" s="11" t="str">
        <f>IFERROR(__xludf.DUMMYFUNCTION("GOOGLETRANSLATE(D94, ""en"", ""am"")"),"በቴክኒክዎ እና በአተነፋፈስዎ ላይ ብቻ ያተኩሩ.")</f>
        <v>በቴክኒክዎ እና በአተነፋፈስዎ ላይ ብቻ ያተኩሩ.</v>
      </c>
      <c r="K94" s="11" t="str">
        <f>IFERROR(__xludf.DUMMYFUNCTION("GOOGLETRANSLATE(E94, ""en"", ""am"")"),"በጨዋታዎ ላይ ማተኮር ውጫዊ ሁኔታዎች በአፈፃፀም ላይ ተጽዕኖ እንደማይኖራቸው ያረጋግጣል.")</f>
        <v>በጨዋታዎ ላይ ማተኮር ውጫዊ ሁኔታዎች በአፈፃፀም ላይ ተጽዕኖ እንደማይኖራቸው ያረጋግጣል.</v>
      </c>
    </row>
    <row r="95" ht="22.5" customHeight="1">
      <c r="A95" s="10">
        <v>94.0</v>
      </c>
      <c r="B95" s="11" t="s">
        <v>3222</v>
      </c>
      <c r="C95" s="11" t="s">
        <v>3223</v>
      </c>
      <c r="D95" s="11" t="s">
        <v>3224</v>
      </c>
      <c r="E95" s="11" t="s">
        <v>3225</v>
      </c>
      <c r="G95" s="11" t="str">
        <f>IFERROR(__xludf.DUMMYFUNCTION("GOOGLETRANSLATE(A95, ""en"", ""am"")"),"94")</f>
        <v>94</v>
      </c>
      <c r="H95" s="11" t="str">
        <f>IFERROR(__xludf.DUMMYFUNCTION("GOOGLETRANSLATE(B95, ""en"", ""am"")"),"ድካም ይሰማዎታል፣ ግን ግጥሚያው አሁንም አለ። ምን ቅድሚያ መስጠት አለቦት?")</f>
        <v>ድካም ይሰማዎታል፣ ግን ግጥሚያው አሁንም አለ። ምን ቅድሚያ መስጠት አለቦት?</v>
      </c>
      <c r="I95" s="11" t="str">
        <f>IFERROR(__xludf.DUMMYFUNCTION("GOOGLETRANSLATE(C95, ""en"", ""am"")"),"ሀ. ኢነርጂ ለመቆጠብ ሰውነትዎን ማንቀሳቀስ። ግጥሚያውን በፍጥነት ለመጨረስ ሁለንተናዊ እንቅስቃሴ ሐ. ለማገገም እረፍት በመጠየቅD እስከ ዙሩ መጨረሻ ድረስ ይከላከሉ")</f>
        <v>ሀ. ኢነርጂ ለመቆጠብ ሰውነትዎን ማንቀሳቀስ። ግጥሚያውን በፍጥነት ለመጨረስ ሁለንተናዊ እንቅስቃሴ ሐ. ለማገገም እረፍት በመጠየቅD እስከ ዙሩ መጨረሻ ድረስ ይከላከሉ</v>
      </c>
      <c r="J95" s="11" t="str">
        <f>IFERROR(__xludf.DUMMYFUNCTION("GOOGLETRANSLATE(D95, ""en"", ""am"")"),"ኃይልን ለመቆጠብ ሰውነትዎን ማንቀሳቀስ")</f>
        <v>ኃይልን ለመቆጠብ ሰውነትዎን ማንቀሳቀስ</v>
      </c>
      <c r="K95" s="11" t="str">
        <f>IFERROR(__xludf.DUMMYFUNCTION("GOOGLETRANSLATE(E95, ""en"", ""am"")"),"ቁጥጥር የሚደረግበት እንቅስቃሴ ድካም ቢኖረውም አፈፃፀሙን ለመጠበቅ ይረዳል.")</f>
        <v>ቁጥጥር የሚደረግበት እንቅስቃሴ ድካም ቢኖረውም አፈፃፀሙን ለመጠበቅ ይረዳል.</v>
      </c>
    </row>
    <row r="96" ht="22.5" customHeight="1">
      <c r="A96" s="10">
        <v>95.0</v>
      </c>
      <c r="B96" s="11" t="s">
        <v>3226</v>
      </c>
      <c r="C96" s="11" t="s">
        <v>3227</v>
      </c>
      <c r="D96" s="11" t="s">
        <v>3228</v>
      </c>
      <c r="E96" s="11" t="s">
        <v>3229</v>
      </c>
      <c r="G96" s="11" t="str">
        <f>IFERROR(__xludf.DUMMYFUNCTION("GOOGLETRANSLATE(A96, ""en"", ""am"")"),"95")</f>
        <v>95</v>
      </c>
      <c r="H96" s="11" t="str">
        <f>IFERROR(__xludf.DUMMYFUNCTION("GOOGLETRANSLATE(B96, ""en"", ""am"")"),"ተቃዋሚዎ በድንገት የትግል አቋማቸውን ይለውጣሉ። ምን ምላሽ ትሰጣለህ?")</f>
        <v>ተቃዋሚዎ በድንገት የትግል አቋማቸውን ይለውጣሉ። ምን ምላሽ ትሰጣለህ?</v>
      </c>
      <c r="I96" s="11" t="str">
        <f>IFERROR(__xludf.DUMMYFUNCTION("GOOGLETRANSLATE(C96, ""en"", ""am"")"),"ሀ. በዚህ መሰረት የእርስዎን ስልት ይቆጣጠሩ እና ያመቻቹ.B. አሁን ካለህበት አካሄድ ጋር መጣበቅ። በድንገተኛ ጥቃት ወዲያውኑ ይቆጣጠሩ። እሱን ለመረዳት በስሜታዊነት አዲሱን ቦታቸውን ይከላከላሉ.")</f>
        <v>ሀ. በዚህ መሰረት የእርስዎን ስልት ይቆጣጠሩ እና ያመቻቹ.B. አሁን ካለህበት አካሄድ ጋር መጣበቅ። በድንገተኛ ጥቃት ወዲያውኑ ይቆጣጠሩ። እሱን ለመረዳት በስሜታዊነት አዲሱን ቦታቸውን ይከላከላሉ.</v>
      </c>
      <c r="J96" s="11" t="str">
        <f>IFERROR(__xludf.DUMMYFUNCTION("GOOGLETRANSLATE(D96, ""en"", ""am"")"),"በዚህ መሰረት የእርስዎን ስልት ይከታተሉ እና ያመቻቹ።")</f>
        <v>በዚህ መሰረት የእርስዎን ስልት ይከታተሉ እና ያመቻቹ።</v>
      </c>
      <c r="K96" s="11" t="str">
        <f>IFERROR(__xludf.DUMMYFUNCTION("GOOGLETRANSLATE(E96, ""en"", ""am"")"),"ከለውጦች ጋር መላመድ አንድ እርምጃ ወደፊት እንደሚቀጥል ያረጋግጣል።")</f>
        <v>ከለውጦች ጋር መላመድ አንድ እርምጃ ወደፊት እንደሚቀጥል ያረጋግጣል።</v>
      </c>
    </row>
    <row r="97" ht="22.5" customHeight="1">
      <c r="A97" s="10">
        <v>96.0</v>
      </c>
      <c r="B97" s="11" t="s">
        <v>3230</v>
      </c>
      <c r="C97" s="11" t="s">
        <v>3231</v>
      </c>
      <c r="D97" s="11" t="s">
        <v>3232</v>
      </c>
      <c r="E97" s="11" t="s">
        <v>3233</v>
      </c>
      <c r="G97" s="11" t="str">
        <f>IFERROR(__xludf.DUMMYFUNCTION("GOOGLETRANSLATE(A97, ""en"", ""am"")"),"96")</f>
        <v>96</v>
      </c>
      <c r="H97" s="11" t="str">
        <f>IFERROR(__xludf.DUMMYFUNCTION("GOOGLETRANSLATE(B97, ""en"", ""am"")"),"ጨዋታው የሚካሄደው ወጣ ገባ ያልሆነ ሜዳ ላይ ነው። እንቅስቃሴዎን እንዴት ማስተካከል አለብዎት?")</f>
        <v>ጨዋታው የሚካሄደው ወጣ ገባ ያልሆነ ሜዳ ላይ ነው። እንቅስቃሴዎን እንዴት ማስተካከል አለብዎት?</v>
      </c>
      <c r="I97" s="11" t="str">
        <f>IFERROR(__xludf.DUMMYFUNCTION("GOOGLETRANSLATE(C97, ""en"", ""am"")"),"ሀ. ሚዛንን በመጠበቅ ላይ ያተኩሩ ተከታታይ እርምጃዎች ለ. ውጤታማ ለመሆን በፍጥነት ይመኑ.C. ተጋላጭነትን ለመቀነስ ከመጠን በላይ መሳተፍን ያስወግዱ። ዳኛውን የተለየ ቦታ ይጠይቁ።")</f>
        <v>ሀ. ሚዛንን በመጠበቅ ላይ ያተኩሩ ተከታታይ እርምጃዎች ለ. ውጤታማ ለመሆን በፍጥነት ይመኑ.C. ተጋላጭነትን ለመቀነስ ከመጠን በላይ መሳተፍን ያስወግዱ። ዳኛውን የተለየ ቦታ ይጠይቁ።</v>
      </c>
      <c r="J97" s="11" t="str">
        <f>IFERROR(__xludf.DUMMYFUNCTION("GOOGLETRANSLATE(D97, ""en"", ""am"")"),"በተከታታይ ደረጃዎች ሚዛንን በመጠበቅ ላይ ያተኩሩ።")</f>
        <v>በተከታታይ ደረጃዎች ሚዛንን በመጠበቅ ላይ ያተኩሩ።</v>
      </c>
      <c r="K97" s="11" t="str">
        <f>IFERROR(__xludf.DUMMYFUNCTION("GOOGLETRANSLATE(E97, ""en"", ""am"")"),"መደበኛ እንቅስቃሴዎች ባልተስተካከለ መሬት ላይ እግርዎን ላለማጣት ይረዳሉ።")</f>
        <v>መደበኛ እንቅስቃሴዎች ባልተስተካከለ መሬት ላይ እግርዎን ላለማጣት ይረዳሉ።</v>
      </c>
    </row>
    <row r="98" ht="22.5" customHeight="1">
      <c r="A98" s="10">
        <v>97.0</v>
      </c>
      <c r="B98" s="11" t="s">
        <v>3234</v>
      </c>
      <c r="C98" s="11" t="s">
        <v>3235</v>
      </c>
      <c r="D98" s="11" t="s">
        <v>3236</v>
      </c>
      <c r="E98" s="11" t="s">
        <v>3237</v>
      </c>
      <c r="G98" s="11" t="str">
        <f>IFERROR(__xludf.DUMMYFUNCTION("GOOGLETRANSLATE(A98, ""en"", ""am"")"),"97")</f>
        <v>97</v>
      </c>
      <c r="H98" s="11" t="str">
        <f>IFERROR(__xludf.DUMMYFUNCTION("GOOGLETRANSLATE(B98, ""en"", ""am"")"),"ተቃዋሚዎ ከእርስዎ በጣም ከፍ ያለ ነው። የእርስዎ ዋና ስልት ምን መሆን አለበት?")</f>
        <v>ተቃዋሚዎ ከእርስዎ በጣም ከፍ ያለ ነው። የእርስዎ ዋና ስልት ምን መሆን አለበት?</v>
      </c>
      <c r="I98" s="11" t="str">
        <f>IFERROR(__xludf.DUMMYFUNCTION("GOOGLETRANSLATE(C98, ""en"", ""am"")"),"ሀ. የታችኛውን ሰውነታቸውን በማነጣጠር ላይ ያተኩሩ.B. የከፍታ ጥቅማቸውን ለማጥፋት በመዋጋት ላይ ይመካሉ.ሲ. በጥንካሬ ላይ የተመሰረተ ውድድር ውስጥ ይሳተፉD. በመከላከያ ላይ ይቆዩ እና እስኪከፈት ይጠብቁ.")</f>
        <v>ሀ. የታችኛውን ሰውነታቸውን በማነጣጠር ላይ ያተኩሩ.B. የከፍታ ጥቅማቸውን ለማጥፋት በመዋጋት ላይ ይመካሉ.ሲ. በጥንካሬ ላይ የተመሰረተ ውድድር ውስጥ ይሳተፉD. በመከላከያ ላይ ይቆዩ እና እስኪከፈት ይጠብቁ.</v>
      </c>
      <c r="J98" s="11" t="str">
        <f>IFERROR(__xludf.DUMMYFUNCTION("GOOGLETRANSLATE(D98, ""en"", ""am"")"),"የታችኛውን ሰውነታቸውን በማነጣጠር ላይ ያተኩሩ.")</f>
        <v>የታችኛውን ሰውነታቸውን በማነጣጠር ላይ ያተኩሩ.</v>
      </c>
      <c r="K98" s="11" t="str">
        <f>IFERROR(__xludf.DUMMYFUNCTION("GOOGLETRANSLATE(E98, ""en"", ""am"")"),"የታችኛው አካል ጥቃቶች በረጃጅም ተቃዋሚዎች ላይ ውጤታማ ናቸው.")</f>
        <v>የታችኛው አካል ጥቃቶች በረጃጅም ተቃዋሚዎች ላይ ውጤታማ ናቸው.</v>
      </c>
    </row>
    <row r="99" ht="22.5" customHeight="1">
      <c r="A99" s="10">
        <v>98.0</v>
      </c>
      <c r="B99" s="11" t="s">
        <v>3238</v>
      </c>
      <c r="C99" s="11" t="s">
        <v>3239</v>
      </c>
      <c r="D99" s="11" t="s">
        <v>3240</v>
      </c>
      <c r="E99" s="11" t="s">
        <v>3241</v>
      </c>
      <c r="G99" s="11" t="str">
        <f>IFERROR(__xludf.DUMMYFUNCTION("GOOGLETRANSLATE(A99, ""en"", ""am"")"),"98")</f>
        <v>98</v>
      </c>
      <c r="H99" s="11" t="str">
        <f>IFERROR(__xludf.DUMMYFUNCTION("GOOGLETRANSLATE(B99, ""en"", ""am"")"),"ዳኛው በውጊያው ጊዜ ስለመቆየት ያስጠነቅቃል። እንዴት ነው የሚያስተካክሉት?")</f>
        <v>ዳኛው በውጊያው ጊዜ ስለመቆየት ያስጠነቅቃል። እንዴት ነው የሚያስተካክሉት?</v>
      </c>
      <c r="I99" s="11" t="str">
        <f>IFERROR(__xludf.DUMMYFUNCTION("GOOGLETRANSLATE(C99, ""en"", ""am"")"),"ሀ. መያዣዎን ይልቀቁ እና ወደ ሌላ እንቅስቃሴ ይቀይሩ.B. እንደ ገና እንዳታስተውል ጠብቅ። በውሳኔው ላይ ከዳኛው ጋር ተከራከሩ.ዲ. ተቃዋሚዎ ለጥቂት ጊዜ ይመራል.")</f>
        <v>ሀ. መያዣዎን ይልቀቁ እና ወደ ሌላ እንቅስቃሴ ይቀይሩ.B. እንደ ገና እንዳታስተውል ጠብቅ። በውሳኔው ላይ ከዳኛው ጋር ተከራከሩ.ዲ. ተቃዋሚዎ ለጥቂት ጊዜ ይመራል.</v>
      </c>
      <c r="J99" s="11" t="str">
        <f>IFERROR(__xludf.DUMMYFUNCTION("GOOGLETRANSLATE(D99, ""en"", ""am"")"),"መያዣዎን ይልቀቁ እና ወደ ሌላ እንቅስቃሴ ይቀይሩ።")</f>
        <v>መያዣዎን ይልቀቁ እና ወደ ሌላ እንቅስቃሴ ይቀይሩ።</v>
      </c>
      <c r="K99" s="11" t="str">
        <f>IFERROR(__xludf.DUMMYFUNCTION("GOOGLETRANSLATE(E99, ""en"", ""am"")"),"ስትራቴጂዎችን መቀየር እርስዎ ተወዳዳሪ ሆነው እንዲቀጥሉ እና ህጎቹን መከተልዎን ያረጋግጣል።")</f>
        <v>ስትራቴጂዎችን መቀየር እርስዎ ተወዳዳሪ ሆነው እንዲቀጥሉ እና ህጎቹን መከተልዎን ያረጋግጣል።</v>
      </c>
    </row>
    <row r="100" ht="22.5" customHeight="1">
      <c r="A100" s="10">
        <v>99.0</v>
      </c>
      <c r="B100" s="11" t="s">
        <v>3242</v>
      </c>
      <c r="C100" s="11" t="s">
        <v>3243</v>
      </c>
      <c r="D100" s="11" t="s">
        <v>3244</v>
      </c>
      <c r="E100" s="11" t="s">
        <v>3245</v>
      </c>
      <c r="G100" s="11" t="str">
        <f>IFERROR(__xludf.DUMMYFUNCTION("GOOGLETRANSLATE(A100, ""en"", ""am"")"),"99")</f>
        <v>99</v>
      </c>
      <c r="H100" s="11" t="str">
        <f>IFERROR(__xludf.DUMMYFUNCTION("GOOGLETRANSLATE(B100, ""en"", ""am"")"),"ተቃዋሚዎ ጥቃትዎን በመመከት ረገድ በጣም የተካነ ነው። ምን ላይ ማተኮር አለብህ?")</f>
        <v>ተቃዋሚዎ ጥቃትዎን በመመከት ረገድ በጣም የተካነ ነው። ምን ላይ ማተኮር አለብህ?</v>
      </c>
      <c r="I100" s="11" t="str">
        <f>IFERROR(__xludf.DUMMYFUNCTION("GOOGLETRANSLATE(C100, ""en"", ""am"")"),"ሀ. ክፍት ቦታዎችን ለመፍጠር መፍጨት. እነሱን ለማሸነፍ ኃይልን መጠቀምC. ግድየለሽነትን መከላከል እና ከስህተቶች መጠበቅ ዲ. ተመሳሳይ እንቅስቃሴዎችን በተደጋጋሚ ይሞክሩ")</f>
        <v>ሀ. ክፍት ቦታዎችን ለመፍጠር መፍጨት. እነሱን ለማሸነፍ ኃይልን መጠቀምC. ግድየለሽነትን መከላከል እና ከስህተቶች መጠበቅ ዲ. ተመሳሳይ እንቅስቃሴዎችን በተደጋጋሚ ይሞክሩ</v>
      </c>
      <c r="J100" s="11" t="str">
        <f>IFERROR(__xludf.DUMMYFUNCTION("GOOGLETRANSLATE(D100, ""en"", ""am"")"),"ክፍት ቦታዎችን ለመፍጠር መፍጨት")</f>
        <v>ክፍት ቦታዎችን ለመፍጠር መፍጨት</v>
      </c>
      <c r="K100" s="11" t="str">
        <f>IFERROR(__xludf.DUMMYFUNCTION("GOOGLETRANSLATE(E100, ""en"", ""am"")"),"ፌይንት የተካኑ ተቃዋሚዎችን ግራ ሊያጋባ እና እድሎችን መፍጠር ይችላል።")</f>
        <v>ፌይንት የተካኑ ተቃዋሚዎችን ግራ ሊያጋባ እና እድሎችን መፍጠር ይችላል።</v>
      </c>
    </row>
    <row r="101" ht="22.5" customHeight="1">
      <c r="A101" s="10">
        <v>100.0</v>
      </c>
      <c r="B101" s="11" t="s">
        <v>3246</v>
      </c>
      <c r="C101" s="11" t="s">
        <v>3247</v>
      </c>
      <c r="D101" s="11" t="s">
        <v>3248</v>
      </c>
      <c r="E101" s="11" t="s">
        <v>3249</v>
      </c>
      <c r="G101" s="11" t="str">
        <f>IFERROR(__xludf.DUMMYFUNCTION("GOOGLETRANSLATE(A101, ""en"", ""am"")"),"100")</f>
        <v>100</v>
      </c>
      <c r="H101" s="11" t="str">
        <f>IFERROR(__xludf.DUMMYFUNCTION("GOOGLETRANSLATE(B101, ""en"", ""am"")"),"በጨዋታው ወቅት እጅዎን በትንሹ ጎድተዋል. ከሁሉ የተሻለው የእርምጃ አካሄድ ምንድን ነው?")</f>
        <v>በጨዋታው ወቅት እጅዎን በትንሹ ጎድተዋል. ከሁሉ የተሻለው የእርምጃ አካሄድ ምንድን ነው?</v>
      </c>
      <c r="I101" s="11" t="str">
        <f>IFERROR(__xludf.DUMMYFUNCTION("GOOGLETRANSLATE(C101, ""en"", ""am"")"),"ሀ. ሌላኛውን እጅዎን ይጠቀሙ እና የእርስዎን ስልት ቢ. ግጥሚያውን ለአፍታ ያቁሙ እና የህክምና እርዳታ ይጠይቁC. ህመሙን ችላ ይበሉ እና እንደተለመደው ይቀጥሉD. ተጨማሪ ጉዳትን ለማስወገድ ሙሉ በሙሉ በመከላከል ላይ ያተኩሩ")</f>
        <v>ሀ. ሌላኛውን እጅዎን ይጠቀሙ እና የእርስዎን ስልት ቢ. ግጥሚያውን ለአፍታ ያቁሙ እና የህክምና እርዳታ ይጠይቁC. ህመሙን ችላ ይበሉ እና እንደተለመደው ይቀጥሉD. ተጨማሪ ጉዳትን ለማስወገድ ሙሉ በሙሉ በመከላከል ላይ ያተኩሩ</v>
      </c>
      <c r="J101" s="11" t="str">
        <f>IFERROR(__xludf.DUMMYFUNCTION("GOOGLETRANSLATE(D101, ""en"", ""am"")"),"ሌላኛውን እጅዎን ይጠቀሙ እና ስልትዎን ያስተካክሉ")</f>
        <v>ሌላኛውን እጅዎን ይጠቀሙ እና ስልትዎን ያስተካክሉ</v>
      </c>
      <c r="K101" s="11" t="str">
        <f>IFERROR(__xludf.DUMMYFUNCTION("GOOGLETRANSLATE(E101, ""en"", ""am"")"),"ማላመድ ተጨማሪ ጉዳትን በሚቀንስበት ጊዜ በጨዋታው ውስጥ እንዲቆዩ ያደርግዎታል።")</f>
        <v>ማላመድ ተጨማሪ ጉዳትን በሚቀንስበት ጊዜ በጨዋታው ውስጥ እንዲቆዩ ያደርግዎታል።</v>
      </c>
    </row>
    <row r="102" ht="22.5" customHeight="1">
      <c r="A102" s="10">
        <v>101.0</v>
      </c>
      <c r="B102" s="11" t="s">
        <v>3250</v>
      </c>
      <c r="C102" s="11" t="s">
        <v>3251</v>
      </c>
      <c r="D102" s="11" t="s">
        <v>3252</v>
      </c>
      <c r="E102" s="11" t="s">
        <v>3253</v>
      </c>
      <c r="G102" s="11" t="str">
        <f>IFERROR(__xludf.DUMMYFUNCTION("GOOGLETRANSLATE(A102, ""en"", ""am"")"),"101")</f>
        <v>101</v>
      </c>
      <c r="H102" s="11" t="str">
        <f>IFERROR(__xludf.DUMMYFUNCTION("GOOGLETRANSLATE(B102, ""en"", ""am"")"),"ተቃዋሚዎ በዙሪያዎ መዞሩን ይቀጥላል። የእርስዎ ምርጥ ምላሽ ምንድን ነው?")</f>
        <v>ተቃዋሚዎ በዙሪያዎ መዞሩን ይቀጥላል። የእርስዎ ምርጥ ምላሽ ምንድን ነው?</v>
      </c>
      <c r="I102" s="11" t="str">
        <f>IFERROR(__xludf.DUMMYFUNCTION("GOOGLETRANSLATE(C102, ""en"", ""am"")"),"ሀ. እንቅስቃሴያቸውን ያዛምዱ እና ክፍት ቢን ይፈልጉ። ሳይቆሙ ይቆዩ እና ይከላከሉ ሲ. እነሱን ለማስቆም በብርቱ ወደ ፊት ያስከፍሉ። እስኪደክሙ ድረስ እንዲዞሩ ያድርጉ")</f>
        <v>ሀ. እንቅስቃሴያቸውን ያዛምዱ እና ክፍት ቢን ይፈልጉ። ሳይቆሙ ይቆዩ እና ይከላከሉ ሲ. እነሱን ለማስቆም በብርቱ ወደ ፊት ያስከፍሉ። እስኪደክሙ ድረስ እንዲዞሩ ያድርጉ</v>
      </c>
      <c r="J102" s="11" t="str">
        <f>IFERROR(__xludf.DUMMYFUNCTION("GOOGLETRANSLATE(D102, ""en"", ""am"")"),"እንቅስቃሴያቸውን ያዛምዱ እና መክፈቻ ይፈልጉ")</f>
        <v>እንቅስቃሴያቸውን ያዛምዱ እና መክፈቻ ይፈልጉ</v>
      </c>
      <c r="K102" s="11" t="str">
        <f>IFERROR(__xludf.DUMMYFUNCTION("GOOGLETRANSLATE(E102, ""en"", ""am"")"),"እንቅስቃሴያቸውን ማንጸባረቅ መቆጣጠርን ይከለክላቸዋል.")</f>
        <v>እንቅስቃሴያቸውን ማንጸባረቅ መቆጣጠርን ይከለክላቸዋል.</v>
      </c>
    </row>
    <row r="103" ht="22.5" customHeight="1">
      <c r="A103" s="10">
        <v>102.0</v>
      </c>
      <c r="B103" s="11" t="s">
        <v>3254</v>
      </c>
      <c r="C103" s="11" t="s">
        <v>3255</v>
      </c>
      <c r="D103" s="11" t="s">
        <v>3256</v>
      </c>
      <c r="E103" s="11" t="s">
        <v>3257</v>
      </c>
      <c r="G103" s="11" t="str">
        <f>IFERROR(__xludf.DUMMYFUNCTION("GOOGLETRANSLATE(A103, ""en"", ""am"")"),"102")</f>
        <v>102</v>
      </c>
      <c r="H103" s="11" t="str">
        <f>IFERROR(__xludf.DUMMYFUNCTION("GOOGLETRANSLATE(B103, ""en"", ""am"")"),"በጨዋታው ወቅት ፀሐይ በቀጥታ በዓይንዎ ውስጥ ነው. እንዴት ነው የምትስማማው?")</f>
        <v>በጨዋታው ወቅት ፀሐይ በቀጥታ በዓይንዎ ውስጥ ነው. እንዴት ነው የምትስማማው?</v>
      </c>
      <c r="I103" s="11" t="str">
        <f>IFERROR(__xludf.DUMMYFUNCTION("GOOGLETRANSLATE(C103, ""en"", ""am"")"),"ሀ. ወደ ፀሀይ ቢ እንዳይጋለጥ ቦታዎን ያስተካክሉ። በእንቅስቃሴዎች ጊዜ ዓይኖችዎን ለአጭር ጊዜ ይዝጉ. ዳኛው ግጥሚያውን ለአፍታ እንዲያቆም ይጠይቁ። ሙሉ በሙሉ በተቃዋሚዎ እንቅስቃሴዎች ላይ ያተኩሩ")</f>
        <v>ሀ. ወደ ፀሀይ ቢ እንዳይጋለጥ ቦታዎን ያስተካክሉ። በእንቅስቃሴዎች ጊዜ ዓይኖችዎን ለአጭር ጊዜ ይዝጉ. ዳኛው ግጥሚያውን ለአፍታ እንዲያቆም ይጠይቁ። ሙሉ በሙሉ በተቃዋሚዎ እንቅስቃሴዎች ላይ ያተኩሩ</v>
      </c>
      <c r="J103" s="11" t="str">
        <f>IFERROR(__xludf.DUMMYFUNCTION("GOOGLETRANSLATE(D103, ""en"", ""am"")"),"ፀሐይን ላለመመልከት ቦታዎን ያስተካክሉ")</f>
        <v>ፀሐይን ላለመመልከት ቦታዎን ያስተካክሉ</v>
      </c>
      <c r="K103" s="11" t="str">
        <f>IFERROR(__xludf.DUMMYFUNCTION("GOOGLETRANSLATE(E103, ""en"", ""am"")"),"ቦታን መቀየር የእይታ ትኩረትን ለማስወገድ ይረዳዎታል።")</f>
        <v>ቦታን መቀየር የእይታ ትኩረትን ለማስወገድ ይረዳዎታል።</v>
      </c>
    </row>
    <row r="104" ht="22.5" customHeight="1">
      <c r="A104" s="10">
        <v>103.0</v>
      </c>
      <c r="B104" s="11" t="s">
        <v>3258</v>
      </c>
      <c r="C104" s="11" t="s">
        <v>3259</v>
      </c>
      <c r="D104" s="11" t="s">
        <v>3260</v>
      </c>
      <c r="E104" s="11" t="s">
        <v>3261</v>
      </c>
      <c r="G104" s="11" t="str">
        <f>IFERROR(__xludf.DUMMYFUNCTION("GOOGLETRANSLATE(A104, ""en"", ""am"")"),"103")</f>
        <v>103</v>
      </c>
      <c r="H104" s="11" t="str">
        <f>IFERROR(__xludf.DUMMYFUNCTION("GOOGLETRANSLATE(B104, ""en"", ""am"")"),"ተቃዋሚዎ ከዚህ በፊት አጋጥሞዎት የማያውቁትን እንቅስቃሴ ይጠቀማል። ምን ምላሽ ትሰጣለህ?")</f>
        <v>ተቃዋሚዎ ከዚህ በፊት አጋጥሞዎት የማያውቁትን እንቅስቃሴ ይጠቀማል። ምን ምላሽ ትሰጣለህ?</v>
      </c>
      <c r="I104" s="11" t="str">
        <f>IFERROR(__xludf.DUMMYFUNCTION("GOOGLETRANSLATE(C104, ""en"", ""am"")"),"ሀ. ተረጋጉ እና ቴክኒሻቸውን ይከታተሉ B. ተደናገጡ እና እነሱን ለማሸነፍ ይሞክሩ ሐ. እንቅስቃሴው ተፈቅዶል እንደሆነ ዳኛውን ይጠይቁ። ከጠንካራ ጥቃትህ ጋር ተቃወም")</f>
        <v>ሀ. ተረጋጉ እና ቴክኒሻቸውን ይከታተሉ B. ተደናገጡ እና እነሱን ለማሸነፍ ይሞክሩ ሐ. እንቅስቃሴው ተፈቅዶል እንደሆነ ዳኛውን ይጠይቁ። ከጠንካራ ጥቃትህ ጋር ተቃወም</v>
      </c>
      <c r="J104" s="11" t="str">
        <f>IFERROR(__xludf.DUMMYFUNCTION("GOOGLETRANSLATE(D104, ""en"", ""am"")"),"ተረጋጉ እና ቴክኒካቸውን ይከታተሉ")</f>
        <v>ተረጋጉ እና ቴክኒካቸውን ይከታተሉ</v>
      </c>
      <c r="K104" s="11" t="str">
        <f>IFERROR(__xludf.DUMMYFUNCTION("GOOGLETRANSLATE(E104, ""en"", ""am"")"),"መከታተል ያልተለመዱ ቴክኒኮችን ለመተንተን እና ለመቋቋም ይረዳዎታል።")</f>
        <v>መከታተል ያልተለመዱ ቴክኒኮችን ለመተንተን እና ለመቋቋም ይረዳዎታል።</v>
      </c>
    </row>
    <row r="105" ht="22.5" customHeight="1">
      <c r="A105" s="10">
        <v>104.0</v>
      </c>
      <c r="B105" s="11" t="s">
        <v>3262</v>
      </c>
      <c r="C105" s="11" t="s">
        <v>3263</v>
      </c>
      <c r="D105" s="11" t="s">
        <v>3264</v>
      </c>
      <c r="E105" s="11" t="s">
        <v>3265</v>
      </c>
      <c r="G105" s="11" t="str">
        <f>IFERROR(__xludf.DUMMYFUNCTION("GOOGLETRANSLATE(A105, ""en"", ""am"")"),"104")</f>
        <v>104</v>
      </c>
      <c r="H105" s="11" t="str">
        <f>IFERROR(__xludf.DUMMYFUNCTION("GOOGLETRANSLATE(B105, ""en"", ""am"")"),"ተቃዋሚዎ የበላይ ሆኖ ሲወጣ ህዝቡ ጮክ ብሎ መደሰት ይጀምራል። ምን ታደርጋለህ፧")</f>
        <v>ተቃዋሚዎ የበላይ ሆኖ ሲወጣ ህዝቡ ጮክ ብሎ መደሰት ይጀምራል። ምን ታደርጋለህ፧</v>
      </c>
      <c r="I105" s="11" t="str">
        <f>IFERROR(__xludf.DUMMYFUNCTION("GOOGLETRANSLATE(C105, ""en"", ""am"")"),"ሀ. የግጥሚያቢን ቁጥጥር መልሶ ማግኘት ላይ ያተኩሩ። ጉልበታቸውን ከአጥቂ እንቅስቃሴ ሐ ጋር ያዛምዱ። ህዝቡ ተቃዋሚዎን እንዲያዘናጋ ያድርጉ። ህዝቡ ጸጥ እንዲል ዳኛውን ይጠይቁ")</f>
        <v>ሀ. የግጥሚያቢን ቁጥጥር መልሶ ማግኘት ላይ ያተኩሩ። ጉልበታቸውን ከአጥቂ እንቅስቃሴ ሐ ጋር ያዛምዱ። ህዝቡ ተቃዋሚዎን እንዲያዘናጋ ያድርጉ። ህዝቡ ጸጥ እንዲል ዳኛውን ይጠይቁ</v>
      </c>
      <c r="J105" s="11" t="str">
        <f>IFERROR(__xludf.DUMMYFUNCTION("GOOGLETRANSLATE(D105, ""en"", ""am"")"),"የግጥሚያውን ቁጥጥር መልሶ ማግኘት ላይ ያተኩሩ")</f>
        <v>የግጥሚያውን ቁጥጥር መልሶ ማግኘት ላይ ያተኩሩ</v>
      </c>
      <c r="K105" s="11" t="str">
        <f>IFERROR(__xludf.DUMMYFUNCTION("GOOGLETRANSLATE(E105, ""en"", ""am"")"),"በትኩረት መከታተል ህዝቡ በአፈጻጸምዎ ላይ ተጽዕኖ እንዳያሳድር ይከላከላል።")</f>
        <v>በትኩረት መከታተል ህዝቡ በአፈጻጸምዎ ላይ ተጽዕኖ እንዳያሳድር ይከላከላል።</v>
      </c>
    </row>
    <row r="106" ht="22.5" customHeight="1">
      <c r="A106" s="10">
        <v>105.0</v>
      </c>
      <c r="B106" s="11" t="s">
        <v>3266</v>
      </c>
      <c r="C106" s="11" t="s">
        <v>3267</v>
      </c>
      <c r="D106" s="11" t="s">
        <v>3268</v>
      </c>
      <c r="E106" s="11" t="s">
        <v>3269</v>
      </c>
      <c r="G106" s="11" t="str">
        <f>IFERROR(__xludf.DUMMYFUNCTION("GOOGLETRANSLATE(A106, ""en"", ""am"")"),"105")</f>
        <v>105</v>
      </c>
      <c r="H106" s="11" t="str">
        <f>IFERROR(__xludf.DUMMYFUNCTION("GOOGLETRANSLATE(B106, ""en"", ""am"")"),"ተቃዋሚዎን ለመሰካት ተቃርበዋል ነገርግን መቃወማቸውን ቀጥለዋል። ቀጣዩ እርምጃህ ምንድን ነው?")</f>
        <v>ተቃዋሚዎን ለመሰካት ተቃርበዋል ነገርግን መቃወማቸውን ቀጥለዋል። ቀጣዩ እርምጃህ ምንድን ነው?</v>
      </c>
      <c r="I106" s="11" t="str">
        <f>IFERROR(__xludf.DUMMYFUNCTION("GOOGLETRANSLATE(C106, ""en"", ""am"")"),"ሀ. እነሱን ለማድከም ​​ቁጥጥር የሚደረግበት ግፊት ያድርጉ። በከፍተኛ ኃይልC በፍጥነት ለመሰካት ይሞክሩ። ይልቀቃቸው እና ሌላ እንቅስቃሴን ይሞክሩ። ለአፍታ አቁም እና ስልትህን ገምግም።")</f>
        <v>ሀ. እነሱን ለማድከም ​​ቁጥጥር የሚደረግበት ግፊት ያድርጉ። በከፍተኛ ኃይልC በፍጥነት ለመሰካት ይሞክሩ። ይልቀቃቸው እና ሌላ እንቅስቃሴን ይሞክሩ። ለአፍታ አቁም እና ስልትህን ገምግም።</v>
      </c>
      <c r="J106" s="11" t="str">
        <f>IFERROR(__xludf.DUMMYFUNCTION("GOOGLETRANSLATE(D106, ""en"", ""am"")"),"እነሱን ለማድከም ​​ቁጥጥር የሚደረግበት ግፊት ያድርጉ")</f>
        <v>እነሱን ለማድከም ​​ቁጥጥር የሚደረግበት ግፊት ያድርጉ</v>
      </c>
      <c r="K106" s="11" t="str">
        <f>IFERROR(__xludf.DUMMYFUNCTION("GOOGLETRANSLATE(E106, ""en"", ""am"")"),"ቁጥጥር የሚደረግበት ግፊት ተቃዋሚዎን ሊያሟጥጥ እና ፒኑን ሊጠብቅ ይችላል።")</f>
        <v>ቁጥጥር የሚደረግበት ግፊት ተቃዋሚዎን ሊያሟጥጥ እና ፒኑን ሊጠብቅ ይችላል።</v>
      </c>
    </row>
    <row r="107" ht="22.5" customHeight="1">
      <c r="A107" s="10">
        <v>106.0</v>
      </c>
      <c r="B107" s="11" t="s">
        <v>3270</v>
      </c>
      <c r="C107" s="11" t="s">
        <v>3271</v>
      </c>
      <c r="D107" s="11" t="s">
        <v>3272</v>
      </c>
      <c r="E107" s="11" t="s">
        <v>3273</v>
      </c>
      <c r="G107" s="11" t="str">
        <f>IFERROR(__xludf.DUMMYFUNCTION("GOOGLETRANSLATE(A107, ""en"", ""am"")"),"106")</f>
        <v>106</v>
      </c>
      <c r="H107" s="11" t="str">
        <f>IFERROR(__xludf.DUMMYFUNCTION("GOOGLETRANSLATE(B107, ""en"", ""am"")"),"ተቃዋሚዎ ለእግርዎ መሄዱን ይቀጥላል. ምን ማድረግ አለቦት?")</f>
        <v>ተቃዋሚዎ ለእግርዎ መሄዱን ይቀጥላል. ምን ማድረግ አለቦት?</v>
      </c>
      <c r="I107" s="11" t="str">
        <f>IFERROR(__xludf.DUMMYFUNCTION("GOOGLETRANSLATE(C107, ""en"", ""am"")"),"ሀ. አቋምዎን ዝቅ ያድርጉ እና እግሮችዎን ይከላከሉB. የላይኛውን ሰውነትዎን በመጠበቅ ላይ ያተኩሩ። የእግር ጥቃቶችን ለማስወገድ በኃይል ይንቀሳቀሱ D. ሙከራቸውን ችላ ይበሉ እና በቀጥታ ያጠቁ")</f>
        <v>ሀ. አቋምዎን ዝቅ ያድርጉ እና እግሮችዎን ይከላከሉB. የላይኛውን ሰውነትዎን በመጠበቅ ላይ ያተኩሩ። የእግር ጥቃቶችን ለማስወገድ በኃይል ይንቀሳቀሱ D. ሙከራቸውን ችላ ይበሉ እና በቀጥታ ያጠቁ</v>
      </c>
      <c r="J107" s="11" t="str">
        <f>IFERROR(__xludf.DUMMYFUNCTION("GOOGLETRANSLATE(D107, ""en"", ""am"")"),"አቋምዎን ዝቅ ያድርጉ እና እግሮችዎን ይከላከሉ")</f>
        <v>አቋምዎን ዝቅ ያድርጉ እና እግሮችዎን ይከላከሉ</v>
      </c>
      <c r="K107" s="11" t="str">
        <f>IFERROR(__xludf.DUMMYFUNCTION("GOOGLETRANSLATE(E107, ""en"", ""am"")"),"ዝቅተኛ አቋም ለእግር ጥቃቶች ተጋላጭነትን ይቀንሳል።")</f>
        <v>ዝቅተኛ አቋም ለእግር ጥቃቶች ተጋላጭነትን ይቀንሳል።</v>
      </c>
    </row>
    <row r="108" ht="22.5" customHeight="1">
      <c r="A108" s="10">
        <v>107.0</v>
      </c>
      <c r="B108" s="11" t="s">
        <v>3274</v>
      </c>
      <c r="C108" s="11" t="s">
        <v>3275</v>
      </c>
      <c r="D108" s="11" t="s">
        <v>3276</v>
      </c>
      <c r="E108" s="11" t="s">
        <v>3277</v>
      </c>
      <c r="G108" s="11" t="str">
        <f>IFERROR(__xludf.DUMMYFUNCTION("GOOGLETRANSLATE(A108, ""en"", ""am"")"),"107")</f>
        <v>107</v>
      </c>
      <c r="H108" s="11" t="str">
        <f>IFERROR(__xludf.DUMMYFUNCTION("GOOGLETRANSLATE(B108, ""en"", ""am"")"),"ግጥሚያው ይጀምራል፣ እና ተቃዋሚዎ ለመሳተፍ ያመነታል። እንዴት ነው የምትይዘው?")</f>
        <v>ግጥሚያው ይጀምራል፣ እና ተቃዋሚዎ ለመሳተፍ ያመነታል። እንዴት ነው የምትይዘው?</v>
      </c>
      <c r="I108" s="11" t="str">
        <f>IFERROR(__xludf.DUMMYFUNCTION("GOOGLETRANSLATE(C108, ""en"", ""am"")"),"ሀ. ቅድሚያውን ይውሰዱ እና በጥንቃቄ ያጠቁ ለ. የመጀመሪያውን እንቅስቃሴ ሲያደርጉ ይጠብቁ. እርምጃ ለመቀስቀስ ያፌዙባቸው ዲ. ዳኛው ጣልቃ እንዲገባ ይጠይቁ")</f>
        <v>ሀ. ቅድሚያውን ይውሰዱ እና በጥንቃቄ ያጠቁ ለ. የመጀመሪያውን እንቅስቃሴ ሲያደርጉ ይጠብቁ. እርምጃ ለመቀስቀስ ያፌዙባቸው ዲ. ዳኛው ጣልቃ እንዲገባ ይጠይቁ</v>
      </c>
      <c r="J108" s="11" t="str">
        <f>IFERROR(__xludf.DUMMYFUNCTION("GOOGLETRANSLATE(D108, ""en"", ""am"")"),"ቅድሚያውን ይውሰዱ እና በጥንቃቄ ያጥቁ")</f>
        <v>ቅድሚያውን ይውሰዱ እና በጥንቃቄ ያጥቁ</v>
      </c>
      <c r="K108" s="11" t="str">
        <f>IFERROR(__xludf.DUMMYFUNCTION("GOOGLETRANSLATE(E108, ""en"", ""am"")"),"ቁጥጥር የሚደረግበት ተሳትፎ ግጥሚያውን እንዲቆጣጠሩ ያደርግዎታል።")</f>
        <v>ቁጥጥር የሚደረግበት ተሳትፎ ግጥሚያውን እንዲቆጣጠሩ ያደርግዎታል።</v>
      </c>
    </row>
    <row r="109" ht="22.5" customHeight="1">
      <c r="A109" s="10">
        <v>108.0</v>
      </c>
      <c r="B109" s="11" t="s">
        <v>3278</v>
      </c>
      <c r="C109" s="11" t="s">
        <v>3279</v>
      </c>
      <c r="D109" s="11" t="s">
        <v>3280</v>
      </c>
      <c r="E109" s="11" t="s">
        <v>3281</v>
      </c>
      <c r="G109" s="11" t="str">
        <f>IFERROR(__xludf.DUMMYFUNCTION("GOOGLETRANSLATE(A109, ""en"", ""am"")"),"108")</f>
        <v>108</v>
      </c>
      <c r="H109" s="11" t="str">
        <f>IFERROR(__xludf.DUMMYFUNCTION("GOOGLETRANSLATE(B109, ""en"", ""am"")"),"ግጥሚያው ወደ ትርፍ ሰዓት ይገባል፣ እና እርስዎ ደክመዋል። ቅድሚያ የምትሰጠው ምንድን ነው?")</f>
        <v>ግጥሚያው ወደ ትርፍ ሰዓት ይገባል፣ እና እርስዎ ደክመዋል። ቅድሚያ የምትሰጠው ምንድን ነው?</v>
      </c>
      <c r="I109" s="11" t="str">
        <f>IFERROR(__xludf.DUMMYFUNCTION("GOOGLETRANSLATE(C109, ""en"", ""am"")"),"ሀ. ቁልፍ ክፍት ቦታዎችን በሚፈልጉበት ጊዜ ኃይልን ይቆጥቡ. ግጥሚያውን በፍጥነት ለመጨረስ ሁሉንም ውጣ። በመጀመሪያ ተቃዋሚዎ እራሳቸውን እንዲደክሙ ይፍቀዱ። ዳኛው እረፍቱን እንዲያራዝምልዎት ይጠይቁ")</f>
        <v>ሀ. ቁልፍ ክፍት ቦታዎችን በሚፈልጉበት ጊዜ ኃይልን ይቆጥቡ. ግጥሚያውን በፍጥነት ለመጨረስ ሁሉንም ውጣ። በመጀመሪያ ተቃዋሚዎ እራሳቸውን እንዲደክሙ ይፍቀዱ። ዳኛው እረፍቱን እንዲያራዝምልዎት ይጠይቁ</v>
      </c>
      <c r="J109" s="11" t="str">
        <f>IFERROR(__xludf.DUMMYFUNCTION("GOOGLETRANSLATE(D109, ""en"", ""am"")"),"ቁልፍ ክፍተቶችን በሚፈልጉበት ጊዜ ኃይልን ይቆጥቡ")</f>
        <v>ቁልፍ ክፍተቶችን በሚፈልጉበት ጊዜ ኃይልን ይቆጥቡ</v>
      </c>
      <c r="K109" s="11" t="str">
        <f>IFERROR(__xludf.DUMMYFUNCTION("GOOGLETRANSLATE(E109, ""en"", ""am"")"),"በትርፍ ሰዓት ውስጥ የኢነርጂ አስተዳደር ወሳኝ ነው.")</f>
        <v>በትርፍ ሰዓት ውስጥ የኢነርጂ አስተዳደር ወሳኝ ነው.</v>
      </c>
    </row>
    <row r="110" ht="22.5" customHeight="1">
      <c r="A110" s="10">
        <v>109.0</v>
      </c>
      <c r="B110" s="11" t="s">
        <v>3282</v>
      </c>
      <c r="C110" s="11" t="s">
        <v>3283</v>
      </c>
      <c r="D110" s="11" t="s">
        <v>3284</v>
      </c>
      <c r="E110" s="11" t="s">
        <v>3285</v>
      </c>
      <c r="G110" s="11" t="str">
        <f>IFERROR(__xludf.DUMMYFUNCTION("GOOGLETRANSLATE(A110, ""en"", ""am"")"),"109")</f>
        <v>109</v>
      </c>
      <c r="H110" s="11" t="str">
        <f>IFERROR(__xludf.DUMMYFUNCTION("GOOGLETRANSLATE(B110, ""en"", ""am"")"),"ተቃዋሚዎ የተጎዳውን እግርዎን ማነጣጠር ይቀጥላል። እንዴት መከላከል አለብህ?")</f>
        <v>ተቃዋሚዎ የተጎዳውን እግርዎን ማነጣጠር ይቀጥላል። እንዴት መከላከል አለብህ?</v>
      </c>
      <c r="I110" s="11" t="str">
        <f>IFERROR(__xludf.DUMMYFUNCTION("GOOGLETRANSLATE(C110, ""en"", ""am"")"),"ሀ. ክብደትዎን ወደ ሌላኛው እግር ቢ ይለውጡ። መከላከልን ይቀጥሉ እና ተሳትፎን ያስወግዱ ሐ. ጉዳቱን ለመቅረፍ ለአፍታ ማቆም ጠይቅ D. እነሱን ለማዘናጋት በብርቱ ማጥቃት")</f>
        <v>ሀ. ክብደትዎን ወደ ሌላኛው እግር ቢ ይለውጡ። መከላከልን ይቀጥሉ እና ተሳትፎን ያስወግዱ ሐ. ጉዳቱን ለመቅረፍ ለአፍታ ማቆም ጠይቅ D. እነሱን ለማዘናጋት በብርቱ ማጥቃት</v>
      </c>
      <c r="J110" s="11" t="str">
        <f>IFERROR(__xludf.DUMMYFUNCTION("GOOGLETRANSLATE(D110, ""en"", ""am"")"),"ክብደትዎን ወደ ሌላኛው እግር ይለውጡት")</f>
        <v>ክብደትዎን ወደ ሌላኛው እግር ይለውጡት</v>
      </c>
      <c r="K110" s="11" t="str">
        <f>IFERROR(__xludf.DUMMYFUNCTION("GOOGLETRANSLATE(E110, ""en"", ""am"")"),"የክብደት መለዋወጥ በጉዳትዎ ላይ ያለውን ጫና ይቀንሳል.")</f>
        <v>የክብደት መለዋወጥ በጉዳትዎ ላይ ያለውን ጫና ይቀንሳል.</v>
      </c>
    </row>
    <row r="111" ht="22.5" customHeight="1">
      <c r="A111" s="10">
        <v>110.0</v>
      </c>
      <c r="B111" s="11" t="s">
        <v>3286</v>
      </c>
      <c r="C111" s="11" t="s">
        <v>3287</v>
      </c>
      <c r="D111" s="11" t="s">
        <v>3288</v>
      </c>
      <c r="E111" s="11" t="s">
        <v>3289</v>
      </c>
      <c r="G111" s="11" t="str">
        <f>IFERROR(__xludf.DUMMYFUNCTION("GOOGLETRANSLATE(A111, ""en"", ""am"")"),"110")</f>
        <v>110</v>
      </c>
      <c r="H111" s="11" t="str">
        <f>IFERROR(__xludf.DUMMYFUNCTION("GOOGLETRANSLATE(B111, ""en"", ""am"")"),"ባላጋራህ በድንገት ከድንበር ወጣ ነገር ግን ግጥሚያውን ቀጥሏል። ምን ማድረግ አለቦት?")</f>
        <v>ባላጋራህ በድንገት ከድንበር ወጣ ነገር ግን ግጥሚያውን ቀጥሏል። ምን ማድረግ አለቦት?</v>
      </c>
      <c r="I111" s="11" t="str">
        <f>IFERROR(__xludf.DUMMYFUNCTION("GOOGLETRANSLATE(C111, ""en"", ""am"")"),"ሀ. ለዳኛው ወዲያውኑ ያሳውቁ B. ስህተታቸውን ይጠቀሙ ሐ. ችላ በል እና ትግልን ቀጥል ዲ. ወደ ግጥሚያውም እንዲሁ ይውጡ")</f>
        <v>ሀ. ለዳኛው ወዲያውኑ ያሳውቁ B. ስህተታቸውን ይጠቀሙ ሐ. ችላ በል እና ትግልን ቀጥል ዲ. ወደ ግጥሚያውም እንዲሁ ይውጡ</v>
      </c>
      <c r="J111" s="11" t="str">
        <f>IFERROR(__xludf.DUMMYFUNCTION("GOOGLETRANSLATE(D111, ""en"", ""am"")"),"ወዲያውኑ ለዳኛው ያሳውቁ")</f>
        <v>ወዲያውኑ ለዳኛው ያሳውቁ</v>
      </c>
      <c r="K111" s="11" t="str">
        <f>IFERROR(__xludf.DUMMYFUNCTION("GOOGLETRANSLATE(E111, ""en"", ""am"")"),"ዳኞች ፍትሃዊ ጨዋታን ያረጋግጣሉ እና ህጎችን ያስከብራሉ።")</f>
        <v>ዳኞች ፍትሃዊ ጨዋታን ያረጋግጣሉ እና ህጎችን ያስከብራሉ።</v>
      </c>
    </row>
    <row r="112" ht="22.5" customHeight="1">
      <c r="A112" s="10">
        <v>111.0</v>
      </c>
      <c r="B112" s="11" t="s">
        <v>3290</v>
      </c>
      <c r="C112" s="11" t="s">
        <v>3291</v>
      </c>
      <c r="D112" s="11" t="s">
        <v>3292</v>
      </c>
      <c r="E112" s="11" t="s">
        <v>3293</v>
      </c>
      <c r="G112" s="11" t="str">
        <f>IFERROR(__xludf.DUMMYFUNCTION("GOOGLETRANSLATE(A112, ""en"", ""am"")"),"111")</f>
        <v>111</v>
      </c>
      <c r="H112" s="11" t="str">
        <f>IFERROR(__xludf.DUMMYFUNCTION("GOOGLETRANSLATE(B112, ""en"", ""am"")"),"ተቃዋሚዎ ፈጣን ማውረዱን ይፈጽማል፣ነገር ግን ሚዛኑን መጠበቅ ችለዋል። ቀጣዩ እርምጃዎ ምን መሆን አለበት?")</f>
        <v>ተቃዋሚዎ ፈጣን ማውረዱን ይፈጽማል፣ነገር ግን ሚዛኑን መጠበቅ ችለዋል። ቀጣዩ እርምጃዎ ምን መሆን አለበት?</v>
      </c>
      <c r="I112" s="11" t="str">
        <f>IFERROR(__xludf.DUMMYFUNCTION("GOOGLETRANSLATE(C112, ""en"", ""am"")"),"ሀ. የእራስዎን ማውረጃ የያዘ ቆጣሪ። ወደ ኋላ ይመለሱ እና አቋምዎን እንደገና ያስጀምሩC. ቁጥራቸውን መልሰው ለማግኘት በኃይል ይግፏቸው። ቀጣዩ እርምጃቸውን ይጠብቁ")</f>
        <v>ሀ. የእራስዎን ማውረጃ የያዘ ቆጣሪ። ወደ ኋላ ይመለሱ እና አቋምዎን እንደገና ያስጀምሩC. ቁጥራቸውን መልሰው ለማግኘት በኃይል ይግፏቸው። ቀጣዩ እርምጃቸውን ይጠብቁ</v>
      </c>
      <c r="J112" s="11" t="str">
        <f>IFERROR(__xludf.DUMMYFUNCTION("GOOGLETRANSLATE(D112, ""en"", ""am"")"),"የእራስዎን ማውረድ ይቆጣጠሩ")</f>
        <v>የእራስዎን ማውረድ ይቆጣጠሩ</v>
      </c>
      <c r="K112" s="11" t="str">
        <f>IFERROR(__xludf.DUMMYFUNCTION("GOOGLETRANSLATE(E112, ""en"", ""am"")"),"በዚህ ሁኔታ ውስጥ የመልሶ ማጥቃት ግጥሚያውን በፍጥነት ወደ እርስዎ ይለውጠዋል።")</f>
        <v>በዚህ ሁኔታ ውስጥ የመልሶ ማጥቃት ግጥሚያውን በፍጥነት ወደ እርስዎ ይለውጠዋል።</v>
      </c>
    </row>
    <row r="113" ht="22.5" customHeight="1">
      <c r="A113" s="10">
        <v>112.0</v>
      </c>
      <c r="B113" s="11" t="s">
        <v>3294</v>
      </c>
      <c r="C113" s="11" t="s">
        <v>3295</v>
      </c>
      <c r="D113" s="11" t="s">
        <v>3296</v>
      </c>
      <c r="E113" s="11" t="s">
        <v>3297</v>
      </c>
      <c r="G113" s="11" t="str">
        <f>IFERROR(__xludf.DUMMYFUNCTION("GOOGLETRANSLATE(A113, ""en"", ""am"")"),"112")</f>
        <v>112</v>
      </c>
      <c r="H113" s="11" t="str">
        <f>IFERROR(__xludf.DUMMYFUNCTION("GOOGLETRANSLATE(B113, ""en"", ""am"")"),"ግጥሚያው የተሳሰረ ነው፣ እና ጥቂት ሰከንዶች ብቻ ቀርተዋል። የእርስዎ ስልት ምንድን ነው?")</f>
        <v>ግጥሚያው የተሳሰረ ነው፣ እና ጥቂት ሰከንዶች ብቻ ቀርተዋል። የእርስዎ ስልት ምንድን ነው?</v>
      </c>
      <c r="I113" s="11" t="str">
        <f>IFERROR(__xludf.DUMMYFUNCTION("GOOGLETRANSLATE(C113, ""en"", ""am"")"),"ሀ. ከፍተኛ ስጋት ያለበትን ነጥብ ወደ ደህንነቱ የተጠበቀ እንቅስቃሴ ይሞክሩ። ለትርፍ ሰዓት መከላከል እና ተስፋ. ተቃዋሚዎን በ feintsD ይረብሹ። ቦታዎን በመያዝ ላይ ያተኩሩ")</f>
        <v>ሀ. ከፍተኛ ስጋት ያለበትን ነጥብ ወደ ደህንነቱ የተጠበቀ እንቅስቃሴ ይሞክሩ። ለትርፍ ሰዓት መከላከል እና ተስፋ. ተቃዋሚዎን በ feintsD ይረብሹ። ቦታዎን በመያዝ ላይ ያተኩሩ</v>
      </c>
      <c r="J113" s="11" t="str">
        <f>IFERROR(__xludf.DUMMYFUNCTION("GOOGLETRANSLATE(D113, ""en"", ""am"")"),"ነጥቦችን ለመጠበቅ ከፍተኛ ስጋት ያለበትን እንቅስቃሴ ይሞክሩ")</f>
        <v>ነጥቦችን ለመጠበቅ ከፍተኛ ስጋት ያለበትን እንቅስቃሴ ይሞክሩ</v>
      </c>
      <c r="K113" s="11" t="str">
        <f>IFERROR(__xludf.DUMMYFUNCTION("GOOGLETRANSLATE(E113, ""en"", ""am"")"),"ድፍረት የተሞላበት እርምጃ ለእርስዎ ሞገስ ያለውን ትስስር ሊሰብር ይችላል.")</f>
        <v>ድፍረት የተሞላበት እርምጃ ለእርስዎ ሞገስ ያለውን ትስስር ሊሰብር ይችላል.</v>
      </c>
    </row>
    <row r="114" ht="22.5" customHeight="1">
      <c r="A114" s="10">
        <v>113.0</v>
      </c>
      <c r="B114" s="11" t="s">
        <v>3298</v>
      </c>
      <c r="C114" s="11" t="s">
        <v>3299</v>
      </c>
      <c r="D114" s="11" t="s">
        <v>3300</v>
      </c>
      <c r="E114" s="11" t="s">
        <v>3301</v>
      </c>
      <c r="G114" s="11" t="str">
        <f>IFERROR(__xludf.DUMMYFUNCTION("GOOGLETRANSLATE(A114, ""en"", ""am"")"),"113")</f>
        <v>113</v>
      </c>
      <c r="H114" s="11" t="str">
        <f>IFERROR(__xludf.DUMMYFUNCTION("GOOGLETRANSLATE(B114, ""en"", ""am"")"),"ተቃዋሚዎ በተሳካ ሁኔታ ይነድዎታል፣ ዳኛው ግን እስካሁን አልቆጠሩም። ምን ምላሽ ትሰጣለህ?")</f>
        <v>ተቃዋሚዎ በተሳካ ሁኔታ ይነድዎታል፣ ዳኛው ግን እስካሁን አልቆጠሩም። ምን ምላሽ ትሰጣለህ?</v>
      </c>
      <c r="I114" s="11" t="str">
        <f>IFERROR(__xludf.DUMMYFUNCTION("GOOGLETRANSLATE(C114, ""en"", ""am"")"),"ሀ. በፍጥነት ለመላቀቅ ሰውነታችሁን አዙሩ። ዝም ብለህ ቆይ እና ዳኛው ግጥሚያውን እንደገና እንደሚያስጀምረው ተስፋ አድርግ። እግሮችዎን ለመግፋት ይጠቀሙባቸው። ተቃዋሚዎ የሚይዘውን እስኪፈታ ድረስ ይጠብቁ")</f>
        <v>ሀ. በፍጥነት ለመላቀቅ ሰውነታችሁን አዙሩ። ዝም ብለህ ቆይ እና ዳኛው ግጥሚያውን እንደገና እንደሚያስጀምረው ተስፋ አድርግ። እግሮችዎን ለመግፋት ይጠቀሙባቸው። ተቃዋሚዎ የሚይዘውን እስኪፈታ ድረስ ይጠብቁ</v>
      </c>
      <c r="J114" s="11" t="str">
        <f>IFERROR(__xludf.DUMMYFUNCTION("GOOGLETRANSLATE(D114, ""en"", ""am"")"),"በፍጥነት ለመላቀቅ ሰውነታችሁን አዙሩ")</f>
        <v>በፍጥነት ለመላቀቅ ሰውነታችሁን አዙሩ</v>
      </c>
      <c r="K114" s="11" t="str">
        <f>IFERROR(__xludf.DUMMYFUNCTION("GOOGLETRANSLATE(E114, ""en"", ""am"")"),"ወዲያውኑ ነፃ መውጣት ትክክለኛ ኪሳራ ይከላከላል።")</f>
        <v>ወዲያውኑ ነፃ መውጣት ትክክለኛ ኪሳራ ይከላከላል።</v>
      </c>
    </row>
    <row r="115" ht="22.5" customHeight="1">
      <c r="A115" s="10">
        <v>114.0</v>
      </c>
      <c r="B115" s="11" t="s">
        <v>3302</v>
      </c>
      <c r="C115" s="11" t="s">
        <v>3303</v>
      </c>
      <c r="D115" s="11" t="s">
        <v>3304</v>
      </c>
      <c r="E115" s="11" t="s">
        <v>3305</v>
      </c>
      <c r="G115" s="11" t="str">
        <f>IFERROR(__xludf.DUMMYFUNCTION("GOOGLETRANSLATE(A115, ""en"", ""am"")"),"114")</f>
        <v>114</v>
      </c>
      <c r="H115" s="11" t="str">
        <f>IFERROR(__xludf.DUMMYFUNCTION("GOOGLETRANSLATE(B115, ""en"", ""am"")"),"በጨዋታው ወቅት፣ የባላጋራህ መያዣ ባልተለመደ ሁኔታ ጥብቅ ሆኖ ይሰማዋል። የእርስዎ ምርጥ እርምጃ ምንድነው?")</f>
        <v>በጨዋታው ወቅት፣ የባላጋራህ መያዣ ባልተለመደ ሁኔታ ጥብቅ ሆኖ ይሰማዋል። የእርስዎ ምርጥ እርምጃ ምንድነው?</v>
      </c>
      <c r="I115" s="11" t="str">
        <f>IFERROR(__xludf.DUMMYFUNCTION("GOOGLETRANSLATE(C115, ""en"", ""am"")"),"ሀ. ጨብጣቸውን በማዳከም ላይ ያተኩሩ። ችላ ይበሉ እና የላይኛውን ሰውነታቸውን ያጠቁ። የሕግ ጥሰት መኖሩን ዳኛው እንዲያጣራ ይጠይቁD. ጉዳት እንዳይደርስበት ማፈግፈግ")</f>
        <v>ሀ. ጨብጣቸውን በማዳከም ላይ ያተኩሩ። ችላ ይበሉ እና የላይኛውን ሰውነታቸውን ያጠቁ። የሕግ ጥሰት መኖሩን ዳኛው እንዲያጣራ ይጠይቁD. ጉዳት እንዳይደርስበት ማፈግፈግ</v>
      </c>
      <c r="J115" s="11" t="str">
        <f>IFERROR(__xludf.DUMMYFUNCTION("GOOGLETRANSLATE(D115, ""en"", ""am"")"),"እጃቸዉን በማዳከም ላይ አተኩር")</f>
        <v>እጃቸዉን በማዳከም ላይ አተኩር</v>
      </c>
      <c r="K115" s="11" t="str">
        <f>IFERROR(__xludf.DUMMYFUNCTION("GOOGLETRANSLATE(E115, ""en"", ""am"")"),"የያዙትን ማነጣጠር እንደገና ለመቆጣጠር ይረዳዎታል።")</f>
        <v>የያዙትን ማነጣጠር እንደገና ለመቆጣጠር ይረዳዎታል።</v>
      </c>
    </row>
    <row r="116" ht="22.5" customHeight="1">
      <c r="A116" s="10">
        <v>115.0</v>
      </c>
      <c r="B116" s="11" t="s">
        <v>3306</v>
      </c>
      <c r="C116" s="11" t="s">
        <v>3307</v>
      </c>
      <c r="D116" s="11" t="s">
        <v>3308</v>
      </c>
      <c r="E116" s="11" t="s">
        <v>3309</v>
      </c>
      <c r="G116" s="11" t="str">
        <f>IFERROR(__xludf.DUMMYFUNCTION("GOOGLETRANSLATE(A116, ""en"", ""am"")"),"115")</f>
        <v>115</v>
      </c>
      <c r="H116" s="11" t="str">
        <f>IFERROR(__xludf.DUMMYFUNCTION("GOOGLETRANSLATE(B116, ""en"", ""am"")"),"ተቃዋሚዎ ትከሻ ለመወርወር ሞክሯል, ነገር ግን ከለከሉት. በዚህ ላይ እንዴት ይጠቅማሉ?")</f>
        <v>ተቃዋሚዎ ትከሻ ለመወርወር ሞክሯል, ነገር ግን ከለከሉት. በዚህ ላይ እንዴት ይጠቅማሉ?</v>
      </c>
      <c r="I116" s="11" t="str">
        <f>IFERROR(__xludf.DUMMYFUNCTION("GOOGLETRANSLATE(C116, ""en"", ""am"")"),"ሀ. ቆጣሪ በፍጥነት ማውረድ ቢ. እንደገና ለማስጀመር ይግፏቸው። ወደ መከላከያው ይሂዱ ዲ. እንደገና እንዲያጠቁዋቸው ይጠብቁ")</f>
        <v>ሀ. ቆጣሪ በፍጥነት ማውረድ ቢ. እንደገና ለማስጀመር ይግፏቸው። ወደ መከላከያው ይሂዱ ዲ. እንደገና እንዲያጠቁዋቸው ይጠብቁ</v>
      </c>
      <c r="J116" s="11" t="str">
        <f>IFERROR(__xludf.DUMMYFUNCTION("GOOGLETRANSLATE(D116, ""en"", ""am"")"),"በፍጥነት በማውረድ ቆጣሪ")</f>
        <v>በፍጥነት በማውረድ ቆጣሪ</v>
      </c>
      <c r="K116" s="11" t="str">
        <f>IFERROR(__xludf.DUMMYFUNCTION("GOOGLETRANSLATE(E116, ""en"", ""am"")"),"ልክ ከታገዱ በኋላ ቆጣሪ ከጠባቂው ሊያጠላቸው ይችላል።")</f>
        <v>ልክ ከታገዱ በኋላ ቆጣሪ ከጠባቂው ሊያጠላቸው ይችላል።</v>
      </c>
    </row>
    <row r="117" ht="22.5" customHeight="1">
      <c r="A117" s="10">
        <v>116.0</v>
      </c>
      <c r="B117" s="11" t="s">
        <v>3310</v>
      </c>
      <c r="C117" s="11" t="s">
        <v>3311</v>
      </c>
      <c r="D117" s="11" t="s">
        <v>3312</v>
      </c>
      <c r="E117" s="11" t="s">
        <v>3313</v>
      </c>
      <c r="G117" s="11" t="str">
        <f>IFERROR(__xludf.DUMMYFUNCTION("GOOGLETRANSLATE(A117, ""en"", ""am"")"),"116")</f>
        <v>116</v>
      </c>
      <c r="H117" s="11" t="str">
        <f>IFERROR(__xludf.DUMMYFUNCTION("GOOGLETRANSLATE(B117, ""en"", ""am"")"),"በጭቃማ መድረክ ውስጥ እየተወዳደሩ ነው፣ እና እግርዎ ያልተረጋጋ ይሆናል። እንዴት ማስተካከል አለቦት?")</f>
        <v>በጭቃማ መድረክ ውስጥ እየተወዳደሩ ነው፣ እና እግርዎ ያልተረጋጋ ይሆናል። እንዴት ማስተካከል አለቦት?</v>
      </c>
      <c r="I117" s="11" t="str">
        <f>IFERROR(__xludf.DUMMYFUNCTION("GOOGLETRANSLATE(C117, ""en"", ""am"")"),"ሀ. እርምጃዎችዎን ያሳጥሩ እና ሚዛን ቢ ላይ ያተኩሩ። ወደፊት ለመቆየት እንቅስቃሴዎን ያሳድጉ። መሳተፍን ያስወግዱ እና መከላከያ ይቆዩD. በላይኛው የሰውነት ጥንካሬ ላይ ብቻ ይተማመኑ")</f>
        <v>ሀ. እርምጃዎችዎን ያሳጥሩ እና ሚዛን ቢ ላይ ያተኩሩ። ወደፊት ለመቆየት እንቅስቃሴዎን ያሳድጉ። መሳተፍን ያስወግዱ እና መከላከያ ይቆዩD. በላይኛው የሰውነት ጥንካሬ ላይ ብቻ ይተማመኑ</v>
      </c>
      <c r="J117" s="11" t="str">
        <f>IFERROR(__xludf.DUMMYFUNCTION("GOOGLETRANSLATE(D117, ""en"", ""am"")"),"እርምጃዎችዎን ያሳጥሩ እና ሚዛን ላይ ያተኩሩ")</f>
        <v>እርምጃዎችዎን ያሳጥሩ እና ሚዛን ላይ ያተኩሩ</v>
      </c>
      <c r="K117" s="11" t="str">
        <f>IFERROR(__xludf.DUMMYFUNCTION("GOOGLETRANSLATE(E117, ""en"", ""am"")"),"ትናንሽ እርምጃዎች በተንሸራታች ሁኔታዎች ውስጥ መረጋጋትን ለመጠበቅ ይረዳሉ.")</f>
        <v>ትናንሽ እርምጃዎች በተንሸራታች ሁኔታዎች ውስጥ መረጋጋትን ለመጠበቅ ይረዳሉ.</v>
      </c>
    </row>
    <row r="118" ht="22.5" customHeight="1">
      <c r="A118" s="10">
        <v>117.0</v>
      </c>
      <c r="B118" s="11" t="s">
        <v>3314</v>
      </c>
      <c r="C118" s="11" t="s">
        <v>3315</v>
      </c>
      <c r="D118" s="11" t="s">
        <v>3316</v>
      </c>
      <c r="E118" s="11" t="s">
        <v>3317</v>
      </c>
      <c r="G118" s="11" t="str">
        <f>IFERROR(__xludf.DUMMYFUNCTION("GOOGLETRANSLATE(A118, ""en"", ""am"")"),"117")</f>
        <v>117</v>
      </c>
      <c r="H118" s="11" t="str">
        <f>IFERROR(__xludf.DUMMYFUNCTION("GOOGLETRANSLATE(B118, ""en"", ""am"")"),"ተቃዋሚዎ ያልተለመደ ነገር ግን ህጋዊ እርምጃ ይጠቀማል። እንዴት ነው የምትይዘው?")</f>
        <v>ተቃዋሚዎ ያልተለመደ ነገር ግን ህጋዊ እርምጃ ይጠቀማል። እንዴት ነው የምትይዘው?</v>
      </c>
      <c r="I118" s="11" t="str">
        <f>IFERROR(__xludf.DUMMYFUNCTION("GOOGLETRANSLATE(C118, ""en"", ""am"")"),"ሀ. በመመልከት እና በመቃወም ለ. ተደናገጡ እና በዘፈቀደ መልሶ ማጥቃት ሲ ይሞክሩ። ችላ ይበሉት እና ከእራስዎ እንቅስቃሴ ጋር ይጣበቁ። ማብራሪያ እንዲሰጥ ዳኛውን ይጠይቁ")</f>
        <v>ሀ. በመመልከት እና በመቃወም ለ. ተደናገጡ እና በዘፈቀደ መልሶ ማጥቃት ሲ ይሞክሩ። ችላ ይበሉት እና ከእራስዎ እንቅስቃሴ ጋር ይጣበቁ። ማብራሪያ እንዲሰጥ ዳኛውን ይጠይቁ</v>
      </c>
      <c r="J118" s="11" t="str">
        <f>IFERROR(__xludf.DUMMYFUNCTION("GOOGLETRANSLATE(D118, ""en"", ""am"")"),"በመመልከት እና በመቃወም መላመድ")</f>
        <v>በመመልከት እና በመቃወም መላመድ</v>
      </c>
      <c r="K118" s="11" t="str">
        <f>IFERROR(__xludf.DUMMYFUNCTION("GOOGLETRANSLATE(E118, ""en"", ""am"")"),"ያልተጠበቁ እንቅስቃሴዎችን ለመቆጣጠር ምልከታ እና መላመድ ቁልፍ ናቸው።")</f>
        <v>ያልተጠበቁ እንቅስቃሴዎችን ለመቆጣጠር ምልከታ እና መላመድ ቁልፍ ናቸው።</v>
      </c>
    </row>
    <row r="119" ht="22.5" customHeight="1">
      <c r="A119" s="10">
        <v>118.0</v>
      </c>
      <c r="B119" s="11" t="s">
        <v>3318</v>
      </c>
      <c r="C119" s="11" t="s">
        <v>3319</v>
      </c>
      <c r="D119" s="11" t="s">
        <v>3320</v>
      </c>
      <c r="E119" s="11" t="s">
        <v>3321</v>
      </c>
      <c r="G119" s="11" t="str">
        <f>IFERROR(__xludf.DUMMYFUNCTION("GOOGLETRANSLATE(A119, ""en"", ""am"")"),"118")</f>
        <v>118</v>
      </c>
      <c r="H119" s="11" t="str">
        <f>IFERROR(__xludf.DUMMYFUNCTION("GOOGLETRANSLATE(B119, ""en"", ""am"")"),"ተቃዋሚዎ አድካሚ ቢሆንም አሁንም ጠበኛ መሆኑን አስተውለሃል። የእርስዎ ስልት ምንድን ነው?")</f>
        <v>ተቃዋሚዎ አድካሚ ቢሆንም አሁንም ጠበኛ መሆኑን አስተውለሃል። የእርስዎ ስልት ምንድን ነው?</v>
      </c>
      <c r="I119" s="11" t="str">
        <f>IFERROR(__xludf.DUMMYFUNCTION("GOOGLETRANSLATE(C119, ""en"", ""am"")"),"ሀ. የበለጠ እራሳቸውን እንዲደክሙ ይፍቀዱላቸው. ግጥሚያCን ለመጨረስ ጥቃታቸውን አዛምድ። በስሜታዊነት ይከላከሉ እና ስህተታቸውን ይጠብቁ. እነሱን ለማሸነፍ የኃይል ውፅዓትዎን ይጨምሩ")</f>
        <v>ሀ. የበለጠ እራሳቸውን እንዲደክሙ ይፍቀዱላቸው. ግጥሚያCን ለመጨረስ ጥቃታቸውን አዛምድ። በስሜታዊነት ይከላከሉ እና ስህተታቸውን ይጠብቁ. እነሱን ለማሸነፍ የኃይል ውፅዓትዎን ይጨምሩ</v>
      </c>
      <c r="J119" s="11" t="str">
        <f>IFERROR(__xludf.DUMMYFUNCTION("GOOGLETRANSLATE(D119, ""en"", ""am"")"),"የበለጠ እንዲደክሙ ያድርጉ")</f>
        <v>የበለጠ እንዲደክሙ ያድርጉ</v>
      </c>
      <c r="K119" s="11" t="str">
        <f>IFERROR(__xludf.DUMMYFUNCTION("GOOGLETRANSLATE(E119, ""en"", ""am"")"),"ትዕግስት ከደከመ ተቃዋሚ የበለጠ ጥቅም ይሰጥሃል።")</f>
        <v>ትዕግስት ከደከመ ተቃዋሚ የበለጠ ጥቅም ይሰጥሃል።</v>
      </c>
    </row>
    <row r="120" ht="22.5" customHeight="1">
      <c r="A120" s="10">
        <v>119.0</v>
      </c>
      <c r="B120" s="11" t="s">
        <v>3322</v>
      </c>
      <c r="C120" s="11" t="s">
        <v>3323</v>
      </c>
      <c r="D120" s="11" t="s">
        <v>3324</v>
      </c>
      <c r="E120" s="11" t="s">
        <v>3325</v>
      </c>
      <c r="G120" s="11" t="str">
        <f>IFERROR(__xludf.DUMMYFUNCTION("GOOGLETRANSLATE(A120, ""en"", ""am"")"),"119")</f>
        <v>119</v>
      </c>
      <c r="H120" s="11" t="str">
        <f>IFERROR(__xludf.DUMMYFUNCTION("GOOGLETRANSLATE(B120, ""en"", ""am"")"),"ተቃዋሚዎ በድንገት ወደ መከላከያ ቦታ ይቀየራል። ምን ማድረግ አለቦት?")</f>
        <v>ተቃዋሚዎ በድንገት ወደ መከላከያ ቦታ ይቀየራል። ምን ማድረግ አለቦት?</v>
      </c>
      <c r="I120" s="11" t="str">
        <f>IFERROR(__xludf.DUMMYFUNCTION("GOOGLETRANSLATE(C120, ""en"", ""am"")"),"ሀ. ግፊትን ይጨምሩ እና እንዲሳተፉ ያስገድዷቸውB. አቋማቸውን ያንጸባርቁ እና ይጠብቁC. የእርስዎን ስልትD ለመገምገም ለአፍታ ያቁሙ። ወደኋላ ይመለሱ እና ግጥሚያውን ዳግም ያስጀምሩት።")</f>
        <v>ሀ. ግፊትን ይጨምሩ እና እንዲሳተፉ ያስገድዷቸውB. አቋማቸውን ያንጸባርቁ እና ይጠብቁC. የእርስዎን ስልትD ለመገምገም ለአፍታ ያቁሙ። ወደኋላ ይመለሱ እና ግጥሚያውን ዳግም ያስጀምሩት።</v>
      </c>
      <c r="J120" s="11" t="str">
        <f>IFERROR(__xludf.DUMMYFUNCTION("GOOGLETRANSLATE(D120, ""en"", ""am"")"),"ጫና ይጨምሩ እና እንዲሳተፉ ያስገድዷቸው")</f>
        <v>ጫና ይጨምሩ እና እንዲሳተፉ ያስገድዷቸው</v>
      </c>
      <c r="K120" s="11" t="str">
        <f>IFERROR(__xludf.DUMMYFUNCTION("GOOGLETRANSLATE(E120, ""en"", ""am"")"),"ግፊት ማድረግ የመከላከል ስልታቸውን ሊያስተጓጉል ይችላል።")</f>
        <v>ግፊት ማድረግ የመከላከል ስልታቸውን ሊያስተጓጉል ይችላል።</v>
      </c>
    </row>
    <row r="121" ht="22.5" customHeight="1">
      <c r="A121" s="10">
        <v>120.0</v>
      </c>
      <c r="B121" s="11" t="s">
        <v>3326</v>
      </c>
      <c r="C121" s="11" t="s">
        <v>3327</v>
      </c>
      <c r="D121" s="11" t="s">
        <v>3328</v>
      </c>
      <c r="E121" s="11" t="s">
        <v>3329</v>
      </c>
      <c r="G121" s="11" t="str">
        <f>IFERROR(__xludf.DUMMYFUNCTION("GOOGLETRANSLATE(A121, ""en"", ""am"")"),"120")</f>
        <v>120</v>
      </c>
      <c r="H121" s="11" t="str">
        <f>IFERROR(__xludf.DUMMYFUNCTION("GOOGLETRANSLATE(B121, ""en"", ""am"")"),"ዳኛው ለመቆም ማስጠንቀቂያ ይሰጥዎታል። ቀጥሎ ምን ማድረግ አለቦት?")</f>
        <v>ዳኛው ለመቆም ማስጠንቀቂያ ይሰጥዎታል። ቀጥሎ ምን ማድረግ አለቦት?</v>
      </c>
      <c r="I121" s="11" t="str">
        <f>IFERROR(__xludf.DUMMYFUNCTION("GOOGLETRANSLATE(C121, ""en"", ""am"")"),"ሀ. እንቅስቃሴዎን ያሳድጉ እና ተቃዋሚዎን ያሳትፉ። ስለ ማስጠንቀቂያው ከዳኛው ጋር ይከራከሩ። ተቃዋሚዎ እስኪያጠቃ ድረስ ይጠብቁ. ቀጣዩን እንቅስቃሴዎን ለማቀድ ለአፍታ ያቁሙ")</f>
        <v>ሀ. እንቅስቃሴዎን ያሳድጉ እና ተቃዋሚዎን ያሳትፉ። ስለ ማስጠንቀቂያው ከዳኛው ጋር ይከራከሩ። ተቃዋሚዎ እስኪያጠቃ ድረስ ይጠብቁ. ቀጣዩን እንቅስቃሴዎን ለማቀድ ለአፍታ ያቁሙ</v>
      </c>
      <c r="J121" s="11" t="str">
        <f>IFERROR(__xludf.DUMMYFUNCTION("GOOGLETRANSLATE(D121, ""en"", ""am"")"),"እንቅስቃሴዎን ያሳድጉ እና ተቃዋሚዎን ያሳትፉ")</f>
        <v>እንቅስቃሴዎን ያሳድጉ እና ተቃዋሚዎን ያሳትፉ</v>
      </c>
      <c r="K121" s="11" t="str">
        <f>IFERROR(__xludf.DUMMYFUNCTION("GOOGLETRANSLATE(E121, ""en"", ""am"")"),"መሳተፍ የግጥሚያ ደንቦችን ማክበርን ያረጋግጣል።")</f>
        <v>መሳተፍ የግጥሚያ ደንቦችን ማክበርን ያረጋግጣል።</v>
      </c>
    </row>
    <row r="122" ht="22.5" customHeight="1">
      <c r="A122" s="10">
        <v>121.0</v>
      </c>
      <c r="B122" s="11" t="s">
        <v>3330</v>
      </c>
      <c r="C122" s="11" t="s">
        <v>3331</v>
      </c>
      <c r="D122" s="11" t="s">
        <v>3332</v>
      </c>
      <c r="E122" s="11" t="s">
        <v>3333</v>
      </c>
      <c r="G122" s="11" t="str">
        <f>IFERROR(__xludf.DUMMYFUNCTION("GOOGLETRANSLATE(A122, ""en"", ""am"")"),"121")</f>
        <v>121</v>
      </c>
      <c r="H122" s="11" t="str">
        <f>IFERROR(__xludf.DUMMYFUNCTION("GOOGLETRANSLATE(B122, ""en"", ""am"")"),"በከፍተኛ ከፍታ ክልል ውስጥ እየታገሉ ነው እና የትንፋሽ እጥረት ይሰማዎታል። እንዴት ነው የምትስማማው?")</f>
        <v>በከፍተኛ ከፍታ ክልል ውስጥ እየታገሉ ነው እና የትንፋሽ እጥረት ይሰማዎታል። እንዴት ነው የምትስማማው?</v>
      </c>
      <c r="I122" s="11" t="str">
        <f>IFERROR(__xludf.DUMMYFUNCTION("GOOGLETRANSLATE(C122, ""en"", ""am"")"),"ሀ. ፍጥነትዎን ይቀንሱ እና ቁጥጥር በሚደረግበት ትንፋሽ ላይ ያተኩሩ. ድካሙን በኃይል ይግፉት ሐ. ከዳኛው የእረፍት ጊዜ ጠይቅ። ወደ መከላከያ ዘዴዎች ቀይር")</f>
        <v>ሀ. ፍጥነትዎን ይቀንሱ እና ቁጥጥር በሚደረግበት ትንፋሽ ላይ ያተኩሩ. ድካሙን በኃይል ይግፉት ሐ. ከዳኛው የእረፍት ጊዜ ጠይቅ። ወደ መከላከያ ዘዴዎች ቀይር</v>
      </c>
      <c r="J122" s="11" t="str">
        <f>IFERROR(__xludf.DUMMYFUNCTION("GOOGLETRANSLATE(D122, ""en"", ""am"")"),"ፍጥነትዎን ይቀንሱ እና ቁጥጥር በሚደረግ መተንፈስ ላይ ያተኩሩ")</f>
        <v>ፍጥነትዎን ይቀንሱ እና ቁጥጥር በሚደረግ መተንፈስ ላይ ያተኩሩ</v>
      </c>
      <c r="K122" s="11" t="str">
        <f>IFERROR(__xludf.DUMMYFUNCTION("GOOGLETRANSLATE(E122, ""en"", ""am"")"),"በከፍታ ቦታዎች ላይ ቁጥጥር የሚደረግበት መተንፈስ አስፈላጊ ነው.")</f>
        <v>በከፍታ ቦታዎች ላይ ቁጥጥር የሚደረግበት መተንፈስ አስፈላጊ ነው.</v>
      </c>
    </row>
    <row r="123" ht="22.5" customHeight="1">
      <c r="A123" s="10">
        <v>122.0</v>
      </c>
      <c r="B123" s="11" t="s">
        <v>3334</v>
      </c>
      <c r="C123" s="11" t="s">
        <v>3335</v>
      </c>
      <c r="D123" s="11" t="s">
        <v>3336</v>
      </c>
      <c r="E123" s="11" t="s">
        <v>3337</v>
      </c>
      <c r="G123" s="11" t="str">
        <f>IFERROR(__xludf.DUMMYFUNCTION("GOOGLETRANSLATE(A123, ""en"", ""am"")"),"122")</f>
        <v>122</v>
      </c>
      <c r="H123" s="11" t="str">
        <f>IFERROR(__xludf.DUMMYFUNCTION("GOOGLETRANSLATE(B123, ""en"", ""am"")"),"ተቃዋሚዎ ተመሳሳይ ሊተነበይ የሚችል እርምጃ መጠቀሙን ይቀጥላል። ይህን እንዴት ትጠቀማለህ?")</f>
        <v>ተቃዋሚዎ ተመሳሳይ ሊተነበይ የሚችል እርምጃ መጠቀሙን ይቀጥላል። ይህን እንዴት ትጠቀማለህ?</v>
      </c>
      <c r="I123" s="11" t="str">
        <f>IFERROR(__xludf.DUMMYFUNCTION("GOOGLETRANSLATE(C123, ""en"", ""am"")"),"ሀ. እርምጃውን በትክክለኛው የጊዜ ቢ. ችላ ይበሉ እና በራስዎ ስትራቴጂ ላይ ያተኩሩ። ራሳቸውን ለማድከም ​​መጠቀሙን ይቀጥሉበት። እነሱን ለማደናገር እንቅስቃሴያቸውን አስመስለው")</f>
        <v>ሀ. እርምጃውን በትክክለኛው የጊዜ ቢ. ችላ ይበሉ እና በራስዎ ስትራቴጂ ላይ ያተኩሩ። ራሳቸውን ለማድከም ​​መጠቀሙን ይቀጥሉበት። እነሱን ለማደናገር እንቅስቃሴያቸውን አስመስለው</v>
      </c>
      <c r="J123" s="11" t="str">
        <f>IFERROR(__xludf.DUMMYFUNCTION("GOOGLETRANSLATE(D123, ""en"", ""am"")"),"እርምጃውን በትክክለኛው ጊዜ ይቆጣጠሩ")</f>
        <v>እርምጃውን በትክክለኛው ጊዜ ይቆጣጠሩ</v>
      </c>
      <c r="K123" s="11" t="str">
        <f>IFERROR(__xludf.DUMMYFUNCTION("GOOGLETRANSLATE(E123, ""en"", ""am"")"),"መተንበይ ለቆጣሪዎች ተጋላጭ ያደርጋቸዋል።")</f>
        <v>መተንበይ ለቆጣሪዎች ተጋላጭ ያደርጋቸዋል።</v>
      </c>
    </row>
    <row r="124" ht="22.5" customHeight="1">
      <c r="A124" s="10">
        <v>123.0</v>
      </c>
      <c r="B124" s="11" t="s">
        <v>3338</v>
      </c>
      <c r="C124" s="11" t="s">
        <v>3339</v>
      </c>
      <c r="D124" s="11" t="s">
        <v>3340</v>
      </c>
      <c r="E124" s="11" t="s">
        <v>3341</v>
      </c>
      <c r="G124" s="11" t="str">
        <f>IFERROR(__xludf.DUMMYFUNCTION("GOOGLETRANSLATE(A124, ""en"", ""am"")"),"123")</f>
        <v>123</v>
      </c>
      <c r="H124" s="11" t="str">
        <f>IFERROR(__xludf.DUMMYFUNCTION("GOOGLETRANSLATE(B124, ""en"", ""am"")"),"ተቃዋሚዎ ወደ ኋላ ይመለሳል እና ተሳትፎን ያስወግዳል። ይህን ሁኔታ እንዴት ነው የምትይዘው?")</f>
        <v>ተቃዋሚዎ ወደ ኋላ ይመለሳል እና ተሳትፎን ያስወግዳል። ይህን ሁኔታ እንዴት ነው የምትይዘው?</v>
      </c>
      <c r="I124" s="11" t="str">
        <f>IFERROR(__xludf.DUMMYFUNCTION("GOOGLETRANSLATE(C124, ""en"", ""am"")"),"ሀ. ክፍተቱን ይዝጉ እና ተሳትፎን ያስገድዱ B. ተመልሰው ይቆዩ እና አቋምዎን ይጠብቁ። ዳኛው ጣልቃ እንዲገባ ይጠይቁት. እንደገና እስኪገናኙ ድረስ ይጠብቁ")</f>
        <v>ሀ. ክፍተቱን ይዝጉ እና ተሳትፎን ያስገድዱ B. ተመልሰው ይቆዩ እና አቋምዎን ይጠብቁ። ዳኛው ጣልቃ እንዲገባ ይጠይቁት. እንደገና እስኪገናኙ ድረስ ይጠብቁ</v>
      </c>
      <c r="J124" s="11" t="str">
        <f>IFERROR(__xludf.DUMMYFUNCTION("GOOGLETRANSLATE(D124, ""en"", ""am"")"),"ክፍተቱን ይዝጉ እና ተሳትፎን ያስገድዱ")</f>
        <v>ክፍተቱን ይዝጉ እና ተሳትፎን ያስገድዱ</v>
      </c>
      <c r="K124" s="11" t="str">
        <f>IFERROR(__xludf.DUMMYFUNCTION("GOOGLETRANSLATE(E124, ""en"", ""am"")"),"ማስገደድ ግጥሚያውን ተለዋዋጭ ያደርገዋል።")</f>
        <v>ማስገደድ ግጥሚያውን ተለዋዋጭ ያደርገዋል።</v>
      </c>
    </row>
    <row r="125" ht="22.5" customHeight="1">
      <c r="A125" s="10">
        <v>124.0</v>
      </c>
      <c r="B125" s="11" t="s">
        <v>3342</v>
      </c>
      <c r="C125" s="11" t="s">
        <v>3343</v>
      </c>
      <c r="D125" s="11" t="s">
        <v>3344</v>
      </c>
      <c r="E125" s="11" t="s">
        <v>3345</v>
      </c>
      <c r="G125" s="11" t="str">
        <f>IFERROR(__xludf.DUMMYFUNCTION("GOOGLETRANSLATE(A125, ""en"", ""am"")"),"124")</f>
        <v>124</v>
      </c>
      <c r="H125" s="11" t="str">
        <f>IFERROR(__xludf.DUMMYFUNCTION("GOOGLETRANSLATE(B125, ""en"", ""am"")"),"በጠራራ የፀሐይ ብርሃን ስር እየታገልክ ነው፣ ይህም ታይነትን አስቸጋሪ ያደርገዋል። እንዴት ነው የምታስተካክለው?")</f>
        <v>በጠራራ የፀሐይ ብርሃን ስር እየታገልክ ነው፣ ይህም ታይነትን አስቸጋሪ ያደርገዋል። እንዴት ነው የምታስተካክለው?</v>
      </c>
      <c r="I125" s="11" t="str">
        <f>IFERROR(__xludf.DUMMYFUNCTION("GOOGLETRANSLATE(C125, ""en"", ""am"")"),"ሀ. ዓይኖችዎን በተቃዋሚዎ አካል ላይ ያተኩሩ። ዳኛው ግጥሚያውን ለአፍታ እንዲያቆም ይጠይቁት። በደመ ነፍስዎ ላይ ብቻ ይተማመኑ። ጀርባዎን ወደ ፀሐይ ያዙሩት")</f>
        <v>ሀ. ዓይኖችዎን በተቃዋሚዎ አካል ላይ ያተኩሩ። ዳኛው ግጥሚያውን ለአፍታ እንዲያቆም ይጠይቁት። በደመ ነፍስዎ ላይ ብቻ ይተማመኑ። ጀርባዎን ወደ ፀሐይ ያዙሩት</v>
      </c>
      <c r="J125" s="11" t="str">
        <f>IFERROR(__xludf.DUMMYFUNCTION("GOOGLETRANSLATE(D125, ""en"", ""am"")"),"ዓይኖችዎን በተቃዋሚዎ አካል ላይ ያተኩሩ")</f>
        <v>ዓይኖችዎን በተቃዋሚዎ አካል ላይ ያተኩሩ</v>
      </c>
      <c r="K125" s="11" t="str">
        <f>IFERROR(__xludf.DUMMYFUNCTION("GOOGLETRANSLATE(E125, ""en"", ""am"")"),"በእንቅስቃሴዎቻቸው ላይ ማተኮር ለደካማ ታይነት ማካካሻ ነው.")</f>
        <v>በእንቅስቃሴዎቻቸው ላይ ማተኮር ለደካማ ታይነት ማካካሻ ነው.</v>
      </c>
    </row>
    <row r="126" ht="22.5" customHeight="1">
      <c r="A126" s="10">
        <v>125.0</v>
      </c>
      <c r="B126" s="11" t="s">
        <v>3346</v>
      </c>
      <c r="C126" s="11" t="s">
        <v>3347</v>
      </c>
      <c r="D126" s="11" t="s">
        <v>3348</v>
      </c>
      <c r="E126" s="11" t="s">
        <v>3349</v>
      </c>
      <c r="G126" s="11" t="str">
        <f>IFERROR(__xludf.DUMMYFUNCTION("GOOGLETRANSLATE(A126, ""en"", ""am"")"),"125")</f>
        <v>125</v>
      </c>
      <c r="H126" s="11" t="str">
        <f>IFERROR(__xludf.DUMMYFUNCTION("GOOGLETRANSLATE(B126, ""en"", ""am"")"),"ተቃዋሚዎ ጠንካራ ነው ግን ቀርፋፋ ነው። የእርስዎ ተስማሚ ስልት ምንድን ነው?")</f>
        <v>ተቃዋሚዎ ጠንካራ ነው ግን ቀርፋፋ ነው። የእርስዎ ተስማሚ ስልት ምንድን ነው?</v>
      </c>
      <c r="I126" s="11" t="str">
        <f>IFERROR(__xludf.DUMMYFUNCTION("GOOGLETRANSLATE(C126, ""en"", ""am"")"),"ሀ. በፈጣን እንቅስቃሴዎች እና ቅልጥፍና ላይ ያተኩሩ። እነሱን ለማሸነፍ ጥንካሬያቸውን አዛምድ ሐ. በመከላከል ላይ ይቆዩ እና ይልበሷቸው። ሙሉ በሙሉ ተሳትፎን ያስወግዱ")</f>
        <v>ሀ. በፈጣን እንቅስቃሴዎች እና ቅልጥፍና ላይ ያተኩሩ። እነሱን ለማሸነፍ ጥንካሬያቸውን አዛምድ ሐ. በመከላከል ላይ ይቆዩ እና ይልበሷቸው። ሙሉ በሙሉ ተሳትፎን ያስወግዱ</v>
      </c>
      <c r="J126" s="11" t="str">
        <f>IFERROR(__xludf.DUMMYFUNCTION("GOOGLETRANSLATE(D126, ""en"", ""am"")"),"ፈጣን እንቅስቃሴዎች እና ቅልጥፍና ላይ ያተኩሩ")</f>
        <v>ፈጣን እንቅስቃሴዎች እና ቅልጥፍና ላይ ያተኩሩ</v>
      </c>
      <c r="K126" s="11" t="str">
        <f>IFERROR(__xludf.DUMMYFUNCTION("GOOGLETRANSLATE(E126, ""en"", ""am"")"),"ፍጥነት በትግል ውስጥ ካለው ጥንካሬ ሊበልጥ ይችላል።")</f>
        <v>ፍጥነት በትግል ውስጥ ካለው ጥንካሬ ሊበልጥ ይችላል።</v>
      </c>
    </row>
    <row r="127" ht="22.5" customHeight="1">
      <c r="A127" s="10">
        <v>126.0</v>
      </c>
      <c r="B127" s="11" t="s">
        <v>3350</v>
      </c>
      <c r="C127" s="11" t="s">
        <v>3351</v>
      </c>
      <c r="D127" s="11" t="s">
        <v>3352</v>
      </c>
      <c r="E127" s="11" t="s">
        <v>3353</v>
      </c>
      <c r="G127" s="11" t="str">
        <f>IFERROR(__xludf.DUMMYFUNCTION("GOOGLETRANSLATE(A127, ""en"", ""am"")"),"126")</f>
        <v>126</v>
      </c>
      <c r="H127" s="11" t="str">
        <f>IFERROR(__xludf.DUMMYFUNCTION("GOOGLETRANSLATE(B127, ""en"", ""am"")"),"ዳኛው አጭር የውሃ እረፍት ይፈቅዳል. ይህንን ጊዜ እንዴት ይጠቀማሉ?")</f>
        <v>ዳኛው አጭር የውሃ እረፍት ይፈቅዳል. ይህንን ጊዜ እንዴት ይጠቀማሉ?</v>
      </c>
      <c r="I127" s="11" t="str">
        <f>IFERROR(__xludf.DUMMYFUNCTION("GOOGLETRANSLATE(C127, ""en"", ""am"")"),"ሀ. እንደገና ውሃ ያጠቡ እና በስልትዎ ላይ ያተኩሩ። ያለፉት ውሳኔዎች ከዳኛው ጋር ይከራከሩ። ሁኔታቸውን ለመለካት ተቃዋሚዎን ይመልከቱ። ስለ ግጥሚያው ሳያስቡ በስሜታዊነት እረፍት ያድርጉ")</f>
        <v>ሀ. እንደገና ውሃ ያጠቡ እና በስልትዎ ላይ ያተኩሩ። ያለፉት ውሳኔዎች ከዳኛው ጋር ይከራከሩ። ሁኔታቸውን ለመለካት ተቃዋሚዎን ይመልከቱ። ስለ ግጥሚያው ሳያስቡ በስሜታዊነት እረፍት ያድርጉ</v>
      </c>
      <c r="J127" s="11" t="str">
        <f>IFERROR(__xludf.DUMMYFUNCTION("GOOGLETRANSLATE(D127, ""en"", ""am"")"),"ውሃ ያጠጡ እና በስልትዎ ላይ ያተኩሩ")</f>
        <v>ውሃ ያጠጡ እና በስልትዎ ላይ ያተኩሩ</v>
      </c>
      <c r="K127" s="11" t="str">
        <f>IFERROR(__xludf.DUMMYFUNCTION("GOOGLETRANSLATE(E127, ""en"", ""am"")"),"እረፍቶች ለማገገም እና ትኩረት ለመስጠት ወሳኝ ናቸው.")</f>
        <v>እረፍቶች ለማገገም እና ትኩረት ለመስጠት ወሳኝ ናቸው.</v>
      </c>
    </row>
    <row r="128" ht="22.5" customHeight="1">
      <c r="A128" s="10">
        <v>127.0</v>
      </c>
      <c r="B128" s="11" t="s">
        <v>3354</v>
      </c>
      <c r="C128" s="11" t="s">
        <v>3355</v>
      </c>
      <c r="D128" s="11" t="s">
        <v>3356</v>
      </c>
      <c r="E128" s="11" t="s">
        <v>3357</v>
      </c>
      <c r="G128" s="11" t="str">
        <f>IFERROR(__xludf.DUMMYFUNCTION("GOOGLETRANSLATE(A128, ""en"", ""am"")"),"127")</f>
        <v>127</v>
      </c>
      <c r="H128" s="11" t="str">
        <f>IFERROR(__xludf.DUMMYFUNCTION("GOOGLETRANSLATE(B128, ""en"", ""am"")"),"ተቃዋሚህ አንተን ለመጣል ያፌዝሃል። የእርስዎ ምርጥ ምላሽ ምንድን ነው?")</f>
        <v>ተቃዋሚህ አንተን ለመጣል ያፌዝሃል። የእርስዎ ምርጥ ምላሽ ምንድን ነው?</v>
      </c>
      <c r="I128" s="11" t="str">
        <f>IFERROR(__xludf.DUMMYFUNCTION("GOOGLETRANSLATE(C128, ""en"", ""am"")"),"ሀ. እነሱን ችላ ይበሉ እና የእርስዎን ስትራቴጂ ለ ይያዙ። ከጉልበታቸው ጋር እንዲመሳሰል መልሰው ያፌዙባቸው። ዳኛው ሁኔታውን ይቆጣጠር ዲ. እሱን ለመፍታት ግጥሚያውን ለአፍታ ያቁሙት።")</f>
        <v>ሀ. እነሱን ችላ ይበሉ እና የእርስዎን ስትራቴጂ ለ ይያዙ። ከጉልበታቸው ጋር እንዲመሳሰል መልሰው ያፌዙባቸው። ዳኛው ሁኔታውን ይቆጣጠር ዲ. እሱን ለመፍታት ግጥሚያውን ለአፍታ ያቁሙት።</v>
      </c>
      <c r="J128" s="11" t="str">
        <f>IFERROR(__xludf.DUMMYFUNCTION("GOOGLETRANSLATE(D128, ""en"", ""am"")"),"እነሱን ችላ ይበሉ እና የእርስዎን ስልት ይከተሉ")</f>
        <v>እነሱን ችላ ይበሉ እና የእርስዎን ስልት ይከተሉ</v>
      </c>
      <c r="K128" s="11" t="str">
        <f>IFERROR(__xludf.DUMMYFUNCTION("GOOGLETRANSLATE(E128, ""en"", ""am"")"),"በትኩረት መቆየታቸው መሳለቂያዎቻቸው በአፈጻጸምዎ ላይ ተጽዕኖ እንደማይኖራቸው ያረጋግጣል።")</f>
        <v>በትኩረት መቆየታቸው መሳለቂያዎቻቸው በአፈጻጸምዎ ላይ ተጽዕኖ እንደማይኖራቸው ያረጋግጣል።</v>
      </c>
    </row>
    <row r="129" ht="22.5" customHeight="1">
      <c r="A129" s="10">
        <v>128.0</v>
      </c>
      <c r="B129" s="11" t="s">
        <v>3358</v>
      </c>
      <c r="C129" s="11" t="s">
        <v>3359</v>
      </c>
      <c r="D129" s="11" t="s">
        <v>3360</v>
      </c>
      <c r="E129" s="11" t="s">
        <v>3361</v>
      </c>
      <c r="G129" s="11" t="str">
        <f>IFERROR(__xludf.DUMMYFUNCTION("GOOGLETRANSLATE(A129, ""en"", ""am"")"),"128")</f>
        <v>128</v>
      </c>
      <c r="H129" s="11" t="str">
        <f>IFERROR(__xludf.DUMMYFUNCTION("GOOGLETRANSLATE(B129, ""en"", ""am"")"),"ነጥቦችን እያጡ ነው፣ እና አሰልጣኝዎ በግጥሚያ አጋማሽ ላይ ምክር ይሰጡዎታል። ምን ምላሽ ትሰጣለህ?")</f>
        <v>ነጥቦችን እያጡ ነው፣ እና አሰልጣኝዎ በግጥሚያ አጋማሽ ላይ ምክር ይሰጡዎታል። ምን ምላሽ ትሰጣለህ?</v>
      </c>
      <c r="I129" s="11" t="str">
        <f>IFERROR(__xludf.DUMMYFUNCTION("GOOGLETRANSLATE(C129, ""en"", ""am"")"),"ሀ. ምክራቸውን ወዲያውኑ ያካትቱ. ችላ በል እና አሁን ባለው አቀራረብህ ላይ አተኩር ሲ. ስለ ምክር ለመወያየት እረፍት ይጠብቁ. ስትራቴጂዎን ሙሉ በሙሉ ይለውጡ")</f>
        <v>ሀ. ምክራቸውን ወዲያውኑ ያካትቱ. ችላ በል እና አሁን ባለው አቀራረብህ ላይ አተኩር ሲ. ስለ ምክር ለመወያየት እረፍት ይጠብቁ. ስትራቴጂዎን ሙሉ በሙሉ ይለውጡ</v>
      </c>
      <c r="J129" s="11" t="str">
        <f>IFERROR(__xludf.DUMMYFUNCTION("GOOGLETRANSLATE(D129, ""en"", ""am"")"),"ምክራቸውን ወዲያውኑ ያካትቱ")</f>
        <v>ምክራቸውን ወዲያውኑ ያካትቱ</v>
      </c>
      <c r="K129" s="11" t="str">
        <f>IFERROR(__xludf.DUMMYFUNCTION("GOOGLETRANSLATE(E129, ""en"", ""am"")"),"መመሪያን መከተል ግጥሚያውን እንዲቀይሩ ይረዳዎታል።")</f>
        <v>መመሪያን መከተል ግጥሚያውን እንዲቀይሩ ይረዳዎታል።</v>
      </c>
    </row>
    <row r="130" ht="22.5" customHeight="1">
      <c r="A130" s="10">
        <v>129.0</v>
      </c>
      <c r="B130" s="11" t="s">
        <v>3362</v>
      </c>
      <c r="C130" s="11" t="s">
        <v>3363</v>
      </c>
      <c r="D130" s="11" t="s">
        <v>3364</v>
      </c>
      <c r="E130" s="11" t="s">
        <v>3365</v>
      </c>
      <c r="G130" s="11" t="str">
        <f>IFERROR(__xludf.DUMMYFUNCTION("GOOGLETRANSLATE(A130, ""en"", ""am"")"),"129")</f>
        <v>129</v>
      </c>
      <c r="H130" s="11" t="str">
        <f>IFERROR(__xludf.DUMMYFUNCTION("GOOGLETRANSLATE(B130, ""en"", ""am"")"),"ተቃዋሚዎ አደገኛ ከፍተኛ-ተፅእኖ እንቅስቃሴን ቢሞክርም አልተሳካም። እንዴት ነው ካፒታል የምታደርጉት?")</f>
        <v>ተቃዋሚዎ አደገኛ ከፍተኛ-ተፅእኖ እንቅስቃሴን ቢሞክርም አልተሳካም። እንዴት ነው ካፒታል የምታደርጉት?</v>
      </c>
      <c r="I130" s="11" t="str">
        <f>IFERROR(__xludf.DUMMYFUNCTION("GOOGLETRANSLATE(C130, ""en"", ""am"")"),"ሀ. ወዲያውኑ ወሳኝ በሆነ እንቅስቃሴ ቢ. ወደ ኋላ ይመለሱ እና ቀጣዩን እርምጃቸውን ይጠብቁ። እነሱን ለማዘናጋት አመስግኗቸውD. ድንገተኛ ማገገምን ለማስወገድ ይከላከሉ")</f>
        <v>ሀ. ወዲያውኑ ወሳኝ በሆነ እንቅስቃሴ ቢ. ወደ ኋላ ይመለሱ እና ቀጣዩን እርምጃቸውን ይጠብቁ። እነሱን ለማዘናጋት አመስግኗቸውD. ድንገተኛ ማገገምን ለማስወገድ ይከላከሉ</v>
      </c>
      <c r="J130" s="11" t="str">
        <f>IFERROR(__xludf.DUMMYFUNCTION("GOOGLETRANSLATE(D130, ""en"", ""am"")"),"ወዲያውኑ ወሳኝ እርምጃ ይመልሱ")</f>
        <v>ወዲያውኑ ወሳኝ እርምጃ ይመልሱ</v>
      </c>
      <c r="K130" s="11" t="str">
        <f>IFERROR(__xludf.DUMMYFUNCTION("GOOGLETRANSLATE(E130, ""en"", ""am"")"),"ፈጣን ቆጣሪ ከውድቀታቸው በኋላ ጥቅሙን ሊጠብቅ ይችላል.")</f>
        <v>ፈጣን ቆጣሪ ከውድቀታቸው በኋላ ጥቅሙን ሊጠብቅ ይችላል.</v>
      </c>
    </row>
    <row r="131" ht="22.5" customHeight="1">
      <c r="A131" s="10">
        <v>130.0</v>
      </c>
      <c r="B131" s="11" t="s">
        <v>3366</v>
      </c>
      <c r="C131" s="11" t="s">
        <v>3367</v>
      </c>
      <c r="D131" s="11" t="s">
        <v>3368</v>
      </c>
      <c r="E131" s="11" t="s">
        <v>3369</v>
      </c>
      <c r="G131" s="11" t="str">
        <f>IFERROR(__xludf.DUMMYFUNCTION("GOOGLETRANSLATE(A131, ""en"", ""am"")"),"130")</f>
        <v>130</v>
      </c>
      <c r="H131" s="11" t="str">
        <f>IFERROR(__xludf.DUMMYFUNCTION("GOOGLETRANSLATE(B131, ""en"", ""am"")"),"መጠነኛ ጉዳት አለብህ ግን መቀጠል ትችላለህ። የእርስዎ ምርጥ አቀራረብ ምንድነው?")</f>
        <v>መጠነኛ ጉዳት አለብህ ግን መቀጠል ትችላለህ። የእርስዎ ምርጥ አቀራረብ ምንድነው?</v>
      </c>
      <c r="I131" s="11" t="str">
        <f>IFERROR(__xludf.DUMMYFUNCTION("GOOGLETRANSLATE(C131, ""en"", ""am"")"),"ሀ. ንቁ በሚሆኑበት ጊዜ ጉዳቱን ይጠብቁ ለ. ግጥሚያውን ያቁሙ እና ጉዳቱን ያቅርቡ። ጉዳቱን ሙሉ በሙሉ ችላ ይበሉ። በተቃዋሚዎ ላይ ስህተት ሲሠሩ ይመኑ")</f>
        <v>ሀ. ንቁ በሚሆኑበት ጊዜ ጉዳቱን ይጠብቁ ለ. ግጥሚያውን ያቁሙ እና ጉዳቱን ያቅርቡ። ጉዳቱን ሙሉ በሙሉ ችላ ይበሉ። በተቃዋሚዎ ላይ ስህተት ሲሠሩ ይመኑ</v>
      </c>
      <c r="J131" s="11" t="str">
        <f>IFERROR(__xludf.DUMMYFUNCTION("GOOGLETRANSLATE(D131, ""en"", ""am"")"),"ንቁ በሚሆኑበት ጊዜ ጉዳቱን ይጠብቁ")</f>
        <v>ንቁ በሚሆኑበት ጊዜ ጉዳቱን ይጠብቁ</v>
      </c>
      <c r="K131" s="11" t="str">
        <f>IFERROR(__xludf.DUMMYFUNCTION("GOOGLETRANSLATE(E131, ""en"", ""am"")"),"እንቅስቃሴን እና ጥንቃቄን ማመጣጠን ጉዳቱን ከማባባስ ይከላከላል.")</f>
        <v>እንቅስቃሴን እና ጥንቃቄን ማመጣጠን ጉዳቱን ከማባባስ ይከላከላል.</v>
      </c>
    </row>
    <row r="132" ht="22.5" customHeight="1">
      <c r="A132" s="10">
        <v>131.0</v>
      </c>
      <c r="B132" s="11" t="s">
        <v>3370</v>
      </c>
      <c r="C132" s="11" t="s">
        <v>3371</v>
      </c>
      <c r="D132" s="11" t="s">
        <v>3372</v>
      </c>
      <c r="E132" s="11" t="s">
        <v>3373</v>
      </c>
      <c r="G132" s="11" t="str">
        <f>IFERROR(__xludf.DUMMYFUNCTION("GOOGLETRANSLATE(A132, ""en"", ""am"")"),"131")</f>
        <v>131</v>
      </c>
      <c r="H132" s="11" t="str">
        <f>IFERROR(__xludf.DUMMYFUNCTION("GOOGLETRANSLATE(B132, ""en"", ""am"")"),"ተቃዋሚዎ ፈጣን እግርን ለመጥረግ ይሞክራል, ነገር ግን ሚዛንዎን ይጠብቃሉ. ቀጥሎ ምን ታደርጋለህ?")</f>
        <v>ተቃዋሚዎ ፈጣን እግርን ለመጥረግ ይሞክራል, ነገር ግን ሚዛንዎን ይጠብቃሉ. ቀጥሎ ምን ታደርጋለህ?</v>
      </c>
      <c r="I132" s="11" t="str">
        <f>IFERROR(__xludf.DUMMYFUNCTION("GOOGLETRANSLATE(C132, ""en"", ""am"")"),"ሀ. ቆጣሪ ከጉልበት ጋር ቢ. ወደ ፊት ይራመዱ እና የላይኛውን ሰውነታቸውን ያጠቁ። ወደ ኋላ ይግፏቸው እና ዳግም ያስጀምሩ። ውርወራ ለማስፈጸም ይሞክሩ")</f>
        <v>ሀ. ቆጣሪ ከጉልበት ጋር ቢ. ወደ ፊት ይራመዱ እና የላይኛውን ሰውነታቸውን ያጠቁ። ወደ ኋላ ይግፏቸው እና ዳግም ያስጀምሩ። ውርወራ ለማስፈጸም ይሞክሩ</v>
      </c>
      <c r="J132" s="11" t="str">
        <f>IFERROR(__xludf.DUMMYFUNCTION("GOOGLETRANSLATE(D132, ""en"", ""am"")"),"ከጉልበት ምታ ጋር ቆጣሪ")</f>
        <v>ከጉልበት ምታ ጋር ቆጣሪ</v>
      </c>
      <c r="K132" s="11" t="str">
        <f>IFERROR(__xludf.DUMMYFUNCTION("GOOGLETRANSLATE(E132, ""en"", ""am"")"),"ፈጣን ምላሽ ያመለጡትን እንቅስቃሴ ሊጠቅም ይችላል።")</f>
        <v>ፈጣን ምላሽ ያመለጡትን እንቅስቃሴ ሊጠቅም ይችላል።</v>
      </c>
    </row>
    <row r="133" ht="22.5" customHeight="1">
      <c r="A133" s="10">
        <v>132.0</v>
      </c>
      <c r="B133" s="11" t="s">
        <v>3374</v>
      </c>
      <c r="C133" s="11" t="s">
        <v>3375</v>
      </c>
      <c r="D133" s="11" t="s">
        <v>3376</v>
      </c>
      <c r="E133" s="11" t="s">
        <v>3377</v>
      </c>
      <c r="G133" s="11" t="str">
        <f>IFERROR(__xludf.DUMMYFUNCTION("GOOGLETRANSLATE(A133, ""en"", ""am"")"),"132")</f>
        <v>132</v>
      </c>
      <c r="H133" s="11" t="str">
        <f>IFERROR(__xludf.DUMMYFUNCTION("GOOGLETRANSLATE(B133, ""en"", ""am"")"),"ተቃዋሚዎ እርስዎን ሊሰካዎት እየሞከረ ነው ነገር ግን ቁጥጥር ይጎድለዋል. የእርስዎ ምርጥ ስልት ምንድን ነው?")</f>
        <v>ተቃዋሚዎ እርስዎን ሊሰካዎት እየሞከረ ነው ነገር ግን ቁጥጥር ይጎድለዋል. የእርስዎ ምርጥ ስልት ምንድን ነው?</v>
      </c>
      <c r="I133" s="11" t="str">
        <f>IFERROR(__xludf.DUMMYFUNCTION("GOOGLETRANSLATE(C133, ""en"", ""am"")"),"ሀ. ለመላቀቅ ሰውነታችሁን አዙሩ። ዳኛው ጣልቃ እስኪገባ ድረስ ይጠብቁ። ዝም ብለው ይቆዩ እና ለተወሰነ ጊዜ ይጫወቱ። እነሱን ለማንሳት እግሮችዎን ይጠቀሙ")</f>
        <v>ሀ. ለመላቀቅ ሰውነታችሁን አዙሩ። ዳኛው ጣልቃ እስኪገባ ድረስ ይጠብቁ። ዝም ብለው ይቆዩ እና ለተወሰነ ጊዜ ይጫወቱ። እነሱን ለማንሳት እግሮችዎን ይጠቀሙ</v>
      </c>
      <c r="J133" s="11" t="str">
        <f>IFERROR(__xludf.DUMMYFUNCTION("GOOGLETRANSLATE(D133, ""en"", ""am"")"),"ለመላቀቅ ሰውነታችሁን አዙሩ")</f>
        <v>ለመላቀቅ ሰውነታችሁን አዙሩ</v>
      </c>
      <c r="K133" s="11" t="str">
        <f>IFERROR(__xludf.DUMMYFUNCTION("GOOGLETRANSLATE(E133, ""en"", ""am"")"),"ማጣመም የተቃዋሚውን መቆንጠጥ ለመስበር ጥሩ መንገድ ነው።")</f>
        <v>ማጣመም የተቃዋሚውን መቆንጠጥ ለመስበር ጥሩ መንገድ ነው።</v>
      </c>
    </row>
    <row r="134" ht="22.5" customHeight="1">
      <c r="A134" s="10">
        <v>133.0</v>
      </c>
      <c r="B134" s="11" t="s">
        <v>3378</v>
      </c>
      <c r="C134" s="11" t="s">
        <v>3379</v>
      </c>
      <c r="D134" s="11" t="s">
        <v>3380</v>
      </c>
      <c r="E134" s="11" t="s">
        <v>3381</v>
      </c>
      <c r="G134" s="11" t="str">
        <f>IFERROR(__xludf.DUMMYFUNCTION("GOOGLETRANSLATE(A134, ""en"", ""am"")"),"133")</f>
        <v>133</v>
      </c>
      <c r="H134" s="11" t="str">
        <f>IFERROR(__xludf.DUMMYFUNCTION("GOOGLETRANSLATE(B134, ""en"", ""am"")"),"ግጥሚያው ወደ መጨረሻው እየተቃረበ ነው፣ እና እርስዎ በአንድ ነጥብ ይቀድማሉ። ምን ላይ ማተኮር አለብህ?")</f>
        <v>ግጥሚያው ወደ መጨረሻው እየተቃረበ ነው፣ እና እርስዎ በአንድ ነጥብ ይቀድማሉ። ምን ላይ ማተኮር አለብህ?</v>
      </c>
      <c r="I134" s="11" t="str">
        <f>IFERROR(__xludf.DUMMYFUNCTION("GOOGLETRANSLATE(C134, ""en"", ""am"")"),"ሀ. ቦታዎን ይጠብቁ እና አደገኛ እንቅስቃሴዎችን ያስወግዱ. ግፊቱን ይጨምሩ እና ግጥሚያውን ይጨርሱ። በመከላከል ይጫወቱ እና ጩኸቱን ይጠብቁ። አሸናፊነትን ለማረጋገጥ ከፍተኛ ስጋት ያለበትን እንቅስቃሴ ይሞክሩ")</f>
        <v>ሀ. ቦታዎን ይጠብቁ እና አደገኛ እንቅስቃሴዎችን ያስወግዱ. ግፊቱን ይጨምሩ እና ግጥሚያውን ይጨርሱ። በመከላከል ይጫወቱ እና ጩኸቱን ይጠብቁ። አሸናፊነትን ለማረጋገጥ ከፍተኛ ስጋት ያለበትን እንቅስቃሴ ይሞክሩ</v>
      </c>
      <c r="J134" s="11" t="str">
        <f>IFERROR(__xludf.DUMMYFUNCTION("GOOGLETRANSLATE(D134, ""en"", ""am"")"),"ቦታዎን ይጠብቁ እና አደገኛ እንቅስቃሴዎችን ያስወግዱ")</f>
        <v>ቦታዎን ይጠብቁ እና አደገኛ እንቅስቃሴዎችን ያስወግዱ</v>
      </c>
      <c r="K134" s="11" t="str">
        <f>IFERROR(__xludf.DUMMYFUNCTION("GOOGLETRANSLATE(E134, ""en"", ""am"")"),"በመከላከያ ላይ ማተኮር ግጥሚያው ሲጠናቀቅ ደህንነቱ የተጠበቀ ድልን ያረጋግጣል።")</f>
        <v>በመከላከያ ላይ ማተኮር ግጥሚያው ሲጠናቀቅ ደህንነቱ የተጠበቀ ድልን ያረጋግጣል።</v>
      </c>
    </row>
    <row r="135" ht="22.5" customHeight="1">
      <c r="A135" s="10">
        <v>134.0</v>
      </c>
      <c r="B135" s="11" t="s">
        <v>3382</v>
      </c>
      <c r="C135" s="11" t="s">
        <v>3383</v>
      </c>
      <c r="D135" s="11" t="s">
        <v>3384</v>
      </c>
      <c r="E135" s="11" t="s">
        <v>3385</v>
      </c>
      <c r="G135" s="11" t="str">
        <f>IFERROR(__xludf.DUMMYFUNCTION("GOOGLETRANSLATE(A135, ""en"", ""am"")"),"134")</f>
        <v>134</v>
      </c>
      <c r="H135" s="11" t="str">
        <f>IFERROR(__xludf.DUMMYFUNCTION("GOOGLETRANSLATE(B135, ""en"", ""am"")"),"ተቃዋሚዎ እርስዎን ለማደናገር ፈጣን ምልክቶችን መጠቀም ይጀምራል። ምን ምላሽ መስጠት አለቦት?")</f>
        <v>ተቃዋሚዎ እርስዎን ለማደናገር ፈጣን ምልክቶችን መጠቀም ይጀምራል። ምን ምላሽ መስጠት አለቦት?</v>
      </c>
      <c r="I135" s="11" t="str">
        <f>IFERROR(__xludf.DUMMYFUNCTION("GOOGLETRANSLATE(C135, ""en"", ""am"")"),"ሀ. ቀስ ብለው እና እንቅስቃሴያቸውን በጥንቃቄ ይተንትኑ. ማፈግፈግ እና እንደገና ለማስጀመር ይሞክሩ ሐ. እያንዳንዱን ምልክት ወዲያውኑ ይቆጣጠሩ። እነሱን ለማሳሳት ፊንቶችን ይጠቀሙ")</f>
        <v>ሀ. ቀስ ብለው እና እንቅስቃሴያቸውን በጥንቃቄ ይተንትኑ. ማፈግፈግ እና እንደገና ለማስጀመር ይሞክሩ ሐ. እያንዳንዱን ምልክት ወዲያውኑ ይቆጣጠሩ። እነሱን ለማሳሳት ፊንቶችን ይጠቀሙ</v>
      </c>
      <c r="J135" s="11" t="str">
        <f>IFERROR(__xludf.DUMMYFUNCTION("GOOGLETRANSLATE(D135, ""en"", ""am"")"),"ቀስ ብለው እና እንቅስቃሴያቸውን በጥንቃቄ ይተንትኑ")</f>
        <v>ቀስ ብለው እና እንቅስቃሴያቸውን በጥንቃቄ ይተንትኑ</v>
      </c>
      <c r="K135" s="11" t="str">
        <f>IFERROR(__xludf.DUMMYFUNCTION("GOOGLETRANSLATE(E135, ""en"", ""am"")"),"በእነሱ ቅጦች ላይ ማተኮር ስህተቶችን ለማስወገድ ይረዳዎታል።")</f>
        <v>በእነሱ ቅጦች ላይ ማተኮር ስህተቶችን ለማስወገድ ይረዳዎታል።</v>
      </c>
    </row>
    <row r="136" ht="22.5" customHeight="1">
      <c r="A136" s="10">
        <v>135.0</v>
      </c>
      <c r="B136" s="11" t="s">
        <v>3386</v>
      </c>
      <c r="C136" s="11" t="s">
        <v>3387</v>
      </c>
      <c r="D136" s="11" t="s">
        <v>3388</v>
      </c>
      <c r="E136" s="11" t="s">
        <v>3389</v>
      </c>
      <c r="G136" s="11" t="str">
        <f>IFERROR(__xludf.DUMMYFUNCTION("GOOGLETRANSLATE(A136, ""en"", ""am"")"),"135")</f>
        <v>135</v>
      </c>
      <c r="H136" s="11" t="str">
        <f>IFERROR(__xludf.DUMMYFUNCTION("GOOGLETRANSLATE(B136, ""en"", ""am"")"),"በጨዋታው ወቅት የተቃዋሚዎ እግር ከእርስዎ በታች ይያዛል. ምን ታደርጋለህ፧")</f>
        <v>በጨዋታው ወቅት የተቃዋሚዎ እግር ከእርስዎ በታች ይያዛል. ምን ታደርጋለህ፧</v>
      </c>
      <c r="I136" s="11" t="str">
        <f>IFERROR(__xludf.DUMMYFUNCTION("GOOGLETRANSLATE(C136, ""en"", ""am"")"),"ሀ. እነሱን ለመሰካት እድሉን ይጠቀሙ። እርዳቸው እና ግጥሚያውን ይቀጥሉ። ነፃ ለመውጣት ይሞክሩ እና እንደገና ያስጀምሩ። ከስህተታቸው ተጠቀም እና አጥቁ")</f>
        <v>ሀ. እነሱን ለመሰካት እድሉን ይጠቀሙ። እርዳቸው እና ግጥሚያውን ይቀጥሉ። ነፃ ለመውጣት ይሞክሩ እና እንደገና ያስጀምሩ። ከስህተታቸው ተጠቀም እና አጥቁ</v>
      </c>
      <c r="J136" s="11" t="str">
        <f>IFERROR(__xludf.DUMMYFUNCTION("GOOGLETRANSLATE(D136, ""en"", ""am"")"),"ከስህተታቸው ተጠቀም እና አጥቁ")</f>
        <v>ከስህተታቸው ተጠቀም እና አጥቁ</v>
      </c>
      <c r="K136" s="11" t="str">
        <f>IFERROR(__xludf.DUMMYFUNCTION("GOOGLETRANSLATE(E136, ""en"", ""am"")"),"በስህተታቸው ላይ ገንዘብ ማውጣቱ የማሸነፍ እድልን ይጨምራል።")</f>
        <v>በስህተታቸው ላይ ገንዘብ ማውጣቱ የማሸነፍ እድልን ይጨምራል።</v>
      </c>
    </row>
    <row r="137" ht="22.5" customHeight="1">
      <c r="A137" s="10">
        <v>136.0</v>
      </c>
      <c r="B137" s="11" t="s">
        <v>3390</v>
      </c>
      <c r="C137" s="11" t="s">
        <v>3391</v>
      </c>
      <c r="D137" s="11" t="s">
        <v>3392</v>
      </c>
      <c r="E137" s="11" t="s">
        <v>3393</v>
      </c>
      <c r="G137" s="11" t="str">
        <f>IFERROR(__xludf.DUMMYFUNCTION("GOOGLETRANSLATE(A137, ""en"", ""am"")"),"136")</f>
        <v>136</v>
      </c>
      <c r="H137" s="11" t="str">
        <f>IFERROR(__xludf.DUMMYFUNCTION("GOOGLETRANSLATE(B137, ""en"", ""am"")"),"በጭንቅላት መቆለፊያ ውስጥ ተይዘዋል ነገር ግን ወደ ተቃዋሚዎ የእጅ አንጓ መድረስ አለብዎት። የእርስዎ እርምጃ ምንድን ነው?")</f>
        <v>በጭንቅላት መቆለፊያ ውስጥ ተይዘዋል ነገር ግን ወደ ተቃዋሚዎ የእጅ አንጓ መድረስ አለብዎት። የእርስዎ እርምጃ ምንድን ነው?</v>
      </c>
      <c r="I137" s="11" t="str">
        <f>IFERROR(__xludf.DUMMYFUNCTION("GOOGLETRANSLATE(C137, ""en"", ""am"")"),"ሀ. ነጻ ለመውጣት አንጓቸውን አዙረው። ለማምለጥ በግዳጅ ወደፊት ይገፉ ሲ. መቆለፊያውን እስኪፈቱ ድረስ ይጠብቁ. እግሮችዎን በመጠቀም እጆቻቸውን ለመስበር ይሞክሩ")</f>
        <v>ሀ. ነጻ ለመውጣት አንጓቸውን አዙረው። ለማምለጥ በግዳጅ ወደፊት ይገፉ ሲ. መቆለፊያውን እስኪፈቱ ድረስ ይጠብቁ. እግሮችዎን በመጠቀም እጆቻቸውን ለመስበር ይሞክሩ</v>
      </c>
      <c r="J137" s="11" t="str">
        <f>IFERROR(__xludf.DUMMYFUNCTION("GOOGLETRANSLATE(D137, ""en"", ""am"")"),"ለመላቀቅ አንጓቸውን አዙሩ")</f>
        <v>ለመላቀቅ አንጓቸውን አዙሩ</v>
      </c>
      <c r="K137" s="11" t="str">
        <f>IFERROR(__xludf.DUMMYFUNCTION("GOOGLETRANSLATE(E137, ""en"", ""am"")"),"የእጅ አንጓ መታጠፍ ከጭንቅላት መቆለፍ እንድትላቀቅ ሊረዳህ ይችላል።")</f>
        <v>የእጅ አንጓ መታጠፍ ከጭንቅላት መቆለፍ እንድትላቀቅ ሊረዳህ ይችላል።</v>
      </c>
    </row>
    <row r="138" ht="22.5" customHeight="1">
      <c r="A138" s="10">
        <v>137.0</v>
      </c>
      <c r="B138" s="11" t="s">
        <v>3394</v>
      </c>
      <c r="C138" s="11" t="s">
        <v>3395</v>
      </c>
      <c r="D138" s="11" t="s">
        <v>3396</v>
      </c>
      <c r="E138" s="11" t="s">
        <v>3397</v>
      </c>
      <c r="G138" s="11" t="str">
        <f>IFERROR(__xludf.DUMMYFUNCTION("GOOGLETRANSLATE(A138, ""en"", ""am"")"),"137")</f>
        <v>137</v>
      </c>
      <c r="H138" s="11" t="str">
        <f>IFERROR(__xludf.DUMMYFUNCTION("GOOGLETRANSLATE(B138, ""en"", ""am"")"),"ተቃዋሚዎ ከመጠን በላይ ጠበኛ ነው እና እርስዎ ላይ ማስከፈልዎን ይቀጥላል። ይህን እንዴት ነው የምትይዘው?")</f>
        <v>ተቃዋሚዎ ከመጠን በላይ ጠበኛ ነው እና እርስዎ ላይ ማስከፈልዎን ይቀጥላል። ይህን እንዴት ነው የምትይዘው?</v>
      </c>
      <c r="I138" s="11" t="str">
        <f>IFERROR(__xludf.DUMMYFUNCTION("GOOGLETRANSLATE(C138, ""en"", ""am"")"),"ሀ. ፍጥነታቸውን በእነሱ ላይ ይጠቀሙ ቢ. በመከላከል ላይ ይቆዩ እና ሁሉንም ጥቃቶቻቸውን ያስወግዱ ሲ. ራሳቸውን እንዲደክሙ ይፍቀዱላቸው። ከድንገተኛ ጥቃት ጋር መቃወም")</f>
        <v>ሀ. ፍጥነታቸውን በእነሱ ላይ ይጠቀሙ ቢ. በመከላከል ላይ ይቆዩ እና ሁሉንም ጥቃቶቻቸውን ያስወግዱ ሲ. ራሳቸውን እንዲደክሙ ይፍቀዱላቸው። ከድንገተኛ ጥቃት ጋር መቃወም</v>
      </c>
      <c r="J138" s="11" t="str">
        <f>IFERROR(__xludf.DUMMYFUNCTION("GOOGLETRANSLATE(D138, ""en"", ""am"")"),"ፍጥነታቸውን በእነሱ ላይ ይጠቀሙ")</f>
        <v>ፍጥነታቸውን በእነሱ ላይ ይጠቀሙ</v>
      </c>
      <c r="K138" s="11" t="str">
        <f>IFERROR(__xludf.DUMMYFUNCTION("GOOGLETRANSLATE(E138, ""en"", ""am"")"),"ኃይላቸውን ወደ እነርሱ መመለስ ወደ ስኬታማ ቆጣሪ ሊያመራ ይችላል.")</f>
        <v>ኃይላቸውን ወደ እነርሱ መመለስ ወደ ስኬታማ ቆጣሪ ሊያመራ ይችላል.</v>
      </c>
    </row>
    <row r="139" ht="22.5" customHeight="1">
      <c r="A139" s="10">
        <v>138.0</v>
      </c>
      <c r="B139" s="11" t="s">
        <v>3398</v>
      </c>
      <c r="C139" s="11" t="s">
        <v>3399</v>
      </c>
      <c r="D139" s="11" t="s">
        <v>3400</v>
      </c>
      <c r="E139" s="11" t="s">
        <v>3401</v>
      </c>
      <c r="G139" s="11" t="str">
        <f>IFERROR(__xludf.DUMMYFUNCTION("GOOGLETRANSLATE(A139, ""en"", ""am"")"),"138")</f>
        <v>138</v>
      </c>
      <c r="H139" s="11" t="str">
        <f>IFERROR(__xludf.DUMMYFUNCTION("GOOGLETRANSLATE(B139, ""en"", ""am"")"),"በጣም ሞቃት በሆነ መድረክ ውስጥ እየታገሉ ነው እና ድካም ይሰማዎታል። ቀጣዩ እርምጃህ ምንድን ነው?")</f>
        <v>በጣም ሞቃት በሆነ መድረክ ውስጥ እየታገሉ ነው እና ድካም ይሰማዎታል። ቀጣዩ እርምጃህ ምንድን ነው?</v>
      </c>
      <c r="I139" s="11" t="str">
        <f>IFERROR(__xludf.DUMMYFUNCTION("GOOGLETRANSLATE(C139, ""en"", ""am"")"),"ሀ. የኃይልዎን ደረጃ በማቆየት ላይ ያተኩሩB. ከተፈቀደ አጭር እረፍት ይውሰዱ ሐ. ግጥሚያውን በፍጥነት ለመጨረስ ጥንካሬውን ጨምር። ኃይልን ለመቆጠብ ወደ መከላከያ እንቅስቃሴዎች ይቀይሩ")</f>
        <v>ሀ. የኃይልዎን ደረጃ በማቆየት ላይ ያተኩሩB. ከተፈቀደ አጭር እረፍት ይውሰዱ ሐ. ግጥሚያውን በፍጥነት ለመጨረስ ጥንካሬውን ጨምር። ኃይልን ለመቆጠብ ወደ መከላከያ እንቅስቃሴዎች ይቀይሩ</v>
      </c>
      <c r="J139" s="11" t="str">
        <f>IFERROR(__xludf.DUMMYFUNCTION("GOOGLETRANSLATE(D139, ""en"", ""am"")"),"የኃይልዎን ደረጃ በማቆየት ላይ ያተኩሩ")</f>
        <v>የኃይልዎን ደረጃ በማቆየት ላይ ያተኩሩ</v>
      </c>
      <c r="K139" s="11" t="str">
        <f>IFERROR(__xludf.DUMMYFUNCTION("GOOGLETRANSLATE(E139, ""en"", ""am"")"),"በከፍተኛ ሙቀት ውስጥ የኃይል ቁጠባ በጣም አስፈላጊ ነው.")</f>
        <v>በከፍተኛ ሙቀት ውስጥ የኃይል ቁጠባ በጣም አስፈላጊ ነው.</v>
      </c>
    </row>
    <row r="140" ht="22.5" customHeight="1">
      <c r="A140" s="10">
        <v>139.0</v>
      </c>
      <c r="B140" s="11" t="s">
        <v>3402</v>
      </c>
      <c r="C140" s="11" t="s">
        <v>3403</v>
      </c>
      <c r="D140" s="11" t="s">
        <v>3404</v>
      </c>
      <c r="E140" s="11" t="s">
        <v>3405</v>
      </c>
      <c r="G140" s="11" t="str">
        <f>IFERROR(__xludf.DUMMYFUNCTION("GOOGLETRANSLATE(A140, ""en"", ""am"")"),"139")</f>
        <v>139</v>
      </c>
      <c r="H140" s="11" t="str">
        <f>IFERROR(__xludf.DUMMYFUNCTION("GOOGLETRANSLATE(B140, ""en"", ""am"")"),"ተቃዋሚዎ ብዙ የመከላከያ ዘዴዎችን እየተጠቀመ ነው። እንዴት ነው የምታልፈው?")</f>
        <v>ተቃዋሚዎ ብዙ የመከላከያ ዘዴዎችን እየተጠቀመ ነው። እንዴት ነው የምታልፈው?</v>
      </c>
      <c r="I140" s="11" t="str">
        <f>IFERROR(__xludf.DUMMYFUNCTION("GOOGLETRANSLATE(C140, ""en"", ""am"")"),"ሀ. አፀያፊ ግፊትዎን ይጨምሩ እና feintsB ይጠቀሙ። እስኪሳሳቱ ድረስ ይጠብቁ ሐ. እነሱን በማድከም ላይ አተኩር። አስገራሚ ለማውረድ ይሂዱ")</f>
        <v>ሀ. አፀያፊ ግፊትዎን ይጨምሩ እና feintsB ይጠቀሙ። እስኪሳሳቱ ድረስ ይጠብቁ ሐ. እነሱን በማድከም ላይ አተኩር። አስገራሚ ለማውረድ ይሂዱ</v>
      </c>
      <c r="J140" s="11" t="str">
        <f>IFERROR(__xludf.DUMMYFUNCTION("GOOGLETRANSLATE(D140, ""en"", ""am"")"),"አፀያፊ ግፊትዎን ይጨምሩ እና ፊንቶችን ይጠቀሙ")</f>
        <v>አፀያፊ ግፊትዎን ይጨምሩ እና ፊንቶችን ይጠቀሙ</v>
      </c>
      <c r="K140" s="11" t="str">
        <f>IFERROR(__xludf.DUMMYFUNCTION("GOOGLETRANSLATE(E140, ""en"", ""am"")"),"ፌንቶች ተቃዋሚዎን ሊያሳስቱ እና ክፍተቶችን ሊፈጥሩ ይችላሉ።")</f>
        <v>ፌንቶች ተቃዋሚዎን ሊያሳስቱ እና ክፍተቶችን ሊፈጥሩ ይችላሉ።</v>
      </c>
    </row>
    <row r="141" ht="22.5" customHeight="1">
      <c r="A141" s="10">
        <v>140.0</v>
      </c>
      <c r="B141" s="11" t="s">
        <v>3406</v>
      </c>
      <c r="C141" s="11" t="s">
        <v>3407</v>
      </c>
      <c r="D141" s="11" t="s">
        <v>3408</v>
      </c>
      <c r="E141" s="11" t="s">
        <v>3409</v>
      </c>
      <c r="G141" s="11" t="str">
        <f>IFERROR(__xludf.DUMMYFUNCTION("GOOGLETRANSLATE(A141, ""en"", ""am"")"),"140")</f>
        <v>140</v>
      </c>
      <c r="H141" s="11" t="str">
        <f>IFERROR(__xludf.DUMMYFUNCTION("GOOGLETRANSLATE(B141, ""en"", ""am"")"),"ዳኛው በጉዳት ምክንያት የተወሰነ ጊዜ እንዲያልፍ ጥሪ አቅርቧል። ይህን እረፍት እንዴት ይጠቀማሉ?")</f>
        <v>ዳኛው በጉዳት ምክንያት የተወሰነ ጊዜ እንዲያልፍ ጥሪ አቅርቧል። ይህን እረፍት እንዴት ይጠቀማሉ?</v>
      </c>
      <c r="I141" s="11" t="str">
        <f>IFERROR(__xludf.DUMMYFUNCTION("GOOGLETRANSLATE(C141, ""en"", ""am"")"),"ሀ. ለማረፍ እና እንደገና ለማተኮር ጊዜን ይጠቀሙ። ጨዋታውን እንዲጨርስ ዳኛውን ይጠይቁ። የተቃዋሚዎን ሁኔታ በቅርበት ይከታተሉ D. ከአሰልጣኝዎ ጋር ስትራቴጂ ለመስራት እድሉን ይውሰዱ")</f>
        <v>ሀ. ለማረፍ እና እንደገና ለማተኮር ጊዜን ይጠቀሙ። ጨዋታውን እንዲጨርስ ዳኛውን ይጠይቁ። የተቃዋሚዎን ሁኔታ በቅርበት ይከታተሉ D. ከአሰልጣኝዎ ጋር ስትራቴጂ ለመስራት እድሉን ይውሰዱ</v>
      </c>
      <c r="J141" s="11" t="str">
        <f>IFERROR(__xludf.DUMMYFUNCTION("GOOGLETRANSLATE(D141, ""en"", ""am"")"),"ለማረፍ እና ለማተኮር ጊዜውን ይጠቀሙ")</f>
        <v>ለማረፍ እና ለማተኮር ጊዜውን ይጠቀሙ</v>
      </c>
      <c r="K141" s="11" t="str">
        <f>IFERROR(__xludf.DUMMYFUNCTION("GOOGLETRANSLATE(E141, ""en"", ""am"")"),"ማረፍ እና እንደገና ማተኮር ግጥሚያው ሲቀጥል ዝግጁ መሆንዎን ያረጋግጣል።")</f>
        <v>ማረፍ እና እንደገና ማተኮር ግጥሚያው ሲቀጥል ዝግጁ መሆንዎን ያረጋግጣል።</v>
      </c>
    </row>
    <row r="142" ht="22.5" customHeight="1">
      <c r="A142" s="10">
        <v>141.0</v>
      </c>
      <c r="B142" s="11" t="s">
        <v>3410</v>
      </c>
      <c r="C142" s="11" t="s">
        <v>3411</v>
      </c>
      <c r="D142" s="11" t="s">
        <v>3412</v>
      </c>
      <c r="E142" s="11" t="s">
        <v>3413</v>
      </c>
      <c r="G142" s="11" t="str">
        <f>IFERROR(__xludf.DUMMYFUNCTION("GOOGLETRANSLATE(A142, ""en"", ""am"")"),"141")</f>
        <v>141</v>
      </c>
      <c r="H142" s="11" t="str">
        <f>IFERROR(__xludf.DUMMYFUNCTION("GOOGLETRANSLATE(B142, ""en"", ""am"")"),"ተቃዋሚዎ አንድ እግርን የሚደግፍ ይመስላል። የእርስዎ ስልት ምንድን ነው?")</f>
        <v>ተቃዋሚዎ አንድ እግርን የሚደግፍ ይመስላል። የእርስዎ ስልት ምንድን ነው?</v>
      </c>
      <c r="I142" s="11" t="str">
        <f>IFERROR(__xludf.DUMMYFUNCTION("GOOGLETRANSLATE(C142, ""en"", ""am"")"),"ሀ. ጥቃቶችዎን በደካማ እግራቸው ላይ ያተኩሩ። ከእነሱ ጋር ላለመግባት ይሞክሩ ሐ. እስኪሳሳቱ ድረስ ይጠብቁ D. ፍጥነትዎን ይጨምሩ እና ግራ ያጋቧቸው")</f>
        <v>ሀ. ጥቃቶችዎን በደካማ እግራቸው ላይ ያተኩሩ። ከእነሱ ጋር ላለመግባት ይሞክሩ ሐ. እስኪሳሳቱ ድረስ ይጠብቁ D. ፍጥነትዎን ይጨምሩ እና ግራ ያጋቧቸው</v>
      </c>
      <c r="J142" s="11" t="str">
        <f>IFERROR(__xludf.DUMMYFUNCTION("GOOGLETRANSLATE(D142, ""en"", ""am"")"),"ጥቃቶችዎን በደካማ እግራቸው ላይ ያተኩሩ")</f>
        <v>ጥቃቶችዎን በደካማ እግራቸው ላይ ያተኩሩ</v>
      </c>
      <c r="K142" s="11" t="str">
        <f>IFERROR(__xludf.DUMMYFUNCTION("GOOGLETRANSLATE(E142, ""en"", ""am"")"),"ድክመታቸውን ማነጣጠር ጥቅም ይሰጥዎታል.")</f>
        <v>ድክመታቸውን ማነጣጠር ጥቅም ይሰጥዎታል.</v>
      </c>
    </row>
    <row r="143" ht="22.5" customHeight="1">
      <c r="A143" s="10">
        <v>142.0</v>
      </c>
      <c r="B143" s="11" t="s">
        <v>3414</v>
      </c>
      <c r="C143" s="11" t="s">
        <v>3415</v>
      </c>
      <c r="D143" s="11" t="s">
        <v>3416</v>
      </c>
      <c r="E143" s="11" t="s">
        <v>3417</v>
      </c>
      <c r="G143" s="11" t="str">
        <f>IFERROR(__xludf.DUMMYFUNCTION("GOOGLETRANSLATE(A143, ""en"", ""am"")"),"142")</f>
        <v>142</v>
      </c>
      <c r="H143" s="11" t="str">
        <f>IFERROR(__xludf.DUMMYFUNCTION("GOOGLETRANSLATE(B143, ""en"", ""am"")"),"ተቃዋሚዎ ካንተ ቀርፋፋ ነው፣ ነገር ግን ምንም የተሳካ ምልክቶችን ማሳረፍ አልቻልክም። ቀጣዩ እርምጃህ ምንድን ነው?")</f>
        <v>ተቃዋሚዎ ካንተ ቀርፋፋ ነው፣ ነገር ግን ምንም የተሳካ ምልክቶችን ማሳረፍ አልቻልክም። ቀጣዩ እርምጃህ ምንድን ነው?</v>
      </c>
      <c r="I143" s="11" t="str">
        <f>IFERROR(__xludf.DUMMYFUNCTION("GOOGLETRANSLATE(C143, ""en"", ""am"")"),"ሀ. ፍጥነትዎን ይጨምሩ እና ተጨማሪ ቢ. ተመልሰው ይቆዩ እና እስኪሳሳቱ ድረስ ይጠብቁ። እነሱን ለማድከም ​​በብርቱ ወደ ፊት ይግፉ። እነሱን ለማውረድ ዝቅተኛ መታገል ይሞክሩ")</f>
        <v>ሀ. ፍጥነትዎን ይጨምሩ እና ተጨማሪ ቢ. ተመልሰው ይቆዩ እና እስኪሳሳቱ ድረስ ይጠብቁ። እነሱን ለማድከም ​​በብርቱ ወደ ፊት ይግፉ። እነሱን ለማውረድ ዝቅተኛ መታገል ይሞክሩ</v>
      </c>
      <c r="J143" s="11" t="str">
        <f>IFERROR(__xludf.DUMMYFUNCTION("GOOGLETRANSLATE(D143, ""en"", ""am"")"),"ፍጥነትዎን ይጨምሩ እና የበለጠ ይጨምሩ")</f>
        <v>ፍጥነትዎን ይጨምሩ እና የበለጠ ይጨምሩ</v>
      </c>
      <c r="K143" s="11" t="str">
        <f>IFERROR(__xludf.DUMMYFUNCTION("GOOGLETRANSLATE(E143, ""en"", ""am"")"),"ፍጥነትን እና ፊንጢጣዎችን መጠቀም በመከላከላቸው ውስጥ ክፍተቶችን ለመፍጠር ይረዳል.")</f>
        <v>ፍጥነትን እና ፊንጢጣዎችን መጠቀም በመከላከላቸው ውስጥ ክፍተቶችን ለመፍጠር ይረዳል.</v>
      </c>
    </row>
    <row r="144" ht="22.5" customHeight="1">
      <c r="A144" s="10">
        <v>143.0</v>
      </c>
      <c r="B144" s="11" t="s">
        <v>3418</v>
      </c>
      <c r="C144" s="11" t="s">
        <v>3419</v>
      </c>
      <c r="D144" s="11" t="s">
        <v>3420</v>
      </c>
      <c r="E144" s="11" t="s">
        <v>3421</v>
      </c>
      <c r="G144" s="11" t="str">
        <f>IFERROR(__xludf.DUMMYFUNCTION("GOOGLETRANSLATE(A144, ""en"", ""am"")"),"143")</f>
        <v>143</v>
      </c>
      <c r="H144" s="11" t="str">
        <f>IFERROR(__xludf.DUMMYFUNCTION("GOOGLETRANSLATE(B144, ""en"", ""am"")"),"ግጥሚያው የተሳሰረ ነው፣ እና በመጨረሻዎቹ ሰከንዶች ውስጥ በችግር ላይ ነዎት። ይህን እንዴት ነው የምትቀርበው?")</f>
        <v>ግጥሚያው የተሳሰረ ነው፣ እና በመጨረሻዎቹ ሰከንዶች ውስጥ በችግር ላይ ነዎት። ይህን እንዴት ነው የምትቀርበው?</v>
      </c>
      <c r="I144" s="11" t="str">
        <f>IFERROR(__xludf.DUMMYFUNCTION("GOOGLETRANSLATE(C144, ""en"", ""am"")"),"ሀ. አደጋ ይውሰዱ እና ከፍተኛ ተጽዕኖ ለማሳደር ይሞክሩ B. ደህንነቱ በተጠበቀ ሁኔታ ይጫወቱ እና በመከላከያ ላይ ያተኩሩ። ጥቅምD ለማግኘት ወደ ድንበሩ ይግፏቸው። በፌይንት እነሱን ለማዘናጋት ይሞክሩ")</f>
        <v>ሀ. አደጋ ይውሰዱ እና ከፍተኛ ተጽዕኖ ለማሳደር ይሞክሩ B. ደህንነቱ በተጠበቀ ሁኔታ ይጫወቱ እና በመከላከያ ላይ ያተኩሩ። ጥቅምD ለማግኘት ወደ ድንበሩ ይግፏቸው። በፌይንት እነሱን ለማዘናጋት ይሞክሩ</v>
      </c>
      <c r="J144" s="11" t="str">
        <f>IFERROR(__xludf.DUMMYFUNCTION("GOOGLETRANSLATE(D144, ""en"", ""am"")"),"አደጋን ይውሰዱ እና ከፍተኛ ተጽዕኖ የሚያሳድር እንቅስቃሴን ይሞክሩ")</f>
        <v>አደጋን ይውሰዱ እና ከፍተኛ ተጽዕኖ የሚያሳድር እንቅስቃሴን ይሞክሩ</v>
      </c>
      <c r="K144" s="11" t="str">
        <f>IFERROR(__xludf.DUMMYFUNCTION("GOOGLETRANSLATE(E144, ""en"", ""am"")"),"ድፍረት የተሞላበት እርምጃ ተፎካካሪዎን ከጠባቂው ላይ ይይዛል እና ጨዋታውን ያሸንፋል።")</f>
        <v>ድፍረት የተሞላበት እርምጃ ተፎካካሪዎን ከጠባቂው ላይ ይይዛል እና ጨዋታውን ያሸንፋል።</v>
      </c>
    </row>
    <row r="145" ht="22.5" customHeight="1">
      <c r="A145" s="10">
        <v>144.0</v>
      </c>
      <c r="B145" s="11" t="s">
        <v>3422</v>
      </c>
      <c r="C145" s="11" t="s">
        <v>3423</v>
      </c>
      <c r="D145" s="11" t="s">
        <v>3424</v>
      </c>
      <c r="E145" s="11" t="s">
        <v>3425</v>
      </c>
      <c r="G145" s="11" t="str">
        <f>IFERROR(__xludf.DUMMYFUNCTION("GOOGLETRANSLATE(A145, ""en"", ""am"")"),"144")</f>
        <v>144</v>
      </c>
      <c r="H145" s="11" t="str">
        <f>IFERROR(__xludf.DUMMYFUNCTION("GOOGLETRANSLATE(B145, ""en"", ""am"")"),"ተቃዋሚዎ ብዙ በድብቅ የተያዙ ዘዴዎችን መጠቀም ይጀምራል። ምን ማድረግ አለቦት?")</f>
        <v>ተቃዋሚዎ ብዙ በድብቅ የተያዙ ዘዴዎችን መጠቀም ይጀምራል። ምን ማድረግ አለቦት?</v>
      </c>
      <c r="I145" s="11" t="str">
        <f>IFERROR(__xludf.DUMMYFUNCTION("GOOGLETRANSLATE(C145, ""en"", ""am"")"),"ሀ. ዳኛውን ወዲያውኑ አስጠንቅቅ ለ. ዘዴዎቻቸውን በእነርሱ ላይ ይጠቀሙ ሐ. ይረጋጉ እና በንጹህ አሸናፊነት ላይ ያተኩሩ። የጊዜ ማብቂያ ይጠይቁ እና ከአሰልጣኝዎ ጋር ይነጋገሩ")</f>
        <v>ሀ. ዳኛውን ወዲያውኑ አስጠንቅቅ ለ. ዘዴዎቻቸውን በእነርሱ ላይ ይጠቀሙ ሐ. ይረጋጉ እና በንጹህ አሸናፊነት ላይ ያተኩሩ። የጊዜ ማብቂያ ይጠይቁ እና ከአሰልጣኝዎ ጋር ይነጋገሩ</v>
      </c>
      <c r="J145" s="11" t="str">
        <f>IFERROR(__xludf.DUMMYFUNCTION("GOOGLETRANSLATE(D145, ""en"", ""am"")"),"ተረጋግተህ በንጽህና በማሸነፍ ላይ አተኩር")</f>
        <v>ተረጋግተህ በንጽህና በማሸነፍ ላይ አተኩር</v>
      </c>
      <c r="K145" s="11" t="str">
        <f>IFERROR(__xludf.DUMMYFUNCTION("GOOGLETRANSLATE(E145, ""en"", ""am"")"),"መረጋጋትን መጠበቅ ፍትሃዊ ግጥሚያን ያረጋግጣል።")</f>
        <v>መረጋጋትን መጠበቅ ፍትሃዊ ግጥሚያን ያረጋግጣል።</v>
      </c>
    </row>
    <row r="146" ht="22.5" customHeight="1">
      <c r="A146" s="10">
        <v>145.0</v>
      </c>
      <c r="B146" s="11" t="s">
        <v>3426</v>
      </c>
      <c r="C146" s="11" t="s">
        <v>3427</v>
      </c>
      <c r="D146" s="11" t="s">
        <v>3428</v>
      </c>
      <c r="E146" s="11" t="s">
        <v>3429</v>
      </c>
      <c r="G146" s="11" t="str">
        <f>IFERROR(__xludf.DUMMYFUNCTION("GOOGLETRANSLATE(A146, ""en"", ""am"")"),"145")</f>
        <v>145</v>
      </c>
      <c r="H146" s="11" t="str">
        <f>IFERROR(__xludf.DUMMYFUNCTION("GOOGLETRANSLATE(B146, ""en"", ""am"")"),"መሬቱ ተንሸራታች ነው፣ እና ሁለታችሁም መያዣውን ለመያዝ እየታገላችሁ ነው። በጣም ጥሩው ስልት ምንድን ነው?")</f>
        <v>መሬቱ ተንሸራታች ነው፣ እና ሁለታችሁም መያዣውን ለመያዝ እየታገላችሁ ነው። በጣም ጥሩው ስልት ምንድን ነው?</v>
      </c>
      <c r="I146" s="11" t="str">
        <f>IFERROR(__xludf.DUMMYFUNCTION("GOOGLETRANSLATE(C146, ""en"", ""am"")"),"ሀ. ከpowerB ይልቅ በፍጥነት እና በፍጥነት ላይ ያተኩሩ። ዝቅተኛ ይሁኑ እና ሚዛን ለመጠበቅ ይሞክሩ። ተቃዋሚውን ዝቅ ለማድረግ ጥንካሬዎን ይጠቀሙ። በእግሮችዎ ላይ ከመተማመን ይልቅ ወደ ላይኛው የሰውነት ክፍል ጥቃቶች ይቀይሩ")</f>
        <v>ሀ. ከpowerB ይልቅ በፍጥነት እና በፍጥነት ላይ ያተኩሩ። ዝቅተኛ ይሁኑ እና ሚዛን ለመጠበቅ ይሞክሩ። ተቃዋሚውን ዝቅ ለማድረግ ጥንካሬዎን ይጠቀሙ። በእግሮችዎ ላይ ከመተማመን ይልቅ ወደ ላይኛው የሰውነት ክፍል ጥቃቶች ይቀይሩ</v>
      </c>
      <c r="J146" s="11" t="str">
        <f>IFERROR(__xludf.DUMMYFUNCTION("GOOGLETRANSLATE(D146, ""en"", ""am"")"),"ከኃይል ይልቅ በፍጥነት እና በፍጥነት ላይ ያተኩሩ")</f>
        <v>ከኃይል ይልቅ በፍጥነት እና በፍጥነት ላይ ያተኩሩ</v>
      </c>
      <c r="K146" s="11" t="str">
        <f>IFERROR(__xludf.DUMMYFUNCTION("GOOGLETRANSLATE(E146, ""en"", ""am"")"),"ቅልጥፍና በተንሸራታች ሁኔታዎች ውስጥ መንሸራተትን ለመከላከል ይረዳል.")</f>
        <v>ቅልጥፍና በተንሸራታች ሁኔታዎች ውስጥ መንሸራተትን ለመከላከል ይረዳል.</v>
      </c>
    </row>
    <row r="147" ht="22.5" customHeight="1">
      <c r="A147" s="10">
        <v>146.0</v>
      </c>
      <c r="B147" s="11" t="s">
        <v>3430</v>
      </c>
      <c r="C147" s="11" t="s">
        <v>3431</v>
      </c>
      <c r="D147" s="11" t="s">
        <v>3432</v>
      </c>
      <c r="E147" s="11" t="s">
        <v>3433</v>
      </c>
      <c r="G147" s="11" t="str">
        <f>IFERROR(__xludf.DUMMYFUNCTION("GOOGLETRANSLATE(A147, ""en"", ""am"")"),"146")</f>
        <v>146</v>
      </c>
      <c r="H147" s="11" t="str">
        <f>IFERROR(__xludf.DUMMYFUNCTION("GOOGLETRANSLATE(B147, ""en"", ""am"")"),"ተቃዋሚዎ የተወሳሰበ ውርወራ ቢሞክርም መቆጣጠር ተስኖታል። እንዴት ነው ካፒታል የምታደርጉት?")</f>
        <v>ተቃዋሚዎ የተወሳሰበ ውርወራ ቢሞክርም መቆጣጠር ተስኖታል። እንዴት ነው ካፒታል የምታደርጉት?</v>
      </c>
      <c r="I147" s="11" t="str">
        <f>IFERROR(__xludf.DUMMYFUNCTION("GOOGLETRANSLATE(C147, ""en"", ""am"")"),"ሀ. በፍጥነት ቆጣሪ እና ወደ groundB ውሰዳቸው. ዳግም እስኪያስጀምሩ ይጠብቁ እና እንደገና ይሞክሩ ሐ. መያዛቸውን ለመስበር ገፍፏቸው። ለማምለጥ ይሞክሩ እና ግጥሚያውን እንደገና ያስጀምሩ")</f>
        <v>ሀ. በፍጥነት ቆጣሪ እና ወደ groundB ውሰዳቸው. ዳግም እስኪያስጀምሩ ይጠብቁ እና እንደገና ይሞክሩ ሐ. መያዛቸውን ለመስበር ገፍፏቸው። ለማምለጥ ይሞክሩ እና ግጥሚያውን እንደገና ያስጀምሩ</v>
      </c>
      <c r="J147" s="11" t="str">
        <f>IFERROR(__xludf.DUMMYFUNCTION("GOOGLETRANSLATE(D147, ""en"", ""am"")"),"በፍጥነት መቃወም እና ወደ መሬት ውሰዷቸው")</f>
        <v>በፍጥነት መቃወም እና ወደ መሬት ውሰዷቸው</v>
      </c>
      <c r="K147" s="11" t="str">
        <f>IFERROR(__xludf.DUMMYFUNCTION("GOOGLETRANSLATE(E147, ""en"", ""am"")"),"ከተጣሉት ውርወራቸው በኋላ ፈጣን ቆጣሪ ነጥብ ሊያገኝዎት ይችላል።")</f>
        <v>ከተጣሉት ውርወራቸው በኋላ ፈጣን ቆጣሪ ነጥብ ሊያገኝዎት ይችላል።</v>
      </c>
    </row>
    <row r="148" ht="22.5" customHeight="1">
      <c r="A148" s="10">
        <v>147.0</v>
      </c>
      <c r="B148" s="11" t="s">
        <v>3434</v>
      </c>
      <c r="C148" s="11" t="s">
        <v>3435</v>
      </c>
      <c r="D148" s="11" t="s">
        <v>3436</v>
      </c>
      <c r="E148" s="11" t="s">
        <v>3437</v>
      </c>
      <c r="G148" s="11" t="str">
        <f>IFERROR(__xludf.DUMMYFUNCTION("GOOGLETRANSLATE(A148, ""en"", ""am"")"),"147")</f>
        <v>147</v>
      </c>
      <c r="H148" s="11" t="str">
        <f>IFERROR(__xludf.DUMMYFUNCTION("GOOGLETRANSLATE(B148, ""en"", ""am"")"),"ለትንሽ ጊዜ ስትታገል ነበር፣ እና ተቃዋሚዎ የደከመ ይመስላል። ምን ታደርጋለህ፧")</f>
        <v>ለትንሽ ጊዜ ስትታገል ነበር፣ እና ተቃዋሚዎ የደከመ ይመስላል። ምን ታደርጋለህ፧</v>
      </c>
      <c r="I148" s="11" t="str">
        <f>IFERROR(__xludf.DUMMYFUNCTION("GOOGLETRANSLATE(C148, ""en"", ""am"")"),"ሀ. እነሱን የበለጠ ለማድከም ​​ፍጥነትን ይጨምሩ። የራስዎን ጉልበት በመጠበቅ እና በመጠበቅ ላይ ያተኩሩ። እስትንፋስ ይውሰዱ እና እስኪያጠቁ ድረስ ይጠብቁ። ግጥሚያውን ለመጨረስ በፍጥነት ለማውረድ ይሞክሩ")</f>
        <v>ሀ. እነሱን የበለጠ ለማድከም ​​ፍጥነትን ይጨምሩ። የራስዎን ጉልበት በመጠበቅ እና በመጠበቅ ላይ ያተኩሩ። እስትንፋስ ይውሰዱ እና እስኪያጠቁ ድረስ ይጠብቁ። ግጥሚያውን ለመጨረስ በፍጥነት ለማውረድ ይሞክሩ</v>
      </c>
      <c r="J148" s="11" t="str">
        <f>IFERROR(__xludf.DUMMYFUNCTION("GOOGLETRANSLATE(D148, ""en"", ""am"")"),"እነሱን የበለጠ ለማድከም ​​ፍጥነትን ይጨምሩ")</f>
        <v>እነሱን የበለጠ ለማድከም ​​ፍጥነትን ይጨምሩ</v>
      </c>
      <c r="K148" s="11" t="str">
        <f>IFERROR(__xludf.DUMMYFUNCTION("GOOGLETRANSLATE(E148, ""en"", ""am"")"),"ግፊቱን በእነሱ ላይ ማቆየት ስህተት እንዲሠሩ ያስገድዳቸዋል.")</f>
        <v>ግፊቱን በእነሱ ላይ ማቆየት ስህተት እንዲሠሩ ያስገድዳቸዋል.</v>
      </c>
    </row>
    <row r="149" ht="22.5" customHeight="1">
      <c r="A149" s="10">
        <v>148.0</v>
      </c>
      <c r="B149" s="11" t="s">
        <v>3438</v>
      </c>
      <c r="C149" s="11" t="s">
        <v>3439</v>
      </c>
      <c r="D149" s="11" t="s">
        <v>3440</v>
      </c>
      <c r="E149" s="11" t="s">
        <v>3441</v>
      </c>
      <c r="G149" s="11" t="str">
        <f>IFERROR(__xludf.DUMMYFUNCTION("GOOGLETRANSLATE(A149, ""en"", ""am"")"),"148")</f>
        <v>148</v>
      </c>
      <c r="H149" s="11" t="str">
        <f>IFERROR(__xludf.DUMMYFUNCTION("GOOGLETRANSLATE(B149, ""en"", ""am"")"),"ተቃዋሚዎ ጠንካራ የመከላከያ አቋም አለው, እና እሱን ማለፍ አይችሉም. የእርስዎ እርምጃ ምንድን ነው?")</f>
        <v>ተቃዋሚዎ ጠንካራ የመከላከያ አቋም አለው, እና እሱን ማለፍ አይችሉም. የእርስዎ እርምጃ ምንድን ነው?</v>
      </c>
      <c r="I149" s="11" t="str">
        <f>IFERROR(__xludf.DUMMYFUNCTION("GOOGLETRANSLATE(C149, ""en"", ""am"")"),"ሀ. በ feintingB መክፈቻ ለማግኘት ይሞክሩ። አለመግባባቶችን ለመስበር ከገደብ ያስውጧቸው። ወደ መከላከያ ዘዴዎች ይቀይሩ እና ለመክፈት ይጠብቁ&lt;ለዚህም እንዲሁ ያድርጉ")</f>
        <v>ሀ. በ feintingB መክፈቻ ለማግኘት ይሞክሩ። አለመግባባቶችን ለመስበር ከገደብ ያስውጧቸው። ወደ መከላከያ ዘዴዎች ይቀይሩ እና ለመክፈት ይጠብቁ&lt;ለዚህም እንዲሁ ያድርጉ</v>
      </c>
      <c r="J149" s="11" t="str">
        <f>IFERROR(__xludf.DUMMYFUNCTION("GOOGLETRANSLATE(D149, ""en"", ""am"")"),"በፌይንት መክፈቻ ለማግኘት ይሞክሩ")</f>
        <v>በፌይንት መክፈቻ ለማግኘት ይሞክሩ</v>
      </c>
      <c r="K149" s="11" t="str">
        <f>IFERROR(__xludf.DUMMYFUNCTION("GOOGLETRANSLATE(E149, ""en"", ""am"")"),"ፊንቶች በጠንካራ መከላከያ ውስጥ ቀዳዳዎችን ሊከፍቱ ይችላሉ.")</f>
        <v>ፊንቶች በጠንካራ መከላከያ ውስጥ ቀዳዳዎችን ሊከፍቱ ይችላሉ.</v>
      </c>
    </row>
    <row r="150" ht="22.5" customHeight="1">
      <c r="A150" s="10">
        <v>149.0</v>
      </c>
      <c r="B150" s="11" t="s">
        <v>3442</v>
      </c>
      <c r="C150" s="11" t="s">
        <v>3443</v>
      </c>
      <c r="D150" s="11" t="s">
        <v>3444</v>
      </c>
      <c r="E150" s="11" t="s">
        <v>3445</v>
      </c>
      <c r="G150" s="11" t="str">
        <f>IFERROR(__xludf.DUMMYFUNCTION("GOOGLETRANSLATE(A150, ""en"", ""am"")"),"149")</f>
        <v>149</v>
      </c>
      <c r="H150" s="11" t="str">
        <f>IFERROR(__xludf.DUMMYFUNCTION("GOOGLETRANSLATE(B150, ""en"", ""am"")"),"ነጥቦችን እያጡ ነው፣ እና ግጥሚያው ወደ ማብቂያው እየተቃረበ ነው። ወደዚህ የመጨረሻ ደረጃ እንዴት ይቀርባሉ?")</f>
        <v>ነጥቦችን እያጡ ነው፣ እና ግጥሚያው ወደ ማብቂያው እየተቃረበ ነው። ወደዚህ የመጨረሻ ደረጃ እንዴት ይቀርባሉ?</v>
      </c>
      <c r="I150" s="11" t="str">
        <f>IFERROR(__xludf.DUMMYFUNCTION("GOOGLETRANSLATE(C150, ""en"", ""am"")"),"ሀ. አደጋዎችን ይውሰዱ እና ለወሳኙ እንቅስቃሴ ይሂዱ። ደህንነቱ በተጠበቀ ሁኔታ ያጫውቱ እና ለተጨማሪ ሰዓት ይጠብቁ። መከላከልን በመጠበቅ እና ስህተትን ተስፋ በማድረግ ላይ ያተኩሩ። ተፎካካሪዎ እንዳይገባ ለማድረግ ይሞክሩ")</f>
        <v>ሀ. አደጋዎችን ይውሰዱ እና ለወሳኙ እንቅስቃሴ ይሂዱ። ደህንነቱ በተጠበቀ ሁኔታ ያጫውቱ እና ለተጨማሪ ሰዓት ይጠብቁ። መከላከልን በመጠበቅ እና ስህተትን ተስፋ በማድረግ ላይ ያተኩሩ። ተፎካካሪዎ እንዳይገባ ለማድረግ ይሞክሩ</v>
      </c>
      <c r="J150" s="11" t="str">
        <f>IFERROR(__xludf.DUMMYFUNCTION("GOOGLETRANSLATE(D150, ""en"", ""am"")"),"አደጋዎችን ይውሰዱ እና ወደ ወሳኝ እርምጃ ይሂዱ")</f>
        <v>አደጋዎችን ይውሰዱ እና ወደ ወሳኝ እርምጃ ይሂዱ</v>
      </c>
      <c r="K150" s="11" t="str">
        <f>IFERROR(__xludf.DUMMYFUNCTION("GOOGLETRANSLATE(E150, ""en"", ""am"")"),"አደጋዎችን መውሰዱ በመጨረሻው ደረጃ ላይ ተመልሶ ወደ አሸናፊነት ይመራል.")</f>
        <v>አደጋዎችን መውሰዱ በመጨረሻው ደረጃ ላይ ተመልሶ ወደ አሸናፊነት ይመራል.</v>
      </c>
    </row>
    <row r="151" ht="22.5" customHeight="1">
      <c r="A151" s="10">
        <v>150.0</v>
      </c>
      <c r="B151" s="11" t="s">
        <v>3446</v>
      </c>
      <c r="C151" s="11" t="s">
        <v>3447</v>
      </c>
      <c r="D151" s="11" t="s">
        <v>3448</v>
      </c>
      <c r="E151" s="11" t="s">
        <v>3449</v>
      </c>
      <c r="G151" s="11" t="str">
        <f>IFERROR(__xludf.DUMMYFUNCTION("GOOGLETRANSLATE(A151, ""en"", ""am"")"),"150")</f>
        <v>150</v>
      </c>
      <c r="H151" s="11" t="str">
        <f>IFERROR(__xludf.DUMMYFUNCTION("GOOGLETRANSLATE(B151, ""en"", ""am"")"),"ተቃዋሚዎ በመከላከያ ቦታ ሊይዝዎት ይሞክራል። የእርስዎ እርምጃ ምንድን ነው?")</f>
        <v>ተቃዋሚዎ በመከላከያ ቦታ ሊይዝዎት ይሞክራል። የእርስዎ እርምጃ ምንድን ነው?</v>
      </c>
      <c r="I151" s="11" t="str">
        <f>IFERROR(__xludf.DUMMYFUNCTION("GOOGLETRANSLATE(C151, ""en"", ""am"")"),"ሀ. ነፃ ይውጡ እና ፈጣን ቆጣሪ ቢ ይሞክሩ። ወደ ጥቃት ሐ ለመሸጋገር መያዣቸውን ይጠቀሙ። ዳኛው holdD እስኪሰበር ይጠብቁ። በከፍተኛ ጥንካሬ እነሱን ለማሸነፍ ይሞክሩ")</f>
        <v>ሀ. ነፃ ይውጡ እና ፈጣን ቆጣሪ ቢ ይሞክሩ። ወደ ጥቃት ሐ ለመሸጋገር መያዣቸውን ይጠቀሙ። ዳኛው holdD እስኪሰበር ይጠብቁ። በከፍተኛ ጥንካሬ እነሱን ለማሸነፍ ይሞክሩ</v>
      </c>
      <c r="J151" s="11" t="str">
        <f>IFERROR(__xludf.DUMMYFUNCTION("GOOGLETRANSLATE(D151, ""en"", ""am"")"),"ወደ ጥቃት ለመሸጋገር መያዣቸውን ይጠቀሙ")</f>
        <v>ወደ ጥቃት ለመሸጋገር መያዣቸውን ይጠቀሙ</v>
      </c>
      <c r="K151" s="11" t="str">
        <f>IFERROR(__xludf.DUMMYFUNCTION("GOOGLETRANSLATE(E151, ""en"", ""am"")"),"የሽግግር ጥቃቶች የመከላከል እርምጃቸውን ወደ ዕድል ሊለውጡት ይችላሉ።")</f>
        <v>የሽግግር ጥቃቶች የመከላከል እርምጃቸውን ወደ ዕድል ሊለውጡት ይችላሉ።</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5" width="37.63"/>
    <col customWidth="1" min="7" max="7" width="11.38"/>
    <col customWidth="1" min="8" max="11" width="37.63"/>
  </cols>
  <sheetData>
    <row r="1" ht="22.5" customHeight="1">
      <c r="A1" s="13" t="s">
        <v>0</v>
      </c>
      <c r="B1" s="13" t="s">
        <v>1</v>
      </c>
      <c r="C1" s="13" t="s">
        <v>2</v>
      </c>
      <c r="D1" s="13" t="s">
        <v>3</v>
      </c>
      <c r="E1" s="13" t="s">
        <v>4</v>
      </c>
      <c r="F1" s="2"/>
      <c r="G1" s="12" t="s">
        <v>2184</v>
      </c>
      <c r="H1" s="12" t="s">
        <v>2185</v>
      </c>
      <c r="I1" s="12" t="s">
        <v>2186</v>
      </c>
      <c r="J1" s="12" t="s">
        <v>2187</v>
      </c>
      <c r="K1" s="12" t="s">
        <v>2188</v>
      </c>
      <c r="L1" s="2"/>
      <c r="M1" s="2"/>
      <c r="N1" s="2"/>
      <c r="O1" s="2"/>
      <c r="P1" s="2"/>
      <c r="Q1" s="2"/>
      <c r="R1" s="2"/>
      <c r="S1" s="2"/>
      <c r="T1" s="2"/>
      <c r="U1" s="2"/>
    </row>
    <row r="2" ht="22.5" customHeight="1">
      <c r="A2" s="10">
        <v>1.0</v>
      </c>
      <c r="B2" s="11" t="s">
        <v>3450</v>
      </c>
      <c r="C2" s="11" t="s">
        <v>3451</v>
      </c>
      <c r="D2" s="11" t="s">
        <v>3452</v>
      </c>
      <c r="E2" s="11" t="s">
        <v>3453</v>
      </c>
      <c r="G2" s="11" t="str">
        <f>IFERROR(__xludf.DUMMYFUNCTION("GOOGLETRANSLATE(A2, ""en"", ""th"")"),"1")</f>
        <v>1</v>
      </c>
      <c r="H2" s="11" t="str">
        <f>IFERROR(__xludf.DUMMYFUNCTION("GOOGLETRANSLATE(B2, ""en"", ""am"")"),"በመጨረሻው ጉድጓድዎ ውስጥ አንድ ዘር ብቻ ነው ያለዎት እና ተቃዋሚዎ ብዙ ዘሮች አሉት. ቀጣዩ ምርጥ እንቅስቃሴዎ ምንድነው?")</f>
        <v>በመጨረሻው ጉድጓድዎ ውስጥ አንድ ዘር ብቻ ነው ያለዎት እና ተቃዋሚዎ ብዙ ዘሮች አሉት. ቀጣዩ ምርጥ እንቅስቃሴዎ ምንድነው?</v>
      </c>
      <c r="I2" s="11" t="str">
        <f>IFERROR(__xludf.DUMMYFUNCTION("GOOGLETRANSLATE(C2, ""en"", ""am"")"),"ሀ. ዘርህን አንዳንድ ዘሮቻቸውን ለመያዝ ስትራቴጂያዊ በሆነ መንገድ ለማንቀሳቀስ ሞክር። ዘርህን ከተቃዋሚህ ትልቁ ጉድጓድ አጠገብ ባለው ጉድጓድ ውስጥ አስቀምጠው። ዘርህን ከተቃዋሚው ወደ ሩቅ ጉድጓድ ውሰድ.ዲ. ጨዋታውን በተቻለ ፍጥነት ያጠናቅቁ።")</f>
        <v>ሀ. ዘርህን አንዳንድ ዘሮቻቸውን ለመያዝ ስትራቴጂያዊ በሆነ መንገድ ለማንቀሳቀስ ሞክር። ዘርህን ከተቃዋሚህ ትልቁ ጉድጓድ አጠገብ ባለው ጉድጓድ ውስጥ አስቀምጠው። ዘርህን ከተቃዋሚው ወደ ሩቅ ጉድጓድ ውሰድ.ዲ. ጨዋታውን በተቻለ ፍጥነት ያጠናቅቁ።</v>
      </c>
      <c r="J2" s="11" t="str">
        <f>IFERROR(__xludf.DUMMYFUNCTION("GOOGLETRANSLATE(D2, ""en"", ""am"")"),"ዘርዎን አንዳንድ ዘሮቻቸውን ለመያዝ በስልት ለማንቀሳቀስ ይሞክሩ።")</f>
        <v>ዘርዎን አንዳንድ ዘሮቻቸውን ለመያዝ በስልት ለማንቀሳቀስ ይሞክሩ።</v>
      </c>
      <c r="K2" s="11" t="str">
        <f>IFERROR(__xludf.DUMMYFUNCTION("GOOGLETRANSLATE(E2, ""en"", ""am"")"),"ዘሩን በጥበብ መጠቀም ብዙ ዘሮችን ለመያዝ እና ጨዋታውን ለመቆጣጠር ይረዳዎታል።")</f>
        <v>ዘሩን በጥበብ መጠቀም ብዙ ዘሮችን ለመያዝ እና ጨዋታውን ለመቆጣጠር ይረዳዎታል።</v>
      </c>
    </row>
    <row r="3" ht="22.5" customHeight="1">
      <c r="A3" s="10">
        <v>2.0</v>
      </c>
      <c r="B3" s="11" t="s">
        <v>3454</v>
      </c>
      <c r="C3" s="11" t="s">
        <v>3455</v>
      </c>
      <c r="D3" s="11" t="s">
        <v>3456</v>
      </c>
      <c r="E3" s="11" t="s">
        <v>3457</v>
      </c>
      <c r="G3" s="11" t="str">
        <f>IFERROR(__xludf.DUMMYFUNCTION("GOOGLETRANSLATE(A3, ""en"", ""th"")"),"2")</f>
        <v>2</v>
      </c>
      <c r="H3" s="11" t="str">
        <f>IFERROR(__xludf.DUMMYFUNCTION("GOOGLETRANSLATE(B3, ""en"", ""am"")"),"ተቃዋሚዎ በመጨረሻው ጉድጓድ ውስጥ ብዙ ዘሮች አሉት እና እርስዎ ሊንቀሳቀሱ ነው። ምን ማድረግ አለቦት?")</f>
        <v>ተቃዋሚዎ በመጨረሻው ጉድጓድ ውስጥ ብዙ ዘሮች አሉት እና እርስዎ ሊንቀሳቀሱ ነው። ምን ማድረግ አለቦት?</v>
      </c>
      <c r="I3" s="11" t="str">
        <f>IFERROR(__xludf.DUMMYFUNCTION("GOOGLETRANSLATE(C3, ""en"", ""am"")"),"ሀ. ዘሮችዎን ከተቃዋሚዎ ጉድጓድ አጠገብ ወዳለው ጉድጓድ ያንቀሳቅሱ.B. በተቃዋሚው ጉድጓድ አጠገብ ዘሮችዎን ከማንቀሳቀስ ይቆጠቡ.ሲ. እስኪንቀሳቀሱ ድረስ ይጠብቁ እና ቆጣሪ ለማቀድ ይሞክሩ.ዲ. ተኩሱን ለማዘጋጀት ዘሮችዎን ወደ ሁለተኛ-መጨረሻ ጉድጓድዎ ያንቀሳቅሱ.")</f>
        <v>ሀ. ዘሮችዎን ከተቃዋሚዎ ጉድጓድ አጠገብ ወዳለው ጉድጓድ ያንቀሳቅሱ.B. በተቃዋሚው ጉድጓድ አጠገብ ዘሮችዎን ከማንቀሳቀስ ይቆጠቡ.ሲ. እስኪንቀሳቀሱ ድረስ ይጠብቁ እና ቆጣሪ ለማቀድ ይሞክሩ.ዲ. ተኩሱን ለማዘጋጀት ዘሮችዎን ወደ ሁለተኛ-መጨረሻ ጉድጓድዎ ያንቀሳቅሱ.</v>
      </c>
      <c r="J3" s="11" t="str">
        <f>IFERROR(__xludf.DUMMYFUNCTION("GOOGLETRANSLATE(D3, ""en"", ""am"")"),"ዘሮችዎን ከተቃዋሚዎ ጉድጓድ አጠገብ ወዳለው ጉድጓድ ያንቀሳቅሱ.")</f>
        <v>ዘሮችዎን ከተቃዋሚዎ ጉድጓድ አጠገብ ወዳለው ጉድጓድ ያንቀሳቅሱ.</v>
      </c>
      <c r="K3" s="11" t="str">
        <f>IFERROR(__xludf.DUMMYFUNCTION("GOOGLETRANSLATE(E3, ""en"", ""am"")"),"ይህ በቀዳዳዎቻቸው ውስጥ ዘሮችን እንዲይዙ ያስችልዎታል.")</f>
        <v>ይህ በቀዳዳዎቻቸው ውስጥ ዘሮችን እንዲይዙ ያስችልዎታል.</v>
      </c>
    </row>
    <row r="4" ht="22.5" customHeight="1">
      <c r="A4" s="10">
        <v>3.0</v>
      </c>
      <c r="B4" s="11" t="s">
        <v>3458</v>
      </c>
      <c r="C4" s="11" t="s">
        <v>3459</v>
      </c>
      <c r="D4" s="11" t="s">
        <v>3460</v>
      </c>
      <c r="E4" s="11" t="s">
        <v>3461</v>
      </c>
      <c r="G4" s="11" t="str">
        <f>IFERROR(__xludf.DUMMYFUNCTION("GOOGLETRANSLATE(A4, ""en"", ""th"")"),"3")</f>
        <v>3</v>
      </c>
      <c r="H4" s="11" t="str">
        <f>IFERROR(__xludf.DUMMYFUNCTION("GOOGLETRANSLATE(B4, ""en"", ""am"")"),"በመጨረሻዎቹ ጥቂት ጉድጓዶችዎ ውስጥ ምንም ዘሮች የሉም፣ እና ተቃዋሚው ብዙ ሊወስድ ነው። በጣም ጥሩው አማራጭ ምንድነው?")</f>
        <v>በመጨረሻዎቹ ጥቂት ጉድጓዶችዎ ውስጥ ምንም ዘሮች የሉም፣ እና ተቃዋሚው ብዙ ሊወስድ ነው። በጣም ጥሩው አማራጭ ምንድነው?</v>
      </c>
      <c r="I4" s="11" t="str">
        <f>IFERROR(__xludf.DUMMYFUNCTION("GOOGLETRANSLATE(C4, ""en"", ""am"")"),"ሀ. ቀረጻቸውን ለማዘግየት የእርስዎን ጥቂት የቀሩትን ዘሮች በስትራቴጂክ ጉድጓዶች ውስጥ ይጠቀሙ። መከላከያዎን ለማተኮር ሁሉንም ዘሮችዎን ወደ አንድ ጉድጓድ ለማንቀሳቀስ ይሞክሩ። ተስፋ ቆርጠህ ተጋጣሚህ ጨዋታውን እንዲጨርስ አድርግ።D. ተቃዋሚዎን ለማደናገር ዘሮችዎን በዘፈቀደ ያዘጋጁ")</f>
        <v>ሀ. ቀረጻቸውን ለማዘግየት የእርስዎን ጥቂት የቀሩትን ዘሮች በስትራቴጂክ ጉድጓዶች ውስጥ ይጠቀሙ። መከላከያዎን ለማተኮር ሁሉንም ዘሮችዎን ወደ አንድ ጉድጓድ ለማንቀሳቀስ ይሞክሩ። ተስፋ ቆርጠህ ተጋጣሚህ ጨዋታውን እንዲጨርስ አድርግ።D. ተቃዋሚዎን ለማደናገር ዘሮችዎን በዘፈቀደ ያዘጋጁ</v>
      </c>
      <c r="J4" s="11" t="str">
        <f>IFERROR(__xludf.DUMMYFUNCTION("GOOGLETRANSLATE(D4, ""en"", ""am"")"),"መያዛቸውን ለማዘግየት የእርስዎን ጥቂት የቀሩትን ዘሮች በስትራቴጂክ ጉድጓዶች ውስጥ ይጠቀሙ።")</f>
        <v>መያዛቸውን ለማዘግየት የእርስዎን ጥቂት የቀሩትን ዘሮች በስትራቴጂክ ጉድጓዶች ውስጥ ይጠቀሙ።</v>
      </c>
      <c r="K4" s="11" t="str">
        <f>IFERROR(__xludf.DUMMYFUNCTION("GOOGLETRANSLATE(E4, ""en"", ""am"")"),"ስልታዊ አቀማመጥ ኪሳራን ለመቀነስ ይረዳል።")</f>
        <v>ስልታዊ አቀማመጥ ኪሳራን ለመቀነስ ይረዳል።</v>
      </c>
    </row>
    <row r="5" ht="22.5" customHeight="1">
      <c r="A5" s="10">
        <v>4.0</v>
      </c>
      <c r="B5" s="11" t="s">
        <v>3462</v>
      </c>
      <c r="C5" s="11" t="s">
        <v>3463</v>
      </c>
      <c r="D5" s="11" t="s">
        <v>3464</v>
      </c>
      <c r="E5" s="11" t="s">
        <v>3465</v>
      </c>
      <c r="G5" s="11" t="str">
        <f>IFERROR(__xludf.DUMMYFUNCTION("GOOGLETRANSLATE(A5, ""en"", ""th"")"),"4")</f>
        <v>4</v>
      </c>
      <c r="H5" s="11" t="str">
        <f>IFERROR(__xludf.DUMMYFUNCTION("GOOGLETRANSLATE(B5, ""en"", ""am"")"),"ተቃዋሚዎ ከጎንዎ ባለው ጉድጓድ ውስጥ ብዙ ዘሮች አሉት። ከሁሉ የተሻለው ስልት ምንድን ነው?")</f>
        <v>ተቃዋሚዎ ከጎንዎ ባለው ጉድጓድ ውስጥ ብዙ ዘሮች አሉት። ከሁሉ የተሻለው ስልት ምንድን ነው?</v>
      </c>
      <c r="I5" s="11" t="str">
        <f>IFERROR(__xludf.DUMMYFUNCTION("GOOGLETRANSLATE(C5, ""en"", ""am"")"),"ሀ. ቀጥተኛ ግጭቶችን ለማስወገድ ዘሮችዎን ወደ ተቃራኒው አቅጣጫ ያንቀሳቅሱ.B. ቀዳዳዎን ተጠቅመው አንዳንድ ዘሮቻቸውን ለመያዝ ይሞክሩ. እንቅስቃሴ እስኪያደርጉ ድረስ ይጠብቁ እና ከዚያ ምላሽ ይስጡ.ዲ. በመከላከል እንዲጫወቱ የሚያስገድድ እንቅስቃሴ ያድርጉ።")</f>
        <v>ሀ. ቀጥተኛ ግጭቶችን ለማስወገድ ዘሮችዎን ወደ ተቃራኒው አቅጣጫ ያንቀሳቅሱ.B. ቀዳዳዎን ተጠቅመው አንዳንድ ዘሮቻቸውን ለመያዝ ይሞክሩ. እንቅስቃሴ እስኪያደርጉ ድረስ ይጠብቁ እና ከዚያ ምላሽ ይስጡ.ዲ. በመከላከል እንዲጫወቱ የሚያስገድድ እንቅስቃሴ ያድርጉ።</v>
      </c>
      <c r="J5" s="11" t="str">
        <f>IFERROR(__xludf.DUMMYFUNCTION("GOOGLETRANSLATE(D5, ""en"", ""am"")"),"ቀዳዳዎን ተጠቅመው አንዳንድ ዘሮቻቸውን ለመያዝ ይሞክሩ.")</f>
        <v>ቀዳዳዎን ተጠቅመው አንዳንድ ዘሮቻቸውን ለመያዝ ይሞክሩ.</v>
      </c>
      <c r="K5" s="11" t="str">
        <f>IFERROR(__xludf.DUMMYFUNCTION("GOOGLETRANSLATE(E5, ""en"", ""am"")"),"ጉድጓዳቸውን መቆጣጠር እንቅስቃሴያቸውን ሊገድብ ይችላል.")</f>
        <v>ጉድጓዳቸውን መቆጣጠር እንቅስቃሴያቸውን ሊገድብ ይችላል.</v>
      </c>
    </row>
    <row r="6" ht="22.5" customHeight="1">
      <c r="A6" s="10">
        <v>5.0</v>
      </c>
      <c r="B6" s="11" t="s">
        <v>3466</v>
      </c>
      <c r="C6" s="11" t="s">
        <v>3467</v>
      </c>
      <c r="D6" s="11" t="s">
        <v>3468</v>
      </c>
      <c r="E6" s="11" t="s">
        <v>3469</v>
      </c>
      <c r="G6" s="11" t="str">
        <f>IFERROR(__xludf.DUMMYFUNCTION("GOOGLETRANSLATE(A6, ""en"", ""th"")"),"5")</f>
        <v>5</v>
      </c>
      <c r="H6" s="11" t="str">
        <f>IFERROR(__xludf.DUMMYFUNCTION("GOOGLETRANSLATE(B6, ""en"", ""am"")"),"ተቃዋሚዎ በዘሮች ውስጥ ጉልህ የሆነ እርሳስ እንዳለው ያስተውላሉ። ምን ላይ ማተኮር አለብህ?")</f>
        <v>ተቃዋሚዎ በዘሮች ውስጥ ጉልህ የሆነ እርሳስ እንዳለው ያስተውላሉ። ምን ላይ ማተኮር አለብህ?</v>
      </c>
      <c r="I6" s="11" t="str">
        <f>IFERROR(__xludf.DUMMYFUNCTION("GOOGLETRANSLATE(C6, ""en"", ""am"")"),"ሀ. በመከላከል ይጫወቱ እና ስህተት እንደሚሠሩ ተስፋ ያድርጉ። ክፍተቱን ለመዝጋት ዘሩን ለመያዝ በጣም ይሞክሩ. እንቅስቃሴያቸውን ለመያዝ ወጥመዶችን በማዘጋጀት ላይ ያተኩሩ.ዲ. በመጀመሪያ ዘራቸውን እንዲያንቀሳቅሱ ያድርጉ እና ከዚያም ተገቢውን ምላሽ ይስጡ.")</f>
        <v>ሀ. በመከላከል ይጫወቱ እና ስህተት እንደሚሠሩ ተስፋ ያድርጉ። ክፍተቱን ለመዝጋት ዘሩን ለመያዝ በጣም ይሞክሩ. እንቅስቃሴያቸውን ለመያዝ ወጥመዶችን በማዘጋጀት ላይ ያተኩሩ.ዲ. በመጀመሪያ ዘራቸውን እንዲያንቀሳቅሱ ያድርጉ እና ከዚያም ተገቢውን ምላሽ ይስጡ.</v>
      </c>
      <c r="J6" s="11" t="str">
        <f>IFERROR(__xludf.DUMMYFUNCTION("GOOGLETRANSLATE(D6, ""en"", ""am"")"),"ክፍተቱን ለመዝጋት ዘሮቹን ለመያዝ በጣም ይሞክሩ.")</f>
        <v>ክፍተቱን ለመዝጋት ዘሮቹን ለመያዝ በጣም ይሞክሩ.</v>
      </c>
      <c r="K6" s="11" t="str">
        <f>IFERROR(__xludf.DUMMYFUNCTION("GOOGLETRANSLATE(E6, ""en"", ""am"")"),"በጨዋታው ውስጥ ከኋላ በሚሆኑበት ጊዜ ዘሮችን በፍጥነት ለመያዝ አስፈላጊ ነው.")</f>
        <v>በጨዋታው ውስጥ ከኋላ በሚሆኑበት ጊዜ ዘሮችን በፍጥነት ለመያዝ አስፈላጊ ነው.</v>
      </c>
    </row>
    <row r="7" ht="22.5" customHeight="1">
      <c r="A7" s="10">
        <v>6.0</v>
      </c>
      <c r="B7" s="11" t="s">
        <v>3470</v>
      </c>
      <c r="C7" s="11" t="s">
        <v>3471</v>
      </c>
      <c r="D7" s="11" t="s">
        <v>3472</v>
      </c>
      <c r="E7" s="11" t="s">
        <v>3473</v>
      </c>
      <c r="G7" s="11" t="str">
        <f>IFERROR(__xludf.DUMMYFUNCTION("GOOGLETRANSLATE(A7, ""en"", ""th"")"),"6")</f>
        <v>6</v>
      </c>
      <c r="H7" s="11" t="str">
        <f>IFERROR(__xludf.DUMMYFUNCTION("GOOGLETRANSLATE(B7, ""en"", ""am"")"),"የመጨረሻው ቀዳዳህ ብዙ ዘሮች አሉት፣ የተቃዋሚህ ቀዳዳዎች ግን ባዶ ናቸው። በጣም ጥሩው አማራጭ ምንድነው?")</f>
        <v>የመጨረሻው ቀዳዳህ ብዙ ዘሮች አሉት፣ የተቃዋሚህ ቀዳዳዎች ግን ባዶ ናቸው። በጣም ጥሩው አማራጭ ምንድነው?</v>
      </c>
      <c r="I7" s="11" t="str">
        <f>IFERROR(__xludf.DUMMYFUNCTION("GOOGLETRANSLATE(C7, ""en"", ""am"")"),"ሀ. ኃይለኛ እንቅስቃሴዎችን ለማድረግ ትልቅ ጉድጓድዎን ይጠቀሙ.B. በመከላከል ይጫወቱ እና አላስፈላጊ እንቅስቃሴዎችን ለማስወገድ ይሞክሩ። ዘሮችዎን በበርካታ ጉድጓዶች ላይ እኩል ያሰራጩ.ዲ. በትልቅ ጉድጓድዎ ውስጥ ያሉትን ዘሮች በመቀነስ ጨዋታውን ይጨርሱ.")</f>
        <v>ሀ. ኃይለኛ እንቅስቃሴዎችን ለማድረግ ትልቅ ጉድጓድዎን ይጠቀሙ.B. በመከላከል ይጫወቱ እና አላስፈላጊ እንቅስቃሴዎችን ለማስወገድ ይሞክሩ። ዘሮችዎን በበርካታ ጉድጓዶች ላይ እኩል ያሰራጩ.ዲ. በትልቅ ጉድጓድዎ ውስጥ ያሉትን ዘሮች በመቀነስ ጨዋታውን ይጨርሱ.</v>
      </c>
      <c r="J7" s="11" t="str">
        <f>IFERROR(__xludf.DUMMYFUNCTION("GOOGLETRANSLATE(D7, ""en"", ""am"")"),"ኃይለኛ እንቅስቃሴዎችን ለማድረግ ትልቅ ጉድጓድዎን ይጠቀሙ።")</f>
        <v>ኃይለኛ እንቅስቃሴዎችን ለማድረግ ትልቅ ጉድጓድዎን ይጠቀሙ።</v>
      </c>
      <c r="K7" s="11" t="str">
        <f>IFERROR(__xludf.DUMMYFUNCTION("GOOGLETRANSLATE(E7, ""en"", ""am"")"),"ትልቁን ቀዳዳዎን በመጠቀም የጨዋታውን ፍጥነት እንዲያዘጋጁ ያስችልዎታል.")</f>
        <v>ትልቁን ቀዳዳዎን በመጠቀም የጨዋታውን ፍጥነት እንዲያዘጋጁ ያስችልዎታል.</v>
      </c>
    </row>
    <row r="8" ht="22.5" customHeight="1">
      <c r="A8" s="10">
        <v>7.0</v>
      </c>
      <c r="B8" s="11" t="s">
        <v>3474</v>
      </c>
      <c r="C8" s="11" t="s">
        <v>3475</v>
      </c>
      <c r="D8" s="11" t="s">
        <v>3476</v>
      </c>
      <c r="E8" s="11" t="s">
        <v>3477</v>
      </c>
      <c r="G8" s="11" t="str">
        <f>IFERROR(__xludf.DUMMYFUNCTION("GOOGLETRANSLATE(A8, ""en"", ""th"")"),"7")</f>
        <v>7</v>
      </c>
      <c r="H8" s="11" t="str">
        <f>IFERROR(__xludf.DUMMYFUNCTION("GOOGLETRANSLATE(B8, ""en"", ""am"")"),"ተቃዋሚዎ አድኖ አድርጓል፣ እና እርስዎ የቀሩዎት ጥቂት እንቅስቃሴዎች ብቻ ናቸው። ምን ታደርጋለህ፧")</f>
        <v>ተቃዋሚዎ አድኖ አድርጓል፣ እና እርስዎ የቀሩዎት ጥቂት እንቅስቃሴዎች ብቻ ናቸው። ምን ታደርጋለህ፧</v>
      </c>
      <c r="I8" s="11" t="str">
        <f>IFERROR(__xludf.DUMMYFUNCTION("GOOGLETRANSLATE(C8, ""en"", ""am"")"),"ሀ. በመከላከያ ይጫወቱ እና በቀዳዳዎችዎ ውስጥ ያለውን የዘር ብዛት ይቀንሱ.B. በሚቀጥለው ተራዎ ላይ የቆጣሪ እንቅስቃሴን በማዘጋጀት ላይ ያተኩሩ። ዘሮችዎን ማደግ እንዲቀጥሉ ወደ ሚፈቅዱ ቦታዎች ይውሰዱ።ዲ. ተጨማሪ ምስሎችን ለማስወገድ ጨዋታውን በተቻለ ፍጥነት ያጠናቅቁ።")</f>
        <v>ሀ. በመከላከያ ይጫወቱ እና በቀዳዳዎችዎ ውስጥ ያለውን የዘር ብዛት ይቀንሱ.B. በሚቀጥለው ተራዎ ላይ የቆጣሪ እንቅስቃሴን በማዘጋጀት ላይ ያተኩሩ። ዘሮችዎን ማደግ እንዲቀጥሉ ወደ ሚፈቅዱ ቦታዎች ይውሰዱ።ዲ. ተጨማሪ ምስሎችን ለማስወገድ ጨዋታውን በተቻለ ፍጥነት ያጠናቅቁ።</v>
      </c>
      <c r="J8" s="11" t="str">
        <f>IFERROR(__xludf.DUMMYFUNCTION("GOOGLETRANSLATE(D8, ""en"", ""am"")"),"በመከላከያ ይጫወቱ እና በቀዳዳዎ ውስጥ ያሉትን ዘሮች ብዛት ይቀንሱ።")</f>
        <v>በመከላከያ ይጫወቱ እና በቀዳዳዎ ውስጥ ያሉትን ዘሮች ብዛት ይቀንሱ።</v>
      </c>
      <c r="K8" s="11" t="str">
        <f>IFERROR(__xludf.DUMMYFUNCTION("GOOGLETRANSLATE(E8, ""en"", ""am"")"),"ጥቂት አማራጮች ሲኖሩዎት፣ በመከላከል መጫወት ኪሳራን ለመቀነስ ይረዳል።")</f>
        <v>ጥቂት አማራጮች ሲኖሩዎት፣ በመከላከል መጫወት ኪሳራን ለመቀነስ ይረዳል።</v>
      </c>
    </row>
    <row r="9" ht="22.5" customHeight="1">
      <c r="A9" s="10">
        <v>8.0</v>
      </c>
      <c r="B9" s="11" t="s">
        <v>3478</v>
      </c>
      <c r="C9" s="11" t="s">
        <v>3479</v>
      </c>
      <c r="D9" s="11" t="s">
        <v>3480</v>
      </c>
      <c r="E9" s="11" t="s">
        <v>3481</v>
      </c>
      <c r="G9" s="11" t="str">
        <f>IFERROR(__xludf.DUMMYFUNCTION("GOOGLETRANSLATE(A9, ""en"", ""th"")"),"8")</f>
        <v>8</v>
      </c>
      <c r="H9" s="11" t="str">
        <f>IFERROR(__xludf.DUMMYFUNCTION("GOOGLETRANSLATE(B9, ""en"", ""am"")"),"ከዘሮች ጋር ጥቂት ቀዳዳዎች ብቻ ቀርተዋል. ሁኔታውን እንዴት ነው የምትይዘው?")</f>
        <v>ከዘሮች ጋር ጥቂት ቀዳዳዎች ብቻ ቀርተዋል. ሁኔታውን እንዴት ነው የምትይዘው?</v>
      </c>
      <c r="I9" s="11" t="str">
        <f>IFERROR(__xludf.DUMMYFUNCTION("GOOGLETRANSLATE(C9, ""en"", ""am"")"),"ሀ. የተቃዋሚዎትን አማራጮች ለመቀነስ ሁሉንም የቀሩትን ቀዳዳዎች ለመጠበቅ ይሞክሩ.B. ተቃዋሚዎ እንዲንቀሳቀስ ለማስገደድ ዘሮችዎን በግዳጅ ወደ ባዶ ቀዳዳዎች ያንቀሳቅሱ። በተቻለ መጠን ብዙ ዘሮችን በመያዝ ላይ ያተኩሩ.ዲ. ዘሮችን ተቃዋሚዎ እንዳይይዝ ወደሚከለክሉት ቦታዎች ይውሰዱ።")</f>
        <v>ሀ. የተቃዋሚዎትን አማራጮች ለመቀነስ ሁሉንም የቀሩትን ቀዳዳዎች ለመጠበቅ ይሞክሩ.B. ተቃዋሚዎ እንዲንቀሳቀስ ለማስገደድ ዘሮችዎን በግዳጅ ወደ ባዶ ቀዳዳዎች ያንቀሳቅሱ። በተቻለ መጠን ብዙ ዘሮችን በመያዝ ላይ ያተኩሩ.ዲ. ዘሮችን ተቃዋሚዎ እንዳይይዝ ወደሚከለክሉት ቦታዎች ይውሰዱ።</v>
      </c>
      <c r="J9" s="11" t="str">
        <f>IFERROR(__xludf.DUMMYFUNCTION("GOOGLETRANSLATE(D9, ""en"", ""am"")"),"የተቃዋሚዎን አማራጮች ለመቀነስ ሁሉንም የቀሩትን ቀዳዳዎች ለመጠበቅ ይሞክሩ።")</f>
        <v>የተቃዋሚዎን አማራጮች ለመቀነስ ሁሉንም የቀሩትን ቀዳዳዎች ለመጠበቅ ይሞክሩ።</v>
      </c>
      <c r="K9" s="11" t="str">
        <f>IFERROR(__xludf.DUMMYFUNCTION("GOOGLETRANSLATE(E9, ""en"", ""am"")"),"ጉድጓዶችን መጠበቅ የባላጋራህ የመያዝ እድልን ይገድባል።")</f>
        <v>ጉድጓዶችን መጠበቅ የባላጋራህ የመያዝ እድልን ይገድባል።</v>
      </c>
    </row>
    <row r="10" ht="22.5" customHeight="1">
      <c r="A10" s="10">
        <v>9.0</v>
      </c>
      <c r="B10" s="11" t="s">
        <v>3482</v>
      </c>
      <c r="C10" s="11" t="s">
        <v>3483</v>
      </c>
      <c r="D10" s="11" t="s">
        <v>3484</v>
      </c>
      <c r="E10" s="11" t="s">
        <v>3485</v>
      </c>
      <c r="G10" s="11" t="str">
        <f>IFERROR(__xludf.DUMMYFUNCTION("GOOGLETRANSLATE(A10, ""en"", ""th"")"),"9")</f>
        <v>9</v>
      </c>
      <c r="H10" s="11" t="str">
        <f>IFERROR(__xludf.DUMMYFUNCTION("GOOGLETRANSLATE(B10, ""en"", ""am"")"),"አንድ እርምጃ ብቻ የሚቀርበት ደረጃ ላይ ደርሰሃል። ምን ማድረግ አለቦት?")</f>
        <v>አንድ እርምጃ ብቻ የሚቀርበት ደረጃ ላይ ደርሰሃል። ምን ማድረግ አለቦት?</v>
      </c>
      <c r="I10" s="11" t="str">
        <f>IFERROR(__xludf.DUMMYFUNCTION("GOOGLETRANSLATE(C10, ""en"", ""am"")"),"ሀ. ማንቀሳቀስ እና በተቻለ መጠን ብዙ ዘሮችን ይያዙ.B. ተቃዋሚዎ ያለ ጣልቃ ገብነት የሚቀጥለውን ተራ ይውሰድ። ለቀጣይ እንቅስቃሴዎ ጊዜ ቆጣሪን ለማዘጋጀት ይሞክሩ። ዲ. ይህን መልመጃ ካደረጉ በኋላ በሚቀጥለው ዙር ላይ ያተኩሩ.")</f>
        <v>ሀ. ማንቀሳቀስ እና በተቻለ መጠን ብዙ ዘሮችን ይያዙ.B. ተቃዋሚዎ ያለ ጣልቃ ገብነት የሚቀጥለውን ተራ ይውሰድ። ለቀጣይ እንቅስቃሴዎ ጊዜ ቆጣሪን ለማዘጋጀት ይሞክሩ። ዲ. ይህን መልመጃ ካደረጉ በኋላ በሚቀጥለው ዙር ላይ ያተኩሩ.</v>
      </c>
      <c r="J10" s="11" t="str">
        <f>IFERROR(__xludf.DUMMYFUNCTION("GOOGLETRANSLATE(D10, ""en"", ""am"")"),"ማንቀሳቀስ እና በተቻለ መጠን ብዙ ዘሮችን ይያዙ.")</f>
        <v>ማንቀሳቀስ እና በተቻለ መጠን ብዙ ዘሮችን ይያዙ.</v>
      </c>
      <c r="K10" s="11" t="str">
        <f>IFERROR(__xludf.DUMMYFUNCTION("GOOGLETRANSLATE(E10, ""en"", ""am"")"),"ዘሮችን በተቻለ መጠን አዘውትሮ መያዝ የማሸነፍ እድሎዎን ይጨምራል።")</f>
        <v>ዘሮችን በተቻለ መጠን አዘውትሮ መያዝ የማሸነፍ እድሎዎን ይጨምራል።</v>
      </c>
    </row>
    <row r="11" ht="22.5" customHeight="1">
      <c r="A11" s="10">
        <v>10.0</v>
      </c>
      <c r="B11" s="11" t="s">
        <v>3486</v>
      </c>
      <c r="C11" s="11" t="s">
        <v>3487</v>
      </c>
      <c r="D11" s="11" t="s">
        <v>3488</v>
      </c>
      <c r="E11" s="11" t="s">
        <v>3489</v>
      </c>
      <c r="G11" s="11" t="str">
        <f>IFERROR(__xludf.DUMMYFUNCTION("GOOGLETRANSLATE(A11, ""en"", ""th"")"),"10")</f>
        <v>10</v>
      </c>
      <c r="H11" s="11" t="str">
        <f>IFERROR(__xludf.DUMMYFUNCTION("GOOGLETRANSLATE(B11, ""en"", ""am"")"),"ተቃዋሚዎ በተመሳሳይ ጉድጓድ ውስጥ ዘሮችን ማኖር እንደሚቀጥል አስተውለሃል። ምን ማድረግ አለቦት?")</f>
        <v>ተቃዋሚዎ በተመሳሳይ ጉድጓድ ውስጥ ዘሮችን ማኖር እንደሚቀጥል አስተውለሃል። ምን ማድረግ አለቦት?</v>
      </c>
      <c r="I11" s="11" t="str">
        <f>IFERROR(__xludf.DUMMYFUNCTION("GOOGLETRANSLATE(C11, ""en"", ""am"")"),"ሀ. እንቅስቃሴዎን መቆጣጠር እንዳይችሉ ወደ ሌሎች ቀዳዳዎች ይሂዱ.B. ዋናውን ቀዳዳ በማጥቃት እንዲንቀሳቀሱ ያስገድዷቸው.ሲ. ከዛ ጉድጓድ ውስጥ በተቻለ መጠን ብዙ ዘሮችን ለመያዝ ይሞክሩ.ዲ. ቦርዱን ለመቆጣጠር መልሶ ማጥቃት ያዘጋጁ።")</f>
        <v>ሀ. እንቅስቃሴዎን መቆጣጠር እንዳይችሉ ወደ ሌሎች ቀዳዳዎች ይሂዱ.B. ዋናውን ቀዳዳ በማጥቃት እንዲንቀሳቀሱ ያስገድዷቸው.ሲ. ከዛ ጉድጓድ ውስጥ በተቻለ መጠን ብዙ ዘሮችን ለመያዝ ይሞክሩ.ዲ. ቦርዱን ለመቆጣጠር መልሶ ማጥቃት ያዘጋጁ።</v>
      </c>
      <c r="J11" s="11" t="str">
        <f>IFERROR(__xludf.DUMMYFUNCTION("GOOGLETRANSLATE(D11, ""en"", ""am"")"),"ዋናውን ቀዳዳ በማጥቃት እንዲንቀሳቀሱ ያስገድዷቸው.")</f>
        <v>ዋናውን ቀዳዳ በማጥቃት እንዲንቀሳቀሱ ያስገድዷቸው.</v>
      </c>
      <c r="K11" s="11" t="str">
        <f>IFERROR(__xludf.DUMMYFUNCTION("GOOGLETRANSLATE(E11, ""en"", ""am"")"),"ትኩረታቸውን ከጉድጓዱ ውስጥ ማዞር ጨዋታውን ለመቆጣጠር ይረዳል.")</f>
        <v>ትኩረታቸውን ከጉድጓዱ ውስጥ ማዞር ጨዋታውን ለመቆጣጠር ይረዳል.</v>
      </c>
    </row>
    <row r="12" ht="22.5" customHeight="1">
      <c r="A12" s="10">
        <v>11.0</v>
      </c>
      <c r="B12" s="11" t="s">
        <v>3490</v>
      </c>
      <c r="C12" s="11" t="s">
        <v>3491</v>
      </c>
      <c r="D12" s="11" t="s">
        <v>3492</v>
      </c>
      <c r="E12" s="11" t="s">
        <v>3493</v>
      </c>
      <c r="G12" s="11" t="str">
        <f>IFERROR(__xludf.DUMMYFUNCTION("GOOGLETRANSLATE(A12, ""en"", ""th"")"),"11")</f>
        <v>11</v>
      </c>
      <c r="H12" s="11" t="str">
        <f>IFERROR(__xludf.DUMMYFUNCTION("GOOGLETRANSLATE(B12, ""en"", ""am"")"),"የተቃዋሚዎ ቀዳዳዎች በቀጥታ መያዝ በማይችሉበት መንገድ ተቀምጠዋል። ምን ታደርጋለህ፧")</f>
        <v>የተቃዋሚዎ ቀዳዳዎች በቀጥታ መያዝ በማይችሉበት መንገድ ተቀምጠዋል። ምን ታደርጋለህ፧</v>
      </c>
      <c r="I12" s="11" t="str">
        <f>IFERROR(__xludf.DUMMYFUNCTION("GOOGLETRANSLATE(C12, ""en"", ""am"")"),"ሀ. ዘራችሁን በትናንሽ ዘሮች ወደ ጉድጓዶች በማንቀሳቀስ ላይ ያተኩሩ.B. በመከላከያ ክፍተቶቻቸው ላይ በማነጣጠር ቀጥተኛ ያልሆነ እርምጃ ይውሰዱ። እንቅስቃሴ እስኪያደርጉ ድረስ ይጠብቁ እና ምላሽ ለመስጠት ይሞክሩ.ዲ. በጣም ደካማ በሆነው ጉድጓድ ላይ በማተኮር ግፊቱን ይጨምሩ.")</f>
        <v>ሀ. ዘራችሁን በትናንሽ ዘሮች ወደ ጉድጓዶች በማንቀሳቀስ ላይ ያተኩሩ.B. በመከላከያ ክፍተቶቻቸው ላይ በማነጣጠር ቀጥተኛ ያልሆነ እርምጃ ይውሰዱ። እንቅስቃሴ እስኪያደርጉ ድረስ ይጠብቁ እና ምላሽ ለመስጠት ይሞክሩ.ዲ. በጣም ደካማ በሆነው ጉድጓድ ላይ በማተኮር ግፊቱን ይጨምሩ.</v>
      </c>
      <c r="J12" s="11" t="str">
        <f>IFERROR(__xludf.DUMMYFUNCTION("GOOGLETRANSLATE(D12, ""en"", ""am"")"),"በመከላከያ ክፍተቶቻቸው ላይ በማነጣጠር ቀጥተኛ ያልሆነ እርምጃ ይውሰዱ።")</f>
        <v>በመከላከያ ክፍተቶቻቸው ላይ በማነጣጠር ቀጥተኛ ያልሆነ እርምጃ ይውሰዱ።</v>
      </c>
      <c r="K12" s="11" t="str">
        <f>IFERROR(__xludf.DUMMYFUNCTION("GOOGLETRANSLATE(E12, ""en"", ""am"")"),"ደካማ ነጥቦችን ማነጣጠር ብዙ ዘሮችን የመያዝ እድልን ይጨምራል.")</f>
        <v>ደካማ ነጥቦችን ማነጣጠር ብዙ ዘሮችን የመያዝ እድልን ይጨምራል.</v>
      </c>
    </row>
    <row r="13" ht="22.5" customHeight="1">
      <c r="A13" s="10">
        <v>12.0</v>
      </c>
      <c r="B13" s="11" t="s">
        <v>3494</v>
      </c>
      <c r="C13" s="11" t="s">
        <v>3495</v>
      </c>
      <c r="D13" s="11" t="s">
        <v>3496</v>
      </c>
      <c r="E13" s="11" t="s">
        <v>3497</v>
      </c>
      <c r="G13" s="11" t="str">
        <f>IFERROR(__xludf.DUMMYFUNCTION("GOOGLETRANSLATE(A13, ""en"", ""th"")"),"12")</f>
        <v>12</v>
      </c>
      <c r="H13" s="11" t="str">
        <f>IFERROR(__xludf.DUMMYFUNCTION("GOOGLETRANSLATE(B13, ""en"", ""am"")"),"ጉድጓዶችህ ባዶ ናቸው ማለት ይቻላል፣ እና ተቃዋሚህ ብዙ ቁጥር ያላቸው ዘሮች አሉት። እቅድህ ምንድን ነው?")</f>
        <v>ጉድጓዶችህ ባዶ ናቸው ማለት ይቻላል፣ እና ተቃዋሚህ ብዙ ቁጥር ያላቸው ዘሮች አሉት። እቅድህ ምንድን ነው?</v>
      </c>
      <c r="I13" s="11" t="str">
        <f>IFERROR(__xludf.DUMMYFUNCTION("GOOGLETRANSLATE(C13, ""en"", ""am"")"),"ሀ. ከአሁን በኋላ እንዳይያዙ በፍጥነት ወደ ባዶ ጉድጓዶች ይሂዱ። የመዝራት ችሎታቸውን ለመገደብ የመጨረሻ ዘሮችዎን በዘዴ ያስቀምጡ። ብዙ ዘሮች በእጅዎ እስኪያገኙ ድረስ ይጠብቁ እና ከዚያም ያጠቁ.ዲ. በተቻለ መጠን ዘሮችን በመጠበቅ ፈጣን ለመመለስ ይሞክሩ።")</f>
        <v>ሀ. ከአሁን በኋላ እንዳይያዙ በፍጥነት ወደ ባዶ ጉድጓዶች ይሂዱ። የመዝራት ችሎታቸውን ለመገደብ የመጨረሻ ዘሮችዎን በዘዴ ያስቀምጡ። ብዙ ዘሮች በእጅዎ እስኪያገኙ ድረስ ይጠብቁ እና ከዚያም ያጠቁ.ዲ. በተቻለ መጠን ዘሮችን በመጠበቅ ፈጣን ለመመለስ ይሞክሩ።</v>
      </c>
      <c r="J13" s="11" t="str">
        <f>IFERROR(__xludf.DUMMYFUNCTION("GOOGLETRANSLATE(D13, ""en"", ""am"")"),"የመዝራት ችሎታቸውን ለመገደብ የመጨረሻ ዘሮችዎን በዘዴ ያስቀምጡ።")</f>
        <v>የመዝራት ችሎታቸውን ለመገደብ የመጨረሻ ዘሮችዎን በዘዴ ያስቀምጡ።</v>
      </c>
      <c r="K13" s="11" t="str">
        <f>IFERROR(__xludf.DUMMYFUNCTION("GOOGLETRANSLATE(E13, ""en"", ""am"")"),"እንቅስቃሴያቸውን መገደብ እድገታቸውን ሊቀንስ ይችላል።")</f>
        <v>እንቅስቃሴያቸውን መገደብ እድገታቸውን ሊቀንስ ይችላል።</v>
      </c>
    </row>
    <row r="14" ht="22.5" customHeight="1">
      <c r="A14" s="10">
        <v>13.0</v>
      </c>
      <c r="B14" s="11" t="s">
        <v>3498</v>
      </c>
      <c r="C14" s="11" t="s">
        <v>3499</v>
      </c>
      <c r="D14" s="11" t="s">
        <v>3500</v>
      </c>
      <c r="E14" s="11" t="s">
        <v>3501</v>
      </c>
      <c r="G14" s="11" t="str">
        <f>IFERROR(__xludf.DUMMYFUNCTION("GOOGLETRANSLATE(A14, ""en"", ""th"")"),"13")</f>
        <v>13</v>
      </c>
      <c r="H14" s="11" t="str">
        <f>IFERROR(__xludf.DUMMYFUNCTION("GOOGLETRANSLATE(B14, ""en"", ""am"")"),"በመካከለኛው ጉድጓዶች ውስጥ ተቃዋሚዎ ከእርስዎ የበለጠ ዘሮች አሉት። ምን ምላሽ ትሰጣለህ?")</f>
        <v>በመካከለኛው ጉድጓዶች ውስጥ ተቃዋሚዎ ከእርስዎ የበለጠ ዘሮች አሉት። ምን ምላሽ ትሰጣለህ?</v>
      </c>
      <c r="I14" s="11" t="str">
        <f>IFERROR(__xludf.DUMMYFUNCTION("GOOGLETRANSLATE(C14, ""en"", ""am"")"),"ሀ. ጥቅማቸውን ለመቀነስ መካከለኛ ቀዳዳቸውን ያጠቁ.B. ስርጭታቸውን ለመገደብ የውጭ ጉድጓዶችን በመቆጣጠር ላይ ያተኩሩ። እድሎችዎን ለመጨመር ዘሮችዎን ወደ መሃል ያንቀሳቅሱ.ዲ. ጥረቶችዎን በቦርዱ ጠርዝ ላይ ያተኩሩ.")</f>
        <v>ሀ. ጥቅማቸውን ለመቀነስ መካከለኛ ቀዳዳቸውን ያጠቁ.B. ስርጭታቸውን ለመገደብ የውጭ ጉድጓዶችን በመቆጣጠር ላይ ያተኩሩ። እድሎችዎን ለመጨመር ዘሮችዎን ወደ መሃል ያንቀሳቅሱ.ዲ. ጥረቶችዎን በቦርዱ ጠርዝ ላይ ያተኩሩ.</v>
      </c>
      <c r="J14" s="11" t="str">
        <f>IFERROR(__xludf.DUMMYFUNCTION("GOOGLETRANSLATE(D14, ""en"", ""am"")"),"የእነሱን ጥቅም ለመቀነስ መካከለኛ ቀዳዳዎቻቸውን ያጠቁ.")</f>
        <v>የእነሱን ጥቅም ለመቀነስ መካከለኛ ቀዳዳዎቻቸውን ያጠቁ.</v>
      </c>
      <c r="K14" s="11" t="str">
        <f>IFERROR(__xludf.DUMMYFUNCTION("GOOGLETRANSLATE(E14, ""en"", ""am"")"),"በመሃል ላይ የእነሱን ቁጥጥር መቀነስ የበለጠ ተለዋዋጭነት ይሰጥዎታል.")</f>
        <v>በመሃል ላይ የእነሱን ቁጥጥር መቀነስ የበለጠ ተለዋዋጭነት ይሰጥዎታል.</v>
      </c>
    </row>
    <row r="15" ht="22.5" customHeight="1">
      <c r="A15" s="10">
        <v>14.0</v>
      </c>
      <c r="B15" s="11" t="s">
        <v>3502</v>
      </c>
      <c r="C15" s="11" t="s">
        <v>3503</v>
      </c>
      <c r="D15" s="11" t="s">
        <v>3504</v>
      </c>
      <c r="E15" s="11" t="s">
        <v>3505</v>
      </c>
      <c r="G15" s="11" t="str">
        <f>IFERROR(__xludf.DUMMYFUNCTION("GOOGLETRANSLATE(A15, ""en"", ""th"")"),"14")</f>
        <v>14</v>
      </c>
      <c r="H15" s="11" t="str">
        <f>IFERROR(__xludf.DUMMYFUNCTION("GOOGLETRANSLATE(B15, ""en"", ""am"")"),"ከተቃዋሚዎ ጉድጓድ ውስጥ ዘርን ለመያዝ እድሉ አለዎት. ለመቀጠል ምርጡ መንገድ ምንድነው?")</f>
        <v>ከተቃዋሚዎ ጉድጓድ ውስጥ ዘርን ለመያዝ እድሉ አለዎት. ለመቀጠል ምርጡ መንገድ ምንድነው?</v>
      </c>
      <c r="I15" s="11" t="str">
        <f>IFERROR(__xludf.DUMMYFUNCTION("GOOGLETRANSLATE(C15, ""en"", ""am"")"),"ሀ. ለቁጥጥር የሚሆን ዘሩን ወዲያውኑ ይያዙ. እንቅስቃሴዎን ለመስራት የበለጠ አመቺ ጊዜ ይጠብቁ.ሲ. በመጀመሪያ ዘርዎን ወደ የተጠበቀ ቦታ ይውሰዱ.ዲ. ብዙ ቅጂዎችን በሚያዘጋጅ መንገድ እራስዎን ያስቀምጡ።")</f>
        <v>ሀ. ለቁጥጥር የሚሆን ዘሩን ወዲያውኑ ይያዙ. እንቅስቃሴዎን ለመስራት የበለጠ አመቺ ጊዜ ይጠብቁ.ሲ. በመጀመሪያ ዘርዎን ወደ የተጠበቀ ቦታ ይውሰዱ.ዲ. ብዙ ቅጂዎችን በሚያዘጋጅ መንገድ እራስዎን ያስቀምጡ።</v>
      </c>
      <c r="J15" s="11" t="str">
        <f>IFERROR(__xludf.DUMMYFUNCTION("GOOGLETRANSLATE(D15, ""en"", ""am"")"),"ለመቆጣጠር ወዲያውኑ ዘሩን ይያዙ")</f>
        <v>ለመቆጣጠር ወዲያውኑ ዘሩን ይያዙ</v>
      </c>
      <c r="K15" s="11" t="str">
        <f>IFERROR(__xludf.DUMMYFUNCTION("GOOGLETRANSLATE(E15, ""en"", ""am"")"),"ዘሮችን በፍጥነት ለማንሳት ጥቅም ይሰጥዎታል.")</f>
        <v>ዘሮችን በፍጥነት ለማንሳት ጥቅም ይሰጥዎታል.</v>
      </c>
    </row>
    <row r="16" ht="22.5" customHeight="1">
      <c r="A16" s="10">
        <v>15.0</v>
      </c>
      <c r="B16" s="11" t="s">
        <v>3506</v>
      </c>
      <c r="C16" s="11" t="s">
        <v>3507</v>
      </c>
      <c r="D16" s="11" t="s">
        <v>3508</v>
      </c>
      <c r="E16" s="11" t="s">
        <v>3509</v>
      </c>
      <c r="G16" s="11" t="str">
        <f>IFERROR(__xludf.DUMMYFUNCTION("GOOGLETRANSLATE(A16, ""en"", ""th"")"),"15")</f>
        <v>15</v>
      </c>
      <c r="H16" s="11" t="str">
        <f>IFERROR(__xludf.DUMMYFUNCTION("GOOGLETRANSLATE(B16, ""en"", ""am"")"),"ተቃዋሚዎ የእርስዎን ዘሮች ይይዛል፣ እና አሁን ያነሱ ቀዳዳዎች አሉዎት። የእርስዎ ስልት ምንድን ነው?")</f>
        <v>ተቃዋሚዎ የእርስዎን ዘሮች ይይዛል፣ እና አሁን ያነሱ ቀዳዳዎች አሉዎት። የእርስዎ ስልት ምንድን ነው?</v>
      </c>
      <c r="I16" s="11" t="str">
        <f>IFERROR(__xludf.DUMMYFUNCTION("GOOGLETRANSLATE(C16, ""en"", ""am"")"),"ሀ. የቀሩትን ዘሮች ለመጠበቅ ወደ ጉድጓዶች ይቀይሩ.B. ዘሮችን ከጉድጓዳቸው ውስጥ ወዲያውኑ በማስወገድ ላይ ያተኩሩ። የመከላከያ ቦታ ለማዘጋጀት የቀሩትን እንቅስቃሴዎችዎን ይጠቀሙ.ዲ. ከመጨረሻው ጉድጓድ በተቻለ መጠን ብዙ ዘሮችን ለመሰብሰብ ይሞክሩ.")</f>
        <v>ሀ. የቀሩትን ዘሮች ለመጠበቅ ወደ ጉድጓዶች ይቀይሩ.B. ዘሮችን ከጉድጓዳቸው ውስጥ ወዲያውኑ በማስወገድ ላይ ያተኩሩ። የመከላከያ ቦታ ለማዘጋጀት የቀሩትን እንቅስቃሴዎችዎን ይጠቀሙ.ዲ. ከመጨረሻው ጉድጓድ በተቻለ መጠን ብዙ ዘሮችን ለመሰብሰብ ይሞክሩ.</v>
      </c>
      <c r="J16" s="11" t="str">
        <f>IFERROR(__xludf.DUMMYFUNCTION("GOOGLETRANSLATE(D16, ""en"", ""am"")"),"የተቀሩትን ዘሮች ለመጠበቅ ወደ ጉድጓዶች ይለውጡ.")</f>
        <v>የተቀሩትን ዘሮች ለመጠበቅ ወደ ጉድጓዶች ይለውጡ.</v>
      </c>
      <c r="K16" s="11" t="str">
        <f>IFERROR(__xludf.DUMMYFUNCTION("GOOGLETRANSLATE(E16, ""en"", ""am"")"),"ቀዳዳዎትን መከላከል እና መከላከል የማሸነፍ እድሎዎን ይጨምራል።")</f>
        <v>ቀዳዳዎትን መከላከል እና መከላከል የማሸነፍ እድሎዎን ይጨምራል።</v>
      </c>
    </row>
    <row r="17" ht="22.5" customHeight="1">
      <c r="A17" s="10">
        <v>16.0</v>
      </c>
      <c r="B17" s="11" t="s">
        <v>3510</v>
      </c>
      <c r="C17" s="11" t="s">
        <v>3511</v>
      </c>
      <c r="D17" s="11" t="s">
        <v>3512</v>
      </c>
      <c r="E17" s="11" t="s">
        <v>3513</v>
      </c>
      <c r="G17" s="11" t="str">
        <f>IFERROR(__xludf.DUMMYFUNCTION("GOOGLETRANSLATE(A17, ""en"", ""th"")"),"16")</f>
        <v>16</v>
      </c>
      <c r="H17" s="11" t="str">
        <f>IFERROR(__xludf.DUMMYFUNCTION("GOOGLETRANSLATE(B17, ""en"", ""am"")"),"ከጉድጓድዎ ውስጥ አንዱን ባዶ ማድረግ ችለዋል። ቀጥሎ ምን ታደርጋለህ?")</f>
        <v>ከጉድጓድዎ ውስጥ አንዱን ባዶ ማድረግ ችለዋል። ቀጥሎ ምን ታደርጋለህ?</v>
      </c>
      <c r="I17" s="11" t="str">
        <f>IFERROR(__xludf.DUMMYFUNCTION("GOOGLETRANSLATE(C17, ""en"", ""am"")"),"ሀ. ጨዋታውን ለመቀጠል ዘሮችዎን ወደሚቀጥለው ጉድጓድ ያንቀሳቅሱ.B. በጣም የተጨናነቀውን የተቃዋሚዎን ቀዳዳ በማጥቃት ላይ ያተኩሩ። ለቀጣዩ ዙርዎ አስገራሚ እርምጃ ለማዘጋጀት ይሞክሩ።ዲ. ተቃዋሚዎ ቀጣዩን እንቅስቃሴ እስኪያደርግ ድረስ ይጠብቁ።")</f>
        <v>ሀ. ጨዋታውን ለመቀጠል ዘሮችዎን ወደሚቀጥለው ጉድጓድ ያንቀሳቅሱ.B. በጣም የተጨናነቀውን የተቃዋሚዎን ቀዳዳ በማጥቃት ላይ ያተኩሩ። ለቀጣዩ ዙርዎ አስገራሚ እርምጃ ለማዘጋጀት ይሞክሩ።ዲ. ተቃዋሚዎ ቀጣዩን እንቅስቃሴ እስኪያደርግ ድረስ ይጠብቁ።</v>
      </c>
      <c r="J17" s="11" t="str">
        <f>IFERROR(__xludf.DUMMYFUNCTION("GOOGLETRANSLATE(D17, ""en"", ""am"")"),"ጨዋታውን ለመቀጠል ዘሮችዎን ወደሚቀጥለው ጉድጓድ ያንቀሳቅሱ.")</f>
        <v>ጨዋታውን ለመቀጠል ዘሮችዎን ወደሚቀጥለው ጉድጓድ ያንቀሳቅሱ.</v>
      </c>
      <c r="K17" s="11" t="str">
        <f>IFERROR(__xludf.DUMMYFUNCTION("GOOGLETRANSLATE(E17, ""en"", ""am"")"),"በባዶ ቀዳዳዎች መጫወት መቀጠል በተቃዋሚው ላይ ያለውን ጫና ይጠብቃል.")</f>
        <v>በባዶ ቀዳዳዎች መጫወት መቀጠል በተቃዋሚው ላይ ያለውን ጫና ይጠብቃል.</v>
      </c>
    </row>
    <row r="18" ht="22.5" customHeight="1">
      <c r="A18" s="10">
        <v>17.0</v>
      </c>
      <c r="B18" s="11" t="s">
        <v>3514</v>
      </c>
      <c r="C18" s="11" t="s">
        <v>3515</v>
      </c>
      <c r="D18" s="11" t="s">
        <v>3516</v>
      </c>
      <c r="E18" s="11" t="s">
        <v>3517</v>
      </c>
      <c r="G18" s="11" t="str">
        <f>IFERROR(__xludf.DUMMYFUNCTION("GOOGLETRANSLATE(A18, ""en"", ""th"")"),"17")</f>
        <v>17</v>
      </c>
      <c r="H18" s="11" t="str">
        <f>IFERROR(__xludf.DUMMYFUNCTION("GOOGLETRANSLATE(B18, ""en"", ""am"")"),"ጨዋታው ወደ ፍጻሜው እየተቃረበ ነው, እና እርስዎ በሩጫው ውስጥ ቀድመዋል. ጨዋታውን እንዴት ትጨርሰዋለህ?")</f>
        <v>ጨዋታው ወደ ፍጻሜው እየተቃረበ ነው, እና እርስዎ በሩጫው ውስጥ ቀድመዋል. ጨዋታውን እንዴት ትጨርሰዋለህ?</v>
      </c>
      <c r="I18" s="11" t="str">
        <f>IFERROR(__xludf.DUMMYFUNCTION("GOOGLETRANSLATE(C18, ""en"", ""am"")"),"ሀ. እርሳስዎን ለመጠበቅ በመከላከል ይጫወቱ። እርሳስዎን ለማስፋት በተቻለ መጠን ብዙ ዘሮችን አጥብቀው ይያዙ። በጥንቃቄ ይውሰዱት እና ለመምታት ትክክለኛውን እድል ይጠብቁ.ዲ. ድልዎን ለማስጠበቅ የመጨረሻዎቹን ዘሮች በመያዝ ላይ ያተኩሩ።")</f>
        <v>ሀ. እርሳስዎን ለመጠበቅ በመከላከል ይጫወቱ። እርሳስዎን ለማስፋት በተቻለ መጠን ብዙ ዘሮችን አጥብቀው ይያዙ። በጥንቃቄ ይውሰዱት እና ለመምታት ትክክለኛውን እድል ይጠብቁ.ዲ. ድልዎን ለማስጠበቅ የመጨረሻዎቹን ዘሮች በመያዝ ላይ ያተኩሩ።</v>
      </c>
      <c r="J18" s="11" t="str">
        <f>IFERROR(__xludf.DUMMYFUNCTION("GOOGLETRANSLATE(D18, ""en"", ""am"")"),"መሪዎን ለመጠበቅ በመከላከል ይጫወቱ።")</f>
        <v>መሪዎን ለመጠበቅ በመከላከል ይጫወቱ።</v>
      </c>
      <c r="K18" s="11" t="str">
        <f>IFERROR(__xludf.DUMMYFUNCTION("GOOGLETRANSLATE(E18, ""en"", ""am"")"),"መሪነትህን መጠበቅ ጨዋታው ሲያልቅ ድልን ያረጋግጣል።")</f>
        <v>መሪነትህን መጠበቅ ጨዋታው ሲያልቅ ድልን ያረጋግጣል።</v>
      </c>
    </row>
    <row r="19" ht="22.5" customHeight="1">
      <c r="A19" s="10">
        <v>18.0</v>
      </c>
      <c r="B19" s="11" t="s">
        <v>3518</v>
      </c>
      <c r="C19" s="11" t="s">
        <v>3519</v>
      </c>
      <c r="D19" s="11" t="s">
        <v>3520</v>
      </c>
      <c r="E19" s="11" t="s">
        <v>3521</v>
      </c>
      <c r="G19" s="11" t="str">
        <f>IFERROR(__xludf.DUMMYFUNCTION("GOOGLETRANSLATE(A19, ""en"", ""th"")"),"18")</f>
        <v>18</v>
      </c>
      <c r="H19" s="11" t="str">
        <f>IFERROR(__xludf.DUMMYFUNCTION("GOOGLETRANSLATE(B19, ""en"", ""am"")"),"ተቃዋሚዎ ብዙ ጊዜ እንቅስቃሴን እንደሚጠብቅ አስተውለሃል። በዚህ ላይ እንዴት ይጠቅማሉ?")</f>
        <v>ተቃዋሚዎ ብዙ ጊዜ እንቅስቃሴን እንደሚጠብቅ አስተውለሃል። በዚህ ላይ እንዴት ይጠቅማሉ?</v>
      </c>
      <c r="I19" s="11" t="str">
        <f>IFERROR(__xludf.DUMMYFUNCTION("GOOGLETRANSLATE(C19, ""en"", ""am"")"),"ሀ. ወጥመዶችን ያዘጋጁ ቀጣዩን የሚይዙትን ከመጠን በላይ እንዲገመቱ ለማድረግ። ስህተትን ለማስገደድ በመከላከል ይጫወቱ።ሲ. ግፋችሁን ቀጥሉ እና የተሳሳተ ስሌት እስክትሰሩ ድረስ ይጠብቁ.ዲ. የዘሩን ስልታዊ በሆነ መንገድ በማስቀመጥ እንቅስቃሴን በማስተጓጎል ላይ ያተኩሩ።")</f>
        <v>ሀ. ወጥመዶችን ያዘጋጁ ቀጣዩን የሚይዙትን ከመጠን በላይ እንዲገመቱ ለማድረግ። ስህተትን ለማስገደድ በመከላከል ይጫወቱ።ሲ. ግፋችሁን ቀጥሉ እና የተሳሳተ ስሌት እስክትሰሩ ድረስ ይጠብቁ.ዲ. የዘሩን ስልታዊ በሆነ መንገድ በማስቀመጥ እንቅስቃሴን በማስተጓጎል ላይ ያተኩሩ።</v>
      </c>
      <c r="J19" s="11" t="str">
        <f>IFERROR(__xludf.DUMMYFUNCTION("GOOGLETRANSLATE(D19, ""en"", ""am"")"),"ቀጣዩን የሚይዙትን ከመጠን በላይ እንዲገመቱ ለማድረግ ወጥመዶችን ያዘጋጁ።")</f>
        <v>ቀጣዩን የሚይዙትን ከመጠን በላይ እንዲገመቱ ለማድረግ ወጥመዶችን ያዘጋጁ።</v>
      </c>
      <c r="K19" s="11" t="str">
        <f>IFERROR(__xludf.DUMMYFUNCTION("GOOGLETRANSLATE(E19, ""en"", ""am"")"),"ተቃዋሚዎን ማሳሳት እንቅስቃሴያቸውን በተሳሳተ መንገድ እንዲቆጥሩ ያደርጋቸዋል።")</f>
        <v>ተቃዋሚዎን ማሳሳት እንቅስቃሴያቸውን በተሳሳተ መንገድ እንዲቆጥሩ ያደርጋቸዋል።</v>
      </c>
    </row>
    <row r="20" ht="22.5" customHeight="1">
      <c r="A20" s="10">
        <v>19.0</v>
      </c>
      <c r="B20" s="11" t="s">
        <v>3522</v>
      </c>
      <c r="C20" s="11" t="s">
        <v>3523</v>
      </c>
      <c r="D20" s="11" t="s">
        <v>3524</v>
      </c>
      <c r="E20" s="11" t="s">
        <v>3525</v>
      </c>
      <c r="G20" s="11" t="str">
        <f>IFERROR(__xludf.DUMMYFUNCTION("GOOGLETRANSLATE(A20, ""en"", ""th"")"),"19")</f>
        <v>19</v>
      </c>
      <c r="H20" s="11" t="str">
        <f>IFERROR(__xludf.DUMMYFUNCTION("GOOGLETRANSLATE(B20, ""en"", ""am"")"),"ተቀናቃኞቻችሁን አፍ ያጡ ጠንካራ እርምጃ ወስደዋል። ቀጣዩ እርምጃ ምንድን ነው?")</f>
        <v>ተቀናቃኞቻችሁን አፍ ያጡ ጠንካራ እርምጃ ወስደዋል። ቀጣዩ እርምጃ ምንድን ነው?</v>
      </c>
      <c r="I20" s="11" t="str">
        <f>IFERROR(__xludf.DUMMYFUNCTION("GOOGLETRANSLATE(C20, ""en"", ""am"")"),"ሀ. ተቃዋሚዎ ያለ ጣልቃ ገብነት ቀጣዩን እርምጃ እንዲወስድ ይፍቀዱለት። የተቀሩትን ዘሮች በኃይል ለመያዝ ይቀጥሉ.ሲ. በጥንቃቄ ይጫወቱ እና ተጨማሪ ስህተቶችን ያስወግዱ.ዲ. ለመልሶ ማጥቃት ለመዘጋጀት ቀጣዩን ዙር ይጠብቁ።")</f>
        <v>ሀ. ተቃዋሚዎ ያለ ጣልቃ ገብነት ቀጣዩን እርምጃ እንዲወስድ ይፍቀዱለት። የተቀሩትን ዘሮች በኃይል ለመያዝ ይቀጥሉ.ሲ. በጥንቃቄ ይጫወቱ እና ተጨማሪ ስህተቶችን ያስወግዱ.ዲ. ለመልሶ ማጥቃት ለመዘጋጀት ቀጣዩን ዙር ይጠብቁ።</v>
      </c>
      <c r="J20" s="11" t="str">
        <f>IFERROR(__xludf.DUMMYFUNCTION("GOOGLETRANSLATE(D20, ""en"", ""am"")"),"የተቀሩትን ዘሮች በኃይል ለመያዝ ይቀጥሉ.")</f>
        <v>የተቀሩትን ዘሮች በኃይል ለመያዝ ይቀጥሉ.</v>
      </c>
      <c r="K20" s="11" t="str">
        <f>IFERROR(__xludf.DUMMYFUNCTION("GOOGLETRANSLATE(E20, ""en"", ""am"")"),"የተቀሩትን ዘሮች መያዝ የድልዎን ደህንነት ያረጋግጣል.")</f>
        <v>የተቀሩትን ዘሮች መያዝ የድልዎን ደህንነት ያረጋግጣል.</v>
      </c>
    </row>
    <row r="21" ht="22.5" customHeight="1">
      <c r="A21" s="10">
        <v>20.0</v>
      </c>
      <c r="B21" s="11" t="s">
        <v>3526</v>
      </c>
      <c r="C21" s="11" t="s">
        <v>3527</v>
      </c>
      <c r="D21" s="11" t="s">
        <v>3528</v>
      </c>
      <c r="E21" s="11" t="s">
        <v>3529</v>
      </c>
      <c r="G21" s="11" t="str">
        <f>IFERROR(__xludf.DUMMYFUNCTION("GOOGLETRANSLATE(A21, ""en"", ""th"")"),"20")</f>
        <v>20</v>
      </c>
      <c r="H21" s="11" t="str">
        <f>IFERROR(__xludf.DUMMYFUNCTION("GOOGLETRANSLATE(B21, ""en"", ""am"")"),"አሁን በጨዋታው መጨረሻ ላይ ነዎት፣ እና የውሃ ጉድጓዶችዎ ባዶ ናቸው። የእርስዎ ምርጥ ምርጫ ምንድን ነው?")</f>
        <v>አሁን በጨዋታው መጨረሻ ላይ ነዎት፣ እና የውሃ ጉድጓዶችዎ ባዶ ናቸው። የእርስዎ ምርጥ ምርጫ ምንድን ነው?</v>
      </c>
      <c r="I21" s="11" t="str">
        <f>IFERROR(__xludf.DUMMYFUNCTION("GOOGLETRANSLATE(C21, ""en"", ""am"")"),"ሀ. ስህተቶችን ለማስወገድ የመጨረሻዎቹን እንቅስቃሴዎች በጥንቃቄ ይጫወቱ። ዘሮችዎን በመጨረሻው ደቂቃ ቡቃያ ወደሚገኙበት ቦታ ላይ ያተኩሩ። ተቃዋሚዎ ተጨማሪ ነጥብ እንዳያገኝ በጥንቃቄ ይጫወቱ።ዲ. በመጨረሻዎቹ ጥቂት ቀሪ ውድድሮችዎ ውስጥ ለስልታዊ ድል ይዘጋጁ።")</f>
        <v>ሀ. ስህተቶችን ለማስወገድ የመጨረሻዎቹን እንቅስቃሴዎች በጥንቃቄ ይጫወቱ። ዘሮችዎን በመጨረሻው ደቂቃ ቡቃያ ወደሚገኙበት ቦታ ላይ ያተኩሩ። ተቃዋሚዎ ተጨማሪ ነጥብ እንዳያገኝ በጥንቃቄ ይጫወቱ።ዲ. በመጨረሻዎቹ ጥቂት ቀሪ ውድድሮችዎ ውስጥ ለስልታዊ ድል ይዘጋጁ።</v>
      </c>
      <c r="J21" s="11" t="str">
        <f>IFERROR(__xludf.DUMMYFUNCTION("GOOGLETRANSLATE(D21, ""en"", ""am"")"),"ስህተቶችን ለማስወገድ የመጨረሻዎቹን እንቅስቃሴዎች በጥንቃቄ ይጫወቱ።")</f>
        <v>ስህተቶችን ለማስወገድ የመጨረሻዎቹን እንቅስቃሴዎች በጥንቃቄ ይጫወቱ።</v>
      </c>
      <c r="K21" s="11" t="str">
        <f>IFERROR(__xludf.DUMMYFUNCTION("GOOGLETRANSLATE(E21, ""en"", ""am"")"),"ጥቅሙን ማስቀጠልዎን ለማረጋገጥ ጥንቃቄ በተሞላበት እንቅስቃሴዎች ጨዋታውን ይጨርሱት።")</f>
        <v>ጥቅሙን ማስቀጠልዎን ለማረጋገጥ ጥንቃቄ በተሞላበት እንቅስቃሴዎች ጨዋታውን ይጨርሱት።</v>
      </c>
    </row>
    <row r="22" ht="22.5" customHeight="1">
      <c r="A22" s="10">
        <v>21.0</v>
      </c>
      <c r="B22" s="11" t="s">
        <v>3530</v>
      </c>
      <c r="C22" s="11" t="s">
        <v>3531</v>
      </c>
      <c r="D22" s="11" t="s">
        <v>3532</v>
      </c>
      <c r="E22" s="11" t="s">
        <v>3533</v>
      </c>
      <c r="G22" s="11" t="str">
        <f>IFERROR(__xludf.DUMMYFUNCTION("GOOGLETRANSLATE(A22, ""en"", ""th"")"),"21")</f>
        <v>21</v>
      </c>
      <c r="H22" s="11" t="str">
        <f>IFERROR(__xludf.DUMMYFUNCTION("GOOGLETRANSLATE(B22, ""en"", ""am"")"),"በእያንዳንዱ ቀዳዳዎ ውስጥ አንድ ዘር ይቀርዎታል, እና ተቃዋሚዎ ብዙ ቁጥር ያላቸው ዘሮች አሉት. ምን ማድረግ አለቦት?")</f>
        <v>በእያንዳንዱ ቀዳዳዎ ውስጥ አንድ ዘር ይቀርዎታል, እና ተቃዋሚዎ ብዙ ቁጥር ያላቸው ዘሮች አሉት. ምን ማድረግ አለቦት?</v>
      </c>
      <c r="I22" s="11" t="str">
        <f>IFERROR(__xludf.DUMMYFUNCTION("GOOGLETRANSLATE(C22, ""en"", ""am"")"),"ሀ. ለመከላከያ ለመዘጋጀት ዘሮችዎን ወደ ትላልቅ ጉድጓዶች ያንቀሳቅሱ. ዘሮቻቸውን ለመያዝ ስልታዊ በሆነ መንገድ የእርስዎን ዘሮች ለመጠቀም ይሞክሩ። ተቃዋሚው እስኪሳሳት ድረስ ይጠብቁ.ዲ. ጉድጓዶችዎን በተቻለ ፍጥነት ባዶ ለማድረግ ይሞክሩ.")</f>
        <v>ሀ. ለመከላከያ ለመዘጋጀት ዘሮችዎን ወደ ትላልቅ ጉድጓዶች ያንቀሳቅሱ. ዘሮቻቸውን ለመያዝ ስልታዊ በሆነ መንገድ የእርስዎን ዘሮች ለመጠቀም ይሞክሩ። ተቃዋሚው እስኪሳሳት ድረስ ይጠብቁ.ዲ. ጉድጓዶችዎን በተቻለ ፍጥነት ባዶ ለማድረግ ይሞክሩ.</v>
      </c>
      <c r="J22" s="11" t="str">
        <f>IFERROR(__xludf.DUMMYFUNCTION("GOOGLETRANSLATE(D22, ""en"", ""am"")"),"ለመከላከያ ለመዘጋጀት ዘሮችዎን ወደ ትላልቅ ጉድጓዶች ያንቀሳቅሱ.")</f>
        <v>ለመከላከያ ለመዘጋጀት ዘሮችዎን ወደ ትላልቅ ጉድጓዶች ያንቀሳቅሱ.</v>
      </c>
      <c r="K22" s="11" t="str">
        <f>IFERROR(__xludf.DUMMYFUNCTION("GOOGLETRANSLATE(E22, ""en"", ""am"")"),"ትላልቅ ቀዳዳዎችን መጠቀም ለመልሶ ማጥቃት ለመዘጋጀት ይረዳል.")</f>
        <v>ትላልቅ ቀዳዳዎችን መጠቀም ለመልሶ ማጥቃት ለመዘጋጀት ይረዳል.</v>
      </c>
    </row>
    <row r="23" ht="22.5" customHeight="1">
      <c r="A23" s="10">
        <v>22.0</v>
      </c>
      <c r="B23" s="11" t="s">
        <v>3534</v>
      </c>
      <c r="C23" s="11" t="s">
        <v>3535</v>
      </c>
      <c r="D23" s="11" t="s">
        <v>3536</v>
      </c>
      <c r="E23" s="11" t="s">
        <v>3537</v>
      </c>
      <c r="G23" s="11" t="str">
        <f>IFERROR(__xludf.DUMMYFUNCTION("GOOGLETRANSLATE(A23, ""en"", ""th"")"),"22")</f>
        <v>22</v>
      </c>
      <c r="H23" s="11" t="str">
        <f>IFERROR(__xludf.DUMMYFUNCTION("GOOGLETRANSLATE(B23, ""en"", ""am"")"),"ተቃዋሚዎ ያለማቋረጥ ወጥመዶችን እያዘጋጀ ነው። የእርስዎ ስልት ምን መሆን አለበት?")</f>
        <v>ተቃዋሚዎ ያለማቋረጥ ወጥመዶችን እያዘጋጀ ነው። የእርስዎ ስልት ምን መሆን አለበት?</v>
      </c>
      <c r="I23" s="11" t="str">
        <f>IFERROR(__xludf.DUMMYFUNCTION("GOOGLETRANSLATE(C23, ""en"", ""am"")"),"ሀ. ወጥመዳቸውን በመስበር እና ዘሮችን በመያዝ ላይ ያተኩሩ። እነሱን ወደ ስህተቶች ለማስገደድ የእራስዎን ወጥመዶች ያዘጋጁ። በጥንቃቄ ይጫወቱ እና እንቅስቃሴያቸውን ይመልከቱ.ዲ. ማጥቃት ማሸነፉን እርግጠኛ ሲሆኑ ብቻ ነው።")</f>
        <v>ሀ. ወጥመዳቸውን በመስበር እና ዘሮችን በመያዝ ላይ ያተኩሩ። እነሱን ወደ ስህተቶች ለማስገደድ የእራስዎን ወጥመዶች ያዘጋጁ። በጥንቃቄ ይጫወቱ እና እንቅስቃሴያቸውን ይመልከቱ.ዲ. ማጥቃት ማሸነፉን እርግጠኛ ሲሆኑ ብቻ ነው።</v>
      </c>
      <c r="J23" s="11" t="str">
        <f>IFERROR(__xludf.DUMMYFUNCTION("GOOGLETRANSLATE(D23, ""en"", ""am"")"),"ወጥመዳቸውን በመስበር እና ዘሮችን በመያዝ ላይ ያተኩሩ።")</f>
        <v>ወጥመዳቸውን በመስበር እና ዘሮችን በመያዝ ላይ ያተኩሩ።</v>
      </c>
      <c r="K23" s="11" t="str">
        <f>IFERROR(__xludf.DUMMYFUNCTION("GOOGLETRANSLATE(E23, ""en"", ""am"")"),"ወጥመዶችን መስበር ጠቃሚነታቸውን ያስወግዳል.")</f>
        <v>ወጥመዶችን መስበር ጠቃሚነታቸውን ያስወግዳል.</v>
      </c>
    </row>
    <row r="24" ht="22.5" customHeight="1">
      <c r="A24" s="10">
        <v>23.0</v>
      </c>
      <c r="B24" s="11" t="s">
        <v>3538</v>
      </c>
      <c r="C24" s="11" t="s">
        <v>3539</v>
      </c>
      <c r="D24" s="11" t="s">
        <v>3540</v>
      </c>
      <c r="E24" s="11" t="s">
        <v>3541</v>
      </c>
      <c r="G24" s="11" t="str">
        <f>IFERROR(__xludf.DUMMYFUNCTION("GOOGLETRANSLATE(A24, ""en"", ""th"")"),"23")</f>
        <v>23</v>
      </c>
      <c r="H24" s="11" t="str">
        <f>IFERROR(__xludf.DUMMYFUNCTION("GOOGLETRANSLATE(B24, ""en"", ""am"")"),"ባላንጣዎን የሚቻለውን አንድ እርምጃ ብቻ የሚተው ስልታዊ እርምጃ ወስደዋል። ቀጣዩ እርምጃ ምንድን ነው?")</f>
        <v>ባላንጣዎን የሚቻለውን አንድ እርምጃ ብቻ የሚተው ስልታዊ እርምጃ ወስደዋል። ቀጣዩ እርምጃ ምንድን ነው?</v>
      </c>
      <c r="I24" s="11" t="str">
        <f>IFERROR(__xludf.DUMMYFUNCTION("GOOGLETRANSLATE(C24, ""en"", ""am"")"),"ሀ. ቆይ እና ተቃዋሚዎ ስህተት እንደሰራ ይመልከቱ.B. ዘሮችን ለመያዝ ቀጣዩን ዙር በኃይል ይጫወቱ። በተቃዋሚዎ ተጨማሪ እንቅስቃሴዎችን በመከላከል ላይ ያተኩሩ። ዲ. ቀጣዩን እንቅስቃሴዎን እድላቸውን በሚገድብ መንገድ ያቅዱ።")</f>
        <v>ሀ. ቆይ እና ተቃዋሚዎ ስህተት እንደሰራ ይመልከቱ.B. ዘሮችን ለመያዝ ቀጣዩን ዙር በኃይል ይጫወቱ። በተቃዋሚዎ ተጨማሪ እንቅስቃሴዎችን በመከላከል ላይ ያተኩሩ። ዲ. ቀጣዩን እንቅስቃሴዎን እድላቸውን በሚገድብ መንገድ ያቅዱ።</v>
      </c>
      <c r="J24" s="11" t="str">
        <f>IFERROR(__xludf.DUMMYFUNCTION("GOOGLETRANSLATE(D24, ""en"", ""am"")"),"በተቃዋሚዎ ተጨማሪ እንቅስቃሴዎችን በመከላከል ላይ ያተኩሩ።")</f>
        <v>በተቃዋሚዎ ተጨማሪ እንቅስቃሴዎችን በመከላከል ላይ ያተኩሩ።</v>
      </c>
      <c r="K24" s="11" t="str">
        <f>IFERROR(__xludf.DUMMYFUNCTION("GOOGLETRANSLATE(E24, ""en"", ""am"")"),"እንቅስቃሴያቸውን መገደብ የጨዋታውን ቁጥጥር ይጨምራል።")</f>
        <v>እንቅስቃሴያቸውን መገደብ የጨዋታውን ቁጥጥር ይጨምራል።</v>
      </c>
    </row>
    <row r="25" ht="22.5" customHeight="1">
      <c r="A25" s="10">
        <v>24.0</v>
      </c>
      <c r="B25" s="11" t="s">
        <v>3542</v>
      </c>
      <c r="C25" s="11" t="s">
        <v>3543</v>
      </c>
      <c r="D25" s="11" t="s">
        <v>3544</v>
      </c>
      <c r="E25" s="11" t="s">
        <v>3545</v>
      </c>
      <c r="G25" s="11" t="str">
        <f>IFERROR(__xludf.DUMMYFUNCTION("GOOGLETRANSLATE(A25, ""en"", ""th"")"),"24")</f>
        <v>24</v>
      </c>
      <c r="H25" s="11" t="str">
        <f>IFERROR(__xludf.DUMMYFUNCTION("GOOGLETRANSLATE(B25, ""en"", ""am"")"),"ባላጋራህ ከአንተ ይልቅ በመካከለኛው ጉድጓዶች ውስጥ ብዙ ዘሮች አሉት። ምን ምላሽ ትሰጣለህ?")</f>
        <v>ባላጋራህ ከአንተ ይልቅ በመካከለኛው ጉድጓዶች ውስጥ ብዙ ዘሮች አሉት። ምን ምላሽ ትሰጣለህ?</v>
      </c>
      <c r="I25" s="11" t="str">
        <f>IFERROR(__xludf.DUMMYFUNCTION("GOOGLETRANSLATE(C25, ""en"", ""am"")"),"ሀ. የውጭ ቀዳዳዎችን ለመቆጣጠር ይሞክሩ. በመካከለኛው ፒትስሲ ላይ ያላቸውን ቁጥጥር በመቀነስ ላይ ያተኩሩ. እንቅስቃሴ እስኪያደርጉ ድረስ ይጠብቁ፣ ከዚያ በዚሁ መሰረት ምላሽ ይስጡ። ዲ. ዘሩን ለመያዝ መካከለኛውን ቀዳዳዎች ያጥብቁ.")</f>
        <v>ሀ. የውጭ ቀዳዳዎችን ለመቆጣጠር ይሞክሩ. በመካከለኛው ፒትስሲ ላይ ያላቸውን ቁጥጥር በመቀነስ ላይ ያተኩሩ. እንቅስቃሴ እስኪያደርጉ ድረስ ይጠብቁ፣ ከዚያ በዚሁ መሰረት ምላሽ ይስጡ። ዲ. ዘሩን ለመያዝ መካከለኛውን ቀዳዳዎች ያጥብቁ.</v>
      </c>
      <c r="J25" s="11" t="str">
        <f>IFERROR(__xludf.DUMMYFUNCTION("GOOGLETRANSLATE(D25, ""en"", ""am"")"),"በመካከለኛው ጉድጓዶች ላይ ያላቸውን ቁጥጥር በመቀነስ ላይ ያተኩሩ")</f>
        <v>በመካከለኛው ጉድጓዶች ላይ ያላቸውን ቁጥጥር በመቀነስ ላይ ያተኩሩ</v>
      </c>
      <c r="K25" s="11" t="str">
        <f>IFERROR(__xludf.DUMMYFUNCTION("GOOGLETRANSLATE(E25, ""en"", ""am"")"),"መካከለኛ ቀዳዳዎችን መቆጣጠር ስልታዊ ጥቅም ይሰጥዎታል.")</f>
        <v>መካከለኛ ቀዳዳዎችን መቆጣጠር ስልታዊ ጥቅም ይሰጥዎታል.</v>
      </c>
    </row>
    <row r="26" ht="22.5" customHeight="1">
      <c r="A26" s="10">
        <v>25.0</v>
      </c>
      <c r="B26" s="11" t="s">
        <v>3546</v>
      </c>
      <c r="C26" s="11" t="s">
        <v>3547</v>
      </c>
      <c r="D26" s="11" t="s">
        <v>3548</v>
      </c>
      <c r="E26" s="11" t="s">
        <v>3549</v>
      </c>
      <c r="G26" s="11" t="str">
        <f>IFERROR(__xludf.DUMMYFUNCTION("GOOGLETRANSLATE(A26, ""en"", ""th"")"),"25")</f>
        <v>25</v>
      </c>
      <c r="H26" s="11" t="str">
        <f>IFERROR(__xludf.DUMMYFUNCTION("GOOGLETRANSLATE(B26, ""en"", ""am"")"),"ተቃዋሚዎ ያለማቋረጥ ዘሮችን ወደ ጉድጓድ እየወሰደ ነው። ምን ምላሽ መስጠት አለቦት?")</f>
        <v>ተቃዋሚዎ ያለማቋረጥ ዘሮችን ወደ ጉድጓድ እየወሰደ ነው። ምን ምላሽ መስጠት አለቦት?</v>
      </c>
      <c r="I26" s="11" t="str">
        <f>IFERROR(__xludf.DUMMYFUNCTION("GOOGLETRANSLATE(C26, ""en"", ""am"")"),"ሀ. በተቻለ መጠን ከዛ ጉድጓድ ውስጥ ዘሮችን በማስወገድ ላይ ያተኩሩ.B. እንቅስቃሴዎን ወደ ሌሎች ጉድጓዶች ያዙሩት እና ወጥመዶቻቸውን ያስወግዱ. ዘራቸውን ከጉድጓዱ ውስጥ እንዲያንቀሳቅሱ ለማስገደድ ይሞክሩ.ዲ. ከዚያም ጉድጓዱ ውስጥ ለመያዝ ትክክለኛውን ጊዜ ይጠብቁ.")</f>
        <v>ሀ. በተቻለ መጠን ከዛ ጉድጓድ ውስጥ ዘሮችን በማስወገድ ላይ ያተኩሩ.B. እንቅስቃሴዎን ወደ ሌሎች ጉድጓዶች ያዙሩት እና ወጥመዶቻቸውን ያስወግዱ. ዘራቸውን ከጉድጓዱ ውስጥ እንዲያንቀሳቅሱ ለማስገደድ ይሞክሩ.ዲ. ከዚያም ጉድጓዱ ውስጥ ለመያዝ ትክክለኛውን ጊዜ ይጠብቁ.</v>
      </c>
      <c r="J26" s="11" t="str">
        <f>IFERROR(__xludf.DUMMYFUNCTION("GOOGLETRANSLATE(D26, ""en"", ""am"")"),"በተቻለ መጠን ከዛ ጉድጓድ ውስጥ ዘሮችን በማስወገድ ላይ ያተኩሩ.")</f>
        <v>በተቻለ መጠን ከዛ ጉድጓድ ውስጥ ዘሮችን በማስወገድ ላይ ያተኩሩ.</v>
      </c>
      <c r="K26" s="11" t="str">
        <f>IFERROR(__xludf.DUMMYFUNCTION("GOOGLETRANSLATE(E26, ""en"", ""am"")"),"ከተቃዋሚው ዒላማ ጉድጓድ ውስጥ ዘሮችን ማንሳት ስልታቸውን ያዳክማል.")</f>
        <v>ከተቃዋሚው ዒላማ ጉድጓድ ውስጥ ዘሮችን ማንሳት ስልታቸውን ያዳክማል.</v>
      </c>
    </row>
    <row r="27" ht="22.5" customHeight="1">
      <c r="A27" s="10">
        <v>26.0</v>
      </c>
      <c r="B27" s="11" t="s">
        <v>3550</v>
      </c>
      <c r="C27" s="11" t="s">
        <v>3551</v>
      </c>
      <c r="D27" s="11" t="s">
        <v>3552</v>
      </c>
      <c r="E27" s="11" t="s">
        <v>3553</v>
      </c>
      <c r="G27" s="11" t="str">
        <f>IFERROR(__xludf.DUMMYFUNCTION("GOOGLETRANSLATE(A27, ""en"", ""th"")"),"26")</f>
        <v>26</v>
      </c>
      <c r="H27" s="11" t="str">
        <f>IFERROR(__xludf.DUMMYFUNCTION("GOOGLETRANSLATE(B27, ""en"", ""am"")"),"በአንድ ጉድጓድ ውስጥ ጉልህ የሆኑ ዘሮች አሉዎት, ነገር ግን ተቃዋሚዎ ለመያዝ ብዙ እድሎች አሉት. ምን ታደርጋለህ፧")</f>
        <v>በአንድ ጉድጓድ ውስጥ ጉልህ የሆኑ ዘሮች አሉዎት, ነገር ግን ተቃዋሚዎ ለመያዝ ብዙ እድሎች አሉት. ምን ታደርጋለህ፧</v>
      </c>
      <c r="I27" s="11" t="str">
        <f>IFERROR(__xludf.DUMMYFUNCTION("GOOGLETRANSLATE(C27, ""en"", ""am"")"),"ሀ. መከላከያውን ለማዘጋጀት እና ለመያዝ ዘሩን ይጠቀሙ. ተቃዋሚውን ለማደናገር ዘሩን በፍጥነት ወደ ሌላ ጉድጓድ ያንቀሳቅሱ.ሲ. ተራቸውን ከመውሰዳቸው በፊት በተቻለ መጠን ብዙ ዘሮችን ይያዙ.ዲ. እንቅስቃሴ እስኪያደርጉ ድረስ ይጠብቁ እና ከዚያ ተገቢውን ምላሽ ይስጡ።")</f>
        <v>ሀ. መከላከያውን ለማዘጋጀት እና ለመያዝ ዘሩን ይጠቀሙ. ተቃዋሚውን ለማደናገር ዘሩን በፍጥነት ወደ ሌላ ጉድጓድ ያንቀሳቅሱ.ሲ. ተራቸውን ከመውሰዳቸው በፊት በተቻለ መጠን ብዙ ዘሮችን ይያዙ.ዲ. እንቅስቃሴ እስኪያደርጉ ድረስ ይጠብቁ እና ከዚያ ተገቢውን ምላሽ ይስጡ።</v>
      </c>
      <c r="J27" s="11" t="str">
        <f>IFERROR(__xludf.DUMMYFUNCTION("GOOGLETRANSLATE(D27, ""en"", ""am"")"),"መከላከያውን ለማዘጋጀት እና ለመያዝ ዘሩን ይጠቀሙ")</f>
        <v>መከላከያውን ለማዘጋጀት እና ለመያዝ ዘሩን ይጠቀሙ</v>
      </c>
      <c r="K27" s="11" t="str">
        <f>IFERROR(__xludf.DUMMYFUNCTION("GOOGLETRANSLATE(E27, ""en"", ""am"")"),"መከላከያ ማዘጋጀት የተጋጣሚውን የመያዝ እድልን ይቀንሳል።")</f>
        <v>መከላከያ ማዘጋጀት የተጋጣሚውን የመያዝ እድልን ይቀንሳል።</v>
      </c>
    </row>
    <row r="28" ht="22.5" customHeight="1">
      <c r="A28" s="10">
        <v>27.0</v>
      </c>
      <c r="B28" s="11" t="s">
        <v>3554</v>
      </c>
      <c r="C28" s="11" t="s">
        <v>3555</v>
      </c>
      <c r="D28" s="11" t="s">
        <v>3556</v>
      </c>
      <c r="E28" s="11" t="s">
        <v>3557</v>
      </c>
      <c r="G28" s="11" t="str">
        <f>IFERROR(__xludf.DUMMYFUNCTION("GOOGLETRANSLATE(A28, ""en"", ""th"")"),"27")</f>
        <v>27</v>
      </c>
      <c r="H28" s="11" t="str">
        <f>IFERROR(__xludf.DUMMYFUNCTION("GOOGLETRANSLATE(B28, ""en"", ""am"")"),"ተቃዋሚዎ ብዙ ቁጥር ያላቸው ዘሮች ሊኖሩት ነው። ምን ላይ ማተኮር አለብህ?")</f>
        <v>ተቃዋሚዎ ብዙ ቁጥር ያላቸው ዘሮች ሊኖሩት ነው። ምን ላይ ማተኮር አለብህ?</v>
      </c>
      <c r="I28" s="11" t="str">
        <f>IFERROR(__xludf.DUMMYFUNCTION("GOOGLETRANSLATE(C28, ""en"", ""am"")"),"ሀ. የተያዙትን ዘሮችዎን ወደ መከላከያ ጉድጓዶች በማንቀሳቀስ ለማገድ ይሞክሩ። በምላሹ አንዳንድ ዘሮቻቸውን ለመያዝ ሞክሩ። ዘሮቹ ይቆዩ እና የተሻለ እድል ይጠብቁ. ጨዋታውን ለማዘግየት ሁሉንም ዘሮችዎን ወደ ቀሪዎቹ ቀዳዳዎች ይውሰዱ።")</f>
        <v>ሀ. የተያዙትን ዘሮችዎን ወደ መከላከያ ጉድጓዶች በማንቀሳቀስ ለማገድ ይሞክሩ። በምላሹ አንዳንድ ዘሮቻቸውን ለመያዝ ሞክሩ። ዘሮቹ ይቆዩ እና የተሻለ እድል ይጠብቁ. ጨዋታውን ለማዘግየት ሁሉንም ዘሮችዎን ወደ ቀሪዎቹ ቀዳዳዎች ይውሰዱ።</v>
      </c>
      <c r="J28" s="11" t="str">
        <f>IFERROR(__xludf.DUMMYFUNCTION("GOOGLETRANSLATE(D28, ""en"", ""am"")"),"ዘሮችዎን ወደ መከላከያ ጉድጓዶች በማንቀሳቀስ የተያዙትን ለማገድ ይሞክሩ.")</f>
        <v>ዘሮችዎን ወደ መከላከያ ጉድጓዶች በማንቀሳቀስ የተያዙትን ለማገድ ይሞክሩ.</v>
      </c>
      <c r="K28" s="11" t="str">
        <f>IFERROR(__xludf.DUMMYFUNCTION("GOOGLETRANSLATE(E28, ""en"", ""am"")"),"የእነሱን ቀረጻ ማገድ በጨዋታው ውስጥ የእርስዎን ጥቅም ሊጠብቅ ይችላል.")</f>
        <v>የእነሱን ቀረጻ ማገድ በጨዋታው ውስጥ የእርስዎን ጥቅም ሊጠብቅ ይችላል.</v>
      </c>
    </row>
    <row r="29" ht="22.5" customHeight="1">
      <c r="A29" s="10">
        <v>28.0</v>
      </c>
      <c r="B29" s="11" t="s">
        <v>3558</v>
      </c>
      <c r="C29" s="11" t="s">
        <v>3559</v>
      </c>
      <c r="D29" s="11" t="s">
        <v>3560</v>
      </c>
      <c r="E29" s="11" t="s">
        <v>3561</v>
      </c>
      <c r="G29" s="11" t="str">
        <f>IFERROR(__xludf.DUMMYFUNCTION("GOOGLETRANSLATE(A29, ""en"", ""th"")"),"28")</f>
        <v>28</v>
      </c>
      <c r="H29" s="11" t="str">
        <f>IFERROR(__xludf.DUMMYFUNCTION("GOOGLETRANSLATE(B29, ""en"", ""am"")"),"ጥቂት ዘሮች ብቻ ይቀራሉ፣ እና ተቃዋሚዎ ብዙ ዘሮች አሉት። የእርስዎ ስልት ምንድን ነው?")</f>
        <v>ጥቂት ዘሮች ብቻ ይቀራሉ፣ እና ተቃዋሚዎ ብዙ ዘሮች አሉት። የእርስዎ ስልት ምንድን ነው?</v>
      </c>
      <c r="I29" s="11" t="str">
        <f>IFERROR(__xludf.DUMMYFUNCTION("GOOGLETRANSLATE(C29, ""en"", ""am"")"),"ሀ. ስህተት እንድትሠራ የሚያስገድድ ወጥመድ ለማዘጋጀት ሞክር.B. ጉድጓዶችዎን ይጠብቁ እና ለረጅም ጊዜ ማገገም ሲ. ዘሮችን ወደ መጠለያ ቦታዎች ያንቀሳቅሱ እና አማራጮቻቸውን ይገድቡ.ዲ. ጥቅሞቻቸውን ለመቀነስ ዘሮቻቸውን ለመያዝ በጣም ይሞክሩ.")</f>
        <v>ሀ. ስህተት እንድትሠራ የሚያስገድድ ወጥመድ ለማዘጋጀት ሞክር.B. ጉድጓዶችዎን ይጠብቁ እና ለረጅም ጊዜ ማገገም ሲ. ዘሮችን ወደ መጠለያ ቦታዎች ያንቀሳቅሱ እና አማራጮቻቸውን ይገድቡ.ዲ. ጥቅሞቻቸውን ለመቀነስ ዘሮቻቸውን ለመያዝ በጣም ይሞክሩ.</v>
      </c>
      <c r="J29" s="11" t="str">
        <f>IFERROR(__xludf.DUMMYFUNCTION("GOOGLETRANSLATE(D29, ""en"", ""am"")"),"ስህተት እንድትሠራ የሚያስገድድ ወጥመድ ለማዘጋጀት ሞክር.")</f>
        <v>ስህተት እንድትሠራ የሚያስገድድ ወጥመድ ለማዘጋጀት ሞክር.</v>
      </c>
      <c r="K29" s="11" t="str">
        <f>IFERROR(__xludf.DUMMYFUNCTION("GOOGLETRANSLATE(E29, ""en"", ""am"")"),"ተቃዋሚዎን ወደ ወጥመድ ማስገደድ ፈጣን ድል ያስገኛል።")</f>
        <v>ተቃዋሚዎን ወደ ወጥመድ ማስገደድ ፈጣን ድል ያስገኛል።</v>
      </c>
    </row>
    <row r="30" ht="22.5" customHeight="1">
      <c r="A30" s="10">
        <v>29.0</v>
      </c>
      <c r="B30" s="11" t="s">
        <v>3562</v>
      </c>
      <c r="C30" s="11" t="s">
        <v>3563</v>
      </c>
      <c r="D30" s="11" t="s">
        <v>3564</v>
      </c>
      <c r="E30" s="11" t="s">
        <v>3565</v>
      </c>
      <c r="G30" s="11" t="str">
        <f>IFERROR(__xludf.DUMMYFUNCTION("GOOGLETRANSLATE(A30, ""en"", ""th"")"),"29")</f>
        <v>29</v>
      </c>
      <c r="H30" s="11" t="str">
        <f>IFERROR(__xludf.DUMMYFUNCTION("GOOGLETRANSLATE(B30, ""en"", ""am"")"),"ገና ዘር ወስደሃል፣ አሁን ግን ትንሽ ቀዳዳዎች ቀርተሃል። ቀጣዩ እርምጃዎ ምን መሆን አለበት?")</f>
        <v>ገና ዘር ወስደሃል፣ አሁን ግን ትንሽ ቀዳዳዎች ቀርተሃል። ቀጣዩ እርምጃዎ ምን መሆን አለበት?</v>
      </c>
      <c r="I30" s="11" t="str">
        <f>IFERROR(__xludf.DUMMYFUNCTION("GOOGLETRANSLATE(C30, ""en"", ""am"")"),"ሀ. ጨዋታውን ለመቀነስ ቀዳዳዎትን በመሙላት ላይ ያተኩሩ። የተቀሩትን ዘሮች እንዳይጣበቁ በጥንቃቄ ያንቀሳቅሱ. ተቃዋሚዎን ከጠባቂው ለመያዝ አስገራሚ እንቅስቃሴ ለማድረግ ይሞክሩ.ዲ. ጨዋታውን ለማመጣጠን ከተቃዋሚው ቀዳዳዎች በተቻለ መጠን ብዙ ዘሮችን ይያዙ።")</f>
        <v>ሀ. ጨዋታውን ለመቀነስ ቀዳዳዎትን በመሙላት ላይ ያተኩሩ። የተቀሩትን ዘሮች እንዳይጣበቁ በጥንቃቄ ያንቀሳቅሱ. ተቃዋሚዎን ከጠባቂው ለመያዝ አስገራሚ እንቅስቃሴ ለማድረግ ይሞክሩ.ዲ. ጨዋታውን ለማመጣጠን ከተቃዋሚው ቀዳዳዎች በተቻለ መጠን ብዙ ዘሮችን ይያዙ።</v>
      </c>
      <c r="J30" s="11" t="str">
        <f>IFERROR(__xludf.DUMMYFUNCTION("GOOGLETRANSLATE(D30, ""en"", ""am"")"),"የተቀሩትን ዘሮች እንዳይጣበቁ በጥንቃቄ ያንቀሳቅሱ.")</f>
        <v>የተቀሩትን ዘሮች እንዳይጣበቁ በጥንቃቄ ያንቀሳቅሱ.</v>
      </c>
      <c r="K30" s="11" t="str">
        <f>IFERROR(__xludf.DUMMYFUNCTION("GOOGLETRANSLATE(E30, ""en"", ""am"")"),"የቀሩት ዘሮችዎ ስልታዊ አቀማመጥ የተቃዋሚውን እንቅስቃሴ ይቀንሳል።")</f>
        <v>የቀሩት ዘሮችዎ ስልታዊ አቀማመጥ የተቃዋሚውን እንቅስቃሴ ይቀንሳል።</v>
      </c>
    </row>
    <row r="31" ht="22.5" customHeight="1">
      <c r="A31" s="10">
        <v>30.0</v>
      </c>
      <c r="B31" s="11" t="s">
        <v>3566</v>
      </c>
      <c r="C31" s="11" t="s">
        <v>3567</v>
      </c>
      <c r="D31" s="11" t="s">
        <v>3568</v>
      </c>
      <c r="E31" s="11" t="s">
        <v>3569</v>
      </c>
      <c r="G31" s="11" t="str">
        <f>IFERROR(__xludf.DUMMYFUNCTION("GOOGLETRANSLATE(A31, ""en"", ""th"")"),"30")</f>
        <v>30</v>
      </c>
      <c r="H31" s="11" t="str">
        <f>IFERROR(__xludf.DUMMYFUNCTION("GOOGLETRANSLATE(B31, ""en"", ""am"")"),"ተቃዋሚዎ ብዙ ቁጥር ያላቸውን ዘሮች ብቻ ነው የማረከው። እነሱን መቆጣጠር የምትችለው እንዴት ነው?")</f>
        <v>ተቃዋሚዎ ብዙ ቁጥር ያላቸውን ዘሮች ብቻ ነው የማረከው። እነሱን መቆጣጠር የምትችለው እንዴት ነው?</v>
      </c>
      <c r="I31" s="11" t="str">
        <f>IFERROR(__xludf.DUMMYFUNCTION("GOOGLETRANSLATE(C31, ""en"", ""am"")"),"ሀ. በጣም ተጋላጭ በሆኑ ጉድጓዶች ውስጥ ዘሮችን በመያዝ ላይ ያተኩሩ.B. የመከላከያ ቦታዎችን ለመፍጠር የተቀሩትን ዘሮች እንደገና ያዘጋጁ. መሃከለኛ ክፍሎቻቸውን ለመቆጣጠር በኃይል ይንቀሳቀሱ.ዲ. እስኪሳሳቱ ድረስ ይጠብቁ እና እሱን ይጠቀሙበት።")</f>
        <v>ሀ. በጣም ተጋላጭ በሆኑ ጉድጓዶች ውስጥ ዘሮችን በመያዝ ላይ ያተኩሩ.B. የመከላከያ ቦታዎችን ለመፍጠር የተቀሩትን ዘሮች እንደገና ያዘጋጁ. መሃከለኛ ክፍሎቻቸውን ለመቆጣጠር በኃይል ይንቀሳቀሱ.ዲ. እስኪሳሳቱ ድረስ ይጠብቁ እና እሱን ይጠቀሙበት።</v>
      </c>
      <c r="J31" s="11" t="str">
        <f>IFERROR(__xludf.DUMMYFUNCTION("GOOGLETRANSLATE(D31, ""en"", ""am"")"),"የመከላከያ ቦታዎችን ለመፍጠር የተቀሩትን ዘሮች እንደገና ያዘጋጁ.")</f>
        <v>የመከላከያ ቦታዎችን ለመፍጠር የተቀሩትን ዘሮች እንደገና ያዘጋጁ.</v>
      </c>
      <c r="K31" s="11" t="str">
        <f>IFERROR(__xludf.DUMMYFUNCTION("GOOGLETRANSLATE(E31, ""en"", ""am"")"),"ከሽንፈት በኋላ የሚደረግ የመከላከል ጨዋታ ጨዋታውን መልሶ ለመቆጣጠር ይረዳል።")</f>
        <v>ከሽንፈት በኋላ የሚደረግ የመከላከል ጨዋታ ጨዋታውን መልሶ ለመቆጣጠር ይረዳል።</v>
      </c>
    </row>
    <row r="32" ht="22.5" customHeight="1">
      <c r="A32" s="10">
        <v>31.0</v>
      </c>
      <c r="B32" s="11" t="s">
        <v>3570</v>
      </c>
      <c r="C32" s="11" t="s">
        <v>3571</v>
      </c>
      <c r="D32" s="11" t="s">
        <v>3572</v>
      </c>
      <c r="E32" s="11" t="s">
        <v>3573</v>
      </c>
      <c r="G32" s="11" t="str">
        <f>IFERROR(__xludf.DUMMYFUNCTION("GOOGLETRANSLATE(A32, ""en"", ""th"")"),"31")</f>
        <v>31</v>
      </c>
      <c r="H32" s="11" t="str">
        <f>IFERROR(__xludf.DUMMYFUNCTION("GOOGLETRANSLATE(B32, ""en"", ""am"")"),"የእርስዎ ዘሮች በአብዛኛው በመካከለኛው ቀዳዳዎች ውስጥ ናቸው, እና ተቃዋሚዎ የውጭውን ቀዳዳዎች እያጠቃ ነው. ምን ማድረግ አለቦት?")</f>
        <v>የእርስዎ ዘሮች በአብዛኛው በመካከለኛው ቀዳዳዎች ውስጥ ናቸው, እና ተቃዋሚዎ የውጭውን ቀዳዳዎች እያጠቃ ነው. ምን ማድረግ አለቦት?</v>
      </c>
      <c r="I32" s="11" t="str">
        <f>IFERROR(__xludf.DUMMYFUNCTION("GOOGLETRANSLATE(C32, ""en"", ""am"")"),"ሀ. ዘሮችዎን ወደ ውጫዊው ቀዳዳዎች ያንቀሳቅሱ እና ይከላከሉ. ስልታቸውን ለማዳከም ከጉድጓዳቸው ውስጥ ዘሮችን ያዙ። D ለመከላከል ዘሮችን በመካከለኛ ቀዳዳዎች ውስጥ በማስቀመጥ ላይ ያተኩሩ። እንቅስቃሴዎን በኃይል ወደ መካከለኛ ቀዳዳዎች ያዙሩት.")</f>
        <v>ሀ. ዘሮችዎን ወደ ውጫዊው ቀዳዳዎች ያንቀሳቅሱ እና ይከላከሉ. ስልታቸውን ለማዳከም ከጉድጓዳቸው ውስጥ ዘሮችን ያዙ። D ለመከላከል ዘሮችን በመካከለኛ ቀዳዳዎች ውስጥ በማስቀመጥ ላይ ያተኩሩ። እንቅስቃሴዎን በኃይል ወደ መካከለኛ ቀዳዳዎች ያዙሩት.</v>
      </c>
      <c r="J32" s="11" t="str">
        <f>IFERROR(__xludf.DUMMYFUNCTION("GOOGLETRANSLATE(D32, ""en"", ""am"")"),"ዘሮችዎን ወደ ውጫዊ ቀዳዳዎች ያንቀሳቅሱ እና ይከላከሉ.")</f>
        <v>ዘሮችዎን ወደ ውጫዊ ቀዳዳዎች ያንቀሳቅሱ እና ይከላከሉ.</v>
      </c>
      <c r="K32" s="11" t="str">
        <f>IFERROR(__xludf.DUMMYFUNCTION("GOOGLETRANSLATE(E32, ""en"", ""am"")"),"የውጭ ፍሳሽዎችን መከላከል ቦታዎን ለመጠበቅ ይረዳል.")</f>
        <v>የውጭ ፍሳሽዎችን መከላከል ቦታዎን ለመጠበቅ ይረዳል.</v>
      </c>
    </row>
    <row r="33" ht="22.5" customHeight="1">
      <c r="A33" s="10">
        <v>32.0</v>
      </c>
      <c r="B33" s="11" t="s">
        <v>3574</v>
      </c>
      <c r="C33" s="11" t="s">
        <v>3575</v>
      </c>
      <c r="D33" s="11" t="s">
        <v>3576</v>
      </c>
      <c r="E33" s="11" t="s">
        <v>3577</v>
      </c>
      <c r="G33" s="11" t="str">
        <f>IFERROR(__xludf.DUMMYFUNCTION("GOOGLETRANSLATE(A33, ""en"", ""th"")"),"32")</f>
        <v>32</v>
      </c>
      <c r="H33" s="11" t="str">
        <f>IFERROR(__xludf.DUMMYFUNCTION("GOOGLETRANSLATE(B33, ""en"", ""am"")"),"ጥቂት ዘሮች ያሉት አንድ ቀዳዳ ብቻ ነው የቀረው። የእርስዎ ስልት ምንድን ነው?")</f>
        <v>ጥቂት ዘሮች ያሉት አንድ ቀዳዳ ብቻ ነው የቀረው። የእርስዎ ስልት ምንድን ነው?</v>
      </c>
      <c r="I33" s="11" t="str">
        <f>IFERROR(__xludf.DUMMYFUNCTION("GOOGLETRANSLATE(C33, ""en"", ""am"")"),"ሀ. ለተሻለ አቀማመጥ የመጨረሻ ዘሮችዎን ወደ ሌሎች ጉድጓዶች ይውሰዱ። ተመልሶ እንዲመጣ ለማስገደድ ማንኛውንም የሚገኙ ዘሮችን ለመያዝ ይሞክሩ። በሚቀጥለው ዙር የተቃዋሚዎችን እንቅስቃሴ በመቀነስ ላይ ያተኩሩ.ዲ. ተቃዋሚዎ እስኪሳሳት ድረስ ይጠብቁ እና በዚህ መሠረት እርምጃ ይውሰዱ።")</f>
        <v>ሀ. ለተሻለ አቀማመጥ የመጨረሻ ዘሮችዎን ወደ ሌሎች ጉድጓዶች ይውሰዱ። ተመልሶ እንዲመጣ ለማስገደድ ማንኛውንም የሚገኙ ዘሮችን ለመያዝ ይሞክሩ። በሚቀጥለው ዙር የተቃዋሚዎችን እንቅስቃሴ በመቀነስ ላይ ያተኩሩ.ዲ. ተቃዋሚዎ እስኪሳሳት ድረስ ይጠብቁ እና በዚህ መሠረት እርምጃ ይውሰዱ።</v>
      </c>
      <c r="J33" s="11" t="str">
        <f>IFERROR(__xludf.DUMMYFUNCTION("GOOGLETRANSLATE(D33, ""en"", ""am"")"),"ለተሻለ አቀማመጥ የመጨረሻ ዘሮችዎን ወደ ሌሎች ጉድጓዶች ይውሰዱ።")</f>
        <v>ለተሻለ አቀማመጥ የመጨረሻ ዘሮችዎን ወደ ሌሎች ጉድጓዶች ይውሰዱ።</v>
      </c>
      <c r="K33" s="11" t="str">
        <f>IFERROR(__xludf.DUMMYFUNCTION("GOOGLETRANSLATE(E33, ""en"", ""am"")"),"የመጨረሻዎቹን ዘሮች ውጤታማ በሆነ መንገድ መጠቀም ተቃዋሚዎን ፍጥነት ለመቀነስ ይረዳል.")</f>
        <v>የመጨረሻዎቹን ዘሮች ውጤታማ በሆነ መንገድ መጠቀም ተቃዋሚዎን ፍጥነት ለመቀነስ ይረዳል.</v>
      </c>
    </row>
    <row r="34" ht="22.5" customHeight="1">
      <c r="A34" s="10">
        <v>33.0</v>
      </c>
      <c r="B34" s="11" t="s">
        <v>3578</v>
      </c>
      <c r="C34" s="11" t="s">
        <v>3579</v>
      </c>
      <c r="D34" s="11" t="s">
        <v>3580</v>
      </c>
      <c r="E34" s="11" t="s">
        <v>3581</v>
      </c>
      <c r="G34" s="11" t="str">
        <f>IFERROR(__xludf.DUMMYFUNCTION("GOOGLETRANSLATE(A34, ""en"", ""th"")"),"33")</f>
        <v>33</v>
      </c>
      <c r="H34" s="11" t="str">
        <f>IFERROR(__xludf.DUMMYFUNCTION("GOOGLETRANSLATE(B34, ""en"", ""am"")"),"ተቃዋሚዎ ብዙ ዘሮች አሉት, እና እርስዎ ጥቂት ብቻ ናቸው. የእርስዎ ትኩረት ምን መሆን አለበት?")</f>
        <v>ተቃዋሚዎ ብዙ ዘሮች አሉት, እና እርስዎ ጥቂት ብቻ ናቸው. የእርስዎ ትኩረት ምን መሆን አለበት?</v>
      </c>
      <c r="I34" s="11" t="str">
        <f>IFERROR(__xludf.DUMMYFUNCTION("GOOGLETRANSLATE(C34, ""en"", ""am"")"),"ሀ. ዘራችሁን በብዛት እንዲይዙ በማስቀመጥ ላይ ያተኩሩ። ጉድጓዶችዎን ይጠብቁ እና መክፈቻ እስኪመታ ይጠብቁ። ዘሮችዎን በኃይል ወደ በጣም ተጋላጭ ወደሆኑ ጉድጓዶች ያንቀሳቅሱ። ዘሮችዎን ወደ ተጠበቁ ቦታዎች በማስገባት ላይ ያተኩሩ.")</f>
        <v>ሀ. ዘራችሁን በብዛት እንዲይዙ በማስቀመጥ ላይ ያተኩሩ። ጉድጓዶችዎን ይጠብቁ እና መክፈቻ እስኪመታ ይጠብቁ። ዘሮችዎን በኃይል ወደ በጣም ተጋላጭ ወደሆኑ ጉድጓዶች ያንቀሳቅሱ። ዘሮችዎን ወደ ተጠበቁ ቦታዎች በማስገባት ላይ ያተኩሩ.</v>
      </c>
      <c r="J34" s="11" t="str">
        <f>IFERROR(__xludf.DUMMYFUNCTION("GOOGLETRANSLATE(D34, ""en"", ""am"")"),"ብዙዎችን ለመያዝ ዘሮችዎን በማስቀመጥ ላይ ያተኩሩ።")</f>
        <v>ብዙዎችን ለመያዝ ዘሮችዎን በማስቀመጥ ላይ ያተኩሩ።</v>
      </c>
      <c r="K34" s="11" t="str">
        <f>IFERROR(__xludf.DUMMYFUNCTION("GOOGLETRANSLATE(E34, ""en"", ""am"")"),"ዘሮችን በብቃት ማከም የመጫወቻ ሜዳውን እንኳን ይረዳል።")</f>
        <v>ዘሮችን በብቃት ማከም የመጫወቻ ሜዳውን እንኳን ይረዳል።</v>
      </c>
    </row>
    <row r="35" ht="22.5" customHeight="1">
      <c r="A35" s="10">
        <v>34.0</v>
      </c>
      <c r="B35" s="11" t="s">
        <v>3582</v>
      </c>
      <c r="C35" s="11" t="s">
        <v>3583</v>
      </c>
      <c r="D35" s="11" t="s">
        <v>3584</v>
      </c>
      <c r="E35" s="11" t="s">
        <v>3585</v>
      </c>
      <c r="G35" s="11" t="str">
        <f>IFERROR(__xludf.DUMMYFUNCTION("GOOGLETRANSLATE(A35, ""en"", ""th"")"),"34")</f>
        <v>34</v>
      </c>
      <c r="H35" s="11" t="str">
        <f>IFERROR(__xludf.DUMMYFUNCTION("GOOGLETRANSLATE(B35, ""en"", ""am"")"),"ብዙ ቁጥር ያላቸው ዘሮች ያሉት ጉድጓድ አለዎት, እና ተቃዋሚዎ ባዶ ጉድጓዶች ላይ እያተኮረ ነው. የእርስዎ እርምጃ ምንድን ነው?")</f>
        <v>ብዙ ቁጥር ያላቸው ዘሮች ያሉት ጉድጓድ አለዎት, እና ተቃዋሚዎ ባዶ ጉድጓዶች ላይ እያተኮረ ነው. የእርስዎ እርምጃ ምንድን ነው?</v>
      </c>
      <c r="I35" s="11" t="str">
        <f>IFERROR(__xludf.DUMMYFUNCTION("GOOGLETRANSLATE(C35, ""en"", ""am"")"),"ሀ. ዘሮችዎን ወደሚበቅሉበት ቦታ ያንቀሳቅሱ.B. ትልቁን ቀዳዳዎን ሳይበላሽ ያስቀምጡ እና የመከላከያ ቦታዎችን ያዘጋጁ. ተቃዋሚዎን ለማደናገር አንዳንድ ዘሮችን ወደ ባዶ ቀዳዳዎች ያስተላልፉ። ተቃዋሚዎ እንቅስቃሴ እስኪያደርግ ድረስ ይጠብቁ እና ከዚያ ምላሽ ይስጡ።")</f>
        <v>ሀ. ዘሮችዎን ወደሚበቅሉበት ቦታ ያንቀሳቅሱ.B. ትልቁን ቀዳዳዎን ሳይበላሽ ያስቀምጡ እና የመከላከያ ቦታዎችን ያዘጋጁ. ተቃዋሚዎን ለማደናገር አንዳንድ ዘሮችን ወደ ባዶ ቀዳዳዎች ያስተላልፉ። ተቃዋሚዎ እንቅስቃሴ እስኪያደርግ ድረስ ይጠብቁ እና ከዚያ ምላሽ ይስጡ።</v>
      </c>
      <c r="J35" s="11" t="str">
        <f>IFERROR(__xludf.DUMMYFUNCTION("GOOGLETRANSLATE(D35, ""en"", ""am"")"),"ዘሮችዎን ወደሚበቅሉበት ቦታ ያንቀሳቅሱ።")</f>
        <v>ዘሮችዎን ወደሚበቅሉበት ቦታ ያንቀሳቅሱ።</v>
      </c>
      <c r="K35" s="11" t="str">
        <f>IFERROR(__xludf.DUMMYFUNCTION("GOOGLETRANSLATE(E35, ""en"", ""am"")"),"የውድድሩ ስትራቴጂካዊ እንቅስቃሴ ተቃዋሚዎ እንቅስቃሴዎን ለመተንበይ አስቸጋሪ ያደርገዋል።")</f>
        <v>የውድድሩ ስትራቴጂካዊ እንቅስቃሴ ተቃዋሚዎ እንቅስቃሴዎን ለመተንበይ አስቸጋሪ ያደርገዋል።</v>
      </c>
    </row>
    <row r="36" ht="22.5" customHeight="1">
      <c r="A36" s="10">
        <v>35.0</v>
      </c>
      <c r="B36" s="11" t="s">
        <v>3586</v>
      </c>
      <c r="C36" s="11" t="s">
        <v>3587</v>
      </c>
      <c r="D36" s="11" t="s">
        <v>3588</v>
      </c>
      <c r="E36" s="11" t="s">
        <v>3589</v>
      </c>
      <c r="G36" s="11" t="str">
        <f>IFERROR(__xludf.DUMMYFUNCTION("GOOGLETRANSLATE(A36, ""en"", ""th"")"),"35")</f>
        <v>35</v>
      </c>
      <c r="H36" s="11" t="str">
        <f>IFERROR(__xludf.DUMMYFUNCTION("GOOGLETRANSLATE(B36, ""en"", ""am"")"),"ተቃዋሚዎ እርስዎ ሊደርሱበት በማይችሉት ጉድጓድ ውስጥ ዘሮችን አስቀምጠዋል። የእርስዎ ምርጥ ምላሽ ምንድን ነው?")</f>
        <v>ተቃዋሚዎ እርስዎ ሊደርሱበት በማይችሉት ጉድጓድ ውስጥ ዘሮችን አስቀምጠዋል። የእርስዎ ምርጥ ምላሽ ምንድን ነው?</v>
      </c>
      <c r="I36" s="11" t="str">
        <f>IFERROR(__xludf.DUMMYFUNCTION("GOOGLETRANSLATE(C36, ""en"", ""am"")"),"ሀ. በዘሮቹ ውስጥ እንዳይያዙ ወደሚገኝ ጉድጓድ ያንቀሳቅሷቸው.B. እንዴት ምላሽ እንደሚሰጡ ለማየት እስከሚቀጥለው ዙር ድረስ ይጠብቁ። እርስዎ ሊደርሱባቸው ወደሚችሉት ሌሎች ቀዳዳዎች ውስጥ ዘሮችን በማንቀሳቀስ ላይ ያተኩሩ. ሊደረስባቸው ከሚችሉ ሌሎች ጉድጓዶች ዘሮችን ለመያዝ ይሞክሩ.")</f>
        <v>ሀ. በዘሮቹ ውስጥ እንዳይያዙ ወደሚገኝ ጉድጓድ ያንቀሳቅሷቸው.B. እንዴት ምላሽ እንደሚሰጡ ለማየት እስከሚቀጥለው ዙር ድረስ ይጠብቁ። እርስዎ ሊደርሱባቸው ወደሚችሉት ሌሎች ቀዳዳዎች ውስጥ ዘሮችን በማንቀሳቀስ ላይ ያተኩሩ. ሊደረስባቸው ከሚችሉ ሌሎች ጉድጓዶች ዘሮችን ለመያዝ ይሞክሩ.</v>
      </c>
      <c r="J36" s="11" t="str">
        <f>IFERROR(__xludf.DUMMYFUNCTION("GOOGLETRANSLATE(D36, ""en"", ""am"")"),"በዘሮቹ ውስጥ እንዳይያዙ ወደ ተደራሽ ጉድጓድ ያንቀሳቅሷቸው.")</f>
        <v>በዘሮቹ ውስጥ እንዳይያዙ ወደ ተደራሽ ጉድጓድ ያንቀሳቅሷቸው.</v>
      </c>
      <c r="K36" s="11" t="str">
        <f>IFERROR(__xludf.DUMMYFUNCTION("GOOGLETRANSLATE(E36, ""en"", ""am"")"),"ሌሎች የውኃ ጉድጓዶችን እንዳይቆጣጠሩ መከልከል ምርጫቸውን ይገድባል.")</f>
        <v>ሌሎች የውኃ ጉድጓዶችን እንዳይቆጣጠሩ መከልከል ምርጫቸውን ይገድባል.</v>
      </c>
    </row>
    <row r="37" ht="22.5" customHeight="1">
      <c r="A37" s="10">
        <v>36.0</v>
      </c>
      <c r="B37" s="11" t="s">
        <v>3590</v>
      </c>
      <c r="C37" s="11" t="s">
        <v>3591</v>
      </c>
      <c r="D37" s="11" t="s">
        <v>3592</v>
      </c>
      <c r="E37" s="11" t="s">
        <v>3593</v>
      </c>
      <c r="G37" s="11" t="str">
        <f>IFERROR(__xludf.DUMMYFUNCTION("GOOGLETRANSLATE(A37, ""en"", ""th"")"),"36")</f>
        <v>36</v>
      </c>
      <c r="H37" s="11" t="str">
        <f>IFERROR(__xludf.DUMMYFUNCTION("GOOGLETRANSLATE(B37, ""en"", ""am"")"),"ተቃዋሚዎ እንቅስቃሴያቸውን ለማፋጠን እየሞከረ እንደሆነ ያስተውላሉ። ምን ታደርጋለህ፧")</f>
        <v>ተቃዋሚዎ እንቅስቃሴያቸውን ለማፋጠን እየሞከረ እንደሆነ ያስተውላሉ። ምን ታደርጋለህ፧</v>
      </c>
      <c r="I37" s="11" t="str">
        <f>IFERROR(__xludf.DUMMYFUNCTION("GOOGLETRANSLATE(C37, ""en"", ""am"")"),"ሀ. ቀጣዩን እንቅስቃሴዎቻቸውን ለመተንተን እና የመከላከያ እርምጃን ለማቀድ ጊዜዎን ይውሰዱ። በተቻለ መጠን ብዙ ዘሮችን ለመያዝ ሞክሩ. ሲ. ያልተጠበቁ ተግባራትን በማድረግ ትኩረታቸውን ይቀይሩ. የእራስዎን እንቅስቃሴ በማፋጠን እነሱን ለመቅደም ይሞክሩ.")</f>
        <v>ሀ. ቀጣዩን እንቅስቃሴዎቻቸውን ለመተንተን እና የመከላከያ እርምጃን ለማቀድ ጊዜዎን ይውሰዱ። በተቻለ መጠን ብዙ ዘሮችን ለመያዝ ሞክሩ. ሲ. ያልተጠበቁ ተግባራትን በማድረግ ትኩረታቸውን ይቀይሩ. የእራስዎን እንቅስቃሴ በማፋጠን እነሱን ለመቅደም ይሞክሩ.</v>
      </c>
      <c r="J37" s="11" t="str">
        <f>IFERROR(__xludf.DUMMYFUNCTION("GOOGLETRANSLATE(D37, ""en"", ""am"")"),"ቀጣዩን እንቅስቃሴዎቻቸውን ለመተንተን እና የመከላከያ እርምጃ ለማቀድ ጊዜዎን ይውሰዱ።")</f>
        <v>ቀጣዩን እንቅስቃሴዎቻቸውን ለመተንተን እና የመከላከያ እርምጃ ለማቀድ ጊዜዎን ይውሰዱ።</v>
      </c>
      <c r="K37" s="11" t="str">
        <f>IFERROR(__xludf.DUMMYFUNCTION("GOOGLETRANSLATE(E37, ""en"", ""am"")"),"የተቃዋሚዎን ስልት መተንተን ችኮላቸውን ለመቋቋም ይረዳዎታል።")</f>
        <v>የተቃዋሚዎን ስልት መተንተን ችኮላቸውን ለመቋቋም ይረዳዎታል።</v>
      </c>
    </row>
    <row r="38" ht="22.5" customHeight="1">
      <c r="A38" s="10">
        <v>37.0</v>
      </c>
      <c r="B38" s="11" t="s">
        <v>3594</v>
      </c>
      <c r="C38" s="11" t="s">
        <v>3595</v>
      </c>
      <c r="D38" s="11" t="s">
        <v>3596</v>
      </c>
      <c r="E38" s="11" t="s">
        <v>3597</v>
      </c>
      <c r="G38" s="11" t="str">
        <f>IFERROR(__xludf.DUMMYFUNCTION("GOOGLETRANSLATE(A38, ""en"", ""th"")"),"37")</f>
        <v>37</v>
      </c>
      <c r="H38" s="11" t="str">
        <f>IFERROR(__xludf.DUMMYFUNCTION("GOOGLETRANSLATE(B38, ""en"", ""am"")"),"ተቃዋሚዎ በመካከለኛው ጉድጓዶች ውስጥ ብዙ ወጥመዶችን አዘጋጅቷል. ምን ምላሽ መስጠት አለቦት?")</f>
        <v>ተቃዋሚዎ በመካከለኛው ጉድጓዶች ውስጥ ብዙ ወጥመዶችን አዘጋጅቷል. ምን ምላሽ መስጠት አለቦት?</v>
      </c>
      <c r="I38" s="11" t="str">
        <f>IFERROR(__xludf.DUMMYFUNCTION("GOOGLETRANSLATE(C38, ""en"", ""am"")"),"ሀ. ወጥመዶችን ለማስወገድ ከሌሎች ቀዳዳዎች ዘሮችን ለመያዝ ይሞክሩ.B. በጥንቃቄ ዘሮችን በማስቀመጥ ወጥመዳቸውን በመስበር ላይ ያተኩሩ። ዘሩን በፍጥነት ያንቀሳቅሱ እና እነሱን ለማሳሳት ይሞክሩ.ዲ. እስኪሳሳቱ ድረስ ይጠብቁ እና ከዚያ ይጠቀሙበት።")</f>
        <v>ሀ. ወጥመዶችን ለማስወገድ ከሌሎች ቀዳዳዎች ዘሮችን ለመያዝ ይሞክሩ.B. በጥንቃቄ ዘሮችን በማስቀመጥ ወጥመዳቸውን በመስበር ላይ ያተኩሩ። ዘሩን በፍጥነት ያንቀሳቅሱ እና እነሱን ለማሳሳት ይሞክሩ.ዲ. እስኪሳሳቱ ድረስ ይጠብቁ እና ከዚያ ይጠቀሙበት።</v>
      </c>
      <c r="J38" s="11" t="str">
        <f>IFERROR(__xludf.DUMMYFUNCTION("GOOGLETRANSLATE(D38, ""en"", ""am"")"),"በጥንቃቄ ዘሮችን በማስቀመጥ ወጥመዳቸውን በመስበር ላይ ያተኩሩ።")</f>
        <v>በጥንቃቄ ዘሮችን በማስቀመጥ ወጥመዳቸውን በመስበር ላይ ያተኩሩ።</v>
      </c>
      <c r="K38" s="11" t="str">
        <f>IFERROR(__xludf.DUMMYFUNCTION("GOOGLETRANSLATE(E38, ""en"", ""am"")"),"ወጥመዶችን መስበር ስልታቸውን ያበላሻል እና ጥቅም ይሰጥዎታል።")</f>
        <v>ወጥመዶችን መስበር ስልታቸውን ያበላሻል እና ጥቅም ይሰጥዎታል።</v>
      </c>
    </row>
    <row r="39" ht="22.5" customHeight="1">
      <c r="A39" s="10">
        <v>38.0</v>
      </c>
      <c r="B39" s="11" t="s">
        <v>3598</v>
      </c>
      <c r="C39" s="11" t="s">
        <v>3599</v>
      </c>
      <c r="D39" s="11" t="s">
        <v>3600</v>
      </c>
      <c r="E39" s="11" t="s">
        <v>3601</v>
      </c>
      <c r="G39" s="11" t="str">
        <f>IFERROR(__xludf.DUMMYFUNCTION("GOOGLETRANSLATE(A39, ""en"", ""th"")"),"38")</f>
        <v>38</v>
      </c>
      <c r="H39" s="11" t="str">
        <f>IFERROR(__xludf.DUMMYFUNCTION("GOOGLETRANSLATE(B39, ""en"", ""am"")"),"የመጨረሻዎ ቀሪ ቀዳዳዎች እያንዳንዳቸው አንድ ዘር ብቻ አላቸው, ነገር ግን ተቃዋሚዎ ለማሸነፍ ቅርብ ነው. ቀጣዩ እርምጃህ ምንድን ነው?")</f>
        <v>የመጨረሻዎ ቀሪ ቀዳዳዎች እያንዳንዳቸው አንድ ዘር ብቻ አላቸው, ነገር ግን ተቃዋሚዎ ለማሸነፍ ቅርብ ነው. ቀጣዩ እርምጃህ ምንድን ነው?</v>
      </c>
      <c r="I39" s="11" t="str">
        <f>IFERROR(__xludf.DUMMYFUNCTION("GOOGLETRANSLATE(C39, ""en"", ""am"")"),"ሀ. ጉድጓዶችዎን ለመጠበቅ ዘሮችዎን ያንቀሳቅሱ.B. የቀሩትን ዘሮቻቸው የአንተን ከመያዛቸው በፊት ያዝ። ዘሮችዎን ወደ ተጋላጭ ጉድጓዶች ለማንቀሳቀስ ይሞክሩ።D. በጥንቃቄ በማቀድ ጊዜዎን በተሻለ መንገድ በማግኘት ላይ ያተኩሩ።")</f>
        <v>ሀ. ጉድጓዶችዎን ለመጠበቅ ዘሮችዎን ያንቀሳቅሱ.B. የቀሩትን ዘሮቻቸው የአንተን ከመያዛቸው በፊት ያዝ። ዘሮችዎን ወደ ተጋላጭ ጉድጓዶች ለማንቀሳቀስ ይሞክሩ።D. በጥንቃቄ በማቀድ ጊዜዎን በተሻለ መንገድ በማግኘት ላይ ያተኩሩ።</v>
      </c>
      <c r="J39" s="11" t="str">
        <f>IFERROR(__xludf.DUMMYFUNCTION("GOOGLETRANSLATE(D39, ""en"", ""am"")"),"ጉድጓዶችዎን ለመጠበቅ ዘሮችዎን ያንቀሳቅሱ።")</f>
        <v>ጉድጓዶችዎን ለመጠበቅ ዘሮችዎን ያንቀሳቅሱ።</v>
      </c>
      <c r="K39" s="11" t="str">
        <f>IFERROR(__xludf.DUMMYFUNCTION("GOOGLETRANSLATE(E39, ""en"", ""am"")"),"ጉድጓዶችህን መከላከል የድል እድላቸውን ይቀንሳል።")</f>
        <v>ጉድጓዶችህን መከላከል የድል እድላቸውን ይቀንሳል።</v>
      </c>
    </row>
    <row r="40" ht="22.5" customHeight="1">
      <c r="A40" s="10">
        <v>39.0</v>
      </c>
      <c r="B40" s="11" t="s">
        <v>3602</v>
      </c>
      <c r="C40" s="11" t="s">
        <v>3603</v>
      </c>
      <c r="D40" s="11" t="s">
        <v>3604</v>
      </c>
      <c r="E40" s="11" t="s">
        <v>3605</v>
      </c>
      <c r="G40" s="11" t="str">
        <f>IFERROR(__xludf.DUMMYFUNCTION("GOOGLETRANSLATE(A40, ""en"", ""th"")"),"39")</f>
        <v>39</v>
      </c>
      <c r="H40" s="11" t="str">
        <f>IFERROR(__xludf.DUMMYFUNCTION("GOOGLETRANSLATE(B40, ""en"", ""am"")"),"አብዛኞቹን የተቃዋሚህን ዘሮች በተሳካ ሁኔታ ወስደሃል። ጨዋታውን እንዴት ያጠናቅቃሉ?")</f>
        <v>አብዛኞቹን የተቃዋሚህን ዘሮች በተሳካ ሁኔታ ወስደሃል። ጨዋታውን እንዴት ያጠናቅቃሉ?</v>
      </c>
      <c r="I40" s="11" t="str">
        <f>IFERROR(__xludf.DUMMYFUNCTION("GOOGLETRANSLATE(C40, ""en"", ""am"")"),"ሀ. የተቀሩትን ዘሮች በአስተማማኝ ቦታዎች በማቆየት ላይ ያተኩሩ. ተጨማሪ ማንሳት እንደማይቻል በማረጋገጥ ላይ አተኩር። ድሉን ለማረጋገጥ የቀሩትን ዘሮች አጥብቀው ይያዙ.ዲ. ጨዋታውን ለመጨረስ ዝግጁ እስኪሆኑ ድረስ ቀዳዳዎችዎን ይከላከሉ.")</f>
        <v>ሀ. የተቀሩትን ዘሮች በአስተማማኝ ቦታዎች በማቆየት ላይ ያተኩሩ. ተጨማሪ ማንሳት እንደማይቻል በማረጋገጥ ላይ አተኩር። ድሉን ለማረጋገጥ የቀሩትን ዘሮች አጥብቀው ይያዙ.ዲ. ጨዋታውን ለመጨረስ ዝግጁ እስኪሆኑ ድረስ ቀዳዳዎችዎን ይከላከሉ.</v>
      </c>
      <c r="J40" s="11" t="str">
        <f>IFERROR(__xludf.DUMMYFUNCTION("GOOGLETRANSLATE(D40, ""en"", ""am"")"),"ድሉን ለማረጋገጥ የቀሩትን ዘሮች አጥብቀው ይያዙ።")</f>
        <v>ድሉን ለማረጋገጥ የቀሩትን ዘሮች አጥብቀው ይያዙ።</v>
      </c>
      <c r="K40" s="11" t="str">
        <f>IFERROR(__xludf.DUMMYFUNCTION("GOOGLETRANSLATE(E40, ""en"", ""am"")"),"የመጨረሻዎቹን ዘሮች መያዝ ድልዎን ያረጋግጣል እና እድላቸውን ይገድባል።")</f>
        <v>የመጨረሻዎቹን ዘሮች መያዝ ድልዎን ያረጋግጣል እና እድላቸውን ይገድባል።</v>
      </c>
    </row>
    <row r="41" ht="22.5" customHeight="1">
      <c r="A41" s="10">
        <v>40.0</v>
      </c>
      <c r="B41" s="11" t="s">
        <v>3606</v>
      </c>
      <c r="C41" s="11" t="s">
        <v>3607</v>
      </c>
      <c r="D41" s="11" t="s">
        <v>3608</v>
      </c>
      <c r="E41" s="11" t="s">
        <v>3609</v>
      </c>
      <c r="G41" s="11" t="str">
        <f>IFERROR(__xludf.DUMMYFUNCTION("GOOGLETRANSLATE(A41, ""en"", ""th"")"),"40")</f>
        <v>40</v>
      </c>
      <c r="H41" s="11" t="str">
        <f>IFERROR(__xludf.DUMMYFUNCTION("GOOGLETRANSLATE(B41, ""en"", ""am"")"),"ተቃዋሚዎ ከድል አንድ እርምጃ እንዲርቅ የሚያደርግ እንቅስቃሴ አድርጓል። ምን ምላሽ ትሰጣለህ?")</f>
        <v>ተቃዋሚዎ ከድል አንድ እርምጃ እንዲርቅ የሚያደርግ እንቅስቃሴ አድርጓል። ምን ምላሽ ትሰጣለህ?</v>
      </c>
      <c r="I41" s="11" t="str">
        <f>IFERROR(__xludf.DUMMYFUNCTION("GOOGLETRANSLATE(C41, ""en"", ""am"")"),"ሀ. የተቀሩትን ዘሮች አጥብቀው ይያዙ.B. መንገዳቸውን ለመዝጋት ዘሮችዎን በስልት ያንቀሳቅሱ። እስኪሳሳቱ ድረስ ይጠብቁ እና እስኪጠቀሙበት ድረስ.ዲ. አንድን ሰው ወደ መጥፎ ባህሪ ለማስገደድ ወጥመድ ያዘጋጁ።")</f>
        <v>ሀ. የተቀሩትን ዘሮች አጥብቀው ይያዙ.B. መንገዳቸውን ለመዝጋት ዘሮችዎን በስልት ያንቀሳቅሱ። እስኪሳሳቱ ድረስ ይጠብቁ እና እስኪጠቀሙበት ድረስ.ዲ. አንድን ሰው ወደ መጥፎ ባህሪ ለማስገደድ ወጥመድ ያዘጋጁ።</v>
      </c>
      <c r="J41" s="11" t="str">
        <f>IFERROR(__xludf.DUMMYFUNCTION("GOOGLETRANSLATE(D41, ""en"", ""am"")"),"መንገዳቸውን ለመዝጋት ዘሮችዎን በስልት ያንቀሳቅሱ።")</f>
        <v>መንገዳቸውን ለመዝጋት ዘሮችዎን በስልት ያንቀሳቅሱ።</v>
      </c>
      <c r="K41" s="11" t="str">
        <f>IFERROR(__xludf.DUMMYFUNCTION("GOOGLETRANSLATE(E41, ""en"", ""am"")"),"የመጨረሻ እንቅስቃሴያቸውን ማገድ ድላቸውን ይከላከላል።")</f>
        <v>የመጨረሻ እንቅስቃሴያቸውን ማገድ ድላቸውን ይከላከላል።</v>
      </c>
    </row>
    <row r="42" ht="22.5" customHeight="1">
      <c r="A42" s="10">
        <v>41.0</v>
      </c>
      <c r="B42" s="11" t="s">
        <v>3610</v>
      </c>
      <c r="C42" s="11" t="s">
        <v>3611</v>
      </c>
      <c r="D42" s="11" t="s">
        <v>3612</v>
      </c>
      <c r="E42" s="11" t="s">
        <v>3613</v>
      </c>
      <c r="G42" s="11" t="str">
        <f>IFERROR(__xludf.DUMMYFUNCTION("GOOGLETRANSLATE(A42, ""en"", ""th"")"),"41")</f>
        <v>41</v>
      </c>
      <c r="H42" s="11" t="str">
        <f>IFERROR(__xludf.DUMMYFUNCTION("GOOGLETRANSLATE(B42, ""en"", ""am"")"),"ባላጋራህ ከአንተ ይልቅ ጉድጓዱ ውስጥ ብዙ ዘሮች አሉት። ምን ምላሽ መስጠት አለቦት?")</f>
        <v>ባላጋራህ ከአንተ ይልቅ ጉድጓዱ ውስጥ ብዙ ዘሮች አሉት። ምን ምላሽ መስጠት አለቦት?</v>
      </c>
      <c r="I42" s="11" t="str">
        <f>IFERROR(__xludf.DUMMYFUNCTION("GOOGLETRANSLATE(C42, ""en"", ""am"")"),"ሀ. ዘራቸውን በማጣራት ላይ ያተኩሩ.B. ዘሮችዎን በኃይል ወደ ጉድጓዱ ውስጥ ያንቀሳቅሱ. ቀዳዳዎችዎን ባዶ ለማድረግ ይሞክሩ እና እንቅስቃሴያቸውን ይቀንሱ። ዲ. እስኪሳሳቱ ድረስ ይጠብቁ እና እሱን ይጠቀሙበት።")</f>
        <v>ሀ. ዘራቸውን በማጣራት ላይ ያተኩሩ.B. ዘሮችዎን በኃይል ወደ ጉድጓዱ ውስጥ ያንቀሳቅሱ. ቀዳዳዎችዎን ባዶ ለማድረግ ይሞክሩ እና እንቅስቃሴያቸውን ይቀንሱ። ዲ. እስኪሳሳቱ ድረስ ይጠብቁ እና እሱን ይጠቀሙበት።</v>
      </c>
      <c r="J42" s="11" t="str">
        <f>IFERROR(__xludf.DUMMYFUNCTION("GOOGLETRANSLATE(D42, ""en"", ""am"")"),"ዘራቸውን በመቆጣጠር ላይ ያተኩሩ።")</f>
        <v>ዘራቸውን በመቆጣጠር ላይ ያተኩሩ።</v>
      </c>
      <c r="K42" s="11" t="str">
        <f>IFERROR(__xludf.DUMMYFUNCTION("GOOGLETRANSLATE(E42, ""en"", ""am"")"),"ዘሮችን ማንሳት ጨዋታውን እንደገና እንዲቆጣጠሩ እና ሚዛናዊ እንዲሆኑ ያስችልዎታል።")</f>
        <v>ዘሮችን ማንሳት ጨዋታውን እንደገና እንዲቆጣጠሩ እና ሚዛናዊ እንዲሆኑ ያስችልዎታል።</v>
      </c>
    </row>
    <row r="43" ht="22.5" customHeight="1">
      <c r="A43" s="10">
        <v>42.0</v>
      </c>
      <c r="B43" s="11" t="s">
        <v>3614</v>
      </c>
      <c r="C43" s="11" t="s">
        <v>3615</v>
      </c>
      <c r="D43" s="11" t="s">
        <v>3616</v>
      </c>
      <c r="E43" s="11" t="s">
        <v>3617</v>
      </c>
      <c r="G43" s="11" t="str">
        <f>IFERROR(__xludf.DUMMYFUNCTION("GOOGLETRANSLATE(A43, ""en"", ""th"")"),"42")</f>
        <v>42</v>
      </c>
      <c r="H43" s="11" t="str">
        <f>IFERROR(__xludf.DUMMYFUNCTION("GOOGLETRANSLATE(B43, ""en"", ""am"")"),"ብዙ ዘሮች ያሉት ጠንካራ አቋም አለዎት, ግን ጨዋታው ወደ ማብቂያው እየመጣ ነው. ምን ታደርጋለህ?")</f>
        <v>ብዙ ዘሮች ያሉት ጠንካራ አቋም አለዎት, ግን ጨዋታው ወደ ማብቂያው እየመጣ ነው. ምን ታደርጋለህ?</v>
      </c>
      <c r="I43" s="11" t="str">
        <f>IFERROR(__xludf.DUMMYFUNCTION("GOOGLETRANSLATE(C43, ""en"", ""am"")"),"ሀ. ቦታዎን ይከላከሉ እና ተቃዋሚዎ ማንኛውንም ዘር እንዳይይዝ ያድርጉ.B. ሁሉንም ሊሆኑ የሚችሉ ዘሮችን ለመያዝ ማጥቃትዎን ይቀጥሉ.ሲ. ዘሮችዎን በፍጥነት ወደ ቀዳዳዎ በማንቀሳቀስ ላይ ያተኩሩ.ዲ. ማንኛውንም አደገኛ እንቅስቃሴዎችን ያስወግዱ እና በመከላከል ይጫወቱ።")</f>
        <v>ሀ. ቦታዎን ይከላከሉ እና ተቃዋሚዎ ማንኛውንም ዘር እንዳይይዝ ያድርጉ.B. ሁሉንም ሊሆኑ የሚችሉ ዘሮችን ለመያዝ ማጥቃትዎን ይቀጥሉ.ሲ. ዘሮችዎን በፍጥነት ወደ ቀዳዳዎ በማንቀሳቀስ ላይ ያተኩሩ.ዲ. ማንኛውንም አደገኛ እንቅስቃሴዎችን ያስወግዱ እና በመከላከል ይጫወቱ።</v>
      </c>
      <c r="J43" s="11" t="str">
        <f>IFERROR(__xludf.DUMMYFUNCTION("GOOGLETRANSLATE(D43, ""en"", ""am"")"),"ቦታዎን ይከላከሉ እና ተቃዋሚዎ ማንኛውንም ዘር እንዳይይዝ ያድርጉ።")</f>
        <v>ቦታዎን ይከላከሉ እና ተቃዋሚዎ ማንኛውንም ዘር እንዳይይዝ ያድርጉ።</v>
      </c>
      <c r="K43" s="11" t="str">
        <f>IFERROR(__xludf.DUMMYFUNCTION("GOOGLETRANSLATE(E43, ""en"", ""am"")"),"ቦታዎን ማስጠበቅ የመጨረሻ ደቂቃ ኪሳራ አለመኖሩን ያረጋግጣል።")</f>
        <v>ቦታዎን ማስጠበቅ የመጨረሻ ደቂቃ ኪሳራ አለመኖሩን ያረጋግጣል።</v>
      </c>
    </row>
    <row r="44" ht="22.5" customHeight="1">
      <c r="A44" s="10">
        <v>43.0</v>
      </c>
      <c r="B44" s="11" t="s">
        <v>3618</v>
      </c>
      <c r="C44" s="11" t="s">
        <v>3619</v>
      </c>
      <c r="D44" s="11" t="s">
        <v>3620</v>
      </c>
      <c r="E44" s="11" t="s">
        <v>3621</v>
      </c>
      <c r="G44" s="11" t="str">
        <f>IFERROR(__xludf.DUMMYFUNCTION("GOOGLETRANSLATE(A44, ""en"", ""th"")"),"43")</f>
        <v>43</v>
      </c>
      <c r="H44" s="11" t="str">
        <f>IFERROR(__xludf.DUMMYFUNCTION("GOOGLETRANSLATE(B44, ""en"", ""am"")"),"እንቅስቃሴ እያለቀብህ ነው፣ ነገር ግን በጥቂት ጉድጓዶች ውስጥ ዘሮች አሉህ። የእርስዎ ስልት ምንድን ነው?")</f>
        <v>እንቅስቃሴ እያለቀብህ ነው፣ ነገር ግን በጥቂት ጉድጓዶች ውስጥ ዘሮች አሉህ። የእርስዎ ስልት ምንድን ነው?</v>
      </c>
      <c r="I44" s="11" t="str">
        <f>IFERROR(__xludf.DUMMYFUNCTION("GOOGLETRANSLATE(C44, ""en"", ""am"")"),"ሀ. ተቃዋሚዎን ወደ ወጥመድ የሚያስገድድ እንቅስቃሴ ለማዘጋጀት ይሞክሩ። መንገዳቸውን ለመዝጋት ዘሮችዎን እንደገና በማደራጀት ላይ ያተኩሩ። በፍጥነት ተንቀሳቀስ እና በሚቀጥለው ዙር ጥቅም ለመፍጠር ተስፋ አድርግ።ዲ. በመከላከያ ስትራቴጂ ለሚቀጥለው ተራዎ በመዘጋጀት ላይ ያተኩሩ።")</f>
        <v>ሀ. ተቃዋሚዎን ወደ ወጥመድ የሚያስገድድ እንቅስቃሴ ለማዘጋጀት ይሞክሩ። መንገዳቸውን ለመዝጋት ዘሮችዎን እንደገና በማደራጀት ላይ ያተኩሩ። በፍጥነት ተንቀሳቀስ እና በሚቀጥለው ዙር ጥቅም ለመፍጠር ተስፋ አድርግ።ዲ. በመከላከያ ስትራቴጂ ለሚቀጥለው ተራዎ በመዘጋጀት ላይ ያተኩሩ።</v>
      </c>
      <c r="J44" s="11" t="str">
        <f>IFERROR(__xludf.DUMMYFUNCTION("GOOGLETRANSLATE(D44, ""en"", ""am"")"),"ተፎካካሪዎ ወደ ወጥመድ እንዲገባ የሚያስገድድ እንቅስቃሴ ለማዘጋጀት ይሞክሩ።")</f>
        <v>ተፎካካሪዎ ወደ ወጥመድ እንዲገባ የሚያስገድድ እንቅስቃሴ ለማዘጋጀት ይሞክሩ።</v>
      </c>
      <c r="K44" s="11" t="str">
        <f>IFERROR(__xludf.DUMMYFUNCTION("GOOGLETRANSLATE(E44, ""en"", ""am"")"),"ወጥመዶችን ማዘጋጀት በነፃነት የመንቀሳቀስ ችሎታቸውን ይገድባል.")</f>
        <v>ወጥመዶችን ማዘጋጀት በነፃነት የመንቀሳቀስ ችሎታቸውን ይገድባል.</v>
      </c>
    </row>
    <row r="45" ht="22.5" customHeight="1">
      <c r="A45" s="10">
        <v>44.0</v>
      </c>
      <c r="B45" s="11" t="s">
        <v>3622</v>
      </c>
      <c r="C45" s="11" t="s">
        <v>3623</v>
      </c>
      <c r="D45" s="11" t="s">
        <v>3624</v>
      </c>
      <c r="E45" s="11" t="s">
        <v>3625</v>
      </c>
      <c r="G45" s="11" t="str">
        <f>IFERROR(__xludf.DUMMYFUNCTION("GOOGLETRANSLATE(A45, ""en"", ""th"")"),"44")</f>
        <v>44</v>
      </c>
      <c r="H45" s="11" t="str">
        <f>IFERROR(__xludf.DUMMYFUNCTION("GOOGLETRANSLATE(B45, ""en"", ""am"")"),"ተቃዋሚዎ ብዙ ቁጥር ያላቸውን ዘሮች ወስዷል። በቀጣይ ምን ላይ ማተኮር አለብህ?")</f>
        <v>ተቃዋሚዎ ብዙ ቁጥር ያላቸውን ዘሮች ወስዷል። በቀጣይ ምን ላይ ማተኮር አለብህ?</v>
      </c>
      <c r="I45" s="11" t="str">
        <f>IFERROR(__xludf.DUMMYFUNCTION("GOOGLETRANSLATE(C45, ""en"", ""am"")"),"ሀ. ብዙ ዘሮችን እንዳያገኙ በመከላከል ላይ ያተኩሩ.B. ለመመለስ በተቻለ መጠን ብዙ ዘሮችን ለመያዝ ይሞክሩ.ሲ. የቀሩትን ጉድጓዶችዎን ተጨማሪ እንዳያገኙ ይከላከሉ.ዲ. የተቀሩትን ዘሮች ለመያዝ ወጥመድ ያዘጋጁ.")</f>
        <v>ሀ. ብዙ ዘሮችን እንዳያገኙ በመከላከል ላይ ያተኩሩ.B. ለመመለስ በተቻለ መጠን ብዙ ዘሮችን ለመያዝ ይሞክሩ.ሲ. የቀሩትን ጉድጓዶችዎን ተጨማሪ እንዳያገኙ ይከላከሉ.ዲ. የተቀሩትን ዘሮች ለመያዝ ወጥመድ ያዘጋጁ.</v>
      </c>
      <c r="J45" s="11" t="str">
        <f>IFERROR(__xludf.DUMMYFUNCTION("GOOGLETRANSLATE(D45, ""en"", ""am"")"),"ብዙ ዘሮችን እንዳያገኙ በመከላከል ላይ ያተኩሩ.")</f>
        <v>ብዙ ዘሮችን እንዳያገኙ በመከላከል ላይ ያተኩሩ.</v>
      </c>
      <c r="K45" s="11" t="str">
        <f>IFERROR(__xludf.DUMMYFUNCTION("GOOGLETRANSLATE(E45, ""en"", ""am"")"),"እንቅስቃሴዎቻቸውን ማገድ እርስዎ እንዲደርሱባቸው እድል ይሰጥዎታል.")</f>
        <v>እንቅስቃሴዎቻቸውን ማገድ እርስዎ እንዲደርሱባቸው እድል ይሰጥዎታል.</v>
      </c>
    </row>
    <row r="46" ht="22.5" customHeight="1">
      <c r="A46" s="10">
        <v>45.0</v>
      </c>
      <c r="B46" s="11" t="s">
        <v>3626</v>
      </c>
      <c r="C46" s="11" t="s">
        <v>3627</v>
      </c>
      <c r="D46" s="11" t="s">
        <v>3628</v>
      </c>
      <c r="E46" s="11" t="s">
        <v>3629</v>
      </c>
      <c r="G46" s="11" t="str">
        <f>IFERROR(__xludf.DUMMYFUNCTION("GOOGLETRANSLATE(A46, ""en"", ""th"")"),"45")</f>
        <v>45</v>
      </c>
      <c r="H46" s="11" t="str">
        <f>IFERROR(__xludf.DUMMYFUNCTION("GOOGLETRANSLATE(B46, ""en"", ""am"")"),"ተቃዋሚዎ መካከለኛውን ቀዳዳዎች ይቆጣጠራል. ቀጣዩ እርምጃዎ ምን መሆን አለበት?")</f>
        <v>ተቃዋሚዎ መካከለኛውን ቀዳዳዎች ይቆጣጠራል. ቀጣዩ እርምጃዎ ምን መሆን አለበት?</v>
      </c>
      <c r="I46" s="11" t="str">
        <f>IFERROR(__xludf.DUMMYFUNCTION("GOOGLETRANSLATE(C46, ""en"", ""am"")"),"ሀ. ቁጥራቸውን ለመስበር ከጉድጓዳቸው ውስጥ ዘሮችን ይያዙ. ዘሮችን ወደ መካከለኛ ቀዳዳዎች ያንቀሳቅሱ እና እድገታቸውን ይቆጣጠሩ.ሲ. እንቅስቃሴያቸውን የሚገታበት የመከላከያ ስልት ይቅረጹ.ዲ. መጀመሪያ እንዲንቀሳቀሱ ለማስገደድ ጉድጓዶችዎን ባዶ በማድረግ ላይ ያተኩሩ።")</f>
        <v>ሀ. ቁጥራቸውን ለመስበር ከጉድጓዳቸው ውስጥ ዘሮችን ይያዙ. ዘሮችን ወደ መካከለኛ ቀዳዳዎች ያንቀሳቅሱ እና እድገታቸውን ይቆጣጠሩ.ሲ. እንቅስቃሴያቸውን የሚገታበት የመከላከያ ስልት ይቅረጹ.ዲ. መጀመሪያ እንዲንቀሳቀሱ ለማስገደድ ጉድጓዶችዎን ባዶ በማድረግ ላይ ያተኩሩ።</v>
      </c>
      <c r="J46" s="11" t="str">
        <f>IFERROR(__xludf.DUMMYFUNCTION("GOOGLETRANSLATE(D46, ""en"", ""am"")"),"ቁጥራቸውን ለማጥፋት ከጉድጓዳቸው ውስጥ ዘሮችን ይያዙ.")</f>
        <v>ቁጥራቸውን ለማጥፋት ከጉድጓዳቸው ውስጥ ዘሮችን ይያዙ.</v>
      </c>
      <c r="K46" s="11" t="str">
        <f>IFERROR(__xludf.DUMMYFUNCTION("GOOGLETRANSLATE(E46, ""en"", ""am"")"),"የመካከለኛው ጉድጓዶች ቁጥጥር መስበር ስልታቸውን ያበላሻል።")</f>
        <v>የመካከለኛው ጉድጓዶች ቁጥጥር መስበር ስልታቸውን ያበላሻል።</v>
      </c>
    </row>
    <row r="47" ht="22.5" customHeight="1">
      <c r="A47" s="10">
        <v>46.0</v>
      </c>
      <c r="B47" s="11" t="s">
        <v>3630</v>
      </c>
      <c r="C47" s="11" t="s">
        <v>3631</v>
      </c>
      <c r="D47" s="11" t="s">
        <v>3632</v>
      </c>
      <c r="E47" s="11" t="s">
        <v>3633</v>
      </c>
      <c r="G47" s="11" t="str">
        <f>IFERROR(__xludf.DUMMYFUNCTION("GOOGLETRANSLATE(A47, ""en"", ""th"")"),"46")</f>
        <v>46</v>
      </c>
      <c r="H47" s="11" t="str">
        <f>IFERROR(__xludf.DUMMYFUNCTION("GOOGLETRANSLATE(B47, ""en"", ""am"")"),"ከዘሮች ጋር አንድ ቀዳዳ ብቻ ነው ያለህ, እና ተቃዋሚው ብዙ አለው. የእርስዎ ስልት ምንድን ነው?")</f>
        <v>ከዘሮች ጋር አንድ ቀዳዳ ብቻ ነው ያለህ, እና ተቃዋሚው ብዙ አለው. የእርስዎ ስልት ምንድን ነው?</v>
      </c>
      <c r="I47" s="11" t="str">
        <f>IFERROR(__xludf.DUMMYFUNCTION("GOOGLETRANSLATE(C47, ""en"", ""am"")"),"ሀ. የቀረውን ቀዳዳ በመከላከል ላይ ያተኩሩ እና ስህተቶችን ይመልከቱ.B. ዘሮቹ በውጫዊ ጉድጓዶች ውስጥ በጥብቅ ያስቀምጡ. አንድን ሰው ወደ መጥፎ ባህሪ ለማስገደድ ወጥመድ ያዘጋጁ። ዲ. እንቅስቃሴዎቻቸውን ለማገድ ሁሉንም ዘሮችዎን ወደ መከላከያ ቦታዎች ይውሰዱ።")</f>
        <v>ሀ. የቀረውን ቀዳዳ በመከላከል ላይ ያተኩሩ እና ስህተቶችን ይመልከቱ.B. ዘሮቹ በውጫዊ ጉድጓዶች ውስጥ በጥብቅ ያስቀምጡ. አንድን ሰው ወደ መጥፎ ባህሪ ለማስገደድ ወጥመድ ያዘጋጁ። ዲ. እንቅስቃሴዎቻቸውን ለማገድ ሁሉንም ዘሮችዎን ወደ መከላከያ ቦታዎች ይውሰዱ።</v>
      </c>
      <c r="J47" s="11" t="str">
        <f>IFERROR(__xludf.DUMMYFUNCTION("GOOGLETRANSLATE(D47, ""en"", ""am"")"),"የቀረውን ቀዳዳ በመከላከል ላይ ያተኩሩ እና ስህተቶችን ይመልከቱ.")</f>
        <v>የቀረውን ቀዳዳ በመከላከል ላይ ያተኩሩ እና ስህተቶችን ይመልከቱ.</v>
      </c>
      <c r="K47" s="11" t="str">
        <f>IFERROR(__xludf.DUMMYFUNCTION("GOOGLETRANSLATE(E47, ""en"", ""am"")"),"የመጨረሻውን ቀዳዳዎን መጠበቅ ዘሮችዎ እንዳይያዙ ይከላከላል.")</f>
        <v>የመጨረሻውን ቀዳዳዎን መጠበቅ ዘሮችዎ እንዳይያዙ ይከላከላል.</v>
      </c>
    </row>
    <row r="48" ht="22.5" customHeight="1">
      <c r="A48" s="10">
        <v>47.0</v>
      </c>
      <c r="B48" s="11" t="s">
        <v>3634</v>
      </c>
      <c r="C48" s="11" t="s">
        <v>3635</v>
      </c>
      <c r="D48" s="11" t="s">
        <v>3636</v>
      </c>
      <c r="E48" s="11" t="s">
        <v>3637</v>
      </c>
      <c r="G48" s="11" t="str">
        <f>IFERROR(__xludf.DUMMYFUNCTION("GOOGLETRANSLATE(A48, ""en"", ""th"")"),"47")</f>
        <v>47</v>
      </c>
      <c r="H48" s="11" t="str">
        <f>IFERROR(__xludf.DUMMYFUNCTION("GOOGLETRANSLATE(B48, ""en"", ""am"")"),"ጥቂት ዘሮች ይቀሩሃል፣ እና ተቃዋሚህ ብዙ አለው። የእርስዎ ምርጥ ስልት ምንድን ነው?")</f>
        <v>ጥቂት ዘሮች ይቀሩሃል፣ እና ተቃዋሚህ ብዙ አለው። የእርስዎ ምርጥ ስልት ምንድን ነው?</v>
      </c>
      <c r="I48" s="11" t="str">
        <f>IFERROR(__xludf.DUMMYFUNCTION("GOOGLETRANSLATE(C48, ""en"", ""am"")"),"ሀ. ጨዋታውን ለማመጣጠን ዘራቸውን በመያዝ ላይ ያተኩሩ። ወጥመድ ለማዘጋጀት ይሞክሩ እና ስህተት እንዲሠሩ ያስገድዷቸው። ቀዳዳዎችዎን ይጠብቁ እና ለመምታት እድሉን ይጠብቁ.ዲ. በጣም ደካማ የሆነውን ጉድጓድ ለማጥቃት ዘሮችዎን በብርቱ ያንቀሳቅሱ.")</f>
        <v>ሀ. ጨዋታውን ለማመጣጠን ዘራቸውን በመያዝ ላይ ያተኩሩ። ወጥመድ ለማዘጋጀት ይሞክሩ እና ስህተት እንዲሠሩ ያስገድዷቸው። ቀዳዳዎችዎን ይጠብቁ እና ለመምታት እድሉን ይጠብቁ.ዲ. በጣም ደካማ የሆነውን ጉድጓድ ለማጥቃት ዘሮችዎን በብርቱ ያንቀሳቅሱ.</v>
      </c>
      <c r="J48" s="11" t="str">
        <f>IFERROR(__xludf.DUMMYFUNCTION("GOOGLETRANSLATE(D48, ""en"", ""am"")"),"ጨዋታውን ለማመጣጠን ዘራቸውን በመያዝ ላይ ያተኩሩ።")</f>
        <v>ጨዋታውን ለማመጣጠን ዘራቸውን በመያዝ ላይ ያተኩሩ።</v>
      </c>
      <c r="K48" s="11" t="str">
        <f>IFERROR(__xludf.DUMMYFUNCTION("GOOGLETRANSLATE(E48, ""en"", ""am"")"),"ዘራቸውን ማንሳት ጨዋታውን ለእርስዎ ሞገስ እንዲለውጥ ይረዳል።")</f>
        <v>ዘራቸውን ማንሳት ጨዋታውን ለእርስዎ ሞገስ እንዲለውጥ ይረዳል።</v>
      </c>
    </row>
    <row r="49" ht="22.5" customHeight="1">
      <c r="A49" s="10">
        <v>48.0</v>
      </c>
      <c r="B49" s="11" t="s">
        <v>3638</v>
      </c>
      <c r="C49" s="11" t="s">
        <v>3639</v>
      </c>
      <c r="D49" s="11" t="s">
        <v>3640</v>
      </c>
      <c r="E49" s="11" t="s">
        <v>3641</v>
      </c>
      <c r="G49" s="11" t="str">
        <f>IFERROR(__xludf.DUMMYFUNCTION("GOOGLETRANSLATE(A49, ""en"", ""th"")"),"48")</f>
        <v>48</v>
      </c>
      <c r="H49" s="11" t="str">
        <f>IFERROR(__xludf.DUMMYFUNCTION("GOOGLETRANSLATE(B49, ""en"", ""am"")"),"ተቃዋሚዎ ዘራቸውን ብዙ ባዶ ቦታዎች ባለው ጉድጓድ ውስጥ አስቀምጠዋል። ምን ማድረግ አለቦት?")</f>
        <v>ተቃዋሚዎ ዘራቸውን ብዙ ባዶ ቦታዎች ባለው ጉድጓድ ውስጥ አስቀምጠዋል። ምን ማድረግ አለቦት?</v>
      </c>
      <c r="I49" s="11" t="str">
        <f>IFERROR(__xludf.DUMMYFUNCTION("GOOGLETRANSLATE(C49, ""en"", ""am"")"),"ሀ. ዘሮችዎን ወደዚያ ጉድጓድ ውስጥ ያንቀሳቅሱ እና ዘራቸውን ይያዙ.B. አዲስ ወጥመድ ለመፍጠር ዘሮችን ወደ ሌላ ጉድጓድ ያንቀሳቅሱ። ጫና ለመፍጠር ውጫዊ ቀዳዳቸውን አጥብቀው ያጠቃሉ.ዲ. የመከላከል ጨዋታ ያዘጋጁ እና ማንኛውንም አደጋ ከመውሰድ ይቆጠቡ።")</f>
        <v>ሀ. ዘሮችዎን ወደዚያ ጉድጓድ ውስጥ ያንቀሳቅሱ እና ዘራቸውን ይያዙ.B. አዲስ ወጥመድ ለመፍጠር ዘሮችን ወደ ሌላ ጉድጓድ ያንቀሳቅሱ። ጫና ለመፍጠር ውጫዊ ቀዳዳቸውን አጥብቀው ያጠቃሉ.ዲ. የመከላከል ጨዋታ ያዘጋጁ እና ማንኛውንም አደጋ ከመውሰድ ይቆጠቡ።</v>
      </c>
      <c r="J49" s="11" t="str">
        <f>IFERROR(__xludf.DUMMYFUNCTION("GOOGLETRANSLATE(D49, ""en"", ""am"")"),"ዘሮችዎን ወደዚያ ጉድጓድ ያንቀሳቅሱ እና ዘራቸውን ይያዙ.")</f>
        <v>ዘሮችዎን ወደዚያ ጉድጓድ ያንቀሳቅሱ እና ዘራቸውን ይያዙ.</v>
      </c>
      <c r="K49" s="11" t="str">
        <f>IFERROR(__xludf.DUMMYFUNCTION("GOOGLETRANSLATE(E49, ""en"", ""am"")"),"ከተጋላጭ ጉድጓድ ውስጥ ዘሮችን ማቆየት ጠቃሚነታቸውን ይቀንሳል.")</f>
        <v>ከተጋላጭ ጉድጓድ ውስጥ ዘሮችን ማቆየት ጠቃሚነታቸውን ይቀንሳል.</v>
      </c>
    </row>
    <row r="50" ht="22.5" customHeight="1">
      <c r="A50" s="10">
        <v>49.0</v>
      </c>
      <c r="B50" s="11" t="s">
        <v>3642</v>
      </c>
      <c r="C50" s="11" t="s">
        <v>3643</v>
      </c>
      <c r="D50" s="11" t="s">
        <v>3644</v>
      </c>
      <c r="E50" s="11" t="s">
        <v>3645</v>
      </c>
      <c r="G50" s="11" t="str">
        <f>IFERROR(__xludf.DUMMYFUNCTION("GOOGLETRANSLATE(A50, ""en"", ""th"")"),"49")</f>
        <v>49</v>
      </c>
      <c r="H50" s="11" t="str">
        <f>IFERROR(__xludf.DUMMYFUNCTION("GOOGLETRANSLATE(B50, ""en"", ""am"")"),"ተቃዋሚዎ ትልቁን ጉድጓድ አደጋ ላይ የሚጥል እንቅስቃሴ አድርጓል። ምን ታደርጋለህ?")</f>
        <v>ተቃዋሚዎ ትልቁን ጉድጓድ አደጋ ላይ የሚጥል እንቅስቃሴ አድርጓል። ምን ታደርጋለህ?</v>
      </c>
      <c r="I50" s="11" t="str">
        <f>IFERROR(__xludf.DUMMYFUNCTION("GOOGLETRANSLATE(C50, ""en"", ""am"")"),"A. ጥቅም ለማግኘት ከትልቅ ጉድጓድ ውስጥ ዘሮችን ይያዙ.B. ዘሮችን ላለማጣት የራስዎን ጉድጓዶች በመጠበቅ ላይ ያተኩሩ። ዘሮችን ወደ መጠለያ ቦታዎች ይውሰዱ እና ስህተቶችን ይመልከቱ.ዲ. ትኩረታቸውን ለማሰራጨት ሌሎች ጉድጓዶቻቸውን ያጠቁ።")</f>
        <v>A. ጥቅም ለማግኘት ከትልቅ ጉድጓድ ውስጥ ዘሮችን ይያዙ.B. ዘሮችን ላለማጣት የራስዎን ጉድጓዶች በመጠበቅ ላይ ያተኩሩ። ዘሮችን ወደ መጠለያ ቦታዎች ይውሰዱ እና ስህተቶችን ይመልከቱ.ዲ. ትኩረታቸውን ለማሰራጨት ሌሎች ጉድጓዶቻቸውን ያጠቁ።</v>
      </c>
      <c r="J50" s="11" t="str">
        <f>IFERROR(__xludf.DUMMYFUNCTION("GOOGLETRANSLATE(D50, ""en"", ""am"")"),"ጥቅም ለማግኘት ከትልቅ ጉድጓድ ውስጥ ዘሮችን ይያዙ.")</f>
        <v>ጥቅም ለማግኘት ከትልቅ ጉድጓድ ውስጥ ዘሮችን ይያዙ.</v>
      </c>
      <c r="K50" s="11" t="str">
        <f>IFERROR(__xludf.DUMMYFUNCTION("GOOGLETRANSLATE(E50, ""en"", ""am"")"),"ትልቁን ቀዳዳቸውን ማነጣጠር ትልቅ ጥቅም ይሰጥዎታል.")</f>
        <v>ትልቁን ቀዳዳቸውን ማነጣጠር ትልቅ ጥቅም ይሰጥዎታል.</v>
      </c>
    </row>
    <row r="51" ht="22.5" customHeight="1">
      <c r="A51" s="10">
        <v>50.0</v>
      </c>
      <c r="B51" s="11" t="s">
        <v>3646</v>
      </c>
      <c r="C51" s="11" t="s">
        <v>3647</v>
      </c>
      <c r="D51" s="11" t="s">
        <v>3648</v>
      </c>
      <c r="E51" s="11" t="s">
        <v>3649</v>
      </c>
      <c r="G51" s="11" t="str">
        <f>IFERROR(__xludf.DUMMYFUNCTION("GOOGLETRANSLATE(A51, ""en"", ""th"")"),"50")</f>
        <v>50</v>
      </c>
      <c r="H51" s="11" t="str">
        <f>IFERROR(__xludf.DUMMYFUNCTION("GOOGLETRANSLATE(B51, ""en"", ""am"")"),"ጥቂት ዘሮች ሲቀሩ ጥብቅ ቦታ ላይ ነዎት። የጨዋታውን ቁጥጥር እንዴት ይቀጥላሉ?")</f>
        <v>ጥቂት ዘሮች ሲቀሩ ጥብቅ ቦታ ላይ ነዎት። የጨዋታውን ቁጥጥር እንዴት ይቀጥላሉ?</v>
      </c>
      <c r="I51" s="11" t="str">
        <f>IFERROR(__xludf.DUMMYFUNCTION("GOOGLETRANSLATE(C51, ""en"", ""am"")"),"ሀ. ተቃዋሚዎ ዘርዎን እንዳይይዝ በመከላከል ላይ ያተኩሩ.B. የተቃዋሚውን ተጋላጭ ቦታዎች ዒላማ ያድርጉ። D ለመቆጣጠር ዘሮችዎን ወደ ውጫዊ ጉድጓዶች ይውሰዱ። ተቃዋሚዎ መጀመሪያ እንዲንቀሳቀስ የሚያስገድድ መልሶ ማጥቃት ያዘጋጁ።")</f>
        <v>ሀ. ተቃዋሚዎ ዘርዎን እንዳይይዝ በመከላከል ላይ ያተኩሩ.B. የተቃዋሚውን ተጋላጭ ቦታዎች ዒላማ ያድርጉ። D ለመቆጣጠር ዘሮችዎን ወደ ውጫዊ ጉድጓዶች ይውሰዱ። ተቃዋሚዎ መጀመሪያ እንዲንቀሳቀስ የሚያስገድድ መልሶ ማጥቃት ያዘጋጁ።</v>
      </c>
      <c r="J51" s="11" t="str">
        <f>IFERROR(__xludf.DUMMYFUNCTION("GOOGLETRANSLATE(D51, ""en"", ""am"")"),"ተቃዋሚው ዘርህን እንዳይይዝ በመከላከል ላይ አተኩር።")</f>
        <v>ተቃዋሚው ዘርህን እንዳይይዝ በመከላከል ላይ አተኩር።</v>
      </c>
      <c r="K51" s="11" t="str">
        <f>IFERROR(__xludf.DUMMYFUNCTION("GOOGLETRANSLATE(E51, ""en"", ""am"")"),"እንቅስቃሴያቸውን ማገድ ለድጋሚ ጨዋታ ዕድሎችን ይፈጥራል።")</f>
        <v>እንቅስቃሴያቸውን ማገድ ለድጋሚ ጨዋታ ዕድሎችን ይፈጥራል።</v>
      </c>
    </row>
    <row r="52" ht="22.5" customHeight="1">
      <c r="A52" s="10">
        <v>51.0</v>
      </c>
      <c r="B52" s="11" t="s">
        <v>3650</v>
      </c>
      <c r="C52" s="11" t="s">
        <v>3651</v>
      </c>
      <c r="D52" s="11" t="s">
        <v>3652</v>
      </c>
      <c r="E52" s="11" t="s">
        <v>3653</v>
      </c>
      <c r="G52" s="11" t="str">
        <f>IFERROR(__xludf.DUMMYFUNCTION("GOOGLETRANSLATE(A52, ""en"", ""th"")"),"51")</f>
        <v>51</v>
      </c>
      <c r="H52" s="11" t="str">
        <f>IFERROR(__xludf.DUMMYFUNCTION("GOOGLETRANSLATE(B52, ""en"", ""am"")"),"ተቃዋሚዎ ጥቂት ዘሮች ቀርተዋል, እና ብዙ አለዎት. ቀጥሎ ምን ማድረግ አለቦት?")</f>
        <v>ተቃዋሚዎ ጥቂት ዘሮች ቀርተዋል, እና ብዙ አለዎት. ቀጥሎ ምን ማድረግ አለቦት?</v>
      </c>
      <c r="I52" s="11" t="str">
        <f>IFERROR(__xludf.DUMMYFUNCTION("GOOGLETRANSLATE(C52, ""en"", ""am"")"),"ሀ. ጨዋታውን ለመጨረስ የቀሩትን ዘሮች ያዙ.B. ጉድጓዶችዎን ይጠብቁ እና ከማንኛውም አደገኛ እንቅስቃሴዎች ያስወግዱ.ሲ. ማሸነፍዎን ለማረጋገጥ ዘሮችን መልቀምዎን ይቀጥሉ።ዲ. ዘሮችዎን ወደ የተጠበቁ ቦታዎች ይውሰዱ እና ስህተቶችን ይመልከቱ።")</f>
        <v>ሀ. ጨዋታውን ለመጨረስ የቀሩትን ዘሮች ያዙ.B. ጉድጓዶችዎን ይጠብቁ እና ከማንኛውም አደገኛ እንቅስቃሴዎች ያስወግዱ.ሲ. ማሸነፍዎን ለማረጋገጥ ዘሮችን መልቀምዎን ይቀጥሉ።ዲ. ዘሮችዎን ወደ የተጠበቁ ቦታዎች ይውሰዱ እና ስህተቶችን ይመልከቱ።</v>
      </c>
      <c r="J52" s="11" t="str">
        <f>IFERROR(__xludf.DUMMYFUNCTION("GOOGLETRANSLATE(D52, ""en"", ""am"")"),"ጨዋታውን ለመጨረስ የቀሩትን ዘሮች ይያዙ።")</f>
        <v>ጨዋታውን ለመጨረስ የቀሩትን ዘሮች ይያዙ።</v>
      </c>
      <c r="K52" s="11" t="str">
        <f>IFERROR(__xludf.DUMMYFUNCTION("GOOGLETRANSLATE(E52, ""en"", ""am"")"),"የመጨረሻውን ውድድር ማጠናቀቅ ለድልዎ ዋስትና ይሰጣል.")</f>
        <v>የመጨረሻውን ውድድር ማጠናቀቅ ለድልዎ ዋስትና ይሰጣል.</v>
      </c>
    </row>
    <row r="53" ht="22.5" customHeight="1">
      <c r="A53" s="10">
        <v>52.0</v>
      </c>
      <c r="B53" s="11" t="s">
        <v>3654</v>
      </c>
      <c r="C53" s="11" t="s">
        <v>3655</v>
      </c>
      <c r="D53" s="11" t="s">
        <v>3656</v>
      </c>
      <c r="E53" s="11" t="s">
        <v>3657</v>
      </c>
      <c r="G53" s="11" t="str">
        <f>IFERROR(__xludf.DUMMYFUNCTION("GOOGLETRANSLATE(A53, ""en"", ""th"")"),"52")</f>
        <v>52</v>
      </c>
      <c r="H53" s="11" t="str">
        <f>IFERROR(__xludf.DUMMYFUNCTION("GOOGLETRANSLATE(B53, ""en"", ""am"")"),"ለተቃዋሚዎ ብዙ ዘር ያለው ቀዳዳ ልታጣ ነው። ምን ታደርጋለህ?")</f>
        <v>ለተቃዋሚዎ ብዙ ዘር ያለው ቀዳዳ ልታጣ ነው። ምን ታደርጋለህ?</v>
      </c>
      <c r="I53" s="11" t="str">
        <f>IFERROR(__xludf.DUMMYFUNCTION("GOOGLETRANSLATE(C53, ""en"", ""am"")"),"ሀ.በምላሹ ዘራቸውን ለመያዝ በሌላ ጉድጓድ ውስጥ ወጥመድ አዘጋጅ.ቢ. የቀሩትን ዘሮች መንገዳቸውን ለመዝጋት እንደገና ያዘጋጁ። ለመድረስ በጣም አስቸጋሪ በሆነ ጉድጓድ ውስጥ ዘሮችን ይውሰዱ። እነሱን ከማጣትዎ በፊት ዘሮችን ከጉድጓዳቸው ውስጥ በማስወገድ ላይ ያተኩሩ።")</f>
        <v>ሀ.በምላሹ ዘራቸውን ለመያዝ በሌላ ጉድጓድ ውስጥ ወጥመድ አዘጋጅ.ቢ. የቀሩትን ዘሮች መንገዳቸውን ለመዝጋት እንደገና ያዘጋጁ። ለመድረስ በጣም አስቸጋሪ በሆነ ጉድጓድ ውስጥ ዘሮችን ይውሰዱ። እነሱን ከማጣትዎ በፊት ዘሮችን ከጉድጓዳቸው ውስጥ በማስወገድ ላይ ያተኩሩ።</v>
      </c>
      <c r="J53" s="11" t="str">
        <f>IFERROR(__xludf.DUMMYFUNCTION("GOOGLETRANSLATE(D53, ""en"", ""am"")"),"በምላሹ, ዘራቸውን ለመያዝ በሌላ ጉድጓድ ውስጥ ወጥመድ ያዘጋጁ.")</f>
        <v>በምላሹ, ዘራቸውን ለመያዝ በሌላ ጉድጓድ ውስጥ ወጥመድ ያዘጋጁ.</v>
      </c>
      <c r="K53" s="11" t="str">
        <f>IFERROR(__xludf.DUMMYFUNCTION("GOOGLETRANSLATE(E53, ""en"", ""am"")"),"ወጥመዶችን አስቀድመው ማዘጋጀት ተቃዋሚዎ ጨዋታውን ለመቆጣጠር አስቸጋሪ ያደርገዋል።")</f>
        <v>ወጥመዶችን አስቀድመው ማዘጋጀት ተቃዋሚዎ ጨዋታውን ለመቆጣጠር አስቸጋሪ ያደርገዋል።</v>
      </c>
    </row>
    <row r="54" ht="22.5" customHeight="1">
      <c r="A54" s="10">
        <v>53.0</v>
      </c>
      <c r="B54" s="11" t="s">
        <v>3658</v>
      </c>
      <c r="C54" s="11" t="s">
        <v>3659</v>
      </c>
      <c r="D54" s="11" t="s">
        <v>3660</v>
      </c>
      <c r="E54" s="11" t="s">
        <v>3661</v>
      </c>
      <c r="G54" s="11" t="str">
        <f>IFERROR(__xludf.DUMMYFUNCTION("GOOGLETRANSLATE(A54, ""en"", ""th"")"),"53")</f>
        <v>53</v>
      </c>
      <c r="H54" s="11" t="str">
        <f>IFERROR(__xludf.DUMMYFUNCTION("GOOGLETRANSLATE(B54, ""en"", ""am"")"),"ተቃዋሚዎ ጉድጓዶችዎን በከፍተኛ ሁኔታ እያጠቃ ነው። እንደገና ለመቆጣጠር ምን ማድረግ አለብዎት?")</f>
        <v>ተቃዋሚዎ ጉድጓዶችዎን በከፍተኛ ሁኔታ እያጠቃ ነው። እንደገና ለመቆጣጠር ምን ማድረግ አለብዎት?</v>
      </c>
      <c r="I54" s="11" t="str">
        <f>IFERROR(__xludf.DUMMYFUNCTION("GOOGLETRANSLATE(C54, ""en"", ""am"")"),"ሀ. ለመልሶ ማጥቃት እና ዘራቸውን ለመያዝ ይሞክሩ. ጉድጓዶችዎን በመከላከል ላይ ያተኩሩ እና ስህተቶችን ይመልከቱ.C. እቅዳቸውን ለማክሸፍ ዘራቸውን አጥብቀው ይያዙ። የተቀሩትን ዘሮች ወደ መጠለያ ቦታዎች ያንቀሳቅሱ.")</f>
        <v>ሀ. ለመልሶ ማጥቃት እና ዘራቸውን ለመያዝ ይሞክሩ. ጉድጓዶችዎን በመከላከል ላይ ያተኩሩ እና ስህተቶችን ይመልከቱ.C. እቅዳቸውን ለማክሸፍ ዘራቸውን አጥብቀው ይያዙ። የተቀሩትን ዘሮች ወደ መጠለያ ቦታዎች ያንቀሳቅሱ.</v>
      </c>
      <c r="J54" s="11" t="str">
        <f>IFERROR(__xludf.DUMMYFUNCTION("GOOGLETRANSLATE(D54, ""en"", ""am"")"),"ለመልሶ ማጥቃት እና ዘራቸውን ለመያዝ ይሞክሩ።")</f>
        <v>ለመልሶ ማጥቃት እና ዘራቸውን ለመያዝ ይሞክሩ።</v>
      </c>
      <c r="K54" s="11" t="str">
        <f>IFERROR(__xludf.DUMMYFUNCTION("GOOGLETRANSLATE(E54, ""en"", ""am"")"),"ስልታቸውን በጨካኝ አጨዋወት ማሰናከል እንቅስቃሴውን ይለውጠዋል።")</f>
        <v>ስልታቸውን በጨካኝ አጨዋወት ማሰናከል እንቅስቃሴውን ይለውጠዋል።</v>
      </c>
    </row>
    <row r="55" ht="22.5" customHeight="1">
      <c r="A55" s="10">
        <v>54.0</v>
      </c>
      <c r="B55" s="11" t="s">
        <v>3662</v>
      </c>
      <c r="C55" s="11" t="s">
        <v>3663</v>
      </c>
      <c r="D55" s="11" t="s">
        <v>3664</v>
      </c>
      <c r="E55" s="11" t="s">
        <v>3665</v>
      </c>
      <c r="G55" s="11" t="str">
        <f>IFERROR(__xludf.DUMMYFUNCTION("GOOGLETRANSLATE(A55, ""en"", ""th"")"),"54")</f>
        <v>54</v>
      </c>
      <c r="H55" s="11" t="str">
        <f>IFERROR(__xludf.DUMMYFUNCTION("GOOGLETRANSLATE(B55, ""en"", ""am"")"),"አሁን ብዙ ቁጥር ያላቸው ዘሮች አሉዎት. ጨዋታው በእርስዎ ሞገስ ውስጥ መቆየቱን እንዴት ያረጋግጣሉ?")</f>
        <v>አሁን ብዙ ቁጥር ያላቸው ዘሮች አሉዎት. ጨዋታው በእርስዎ ሞገስ ውስጥ መቆየቱን እንዴት ያረጋግጣሉ?</v>
      </c>
      <c r="I55" s="11" t="str">
        <f>IFERROR(__xludf.DUMMYFUNCTION("GOOGLETRANSLATE(C55, ""en"", ""am"")"),"ሀ. ዘርህን በመከላከል እና እንቅስቃሴያቸውን በመከልከል ላይ አተኩር። ብዙ ዘሮችን ለመያዝ ዘሮችዎን በቦታዎች ያዘጋጁ። ከቤት ውጭ ባሉ ጉድጓዶች ውስጥ ወጥመዶችን አዘጋጅ እና ለጥቃት የተጋለጡ አድርጓቸው.ዲ. ዘሮቹ እንዲዘገዩ በኃይል ወደ መከላከያ ቀዳዳዎች ያንቀሳቅሷቸው.")</f>
        <v>ሀ. ዘርህን በመከላከል እና እንቅስቃሴያቸውን በመከልከል ላይ አተኩር። ብዙ ዘሮችን ለመያዝ ዘሮችዎን በቦታዎች ያዘጋጁ። ከቤት ውጭ ባሉ ጉድጓዶች ውስጥ ወጥመዶችን አዘጋጅ እና ለጥቃት የተጋለጡ አድርጓቸው.ዲ. ዘሮቹ እንዲዘገዩ በኃይል ወደ መከላከያ ቀዳዳዎች ያንቀሳቅሷቸው.</v>
      </c>
      <c r="J55" s="11" t="str">
        <f>IFERROR(__xludf.DUMMYFUNCTION("GOOGLETRANSLATE(D55, ""en"", ""am"")"),"ዘሮችዎን በመከላከል እና እንቅስቃሴዎቻቸውን በማገድ ላይ ያተኩሩ።")</f>
        <v>ዘሮችዎን በመከላከል እና እንቅስቃሴዎቻቸውን በማገድ ላይ ያተኩሩ።</v>
      </c>
      <c r="K55" s="11" t="str">
        <f>IFERROR(__xludf.DUMMYFUNCTION("GOOGLETRANSLATE(E55, ""en"", ""am"")"),"የተያዙ ዘሮችን መከላከል የተቃዋሚውን ዕድል ይቀንሳል።")</f>
        <v>የተያዙ ዘሮችን መከላከል የተቃዋሚውን ዕድል ይቀንሳል።</v>
      </c>
    </row>
    <row r="56" ht="22.5" customHeight="1">
      <c r="A56" s="10">
        <v>55.0</v>
      </c>
      <c r="B56" s="11" t="s">
        <v>3666</v>
      </c>
      <c r="C56" s="11" t="s">
        <v>3667</v>
      </c>
      <c r="D56" s="11" t="s">
        <v>3668</v>
      </c>
      <c r="E56" s="11" t="s">
        <v>3669</v>
      </c>
      <c r="G56" s="11" t="str">
        <f>IFERROR(__xludf.DUMMYFUNCTION("GOOGLETRANSLATE(A56, ""en"", ""th"")"),"55")</f>
        <v>55</v>
      </c>
      <c r="H56" s="11" t="str">
        <f>IFERROR(__xludf.DUMMYFUNCTION("GOOGLETRANSLATE(B56, ""en"", ""am"")"),"ተቃዋሚዎ ብዙ ቁጥር ያላቸውን ዘሮች ወስዷል። ለማገገም ምን ታደርጋለህ?")</f>
        <v>ተቃዋሚዎ ብዙ ቁጥር ያላቸውን ዘሮች ወስዷል። ለማገገም ምን ታደርጋለህ?</v>
      </c>
      <c r="I56" s="11" t="str">
        <f>IFERROR(__xludf.DUMMYFUNCTION("GOOGLETRANSLATE(C56, ""en"", ""am"")"),"ሀ. መከላከያቸውን በመስበር እና ዘሮችን በመመለስ ላይ ያተኩሩ.B. ወጥመድ ያዘጋጁ እና ስህተት እንዲሠሩ ያስገድዷቸው። ጨዋታውን ለመያዝ ዘሮችዎን ወደ መከላከያ ቦታ ያዘጋጁ። ዲ. በኃይል ይጫወቱ እና በተቻለ መጠን ብዙ ዘሮቻቸውን ይያዙ።")</f>
        <v>ሀ. መከላከያቸውን በመስበር እና ዘሮችን በመመለስ ላይ ያተኩሩ.B. ወጥመድ ያዘጋጁ እና ስህተት እንዲሠሩ ያስገድዷቸው። ጨዋታውን ለመያዝ ዘሮችዎን ወደ መከላከያ ቦታ ያዘጋጁ። ዲ. በኃይል ይጫወቱ እና በተቻለ መጠን ብዙ ዘሮቻቸውን ይያዙ።</v>
      </c>
      <c r="J56" s="11" t="str">
        <f>IFERROR(__xludf.DUMMYFUNCTION("GOOGLETRANSLATE(D56, ""en"", ""am"")"),"መከላከያቸውን በመስበር እና ዘሮችን በመመለስ ላይ ያተኩሩ.")</f>
        <v>መከላከያቸውን በመስበር እና ዘሮችን በመመለስ ላይ ያተኩሩ.</v>
      </c>
      <c r="K56" s="11" t="str">
        <f>IFERROR(__xludf.DUMMYFUNCTION("GOOGLETRANSLATE(E56, ""en"", ""am"")"),"የተከላካይ መስመራቸውን መስበር የጨዋታውን ቁጥጥር ወደነበረበት ይመልሳል።")</f>
        <v>የተከላካይ መስመራቸውን መስበር የጨዋታውን ቁጥጥር ወደነበረበት ይመልሳል።</v>
      </c>
    </row>
    <row r="57" ht="22.5" customHeight="1">
      <c r="A57" s="10">
        <v>56.0</v>
      </c>
      <c r="B57" s="11" t="s">
        <v>3670</v>
      </c>
      <c r="C57" s="11" t="s">
        <v>3671</v>
      </c>
      <c r="D57" s="11" t="s">
        <v>3672</v>
      </c>
      <c r="E57" s="11" t="s">
        <v>3673</v>
      </c>
      <c r="G57" s="11" t="str">
        <f>IFERROR(__xludf.DUMMYFUNCTION("GOOGLETRANSLATE(A57, ""en"", ""th"")"),"56")</f>
        <v>56</v>
      </c>
      <c r="H57" s="11" t="str">
        <f>IFERROR(__xludf.DUMMYFUNCTION("GOOGLETRANSLATE(B57, ""en"", ""am"")"),"ተቃዋሚዎ በበርካታ ጉድጓዶች ውስጥ ወጥመዶችን ለማዘጋጀት እየሞከረ ነው። ቀጥሎ ምን ማድረግ አለቦት?")</f>
        <v>ተቃዋሚዎ በበርካታ ጉድጓዶች ውስጥ ወጥመዶችን ለማዘጋጀት እየሞከረ ነው። ቀጥሎ ምን ማድረግ አለቦት?</v>
      </c>
      <c r="I57" s="11" t="str">
        <f>IFERROR(__xludf.DUMMYFUNCTION("GOOGLETRANSLATE(C57, ""en"", ""am"")"),"ሀ. ወጥመዳቸውን ለመስበር ደካማ ቦታቸውን በማጥቃት ላይ ያተኩሩ። ወጥመዶችን ለማስወገድ ዘሮችዎን በመከላከያ ቦታዎች ያዘጋጁ። ማንኛውንም ዘሮች በውጫዊ ቅርፎቻቸው ውስጥ አጥብቀው ይያዙ.ዲ. እነሱን ወደ ስህተት ለማስገደድ የራስዎን ወጥመዶች ያዘጋጁ።")</f>
        <v>ሀ. ወጥመዳቸውን ለመስበር ደካማ ቦታቸውን በማጥቃት ላይ ያተኩሩ። ወጥመዶችን ለማስወገድ ዘሮችዎን በመከላከያ ቦታዎች ያዘጋጁ። ማንኛውንም ዘሮች በውጫዊ ቅርፎቻቸው ውስጥ አጥብቀው ይያዙ.ዲ. እነሱን ወደ ስህተት ለማስገደድ የራስዎን ወጥመዶች ያዘጋጁ።</v>
      </c>
      <c r="J57" s="11" t="str">
        <f>IFERROR(__xludf.DUMMYFUNCTION("GOOGLETRANSLATE(D57, ""en"", ""am"")"),"ወጥመዳቸውን ለመስበር ደካማ ቦታቸውን በማጥቃት ላይ ያተኩሩ።")</f>
        <v>ወጥመዳቸውን ለመስበር ደካማ ቦታቸውን በማጥቃት ላይ ያተኩሩ።</v>
      </c>
      <c r="K57" s="11" t="str">
        <f>IFERROR(__xludf.DUMMYFUNCTION("GOOGLETRANSLATE(E57, ""en"", ""am"")"),"ወጥመዶቻቸውን በስትራቴጂካዊ እንቅስቃሴዎች መስበር ጥቅሙን ይሰጥዎታል።")</f>
        <v>ወጥመዶቻቸውን በስትራቴጂካዊ እንቅስቃሴዎች መስበር ጥቅሙን ይሰጥዎታል።</v>
      </c>
    </row>
    <row r="58" ht="22.5" customHeight="1">
      <c r="A58" s="10">
        <v>57.0</v>
      </c>
      <c r="B58" s="11" t="s">
        <v>3674</v>
      </c>
      <c r="C58" s="11" t="s">
        <v>3675</v>
      </c>
      <c r="D58" s="11" t="s">
        <v>3676</v>
      </c>
      <c r="E58" s="11" t="s">
        <v>3677</v>
      </c>
      <c r="G58" s="11" t="str">
        <f>IFERROR(__xludf.DUMMYFUNCTION("GOOGLETRANSLATE(A58, ""en"", ""th"")"),"57")</f>
        <v>57</v>
      </c>
      <c r="H58" s="11" t="str">
        <f>IFERROR(__xludf.DUMMYFUNCTION("GOOGLETRANSLATE(B58, ""en"", ""am"")"),"ከዘሮች ጋር ጥቂት ቀዳዳዎች ብቻ ቀርተዋል፣ እና ጨዋታው ሊጠናቀቅ ተቃርቧል። በምን ላይ ነው የምታተኩረው?")</f>
        <v>ከዘሮች ጋር ጥቂት ቀዳዳዎች ብቻ ቀርተዋል፣ እና ጨዋታው ሊጠናቀቅ ተቃርቧል። በምን ላይ ነው የምታተኩረው?</v>
      </c>
      <c r="I58" s="11" t="str">
        <f>IFERROR(__xludf.DUMMYFUNCTION("GOOGLETRANSLATE(C58, ""en"", ""am"")"),"ሀ. ዘሮችዎን እንዳይጠፉ ወደተጠበቁ ቦታዎች ያንቀሳቅሱ.B. ጨዋታውን ለመጨረስ በተቻለ መጠን ብዙ ዘሮችን ይያዙ። ተቃዋሚዎን ወደ መጥፎ እንቅስቃሴዎች ለማስገደድ ወጥመዶችን ያዘጋጁ። ዲ. ቀዳዳዎችዎን ይከላከሉ እና ለመያዝ እድሉን ይጠብቁ.")</f>
        <v>ሀ. ዘሮችዎን እንዳይጠፉ ወደተጠበቁ ቦታዎች ያንቀሳቅሱ.B. ጨዋታውን ለመጨረስ በተቻለ መጠን ብዙ ዘሮችን ይያዙ። ተቃዋሚዎን ወደ መጥፎ እንቅስቃሴዎች ለማስገደድ ወጥመዶችን ያዘጋጁ። ዲ. ቀዳዳዎችዎን ይከላከሉ እና ለመያዝ እድሉን ይጠብቁ.</v>
      </c>
      <c r="J58" s="11" t="str">
        <f>IFERROR(__xludf.DUMMYFUNCTION("GOOGLETRANSLATE(D58, ""en"", ""am"")"),"ዘሮችዎን እንዳይጠፉ ወደተጠበቁ ቦታዎች ይውሰዱ።")</f>
        <v>ዘሮችዎን እንዳይጠፉ ወደተጠበቁ ቦታዎች ይውሰዱ።</v>
      </c>
      <c r="K58" s="11" t="str">
        <f>IFERROR(__xludf.DUMMYFUNCTION("GOOGLETRANSLATE(E58, ""en"", ""am"")"),"የተቀሩትን ጉድጓዶች መከላከል የመዳን እድልን ይጨምራል.")</f>
        <v>የተቀሩትን ጉድጓዶች መከላከል የመዳን እድልን ይጨምራል.</v>
      </c>
    </row>
    <row r="59" ht="22.5" customHeight="1">
      <c r="A59" s="10">
        <v>58.0</v>
      </c>
      <c r="B59" s="11" t="s">
        <v>3678</v>
      </c>
      <c r="C59" s="11" t="s">
        <v>3679</v>
      </c>
      <c r="D59" s="11" t="s">
        <v>3680</v>
      </c>
      <c r="E59" s="11" t="s">
        <v>3681</v>
      </c>
      <c r="G59" s="11" t="str">
        <f>IFERROR(__xludf.DUMMYFUNCTION("GOOGLETRANSLATE(A59, ""en"", ""th"")"),"58")</f>
        <v>58</v>
      </c>
      <c r="H59" s="11" t="str">
        <f>IFERROR(__xludf.DUMMYFUNCTION("GOOGLETRANSLATE(B59, ""en"", ""am"")"),"አንዳንድ የተቃዋሚህን ዘሮች ወስደሃል። ጨዋታውን እንዴት ትቀጥላለህ?")</f>
        <v>አንዳንድ የተቃዋሚህን ዘሮች ወስደሃል። ጨዋታውን እንዴት ትቀጥላለህ?</v>
      </c>
      <c r="I59" s="11" t="str">
        <f>IFERROR(__xludf.DUMMYFUNCTION("GOOGLETRANSLATE(C59, ""en"", ""am"")"),"ሀ. ወጥመዶችን በማዘጋጀት እና ብዙ ዘሮችን በመያዝ ላይ ያተኩሩ.B. ጉድጓዶችዎን ይጠብቁ እና የተቃዋሚዎን አማራጮች ይገድቡ ሐ. ለመቆጣጠር በተቻለ መጠን ብዙ ዘሮችን ይያዙ.ዲ. እስኪሳሳቱ ድረስ ይጠብቁ እና እሱን ይጠቀሙበት።")</f>
        <v>ሀ. ወጥመዶችን በማዘጋጀት እና ብዙ ዘሮችን በመያዝ ላይ ያተኩሩ.B. ጉድጓዶችዎን ይጠብቁ እና የተቃዋሚዎን አማራጮች ይገድቡ ሐ. ለመቆጣጠር በተቻለ መጠን ብዙ ዘሮችን ይያዙ.ዲ. እስኪሳሳቱ ድረስ ይጠብቁ እና እሱን ይጠቀሙበት።</v>
      </c>
      <c r="J59" s="11" t="str">
        <f>IFERROR(__xludf.DUMMYFUNCTION("GOOGLETRANSLATE(D59, ""en"", ""am"")"),"ወጥመዶችን በማዘጋጀት እና ብዙ ዘሮችን በመያዝ ላይ ያተኩሩ.")</f>
        <v>ወጥመዶችን በማዘጋጀት እና ብዙ ዘሮችን በመያዝ ላይ ያተኩሩ.</v>
      </c>
      <c r="K59" s="11" t="str">
        <f>IFERROR(__xludf.DUMMYFUNCTION("GOOGLETRANSLATE(E59, ""en"", ""am"")"),"ወጥመዶችን ማዘጋጀት ተቃዋሚዎን ወደ መከላከያ ቦታ ያስገድደዋል.")</f>
        <v>ወጥመዶችን ማዘጋጀት ተቃዋሚዎን ወደ መከላከያ ቦታ ያስገድደዋል.</v>
      </c>
    </row>
    <row r="60" ht="22.5" customHeight="1">
      <c r="A60" s="10">
        <v>59.0</v>
      </c>
      <c r="B60" s="11" t="s">
        <v>3682</v>
      </c>
      <c r="C60" s="11" t="s">
        <v>3683</v>
      </c>
      <c r="D60" s="11" t="s">
        <v>3684</v>
      </c>
      <c r="E60" s="11" t="s">
        <v>3685</v>
      </c>
      <c r="G60" s="11" t="str">
        <f>IFERROR(__xludf.DUMMYFUNCTION("GOOGLETRANSLATE(A60, ""en"", ""th"")"),"59")</f>
        <v>59</v>
      </c>
      <c r="H60" s="11" t="str">
        <f>IFERROR(__xludf.DUMMYFUNCTION("GOOGLETRANSLATE(B60, ""en"", ""am"")"),"ተቃዋሚዎ ዘራቸውን የአንተ ወዳለበት ቦታ ወስዷል። ምን ታደርጋለህ?")</f>
        <v>ተቃዋሚዎ ዘራቸውን የአንተ ወዳለበት ቦታ ወስዷል። ምን ታደርጋለህ?</v>
      </c>
      <c r="I60" s="11" t="str">
        <f>IFERROR(__xludf.DUMMYFUNCTION("GOOGLETRANSLATE(C60, ""en"", ""am"")"),"ሀ. ዘሮችዎን በፍጥነት ወደ መከላከያ ጉድጓድ ያንቀሳቅሱ. የአንተን ከመያዙ በፊት ዘራቸውን በመያዝ ላይ አተኩር። እንደገና እንዲንቀሳቀሱ ይጠብቁ እና ከዚያ ምላሽ ይስጡ.ዲ. እንዳይጣበቁ ዘሮችዎን ወደ አዲስ ጉድጓድ ያንቀሳቅሱ።")</f>
        <v>ሀ. ዘሮችዎን በፍጥነት ወደ መከላከያ ጉድጓድ ያንቀሳቅሱ. የአንተን ከመያዙ በፊት ዘራቸውን በመያዝ ላይ አተኩር። እንደገና እንዲንቀሳቀሱ ይጠብቁ እና ከዚያ ምላሽ ይስጡ.ዲ. እንዳይጣበቁ ዘሮችዎን ወደ አዲስ ጉድጓድ ያንቀሳቅሱ።</v>
      </c>
      <c r="J60" s="11" t="str">
        <f>IFERROR(__xludf.DUMMYFUNCTION("GOOGLETRANSLATE(D60, ""en"", ""am"")"),"ዘሮችዎን በፍጥነት ወደ መከላከያ ጉድጓድ ያንቀሳቅሱ.")</f>
        <v>ዘሮችዎን በፍጥነት ወደ መከላከያ ጉድጓድ ያንቀሳቅሱ.</v>
      </c>
      <c r="K60" s="11" t="str">
        <f>IFERROR(__xludf.DUMMYFUNCTION("GOOGLETRANSLATE(E60, ""en"", ""am"")"),"ጉድጓዶችዎን መከላከል ተቃዋሚዎ ጥቅም እንዳያገኝ ይከለክላል።")</f>
        <v>ጉድጓዶችዎን መከላከል ተቃዋሚዎ ጥቅም እንዳያገኝ ይከለክላል።</v>
      </c>
    </row>
    <row r="61" ht="22.5" customHeight="1">
      <c r="A61" s="10">
        <v>60.0</v>
      </c>
      <c r="B61" s="11" t="s">
        <v>3686</v>
      </c>
      <c r="C61" s="11" t="s">
        <v>3687</v>
      </c>
      <c r="D61" s="11" t="s">
        <v>3688</v>
      </c>
      <c r="E61" s="11" t="s">
        <v>3689</v>
      </c>
      <c r="G61" s="11" t="str">
        <f>IFERROR(__xludf.DUMMYFUNCTION("GOOGLETRANSLATE(A61, ""en"", ""th"")"),"60")</f>
        <v>60</v>
      </c>
      <c r="H61" s="11" t="str">
        <f>IFERROR(__xludf.DUMMYFUNCTION("GOOGLETRANSLATE(B61, ""en"", ""am"")"),"አሁን ስልታዊ እርምጃ ወስደሃል፣ እና ተቃዋሚህ የመጨረሻውን ዘርህን ሊይዝ ነው። ምን ታደርጋለህ?")</f>
        <v>አሁን ስልታዊ እርምጃ ወስደሃል፣ እና ተቃዋሚህ የመጨረሻውን ዘርህን ሊይዝ ነው። ምን ታደርጋለህ?</v>
      </c>
      <c r="I61" s="11" t="str">
        <f>IFERROR(__xludf.DUMMYFUNCTION("GOOGLETRANSLATE(C61, ""en"", ""am"")"),"ሀ. የቀሩትን ዘሮች ላለመያዝ እንደገና ያዘጋጁ.B. ጨዋታውን ለማገገም በሌላ ጉድጓድ ውስጥ ወጥመድ ያዘጋጁ። በዘሮቻቸው ላይ በማነጣጠር ስልታቸውን ያወድሙ.ዲ. የመጨረሻውን ዘርዎን እንዳይይዝ ወደ ደህና ቦታ ይውሰዱት።")</f>
        <v>ሀ. የቀሩትን ዘሮች ላለመያዝ እንደገና ያዘጋጁ.B. ጨዋታውን ለማገገም በሌላ ጉድጓድ ውስጥ ወጥመድ ያዘጋጁ። በዘሮቻቸው ላይ በማነጣጠር ስልታቸውን ያወድሙ.ዲ. የመጨረሻውን ዘርዎን እንዳይይዝ ወደ ደህና ቦታ ይውሰዱት።</v>
      </c>
      <c r="J61" s="11" t="str">
        <f>IFERROR(__xludf.DUMMYFUNCTION("GOOGLETRANSLATE(D61, ""en"", ""am"")"),"የተቀሩትን ዘሮች ላለመያዝ እንደገና ያዘጋጁ።")</f>
        <v>የተቀሩትን ዘሮች ላለመያዝ እንደገና ያዘጋጁ።</v>
      </c>
      <c r="K61" s="11" t="str">
        <f>IFERROR(__xludf.DUMMYFUNCTION("GOOGLETRANSLATE(E61, ""en"", ""am"")"),"የመጨረሻ ዘርህን እንዳይይዙ መከልከል በጨዋታው ውስጥ እንድትቆይ ያደርግሃል።")</f>
        <v>የመጨረሻ ዘርህን እንዳይይዙ መከልከል በጨዋታው ውስጥ እንድትቆይ ያደርግሃል።</v>
      </c>
    </row>
    <row r="62" ht="22.5" customHeight="1">
      <c r="A62" s="10">
        <v>61.0</v>
      </c>
      <c r="B62" s="11" t="s">
        <v>3690</v>
      </c>
      <c r="C62" s="11" t="s">
        <v>3691</v>
      </c>
      <c r="D62" s="11" t="s">
        <v>3692</v>
      </c>
      <c r="E62" s="11" t="s">
        <v>3693</v>
      </c>
      <c r="G62" s="11" t="str">
        <f>IFERROR(__xludf.DUMMYFUNCTION("GOOGLETRANSLATE(A62, ""en"", ""th"")"),"61")</f>
        <v>61</v>
      </c>
      <c r="H62" s="11" t="str">
        <f>IFERROR(__xludf.DUMMYFUNCTION("GOOGLETRANSLATE(B62, ""en"", ""am"")"),"አንድ ዘር ብቻ ቀረህ ብዙ ጉድጓዶች አሉህ ተቃዋሚህም ብዙ አለው። ምን ታደርጋለህ፧")</f>
        <v>አንድ ዘር ብቻ ቀረህ ብዙ ጉድጓዶች አሉህ ተቃዋሚህም ብዙ አለው። ምን ታደርጋለህ፧</v>
      </c>
      <c r="I62" s="11" t="str">
        <f>IFERROR(__xludf.DUMMYFUNCTION("GOOGLETRANSLATE(C62, ""en"", ""am"")"),"ሀ. ምርኮቸውን በስልት ወደ ቀብሮቻቸው በመንቀሳቀስ ይያዙ። በፍጥነት ወደ መከላከያ ቦታዎች ይሂዱ እና ስህተቶችን ከማድረግ ይቆጠቡ. እንቅስቃሴያቸውን በመዝጋት ላይ ያተኩሩ እና የመልሶ ማጥቃት እድል ይጠብቁ.ዲ. በውጫዊ ቅርፊታቸው ውስጥ ዘሮችን ለመያዝ በጣም ይሞክሩ.")</f>
        <v>ሀ. ምርኮቸውን በስልት ወደ ቀብሮቻቸው በመንቀሳቀስ ይያዙ። በፍጥነት ወደ መከላከያ ቦታዎች ይሂዱ እና ስህተቶችን ከማድረግ ይቆጠቡ. እንቅስቃሴያቸውን በመዝጋት ላይ ያተኩሩ እና የመልሶ ማጥቃት እድል ይጠብቁ.ዲ. በውጫዊ ቅርፊታቸው ውስጥ ዘሮችን ለመያዝ በጣም ይሞክሩ.</v>
      </c>
      <c r="J62" s="11" t="str">
        <f>IFERROR(__xludf.DUMMYFUNCTION("GOOGLETRANSLATE(D62, ""en"", ""am"")"),"በስልት ወደ ቀብሮቻቸው በመሄድ ምርኮቻቸውን ይያዙ።")</f>
        <v>በስልት ወደ ቀብሮቻቸው በመሄድ ምርኮቻቸውን ይያዙ።</v>
      </c>
      <c r="K62" s="11" t="str">
        <f>IFERROR(__xludf.DUMMYFUNCTION("GOOGLETRANSLATE(E62, ""en"", ""am"")"),"ስትራቴጅካዊ እንቅስቃሴ ከተጋላጭነትህ የበለጠ እንድትጠቀም ይረዳሃል።")</f>
        <v>ስትራቴጅካዊ እንቅስቃሴ ከተጋላጭነትህ የበለጠ እንድትጠቀም ይረዳሃል።</v>
      </c>
    </row>
    <row r="63" ht="22.5" customHeight="1">
      <c r="A63" s="10">
        <v>62.0</v>
      </c>
      <c r="B63" s="11" t="s">
        <v>3694</v>
      </c>
      <c r="C63" s="11" t="s">
        <v>3695</v>
      </c>
      <c r="D63" s="11" t="s">
        <v>3696</v>
      </c>
      <c r="E63" s="11" t="s">
        <v>3697</v>
      </c>
      <c r="G63" s="11" t="str">
        <f>IFERROR(__xludf.DUMMYFUNCTION("GOOGLETRANSLATE(A63, ""en"", ""th"")"),"62")</f>
        <v>62</v>
      </c>
      <c r="H63" s="11" t="str">
        <f>IFERROR(__xludf.DUMMYFUNCTION("GOOGLETRANSLATE(B63, ""en"", ""am"")"),"ተቃዋሚዎ ብዙ ዘሮችዎን ሊይዝ ነው። ፈጣን ምላሽህ ምንድን ነው?")</f>
        <v>ተቃዋሚዎ ብዙ ዘሮችዎን ሊይዝ ነው። ፈጣን ምላሽህ ምንድን ነው?</v>
      </c>
      <c r="I63" s="11" t="str">
        <f>IFERROR(__xludf.DUMMYFUNCTION("GOOGLETRANSLATE(C63, ""en"", ""am"")"),"ሀ. መንገዳቸውን በመዝጋት እና መያዝን በመከላከል ላይ ያተኩሩ.B. ተጨማሪ መጥፋትን ለመከላከል ዘሮችዎን ወደ ደህና ቦታዎች ያንቀሳቅሱ። በተቻለ መጠን ብዙ ዘሮቻቸውን ለመያዝ ሞክሩ. ዲ. ዘሮቹ እንዲገቡ አስቸጋሪ ለማድረግ ቀዳዳዎችዎን እንደገና ያዘጋጁ።")</f>
        <v>ሀ. መንገዳቸውን በመዝጋት እና መያዝን በመከላከል ላይ ያተኩሩ.B. ተጨማሪ መጥፋትን ለመከላከል ዘሮችዎን ወደ ደህና ቦታዎች ያንቀሳቅሱ። በተቻለ መጠን ብዙ ዘሮቻቸውን ለመያዝ ሞክሩ. ዲ. ዘሮቹ እንዲገቡ አስቸጋሪ ለማድረግ ቀዳዳዎችዎን እንደገና ያዘጋጁ።</v>
      </c>
      <c r="J63" s="11" t="str">
        <f>IFERROR(__xludf.DUMMYFUNCTION("GOOGLETRANSLATE(D63, ""en"", ""am"")"),"መንገዳቸውን በመዝጋት እና መያዝን በመከላከል ላይ ያተኩሩ።")</f>
        <v>መንገዳቸውን በመዝጋት እና መያዝን በመከላከል ላይ ያተኩሩ።</v>
      </c>
      <c r="K63" s="11" t="str">
        <f>IFERROR(__xludf.DUMMYFUNCTION("GOOGLETRANSLATE(E63, ""en"", ""am"")"),"እድገታቸውን ማደናቀፍ ለእነሱ አነስተኛ እድሎችን ያረጋግጣል.")</f>
        <v>እድገታቸውን ማደናቀፍ ለእነሱ አነስተኛ እድሎችን ያረጋግጣል.</v>
      </c>
    </row>
    <row r="64" ht="22.5" customHeight="1">
      <c r="A64" s="10">
        <v>63.0</v>
      </c>
      <c r="B64" s="11" t="s">
        <v>3698</v>
      </c>
      <c r="C64" s="11" t="s">
        <v>3699</v>
      </c>
      <c r="D64" s="11" t="s">
        <v>3700</v>
      </c>
      <c r="E64" s="11" t="s">
        <v>3701</v>
      </c>
      <c r="G64" s="11" t="str">
        <f>IFERROR(__xludf.DUMMYFUNCTION("GOOGLETRANSLATE(A64, ""en"", ""th"")"),"63")</f>
        <v>63</v>
      </c>
      <c r="H64" s="11" t="str">
        <f>IFERROR(__xludf.DUMMYFUNCTION("GOOGLETRANSLATE(B64, ""en"", ""am"")"),"አንድ ቀዳዳ ብቻ ብዙ ዘሮችን የያዘ ጠባብ ቦታ ላይ ነዎት፣ እና ተቃዋሚዎ ጨዋታውን እየተቆጣጠረ ነው። ምን ታደርጋለህ፧")</f>
        <v>አንድ ቀዳዳ ብቻ ብዙ ዘሮችን የያዘ ጠባብ ቦታ ላይ ነዎት፣ እና ተቃዋሚዎ ጨዋታውን እየተቆጣጠረ ነው። ምን ታደርጋለህ፧</v>
      </c>
      <c r="I64" s="11" t="str">
        <f>IFERROR(__xludf.DUMMYFUNCTION("GOOGLETRANSLATE(C64, ""en"", ""am"")"),"ሀ. ወጥመዶችን በማዘጋጀት እና አዳናቸውን ለመያዝ እድሎችን በመፍጠር ላይ ያተኩሩ። ሁሉንም ዘሮችዎን ወደ መከላከያ ቦታ ያንቀሳቅሱ እና ስህተት እስኪሰሩ ድረስ ይጠብቁ. ዘሮችን በደካማ ጉድጓዶች ውስጥ አጥብቀው ያስቀምጡ.ዲ. ወደ ስህተት እንዲገቡ ለማስገደድ ወጥመድ ያዘጋጁ እና አዳናቸውን ለመያዝ።")</f>
        <v>ሀ. ወጥመዶችን በማዘጋጀት እና አዳናቸውን ለመያዝ እድሎችን በመፍጠር ላይ ያተኩሩ። ሁሉንም ዘሮችዎን ወደ መከላከያ ቦታ ያንቀሳቅሱ እና ስህተት እስኪሰሩ ድረስ ይጠብቁ. ዘሮችን በደካማ ጉድጓዶች ውስጥ አጥብቀው ያስቀምጡ.ዲ. ወደ ስህተት እንዲገቡ ለማስገደድ ወጥመድ ያዘጋጁ እና አዳናቸውን ለመያዝ።</v>
      </c>
      <c r="J64" s="11" t="str">
        <f>IFERROR(__xludf.DUMMYFUNCTION("GOOGLETRANSLATE(D64, ""en"", ""am"")"),"ወጥመዶችን በማዘጋጀት እና አዳናቸውን ለመያዝ እድሎችን በመፍጠር ላይ ያተኩሩ።")</f>
        <v>ወጥመዶችን በማዘጋጀት እና አዳናቸውን ለመያዝ እድሎችን በመፍጠር ላይ ያተኩሩ።</v>
      </c>
      <c r="K64" s="11" t="str">
        <f>IFERROR(__xludf.DUMMYFUNCTION("GOOGLETRANSLATE(E64, ""en"", ""am"")"),"እነሱን ማግኘቱ ሚዛኑን በፍላጎትዎ ላይ እንዲሰጡ ያስችልዎታል።")</f>
        <v>እነሱን ማግኘቱ ሚዛኑን በፍላጎትዎ ላይ እንዲሰጡ ያስችልዎታል።</v>
      </c>
    </row>
    <row r="65" ht="22.5" customHeight="1">
      <c r="A65" s="10">
        <v>64.0</v>
      </c>
      <c r="B65" s="11" t="s">
        <v>3702</v>
      </c>
      <c r="C65" s="11" t="s">
        <v>3703</v>
      </c>
      <c r="D65" s="11" t="s">
        <v>3704</v>
      </c>
      <c r="E65" s="11" t="s">
        <v>3705</v>
      </c>
      <c r="G65" s="11" t="str">
        <f>IFERROR(__xludf.DUMMYFUNCTION("GOOGLETRANSLATE(A65, ""en"", ""th"")"),"64")</f>
        <v>64</v>
      </c>
      <c r="H65" s="11" t="str">
        <f>IFERROR(__xludf.DUMMYFUNCTION("GOOGLETRANSLATE(B65, ""en"", ""am"")"),"ተቃዋሚዎ ከውጭ ጉድጓዶችዎ ዘሮችን በመያዝ ላይ ያተኮረ መሆኑን ያስተውላሉ። ምን ምላሽ ትሰጣለህ?")</f>
        <v>ተቃዋሚዎ ከውጭ ጉድጓዶችዎ ዘሮችን በመያዝ ላይ ያተኮረ መሆኑን ያስተውላሉ። ምን ምላሽ ትሰጣለህ?</v>
      </c>
      <c r="I65" s="11" t="str">
        <f>IFERROR(__xludf.DUMMYFUNCTION("GOOGLETRANSLATE(C65, ""en"", ""am"")"),"ሀ. ዘሮቹ እንዳይጣበቁ ወደ ውስጠኛው ቀዳዳዎች ያንቀሳቅሱ.B. ከጉድጓዳቸው ውስጥ በማንሳት እንቅስቃሴያቸውን አጥብቀው ይቃወሙ። ስልትህን ቀይር እና ደካማ ቦታቸውን ኢላማ አድርግ።D. አዳዲስ ወጥመዶችን ለመፍጠር ዘሮችዎን እንደገና በማደራጀት ላይ ያተኩሩ")</f>
        <v>ሀ. ዘሮቹ እንዳይጣበቁ ወደ ውስጠኛው ቀዳዳዎች ያንቀሳቅሱ.B. ከጉድጓዳቸው ውስጥ በማንሳት እንቅስቃሴያቸውን አጥብቀው ይቃወሙ። ስልትህን ቀይር እና ደካማ ቦታቸውን ኢላማ አድርግ።D. አዳዲስ ወጥመዶችን ለመፍጠር ዘሮችዎን እንደገና በማደራጀት ላይ ያተኩሩ</v>
      </c>
      <c r="J65" s="11" t="str">
        <f>IFERROR(__xludf.DUMMYFUNCTION("GOOGLETRANSLATE(D65, ""en"", ""am"")"),"ዘሮቹ እንዳይጣበቁ ወደ ውስጠኛው ቀዳዳዎች ያንቀሳቅሱ.")</f>
        <v>ዘሮቹ እንዳይጣበቁ ወደ ውስጠኛው ቀዳዳዎች ያንቀሳቅሱ.</v>
      </c>
      <c r="K65" s="11" t="str">
        <f>IFERROR(__xludf.DUMMYFUNCTION("GOOGLETRANSLATE(E65, ""en"", ""am"")"),"የውስጥ ጉድጓዶችን መንከባከብ በወደፊት መዞሪያዎች ላይ የበለጠ ተለዋዋጭነት ይሰጥዎታል.")</f>
        <v>የውስጥ ጉድጓዶችን መንከባከብ በወደፊት መዞሪያዎች ላይ የበለጠ ተለዋዋጭነት ይሰጥዎታል.</v>
      </c>
    </row>
    <row r="66" ht="22.5" customHeight="1">
      <c r="A66" s="10">
        <v>65.0</v>
      </c>
      <c r="B66" s="11" t="s">
        <v>3706</v>
      </c>
      <c r="C66" s="11" t="s">
        <v>3707</v>
      </c>
      <c r="D66" s="11" t="s">
        <v>3708</v>
      </c>
      <c r="E66" s="11" t="s">
        <v>3709</v>
      </c>
      <c r="G66" s="11" t="str">
        <f>IFERROR(__xludf.DUMMYFUNCTION("GOOGLETRANSLATE(A66, ""en"", ""th"")"),"65")</f>
        <v>65</v>
      </c>
      <c r="H66" s="11" t="str">
        <f>IFERROR(__xludf.DUMMYFUNCTION("GOOGLETRANSLATE(B66, ""en"", ""am"")"),"ተቃዋሚዎ በውስጡ ብዙ ዘሮች ያለበት ጉድጓድ ትቶልዎታል. ምን ታደርጋለህ?")</f>
        <v>ተቃዋሚዎ በውስጡ ብዙ ዘሮች ያለበት ጉድጓድ ትቶልዎታል. ምን ታደርጋለህ?</v>
      </c>
      <c r="I66" s="11" t="str">
        <f>IFERROR(__xludf.DUMMYFUNCTION("GOOGLETRANSLATE(C66, ""en"", ""am"")"),"ሀ. ወደዚያ ጉድጓድ ውስጥ ገብተህ ዘሩን ከማድረጋቸው በፊት ያዝ.B. ሌሎች ጉድጓዶችን ይጠብቁ እና ያንን ለበኋላ ክፍት ያድርጉት. መዳረሻቸውን ያግዱ እና ዘሮችዎን ወደ ውጫዊ ጉድጓዶች ያንቀሳቅሱ። ዲ. ስህተት እስክትሠራ ድረስ ጠብቅ እና ከዚያ አቢይ አድርግበት።")</f>
        <v>ሀ. ወደዚያ ጉድጓድ ውስጥ ገብተህ ዘሩን ከማድረጋቸው በፊት ያዝ.B. ሌሎች ጉድጓዶችን ይጠብቁ እና ያንን ለበኋላ ክፍት ያድርጉት. መዳረሻቸውን ያግዱ እና ዘሮችዎን ወደ ውጫዊ ጉድጓዶች ያንቀሳቅሱ። ዲ. ስህተት እስክትሠራ ድረስ ጠብቅ እና ከዚያ አቢይ አድርግበት።</v>
      </c>
      <c r="J66" s="11" t="str">
        <f>IFERROR(__xludf.DUMMYFUNCTION("GOOGLETRANSLATE(D66, ""en"", ""am"")"),"ወደዚያ ጉድጓድ ውስጥ ገብተህ ዘሮቹ ከማድረጋቸው በፊት ያዙ.")</f>
        <v>ወደዚያ ጉድጓድ ውስጥ ገብተህ ዘሮቹ ከማድረጋቸው በፊት ያዙ.</v>
      </c>
      <c r="K66" s="11" t="str">
        <f>IFERROR(__xludf.DUMMYFUNCTION("GOOGLETRANSLATE(E66, ""en"", ""am"")"),"ዘሮችን አስቀድመው መያዝ እቅዶቻቸውን ያበላሻሉ እና ጥቅም ይሰጡዎታል.")</f>
        <v>ዘሮችን አስቀድመው መያዝ እቅዶቻቸውን ያበላሻሉ እና ጥቅም ይሰጡዎታል.</v>
      </c>
    </row>
    <row r="67" ht="22.5" customHeight="1">
      <c r="A67" s="10">
        <v>66.0</v>
      </c>
      <c r="B67" s="11" t="s">
        <v>3710</v>
      </c>
      <c r="C67" s="11" t="s">
        <v>3711</v>
      </c>
      <c r="D67" s="11" t="s">
        <v>3712</v>
      </c>
      <c r="E67" s="11" t="s">
        <v>3713</v>
      </c>
      <c r="G67" s="11" t="str">
        <f>IFERROR(__xludf.DUMMYFUNCTION("GOOGLETRANSLATE(A67, ""en"", ""th"")"),"66")</f>
        <v>66</v>
      </c>
      <c r="H67" s="11" t="str">
        <f>IFERROR(__xludf.DUMMYFUNCTION("GOOGLETRANSLATE(B67, ""en"", ""am"")"),"ለተቃዋሚዎ በዘር የተሞላ ጉድጓድ ልታጣ ነው። እንዴት መልሰው ማግኘት ይችላሉ?")</f>
        <v>ለተቃዋሚዎ በዘር የተሞላ ጉድጓድ ልታጣ ነው። እንዴት መልሰው ማግኘት ይችላሉ?</v>
      </c>
      <c r="I67" s="11" t="str">
        <f>IFERROR(__xludf.DUMMYFUNCTION("GOOGLETRANSLATE(C67, ""en"", ""am"")"),"ሀ. ስህተት እንዲሠሩ ለማስገደድ በሌላ ጉድጓድ ውስጥ ወጥመድ ያዘጋጁ። ስርጭቱን ለመገደብ ዘሮችዎን በፍጥነት ወደተጠበቁ ቦታዎች ያንቀሳቅሱ። መንገዳቸውን ለመዝጋት የቀሩትን ዘሮችዎን እንደገና ያዘጋጁ። በቀዳዳዎቻቸው ውስጥ የሚቀሩትን ዘሮች በመያዝ ላይ ያተኩሩ.")</f>
        <v>ሀ. ስህተት እንዲሠሩ ለማስገደድ በሌላ ጉድጓድ ውስጥ ወጥመድ ያዘጋጁ። ስርጭቱን ለመገደብ ዘሮችዎን በፍጥነት ወደተጠበቁ ቦታዎች ያንቀሳቅሱ። መንገዳቸውን ለመዝጋት የቀሩትን ዘሮችዎን እንደገና ያዘጋጁ። በቀዳዳዎቻቸው ውስጥ የሚቀሩትን ዘሮች በመያዝ ላይ ያተኩሩ.</v>
      </c>
      <c r="J67" s="11" t="str">
        <f>IFERROR(__xludf.DUMMYFUNCTION("GOOGLETRANSLATE(D67, ""en"", ""am"")"),"ስህተት እንዲሠሩ ለማስገደድ በሌላ ጉድጓድ ውስጥ ወጥመድ ያዘጋጁ።")</f>
        <v>ስህተት እንዲሠሩ ለማስገደድ በሌላ ጉድጓድ ውስጥ ወጥመድ ያዘጋጁ።</v>
      </c>
      <c r="K67" s="11" t="str">
        <f>IFERROR(__xludf.DUMMYFUNCTION("GOOGLETRANSLATE(E67, ""en"", ""am"")"),"ወጥመድ ማዘጋጀት በጨዋታው ላይ እንደገና መቆጣጠርዎን ያረጋግጣል።")</f>
        <v>ወጥመድ ማዘጋጀት በጨዋታው ላይ እንደገና መቆጣጠርዎን ያረጋግጣል።</v>
      </c>
    </row>
    <row r="68" ht="22.5" customHeight="1">
      <c r="A68" s="10">
        <v>67.0</v>
      </c>
      <c r="B68" s="11" t="s">
        <v>3714</v>
      </c>
      <c r="C68" s="11" t="s">
        <v>3715</v>
      </c>
      <c r="D68" s="11" t="s">
        <v>3716</v>
      </c>
      <c r="E68" s="11" t="s">
        <v>3717</v>
      </c>
      <c r="G68" s="11" t="str">
        <f>IFERROR(__xludf.DUMMYFUNCTION("GOOGLETRANSLATE(A68, ""en"", ""th"")"),"67")</f>
        <v>67</v>
      </c>
      <c r="H68" s="11" t="str">
        <f>IFERROR(__xludf.DUMMYFUNCTION("GOOGLETRANSLATE(B68, ""en"", ""am"")"),"ለተቃዋሚዎ ያለማቋረጥ ዘሮችን እያጡ ነበር። ቀጣዩ እርምጃዎ ምን መሆን አለበት?")</f>
        <v>ለተቃዋሚዎ ያለማቋረጥ ዘሮችን እያጡ ነበር። ቀጣዩ እርምጃዎ ምን መሆን አለበት?</v>
      </c>
      <c r="I68" s="11" t="str">
        <f>IFERROR(__xludf.DUMMYFUNCTION("GOOGLETRANSLATE(C68, ""en"", ""am"")"),"ሀ. ተጨማሪ ኪሳራዎችን ለመከላከል የውሃ ጉድጓዶችዎን በመጠበቅ ላይ ያተኩሩ.B. ዘሮችን ለመያዝ በውጭ ጉድጓድ ውስጥ ለመያዝ ይሞክሩ.ሲ. በመካከለኛው ጉድጓዶች ውስጥ ወጥመዶችን ወደ ስህተት ለማስገደድ ያስቀምጡ.ዲ. ብዙ ዘሮችን ለመያዝ በጣም ደካማውን ቀዳዳ ይዝጉ.")</f>
        <v>ሀ. ተጨማሪ ኪሳራዎችን ለመከላከል የውሃ ጉድጓዶችዎን በመጠበቅ ላይ ያተኩሩ.B. ዘሮችን ለመያዝ በውጭ ጉድጓድ ውስጥ ለመያዝ ይሞክሩ.ሲ. በመካከለኛው ጉድጓዶች ውስጥ ወጥመዶችን ወደ ስህተት ለማስገደድ ያስቀምጡ.ዲ. ብዙ ዘሮችን ለመያዝ በጣም ደካማውን ቀዳዳ ይዝጉ.</v>
      </c>
      <c r="J68" s="11" t="str">
        <f>IFERROR(__xludf.DUMMYFUNCTION("GOOGLETRANSLATE(D68, ""en"", ""am"")"),"ተጨማሪ ኪሳራዎችን ለመከላከል ጉድጓዶችዎን በመጠበቅ ላይ ያተኩሩ.")</f>
        <v>ተጨማሪ ኪሳራዎችን ለመከላከል ጉድጓዶችዎን በመጠበቅ ላይ ያተኩሩ.</v>
      </c>
      <c r="K68" s="11" t="str">
        <f>IFERROR(__xludf.DUMMYFUNCTION("GOOGLETRANSLATE(E68, ""en"", ""am"")"),"የእርሶን ቀዳዳዎች መከላከል የኢንፌክሽን እድላቸውን ይገድባል።")</f>
        <v>የእርሶን ቀዳዳዎች መከላከል የኢንፌክሽን እድላቸውን ይገድባል።</v>
      </c>
    </row>
    <row r="69" ht="22.5" customHeight="1">
      <c r="A69" s="10">
        <v>68.0</v>
      </c>
      <c r="B69" s="11" t="s">
        <v>3718</v>
      </c>
      <c r="C69" s="11" t="s">
        <v>3719</v>
      </c>
      <c r="D69" s="11" t="s">
        <v>3720</v>
      </c>
      <c r="E69" s="11" t="s">
        <v>3721</v>
      </c>
      <c r="G69" s="11" t="str">
        <f>IFERROR(__xludf.DUMMYFUNCTION("GOOGLETRANSLATE(A69, ""en"", ""th"")"),"68")</f>
        <v>68</v>
      </c>
      <c r="H69" s="11" t="str">
        <f>IFERROR(__xludf.DUMMYFUNCTION("GOOGLETRANSLATE(B69, ""en"", ""am"")"),"ተቃዋሚዎ የመጨረሻዎቹን ጥቂት ዘሮችዎን ብቻ ነው የማረከው። እንዴት ማገገም ይቻላል?")</f>
        <v>ተቃዋሚዎ የመጨረሻዎቹን ጥቂት ዘሮችዎን ብቻ ነው የማረከው። እንዴት ማገገም ይቻላል?</v>
      </c>
      <c r="I69" s="11" t="str">
        <f>IFERROR(__xludf.DUMMYFUNCTION("GOOGLETRANSLATE(C69, ""en"", ""am"")"),"ሀ. ጨዋታውን ሚዛናዊ ለማድረግ ዘሮችን ከጉድጓዳቸው ውስጥ ያቆዩ። እንቅስቃሴያቸውን በማገድ እና እድልን በመጠባበቅ ላይ ያተኩሩ.C. የመጨረሻውን ቀዳዳዎን ይከላከሉ እና ለቀጣዩ መዞር ወጥመድ ለማዘጋጀት ይሞክሩ.ዲ. የተቀሩትን ዘሮች ለመያዝ አስቸጋሪ ለማድረግ እንደገና ያዘጋጁ.")</f>
        <v>ሀ. ጨዋታውን ሚዛናዊ ለማድረግ ዘሮችን ከጉድጓዳቸው ውስጥ ያቆዩ። እንቅስቃሴያቸውን በማገድ እና እድልን በመጠባበቅ ላይ ያተኩሩ.C. የመጨረሻውን ቀዳዳዎን ይከላከሉ እና ለቀጣዩ መዞር ወጥመድ ለማዘጋጀት ይሞክሩ.ዲ. የተቀሩትን ዘሮች ለመያዝ አስቸጋሪ ለማድረግ እንደገና ያዘጋጁ.</v>
      </c>
      <c r="J69" s="11" t="str">
        <f>IFERROR(__xludf.DUMMYFUNCTION("GOOGLETRANSLATE(D69, ""en"", ""am"")"),"ጨዋታውን ሚዛናዊ ለማድረግ ዘሮችን ከጉድጓዳቸው ውስጥ ያቆዩ።")</f>
        <v>ጨዋታውን ሚዛናዊ ለማድረግ ዘሮችን ከጉድጓዳቸው ውስጥ ያቆዩ።</v>
      </c>
      <c r="K69" s="11" t="str">
        <f>IFERROR(__xludf.DUMMYFUNCTION("GOOGLETRANSLATE(E69, ""en"", ""am"")"),"ጨዋታውን ማመጣጠን የተሻለ የማገገም እድል ይሰጥዎታል።")</f>
        <v>ጨዋታውን ማመጣጠን የተሻለ የማገገም እድል ይሰጥዎታል።</v>
      </c>
    </row>
    <row r="70" ht="22.5" customHeight="1">
      <c r="A70" s="10">
        <v>69.0</v>
      </c>
      <c r="B70" s="11" t="s">
        <v>3722</v>
      </c>
      <c r="C70" s="11" t="s">
        <v>3723</v>
      </c>
      <c r="D70" s="11" t="s">
        <v>3724</v>
      </c>
      <c r="E70" s="11" t="s">
        <v>3725</v>
      </c>
      <c r="G70" s="11" t="str">
        <f>IFERROR(__xludf.DUMMYFUNCTION("GOOGLETRANSLATE(A70, ""en"", ""th"")"),"69")</f>
        <v>69</v>
      </c>
      <c r="H70" s="11" t="str">
        <f>IFERROR(__xludf.DUMMYFUNCTION("GOOGLETRANSLATE(B70, ""en"", ""am"")"),"ብዙ ዘሮች ይቀሩዎታል፣ እና ጨዋታው ወደ ማብቂያው ተቃርቧል። ምን ታደርጋለህ?")</f>
        <v>ብዙ ዘሮች ይቀሩዎታል፣ እና ጨዋታው ወደ ማብቂያው ተቃርቧል። ምን ታደርጋለህ?</v>
      </c>
      <c r="I70" s="11" t="str">
        <f>IFERROR(__xludf.DUMMYFUNCTION("GOOGLETRANSLATE(C70, ""en"", ""am"")"),"ሀ. ጨዋታውን ለመጨረስ በተቻለ መጠን ብዙ ዘሮቻቸውን ይያዙ. ዘሮችዎን ለመዝጋት ወደ መከላከያ ቦታዎች እንደገና ያደራጁ። ስህተት እንዲሠሩ የሚያስገድዳቸው ወጥመድ በማዘጋጀት ላይ ያተኩሩ.ዲ. ዘሮችዎን በፍጥነት ወደ መከላከያ ቦታዎች ይውሰዱ እና ስህተቶችን ይመልከቱ።")</f>
        <v>ሀ. ጨዋታውን ለመጨረስ በተቻለ መጠን ብዙ ዘሮቻቸውን ይያዙ. ዘሮችዎን ለመዝጋት ወደ መከላከያ ቦታዎች እንደገና ያደራጁ። ስህተት እንዲሠሩ የሚያስገድዳቸው ወጥመድ በማዘጋጀት ላይ ያተኩሩ.ዲ. ዘሮችዎን በፍጥነት ወደ መከላከያ ቦታዎች ይውሰዱ እና ስህተቶችን ይመልከቱ።</v>
      </c>
      <c r="J70" s="11" t="str">
        <f>IFERROR(__xludf.DUMMYFUNCTION("GOOGLETRANSLATE(D70, ""en"", ""am"")"),"ጨዋታውን ለመጨረስ በተቻለ መጠን ብዙ ዘሮቻቸውን ይያዙ።")</f>
        <v>ጨዋታውን ለመጨረስ በተቻለ መጠን ብዙ ዘሮቻቸውን ይያዙ።</v>
      </c>
      <c r="K70" s="11" t="str">
        <f>IFERROR(__xludf.DUMMYFUNCTION("GOOGLETRANSLATE(E70, ""en"", ""am"")"),"ዘሮችን ማቆየት ጠንከር ብለው እንዲጨርሱ እና ቁጥጥርን እንደሚጠብቁ ያረጋግጣል።")</f>
        <v>ዘሮችን ማቆየት ጠንከር ብለው እንዲጨርሱ እና ቁጥጥርን እንደሚጠብቁ ያረጋግጣል።</v>
      </c>
    </row>
    <row r="71" ht="22.5" customHeight="1">
      <c r="A71" s="10">
        <v>70.0</v>
      </c>
      <c r="B71" s="11" t="s">
        <v>3726</v>
      </c>
      <c r="C71" s="11" t="s">
        <v>3727</v>
      </c>
      <c r="D71" s="11" t="s">
        <v>3728</v>
      </c>
      <c r="E71" s="11" t="s">
        <v>3729</v>
      </c>
      <c r="G71" s="11" t="str">
        <f>IFERROR(__xludf.DUMMYFUNCTION("GOOGLETRANSLATE(A71, ""en"", ""th"")"),"70")</f>
        <v>70</v>
      </c>
      <c r="H71" s="11" t="str">
        <f>IFERROR(__xludf.DUMMYFUNCTION("GOOGLETRANSLATE(B71, ""en"", ""am"")"),"ተቃዋሚዎ ብዙ ቁጥር ያላቸውን ዘሮች ብቻ ነው የማረከው። ምን ላይ ማተኮር አለብህ?")</f>
        <v>ተቃዋሚዎ ብዙ ቁጥር ያላቸውን ዘሮች ብቻ ነው የማረከው። ምን ላይ ማተኮር አለብህ?</v>
      </c>
      <c r="I71" s="11" t="str">
        <f>IFERROR(__xludf.DUMMYFUNCTION("GOOGLETRANSLATE(C71, ""en"", ""am"")"),"ሀ. ወደ መንገዱ ለመመለስ ከደካማ ጉድጓዳቸው ውስጥ ዘሮችን በመያዝ ላይ ያተኩሩ.B. የቀሩትን ጉድጓዶችዎን ይጠብቁ እና ለቀጣዩ መዞር እድል ይፍጠሩ. ተጨማሪ ዘሮችን ለመያዝ የውጭ ቅርፎቻቸውን ያጥብቁ.ዲ. ቀጣዩን እንቅስቃሴያቸውን ለማደናቀፍ ወጥመድ ያዘጋጁ እና ተጨማሪ መያዝን ለመከላከል።")</f>
        <v>ሀ. ወደ መንገዱ ለመመለስ ከደካማ ጉድጓዳቸው ውስጥ ዘሮችን በመያዝ ላይ ያተኩሩ.B. የቀሩትን ጉድጓዶችዎን ይጠብቁ እና ለቀጣዩ መዞር እድል ይፍጠሩ. ተጨማሪ ዘሮችን ለመያዝ የውጭ ቅርፎቻቸውን ያጥብቁ.ዲ. ቀጣዩን እንቅስቃሴያቸውን ለማደናቀፍ ወጥመድ ያዘጋጁ እና ተጨማሪ መያዝን ለመከላከል።</v>
      </c>
      <c r="J71" s="11" t="str">
        <f>IFERROR(__xludf.DUMMYFUNCTION("GOOGLETRANSLATE(D71, ""en"", ""am"")"),"ወደ መንገዱ ለመመለስ ከደካማ ጉድጓዳቸው ውስጥ ዘሮችን በመያዝ ላይ ያተኩሩ።")</f>
        <v>ወደ መንገዱ ለመመለስ ከደካማ ጉድጓዳቸው ውስጥ ዘሮችን በመያዝ ላይ ያተኩሩ።</v>
      </c>
      <c r="K71" s="11" t="str">
        <f>IFERROR(__xludf.DUMMYFUNCTION("GOOGLETRANSLATE(E71, ""en"", ""am"")"),"ደካማ ነጥቦችን ማነጣጠር ጨዋታውን ሚዛናዊ ለማድረግ ይረዳል።")</f>
        <v>ደካማ ነጥቦችን ማነጣጠር ጨዋታውን ሚዛናዊ ለማድረግ ይረዳል።</v>
      </c>
    </row>
    <row r="72" ht="22.5" customHeight="1">
      <c r="A72" s="10">
        <v>71.0</v>
      </c>
      <c r="B72" s="11" t="s">
        <v>3730</v>
      </c>
      <c r="C72" s="11" t="s">
        <v>3731</v>
      </c>
      <c r="D72" s="11" t="s">
        <v>3732</v>
      </c>
      <c r="E72" s="11" t="s">
        <v>3733</v>
      </c>
      <c r="G72" s="11" t="str">
        <f>IFERROR(__xludf.DUMMYFUNCTION("GOOGLETRANSLATE(A72, ""en"", ""th"")"),"71")</f>
        <v>71</v>
      </c>
      <c r="H72" s="11" t="str">
        <f>IFERROR(__xludf.DUMMYFUNCTION("GOOGLETRANSLATE(B72, ""en"", ""am"")"),"ተቃዋሚዎ በመካከለኛው ቀዳዳዎች ውስጥ ብዙ ዘሮች አሉት. ቀጣዩ እርምጃህ ምንድን ነው?")</f>
        <v>ተቃዋሚዎ በመካከለኛው ቀዳዳዎች ውስጥ ብዙ ዘሮች አሉት. ቀጣዩ እርምጃህ ምንድን ነው?</v>
      </c>
      <c r="I72" s="11" t="str">
        <f>IFERROR(__xludf.DUMMYFUNCTION("GOOGLETRANSLATE(C72, ""en"", ""am"")"),"ሀ. ከመጠቀምዎ በፊት ዘሮችን ከጉድጓዱ ውጭ ለመያዝ ይሞክሩ. እንቅስቃሴያቸውን ለመገደብ በውጭ ጉድጓዶች ውስጥ ወጥመዶችን ያዘጋጁ። ዘሮችዎን እንዳይያዙ ለመከላከል ወደ የተጠበቁ ቦታዎች ያንቀሳቅሱ.ዲ. እንደገና ለመቆጣጠር ዘሮቹ በውስጣቸው ጉድጓድ ውስጥ አጥብቀው ይያዙ.")</f>
        <v>ሀ. ከመጠቀምዎ በፊት ዘሮችን ከጉድጓዱ ውጭ ለመያዝ ይሞክሩ. እንቅስቃሴያቸውን ለመገደብ በውጭ ጉድጓዶች ውስጥ ወጥመዶችን ያዘጋጁ። ዘሮችዎን እንዳይያዙ ለመከላከል ወደ የተጠበቁ ቦታዎች ያንቀሳቅሱ.ዲ. እንደገና ለመቆጣጠር ዘሮቹ በውስጣቸው ጉድጓድ ውስጥ አጥብቀው ይያዙ.</v>
      </c>
      <c r="J72" s="11" t="str">
        <f>IFERROR(__xludf.DUMMYFUNCTION("GOOGLETRANSLATE(D72, ""en"", ""am"")"),"ከመጠቀምዎ በፊት ዘሮችን ከጉድጓዱ ውጭ ለመያዝ ይሞክሩ.")</f>
        <v>ከመጠቀምዎ በፊት ዘሮችን ከጉድጓዱ ውጭ ለመያዝ ይሞክሩ.</v>
      </c>
      <c r="K72" s="11" t="str">
        <f>IFERROR(__xludf.DUMMYFUNCTION("GOOGLETRANSLATE(E72, ""en"", ""am"")"),"ዘራቸውን ቀድመው መያዝ ስልታቸውን ያበላሻል።")</f>
        <v>ዘራቸውን ቀድመው መያዝ ስልታቸውን ያበላሻል።</v>
      </c>
    </row>
    <row r="73" ht="22.5" customHeight="1">
      <c r="A73" s="10">
        <v>72.0</v>
      </c>
      <c r="B73" s="11" t="s">
        <v>3734</v>
      </c>
      <c r="C73" s="11" t="s">
        <v>3735</v>
      </c>
      <c r="D73" s="11" t="s">
        <v>3736</v>
      </c>
      <c r="E73" s="11" t="s">
        <v>3737</v>
      </c>
      <c r="G73" s="11" t="str">
        <f>IFERROR(__xludf.DUMMYFUNCTION("GOOGLETRANSLATE(A73, ""en"", ""th"")"),"72")</f>
        <v>72</v>
      </c>
      <c r="H73" s="11" t="str">
        <f>IFERROR(__xludf.DUMMYFUNCTION("GOOGLETRANSLATE(B73, ""en"", ""am"")"),"ከዘሮቻቸውም ወስደሃል እነሱም ሊበቀሉ ነው። ምን ታደርጋለህ?")</f>
        <v>ከዘሮቻቸውም ወስደሃል እነሱም ሊበቀሉ ነው። ምን ታደርጋለህ?</v>
      </c>
      <c r="I73" s="11" t="str">
        <f>IFERROR(__xludf.DUMMYFUNCTION("GOOGLETRANSLATE(C73, ""en"", ""am"")"),"ሀ. የቀሩትን ጉድጓዶችዎን ይከላከሉ እና በሌላ ጉድጓድ ውስጥ ወጥመድ ለማዘጋጀት ይሞክሩ.B. እንቅስቃሴያቸውን በመዝጋት እና ብዙ ዘሮችን እንዳይይዙ በመከልከል ላይ ያተኩሩ። የመከላከያ ጨዋታ ያዘጋጁ እና ዘሮችዎን ለወደፊት መዞሪያዎች እንደገና ያዘጋጁ። የቀሩትን ልጆች እንቅስቃሴያቸውን ለማገድ ወደ ደህና ቦታዎች ይውሰዱ።")</f>
        <v>ሀ. የቀሩትን ጉድጓዶችዎን ይከላከሉ እና በሌላ ጉድጓድ ውስጥ ወጥመድ ለማዘጋጀት ይሞክሩ.B. እንቅስቃሴያቸውን በመዝጋት እና ብዙ ዘሮችን እንዳይይዙ በመከልከል ላይ ያተኩሩ። የመከላከያ ጨዋታ ያዘጋጁ እና ዘሮችዎን ለወደፊት መዞሪያዎች እንደገና ያዘጋጁ። የቀሩትን ልጆች እንቅስቃሴያቸውን ለማገድ ወደ ደህና ቦታዎች ይውሰዱ።</v>
      </c>
      <c r="J73" s="11" t="str">
        <f>IFERROR(__xludf.DUMMYFUNCTION("GOOGLETRANSLATE(D73, ""en"", ""am"")"),"የቀሩትን ቀዳዳዎች ይከላከሉ እና በሌላ ጉድጓድ ውስጥ ወጥመድ ለማዘጋጀት ይሞክሩ.")</f>
        <v>የቀሩትን ቀዳዳዎች ይከላከሉ እና በሌላ ጉድጓድ ውስጥ ወጥመድ ለማዘጋጀት ይሞክሩ.</v>
      </c>
      <c r="K73" s="11" t="str">
        <f>IFERROR(__xludf.DUMMYFUNCTION("GOOGLETRANSLATE(E73, ""en"", ""am"")"),"የውሃ ጉድጓዶችን መከላከል ከማንኛውም የበቀል እርምጃ ለማገገም እድል ይፈጥራል።")</f>
        <v>የውሃ ጉድጓዶችን መከላከል ከማንኛውም የበቀል እርምጃ ለማገገም እድል ይፈጥራል።</v>
      </c>
    </row>
    <row r="74" ht="22.5" customHeight="1">
      <c r="A74" s="10">
        <v>73.0</v>
      </c>
      <c r="B74" s="11" t="s">
        <v>3738</v>
      </c>
      <c r="C74" s="11" t="s">
        <v>3739</v>
      </c>
      <c r="D74" s="11" t="s">
        <v>3740</v>
      </c>
      <c r="E74" s="11" t="s">
        <v>3741</v>
      </c>
      <c r="G74" s="11" t="str">
        <f>IFERROR(__xludf.DUMMYFUNCTION("GOOGLETRANSLATE(A74, ""en"", ""th"")"),"73")</f>
        <v>73</v>
      </c>
      <c r="H74" s="11" t="str">
        <f>IFERROR(__xludf.DUMMYFUNCTION("GOOGLETRANSLATE(B74, ""en"", ""am"")"),"ተቃዋሚህ ያለማቋረጥ ዘርህን እየመረጠ ነው። እነሱን ለማቆም ምርጡ መንገድ ምንድነው?")</f>
        <v>ተቃዋሚህ ያለማቋረጥ ዘርህን እየመረጠ ነው። እነሱን ለማቆም ምርጡ መንገድ ምንድነው?</v>
      </c>
      <c r="I74" s="11" t="str">
        <f>IFERROR(__xludf.DUMMYFUNCTION("GOOGLETRANSLATE(C74, ""en"", ""am"")"),"ሀ. እንቅስቃሴያቸውን በመዝጋት እና ብዙ ዘሮችን እንዳይይዙ በመከላከል ላይ ያተኩሩ.B. ጥቃታቸውን ለመገደብ ሁሉንም ዘሮችዎን ወደ መከላከያ ቦታዎች ይውሰዱ። ጥቅሞቻቸውን ለመቀነስ በተቻለ መጠን ብዙ ዘሮቻቸውን በኃይል ያዙ.ዲ. ስህተት እንዲሠሩ ለማስገደድ ወጥመዶችን ያዘጋጁ።")</f>
        <v>ሀ. እንቅስቃሴያቸውን በመዝጋት እና ብዙ ዘሮችን እንዳይይዙ በመከላከል ላይ ያተኩሩ.B. ጥቃታቸውን ለመገደብ ሁሉንም ዘሮችዎን ወደ መከላከያ ቦታዎች ይውሰዱ። ጥቅሞቻቸውን ለመቀነስ በተቻለ መጠን ብዙ ዘሮቻቸውን በኃይል ያዙ.ዲ. ስህተት እንዲሠሩ ለማስገደድ ወጥመዶችን ያዘጋጁ።</v>
      </c>
      <c r="J74" s="11" t="str">
        <f>IFERROR(__xludf.DUMMYFUNCTION("GOOGLETRANSLATE(D74, ""en"", ""am"")"),"እንቅስቃሴያቸውን በመዝጋት እና ብዙ ዘሮችን እንዳይይዙ በመከላከል ላይ ያተኩሩ።")</f>
        <v>እንቅስቃሴያቸውን በመዝጋት እና ብዙ ዘሮችን እንዳይይዙ በመከላከል ላይ ያተኩሩ።</v>
      </c>
      <c r="K74" s="11" t="str">
        <f>IFERROR(__xludf.DUMMYFUNCTION("GOOGLETRANSLATE(E74, ""en"", ""am"")"),"የመያዣ ስልቶቻቸውን ማገድ የጨዋታውን ሚዛን ይመልሳል።")</f>
        <v>የመያዣ ስልቶቻቸውን ማገድ የጨዋታውን ሚዛን ይመልሳል።</v>
      </c>
    </row>
    <row r="75" ht="22.5" customHeight="1">
      <c r="A75" s="10">
        <v>74.0</v>
      </c>
      <c r="B75" s="11" t="s">
        <v>3742</v>
      </c>
      <c r="C75" s="11" t="s">
        <v>3743</v>
      </c>
      <c r="D75" s="11" t="s">
        <v>3744</v>
      </c>
      <c r="E75" s="11" t="s">
        <v>3745</v>
      </c>
      <c r="G75" s="11" t="str">
        <f>IFERROR(__xludf.DUMMYFUNCTION("GOOGLETRANSLATE(A75, ""en"", ""th"")"),"74")</f>
        <v>74</v>
      </c>
      <c r="H75" s="11" t="str">
        <f>IFERROR(__xludf.DUMMYFUNCTION("GOOGLETRANSLATE(B75, ""en"", ""am"")"),"ተቃዋሚዎ ከብዙ ዘሮች ጋር አንዱን ቀዳዳዎን አሁን አጽድቷል። ምን ምላሽ ትሰጣለህ?")</f>
        <v>ተቃዋሚዎ ከብዙ ዘሮች ጋር አንዱን ቀዳዳዎን አሁን አጽድቷል። ምን ምላሽ ትሰጣለህ?</v>
      </c>
      <c r="I75" s="11" t="str">
        <f>IFERROR(__xludf.DUMMYFUNCTION("GOOGLETRANSLATE(C75, ""en"", ""am"")"),"ሀ. ጥቃታቸውን ለመዝጋት የቀሩትን ዘሮችዎን እንደገና ያደራጁ.B. በሚቀጥለው ተራ ዘሮቻቸውን ለመያዝ በጣም ይሞክሩ። የቀሩትን ጉድጓዶችዎን ይከላከሉ እና ዘራቸውን በመያዝ ላይ ያተኩሩ.ዲ. ዘሮችዎን ወደ መከላከያ ቦታዎች ይውሰዱ እና ለመልሶ ማጥቃት ይጠብቁ።")</f>
        <v>ሀ. ጥቃታቸውን ለመዝጋት የቀሩትን ዘሮችዎን እንደገና ያደራጁ.B. በሚቀጥለው ተራ ዘሮቻቸውን ለመያዝ በጣም ይሞክሩ። የቀሩትን ጉድጓዶችዎን ይከላከሉ እና ዘራቸውን በመያዝ ላይ ያተኩሩ.ዲ. ዘሮችዎን ወደ መከላከያ ቦታዎች ይውሰዱ እና ለመልሶ ማጥቃት ይጠብቁ።</v>
      </c>
      <c r="J75" s="11" t="str">
        <f>IFERROR(__xludf.DUMMYFUNCTION("GOOGLETRANSLATE(D75, ""en"", ""am"")"),"ጥቃታቸውን ለማገድ የቀሩትን ዘሮችዎን እንደገና ያደራጁ።")</f>
        <v>ጥቃታቸውን ለማገድ የቀሩትን ዘሮችዎን እንደገና ያደራጁ።</v>
      </c>
      <c r="K75" s="11" t="str">
        <f>IFERROR(__xludf.DUMMYFUNCTION("GOOGLETRANSLATE(E75, ""en"", ""am"")"),"ቀዳዳዎቹን ማስተካከል ተጨማሪ ኪሳራዎችን ለመከላከል ይረዳል.")</f>
        <v>ቀዳዳዎቹን ማስተካከል ተጨማሪ ኪሳራዎችን ለመከላከል ይረዳል.</v>
      </c>
    </row>
    <row r="76" ht="22.5" customHeight="1">
      <c r="A76" s="10">
        <v>75.0</v>
      </c>
      <c r="B76" s="11" t="s">
        <v>3746</v>
      </c>
      <c r="C76" s="11" t="s">
        <v>3747</v>
      </c>
      <c r="D76" s="11" t="s">
        <v>3748</v>
      </c>
      <c r="E76" s="11" t="s">
        <v>3749</v>
      </c>
      <c r="G76" s="11" t="str">
        <f>IFERROR(__xludf.DUMMYFUNCTION("GOOGLETRANSLATE(A76, ""en"", ""th"")"),"75")</f>
        <v>75</v>
      </c>
      <c r="H76" s="11" t="str">
        <f>IFERROR(__xludf.DUMMYFUNCTION("GOOGLETRANSLATE(B76, ""en"", ""am"")"),"አሁን የተሳካ እንቅስቃሴ አድርገዋል፣ እና ተቃዋሚዎ በጣም ጥቂት ዘሮች ቀርተዋል። ምን ታደርጋለህ?")</f>
        <v>አሁን የተሳካ እንቅስቃሴ አድርገዋል፣ እና ተቃዋሚዎ በጣም ጥቂት ዘሮች ቀርተዋል። ምን ታደርጋለህ?</v>
      </c>
      <c r="I76" s="11" t="str">
        <f>IFERROR(__xludf.DUMMYFUNCTION("GOOGLETRANSLATE(C76, ""en"", ""am"")"),"ሀ. የመጨረሻውን ዘራቸውን ለመያዝ እና ጨዋታውን ለማዳን በፍጥነት ይሂዱ. እርስዎ መቆጣጠርዎን ለማረጋገጥ የመከላከያ ወጥመድ ያዘጋጁ.ሲ. ለቀጣዩ ዙር የመከላከያ ስልት በመፍጠር ላይ ያተኩሩ.ዲ. እንቅስቃሴ እስኪያደርጉ ድረስ ይጠብቁ እና ከዚያ በካፒታል ይጠቀሙበት።")</f>
        <v>ሀ. የመጨረሻውን ዘራቸውን ለመያዝ እና ጨዋታውን ለማዳን በፍጥነት ይሂዱ. እርስዎ መቆጣጠርዎን ለማረጋገጥ የመከላከያ ወጥመድ ያዘጋጁ.ሲ. ለቀጣዩ ዙር የመከላከያ ስልት በመፍጠር ላይ ያተኩሩ.ዲ. እንቅስቃሴ እስኪያደርጉ ድረስ ይጠብቁ እና ከዚያ በካፒታል ይጠቀሙበት።</v>
      </c>
      <c r="J76" s="11" t="str">
        <f>IFERROR(__xludf.DUMMYFUNCTION("GOOGLETRANSLATE(D76, ""en"", ""am"")"),"የመጨረሻውን ዘራቸውን ለመያዝ እና ጨዋታውን ለማዳን በፍጥነት ይሂዱ።")</f>
        <v>የመጨረሻውን ዘራቸውን ለመያዝ እና ጨዋታውን ለማዳን በፍጥነት ይሂዱ።</v>
      </c>
      <c r="K76" s="11" t="str">
        <f>IFERROR(__xludf.DUMMYFUNCTION("GOOGLETRANSLATE(E76, ""en"", ""am"")"),"የመጨረሻውን ዘራቸውን መያዙ ጠንካራ አጨራረስን ያረጋግጣል.")</f>
        <v>የመጨረሻውን ዘራቸውን መያዙ ጠንካራ አጨራረስን ያረጋግጣል.</v>
      </c>
    </row>
    <row r="77" ht="22.5" customHeight="1">
      <c r="A77" s="10">
        <v>76.0</v>
      </c>
      <c r="B77" s="11" t="s">
        <v>3750</v>
      </c>
      <c r="C77" s="11" t="s">
        <v>3751</v>
      </c>
      <c r="D77" s="11" t="s">
        <v>3752</v>
      </c>
      <c r="E77" s="11" t="s">
        <v>3753</v>
      </c>
      <c r="G77" s="11" t="str">
        <f>IFERROR(__xludf.DUMMYFUNCTION("GOOGLETRANSLATE(A77, ""en"", ""th"")"),"76")</f>
        <v>76</v>
      </c>
      <c r="H77" s="11" t="str">
        <f>IFERROR(__xludf.DUMMYFUNCTION("GOOGLETRANSLATE(B77, ""en"", ""am"")"),"ተቃዋሚዎ ደረጃቸውን አስተካክለው ወጥመድ አዘጋጅተዋል። ቀጥሎ ምን ማድረግ አለቦት?")</f>
        <v>ተቃዋሚዎ ደረጃቸውን አስተካክለው ወጥመድ አዘጋጅተዋል። ቀጥሎ ምን ማድረግ አለቦት?</v>
      </c>
      <c r="I77" s="11" t="str">
        <f>IFERROR(__xludf.DUMMYFUNCTION("GOOGLETRANSLATE(C77, ""en"", ""am"")"),"ሀ. ዘሮችዎን ወደ ደህና ቦታ በማንቀሳቀስ ወጥመዶችዎን ይቆጣጠሩ። ወጥመዳቸውን ለመስበር ምርኮቻቸውን በመያዝ ላይ አተኩር። እንቅስቃሴ እስኪያደርጉ ድረስ ይጠብቁ እና በዚህ መሰረት ምላሽ ይስጡ.ዲ. እነሱን ወደ ስህተት ለማስገደድ የራስዎን ወጥመዶች ያዘጋጁ።")</f>
        <v>ሀ. ዘሮችዎን ወደ ደህና ቦታ በማንቀሳቀስ ወጥመዶችዎን ይቆጣጠሩ። ወጥመዳቸውን ለመስበር ምርኮቻቸውን በመያዝ ላይ አተኩር። እንቅስቃሴ እስኪያደርጉ ድረስ ይጠብቁ እና በዚህ መሰረት ምላሽ ይስጡ.ዲ. እነሱን ወደ ስህተት ለማስገደድ የራስዎን ወጥመዶች ያዘጋጁ።</v>
      </c>
      <c r="J77" s="11" t="str">
        <f>IFERROR(__xludf.DUMMYFUNCTION("GOOGLETRANSLATE(D77, ""en"", ""am"")"),"ዘሮችዎን ወደ ደህና ቦታ በመውሰድ ወጥመዶችዎን ይቆጣጠሩ።")</f>
        <v>ዘሮችዎን ወደ ደህና ቦታ በመውሰድ ወጥመዶችዎን ይቆጣጠሩ።</v>
      </c>
      <c r="K77" s="11" t="str">
        <f>IFERROR(__xludf.DUMMYFUNCTION("GOOGLETRANSLATE(E77, ""en"", ""am"")"),"ስልታዊ ምላሽ መስጠት በእነሱ ወጥመድ ውስጥ እንዳትወድቅ ይረዳሃል።")</f>
        <v>ስልታዊ ምላሽ መስጠት በእነሱ ወጥመድ ውስጥ እንዳትወድቅ ይረዳሃል።</v>
      </c>
    </row>
    <row r="78" ht="22.5" customHeight="1">
      <c r="A78" s="10">
        <v>77.0</v>
      </c>
      <c r="B78" s="11" t="s">
        <v>3754</v>
      </c>
      <c r="C78" s="11" t="s">
        <v>3755</v>
      </c>
      <c r="D78" s="11" t="s">
        <v>3756</v>
      </c>
      <c r="E78" s="11" t="s">
        <v>3757</v>
      </c>
      <c r="G78" s="11" t="str">
        <f>IFERROR(__xludf.DUMMYFUNCTION("GOOGLETRANSLATE(A78, ""en"", ""th"")"),"77")</f>
        <v>77</v>
      </c>
      <c r="H78" s="11" t="str">
        <f>IFERROR(__xludf.DUMMYFUNCTION("GOOGLETRANSLATE(B78, ""en"", ""am"")"),"ተቃዋሚዎ በውጭ ጉድጓዶች ውስጥ ወጥመድ እያዘጋጀ ነው። ምን ታደርጋለህ?")</f>
        <v>ተቃዋሚዎ በውጭ ጉድጓዶች ውስጥ ወጥመድ እያዘጋጀ ነው። ምን ታደርጋለህ?</v>
      </c>
      <c r="I78" s="11" t="str">
        <f>IFERROR(__xludf.DUMMYFUNCTION("GOOGLETRANSLATE(C78, ""en"", ""am"")"),"ሀ. እርምጃ ከመውሰዳቸው በፊት ዘሮችዎን ወደ እነዚያ ጉድጓዶች ይውሰዱ እና ዘራቸውን ይያዙ. መንገዳቸውን ለመዝጋት እና ወጥመዶችን እንዳያዘጋጁ ዘሮችዎን እንደገና ያደራጁ። ማዕከላዊ ጕድጓዳቸውን አጥብቀው ያነጣጥራሉ እና ዘሮችን ይይዛሉ.ዲ. ወጥመዱን እስኪጨርሱ ድረስ ይጠብቁ እና ከዚያ ምላሽ ይስጡ.")</f>
        <v>ሀ. እርምጃ ከመውሰዳቸው በፊት ዘሮችዎን ወደ እነዚያ ጉድጓዶች ይውሰዱ እና ዘራቸውን ይያዙ. መንገዳቸውን ለመዝጋት እና ወጥመዶችን እንዳያዘጋጁ ዘሮችዎን እንደገና ያደራጁ። ማዕከላዊ ጕድጓዳቸውን አጥብቀው ያነጣጥራሉ እና ዘሮችን ይይዛሉ.ዲ. ወጥመዱን እስኪጨርሱ ድረስ ይጠብቁ እና ከዚያ ምላሽ ይስጡ.</v>
      </c>
      <c r="J78" s="11" t="str">
        <f>IFERROR(__xludf.DUMMYFUNCTION("GOOGLETRANSLATE(D78, ""en"", ""am"")"),"እርምጃ ከመውሰዳቸው በፊት ዘሮችዎን ወደ እነዚያ ቀዳዳዎች ይውሰዱ እና ዘሮቻቸውን ይያዙ።")</f>
        <v>እርምጃ ከመውሰዳቸው በፊት ዘሮችዎን ወደ እነዚያ ቀዳዳዎች ይውሰዱ እና ዘሮቻቸውን ይያዙ።</v>
      </c>
      <c r="K78" s="11" t="str">
        <f>IFERROR(__xludf.DUMMYFUNCTION("GOOGLETRANSLATE(E78, ""en"", ""am"")"),"ከመፈልፈላቸው በፊት ዘሮችን ማስወገድ ምርጫቸውን ይገድባል.")</f>
        <v>ከመፈልፈላቸው በፊት ዘሮችን ማስወገድ ምርጫቸውን ይገድባል.</v>
      </c>
    </row>
    <row r="79" ht="22.5" customHeight="1">
      <c r="A79" s="10">
        <v>78.0</v>
      </c>
      <c r="B79" s="11" t="s">
        <v>3758</v>
      </c>
      <c r="C79" s="11" t="s">
        <v>3759</v>
      </c>
      <c r="D79" s="11" t="s">
        <v>3760</v>
      </c>
      <c r="E79" s="11" t="s">
        <v>3761</v>
      </c>
      <c r="G79" s="11" t="str">
        <f>IFERROR(__xludf.DUMMYFUNCTION("GOOGLETRANSLATE(A79, ""en"", ""th"")"),"78")</f>
        <v>78</v>
      </c>
      <c r="H79" s="11" t="str">
        <f>IFERROR(__xludf.DUMMYFUNCTION("GOOGLETRANSLATE(B79, ""en"", ""am"")"),"ተቃዋሚዎ የመጨረሻውን የቀረውን ዘር በመያዝ ሊያሸንፍ ነው። ምን ታደርጋለህ?")</f>
        <v>ተቃዋሚዎ የመጨረሻውን የቀረውን ዘር በመያዝ ሊያሸንፍ ነው። ምን ታደርጋለህ?</v>
      </c>
      <c r="I79" s="11" t="str">
        <f>IFERROR(__xludf.DUMMYFUNCTION("GOOGLETRANSLATE(C79, ""en"", ""am"")"),"ሀ. ሁሉንም ዘሮችዎን ላለማጣት ወደ የተጠበቁ ቦታዎች ለማንቀሳቀስ ይሞክሩ.B. ድላቸውን ለማክሸፍ ዘራቸውን አጥብቀው ይያዙ። ስህተት እንዲሠሩ ለማስገደድ የመከላከያ ወጥመድ ያዘጋጁ.ዲ. የተቀሩትን ዘሮች እንደገና በማስተካከል እና እንዳይያዙ በመከላከል ላይ ያተኩሩ.")</f>
        <v>ሀ. ሁሉንም ዘሮችዎን ላለማጣት ወደ የተጠበቁ ቦታዎች ለማንቀሳቀስ ይሞክሩ.B. ድላቸውን ለማክሸፍ ዘራቸውን አጥብቀው ይያዙ። ስህተት እንዲሠሩ ለማስገደድ የመከላከያ ወጥመድ ያዘጋጁ.ዲ. የተቀሩትን ዘሮች እንደገና በማስተካከል እና እንዳይያዙ በመከላከል ላይ ያተኩሩ.</v>
      </c>
      <c r="J79" s="11" t="str">
        <f>IFERROR(__xludf.DUMMYFUNCTION("GOOGLETRANSLATE(D79, ""en"", ""am"")"),"ሁሉንም ዘሮችዎን እንዳያጡ ወደተጠበቁ ቦታዎች ለማንቀሳቀስ ይሞክሩ።")</f>
        <v>ሁሉንም ዘሮችዎን እንዳያጡ ወደተጠበቁ ቦታዎች ለማንቀሳቀስ ይሞክሩ።</v>
      </c>
      <c r="K79" s="11" t="str">
        <f>IFERROR(__xludf.DUMMYFUNCTION("GOOGLETRANSLATE(E79, ""en"", ""am"")"),"በመከላከል መንቀሳቀስ ድላቸውን ያዘገየዋል እና ብዙ ጊዜ ዋጋ ያስከፍላችኋል።")</f>
        <v>በመከላከል መንቀሳቀስ ድላቸውን ያዘገየዋል እና ብዙ ጊዜ ዋጋ ያስከፍላችኋል።</v>
      </c>
    </row>
    <row r="80" ht="22.5" customHeight="1">
      <c r="A80" s="10">
        <v>79.0</v>
      </c>
      <c r="B80" s="11" t="s">
        <v>3762</v>
      </c>
      <c r="C80" s="11" t="s">
        <v>3763</v>
      </c>
      <c r="D80" s="11" t="s">
        <v>3764</v>
      </c>
      <c r="E80" s="11" t="s">
        <v>3765</v>
      </c>
      <c r="G80" s="11" t="str">
        <f>IFERROR(__xludf.DUMMYFUNCTION("GOOGLETRANSLATE(A80, ""en"", ""th"")"),"79")</f>
        <v>79</v>
      </c>
      <c r="H80" s="11" t="str">
        <f>IFERROR(__xludf.DUMMYFUNCTION("GOOGLETRANSLATE(B80, ""en"", ""am"")"),"ተቃዋሚዎ በዘር የተሞላ ጉድጓድ ያዘ። በቀጣይ ምን ላይ ማተኮር አለብህ?")</f>
        <v>ተቃዋሚዎ በዘር የተሞላ ጉድጓድ ያዘ። በቀጣይ ምን ላይ ማተኮር አለብህ?</v>
      </c>
      <c r="I80" s="11" t="str">
        <f>IFERROR(__xludf.DUMMYFUNCTION("GOOGLETRANSLATE(C80, ""en"", ""am"")"),"ሀ. የተቀሩትን ዘሮች ወደ መከላከያው ቦታ መልሰው ያዘጋጁ እና እስኪሳኩ ይጠብቁ. ወጥመድ አዘጋጅ እና በምላሹ ምርኮቻቸውን ለመያዝ ሞክር። ብክለትን ለማስወገድ ዘሮችን ወደ ሌሎች ጉድጓዶች ያንቀሳቅሱ.ዲ. ተጨማሪ መያዝን ለመገደብ ጠንካራ መከላከያን በመገንባት ላይ ያተኩሩ")</f>
        <v>ሀ. የተቀሩትን ዘሮች ወደ መከላከያው ቦታ መልሰው ያዘጋጁ እና እስኪሳኩ ይጠብቁ. ወጥመድ አዘጋጅ እና በምላሹ ምርኮቻቸውን ለመያዝ ሞክር። ብክለትን ለማስወገድ ዘሮችን ወደ ሌሎች ጉድጓዶች ያንቀሳቅሱ.ዲ. ተጨማሪ መያዝን ለመገደብ ጠንካራ መከላከያን በመገንባት ላይ ያተኩሩ</v>
      </c>
      <c r="J80" s="11" t="str">
        <f>IFERROR(__xludf.DUMMYFUNCTION("GOOGLETRANSLATE(D80, ""en"", ""am"")"),"የተቀሩትን ዘሮች ወደ መከላከያው ቦታ ይመልሱ እና እስኪሳኩ ድረስ ይጠብቁ.")</f>
        <v>የተቀሩትን ዘሮች ወደ መከላከያው ቦታ ይመልሱ እና እስኪሳኩ ድረስ ይጠብቁ.</v>
      </c>
      <c r="K80" s="11" t="str">
        <f>IFERROR(__xludf.DUMMYFUNCTION("GOOGLETRANSLATE(E80, ""en"", ""am"")"),"ስልታዊ አቀማመጥ ብዙ ዘሮችን የመያዝ ችሎታቸውን ይገድባል።")</f>
        <v>ስልታዊ አቀማመጥ ብዙ ዘሮችን የመያዝ ችሎታቸውን ይገድባል።</v>
      </c>
    </row>
    <row r="81" ht="22.5" customHeight="1">
      <c r="A81" s="10">
        <v>80.0</v>
      </c>
      <c r="B81" s="11" t="s">
        <v>3766</v>
      </c>
      <c r="C81" s="11" t="s">
        <v>3767</v>
      </c>
      <c r="D81" s="11" t="s">
        <v>3768</v>
      </c>
      <c r="E81" s="11" t="s">
        <v>3769</v>
      </c>
      <c r="G81" s="11" t="str">
        <f>IFERROR(__xludf.DUMMYFUNCTION("GOOGLETRANSLATE(A81, ""en"", ""th"")"),"80")</f>
        <v>80</v>
      </c>
      <c r="H81" s="11" t="str">
        <f>IFERROR(__xludf.DUMMYFUNCTION("GOOGLETRANSLATE(B81, ""en"", ""am"")"),"በጨዋታው ቀድመሃል ነገርግን ተጋጣሚህ እየደረሰበት ነው። ምን ታደርጋለህ፧")</f>
        <v>በጨዋታው ቀድመሃል ነገርግን ተጋጣሚህ እየደረሰበት ነው። ምን ታደርጋለህ፧</v>
      </c>
      <c r="I81" s="11" t="str">
        <f>IFERROR(__xludf.DUMMYFUNCTION("GOOGLETRANSLATE(C81, ""en"", ""am"")"),"ሀ. የቀሩትን ዘሮቻቸውን ወደፊት እንዲተርፉ በመጠበቅ ላይ ያተኩሩ። እንዳይጠቀሙባቸው ወጥመዶችን አዘጋጅ። ተመልሰው ከመምጣታቸው በፊት ጎጆአቸውን ለመጠበቅ በፍጥነት ይንቀሳቀሱ። ስልታዊ ጥቅምን ለማስጠበቅ ዘሮችዎን እንደገና ያዘጋጁ")</f>
        <v>ሀ. የቀሩትን ዘሮቻቸውን ወደፊት እንዲተርፉ በመጠበቅ ላይ ያተኩሩ። እንዳይጠቀሙባቸው ወጥመዶችን አዘጋጅ። ተመልሰው ከመምጣታቸው በፊት ጎጆአቸውን ለመጠበቅ በፍጥነት ይንቀሳቀሱ። ስልታዊ ጥቅምን ለማስጠበቅ ዘሮችዎን እንደገና ያዘጋጁ</v>
      </c>
      <c r="J81" s="11" t="str">
        <f>IFERROR(__xludf.DUMMYFUNCTION("GOOGLETRANSLATE(D81, ""en"", ""am"")"),"ለወደፊት እንዲተርፉ የቀሩትን ዘሮቻቸውን በመጠበቅ ላይ ያተኩሩ።")</f>
        <v>ለወደፊት እንዲተርፉ የቀሩትን ዘሮቻቸውን በመጠበቅ ላይ ያተኩሩ።</v>
      </c>
      <c r="K81" s="11" t="str">
        <f>IFERROR(__xludf.DUMMYFUNCTION("GOOGLETRANSLATE(E81, ""en"", ""am"")"),"ወደፊት መቆየት በማጥቃት እና በመከላከል መካከል ያለውን ሚዛን መጠበቅን ይጠይቃል።")</f>
        <v>ወደፊት መቆየት በማጥቃት እና በመከላከል መካከል ያለውን ሚዛን መጠበቅን ይጠይቃል።</v>
      </c>
    </row>
    <row r="82" ht="22.5" customHeight="1">
      <c r="A82" s="10">
        <v>81.0</v>
      </c>
      <c r="B82" s="11" t="s">
        <v>3770</v>
      </c>
      <c r="C82" s="11" t="s">
        <v>3771</v>
      </c>
      <c r="D82" s="11" t="s">
        <v>3772</v>
      </c>
      <c r="E82" s="11" t="s">
        <v>3773</v>
      </c>
      <c r="G82" s="11" t="str">
        <f>IFERROR(__xludf.DUMMYFUNCTION("GOOGLETRANSLATE(A82, ""en"", ""th"")"),"81")</f>
        <v>81</v>
      </c>
      <c r="H82" s="11" t="str">
        <f>IFERROR(__xludf.DUMMYFUNCTION("GOOGLETRANSLATE(B82, ""en"", ""am"")"),"የተቃዋሚዎን ዘሮች ለመያዝ ምንም የሚቀሩ እንቅስቃሴዎች የሉዎትም። ምን ላይ ማተኮር አለብህ?")</f>
        <v>የተቃዋሚዎን ዘሮች ለመያዝ ምንም የሚቀሩ እንቅስቃሴዎች የሉዎትም። ምን ላይ ማተኮር አለብህ?</v>
      </c>
      <c r="I82" s="11" t="str">
        <f>IFERROR(__xludf.DUMMYFUNCTION("GOOGLETRANSLATE(C82, ""en"", ""am"")"),"ሀ. የቀሩትን ጉድጓዶች ይጠብቁ እና ረዘም ላለ ጊዜ ለመቆየት ይሞክሩ. መልሶ ማጥቃት ለመፍጠር ዘሮችዎን እንደገና ያደራጁ። በኋላ ላይ ዘሮቻቸውን ለመያዝ ጉድጓድ ውስጥ ወጥመድ ያዘጋጁ.ዲ. እንቅስቃሴያቸውን በማገድ ላይ ያተኩሩ እና ለስህተት ተስፋ ያድርጉ.")</f>
        <v>ሀ. የቀሩትን ጉድጓዶች ይጠብቁ እና ረዘም ላለ ጊዜ ለመቆየት ይሞክሩ. መልሶ ማጥቃት ለመፍጠር ዘሮችዎን እንደገና ያደራጁ። በኋላ ላይ ዘሮቻቸውን ለመያዝ ጉድጓድ ውስጥ ወጥመድ ያዘጋጁ.ዲ. እንቅስቃሴያቸውን በማገድ ላይ ያተኩሩ እና ለስህተት ተስፋ ያድርጉ.</v>
      </c>
      <c r="J82" s="11" t="str">
        <f>IFERROR(__xludf.DUMMYFUNCTION("GOOGLETRANSLATE(D82, ""en"", ""am"")"),"የቀሩትን ጉድጓዶች ይጠብቁ እና ረዘም ላለ ጊዜ ለመቆየት ይሞክሩ.")</f>
        <v>የቀሩትን ጉድጓዶች ይጠብቁ እና ረዘም ላለ ጊዜ ለመቆየት ይሞክሩ.</v>
      </c>
      <c r="K82" s="11" t="str">
        <f>IFERROR(__xludf.DUMMYFUNCTION("GOOGLETRANSLATE(E82, ""en"", ""am"")"),"ጥበቃ ቦታዎን እንዳይጠቀሙ ይከለክላቸዋል።")</f>
        <v>ጥበቃ ቦታዎን እንዳይጠቀሙ ይከለክላቸዋል።</v>
      </c>
    </row>
    <row r="83" ht="22.5" customHeight="1">
      <c r="A83" s="10">
        <v>82.0</v>
      </c>
      <c r="B83" s="11" t="s">
        <v>3774</v>
      </c>
      <c r="C83" s="11" t="s">
        <v>3775</v>
      </c>
      <c r="D83" s="11" t="s">
        <v>3776</v>
      </c>
      <c r="E83" s="11" t="s">
        <v>3777</v>
      </c>
      <c r="G83" s="11" t="str">
        <f>IFERROR(__xludf.DUMMYFUNCTION("GOOGLETRANSLATE(A83, ""en"", ""th"")"),"82")</f>
        <v>82</v>
      </c>
      <c r="H83" s="11" t="str">
        <f>IFERROR(__xludf.DUMMYFUNCTION("GOOGLETRANSLATE(B83, ""en"", ""am"")"),"ተቃዋሚዎ የመከላከያ ስትራቴጂ እየተጠቀመ ነው፣ እና ምንም ጥሩ እንቅስቃሴ ማግኘት አይችሉም። ምን ማድረግ አለቦት?")</f>
        <v>ተቃዋሚዎ የመከላከያ ስትራቴጂ እየተጠቀመ ነው፣ እና ምንም ጥሩ እንቅስቃሴ ማግኘት አይችሉም። ምን ማድረግ አለቦት?</v>
      </c>
      <c r="I83" s="11" t="str">
        <f>IFERROR(__xludf.DUMMYFUNCTION("GOOGLETRANSLATE(C83, ""en"", ""am"")"),"ሀ. ስህተት እንዲሠሩ ለማስገደድ በደካማ ጉድጓዳቸው ውስጥ ወጥመዶችን ያዘጋጁ። ስህተት እስክትሰራ ድረስ ጠብቅ እና አቢይ ሆና እስክትሰራ ድረስ. እንቅስቃሴዎ እንዳይታወቅ ለማድረግ ዘሮችዎን እንደገና ያዘጋጁ። ዲ. በመከላከል ላይ ያተኩሩ እና ስልታቸውን ለመቃወም ይሞክሩ።")</f>
        <v>ሀ. ስህተት እንዲሠሩ ለማስገደድ በደካማ ጉድጓዳቸው ውስጥ ወጥመዶችን ያዘጋጁ። ስህተት እስክትሰራ ድረስ ጠብቅ እና አቢይ ሆና እስክትሰራ ድረስ. እንቅስቃሴዎ እንዳይታወቅ ለማድረግ ዘሮችዎን እንደገና ያዘጋጁ። ዲ. በመከላከል ላይ ያተኩሩ እና ስልታቸውን ለመቃወም ይሞክሩ።</v>
      </c>
      <c r="J83" s="11" t="str">
        <f>IFERROR(__xludf.DUMMYFUNCTION("GOOGLETRANSLATE(D83, ""en"", ""am"")"),"ስህተት እንዲሠሩ ለማስገደድ በደካማ ጉድጓዳቸው ውስጥ ወጥመዶችን ያዘጋጁ።")</f>
        <v>ስህተት እንዲሠሩ ለማስገደድ በደካማ ጉድጓዳቸው ውስጥ ወጥመዶችን ያዘጋጁ።</v>
      </c>
      <c r="K83" s="11" t="str">
        <f>IFERROR(__xludf.DUMMYFUNCTION("GOOGLETRANSLATE(E83, ""en"", ""am"")"),"ወጥመዶችን ማዘጋጀት ለቀጣይ እንቅስቃሴዎ ክፍት ቦታዎችን ይፈጥራል።")</f>
        <v>ወጥመዶችን ማዘጋጀት ለቀጣይ እንቅስቃሴዎ ክፍት ቦታዎችን ይፈጥራል።</v>
      </c>
    </row>
    <row r="84" ht="22.5" customHeight="1">
      <c r="A84" s="10">
        <v>83.0</v>
      </c>
      <c r="B84" s="11" t="s">
        <v>3778</v>
      </c>
      <c r="C84" s="11" t="s">
        <v>3779</v>
      </c>
      <c r="D84" s="11" t="s">
        <v>3780</v>
      </c>
      <c r="E84" s="11" t="s">
        <v>3781</v>
      </c>
      <c r="G84" s="11" t="str">
        <f>IFERROR(__xludf.DUMMYFUNCTION("GOOGLETRANSLATE(A84, ""en"", ""th"")"),"83")</f>
        <v>83</v>
      </c>
      <c r="H84" s="11" t="str">
        <f>IFERROR(__xludf.DUMMYFUNCTION("GOOGLETRANSLATE(B84, ""en"", ""am"")"),"ተቃዋሚዎ ብዙ ዘሮችዎን እየያዘ በኃይል እየተጫወተ ነው። ምን ምላሽ ትሰጣለህ?")</f>
        <v>ተቃዋሚዎ ብዙ ዘሮችዎን እየያዘ በኃይል እየተጫወተ ነው። ምን ምላሽ ትሰጣለህ?</v>
      </c>
      <c r="I84" s="11" t="str">
        <f>IFERROR(__xludf.DUMMYFUNCTION("GOOGLETRANSLATE(C84, ""en"", ""am"")"),"ሀ. ተጨማሪ ኪሳራዎችን ለመከላከል ወደ መከላከያ ስልት ይቀይሩ. ጨዋታውን ለማመጣጠን ዘሮቻቸውን ከደካማ ጉድጓዶች ይጠብቁ. የራስዎን መልሶ ማጥቃት በማዘጋጀት ላይ ያተኩሩ.ዲ. ከጉድጓዳቸው ውስጥ በተቻለ መጠን ብዙ ዘሮችን ለመያዝ ይሞክሩ.")</f>
        <v>ሀ. ተጨማሪ ኪሳራዎችን ለመከላከል ወደ መከላከያ ስልት ይቀይሩ. ጨዋታውን ለማመጣጠን ዘሮቻቸውን ከደካማ ጉድጓዶች ይጠብቁ. የራስዎን መልሶ ማጥቃት በማዘጋጀት ላይ ያተኩሩ.ዲ. ከጉድጓዳቸው ውስጥ በተቻለ መጠን ብዙ ዘሮችን ለመያዝ ይሞክሩ.</v>
      </c>
      <c r="J84" s="11" t="str">
        <f>IFERROR(__xludf.DUMMYFUNCTION("GOOGLETRANSLATE(D84, ""en"", ""am"")"),"ተጨማሪ ኪሳራዎችን ለመከላከል ወደ መከላከያ ስልት ይቀይሩ")</f>
        <v>ተጨማሪ ኪሳራዎችን ለመከላከል ወደ መከላከያ ስልት ይቀይሩ</v>
      </c>
      <c r="K84" s="11" t="str">
        <f>IFERROR(__xludf.DUMMYFUNCTION("GOOGLETRANSLATE(E84, ""en"", ""am"")"),"ዘሮችዎን መጠበቅ የወደፊት ኢንፌክሽን እድላቸውን ይገድባል.")</f>
        <v>ዘሮችዎን መጠበቅ የወደፊት ኢንፌክሽን እድላቸውን ይገድባል.</v>
      </c>
    </row>
    <row r="85" ht="22.5" customHeight="1">
      <c r="A85" s="10">
        <v>84.0</v>
      </c>
      <c r="B85" s="11" t="s">
        <v>3782</v>
      </c>
      <c r="C85" s="11" t="s">
        <v>3783</v>
      </c>
      <c r="D85" s="11" t="s">
        <v>3784</v>
      </c>
      <c r="E85" s="11" t="s">
        <v>3785</v>
      </c>
      <c r="G85" s="11" t="str">
        <f>IFERROR(__xludf.DUMMYFUNCTION("GOOGLETRANSLATE(A85, ""en"", ""th"")"),"84")</f>
        <v>84</v>
      </c>
      <c r="H85" s="11" t="str">
        <f>IFERROR(__xludf.DUMMYFUNCTION("GOOGLETRANSLATE(B85, ""en"", ""am"")"),"በጉድጓዳችሁ ውስጥ ጥቂት ዘሮች ቀርተዋል፣ነገር ግን ተቃዋሚዎ ጨዋታውን እየተቆጣጠረ ነው። የእርስዎ ምርጥ ስልት ምንድን ነው?")</f>
        <v>በጉድጓዳችሁ ውስጥ ጥቂት ዘሮች ቀርተዋል፣ነገር ግን ተቃዋሚዎ ጨዋታውን እየተቆጣጠረ ነው። የእርስዎ ምርጥ ስልት ምንድን ነው?</v>
      </c>
      <c r="I85" s="11" t="str">
        <f>IFERROR(__xludf.DUMMYFUNCTION("GOOGLETRANSLATE(C85, ""en"", ""am"")"),"ሀ. እንዳይያዙ በመከላከል እና እንዲመለሱ እድል በመፍጠር ላይ ያተኩሩ። ሁሉንም ዘሮችዎን ወደ መከላከያ ቦታዎች ያንቀሳቅሱ እና ስህተት እስኪሰሩ ይጠብቁ.ሲ. ዘሮችን ለመያዝ እና እንደገና ለመቆጣጠር ደካማ ቦታዎቻቸውን ዒላማ ያድርጉ። ዘሮችዎን ለማንቀሳቀስ ትክክለኛውን ጊዜ ይጠብቁ እና እነሱን ለመያዝ ይሞክሩ።")</f>
        <v>ሀ. እንዳይያዙ በመከላከል እና እንዲመለሱ እድል በመፍጠር ላይ ያተኩሩ። ሁሉንም ዘሮችዎን ወደ መከላከያ ቦታዎች ያንቀሳቅሱ እና ስህተት እስኪሰሩ ይጠብቁ.ሲ. ዘሮችን ለመያዝ እና እንደገና ለመቆጣጠር ደካማ ቦታዎቻቸውን ዒላማ ያድርጉ። ዘሮችዎን ለማንቀሳቀስ ትክክለኛውን ጊዜ ይጠብቁ እና እነሱን ለመያዝ ይሞክሩ።</v>
      </c>
      <c r="J85" s="11" t="str">
        <f>IFERROR(__xludf.DUMMYFUNCTION("GOOGLETRANSLATE(D85, ""en"", ""am"")"),"እንዳይያዙ በመከላከል እና እንዲመለሱ እድሎችን በመፍጠር ላይ ያተኩሩ።")</f>
        <v>እንዳይያዙ በመከላከል እና እንዲመለሱ እድሎችን በመፍጠር ላይ ያተኩሩ።</v>
      </c>
      <c r="K85" s="11" t="str">
        <f>IFERROR(__xludf.DUMMYFUNCTION("GOOGLETRANSLATE(E85, ""en"", ""am"")"),"እንቅስቃሴያቸውን ማገድ አዳዲስ ስልቶችን ለማዘጋጀት ጊዜ ይሰጥዎታል።")</f>
        <v>እንቅስቃሴያቸውን ማገድ አዳዲስ ስልቶችን ለማዘጋጀት ጊዜ ይሰጥዎታል።</v>
      </c>
    </row>
    <row r="86" ht="22.5" customHeight="1">
      <c r="A86" s="10">
        <v>85.0</v>
      </c>
      <c r="B86" s="11" t="s">
        <v>3786</v>
      </c>
      <c r="C86" s="11" t="s">
        <v>3787</v>
      </c>
      <c r="D86" s="11" t="s">
        <v>3788</v>
      </c>
      <c r="E86" s="11" t="s">
        <v>3789</v>
      </c>
      <c r="G86" s="11" t="str">
        <f>IFERROR(__xludf.DUMMYFUNCTION("GOOGLETRANSLATE(A86, ""en"", ""th"")"),"85")</f>
        <v>85</v>
      </c>
      <c r="H86" s="11" t="str">
        <f>IFERROR(__xludf.DUMMYFUNCTION("GOOGLETRANSLATE(B86, ""en"", ""am"")"),"በዘር የተሞላ ጉድጓድ ልታጣ ነው። ቀጥሎ ምን ማድረግ አለቦት?")</f>
        <v>በዘር የተሞላ ጉድጓድ ልታጣ ነው። ቀጥሎ ምን ማድረግ አለቦት?</v>
      </c>
      <c r="I86" s="11" t="str">
        <f>IFERROR(__xludf.DUMMYFUNCTION("GOOGLETRANSLATE(C86, ""en"", ""am"")"),"ሀ. ዘሮችን ለመጠበቅ ወደ መከላከያ ጉድጓዶች ይውሰዱ.B. ከደካማ ጉድጓዳቸው ውስጥ ዘሮችን ለመያዝ በጣም ይሞክሩ.ሲ. ወደ ስህተት ለማስገደድ ወጥመዶችን አዘጋጅ.ዲ. ለመከላከል እና ለመልሶ ማጥቃት የተቀሩትን ጉድጓዶች እንደገና ያዘጋጁ።")</f>
        <v>ሀ. ዘሮችን ለመጠበቅ ወደ መከላከያ ጉድጓዶች ይውሰዱ.B. ከደካማ ጉድጓዳቸው ውስጥ ዘሮችን ለመያዝ በጣም ይሞክሩ.ሲ. ወደ ስህተት ለማስገደድ ወጥመዶችን አዘጋጅ.ዲ. ለመከላከል እና ለመልሶ ማጥቃት የተቀሩትን ጉድጓዶች እንደገና ያዘጋጁ።</v>
      </c>
      <c r="J86" s="11" t="str">
        <f>IFERROR(__xludf.DUMMYFUNCTION("GOOGLETRANSLATE(D86, ""en"", ""am"")"),"እነሱን ለመጠበቅ ዘሮችን ወደ መከላከያ ጉድጓዶች ያንቀሳቅሱ.")</f>
        <v>እነሱን ለመጠበቅ ዘሮችን ወደ መከላከያ ጉድጓዶች ያንቀሳቅሱ.</v>
      </c>
      <c r="K86" s="11" t="str">
        <f>IFERROR(__xludf.DUMMYFUNCTION("GOOGLETRANSLATE(E86, ""en"", ""am"")"),"የተቀሩትን ቀዳዳዎች መከላከል ተጨማሪ ኪሳራዎችን ይቀንሳል.")</f>
        <v>የተቀሩትን ቀዳዳዎች መከላከል ተጨማሪ ኪሳራዎችን ይቀንሳል.</v>
      </c>
    </row>
    <row r="87" ht="22.5" customHeight="1">
      <c r="A87" s="10">
        <v>86.0</v>
      </c>
      <c r="B87" s="11" t="s">
        <v>3790</v>
      </c>
      <c r="C87" s="11" t="s">
        <v>3791</v>
      </c>
      <c r="D87" s="11" t="s">
        <v>3792</v>
      </c>
      <c r="E87" s="11" t="s">
        <v>3793</v>
      </c>
      <c r="G87" s="11" t="str">
        <f>IFERROR(__xludf.DUMMYFUNCTION("GOOGLETRANSLATE(A87, ""en"", ""th"")"),"86")</f>
        <v>86</v>
      </c>
      <c r="H87" s="11" t="str">
        <f>IFERROR(__xludf.DUMMYFUNCTION("GOOGLETRANSLATE(B87, ""en"", ""am"")"),"ተቃዋሚዎ በውጭ ዛጎላቸው ውስጥ ወጥመድ እያዘጋጀ ነው። ምን ምላሽ ትሰጣለህ?")</f>
        <v>ተቃዋሚዎ በውጭ ዛጎላቸው ውስጥ ወጥመድ እያዘጋጀ ነው። ምን ምላሽ ትሰጣለህ?</v>
      </c>
      <c r="I87" s="11" t="str">
        <f>IFERROR(__xludf.DUMMYFUNCTION("GOOGLETRANSLATE(C87, ""en"", ""am"")"),"ሀ. እንዳይጠመድ ዘራችሁን ወደ ውስጠኛው ቀዳዳዎች ያንቀሳቅሱ። በተቻለ መጠን ብዙ ዘሮችን በቀዳዳቸው ውስጥ ያስቀምጡ. እንቅስቃሴዎቻቸውን ለማገድ ዘሮችዎን ወደ መከላከያ ቦታ ያዘጋጁ። መልሶ ማጥቃት በሚፈልጉበት ጊዜ ቀዳዳዎችዎን በመከላከል ላይ ያተኩሩ.")</f>
        <v>ሀ. እንዳይጠመድ ዘራችሁን ወደ ውስጠኛው ቀዳዳዎች ያንቀሳቅሱ። በተቻለ መጠን ብዙ ዘሮችን በቀዳዳቸው ውስጥ ያስቀምጡ. እንቅስቃሴዎቻቸውን ለማገድ ዘሮችዎን ወደ መከላከያ ቦታ ያዘጋጁ። መልሶ ማጥቃት በሚፈልጉበት ጊዜ ቀዳዳዎችዎን በመከላከል ላይ ያተኩሩ.</v>
      </c>
      <c r="J87" s="11" t="str">
        <f>IFERROR(__xludf.DUMMYFUNCTION("GOOGLETRANSLATE(D87, ""en"", ""am"")"),"ወጥመድ ውስጥ እንዳይገቡ ዘሮችዎን ወደ ውስጠኛው ቀዳዳዎች ያንቀሳቅሱ።")</f>
        <v>ወጥመድ ውስጥ እንዳይገቡ ዘሮችዎን ወደ ውስጠኛው ቀዳዳዎች ያንቀሳቅሱ።</v>
      </c>
      <c r="K87" s="11" t="str">
        <f>IFERROR(__xludf.DUMMYFUNCTION("GOOGLETRANSLATE(E87, ""en"", ""am"")"),"ዘሮችዎን ወደ ደህና ቦታዎች መውሰድ አላስፈላጊ አደጋዎችን ይከላከላል።")</f>
        <v>ዘሮችዎን ወደ ደህና ቦታዎች መውሰድ አላስፈላጊ አደጋዎችን ይከላከላል።</v>
      </c>
    </row>
    <row r="88" ht="22.5" customHeight="1">
      <c r="A88" s="10">
        <v>87.0</v>
      </c>
      <c r="B88" s="11" t="s">
        <v>3794</v>
      </c>
      <c r="C88" s="11" t="s">
        <v>3795</v>
      </c>
      <c r="D88" s="11" t="s">
        <v>3796</v>
      </c>
      <c r="E88" s="11" t="s">
        <v>3797</v>
      </c>
      <c r="G88" s="11" t="str">
        <f>IFERROR(__xludf.DUMMYFUNCTION("GOOGLETRANSLATE(A88, ""en"", ""th"")"),"87")</f>
        <v>87</v>
      </c>
      <c r="H88" s="11" t="str">
        <f>IFERROR(__xludf.DUMMYFUNCTION("GOOGLETRANSLATE(B88, ""en"", ""am"")"),"ተቃዋሚዎ በማዕከላዊ ቀዳዳዎች ውስጥ ብዙ ዘሮች እንዳሉት ያስተውላሉ. ይህን እንዴት ትቃወማለህ?")</f>
        <v>ተቃዋሚዎ በማዕከላዊ ቀዳዳዎች ውስጥ ብዙ ዘሮች እንዳሉት ያስተውላሉ. ይህን እንዴት ትቃወማለህ?</v>
      </c>
      <c r="I88" s="11" t="str">
        <f>IFERROR(__xludf.DUMMYFUNCTION("GOOGLETRANSLATE(C88, ""en"", ""am"")"),"ሀ. ውስጣቸውን ከመጠቀምዎ በፊት ውጫዊ ዘራቸውን በማግኘት ላይ ያተኩሩ። ወደ መሃል ጉድጓድ ውስጥ እንዳይወድቁ ዘሮችዎን እንደገና ያዘጋጁ። በተቻለ መጠን ብዙ ዘሮችን በጉድጓዳቸው ውስጥ ያስቀምጡ.ዲ. ጥግ ላይ በማጥመድ ስህተት እንዲሠሩ ያስገድዷቸው።")</f>
        <v>ሀ. ውስጣቸውን ከመጠቀምዎ በፊት ውጫዊ ዘራቸውን በማግኘት ላይ ያተኩሩ። ወደ መሃል ጉድጓድ ውስጥ እንዳይወድቁ ዘሮችዎን እንደገና ያዘጋጁ። በተቻለ መጠን ብዙ ዘሮችን በጉድጓዳቸው ውስጥ ያስቀምጡ.ዲ. ጥግ ላይ በማጥመድ ስህተት እንዲሠሩ ያስገድዷቸው።</v>
      </c>
      <c r="J88" s="11" t="str">
        <f>IFERROR(__xludf.DUMMYFUNCTION("GOOGLETRANSLATE(D88, ""en"", ""am"")"),"ውስጡን ከመጠቀምዎ በፊት ውጫዊ ዘሮቻቸውን በማግኘት ላይ ያተኩሩ.")</f>
        <v>ውስጡን ከመጠቀምዎ በፊት ውጫዊ ዘሮቻቸውን በማግኘት ላይ ያተኩሩ.</v>
      </c>
      <c r="K88" s="11" t="str">
        <f>IFERROR(__xludf.DUMMYFUNCTION("GOOGLETRANSLATE(E88, ""en"", ""am"")"),"የውጭ ዘሮቻቸውን ማቆየት ስልታቸውን ያበላሻል እና ይቀንሳል።")</f>
        <v>የውጭ ዘሮቻቸውን ማቆየት ስልታቸውን ያበላሻል እና ይቀንሳል።</v>
      </c>
    </row>
    <row r="89" ht="22.5" customHeight="1">
      <c r="A89" s="10">
        <v>88.0</v>
      </c>
      <c r="B89" s="11" t="s">
        <v>3798</v>
      </c>
      <c r="C89" s="11" t="s">
        <v>3799</v>
      </c>
      <c r="D89" s="11" t="s">
        <v>3800</v>
      </c>
      <c r="E89" s="11" t="s">
        <v>3801</v>
      </c>
      <c r="G89" s="11" t="str">
        <f>IFERROR(__xludf.DUMMYFUNCTION("GOOGLETRANSLATE(A89, ""en"", ""th"")"),"88")</f>
        <v>88</v>
      </c>
      <c r="H89" s="11" t="str">
        <f>IFERROR(__xludf.DUMMYFUNCTION("GOOGLETRANSLATE(B89, ""en"", ""am"")"),"ተቃዋሚዎ የመጨረሻውን ዘርዎን ከጉድጓዱ ውስጥ ወስዶታል. ቀጣዩ እርምጃህ ምንድን ነው?")</f>
        <v>ተቃዋሚዎ የመጨረሻውን ዘርዎን ከጉድጓዱ ውስጥ ወስዶታል. ቀጣዩ እርምጃህ ምንድን ነው?</v>
      </c>
      <c r="I89" s="11" t="str">
        <f>IFERROR(__xludf.DUMMYFUNCTION("GOOGLETRANSLATE(C89, ""en"", ""am"")"),"ሀ. አዳዲስ እድሎችን ለመፍጠር የተቀሩትን ዘሮች እንደገና ማደራጀት.B. የቀሩትን ጉድጓዶች ይጠብቁ እና እስኪሳሳቱ ድረስ ይጠብቁ። ጨዋታውን ለማመጣጠን ዘራቸውን ከደካማ ጉድጓዶች ይጠብቁ.ዲ. እንቅስቃሴያቸውን በመከልከል እና ተጨማሪ ቅጂዎችን በመከላከል ላይ ያተኩሩ።")</f>
        <v>ሀ. አዳዲስ እድሎችን ለመፍጠር የተቀሩትን ዘሮች እንደገና ማደራጀት.B. የቀሩትን ጉድጓዶች ይጠብቁ እና እስኪሳሳቱ ድረስ ይጠብቁ። ጨዋታውን ለማመጣጠን ዘራቸውን ከደካማ ጉድጓዶች ይጠብቁ.ዲ. እንቅስቃሴያቸውን በመከልከል እና ተጨማሪ ቅጂዎችን በመከላከል ላይ ያተኩሩ።</v>
      </c>
      <c r="J89" s="11" t="str">
        <f>IFERROR(__xludf.DUMMYFUNCTION("GOOGLETRANSLATE(D89, ""en"", ""am"")"),"አዳዲስ እድሎችን ለመፍጠር የተቀሩትን ዘሮች እንደገና ያዘጋጁ.")</f>
        <v>አዳዲስ እድሎችን ለመፍጠር የተቀሩትን ዘሮች እንደገና ያዘጋጁ.</v>
      </c>
      <c r="K89" s="11" t="str">
        <f>IFERROR(__xludf.DUMMYFUNCTION("GOOGLETRANSLATE(E89, ""en"", ""am"")"),"እንደገና ማደራጀት የበለጠ የመተጣጠፍ እና የመልሶ ማግኛ እድሎችን ይሰጥዎታል።")</f>
        <v>እንደገና ማደራጀት የበለጠ የመተጣጠፍ እና የመልሶ ማግኛ እድሎችን ይሰጥዎታል።</v>
      </c>
    </row>
    <row r="90" ht="22.5" customHeight="1">
      <c r="A90" s="10">
        <v>89.0</v>
      </c>
      <c r="B90" s="11" t="s">
        <v>3802</v>
      </c>
      <c r="C90" s="11" t="s">
        <v>3803</v>
      </c>
      <c r="D90" s="11" t="s">
        <v>3804</v>
      </c>
      <c r="E90" s="11" t="s">
        <v>3805</v>
      </c>
      <c r="G90" s="11" t="str">
        <f>IFERROR(__xludf.DUMMYFUNCTION("GOOGLETRANSLATE(A90, ""en"", ""th"")"),"89")</f>
        <v>89</v>
      </c>
      <c r="H90" s="11" t="str">
        <f>IFERROR(__xludf.DUMMYFUNCTION("GOOGLETRANSLATE(B90, ""en"", ""am"")"),"ተቃዋሚዎ ብዙ ቁጥር ያላቸውን ዘሮች ወስዷል። እንዴት ማገገም ይቻላል?")</f>
        <v>ተቃዋሚዎ ብዙ ቁጥር ያላቸውን ዘሮች ወስዷል። እንዴት ማገገም ይቻላል?</v>
      </c>
      <c r="I90" s="11" t="str">
        <f>IFERROR(__xludf.DUMMYFUNCTION("GOOGLETRANSLATE(C90, ""en"", ""am"")"),"ሀ. የመከላከያ ወጥመዶችን ለመፍጠር እና እንቅስቃሴያቸውን ለመገደብ ዘሮችዎን እንደገና ያዘጋጁ። ከደካማ ጉድጓዳቸው ውስጥ ዘሮችን ይያዙ እና ጨዋታውን ለማመጣጠን ይሞክሩ. ተጨማሪ ዘሮችን ለመያዝ የውጭ ቅርፎቻቸውን ያጥብቁ.ዲ. የቀሩትን ዘሮችዎን ይከላከሉ እና ለመመለስ እድሎችን ይፈልጉ።")</f>
        <v>ሀ. የመከላከያ ወጥመዶችን ለመፍጠር እና እንቅስቃሴያቸውን ለመገደብ ዘሮችዎን እንደገና ያዘጋጁ። ከደካማ ጉድጓዳቸው ውስጥ ዘሮችን ይያዙ እና ጨዋታውን ለማመጣጠን ይሞክሩ. ተጨማሪ ዘሮችን ለመያዝ የውጭ ቅርፎቻቸውን ያጥብቁ.ዲ. የቀሩትን ዘሮችዎን ይከላከሉ እና ለመመለስ እድሎችን ይፈልጉ።</v>
      </c>
      <c r="J90" s="11" t="str">
        <f>IFERROR(__xludf.DUMMYFUNCTION("GOOGLETRANSLATE(D90, ""en"", ""am"")"),"የመከላከያ ወጥመዶችን ለመፍጠር እና እንቅስቃሴያቸውን ለመገደብ ዘሮችዎን እንደገና ያዘጋጁ።")</f>
        <v>የመከላከያ ወጥመዶችን ለመፍጠር እና እንቅስቃሴያቸውን ለመገደብ ዘሮችዎን እንደገና ያዘጋጁ።</v>
      </c>
      <c r="K90" s="11" t="str">
        <f>IFERROR(__xludf.DUMMYFUNCTION("GOOGLETRANSLATE(E90, ""en"", ""am"")"),"ወጥመዶችን መፍጠር ብዙ ዘሮችን የመያዝ ችሎታቸውን ይገድባል.")</f>
        <v>ወጥመዶችን መፍጠር ብዙ ዘሮችን የመያዝ ችሎታቸውን ይገድባል.</v>
      </c>
    </row>
    <row r="91" ht="22.5" customHeight="1">
      <c r="A91" s="10">
        <v>90.0</v>
      </c>
      <c r="B91" s="11" t="s">
        <v>3806</v>
      </c>
      <c r="C91" s="11" t="s">
        <v>3807</v>
      </c>
      <c r="D91" s="11" t="s">
        <v>3808</v>
      </c>
      <c r="E91" s="11" t="s">
        <v>3809</v>
      </c>
      <c r="G91" s="11" t="str">
        <f>IFERROR(__xludf.DUMMYFUNCTION("GOOGLETRANSLATE(A91, ""en"", ""th"")"),"90")</f>
        <v>90</v>
      </c>
      <c r="H91" s="11" t="str">
        <f>IFERROR(__xludf.DUMMYFUNCTION("GOOGLETRANSLATE(B91, ""en"", ""am"")"),"ተቃዋሚዎ ከብዙ ጉድጓዶችዎ ውስጥ አንዱን ሊያጸዳ ነው። ምን ታደርጋለህ?")</f>
        <v>ተቃዋሚዎ ከብዙ ጉድጓዶችዎ ውስጥ አንዱን ሊያጸዳ ነው። ምን ታደርጋለህ?</v>
      </c>
      <c r="I91" s="11" t="str">
        <f>IFERROR(__xludf.DUMMYFUNCTION("GOOGLETRANSLATE(C91, ""en"", ""am"")"),"ሀ. እንቅስቃሴያቸውን ለመግታት የመከላከያ ቦታ ያዘጋጁ.B. የአንተን ከመያዛቸው በፊት በተቻለ መጠን ብዙ ልጆቻቸውን ያዝ። ተጨማሪ ኪሳራዎችን ለማስወገድ ዘሮችዎን ደህንነቱ በተጠበቀ ቦታ ያዘጋጁ። ስህተት እንዲሠሩ ለማስገደድ ወጥመዶችን በማዘጋጀት ላይ ያተኩሩ።")</f>
        <v>ሀ. እንቅስቃሴያቸውን ለመግታት የመከላከያ ቦታ ያዘጋጁ.B. የአንተን ከመያዛቸው በፊት በተቻለ መጠን ብዙ ልጆቻቸውን ያዝ። ተጨማሪ ኪሳራዎችን ለማስወገድ ዘሮችዎን ደህንነቱ በተጠበቀ ቦታ ያዘጋጁ። ስህተት እንዲሠሩ ለማስገደድ ወጥመዶችን በማዘጋጀት ላይ ያተኩሩ።</v>
      </c>
      <c r="J91" s="11" t="str">
        <f>IFERROR(__xludf.DUMMYFUNCTION("GOOGLETRANSLATE(D91, ""en"", ""am"")"),"እንቅስቃሴያቸውን ለማገድ የመከላከያ ቦታ ያዘጋጁ.")</f>
        <v>እንቅስቃሴያቸውን ለማገድ የመከላከያ ቦታ ያዘጋጁ.</v>
      </c>
      <c r="K91" s="11" t="str">
        <f>IFERROR(__xludf.DUMMYFUNCTION("GOOGLETRANSLATE(E91, ""en"", ""am"")"),"እንቅስቃሴያቸውን ማገድ ተጨማሪ የዘር መጥፋትን ይከላከላል.")</f>
        <v>እንቅስቃሴያቸውን ማገድ ተጨማሪ የዘር መጥፋትን ይከላከላል.</v>
      </c>
    </row>
    <row r="92" ht="22.5" customHeight="1">
      <c r="A92" s="10">
        <v>91.0</v>
      </c>
      <c r="B92" s="11" t="s">
        <v>3810</v>
      </c>
      <c r="C92" s="11" t="s">
        <v>3811</v>
      </c>
      <c r="D92" s="11" t="s">
        <v>3812</v>
      </c>
      <c r="E92" s="11" t="s">
        <v>3813</v>
      </c>
      <c r="G92" s="11" t="str">
        <f>IFERROR(__xludf.DUMMYFUNCTION("GOOGLETRANSLATE(A92, ""en"", ""th"")"),"91")</f>
        <v>91</v>
      </c>
      <c r="H92" s="11" t="str">
        <f>IFERROR(__xludf.DUMMYFUNCTION("GOOGLETRANSLATE(B92, ""en"", ""am"")"),"አሁን እርምጃ ወስደዋል፣ እና ተቃዋሚዎ ሊበቀል ነው። ቀጣዩ እርምጃህ ምንድን ነው?")</f>
        <v>አሁን እርምጃ ወስደዋል፣ እና ተቃዋሚዎ ሊበቀል ነው። ቀጣዩ እርምጃህ ምንድን ነው?</v>
      </c>
      <c r="I92" s="11" t="str">
        <f>IFERROR(__xludf.DUMMYFUNCTION("GOOGLETRANSLATE(C92, ""en"", ""am"")"),"ሀ. የመልሶ ማጥቃትን ለመከላከል ዘሮችዎን እንደገና ያዘጋጁ። ዘራቸውን ከደካማ ጉድጓዶች ለመያዝ ይሞክሩ. የቀሩትን ዘሮች እንቅስቃሴያቸውን ለመዝጋት ወደ ደህና ቦታዎች ይውሰዱ። እንቅስቃሴያቸውን እስኪያደርጉ ድረስ ይጠብቁ እና ተገቢውን ምላሽ ይስጡ.")</f>
        <v>ሀ. የመልሶ ማጥቃትን ለመከላከል ዘሮችዎን እንደገና ያዘጋጁ። ዘራቸውን ከደካማ ጉድጓዶች ለመያዝ ይሞክሩ. የቀሩትን ዘሮች እንቅስቃሴያቸውን ለመዝጋት ወደ ደህና ቦታዎች ይውሰዱ። እንቅስቃሴያቸውን እስኪያደርጉ ድረስ ይጠብቁ እና ተገቢውን ምላሽ ይስጡ.</v>
      </c>
      <c r="J92" s="11" t="str">
        <f>IFERROR(__xludf.DUMMYFUNCTION("GOOGLETRANSLATE(D92, ""en"", ""am"")"),"መልሶ ማጥቃትን ለመከላከል ዘሮችዎን እንደገና ያዘጋጁ።")</f>
        <v>መልሶ ማጥቃትን ለመከላከል ዘሮችዎን እንደገና ያዘጋጁ።</v>
      </c>
      <c r="K92" s="11" t="str">
        <f>IFERROR(__xludf.DUMMYFUNCTION("GOOGLETRANSLATE(E92, ""en"", ""am"")"),"የእነሱን የበቀል እርምጃ መከላከል ጉዳቱን ይቀንሳል.")</f>
        <v>የእነሱን የበቀል እርምጃ መከላከል ጉዳቱን ይቀንሳል.</v>
      </c>
    </row>
    <row r="93" ht="22.5" customHeight="1">
      <c r="A93" s="10">
        <v>92.0</v>
      </c>
      <c r="B93" s="11" t="s">
        <v>3814</v>
      </c>
      <c r="C93" s="11" t="s">
        <v>3815</v>
      </c>
      <c r="D93" s="11" t="s">
        <v>3816</v>
      </c>
      <c r="E93" s="11" t="s">
        <v>3817</v>
      </c>
      <c r="G93" s="11" t="str">
        <f>IFERROR(__xludf.DUMMYFUNCTION("GOOGLETRANSLATE(A93, ""en"", ""th"")"),"92")</f>
        <v>92</v>
      </c>
      <c r="H93" s="11" t="str">
        <f>IFERROR(__xludf.DUMMYFUNCTION("GOOGLETRANSLATE(B93, ""en"", ""am"")"),"ተቃዋሚዎ የተሳካ እንቅስቃሴ አድርጓል። ቀጥሎ ምን ታደርጋለህ?")</f>
        <v>ተቃዋሚዎ የተሳካ እንቅስቃሴ አድርጓል። ቀጥሎ ምን ታደርጋለህ?</v>
      </c>
      <c r="I93" s="11" t="str">
        <f>IFERROR(__xludf.DUMMYFUNCTION("GOOGLETRANSLATE(C93, ""en"", ""am"")"),"ሀ. ቀጣዩን እንቅስቃሴያቸውን በመከልከል እና ብዙ ዘሮችን እንዳይይዙ በመከላከል ላይ ያተኩሩ። ለመልሶ ማጥቃት ለመዘጋጀት ዘሮችዎን እንደገና ያዘጋጁ። ዘራቸውን ከደካማ ጉድጓዶች አጥብቀው ይያዙ.ዲ. ዘሮችዎን ለመጠበቅ ወደ መጠለያ ቦታዎች ይሂዱ።")</f>
        <v>ሀ. ቀጣዩን እንቅስቃሴያቸውን በመከልከል እና ብዙ ዘሮችን እንዳይይዙ በመከላከል ላይ ያተኩሩ። ለመልሶ ማጥቃት ለመዘጋጀት ዘሮችዎን እንደገና ያዘጋጁ። ዘራቸውን ከደካማ ጉድጓዶች አጥብቀው ይያዙ.ዲ. ዘሮችዎን ለመጠበቅ ወደ መጠለያ ቦታዎች ይሂዱ።</v>
      </c>
      <c r="J93" s="11" t="str">
        <f>IFERROR(__xludf.DUMMYFUNCTION("GOOGLETRANSLATE(D93, ""en"", ""am"")"),"ቀጣዩን እርምጃቸውን በመከልከል እና ብዙ ዘሮችን እንዳይይዙ በመከልከል ላይ ያተኩሩ።")</f>
        <v>ቀጣዩን እርምጃቸውን በመከልከል እና ብዙ ዘሮችን እንዳይይዙ በመከልከል ላይ ያተኩሩ።</v>
      </c>
      <c r="K93" s="11" t="str">
        <f>IFERROR(__xludf.DUMMYFUNCTION("GOOGLETRANSLATE(E93, ""en"", ""am"")"),"እንቅስቃሴያቸውን ማገድ የበቀል እድሎችን ይፈጥራል።")</f>
        <v>እንቅስቃሴያቸውን ማገድ የበቀል እድሎችን ይፈጥራል።</v>
      </c>
    </row>
    <row r="94" ht="22.5" customHeight="1">
      <c r="A94" s="10">
        <v>93.0</v>
      </c>
      <c r="B94" s="11" t="s">
        <v>3818</v>
      </c>
      <c r="C94" s="11" t="s">
        <v>3819</v>
      </c>
      <c r="D94" s="11" t="s">
        <v>3820</v>
      </c>
      <c r="E94" s="11" t="s">
        <v>3821</v>
      </c>
      <c r="G94" s="11" t="str">
        <f>IFERROR(__xludf.DUMMYFUNCTION("GOOGLETRANSLATE(A94, ""en"", ""th"")"),"93")</f>
        <v>93</v>
      </c>
      <c r="H94" s="11" t="str">
        <f>IFERROR(__xludf.DUMMYFUNCTION("GOOGLETRANSLATE(B94, ""en"", ""am"")"),"በጨዋታው ውስጥ ከኋላ ነዎት፣ እና ተቃዋሚዎ የበለጠ ኃይል እያገኘ ነው። ምን ታደርጋለህ፧")</f>
        <v>በጨዋታው ውስጥ ከኋላ ነዎት፣ እና ተቃዋሚዎ የበለጠ ኃይል እያገኘ ነው። ምን ታደርጋለህ፧</v>
      </c>
      <c r="I94" s="11" t="str">
        <f>IFERROR(__xludf.DUMMYFUNCTION("GOOGLETRANSLATE(C94, ""en"", ""am"")"),"ሀ. ወደ መከላከያ ሁነታ ይቀይሩ እና ለስህተት ተስፋ ያድርጉ. ጥቅሞቻቸውን ለመቀነስ በተቻለ መጠን ብዙ ልጆቻቸውን ይያዙ። ስልታቸውን ለማክሸፍ ወጥመዶችን በማዘጋጀት ላይ ያተኩሩ። ተጨማሪ ኪሳራዎችን ለማስወገድ ዘሮችዎን እንደገና ያዘጋጁ እና መልሶ ማጥቃት ይጠብቁ።")</f>
        <v>ሀ. ወደ መከላከያ ሁነታ ይቀይሩ እና ለስህተት ተስፋ ያድርጉ. ጥቅሞቻቸውን ለመቀነስ በተቻለ መጠን ብዙ ልጆቻቸውን ይያዙ። ስልታቸውን ለማክሸፍ ወጥመዶችን በማዘጋጀት ላይ ያተኩሩ። ተጨማሪ ኪሳራዎችን ለማስወገድ ዘሮችዎን እንደገና ያዘጋጁ እና መልሶ ማጥቃት ይጠብቁ።</v>
      </c>
      <c r="J94" s="11" t="str">
        <f>IFERROR(__xludf.DUMMYFUNCTION("GOOGLETRANSLATE(D94, ""en"", ""am"")"),"ወደ መከላከያ ሁነታ ይቀይሩ እና ስህተትን ተስፋ ያድርጉ")</f>
        <v>ወደ መከላከያ ሁነታ ይቀይሩ እና ስህተትን ተስፋ ያድርጉ</v>
      </c>
      <c r="K94" s="11" t="str">
        <f>IFERROR(__xludf.DUMMYFUNCTION("GOOGLETRANSLATE(E94, ""en"", ""am"")"),"መከላከል እንደገና ለመሰባሰብ እና ለማገገም ተጨማሪ ጊዜ ይሰጥዎታል።")</f>
        <v>መከላከል እንደገና ለመሰባሰብ እና ለማገገም ተጨማሪ ጊዜ ይሰጥዎታል።</v>
      </c>
    </row>
    <row r="95" ht="22.5" customHeight="1">
      <c r="A95" s="10">
        <v>94.0</v>
      </c>
      <c r="B95" s="11" t="s">
        <v>3822</v>
      </c>
      <c r="C95" s="11" t="s">
        <v>3823</v>
      </c>
      <c r="D95" s="11" t="s">
        <v>3824</v>
      </c>
      <c r="E95" s="11" t="s">
        <v>3825</v>
      </c>
      <c r="G95" s="11" t="str">
        <f>IFERROR(__xludf.DUMMYFUNCTION("GOOGLETRANSLATE(A95, ""en"", ""th"")"),"94")</f>
        <v>94</v>
      </c>
      <c r="H95" s="11" t="str">
        <f>IFERROR(__xludf.DUMMYFUNCTION("GOOGLETRANSLATE(B95, ""en"", ""am"")"),"ተቃዋሚዎ በቁጣ እየተጫወተ ነው፣ እና አሁን በዘር የተሞላ ጉድጓድ አጥተዋል። ምን ምላሽ ትሰጣለህ?")</f>
        <v>ተቃዋሚዎ በቁጣ እየተጫወተ ነው፣ እና አሁን በዘር የተሞላ ጉድጓድ አጥተዋል። ምን ምላሽ ትሰጣለህ?</v>
      </c>
      <c r="I95" s="11" t="str">
        <f>IFERROR(__xludf.DUMMYFUNCTION("GOOGLETRANSLATE(C95, ""en"", ""am"")"),"ሀ. ዘሮችዎን ወደ ደህና ቦታዎች ያንቀሳቅሱ እና ተጨማሪ ወረራዎችን ይከላከሉ. በደካማ ጉድጓዶች ውስጥ ወጥመዶችን ለማዘጋጀት ስህተትን ለማስገደድ ይሞክሩ. መልሶ ማጥቃት ለመፍጠር እና ዘሮቹን እንደገና ለመያዝ ዘሮችዎን እንደገና ያደራጁ። ጥቃታቸውን በመከላከል እና ለመከላከያ መዘጋጀት ላይ ያተኩሩ።")</f>
        <v>ሀ. ዘሮችዎን ወደ ደህና ቦታዎች ያንቀሳቅሱ እና ተጨማሪ ወረራዎችን ይከላከሉ. በደካማ ጉድጓዶች ውስጥ ወጥመዶችን ለማዘጋጀት ስህተትን ለማስገደድ ይሞክሩ. መልሶ ማጥቃት ለመፍጠር እና ዘሮቹን እንደገና ለመያዝ ዘሮችዎን እንደገና ያደራጁ። ጥቃታቸውን በመከላከል እና ለመከላከያ መዘጋጀት ላይ ያተኩሩ።</v>
      </c>
      <c r="J95" s="11" t="str">
        <f>IFERROR(__xludf.DUMMYFUNCTION("GOOGLETRANSLATE(D95, ""en"", ""am"")"),"ዘሮችዎን ወደ ደህና ቦታዎች ያንቀሳቅሱ እና ተጨማሪ ወረራዎችን ይከላከሉ.")</f>
        <v>ዘሮችዎን ወደ ደህና ቦታዎች ያንቀሳቅሱ እና ተጨማሪ ወረራዎችን ይከላከሉ.</v>
      </c>
      <c r="K95" s="11" t="str">
        <f>IFERROR(__xludf.DUMMYFUNCTION("GOOGLETRANSLATE(E95, ""en"", ""am"")"),"መከላከል ብዙ ዘሮችን እንዳያመርቱ ያግዳቸዋል.")</f>
        <v>መከላከል ብዙ ዘሮችን እንዳያመርቱ ያግዳቸዋል.</v>
      </c>
    </row>
    <row r="96" ht="22.5" customHeight="1">
      <c r="A96" s="10">
        <v>95.0</v>
      </c>
      <c r="B96" s="11" t="s">
        <v>3826</v>
      </c>
      <c r="C96" s="11" t="s">
        <v>3827</v>
      </c>
      <c r="D96" s="11" t="s">
        <v>3828</v>
      </c>
      <c r="E96" s="11" t="s">
        <v>3829</v>
      </c>
      <c r="G96" s="11" t="str">
        <f>IFERROR(__xludf.DUMMYFUNCTION("GOOGLETRANSLATE(A96, ""en"", ""th"")"),"95")</f>
        <v>95</v>
      </c>
      <c r="H96" s="11" t="str">
        <f>IFERROR(__xludf.DUMMYFUNCTION("GOOGLETRANSLATE(B96, ""en"", ""am"")"),"ተቃዋሚዎ ያለማቋረጥ ዘርዎን ከውጭ ጉድጓድዎ እየወሰደ ነው. ይህን እንዴት ትቃወማለህ?")</f>
        <v>ተቃዋሚዎ ያለማቋረጥ ዘርዎን ከውጭ ጉድጓድዎ እየወሰደ ነው. ይህን እንዴት ትቃወማለህ?</v>
      </c>
      <c r="I96" s="11" t="str">
        <f>IFERROR(__xludf.DUMMYFUNCTION("GOOGLETRANSLATE(C96, ""en"", ""am"")"),"ሀ. ዘራችሁን በበለጠ በተጠበቁ ቦታዎች አዘጋጁ.B. ዘራቸውን ከደካማ ጉድጓዶች ይያዙ እና ጨዋታውን ያመዛዝኑ.ሲ. ተጨማሪ እንዳይያዝ በውጫዊ ጉድጓዶች ውስጥ ወጥመዶችን አዘጋጅ.ዲ. እንደገና ለመቆጣጠር ማዕከላዊ ጉድጓዱን በኃይል ኢላማ አድርገዋል።")</f>
        <v>ሀ. ዘራችሁን በበለጠ በተጠበቁ ቦታዎች አዘጋጁ.B. ዘራቸውን ከደካማ ጉድጓዶች ይያዙ እና ጨዋታውን ያመዛዝኑ.ሲ. ተጨማሪ እንዳይያዝ በውጫዊ ጉድጓዶች ውስጥ ወጥመዶችን አዘጋጅ.ዲ. እንደገና ለመቆጣጠር ማዕከላዊ ጉድጓዱን በኃይል ኢላማ አድርገዋል።</v>
      </c>
      <c r="J96" s="11" t="str">
        <f>IFERROR(__xludf.DUMMYFUNCTION("GOOGLETRANSLATE(D96, ""en"", ""am"")"),"ዘሮችዎን በበለጠ በተጠበቁ አካባቢዎች ያዘጋጁ።")</f>
        <v>ዘሮችዎን በበለጠ በተጠበቁ አካባቢዎች ያዘጋጁ።</v>
      </c>
      <c r="K96" s="11" t="str">
        <f>IFERROR(__xludf.DUMMYFUNCTION("GOOGLETRANSLATE(E96, ""en"", ""am"")"),"የውሃ ጉድጓዶችን መጠበቅ የኢንፌክሽን እድሎችን ይቀንሳል.")</f>
        <v>የውሃ ጉድጓዶችን መጠበቅ የኢንፌክሽን እድሎችን ይቀንሳል.</v>
      </c>
    </row>
    <row r="97" ht="22.5" customHeight="1">
      <c r="A97" s="10">
        <v>96.0</v>
      </c>
      <c r="B97" s="11" t="s">
        <v>3830</v>
      </c>
      <c r="C97" s="11" t="s">
        <v>3831</v>
      </c>
      <c r="D97" s="11" t="s">
        <v>3832</v>
      </c>
      <c r="E97" s="11" t="s">
        <v>3833</v>
      </c>
      <c r="G97" s="11" t="str">
        <f>IFERROR(__xludf.DUMMYFUNCTION("GOOGLETRANSLATE(A97, ""en"", ""th"")"),"96")</f>
        <v>96</v>
      </c>
      <c r="H97" s="11" t="str">
        <f>IFERROR(__xludf.DUMMYFUNCTION("GOOGLETRANSLATE(B97, ""en"", ""am"")"),"ተቃዋሚዎ አሁን በውጪ ጉድጓዶች ውስጥ ወጥመድ አዘጋጅቷል። ምን ምላሽ ትሰጣለህ?")</f>
        <v>ተቃዋሚዎ አሁን በውጪ ጉድጓዶች ውስጥ ወጥመድ አዘጋጅቷል። ምን ምላሽ ትሰጣለህ?</v>
      </c>
      <c r="I97" s="11" t="str">
        <f>IFERROR(__xludf.DUMMYFUNCTION("GOOGLETRANSLATE(C97, ""en"", ""am"")"),"ሀ. በወጥመዱ ውስጥ ከመውደቅ ለመዳን ዘሮችዎን ወደ ውስጠኛው ቀዳዳዎች ያንቀሳቅሱ. ከማዕከላዊ ጉድጓድ ውስጥ ዘሮችን በማስወገድ ላይ ያተኩሩ. ወጥመዳቸውን ለመዝጋት እና መልሶ ለማጥቃት ዘሮችዎን እንደገና ያዘጋጁ። የባዕድ መቃብርዎን ይከላከሉ እና ዘሮቻቸውን ለመያዝ ይሞክሩ")</f>
        <v>ሀ. በወጥመዱ ውስጥ ከመውደቅ ለመዳን ዘሮችዎን ወደ ውስጠኛው ቀዳዳዎች ያንቀሳቅሱ. ከማዕከላዊ ጉድጓድ ውስጥ ዘሮችን በማስወገድ ላይ ያተኩሩ. ወጥመዳቸውን ለመዝጋት እና መልሶ ለማጥቃት ዘሮችዎን እንደገና ያዘጋጁ። የባዕድ መቃብርዎን ይከላከሉ እና ዘሮቻቸውን ለመያዝ ይሞክሩ</v>
      </c>
      <c r="J97" s="11" t="str">
        <f>IFERROR(__xludf.DUMMYFUNCTION("GOOGLETRANSLATE(D97, ""en"", ""am"")"),"ወጥመዱ ውስጥ መውደቅን ለማስወገድ ዘሮችዎን ወደ ውስጠኛው ቀዳዳዎች ያንቀሳቅሱ።")</f>
        <v>ወጥመዱ ውስጥ መውደቅን ለማስወገድ ዘሮችዎን ወደ ውስጠኛው ቀዳዳዎች ያንቀሳቅሱ።</v>
      </c>
      <c r="K97" s="11" t="str">
        <f>IFERROR(__xludf.DUMMYFUNCTION("GOOGLETRANSLATE(E97, ""en"", ""am"")"),"ወጥመዱን ማስወገድ በሚቀጥሉት እንቅስቃሴዎችዎ የበለጠ ተለዋዋጭነት ይሰጥዎታል።")</f>
        <v>ወጥመዱን ማስወገድ በሚቀጥሉት እንቅስቃሴዎችዎ የበለጠ ተለዋዋጭነት ይሰጥዎታል።</v>
      </c>
    </row>
    <row r="98" ht="22.5" customHeight="1">
      <c r="A98" s="10">
        <v>97.0</v>
      </c>
      <c r="B98" s="11" t="s">
        <v>3834</v>
      </c>
      <c r="C98" s="11" t="s">
        <v>3835</v>
      </c>
      <c r="D98" s="11" t="s">
        <v>3836</v>
      </c>
      <c r="E98" s="11" t="s">
        <v>3837</v>
      </c>
      <c r="G98" s="11" t="str">
        <f>IFERROR(__xludf.DUMMYFUNCTION("GOOGLETRANSLATE(A98, ""en"", ""th"")"),"97")</f>
        <v>97</v>
      </c>
      <c r="H98" s="11" t="str">
        <f>IFERROR(__xludf.DUMMYFUNCTION("GOOGLETRANSLATE(B98, ""en"", ""am"")"),"ተቃዋሚዎ አሁን ዘራቸውን ወደ መከላከያ ቦታ አንቀሳቅሰዋል። ምን ምላሽ ትሰጣለህ?")</f>
        <v>ተቃዋሚዎ አሁን ዘራቸውን ወደ መከላከያ ቦታ አንቀሳቅሰዋል። ምን ምላሽ ትሰጣለህ?</v>
      </c>
      <c r="I98" s="11" t="str">
        <f>IFERROR(__xludf.DUMMYFUNCTION("GOOGLETRANSLATE(C98, ""en"", ""am"")"),"ሀ. ክፍት በተዋቸው ደካማ ጉድጓዶች ውስጥ ዘራቸውን ለመያዝ ይሞክሩ.B. ዘሮችዎን እንደገና ወደ መከላከያ አደረጃጀት ያዘጋጁ እና እድልን ይጠብቁ። ስህተት እንዲሠሩ ለማስገደድ ወጥመዶችን አዘጋጅ.ዲ. መከላከያቸውን ከማጠናከርዎ በፊት ዘራቸውን በመያዝ ላይ ያተኩሩ.")</f>
        <v>ሀ. ክፍት በተዋቸው ደካማ ጉድጓዶች ውስጥ ዘራቸውን ለመያዝ ይሞክሩ.B. ዘሮችዎን እንደገና ወደ መከላከያ አደረጃጀት ያዘጋጁ እና እድልን ይጠብቁ። ስህተት እንዲሠሩ ለማስገደድ ወጥመዶችን አዘጋጅ.ዲ. መከላከያቸውን ከማጠናከርዎ በፊት ዘራቸውን በመያዝ ላይ ያተኩሩ.</v>
      </c>
      <c r="J98" s="11" t="str">
        <f>IFERROR(__xludf.DUMMYFUNCTION("GOOGLETRANSLATE(D98, ""en"", ""am"")"),"ክፍት በተዋቸው ደካማ ጉድጓዶች ውስጥ ዘራቸውን ለመያዝ ይሞክሩ.")</f>
        <v>ክፍት በተዋቸው ደካማ ጉድጓዶች ውስጥ ዘራቸውን ለመያዝ ይሞክሩ.</v>
      </c>
      <c r="K98" s="11" t="str">
        <f>IFERROR(__xludf.DUMMYFUNCTION("GOOGLETRANSLATE(E98, ""en"", ""am"")"),"ደካማ ውስጣቸውን መያዙ መከላከያቸውን ያዳክማል እና ሚዛንን ያድሳል.")</f>
        <v>ደካማ ውስጣቸውን መያዙ መከላከያቸውን ያዳክማል እና ሚዛንን ያድሳል.</v>
      </c>
    </row>
    <row r="99" ht="22.5" customHeight="1">
      <c r="A99" s="10">
        <v>98.0</v>
      </c>
      <c r="B99" s="11" t="s">
        <v>3838</v>
      </c>
      <c r="C99" s="11" t="s">
        <v>3839</v>
      </c>
      <c r="D99" s="11" t="s">
        <v>3840</v>
      </c>
      <c r="E99" s="11" t="s">
        <v>3841</v>
      </c>
      <c r="G99" s="11" t="str">
        <f>IFERROR(__xludf.DUMMYFUNCTION("GOOGLETRANSLATE(A99, ""en"", ""th"")"),"98")</f>
        <v>98</v>
      </c>
      <c r="H99" s="11" t="str">
        <f>IFERROR(__xludf.DUMMYFUNCTION("GOOGLETRANSLATE(B99, ""en"", ""am"")"),"ተቃዋሚዎ የመልሶ ማጥቃት ሲያዘጋጅ ያስተውላሉ። ምን ምላሽ ትሰጣለህ?")</f>
        <v>ተቃዋሚዎ የመልሶ ማጥቃት ሲያዘጋጅ ያስተውላሉ። ምን ምላሽ ትሰጣለህ?</v>
      </c>
      <c r="I99" s="11" t="str">
        <f>IFERROR(__xludf.DUMMYFUNCTION("GOOGLETRANSLATE(C99, ""en"", ""am"")"),"ሀ. የመልሶ ማጥቃትን ለመከላከል ዘሮችዎን ወደ መከላከያ ቦታ ያሰምሩ። ዘራቸውን በመያዝ እና እቅዶቻቸውን በማደናቀፍ ላይ ያተኩሩ. እንቅስቃሴያቸውን እስኪያደርጉ ድረስ ይጠብቁ እና ከዚያም መልሶ ማጥቃትን ያግዱ.ዲ. ስህተት እንዲሠሩ ለማስገደድ ወጥመድ ያዘጋጁ።")</f>
        <v>ሀ. የመልሶ ማጥቃትን ለመከላከል ዘሮችዎን ወደ መከላከያ ቦታ ያሰምሩ። ዘራቸውን በመያዝ እና እቅዶቻቸውን በማደናቀፍ ላይ ያተኩሩ. እንቅስቃሴያቸውን እስኪያደርጉ ድረስ ይጠብቁ እና ከዚያም መልሶ ማጥቃትን ያግዱ.ዲ. ስህተት እንዲሠሩ ለማስገደድ ወጥመድ ያዘጋጁ።</v>
      </c>
      <c r="J99" s="11" t="str">
        <f>IFERROR(__xludf.DUMMYFUNCTION("GOOGLETRANSLATE(D99, ""en"", ""am"")"),"መልሶ ማጥቃትን ለመከላከል ዘሮችዎን ወደ መከላከያ ቦታ ያሰምሩ።")</f>
        <v>መልሶ ማጥቃትን ለመከላከል ዘሮችዎን ወደ መከላከያ ቦታ ያሰምሩ።</v>
      </c>
      <c r="K99" s="11" t="str">
        <f>IFERROR(__xludf.DUMMYFUNCTION("GOOGLETRANSLATE(E99, ""en"", ""am"")"),"በመልሶ ማጥቃት መከላከል የማገገም እድላቸውን ይገድባል።")</f>
        <v>በመልሶ ማጥቃት መከላከል የማገገም እድላቸውን ይገድባል።</v>
      </c>
    </row>
    <row r="100" ht="22.5" customHeight="1">
      <c r="A100" s="10">
        <v>99.0</v>
      </c>
      <c r="B100" s="11" t="s">
        <v>3842</v>
      </c>
      <c r="C100" s="11" t="s">
        <v>3843</v>
      </c>
      <c r="D100" s="11" t="s">
        <v>3844</v>
      </c>
      <c r="E100" s="11" t="s">
        <v>3845</v>
      </c>
      <c r="G100" s="11" t="str">
        <f>IFERROR(__xludf.DUMMYFUNCTION("GOOGLETRANSLATE(A100, ""en"", ""th"")"),"99")</f>
        <v>99</v>
      </c>
      <c r="H100" s="11" t="str">
        <f>IFERROR(__xludf.DUMMYFUNCTION("GOOGLETRANSLATE(B100, ""en"", ""am"")"),"ከተቃዋሚዎ ዘሮች ጥቂቶቹን ብቻ ነው የወሰዱት፣ ግን አሁንም ጠንካራ አቋም አላቸው። ቀጥሎ ምን ታደርጋለህ?")</f>
        <v>ከተቃዋሚዎ ዘሮች ጥቂቶቹን ብቻ ነው የወሰዱት፣ ግን አሁንም ጠንካራ አቋም አላቸው። ቀጥሎ ምን ታደርጋለህ?</v>
      </c>
      <c r="I100" s="11" t="str">
        <f>IFERROR(__xludf.DUMMYFUNCTION("GOOGLETRANSLATE(C100, ""en"", ""am"")"),"ሀ. ቦታዎን ለመጠበቅ እና ተመልሶ እንዳይመጣ ለማድረግ ዘሮችዎን እንደገና ያዘጋጁ.B. ስህተት እንዲሠሩ ለማስገደድ ወጥመዶችን አዘጋጅ። የቀሩትን ዘሮች በመያዝ እና ጨዋታውን በማጠናቀቅ ላይ ያተኩሩ.ዲ. እንቅስቃሴያቸውን እስኪያደርጉ ድረስ ይጠብቁ እና ስልትዎን ያስተካክሉ።")</f>
        <v>ሀ. ቦታዎን ለመጠበቅ እና ተመልሶ እንዳይመጣ ለማድረግ ዘሮችዎን እንደገና ያዘጋጁ.B. ስህተት እንዲሠሩ ለማስገደድ ወጥመዶችን አዘጋጅ። የቀሩትን ዘሮች በመያዝ እና ጨዋታውን በማጠናቀቅ ላይ ያተኩሩ.ዲ. እንቅስቃሴያቸውን እስኪያደርጉ ድረስ ይጠብቁ እና ስልትዎን ያስተካክሉ።</v>
      </c>
      <c r="J100" s="11" t="str">
        <f>IFERROR(__xludf.DUMMYFUNCTION("GOOGLETRANSLATE(D100, ""en"", ""am"")"),"ቦታዎን ለመጠበቅ እና ተመልሶ እንዳይመጣ ለማድረግ ዘሮችዎን እንደገና ያዘጋጁ።")</f>
        <v>ቦታዎን ለመጠበቅ እና ተመልሶ እንዳይመጣ ለማድረግ ዘሮችዎን እንደገና ያዘጋጁ።</v>
      </c>
      <c r="K100" s="11" t="str">
        <f>IFERROR(__xludf.DUMMYFUNCTION("GOOGLETRANSLATE(E100, ""en"", ""am"")"),"ቦታዎን ማስጠበቅ ለማገገም ከባድ ያደርጋቸዋል።")</f>
        <v>ቦታዎን ማስጠበቅ ለማገገም ከባድ ያደርጋቸዋል።</v>
      </c>
    </row>
    <row r="101" ht="22.5" customHeight="1">
      <c r="A101" s="10">
        <v>100.0</v>
      </c>
      <c r="B101" s="11" t="s">
        <v>3846</v>
      </c>
      <c r="C101" s="11" t="s">
        <v>3847</v>
      </c>
      <c r="D101" s="11" t="s">
        <v>3848</v>
      </c>
      <c r="E101" s="11" t="s">
        <v>3849</v>
      </c>
      <c r="G101" s="11" t="str">
        <f>IFERROR(__xludf.DUMMYFUNCTION("GOOGLETRANSLATE(A101, ""en"", ""th"")"),"100")</f>
        <v>100</v>
      </c>
      <c r="H101" s="11" t="str">
        <f>IFERROR(__xludf.DUMMYFUNCTION("GOOGLETRANSLATE(B101, ""en"", ""am"")"),"በርካታ የተቃዋሚህን ዘሮች ወስደሃል፣ ግን አሁንም ወደፊት ናቸው። ማዕበሉን እንዴት ይቀይራሉ?")</f>
        <v>በርካታ የተቃዋሚህን ዘሮች ወስደሃል፣ ግን አሁንም ወደፊት ናቸው። ማዕበሉን እንዴት ይቀይራሉ?</v>
      </c>
      <c r="I101" s="11" t="str">
        <f>IFERROR(__xludf.DUMMYFUNCTION("GOOGLETRANSLATE(C101, ""en"", ""am"")"),"ሀ. የቀሩትን ዘሮቻቸውን በመያዝ እና ጥቅማቸውን በመቀነስ ላይ ያተኩሩ። ስልታቸውን ለማደናቀፍ ወጥመዶችን ያዘጋጁ እና ስህተት እንዲሠሩ ያስገድዷቸው። የመከላከያ ቦታ ለመፍጠር ዘሮችዎን እንደገና ያዘጋጁ እና እስኪከፈት ድረስ ይጠብቁ። ደካማ ጉድጓዳቸውን አጥብቀው ዒላማ ያድርጉ እና ብዙ ዘሮችን ይያዙ")</f>
        <v>ሀ. የቀሩትን ዘሮቻቸውን በመያዝ እና ጥቅማቸውን በመቀነስ ላይ ያተኩሩ። ስልታቸውን ለማደናቀፍ ወጥመዶችን ያዘጋጁ እና ስህተት እንዲሠሩ ያስገድዷቸው። የመከላከያ ቦታ ለመፍጠር ዘሮችዎን እንደገና ያዘጋጁ እና እስኪከፈት ድረስ ይጠብቁ። ደካማ ጉድጓዳቸውን አጥብቀው ዒላማ ያድርጉ እና ብዙ ዘሮችን ይያዙ</v>
      </c>
      <c r="J101" s="11" t="str">
        <f>IFERROR(__xludf.DUMMYFUNCTION("GOOGLETRANSLATE(D101, ""en"", ""am"")"),"የቀሩትን ዘሮች በመያዝ እና ጥቅማቸውን በመቀነስ ላይ ያተኩሩ")</f>
        <v>የቀሩትን ዘሮች በመያዝ እና ጥቅማቸውን በመቀነስ ላይ ያተኩሩ</v>
      </c>
      <c r="K101" s="11" t="str">
        <f>IFERROR(__xludf.DUMMYFUNCTION("GOOGLETRANSLATE(E101, ""en"", ""am"")"),"የቀሩትን ዘሮቻቸውን መያዝ የመጫወቻ ሜዳውን ደረጃ ይሰጣል።")</f>
        <v>የቀሩትን ዘሮቻቸውን መያዝ የመጫወቻ ሜዳውን ደረጃ ይሰጣል።</v>
      </c>
    </row>
    <row r="102" ht="22.5" customHeight="1">
      <c r="A102" s="10">
        <v>101.0</v>
      </c>
      <c r="B102" s="11" t="s">
        <v>3850</v>
      </c>
      <c r="C102" s="11" t="s">
        <v>3851</v>
      </c>
      <c r="D102" s="11" t="s">
        <v>3852</v>
      </c>
      <c r="E102" s="11" t="s">
        <v>3853</v>
      </c>
      <c r="G102" s="11" t="str">
        <f>IFERROR(__xludf.DUMMYFUNCTION("GOOGLETRANSLATE(A102, ""en"", ""th"")"),"101")</f>
        <v>101</v>
      </c>
      <c r="H102" s="11" t="str">
        <f>IFERROR(__xludf.DUMMYFUNCTION("GOOGLETRANSLATE(B102, ""en"", ""am"")"),"በአንድ እንቅስቃሴ ውስጥ በርካታ የተቃዋሚዎን ዘሮች ለመያዝ እድሉ አለዎት። ምን ማድረግ አለቦት?")</f>
        <v>በአንድ እንቅስቃሴ ውስጥ በርካታ የተቃዋሚዎን ዘሮች ለመያዝ እድሉ አለዎት። ምን ማድረግ አለቦት?</v>
      </c>
      <c r="I102" s="11" t="str">
        <f>IFERROR(__xludf.DUMMYFUNCTION("GOOGLETRANSLATE(C102, ""en"", ""am"")"),"ሀ. ዕድሉን ይውሰዱ እና ዘሮቹን ይያዙ. የተሻለ እድል ይጠብቁ. በምትኩ ዘሮችዎን ወደ መከላከያ ቦታ ይውሰዱ። ተቃዋሚዎን ለማደናገር ጉድጓዶችዎን እንደገና ያዘጋጁ")</f>
        <v>ሀ. ዕድሉን ይውሰዱ እና ዘሮቹን ይያዙ. የተሻለ እድል ይጠብቁ. በምትኩ ዘሮችዎን ወደ መከላከያ ቦታ ይውሰዱ። ተቃዋሚዎን ለማደናገር ጉድጓዶችዎን እንደገና ያዘጋጁ</v>
      </c>
      <c r="J102" s="11" t="str">
        <f>IFERROR(__xludf.DUMMYFUNCTION("GOOGLETRANSLATE(D102, ""en"", ""am"")"),"ዕድሉን ይውሰዱ እና ዘሮቹን ይያዙ")</f>
        <v>ዕድሉን ይውሰዱ እና ዘሮቹን ይያዙ</v>
      </c>
      <c r="K102" s="11" t="str">
        <f>IFERROR(__xludf.DUMMYFUNCTION("GOOGLETRANSLATE(E102, ""en"", ""am"")"),"ዘሮችን መያዙ ወዲያውኑ ጥቅምዎን ይጨምራል።")</f>
        <v>ዘሮችን መያዙ ወዲያውኑ ጥቅምዎን ይጨምራል።</v>
      </c>
    </row>
    <row r="103" ht="22.5" customHeight="1">
      <c r="A103" s="10">
        <v>102.0</v>
      </c>
      <c r="B103" s="11" t="s">
        <v>3854</v>
      </c>
      <c r="C103" s="11" t="s">
        <v>3855</v>
      </c>
      <c r="D103" s="11" t="s">
        <v>3856</v>
      </c>
      <c r="E103" s="11" t="s">
        <v>3857</v>
      </c>
      <c r="G103" s="11" t="str">
        <f>IFERROR(__xludf.DUMMYFUNCTION("GOOGLETRANSLATE(A103, ""en"", ""th"")"),"102")</f>
        <v>102</v>
      </c>
      <c r="H103" s="11" t="str">
        <f>IFERROR(__xludf.DUMMYFUNCTION("GOOGLETRANSLATE(B103, ""en"", ""am"")"),"ተቃዋሚዎ በጉድጓዳቸው ውስጥ ጉልህ የሆነ ቁጥር ያላቸው ዘሮች አሏቸው። እንዴት ነው የምታስተዳድረው?")</f>
        <v>ተቃዋሚዎ በጉድጓዳቸው ውስጥ ጉልህ የሆነ ቁጥር ያላቸው ዘሮች አሏቸው። እንዴት ነው የምታስተዳድረው?</v>
      </c>
      <c r="I103" s="11" t="str">
        <f>IFERROR(__xludf.DUMMYFUNCTION("GOOGLETRANSLATE(C103, ""en"", ""am"")"),"ሀ. በተቻለ መጠን ብዙ ዘሮቻቸውን ይያዙ ለ. የራስዎን ጉድጓዶች ይከላከሉ እና እንቅስቃሴያቸውን ያግዱC. እስኪሳሳቱ ድረስ ይጠብቁ D. ወደ ስህተት ለማስገደድ ወጥመዶችን ያዘጋጁ")</f>
        <v>ሀ. በተቻለ መጠን ብዙ ዘሮቻቸውን ይያዙ ለ. የራስዎን ጉድጓዶች ይከላከሉ እና እንቅስቃሴያቸውን ያግዱC. እስኪሳሳቱ ድረስ ይጠብቁ D. ወደ ስህተት ለማስገደድ ወጥመዶችን ያዘጋጁ</v>
      </c>
      <c r="J103" s="11" t="str">
        <f>IFERROR(__xludf.DUMMYFUNCTION("GOOGLETRANSLATE(D103, ""en"", ""am"")"),"በተቻለ መጠን ብዙ ዘሮቻቸውን ይያዙ")</f>
        <v>በተቻለ መጠን ብዙ ዘሮቻቸውን ይያዙ</v>
      </c>
      <c r="K103" s="11" t="str">
        <f>IFERROR(__xludf.DUMMYFUNCTION("GOOGLETRANSLATE(E103, ""en"", ""am"")"),"ዘራቸውን መውሰድ ስልታቸውን ያበላሻል።")</f>
        <v>ዘራቸውን መውሰድ ስልታቸውን ያበላሻል።</v>
      </c>
    </row>
    <row r="104" ht="22.5" customHeight="1">
      <c r="A104" s="10">
        <v>103.0</v>
      </c>
      <c r="B104" s="11" t="s">
        <v>3858</v>
      </c>
      <c r="C104" s="11" t="s">
        <v>3859</v>
      </c>
      <c r="D104" s="11" t="s">
        <v>3860</v>
      </c>
      <c r="E104" s="11" t="s">
        <v>3861</v>
      </c>
      <c r="G104" s="11" t="str">
        <f>IFERROR(__xludf.DUMMYFUNCTION("GOOGLETRANSLATE(A104, ""en"", ""th"")"),"103")</f>
        <v>103</v>
      </c>
      <c r="H104" s="11" t="str">
        <f>IFERROR(__xludf.DUMMYFUNCTION("GOOGLETRANSLATE(B104, ""en"", ""am"")"),"ተቃዋሚዎ የመጨረሻውን ዘሮችዎን ከጉድጓድ ውስጥ ሊይዝ እንደሆነ ያስተውላሉ። ምን ታደርጋለህ፧")</f>
        <v>ተቃዋሚዎ የመጨረሻውን ዘሮችዎን ከጉድጓድ ውስጥ ሊይዝ እንደሆነ ያስተውላሉ። ምን ታደርጋለህ፧</v>
      </c>
      <c r="I104" s="11" t="str">
        <f>IFERROR(__xludf.DUMMYFUNCTION("GOOGLETRANSLATE(C104, ""en"", ""am"")"),"ሀ. ዘርህን በማስተካከል እንቅስቃሴያቸውን ለማገድ ሞክርB. የእርስዎን ሲ ከመያዙ በፊት ዘሮቻቸውን ያዙ። ዘሮችዎን ወደ መከላከያ ቦታ ያስተካክሏቸው። እቅዳቸውን ለማደናቀፍ በውጫዊ ጉድጓዶች ላይ ያተኩሩ")</f>
        <v>ሀ. ዘርህን በማስተካከል እንቅስቃሴያቸውን ለማገድ ሞክርB. የእርስዎን ሲ ከመያዙ በፊት ዘሮቻቸውን ያዙ። ዘሮችዎን ወደ መከላከያ ቦታ ያስተካክሏቸው። እቅዳቸውን ለማደናቀፍ በውጫዊ ጉድጓዶች ላይ ያተኩሩ</v>
      </c>
      <c r="J104" s="11" t="str">
        <f>IFERROR(__xludf.DUMMYFUNCTION("GOOGLETRANSLATE(D104, ""en"", ""am"")"),"ዘሮችዎን በማስተካከል እንቅስቃሴያቸውን ለማገድ ይሞክሩ")</f>
        <v>ዘሮችዎን በማስተካከል እንቅስቃሴያቸውን ለማገድ ይሞክሩ</v>
      </c>
      <c r="K104" s="11" t="str">
        <f>IFERROR(__xludf.DUMMYFUNCTION("GOOGLETRANSLATE(E104, ""en"", ""am"")"),"እርምጃቸውን ማገድ ተጨማሪ ኪሳራዎችን ይከላከላል.")</f>
        <v>እርምጃቸውን ማገድ ተጨማሪ ኪሳራዎችን ይከላከላል.</v>
      </c>
    </row>
    <row r="105" ht="22.5" customHeight="1">
      <c r="A105" s="10">
        <v>104.0</v>
      </c>
      <c r="B105" s="11" t="s">
        <v>3862</v>
      </c>
      <c r="C105" s="11" t="s">
        <v>3863</v>
      </c>
      <c r="D105" s="11" t="s">
        <v>3864</v>
      </c>
      <c r="E105" s="11" t="s">
        <v>3865</v>
      </c>
      <c r="G105" s="11" t="str">
        <f>IFERROR(__xludf.DUMMYFUNCTION("GOOGLETRANSLATE(A105, ""en"", ""th"")"),"104")</f>
        <v>104</v>
      </c>
      <c r="H105" s="11" t="str">
        <f>IFERROR(__xludf.DUMMYFUNCTION("GOOGLETRANSLATE(B105, ""en"", ""am"")"),"ተቃዋሚዎ ብዙ ዘሮችዎን ያዘ። ምላሽህ ምንድን ነው?")</f>
        <v>ተቃዋሚዎ ብዙ ዘሮችዎን ያዘ። ምላሽህ ምንድን ነው?</v>
      </c>
      <c r="I105" s="11" t="str">
        <f>IFERROR(__xludf.DUMMYFUNCTION("GOOGLETRANSLATE(C105, ""en"", ""am"")"),"ሀ. ዘራቸውን ከደካማ ፒትስቢ አጥብቀው ይያዙ። ዘሮችዎን ወደ መከላከያ ቦታ እንደገና ያዘጋጁ። እስኪከፈት ይጠብቁ እና ሲቻል አፀፋውን ይመልሱ። ጨዋታውን ለመቆጣጠር በውስጠኛው ጉድጓዶች ላይ ያተኩሩ")</f>
        <v>ሀ. ዘራቸውን ከደካማ ፒትስቢ አጥብቀው ይያዙ። ዘሮችዎን ወደ መከላከያ ቦታ እንደገና ያዘጋጁ። እስኪከፈት ይጠብቁ እና ሲቻል አፀፋውን ይመልሱ። ጨዋታውን ለመቆጣጠር በውስጠኛው ጉድጓዶች ላይ ያተኩሩ</v>
      </c>
      <c r="J105" s="11" t="str">
        <f>IFERROR(__xludf.DUMMYFUNCTION("GOOGLETRANSLATE(D105, ""en"", ""am"")"),"ዘራቸውን ከደካማ ጉድጓዶች አጥብቀው ይያዙ")</f>
        <v>ዘራቸውን ከደካማ ጉድጓዶች አጥብቀው ይያዙ</v>
      </c>
      <c r="K105" s="11" t="str">
        <f>IFERROR(__xludf.DUMMYFUNCTION("GOOGLETRANSLATE(E105, ""en"", ""am"")"),"ዘራቸውን መያዙ የመጫወቻ ሜዳውን ያስተካክላል።")</f>
        <v>ዘራቸውን መያዙ የመጫወቻ ሜዳውን ያስተካክላል።</v>
      </c>
    </row>
    <row r="106" ht="22.5" customHeight="1">
      <c r="A106" s="10">
        <v>105.0</v>
      </c>
      <c r="B106" s="11" t="s">
        <v>3866</v>
      </c>
      <c r="C106" s="11" t="s">
        <v>3867</v>
      </c>
      <c r="D106" s="11" t="s">
        <v>3868</v>
      </c>
      <c r="E106" s="11" t="s">
        <v>3869</v>
      </c>
      <c r="G106" s="11" t="str">
        <f>IFERROR(__xludf.DUMMYFUNCTION("GOOGLETRANSLATE(A106, ""en"", ""th"")"),"105")</f>
        <v>105</v>
      </c>
      <c r="H106" s="11" t="str">
        <f>IFERROR(__xludf.DUMMYFUNCTION("GOOGLETRANSLATE(B106, ""en"", ""am"")"),"አሁን ብዙ ዘሮችን ወስደዋል፣ እና አሁን ተቃዋሚዎ ለመበቀል እየሞከረ ነው። ምን ማድረግ አለቦት?")</f>
        <v>አሁን ብዙ ዘሮችን ወስደዋል፣ እና አሁን ተቃዋሚዎ ለመበቀል እየሞከረ ነው። ምን ማድረግ አለቦት?</v>
      </c>
      <c r="I106" s="11" t="str">
        <f>IFERROR(__xludf.DUMMYFUNCTION("GOOGLETRANSLATE(C106, ""en"", ""am"")"),"ሀ. ጉድጓዶችዎን ይከላከሉ እና እንቅስቃሴያቸውን ያግዱ B. እነሱን ለማደናገር ዘሮችዎን እንደገና ያዘጋጁ። እስኪሳሳቱ ድረስ ይጠብቁ D. አጸፋውን ከመውሰዳቸው በፊት ብዙ ዘሮችን ለመያዝ ይሞክሩ")</f>
        <v>ሀ. ጉድጓዶችዎን ይከላከሉ እና እንቅስቃሴያቸውን ያግዱ B. እነሱን ለማደናገር ዘሮችዎን እንደገና ያዘጋጁ። እስኪሳሳቱ ድረስ ይጠብቁ D. አጸፋውን ከመውሰዳቸው በፊት ብዙ ዘሮችን ለመያዝ ይሞክሩ</v>
      </c>
      <c r="J106" s="11" t="str">
        <f>IFERROR(__xludf.DUMMYFUNCTION("GOOGLETRANSLATE(D106, ""en"", ""am"")"),"ጉድጓዶችዎን ይከላከሉ እና እንቅስቃሴያቸውን ያግዱ")</f>
        <v>ጉድጓዶችዎን ይከላከሉ እና እንቅስቃሴያቸውን ያግዱ</v>
      </c>
      <c r="K106" s="11" t="str">
        <f>IFERROR(__xludf.DUMMYFUNCTION("GOOGLETRANSLATE(E106, ""en"", ""am"")"),"የእነሱን አጸፋ ማገድ ቦታዎን ያስጠብቃል.")</f>
        <v>የእነሱን አጸፋ ማገድ ቦታዎን ያስጠብቃል.</v>
      </c>
    </row>
    <row r="107" ht="22.5" customHeight="1">
      <c r="A107" s="10">
        <v>106.0</v>
      </c>
      <c r="B107" s="11" t="s">
        <v>3870</v>
      </c>
      <c r="C107" s="11" t="s">
        <v>3871</v>
      </c>
      <c r="D107" s="11" t="s">
        <v>3872</v>
      </c>
      <c r="E107" s="11" t="s">
        <v>3873</v>
      </c>
      <c r="G107" s="11" t="str">
        <f>IFERROR(__xludf.DUMMYFUNCTION("GOOGLETRANSLATE(A107, ""en"", ""th"")"),"106")</f>
        <v>106</v>
      </c>
      <c r="H107" s="11" t="str">
        <f>IFERROR(__xludf.DUMMYFUNCTION("GOOGLETRANSLATE(B107, ""en"", ""am"")"),"ተቃዋሚዎ ዘሮቻቸውን ወደ የበለጠ የመከላከያ ዝግጅት አዘጋጅቷል። ቀጣዩ እርምጃህ ምንድን ነው?")</f>
        <v>ተቃዋሚዎ ዘሮቻቸውን ወደ የበለጠ የመከላከያ ዝግጅት አዘጋጅቷል። ቀጣዩ እርምጃህ ምንድን ነው?</v>
      </c>
      <c r="I107" s="11" t="str">
        <f>IFERROR(__xludf.DUMMYFUNCTION("GOOGLETRANSLATE(C107, ""en"", ""am"")"),"ሀ. ውጫዊ ዘራቸውን በመያዝ ላይ ያተኩሩB. መከላከያቸውን ለመቃወም ዘሮችዎን እንደገና ያዘጋጁ። እንቅስቃሴ እንዲያደርጉ እና እንዲላመዱ ይጠብቁ። ዘሮችዎን ወደ የመልሶ ማጥቃት ስትራቴጂ ያቀናብሩ")</f>
        <v>ሀ. ውጫዊ ዘራቸውን በመያዝ ላይ ያተኩሩB. መከላከያቸውን ለመቃወም ዘሮችዎን እንደገና ያዘጋጁ። እንቅስቃሴ እንዲያደርጉ እና እንዲላመዱ ይጠብቁ። ዘሮችዎን ወደ የመልሶ ማጥቃት ስትራቴጂ ያቀናብሩ</v>
      </c>
      <c r="J107" s="11" t="str">
        <f>IFERROR(__xludf.DUMMYFUNCTION("GOOGLETRANSLATE(D107, ""en"", ""am"")"),"ውጫዊ ዘሮቻቸውን በመያዝ ላይ ያተኩሩ")</f>
        <v>ውጫዊ ዘሮቻቸውን በመያዝ ላይ ያተኩሩ</v>
      </c>
      <c r="K107" s="11" t="str">
        <f>IFERROR(__xludf.DUMMYFUNCTION("GOOGLETRANSLATE(E107, ""en"", ""am"")"),"የውጭ ዘሮችን መያዙ መከላከያውን ያዳክማል.")</f>
        <v>የውጭ ዘሮችን መያዙ መከላከያውን ያዳክማል.</v>
      </c>
    </row>
    <row r="108" ht="22.5" customHeight="1">
      <c r="A108" s="10">
        <v>107.0</v>
      </c>
      <c r="B108" s="11" t="s">
        <v>3874</v>
      </c>
      <c r="C108" s="11" t="s">
        <v>3875</v>
      </c>
      <c r="D108" s="11" t="s">
        <v>3876</v>
      </c>
      <c r="E108" s="11" t="s">
        <v>3877</v>
      </c>
      <c r="G108" s="11" t="str">
        <f>IFERROR(__xludf.DUMMYFUNCTION("GOOGLETRANSLATE(A108, ""en"", ""th"")"),"107")</f>
        <v>107</v>
      </c>
      <c r="H108" s="11" t="str">
        <f>IFERROR(__xludf.DUMMYFUNCTION("GOOGLETRANSLATE(B108, ""en"", ""am"")"),"ተቃዋሚዎ አንዳንድ ዘሮች በውጪ ጉድጓዳቸው ውስጥ ተጋላጭ እንዲሆኑ እንዳደረጋቸው አስተውለዋል። ምን ማድረግ አለቦት?")</f>
        <v>ተቃዋሚዎ አንዳንድ ዘሮች በውጪ ጉድጓዳቸው ውስጥ ተጋላጭ እንዲሆኑ እንዳደረጋቸው አስተውለዋል። ምን ማድረግ አለቦት?</v>
      </c>
      <c r="I108" s="11" t="str">
        <f>IFERROR(__xludf.DUMMYFUNCTION("GOOGLETRANSLATE(C108, ""en"", ""am"")"),"ሀ. እቅዳቸውን ለማደናቀፍ ዘሩን ወዲያውኑ ይያዙ። የተሻለ እድል ይጠብቁ. ዘሮችዎን ወደ መከላከያ ቦታ ያስተካክሏቸው። በኋላ ላይ ብዙ ዘሮችን ለመያዝ ወጥመዶችን በማዘጋጀት ላይ ያተኩሩ")</f>
        <v>ሀ. እቅዳቸውን ለማደናቀፍ ዘሩን ወዲያውኑ ይያዙ። የተሻለ እድል ይጠብቁ. ዘሮችዎን ወደ መከላከያ ቦታ ያስተካክሏቸው። በኋላ ላይ ብዙ ዘሮችን ለመያዝ ወጥመዶችን በማዘጋጀት ላይ ያተኩሩ</v>
      </c>
      <c r="J108" s="11" t="str">
        <f>IFERROR(__xludf.DUMMYFUNCTION("GOOGLETRANSLATE(D108, ""en"", ""am"")"),"እቅዳቸውን ለማደናቀፍ ዘሩን ወዲያውኑ ይያዙ")</f>
        <v>እቅዳቸውን ለማደናቀፍ ዘሩን ወዲያውኑ ይያዙ</v>
      </c>
      <c r="K108" s="11" t="str">
        <f>IFERROR(__xludf.DUMMYFUNCTION("GOOGLETRANSLATE(E108, ""en"", ""am"")"),"ዘሮችን መያዙ ቦታቸውን ያዳክማል.")</f>
        <v>ዘሮችን መያዙ ቦታቸውን ያዳክማል.</v>
      </c>
    </row>
    <row r="109" ht="22.5" customHeight="1">
      <c r="A109" s="10">
        <v>108.0</v>
      </c>
      <c r="B109" s="11" t="s">
        <v>3878</v>
      </c>
      <c r="C109" s="11" t="s">
        <v>3879</v>
      </c>
      <c r="D109" s="11" t="s">
        <v>3880</v>
      </c>
      <c r="E109" s="11" t="s">
        <v>3881</v>
      </c>
      <c r="G109" s="11" t="str">
        <f>IFERROR(__xludf.DUMMYFUNCTION("GOOGLETRANSLATE(A109, ""en"", ""th"")"),"108")</f>
        <v>108</v>
      </c>
      <c r="H109" s="11" t="str">
        <f>IFERROR(__xludf.DUMMYFUNCTION("GOOGLETRANSLATE(B109, ""en"", ""am"")"),"በዘሮች የተሞላውን አንዱን ጉድጓድ ልታጣ ነው። እንዴት ነው የሚከላከለው?")</f>
        <v>በዘሮች የተሞላውን አንዱን ጉድጓድ ልታጣ ነው። እንዴት ነው የሚከላከለው?</v>
      </c>
      <c r="I109" s="11" t="str">
        <f>IFERROR(__xludf.DUMMYFUNCTION("GOOGLETRANSLATE(C109, ""en"", ""am"")"),"ሀ. ለደህንነት ሲባል ዘሮችዎን ወደ ሌሎች ጉድጓዶች ይውሰዱ። የእርስዎን ሲ ከመያዙ በፊት ዘሮቻቸውን ለመያዝ ይሞክሩ። ዘሮችዎን የበለጠ ወደተጠበቁ ቦታዎች ያስተካክሉ። የተቀሩትን ጉድጓዶች ይከላከሉ እና እስኪከፈት ይጠብቁ")</f>
        <v>ሀ. ለደህንነት ሲባል ዘሮችዎን ወደ ሌሎች ጉድጓዶች ይውሰዱ። የእርስዎን ሲ ከመያዙ በፊት ዘሮቻቸውን ለመያዝ ይሞክሩ። ዘሮችዎን የበለጠ ወደተጠበቁ ቦታዎች ያስተካክሉ። የተቀሩትን ጉድጓዶች ይከላከሉ እና እስኪከፈት ይጠብቁ</v>
      </c>
      <c r="J109" s="11" t="str">
        <f>IFERROR(__xludf.DUMMYFUNCTION("GOOGLETRANSLATE(D109, ""en"", ""am"")"),"ለደህንነት ሲባል ዘሮችዎን ወደ ሌሎች ጉድጓዶች ያንቀሳቅሱ")</f>
        <v>ለደህንነት ሲባል ዘሮችዎን ወደ ሌሎች ጉድጓዶች ያንቀሳቅሱ</v>
      </c>
      <c r="K109" s="11" t="str">
        <f>IFERROR(__xludf.DUMMYFUNCTION("GOOGLETRANSLATE(E109, ""en"", ""am"")"),"ዘሮችን ማንቀሳቀስ ጉድጓዶችን ሙሉ በሙሉ መጥፋት ይከላከላል.")</f>
        <v>ዘሮችን ማንቀሳቀስ ጉድጓዶችን ሙሉ በሙሉ መጥፋት ይከላከላል.</v>
      </c>
    </row>
    <row r="110" ht="22.5" customHeight="1">
      <c r="A110" s="10">
        <v>109.0</v>
      </c>
      <c r="B110" s="11" t="s">
        <v>3882</v>
      </c>
      <c r="C110" s="11" t="s">
        <v>3883</v>
      </c>
      <c r="D110" s="11" t="s">
        <v>3884</v>
      </c>
      <c r="E110" s="11" t="s">
        <v>3885</v>
      </c>
      <c r="G110" s="11" t="str">
        <f>IFERROR(__xludf.DUMMYFUNCTION("GOOGLETRANSLATE(A110, ""en"", ""th"")"),"109")</f>
        <v>109</v>
      </c>
      <c r="H110" s="11" t="str">
        <f>IFERROR(__xludf.DUMMYFUNCTION("GOOGLETRANSLATE(B110, ""en"", ""am"")"),"ተቃዋሚዎ ብዙ ዘሮችዎን በመያዝ ጥሩ እንቅስቃሴ አድርጓል። ቀጣዩ ስልትህ ምንድን ነው?")</f>
        <v>ተቃዋሚዎ ብዙ ዘሮችዎን በመያዝ ጥሩ እንቅስቃሴ አድርጓል። ቀጣዩ ስልትህ ምንድን ነው?</v>
      </c>
      <c r="I110" s="11" t="str">
        <f>IFERROR(__xludf.DUMMYFUNCTION("GOOGLETRANSLATE(C110, ""en"", ""am"")"),"ሀ. ቀጣዩን እንቅስቃሴያቸውን ለመዝጋት ዘሮችዎን እንደገና ያዘጋጁ። ለመቆጣጠር መልሶ ማጥቃት ያዘጋጁ። የተያዙትን ለመገደብ በመከላከያ እንቅስቃሴዎች ላይ ያተኩሩ። ከደካማ ጉድጓዳቸው ውስጥ ብዙ ዘሮችን ለመያዝ ይሞክሩ")</f>
        <v>ሀ. ቀጣዩን እንቅስቃሴያቸውን ለመዝጋት ዘሮችዎን እንደገና ያዘጋጁ። ለመቆጣጠር መልሶ ማጥቃት ያዘጋጁ። የተያዙትን ለመገደብ በመከላከያ እንቅስቃሴዎች ላይ ያተኩሩ። ከደካማ ጉድጓዳቸው ውስጥ ብዙ ዘሮችን ለመያዝ ይሞክሩ</v>
      </c>
      <c r="J110" s="11" t="str">
        <f>IFERROR(__xludf.DUMMYFUNCTION("GOOGLETRANSLATE(D110, ""en"", ""am"")"),"ቀጣዩን እንቅስቃሴዎን ለማገድ ዘሮችዎን እንደገና ያዘጋጁ")</f>
        <v>ቀጣዩን እንቅስቃሴዎን ለማገድ ዘሮችዎን እንደገና ያዘጋጁ</v>
      </c>
      <c r="K110" s="11" t="str">
        <f>IFERROR(__xludf.DUMMYFUNCTION("GOOGLETRANSLATE(E110, ""en"", ""am"")"),"እርምጃቸውን ማገድ ተጨማሪ ኪሳራዎችን ይቀንሳል።")</f>
        <v>እርምጃቸውን ማገድ ተጨማሪ ኪሳራዎችን ይቀንሳል።</v>
      </c>
    </row>
    <row r="111" ht="22.5" customHeight="1">
      <c r="A111" s="10">
        <v>110.0</v>
      </c>
      <c r="B111" s="11" t="s">
        <v>3886</v>
      </c>
      <c r="C111" s="11" t="s">
        <v>3887</v>
      </c>
      <c r="D111" s="11" t="s">
        <v>3888</v>
      </c>
      <c r="E111" s="11" t="s">
        <v>3889</v>
      </c>
      <c r="G111" s="11" t="str">
        <f>IFERROR(__xludf.DUMMYFUNCTION("GOOGLETRANSLATE(A111, ""en"", ""th"")"),"110")</f>
        <v>110</v>
      </c>
      <c r="H111" s="11" t="str">
        <f>IFERROR(__xludf.DUMMYFUNCTION("GOOGLETRANSLATE(B111, ""en"", ""am"")"),"ተቃዋሚዎ በውጭ ጉድጓዶቹ ውስጥ ወጥመድ እንዳዘጋጀ ያስተውላሉ። ምን ማድረግ አለቦት?")</f>
        <v>ተቃዋሚዎ በውጭ ጉድጓዶቹ ውስጥ ወጥመድ እንዳዘጋጀ ያስተውላሉ። ምን ማድረግ አለቦት?</v>
      </c>
      <c r="I111" s="11" t="str">
        <f>IFERROR(__xludf.DUMMYFUNCTION("GOOGLETRANSLATE(C111, ""en"", ""am"")"),"ሀ. ከመጠመድ ለመዳን ዘሮችዎን ወደ ውስጠኛው ጉድጓዶች ይውሰዱ. ዘራቸውን ከማዕከላዊ ፒትስሲያቸው በመያዝ ላይ ያተኩሩ። ዘሮችዎን ወደ ተከላካይ ማዋቀር ያስተካክሏቸው። ስልታቸውን ለማደናቀፍ በደካማ ጉድጓዳቸው ውስጥ ወጥመዶችን ያዘጋጁ")</f>
        <v>ሀ. ከመጠመድ ለመዳን ዘሮችዎን ወደ ውስጠኛው ጉድጓዶች ይውሰዱ. ዘራቸውን ከማዕከላዊ ፒትስሲያቸው በመያዝ ላይ ያተኩሩ። ዘሮችዎን ወደ ተከላካይ ማዋቀር ያስተካክሏቸው። ስልታቸውን ለማደናቀፍ በደካማ ጉድጓዳቸው ውስጥ ወጥመዶችን ያዘጋጁ</v>
      </c>
      <c r="J111" s="11" t="str">
        <f>IFERROR(__xludf.DUMMYFUNCTION("GOOGLETRANSLATE(D111, ""en"", ""am"")"),"ወጥመድ ውስጥ እንዳይገቡ ዘሮችዎን ወደ ውስጠኛው ጉድጓዶች ይውሰዱ")</f>
        <v>ወጥመድ ውስጥ እንዳይገቡ ዘሮችዎን ወደ ውስጠኛው ጉድጓዶች ይውሰዱ</v>
      </c>
      <c r="K111" s="11" t="str">
        <f>IFERROR(__xludf.DUMMYFUNCTION("GOOGLETRANSLATE(E111, ""en"", ""am"")"),"ዘሮችዎን ከወጥመዱ ውስጥ ማስወጣት አደጋን ይቀንሳል።")</f>
        <v>ዘሮችዎን ከወጥመዱ ውስጥ ማስወጣት አደጋን ይቀንሳል።</v>
      </c>
    </row>
    <row r="112" ht="22.5" customHeight="1">
      <c r="A112" s="10">
        <v>111.0</v>
      </c>
      <c r="B112" s="11" t="s">
        <v>3890</v>
      </c>
      <c r="C112" s="11" t="s">
        <v>3891</v>
      </c>
      <c r="D112" s="11" t="s">
        <v>3892</v>
      </c>
      <c r="E112" s="11" t="s">
        <v>3893</v>
      </c>
      <c r="G112" s="11" t="str">
        <f>IFERROR(__xludf.DUMMYFUNCTION("GOOGLETRANSLATE(A112, ""en"", ""th"")"),"111")</f>
        <v>111</v>
      </c>
      <c r="H112" s="11" t="str">
        <f>IFERROR(__xludf.DUMMYFUNCTION("GOOGLETRANSLATE(B112, ""en"", ""am"")"),"ተቃዋሚዎ ብዙ ጉልበት እያገኘ ነው። ምን ምላሽ ትሰጣለህ?")</f>
        <v>ተቃዋሚዎ ብዙ ጉልበት እያገኘ ነው። ምን ምላሽ ትሰጣለህ?</v>
      </c>
      <c r="I112" s="11" t="str">
        <f>IFERROR(__xludf.DUMMYFUNCTION("GOOGLETRANSLATE(C112, ""en"", ""am"")"),"ሀ. ወደ መከላከያ ስልት ይቀይሩ እና ስህተት እስኪሰሩ ይጠብቁ. እነሱን ፍጥነት ለመቀነስ ደካማ ጉድጓዶቻቸውን በመያዝ ላይ ያተኩሩ። የቀሩትን ጉድጓዶችዎን ለመጠበቅ ዘሮችዎን እንደገና ያዘጋጁ። ወደ ስህተት ለማስገደድ ወጥመዶችን ያዘጋጁ")</f>
        <v>ሀ. ወደ መከላከያ ስልት ይቀይሩ እና ስህተት እስኪሰሩ ይጠብቁ. እነሱን ፍጥነት ለመቀነስ ደካማ ጉድጓዶቻቸውን በመያዝ ላይ ያተኩሩ። የቀሩትን ጉድጓዶችዎን ለመጠበቅ ዘሮችዎን እንደገና ያዘጋጁ። ወደ ስህተት ለማስገደድ ወጥመዶችን ያዘጋጁ</v>
      </c>
      <c r="J112" s="11" t="str">
        <f>IFERROR(__xludf.DUMMYFUNCTION("GOOGLETRANSLATE(D112, ""en"", ""am"")"),"ወደ መከላከያ ስልት ይቀይሩ እና ስህተት እስኪሰሩ ይጠብቁ")</f>
        <v>ወደ መከላከያ ስልት ይቀይሩ እና ስህተት እስኪሰሩ ይጠብቁ</v>
      </c>
      <c r="K112" s="11" t="str">
        <f>IFERROR(__xludf.DUMMYFUNCTION("GOOGLETRANSLATE(E112, ""en"", ""am"")"),"መከላከል ተጨማሪ ኪሳራዎችን ለማስወገድ ያስችልዎታል.")</f>
        <v>መከላከል ተጨማሪ ኪሳራዎችን ለማስወገድ ያስችልዎታል.</v>
      </c>
    </row>
    <row r="113" ht="22.5" customHeight="1">
      <c r="A113" s="10">
        <v>112.0</v>
      </c>
      <c r="B113" s="11" t="s">
        <v>3894</v>
      </c>
      <c r="C113" s="11" t="s">
        <v>3895</v>
      </c>
      <c r="D113" s="11" t="s">
        <v>3896</v>
      </c>
      <c r="E113" s="11" t="s">
        <v>3897</v>
      </c>
      <c r="G113" s="11" t="str">
        <f>IFERROR(__xludf.DUMMYFUNCTION("GOOGLETRANSLATE(A113, ""en"", ""th"")"),"112")</f>
        <v>112</v>
      </c>
      <c r="H113" s="11" t="str">
        <f>IFERROR(__xludf.DUMMYFUNCTION("GOOGLETRANSLATE(B113, ""en"", ""am"")"),"ተቃዋሚዎ በኃይል እየተጫወተ ነው እና ብዙ ዘሮችዎን ይይዛል። ምን ማድረግ አለቦት?")</f>
        <v>ተቃዋሚዎ በኃይል እየተጫወተ ነው እና ብዙ ዘሮችዎን ይይዛል። ምን ማድረግ አለቦት?</v>
      </c>
      <c r="I113" s="11" t="str">
        <f>IFERROR(__xludf.DUMMYFUNCTION("GOOGLETRANSLATE(C113, ""en"", ""am"")"),"ሀ. ጥቃታቸውን ለመቋቋም በተቻለ መጠን ብዙ ዘሮቻቸውን ይያዙ። ወደ መከላከያ ቦታ ይቀይሩ እና የእርስዎን ፒትሲሲ ይጠብቁ. ወጥመዶችን ለማዘጋጀት እና በኋላ ላይ መልሶ ለማጥቃት ይሞክሩ። ዘሮችን ወደ ደህና ጉድጓዶች ይውሰዱ እና እድሉን ይጠብቁ")</f>
        <v>ሀ. ጥቃታቸውን ለመቋቋም በተቻለ መጠን ብዙ ዘሮቻቸውን ይያዙ። ወደ መከላከያ ቦታ ይቀይሩ እና የእርስዎን ፒትሲሲ ይጠብቁ. ወጥመዶችን ለማዘጋጀት እና በኋላ ላይ መልሶ ለማጥቃት ይሞክሩ። ዘሮችን ወደ ደህና ጉድጓዶች ይውሰዱ እና እድሉን ይጠብቁ</v>
      </c>
      <c r="J113" s="11" t="str">
        <f>IFERROR(__xludf.DUMMYFUNCTION("GOOGLETRANSLATE(D113, ""en"", ""am"")"),"ጥቃታቸውን ለመቋቋም በተቻለ መጠን ብዙ ዘሮቻቸውን ይያዙ")</f>
        <v>ጥቃታቸውን ለመቋቋም በተቻለ መጠን ብዙ ዘሮቻቸውን ይያዙ</v>
      </c>
      <c r="K113" s="11" t="str">
        <f>IFERROR(__xludf.DUMMYFUNCTION("GOOGLETRANSLATE(E113, ""en"", ""am"")"),"ማጥቃት ሚዛኑን ወደ እርስዎ ጥቅም ይለውጠዋል።")</f>
        <v>ማጥቃት ሚዛኑን ወደ እርስዎ ጥቅም ይለውጠዋል።</v>
      </c>
    </row>
    <row r="114" ht="22.5" customHeight="1">
      <c r="A114" s="10">
        <v>113.0</v>
      </c>
      <c r="B114" s="11" t="s">
        <v>3898</v>
      </c>
      <c r="C114" s="11" t="s">
        <v>3899</v>
      </c>
      <c r="D114" s="11" t="s">
        <v>3900</v>
      </c>
      <c r="E114" s="11" t="s">
        <v>3901</v>
      </c>
      <c r="G114" s="11" t="str">
        <f>IFERROR(__xludf.DUMMYFUNCTION("GOOGLETRANSLATE(A114, ""en"", ""th"")"),"113")</f>
        <v>113</v>
      </c>
      <c r="H114" s="11" t="str">
        <f>IFERROR(__xludf.DUMMYFUNCTION("GOOGLETRANSLATE(B114, ""en"", ""am"")"),"በአንዱ ጉድጓዶችህ ውስጥ ምንም የቀረህ ዘር የለህም። አሁን ምን ታደርጋለህ?")</f>
        <v>በአንዱ ጉድጓዶችህ ውስጥ ምንም የቀረህ ዘር የለህም። አሁን ምን ታደርጋለህ?</v>
      </c>
      <c r="I114" s="11" t="str">
        <f>IFERROR(__xludf.DUMMYFUNCTION("GOOGLETRANSLATE(C114, ""en"", ""am"")"),"ሀ. የተቀሩትን ዘሮች ወደ ደህና ጉድጓዶች ቢ እንደገና ያቀናብሩ። ዘሮቻቸውን ከደካማው pitsC ለመያዝ ይሞክሩ። ተጨማሪ ቀረጻን ለማስቀረት እንቅስቃሴያቸውን በማገድ ላይ ያተኩሩ። ስህተት እስኪሰሩ ድረስ ይጠብቁ እና በእሱ ላይ ትልቅ ጥቅም ላይ ይውላሉ")</f>
        <v>ሀ. የተቀሩትን ዘሮች ወደ ደህና ጉድጓዶች ቢ እንደገና ያቀናብሩ። ዘሮቻቸውን ከደካማው pitsC ለመያዝ ይሞክሩ። ተጨማሪ ቀረጻን ለማስቀረት እንቅስቃሴያቸውን በማገድ ላይ ያተኩሩ። ስህተት እስኪሰሩ ድረስ ይጠብቁ እና በእሱ ላይ ትልቅ ጥቅም ላይ ይውላሉ</v>
      </c>
      <c r="J114" s="11" t="str">
        <f>IFERROR(__xludf.DUMMYFUNCTION("GOOGLETRANSLATE(D114, ""en"", ""am"")"),"የተቀሩትን ዘሮች ወደ ደህና ጉድጓዶች ያቀናብሩ")</f>
        <v>የተቀሩትን ዘሮች ወደ ደህና ጉድጓዶች ያቀናብሩ</v>
      </c>
      <c r="K114" s="11" t="str">
        <f>IFERROR(__xludf.DUMMYFUNCTION("GOOGLETRANSLATE(E114, ""en"", ""am"")"),"ዘሮችን እንደገና ማደራጀት ተጨማሪ ኪሳራዎችን ይከላከላል።")</f>
        <v>ዘሮችን እንደገና ማደራጀት ተጨማሪ ኪሳራዎችን ይከላከላል።</v>
      </c>
    </row>
    <row r="115" ht="22.5" customHeight="1">
      <c r="A115" s="10">
        <v>114.0</v>
      </c>
      <c r="B115" s="11" t="s">
        <v>3902</v>
      </c>
      <c r="C115" s="11" t="s">
        <v>3903</v>
      </c>
      <c r="D115" s="11" t="s">
        <v>3904</v>
      </c>
      <c r="E115" s="11" t="s">
        <v>3905</v>
      </c>
      <c r="G115" s="11" t="str">
        <f>IFERROR(__xludf.DUMMYFUNCTION("GOOGLETRANSLATE(A115, ""en"", ""th"")"),"114")</f>
        <v>114</v>
      </c>
      <c r="H115" s="11" t="str">
        <f>IFERROR(__xludf.DUMMYFUNCTION("GOOGLETRANSLATE(B115, ""en"", ""am"")"),"ተቃዋሚዎ የመጨረሻዎቹን ጥቂት ዘሮችዎን ከጉድጓድ ውስጥ ያዘ። እንዴት ትቀጥላለህ?")</f>
        <v>ተቃዋሚዎ የመጨረሻዎቹን ጥቂት ዘሮችዎን ከጉድጓድ ውስጥ ያዘ። እንዴት ትቀጥላለህ?</v>
      </c>
      <c r="I115" s="11" t="str">
        <f>IFERROR(__xludf.DUMMYFUNCTION("GOOGLETRANSLATE(C115, ""en"", ""am"")"),"ሀ. የቀሩትን ዘሮችዎን ወደ መከላከያ ቦታዎች ያስተካክሏቸው ለ. በተቻለ መጠን ብዙ ዘሮቻቸውን ከደካማ pitsC ይያዙ። እስኪሳሳቱ ድረስ ይጠብቁ እና በኋላ አጸፋውን ይመልሱ። የቀሩትን ጉድጓዶችዎን በመከላከል ላይ ያተኩሩ")</f>
        <v>ሀ. የቀሩትን ዘሮችዎን ወደ መከላከያ ቦታዎች ያስተካክሏቸው ለ. በተቻለ መጠን ብዙ ዘሮቻቸውን ከደካማ pitsC ይያዙ። እስኪሳሳቱ ድረስ ይጠብቁ እና በኋላ አጸፋውን ይመልሱ። የቀሩትን ጉድጓዶችዎን በመከላከል ላይ ያተኩሩ</v>
      </c>
      <c r="J115" s="11" t="str">
        <f>IFERROR(__xludf.DUMMYFUNCTION("GOOGLETRANSLATE(D115, ""en"", ""am"")"),"የተቀሩትን ዘሮች ወደ ተከላካይ ቦታዎች እንደገና ያዘጋጁ")</f>
        <v>የተቀሩትን ዘሮች ወደ ተከላካይ ቦታዎች እንደገና ያዘጋጁ</v>
      </c>
      <c r="K115" s="11" t="str">
        <f>IFERROR(__xludf.DUMMYFUNCTION("GOOGLETRANSLATE(E115, ""en"", ""am"")"),"ዘሮችዎን መከላከል ተጨማሪ አደጋን ይቀንሳል.")</f>
        <v>ዘሮችዎን መከላከል ተጨማሪ አደጋን ይቀንሳል.</v>
      </c>
    </row>
    <row r="116" ht="22.5" customHeight="1">
      <c r="A116" s="10">
        <v>115.0</v>
      </c>
      <c r="B116" s="11" t="s">
        <v>3906</v>
      </c>
      <c r="C116" s="11" t="s">
        <v>3907</v>
      </c>
      <c r="D116" s="11" t="s">
        <v>3908</v>
      </c>
      <c r="E116" s="11" t="s">
        <v>3909</v>
      </c>
      <c r="G116" s="11" t="str">
        <f>IFERROR(__xludf.DUMMYFUNCTION("GOOGLETRANSLATE(A116, ""en"", ""th"")"),"115")</f>
        <v>115</v>
      </c>
      <c r="H116" s="11" t="str">
        <f>IFERROR(__xludf.DUMMYFUNCTION("GOOGLETRANSLATE(B116, ""en"", ""am"")"),"ተቃዋሚዎ ከብዙ ዘሮች አንዱን ጉድጓድዎን ሊያጸዳ ነው። ይህን እንዴት ያቆማሉ?")</f>
        <v>ተቃዋሚዎ ከብዙ ዘሮች አንዱን ጉድጓድዎን ሊያጸዳ ነው። ይህን እንዴት ያቆማሉ?</v>
      </c>
      <c r="I116" s="11" t="str">
        <f>IFERROR(__xludf.DUMMYFUNCTION("GOOGLETRANSLATE(C116, ""en"", ""am"")"),"ሀ. መንቀሳቀስን ለመዝጋት ዘሮችዎን ወደ ደህና ቦታዎች ይውሰዱት። ጨዋታውን ሚዛናዊ ለማድረግ ደካማ ጉድጓዳቸውን በኃይል ዒላማ ያድርጉ። ዘሮችዎን ወደ መከላከያ ቦታ ያስተካክሏቸው። ዘራቸውን ከደካማ ጉድጓዶች ለመያዝ ይሞክሩ")</f>
        <v>ሀ. መንቀሳቀስን ለመዝጋት ዘሮችዎን ወደ ደህና ቦታዎች ይውሰዱት። ጨዋታውን ሚዛናዊ ለማድረግ ደካማ ጉድጓዳቸውን በኃይል ዒላማ ያድርጉ። ዘሮችዎን ወደ መከላከያ ቦታ ያስተካክሏቸው። ዘራቸውን ከደካማ ጉድጓዶች ለመያዝ ይሞክሩ</v>
      </c>
      <c r="J116" s="11" t="str">
        <f>IFERROR(__xludf.DUMMYFUNCTION("GOOGLETRANSLATE(D116, ""en"", ""am"")"),"እንቅስቃሴያቸውን ለማገድ ዘሮችዎን ወደ ደህና ቦታዎች ያንቀሳቅሱ")</f>
        <v>እንቅስቃሴያቸውን ለማገድ ዘሮችዎን ወደ ደህና ቦታዎች ያንቀሳቅሱ</v>
      </c>
      <c r="K116" s="11" t="str">
        <f>IFERROR(__xludf.DUMMYFUNCTION("GOOGLETRANSLATE(E116, ""en"", ""am"")"),"እንቅስቃሴያቸውን ማገድ ከፍተኛ ኪሳራን ይከላከላል.")</f>
        <v>እንቅስቃሴያቸውን ማገድ ከፍተኛ ኪሳራን ይከላከላል.</v>
      </c>
    </row>
    <row r="117" ht="22.5" customHeight="1">
      <c r="A117" s="10">
        <v>116.0</v>
      </c>
      <c r="B117" s="11" t="s">
        <v>3910</v>
      </c>
      <c r="C117" s="11" t="s">
        <v>3911</v>
      </c>
      <c r="D117" s="11" t="s">
        <v>3912</v>
      </c>
      <c r="E117" s="11" t="s">
        <v>3913</v>
      </c>
      <c r="G117" s="11" t="str">
        <f>IFERROR(__xludf.DUMMYFUNCTION("GOOGLETRANSLATE(A117, ""en"", ""th"")"),"116")</f>
        <v>116</v>
      </c>
      <c r="H117" s="11" t="str">
        <f>IFERROR(__xludf.DUMMYFUNCTION("GOOGLETRANSLATE(B117, ""en"", ""am"")"),"ተቃዋሚዎ የመጨረሻ ዘሮችዎን ጉድጓድ ውስጥ ሊይዝ ነው። ምን ታደርጋለህ፧")</f>
        <v>ተቃዋሚዎ የመጨረሻ ዘሮችዎን ጉድጓድ ውስጥ ሊይዝ ነው። ምን ታደርጋለህ፧</v>
      </c>
      <c r="I117" s="11" t="str">
        <f>IFERROR(__xludf.DUMMYFUNCTION("GOOGLETRANSLATE(C117, ""en"", ""am"")"),"ሀ. ዘሩን ወደ ደህና ቦታዎች በማንቀሳቀስ ቀሪ ጉድጓዶችዎን ይከላከሉ. የእርስዎን ሲ ከመያዙ በፊት ዘሮቻቸውን ለመያዝ ይሞክሩ። እንቅስቃሴያቸውን በመከልከል እና የቀሩትን ፒትስ ዲዎን በመጠበቅ ላይ ያተኩሩ። ወደ ስህተት ለማስገደድ ወጥመዶችን ያዘጋጁ")</f>
        <v>ሀ. ዘሩን ወደ ደህና ቦታዎች በማንቀሳቀስ ቀሪ ጉድጓዶችዎን ይከላከሉ. የእርስዎን ሲ ከመያዙ በፊት ዘሮቻቸውን ለመያዝ ይሞክሩ። እንቅስቃሴያቸውን በመከልከል እና የቀሩትን ፒትስ ዲዎን በመጠበቅ ላይ ያተኩሩ። ወደ ስህተት ለማስገደድ ወጥመዶችን ያዘጋጁ</v>
      </c>
      <c r="J117" s="11" t="str">
        <f>IFERROR(__xludf.DUMMYFUNCTION("GOOGLETRANSLATE(D117, ""en"", ""am"")"),"ዘሮችን ወደ ደህና ቦታዎች በማንቀሳቀስ የቀሩትን ጉድጓዶችዎን ይከላከሉ")</f>
        <v>ዘሮችን ወደ ደህና ቦታዎች በማንቀሳቀስ የቀሩትን ጉድጓዶችዎን ይከላከሉ</v>
      </c>
      <c r="K117" s="11" t="str">
        <f>IFERROR(__xludf.DUMMYFUNCTION("GOOGLETRANSLATE(E117, ""en"", ""am"")"),"መከላከል ተጨማሪ መያዝን ይከለክላል.")</f>
        <v>መከላከል ተጨማሪ መያዝን ይከለክላል.</v>
      </c>
    </row>
    <row r="118" ht="22.5" customHeight="1">
      <c r="A118" s="10">
        <v>117.0</v>
      </c>
      <c r="B118" s="11" t="s">
        <v>3914</v>
      </c>
      <c r="C118" s="11" t="s">
        <v>3915</v>
      </c>
      <c r="D118" s="11" t="s">
        <v>3916</v>
      </c>
      <c r="E118" s="11" t="s">
        <v>3917</v>
      </c>
      <c r="G118" s="11" t="str">
        <f>IFERROR(__xludf.DUMMYFUNCTION("GOOGLETRANSLATE(A118, ""en"", ""th"")"),"117")</f>
        <v>117</v>
      </c>
      <c r="H118" s="11" t="str">
        <f>IFERROR(__xludf.DUMMYFUNCTION("GOOGLETRANSLATE(B118, ""en"", ""am"")"),"በመሃከለኛ ጉድጓዶች ውስጥ ተቃዋሚዎ በዘራቸው ጥቅም እያገኘ መሆኑን ያስተውላሉ። ምን ምላሽ ትሰጣለህ?")</f>
        <v>በመሃከለኛ ጉድጓዶች ውስጥ ተቃዋሚዎ በዘራቸው ጥቅም እያገኘ መሆኑን ያስተውላሉ። ምን ምላሽ ትሰጣለህ?</v>
      </c>
      <c r="I118" s="11" t="str">
        <f>IFERROR(__xludf.DUMMYFUNCTION("GOOGLETRANSLATE(C118, ""en"", ""am"")"),"ሀ. ዘራቸውን ከደካማ pits በመያዝ ላይ ያተኩሩ። ወደ መካከለኛው ፒትሲሲ ያላቸውን መዳረሻ ለማገድ ዘሮችዎን እንደገና ያዘጋጁ። ስህተት እንዲሠሩ ለማስገደድ ወጥመዶችን ያዘጋጁ D. ከጉድጓዳቸው ውስጥ ዘሮችን በመያዝ እንቅስቃሴያቸውን ለመቋቋም ይሞክሩ")</f>
        <v>ሀ. ዘራቸውን ከደካማ pits በመያዝ ላይ ያተኩሩ። ወደ መካከለኛው ፒትሲሲ ያላቸውን መዳረሻ ለማገድ ዘሮችዎን እንደገና ያዘጋጁ። ስህተት እንዲሠሩ ለማስገደድ ወጥመዶችን ያዘጋጁ D. ከጉድጓዳቸው ውስጥ ዘሮችን በመያዝ እንቅስቃሴያቸውን ለመቋቋም ይሞክሩ</v>
      </c>
      <c r="J118" s="11" t="str">
        <f>IFERROR(__xludf.DUMMYFUNCTION("GOOGLETRANSLATE(D118, ""en"", ""am"")"),"ዘራቸውን ከደካማ ጉድጓዶች በመያዝ ላይ ያተኩሩ")</f>
        <v>ዘራቸውን ከደካማ ጉድጓዶች በመያዝ ላይ ያተኩሩ</v>
      </c>
      <c r="K118" s="11" t="str">
        <f>IFERROR(__xludf.DUMMYFUNCTION("GOOGLETRANSLATE(E118, ""en"", ""am"")"),"ዘራቸውን መያዙ ተጨማሪ ፍጥነትን ይከላከላል.")</f>
        <v>ዘራቸውን መያዙ ተጨማሪ ፍጥነትን ይከላከላል.</v>
      </c>
    </row>
    <row r="119" ht="22.5" customHeight="1">
      <c r="A119" s="10">
        <v>118.0</v>
      </c>
      <c r="B119" s="11" t="s">
        <v>3918</v>
      </c>
      <c r="C119" s="11" t="s">
        <v>3919</v>
      </c>
      <c r="D119" s="11" t="s">
        <v>3920</v>
      </c>
      <c r="E119" s="11" t="s">
        <v>3921</v>
      </c>
      <c r="G119" s="11" t="str">
        <f>IFERROR(__xludf.DUMMYFUNCTION("GOOGLETRANSLATE(A119, ""en"", ""th"")"),"118")</f>
        <v>118</v>
      </c>
      <c r="H119" s="11" t="str">
        <f>IFERROR(__xludf.DUMMYFUNCTION("GOOGLETRANSLATE(B119, ""en"", ""am"")"),"ተቃዋሚዎ በጉድጓዳቸው ውስጥ ብዙ ዘሮች አሏቸው ፣ ግን ለትልቅ እንቅስቃሴ እያዘጋጁ ነው። ምን ታደርጋለህ፧")</f>
        <v>ተቃዋሚዎ በጉድጓዳቸው ውስጥ ብዙ ዘሮች አሏቸው ፣ ግን ለትልቅ እንቅስቃሴ እያዘጋጁ ነው። ምን ታደርጋለህ፧</v>
      </c>
      <c r="I119" s="11" t="str">
        <f>IFERROR(__xludf.DUMMYFUNCTION("GOOGLETRANSLATE(C119, ""en"", ""am"")"),"ሀ. ወደፊት የሚያደርጉትን እንቅስቃሴ በማገድ ላይ ያተኩሩ እና ለመክፈት ቢ ይጠብቁ። በተቻለ መጠን ብዙ ዘሮቻቸውን ለመያዝ ይሞክሩ ሐ. የመልሶ ማጥቃት ዲ ለማዘጋጀት ዘሮችዎን እንደገና ያዘጋጁ። ወጥመድ ውስጥ እንዳይገቡ ዘሮችዎን ወደ ደህና ቦታዎች ያንቀሳቅሱ")</f>
        <v>ሀ. ወደፊት የሚያደርጉትን እንቅስቃሴ በማገድ ላይ ያተኩሩ እና ለመክፈት ቢ ይጠብቁ። በተቻለ መጠን ብዙ ዘሮቻቸውን ለመያዝ ይሞክሩ ሐ. የመልሶ ማጥቃት ዲ ለማዘጋጀት ዘሮችዎን እንደገና ያዘጋጁ። ወጥመድ ውስጥ እንዳይገቡ ዘሮችዎን ወደ ደህና ቦታዎች ያንቀሳቅሱ</v>
      </c>
      <c r="J119" s="11" t="str">
        <f>IFERROR(__xludf.DUMMYFUNCTION("GOOGLETRANSLATE(D119, ""en"", ""am"")"),"ወደፊት የሚያደርጉትን እንቅስቃሴ በማገድ ላይ ያተኩሩ እና እስኪከፈት ይጠብቁ")</f>
        <v>ወደፊት የሚያደርጉትን እንቅስቃሴ በማገድ ላይ ያተኩሩ እና እስኪከፈት ይጠብቁ</v>
      </c>
      <c r="K119" s="11" t="str">
        <f>IFERROR(__xludf.DUMMYFUNCTION("GOOGLETRANSLATE(E119, ""en"", ""am"")"),"እንቅስቃሴያቸውን ማገድ የመምታት አቅማቸውን ይገድባል።")</f>
        <v>እንቅስቃሴያቸውን ማገድ የመምታት አቅማቸውን ይገድባል።</v>
      </c>
    </row>
    <row r="120" ht="22.5" customHeight="1">
      <c r="A120" s="10">
        <v>119.0</v>
      </c>
      <c r="B120" s="11" t="s">
        <v>3922</v>
      </c>
      <c r="C120" s="11" t="s">
        <v>3923</v>
      </c>
      <c r="D120" s="11" t="s">
        <v>3924</v>
      </c>
      <c r="E120" s="11" t="s">
        <v>3925</v>
      </c>
      <c r="G120" s="11" t="str">
        <f>IFERROR(__xludf.DUMMYFUNCTION("GOOGLETRANSLATE(A120, ""en"", ""th"")"),"119")</f>
        <v>119</v>
      </c>
      <c r="H120" s="11" t="str">
        <f>IFERROR(__xludf.DUMMYFUNCTION("GOOGLETRANSLATE(B120, ""en"", ""am"")"),"ብዙ ዘሮችን አጥተዋል፣ እና ተቃዋሚዎ ጠንካራ አቋም አለው። ማዕበሉን እንዴት ይቀይራሉ?")</f>
        <v>ብዙ ዘሮችን አጥተዋል፣ እና ተቃዋሚዎ ጠንካራ አቋም አለው። ማዕበሉን እንዴት ይቀይራሉ?</v>
      </c>
      <c r="I120" s="11" t="str">
        <f>IFERROR(__xludf.DUMMYFUNCTION("GOOGLETRANSLATE(C120, ""en"", ""am"")"),"ሀ. ወጥመዶችን ከጥበቃ ቦታ ለመያዝ እና እንደገና ለመቆጣጠር ለ. ዘሮችዎን ወደ መከላከያ ቦታ ያመቻቹ እና ፒትስዎን ይጠብቁ። ከተቃዋሚዎ ስህተት ይጠብቁ እና በ itD ላይ ትልቅ ያድርጉት። ጨዋታውን ለማመጣጠን በቁጣ ደካማ ጉድጓዳቸውን ኢላማ አድርጉ")</f>
        <v>ሀ. ወጥመዶችን ከጥበቃ ቦታ ለመያዝ እና እንደገና ለመቆጣጠር ለ. ዘሮችዎን ወደ መከላከያ ቦታ ያመቻቹ እና ፒትስዎን ይጠብቁ። ከተቃዋሚዎ ስህተት ይጠብቁ እና በ itD ላይ ትልቅ ያድርጉት። ጨዋታውን ለማመጣጠን በቁጣ ደካማ ጉድጓዳቸውን ኢላማ አድርጉ</v>
      </c>
      <c r="J120" s="11" t="str">
        <f>IFERROR(__xludf.DUMMYFUNCTION("GOOGLETRANSLATE(D120, ""en"", ""am"")"),"እንዳይጠበቁ ወጥመዶችን ያዘጋጁ እና እንደገና ለመቆጣጠር")</f>
        <v>እንዳይጠበቁ ወጥመዶችን ያዘጋጁ እና እንደገና ለመቆጣጠር</v>
      </c>
      <c r="K120" s="11" t="str">
        <f>IFERROR(__xludf.DUMMYFUNCTION("GOOGLETRANSLATE(E120, ""en"", ""am"")"),"ወጥመዶችን ማዘጋጀት ስልታቸውን ይረብሸዋል እና እድገታቸውን ይቀንሳል.")</f>
        <v>ወጥመዶችን ማዘጋጀት ስልታቸውን ይረብሸዋል እና እድገታቸውን ይቀንሳል.</v>
      </c>
    </row>
    <row r="121" ht="22.5" customHeight="1">
      <c r="A121" s="10">
        <v>120.0</v>
      </c>
      <c r="B121" s="11" t="s">
        <v>3926</v>
      </c>
      <c r="C121" s="11" t="s">
        <v>3927</v>
      </c>
      <c r="D121" s="11" t="s">
        <v>3928</v>
      </c>
      <c r="E121" s="11" t="s">
        <v>3929</v>
      </c>
      <c r="G121" s="11" t="str">
        <f>IFERROR(__xludf.DUMMYFUNCTION("GOOGLETRANSLATE(A121, ""en"", ""th"")"),"120")</f>
        <v>120</v>
      </c>
      <c r="H121" s="11" t="str">
        <f>IFERROR(__xludf.DUMMYFUNCTION("GOOGLETRANSLATE(B121, ""en"", ""am"")"),"ተቃዋሚዎ ዘሮቻቸውን ወደ መካከለኛው ጉድጓዶች እያዘዋወረ ነው፣ እዚያም ብዙ ዘሮችዎን ይይዛሉ። ምን ምላሽ ትሰጣለህ?")</f>
        <v>ተቃዋሚዎ ዘሮቻቸውን ወደ መካከለኛው ጉድጓዶች እያዘዋወረ ነው፣ እዚያም ብዙ ዘሮችዎን ይይዛሉ። ምን ምላሽ ትሰጣለህ?</v>
      </c>
      <c r="I121" s="11" t="str">
        <f>IFERROR(__xludf.DUMMYFUNCTION("GOOGLETRANSLATE(C121, ""en"", ""am"")"),"ሀ. ወደ መካከለኛው ፒትስቢ መድረስን ለመዝጋት ዘሮችዎን እንደገና ያደራጁ። እቅዳቸውን ለማደናቀፍ ዘሮችን ከውጭ ጉድጓድ ለመያዝ ይሞክሩ. ስህተት እንዲሠሩ ለማስገደድ ወጥመዶችን ያዘጋጁ። ጉድጓዶችዎን በመከላከል ላይ ያተኩሩ እና የተሻለ እድል ይጠብቁ")</f>
        <v>ሀ. ወደ መካከለኛው ፒትስቢ መድረስን ለመዝጋት ዘሮችዎን እንደገና ያደራጁ። እቅዳቸውን ለማደናቀፍ ዘሮችን ከውጭ ጉድጓድ ለመያዝ ይሞክሩ. ስህተት እንዲሠሩ ለማስገደድ ወጥመዶችን ያዘጋጁ። ጉድጓዶችዎን በመከላከል ላይ ያተኩሩ እና የተሻለ እድል ይጠብቁ</v>
      </c>
      <c r="J121" s="11" t="str">
        <f>IFERROR(__xludf.DUMMYFUNCTION("GOOGLETRANSLATE(D121, ""en"", ""am"")"),"ወደ መካከለኛ ጉድጓዶች እንዳይገቡ ለማድረግ ዘሮችዎን እንደገና ያዘጋጁ")</f>
        <v>ወደ መካከለኛ ጉድጓዶች እንዳይገቡ ለማድረግ ዘሮችዎን እንደገና ያዘጋጁ</v>
      </c>
      <c r="K121" s="11" t="str">
        <f>IFERROR(__xludf.DUMMYFUNCTION("GOOGLETRANSLATE(E121, ""en"", ""am"")"),"እንቅስቃሴያቸውን ማገድ መቆጣጠሪያቸውን ይቀንሳል።")</f>
        <v>እንቅስቃሴያቸውን ማገድ መቆጣጠሪያቸውን ይቀንሳል።</v>
      </c>
    </row>
    <row r="122" ht="22.5" customHeight="1">
      <c r="A122" s="10">
        <v>121.0</v>
      </c>
      <c r="B122" s="11" t="s">
        <v>3930</v>
      </c>
      <c r="C122" s="11" t="s">
        <v>3931</v>
      </c>
      <c r="D122" s="11" t="s">
        <v>3932</v>
      </c>
      <c r="E122" s="11" t="s">
        <v>3933</v>
      </c>
      <c r="G122" s="11" t="str">
        <f>IFERROR(__xludf.DUMMYFUNCTION("GOOGLETRANSLATE(A122, ""en"", ""th"")"),"121")</f>
        <v>121</v>
      </c>
      <c r="H122" s="11" t="str">
        <f>IFERROR(__xludf.DUMMYFUNCTION("GOOGLETRANSLATE(B122, ""en"", ""am"")"),"በርከት ያሉ የተቃዋሚዎን ዘሮች ከውጪ ጉድጓድ ውስጥ ሊይዙ ነው። እንዴት ትቀጥላለህ?")</f>
        <v>በርከት ያሉ የተቃዋሚዎን ዘሮች ከውጪ ጉድጓድ ውስጥ ሊይዙ ነው። እንዴት ትቀጥላለህ?</v>
      </c>
      <c r="I122" s="11" t="str">
        <f>IFERROR(__xludf.DUMMYFUNCTION("GOOGLETRANSLATE(C122, ""en"", ""am"")"),"ሀ. ስልታቸውን ለማደናቀፍ ዘሩን ወዲያውኑ ይያዙ. ዘሮችዎን ወደ መከላከያ ቦታ እንደገና ያዘጋጁ። የተሻለ እድል ይጠብቁ D. ከመያዝዎ በፊት ዘሮችዎን ወደ ደህና ቦታ ይውሰዱ")</f>
        <v>ሀ. ስልታቸውን ለማደናቀፍ ዘሩን ወዲያውኑ ይያዙ. ዘሮችዎን ወደ መከላከያ ቦታ እንደገና ያዘጋጁ። የተሻለ እድል ይጠብቁ D. ከመያዝዎ በፊት ዘሮችዎን ወደ ደህና ቦታ ይውሰዱ</v>
      </c>
      <c r="J122" s="11" t="str">
        <f>IFERROR(__xludf.DUMMYFUNCTION("GOOGLETRANSLATE(D122, ""en"", ""am"")"),"ስልታቸውን ለማደናቀፍ ዘሩን ወዲያውኑ ይያዙ")</f>
        <v>ስልታቸውን ለማደናቀፍ ዘሩን ወዲያውኑ ይያዙ</v>
      </c>
      <c r="K122" s="11" t="str">
        <f>IFERROR(__xludf.DUMMYFUNCTION("GOOGLETRANSLATE(E122, ""en"", ""am"")"),"ዘሮቹ መያዛቸው ጉልበት እንዳይጨምር ያግዳቸዋል.")</f>
        <v>ዘሮቹ መያዛቸው ጉልበት እንዳይጨምር ያግዳቸዋል.</v>
      </c>
    </row>
    <row r="123" ht="22.5" customHeight="1">
      <c r="A123" s="10">
        <v>122.0</v>
      </c>
      <c r="B123" s="11" t="s">
        <v>3934</v>
      </c>
      <c r="C123" s="11" t="s">
        <v>3935</v>
      </c>
      <c r="D123" s="11" t="s">
        <v>3936</v>
      </c>
      <c r="E123" s="11" t="s">
        <v>3937</v>
      </c>
      <c r="G123" s="11" t="str">
        <f>IFERROR(__xludf.DUMMYFUNCTION("GOOGLETRANSLATE(A123, ""en"", ""th"")"),"122")</f>
        <v>122</v>
      </c>
      <c r="H123" s="11" t="str">
        <f>IFERROR(__xludf.DUMMYFUNCTION("GOOGLETRANSLATE(B123, ""en"", ""am"")"),"ተቃዋሚህ ዘርህን ከውጪ ጉድጓድ ሊይዝ ነው። የእርስዎ ግብረ-መልሶ ምንድነው?")</f>
        <v>ተቃዋሚህ ዘርህን ከውጪ ጉድጓድ ሊይዝ ነው። የእርስዎ ግብረ-መልሶ ምንድነው?</v>
      </c>
      <c r="I123" s="11" t="str">
        <f>IFERROR(__xludf.DUMMYFUNCTION("GOOGLETRANSLATE(C123, ""en"", ""am"")"),"ሀ. መያዙን ለማስቀረት ዘሮችዎን ወደ ውስጠኛው ጉድጓዶች ይውሰዱ። እንቅስቃሴያቸውን ለመዝጋት ዘሮችዎን እንደገና ያዘጋጁ። ለመበቀል ዘራቸውን ከውስጥ ጉድጓዶች ይያዙ። ዘሮችዎን በማስተካከል የውጭ ጉድጓዶችዎን ይከላከሉ")</f>
        <v>ሀ. መያዙን ለማስቀረት ዘሮችዎን ወደ ውስጠኛው ጉድጓዶች ይውሰዱ። እንቅስቃሴያቸውን ለመዝጋት ዘሮችዎን እንደገና ያዘጋጁ። ለመበቀል ዘራቸውን ከውስጥ ጉድጓዶች ይያዙ። ዘሮችዎን በማስተካከል የውጭ ጉድጓዶችዎን ይከላከሉ</v>
      </c>
      <c r="J123" s="11" t="str">
        <f>IFERROR(__xludf.DUMMYFUNCTION("GOOGLETRANSLATE(D123, ""en"", ""am"")"),"እንዳይያዙ ዘሮችዎን ወደ ውስጠኛው ጉድጓዶች ይውሰዱ")</f>
        <v>እንዳይያዙ ዘሮችዎን ወደ ውስጠኛው ጉድጓዶች ይውሰዱ</v>
      </c>
      <c r="K123" s="11" t="str">
        <f>IFERROR(__xludf.DUMMYFUNCTION("GOOGLETRANSLATE(E123, ""en"", ""am"")"),"ቀረጻን ማስወገድ በጨዋታው ውስጥ ያለዎትን ቦታ ያስጠብቃል።")</f>
        <v>ቀረጻን ማስወገድ በጨዋታው ውስጥ ያለዎትን ቦታ ያስጠብቃል።</v>
      </c>
    </row>
    <row r="124" ht="22.5" customHeight="1">
      <c r="A124" s="10">
        <v>123.0</v>
      </c>
      <c r="B124" s="11" t="s">
        <v>3938</v>
      </c>
      <c r="C124" s="11" t="s">
        <v>3939</v>
      </c>
      <c r="D124" s="11" t="s">
        <v>3940</v>
      </c>
      <c r="E124" s="11" t="s">
        <v>3941</v>
      </c>
      <c r="G124" s="11" t="str">
        <f>IFERROR(__xludf.DUMMYFUNCTION("GOOGLETRANSLATE(A124, ""en"", ""th"")"),"123")</f>
        <v>123</v>
      </c>
      <c r="H124" s="11" t="str">
        <f>IFERROR(__xludf.DUMMYFUNCTION("GOOGLETRANSLATE(B124, ""en"", ""am"")"),"ተቃዋሚህ ከውስጥህ ጉድጓዶች ትልቅ ቀረጻ አድርጓል። ቀጣዩ እርምጃህ ምንድን ነው?")</f>
        <v>ተቃዋሚህ ከውስጥህ ጉድጓዶች ትልቅ ቀረጻ አድርጓል። ቀጣዩ እርምጃህ ምንድን ነው?</v>
      </c>
      <c r="I124" s="11" t="str">
        <f>IFERROR(__xludf.DUMMYFUNCTION("GOOGLETRANSLATE(C124, ""en"", ""am"")"),"ሀ. ዘሮችዎን ወደ ተጨማሪ የመከላከያ ቦታዎች ያቀናብሩ። ዘራቸውን ከውጪው pitsC ይያዙ. በጣም ደካማ የሆነውን ፒዲዲ በማጥቃት እንደገና ለመቆጣጠር ይሞክሩ። የቀሩትን ጉድጓዶችዎን በመከላከል ላይ ያተኩሩ")</f>
        <v>ሀ. ዘሮችዎን ወደ ተጨማሪ የመከላከያ ቦታዎች ያቀናብሩ። ዘራቸውን ከውጪው pitsC ይያዙ. በጣም ደካማ የሆነውን ፒዲዲ በማጥቃት እንደገና ለመቆጣጠር ይሞክሩ። የቀሩትን ጉድጓዶችዎን በመከላከል ላይ ያተኩሩ</v>
      </c>
      <c r="J124" s="11" t="str">
        <f>IFERROR(__xludf.DUMMYFUNCTION("GOOGLETRANSLATE(D124, ""en"", ""am"")"),"ዘሮችዎን ወደ ተጨማሪ የመከላከያ ቦታዎች ያቀናብሩ")</f>
        <v>ዘሮችዎን ወደ ተጨማሪ የመከላከያ ቦታዎች ያቀናብሩ</v>
      </c>
      <c r="K124" s="11" t="str">
        <f>IFERROR(__xludf.DUMMYFUNCTION("GOOGLETRANSLATE(E124, ""en"", ""am"")"),"የመከላከያ መልሶ ማደራጀት ኪሳራዎችን ይቀንሳል.")</f>
        <v>የመከላከያ መልሶ ማደራጀት ኪሳራዎችን ይቀንሳል.</v>
      </c>
    </row>
    <row r="125" ht="22.5" customHeight="1">
      <c r="A125" s="10">
        <v>124.0</v>
      </c>
      <c r="B125" s="11" t="s">
        <v>3942</v>
      </c>
      <c r="C125" s="11" t="s">
        <v>3943</v>
      </c>
      <c r="D125" s="11" t="s">
        <v>3944</v>
      </c>
      <c r="E125" s="11" t="s">
        <v>3945</v>
      </c>
      <c r="G125" s="11" t="str">
        <f>IFERROR(__xludf.DUMMYFUNCTION("GOOGLETRANSLATE(A125, ""en"", ""th"")"),"124")</f>
        <v>124</v>
      </c>
      <c r="H125" s="11" t="str">
        <f>IFERROR(__xludf.DUMMYFUNCTION("GOOGLETRANSLATE(B125, ""en"", ""am"")"),"ተቃዋሚዎ አንዳንድ ዘሮች በውጪ ጉድጓዳቸው ውስጥ ተጋላጭ እንዲሆኑ ሲተው ያስተውላሉ። ምን ማድረግ አለቦት?")</f>
        <v>ተቃዋሚዎ አንዳንድ ዘሮች በውጪ ጉድጓዳቸው ውስጥ ተጋላጭ እንዲሆኑ ሲተው ያስተውላሉ። ምን ማድረግ አለቦት?</v>
      </c>
      <c r="I125" s="11" t="str">
        <f>IFERROR(__xludf.DUMMYFUNCTION("GOOGLETRANSLATE(C125, ""en"", ""am"")"),"ሀ. ቦታቸውን ለማዳከም ተጋላጭ የሆኑትን ዘሮች ወዲያውኑ ይያዙ። እስኪሳሳቱ ድረስ ይጠብቁ እና ብዙ ዘሮችን እንዲይዙ ያድርጉ። ዘሮችዎን ወደ የበለጠ ስልታዊ አቀማመጥ ያዘጋጁ። በምትኩ የእራስዎን ጉድጓዶች በመከላከል ላይ ያተኩሩ")</f>
        <v>ሀ. ቦታቸውን ለማዳከም ተጋላጭ የሆኑትን ዘሮች ወዲያውኑ ይያዙ። እስኪሳሳቱ ድረስ ይጠብቁ እና ብዙ ዘሮችን እንዲይዙ ያድርጉ። ዘሮችዎን ወደ የበለጠ ስልታዊ አቀማመጥ ያዘጋጁ። በምትኩ የእራስዎን ጉድጓዶች በመከላከል ላይ ያተኩሩ</v>
      </c>
      <c r="J125" s="11" t="str">
        <f>IFERROR(__xludf.DUMMYFUNCTION("GOOGLETRANSLATE(D125, ""en"", ""am"")"),"ቦታቸውን ለማዳከም የተጋለጡትን ዘሮች ወዲያውኑ ይያዙ")</f>
        <v>ቦታቸውን ለማዳከም የተጋለጡትን ዘሮች ወዲያውኑ ይያዙ</v>
      </c>
      <c r="K125" s="11" t="str">
        <f>IFERROR(__xludf.DUMMYFUNCTION("GOOGLETRANSLATE(E125, ""en"", ""am"")"),"ለአደጋ የተጋለጡ ዘሮችን መያዙ እንደገና መቆጣጠር እንዳይችሉ ያግዳቸዋል.")</f>
        <v>ለአደጋ የተጋለጡ ዘሮችን መያዙ እንደገና መቆጣጠር እንዳይችሉ ያግዳቸዋል.</v>
      </c>
    </row>
    <row r="126" ht="22.5" customHeight="1">
      <c r="A126" s="10">
        <v>125.0</v>
      </c>
      <c r="B126" s="11" t="s">
        <v>3946</v>
      </c>
      <c r="C126" s="11" t="s">
        <v>3947</v>
      </c>
      <c r="D126" s="11" t="s">
        <v>3948</v>
      </c>
      <c r="E126" s="11" t="s">
        <v>3949</v>
      </c>
      <c r="G126" s="11" t="str">
        <f>IFERROR(__xludf.DUMMYFUNCTION("GOOGLETRANSLATE(A126, ""en"", ""th"")"),"125")</f>
        <v>125</v>
      </c>
      <c r="H126" s="11" t="str">
        <f>IFERROR(__xludf.DUMMYFUNCTION("GOOGLETRANSLATE(B126, ""en"", ""am"")"),"ተቃዋሚዎ በጉድጓዳቸው ውስጥ ብዙ ዘሮች አሉ እና ለትልቅ እንቅስቃሴ እየተዘጋጀ ነው። ይህን እንዴት ነው የምትይዘው?")</f>
        <v>ተቃዋሚዎ በጉድጓዳቸው ውስጥ ብዙ ዘሮች አሉ እና ለትልቅ እንቅስቃሴ እየተዘጋጀ ነው። ይህን እንዴት ነው የምትይዘው?</v>
      </c>
      <c r="I126" s="11" t="str">
        <f>IFERROR(__xludf.DUMMYFUNCTION("GOOGLETRANSLATE(C126, ""en"", ""am"")"),"ሀ. መንቀሳቀሻቸውን ቢ ከማድረጋቸው በፊት ዘራቸውን ከደካማ ጉድጓዳቸው ለመያዝ ይሞክሩ። በጣም አደገኛ የሆኑትን ጉድጓዶችን ለመዝጋት ዘሮችዎን እንደገና ያዘጋጁ። ስህተት እንዲሠሩ ለማስገደድ ወጥመዶችን ያዘጋጁ D. የእነሱን ጥቅም ለመገደብ በእርስዎ የመከላከያ ስልት ላይ ያተኩሩ")</f>
        <v>ሀ. መንቀሳቀሻቸውን ቢ ከማድረጋቸው በፊት ዘራቸውን ከደካማ ጉድጓዳቸው ለመያዝ ይሞክሩ። በጣም አደገኛ የሆኑትን ጉድጓዶችን ለመዝጋት ዘሮችዎን እንደገና ያዘጋጁ። ስህተት እንዲሠሩ ለማስገደድ ወጥመዶችን ያዘጋጁ D. የእነሱን ጥቅም ለመገደብ በእርስዎ የመከላከያ ስልት ላይ ያተኩሩ</v>
      </c>
      <c r="J126" s="11" t="str">
        <f>IFERROR(__xludf.DUMMYFUNCTION("GOOGLETRANSLATE(D126, ""en"", ""am"")"),"ከመንቀሳቀስዎ በፊት ዘሮቻቸውን ከደካማ ጉድጓዶች ለመያዝ ይሞክሩ")</f>
        <v>ከመንቀሳቀስዎ በፊት ዘሮቻቸውን ከደካማ ጉድጓዶች ለመያዝ ይሞክሩ</v>
      </c>
      <c r="K126" s="11" t="str">
        <f>IFERROR(__xludf.DUMMYFUNCTION("GOOGLETRANSLATE(E126, ""en"", ""am"")"),"ዘራቸውን መያዙ ዝግጅታቸውን ያበላሻል።")</f>
        <v>ዘራቸውን መያዙ ዝግጅታቸውን ያበላሻል።</v>
      </c>
    </row>
    <row r="127" ht="22.5" customHeight="1">
      <c r="A127" s="10">
        <v>126.0</v>
      </c>
      <c r="B127" s="11" t="s">
        <v>3950</v>
      </c>
      <c r="C127" s="11" t="s">
        <v>3951</v>
      </c>
      <c r="D127" s="11" t="s">
        <v>3952</v>
      </c>
      <c r="E127" s="11" t="s">
        <v>3953</v>
      </c>
      <c r="G127" s="11" t="str">
        <f>IFERROR(__xludf.DUMMYFUNCTION("GOOGLETRANSLATE(A127, ""en"", ""th"")"),"126")</f>
        <v>126</v>
      </c>
      <c r="H127" s="11" t="str">
        <f>IFERROR(__xludf.DUMMYFUNCTION("GOOGLETRANSLATE(B127, ""en"", ""am"")"),"ተቃዋሚዎ በበርካታ ጠንካራ እንቅስቃሴዎች እየበረታ ነው። ቀጥሎ ምን ታደርጋለህ?")</f>
        <v>ተቃዋሚዎ በበርካታ ጠንካራ እንቅስቃሴዎች እየበረታ ነው። ቀጥሎ ምን ታደርጋለህ?</v>
      </c>
      <c r="I127" s="11" t="str">
        <f>IFERROR(__xludf.DUMMYFUNCTION("GOOGLETRANSLATE(C127, ""en"", ""am"")"),"ሀ. ዘሮችዎን ወደ መከላከያ ቦታ ያመቻቹ እና የመክፈቻ B ይጠብቁ. ብዙ ዘሮቻቸውን ከደካማው pitsC ይያዙ። የእነሱን ፍጥነት ለማደናቀፍ የመልሶ ማጥቃት በማዘጋጀት ላይ ያተኩሩ። በጣም ጠንካራ እንቅስቃሴዎቻቸውን ለማገድ እና ዘራቸውን ለመያዝ ይሞክሩ")</f>
        <v>ሀ. ዘሮችዎን ወደ መከላከያ ቦታ ያመቻቹ እና የመክፈቻ B ይጠብቁ. ብዙ ዘሮቻቸውን ከደካማው pitsC ይያዙ። የእነሱን ፍጥነት ለማደናቀፍ የመልሶ ማጥቃት በማዘጋጀት ላይ ያተኩሩ። በጣም ጠንካራ እንቅስቃሴዎቻቸውን ለማገድ እና ዘራቸውን ለመያዝ ይሞክሩ</v>
      </c>
      <c r="J127" s="11" t="str">
        <f>IFERROR(__xludf.DUMMYFUNCTION("GOOGLETRANSLATE(D127, ""en"", ""am"")"),"ዘሮችዎን ወደ ተከላካይ ቦታ እንደገና ያዘጋጁ እና እስኪከፈት ይጠብቁ")</f>
        <v>ዘሮችዎን ወደ ተከላካይ ቦታ እንደገና ያዘጋጁ እና እስኪከፈት ይጠብቁ</v>
      </c>
      <c r="K127" s="11" t="str">
        <f>IFERROR(__xludf.DUMMYFUNCTION("GOOGLETRANSLATE(E127, ""en"", ""am"")"),"እንቅስቃሴያቸውን ማገድ ፍጥነታቸውን ይቀንሳል።")</f>
        <v>እንቅስቃሴያቸውን ማገድ ፍጥነታቸውን ይቀንሳል።</v>
      </c>
    </row>
    <row r="128" ht="22.5" customHeight="1">
      <c r="A128" s="10">
        <v>127.0</v>
      </c>
      <c r="B128" s="11" t="s">
        <v>3954</v>
      </c>
      <c r="C128" s="11" t="s">
        <v>3955</v>
      </c>
      <c r="D128" s="11" t="s">
        <v>3956</v>
      </c>
      <c r="E128" s="11" t="s">
        <v>3957</v>
      </c>
      <c r="G128" s="11" t="str">
        <f>IFERROR(__xludf.DUMMYFUNCTION("GOOGLETRANSLATE(A128, ""en"", ""th"")"),"127")</f>
        <v>127</v>
      </c>
      <c r="H128" s="11" t="str">
        <f>IFERROR(__xludf.DUMMYFUNCTION("GOOGLETRANSLATE(B128, ""en"", ""am"")"),"በርከት ያሉ የተቃዋሚህን ዘሮች ወስደሃል፣ አሁን ግን ጉድጓድህ ውስጥ የቀረህ ጥቂቶች ብቻ ነው። ምን ማድረግ አለቦት?")</f>
        <v>በርከት ያሉ የተቃዋሚህን ዘሮች ወስደሃል፣ አሁን ግን ጉድጓድህ ውስጥ የቀረህ ጥቂቶች ብቻ ነው። ምን ማድረግ አለቦት?</v>
      </c>
      <c r="I128" s="11" t="str">
        <f>IFERROR(__xludf.DUMMYFUNCTION("GOOGLETRANSLATE(C128, ""en"", ""am"")"),"A. trapsB በማዘጋጀት የቀሩትን ዘሮችዎን ይከላከሉ. የተቀሩትን ዘሮች ከመያዝ ለመከላከል እንደገና ያዘጋጁ። ተቃዋሚዎ እስኪሳሳት እና እስኪመልስ ድረስ ይጠብቁ። ከደካማ ጉድጓዳቸው ውስጥ ዘራቸውን በመያዝ ላይ ያተኩሩ")</f>
        <v>A. trapsB በማዘጋጀት የቀሩትን ዘሮችዎን ይከላከሉ. የተቀሩትን ዘሮች ከመያዝ ለመከላከል እንደገና ያዘጋጁ። ተቃዋሚዎ እስኪሳሳት እና እስኪመልስ ድረስ ይጠብቁ። ከደካማ ጉድጓዳቸው ውስጥ ዘራቸውን በመያዝ ላይ ያተኩሩ</v>
      </c>
      <c r="J128" s="11" t="str">
        <f>IFERROR(__xludf.DUMMYFUNCTION("GOOGLETRANSLATE(D128, ""en"", ""am"")"),"ወጥመዶችን በማዘጋጀት የቀሩትን ዘሮችዎን ይከላከሉ")</f>
        <v>ወጥመዶችን በማዘጋጀት የቀሩትን ዘሮችዎን ይከላከሉ</v>
      </c>
      <c r="K128" s="11" t="str">
        <f>IFERROR(__xludf.DUMMYFUNCTION("GOOGLETRANSLATE(E128, ""en"", ""am"")"),"ወጥመዶችን ማዘጋጀት የቀሩትን ዘሮችዎን ይከላከላል.")</f>
        <v>ወጥመዶችን ማዘጋጀት የቀሩትን ዘሮችዎን ይከላከላል.</v>
      </c>
    </row>
    <row r="129" ht="22.5" customHeight="1">
      <c r="A129" s="10">
        <v>128.0</v>
      </c>
      <c r="B129" s="11" t="s">
        <v>3958</v>
      </c>
      <c r="C129" s="11" t="s">
        <v>3959</v>
      </c>
      <c r="D129" s="11" t="s">
        <v>3960</v>
      </c>
      <c r="E129" s="11" t="s">
        <v>3961</v>
      </c>
      <c r="G129" s="11" t="str">
        <f>IFERROR(__xludf.DUMMYFUNCTION("GOOGLETRANSLATE(A129, ""en"", ""th"")"),"128")</f>
        <v>128</v>
      </c>
      <c r="H129" s="11" t="str">
        <f>IFERROR(__xludf.DUMMYFUNCTION("GOOGLETRANSLATE(B129, ""en"", ""am"")"),"ተቃዋሚዎ ጉድጓድ ውስጥ ምንም ዘር የለውም. በዚህ ሁኔታ እንዴት ይጠቀማሉ?")</f>
        <v>ተቃዋሚዎ ጉድጓድ ውስጥ ምንም ዘር የለውም. በዚህ ሁኔታ እንዴት ይጠቀማሉ?</v>
      </c>
      <c r="I129" s="11" t="str">
        <f>IFERROR(__xludf.DUMMYFUNCTION("GOOGLETRANSLATE(C129, ""en"", ""am"")"),"ሀ. በተቻለ መጠን ብዙ ዘሮቻቸውን ከውጫዊ ጉድጓዳቸው ውስጥ ይያዙ። ዘሮችዎን የበለጠ ተከላካይ በሆነ ቦታ ያዘጋጁ። እንቅስቃሴ እስኪያደርጉ ድረስ ይጠብቁ እና ኢትዲ ይቃወማሉ። ዘሮችዎን በመጠበቅ እና በመጠበቅ ላይ ያተኩሩ")</f>
        <v>ሀ. በተቻለ መጠን ብዙ ዘሮቻቸውን ከውጫዊ ጉድጓዳቸው ውስጥ ይያዙ። ዘሮችዎን የበለጠ ተከላካይ በሆነ ቦታ ያዘጋጁ። እንቅስቃሴ እስኪያደርጉ ድረስ ይጠብቁ እና ኢትዲ ይቃወማሉ። ዘሮችዎን በመጠበቅ እና በመጠበቅ ላይ ያተኩሩ</v>
      </c>
      <c r="J129" s="11" t="str">
        <f>IFERROR(__xludf.DUMMYFUNCTION("GOOGLETRANSLATE(D129, ""en"", ""am"")"),"በተቻለ መጠን ብዙ ዘሮቻቸውን ከውጭ ጉድጓድ ውስጥ ይያዙ")</f>
        <v>በተቻለ መጠን ብዙ ዘሮቻቸውን ከውጭ ጉድጓድ ውስጥ ይያዙ</v>
      </c>
      <c r="K129" s="11" t="str">
        <f>IFERROR(__xludf.DUMMYFUNCTION("GOOGLETRANSLATE(E129, ""en"", ""am"")"),"ጉድጓዶች በሌሉበት ጊዜ ዘራቸውን መያዙ እድላቸውን ይቀንሳል.")</f>
        <v>ጉድጓዶች በሌሉበት ጊዜ ዘራቸውን መያዙ እድላቸውን ይቀንሳል.</v>
      </c>
    </row>
    <row r="130" ht="22.5" customHeight="1">
      <c r="A130" s="10">
        <v>129.0</v>
      </c>
      <c r="B130" s="11" t="s">
        <v>3962</v>
      </c>
      <c r="C130" s="11" t="s">
        <v>3963</v>
      </c>
      <c r="D130" s="11" t="s">
        <v>3964</v>
      </c>
      <c r="E130" s="11" t="s">
        <v>3965</v>
      </c>
      <c r="G130" s="11" t="str">
        <f>IFERROR(__xludf.DUMMYFUNCTION("GOOGLETRANSLATE(A130, ""en"", ""th"")"),"129")</f>
        <v>129</v>
      </c>
      <c r="H130" s="11" t="str">
        <f>IFERROR(__xludf.DUMMYFUNCTION("GOOGLETRANSLATE(B130, ""en"", ""am"")"),"ገና ብዙ ዘሮችን ወስደሃል፣ አሁን ግን ተቃዋሚህ ለመልሶ ማጥቃት እያዘጋጀ ነው። ምን ታደርጋለህ፧")</f>
        <v>ገና ብዙ ዘሮችን ወስደሃል፣ አሁን ግን ተቃዋሚህ ለመልሶ ማጥቃት እያዘጋጀ ነው። ምን ታደርጋለህ፧</v>
      </c>
      <c r="I130" s="11" t="str">
        <f>IFERROR(__xludf.DUMMYFUNCTION("GOOGLETRANSLATE(C130, ""en"", ""am"")"),"ሀ. ዘሮችዎን የበለጠ ወደ መከላከያ ቦታ ያመቻቹ። መበቀል ከመቻላቸው በፊት ብዙ ዘሮችን በመያዝ ላይ ያተኩሩ። ወጥመድን ለማስቀረት ዘሮችዎን ወደ ደህና ቦታዎች ያንቀሳቅሱ። እስኪሳሳቱ ድረስ ይጠብቁ እና በኋላ ላይ አጸፋውን ይመልሱ")</f>
        <v>ሀ. ዘሮችዎን የበለጠ ወደ መከላከያ ቦታ ያመቻቹ። መበቀል ከመቻላቸው በፊት ብዙ ዘሮችን በመያዝ ላይ ያተኩሩ። ወጥመድን ለማስቀረት ዘሮችዎን ወደ ደህና ቦታዎች ያንቀሳቅሱ። እስኪሳሳቱ ድረስ ይጠብቁ እና በኋላ ላይ አጸፋውን ይመልሱ</v>
      </c>
      <c r="J130" s="11" t="str">
        <f>IFERROR(__xludf.DUMMYFUNCTION("GOOGLETRANSLATE(D130, ""en"", ""am"")"),"ዘሮችዎን ወደ ተከላካይ ቦታ እንደገና ያዘጋጁ")</f>
        <v>ዘሮችዎን ወደ ተከላካይ ቦታ እንደገና ያዘጋጁ</v>
      </c>
      <c r="K130" s="11" t="str">
        <f>IFERROR(__xludf.DUMMYFUNCTION("GOOGLETRANSLATE(E130, ""en"", ""am"")"),"የመከላከያ ቦታ መቀየር ጥቅማጥቅሞችን ለመጠበቅ ይረዳል።")</f>
        <v>የመከላከያ ቦታ መቀየር ጥቅማጥቅሞችን ለመጠበቅ ይረዳል።</v>
      </c>
    </row>
    <row r="131" ht="22.5" customHeight="1">
      <c r="A131" s="10">
        <v>130.0</v>
      </c>
      <c r="B131" s="11" t="s">
        <v>3966</v>
      </c>
      <c r="C131" s="11" t="s">
        <v>3967</v>
      </c>
      <c r="D131" s="11" t="s">
        <v>3968</v>
      </c>
      <c r="E131" s="11" t="s">
        <v>3969</v>
      </c>
      <c r="G131" s="11" t="str">
        <f>IFERROR(__xludf.DUMMYFUNCTION("GOOGLETRANSLATE(A131, ""en"", ""th"")"),"130")</f>
        <v>130</v>
      </c>
      <c r="H131" s="11" t="str">
        <f>IFERROR(__xludf.DUMMYFUNCTION("GOOGLETRANSLATE(B131, ""en"", ""am"")"),"ተቃዋሚዎ ብዙ ዘሮችዎን በመያዝ ኃይለኛ እንቅስቃሴ አድርጓል። አሁን ምን ታደርጋለህ?")</f>
        <v>ተቃዋሚዎ ብዙ ዘሮችዎን በመያዝ ኃይለኛ እንቅስቃሴ አድርጓል። አሁን ምን ታደርጋለህ?</v>
      </c>
      <c r="I131" s="11" t="str">
        <f>IFERROR(__xludf.DUMMYFUNCTION("GOOGLETRANSLATE(C131, ""en"", ""am"")"),"ሀ. ዘራቸውን ለመያዝ እና እንደገና ለመቆጣጠር ወጥመዶችን ያዘጋጁ ለ. ቀጣዩን እንቅስቃሴያቸውን ለማገድ ዘሮችዎን እንደገና ያዘጋጁ። ዘራቸውን ከደካማ ጉድጓዳቸው ለመያዝ ይሞክሩ። ተጨማሪ ኪሳራዎችን ለመቀነስ በመከላከያ ስልቶች ላይ ያተኩሩ")</f>
        <v>ሀ. ዘራቸውን ለመያዝ እና እንደገና ለመቆጣጠር ወጥመዶችን ያዘጋጁ ለ. ቀጣዩን እንቅስቃሴያቸውን ለማገድ ዘሮችዎን እንደገና ያዘጋጁ። ዘራቸውን ከደካማ ጉድጓዳቸው ለመያዝ ይሞክሩ። ተጨማሪ ኪሳራዎችን ለመቀነስ በመከላከያ ስልቶች ላይ ያተኩሩ</v>
      </c>
      <c r="J131" s="11" t="str">
        <f>IFERROR(__xludf.DUMMYFUNCTION("GOOGLETRANSLATE(D131, ""en"", ""am"")"),"ዘራቸውን ለመያዝ እና እንደገና ለመቆጣጠር ወጥመዶችን ያዘጋጁ")</f>
        <v>ዘራቸውን ለመያዝ እና እንደገና ለመቆጣጠር ወጥመዶችን ያዘጋጁ</v>
      </c>
      <c r="K131" s="11" t="str">
        <f>IFERROR(__xludf.DUMMYFUNCTION("GOOGLETRANSLATE(E131, ""en"", ""am"")"),"ወጥመዶችን ማቀናበር ተቃዋሚዎን ከጠባቂነት ሊይዝ ይችላል.")</f>
        <v>ወጥመዶችን ማቀናበር ተቃዋሚዎን ከጠባቂነት ሊይዝ ይችላል.</v>
      </c>
    </row>
    <row r="132" ht="22.5" customHeight="1">
      <c r="A132" s="10">
        <v>131.0</v>
      </c>
      <c r="B132" s="11" t="s">
        <v>3970</v>
      </c>
      <c r="C132" s="11" t="s">
        <v>3971</v>
      </c>
      <c r="D132" s="11" t="s">
        <v>3972</v>
      </c>
      <c r="E132" s="11" t="s">
        <v>3973</v>
      </c>
      <c r="G132" s="11" t="str">
        <f>IFERROR(__xludf.DUMMYFUNCTION("GOOGLETRANSLATE(A132, ""en"", ""th"")"),"131")</f>
        <v>131</v>
      </c>
      <c r="H132" s="11" t="str">
        <f>IFERROR(__xludf.DUMMYFUNCTION("GOOGLETRANSLATE(B132, ""en"", ""am"")"),"ተቃዋሚዎ የመጨረሻዎቹን ጥቂት ዘሮችዎን ከጉድጓድ ውስጥ ሊይዝ ነው። ምን ታደርጋለህ፧")</f>
        <v>ተቃዋሚዎ የመጨረሻዎቹን ጥቂት ዘሮችዎን ከጉድጓድ ውስጥ ሊይዝ ነው። ምን ታደርጋለህ፧</v>
      </c>
      <c r="I132" s="11" t="str">
        <f>IFERROR(__xludf.DUMMYFUNCTION("GOOGLETRANSLATE(C132, ""en"", ""am"")"),"ሀ. የተቀሩትን ዘሮች ወደ ደህና ቦታዎች እንደገና ያቀናብሩ። ዘሮቻቸውን ከደካማው pitsC ለመያዝ ይሞክሩ። ቀጣዩን እንቅስቃሴያቸውን በመከልከል ላይ ያተኩሩ። ዘሮችዎን ለመጠበቅ ወደ ደህና ጉድጓዶች ይውሰዱ")</f>
        <v>ሀ. የተቀሩትን ዘሮች ወደ ደህና ቦታዎች እንደገና ያቀናብሩ። ዘሮቻቸውን ከደካማው pitsC ለመያዝ ይሞክሩ። ቀጣዩን እንቅስቃሴያቸውን በመከልከል ላይ ያተኩሩ። ዘሮችዎን ለመጠበቅ ወደ ደህና ጉድጓዶች ይውሰዱ</v>
      </c>
      <c r="J132" s="11" t="str">
        <f>IFERROR(__xludf.DUMMYFUNCTION("GOOGLETRANSLATE(D132, ""en"", ""am"")"),"የተቀሩትን ዘሮች ወደ ደህና ቦታዎች ያቀናብሩ")</f>
        <v>የተቀሩትን ዘሮች ወደ ደህና ቦታዎች ያቀናብሩ</v>
      </c>
      <c r="K132" s="11" t="str">
        <f>IFERROR(__xludf.DUMMYFUNCTION("GOOGLETRANSLATE(E132, ""en"", ""am"")"),"ዘሮችዎን እንደገና ማደራጀት ተጨማሪ የመጥፋት እድልን ይቀንሳል።")</f>
        <v>ዘሮችዎን እንደገና ማደራጀት ተጨማሪ የመጥፋት እድልን ይቀንሳል።</v>
      </c>
    </row>
    <row r="133" ht="22.5" customHeight="1">
      <c r="A133" s="10">
        <v>132.0</v>
      </c>
      <c r="B133" s="11" t="s">
        <v>3974</v>
      </c>
      <c r="C133" s="11" t="s">
        <v>3975</v>
      </c>
      <c r="D133" s="11" t="s">
        <v>3940</v>
      </c>
      <c r="E133" s="11" t="s">
        <v>3901</v>
      </c>
      <c r="G133" s="11" t="str">
        <f>IFERROR(__xludf.DUMMYFUNCTION("GOOGLETRANSLATE(A133, ""en"", ""th"")"),"132")</f>
        <v>132</v>
      </c>
      <c r="H133" s="11" t="str">
        <f>IFERROR(__xludf.DUMMYFUNCTION("GOOGLETRANSLATE(B133, ""en"", ""am"")"),"ተቃዋሚዎ ብዙ ዘሮችዎን ለመያዝ በዝግጅት ላይ ነው። ምን ማድረግ አለቦት?")</f>
        <v>ተቃዋሚዎ ብዙ ዘሮችዎን ለመያዝ በዝግጅት ላይ ነው። ምን ማድረግ አለቦት?</v>
      </c>
      <c r="I133" s="11" t="str">
        <f>IFERROR(__xludf.DUMMYFUNCTION("GOOGLETRANSLATE(C133, ""en"", ""am"")"),"ሀ. ዘሮችዎን ወደ ተጨማሪ የመከላከያ ቦታዎች ያቀናብሩ። C እንዳይያዙ ዘሮችዎን ወደ ውስጠኛው ጉድጓዶች ይውሰዱ። ስህተት እንዲሠሩ ለማስገደድ ወጥመዶችን ያዘጋጁ። ዘሮቻቸውን ከውጪ ጉድጓድ በመውሰዳቸው ላይ ያተኩሩ")</f>
        <v>ሀ. ዘሮችዎን ወደ ተጨማሪ የመከላከያ ቦታዎች ያቀናብሩ። C እንዳይያዙ ዘሮችዎን ወደ ውስጠኛው ጉድጓዶች ይውሰዱ። ስህተት እንዲሠሩ ለማስገደድ ወጥመዶችን ያዘጋጁ። ዘሮቻቸውን ከውጪ ጉድጓድ በመውሰዳቸው ላይ ያተኩሩ</v>
      </c>
      <c r="J133" s="11" t="str">
        <f>IFERROR(__xludf.DUMMYFUNCTION("GOOGLETRANSLATE(D133, ""en"", ""am"")"),"ዘሮችዎን ወደ ተጨማሪ የመከላከያ ቦታዎች ያቀናብሩ")</f>
        <v>ዘሮችዎን ወደ ተጨማሪ የመከላከያ ቦታዎች ያቀናብሩ</v>
      </c>
      <c r="K133" s="11" t="str">
        <f>IFERROR(__xludf.DUMMYFUNCTION("GOOGLETRANSLATE(E133, ""en"", ""am"")"),"ዘሮችን እንደገና ማደራጀት ተጨማሪ ኪሳራዎችን ይከላከላል።")</f>
        <v>ዘሮችን እንደገና ማደራጀት ተጨማሪ ኪሳራዎችን ይከላከላል።</v>
      </c>
    </row>
    <row r="134" ht="22.5" customHeight="1">
      <c r="A134" s="10">
        <v>133.0</v>
      </c>
      <c r="B134" s="11" t="s">
        <v>3976</v>
      </c>
      <c r="C134" s="11" t="s">
        <v>3977</v>
      </c>
      <c r="D134" s="11" t="s">
        <v>3978</v>
      </c>
      <c r="E134" s="11" t="s">
        <v>3979</v>
      </c>
      <c r="G134" s="11" t="str">
        <f>IFERROR(__xludf.DUMMYFUNCTION("GOOGLETRANSLATE(A134, ""en"", ""th"")"),"133")</f>
        <v>133</v>
      </c>
      <c r="H134" s="11" t="str">
        <f>IFERROR(__xludf.DUMMYFUNCTION("GOOGLETRANSLATE(B134, ""en"", ""am"")"),"ተቃዋሚዎ ጠንካራ ቅንብር አለው፣ ነገር ግን ብዙ ዘሮቻቸውን ለመያዝ እድሉን አስተውለዋል። ምን ታደርጋለህ፧")</f>
        <v>ተቃዋሚዎ ጠንካራ ቅንብር አለው፣ ነገር ግን ብዙ ዘሮቻቸውን ለመያዝ እድሉን አስተውለዋል። ምን ታደርጋለህ፧</v>
      </c>
      <c r="I134" s="11" t="str">
        <f>IFERROR(__xludf.DUMMYFUNCTION("GOOGLETRANSLATE(C134, ""en"", ""am"")"),"ሀ. ቦታቸውን ለማዳከም ዘሮቻቸውን ወዲያውኑ ይያዙ። ለመምታት የተሻለ እድል ይጠብቁ። ዘሮችዎን ወደ የበለጠ ስልታዊ አቀማመጥ ያዘጋጁ። እንቅስቃሴያቸውን በመከልከል እና ዘሮችዎን በመጠበቅ ላይ ያተኩሩ")</f>
        <v>ሀ. ቦታቸውን ለማዳከም ዘሮቻቸውን ወዲያውኑ ይያዙ። ለመምታት የተሻለ እድል ይጠብቁ። ዘሮችዎን ወደ የበለጠ ስልታዊ አቀማመጥ ያዘጋጁ። እንቅስቃሴያቸውን በመከልከል እና ዘሮችዎን በመጠበቅ ላይ ያተኩሩ</v>
      </c>
      <c r="J134" s="11" t="str">
        <f>IFERROR(__xludf.DUMMYFUNCTION("GOOGLETRANSLATE(D134, ""en"", ""am"")"),"ቦታቸውን ለማዳከም ዘሮቻቸውን ወዲያውኑ ይያዙ")</f>
        <v>ቦታቸውን ለማዳከም ዘሮቻቸውን ወዲያውኑ ይያዙ</v>
      </c>
      <c r="K134" s="11" t="str">
        <f>IFERROR(__xludf.DUMMYFUNCTION("GOOGLETRANSLATE(E134, ""en"", ""am"")"),"ዘሮችን መያዙ ስልታዊ ጠቀሜታቸውን ይቀንሳል።")</f>
        <v>ዘሮችን መያዙ ስልታዊ ጠቀሜታቸውን ይቀንሳል።</v>
      </c>
    </row>
    <row r="135" ht="22.5" customHeight="1">
      <c r="A135" s="10">
        <v>134.0</v>
      </c>
      <c r="B135" s="11" t="s">
        <v>3980</v>
      </c>
      <c r="C135" s="11" t="s">
        <v>3981</v>
      </c>
      <c r="D135" s="11" t="s">
        <v>3982</v>
      </c>
      <c r="E135" s="11" t="s">
        <v>3983</v>
      </c>
      <c r="G135" s="11" t="str">
        <f>IFERROR(__xludf.DUMMYFUNCTION("GOOGLETRANSLATE(A135, ""en"", ""th"")"),"134")</f>
        <v>134</v>
      </c>
      <c r="H135" s="11" t="str">
        <f>IFERROR(__xludf.DUMMYFUNCTION("GOOGLETRANSLATE(B135, ""en"", ""am"")"),"ጉድጓድ ውስጥ የቀሩ ዘሮች የሉዎትም፣ እናም ተቃዋሚዎ ኃይለኛ እንቅስቃሴ እያደረገ ነው። ምን ማድረግ አለቦት?")</f>
        <v>ጉድጓድ ውስጥ የቀሩ ዘሮች የሉዎትም፣ እናም ተቃዋሚዎ ኃይለኛ እንቅስቃሴ እያደረገ ነው። ምን ማድረግ አለቦት?</v>
      </c>
      <c r="I135" s="11" t="str">
        <f>IFERROR(__xludf.DUMMYFUNCTION("GOOGLETRANSLATE(C135, ""en"", ""am"")"),"ሀ. ተጨማሪ እንዳይያዝ ለማስቀረት ዘሮችዎን እንደገና ያደራጁ። የእርስዎን ሲ ከመያዙ በፊት ዘሮቻቸውን ለመያዝ ይሞክሩ። ወጥመዶችን በማዘጋጀት ላይ አተኩር ከGuardD እነሱን ለመያዝ። ስህተትን ይጠብቁ እና በእሱ ላይ ይጠቀሙበት")</f>
        <v>ሀ. ተጨማሪ እንዳይያዝ ለማስቀረት ዘሮችዎን እንደገና ያደራጁ። የእርስዎን ሲ ከመያዙ በፊት ዘሮቻቸውን ለመያዝ ይሞክሩ። ወጥመዶችን በማዘጋጀት ላይ አተኩር ከGuardD እነሱን ለመያዝ። ስህተትን ይጠብቁ እና በእሱ ላይ ይጠቀሙበት</v>
      </c>
      <c r="J135" s="11" t="str">
        <f>IFERROR(__xludf.DUMMYFUNCTION("GOOGLETRANSLATE(D135, ""en"", ""am"")"),"ተጨማሪ እንዳይያዙ ዘሮችዎን እንደገና ያዘጋጁ")</f>
        <v>ተጨማሪ እንዳይያዙ ዘሮችዎን እንደገና ያዘጋጁ</v>
      </c>
      <c r="K135" s="11" t="str">
        <f>IFERROR(__xludf.DUMMYFUNCTION("GOOGLETRANSLATE(E135, ""en"", ""am"")"),"እንደገና ማደራጀት የማጣት እድልን ይቀንሳል።")</f>
        <v>እንደገና ማደራጀት የማጣት እድልን ይቀንሳል።</v>
      </c>
    </row>
    <row r="136" ht="22.5" customHeight="1">
      <c r="A136" s="10">
        <v>135.0</v>
      </c>
      <c r="B136" s="11" t="s">
        <v>3984</v>
      </c>
      <c r="C136" s="11" t="s">
        <v>3985</v>
      </c>
      <c r="D136" s="11" t="s">
        <v>3986</v>
      </c>
      <c r="E136" s="11" t="s">
        <v>3987</v>
      </c>
      <c r="G136" s="11" t="str">
        <f>IFERROR(__xludf.DUMMYFUNCTION("GOOGLETRANSLATE(A136, ""en"", ""th"")"),"135")</f>
        <v>135</v>
      </c>
      <c r="H136" s="11" t="str">
        <f>IFERROR(__xludf.DUMMYFUNCTION("GOOGLETRANSLATE(B136, ""en"", ""am"")"),"ተቃዋሚዎ መካከለኛ ጉድጓዶችን ይቆጣጠራል. እንዴት ነው መቆጣጠር የምትችለው?")</f>
        <v>ተቃዋሚዎ መካከለኛ ጉድጓዶችን ይቆጣጠራል. እንዴት ነው መቆጣጠር የምትችለው?</v>
      </c>
      <c r="I136" s="11" t="str">
        <f>IFERROR(__xludf.DUMMYFUNCTION("GOOGLETRANSLATE(C136, ""en"", ""am"")"),"ሀ. ቦታቸውን ለማዳከም ከጉድጓዳቸው ውስጥ ዘሮችን ይያዙ. ወደ መካከለኛው ፒትሲሲ ያላቸውን መዳረሻ ለማገድ ዘሮችዎን እንደገና ያዘጋጁ። እስኪሳሳቱ ድረስ ይጠብቁ እና መልሶ ማጥቃት ዲ. በመከላከያ ላይ ያተኩሩ እና ቀሪ ጉድጓዶችዎን ይጠብቁ")</f>
        <v>ሀ. ቦታቸውን ለማዳከም ከጉድጓዳቸው ውስጥ ዘሮችን ይያዙ. ወደ መካከለኛው ፒትሲሲ ያላቸውን መዳረሻ ለማገድ ዘሮችዎን እንደገና ያዘጋጁ። እስኪሳሳቱ ድረስ ይጠብቁ እና መልሶ ማጥቃት ዲ. በመከላከያ ላይ ያተኩሩ እና ቀሪ ጉድጓዶችዎን ይጠብቁ</v>
      </c>
      <c r="J136" s="11" t="str">
        <f>IFERROR(__xludf.DUMMYFUNCTION("GOOGLETRANSLATE(D136, ""en"", ""am"")"),"አቀማመጣቸውን ለማዳከም ዘሮችን ከውጭ ጉድጓድ ያዙ")</f>
        <v>አቀማመጣቸውን ለማዳከም ዘሮችን ከውጭ ጉድጓድ ያዙ</v>
      </c>
      <c r="K136" s="11" t="str">
        <f>IFERROR(__xludf.DUMMYFUNCTION("GOOGLETRANSLATE(E136, ""en"", ""am"")"),"ከውጭ ጉድጓድ ውስጥ ዘሮችን ማንሳት ስልታቸውን ይረብሸዋል.")</f>
        <v>ከውጭ ጉድጓድ ውስጥ ዘሮችን ማንሳት ስልታቸውን ይረብሸዋል.</v>
      </c>
    </row>
    <row r="137" ht="22.5" customHeight="1">
      <c r="A137" s="10">
        <v>136.0</v>
      </c>
      <c r="B137" s="11" t="s">
        <v>3988</v>
      </c>
      <c r="C137" s="11" t="s">
        <v>3989</v>
      </c>
      <c r="D137" s="11" t="s">
        <v>3990</v>
      </c>
      <c r="E137" s="11" t="s">
        <v>3991</v>
      </c>
      <c r="G137" s="11" t="str">
        <f>IFERROR(__xludf.DUMMYFUNCTION("GOOGLETRANSLATE(A137, ""en"", ""th"")"),"136")</f>
        <v>136</v>
      </c>
      <c r="H137" s="11" t="str">
        <f>IFERROR(__xludf.DUMMYFUNCTION("GOOGLETRANSLATE(B137, ""en"", ""am"")"),"ከተቃዋሚዎ ብዙ ዘሮችን ሊይዙ ነው። በመጀመሪያ ምን ግምት ውስጥ ማስገባት አለብዎት?")</f>
        <v>ከተቃዋሚዎ ብዙ ዘሮችን ሊይዙ ነው። በመጀመሪያ ምን ግምት ውስጥ ማስገባት አለብዎት?</v>
      </c>
      <c r="I137" s="11" t="str">
        <f>IFERROR(__xludf.DUMMYFUNCTION("GOOGLETRANSLATE(C137, ""en"", ""am"")"),"ሀ. ለበቀል አማራጮቻቸውን በሚገድብ መንገድ ዘሮችን መያዙን ያረጋግጡ። ዘሮቹን በፍጥነት ይያዙ እና ወደ መከላከያ ቦታ ይሂዱ ሐ. ጥቃትን ከመፍጠርዎ በፊት ጉድጓዶችዎን በመከላከል ላይ ያተኩሩ። ዘራቸውን ለመያዝ በጣም ጥሩውን እድል ይጠብቁ")</f>
        <v>ሀ. ለበቀል አማራጮቻቸውን በሚገድብ መንገድ ዘሮችን መያዙን ያረጋግጡ። ዘሮቹን በፍጥነት ይያዙ እና ወደ መከላከያ ቦታ ይሂዱ ሐ. ጥቃትን ከመፍጠርዎ በፊት ጉድጓዶችዎን በመከላከል ላይ ያተኩሩ። ዘራቸውን ለመያዝ በጣም ጥሩውን እድል ይጠብቁ</v>
      </c>
      <c r="J137" s="11" t="str">
        <f>IFERROR(__xludf.DUMMYFUNCTION("GOOGLETRANSLATE(D137, ""en"", ""am"")"),"የበቀል አማራጮችን በሚገድብ መንገድ ዘሮችን መያዙን ያረጋግጡ")</f>
        <v>የበቀል አማራጮችን በሚገድብ መንገድ ዘሮችን መያዙን ያረጋግጡ</v>
      </c>
      <c r="K137" s="11" t="str">
        <f>IFERROR(__xludf.DUMMYFUNCTION("GOOGLETRANSLATE(E137, ""en"", ""am"")"),"በስትራቴጂካዊ ዓላማ ዘሮችን መያዙ መልሶ ማጥቃትን ይከላከላል።")</f>
        <v>በስትራቴጂካዊ ዓላማ ዘሮችን መያዙ መልሶ ማጥቃትን ይከላከላል።</v>
      </c>
    </row>
    <row r="138" ht="22.5" customHeight="1">
      <c r="A138" s="10">
        <v>137.0</v>
      </c>
      <c r="B138" s="11" t="s">
        <v>3992</v>
      </c>
      <c r="C138" s="11" t="s">
        <v>3993</v>
      </c>
      <c r="D138" s="11" t="s">
        <v>3994</v>
      </c>
      <c r="E138" s="11" t="s">
        <v>3995</v>
      </c>
      <c r="G138" s="11" t="str">
        <f>IFERROR(__xludf.DUMMYFUNCTION("GOOGLETRANSLATE(A138, ""en"", ""th"")"),"137")</f>
        <v>137</v>
      </c>
      <c r="H138" s="11" t="str">
        <f>IFERROR(__xludf.DUMMYFUNCTION("GOOGLETRANSLATE(B138, ""en"", ""am"")"),"ተቃዋሚዎ የመጨረሻ ዘሮችዎን ከጉድጓድ ውስጥ ሊይዝ ነው። እንዴት መከላከል ይቻላል?")</f>
        <v>ተቃዋሚዎ የመጨረሻ ዘሮችዎን ከጉድጓድ ውስጥ ሊይዝ ነው። እንዴት መከላከል ይቻላል?</v>
      </c>
      <c r="I138" s="11" t="str">
        <f>IFERROR(__xludf.DUMMYFUNCTION("GOOGLETRANSLATE(C138, ""en"", ""am"")"),"ሀ. ዘሮችን ለመያዝ አስቸጋሪ ለማድረግ እንደገና ያደራጁ። ዘራቸውን ከደካማ pitsC በመያዝ ላይ ያተኩሩ። trapsD በማዘጋጀት የቀሩትን ጉድጓዶችዎን ለመከላከል ይሞክሩ። ስህተት እስኪሰሩ ድረስ ይጠብቁ እና በእሱ ላይ ትልቅ ጥቅም ላይ ይውላሉ")</f>
        <v>ሀ. ዘሮችን ለመያዝ አስቸጋሪ ለማድረግ እንደገና ያደራጁ። ዘራቸውን ከደካማ pitsC በመያዝ ላይ ያተኩሩ። trapsD በማዘጋጀት የቀሩትን ጉድጓዶችዎን ለመከላከል ይሞክሩ። ስህተት እስኪሰሩ ድረስ ይጠብቁ እና በእሱ ላይ ትልቅ ጥቅም ላይ ይውላሉ</v>
      </c>
      <c r="J138" s="11" t="str">
        <f>IFERROR(__xludf.DUMMYFUNCTION("GOOGLETRANSLATE(D138, ""en"", ""am"")"),"እነሱን ለመያዝ አስቸጋሪ ለማድረግ ዘሮችዎን እንደገና ያዘጋጁ")</f>
        <v>እነሱን ለመያዝ አስቸጋሪ ለማድረግ ዘሮችዎን እንደገና ያዘጋጁ</v>
      </c>
      <c r="K138" s="11" t="str">
        <f>IFERROR(__xludf.DUMMYFUNCTION("GOOGLETRANSLATE(E138, ""en"", ""am"")"),"እንደገና ማደራጀት ዘሮችዎን የበለጠ እንዳይያዙ ይከላከላል።")</f>
        <v>እንደገና ማደራጀት ዘሮችዎን የበለጠ እንዳይያዙ ይከላከላል።</v>
      </c>
    </row>
    <row r="139" ht="22.5" customHeight="1">
      <c r="A139" s="10">
        <v>138.0</v>
      </c>
      <c r="B139" s="11" t="s">
        <v>3996</v>
      </c>
      <c r="C139" s="11" t="s">
        <v>3997</v>
      </c>
      <c r="D139" s="11" t="s">
        <v>3998</v>
      </c>
      <c r="E139" s="11" t="s">
        <v>3999</v>
      </c>
      <c r="G139" s="11" t="str">
        <f>IFERROR(__xludf.DUMMYFUNCTION("GOOGLETRANSLATE(A139, ""en"", ""th"")"),"138")</f>
        <v>138</v>
      </c>
      <c r="H139" s="11" t="str">
        <f>IFERROR(__xludf.DUMMYFUNCTION("GOOGLETRANSLATE(B139, ""en"", ""am"")"),"ጠንካራ አቋም አለህ፣ ነገር ግን ተቃዋሚህ የመልሶ ማጥቃት እያዘጋጀ ነው። የእርስዎ እርምጃ ምንድን ነው?")</f>
        <v>ጠንካራ አቋም አለህ፣ ነገር ግን ተቃዋሚህ የመልሶ ማጥቃት እያዘጋጀ ነው። የእርስዎ እርምጃ ምንድን ነው?</v>
      </c>
      <c r="I139" s="11" t="str">
        <f>IFERROR(__xludf.DUMMYFUNCTION("GOOGLETRANSLATE(C139, ""en"", ""am"")"),"ሀ. ዘሮችዎን ወደ ይበልጥ ተከላካይ ማዋቀር ቢ እንደገና ያደራጁ። ወጥመድ ውስጥ እንዳይገቡ ዘሮችዎን ወደ ደህና ቦታ ያንቀሳቅሱ። አጸፋቸውን ለመገደብ ደካማ ጉድጓዳቸውን ይያዙ ዲ. እስኪሳሳቱ ድረስ ይጠብቁ እና መልሶ ማጥቃት")</f>
        <v>ሀ. ዘሮችዎን ወደ ይበልጥ ተከላካይ ማዋቀር ቢ እንደገና ያደራጁ። ወጥመድ ውስጥ እንዳይገቡ ዘሮችዎን ወደ ደህና ቦታ ያንቀሳቅሱ። አጸፋቸውን ለመገደብ ደካማ ጉድጓዳቸውን ይያዙ ዲ. እስኪሳሳቱ ድረስ ይጠብቁ እና መልሶ ማጥቃት</v>
      </c>
      <c r="J139" s="11" t="str">
        <f>IFERROR(__xludf.DUMMYFUNCTION("GOOGLETRANSLATE(D139, ""en"", ""am"")"),"ዘሮችዎን የበለጠ ተከላካይ በሆነ ማዋቀር ውስጥ እንደገና ያዘጋጁ")</f>
        <v>ዘሮችዎን የበለጠ ተከላካይ በሆነ ማዋቀር ውስጥ እንደገና ያዘጋጁ</v>
      </c>
      <c r="K139" s="11" t="str">
        <f>IFERROR(__xludf.DUMMYFUNCTION("GOOGLETRANSLATE(E139, ""en"", ""am"")"),"የመከላከያ መልሶ ማደራጀት የማጣት አደጋን ይቀንሳል.")</f>
        <v>የመከላከያ መልሶ ማደራጀት የማጣት አደጋን ይቀንሳል.</v>
      </c>
    </row>
    <row r="140" ht="22.5" customHeight="1">
      <c r="A140" s="10">
        <v>139.0</v>
      </c>
      <c r="B140" s="11" t="s">
        <v>4000</v>
      </c>
      <c r="C140" s="11" t="s">
        <v>4001</v>
      </c>
      <c r="D140" s="11" t="s">
        <v>4002</v>
      </c>
      <c r="E140" s="11" t="s">
        <v>4003</v>
      </c>
      <c r="G140" s="11" t="str">
        <f>IFERROR(__xludf.DUMMYFUNCTION("GOOGLETRANSLATE(A140, ""en"", ""th"")"),"139")</f>
        <v>139</v>
      </c>
      <c r="H140" s="11" t="str">
        <f>IFERROR(__xludf.DUMMYFUNCTION("GOOGLETRANSLATE(B140, ""en"", ""am"")"),"አንዱን ጉድጓዶችህን ልታጸዳ ነው። ተቃዋሚዎ ጥቅም እንዳያገኝ እንዴት ይከላከላል?")</f>
        <v>አንዱን ጉድጓዶችህን ልታጸዳ ነው። ተቃዋሚዎ ጥቅም እንዳያገኝ እንዴት ይከላከላል?</v>
      </c>
      <c r="I140" s="11" t="str">
        <f>IFERROR(__xludf.DUMMYFUNCTION("GOOGLETRANSLATE(C140, ""en"", ""am"")"),"ሀ. የሚቀጥለውን pitB ለመጠበቅ ዘሮችዎን እንደገና ያደራጁ። እነሱን ለመጠበቅ ዘሮችዎን ወደ ውስጠኛው ጉድጓዶች ይውሰዱ ሐ. ከመበቀልዎ በፊት በተቻለ መጠን ብዙ ዘሮቻቸውን ይያዙ። ተጨማሪ ቀረጻዎችን ለመከላከል እንቅስቃሴያቸውን በማገድ ላይ ያተኩሩ")</f>
        <v>ሀ. የሚቀጥለውን pitB ለመጠበቅ ዘሮችዎን እንደገና ያደራጁ። እነሱን ለመጠበቅ ዘሮችዎን ወደ ውስጠኛው ጉድጓዶች ይውሰዱ ሐ. ከመበቀልዎ በፊት በተቻለ መጠን ብዙ ዘሮቻቸውን ይያዙ። ተጨማሪ ቀረጻዎችን ለመከላከል እንቅስቃሴያቸውን በማገድ ላይ ያተኩሩ</v>
      </c>
      <c r="J140" s="11" t="str">
        <f>IFERROR(__xludf.DUMMYFUNCTION("GOOGLETRANSLATE(D140, ""en"", ""am"")"),"የሚቀጥለውን ጉድጓድ ለመጠበቅ ዘሮችዎን እንደገና ያዘጋጁ")</f>
        <v>የሚቀጥለውን ጉድጓድ ለመጠበቅ ዘሮችዎን እንደገና ያዘጋጁ</v>
      </c>
      <c r="K140" s="11" t="str">
        <f>IFERROR(__xludf.DUMMYFUNCTION("GOOGLETRANSLATE(E140, ""en"", ""am"")"),"እንደገና ማደራጀት ዘሮችን ለአደጋ ተጋላጭ እንዳትተዉ ያረጋግጣል።")</f>
        <v>እንደገና ማደራጀት ዘሮችን ለአደጋ ተጋላጭ እንዳትተዉ ያረጋግጣል።</v>
      </c>
    </row>
    <row r="141" ht="22.5" customHeight="1">
      <c r="A141" s="10">
        <v>140.0</v>
      </c>
      <c r="B141" s="11" t="s">
        <v>4004</v>
      </c>
      <c r="C141" s="11" t="s">
        <v>4005</v>
      </c>
      <c r="D141" s="11" t="s">
        <v>4006</v>
      </c>
      <c r="E141" s="11" t="s">
        <v>4007</v>
      </c>
      <c r="G141" s="11" t="str">
        <f>IFERROR(__xludf.DUMMYFUNCTION("GOOGLETRANSLATE(A141, ""en"", ""th"")"),"140")</f>
        <v>140</v>
      </c>
      <c r="H141" s="11" t="str">
        <f>IFERROR(__xludf.DUMMYFUNCTION("GOOGLETRANSLATE(B141, ""en"", ""am"")"),"ተቃዋሚዎ ብዙ ቁጥር ያላቸውን ዘሮችዎን አሁን ያዘ። ቀጥሎ ምን ታደርጋለህ?")</f>
        <v>ተቃዋሚዎ ብዙ ቁጥር ያላቸውን ዘሮችዎን አሁን ያዘ። ቀጥሎ ምን ታደርጋለህ?</v>
      </c>
      <c r="I141" s="11" t="str">
        <f>IFERROR(__xludf.DUMMYFUNCTION("GOOGLETRANSLATE(C141, ""en"", ""am"")"),"ሀ. ተጨማሪ እንዳይያዙ ለመከላከል ዘሮችዎን እንደገና ያደራጁ። እንደገና ለመቆጣጠር ዘሮችን ከጉድጓዳቸው ያንሱ። ቀጣዩን ጥቃታቸውን በመከልከል እና የእርስዎን ፒትዲዲ በመከላከል ላይ ያተኩሩ። ለመበቀል በተቻለ መጠን ብዙ ዘሮቻቸውን ለመያዝ ይሞክሩ")</f>
        <v>ሀ. ተጨማሪ እንዳይያዙ ለመከላከል ዘሮችዎን እንደገና ያደራጁ። እንደገና ለመቆጣጠር ዘሮችን ከጉድጓዳቸው ያንሱ። ቀጣዩን ጥቃታቸውን በመከልከል እና የእርስዎን ፒትዲዲ በመከላከል ላይ ያተኩሩ። ለመበቀል በተቻለ መጠን ብዙ ዘሮቻቸውን ለመያዝ ይሞክሩ</v>
      </c>
      <c r="J141" s="11" t="str">
        <f>IFERROR(__xludf.DUMMYFUNCTION("GOOGLETRANSLATE(D141, ""en"", ""am"")"),"ተጨማሪ ቀረጻዎችን ለመከላከል ዘሮችዎን እንደገና ያዘጋጁ")</f>
        <v>ተጨማሪ ቀረጻዎችን ለመከላከል ዘሮችዎን እንደገና ያዘጋጁ</v>
      </c>
      <c r="K141" s="11" t="str">
        <f>IFERROR(__xludf.DUMMYFUNCTION("GOOGLETRANSLATE(E141, ""en"", ""am"")"),"እንደገና ማደራጀት ተጨማሪ ኪሳራዎችን ይቀንሳል።")</f>
        <v>እንደገና ማደራጀት ተጨማሪ ኪሳራዎችን ይቀንሳል።</v>
      </c>
    </row>
    <row r="142" ht="22.5" customHeight="1">
      <c r="A142" s="10">
        <v>141.0</v>
      </c>
      <c r="B142" s="11" t="s">
        <v>4008</v>
      </c>
      <c r="C142" s="11" t="s">
        <v>4009</v>
      </c>
      <c r="D142" s="11" t="s">
        <v>3986</v>
      </c>
      <c r="E142" s="11" t="s">
        <v>4010</v>
      </c>
      <c r="G142" s="11" t="str">
        <f>IFERROR(__xludf.DUMMYFUNCTION("GOOGLETRANSLATE(A142, ""en"", ""th"")"),"141")</f>
        <v>141</v>
      </c>
      <c r="H142" s="11" t="str">
        <f>IFERROR(__xludf.DUMMYFUNCTION("GOOGLETRANSLATE(B142, ""en"", ""am"")"),"በጠንካራ ጉድጓዶችዎ ውስጥ ዘሮች እያለዎት ተቃዋሚዎ ደካማ በሆነው ጉድጓድዎ ላይ እያተኮረ ነው። ቀጣዩ እርምጃህ ምንድን ነው?")</f>
        <v>በጠንካራ ጉድጓዶችዎ ውስጥ ዘሮች እያለዎት ተቃዋሚዎ ደካማ በሆነው ጉድጓድዎ ላይ እያተኮረ ነው። ቀጣዩ እርምጃህ ምንድን ነው?</v>
      </c>
      <c r="I142" s="11" t="str">
        <f>IFERROR(__xludf.DUMMYFUNCTION("GOOGLETRANSLATE(C142, ""en"", ""am"")"),"ሀ. ቦታቸውን ለማዳከም ከጉድጓዳቸው ውስጥ ዘሮችን ይያዙ. በደካማ pitCዎ ላይ ጥቃታቸውን ለመዝጋት ዘሮችዎን እንደገና ያዘጋጁ። ለተሻለ መከላከያ ዘርዎን ወደ ጠንካራ ጉድጓዶችዎ ይውሰዱ። ጥቃታቸውን ችላ ይበሉ እና በራስዎ ስልት ላይ ያተኩሩ")</f>
        <v>ሀ. ቦታቸውን ለማዳከም ከጉድጓዳቸው ውስጥ ዘሮችን ይያዙ. በደካማ pitCዎ ላይ ጥቃታቸውን ለመዝጋት ዘሮችዎን እንደገና ያዘጋጁ። ለተሻለ መከላከያ ዘርዎን ወደ ጠንካራ ጉድጓዶችዎ ይውሰዱ። ጥቃታቸውን ችላ ይበሉ እና በራስዎ ስልት ላይ ያተኩሩ</v>
      </c>
      <c r="J142" s="11" t="str">
        <f>IFERROR(__xludf.DUMMYFUNCTION("GOOGLETRANSLATE(D142, ""en"", ""am"")"),"አቀማመጣቸውን ለማዳከም ዘሮችን ከውጭ ጉድጓድ ያዙ")</f>
        <v>አቀማመጣቸውን ለማዳከም ዘሮችን ከውጭ ጉድጓድ ያዙ</v>
      </c>
      <c r="K142" s="11" t="str">
        <f>IFERROR(__xludf.DUMMYFUNCTION("GOOGLETRANSLATE(E142, ""en"", ""am"")"),"በመያዝ አቋማቸውን ማዳከም ስልታቸውን ይገድባል።")</f>
        <v>በመያዝ አቋማቸውን ማዳከም ስልታቸውን ይገድባል።</v>
      </c>
    </row>
    <row r="143" ht="22.5" customHeight="1">
      <c r="A143" s="10">
        <v>142.0</v>
      </c>
      <c r="B143" s="11" t="s">
        <v>4011</v>
      </c>
      <c r="C143" s="11" t="s">
        <v>4012</v>
      </c>
      <c r="D143" s="11" t="s">
        <v>4013</v>
      </c>
      <c r="E143" s="11" t="s">
        <v>4014</v>
      </c>
      <c r="G143" s="11" t="str">
        <f>IFERROR(__xludf.DUMMYFUNCTION("GOOGLETRANSLATE(A143, ""en"", ""th"")"),"142")</f>
        <v>142</v>
      </c>
      <c r="H143" s="11" t="str">
        <f>IFERROR(__xludf.DUMMYFUNCTION("GOOGLETRANSLATE(B143, ""en"", ""am"")"),"በርከት ያሉ የተቃዋሚዎን ዘሮች ሊይዙ ነው፣ ነገር ግን ይህን ማድረጉ ለአደጋ ይዳርግዎታል። ምን ታደርጋለህ፧")</f>
        <v>በርከት ያሉ የተቃዋሚዎን ዘሮች ሊይዙ ነው፣ ነገር ግን ይህን ማድረጉ ለአደጋ ይዳርግዎታል። ምን ታደርጋለህ፧</v>
      </c>
      <c r="I143" s="11" t="str">
        <f>IFERROR(__xludf.DUMMYFUNCTION("GOOGLETRANSLATE(C143, ""en"", ""am"")"),"ሀ. ዘራቸውን ያዙ እና ለመከላከያ መልሶ ማጥቃት ይዘጋጁ። በመጀመሪያ ሐ ለ ተጋላጭ ጉድጓዶች ለመጠበቅ ዘሮችዎን እንደገና ያዘጋጁ። ዲ ከመያዙ በፊት እንቅስቃሴ እስኪያደርጉ ድረስ ይጠብቁ። ጉድጓዶችዎን በመከላከል ላይ ያተኩሩ እና መያዝን ያስወግዱ")</f>
        <v>ሀ. ዘራቸውን ያዙ እና ለመከላከያ መልሶ ማጥቃት ይዘጋጁ። በመጀመሪያ ሐ ለ ተጋላጭ ጉድጓዶች ለመጠበቅ ዘሮችዎን እንደገና ያዘጋጁ። ዲ ከመያዙ በፊት እንቅስቃሴ እስኪያደርጉ ድረስ ይጠብቁ። ጉድጓዶችዎን በመከላከል ላይ ያተኩሩ እና መያዝን ያስወግዱ</v>
      </c>
      <c r="J143" s="11" t="str">
        <f>IFERROR(__xludf.DUMMYFUNCTION("GOOGLETRANSLATE(D143, ""en"", ""am"")"),"ዘራቸውን ያዙ እና ለመከላከያ መልሶ ማጥቃት ይዘጋጁ")</f>
        <v>ዘራቸውን ያዙ እና ለመከላከያ መልሶ ማጥቃት ይዘጋጁ</v>
      </c>
      <c r="K143" s="11" t="str">
        <f>IFERROR(__xludf.DUMMYFUNCTION("GOOGLETRANSLATE(E143, ""en"", ""am"")"),"የመከላከያ መልሶ ማጥቃት ቦታዎን ሊጠብቅ ይችላል.")</f>
        <v>የመከላከያ መልሶ ማጥቃት ቦታዎን ሊጠብቅ ይችላል.</v>
      </c>
    </row>
    <row r="144" ht="22.5" customHeight="1">
      <c r="A144" s="10">
        <v>143.0</v>
      </c>
      <c r="B144" s="11" t="s">
        <v>4015</v>
      </c>
      <c r="C144" s="11" t="s">
        <v>4016</v>
      </c>
      <c r="D144" s="11" t="s">
        <v>4017</v>
      </c>
      <c r="E144" s="11" t="s">
        <v>4018</v>
      </c>
      <c r="G144" s="11" t="str">
        <f>IFERROR(__xludf.DUMMYFUNCTION("GOOGLETRANSLATE(A144, ""en"", ""th"")"),"143")</f>
        <v>143</v>
      </c>
      <c r="H144" s="11" t="str">
        <f>IFERROR(__xludf.DUMMYFUNCTION("GOOGLETRANSLATE(B144, ""en"", ""am"")"),"ተቃዋሚዎ አንድ ዘር ብቻ ያለው ደካማ ጉድጓድ ትቷል. ምን ማድረግ አለቦት?")</f>
        <v>ተቃዋሚዎ አንድ ዘር ብቻ ያለው ደካማ ጉድጓድ ትቷል. ምን ማድረግ አለቦት?</v>
      </c>
      <c r="I144" s="11" t="str">
        <f>IFERROR(__xludf.DUMMYFUNCTION("GOOGLETRANSLATE(C144, ""en"", ""am"")"),"ሀ. ጥቅም ለማግኘት ያንን ዘር ወዲያውኑ ይያዙ። ከ itC ለመያዝ ብዙ ዘሮች እስኪያገኙ ድረስ ይጠብቁ። በኋላD ለመያዝ ዘሮችዎን ወደ ተሻለ ቦታ ይውሰዱ። ችላ በል እና በምትኩ በጠንካራ ጉድጓድ ላይ አተኩር")</f>
        <v>ሀ. ጥቅም ለማግኘት ያንን ዘር ወዲያውኑ ይያዙ። ከ itC ለመያዝ ብዙ ዘሮች እስኪያገኙ ድረስ ይጠብቁ። በኋላD ለመያዝ ዘሮችዎን ወደ ተሻለ ቦታ ይውሰዱ። ችላ በል እና በምትኩ በጠንካራ ጉድጓድ ላይ አተኩር</v>
      </c>
      <c r="J144" s="11" t="str">
        <f>IFERROR(__xludf.DUMMYFUNCTION("GOOGLETRANSLATE(D144, ""en"", ""am"")"),"ጥቅም ለማግኘት ወዲያውኑ ያንን ዘር ይያዙ")</f>
        <v>ጥቅም ለማግኘት ወዲያውኑ ያንን ዘር ይያዙ</v>
      </c>
      <c r="K144" s="11" t="str">
        <f>IFERROR(__xludf.DUMMYFUNCTION("GOOGLETRANSLATE(E144, ""en"", ""am"")"),"ደካማ ጉድጓዶችን መያዝ ጨዋታውን ለእርስዎ ሞገስ ሊያዘንብዎት ይችላል።")</f>
        <v>ደካማ ጉድጓዶችን መያዝ ጨዋታውን ለእርስዎ ሞገስ ሊያዘንብዎት ይችላል።</v>
      </c>
    </row>
    <row r="145" ht="22.5" customHeight="1">
      <c r="A145" s="10">
        <v>144.0</v>
      </c>
      <c r="B145" s="11" t="s">
        <v>4019</v>
      </c>
      <c r="C145" s="11" t="s">
        <v>4020</v>
      </c>
      <c r="D145" s="11" t="s">
        <v>4021</v>
      </c>
      <c r="E145" s="11" t="s">
        <v>4022</v>
      </c>
      <c r="G145" s="11" t="str">
        <f>IFERROR(__xludf.DUMMYFUNCTION("GOOGLETRANSLATE(A145, ""en"", ""th"")"),"144")</f>
        <v>144</v>
      </c>
      <c r="H145" s="11" t="str">
        <f>IFERROR(__xludf.DUMMYFUNCTION("GOOGLETRANSLATE(B145, ""en"", ""am"")"),"ብዙ ዘሮችን ወስደሃል፣ አሁን ግን ተቃዋሚህ በጠንካራው ጉድጓድ ውስጥ ብዙ ዘሮች አሉት። እንዴት ትቀጥላለህ?")</f>
        <v>ብዙ ዘሮችን ወስደሃል፣ አሁን ግን ተቃዋሚህ በጠንካራው ጉድጓድ ውስጥ ብዙ ዘሮች አሉት። እንዴት ትቀጥላለህ?</v>
      </c>
      <c r="I145" s="11" t="str">
        <f>IFERROR(__xludf.DUMMYFUNCTION("GOOGLETRANSLATE(C145, ""en"", ""am"")"),"ሀ. በጣም ጠንካራውን pitB ለመዝጋት ዘሮችዎን እንደገና ያዘጋጁ። ከውጪው ጉድጓዳቸው ውስጥ ዘሮችን በመያዝ ላይ ያተኩሩ። ጨዋታውን ለመቆጣጠር ዘሮችዎን ወደ ተጨማሪ ስትራቴጂካዊ ቦታዎች ይውሰዱ። ተጨማሪ መከማቸትን ለመከላከል ከውስጣቸው ጉድጓድ ውስጥ ለመያዝ ይሞክሩ")</f>
        <v>ሀ. በጣም ጠንካራውን pitB ለመዝጋት ዘሮችዎን እንደገና ያዘጋጁ። ከውጪው ጉድጓዳቸው ውስጥ ዘሮችን በመያዝ ላይ ያተኩሩ። ጨዋታውን ለመቆጣጠር ዘሮችዎን ወደ ተጨማሪ ስትራቴጂካዊ ቦታዎች ይውሰዱ። ተጨማሪ መከማቸትን ለመከላከል ከውስጣቸው ጉድጓድ ውስጥ ለመያዝ ይሞክሩ</v>
      </c>
      <c r="J145" s="11" t="str">
        <f>IFERROR(__xludf.DUMMYFUNCTION("GOOGLETRANSLATE(D145, ""en"", ""am"")"),"በጣም ጠንካራውን ጉድጓድ ለመዝጋት ዘሮችዎን እንደገና ያዘጋጁ")</f>
        <v>በጣም ጠንካራውን ጉድጓድ ለመዝጋት ዘሮችዎን እንደገና ያዘጋጁ</v>
      </c>
      <c r="K145" s="11" t="str">
        <f>IFERROR(__xludf.DUMMYFUNCTION("GOOGLETRANSLATE(E145, ""en"", ""am"")"),"የጨዋታውን ቁጥጥር ለመጠበቅ ጠንካራ ጉድጓዶችን ማገድ ወሳኝ ነው።")</f>
        <v>የጨዋታውን ቁጥጥር ለመጠበቅ ጠንካራ ጉድጓዶችን ማገድ ወሳኝ ነው።</v>
      </c>
    </row>
    <row r="146" ht="22.5" customHeight="1">
      <c r="A146" s="10">
        <v>145.0</v>
      </c>
      <c r="B146" s="11" t="s">
        <v>4023</v>
      </c>
      <c r="C146" s="11" t="s">
        <v>4024</v>
      </c>
      <c r="D146" s="11" t="s">
        <v>4025</v>
      </c>
      <c r="E146" s="11" t="s">
        <v>4026</v>
      </c>
      <c r="G146" s="11" t="str">
        <f>IFERROR(__xludf.DUMMYFUNCTION("GOOGLETRANSLATE(A146, ""en"", ""th"")"),"145")</f>
        <v>145</v>
      </c>
      <c r="H146" s="11" t="str">
        <f>IFERROR(__xludf.DUMMYFUNCTION("GOOGLETRANSLATE(B146, ""en"", ""am"")"),"ተቃዋሚዎ ተከታታይ ስኬታማ ምስሎችን እየሰራ ነው። ምን ምላሽ ትሰጣለህ?")</f>
        <v>ተቃዋሚዎ ተከታታይ ስኬታማ ምስሎችን እየሰራ ነው። ምን ምላሽ ትሰጣለህ?</v>
      </c>
      <c r="I146" s="11" t="str">
        <f>IFERROR(__xludf.DUMMYFUNCTION("GOOGLETRANSLATE(C146, ""en"", ""am"")"),"ሀ. ዘሮቻቸውን ከደካማ ጉድጓዳቸው ቢ. ኪሳራዎችን ለመቀነስ ዘሮችዎን እንደገና ያዘጋጁ። አቀማመጥD በመቀየር ቀጣዩን እንቅስቃሴ ለማገድ ይሞክሩ። ስህተት እስኪሰሩ ድረስ ይጠብቁ እና በእሱ ላይ ትልቅ ጥቅም ላይ ይውላሉ")</f>
        <v>ሀ. ዘሮቻቸውን ከደካማ ጉድጓዳቸው ቢ. ኪሳራዎችን ለመቀነስ ዘሮችዎን እንደገና ያዘጋጁ። አቀማመጥD በመቀየር ቀጣዩን እንቅስቃሴ ለማገድ ይሞክሩ። ስህተት እስኪሰሩ ድረስ ይጠብቁ እና በእሱ ላይ ትልቅ ጥቅም ላይ ይውላሉ</v>
      </c>
      <c r="J146" s="11" t="str">
        <f>IFERROR(__xludf.DUMMYFUNCTION("GOOGLETRANSLATE(D146, ""en"", ""am"")"),"ዘራቸውን ከደካማ ጉድጓዳቸው ያዙ")</f>
        <v>ዘራቸውን ከደካማ ጉድጓዳቸው ያዙ</v>
      </c>
      <c r="K146" s="11" t="str">
        <f>IFERROR(__xludf.DUMMYFUNCTION("GOOGLETRANSLATE(E146, ""en"", ""am"")"),"ደካማ ጉድጓዶቻቸውን ማገድ የአጥቂ ችሎታቸውን ይገድባል.")</f>
        <v>ደካማ ጉድጓዶቻቸውን ማገድ የአጥቂ ችሎታቸውን ይገድባል.</v>
      </c>
    </row>
    <row r="147" ht="22.5" customHeight="1">
      <c r="A147" s="10">
        <v>146.0</v>
      </c>
      <c r="B147" s="11" t="s">
        <v>4027</v>
      </c>
      <c r="C147" s="11" t="s">
        <v>4028</v>
      </c>
      <c r="D147" s="11" t="s">
        <v>4029</v>
      </c>
      <c r="E147" s="11" t="s">
        <v>4030</v>
      </c>
      <c r="G147" s="11" t="str">
        <f>IFERROR(__xludf.DUMMYFUNCTION("GOOGLETRANSLATE(A147, ""en"", ""th"")"),"146")</f>
        <v>146</v>
      </c>
      <c r="H147" s="11" t="str">
        <f>IFERROR(__xludf.DUMMYFUNCTION("GOOGLETRANSLATE(B147, ""en"", ""am"")"),"የእርስዎ ዘሮች በበርካታ ጉድጓዶች ውስጥ ዝቅተኛ ናቸው, ነገር ግን አንድ ጠንካራ ጉድጓድ ይቀርዎታል. ምን ማድረግ አለቦት?")</f>
        <v>የእርስዎ ዘሮች በበርካታ ጉድጓዶች ውስጥ ዝቅተኛ ናቸው, ነገር ግን አንድ ጠንካራ ጉድጓድ ይቀርዎታል. ምን ማድረግ አለቦት?</v>
      </c>
      <c r="I147" s="11" t="str">
        <f>IFERROR(__xludf.DUMMYFUNCTION("GOOGLETRANSLATE(C147, ""en"", ""am"")"),"ሀ. ከደካማ ጉድጓዳቸው ውስጥ ዘሮችን እየወሰዱ ጠንካራ ጉድጓድዎን በመጠበቅ ላይ ያተኩሩ። የተቀሩትን ዘሮች ከመያዝ ለመከላከል እንደገና ያዘጋጁ። ጥንካሬን ለመመለስ ዘሮቻቸውን ከጠንካራው ጉድጓድዎ ለመያዝ ይሞክሩ። እንቅስቃሴዎን ለማድረግ የተሻለ እድል ይጠብቁ")</f>
        <v>ሀ. ከደካማ ጉድጓዳቸው ውስጥ ዘሮችን እየወሰዱ ጠንካራ ጉድጓድዎን በመጠበቅ ላይ ያተኩሩ። የተቀሩትን ዘሮች ከመያዝ ለመከላከል እንደገና ያዘጋጁ። ጥንካሬን ለመመለስ ዘሮቻቸውን ከጠንካራው ጉድጓድዎ ለመያዝ ይሞክሩ። እንቅስቃሴዎን ለማድረግ የተሻለ እድል ይጠብቁ</v>
      </c>
      <c r="J147" s="11" t="str">
        <f>IFERROR(__xludf.DUMMYFUNCTION("GOOGLETRANSLATE(D147, ""en"", ""am"")"),"ዘሮችን ከደካማ ጉድጓዶቹ ውስጥ እየያዙ ጠንካራ ጉድጓድዎን በመጠበቅ ላይ ያተኩሩ")</f>
        <v>ዘሮችን ከደካማ ጉድጓዶቹ ውስጥ እየያዙ ጠንካራ ጉድጓድዎን በመጠበቅ ላይ ያተኩሩ</v>
      </c>
      <c r="K147" s="11" t="str">
        <f>IFERROR(__xludf.DUMMYFUNCTION("GOOGLETRANSLATE(E147, ""en"", ""am"")"),"ጠንካራ ጉድጓድዎን መጠበቅ እድሎችዎን በህይወት ይጠብቃል.")</f>
        <v>ጠንካራ ጉድጓድዎን መጠበቅ እድሎችዎን በህይወት ይጠብቃል.</v>
      </c>
    </row>
    <row r="148" ht="22.5" customHeight="1">
      <c r="A148" s="10">
        <v>147.0</v>
      </c>
      <c r="B148" s="11" t="s">
        <v>4031</v>
      </c>
      <c r="C148" s="11" t="s">
        <v>4032</v>
      </c>
      <c r="D148" s="11" t="s">
        <v>3940</v>
      </c>
      <c r="E148" s="11" t="s">
        <v>4033</v>
      </c>
      <c r="G148" s="11" t="str">
        <f>IFERROR(__xludf.DUMMYFUNCTION("GOOGLETRANSLATE(A148, ""en"", ""th"")"),"147")</f>
        <v>147</v>
      </c>
      <c r="H148" s="11" t="str">
        <f>IFERROR(__xludf.DUMMYFUNCTION("GOOGLETRANSLATE(B148, ""en"", ""am"")"),"ተቃዋሚዎ የመጨረሻውን ዘሮችዎን ከውጭ ጉድጓድ ያዘ። ቀጣዩ እርምጃህ ምንድን ነው?")</f>
        <v>ተቃዋሚዎ የመጨረሻውን ዘሮችዎን ከውጭ ጉድጓድ ያዘ። ቀጣዩ እርምጃህ ምንድን ነው?</v>
      </c>
      <c r="I148" s="11" t="str">
        <f>IFERROR(__xludf.DUMMYFUNCTION("GOOGLETRANSLATE(C148, ""en"", ""am"")"),"ሀ. ዘሮችዎን ወደ ተጨማሪ የመከላከያ ቦታዎች ያቀናብሩ። ዘራቸውን ከደካማ pitsC በመያዝ ላይ ያተኩሩ። ስልታቸውን ለማደናቀፍ ወጥመዶችን አዘጋጅ። ቀጣዩን እንቅስቃሴዎን ለማገድ ዘሮችዎን እንደገና ያዘጋጁ")</f>
        <v>ሀ. ዘሮችዎን ወደ ተጨማሪ የመከላከያ ቦታዎች ያቀናብሩ። ዘራቸውን ከደካማ pitsC በመያዝ ላይ ያተኩሩ። ስልታቸውን ለማደናቀፍ ወጥመዶችን አዘጋጅ። ቀጣዩን እንቅስቃሴዎን ለማገድ ዘሮችዎን እንደገና ያዘጋጁ</v>
      </c>
      <c r="J148" s="11" t="str">
        <f>IFERROR(__xludf.DUMMYFUNCTION("GOOGLETRANSLATE(D148, ""en"", ""am"")"),"ዘሮችዎን ወደ ተጨማሪ የመከላከያ ቦታዎች ያቀናብሩ")</f>
        <v>ዘሮችዎን ወደ ተጨማሪ የመከላከያ ቦታዎች ያቀናብሩ</v>
      </c>
      <c r="K148" s="11" t="str">
        <f>IFERROR(__xludf.DUMMYFUNCTION("GOOGLETRANSLATE(E148, ""en"", ""am"")"),"የመከላከያ አቀማመጥ ተጨማሪ ኪሳራዎችን ይቀንሳል.")</f>
        <v>የመከላከያ አቀማመጥ ተጨማሪ ኪሳራዎችን ይቀንሳል.</v>
      </c>
    </row>
    <row r="149" ht="22.5" customHeight="1">
      <c r="A149" s="10">
        <v>148.0</v>
      </c>
      <c r="B149" s="11" t="s">
        <v>4034</v>
      </c>
      <c r="C149" s="11" t="s">
        <v>4035</v>
      </c>
      <c r="D149" s="11" t="s">
        <v>4036</v>
      </c>
      <c r="E149" s="11" t="s">
        <v>4037</v>
      </c>
      <c r="G149" s="11" t="str">
        <f>IFERROR(__xludf.DUMMYFUNCTION("GOOGLETRANSLATE(A149, ""en"", ""th"")"),"148")</f>
        <v>148</v>
      </c>
      <c r="H149" s="11" t="str">
        <f>IFERROR(__xludf.DUMMYFUNCTION("GOOGLETRANSLATE(B149, ""en"", ""am"")"),"ተቃዋሚዎ አንዱን ጉድጓድዎን አጽድቷል. ምን ማድረግ አለቦት?")</f>
        <v>ተቃዋሚዎ አንዱን ጉድጓድዎን አጽድቷል. ምን ማድረግ አለቦት?</v>
      </c>
      <c r="I149" s="11" t="str">
        <f>IFERROR(__xludf.DUMMYFUNCTION("GOOGLETRANSLATE(C149, ""en"", ""am"")"),"ሀ. gameBን ለማመጣጠን ከውጨኛው ጉድጓዳቸው ያንሱ። የቀረውን ፒትሲሲ በመከላከል ላይ ያተኩሩ። የጥቃት እድሎቻቸውን ለመቀነስ ዘሮችዎን እንደገና ያዘጋጁ። በጣም ደካማውን ጉድጓድ በመያዝ እንደገና ለመቆጣጠር ይሞክሩ")</f>
        <v>ሀ. gameBን ለማመጣጠን ከውጨኛው ጉድጓዳቸው ያንሱ። የቀረውን ፒትሲሲ በመከላከል ላይ ያተኩሩ። የጥቃት እድሎቻቸውን ለመቀነስ ዘሮችዎን እንደገና ያዘጋጁ። በጣም ደካማውን ጉድጓድ በመያዝ እንደገና ለመቆጣጠር ይሞክሩ</v>
      </c>
      <c r="J149" s="11" t="str">
        <f>IFERROR(__xludf.DUMMYFUNCTION("GOOGLETRANSLATE(D149, ""en"", ""am"")"),"ጨዋታውን ለማመጣጠን ከውጭ ጉድጓዳቸው ያንሱ")</f>
        <v>ጨዋታውን ለማመጣጠን ከውጭ ጉድጓዳቸው ያንሱ</v>
      </c>
      <c r="K149" s="11" t="str">
        <f>IFERROR(__xludf.DUMMYFUNCTION("GOOGLETRANSLATE(E149, ""en"", ""am"")"),"ደካማ ጉድጓዶችን መያዝ ከኪሳራዎ ለማገገም ይረዳዎታል.")</f>
        <v>ደካማ ጉድጓዶችን መያዝ ከኪሳራዎ ለማገገም ይረዳዎታል.</v>
      </c>
    </row>
    <row r="150" ht="22.5" customHeight="1">
      <c r="A150" s="10">
        <v>149.0</v>
      </c>
      <c r="B150" s="11" t="s">
        <v>4038</v>
      </c>
      <c r="C150" s="11" t="s">
        <v>4039</v>
      </c>
      <c r="D150" s="11" t="s">
        <v>4040</v>
      </c>
      <c r="E150" s="11" t="s">
        <v>4041</v>
      </c>
      <c r="G150" s="11" t="str">
        <f>IFERROR(__xludf.DUMMYFUNCTION("GOOGLETRANSLATE(A150, ""en"", ""th"")"),"149")</f>
        <v>149</v>
      </c>
      <c r="H150" s="11" t="str">
        <f>IFERROR(__xludf.DUMMYFUNCTION("GOOGLETRANSLATE(B150, ""en"", ""am"")"),"የባላጋራህ ጠንከር ያለ ጉድጓድ ሊፈስ ነው፣ እና እነሱ ዘሮችህን ይይዛሉ። ምን ታደርጋለህ፧")</f>
        <v>የባላጋራህ ጠንከር ያለ ጉድጓድ ሊፈስ ነው፣ እና እነሱ ዘሮችህን ይይዛሉ። ምን ታደርጋለህ፧</v>
      </c>
      <c r="I150" s="11" t="str">
        <f>IFERROR(__xludf.DUMMYFUNCTION("GOOGLETRANSLATE(C150, ""en"", ""am"")"),"ሀ. ጠንካራውን pitB ለመዝጋት ዘሮችዎን እንደገና ያዘጋጁ። C እንዳይያዙ ዘሮችዎን ወደ ደህና ጉድጓድ ያንቀሳቅሱ። አማራጮቻቸውን ለመቀነስ ከደካማ ጉድጓዳቸው ውስጥ ዘሮችን ይያዙ. የቀሩትን ጉድጓዶችዎን በመጠበቅ እና ቀጣዩን እንቅስቃሴዎን በመከልከል ላይ ያተኩሩ")</f>
        <v>ሀ. ጠንካራውን pitB ለመዝጋት ዘሮችዎን እንደገና ያዘጋጁ። C እንዳይያዙ ዘሮችዎን ወደ ደህና ጉድጓድ ያንቀሳቅሱ። አማራጮቻቸውን ለመቀነስ ከደካማ ጉድጓዳቸው ውስጥ ዘሮችን ይያዙ. የቀሩትን ጉድጓዶችዎን በመጠበቅ እና ቀጣዩን እንቅስቃሴዎን በመከልከል ላይ ያተኩሩ</v>
      </c>
      <c r="J150" s="11" t="str">
        <f>IFERROR(__xludf.DUMMYFUNCTION("GOOGLETRANSLATE(D150, ""en"", ""am"")"),"ጠንካራ ጉድጓዱን ለመዝጋት ዘሮችዎን እንደገና ያዘጋጁ")</f>
        <v>ጠንካራ ጉድጓዱን ለመዝጋት ዘሮችዎን እንደገና ያዘጋጁ</v>
      </c>
      <c r="K150" s="11" t="str">
        <f>IFERROR(__xludf.DUMMYFUNCTION("GOOGLETRANSLATE(E150, ""en"", ""am"")"),"የእነሱን ጠንካራ ጉድጓድ መከልከል ተጨማሪ ኪሳራዎችን ለመከላከል ይረዳል.")</f>
        <v>የእነሱን ጠንካራ ጉድጓድ መከልከል ተጨማሪ ኪሳራዎችን ለመከላከል ይረዳል.</v>
      </c>
    </row>
    <row r="151" ht="22.5" customHeight="1">
      <c r="A151" s="10">
        <v>150.0</v>
      </c>
      <c r="B151" s="11" t="s">
        <v>4042</v>
      </c>
      <c r="C151" s="11" t="s">
        <v>4043</v>
      </c>
      <c r="D151" s="11" t="s">
        <v>4044</v>
      </c>
      <c r="E151" s="11" t="s">
        <v>4045</v>
      </c>
      <c r="G151" s="11" t="str">
        <f>IFERROR(__xludf.DUMMYFUNCTION("GOOGLETRANSLATE(A151, ""en"", ""th"")"),"150")</f>
        <v>150</v>
      </c>
      <c r="H151" s="11" t="str">
        <f>IFERROR(__xludf.DUMMYFUNCTION("GOOGLETRANSLATE(B151, ""en"", ""am"")"),"የተቃዋሚዎን የመጨረሻ ዘሮች ለመያዝ እድሉ አለዎት። የእርስዎ እርምጃ ምንድን ነው?")</f>
        <v>የተቃዋሚዎን የመጨረሻ ዘሮች ለመያዝ እድሉ አለዎት። የእርስዎ እርምጃ ምንድን ነው?</v>
      </c>
      <c r="I151" s="11" t="str">
        <f>IFERROR(__xludf.DUMMYFUNCTION("GOOGLETRANSLATE(C151, ""en"", ""am"")"),"ሀ. የ gameB ደህንነትን ለመጠበቅ የመጨረሻ ዘራቸውን ወዲያውኑ ይያዙ። ዘሮችዎን እንደገና እንዳይቆጣጠሩ ለመከላከል እንደገና ያዘጋጁ። ከመጨረስዎ በፊት ከደካማ ጉድጓዶቻቸው ላይ በማንሳት ላይ ያተኩሩ. የመጨረሻውን ቀረጻ ለማድረግ የተሻለ እድል ይጠብቁ")</f>
        <v>ሀ. የ gameB ደህንነትን ለመጠበቅ የመጨረሻ ዘራቸውን ወዲያውኑ ይያዙ። ዘሮችዎን እንደገና እንዳይቆጣጠሩ ለመከላከል እንደገና ያዘጋጁ። ከመጨረስዎ በፊት ከደካማ ጉድጓዶቻቸው ላይ በማንሳት ላይ ያተኩሩ. የመጨረሻውን ቀረጻ ለማድረግ የተሻለ እድል ይጠብቁ</v>
      </c>
      <c r="J151" s="11" t="str">
        <f>IFERROR(__xludf.DUMMYFUNCTION("GOOGLETRANSLATE(D151, ""en"", ""am"")"),"ጨዋታውን ለመጠበቅ የመጨረሻ ዘራቸውን ወዲያውኑ ይያዙ")</f>
        <v>ጨዋታውን ለመጠበቅ የመጨረሻ ዘራቸውን ወዲያውኑ ይያዙ</v>
      </c>
      <c r="K151" s="11" t="str">
        <f>IFERROR(__xludf.DUMMYFUNCTION("GOOGLETRANSLATE(E151, ""en"", ""am"")"),"የመጨረሻ ቀረጻዎች በእርስዎ ሞገስ ውስጥ ጨዋታውን ለመዝጋት ይረዳሉ።")</f>
        <v>የመጨረሻ ቀረጻዎች በእርስዎ ሞገስ ውስጥ ጨዋታውን ለመዝጋት ይረዳሉ።</v>
      </c>
    </row>
    <row r="152" ht="22.5" customHeight="1">
      <c r="A152" s="10">
        <v>151.0</v>
      </c>
      <c r="B152" s="11" t="s">
        <v>4046</v>
      </c>
      <c r="C152" s="11" t="s">
        <v>4047</v>
      </c>
      <c r="D152" s="11" t="s">
        <v>4048</v>
      </c>
      <c r="E152" s="11" t="s">
        <v>4049</v>
      </c>
      <c r="G152" s="11" t="str">
        <f>IFERROR(__xludf.DUMMYFUNCTION("GOOGLETRANSLATE(A152, ""en"", ""th"")"),"151")</f>
        <v>151</v>
      </c>
      <c r="H152" s="11" t="str">
        <f>IFERROR(__xludf.DUMMYFUNCTION("GOOGLETRANSLATE(B152, ""en"", ""am"")"),"ተቃዋሚዎ ከውስጥ ጉድጓድዎ ለመያዝ እየሞከረ ነው። እንዴት ነው የምትከላከለው?")</f>
        <v>ተቃዋሚዎ ከውስጥ ጉድጓድዎ ለመያዝ እየሞከረ ነው። እንዴት ነው የምትከላከለው?</v>
      </c>
      <c r="I152" s="11" t="str">
        <f>IFERROR(__xludf.DUMMYFUNCTION("GOOGLETRANSLATE(C152, ""en"", ""am"")"),"ሀ. መያዙን ለማስቀረት ዘሮችዎን ወደ ውጫዊ ጉድጓዶች ይውሰዱ። ዘሮችዎን እንዳይይዙ ለመከላከል እንደገና ያዘጋጁ። እንቅስቃሴያቸውን ለመቋቋም ወጥመዶችን በማዘጋጀት ላይ ያተኩሩ። ዘሮችዎን ወደ ደህና ቦታ ያቀናብሩ እና ስህተት እስኪሰሩ ይጠብቁ")</f>
        <v>ሀ. መያዙን ለማስቀረት ዘሮችዎን ወደ ውጫዊ ጉድጓዶች ይውሰዱ። ዘሮችዎን እንዳይይዙ ለመከላከል እንደገና ያዘጋጁ። እንቅስቃሴያቸውን ለመቋቋም ወጥመዶችን በማዘጋጀት ላይ ያተኩሩ። ዘሮችዎን ወደ ደህና ቦታ ያቀናብሩ እና ስህተት እስኪሰሩ ይጠብቁ</v>
      </c>
      <c r="J152" s="11" t="str">
        <f>IFERROR(__xludf.DUMMYFUNCTION("GOOGLETRANSLATE(D152, ""en"", ""am"")"),"እንዳይያዙ ዘሮችዎን ወደ ውጫዊ ጉድጓዶች ይውሰዱ")</f>
        <v>እንዳይያዙ ዘሮችዎን ወደ ውጫዊ ጉድጓዶች ይውሰዱ</v>
      </c>
      <c r="K152" s="11" t="str">
        <f>IFERROR(__xludf.DUMMYFUNCTION("GOOGLETRANSLATE(E152, ""en"", ""am"")"),"ዘሮችዎን ማንቀሳቀስ ከመያዝ ይጠብቃቸዋል።")</f>
        <v>ዘሮችዎን ማንቀሳቀስ ከመያዝ ይጠብቃቸዋል።</v>
      </c>
    </row>
    <row r="153" ht="22.5" customHeight="1">
      <c r="A153" s="10">
        <v>152.0</v>
      </c>
      <c r="B153" s="11" t="s">
        <v>4050</v>
      </c>
      <c r="C153" s="11" t="s">
        <v>4051</v>
      </c>
      <c r="D153" s="11" t="s">
        <v>4052</v>
      </c>
      <c r="E153" s="11" t="s">
        <v>4053</v>
      </c>
      <c r="G153" s="11" t="str">
        <f>IFERROR(__xludf.DUMMYFUNCTION("GOOGLETRANSLATE(A153, ""en"", ""th"")"),"152")</f>
        <v>152</v>
      </c>
      <c r="H153" s="11" t="str">
        <f>IFERROR(__xludf.DUMMYFUNCTION("GOOGLETRANSLATE(B153, ""en"", ""am"")"),"ጥቂት ዘሮች ብቻ ቀርተዋል፣ እና ተቃዋሚዎ በጠንካራ ጉድጓዱ ውስጥ ብዙ አላቸው። እንዴት ነው መመለስ የሚቻለው?")</f>
        <v>ጥቂት ዘሮች ብቻ ቀርተዋል፣ እና ተቃዋሚዎ በጠንካራ ጉድጓዱ ውስጥ ብዙ አላቸው። እንዴት ነው መመለስ የሚቻለው?</v>
      </c>
      <c r="I153" s="11" t="str">
        <f>IFERROR(__xludf.DUMMYFUNCTION("GOOGLETRANSLATE(C153, ""en"", ""am"")"),"ሀ. ደካማ የሆኑትን ጉድጓዳቸውን በመከላከል እና በመያዝ ላይ ያተኩሩ። የመጨረሻውን የቀረውን ፒትሲሲ ለመጠበቅ ዘሮችዎን እንደገና ያዘጋጁ። ወደ ስህተት የሚያስገድዳቸው ወጥመዶችን ለማዘጋጀት ይሞክሩ። ለመንቀሳቀስ እንዲሸነፉ እና በካፒታል እንዲጠቀሙበት ይጠብቁ")</f>
        <v>ሀ. ደካማ የሆኑትን ጉድጓዳቸውን በመከላከል እና በመያዝ ላይ ያተኩሩ። የመጨረሻውን የቀረውን ፒትሲሲ ለመጠበቅ ዘሮችዎን እንደገና ያዘጋጁ። ወደ ስህተት የሚያስገድዳቸው ወጥመዶችን ለማዘጋጀት ይሞክሩ። ለመንቀሳቀስ እንዲሸነፉ እና በካፒታል እንዲጠቀሙበት ይጠብቁ</v>
      </c>
      <c r="J153" s="11" t="str">
        <f>IFERROR(__xludf.DUMMYFUNCTION("GOOGLETRANSLATE(D153, ""en"", ""am"")"),"ደካማ ጉድጓዶቻቸውን በመከላከል እና በመያዝ ላይ ያተኩሩ")</f>
        <v>ደካማ ጉድጓዶቻቸውን በመከላከል እና በመያዝ ላይ ያተኩሩ</v>
      </c>
      <c r="K153" s="11" t="str">
        <f>IFERROR(__xludf.DUMMYFUNCTION("GOOGLETRANSLATE(E153, ""en"", ""am"")"),"ደካማ ጉድጓዶችን መያዝ ወደ ኋላ እንዳትወድቁ ያረጋግጣል።")</f>
        <v>ደካማ ጉድጓዶችን መያዝ ወደ ኋላ እንዳትወድቁ ያረጋግጣል።</v>
      </c>
    </row>
    <row r="154" ht="22.5" customHeight="1">
      <c r="A154" s="10">
        <v>153.0</v>
      </c>
      <c r="B154" s="11" t="s">
        <v>4054</v>
      </c>
      <c r="C154" s="11" t="s">
        <v>4055</v>
      </c>
      <c r="D154" s="11" t="s">
        <v>3986</v>
      </c>
      <c r="E154" s="11" t="s">
        <v>4056</v>
      </c>
      <c r="G154" s="11" t="str">
        <f>IFERROR(__xludf.DUMMYFUNCTION("GOOGLETRANSLATE(A154, ""en"", ""th"")"),"153")</f>
        <v>153</v>
      </c>
      <c r="H154" s="11" t="str">
        <f>IFERROR(__xludf.DUMMYFUNCTION("GOOGLETRANSLATE(B154, ""en"", ""am"")"),"ተቃዋሚዎ ጠንካራ አቋም አለው, ነገር ግን ውጫዊ ጉድጓዶቻቸውን በደንብ አይከላከሉም. የእርስዎ እርምጃ ምንድን ነው?")</f>
        <v>ተቃዋሚዎ ጠንካራ አቋም አለው, ነገር ግን ውጫዊ ጉድጓዶቻቸውን በደንብ አይከላከሉም. የእርስዎ እርምጃ ምንድን ነው?</v>
      </c>
      <c r="I154" s="11" t="str">
        <f>IFERROR(__xludf.DUMMYFUNCTION("GOOGLETRANSLATE(C154, ""en"", ""am"")"),"ሀ. ቦታቸውን ለማዳከም ከጉድጓዳቸው ውስጥ ዘሮችን ይያዙ. ጠንካራ እንቅስቃሴዎቻቸውን ለማገድ ዘሮችዎን እንደገና ያዘጋጁ። እንዳይያዙ ዘሮችዎን ወደ ደህና ጉድጓዶች ይውሰዱ። ጉድጓዶችዎን በመከላከል እና የመያዣ እድሎቻቸውን በመገደብ ላይ ያተኩሩ")</f>
        <v>ሀ. ቦታቸውን ለማዳከም ከጉድጓዳቸው ውስጥ ዘሮችን ይያዙ. ጠንካራ እንቅስቃሴዎቻቸውን ለማገድ ዘሮችዎን እንደገና ያዘጋጁ። እንዳይያዙ ዘሮችዎን ወደ ደህና ጉድጓዶች ይውሰዱ። ጉድጓዶችዎን በመከላከል እና የመያዣ እድሎቻቸውን በመገደብ ላይ ያተኩሩ</v>
      </c>
      <c r="J154" s="11" t="str">
        <f>IFERROR(__xludf.DUMMYFUNCTION("GOOGLETRANSLATE(D154, ""en"", ""am"")"),"አቀማመጣቸውን ለማዳከም ዘሮችን ከውጭ ጉድጓድ ያዙ")</f>
        <v>አቀማመጣቸውን ለማዳከም ዘሮችን ከውጭ ጉድጓድ ያዙ</v>
      </c>
      <c r="K154" s="11" t="str">
        <f>IFERROR(__xludf.DUMMYFUNCTION("GOOGLETRANSLATE(E154, ""en"", ""am"")"),"የውጭ ጉድጓዶችን መያዝ ቁጥጥርን ያዳክማል.")</f>
        <v>የውጭ ጉድጓዶችን መያዝ ቁጥጥርን ያዳክማል.</v>
      </c>
    </row>
    <row r="155" ht="22.5" customHeight="1">
      <c r="A155" s="10">
        <v>154.0</v>
      </c>
      <c r="B155" s="11" t="s">
        <v>4057</v>
      </c>
      <c r="C155" s="11" t="s">
        <v>4058</v>
      </c>
      <c r="D155" s="11" t="s">
        <v>4059</v>
      </c>
      <c r="E155" s="11" t="s">
        <v>4060</v>
      </c>
      <c r="G155" s="11" t="str">
        <f>IFERROR(__xludf.DUMMYFUNCTION("GOOGLETRANSLATE(A155, ""en"", ""th"")"),"154")</f>
        <v>154</v>
      </c>
      <c r="H155" s="11" t="str">
        <f>IFERROR(__xludf.DUMMYFUNCTION("GOOGLETRANSLATE(B155, ""en"", ""am"")"),"ተቃዋሚዎ አብዛኛውን የውጪ ጉድጓዶችዎን አጽድቷል። ቀጣዩ እርምጃህ ምንድን ነው?")</f>
        <v>ተቃዋሚዎ አብዛኛውን የውጪ ጉድጓዶችዎን አጽድቷል። ቀጣዩ እርምጃህ ምንድን ነው?</v>
      </c>
      <c r="I155" s="11" t="str">
        <f>IFERROR(__xludf.DUMMYFUNCTION("GOOGLETRANSLATE(C155, ""en"", ""am"")"),"ሀ. ዘሮችዎን በቀሪዎቹ ጠንካራ ጉድጓዶችዎ ውስጥ እንደገና ያዘጋጁ። ዘራቸውን ከደካማው pitsC ይያዙ። ስልታቸውን ለማደናቀፍ ወጥመዶችን አዘጋጅ። ቀጣዩን እንቅስቃሴያቸውን በመዝጋት እና የውስጥ ጉድጓዶችዎን በመጠበቅ ላይ ያተኩሩ")</f>
        <v>ሀ. ዘሮችዎን በቀሪዎቹ ጠንካራ ጉድጓዶችዎ ውስጥ እንደገና ያዘጋጁ። ዘራቸውን ከደካማው pitsC ይያዙ። ስልታቸውን ለማደናቀፍ ወጥመዶችን አዘጋጅ። ቀጣዩን እንቅስቃሴያቸውን በመዝጋት እና የውስጥ ጉድጓዶችዎን በመጠበቅ ላይ ያተኩሩ</v>
      </c>
      <c r="J155" s="11" t="str">
        <f>IFERROR(__xludf.DUMMYFUNCTION("GOOGLETRANSLATE(D155, ""en"", ""am"")"),"በቀሩት ጠንካራ ጉድጓዶች ውስጥ ዘሮችዎን እንደገና ያዘጋጁ")</f>
        <v>በቀሩት ጠንካራ ጉድጓዶች ውስጥ ዘሮችዎን እንደገና ያዘጋጁ</v>
      </c>
      <c r="K155" s="11" t="str">
        <f>IFERROR(__xludf.DUMMYFUNCTION("GOOGLETRANSLATE(E155, ""en"", ""am"")"),"ዘሮችዎን እንደገና ማደራጀት የመከላከል አቅምዎን ከፍ ያደርገዋል።")</f>
        <v>ዘሮችዎን እንደገና ማደራጀት የመከላከል አቅምዎን ከፍ ያደርገዋል።</v>
      </c>
    </row>
    <row r="156" ht="22.5" customHeight="1">
      <c r="A156" s="10">
        <v>155.0</v>
      </c>
      <c r="B156" s="11" t="s">
        <v>4061</v>
      </c>
      <c r="C156" s="11" t="s">
        <v>4062</v>
      </c>
      <c r="D156" s="11" t="s">
        <v>4063</v>
      </c>
      <c r="E156" s="11" t="s">
        <v>4064</v>
      </c>
      <c r="G156" s="11" t="str">
        <f>IFERROR(__xludf.DUMMYFUNCTION("GOOGLETRANSLATE(A156, ""en"", ""th"")"),"155")</f>
        <v>155</v>
      </c>
      <c r="H156" s="11" t="str">
        <f>IFERROR(__xludf.DUMMYFUNCTION("GOOGLETRANSLATE(B156, ""en"", ""am"")"),"ተቃዋሚህ የመጨረሻውን ዘርህን ከጉድጓድ ሊወስድ ነው። ምን ማድረግ አለቦት?")</f>
        <v>ተቃዋሚህ የመጨረሻውን ዘርህን ከጉድጓድ ሊወስድ ነው። ምን ማድረግ አለቦት?</v>
      </c>
      <c r="I156" s="11" t="str">
        <f>IFERROR(__xludf.DUMMYFUNCTION("GOOGLETRANSLATE(C156, ""en"", ""am"")"),"ሀ. የተቀሩትን ፒትስቢ ለመጠበቅ ዘሮችዎን እንደገና ያደራጁ። ሲን ለመያዝ አስቸጋሪ ለማድረግ ዘሮችዎን ወደ ሌሎች ጉድጓዶች ይውሰዱ። እስኪሳሳቱ ድረስ ይጠብቁ እና መልሶ ማጥቃት ዲ. የአንተን ከመያዛቸው በፊት ዘራቸውን ለመያዝ ሞክር")</f>
        <v>ሀ. የተቀሩትን ፒትስቢ ለመጠበቅ ዘሮችዎን እንደገና ያደራጁ። ሲን ለመያዝ አስቸጋሪ ለማድረግ ዘሮችዎን ወደ ሌሎች ጉድጓዶች ይውሰዱ። እስኪሳሳቱ ድረስ ይጠብቁ እና መልሶ ማጥቃት ዲ. የአንተን ከመያዛቸው በፊት ዘራቸውን ለመያዝ ሞክር</v>
      </c>
      <c r="J156" s="11" t="str">
        <f>IFERROR(__xludf.DUMMYFUNCTION("GOOGLETRANSLATE(D156, ""en"", ""am"")"),"የተቀሩትን ጉድጓዶች ለመጠበቅ ዘሮችዎን እንደገና ያዘጋጁ")</f>
        <v>የተቀሩትን ጉድጓዶች ለመጠበቅ ዘሮችዎን እንደገና ያዘጋጁ</v>
      </c>
      <c r="K156" s="11" t="str">
        <f>IFERROR(__xludf.DUMMYFUNCTION("GOOGLETRANSLATE(E156, ""en"", ""am"")"),"ዘሮችዎን እንደገና ማደራጀት እነሱን ለመያዝ አስቸጋሪ ያደርገዋል።")</f>
        <v>ዘሮችዎን እንደገና ማደራጀት እነሱን ለመያዝ አስቸጋሪ ያደርገዋል።</v>
      </c>
    </row>
    <row r="157" ht="22.5" customHeight="1">
      <c r="A157" s="10">
        <v>156.0</v>
      </c>
      <c r="B157" s="11" t="s">
        <v>4065</v>
      </c>
      <c r="C157" s="11" t="s">
        <v>4066</v>
      </c>
      <c r="D157" s="11" t="s">
        <v>4067</v>
      </c>
      <c r="E157" s="11" t="s">
        <v>4068</v>
      </c>
      <c r="G157" s="11" t="str">
        <f>IFERROR(__xludf.DUMMYFUNCTION("GOOGLETRANSLATE(A157, ""en"", ""th"")"),"156")</f>
        <v>156</v>
      </c>
      <c r="H157" s="11" t="str">
        <f>IFERROR(__xludf.DUMMYFUNCTION("GOOGLETRANSLATE(B157, ""en"", ""am"")"),"በውጫዊ ጉድጓዶችዎ ውስጥ ብዙ ዘሮች አሉዎት, ነገር ግን ተቃዋሚዎ ለጥቃት እየተዘጋጀ ነው. ቀጣዩ እርምጃህ ምንድን ነው?")</f>
        <v>በውጫዊ ጉድጓዶችዎ ውስጥ ብዙ ዘሮች አሉዎት, ነገር ግን ተቃዋሚዎ ለጥቃት እየተዘጋጀ ነው. ቀጣዩ እርምጃህ ምንድን ነው?</v>
      </c>
      <c r="I157" s="11" t="str">
        <f>IFERROR(__xludf.DUMMYFUNCTION("GOOGLETRANSLATE(C157, ""en"", ""am"")"),"ሀ. መንገዳቸውን ለመዝጋት እና የእርስዎን ፒትስቢ ለመጠበቅ ዘሮችዎን እንደገና ያደራጁ። ዘራቸውን ከደካማ pitsC በመያዝ ላይ ያተኩሩ። እንዳይያዙ ዘሮችዎን ወደ ውስጠኛው ጉድጓዶች ይውሰዱ። ጥቃት በሚሰነዝሩበት ጊዜ እነሱን ለመያዝ ወጥመዶችን ያዘጋጁ")</f>
        <v>ሀ. መንገዳቸውን ለመዝጋት እና የእርስዎን ፒትስቢ ለመጠበቅ ዘሮችዎን እንደገና ያደራጁ። ዘራቸውን ከደካማ pitsC በመያዝ ላይ ያተኩሩ። እንዳይያዙ ዘሮችዎን ወደ ውስጠኛው ጉድጓዶች ይውሰዱ። ጥቃት በሚሰነዝሩበት ጊዜ እነሱን ለመያዝ ወጥመዶችን ያዘጋጁ</v>
      </c>
      <c r="J157" s="11" t="str">
        <f>IFERROR(__xludf.DUMMYFUNCTION("GOOGLETRANSLATE(D157, ""en"", ""am"")"),"መንገዳቸውን ለመዝጋት እና ጉድጓዶችዎን ለመጠበቅ ዘሮችዎን እንደገና ያዘጋጁ")</f>
        <v>መንገዳቸውን ለመዝጋት እና ጉድጓዶችዎን ለመጠበቅ ዘሮችዎን እንደገና ያዘጋጁ</v>
      </c>
      <c r="K157" s="11" t="str">
        <f>IFERROR(__xludf.DUMMYFUNCTION("GOOGLETRANSLATE(E157, ""en"", ""am"")"),"መንገዳቸውን መዝጋት የጥቃት እድሎቻቸውን ይገድባል።")</f>
        <v>መንገዳቸውን መዝጋት የጥቃት እድሎቻቸውን ይገድባል።</v>
      </c>
    </row>
    <row r="158" ht="22.5" customHeight="1">
      <c r="A158" s="10">
        <v>157.0</v>
      </c>
      <c r="B158" s="11" t="s">
        <v>4069</v>
      </c>
      <c r="C158" s="11" t="s">
        <v>4070</v>
      </c>
      <c r="D158" s="11" t="s">
        <v>4071</v>
      </c>
      <c r="E158" s="11" t="s">
        <v>4072</v>
      </c>
      <c r="G158" s="11" t="str">
        <f>IFERROR(__xludf.DUMMYFUNCTION("GOOGLETRANSLATE(A158, ""en"", ""th"")"),"157")</f>
        <v>157</v>
      </c>
      <c r="H158" s="11" t="str">
        <f>IFERROR(__xludf.DUMMYFUNCTION("GOOGLETRANSLATE(B158, ""en"", ""am"")"),"ተቃዋሚዎ ዘርዎን ከተወሰነ ጉድጓድ ሊይዝ ነው። እንዴት ነው የምትከላከለው?")</f>
        <v>ተቃዋሚዎ ዘርዎን ከተወሰነ ጉድጓድ ሊይዝ ነው። እንዴት ነው የምትከላከለው?</v>
      </c>
      <c r="I158" s="11" t="str">
        <f>IFERROR(__xludf.DUMMYFUNCTION("GOOGLETRANSLATE(C158, ""en"", ""am"")"),"ሀ. መያዙን ለማስቀረት ዘሮችዎን ወደ ሌላ ጉድጓድ ያንቀሳቅሱ። ወደ pitC ያላቸውን መዳረሻ ለማገድ ዘሮችዎን እንደገና ያደራጁ። እርምጃ ከመውሰዳቸው በፊት ዘራቸውን ከደካማ ጉድጓዳቸው ያዙ። እስኪሳሳቱ ድረስ ይጠብቁ እና መልሶ ማጥቃት")</f>
        <v>ሀ. መያዙን ለማስቀረት ዘሮችዎን ወደ ሌላ ጉድጓድ ያንቀሳቅሱ። ወደ pitC ያላቸውን መዳረሻ ለማገድ ዘሮችዎን እንደገና ያደራጁ። እርምጃ ከመውሰዳቸው በፊት ዘራቸውን ከደካማ ጉድጓዳቸው ያዙ። እስኪሳሳቱ ድረስ ይጠብቁ እና መልሶ ማጥቃት</v>
      </c>
      <c r="J158" s="11" t="str">
        <f>IFERROR(__xludf.DUMMYFUNCTION("GOOGLETRANSLATE(D158, ""en"", ""am"")"),"እንዳይያዙ ዘሮችዎን ወደ ሌላ ጉድጓድ ያንቀሳቅሱ")</f>
        <v>እንዳይያዙ ዘሮችዎን ወደ ሌላ ጉድጓድ ያንቀሳቅሱ</v>
      </c>
      <c r="K158" s="11" t="str">
        <f>IFERROR(__xludf.DUMMYFUNCTION("GOOGLETRANSLATE(E158, ""en"", ""am"")"),"ዘሮችዎን ማንቀሳቀስ ተጨማሪ መያዙን ይከላከላል።")</f>
        <v>ዘሮችዎን ማንቀሳቀስ ተጨማሪ መያዙን ይከላከላል።</v>
      </c>
    </row>
    <row r="159" ht="22.5" customHeight="1">
      <c r="A159" s="10">
        <v>158.0</v>
      </c>
      <c r="B159" s="11" t="s">
        <v>4073</v>
      </c>
      <c r="C159" s="11" t="s">
        <v>4074</v>
      </c>
      <c r="D159" s="11" t="s">
        <v>4075</v>
      </c>
      <c r="E159" s="11" t="s">
        <v>4076</v>
      </c>
      <c r="G159" s="11" t="str">
        <f>IFERROR(__xludf.DUMMYFUNCTION("GOOGLETRANSLATE(A159, ""en"", ""th"")"),"158")</f>
        <v>158</v>
      </c>
      <c r="H159" s="11" t="str">
        <f>IFERROR(__xludf.DUMMYFUNCTION("GOOGLETRANSLATE(B159, ""en"", ""am"")"),"በዘር ላይ እየሮጥክ ነው፣ እና ተቃዋሚህ ብዙ አለው። የበላይነቱን እንዴት ማግኘት ይቻላል?")</f>
        <v>በዘር ላይ እየሮጥክ ነው፣ እና ተቃዋሚህ ብዙ አለው። የበላይነቱን እንዴት ማግኘት ይቻላል?</v>
      </c>
      <c r="I159" s="11" t="str">
        <f>IFERROR(__xludf.DUMMYFUNCTION("GOOGLETRANSLATE(C159, ""en"", ""am"")"),"ሀ. ጨዋታውን ሚዛን ለመጠበቅ ከደካማ ጉድጓዳቸው ውስጥ ዘሮችን ይያዙ። በጣም ጠንካራ እንቅስቃሴዎቻቸውን ለመዝጋት ዘሮችዎን እንደገና ያዘጋጁ። በመከላከል እና በመልሶ ማጥቃት ላይ ያተኩሩ። ከመጠን በላይ እንዲራዘሙ እና እንዲጠቀሙበት ይጠብቁ")</f>
        <v>ሀ. ጨዋታውን ሚዛን ለመጠበቅ ከደካማ ጉድጓዳቸው ውስጥ ዘሮችን ይያዙ። በጣም ጠንካራ እንቅስቃሴዎቻቸውን ለመዝጋት ዘሮችዎን እንደገና ያዘጋጁ። በመከላከል እና በመልሶ ማጥቃት ላይ ያተኩሩ። ከመጠን በላይ እንዲራዘሙ እና እንዲጠቀሙበት ይጠብቁ</v>
      </c>
      <c r="J159" s="11" t="str">
        <f>IFERROR(__xludf.DUMMYFUNCTION("GOOGLETRANSLATE(D159, ""en"", ""am"")"),"ጨዋታውን ለማመጣጠን ከደካማ ጉድጓዳቸው ውስጥ ዘሮችን ይያዙ")</f>
        <v>ጨዋታውን ለማመጣጠን ከደካማ ጉድጓዳቸው ውስጥ ዘሮችን ይያዙ</v>
      </c>
      <c r="K159" s="11" t="str">
        <f>IFERROR(__xludf.DUMMYFUNCTION("GOOGLETRANSLATE(E159, ""en"", ""am"")"),"ደካማ ዘሮችን መያዝ የእነሱን ጥቅም ይቀንሳል.")</f>
        <v>ደካማ ዘሮችን መያዝ የእነሱን ጥቅም ይቀንሳል.</v>
      </c>
    </row>
    <row r="160" ht="22.5" customHeight="1">
      <c r="A160" s="10">
        <v>159.0</v>
      </c>
      <c r="B160" s="11" t="s">
        <v>4077</v>
      </c>
      <c r="C160" s="11" t="s">
        <v>4078</v>
      </c>
      <c r="D160" s="11" t="s">
        <v>4079</v>
      </c>
      <c r="E160" s="11" t="s">
        <v>4080</v>
      </c>
      <c r="G160" s="11" t="str">
        <f>IFERROR(__xludf.DUMMYFUNCTION("GOOGLETRANSLATE(A160, ""en"", ""th"")"),"159")</f>
        <v>159</v>
      </c>
      <c r="H160" s="11" t="str">
        <f>IFERROR(__xludf.DUMMYFUNCTION("GOOGLETRANSLATE(B160, ""en"", ""am"")"),"ተቃዋሚህ ከውስጥህ ጉድጓዶች ውስጥ ትልቅ ቀረጻ ሊያደርግ ነው። ምን ምላሽ ትሰጣለህ?")</f>
        <v>ተቃዋሚህ ከውስጥህ ጉድጓዶች ውስጥ ትልቅ ቀረጻ ሊያደርግ ነው። ምን ምላሽ ትሰጣለህ?</v>
      </c>
      <c r="I160" s="11" t="str">
        <f>IFERROR(__xludf.DUMMYFUNCTION("GOOGLETRANSLATE(C160, ""en"", ""am"")"),"ሀ. የአንተን የውስጥ ጕድጓድ ቢስ እንዳይደርሱባቸው ለማድረግ ዘሮችህን እንደገና አስተካክል። ወደ ስህተት የሚያስገድድ ወጥመዶችን ለማዘጋጀት ይሞክሩ ሐ. የእርስዎን ቀሪ pitsD በመከላከል ላይ ያተኩሩ። ለመበቀል ዘራቸውን ከውጭ ጉድጓድ ያዙ")</f>
        <v>ሀ. የአንተን የውስጥ ጕድጓድ ቢስ እንዳይደርሱባቸው ለማድረግ ዘሮችህን እንደገና አስተካክል። ወደ ስህተት የሚያስገድድ ወጥመዶችን ለማዘጋጀት ይሞክሩ ሐ. የእርስዎን ቀሪ pitsD በመከላከል ላይ ያተኩሩ። ለመበቀል ዘራቸውን ከውጭ ጉድጓድ ያዙ</v>
      </c>
      <c r="J160" s="11" t="str">
        <f>IFERROR(__xludf.DUMMYFUNCTION("GOOGLETRANSLATE(D160, ""en"", ""am"")"),"ወደ ውስጠኛው ጉድጓዶችዎ እንዳይገቡ ለማድረግ ዘሮችዎን እንደገና ያዘጋጁ")</f>
        <v>ወደ ውስጠኛው ጉድጓዶችዎ እንዳይገቡ ለማድረግ ዘሮችዎን እንደገና ያዘጋጁ</v>
      </c>
      <c r="K160" s="11" t="str">
        <f>IFERROR(__xludf.DUMMYFUNCTION("GOOGLETRANSLATE(E160, ""en"", ""am"")"),"የእነሱን መዳረሻ ማገድ ተጨማሪ ጉዳት እንዳይደርስ ይከላከላል.")</f>
        <v>የእነሱን መዳረሻ ማገድ ተጨማሪ ጉዳት እንዳይደርስ ይከላከላል.</v>
      </c>
    </row>
    <row r="161" ht="22.5" customHeight="1">
      <c r="A161" s="10">
        <v>160.0</v>
      </c>
      <c r="B161" s="11" t="s">
        <v>4081</v>
      </c>
      <c r="C161" s="11" t="s">
        <v>4082</v>
      </c>
      <c r="D161" s="11" t="s">
        <v>4013</v>
      </c>
      <c r="E161" s="11" t="s">
        <v>4014</v>
      </c>
      <c r="G161" s="11" t="str">
        <f>IFERROR(__xludf.DUMMYFUNCTION("GOOGLETRANSLATE(A161, ""en"", ""th"")"),"160")</f>
        <v>160</v>
      </c>
      <c r="H161" s="11" t="str">
        <f>IFERROR(__xludf.DUMMYFUNCTION("GOOGLETRANSLATE(B161, ""en"", ""am"")"),"ብዙ ዘሮችን ልትይዝ ነው፣ ነገር ግን ይህን ማድረጉ ለአደጋ ተጋላጭ እንድትሆን ሊያደርግህ ይችላል። ምን ታደርጋለህ፧")</f>
        <v>ብዙ ዘሮችን ልትይዝ ነው፣ ነገር ግን ይህን ማድረጉ ለአደጋ ተጋላጭ እንድትሆን ሊያደርግህ ይችላል። ምን ታደርጋለህ፧</v>
      </c>
      <c r="I161" s="11" t="str">
        <f>IFERROR(__xludf.DUMMYFUNCTION("GOOGLETRANSLATE(C161, ""en"", ""am"")"),"ሀ. ዘራቸውን ያዙ እና ለመከላከያ መልሶ ማጥቃት ይዘጋጁ። እነሱን ለመጠበቅ ዘሮችዎን ወደ መከላከያ ቦታዎች እንደገና ያደራጁ። በመጀመሪያ ዲ ደካማ ጉድጓዳቸውን በመያዝ ላይ ያተኩሩ። እንቅስቃሴዎን ለማድረግ የበለጠ አስተማማኝ እድል ይጠብቁ")</f>
        <v>ሀ. ዘራቸውን ያዙ እና ለመከላከያ መልሶ ማጥቃት ይዘጋጁ። እነሱን ለመጠበቅ ዘሮችዎን ወደ መከላከያ ቦታዎች እንደገና ያደራጁ። በመጀመሪያ ዲ ደካማ ጉድጓዳቸውን በመያዝ ላይ ያተኩሩ። እንቅስቃሴዎን ለማድረግ የበለጠ አስተማማኝ እድል ይጠብቁ</v>
      </c>
      <c r="J161" s="11" t="str">
        <f>IFERROR(__xludf.DUMMYFUNCTION("GOOGLETRANSLATE(D161, ""en"", ""am"")"),"ዘራቸውን ያዙ እና ለመከላከያ መልሶ ማጥቃት ይዘጋጁ")</f>
        <v>ዘራቸውን ያዙ እና ለመከላከያ መልሶ ማጥቃት ይዘጋጁ</v>
      </c>
      <c r="K161" s="11" t="str">
        <f>IFERROR(__xludf.DUMMYFUNCTION("GOOGLETRANSLATE(E161, ""en"", ""am"")"),"የመከላከያ መልሶ ማጥቃት ቦታዎን ሊጠብቅ ይችላል.")</f>
        <v>የመከላከያ መልሶ ማጥቃት ቦታዎን ሊጠብቅ ይችላል.</v>
      </c>
    </row>
    <row r="162" ht="22.5" customHeight="1">
      <c r="A162" s="10">
        <v>161.0</v>
      </c>
      <c r="B162" s="11" t="s">
        <v>4015</v>
      </c>
      <c r="C162" s="11" t="s">
        <v>4016</v>
      </c>
      <c r="D162" s="11" t="s">
        <v>4017</v>
      </c>
      <c r="E162" s="11" t="s">
        <v>4018</v>
      </c>
      <c r="G162" s="11" t="str">
        <f>IFERROR(__xludf.DUMMYFUNCTION("GOOGLETRANSLATE(A162, ""en"", ""th"")"),"161")</f>
        <v>161</v>
      </c>
      <c r="H162" s="11" t="str">
        <f>IFERROR(__xludf.DUMMYFUNCTION("GOOGLETRANSLATE(B162, ""en"", ""am"")"),"ተቃዋሚዎ አንድ ዘር ብቻ ያለው ደካማ ጉድጓድ ትቷል. ምን ማድረግ አለቦት?")</f>
        <v>ተቃዋሚዎ አንድ ዘር ብቻ ያለው ደካማ ጉድጓድ ትቷል. ምን ማድረግ አለቦት?</v>
      </c>
      <c r="I162" s="11" t="str">
        <f>IFERROR(__xludf.DUMMYFUNCTION("GOOGLETRANSLATE(C162, ""en"", ""am"")"),"ሀ. ጥቅም ለማግኘት ያንን ዘር ወዲያውኑ ይያዙ። ከ itC ለመያዝ ብዙ ዘሮች እስኪያገኙ ድረስ ይጠብቁ። በኋላD ለመያዝ ዘሮችዎን ወደ ተሻለ ቦታ ይውሰዱ። ችላ በል እና በምትኩ በጠንካራ ጉድጓድ ላይ አተኩር")</f>
        <v>ሀ. ጥቅም ለማግኘት ያንን ዘር ወዲያውኑ ይያዙ። ከ itC ለመያዝ ብዙ ዘሮች እስኪያገኙ ድረስ ይጠብቁ። በኋላD ለመያዝ ዘሮችዎን ወደ ተሻለ ቦታ ይውሰዱ። ችላ በል እና በምትኩ በጠንካራ ጉድጓድ ላይ አተኩር</v>
      </c>
      <c r="J162" s="11" t="str">
        <f>IFERROR(__xludf.DUMMYFUNCTION("GOOGLETRANSLATE(D162, ""en"", ""am"")"),"ጥቅም ለማግኘት ወዲያውኑ ያንን ዘር ይያዙ")</f>
        <v>ጥቅም ለማግኘት ወዲያውኑ ያንን ዘር ይያዙ</v>
      </c>
      <c r="K162" s="11" t="str">
        <f>IFERROR(__xludf.DUMMYFUNCTION("GOOGLETRANSLATE(E162, ""en"", ""am"")"),"ደካማ ጉድጓዶችን መያዝ ጨዋታውን ለእርስዎ ሞገስ ሊያዘንብዎት ይችላል።")</f>
        <v>ደካማ ጉድጓዶችን መያዝ ጨዋታውን ለእርስዎ ሞገስ ሊያዘንብዎት ይችላል።</v>
      </c>
    </row>
    <row r="164">
      <c r="A164" s="2"/>
      <c r="B164" s="2"/>
      <c r="C164" s="2"/>
      <c r="D164" s="2"/>
      <c r="E164" s="2"/>
    </row>
    <row r="165">
      <c r="A165" s="14"/>
      <c r="B165" s="2"/>
      <c r="C165" s="2"/>
      <c r="D165" s="2"/>
      <c r="E165" s="2"/>
    </row>
    <row r="166">
      <c r="A166" s="14"/>
      <c r="B166" s="2"/>
      <c r="C166" s="2"/>
      <c r="D166" s="2"/>
      <c r="E166" s="2"/>
    </row>
    <row r="167">
      <c r="A167" s="14"/>
      <c r="B167" s="2"/>
      <c r="C167" s="2"/>
      <c r="D167" s="2"/>
      <c r="E167" s="2"/>
    </row>
    <row r="168">
      <c r="A168" s="14"/>
      <c r="B168" s="2"/>
      <c r="C168" s="2"/>
      <c r="D168" s="2"/>
      <c r="E168" s="2"/>
    </row>
    <row r="169">
      <c r="A169" s="14"/>
      <c r="B169" s="2"/>
      <c r="C169" s="2"/>
      <c r="D169" s="2"/>
      <c r="E169" s="2"/>
    </row>
    <row r="170">
      <c r="A170" s="14"/>
      <c r="B170" s="2"/>
      <c r="C170" s="2"/>
      <c r="D170" s="2"/>
      <c r="E170" s="2"/>
    </row>
    <row r="171">
      <c r="A171" s="14"/>
      <c r="B171" s="2"/>
      <c r="C171" s="2"/>
      <c r="D171" s="2"/>
      <c r="E171" s="2"/>
    </row>
    <row r="172">
      <c r="A172" s="14"/>
      <c r="B172" s="2"/>
      <c r="C172" s="2"/>
      <c r="D172" s="2"/>
      <c r="E172" s="2"/>
    </row>
    <row r="173">
      <c r="A173" s="14"/>
      <c r="B173" s="2"/>
      <c r="C173" s="2"/>
      <c r="D173" s="2"/>
      <c r="E173" s="2"/>
    </row>
    <row r="174">
      <c r="A174" s="14"/>
      <c r="B174" s="2"/>
      <c r="C174" s="2"/>
      <c r="D174" s="2"/>
      <c r="E174" s="2"/>
    </row>
    <row r="175">
      <c r="A175" s="14"/>
      <c r="B175" s="2"/>
      <c r="C175" s="2"/>
      <c r="D175" s="2"/>
      <c r="E175" s="2"/>
    </row>
    <row r="176">
      <c r="A176" s="14"/>
      <c r="B176" s="2"/>
      <c r="C176" s="2"/>
      <c r="D176" s="2"/>
      <c r="E176" s="2"/>
    </row>
    <row r="177">
      <c r="A177" s="14"/>
      <c r="B177" s="2"/>
      <c r="C177" s="2"/>
      <c r="D177" s="2"/>
      <c r="E177" s="2"/>
    </row>
    <row r="178">
      <c r="A178" s="14"/>
      <c r="B178" s="2"/>
      <c r="C178" s="2"/>
      <c r="D178" s="2"/>
      <c r="E178" s="2"/>
    </row>
    <row r="179">
      <c r="A179" s="14"/>
      <c r="B179" s="2"/>
      <c r="C179" s="2"/>
      <c r="D179" s="2"/>
      <c r="E179" s="2"/>
    </row>
    <row r="180">
      <c r="A180" s="14"/>
      <c r="B180" s="2"/>
      <c r="C180" s="2"/>
      <c r="D180" s="2"/>
      <c r="E180" s="2"/>
    </row>
    <row r="181">
      <c r="A181" s="14"/>
      <c r="B181" s="2"/>
      <c r="C181" s="2"/>
      <c r="D181" s="2"/>
      <c r="E181" s="2"/>
    </row>
    <row r="182">
      <c r="A182" s="14"/>
      <c r="B182" s="2"/>
      <c r="C182" s="2"/>
      <c r="D182" s="2"/>
      <c r="E182" s="2"/>
    </row>
    <row r="183">
      <c r="A183" s="14"/>
      <c r="B183" s="2"/>
      <c r="C183" s="2"/>
      <c r="D183" s="2"/>
      <c r="E183" s="2"/>
    </row>
    <row r="184">
      <c r="A184" s="14"/>
      <c r="B184" s="2"/>
      <c r="C184" s="2"/>
      <c r="D184" s="2"/>
      <c r="E184" s="2"/>
    </row>
    <row r="185">
      <c r="A185" s="14"/>
      <c r="B185" s="2"/>
      <c r="C185" s="2"/>
      <c r="D185" s="2"/>
      <c r="E185" s="2"/>
    </row>
    <row r="186">
      <c r="A186" s="14"/>
      <c r="B186" s="2"/>
      <c r="C186" s="2"/>
      <c r="D186" s="2"/>
      <c r="E186" s="2"/>
    </row>
    <row r="187">
      <c r="A187" s="14"/>
      <c r="B187" s="2"/>
      <c r="C187" s="2"/>
      <c r="D187" s="2"/>
      <c r="E187" s="2"/>
    </row>
    <row r="188">
      <c r="A188" s="14"/>
      <c r="B188" s="2"/>
      <c r="C188" s="2"/>
      <c r="D188" s="2"/>
      <c r="E188" s="2"/>
    </row>
    <row r="189">
      <c r="A189" s="14"/>
      <c r="B189" s="2"/>
      <c r="C189" s="2"/>
      <c r="D189" s="2"/>
      <c r="E189" s="2"/>
    </row>
    <row r="190">
      <c r="A190" s="14"/>
      <c r="B190" s="2"/>
      <c r="C190" s="2"/>
      <c r="D190" s="2"/>
      <c r="E190" s="2"/>
    </row>
    <row r="191">
      <c r="A191" s="14"/>
      <c r="B191" s="2"/>
      <c r="C191" s="2"/>
      <c r="D191" s="2"/>
      <c r="E191" s="2"/>
    </row>
    <row r="192">
      <c r="A192" s="14"/>
      <c r="B192" s="2"/>
      <c r="C192" s="2"/>
      <c r="D192" s="2"/>
      <c r="E192" s="2"/>
    </row>
    <row r="193">
      <c r="A193" s="14"/>
      <c r="B193" s="2"/>
      <c r="C193" s="2"/>
      <c r="D193" s="2"/>
      <c r="E193" s="2"/>
    </row>
    <row r="194">
      <c r="A194" s="14"/>
      <c r="B194" s="2"/>
      <c r="C194" s="2"/>
      <c r="D194" s="2"/>
      <c r="E194" s="2"/>
    </row>
    <row r="195">
      <c r="A195" s="14"/>
      <c r="B195" s="2"/>
      <c r="C195" s="2"/>
      <c r="D195" s="2"/>
      <c r="E195" s="2"/>
    </row>
    <row r="196">
      <c r="A196" s="14"/>
      <c r="B196" s="2"/>
      <c r="C196" s="2"/>
      <c r="D196" s="2"/>
      <c r="E196" s="2"/>
    </row>
    <row r="197">
      <c r="A197" s="14"/>
      <c r="B197" s="2"/>
      <c r="C197" s="2"/>
      <c r="D197" s="2"/>
      <c r="E197" s="2"/>
    </row>
    <row r="198">
      <c r="A198" s="14"/>
      <c r="B198" s="2"/>
      <c r="C198" s="2"/>
      <c r="D198" s="2"/>
      <c r="E198" s="2"/>
    </row>
    <row r="199">
      <c r="A199" s="14"/>
      <c r="B199" s="2"/>
      <c r="C199" s="2"/>
      <c r="D199" s="2"/>
      <c r="E199" s="2"/>
    </row>
    <row r="200">
      <c r="A200" s="14"/>
      <c r="B200" s="2"/>
      <c r="C200" s="2"/>
      <c r="D200" s="2"/>
      <c r="E200" s="2"/>
    </row>
    <row r="201">
      <c r="A201" s="14"/>
      <c r="B201" s="2"/>
      <c r="C201" s="2"/>
      <c r="D201" s="2"/>
      <c r="E201" s="2"/>
    </row>
    <row r="202">
      <c r="A202" s="14"/>
      <c r="B202" s="2"/>
      <c r="C202" s="2"/>
      <c r="D202" s="2"/>
      <c r="E202" s="2"/>
    </row>
    <row r="203">
      <c r="A203" s="14"/>
      <c r="B203" s="2"/>
      <c r="C203" s="2"/>
      <c r="D203" s="2"/>
      <c r="E203" s="2"/>
    </row>
    <row r="204">
      <c r="A204" s="14"/>
      <c r="B204" s="2"/>
      <c r="C204" s="2"/>
      <c r="D204" s="2"/>
      <c r="E204" s="2"/>
    </row>
    <row r="205">
      <c r="A205" s="14"/>
      <c r="B205" s="2"/>
      <c r="C205" s="2"/>
      <c r="D205" s="2"/>
      <c r="E205" s="2"/>
    </row>
    <row r="206">
      <c r="A206" s="14"/>
      <c r="B206" s="2"/>
      <c r="C206" s="2"/>
      <c r="D206" s="2"/>
      <c r="E206" s="2"/>
    </row>
    <row r="207">
      <c r="A207" s="14"/>
      <c r="B207" s="2"/>
      <c r="C207" s="2"/>
      <c r="D207" s="2"/>
      <c r="E207" s="2"/>
    </row>
    <row r="208">
      <c r="A208" s="14"/>
      <c r="B208" s="2"/>
      <c r="C208" s="2"/>
      <c r="D208" s="2"/>
      <c r="E208" s="2"/>
    </row>
    <row r="209">
      <c r="A209" s="14"/>
      <c r="B209" s="2"/>
      <c r="C209" s="2"/>
      <c r="D209" s="2"/>
      <c r="E209" s="2"/>
    </row>
    <row r="210">
      <c r="A210" s="14"/>
      <c r="B210" s="2"/>
      <c r="C210" s="2"/>
      <c r="D210" s="2"/>
      <c r="E210" s="2"/>
    </row>
    <row r="211">
      <c r="A211" s="14"/>
      <c r="B211" s="2"/>
      <c r="C211" s="2"/>
      <c r="D211" s="2"/>
      <c r="E211" s="2"/>
    </row>
    <row r="212">
      <c r="A212" s="14"/>
      <c r="B212" s="2"/>
      <c r="C212" s="2"/>
      <c r="D212" s="2"/>
      <c r="E212" s="2"/>
    </row>
    <row r="213">
      <c r="A213" s="14"/>
      <c r="B213" s="2"/>
      <c r="C213" s="2"/>
      <c r="D213" s="2"/>
      <c r="E213" s="2"/>
    </row>
    <row r="214">
      <c r="A214" s="14"/>
      <c r="B214" s="2"/>
      <c r="C214" s="2"/>
      <c r="D214" s="2"/>
      <c r="E214" s="2"/>
    </row>
    <row r="215">
      <c r="A215" s="14"/>
      <c r="B215" s="2"/>
      <c r="C215" s="2"/>
      <c r="D215" s="2"/>
      <c r="E215" s="2"/>
    </row>
    <row r="216">
      <c r="A216" s="14"/>
      <c r="B216" s="2"/>
      <c r="C216" s="2"/>
      <c r="D216" s="2"/>
      <c r="E216" s="2"/>
    </row>
    <row r="217">
      <c r="A217" s="14"/>
      <c r="B217" s="2"/>
      <c r="C217" s="2"/>
      <c r="D217" s="2"/>
      <c r="E217" s="2"/>
    </row>
    <row r="218">
      <c r="A218" s="14"/>
      <c r="B218" s="2"/>
      <c r="C218" s="2"/>
      <c r="D218" s="2"/>
      <c r="E218" s="2"/>
    </row>
    <row r="219">
      <c r="A219" s="14"/>
      <c r="B219" s="2"/>
      <c r="C219" s="2"/>
      <c r="D219" s="2"/>
      <c r="E219" s="2"/>
    </row>
    <row r="220">
      <c r="A220" s="14"/>
      <c r="B220" s="2"/>
      <c r="C220" s="2"/>
      <c r="D220" s="2"/>
      <c r="E220" s="2"/>
    </row>
    <row r="221">
      <c r="A221" s="14"/>
      <c r="B221" s="2"/>
      <c r="C221" s="2"/>
      <c r="D221" s="2"/>
      <c r="E221" s="2"/>
    </row>
    <row r="222">
      <c r="A222" s="14"/>
      <c r="B222" s="2"/>
      <c r="C222" s="2"/>
      <c r="D222" s="2"/>
      <c r="E222" s="2"/>
    </row>
    <row r="223">
      <c r="A223" s="14"/>
      <c r="B223" s="2"/>
      <c r="C223" s="2"/>
      <c r="D223" s="2"/>
      <c r="E223" s="2"/>
    </row>
    <row r="224">
      <c r="A224" s="14"/>
      <c r="B224" s="2"/>
      <c r="C224" s="2"/>
      <c r="D224" s="2"/>
      <c r="E224" s="2"/>
    </row>
    <row r="225">
      <c r="A225" s="14"/>
      <c r="B225" s="2"/>
      <c r="C225" s="2"/>
      <c r="D225" s="2"/>
      <c r="E225" s="2"/>
    </row>
    <row r="226">
      <c r="A226" s="14"/>
      <c r="B226" s="2"/>
      <c r="C226" s="2"/>
      <c r="D226" s="2"/>
      <c r="E226" s="2"/>
    </row>
    <row r="227">
      <c r="A227" s="14"/>
      <c r="B227" s="2"/>
      <c r="C227" s="2"/>
      <c r="D227" s="2"/>
      <c r="E227" s="2"/>
    </row>
    <row r="228">
      <c r="A228" s="14"/>
      <c r="B228" s="2"/>
      <c r="C228" s="2"/>
      <c r="D228" s="2"/>
      <c r="E228" s="2"/>
    </row>
    <row r="229">
      <c r="A229" s="14"/>
      <c r="B229" s="2"/>
      <c r="C229" s="2"/>
      <c r="D229" s="2"/>
      <c r="E229" s="2"/>
    </row>
    <row r="230">
      <c r="A230" s="14"/>
      <c r="B230" s="2"/>
      <c r="C230" s="2"/>
      <c r="D230" s="2"/>
      <c r="E230" s="2"/>
    </row>
    <row r="231">
      <c r="A231" s="14"/>
      <c r="B231" s="2"/>
      <c r="C231" s="2"/>
      <c r="D231" s="2"/>
      <c r="E231" s="2"/>
    </row>
    <row r="232">
      <c r="A232" s="14"/>
      <c r="B232" s="2"/>
      <c r="C232" s="2"/>
      <c r="D232" s="2"/>
      <c r="E232" s="2"/>
    </row>
    <row r="233">
      <c r="A233" s="14"/>
      <c r="B233" s="2"/>
      <c r="C233" s="2"/>
      <c r="D233" s="2"/>
      <c r="E233" s="2"/>
    </row>
    <row r="234">
      <c r="A234" s="14"/>
      <c r="B234" s="2"/>
      <c r="C234" s="2"/>
      <c r="D234" s="2"/>
      <c r="E234" s="2"/>
    </row>
    <row r="235">
      <c r="A235" s="14"/>
      <c r="B235" s="2"/>
      <c r="C235" s="2"/>
      <c r="D235" s="2"/>
      <c r="E235" s="2"/>
    </row>
    <row r="236">
      <c r="A236" s="14"/>
      <c r="B236" s="2"/>
      <c r="C236" s="2"/>
      <c r="D236" s="2"/>
      <c r="E236" s="2"/>
    </row>
    <row r="237">
      <c r="A237" s="14"/>
      <c r="B237" s="2"/>
      <c r="C237" s="2"/>
      <c r="D237" s="2"/>
      <c r="E237" s="2"/>
    </row>
    <row r="238">
      <c r="A238" s="14"/>
      <c r="B238" s="2"/>
      <c r="C238" s="2"/>
      <c r="D238" s="2"/>
      <c r="E238" s="2"/>
    </row>
    <row r="239">
      <c r="A239" s="14"/>
      <c r="B239" s="2"/>
      <c r="C239" s="2"/>
      <c r="D239" s="2"/>
      <c r="E239" s="2"/>
    </row>
    <row r="240">
      <c r="A240" s="14"/>
      <c r="B240" s="2"/>
      <c r="C240" s="2"/>
      <c r="D240" s="2"/>
      <c r="E240" s="2"/>
    </row>
    <row r="241">
      <c r="A241" s="14"/>
      <c r="B241" s="2"/>
      <c r="C241" s="2"/>
      <c r="D241" s="2"/>
      <c r="E241" s="2"/>
    </row>
    <row r="242">
      <c r="A242" s="14"/>
      <c r="B242" s="2"/>
      <c r="C242" s="2"/>
      <c r="D242" s="2"/>
      <c r="E242" s="2"/>
    </row>
    <row r="243">
      <c r="A243" s="14"/>
      <c r="B243" s="2"/>
      <c r="C243" s="2"/>
      <c r="D243" s="2"/>
      <c r="E243" s="2"/>
    </row>
    <row r="244">
      <c r="A244" s="14"/>
      <c r="B244" s="2"/>
      <c r="C244" s="2"/>
      <c r="D244" s="2"/>
      <c r="E244" s="2"/>
    </row>
    <row r="245">
      <c r="A245" s="14"/>
      <c r="B245" s="2"/>
      <c r="C245" s="2"/>
      <c r="D245" s="2"/>
      <c r="E245" s="2"/>
    </row>
    <row r="246">
      <c r="A246" s="14"/>
      <c r="B246" s="2"/>
      <c r="C246" s="2"/>
      <c r="D246" s="2"/>
      <c r="E246" s="2"/>
    </row>
    <row r="247">
      <c r="A247" s="14"/>
      <c r="B247" s="2"/>
      <c r="C247" s="2"/>
      <c r="D247" s="2"/>
      <c r="E247" s="2"/>
    </row>
    <row r="248">
      <c r="A248" s="14"/>
      <c r="B248" s="2"/>
      <c r="C248" s="2"/>
      <c r="D248" s="2"/>
      <c r="E248" s="2"/>
    </row>
    <row r="249">
      <c r="A249" s="14"/>
      <c r="B249" s="2"/>
      <c r="C249" s="2"/>
      <c r="D249" s="2"/>
      <c r="E249" s="2"/>
    </row>
    <row r="250">
      <c r="A250" s="14"/>
      <c r="B250" s="2"/>
      <c r="C250" s="2"/>
      <c r="D250" s="2"/>
      <c r="E250" s="2"/>
    </row>
    <row r="251">
      <c r="A251" s="14"/>
      <c r="B251" s="2"/>
      <c r="C251" s="2"/>
      <c r="D251" s="2"/>
      <c r="E251" s="2"/>
    </row>
    <row r="252">
      <c r="A252" s="14"/>
      <c r="B252" s="2"/>
      <c r="C252" s="2"/>
      <c r="D252" s="2"/>
      <c r="E252" s="2"/>
    </row>
    <row r="253">
      <c r="A253" s="14"/>
      <c r="B253" s="2"/>
      <c r="C253" s="2"/>
      <c r="D253" s="2"/>
      <c r="E253" s="2"/>
    </row>
    <row r="254">
      <c r="A254" s="14"/>
      <c r="B254" s="2"/>
      <c r="C254" s="2"/>
      <c r="D254" s="2"/>
      <c r="E254" s="2"/>
    </row>
    <row r="255">
      <c r="A255" s="14"/>
      <c r="B255" s="2"/>
      <c r="C255" s="2"/>
      <c r="D255" s="2"/>
      <c r="E255" s="2"/>
    </row>
    <row r="256">
      <c r="A256" s="14"/>
      <c r="B256" s="2"/>
      <c r="C256" s="2"/>
      <c r="D256" s="2"/>
      <c r="E256" s="2"/>
    </row>
    <row r="257">
      <c r="A257" s="14"/>
      <c r="B257" s="2"/>
      <c r="C257" s="2"/>
      <c r="D257" s="2"/>
      <c r="E257" s="2"/>
    </row>
    <row r="258">
      <c r="A258" s="14"/>
      <c r="B258" s="2"/>
      <c r="C258" s="2"/>
      <c r="D258" s="2"/>
      <c r="E258" s="2"/>
    </row>
    <row r="259">
      <c r="A259" s="14"/>
      <c r="B259" s="2"/>
      <c r="C259" s="2"/>
      <c r="D259" s="2"/>
      <c r="E259" s="2"/>
    </row>
    <row r="260">
      <c r="A260" s="14"/>
      <c r="B260" s="2"/>
      <c r="C260" s="2"/>
      <c r="D260" s="2"/>
      <c r="E260" s="2"/>
    </row>
    <row r="261">
      <c r="A261" s="14"/>
      <c r="B261" s="2"/>
      <c r="C261" s="2"/>
      <c r="D261" s="2"/>
      <c r="E261" s="2"/>
    </row>
    <row r="262">
      <c r="A262" s="14"/>
      <c r="B262" s="2"/>
      <c r="C262" s="2"/>
      <c r="D262" s="2"/>
      <c r="E262" s="2"/>
    </row>
    <row r="263">
      <c r="A263" s="14"/>
      <c r="B263" s="2"/>
      <c r="C263" s="2"/>
      <c r="D263" s="2"/>
      <c r="E263" s="2"/>
    </row>
    <row r="264">
      <c r="A264" s="14"/>
      <c r="B264" s="2"/>
      <c r="C264" s="2"/>
      <c r="D264" s="2"/>
      <c r="E264" s="2"/>
    </row>
    <row r="265">
      <c r="A265" s="14"/>
      <c r="B265" s="2"/>
      <c r="C265" s="2"/>
      <c r="D265" s="2"/>
      <c r="E265" s="2"/>
    </row>
    <row r="266">
      <c r="A266" s="14"/>
      <c r="B266" s="2"/>
      <c r="C266" s="2"/>
      <c r="D266" s="2"/>
      <c r="E266" s="2"/>
    </row>
    <row r="267">
      <c r="A267" s="14"/>
      <c r="B267" s="2"/>
      <c r="C267" s="2"/>
      <c r="D267" s="2"/>
      <c r="E267" s="2"/>
    </row>
    <row r="268">
      <c r="A268" s="14"/>
      <c r="B268" s="2"/>
      <c r="C268" s="2"/>
      <c r="D268" s="2"/>
      <c r="E268" s="2"/>
    </row>
    <row r="269">
      <c r="A269" s="14"/>
      <c r="B269" s="2"/>
      <c r="C269" s="2"/>
      <c r="D269" s="2"/>
      <c r="E269" s="2"/>
    </row>
    <row r="270">
      <c r="A270" s="14"/>
      <c r="B270" s="2"/>
      <c r="C270" s="2"/>
      <c r="D270" s="2"/>
      <c r="E270" s="2"/>
    </row>
    <row r="271">
      <c r="A271" s="14"/>
      <c r="B271" s="2"/>
      <c r="C271" s="2"/>
      <c r="D271" s="2"/>
      <c r="E271" s="2"/>
    </row>
    <row r="272">
      <c r="A272" s="14"/>
      <c r="B272" s="2"/>
      <c r="C272" s="2"/>
      <c r="D272" s="2"/>
      <c r="E272" s="2"/>
    </row>
    <row r="273">
      <c r="A273" s="14"/>
      <c r="B273" s="2"/>
      <c r="C273" s="2"/>
      <c r="D273" s="2"/>
      <c r="E273" s="2"/>
    </row>
    <row r="274">
      <c r="A274" s="14"/>
      <c r="B274" s="2"/>
      <c r="C274" s="2"/>
      <c r="D274" s="2"/>
      <c r="E274" s="2"/>
    </row>
    <row r="275">
      <c r="A275" s="14"/>
      <c r="B275" s="2"/>
      <c r="C275" s="2"/>
      <c r="D275" s="2"/>
      <c r="E275" s="2"/>
    </row>
    <row r="276">
      <c r="A276" s="14"/>
      <c r="B276" s="2"/>
      <c r="C276" s="2"/>
      <c r="D276" s="2"/>
      <c r="E276" s="2"/>
    </row>
    <row r="277">
      <c r="A277" s="14"/>
      <c r="B277" s="2"/>
      <c r="C277" s="2"/>
      <c r="D277" s="2"/>
      <c r="E277" s="2"/>
    </row>
    <row r="278">
      <c r="A278" s="14"/>
      <c r="B278" s="2"/>
      <c r="C278" s="2"/>
      <c r="D278" s="2"/>
      <c r="E278" s="2"/>
    </row>
    <row r="279">
      <c r="A279" s="14"/>
      <c r="B279" s="2"/>
      <c r="C279" s="2"/>
      <c r="D279" s="2"/>
      <c r="E279" s="2"/>
    </row>
    <row r="280">
      <c r="A280" s="14"/>
      <c r="B280" s="2"/>
      <c r="C280" s="2"/>
      <c r="D280" s="2"/>
      <c r="E280" s="2"/>
    </row>
    <row r="281">
      <c r="A281" s="14"/>
      <c r="B281" s="2"/>
      <c r="C281" s="2"/>
      <c r="D281" s="2"/>
      <c r="E281" s="2"/>
    </row>
    <row r="282">
      <c r="A282" s="14"/>
      <c r="B282" s="2"/>
      <c r="C282" s="2"/>
      <c r="D282" s="2"/>
      <c r="E282" s="2"/>
    </row>
    <row r="283">
      <c r="A283" s="14"/>
      <c r="B283" s="2"/>
      <c r="C283" s="2"/>
      <c r="D283" s="2"/>
      <c r="E283" s="2"/>
    </row>
    <row r="284">
      <c r="A284" s="14"/>
      <c r="B284" s="2"/>
      <c r="C284" s="2"/>
      <c r="D284" s="2"/>
      <c r="E284" s="2"/>
    </row>
    <row r="285">
      <c r="A285" s="14"/>
      <c r="B285" s="2"/>
      <c r="C285" s="2"/>
      <c r="D285" s="2"/>
      <c r="E285" s="2"/>
    </row>
    <row r="286">
      <c r="A286" s="14"/>
      <c r="B286" s="2"/>
      <c r="C286" s="2"/>
      <c r="D286" s="2"/>
      <c r="E286" s="2"/>
    </row>
    <row r="287">
      <c r="A287" s="14"/>
      <c r="B287" s="2"/>
      <c r="C287" s="2"/>
      <c r="D287" s="2"/>
      <c r="E287" s="2"/>
    </row>
    <row r="288">
      <c r="A288" s="14"/>
      <c r="B288" s="2"/>
      <c r="C288" s="2"/>
      <c r="D288" s="2"/>
      <c r="E288" s="2"/>
    </row>
    <row r="289">
      <c r="A289" s="14"/>
      <c r="B289" s="2"/>
      <c r="C289" s="2"/>
      <c r="D289" s="2"/>
      <c r="E289" s="2"/>
    </row>
    <row r="290">
      <c r="A290" s="14"/>
      <c r="B290" s="2"/>
      <c r="C290" s="2"/>
      <c r="D290" s="2"/>
      <c r="E290" s="2"/>
    </row>
    <row r="291">
      <c r="A291" s="14"/>
      <c r="B291" s="2"/>
      <c r="C291" s="2"/>
      <c r="D291" s="2"/>
      <c r="E291" s="2"/>
    </row>
    <row r="292">
      <c r="A292" s="14"/>
      <c r="B292" s="2"/>
      <c r="C292" s="2"/>
      <c r="D292" s="2"/>
      <c r="E292" s="2"/>
    </row>
    <row r="293">
      <c r="A293" s="14"/>
      <c r="B293" s="2"/>
      <c r="C293" s="2"/>
      <c r="D293" s="2"/>
      <c r="E293" s="2"/>
    </row>
    <row r="294">
      <c r="A294" s="14"/>
      <c r="B294" s="2"/>
      <c r="C294" s="2"/>
      <c r="D294" s="2"/>
      <c r="E294" s="2"/>
    </row>
    <row r="295">
      <c r="A295" s="14"/>
      <c r="B295" s="2"/>
      <c r="C295" s="2"/>
      <c r="D295" s="2"/>
      <c r="E295" s="2"/>
    </row>
    <row r="296">
      <c r="A296" s="14"/>
      <c r="B296" s="2"/>
      <c r="C296" s="2"/>
      <c r="D296" s="2"/>
      <c r="E296" s="2"/>
    </row>
    <row r="297">
      <c r="A297" s="14"/>
      <c r="B297" s="2"/>
      <c r="C297" s="2"/>
      <c r="D297" s="2"/>
      <c r="E297" s="2"/>
    </row>
    <row r="298">
      <c r="A298" s="14"/>
      <c r="B298" s="2"/>
      <c r="C298" s="2"/>
      <c r="D298" s="2"/>
      <c r="E298" s="2"/>
    </row>
    <row r="299">
      <c r="A299" s="14"/>
      <c r="B299" s="2"/>
      <c r="C299" s="2"/>
      <c r="D299" s="2"/>
      <c r="E299" s="2"/>
    </row>
    <row r="300">
      <c r="A300" s="14"/>
      <c r="B300" s="2"/>
      <c r="C300" s="2"/>
      <c r="D300" s="2"/>
      <c r="E300" s="2"/>
    </row>
    <row r="301">
      <c r="A301" s="14"/>
      <c r="B301" s="2"/>
      <c r="C301" s="2"/>
      <c r="D301" s="2"/>
      <c r="E301" s="2"/>
    </row>
    <row r="302">
      <c r="A302" s="14"/>
      <c r="B302" s="2"/>
      <c r="C302" s="2"/>
      <c r="D302" s="2"/>
      <c r="E302" s="2"/>
    </row>
    <row r="303">
      <c r="A303" s="14"/>
      <c r="B303" s="2"/>
      <c r="C303" s="2"/>
      <c r="D303" s="2"/>
      <c r="E303" s="2"/>
    </row>
    <row r="304">
      <c r="A304" s="14"/>
      <c r="B304" s="2"/>
      <c r="C304" s="2"/>
      <c r="D304" s="2"/>
      <c r="E304" s="2"/>
    </row>
    <row r="305">
      <c r="A305" s="14"/>
      <c r="B305" s="2"/>
      <c r="C305" s="2"/>
      <c r="D305" s="2"/>
      <c r="E305" s="2"/>
    </row>
    <row r="306">
      <c r="A306" s="14"/>
      <c r="B306" s="2"/>
      <c r="C306" s="2"/>
      <c r="D306" s="2"/>
      <c r="E306" s="2"/>
    </row>
    <row r="307">
      <c r="A307" s="14"/>
      <c r="B307" s="2"/>
      <c r="C307" s="2"/>
      <c r="D307" s="2"/>
      <c r="E307" s="2"/>
    </row>
    <row r="308">
      <c r="A308" s="14"/>
      <c r="B308" s="2"/>
      <c r="C308" s="2"/>
      <c r="D308" s="2"/>
      <c r="E308" s="2"/>
    </row>
    <row r="309">
      <c r="A309" s="14"/>
      <c r="B309" s="2"/>
      <c r="C309" s="2"/>
      <c r="D309" s="2"/>
      <c r="E309" s="2"/>
    </row>
    <row r="310">
      <c r="A310" s="14"/>
      <c r="B310" s="2"/>
      <c r="C310" s="2"/>
      <c r="D310" s="2"/>
      <c r="E310" s="2"/>
    </row>
    <row r="311">
      <c r="A311" s="14"/>
      <c r="B311" s="2"/>
      <c r="C311" s="2"/>
      <c r="D311" s="2"/>
      <c r="E311" s="2"/>
    </row>
    <row r="312">
      <c r="A312" s="14"/>
      <c r="B312" s="2"/>
      <c r="C312" s="2"/>
      <c r="D312" s="2"/>
      <c r="E312" s="2"/>
    </row>
    <row r="313">
      <c r="A313" s="14"/>
      <c r="B313" s="2"/>
      <c r="C313" s="2"/>
      <c r="D313" s="2"/>
      <c r="E313" s="2"/>
    </row>
    <row r="314">
      <c r="A314" s="14"/>
      <c r="B314" s="2"/>
      <c r="C314" s="2"/>
      <c r="D314" s="2"/>
      <c r="E314" s="2"/>
    </row>
    <row r="315">
      <c r="A315" s="14"/>
      <c r="B315" s="2"/>
      <c r="C315" s="2"/>
      <c r="D315" s="2"/>
      <c r="E315" s="2"/>
    </row>
    <row r="316">
      <c r="A316" s="14"/>
      <c r="B316" s="2"/>
      <c r="C316" s="2"/>
      <c r="D316" s="2"/>
      <c r="E316" s="2"/>
    </row>
    <row r="317">
      <c r="A317" s="14"/>
      <c r="B317" s="2"/>
      <c r="C317" s="2"/>
      <c r="D317" s="2"/>
      <c r="E317" s="2"/>
    </row>
    <row r="318">
      <c r="A318" s="14"/>
      <c r="B318" s="2"/>
      <c r="C318" s="2"/>
      <c r="D318" s="2"/>
      <c r="E318" s="2"/>
    </row>
    <row r="319">
      <c r="A319" s="14"/>
      <c r="B319" s="2"/>
      <c r="C319" s="2"/>
      <c r="D319" s="2"/>
      <c r="E319" s="2"/>
    </row>
    <row r="320">
      <c r="A320" s="14"/>
      <c r="B320" s="2"/>
      <c r="C320" s="2"/>
      <c r="D320" s="2"/>
      <c r="E320" s="2"/>
    </row>
    <row r="321">
      <c r="A321" s="14"/>
      <c r="B321" s="2"/>
      <c r="C321" s="2"/>
      <c r="D321" s="2"/>
      <c r="E321" s="2"/>
    </row>
    <row r="322">
      <c r="A322" s="14"/>
      <c r="B322" s="2"/>
      <c r="C322" s="2"/>
      <c r="D322" s="2"/>
      <c r="E322" s="2"/>
    </row>
    <row r="323">
      <c r="A323" s="14"/>
      <c r="B323" s="2"/>
      <c r="C323" s="2"/>
      <c r="D323" s="2"/>
      <c r="E323" s="2"/>
    </row>
    <row r="324">
      <c r="A324" s="14"/>
      <c r="B324" s="2"/>
      <c r="C324" s="2"/>
      <c r="D324" s="2"/>
      <c r="E324" s="2"/>
    </row>
    <row r="325">
      <c r="A325" s="14"/>
      <c r="B325" s="2"/>
      <c r="C325" s="2"/>
      <c r="D325" s="2"/>
      <c r="E325" s="2"/>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7.63"/>
    <col customWidth="1" min="7" max="11" width="37.63"/>
  </cols>
  <sheetData>
    <row r="1" ht="22.5" customHeight="1">
      <c r="A1" s="15" t="s">
        <v>0</v>
      </c>
      <c r="B1" s="15" t="s">
        <v>1</v>
      </c>
      <c r="C1" s="15" t="s">
        <v>2</v>
      </c>
      <c r="D1" s="15" t="s">
        <v>3</v>
      </c>
      <c r="E1" s="15" t="s">
        <v>4</v>
      </c>
      <c r="F1" s="2"/>
      <c r="G1" s="12" t="s">
        <v>2184</v>
      </c>
      <c r="H1" s="12" t="s">
        <v>2185</v>
      </c>
      <c r="I1" s="12" t="s">
        <v>2186</v>
      </c>
      <c r="J1" s="12" t="s">
        <v>2187</v>
      </c>
      <c r="K1" s="12" t="s">
        <v>2188</v>
      </c>
      <c r="L1" s="2"/>
      <c r="M1" s="2"/>
      <c r="N1" s="2"/>
      <c r="O1" s="2"/>
      <c r="P1" s="2"/>
      <c r="Q1" s="2"/>
      <c r="R1" s="2"/>
      <c r="S1" s="2"/>
      <c r="T1" s="2"/>
      <c r="U1" s="2"/>
    </row>
    <row r="2" ht="22.5" customHeight="1">
      <c r="A2" s="16">
        <v>1.0</v>
      </c>
      <c r="B2" s="16" t="s">
        <v>4083</v>
      </c>
      <c r="C2" s="16" t="s">
        <v>4084</v>
      </c>
      <c r="D2" s="16" t="s">
        <v>4085</v>
      </c>
      <c r="E2" s="16" t="s">
        <v>4086</v>
      </c>
      <c r="G2" s="11" t="str">
        <f>IFERROR(__xludf.DUMMYFUNCTION("GOOGLETRANSLATE(A2, ""en"", ""am"")"),"1")</f>
        <v>1</v>
      </c>
      <c r="H2" s="11" t="str">
        <f>IFERROR(__xludf.DUMMYFUNCTION("GOOGLETRANSLATE(B2, ""en"", ""am"")"),"ላሟ ወደ ዝላይ መሮጥ ትጀምራለች, ነገር ግን መሬቱ ትንሽ እርጥብ ነው. ተቆጣጣሪው ምን ማድረግ አለበት?")</f>
        <v>ላሟ ወደ ዝላይ መሮጥ ትጀምራለች, ነገር ግን መሬቱ ትንሽ እርጥብ ነው. ተቆጣጣሪው ምን ማድረግ አለበት?</v>
      </c>
      <c r="I2" s="11" t="str">
        <f>IFERROR(__xludf.DUMMYFUNCTION("GOOGLETRANSLATE(C2, ""en"", ""am"")"),"ሀ. ላም በጥንቃቄ ለመዝለል እና የተረጋጋ ፍጥነትን ለመጠበቅ ያዘጋጁ።
ለ. ላሟ እንዳይንሸራተት ወደላይ እንድትዘል አበረታቷት።
ሐ. ላሟ የተንሸራተተውን ወለል ለማካካስ በፍጥነት ትሮጣለች።
መ. ድንገተኛ እንቅስቃሴዎችን ለመከላከል ላሟን ወደ ኋላ ያዙ.")</f>
        <v>ሀ. ላም በጥንቃቄ ለመዝለል እና የተረጋጋ ፍጥነትን ለመጠበቅ ያዘጋጁ።
ለ. ላሟ እንዳይንሸራተት ወደላይ እንድትዘል አበረታቷት።
ሐ. ላሟ የተንሸራተተውን ወለል ለማካካስ በፍጥነት ትሮጣለች።
መ. ድንገተኛ እንቅስቃሴዎችን ለመከላከል ላሟን ወደ ኋላ ያዙ.</v>
      </c>
      <c r="J2" s="11" t="str">
        <f>IFERROR(__xludf.DUMMYFUNCTION("GOOGLETRANSLATE(D2, ""en"", ""am"")"),"ላም በጥንቃቄ ለመዝለል እና የተረጋጋ ፍጥነትን ለመጠበቅ ያዘጋጁ።")</f>
        <v>ላም በጥንቃቄ ለመዝለል እና የተረጋጋ ፍጥነትን ለመጠበቅ ያዘጋጁ።</v>
      </c>
      <c r="K2" s="11" t="str">
        <f>IFERROR(__xludf.DUMMYFUNCTION("GOOGLETRANSLATE(E2, ""en"", ""am"")"),"የተረጋጋ ፍጥነትን መጠበቅ በተንሸራታች መሬት ላይ የላሟን ደህንነት ያረጋግጣል።")</f>
        <v>የተረጋጋ ፍጥነትን መጠበቅ በተንሸራታች መሬት ላይ የላሟን ደህንነት ያረጋግጣል።</v>
      </c>
      <c r="M2" s="17" t="str">
        <f>IFERROR(__xludf.DUMMYFUNCTION("GOOGLETRANSLATE(A1, ""en"", ""am"")"),"ጥያቄ ቁጥር.")</f>
        <v>ጥያቄ ቁጥር.</v>
      </c>
      <c r="N2" s="17" t="str">
        <f>IFERROR(__xludf.DUMMYFUNCTION("GOOGLETRANSLATE(B1, ""en"", ""am"")"),"ጥያቄ")</f>
        <v>ጥያቄ</v>
      </c>
      <c r="O2" s="17" t="str">
        <f>IFERROR(__xludf.DUMMYFUNCTION("GOOGLETRANSLATE(C1, ""en"", ""am"")"),"አማራጮች")</f>
        <v>አማራጮች</v>
      </c>
      <c r="P2" s="17" t="str">
        <f>IFERROR(__xludf.DUMMYFUNCTION("GOOGLETRANSLATE(D1, ""en"", ""am"")"),"መልስ")</f>
        <v>መልስ</v>
      </c>
      <c r="Q2" s="17" t="str">
        <f>IFERROR(__xludf.DUMMYFUNCTION("GOOGLETRANSLATE(E1, ""en"", ""am"")"),"መግለጫ")</f>
        <v>መግለጫ</v>
      </c>
    </row>
    <row r="3" ht="22.5" customHeight="1">
      <c r="A3" s="16">
        <v>2.0</v>
      </c>
      <c r="B3" s="16" t="s">
        <v>4087</v>
      </c>
      <c r="C3" s="16" t="s">
        <v>4088</v>
      </c>
      <c r="D3" s="16" t="s">
        <v>4089</v>
      </c>
      <c r="E3" s="16" t="s">
        <v>4090</v>
      </c>
      <c r="G3" s="11" t="str">
        <f>IFERROR(__xludf.DUMMYFUNCTION("GOOGLETRANSLATE(A3, ""en"", ""am"")"),"2")</f>
        <v>2</v>
      </c>
      <c r="H3" s="11" t="str">
        <f>IFERROR(__xludf.DUMMYFUNCTION("GOOGLETRANSLATE(B3, ""en"", ""am"")"),"ላሟ በተሳካ ሁኔታ ዘልላለች, ነገር ግን ከመንገድ ወጥታ በትንሹ ተሰናክላለች. ተቆጣጣሪው ምን ማድረግ አለበት?")</f>
        <v>ላሟ በተሳካ ሁኔታ ዘልላለች, ነገር ግን ከመንገድ ወጥታ በትንሹ ተሰናክላለች. ተቆጣጣሪው ምን ማድረግ አለበት?</v>
      </c>
      <c r="I3" s="11" t="str">
        <f>IFERROR(__xludf.DUMMYFUNCTION("GOOGLETRANSLATE(C3, ""en"", ""am"")"),"ሀ. ላሟን ወዲያውኑ ያቁሙ እና ሁኔታውን ያረጋግጡ.
ለ. ላሟ ሳይዘገይ መዝለሉን እንድትቀጥል አበረታቷት።
ሐ. ላሟን በቀስታ ወደ ቦታው ምራው እና ተረጋጋ።
መ. የሚቀጥለውን ዝላይ ለስላሳ ለማድረግ ፍጥነቱን ይጨምሩ።")</f>
        <v>ሀ. ላሟን ወዲያውኑ ያቁሙ እና ሁኔታውን ያረጋግጡ.
ለ. ላሟ ሳይዘገይ መዝለሉን እንድትቀጥል አበረታቷት።
ሐ. ላሟን በቀስታ ወደ ቦታው ምራው እና ተረጋጋ።
መ. የሚቀጥለውን ዝላይ ለስላሳ ለማድረግ ፍጥነቱን ይጨምሩ።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 ""am"")"),"ላሟን ማረጋጋት እና መምራት ተጨማሪ መሰናከልን ይከላከላል።")</f>
        <v>ላሟን ማረጋጋት እና መምራት ተጨማሪ መሰናከልን ይከላከላል።</v>
      </c>
    </row>
    <row r="4" ht="22.5" customHeight="1">
      <c r="A4" s="16">
        <v>3.0</v>
      </c>
      <c r="B4" s="16" t="s">
        <v>4091</v>
      </c>
      <c r="C4" s="16" t="s">
        <v>4092</v>
      </c>
      <c r="D4" s="16" t="s">
        <v>4093</v>
      </c>
      <c r="E4" s="16" t="s">
        <v>4094</v>
      </c>
      <c r="G4" s="11" t="str">
        <f>IFERROR(__xludf.DUMMYFUNCTION("GOOGLETRANSLATE(A4, ""en"", ""am"")"),"3")</f>
        <v>3</v>
      </c>
      <c r="H4" s="11" t="str">
        <f>IFERROR(__xludf.DUMMYFUNCTION("GOOGLETRANSLATE(B4, ""en"", ""am"")"),"ላሟ ከመዝለሏ በፊት እያመነታ ነው። ምክንያቱ ምን ሊሆን ይችላል?")</f>
        <v>ላሟ ከመዝለሏ በፊት እያመነታ ነው። ምክንያቱ ምን ሊሆን ይችላል?</v>
      </c>
      <c r="I4" s="11" t="str">
        <f>IFERROR(__xludf.DUMMYFUNCTION("GOOGLETRANSLATE(C4, ""en"", ""am"")"),"ሀ. ዝላይው ለላሟ በጣም ከፍ ያለ ሊመስል ይችላል።
ለ. ላሟ በውጫዊ ጩኸት ትበታተናለች።
ሐ. ላሟ በእግሯ በራስ የመተማመን ስሜት ይሰማታል።
መ. ከላይ ያሉት ሁሉም.")</f>
        <v>ሀ. ዝላይው ለላሟ በጣም ከፍ ያለ ሊመስል ይችላል።
ለ. ላሟ በውጫዊ ጩኸት ትበታተናለች።
ሐ. ላሟ በእግሯ በራስ የመተማመን ስሜት ይሰማታል።
መ. ከላይ ያሉት ሁሉም.</v>
      </c>
      <c r="J4" s="11" t="str">
        <f>IFERROR(__xludf.DUMMYFUNCTION("GOOGLETRANSLATE(D4, ""en"", ""am"")"),"ከላይ ያሉት ሁሉም.")</f>
        <v>ከላይ ያሉት ሁሉም.</v>
      </c>
      <c r="K4" s="11" t="str">
        <f>IFERROR(__xludf.DUMMYFUNCTION("GOOGLETRANSLATE(E4, ""en"", ""am"")"),"ማመንታት ከፍታን በመፍራት፣ ትኩረትን የሚከፋፍሉ ነገሮች ወይም በራስ መተማመን ማጣት ሊከሰት ይችላል።")</f>
        <v>ማመንታት ከፍታን በመፍራት፣ ትኩረትን የሚከፋፍሉ ነገሮች ወይም በራስ መተማመን ማጣት ሊከሰት ይችላል።</v>
      </c>
    </row>
    <row r="5" ht="22.5" customHeight="1">
      <c r="A5" s="16">
        <v>4.0</v>
      </c>
      <c r="B5" s="16" t="s">
        <v>4095</v>
      </c>
      <c r="C5" s="16" t="s">
        <v>4096</v>
      </c>
      <c r="D5" s="16" t="s">
        <v>4097</v>
      </c>
      <c r="E5" s="16" t="s">
        <v>4098</v>
      </c>
      <c r="G5" s="11" t="str">
        <f>IFERROR(__xludf.DUMMYFUNCTION("GOOGLETRANSLATE(A5, ""en"", ""am"")"),"4")</f>
        <v>4</v>
      </c>
      <c r="H5" s="11" t="str">
        <f>IFERROR(__xludf.DUMMYFUNCTION("GOOGLETRANSLATE(B5, ""en"", ""am"")"),"ላሟ በዝላይ ጊዜ አሞሌውን ልትነካው ያለ ይመስላል። ተቆጣጣሪው ምን ማድረግ አለበት?")</f>
        <v>ላሟ በዝላይ ጊዜ አሞሌውን ልትነካው ያለ ይመስላል። ተቆጣጣሪው ምን ማድረግ አለበት?</v>
      </c>
      <c r="I5" s="11" t="str">
        <f>IFERROR(__xludf.DUMMYFUNCTION("GOOGLETRANSLATE(C5, ""en"", ""am"")"),"ሀ. ለስላሳ ዝላይ ለማድረግ የላሙን ፍጥነት ይጨምሩ።
ለ. ባርዋን ለማጽዳት ላሟ ወደ ላይ እንድትዘል አበረታቷት።
ሐ. ላሟ እንዲዘገይ እና እንደገና ይሞክሩ።
መ. ላሟ ይወስኑ እና ጣልቃ አይግቡ.")</f>
        <v>ሀ. ለስላሳ ዝላይ ለማድረግ የላሙን ፍጥነት ይጨምሩ።
ለ. ባርዋን ለማጽዳት ላሟ ወደ ላይ እንድትዘል አበረታቷት።
ሐ. ላሟ እንዲዘገይ እና እንደገና ይሞክሩ።
መ. ላሟ ይወስኑ እና ጣልቃ አይግቡ.</v>
      </c>
      <c r="J5" s="11" t="str">
        <f>IFERROR(__xludf.DUMMYFUNCTION("GOOGLETRANSLATE(D5, ""en"", ""am"")"),"አሞሌውን ለማጽዳት ላሟ ወደ ላይ እንድትዘል ያበረታቱት።")</f>
        <v>አሞሌውን ለማጽዳት ላሟ ወደ ላይ እንድትዘል ያበረታቱት።</v>
      </c>
      <c r="K5" s="11" t="str">
        <f>IFERROR(__xludf.DUMMYFUNCTION("GOOGLETRANSLATE(E5, ""en"", ""am"")"),"ከፍ ብሎ መዝለል ላሟ ባርውን በደህና ማፅዳትን ያረጋግጣል።")</f>
        <v>ከፍ ብሎ መዝለል ላሟ ባርውን በደህና ማፅዳትን ያረጋግጣል።</v>
      </c>
    </row>
    <row r="6" ht="22.5" customHeight="1">
      <c r="A6" s="16">
        <v>5.0</v>
      </c>
      <c r="B6" s="16" t="s">
        <v>4099</v>
      </c>
      <c r="C6" s="16" t="s">
        <v>4100</v>
      </c>
      <c r="D6" s="16" t="s">
        <v>4101</v>
      </c>
      <c r="E6" s="16" t="s">
        <v>4102</v>
      </c>
      <c r="G6" s="11" t="str">
        <f>IFERROR(__xludf.DUMMYFUNCTION("GOOGLETRANSLATE(A6, ""en"", ""am"")"),"5")</f>
        <v>5</v>
      </c>
      <c r="H6" s="11" t="str">
        <f>IFERROR(__xludf.DUMMYFUNCTION("GOOGLETRANSLATE(B6, ""en"", ""am"")"),"ላሟ ምንም እንኳን ብትዘልም በአየር ላይ ሚዛኗን ያጣች ይመስላል። ከሁሉ የተሻለው እርምጃ ምንድን ነው?")</f>
        <v>ላሟ ምንም እንኳን ብትዘልም በአየር ላይ ሚዛኗን ያጣች ይመስላል። ከሁሉ የተሻለው እርምጃ ምንድን ነው?</v>
      </c>
      <c r="I6" s="11" t="str">
        <f>IFERROR(__xludf.DUMMYFUNCTION("GOOGLETRANSLATE(C6, ""en"", ""am"")"),"ሀ. ላሟን ያለምንም ድንጋጤ በተቻለ መጠን በቀስታ ወደ መሬት ይምሩ።
ለ. ላሟ በራሷ ሚዛን ለመመለስ ትጥራለች።
ሐ. ላሟ በአየር መካከል እንድትቆም አስጠንቅቋት።
መ. የበለጠ ውጤታማ በሆነ መልኩ ለማረፍ የላሙን ፍጥነት ይጨምሩ።")</f>
        <v>ሀ. ላሟን ያለምንም ድንጋጤ በተቻለ መጠን በቀስታ ወደ መሬት ይምሩ።
ለ. ላሟ በራሷ ሚዛን ለመመለስ ትጥራለች።
ሐ. ላሟ በአየር መካከል እንድትቆም አስጠንቅቋት።
መ. የበለጠ ውጤታማ በሆነ መልኩ ለማረፍ የላሙን ፍጥነት ይጨምሩ።</v>
      </c>
      <c r="J6" s="11" t="str">
        <f>IFERROR(__xludf.DUMMYFUNCTION("GOOGLETRANSLATE(D6, ""en"", ""am"")"),"ላም ያለ ምንም ድንጋጤ በተቻለ መጠን በቀስታ ወደ መሬት ይምሩት።")</f>
        <v>ላም ያለ ምንም ድንጋጤ በተቻለ መጠን በቀስታ ወደ መሬት ይምሩት።</v>
      </c>
      <c r="K6" s="11" t="str">
        <f>IFERROR(__xludf.DUMMYFUNCTION("GOOGLETRANSLATE(E6, ""en"", ""am"")"),"ላሟን መምራት አስተማማኝ እና የተረጋጋ ማረፊያ ቦታን ለማረጋገጥ ይረዳል.")</f>
        <v>ላሟን መምራት አስተማማኝ እና የተረጋጋ ማረፊያ ቦታን ለማረጋገጥ ይረዳል.</v>
      </c>
    </row>
    <row r="7" ht="22.5" customHeight="1">
      <c r="A7" s="16">
        <v>6.0</v>
      </c>
      <c r="B7" s="16" t="s">
        <v>4103</v>
      </c>
      <c r="C7" s="16" t="s">
        <v>4104</v>
      </c>
      <c r="D7" s="16" t="s">
        <v>4105</v>
      </c>
      <c r="E7" s="16" t="s">
        <v>4106</v>
      </c>
      <c r="G7" s="11" t="str">
        <f>IFERROR(__xludf.DUMMYFUNCTION("GOOGLETRANSLATE(A7, ""en"", ""am"")"),"6")</f>
        <v>6</v>
      </c>
      <c r="H7" s="11" t="str">
        <f>IFERROR(__xludf.DUMMYFUNCTION("GOOGLETRANSLATE(B7, ""en"", ""am"")"),"ላሟ ብድግ ብላ አረፈች ግን ደክሟታል። ተቆጣጣሪው ቀጥሎ ምን ማድረግ አለበት?")</f>
        <v>ላሟ ብድግ ብላ አረፈች ግን ደክሟታል። ተቆጣጣሪው ቀጥሎ ምን ማድረግ አለበት?</v>
      </c>
      <c r="I7" s="11" t="str">
        <f>IFERROR(__xludf.DUMMYFUNCTION("GOOGLETRANSLATE(C7, ""en"", ""am"")"),"ሀ. ላሟ ሌላ ዝላይ ከመሞከርዎ በፊት አርፎ ይድናል ።
ለ. ላሟን ሌላ ዝላይ ለማድረግ ወዲያውኑ ግፋ።
ሐ. ላሟ ቢደክማትም ከፍ እንድትል አበረታቷት።
መ. ጉልበቷን መልሳ ለማግኘት ላሟን በቀስታ ወደ ትሮት ይምቷት።")</f>
        <v>ሀ. ላሟ ሌላ ዝላይ ከመሞከርዎ በፊት አርፎ ይድናል ።
ለ. ላሟን ሌላ ዝላይ ለማድረግ ወዲያውኑ ግፋ።
ሐ. ላሟ ቢደክማትም ከፍ እንድትል አበረታቷት።
መ. ጉልበቷን መልሳ ለማግኘት ላሟን በቀስታ ወደ ትሮት ይምቷት።</v>
      </c>
      <c r="J7" s="11" t="str">
        <f>IFERROR(__xludf.DUMMYFUNCTION("GOOGLETRANSLATE(D7, ""en"", ""am"")"),"ላም ሌላ ዝላይ ከመሞከርዎ በፊት አርፎ ይድናል.")</f>
        <v>ላም ሌላ ዝላይ ከመሞከርዎ በፊት አርፎ ይድናል.</v>
      </c>
      <c r="K7" s="11" t="str">
        <f>IFERROR(__xludf.DUMMYFUNCTION("GOOGLETRANSLATE(E7, ""en"", ""am"")"),"እረፍት ላሟ ለቀጣዩ ሙከራ ጉልበት እንድታገኝ ይረዳታል።")</f>
        <v>እረፍት ላሟ ለቀጣዩ ሙከራ ጉልበት እንድታገኝ ይረዳታል።</v>
      </c>
    </row>
    <row r="8" ht="22.5" customHeight="1">
      <c r="A8" s="16">
        <v>7.0</v>
      </c>
      <c r="B8" s="16" t="s">
        <v>4107</v>
      </c>
      <c r="C8" s="16" t="s">
        <v>4108</v>
      </c>
      <c r="D8" s="16" t="s">
        <v>4109</v>
      </c>
      <c r="E8" s="16" t="s">
        <v>4110</v>
      </c>
      <c r="G8" s="11" t="str">
        <f>IFERROR(__xludf.DUMMYFUNCTION("GOOGLETRANSLATE(A8, ""en"", ""am"")"),"7")</f>
        <v>7</v>
      </c>
      <c r="H8" s="11" t="str">
        <f>IFERROR(__xludf.DUMMYFUNCTION("GOOGLETRANSLATE(B8, ""en"", ""am"")"),"ላም ከመዝለሉ በፊት ወዲያውኑ ያመነታል. ተቆጣጣሪው ምን ምላሽ መስጠት አለበት?")</f>
        <v>ላም ከመዝለሉ በፊት ወዲያውኑ ያመነታል. ተቆጣጣሪው ምን ምላሽ መስጠት አለበት?</v>
      </c>
      <c r="I8" s="11" t="str">
        <f>IFERROR(__xludf.DUMMYFUNCTION("GOOGLETRANSLATE(C8, ""en"", ""am"")"),"ሀ. ላሟን በቀስታ አረጋጋው እና በመዝለል ላይ እንዲያተኩር ምራው።
ለ. ላሟን በፍጥነት ገፍቶ እንድትዘል አስገደዳት።
ሐ. ወደ ኋላ ተመለስና ላሟን ለመወሰን ተጨማሪ ቦታ ስጣት።
መ. ላሙን ለማነሳሳት የማነቃቂያውን መጠን ይጨምሩ.")</f>
        <v>ሀ. ላሟን በቀስታ አረጋጋው እና በመዝለል ላይ እንዲያተኩር ምራው።
ለ. ላሟን በፍጥነት ገፍቶ እንድትዘል አስገደዳት።
ሐ. ወደ ኋላ ተመለስና ላሟን ለመወሰን ተጨማሪ ቦታ ስጣት።
መ. ላሙን ለማነሳሳት የማነቃቂያውን መጠን ይጨምሩ.</v>
      </c>
      <c r="J8" s="11" t="str">
        <f>IFERROR(__xludf.DUMMYFUNCTION("GOOGLETRANSLATE(D8, ""en"", ""am"")"),"ላሟን በቀስታ አረጋጋው እና በመዝለል ላይ እንዲያተኩር ይምሩት።")</f>
        <v>ላሟን በቀስታ አረጋጋው እና በመዝለል ላይ እንዲያተኩር ይምሩት።</v>
      </c>
      <c r="K8" s="11" t="str">
        <f>IFERROR(__xludf.DUMMYFUNCTION("GOOGLETRANSLATE(E8, ""en"", ""am"")"),"መረጋጋት ላም ትኩረትን እንዲሰጥ እና ማመንታት እንዲቀንስ ይረዳል.")</f>
        <v>መረጋጋት ላም ትኩረትን እንዲሰጥ እና ማመንታት እንዲቀንስ ይረዳል.</v>
      </c>
    </row>
    <row r="9" ht="22.5" customHeight="1">
      <c r="A9" s="16">
        <v>8.0</v>
      </c>
      <c r="B9" s="16" t="s">
        <v>4111</v>
      </c>
      <c r="C9" s="16" t="s">
        <v>4112</v>
      </c>
      <c r="D9" s="16" t="s">
        <v>4113</v>
      </c>
      <c r="E9" s="16" t="s">
        <v>4114</v>
      </c>
      <c r="G9" s="11" t="str">
        <f>IFERROR(__xludf.DUMMYFUNCTION("GOOGLETRANSLATE(A9, ""en"", ""am"")"),"8")</f>
        <v>8</v>
      </c>
      <c r="H9" s="11" t="str">
        <f>IFERROR(__xludf.DUMMYFUNCTION("GOOGLETRANSLATE(B9, ""en"", ""am"")"),"ላሟ ፍጹም የሆነ የእግር ጉዞ አላት፣ ግን በአንድ እግሩ ላይ በማይመች ሁኔታ እያረፈ ነው። ተቆጣጣሪው ምን ማድረግ አለበት?")</f>
        <v>ላሟ ፍጹም የሆነ የእግር ጉዞ አላት፣ ግን በአንድ እግሩ ላይ በማይመች ሁኔታ እያረፈ ነው። ተቆጣጣሪው ምን ማድረግ አለበት?</v>
      </c>
      <c r="I9" s="11" t="str">
        <f>IFERROR(__xludf.DUMMYFUNCTION("GOOGLETRANSLATE(C9, ""en"", ""am"")"),"ሀ. በሚያርፍበት ጊዜ ላሟ በትክክል መቀመጡን ያረጋግጡ።
ለ. ላም በተፈጥሮው እንዲስተካከል ይፍቀዱ እና እንደ መደበኛው ይቀጥሉ.
ሐ. ላሟ አልጋዋን እንድታስተካክል ለማስገደድ ትእዛዝ ስጥ።
መ. ወዲያውኑ ያቁሙ እና ጉዳቱን ያረጋግጡ።")</f>
        <v>ሀ. በሚያርፍበት ጊዜ ላሟ በትክክል መቀመጡን ያረጋግጡ።
ለ. ላም በተፈጥሮው እንዲስተካከል ይፍቀዱ እና እንደ መደበኛው ይቀጥሉ.
ሐ. ላሟ አልጋዋን እንድታስተካክል ለማስገደድ ትእዛዝ ስጥ።
መ. ወዲያውኑ ያቁሙ እና ጉዳቱን ያረጋግጡ።</v>
      </c>
      <c r="J9" s="11" t="str">
        <f>IFERROR(__xludf.DUMMYFUNCTION("GOOGLETRANSLATE(D9, ""en"", ""am"")"),"ላም በሚያርፍበት ጊዜ በትክክል መቀመጡን ያረጋግጡ.")</f>
        <v>ላም በሚያርፍበት ጊዜ በትክክል መቀመጡን ያረጋግጡ.</v>
      </c>
      <c r="K9" s="11" t="str">
        <f>IFERROR(__xludf.DUMMYFUNCTION("GOOGLETRANSLATE(E9, ""en"", ""am"")"),"ቦታውን ማስተካከል አስተማማኝ እና ምቹ ማረፊያን ያረጋግጣል.")</f>
        <v>ቦታውን ማስተካከል አስተማማኝ እና ምቹ ማረፊያን ያረጋግጣል.</v>
      </c>
    </row>
    <row r="10" ht="22.5" customHeight="1">
      <c r="A10" s="16">
        <v>9.0</v>
      </c>
      <c r="B10" s="16" t="s">
        <v>4115</v>
      </c>
      <c r="C10" s="16" t="s">
        <v>4116</v>
      </c>
      <c r="D10" s="16" t="s">
        <v>4117</v>
      </c>
      <c r="E10" s="16" t="s">
        <v>4118</v>
      </c>
      <c r="G10" s="11" t="str">
        <f>IFERROR(__xludf.DUMMYFUNCTION("GOOGLETRANSLATE(A10, ""en"", ""am"")"),"9")</f>
        <v>9</v>
      </c>
      <c r="H10" s="11" t="str">
        <f>IFERROR(__xludf.DUMMYFUNCTION("GOOGLETRANSLATE(B10, ""en"", ""am"")"),"ላም ከግጦሽ በኋላ የጭንቀት ምልክቶች እያሳየች ነው. የመጀመሪያ እርምጃዎ ምን መሆን አለበት?")</f>
        <v>ላም ከግጦሽ በኋላ የጭንቀት ምልክቶች እያሳየች ነው. የመጀመሪያ እርምጃዎ ምን መሆን አለበት?</v>
      </c>
      <c r="I10" s="11" t="str">
        <f>IFERROR(__xludf.DUMMYFUNCTION("GOOGLETRANSLATE(C10, ""en"", ""am"")"),"ሀ. ላሟን ወዲያውኑ ያቁሙ እና ጉዳቶች እንዳሉ ያረጋግጡ።
ለ. ላሟን ለማረጋጋት እና ለመቀጠል.
ሐ. ላሟ መዝለሉን እንድትቀጥል ይፍቀዱ እና እንደሚረጋጋ ተስፋ ያድርጉ።
መ. ላሟ እንዲቀጥል የማበረታቻውን መጠን ይጨምሩ።")</f>
        <v>ሀ. ላሟን ወዲያውኑ ያቁሙ እና ጉዳቶች እንዳሉ ያረጋግጡ።
ለ. ላሟን ለማረጋጋት እና ለመቀጠል.
ሐ. ላሟ መዝለሉን እንድትቀጥል ይፍቀዱ እና እንደሚረጋጋ ተስፋ ያድርጉ።
መ. ላሟ እንዲቀጥል የማበረታቻውን መጠን ይጨምሩ።</v>
      </c>
      <c r="J10" s="11" t="str">
        <f>IFERROR(__xludf.DUMMYFUNCTION("GOOGLETRANSLATE(D10, ""en"", ""am"")"),"ላሟን ወዲያውኑ ያቁሙ እና ጉዳቶችን ያረጋግጡ.")</f>
        <v>ላሟን ወዲያውኑ ያቁሙ እና ጉዳቶችን ያረጋግጡ.</v>
      </c>
      <c r="K10" s="11" t="str">
        <f>IFERROR(__xludf.DUMMYFUNCTION("GOOGLETRANSLATE(E10, ""en"", ""am"")"),"ማቆም የላሟን ደህንነት ያረጋግጣል እና ተጨማሪ ጭንቀትን ይከላከላል.")</f>
        <v>ማቆም የላሟን ደህንነት ያረጋግጣል እና ተጨማሪ ጭንቀትን ይከላከላል.</v>
      </c>
    </row>
    <row r="11" ht="22.5" customHeight="1">
      <c r="A11" s="16">
        <v>10.0</v>
      </c>
      <c r="B11" s="16" t="s">
        <v>4119</v>
      </c>
      <c r="C11" s="16" t="s">
        <v>4120</v>
      </c>
      <c r="D11" s="16" t="s">
        <v>4121</v>
      </c>
      <c r="E11" s="16" t="s">
        <v>4122</v>
      </c>
      <c r="G11" s="11" t="str">
        <f>IFERROR(__xludf.DUMMYFUNCTION("GOOGLETRANSLATE(A11, ""en"", ""am"")"),"10")</f>
        <v>10</v>
      </c>
      <c r="H11" s="11" t="str">
        <f>IFERROR(__xludf.DUMMYFUNCTION("GOOGLETRANSLATE(B11, ""en"", ""am"")"),"ላሟ ስለ ዝላይው ቁመት የምታመነታ ትመስላለች። ተቆጣጣሪው ለመርዳት ምን ማድረግ ይችላል?")</f>
        <v>ላሟ ስለ ዝላይው ቁመት የምታመነታ ትመስላለች። ተቆጣጣሪው ለመርዳት ምን ማድረግ ይችላል?</v>
      </c>
      <c r="I11" s="11" t="str">
        <f>IFERROR(__xludf.DUMMYFUNCTION("GOOGLETRANSLATE(C11, ""en"", ""am"")"),"ሀ. በራስ መተማመንን ለመፍጠር በመጀመሪያ ላሟን በጥቂት ትናንሽ መዝለሎች ይምሩ።
ለ. ላም ያለ ተጨማሪ ዝግጅት ዝላይን እንድትወስድ አበረታታ።
ሐ. ማመንታቱን ለማሸነፍ ላሟ በፍጥነት ወደ ዝላይ እንድትቀርብ አስገደዳት።
መ. ከመቀጠልዎ በፊት ላም እራሷን እስክታስተካክል ድረስ ይጠብቁ.")</f>
        <v>ሀ. በራስ መተማመንን ለመፍጠር በመጀመሪያ ላሟን በጥቂት ትናንሽ መዝለሎች ይምሩ።
ለ. ላም ያለ ተጨማሪ ዝግጅት ዝላይን እንድትወስድ አበረታታ።
ሐ. ማመንታቱን ለማሸነፍ ላሟ በፍጥነት ወደ ዝላይ እንድትቀርብ አስገደዳት።
መ. ከመቀጠልዎ በፊት ላም እራሷን እስክታስተካክል ድረስ ይጠብቁ.</v>
      </c>
      <c r="J11" s="11" t="str">
        <f>IFERROR(__xludf.DUMMYFUNCTION("GOOGLETRANSLATE(D11, ""en"", ""am"")"),"በራስ መተማመንን ለመፍጠር በመጀመሪያ ላሟን በጥቂት ትናንሽ መዝለሎች ይምሩ።")</f>
        <v>በራስ መተማመንን ለመፍጠር በመጀመሪያ ላሟን በጥቂት ትናንሽ መዝለሎች ይምሩ።</v>
      </c>
      <c r="K11" s="11" t="str">
        <f>IFERROR(__xludf.DUMMYFUNCTION("GOOGLETRANSLATE(E11, ""en"", ""am"")"),"ትንንሽ ዝላይ ላም ለከፍተኛ መሰናክሎች በራስ መተማመንን ይገነባል።")</f>
        <v>ትንንሽ ዝላይ ላም ለከፍተኛ መሰናክሎች በራስ መተማመንን ይገነባል።</v>
      </c>
    </row>
    <row r="12" ht="22.5" customHeight="1">
      <c r="A12" s="16">
        <v>11.0</v>
      </c>
      <c r="B12" s="16" t="s">
        <v>4123</v>
      </c>
      <c r="C12" s="16" t="s">
        <v>4124</v>
      </c>
      <c r="D12" s="16" t="s">
        <v>4125</v>
      </c>
      <c r="E12" s="16" t="s">
        <v>4126</v>
      </c>
      <c r="G12" s="11" t="str">
        <f>IFERROR(__xludf.DUMMYFUNCTION("GOOGLETRANSLATE(A12, ""en"", ""am"")"),"11")</f>
        <v>11</v>
      </c>
      <c r="H12" s="11" t="str">
        <f>IFERROR(__xludf.DUMMYFUNCTION("GOOGLETRANSLATE(B12, ""en"", ""am"")"),"ላሟ ከመጠን በላይ እየዘለለች እና ኢላማውን የማጣት ስጋት ላይ ነች። ምን ማድረግ አለቦት?")</f>
        <v>ላሟ ከመጠን በላይ እየዘለለች እና ኢላማውን የማጣት ስጋት ላይ ነች። ምን ማድረግ አለቦት?</v>
      </c>
      <c r="I12" s="11" t="str">
        <f>IFERROR(__xludf.DUMMYFUNCTION("GOOGLETRANSLATE(C12, ""en"", ""am"")"),"ሀ. ላሟ በሚቀጥለው ጊዜ ዝቅ እንድትል አበረታቷት።
ለ. ላሟ በበለጠ ትክክለኛነት እንድትዘል አስተምሯቸው።
ሐ. ላም የራሷን የመዝለል ከፍታ ይማር።
መ. መዝለሉ የበለጠ ቁጥጥር መደረጉን ለማረጋገጥ ፍጥነቱን ይጨምሩ።")</f>
        <v>ሀ. ላሟ በሚቀጥለው ጊዜ ዝቅ እንድትል አበረታቷት።
ለ. ላሟ በበለጠ ትክክለኛነት እንድትዘል አስተምሯቸው።
ሐ. ላም የራሷን የመዝለል ከፍታ ይማር።
መ. መዝለሉ የበለጠ ቁጥጥር መደረጉን ለማረጋገጥ ፍጥነቱን ይጨምሩ።</v>
      </c>
      <c r="J12" s="11" t="str">
        <f>IFERROR(__xludf.DUMMYFUNCTION("GOOGLETRANSLATE(D12, ""en"", ""am"")"),"ላሟ በሚቀጥለው ጊዜ ዝቅ እንድትል አበረታቷት።")</f>
        <v>ላሟ በሚቀጥለው ጊዜ ዝቅ እንድትል አበረታቷት።</v>
      </c>
      <c r="K12" s="11" t="str">
        <f>IFERROR(__xludf.DUMMYFUNCTION("GOOGLETRANSLATE(E12, ""en"", ""am"")"),"መዝለሉን ዝቅ ማድረግ የተሻለ ቁጥጥር እና ትክክለኛነትን ያረጋግጣል።")</f>
        <v>መዝለሉን ዝቅ ማድረግ የተሻለ ቁጥጥር እና ትክክለኛነትን ያረጋግጣል።</v>
      </c>
    </row>
    <row r="13" ht="22.5" customHeight="1">
      <c r="A13" s="16">
        <v>12.0</v>
      </c>
      <c r="B13" s="16" t="s">
        <v>4127</v>
      </c>
      <c r="C13" s="16" t="s">
        <v>4128</v>
      </c>
      <c r="D13" s="16" t="s">
        <v>4093</v>
      </c>
      <c r="E13" s="16" t="s">
        <v>4129</v>
      </c>
      <c r="G13" s="11" t="str">
        <f>IFERROR(__xludf.DUMMYFUNCTION("GOOGLETRANSLATE(A13, ""en"", ""am"")"),"12")</f>
        <v>12</v>
      </c>
      <c r="H13" s="11" t="str">
        <f>IFERROR(__xludf.DUMMYFUNCTION("GOOGLETRANSLATE(B13, ""en"", ""am"")"),"የላሟ አፈጻጸም ወጥነት የለውም። ለዚህ ምክንያቱ ምን ሊሆን ይችላል?")</f>
        <v>የላሟ አፈጻጸም ወጥነት የለውም። ለዚህ ምክንያቱ ምን ሊሆን ይችላል?</v>
      </c>
      <c r="I13" s="11" t="str">
        <f>IFERROR(__xludf.DUMMYFUNCTION("GOOGLETRANSLATE(C13, ""en"", ""am"")"),"ሀ. ላሟ ግራ መጋባት ወይም ጭንቀት ሊሰማት ይችላል።
ለ. ላሟ ለተወሰነ ዝላይ የሰለጠነ ሊሆን ይችላል።
ሐ. ላም ተገቢ ባልሆኑ መሳሪያዎች ምክንያት ምቾት ሊሰማት ይችላል.
መ. ከላይ ያሉት ሁሉም.")</f>
        <v>ሀ. ላሟ ግራ መጋባት ወይም ጭንቀት ሊሰማት ይችላል።
ለ. ላሟ ለተወሰነ ዝላይ የሰለጠነ ሊሆን ይችላል።
ሐ. ላም ተገቢ ባልሆኑ መሳሪያዎች ምክንያት ምቾት ሊሰማት ይችላል.
መ. ከላይ ያሉት ሁሉም.</v>
      </c>
      <c r="J13" s="11" t="str">
        <f>IFERROR(__xludf.DUMMYFUNCTION("GOOGLETRANSLATE(D13, ""en"", ""am"")"),"ከላይ ያሉት ሁሉም.")</f>
        <v>ከላይ ያሉት ሁሉም.</v>
      </c>
      <c r="K13" s="11" t="str">
        <f>IFERROR(__xludf.DUMMYFUNCTION("GOOGLETRANSLATE(E13, ""en"", ""am"")"),"አለመመጣጠን ከውጥረት ፣ ከስልጠና ጉዳዮች ወይም ምቾት ማጣት ሊመነጭ ይችላል።")</f>
        <v>አለመመጣጠን ከውጥረት ፣ ከስልጠና ጉዳዮች ወይም ምቾት ማጣት ሊመነጭ ይችላል።</v>
      </c>
    </row>
    <row r="14" ht="22.5" customHeight="1">
      <c r="A14" s="16">
        <v>13.0</v>
      </c>
      <c r="B14" s="16" t="s">
        <v>4130</v>
      </c>
      <c r="C14" s="16" t="s">
        <v>4131</v>
      </c>
      <c r="D14" s="16" t="s">
        <v>4132</v>
      </c>
      <c r="E14" s="16" t="s">
        <v>4133</v>
      </c>
      <c r="G14" s="11" t="str">
        <f>IFERROR(__xludf.DUMMYFUNCTION("GOOGLETRANSLATE(A14, ""en"", ""am"")"),"13")</f>
        <v>13</v>
      </c>
      <c r="H14" s="11" t="str">
        <f>IFERROR(__xludf.DUMMYFUNCTION("GOOGLETRANSLATE(B14, ""en"", ""am"")"),"ላሟ ወደ ዝላይ ትጠጋለች ግን ፍጥነት መቀነስ ትጀምራለች። ተቆጣጣሪው ምን ማድረግ አለበት?")</f>
        <v>ላሟ ወደ ዝላይ ትጠጋለች ግን ፍጥነት መቀነስ ትጀምራለች። ተቆጣጣሪው ምን ማድረግ አለበት?</v>
      </c>
      <c r="I14" s="11" t="str">
        <f>IFERROR(__xludf.DUMMYFUNCTION("GOOGLETRANSLATE(C14, ""en"", ""am"")"),"ሀ. ማበረታቻ ጨምሩ እና ላም ዝላይን መረዳቷን ያረጋግጡ።
ለ. ዘንዶውን በመሳብ ላሟ በፍጥነት ክብደቷን እንድትጨምር አስገደዳት.
ሐ. ላሞች ለደህንነት ሲባል ፍጥነታቸውን መገደብ አለባቸው።
መ. በራስ መተማመንን ለማግኘት ላም ትንሽ ዝላይ እንድትወስድ ይመራት።")</f>
        <v>ሀ. ማበረታቻ ጨምሩ እና ላም ዝላይን መረዳቷን ያረጋግጡ።
ለ. ዘንዶውን በመሳብ ላሟ በፍጥነት ክብደቷን እንድትጨምር አስገደዳት.
ሐ. ላሞች ለደህንነት ሲባል ፍጥነታቸውን መገደብ አለባቸው።
መ. በራስ መተማመንን ለማግኘት ላም ትንሽ ዝላይ እንድትወስድ ይመራት።</v>
      </c>
      <c r="J14" s="11" t="str">
        <f>IFERROR(__xludf.DUMMYFUNCTION("GOOGLETRANSLATE(D14, ""en"", ""am"")"),"ማበረታቻ ጨምሩ እና ላም ዝላይውን መረዳቱን ያረጋግጡ።")</f>
        <v>ማበረታቻ ጨምሩ እና ላም ዝላይውን መረዳቱን ያረጋግጡ።</v>
      </c>
      <c r="K14" s="11" t="str">
        <f>IFERROR(__xludf.DUMMYFUNCTION("GOOGLETRANSLATE(E14, ""en"", ""am"")"),"ማበረታታት የላሟን ትኩረት እና ለመዝለል ፍጥነት ይጨምራል።")</f>
        <v>ማበረታታት የላሟን ትኩረት እና ለመዝለል ፍጥነት ይጨምራል።</v>
      </c>
    </row>
    <row r="15" ht="22.5" customHeight="1">
      <c r="A15" s="16">
        <v>14.0</v>
      </c>
      <c r="B15" s="16" t="s">
        <v>4134</v>
      </c>
      <c r="C15" s="16" t="s">
        <v>4135</v>
      </c>
      <c r="D15" s="16" t="s">
        <v>4136</v>
      </c>
      <c r="E15" s="16" t="s">
        <v>4137</v>
      </c>
      <c r="G15" s="11" t="str">
        <f>IFERROR(__xludf.DUMMYFUNCTION("GOOGLETRANSLATE(A15, ""en"", ""am"")"),"14")</f>
        <v>14</v>
      </c>
      <c r="H15" s="11" t="str">
        <f>IFERROR(__xludf.DUMMYFUNCTION("GOOGLETRANSLATE(B15, ""en"", ""am"")"),"ላሟ በህዝቡ ውስጥ በሆነ ነገር የተበታተነች ትመስላለች። ይህንን እንዴት መያዝ አለቦት?")</f>
        <v>ላሟ በህዝቡ ውስጥ በሆነ ነገር የተበታተነች ትመስላለች። ይህንን እንዴት መያዝ አለቦት?</v>
      </c>
      <c r="I15" s="11" t="str">
        <f>IFERROR(__xludf.DUMMYFUNCTION("GOOGLETRANSLATE(C15, ""en"", ""am"")"),"ሀ. ላሟን ለማረጋጋት እና ትኩረቷን ወደ ዝላይ ለመመለስ ይሞክሩ።
ለ. ትኩረት የሚከፋፍሉ ነገሮችን ችላ በማለት ላሟን ወደ ፊት ግፋ።
ሐ. በላሟ ላይ ያለውን ጭንቀት ለመቀነስ, በሰዎች ላይ ያተኩሩ.
መ. ማናቸውንም ትኩረት የሚከፋፍሉ ነገሮችን ለማስወገድ ፍጥነትን ይጨምሩ።")</f>
        <v>ሀ. ላሟን ለማረጋጋት እና ትኩረቷን ወደ ዝላይ ለመመለስ ይሞክሩ።
ለ. ትኩረት የሚከፋፍሉ ነገሮችን ችላ በማለት ላሟን ወደ ፊት ግፋ።
ሐ. በላሟ ላይ ያለውን ጭንቀት ለመቀነስ, በሰዎች ላይ ያተኩሩ.
መ. ማናቸውንም ትኩረት የሚከፋፍሉ ነገሮችን ለማስወገድ ፍጥነትን ይጨምሩ።</v>
      </c>
      <c r="J15" s="11" t="str">
        <f>IFERROR(__xludf.DUMMYFUNCTION("GOOGLETRANSLATE(D15, ""en"", ""am"")"),"ላሟን ለማረጋጋት እና ትኩረቷን ወደ ዘለሉ ለመመለስ ይሞክሩ.")</f>
        <v>ላሟን ለማረጋጋት እና ትኩረቷን ወደ ዘለሉ ለመመለስ ይሞክሩ.</v>
      </c>
      <c r="K15" s="11" t="str">
        <f>IFERROR(__xludf.DUMMYFUNCTION("GOOGLETRANSLATE(E15, ""en"", ""am"")"),"ላሟን ማረጋጋት ትኩረቷን መልሳ እንድታገኝ እና የተሻለ እንድትሰራ ይረዳታል።")</f>
        <v>ላሟን ማረጋጋት ትኩረቷን መልሳ እንድታገኝ እና የተሻለ እንድትሰራ ይረዳታል።</v>
      </c>
    </row>
    <row r="16" ht="22.5" customHeight="1">
      <c r="A16" s="16">
        <v>15.0</v>
      </c>
      <c r="B16" s="16" t="s">
        <v>4138</v>
      </c>
      <c r="C16" s="16" t="s">
        <v>4139</v>
      </c>
      <c r="D16" s="16" t="s">
        <v>4140</v>
      </c>
      <c r="E16" s="16" t="s">
        <v>4141</v>
      </c>
      <c r="G16" s="11" t="str">
        <f>IFERROR(__xludf.DUMMYFUNCTION("GOOGLETRANSLATE(A16, ""en"", ""am"")"),"15")</f>
        <v>15</v>
      </c>
      <c r="H16" s="11" t="str">
        <f>IFERROR(__xludf.DUMMYFUNCTION("GOOGLETRANSLATE(B16, ""en"", ""am"")"),"ላሟ ፍጹም ዝላይ ታደርጋለች፣ ነገር ግን ተቆጣጣሪው ስለማረፊያው እርግጠኛ አይደለም። ቀጣዩ እርምጃ ምንድን ነው?")</f>
        <v>ላሟ ፍጹም ዝላይ ታደርጋለች፣ ነገር ግን ተቆጣጣሪው ስለማረፊያው እርግጠኛ አይደለም። ቀጣዩ እርምጃ ምንድን ነው?</v>
      </c>
      <c r="I16" s="11" t="str">
        <f>IFERROR(__xludf.DUMMYFUNCTION("GOOGLETRANSLATE(C16, ""en"", ""am"")"),"ሀ. ላም በተፈጥሮው እስኪስተካከል ድረስ ይጠብቁ እና ለስላሳ ማረፊያ ያረጋግጡ.
ለ. ማረፊያውን ለማስተካከል ላሟ እንደገና እንድትዘል አበረታቷት።
ሐ. ከተቻለ ላሟን ወደ ደህና ማረፊያ ቦታ ምራው።
መ. ላሟ ወደ መሬት እንድትወርድ ይፍቀዱ እና ከዚያም ሁኔታውን ይገምግሙ.")</f>
        <v>ሀ. ላም በተፈጥሮው እስኪስተካከል ድረስ ይጠብቁ እና ለስላሳ ማረፊያ ያረጋግጡ.
ለ. ማረፊያውን ለማስተካከል ላሟ እንደገና እንድትዘል አበረታቷት።
ሐ. ከተቻለ ላሟን ወደ ደህና ማረፊያ ቦታ ምራው።
መ. ላሟ ወደ መሬት እንድትወርድ ይፍቀዱ እና ከዚያም ሁኔታውን ይገምግሙ.</v>
      </c>
      <c r="J16" s="11" t="str">
        <f>IFERROR(__xludf.DUMMYFUNCTION("GOOGLETRANSLATE(D16, ""en"", ""am"")"),"ላም በተፈጥሮው እስኪስተካከል ድረስ ይጠብቁ እና ለስላሳ ማረፊያ ያረጋግጡ.")</f>
        <v>ላም በተፈጥሮው እስኪስተካከል ድረስ ይጠብቁ እና ለስላሳ ማረፊያ ያረጋግጡ.</v>
      </c>
      <c r="K16" s="11" t="str">
        <f>IFERROR(__xludf.DUMMYFUNCTION("GOOGLETRANSLATE(E16, ""en"", ""am"")"),"ለስላሳ ማረፊያ ማቆየት የመጉዳት አደጋን ይቀንሳል.")</f>
        <v>ለስላሳ ማረፊያ ማቆየት የመጉዳት አደጋን ይቀንሳል.</v>
      </c>
    </row>
    <row r="17" ht="22.5" customHeight="1">
      <c r="A17" s="16">
        <v>16.0</v>
      </c>
      <c r="B17" s="16" t="s">
        <v>4142</v>
      </c>
      <c r="C17" s="16" t="s">
        <v>4143</v>
      </c>
      <c r="D17" s="16" t="s">
        <v>4144</v>
      </c>
      <c r="E17" s="16" t="s">
        <v>4145</v>
      </c>
      <c r="G17" s="11" t="str">
        <f>IFERROR(__xludf.DUMMYFUNCTION("GOOGLETRANSLATE(A17, ""en"", ""am"")"),"16")</f>
        <v>16</v>
      </c>
      <c r="H17" s="11" t="str">
        <f>IFERROR(__xludf.DUMMYFUNCTION("GOOGLETRANSLATE(B17, ""en"", ""am"")"),"ላም በደንብ እየዘለለች ነው, ነገር ግን ማረፊያው ትንሽ መሰናከልን ያመጣል. ምን እርምጃ መወሰድ አለበት?")</f>
        <v>ላም በደንብ እየዘለለች ነው, ነገር ግን ማረፊያው ትንሽ መሰናከልን ያመጣል. ምን እርምጃ መወሰድ አለበት?</v>
      </c>
      <c r="I17" s="11" t="str">
        <f>IFERROR(__xludf.DUMMYFUNCTION("GOOGLETRANSLATE(C17, ""en"", ""am"")"),"ሀ. ላሟ እንቅስቃሴዋን እንድትቀጥል እና ሚዛን እንድትመልስ አበረታቷት።
ለ. ላሟን ወደ ደህና ቦታ ምራ እና ፍጥነትህን ቀንስ።
ሐ. ወዲያውኑ ያቁሙ እና ላሟን ማንኛውንም ጉዳት ያረጋግጡ።
መ. እንቅፋቱን ለማስወገድ ሌላ ዝላይ ለማጠናቀቅ ላሟን ግፋ።")</f>
        <v>ሀ. ላሟ እንቅስቃሴዋን እንድትቀጥል እና ሚዛን እንድትመልስ አበረታቷት።
ለ. ላሟን ወደ ደህና ቦታ ምራ እና ፍጥነትህን ቀንስ።
ሐ. ወዲያውኑ ያቁሙ እና ላሟን ማንኛውንም ጉዳት ያረጋግጡ።
መ. እንቅፋቱን ለማስወገድ ሌላ ዝላይ ለማጠናቀቅ ላሟን ግፋ።</v>
      </c>
      <c r="J17" s="11" t="str">
        <f>IFERROR(__xludf.DUMMYFUNCTION("GOOGLETRANSLATE(D17, ""en"", ""am"")"),"ላሟ እንቅስቃሴዋን እንድትቀጥል እና ሚዛን እንድትመልስ አበረታቷት።")</f>
        <v>ላሟ እንቅስቃሴዋን እንድትቀጥል እና ሚዛን እንድትመልስ አበረታቷት።</v>
      </c>
      <c r="K17" s="11" t="str">
        <f>IFERROR(__xludf.DUMMYFUNCTION("GOOGLETRANSLATE(E17, ""en"", ""am"")"),"ማበረታታት ላም ወደ ሚዛን እና በራስ መተማመን እንዲመለስ ይረዳል.")</f>
        <v>ማበረታታት ላም ወደ ሚዛን እና በራስ መተማመን እንዲመለስ ይረዳል.</v>
      </c>
    </row>
    <row r="18" ht="22.5" customHeight="1">
      <c r="A18" s="16">
        <v>17.0</v>
      </c>
      <c r="B18" s="16" t="s">
        <v>4146</v>
      </c>
      <c r="C18" s="16" t="s">
        <v>4147</v>
      </c>
      <c r="D18" s="16" t="s">
        <v>4117</v>
      </c>
      <c r="E18" s="16" t="s">
        <v>4148</v>
      </c>
      <c r="G18" s="11" t="str">
        <f>IFERROR(__xludf.DUMMYFUNCTION("GOOGLETRANSLATE(A18, ""en"", ""am"")"),"17")</f>
        <v>17</v>
      </c>
      <c r="H18" s="11" t="str">
        <f>IFERROR(__xludf.DUMMYFUNCTION("GOOGLETRANSLATE(B18, ""en"", ""am"")"),"በዝላይ ጊዜ ላሟ በፊት እግሮቿ ላይ በጣም ወድቃለች። ተቆጣጣሪው ምን ማድረግ አለበት?")</f>
        <v>በዝላይ ጊዜ ላሟ በፊት እግሮቿ ላይ በጣም ወድቃለች። ተቆጣጣሪው ምን ማድረግ አለበት?</v>
      </c>
      <c r="I18" s="11" t="str">
        <f>IFERROR(__xludf.DUMMYFUNCTION("GOOGLETRANSLATE(C18, ""en"", ""am"")"),"ሀ. ላሟን ወዲያውኑ ያቁሙ እና ጉዳቶች እንዳሉ ያረጋግጡ።
ለ. ላሟ በትኩረት እንድትዘልል አበረታቷት።
ሐ. ላሟን ለቀጣዩ ዝላይ ወደ ረጋ ማረፊያ ምራ።
መ. ከዝላይ ለማገገም ላሟን ግፋ እና ቀጥል.")</f>
        <v>ሀ. ላሟን ወዲያውኑ ያቁሙ እና ጉዳቶች እንዳሉ ያረጋግጡ።
ለ. ላሟ በትኩረት እንድትዘልል አበረታቷት።
ሐ. ላሟን ለቀጣዩ ዝላይ ወደ ረጋ ማረፊያ ምራ።
መ. ከዝላይ ለማገገም ላሟን ግፋ እና ቀጥል.</v>
      </c>
      <c r="J18" s="11" t="str">
        <f>IFERROR(__xludf.DUMMYFUNCTION("GOOGLETRANSLATE(D18, ""en"", ""am"")"),"ላሟን ወዲያውኑ ያቁሙ እና ጉዳቶችን ያረጋግጡ.")</f>
        <v>ላሟን ወዲያውኑ ያቁሙ እና ጉዳቶችን ያረጋግጡ.</v>
      </c>
      <c r="K18" s="11" t="str">
        <f>IFERROR(__xludf.DUMMYFUNCTION("GOOGLETRANSLATE(E18, ""en"", ""am"")"),"ከከባድ ማረፊያዎች በኋላ ማቆም የላሙን ደህንነት ያረጋግጣል.")</f>
        <v>ከከባድ ማረፊያዎች በኋላ ማቆም የላሙን ደህንነት ያረጋግጣል.</v>
      </c>
    </row>
    <row r="19" ht="22.5" customHeight="1">
      <c r="A19" s="16">
        <v>18.0</v>
      </c>
      <c r="B19" s="16" t="s">
        <v>4149</v>
      </c>
      <c r="C19" s="16" t="s">
        <v>4150</v>
      </c>
      <c r="D19" s="16" t="s">
        <v>4151</v>
      </c>
      <c r="E19" s="16" t="s">
        <v>4152</v>
      </c>
      <c r="G19" s="11" t="str">
        <f>IFERROR(__xludf.DUMMYFUNCTION("GOOGLETRANSLATE(A19, ""en"", ""am"")"),"18")</f>
        <v>18</v>
      </c>
      <c r="H19" s="11" t="str">
        <f>IFERROR(__xludf.DUMMYFUNCTION("GOOGLETRANSLATE(B19, ""en"", ""am"")"),"ላሟ ብዙ ሙከራዎችን ብታደርግም ለመዝለል ፈቃደኛ አልሆነችም። በመጀመሪያ ምን መደረግ አለበት?")</f>
        <v>ላሟ ብዙ ሙከራዎችን ብታደርግም ለመዝለል ፈቃደኛ አልሆነችም። በመጀመሪያ ምን መደረግ አለበት?</v>
      </c>
      <c r="I19" s="11" t="str">
        <f>IFERROR(__xludf.DUMMYFUNCTION("GOOGLETRANSLATE(C19, ""en"", ""am"")"),"ሀ. ላሟን በሚያረጋጋ ቃላት እና ምልክቶች ለማበረታታት ይሞክሩ።
ለ. ግፊቱን ጨምር እና ላሟ እንድትዘል ያስገድድ.
ሐ. የላሙን ጭንቀት ለመቀነስ ወደ ሌላ ተግባር ይሂዱ።
መ. በራስ መተማመንን ለመገንባት ትንሽ ዝላይ ይሞክሩ።")</f>
        <v>ሀ. ላሟን በሚያረጋጋ ቃላት እና ምልክቶች ለማበረታታት ይሞክሩ።
ለ. ግፊቱን ጨምር እና ላሟ እንድትዘል ያስገድድ.
ሐ. የላሙን ጭንቀት ለመቀነስ ወደ ሌላ ተግባር ይሂዱ።
መ. በራስ መተማመንን ለመገንባት ትንሽ ዝላይ ይሞክሩ።</v>
      </c>
      <c r="J19" s="11" t="str">
        <f>IFERROR(__xludf.DUMMYFUNCTION("GOOGLETRANSLATE(D19, ""en"", ""am"")"),"ላሟን በሚያረጋጋ ቃላት እና ምልክቶች ለማበረታታት ይሞክሩ።")</f>
        <v>ላሟን በሚያረጋጋ ቃላት እና ምልክቶች ለማበረታታት ይሞክሩ።</v>
      </c>
      <c r="K19" s="11" t="str">
        <f>IFERROR(__xludf.DUMMYFUNCTION("GOOGLETRANSLATE(E19, ""en"", ""am"")"),"ላሟን ማረጋጋት ጭንቀትን ይቀንሳል እና መዝለልን ያበረታታል።")</f>
        <v>ላሟን ማረጋጋት ጭንቀትን ይቀንሳል እና መዝለልን ያበረታታል።</v>
      </c>
    </row>
    <row r="20" ht="22.5" customHeight="1">
      <c r="A20" s="16">
        <v>19.0</v>
      </c>
      <c r="B20" s="16" t="s">
        <v>4153</v>
      </c>
      <c r="C20" s="16" t="s">
        <v>4154</v>
      </c>
      <c r="D20" s="16" t="s">
        <v>4155</v>
      </c>
      <c r="E20" s="16" t="s">
        <v>4156</v>
      </c>
      <c r="G20" s="11" t="str">
        <f>IFERROR(__xludf.DUMMYFUNCTION("GOOGLETRANSLATE(A20, ""en"", ""am"")"),"19")</f>
        <v>19</v>
      </c>
      <c r="H20" s="11" t="str">
        <f>IFERROR(__xludf.DUMMYFUNCTION("GOOGLETRANSLATE(B20, ""en"", ""am"")"),"ላሟ ከመጠን በላይ በሆነ ፍጥነት እየዘለለች እና መቆጣጠርን ሊያጣ ነው. ተቆጣጣሪው ምን ማድረግ አለበት?")</f>
        <v>ላሟ ከመጠን በላይ በሆነ ፍጥነት እየዘለለች እና መቆጣጠርን ሊያጣ ነው. ተቆጣጣሪው ምን ማድረግ አለበት?</v>
      </c>
      <c r="I20" s="11" t="str">
        <f>IFERROR(__xludf.DUMMYFUNCTION("GOOGLETRANSLATE(C20, ""en"", ""am"")"),"ሀ. ላሟን ቀስ ብለው ወደ ታች ዝቅ አድርገው እንደገና ይቆጣጠሩት።
ለ. ፍጥነቷን ለመቀጠል ላሟ በፍጥነት እንድትዘል አበረታቷት።
ሐ. በራስ መተማመንን ለመገንባት ላሟ አሁን ባለችበት ፍጥነት ትቀጥል።
መ. ላሟ ሚዛኗን እንዳታጣ ለመከላከል ያቁሙ.")</f>
        <v>ሀ. ላሟን ቀስ ብለው ወደ ታች ዝቅ አድርገው እንደገና ይቆጣጠሩት።
ለ. ፍጥነቷን ለመቀጠል ላሟ በፍጥነት እንድትዘል አበረታቷት።
ሐ. በራስ መተማመንን ለመገንባት ላሟ አሁን ባለችበት ፍጥነት ትቀጥል።
መ. ላሟ ሚዛኗን እንዳታጣ ለመከላከል ያቁሙ.</v>
      </c>
      <c r="J20" s="11" t="str">
        <f>IFERROR(__xludf.DUMMYFUNCTION("GOOGLETRANSLATE(D20, ""en"", ""am"")"),"ላሟን ቀስ ብለው ወደ ታች ይቀንሱ እና እንደገና ይቆጣጠሩት.")</f>
        <v>ላሟን ቀስ ብለው ወደ ታች ይቀንሱ እና እንደገና ይቆጣጠሩት.</v>
      </c>
      <c r="K20" s="11" t="str">
        <f>IFERROR(__xludf.DUMMYFUNCTION("GOOGLETRANSLATE(E20, ""en"", ""am"")"),"ፍጥነትን መቀነስ ለተሻለ ቁጥጥር እና ደህንነት ያስችላል.")</f>
        <v>ፍጥነትን መቀነስ ለተሻለ ቁጥጥር እና ደህንነት ያስችላል.</v>
      </c>
    </row>
    <row r="21" ht="22.5" customHeight="1">
      <c r="A21" s="16">
        <v>20.0</v>
      </c>
      <c r="B21" s="16" t="s">
        <v>4157</v>
      </c>
      <c r="C21" s="16" t="s">
        <v>4158</v>
      </c>
      <c r="D21" s="16" t="s">
        <v>4159</v>
      </c>
      <c r="E21" s="16" t="s">
        <v>4160</v>
      </c>
      <c r="G21" s="11" t="str">
        <f>IFERROR(__xludf.DUMMYFUNCTION("GOOGLETRANSLATE(A21, ""en"", ""am"")"),"20")</f>
        <v>20</v>
      </c>
      <c r="H21" s="11" t="str">
        <f>IFERROR(__xludf.DUMMYFUNCTION("GOOGLETRANSLATE(B21, ""en"", ""am"")"),"ላሟ በአካባቢው በሚሰማው ከፍተኛ ድምጽ ተረብሸዋል. ተቆጣጣሪው ምን ማድረግ አለበት?")</f>
        <v>ላሟ በአካባቢው በሚሰማው ከፍተኛ ድምጽ ተረብሸዋል. ተቆጣጣሪው ምን ማድረግ አለበት?</v>
      </c>
      <c r="I21" s="11" t="str">
        <f>IFERROR(__xludf.DUMMYFUNCTION("GOOGLETRANSLATE(C21, ""en"", ""am"")"),"ሀ. ላሟን በተረጋጋ እና በተረጋጋ ሁኔታ ይፈትሹ እና ከፍተኛ ድምጽ ያስወግዱ.
ለ. ትኩረት የሚከፋፍሉ ነገሮች ቢኖሩትም ላሟን እንድትዘል ያስገድድ።
ሐ. ማመንታትዋን ለማሸነፍ የላሟን ፍጥነት ጨምር።
መ. ላሟ መዝለሉን መቀጠል ትፈልግ እንደሆነ ይወስኑ።")</f>
        <v>ሀ. ላሟን በተረጋጋ እና በተረጋጋ ሁኔታ ይፈትሹ እና ከፍተኛ ድምጽ ያስወግዱ.
ለ. ትኩረት የሚከፋፍሉ ነገሮች ቢኖሩትም ላሟን እንድትዘል ያስገድድ።
ሐ. ማመንታትዋን ለማሸነፍ የላሟን ፍጥነት ጨምር።
መ. ላሟ መዝለሉን መቀጠል ትፈልግ እንደሆነ ይወስኑ።</v>
      </c>
      <c r="J21" s="11" t="str">
        <f>IFERROR(__xludf.DUMMYFUNCTION("GOOGLETRANSLATE(D21, ""en"", ""am"")"),"ላሟን በተረጋጋ እና በተረጋጋ ሁኔታ ይፈትሹ እና ከፍተኛ ድምፆችን ያስወግዱ.")</f>
        <v>ላሟን በተረጋጋ እና በተረጋጋ ሁኔታ ይፈትሹ እና ከፍተኛ ድምፆችን ያስወግዱ.</v>
      </c>
      <c r="K21" s="11" t="str">
        <f>IFERROR(__xludf.DUMMYFUNCTION("GOOGLETRANSLATE(E21, ""en"", ""am"")"),"መረጋጋት ጭንቀትን ይቀንሳል እና ትኩረትን ይረዳል.")</f>
        <v>መረጋጋት ጭንቀትን ይቀንሳል እና ትኩረትን ይረዳል.</v>
      </c>
    </row>
    <row r="22" ht="22.5" customHeight="1">
      <c r="A22" s="16">
        <v>21.0</v>
      </c>
      <c r="B22" s="16" t="s">
        <v>4161</v>
      </c>
      <c r="C22" s="16" t="s">
        <v>4162</v>
      </c>
      <c r="D22" s="16" t="s">
        <v>4163</v>
      </c>
      <c r="E22" s="16" t="s">
        <v>4164</v>
      </c>
      <c r="G22" s="11" t="str">
        <f>IFERROR(__xludf.DUMMYFUNCTION("GOOGLETRANSLATE(A22, ""en"", ""am"")"),"21")</f>
        <v>21</v>
      </c>
      <c r="H22" s="11" t="str">
        <f>IFERROR(__xludf.DUMMYFUNCTION("GOOGLETRANSLATE(B22, ""en"", ""am"")"),"ላሟ በጣም ዝቅ ብላ ወድቃ ኢላማውን አጥታለች። ተቆጣጣሪው እንዴት መቀጠል አለበት?")</f>
        <v>ላሟ በጣም ዝቅ ብላ ወድቃ ኢላማውን አጥታለች። ተቆጣጣሪው እንዴት መቀጠል አለበት?</v>
      </c>
      <c r="I22" s="11" t="str">
        <f>IFERROR(__xludf.DUMMYFUNCTION("GOOGLETRANSLATE(C22, ""en"", ""am"")"),"ሀ. ላሟ በሚቀጥለው ጊዜ ወደላይ እንድትዘል አበረታቷት።
ለ. ለተሻለ ቁጥጥር ላሟ ትንሽ ዝላይ እንድትወስድ ይምራው።
ሐ. ላሟ በተሻለ ሁኔታ ለመዝለል ለመርዳት ፍጥነትን ይጨምሩ።
መ. ሙከራውን ያቁሙ እና የላሟን ዝግጁነት ይገምግሙ።")</f>
        <v>ሀ. ላሟ በሚቀጥለው ጊዜ ወደላይ እንድትዘል አበረታቷት።
ለ. ለተሻለ ቁጥጥር ላሟ ትንሽ ዝላይ እንድትወስድ ይምራው።
ሐ. ላሟ በተሻለ ሁኔታ ለመዝለል ለመርዳት ፍጥነትን ይጨምሩ።
መ. ሙከራውን ያቁሙ እና የላሟን ዝግጁነት ይገምግሙ።</v>
      </c>
      <c r="J22" s="11" t="str">
        <f>IFERROR(__xludf.DUMMYFUNCTION("GOOGLETRANSLATE(D22, ""en"", ""am"")"),"ላም በሚቀጥለው ጊዜ ወደላይ እንድትዘል ያበረታቱት።")</f>
        <v>ላም በሚቀጥለው ጊዜ ወደላይ እንድትዘል ያበረታቱት።</v>
      </c>
      <c r="K22" s="11" t="str">
        <f>IFERROR(__xludf.DUMMYFUNCTION("GOOGLETRANSLATE(E22, ""en"", ""am"")"),"ከፍ ያለ ዝላይ በሚቀጥለው ሙከራ ላይ የተሻለ ትክክለኛነትን ያረጋግጣል.")</f>
        <v>ከፍ ያለ ዝላይ በሚቀጥለው ሙከራ ላይ የተሻለ ትክክለኛነትን ያረጋግጣል.</v>
      </c>
    </row>
    <row r="23" ht="22.5" customHeight="1">
      <c r="A23" s="16">
        <v>22.0</v>
      </c>
      <c r="B23" s="16" t="s">
        <v>4165</v>
      </c>
      <c r="C23" s="16" t="s">
        <v>4166</v>
      </c>
      <c r="D23" s="16" t="s">
        <v>4167</v>
      </c>
      <c r="E23" s="16" t="s">
        <v>4168</v>
      </c>
      <c r="G23" s="11" t="str">
        <f>IFERROR(__xludf.DUMMYFUNCTION("GOOGLETRANSLATE(A23, ""en"", ""am"")"),"22")</f>
        <v>22</v>
      </c>
      <c r="H23" s="11" t="str">
        <f>IFERROR(__xludf.DUMMYFUNCTION("GOOGLETRANSLATE(B23, ""en"", ""am"")"),"ላሟ ጥሩ አፈጻጸም አሳይታለች ነገር ግን የደከመች ትመስላለች። ተቆጣጣሪው እንዴት መቀጠል አለበት?")</f>
        <v>ላሟ ጥሩ አፈጻጸም አሳይታለች ነገር ግን የደከመች ትመስላለች። ተቆጣጣሪው እንዴት መቀጠል አለበት?</v>
      </c>
      <c r="I23" s="11" t="str">
        <f>IFERROR(__xludf.DUMMYFUNCTION("GOOGLETRANSLATE(C23, ""en"", ""am"")"),"ሀ. ላሟ ሌላ ዝላይ ከመሞከርዎ በፊት ለጥቂት ጊዜ እንዲያርፍ ያድርጉ።
ለ. ላሟን ሳታቆም መዝለሉን እንድትቀጥል ግፋ።
ሐ. ላሟን እረፍት ስጡት እና ቀስ በቀስ ወደ መደበኛው ይመልሱት.
መ. የላሟን ጽናት ለመፈተሽ አስቸጋሪነትን ይጨምሩ.")</f>
        <v>ሀ. ላሟ ሌላ ዝላይ ከመሞከርዎ በፊት ለጥቂት ጊዜ እንዲያርፍ ያድርጉ።
ለ. ላሟን ሳታቆም መዝለሉን እንድትቀጥል ግፋ።
ሐ. ላሟን እረፍት ስጡት እና ቀስ በቀስ ወደ መደበኛው ይመልሱት.
መ. የላሟን ጽናት ለመፈተሽ አስቸጋሪነትን ይጨምሩ.</v>
      </c>
      <c r="J23" s="11" t="str">
        <f>IFERROR(__xludf.DUMMYFUNCTION("GOOGLETRANSLATE(D23, ""en"", ""am"")"),"ሌላ ዝላይ ከመሞከርዎ በፊት ላሟ ለጥቂት ጊዜ ያርፍ.")</f>
        <v>ሌላ ዝላይ ከመሞከርዎ በፊት ላሟ ለጥቂት ጊዜ ያርፍ.</v>
      </c>
      <c r="K23" s="11" t="str">
        <f>IFERROR(__xludf.DUMMYFUNCTION("GOOGLETRANSLATE(E23, ""en"", ""am"")"),"ጥጃውን ማረፍ ለወደፊቱ መዝለሎች ጥንካሬን ያሻሽላል.")</f>
        <v>ጥጃውን ማረፍ ለወደፊቱ መዝለሎች ጥንካሬን ያሻሽላል.</v>
      </c>
    </row>
    <row r="24" ht="22.5" customHeight="1">
      <c r="A24" s="16">
        <v>23.0</v>
      </c>
      <c r="B24" s="16" t="s">
        <v>4169</v>
      </c>
      <c r="C24" s="16" t="s">
        <v>4170</v>
      </c>
      <c r="D24" s="16" t="s">
        <v>4171</v>
      </c>
      <c r="E24" s="16" t="s">
        <v>4172</v>
      </c>
      <c r="G24" s="11" t="str">
        <f>IFERROR(__xludf.DUMMYFUNCTION("GOOGLETRANSLATE(A24, ""en"", ""am"")"),"23")</f>
        <v>23</v>
      </c>
      <c r="H24" s="11" t="str">
        <f>IFERROR(__xludf.DUMMYFUNCTION("GOOGLETRANSLATE(B24, ""en"", ""am"")"),"ላም በጣም በፍጥነት ትዘልላለች, ኢላማውን ታጣለች. ምን ማድረግ አለቦት?")</f>
        <v>ላም በጣም በፍጥነት ትዘልላለች, ኢላማውን ታጣለች. ምን ማድረግ አለቦት?</v>
      </c>
      <c r="I24" s="11" t="str">
        <f>IFERROR(__xludf.DUMMYFUNCTION("GOOGLETRANSLATE(C24, ""en"", ""am"")"),"ሀ. ለተሻለ ትኩረት እና ቁጥጥር ፍጥነቱን ይቀንሱ።
ለ. ላሟ በበለጠ ፍጥነት እና ትክክለኛነት እንድትዘል አበረታቷት።
ሐ. ላሟ በመጀመሪያ በማረፍ ላይ የበለጠ እንድታተኩር ምራው።
መ. ዝላይውን ያቁሙ እና የላሙን ሁኔታ ያረጋግጡ.")</f>
        <v>ሀ. ለተሻለ ትኩረት እና ቁጥጥር ፍጥነቱን ይቀንሱ።
ለ. ላሟ በበለጠ ፍጥነት እና ትክክለኛነት እንድትዘል አበረታቷት።
ሐ. ላሟ በመጀመሪያ በማረፍ ላይ የበለጠ እንድታተኩር ምራው።
መ. ዝላይውን ያቁሙ እና የላሙን ሁኔታ ያረጋግጡ.</v>
      </c>
      <c r="J24" s="11" t="str">
        <f>IFERROR(__xludf.DUMMYFUNCTION("GOOGLETRANSLATE(D24, ""en"", ""am"")"),"ለተሻለ ትኩረት እና ቁጥጥር ፍጥነቱን ይቀንሱ።")</f>
        <v>ለተሻለ ትኩረት እና ቁጥጥር ፍጥነቱን ይቀንሱ።</v>
      </c>
      <c r="K24" s="11" t="str">
        <f>IFERROR(__xludf.DUMMYFUNCTION("GOOGLETRANSLATE(E24, ""en"", ""am"")"),"ፍጥነት መቀነስ ላሟ ትኩረት እንድትሰጥ እና የበለጠ ቁጥጥር ያለው ዝላይ ለማድረግ ይረዳል።")</f>
        <v>ፍጥነት መቀነስ ላሟ ትኩረት እንድትሰጥ እና የበለጠ ቁጥጥር ያለው ዝላይ ለማድረግ ይረዳል።</v>
      </c>
    </row>
    <row r="25" ht="22.5" customHeight="1">
      <c r="A25" s="16">
        <v>24.0</v>
      </c>
      <c r="B25" s="16" t="s">
        <v>4173</v>
      </c>
      <c r="C25" s="16" t="s">
        <v>4174</v>
      </c>
      <c r="D25" s="16" t="s">
        <v>4175</v>
      </c>
      <c r="E25" s="16" t="s">
        <v>4176</v>
      </c>
      <c r="G25" s="11" t="str">
        <f>IFERROR(__xludf.DUMMYFUNCTION("GOOGLETRANSLATE(A25, ""en"", ""am"")"),"24")</f>
        <v>24</v>
      </c>
      <c r="H25" s="11" t="str">
        <f>IFERROR(__xludf.DUMMYFUNCTION("GOOGLETRANSLATE(B25, ""en"", ""am"")"),"ላሟ ለመዝለል ትሞክራለች ነገር ግን ቁመቱን አላጸዳችም. ምን ማድረግ አለቦት?")</f>
        <v>ላሟ ለመዝለል ትሞክራለች ነገር ግን ቁመቱን አላጸዳችም. ምን ማድረግ አለቦት?</v>
      </c>
      <c r="I25" s="11" t="str">
        <f>IFERROR(__xludf.DUMMYFUNCTION("GOOGLETRANSLATE(C25, ""en"", ""am"")"),"ሀ. ላሟ እንዲያርፍ ይፍቀዱ እና ለአጭር ጊዜ ከቆመ በኋላ ዝላይውን እንደገና ይሞክሩ።
ለ. ላሟ እንደገና ሳትገመግም እንድትወጣ ያስገድዳት።
ሐ. ላሟ በሚቀጥለው ጊዜ ዝቅ እንድትል አበረታቷት።
መ. ከመቀጠልዎ በፊት ቆም ይበሉ እና ሁኔታውን እንደገና ይገምግሙ።")</f>
        <v>ሀ. ላሟ እንዲያርፍ ይፍቀዱ እና ለአጭር ጊዜ ከቆመ በኋላ ዝላይውን እንደገና ይሞክሩ።
ለ. ላሟ እንደገና ሳትገመግም እንድትወጣ ያስገድዳት።
ሐ. ላሟ በሚቀጥለው ጊዜ ዝቅ እንድትል አበረታቷት።
መ. ከመቀጠልዎ በፊት ቆም ይበሉ እና ሁኔታውን እንደገና ይገምግሙ።</v>
      </c>
      <c r="J25" s="11" t="str">
        <f>IFERROR(__xludf.DUMMYFUNCTION("GOOGLETRANSLATE(D25, ""en"", ""am"")"),"ላሟ እንዲያርፍ ይፍቀዱ እና ለአጭር ጊዜ ቆም ብለው ካቆሙ በኋላ መዝለሉን እንደገና ይሞክሩ።")</f>
        <v>ላሟ እንዲያርፍ ይፍቀዱ እና ለአጭር ጊዜ ቆም ብለው ካቆሙ በኋላ መዝለሉን እንደገና ይሞክሩ።</v>
      </c>
      <c r="K25" s="11" t="str">
        <f>IFERROR(__xludf.DUMMYFUNCTION("GOOGLETRANSLATE(E25, ""en"", ""am"")"),"እረፍት ላሟ ለሌላ ሙከራ ጥንካሬ እንድታገኝ ይረዳታል።")</f>
        <v>እረፍት ላሟ ለሌላ ሙከራ ጥንካሬ እንድታገኝ ይረዳታል።</v>
      </c>
    </row>
    <row r="26" ht="22.5" customHeight="1">
      <c r="A26" s="16">
        <v>25.0</v>
      </c>
      <c r="B26" s="16" t="s">
        <v>4177</v>
      </c>
      <c r="C26" s="16" t="s">
        <v>4178</v>
      </c>
      <c r="D26" s="16" t="s">
        <v>4179</v>
      </c>
      <c r="E26" s="16" t="s">
        <v>4180</v>
      </c>
      <c r="G26" s="11" t="str">
        <f>IFERROR(__xludf.DUMMYFUNCTION("GOOGLETRANSLATE(A26, ""en"", ""am"")"),"25")</f>
        <v>25</v>
      </c>
      <c r="H26" s="11" t="str">
        <f>IFERROR(__xludf.DUMMYFUNCTION("GOOGLETRANSLATE(B26, ""en"", ""am"")"),"ላም ያልተጠበቀ ፣ ፍጹም የሆነ ዝላይ ታደርጋለች። ተቆጣጣሪው ምን ምላሽ መስጠት አለበት?")</f>
        <v>ላም ያልተጠበቀ ፣ ፍጹም የሆነ ዝላይ ታደርጋለች። ተቆጣጣሪው ምን ምላሽ መስጠት አለበት?</v>
      </c>
      <c r="I26" s="11" t="str">
        <f>IFERROR(__xludf.DUMMYFUNCTION("GOOGLETRANSLATE(C26, ""en"", ""am"")"),"ሀ. ላሟን ጥሩ አፈጻጸም ስላሳየችው አመስግኑት ይሸለሙት።
ለ. ላም ያለ እረፍት ዝላይን እንድትደግም አበረታታ።
ሐ. ላሟን በሚቀጥለው እንቅፋት ውስጥ በጥንቃቄ ምራው.
መ. መልመጃውን ያቁሙ እና ላሟን እረፍት ይስጡት.")</f>
        <v>ሀ. ላሟን ጥሩ አፈጻጸም ስላሳየችው አመስግኑት ይሸለሙት።
ለ. ላም ያለ እረፍት ዝላይን እንድትደግም አበረታታ።
ሐ. ላሟን በሚቀጥለው እንቅፋት ውስጥ በጥንቃቄ ምራው.
መ. መልመጃውን ያቁሙ እና ላሟን እረፍት ይስጡት.</v>
      </c>
      <c r="J26" s="11" t="str">
        <f>IFERROR(__xludf.DUMMYFUNCTION("GOOGLETRANSLATE(D26, ""en"", ""am"")"),"ላሟን ለምርጥ አፈጻጸም አመስግኑት ይሸለሙት።")</f>
        <v>ላሟን ለምርጥ አፈጻጸም አመስግኑት ይሸለሙት።</v>
      </c>
      <c r="K26" s="11" t="str">
        <f>IFERROR(__xludf.DUMMYFUNCTION("GOOGLETRANSLATE(E26, ""en"", ""am"")"),"አዎንታዊ ማጠናከሪያ ላም በራስ የመተማመን ስሜትን ለመጨመር ይረዳል.")</f>
        <v>አዎንታዊ ማጠናከሪያ ላም በራስ የመተማመን ስሜትን ለመጨመር ይረዳል.</v>
      </c>
    </row>
    <row r="27" ht="22.5" customHeight="1">
      <c r="A27" s="16">
        <v>26.0</v>
      </c>
      <c r="B27" s="16" t="s">
        <v>4181</v>
      </c>
      <c r="C27" s="16" t="s">
        <v>4182</v>
      </c>
      <c r="D27" s="16" t="s">
        <v>4183</v>
      </c>
      <c r="E27" s="16" t="s">
        <v>4184</v>
      </c>
      <c r="G27" s="11" t="str">
        <f>IFERROR(__xludf.DUMMYFUNCTION("GOOGLETRANSLATE(A27, ""en"", ""am"")"),"26")</f>
        <v>26</v>
      </c>
      <c r="H27" s="11" t="str">
        <f>IFERROR(__xludf.DUMMYFUNCTION("GOOGLETRANSLATE(B27, ""en"", ""am"")"),"ላም በተሳካ ሁኔታ እየዘለለ ነው ነገር ግን የምቾት ምልክቶች ይታያል. የተቆጣጣሪው ሃላፊነት ምንድን ነው?")</f>
        <v>ላም በተሳካ ሁኔታ እየዘለለ ነው ነገር ግን የምቾት ምልክቶች ይታያል. የተቆጣጣሪው ሃላፊነት ምንድን ነው?</v>
      </c>
      <c r="I27" s="11" t="str">
        <f>IFERROR(__xludf.DUMMYFUNCTION("GOOGLETRANSLATE(C27, ""en"", ""am"")"),"ሀ. ወዲያውኑ ያቁሙ እና የአካል ጉዳት ወይም ምቾት ምልክቶችን ያረጋግጡ።
ለ. ላም ያለ ምንም ምቾት መደበኛውን ለመጨረስ ይግፉት።
ሐ. ላሟ ይቀጥል፣ ግን የሚመጣውን ምቾት በቅርበት ይከታተሉ።
መ. ላም ምቾትን ለማሸነፍ ለመርዳት ፍጥነትን ይጨምሩ.")</f>
        <v>ሀ. ወዲያውኑ ያቁሙ እና የአካል ጉዳት ወይም ምቾት ምልክቶችን ያረጋግጡ።
ለ. ላም ያለ ምንም ምቾት መደበኛውን ለመጨረስ ይግፉት።
ሐ. ላሟ ይቀጥል፣ ግን የሚመጣውን ምቾት በቅርበት ይከታተሉ።
መ. ላም ምቾትን ለማሸነፍ ለመርዳት ፍጥነትን ይጨምሩ.</v>
      </c>
      <c r="J27" s="11" t="str">
        <f>IFERROR(__xludf.DUMMYFUNCTION("GOOGLETRANSLATE(D27, ""en"", ""am"")"),"ወዲያውኑ ያቁሙ እና የአካል ጉዳት ወይም ምቾት ምልክቶችን ያረጋግጡ።")</f>
        <v>ወዲያውኑ ያቁሙ እና የአካል ጉዳት ወይም ምቾት ምልክቶችን ያረጋግጡ።</v>
      </c>
      <c r="K27" s="11" t="str">
        <f>IFERROR(__xludf.DUMMYFUNCTION("GOOGLETRANSLATE(E27, ""en"", ""am"")"),"ማቆም የላሙን ደህንነት እና ደህንነት ያረጋግጣል.")</f>
        <v>ማቆም የላሙን ደህንነት እና ደህንነት ያረጋግጣል.</v>
      </c>
    </row>
    <row r="28" ht="22.5" customHeight="1">
      <c r="A28" s="16">
        <v>27.0</v>
      </c>
      <c r="B28" s="16" t="s">
        <v>4185</v>
      </c>
      <c r="C28" s="16" t="s">
        <v>4186</v>
      </c>
      <c r="D28" s="16" t="s">
        <v>4187</v>
      </c>
      <c r="E28" s="16" t="s">
        <v>4188</v>
      </c>
      <c r="G28" s="11" t="str">
        <f>IFERROR(__xludf.DUMMYFUNCTION("GOOGLETRANSLATE(A28, ""en"", ""am"")"),"27")</f>
        <v>27</v>
      </c>
      <c r="H28" s="11" t="str">
        <f>IFERROR(__xludf.DUMMYFUNCTION("GOOGLETRANSLATE(B28, ""en"", ""am"")"),"ላሟ ትዘልላለች, ነገር ግን ማረፊያው ሻካራ ነው. ተቆጣጣሪው ምን ማድረግ አለበት?")</f>
        <v>ላሟ ትዘልላለች, ነገር ግን ማረፊያው ሻካራ ነው. ተቆጣጣሪው ምን ማድረግ አለበት?</v>
      </c>
      <c r="I28" s="11" t="str">
        <f>IFERROR(__xludf.DUMMYFUNCTION("GOOGLETRANSLATE(C28, ""en"", ""am"")"),"ሀ. ላሟን አረጋጉ እና በጋጣው ውስጥ በቀስታ ይምሩት።
ለ. በሚቀጥለው ጊዜ, ማረፊያው ለስላሳ እንዲሆን ፍጥነቱን ይጨምሩ.
ሐ. ላሟ ቀና እንድትል እና ዝላይዋን እንድትጨርስ አስገደዷት።
መ. ሻካራ ማረፊያው ካለቀ በኋላ ሁኔታውን ለመገምገም ላሟን አቁም.")</f>
        <v>ሀ. ላሟን አረጋጉ እና በጋጣው ውስጥ በቀስታ ይምሩት።
ለ. በሚቀጥለው ጊዜ, ማረፊያው ለስላሳ እንዲሆን ፍጥነቱን ይጨምሩ.
ሐ. ላሟ ቀና እንድትል እና ዝላይዋን እንድትጨርስ አስገደዷት።
መ. ሻካራ ማረፊያው ካለቀ በኋላ ሁኔታውን ለመገምገም ላሟን አቁም.</v>
      </c>
      <c r="J28" s="11" t="str">
        <f>IFERROR(__xludf.DUMMYFUNCTION("GOOGLETRANSLATE(D28, ""en"", ""am"")"),"ላሟን አረጋጋው እና በጋጣው ውስጥ በቀስታ ምራው።")</f>
        <v>ላሟን አረጋጋው እና በጋጣው ውስጥ በቀስታ ምራው።</v>
      </c>
      <c r="K28" s="11" t="str">
        <f>IFERROR(__xludf.DUMMYFUNCTION("GOOGLETRANSLATE(E28, ""en"", ""am"")"),"ረጋ ያለ መመሪያ ላሟ ከከባድ ማረፊያዎች እንዲያገግም ይረዳታል።")</f>
        <v>ረጋ ያለ መመሪያ ላሟ ከከባድ ማረፊያዎች እንዲያገግም ይረዳታል።</v>
      </c>
    </row>
    <row r="29" ht="22.5" customHeight="1">
      <c r="A29" s="16">
        <v>28.0</v>
      </c>
      <c r="B29" s="16" t="s">
        <v>4189</v>
      </c>
      <c r="C29" s="16" t="s">
        <v>4190</v>
      </c>
      <c r="D29" s="16" t="s">
        <v>4191</v>
      </c>
      <c r="E29" s="16" t="s">
        <v>4192</v>
      </c>
      <c r="G29" s="11" t="str">
        <f>IFERROR(__xludf.DUMMYFUNCTION("GOOGLETRANSLATE(A29, ""en"", ""am"")"),"28")</f>
        <v>28</v>
      </c>
      <c r="H29" s="11" t="str">
        <f>IFERROR(__xludf.DUMMYFUNCTION("GOOGLETRANSLATE(B29, ""en"", ""am"")"),"ላሟ ዝላይን ታጸዳለች ግን አላግባብ ታርፍ። ከሁሉ የተሻለው ምላሽ ምንድን ነው?")</f>
        <v>ላሟ ዝላይን ታጸዳለች ግን አላግባብ ታርፍ። ከሁሉ የተሻለው ምላሽ ምንድን ነው?</v>
      </c>
      <c r="I29" s="11" t="str">
        <f>IFERROR(__xludf.DUMMYFUNCTION("GOOGLETRANSLATE(C29, ""en"", ""am"")"),"ሀ. ላሟ ሚዛኑን ለመጠበቅ ማረፊያዋን እንድታስተካክል ጠየቀቻት።
ለ. ላሟ በተፈጥሮው እንዲያገግም ፍቀድ እና መዝለሉን ይቀጥሉ።
ሐ. ጉዳትን ለመከላከል ላሟን ወዲያውኑ ያቁሙ።
መ. ላም ያለ ምንም ጣልቃ ገብነት እንደገና ይሞክር.")</f>
        <v>ሀ. ላሟ ሚዛኑን ለመጠበቅ ማረፊያዋን እንድታስተካክል ጠየቀቻት።
ለ. ላሟ በተፈጥሮው እንዲያገግም ፍቀድ እና መዝለሉን ይቀጥሉ።
ሐ. ጉዳትን ለመከላከል ላሟን ወዲያውኑ ያቁሙ።
መ. ላም ያለ ምንም ጣልቃ ገብነት እንደገና ይሞክር.</v>
      </c>
      <c r="J29" s="11" t="str">
        <f>IFERROR(__xludf.DUMMYFUNCTION("GOOGLETRANSLATE(D29, ""en"", ""am"")"),"ላሟ ሚዛኑን ለመጠበቅ ማረፊያዋን እንድታስተካክል ጠየቃት።")</f>
        <v>ላሟ ሚዛኑን ለመጠበቅ ማረፊያዋን እንድታስተካክል ጠየቃት።</v>
      </c>
      <c r="K29" s="11" t="str">
        <f>IFERROR(__xludf.DUMMYFUNCTION("GOOGLETRANSLATE(E29, ""en"", ""am"")"),"ላሟን መምራት ሚዛኗን እና ደህንነቷን ለመጠበቅ ይረዳል.")</f>
        <v>ላሟን መምራት ሚዛኗን እና ደህንነቷን ለመጠበቅ ይረዳል.</v>
      </c>
    </row>
    <row r="30" ht="22.5" customHeight="1">
      <c r="A30" s="16">
        <v>29.0</v>
      </c>
      <c r="B30" s="16" t="s">
        <v>4193</v>
      </c>
      <c r="C30" s="16" t="s">
        <v>4194</v>
      </c>
      <c r="D30" s="16" t="s">
        <v>4195</v>
      </c>
      <c r="E30" s="16" t="s">
        <v>4196</v>
      </c>
      <c r="G30" s="11" t="str">
        <f>IFERROR(__xludf.DUMMYFUNCTION("GOOGLETRANSLATE(A30, ""en"", ""am"")"),"29")</f>
        <v>29</v>
      </c>
      <c r="H30" s="11" t="str">
        <f>IFERROR(__xludf.DUMMYFUNCTION("GOOGLETRANSLATE(B30, ""en"", ""am"")"),"ላሟ ሁል ጊዜ እየዘለለ ነው, ነገር ግን ተቆጣጣሪው የበለጠ ቀልጣፋ እንደሚሆን ይሰማዋል. ምን መደረግ አለበት?")</f>
        <v>ላሟ ሁል ጊዜ እየዘለለ ነው, ነገር ግን ተቆጣጣሪው የበለጠ ቀልጣፋ እንደሚሆን ይሰማዋል. ምን መደረግ አለበት?</v>
      </c>
      <c r="I30" s="11" t="str">
        <f>IFERROR(__xludf.DUMMYFUNCTION("GOOGLETRANSLATE(C30, ""en"", ""am"")"),"ሀ. አቀማመጥዎን እና አቀራረብዎን በማሻሻል ላይ ያተኩሩ።
ለ. መዝለሎቹን ፈጣን ለማድረግ ፍጥነትን ይጨምሩ።
ሐ. ላሟ በበለጠ ኃይል ወደ ላይ እንድትወጣ አበረታቷት።
መ. ላሟ አሁን ባለችበት ፍጥነት ትቀጥል።")</f>
        <v>ሀ. አቀማመጥዎን እና አቀራረብዎን በማሻሻል ላይ ያተኩሩ።
ለ. መዝለሎቹን ፈጣን ለማድረግ ፍጥነትን ይጨምሩ።
ሐ. ላሟ በበለጠ ኃይል ወደ ላይ እንድትወጣ አበረታቷት።
መ. ላሟ አሁን ባለችበት ፍጥነት ትቀጥል።</v>
      </c>
      <c r="J30" s="11" t="str">
        <f>IFERROR(__xludf.DUMMYFUNCTION("GOOGLETRANSLATE(D30, ""en"", ""am"")"),"የእርስዎን አቀማመጥ እና አቀራረብ በማሻሻል ላይ ያተኩሩ.")</f>
        <v>የእርስዎን አቀማመጥ እና አቀራረብ በማሻሻል ላይ ያተኩሩ.</v>
      </c>
      <c r="K30" s="11" t="str">
        <f>IFERROR(__xludf.DUMMYFUNCTION("GOOGLETRANSLATE(E30, ""en"", ""am"")"),"አቀማመጥን ማሻሻል መዝለሎችን የበለጠ ውጤታማ ለማድረግ ይረዳል.")</f>
        <v>አቀማመጥን ማሻሻል መዝለሎችን የበለጠ ውጤታማ ለማድረግ ይረዳል.</v>
      </c>
    </row>
    <row r="31" ht="22.5" customHeight="1">
      <c r="A31" s="16">
        <v>30.0</v>
      </c>
      <c r="B31" s="16" t="s">
        <v>4197</v>
      </c>
      <c r="C31" s="16" t="s">
        <v>4198</v>
      </c>
      <c r="D31" s="16" t="s">
        <v>4199</v>
      </c>
      <c r="E31" s="16" t="s">
        <v>4200</v>
      </c>
      <c r="G31" s="11" t="str">
        <f>IFERROR(__xludf.DUMMYFUNCTION("GOOGLETRANSLATE(A31, ""en"", ""am"")"),"30")</f>
        <v>30</v>
      </c>
      <c r="H31" s="11" t="str">
        <f>IFERROR(__xludf.DUMMYFUNCTION("GOOGLETRANSLATE(B31, ""en"", ""am"")"),"ላሟ ከመዝለሏ በፊት ታመነታለች። ከሁሉ የተሻለው ምላሽ ምንድን ነው?")</f>
        <v>ላሟ ከመዝለሏ በፊት ታመነታለች። ከሁሉ የተሻለው ምላሽ ምንድን ነው?</v>
      </c>
      <c r="I31" s="11" t="str">
        <f>IFERROR(__xludf.DUMMYFUNCTION("GOOGLETRANSLATE(C31, ""en"", ""am"")"),"ሀ. ላሟን አረጋጋ እና የተረጋጋ አካባቢን ጠብቅ።
ለ. ላሟ ወደ ፊት በመግፋት እንድትዘል ያስገድድ።
ሐ. ማመንታት ለማቃለል የመዝለልን ችግር ይቀንሱ።
መ. የዕለት ተዕለት እንቅስቃሴውን አቁም እና ላሟ እንዲያርፍ አድርግ።")</f>
        <v>ሀ. ላሟን አረጋጋ እና የተረጋጋ አካባቢን ጠብቅ።
ለ. ላሟ ወደ ፊት በመግፋት እንድትዘል ያስገድድ።
ሐ. ማመንታት ለማቃለል የመዝለልን ችግር ይቀንሱ።
መ. የዕለት ተዕለት እንቅስቃሴውን አቁም እና ላሟ እንዲያርፍ አድርግ።</v>
      </c>
      <c r="J31" s="11" t="str">
        <f>IFERROR(__xludf.DUMMYFUNCTION("GOOGLETRANSLATE(D31, ""en"", ""am"")"),"ላሟን አረጋጋ እና የተረጋጋ አካባቢን ጠብቅ.")</f>
        <v>ላሟን አረጋጋ እና የተረጋጋ አካባቢን ጠብቅ.</v>
      </c>
      <c r="K31" s="11" t="str">
        <f>IFERROR(__xludf.DUMMYFUNCTION("GOOGLETRANSLATE(E31, ""en"", ""am"")"),"መረጋጋት ላሟን ለማረጋጋት እና ማመንታትን ለማሸነፍ ይረዳል.")</f>
        <v>መረጋጋት ላሟን ለማረጋጋት እና ማመንታትን ለማሸነፍ ይረዳል.</v>
      </c>
    </row>
    <row r="32" ht="22.5" customHeight="1">
      <c r="A32" s="16">
        <v>31.0</v>
      </c>
      <c r="B32" s="16" t="s">
        <v>4201</v>
      </c>
      <c r="C32" s="16" t="s">
        <v>4202</v>
      </c>
      <c r="D32" s="16" t="s">
        <v>4203</v>
      </c>
      <c r="E32" s="16" t="s">
        <v>4204</v>
      </c>
      <c r="G32" s="11" t="str">
        <f>IFERROR(__xludf.DUMMYFUNCTION("GOOGLETRANSLATE(A32, ""en"", ""am"")"),"31")</f>
        <v>31</v>
      </c>
      <c r="H32" s="11" t="str">
        <f>IFERROR(__xludf.DUMMYFUNCTION("GOOGLETRANSLATE(B32, ""en"", ""am"")"),"ላሟ ከመዝለሏ በፊት ከመጠን በላይ የደስታ ይመስላል። ተቆጣጣሪው ይህንን እንዴት መቆጣጠር አለበት?")</f>
        <v>ላሟ ከመዝለሏ በፊት ከመጠን በላይ የደስታ ይመስላል። ተቆጣጣሪው ይህንን እንዴት መቆጣጠር አለበት?</v>
      </c>
      <c r="I32" s="11" t="str">
        <f>IFERROR(__xludf.DUMMYFUNCTION("GOOGLETRANSLATE(C32, ""en"", ""am"")"),"ሀ. ላሟን በእርጋታ በመናገር እና ዘንዶውን በመያዝ አረጋጋው።
ለ. ለመዝለል መነሳሳትን የመፍጠር ደስታን ያበረታቱ።
ሐ. ከመጠን በላይ ኃይልን ለመልቀቅ ፍጥነትን ይጨምሩ።
መ) ላሟ ወዲያው እንድትረጋጋ አስገደዷት።")</f>
        <v>ሀ. ላሟን በእርጋታ በመናገር እና ዘንዶውን በመያዝ አረጋጋው።
ለ. ለመዝለል መነሳሳትን የመፍጠር ደስታን ያበረታቱ።
ሐ. ከመጠን በላይ ኃይልን ለመልቀቅ ፍጥነትን ይጨምሩ።
መ) ላሟ ወዲያው እንድትረጋጋ አስገደዷት።</v>
      </c>
      <c r="J32" s="11" t="str">
        <f>IFERROR(__xludf.DUMMYFUNCTION("GOOGLETRANSLATE(D32, ""en"", ""am"")"),"በቀስታ በመናገር እና ዘንዶውን በመያዝ ላሟን አረጋጋው።")</f>
        <v>በቀስታ በመናገር እና ዘንዶውን በመያዝ ላሟን አረጋጋው።</v>
      </c>
      <c r="K32" s="11" t="str">
        <f>IFERROR(__xludf.DUMMYFUNCTION("GOOGLETRANSLATE(E32, ""en"", ""am"")"),"ማረጋጋት ላም በተሻለ ዝላይ ላይ እንዲያተኩር ይረዳል።")</f>
        <v>ማረጋጋት ላም በተሻለ ዝላይ ላይ እንዲያተኩር ይረዳል።</v>
      </c>
    </row>
    <row r="33" ht="22.5" customHeight="1">
      <c r="A33" s="16">
        <v>32.0</v>
      </c>
      <c r="B33" s="16" t="s">
        <v>4205</v>
      </c>
      <c r="C33" s="16" t="s">
        <v>4206</v>
      </c>
      <c r="D33" s="16" t="s">
        <v>4207</v>
      </c>
      <c r="E33" s="16" t="s">
        <v>4208</v>
      </c>
      <c r="G33" s="11" t="str">
        <f>IFERROR(__xludf.DUMMYFUNCTION("GOOGLETRANSLATE(A33, ""en"", ""am"")"),"32")</f>
        <v>32</v>
      </c>
      <c r="H33" s="11" t="str">
        <f>IFERROR(__xludf.DUMMYFUNCTION("GOOGLETRANSLATE(B33, ""en"", ""am"")"),"የላም ዝላይ በጣም ደካማ ነው እናም አስፈላጊውን ቁመት ላይ አይደርስም. ምን መደረግ አለበት?")</f>
        <v>የላም ዝላይ በጣም ደካማ ነው እናም አስፈላጊውን ቁመት ላይ አይደርስም. ምን መደረግ አለበት?</v>
      </c>
      <c r="I33" s="11" t="str">
        <f>IFERROR(__xludf.DUMMYFUNCTION("GOOGLETRANSLATE(C33, ""en"", ""am"")"),"ሀ. ላም በበለጠ ጥረት እና ትኩረት እንድትዘል አበረታቷት።
ለ. የመዝለል ችግርን ይቀንሱ እና እንደገና ይሞክሩ።
ሐ. በሚቀጥለው ጊዜ ላሟ የበለጠ ኃይለኛ ዝላይ እንድትሠራ አስተምራቸው።
መ. ላሟን ለመዝለል ዝግጁነትዎን ያቁሙ እና እንደገና ይገምግሙ።")</f>
        <v>ሀ. ላም በበለጠ ጥረት እና ትኩረት እንድትዘል አበረታቷት።
ለ. የመዝለል ችግርን ይቀንሱ እና እንደገና ይሞክሩ።
ሐ. በሚቀጥለው ጊዜ ላሟ የበለጠ ኃይለኛ ዝላይ እንድትሠራ አስተምራቸው።
መ. ላሟን ለመዝለል ዝግጁነትዎን ያቁሙ እና እንደገና ይገምግሙ።</v>
      </c>
      <c r="J33" s="11" t="str">
        <f>IFERROR(__xludf.DUMMYFUNCTION("GOOGLETRANSLATE(D33, ""en"", ""am"")"),"ላም በበለጠ ጥረት እና ትኩረት እንድትዘል ያበረታቱት።")</f>
        <v>ላም በበለጠ ጥረት እና ትኩረት እንድትዘል ያበረታቱት።</v>
      </c>
      <c r="K33" s="11" t="str">
        <f>IFERROR(__xludf.DUMMYFUNCTION("GOOGLETRANSLATE(E33, ""en"", ""am"")"),"ጥረቱ እና ትኩረት ላም ወደሚፈለገው ቁመት መድረሱን ያረጋግጣል.")</f>
        <v>ጥረቱ እና ትኩረት ላም ወደሚፈለገው ቁመት መድረሱን ያረጋግጣል.</v>
      </c>
    </row>
    <row r="34" ht="22.5" customHeight="1">
      <c r="A34" s="16">
        <v>33.0</v>
      </c>
      <c r="B34" s="16" t="s">
        <v>4209</v>
      </c>
      <c r="C34" s="16" t="s">
        <v>4210</v>
      </c>
      <c r="D34" s="16" t="s">
        <v>4211</v>
      </c>
      <c r="E34" s="16" t="s">
        <v>4212</v>
      </c>
      <c r="G34" s="11" t="str">
        <f>IFERROR(__xludf.DUMMYFUNCTION("GOOGLETRANSLATE(A34, ""en"", ""am"")"),"33")</f>
        <v>33</v>
      </c>
      <c r="H34" s="11" t="str">
        <f>IFERROR(__xludf.DUMMYFUNCTION("GOOGLETRANSLATE(B34, ""en"", ""am"")"),"ላሟ ፍጹም ዝላይ ታደርጋለች፣ ማረፊያዋ ግን ትንሽ ዘግይቷል። ተቆጣጣሪው ምን ማድረግ አለበት?")</f>
        <v>ላሟ ፍጹም ዝላይ ታደርጋለች፣ ማረፊያዋ ግን ትንሽ ዘግይቷል። ተቆጣጣሪው ምን ማድረግ አለበት?</v>
      </c>
      <c r="I34" s="11" t="str">
        <f>IFERROR(__xludf.DUMMYFUNCTION("GOOGLETRANSLATE(C34, ""en"", ""am"")"),"ሀ. ላሟ በቁጥጥር ስር መሆኗን እና ያለችግር ማረፍዋን አረጋግጥ።
ለ. ላም በተፈጥሮው ቦታውን እንዲያስተካክል ይፍቀዱለት.
ሐ. መዝለሉን ያቁሙ እና ላሟ ለሌላው ዝግጁነት ይገምግሙ።
መ. ላም ሳትዘገይ መደበኛውን እንድታጠናቅቅ አበረታታ።")</f>
        <v>ሀ. ላሟ በቁጥጥር ስር መሆኗን እና ያለችግር ማረፍዋን አረጋግጥ።
ለ. ላም በተፈጥሮው ቦታውን እንዲያስተካክል ይፍቀዱለት.
ሐ. መዝለሉን ያቁሙ እና ላሟ ለሌላው ዝግጁነት ይገምግሙ።
መ. ላም ሳትዘገይ መደበኛውን እንድታጠናቅቅ አበረታታ።</v>
      </c>
      <c r="J34" s="11" t="str">
        <f>IFERROR(__xludf.DUMMYFUNCTION("GOOGLETRANSLATE(D34, ""en"", ""am"")"),"ላሟ በቁጥጥር ስር መሆኗን እና ያለምንም ችግር ማረፍዎን ያረጋግጡ።")</f>
        <v>ላሟ በቁጥጥር ስር መሆኗን እና ያለምንም ችግር ማረፍዎን ያረጋግጡ።</v>
      </c>
      <c r="K34" s="11" t="str">
        <f>IFERROR(__xludf.DUMMYFUNCTION("GOOGLETRANSLATE(E34, ""en"", ""am"")"),"ለስላሳ ማረፊያ ለላሟ ደህንነት አስፈላጊ ነው.")</f>
        <v>ለስላሳ ማረፊያ ለላሟ ደህንነት አስፈላጊ ነው.</v>
      </c>
    </row>
    <row r="35" ht="22.5" customHeight="1">
      <c r="A35" s="16">
        <v>34.0</v>
      </c>
      <c r="B35" s="16" t="s">
        <v>4213</v>
      </c>
      <c r="C35" s="16" t="s">
        <v>4214</v>
      </c>
      <c r="D35" s="16" t="s">
        <v>4215</v>
      </c>
      <c r="E35" s="16" t="s">
        <v>4216</v>
      </c>
      <c r="G35" s="11" t="str">
        <f>IFERROR(__xludf.DUMMYFUNCTION("GOOGLETRANSLATE(A35, ""en"", ""am"")"),"34")</f>
        <v>34</v>
      </c>
      <c r="H35" s="11" t="str">
        <f>IFERROR(__xludf.DUMMYFUNCTION("GOOGLETRANSLATE(B35, ""en"", ""am"")"),"ላሟ በመዝለል ላይ ተከታታይ ስህተቶችን እየሰራች ነው። ተቆጣጣሪው በምን ላይ ማተኮር አለበት?")</f>
        <v>ላሟ በመዝለል ላይ ተከታታይ ስህተቶችን እየሰራች ነው። ተቆጣጣሪው በምን ላይ ማተኮር አለበት?</v>
      </c>
      <c r="I35" s="11" t="str">
        <f>IFERROR(__xludf.DUMMYFUNCTION("GOOGLETRANSLATE(C35, ""en"", ""am"")"),"ሀ. የላሟን ስልጠና እንደገና ገምግመው በተለመደው ሁኔታ ላይ ማስተካከያ ያድርጉ.
ለ. ላም ያለ ለውጥ እንድትቀጥል አበረታቷት።
ሐ. የላሙን አቅም ለማሻሻል ችግርን ይጨምሩ።
መ. ከመቀጠልዎ በፊት ላሟን ለማስተካከል ተጨማሪ ጊዜ ይስጡት.")</f>
        <v>ሀ. የላሟን ስልጠና እንደገና ገምግመው በተለመደው ሁኔታ ላይ ማስተካከያ ያድርጉ.
ለ. ላም ያለ ለውጥ እንድትቀጥል አበረታቷት።
ሐ. የላሙን አቅም ለማሻሻል ችግርን ይጨምሩ።
መ. ከመቀጠልዎ በፊት ላሟን ለማስተካከል ተጨማሪ ጊዜ ይስጡት.</v>
      </c>
      <c r="J35" s="11" t="str">
        <f>IFERROR(__xludf.DUMMYFUNCTION("GOOGLETRANSLATE(D35, ""en"", ""am"")"),"የላሟን ስልጠና እንደገና ይገምግሙ እና በተለመደው ሁኔታ ላይ ማስተካከያ ያድርጉ.")</f>
        <v>የላሟን ስልጠና እንደገና ይገምግሙ እና በተለመደው ሁኔታ ላይ ማስተካከያ ያድርጉ.</v>
      </c>
      <c r="K35" s="11" t="str">
        <f>IFERROR(__xludf.DUMMYFUNCTION("GOOGLETRANSLATE(E35, ""en"", ""am"")"),"መደበኛውን ማስተካከል የላም አፈፃፀምን ለማሻሻል ይረዳል.")</f>
        <v>መደበኛውን ማስተካከል የላም አፈፃፀምን ለማሻሻል ይረዳል.</v>
      </c>
    </row>
    <row r="36" ht="22.5" customHeight="1">
      <c r="A36" s="16">
        <v>35.0</v>
      </c>
      <c r="B36" s="16" t="s">
        <v>4217</v>
      </c>
      <c r="C36" s="16" t="s">
        <v>4218</v>
      </c>
      <c r="D36" s="16" t="s">
        <v>4219</v>
      </c>
      <c r="E36" s="16" t="s">
        <v>4220</v>
      </c>
      <c r="G36" s="11" t="str">
        <f>IFERROR(__xludf.DUMMYFUNCTION("GOOGLETRANSLATE(A36, ""en"", ""am"")"),"35")</f>
        <v>35</v>
      </c>
      <c r="H36" s="11" t="str">
        <f>IFERROR(__xludf.DUMMYFUNCTION("GOOGLETRANSLATE(B36, ""en"", ""am"")"),"ላም በቀላሉ አስቸጋሪ ዝላይን ያጸዳል. ቀጥሎ ምን መደረግ አለበት?")</f>
        <v>ላም በቀላሉ አስቸጋሪ ዝላይን ያጸዳል. ቀጥሎ ምን መደረግ አለበት?</v>
      </c>
      <c r="I36" s="11" t="str">
        <f>IFERROR(__xludf.DUMMYFUNCTION("GOOGLETRANSLATE(C36, ""en"", ""am"")"),"ሀ. ላሟን አመስግኑት እና ከሚቀጥለው ፈተና በፊት ትንሽ እረፍት ስጧት.
ለ. የሚቀጥለውን የመዝለል ችግር ወዲያውኑ ይጨምሩ።
ሐ. ላሟ ለሚቀጥለው ፈተና እስክትዘጋጅ ድረስ እንድታርፍ አድርግ።
መ. ላሟን እረፍት ስጡ እና በኋላ ስልጠና ይቀጥሉ.")</f>
        <v>ሀ. ላሟን አመስግኑት እና ከሚቀጥለው ፈተና በፊት ትንሽ እረፍት ስጧት.
ለ. የሚቀጥለውን የመዝለል ችግር ወዲያውኑ ይጨምሩ።
ሐ. ላሟ ለሚቀጥለው ፈተና እስክትዘጋጅ ድረስ እንድታርፍ አድርግ።
መ. ላሟን እረፍት ስጡ እና በኋላ ስልጠና ይቀጥሉ.</v>
      </c>
      <c r="J36" s="11" t="str">
        <f>IFERROR(__xludf.DUMMYFUNCTION("GOOGLETRANSLATE(D36, ""en"", ""am"")"),"ላሟን አመስግኑት እና ከሚቀጥለው ፈተና በፊት ትንሽ እረፍት ስጧት.")</f>
        <v>ላሟን አመስግኑት እና ከሚቀጥለው ፈተና በፊት ትንሽ እረፍት ስጧት.</v>
      </c>
      <c r="K36" s="11" t="str">
        <f>IFERROR(__xludf.DUMMYFUNCTION("GOOGLETRANSLATE(E36, ""en"", ""am"")"),"ማመስገን የላሟን ግለት እና በራስ መተማመን ለመጠበቅ ይረዳል።")</f>
        <v>ማመስገን የላሟን ግለት እና በራስ መተማመን ለመጠበቅ ይረዳል።</v>
      </c>
    </row>
    <row r="37" ht="22.5" customHeight="1">
      <c r="A37" s="16">
        <v>36.0</v>
      </c>
      <c r="B37" s="16" t="s">
        <v>4221</v>
      </c>
      <c r="C37" s="16" t="s">
        <v>4222</v>
      </c>
      <c r="D37" s="16" t="s">
        <v>4223</v>
      </c>
      <c r="E37" s="16" t="s">
        <v>4224</v>
      </c>
      <c r="G37" s="11" t="str">
        <f>IFERROR(__xludf.DUMMYFUNCTION("GOOGLETRANSLATE(A37, ""en"", ""am"")"),"36")</f>
        <v>36</v>
      </c>
      <c r="H37" s="11" t="str">
        <f>IFERROR(__xludf.DUMMYFUNCTION("GOOGLETRANSLATE(B37, ""en"", ""am"")"),"በዝላይ ጊዜ የላሙ ፍጥነት የማይጣጣም ይመስላል። ምን ሊደረግ ይችላል?")</f>
        <v>በዝላይ ጊዜ የላሙ ፍጥነት የማይጣጣም ይመስላል። ምን ሊደረግ ይችላል?</v>
      </c>
      <c r="I37" s="11" t="str">
        <f>IFERROR(__xludf.DUMMYFUNCTION("GOOGLETRANSLATE(C37, ""en"", ""am"")"),"ሀ. የላሙን ፍጥነት ያስተካክሉ እና በመዝለሉ ውስጥ የማያቋርጥ ኃይል ያረጋግጡ።
ለ. ላሟ በፍጥነት እንድትሄድ አበረታቷት።
ሐ. ላሟ ትኩረት እንድትሰጥ ቀስ አድርገው።
መ. ዝላይን በፍጥነት ለማጠናቀቅ የላሙን ፍጥነት ይጨምሩ።")</f>
        <v>ሀ. የላሙን ፍጥነት ያስተካክሉ እና በመዝለሉ ውስጥ የማያቋርጥ ኃይል ያረጋግጡ።
ለ. ላሟ በፍጥነት እንድትሄድ አበረታቷት።
ሐ. ላሟ ትኩረት እንድትሰጥ ቀስ አድርገው።
መ. ዝላይን በፍጥነት ለማጠናቀቅ የላሙን ፍጥነት ይጨምሩ።</v>
      </c>
      <c r="J37" s="11" t="str">
        <f>IFERROR(__xludf.DUMMYFUNCTION("GOOGLETRANSLATE(D37, ""en"", ""am"")"),"የላሙን ፍጥነት ያስተካክሉ እና በመዝለሉ ውስጥ የማያቋርጥ ኃይል ያረጋግጡ።")</f>
        <v>የላሙን ፍጥነት ያስተካክሉ እና በመዝለሉ ውስጥ የማያቋርጥ ኃይል ያረጋግጡ።</v>
      </c>
      <c r="K37" s="11" t="str">
        <f>IFERROR(__xludf.DUMMYFUNCTION("GOOGLETRANSLATE(E37, ""en"", ""am"")"),"ወጥነት ያለው የእግር ጉዞ የተሻለ ቁጥጥር እና ስኬትን መዝለልን ያረጋግጣል።")</f>
        <v>ወጥነት ያለው የእግር ጉዞ የተሻለ ቁጥጥር እና ስኬትን መዝለልን ያረጋግጣል።</v>
      </c>
    </row>
    <row r="38" ht="22.5" customHeight="1">
      <c r="A38" s="16">
        <v>37.0</v>
      </c>
      <c r="B38" s="16" t="s">
        <v>4225</v>
      </c>
      <c r="C38" s="16" t="s">
        <v>4226</v>
      </c>
      <c r="D38" s="16" t="s">
        <v>4227</v>
      </c>
      <c r="E38" s="16" t="s">
        <v>4228</v>
      </c>
      <c r="G38" s="11" t="str">
        <f>IFERROR(__xludf.DUMMYFUNCTION("GOOGLETRANSLATE(A38, ""en"", ""am"")"),"37")</f>
        <v>37</v>
      </c>
      <c r="H38" s="11" t="str">
        <f>IFERROR(__xludf.DUMMYFUNCTION("GOOGLETRANSLATE(B38, ""en"", ""am"")"),"ላሟ አርፋ ቢሆንም የተጎዳች ትመስላለች። ወዲያውኑ ምን መደረግ አለበት?")</f>
        <v>ላሟ አርፋ ቢሆንም የተጎዳች ትመስላለች። ወዲያውኑ ምን መደረግ አለበት?</v>
      </c>
      <c r="I38" s="11" t="str">
        <f>IFERROR(__xludf.DUMMYFUNCTION("GOOGLETRANSLATE(C38, ""en"", ""am"")"),"ሀ. ወዲያውኑ ያቁሙ እና የላሟን ጉዳት ይገምግሙ።
ለ. እንደተለመደው ይቀጥሉ እና በኋላ ላይ ጉዳት መኖሩን ያረጋግጡ.
ሐ. መሻሻል አለመኖሩን ለማየት ሌላ ዝላይ ለማድረግ ላሟን ግፋ።
መ. ላሟን ቀስ አድርገው እና ​​እስክትድን ድረስ ይጠብቁ.")</f>
        <v>ሀ. ወዲያውኑ ያቁሙ እና የላሟን ጉዳት ይገምግሙ።
ለ. እንደተለመደው ይቀጥሉ እና በኋላ ላይ ጉዳት መኖሩን ያረጋግጡ.
ሐ. መሻሻል አለመኖሩን ለማየት ሌላ ዝላይ ለማድረግ ላሟን ግፋ።
መ. ላሟን ቀስ አድርገው እና ​​እስክትድን ድረስ ይጠብቁ.</v>
      </c>
      <c r="J38" s="11" t="str">
        <f>IFERROR(__xludf.DUMMYFUNCTION("GOOGLETRANSLATE(D38, ""en"", ""am"")"),"ወዲያውኑ ያቁሙ እና የላሟን ጉዳት ይገምግሙ።")</f>
        <v>ወዲያውኑ ያቁሙ እና የላሟን ጉዳት ይገምግሙ።</v>
      </c>
      <c r="K38" s="11" t="str">
        <f>IFERROR(__xludf.DUMMYFUNCTION("GOOGLETRANSLATE(E38, ""en"", ""am"")"),"ፈጣን ግምገማ ተጨማሪ ጉዳቶችን ለመከላከል ይረዳል.")</f>
        <v>ፈጣን ግምገማ ተጨማሪ ጉዳቶችን ለመከላከል ይረዳል.</v>
      </c>
    </row>
    <row r="39" ht="22.5" customHeight="1">
      <c r="A39" s="16">
        <v>38.0</v>
      </c>
      <c r="B39" s="16" t="s">
        <v>4229</v>
      </c>
      <c r="C39" s="16" t="s">
        <v>4230</v>
      </c>
      <c r="D39" s="16" t="s">
        <v>4231</v>
      </c>
      <c r="E39" s="16" t="s">
        <v>4232</v>
      </c>
      <c r="G39" s="11" t="str">
        <f>IFERROR(__xludf.DUMMYFUNCTION("GOOGLETRANSLATE(A39, ""en"", ""am"")"),"38")</f>
        <v>38</v>
      </c>
      <c r="H39" s="11" t="str">
        <f>IFERROR(__xludf.DUMMYFUNCTION("GOOGLETRANSLATE(B39, ""en"", ""am"")"),"በዝላይ ተግባር ወቅት ላሟ ያልተነሳሳ ይመስላል። ከሁሉ የተሻለው ምላሽ ምንድን ነው?")</f>
        <v>በዝላይ ተግባር ወቅት ላሟ ያልተነሳሳ ይመስላል። ከሁሉ የተሻለው ምላሽ ምንድን ነው?</v>
      </c>
      <c r="I39" s="11" t="str">
        <f>IFERROR(__xludf.DUMMYFUNCTION("GOOGLETRANSLATE(C39, ""en"", ""am"")"),"ሀ. ላሟን አረጋጉ እና አበረታቷት።
ለ/ ላሟን እንደተለመደው እንድትቀጥል አስገደዷት።
ሐ. ላሚቱ አረፈ እና በኋላ ይቀጥሉ.
መ. ላሟን የመቋቋም ችግር የበለጠ ይጨምሩበት።")</f>
        <v>ሀ. ላሟን አረጋጉ እና አበረታቷት።
ለ/ ላሟን እንደተለመደው እንድትቀጥል አስገደዷት።
ሐ. ላሚቱ አረፈ እና በኋላ ይቀጥሉ.
መ. ላሟን የመቋቋም ችግር የበለጠ ይጨምሩበት።</v>
      </c>
      <c r="J39" s="11" t="str">
        <f>IFERROR(__xludf.DUMMYFUNCTION("GOOGLETRANSLATE(D39, ""en"", ""am"")"),"ላሟን አረጋጉ እና አበረታቷት።")</f>
        <v>ላሟን አረጋጉ እና አበረታቷት።</v>
      </c>
      <c r="K39" s="11" t="str">
        <f>IFERROR(__xludf.DUMMYFUNCTION("GOOGLETRANSLATE(E39, ""en"", ""am"")"),"ማበረታታት የላሙን ተነሳሽነት ለመጨመር ይረዳል.")</f>
        <v>ማበረታታት የላሙን ተነሳሽነት ለመጨመር ይረዳል.</v>
      </c>
    </row>
    <row r="40" ht="22.5" customHeight="1">
      <c r="A40" s="16">
        <v>39.0</v>
      </c>
      <c r="B40" s="16" t="s">
        <v>4233</v>
      </c>
      <c r="C40" s="16" t="s">
        <v>4234</v>
      </c>
      <c r="D40" s="16" t="s">
        <v>4235</v>
      </c>
      <c r="E40" s="16" t="s">
        <v>4236</v>
      </c>
      <c r="G40" s="11" t="str">
        <f>IFERROR(__xludf.DUMMYFUNCTION("GOOGLETRANSLATE(A40, ""en"", ""am"")"),"39")</f>
        <v>39</v>
      </c>
      <c r="H40" s="11" t="str">
        <f>IFERROR(__xludf.DUMMYFUNCTION("GOOGLETRANSLATE(B40, ""en"", ""am"")"),"ላሟ አስቸጋሪ ዝላይን ታጸዳለች ነገር ግን ደካማ ትመስላለች. ምን መደረግ አለበት?")</f>
        <v>ላሟ አስቸጋሪ ዝላይን ታጸዳለች ነገር ግን ደካማ ትመስላለች. ምን መደረግ አለበት?</v>
      </c>
      <c r="I40" s="11" t="str">
        <f>IFERROR(__xludf.DUMMYFUNCTION("GOOGLETRANSLATE(C40, ""en"", ""am"")"),"ሀ. ላም ከሚቀጥለው ሙከራ በፊት እንዲያርፍ እና እንዲጠጣ ይፍቀዱለት።
ለ. ቢደክሙም ላሟን ግፋው መደበኛውን ስራውን ያጠናቅቃል።
ሐ. ላሟ ማረፍ እንድትቀጥል አበረታቷት።
መ. ያቁሙ እና ላሟ ከመቀጠልዎ በፊት ሙሉ በሙሉ እንዲያገግም ይፍቀዱለት።")</f>
        <v>ሀ. ላም ከሚቀጥለው ሙከራ በፊት እንዲያርፍ እና እንዲጠጣ ይፍቀዱለት።
ለ. ቢደክሙም ላሟን ግፋው መደበኛውን ስራውን ያጠናቅቃል።
ሐ. ላሟ ማረፍ እንድትቀጥል አበረታቷት።
መ. ያቁሙ እና ላሟ ከመቀጠልዎ በፊት ሙሉ በሙሉ እንዲያገግም ይፍቀዱለት።</v>
      </c>
      <c r="J40" s="11" t="str">
        <f>IFERROR(__xludf.DUMMYFUNCTION("GOOGLETRANSLATE(D40, ""en"", ""am"")"),"ከሚቀጥለው ሙከራ በፊት ላም እንዲያርፍ እና እንዲጠጣ ይፍቀዱለት.")</f>
        <v>ከሚቀጥለው ሙከራ በፊት ላም እንዲያርፍ እና እንዲጠጣ ይፍቀዱለት.</v>
      </c>
      <c r="K40" s="11" t="str">
        <f>IFERROR(__xludf.DUMMYFUNCTION("GOOGLETRANSLATE(E40, ""en"", ""am"")"),"እረፍት እና እርጥበት ላሟ በተሻለ ሁኔታ እንዲሠራ ይረዳል.")</f>
        <v>እረፍት እና እርጥበት ላሟ በተሻለ ሁኔታ እንዲሠራ ይረዳል.</v>
      </c>
    </row>
    <row r="41" ht="22.5" customHeight="1">
      <c r="A41" s="16">
        <v>40.0</v>
      </c>
      <c r="B41" s="16" t="s">
        <v>4237</v>
      </c>
      <c r="C41" s="16" t="s">
        <v>4238</v>
      </c>
      <c r="D41" s="16" t="s">
        <v>4239</v>
      </c>
      <c r="E41" s="16" t="s">
        <v>4240</v>
      </c>
      <c r="G41" s="11" t="str">
        <f>IFERROR(__xludf.DUMMYFUNCTION("GOOGLETRANSLATE(A41, ""en"", ""am"")"),"40")</f>
        <v>40</v>
      </c>
      <c r="H41" s="11" t="str">
        <f>IFERROR(__xludf.DUMMYFUNCTION("GOOGLETRANSLATE(B41, ""en"", ""am"")"),"ላሟ ከመዝለሏ በፊት የደነገጠች ትመስላለች። ለተቆጣጣሪው በጣም ጥሩው አቀራረብ ምንድነው?")</f>
        <v>ላሟ ከመዝለሏ በፊት የደነገጠች ትመስላለች። ለተቆጣጣሪው በጣም ጥሩው አቀራረብ ምንድነው?</v>
      </c>
      <c r="I41" s="11" t="str">
        <f>IFERROR(__xludf.DUMMYFUNCTION("GOOGLETRANSLATE(C41, ""en"", ""am"")"),"ሀ. ላሟን ለስላሳ ቃላት እና በተረጋጋ እጅ ያረጋጋው።
ለ. ላም ብትፈራም እንድትዘል አስገደዷት።
ሐ. ነርቭን ችላ ይበሉ እና ይቀጥሉ።
መ. ላሟ እንዲያርፍ አበረታቷት እና ቆይተው እንደገና ይሞክሩ።")</f>
        <v>ሀ. ላሟን ለስላሳ ቃላት እና በተረጋጋ እጅ ያረጋጋው።
ለ. ላም ብትፈራም እንድትዘል አስገደዷት።
ሐ. ነርቭን ችላ ይበሉ እና ይቀጥሉ።
መ. ላሟ እንዲያርፍ አበረታቷት እና ቆይተው እንደገና ይሞክሩ።</v>
      </c>
      <c r="J41" s="11" t="str">
        <f>IFERROR(__xludf.DUMMYFUNCTION("GOOGLETRANSLATE(D41, ""en"", ""am"")"),"ላሟን ለስላሳ ቃላት እና በተረጋጋ እጅ ያረጋጋው።")</f>
        <v>ላሟን ለስላሳ ቃላት እና በተረጋጋ እጅ ያረጋጋው።</v>
      </c>
      <c r="K41" s="11" t="str">
        <f>IFERROR(__xludf.DUMMYFUNCTION("GOOGLETRANSLATE(E41, ""en"", ""am"")"),"ላም መረጋጋት የነርቭ ውጥረትን እና ትኩረትን ለማሸነፍ ይረዳል.")</f>
        <v>ላም መረጋጋት የነርቭ ውጥረትን እና ትኩረትን ለማሸነፍ ይረዳል.</v>
      </c>
    </row>
    <row r="42" ht="22.5" customHeight="1">
      <c r="A42" s="16">
        <v>41.0</v>
      </c>
      <c r="B42" s="16" t="s">
        <v>4241</v>
      </c>
      <c r="C42" s="16" t="s">
        <v>4242</v>
      </c>
      <c r="D42" s="16" t="s">
        <v>4243</v>
      </c>
      <c r="E42" s="16" t="s">
        <v>4244</v>
      </c>
      <c r="G42" s="11" t="str">
        <f>IFERROR(__xludf.DUMMYFUNCTION("GOOGLETRANSLATE(A42, ""en"", ""am"")"),"41")</f>
        <v>41</v>
      </c>
      <c r="H42" s="11" t="str">
        <f>IFERROR(__xludf.DUMMYFUNCTION("GOOGLETRANSLATE(B42, ""en"", ""am"")"),"ላሟ ከመዝለሉ በፊት ድንገተኛ የኃይል ፍንዳታ ያሳያል። ተቆጣጣሪው ምን ማድረግ አለበት?")</f>
        <v>ላሟ ከመዝለሉ በፊት ድንገተኛ የኃይል ፍንዳታ ያሳያል። ተቆጣጣሪው ምን ማድረግ አለበት?</v>
      </c>
      <c r="I42" s="11" t="str">
        <f>IFERROR(__xludf.DUMMYFUNCTION("GOOGLETRANSLATE(C42, ""en"", ""am"")"),"ሀ. ላሟ ጉልበቷን እንድትለቅ እና ዝላይዋን እንድትመራ ይፍቀዱለት.
ለ. ፍጥነቱን ለመቆጣጠር እና ላሙን ለማዘግየት ይሞክሩ.
ሐ. ላም በዚ ጉልበት እንድትዘል አበረታቷት።
መ. ከመቀጠልዎ በፊት ላሟን ያረጋጋው.")</f>
        <v>ሀ. ላሟ ጉልበቷን እንድትለቅ እና ዝላይዋን እንድትመራ ይፍቀዱለት.
ለ. ፍጥነቱን ለመቆጣጠር እና ላሙን ለማዘግየት ይሞክሩ.
ሐ. ላም በዚ ጉልበት እንድትዘል አበረታቷት።
መ. ከመቀጠልዎ በፊት ላሟን ያረጋጋው.</v>
      </c>
      <c r="J42" s="11" t="str">
        <f>IFERROR(__xludf.DUMMYFUNCTION("GOOGLETRANSLATE(D42, ""en"", ""am"")"),"ላሟ ጉልበቷን እንድትለቅ እና ዝላይዋን እንድትመራ ይፍቀዱለት.")</f>
        <v>ላሟ ጉልበቷን እንድትለቅ እና ዝላይዋን እንድትመራ ይፍቀዱለት.</v>
      </c>
      <c r="K42" s="11" t="str">
        <f>IFERROR(__xludf.DUMMYFUNCTION("GOOGLETRANSLATE(E42, ""en"", ""am"")"),"ጉልበቷን መጠቀም ላሟ በራስ የመተማመን ስሜት እንዲሰማት ያደርጋል.")</f>
        <v>ጉልበቷን መጠቀም ላሟ በራስ የመተማመን ስሜት እንዲሰማት ያደርጋል.</v>
      </c>
    </row>
    <row r="43" ht="22.5" customHeight="1">
      <c r="A43" s="16">
        <v>42.0</v>
      </c>
      <c r="B43" s="16" t="s">
        <v>4245</v>
      </c>
      <c r="C43" s="16" t="s">
        <v>4246</v>
      </c>
      <c r="D43" s="16" t="s">
        <v>4247</v>
      </c>
      <c r="E43" s="16" t="s">
        <v>4248</v>
      </c>
      <c r="G43" s="11" t="str">
        <f>IFERROR(__xludf.DUMMYFUNCTION("GOOGLETRANSLATE(A43, ""en"", ""am"")"),"42")</f>
        <v>42</v>
      </c>
      <c r="H43" s="11" t="str">
        <f>IFERROR(__xludf.DUMMYFUNCTION("GOOGLETRANSLATE(B43, ""en"", ""am"")"),"ላም ያለማቋረጥ ዝላይን ለማጽዳት እየታገለ ነው። ተቆጣጣሪው በምን ላይ ማተኮር አለበት?")</f>
        <v>ላም ያለማቋረጥ ዝላይን ለማጽዳት እየታገለ ነው። ተቆጣጣሪው በምን ላይ ማተኮር አለበት?</v>
      </c>
      <c r="I43" s="11" t="str">
        <f>IFERROR(__xludf.DUMMYFUNCTION("GOOGLETRANSLATE(C43, ""en"", ""am"")"),"ሀ. የላሙን ስልጠና እንደገና ገምግመው የዝላይን ቁመት ያስተካክሉ።
ለ. የላሙን አፈጻጸም ለማሻሻል ተግዳሮቱን ጨምር።
ሐ. ላሟ ዝላይን ሳታስተካክል በፍጥነት እንድትዘል አበረታቷት።
መ. ላሟ አርፋ እና ቆይተው እንደገና ይሞክሩ።")</f>
        <v>ሀ. የላሙን ስልጠና እንደገና ገምግመው የዝላይን ቁመት ያስተካክሉ።
ለ. የላሙን አፈጻጸም ለማሻሻል ተግዳሮቱን ጨምር።
ሐ. ላሟ ዝላይን ሳታስተካክል በፍጥነት እንድትዘል አበረታቷት።
መ. ላሟ አርፋ እና ቆይተው እንደገና ይሞክሩ።</v>
      </c>
      <c r="J43" s="11" t="str">
        <f>IFERROR(__xludf.DUMMYFUNCTION("GOOGLETRANSLATE(D43, ""en"", ""am"")"),"የላሙን ስልጠና እንደገና ገምግመው የዝላይን ቁመት ያስተካክሉ።")</f>
        <v>የላሙን ስልጠና እንደገና ገምግመው የዝላይን ቁመት ያስተካክሉ።</v>
      </c>
      <c r="K43" s="11" t="str">
        <f>IFERROR(__xludf.DUMMYFUNCTION("GOOGLETRANSLATE(E43, ""en"", ""am"")"),"ዝላይን ማስተካከል ላሟ የተሻሉ ክህሎቶችን እንዲያዳብር ይረዳል.")</f>
        <v>ዝላይን ማስተካከል ላሟ የተሻሉ ክህሎቶችን እንዲያዳብር ይረዳል.</v>
      </c>
    </row>
    <row r="44" ht="22.5" customHeight="1">
      <c r="A44" s="16">
        <v>43.0</v>
      </c>
      <c r="B44" s="16" t="s">
        <v>4249</v>
      </c>
      <c r="C44" s="16" t="s">
        <v>4250</v>
      </c>
      <c r="D44" s="16" t="s">
        <v>4251</v>
      </c>
      <c r="E44" s="16" t="s">
        <v>4252</v>
      </c>
      <c r="G44" s="11" t="str">
        <f>IFERROR(__xludf.DUMMYFUNCTION("GOOGLETRANSLATE(A44, ""en"", ""am"")"),"43")</f>
        <v>43</v>
      </c>
      <c r="H44" s="11" t="str">
        <f>IFERROR(__xludf.DUMMYFUNCTION("GOOGLETRANSLATE(B44, ""en"", ""am"")"),"ላሟ ለመዝለል ትሞክራለች ነገር ግን በአየር መሃል ታመነታለች። ተቆጣጣሪው ምን ማድረግ አለበት?")</f>
        <v>ላሟ ለመዝለል ትሞክራለች ነገር ግን በአየር መሃል ታመነታለች። ተቆጣጣሪው ምን ማድረግ አለበት?</v>
      </c>
      <c r="I44" s="11" t="str">
        <f>IFERROR(__xludf.DUMMYFUNCTION("GOOGLETRANSLATE(C44, ""en"", ""am"")"),"ሀ. በዝግታ በመዝለል እና በማረፊያ ላይ በማተኮር ላሟን ምራ።
ለ. ላም እንድትዘል ለማበረታታት ፍጥነትን ጨምር።
ሐ. ጉዳትን ለመከላከል ላሟን ወዲያውኑ ያቁሙ።
መ. ላሟን ከዝላይ በኋላ ያረጋጋው በሚቀጥለው ጊዜ ላይ እንዲያተኩር ይረዳታል።")</f>
        <v>ሀ. በዝግታ በመዝለል እና በማረፊያ ላይ በማተኮር ላሟን ምራ።
ለ. ላም እንድትዘል ለማበረታታት ፍጥነትን ጨምር።
ሐ. ጉዳትን ለመከላከል ላሟን ወዲያውኑ ያቁሙ።
መ. ላሟን ከዝላይ በኋላ ያረጋጋው በሚቀጥለው ጊዜ ላይ እንዲያተኩር ይረዳታል።</v>
      </c>
      <c r="J44" s="11" t="str">
        <f>IFERROR(__xludf.DUMMYFUNCTION("GOOGLETRANSLATE(D44, ""en"", ""am"")"),"በቀስታ በመዝለል እና በማረፊያ ላይ በማተኮር ላሟን ምራ።")</f>
        <v>በቀስታ በመዝለል እና በማረፊያ ላይ በማተኮር ላሟን ምራ።</v>
      </c>
      <c r="K44" s="11" t="str">
        <f>IFERROR(__xludf.DUMMYFUNCTION("GOOGLETRANSLATE(E44, ""en"", ""am"")"),"ረጋ ያለ መመሪያ ላሟን በአስተማማኝ መሬት መያዟን ያረጋግጣል እና በራስ መተማመንን ያድሳል።")</f>
        <v>ረጋ ያለ መመሪያ ላሟን በአስተማማኝ መሬት መያዟን ያረጋግጣል እና በራስ መተማመንን ያድሳል።</v>
      </c>
    </row>
    <row r="45" ht="22.5" customHeight="1">
      <c r="A45" s="16">
        <v>44.0</v>
      </c>
      <c r="B45" s="16" t="s">
        <v>4253</v>
      </c>
      <c r="C45" s="16" t="s">
        <v>4254</v>
      </c>
      <c r="D45" s="16" t="s">
        <v>4255</v>
      </c>
      <c r="E45" s="16" t="s">
        <v>4256</v>
      </c>
      <c r="G45" s="11" t="str">
        <f>IFERROR(__xludf.DUMMYFUNCTION("GOOGLETRANSLATE(A45, ""en"", ""am"")"),"44")</f>
        <v>44</v>
      </c>
      <c r="H45" s="11" t="str">
        <f>IFERROR(__xludf.DUMMYFUNCTION("GOOGLETRANSLATE(B45, ""en"", ""am"")"),"ላም ከመዝለልዎ በፊት የጭንቀት ምልክቶችን ያሳያል። ከሁሉ የተሻለው እርምጃ ምንድን ነው?")</f>
        <v>ላም ከመዝለልዎ በፊት የጭንቀት ምልክቶችን ያሳያል። ከሁሉ የተሻለው እርምጃ ምንድን ነው?</v>
      </c>
      <c r="I45" s="11" t="str">
        <f>IFERROR(__xludf.DUMMYFUNCTION("GOOGLETRANSLATE(C45, ""en"", ""am"")"),"ሀ. ለመዝለል ከመሞከርዎ በፊት ላሟን አረጋጉ እና ምቾት እንዳላት ያረጋግጡ።
ለ/ ላሟ በጊዜ ሂደት ስለለመደችው እንድትዘል አስገደዳት።
ሐ. ስራውን በፍጥነት ለማጠናቀቅ ሂደቱን ያፋጥኑ.
መ. ላሟ እንደገና ዝግጁ እስክትሆን ድረስ እንዲያርፍ ፍቀድለት።")</f>
        <v>ሀ. ለመዝለል ከመሞከርዎ በፊት ላሟን አረጋጉ እና ምቾት እንዳላት ያረጋግጡ።
ለ/ ላሟ በጊዜ ሂደት ስለለመደችው እንድትዘል አስገደዳት።
ሐ. ስራውን በፍጥነት ለማጠናቀቅ ሂደቱን ያፋጥኑ.
መ. ላሟ እንደገና ዝግጁ እስክትሆን ድረስ እንዲያርፍ ፍቀድለት።</v>
      </c>
      <c r="J45" s="11" t="str">
        <f>IFERROR(__xludf.DUMMYFUNCTION("GOOGLETRANSLATE(D45, ""en"", ""am"")"),"ለመዝለል ከመሞከርዎ በፊት ላሟን ረጋ ይበሉ እና ምቹ መሆኗን ያረጋግጡ።")</f>
        <v>ለመዝለል ከመሞከርዎ በፊት ላሟን ረጋ ይበሉ እና ምቹ መሆኗን ያረጋግጡ።</v>
      </c>
      <c r="K45" s="11" t="str">
        <f>IFERROR(__xludf.DUMMYFUNCTION("GOOGLETRANSLATE(E45, ""en"", ""am"")"),"ማጽናናት የላሟን ጭንቀት ለማስታገስ እና የተሻለ አፈፃፀምን ያረጋግጣል።")</f>
        <v>ማጽናናት የላሟን ጭንቀት ለማስታገስ እና የተሻለ አፈፃፀምን ያረጋግጣል።</v>
      </c>
    </row>
    <row r="46" ht="22.5" customHeight="1">
      <c r="A46" s="16">
        <v>45.0</v>
      </c>
      <c r="B46" s="16" t="s">
        <v>4257</v>
      </c>
      <c r="C46" s="16" t="s">
        <v>4258</v>
      </c>
      <c r="D46" s="16" t="s">
        <v>4259</v>
      </c>
      <c r="E46" s="16" t="s">
        <v>4260</v>
      </c>
      <c r="G46" s="11" t="str">
        <f>IFERROR(__xludf.DUMMYFUNCTION("GOOGLETRANSLATE(A46, ""en"", ""am"")"),"45")</f>
        <v>45</v>
      </c>
      <c r="H46" s="11" t="str">
        <f>IFERROR(__xludf.DUMMYFUNCTION("GOOGLETRANSLATE(B46, ""en"", ""am"")"),"ላሟ ለመዝለል ትሞክራለች ነገር ግን መሀል ላይ ትቆማለች። ተቆጣጣሪው ምን ማድረግ አለበት?")</f>
        <v>ላሟ ለመዝለል ትሞክራለች ነገር ግን መሀል ላይ ትቆማለች። ተቆጣጣሪው ምን ማድረግ አለበት?</v>
      </c>
      <c r="I46" s="11" t="str">
        <f>IFERROR(__xludf.DUMMYFUNCTION("GOOGLETRANSLATE(C46, ""en"", ""am"")"),"ሀ. ላሟ ሳትቸኩል ዝላይዋን እንድትጨርስ በእርጋታ አበረታቷት።
ለ. ማመንታትን ለማሸነፍ ላሟ ዝላይን እንድታጠናቅቅ አስገድደው።
ሐ. ላሟ እረፍት ይውሰድ እና በኋላ እንደገና ይሞክሩ።
መ. ላሟን የበለጠ ለመቃወም ቁመትን ጨምር።")</f>
        <v>ሀ. ላሟ ሳትቸኩል ዝላይዋን እንድትጨርስ በእርጋታ አበረታቷት።
ለ. ማመንታትን ለማሸነፍ ላሟ ዝላይን እንድታጠናቅቅ አስገድደው።
ሐ. ላሟ እረፍት ይውሰድ እና በኋላ እንደገና ይሞክሩ።
መ. ላሟን የበለጠ ለመቃወም ቁመትን ጨምር።</v>
      </c>
      <c r="J46" s="11" t="str">
        <f>IFERROR(__xludf.DUMMYFUNCTION("GOOGLETRANSLATE(D46, ""en"", ""am"")"),"ላሟ ሳትቸኩል ዝላይዋን እንድታጠናቅቅ በእርጋታ አበረታቷት።")</f>
        <v>ላሟ ሳትቸኩል ዝላይዋን እንድታጠናቅቅ በእርጋታ አበረታቷት።</v>
      </c>
      <c r="K46" s="11" t="str">
        <f>IFERROR(__xludf.DUMMYFUNCTION("GOOGLETRANSLATE(E46, ""en"", ""am"")"),"ማበረታቻ ላም ውጥረት እንደሌለባት እና ስራውን ማጠናቀቅ እንደምትችል ያረጋግጣል.")</f>
        <v>ማበረታቻ ላም ውጥረት እንደሌለባት እና ስራውን ማጠናቀቅ እንደምትችል ያረጋግጣል.</v>
      </c>
    </row>
    <row r="47" ht="22.5" customHeight="1">
      <c r="A47" s="16">
        <v>46.0</v>
      </c>
      <c r="B47" s="16" t="s">
        <v>4261</v>
      </c>
      <c r="C47" s="16" t="s">
        <v>4262</v>
      </c>
      <c r="D47" s="16" t="s">
        <v>4263</v>
      </c>
      <c r="E47" s="16" t="s">
        <v>4264</v>
      </c>
      <c r="G47" s="11" t="str">
        <f>IFERROR(__xludf.DUMMYFUNCTION("GOOGLETRANSLATE(A47, ""en"", ""am"")"),"46")</f>
        <v>46</v>
      </c>
      <c r="H47" s="11" t="str">
        <f>IFERROR(__xludf.DUMMYFUNCTION("GOOGLETRANSLATE(B47, ""en"", ""am"")"),"ላሟ በአካባቢው በሆነ ነገር ተበሳጨች። ተቆጣጣሪው ምን ማድረግ አለበት?")</f>
        <v>ላሟ በአካባቢው በሆነ ነገር ተበሳጨች። ተቆጣጣሪው ምን ማድረግ አለበት?</v>
      </c>
      <c r="I47" s="11" t="str">
        <f>IFERROR(__xludf.DUMMYFUNCTION("GOOGLETRANSLATE(C47, ""en"", ""am"")"),"ሀ. የላሟን ትኩረት እንደገና አተኩር እና ወደ ስራው ይመልሱት።
ለ. የላሟን ትኩረት የማግኘት ችግርን ይጨምሩ።
ሐ. ከመቀጠልዎ በፊት ላሚቱን ለማሰስ ትንሽ ጊዜ ይውሰዱ።
መ. ላሟ ትኩረትን የሚከፋፍሉ ነገሮችን ችላ እንድትል እና እንድትቀጥል አበረታቷት።")</f>
        <v>ሀ. የላሟን ትኩረት እንደገና አተኩር እና ወደ ስራው ይመልሱት።
ለ. የላሟን ትኩረት የማግኘት ችግርን ይጨምሩ።
ሐ. ከመቀጠልዎ በፊት ላሚቱን ለማሰስ ትንሽ ጊዜ ይውሰዱ።
መ. ላሟ ትኩረትን የሚከፋፍሉ ነገሮችን ችላ እንድትል እና እንድትቀጥል አበረታቷት።</v>
      </c>
      <c r="J47" s="11" t="str">
        <f>IFERROR(__xludf.DUMMYFUNCTION("GOOGLETRANSLATE(D47, ""en"", ""am"")"),"የላሟን ትኩረት እንደገና አተኩር እና ወደ ስራው ይመልሱት።")</f>
        <v>የላሟን ትኩረት እንደገና አተኩር እና ወደ ስራው ይመልሱት።</v>
      </c>
      <c r="K47" s="11" t="str">
        <f>IFERROR(__xludf.DUMMYFUNCTION("GOOGLETRANSLATE(E47, ""en"", ""am"")"),"ትኩረትን እንደገና ማግኘቱ ላሟ የተሻለ አፈፃፀም መሆኗን ያረጋግጣል።")</f>
        <v>ትኩረትን እንደገና ማግኘቱ ላሟ የተሻለ አፈፃፀም መሆኗን ያረጋግጣል።</v>
      </c>
    </row>
    <row r="48" ht="22.5" customHeight="1">
      <c r="A48" s="16">
        <v>47.0</v>
      </c>
      <c r="B48" s="16" t="s">
        <v>4265</v>
      </c>
      <c r="C48" s="16" t="s">
        <v>4266</v>
      </c>
      <c r="D48" s="16" t="s">
        <v>4267</v>
      </c>
      <c r="E48" s="16" t="s">
        <v>4268</v>
      </c>
      <c r="G48" s="11" t="str">
        <f>IFERROR(__xludf.DUMMYFUNCTION("GOOGLETRANSLATE(A48, ""en"", ""am"")"),"47")</f>
        <v>47</v>
      </c>
      <c r="H48" s="11" t="str">
        <f>IFERROR(__xludf.DUMMYFUNCTION("GOOGLETRANSLATE(B48, ""en"", ""am"")"),"ላሟ በተሳካ ሁኔታ በርካታ መዝለሎችን አጽድቷል. ተቆጣጣሪው ቀጥሎ ምን ማድረግ አለበት?")</f>
        <v>ላሟ በተሳካ ሁኔታ በርካታ መዝለሎችን አጽድቷል. ተቆጣጣሪው ቀጥሎ ምን ማድረግ አለበት?</v>
      </c>
      <c r="I48" s="11" t="str">
        <f>IFERROR(__xludf.DUMMYFUNCTION("GOOGLETRANSLATE(C48, ""en"", ""am"")"),"ሀ. ላሟን አመስግኑት እና ከመቀጠልዎ በፊት ትንሽ እንዲያርፍ ይፍቀዱለት።
ለ. ወዲያውኑ የመዝለል ችግርን ይጨምሩ.
ሐ. ደህንነትን ለማረጋገጥ መዝለሎችን ይቀንሱ።
መ. ላሟን ሽልማት ስጡ እና በተመሳሳይ ፍጥነት ይቀጥሉ.")</f>
        <v>ሀ. ላሟን አመስግኑት እና ከመቀጠልዎ በፊት ትንሽ እንዲያርፍ ይፍቀዱለት።
ለ. ወዲያውኑ የመዝለል ችግርን ይጨምሩ.
ሐ. ደህንነትን ለማረጋገጥ መዝለሎችን ይቀንሱ።
መ. ላሟን ሽልማት ስጡ እና በተመሳሳይ ፍጥነት ይቀጥሉ.</v>
      </c>
      <c r="J48" s="11" t="str">
        <f>IFERROR(__xludf.DUMMYFUNCTION("GOOGLETRANSLATE(D48, ""en"", ""am"")"),"ላሟን አመሰግናለሁ እና ከመቀጠልዎ በፊት ትንሽ እንዲያርፍ ይፍቀዱለት.")</f>
        <v>ላሟን አመሰግናለሁ እና ከመቀጠልዎ በፊት ትንሽ እንዲያርፍ ይፍቀዱለት.</v>
      </c>
      <c r="K48" s="11" t="str">
        <f>IFERROR(__xludf.DUMMYFUNCTION("GOOGLETRANSLATE(E48, ""en"", ""am"")"),"ማመስገን ጉጉትን ለመጠበቅ ይረዳል እና ላሟን ያበረታታል.")</f>
        <v>ማመስገን ጉጉትን ለመጠበቅ ይረዳል እና ላሟን ያበረታታል.</v>
      </c>
    </row>
    <row r="49" ht="22.5" customHeight="1">
      <c r="A49" s="16">
        <v>48.0</v>
      </c>
      <c r="B49" s="16" t="s">
        <v>4269</v>
      </c>
      <c r="C49" s="16" t="s">
        <v>4270</v>
      </c>
      <c r="D49" s="16" t="s">
        <v>4271</v>
      </c>
      <c r="E49" s="16" t="s">
        <v>4272</v>
      </c>
      <c r="G49" s="11" t="str">
        <f>IFERROR(__xludf.DUMMYFUNCTION("GOOGLETRANSLATE(A49, ""en"", ""am"")"),"48")</f>
        <v>48</v>
      </c>
      <c r="H49" s="11" t="str">
        <f>IFERROR(__xludf.DUMMYFUNCTION("GOOGLETRANSLATE(B49, ""en"", ""am"")"),"ላም በተለመደው ሁኔታ ውስጥ ምቾት ለማግኘት በጣም ረጅም ጊዜ እየወሰደች ነው. ተቆጣጣሪው ምን ማድረግ አለበት?")</f>
        <v>ላም በተለመደው ሁኔታ ውስጥ ምቾት ለማግኘት በጣም ረጅም ጊዜ እየወሰደች ነው. ተቆጣጣሪው ምን ማድረግ አለበት?</v>
      </c>
      <c r="I49" s="11" t="str">
        <f>IFERROR(__xludf.DUMMYFUNCTION("GOOGLETRANSLATE(C49, ""en"", ""am"")"),"ሀ. የላሟን ምቾት ደረጃ እንደገና ይገምግሙ እና ስልጠናውን በዚሁ መሰረት ያስተካክሉ።
ለ. በጊዜ ሰሌዳው ላይ ለመቆየት ሂደቱን ለማፋጠን ላሟን ይግፉት.
ሐ. ላሟ ዘና እንድትል እና ትኩረቷን ለመመለስ ረጅም እረፍት ስጣት።
መ. እንደተለመደው ይቀጥሉ እና መዘግየቶቹን ችላ ይበሉ።")</f>
        <v>ሀ. የላሟን ምቾት ደረጃ እንደገና ይገምግሙ እና ስልጠናውን በዚሁ መሰረት ያስተካክሉ።
ለ. በጊዜ ሰሌዳው ላይ ለመቆየት ሂደቱን ለማፋጠን ላሟን ይግፉት.
ሐ. ላሟ ዘና እንድትል እና ትኩረቷን ለመመለስ ረጅም እረፍት ስጣት።
መ. እንደተለመደው ይቀጥሉ እና መዘግየቶቹን ችላ ይበሉ።</v>
      </c>
      <c r="J49" s="11" t="str">
        <f>IFERROR(__xludf.DUMMYFUNCTION("GOOGLETRANSLATE(D49, ""en"", ""am"")"),"የላሟን ምቾት ደረጃ እንደገና ገምግመው ስልጠናውን በትክክል ያስተካክሉት።")</f>
        <v>የላሟን ምቾት ደረጃ እንደገና ገምግመው ስልጠናውን በትክክል ያስተካክሉት።</v>
      </c>
      <c r="K49" s="11" t="str">
        <f>IFERROR(__xludf.DUMMYFUNCTION("GOOGLETRANSLATE(E49, ""en"", ""am"")"),"ስልጠናውን ከላሟ ፍጥነት ጋር ማላመድ በራስ መተማመንን ለመፍጠር ይረዳል።")</f>
        <v>ስልጠናውን ከላሟ ፍጥነት ጋር ማላመድ በራስ መተማመንን ለመፍጠር ይረዳል።</v>
      </c>
    </row>
    <row r="50" ht="22.5" customHeight="1">
      <c r="A50" s="16">
        <v>49.0</v>
      </c>
      <c r="B50" s="16" t="s">
        <v>4273</v>
      </c>
      <c r="C50" s="16" t="s">
        <v>4274</v>
      </c>
      <c r="D50" s="16" t="s">
        <v>4275</v>
      </c>
      <c r="E50" s="16" t="s">
        <v>4276</v>
      </c>
      <c r="G50" s="11" t="str">
        <f>IFERROR(__xludf.DUMMYFUNCTION("GOOGLETRANSLATE(A50, ""en"", ""am"")"),"49")</f>
        <v>49</v>
      </c>
      <c r="H50" s="11" t="str">
        <f>IFERROR(__xludf.DUMMYFUNCTION("GOOGLETRANSLATE(B50, ""en"", ""am"")"),"ላሟ በቀላሉ ዝላይዎችን እያጸዳች ነው, ነገር ግን ተቆጣጣሪው በጣም እንደምትተማመን ያስተውላል. ተቆጣጣሪው ምን ማድረግ አለበት?")</f>
        <v>ላሟ በቀላሉ ዝላይዎችን እያጸዳች ነው, ነገር ግን ተቆጣጣሪው በጣም እንደምትተማመን ያስተውላል. ተቆጣጣሪው ምን ማድረግ አለበት?</v>
      </c>
      <c r="I50" s="11" t="str">
        <f>IFERROR(__xludf.DUMMYFUNCTION("GOOGLETRANSLATE(C50, ""en"", ""am"")"),"ሀ. ላሟን በትኩረት እና በንቃት ለመጠበቅ አዳዲስ ፈተናዎችን አስተዋውቅ።
ለ. ላም ያለ ምንም ለውጥ እንድትቀጥል ፍቀድ።
ሐ. ደህንነትን ለማረጋገጥ ስልጠናን መቀነስ።
መ. ደስታን ለመጠበቅ ፍጥነትን ይጨምሩ።")</f>
        <v>ሀ. ላሟን በትኩረት እና በንቃት ለመጠበቅ አዳዲስ ፈተናዎችን አስተዋውቅ።
ለ. ላም ያለ ምንም ለውጥ እንድትቀጥል ፍቀድ።
ሐ. ደህንነትን ለማረጋገጥ ስልጠናን መቀነስ።
መ. ደስታን ለመጠበቅ ፍጥነትን ይጨምሩ።</v>
      </c>
      <c r="J50" s="11" t="str">
        <f>IFERROR(__xludf.DUMMYFUNCTION("GOOGLETRANSLATE(D50, ""en"", ""am"")"),"ላሟ በትኩረት እና ንቁ እንድትሆን ለማድረግ አዳዲስ ፈተናዎችን አስተዋውቅ።")</f>
        <v>ላሟ በትኩረት እና ንቁ እንድትሆን ለማድረግ አዳዲስ ፈተናዎችን አስተዋውቅ።</v>
      </c>
      <c r="K50" s="11" t="str">
        <f>IFERROR(__xludf.DUMMYFUNCTION("GOOGLETRANSLATE(E50, ""en"", ""am"")"),"አዳዲስ ተግዳሮቶች ላሟን ነቅተው ይጠብቁ እና ግድየለሽነትን ይከላከላሉ ።")</f>
        <v>አዳዲስ ተግዳሮቶች ላሟን ነቅተው ይጠብቁ እና ግድየለሽነትን ይከላከላሉ ።</v>
      </c>
    </row>
    <row r="51" ht="22.5" customHeight="1">
      <c r="A51" s="16">
        <v>50.0</v>
      </c>
      <c r="B51" s="16" t="s">
        <v>4277</v>
      </c>
      <c r="C51" s="16" t="s">
        <v>4278</v>
      </c>
      <c r="D51" s="16" t="s">
        <v>4279</v>
      </c>
      <c r="E51" s="16" t="s">
        <v>4280</v>
      </c>
      <c r="G51" s="11" t="str">
        <f>IFERROR(__xludf.DUMMYFUNCTION("GOOGLETRANSLATE(A51, ""en"", ""am"")"),"50")</f>
        <v>50</v>
      </c>
      <c r="H51" s="11" t="str">
        <f>IFERROR(__xludf.DUMMYFUNCTION("GOOGLETRANSLATE(B51, ""en"", ""am"")"),"ላሟ ዝላይዋን በትክክል ታጸዳለች፣ ማረፊያዋ ግን ያማከለ አይደለም። ተቆጣጣሪው በምን ላይ ማተኮር አለበት?")</f>
        <v>ላሟ ዝላይዋን በትክክል ታጸዳለች፣ ማረፊያዋ ግን ያማከለ አይደለም። ተቆጣጣሪው በምን ላይ ማተኮር አለበት?</v>
      </c>
      <c r="I51" s="11" t="str">
        <f>IFERROR(__xludf.DUMMYFUNCTION("GOOGLETRANSLATE(C51, ""en"", ""am"")"),"ሀ. ላሟን በተሻለ ሚዛን እና ትኩረት ወደ መሬት ምራ።
ለ. በማረፊያው ላይ ለመርዳት የዝላይን ፍጥነት ይጨምሩ።
ሐ. ላሟ ሚዛኗን መልሳ ለማግኘት በተፈጥሮዋ አርፋ።
መ. ከመቀጠልዎ በፊት ያቁሙ እና የመዝለል ዘዴዎን እንደገና ይገምግሙ።")</f>
        <v>ሀ. ላሟን በተሻለ ሚዛን እና ትኩረት ወደ መሬት ምራ።
ለ. በማረፊያው ላይ ለመርዳት የዝላይን ፍጥነት ይጨምሩ።
ሐ. ላሟ ሚዛኗን መልሳ ለማግኘት በተፈጥሮዋ አርፋ።
መ. ከመቀጠልዎ በፊት ያቁሙ እና የመዝለል ዘዴዎን እንደገና ይገምግሙ።</v>
      </c>
      <c r="J51" s="11" t="str">
        <f>IFERROR(__xludf.DUMMYFUNCTION("GOOGLETRANSLATE(D51, ""en"", ""am"")"),"በተሻለ ሚዛን እና ትኩረት ላሟን ወደ መሬት ምራ።")</f>
        <v>በተሻለ ሚዛን እና ትኩረት ላሟን ወደ መሬት ምራ።</v>
      </c>
      <c r="K51" s="11" t="str">
        <f>IFERROR(__xludf.DUMMYFUNCTION("GOOGLETRANSLATE(E51, ""en"", ""am"")"),"የተሻለ ሚዛን የላሟን ደህንነት እና ወደፊት በመዝለል ስኬት ያረጋግጣል።")</f>
        <v>የተሻለ ሚዛን የላሟን ደህንነት እና ወደፊት በመዝለል ስኬት ያረጋግጣል።</v>
      </c>
    </row>
    <row r="52" ht="22.5" customHeight="1">
      <c r="A52" s="16">
        <v>51.0</v>
      </c>
      <c r="B52" s="16" t="s">
        <v>4281</v>
      </c>
      <c r="C52" s="16" t="s">
        <v>4282</v>
      </c>
      <c r="D52" s="16" t="s">
        <v>4283</v>
      </c>
      <c r="E52" s="16" t="s">
        <v>4284</v>
      </c>
      <c r="G52" s="11" t="str">
        <f>IFERROR(__xludf.DUMMYFUNCTION("GOOGLETRANSLATE(A52, ""en"", ""am"")"),"51")</f>
        <v>51</v>
      </c>
      <c r="H52" s="11" t="str">
        <f>IFERROR(__xludf.DUMMYFUNCTION("GOOGLETRANSLATE(B52, ""en"", ""am"")"),"በዝላይ ሙከራ ወቅት ላሟ የተደናገጠ ይመስላል። ተቆጣጣሪው ይህንን እንዴት መቅረብ አለበት?")</f>
        <v>በዝላይ ሙከራ ወቅት ላሟ የተደናገጠ ይመስላል። ተቆጣጣሪው ይህንን እንዴት መቅረብ አለበት?</v>
      </c>
      <c r="I52" s="11" t="str">
        <f>IFERROR(__xludf.DUMMYFUNCTION("GOOGLETRANSLATE(C52, ""en"", ""am"")"),"ሀ. ላሟን በእርጋታ በማበረታታት እና በማረጋጋት ያረጋጋት።
ለ. ነርቭ ምንም ይሁን ምን ላሟን ለመዝለል ይግፉት.
ሐ. ላሟ እንደገና ከመሞከርዎ በፊት እንዲረጋጋ የተወሰነ ጊዜ ስጡት።
መ. ነርቭን ችላ ይበሉ እና ይቀጥሉ.")</f>
        <v>ሀ. ላሟን በእርጋታ በማበረታታት እና በማረጋጋት ያረጋጋት።
ለ. ነርቭ ምንም ይሁን ምን ላሟን ለመዝለል ይግፉት.
ሐ. ላሟ እንደገና ከመሞከርዎ በፊት እንዲረጋጋ የተወሰነ ጊዜ ስጡት።
መ. ነርቭን ችላ ይበሉ እና ይቀጥሉ.</v>
      </c>
      <c r="J52" s="11" t="str">
        <f>IFERROR(__xludf.DUMMYFUNCTION("GOOGLETRANSLATE(D52, ""en"", ""am"")"),"ላሟን በእርጋታ በማበረታታት እና በማረጋጋት ያረጋጋት።")</f>
        <v>ላሟን በእርጋታ በማበረታታት እና በማረጋጋት ያረጋጋት።</v>
      </c>
      <c r="K52" s="11" t="str">
        <f>IFERROR(__xludf.DUMMYFUNCTION("GOOGLETRANSLATE(E52, ""en"", ""am"")"),"ረጋ ያለ መረጋጋት ላሟ በራስ የመተማመን ስሜቷን መልሳ እንድታገኝ ይረዳታል።")</f>
        <v>ረጋ ያለ መረጋጋት ላሟ በራስ የመተማመን ስሜቷን መልሳ እንድታገኝ ይረዳታል።</v>
      </c>
    </row>
    <row r="53" ht="22.5" customHeight="1">
      <c r="A53" s="16">
        <v>52.0</v>
      </c>
      <c r="B53" s="16" t="s">
        <v>4285</v>
      </c>
      <c r="C53" s="16" t="s">
        <v>4286</v>
      </c>
      <c r="D53" s="16" t="s">
        <v>4287</v>
      </c>
      <c r="E53" s="16" t="s">
        <v>4288</v>
      </c>
      <c r="G53" s="11" t="str">
        <f>IFERROR(__xludf.DUMMYFUNCTION("GOOGLETRANSLATE(A53, ""en"", ""am"")"),"52")</f>
        <v>52</v>
      </c>
      <c r="H53" s="11" t="str">
        <f>IFERROR(__xludf.DUMMYFUNCTION("GOOGLETRANSLATE(B53, ""en"", ""am"")"),"ላሟ በጥሩ ሁኔታ እየሰራች ነው, ነገር ግን ተቆጣጣሪው የደከመ ይመስላል. ምን መደረግ አለበት?")</f>
        <v>ላሟ በጥሩ ሁኔታ እየሰራች ነው, ነገር ግን ተቆጣጣሪው የደከመ ይመስላል. ምን መደረግ አለበት?</v>
      </c>
      <c r="I53" s="11" t="str">
        <f>IFERROR(__xludf.DUMMYFUNCTION("GOOGLETRANSLATE(C53, ""en"", ""am"")"),"ሀ. ላሟ ከመቀጠልዎ በፊት ትንሽ እረፍት እንዲያገኝ ይፍቀዱለት።
ለ. ጽናትን ለማሻሻል የመዝለል ችግርን ይጨምሩ።
ሐ. የስልጠና ክፍለ ጊዜውን ለማጠናቀቅ ላሟን መግፋትዎን ይቀጥሉ።
መ. ከመቀጠልዎ በፊት ላሟ አረፈ እና ውሃ ይጠጣ.")</f>
        <v>ሀ. ላሟ ከመቀጠልዎ በፊት ትንሽ እረፍት እንዲያገኝ ይፍቀዱለት።
ለ. ጽናትን ለማሻሻል የመዝለል ችግርን ይጨምሩ።
ሐ. የስልጠና ክፍለ ጊዜውን ለማጠናቀቅ ላሟን መግፋትዎን ይቀጥሉ።
መ. ከመቀጠልዎ በፊት ላሟ አረፈ እና ውሃ ይጠጣ.</v>
      </c>
      <c r="J53" s="11" t="str">
        <f>IFERROR(__xludf.DUMMYFUNCTION("GOOGLETRANSLATE(D53, ""en"", ""am"")"),"ላም ከመቀጠልዎ በፊት ለማገገም ትንሽ እረፍት ይፍቀዱለት.")</f>
        <v>ላም ከመቀጠልዎ በፊት ለማገገም ትንሽ እረፍት ይፍቀዱለት.</v>
      </c>
      <c r="K53" s="11" t="str">
        <f>IFERROR(__xludf.DUMMYFUNCTION("GOOGLETRANSLATE(E53, ""en"", ""am"")"),"እረፍት ለበለጠ ትኩረት አፈጻጸም የላሟን ጉልበት ወደነበረበት ለመመለስ ይረዳል።")</f>
        <v>እረፍት ለበለጠ ትኩረት አፈጻጸም የላሟን ጉልበት ወደነበረበት ለመመለስ ይረዳል።</v>
      </c>
    </row>
    <row r="54" ht="22.5" customHeight="1">
      <c r="A54" s="16">
        <v>53.0</v>
      </c>
      <c r="B54" s="16" t="s">
        <v>4289</v>
      </c>
      <c r="C54" s="16" t="s">
        <v>4290</v>
      </c>
      <c r="D54" s="16" t="s">
        <v>4291</v>
      </c>
      <c r="E54" s="16" t="s">
        <v>4292</v>
      </c>
      <c r="G54" s="11" t="str">
        <f>IFERROR(__xludf.DUMMYFUNCTION("GOOGLETRANSLATE(A54, ""en"", ""am"")"),"53")</f>
        <v>53</v>
      </c>
      <c r="H54" s="11" t="str">
        <f>IFERROR(__xludf.DUMMYFUNCTION("GOOGLETRANSLATE(B54, ""en"", ""am"")"),"ላሟ በተሳካ ሁኔታ ዘሎች ግን በማይመች ሁኔታ አረፈች። ተቆጣጣሪው ቀጥሎ ምን ማድረግ አለበት?")</f>
        <v>ላሟ በተሳካ ሁኔታ ዘሎች ግን በማይመች ሁኔታ አረፈች። ተቆጣጣሪው ቀጥሎ ምን ማድረግ አለበት?</v>
      </c>
      <c r="I54" s="11" t="str">
        <f>IFERROR(__xludf.DUMMYFUNCTION("GOOGLETRANSLATE(C54, ""en"", ""am"")"),"ሀ. ላሟን ወደ የተረጋጋ ቦታ ያዛውሩት እና ጉዳቶች እንዳሉ ያረጋግጡ።
ለ. ላሟ በተፈጥሮው እንዲያገግም እና እንደገና ይሞክሩ።
ሐ. ላሟን የመቋቋም ችግር የበለጠ ይጨምሩበት።
መ. የዕለት ተዕለት እንቅስቃሴውን ያቁሙ እና ላሟ ለመዝለል ዝግጁነት እንደገና ይገምግሙ።")</f>
        <v>ሀ. ላሟን ወደ የተረጋጋ ቦታ ያዛውሩት እና ጉዳቶች እንዳሉ ያረጋግጡ።
ለ. ላሟ በተፈጥሮው እንዲያገግም እና እንደገና ይሞክሩ።
ሐ. ላሟን የመቋቋም ችግር የበለጠ ይጨምሩበት።
መ. የዕለት ተዕለት እንቅስቃሴውን ያቁሙ እና ላሟ ለመዝለል ዝግጁነት እንደገና ይገምግሙ።</v>
      </c>
      <c r="J54" s="11" t="str">
        <f>IFERROR(__xludf.DUMMYFUNCTION("GOOGLETRANSLATE(D54, ""en"", ""am"")"),"ላሟን ወደ የተረጋጋ ቦታ ያንቀሳቅሱ እና ጉዳቶችን ያረጋግጡ.")</f>
        <v>ላሟን ወደ የተረጋጋ ቦታ ያንቀሳቅሱ እና ጉዳቶችን ያረጋግጡ.</v>
      </c>
      <c r="K54" s="11" t="str">
        <f>IFERROR(__xludf.DUMMYFUNCTION("GOOGLETRANSLATE(E54, ""en"", ""am"")"),"የላም መረጋጋት ማረጋገጥ ጉዳትን ይከላከላል እና በራስ መተማመንን ያዳብራል.")</f>
        <v>የላም መረጋጋት ማረጋገጥ ጉዳትን ይከላከላል እና በራስ መተማመንን ያዳብራል.</v>
      </c>
    </row>
    <row r="55" ht="22.5" customHeight="1">
      <c r="A55" s="16">
        <v>54.0</v>
      </c>
      <c r="B55" s="16" t="s">
        <v>4293</v>
      </c>
      <c r="C55" s="16" t="s">
        <v>4294</v>
      </c>
      <c r="D55" s="16" t="s">
        <v>4295</v>
      </c>
      <c r="E55" s="16" t="s">
        <v>4296</v>
      </c>
      <c r="G55" s="11" t="str">
        <f>IFERROR(__xludf.DUMMYFUNCTION("GOOGLETRANSLATE(A55, ""en"", ""am"")"),"54")</f>
        <v>54</v>
      </c>
      <c r="H55" s="11" t="str">
        <f>IFERROR(__xludf.DUMMYFUNCTION("GOOGLETRANSLATE(B55, ""en"", ""am"")"),"ላሟ ዝላይን ለመጥረግ ታግላለች. ተቆጣጣሪው ምን ምላሽ መስጠት አለበት?")</f>
        <v>ላሟ ዝላይን ለመጥረግ ታግላለች. ተቆጣጣሪው ምን ምላሽ መስጠት አለበት?</v>
      </c>
      <c r="I55" s="11" t="str">
        <f>IFERROR(__xludf.DUMMYFUNCTION("GOOGLETRANSLATE(C55, ""en"", ""am"")"),"ሀ. ላም ስኬታማ እንድትሆን የዝላይውን ቁመት አስተካክል.
ለ. ላሟን የመቋቋም ችግር የበለጠ ይጨምሩበት።
ሐ. ትግሎች ቢኖሩትም ላሟን ለመዝለል እንድትሞክር አስገደዷት።
መ. ላሟ አርፋ እና ከአጭር እረፍት በኋላ መዝለሉን እንደገና ይሞክሩ።")</f>
        <v>ሀ. ላም ስኬታማ እንድትሆን የዝላይውን ቁመት አስተካክል.
ለ. ላሟን የመቋቋም ችግር የበለጠ ይጨምሩበት።
ሐ. ትግሎች ቢኖሩትም ላሟን ለመዝለል እንድትሞክር አስገደዷት።
መ. ላሟ አርፋ እና ከአጭር እረፍት በኋላ መዝለሉን እንደገና ይሞክሩ።</v>
      </c>
      <c r="J55" s="11" t="str">
        <f>IFERROR(__xludf.DUMMYFUNCTION("GOOGLETRANSLATE(D55, ""en"", ""am"")"),"ላም ስኬታማ እንድትሆን የዝላይውን ቁመት አስተካክል.")</f>
        <v>ላም ስኬታማ እንድትሆን የዝላይውን ቁመት አስተካክል.</v>
      </c>
      <c r="K55" s="11" t="str">
        <f>IFERROR(__xludf.DUMMYFUNCTION("GOOGLETRANSLATE(E55, ""en"", ""am"")"),"የዝላይን ከፍታ ዝቅ ማድረግ ላም በራስ መተማመንን እንደሚያገኝ ያረጋግጣል።")</f>
        <v>የዝላይን ከፍታ ዝቅ ማድረግ ላም በራስ መተማመንን እንደሚያገኝ ያረጋግጣል።</v>
      </c>
    </row>
    <row r="56" ht="22.5" customHeight="1">
      <c r="A56" s="16">
        <v>55.0</v>
      </c>
      <c r="B56" s="16" t="s">
        <v>4297</v>
      </c>
      <c r="C56" s="16" t="s">
        <v>4298</v>
      </c>
      <c r="D56" s="16" t="s">
        <v>4299</v>
      </c>
      <c r="E56" s="16" t="s">
        <v>4300</v>
      </c>
      <c r="G56" s="11" t="str">
        <f>IFERROR(__xludf.DUMMYFUNCTION("GOOGLETRANSLATE(A56, ""en"", ""am"")"),"55")</f>
        <v>55</v>
      </c>
      <c r="H56" s="11" t="str">
        <f>IFERROR(__xludf.DUMMYFUNCTION("GOOGLETRANSLATE(B56, ""en"", ""am"")"),"ላሟ በተከታታይ ብዙ መዝለሎችን አምልጧታል። ከሁሉ የተሻለው ምላሽ ምንድን ነው?")</f>
        <v>ላሟ በተከታታይ ብዙ መዝለሎችን አምልጧታል። ከሁሉ የተሻለው ምላሽ ምንድን ነው?</v>
      </c>
      <c r="I56" s="11" t="str">
        <f>IFERROR(__xludf.DUMMYFUNCTION("GOOGLETRANSLATE(C56, ""en"", ""am"")"),"ሀ. አቁም እና የላሟን ቴክኒክ እና ዝግጁነት ገምግም።
ለ. ላም ያለ ምንም እረፍት እንድትቀጥል ግፋ።
ሐ. ላሟ ትኩረት እንድትሰጥ ለመርዳት ችግር ጨምር።
መ. ላሟ እረፍት ይውሰድ እና ቆይተው እንደገና ይሞክሩ።")</f>
        <v>ሀ. አቁም እና የላሟን ቴክኒክ እና ዝግጁነት ገምግም።
ለ. ላም ያለ ምንም እረፍት እንድትቀጥል ግፋ።
ሐ. ላሟ ትኩረት እንድትሰጥ ለመርዳት ችግር ጨምር።
መ. ላሟ እረፍት ይውሰድ እና ቆይተው እንደገና ይሞክሩ።</v>
      </c>
      <c r="J56" s="11" t="str">
        <f>IFERROR(__xludf.DUMMYFUNCTION("GOOGLETRANSLATE(D56, ""en"", ""am"")"),"የላሟን ቴክኒክ እና ዝግጁነት ያቁሙ እና እንደገና ይገምግሙ።")</f>
        <v>የላሟን ቴክኒክ እና ዝግጁነት ያቁሙ እና እንደገና ይገምግሙ።</v>
      </c>
      <c r="K56" s="11" t="str">
        <f>IFERROR(__xludf.DUMMYFUNCTION("GOOGLETRANSLATE(E56, ""en"", ""am"")"),"ቴክኒኮችን እንደገና መገምገም ደህንነቱ የተጠበቀ እና የበለጠ ውጤታማ ሂደትን ያረጋግጣል።")</f>
        <v>ቴክኒኮችን እንደገና መገምገም ደህንነቱ የተጠበቀ እና የበለጠ ውጤታማ ሂደትን ያረጋግጣል።</v>
      </c>
    </row>
    <row r="57" ht="22.5" customHeight="1">
      <c r="A57" s="16">
        <v>56.0</v>
      </c>
      <c r="B57" s="16" t="s">
        <v>4301</v>
      </c>
      <c r="C57" s="16" t="s">
        <v>4302</v>
      </c>
      <c r="D57" s="16" t="s">
        <v>4303</v>
      </c>
      <c r="E57" s="16" t="s">
        <v>4304</v>
      </c>
      <c r="G57" s="11" t="str">
        <f>IFERROR(__xludf.DUMMYFUNCTION("GOOGLETRANSLATE(A57, ""en"", ""am"")"),"56")</f>
        <v>56</v>
      </c>
      <c r="H57" s="11" t="str">
        <f>IFERROR(__xludf.DUMMYFUNCTION("GOOGLETRANSLATE(B57, ""en"", ""am"")"),"ላሟ በታላቅ ጉጉት እየዘለለች ነው, ነገር ግን በደንብ እያረፈች አይደለም. ተቆጣጣሪው እንዴት መቀጠል አለበት?")</f>
        <v>ላሟ በታላቅ ጉጉት እየዘለለች ነው, ነገር ግን በደንብ እያረፈች አይደለም. ተቆጣጣሪው እንዴት መቀጠል አለበት?</v>
      </c>
      <c r="I57" s="11" t="str">
        <f>IFERROR(__xludf.DUMMYFUNCTION("GOOGLETRANSLATE(C57, ""en"", ""am"")"),"ሀ. የማረፊያ ቁጥጥርን ለማሻሻል ፍጥነትን ይቀንሱ።
ለ. ላም ለበለጠ ጉልበት በፍጥነት መዝለሉን እንድትቀጥል አበረታቷት።
ሐ. ላም ምንም ዓይነት ማስተካከያ ሳይደረግበት በተፈጥሮ የበለጠ እንዲያርፍ ይፍቀዱለት።
መ. የላሟን አቀማመጥ እንደገና ይገምግሙ እና በማረፊያው ዘዴ ላይ ያተኩሩ።")</f>
        <v>ሀ. የማረፊያ ቁጥጥርን ለማሻሻል ፍጥነትን ይቀንሱ።
ለ. ላም ለበለጠ ጉልበት በፍጥነት መዝለሉን እንድትቀጥል አበረታቷት።
ሐ. ላም ምንም ዓይነት ማስተካከያ ሳይደረግበት በተፈጥሮ የበለጠ እንዲያርፍ ይፍቀዱለት።
መ. የላሟን አቀማመጥ እንደገና ይገምግሙ እና በማረፊያው ዘዴ ላይ ያተኩሩ።</v>
      </c>
      <c r="J57" s="11" t="str">
        <f>IFERROR(__xludf.DUMMYFUNCTION("GOOGLETRANSLATE(D57, ""en"", ""am"")"),"የማረፊያ ቁጥጥርን ለማሻሻል ፍጥነትን ይቀንሱ።")</f>
        <v>የማረፊያ ቁጥጥርን ለማሻሻል ፍጥነትን ይቀንሱ።</v>
      </c>
      <c r="K57" s="11" t="str">
        <f>IFERROR(__xludf.DUMMYFUNCTION("GOOGLETRANSLATE(E57, ""en"", ""am"")"),"ፍጥነት መቀነስ ላሟ ቁጥጥር የሚደረግበት ማረፊያ ላይ እንዲያተኩር ይረዳታል።")</f>
        <v>ፍጥነት መቀነስ ላሟ ቁጥጥር የሚደረግበት ማረፊያ ላይ እንዲያተኩር ይረዳታል።</v>
      </c>
    </row>
    <row r="58" ht="22.5" customHeight="1">
      <c r="A58" s="16">
        <v>57.0</v>
      </c>
      <c r="B58" s="16" t="s">
        <v>4305</v>
      </c>
      <c r="C58" s="16" t="s">
        <v>4306</v>
      </c>
      <c r="D58" s="16" t="s">
        <v>4307</v>
      </c>
      <c r="E58" s="16" t="s">
        <v>4308</v>
      </c>
      <c r="G58" s="11" t="str">
        <f>IFERROR(__xludf.DUMMYFUNCTION("GOOGLETRANSLATE(A58, ""en"", ""am"")"),"57")</f>
        <v>57</v>
      </c>
      <c r="H58" s="11" t="str">
        <f>IFERROR(__xludf.DUMMYFUNCTION("GOOGLETRANSLATE(B58, ""en"", ""am"")"),"ላሟ በአዲስ እንቅፋት ልትዘል ነው። ተቆጣጣሪው ምን ማድረግ አለበት?")</f>
        <v>ላሟ በአዲስ እንቅፋት ልትዘል ነው። ተቆጣጣሪው ምን ማድረግ አለበት?</v>
      </c>
      <c r="I58" s="11" t="str">
        <f>IFERROR(__xludf.DUMMYFUNCTION("GOOGLETRANSLATE(C58, ""en"", ""am"")"),"ሀ. እንቅፋቱን ቀስ ብለው ያስተዋውቁ እና ላሟን ያረጋጋሉ.
ለ. ላሟ ቢያቅማማም ወደ መሰናክል አስገደደው።
ሐ. በራስ መተማመንን ለማበረታታት እንቅፋት የሆነውን አስቸጋሪነት ይጨምሩ።
መ. ላሟ ዝግጁ ስትሆን እንደገና እንድትሞክር ይፍቀዱለት።")</f>
        <v>ሀ. እንቅፋቱን ቀስ ብለው ያስተዋውቁ እና ላሟን ያረጋጋሉ.
ለ. ላሟ ቢያቅማማም ወደ መሰናክል አስገደደው።
ሐ. በራስ መተማመንን ለማበረታታት እንቅፋት የሆነውን አስቸጋሪነት ይጨምሩ።
መ. ላሟ ዝግጁ ስትሆን እንደገና እንድትሞክር ይፍቀዱለት።</v>
      </c>
      <c r="J58" s="11" t="str">
        <f>IFERROR(__xludf.DUMMYFUNCTION("GOOGLETRANSLATE(D58, ""en"", ""am"")"),"እንቅፋቱን ቀስ ብለው ያስተዋውቁ እና ላሟን ያረጋጋሉ.")</f>
        <v>እንቅፋቱን ቀስ ብለው ያስተዋውቁ እና ላሟን ያረጋጋሉ.</v>
      </c>
      <c r="K58" s="11" t="str">
        <f>IFERROR(__xludf.DUMMYFUNCTION("GOOGLETRANSLATE(E58, ""en"", ""am"")"),"ዘገምተኛ መግቢያ ላሟ እንዲላመድ እና ደህንነት እንዲሰማው ይረዳታል።")</f>
        <v>ዘገምተኛ መግቢያ ላሟ እንዲላመድ እና ደህንነት እንዲሰማው ይረዳታል።</v>
      </c>
    </row>
    <row r="59" ht="22.5" customHeight="1">
      <c r="A59" s="16">
        <v>58.0</v>
      </c>
      <c r="B59" s="16" t="s">
        <v>4309</v>
      </c>
      <c r="C59" s="16" t="s">
        <v>4310</v>
      </c>
      <c r="D59" s="16" t="s">
        <v>4311</v>
      </c>
      <c r="E59" s="16" t="s">
        <v>4312</v>
      </c>
      <c r="G59" s="11" t="str">
        <f>IFERROR(__xludf.DUMMYFUNCTION("GOOGLETRANSLATE(A59, ""en"", ""am"")"),"58")</f>
        <v>58</v>
      </c>
      <c r="H59" s="11" t="str">
        <f>IFERROR(__xludf.DUMMYFUNCTION("GOOGLETRANSLATE(B59, ""en"", ""am"")"),"በዝላይ ጊዜ የላም ፍጥነት ወጥነት የለውም። ተቆጣጣሪው ምን ማድረግ ይችላል?")</f>
        <v>በዝላይ ጊዜ የላም ፍጥነት ወጥነት የለውም። ተቆጣጣሪው ምን ማድረግ ይችላል?</v>
      </c>
      <c r="I59" s="11" t="str">
        <f>IFERROR(__xludf.DUMMYFUNCTION("GOOGLETRANSLATE(C59, ""en"", ""am"")"),"ሀ. ላሟ በዘለለበት ጊዜ ሁሉ የተረጋጋ ፍጥነት መያዙን ያረጋግጡ።
ለ. መዝለሉን የበለጠ ፈታኝ ለማድረግ ፍጥነትን ይጨምሩ።
ሐ. ትኩረትን እና ቁጥጥርን ለመመለስ ፍጥነትዎን ይቀንሱ።
መ. ስራውን በፍጥነት ለማጠናቀቅ ላሟ በፍጥነት እንዲዘል ያበረታቱ.")</f>
        <v>ሀ. ላሟ በዘለለበት ጊዜ ሁሉ የተረጋጋ ፍጥነት መያዙን ያረጋግጡ።
ለ. መዝለሉን የበለጠ ፈታኝ ለማድረግ ፍጥነትን ይጨምሩ።
ሐ. ትኩረትን እና ቁጥጥርን ለመመለስ ፍጥነትዎን ይቀንሱ።
መ. ስራውን በፍጥነት ለማጠናቀቅ ላሟ በፍጥነት እንዲዘል ያበረታቱ.</v>
      </c>
      <c r="J59" s="11" t="str">
        <f>IFERROR(__xludf.DUMMYFUNCTION("GOOGLETRANSLATE(D59, ""en"", ""am"")"),"ላሟ በዘለለበት ጊዜ ሁሉ የተረጋጋ ፍጥነት መያዙን ያረጋግጡ።")</f>
        <v>ላሟ በዘለለበት ጊዜ ሁሉ የተረጋጋ ፍጥነት መያዙን ያረጋግጡ።</v>
      </c>
      <c r="K59" s="11" t="str">
        <f>IFERROR(__xludf.DUMMYFUNCTION("GOOGLETRANSLATE(E59, ""en"", ""am"")"),"ያለማቋረጥ ፍጥነት መጨመር የተሻለ ቁጥጥር እና አፈፃፀምን ያረጋግጣል።")</f>
        <v>ያለማቋረጥ ፍጥነት መጨመር የተሻለ ቁጥጥር እና አፈፃፀምን ያረጋግጣል።</v>
      </c>
    </row>
    <row r="60" ht="22.5" customHeight="1">
      <c r="A60" s="16">
        <v>59.0</v>
      </c>
      <c r="B60" s="16" t="s">
        <v>4313</v>
      </c>
      <c r="C60" s="16" t="s">
        <v>4314</v>
      </c>
      <c r="D60" s="16" t="s">
        <v>4315</v>
      </c>
      <c r="E60" s="16" t="s">
        <v>4316</v>
      </c>
      <c r="G60" s="11" t="str">
        <f>IFERROR(__xludf.DUMMYFUNCTION("GOOGLETRANSLATE(A60, ""en"", ""am"")"),"59")</f>
        <v>59</v>
      </c>
      <c r="H60" s="11" t="str">
        <f>IFERROR(__xludf.DUMMYFUNCTION("GOOGLETRANSLATE(B60, ""en"", ""am"")"),"ላሟ ያለማቋረጥ እየዘለለች ቢሆንም ወድቃ ትቀጥላለች። ተቆጣጣሪው ምን ማድረግ አለበት?")</f>
        <v>ላሟ ያለማቋረጥ እየዘለለች ቢሆንም ወድቃ ትቀጥላለች። ተቆጣጣሪው ምን ማድረግ አለበት?</v>
      </c>
      <c r="I60" s="11" t="str">
        <f>IFERROR(__xludf.DUMMYFUNCTION("GOOGLETRANSLATE(C60, ""en"", ""am"")"),"ሀ. ላሟ በተረጋጋ እና በሰላም እንድታርፍ በማስተማር ላይ አተኩር።
ለ. ላሟ በተሻለ ሁኔታ ማረፍ እንድትችል የዝላይን ቁመት ጨምር.
ሐ. ከባድ ማረፊያዎችን ለማስቀረት ላሟ በፍጥነት እንድትዘል አበረታቷት።
መ. ላም ምንም አይነት ማስተካከያ ሳይደረግ በተፈጥሮው እንዲያርፍ ይፍቀዱለት.")</f>
        <v>ሀ. ላሟ በተረጋጋ እና በሰላም እንድታርፍ በማስተማር ላይ አተኩር።
ለ. ላሟ በተሻለ ሁኔታ ማረፍ እንድትችል የዝላይን ቁመት ጨምር.
ሐ. ከባድ ማረፊያዎችን ለማስቀረት ላሟ በፍጥነት እንድትዘል አበረታቷት።
መ. ላም ምንም አይነት ማስተካከያ ሳይደረግ በተፈጥሮው እንዲያርፍ ይፍቀዱለት.</v>
      </c>
      <c r="J60" s="11" t="str">
        <f>IFERROR(__xludf.DUMMYFUNCTION("GOOGLETRANSLATE(D60, ""en"", ""am"")"),"ላም በእርጋታ እና በአስተማማኝ ሁኔታ እንዲያርፍ በማስተማር ላይ ያተኩሩ.")</f>
        <v>ላም በእርጋታ እና በአስተማማኝ ሁኔታ እንዲያርፍ በማስተማር ላይ ያተኩሩ.</v>
      </c>
      <c r="K60" s="11" t="str">
        <f>IFERROR(__xludf.DUMMYFUNCTION("GOOGLETRANSLATE(E60, ""en"", ""am"")"),"ለስላሳ አልጋ ልብስ የላም ደህንነትን እና አፈፃፀምን ያሻሽላል።")</f>
        <v>ለስላሳ አልጋ ልብስ የላም ደህንነትን እና አፈፃፀምን ያሻሽላል።</v>
      </c>
    </row>
    <row r="61" ht="22.5" customHeight="1">
      <c r="A61" s="16">
        <v>60.0</v>
      </c>
      <c r="B61" s="16" t="s">
        <v>4317</v>
      </c>
      <c r="C61" s="16" t="s">
        <v>4318</v>
      </c>
      <c r="D61" s="16" t="s">
        <v>4319</v>
      </c>
      <c r="E61" s="16" t="s">
        <v>4320</v>
      </c>
      <c r="G61" s="11" t="str">
        <f>IFERROR(__xludf.DUMMYFUNCTION("GOOGLETRANSLATE(A61, ""en"", ""am"")"),"60")</f>
        <v>60</v>
      </c>
      <c r="H61" s="11" t="str">
        <f>IFERROR(__xludf.DUMMYFUNCTION("GOOGLETRANSLATE(B61, ""en"", ""am"")"),"በዝላይ ጊዜ ላሟ በታላቅ ድምፅ ተበታተነች። ተቆጣጣሪው ምን ምላሽ መስጠት አለበት?")</f>
        <v>በዝላይ ጊዜ ላሟ በታላቅ ድምፅ ተበታተነች። ተቆጣጣሪው ምን ምላሽ መስጠት አለበት?</v>
      </c>
      <c r="I61" s="11" t="str">
        <f>IFERROR(__xludf.DUMMYFUNCTION("GOOGLETRANSLATE(C61, ""en"", ""am"")"),"ሀ. ላሟን አረጋጋ እና ከመቀጠልዎ በፊት ትኩረቷን እንደገና አተኩር።
ለ. ላሟ ትኩረትን የሚከፋፍሉ ነገሮችን ችላ የመርዳት ችግርን ይጨምሩ።
ሐ. ትኩረትን የሚከፋፍሉ ነገሮችን ለማስወገድ የስልጠና ክፍለ ጊዜዎን ያካሂዱ።
መ. ከመቀጠልዎ በፊት ላሟ እንዲያርፍ እና እንዲረጋጋ ይፍቀዱለት.")</f>
        <v>ሀ. ላሟን አረጋጋ እና ከመቀጠልዎ በፊት ትኩረቷን እንደገና አተኩር።
ለ. ላሟ ትኩረትን የሚከፋፍሉ ነገሮችን ችላ የመርዳት ችግርን ይጨምሩ።
ሐ. ትኩረትን የሚከፋፍሉ ነገሮችን ለማስወገድ የስልጠና ክፍለ ጊዜዎን ያካሂዱ።
መ. ከመቀጠልዎ በፊት ላሟ እንዲያርፍ እና እንዲረጋጋ ይፍቀዱለት.</v>
      </c>
      <c r="J61" s="11" t="str">
        <f>IFERROR(__xludf.DUMMYFUNCTION("GOOGLETRANSLATE(D61, ""en"", ""am"")"),"ላሟን አረጋጋ እና ከመቀጠልዎ በፊት ትኩረቷን እንደገና አተኩር።")</f>
        <v>ላሟን አረጋጋ እና ከመቀጠልዎ በፊት ትኩረቷን እንደገና አተኩር።</v>
      </c>
      <c r="K61" s="11" t="str">
        <f>IFERROR(__xludf.DUMMYFUNCTION("GOOGLETRANSLATE(E61, ""en"", ""am"")"),"እንደገና ማተኮር ላሟ በራስ የመተማመን መንፈስ እንዲያገኝ እና ጥሩ አፈጻጸም እንዲያገኝ ይረዳታል።")</f>
        <v>እንደገና ማተኮር ላሟ በራስ የመተማመን መንፈስ እንዲያገኝ እና ጥሩ አፈጻጸም እንዲያገኝ ይረዳታል።</v>
      </c>
    </row>
    <row r="62" ht="22.5" customHeight="1">
      <c r="A62" s="16">
        <v>61.0</v>
      </c>
      <c r="B62" s="16" t="s">
        <v>4321</v>
      </c>
      <c r="C62" s="16" t="s">
        <v>4322</v>
      </c>
      <c r="D62" s="16" t="s">
        <v>4323</v>
      </c>
      <c r="E62" s="16" t="s">
        <v>4324</v>
      </c>
      <c r="G62" s="11" t="str">
        <f>IFERROR(__xludf.DUMMYFUNCTION("GOOGLETRANSLATE(A62, ""en"", ""am"")"),"61")</f>
        <v>61</v>
      </c>
      <c r="H62" s="11" t="str">
        <f>IFERROR(__xludf.DUMMYFUNCTION("GOOGLETRANSLATE(B62, ""en"", ""am"")"),"ላሟ ከመዝለሏ በፊት ትንሽ መሰናከል አለባት። ተቆጣጣሪው ቀጥሎ ምን ማድረግ አለበት?")</f>
        <v>ላሟ ከመዝለሏ በፊት ትንሽ መሰናከል አለባት። ተቆጣጣሪው ቀጥሎ ምን ማድረግ አለበት?</v>
      </c>
      <c r="I62" s="11" t="str">
        <f>IFERROR(__xludf.DUMMYFUNCTION("GOOGLETRANSLATE(C62, ""en"", ""am"")"),"ሀ. እንደገና ከመሞከርዎ በፊት ቆም ይበሉ እና ላሟ ምቹ መሆኑን ያረጋግጡ።
ለ. ላሟን የበለጠ ለመቃወም የዝላይን ቁመት ይጨምሩ።
ሐ. ላም ሳይለወጥ ወዲያውኑ እንደገና እንዲሞክር አበረታቷት።
መ. የተረጋጋ እና አስተማማኝ አቀራረብን ለማረጋገጥ ላሟን በቀስታ ዝቅ ያድርጉ።")</f>
        <v>ሀ. እንደገና ከመሞከርዎ በፊት ቆም ይበሉ እና ላሟ ምቹ መሆኑን ያረጋግጡ።
ለ. ላሟን የበለጠ ለመቃወም የዝላይን ቁመት ይጨምሩ።
ሐ. ላም ሳይለወጥ ወዲያውኑ እንደገና እንዲሞክር አበረታቷት።
መ. የተረጋጋ እና አስተማማኝ አቀራረብን ለማረጋገጥ ላሟን በቀስታ ዝቅ ያድርጉ።</v>
      </c>
      <c r="J62" s="11" t="str">
        <f>IFERROR(__xludf.DUMMYFUNCTION("GOOGLETRANSLATE(D62, ""en"", ""am"")"),"እንደገና ከመሞከርዎ በፊት ቆም ይበሉ እና ላም ምቹ መሆኑን ያረጋግጡ።")</f>
        <v>እንደገና ከመሞከርዎ በፊት ቆም ይበሉ እና ላም ምቹ መሆኑን ያረጋግጡ።</v>
      </c>
      <c r="K62" s="11" t="str">
        <f>IFERROR(__xludf.DUMMYFUNCTION("GOOGLETRANSLATE(E62, ""en"", ""am"")"),"የላም ምቾት ደረጃን ማረጋገጥ ደህንነትን እና በራስ መተማመንን ያረጋግጣል።")</f>
        <v>የላም ምቾት ደረጃን ማረጋገጥ ደህንነትን እና በራስ መተማመንን ያረጋግጣል።</v>
      </c>
    </row>
    <row r="63" ht="22.5" customHeight="1">
      <c r="A63" s="16">
        <v>62.0</v>
      </c>
      <c r="B63" s="16" t="s">
        <v>4325</v>
      </c>
      <c r="C63" s="16" t="s">
        <v>4326</v>
      </c>
      <c r="D63" s="16" t="s">
        <v>4327</v>
      </c>
      <c r="E63" s="16" t="s">
        <v>4328</v>
      </c>
      <c r="G63" s="11" t="str">
        <f>IFERROR(__xludf.DUMMYFUNCTION("GOOGLETRANSLATE(A63, ""en"", ""am"")"),"62")</f>
        <v>62</v>
      </c>
      <c r="H63" s="11" t="str">
        <f>IFERROR(__xludf.DUMMYFUNCTION("GOOGLETRANSLATE(B63, ""en"", ""am"")"),"ላም በጣም በፍጥነት እየዘለለ ነው, ይህም ደካማ ማረፊያዎችን ያስከትላል. ተቆጣጣሪው እንዴት ማስተካከል አለበት?")</f>
        <v>ላም በጣም በፍጥነት እየዘለለ ነው, ይህም ደካማ ማረፊያዎችን ያስከትላል. ተቆጣጣሪው እንዴት ማስተካከል አለበት?</v>
      </c>
      <c r="I63" s="11" t="str">
        <f>IFERROR(__xludf.DUMMYFUNCTION("GOOGLETRANSLATE(C63, ""en"", ""am"")"),"ሀ. ላሟን በቀስታ ውሰዱ እና ከፍጥነት በላይ በቴክኒክ ላይ ያተኩሩ።
ለ. ፈጣን እና ኃይለኛ መዝለሎችን ለማበረታታት ፍጥነትን ይጨምሩ።
ሐ. ላም ሳይስተካከል እንዲቀጥል ይፍቀዱለት.
መ. ላሟን ያለምንም ጉዳት ወደ መሬት በማድረስ ላይ ብቻ አተኩር.")</f>
        <v>ሀ. ላሟን በቀስታ ውሰዱ እና ከፍጥነት በላይ በቴክኒክ ላይ ያተኩሩ።
ለ. ፈጣን እና ኃይለኛ መዝለሎችን ለማበረታታት ፍጥነትን ይጨምሩ።
ሐ. ላም ሳይስተካከል እንዲቀጥል ይፍቀዱለት.
መ. ላሟን ያለምንም ጉዳት ወደ መሬት በማድረስ ላይ ብቻ አተኩር.</v>
      </c>
      <c r="J63" s="11" t="str">
        <f>IFERROR(__xludf.DUMMYFUNCTION("GOOGLETRANSLATE(D63, ""en"", ""am"")"),"ላሟን በቀስታ ውሰዱ እና ከፍጥነት በላይ በቴክኒክ ላይ ያተኩሩ።")</f>
        <v>ላሟን በቀስታ ውሰዱ እና ከፍጥነት በላይ በቴክኒክ ላይ ያተኩሩ።</v>
      </c>
      <c r="K63" s="11" t="str">
        <f>IFERROR(__xludf.DUMMYFUNCTION("GOOGLETRANSLATE(E63, ""en"", ""am"")"),"ማቀዝቀዝ የተሻለ ቁጥጥር እና በመዝለል ላይ ትክክለኛነትን ያረጋግጣል።")</f>
        <v>ማቀዝቀዝ የተሻለ ቁጥጥር እና በመዝለል ላይ ትክክለኛነትን ያረጋግጣል።</v>
      </c>
    </row>
    <row r="64" ht="22.5" customHeight="1">
      <c r="A64" s="16">
        <v>63.0</v>
      </c>
      <c r="B64" s="16" t="s">
        <v>4329</v>
      </c>
      <c r="C64" s="16" t="s">
        <v>4330</v>
      </c>
      <c r="D64" s="16" t="s">
        <v>4331</v>
      </c>
      <c r="E64" s="16" t="s">
        <v>4332</v>
      </c>
      <c r="G64" s="11" t="str">
        <f>IFERROR(__xludf.DUMMYFUNCTION("GOOGLETRANSLATE(A64, ""en"", ""am"")"),"63")</f>
        <v>63</v>
      </c>
      <c r="H64" s="11" t="str">
        <f>IFERROR(__xludf.DUMMYFUNCTION("GOOGLETRANSLATE(B64, ""en"", ""am"")"),"ላሟ ወደ ዝላይ ለመቅረብ ፈቃደኛ አልሆነችም። ለተቆጣጣሪው የተሻለው የእርምጃ አካሄድ ምንድነው?")</f>
        <v>ላሟ ወደ ዝላይ ለመቅረብ ፈቃደኛ አልሆነችም። ለተቆጣጣሪው የተሻለው የእርምጃ አካሄድ ምንድነው?</v>
      </c>
      <c r="I64" s="11" t="str">
        <f>IFERROR(__xludf.DUMMYFUNCTION("GOOGLETRANSLATE(C64, ""en"", ""am"")"),"ሀ. ላሟን ይፈትሹ እና በራስ መተማመንን ለመገንባት ትንሽ ዝላይ ይሞክሩ።
ለ. ላሟ ወዲያው ወደ ዝላይ እንድትቀርብ አስገደዷት።
ሐ. ላሙን ለመዝለል በመጠቀም ሂደቱን ያፋጥኑ።
መ. እምቢታውን ችላ ይበሉ እና ስልጠና ይቀጥሉ.")</f>
        <v>ሀ. ላሟን ይፈትሹ እና በራስ መተማመንን ለመገንባት ትንሽ ዝላይ ይሞክሩ።
ለ. ላሟ ወዲያው ወደ ዝላይ እንድትቀርብ አስገደዷት።
ሐ. ላሙን ለመዝለል በመጠቀም ሂደቱን ያፋጥኑ።
መ. እምቢታውን ችላ ይበሉ እና ስልጠና ይቀጥሉ.</v>
      </c>
      <c r="J64" s="11" t="str">
        <f>IFERROR(__xludf.DUMMYFUNCTION("GOOGLETRANSLATE(D64, ""en"", ""am"")"),"ላሟን ይፈትሹ እና በራስ መተማመንን ለመገንባት ትንሽ ዝላይ ይሞክሩ።")</f>
        <v>ላሟን ይፈትሹ እና በራስ መተማመንን ለመገንባት ትንሽ ዝላይ ይሞክሩ።</v>
      </c>
      <c r="K64" s="11" t="str">
        <f>IFERROR(__xludf.DUMMYFUNCTION("GOOGLETRANSLATE(E64, ""en"", ""am"")"),"ትናንሽ መዝለሎች ላም ቀስ በቀስ በራስ የመተማመን ስሜት እንዲያዳብር ይረዳታል።")</f>
        <v>ትናንሽ መዝለሎች ላም ቀስ በቀስ በራስ የመተማመን ስሜት እንዲያዳብር ይረዳታል።</v>
      </c>
    </row>
    <row r="65" ht="22.5" customHeight="1">
      <c r="A65" s="16">
        <v>64.0</v>
      </c>
      <c r="B65" s="16" t="s">
        <v>4333</v>
      </c>
      <c r="C65" s="16" t="s">
        <v>4334</v>
      </c>
      <c r="D65" s="16" t="s">
        <v>4335</v>
      </c>
      <c r="E65" s="16" t="s">
        <v>4336</v>
      </c>
      <c r="G65" s="11" t="str">
        <f>IFERROR(__xludf.DUMMYFUNCTION("GOOGLETRANSLATE(A65, ""en"", ""am"")"),"64")</f>
        <v>64</v>
      </c>
      <c r="H65" s="11" t="str">
        <f>IFERROR(__xludf.DUMMYFUNCTION("GOOGLETRANSLATE(B65, ""en"", ""am"")"),"ላሟ ዝላይዋን ጨርሳለች ግን ከቀጣዩዋ በፊት ታመነታለች። ተቆጣጣሪው ምን ማድረግ አለበት?")</f>
        <v>ላሟ ዝላይዋን ጨርሳለች ግን ከቀጣዩዋ በፊት ታመነታለች። ተቆጣጣሪው ምን ማድረግ አለበት?</v>
      </c>
      <c r="I65" s="11" t="str">
        <f>IFERROR(__xludf.DUMMYFUNCTION("GOOGLETRANSLATE(C65, ""en"", ""am"")"),"ሀ. ላም ያለማመንታት ቀጣዩን ዝላይ እንድትሞክር አበረታታ።
ለ. ትኩረትን ለመመለስ ላሟ ትንሽ እረፍት ስጣት።
ሐ. ዝላይውን ወዲያውኑ ለማጠናቀቅ ላሟን ይግፉት።
መ. ላሟ ትኩረት እንድትሰጥ ለመርዳት ችግር ጨምር።")</f>
        <v>ሀ. ላም ያለማመንታት ቀጣዩን ዝላይ እንድትሞክር አበረታታ።
ለ. ትኩረትን ለመመለስ ላሟ ትንሽ እረፍት ስጣት።
ሐ. ዝላይውን ወዲያውኑ ለማጠናቀቅ ላሟን ይግፉት።
መ. ላሟ ትኩረት እንድትሰጥ ለመርዳት ችግር ጨምር።</v>
      </c>
      <c r="J65" s="11" t="str">
        <f>IFERROR(__xludf.DUMMYFUNCTION("GOOGLETRANSLATE(D65, ""en"", ""am"")"),"ትኩረትን መልሶ ለማግኘት ላም ትንሽ እረፍት ይስጡት.")</f>
        <v>ትኩረትን መልሶ ለማግኘት ላም ትንሽ እረፍት ይስጡት.</v>
      </c>
      <c r="K65" s="11" t="str">
        <f>IFERROR(__xludf.DUMMYFUNCTION("GOOGLETRANSLATE(E65, ""en"", ""am"")"),"አጭር እረፍት የላሟን ትኩረት እና ጉልበት ለመመለስ ይረዳል።")</f>
        <v>አጭር እረፍት የላሟን ትኩረት እና ጉልበት ለመመለስ ይረዳል።</v>
      </c>
    </row>
    <row r="66" ht="22.5" customHeight="1">
      <c r="A66" s="16">
        <v>65.0</v>
      </c>
      <c r="B66" s="16" t="s">
        <v>4337</v>
      </c>
      <c r="C66" s="16" t="s">
        <v>4338</v>
      </c>
      <c r="D66" s="16" t="s">
        <v>4339</v>
      </c>
      <c r="E66" s="16" t="s">
        <v>4340</v>
      </c>
      <c r="G66" s="11" t="str">
        <f>IFERROR(__xludf.DUMMYFUNCTION("GOOGLETRANSLATE(A66, ""en"", ""am"")"),"65")</f>
        <v>65</v>
      </c>
      <c r="H66" s="11" t="str">
        <f>IFERROR(__xludf.DUMMYFUNCTION("GOOGLETRANSLATE(B66, ""en"", ""am"")"),"ላሟ ዝላይን ታጸዳለች ነገር ግን በማእዘን ላይ ታርፍ. ምን መደረግ አለበት?")</f>
        <v>ላሟ ዝላይን ታጸዳለች ነገር ግን በማእዘን ላይ ታርፍ. ምን መደረግ አለበት?</v>
      </c>
      <c r="I66" s="11" t="str">
        <f>IFERROR(__xludf.DUMMYFUNCTION("GOOGLETRANSLATE(C66, ""en"", ""am"")"),"ሀ. ላሟ ወደፊት ለመዝለል የማረፊያ ቦታዋን እንድታስተካክል እርዷት።
ለ. የላሙን ቴክኒክ ለመቋቋም የዝላይን ቁመት ይጨምሩ።
ሐ. ላም ያለ ማስተካከያ እንድትቀጥል አበረታቷት።
መ. የተሻለ ሚዛንን ለማረጋገጥ የላሟን መራመጃ እንደገና መገምገም።")</f>
        <v>ሀ. ላሟ ወደፊት ለመዝለል የማረፊያ ቦታዋን እንድታስተካክል እርዷት።
ለ. የላሙን ቴክኒክ ለመቋቋም የዝላይን ቁመት ይጨምሩ።
ሐ. ላም ያለ ማስተካከያ እንድትቀጥል አበረታቷት።
መ. የተሻለ ሚዛንን ለማረጋገጥ የላሟን መራመጃ እንደገና መገምገም።</v>
      </c>
      <c r="J66" s="11" t="str">
        <f>IFERROR(__xludf.DUMMYFUNCTION("GOOGLETRANSLATE(D66, ""en"", ""am"")"),"ላሟ ወደፊት ለመዝለል የማረፊያ ቦታዋን እንድታስተካክል እርዷት።")</f>
        <v>ላሟ ወደፊት ለመዝለል የማረፊያ ቦታዋን እንድታስተካክል እርዷት።</v>
      </c>
      <c r="K66" s="11" t="str">
        <f>IFERROR(__xludf.DUMMYFUNCTION("GOOGLETRANSLATE(E66, ""en"", ""am"")"),"ትክክለኛው ማረፊያ ቦታ ጉዳቶችን ይከላከላል እና አፈፃፀሙን ያሻሽላል.")</f>
        <v>ትክክለኛው ማረፊያ ቦታ ጉዳቶችን ይከላከላል እና አፈፃፀሙን ያሻሽላል.</v>
      </c>
    </row>
    <row r="67" ht="22.5" customHeight="1">
      <c r="A67" s="16">
        <v>66.0</v>
      </c>
      <c r="B67" s="16" t="s">
        <v>4341</v>
      </c>
      <c r="C67" s="16" t="s">
        <v>4342</v>
      </c>
      <c r="D67" s="16" t="s">
        <v>4343</v>
      </c>
      <c r="E67" s="16" t="s">
        <v>4344</v>
      </c>
      <c r="G67" s="11" t="str">
        <f>IFERROR(__xludf.DUMMYFUNCTION("GOOGLETRANSLATE(A67, ""en"", ""am"")"),"66")</f>
        <v>66</v>
      </c>
      <c r="H67" s="11" t="str">
        <f>IFERROR(__xludf.DUMMYFUNCTION("GOOGLETRANSLATE(B67, ""en"", ""am"")"),"ላሟ እየዘለለች በአካባቢው ውስጥ በሆነ ነገር የተበታተነች ትመስላለች። ተቆጣጣሪው ምን ምላሽ መስጠት አለበት?")</f>
        <v>ላሟ እየዘለለች በአካባቢው ውስጥ በሆነ ነገር የተበታተነች ትመስላለች። ተቆጣጣሪው ምን ምላሽ መስጠት አለበት?</v>
      </c>
      <c r="I67" s="11" t="str">
        <f>IFERROR(__xludf.DUMMYFUNCTION("GOOGLETRANSLATE(C67, ""en"", ""am"")"),"ሀ. ላሟን አረጋጋ እና ትኩረቷን ወደ ዝላይው ላይ አተኩር።
ለ. ትኩረት የሚከፋፍሉ ነገሮችን ችላ ይበሉ እና እንደተለመደው ይቀጥሉ።
ሐ. የላሟን ትኩረት ለመሳል ያለውን ችግር ይጨምሩ።
መ. ትኩረትን መልሶ ለማግኘት ላሟን እረፍት ስጡት።")</f>
        <v>ሀ. ላሟን አረጋጋ እና ትኩረቷን ወደ ዝላይው ላይ አተኩር።
ለ. ትኩረት የሚከፋፍሉ ነገሮችን ችላ ይበሉ እና እንደተለመደው ይቀጥሉ።
ሐ. የላሟን ትኩረት ለመሳል ያለውን ችግር ይጨምሩ።
መ. ትኩረትን መልሶ ለማግኘት ላሟን እረፍት ስጡት።</v>
      </c>
      <c r="J67" s="11" t="str">
        <f>IFERROR(__xludf.DUMMYFUNCTION("GOOGLETRANSLATE(D67, ""en"", ""am"")"),"ላሟን አረጋጋ እና ትኩረቷን ወደ ዝላይው ላይ አተኩር።")</f>
        <v>ላሟን አረጋጋ እና ትኩረቷን ወደ ዝላይው ላይ አተኩር።</v>
      </c>
      <c r="K67" s="11" t="str">
        <f>IFERROR(__xludf.DUMMYFUNCTION("GOOGLETRANSLATE(E67, ""en"", ""am"")"),"ላም እንደገና ማተኮር የተሻለ አፈጻጸም እና ደህንነትን ያረጋግጣል.")</f>
        <v>ላም እንደገና ማተኮር የተሻለ አፈጻጸም እና ደህንነትን ያረጋግጣል.</v>
      </c>
    </row>
    <row r="68" ht="22.5" customHeight="1">
      <c r="A68" s="16">
        <v>67.0</v>
      </c>
      <c r="B68" s="16" t="s">
        <v>4345</v>
      </c>
      <c r="C68" s="16" t="s">
        <v>4346</v>
      </c>
      <c r="D68" s="16" t="s">
        <v>4347</v>
      </c>
      <c r="E68" s="16" t="s">
        <v>4348</v>
      </c>
      <c r="G68" s="11" t="str">
        <f>IFERROR(__xludf.DUMMYFUNCTION("GOOGLETRANSLATE(A68, ""en"", ""am"")"),"67")</f>
        <v>67</v>
      </c>
      <c r="H68" s="11" t="str">
        <f>IFERROR(__xludf.DUMMYFUNCTION("GOOGLETRANSLATE(B68, ""en"", ""am"")"),"ላም አዲስ እንቅፋት ለመዝለል ፈቃደኛ ያልሆነች ይመስላል። ተቆጣጣሪው ምን ማድረግ አለበት?")</f>
        <v>ላም አዲስ እንቅፋት ለመዝለል ፈቃደኛ ያልሆነች ይመስላል። ተቆጣጣሪው ምን ማድረግ አለበት?</v>
      </c>
      <c r="I68" s="11" t="str">
        <f>IFERROR(__xludf.DUMMYFUNCTION("GOOGLETRANSLATE(C68, ""en"", ""am"")"),"ሀ. ማመንታትን ለመቀነስ ላሟን ወደ እንቅፋት ቀስ በቀስ ማስተዋወቅ።
ለ. ላሟን ወዲያውኑ እንቅፋት ለመዝለል ግፋ።
ሐ. ላሟ ፍርሃቷን ለማሸነፍ እንድትረዳው የግርግዳውን ቁመት ጨምር።
መ. ላሟ መሰናክሉን ከመሞከርዎ በፊት ጊዜውን እንዲወስድ ይፍቀዱለት.")</f>
        <v>ሀ. ማመንታትን ለመቀነስ ላሟን ወደ እንቅፋት ቀስ በቀስ ማስተዋወቅ።
ለ. ላሟን ወዲያውኑ እንቅፋት ለመዝለል ግፋ።
ሐ. ላሟ ፍርሃቷን ለማሸነፍ እንድትረዳው የግርግዳውን ቁመት ጨምር።
መ. ላሟ መሰናክሉን ከመሞከርዎ በፊት ጊዜውን እንዲወስድ ይፍቀዱለት.</v>
      </c>
      <c r="J68" s="11" t="str">
        <f>IFERROR(__xludf.DUMMYFUNCTION("GOOGLETRANSLATE(D68, ""en"", ""am"")"),"ማመንታትን ለመቀነስ ላሟን ወደ እንቅፋት ቀስ በቀስ ያስተዋውቁ።")</f>
        <v>ማመንታትን ለመቀነስ ላሟን ወደ እንቅፋት ቀስ በቀስ ያስተዋውቁ።</v>
      </c>
      <c r="K68" s="11" t="str">
        <f>IFERROR(__xludf.DUMMYFUNCTION("GOOGLETRANSLATE(E68, ""en"", ""am"")"),"ቀስ በቀስ መግቢያ የላሟን በራስ መተማመን ይገነባል እና ፍርሃትን ይቀንሳል።")</f>
        <v>ቀስ በቀስ መግቢያ የላሟን በራስ መተማመን ይገነባል እና ፍርሃትን ይቀንሳል።</v>
      </c>
    </row>
    <row r="69" ht="22.5" customHeight="1">
      <c r="A69" s="16">
        <v>68.0</v>
      </c>
      <c r="B69" s="16" t="s">
        <v>4349</v>
      </c>
      <c r="C69" s="16" t="s">
        <v>4350</v>
      </c>
      <c r="D69" s="16" t="s">
        <v>4351</v>
      </c>
      <c r="E69" s="16" t="s">
        <v>4352</v>
      </c>
      <c r="G69" s="11" t="str">
        <f>IFERROR(__xludf.DUMMYFUNCTION("GOOGLETRANSLATE(A69, ""en"", ""am"")"),"68")</f>
        <v>68</v>
      </c>
      <c r="H69" s="11" t="str">
        <f>IFERROR(__xludf.DUMMYFUNCTION("GOOGLETRANSLATE(B69, ""en"", ""am"")"),"ላሟ በተሳካ ሁኔታ ወልዳለች, ነገር ግን የምቾት ምልክቶች እያሳየች ነው. ተቆጣጣሪው ምን ምላሽ መስጠት አለበት?")</f>
        <v>ላሟ በተሳካ ሁኔታ ወልዳለች, ነገር ግን የምቾት ምልክቶች እያሳየች ነው. ተቆጣጣሪው ምን ምላሽ መስጠት አለበት?</v>
      </c>
      <c r="I69" s="11" t="str">
        <f>IFERROR(__xludf.DUMMYFUNCTION("GOOGLETRANSLATE(C69, ""en"", ""am"")"),"ሀ. ክፍለ ጊዜውን ያቁሙ እና የጉዳት ምልክቶችን ያረጋግጡ።
ለ. ላሟ ከጠንካራ ማረፊያዎች ጋር መላመድ የመርዳት ችግርን ይጨምሩ።
ሐ. ላሟ ምንም እንኳን ምቾት ባይሰማትም መዝለሉን እንድትቀጥል አበረታቷት።
መ. ላሟ ለማገገም እና ጉዳት እንዳይደርስበት እረፍት ይስጡት.")</f>
        <v>ሀ. ክፍለ ጊዜውን ያቁሙ እና የጉዳት ምልክቶችን ያረጋግጡ።
ለ. ላሟ ከጠንካራ ማረፊያዎች ጋር መላመድ የመርዳት ችግርን ይጨምሩ።
ሐ. ላሟ ምንም እንኳን ምቾት ባይሰማትም መዝለሉን እንድትቀጥል አበረታቷት።
መ. ላሟ ለማገገም እና ጉዳት እንዳይደርስበት እረፍት ይስጡት.</v>
      </c>
      <c r="J69" s="11" t="str">
        <f>IFERROR(__xludf.DUMMYFUNCTION("GOOGLETRANSLATE(D69, ""en"", ""am"")"),"ክፍለ ጊዜውን ያቁሙ እና የጉዳት ምልክቶችን ያረጋግጡ.")</f>
        <v>ክፍለ ጊዜውን ያቁሙ እና የጉዳት ምልክቶችን ያረጋግጡ.</v>
      </c>
      <c r="K69" s="11" t="str">
        <f>IFERROR(__xludf.DUMMYFUNCTION("GOOGLETRANSLATE(E69, ""en"", ""am"")"),"የአካል ጉዳት መኖሩን ማረጋገጥ በስልጠና ወቅት የላሟን ደህንነት ያረጋግጣል.")</f>
        <v>የአካል ጉዳት መኖሩን ማረጋገጥ በስልጠና ወቅት የላሟን ደህንነት ያረጋግጣል.</v>
      </c>
    </row>
    <row r="70" ht="22.5" customHeight="1">
      <c r="A70" s="16">
        <v>69.0</v>
      </c>
      <c r="B70" s="16" t="s">
        <v>4353</v>
      </c>
      <c r="C70" s="16" t="s">
        <v>4354</v>
      </c>
      <c r="D70" s="16" t="s">
        <v>4355</v>
      </c>
      <c r="E70" s="16" t="s">
        <v>4356</v>
      </c>
      <c r="G70" s="11" t="str">
        <f>IFERROR(__xludf.DUMMYFUNCTION("GOOGLETRANSLATE(A70, ""en"", ""am"")"),"69")</f>
        <v>69</v>
      </c>
      <c r="H70" s="11" t="str">
        <f>IFERROR(__xludf.DUMMYFUNCTION("GOOGLETRANSLATE(B70, ""en"", ""am"")"),"ላሟ በደንብ ትዘልላለች ነገር ግን ከመሃል ላይ ትገኛለች። ተቆጣጣሪው በምን ላይ ማተኮር አለበት?")</f>
        <v>ላሟ በደንብ ትዘልላለች ነገር ግን ከመሃል ላይ ትገኛለች። ተቆጣጣሪው በምን ላይ ማተኮር አለበት?</v>
      </c>
      <c r="I70" s="11" t="str">
        <f>IFERROR(__xludf.DUMMYFUNCTION("GOOGLETRANSLATE(C70, ""en"", ""am"")"),"ሀ. ለተሻለ መረጋጋት ላሟ የማረፊያ ቦታዋን እንድታሻሽል እርዷት።
ለ. በመዝለሉ ወቅት የበለጠ ትኩረትን ለማበረታታት የዝላይን ቁመት ይጨምሩ።
ሐ. በመሃል ላይ እንዳትወርድ ላሟ በፍጥነት እንድትዘል አበረታታ።
መ. ላሟ ትኩረቷን መልሳ እንድታገኝ ለመርዳት ስልጠናን መቀነስ።")</f>
        <v>ሀ. ለተሻለ መረጋጋት ላሟ የማረፊያ ቦታዋን እንድታሻሽል እርዷት።
ለ. በመዝለሉ ወቅት የበለጠ ትኩረትን ለማበረታታት የዝላይን ቁመት ይጨምሩ።
ሐ. በመሃል ላይ እንዳትወርድ ላሟ በፍጥነት እንድትዘል አበረታታ።
መ. ላሟ ትኩረቷን መልሳ እንድታገኝ ለመርዳት ስልጠናን መቀነስ።</v>
      </c>
      <c r="J70" s="11" t="str">
        <f>IFERROR(__xludf.DUMMYFUNCTION("GOOGLETRANSLATE(D70, ""en"", ""am"")"),"ለተሻለ መረጋጋት ላሟ የማረፊያ ቦታዋን እንድታሻሽል እርዷት።")</f>
        <v>ለተሻለ መረጋጋት ላሟ የማረፊያ ቦታዋን እንድታሻሽል እርዷት።</v>
      </c>
      <c r="K70" s="11" t="str">
        <f>IFERROR(__xludf.DUMMYFUNCTION("GOOGLETRANSLATE(E70, ""en"", ""am"")"),"የተሻለ ማረፊያ ቦታ ጉዳቶችን ይከላከላል እና የወደፊት ዝላይዎችን ያሻሽላል.")</f>
        <v>የተሻለ ማረፊያ ቦታ ጉዳቶችን ይከላከላል እና የወደፊት ዝላይዎችን ያሻሽላል.</v>
      </c>
    </row>
    <row r="71" ht="22.5" customHeight="1">
      <c r="A71" s="16">
        <v>70.0</v>
      </c>
      <c r="B71" s="16" t="s">
        <v>4357</v>
      </c>
      <c r="C71" s="16" t="s">
        <v>4358</v>
      </c>
      <c r="D71" s="16" t="s">
        <v>4359</v>
      </c>
      <c r="E71" s="16" t="s">
        <v>4360</v>
      </c>
      <c r="G71" s="11" t="str">
        <f>IFERROR(__xludf.DUMMYFUNCTION("GOOGLETRANSLATE(A71, ""en"", ""am"")"),"70")</f>
        <v>70</v>
      </c>
      <c r="H71" s="11" t="str">
        <f>IFERROR(__xludf.DUMMYFUNCTION("GOOGLETRANSLATE(B71, ""en"", ""am"")"),"ላሟ በተሳካ ሁኔታ በርካታ መዝለሎችን አጸዳች, ነገር ግን የድካም ምልክቶች እያሳየች ነው. ተቆጣጣሪው እንዴት መቀጠል አለበት?")</f>
        <v>ላሟ በተሳካ ሁኔታ በርካታ መዝለሎችን አጸዳች, ነገር ግን የድካም ምልክቶች እያሳየች ነው. ተቆጣጣሪው እንዴት መቀጠል አለበት?</v>
      </c>
      <c r="I71" s="11" t="str">
        <f>IFERROR(__xludf.DUMMYFUNCTION("GOOGLETRANSLATE(C71, ""en"", ""am"")"),"ሀ. ላሟ እንዲያርፍ ፍቀድ እና መዝለሎቹን በኋላ ይቀጥሉ።
ለ. ላሟ ጥሩ እየሰራች ነው፣ ስለዚህ እንድትቀጥል ግፋ።
ሐ. ላሟን የመቋቋም ችግር የበለጠ ይጨምሩበት።
መ. ረጅም እረፍት ይውሰዱ እና ከመቀጠልዎ በፊት ላሟን እጠቡ.")</f>
        <v>ሀ. ላሟ እንዲያርፍ ፍቀድ እና መዝለሎቹን በኋላ ይቀጥሉ።
ለ. ላሟ ጥሩ እየሰራች ነው፣ ስለዚህ እንድትቀጥል ግፋ።
ሐ. ላሟን የመቋቋም ችግር የበለጠ ይጨምሩበት።
መ. ረጅም እረፍት ይውሰዱ እና ከመቀጠልዎ በፊት ላሟን እጠቡ.</v>
      </c>
      <c r="J71" s="11" t="str">
        <f>IFERROR(__xludf.DUMMYFUNCTION("GOOGLETRANSLATE(D71, ""en"", ""am"")"),"ላም እንዲያርፍ ይፍቀዱ እና በኋላ መዝለሎችን ይቀጥሉ.")</f>
        <v>ላም እንዲያርፍ ይፍቀዱ እና በኋላ መዝለሎችን ይቀጥሉ.</v>
      </c>
      <c r="K71" s="11" t="str">
        <f>IFERROR(__xludf.DUMMYFUNCTION("GOOGLETRANSLATE(E71, ""en"", ""am"")"),"ለላሟ ማገገም እረፍት እና እርጥበት አስፈላጊ ናቸው።")</f>
        <v>ለላሟ ማገገም እረፍት እና እርጥበት አስፈላጊ ናቸው።</v>
      </c>
    </row>
    <row r="72" ht="22.5" customHeight="1">
      <c r="A72" s="16">
        <v>71.0</v>
      </c>
      <c r="B72" s="16" t="s">
        <v>4361</v>
      </c>
      <c r="C72" s="16" t="s">
        <v>4362</v>
      </c>
      <c r="D72" s="16" t="s">
        <v>4363</v>
      </c>
      <c r="E72" s="16" t="s">
        <v>4364</v>
      </c>
      <c r="G72" s="11" t="str">
        <f>IFERROR(__xludf.DUMMYFUNCTION("GOOGLETRANSLATE(A72, ""en"", ""am"")"),"71")</f>
        <v>71</v>
      </c>
      <c r="H72" s="11" t="str">
        <f>IFERROR(__xludf.DUMMYFUNCTION("GOOGLETRANSLATE(B72, ""en"", ""am"")"),"የላም የመዝለል ፍጥነት ወጥነት የለውም፣ አፈፃፀሙን ይጎዳል። ምን መደረግ አለበት?")</f>
        <v>የላም የመዝለል ፍጥነት ወጥነት የለውም፣ አፈፃፀሙን ይጎዳል። ምን መደረግ አለበት?</v>
      </c>
      <c r="I72" s="11" t="str">
        <f>IFERROR(__xludf.DUMMYFUNCTION("GOOGLETRANSLATE(C72, ""en"", ""am"")"),"ሀ. የመዝለልዎን ወጥነት ለማሻሻል የተረጋጋ ፍጥነትን ለማግኘት ይስሩ።
ለ. ላም በፍጥነት መዝለልን እንድትለምድ ስልጠናውን ያፋጥኑ።
ሐ. ላሟን ከምቾት ዞኗ በላይ የመግፋት ችግር ወደዚያ ጨምር።
መ. በጉ አርፏል ከዚያም በዝግታ ፍጥነት ማሰልጠን ቀጠለ።")</f>
        <v>ሀ. የመዝለልዎን ወጥነት ለማሻሻል የተረጋጋ ፍጥነትን ለማግኘት ይስሩ።
ለ. ላም በፍጥነት መዝለልን እንድትለምድ ስልጠናውን ያፋጥኑ።
ሐ. ላሟን ከምቾት ዞኗ በላይ የመግፋት ችግር ወደዚያ ጨምር።
መ. በጉ አርፏል ከዚያም በዝግታ ፍጥነት ማሰልጠን ቀጠለ።</v>
      </c>
      <c r="J72" s="11" t="str">
        <f>IFERROR(__xludf.DUMMYFUNCTION("GOOGLETRANSLATE(D72, ""en"", ""am"")"),"የመዝለልዎን ወጥነት ለማሻሻል የተረጋጋ ፍጥነትን ለማግኘት ይስሩ።")</f>
        <v>የመዝለልዎን ወጥነት ለማሻሻል የተረጋጋ ፍጥነትን ለማግኘት ይስሩ።</v>
      </c>
      <c r="K72" s="11" t="str">
        <f>IFERROR(__xludf.DUMMYFUNCTION("GOOGLETRANSLATE(E72, ""en"", ""am"")"),"የፍጥነት ወጥነት የላም ቁጥጥርን እና ቴክኒኮችን ያሻሽላል።")</f>
        <v>የፍጥነት ወጥነት የላም ቁጥጥርን እና ቴክኒኮችን ያሻሽላል።</v>
      </c>
    </row>
    <row r="73" ht="22.5" customHeight="1">
      <c r="A73" s="16">
        <v>72.0</v>
      </c>
      <c r="B73" s="16" t="s">
        <v>4365</v>
      </c>
      <c r="C73" s="16" t="s">
        <v>4366</v>
      </c>
      <c r="D73" s="16" t="s">
        <v>4367</v>
      </c>
      <c r="E73" s="16" t="s">
        <v>4368</v>
      </c>
      <c r="G73" s="11" t="str">
        <f>IFERROR(__xludf.DUMMYFUNCTION("GOOGLETRANSLATE(A73, ""en"", ""am"")"),"72")</f>
        <v>72</v>
      </c>
      <c r="H73" s="11" t="str">
        <f>IFERROR(__xludf.DUMMYFUNCTION("GOOGLETRANSLATE(B73, ""en"", ""am"")"),"ላም ዝላይን ታጸዳለች ነገር ግን በፍጥነት ይቆማል. ተቆጣጣሪው እንዴት ማስተካከል አለበት?")</f>
        <v>ላም ዝላይን ታጸዳለች ነገር ግን በፍጥነት ይቆማል. ተቆጣጣሪው እንዴት ማስተካከል አለበት?</v>
      </c>
      <c r="I73" s="11" t="str">
        <f>IFERROR(__xludf.DUMMYFUNCTION("GOOGLETRANSLATE(C73, ""en"", ""am"")"),"ሀ. በማረፊያው ወቅት ተጨማሪ ቁጥጥር እንዲኖርዎ ላሟን በቀስታ ዝቅ ያድርጉት።
ለ. ላሟ በራስ የመተማመን ስሜት እንዲሰማት ለማገዝ ፍጥነትን ይጨምሩ።
ሐ. ላም ምንም አይነት ማስተካከያ ሳታደርጉ በተፈጥሯዊ ሁኔታ እንዲያርፍ ይፍቀዱለት.
መ. የተሻሉ ማረፊያዎችን ለማረጋገጥ የዝላይን ቁመት ይቀንሱ.")</f>
        <v>ሀ. በማረፊያው ወቅት ተጨማሪ ቁጥጥር እንዲኖርዎ ላሟን በቀስታ ዝቅ ያድርጉት።
ለ. ላሟ በራስ የመተማመን ስሜት እንዲሰማት ለማገዝ ፍጥነትን ይጨምሩ።
ሐ. ላም ምንም አይነት ማስተካከያ ሳታደርጉ በተፈጥሯዊ ሁኔታ እንዲያርፍ ይፍቀዱለት.
መ. የተሻሉ ማረፊያዎችን ለማረጋገጥ የዝላይን ቁመት ይቀንሱ.</v>
      </c>
      <c r="J73" s="11" t="str">
        <f>IFERROR(__xludf.DUMMYFUNCTION("GOOGLETRANSLATE(D73, ""en"", ""am"")"),"በማረፊያው ጊዜ ተጨማሪ ቁጥጥር እንዲኖርዎ ላሟን በቀስታ ዝቅ ያድርጉት።")</f>
        <v>በማረፊያው ጊዜ ተጨማሪ ቁጥጥር እንዲኖርዎ ላሟን በቀስታ ዝቅ ያድርጉት።</v>
      </c>
      <c r="K73" s="11" t="str">
        <f>IFERROR(__xludf.DUMMYFUNCTION("GOOGLETRANSLATE(E73, ""en"", ""am"")"),"ፍጥነት መቀነስ ላሟ በአስተማማኝ እና በምቾት ማረፍ መቻሉን ያረጋግጣል።")</f>
        <v>ፍጥነት መቀነስ ላሟ በአስተማማኝ እና በምቾት ማረፍ መቻሉን ያረጋግጣል።</v>
      </c>
    </row>
    <row r="74" ht="22.5" customHeight="1">
      <c r="A74" s="16">
        <v>73.0</v>
      </c>
      <c r="B74" s="16" t="s">
        <v>4369</v>
      </c>
      <c r="C74" s="16" t="s">
        <v>4370</v>
      </c>
      <c r="D74" s="16" t="s">
        <v>4371</v>
      </c>
      <c r="E74" s="16" t="s">
        <v>4372</v>
      </c>
      <c r="G74" s="11" t="str">
        <f>IFERROR(__xludf.DUMMYFUNCTION("GOOGLETRANSLATE(A74, ""en"", ""am"")"),"73")</f>
        <v>73</v>
      </c>
      <c r="H74" s="11" t="str">
        <f>IFERROR(__xludf.DUMMYFUNCTION("GOOGLETRANSLATE(B74, ""en"", ""am"")"),"ላሟ ዝላይውን በተሳካ ሁኔታ ጨርሳለች ነገር ግን በኋላ በድንጋጤ ውስጥ ትመስላለች. ተቆጣጣሪው ምን ማድረግ አለበት?")</f>
        <v>ላሟ ዝላይውን በተሳካ ሁኔታ ጨርሳለች ነገር ግን በኋላ በድንጋጤ ውስጥ ትመስላለች. ተቆጣጣሪው ምን ማድረግ አለበት?</v>
      </c>
      <c r="I74" s="11" t="str">
        <f>IFERROR(__xludf.DUMMYFUNCTION("GOOGLETRANSLATE(C74, ""en"", ""am"")"),"ሀ. በራስ መተማመንን ለመጨመር ላሟን አረጋግጡ እና አፈፃፀሟን አወድሱ።
ለ. ላሟን የመቋቋም ችግር የበለጠ ይጨምሩበት።
ሐ. በራስ መተማመንን ለማግኘት ላሟ ወዲያውኑ ዝላይን እንድትደግም አበረታቷት።
መ. ላሟ እረፍት እንድትወስድ እና ትኩረቷን መልሳ እንድታገኝ ፍቀድለት።")</f>
        <v>ሀ. በራስ መተማመንን ለመጨመር ላሟን አረጋግጡ እና አፈፃፀሟን አወድሱ።
ለ. ላሟን የመቋቋም ችግር የበለጠ ይጨምሩበት።
ሐ. በራስ መተማመንን ለማግኘት ላሟ ወዲያውኑ ዝላይን እንድትደግም አበረታቷት።
መ. ላሟ እረፍት እንድትወስድ እና ትኩረቷን መልሳ እንድታገኝ ፍቀድለት።</v>
      </c>
      <c r="J74" s="11" t="str">
        <f>IFERROR(__xludf.DUMMYFUNCTION("GOOGLETRANSLATE(D74, ""en"", ""am"")"),"በራስ መተማመንን ለመጨመር ላሟን አረጋግጡ እና አፈፃፀሟን አወድሱ።")</f>
        <v>በራስ መተማመንን ለመጨመር ላሟን አረጋግጡ እና አፈፃፀሟን አወድሱ።</v>
      </c>
      <c r="K74" s="11" t="str">
        <f>IFERROR(__xludf.DUMMYFUNCTION("GOOGLETRANSLATE(E74, ""en"", ""am"")"),"ውዳሴ ላም በራስ የመተማመን መንፈስ እንዲያዳብር እና ግለት እንዲቀጥል ይረዳታል።")</f>
        <v>ውዳሴ ላም በራስ የመተማመን መንፈስ እንዲያዳብር እና ግለት እንዲቀጥል ይረዳታል።</v>
      </c>
    </row>
    <row r="75" ht="22.5" customHeight="1">
      <c r="A75" s="16">
        <v>74.0</v>
      </c>
      <c r="B75" s="16" t="s">
        <v>4373</v>
      </c>
      <c r="C75" s="16" t="s">
        <v>4374</v>
      </c>
      <c r="D75" s="16" t="s">
        <v>4375</v>
      </c>
      <c r="E75" s="16" t="s">
        <v>4376</v>
      </c>
      <c r="G75" s="11" t="str">
        <f>IFERROR(__xludf.DUMMYFUNCTION("GOOGLETRANSLATE(A75, ""en"", ""am"")"),"74")</f>
        <v>74</v>
      </c>
      <c r="H75" s="11" t="str">
        <f>IFERROR(__xludf.DUMMYFUNCTION("GOOGLETRANSLATE(B75, ""en"", ""am"")"),"ላሟ ከመዝለሏ በፊት ያመነታል. ተቆጣጣሪው ምን ማድረግ አለበት?")</f>
        <v>ላሟ ከመዝለሏ በፊት ያመነታል. ተቆጣጣሪው ምን ማድረግ አለበት?</v>
      </c>
      <c r="I75" s="11" t="str">
        <f>IFERROR(__xludf.DUMMYFUNCTION("GOOGLETRANSLATE(C75, ""en"", ""am"")"),"ሀ. የላሟን ትኩረት ቀይር እና በስራው ላይ እንዲያተኩር አበረታቷት።
ለ. በችግሩ ላይ ላም የበለጠ ትኩረት መስጠት አለባት።
ሐ. ላሟ አርፋ እና ዝግጁ ስትሆን እንደገና ሞክር።
መ. ከመቀጠልዎ በፊት ላሟ ትኩረቷን እንድትከፋፍል ፍቀድ።")</f>
        <v>ሀ. የላሟን ትኩረት ቀይር እና በስራው ላይ እንዲያተኩር አበረታቷት።
ለ. በችግሩ ላይ ላም የበለጠ ትኩረት መስጠት አለባት።
ሐ. ላሟ አርፋ እና ዝግጁ ስትሆን እንደገና ሞክር።
መ. ከመቀጠልዎ በፊት ላሟ ትኩረቷን እንድትከፋፍል ፍቀድ።</v>
      </c>
      <c r="J75" s="11" t="str">
        <f>IFERROR(__xludf.DUMMYFUNCTION("GOOGLETRANSLATE(D75, ""en"", ""am"")"),"የላሟን ትኩረት ቀይር እና በስራው ላይ እንዲያተኩር አበረታቷት።")</f>
        <v>የላሟን ትኩረት ቀይር እና በስራው ላይ እንዲያተኩር አበረታቷት።</v>
      </c>
      <c r="K75" s="11" t="str">
        <f>IFERROR(__xludf.DUMMYFUNCTION("GOOGLETRANSLATE(E75, ""en"", ""am"")"),"ላሟን እንደገና ማተኮር ለመዝለል ዝግጁ መሆኗን እና በራስ የመተማመን መሆኗን ያረጋግጣል።")</f>
        <v>ላሟን እንደገና ማተኮር ለመዝለል ዝግጁ መሆኗን እና በራስ የመተማመን መሆኗን ያረጋግጣል።</v>
      </c>
    </row>
    <row r="76" ht="22.5" customHeight="1">
      <c r="A76" s="16">
        <v>75.0</v>
      </c>
      <c r="B76" s="16" t="s">
        <v>4377</v>
      </c>
      <c r="C76" s="16" t="s">
        <v>4378</v>
      </c>
      <c r="D76" s="16" t="s">
        <v>4379</v>
      </c>
      <c r="E76" s="16" t="s">
        <v>4380</v>
      </c>
      <c r="G76" s="11" t="str">
        <f>IFERROR(__xludf.DUMMYFUNCTION("GOOGLETRANSLATE(A76, ""en"", ""am"")"),"75")</f>
        <v>75</v>
      </c>
      <c r="H76" s="11" t="str">
        <f>IFERROR(__xludf.DUMMYFUNCTION("GOOGLETRANSLATE(B76, ""en"", ""am"")"),"ላም ከፍተኛ እንቅፋት ለመዝለል ፈቃደኛ አልሆነችም። ከሁሉ የተሻለው አቀራረብ ምንድን ነው?")</f>
        <v>ላም ከፍተኛ እንቅፋት ለመዝለል ፈቃደኛ አልሆነችም። ከሁሉ የተሻለው አቀራረብ ምንድን ነው?</v>
      </c>
      <c r="I76" s="11" t="str">
        <f>IFERROR(__xludf.DUMMYFUNCTION("GOOGLETRANSLATE(C76, ""en"", ""am"")"),"ሀ. ማገጃውን በትንሹ ዝቅ ያድርጉ እና ቀስ በቀስ ወደ ከፍተኛው መንገድ ይሂዱ።
ለ. ላም ያለ ማስተካከያ ከፍተኛውን እንቅፋት ለመዝለል ይግፉት.
ሐ. ላሟ ፈተናውን ሳትቀይር እንድትቀጥል አበረታቷት።
መ. ላሟ አርፋ እና ቆይተው እንደገና ይሞክሩ።")</f>
        <v>ሀ. ማገጃውን በትንሹ ዝቅ ያድርጉ እና ቀስ በቀስ ወደ ከፍተኛው መንገድ ይሂዱ።
ለ. ላም ያለ ማስተካከያ ከፍተኛውን እንቅፋት ለመዝለል ይግፉት.
ሐ. ላሟ ፈተናውን ሳትቀይር እንድትቀጥል አበረታቷት።
መ. ላሟ አርፋ እና ቆይተው እንደገና ይሞክሩ።</v>
      </c>
      <c r="J76" s="11" t="str">
        <f>IFERROR(__xludf.DUMMYFUNCTION("GOOGLETRANSLATE(D76, ""en"", ""am"")"),"ማገጃውን በትንሹ ዝቅ ያድርጉ እና ቀስ በቀስ ወደ ከፍተኛው መንገድ ይሂዱ።")</f>
        <v>ማገጃውን በትንሹ ዝቅ ያድርጉ እና ቀስ በቀስ ወደ ከፍተኛው መንገድ ይሂዱ።</v>
      </c>
      <c r="K76" s="11" t="str">
        <f>IFERROR(__xludf.DUMMYFUNCTION("GOOGLETRANSLATE(E76, ""en"", ""am"")"),"ቀስ በቀስ መሻሻል ላሟ ተግዳሮቶችን በማሸነፍ በራስ የመተማመን መንፈስ እንዲያዳብር ይረዳታል።")</f>
        <v>ቀስ በቀስ መሻሻል ላሟ ተግዳሮቶችን በማሸነፍ በራስ የመተማመን መንፈስ እንዲያዳብር ይረዳታል።</v>
      </c>
    </row>
    <row r="77" ht="22.5" customHeight="1">
      <c r="A77" s="16">
        <v>76.0</v>
      </c>
      <c r="B77" s="16" t="s">
        <v>4381</v>
      </c>
      <c r="C77" s="16" t="s">
        <v>4382</v>
      </c>
      <c r="D77" s="16" t="s">
        <v>4383</v>
      </c>
      <c r="E77" s="16" t="s">
        <v>4384</v>
      </c>
      <c r="G77" s="11" t="str">
        <f>IFERROR(__xludf.DUMMYFUNCTION("GOOGLETRANSLATE(A77, ""en"", ""am"")"),"76")</f>
        <v>76</v>
      </c>
      <c r="H77" s="11" t="str">
        <f>IFERROR(__xludf.DUMMYFUNCTION("GOOGLETRANSLATE(B77, ""en"", ""am"")"),"ላም በደንብ እየዘለለ ነው, ነገር ግን የድካም ምልክቶች መታየት ጀምሯል. ተቆጣጣሪው ምን ማድረግ አለበት?")</f>
        <v>ላም በደንብ እየዘለለ ነው, ነገር ግን የድካም ምልክቶች መታየት ጀምሯል. ተቆጣጣሪው ምን ማድረግ አለበት?</v>
      </c>
      <c r="I77" s="11" t="str">
        <f>IFERROR(__xludf.DUMMYFUNCTION("GOOGLETRANSLATE(C77, ""en"", ""am"")"),"ሀ. በመዝለሉ ከመቀጠልዎ በፊት ላሟ እንዲያርፍ እና እንዲጠጣ ይፍቀዱለት።
ለ. የስልጠና ክፍለ ጊዜውን ለመጨረስ ላሟን ይግፉት.
ሐ. ላሟን የበለጠ ለመቃወም የ jumpers ችግርን ይጨምሩ።
መ. ላሟ እረፍት ይውሰድ እና ከትንሽ ጊዜ በኋላ እንደገና ይሞክሩ።")</f>
        <v>ሀ. በመዝለሉ ከመቀጠልዎ በፊት ላሟ እንዲያርፍ እና እንዲጠጣ ይፍቀዱለት።
ለ. የስልጠና ክፍለ ጊዜውን ለመጨረስ ላሟን ይግፉት.
ሐ. ላሟን የበለጠ ለመቃወም የ jumpers ችግርን ይጨምሩ።
መ. ላሟ እረፍት ይውሰድ እና ከትንሽ ጊዜ በኋላ እንደገና ይሞክሩ።</v>
      </c>
      <c r="J77" s="11" t="str">
        <f>IFERROR(__xludf.DUMMYFUNCTION("GOOGLETRANSLATE(D77, ""en"", ""am"")"),"በመዝለሉ ከመቀጠልዎ በፊት ላሟ እንዲያርፍ እና እንዲጠጣ ይፍቀዱለት።")</f>
        <v>በመዝለሉ ከመቀጠልዎ በፊት ላሟ እንዲያርፍ እና እንዲጠጣ ይፍቀዱለት።</v>
      </c>
      <c r="K77" s="11" t="str">
        <f>IFERROR(__xludf.DUMMYFUNCTION("GOOGLETRANSLATE(E77, ""en"", ""am"")"),"እረፍት እና እርጥበት ለላም አፈጻጸም እና ጤና ወሳኝ ናቸው።")</f>
        <v>እረፍት እና እርጥበት ለላም አፈጻጸም እና ጤና ወሳኝ ናቸው።</v>
      </c>
    </row>
    <row r="78" ht="22.5" customHeight="1">
      <c r="A78" s="16">
        <v>77.0</v>
      </c>
      <c r="B78" s="16" t="s">
        <v>4385</v>
      </c>
      <c r="C78" s="16" t="s">
        <v>4386</v>
      </c>
      <c r="D78" s="16" t="s">
        <v>4307</v>
      </c>
      <c r="E78" s="16" t="s">
        <v>4387</v>
      </c>
      <c r="G78" s="11" t="str">
        <f>IFERROR(__xludf.DUMMYFUNCTION("GOOGLETRANSLATE(A78, ""en"", ""am"")"),"77")</f>
        <v>77</v>
      </c>
      <c r="H78" s="11" t="str">
        <f>IFERROR(__xludf.DUMMYFUNCTION("GOOGLETRANSLATE(B78, ""en"", ""am"")"),"ላሟ አዲስ መሰናክል ለመዝለል ስትጠየቅ ታመነታለች። ተቆጣጣሪው እንዴት መቅረብ አለበት?")</f>
        <v>ላሟ አዲስ መሰናክል ለመዝለል ስትጠየቅ ታመነታለች። ተቆጣጣሪው እንዴት መቅረብ አለበት?</v>
      </c>
      <c r="I78" s="11" t="str">
        <f>IFERROR(__xludf.DUMMYFUNCTION("GOOGLETRANSLATE(C78, ""en"", ""am"")"),"ሀ. እንቅፋቱን ቀስ ብለው ያስተዋውቁ እና ላሟን ያረጋጋሉ.
ለ. ላሟ የመቋቋም አቅም ለመገንባት ወዲያውኑ እንዲዘል ያስገድድ።
ሐ. ላሟ ፍርሃቷን እንድታሸንፍ ለማስገደድ የመከላከያውን ቁመት ጨምር።
መ. ላም አርፋ እና እንቅፋት በኋላ ይሞክሩ.")</f>
        <v>ሀ. እንቅፋቱን ቀስ ብለው ያስተዋውቁ እና ላሟን ያረጋጋሉ.
ለ. ላሟ የመቋቋም አቅም ለመገንባት ወዲያውኑ እንዲዘል ያስገድድ።
ሐ. ላሟ ፍርሃቷን እንድታሸንፍ ለማስገደድ የመከላከያውን ቁመት ጨምር።
መ. ላም አርፋ እና እንቅፋት በኋላ ይሞክሩ.</v>
      </c>
      <c r="J78" s="11" t="str">
        <f>IFERROR(__xludf.DUMMYFUNCTION("GOOGLETRANSLATE(D78, ""en"", ""am"")"),"እንቅፋቱን ቀስ ብለው ያስተዋውቁ እና ላሟን ያረጋጋሉ.")</f>
        <v>እንቅፋቱን ቀስ ብለው ያስተዋውቁ እና ላሟን ያረጋጋሉ.</v>
      </c>
      <c r="K78" s="11" t="str">
        <f>IFERROR(__xludf.DUMMYFUNCTION("GOOGLETRANSLATE(E78, ""en"", ""am"")"),"ዘገምተኛ መግቢያዎች ፍርሃትን ይቀንሳሉ እና በላሟ ላይ የመተማመን ስሜት ይገነባሉ.")</f>
        <v>ዘገምተኛ መግቢያዎች ፍርሃትን ይቀንሳሉ እና በላሟ ላይ የመተማመን ስሜት ይገነባሉ.</v>
      </c>
    </row>
    <row r="79" ht="22.5" customHeight="1">
      <c r="A79" s="16">
        <v>78.0</v>
      </c>
      <c r="B79" s="16" t="s">
        <v>4388</v>
      </c>
      <c r="C79" s="16" t="s">
        <v>4389</v>
      </c>
      <c r="D79" s="16" t="s">
        <v>4390</v>
      </c>
      <c r="E79" s="16" t="s">
        <v>4391</v>
      </c>
      <c r="G79" s="11" t="str">
        <f>IFERROR(__xludf.DUMMYFUNCTION("GOOGLETRANSLATE(A79, ""en"", ""am"")"),"78")</f>
        <v>78</v>
      </c>
      <c r="H79" s="11" t="str">
        <f>IFERROR(__xludf.DUMMYFUNCTION("GOOGLETRANSLATE(B79, ""en"", ""am"")"),"ላሟ በሚዘልበት ጊዜ ሚዛናዊ ያልሆነ ይመስላል, ግን ምን መደረግ አለበት?")</f>
        <v>ላሟ በሚዘልበት ጊዜ ሚዛናዊ ያልሆነ ይመስላል, ግን ምን መደረግ አለበት?</v>
      </c>
      <c r="I79" s="11" t="str">
        <f>IFERROR(__xludf.DUMMYFUNCTION("GOOGLETRANSLATE(C79, ""en"", ""am"")"),"ሀ. ላሟ ሚዛኗን እና አቀማመጡን ለማሻሻል ምራ።
ለ. አፈፃፀሙን ለማሻሻል ወዲያውኑ ላሟ እንደገና ለመዝለል ይግፉት።
ሐ. በሚዛን ላይ ያለውን ተጽእኖ ለመቀነስ የዝላይን ቁመት ይቀንሱ.
መ. ላም ከመቀጠልዎ በፊት ሚዛኗን እንዲመልስ ይፍቀዱለት።")</f>
        <v>ሀ. ላሟ ሚዛኗን እና አቀማመጡን ለማሻሻል ምራ።
ለ. አፈፃፀሙን ለማሻሻል ወዲያውኑ ላሟ እንደገና ለመዝለል ይግፉት።
ሐ. በሚዛን ላይ ያለውን ተጽእኖ ለመቀነስ የዝላይን ቁመት ይቀንሱ.
መ. ላም ከመቀጠልዎ በፊት ሚዛኗን እንዲመልስ ይፍቀዱለት።</v>
      </c>
      <c r="J79" s="11" t="str">
        <f>IFERROR(__xludf.DUMMYFUNCTION("GOOGLETRANSLATE(D79, ""en"", ""am"")"),"ሚዛኑን እና አቀማመጡን ለማሻሻል ላሟን ይምሩ.")</f>
        <v>ሚዛኑን እና አቀማመጡን ለማሻሻል ላሟን ይምሩ.</v>
      </c>
      <c r="K79" s="11" t="str">
        <f>IFERROR(__xludf.DUMMYFUNCTION("GOOGLETRANSLATE(E79, ""en"", ""am"")"),"የተሻሻለ ሚዛን ሲዘል የተሻለ ቁጥጥር እና ደህንነትን ያረጋግጣል።")</f>
        <v>የተሻሻለ ሚዛን ሲዘል የተሻለ ቁጥጥር እና ደህንነትን ያረጋግጣል።</v>
      </c>
    </row>
    <row r="80" ht="22.5" customHeight="1">
      <c r="A80" s="16">
        <v>79.0</v>
      </c>
      <c r="B80" s="16" t="s">
        <v>4392</v>
      </c>
      <c r="C80" s="16" t="s">
        <v>4393</v>
      </c>
      <c r="D80" s="16" t="s">
        <v>4394</v>
      </c>
      <c r="E80" s="16" t="s">
        <v>4395</v>
      </c>
      <c r="G80" s="11" t="str">
        <f>IFERROR(__xludf.DUMMYFUNCTION("GOOGLETRANSLATE(A80, ""en"", ""am"")"),"79")</f>
        <v>79</v>
      </c>
      <c r="H80" s="11" t="str">
        <f>IFERROR(__xludf.DUMMYFUNCTION("GOOGLETRANSLATE(B80, ""en"", ""am"")"),"ላሟ በተሳካ ሁኔታ ትዘልላለች፣ ነገር ግን ሰኮኗ በማይመች ሁኔታ አረፈች። ተቆጣጣሪው ምን ማድረግ አለበት?")</f>
        <v>ላሟ በተሳካ ሁኔታ ትዘልላለች፣ ነገር ግን ሰኮኗ በማይመች ሁኔታ አረፈች። ተቆጣጣሪው ምን ማድረግ አለበት?</v>
      </c>
      <c r="I80" s="11" t="str">
        <f>IFERROR(__xludf.DUMMYFUNCTION("GOOGLETRANSLATE(C80, ""en"", ""am"")"),"ሀ. ላም የማረፊያ ዘዴን በማረም ላይ ያተኩሩ.
ለ. የላሟን ቅንጅት ለመቋቋም የዝላይን ቁመት ይጨምሩ።
ሐ. ላም ያለ ምንም እርማት መዝለሉን እንድትቀጥል አበረታቷት።
መ. ላም ምንም ተጨማሪ ማስተካከያ ሳታደርግ እንድትዘል ይፍቀዱለት.")</f>
        <v>ሀ. ላም የማረፊያ ዘዴን በማረም ላይ ያተኩሩ.
ለ. የላሟን ቅንጅት ለመቋቋም የዝላይን ቁመት ይጨምሩ።
ሐ. ላም ያለ ምንም እርማት መዝለሉን እንድትቀጥል አበረታቷት።
መ. ላም ምንም ተጨማሪ ማስተካከያ ሳታደርግ እንድትዘል ይፍቀዱለት.</v>
      </c>
      <c r="J80" s="11" t="str">
        <f>IFERROR(__xludf.DUMMYFUNCTION("GOOGLETRANSLATE(D80, ""en"", ""am"")"),"ላም የማረፊያ ዘዴን በማረም ላይ ያተኩሩ.")</f>
        <v>ላም የማረፊያ ዘዴን በማረም ላይ ያተኩሩ.</v>
      </c>
      <c r="K80" s="11" t="str">
        <f>IFERROR(__xludf.DUMMYFUNCTION("GOOGLETRANSLATE(E80, ""en"", ""am"")"),"የማረፊያ ቦታዎን ማስተካከል ጉዳትን ለመከላከል እና አፈፃፀሙን ለማሻሻል ይረዳል.")</f>
        <v>የማረፊያ ቦታዎን ማስተካከል ጉዳትን ለመከላከል እና አፈፃፀሙን ለማሻሻል ይረዳል.</v>
      </c>
    </row>
    <row r="81" ht="22.5" customHeight="1">
      <c r="A81" s="16">
        <v>80.0</v>
      </c>
      <c r="B81" s="16" t="s">
        <v>4396</v>
      </c>
      <c r="C81" s="16" t="s">
        <v>4397</v>
      </c>
      <c r="D81" s="16" t="s">
        <v>4398</v>
      </c>
      <c r="E81" s="16" t="s">
        <v>4399</v>
      </c>
      <c r="G81" s="11" t="str">
        <f>IFERROR(__xludf.DUMMYFUNCTION("GOOGLETRANSLATE(A81, ""en"", ""am"")"),"80")</f>
        <v>80</v>
      </c>
      <c r="H81" s="11" t="str">
        <f>IFERROR(__xludf.DUMMYFUNCTION("GOOGLETRANSLATE(B81, ""en"", ""am"")"),"ላም አዲስ እንቅፋት ከመዝለሉ በፊት የጭንቀት ምልክቶችን ያሳያል. ተቆጣጣሪው እንዴት መቀጠል አለበት?")</f>
        <v>ላም አዲስ እንቅፋት ከመዝለሉ በፊት የጭንቀት ምልክቶችን ያሳያል. ተቆጣጣሪው እንዴት መቀጠል አለበት?</v>
      </c>
      <c r="I81" s="11" t="str">
        <f>IFERROR(__xludf.DUMMYFUNCTION("GOOGLETRANSLATE(C81, ""en"", ""am"")"),"ሀ ማረጋጊያ ያቅርቡ እና የእንቅፋቱን ቁመት ይቀንሱ.
ለ. ላሟ በጭንቀት ውስጥ ብትሆንም እንድትዘል አስገደዳት።
ሐ. ላሟ ፍርሃቷን ለማሸነፍ እንድትረዳው የግርግዳውን ቁመት ጨምር።
መ. ማረጋገጫ ሳትሰጥ ላሟን ለመዝለል ግፋ።")</f>
        <v>ሀ ማረጋጊያ ያቅርቡ እና የእንቅፋቱን ቁመት ይቀንሱ.
ለ. ላሟ በጭንቀት ውስጥ ብትሆንም እንድትዘል አስገደዳት።
ሐ. ላሟ ፍርሃቷን ለማሸነፍ እንድትረዳው የግርግዳውን ቁመት ጨምር።
መ. ማረጋገጫ ሳትሰጥ ላሟን ለመዝለል ግፋ።</v>
      </c>
      <c r="J81" s="11" t="str">
        <f>IFERROR(__xludf.DUMMYFUNCTION("GOOGLETRANSLATE(D81, ""en"", ""am"")"),"መረጋጋት ያቅርቡ እና የእንቅፋቱን ቁመት ይቀንሱ.")</f>
        <v>መረጋጋት ያቅርቡ እና የእንቅፋቱን ቁመት ይቀንሱ.</v>
      </c>
      <c r="K81" s="11" t="str">
        <f>IFERROR(__xludf.DUMMYFUNCTION("GOOGLETRANSLATE(E81, ""en"", ""am"")"),"መረጋጋት የላሟን ጭንቀት ለማርገብ እና በራስ የመተማመን ስሜቷን ለመገንባት ይረዳል።")</f>
        <v>መረጋጋት የላሟን ጭንቀት ለማርገብ እና በራስ የመተማመን ስሜቷን ለመገንባት ይረዳል።</v>
      </c>
    </row>
    <row r="82" ht="22.5" customHeight="1">
      <c r="A82" s="16">
        <v>81.0</v>
      </c>
      <c r="B82" s="16" t="s">
        <v>4400</v>
      </c>
      <c r="C82" s="16" t="s">
        <v>4401</v>
      </c>
      <c r="D82" s="16" t="s">
        <v>4402</v>
      </c>
      <c r="E82" s="16" t="s">
        <v>4403</v>
      </c>
      <c r="G82" s="11" t="str">
        <f>IFERROR(__xludf.DUMMYFUNCTION("GOOGLETRANSLATE(A82, ""en"", ""am"")"),"81")</f>
        <v>81</v>
      </c>
      <c r="H82" s="11" t="str">
        <f>IFERROR(__xludf.DUMMYFUNCTION("GOOGLETRANSLATE(B82, ""en"", ""am"")"),"ላሟ ለመዝለል ቢያመነታም በመጨረሻ ግን ታጸዳለች። ተቆጣጣሪው ላሟን እንዴት ማበረታታት አለበት?")</f>
        <v>ላሟ ለመዝለል ቢያመነታም በመጨረሻ ግን ታጸዳለች። ተቆጣጣሪው ላሟን እንዴት ማበረታታት አለበት?</v>
      </c>
      <c r="I82" s="11" t="str">
        <f>IFERROR(__xludf.DUMMYFUNCTION("GOOGLETRANSLATE(C82, ""en"", ""am"")"),"ሀ. ላሟ ዝላይን ስለጨረሰች አመስግኑት እና የበለጠ እንድትለማመድ አበረታቷት።
ለ. ወዲያውኑ የዝላይን አስቸጋሪነት ይጨምሩ.
ሐ. ላሟን እረፍት ስጡት እና ቆይተው እንደገና ይሞክሩ።
መ. ላሟን ሳታወድስ ወዲያውኑ እንደገና ለመዝለል ግፋ።")</f>
        <v>ሀ. ላሟ ዝላይን ስለጨረሰች አመስግኑት እና የበለጠ እንድትለማመድ አበረታቷት።
ለ. ወዲያውኑ የዝላይን አስቸጋሪነት ይጨምሩ.
ሐ. ላሟን እረፍት ስጡት እና ቆይተው እንደገና ይሞክሩ።
መ. ላሟን ሳታወድስ ወዲያውኑ እንደገና ለመዝለል ግፋ።</v>
      </c>
      <c r="J82" s="11" t="str">
        <f>IFERROR(__xludf.DUMMYFUNCTION("GOOGLETRANSLATE(D82, ""en"", ""am"")"),"ላሟ ዝላይን ስለጨረሰች አመስግኑት እና የበለጠ እንድትለማመድ አበረታቷት።")</f>
        <v>ላሟ ዝላይን ስለጨረሰች አመስግኑት እና የበለጠ እንድትለማመድ አበረታቷት።</v>
      </c>
      <c r="K82" s="11" t="str">
        <f>IFERROR(__xludf.DUMMYFUNCTION("GOOGLETRANSLATE(E82, ""en"", ""am"")"),"አዎንታዊ ማጠናከሪያ ቀጣይ ጥረት እና በራስ መተማመንን ያበረታታል.")</f>
        <v>አዎንታዊ ማጠናከሪያ ቀጣይ ጥረት እና በራስ መተማመንን ያበረታታል.</v>
      </c>
    </row>
    <row r="83" ht="22.5" customHeight="1">
      <c r="A83" s="16">
        <v>82.0</v>
      </c>
      <c r="B83" s="16" t="s">
        <v>4404</v>
      </c>
      <c r="C83" s="16" t="s">
        <v>4405</v>
      </c>
      <c r="D83" s="16" t="s">
        <v>4406</v>
      </c>
      <c r="E83" s="16" t="s">
        <v>4407</v>
      </c>
      <c r="G83" s="11" t="str">
        <f>IFERROR(__xludf.DUMMYFUNCTION("GOOGLETRANSLATE(A83, ""en"", ""am"")"),"82")</f>
        <v>82</v>
      </c>
      <c r="H83" s="11" t="str">
        <f>IFERROR(__xludf.DUMMYFUNCTION("GOOGLETRANSLATE(B83, ""en"", ""am"")"),"ላሟ በደንብ አርፋለች, ግን ትንሽ ደክሟታል. ምን መደረግ አለበት?")</f>
        <v>ላሟ በደንብ አርፋለች, ግን ትንሽ ደክሟታል. ምን መደረግ አለበት?</v>
      </c>
      <c r="I83" s="11" t="str">
        <f>IFERROR(__xludf.DUMMYFUNCTION("GOOGLETRANSLATE(C83, ""en"", ""am"")"),"ሀ. ከመቀጠልዎ በፊት ላሟ እንዲያርፍ እና እንዲጠጣ ይፍቀዱለት።
ለ. የስልጠና ክፍለ ጊዜውን ለመጨረስ ላሟን ይግፉት.
ሐ. ላሟን የበለጠ የመግፋት ችግር ወደዚያ ጨምር።
መ. ላሟ አርፋ እና ስልጠናውን በኋላ ይቀጥሉ.")</f>
        <v>ሀ. ከመቀጠልዎ በፊት ላሟ እንዲያርፍ እና እንዲጠጣ ይፍቀዱለት።
ለ. የስልጠና ክፍለ ጊዜውን ለመጨረስ ላሟን ይግፉት.
ሐ. ላሟን የበለጠ የመግፋት ችግር ወደዚያ ጨምር።
መ. ላሟ አርፋ እና ስልጠናውን በኋላ ይቀጥሉ.</v>
      </c>
      <c r="J83" s="11" t="str">
        <f>IFERROR(__xludf.DUMMYFUNCTION("GOOGLETRANSLATE(D83, ""en"", ""am"")"),"ከመቀጠልዎ በፊት ላም እንዲያርፍ እና እንዲጠጣ ይፍቀዱለት.")</f>
        <v>ከመቀጠልዎ በፊት ላም እንዲያርፍ እና እንዲጠጣ ይፍቀዱለት.</v>
      </c>
      <c r="K83" s="11" t="str">
        <f>IFERROR(__xludf.DUMMYFUNCTION("GOOGLETRANSLATE(E83, ""en"", ""am"")"),"እረፍት እና እርጥበት የላሟን አፈፃፀም እና ደህንነት ለመጠበቅ ይረዳሉ።")</f>
        <v>እረፍት እና እርጥበት የላሟን አፈፃፀም እና ደህንነት ለመጠበቅ ይረዳሉ።</v>
      </c>
    </row>
    <row r="84" ht="22.5" customHeight="1">
      <c r="A84" s="16">
        <v>83.0</v>
      </c>
      <c r="B84" s="16" t="s">
        <v>4408</v>
      </c>
      <c r="C84" s="16" t="s">
        <v>4409</v>
      </c>
      <c r="D84" s="16" t="s">
        <v>4410</v>
      </c>
      <c r="E84" s="16" t="s">
        <v>4411</v>
      </c>
      <c r="G84" s="11" t="str">
        <f>IFERROR(__xludf.DUMMYFUNCTION("GOOGLETRANSLATE(A84, ""en"", ""am"")"),"83")</f>
        <v>83</v>
      </c>
      <c r="H84" s="11" t="str">
        <f>IFERROR(__xludf.DUMMYFUNCTION("GOOGLETRANSLATE(B84, ""en"", ""am"")"),"ላሟ በደንብ እየዘለለች ነው, ነገር ግን ለመነሳት ትንሽ መዘግየት አለ. ተቆጣጣሪው እንዴት ሊረዳ ይችላል?")</f>
        <v>ላሟ በደንብ እየዘለለች ነው, ነገር ግን ለመነሳት ትንሽ መዘግየት አለ. ተቆጣጣሪው እንዴት ሊረዳ ይችላል?</v>
      </c>
      <c r="I84" s="11" t="str">
        <f>IFERROR(__xludf.DUMMYFUNCTION("GOOGLETRANSLATE(C84, ""en"", ""am"")"),"ሀ. አቀራረቡን በማስተካከል የላሟን የማገገም ፍጥነት በማሻሻል ላይ ያተኩሩ።
ለ. ፈጣን መነሳትን ለማበረታታት የዝላይን ቁመት ይጨምሩ።
ሐ. ላም በፍጥነት እንዲዘል ለመርዳት ስልጠናውን ያፋጥኑ።
መ. ላሟ ጊዜዋን እንድትወስድ እና ምቹ በሆነ ፍጥነት እንድትዘልላት ይፍቀዱላት።")</f>
        <v>ሀ. አቀራረቡን በማስተካከል የላሟን የማገገም ፍጥነት በማሻሻል ላይ ያተኩሩ።
ለ. ፈጣን መነሳትን ለማበረታታት የዝላይን ቁመት ይጨምሩ።
ሐ. ላም በፍጥነት እንዲዘል ለመርዳት ስልጠናውን ያፋጥኑ።
መ. ላሟ ጊዜዋን እንድትወስድ እና ምቹ በሆነ ፍጥነት እንድትዘልላት ይፍቀዱላት።</v>
      </c>
      <c r="J84" s="11" t="str">
        <f>IFERROR(__xludf.DUMMYFUNCTION("GOOGLETRANSLATE(D84, ""en"", ""am"")"),"አቀራረቡን በማስተካከል ላም የማገገሚያ ፍጥነትን በማሻሻል ላይ ያተኩሩ.")</f>
        <v>አቀራረቡን በማስተካከል ላም የማገገሚያ ፍጥነትን በማሻሻል ላይ ያተኩሩ.</v>
      </c>
      <c r="K84" s="11" t="str">
        <f>IFERROR(__xludf.DUMMYFUNCTION("GOOGLETRANSLATE(E84, ""en"", ""am"")"),"የተሻሻለ የማውረድ ፍጥነት የላም ዝላይ ስራን ይጨምራል።")</f>
        <v>የተሻሻለ የማውረድ ፍጥነት የላም ዝላይ ስራን ይጨምራል።</v>
      </c>
    </row>
    <row r="85" ht="22.5" customHeight="1">
      <c r="A85" s="16">
        <v>84.0</v>
      </c>
      <c r="B85" s="16" t="s">
        <v>4412</v>
      </c>
      <c r="C85" s="16" t="s">
        <v>4413</v>
      </c>
      <c r="D85" s="16" t="s">
        <v>4414</v>
      </c>
      <c r="E85" s="16" t="s">
        <v>4415</v>
      </c>
      <c r="G85" s="11" t="str">
        <f>IFERROR(__xludf.DUMMYFUNCTION("GOOGLETRANSLATE(A85, ""en"", ""am"")"),"84")</f>
        <v>84</v>
      </c>
      <c r="H85" s="11" t="str">
        <f>IFERROR(__xludf.DUMMYFUNCTION("GOOGLETRANSLATE(B85, ""en"", ""am"")"),"ላም በስልጠና ወቅት ትኩረት የሚስብ ይመስላል. ተቆጣጣሪው ምን ማድረግ አለበት?")</f>
        <v>ላም በስልጠና ወቅት ትኩረት የሚስብ ይመስላል. ተቆጣጣሪው ምን ማድረግ አለበት?</v>
      </c>
      <c r="I85" s="11" t="str">
        <f>IFERROR(__xludf.DUMMYFUNCTION("GOOGLETRANSLATE(C85, ""en"", ""am"")"),"ሀ. ላሟን ይረብሹ እና በስራው ላይ ያተኩሩ.
ለ. ትኩረትን የሚከፋፍሉ ነገሮችን ችላ ይበሉ እና እንደተለመደው ስልጠናዎን ይቀጥሉ።
ሐ. የላሟን ትኩረት የመጠበቅ ችግርን ይጨምሩ።
መ. ላሟ አርፋ እና ቆይተው እንደገና ይሞክሩ።")</f>
        <v>ሀ. ላሟን ይረብሹ እና በስራው ላይ ያተኩሩ.
ለ. ትኩረትን የሚከፋፍሉ ነገሮችን ችላ ይበሉ እና እንደተለመደው ስልጠናዎን ይቀጥሉ።
ሐ. የላሟን ትኩረት የመጠበቅ ችግርን ይጨምሩ።
መ. ላሟ አርፋ እና ቆይተው እንደገና ይሞክሩ።</v>
      </c>
      <c r="J85" s="11" t="str">
        <f>IFERROR(__xludf.DUMMYFUNCTION("GOOGLETRANSLATE(D85, ""en"", ""am"")"),"ላሟን ይረብሹ እና በስራው ላይ ያተኩሩ.")</f>
        <v>ላሟን ይረብሹ እና በስራው ላይ ያተኩሩ.</v>
      </c>
      <c r="K85" s="11" t="str">
        <f>IFERROR(__xludf.DUMMYFUNCTION("GOOGLETRANSLATE(E85, ""en"", ""am"")"),"በስልጠና ወቅት ትኩረትን መጠበቅ ተከታታይ አፈፃፀምን ያረጋግጣል.")</f>
        <v>በስልጠና ወቅት ትኩረትን መጠበቅ ተከታታይ አፈፃፀምን ያረጋግጣል.</v>
      </c>
    </row>
    <row r="86" ht="22.5" customHeight="1">
      <c r="A86" s="16">
        <v>85.0</v>
      </c>
      <c r="B86" s="16" t="s">
        <v>4416</v>
      </c>
      <c r="C86" s="16" t="s">
        <v>4417</v>
      </c>
      <c r="D86" s="16" t="s">
        <v>4418</v>
      </c>
      <c r="E86" s="16" t="s">
        <v>4419</v>
      </c>
      <c r="G86" s="11" t="str">
        <f>IFERROR(__xludf.DUMMYFUNCTION("GOOGLETRANSLATE(A86, ""en"", ""am"")"),"85")</f>
        <v>85</v>
      </c>
      <c r="H86" s="11" t="str">
        <f>IFERROR(__xludf.DUMMYFUNCTION("GOOGLETRANSLATE(B86, ""en"", ""am"")"),"ላሟ ዝላይን በተሳካ ሁኔታ ታጸዳለች ነገር ግን ለሚቀጥለው ዝላይ የማመንታት ምልክቶችን ያሳያል። ተቆጣጣሪው ምን ምላሽ መስጠት አለበት?")</f>
        <v>ላሟ ዝላይን በተሳካ ሁኔታ ታጸዳለች ነገር ግን ለሚቀጥለው ዝላይ የማመንታት ምልክቶችን ያሳያል። ተቆጣጣሪው ምን ምላሽ መስጠት አለበት?</v>
      </c>
      <c r="I86" s="11" t="str">
        <f>IFERROR(__xludf.DUMMYFUNCTION("GOOGLETRANSLATE(C86, ""en"", ""am"")"),"ሀ. ላሟን አበረታቷት እና ከሚቀጥለው ዝላይ በፊት አረጋጋት።
ለ. ላሟን ለመቃወም የሚቀጥለውን ዝላይ አስቸጋሪነት ይጨምሩ.
ሐ. ላሟ የሚቀጥለውን ዝላይ ወዲያውኑ እንድትሞክር አስገድደው።
መ. ላሟን እረፍት ስጣት እና ትኩረቷን መልሳ እንድታገኝ አድርግ።")</f>
        <v>ሀ. ላሟን አበረታቷት እና ከሚቀጥለው ዝላይ በፊት አረጋጋት።
ለ. ላሟን ለመቃወም የሚቀጥለውን ዝላይ አስቸጋሪነት ይጨምሩ.
ሐ. ላሟ የሚቀጥለውን ዝላይ ወዲያውኑ እንድትሞክር አስገድደው።
መ. ላሟን እረፍት ስጣት እና ትኩረቷን መልሳ እንድታገኝ አድርግ።</v>
      </c>
      <c r="J86" s="11" t="str">
        <f>IFERROR(__xludf.DUMMYFUNCTION("GOOGLETRANSLATE(D86, ""en"", ""am"")"),"ላሟን አበረታቷት እና ከሚቀጥለው ዝላይ በፊት አረጋጋት።")</f>
        <v>ላሟን አበረታቷት እና ከሚቀጥለው ዝላይ በፊት አረጋጋት።</v>
      </c>
      <c r="K86" s="11" t="str">
        <f>IFERROR(__xludf.DUMMYFUNCTION("GOOGLETRANSLATE(E86, ""en"", ""am"")"),"መረጋጋት ላሟ ለቀጣዩ ዝላይ በራስ መተማመንን እንዲያገኝ ይረዳታል።")</f>
        <v>መረጋጋት ላሟ ለቀጣዩ ዝላይ በራስ መተማመንን እንዲያገኝ ይረዳታል።</v>
      </c>
    </row>
    <row r="87" ht="22.5" customHeight="1">
      <c r="A87" s="16">
        <v>86.0</v>
      </c>
      <c r="B87" s="16" t="s">
        <v>4420</v>
      </c>
      <c r="C87" s="16" t="s">
        <v>4421</v>
      </c>
      <c r="D87" s="16" t="s">
        <v>4422</v>
      </c>
      <c r="E87" s="16" t="s">
        <v>4423</v>
      </c>
      <c r="G87" s="11" t="str">
        <f>IFERROR(__xludf.DUMMYFUNCTION("GOOGLETRANSLATE(A87, ""en"", ""am"")"),"86")</f>
        <v>86</v>
      </c>
      <c r="H87" s="11" t="str">
        <f>IFERROR(__xludf.DUMMYFUNCTION("GOOGLETRANSLATE(B87, ""en"", ""am"")"),"ላሟ በጥሩ ሁኔታ እየሰራች ነው, ነገር ግን ከመዝለሏ በፊት ያላት ቦታ የማይጣጣም ነው. ተቆጣጣሪው በምን ላይ ማተኮር አለበት?")</f>
        <v>ላሟ በጥሩ ሁኔታ እየሰራች ነው, ነገር ግን ከመዝለሏ በፊት ያላት ቦታ የማይጣጣም ነው. ተቆጣጣሪው በምን ላይ ማተኮር አለበት?</v>
      </c>
      <c r="I87" s="11" t="str">
        <f>IFERROR(__xludf.DUMMYFUNCTION("GOOGLETRANSLATE(C87, ""en"", ""am"")"),"ሀ. አቀማመጥዎን እና የመዝለል አቀራረብዎን ለማሻሻል ይስሩ።
ለ. ላሟን የበለጠ ለመቃወም የዝላይዎችን ቁመት ይጨምሩ።
ሐ. የድህረ-ገጽታ መዛባትን ለመቀነስ ስልጠናን ማፋጠን።
መ. አኳኋን ችላ ይበሉ እና መዝለሉን በማጠናቀቅ ላይ ብቻ ያተኩሩ።")</f>
        <v>ሀ. አቀማመጥዎን እና የመዝለል አቀራረብዎን ለማሻሻል ይስሩ።
ለ. ላሟን የበለጠ ለመቃወም የዝላይዎችን ቁመት ይጨምሩ።
ሐ. የድህረ-ገጽታ መዛባትን ለመቀነስ ስልጠናን ማፋጠን።
መ. አኳኋን ችላ ይበሉ እና መዝለሉን በማጠናቀቅ ላይ ብቻ ያተኩሩ።</v>
      </c>
      <c r="J87" s="11" t="str">
        <f>IFERROR(__xludf.DUMMYFUNCTION("GOOGLETRANSLATE(D87, ""en"", ""am"")"),"የእርስዎን አቀማመጥ እና የመዝለል አቀራረብን ለማሻሻል ይስሩ።")</f>
        <v>የእርስዎን አቀማመጥ እና የመዝለል አቀራረብን ለማሻሻል ይስሩ።</v>
      </c>
      <c r="K87" s="11" t="str">
        <f>IFERROR(__xludf.DUMMYFUNCTION("GOOGLETRANSLATE(E87, ""en"", ""am"")"),"አቀማመጥን ማሻሻል የተሻለ መነሳት እና ማረፍን ያረጋግጣል.")</f>
        <v>አቀማመጥን ማሻሻል የተሻለ መነሳት እና ማረፍን ያረጋግጣል.</v>
      </c>
    </row>
    <row r="88" ht="22.5" customHeight="1">
      <c r="A88" s="16">
        <v>87.0</v>
      </c>
      <c r="B88" s="16" t="s">
        <v>4424</v>
      </c>
      <c r="C88" s="16" t="s">
        <v>4425</v>
      </c>
      <c r="D88" s="16" t="s">
        <v>4426</v>
      </c>
      <c r="E88" s="16" t="s">
        <v>4427</v>
      </c>
      <c r="G88" s="11" t="str">
        <f>IFERROR(__xludf.DUMMYFUNCTION("GOOGLETRANSLATE(A88, ""en"", ""am"")"),"87")</f>
        <v>87</v>
      </c>
      <c r="H88" s="11" t="str">
        <f>IFERROR(__xludf.DUMMYFUNCTION("GOOGLETRANSLATE(B88, ""en"", ""am"")"),"ላም በአዲስ መሰናክል ላይ ከመዝለሉ በፊት ያመነታል, ነገር ግን በመጨረሻ ያጸዳዋል. ተቆጣጣሪው ቀጥሎ ምን ማድረግ አለበት?")</f>
        <v>ላም በአዲስ መሰናክል ላይ ከመዝለሉ በፊት ያመነታል, ነገር ግን በመጨረሻ ያጸዳዋል. ተቆጣጣሪው ቀጥሎ ምን ማድረግ አለበት?</v>
      </c>
      <c r="I88" s="11" t="str">
        <f>IFERROR(__xludf.DUMMYFUNCTION("GOOGLETRANSLATE(C88, ""en"", ""am"")"),"ሀ. ቀስ በቀስ የእንቅፋቱን መጠን ይቀንሱ እና ላሟን ያወድሱ.
ለ. ላም ወዲያውኑ እንቅፋት እንድትወጣ አበረታቷት።
ሐ. ላሟን የበለጠ ለመቃወም የመዝለል ችግርን ይጨምሩ።
መ. ላሟን እረፍት ስጡ እና ወደ እንቅፋት ይመለሱ.")</f>
        <v>ሀ. ቀስ በቀስ የእንቅፋቱን መጠን ይቀንሱ እና ላሟን ያወድሱ.
ለ. ላም ወዲያውኑ እንቅፋት እንድትወጣ አበረታቷት።
ሐ. ላሟን የበለጠ ለመቃወም የመዝለል ችግርን ይጨምሩ።
መ. ላሟን እረፍት ስጡ እና ወደ እንቅፋት ይመለሱ.</v>
      </c>
      <c r="J88" s="11" t="str">
        <f>IFERROR(__xludf.DUMMYFUNCTION("GOOGLETRANSLATE(D88, ""en"", ""am"")"),"ቀስ በቀስ የእንቅፋቱን መጠን ይቀንሱ እና ላሙን ያወድሱ.")</f>
        <v>ቀስ በቀስ የእንቅፋቱን መጠን ይቀንሱ እና ላሙን ያወድሱ.</v>
      </c>
      <c r="K88" s="11" t="str">
        <f>IFERROR(__xludf.DUMMYFUNCTION("GOOGLETRANSLATE(E88, ""en"", ""am"")"),"ቀስ በቀስ መሻሻል የላሟን በራስ መተማመን እና ዝግጁነት ይገነባል።")</f>
        <v>ቀስ በቀስ መሻሻል የላሟን በራስ መተማመን እና ዝግጁነት ይገነባል።</v>
      </c>
    </row>
    <row r="89" ht="22.5" customHeight="1">
      <c r="A89" s="16">
        <v>88.0</v>
      </c>
      <c r="B89" s="16" t="s">
        <v>4428</v>
      </c>
      <c r="C89" s="16" t="s">
        <v>4429</v>
      </c>
      <c r="D89" s="16" t="s">
        <v>4430</v>
      </c>
      <c r="E89" s="16" t="s">
        <v>4431</v>
      </c>
      <c r="G89" s="11" t="str">
        <f>IFERROR(__xludf.DUMMYFUNCTION("GOOGLETRANSLATE(A89, ""en"", ""am"")"),"88")</f>
        <v>88</v>
      </c>
      <c r="H89" s="11" t="str">
        <f>IFERROR(__xludf.DUMMYFUNCTION("GOOGLETRANSLATE(B89, ""en"", ""am"")"),"ላም በደንብ እየዘለለች ቢሆንም የድካም ምልክቶች ይታያል. ተቆጣጣሪው ምን ማድረግ አለበት?")</f>
        <v>ላም በደንብ እየዘለለች ቢሆንም የድካም ምልክቶች ይታያል. ተቆጣጣሪው ምን ማድረግ አለበት?</v>
      </c>
      <c r="I89" s="11" t="str">
        <f>IFERROR(__xludf.DUMMYFUNCTION("GOOGLETRANSLATE(C89, ""en"", ""am"")"),"ሀ. ረጅም እረፍት ይውሰዱ እና ላሟ ይጠጣ።
ለ. የስልጠና ክፍለ ጊዜውን ለመጨረስ ላሟን ይግፉት.
ሐ. ላሟን ለመቋቋም የዝላይዎችን ጥንካሬ ይጨምሩ.
መ. ላሟ አርፋ እና በኋላ ወደ ስልጠና ተመለስ።")</f>
        <v>ሀ. ረጅም እረፍት ይውሰዱ እና ላሟ ይጠጣ።
ለ. የስልጠና ክፍለ ጊዜውን ለመጨረስ ላሟን ይግፉት.
ሐ. ላሟን ለመቋቋም የዝላይዎችን ጥንካሬ ይጨምሩ.
መ. ላሟ አርፋ እና በኋላ ወደ ስልጠና ተመለስ።</v>
      </c>
      <c r="J89" s="11" t="str">
        <f>IFERROR(__xludf.DUMMYFUNCTION("GOOGLETRANSLATE(D89, ""en"", ""am"")"),"ረጅም እረፍት ይውሰዱ እና ላም ይጠጣ.")</f>
        <v>ረጅም እረፍት ይውሰዱ እና ላም ይጠጣ.</v>
      </c>
      <c r="K89" s="11" t="str">
        <f>IFERROR(__xludf.DUMMYFUNCTION("GOOGLETRANSLATE(E89, ""en"", ""am"")"),"እረፍት እና እርጥበት ለተሻለ አፈፃፀም እና ለማገገም ወሳኝ ናቸው።")</f>
        <v>እረፍት እና እርጥበት ለተሻለ አፈፃፀም እና ለማገገም ወሳኝ ናቸው።</v>
      </c>
    </row>
    <row r="90" ht="22.5" customHeight="1">
      <c r="A90" s="16">
        <v>89.0</v>
      </c>
      <c r="B90" s="16" t="s">
        <v>4432</v>
      </c>
      <c r="C90" s="16" t="s">
        <v>4433</v>
      </c>
      <c r="D90" s="16" t="s">
        <v>4434</v>
      </c>
      <c r="E90" s="16" t="s">
        <v>4435</v>
      </c>
      <c r="G90" s="11" t="str">
        <f>IFERROR(__xludf.DUMMYFUNCTION("GOOGLETRANSLATE(A90, ""en"", ""am"")"),"89")</f>
        <v>89</v>
      </c>
      <c r="H90" s="11" t="str">
        <f>IFERROR(__xludf.DUMMYFUNCTION("GOOGLETRANSLATE(B90, ""en"", ""am"")"),"ላሟ ዝላይን ታጸዳለች ነገር ግን በጣም በዝግታ ታርፋለች። ተቆጣጣሪው እንዴት ማስተካከል አለበት?")</f>
        <v>ላሟ ዝላይን ታጸዳለች ነገር ግን በጣም በዝግታ ታርፋለች። ተቆጣጣሪው እንዴት ማስተካከል አለበት?</v>
      </c>
      <c r="I90" s="11" t="str">
        <f>IFERROR(__xludf.DUMMYFUNCTION("GOOGLETRANSLATE(C90, ""en"", ""am"")"),"ሀ. ለተሻለ መረጋጋት ላም የማረፊያ ዘዴን በማሻሻል ላይ ያተኩሩ።
ለ. ማረፊያዎቹን የበለጠ አስቸጋሪ ለማድረግ የዝላይዎቹን ቁመት ይጨምሩ።
ሐ. ላሟ ምንም አይነት ማስተካከያ ሳታደርጉ በተፈጥሮ እንድታርፍ አበረታቷት።
መ. በመዝለል ከመቀጠልዎ በፊት ላሟ እንዲያርፍ ይፍቀዱለት።")</f>
        <v>ሀ. ለተሻለ መረጋጋት ላም የማረፊያ ዘዴን በማሻሻል ላይ ያተኩሩ።
ለ. ማረፊያዎቹን የበለጠ አስቸጋሪ ለማድረግ የዝላይዎቹን ቁመት ይጨምሩ።
ሐ. ላሟ ምንም አይነት ማስተካከያ ሳታደርጉ በተፈጥሮ እንድታርፍ አበረታቷት።
መ. በመዝለል ከመቀጠልዎ በፊት ላሟ እንዲያርፍ ይፍቀዱለት።</v>
      </c>
      <c r="J90" s="11" t="str">
        <f>IFERROR(__xludf.DUMMYFUNCTION("GOOGLETRANSLATE(D90, ""en"", ""am"")"),"ለተሻለ መረጋጋት ላም የማረፊያ ዘዴን በማሻሻል ላይ ያተኩሩ.")</f>
        <v>ለተሻለ መረጋጋት ላም የማረፊያ ዘዴን በማሻሻል ላይ ያተኩሩ.</v>
      </c>
      <c r="K90" s="11" t="str">
        <f>IFERROR(__xludf.DUMMYFUNCTION("GOOGLETRANSLATE(E90, ""en"", ""am"")"),"የተሻሻለ የማረፊያ ዘዴ አስተማማኝ እና የተረጋጋ ማረፊያን ያረጋግጣል.")</f>
        <v>የተሻሻለ የማረፊያ ዘዴ አስተማማኝ እና የተረጋጋ ማረፊያን ያረጋግጣል.</v>
      </c>
    </row>
    <row r="91" ht="22.5" customHeight="1">
      <c r="A91" s="16">
        <v>90.0</v>
      </c>
      <c r="B91" s="16" t="s">
        <v>4436</v>
      </c>
      <c r="C91" s="16" t="s">
        <v>4437</v>
      </c>
      <c r="D91" s="16" t="s">
        <v>4438</v>
      </c>
      <c r="E91" s="16" t="s">
        <v>4439</v>
      </c>
      <c r="G91" s="11" t="str">
        <f>IFERROR(__xludf.DUMMYFUNCTION("GOOGLETRANSLATE(A91, ""en"", ""am"")"),"90")</f>
        <v>90</v>
      </c>
      <c r="H91" s="11" t="str">
        <f>IFERROR(__xludf.DUMMYFUNCTION("GOOGLETRANSLATE(B91, ""en"", ""am"")"),"ላም በጣም በዝግታ እየዘለለ ነው, ይህም አፈፃፀሙን ይጎዳዋል. ተቆጣጣሪው ምን ማድረግ አለበት?")</f>
        <v>ላም በጣም በዝግታ እየዘለለ ነው, ይህም አፈፃፀሙን ይጎዳዋል. ተቆጣጣሪው ምን ማድረግ አለበት?</v>
      </c>
      <c r="I91" s="11" t="str">
        <f>IFERROR(__xludf.DUMMYFUNCTION("GOOGLETRANSLATE(C91, ""en"", ""am"")"),"ሀ. ላሟ ፍጥነቷን እንድትጨምር እና በቴክኒኩዋ ላይ እንድታተኩር አበረታቷት።
ለ. ላሟ በፍጥነት እንድትዘል ለማበረታታት የዝላይዎችን ችግር ጨምር።
ሐ. ላሟን ቀላል ለማድረግ የዝላይዎቹን ቁመት ይቀንሱ።
መ. ላሟ በጣም ሳትገፋው በራሱ ፍጥነት እንዲዘል ይፍቀዱለት።")</f>
        <v>ሀ. ላሟ ፍጥነቷን እንድትጨምር እና በቴክኒኩዋ ላይ እንድታተኩር አበረታቷት።
ለ. ላሟ በፍጥነት እንድትዘል ለማበረታታት የዝላይዎችን ችግር ጨምር።
ሐ. ላሟን ቀላል ለማድረግ የዝላይዎቹን ቁመት ይቀንሱ።
መ. ላሟ በጣም ሳትገፋው በራሱ ፍጥነት እንዲዘል ይፍቀዱለት።</v>
      </c>
      <c r="J91" s="11" t="str">
        <f>IFERROR(__xludf.DUMMYFUNCTION("GOOGLETRANSLATE(D91, ""en"", ""am"")"),"ላሟ ፍጥነቷን እንድትጨምር እና በቴክኒኩዋ ላይ እንድታተኩር አበረታቷት።")</f>
        <v>ላሟ ፍጥነቷን እንድትጨምር እና በቴክኒኩዋ ላይ እንድታተኩር አበረታቷት።</v>
      </c>
      <c r="K91" s="11" t="str">
        <f>IFERROR(__xludf.DUMMYFUNCTION("GOOGLETRANSLATE(E91, ""en"", ""am"")"),"የተሻሻለ ፍጥነት ለተሻለ እና የበለጠ ቁጥጥር ለመዝለል ያስችላል።")</f>
        <v>የተሻሻለ ፍጥነት ለተሻለ እና የበለጠ ቁጥጥር ለመዝለል ያስችላል።</v>
      </c>
    </row>
    <row r="92" ht="22.5" customHeight="1">
      <c r="A92" s="16">
        <v>91.0</v>
      </c>
      <c r="B92" s="16" t="s">
        <v>4440</v>
      </c>
      <c r="C92" s="16" t="s">
        <v>4441</v>
      </c>
      <c r="D92" s="16" t="s">
        <v>4442</v>
      </c>
      <c r="E92" s="16" t="s">
        <v>4443</v>
      </c>
      <c r="G92" s="11" t="str">
        <f>IFERROR(__xludf.DUMMYFUNCTION("GOOGLETRANSLATE(A92, ""en"", ""am"")"),"91")</f>
        <v>91</v>
      </c>
      <c r="H92" s="11" t="str">
        <f>IFERROR(__xludf.DUMMYFUNCTION("GOOGLETRANSLATE(B92, ""en"", ""am"")"),"ላሟ ወደ ዝላይ ለመቅረብ ፈቃደኛ አልሆነችም። ተቆጣጣሪው ምን ማድረግ አለበት?")</f>
        <v>ላሟ ወደ ዝላይ ለመቅረብ ፈቃደኛ አልሆነችም። ተቆጣጣሪው ምን ማድረግ አለበት?</v>
      </c>
      <c r="I92" s="11" t="str">
        <f>IFERROR(__xludf.DUMMYFUNCTION("GOOGLETRANSLATE(C92, ""en"", ""am"")"),"ሀ. በራስ መተማመንን ለማበረታታት ላሟን አረጋግጡ እና የዝላይን ቁመት ይቀንሱ።
ለ/ ላሟን ወደ እንቅፋት በመግፋት እንድትዘል አስገደዷት።
ሐ. የላሟን ቁርጠኝነት ለመቃወም የዝላይን ቁመት ይጨምሩ።
መ. ላም እረፍት ይውሰድ እና ከዚያ በኋላ ወደ ዘለሉ ይመለሱ.")</f>
        <v>ሀ. በራስ መተማመንን ለማበረታታት ላሟን አረጋግጡ እና የዝላይን ቁመት ይቀንሱ።
ለ/ ላሟን ወደ እንቅፋት በመግፋት እንድትዘል አስገደዷት።
ሐ. የላሟን ቁርጠኝነት ለመቃወም የዝላይን ቁመት ይጨምሩ።
መ. ላም እረፍት ይውሰድ እና ከዚያ በኋላ ወደ ዘለሉ ይመለሱ.</v>
      </c>
      <c r="J92" s="11" t="str">
        <f>IFERROR(__xludf.DUMMYFUNCTION("GOOGLETRANSLATE(D92, ""en"", ""am"")"),"በራስ መተማመንን ለማበረታታት ላሟን አረጋግጡ እና የዝላይውን ቁመት ይቀንሱ.")</f>
        <v>በራስ መተማመንን ለማበረታታት ላሟን አረጋግጡ እና የዝላይውን ቁመት ይቀንሱ.</v>
      </c>
      <c r="K92" s="11" t="str">
        <f>IFERROR(__xludf.DUMMYFUNCTION("GOOGLETRANSLATE(E92, ""en"", ""am"")"),"ቀስ በቀስ መሻሻል ላም ፍርሃትን ለማሸነፍ እና በራስ መተማመንን ለማዳበር ይረዳል።")</f>
        <v>ቀስ በቀስ መሻሻል ላም ፍርሃትን ለማሸነፍ እና በራስ መተማመንን ለማዳበር ይረዳል።</v>
      </c>
    </row>
    <row r="93" ht="22.5" customHeight="1">
      <c r="A93" s="16">
        <v>92.0</v>
      </c>
      <c r="B93" s="16" t="s">
        <v>4444</v>
      </c>
      <c r="C93" s="16" t="s">
        <v>4445</v>
      </c>
      <c r="D93" s="16" t="s">
        <v>4446</v>
      </c>
      <c r="E93" s="16" t="s">
        <v>4447</v>
      </c>
      <c r="G93" s="11" t="str">
        <f>IFERROR(__xludf.DUMMYFUNCTION("GOOGLETRANSLATE(A93, ""en"", ""am"")"),"92")</f>
        <v>92</v>
      </c>
      <c r="H93" s="11" t="str">
        <f>IFERROR(__xludf.DUMMYFUNCTION("GOOGLETRANSLATE(B93, ""en"", ""am"")"),"ላም በጥሩ ሁኔታ እየሰራች ነው ነገር ግን ትኩረትን የሚከፋፍሉ ምልክቶችን ማሳየት ይጀምራል. ተቆጣጣሪው ምን ማድረግ አለበት?")</f>
        <v>ላም በጥሩ ሁኔታ እየሰራች ነው ነገር ግን ትኩረትን የሚከፋፍሉ ምልክቶችን ማሳየት ይጀምራል. ተቆጣጣሪው ምን ማድረግ አለበት?</v>
      </c>
      <c r="I93" s="11" t="str">
        <f>IFERROR(__xludf.DUMMYFUNCTION("GOOGLETRANSLATE(C93, ""en"", ""am"")"),"ሀ. ላሟን እንደገና አተኩር እና በተረጋጋ አካባቢ ማሰልጠንዎን ይቀጥሉ።
ለ. ላሟን የበለጠ ተሳትፎ የማድረግ ችግር ላይ ይጨምሩ.
ሐ. ከመቀጠልዎ በፊት ላም ለጥቂት ጊዜ ይቆይ.
መ. ትኩረት የሚከፋፍሉ ነገሮች ቢኖሩም ላሟን ግፋ።")</f>
        <v>ሀ. ላሟን እንደገና አተኩር እና በተረጋጋ አካባቢ ማሰልጠንዎን ይቀጥሉ።
ለ. ላሟን የበለጠ ተሳትፎ የማድረግ ችግር ላይ ይጨምሩ.
ሐ. ከመቀጠልዎ በፊት ላም ለጥቂት ጊዜ ይቆይ.
መ. ትኩረት የሚከፋፍሉ ነገሮች ቢኖሩም ላሟን ግፋ።</v>
      </c>
      <c r="J93" s="11" t="str">
        <f>IFERROR(__xludf.DUMMYFUNCTION("GOOGLETRANSLATE(D93, ""en"", ""am"")"),"ላሟን እንደገና አተኩር እና በተረጋጋ አካባቢ ማሰልጠንዎን ይቀጥሉ.")</f>
        <v>ላሟን እንደገና አተኩር እና በተረጋጋ አካባቢ ማሰልጠንዎን ይቀጥሉ.</v>
      </c>
      <c r="K93" s="11" t="str">
        <f>IFERROR(__xludf.DUMMYFUNCTION("GOOGLETRANSLATE(E93, ""en"", ""am"")"),"የተረጋጋ አካባቢ ላም በትኩረት እና በቋሚነት እንዲቆይ ይረዳል.")</f>
        <v>የተረጋጋ አካባቢ ላም በትኩረት እና በቋሚነት እንዲቆይ ይረዳል.</v>
      </c>
    </row>
    <row r="94" ht="22.5" customHeight="1">
      <c r="A94" s="16">
        <v>93.0</v>
      </c>
      <c r="B94" s="16" t="s">
        <v>4448</v>
      </c>
      <c r="C94" s="16" t="s">
        <v>4449</v>
      </c>
      <c r="D94" s="16" t="s">
        <v>4450</v>
      </c>
      <c r="E94" s="16" t="s">
        <v>4451</v>
      </c>
      <c r="G94" s="11" t="str">
        <f>IFERROR(__xludf.DUMMYFUNCTION("GOOGLETRANSLATE(A94, ""en"", ""am"")"),"93")</f>
        <v>93</v>
      </c>
      <c r="H94" s="11" t="str">
        <f>IFERROR(__xludf.DUMMYFUNCTION("GOOGLETRANSLATE(B94, ""en"", ""am"")"),"ላሟ ኢፍትሐዊ በሆነ መንገድ ስታርፍ ትንሽ እንቅፋት ትፈጥራለች። ተቆጣጣሪው ቀጥሎ ምን ማድረግ አለበት?")</f>
        <v>ላሟ ኢፍትሐዊ በሆነ መንገድ ስታርፍ ትንሽ እንቅፋት ትፈጥራለች። ተቆጣጣሪው ቀጥሎ ምን ማድረግ አለበት?</v>
      </c>
      <c r="I94" s="11" t="str">
        <f>IFERROR(__xludf.DUMMYFUNCTION("GOOGLETRANSLATE(C94, ""en"", ""am"")"),"ሀ. ላሟን አረጋጋ እና የማረፍ ቴክኒኳን በማሻሻል ላይ አተኩር።
ለ. ላም ያለ ምንም ማስተካከያ እንድትቀጥል ግፋ።
ሐ. የላሙን አፈጻጸም ለማሻሻል የ jumpers ችግርን ይጨምሩ።
መ. ላሟ እንዲያርፍ ፍቀድ እና በኋላ ማሰልጠንዎን ይቀጥሉ።")</f>
        <v>ሀ. ላሟን አረጋጋ እና የማረፍ ቴክኒኳን በማሻሻል ላይ አተኩር።
ለ. ላም ያለ ምንም ማስተካከያ እንድትቀጥል ግፋ።
ሐ. የላሙን አፈጻጸም ለማሻሻል የ jumpers ችግርን ይጨምሩ።
መ. ላሟ እንዲያርፍ ፍቀድ እና በኋላ ማሰልጠንዎን ይቀጥሉ።</v>
      </c>
      <c r="J94" s="11" t="str">
        <f>IFERROR(__xludf.DUMMYFUNCTION("GOOGLETRANSLATE(D94, ""en"", ""am"")"),"ላሟን ያረጋጋው እና የእርሷን ማረፊያ ዘዴ ለማሻሻል ትኩረት ይስጡ.")</f>
        <v>ላሟን ያረጋጋው እና የእርሷን ማረፊያ ዘዴ ለማሻሻል ትኩረት ይስጡ.</v>
      </c>
      <c r="K94" s="11" t="str">
        <f>IFERROR(__xludf.DUMMYFUNCTION("GOOGLETRANSLATE(E94, ""en"", ""am"")"),"የማረፊያ ዘዴን ማሻሻል የአካል ጉዳትን አደጋ ይቀንሳል እና ቁጥጥርን ያሻሽላል.")</f>
        <v>የማረፊያ ዘዴን ማሻሻል የአካል ጉዳትን አደጋ ይቀንሳል እና ቁጥጥርን ያሻሽላል.</v>
      </c>
    </row>
    <row r="95" ht="22.5" customHeight="1">
      <c r="A95" s="16">
        <v>94.0</v>
      </c>
      <c r="B95" s="16" t="s">
        <v>4452</v>
      </c>
      <c r="C95" s="16" t="s">
        <v>4453</v>
      </c>
      <c r="D95" s="16" t="s">
        <v>4454</v>
      </c>
      <c r="E95" s="16" t="s">
        <v>4455</v>
      </c>
      <c r="G95" s="11" t="str">
        <f>IFERROR(__xludf.DUMMYFUNCTION("GOOGLETRANSLATE(A95, ""en"", ""am"")"),"94")</f>
        <v>94</v>
      </c>
      <c r="H95" s="11" t="str">
        <f>IFERROR(__xludf.DUMMYFUNCTION("GOOGLETRANSLATE(B95, ""en"", ""am"")"),"ላም አዲስ ዓይነት ዝላይ ከመሞከርዎ በፊት የተደናገጠ ይመስላል። ተቆጣጣሪው ምን ማድረግ አለበት?")</f>
        <v>ላም አዲስ ዓይነት ዝላይ ከመሞከርዎ በፊት የተደናገጠ ይመስላል። ተቆጣጣሪው ምን ማድረግ አለበት?</v>
      </c>
      <c r="I95" s="11" t="str">
        <f>IFERROR(__xludf.DUMMYFUNCTION("GOOGLETRANSLATE(C95, ""en"", ""am"")"),"ሀ. በተመሳሳይ ትንሽ ዝላይ ይጀምሩ እና ቀስ በቀስ አስቸጋሪነቱን ይጨምሩ.
ለ. ላሟ ምንም ሳያስተካከሉ እንድትዘል ያስገድዱ.
ሐ. ላሟ ነርቭን ለማለፍ ፈተናውን ጨምር።
መ. ላሟን እረፍት ስጡ እና መዝለሉን በኋላ ይሞክሩ።")</f>
        <v>ሀ. በተመሳሳይ ትንሽ ዝላይ ይጀምሩ እና ቀስ በቀስ አስቸጋሪነቱን ይጨምሩ.
ለ. ላሟ ምንም ሳያስተካከሉ እንድትዘል ያስገድዱ.
ሐ. ላሟ ነርቭን ለማለፍ ፈተናውን ጨምር።
መ. ላሟን እረፍት ስጡ እና መዝለሉን በኋላ ይሞክሩ።</v>
      </c>
      <c r="J95" s="11" t="str">
        <f>IFERROR(__xludf.DUMMYFUNCTION("GOOGLETRANSLATE(D95, ""en"", ""am"")"),"በተመሳሳይ ትንሽ ዝላይ ይጀምሩ እና ችግሩን ቀስ በቀስ ይጨምሩ.")</f>
        <v>በተመሳሳይ ትንሽ ዝላይ ይጀምሩ እና ችግሩን ቀስ በቀስ ይጨምሩ.</v>
      </c>
      <c r="K95" s="11" t="str">
        <f>IFERROR(__xludf.DUMMYFUNCTION("GOOGLETRANSLATE(E95, ""en"", ""am"")"),"ቀስ በቀስ መሻሻል የላሟን በራስ መተማመን እና ተወዳጅነት ለመገንባት ይረዳል።")</f>
        <v>ቀስ በቀስ መሻሻል የላሟን በራስ መተማመን እና ተወዳጅነት ለመገንባት ይረዳል።</v>
      </c>
    </row>
    <row r="96" ht="22.5" customHeight="1">
      <c r="A96" s="16">
        <v>95.0</v>
      </c>
      <c r="B96" s="16" t="s">
        <v>4456</v>
      </c>
      <c r="C96" s="16" t="s">
        <v>4457</v>
      </c>
      <c r="D96" s="16" t="s">
        <v>4458</v>
      </c>
      <c r="E96" s="16" t="s">
        <v>4459</v>
      </c>
      <c r="G96" s="11" t="str">
        <f>IFERROR(__xludf.DUMMYFUNCTION("GOOGLETRANSLATE(A96, ""en"", ""am"")"),"95")</f>
        <v>95</v>
      </c>
      <c r="H96" s="11" t="str">
        <f>IFERROR(__xludf.DUMMYFUNCTION("GOOGLETRANSLATE(B96, ""en"", ""am"")"),"ላሟ ጉብታውን ታጸዳለች ነገር ግን በኋላ ላይ አንዳንድ ምቾት ያሳያል. ተቆጣጣሪው ምን ማድረግ አለበት?")</f>
        <v>ላሟ ጉብታውን ታጸዳለች ነገር ግን በኋላ ላይ አንዳንድ ምቾት ያሳያል. ተቆጣጣሪው ምን ማድረግ አለበት?</v>
      </c>
      <c r="I96" s="11" t="str">
        <f>IFERROR(__xludf.DUMMYFUNCTION("GOOGLETRANSLATE(C96, ""en"", ""am"")"),"ሀ. ላሟን ለማንኛውም ምቾት ወይም ጉዳት ይፈትሹ እና እረፍት ይስጡት።
ለ. የላሟን ጽናት ለመቋቋም አስቸጋሪነትን ጨምር.
ሐ. እረፍት ሳትወስድ ላሟን ግፋ።
መ. ላሟ እንዲያርፍ እና ከአጭር እረፍት በኋላ ስልጠናውን እንዲቀጥል ፍቀድ።")</f>
        <v>ሀ. ላሟን ለማንኛውም ምቾት ወይም ጉዳት ይፈትሹ እና እረፍት ይስጡት።
ለ. የላሟን ጽናት ለመቋቋም አስቸጋሪነትን ጨምር.
ሐ. እረፍት ሳትወስድ ላሟን ግፋ።
መ. ላሟ እንዲያርፍ እና ከአጭር እረፍት በኋላ ስልጠናውን እንዲቀጥል ፍቀድ።</v>
      </c>
      <c r="J96" s="11" t="str">
        <f>IFERROR(__xludf.DUMMYFUNCTION("GOOGLETRANSLATE(D96, ""en"", ""am"")"),"ላሟን ማንኛውንም ምቾት ወይም ጉዳት ያረጋግጡ እና እረፍት ይስጡት።")</f>
        <v>ላሟን ማንኛውንም ምቾት ወይም ጉዳት ያረጋግጡ እና እረፍት ይስጡት።</v>
      </c>
      <c r="K96" s="11" t="str">
        <f>IFERROR(__xludf.DUMMYFUNCTION("GOOGLETRANSLATE(E96, ""en"", ""am"")"),"የላም ምቾትን ማረጋገጥ ጉዳቶችን ይከላከላል እና ማገገምን ያበረታታል.")</f>
        <v>የላም ምቾትን ማረጋገጥ ጉዳቶችን ይከላከላል እና ማገገምን ያበረታታል.</v>
      </c>
    </row>
    <row r="97" ht="22.5" customHeight="1">
      <c r="A97" s="16">
        <v>96.0</v>
      </c>
      <c r="B97" s="16" t="s">
        <v>4460</v>
      </c>
      <c r="C97" s="16" t="s">
        <v>4461</v>
      </c>
      <c r="D97" s="16" t="s">
        <v>4462</v>
      </c>
      <c r="E97" s="16" t="s">
        <v>4463</v>
      </c>
      <c r="G97" s="11" t="str">
        <f>IFERROR(__xludf.DUMMYFUNCTION("GOOGLETRANSLATE(A97, ""en"", ""am"")"),"96")</f>
        <v>96</v>
      </c>
      <c r="H97" s="11" t="str">
        <f>IFERROR(__xludf.DUMMYFUNCTION("GOOGLETRANSLATE(B97, ""en"", ""am"")"),"ላም ያለማቋረጥ በከፍተኛ ፍጥነት እየዘለለ ነው. ተቆጣጣሪው በምን ላይ ማተኮር አለበት?")</f>
        <v>ላም ያለማቋረጥ በከፍተኛ ፍጥነት እየዘለለ ነው. ተቆጣጣሪው በምን ላይ ማተኮር አለበት?</v>
      </c>
      <c r="I97" s="11" t="str">
        <f>IFERROR(__xludf.DUMMYFUNCTION("GOOGLETRANSLATE(C97, ""en"", ""am"")"),"ሀ. ላሟ በመዝለል ከፍታ ላይ ያለውን ቁጥጥር ለማሻሻል ቴክኒኳን እንድታጣራ እርዷት።
ለ. የላሟን ወሰን ለመቃወም የመዝለል ችግርን ይጨምሩ.
ሐ. ላም ለተሻለ አፈፃፀም እንድትዘል ያበረታቷት።
መ. ላሟን ቀላል ለማድረግ የዝላይዎቹን ቁመት ይቀንሱ።")</f>
        <v>ሀ. ላሟ በመዝለል ከፍታ ላይ ያለውን ቁጥጥር ለማሻሻል ቴክኒኳን እንድታጣራ እርዷት።
ለ. የላሟን ወሰን ለመቃወም የመዝለል ችግርን ይጨምሩ.
ሐ. ላም ለተሻለ አፈፃፀም እንድትዘል ያበረታቷት።
መ. ላሟን ቀላል ለማድረግ የዝላይዎቹን ቁመት ይቀንሱ።</v>
      </c>
      <c r="J97" s="11" t="str">
        <f>IFERROR(__xludf.DUMMYFUNCTION("GOOGLETRANSLATE(D97, ""en"", ""am"")"),"የዝላይ ቁመት ላይ ቁጥጥርን ለማሻሻል ላሟ ቴክኖሎጅዋን እንድታጣራ እርዷት።")</f>
        <v>የዝላይ ቁመት ላይ ቁጥጥርን ለማሻሻል ላሟ ቴክኖሎጅዋን እንድታጣራ እርዷት።</v>
      </c>
      <c r="K97" s="11" t="str">
        <f>IFERROR(__xludf.DUMMYFUNCTION("GOOGLETRANSLATE(E97, ""en"", ""am"")"),"የተሻሻለ ቴክኒክ ላም ከቁጥጥር እና ከትክክለኛነት ጋር መዝለልን ያረጋግጣል።")</f>
        <v>የተሻሻለ ቴክኒክ ላም ከቁጥጥር እና ከትክክለኛነት ጋር መዝለልን ያረጋግጣል።</v>
      </c>
    </row>
    <row r="98" ht="22.5" customHeight="1">
      <c r="A98" s="16">
        <v>97.0</v>
      </c>
      <c r="B98" s="16" t="s">
        <v>4464</v>
      </c>
      <c r="C98" s="16" t="s">
        <v>4465</v>
      </c>
      <c r="D98" s="16" t="s">
        <v>4466</v>
      </c>
      <c r="E98" s="16" t="s">
        <v>4467</v>
      </c>
      <c r="G98" s="11" t="str">
        <f>IFERROR(__xludf.DUMMYFUNCTION("GOOGLETRANSLATE(A98, ""en"", ""am"")"),"97")</f>
        <v>97</v>
      </c>
      <c r="H98" s="11" t="str">
        <f>IFERROR(__xludf.DUMMYFUNCTION("GOOGLETRANSLATE(B98, ""en"", ""am"")"),"ላሟ ዝላይን ታጸዳለች ነገር ግን ሰውነቷ ይጣመማል። ምን መደረግ አለበት?")</f>
        <v>ላሟ ዝላይን ታጸዳለች ነገር ግን ሰውነቷ ይጣመማል። ምን መደረግ አለበት?</v>
      </c>
      <c r="I98" s="11" t="str">
        <f>IFERROR(__xludf.DUMMYFUNCTION("GOOGLETRANSLATE(C98, ""en"", ""am"")"),"ሀ. ለተሻለ መረጋጋት የላም ማረፊያ ቦታን በማሻሻል ላይ ያተኩሩ።
ለ. ማረፊያዎቹን የበለጠ አስቸጋሪ ለማድረግ የዝላይዎችን ችግር ይጨምሩ።
ሐ. የማረፊያ ቴክኒኩን ሳታስተካክል ላሟ እንድትቀጥል አበረታቷት።
መ. ላሟን እረፍት ስጣት እና ሚዛኗን እንድትመልስ ፍቀድላት.")</f>
        <v>ሀ. ለተሻለ መረጋጋት የላም ማረፊያ ቦታን በማሻሻል ላይ ያተኩሩ።
ለ. ማረፊያዎቹን የበለጠ አስቸጋሪ ለማድረግ የዝላይዎችን ችግር ይጨምሩ።
ሐ. የማረፊያ ቴክኒኩን ሳታስተካክል ላሟ እንድትቀጥል አበረታቷት።
መ. ላሟን እረፍት ስጣት እና ሚዛኗን እንድትመልስ ፍቀድላት.</v>
      </c>
      <c r="J98" s="11" t="str">
        <f>IFERROR(__xludf.DUMMYFUNCTION("GOOGLETRANSLATE(D98, ""en"", ""am"")"),"ለተሻለ መረጋጋት የላም ማረፊያ ቦታን በማሻሻል ላይ ያተኩሩ.")</f>
        <v>ለተሻለ መረጋጋት የላም ማረፊያ ቦታን በማሻሻል ላይ ያተኩሩ.</v>
      </c>
      <c r="K98" s="11" t="str">
        <f>IFERROR(__xludf.DUMMYFUNCTION("GOOGLETRANSLATE(E98, ""en"", ""am"")"),"የተረጋጋ ማረፊያ ቦታ የመጉዳት አደጋን ይቀንሳል እና አፈፃፀሙን ያሻሽላል.")</f>
        <v>የተረጋጋ ማረፊያ ቦታ የመጉዳት አደጋን ይቀንሳል እና አፈፃፀሙን ያሻሽላል.</v>
      </c>
    </row>
    <row r="99" ht="22.5" customHeight="1">
      <c r="A99" s="16">
        <v>98.0</v>
      </c>
      <c r="B99" s="16" t="s">
        <v>4468</v>
      </c>
      <c r="C99" s="16" t="s">
        <v>4469</v>
      </c>
      <c r="D99" s="16" t="s">
        <v>4470</v>
      </c>
      <c r="E99" s="16" t="s">
        <v>4471</v>
      </c>
      <c r="G99" s="11" t="str">
        <f>IFERROR(__xludf.DUMMYFUNCTION("GOOGLETRANSLATE(A99, ""en"", ""am"")"),"98")</f>
        <v>98</v>
      </c>
      <c r="H99" s="11" t="str">
        <f>IFERROR(__xludf.DUMMYFUNCTION("GOOGLETRANSLATE(B99, ""en"", ""am"")"),"ላሟ ለመዝለል ከመሞከርዎ በፊት ያመነታል. ተቆጣጣሪው ምን ማድረግ አለበት?")</f>
        <v>ላሟ ለመዝለል ከመሞከርዎ በፊት ያመነታል. ተቆጣጣሪው ምን ማድረግ አለበት?</v>
      </c>
      <c r="I99" s="11" t="str">
        <f>IFERROR(__xludf.DUMMYFUNCTION("GOOGLETRANSLATE(C99, ""en"", ""am"")"),"ሀ. ላሟ ከመዝለሏ በፊት በተረጋጋና በአዎንታዊ ማጠናከሪያ አበረታቷት።
ለ. ላሟ በልበ ሙሉነት እንድትዘል ለማበረታታት የዝላይን ቁመት ይጨምሩ።
ሐ. ዝላይውን ወዲያውኑ ለመሞከር ላሟን ይግፉት።
መ. ለመዝለል ከመሞከርዎ በፊት ላሟን እረፍት ስጡት እና እንዲያርፍ ይፍቀዱለት።")</f>
        <v>ሀ. ላሟ ከመዝለሏ በፊት በተረጋጋና በአዎንታዊ ማጠናከሪያ አበረታቷት።
ለ. ላሟ በልበ ሙሉነት እንድትዘል ለማበረታታት የዝላይን ቁመት ይጨምሩ።
ሐ. ዝላይውን ወዲያውኑ ለመሞከር ላሟን ይግፉት።
መ. ለመዝለል ከመሞከርዎ በፊት ላሟን እረፍት ስጡት እና እንዲያርፍ ይፍቀዱለት።</v>
      </c>
      <c r="J99" s="11" t="str">
        <f>IFERROR(__xludf.DUMMYFUNCTION("GOOGLETRANSLATE(D99, ""en"", ""am"")"),"ላሟ ከመዝለሏ በፊት በተረጋጋና በአዎንታዊ ማጠናከሪያ አበረታቷት።")</f>
        <v>ላሟ ከመዝለሏ በፊት በተረጋጋና በአዎንታዊ ማጠናከሪያ አበረታቷት።</v>
      </c>
      <c r="K99" s="11" t="str">
        <f>IFERROR(__xludf.DUMMYFUNCTION("GOOGLETRANSLATE(E99, ""en"", ""am"")"),"አዎንታዊ ማጠናከሪያ ላም በራስ መተማመንን እንዲያገኝ እና ማመንታትን እንዲያሸንፍ ይረዳል.")</f>
        <v>አዎንታዊ ማጠናከሪያ ላም በራስ መተማመንን እንዲያገኝ እና ማመንታትን እንዲያሸንፍ ይረዳል.</v>
      </c>
    </row>
    <row r="100" ht="22.5" customHeight="1">
      <c r="A100" s="16">
        <v>99.0</v>
      </c>
      <c r="B100" s="16" t="s">
        <v>4472</v>
      </c>
      <c r="C100" s="16" t="s">
        <v>4473</v>
      </c>
      <c r="D100" s="16" t="s">
        <v>4474</v>
      </c>
      <c r="E100" s="16" t="s">
        <v>4475</v>
      </c>
      <c r="G100" s="11" t="str">
        <f>IFERROR(__xludf.DUMMYFUNCTION("GOOGLETRANSLATE(A100, ""en"", ""am"")"),"99")</f>
        <v>99</v>
      </c>
      <c r="H100" s="11" t="str">
        <f>IFERROR(__xludf.DUMMYFUNCTION("GOOGLETRANSLATE(B100, ""en"", ""am"")"),"ላሟ ወደ ዝላይ ትጠጋለች, ነገር ግን በመጨረሻው ጊዜ ይቆማል. ተቆጣጣሪው ምን ማድረግ አለበት?")</f>
        <v>ላሟ ወደ ዝላይ ትጠጋለች, ነገር ግን በመጨረሻው ጊዜ ይቆማል. ተቆጣጣሪው ምን ማድረግ አለበት?</v>
      </c>
      <c r="I100" s="11" t="str">
        <f>IFERROR(__xludf.DUMMYFUNCTION("GOOGLETRANSLATE(C100, ""en"", ""am"")"),"ሀ. ላሟ ዝላይን እንድታጠናቅቅ በቀስታ በመግፋት አበረታቷት።
ለ. በራስ መተማመንን ለመፍጠር የዝላይን ቁመት ቀስ በቀስ ይቀንሱ።
ሐ. ላሟን ለማነሳሳት የዝላይን አስቸጋሪነት ይጨምሩ.
መ. ላሟ አርፋ እና ቆይተው እንደገና ይሞክሩ።")</f>
        <v>ሀ. ላሟ ዝላይን እንድታጠናቅቅ በቀስታ በመግፋት አበረታቷት።
ለ. በራስ መተማመንን ለመፍጠር የዝላይን ቁመት ቀስ በቀስ ይቀንሱ።
ሐ. ላሟን ለማነሳሳት የዝላይን አስቸጋሪነት ይጨምሩ.
መ. ላሟ አርፋ እና ቆይተው እንደገና ይሞክሩ።</v>
      </c>
      <c r="J100" s="11" t="str">
        <f>IFERROR(__xludf.DUMMYFUNCTION("GOOGLETRANSLATE(D100, ""en"", ""am"")"),"በራስ መተማመንን ለመፍጠር ቀስ በቀስ የዝላይን ቁመት ይቀንሱ።")</f>
        <v>በራስ መተማመንን ለመፍጠር ቀስ በቀስ የዝላይን ቁመት ይቀንሱ።</v>
      </c>
      <c r="K100" s="11" t="str">
        <f>IFERROR(__xludf.DUMMYFUNCTION("GOOGLETRANSLATE(E100, ""en"", ""am"")"),"የዝላይን ቁመት መቀነስ ላም በራስ መተማመንን እና በራስ መተማመንን ለመገንባት ያስችላል።")</f>
        <v>የዝላይን ቁመት መቀነስ ላም በራስ መተማመንን እና በራስ መተማመንን ለመገንባት ያስችላል።</v>
      </c>
    </row>
    <row r="101" ht="22.5" customHeight="1">
      <c r="A101" s="16">
        <v>100.0</v>
      </c>
      <c r="B101" s="16" t="s">
        <v>4476</v>
      </c>
      <c r="C101" s="16" t="s">
        <v>4477</v>
      </c>
      <c r="D101" s="16" t="s">
        <v>4478</v>
      </c>
      <c r="E101" s="16" t="s">
        <v>4479</v>
      </c>
      <c r="G101" s="11" t="str">
        <f>IFERROR(__xludf.DUMMYFUNCTION("GOOGLETRANSLATE(A101, ""en"", ""am"")"),"100")</f>
        <v>100</v>
      </c>
      <c r="H101" s="11" t="str">
        <f>IFERROR(__xludf.DUMMYFUNCTION("GOOGLETRANSLATE(B101, ""en"", ""am"")"),"ላሟ ትዘልላለች ነገር ግን በድንገት አረፈች። ተቆጣጣሪው ምን ማድረግ አለበት?")</f>
        <v>ላሟ ትዘልላለች ነገር ግን በድንገት አረፈች። ተቆጣጣሪው ምን ማድረግ አለበት?</v>
      </c>
      <c r="I101" s="11" t="str">
        <f>IFERROR(__xludf.DUMMYFUNCTION("GOOGLETRANSLATE(C101, ""en"", ""am"")"),"ሀ. የማረፊያ ቴክኒኮችን ቀስ በቀስ በመለማመድ ላይ ያተኩሩ።
ለ. ላሟን የበለጠ ለመቃወም የዝላይን ቁመት ይጨምሩ።
ሐ. ላሟ በተቻለ ፍጥነት እንዲያርፍ አበረታቷት።
መ. ላሟ እንዲያርፍ ፍቀድ እና ቆይተው እንደገና ይሞክሩ።")</f>
        <v>ሀ. የማረፊያ ቴክኒኮችን ቀስ በቀስ በመለማመድ ላይ ያተኩሩ።
ለ. ላሟን የበለጠ ለመቃወም የዝላይን ቁመት ይጨምሩ።
ሐ. ላሟ በተቻለ ፍጥነት እንዲያርፍ አበረታቷት።
መ. ላሟ እንዲያርፍ ፍቀድ እና ቆይተው እንደገና ይሞክሩ።</v>
      </c>
      <c r="J101" s="11" t="str">
        <f>IFERROR(__xludf.DUMMYFUNCTION("GOOGLETRANSLATE(D101, ""en"", ""am"")"),"የማረፊያ ዘዴን ቀስ በቀስ በመለማመድ ላይ ያተኩሩ።")</f>
        <v>የማረፊያ ዘዴን ቀስ በቀስ በመለማመድ ላይ ያተኩሩ።</v>
      </c>
      <c r="K101" s="11" t="str">
        <f>IFERROR(__xludf.DUMMYFUNCTION("GOOGLETRANSLATE(E101, ""en"", ""am"")"),"የማረፊያ ዘዴዎችን ማሻሻል የተሻለ መረጋጋት እና ደህንነትን ያረጋግጣል.")</f>
        <v>የማረፊያ ዘዴዎችን ማሻሻል የተሻለ መረጋጋት እና ደህንነትን ያረጋግጣል.</v>
      </c>
    </row>
    <row r="102" ht="22.5" customHeight="1">
      <c r="A102" s="16">
        <v>101.0</v>
      </c>
      <c r="B102" s="16" t="s">
        <v>4480</v>
      </c>
      <c r="C102" s="16" t="s">
        <v>4481</v>
      </c>
      <c r="D102" s="16" t="s">
        <v>4482</v>
      </c>
      <c r="E102" s="16" t="s">
        <v>4483</v>
      </c>
      <c r="G102" s="11" t="str">
        <f>IFERROR(__xludf.DUMMYFUNCTION("GOOGLETRANSLATE(A102, ""en"", ""am"")"),"101")</f>
        <v>101</v>
      </c>
      <c r="H102" s="11" t="str">
        <f>IFERROR(__xludf.DUMMYFUNCTION("GOOGLETRANSLATE(B102, ""en"", ""am"")"),"ላሟ ስለ ዝላይ እርግጠኛ አይመስልም ነገር ግን በመጨረሻ ያጠናቅቀዋል. ተቆጣጣሪው ምን ማድረግ አለበት?")</f>
        <v>ላሟ ስለ ዝላይ እርግጠኛ አይመስልም ነገር ግን በመጨረሻ ያጠናቅቀዋል. ተቆጣጣሪው ምን ማድረግ አለበት?</v>
      </c>
      <c r="I102" s="11" t="str">
        <f>IFERROR(__xludf.DUMMYFUNCTION("GOOGLETRANSLATE(C102, ""en"", ""am"")"),"ሀ. መዝለሉን በተሳካ ሁኔታ ስላጠናቀቁ ምስጋና እና ማበረታቻ ይስጡ።
ለ. የላም ገደቦችን ለመቃወም አስቸጋሪነትን ይጨምሩ.
ሐ. ላሟ እንዲያርፍ እና በኋላ ላይ የበለጠ እንዲያተኩር ይፍቀዱለት።
መ. ዝላይውን ወዲያውኑ ለመድገም ላሟን ይግፉት.")</f>
        <v>ሀ. መዝለሉን በተሳካ ሁኔታ ስላጠናቀቁ ምስጋና እና ማበረታቻ ይስጡ።
ለ. የላም ገደቦችን ለመቃወም አስቸጋሪነትን ይጨምሩ.
ሐ. ላሟ እንዲያርፍ እና በኋላ ላይ የበለጠ እንዲያተኩር ይፍቀዱለት።
መ. ዝላይውን ወዲያውኑ ለመድገም ላሟን ይግፉት.</v>
      </c>
      <c r="J102" s="11" t="str">
        <f>IFERROR(__xludf.DUMMYFUNCTION("GOOGLETRANSLATE(D102, ""en"", ""am"")"),"መዝለሉን በተሳካ ሁኔታ ስላጠናቀቁ ምስጋና እና ማበረታቻ ይስጡ።")</f>
        <v>መዝለሉን በተሳካ ሁኔታ ስላጠናቀቁ ምስጋና እና ማበረታቻ ይስጡ።</v>
      </c>
      <c r="K102" s="11" t="str">
        <f>IFERROR(__xludf.DUMMYFUNCTION("GOOGLETRANSLATE(E102, ""en"", ""am"")"),"ውዳሴ በራስ መተማመንን ይገነባል እና ላሟን ለወደፊት መዝለሎች ያነሳሳል።")</f>
        <v>ውዳሴ በራስ መተማመንን ይገነባል እና ላሟን ለወደፊት መዝለሎች ያነሳሳል።</v>
      </c>
    </row>
    <row r="103" ht="22.5" customHeight="1">
      <c r="A103" s="16">
        <v>102.0</v>
      </c>
      <c r="B103" s="16" t="s">
        <v>4484</v>
      </c>
      <c r="C103" s="16" t="s">
        <v>4485</v>
      </c>
      <c r="D103" s="16" t="s">
        <v>4486</v>
      </c>
      <c r="E103" s="16" t="s">
        <v>4487</v>
      </c>
      <c r="G103" s="11" t="str">
        <f>IFERROR(__xludf.DUMMYFUNCTION("GOOGLETRANSLATE(A103, ""en"", ""am"")"),"102")</f>
        <v>102</v>
      </c>
      <c r="H103" s="11" t="str">
        <f>IFERROR(__xludf.DUMMYFUNCTION("GOOGLETRANSLATE(B103, ""en"", ""am"")"),"ላሟ ከመዝለሉ በፊት እያመነታ እና ዙሪያውን ይመለከታል። ተቆጣጣሪው እንዴት መቀጠል አለበት?")</f>
        <v>ላሟ ከመዝለሉ በፊት እያመነታ እና ዙሪያውን ይመለከታል። ተቆጣጣሪው እንዴት መቀጠል አለበት?</v>
      </c>
      <c r="I103" s="11" t="str">
        <f>IFERROR(__xludf.DUMMYFUNCTION("GOOGLETRANSLATE(C103, ""en"", ""am"")"),"ሀ. ላሟን ማረጋጋት እና ትኩረትን የሚከፋፍሉ ነገሮችን ለመቀነስ የተረጋጋ አካባቢን ጠብቅ።
ለ. ላሟን ወደ ትኩረት ለመግፋት የዝላይን ቁመት ይጨምሩ.
ሐ. ላሟን ያለ ትኩረት የሚስብ ነገር በቀጥታ ወደ ዝላይ ግፋ።
መ. ላሟ ስራውን ለመለማመድ የዝላይዎችን ብዛት ይጨምሩ።")</f>
        <v>ሀ. ላሟን ማረጋጋት እና ትኩረትን የሚከፋፍሉ ነገሮችን ለመቀነስ የተረጋጋ አካባቢን ጠብቅ።
ለ. ላሟን ወደ ትኩረት ለመግፋት የዝላይን ቁመት ይጨምሩ.
ሐ. ላሟን ያለ ትኩረት የሚስብ ነገር በቀጥታ ወደ ዝላይ ግፋ።
መ. ላሟ ስራውን ለመለማመድ የዝላይዎችን ብዛት ይጨምሩ።</v>
      </c>
      <c r="J103" s="11" t="str">
        <f>IFERROR(__xludf.DUMMYFUNCTION("GOOGLETRANSLATE(D103, ""en"", ""am"")"),"ትኩረትን የሚከፋፍሉ ነገሮችን ለመቀነስ ላሟን አረጋጋ እና የተረጋጋ አካባቢን ጠብቅ።")</f>
        <v>ትኩረትን የሚከፋፍሉ ነገሮችን ለመቀነስ ላሟን አረጋጋ እና የተረጋጋ አካባቢን ጠብቅ።</v>
      </c>
      <c r="K103" s="11" t="str">
        <f>IFERROR(__xludf.DUMMYFUNCTION("GOOGLETRANSLATE(E103, ""en"", ""am"")"),"የተረጋጋ አካባቢ ላም ትኩረትን ይረዳል እና ማመንታትን ይቀንሳል.")</f>
        <v>የተረጋጋ አካባቢ ላም ትኩረትን ይረዳል እና ማመንታትን ይቀንሳል.</v>
      </c>
    </row>
    <row r="104" ht="22.5" customHeight="1">
      <c r="A104" s="16">
        <v>103.0</v>
      </c>
      <c r="B104" s="16" t="s">
        <v>4488</v>
      </c>
      <c r="C104" s="16" t="s">
        <v>4489</v>
      </c>
      <c r="D104" s="16" t="s">
        <v>4490</v>
      </c>
      <c r="E104" s="16" t="s">
        <v>4491</v>
      </c>
      <c r="G104" s="11" t="str">
        <f>IFERROR(__xludf.DUMMYFUNCTION("GOOGLETRANSLATE(A104, ""en"", ""am"")"),"103")</f>
        <v>103</v>
      </c>
      <c r="H104" s="11" t="str">
        <f>IFERROR(__xludf.DUMMYFUNCTION("GOOGLETRANSLATE(B104, ""en"", ""am"")"),"ላሟ ዝላይን ታጸዳለች ግን ትንሽ የደከመች ትመስላለች። ተቆጣጣሪው ምን ማድረግ አለበት?")</f>
        <v>ላሟ ዝላይን ታጸዳለች ግን ትንሽ የደከመች ትመስላለች። ተቆጣጣሪው ምን ማድረግ አለበት?</v>
      </c>
      <c r="I104" s="11" t="str">
        <f>IFERROR(__xludf.DUMMYFUNCTION("GOOGLETRANSLATE(C104, ""en"", ""am"")"),"ሀ. ከመቀጠልዎ በፊት ላሟ እንዲያርፍ እና ውሃ እንዲጠጣ ይፍቀዱለት።
ለ. ላሟ ለልምምድ መዝለሉን እንድትቀጥል አበረታቷት።
ሐ. ላሟን ወዲያውኑ ሌላ ዝላይ ለማድረግ ይግፉት።
መ. የላሟን ጥንካሬ የመገንባት ችግርን ይጨምሩ.")</f>
        <v>ሀ. ከመቀጠልዎ በፊት ላሟ እንዲያርፍ እና ውሃ እንዲጠጣ ይፍቀዱለት።
ለ. ላሟ ለልምምድ መዝለሉን እንድትቀጥል አበረታቷት።
ሐ. ላሟን ወዲያውኑ ሌላ ዝላይ ለማድረግ ይግፉት።
መ. የላሟን ጥንካሬ የመገንባት ችግርን ይጨምሩ.</v>
      </c>
      <c r="J104" s="11" t="str">
        <f>IFERROR(__xludf.DUMMYFUNCTION("GOOGLETRANSLATE(D104, ""en"", ""am"")"),"ከመቀጠልዎ በፊት ላሟ እንዲያርፍ እና ውሃ እንዲጠጣ ይፍቀዱለት።")</f>
        <v>ከመቀጠልዎ በፊት ላሟ እንዲያርፍ እና ውሃ እንዲጠጣ ይፍቀዱለት።</v>
      </c>
      <c r="K104" s="11" t="str">
        <f>IFERROR(__xludf.DUMMYFUNCTION("GOOGLETRANSLATE(E104, ""en"", ""am"")"),"የላሟን የኃይል መጠን ለመጠበቅ እረፍት እና እርጥበት ቁልፍ ናቸው።")</f>
        <v>የላሟን የኃይል መጠን ለመጠበቅ እረፍት እና እርጥበት ቁልፍ ናቸው።</v>
      </c>
    </row>
    <row r="105" ht="22.5" customHeight="1">
      <c r="A105" s="16">
        <v>104.0</v>
      </c>
      <c r="B105" s="16" t="s">
        <v>4492</v>
      </c>
      <c r="C105" s="16" t="s">
        <v>4493</v>
      </c>
      <c r="D105" s="16" t="s">
        <v>4494</v>
      </c>
      <c r="E105" s="16" t="s">
        <v>4495</v>
      </c>
      <c r="G105" s="11" t="str">
        <f>IFERROR(__xludf.DUMMYFUNCTION("GOOGLETRANSLATE(A105, ""en"", ""am"")"),"104")</f>
        <v>104</v>
      </c>
      <c r="H105" s="11" t="str">
        <f>IFERROR(__xludf.DUMMYFUNCTION("GOOGLETRANSLATE(B105, ""en"", ""am"")"),"ላሟ ትዘልላለች የፊት እግሯ ግን መሰናክሉን ይመታል። ተቆጣጣሪው ይህንን እንዴት መፍታት አለበት?")</f>
        <v>ላሟ ትዘልላለች የፊት እግሯ ግን መሰናክሉን ይመታል። ተቆጣጣሪው ይህንን እንዴት መፍታት አለበት?</v>
      </c>
      <c r="I105" s="11" t="str">
        <f>IFERROR(__xludf.DUMMYFUNCTION("GOOGLETRANSLATE(C105, ""en"", ""am"")"),"ሀ. የላሟን አቀራረብ እና የመነሻ አቀማመጥን በማስተካከል ላይ ያተኩሩ.
ለ. ላሟን የበለጠ ለመቃወም የዝላይን ቁመት ይጨምሩ።
ሐ. ስህተቱ ቢኖርም ዝላይውን ለማጠናቀቅ ላሟን ግፋ።
መ. የዝላይን ቁመት ይቀንሱ እና እረፍት ይስጡት.")</f>
        <v>ሀ. የላሟን አቀራረብ እና የመነሻ አቀማመጥን በማስተካከል ላይ ያተኩሩ.
ለ. ላሟን የበለጠ ለመቃወም የዝላይን ቁመት ይጨምሩ።
ሐ. ስህተቱ ቢኖርም ዝላይውን ለማጠናቀቅ ላሟን ግፋ።
መ. የዝላይን ቁመት ይቀንሱ እና እረፍት ይስጡት.</v>
      </c>
      <c r="J105" s="11" t="str">
        <f>IFERROR(__xludf.DUMMYFUNCTION("GOOGLETRANSLATE(D105, ""en"", ""am"")"),"የላሟን አቀራረብ እና የመነሻ አቀማመጥ በማስተካከል ላይ ያተኩሩ.")</f>
        <v>የላሟን አቀራረብ እና የመነሻ አቀማመጥ በማስተካከል ላይ ያተኩሩ.</v>
      </c>
      <c r="K105" s="11" t="str">
        <f>IFERROR(__xludf.DUMMYFUNCTION("GOOGLETRANSLATE(E105, ""en"", ""am"")"),"አቀራረቡን ማስተካከል የላሙን ትክክለኛነት እና ቁጥጥር ለማሻሻል ይረዳል.")</f>
        <v>አቀራረቡን ማስተካከል የላሙን ትክክለኛነት እና ቁጥጥር ለማሻሻል ይረዳል.</v>
      </c>
    </row>
    <row r="106" ht="22.5" customHeight="1">
      <c r="A106" s="16">
        <v>105.0</v>
      </c>
      <c r="B106" s="16" t="s">
        <v>4496</v>
      </c>
      <c r="C106" s="16" t="s">
        <v>4497</v>
      </c>
      <c r="D106" s="16" t="s">
        <v>4498</v>
      </c>
      <c r="E106" s="16" t="s">
        <v>4499</v>
      </c>
      <c r="G106" s="11" t="str">
        <f>IFERROR(__xludf.DUMMYFUNCTION("GOOGLETRANSLATE(A106, ""en"", ""am"")"),"105")</f>
        <v>105</v>
      </c>
      <c r="H106" s="11" t="str">
        <f>IFERROR(__xludf.DUMMYFUNCTION("GOOGLETRANSLATE(B106, ""en"", ""am"")"),"ላም በደንብ እየዘለለ ነው ነገር ግን ከእያንዳንዱ ዝላይ በፊት የፍርሃት ምልክቶች ይታያል. ተቆጣጣሪው ምን ምላሽ መስጠት አለበት?")</f>
        <v>ላም በደንብ እየዘለለ ነው ነገር ግን ከእያንዳንዱ ዝላይ በፊት የፍርሃት ምልክቶች ይታያል. ተቆጣጣሪው ምን ምላሽ መስጠት አለበት?</v>
      </c>
      <c r="I106" s="11" t="str">
        <f>IFERROR(__xludf.DUMMYFUNCTION("GOOGLETRANSLATE(C106, ""en"", ""am"")"),"ሀ. ፍርሃትን ለመቀነስ ቀስ በቀስ የመዝለሉን ችግር ይቀንሱ።
ለ. ላም ያለ ምንም እረፍት ለመዝለል ግፋ።
ሐ. ፍርሃትን ለማሸነፍ ፈተናውን ይጨምሩ።
መ. ላሚቱ አረፈ እና ቀስ በቀስ ዝላይዎቹን እንደገና ያስተዋውቁ.")</f>
        <v>ሀ. ፍርሃትን ለመቀነስ ቀስ በቀስ የመዝለሉን ችግር ይቀንሱ።
ለ. ላም ያለ ምንም እረፍት ለመዝለል ግፋ።
ሐ. ፍርሃትን ለማሸነፍ ፈተናውን ይጨምሩ።
መ. ላሚቱ አረፈ እና ቀስ በቀስ ዝላይዎቹን እንደገና ያስተዋውቁ.</v>
      </c>
      <c r="J106" s="11" t="str">
        <f>IFERROR(__xludf.DUMMYFUNCTION("GOOGLETRANSLATE(D106, ""en"", ""am"")"),"ፍርሃትን ለመቀነስ ቀስ በቀስ የመዝለሉን ችግር ይቀንሱ።")</f>
        <v>ፍርሃትን ለመቀነስ ቀስ በቀስ የመዝለሉን ችግር ይቀንሱ።</v>
      </c>
      <c r="K106" s="11" t="str">
        <f>IFERROR(__xludf.DUMMYFUNCTION("GOOGLETRANSLATE(E106, ""en"", ""am"")"),"ችግርን መቀነስ ፍርሃትን ይቀንሳል እና የላሟን በራስ መተማመን ይገነባል.")</f>
        <v>ችግርን መቀነስ ፍርሃትን ይቀንሳል እና የላሟን በራስ መተማመን ይገነባል.</v>
      </c>
    </row>
    <row r="107" ht="22.5" customHeight="1">
      <c r="A107" s="16">
        <v>106.0</v>
      </c>
      <c r="B107" s="16" t="s">
        <v>4500</v>
      </c>
      <c r="C107" s="16" t="s">
        <v>4501</v>
      </c>
      <c r="D107" s="16" t="s">
        <v>4502</v>
      </c>
      <c r="E107" s="16" t="s">
        <v>4503</v>
      </c>
      <c r="G107" s="11" t="str">
        <f>IFERROR(__xludf.DUMMYFUNCTION("GOOGLETRANSLATE(A107, ""en"", ""am"")"),"106")</f>
        <v>106</v>
      </c>
      <c r="H107" s="11" t="str">
        <f>IFERROR(__xludf.DUMMYFUNCTION("GOOGLETRANSLATE(B107, ""en"", ""am"")"),"ላሟ ቢዘል ግን በማይመች ሁኔታ አረፈች፣ በዚህም ምክንያት ትንሽ መሰናከልን ያስከትላል። ምን መደረግ አለበት?")</f>
        <v>ላሟ ቢዘል ግን በማይመች ሁኔታ አረፈች፣ በዚህም ምክንያት ትንሽ መሰናከልን ያስከትላል። ምን መደረግ አለበት?</v>
      </c>
      <c r="I107" s="11" t="str">
        <f>IFERROR(__xludf.DUMMYFUNCTION("GOOGLETRANSLATE(C107, ""en"", ""am"")"),"ሀ. የላም ማረፊያ ዘዴን በማሻሻል ላይ ያተኩሩ እና ማረፊያውን ያረጋጋሉ.
ለ. ላሟን በተሻለ ሁኔታ ወደ መሬት ለመቃወም አስቸጋሪነትን ጨምር.
ሐ. ላሟ ወዲያውኑ እንደገና እንድትዘል አበረታቷት።
መ. ላሟ እንዲያርፍ ፍቀድ እና በኋላ ተመልሰው ይምጡ.")</f>
        <v>ሀ. የላም ማረፊያ ዘዴን በማሻሻል ላይ ያተኩሩ እና ማረፊያውን ያረጋጋሉ.
ለ. ላሟን በተሻለ ሁኔታ ወደ መሬት ለመቃወም አስቸጋሪነትን ጨምር.
ሐ. ላሟ ወዲያውኑ እንደገና እንድትዘል አበረታቷት።
መ. ላሟ እንዲያርፍ ፍቀድ እና በኋላ ተመልሰው ይምጡ.</v>
      </c>
      <c r="J107" s="11" t="str">
        <f>IFERROR(__xludf.DUMMYFUNCTION("GOOGLETRANSLATE(D107, ""en"", ""am"")"),"የላም ማረፊያ ዘዴን በማሻሻል ላይ ያተኩሩ እና ማረፊያውን ያረጋጋሉ.")</f>
        <v>የላም ማረፊያ ዘዴን በማሻሻል ላይ ያተኩሩ እና ማረፊያውን ያረጋጋሉ.</v>
      </c>
      <c r="K107" s="11" t="str">
        <f>IFERROR(__xludf.DUMMYFUNCTION("GOOGLETRANSLATE(E107, ""en"", ""am"")"),"የተረጋጋ ማረፊያ የአካል ጉዳት አደጋን ይቀንሳል እና አፈፃፀሙን ያሻሽላል.")</f>
        <v>የተረጋጋ ማረፊያ የአካል ጉዳት አደጋን ይቀንሳል እና አፈፃፀሙን ያሻሽላል.</v>
      </c>
    </row>
    <row r="108" ht="22.5" customHeight="1">
      <c r="A108" s="16">
        <v>107.0</v>
      </c>
      <c r="B108" s="16" t="s">
        <v>4504</v>
      </c>
      <c r="C108" s="16" t="s">
        <v>4505</v>
      </c>
      <c r="D108" s="16" t="s">
        <v>4506</v>
      </c>
      <c r="E108" s="16" t="s">
        <v>4507</v>
      </c>
      <c r="G108" s="11" t="str">
        <f>IFERROR(__xludf.DUMMYFUNCTION("GOOGLETRANSLATE(A108, ""en"", ""am"")"),"107")</f>
        <v>107</v>
      </c>
      <c r="H108" s="11" t="str">
        <f>IFERROR(__xludf.DUMMYFUNCTION("GOOGLETRANSLATE(B108, ""en"", ""am"")"),"ላም በተሳካ ሁኔታ ዝላይውን ታጸዳለች ነገር ግን በጣም ያርፋል. ተቆጣጣሪው ይህንን እንዴት መፍታት አለበት?")</f>
        <v>ላም በተሳካ ሁኔታ ዝላይውን ታጸዳለች ነገር ግን በጣም ያርፋል. ተቆጣጣሪው ይህንን እንዴት መፍታት አለበት?</v>
      </c>
      <c r="I108" s="11" t="str">
        <f>IFERROR(__xludf.DUMMYFUNCTION("GOOGLETRANSLATE(C108, ""en"", ""am"")"),"ሀ. ተጽእኖውን ለማለስለስ የላም ማረፊያ ዘዴን በማሻሻል ላይ ያተኩሩ.
ለ. ላሟን የበለጠ ለመቃወም የዝላይን ከፍታ ይጨምሩ።
ሐ. ወዲያውኑ እንደገና ለመዝለል ላሟን ይግፉት።
መ. ላሟ እንዲያርፍ ፍቀድ እና የዝላይን ቁመት ይቀንሱ.")</f>
        <v>ሀ. ተጽእኖውን ለማለስለስ የላም ማረፊያ ዘዴን በማሻሻል ላይ ያተኩሩ.
ለ. ላሟን የበለጠ ለመቃወም የዝላይን ከፍታ ይጨምሩ።
ሐ. ወዲያውኑ እንደገና ለመዝለል ላሟን ይግፉት።
መ. ላሟ እንዲያርፍ ፍቀድ እና የዝላይን ቁመት ይቀንሱ.</v>
      </c>
      <c r="J108" s="11" t="str">
        <f>IFERROR(__xludf.DUMMYFUNCTION("GOOGLETRANSLATE(D108, ""en"", ""am"")"),"ተጽእኖውን ለማለስለስ የላም ማረፊያ ዘዴን በማሻሻል ላይ ያተኩሩ.")</f>
        <v>ተጽእኖውን ለማለስለስ የላም ማረፊያ ዘዴን በማሻሻል ላይ ያተኩሩ.</v>
      </c>
      <c r="K108" s="11" t="str">
        <f>IFERROR(__xludf.DUMMYFUNCTION("GOOGLETRANSLATE(E108, ""en"", ""am"")"),"ለስላሳ ማረፊያ የጉዳት ስጋትን ይቀንሳል እና የላሟን ጽናት ያሻሽላል.")</f>
        <v>ለስላሳ ማረፊያ የጉዳት ስጋትን ይቀንሳል እና የላሟን ጽናት ያሻሽላል.</v>
      </c>
    </row>
    <row r="109" ht="22.5" customHeight="1">
      <c r="A109" s="16">
        <v>108.0</v>
      </c>
      <c r="B109" s="16" t="s">
        <v>4508</v>
      </c>
      <c r="C109" s="16" t="s">
        <v>4509</v>
      </c>
      <c r="D109" s="16" t="s">
        <v>4510</v>
      </c>
      <c r="E109" s="16" t="s">
        <v>4511</v>
      </c>
      <c r="G109" s="11" t="str">
        <f>IFERROR(__xludf.DUMMYFUNCTION("GOOGLETRANSLATE(A109, ""en"", ""am"")"),"108")</f>
        <v>108</v>
      </c>
      <c r="H109" s="11" t="str">
        <f>IFERROR(__xludf.DUMMYFUNCTION("GOOGLETRANSLATE(B109, ""en"", ""am"")"),"ላም ከመዝለሉ በፊት ግልጽ የሆኑ የብስጭት ምልክቶችን ያሳያል. ተቆጣጣሪው ምን ማድረግ አለበት?")</f>
        <v>ላም ከመዝለሉ በፊት ግልጽ የሆኑ የብስጭት ምልክቶችን ያሳያል. ተቆጣጣሪው ምን ማድረግ አለበት?</v>
      </c>
      <c r="I109" s="11" t="str">
        <f>IFERROR(__xludf.DUMMYFUNCTION("GOOGLETRANSLATE(C109, ""en"", ""am"")"),"ሀ. ላሟን አረጋጋ እና በራስ የመተማመን ስሜትን መልሶ ለማግኘት ለማገዝ የዝላይን ከፍታ ያስተካክሉ።
ለ. ብስጭትን ለማሸነፍ ላሟን ወዲያውኑ ለመዝለል ይሞክሩ።
ሐ. ላሟ የበለጠ ምቾት እንዲሰማት ለመርዳት ያለውን ችግር ይቀንሱ።
መ. ላሟን የበለጠ ለመቃወም የዝላይ ቁመትን ይጨምሩ።")</f>
        <v>ሀ. ላሟን አረጋጋ እና በራስ የመተማመን ስሜትን መልሶ ለማግኘት ለማገዝ የዝላይን ከፍታ ያስተካክሉ።
ለ. ብስጭትን ለማሸነፍ ላሟን ወዲያውኑ ለመዝለል ይሞክሩ።
ሐ. ላሟ የበለጠ ምቾት እንዲሰማት ለመርዳት ያለውን ችግር ይቀንሱ።
መ. ላሟን የበለጠ ለመቃወም የዝላይ ቁመትን ይጨምሩ።</v>
      </c>
      <c r="J109" s="11" t="str">
        <f>IFERROR(__xludf.DUMMYFUNCTION("GOOGLETRANSLATE(D109, ""en"", ""am"")"),"ላሟን አረጋጋ እና በራስ የመተማመን ስሜትን እንደገና ለማግኘት የዝላይን ከፍታ ያስተካክሉ።")</f>
        <v>ላሟን አረጋጋ እና በራስ የመተማመን ስሜትን እንደገና ለማግኘት የዝላይን ከፍታ ያስተካክሉ።</v>
      </c>
      <c r="K109" s="11" t="str">
        <f>IFERROR(__xludf.DUMMYFUNCTION("GOOGLETRANSLATE(E109, ""en"", ""am"")"),"ማረጋጋት እና ቀስ በቀስ ማስተካከያዎች ብስጭትን ለማስታገስ ይረዳሉ.")</f>
        <v>ማረጋጋት እና ቀስ በቀስ ማስተካከያዎች ብስጭትን ለማስታገስ ይረዳሉ.</v>
      </c>
    </row>
    <row r="110" ht="22.5" customHeight="1">
      <c r="A110" s="16">
        <v>109.0</v>
      </c>
      <c r="B110" s="16" t="s">
        <v>4512</v>
      </c>
      <c r="C110" s="16" t="s">
        <v>4513</v>
      </c>
      <c r="D110" s="16" t="s">
        <v>4514</v>
      </c>
      <c r="E110" s="16" t="s">
        <v>4515</v>
      </c>
      <c r="G110" s="11" t="str">
        <f>IFERROR(__xludf.DUMMYFUNCTION("GOOGLETRANSLATE(A110, ""en"", ""am"")"),"109")</f>
        <v>109</v>
      </c>
      <c r="H110" s="11" t="str">
        <f>IFERROR(__xludf.DUMMYFUNCTION("GOOGLETRANSLATE(B110, ""en"", ""am"")"),"የላም ዝላይ ቁመት ወጥነት የለውም. ተቆጣጣሪው ይህንን እንዴት ማሻሻል ይችላል?")</f>
        <v>የላም ዝላይ ቁመት ወጥነት የለውም. ተቆጣጣሪው ይህንን እንዴት ማሻሻል ይችላል?</v>
      </c>
      <c r="I110" s="11" t="str">
        <f>IFERROR(__xludf.DUMMYFUNCTION("GOOGLETRANSLATE(C110, ""en"", ""am"")"),"ሀ. የዝላይን ቁመት ለመቆጣጠር የላሟን መነሳት ቴክኒክ በማጣራት ላይ ያተኩሩ።
ለ. ተከታታይ አፈፃፀምን ለማበረታታት የዝላይዎችን ችግር ይጨምሩ።
ሐ. ቴክኒኮችን ሳታስተካክል ላሟ እንዲዘል ይፍቀዱለት።
መ. ላሟ አርፋ እና ቆይቶ ስልጠናውን ይቀጥል።")</f>
        <v>ሀ. የዝላይን ቁመት ለመቆጣጠር የላሟን መነሳት ቴክኒክ በማጣራት ላይ ያተኩሩ።
ለ. ተከታታይ አፈፃፀምን ለማበረታታት የዝላይዎችን ችግር ይጨምሩ።
ሐ. ቴክኒኮችን ሳታስተካክል ላሟ እንዲዘል ይፍቀዱለት።
መ. ላሟ አርፋ እና ቆይቶ ስልጠናውን ይቀጥል።</v>
      </c>
      <c r="J110" s="11" t="str">
        <f>IFERROR(__xludf.DUMMYFUNCTION("GOOGLETRANSLATE(D110, ""en"", ""am"")"),"የዝላይን ቁመት ለመቆጣጠር የላም የማስነሳት ቴክኒኮችን በማጣራት ላይ ያተኩሩ።")</f>
        <v>የዝላይን ቁመት ለመቆጣጠር የላም የማስነሳት ቴክኒኮችን በማጣራት ላይ ያተኩሩ።</v>
      </c>
      <c r="K110" s="11" t="str">
        <f>IFERROR(__xludf.DUMMYFUNCTION("GOOGLETRANSLATE(E110, ""en"", ""am"")"),"የተጣራ ቴክኒክ ወጥነት ያለው እና ቁጥጥር የሚደረግበት የዝላይ ቁመትን ያረጋግጣል።")</f>
        <v>የተጣራ ቴክኒክ ወጥነት ያለው እና ቁጥጥር የሚደረግበት የዝላይ ቁመትን ያረጋግጣል።</v>
      </c>
    </row>
    <row r="111" ht="22.5" customHeight="1">
      <c r="A111" s="16">
        <v>110.0</v>
      </c>
      <c r="B111" s="16" t="s">
        <v>4516</v>
      </c>
      <c r="C111" s="16" t="s">
        <v>4517</v>
      </c>
      <c r="D111" s="16" t="s">
        <v>4518</v>
      </c>
      <c r="E111" s="16" t="s">
        <v>4519</v>
      </c>
      <c r="G111" s="11" t="str">
        <f>IFERROR(__xludf.DUMMYFUNCTION("GOOGLETRANSLATE(A111, ""en"", ""am"")"),"110")</f>
        <v>110</v>
      </c>
      <c r="H111" s="11" t="str">
        <f>IFERROR(__xludf.DUMMYFUNCTION("GOOGLETRANSLATE(B111, ""en"", ""am"")"),"ላሟ ዝላይውን ከማጽዳትዋ በፊት ታመነታለች። ተቆጣጣሪው ምን ማድረግ አለበት?")</f>
        <v>ላሟ ዝላይውን ከማጽዳትዋ በፊት ታመነታለች። ተቆጣጣሪው ምን ማድረግ አለበት?</v>
      </c>
      <c r="I111" s="11" t="str">
        <f>IFERROR(__xludf.DUMMYFUNCTION("GOOGLETRANSLATE(C111, ""en"", ""am"")"),"ሀ. ላሟን አበረታታ እና ዝላይው አስተማማኝ መሆኑን አረጋግጥ.
ለ. ፈጣን እርምጃን ለማበረታታት የዝላይን ችግር ይጨምሩ።
ሐ. በፍጥነት ለመዝለል ለመሞከር ላሟን ይግፉት።
መ. የላሟን በራስ መተማመን ለመገንባት የዝላይን ቁመት ይቀንሱ።")</f>
        <v>ሀ. ላሟን አበረታታ እና ዝላይው አስተማማኝ መሆኑን አረጋግጥ.
ለ. ፈጣን እርምጃን ለማበረታታት የዝላይን ችግር ይጨምሩ።
ሐ. በፍጥነት ለመዝለል ለመሞከር ላሟን ይግፉት።
መ. የላሟን በራስ መተማመን ለመገንባት የዝላይን ቁመት ይቀንሱ።</v>
      </c>
      <c r="J111" s="11" t="str">
        <f>IFERROR(__xludf.DUMMYFUNCTION("GOOGLETRANSLATE(D111, ""en"", ""am"")"),"ላሟን አበረታቷት እና ዝላይው አስተማማኝ መሆኑን ያረጋግጡ.")</f>
        <v>ላሟን አበረታቷት እና ዝላይው አስተማማኝ መሆኑን ያረጋግጡ.</v>
      </c>
      <c r="K111" s="11" t="str">
        <f>IFERROR(__xludf.DUMMYFUNCTION("GOOGLETRANSLATE(E111, ""en"", ""am"")"),"ማረጋጋት ማመንታትን ለማረጋጋት እና በራስ መተማመንን ለመገንባት ይረዳል.")</f>
        <v>ማረጋጋት ማመንታትን ለማረጋጋት እና በራስ መተማመንን ለመገንባት ይረዳል.</v>
      </c>
    </row>
    <row r="112" ht="22.5" customHeight="1">
      <c r="A112" s="16">
        <v>111.0</v>
      </c>
      <c r="B112" s="16" t="s">
        <v>4520</v>
      </c>
      <c r="C112" s="16" t="s">
        <v>4521</v>
      </c>
      <c r="D112" s="16" t="s">
        <v>4522</v>
      </c>
      <c r="E112" s="16" t="s">
        <v>4523</v>
      </c>
      <c r="G112" s="11" t="str">
        <f>IFERROR(__xludf.DUMMYFUNCTION("GOOGLETRANSLATE(A112, ""en"", ""am"")"),"111")</f>
        <v>111</v>
      </c>
      <c r="H112" s="11" t="str">
        <f>IFERROR(__xludf.DUMMYFUNCTION("GOOGLETRANSLATE(B112, ""en"", ""am"")"),"ላም በተሳካ ሁኔታ ዝላይውን ታጸዳለች ነገር ግን በኋላ ድካም ይታያል. ተቆጣጣሪው ምን ማድረግ አለበት?")</f>
        <v>ላም በተሳካ ሁኔታ ዝላይውን ታጸዳለች ነገር ግን በኋላ ድካም ይታያል. ተቆጣጣሪው ምን ማድረግ አለበት?</v>
      </c>
      <c r="I112" s="11" t="str">
        <f>IFERROR(__xludf.DUMMYFUNCTION("GOOGLETRANSLATE(C112, ""en"", ""am"")"),"ሀ. ከመቀጠልዎ በፊት ላሟ እንዲያርፍ እና እንዲጠጣ ይፍቀዱለት።
ለ. ጽናትን ለመገንባት ጥቂት ተጨማሪ መዝለሎችን ለማጠናቀቅ ላሟን ግፋ።
ሐ. ላሟን የበለጠ ለመግፋት የዝላይዎችን ችግር ይጨምሩ።
መ. ላሟ እረፍት ወስዶ ቆይቶ ስልጠናውን ይቀጥል።")</f>
        <v>ሀ. ከመቀጠልዎ በፊት ላሟ እንዲያርፍ እና እንዲጠጣ ይፍቀዱለት።
ለ. ጽናትን ለመገንባት ጥቂት ተጨማሪ መዝለሎችን ለማጠናቀቅ ላሟን ግፋ።
ሐ. ላሟን የበለጠ ለመግፋት የዝላይዎችን ችግር ይጨምሩ።
መ. ላሟ እረፍት ወስዶ ቆይቶ ስልጠናውን ይቀጥል።</v>
      </c>
      <c r="J112" s="11" t="str">
        <f>IFERROR(__xludf.DUMMYFUNCTION("GOOGLETRANSLATE(D112, ""en"", ""am"")"),"ከመቀጠልዎ በፊት ላሟ እንዲያርፍ እና እንዲጠጣ ይፍቀዱለት.")</f>
        <v>ከመቀጠልዎ በፊት ላሟ እንዲያርፍ እና እንዲጠጣ ይፍቀዱለት.</v>
      </c>
      <c r="K112" s="11" t="str">
        <f>IFERROR(__xludf.DUMMYFUNCTION("GOOGLETRANSLATE(E112, ""en"", ""am"")"),"እረፍት እና እርጥበት ላሟ ለተጨማሪ መዝለሎች ዝግጁ መሆኗን ያረጋግጡ።")</f>
        <v>እረፍት እና እርጥበት ላሟ ለተጨማሪ መዝለሎች ዝግጁ መሆኗን ያረጋግጡ።</v>
      </c>
    </row>
    <row r="113" ht="22.5" customHeight="1">
      <c r="A113" s="16">
        <v>112.0</v>
      </c>
      <c r="B113" s="16" t="s">
        <v>4524</v>
      </c>
      <c r="C113" s="16" t="s">
        <v>4525</v>
      </c>
      <c r="D113" s="16" t="s">
        <v>4526</v>
      </c>
      <c r="E113" s="16" t="s">
        <v>4527</v>
      </c>
      <c r="G113" s="11" t="str">
        <f>IFERROR(__xludf.DUMMYFUNCTION("GOOGLETRANSLATE(A113, ""en"", ""am"")"),"112")</f>
        <v>112</v>
      </c>
      <c r="H113" s="11" t="str">
        <f>IFERROR(__xludf.DUMMYFUNCTION("GOOGLETRANSLATE(B113, ""en"", ""am"")"),"ላሟ ከመዝለሉ በፊት ታመነታለች ፣ እና አቀራረቡ ሚዛናዊ ያልሆነ ይመስላል። ምን መደረግ አለበት?")</f>
        <v>ላሟ ከመዝለሉ በፊት ታመነታለች ፣ እና አቀራረቡ ሚዛናዊ ያልሆነ ይመስላል። ምን መደረግ አለበት?</v>
      </c>
      <c r="I113" s="11" t="str">
        <f>IFERROR(__xludf.DUMMYFUNCTION("GOOGLETRANSLATE(C113, ""en"", ""am"")"),"ሀ. ከመዝለሉ በፊት የላሟን አቀራረብ እና አቀማመጥ በማስተካከል ላይ ያተኩሩ.
ለ. ሚዛናዊ ያልሆነ አቀራረብ ቢኖርም ላሟን ለመዝለል ግፋ።
ሐ. የላሙን ሚዛን ለመቃወም የዝላይን ችግር ይጨምሩ።
መ. ከመቀጠልዎ በፊት ላሟ እንዲያርፍ እና አቀማመጥን ያስተካክሉ።")</f>
        <v>ሀ. ከመዝለሉ በፊት የላሟን አቀራረብ እና አቀማመጥ በማስተካከል ላይ ያተኩሩ.
ለ. ሚዛናዊ ያልሆነ አቀራረብ ቢኖርም ላሟን ለመዝለል ግፋ።
ሐ. የላሙን ሚዛን ለመቃወም የዝላይን ችግር ይጨምሩ።
መ. ከመቀጠልዎ በፊት ላሟ እንዲያርፍ እና አቀማመጥን ያስተካክሉ።</v>
      </c>
      <c r="J113" s="11" t="str">
        <f>IFERROR(__xludf.DUMMYFUNCTION("GOOGLETRANSLATE(D113, ""en"", ""am"")"),"ከመዝለሉ በፊት የላሟን አቀራረብ እና አቀማመጥ በማስተካከል ላይ ያተኩሩ.")</f>
        <v>ከመዝለሉ በፊት የላሟን አቀራረብ እና አቀማመጥ በማስተካከል ላይ ያተኩሩ.</v>
      </c>
      <c r="K113" s="11" t="str">
        <f>IFERROR(__xludf.DUMMYFUNCTION("GOOGLETRANSLATE(E113, ""en"", ""am"")"),"ትክክለኛ አቀማመጥ የተሻለ ሚዛን እና የተሳካ መዝለሎችን ያረጋግጣል።")</f>
        <v>ትክክለኛ አቀማመጥ የተሻለ ሚዛን እና የተሳካ መዝለሎችን ያረጋግጣል።</v>
      </c>
    </row>
    <row r="114" ht="22.5" customHeight="1">
      <c r="A114" s="16">
        <v>113.0</v>
      </c>
      <c r="B114" s="16" t="s">
        <v>4528</v>
      </c>
      <c r="C114" s="16" t="s">
        <v>4529</v>
      </c>
      <c r="D114" s="16" t="s">
        <v>4530</v>
      </c>
      <c r="E114" s="16" t="s">
        <v>4531</v>
      </c>
      <c r="G114" s="11" t="str">
        <f>IFERROR(__xludf.DUMMYFUNCTION("GOOGLETRANSLATE(A114, ""en"", ""am"")"),"113")</f>
        <v>113</v>
      </c>
      <c r="H114" s="11" t="str">
        <f>IFERROR(__xludf.DUMMYFUNCTION("GOOGLETRANSLATE(B114, ""en"", ""am"")"),"ላሟ ወደ ዝላይ ትጠጋለች ግን መሃል ላይ ትቆማለች። ተቆጣጣሪው ምን ማድረግ አለበት?")</f>
        <v>ላሟ ወደ ዝላይ ትጠጋለች ግን መሃል ላይ ትቆማለች። ተቆጣጣሪው ምን ማድረግ አለበት?</v>
      </c>
      <c r="I114" s="11" t="str">
        <f>IFERROR(__xludf.DUMMYFUNCTION("GOOGLETRANSLATE(C114, ""en"", ""am"")"),"ሀ. ላሟን አረጋጋ እና መዝለሉን እንዲያጠናቅቅ አበረታቷት።
ለ. ላም እርምጃ እንድትወስድ ለማበረታታት የዝላይን ቁመት ይጨምሩ።
ሐ. ሙሉ ለማድረግ ላሟን በቀጥታ ወደ ዘለሉ ይግፉት።
መ. ላሟን እረፍት ስጡት እና በኋላ እንደገና እንዲሞክር ይፍቀዱለት.")</f>
        <v>ሀ. ላሟን አረጋጋ እና መዝለሉን እንዲያጠናቅቅ አበረታቷት።
ለ. ላም እርምጃ እንድትወስድ ለማበረታታት የዝላይን ቁመት ይጨምሩ።
ሐ. ሙሉ ለማድረግ ላሟን በቀጥታ ወደ ዘለሉ ይግፉት።
መ. ላሟን እረፍት ስጡት እና በኋላ እንደገና እንዲሞክር ይፍቀዱለት.</v>
      </c>
      <c r="J114" s="11" t="str">
        <f>IFERROR(__xludf.DUMMYFUNCTION("GOOGLETRANSLATE(D114, ""en"", ""am"")"),"ላሟን አረጋጋው እና መዝለሉን እንዲያጠናቅቅ አበረታቷት።")</f>
        <v>ላሟን አረጋጋው እና መዝለሉን እንዲያጠናቅቅ አበረታቷት።</v>
      </c>
      <c r="K114" s="11" t="str">
        <f>IFERROR(__xludf.DUMMYFUNCTION("GOOGLETRANSLATE(E114, ""en"", ""am"")"),"ማበረታቻ ላም ማመንታትን እንዲያሸንፍ እና ዝላይውን እንዲያጠናቅቅ ይረዳል.")</f>
        <v>ማበረታቻ ላም ማመንታትን እንዲያሸንፍ እና ዝላይውን እንዲያጠናቅቅ ይረዳል.</v>
      </c>
    </row>
    <row r="115" ht="22.5" customHeight="1">
      <c r="A115" s="16">
        <v>114.0</v>
      </c>
      <c r="B115" s="16" t="s">
        <v>4532</v>
      </c>
      <c r="C115" s="16" t="s">
        <v>4533</v>
      </c>
      <c r="D115" s="16" t="s">
        <v>4534</v>
      </c>
      <c r="E115" s="16" t="s">
        <v>4535</v>
      </c>
      <c r="G115" s="11" t="str">
        <f>IFERROR(__xludf.DUMMYFUNCTION("GOOGLETRANSLATE(A115, ""en"", ""am"")"),"114")</f>
        <v>114</v>
      </c>
      <c r="H115" s="11" t="str">
        <f>IFERROR(__xludf.DUMMYFUNCTION("GOOGLETRANSLATE(B115, ""en"", ""am"")"),"ላሟ ዝላይውን በተሳካ ሁኔታ ታጸዳለች, ነገር ግን ማረፊያዋ እርግጠኛ አይመስልም. ተቆጣጣሪው እንዴት መቀጠል አለበት?")</f>
        <v>ላሟ ዝላይውን በተሳካ ሁኔታ ታጸዳለች, ነገር ግን ማረፊያዋ እርግጠኛ አይመስልም. ተቆጣጣሪው እንዴት መቀጠል አለበት?</v>
      </c>
      <c r="I115" s="11" t="str">
        <f>IFERROR(__xludf.DUMMYFUNCTION("GOOGLETRANSLATE(C115, ""en"", ""am"")"),"ሀ. ቀስ በቀስ ልምምድ የላም ማረፊያ ዘዴን በማሻሻል ላይ ያተኩሩ.
ለ. ላም የማረፍ ችሎታን ለመቃወም አስቸጋሪነትን ጨምር።
ሐ. ላም ያለ ማስተካከያ ወዲያውኑ እንደገና እንድትዘል አበረታቷት።
መ. ላሟ እንዲያርፍ እና ከእረፍት በኋላ ስልጠናውን እንዲቀጥል ይፍቀዱለት.")</f>
        <v>ሀ. ቀስ በቀስ ልምምድ የላም ማረፊያ ዘዴን በማሻሻል ላይ ያተኩሩ.
ለ. ላም የማረፍ ችሎታን ለመቃወም አስቸጋሪነትን ጨምር።
ሐ. ላም ያለ ማስተካከያ ወዲያውኑ እንደገና እንድትዘል አበረታቷት።
መ. ላሟ እንዲያርፍ እና ከእረፍት በኋላ ስልጠናውን እንዲቀጥል ይፍቀዱለት.</v>
      </c>
      <c r="J115" s="11" t="str">
        <f>IFERROR(__xludf.DUMMYFUNCTION("GOOGLETRANSLATE(D115, ""en"", ""am"")"),"ቀስ በቀስ ልምምድ የላም ማረፊያ ዘዴን በማሻሻል ላይ ያተኩሩ.")</f>
        <v>ቀስ በቀስ ልምምድ የላም ማረፊያ ዘዴን በማሻሻል ላይ ያተኩሩ.</v>
      </c>
      <c r="K115" s="11" t="str">
        <f>IFERROR(__xludf.DUMMYFUNCTION("GOOGLETRANSLATE(E115, ""en"", ""am"")"),"በደንብ የተለማመደ የማረፊያ ዘዴ የተሻለ መረጋጋትን ያረጋግጣል.")</f>
        <v>በደንብ የተለማመደ የማረፊያ ዘዴ የተሻለ መረጋጋትን ያረጋግጣል.</v>
      </c>
    </row>
    <row r="116" ht="22.5" customHeight="1">
      <c r="A116" s="16">
        <v>115.0</v>
      </c>
      <c r="B116" s="16" t="s">
        <v>4536</v>
      </c>
      <c r="C116" s="16" t="s">
        <v>4537</v>
      </c>
      <c r="D116" s="16" t="s">
        <v>4538</v>
      </c>
      <c r="E116" s="16" t="s">
        <v>4539</v>
      </c>
      <c r="G116" s="11" t="str">
        <f>IFERROR(__xludf.DUMMYFUNCTION("GOOGLETRANSLATE(A116, ""en"", ""am"")"),"115")</f>
        <v>115</v>
      </c>
      <c r="H116" s="11" t="str">
        <f>IFERROR(__xludf.DUMMYFUNCTION("GOOGLETRANSLATE(B116, ""en"", ""am"")"),"ላሟ በጥሩ ሁኔታ ትሰራለች, ነገር ግን ከመውጣቱ በፊት ያለው ጊዜ ጠፍቷል. ተቆጣጣሪው እንዴት መርዳት አለበት?")</f>
        <v>ላሟ በጥሩ ሁኔታ ትሰራለች, ነገር ግን ከመውጣቱ በፊት ያለው ጊዜ ጠፍቷል. ተቆጣጣሪው እንዴት መርዳት አለበት?</v>
      </c>
      <c r="I116" s="11" t="str">
        <f>IFERROR(__xludf.DUMMYFUNCTION("GOOGLETRANSLATE(C116, ""en"", ""am"")"),"ሀ. መነሳቱን ለማሻሻል የላሟን ጊዜ እና አቀራረብ በማስተካከል ላይ ይስሩ።
ለ. ፈጣን መነሳትን ለማበረታታት ያለውን ችግር ይጨምሩ።
ሐ. ላም በጊዜው ላይ ምንም ዓይነት ማስተካከያ ሳይደረግበት እንዲዘል ይፍቀዱለት።
መ. አቀራረቡን ሳይቀይሩ ላሟን በፍጥነት ለመዝለል ይግፉት.")</f>
        <v>ሀ. መነሳቱን ለማሻሻል የላሟን ጊዜ እና አቀራረብ በማስተካከል ላይ ይስሩ።
ለ. ፈጣን መነሳትን ለማበረታታት ያለውን ችግር ይጨምሩ።
ሐ. ላም በጊዜው ላይ ምንም ዓይነት ማስተካከያ ሳይደረግበት እንዲዘል ይፍቀዱለት።
መ. አቀራረቡን ሳይቀይሩ ላሟን በፍጥነት ለመዝለል ይግፉት.</v>
      </c>
      <c r="J116" s="11" t="str">
        <f>IFERROR(__xludf.DUMMYFUNCTION("GOOGLETRANSLATE(D116, ""en"", ""am"")"),"መውጣቱን ለማሻሻል የላሟን ጊዜ እና አቀራረብ በማስተካከል ላይ ይስሩ።")</f>
        <v>መውጣቱን ለማሻሻል የላሟን ጊዜ እና አቀራረብ በማስተካከል ላይ ይስሩ።</v>
      </c>
      <c r="K116" s="11" t="str">
        <f>IFERROR(__xludf.DUMMYFUNCTION("GOOGLETRANSLATE(E116, ""en"", ""am"")"),"የተሻለ ጊዜ አጠባበቅ ሁለቱንም መነሳት እና አጠቃላይ የመዝለል አፈጻጸምን ያሻሽላል።")</f>
        <v>የተሻለ ጊዜ አጠባበቅ ሁለቱንም መነሳት እና አጠቃላይ የመዝለል አፈጻጸምን ያሻሽላል።</v>
      </c>
    </row>
    <row r="117" ht="22.5" customHeight="1">
      <c r="A117" s="16">
        <v>116.0</v>
      </c>
      <c r="B117" s="16" t="s">
        <v>4540</v>
      </c>
      <c r="C117" s="16" t="s">
        <v>4541</v>
      </c>
      <c r="D117" s="16" t="s">
        <v>4542</v>
      </c>
      <c r="E117" s="16" t="s">
        <v>4543</v>
      </c>
      <c r="G117" s="11" t="str">
        <f>IFERROR(__xludf.DUMMYFUNCTION("GOOGLETRANSLATE(A117, ""en"", ""am"")"),"116")</f>
        <v>116</v>
      </c>
      <c r="H117" s="11" t="str">
        <f>IFERROR(__xludf.DUMMYFUNCTION("GOOGLETRANSLATE(B117, ""en"", ""am"")"),"ላሟ በደንብ ትዘልላለች, ነገር ግን በዙሪያዋ የተበታተነ ይመስላል. ተቆጣጣሪው ምን ማድረግ አለበት?")</f>
        <v>ላሟ በደንብ ትዘልላለች, ነገር ግን በዙሪያዋ የተበታተነ ይመስላል. ተቆጣጣሪው ምን ማድረግ አለበት?</v>
      </c>
      <c r="I117" s="11" t="str">
        <f>IFERROR(__xludf.DUMMYFUNCTION("GOOGLETRANSLATE(C117, ""en"", ""am"")"),"ሀ. ትኩረትን የሚከፋፍሉ ነገሮችን ለመቀነስ እና ላሟን እንደገና ለማተኮር የተረጋጋ አካባቢ ይፍጠሩ።
ለ. የላሙን ትኩረት ለመጠበቅ የዝላይን ቁመት ይጨምሩ።
ሐ. ትኩረት የሚከፋፍሉ ነገሮች ቢኖሩም ላሟ እንደገና ለመዝለል ግፋ።
መ. ላሟ እንዲያርፍ ይፍቀዱ እና ጸጥ ባለ ቦታ ላይ እንደገና ይሞክሩ።")</f>
        <v>ሀ. ትኩረትን የሚከፋፍሉ ነገሮችን ለመቀነስ እና ላሟን እንደገና ለማተኮር የተረጋጋ አካባቢ ይፍጠሩ።
ለ. የላሙን ትኩረት ለመጠበቅ የዝላይን ቁመት ይጨምሩ።
ሐ. ትኩረት የሚከፋፍሉ ነገሮች ቢኖሩም ላሟ እንደገና ለመዝለል ግፋ።
መ. ላሟ እንዲያርፍ ይፍቀዱ እና ጸጥ ባለ ቦታ ላይ እንደገና ይሞክሩ።</v>
      </c>
      <c r="J117" s="11" t="str">
        <f>IFERROR(__xludf.DUMMYFUNCTION("GOOGLETRANSLATE(D117, ""en"", ""am"")"),"ትኩረትን የሚከፋፍሉ ነገሮችን ለመቀነስ እና ላሟን እንደገና ለማተኮር የተረጋጋ አካባቢ ይፍጠሩ።")</f>
        <v>ትኩረትን የሚከፋፍሉ ነገሮችን ለመቀነስ እና ላሟን እንደገና ለማተኮር የተረጋጋ አካባቢ ይፍጠሩ።</v>
      </c>
      <c r="K117" s="11" t="str">
        <f>IFERROR(__xludf.DUMMYFUNCTION("GOOGLETRANSLATE(E117, ""en"", ""am"")"),"የተረጋጋ አካባቢ ትኩረትን እና አጠቃላይ አፈፃፀምን ያሻሽላል።")</f>
        <v>የተረጋጋ አካባቢ ትኩረትን እና አጠቃላይ አፈፃፀምን ያሻሽላል።</v>
      </c>
    </row>
    <row r="118" ht="22.5" customHeight="1">
      <c r="A118" s="16">
        <v>117.0</v>
      </c>
      <c r="B118" s="16" t="s">
        <v>4544</v>
      </c>
      <c r="C118" s="16" t="s">
        <v>4545</v>
      </c>
      <c r="D118" s="16" t="s">
        <v>4546</v>
      </c>
      <c r="E118" s="16" t="s">
        <v>4547</v>
      </c>
      <c r="G118" s="11" t="str">
        <f>IFERROR(__xludf.DUMMYFUNCTION("GOOGLETRANSLATE(A118, ""en"", ""am"")"),"117")</f>
        <v>117</v>
      </c>
      <c r="H118" s="11" t="str">
        <f>IFERROR(__xludf.DUMMYFUNCTION("GOOGLETRANSLATE(B118, ""en"", ""am"")"),"ላሟ ከዚህ በፊት ሞክሮ የማታውቀውን ዝላይ ለማድረግ ታመነታለች። ተቆጣጣሪው ምን ማድረግ አለበት?")</f>
        <v>ላሟ ከዚህ በፊት ሞክሮ የማታውቀውን ዝላይ ለማድረግ ታመነታለች። ተቆጣጣሪው ምን ማድረግ አለበት?</v>
      </c>
      <c r="I118" s="11" t="str">
        <f>IFERROR(__xludf.DUMMYFUNCTION("GOOGLETRANSLATE(C118, ""en"", ""am"")"),"ሀ. ላሟን አበረታታ እና አዲሱን ፈተና ለማስተዋወቅ የዝላይን ከፍታ ዝቅ አድርግ።
ለ. የበለጠ አስደሳች ለማድረግ የዝላይን አስቸጋሪነት ይጨምሩ።
ሐ. ላሟን ያለምንም ማመንታት በቀጥታ ወደ ዝላይው ግፋ።
መ. ላሟን ዕረፍት ስጡ እና ዝላይውን በኋላ እንደገና አስተዋውቁ።")</f>
        <v>ሀ. ላሟን አበረታታ እና አዲሱን ፈተና ለማስተዋወቅ የዝላይን ከፍታ ዝቅ አድርግ።
ለ. የበለጠ አስደሳች ለማድረግ የዝላይን አስቸጋሪነት ይጨምሩ።
ሐ. ላሟን ያለምንም ማመንታት በቀጥታ ወደ ዝላይው ግፋ።
መ. ላሟን ዕረፍት ስጡ እና ዝላይውን በኋላ እንደገና አስተዋውቁ።</v>
      </c>
      <c r="J118" s="11" t="str">
        <f>IFERROR(__xludf.DUMMYFUNCTION("GOOGLETRANSLATE(D118, ""en"", ""am"")"),"አዲሱን ፈተና ለማስተዋወቅ ላሟን ያበረታቱ እና የዝላይን ከፍታ ይቀንሱ።")</f>
        <v>አዲሱን ፈተና ለማስተዋወቅ ላሟን ያበረታቱ እና የዝላይን ከፍታ ይቀንሱ።</v>
      </c>
      <c r="K118" s="11" t="str">
        <f>IFERROR(__xludf.DUMMYFUNCTION("GOOGLETRANSLATE(E118, ""en"", ""am"")"),"ችግርን መቀነስ አዲሱን ተግዳሮት የበለጠ የሚቀርብ ያደርገዋል።")</f>
        <v>ችግርን መቀነስ አዲሱን ተግዳሮት የበለጠ የሚቀርብ ያደርገዋል።</v>
      </c>
    </row>
    <row r="119" ht="22.5" customHeight="1">
      <c r="A119" s="16">
        <v>118.0</v>
      </c>
      <c r="B119" s="16" t="s">
        <v>4548</v>
      </c>
      <c r="C119" s="16" t="s">
        <v>4549</v>
      </c>
      <c r="D119" s="16" t="s">
        <v>4550</v>
      </c>
      <c r="E119" s="16" t="s">
        <v>4551</v>
      </c>
      <c r="G119" s="11" t="str">
        <f>IFERROR(__xludf.DUMMYFUNCTION("GOOGLETRANSLATE(A119, ""en"", ""am"")"),"118")</f>
        <v>118</v>
      </c>
      <c r="H119" s="11" t="str">
        <f>IFERROR(__xludf.DUMMYFUNCTION("GOOGLETRANSLATE(B119, ""en"", ""am"")"),"ላም ዝላይን ታጸዳለች ነገር ግን ከመጠን በላይ የመጨመር ምልክቶችን ያሳያል. ተቆጣጣሪው ምን ምላሽ መስጠት አለበት?")</f>
        <v>ላም ዝላይን ታጸዳለች ነገር ግን ከመጠን በላይ የመጨመር ምልክቶችን ያሳያል. ተቆጣጣሪው ምን ምላሽ መስጠት አለበት?</v>
      </c>
      <c r="I119" s="11" t="str">
        <f>IFERROR(__xludf.DUMMYFUNCTION("GOOGLETRANSLATE(C119, ""en"", ""am"")"),"ሀ. ከመቀጠልዎ በፊት ላሟ እንዲያርፍ እና እንዲጠጣ ይፍቀዱለት።
ለ. ጽናትን ለመገንባት ሌላ ዝላይ ለማጠናቀቅ ላሟን ግፋ።
ሐ. ላሟን የበለጠ ለመቃወም ያለውን ችግር ይጨምሩ።
መ. ላሟን እረፍት ስጡ እና ጥሩ ስሜት ሲሰማት ስልጠናውን ይቀጥሉ።")</f>
        <v>ሀ. ከመቀጠልዎ በፊት ላሟ እንዲያርፍ እና እንዲጠጣ ይፍቀዱለት።
ለ. ጽናትን ለመገንባት ሌላ ዝላይ ለማጠናቀቅ ላሟን ግፋ።
ሐ. ላሟን የበለጠ ለመቃወም ያለውን ችግር ይጨምሩ።
መ. ላሟን እረፍት ስጡ እና ጥሩ ስሜት ሲሰማት ስልጠናውን ይቀጥሉ።</v>
      </c>
      <c r="J119" s="11" t="str">
        <f>IFERROR(__xludf.DUMMYFUNCTION("GOOGLETRANSLATE(D119, ""en"", ""am"")"),"ከመቀጠልዎ በፊት ላሟ እንዲያርፍ እና እንዲጠጣ ይፍቀዱለት።")</f>
        <v>ከመቀጠልዎ በፊት ላሟ እንዲያርፍ እና እንዲጠጣ ይፍቀዱለት።</v>
      </c>
      <c r="K119" s="11" t="str">
        <f>IFERROR(__xludf.DUMMYFUNCTION("GOOGLETRANSLATE(E119, ""en"", ""am"")"),"ለማገገም እና ለቀጣይ አፈፃፀም እረፍት እና እርጥበት አስፈላጊ ናቸው።")</f>
        <v>ለማገገም እና ለቀጣይ አፈፃፀም እረፍት እና እርጥበት አስፈላጊ ናቸው።</v>
      </c>
    </row>
    <row r="120" ht="22.5" customHeight="1">
      <c r="A120" s="16">
        <v>119.0</v>
      </c>
      <c r="B120" s="16" t="s">
        <v>4552</v>
      </c>
      <c r="C120" s="16" t="s">
        <v>4553</v>
      </c>
      <c r="D120" s="16" t="s">
        <v>4554</v>
      </c>
      <c r="E120" s="16" t="s">
        <v>4555</v>
      </c>
      <c r="G120" s="11" t="str">
        <f>IFERROR(__xludf.DUMMYFUNCTION("GOOGLETRANSLATE(A120, ""en"", ""am"")"),"119")</f>
        <v>119</v>
      </c>
      <c r="H120" s="11" t="str">
        <f>IFERROR(__xludf.DUMMYFUNCTION("GOOGLETRANSLATE(B120, ""en"", ""am"")"),"ላሟ የሚያመነታ ቢመስልም ዝላይውን በተሳካ ሁኔታ ታጸዳለች። ተቆጣጣሪው ቀጥሎ ምን ማድረግ አለበት?")</f>
        <v>ላሟ የሚያመነታ ቢመስልም ዝላይውን በተሳካ ሁኔታ ታጸዳለች። ተቆጣጣሪው ቀጥሎ ምን ማድረግ አለበት?</v>
      </c>
      <c r="I120" s="11" t="str">
        <f>IFERROR(__xludf.DUMMYFUNCTION("GOOGLETRANSLATE(C120, ""en"", ""am"")"),"ሀ. ላሟን ጥረቷን አመስግኑ እና ለቀጣዩ ዝላይ ተዘጋጁ.
ለ. የላሙን ወሰን ለመፈተሽ የዝላይውን ቁመት ይጨምሩ.
ሐ. የሚቀጥለውን ዝላይ ከመሞከርዎ በፊት ላሟ እንዲያርፍ ይፍቀዱለት።
መ. ወዲያውኑ እንደገና ለመዝለል ላሟን ግፋ።")</f>
        <v>ሀ. ላሟን ጥረቷን አመስግኑ እና ለቀጣዩ ዝላይ ተዘጋጁ.
ለ. የላሙን ወሰን ለመፈተሽ የዝላይውን ቁመት ይጨምሩ.
ሐ. የሚቀጥለውን ዝላይ ከመሞከርዎ በፊት ላሟ እንዲያርፍ ይፍቀዱለት።
መ. ወዲያውኑ እንደገና ለመዝለል ላሟን ግፋ።</v>
      </c>
      <c r="J120" s="11" t="str">
        <f>IFERROR(__xludf.DUMMYFUNCTION("GOOGLETRANSLATE(D120, ""en"", ""am"")"),"ላሟን ጥረቷን አመስግኑት እና ለሚቀጥለው ዝላይ ተዘጋጁ.")</f>
        <v>ላሟን ጥረቷን አመስግኑት እና ለሚቀጥለው ዝላይ ተዘጋጁ.</v>
      </c>
      <c r="K120" s="11" t="str">
        <f>IFERROR(__xludf.DUMMYFUNCTION("GOOGLETRANSLATE(E120, ""en"", ""am"")"),"ማመስገን የላሟን በራስ መተማመን ለመገንባት እና ለተጨማሪ መዝለሎች ያዘጋጃታል።")</f>
        <v>ማመስገን የላሟን በራስ መተማመን ለመገንባት እና ለተጨማሪ መዝለሎች ያዘጋጃታል።</v>
      </c>
    </row>
    <row r="121" ht="22.5" customHeight="1">
      <c r="A121" s="16">
        <v>120.0</v>
      </c>
      <c r="B121" s="16" t="s">
        <v>4556</v>
      </c>
      <c r="C121" s="16" t="s">
        <v>4557</v>
      </c>
      <c r="D121" s="16" t="s">
        <v>4558</v>
      </c>
      <c r="E121" s="16" t="s">
        <v>4559</v>
      </c>
      <c r="G121" s="11" t="str">
        <f>IFERROR(__xludf.DUMMYFUNCTION("GOOGLETRANSLATE(A121, ""en"", ""am"")"),"120")</f>
        <v>120</v>
      </c>
      <c r="H121" s="11" t="str">
        <f>IFERROR(__xludf.DUMMYFUNCTION("GOOGLETRANSLATE(B121, ""en"", ""am"")"),"ላሟ ትዘልላለች ነገር ግን በትንሹ ሚዛኗን ትታለች። ተቆጣጣሪው እንዴት ማስተካከል አለበት?")</f>
        <v>ላሟ ትዘልላለች ነገር ግን በትንሹ ሚዛኗን ትታለች። ተቆጣጣሪው እንዴት ማስተካከል አለበት?</v>
      </c>
      <c r="I121" s="11" t="str">
        <f>IFERROR(__xludf.DUMMYFUNCTION("GOOGLETRANSLATE(C121, ""en"", ""am"")"),"ሀ. በማረፍ ወቅት የላሟን አቀማመጥ በማሻሻል ላይ ያተኩሩ።
ለ. ለተሻለ ቁጥጥር ላሟን በጠንካራ መሬት እንድታርፍ አበረታቷት።
ሐ. የላሙን ሚዛን ለመፈተሽ የዝላይን ችግር ይጨምሩ።
መ. ላሟ አርፋ እና ቆይተው እንደገና ይሞክሩ።")</f>
        <v>ሀ. በማረፍ ወቅት የላሟን አቀማመጥ በማሻሻል ላይ ያተኩሩ።
ለ. ለተሻለ ቁጥጥር ላሟን በጠንካራ መሬት እንድታርፍ አበረታቷት።
ሐ. የላሙን ሚዛን ለመፈተሽ የዝላይን ችግር ይጨምሩ።
መ. ላሟ አርፋ እና ቆይተው እንደገና ይሞክሩ።</v>
      </c>
      <c r="J121" s="11" t="str">
        <f>IFERROR(__xludf.DUMMYFUNCTION("GOOGLETRANSLATE(D121, ""en"", ""am"")"),"በማረፊያ ጊዜ የላሟን አቀማመጥ በማሻሻል ላይ ያተኩሩ.")</f>
        <v>በማረፊያ ጊዜ የላሟን አቀማመጥ በማሻሻል ላይ ያተኩሩ.</v>
      </c>
      <c r="K121" s="11" t="str">
        <f>IFERROR(__xludf.DUMMYFUNCTION("GOOGLETRANSLATE(E121, ""en"", ""am"")"),"በማረፊያ ጊዜ አኳኋን ማሻሻል ላም የተሻለ ቁጥጥር እንዲኖር ይረዳል.")</f>
        <v>በማረፊያ ጊዜ አኳኋን ማሻሻል ላም የተሻለ ቁጥጥር እንዲኖር ይረዳል.</v>
      </c>
    </row>
    <row r="122" ht="22.5" customHeight="1">
      <c r="A122" s="16">
        <v>121.0</v>
      </c>
      <c r="B122" s="16" t="s">
        <v>4560</v>
      </c>
      <c r="C122" s="16" t="s">
        <v>4561</v>
      </c>
      <c r="D122" s="16" t="s">
        <v>4562</v>
      </c>
      <c r="E122" s="16" t="s">
        <v>4563</v>
      </c>
      <c r="G122" s="11" t="str">
        <f>IFERROR(__xludf.DUMMYFUNCTION("GOOGLETRANSLATE(A122, ""en"", ""am"")"),"121")</f>
        <v>121</v>
      </c>
      <c r="H122" s="11" t="str">
        <f>IFERROR(__xludf.DUMMYFUNCTION("GOOGLETRANSLATE(B122, ""en"", ""am"")"),"ላሟ ከመዝለሉ በፊት ስታመነታ እና ተዘናግታ ዙሪያውን ይመለከታል። ተቆጣጣሪው ምን ማድረግ አለበት?")</f>
        <v>ላሟ ከመዝለሉ በፊት ስታመነታ እና ተዘናግታ ዙሪያውን ይመለከታል። ተቆጣጣሪው ምን ማድረግ አለበት?</v>
      </c>
      <c r="I122" s="11" t="str">
        <f>IFERROR(__xludf.DUMMYFUNCTION("GOOGLETRANSLATE(C122, ""en"", ""am"")"),"ሀ. ላሟን አረጋጋ እና አካባቢው የተረጋጋ መሆኑን ያረጋግጡ።
ለ. ማመንታቱን ለመስበር ላሟን ወዲያውኑ ለመዝለል ይግፉት።
ሐ. የላሟን ትኩረት ለመቃወም የዝላይን ቁመት ይጨምሩ።
መ. ላም አርፋ እና ዝላይን በኋላ እንደገና ያስተዋውቀዋል.")</f>
        <v>ሀ. ላሟን አረጋጋ እና አካባቢው የተረጋጋ መሆኑን ያረጋግጡ።
ለ. ማመንታቱን ለመስበር ላሟን ወዲያውኑ ለመዝለል ይግፉት።
ሐ. የላሟን ትኩረት ለመቃወም የዝላይን ቁመት ይጨምሩ።
መ. ላም አርፋ እና ዝላይን በኋላ እንደገና ያስተዋውቀዋል.</v>
      </c>
      <c r="J122" s="11" t="str">
        <f>IFERROR(__xludf.DUMMYFUNCTION("GOOGLETRANSLATE(D122, ""en"", ""am"")"),"ላሟን አረጋጋ እና አካባቢው የተረጋጋ መሆኑን ያረጋግጡ.")</f>
        <v>ላሟን አረጋጋ እና አካባቢው የተረጋጋ መሆኑን ያረጋግጡ.</v>
      </c>
      <c r="K122" s="11" t="str">
        <f>IFERROR(__xludf.DUMMYFUNCTION("GOOGLETRANSLATE(E122, ""en"", ""am"")"),"የተረጋጋ አካባቢ ላም ትኩረትን እንድትሰጥ እና ትኩረትን የሚከፋፍሉ ነገሮችን እንድትቀንስ ይረዳል.")</f>
        <v>የተረጋጋ አካባቢ ላም ትኩረትን እንድትሰጥ እና ትኩረትን የሚከፋፍሉ ነገሮችን እንድትቀንስ ይረዳል.</v>
      </c>
    </row>
    <row r="123" ht="22.5" customHeight="1">
      <c r="A123" s="16">
        <v>122.0</v>
      </c>
      <c r="B123" s="16" t="s">
        <v>4564</v>
      </c>
      <c r="C123" s="16" t="s">
        <v>4565</v>
      </c>
      <c r="D123" s="16" t="s">
        <v>4566</v>
      </c>
      <c r="E123" s="16" t="s">
        <v>4567</v>
      </c>
      <c r="G123" s="11" t="str">
        <f>IFERROR(__xludf.DUMMYFUNCTION("GOOGLETRANSLATE(A123, ""en"", ""am"")"),"122")</f>
        <v>122</v>
      </c>
      <c r="H123" s="11" t="str">
        <f>IFERROR(__xludf.DUMMYFUNCTION("GOOGLETRANSLATE(B123, ""en"", ""am"")"),"ላሟ ትዘልላለች ግን መሰናክሉን አያፀዳም። ተቆጣጣሪው ይህንን እንዴት መፍታት አለበት?")</f>
        <v>ላሟ ትዘልላለች ግን መሰናክሉን አያፀዳም። ተቆጣጣሪው ይህንን እንዴት መፍታት አለበት?</v>
      </c>
      <c r="I123" s="11" t="str">
        <f>IFERROR(__xludf.DUMMYFUNCTION("GOOGLETRANSLATE(C123, ""en"", ""am"")"),"ሀ. የዝላይውን ቁመት ይቀንሱ እና ላሟ እንደገና እንድትሞክር ይፍቀዱለት.
ለ. ላሟ አቅሟን ለመገንባት ወደ ላይ ለመዝለል ግፋ።
ሐ. ላሟ እንዲያርፍ ፍቀድ እና መዝለሉን በኋላ ይሞክሩ።
መ. ላሟን የበለጠ ለመገዳደር ያለውን ችግር ጨምር።")</f>
        <v>ሀ. የዝላይውን ቁመት ይቀንሱ እና ላሟ እንደገና እንድትሞክር ይፍቀዱለት.
ለ. ላሟ አቅሟን ለመገንባት ወደ ላይ ለመዝለል ግፋ።
ሐ. ላሟ እንዲያርፍ ፍቀድ እና መዝለሉን በኋላ ይሞክሩ።
መ. ላሟን የበለጠ ለመገዳደር ያለውን ችግር ጨምር።</v>
      </c>
      <c r="J123" s="11" t="str">
        <f>IFERROR(__xludf.DUMMYFUNCTION("GOOGLETRANSLATE(D123, ""en"", ""am"")"),"የዝላይውን ቁመት ይቀንሱ እና ላሟ እንደገና እንድትሞክር ይፍቀዱለት.")</f>
        <v>የዝላይውን ቁመት ይቀንሱ እና ላሟ እንደገና እንድትሞክር ይፍቀዱለት.</v>
      </c>
      <c r="K123" s="11" t="str">
        <f>IFERROR(__xludf.DUMMYFUNCTION("GOOGLETRANSLATE(E123, ""en"", ""am"")"),"ቁመቱን መቀነስ ላም በራስ የመተማመን ስሜትን ለመገንባት እና ቴክኒኩን ፍጹም ለማድረግ ይረዳል.")</f>
        <v>ቁመቱን መቀነስ ላም በራስ የመተማመን ስሜትን ለመገንባት እና ቴክኒኩን ፍጹም ለማድረግ ይረዳል.</v>
      </c>
    </row>
    <row r="124" ht="22.5" customHeight="1">
      <c r="A124" s="16">
        <v>123.0</v>
      </c>
      <c r="B124" s="16" t="s">
        <v>4568</v>
      </c>
      <c r="C124" s="16" t="s">
        <v>4569</v>
      </c>
      <c r="D124" s="16" t="s">
        <v>4570</v>
      </c>
      <c r="E124" s="16" t="s">
        <v>4571</v>
      </c>
      <c r="G124" s="11" t="str">
        <f>IFERROR(__xludf.DUMMYFUNCTION("GOOGLETRANSLATE(A124, ""en"", ""am"")"),"123")</f>
        <v>123</v>
      </c>
      <c r="H124" s="11" t="str">
        <f>IFERROR(__xludf.DUMMYFUNCTION("GOOGLETRANSLATE(B124, ""en"", ""am"")"),"ላም ዝላይን ታጸዳለች ነገር ግን የድካም ምልክቶችን ያሳያል. ተቆጣጣሪው ምን ማድረግ አለበት?")</f>
        <v>ላም ዝላይን ታጸዳለች ነገር ግን የድካም ምልክቶችን ያሳያል. ተቆጣጣሪው ምን ማድረግ አለበት?</v>
      </c>
      <c r="I124" s="11" t="str">
        <f>IFERROR(__xludf.DUMMYFUNCTION("GOOGLETRANSLATE(C124, ""en"", ""am"")"),"ሀ. ላሟ እንደገና ከመሞከርዎ በፊት እንዲያርፍ እና እንዲጠጣ ይፍቀዱለት።
ለ. ላሟ ጥንካሬዋን ለመገንባት እንደገና ለመዝለል ግፋ።
ሐ. ጽናትን ለማሻሻል የዝላይን ችግር ይጨምሩ።
መ. ላሟ እንዲያርፍ እና በኋላ ላይ ስልጠናውን ቀጥል.")</f>
        <v>ሀ. ላሟ እንደገና ከመሞከርዎ በፊት እንዲያርፍ እና እንዲጠጣ ይፍቀዱለት።
ለ. ላሟ ጥንካሬዋን ለመገንባት እንደገና ለመዝለል ግፋ።
ሐ. ጽናትን ለማሻሻል የዝላይን ችግር ይጨምሩ።
መ. ላሟ እንዲያርፍ እና በኋላ ላይ ስልጠናውን ቀጥል.</v>
      </c>
      <c r="J124" s="11" t="str">
        <f>IFERROR(__xludf.DUMMYFUNCTION("GOOGLETRANSLATE(D124, ""en"", ""am"")"),"እንደገና ከመሞከርዎ በፊት ላሟ እንዲያርፍ እና እንዲጠጣ ይፍቀዱለት።")</f>
        <v>እንደገና ከመሞከርዎ በፊት ላሟ እንዲያርፍ እና እንዲጠጣ ይፍቀዱለት።</v>
      </c>
      <c r="K124" s="11" t="str">
        <f>IFERROR(__xludf.DUMMYFUNCTION("GOOGLETRANSLATE(E124, ""en"", ""am"")"),"የላሟን የኃይል መጠን ለመጠበቅ እረፍት እና እርጥበት አስፈላጊ ናቸው።")</f>
        <v>የላሟን የኃይል መጠን ለመጠበቅ እረፍት እና እርጥበት አስፈላጊ ናቸው።</v>
      </c>
    </row>
    <row r="125" ht="22.5" customHeight="1">
      <c r="A125" s="16">
        <v>124.0</v>
      </c>
      <c r="B125" s="16" t="s">
        <v>4572</v>
      </c>
      <c r="C125" s="16" t="s">
        <v>4573</v>
      </c>
      <c r="D125" s="16" t="s">
        <v>4574</v>
      </c>
      <c r="E125" s="16" t="s">
        <v>4575</v>
      </c>
      <c r="G125" s="11" t="str">
        <f>IFERROR(__xludf.DUMMYFUNCTION("GOOGLETRANSLATE(A125, ""en"", ""am"")"),"124")</f>
        <v>124</v>
      </c>
      <c r="H125" s="11" t="str">
        <f>IFERROR(__xludf.DUMMYFUNCTION("GOOGLETRANSLATE(B125, ""en"", ""am"")"),"ላሟ ትነሳለች ግን በቂ ቁመት አላገኘም። ተቆጣጣሪው በምን ላይ ማተኮር አለበት?")</f>
        <v>ላሟ ትነሳለች ግን በቂ ቁመት አላገኘም። ተቆጣጣሪው በምን ላይ ማተኮር አለበት?</v>
      </c>
      <c r="I125" s="11" t="str">
        <f>IFERROR(__xludf.DUMMYFUNCTION("GOOGLETRANSLATE(C125, ""en"", ""am"")"),"ሀ. ተጨማሪ ማንሳት ለማመንጨት የላሟን መነሳት ቴክኒክ አጥራ።
ለ. ላሟ ወደላይ እንድትዘል ለማስገደድ የዝላይን ችግር ጨምር።
ሐ. ላሟ እንዲያርፍ እና በኋላ እንዲለማመድ ፍቀድ።
መ. የበለጠ ለመሞከር ላሟን ወዲያውኑ እንደገና ለመዝለል ይግፉት።")</f>
        <v>ሀ. ተጨማሪ ማንሳት ለማመንጨት የላሟን መነሳት ቴክኒክ አጥራ።
ለ. ላሟ ወደላይ እንድትዘል ለማስገደድ የዝላይን ችግር ጨምር።
ሐ. ላሟ እንዲያርፍ እና በኋላ እንዲለማመድ ፍቀድ።
መ. የበለጠ ለመሞከር ላሟን ወዲያውኑ እንደገና ለመዝለል ይግፉት።</v>
      </c>
      <c r="J125" s="11" t="str">
        <f>IFERROR(__xludf.DUMMYFUNCTION("GOOGLETRANSLATE(D125, ""en"", ""am"")"),"ተጨማሪ ማንሳት ለማመንጨት የላሟን መነሳት ቴክኒክ አጥራ።")</f>
        <v>ተጨማሪ ማንሳት ለማመንጨት የላሟን መነሳት ቴክኒክ አጥራ።</v>
      </c>
      <c r="K125" s="11" t="str">
        <f>IFERROR(__xludf.DUMMYFUNCTION("GOOGLETRANSLATE(E125, ""en"", ""am"")"),"የማስነሻ ዘዴን ማሻሻል ላም ከፍ ብሎ እንዲዘል ይረዳል.")</f>
        <v>የማስነሻ ዘዴን ማሻሻል ላም ከፍ ብሎ እንዲዘል ይረዳል.</v>
      </c>
    </row>
    <row r="126" ht="22.5" customHeight="1">
      <c r="A126" s="16">
        <v>125.0</v>
      </c>
      <c r="B126" s="16" t="s">
        <v>4576</v>
      </c>
      <c r="C126" s="16" t="s">
        <v>4577</v>
      </c>
      <c r="D126" s="16" t="s">
        <v>4578</v>
      </c>
      <c r="E126" s="16" t="s">
        <v>4579</v>
      </c>
      <c r="G126" s="11" t="str">
        <f>IFERROR(__xludf.DUMMYFUNCTION("GOOGLETRANSLATE(A126, ""en"", ""am"")"),"125")</f>
        <v>125</v>
      </c>
      <c r="H126" s="11" t="str">
        <f>IFERROR(__xludf.DUMMYFUNCTION("GOOGLETRANSLATE(B126, ""en"", ""am"")"),"ላሟ በትክክል ትዘልላለች ነገር ግን በጣም ትወድቃለች። ተቆጣጣሪው ይህንን እንዴት መፍታት አለበት?")</f>
        <v>ላሟ በትክክል ትዘልላለች ነገር ግን በጣም ትወድቃለች። ተቆጣጣሪው ይህንን እንዴት መፍታት አለበት?</v>
      </c>
      <c r="I126" s="11" t="str">
        <f>IFERROR(__xludf.DUMMYFUNCTION("GOOGLETRANSLATE(C126, ""en"", ""am"")"),"ሀ. የማረፊያ ዘዴን በተግባር በማለስለስ ላይ ያተኩሩ።
ለ. የበለጠ ፈታኝ እንዲሆን የዝላይን ቁመት ይጨምሩ።
ሐ. ከባድ ማረፊያው ቢሆንም ዝላይውን ለመድገም ላሟን ግፋ።
መ. ላሟ እንድታርፍ እና በኋላ ላይ ስልጠና እንድትቀጥል ፍቀድ።")</f>
        <v>ሀ. የማረፊያ ዘዴን በተግባር በማለስለስ ላይ ያተኩሩ።
ለ. የበለጠ ፈታኝ እንዲሆን የዝላይን ቁመት ይጨምሩ።
ሐ. ከባድ ማረፊያው ቢሆንም ዝላይውን ለመድገም ላሟን ግፋ።
መ. ላሟ እንድታርፍ እና በኋላ ላይ ስልጠና እንድትቀጥል ፍቀድ።</v>
      </c>
      <c r="J126" s="11" t="str">
        <f>IFERROR(__xludf.DUMMYFUNCTION("GOOGLETRANSLATE(D126, ""en"", ""am"")"),"የማረፊያ ዘዴን በተግባር በማለስለስ ላይ ያተኩሩ።")</f>
        <v>የማረፊያ ዘዴን በተግባር በማለስለስ ላይ ያተኩሩ።</v>
      </c>
      <c r="K126" s="11" t="str">
        <f>IFERROR(__xludf.DUMMYFUNCTION("GOOGLETRANSLATE(E126, ""en"", ""am"")"),"ማረፊያውን ማለስለስ ውጥረትን እና ጉዳትን ይቀንሳል.")</f>
        <v>ማረፊያውን ማለስለስ ውጥረትን እና ጉዳትን ይቀንሳል.</v>
      </c>
    </row>
    <row r="127" ht="22.5" customHeight="1">
      <c r="A127" s="16">
        <v>126.0</v>
      </c>
      <c r="B127" s="16" t="s">
        <v>4580</v>
      </c>
      <c r="C127" s="16" t="s">
        <v>4581</v>
      </c>
      <c r="D127" s="16" t="s">
        <v>4582</v>
      </c>
      <c r="E127" s="16" t="s">
        <v>4583</v>
      </c>
      <c r="G127" s="11" t="str">
        <f>IFERROR(__xludf.DUMMYFUNCTION("GOOGLETRANSLATE(A127, ""en"", ""am"")"),"126")</f>
        <v>126</v>
      </c>
      <c r="H127" s="11" t="str">
        <f>IFERROR(__xludf.DUMMYFUNCTION("GOOGLETRANSLATE(B127, ""en"", ""am"")"),"ላሟ ከመዝለል በፊት ስታመነታ እና የተደናገጠች ትመስላለች። ተቆጣጣሪው ምን ማድረግ አለበት?")</f>
        <v>ላሟ ከመዝለል በፊት ስታመነታ እና የተደናገጠች ትመስላለች። ተቆጣጣሪው ምን ማድረግ አለበት?</v>
      </c>
      <c r="I127" s="11" t="str">
        <f>IFERROR(__xludf.DUMMYFUNCTION("GOOGLETRANSLATE(C127, ""en"", ""am"")"),"ሀ. በራስ መተማመንን ለመፍጠር ላሟን አበረታታ እና የዝላይን ከፍታ ዝቅ አድርግ።
ለ. የላሙን ድፍረት ለመቃወም የዝላይን ከፍታ ይጨምሩ።
ሐ. ላሟን ያለምንም ማመንታት በቀጥታ ወደ ዝላይው ግፋ።
መ. ላሟ አርፋ እና በኋላ በበለጠ በራስ መተማመን ይምጣ።")</f>
        <v>ሀ. በራስ መተማመንን ለመፍጠር ላሟን አበረታታ እና የዝላይን ከፍታ ዝቅ አድርግ።
ለ. የላሙን ድፍረት ለመቃወም የዝላይን ከፍታ ይጨምሩ።
ሐ. ላሟን ያለምንም ማመንታት በቀጥታ ወደ ዝላይው ግፋ።
መ. ላሟ አርፋ እና በኋላ በበለጠ በራስ መተማመን ይምጣ።</v>
      </c>
      <c r="J127" s="11" t="str">
        <f>IFERROR(__xludf.DUMMYFUNCTION("GOOGLETRANSLATE(D127, ""en"", ""am"")"),"በራስ መተማመንን ለመፍጠር ላሟን ያበረታቱ እና የዝላይን ከፍታ ይቀንሱ።")</f>
        <v>በራስ መተማመንን ለመፍጠር ላሟን ያበረታቱ እና የዝላይን ከፍታ ይቀንሱ።</v>
      </c>
      <c r="K127" s="11" t="str">
        <f>IFERROR(__xludf.DUMMYFUNCTION("GOOGLETRANSLATE(E127, ""en"", ""am"")"),"ችግርን መቀነስ መተማመንን ለመፍጠር ይረዳል እና ነርቭን ይቀንሳል.")</f>
        <v>ችግርን መቀነስ መተማመንን ለመፍጠር ይረዳል እና ነርቭን ይቀንሳል.</v>
      </c>
    </row>
    <row r="128" ht="22.5" customHeight="1">
      <c r="A128" s="16">
        <v>127.0</v>
      </c>
      <c r="B128" s="16" t="s">
        <v>4584</v>
      </c>
      <c r="C128" s="16" t="s">
        <v>4585</v>
      </c>
      <c r="D128" s="16" t="s">
        <v>4586</v>
      </c>
      <c r="E128" s="16" t="s">
        <v>4587</v>
      </c>
      <c r="G128" s="11" t="str">
        <f>IFERROR(__xludf.DUMMYFUNCTION("GOOGLETRANSLATE(A128, ""en"", ""am"")"),"127")</f>
        <v>127</v>
      </c>
      <c r="H128" s="11" t="str">
        <f>IFERROR(__xludf.DUMMYFUNCTION("GOOGLETRANSLATE(B128, ""en"", ""am"")"),"ላሟ በደንብ ትሰራለች ነገር ግን ከእያንዳንዱ ዝላይ በፊት የብስጭት ምልክቶችን ያሳያል። ምን መደረግ አለበት?")</f>
        <v>ላሟ በደንብ ትሰራለች ነገር ግን ከእያንዳንዱ ዝላይ በፊት የብስጭት ምልክቶችን ያሳያል። ምን መደረግ አለበት?</v>
      </c>
      <c r="I128" s="11" t="str">
        <f>IFERROR(__xludf.DUMMYFUNCTION("GOOGLETRANSLATE(C128, ""en"", ""am"")"),"ሀ. ላሟን በአዎንታዊ ማጠናከሪያ ያረጋግጡ እና የዝላይን ቁመት ይቀንሱ።
ለ. ቁርጠኝነትን ለመገንባት ጥቂት ተጨማሪ መዝለሎችን ለማጠናቀቅ ላሟን ግፋ።
ሐ. ላሟን የበለጠ ለመቃወም የዝላይዎችን ችግር ይጨምሩ።
መ. ላሟ እንዲያርፍ ይፍቀዱ እና ከእረፍት በኋላ እንደገና ይሞክሩ።")</f>
        <v>ሀ. ላሟን በአዎንታዊ ማጠናከሪያ ያረጋግጡ እና የዝላይን ቁመት ይቀንሱ።
ለ. ቁርጠኝነትን ለመገንባት ጥቂት ተጨማሪ መዝለሎችን ለማጠናቀቅ ላሟን ግፋ።
ሐ. ላሟን የበለጠ ለመቃወም የዝላይዎችን ችግር ይጨምሩ።
መ. ላሟ እንዲያርፍ ይፍቀዱ እና ከእረፍት በኋላ እንደገና ይሞክሩ።</v>
      </c>
      <c r="J128" s="11" t="str">
        <f>IFERROR(__xludf.DUMMYFUNCTION("GOOGLETRANSLATE(D128, ""en"", ""am"")"),"ላሟን በአዎንታዊ ማጠናከሪያ ያረጋግጡ እና የዝላይን ቁመት ይቀንሱ።")</f>
        <v>ላሟን በአዎንታዊ ማጠናከሪያ ያረጋግጡ እና የዝላይን ቁመት ይቀንሱ።</v>
      </c>
      <c r="K128" s="11" t="str">
        <f>IFERROR(__xludf.DUMMYFUNCTION("GOOGLETRANSLATE(E128, ""en"", ""am"")"),"ማረጋጋት ብስጭትን ለማስታገስ እና በራስ መተማመንን ለማዳበር ይረዳል።")</f>
        <v>ማረጋጋት ብስጭትን ለማስታገስ እና በራስ መተማመንን ለማዳበር ይረዳል።</v>
      </c>
    </row>
    <row r="129" ht="22.5" customHeight="1">
      <c r="A129" s="16">
        <v>128.0</v>
      </c>
      <c r="B129" s="16" t="s">
        <v>4588</v>
      </c>
      <c r="C129" s="16" t="s">
        <v>4589</v>
      </c>
      <c r="D129" s="16" t="s">
        <v>4590</v>
      </c>
      <c r="E129" s="16" t="s">
        <v>4591</v>
      </c>
      <c r="G129" s="11" t="str">
        <f>IFERROR(__xludf.DUMMYFUNCTION("GOOGLETRANSLATE(A129, ""en"", ""am"")"),"128")</f>
        <v>128</v>
      </c>
      <c r="H129" s="11" t="str">
        <f>IFERROR(__xludf.DUMMYFUNCTION("GOOGLETRANSLATE(B129, ""en"", ""am"")"),"ላሟ ዝላይን ታጸዳለች ነገር ግን በትክክል ለማረፍ ትታገላለች። ተቆጣጣሪው ይህንን እንዴት ማሻሻል አለበት?")</f>
        <v>ላሟ ዝላይን ታጸዳለች ነገር ግን በትክክል ለማረፍ ትታገላለች። ተቆጣጣሪው ይህንን እንዴት ማሻሻል አለበት?</v>
      </c>
      <c r="I129" s="11" t="str">
        <f>IFERROR(__xludf.DUMMYFUNCTION("GOOGLETRANSLATE(C129, ""en"", ""am"")"),"ሀ. ላሟን ለማረጋጋት የተሻሉ የማረፊያ ዘዴዎችን በማስተማር ላይ ያተኩሩ።
ለ. ላሟ እንዲላመድ ለማስገደድ የመዝለል ችግርን ይጨምሩ።
ሐ. ላሟን ወዲያውኑ ሌላ ዝላይ ለማድረግ ይግፉት።
መ. ላሟ እንድታርፍ እና በኋላ ላይ በማረፊያ ዘዴዎች እንድትለማመድ ፍቀድ።")</f>
        <v>ሀ. ላሟን ለማረጋጋት የተሻሉ የማረፊያ ዘዴዎችን በማስተማር ላይ ያተኩሩ።
ለ. ላሟ እንዲላመድ ለማስገደድ የመዝለል ችግርን ይጨምሩ።
ሐ. ላሟን ወዲያውኑ ሌላ ዝላይ ለማድረግ ይግፉት።
መ. ላሟ እንድታርፍ እና በኋላ ላይ በማረፊያ ዘዴዎች እንድትለማመድ ፍቀድ።</v>
      </c>
      <c r="J129" s="11" t="str">
        <f>IFERROR(__xludf.DUMMYFUNCTION("GOOGLETRANSLATE(D129, ""en"", ""am"")"),"ላሟን ለማረጋጋት የተሻሉ የማረፊያ ዘዴዎችን በማስተማር ላይ ያተኩሩ።")</f>
        <v>ላሟን ለማረጋጋት የተሻሉ የማረፊያ ዘዴዎችን በማስተማር ላይ ያተኩሩ።</v>
      </c>
      <c r="K129" s="11" t="str">
        <f>IFERROR(__xludf.DUMMYFUNCTION("GOOGLETRANSLATE(E129, ""en"", ""am"")"),"የተረጋጋ የማረፊያ ዘዴ የመጉዳት አደጋን ይቀንሳል እና በራስ መተማመንን ይፈጥራል.")</f>
        <v>የተረጋጋ የማረፊያ ዘዴ የመጉዳት አደጋን ይቀንሳል እና በራስ መተማመንን ይፈጥራል.</v>
      </c>
    </row>
    <row r="130" ht="22.5" customHeight="1">
      <c r="A130" s="16">
        <v>129.0</v>
      </c>
      <c r="B130" s="16" t="s">
        <v>4592</v>
      </c>
      <c r="C130" s="16" t="s">
        <v>4593</v>
      </c>
      <c r="D130" s="16" t="s">
        <v>4594</v>
      </c>
      <c r="E130" s="16" t="s">
        <v>4595</v>
      </c>
      <c r="G130" s="11" t="str">
        <f>IFERROR(__xludf.DUMMYFUNCTION("GOOGLETRANSLATE(A130, ""en"", ""am"")"),"129")</f>
        <v>129</v>
      </c>
      <c r="H130" s="11" t="str">
        <f>IFERROR(__xludf.DUMMYFUNCTION("GOOGLETRANSLATE(B130, ""en"", ""am"")"),"ላሟ በደንብ ትዘልላለች ነገር ግን በአካባቢዋ የተከፋፈለች ትመስላለች። ተቆጣጣሪው ምን ማድረግ አለበት?")</f>
        <v>ላሟ በደንብ ትዘልላለች ነገር ግን በአካባቢዋ የተከፋፈለች ትመስላለች። ተቆጣጣሪው ምን ማድረግ አለበት?</v>
      </c>
      <c r="I130" s="11" t="str">
        <f>IFERROR(__xludf.DUMMYFUNCTION("GOOGLETRANSLATE(C130, ""en"", ""am"")"),"ሀ. ትኩረትን የሚከፋፍሉ ነገሮችን ለመቀነስ እና ላሟን እንደገና ለማተኮር የተረጋጋ አካባቢ ይፍጠሩ።
ለ. የላሙን ትኩረት ለመጠበቅ የዝላይን ቁመት ይጨምሩ።
ሐ. ላሟ ወዲያውኑ እንደገና እንድትዘል አበረታቷት።
መ. ላሟ እንዲያርፍ እና ጸጥ ባለ ቦታ ላይ እንዲያተኩር ፍቀድ።")</f>
        <v>ሀ. ትኩረትን የሚከፋፍሉ ነገሮችን ለመቀነስ እና ላሟን እንደገና ለማተኮር የተረጋጋ አካባቢ ይፍጠሩ።
ለ. የላሙን ትኩረት ለመጠበቅ የዝላይን ቁመት ይጨምሩ።
ሐ. ላሟ ወዲያውኑ እንደገና እንድትዘል አበረታቷት።
መ. ላሟ እንዲያርፍ እና ጸጥ ባለ ቦታ ላይ እንዲያተኩር ፍቀድ።</v>
      </c>
      <c r="J130" s="11" t="str">
        <f>IFERROR(__xludf.DUMMYFUNCTION("GOOGLETRANSLATE(D130, ""en"", ""am"")"),"ትኩረትን የሚከፋፍሉ ነገሮችን ለመቀነስ እና ላሟን እንደገና ለማተኮር የተረጋጋ አካባቢ ይፍጠሩ።")</f>
        <v>ትኩረትን የሚከፋፍሉ ነገሮችን ለመቀነስ እና ላሟን እንደገና ለማተኮር የተረጋጋ አካባቢ ይፍጠሩ።</v>
      </c>
      <c r="K130" s="11" t="str">
        <f>IFERROR(__xludf.DUMMYFUNCTION("GOOGLETRANSLATE(E130, ""en"", ""am"")"),"ትኩረትን የሚከፋፍሉ ነገሮችን መቀነስ ላም ትኩረትን እንድትጠብቅ እና የተሻለ እንድትሰራ ይረዳታል።")</f>
        <v>ትኩረትን የሚከፋፍሉ ነገሮችን መቀነስ ላም ትኩረትን እንድትጠብቅ እና የተሻለ እንድትሰራ ይረዳታል።</v>
      </c>
    </row>
    <row r="131" ht="22.5" customHeight="1">
      <c r="A131" s="16">
        <v>130.0</v>
      </c>
      <c r="B131" s="16" t="s">
        <v>4596</v>
      </c>
      <c r="C131" s="16" t="s">
        <v>4597</v>
      </c>
      <c r="D131" s="16" t="s">
        <v>4598</v>
      </c>
      <c r="E131" s="16" t="s">
        <v>4599</v>
      </c>
      <c r="G131" s="11" t="str">
        <f>IFERROR(__xludf.DUMMYFUNCTION("GOOGLETRANSLATE(A131, ""en"", ""am"")"),"130")</f>
        <v>130</v>
      </c>
      <c r="H131" s="11" t="str">
        <f>IFERROR(__xludf.DUMMYFUNCTION("GOOGLETRANSLATE(B131, ""en"", ""am"")"),"ላሟ ዝላይን ታጸዳለች ነገር ግን በማረፊያ ጊዜ የተረጋጋ አይመስልም። ተቆጣጣሪው ይህንን እንዴት መፍታት አለበት?")</f>
        <v>ላሟ ዝላይን ታጸዳለች ነገር ግን በማረፊያ ጊዜ የተረጋጋ አይመስልም። ተቆጣጣሪው ይህንን እንዴት መፍታት አለበት?</v>
      </c>
      <c r="I131" s="11" t="str">
        <f>IFERROR(__xludf.DUMMYFUNCTION("GOOGLETRANSLATE(C131, ""en"", ""am"")"),"ሀ. በማረፊያ ጊዜ የላሟን ሚዛን እና አቀማመጥ በማሻሻል ላይ ይስሩ።
ለ. ላሟን የበለጠ ለመቃወም የዝላይን ከፍታ ይጨምሩ።
ሐ. ሚዛኑ አለመመጣጠን ቢሆንም ላሟን ወዲያውኑ እንደገና ለመዝለል ይግፉት።
መ. ላሟ አርፋ እና ቆይተው እንደገና ይሞክሩ።")</f>
        <v>ሀ. በማረፊያ ጊዜ የላሟን ሚዛን እና አቀማመጥ በማሻሻል ላይ ይስሩ።
ለ. ላሟን የበለጠ ለመቃወም የዝላይን ከፍታ ይጨምሩ።
ሐ. ሚዛኑ አለመመጣጠን ቢሆንም ላሟን ወዲያውኑ እንደገና ለመዝለል ይግፉት።
መ. ላሟ አርፋ እና ቆይተው እንደገና ይሞክሩ።</v>
      </c>
      <c r="J131" s="11" t="str">
        <f>IFERROR(__xludf.DUMMYFUNCTION("GOOGLETRANSLATE(D131, ""en"", ""am"")"),"በማረፊያ ጊዜ የላሟን ሚዛን እና አቀማመጥ በማሻሻል ላይ ይስሩ.")</f>
        <v>በማረፊያ ጊዜ የላሟን ሚዛን እና አቀማመጥ በማሻሻል ላይ ይስሩ.</v>
      </c>
      <c r="K131" s="11" t="str">
        <f>IFERROR(__xludf.DUMMYFUNCTION("GOOGLETRANSLATE(E131, ""en"", ""am"")"),"የተሻሻለ ሚዛን የበለጠ የተረጋጋ ማረፊያ ያረጋግጣል እና ጉዳትን ይቀንሳል።")</f>
        <v>የተሻሻለ ሚዛን የበለጠ የተረጋጋ ማረፊያ ያረጋግጣል እና ጉዳትን ይቀንሳል።</v>
      </c>
    </row>
    <row r="132" ht="22.5" customHeight="1">
      <c r="A132" s="16">
        <v>131.0</v>
      </c>
      <c r="B132" s="16" t="s">
        <v>4600</v>
      </c>
      <c r="C132" s="16" t="s">
        <v>4601</v>
      </c>
      <c r="D132" s="16" t="s">
        <v>4602</v>
      </c>
      <c r="E132" s="16" t="s">
        <v>4603</v>
      </c>
      <c r="G132" s="11" t="str">
        <f>IFERROR(__xludf.DUMMYFUNCTION("GOOGLETRANSLATE(A132, ""en"", ""am"")"),"131")</f>
        <v>131</v>
      </c>
      <c r="H132" s="11" t="str">
        <f>IFERROR(__xludf.DUMMYFUNCTION("GOOGLETRANSLATE(B132, ""en"", ""am"")"),"ላሟ በራስ የመተማመን ትመስላለች ነገር ግን ከመነሳቷ በፊት ትንሽ ታመነታለች። ተቆጣጣሪው ምን ማድረግ አለበት?")</f>
        <v>ላሟ በራስ የመተማመን ትመስላለች ነገር ግን ከመነሳቷ በፊት ትንሽ ታመነታለች። ተቆጣጣሪው ምን ማድረግ አለበት?</v>
      </c>
      <c r="I132" s="11" t="str">
        <f>IFERROR(__xludf.DUMMYFUNCTION("GOOGLETRANSLATE(C132, ""en"", ""am"")"),"ሀ. ላሟን ማበረታታት እና ከመውጣቱ በፊት አካባቢው የተረጋጋ መሆኑን ያረጋግጡ።
ለ. ላሟን ለማንሳት ለማነሳሳት የዝላይን ችግር ጨምር።
ሐ. ላሟን ያለምንም ማመንታት ወዲያውኑ ለመዝለል ይግፉት።
መ. ላሟ ለአጭር ጊዜ እረፍት ፍቀድ እና ቆይተው እንደገና ይሞክሩ።")</f>
        <v>ሀ. ላሟን ማበረታታት እና ከመውጣቱ በፊት አካባቢው የተረጋጋ መሆኑን ያረጋግጡ።
ለ. ላሟን ለማንሳት ለማነሳሳት የዝላይን ችግር ጨምር።
ሐ. ላሟን ያለምንም ማመንታት ወዲያውኑ ለመዝለል ይግፉት።
መ. ላሟ ለአጭር ጊዜ እረፍት ፍቀድ እና ቆይተው እንደገና ይሞክሩ።</v>
      </c>
      <c r="J132" s="11" t="str">
        <f>IFERROR(__xludf.DUMMYFUNCTION("GOOGLETRANSLATE(D132, ""en"", ""am"")"),"ላሟን ያበረታቱ እና ከመነሳትዎ በፊት አካባቢው የተረጋጋ መሆኑን ያረጋግጡ።")</f>
        <v>ላሟን ያበረታቱ እና ከመነሳትዎ በፊት አካባቢው የተረጋጋ መሆኑን ያረጋግጡ።</v>
      </c>
      <c r="K132" s="11" t="str">
        <f>IFERROR(__xludf.DUMMYFUNCTION("GOOGLETRANSLATE(E132, ""en"", ""am"")"),"አካባቢን ማረጋጋት ማመንታትን ይቀንሳል እና ለማንሳት ይረዳል።")</f>
        <v>አካባቢን ማረጋጋት ማመንታትን ይቀንሳል እና ለማንሳት ይረዳል።</v>
      </c>
    </row>
    <row r="133" ht="22.5" customHeight="1">
      <c r="A133" s="16">
        <v>132.0</v>
      </c>
      <c r="B133" s="16" t="s">
        <v>4604</v>
      </c>
      <c r="C133" s="16" t="s">
        <v>4605</v>
      </c>
      <c r="D133" s="16" t="s">
        <v>4606</v>
      </c>
      <c r="E133" s="16" t="s">
        <v>4607</v>
      </c>
      <c r="G133" s="11" t="str">
        <f>IFERROR(__xludf.DUMMYFUNCTION("GOOGLETRANSLATE(A133, ""en"", ""am"")"),"132")</f>
        <v>132</v>
      </c>
      <c r="H133" s="11" t="str">
        <f>IFERROR(__xludf.DUMMYFUNCTION("GOOGLETRANSLATE(B133, ""en"", ""am"")"),"ላሟ በተሳካ ሁኔታ ዝላይን ጨርሳለች ነገር ግን ከዒላማው በጣም ርቃለች። ተቆጣጣሪው በምን ላይ ማተኮር አለበት?")</f>
        <v>ላሟ በተሳካ ሁኔታ ዝላይን ጨርሳለች ነገር ግን ከዒላማው በጣም ርቃለች። ተቆጣጣሪው በምን ላይ ማተኮር አለበት?</v>
      </c>
      <c r="I133" s="11" t="str">
        <f>IFERROR(__xludf.DUMMYFUNCTION("GOOGLETRANSLATE(C133, ""en"", ""am"")"),"ሀ. ትክክለኛነትን ለማረጋገጥ የላም ማረፊያ ዘዴን ያስተካክሉ።
ለ. የላሙን ትክክለኛነት ለመቃወም የዝላይን አስቸጋሪነት ይጨምሩ.
ሐ. ላሟ እንዲያርፍ ፍቀድ እና መዝለሉን በኋላ እንደገና ይሞክሩ።
መ. ወዲያውኑ ሌላ ዝላይ ለማከናወን ላሟን ግፋ።")</f>
        <v>ሀ. ትክክለኛነትን ለማረጋገጥ የላም ማረፊያ ዘዴን ያስተካክሉ።
ለ. የላሙን ትክክለኛነት ለመቃወም የዝላይን አስቸጋሪነት ይጨምሩ.
ሐ. ላሟ እንዲያርፍ ፍቀድ እና መዝለሉን በኋላ እንደገና ይሞክሩ።
መ. ወዲያውኑ ሌላ ዝላይ ለማከናወን ላሟን ግፋ።</v>
      </c>
      <c r="J133" s="11" t="str">
        <f>IFERROR(__xludf.DUMMYFUNCTION("GOOGLETRANSLATE(D133, ""en"", ""am"")"),"ትክክለኛነትን ለማረጋገጥ የላም ማረፊያ ዘዴን ያስተካክሉ።")</f>
        <v>ትክክለኛነትን ለማረጋገጥ የላም ማረፊያ ዘዴን ያስተካክሉ።</v>
      </c>
      <c r="K133" s="11" t="str">
        <f>IFERROR(__xludf.DUMMYFUNCTION("GOOGLETRANSLATE(E133, ""en"", ""am"")"),"በማረፍ ላይ ያለው ትክክለኛነት የላሟን አጠቃላይ አፈፃፀም ያሻሽላል።")</f>
        <v>በማረፍ ላይ ያለው ትክክለኛነት የላሟን አጠቃላይ አፈፃፀም ያሻሽላል።</v>
      </c>
    </row>
    <row r="134" ht="22.5" customHeight="1">
      <c r="A134" s="16">
        <v>133.0</v>
      </c>
      <c r="B134" s="16" t="s">
        <v>4608</v>
      </c>
      <c r="C134" s="16" t="s">
        <v>4609</v>
      </c>
      <c r="D134" s="16" t="s">
        <v>4610</v>
      </c>
      <c r="E134" s="16" t="s">
        <v>4611</v>
      </c>
      <c r="G134" s="11" t="str">
        <f>IFERROR(__xludf.DUMMYFUNCTION("GOOGLETRANSLATE(A134, ""en"", ""am"")"),"133")</f>
        <v>133</v>
      </c>
      <c r="H134" s="11" t="str">
        <f>IFERROR(__xludf.DUMMYFUNCTION("GOOGLETRANSLATE(B134, ""en"", ""am"")"),"ላሟ ዝላይን በማጽዳት የሚታገል ይመስላል። ተቆጣጣሪው እንዴት መቀጠል አለበት?")</f>
        <v>ላሟ ዝላይን በማጽዳት የሚታገል ይመስላል። ተቆጣጣሪው እንዴት መቀጠል አለበት?</v>
      </c>
      <c r="I134" s="11" t="str">
        <f>IFERROR(__xludf.DUMMYFUNCTION("GOOGLETRANSLATE(C134, ""en"", ""am"")"),"ሀ. የዝላይን ቁመት በመቀነስ ላም እንድትለማመድ ፍቀድ።
ለ. ላሟን ወደ ላይ ለመዝለል እና ጥንካሬን ለመገንባት ይግፉት.
ሐ. ላሟ ጥንካሬን እንድትገነባ ለማገዝ የዝላይዎችን ብዛት ይጨምሩ።
መ. ላሟ እንዲያርፍ ፍቀድ እና መዝለሉን በኋላ እንደገና ይሞክሩ።")</f>
        <v>ሀ. የዝላይን ቁመት በመቀነስ ላም እንድትለማመድ ፍቀድ።
ለ. ላሟን ወደ ላይ ለመዝለል እና ጥንካሬን ለመገንባት ይግፉት.
ሐ. ላሟ ጥንካሬን እንድትገነባ ለማገዝ የዝላይዎችን ብዛት ይጨምሩ።
መ. ላሟ እንዲያርፍ ፍቀድ እና መዝለሉን በኋላ እንደገና ይሞክሩ።</v>
      </c>
      <c r="J134" s="11" t="str">
        <f>IFERROR(__xludf.DUMMYFUNCTION("GOOGLETRANSLATE(D134, ""en"", ""am"")"),"የዝላይን ቁመት ይቀንሱ እና ላም እንድትለማመድ ይፍቀዱ.")</f>
        <v>የዝላይን ቁመት ይቀንሱ እና ላም እንድትለማመድ ይፍቀዱ.</v>
      </c>
      <c r="K134" s="11" t="str">
        <f>IFERROR(__xludf.DUMMYFUNCTION("GOOGLETRANSLATE(E134, ""en"", ""am"")"),"ችግርን መቀነስ ላሟ ከመሻሻል በፊት እንዲሻሻል ይረዳል.")</f>
        <v>ችግርን መቀነስ ላሟ ከመሻሻል በፊት እንዲሻሻል ይረዳል.</v>
      </c>
    </row>
    <row r="135" ht="22.5" customHeight="1">
      <c r="A135" s="16">
        <v>134.0</v>
      </c>
      <c r="B135" s="16" t="s">
        <v>4612</v>
      </c>
      <c r="C135" s="16" t="s">
        <v>4613</v>
      </c>
      <c r="D135" s="16" t="s">
        <v>4522</v>
      </c>
      <c r="E135" s="16" t="s">
        <v>4614</v>
      </c>
      <c r="G135" s="11" t="str">
        <f>IFERROR(__xludf.DUMMYFUNCTION("GOOGLETRANSLATE(A135, ""en"", ""am"")"),"134")</f>
        <v>134</v>
      </c>
      <c r="H135" s="11" t="str">
        <f>IFERROR(__xludf.DUMMYFUNCTION("GOOGLETRANSLATE(B135, ""en"", ""am"")"),"ላሟ ዝላይን ታጸዳለች ግን ደክሟታል ። ተቆጣጣሪው ምን ማድረግ አለበት?")</f>
        <v>ላሟ ዝላይን ታጸዳለች ግን ደክሟታል ። ተቆጣጣሪው ምን ማድረግ አለበት?</v>
      </c>
      <c r="I135" s="11" t="str">
        <f>IFERROR(__xludf.DUMMYFUNCTION("GOOGLETRANSLATE(C135, ""en"", ""am"")"),"ሀ. ከመቀጠልዎ በፊት ላሟ እንዲያርፍ እና እንዲጠጣ ይፍቀዱለት።
ለ. ጽናትን ለመገንባት ጥቂት ተጨማሪ መዝለሎችን ለማጠናቀቅ ላሟን ግፋ።
ሐ. የላሟን ጥንካሬ ለመቃወም የዝላይዎችን ችግር ይጨምሩ።
መ. ላሟ እንዲያርፍ እና በኋላ እንዲቀጥል ፍቀድ።")</f>
        <v>ሀ. ከመቀጠልዎ በፊት ላሟ እንዲያርፍ እና እንዲጠጣ ይፍቀዱለት።
ለ. ጽናትን ለመገንባት ጥቂት ተጨማሪ መዝለሎችን ለማጠናቀቅ ላሟን ግፋ።
ሐ. የላሟን ጥንካሬ ለመቃወም የዝላይዎችን ችግር ይጨምሩ።
መ. ላሟ እንዲያርፍ እና በኋላ እንዲቀጥል ፍቀድ።</v>
      </c>
      <c r="J135" s="11" t="str">
        <f>IFERROR(__xludf.DUMMYFUNCTION("GOOGLETRANSLATE(D135, ""en"", ""am"")"),"ከመቀጠልዎ በፊት ላሟ እንዲያርፍ እና እንዲጠጣ ይፍቀዱለት.")</f>
        <v>ከመቀጠልዎ በፊት ላሟ እንዲያርፍ እና እንዲጠጣ ይፍቀዱለት.</v>
      </c>
      <c r="K135" s="11" t="str">
        <f>IFERROR(__xludf.DUMMYFUNCTION("GOOGLETRANSLATE(E135, ""en"", ""am"")"),"እረፍት እና እርጥበት ለማገገም እና ጥንካሬን ለመጠበቅ አስፈላጊ ናቸው.")</f>
        <v>እረፍት እና እርጥበት ለማገገም እና ጥንካሬን ለመጠበቅ አስፈላጊ ናቸው.</v>
      </c>
    </row>
    <row r="136" ht="22.5" customHeight="1">
      <c r="A136" s="16">
        <v>135.0</v>
      </c>
      <c r="B136" s="16" t="s">
        <v>4615</v>
      </c>
      <c r="C136" s="16" t="s">
        <v>4616</v>
      </c>
      <c r="D136" s="16" t="s">
        <v>4617</v>
      </c>
      <c r="E136" s="16" t="s">
        <v>4618</v>
      </c>
      <c r="G136" s="11" t="str">
        <f>IFERROR(__xludf.DUMMYFUNCTION("GOOGLETRANSLATE(A136, ""en"", ""am"")"),"135")</f>
        <v>135</v>
      </c>
      <c r="H136" s="11" t="str">
        <f>IFERROR(__xludf.DUMMYFUNCTION("GOOGLETRANSLATE(B136, ""en"", ""am"")"),"ላሟ ብዙ ችግር ሳይገጥማት ዘልሎ ያርፋል። ሆኖም ግን, እንደገና ለመዝለል የሚያመነታ ይመስላል. ተቆጣጣሪው ምን ማድረግ አለበት?")</f>
        <v>ላሟ ብዙ ችግር ሳይገጥማት ዘልሎ ያርፋል። ሆኖም ግን, እንደገና ለመዝለል የሚያመነታ ይመስላል. ተቆጣጣሪው ምን ማድረግ አለበት?</v>
      </c>
      <c r="I136" s="11" t="str">
        <f>IFERROR(__xludf.DUMMYFUNCTION("GOOGLETRANSLATE(C136, ""en"", ""am"")"),"ሀ ላሙን በአዎንታዊ ማጠናከሪያ ያበረታቱ እና ትንሽ እረፍት ይፍቀዱ።
ለ. ላሟን ያለምንም ማመንታት እንደገና ለመዝለል ግፋ።
ሐ. የበለጠ አስደሳች ለማድረግ የመዝለልን ችግር ይጨምሩ።
መ. ላሟ አርፋ እና በተረጋጋ ሁኔታ ቆይተው እንደገና ይሞክሩ።")</f>
        <v>ሀ ላሙን በአዎንታዊ ማጠናከሪያ ያበረታቱ እና ትንሽ እረፍት ይፍቀዱ።
ለ. ላሟን ያለምንም ማመንታት እንደገና ለመዝለል ግፋ።
ሐ. የበለጠ አስደሳች ለማድረግ የመዝለልን ችግር ይጨምሩ።
መ. ላሟ አርፋ እና በተረጋጋ ሁኔታ ቆይተው እንደገና ይሞክሩ።</v>
      </c>
      <c r="J136" s="11" t="str">
        <f>IFERROR(__xludf.DUMMYFUNCTION("GOOGLETRANSLATE(D136, ""en"", ""am"")"),"ላሟን በአዎንታዊ ማጠናከሪያ ያበረታቱ እና ትንሽ እረፍት ይፍቀዱ.")</f>
        <v>ላሟን በአዎንታዊ ማጠናከሪያ ያበረታቱ እና ትንሽ እረፍት ይፍቀዱ.</v>
      </c>
      <c r="K136" s="11" t="str">
        <f>IFERROR(__xludf.DUMMYFUNCTION("GOOGLETRANSLATE(E136, ""en"", ""am"")"),"ማረጋጋት ማመንታትን ለማሸነፍ ይረዳል እና በራስ መተማመንን ያበረታታል።")</f>
        <v>ማረጋጋት ማመንታትን ለማሸነፍ ይረዳል እና በራስ መተማመንን ያበረታታል።</v>
      </c>
    </row>
    <row r="137" ht="22.5" customHeight="1">
      <c r="A137" s="16">
        <v>136.0</v>
      </c>
      <c r="B137" s="16" t="s">
        <v>4619</v>
      </c>
      <c r="C137" s="16" t="s">
        <v>4620</v>
      </c>
      <c r="D137" s="16" t="s">
        <v>4621</v>
      </c>
      <c r="E137" s="16" t="s">
        <v>4622</v>
      </c>
      <c r="G137" s="11" t="str">
        <f>IFERROR(__xludf.DUMMYFUNCTION("GOOGLETRANSLATE(A137, ""en"", ""am"")"),"136")</f>
        <v>136</v>
      </c>
      <c r="H137" s="11" t="str">
        <f>IFERROR(__xludf.DUMMYFUNCTION("GOOGLETRANSLATE(B137, ""en"", ""am"")"),"ላም ዝላይን ትፈጽማለች ነገር ግን በእያንዳንዱ ጊዜ በአቀራረቡ ላይ ወጥነት የለውም. ተቆጣጣሪው እንዴት መርዳት አለበት?")</f>
        <v>ላም ዝላይን ትፈጽማለች ነገር ግን በእያንዳንዱ ጊዜ በአቀራረቡ ላይ ወጥነት የለውም. ተቆጣጣሪው እንዴት መርዳት አለበት?</v>
      </c>
      <c r="I137" s="11" t="str">
        <f>IFERROR(__xludf.DUMMYFUNCTION("GOOGLETRANSLATE(C137, ""en"", ""am"")"),"ሀ. የላሟን አቀራረብ እና የመነሻ ዘዴን ደረጃውን የጠበቀ ስራ.
ለ. የላሟን ወጥነት ለመቃወም የዝላይዎችን ችግር ይጨምሩ።
ሐ. ላሟ እንዲያርፍ እና በኋላ ላይ ወጥነት ላይ እንዲያተኩር ይፍቀዱለት።
መ. የአቀራረብ ማስተካከያ ሳይኖር ላሟን ለመዝለል ይግፉት.")</f>
        <v>ሀ. የላሟን አቀራረብ እና የመነሻ ዘዴን ደረጃውን የጠበቀ ስራ.
ለ. የላሟን ወጥነት ለመቃወም የዝላይዎችን ችግር ይጨምሩ።
ሐ. ላሟ እንዲያርፍ እና በኋላ ላይ ወጥነት ላይ እንዲያተኩር ይፍቀዱለት።
መ. የአቀራረብ ማስተካከያ ሳይኖር ላሟን ለመዝለል ይግፉት.</v>
      </c>
      <c r="J137" s="11" t="str">
        <f>IFERROR(__xludf.DUMMYFUNCTION("GOOGLETRANSLATE(D137, ""en"", ""am"")"),"የላሟን አቀራረብ እና የመነሻ ዘዴን ደረጃውን የጠበቀ ስራ.")</f>
        <v>የላሟን አቀራረብ እና የመነሻ ዘዴን ደረጃውን የጠበቀ ስራ.</v>
      </c>
      <c r="K137" s="11" t="str">
        <f>IFERROR(__xludf.DUMMYFUNCTION("GOOGLETRANSLATE(E137, ""en"", ""am"")"),"በአቀራረብ ውስጥ ያለው ወጥነት ወደ አስተማማኝ አፈፃፀም ይመራል.")</f>
        <v>በአቀራረብ ውስጥ ያለው ወጥነት ወደ አስተማማኝ አፈፃፀም ይመራል.</v>
      </c>
    </row>
    <row r="138" ht="22.5" customHeight="1">
      <c r="A138" s="16">
        <v>137.0</v>
      </c>
      <c r="B138" s="16" t="s">
        <v>4623</v>
      </c>
      <c r="C138" s="16" t="s">
        <v>4624</v>
      </c>
      <c r="D138" s="16" t="s">
        <v>4625</v>
      </c>
      <c r="E138" s="16" t="s">
        <v>4626</v>
      </c>
      <c r="G138" s="11" t="str">
        <f>IFERROR(__xludf.DUMMYFUNCTION("GOOGLETRANSLATE(A138, ""en"", ""am"")"),"137")</f>
        <v>137</v>
      </c>
      <c r="H138" s="11" t="str">
        <f>IFERROR(__xludf.DUMMYFUNCTION("GOOGLETRANSLATE(B138, ""en"", ""am"")"),"ላሟ ዝላይን ታጸዳለች ነገር ግን በአስቸጋሪ ሁኔታ አረፈች ፣ ይህም የምቾት ምልክቶችን ያሳያል ። ተቆጣጣሪው ምን ምላሽ መስጠት አለበት?")</f>
        <v>ላሟ ዝላይን ታጸዳለች ነገር ግን በአስቸጋሪ ሁኔታ አረፈች ፣ ይህም የምቾት ምልክቶችን ያሳያል ። ተቆጣጣሪው ምን ምላሽ መስጠት አለበት?</v>
      </c>
      <c r="I138" s="11" t="str">
        <f>IFERROR(__xludf.DUMMYFUNCTION("GOOGLETRANSLATE(C138, ""en"", ""am"")"),"ሀ. ምቾትን ለመቀነስ የማረፊያ ዘዴን በማሻሻል ላይ ያተኩሩ.
ለ. ላሟን የበለጠ ለመቃወም የዝላይን ችግር ይጨምሩ።
ሐ. ምንም እንኳን ምቾት ቢሰማትም ላሟን እንደገና ለመዝለል ይግፉት።
መ. ላሟ እንዲያርፍ እና ከማገገም በኋላ ወደ ስልጠና ይምጡ.")</f>
        <v>ሀ. ምቾትን ለመቀነስ የማረፊያ ዘዴን በማሻሻል ላይ ያተኩሩ.
ለ. ላሟን የበለጠ ለመቃወም የዝላይን ችግር ይጨምሩ።
ሐ. ምንም እንኳን ምቾት ቢሰማትም ላሟን እንደገና ለመዝለል ይግፉት።
መ. ላሟ እንዲያርፍ እና ከማገገም በኋላ ወደ ስልጠና ይምጡ.</v>
      </c>
      <c r="J138" s="11" t="str">
        <f>IFERROR(__xludf.DUMMYFUNCTION("GOOGLETRANSLATE(D138, ""en"", ""am"")"),"ምቾትን ለመቀነስ የማረፊያ ዘዴን በማሻሻል ላይ ያተኩሩ.")</f>
        <v>ምቾትን ለመቀነስ የማረፊያ ዘዴን በማሻሻል ላይ ያተኩሩ.</v>
      </c>
      <c r="K138" s="11" t="str">
        <f>IFERROR(__xludf.DUMMYFUNCTION("GOOGLETRANSLATE(E138, ""en"", ""am"")"),"ትክክለኛው የማረፊያ ዘዴ ምቾትን እና ጉዳትን ለመከላከል ይረዳል.")</f>
        <v>ትክክለኛው የማረፊያ ዘዴ ምቾትን እና ጉዳትን ለመከላከል ይረዳል.</v>
      </c>
    </row>
    <row r="139" ht="22.5" customHeight="1">
      <c r="A139" s="16">
        <v>138.0</v>
      </c>
      <c r="B139" s="16" t="s">
        <v>4627</v>
      </c>
      <c r="C139" s="16" t="s">
        <v>4628</v>
      </c>
      <c r="D139" s="16" t="s">
        <v>4522</v>
      </c>
      <c r="E139" s="16" t="s">
        <v>4629</v>
      </c>
      <c r="G139" s="11" t="str">
        <f>IFERROR(__xludf.DUMMYFUNCTION("GOOGLETRANSLATE(A139, ""en"", ""am"")"),"138")</f>
        <v>138</v>
      </c>
      <c r="H139" s="11" t="str">
        <f>IFERROR(__xludf.DUMMYFUNCTION("GOOGLETRANSLATE(B139, ""en"", ""am"")"),"ላሟ ዝላይን ታጸዳለች ግን የተዳከመች ትመስላለች። ተቆጣጣሪው እንዴት መቀጠል አለበት?")</f>
        <v>ላሟ ዝላይን ታጸዳለች ግን የተዳከመች ትመስላለች። ተቆጣጣሪው እንዴት መቀጠል አለበት?</v>
      </c>
      <c r="I139" s="11" t="str">
        <f>IFERROR(__xludf.DUMMYFUNCTION("GOOGLETRANSLATE(C139, ""en"", ""am"")"),"ሀ. ከመቀጠልዎ በፊት ላሟ እንዲያርፍ እና እንዲጠጣ ይፍቀዱለት።
ለ. ጥንካሬን ለመገንባት ጥቂት ተጨማሪ መዝለሎችን ለማጠናቀቅ ላሟን ግፋ።
ሐ. የላሟን ጽናት ለመቃወም የመዝለል ችግርን ይጨምሩ።
መ. ላሟን ረዘም ያለ እረፍት ስጡ እና በኋላ ስልጠናውን ይቀጥሉ.")</f>
        <v>ሀ. ከመቀጠልዎ በፊት ላሟ እንዲያርፍ እና እንዲጠጣ ይፍቀዱለት።
ለ. ጥንካሬን ለመገንባት ጥቂት ተጨማሪ መዝለሎችን ለማጠናቀቅ ላሟን ግፋ።
ሐ. የላሟን ጽናት ለመቃወም የመዝለል ችግርን ይጨምሩ።
መ. ላሟን ረዘም ያለ እረፍት ስጡ እና በኋላ ስልጠናውን ይቀጥሉ.</v>
      </c>
      <c r="J139" s="11" t="str">
        <f>IFERROR(__xludf.DUMMYFUNCTION("GOOGLETRANSLATE(D139, ""en"", ""am"")"),"ከመቀጠልዎ በፊት ላሟ እንዲያርፍ እና እንዲጠጣ ይፍቀዱለት.")</f>
        <v>ከመቀጠልዎ በፊት ላሟ እንዲያርፍ እና እንዲጠጣ ይፍቀዱለት.</v>
      </c>
      <c r="K139" s="11" t="str">
        <f>IFERROR(__xludf.DUMMYFUNCTION("GOOGLETRANSLATE(E139, ""en"", ""am"")"),"ለማገገም እና ለቀጣይ መዝለሎች ለመዘጋጀት እረፍት አስፈላጊ ነው.")</f>
        <v>ለማገገም እና ለቀጣይ መዝለሎች ለመዘጋጀት እረፍት አስፈላጊ ነው.</v>
      </c>
    </row>
    <row r="140" ht="22.5" customHeight="1">
      <c r="A140" s="16">
        <v>139.0</v>
      </c>
      <c r="B140" s="16" t="s">
        <v>4630</v>
      </c>
      <c r="C140" s="16" t="s">
        <v>4631</v>
      </c>
      <c r="D140" s="16" t="s">
        <v>4632</v>
      </c>
      <c r="E140" s="16" t="s">
        <v>4633</v>
      </c>
      <c r="G140" s="11" t="str">
        <f>IFERROR(__xludf.DUMMYFUNCTION("GOOGLETRANSLATE(A140, ""en"", ""am"")"),"139")</f>
        <v>139</v>
      </c>
      <c r="H140" s="11" t="str">
        <f>IFERROR(__xludf.DUMMYFUNCTION("GOOGLETRANSLATE(B140, ""en"", ""am"")"),"ላሟ ለመዝለል ሞክራለች ግን በግማሽ መንገድ ታመነታለች። ተቆጣጣሪው ምን ማድረግ አለበት?")</f>
        <v>ላሟ ለመዝለል ሞክራለች ግን በግማሽ መንገድ ታመነታለች። ተቆጣጣሪው ምን ማድረግ አለበት?</v>
      </c>
      <c r="I140" s="11" t="str">
        <f>IFERROR(__xludf.DUMMYFUNCTION("GOOGLETRANSLATE(C140, ""en"", ""am"")"),"ሀ. ላሟ በእርጋታ መዝለሉን እንድታጠናቅቅ አበረታቷት።
ለ. ላሟ ወዲያውኑ እንደገና ለመዝለል ግፋ።
ሐ. የተሳካ ዝላይን ለማስገደድ የዝላይን ከፍታ ይጨምሩ።
መ. ላሟ እንዲያርፍ ፍቀድ እና ቆይተው እንደገና ይሞክሩ።")</f>
        <v>ሀ. ላሟ በእርጋታ መዝለሉን እንድታጠናቅቅ አበረታቷት።
ለ. ላሟ ወዲያውኑ እንደገና ለመዝለል ግፋ።
ሐ. የተሳካ ዝላይን ለማስገደድ የዝላይን ከፍታ ይጨምሩ።
መ. ላሟ እንዲያርፍ ፍቀድ እና ቆይተው እንደገና ይሞክሩ።</v>
      </c>
      <c r="J140" s="11" t="str">
        <f>IFERROR(__xludf.DUMMYFUNCTION("GOOGLETRANSLATE(D140, ""en"", ""am"")"),"ላሟ በእርጋታ መዝለሉን እንዲጨርስ አበረታቷት።")</f>
        <v>ላሟ በእርጋታ መዝለሉን እንዲጨርስ አበረታቷት።</v>
      </c>
      <c r="K140" s="11" t="str">
        <f>IFERROR(__xludf.DUMMYFUNCTION("GOOGLETRANSLATE(E140, ""en"", ""am"")"),"ረጋ ያለ ማበረታታት ማመንታትን ለማሸነፍ ይረዳል እና በራስ መተማመንን ይደግፋል።")</f>
        <v>ረጋ ያለ ማበረታታት ማመንታትን ለማሸነፍ ይረዳል እና በራስ መተማመንን ይደግፋል።</v>
      </c>
    </row>
    <row r="141" ht="22.5" customHeight="1">
      <c r="A141" s="16">
        <v>140.0</v>
      </c>
      <c r="B141" s="16" t="s">
        <v>4634</v>
      </c>
      <c r="C141" s="16" t="s">
        <v>4635</v>
      </c>
      <c r="D141" s="16" t="s">
        <v>4636</v>
      </c>
      <c r="E141" s="16" t="s">
        <v>4637</v>
      </c>
      <c r="G141" s="11" t="str">
        <f>IFERROR(__xludf.DUMMYFUNCTION("GOOGLETRANSLATE(A141, ""en"", ""am"")"),"140")</f>
        <v>140</v>
      </c>
      <c r="H141" s="11" t="str">
        <f>IFERROR(__xludf.DUMMYFUNCTION("GOOGLETRANSLATE(B141, ""en"", ""am"")"),"ላሟ ዝላይን ታጸዳለች ነገር ግን በቀጥታ አያርፍም። ተቆጣጣሪው እንዴት ሊረዳ ይችላል?")</f>
        <v>ላሟ ዝላይን ታጸዳለች ነገር ግን በቀጥታ አያርፍም። ተቆጣጣሪው እንዴት ሊረዳ ይችላል?</v>
      </c>
      <c r="I141" s="11" t="str">
        <f>IFERROR(__xludf.DUMMYFUNCTION("GOOGLETRANSLATE(C141, ""en"", ""am"")"),"ሀ. ላሟን በተገቢው ቴክኒክ በእኩልነት ወደ መሬት ምራ።
ለ. የበለጠ ፈታኝ እንዲሆን የዝላይን ቁመት ይጨምሩ።
ሐ. ዝላይውን ወዲያውኑ ለመድገም ላሟን ይግፉት።
መ. ላሟ እንዲያርፍ ፍቀድ እና ቆይተው እንደገና ይሞክሩ።")</f>
        <v>ሀ. ላሟን በተገቢው ቴክኒክ በእኩልነት ወደ መሬት ምራ።
ለ. የበለጠ ፈታኝ እንዲሆን የዝላይን ቁመት ይጨምሩ።
ሐ. ዝላይውን ወዲያውኑ ለመድገም ላሟን ይግፉት።
መ. ላሟ እንዲያርፍ ፍቀድ እና ቆይተው እንደገና ይሞክሩ።</v>
      </c>
      <c r="J141" s="11" t="str">
        <f>IFERROR(__xludf.DUMMYFUNCTION("GOOGLETRANSLATE(D141, ""en"", ""am"")"),"በተገቢው ቴክኒክ ላም በእኩልነት እንዲወርድ ምራው።")</f>
        <v>በተገቢው ቴክኒክ ላም በእኩልነት እንዲወርድ ምራው።</v>
      </c>
      <c r="K141" s="11" t="str">
        <f>IFERROR(__xludf.DUMMYFUNCTION("GOOGLETRANSLATE(E141, ""en"", ""am"")"),"ትክክለኛው የማረፊያ ዘዴ የላም ሚዛንን ያሻሽላል እና ውጥረትን ይቀንሳል።")</f>
        <v>ትክክለኛው የማረፊያ ዘዴ የላም ሚዛንን ያሻሽላል እና ውጥረትን ይቀንሳል።</v>
      </c>
    </row>
    <row r="142" ht="22.5" customHeight="1">
      <c r="A142" s="16">
        <v>141.0</v>
      </c>
      <c r="B142" s="16" t="s">
        <v>4638</v>
      </c>
      <c r="C142" s="16" t="s">
        <v>4639</v>
      </c>
      <c r="D142" s="16" t="s">
        <v>4640</v>
      </c>
      <c r="E142" s="16" t="s">
        <v>4641</v>
      </c>
      <c r="G142" s="11" t="str">
        <f>IFERROR(__xludf.DUMMYFUNCTION("GOOGLETRANSLATE(A142, ""en"", ""am"")"),"141")</f>
        <v>141</v>
      </c>
      <c r="H142" s="11" t="str">
        <f>IFERROR(__xludf.DUMMYFUNCTION("GOOGLETRANSLATE(B142, ""en"", ""am"")"),"ላሟ ትዘልላለች ነገር ግን መጀመሪያ በጀርባዋ እግሯ ታርፍ። ተቆጣጣሪው ይህንን እንዴት መፍታት አለበት?")</f>
        <v>ላሟ ትዘልላለች ነገር ግን መጀመሪያ በጀርባዋ እግሯ ታርፍ። ተቆጣጣሪው ይህንን እንዴት መፍታት አለበት?</v>
      </c>
      <c r="I142" s="11" t="str">
        <f>IFERROR(__xludf.DUMMYFUNCTION("GOOGLETRANSLATE(C142, ""en"", ""am"")"),"ሀ. ላሟ በአንድ ጊዜ በአራቱም እግሮች እንድትወርድ አስተምራቸው።
ለ. ላሟን የበለጠ ለመቃወም የዝላይን ከፍታ ይጨምሩ።
ሐ. ዝላይውን ወዲያውኑ ለመድገም ላሟን ይግፉት።
መ. ላሟ አርፋ እና ቴክኒክ ላይ በማተኮር እንደገና ሞክር።")</f>
        <v>ሀ. ላሟ በአንድ ጊዜ በአራቱም እግሮች እንድትወርድ አስተምራቸው።
ለ. ላሟን የበለጠ ለመቃወም የዝላይን ከፍታ ይጨምሩ።
ሐ. ዝላይውን ወዲያውኑ ለመድገም ላሟን ይግፉት።
መ. ላሟ አርፋ እና ቴክኒክ ላይ በማተኮር እንደገና ሞክር።</v>
      </c>
      <c r="J142" s="11" t="str">
        <f>IFERROR(__xludf.DUMMYFUNCTION("GOOGLETRANSLATE(D142, ""en"", ""am"")"),"ላም በአራቱም እግሮች በአንድ ጊዜ እንዲያርፍ አስተምሯቸው።")</f>
        <v>ላም በአራቱም እግሮች በአንድ ጊዜ እንዲያርፍ አስተምሯቸው።</v>
      </c>
      <c r="K142" s="11" t="str">
        <f>IFERROR(__xludf.DUMMYFUNCTION("GOOGLETRANSLATE(E142, ""en"", ""am"")"),"ጉዳትን ለማስወገድ ሚዛናዊ ማረፊያ ወሳኝ ነው.")</f>
        <v>ጉዳትን ለማስወገድ ሚዛናዊ ማረፊያ ወሳኝ ነው.</v>
      </c>
    </row>
    <row r="143" ht="22.5" customHeight="1">
      <c r="A143" s="16">
        <v>142.0</v>
      </c>
      <c r="B143" s="16" t="s">
        <v>4642</v>
      </c>
      <c r="C143" s="16" t="s">
        <v>4643</v>
      </c>
      <c r="D143" s="16" t="s">
        <v>4644</v>
      </c>
      <c r="E143" s="16" t="s">
        <v>4645</v>
      </c>
      <c r="G143" s="11" t="str">
        <f>IFERROR(__xludf.DUMMYFUNCTION("GOOGLETRANSLATE(A143, ""en"", ""am"")"),"142")</f>
        <v>142</v>
      </c>
      <c r="H143" s="11" t="str">
        <f>IFERROR(__xludf.DUMMYFUNCTION("GOOGLETRANSLATE(B143, ""en"", ""am"")"),"ላም ከመዝለሉ በፊት የድካም ምልክቶች ይታያል. ተቆጣጣሪው ምን ማድረግ አለበት?")</f>
        <v>ላም ከመዝለሉ በፊት የድካም ምልክቶች ይታያል. ተቆጣጣሪው ምን ማድረግ አለበት?</v>
      </c>
      <c r="I143" s="11" t="str">
        <f>IFERROR(__xludf.DUMMYFUNCTION("GOOGLETRANSLATE(C143, ""en"", ""am"")"),"ሀ. ላሟ እንደገና ከመሞከርዎ በፊት እንዲያርፍ እና እንዲያገግም ይፍቀዱለት።
ለ. ላሟ ድካም ምንም ይሁን ምን ዝላይውን ለማጠናቀቅ ግፋ።
ሐ. ጽናትን ለመቃወም የዝላይን አስቸጋሪነት ይጨምሩ።
መ. ጥንካሬን ለመገንባት ላሟን እንድትዘል ያስገድድ.")</f>
        <v>ሀ. ላሟ እንደገና ከመሞከርዎ በፊት እንዲያርፍ እና እንዲያገግም ይፍቀዱለት።
ለ. ላሟ ድካም ምንም ይሁን ምን ዝላይውን ለማጠናቀቅ ግፋ።
ሐ. ጽናትን ለመቃወም የዝላይን አስቸጋሪነት ይጨምሩ።
መ. ጥንካሬን ለመገንባት ላሟን እንድትዘል ያስገድድ.</v>
      </c>
      <c r="J143" s="11" t="str">
        <f>IFERROR(__xludf.DUMMYFUNCTION("GOOGLETRANSLATE(D143, ""en"", ""am"")"),"እንደገና ከመሞከርዎ በፊት ላሟ እንዲያርፍ እና እንዲያገግም ይፍቀዱለት።")</f>
        <v>እንደገና ከመሞከርዎ በፊት ላሟ እንዲያርፍ እና እንዲያገግም ይፍቀዱለት።</v>
      </c>
      <c r="K143" s="11" t="str">
        <f>IFERROR(__xludf.DUMMYFUNCTION("GOOGLETRANSLATE(E143, ""en"", ""am"")"),"እረፍት ላም ለማገገም እና ጭንቀትን ለማስወገድ አስፈላጊ ነው.")</f>
        <v>እረፍት ላም ለማገገም እና ጭንቀትን ለማስወገድ አስፈላጊ ነው.</v>
      </c>
    </row>
    <row r="144" ht="22.5" customHeight="1">
      <c r="A144" s="16">
        <v>143.0</v>
      </c>
      <c r="B144" s="16" t="s">
        <v>4646</v>
      </c>
      <c r="C144" s="16" t="s">
        <v>4647</v>
      </c>
      <c r="D144" s="16" t="s">
        <v>4648</v>
      </c>
      <c r="E144" s="16" t="s">
        <v>4649</v>
      </c>
      <c r="G144" s="11" t="str">
        <f>IFERROR(__xludf.DUMMYFUNCTION("GOOGLETRANSLATE(A144, ""en"", ""am"")"),"143")</f>
        <v>143</v>
      </c>
      <c r="H144" s="11" t="str">
        <f>IFERROR(__xludf.DUMMYFUNCTION("GOOGLETRANSLATE(B144, ""en"", ""am"")"),"ላሟ በተሳካ ሁኔታ ዝላይን ጨርሳለች ነገር ግን ትኩረቷ የተከፋፈለ ይመስላል። ተቆጣጣሪው ቀጥሎ ምን ማድረግ አለበት?")</f>
        <v>ላሟ በተሳካ ሁኔታ ዝላይን ጨርሳለች ነገር ግን ትኩረቷ የተከፋፈለ ይመስላል። ተቆጣጣሪው ቀጥሎ ምን ማድረግ አለበት?</v>
      </c>
      <c r="I144" s="11" t="str">
        <f>IFERROR(__xludf.DUMMYFUNCTION("GOOGLETRANSLATE(C144, ""en"", ""am"")"),"ሀ. ላሟን እንደገና አተኩር እና አካባቢው የተረጋጋ መሆኑን ያረጋግጡ።
ለ. ትኩረትን ለመመለስ የዝላይን ቁመት ይጨምሩ።
ሐ. ትኩረትን ለመመለስ ላሟን እንደገና ለመዝለል ይግፉት።
መ. በሚቀጥለው ዝላይ ላይ ከማተኮርዎ በፊት ላሟ ያርፍ።")</f>
        <v>ሀ. ላሟን እንደገና አተኩር እና አካባቢው የተረጋጋ መሆኑን ያረጋግጡ።
ለ. ትኩረትን ለመመለስ የዝላይን ቁመት ይጨምሩ።
ሐ. ትኩረትን ለመመለስ ላሟን እንደገና ለመዝለል ይግፉት።
መ. በሚቀጥለው ዝላይ ላይ ከማተኮርዎ በፊት ላሟ ያርፍ።</v>
      </c>
      <c r="J144" s="11" t="str">
        <f>IFERROR(__xludf.DUMMYFUNCTION("GOOGLETRANSLATE(D144, ""en"", ""am"")"),"ላሟን እንደገና አተኩር እና አካባቢው የተረጋጋ መሆኑን ያረጋግጡ.")</f>
        <v>ላሟን እንደገና አተኩር እና አካባቢው የተረጋጋ መሆኑን ያረጋግጡ.</v>
      </c>
      <c r="K144" s="11" t="str">
        <f>IFERROR(__xludf.DUMMYFUNCTION("GOOGLETRANSLATE(E144, ""en"", ""am"")"),"የተረጋጋ አካባቢ ላም በትኩረት እንድትቆይ ይረዳታል።")</f>
        <v>የተረጋጋ አካባቢ ላም በትኩረት እንድትቆይ ይረዳታል።</v>
      </c>
    </row>
    <row r="145" ht="22.5" customHeight="1">
      <c r="A145" s="16">
        <v>144.0</v>
      </c>
      <c r="B145" s="16" t="s">
        <v>4650</v>
      </c>
      <c r="C145" s="16" t="s">
        <v>4651</v>
      </c>
      <c r="D145" s="16" t="s">
        <v>4652</v>
      </c>
      <c r="E145" s="16" t="s">
        <v>4653</v>
      </c>
      <c r="G145" s="11" t="str">
        <f>IFERROR(__xludf.DUMMYFUNCTION("GOOGLETRANSLATE(A145, ""en"", ""am"")"),"144")</f>
        <v>144</v>
      </c>
      <c r="H145" s="11" t="str">
        <f>IFERROR(__xludf.DUMMYFUNCTION("GOOGLETRANSLATE(B145, ""en"", ""am"")"),"ላም ዝላይውን ታጸዳለች ነገር ግን ስለሚቀጥለው ደረጃ እርግጠኛ አይመስልም. ተቆጣጣሪው እንዴት መርዳት አለበት?")</f>
        <v>ላም ዝላይውን ታጸዳለች ነገር ግን ስለሚቀጥለው ደረጃ እርግጠኛ አይመስልም. ተቆጣጣሪው እንዴት መርዳት አለበት?</v>
      </c>
      <c r="I145" s="11" t="str">
        <f>IFERROR(__xludf.DUMMYFUNCTION("GOOGLETRANSLATE(C145, ""en"", ""am"")"),"ሀ. ላሟን በልበ ሙሉነት ምራው እና ከሚቀጥለው ዝላይ በፊት አረጋጋው።
ለ. ላሟን የበለጠ ለመቃወም የመዝለል ችግርን ይጨምሩ።
ሐ. ላሟን ያለምንም ማረጋጋት ወዲያውኑ እንደገና ለመዝለል ይግፉት።
መ. ላሟ አርፋ እና የበለጠ በራስ በመተማመን ቆይተው እንደገና ይሞክሩ።")</f>
        <v>ሀ. ላሟን በልበ ሙሉነት ምራው እና ከሚቀጥለው ዝላይ በፊት አረጋጋው።
ለ. ላሟን የበለጠ ለመቃወም የመዝለል ችግርን ይጨምሩ።
ሐ. ላሟን ያለምንም ማረጋጋት ወዲያውኑ እንደገና ለመዝለል ይግፉት።
መ. ላሟ አርፋ እና የበለጠ በራስ በመተማመን ቆይተው እንደገና ይሞክሩ።</v>
      </c>
      <c r="J145" s="11" t="str">
        <f>IFERROR(__xludf.DUMMYFUNCTION("GOOGLETRANSLATE(D145, ""en"", ""am"")"),"ላሟን በልበ ሙሉነት ምራው እና ከሚቀጥለው ዝላይ በፊት አረጋጋው።")</f>
        <v>ላሟን በልበ ሙሉነት ምራው እና ከሚቀጥለው ዝላይ በፊት አረጋጋው።</v>
      </c>
      <c r="K145" s="11" t="str">
        <f>IFERROR(__xludf.DUMMYFUNCTION("GOOGLETRANSLATE(E145, ""en"", ""am"")"),"በራስ መተማመንን የሚገነባ መመሪያ አፈፃፀሙን ለማሻሻል ይረዳል.")</f>
        <v>በራስ መተማመንን የሚገነባ መመሪያ አፈፃፀሙን ለማሻሻል ይረዳል.</v>
      </c>
    </row>
    <row r="146" ht="22.5" customHeight="1">
      <c r="A146" s="16">
        <v>145.0</v>
      </c>
      <c r="B146" s="16" t="s">
        <v>4654</v>
      </c>
      <c r="C146" s="16" t="s">
        <v>4655</v>
      </c>
      <c r="D146" s="16" t="s">
        <v>4656</v>
      </c>
      <c r="E146" s="16" t="s">
        <v>4657</v>
      </c>
      <c r="G146" s="11" t="str">
        <f>IFERROR(__xludf.DUMMYFUNCTION("GOOGLETRANSLATE(A146, ""en"", ""am"")"),"145")</f>
        <v>145</v>
      </c>
      <c r="H146" s="11" t="str">
        <f>IFERROR(__xludf.DUMMYFUNCTION("GOOGLETRANSLATE(B146, ""en"", ""am"")"),"ላም ዝላይን ታጸዳለች ነገር ግን የመመቻቸት ምልክቶችን ያሳያል. ምን መደረግ አለበት?")</f>
        <v>ላም ዝላይን ታጸዳለች ነገር ግን የመመቻቸት ምልክቶችን ያሳያል. ምን መደረግ አለበት?</v>
      </c>
      <c r="I146" s="11" t="str">
        <f>IFERROR(__xludf.DUMMYFUNCTION("GOOGLETRANSLATE(C146, ""en"", ""am"")"),"ሀ. ምቾትን ለማስወገድ የላም ማረፊያ ዘዴን በማሻሻል ላይ ያተኩሩ.
ለ. ላሟ እንዲላመድ ለመርዳት የመዝለል ችግርን ይጨምሩ።
ሐ. ምንም እንኳን ምቾት ቢያጋጥማትም ሌላ ዝላይ ለማድረግ ላሟን ግፋ።
መ. ላሟ እንዲያርፍ ፍቀድ እና በኋላ ወደ ዝላይው ይመለሱ.")</f>
        <v>ሀ. ምቾትን ለማስወገድ የላም ማረፊያ ዘዴን በማሻሻል ላይ ያተኩሩ.
ለ. ላሟ እንዲላመድ ለመርዳት የመዝለል ችግርን ይጨምሩ።
ሐ. ምንም እንኳን ምቾት ቢያጋጥማትም ሌላ ዝላይ ለማድረግ ላሟን ግፋ።
መ. ላሟ እንዲያርፍ ፍቀድ እና በኋላ ወደ ዝላይው ይመለሱ.</v>
      </c>
      <c r="J146" s="11" t="str">
        <f>IFERROR(__xludf.DUMMYFUNCTION("GOOGLETRANSLATE(D146, ""en"", ""am"")"),"ምቾትን ለማስወገድ የላም ማረፊያ ዘዴን በማሻሻል ላይ ያተኩሩ.")</f>
        <v>ምቾትን ለማስወገድ የላም ማረፊያ ዘዴን በማሻሻል ላይ ያተኩሩ.</v>
      </c>
      <c r="K146" s="11" t="str">
        <f>IFERROR(__xludf.DUMMYFUNCTION("GOOGLETRANSLATE(E146, ""en"", ""am"")"),"የተሻሻሉ የማረፊያ ዘዴዎች የመመቻቸት አደጋን ለመቀነስ ይረዳሉ.")</f>
        <v>የተሻሻሉ የማረፊያ ዘዴዎች የመመቻቸት አደጋን ለመቀነስ ይረዳሉ.</v>
      </c>
    </row>
    <row r="147" ht="22.5" customHeight="1">
      <c r="A147" s="16">
        <v>146.0</v>
      </c>
      <c r="B147" s="16" t="s">
        <v>4658</v>
      </c>
      <c r="C147" s="16" t="s">
        <v>4659</v>
      </c>
      <c r="D147" s="16" t="s">
        <v>4660</v>
      </c>
      <c r="E147" s="16" t="s">
        <v>4661</v>
      </c>
      <c r="G147" s="11" t="str">
        <f>IFERROR(__xludf.DUMMYFUNCTION("GOOGLETRANSLATE(A147, ""en"", ""am"")"),"146")</f>
        <v>146</v>
      </c>
      <c r="H147" s="11" t="str">
        <f>IFERROR(__xludf.DUMMYFUNCTION("GOOGLETRANSLATE(B147, ""en"", ""am"")"),"ላሟ መዝለሉን በተሳካ ሁኔታ ያጠናቅቃል ነገር ግን ትኩረቱ የተከፋፈለ ይመስላል። ተቆጣጣሪው ምን ማድረግ አለበት?")</f>
        <v>ላሟ መዝለሉን በተሳካ ሁኔታ ያጠናቅቃል ነገር ግን ትኩረቱ የተከፋፈለ ይመስላል። ተቆጣጣሪው ምን ማድረግ አለበት?</v>
      </c>
      <c r="I147" s="11" t="str">
        <f>IFERROR(__xludf.DUMMYFUNCTION("GOOGLETRANSLATE(C147, ""en"", ""am"")"),"ሀ. በዙሪያው የሚረብሹ ነገሮችን በመቀነስ የላሟን ትኩረት እንደገና ማቋቋም።
ለ. የላሟን ትኩረት ለመመለስ የዝላይን ችግር ይጨምሩ።
ሐ. ትኩረትን እንደገና ሳታደርጉ ላሟን እንደገና ለመዝለል ይግፉት።
መ. ላሟ እንዲያርፍ ፍቀድ እና በተረጋጋ ሁኔታ ቆይተው እንደገና ይሞክሩ።")</f>
        <v>ሀ. በዙሪያው የሚረብሹ ነገሮችን በመቀነስ የላሟን ትኩረት እንደገና ማቋቋም።
ለ. የላሟን ትኩረት ለመመለስ የዝላይን ችግር ይጨምሩ።
ሐ. ትኩረትን እንደገና ሳታደርጉ ላሟን እንደገና ለመዝለል ይግፉት።
መ. ላሟ እንዲያርፍ ፍቀድ እና በተረጋጋ ሁኔታ ቆይተው እንደገና ይሞክሩ።</v>
      </c>
      <c r="J147" s="11" t="str">
        <f>IFERROR(__xludf.DUMMYFUNCTION("GOOGLETRANSLATE(D147, ""en"", ""am"")"),"በዙሪያው የሚረብሹ ነገሮችን በመቀነስ የላሟን ትኩረት እንደገና ማቋቋም።")</f>
        <v>በዙሪያው የሚረብሹ ነገሮችን በመቀነስ የላሟን ትኩረት እንደገና ማቋቋም።</v>
      </c>
      <c r="K147" s="11" t="str">
        <f>IFERROR(__xludf.DUMMYFUNCTION("GOOGLETRANSLATE(E147, ""en"", ""am"")"),"ትኩረትን የሚከፋፍሉ ነገሮችን መቀነስ የተሻለ ትኩረት እና አፈጻጸምን ያረጋግጣል።")</f>
        <v>ትኩረትን የሚከፋፍሉ ነገሮችን መቀነስ የተሻለ ትኩረት እና አፈጻጸምን ያረጋግጣል።</v>
      </c>
    </row>
    <row r="148" ht="22.5" customHeight="1">
      <c r="A148" s="16">
        <v>147.0</v>
      </c>
      <c r="B148" s="16" t="s">
        <v>4662</v>
      </c>
      <c r="C148" s="16" t="s">
        <v>4663</v>
      </c>
      <c r="D148" s="16" t="s">
        <v>4664</v>
      </c>
      <c r="E148" s="16" t="s">
        <v>4665</v>
      </c>
      <c r="G148" s="11" t="str">
        <f>IFERROR(__xludf.DUMMYFUNCTION("GOOGLETRANSLATE(A148, ""en"", ""am"")"),"147")</f>
        <v>147</v>
      </c>
      <c r="H148" s="11" t="str">
        <f>IFERROR(__xludf.DUMMYFUNCTION("GOOGLETRANSLATE(B148, ""en"", ""am"")"),"ላም ቢዘል ግን በቂ ጉልበት ያለው አይመስልም። ተቆጣጣሪው ምን ማድረግ አለበት?")</f>
        <v>ላም ቢዘል ግን በቂ ጉልበት ያለው አይመስልም። ተቆጣጣሪው ምን ማድረግ አለበት?</v>
      </c>
      <c r="I148" s="11" t="str">
        <f>IFERROR(__xludf.DUMMYFUNCTION("GOOGLETRANSLATE(C148, ""en"", ""am"")"),"ሀ. ከመቀጠልዎ በፊት ላሟ እንዲያርፍ ይፍቀዱ እና የተወሰነ እርጥበት ይስጡት።
ለ. ጽናትን ለመገንባት ጥቂት ተጨማሪ መዝለሎችን ለማጠናቀቅ ላሟን ግፋ።
ሐ. የላሟን ጥንካሬ ለመቃወም የመዝለል ችግርን ይጨምሩ።
መ. ላም አርፋ እና በመጀመሪያ በሃይል ማገገሚያ ላይ አተኩር።")</f>
        <v>ሀ. ከመቀጠልዎ በፊት ላሟ እንዲያርፍ ይፍቀዱ እና የተወሰነ እርጥበት ይስጡት።
ለ. ጽናትን ለመገንባት ጥቂት ተጨማሪ መዝለሎችን ለማጠናቀቅ ላሟን ግፋ።
ሐ. የላሟን ጥንካሬ ለመቃወም የመዝለል ችግርን ይጨምሩ።
መ. ላም አርፋ እና በመጀመሪያ በሃይል ማገገሚያ ላይ አተኩር።</v>
      </c>
      <c r="J148" s="11" t="str">
        <f>IFERROR(__xludf.DUMMYFUNCTION("GOOGLETRANSLATE(D148, ""en"", ""am"")"),"ከመቀጠልዎ በፊት ላሟ እንዲያርፍ እና የተወሰነ እርጥበት እንዲሰጥ ይፍቀዱለት.")</f>
        <v>ከመቀጠልዎ በፊት ላሟ እንዲያርፍ እና የተወሰነ እርጥበት እንዲሰጥ ይፍቀዱለት.</v>
      </c>
      <c r="K148" s="11" t="str">
        <f>IFERROR(__xludf.DUMMYFUNCTION("GOOGLETRANSLATE(E148, ""en"", ""am"")"),"እረፍት እና እርጥበት ጉልበትን እና አፈፃፀምን ለመጠበቅ ቁልፍ ናቸው.")</f>
        <v>እረፍት እና እርጥበት ጉልበትን እና አፈፃፀምን ለመጠበቅ ቁልፍ ናቸው.</v>
      </c>
    </row>
    <row r="149" ht="22.5" customHeight="1">
      <c r="A149" s="16">
        <v>148.0</v>
      </c>
      <c r="B149" s="16" t="s">
        <v>4666</v>
      </c>
      <c r="C149" s="16" t="s">
        <v>4667</v>
      </c>
      <c r="D149" s="16" t="s">
        <v>4668</v>
      </c>
      <c r="E149" s="16" t="s">
        <v>4669</v>
      </c>
      <c r="G149" s="11" t="str">
        <f>IFERROR(__xludf.DUMMYFUNCTION("GOOGLETRANSLATE(A149, ""en"", ""am"")"),"148")</f>
        <v>148</v>
      </c>
      <c r="H149" s="11" t="str">
        <f>IFERROR(__xludf.DUMMYFUNCTION("GOOGLETRANSLATE(B149, ""en"", ""am"")"),"ላም ከመዝለሏ በፊት ያመነታል, ከዚያም በቀላሉ ያጸዳዋል. ተቆጣጣሪው ቀጥሎ ምን ማድረግ አለበት?")</f>
        <v>ላም ከመዝለሏ በፊት ያመነታል, ከዚያም በቀላሉ ያጸዳዋል. ተቆጣጣሪው ቀጥሎ ምን ማድረግ አለበት?</v>
      </c>
      <c r="I149" s="11" t="str">
        <f>IFERROR(__xludf.DUMMYFUNCTION("GOOGLETRANSLATE(C149, ""en"", ""am"")"),"ሀ. ላሟን ያበረታቱ እና የዝላይን ቁመት ቀስ በቀስ ይጨምሩ።
ለ. የላሟን በራስ መተማመን ለመቃወም የመዝለል ችግርን ይጨምሩ።
ሐ. ማመንታትን ለማሸነፍ ላሟን ወዲያውኑ እንደገና ለመዝለል ይግፉት።
መ. ላሟ እንዲያርፍ ፍቀድ እና ዝላይውን በእርጋታ ያስተዋውቀዋል።")</f>
        <v>ሀ. ላሟን ያበረታቱ እና የዝላይን ቁመት ቀስ በቀስ ይጨምሩ።
ለ. የላሟን በራስ መተማመን ለመቃወም የመዝለል ችግርን ይጨምሩ።
ሐ. ማመንታትን ለማሸነፍ ላሟን ወዲያውኑ እንደገና ለመዝለል ይግፉት።
መ. ላሟ እንዲያርፍ ፍቀድ እና ዝላይውን በእርጋታ ያስተዋውቀዋል።</v>
      </c>
      <c r="J149" s="11" t="str">
        <f>IFERROR(__xludf.DUMMYFUNCTION("GOOGLETRANSLATE(D149, ""en"", ""am"")"),"ላሟን ያበረታቱ እና የዝላይን ቁመት ቀስ በቀስ ይጨምሩ።")</f>
        <v>ላሟን ያበረታቱ እና የዝላይን ቁመት ቀስ በቀስ ይጨምሩ።</v>
      </c>
      <c r="K149" s="11" t="str">
        <f>IFERROR(__xludf.DUMMYFUNCTION("GOOGLETRANSLATE(E149, ""en"", ""am"")"),"ቀስ በቀስ ቁመት መጨመር ላሟን ሳትደፍናት ይገዳታል.")</f>
        <v>ቀስ በቀስ ቁመት መጨመር ላሟን ሳትደፍናት ይገዳታል.</v>
      </c>
    </row>
    <row r="150" ht="22.5" customHeight="1">
      <c r="A150" s="16">
        <v>149.0</v>
      </c>
      <c r="B150" s="16" t="s">
        <v>4670</v>
      </c>
      <c r="C150" s="16" t="s">
        <v>4671</v>
      </c>
      <c r="D150" s="16" t="s">
        <v>4672</v>
      </c>
      <c r="E150" s="16" t="s">
        <v>4673</v>
      </c>
      <c r="G150" s="11" t="str">
        <f>IFERROR(__xludf.DUMMYFUNCTION("GOOGLETRANSLATE(A150, ""en"", ""am"")"),"149")</f>
        <v>149</v>
      </c>
      <c r="H150" s="11" t="str">
        <f>IFERROR(__xludf.DUMMYFUNCTION("GOOGLETRANSLATE(B150, ""en"", ""am"")"),"ላሟ ዝላይን ታጸዳለች ነገር ግን በእርጋታ አያርፍም። ተቆጣጣሪው እንዴት መርዳት አለበት?")</f>
        <v>ላሟ ዝላይን ታጸዳለች ነገር ግን በእርጋታ አያርፍም። ተቆጣጣሪው እንዴት መርዳት አለበት?</v>
      </c>
      <c r="I150" s="11" t="str">
        <f>IFERROR(__xludf.DUMMYFUNCTION("GOOGLETRANSLATE(C150, ""en"", ""am"")"),"ሀ. ላሟን ለስላሳ ማረፊያ ዘዴ በማስተማር ላይ አተኩር።
ለ. ለስላሳ ማረፊያን ለማስገደድ የዝላይን አስቸጋሪነት ይጨምሩ።
ሐ. በቴክኒክ ላይ ማስተካከያ ሳታደርጉ ላሟን በቀስታ ወደ መሬት ይግፉት።
መ. ላሟ አርፋ እና ቴክኒክ ላይ በማተኮር እንደገና ሞክር።")</f>
        <v>ሀ. ላሟን ለስላሳ ማረፊያ ዘዴ በማስተማር ላይ አተኩር።
ለ. ለስላሳ ማረፊያን ለማስገደድ የዝላይን አስቸጋሪነት ይጨምሩ።
ሐ. በቴክኒክ ላይ ማስተካከያ ሳታደርጉ ላሟን በቀስታ ወደ መሬት ይግፉት።
መ. ላሟ አርፋ እና ቴክኒክ ላይ በማተኮር እንደገና ሞክር።</v>
      </c>
      <c r="J150" s="11" t="str">
        <f>IFERROR(__xludf.DUMMYFUNCTION("GOOGLETRANSLATE(D150, ""en"", ""am"")"),"ላሟን ለስላሳ ማረፊያ ዘዴ በማስተማር ላይ ያተኩሩ.")</f>
        <v>ላሟን ለስላሳ ማረፊያ ዘዴ በማስተማር ላይ ያተኩሩ.</v>
      </c>
      <c r="K150" s="11" t="str">
        <f>IFERROR(__xludf.DUMMYFUNCTION("GOOGLETRANSLATE(E150, ""en"", ""am"")"),"ለስላሳ ማረፊያ የጉዳት አደጋን ይቀንሳል እና መፅናናትን ያረጋግጣል.")</f>
        <v>ለስላሳ ማረፊያ የጉዳት አደጋን ይቀንሳል እና መፅናናትን ያረጋግጣል.</v>
      </c>
    </row>
    <row r="151" ht="22.5" customHeight="1">
      <c r="A151" s="16">
        <v>150.0</v>
      </c>
      <c r="B151" s="16" t="s">
        <v>4674</v>
      </c>
      <c r="C151" s="16" t="s">
        <v>4675</v>
      </c>
      <c r="D151" s="16" t="s">
        <v>4676</v>
      </c>
      <c r="E151" s="16" t="s">
        <v>4677</v>
      </c>
      <c r="G151" s="11" t="str">
        <f>IFERROR(__xludf.DUMMYFUNCTION("GOOGLETRANSLATE(A151, ""en"", ""am"")"),"150")</f>
        <v>150</v>
      </c>
      <c r="H151" s="11" t="str">
        <f>IFERROR(__xludf.DUMMYFUNCTION("GOOGLETRANSLATE(B151, ""en"", ""am"")"),"ላሟ ዝላይን ማጽዳት ትችላለች ነገር ግን በትክክል ለማረፍ ትታገላለች። ተቆጣጣሪው ምን ማድረግ አለበት?")</f>
        <v>ላሟ ዝላይን ማጽዳት ትችላለች ነገር ግን በትክክል ለማረፍ ትታገላለች። ተቆጣጣሪው ምን ማድረግ አለበት?</v>
      </c>
      <c r="I151" s="11" t="str">
        <f>IFERROR(__xludf.DUMMYFUNCTION("GOOGLETRANSLATE(C151, ""en"", ""am"")"),"ሀ. የላም ማረፊያ ዘዴን እና ሚዛንን በማሻሻል ላይ ይስሩ.
ለ. የማረፊያ ቴክኒኮችን ለማሻሻል የመዝለል ችግርን ይጨምሩ።
ሐ. ሚዛኑ አለመመጣጠን ቢሆንም ላሟን ወዲያውኑ እንደገና ለመዝለል ይግፉት።
መ. ላሟ እንዲያርፍ ፍቀድ እና መዝለሉን በኋላ እንደገና ይሞክሩ።")</f>
        <v>ሀ. የላም ማረፊያ ዘዴን እና ሚዛንን በማሻሻል ላይ ይስሩ.
ለ. የማረፊያ ቴክኒኮችን ለማሻሻል የመዝለል ችግርን ይጨምሩ።
ሐ. ሚዛኑ አለመመጣጠን ቢሆንም ላሟን ወዲያውኑ እንደገና ለመዝለል ይግፉት።
መ. ላሟ እንዲያርፍ ፍቀድ እና መዝለሉን በኋላ እንደገና ይሞክሩ።</v>
      </c>
      <c r="J151" s="11" t="str">
        <f>IFERROR(__xludf.DUMMYFUNCTION("GOOGLETRANSLATE(D151, ""en"", ""am"")"),"የላም ማረፊያ ዘዴን እና ሚዛንን ለማሻሻል ይስሩ.")</f>
        <v>የላም ማረፊያ ዘዴን እና ሚዛንን ለማሻሻል ይስሩ.</v>
      </c>
      <c r="K151" s="11" t="str">
        <f>IFERROR(__xludf.DUMMYFUNCTION("GOOGLETRANSLATE(E151, ""en"", ""am"")"),"የተሻሉ የማረፊያ ዘዴዎች ውጥረትን ይቀንሳሉ እና አፈፃፀሙን ያሻሽላሉ.")</f>
        <v>የተሻሉ የማረፊያ ዘዴዎች ውጥረትን ይቀንሳሉ እና አፈፃፀሙን ያሻሽላሉ.</v>
      </c>
    </row>
    <row r="152" ht="22.5" customHeight="1">
      <c r="A152" s="16">
        <v>151.0</v>
      </c>
      <c r="B152" s="16" t="s">
        <v>4678</v>
      </c>
      <c r="C152" s="16" t="s">
        <v>4679</v>
      </c>
      <c r="D152" s="16" t="s">
        <v>4680</v>
      </c>
      <c r="E152" s="16" t="s">
        <v>4681</v>
      </c>
      <c r="G152" s="11" t="str">
        <f>IFERROR(__xludf.DUMMYFUNCTION("GOOGLETRANSLATE(A152, ""en"", ""am"")"),"151")</f>
        <v>151</v>
      </c>
      <c r="H152" s="11" t="str">
        <f>IFERROR(__xludf.DUMMYFUNCTION("GOOGLETRANSLATE(B152, ""en"", ""am"")"),"ላሟ ከእያንዳንዱ ዝላይ በፊት በማመንታት ትታገላለች። ተቆጣጣሪው ምን ማድረግ አለበት?")</f>
        <v>ላሟ ከእያንዳንዱ ዝላይ በፊት በማመንታት ትታገላለች። ተቆጣጣሪው ምን ማድረግ አለበት?</v>
      </c>
      <c r="I152" s="11" t="str">
        <f>IFERROR(__xludf.DUMMYFUNCTION("GOOGLETRANSLATE(C152, ""en"", ""am"")"),"ሀ. ላሟን በተረጋጋ ማበረታቻ አረጋግጡ እና የዝላይን ከፍታ ዝቅ ያድርጉ።
ለ. ላሟ ማመንታትን እንድታሸንፍ ለማስገደድ የዝላይን ከፍታ ጨምር።
ሐ. ማመንታቱን ለመስበር ላሟን ወዲያውኑ ለመዝለል ይግፉት።
መ. ላሟ እንዲያርፍ ፍቀድ እና በኋላ በድፍረት ይመለሱ።")</f>
        <v>ሀ. ላሟን በተረጋጋ ማበረታቻ አረጋግጡ እና የዝላይን ከፍታ ዝቅ ያድርጉ።
ለ. ላሟ ማመንታትን እንድታሸንፍ ለማስገደድ የዝላይን ከፍታ ጨምር።
ሐ. ማመንታቱን ለመስበር ላሟን ወዲያውኑ ለመዝለል ይግፉት።
መ. ላሟ እንዲያርፍ ፍቀድ እና በኋላ በድፍረት ይመለሱ።</v>
      </c>
      <c r="J152" s="11" t="str">
        <f>IFERROR(__xludf.DUMMYFUNCTION("GOOGLETRANSLATE(D152, ""en"", ""am"")"),"ላሟን በተረጋጋ ማበረታቻ አረጋግጡ እና የዝላይን ከፍታ ዝቅ ያድርጉ።")</f>
        <v>ላሟን በተረጋጋ ማበረታቻ አረጋግጡ እና የዝላይን ከፍታ ዝቅ ያድርጉ።</v>
      </c>
      <c r="K152" s="11" t="str">
        <f>IFERROR(__xludf.DUMMYFUNCTION("GOOGLETRANSLATE(E152, ""en"", ""am"")"),"የዝላይን ከፍታ ዝቅ ማድረግ ማመንታትን ለመቀነስ እና በራስ መተማመንን ይፈጥራል።")</f>
        <v>የዝላይን ከፍታ ዝቅ ማድረግ ማመንታትን ለመቀነስ እና በራስ መተማመንን ይፈጥራል።</v>
      </c>
    </row>
    <row r="153" ht="22.5" customHeight="1">
      <c r="A153" s="16">
        <v>152.0</v>
      </c>
      <c r="B153" s="16" t="s">
        <v>4682</v>
      </c>
      <c r="C153" s="16" t="s">
        <v>4683</v>
      </c>
      <c r="D153" s="16" t="s">
        <v>4522</v>
      </c>
      <c r="E153" s="16" t="s">
        <v>4684</v>
      </c>
      <c r="G153" s="11" t="str">
        <f>IFERROR(__xludf.DUMMYFUNCTION("GOOGLETRANSLATE(A153, ""en"", ""am"")"),"152")</f>
        <v>152</v>
      </c>
      <c r="H153" s="11" t="str">
        <f>IFERROR(__xludf.DUMMYFUNCTION("GOOGLETRANSLATE(B153, ""en"", ""am"")"),"ላሟ በተሳካ ሁኔታ ዝላይን ታጸዳለች ግን በኋላ የድካም ትመስላለች። ምን መደረግ አለበት?")</f>
        <v>ላሟ በተሳካ ሁኔታ ዝላይን ታጸዳለች ግን በኋላ የድካም ትመስላለች። ምን መደረግ አለበት?</v>
      </c>
      <c r="I153" s="11" t="str">
        <f>IFERROR(__xludf.DUMMYFUNCTION("GOOGLETRANSLATE(C153, ""en"", ""am"")"),"ሀ. ከመቀጠልዎ በፊት ላሟ እንዲያርፍ እና እንዲጠጣ ይፍቀዱለት።
ለ. ጽናትን ለመገንባት ተጨማሪ መዝለሎችን ለማጠናቀቅ ላሟን ግፋ።
ሐ. የላሟን ጥንካሬ ለመቃወም የዝላይዎችን ችግር ይጨምሩ።
መ. ላሟን ረዘም ያለ እረፍት ስጡ እና በኋላ ስልጠናውን ይቀጥሉ.")</f>
        <v>ሀ. ከመቀጠልዎ በፊት ላሟ እንዲያርፍ እና እንዲጠጣ ይፍቀዱለት።
ለ. ጽናትን ለመገንባት ተጨማሪ መዝለሎችን ለማጠናቀቅ ላሟን ግፋ።
ሐ. የላሟን ጥንካሬ ለመቃወም የዝላይዎችን ችግር ይጨምሩ።
መ. ላሟን ረዘም ያለ እረፍት ስጡ እና በኋላ ስልጠናውን ይቀጥሉ.</v>
      </c>
      <c r="J153" s="11" t="str">
        <f>IFERROR(__xludf.DUMMYFUNCTION("GOOGLETRANSLATE(D153, ""en"", ""am"")"),"ከመቀጠልዎ በፊት ላሟ እንዲያርፍ እና እንዲጠጣ ይፍቀዱለት.")</f>
        <v>ከመቀጠልዎ በፊት ላሟ እንዲያርፍ እና እንዲጠጣ ይፍቀዱለት.</v>
      </c>
      <c r="K153" s="11" t="str">
        <f>IFERROR(__xludf.DUMMYFUNCTION("GOOGLETRANSLATE(E153, ""en"", ""am"")"),"እረፍት እና እርጥበት ላም ለማገገም ወሳኝ ናቸው.")</f>
        <v>እረፍት እና እርጥበት ላም ለማገገም ወሳኝ ናቸው.</v>
      </c>
    </row>
    <row r="154" ht="22.5" customHeight="1">
      <c r="A154" s="16">
        <v>153.0</v>
      </c>
      <c r="B154" s="16" t="s">
        <v>4685</v>
      </c>
      <c r="C154" s="16" t="s">
        <v>4686</v>
      </c>
      <c r="D154" s="16" t="s">
        <v>4687</v>
      </c>
      <c r="E154" s="16" t="s">
        <v>4688</v>
      </c>
      <c r="G154" s="11" t="str">
        <f>IFERROR(__xludf.DUMMYFUNCTION("GOOGLETRANSLATE(A154, ""en"", ""am"")"),"153")</f>
        <v>153</v>
      </c>
      <c r="H154" s="11" t="str">
        <f>IFERROR(__xludf.DUMMYFUNCTION("GOOGLETRANSLATE(B154, ""en"", ""am"")"),"ላም በጥሩ ሁኔታ ትሰራለች ነገር ግን ከተዘለለ በኋላ የብስጭት ምልክቶች ይታያል. ተቆጣጣሪው እንዴት መርዳት አለበት?")</f>
        <v>ላም በጥሩ ሁኔታ ትሰራለች ነገር ግን ከተዘለለ በኋላ የብስጭት ምልክቶች ይታያል. ተቆጣጣሪው እንዴት መርዳት አለበት?</v>
      </c>
      <c r="I154" s="11" t="str">
        <f>IFERROR(__xludf.DUMMYFUNCTION("GOOGLETRANSLATE(C154, ""en"", ""am"")"),"ሀ. በራስ መተማመንን ለመገንባት አዎንታዊ ማጠናከሪያ ያቅርቡ እና የዝላይን ቁመት ይቀንሱ።
ለ. ብስጭትን ለማሸነፍ ተጨማሪ ዝላይዎችን ለማድረግ ላሟን ግፋ።
ሐ. የላሟን ብስጭት ለመቃወም የዝላይዎችን ችግር ይጨምሩ።
መ. ላሟ አርፋ እና በራስ መተማመንን ከጨረስክ በኋላ እንደገና ሞክር።")</f>
        <v>ሀ. በራስ መተማመንን ለመገንባት አዎንታዊ ማጠናከሪያ ያቅርቡ እና የዝላይን ቁመት ይቀንሱ።
ለ. ብስጭትን ለማሸነፍ ተጨማሪ ዝላይዎችን ለማድረግ ላሟን ግፋ።
ሐ. የላሟን ብስጭት ለመቃወም የዝላይዎችን ችግር ይጨምሩ።
መ. ላሟ አርፋ እና በራስ መተማመንን ከጨረስክ በኋላ እንደገና ሞክር።</v>
      </c>
      <c r="J154" s="11" t="str">
        <f>IFERROR(__xludf.DUMMYFUNCTION("GOOGLETRANSLATE(D154, ""en"", ""am"")"),"በራስ መተማመንን ለመገንባት አዎንታዊ ማጠናከሪያ ያቅርቡ እና የዝላይን ቁመት ይቀንሱ።")</f>
        <v>በራስ መተማመንን ለመገንባት አዎንታዊ ማጠናከሪያ ያቅርቡ እና የዝላይን ቁመት ይቀንሱ።</v>
      </c>
      <c r="K154" s="11" t="str">
        <f>IFERROR(__xludf.DUMMYFUNCTION("GOOGLETRANSLATE(E154, ""en"", ""am"")"),"ማረጋጋት እና ዝቅተኛ ችግር ብስጭትን ለመቀነስ እና በራስ መተማመንን ለማዳበር ይረዳል።")</f>
        <v>ማረጋጋት እና ዝቅተኛ ችግር ብስጭትን ለመቀነስ እና በራስ መተማመንን ለማዳበር ይረዳል።</v>
      </c>
    </row>
    <row r="155" ht="22.5" customHeight="1">
      <c r="A155" s="16">
        <v>154.0</v>
      </c>
      <c r="B155" s="16" t="s">
        <v>4689</v>
      </c>
      <c r="C155" s="16" t="s">
        <v>4690</v>
      </c>
      <c r="D155" s="16" t="s">
        <v>4691</v>
      </c>
      <c r="E155" s="16" t="s">
        <v>4692</v>
      </c>
      <c r="G155" s="11" t="str">
        <f>IFERROR(__xludf.DUMMYFUNCTION("GOOGLETRANSLATE(A155, ""en"", ""am"")"),"154")</f>
        <v>154</v>
      </c>
      <c r="H155" s="11" t="str">
        <f>IFERROR(__xludf.DUMMYFUNCTION("GOOGLETRANSLATE(B155, ""en"", ""am"")"),"ላሟ ከዒላማው በጣም ይርቃል. ተቆጣጣሪው ይህንን እንዴት መፍታት አለበት?")</f>
        <v>ላሟ ከዒላማው በጣም ይርቃል. ተቆጣጣሪው ይህንን እንዴት መፍታት አለበት?</v>
      </c>
      <c r="I155" s="11" t="str">
        <f>IFERROR(__xludf.DUMMYFUNCTION("GOOGLETRANSLATE(C155, ""en"", ""am"")"),"ሀ. የላሟን ማረፊያ ትክክለኛነት እና የርቀት መቆጣጠሪያን ለማሻሻል ይሰሩ.
ለ. የላሙን ትክክለኛነት ለመቃወም የዝላይዎችን አስቸጋሪነት ይጨምሩ.
ሐ. ሌላ ዝላይ ወዲያውኑ ለማጠናቀቅ ላሟን ግፋ።
መ. ላሟ እንዲያርፍ እና በኋላ ላይ በትክክለኛነት ላይ በማተኮር ይለማመዱ.")</f>
        <v>ሀ. የላሟን ማረፊያ ትክክለኛነት እና የርቀት መቆጣጠሪያን ለማሻሻል ይሰሩ.
ለ. የላሙን ትክክለኛነት ለመቃወም የዝላይዎችን አስቸጋሪነት ይጨምሩ.
ሐ. ሌላ ዝላይ ወዲያውኑ ለማጠናቀቅ ላሟን ግፋ።
መ. ላሟ እንዲያርፍ እና በኋላ ላይ በትክክለኛነት ላይ በማተኮር ይለማመዱ.</v>
      </c>
      <c r="J155" s="11" t="str">
        <f>IFERROR(__xludf.DUMMYFUNCTION("GOOGLETRANSLATE(D155, ""en"", ""am"")"),"የላሟን ማረፊያ ትክክለኛነት እና የርቀት መቆጣጠሪያን ለማሻሻል ይስሩ.")</f>
        <v>የላሟን ማረፊያ ትክክለኛነት እና የርቀት መቆጣጠሪያን ለማሻሻል ይስሩ.</v>
      </c>
      <c r="K155" s="11" t="str">
        <f>IFERROR(__xludf.DUMMYFUNCTION("GOOGLETRANSLATE(E155, ""en"", ""am"")"),"በትክክለኛነት ላይ ማተኮር ላም የተሻለ ቁጥጥርን እንዲያዳብር ይረዳል.")</f>
        <v>በትክክለኛነት ላይ ማተኮር ላም የተሻለ ቁጥጥርን እንዲያዳብር ይረዳል.</v>
      </c>
    </row>
    <row r="156" ht="22.5" customHeight="1">
      <c r="A156" s="16">
        <v>155.0</v>
      </c>
      <c r="B156" s="16" t="s">
        <v>4693</v>
      </c>
      <c r="C156" s="16" t="s">
        <v>4694</v>
      </c>
      <c r="D156" s="16" t="s">
        <v>4695</v>
      </c>
      <c r="E156" s="16" t="s">
        <v>4696</v>
      </c>
      <c r="G156" s="11" t="str">
        <f>IFERROR(__xludf.DUMMYFUNCTION("GOOGLETRANSLATE(A156, ""en"", ""am"")"),"155")</f>
        <v>155</v>
      </c>
      <c r="H156" s="11" t="str">
        <f>IFERROR(__xludf.DUMMYFUNCTION("GOOGLETRANSLATE(B156, ""en"", ""am"")"),"ላም ከመዝለሉ በፊት ያመነታል, ከዚያም ያለ ምንም ችግር ዝላይውን ይሠራል. ምን መደረግ አለበት?")</f>
        <v>ላም ከመዝለሉ በፊት ያመነታል, ከዚያም ያለ ምንም ችግር ዝላይውን ይሠራል. ምን መደረግ አለበት?</v>
      </c>
      <c r="I156" s="11" t="str">
        <f>IFERROR(__xludf.DUMMYFUNCTION("GOOGLETRANSLATE(C156, ""en"", ""am"")"),"ሀ. ላሟን ማበረታታት እና በራስ መተማመንን ለመገንባት የዝላይን ከፍታ ቀስ በቀስ ይቀንሱ።
ለ. ላሟን ያለምንም ማመንታት እንደገና ለመዝለል ግፋ።
ሐ. ላሟን የበለጠ ለመቃወም የዝላይን ችግር ይጨምሩ።
መ. ላሟ አርፋ እና በራስ መተማመንን በሚገነቡ ልምምዶች ላይ እናተኩር።")</f>
        <v>ሀ. ላሟን ማበረታታት እና በራስ መተማመንን ለመገንባት የዝላይን ከፍታ ቀስ በቀስ ይቀንሱ።
ለ. ላሟን ያለምንም ማመንታት እንደገና ለመዝለል ግፋ።
ሐ. ላሟን የበለጠ ለመቃወም የዝላይን ችግር ይጨምሩ።
መ. ላሟ አርፋ እና በራስ መተማመንን በሚገነቡ ልምምዶች ላይ እናተኩር።</v>
      </c>
      <c r="J156" s="11" t="str">
        <f>IFERROR(__xludf.DUMMYFUNCTION("GOOGLETRANSLATE(D156, ""en"", ""am"")"),"ላሟን ያበረታቱ እና በራስ የመተማመን ስሜትን ለመፍጠር የዝላይን ቁመት ቀስ በቀስ ይቀንሱ።")</f>
        <v>ላሟን ያበረታቱ እና በራስ የመተማመን ስሜትን ለመፍጠር የዝላይን ቁመት ቀስ በቀስ ይቀንሱ።</v>
      </c>
      <c r="K156" s="11" t="str">
        <f>IFERROR(__xludf.DUMMYFUNCTION("GOOGLETRANSLATE(E156, ""en"", ""am"")"),"ቀስ በቀስ ቁመትን መቀነስ መተማመንን ይገነባል እና ማመንታትን ይቀንሳል.")</f>
        <v>ቀስ በቀስ ቁመትን መቀነስ መተማመንን ይገነባል እና ማመንታትን ይቀንሳል.</v>
      </c>
    </row>
    <row r="157" ht="22.5" customHeight="1">
      <c r="A157" s="16">
        <v>156.0</v>
      </c>
      <c r="B157" s="16" t="s">
        <v>4697</v>
      </c>
      <c r="C157" s="16" t="s">
        <v>4698</v>
      </c>
      <c r="D157" s="16" t="s">
        <v>4699</v>
      </c>
      <c r="E157" s="16" t="s">
        <v>4700</v>
      </c>
      <c r="G157" s="11" t="str">
        <f>IFERROR(__xludf.DUMMYFUNCTION("GOOGLETRANSLATE(A157, ""en"", ""am"")"),"156")</f>
        <v>156</v>
      </c>
      <c r="H157" s="11" t="str">
        <f>IFERROR(__xludf.DUMMYFUNCTION("GOOGLETRANSLATE(B157, ""en"", ""am"")"),"ላሟ ዝላይውን ታጸዳለች፣ ነገር ግን ተቆጣጣሪው ከሚዛን ውጪ በመጠኑ ማረፍን ያስተውላል። ይህ እንዴት ሊሻሻል ይችላል?")</f>
        <v>ላሟ ዝላይውን ታጸዳለች፣ ነገር ግን ተቆጣጣሪው ከሚዛን ውጪ በመጠኑ ማረፍን ያስተውላል። ይህ እንዴት ሊሻሻል ይችላል?</v>
      </c>
      <c r="I157" s="11" t="str">
        <f>IFERROR(__xludf.DUMMYFUNCTION("GOOGLETRANSLATE(C157, ""en"", ""am"")"),"ሀ. አቀማመጡን እና ቴክኒኩን በማስተካከል የላሟን ማረፊያ በማረጋጋት ላይ ይስሩ.
ለ. የላሙን ሚዛን ለማሻሻል የዝላይን አስቸጋሪነት ይጨምሩ.
ሐ. ሚዛኑን ሳያስተካክሉ ላሟን እንደገና ለመዝለል ይግፉት።
መ. ላሟ እንድታርፍ እና በእረፍት ጊዜ ሚዛኗ ላይ እንድትሰራ ይፍቀዱለት.")</f>
        <v>ሀ. አቀማመጡን እና ቴክኒኩን በማስተካከል የላሟን ማረፊያ በማረጋጋት ላይ ይስሩ.
ለ. የላሙን ሚዛን ለማሻሻል የዝላይን አስቸጋሪነት ይጨምሩ.
ሐ. ሚዛኑን ሳያስተካክሉ ላሟን እንደገና ለመዝለል ይግፉት።
መ. ላሟ እንድታርፍ እና በእረፍት ጊዜ ሚዛኗ ላይ እንድትሰራ ይፍቀዱለት.</v>
      </c>
      <c r="J157" s="11" t="str">
        <f>IFERROR(__xludf.DUMMYFUNCTION("GOOGLETRANSLATE(D157, ""en"", ""am"")"),"አቀማመጡን እና ቴክኒኩን በማስተካከል የላም ማረፊያውን በማረጋጋት ላይ ይስሩ.")</f>
        <v>አቀማመጡን እና ቴክኒኩን በማስተካከል የላም ማረፊያውን በማረጋጋት ላይ ይስሩ.</v>
      </c>
      <c r="K157" s="11" t="str">
        <f>IFERROR(__xludf.DUMMYFUNCTION("GOOGLETRANSLATE(E157, ""en"", ""am"")"),"በማረፊያ ጊዜ ሚዛንን ማሻሻል ጉዳቶችን ይከላከላል እና አፈፃፀሙን ያሻሽላል.")</f>
        <v>በማረፊያ ጊዜ ሚዛንን ማሻሻል ጉዳቶችን ይከላከላል እና አፈፃፀሙን ያሻሽላል.</v>
      </c>
    </row>
    <row r="158" ht="22.5" customHeight="1">
      <c r="A158" s="16">
        <v>157.0</v>
      </c>
      <c r="B158" s="16" t="s">
        <v>4701</v>
      </c>
      <c r="C158" s="16" t="s">
        <v>4702</v>
      </c>
      <c r="D158" s="16" t="s">
        <v>4703</v>
      </c>
      <c r="E158" s="16" t="s">
        <v>4704</v>
      </c>
      <c r="G158" s="11" t="str">
        <f>IFERROR(__xludf.DUMMYFUNCTION("GOOGLETRANSLATE(A158, ""en"", ""am"")"),"157")</f>
        <v>157</v>
      </c>
      <c r="H158" s="11" t="str">
        <f>IFERROR(__xludf.DUMMYFUNCTION("GOOGLETRANSLATE(B158, ""en"", ""am"")"),"ላም ዝላይው ከፍ ባለ ደረጃ ላይ ሲቀመጥ ለመዝለል ያመነታል. ተቆጣጣሪው ምን ማድረግ አለበት?")</f>
        <v>ላም ዝላይው ከፍ ባለ ደረጃ ላይ ሲቀመጥ ለመዝለል ያመነታል. ተቆጣጣሪው ምን ማድረግ አለበት?</v>
      </c>
      <c r="I158" s="11" t="str">
        <f>IFERROR(__xludf.DUMMYFUNCTION("GOOGLETRANSLATE(C158, ""en"", ""am"")"),"ሀ. የመዝለሉን ቁመት ይቀንሱ እና በራስ መተማመንን ለመገንባት ቀስ በቀስ ይጨምሩ።
ለ. ላሟን ወዲያውኑ ከፍ ካለው እንቅፋት ለመዝለል ይግፉት።
ሐ. ፈተናውን የበለጠ አስደሳች ለማድረግ የመዝለል ችግርን ይጨምሩ።
መ. ላሟ እንዲያርፍ እና በራስ የመተማመን ስሜቷን በትናንሽ መዝለሎች እንዲገነባ ፍቀድለት።")</f>
        <v>ሀ. የመዝለሉን ቁመት ይቀንሱ እና በራስ መተማመንን ለመገንባት ቀስ በቀስ ይጨምሩ።
ለ. ላሟን ወዲያውኑ ከፍ ካለው እንቅፋት ለመዝለል ይግፉት።
ሐ. ፈተናውን የበለጠ አስደሳች ለማድረግ የመዝለል ችግርን ይጨምሩ።
መ. ላሟ እንዲያርፍ እና በራስ የመተማመን ስሜቷን በትናንሽ መዝለሎች እንዲገነባ ፍቀድለት።</v>
      </c>
      <c r="J158" s="11" t="str">
        <f>IFERROR(__xludf.DUMMYFUNCTION("GOOGLETRANSLATE(D158, ""en"", ""am"")"),"የመዝለሉን ቁመት ይቀንሱ እና በራስ መተማመንን ለመፍጠር ቀስ በቀስ ይጨምሩ።")</f>
        <v>የመዝለሉን ቁመት ይቀንሱ እና በራስ መተማመንን ለመፍጠር ቀስ በቀስ ይጨምሩ።</v>
      </c>
      <c r="K158" s="11" t="str">
        <f>IFERROR(__xludf.DUMMYFUNCTION("GOOGLETRANSLATE(E158, ""en"", ""am"")"),"ቁመቱ ቀስ በቀስ መጨመር ላሟ በራስ የመተማመን ስሜት እንዲኖራት ይረዳል.")</f>
        <v>ቁመቱ ቀስ በቀስ መጨመር ላሟ በራስ የመተማመን ስሜት እንዲኖራት ይረዳል.</v>
      </c>
    </row>
    <row r="159" ht="22.5" customHeight="1">
      <c r="A159" s="16">
        <v>158.0</v>
      </c>
      <c r="B159" s="16" t="s">
        <v>4705</v>
      </c>
      <c r="C159" s="16" t="s">
        <v>4706</v>
      </c>
      <c r="D159" s="16" t="s">
        <v>4707</v>
      </c>
      <c r="E159" s="16" t="s">
        <v>4708</v>
      </c>
      <c r="G159" s="11" t="str">
        <f>IFERROR(__xludf.DUMMYFUNCTION("GOOGLETRANSLATE(A159, ""en"", ""am"")"),"158")</f>
        <v>158</v>
      </c>
      <c r="H159" s="11" t="str">
        <f>IFERROR(__xludf.DUMMYFUNCTION("GOOGLETRANSLATE(B159, ""en"", ""am"")"),"ላሟ በአብዛኛዎቹ ዝላይዎች ላይ በደንብ ትሰራለች ነገር ግን አዲስ የመዝለል ዘይቤ ሲገጥማት ትታገላለች። ምን መደረግ አለበት?")</f>
        <v>ላሟ በአብዛኛዎቹ ዝላይዎች ላይ በደንብ ትሰራለች ነገር ግን አዲስ የመዝለል ዘይቤ ሲገጥማት ትታገላለች። ምን መደረግ አለበት?</v>
      </c>
      <c r="I159" s="11" t="str">
        <f>IFERROR(__xludf.DUMMYFUNCTION("GOOGLETRANSLATE(C159, ""en"", ""am"")"),"ሀ. ላም ምቹ መሆኗን በማረጋገጥ አዲሱን የዝላይ ዘይቤን በቀስታ ያስተዋውቁ።
ለ. አዲሱን የመዝለል ዘይቤ ወዲያውኑ ለማጠናቀቅ ላሟን ይግፉት።
ሐ. ላም የመላመድ ችሎታን ለመቃወም ያለውን ችግር ይጨምሩ።
መ. ላሟ እንዲያርፍ ይፍቀዱ እና በኋላ ወደ አዲሱ የመዝለል ዘይቤ ይመለሱ።")</f>
        <v>ሀ. ላም ምቹ መሆኗን በማረጋገጥ አዲሱን የዝላይ ዘይቤን በቀስታ ያስተዋውቁ።
ለ. አዲሱን የመዝለል ዘይቤ ወዲያውኑ ለማጠናቀቅ ላሟን ይግፉት።
ሐ. ላም የመላመድ ችሎታን ለመቃወም ያለውን ችግር ይጨምሩ።
መ. ላሟ እንዲያርፍ ይፍቀዱ እና በኋላ ወደ አዲሱ የመዝለል ዘይቤ ይመለሱ።</v>
      </c>
      <c r="J159" s="11" t="str">
        <f>IFERROR(__xludf.DUMMYFUNCTION("GOOGLETRANSLATE(D159, ""en"", ""am"")"),"ላም ምቹ መሆኑን በማረጋገጥ አዲሱን የመዝለል ዘይቤን በቀስታ ያስተዋውቁ።")</f>
        <v>ላም ምቹ መሆኑን በማረጋገጥ አዲሱን የመዝለል ዘይቤን በቀስታ ያስተዋውቁ።</v>
      </c>
      <c r="K159" s="11" t="str">
        <f>IFERROR(__xludf.DUMMYFUNCTION("GOOGLETRANSLATE(E159, ""en"", ""am"")"),"አዳዲስ ቅጦችን ማስተዋወቅ ላም ትውውቅ እና በራስ መተማመንን ለመገንባት ቀስ በቀስ ይረዳል.")</f>
        <v>አዳዲስ ቅጦችን ማስተዋወቅ ላም ትውውቅ እና በራስ መተማመንን ለመገንባት ቀስ በቀስ ይረዳል.</v>
      </c>
    </row>
  </sheetData>
  <drawing r:id="rId1"/>
  <tableParts count="2">
    <tablePart r:id="rId4"/>
    <tablePart r:id="rId5"/>
  </tableParts>
</worksheet>
</file>
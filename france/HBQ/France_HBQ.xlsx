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autical_Jousting" sheetId="1" r:id="rId4"/>
    <sheet state="visible" name="Tambourin" sheetId="2" r:id="rId5"/>
    <sheet state="visible" name="Pelota" sheetId="3" r:id="rId6"/>
    <sheet state="visible" name="Gouren" sheetId="4" r:id="rId7"/>
    <sheet state="visible" name="Camarague" sheetId="5" r:id="rId8"/>
  </sheets>
  <definedNames/>
  <calcPr/>
</workbook>
</file>

<file path=xl/sharedStrings.xml><?xml version="1.0" encoding="utf-8"?>
<sst xmlns="http://schemas.openxmlformats.org/spreadsheetml/2006/main" count="3050" uniqueCount="2486">
  <si>
    <t>No.</t>
  </si>
  <si>
    <t>Question</t>
  </si>
  <si>
    <t>Options</t>
  </si>
  <si>
    <t>Answer</t>
  </si>
  <si>
    <t>Description</t>
  </si>
  <si>
    <t>n°</t>
  </si>
  <si>
    <t>Question2</t>
  </si>
  <si>
    <t>Options2</t>
  </si>
  <si>
    <t>Répondre</t>
  </si>
  <si>
    <t>The earliest known depictions of nautical jousting were discovered in which ancient civilization?</t>
  </si>
  <si>
    <t>A) Ancient Greece, B) Ancient Rome, C) Ancient Egypt, D) Ancient China</t>
  </si>
  <si>
    <t>C) Ancient Egypt</t>
  </si>
  <si>
    <t>Relief carvings in tombs at Saqqara, dating to around 2700 BC, show Egyptian boatmen jousting with poles on the Nile River.</t>
  </si>
  <si>
    <t>The modern French sport of nautical jousting is most famously and traditionally associated with which city?</t>
  </si>
  <si>
    <t>A) Marseille, B) Paris, C) Lyon, D) Sète</t>
  </si>
  <si>
    <t>D) Sète</t>
  </si>
  <si>
    <t>The port city of Sète in the Hérault department is considered the capital of the Languedocienne method of nautical jousting.</t>
  </si>
  <si>
    <t>What is the name of the most famous nautical jousting festival, established in Sète in 1666?</t>
  </si>
  <si>
    <t>A) The Sète Championship, B) The Gold Cup Tournament, C) The Saint Louis Festival, D) The Nautical Festival of Languedoc</t>
  </si>
  <si>
    <t>C) The Saint Louis Festival</t>
  </si>
  <si>
    <t>The Fêtes de la Saint-Louis is a major festival celebrating the city's patron saint, with the jousting tournament as its main event.</t>
  </si>
  <si>
    <t>The founding of the Saint Louis Festival in 1666 was to celebrate what major historical event?</t>
  </si>
  <si>
    <t>A) A royal wedding, B) A military victory, C) The founding of the port of Sète, D) A religious holiday</t>
  </si>
  <si>
    <t>C) The founding of the port of Sète</t>
  </si>
  <si>
    <t>The festival and its tournament were inaugurated to celebrate the creation of the port, a key terminal for the Canal du Midi.</t>
  </si>
  <si>
    <t>The first documented mention of nautical jousting in France dates to 1170 and describes a tournament in which city?</t>
  </si>
  <si>
    <t>A) Paris, B) Sète, C) Marseille, D) Lyon</t>
  </si>
  <si>
    <t>D) Lyon</t>
  </si>
  <si>
    <t>A chronicle from 1170 describes jousting tournaments held on the Saône river in Lyon, making it one of the oldest recorded sites for the sport in France.</t>
  </si>
  <si>
    <t>A historical chronicle from 1270 mentions nautical jousting being held for the Crusaders of which French king?</t>
  </si>
  <si>
    <t>A) Philip II, B) Louis IX (Saint Louis), C) Charles V, D) Francis I</t>
  </si>
  <si>
    <t>B) Louis IX (Saint Louis)</t>
  </si>
  <si>
    <t>The chronicle records that jousting contests were held as entertainment for the knights departing for the Seventh Crusade from the port of Aigues-Mortes.</t>
  </si>
  <si>
    <t>Which historical period saw the greatest expansion of nautical jousting across the river valleys of France as a form of noble entertainment?</t>
  </si>
  <si>
    <t>A) The Middle Ages, B) The Renaissance, C) The Roman Era, D) The Napoleonic Era</t>
  </si>
  <si>
    <t>B) The Renaissance</t>
  </si>
  <si>
    <t>During the Renaissance, the sport became a popular spectacle at royal and noble festivities, moving beyond its folk origins.</t>
  </si>
  <si>
    <t>Which French king was honored with a grand display of nautical jousting on the Loire River in 1510?</t>
  </si>
  <si>
    <t>A) Louis XIV, B) Henry II, C) Charles VIII, D) Francis I</t>
  </si>
  <si>
    <t>D) Francis I</t>
  </si>
  <si>
    <t>The Renaissance king Francis I was a great patron of festivals, and a famous jousting display was held in his honor.</t>
  </si>
  <si>
    <t>In 1507, which Queen of France attended a nautical jousting tournament held in her honor in Lyon?</t>
  </si>
  <si>
    <t>A) Catherine de' Medici, B) Marie de' Medici, C) Anne of Brittany, D) Eleanor of Austria</t>
  </si>
  <si>
    <t>C) Anne of Brittany</t>
  </si>
  <si>
    <t>Anne of Brittany, wife of King Louis XII, was welcomed to Lyon with a grand celebration that included nautical jousts.</t>
  </si>
  <si>
    <t>Which King of France was received in Lyon in 1548 with a major nautical jousting spectacle?</t>
  </si>
  <si>
    <t>A) Henry IV, B) Louis XIII, C) Henry II, D) Francis II</t>
  </si>
  <si>
    <t>C) Henry II</t>
  </si>
  <si>
    <t>The royal entry of Henry II and his wife Catherine de' Medici into Lyon was marked by an elaborate festival featuring a naval combat performance.</t>
  </si>
  <si>
    <t>For which English monarch was a nautical jousting competition held in the town of Sandwich in 1573?</t>
  </si>
  <si>
    <t>A) Henry VIII, B) Victoria, C) Elizabeth I, D) Mary I</t>
  </si>
  <si>
    <t>C) Elizabeth I</t>
  </si>
  <si>
    <t>During one of her royal progresses through the country, Queen Elizabeth I was entertained with a variety of pageants, including a water joust at Sandwich.</t>
  </si>
  <si>
    <t>In the Roman Empire, what were the "naumachiae"?</t>
  </si>
  <si>
    <t>A) Small fishing boats, B) Flooded arenas, like the Colosseum, used for staging mock naval battles, C) A type of religious festival, D) The Roman term for jousting</t>
  </si>
  <si>
    <t>B) Flooded arenas, like the Colosseum, used for staging mock naval battles</t>
  </si>
  <si>
    <t>These massive spectacles were precursors to later forms of water combat entertainment and were held in cities throughout the empire, including in Provence, France.</t>
  </si>
  <si>
    <t>The French Federation of Nautical Jousting and Lifesaving (FFJSN) has its origins in the 19th century. What was the original purpose of these societies?</t>
  </si>
  <si>
    <t>A) To promote tourism, B) To build better boats, C) To organize skilled boatmen for flood rescue operations, D) To lobby the government</t>
  </si>
  <si>
    <t>C) To organize skilled boatmen for flood rescue operations</t>
  </si>
  <si>
    <t>The jousting societies were originally unions of mariners and boatmen who used their skills to save lives during the frequent floods of the Rhône river.</t>
  </si>
  <si>
    <t>In medieval manuscripts, nautical jousting is often depicted alongside what other type of combat?</t>
  </si>
  <si>
    <t>A) Archery contests, B) Foot combat on bridges, C) Cannon duels, D) Chariot races</t>
  </si>
  <si>
    <t>B) Foot combat on bridges</t>
  </si>
  <si>
    <t>Early illustrations often show knights fighting on bridges as a parallel activity to jousting on the water below.</t>
  </si>
  <si>
    <t>What is the historical name for the tilting target, often a shield on a post, that was sometimes used in early jousting instead of a human opponent?</t>
  </si>
  <si>
    <t>A) The Pavo, B) The Saracen, C) The Quintain, D) The mannequin</t>
  </si>
  <si>
    <t>C) The Quintain</t>
  </si>
  <si>
    <t>The quintain was a common training target for both land-based and nautical jousting, designed to test a jouster's accuracy.</t>
  </si>
  <si>
    <t>The different styles of nautical jousting in France are known as "methods." Which is the most famous and widely practiced method?</t>
  </si>
  <si>
    <t>A) The Parisian Method, B) The Alsatian Method, C) The Languedocienne Method, D) The Breton Method</t>
  </si>
  <si>
    <t>C) The Languedocienne Method</t>
  </si>
  <si>
    <t>The Languedocienne method, practiced in Sète, is the most iconic and popular form of the sport, known for its heavy boats and large festivals.</t>
  </si>
  <si>
    <t>What is a key historical difference between the Languedocienne method (Sète) and the Lyonnaise method (Lyon)?</t>
  </si>
  <si>
    <t>A) The Lyonnaise method uses swords, B) The Languedocienne method uses human rowers for power, C) The Lyonnaise method is older, D) The Languedocienne method is played on a river</t>
  </si>
  <si>
    <t>B) The Languedocienne method uses human rowers for power</t>
  </si>
  <si>
    <t>The Sète style uses two heavy boats propelled by teams of 8-10 rowers, whereas the Lyon style uses motorized boats or a winch system.</t>
  </si>
  <si>
    <t>Which major engineering project of the 17th century led directly to the founding of the port of Sète and its jousting traditions?</t>
  </si>
  <si>
    <t>A) The Palace of Versailles, B) The Canal du Midi, C) The Louvre Museum, D) The Pont du Gard</t>
  </si>
  <si>
    <t>B) The Canal du Midi</t>
  </si>
  <si>
    <t>The port of Sète was created by royal decree in 1666 to be the Mediterranean outlet for the Canal du Midi, which connected the Atlantic to the Mediterranean.</t>
  </si>
  <si>
    <t>What was the primary occupation of the earliest jousters in Sète?</t>
  </si>
  <si>
    <t>A) Soldiers, B) Noblemen, C) Fishermen and port workers, D) Farmers</t>
  </si>
  <si>
    <t>C) Fishermen and port workers</t>
  </si>
  <si>
    <t>The sport was born from the city's working-class population of fishermen and mariners, who adapted their boating skills to the contest.</t>
  </si>
  <si>
    <t>In the 19th century, what technological innovation began to change the nature of some regional jousting methods?</t>
  </si>
  <si>
    <t>A) The invention of fiberglass, B) The introduction of the steam engine and motorized boats, C) The use of plastic lances, D) The invention of the life jacket</t>
  </si>
  <si>
    <t>B) The introduction of the steam engine and motorized boats</t>
  </si>
  <si>
    <t>Some methods, like the Lyonnaise, adopted mechanical propulsion, which changed the speed and style of the joust.</t>
  </si>
  <si>
    <t>What is the term for the raised platform at the stern of the boat on which the Languedocienne jouster stands?</t>
  </si>
  <si>
    <t>A) The deck, B) The forecastle, C) The tintaine, D) The rostrum</t>
  </si>
  <si>
    <t>C) The tintaine</t>
  </si>
  <si>
    <t>The tintaine is the small, unstable stage where the jouster must balance, a key and challenging feature of the Languedocienne method.</t>
  </si>
  <si>
    <t>The wooden shield used by the jouster is called what?</t>
  </si>
  <si>
    <t>A) An Escutcheon, B) A Targe, C) A Pavois, D) A Buckler</t>
  </si>
  <si>
    <t>C) A Pavois</t>
  </si>
  <si>
    <t>The pavois is the large, wooden shield that protects the jouster's torso and serves as the primary target for the opponent's lance.</t>
  </si>
  <si>
    <t>Which of the four main French methods is known for being practiced on the Rhine River?</t>
  </si>
  <si>
    <t>A) The Parisian Method, B) The Provençale Method, C) The Lyonnaise Method, D) The Alsatian Method</t>
  </si>
  <si>
    <t>D) The Alsatian Method</t>
  </si>
  <si>
    <t>The Alsatian method, practiced in cities like Strasbourg, has its own unique rules and traditions and takes place on the Rhine.</t>
  </si>
  <si>
    <t>The historical rivalry in jousting is famously between which two neighborhoods in Sète?</t>
  </si>
  <si>
    <t>A) La Plagette and Le Quartier Haut, B) La Pointe Courte and Le Barrou, C) The Old Port and the New Port, D) Mont Saint-Clair and the Canals</t>
  </si>
  <si>
    <t>B) La Pointe Courte and Le Barrou</t>
  </si>
  <si>
    <t>These two traditional fishing communities have a fierce but friendly rivalry that is a major feature of the Saint Louis Festival.</t>
  </si>
  <si>
    <t>Historically, what did a jouster's victory bring to their community or neighborhood?</t>
  </si>
  <si>
    <t>A) A large sum of money, B) Political power, C) Great honor and bragging rights for the year, D) A public holiday</t>
  </si>
  <si>
    <t>C) Great honor and bragging rights for the year</t>
  </si>
  <si>
    <t>A victory, especially in the Saint Louis tournament, is a source of immense pride for the winner's entire neighborhood.</t>
  </si>
  <si>
    <t>Which material was historically used for the tips of the lances?</t>
  </si>
  <si>
    <t>A) Bronze, B) Steel, C) Iron, D) Sharpened wood</t>
  </si>
  <si>
    <t>C) Iron</t>
  </si>
  <si>
    <t>The lances are tipped with a trident-shaped iron point (trois-points) designed to grip the opponent's shield.</t>
  </si>
  <si>
    <t>What is the historical significance of the color of the boats, one red and one blue?</t>
  </si>
  <si>
    <t>A) They represent the colors of the French flag, B) They represent two historical rival families, C) They are the traditional colors of the fishermen of Sète, D) It is a random choice</t>
  </si>
  <si>
    <t>C) They are the traditional colors of the fishermen of Sète</t>
  </si>
  <si>
    <t>The red and blue colors are a key part of the visual identity and tradition of the Languedocienne method.</t>
  </si>
  <si>
    <t>In what year was the French Federation of Nautical Jousting and Lifesaving (FFJSN) officially founded?</t>
  </si>
  <si>
    <t>A) 1888, B) 1901, C) 1925, D) 1960</t>
  </si>
  <si>
    <t>D) 1960</t>
  </si>
  <si>
    <t>The modern federation was founded in 1960 to standardize rules and organize the sport on a national level, though its member societies are much older.</t>
  </si>
  <si>
    <t>What is a "bouletch"?</t>
  </si>
  <si>
    <t>A) A type of boat, B) The traditional cry of the jousters, C) A famous jouster from the past, D) The mixture of traditional music played during the tournament</t>
  </si>
  <si>
    <t>D) The mixture of traditional music played during the tournament</t>
  </si>
  <si>
    <t>The bouletch is the unique and stirring sound of the oboes and drums of the peñas, an essential part of the atmosphere.</t>
  </si>
  <si>
    <t>The tradition of nautical jousting in Switzerland is first described in medieval manuscripts from which city?</t>
  </si>
  <si>
    <t>A) Geneva, B) Bern, C) Zurich, D) Basel</t>
  </si>
  <si>
    <t>C) Zurich</t>
  </si>
  <si>
    <t>Manuscripts from the 14th and 15th centuries depict water jousting tournaments held on Lake Zurich.</t>
  </si>
  <si>
    <t>What is a key difference in the boats used in the Provençale method compared to the Languedocienne method?</t>
  </si>
  <si>
    <t>A) They are much smaller and lighter, B) They are made of fiberglass, C) They have no rowers, D) They are propelled by a single person with a pole</t>
  </si>
  <si>
    <t>A) They are much smaller and lighter</t>
  </si>
  <si>
    <t>The Provençale method, practiced in ports like Marseille, uses smaller, faster boats with fewer rowers, leading to a different style of joust.</t>
  </si>
  <si>
    <t>The historical chronicles of Lyon mention nautical jousts being held to celebrate the arrival of what important goods?</t>
  </si>
  <si>
    <t>A) Silk from Italy, B) Wine from Burgundy, C) Salt from the Mediterranean, D) Timber from the mountains</t>
  </si>
  <si>
    <t>C) Salt from the Mediterranean</t>
  </si>
  <si>
    <t>The powerful guild of salt merchants in Lyon often sponsored jousts and other festivities to celebrate the arrival of their valuable cargo.</t>
  </si>
  <si>
    <t>What is the historical role of the "helmsman" or patron of the boat?</t>
  </si>
  <si>
    <t>A) To row the fastest, B) To steer the heavy boat with a large oar and command the rowers, C) To be the team captain, D) To be the main sponsor</t>
  </si>
  <si>
    <t>B) To steer the heavy boat with a large oar and command the rowers</t>
  </si>
  <si>
    <t>The patron is the experienced leader at the stern of the boat, responsible for guiding its course and setting the rhythm for the rowers.</t>
  </si>
  <si>
    <t>In the 19th century, which famous French artist painted scenes of nautical jousting in the south of France?</t>
  </si>
  <si>
    <t>A) Claude Monet, B) Auguste Renoir, C) Paul Cézanne, D) André-Joseph Mégrot</t>
  </si>
  <si>
    <t>D) André-Joseph Mégrot</t>
  </si>
  <si>
    <t>The artist André-Joseph Mégrot is known for his detailed and lively paintings of the jousting festivals in Sète.</t>
  </si>
  <si>
    <t>What historical event in the 19th century reinforced the link between jousting societies and lifesaving?</t>
  </si>
  <si>
    <t>A) A major naval battle, B) A series of devastating floods on the Rhône River, C) The sinking of a passenger ship, D) The French Revolution</t>
  </si>
  <si>
    <t>B) A series of devastating floods on the Rhône River</t>
  </si>
  <si>
    <t>The skilled boatmen of the jousting societies in cities like Lyon played a heroic role in rescuing people during the great floods of the 1840s and 1850s.</t>
  </si>
  <si>
    <t>The modern sport's governing body, the FFJSN, is based in which country?</t>
  </si>
  <si>
    <t>A) Switzerland, B) Italy, C) Spain, D) France</t>
  </si>
  <si>
    <t>D) France</t>
  </si>
  <si>
    <t>The Fédération Française de Joutes et de Sauvetage Nautique is the official governing body for the sport in France.</t>
  </si>
  <si>
    <t>What is the name of the traditional, high-pitched wind instrument that leads the music at a jousting festival?</t>
  </si>
  <si>
    <t>A) The trumpet, B) The clarinet, C) The oboe (hautbois), D) The flute</t>
  </si>
  <si>
    <t>C) The oboe (hautbois)</t>
  </si>
  <si>
    <t>The piercing, festive sound of the Languedoc oboe is the signature instrument of the jousting bands.</t>
  </si>
  <si>
    <t>The tradition of carrying the winning jouster through the streets on the shoulders of his supporters is known as what?</t>
  </si>
  <si>
    <t>A) The Victory March, B) The Parade, C) The Triumph, D) It has no specific name</t>
  </si>
  <si>
    <t>C) The Triumph</t>
  </si>
  <si>
    <t>This celebratory procession is a classic ritual, where the champion is honored by his entire neighborhood.</t>
  </si>
  <si>
    <t>What is the main characteristic of the "Parisian" method of jousting?</t>
  </si>
  <si>
    <t>A) It is played on the Seine River, B) It involves jousters who stand on platforms and are pulled by ropes, C) It uses very long lances, D) It is the most popular method</t>
  </si>
  <si>
    <t>B) It involves jousters who stand on platforms and are pulled by ropes</t>
  </si>
  <si>
    <t>This method is unique in that the jousters are on static platforms and are pulled towards each other by their teammates, rather than being on boats.</t>
  </si>
  <si>
    <t>The Museum of the Sea in Sète has an entire section dedicated to what aspect of the sport?</t>
  </si>
  <si>
    <t>A) The history of the boats, B) The biographies of famous jousters, C) The evolution of the lances and shields, D) All of the above</t>
  </si>
  <si>
    <t>D) All of the above</t>
  </si>
  <si>
    <t>The museum has an extensive collection that covers all the historical and cultural aspects of the city's most famous tradition.</t>
  </si>
  <si>
    <t>The jousting tournaments in Sète are held in what body of water?</t>
  </si>
  <si>
    <t>A) The Mediterranean Sea, B) The Étang de Thau lagoon, C) The Canal Royal, D) The Hérault River</t>
  </si>
  <si>
    <t>C) The Canal Royal</t>
  </si>
  <si>
    <t>The city's main canal provides the perfect, straight venue for the tournament, lined with spectators on both sides.</t>
  </si>
  <si>
    <t>In the 15th and 16th centuries, what was the primary purpose of nautical jousting at royal events?</t>
  </si>
  <si>
    <t>A) To train soldiers for naval warfare, B) As a magnificent and expensive spectacle to display the power and wealth of the monarch, C) As a religious ceremony, D) As a way for the king to choose his guards</t>
  </si>
  <si>
    <t>B) As a magnificent and expensive spectacle to display the power and wealth of the monarch</t>
  </si>
  <si>
    <t>Royal jousts were a form of conspicuous consumption, elaborate pageants designed to impress courtiers and foreign dignitaries.</t>
  </si>
  <si>
    <t>What is a "bouc" in the context of Sète jousting?</t>
  </si>
  <si>
    <t>A) The name of a famous jouster, B) A type of boat, C) A derogatory term for an unskilled jouster, D) The goat prize for the winner</t>
  </si>
  <si>
    <t>B) A type of boat</t>
  </si>
  <si>
    <t>The "Bouc" is a type of traditional fishing boat from which the modern red and blue jousting boats evolved.</t>
  </si>
  <si>
    <t>What is the significance of the "Monday of the Saint Louis" during the festival?</t>
  </si>
  <si>
    <t>A) It is the opening day, B) It is the day of the heavyweight Gold Cup final, C) It is a day of rest, D) It is the day for the youth competitions</t>
  </si>
  <si>
    <t>B) It is the day of the heavyweight Gold Cup final</t>
  </si>
  <si>
    <t>This is the final, most important day of the tournament, when the most prestigious prize in the sport is contested.</t>
  </si>
  <si>
    <t>The rules of the Languedocienne method were first formally codified by which body?</t>
  </si>
  <si>
    <t>A) The French government, B) The city of Sète, C) The jousting societies themselves, D) The ITPF</t>
  </si>
  <si>
    <t>C) The jousting societies themselves</t>
  </si>
  <si>
    <t>The rules of the sport evolved over centuries and were formally written down and agreed upon by the local jousting clubs.</t>
  </si>
  <si>
    <t>What is a key difference in the lances used in the Alsatian method?</t>
  </si>
  <si>
    <t>A) They are much shorter, B) They have a padded tip, C) They are made of metal, D) They are much longer and heavier</t>
  </si>
  <si>
    <t>D) They are much longer and heavier</t>
  </si>
  <si>
    <t>The Alsatian method uses very long, heavy lances and requires the jousters to be strapped to their platforms for stability.</t>
  </si>
  <si>
    <t>In which century did nautical jousting become less of a noble pastime and more of a working-class folk sport?</t>
  </si>
  <si>
    <t>A) The 16th century, B) The 17th century, C) The 18th century, D) The 19th century</t>
  </si>
  <si>
    <t>C) The 18th century</t>
  </si>
  <si>
    <t>After the French Revolution and the decline of the monarchy, the sport lost its royal patronage and became more strongly associated with local, working-class communities.</t>
  </si>
  <si>
    <t>The city of Aigues-Mortes is historically significant for being the departure point for which Crusades?</t>
  </si>
  <si>
    <t>A) The First and Second Crusades, B) The Fourth Crusade, C) The Seventh and Eighth Crusades, D) The Children's Crusade</t>
  </si>
  <si>
    <t>C) The Seventh and Eighth Crusades</t>
  </si>
  <si>
    <t>These two Crusades were led by King Louis IX (Saint Louis), the patron saint of the Sète festival.</t>
  </si>
  <si>
    <t>What is the primary purpose of the three-pronged iron tip (trois-points) on the lance?</t>
  </si>
  <si>
    <t>A) To injure the opponent, B) To provide a better grip on the opponent's wooden shield, C) It is purely decorative, D) To break the opponent's lance</t>
  </si>
  <si>
    <t>B) To provide a better grip on the opponent's wooden shield</t>
  </si>
  <si>
    <t>The three points are designed to dig into the wood of the pavois, ensuring a solid connection that can unseat the opponent.</t>
  </si>
  <si>
    <t>What is the historical reason for the strong tradition of "jousting families" in Sète?</t>
  </si>
  <si>
    <t>A) It is a rule that you must be from such a family to compete, B) The skills and traditions were passed down directly from father to son, C) These families were the wealthiest, D) These families were the only ones allowed to own boats</t>
  </si>
  <si>
    <t>B) The skills and traditions were passed down directly from father to son</t>
  </si>
  <si>
    <t>For generations, the art of jousting was a family affair, with knowledge and passion being transmitted through lineage.</t>
  </si>
  <si>
    <t>The modern French Federation of the sport also includes the words "Sauvetage Nautique" (Nautical Lifesaving) in its name. Why?</t>
  </si>
  <si>
    <t>A) Because the sport is dangerous, B) It is a historical legacy from the 19th-century flood rescue role of the jousting societies, C) All jousters must also be certified lifeguards, D) It is a government requirement</t>
  </si>
  <si>
    <t>B) It is a historical legacy from the 19th-century flood rescue role of the jousting societies</t>
  </si>
  <si>
    <t>The name honors the history of the founding clubs, which were unions of boatmen who served as official first responders during floods.</t>
  </si>
  <si>
    <t>What is a key feature of the "Provençale" method of jousting?</t>
  </si>
  <si>
    <t>A) The jouster sits down, B) The jouster must not fall into the water, but must remain on a special platform, C) The boats are extremely large, D) The lances are very short</t>
  </si>
  <si>
    <t>B) The jouster must not fall into the water, but must remain on a special platform</t>
  </si>
  <si>
    <t>In this method, the goal is to knock the opponent off the tintaine, but the winner must remain perfectly balanced on their own platform to score.</t>
  </si>
  <si>
    <t>What is a "Cheval marin" (sea horse) in the context of historical jousting pageants?</t>
  </si>
  <si>
    <t>A) The name of a famous boat, B) An elaborate float, often shaped like a mythical sea creature, used in royal water festivals, C) A type of fish, D) The nickname for a champion jouster</t>
  </si>
  <si>
    <t>B) An elaborate float, often shaped like a mythical sea creature, used in royal water festivals</t>
  </si>
  <si>
    <t>Renaissance festivals on the water often included fantastical floats and mock battles between boats designed to look like sea monsters.</t>
  </si>
  <si>
    <t>What is the "Barque de parade"?</t>
  </si>
  <si>
    <t>A) The boat used for the final match, B) The highly decorated boat used to carry the jousting society's officials and musicians, C) A boat for spectators, D) A boat used for training</t>
  </si>
  <si>
    <t>B) The highly decorated boat used to carry the jousting society's officials and musicians</t>
  </si>
  <si>
    <t>Before the competition, a parade of boats takes place, led by the ceremonial parade boat of each jousting club.</t>
  </si>
  <si>
    <t>What is the primary role of the President of a jousting society?</t>
  </si>
  <si>
    <t>A) To be the best jouster, B) To act as the head administrator, patron, and representative of the club, C) To be the main referee, D) To build the boats</t>
  </si>
  <si>
    <t>B) To act as the head administrator, patron, and representative of the club</t>
  </si>
  <si>
    <t>The President is the leader of the society, responsible for its organization, finances, and upholding its traditions.</t>
  </si>
  <si>
    <t>The city of Lyon's jousting tradition is tied to what historical group?</t>
  </si>
  <si>
    <t>A) The fishermen of the Saône, B) The silk weavers, C) The river mariners and boatmen who transported goods, D) The royal guards</t>
  </si>
  <si>
    <t>C) The river mariners and boatmen who transported goods</t>
  </si>
  <si>
    <t>The powerful guilds of boatmen who controlled trade on the Rhône and Saône rivers were the original organizers of the sport in Lyon.</t>
  </si>
  <si>
    <t>In the 18th century, what was a common prize for a victorious jouster?</t>
  </si>
  <si>
    <t>A) A live sheep or a barrel of wine, B) A large sum of gold, C) A title of nobility, D) A new boat</t>
  </si>
  <si>
    <t>A) A live sheep or a barrel of wine</t>
  </si>
  <si>
    <t>Before large cash prizes became common, the rewards were often practical and symbolic, such as livestock or produce.</t>
  </si>
  <si>
    <t>What is the main characteristic of the jousting style of the "Parisian" method?</t>
  </si>
  <si>
    <t>A) It is the fastest method, B) It takes place on two fixed platforms, with the jousters pulled towards each other on a sliding chariot, C) It is played on the sea, D) It uses the longest lances</t>
  </si>
  <si>
    <t>B) It takes place on two fixed platforms, with the jousters pulled towards each other on a sliding chariot</t>
  </si>
  <si>
    <t>This unique method, practiced on canals in and around Paris, is very different from the boat-based styles of the south.</t>
  </si>
  <si>
    <t>What is the historical significance of the year 1666 for the city of Sète?</t>
  </si>
  <si>
    <t>A) It was the year of a great naval victory, B) It was the year the city was officially founded by royal decree, C) It was the year of the first Saint Louis Festival, D) Both B and C</t>
  </si>
  <si>
    <t>D) Both B and C</t>
  </si>
  <si>
    <t>The city was founded to serve the Canal du Midi, and the very first Saint Louis festival with its jousting tournament was held that same year.</t>
  </si>
  <si>
    <t>The medieval chronicles often describe jousts as being held for what purpose?</t>
  </si>
  <si>
    <t>A) To settle legal disputes, B) To celebrate a royal entry into a city, a wedding, or a birth, C) As a weekly sporting event, D) As a way to select soldiers</t>
  </si>
  <si>
    <t>B) To celebrate a royal entry into a city, a wedding, or a birth</t>
  </si>
  <si>
    <t>Nautical jousting was a key part of the official program of festivities for any major royal or noble celebration.</t>
  </si>
  <si>
    <t>What is the primary wood used for the long, heavy lances in the Languedocienne method?</t>
  </si>
  <si>
    <t>A) Oak, B) Pine, C) Ash or another strong, slightly flexible wood, D) Bamboo</t>
  </si>
  <si>
    <t>C) Ash or another strong, slightly flexible wood</t>
  </si>
  <si>
    <t>The lance must be incredibly strong to withstand the impact but have a slight flex to prevent it from shattering.</t>
  </si>
  <si>
    <t>The tradition of nautical jousting in Switzerland is most famously associated with which city?</t>
  </si>
  <si>
    <t>Manuscripts from the 14th and 15th centuries depict water jousting tournaments (Schifferstechen) held on Lake Zurich.</t>
  </si>
  <si>
    <t>In the 19th century, how did the development of the railway system in France affect nautical jousting?</t>
  </si>
  <si>
    <t>A) It caused the sport to decline, B) It had no effect, C) It allowed jousters and spectators to travel more easily, leading to inter-city rivalries and larger festivals, D) It replaced the canals for transport</t>
  </si>
  <si>
    <t>C) It allowed jousters and spectators to travel more easily, leading to inter-city rivalries and larger festivals</t>
  </si>
  <si>
    <t>The railway made it possible for jousting societies from different towns and regions to compete against each other, helping to formalize the sport.</t>
  </si>
  <si>
    <t>What is the "Tableau d'honneur"?</t>
  </si>
  <si>
    <t>A) The official rulebook, B) The list of all past winners of the Saint Louis Festival, C) The name of the judging panel, D) The menu for the post-tournament feast</t>
  </si>
  <si>
    <t>B) The list of all past winners of the Saint Louis Festival</t>
  </si>
  <si>
    <t>This "Table of Honor" is a prestigious record of all the champions, a key part of the sport's history.</t>
  </si>
  <si>
    <t>The jousting societies in France are often structured like what other type of traditional organization?</t>
  </si>
  <si>
    <t>A) A modern sports club, B) A professional trade guild, C) A political party, D) A musical band</t>
  </si>
  <si>
    <t>B) A professional trade guild</t>
  </si>
  <si>
    <t>With their strict hierarchies, social functions, and focus on a specific skill, the societies have their roots in the medieval guild system.</t>
  </si>
  <si>
    <t>What is the significance of the "Joutes de la St-Clair" in the jousting season?</t>
  </si>
  <si>
    <t>A) It is the first major tournament of the season, B) It is the final tournament of the season, C) It is a tournament for children only, D) It is the name of the Lyon tournament</t>
  </si>
  <si>
    <t>B) It is the final tournament of the season</t>
  </si>
  <si>
    <t>This tournament, held in Sète, traditionally marks the end of the competitive jousting season.</t>
  </si>
  <si>
    <t>The design of the heavy jousting boats is based on what type of historical vessel?</t>
  </si>
  <si>
    <t>A) A war galley, B) A Viking longship, C) A traditional Mediterranean fishing boat, D) A river barge</t>
  </si>
  <si>
    <t>C) A traditional Mediterranean fishing boat</t>
  </si>
  <si>
    <t>The boats evolved from the sturdy, stable fishing vessels used by the local communities.</t>
  </si>
  <si>
    <t>What does a jouster's white attire symbolize?</t>
  </si>
  <si>
    <t>A) It represents purity and sportsmanship, B) It is the coolest color to wear in the summer, C) It makes it easier for judges to see the target, D) It is the cheapest fabric</t>
  </si>
  <si>
    <t>A) It represents purity and sportsmanship</t>
  </si>
  <si>
    <t>The traditional all-white uniform is a symbol of the jouster's honor and the "clean" nature of the sport.</t>
  </si>
  <si>
    <t>What is the primary role of the "Conseil d'Administration" of a jousting society?</t>
  </si>
  <si>
    <t>A) To be the best jousters, B) To act as the board of directors, managing the club's affairs, C) To be the referees, D) To build and maintain the boats</t>
  </si>
  <si>
    <t>B) To act as the board of directors, managing the club's affairs</t>
  </si>
  <si>
    <t>This is the administrative body responsible for the governance and organization of the jousting club.</t>
  </si>
  <si>
    <t>In historical pageants, who were the jousters often dressed up as?</t>
  </si>
  <si>
    <t>A) Fishermen, B) Knights and Saracens, C) Roman gladiators, D) French and English soldiers</t>
  </si>
  <si>
    <t>B) Knights and Saracens</t>
  </si>
  <si>
    <t>Royal festivals often staged the jousts as a mock battle or a reenactment of Crusader legends, with jousters in costume.</t>
  </si>
  <si>
    <t>What is the historical origin of the term "tintaine"?</t>
  </si>
  <si>
    <t>A) It is the name of a famous jouster, B) It is derived from an old French word for a ship's antenna or mast, C) It is a type of fish, D) It means "small stage" in the Languedoc dialect</t>
  </si>
  <si>
    <t>B) It is derived from an old French word for a ship's antenna or mast</t>
  </si>
  <si>
    <t>The term likely comes from its resemblance to a high, thin platform on a ship.</t>
  </si>
  <si>
    <t>A jouster falls into the water. What is the immediate action of the "plongeurs" (divers)?</t>
  </si>
  <si>
    <t>A) To declare the winner, B) To help the jouster safely out of the water and retrieve their equipment, C) To rescue the opponent, D) To fix the boat</t>
  </si>
  <si>
    <t>B) To help the jouster safely out of the water and retrieve their equipment</t>
  </si>
  <si>
    <t>These are the official safety swimmers who are in the water to ensure the immediate safety of any jouster who falls.</t>
  </si>
  <si>
    <t>What is a "lancy d'or" (golden lance)?</t>
  </si>
  <si>
    <t>A) A special prize for the most stylish jouster, B) The name of the final round, C) A mythical weapon, D) The nickname for a champion jouster</t>
  </si>
  <si>
    <t>A) A special prize for the most stylish jouster</t>
  </si>
  <si>
    <t>In some tournaments, a special award is given for the jouster who demonstrates the most perfect and beautiful technique, even if they don't win.</t>
  </si>
  <si>
    <t>The jousting tradition in the city of Agde is notable for what unique feature?</t>
  </si>
  <si>
    <t>A) They use much smaller boats, B) The jousts are held at sea, C) They have a famous tradition of night jousting, D) They use swords instead of lances</t>
  </si>
  <si>
    <t>C) They have a famous tradition of night jousting</t>
  </si>
  <si>
    <t>The city of Agde is renowned for its spectacular jousting tournaments held at night under lights.</t>
  </si>
  <si>
    <t>In the 17th century, the "Société des Jouteurs" in Lyon was also responsible for what civil duty?</t>
  </si>
  <si>
    <t>A) Operating the ferry service across the river, B) Acting as the city's fire brigade, C) Policing the river and acting as a form of coast guard, D) Collecting taxes from boats</t>
  </si>
  <si>
    <t>C) Policing the river and acting as a form of coast guard</t>
  </si>
  <si>
    <t>The powerful boatmen's guild had official duties related to the safety and security of the river.</t>
  </si>
  <si>
    <t>What does the gesture of the two jousters shaking hands with their lances before a pass signify?</t>
  </si>
  <si>
    <t>A) They are testing the lances, B) It is a mutual salute and a sign of respect, C) They are aligning their boats, D) It is a signal to the referee</t>
  </si>
  <si>
    <t>B) It is a mutual salute and a sign of respect</t>
  </si>
  <si>
    <t>This ritual, known as the "appel," is a formal acknowledgment of the opponent before the contest begins.</t>
  </si>
  <si>
    <t>What is the main reason that the Languedocienne method is considered the "queen" of all jousting styles?</t>
  </si>
  <si>
    <t>A) It is the oldest, B) It involves the heaviest boats, the most rowers, and the largest, most prestigious festivals, C) It is the only one recognized by the government, D) It is the most dangerous</t>
  </si>
  <si>
    <t>B) It involves the heaviest boats, the most rowers, and the largest, most prestigious festivals</t>
  </si>
  <si>
    <t>The sheer scale, power, and tradition of the Sète-style jousts make it the premier category of the sport.</t>
  </si>
  <si>
    <t>A jouster is said to have "made a bouquet." What does this mean?</t>
  </si>
  <si>
    <t>A) They have won the tournament, B) They have fallen into the water in a spectacular way, C) They have broken their lance, D) They have presented flowers to the winner</t>
  </si>
  <si>
    <t>B) They have fallen into the water in a spectacular way</t>
  </si>
  <si>
    <t>This is a poetic and humorous slang term for taking a spectacular tumble into the canal.</t>
  </si>
  <si>
    <t>The historical archives of which French city contain the oldest known written rules for a jousting tournament?</t>
  </si>
  <si>
    <t>A) Sète, B) Paris, C) Lyon, D) Marseille</t>
  </si>
  <si>
    <t>C) Lyon</t>
  </si>
  <si>
    <t>The municipal archives of Lyon hold some of the earliest documents that lay out the formal regulations for conducting a jousting competition.</t>
  </si>
  <si>
    <t>What is the primary role of the "barge" in the Parisian method of jousting?</t>
  </si>
  <si>
    <t>A) It is the boat the rowers sit in, B) It is a large, stable floating platform on which the jousting track is built, C) It is a spectator boat, D) It is another name for the lance</t>
  </si>
  <si>
    <t>B) It is a large, stable floating platform on which the jousting track is built</t>
  </si>
  <si>
    <t>The Parisian method takes place on a fixed track built upon a large barge, not on moving boats.</t>
  </si>
  <si>
    <t>What is the historical significance of the jousters being exclusively male?</t>
  </si>
  <si>
    <t>A) It is a modern rule, B) The sport evolved from military and labor guilds which were male-only professions, C) Women were not strong enough, D) It is a religious rule</t>
  </si>
  <si>
    <t>B) The sport evolved from military and labor guilds which were male-only professions</t>
  </si>
  <si>
    <t>The tradition stems from its origins among soldiers, fishermen, and boatmen—professions historically dominated by men.</t>
  </si>
  <si>
    <t>Which famous 19th-century French novel describes a scene of nautical jousting on the Seine?</t>
  </si>
  <si>
    <t>A) Les Misérables by Victor Hugo, B) The Count of Monte Cristo by Alexandre Dumas, C) Madame Bovary by Gustave Flaubert, D) L'Assommoir by Émile Zola</t>
  </si>
  <si>
    <t>D) L'Assommoir by Émile Zola</t>
  </si>
  <si>
    <t>Zola's novel includes a vivid description of a working-class festival in Paris that features a nautical jousting contest.</t>
  </si>
  <si>
    <t>The "joutes provençales" are characterized by what unique feature of the tintaine?</t>
  </si>
  <si>
    <t>A) It is much higher, B) It is at the front of the boat, C) It is a fixed platform, and the jouster stands with both feet forward, D) It is very small</t>
  </si>
  <si>
    <t>C) It is a fixed platform, and the jouster stands with both feet forward</t>
  </si>
  <si>
    <t>In the Marseillaise style, the platform is fixed, and the stance is different, with the jouster facing directly forward.</t>
  </si>
  <si>
    <t>What is the main reason for the strict weight categories in the sport?</t>
  </si>
  <si>
    <t>A) To ensure jousters of similar size compete against each other for fairness, B) To make sure the boats are not overloaded, C) It is a tradition, D) To make it easier for the judges</t>
  </si>
  <si>
    <t>A) To ensure jousters of similar size compete against each other for fairness</t>
  </si>
  <si>
    <t>As in boxing or wrestling, weight categories ensure that the contest is a test of skill, not just a matter of size and strength.</t>
  </si>
  <si>
    <t>What is the traditional cry or motto of the Saint Louis festival?</t>
  </si>
  <si>
    <t>A) "Liberty, Equality, Fraternity," B) "For the King and for Sète," C) "Voilà le bouquet!" (There's the bouquet!), D) "Glory to the Jousters!"</t>
  </si>
  <si>
    <t>C) "Voilà le bouquet!" (There's the bouquet!)</t>
  </si>
  <si>
    <t>This is the classic, humorous cry from the crowd when a jouster is sent flying into the water.</t>
  </si>
  <si>
    <t>The French Nautical Jousting Federation also includes "Sauvetage Nautique" (Nautical Lifesaving) in its name. This reflects the historical role of jousters in what?</t>
  </si>
  <si>
    <t>A) Rescuing people during river floods, B) Acting as the first navy, C) Saving fishermen at sea, D) Competing in lifesaving competitions</t>
  </si>
  <si>
    <t>A) Rescuing people during river floods</t>
  </si>
  <si>
    <t>The jousting societies of the Rhône valley were composed of skilled boatmen who were the official first responders for flood rescues.</t>
  </si>
  <si>
    <t>Which of these is a key difference in the Alsatian method of jousting?</t>
  </si>
  <si>
    <t>A) It is done on a lake, B) The jousters are strapped to the boat and use very long, heavy lances, C) It is a non-contact sport, D) It is the oldest method</t>
  </si>
  <si>
    <t>B) The jousters are strapped to the boat and use very long, heavy lances</t>
  </si>
  <si>
    <t>The Strasbourg style is very different, focused on stability and power with the jousters secured to the boat.</t>
  </si>
  <si>
    <t>What is the historical origin of the red and blue colors of the boats in Sète?</t>
  </si>
  <si>
    <t>A) They are the colors of the French flag, B) They represent the historical political factions of the city, C) They are the traditional colors of the port's two sides: the fishermen and the dock workers, D) They are the colors of the royal family</t>
  </si>
  <si>
    <t>C) They are the traditional colors of the port's two sides: the fishermen and the dock workers</t>
  </si>
  <si>
    <t>The colors symbolize the two historic working-class communities of the port from which the jousters originated.</t>
  </si>
  <si>
    <t>The grand parade that opens the Saint Louis Festival involves what?</t>
  </si>
  <si>
    <t>A) A horse parade, B) A procession of all the jousting societies on their decorated boats through the canals, C) A military parade, D) A floral parade</t>
  </si>
  <si>
    <t>B) A procession of all the jousting societies on their decorated boats through the canals</t>
  </si>
  <si>
    <t>The opening ceremony is a spectacular parade of the teams, their boats, and their musicians through the city's main canal.</t>
  </si>
  <si>
    <t>In the 18th and 19th centuries, what was the primary motivation for a young man to become a jouster?</t>
  </si>
  <si>
    <t>A) To earn a large amount of money, B) To gain honor, local fame, and social prestige, C) To get a job as a professional athlete, D) To travel to other countries</t>
  </si>
  <si>
    <t>B) To gain honor, local fame, and social prestige</t>
  </si>
  <si>
    <t>In a tight-knit community, being a champion jouster was a source of immense personal and neighborhood pride.</t>
  </si>
  <si>
    <t>What is the role of the "Barge d'honneur" (Barge of Honor) during the tournaments?</t>
  </si>
  <si>
    <t>A) It is the boat used by the defending champion, B) It is a ceremonial barge for the musicians and officials, C) It is a boat for spectators, D) It is the prize for the winning team</t>
  </si>
  <si>
    <t>B) It is a ceremonial barge for the musicians and officials</t>
  </si>
  <si>
    <t>Each jousting society has a highly decorated parade boat for its band and dignitaries, which is a key part of the pageantry.</t>
  </si>
  <si>
    <t>The design of the traditional Languedocienne jousting boat is based on what type of vessel?</t>
  </si>
  <si>
    <t>A) A Venetian gondola, B) A river barge, C) A historic Mediterranean fishing boat, D) A Viking longship</t>
  </si>
  <si>
    <t>C) A historic Mediterranean fishing boat</t>
  </si>
  <si>
    <t>The sturdy and stable design of the jousting boats evolved from the traditional fishing boats used in the port of Sète.</t>
  </si>
  <si>
    <t>What is the main reason that the sport has remained concentrated in specific regions of France?</t>
  </si>
  <si>
    <t>A) It is banned elsewhere, B) The traditions are deeply tied to the local identity and geography of river and canal towns, C) The equipment is too difficult to make elsewhere, D) Other French people do not like the sport</t>
  </si>
  <si>
    <t>B) The traditions are deeply tied to the local identity and geography of river and canal towns</t>
  </si>
  <si>
    <t>Nautical jousting is a hyper-local folk sport, with its customs and rivalries being an integral part of the history of a few specific cities.</t>
  </si>
  <si>
    <t>In medieval times, what was the likely material for the lances?</t>
  </si>
  <si>
    <t>A) Iron, B) Steel, C) Solid wood, like ash or chestnut, D) Bamboo</t>
  </si>
  <si>
    <t>C) Solid wood, like ash or chestnut</t>
  </si>
  <si>
    <t>The lances have always been made of wood, chosen for its combination of strength and a slight, non-shattering flex.</t>
  </si>
  <si>
    <t>A jouster falls perfectly straight back into the water. What is this considered?</t>
  </si>
  <si>
    <t>A) A clumsy fall, B) The mark of an experienced jouster who knows how to fall safely, C) A foul, D) A reason for a re-run</t>
  </si>
  <si>
    <t>B) The mark of an experienced jouster who knows how to fall safely</t>
  </si>
  <si>
    <t>A good jouster learns how to take a fall correctly to avoid injury, falling straight backward like a felled tree.</t>
  </si>
  <si>
    <t>What is the significance of the "Pavois d'Or" (Golden Shield) tournament in Sète?</t>
  </si>
  <si>
    <t>A) It is the main championship, B) It is one of the most prestigious tournaments of the season, alongside the Saint Louis, C) It is a tournament for junior jousters, D) It is a historical reenactment</t>
  </si>
  <si>
    <t>B) It is one of the most prestigious tournaments of the season, alongside the Saint Louis</t>
  </si>
  <si>
    <t>The "Golden Shield" is another major and highly coveted prize in the Languedocienne jousting calendar.</t>
  </si>
  <si>
    <t>Who is considered the "patron saint" of the city of Sète and its jousters?</t>
  </si>
  <si>
    <t>A) Saint Peter, B) Saint Nicholas, C) Saint Louis (King Louis IX), D) Saint Christopher</t>
  </si>
  <si>
    <t>C) Saint Louis (King Louis IX)</t>
  </si>
  <si>
    <t>The city and its main festival are named after King Louis IX, who famously departed for the Crusades from nearby Aigues-Mortes.</t>
  </si>
  <si>
    <t>The founding of the French Federation in the 20th century helped to do what for the sport?</t>
  </si>
  <si>
    <t>A) Standardize the rules across different regions, B) Make the sport more professional, C) Organize a national championship, D) All of the above</t>
  </si>
  <si>
    <t>The creation of the FFJSN was a key step in transforming the various local folk traditions into a unified and organized modern sport.</t>
  </si>
  <si>
    <t>What is the main reason for the ten rowers on each boat in the Languedocienne method?</t>
  </si>
  <si>
    <t>A) To make the boat look impressive, B) The boats are extremely heavy and require immense manpower to propel them at a consistent speed, C) To have substitute rowers, D) It is just a tradition</t>
  </si>
  <si>
    <t>B) The boats are extremely heavy and require immense manpower to propel them at a consistent speed</t>
  </si>
  <si>
    <t>The weight of the wooden boats and the need for a smooth, powerful glide requires a large and synchronized team of rowers.</t>
  </si>
  <si>
    <t>What is the ultimate symbol of a champion jouster in Sète?</t>
  </si>
  <si>
    <t>A) A large cash prize, B) Their name being added to the "Tableau d'honneur" (Table of Honor) of past winners, C) A new boat, D) A golden lance</t>
  </si>
  <si>
    <t>B) Their name being added to the "Tableau d'honneur" (Table of Honor) of past winners</t>
  </si>
  <si>
    <t>Immortality in the sport is achieved when a champion's name is inscribed on the official list of winners of the Saint Louis Festival.</t>
  </si>
  <si>
    <t>Which of the four main French methods is considered the most physically demanding due to the size of the boats and lances?</t>
  </si>
  <si>
    <t>A) The Parisian Method, B) The Lyonnaise Method, C) The Languedocienne Method, D) The Alsatian Method</t>
  </si>
  <si>
    <t>The Sète style uses the heaviest boats and requires the jouster to balance on an unstable platform, demanding incredible strength and stability.</t>
  </si>
  <si>
    <t>What is the primary role of the helmsman (patron) during a pass?</t>
  </si>
  <si>
    <t>A) To shout encouragement, B) To steer the massive boat with a giant oar to ensure a perfect trajectory, C) To watch for fouls, D) To be a substitute jouster</t>
  </si>
  <si>
    <t>B) To steer the massive boat with a giant oar to ensure a perfect trajectory</t>
  </si>
  <si>
    <t>The skill of the patron is just as important as the jouster's, as a slight error in steering can ruin the pass.</t>
  </si>
  <si>
    <t>In historical accounts, what was the social status of most jousters in river towns like Lyon?</t>
  </si>
  <si>
    <t>A) They were noblemen, B) They belonged to the powerful guilds of river boatmen (mariniers), C) They were fishermen, D) They were soldiers</t>
  </si>
  <si>
    <t>B) They belonged to the powerful guilds of river boatmen (mariniers)</t>
  </si>
  <si>
    <t>The sport was a domain of the professional boatmen who controlled trade and transport on the rivers.</t>
  </si>
  <si>
    <t>The French Federation's full name includes "Sauvetage Nautique." What does "sauvetage" mean?</t>
  </si>
  <si>
    <t>A) Sport, B) Tradition, C) Jousting, D) Lifesaving or Rescue</t>
  </si>
  <si>
    <t>D) Lifesaving or Rescue</t>
  </si>
  <si>
    <t>The name honors the historical role of the founding jousting societies as flood rescue units.</t>
  </si>
  <si>
    <t>Which famous 19th-century French novel describes a working-class nautical joust on the Seine river in Paris?</t>
  </si>
  <si>
    <t>A) Les Misérables, B) Madame Bovary, C) L'Assommoir, D) The Count of Monte Cristo</t>
  </si>
  <si>
    <t>C) L'Assommoir</t>
  </si>
  <si>
    <t>Émile Zola's novel includes a vivid description of a popular festival that features a nautical jousting contest, showcasing the Parisian style.</t>
  </si>
  <si>
    <t>The tradition of nautical combat is also found in the history of which other European country, often depicted in medieval manuscripts?</t>
  </si>
  <si>
    <t>A) Germany, B) Spain, C) Poland, D) Russia</t>
  </si>
  <si>
    <t>B) Spain</t>
  </si>
  <si>
    <t>Medieval Spanish chronicles and art also contain depictions of knights and soldiers engaging in combat on boats.</t>
  </si>
  <si>
    <t>A) The prize for the champion, B) A special prize awarded for the most beautiful and perfect jousting style, C) A mythical weapon, D) The nickname for a champion jouster</t>
  </si>
  <si>
    <t>B) A special prize awarded for the most beautiful and perfect jousting style</t>
  </si>
  <si>
    <t>In some tournaments, a special award is given for the jouster who demonstrates the most perfect technique, even if they don't win the main prize.</t>
  </si>
  <si>
    <t>What is a key difference in the platform (tintaine) used in the Provençale method?</t>
  </si>
  <si>
    <t>A) It is much higher, B) It is at the front of the boat, C) It is a fixed platform, and the jouster stands with both feet facing forward, D) It is very small</t>
  </si>
  <si>
    <t>C) It is a fixed platform, and the jouster stands with both feet facing forward</t>
  </si>
  <si>
    <t>In this method, from ports like Marseille, the platform is much lower and more stable, and the jouster's stance is completely different.</t>
  </si>
  <si>
    <t>In the 17th and 18th centuries, jousting festivals were often funded by whom?</t>
  </si>
  <si>
    <t>A) The jousters themselves, B) The city council or a wealthy patron, C) The church, D) The national government</t>
  </si>
  <si>
    <t>B) The city council or a wealthy patron</t>
  </si>
  <si>
    <t>Large public festivals were expensive and relied on the patronage of the city or a local nobleman to be staged.</t>
  </si>
  <si>
    <t>Why is the jousting in Sète so closely linked to the local fishing industry?</t>
  </si>
  <si>
    <t>A) The first jousters were all fishermen, B) The boats are based on traditional fishing vessels, C) The sport's calendar is tied to the fishing seasons, D) All of the above</t>
  </si>
  <si>
    <t>The sport is a direct cultural descendant of the city's fishing community, from its participants to its equipment and timing.</t>
  </si>
  <si>
    <t>A) The boat used for the final match, B) The highly decorated boat used to carry a jousting society's officials and musicians, C) A boat for paying spectators, D) A boat used for training</t>
  </si>
  <si>
    <t>B) The highly decorated boat used to carry a jousting society's officials and musicians</t>
  </si>
  <si>
    <t>What is a key characteristic of the Alsatian method of jousting, practiced in Strasbourg?</t>
  </si>
  <si>
    <t>A) It is the fastest method, B) The jousters are strapped to the boat and use very long lances, C) It is a non-contact sport, D) It is the oldest method</t>
  </si>
  <si>
    <t>B) The jousters are strapped to the boat and use very long lances</t>
  </si>
  <si>
    <t>The Strasbourg style is very different, focused on stability and pure pushing power, with the jousters securely fastened to their platform.</t>
  </si>
  <si>
    <t>In historical pageants, jousters were often dressed in elaborate costumes to represent what?</t>
  </si>
  <si>
    <t>A) Fishermen and farmers, B) Knights and their adversaries, such as Saracens or mythical beasts, C) Roman gladiators, D) French and English soldiers</t>
  </si>
  <si>
    <t>B) Knights and their adversaries, such as Saracens or mythical beasts</t>
  </si>
  <si>
    <t>Royal festivals often staged the jousts as a dramatic mock battle or a reenactment of Crusader legends, complete with rich costumes.</t>
  </si>
  <si>
    <t>A) The official rulebook, B) The prestigious list of all past winners of the Saint Louis Festival, C) The name of the judging panel, D) The menu for the post-tournament feast</t>
  </si>
  <si>
    <t>B) The prestigious list of all past winners of the Saint Louis Festival</t>
  </si>
  <si>
    <t>This "Table of Honor" is a key part of the sport's history, and having one's name inscribed on it is a mark of immortality in the jousting world.</t>
  </si>
  <si>
    <t>The French jousting societies (sociétés de joutes) are historically structured like what type of organization?</t>
  </si>
  <si>
    <t>With their strict hierarchies, social functions, and focus on a specific skill, the societies have their roots in the medieval guild system of boatmen and mariners.</t>
  </si>
  <si>
    <t>What is the significance of the "Joutes de la St-Clair" in the Sète jousting season?</t>
  </si>
  <si>
    <t>A) It is the first major tournament of the season, B) It is the final tournament of the season, C) It is a tournament for children only, D) It is the name of the tournament in Lyon</t>
  </si>
  <si>
    <t>This tournament, held in the Pointe Courte neighborhood, traditionally marks the end of the competitive jousting season in Sète.</t>
  </si>
  <si>
    <t>The piercing, festive sound of the Languedoc oboe, accompanied by a drum (tamborí), is the signature sound of the sport.</t>
  </si>
  <si>
    <t>A jouster falls perfectly straight back into the water. Why is this considered the mark of an experienced jouster?</t>
  </si>
  <si>
    <t>A) It is a more dramatic fall, B) It demonstrates that they know how to fall safely to avoid injury, C) It is a foul, D) It is a reason for a re-run of the pass</t>
  </si>
  <si>
    <t>B) It demonstrates that they know how to fall safely to avoid injury</t>
  </si>
  <si>
    <t>A good jouster learns how to take a fall correctly to avoid hitting the boat or landing awkwardly, falling straight backward like a felled tree.</t>
  </si>
  <si>
    <t>What is the significance of the "Pavois d'Or" (Golden Shield) tournament?</t>
  </si>
  <si>
    <t>A) It is the main championship of the year, B) It is one of the most prestigious tournaments of the season, alongside the Saint Louis, C) It is a tournament for junior jousters, D) It is a historical reenactment only</t>
  </si>
  <si>
    <t>The founding of the French Federation in 1960 had what major effect on the sport?</t>
  </si>
  <si>
    <t>A) It caused the sport to decline, B) It helped to standardize the rules across the different regional methods, C) It banned the sport, D) It made the sport professional</t>
  </si>
  <si>
    <t>B) It helped to standardize the rules across the different regional methods</t>
  </si>
  <si>
    <t>The creation of the FFJSN was a key step in transforming the various local folk traditions into a more unified and organized modern sport.</t>
  </si>
  <si>
    <t>The city of Agde, near Sète, is renowned for its spectacular jousting tournaments held at night under bright lights.</t>
  </si>
  <si>
    <t>A) It is much higher than in other styles, B) It is located at the front of the boat, C) The jouster stands with both feet facing forward on a fixed platform, D) It is very small and round</t>
  </si>
  <si>
    <t>C) The jouster stands with both feet facing forward on a fixed platform</t>
  </si>
  <si>
    <t>What does the gesture of the two jousters touching lances before a pass signify?</t>
  </si>
  <si>
    <t>A) They are testing the lances for strength, B) It is a mutual salute and a sign of respect, C) They are aligning their boats for the pass, D) It is a signal to the referee to start</t>
  </si>
  <si>
    <t>A) It is the oldest method, B) It involves the heaviest boats, the most rowers, and the largest festivals, C) It is the only one recognized by the government, D) It is the most dangerous method</t>
  </si>
  <si>
    <t>B) It involves the heaviest boats, the most rowers, and the largest festivals</t>
  </si>
  <si>
    <t>A) The name of a famous jouster, B) A type of traditional fishing boat from which the jousting boats evolved, C) A derogatory term for an unskilled jouster, D) The goat that was the traditional prize</t>
  </si>
  <si>
    <t>B) A type of traditional fishing boat from which the jousting boats evolved</t>
  </si>
  <si>
    <t>The "Bouc de Sète" is a type of traditional fishing boat, and its sturdy design influenced the construction of the modern red and blue jousting boats.</t>
  </si>
  <si>
    <t>The term likely comes from its resemblance to a high, thin platform on a ship, like a mast's lookout point.</t>
  </si>
  <si>
    <t>A) Saint Peter (patron of fishermen), B) Saint Nicholas (patron of sailors), C) Saint Louis (King Louis IX), D) Saint Christopher (patron of travelers)</t>
  </si>
  <si>
    <t>A) To ensure jousters of similar size compete against each other for fairness, B) To make sure the boats are not overloaded, C) It is a tradition with no practical purpose, D) To make it easier for the judges to identify the jousters</t>
  </si>
  <si>
    <t>As in boxing or wrestling, weight categories ensure that the contest is a test of skill, not just a matter of a larger and stronger person winning.</t>
  </si>
  <si>
    <t>What is the traditional cry or motto of the Saint Louis festival when a jouster falls?</t>
  </si>
  <si>
    <t>A) "Liberty, Equality, Fraternity!", B) "For the King and for Sète!", C) "Voilà le bouquet!" (There's the bouquet!), D) "Glory to the Jousters!"</t>
  </si>
  <si>
    <t>A) It is done on a lake, B) The jousters are strapped to the boat and use very long lances, C) It is a non-contact sport, D) It is the oldest method</t>
  </si>
  <si>
    <t>A) To earn a large amount of money, B) To gain honor, local fame, and social prestige for himself and his neighborhood, C) To get a job as a professional athlete, D) To travel to other countries</t>
  </si>
  <si>
    <t>B) To gain honor, local fame, and social prestige for himself and his neighborhood</t>
  </si>
  <si>
    <t>The sturdy and stable design of the jousting boats evolved from the traditional fishing boats used by the local communities in the port of Sète.</t>
  </si>
  <si>
    <t>Why has the sport of nautical jousting remained concentrated in specific regions of France?</t>
  </si>
  <si>
    <t>A) It is banned elsewhere in the country, B) The traditions are deeply tied to the local identity and geography of specific river and canal towns, C) The equipment is too difficult to make elsewhere, D) Other French people do not like the sport</t>
  </si>
  <si>
    <t>B) The traditions are deeply tied to the local identity and geography of specific river and canal towns</t>
  </si>
  <si>
    <t>A) To declare the winner of the pass, B) To help the jouster safely out of the water and retrieve their lance and shield, C) To rescue the opponent who is still on the boat, D) To fix the boat for the next pass</t>
  </si>
  <si>
    <t>B) To help the jouster safely out of the water and retrieve their lance and shield</t>
  </si>
  <si>
    <t>These are the official safety swimmers who are in the water to ensure the immediate safety of any jouster who falls and to recover their equipment.</t>
  </si>
  <si>
    <t>What is the primary role of the President of a jousting society (société de joutes)?</t>
  </si>
  <si>
    <t>A) To be the best jouster in the club, B) To act as the head administrator, patron, and representative of the club, C) To be the main referee in all matches, D) To build and maintain the boats</t>
  </si>
  <si>
    <t>The President is the leader of the society, responsible for its governance, finances, and upholding its traditions and honor.</t>
  </si>
  <si>
    <t>In the 18th and 19th centuries, what was a common prize for a victorious jouster at a local festival?</t>
  </si>
  <si>
    <t>A) A live sheep, a barrel of wine, or a decorative sash, B) A large sum of gold coins, C) A title of nobility from the king, D) A new boat and lance</t>
  </si>
  <si>
    <t>A) A live sheep, a barrel of wine, or a decorative sash</t>
  </si>
  <si>
    <t>Before large cash prizes became common, the rewards were often practical and symbolic, such as livestock, produce, or items of honor.</t>
  </si>
  <si>
    <t>A) They use much smaller boats than in Sète, B) The jousts are held at sea instead of in a canal, C) They have a famous tradition of holding tournaments at night, D) They use swords instead of lances in their main event</t>
  </si>
  <si>
    <t>C) They have a famous tradition of holding tournaments at night</t>
  </si>
  <si>
    <t>What is the historical significance of the jousters being almost exclusively from working-class backgrounds (fishermen, dockers)?</t>
  </si>
  <si>
    <t>A) It shows that the sport was a way for them to protest against the nobility, B) It reflects the sport's origins in the practical skills and social life of maritime communities, C) The nobility considered the sport to be beneath them, D) It was a rule that only working-class men could participate</t>
  </si>
  <si>
    <t>B) It reflects the sport's origins in the practical skills and social life of maritime communities</t>
  </si>
  <si>
    <t>The sport is a direct expression of the culture of the working people of these port and river cities.</t>
  </si>
  <si>
    <t>What is a "terrassement"?</t>
  </si>
  <si>
    <t>A) The name of the boat, B) The act of falling into the water, C) The act of pushing the opponent off the tintaine, D) A type of lance</t>
  </si>
  <si>
    <t>C) The act of pushing the opponent off the tintaine</t>
  </si>
  <si>
    <t>This is a technical term in the sport for the successful action of unseating the opponent with the lance.</t>
  </si>
  <si>
    <t>A) It is a rule that you must be from such a family to compete, B) The skills and traditions were passed down directly from father to son for generations, C) These families were the wealthiest in the town, D) These families were the only ones allowed to own boats</t>
  </si>
  <si>
    <t>B) The skills and traditions were passed down directly from father to son for generations</t>
  </si>
  <si>
    <t>For centuries, the art of jousting was a family affair, with knowledge, passion, and neighborhood honor being transmitted through lineage.</t>
  </si>
  <si>
    <t>In what way does the "Parisian method" of jousting differ most from the southern French methods?</t>
  </si>
  <si>
    <t>A) It is played on a river, B) The jousters are on fixed platforms and pulled on a sliding chariot, not on moving boats, C) It uses very long lances, D) It is the most popular method</t>
  </si>
  <si>
    <t>B) The jousters are on fixed platforms and are pulled on a sliding chariot, not on moving boats</t>
  </si>
  <si>
    <t>This unique method, practiced on canals in and around Paris, is very different from the boat-based styles of Sète and Lyon.</t>
  </si>
  <si>
    <t>These are the official safety swimmers who are in the water to ensure the immediate safety of any jouster who falls and to recover their lance and shield.</t>
  </si>
  <si>
    <t>The jousting societies in France are historically structured like what type of organization?</t>
  </si>
  <si>
    <t>The President is the leader of the society, responsible for its governance, finances, and upholding its traditions.</t>
  </si>
  <si>
    <t>The sport of Balle au Tambourin is considered a direct descendant of which much older European game?</t>
  </si>
  <si>
    <t>A) Tennis, B) Sphaerista, C) Jeu de Paume (Real Tennis), D) Volleyball</t>
  </si>
  <si>
    <t>C) Jeu de Paume (Real Tennis)</t>
  </si>
  <si>
    <t>Tambourin evolved from Jeu de Paume, with players eventually abandoning rackets in favor of other instruments.</t>
  </si>
  <si>
    <t>In what year and in which French town was the first modern tambourin (drum) created for use in the sport?</t>
  </si>
  <si>
    <t>A) 1854 in Montpellier, B) 1861 in Mèze, C) 1870 in Pézenas, D) 1890 in Gignac</t>
  </si>
  <si>
    <t>B) 1861 in Mèze</t>
  </si>
  <si>
    <t>The first tambourin was fabricated in 1861 by a barrel-maker (tonnelier) in the town of Mèze, in the Hérault department.</t>
  </si>
  <si>
    <t>Before the invention of the tambourin in 1861, what piece of equipment did players use to strike the ball?</t>
  </si>
  <si>
    <t>A) Their bare hands, B) Wooden bracelets called brassards, C) Small rackets, D) Padded gloves</t>
  </si>
  <si>
    <t>B) Wooden bracelets called brassards</t>
  </si>
  <si>
    <t>The game evolved from players using their hands, to using bracelets, and finally to using the tambourin for greater power.</t>
  </si>
  <si>
    <t>The earliest written mention of a tambourin being used in a ball game appears in the archives of which department?</t>
  </si>
  <si>
    <t>A) Gard, B) Bouches-du-Rhône, C) Aude, D) Hérault</t>
  </si>
  <si>
    <t>D) Hérault</t>
  </si>
  <si>
    <t>An official document from 1864 in the Hérault archives provides the first written evidence of the game being played with tambourins.</t>
  </si>
  <si>
    <t>What is the name of the Italian version of the sport, which heavily influenced the French game in the 20th century?</t>
  </si>
  <si>
    <t>A) Palla, B) Tamburello, C) Calcio Storico, D) Bocce</t>
  </si>
  <si>
    <t>B) Tamburello</t>
  </si>
  <si>
    <t>Tamburello is the Italian equivalent of the sport, which developed its own set of rules and a professional structure.</t>
  </si>
  <si>
    <t>Which country organized the first-ever national championship for the sport in 1896?</t>
  </si>
  <si>
    <t>A) France, B) Spain, C) Italy, D) Belgium</t>
  </si>
  <si>
    <t>C) Italy</t>
  </si>
  <si>
    <t>Italy was the first nation to formalize the sport with a national championship, long before France did.</t>
  </si>
  <si>
    <t>Which regional French newspaper organized the first major "Championship of Languedoc" in 1922?</t>
  </si>
  <si>
    <t>A) Le Monde, B) L'Éclair, C) Le Figaro, D) Midi Libre</t>
  </si>
  <si>
    <t>B) L'Éclair</t>
  </si>
  <si>
    <t>The Montpellier-based daily newspaper L'Éclair was a major promoter of the sport in its early competitive years.</t>
  </si>
  <si>
    <t>Which French town's annual tournament, started in 1909, was considered the most prestigious competition in the sport's early history?</t>
  </si>
  <si>
    <t>A) Mèze, B) Montpellier, C) Gignac, D) Pézenas</t>
  </si>
  <si>
    <t>D) Pézenas</t>
  </si>
  <si>
    <t>The annual Concours de Pézenas was the most highly regarded event in the sport for nearly three decades.</t>
  </si>
  <si>
    <t>What was the name of the traditional French scoring system, which was abandoned in 1955?</t>
  </si>
  <si>
    <t>A) Jeu ouvert (Open game), B) Jeu fermé (Closed game), C) Le système des chasses (The chase system), D) Le point d'or (Golden point)</t>
  </si>
  <si>
    <t>C) Le système des chasses (The chase system)</t>
  </si>
  <si>
    <t>The complex chasse system, inherited from Jeu de Paume, involved marking spots on the field to be won or lost later.</t>
  </si>
  <si>
    <t>The first French Federation for the sport (Fédération Française du Jeu de Balle au Tambourin) was founded in what year?</t>
  </si>
  <si>
    <t>A) 1923, B) 1939, C) 1949, D) 1955</t>
  </si>
  <si>
    <t>B) 1939</t>
  </si>
  <si>
    <t>The first national federation was established in 1939, giving the sport a formal governing body.</t>
  </si>
  <si>
    <t>What was the primary impact of the Second World War on the newly formed French federation?</t>
  </si>
  <si>
    <t>A) It grew in popularity, B) It was immediately put on hold and became dormant, C) It merged with another sport, D) It changed the rules of the sport</t>
  </si>
  <si>
    <t>B) It was immediately put on hold and became dormant</t>
  </si>
  <si>
    <t>The outbreak of war and the occupation of France halted all official activities of the federation, which was not revived until after the war.</t>
  </si>
  <si>
    <t>What major national competition was created in 1949 to revitalize the sport in France after the war?</t>
  </si>
  <si>
    <t>A) The French Open, B) The Languedoc Championship, C) The Coupe de France (French Cup), D) The Paris-Mèze Classic</t>
  </si>
  <si>
    <t>C) The Coupe de France (French Cup)</t>
  </si>
  <si>
    <t>The creation of the Coupe de France was a key step in rebuilding the sport's competitive structure after WWII.</t>
  </si>
  <si>
    <t>In 1955, French players made a historic decision to abandon their traditional rules. What did they adopt?</t>
  </si>
  <si>
    <t>A) The rules of tennis, B) The Italian "open game" (jeu ouvert) rules, C) A new system with a net, D) The rules of badminton</t>
  </si>
  <si>
    <t>B) The Italian "open game" (jeu ouvert) rules</t>
  </si>
  <si>
    <t>To facilitate international matches, the French clubs voted to adopt the simpler, more dynamic Italian scoring system.</t>
  </si>
  <si>
    <t>In what year was the International Federation of Balle au Tambourin (Fédération Internationale de Balle au Tambourin) founded?</t>
  </si>
  <si>
    <t>A) 1955, B) 1968, C) 1978, D) 1988</t>
  </si>
  <si>
    <t>D) 1988</t>
  </si>
  <si>
    <t>The F.I.B.T. was founded in 1988 to govern the sport on a global level and organize international competitions.</t>
  </si>
  <si>
    <t>The first official France vs. Italy international matches were held in 1955 in which city?</t>
  </si>
  <si>
    <t>A) Rome, B) Paris, C) Nice, D) Montpellier</t>
  </si>
  <si>
    <t>D) Montpellier</t>
  </si>
  <si>
    <t>The historic first encounters between the two nations of tambourin took place in Montpellier, the sport's French hub.</t>
  </si>
  <si>
    <t>At which major international sporting event was Tambourin presented as a demonstration sport in 1993?</t>
  </si>
  <si>
    <t>A) The Olympic Games, B) The FIFA World Cup, C) The Mediterranean Games, D) The Commonwealth Games</t>
  </si>
  <si>
    <t>C) The Mediterranean Games</t>
  </si>
  <si>
    <t>The 1993 Mediterranean Games, held in the Languedoc region, provided a major international stage to showcase the sport.</t>
  </si>
  <si>
    <t>The sport of Tambourin is historically and culturally the "berceau" (cradle) of which French department?</t>
  </si>
  <si>
    <t>A) Gard, B) Hérault, C) Bouches-du-Rhône, D) Var</t>
  </si>
  <si>
    <t>B) Hérault</t>
  </si>
  <si>
    <t>The vast majority of clubs and the sport's entire developmental history are centered in the Hérault department of Languedoc.</t>
  </si>
  <si>
    <t>What was the key difference between the French "chasse" system and the Italian "open game"?</t>
  </si>
  <si>
    <t>A) The Italian game used a net, B) The French game was played with a heavier ball, C) The "chasse" system involved winning territory, while the "open game" used direct point scoring like tennis, D) The Italian game had more players</t>
  </si>
  <si>
    <t>C) The "chasse" system involved winning territory, while the "open game" used direct point scoring like tennis</t>
  </si>
  <si>
    <t>The open game, with its simpler 15-30-40 scoring, was faster and easier for spectators to understand than the complex territorial chase rule.</t>
  </si>
  <si>
    <t>What was the main motivation for the French clubs to adopt the Italian rules in 1955?</t>
  </si>
  <si>
    <t>A) The Italian rules were considered safer, B) To make it possible to play international matches against Italy, C) The French government mandated the change, D) The players preferred the Italian rules</t>
  </si>
  <si>
    <t>B) To make it possible to play international matches against Italy</t>
  </si>
  <si>
    <t>The desire to compete against the highly skilled Italian teams was the driving force behind the unification of the rules.</t>
  </si>
  <si>
    <t>In what year was the first official French National Championship (for clubs) established?</t>
  </si>
  <si>
    <t>A) 1922, B) 1939, C) 1952, D) 1960</t>
  </si>
  <si>
    <t>C) 1952</t>
  </si>
  <si>
    <t>Following the post-war revival, a formal national club championship was created, further structuring the sport.</t>
  </si>
  <si>
    <t>The headquarters of the International Federation of Balle au Tambourin is located in which country?</t>
  </si>
  <si>
    <t>A) France, B) Italy, C) Spain, D) Germany</t>
  </si>
  <si>
    <t>B) Italy</t>
  </si>
  <si>
    <t>Reflecting Italy's role in the sport's professionalization, the F.I.B.T. is headquartered there.</t>
  </si>
  <si>
    <t>Who is considered a key figure in the modernization of French tambourin and its alignment with the Italian game?</t>
  </si>
  <si>
    <t>A) Jean-Laurent, B) Charles de Gaulle, C) Max Rouquette, D) Jacques Lemaire</t>
  </si>
  <si>
    <t>C) Max Rouquette</t>
  </si>
  <si>
    <t>The Occitan writer and poet Max Rouquette was a passionate advocate for the sport and a driving force behind the 1955 rule changes.</t>
  </si>
  <si>
    <t>Which of the following sports is a direct ancestor of Balle au Tambourin?</t>
  </si>
  <si>
    <t>A) Modern Tennis, B) Badminton, C) Sphaerista (Roman ball game), D) Jeu de Paume (Real Tennis)</t>
  </si>
  <si>
    <t>D) Jeu de Paume (Real Tennis)</t>
  </si>
  <si>
    <t>Tambourin is part of a long family of "palm games" where a ball is struck over a line or net, originating from Jeu de Paume.</t>
  </si>
  <si>
    <t>The original playing area for Tambourin in villages was often where?</t>
  </si>
  <si>
    <t>A) In a gymnasium, B) On a specially built court, C) The "place du marché" (market square) or any open public space, D) In a churchyard</t>
  </si>
  <si>
    <t>C) The "place du marché" (market square) or any open public space</t>
  </si>
  <si>
    <t>As a folk game, it was played in the central open spaces of the village, with the boundaries often being the walls of the surrounding houses.</t>
  </si>
  <si>
    <t>What was the main impact of the First World War on the practice of Tambourin in France?</t>
  </si>
  <si>
    <t>A) It increased in popularity as a military exercise, B) It led to a severe decline as a generation of young men were lost, C) It had no impact, D) It led to the creation of the first federation</t>
  </si>
  <si>
    <t>B) It led to a severe decline as a generation of young men were lost</t>
  </si>
  <si>
    <t>The war caused a major disruption to the sport, with a devastating loss of players from the villages of the Hérault.</t>
  </si>
  <si>
    <t>What material was the "head" of the earliest, 19th-century tambourins made from?</t>
  </si>
  <si>
    <t>A) Tightly stretched animal skin (parchment), B) Canvas, C) Plastic, D) Thin wood</t>
  </si>
  <si>
    <t>A) Tightly stretched animal skin (parchment)</t>
  </si>
  <si>
    <t>Just like a musical drum, the first tambourins used a stretched and dried animal skin over a wooden frame.</t>
  </si>
  <si>
    <t>What was a key factor limiting the expansion of the sport outside of the Hérault region?</t>
  </si>
  <si>
    <t>A) The high cost of the equipment, B) The complexity of the traditional "chasse" rules, C) A lack of interest from other regions, D) Both B and C</t>
  </si>
  <si>
    <t>The game's extremely local cultural roots and its historically complex rules made it difficult to export to other parts of France.</t>
  </si>
  <si>
    <t>The introduction of an indoor version of the sport had what major effect on its popularity?</t>
  </si>
  <si>
    <t>A) It caused a decline in the outdoor game, B) It allowed the sport to be played year-round, increasing participation, C) It had no effect, D) It was not popular</t>
  </si>
  <si>
    <t>B) It allowed the sport to be played year-round, increasing participation</t>
  </si>
  <si>
    <t>The indoor game, played with slightly different rules, allowed for a winter season and the creation of new clubs in areas without large outdoor fields.</t>
  </si>
  <si>
    <t>Which French department, bordering the Hérault, has seen the most significant modern expansion of the sport?</t>
  </si>
  <si>
    <t>A) Aude, B) Aveyron, C) Lozère, D) Gard</t>
  </si>
  <si>
    <t>D) Gard</t>
  </si>
  <si>
    <t>In recent decades, the sport has successfully expanded into the neighboring Gard department, which now has several competitive clubs.</t>
  </si>
  <si>
    <t>In which year was a separate competition for women officially introduced in France?</t>
  </si>
  <si>
    <t>A) 1955, B) 1968, C) 1975, D) 1981</t>
  </si>
  <si>
    <t>C) 1975</t>
  </si>
  <si>
    <t>The first official women's championship was created in 1975, marking a key step in the sport's development.</t>
  </si>
  <si>
    <t>Historically, the teams were not representing clubs but what?</t>
  </si>
  <si>
    <t>A) Professional leagues, B) Their families, C) Their villages or towns, D) Their sponsors</t>
  </si>
  <si>
    <t>C) Their villages or towns</t>
  </si>
  <si>
    <t>The sport was, and still largely is, a matter of intense local pride, with each team representing their home village.</t>
  </si>
  <si>
    <t>What was the name of the tool used by players before the tambourin, which was a cylindrical wooden bracelet?</t>
  </si>
  <si>
    <t>A) The "manchette", B) The "cercle", C) The "brassard", D) The "poignet"</t>
  </si>
  <si>
    <t>C) The "brassard"</t>
  </si>
  <si>
    <t>The brassard was a heavy wooden guard worn on the forearm, used to punch the ball with more power and protection than a bare hand.</t>
  </si>
  <si>
    <t>Which country remains dominant in the professional indoor version of the sport?</t>
  </si>
  <si>
    <t>A) France, B) Germany, C) Spain, D) Italy</t>
  </si>
  <si>
    <t>D) Italy</t>
  </si>
  <si>
    <t>The Italian tamburello league is a professional organization, and Italian teams have historically dominated the indoor version of the game.</t>
  </si>
  <si>
    <t>What major change did the adoption of the "open game" rules in 1955 bring to the court layout?</t>
  </si>
  <si>
    <t>A) The court was made smaller, B) The concept of a permanent court with fixed lines replaced the variable "chasse" system, C) A net was added in the middle, D) The court was made circular</t>
  </si>
  <si>
    <t>B) The concept of a permanent court with fixed lines replaced the variable "chasse" system</t>
  </si>
  <si>
    <t>The new rules required a standardized, rectangular court with a center line, similar to a tennis court, which made the game easier to understand and officiate.</t>
  </si>
  <si>
    <t>In the traditional "chasse" game, how was a point finally won?</t>
  </si>
  <si>
    <t>A) By hitting the opponent, B) By the ball bouncing twice, C) By "gaining the terrain" marked by the chasse, D) By hitting a target</t>
  </si>
  <si>
    <t>C) By "gaining the terrain" marked by the chasse</t>
  </si>
  <si>
    <t>Teams would switch sides, and the new serving team would have to land the ball beyond the "chase" marker left by the previous team to win the point.</t>
  </si>
  <si>
    <t>The historical spread of "jeu de paume" and its variants is often associated with the movement of what group of people?</t>
  </si>
  <si>
    <t>A) Soldiers, B) Merchants, C) Monks and the clergy, D) Royalty and nobility</t>
  </si>
  <si>
    <t>D) Royalty and nobility</t>
  </si>
  <si>
    <t>These early ball games were extremely popular with the aristocracy of Europe, and their courts and travels helped to spread the games.</t>
  </si>
  <si>
    <t>What was a "tambourin" originally in the French language?</t>
  </si>
  <si>
    <t>A) A type of ball, B) A small drum, C) A racket, D) A wooden bracelet</t>
  </si>
  <si>
    <t>B) A small drum</t>
  </si>
  <si>
    <t>The sporting implement gets its name directly from the musical instrument it resembles.</t>
  </si>
  <si>
    <t>The first Championnat du Languedoc in 1922 was exclusive to clubs from which department?</t>
  </si>
  <si>
    <t>A) Gard, B) Aude, C) Hérault, D) All of the above</t>
  </si>
  <si>
    <t>C) Hérault</t>
  </si>
  <si>
    <t>At that time, the sport was almost exclusively practiced in the Hérault department.</t>
  </si>
  <si>
    <t>What was one of the main challenges for the French Federation in the 1930s?</t>
  </si>
  <si>
    <t>A) A lack of funding, B) A decline in the number of players and clubs, C) Internal conflicts over the rules, D) A lack of international opponents</t>
  </si>
  <si>
    <t>B) A decline in the number of players and clubs</t>
  </si>
  <si>
    <t>The period before the war saw a slump in the sport's popularity and a reduction in the number of active clubs.</t>
  </si>
  <si>
    <t>What is the main historical reason for the strong rivalry between the villages of Gignac and Cournonterral?</t>
  </si>
  <si>
    <t>A) They are the two oldest clubs, B) They have been the two most dominant and successful clubs in the sport's history, C) They are from different regions, D) They have different political affiliations</t>
  </si>
  <si>
    <t>B) They have been the two most dominant and successful clubs in the sport's history</t>
  </si>
  <si>
    <t>The history of the French championship is largely a story of the intense sporting rivalry between these two powerhouse villages.</t>
  </si>
  <si>
    <t>The playing surface for the traditional outdoor game is known as what?</t>
  </si>
  <si>
    <t>A) A court, B) A pitch, C) A tambourodrome, D) A terrain</t>
  </si>
  <si>
    <t>D) A terrain</t>
  </si>
  <si>
    <t>The French term for the playing field is simply the terrain.</t>
  </si>
  <si>
    <t>The 19th-century innovation of the tambourin is attributed to a craftsman of what trade?</t>
  </si>
  <si>
    <t>A) A blacksmith, B) A carpenter, C) A barrel-maker (tonnelier), D) A shoemaker</t>
  </si>
  <si>
    <t>C) A barrel-maker (tonnelier)</t>
  </si>
  <si>
    <t>A barrel-maker from the port town of Mèze used his skills in bending wood and stretching skins to create the first tambourin in 1861.</t>
  </si>
  <si>
    <t>Why was the adoption of the Italian "open game" rules a major turning point for the sport in France?</t>
  </si>
  <si>
    <t>A) It made the game harder, B) It simplified the scoring and made the game more accessible to new players and spectators, C) It led to the decline of the sport, D) It introduced a net</t>
  </si>
  <si>
    <t>B) It simplified the scoring and made the game more accessible to new players and spectators</t>
  </si>
  <si>
    <t>The "open game" system, similar to tennis scoring, was far more dynamic and easier to follow than the complex traditional French rules.</t>
  </si>
  <si>
    <t>What is the historical origin of the team size of 5 players per side?</t>
  </si>
  <si>
    <t>A) It was copied from basketball, B) It evolved from the traditional teams of the villages, C) It was a rule set by the Italian Federation, D) It was chosen at random</t>
  </si>
  <si>
    <t>B) It evolved from the traditional teams of the villages</t>
  </si>
  <si>
    <t>The five-player formation developed organically as the standard for covering the large playing field.</t>
  </si>
  <si>
    <t>In which year was the first Coupe de France (French Cup) held?</t>
  </si>
  <si>
    <t>A) 1939, B) 1945, C) 1949, D) 1952</t>
  </si>
  <si>
    <t>C) 1949</t>
  </si>
  <si>
    <t>The Coupe de France was established in 1949 as a key event to help revive and reorganize the sport after the disruption of World War II.</t>
  </si>
  <si>
    <t>Which type of competition was the most prestigious and popular in the early 20th century?</t>
  </si>
  <si>
    <t>A) The National Championship, B) The Coupe de France, C) The local village "Concours" (tournaments), D) International matches</t>
  </si>
  <si>
    <t>C) The local village "Concours" (tournaments)</t>
  </si>
  <si>
    <t>Before the national championship gained prominence, the big annual tournaments in towns like Pézenas were the most important events of the year.</t>
  </si>
  <si>
    <t>Historically, what was the ball made of?</t>
  </si>
  <si>
    <t>A) Wood, B) Cork, C) Stuffed leather, D) Rubber</t>
  </si>
  <si>
    <t>C) Stuffed leather</t>
  </si>
  <si>
    <t>The earliest balls were hand-stitched leather filled with material like horsehair, similar to early tennis balls.</t>
  </si>
  <si>
    <t>The game of Tambourin played in the Beaujolais region near Lyon has what unique historical feature?</t>
  </si>
  <si>
    <t>A) It is played with a much larger tambourin, B) The court is covered in sand, C) It is played on a sloped court, D) It is played without a ball</t>
  </si>
  <si>
    <t>C) It is played on a sloped court</t>
  </si>
  <si>
    <t>This regional variant, known as "Tambourin en pente," has a unique court with a significant slope, which affects the ball's bounce and the game's strategy.</t>
  </si>
  <si>
    <t>What was the impact of the creation of the International Federation in 1988?</t>
  </si>
  <si>
    <t>A) It led to a decline in the sport's popularity, B) It allowed the sport to organize official World and European championships, C) It changed the rules of the French game, D) It had no real impact</t>
  </si>
  <si>
    <t>B) It allowed the sport to organize official World and European championships</t>
  </si>
  <si>
    <t>The creation of the F.I.B.T. was a major step in giving the sport a global structure and a platform for international competition.</t>
  </si>
  <si>
    <t>The traditional heartland of Tambourin in France is a small cluster of villages in which geographical area?</t>
  </si>
  <si>
    <t>A) The French Alps, B) The Loire Valley, C) The valley of the Hérault River, D) The Normandy coast</t>
  </si>
  <si>
    <t>C) The valley of the Hérault River</t>
  </si>
  <si>
    <t>The sport's "berceau" or cradle is a very small area in the Hérault valley, centered around towns like Gignac, Montpellier, and Mèze.</t>
  </si>
  <si>
    <t>What was the primary motivation for the first France-Italy matches in 1955?</t>
  </si>
  <si>
    <t>A) A political gesture of goodwill, B) To determine which country's rules were superior, C) A desire to test French skills against the famously strong Italian players, D) A commercial sponsorship deal</t>
  </si>
  <si>
    <t>C) A desire to test French skills against the famously strong Italian players</t>
  </si>
  <si>
    <t>The French players and officials were eager to measure themselves against the Italians, who were considered the masters of the sport.</t>
  </si>
  <si>
    <t>In the 19th century, how did players typically acquire their equipment?</t>
  </si>
  <si>
    <t>A) They bought it from specialized sports shops, B) They made it themselves or had it made by local craftsmen, C) They were given it by the government, D) They imported it from Italy</t>
  </si>
  <si>
    <t>B) They made it themselves or had it made by local craftsmen</t>
  </si>
  <si>
    <t>As a folk sport, the equipment was not mass-produced. Each brassard or tambourin was typically hand-made by a local artisan.</t>
  </si>
  <si>
    <t>The inclusion of Tambourin in the 1993 Mediterranean Games had what significant effect?</t>
  </si>
  <si>
    <t>A) It became an Olympic sport, B) It introduced the sport to many new countries and gave it international media exposure, C) It caused a major rule change, D) It had no lasting effect</t>
  </si>
  <si>
    <t>B) It introduced the sport to many new countries and gave it international media exposure</t>
  </si>
  <si>
    <t>Being a demonstration sport at this major event was a huge boost for the game's international recognition.</t>
  </si>
  <si>
    <t>What is the historical origin of the positions on the court, such as the fond (back) and the cordier (front)?</t>
  </si>
  <si>
    <t>A) They are copied from tennis, B) They evolved from the strategic positions of Jeu de Paume, C) They were invented in Italy, D) They are named after famous players</t>
  </si>
  <si>
    <t>B) They evolved from the strategic positions of Jeu de Paume</t>
  </si>
  <si>
    <t>The tactical roles and court positions in Tambourin are a direct descendant of the specialized positions used in its ancestor sport.</t>
  </si>
  <si>
    <t>Which famous French writer and academic was a passionate advocate for Tambourin, seeing it as a key part of Occitan culture?</t>
  </si>
  <si>
    <t>A) Albert Camus, B) Marcel Pagnol, C) Jean-Paul Sartre, D) Max Rouquette</t>
  </si>
  <si>
    <t>D) Max Rouquette</t>
  </si>
  <si>
    <t>Max Rouquette wrote extensively about the sport and was instrumental in its post-war revival and modernization.</t>
  </si>
  <si>
    <t>What was the primary reason for the failure of the first French Federation, founded in 1922?</t>
  </si>
  <si>
    <t>A) A lack of teams, B) A lack of funding, C) Internal disputes and a failure to formally organize, D) The outbreak of war</t>
  </si>
  <si>
    <t>C) Internal disputes and a failure to formally organize</t>
  </si>
  <si>
    <t>The first attempt at a federation was a loose association that ultimately failed due to a lack of strong, centralized organization.</t>
  </si>
  <si>
    <t>In what way did the Italian game of Tamburello become semi-professional in the 20th century?</t>
  </si>
  <si>
    <t>A) It was included in the Olympics, B) Top players began to be paid and transferred between clubs, C) It was only played in stadiums, D) It had a television contract</t>
  </si>
  <si>
    <t>B) Top players began to be paid and transferred between clubs</t>
  </si>
  <si>
    <t>The Italian league became a highly competitive, semi-professional organization, a level of development the French game has not reached.</t>
  </si>
  <si>
    <t>What is the main reason that the city of Montpellier is considered the "capital" of Tambourin today?</t>
  </si>
  <si>
    <t>A) It is where the first tambourin was made, B) It has the most successful club and is the administrative center of the federation, C) It has the largest playing court, D) It is the oldest club</t>
  </si>
  <si>
    <t>B) It has the most successful club and is the administrative center of the federation</t>
  </si>
  <si>
    <t>Montpellier has historically been the hub for the sport's organization and is home to one of its most dominant clubs.</t>
  </si>
  <si>
    <t>What was the main impact of the Second World War on the practice of Tambourin?</t>
  </si>
  <si>
    <t>A) It had no impact, B) It caused a severe decline due to the loss of players and suspension of activities, C) It led to an increase in popularity as a distraction, D) The rules were changed</t>
  </si>
  <si>
    <t>B) It caused a severe decline due to the loss of players and suspension of activities</t>
  </si>
  <si>
    <t>The war years were a period of dormancy, and the sport had to be actively revived in the late 1940s and early 1950s.</t>
  </si>
  <si>
    <t>The evolution of Tambourin is a classic example of what process?</t>
  </si>
  <si>
    <t>A) The invention of a new sport, B) The evolution of a traditional folk game into an organized modern sport, C) The decline of a traditional sport, D) The commercialization of a sport</t>
  </si>
  <si>
    <t>B) The evolution of a traditional folk game into an organized modern sport</t>
  </si>
  <si>
    <t>Tambourin's history shows the typical path of a local pastime becoming a structured sport with federations, standardized rules, and international competitions.</t>
  </si>
  <si>
    <t>What is the historical reason for the sport's strong concentration in the Hérault department?</t>
  </si>
  <si>
    <t>A) It was a royal decree, B) The specific cultural and social conditions of the Hérault villages allowed the game to flourish there, C) The climate is ideal, D) It was banned in all other departments</t>
  </si>
  <si>
    <t>B) The specific cultural and social conditions of the Hérault villages allowed the game to flourish there</t>
  </si>
  <si>
    <t>The sport is a product of a unique local culture and has been passed down through generations within a very specific geographical area.</t>
  </si>
  <si>
    <t>The first official French National Championship for clubs was held in which year?</t>
  </si>
  <si>
    <t>The creation of a formal national championship in 1952 was a key milestone in the sport's post-war reconstruction and modernization.</t>
  </si>
  <si>
    <t>The pre-war tournaments, known as concours, were often organized by whom?</t>
  </si>
  <si>
    <t>A) The national federation, B) The players themselves, C) Local cafés or village committees, D) The French government</t>
  </si>
  <si>
    <t>C) Local cafés or village committees</t>
  </si>
  <si>
    <t>These early tournaments were local, festive events, often sponsored by a village business or a committee formed for the occasion.</t>
  </si>
  <si>
    <t>What was the main characteristic of the "chasse" scoring system?</t>
  </si>
  <si>
    <t>A) It was a simple point-for-point system, B) It was a complex territorial system where teams had to "win" marks on the court, C) The first team to 15 points won, D) It did not use points</t>
  </si>
  <si>
    <t>B) It was a complex territorial system where teams had to "win" marks on the court</t>
  </si>
  <si>
    <t>This system, inherited from Jeu de Paume, was difficult for spectators to follow and was a major reason for the switch to the Italian rules.</t>
  </si>
  <si>
    <t>What is the historical significance of the year 1955 for the sport in France?</t>
  </si>
  <si>
    <t>A) It was the year the first tambourin was made, B) It was the year of the first national championship, C) It was the year the French clubs adopted the Italian "open game" rules, D) It was the year the international federation was formed</t>
  </si>
  <si>
    <t>C) It was the year the French clubs adopted the Italian "open game" rules</t>
  </si>
  <si>
    <t>This was the single most important strategic decision in the sport's modern history, enabling international competition and simplifying the game.</t>
  </si>
  <si>
    <t>What was the primary material used to make the ball in the 19th century?</t>
  </si>
  <si>
    <t>A) Solid rubber, B) Wood, C) Stuffed cloth or leather, D) Cork</t>
  </si>
  <si>
    <t>C) Stuffed cloth or leather</t>
  </si>
  <si>
    <t>The balls were hand-made, typically from cloth or leather scraps, and were much softer and less lively than modern rubber balls.</t>
  </si>
  <si>
    <t>The French Federation, founded in 1939, was the successor to which earlier organization?</t>
  </si>
  <si>
    <t>A) The Languedoc Sports Committee, B) The Union of Tambourin Players, C) The first, less formal federation founded in 1922, D) There was no earlier organization</t>
  </si>
  <si>
    <t>C) The first, less formal federation founded in 1922</t>
  </si>
  <si>
    <t>An earlier attempt to create a federation in 1922 failed, leading to the establishment of a more robust organization in 1939.</t>
  </si>
  <si>
    <t>The introduction of the indoor version of the sport in France was heavily influenced by which country?</t>
  </si>
  <si>
    <t>A) Spain, B) Germany, C) Italy, D) Belgium</t>
  </si>
  <si>
    <t>The popular and well-organized Italian indoor tamburello league was the direct inspiration for the development of an indoor season in France.</t>
  </si>
  <si>
    <t>What is the name of the competition that marked the official rebirth of the sport after WWII?</t>
  </si>
  <si>
    <t>A) The National Championship, B) The Coupe de France, C) The Languedoc Championship, D) The Pézenas Concours</t>
  </si>
  <si>
    <t>B) The Coupe de France</t>
  </si>
  <si>
    <t>The creation of the French Cup in 1949 was the first major step in reorganizing the sport on a national level after the war.</t>
  </si>
  <si>
    <t>In what way does the history of Tambourin reflect the social history of the Languedoc region?</t>
  </si>
  <si>
    <t>A) It shows the influence of the nobility, B) It is a story of a working-class, village-based culture asserting its identity, C) It reflects the industrialization of the region, D) It has no connection to social history</t>
  </si>
  <si>
    <t>B) It is a story of a working-class, village-based culture asserting its identity</t>
  </si>
  <si>
    <t>The sport's history is deeply tied to the social life, rivalries, and traditions of the small wine-growing villages of the Hérault.</t>
  </si>
  <si>
    <t>What was the main reason for the failure of the first federation attempt in the 1920s?</t>
  </si>
  <si>
    <t>A) A lack of teams and players, B) A lack of funding and strong leadership, C) The opposition of the Italian federation, D) The outbreak of a war</t>
  </si>
  <si>
    <t>B) A lack of funding and strong leadership</t>
  </si>
  <si>
    <t>The initial organization was a loose coalition that lacked the centralized structure and financial backing to be effective.</t>
  </si>
  <si>
    <t>Who was the first club to be officially registered with the French Federation?</t>
  </si>
  <si>
    <t>A) Montpellier, B) Pézenas, C) Gignac, D) Montarnaud</t>
  </si>
  <si>
    <t>D) Montarnaud</t>
  </si>
  <si>
    <t>The club of Montarnaud holds the distinction of being the very first to be officially affiliated with the national governing body.</t>
  </si>
  <si>
    <t>The historical popularity of the tournament in Pézenas was linked to its large what?</t>
  </si>
  <si>
    <t>A) Its large playing field, B) Its large cash prizes, C) Its annual fair, which attracted large crowds, D) Its royal patronage</t>
  </si>
  <si>
    <t>C) Its annual fair, which attracted large crowds</t>
  </si>
  <si>
    <t>The tournament was a major attraction of the large and famous Pézenas fair, ensuring a big audience and a festive atmosphere.</t>
  </si>
  <si>
    <t>The modern rubber ball was introduced to the sport around what time?</t>
  </si>
  <si>
    <t>A) The late 19th century, B) The early 20th century, C) After the rule change in 1955, D) In the 1980s</t>
  </si>
  <si>
    <t>C) After the rule change in 1955</t>
  </si>
  <si>
    <t>The switch to the faster Italian game also necessitated the adoption of the harder, bouncier Italian rubber ball.</t>
  </si>
  <si>
    <t>What is the historical origin of the tambourin itself as a sporting instrument?</t>
  </si>
  <si>
    <t>A) It was adapted from a kitchen sieve, B) It was adapted from a musical tambourine, C) It was invented as a completely new object, D) It was adapted from a small shield</t>
  </si>
  <si>
    <t>A) It was adapted from a kitchen sieve</t>
  </si>
  <si>
    <t>The very first tambourins were said to have been made by stretching parchment over the circular wooden frame of a large sieve used in wine-making.</t>
  </si>
  <si>
    <t>What was the primary difference between the ball used in the French game and the Italian game before 1955?</t>
  </si>
  <si>
    <t>A) The French ball was larger, B) The French ball was softer and less lively, C) The Italian ball was made of leather, D) The French ball was red</t>
  </si>
  <si>
    <t>B) The French ball was softer and less lively</t>
  </si>
  <si>
    <t>The traditional French game used a softer, "deader" ball, which suited the territorial chasse system. The Italian game used a hard rubber ball for a faster, higher-bouncing game.</t>
  </si>
  <si>
    <t>The decision to align with the Italian rules in 1955 was a subject of intense debate. What was the main argument against the change?</t>
  </si>
  <si>
    <t>A) That it would make the game too dangerous, B) That it would betray the sport's unique French traditions and heritage, C) That the Italian rules were too complicated, D) That the French players were not skilled enough</t>
  </si>
  <si>
    <t>B) That it would betray the sport's unique French traditions and heritage</t>
  </si>
  <si>
    <t>Many traditionalists were fiercely opposed to abandoning the historic chasse system, seeing it as a loss of cultural identity.</t>
  </si>
  <si>
    <t>Which of these is a key historical reason for the sport's deep roots in the Hérault region?</t>
  </si>
  <si>
    <t>A) The region's strong historical connection to Italy, B) The local climate is perfect for the sport, C) A long, unbroken tradition of playing "jeu de paume" and its variants, D) It was a military requirement</t>
  </si>
  <si>
    <t>C) A long, unbroken tradition of playing "jeu de paume" and its variants</t>
  </si>
  <si>
    <t>The Hérault has one of the richest and longest histories of "palm games" in France, providing fertile ground for Tambourin to evolve and flourish.</t>
  </si>
  <si>
    <t>The International Federation (F.I.B.T.) now governs several distinct disciplines. Which of these is one?</t>
  </si>
  <si>
    <t>A) Tambourin Beach, B) Tambourelli (a smaller, badminton-like version), C) Tambourin on horseback, D) Both A and B</t>
  </si>
  <si>
    <t>D) Both A and B</t>
  </si>
  <si>
    <t>The F.I.B.T. has expanded to include modern variations like Tambourin Beach and Tambourelli to promote the sport globally.</t>
  </si>
  <si>
    <t>In what decade did Tambourin begin to be introduced into the French school system as a physical education activity?</t>
  </si>
  <si>
    <t>A) The 1920s, B) The 1930s, C) The 1950s, D) The 1970s</t>
  </si>
  <si>
    <t>D) The 1970s</t>
  </si>
  <si>
    <t>A significant step in the sport's modern development was its formal introduction into the school curriculum, helping to create a new generation of players.</t>
  </si>
  <si>
    <t>What was the historical role of the "tambourinaire" at a match?</t>
  </si>
  <si>
    <t>A) The player who used the tambourin, B) The craftsman who made the tambourins, C) The musician who played a drum to accompany the game, D) The official scorer</t>
  </si>
  <si>
    <t>C) The musician who played a drum to accompany the game</t>
  </si>
  <si>
    <t>In some traditional settings, a drummer would provide a rhythm for the game, similar to the music at a Peresean match.</t>
  </si>
  <si>
    <t>The "Clubs' Championship" (Championnat des Clubs) was established in 1952. What was the main difference from the earlier concours?</t>
  </si>
  <si>
    <t>A) The championship was a season-long league format, while a concours was a single tournament, B) The championship used real swords, C) The concours had more players, D) There was no difference</t>
  </si>
  <si>
    <t>A) The championship was a season-long league format, while a concours was a single tournament</t>
  </si>
  <si>
    <t>The creation of a league championship marked a major step in modernizing the sport's competitive structure.</t>
  </si>
  <si>
    <t>What is the main reason that the sport is more popular in Italy than in France?</t>
  </si>
  <si>
    <t>A) The weather is better in Italy, B) Italy has a longer history with the sport, C) The sport in Italy has a professional league structure and greater media coverage, D) French players are less skilled</t>
  </si>
  <si>
    <t>C) The sport in Italy has a professional league structure and greater media coverage</t>
  </si>
  <si>
    <t>The Italian tamburello game is a semi-professional sport with a well-organized national league, giving it a much higher profile than the amateur game in France.</t>
  </si>
  <si>
    <t>The historical archives show that the earliest formal clubs or "societies" for the sport began to form in what period?</t>
  </si>
  <si>
    <t>A) The 18th century, B) The early 19th century, C) The late 19th and early 20th centuries, D) The 1950s</t>
  </si>
  <si>
    <t>C) The late 19th and early 20th centuries</t>
  </si>
  <si>
    <t>As the sport grew more popular and organized, the first formal clubs began to appear in the villages of the Hérault around the turn of the 20th century.</t>
  </si>
  <si>
    <t>What was the historical significance of a player's "delivery" or serve?</t>
  </si>
  <si>
    <t>A) It was not important, B) In the "chasse" system, a powerful and well-placed serve was the primary offensive weapon, C) It was only used to start the point, D) The serve was done underarm</t>
  </si>
  <si>
    <t>B) In the "chasse" system, a powerful and well-placed serve was the primary offensive weapon</t>
  </si>
  <si>
    <t>The goal of the chasse game was to hit the ball as far as possible into the opponent's territory, making the serve the most important stroke.</t>
  </si>
  <si>
    <t>What is the main historical reason for the sport's strong connection to wine-making in the Languedoc region?</t>
  </si>
  <si>
    <t>A) The first players were all winemakers, B) The first tambourin was made by a barrel-maker and was possibly adapted from a tool used in viticulture, C) The sport was only played after the grape harvest, D) Both B and C</t>
  </si>
  <si>
    <t>The sport's origins are deeply tied to the tools and seasonal rhythms of the Languedoc wine country.</t>
  </si>
  <si>
    <t>The "Coupe de l'Hérault" is a prestigious tournament. What does its existence signify?</t>
  </si>
  <si>
    <t>A) The sport is only played in the Hérault, B) The deep-rooted identity of the sport within its home department, C) It is more important than the national championship, D) It is a tournament for junior players</t>
  </si>
  <si>
    <t>B) The deep-rooted identity of the sport within its home department</t>
  </si>
  <si>
    <t>Having a specific championship for the Hérault department highlights the sport's powerful local identity.</t>
  </si>
  <si>
    <t>What was the most significant challenge for the sport in France during the 1960s and 70s?</t>
  </si>
  <si>
    <t>A) A lack of equipment, B) The dominance of Italian teams in international matches, C) Competition from other, more popular sports like football and rugby, D) Bad weather</t>
  </si>
  <si>
    <t>C) Competition from other, more popular sports like football and rugby</t>
  </si>
  <si>
    <t>During this period, the rise of major global sports presented a significant challenge to the survival of traditional, local games like Tambourin.</t>
  </si>
  <si>
    <t>Historically, how were disputes over a point or a "chasse" decided in a village game?</t>
  </si>
  <si>
    <t>A) By the referee, B) By a vote of the spectators, C) By an argument between the team captains, often with input from respected elders, D) By replaying the point</t>
  </si>
  <si>
    <t>C) By an argument between the team captains, often with input from respected elders</t>
  </si>
  <si>
    <t>With no formal officials, disputes were a social negotiation, and the decision of a respected elder was often final.</t>
  </si>
  <si>
    <t>What is the main reason that Tambourin is considered a "direct" sport, unlike tennis?</t>
  </si>
  <si>
    <t>A) The players are closer together, B) There is no net separating the two teams, C) The ball is hit more directly, D) The scoring is more direct</t>
  </si>
  <si>
    <t>B) There is no net separating the two teams</t>
  </si>
  <si>
    <t>This is the most fundamental difference. The absence of a net creates a unique dynamic and set of tactics.</t>
  </si>
  <si>
    <t>In what year was the first official women's championship held in France?</t>
  </si>
  <si>
    <t>A) 1955, B) 1965, C) 1975, D) 1985</t>
  </si>
  <si>
    <t>The formal recognition of women's competition was a major step in the sport's modernization and growth.</t>
  </si>
  <si>
    <t>The traditional playing surface for the outdoor game is what?</t>
  </si>
  <si>
    <t>A) Sand, B) Paved asphalt, C) Grass, D) Packed earth or clay (terre battue)</t>
  </si>
  <si>
    <t>D) Packed earth or clay (terre battue)</t>
  </si>
  <si>
    <t>The classic outdoor court is a long rectangle of packed, rolled earth, similar to a clay tennis court.</t>
  </si>
  <si>
    <t>What was the historical impact of World War I on the sport?</t>
  </si>
  <si>
    <t>A) It had no impact, B) It caused a severe decline due to the loss of a generation of players, C) It made the sport more popular, D) It led to the creation of the first federation</t>
  </si>
  <si>
    <t>B) It caused a severe decline due to the loss of a generation of players</t>
  </si>
  <si>
    <t>Like many local traditions in France, the sport was devastated by the loss of young men in the war and took many years to recover.</t>
  </si>
  <si>
    <t>What is the main reason that the tambourins used for the indoor game are different from the outdoor ones?</t>
  </si>
  <si>
    <t>A) The indoor court is smaller, and the ball is lighter, requiring a more responsive tambourin, B) The indoor rules are different, C) They are made by a different manufacturer, D) There is no difference</t>
  </si>
  <si>
    <t>A) The indoor court is smaller, and the ball is lighter, requiring a more responsive tambourin</t>
  </si>
  <si>
    <t>The indoor game requires a different set of skills, and the equipment is adapted for a faster, closer-range game.</t>
  </si>
  <si>
    <t>The adoption of the Italian "open game" rules is often compared to what major change in another sport?</t>
  </si>
  <si>
    <t>A) The introduction of the three-point line in basketball, B) The switch from amateurism to professionalism in rugby, C) The change from "real tennis" to "lawn tennis", D) The creation of the offside rule in soccer</t>
  </si>
  <si>
    <t>C) The change from "real tennis" to "lawn tennis"</t>
  </si>
  <si>
    <t>Both events saw a traditional, complex game being simplified and adapted, which led to a huge increase in its potential popularity.</t>
  </si>
  <si>
    <t>Historically, what was the "fond"?</t>
  </si>
  <si>
    <t>A) The name of the ball, B) The player who played at the back of the court and was typically the most powerful hitter, C) The team captain, D) The front line of players</t>
  </si>
  <si>
    <t>B) The player who played at the back of the court and was typically the most powerful hitter</t>
  </si>
  <si>
    <t>The fond (back) is the key position in the team, similar to a baseline player in tennis.</t>
  </si>
  <si>
    <t>What is the significance of the year 1861 in the history of the sport?</t>
  </si>
  <si>
    <t>A) It was the year of the first official match, B) It was the year the first modern tambourin was created in Mèze, C) It was the year the sport was banned, D) It was the year the first club was formed</t>
  </si>
  <si>
    <t>B) It was the year the first modern tambourin was created in Mèze</t>
  </si>
  <si>
    <t>This date marks the invention of the sport's defining piece of equipment and its divergence from earlier forms of "jeu de paume."</t>
  </si>
  <si>
    <t>The first major international event for the sport was the 1993 Mediterranean Games. Where were these games held?</t>
  </si>
  <si>
    <t>A) In Italy, B) In Spain, C) In the Languedoc-Roussillon region of France, D) In Greece</t>
  </si>
  <si>
    <t>C) In the Languedoc-Roussillon region of France</t>
  </si>
  <si>
    <t>The games were held in the sport's home region, providing the perfect opportunity to showcase it to an international audience.</t>
  </si>
  <si>
    <t>What was the main purpose of the first federation, created in 1939?</t>
  </si>
  <si>
    <t>A) To organize international matches, B) To standardize the rules and organize a national championship, C) To promote the sport in schools, D) To raise money for the players</t>
  </si>
  <si>
    <t>B) To standardize the rules and organize a national championship</t>
  </si>
  <si>
    <t>The goal was to bring order to the various village competitions and create a unified structure for the sport in France.</t>
  </si>
  <si>
    <t>In its essence, the history of Tambourin in France is the story of what?</t>
  </si>
  <si>
    <t>A) A professional sport's rise and fall, B) The evolution of a hyper-local folk game into a modern, internationally recognized sport, C) A conflict between France and Italy, D) A forgotten ancient game</t>
  </si>
  <si>
    <t>B) The evolution of a hyper-local folk game into a modern, internationally recognized sport</t>
  </si>
  <si>
    <t>The sport's journey from the village squares of the Hérault to the international stage is a classic example of a folk game's modernization.</t>
  </si>
  <si>
    <t>What is the primary role of the 'cordier' position in a traditional Tambourin team?</t>
  </si>
  <si>
    <t>A) To play at the back of the court, B) To play at the front, near the center line, specializing in short-range shots, C) To be the team captain, D) To serve the ball</t>
  </si>
  <si>
    <t>B) To play at the front, near the center line, specializing in short-range shots</t>
  </si>
  <si>
    <t>The cordier is the player closest to the "corde" (line), equivalent to a net player in tennis, who handles volleys and drop shots.</t>
  </si>
  <si>
    <t>Before standardization, how were the dimensions of a playing court typically determined?</t>
  </si>
  <si>
    <t>A) By a national rulebook, B) By the available space in the village square or field, C) By a vote of the players, D) By the size of the teams</t>
  </si>
  <si>
    <t>B) By the available space in the village square or field</t>
  </si>
  <si>
    <t>As a folk game, the court was simply the open space available, with boundaries often being the walls of nearby buildings.</t>
  </si>
  <si>
    <t>What was a "batô" in the context of the sport's equipment?</t>
  </si>
  <si>
    <t>A) The ball, B) The tambourin, C) A type of wooden bat used in an early variant of the game, D) The net</t>
  </si>
  <si>
    <t>C) A type of wooden bat used in an early variant of the game</t>
  </si>
  <si>
    <t>Before the tambourin became dominant, some versions of the game were played with a solid wooden bat, or batô.</t>
  </si>
  <si>
    <t>The French newspaper L'Éclair sponsored a championship in 1922. What was its main goal?</t>
  </si>
  <si>
    <t>A) To make money from the sport, B) To increase the newspaper's circulation and prestige by associating with a popular local tradition, C) To help the sport become professional, D) To find the best player in France</t>
  </si>
  <si>
    <t>B) To increase the newspaper's circulation and prestige by associating with a popular local tradition</t>
  </si>
  <si>
    <t>Sponsoring a popular local sport was a common way for regional newspapers to build their brand and connect with the community.</t>
  </si>
  <si>
    <t>What is the historical reason for the sport having both outdoor and indoor versions?</t>
  </si>
  <si>
    <t>A) To accommodate different weather conditions and allow for year-round play, B) The rules are too different, C) The outdoor version is for professionals only, D) The indoor version is more popular</t>
  </si>
  <si>
    <t>A) To accommodate different weather conditions and allow for year-round play</t>
  </si>
  <si>
    <t>The development of an indoor version was a crucial step in the sport's evolution, allowing for a winter season and preventing cancellations due to rain.</t>
  </si>
  <si>
    <t>The first formal clubs were often centered around what social institution in the village?</t>
  </si>
  <si>
    <t>A) The church, B) The school, C) The local café or bar, D) The town hall</t>
  </si>
  <si>
    <t>C) The local café or bar</t>
  </si>
  <si>
    <t>The village café was the social hub where players would gather, form teams, and issue challenges, often with the owner acting as a patron.</t>
  </si>
  <si>
    <t>What is the main characteristic of a "tambourin à herbe" (grass tambourin)?</t>
  </si>
  <si>
    <t>A) It is green, B) It is a tambourin specifically designed for use on grass courts, C) It is made of grass, D) It is a larger tambourin</t>
  </si>
  <si>
    <t>B) It is a tambourin specifically designed for use on grass courts</t>
  </si>
  <si>
    <t>Different surfaces require different equipment, and specific tambourins are made to suit the bounce and pace of grass courts.</t>
  </si>
  <si>
    <t>In the old "chasse" system, what was the role of the "marqueur"?</t>
  </si>
  <si>
    <t>A) He was the best player, B) He was the official responsible for marking the exact spot where the ball became dead, C) He was the team captain, D) He was the scorekeeper</t>
  </si>
  <si>
    <t>B) He was the official responsible for marking the exact spot where the ball became dead</t>
  </si>
  <si>
    <t>The marqueur had a crucial and difficult job, as the placement of the chasse marker determined how the point would be contested.</t>
  </si>
  <si>
    <t>The historical archives of which French city provide the earliest written evidence of the game?</t>
  </si>
  <si>
    <t>A) Paris, B) Sète, C) Lyon, D) Marseille</t>
  </si>
  <si>
    <t>While Sète is the modern capital, the very first mention of nautical jousting in France comes from Lyon in 1170. Correction: This is a jousting question, not a tambourin question. The earliest evidence for tambourin is from Hérault in 1864.</t>
  </si>
  <si>
    <t>What was the main reason for the decline of the prestigious Pézenas tournament after 1937?</t>
  </si>
  <si>
    <t>A) A lack of players, B) The rise of a more structured national championship, C) The town banned the sport, D) It was too expensive to host</t>
  </si>
  <si>
    <t>B) The rise of a more structured national championship</t>
  </si>
  <si>
    <t>As the sport became more organized with a formal federation and national league, the importance of the old, standalone annual tournaments declined.</t>
  </si>
  <si>
    <t>Historically, what was the relationship between the French and Italian governing bodies of the sport?</t>
  </si>
  <si>
    <t>A) They were fierce rivals with no contact, B) They collaborated closely, leading to the unification of the rules, C) The Italian body controlled the French one, D) The French body controlled the Italian one</t>
  </si>
  <si>
    <t>B) They collaborated closely, leading to the unification of the rules</t>
  </si>
  <si>
    <t>The history of the modern sport is one of close and friendly cooperation between the French and Italian federations.</t>
  </si>
  <si>
    <t>What is a "tambourin-gant"?</t>
  </si>
  <si>
    <t>A) A very large tambourin, B) A glove-like instrument used in a variant of the game, C) A prize for the winner, D) A type of serve</t>
  </si>
  <si>
    <t>B) A glove-like instrument used in a variant of the game</t>
  </si>
  <si>
    <t>This "glove-tambourin" is used in a specific Italian variant of the sport, highlighting its diverse evolution.</t>
  </si>
  <si>
    <t>In the early 20th century, a team's honor was deeply tied to what?</t>
  </si>
  <si>
    <t>A) The amount of money they won, B) The honor and reputation of their village, C) Their national ranking, D) Their relationship with sponsors</t>
  </si>
  <si>
    <t>B) The honor and reputation of their village</t>
  </si>
  <si>
    <t>The matches were not just sporting contests; they were symbolic battles for the pride and prestige of the players' home villages.</t>
  </si>
  <si>
    <t>What is the main reason for the strict rules regarding the dimensions and materials of the tambourin?</t>
  </si>
  <si>
    <t>A) To make the equipment expensive, B) To ensure fair play and standardize the competition, C) To make the game safer, D) To preserve tradition</t>
  </si>
  <si>
    <t>B) To ensure fair play and standardize the competition</t>
  </si>
  <si>
    <t>Standardized equipment ensures that no player or team has an unfair advantage, making the game a true test of skill.</t>
  </si>
  <si>
    <t>Which historical event directly led to the creation of the current French Federation in 1939?</t>
  </si>
  <si>
    <t>A) The success of the Italian league, B) The need for a unified body to prepare for the upcoming Olympic Games, C) The failure and collapse of the first federation from 1922, D) The personal intervention of the Minister of Sports</t>
  </si>
  <si>
    <t>C) The failure and collapse of the first federation from 1922</t>
  </si>
  <si>
    <t>The disorganization of the 1920s led to a concerted effort in 1939 to create a more robust and effective national governing body.</t>
  </si>
  <si>
    <t>What is the historical reason for the sport being called Balle au Tambourin (Ball with Tambourin)?</t>
  </si>
  <si>
    <t>A) It distinguishes it from other forms of the game, B) The name was chosen by the federation, C) To be more descriptive for new players, D) To differentiate it from the musical instrument</t>
  </si>
  <si>
    <t>A) It distinguishes it from other forms of the game</t>
  </si>
  <si>
    <t>The name specifies that this is the version of the ball game played with a tambourin, as opposed to a bare hand, a bracelet, or a racket.</t>
  </si>
  <si>
    <t>The Italian version of the sport is particularly popular in which region of Italy?</t>
  </si>
  <si>
    <t>A) Sicily, B) Lombardy and Piedmont, C) Tuscany, D) Sardinia</t>
  </si>
  <si>
    <t>B) Lombardy and Piedmont</t>
  </si>
  <si>
    <t>The sport of tamburello has its traditional heartland in the northern regions of Italy.</t>
  </si>
  <si>
    <t>What does the term "jeu de fond" refer to?</t>
  </si>
  <si>
    <t>A) The final point of the game, B) The style of play dominated by powerful shots from the back of the court, C) A defensive strategy, D) The name of a specific tournament</t>
  </si>
  <si>
    <t>B) The style of play dominated by powerful shots from the back of the court</t>
  </si>
  <si>
    <t>This refers to a "baseline game," where the fond (back player) controls the game with deep, powerful strokes.</t>
  </si>
  <si>
    <t>What was the main source of income for the early tambourin clubs?</t>
  </si>
  <si>
    <t>A) Government subsidies, B) Corporate sponsorships, C) Player membership fees and revenue from local festival events, D) Television rights</t>
  </si>
  <si>
    <t>C) Player membership fees and revenue from local festival events</t>
  </si>
  <si>
    <t>The clubs were amateur, community-based organizations that relied on local support to function.</t>
  </si>
  <si>
    <t>What is the historical significance of the ball in Tambourin?</t>
  </si>
  <si>
    <t>A) It has no significance, B) Its evolution from soft leather to hard rubber fundamentally changed the speed and style of the game, C) It was traditionally made of gold, D) It was always red</t>
  </si>
  <si>
    <t>B) Its evolution from soft leather to hard rubber fundamentally changed the speed and style of the game</t>
  </si>
  <si>
    <t>The adoption of the faster, higher-bouncing Italian rubber ball was a key part of the move to the modern "open game."</t>
  </si>
  <si>
    <t>Which of these is a traditional manufacturer of high-quality, hand-made tambourins?</t>
  </si>
  <si>
    <t>A) Wilson, B) Slazenger, C) Local artisans from the Hérault region, D) Dunlop</t>
  </si>
  <si>
    <t>C) Local artisans from the Hérault region</t>
  </si>
  <si>
    <t>Even today, many of the best tambourins are not mass-produced but are hand-crafted by skilled artisans in the sport's heartland.</t>
  </si>
  <si>
    <t>What was the role of the trompette (a long, straight trumpet) in some historical matches?</t>
  </si>
  <si>
    <t>A) To signal the start of the match, B) To announce a point scored, C) To celebrate a victory, D) All of the above</t>
  </si>
  <si>
    <t>The trompette was used by the official announcer (trompetaire) to signal key moments in the game and add to the ceremonial atmosphere.</t>
  </si>
  <si>
    <t>The decline of the chasse system in the 1950s was primarily because it was seen as what?</t>
  </si>
  <si>
    <t>A) Too dangerous, B) Too slow, complex, and confusing for modern audiences, C) Unfair to the serving team, D) Too physically demanding</t>
  </si>
  <si>
    <t>B) Too slow, complex, and confusing for modern audiences</t>
  </si>
  <si>
    <t>The old territorial scoring system was a major barrier to the sport's growth, as it was very difficult for casual spectators to follow.</t>
  </si>
  <si>
    <t>In the 19th century, what was a key difference between Tambourin and early Lawn Tennis?</t>
  </si>
  <si>
    <t>A) Tambourin was played by teams, while Tennis was played one-on-one, B) Tambourin was played without a net, C) The scoring systems were different, D) All of the above</t>
  </si>
  <si>
    <t>The two sports, while from the same family, had many differences in their early forms, most notably the absence of a net in Tambourin.</t>
  </si>
  <si>
    <t>What is the significance of the "inter-village" rivalries in the sport's history?</t>
  </si>
  <si>
    <t>A) They were often violent and disruptive, B) They were the driving force of the sport's popularity and competitive spirit, C) They are a modern invention for television, D) They no longer exist</t>
  </si>
  <si>
    <t>B) They were the driving force of the sport's popularity and competitive spirit</t>
  </si>
  <si>
    <t>The intense but friendly rivalry between neighboring villages has always been the heart and soul of the sport's competitive landscape.</t>
  </si>
  <si>
    <t>The first national championship in France was won by a team from which city?</t>
  </si>
  <si>
    <t>A) Pézenas, B) Gignac, C) Mèze, D) Montpellier</t>
  </si>
  <si>
    <t>The powerful club from Montpellier won the first official Championnat de France in 1952.</t>
  </si>
  <si>
    <t>What historical factor contributed to the Hérault region's strong cultural identity and preservation of traditions like Tambourin?</t>
  </si>
  <si>
    <t>A) Its geographical isolation, B) Its strong connection to the Occitan language and culture, C) Its wealth from wine production, D) All of the above</t>
  </si>
  <si>
    <t>The region's unique cultural identity, language, and economic history all contributed to the preservation of its distinctive traditions.</t>
  </si>
  <si>
    <t>What is the main reason that the sport has a very limited presence in Pakistan, despite other subcontinental games being popular?</t>
  </si>
  <si>
    <t>A) It is banned for religious reasons, B) The climate is unsuitable, C) The sport spread from Italy to France and did not have a historical path of transmission to the subcontinent, D) The equipment is not available</t>
  </si>
  <si>
    <t>C) The sport spread from Italy to France and did not have a historical path of transmission to the subcontinent</t>
  </si>
  <si>
    <t>Unlike cricket or polo, Tambourin's history is purely European, and it was never introduced to the region during the colonial era.</t>
  </si>
  <si>
    <t>What was the role of the "tambourin-major" in a traditional festival?</t>
  </si>
  <si>
    <t>A) The best player, B) The leader of the musical band, C) The head referee, D) The craftsman who made the tambourins</t>
  </si>
  <si>
    <t>B) The leader of the musical band</t>
  </si>
  <si>
    <t>The "drum major" was the leader of the peña or musical group that accompanied the jousting or tambourin procession.</t>
  </si>
  <si>
    <t>In what way did the game played by women historically differ from the men's game?</t>
  </si>
  <si>
    <t>A) It used a smaller court and a lighter ball, B) The rules were completely different, C) Women were not allowed to serve, D) There was no difference</t>
  </si>
  <si>
    <t>A) It used a smaller court and a lighter ball</t>
  </si>
  <si>
    <t>When women began to play, the game was often adapted with slightly modified equipment and court sizes.</t>
  </si>
  <si>
    <t>What is the historical significance of the "Place du Jeu de Ballon" in many Languedoc villages?</t>
  </si>
  <si>
    <t>A) It is a modern stadium, B) It is the historic public square where the game has been played for centuries, C) It is a museum, D) It is a place for storing balls</t>
  </si>
  <si>
    <t>B) It is the historic public square where the game has been played for centuries</t>
  </si>
  <si>
    <t>Many villages have a square with this name, showing the deep historical roots of the sport in the community's layout.</t>
  </si>
  <si>
    <t>The earliest photographs of Tambourin players date from which period?</t>
  </si>
  <si>
    <t>A) The 1860s, B) The 1880s, C) The 1910s, D) The 1930s</t>
  </si>
  <si>
    <t>B) The 1880s</t>
  </si>
  <si>
    <t>The advent of photography in the late 19th century captured the early days of the sport and its players.</t>
  </si>
  <si>
    <t>What was the main reason for the creation of an indoor version of the sport?</t>
  </si>
  <si>
    <t>A) To make the game faster, B) To allow the sport to be played during the winter months, C) It was a request from sponsors, D) To make it an Olympic sport</t>
  </si>
  <si>
    <t>B) To allow the sport to be played during the winter months</t>
  </si>
  <si>
    <t>The indoor game was developed to create a year-round season for players and clubs.</t>
  </si>
  <si>
    <t>The Italian national championship, first held in 1896, was organized in which city?</t>
  </si>
  <si>
    <t>A) Rome, B) Florence, C) Verona, D) Turin</t>
  </si>
  <si>
    <t>D) Turin</t>
  </si>
  <si>
    <t>The first campionato italiano was held in Turin, marking the formal birth of the sport in Italy.</t>
  </si>
  <si>
    <t>What is the most significant long-term impact of the 1955 rule unification?</t>
  </si>
  <si>
    <t>A) It made the French teams weaker, B) It allowed for regular international competition, which has sustained the sport, C) It caused many traditional clubs to fold, D) It led to the sport's decline</t>
  </si>
  <si>
    <t>B) It allowed for regular international competition, which has sustained the sport</t>
  </si>
  <si>
    <t>The ability to compete against Italian and other European teams has been a vital part of the sport's survival and growth.</t>
  </si>
  <si>
    <t>The traditional construction of a tambourin frame uses what type of wood?</t>
  </si>
  <si>
    <t>A) Oak, B) Pine, C) Beech or Ash, D) Walnut</t>
  </si>
  <si>
    <t>C) Beech or Ash</t>
  </si>
  <si>
    <t>The circular frame is typically made from a strip of strong, bendable wood like beech or ash, a technique borrowed from barrel-making.</t>
  </si>
  <si>
    <t>What does the term "tamburello a muro" refer to?</t>
  </si>
  <si>
    <t>A) The outdoor version, B) A version of the game played against a wall, similar to squash, C) The indoor version, D) A children's version</t>
  </si>
  <si>
    <t>B) A version of the game played against a wall, similar to squash</t>
  </si>
  <si>
    <t>This is a specific Italian variant of the sport where the ball can be played off a side wall.</t>
  </si>
  <si>
    <t>The historical spread of ball games like Tambourin is an example of what?</t>
  </si>
  <si>
    <t>A) Cultural diffusion, B) Political conquest, C) Economic trade, D) Religious mission</t>
  </si>
  <si>
    <t>A) Cultural diffusion</t>
  </si>
  <si>
    <t>The movement and evolution of these games across Europe is a classic example of how cultural practices are shared, adapted, and transformed over time.</t>
  </si>
  <si>
    <t>What was the primary motivation for the first clubs to form a federation in the 1920s?</t>
  </si>
  <si>
    <t>A) To make money, B) To have a unified body to organize a championship and standardize rules, C) To protest against the government, D) To promote the sport in schools</t>
  </si>
  <si>
    <t>B) To have a unified body to organize a championship and standardize rules</t>
  </si>
  <si>
    <t>The clubs recognized the need for a central organization to bring order to the many local and often conflicting tournament rules.</t>
  </si>
  <si>
    <t>The passion for Tambourin in the Hérault is often compared to the passion for which sport in the Basque Country?</t>
  </si>
  <si>
    <t>A) Soccer, B) Rugby, C) Pelota, D) Cycling</t>
  </si>
  <si>
    <t>C) Pelota</t>
  </si>
  <si>
    <t>Both are traditional, high-speed ball games that are deeply and uniquely intertwined with the identity of their respective regions.</t>
  </si>
  <si>
    <t>What was the main reason for the sport's revival after World War II?</t>
  </si>
  <si>
    <t>A) A government decree, B) The dedication of passionate local players and officials like Max Rouquette, C) A large influx of money, D) The popularity of the sport on television</t>
  </si>
  <si>
    <t>B) The dedication of passionate local players and officials like Max Rouquette</t>
  </si>
  <si>
    <t>The sport's post-war survival was not accidental; it was driven by a small group of individuals who worked tirelessly to reorganize it.</t>
  </si>
  <si>
    <t>What is the historical significance of the "tambourin" as an object?</t>
  </si>
  <si>
    <t>A) It has no significance, B) It represents a unique, regional adaptation of an ancient game, C) It is a weapon, D) It is a musical instrument</t>
  </si>
  <si>
    <t>B) It represents a unique, regional adaptation of an ancient game</t>
  </si>
  <si>
    <t>The invention of the tambourin is the key event that marks the divergence of this sport from its parent game, jeu de paume.</t>
  </si>
  <si>
    <t>The "open game" scoring system is based on that of which other sport?</t>
  </si>
  <si>
    <t>A) Badminton, B) Volleyball, C) Tennis, D) Squash</t>
  </si>
  <si>
    <t>C) Tennis</t>
  </si>
  <si>
    <t>The 15, 30, 40, game scoring system is a direct import from tennis, which itself also evolved from jeu de paume.</t>
  </si>
  <si>
    <t>Historically, a player who was very skilled at placing the ball was said to have a good what?</t>
  </si>
  <si>
    <t>A) Arm (bras), B) Eye (œil), C) Hand (main), D) Foot (pied)</t>
  </si>
  <si>
    <t>B) Eye (œil)</t>
  </si>
  <si>
    <t>A player with a good "eye" was one who could see the open spaces and place the ball with great precision.</t>
  </si>
  <si>
    <t>What is the main reason that the sport has never become a full professional league in France?</t>
  </si>
  <si>
    <t>A) The players are not skilled enough, B) It has remained a deeply amateur, community-based sport, C) A lack of interest, D) It is too dangerous</t>
  </si>
  <si>
    <t>B) It has remained a deeply amateur, community-based sport</t>
  </si>
  <si>
    <t>Unlike in Italy, the sport in France has retained its character as a village-based folk game, played for passion and local honor rather than money.</t>
  </si>
  <si>
    <t>The French National Museum of Sport contains an exhibit on which aspect of Tambourin?</t>
  </si>
  <si>
    <t>A) The evolution of the tambourin from the brassard, B) The history of the Saint Louis festival, C) The biographies of champion players, D) The rules of the chasse system</t>
  </si>
  <si>
    <t>A) The evolution of the tambourin from the brassard</t>
  </si>
  <si>
    <t>The museum's collection includes examples of the old wooden bracelets and the early tambourins, showing the sport's technical evolution.</t>
  </si>
  <si>
    <t>What was the main impact of the French Revolution on ball games like jeu de paume?</t>
  </si>
  <si>
    <t>A) It made them more popular, B) It led to the decline of the aristocratic games, which allowed folk versions like Tambourin to flourish, C) It had no impact, D) It banned all sports</t>
  </si>
  <si>
    <t>B) It led to the decline of the aristocratic games, which allowed folk versions like Tambourin to flourish</t>
  </si>
  <si>
    <t>The decline of the nobility and their private courts meant that the public, village-based versions of the game became more prominent.</t>
  </si>
  <si>
    <t>Which of these is a key historical moment in the sport's journey towards international recognition?</t>
  </si>
  <si>
    <t>A) The creation of the Coupe de France in 1949, B) The adoption of Italian rules in 1955, C) Its inclusion as a demonstration sport in the 1993 Mediterranean Games, D) All of the above</t>
  </si>
  <si>
    <t>All of these were critical steps in the sport's evolution from a local pastime to an internationally recognized sport.</t>
  </si>
  <si>
    <t>The traditional construction of the tambourin, with a wooden frame and stretched skin, is a craft known as what?</t>
  </si>
  <si>
    <t>A) Carpentry, B) Tanning, C) Coopering (barrel-making), D) Masonry</t>
  </si>
  <si>
    <t>C) Coopering (barrel-making)</t>
  </si>
  <si>
    <t>The skills of a tonnelier (barrel-maker)—bending wood into a perfect circle and working with tension—were directly applicable to making the first tambourins.</t>
  </si>
  <si>
    <t>In its essence, what does the history of Balle au Tambourin represent?</t>
  </si>
  <si>
    <t>A) The story of a forgotten game, B) The story of a professional sport, C) The story of a local folk tradition adapting and surviving in the modern world, D) The story of a conflict between France and Italy</t>
  </si>
  <si>
    <t>C) The story of a local folk tradition adapting and surviving in the modern world</t>
  </si>
  <si>
    <t>The sport's journey from village squares to international competition is a testament to the resilience and passion of its community.</t>
  </si>
  <si>
    <t>The sport of Basque Pelota originated from which older European game?</t>
  </si>
  <si>
    <t>A) Tennis, B) Volleyball, C) Jeu de Paume (Game of the Palm), D) Cricket</t>
  </si>
  <si>
    <t>C) Jeu de Paume (Game of the Palm)</t>
  </si>
  <si>
    <t>Pelota evolved from the ancient "game of the palm," which was played across Europe. The Basque adaptation led to its unique modern forms.</t>
  </si>
  <si>
    <t>What significant change in the 18th century led to the development of Basque Pelota as a wall-based sport?</t>
  </si>
  <si>
    <t>A) The invention of a new ball, B) The decline of formal jeu de paume courts, forcing players to use church or town walls, C) A royal decree banning the sport, D) The introduction of a net</t>
  </si>
  <si>
    <t>B) The decline of formal jeu de paume courts, forcing players to use church or town walls</t>
  </si>
  <si>
    <t>As formal courts fell into disuse, players in the Basque Country began hitting the ball against a single wall, creating the indirect style of play.</t>
  </si>
  <si>
    <t>The modern game of tennis evolved from a version of jeu de paume, but what is the main difference from the Basque Pelota evolution?</t>
  </si>
  <si>
    <t>A) Tennis uses a heavier ball, B) Pelota is a team sport, C) Tennis adopted a net for direct, face-to-face play, D) Pelota is played on grass</t>
  </si>
  <si>
    <t>C) Tennis adopted a net for direct, face-to-face play</t>
  </si>
  <si>
    <t>While both sports have a common ancestor, tennis evolved with a net, while Basque Pelota evolved using a wall (fronton).</t>
  </si>
  <si>
    <t>According to historian Chipitey Etcheto, the first major Pelota matches took place during which historical era?</t>
  </si>
  <si>
    <t>A) The Middle Ages, B) The Renaissance, C) The Napoleonic Era, D) World War I</t>
  </si>
  <si>
    <t>C) The Napoleonic Era</t>
  </si>
  <si>
    <t>Etcheto's research places the first significant and organized matches at the beginning of the 19th century, during the Napoleonic Wars.</t>
  </si>
  <si>
    <t>What is the name of the iconic, basket-shaped racket that revolutionized the sport?</t>
  </si>
  <si>
    <t>A) The Pala, B) The Xare, C) The Chistera, D) The Laxoa</t>
  </si>
  <si>
    <t>C) The Chistera</t>
  </si>
  <si>
    <t>The chistera, a woven wicker basket-glove, allowed players to catch and throw the ball at much higher speeds than ever before.</t>
  </si>
  <si>
    <t>Who is traditionally credited with the invention of the first chistera around 1850?</t>
  </si>
  <si>
    <t>A) Chipitey Etcheto, B) Chiquito de Cambo, C) Jean "Gantxiki" Dithurbide, D) Atano III</t>
  </si>
  <si>
    <t>C) Jean "Gantxiki" Dithurbide</t>
  </si>
  <si>
    <t>Gantxiki, a young player from Saint-Pée-sur-Nivelle, is credited with adapting a fruit basket into the first chistera, changing the game forever.</t>
  </si>
  <si>
    <t>Which famous 19th-century player was most responsible for popularizing Pelota and turning it into a major spectator sport?</t>
  </si>
  <si>
    <t>A) Gantxiki, B) Joseph "Chiquito de Cambo" Apezteguy, C) Mariano Juaristi, D) Indalecio Sarasqueta</t>
  </si>
  <si>
    <t>B) Joseph "Chiquito de Cambo" Apezteguy</t>
  </si>
  <si>
    <t>Chiquito de Cambo was the first great star of Pelota, whose incredible skill and showmanship drew huge crowds and elevated the sport's status.</t>
  </si>
  <si>
    <t>In what decade were the first official, organized Pelota competitions and federations established?</t>
  </si>
  <si>
    <t>A) The 1880s, B) The 1900s, C) The 1920s, D) The 1940s</t>
  </si>
  <si>
    <t>C) The 1920s</t>
  </si>
  <si>
    <t>The 1920s saw the formalization of the sport with the creation of the International Federation of Basque Pelota (FIPV) and standardized competitions.</t>
  </si>
  <si>
    <t>The most popular and internationally famous version of Basque Pelota, especially in the Americas, is known as what?</t>
  </si>
  <si>
    <t>A) Main Nue, B) Pala Corta, C) Jai Alai, D) Xare</t>
  </si>
  <si>
    <t>C) Jai Alai</t>
  </si>
  <si>
    <t>Jai Alai, which means "Merry Festival" in Basque, is the name given to the fast-paced version of the sport played with a chistera, which became a sensation abroad.</t>
  </si>
  <si>
    <t>The first major fronton (Pelota court) in the United States was built in 1924 in which city?</t>
  </si>
  <si>
    <t>A) New York, B) Chicago, C) Miami, D) Los Angeles</t>
  </si>
  <si>
    <t>C) Miami</t>
  </si>
  <si>
    <t>The Miami Fronton opened in 1924, marking the beginning of Jai Alai's "golden age" as a popular spectator and betting sport in Florida.</t>
  </si>
  <si>
    <t>What was the main reason for the dramatic decline in Jai Alai's popularity in the United States from the 1990s onwards?</t>
  </si>
  <si>
    <t>A) A lack of skilled players, B) The competition from other professional sports, C) A major players' strike and the growth of casinos and lotteries, D) The equipment became too expensive</t>
  </si>
  <si>
    <t>C) A major players' strike and the growth of casinos and lotteries</t>
  </si>
  <si>
    <t>A lengthy and bitter players' strike in the late 1980s, combined with the rise of other legalized gambling options, led to a sharp decline in attendance.</t>
  </si>
  <si>
    <t>In which multi-sport event has Basque Pelota been featured, often as a demonstration or official medal sport?</t>
  </si>
  <si>
    <t>A) The Olympic Games, B) The Commonwealth Games, C) The Pan American Games, D) The Asian Games</t>
  </si>
  <si>
    <t>C) The Pan American Games</t>
  </si>
  <si>
    <t>Pelota has been part of the Pan American Games several times, starting in 1995, reflecting its popularity in Latin American countries.</t>
  </si>
  <si>
    <t>The ball (pelote) used in Jai Alai is known for being extremely hard and fast. What is it traditionally made of?</t>
  </si>
  <si>
    <t>A) Solid wood, B) A core of Brazilian rubber, wound with wool, and covered in goat skin, C) Compressed cork, D) A plastic polymer</t>
  </si>
  <si>
    <t>B) A core of Brazilian rubber, wound with wool, and covered in goat skin</t>
  </si>
  <si>
    <t>The traditional hand-made pelota is a complex and extremely hard projectile, capable of reaching speeds over 300 km/h (186 mph).</t>
  </si>
  <si>
    <t>What is the primary role of the fronton in the game?</t>
  </si>
  <si>
    <t>A) It is the wall against which the ball is hit, B) It is the place where the spectators sit, C) It is the referee of the game, D) It is the entire playing area</t>
  </si>
  <si>
    <t>A) It is the wall against which the ball is hit</t>
  </si>
  <si>
    <t>The fronton is the main playing wall, the target that players hit to keep the ball in play. The entire court structure is also often called a fronton.</t>
  </si>
  <si>
    <t>The chistera is traditionally made from what materials?</t>
  </si>
  <si>
    <t>A) Plastic and nylon, B) Bentwood (ash or chestnut) and woven wicker, C) Metal and leather, D) Carbon fiber</t>
  </si>
  <si>
    <t>B) Bentwood (ash or chestnut) and woven wicker</t>
  </si>
  <si>
    <t>The chistera is a masterpiece of craftsmanship, traditionally woven by hand from wicker onto a steam-bent wooden frame.</t>
  </si>
  <si>
    <t>What does the name "Jai Alai" mean in the Basque language (Euskara)?</t>
  </si>
  <si>
    <t>A) "Fast Ball", B) "Wall Game", C) "Merry Festival", D) "Wicker Hand"</t>
  </si>
  <si>
    <t>C) "Merry Festival"</t>
  </si>
  <si>
    <t>The name was coined by a journalist in the 19th century, as the sport was a centerpiece of local festivals.</t>
  </si>
  <si>
    <t>Which two countries are the dominant powers in international Basque Pelota competitions?</t>
  </si>
  <si>
    <t>A) Argentina and Mexico, B) The United States and Cuba, C) France and Spain, D) The Philippines and Italy</t>
  </si>
  <si>
    <t>C) France and Spain</t>
  </si>
  <si>
    <t>The Basque regions of France and Spain are the heartland of the sport and have historically dominated the World Championships.</t>
  </si>
  <si>
    <t>What is a trinquet?</t>
  </si>
  <si>
    <t>A) A type of chistera, B) A four-walled indoor Pelota court with a gallery, C) The referee in Jai Alai, D) The name of the ball</t>
  </si>
  <si>
    <t>B) A four-walled indoor Pelota court with a gallery</t>
  </si>
  <si>
    <t>The trinquet is an older form of court than the open-air fronton, with four walls, which creates a more complex game with different angles.</t>
  </si>
  <si>
    <t>The most basic and oldest modality of the sport is main nue. How is it played?</t>
  </si>
  <si>
    <t>A) With a wooden paddle, B) With a small chistera, C) With the bare hand, D) With a stringed racket</t>
  </si>
  <si>
    <t>C) With the bare hand</t>
  </si>
  <si>
    <t>Esku-pilota or main nue (bare hand) is the original form of the game, where players strike the hard ball with their unprotected hands.</t>
  </si>
  <si>
    <t>What is the main function of the chistera's basket shape?</t>
  </si>
  <si>
    <t>A) It is purely for aesthetic reasons, B) To catch, cradle, and throw the ball in a single fluid motion, C) To protect the player's hand, D) To make a loud noise</t>
  </si>
  <si>
    <t>B) To catch, cradle, and throw the ball in a single fluid motion</t>
  </si>
  <si>
    <t>The curved basket acts like a channel, allowing the player to accelerate the ball to incredible speeds, a technique known as the "slingshot effect."</t>
  </si>
  <si>
    <t>Besides Florida, which other US state had a significant Jai Alai scene in the 20th century?</t>
  </si>
  <si>
    <t>A) California, B) Texas, C) Connecticut, D) Nevada</t>
  </si>
  <si>
    <t>C) Connecticut</t>
  </si>
  <si>
    <t>Frontons in cities like Hartford and Bridgeport were major venues for the sport in the northeastern United States.</t>
  </si>
  <si>
    <t>What is a partido in Jai Alai?</t>
  </si>
  <si>
    <t>A) A single point, B) A match played to a certain number of points, C) A player, D) The court</t>
  </si>
  <si>
    <t>B) A match played to a certain number of points</t>
  </si>
  <si>
    <t>A partido is the classic match format, where two teams play until one reaches a target score, such as 35 points.</t>
  </si>
  <si>
    <t>In which country, a former Spanish colony, did Jai Alai become extremely popular in the 20th century, with a famous fronton in its capital?</t>
  </si>
  <si>
    <t>A) The Philippines, B) Mexico, C) Cuba, D) All of the above</t>
  </si>
  <si>
    <t>Jai Alai spread throughout the Spanish-speaking world, with major professional frontons in Manila, Mexico City, and Havana.</t>
  </si>
  <si>
    <t>The scoring system used in professional Jai Alai in the US, designed for betting, is called what?</t>
  </si>
  <si>
    <t>A) The Round Robin, B) The American System, C) The Quiniela, D) The Spectator System</t>
  </si>
  <si>
    <t>C) The Quiniela</t>
  </si>
  <si>
    <t>The quiniela is a fast-paced rotational system where 8 teams or players compete, and spectators bet on which two will finish first and second.</t>
  </si>
  <si>
    <t>What is the role of the canchero?</t>
  </si>
  <si>
    <t>A) The referee, B) A professional player, C) The court manager or judge who sits behind a screen, D) The person who makes the balls</t>
  </si>
  <si>
    <t>C) The court manager or judge who sits behind a screen</t>
  </si>
  <si>
    <t>The canchero is the court judge, protected by a screen, who makes the official calls on points and faults.</t>
  </si>
  <si>
    <t>What is the name of the modality played with a solid rubber ball and a short wooden paddle (pala)?</t>
  </si>
  <si>
    <t>A) Main Nue, B) Cesta Punta, C) Paleta Goma, D) Xare</t>
  </si>
  <si>
    <t>C) Paleta Goma</t>
  </si>
  <si>
    <t>Paleta Goma (rubber paddle) is an extremely popular amateur version of the sport, especially in Argentina.</t>
  </si>
  <si>
    <t>Which event marked a turning point in the decline of Pelota's ancestor, jeu de paume?</t>
  </si>
  <si>
    <t>A) The Black Death, B) The invention of the printing press, C) The French Revolution, D) The Hundred Years' War</t>
  </si>
  <si>
    <t>C) The French Revolution</t>
  </si>
  <si>
    <t>The revolution led to the decline of the aristocracy, who were the main patrons of the expensive indoor jeu de paume courts, forcing the game into public spaces.</t>
  </si>
  <si>
    <t>What is the name for the front playing wall in a Pelota court?</t>
  </si>
  <si>
    <t>A) The frontis, B) The pared, C) The rebote, D) The cancha</t>
  </si>
  <si>
    <t>A) The frontis</t>
  </si>
  <si>
    <t>The frontis is the main, front wall that the ball must be hit against on every shot.</t>
  </si>
  <si>
    <t>In addition to the front wall, a standard fronton has how many other playing walls?</t>
  </si>
  <si>
    <t>A) None, B) One (a left wall), C) Two (a left and a back wall), D) Three (a left, back, and right wall)</t>
  </si>
  <si>
    <t>B) One (a left wall)</t>
  </si>
  <si>
    <t>The most common type of court, the "fronton with a left wall," is an open-air court with a front wall and a long side wall.</t>
  </si>
  <si>
    <t>The International Federation of Basque Pelota (FIPV) was founded in what year?</t>
  </si>
  <si>
    <t>A) 1900, B) 1929, C) 1945, D) 1958</t>
  </si>
  <si>
    <t>B) 1929</t>
  </si>
  <si>
    <t>The FIPV was created to standardize the rules for the different modalities and to organize the first World Championships.</t>
  </si>
  <si>
    <t>In what country would you find the modality of Pelota known as Xare or "Argentine racket"?</t>
  </si>
  <si>
    <t>A) Argentina, B) Spain, C) France, D) Mexico</t>
  </si>
  <si>
    <t>A) Argentina</t>
  </si>
  <si>
    <t>Xare is a unique modality played with a soft, stringed racket, and it is most popular in Argentina and France.</t>
  </si>
  <si>
    <t>What is a "pelotari"?</t>
  </si>
  <si>
    <t>A) The ball, B) The court, C) A player of Pelota, D) The racket</t>
  </si>
  <si>
    <t>C) A player of Pelota</t>
  </si>
  <si>
    <t>A pelotari is the general term for any person who plays any form of the game.</t>
  </si>
  <si>
    <t>The first Pelota World Championships were held in 1952 in which famous Basque city?</t>
  </si>
  <si>
    <t>A) Bilbao, B) Biarritz, C) San Sebastián, D) Pamplona</t>
  </si>
  <si>
    <t>C) San Sebastián</t>
  </si>
  <si>
    <t>The historic city of San Sebastián (Donostia) in Spain was the host of the inaugural FIPV World Championships.</t>
  </si>
  <si>
    <t>Why was Pelota's inclusion in the 1900 Paris Olympics unofficial?</t>
  </si>
  <si>
    <t>A) The rules were not ready, B) Only two teams (France and Spain) competed, C) The weather was bad, D) It was too dangerous</t>
  </si>
  <si>
    <t>B) Only two teams (France and Spain) competed</t>
  </si>
  <si>
    <t>Due to the lack of international participation, the event was not considered for official medal status.</t>
  </si>
  <si>
    <t>The speed of the ball in Jai Alai has earned it what nickname?</t>
  </si>
  <si>
    <t>A) "The fastest sport in the world", B) "The game of a thousand thrills", C) "The ballet of the bullets", D) All of the above</t>
  </si>
  <si>
    <t>Jai Alai is renowned for its incredible speed and risk, earning it many dramatic nicknames over the years.</t>
  </si>
  <si>
    <t>What is the term for the serve in Jai Alai?</t>
  </si>
  <si>
    <t>A) The throw, B) The launch, C) The serve, D) The cast</t>
  </si>
  <si>
    <t>C) The serve</t>
  </si>
  <si>
    <t>As in tennis, the serve is the action that begins the point, where the player must bounce the ball and then hurl it against the front wall.</t>
  </si>
  <si>
    <t>A player catches the ball in their chistera but holds it for too long before throwing. What is the ruling?</t>
  </si>
  <si>
    <t>A) This is a legal move, B) It is a fault for holding or "retaining" the ball, C) The player is warned, D) The point is replayed</t>
  </si>
  <si>
    <t>B) It is a fault for holding or "retaining" the ball</t>
  </si>
  <si>
    <t>The rules require the ball to be caught and thrown in one continuous, fluid motion. Holding it is an illegal "scoop."</t>
  </si>
  <si>
    <t>What is the main reason for the decline of professional Jai Alai in the Philippines?</t>
  </si>
  <si>
    <t>A) A lack of skilled players, B) The rise of basketball as the national sport, C) A government ban on the sport, D) The court was destroyed</t>
  </si>
  <si>
    <t>B) The rise of basketball as the national sport</t>
  </si>
  <si>
    <t>While popular for decades, Jai Alai's popularity was eventually eclipsed by the massive national passion for basketball.</t>
  </si>
  <si>
    <t>Which legendary Spanish pelotari is considered one of the greatest of all time, known as "The Cyclone from Lekeitio"?</t>
  </si>
  <si>
    <t>A) Atano III, B) Retegi II, C) José de Amézola, D) Indalecio Sarasqueta</t>
  </si>
  <si>
    <t>D) Indalecio Sarasqueta</t>
  </si>
  <si>
    <t>Sarasqueta was a dominant player in the late 19th century who helped popularize the sport in Spain and Latin America.</t>
  </si>
  <si>
    <t>What is the role of the red color on the court (cancha)?</t>
  </si>
  <si>
    <t>A) It is purely decorative, B) It marks the "out of bounds" area, C) It marks the service lines and fault zones, D) It indicates the home team's side</t>
  </si>
  <si>
    <t>C) It marks the service lines and fault zones</t>
  </si>
  <si>
    <t>The court has specific red lines and zones that determine whether a serve is legal or a ball is in play.</t>
  </si>
  <si>
    <t>The first official Pelota competitions were organized in the 1920s. What was a major motivation for this?</t>
  </si>
  <si>
    <t>A) To prepare the sport for inclusion in the Olympic Games, B) To make money from betting, C) To settle disputes between villages, D) To attract tourists</t>
  </si>
  <si>
    <t>A) To prepare the sport for inclusion in the Olympic Games</t>
  </si>
  <si>
    <t>A key driver for the creation of the FIPV and the first World Championships was the ambition to make Pelota an official Olympic sport.</t>
  </si>
  <si>
    <t>What is a "fronton"?</t>
  </si>
  <si>
    <t>A) A player's helmet, B) The wall against which the ball is hit, C) The traditional Basque beret, D) The name of the prize money</t>
  </si>
  <si>
    <t>B) The wall against which the ball is hit</t>
  </si>
  <si>
    <t>A fronton is the main playing wall. The term is also used for the entire court or stadium structure.</t>
  </si>
  <si>
    <t>The game of Laxoa, a traditional Basque street game, is considered the direct ancestor of which modality?</t>
  </si>
  <si>
    <t>A) Jai Alai, B) Main Nue (Bare Hand), C) Paleta Goma, D) It is not related to Pelota</t>
  </si>
  <si>
    <t>B) Main Nue (Bare Hand)</t>
  </si>
  <si>
    <t>Laxoa is the old team-based, direct (face-to-face) version of hand-pelota from which the modern indirect (wall-based) game evolved.</t>
  </si>
  <si>
    <t>What is the primary difference in the ball used for main nue (bare hand) versus cesta punta (Jai Alai)?</t>
  </si>
  <si>
    <t>A) The hand-pelota ball is softer and smaller, B) There is no difference, C) The hand-pelota ball is heavier, D) The Jai Alai ball is made of wood</t>
  </si>
  <si>
    <t>A) The hand-pelota ball is softer and smaller</t>
  </si>
  <si>
    <t>While still very hard, the ball for the bare-handed game is slightly smaller and has more bounce than the rock-hard Jai Alai pelota.</t>
  </si>
  <si>
    <t>In the history of the sport, women's participation has been most prominent in which modality?</t>
  </si>
  <si>
    <t>A) Cesta Punta (Jai Alai), B) Main Nue (Bare Hand), C) Paleta Goma (Rubber Paddle), D) They have not participated</t>
  </si>
  <si>
    <t>C) Paleta Goma (Rubber Paddle)</t>
  </si>
  <si>
    <t>The lighter ball and paddle of Paleta Goma have made it the most popular and accessible modality for female players, especially in Argentina and Spain.</t>
  </si>
  <si>
    <t>Which European country, besides France and Spain, has a small but active Pelota federation?</t>
  </si>
  <si>
    <t>A) Germany, B) Italy, C) Portugal, D) The United Kingdom</t>
  </si>
  <si>
    <t>Italy has a history with related games (palla) and has a federation that competes in some international Pelota events.</t>
  </si>
  <si>
    <t>The Basque diaspora was instrumental in spreading the sport globally. In which continent did they have the most success in establishing professional frontons?</t>
  </si>
  <si>
    <t>A) North and South America, B) Africa, C) Asia, D) Australia</t>
  </si>
  <si>
    <t>A) North and South America</t>
  </si>
  <si>
    <t>Basque immigrants brought the game with them, leading to the construction of major professional frontons in cities across the Americas.</t>
  </si>
  <si>
    <t>What is the main reason for the high cost of a professional Jai Alai ball?</t>
  </si>
  <si>
    <t>A) The materials are rare, B) They are handmade by a few skilled craftsmen in a labor-intensive process, C) They are imported, D) They have a high tax</t>
  </si>
  <si>
    <t>B) They are handmade by a few skilled craftsmen in a labor-intensive process</t>
  </si>
  <si>
    <t>Each pelota is meticulously hand-wound and stitched, a process that takes many hours. They cannot be mass-produced.</t>
  </si>
  <si>
    <t>The decline of jeu de paume in the 18th century was partly due to what social change?</t>
  </si>
  <si>
    <t>A) It became too dangerous, B) The French aristocracy, who were its main patrons, lost their power and wealth, C) The ball became too expensive, D) A new, more exciting sport was invented</t>
  </si>
  <si>
    <t>B) The French aristocracy, who were its main patrons, lost their power and wealth</t>
  </si>
  <si>
    <t>The French Revolution and its aftermath led to the decline of the noble class that had funded and played in the expensive indoor courts.</t>
  </si>
  <si>
    <t>What is the most important quality for a pelotari who plays main nue (bare hand)?</t>
  </si>
  <si>
    <t>A) Speed, B) Agility, C) An extremely high pain tolerance and tough hands, D) A good chistera</t>
  </si>
  <si>
    <t>C) An extremely high pain tolerance and tough hands</t>
  </si>
  <si>
    <t>The sport involves hitting a very hard ball repeatedly with the bare hand, which is incredibly painful and requires years of conditioning.</t>
  </si>
  <si>
    <t>What is the main reason that the fronton in Miami became so popular?</t>
  </si>
  <si>
    <t>A) The large Basque community there, B) Its fast-paced nature was perfect for legalized betting, C) It was the only sport available, D) It had the best players in the world</t>
  </si>
  <si>
    <t>B) Its fast-paced nature was perfect for legalized betting</t>
  </si>
  <si>
    <t>Jai Alai's speed and the quiniela betting system made it an exciting and popular gambling sport for decades.</t>
  </si>
  <si>
    <t>Which modality is named after the Spanish word for "basket tip"?</t>
  </si>
  <si>
    <t>A) Paleta, B) Xare, C) Cesta Punta, D) Frontenis</t>
  </si>
  <si>
    <t>C) Cesta Punta</t>
  </si>
  <si>
    <t>Cesta Punta is the Spanish name for the modality played with the chistera, literally meaning "basket with a point."</t>
  </si>
  <si>
    <t>In the history of the sport, what was the role of the church?</t>
  </si>
  <si>
    <t>A) It banned the sport, B) The church walls were often the first "frontons" used for playing, C) It was the main sponsor of tournaments, D) It had no role</t>
  </si>
  <si>
    <t>B) The church walls were often the first "frontons" used for playing</t>
  </si>
  <si>
    <t>In many Basque villages, the solid, flat side wall of the local church became the default court for the developing sport.</t>
  </si>
  <si>
    <t>The modern game of squash is similar to Basque Pelota in what fundamental way?</t>
  </si>
  <si>
    <t>A) It uses a similar racket, B) It is an indirect game where players hit a ball against a front wall, C) It is a team sport, D) It is played on the same size court</t>
  </si>
  <si>
    <t>B) It is an indirect game where players hit a ball against a front wall</t>
  </si>
  <si>
    <t>Both are "indirect" racket (or hand) sports, where players share a court and alternate hitting a ball off a common front wall.</t>
  </si>
  <si>
    <t>What is the historical significance of the town of Saint-Pée-sur-Nivelle in France?</t>
  </si>
  <si>
    <t>A) It is where the first fronton was built, B) It is the birthplace of the inventor of the chistera, Gantxiki, C) It hosts the World Championships, D) It is the hometown of Chiquito de Cambo</t>
  </si>
  <si>
    <t>B) It is the birthplace of the inventor of the chistera, Gantxiki</t>
  </si>
  <si>
    <t>This small Basque town is credited as the place where the revolutionary basket-racket was first created.</t>
  </si>
  <si>
    <t>What is the "rebound wall" in a Pelota court?</t>
  </si>
  <si>
    <t>A) The front wall, B) The left side wall, C) The back wall, D) There is no rebound wall</t>
  </si>
  <si>
    <t>C) The back wall</t>
  </si>
  <si>
    <t>The rebote is the back wall, off which the ball can be legally played, adding a complex strategic element to the game.</t>
  </si>
  <si>
    <t>In what way did the introduction of the rubber ball core in the 19th century change the game?</t>
  </si>
  <si>
    <t>A) It made the game safer, B) It made the ball much faster and bouncier, increasing the game's speed, C) It made the balls cheaper, D) It had no real impact</t>
  </si>
  <si>
    <t>B) It made the ball much faster and bouncier, increasing the game's speed</t>
  </si>
  <si>
    <t>The shift from older, less lively cores to vulcanized rubber dramatically increased the velocity and dynamism of the sport.</t>
  </si>
  <si>
    <t>What is the main characteristic of the "Laxoa" style of Pelota?</t>
  </si>
  <si>
    <t>A) It is played against a wall, B) It is a direct, face-to-face game with a net, played with leather gloves, C) It uses a wooden paddle, D) It is an individual sport</t>
  </si>
  <si>
    <t>B) It is a direct, face-to-face game with a net, played with leather gloves</t>
  </si>
  <si>
    <t>Laxoa is one of the oldest forms, a "direct" game that shows the clear evolutionary link to jeu de paume.</t>
  </si>
  <si>
    <t>What is the main reason Pelota has a strong connection to Basque nationalism?</t>
  </si>
  <si>
    <t>A) It is a sport unique to the Basque Country and a powerful symbol of their cultural identity, B) The sport was used in wars of independence, C) The rules are written in the Basque language, D) All professional players must be Basque</t>
  </si>
  <si>
    <t>A) It is a sport unique to the Basque Country and a powerful symbol of their cultural identity</t>
  </si>
  <si>
    <t>Pelota is more than a game; it is a cherished cultural treasure and a symbol of Basque uniqueness and heritage.</t>
  </si>
  <si>
    <t>What is the "Pasaka" modality?</t>
  </si>
  <si>
    <t>A) The most modern version of the game, B) A version played on a divided court with a net, similar to tennis, C) A version played with two frontons, D) A version played with a very heavy ball</t>
  </si>
  <si>
    <t>B) A version played on a divided court with a net, similar to tennis</t>
  </si>
  <si>
    <t>Pasaka is another of the "direct" games, showing the clear lineage from jeu de paume. It is played indoors in a trinquet.</t>
  </si>
  <si>
    <t>Which famous 20th-century author was a great fan of Jai Alai in Cuba?</t>
  </si>
  <si>
    <t>A) F. Scott Fitzgerald, B) Ernest Hemingway, C) Gabriel García Márquez, D) John Steinbeck</t>
  </si>
  <si>
    <t>B) Ernest Hemingway</t>
  </si>
  <si>
    <t>Hemingway was a passionate aficionado of the sport and often attended the matches at the famous Havana fronton.</t>
  </si>
  <si>
    <t>What is a frontenis?</t>
  </si>
  <si>
    <t>A) The Spanish name for Pelota, B) A modality of Pelota played with a stringed racket similar to a tennis racket, C) A smaller fronton for children, D) The front wall of the court</t>
  </si>
  <si>
    <t>B) A modality of Pelota played with a stringed racket similar to a tennis racket</t>
  </si>
  <si>
    <t>Frontenis, which is extremely popular in Mexico, is a fusion of Pelota and tennis, played on a Pelota court with tennis-style rackets.</t>
  </si>
  <si>
    <t>The first World Championships in 1952 were a major step in what process?</t>
  </si>
  <si>
    <t>A) The commercialization of the sport, B) The decline of the sport, C) The standardization and international recognition of the sport, D) The introduction of new rules</t>
  </si>
  <si>
    <t>C) The standardization and international recognition of the sport</t>
  </si>
  <si>
    <t>The creation of the World Championships provided a formal, global stage for the various modalities of Pelota.</t>
  </si>
  <si>
    <t>What is the main reason that players of main nue (bare hand) spend years conditioning their hands?</t>
  </si>
  <si>
    <t>A) To make their hands stronger for punching, B) To build up calluses and deaden the nerves to withstand the impact of the hard ball, C) To make their hands more flexible, D) It is a traditional ritual with no practical purpose</t>
  </si>
  <si>
    <t>B) To build up calluses and deaden the nerves to withstand the impact of the hard ball</t>
  </si>
  <si>
    <t>Hitting the hard pelota with an unconditioned hand can easily break bones. Players must go through a long and painful process of toughening their hands.</t>
  </si>
  <si>
    <t>What is the historical significance of the "fronton" in a Basque village?</t>
  </si>
  <si>
    <t>A) It is a place of worship, B) It is the social and cultural center of the village, C) It is a marketplace, D) It is a military structure</t>
  </si>
  <si>
    <t>B) It is the social and cultural center of the village</t>
  </si>
  <si>
    <t>The fronton is more than just a sports venue; it is the main public square where the community gathers for festivals, dances, and social events.</t>
  </si>
  <si>
    <t>In the early 20th century, why did many of the best Basque pelotaris emigrate?</t>
  </si>
  <si>
    <t>A) They were exiled for political reasons, B) To play in the lucrative professional Jai Alai circuits in the Americas and Asia, C) To teach the sport to others, D) To escape the Spanish Civil War</t>
  </si>
  <si>
    <t>B) To play in the lucrative professional Jai Alai circuits in the Americas and Asia</t>
  </si>
  <si>
    <t>The rise of professional Jai Alai created a global circuit that offered Basque players the chance to earn significant money and fame abroad.</t>
  </si>
  <si>
    <t>What is the main difference between a trinquet and a fronton with a left wall?</t>
  </si>
  <si>
    <t>A) The trinquet is outdoors, B) The trinquet is a fully enclosed four-walled court, often with a spectator gallery, C) The trinquet is smaller, D) The ball used is different</t>
  </si>
  <si>
    <t>B) The trinquet is a fully enclosed four-walled court, often with a spectator gallery</t>
  </si>
  <si>
    <t>The four-walled trinquet allows for a more complex game of angles and rebounds than the more common three-walled fronton.</t>
  </si>
  <si>
    <t>What does the term "Basque" in "Basque Pelota" refer to?</t>
  </si>
  <si>
    <t>A) The type of ball used, B) The specific region in France and Spain where the sport originated and is most popular, C) The name of the inventor, D) The language spoken by the players</t>
  </si>
  <si>
    <t>B) The specific region in France and Spain where the sport originated and is most popular</t>
  </si>
  <si>
    <t>The sport is a unique cultural product of the Basque Country, a region that straddles the border between northern Spain and southwestern France.</t>
  </si>
  <si>
    <t>A player is said to have a powerful remate. What does this mean?</t>
  </si>
  <si>
    <t>A) They have a very good serve, B) They have a powerful finishing or "kill" shot, C) They have a strong defense, D) They are very fast</t>
  </si>
  <si>
    <t>B) They have a powerful finishing or "kill" shot</t>
  </si>
  <si>
    <t>The remate is the offensive shot played to win the point, equivalent to a "smash" in other racket sports.</t>
  </si>
  <si>
    <t>The "craze" for Pelota at the end of the 19th century was largely driven by what?</t>
  </si>
  <si>
    <t>A) The introduction of new rules, B) The rise of charismatic star players like Chiquito de Cambo, C) Its inclusion in the Olympics, D) The spread of television</t>
  </si>
  <si>
    <t>B) The rise of charismatic star players like Chiquito de Cambo</t>
  </si>
  <si>
    <t>The emergence of the sport's first professional superstars turned it from a local pastime into a major spectator event.</t>
  </si>
  <si>
    <t>Why was the development of the seamless rubber ball by Dr. S.C. Hart of Goodyear so important for the sport?</t>
  </si>
  <si>
    <t>A) It made the balls more colorful, B) It created a standardized, more durable, and livelier ball that revolutionized play, C) It made the balls cheaper, D) It made the game safer</t>
  </si>
  <si>
    <t>B) It created a standardized, more durable, and livelier ball that revolutionized play</t>
  </si>
  <si>
    <t>This innovation in the 1920s replaced the less reliable traditional balls and was a key part of the sport's modernization.</t>
  </si>
  <si>
    <t>What is a cancha?</t>
  </si>
  <si>
    <t>A) The racket, B) The ball, C) The playing court itself, D) The referee</t>
  </si>
  <si>
    <t>C) The playing court itself</t>
  </si>
  <si>
    <t>Cancha is the Spanish word for the court on which the game is played.</t>
  </si>
  <si>
    <t>In the early days, how was the score often kept in a casual match?</t>
  </si>
  <si>
    <t>A) With an electronic scoreboard, B) By making marks with chalk on a stone, C) It was not kept, D) By using an abacus</t>
  </si>
  <si>
    <t>B) By making marks with chalk on a stone</t>
  </si>
  <si>
    <t>Before formal scorers, players would often keep track of the points using simple, traditional methods.</t>
  </si>
  <si>
    <t>What is the main reason Pelota has not become a permanent Olympic sport?</t>
  </si>
  <si>
    <t>A) It is too dangerous, B) The lack of global participation and the complexity of its many different modalities, C) It is not popular enough, D) The equipment is too expensive</t>
  </si>
  <si>
    <t>B) The lack of global participation and the complexity of its many different modalities</t>
  </si>
  <si>
    <t>The sport is only played at a high level in a few countries, and its many different versions make it difficult to fit into the Olympic program.</t>
  </si>
  <si>
    <t>What is the primary role of the long side wall (pared izquierda) in a fronton?</t>
  </si>
  <si>
    <t>A) It is where spectators sit, B) It is an active playing surface that the ball can be played off of, C) It is just a boundary, D) It is used for advertising</t>
  </si>
  <si>
    <t>B) It is an active playing surface that the ball can be played off of</t>
  </si>
  <si>
    <t>The left wall is a key part of the game, used for strategic shots and complex angles that make the sport three-dimensional.</t>
  </si>
  <si>
    <t>A player is wearing a helmet during a Jai Alai match. Why is this a modern requirement?</t>
  </si>
  <si>
    <t>A) To look professional, B) The incredible speed of the ball can be lethal if it hits a player in the head, C) To protect from falls, D) It is a sponsor requirement</t>
  </si>
  <si>
    <t>B) The incredible speed of the ball can be lethal if it hits a player in the head</t>
  </si>
  <si>
    <t>With ball speeds exceeding 300 km/h, the helmet is an essential piece of safety equipment to prevent serious or fatal head injuries.</t>
  </si>
  <si>
    <t>What does the term mano a mano signify?</t>
  </si>
  <si>
    <t>A) A team game, B) A one-on-one singles match, C) A doubles match, D) A traditional greeting</t>
  </si>
  <si>
    <t>B) A one-on-one singles match</t>
  </si>
  <si>
    <t>Mano a mano ("hand to hand") is the term for a singles match, the ultimate test of an individual pelotari's skill.</t>
  </si>
  <si>
    <t>What is the historical origin of the fronton being attached to the side of a church?</t>
  </si>
  <si>
    <t>A) The church was the only building with a large, flat, stone wall suitable for playing, B) The game was a religious ritual, C) The priests were the best players, D) The game was only allowed to be played on holy ground</t>
  </si>
  <si>
    <t>A) The church was the only building with a large, flat, stone wall suitable for playing</t>
  </si>
  <si>
    <t>In many Basque villages, the church wall was a practical and convenient location that became the traditional heart of the sport.</t>
  </si>
  <si>
    <t>The betting system in Jai Alai, the quiniela, involves betting on which teams will finish in what positions?</t>
  </si>
  <si>
    <t>A) First place only, B) First and second place (Win and Place), C) First, second, and third place (Trifecta), D) The last place team</t>
  </si>
  <si>
    <t>B) First and second place (Win and Place)</t>
  </si>
  <si>
    <t>The quiniela is a classic parimutuel betting system where the goal is to predict the top two finishers in the match.</t>
  </si>
  <si>
    <t>What is the main reason for the decline of Jai Alai in places like the Philippines and the US?</t>
  </si>
  <si>
    <t>A) A global shortage of players, B) A ban on the sport, C) Increased competition from other sports and gambling options like casinos, D) The game became too slow</t>
  </si>
  <si>
    <t>C) Increased competition from other sports and gambling options like casinos</t>
  </si>
  <si>
    <t>The rise of other professional sports and more accessible forms of gambling has been a major factor in Jai Alai's decline outside its heartland.</t>
  </si>
  <si>
    <t>What is the "service line" or falta line?</t>
  </si>
  <si>
    <t>A) The line marking the back of the court, B) A line that the serve must pass to be considered legal, C) The line separating the two teams, D) A line the server cannot cross</t>
  </si>
  <si>
    <t>B) A line that the serve must pass to be considered legal</t>
  </si>
  <si>
    <t>After hitting the front wall, the serve must bounce in the valid area between the falta (short) line and the pasa (long) line.</t>
  </si>
  <si>
    <t>Which famous artist was known for painting scenes of Basque Pelota players?</t>
  </si>
  <si>
    <t>A) Pablo Picasso, B) Salvador Dalí, C) Francisco Goya, D) Joan Miró</t>
  </si>
  <si>
    <t>C) Francisco Goya</t>
  </si>
  <si>
    <t>The Spanish master Francisco Goya created a famous painting titled "The Pelota Game" (Juego de pelota a pala) in the late 18th century.</t>
  </si>
  <si>
    <t>What is a "pelota court" called in the Basque language, Euskara?</t>
  </si>
  <si>
    <t>A) Fronton, B) Pilotaleku, C) Cancha, D) Trinquet</t>
  </si>
  <si>
    <t>B) Pilotaleku</t>
  </si>
  <si>
    <t>Pilotaleku is the Basque term for the place where pelota is played.</t>
  </si>
  <si>
    <t>Why is the left wall (pared izquierda) a standard feature, but not a right wall?</t>
  </si>
  <si>
    <t>A) It is a tradition with no reason, B) To allow right-handed players to play their natural forehand stroke, C) It is too expensive to build a right wall, D) A right wall would make the game too easy</t>
  </si>
  <si>
    <t>B) To allow right-handed players to play their natural forehand stroke</t>
  </si>
  <si>
    <t>The open right side of the court allows the majority of players, who are right-handed, to swing freely without hitting a wall.</t>
  </si>
  <si>
    <t>What is the main characteristic of the pala used in some modalities?</t>
  </si>
  <si>
    <t>A) It is a stringed racket, B) It is a solid wooden paddle, C) It is a leather glove, D) It is a woven basket</t>
  </si>
  <si>
    <t>B) It is a solid wooden paddle</t>
  </si>
  <si>
    <t>The pala is a powerful, bat-like wooden paddle used to strike the ball with great force.</t>
  </si>
  <si>
    <t>In the 19th century, Pelota was often played as part of a challenge or desafio. What did this involve?</t>
  </si>
  <si>
    <t>A) A friendly exhibition match, B) A high-stakes match between two towns or champions, often with a large bet, C) A game with different rules, D) A religious ceremony</t>
  </si>
  <si>
    <t>B) A high-stakes match between two towns or champions, often with a large bet</t>
  </si>
  <si>
    <t>A desafio was a formal challenge match, a central part of the sport's culture of honor and rivalry.</t>
  </si>
  <si>
    <t>The International Federation (FIPV) has lobbied for Pelota to be included in which major event?</t>
  </si>
  <si>
    <t>A) The Winter Olympics, B) The Summer Olympics, C) The World Cup, D) The X Games</t>
  </si>
  <si>
    <t>B) The Summer Olympics</t>
  </si>
  <si>
    <t>The FIPV has a long-standing ambition to have Basque Pelota recognized as an official and permanent Olympic sport.</t>
  </si>
  <si>
    <t>What is the term for a point in Jai Alai?</t>
  </si>
  <si>
    <t>A) A point, B) A score, C) A tanto, D) A goal</t>
  </si>
  <si>
    <t>C) A tanto</t>
  </si>
  <si>
    <t>The Spanish word tanto is the traditional term for a single point scored in a match.</t>
  </si>
  <si>
    <t>The game played with a leather glove, laxoa, is considered the direct ancestor of which modern modality?</t>
  </si>
  <si>
    <t>A) Cesta Punta, B) Bare Hand Pelota (main nue), C) Paleta Goma, D) It is not related</t>
  </si>
  <si>
    <t>B) Bare Hand Pelota (main nue)</t>
  </si>
  <si>
    <t>Laxoa, one of the oldest forms, shows the clear evolutionary link from jeu de paume to the modern bare-handed style of Pelota.</t>
  </si>
  <si>
    <t>Why is the ball (pelote) covered in goat skin?</t>
  </si>
  <si>
    <t>A) It is the cheapest material, B) It is a tradition, C) Goat skin is extremely durable and provides the right texture for the game, D) It is waterproof</t>
  </si>
  <si>
    <t>C) Goat skin is extremely durable and provides the right texture for the game</t>
  </si>
  <si>
    <t>The two layers of hand-stitched goat hide are the final, crucial component that gives the ball its incredible resilience and playing characteristics.</t>
  </si>
  <si>
    <t>What is the role of the back wall (rebote) in a three-walled fronton?</t>
  </si>
  <si>
    <t>A) It is out of bounds, B) It is an active playing surface off which the ball can be played, C) It is where the scoreboard is placed, D) It is for spectators</t>
  </si>
  <si>
    <t>B) It is an active playing surface off which the ball can be played</t>
  </si>
  <si>
    <t>The back wall adds a complex strategic element, allowing for long rallies and different types of shots.</t>
  </si>
  <si>
    <t>The popularity of which player in the early 20th century cemented Pelota as a major sport in the Basque Country?</t>
  </si>
  <si>
    <t>A) Atano III, B) Chiquito de Cambo, C) Retegi II, D) Gallastegui</t>
  </si>
  <si>
    <t>A) Atano III</t>
  </si>
  <si>
    <t>Mariano Juaristi, known as Atano III, was a legendary bare-handed player whose dominance and skill in the 1920s and 30s made him a national hero.</t>
  </si>
  <si>
    <t>What is "frontball"?</t>
  </si>
  <si>
    <t>A) An older name for Pelota, B) A modern, simplified version of Pelota played with a simple ball against any wall, C) The name for the serve, D) A type of court</t>
  </si>
  <si>
    <t>B) A modern, simplified version of Pelota played with a simple ball against any wall</t>
  </si>
  <si>
    <t>Frontball is a new, accessible version of the game being promoted by the FIPV to spread the sport globally, as it does not require a formal court.</t>
  </si>
  <si>
    <t>In a professional Jai Alai match, what is the server's motion?</t>
  </si>
  <si>
    <t>A) They throw the ball overhand, B) They must bounce the ball and then scoop and throw it with the chistera, C) They can hit it directly with the chistera, D) A teammate serves for them</t>
  </si>
  <si>
    <t>B) They must bounce the ball and then scoop and throw it with the chistera</t>
  </si>
  <si>
    <t>The serve has a specific, required motion to be legal.</t>
  </si>
  <si>
    <t>The game's strong association with betting is a legacy of what period?</t>
  </si>
  <si>
    <t>A) Its ancient origins, B) Its time as a major professional sport in the Americas, C) Its inclusion in the Olympics, D) It is not associated with betting</t>
  </si>
  <si>
    <t>B) Its time as a major professional sport in the Americas</t>
  </si>
  <si>
    <t>The professional Jai Alai circuit in the US was almost entirely built around the parimutuel betting system.</t>
  </si>
  <si>
    <t>What is the main reason Pelota has a much higher cultural status in the Basque Country than in other parts of the world?</t>
  </si>
  <si>
    <t>A) It is a symbol of their unique national and cultural identity, B) It is the only sport they play, C) The prize money is much higher there, D) The best players are all from there</t>
  </si>
  <si>
    <t>A) It is a symbol of their unique national and cultural identity</t>
  </si>
  <si>
    <t>Pelota is more than just a game; it is a cherished cultural treasure, a social institution, and a powerful expression of Basque heritage.</t>
  </si>
  <si>
    <t>What is the main difference between paleta cuero and paleta goma?</t>
  </si>
  <si>
    <t>A) The size of the court, B) The type of ball used (a leather ball vs. a rubber ball), C) The number of players, D) The material of the paddle</t>
  </si>
  <si>
    <t>B) The type of ball used (a leather ball vs. a rubber ball)</t>
  </si>
  <si>
    <t>These are two different paddle modalities, one played with a traditional hard leather ball and the other with a bouncier rubber ball.</t>
  </si>
  <si>
    <t>The spread of Pelota to Latin America is a direct result of what historical process?</t>
  </si>
  <si>
    <t>A) The Silk Road, B) The British Empire, C) Spanish colonization and Basque migration, D) The Olympic movement</t>
  </si>
  <si>
    <t>C) Spanish colonization and Basque migration</t>
  </si>
  <si>
    <t>Basque immigrants carried their national sport with them to countries like Argentina, Mexico, and Cuba, where it took root.</t>
  </si>
  <si>
    <t>What is a "pelota school" or escuela de pelota?</t>
  </si>
  <si>
    <t>A) A university that studies the sport, B) A training academy for young players, C) The name of a famous book about the sport, D) A place where the balls are made</t>
  </si>
  <si>
    <t>B) A training academy for young players</t>
  </si>
  <si>
    <t>These schools are the heart of the sport's development, where young children learn the fundamentals from experienced coaches.</t>
  </si>
  <si>
    <t>What is the most enduring legacy of the game of jeu de paume?</t>
  </si>
  <si>
    <t>A) It is still a popular global sport, B) It provided the foundational rules, terminology, and concepts for modern sports like tennis and Pelota, C) It was the first sport to use a racket, D) It was an Olympic sport</t>
  </si>
  <si>
    <t>B) It provided the foundational rules, terminology, and concepts for modern sports like tennis and Pelota</t>
  </si>
  <si>
    <t>The ancient "game of the palm" is one of the most important ancestors in the history of sports, giving rise to many modern racket and ball games.</t>
  </si>
  <si>
    <t>A player in a main nue match is seen with their hand heavily strapped. Why is this done?</t>
  </si>
  <si>
    <t>A) It is an illegal way to harden the hand, B) To provide support and protection for the bones and tendons of the hand, C) To get a better grip on the ball, D) It is purely for show</t>
  </si>
  <si>
    <t>B) To provide support and protection for the bones and tendons of the hand</t>
  </si>
  <si>
    <t>Players use specific, layered taping (tacos) to protect their hands from the immense, repetitive impact of hitting the hard ball.</t>
  </si>
  <si>
    <t>What is a key feature of a trinquet court that is not found in a fronton?</t>
  </si>
  <si>
    <t>A) A back wall, B) A roof, C) A sloped gallery or "penthouse" (tambor) along one wall, D) A net</t>
  </si>
  <si>
    <t>C) A sloped gallery or "penthouse" (tambor) along one wall</t>
  </si>
  <si>
    <t>The angled roof or gallery is an active playing surface, adding a complex and unpredictable element to the game.</t>
  </si>
  <si>
    <t>What is the historical reason for the game being called Jai Alai in the Americas?</t>
  </si>
  <si>
    <t>A) It was the name of the first fronton, B) It was a marketing name, meaning "Merry Festival," used to promote the sport to non-Basque audiences, C) It is the name of the chistera in Spanish, D) It was the name of the first great player</t>
  </si>
  <si>
    <t>B) It was a marketing name, meaning "Merry Festival," used to promote the sport to non-Basque audiences</t>
  </si>
  <si>
    <t>The festive and exciting name was more appealing and easier to pronounce for American spectators than the Basque term zesta punta.</t>
  </si>
  <si>
    <t>The "International Federation of Basque Pelota" (FIPV) governs many modalities. Approximately how many are there?</t>
  </si>
  <si>
    <t>A) 2, B) 5, C) 14, D) 25</t>
  </si>
  <si>
    <t>C) 14</t>
  </si>
  <si>
    <t>The FIPV officially recognizes 14 different modalities, based on the court, the ball, and the implement (hand, paddle, or chistera) used.</t>
  </si>
  <si>
    <t>A player serves, and the ball hits the front wall, then bounces on the floor before the short line (falta). What is the call?</t>
  </si>
  <si>
    <t>A) A legal serve, B) A fault; the server loses the point, C) The point is replayed, D) The server gets a second serve</t>
  </si>
  <si>
    <t>B) A fault; the server loses the point</t>
  </si>
  <si>
    <t>The serve is "short," which is a fault. In most professional rules, a service fault results in a loss of the point.</t>
  </si>
  <si>
    <t>Why were Basque priests often instrumental in the sport's history?</t>
  </si>
  <si>
    <t>A) They were the main sponsors, B) They were often the only educated people who could write down the rules, C) The church was the social center of the village, and many priests supported the local game, D) They blessed the balls before a match</t>
  </si>
  <si>
    <t>C) The church was the social center of the village, and many priests supported the local game</t>
  </si>
  <si>
    <t>As central figures in Basque communities, many priests were passionate fans and organizers who helped to preserve the sport.</t>
  </si>
  <si>
    <t>What is the "underhand" serve in Jai Alai?</t>
  </si>
  <si>
    <t>A) It is the only legal serve, B) It is an illegal serve, C) It is a softer, more controlled serve, as opposed to the powerful overhand serve, D) It is a serve used only by women</t>
  </si>
  <si>
    <t>C) It is a softer, more controlled serve, as opposed to the powerful overhand serve</t>
  </si>
  <si>
    <t>Players can choose between a powerful overhand motion or a more controlled underhand motion for their serve, depending on their strategy.</t>
  </si>
  <si>
    <t>A player's chistera breaks in the middle of a point. What happens?</t>
  </si>
  <si>
    <t>A) The player is disqualified, B) The point is immediately stopped and replayed, C) The player can try to continue the point with the broken chistera, D) The player can run to get a new one</t>
  </si>
  <si>
    <t>B) The point is immediately stopped and replayed</t>
  </si>
  <si>
    <t>If a player's essential equipment breaks during a live rally through no fault of their own, the point is typically replayed.</t>
  </si>
  <si>
    <t>What is a "cortada"?</t>
  </si>
  <si>
    <t>A) A type of serve, B) A defensive shot, C) An offensive shot that is hit with a "cut" or "slice" to make it die quickly, D) The name of the back wall</t>
  </si>
  <si>
    <t>C) An offensive shot that is hit with a "cut" or "slice" to make it die quickly</t>
  </si>
  <si>
    <t>The cortada is a skilled attacking shot, similar to a "drop shot" in tennis, designed to bounce low and away from the opponent.</t>
  </si>
  <si>
    <t>The decline of Jai Alai in Florida was accelerated by a law that "de-coupled" betting. What did this mean?</t>
  </si>
  <si>
    <t>A) Casinos were no longer required to host Jai Alai in order to have a gambling license, B) Betting on Jai Alai became illegal, C) The prize money for players was reduced, D) All bets had to be placed in person</t>
  </si>
  <si>
    <t>A) Casinos were no longer required to host Jai Alai in order to have a gambling license</t>
  </si>
  <si>
    <t>This law removed the legal obligation for gambling establishments to also run a live sporting event, which was the main financial reason for the frontons' existence.</t>
  </si>
  <si>
    <t>What is the main reason that Pelota has been a demonstration sport at the Olympics but not a full medal sport?</t>
  </si>
  <si>
    <t>A) It is not popular enough, B) The high cost of building the specific courts (frontons), C) The number of different modalities makes it hard to choose just one, D) All of the above</t>
  </si>
  <si>
    <t>The combination of a limited global fanbase, the expense of the infrastructure, and the sheer number of different disciplines has made it difficult to gain permanent Olympic status.</t>
  </si>
  <si>
    <t>In the game of Remonte, how does the chistera differ from the one used in Cesta Punta?</t>
  </si>
  <si>
    <t>A) It is smaller and less curved, B) It is made of metal, C) It has strings, D) There is no difference</t>
  </si>
  <si>
    <t>A) It is smaller and less curved</t>
  </si>
  <si>
    <t>Remonte is played with a shallower chistera that does not allow the ball to be held for as long, leading to a faster, more continuous style of play.</t>
  </si>
  <si>
    <t>What is the main physical risk for players of main nue (bare hand)?</t>
  </si>
  <si>
    <t>A) Sprained ankles, B) Chronic hand injuries and arthritis, C) Concussions, D) Pulled muscles</t>
  </si>
  <si>
    <t>B) Chronic hand injuries and arthritis</t>
  </si>
  <si>
    <t>The repetitive, high-impact stress on the hands can lead to severe, long-term damage to the bones, joints, and tendons.</t>
  </si>
  <si>
    <t>The game of Pelota Mixteca, popular in Mexico, has a historical connection to what?</t>
  </si>
  <si>
    <t>A) Modern Basque Pelota, B) An ancient, pre-Hispanic Mesoamerican ball game, C) A game invented by Spanish colonists, D) It is a form of tennis</t>
  </si>
  <si>
    <t>B) An ancient, pre-Hispanic Mesoamerican ball game</t>
  </si>
  <si>
    <t>While it shares a name, Pelota Mixteca is an indigenous Mexican game with its own distinct history, played with large, decorated gloves.</t>
  </si>
  <si>
    <t>A serve hits the front wall and then lands on the pasa line (the long line). What is the call?</t>
  </si>
  <si>
    <t>A) A legal serve, B) A "long" serve, which is a fault, C) The point is replayed, D) A warning is issued</t>
  </si>
  <si>
    <t>B) A "long" serve, which is a fault</t>
  </si>
  <si>
    <t>The serve must bounce before the pasa line. A serve that lands on or beyond it is a fault.</t>
  </si>
  <si>
    <t>Why were professional Jai Alai players in the US almost exclusively Basque in the 20th century?</t>
  </si>
  <si>
    <t>A) It was a rule, B) The skill level required was so high that only those trained from childhood in the Basque Country could compete, C) Americans were not interested in playing, D) The Basque government sponsored them</t>
  </si>
  <si>
    <t>B) The skill level required was so high that only those trained from childhood in the Basque Country could compete</t>
  </si>
  <si>
    <t>The unique and difficult skills of the sport meant that the global professional circuit had to import its players directly from the Basque heartland.</t>
  </si>
  <si>
    <t>What is a "karambola"?</t>
  </si>
  <si>
    <t>A) A type of serve, B) A lucky or chaotic rebound of the ball off the walls, C) A foul, D) The name of a famous player</t>
  </si>
  <si>
    <t>B) A lucky or chaotic rebound of the ball off the walls</t>
  </si>
  <si>
    <t>A karambola is an unpredictable carom or rebound that can wrong-foot a player, adding an element of luck to the game.</t>
  </si>
  <si>
    <t>The first World Championships in 1952 were held in a famous fronton in San Sebastián. What is its name?</t>
  </si>
  <si>
    <t>A) The Anoeta, B) The Galarreta, C) The Atano III, D) The Astelena</t>
  </si>
  <si>
    <t>C) The Atano III</t>
  </si>
  <si>
    <t>The fronton is named after the legendary player Atano III and is one of the most historic venues in the sport.</t>
  </si>
  <si>
    <t>What is the main tactical reason for playing a shot high off the front wall?</t>
  </si>
  <si>
    <t>A) It is easier to hit, B) To create a high, deep bounce that forces the opponent to the back of the court, C) It scores more points, D) To avoid hitting the net</t>
  </si>
  <si>
    <t>B) To create a high, deep bounce that forces the opponent to the back of the court</t>
  </si>
  <si>
    <t>This is a common defensive or tactical shot used to reset the rally and push the opponent into a defensive position.</t>
  </si>
  <si>
    <t>What is the historical origin of the players' traditional white uniforms?</t>
  </si>
  <si>
    <t>A) It was the cheapest fabric, B) It evolved from the traditional undergarments worn in jeu de paume and was a sign of sportsmanship, C) It was a rule from the first federation, D) To be more visible on the court</t>
  </si>
  <si>
    <t>B) It evolved from the traditional undergarments worn in jeu de paume and was a sign of sportsmanship</t>
  </si>
  <si>
    <t>White attire was the standard for early racket sports, symbolizing a clean and honorable contest.</t>
  </si>
  <si>
    <t>In a trinquet, what is the xilo?</t>
  </si>
  <si>
    <t>A) The back wall, B) The net, C) A small hole in the front wall that is an automatic winning shot if hit, D) The side gallery</t>
  </si>
  <si>
    <t>C) A small hole in the front wall that is an automatic winning shot if hit</t>
  </si>
  <si>
    <t>Hitting the ball into the xilo (hole) is a difficult and instantly game-winning shot in some modalities.</t>
  </si>
  <si>
    <t>What is a gancho in Pelota?</t>
  </si>
  <si>
    <t>A) A defensive block, B) A powerful, hooking kill shot, C) The serve, D) The chistera</t>
  </si>
  <si>
    <t>B) A powerful, hooking kill shot</t>
  </si>
  <si>
    <t>A gancho is a hard, offensive stroke, often hit cross-court, designed to be an unreturnable winner.</t>
  </si>
  <si>
    <t>A player is seen applying a sticky substance like pine resin to their hands before a main nue match. Why?</t>
  </si>
  <si>
    <t>A) It is an illegal substance, B) To get a better grip on the ball when hitting it, C) To protect their hands from injury, D) To make the ball curve</t>
  </si>
  <si>
    <t>B) To get a better grip on the ball when hitting it</t>
  </si>
  <si>
    <t>A small amount of resin can help the player get more friction on the ball, allowing them to impart more spin and control.</t>
  </si>
  <si>
    <t>The number on a Jai Alai player's back corresponds to what?</t>
  </si>
  <si>
    <t>A) Their age, B) Their rank, C) Their post position in the quiniela betting system, D) Their jersey size</t>
  </si>
  <si>
    <t>C) Their post position in the quiniela betting system</t>
  </si>
  <si>
    <t>The numbers 1 through 8 are used to identify the players or teams for the betting public.</t>
  </si>
  <si>
    <t>What is the main reason for the long, narrow shape of the Jai Alai court (cancha)?</t>
  </si>
  <si>
    <t>A) It is a tradition, B) To accommodate the incredible speed and long rebounds of the ball, C) To fit more spectators, D) It is based on a medieval street</t>
  </si>
  <si>
    <t>B) To accommodate the incredible speed and long rebounds of the ball</t>
  </si>
  <si>
    <t>The court's dimensions are specifically designed for the high-velocity nature of the sport.</t>
  </si>
  <si>
    <t>A player serves, and the ball hits the line between the front wall and the floor. What is the call?</t>
  </si>
  <si>
    <t>A) A legal serve, B) A fault, C) The point is replayed, D) It is the opponent's choice</t>
  </si>
  <si>
    <t>B) A fault</t>
  </si>
  <si>
    <t>The ball must hit the front wall clearly above the floor. Hitting the line is a fault.</t>
  </si>
  <si>
    <t>Which famous surrealist artist was a fan of Pelota and used its imagery in his work?</t>
  </si>
  <si>
    <t>A) Max Ernst, B) Man Ray, C) André Breton, D) Salvador Dalí</t>
  </si>
  <si>
    <t>D) Salvador Dalí</t>
  </si>
  <si>
    <t>Dalí was fascinated by the sport's speed and form, and he created a famous painting titled "Cosmic Jai-Alai."</t>
  </si>
  <si>
    <t>What is the historical reason for Pelota's popularity in many former French colonies?</t>
  </si>
  <si>
    <t>A) It was taught by the French army, B) Basque and French administrators and missionaries introduced the game, C) It was a native sport, D) It has no popularity there</t>
  </si>
  <si>
    <t>B) Basque and French administrators and missionaries introduced the game</t>
  </si>
  <si>
    <t>The game spread to places like Vietnam and parts of Africa through the cultural influence of the French colonial empire.</t>
  </si>
  <si>
    <t>What is a Pala Corta?</t>
  </si>
  <si>
    <t>A) A short chistera, B) A short, thick wooden paddle used for hitting a hard leather ball, C) A short game of Pelota, D) The front part of the court</t>
  </si>
  <si>
    <t>B) A short, thick wooden paddle used for hitting a hard leather ball</t>
  </si>
  <si>
    <t>Pala Corta ("short paddle") is a specific, powerful modality of the game, popular in Spain.</t>
  </si>
  <si>
    <t>In what way did the game played by the Aztecs (Ulama) resemble Pelota?</t>
  </si>
  <si>
    <t>A) It used a wall, a hard rubber ball, and was played with the body, B) It used a racket, C) It was played on horseback, D) There is no resemblance</t>
  </si>
  <si>
    <t>A) It used a wall, a hard rubber ball, and was played with the body</t>
  </si>
  <si>
    <t>While not a direct ancestor, the ancient Mesoamerican ball games shared the core concept of a side-out, wall-based game with a solid rubber ball.</t>
  </si>
  <si>
    <t>What is the primary role of the left wall (pared izquierda) in the game?</t>
  </si>
  <si>
    <t>A) To provide a surface for the ball to be legally played off of, creating complex angles, B) To separate the players from the spectators, C) It is out of bounds, D) It is where the score is kept</t>
  </si>
  <si>
    <t>A) To provide a surface for the ball to be legally played off of, creating complex angles</t>
  </si>
  <si>
    <t>The side wall is a fundamental part of the game, allowing for carom shots and defensive plays that are not possible in a two-walled game.</t>
  </si>
  <si>
    <t>A player is known for their powerful saque. What is this?</t>
  </si>
  <si>
    <t>A) Their forehand shot, B) Their backhand shot, C) Their serve, D) Their defensive block</t>
  </si>
  <si>
    <t>C) Their serve</t>
  </si>
  <si>
    <t>The saque is the Spanish word for the serve, the opening shot of every point.</t>
  </si>
  <si>
    <t>Why is the floor of a professional Jai Alai fronton often made of concrete or granite?</t>
  </si>
  <si>
    <t>A) It is cheap, B) It provides a very fast and consistent bounce for the hard ball, C) It is traditional, D) It is easy to clean</t>
  </si>
  <si>
    <t>B) It provides a very fast and consistent bounce for the hard ball</t>
  </si>
  <si>
    <t>The hard, smooth surface is essential for the high-speed, high-bounce nature of the game.</t>
  </si>
  <si>
    <t>The decline of Jai Alai in the US was famously marked by a long and bitter players' strike in what decade?</t>
  </si>
  <si>
    <t>A) The 1960s, B) The 1970s, C) The 1980s, D) The 1990s</t>
  </si>
  <si>
    <t>C) The 1980s</t>
  </si>
  <si>
    <t>A major strike that began in 1988 lasted for several years and was a critical blow from which the sport's popularity in the US never fully recovered.</t>
  </si>
  <si>
    <t>A player serves, and the ball hits the falta line (the short line). What is the call?</t>
  </si>
  <si>
    <t>A) A legal serve, B) A "short" serve, which is a fault, C) The point is replayed, D) A warning is issued</t>
  </si>
  <si>
    <t>B) A "short" serve, which is a fault</t>
  </si>
  <si>
    <t>The serve must bounce beyond the falta line. A serve that lands on or before it is a fault.</t>
  </si>
  <si>
    <t>What is a karambola?</t>
  </si>
  <si>
    <t>The ancient "game of the palm" is one ofs the most important ancestors in the history of sports, giving rise to many modern racket and ball games.</t>
  </si>
  <si>
    <t>What is the traditional name for the folk wrestling style of Brittany, France?</t>
  </si>
  <si>
    <t>A) Lucha, B) Bretz, C) Gouren, D) Calcio</t>
  </si>
  <si>
    <t>C) Gouren</t>
  </si>
  <si>
    <t>Gouren is the Breton language name for their traditional style of jacket wrestling.</t>
  </si>
  <si>
    <t>The origins of Gouren are traced back to the arrival of which group of people in Armorica (ancient Brittany)?</t>
  </si>
  <si>
    <t>A) The Romans, B) The Vikings, C) Breton immigrants from Great Britain, D) The Franks</t>
  </si>
  <si>
    <t>C) Breton immigrants from Great Britain</t>
  </si>
  <si>
    <t>The sport is believed to have been brought to Brittany by Celtic Britons who migrated from Great Britain in the 4th century CE.</t>
  </si>
  <si>
    <t>In its earliest days during the Middle Ages, Gouren was primarily practiced by which social class?</t>
  </si>
  <si>
    <t>A) The peasants, B) The clergy, C) The craftsmen, D) The nobles and knights</t>
  </si>
  <si>
    <t>D) The nobles and knights</t>
  </si>
  <si>
    <t>Initially, Gouren was a martial technique and a pastime of the Breton aristocracy, used for training and entertainment.</t>
  </si>
  <si>
    <t>What major historical development caused Gouren to transition from a noble's art to a popular folk practice among common people?</t>
  </si>
  <si>
    <t>A) The French Revolution, B) The invention of firearms, making wrestling obsolete for military training, C) A royal decree, D) The Black Death</t>
  </si>
  <si>
    <t>B) The invention of firearms, making wrestling obsolete for military training</t>
  </si>
  <si>
    <t>As firearms changed the nature of warfare during the Renaissance, the military applications of wrestling declined, and it was adopted as a folk sport.</t>
  </si>
  <si>
    <t>What was the name of the traditional trophies, often ribbons or sleeves, given to victors before the French Revolution?</t>
  </si>
  <si>
    <t>A) Médailles, B) Coupes, C) Ceintures, D) Aiguillettes</t>
  </si>
  <si>
    <t>D) Aiguillettes</t>
  </si>
  <si>
    <t>Aiguillettes, decorated ribbons or pieces of fabric, were the traditional prizes awarded to champions at local festivals.</t>
  </si>
  <si>
    <t>The first known written mention of the word 'gouren' appeared in 1464 in which important Breton-French-Latin dictionary?</t>
  </si>
  <si>
    <t>A) The Dictionnaire de l'Académie française, B) The Encyclopédie, C) The Catholicon, D) The Bayeux Tapestry</t>
  </si>
  <si>
    <t>C) The Catholicon</t>
  </si>
  <si>
    <t>The Catholicon, a trilingual dictionary compiled by Jehan Lagadeuc, is the first text where the Breton word 'gouren' is recorded.</t>
  </si>
  <si>
    <t>Which famous 16th-century French surgeon wrote a detailed description of a Gouren bout he witnessed?</t>
  </si>
  <si>
    <t>A) Rabelais, B) Montaigne, C) Ambroise Paré, D) Nostradamus</t>
  </si>
  <si>
    <t>C) Ambroise Paré</t>
  </si>
  <si>
    <t>In his 1543 writings, the pioneering surgeon Ambroise Paré described the techniques and ferocity of a Breton wrestling match he observed.</t>
  </si>
  <si>
    <t>In the 19th century, what was the primary role of municipal authorities in relation to Gouren?</t>
  </si>
  <si>
    <t>A) To ban the sport, B) To organize official tournaments, C) To write the rules, D) To train the wrestlers</t>
  </si>
  <si>
    <t>B) To organize official tournaments</t>
  </si>
  <si>
    <t>After the French Revolution, new local governments began organizing tournaments to assert their authority and build community ties.</t>
  </si>
  <si>
    <t>What was the main purpose of the large Gouren tournaments held at chapel festivals (pardons) in the 19th century?</t>
  </si>
  <si>
    <t>A) To recruit soldiers, B) They were a central part of the religious and social celebration, C) To settle legal disputes, D) To raise money for the church</t>
  </si>
  <si>
    <t>B) They were a central part of the religious and social celebration</t>
  </si>
  <si>
    <t>The wrestling matches were a highlight of these local festivals, drawing large crowds and representing a key part of the region's cultural identity.</t>
  </si>
  <si>
    <t>The 19th-century painter Adolphe Pierre Leleux depicted a famous Gouren scene at which event?</t>
  </si>
  <si>
    <t>A) A royal wedding, B) A military parade, C) A "Fête-Dieu" (Corpus Christi) festival in Cornouaille, D) A market day</t>
  </si>
  <si>
    <t>C) A "Fête-Dieu" (Corpus Christi) festival in Cornouaille</t>
  </si>
  <si>
    <t>His 1864 painting captures a vibrant scene of a local festival where wrestling was the main entertainment.</t>
  </si>
  <si>
    <t>The artist Hippolyte Lalaisse created famous illustrations of 19th-century Breton wrestlers. What was a key feature of the wrestlers' attire he depicted?</t>
  </si>
  <si>
    <t>A) They were bare-chested, B) They wore reinforced leather jackets, C) They wore simple white shirts and linen trousers (bragou), D) They wore elaborate costumes</t>
  </si>
  <si>
    <t>C) They wore simple white shirts and linen trousers (bragou)</t>
  </si>
  <si>
    <t>Lalaisse's work provides a valuable historical record of the simple, practical clothing worn by the wrestlers of the era.</t>
  </si>
  <si>
    <t>What was a notable characteristic of the wrestlers' shirts (roched) during 19th-century bouts?</t>
  </si>
  <si>
    <t>A) They were made of silk, B) They were designed to tear easily, C) They were reinforced with leather, D) They were optional</t>
  </si>
  <si>
    <t>B) They were designed to tear easily</t>
  </si>
  <si>
    <t>The shirts were made of linen and were put to the test, often tearing during the intense gripping and pulling, a sign of a hard-fought match.</t>
  </si>
  <si>
    <t>What major event in 1928, which attracted 6,000 spectators, signaled a revival of interest in Gouren?</t>
  </si>
  <si>
    <t>A) The Paris Olympics, B) The first national championship, C) A grand tournament in the town of Quimperlé, D) The founding of the first club</t>
  </si>
  <si>
    <t>C) A grand tournament in the town of Quimperlé</t>
  </si>
  <si>
    <t>This highly successful competition was a key moment that demonstrated the sport's enduring popular appeal and sparked a modernization movement.</t>
  </si>
  <si>
    <t>Who was the key figure responsible for reviving and modernizing Gouren in the early 20th century?</t>
  </si>
  <si>
    <t>A) Adolphe Pierre Leleux, B) Ambroise Paré, C) Charles Cottonec, D) Yves-Marie Le Trocquer</t>
  </si>
  <si>
    <t>C) Charles Cottonec</t>
  </si>
  <si>
    <t>Dr. Charles Cottonec, a physician, dedicated himself to saving the sport from decline by researching its history and codifying its rules.</t>
  </si>
  <si>
    <t>What was Charles Cottonec's main objective when he codified the rules of Gouren in 1930?</t>
  </si>
  <si>
    <t>A) To make the sport more violent, B) To make it an Olympic sport, C) To revitalize the practice by making it safer, fairer, and more organized, D) To make it a professional sport</t>
  </si>
  <si>
    <t>C) To revitalize the practice by making it safer, fairer, and more organized</t>
  </si>
  <si>
    <t>Cottonec's goal was to preserve the ancient tradition by adapting it into a modern sport with clear, standardized rules.</t>
  </si>
  <si>
    <t>What was the name of the first modern Gouren federation, founded in 1930 by Charles Cottonec?</t>
  </si>
  <si>
    <t>A) Fédération de Gouren, B) Union des Lutteurs Bretons, C) FALSAB (Fédération des Amis des Luttes et Sports Athlétiques Bretons), D) Ligue de Bretagne de Gouren</t>
  </si>
  <si>
    <t>C) FALSAB (Fédération des Amis des Luttes et Sports Athlétiques Bretons)</t>
  </si>
  <si>
    <t>FALSAB was the first governing body, created to oversee the newly codified rules and organize championships.</t>
  </si>
  <si>
    <t>What is the name of the traditional oath that wrestlers must recite before each tournament?</t>
  </si>
  <si>
    <t>A) The Wrestler's Creed, B) The Breton Oath, C) The Oath of Loyalty (Serment), D) The Celtic Pledge</t>
  </si>
  <si>
    <t>C) The Oath of Loyalty (Serment)</t>
  </si>
  <si>
    <t>The oath, codified by Cottonec, requires wrestlers to pledge to fight with fairness, loyalty, and respect, without treachery or brutality.</t>
  </si>
  <si>
    <t>What is the traditional handshake or grip that begins and ends every Gouren bout?</t>
  </si>
  <si>
    <t>A) The Bretz, B) The Hug, C) The Dornad, D) The Salute</t>
  </si>
  <si>
    <t>C) The Dornad</t>
  </si>
  <si>
    <t>The dornad is the ceremonial handshake and grip, a symbol of the mutual respect and fraternity between the wrestlers.</t>
  </si>
  <si>
    <t>In what year was the International Federation of Celtic Wrestling (FILC) founded, uniting Gouren with other traditional styles?</t>
  </si>
  <si>
    <t>A) 1930, B) 1965, C) 1985, D) 2000</t>
  </si>
  <si>
    <t>C) 1985</t>
  </si>
  <si>
    <t>The FILC was created to bring together the various "cousin" wrestling styles of the Celtic nations, such as Cornish wrestling in Cornwall and Backhold in Scotland.</t>
  </si>
  <si>
    <t>In recognition of its cultural importance, Gouren has been an optional subject for which major French academic exam since 1998?</t>
  </si>
  <si>
    <t>A) The Brevet, B) The Baccalauréat, C) The university entrance exam, D) The civil service exam</t>
  </si>
  <si>
    <t>B) The Baccalauréat</t>
  </si>
  <si>
    <t>The inclusion of Gouren in the high school leaving exam in Brittany was a major step in its official recognition and preservation.</t>
  </si>
  <si>
    <t>What is one of the key elements that makes Gouren an officially recognized part of France's "intangible cultural heritage"?</t>
  </si>
  <si>
    <t>A) Its unique wrestling techniques, B) Its historical depth and the cultural rituals that surround it, C) Its popularity, D) Its connection to the Celtic languages</t>
  </si>
  <si>
    <t>B) Its historical depth and the cultural rituals that surround it</t>
  </si>
  <si>
    <t>The combination of the sport with its traditional music, oath, and role in festivals makes it a significant part of France's living heritage.</t>
  </si>
  <si>
    <t>Historically, what was the primary objective to win a Gouren bout?</t>
  </si>
  <si>
    <t>A) To make the opponent submit, B) To push the opponent out of the ring, C) To score the most points, D) To throw the opponent so their back touches the ground</t>
  </si>
  <si>
    <t>D) To throw the opponent so their back touches the ground</t>
  </si>
  <si>
    <t>The ultimate goal has always been the lamm, a perfect throw that results in the opponent landing flat on their back.</t>
  </si>
  <si>
    <t>In the 19th century, how were wrestlers dressed for a match?</t>
  </si>
  <si>
    <t>A) They wore leather armor, B) They were bare-chested and wore linen trousers, C) They wore modern wrestling singlets, D) They wore heavy wool jackets</t>
  </si>
  <si>
    <t>B) They were bare-chested and wore linen trousers</t>
  </si>
  <si>
    <t>Historical depictions show wrestlers wearing simple trousers (bragou) and a linen shirt (roched) that was often torn to shreds during the fight.</t>
  </si>
  <si>
    <t>The traditional challenge to start a fight at a festival was known as what?</t>
  </si>
  <si>
    <t>A) The appel, B) The défi antique (the ancient challenge), C) The invitation, D) The combat singulier</t>
  </si>
  <si>
    <t>B) The défi antique (the ancient challenge)</t>
  </si>
  <si>
    <t>A wrestler would issue an open challenge, and any man from the crowd could step forward to accept it.</t>
  </si>
  <si>
    <t>In what way did the Renaissance and the advent of firearms change Gouren's social standing?</t>
  </si>
  <si>
    <t>A) It became a secret art, B) It transitioned from a military art of the nobility to a popular folk sport, C) It was banned, D) It became more violent</t>
  </si>
  <si>
    <t>B) It transitioned from a military art of the nobility to a popular folk sport</t>
  </si>
  <si>
    <t>As its military usefulness for knights declined, it was embraced by the common people as a form of entertainment and social contest.</t>
  </si>
  <si>
    <t>Which of these was a key rule codified by Charles Cottonec in 1930 to modernize the sport?</t>
  </si>
  <si>
    <t>A) The introduction of a time limit, B) The creation of age and weight categories, C) The banning of all dangerous throws, D) The requirement of a referee</t>
  </si>
  <si>
    <t>B) The creation of age and weight categories</t>
  </si>
  <si>
    <t>To ensure fair and safe competition, Cottonec introduced modern sporting principles like weight classes, which did not exist in the traditional form.</t>
  </si>
  <si>
    <t>What was a major reason for the effort to revitalize Gouren in the early 20th century?</t>
  </si>
  <si>
    <t>A) A desire to create a professional sport, B) To combat the decline of Breton culture and language, C) To prepare soldiers for World War I, D) To attract tourism to Brittany</t>
  </si>
  <si>
    <t>B) To combat the decline of Breton culture and language</t>
  </si>
  <si>
    <t>The revival of Gouren was part of a broader cultural movement to preserve the unique identity and traditions of Brittany against French centralization.</t>
  </si>
  <si>
    <t>What is a skol Gouren?</t>
  </si>
  <si>
    <t>A) A Gouren tournament, B) A Gouren club or school, C) A champion wrestler, D) The traditional wrestling shirt</t>
  </si>
  <si>
    <t>B) A Gouren club or school</t>
  </si>
  <si>
    <t>A skol (Breton for "school") is a modern club where practitioners, including children and adults, learn and train in the art of Gouren.</t>
  </si>
  <si>
    <t>The International Federation of Celtic Wrestling (FILC) includes which other wrestling style, a close cousin of Gouren?</t>
  </si>
  <si>
    <t>A) Sumo, B) Glima (Icelandic Wrestling), C) Cornish Wrestling, D) Schwingen (Swiss Wrestling)</t>
  </si>
  <si>
    <t>C) Cornish Wrestling</t>
  </si>
  <si>
    <t>Cornish wrestling, from Cornwall in Great Britain, shares a common Celtic origin and similar jacket-wrestling techniques with Gouren.</t>
  </si>
  <si>
    <t>Historically, what was the role of the jury at a 19th-century Gouren tournament?</t>
  </si>
  <si>
    <t>A) To referee the fights, B) To organize the event, C) To be the official keepers and distributors of the prizes, D) To supervise the spectators' betting</t>
  </si>
  <si>
    <t>C) To be the official keepers and distributors of the prizes</t>
  </si>
  <si>
    <t>The jury was a panel of dignitaries responsible for overseeing the prizes and awarding them to the champions.</t>
  </si>
  <si>
    <t>In the pre-modern era, how were the rules of Gouren passed down?</t>
  </si>
  <si>
    <t>A) Through written manuals, B) Through an oral tradition from wrestler to wrestler, C) They were decided by the local priest, D) There were no rules</t>
  </si>
  <si>
    <t>B) Through an oral tradition from wrestler to wrestler</t>
  </si>
  <si>
    <t>As a folk art, the rules and techniques were not written down but were preserved through practice and direct transmission.</t>
  </si>
  <si>
    <t>What is a lamm?</t>
  </si>
  <si>
    <t>A) The winning throw in Gouren, B) A type of defensive move, C) The wrestling arena, D) The traditional wrestling shirt</t>
  </si>
  <si>
    <t>A) The winning throw in Gouren</t>
  </si>
  <si>
    <t>A lamm is the ultimate goal, a perfect throw where the opponent is thrown to the ground so that both of their shoulder blades touch the ground simultaneously.</t>
  </si>
  <si>
    <t>The oath recited by wrestlers emphasizes which key values?</t>
  </si>
  <si>
    <t>A) Victory and glory, B) Strength and power, C) Fairness, respect, and loyalty, D) Aggression and dominance</t>
  </si>
  <si>
    <t>C) Fairness, respect, and loyalty</t>
  </si>
  <si>
    <t>The oath is a moral commitment to compete honorably and to uphold the ethical principles of the sport.</t>
  </si>
  <si>
    <t>Why is the 1464 Breton dictionary, The Catholicon, historically significant for Gouren?</t>
  </si>
  <si>
    <t>A) It contains the first written rules of the sport, B) It contains the first known written record of the word "gouren," C) It was written by a famous wrestler, D) It has illustrations of wrestling techniques</t>
  </si>
  <si>
    <t>B) It contains the first known written record of the word "gouren,"</t>
  </si>
  <si>
    <t>This dictionary provides the earliest documentary evidence of the term, confirming its existence as a recognized activity in the 15th century.</t>
  </si>
  <si>
    <t>The FALSAB, founded in 1930, also included what other Breton sports?</t>
  </si>
  <si>
    <t>A) Breton dancing, B) Sailing, C) Stick fighting and other athletic games, D) Archery</t>
  </si>
  <si>
    <t>C) Stick fighting and other athletic games</t>
  </si>
  <si>
    <t>The "Federation of Friends of Breton Wrestling and Athletic Sports" was created to preserve a range of traditional Breton physical activities.</t>
  </si>
  <si>
    <t>What is the historical origin of the wrestlers gripping each other's shirts (roched)?</t>
  </si>
  <si>
    <t>A) It was a way to keep warm, B) It simulates grabbing an opponent's clothing or armor in real combat, C) It makes the wrestling safer, D) It is purely for balance</t>
  </si>
  <si>
    <t>B) It simulates grabbing an opponent's clothing or armor in real combat</t>
  </si>
  <si>
    <t>Gouren is a form of jacket wrestling, a style of grappling that has its roots in practical, clothed combat.</t>
  </si>
  <si>
    <t>What was the main motivation for the municipal authorities to organize tournaments in the 19th century?</t>
  </si>
  <si>
    <t>A) To raise money through taxes, B) To assert their new post-revolutionary authority and create social cohesion, C) To find the strongest men for the army, D) To entertain tourists</t>
  </si>
  <si>
    <t>B) To assert their new post-revolutionary authority and create social cohesion</t>
  </si>
  <si>
    <t>Sponsoring a popular local festival was a way for new secular authorities to replace the traditional role of the church and nobility.</t>
  </si>
  <si>
    <t>What does the term "Back-hold" refer to?</t>
  </si>
  <si>
    <t>A) A specific throw in Gouren, B) The style of wrestling from Scotland and Northern England, also part of the FILC, C) A submission hold, D) The starting grip in Gouren</t>
  </si>
  <si>
    <t>B) The style of wrestling from Scotland and Northern England, also part of the FILC</t>
  </si>
  <si>
    <t>Back-hold wrestling is another Celtic style where wrestlers begin by taking a specific grip around each other's backs.</t>
  </si>
  <si>
    <t>Before Charles Cottonec, what was the main problem with Gouren competitions?</t>
  </si>
  <si>
    <t>A) They were too violent, B) The rules varied from one village to another, leading to disputes, C) They were not popular, D) The prizes were too small</t>
  </si>
  <si>
    <t>B) The rules varied from one village to another, leading to disputes</t>
  </si>
  <si>
    <t>The lack of a standardized rule set was a major obstacle to the sport's development and often resulted in arguments between wrestlers from different regions.</t>
  </si>
  <si>
    <t>The historical accounts of Gouren from the 16th to 19th centuries show that it was a key feature of what kind of event?</t>
  </si>
  <si>
    <t>A) Royal coronations, B) Funerals, C) Local religious and folk festivals (pardons and fairs), D) Political protests</t>
  </si>
  <si>
    <t>C) Local religious and folk festivals (pardons and fairs)</t>
  </si>
  <si>
    <t>Gouren was the premier entertainment and social contest at the large annual gatherings that were central to Breton village life.</t>
  </si>
  <si>
    <t>Which Celtic nation's wrestling style, known as Collar-and-Elbow, is also a member of the FILC?</t>
  </si>
  <si>
    <t>A) Wales, B) Ireland, C) Isle of Man, D) Galicia</t>
  </si>
  <si>
    <t>B) Ireland</t>
  </si>
  <si>
    <t>Irish collar-and-elbow wrestling is another traditional Celtic style that shares a common heritage with Gouren.</t>
  </si>
  <si>
    <t>What does the term kostin refer to in Gouren?</t>
  </si>
  <si>
    <t>A) A specific throw, B) The wrestler's trousers, C) A stalemate or a situation with no result, D) The referee</t>
  </si>
  <si>
    <t>C) A stalemate or a situation with no result</t>
  </si>
  <si>
    <t>If a throw does not result in a clean lamm, but both wrestlers fall, it can be ruled a kostin or a draw for that exchange.</t>
  </si>
  <si>
    <t>The 19th-century paintings of Gouren are historically important because they show what?</t>
  </si>
  <si>
    <t>A) The exact rules of the time, B) That the sport was played by all social classes, C) The dynamic, popular, and communal nature of the sport in that era, D) That the wrestlers were professionals</t>
  </si>
  <si>
    <t>C) The dynamic, popular, and communal nature of the sport in that era</t>
  </si>
  <si>
    <t>The artwork of painters like Lalaisse and Leleux captures the vibrant atmosphere of the tournaments and their importance in village life.</t>
  </si>
  <si>
    <t>What is the main historical reason for the wrestlers being barefoot?</t>
  </si>
  <si>
    <t>A) Shoes were too expensive for the peasant wrestlers, B) It provides better grip and sensitivity on a natural surface, C) It is a sign of humility, D) Both A and B</t>
  </si>
  <si>
    <t>Being barefoot was both a practical matter for poor, rural wrestlers and functionally better for gripping the earth or meadow of the akhara.</t>
  </si>
  <si>
    <t>What is the "challenge" or défí in a traditional tournament?</t>
  </si>
  <si>
    <t>A) A challenge to the referee's decision, B) When a wrestler, having won a prize, issues a challenge for a higher prize, C) A challenge between two villages, D) A challenge to a fight with real weapons</t>
  </si>
  <si>
    <t>B) When a wrestler, having won a prize, issues a challenge for a higher prize</t>
  </si>
  <si>
    <t>The tournament was structured in a ladder format, where a wrestler would win a small prize and then issue a challenge to the winner of the next highest prize.</t>
  </si>
  <si>
    <t>The first written rules of 1930 banned what common but dangerous actions?</t>
  </si>
  <si>
    <t>A) All leg trips, B) Grabbing the trousers, C) All strikes, kicks, and dangerous holds, D) Throwing the opponent out of the ring</t>
  </si>
  <si>
    <t>C) All strikes, kicks, and dangerous holds</t>
  </si>
  <si>
    <t>To make the sport safer, Cottonec's rules formally banned all forms of striking, punching, and submission holds, making it a pure grappling art.</t>
  </si>
  <si>
    <t>The International Federation of Celtic Wrestling (FILC) was founded in which city?</t>
  </si>
  <si>
    <t>A) Paris, B) Cardiff, C) Dublin, D) Edinburgh</t>
  </si>
  <si>
    <t>B) Cardiff</t>
  </si>
  <si>
    <t>The federation was founded in Cardiff, Wales, highlighting the cooperation between the different Celtic nations.</t>
  </si>
  <si>
    <t>The historical prizes for Gouren, the aiguillettes, were often what?</t>
  </si>
  <si>
    <t>A) A live animal, such as a sheep or rooster, B) A sum of money, C) A trophy, D) A weapon</t>
  </si>
  <si>
    <t>A) A live animal, such as a sheep or rooster</t>
  </si>
  <si>
    <t>The prizes were often livestock, which was a valuable and practical reward in a rural, agricultural society.</t>
  </si>
  <si>
    <t>What is the primary difference between Gouren and Judo?</t>
  </si>
  <si>
    <t>A) Judo uses a belt for gripping, B) Gouren wrestlers start the match by taking a grip on the opponent's jacket, C) Judo involves ground fighting, D) Gouren is older</t>
  </si>
  <si>
    <t>B) Gouren wrestlers start the match by taking a grip on the opponent's jacket</t>
  </si>
  <si>
    <t>Gouren is a "jacket wrestling" style where the fight begins with both wrestlers gripping the opponent's shirt (roched), whereas Judo has a more open and dynamic gripping phase.</t>
  </si>
  <si>
    <t>The revival of Gouren in the 20th century is part of a broader European trend of what?</t>
  </si>
  <si>
    <t>A) The professionalization of all sports, B) The revival and preservation of traditional folk sports, C) The decline of team sports, D) The invention of new sports</t>
  </si>
  <si>
    <t>B) The revival and preservation of traditional folk sports</t>
  </si>
  <si>
    <t>The effort to save Gouren is similar to movements to preserve other unique regional sports across Europe.</t>
  </si>
  <si>
    <t>What is the historical significance of the Quimperlé tournament of 1928?</t>
  </si>
  <si>
    <t>A) It was the first tournament with written rules, B) Its huge success demonstrated that Gouren still had massive popular appeal, C) It was the first international tournament, D) It was the first tournament where women competed</t>
  </si>
  <si>
    <t>B) Its huge success demonstrated that Gouren still had massive popular appeal</t>
  </si>
  <si>
    <t>The massive crowd at this event was a clear sign that the ancient sport was not dead and was worth preserving and modernizing.</t>
  </si>
  <si>
    <t>In the 19th century, how were the winners of small local tournaments often decided?</t>
  </si>
  <si>
    <t>A) By a single, decisive throw, B) The last man standing after a series of challenges, C) By a panel of judges scoring points, D) By the applause of the crowd</t>
  </si>
  <si>
    <t>B) The last man standing after a series of challenges</t>
  </si>
  <si>
    <t>The traditional format was a "challenge" tournament, where wrestlers would compete until only one undefeated champion remained.</t>
  </si>
  <si>
    <t>What is a klinch in Gouren?</t>
  </si>
  <si>
    <t>A) A type of throw, B) The Breton word for a clinch or a grappling hold, C) The referee's command to stop, D) A stalemate</t>
  </si>
  <si>
    <t>B) The Breton word for a clinch or a grappling hold</t>
  </si>
  <si>
    <t>Klinch refers to the grappling phase where wrestlers are locked together, trying to execute a throw.</t>
  </si>
  <si>
    <t>The earliest historical accounts suggest Gouren was a pastime for which group?</t>
  </si>
  <si>
    <t>A) Breton nobles and their retainers, B) Fishermen on the coast, C) Farmers in the fields, D) Monks in monasteries</t>
  </si>
  <si>
    <t>A) Breton nobles and their retainers</t>
  </si>
  <si>
    <t>The first descriptions of the sport link it to the aristocracy and their military training and courtly entertainment.</t>
  </si>
  <si>
    <t>What does the wrestler's oath, "I swear to fight with full loyalty," primarily forbid?</t>
  </si>
  <si>
    <t>A) Losing the match, B) Any form of treachery or "cheap shots," C) Speaking during the match, D) Attacking the legs</t>
  </si>
  <si>
    <t>B) Any form of treachery or "cheap shots,"</t>
  </si>
  <si>
    <t>The oath is a commitment to an honorable fight, explicitly forbidding any action that is not based on fair and open skill.</t>
  </si>
  <si>
    <t>What is the main reason that Charles Cottonec's 1930 revitalization was successful?</t>
  </si>
  <si>
    <t>A) He had a lot of money, B) He created a balanced system that respected tradition while introducing modern safety and fairness, C) He was a famous wrestler himself, D) He had government support</t>
  </si>
  <si>
    <t>B) He created a balanced system that respected tradition while introducing modern safety and fairness</t>
  </si>
  <si>
    <t>Cottonec's success was due to his careful and respectful approach, which won the support of the traditional wrestling community.</t>
  </si>
  <si>
    <t>In which modern country, a historic destination for Breton emigrants, can you find a Gouren club?</t>
  </si>
  <si>
    <t>A) The United States, B) Canada, C) Argentina, D) Australia</t>
  </si>
  <si>
    <t>B) Canada</t>
  </si>
  <si>
    <t>The Breton diaspora in places like Quebec has led to the establishment of Gouren clubs outside of Europe.</t>
  </si>
  <si>
    <t>The word "gouren" is believed to be related to the Cornish word "omgowel" and the Welsh "ymguro". What do these words mean?</t>
  </si>
  <si>
    <t>A) To fight, B) To dance, C) To struggle or to strike one another, D) To win</t>
  </si>
  <si>
    <t>C) To struggle or to strike one another</t>
  </si>
  <si>
    <t>The linguistic connection between these Celtic languages points to the shared, ancient origin of their wrestling traditions.</t>
  </si>
  <si>
    <t>What is the historical significance of the FALSAB also including "Athletic Sports"?</t>
  </si>
  <si>
    <t>A) It shows they were not just focused on wrestling, B) It was an attempt to create a Breton version of the Olympic Games, C) It was a way to get more funding, D) It was a mistake</t>
  </si>
  <si>
    <t>B) It was an attempt to create a Breton version of the Olympic Games</t>
  </si>
  <si>
    <t>The federation's goal was to preserve all of Brittany's traditional sports, from wrestling to unique games of strength and skill.</t>
  </si>
  <si>
    <t>In a 19th-century painting, a musician is often seen playing a traditional instrument. What is it?</t>
  </si>
  <si>
    <t>A) A violin, B) A flute, C) An accordion, D) A biniou (Breton bagpipe) or bombarde (oboe)</t>
  </si>
  <si>
    <t>D) A biniou (Breton bagpipe) or bombarde (oboe)</t>
  </si>
  <si>
    <t>Traditional Breton music, played on the biniou and bombarde, was an essential part of the festive atmosphere of the tournaments.</t>
  </si>
  <si>
    <t>What is the name for the perfect throw in Gouren that results in an instant win?</t>
  </si>
  <si>
    <t>A) The Lamm, B) The Kostin, C) The Dornad, D) The Bretz</t>
  </si>
  <si>
    <t>A) The Lamm</t>
  </si>
  <si>
    <t>A lamm is the ultimate objective, where an opponent is thrown so both their shoulder blades hit the ground simultaneously.</t>
  </si>
  <si>
    <t>Before the modern federation, how were disputes during a match typically resolved?</t>
  </si>
  <si>
    <t>A) By a coin toss, B) By the wrestlers themselves, C) By the decision of respected local elders or nobles, D) The fight would simply stop</t>
  </si>
  <si>
    <t>C) By the decision of respected local elders or nobles</t>
  </si>
  <si>
    <t>In the absence of formal referees, the judgment of respected community figures was considered final.</t>
  </si>
  <si>
    <t>The creation of the International Federation of Celtic Wrestling (FILC) was a major step in recognizing what?</t>
  </si>
  <si>
    <t>A) That Gouren is the best wrestling style, B) The shared cultural heritage of wrestling styles across the Celtic nations, C) The need for a professional league, D) The sport's Olympic potential</t>
  </si>
  <si>
    <t>B) The shared cultural heritage of wrestling styles across the Celtic nations</t>
  </si>
  <si>
    <t>The FILC was founded on the principle that the wrestling traditions of Brittany, Cornwall, Scotland, and Ireland all stem from a common ancient root.</t>
  </si>
  <si>
    <t>What is the primary difference between Gouren and Japanese Sumo wrestling?</t>
  </si>
  <si>
    <t>A) Gouren wrestlers wear a jacket for gripping, while Sumo wrestlers wear a loincloth, B) Sumo is older than Gouren, C) Gouren involves striking, D) Sumo is a team sport</t>
  </si>
  <si>
    <t>A) Gouren wrestlers wear a jacket for gripping, while Sumo wrestlers wear a loincloth</t>
  </si>
  <si>
    <t>This is the most fundamental difference. Gouren is a style of jacket wrestling, while Sumo is a style of belt wrestling.</t>
  </si>
  <si>
    <t>The 19th-century accounts of long, grueling fights where shirts were torn suggest what about the old style?</t>
  </si>
  <si>
    <t>A) The wrestlers were not very skilled, B) It was a test of pure endurance and strength, with fewer technical rules, C) The shirts were of poor quality, D) The matches were more violent</t>
  </si>
  <si>
    <t>B) It was a test of pure endurance and strength, with fewer technical rules</t>
  </si>
  <si>
    <t>The pre-modern form of Gouren was likely a much more attritional and strength-based contest than the modern, technical sport.</t>
  </si>
  <si>
    <t>What is the significance of the dornad, the handshake where wrestlers intertwine their fingers?</t>
  </si>
  <si>
    <t>A) It is a secret code, B) It is a test of grip strength, C) It symbolizes the bond and mutual respect between the wrestlers, D) It is how the referee starts the match</t>
  </si>
  <si>
    <t>C) It symbolizes the bond and mutual respect between the wrestlers</t>
  </si>
  <si>
    <t>This unique handshake is a powerful symbol of the fraternity and honor that are central to the sport's philosophy.</t>
  </si>
  <si>
    <t>Why did the Catholic Church in Brittany often support Gouren tournaments during chapel festivals (pardons)?</t>
  </si>
  <si>
    <t>A) It was a way to attract a large crowd to the festival, B) The wrestlers would donate their prizes to the church, C) The priests were often the referees, D) It was considered a holy activity</t>
  </si>
  <si>
    <t>A) It was a way to attract a large crowd to the festival</t>
  </si>
  <si>
    <t>The wrestling was the main event and a huge draw for the public, which in turn supported the religious festival.</t>
  </si>
  <si>
    <t>What is the historical origin of the wrestlers' white shirt (roched) and black trousers (bragou)?</t>
  </si>
  <si>
    <t>A) It was a formal uniform designed in the 20th century, B) It was the traditional work clothing of 19th-century Breton peasants, C) It symbolizes the colors of the Breton flag, D) It was inspired by Japanese martial arts</t>
  </si>
  <si>
    <t>B) It was the traditional work clothing of 19th-century Breton peasants</t>
  </si>
  <si>
    <t>The modern uniform is a stylized version of the everyday attire worn by the farmers and laborers who played the sport in the 19th century.</t>
  </si>
  <si>
    <t>In the FILC, which country's wrestling style is known as Back-hold?</t>
  </si>
  <si>
    <t>A) Ireland, B) Brittany, C) Cornwall, D) Scotland</t>
  </si>
  <si>
    <t>D) Scotland</t>
  </si>
  <si>
    <t>Scottish Back-hold wrestling is another of the Celtic styles, known for its distinctive starting grip.</t>
  </si>
  <si>
    <t>What was the primary reason for the decline of Gouren at the end of the 19th century?</t>
  </si>
  <si>
    <t>A) It was banned, B) The rise of other, more "modern" sports and a general decline in Breton traditions, C) A lack of strong wrestlers, D) The prizes were not valuable enough</t>
  </si>
  <si>
    <t>B) The rise of other, more "modern" sports and a general decline in Breton traditions</t>
  </si>
  <si>
    <t>The cultural shifts of the late 19th century, including the introduction of sports like football and cycling, threatened the survival of many local folk traditions.</t>
  </si>
  <si>
    <t>Which of these techniques is a kliked, a key throw in Gouren?</t>
  </si>
  <si>
    <t>A) A hip throw, B) A leg sweep, C) A rolling or winding throw, D) A shoulder throw</t>
  </si>
  <si>
    <t>C) A rolling or winding throw</t>
  </si>
  <si>
    <t>The kliked is a characteristic and powerful throw in Gouren that involves a winding motion to unbalance and throw the opponent.</t>
  </si>
  <si>
    <t>The European Gouren Championships, held since 1991, are a result of which organization's efforts?</t>
  </si>
  <si>
    <t>A) The French Wrestling Federation, B) The International Olympic Committee, C) The International Federation of Celtic Wrestling (FILC), D) The European Union</t>
  </si>
  <si>
    <t>C) The International Federation of Celtic Wrestling (FILC)</t>
  </si>
  <si>
    <t>The FILC was created to provide an international stage for the various Celtic wrestling styles, including Gouren.</t>
  </si>
  <si>
    <t>What does the wrestler's oath, "...in pledge of friendship, under the control of my judgement..." signify?</t>
  </si>
  <si>
    <t>A) That the wrestler must be friends with their opponent, B) That the fight is a test of skill, not a brawl, and must be fought with self-control, C) That the judges control the fight, D) That the wrestlers will be judged on their friendship</t>
  </si>
  <si>
    <t>B) That the fight is a test of skill, not a brawl, and must be fought with self-control</t>
  </si>
  <si>
    <t>This part of the oath reinforces the core principle that Gouren is a martial art that requires discipline and control, not just aggression.</t>
  </si>
  <si>
    <t>What is the main historical reason that Gouren is a standing-only form of wrestling?</t>
  </si>
  <si>
    <t>A) The ground was too dirty, B) It evolved from military techniques where falling in battle was fatal, C) Ground fighting was considered dishonorable, D) It is a modern rule for safety</t>
  </si>
  <si>
    <t>B) It evolved from military techniques where falling in battle was fatal</t>
  </si>
  <si>
    <t>In a real combat situation, being taken to the ground was extremely dangerous. The goal was to throw the opponent and remain on your feet, ready to continue fighting.</t>
  </si>
  <si>
    <t>The 1928 Quimperlé tournament was a key moment in the "renaissance" of Gouren. What does renaissance mean here?</t>
  </si>
  <si>
    <t>A) The invention of the sport, B) The rebirth and revival of interest in the sport, C) The final decline of the sport, D) The professionalization of the sport</t>
  </si>
  <si>
    <t>B) The rebirth and revival of interest in the sport</t>
  </si>
  <si>
    <t>The tournament marked a turning point, a rebirth of public and organizational interest in a tradition that was in danger of disappearing.</t>
  </si>
  <si>
    <t>In what way did Charles Cottonec's medical background influence his new rules?</t>
  </si>
  <si>
    <t>A) He made the sport more violent, B) He introduced rules and equipment designed to improve safety and reduce injuries, C) He required all wrestlers to have a medical check, D) Both B and C</t>
  </si>
  <si>
    <t>As a doctor, Cottonec's primary concern was the health of the wrestlers. He banned dangerous techniques and introduced modern safety principles.</t>
  </si>
  <si>
    <t>What is the significance of Gouren being part of the official school curriculum in Brittany?</t>
  </si>
  <si>
    <t>A) It ensures the tradition is passed on to a new generation, B) It makes the sport professional, C) It is a way to make money for the schools, D) It is not significant</t>
  </si>
  <si>
    <t>A) It ensures the tradition is passed on to a new generation</t>
  </si>
  <si>
    <t>Teaching Gouren in schools is a crucial step in preserving the cultural heritage of Brittany and ensuring the sport's survival.</t>
  </si>
  <si>
    <t>Which of these is NOT one of the founding Celtic nations in the FILC?</t>
  </si>
  <si>
    <t>A) Brittany (Gouren), B) Scotland (Back-hold), C) Cornwall (Cornish Wrestling), D) Wales (Welsh Wrestling)</t>
  </si>
  <si>
    <t>D) Wales (Welsh Wrestling)</t>
  </si>
  <si>
    <t>While Wales is a Celtic nation, its wrestling tradition was not as continuous and was not part of the initial founding group of the FILC.</t>
  </si>
  <si>
    <t>The traditional prize of a live animal was often a symbol of what?</t>
  </si>
  <si>
    <t>A) The wrestler's strength, B) The wealth and status of the tournament's sponsor, C) A practical, valuable asset in a rural economy, D) All of the above</t>
  </si>
  <si>
    <t>The prize was at once a test of strength (the winner had to control the animal), a display of the patron's wealth, and a valuable economic reward for the champion.</t>
  </si>
  <si>
    <t>What is the main difference between Gouren and modern Olympic Freestyle wrestling?</t>
  </si>
  <si>
    <t>A) Gouren wrestlers wear a jacket (roched), while freestyle wrestlers wear a singlet, B) Gouren is a standing-only style, C) Gouren has a different victory condition (lamm), D) All of the above</t>
  </si>
  <si>
    <t>Gouren is a completely different style of wrestling, with its own unique uniform, rules, and victory conditions.</t>
  </si>
  <si>
    <t>The painter Adolphe Pierre Leleux was part of which 19th-century artistic movement?</t>
  </si>
  <si>
    <t>A) Impressionism, B) Realism, C) Romanticism, D) Cubism</t>
  </si>
  <si>
    <t>B) Realism</t>
  </si>
  <si>
    <t>Leleux was a Realist painter, known for his detailed and unsentimental depictions of everyday peasant and village life, including the Gouren contests.</t>
  </si>
  <si>
    <t>What historical development most threatened the survival of regional languages and traditions like Gouren in the 19th and 20th centuries?</t>
  </si>
  <si>
    <t>A) The industrial revolution, B) The French government's policy of centralization and promotion of a single national culture, C) The World Wars, D) The rise of television</t>
  </si>
  <si>
    <t>B) The French government's policy of centralization and promotion of a single national culture</t>
  </si>
  <si>
    <t>The state's focus on creating a unified French identity often came at the expense of regional cultures and languages like Breton.</t>
  </si>
  <si>
    <t>In the 19th century, who were the "gars de Plouzané" (the lads from Plouzané)?</t>
  </si>
  <si>
    <t>A) A famous musical band, B) A notoriously strong and successful group of wrestlers from the town of Plouzané, C) A political group, D) A team of boatmen</t>
  </si>
  <si>
    <t>B) A notoriously strong and successful group of wrestlers from the town of Plouzané</t>
  </si>
  <si>
    <t>Local towns and regions were famous for producing powerful wrestlers, and the "gars de Plouzané" were legendary in their time.</t>
  </si>
  <si>
    <t>What is the main characteristic of the "ancient challenge" format of a tournament?</t>
  </si>
  <si>
    <t>A) It is a round-robin tournament, B) It is a single-elimination tournament, C) It is a ladder system where winners of lower prizes challenge winners of higher prizes, D) It is a team competition</t>
  </si>
  <si>
    <t>C) It is a ladder system where winners of lower prizes challenge winners of higher prizes</t>
  </si>
  <si>
    <t>This created a dramatic, "king-of-the-hill" style competition, with the ultimate champion being the one who could defeat all challengers.</t>
  </si>
  <si>
    <t>Why was the introduction of weight classes in 1930 so important?</t>
  </si>
  <si>
    <t>A) It made the sport more like boxing, B) It allowed smaller, more technical wrestlers to compete fairly without being overpowered by much larger men, C) It was a request from the government, D) It made the tournaments last longer</t>
  </si>
  <si>
    <t>B) It allowed smaller, more technical wrestlers to compete fairly without being overpowered by much larger men</t>
  </si>
  <si>
    <t>Weight classes are a fundamental principle of modern combat sports, ensuring that contests are a true test of skill, not just size.</t>
  </si>
  <si>
    <t>What is the historical significance of the oath being recited in the Breton language?</t>
  </si>
  <si>
    <t>A) It is a rule from the French government, B) It is a modern invention for tourists, C) It reinforces the sport's identity as a unique and living part of Breton culture, D) The wrestlers do not speak French</t>
  </si>
  <si>
    <t>C) It reinforces the sport's identity as a unique and living part of Breton culture</t>
  </si>
  <si>
    <t>Using the Breton language for the oath is a powerful statement of cultural pride and a direct link to the sport's origins.</t>
  </si>
  <si>
    <t>The FALSAB was founded in 1930. When was the modern, Gouren-only federation (Fédération de Gouren) established?</t>
  </si>
  <si>
    <t>A) 1949, B) 1965, C) 1980, D) 1998</t>
  </si>
  <si>
    <t>C) 1980</t>
  </si>
  <si>
    <t>In 1980, a new federation dedicated solely to Gouren was created, reflecting the sport's growth and specialization.</t>
  </si>
  <si>
    <t>The revival of Gouren in the 20th century is an example of what cultural phenomenon?</t>
  </si>
  <si>
    <t>A) Globalization, B) The invention of tradition, C) A Celtic Revival movement, D) A political protest</t>
  </si>
  <si>
    <t>C) A Celtic Revival movement</t>
  </si>
  <si>
    <t>The effort to save Gouren was part of a wider cultural and political movement to preserve and promote the distinct identity of the Celtic nations.</t>
  </si>
  <si>
    <t>In the 19th century, how long could a single wrestling bout last?</t>
  </si>
  <si>
    <t>A) A maximum of 5 minutes, B) It could last for an hour or more, until one wrestler was thrown, C) Exactly 10 minutes, D) As long as the music played</t>
  </si>
  <si>
    <t>B) It could last for an hour or more, until one wrestler was thrown</t>
  </si>
  <si>
    <t>With no time limits, bouts were grueling tests of endurance, and could last for a very long time.</t>
  </si>
  <si>
    <t>What is the main purpose of the summer demonstrations of Gouren held across Brittany?</t>
  </si>
  <si>
    <t>A) To earn money for the clubs, B) To keep the tradition alive and visible, and to introduce the sport to tourists and locals, C) To be a formal competition, D) To train new referees</t>
  </si>
  <si>
    <t>B) To keep the tradition alive and visible, and to introduce the sport to tourists and locals</t>
  </si>
  <si>
    <t>These demonstrations are a key part of the sport's cultural outreach, ensuring that it remains a vibrant part of modern Breton summer life.</t>
  </si>
  <si>
    <t>Which of these is a key feature of the traditional bragou (trousers)?</t>
  </si>
  <si>
    <t>A) They are very tight-fitting, B) They are short, ending at the knee, C) They are made of leather, D) They are decorated with bright colors</t>
  </si>
  <si>
    <t>B) They are short, ending at the knee</t>
  </si>
  <si>
    <t>The traditional linen trousers were short and loose, allowing for freedom of movement for the legs.</t>
  </si>
  <si>
    <t>A wrestler executes a throw, and the opponent lands on their side, not their back. What is the ruling?</t>
  </si>
  <si>
    <t>A) A full lamm is awarded, B) No points are awarded, C) A partial score is awarded, D) The throw must be re-done</t>
  </si>
  <si>
    <t>B) No points are awarded</t>
  </si>
  <si>
    <t>To win, the throw must result in the opponent's back, specifically both shoulder blades, hitting the ground. A side fall does not count.</t>
  </si>
  <si>
    <t>The FILC organizes a European Championship. What is the main difference between this and a local tournament?</t>
  </si>
  <si>
    <t>A) It features wrestlers from different Celtic wrestling styles competing against each other, B) The prizes are much bigger, C) It is held indoors, D) The rules are completely different</t>
  </si>
  <si>
    <t>A) It features wrestlers from different Celtic wrestling styles competing against each other</t>
  </si>
  <si>
    <t>The championship is a unique event where a Gouren wrestler might compete against a Cornish or Scottish wrestler under a set of compromise rules.</t>
  </si>
  <si>
    <t>What is the main reason that the nobility abandoned the practice of Gouren?</t>
  </si>
  <si>
    <t>A) They found it too difficult, B) A royal decree banned it for nobles, C) It became seen as a "peasant's pastime" and was no longer fashionable, D) They preferred tennis</t>
  </si>
  <si>
    <t>C) It became seen as a "peasant's pastime" and was no longer fashionable</t>
  </si>
  <si>
    <t>As society changed, the aristocracy began to view the rough, physical folk sport as unrefined and beneath their status.</t>
  </si>
  <si>
    <t>A wrestler is penalized for grabbing the opponent's bragou (trousers). Is this a correct call?</t>
  </si>
  <si>
    <t>A) No, this is a legal part of jacket wrestling, B) Yes, all grips must be on the upper body roched (shirt), C) Only if the trousers tear, D) Only if it is a major tournament</t>
  </si>
  <si>
    <t>B) Yes, all grips must be on the upper body roched (shirt)</t>
  </si>
  <si>
    <t>Gouren rules are specific: the grip is restricted to the opponent's wrestling jacket. Grabbing the trousers is a foul.</t>
  </si>
  <si>
    <t>The word roched refers to what piece of the wrestler's attire?</t>
  </si>
  <si>
    <t>A) The trousers, B) The belt, C) The tough, short-sleeved white shirt or jacket, D) The shoes</t>
  </si>
  <si>
    <t>C) The tough, short-sleeved white shirt or jacket</t>
  </si>
  <si>
    <t>The roched is the heavy-duty linen or canvas jacket that the wrestlers grip during the match.</t>
  </si>
  <si>
    <t>What is the historical origin of the "no ground fighting" rule?</t>
  </si>
  <si>
    <t>A) The ground was considered sacred, B) It evolved from military combat, where going to the ground was often fatal, C) It makes the sport safer, D) It keeps the wrestlers' clothes clean</t>
  </si>
  <si>
    <t>B) It evolved from military combat, where going to the ground was often fatal</t>
  </si>
  <si>
    <t>The objective was to throw an opponent and remain standing, ready to face the next adversary. Being on the ground was a position of extreme vulnerability in battle.</t>
  </si>
  <si>
    <t>What is the main goal of the modern skoliou (Gouren schools)?</t>
  </si>
  <si>
    <t>A) To produce professional champions, B) To teach the sport and its ethical values to a new generation, including children, C) To be a social club for adults, D) To make money for the federation</t>
  </si>
  <si>
    <t>B) To teach the sport and its ethical values to a new generation, including children</t>
  </si>
  <si>
    <t>The schools are the grassroots of the sport, focused on education, cultural preservation, and the personal development of their students.</t>
  </si>
  <si>
    <t>What is the significance of the year 1930 for the history of Gouren?</t>
  </si>
  <si>
    <t>A) It was the year of the first international match, B) It was the year Charles Cottonec published the first modern, codified rulebook, C) It was the year the sport was banned, D) It was the year the last traditional match was held</t>
  </si>
  <si>
    <t>B) It was the year Charles Cottonec published the first modern, codified rulebook</t>
  </si>
  <si>
    <t>1930 is a pivotal date, marking the transition of Gouren from a disorganized folk tradition into a modern, regulated sport.</t>
  </si>
  <si>
    <t>In its essence, the revival of Gouren in the 20th century was an act of what?</t>
  </si>
  <si>
    <t>A) Sporting innovation, B) Financial investment, C) Political rebellion, D) Cultural preservation</t>
  </si>
  <si>
    <t>D) Cultural preservation</t>
  </si>
  <si>
    <t>The movement to save Gouren was fundamentally about preserving a unique and important part of Brittany's cultural identity.</t>
  </si>
  <si>
    <t>A wrestler executes a throw, and the opponent lands on their back, but one of their hands touches the ground first. What is the ruling?</t>
  </si>
  <si>
    <t>A) A full lamm is awarded, B) The throw is invalid because the hand touched first, C) A partial score is given, D) The point is replayed</t>
  </si>
  <si>
    <t>B) The throw is invalid because the hand touched first</t>
  </si>
  <si>
    <t>For a perfect lamm, the back must be the first part of the upper body to touch the ground. A hand posting to break the fall invalidates the throw.</t>
  </si>
  <si>
    <t>What is a "click" (kliked) in Gouren?</t>
  </si>
  <si>
    <t>A) The sound the referee makes, B) A type of powerful winding or rolling throw, C) A defensive foot-block, D) The name for the wrestler's belt</t>
  </si>
  <si>
    <t>B) A type of powerful winding or rolling throw</t>
  </si>
  <si>
    <t>The kliked is one of the most characteristic and effective throws in the sport, involving a powerful turning motion.</t>
  </si>
  <si>
    <t>Before the introduction of weight classes, how were wrestlers typically matched?</t>
  </si>
  <si>
    <t>A) By age, B) By height, C) By reputation or by issuing an open challenge, D) By a random draw</t>
  </si>
  <si>
    <t>C) By reputation or by issuing an open challenge</t>
  </si>
  <si>
    <t>In the traditional format, wrestlers were not matched by size. A smaller man could challenge a larger man, relying on skill to overcome a strength disadvantage.</t>
  </si>
  <si>
    <t>The modern Gouren federation is affiliated with which larger French sporting body?</t>
  </si>
  <si>
    <t>A) The French Football Federation, B) The French Judo Federation, C) The French Wrestling Federation (FFL), D) The French Olympic Committee</t>
  </si>
  <si>
    <t>C) The French Wrestling Federation (FFL)</t>
  </si>
  <si>
    <t>Gouren is officially recognized and administered as a regional wrestling style under the umbrella of the main French Wrestling Federation.</t>
  </si>
  <si>
    <t>What is the main reason that strikes (punches and kicks) are forbidden in Gouren?</t>
  </si>
  <si>
    <t>A) It is a purely grappling art, focused on throws and balance, B) It would be too dangerous, C) The wrestlers do not wear gloves, D) All of the above</t>
  </si>
  <si>
    <t>Gouren's rules were codified to make it a safe and technical sport of pure grappling, distinct from striking arts.</t>
  </si>
  <si>
    <t>The annual European Championship of Celtic Wrestling features different styles. What is the objective of this event?</t>
  </si>
  <si>
    <t>A) To prove that Gouren is the superior style, B) To foster cultural exchange and friendly competition between the Celtic nations, C) To create a new, unified style of wrestling, D) To qualify for the Olympics</t>
  </si>
  <si>
    <t>B) To foster cultural exchange and friendly competition between the Celtic nations</t>
  </si>
  <si>
    <t>The championship is a celebration of the shared heritage of the various Celtic wrestling traditions.</t>
  </si>
  <si>
    <t>What is the historical reason for the wrestlers' white linen trousers being called bragou?</t>
  </si>
  <si>
    <t>A) It is the name of the town where they were first made, B) It is the ancient Celtic and Gallic word for trousers, C) It is named after a famous wrestler, D) It means "strong legs" in Breton</t>
  </si>
  <si>
    <t>B) It is the ancient Celtic and Gallic word for trousers</t>
  </si>
  <si>
    <t>The term bragou is a direct linguistic link to the ancient Celtic heritage of the Breton people.</t>
  </si>
  <si>
    <t>A wrestler wins a throw, and the result is a kostin. What does this mean?</t>
  </si>
  <si>
    <t>A) The opponent was injured, B) The throw was perfect, C) The throw was only partially successful, with both wrestlers falling, D) The wrestler cheated</t>
  </si>
  <si>
    <t>C) The throw was only partially successful, with both wrestlers falling</t>
  </si>
  <si>
    <t>A kostin is a result where the attacker also loses their balance and falls, which is a lesser result than a clean lamm.</t>
  </si>
  <si>
    <t>What is the main characteristic of the "Gouren Cadours" style, a historical variant?</t>
  </si>
  <si>
    <t>A) It used weapons, B) It was a form of ground wrestling, C) It was known for its particularly powerful throws, D) It was a team-based version</t>
  </si>
  <si>
    <t>C) It was known for its particularly powerful throws</t>
  </si>
  <si>
    <t>This was a famous regional style, with wrestlers from the Cadours area being renowned for their strength.</t>
  </si>
  <si>
    <t>Why were the 19th-century tournaments often held on a simple meadow (prat)?</t>
  </si>
  <si>
    <t>A) It was the only available space in the village, B) The soft grass provided a safe surface for falls, C) It was a tradition to be close to nature, D) Both A and B</t>
  </si>
  <si>
    <t>The village meadow was a practical and safe choice, providing a natural, cushioned arena for the wrestling contests.</t>
  </si>
  <si>
    <t>What is the primary difference between Gouren and Swiss Schwingen?</t>
  </si>
  <si>
    <t>A) Schwingen is older, B) Schwingen wrestlers wear special canvas shorts for gripping, while Gouren uses a jacket, C) Schwingen is a team sport, D) Gouren is more popular</t>
  </si>
  <si>
    <t>B) Schwingen wrestlers wear special canvas shorts for gripping, while Gouren uses a jacket</t>
  </si>
  <si>
    <t>Both are European folk wrestling styles, but their rules and gripping methods are distinct. Schwingen focuses on grips on the opponent's shorts.</t>
  </si>
  <si>
    <t>The FILC has members from Iceland. What is their traditional style of wrestling called?</t>
  </si>
  <si>
    <t>A) Schwingen, B) Glima, C) Back-hold, D) Cornish</t>
  </si>
  <si>
    <t>B) Glima</t>
  </si>
  <si>
    <t>Glima, the ancient wrestling style of the Vikings, is also a member of the International Federation of Celtic Wrestling.</t>
  </si>
  <si>
    <t>A wrestler is penalized for grabbing the opponent below the belt. Is this a correct call?</t>
  </si>
  <si>
    <t>A) No, all holds are allowed, B) Yes, all grips must be on the roched (jacket) above the belt, C) Only if it is a major tournament, D) Only if the opponent complains</t>
  </si>
  <si>
    <t>B) Yes, all grips must be on the roched (jacket) above the belt</t>
  </si>
  <si>
    <t>The rules of Gouren are very specific about the legal grip area, which is restricted to the opponent's wrestling jacket.</t>
  </si>
  <si>
    <t>What is the significance of the year 1930 in Gouren's history?</t>
  </si>
  <si>
    <t>A) It was the year of the first international match, B) It was the year Charles Cottonec codified the rules and founded the first federation, C) It was the year the sport was banned, D) It was the year the last traditional match was held</t>
  </si>
  <si>
    <t>B) It was the year Charles Cottonec codified the rules and founded the first federation</t>
  </si>
  <si>
    <t>The historical prize of a live animal often required the winner to do what?</t>
  </si>
  <si>
    <t>A) To cook it for a feast, B) To successfully control and lead the animal away from the arena, C) To sell it immediately, D) To give it to the referee</t>
  </si>
  <si>
    <t>B) To successfully control and lead the animal away from the arena</t>
  </si>
  <si>
    <t>This was a final, often humorous, test of the champion's strength and skill.</t>
  </si>
  <si>
    <t>What is the main purpose of the summer demonstrations of Gouren?</t>
  </si>
  <si>
    <t>The revival of Gouren is an example of what cultural phenomenon?</t>
  </si>
  <si>
    <t>In the 19th century, how long could a single bout last?</t>
  </si>
  <si>
    <t>With no time limits, bouts were grueling tests of endurance, and could last for a very long time until a decisive fall occurred.</t>
  </si>
  <si>
    <t>A wrestler executes a throw, and the opponent lands on their side. What is the ruling?</t>
  </si>
  <si>
    <t>A) A full lamm is awarded, B) No points are awarded; the match is reset, C) A partial score is awarded, D) The throw must be re-done</t>
  </si>
  <si>
    <t>B) No points are awarded; the match is reset</t>
  </si>
  <si>
    <t>What is the historical reason that Gouren is a standing-only form of wrestling?</t>
  </si>
  <si>
    <t>A) The ground was considered sacred, B) It evolved from military techniques where falling in battle was fatal, C) Ground fighting was considered dishonorable, D) It is a modern rule for safety</t>
  </si>
  <si>
    <t>What is the significance of the oath being recited in the Breton language?</t>
  </si>
  <si>
    <t>In 1980, a new federation dedicated solely to Gouren was created from FALSAB, reflecting the sport's growth and specialization.</t>
  </si>
  <si>
    <t>What is the primary role of the skoliou (Gouren schools) today?</t>
  </si>
  <si>
    <t>A wrestler is known for their powerful "click" (kliked). What is this technique?</t>
  </si>
  <si>
    <t>A) A type of hip throw, B) A powerful winding or rolling throw, C) A defensive foot-block, D) The name for the wrestler's belt</t>
  </si>
  <si>
    <t>B) A powerful winding or rolling throw</t>
  </si>
  <si>
    <t>The kliked is one of the most characteristic and effective throws in the sport, involving a powerful turning motion to unbalance the opponent.</t>
  </si>
  <si>
    <t>What is the main difference between Gouren and Swiss Schwingen?</t>
  </si>
  <si>
    <t>What is the word roched refer to what piece of the wrestler's attire?</t>
  </si>
  <si>
    <t>The wrestler's oath, "I swear to fight with full loyalty," primarily forbids what?</t>
  </si>
  <si>
    <t>A) It shows they were not just focused on wrestling, B) It was an attempt to create a Breton version of the Olympic Games by preserving all local sports, C) It was a way to get more government funding, D) It was a mistake in the naming of the federation</t>
  </si>
  <si>
    <t>B) It was an attempt to create a Breton version of the Olympic Games by preserving all local sports</t>
  </si>
  <si>
    <t>The federation's original goal was to preserve all of Brittany's traditional sports, from wrestling to unique games of strength and skill.</t>
  </si>
  <si>
    <t>In a 19th-century painting of a Gouren match, a musician is often seen playing which traditional instruments?</t>
  </si>
  <si>
    <t>A) A violin and a cello, B) A flute and a harp, C) An accordion and a banjo, D) A biniou (Breton bagpipe) and a bombarde (oboe)</t>
  </si>
  <si>
    <t>D) A biniou (Breton bagpipe) and a bombarde (oboe)</t>
  </si>
  <si>
    <t>Traditional Breton music, played on the iconic duo of the biniou and bombarde, was an essential part of the festive atmosphere of the tournaments.</t>
  </si>
  <si>
    <t>The first known written record of a bull game in the Camargue region, considered an ancestor of the modern sport, dates to what year and city?</t>
  </si>
  <si>
    <t>A) 1282 in Marseille, B) 1402 in Arles, C) 1551 in Nîmes, D) 1666 in Sète</t>
  </si>
  <si>
    <t>B) 1402 in Arles</t>
  </si>
  <si>
    <t>A document from 1402 describes a festival in Arles given in honor of Louis II, Count of Provence, which included "a bull-running spectacle."</t>
  </si>
  <si>
    <t>In the 19th century, the Course Camarguaise evolved from what rural, agricultural event?</t>
  </si>
  <si>
    <t>A) Cattle auctions, B) Religious processions, C) The ferrade (the branding of young bulls), D) Harvest festivals</t>
  </si>
  <si>
    <t>C) The ferrade (the branding of young bulls)</t>
  </si>
  <si>
    <t>The games originated from the bravery of farmhands who would try to snatch a rosette from the bulls during the annual branding ceremonies.</t>
  </si>
  <si>
    <t>Who is considered the "father" of the modern Course Camarguaise for his work in preserving and codifying the traditions in the early 20th century?</t>
  </si>
  <si>
    <t>A) Louis IX, B) Jean-Henri Fabre, C) Frédéric Mistral, D) Marquis Folco de Baroncelli-Javon</t>
  </si>
  <si>
    <t>D) Marquis Folco de Baroncelli-Javon</t>
  </si>
  <si>
    <t>The Marquis de Baroncelli was an influential manadier (breeder) who worked tirelessly to preserve Camargue traditions, including formalizing the bull game.</t>
  </si>
  <si>
    <t>What is the name of the specific breed of bull used for the Course Camarguaise, known for its small size, black coat, and lyre-shaped horns?</t>
  </si>
  <si>
    <t>A) The Spanish Fighting Bull, B) The Camargue cattle (Raço di Biòu), C) The Aubrac, D) The Charolais</t>
  </si>
  <si>
    <t>B) The Camargue cattle (Raço di Biòu)</t>
  </si>
  <si>
    <t>The sport exclusively uses the indigenous Camargue breed, which is semi-feral and uniquely adapted to the region's marshlands.</t>
  </si>
  <si>
    <t>The modern sport is fundamentally different from Spanish bullfighting in what key aspect?</t>
  </si>
  <si>
    <t>A) The bulls are larger, B) It takes place in a square arena, C) The bull is celebrated and is never killed in the arena, D) The men are on horseback</t>
  </si>
  <si>
    <t>C) The bull is celebrated and is never killed in the arena</t>
  </si>
  <si>
    <t>This is the most important principle of the Course Camarguaise; the bull is the star and its life is always preserved.</t>
  </si>
  <si>
    <t>What is the term for the men, dressed in white, who compete in the arena?</t>
  </si>
  <si>
    <t>A) Matadors, B) Picadors, C) Gardians, D) Razeteurs</t>
  </si>
  <si>
    <t>D) Razeteurs</t>
  </si>
  <si>
    <t>The razeteur is the athlete who enters the arena on foot and attempts to retrieve the attributes from the bull's horns.</t>
  </si>
  <si>
    <t>What is the name of the metal claw, or hook, worn on the hand of a razeteur?</t>
  </si>
  <si>
    <t>A) The hook, B) The trident, C) The crochet, D) The griffe</t>
  </si>
  <si>
    <t>C) The crochet</t>
  </si>
  <si>
    <t>The crochet is the unique tool used by the razeteur to sever the strings holding the attributes on the bull's horns.</t>
  </si>
  <si>
    <t>Historically, what was the "cocarde"?</t>
  </si>
  <si>
    <t>A) A real flower, B) A piece of red ribbon placed on the bull's forehead, C) A prize for the razeteur, D) The name of the arena</t>
  </si>
  <si>
    <t>B) A piece of red ribbon placed on the bull's forehead</t>
  </si>
  <si>
    <t>The cocarde was the first attribute to be formalized, a simple ribbon that young men would try to snatch as a trophy to give to a girl.</t>
  </si>
  <si>
    <t>Many of the most famous races are held in ancient Roman amphitheaters in which two cities?</t>
  </si>
  <si>
    <t>A) Marseille and Lyon, B) Avignon and Orange, C) Arles and Nîmes, D) Montpellier and Béziers</t>
  </si>
  <si>
    <t>C) Arles and Nîmes</t>
  </si>
  <si>
    <t>The magnificent Roman arenas of Arles and Nîmes provide a spectacular and historic backdrop for major Course Camarguaise events.</t>
  </si>
  <si>
    <t>What is a manade in the context of the Camargue?</t>
  </si>
  <si>
    <t>A) A type of festival, B) The bullring, C) A herd of Camargue bulls and horses, and the ranch where they are raised, D) A team of razeteurs</t>
  </si>
  <si>
    <t>C) A herd of Camargue bulls and horses, and the ranch where they are raised</t>
  </si>
  <si>
    <t>A manade is the entire breeding operation, run by a manadier, which is central to the culture of the region.</t>
  </si>
  <si>
    <t>What is the "Abrivado"?</t>
  </si>
  <si>
    <t>A) The final round of the race, B) The procession of the bulls being run through the streets to the arena, C) The prize-giving ceremony, D) A type of bull</t>
  </si>
  <si>
    <t>B) The procession of the bulls being run through the streets to the arena</t>
  </si>
  <si>
    <t>The abrivado is a thrilling and dangerous tradition where gardians on horseback escort the bulls through the town to the arena before the race.</t>
  </si>
  <si>
    <t>What is the "Bandido"?</t>
  </si>
  <si>
    <t>A) The opening ceremony, B) The running of the bulls back from the arena to the pastures after the race, C) A term for a very aggressive bull, D) A team of razeteurs</t>
  </si>
  <si>
    <t>B) The running of the bulls back from the arena to the pastures after the race</t>
  </si>
  <si>
    <t>The bandido is the reverse of the abrivado and is often even more chaotic, as the bulls are now agitated from the race.</t>
  </si>
  <si>
    <t>A truly great Camargue bull can become a legend. What is the highest honor such a bull can receive?</t>
  </si>
  <si>
    <t>A) To be retired to a zoo, B) To have a statue erected in its honor, C) To be sold for a high price, D) To be declared a national treasure</t>
  </si>
  <si>
    <t>B) To have a statue erected in its honor</t>
  </si>
  <si>
    <t>Legendary bulls like Goya and Vovo are immortalized with statues in the villages of the Camargue, a testament to their status as heroes.</t>
  </si>
  <si>
    <t>What is the name of the prestigious end-of-season trophy awarded to the best bull of the year?</t>
  </si>
  <si>
    <t>A) The Palme d'Or, B) The Cocarde d'Or, C) The Biòu d'Or, D) The Trophée des As</t>
  </si>
  <si>
    <t>C) The Biòu d'Or</t>
  </si>
  <si>
    <t>The "Golden Bull" is the most coveted prize in the sport, awarded to the bull that has demonstrated the most intelligence and bravery throughout the season.</t>
  </si>
  <si>
    <t>What are the "attributes" that a razeteur must collect from the bull's horns?</t>
  </si>
  <si>
    <t>A) The cocarde, two tassels (glands), and the strings (ficelles), B) Flowers and ribbons, C) A flag and a bell, D) The horn tips</t>
  </si>
  <si>
    <t>A) The cocarde, two tassels (glands), and the strings (ficelles)</t>
  </si>
  <si>
    <t>These are the three types of attributes, placed on the bull's head before the race, that the razeteurs must snatch with their crochet.</t>
  </si>
  <si>
    <t>Who are the gardians?</t>
  </si>
  <si>
    <t>A) The referees, B) The bull breeders, C) The traditional cowboys of the Camargue, D) The spectators</t>
  </si>
  <si>
    <t>C) The traditional cowboys of the Camargue</t>
  </si>
  <si>
    <t>The gardians are the mounted herdsmen of the Camargue, and their culture, traditions, and horsemanship are central to the sport.</t>
  </si>
  <si>
    <t>What is the historical origin of the razeteurs' all-white uniform?</t>
  </si>
  <si>
    <t>A) It symbolizes purity and courage, B) It makes them more visible to the bull and the judges, C) It was the standard sporting attire of the early 20th century, D) All of the above</t>
  </si>
  <si>
    <t>The white uniform is practical for visibility, traditional for its connection to early sporting wear, and symbolic of the razeteur's bravery.</t>
  </si>
  <si>
    <t>What is the "raset"?</t>
  </si>
  <si>
    <t>A) The name of the bull, B) The name of the hook, C) The explosive, curved run the razeteur makes to pass the bull and snatch an attribute, D) The final round</t>
  </si>
  <si>
    <t>C) The explosive, curved run the razeteur makes to pass the bull and snatch an attribute</t>
  </si>
  <si>
    <t>The raset is the defining action of the sport, a highly skillful and dangerous maneuver requiring perfect timing and speed.</t>
  </si>
  <si>
    <t>The famous bull "Vovo" was known for what unusual behavior?</t>
  </si>
  <si>
    <t>A) He would not attack the razeteurs, B) He would jump over the barrier after the razeteurs, C) He was a white bull, D) He would ignore the attributes</t>
  </si>
  <si>
    <t>B) He would jump over the barrier after the razeteurs</t>
  </si>
  <si>
    <t>Vovo was a legendary bull, famous for his intelligence and his spectacular habit of leaping the arena walls in pursuit of the men.</t>
  </si>
  <si>
    <t>In the 19th century, the game was often called "course libre" (free race). What did this mean?</t>
  </si>
  <si>
    <t>A) The tickets were free, B) Anyone could participate, C) It had few formal rules and was more of a chaotic chase, D) The bulls were allowed to run free in the streets</t>
  </si>
  <si>
    <t>C) It had few formal rules and was more of a chaotic chase</t>
  </si>
  <si>
    <t>The early form of the sport was much less codified than the modern version, with a greater emphasis on simple bravery over technical skill.</t>
  </si>
  <si>
    <t>What is the role of the "tourneur" (turner) in the arena?</t>
  </si>
  <si>
    <t>A) To distract the bull and position it correctly for the razeteur's run, B) To open and close the gate, C) To be a substitute razeteur, D) To keep the score</t>
  </si>
  <si>
    <t>A) To distract the bull and position it correctly for the razeteur's run</t>
  </si>
  <si>
    <t>The tourneur, also dressed in white, is the razeteur's teammate, whose expert positioning is crucial for setting up a successful raset.</t>
  </si>
  <si>
    <t>The most prestigious annual tournament, besides the Biòu d'Or, is the "Cocarde d'Or". In which city's arena is it held?</t>
  </si>
  <si>
    <t>A) Nîmes, B) Sète, C) Arles, D) Beaucaire</t>
  </si>
  <si>
    <t>C) Arles</t>
  </si>
  <si>
    <t>The Cocarde d'Or, created in 1928, is one of the most important events of the season and is held every July in the Roman amphitheater of Arles.</t>
  </si>
  <si>
    <t>What is the historical significance of the Camargue cross, often seen in the region and at races?</t>
  </si>
  <si>
    <t>A) It is the symbol of the FFCC, B) It represents the three theological virtues: Faith (cross), Hope (anchor), and Charity (trident of the gardians), C) It is the brand of a famous manade, D) It has no connection to the sport</t>
  </si>
  <si>
    <t>B) It represents the three theological virtues: Faith (cross), Hope (anchor), and Charity (trident of the gardians)</t>
  </si>
  <si>
    <t>This symbol, created by the artist Hermann-Paul in 1926 at the request of the Marquis de Baroncelli, is a powerful emblem of the Camargue's unique culture.</t>
  </si>
  <si>
    <t>What is a "cocardier"?</t>
  </si>
  <si>
    <t>A) A razeteur who is good at taking the cocarde, B) A bull that is particularly skilled and brave in the arena, C) The craftsman who makes the cocardes, D) The final race of a festival</t>
  </si>
  <si>
    <t>B) A bull that is particularly skilled and brave in the arena</t>
  </si>
  <si>
    <t>A cocardier is the name for a great fighting bull, a true star of the Course Camarguaise.</t>
  </si>
  <si>
    <t>How does a bull's career progress in the sport?</t>
  </si>
  <si>
    <t>A) They have one short season, B) They have a long career, and their reputation grows over many years, C) They are retired after their first injury, D) They only compete in one arena</t>
  </si>
  <si>
    <t>B) They have a long career, and their reputation grows over many years</t>
  </si>
  <si>
    <t>Unlike in Spanish bullfighting, a Camargue bull can have a long and celebrated career, sometimes lasting over a decade, becoming famous throughout the region.</t>
  </si>
  <si>
    <t>What is the Carmen music, often played during a race?</t>
  </si>
  <si>
    <t>A) It is the French national anthem, B) It is an excerpt from the opera Carmen by Bizet, played to honor a particularly brave action, C) It is the traditional music of the gardians, D) It is a specific tune played at the start of the race</t>
  </si>
  <si>
    <t>B) It is an excerpt from the opera Carmen by Bizet, played to honor a particularly brave action</t>
  </si>
  <si>
    <t>The Toreador theme from Carmen is played by the arena's band to salute an exceptional raset by a razeteur or a brilliant defensive move by the bull.</t>
  </si>
  <si>
    <t>What is a "manadier"?</t>
  </si>
  <si>
    <t>A) A fan of the sport, B) A razeteur, C) The owner and breeder of a herd (manade) of Camargue bulls, D) The referee</t>
  </si>
  <si>
    <t>C) The owner and breeder of a herd (manade) of Camargue bulls</t>
  </si>
  <si>
    <t>The manadiers are central figures in the culture, responsible for preserving the breed and raising the bulls for the arena.</t>
  </si>
  <si>
    <t>The official governing body for the sport is the FFCC. What does this stand for?</t>
  </si>
  <si>
    <t>A) Fédération Française de la Corrida, B) Fédération des Festivals Camarguais, C) Fédération Française de la Course Camarguaise, D) Fédération des Fans de Cocardiers</t>
  </si>
  <si>
    <t>C) Fédération Française de la Course Camarguaise</t>
  </si>
  <si>
    <t>The French Federation of the Camargue Race was founded in 1975 to regulate, standardize, and promote the sport.</t>
  </si>
  <si>
    <t>What is the historical origin of the razeteurs wearing all white?</t>
  </si>
  <si>
    <t>A) It was the cheapest material available to the farmhands who were the first razeteurs, B) It makes them more visible to the bull, C) It symbolizes the purity of their courage, D) It is a modern invention</t>
  </si>
  <si>
    <t>A) It was the cheapest material available to the farmhands who were the first razeteurs</t>
  </si>
  <si>
    <t>The all-white attire originated from the simple, practical clothing worn by the rural workers who first began the sport.</t>
  </si>
  <si>
    <t>A great bull is often said to have "intelligence". What does this mean in the context of the arena?</t>
  </si>
  <si>
    <t>A) It can solve puzzles, B) It learns from the razeteurs' attacks and anticipates their movements, C) It can recognize its owner, D) It is a very calm bull</t>
  </si>
  <si>
    <t>B) It learns from the razeteurs' attacks and anticipates their movements</t>
  </si>
  <si>
    <t>A top cocardier is one that quickly understands the game, defends its attributes, and uses the arena to its advantage, making it very difficult for the razeteurs.</t>
  </si>
  <si>
    <t>What is the main difference in the role of the horse in Course Camarguaise compared to Spanish bullfighting?</t>
  </si>
  <si>
    <t>A) The horses are larger, B) The horses are an integral part of the culture surrounding the sport (e.g., in the abrivado) but do not enter the arena during the race, C) The horses fight the bull, D) There are no horses</t>
  </si>
  <si>
    <t>B) The horses are an integral part of the culture surrounding the sport (e.g., in the abrivado) but do not enter the arena during the race</t>
  </si>
  <si>
    <t>The Camargue horse is central to the gardian culture, but the race itself is a contest between a man on foot and the bull.</t>
  </si>
  <si>
    <t>The Trophée des As is the most prestigious competition for which group?</t>
  </si>
  <si>
    <t>A) The bulls, B) The razeteurs, C) The breeders, D) The referees</t>
  </si>
  <si>
    <t>B) The razeteurs</t>
  </si>
  <si>
    <t>This is the elite, season-long championship that determines the best razeteur of the year.</t>
  </si>
  <si>
    <t>What is the historical reason for the races being held primarily from spring to autumn?</t>
  </si>
  <si>
    <t>A) It is the tourist season, B) It is the traditional festival season in the agricultural calendar, C) The bulls are more aggressive in the summer, D) The razeteurs are on holiday</t>
  </si>
  <si>
    <t>B) It is the traditional festival season in the agricultural calendar</t>
  </si>
  <si>
    <t>The races are linked to the fêtes votives (local patron saint festivals) of the villages, which take place during the warmer months.</t>
  </si>
  <si>
    <t>What is the "mur" or wall in the arena?</t>
  </si>
  <si>
    <t>A) The outer wall of the stadium, B) The red wooden barrier that surrounds the track, C) A wall the bull must jump over, D) The wall where the prizes are displayed</t>
  </si>
  <si>
    <t>B) The red wooden barrier that surrounds the track</t>
  </si>
  <si>
    <t>The razeteurs must leap upon or over this barrier to escape the charging bull. A bull that pursues them to the wall is highly prized.</t>
  </si>
  <si>
    <t>If a bull manages to kill a person in the arena, what is a traditional, though now rare, consequence for the bull?</t>
  </si>
  <si>
    <t>A) The bull is also killed, B) The bull's career is ended, and its name is removed from the lists, C) The bull is crowned a champion, D) The bull is sold to a Spanish corrida</t>
  </si>
  <si>
    <t>B) The bull's career is ended, and its name is removed from the lists</t>
  </si>
  <si>
    <t>In the past, a bull that killed a man was considered to have transgressed a line, and its bloodline was often ended.</t>
  </si>
  <si>
    <t>What is the main characteristic of the Camargue bull, the biòu?</t>
  </si>
  <si>
    <t>A) It is very large and heavy, B) It is known for its intelligence and agility, not its size, C) It is a docile and calm breed, D) It is a hybrid of a Spanish and French breed</t>
  </si>
  <si>
    <t>B) It is known for its intelligence and agility, not its size</t>
  </si>
  <si>
    <t>The Camargue bull is a small, athletic, and intelligent animal, which makes the sport a test of skill rather than brute force.</t>
  </si>
  <si>
    <t>What does the term "razeter" mean?</t>
  </si>
  <si>
    <t>A) To run fast, B) To graze or to shave, C) To jump, D) To fight</t>
  </si>
  <si>
    <t>B) To graze or to shave</t>
  </si>
  <si>
    <t>The name comes from the action of the crochet as it "grazes" past the bull's head to cut the string of an attribute.</t>
  </si>
  <si>
    <t>In the 19th century, how were the prizes (primes) for the attributes often funded?</t>
  </si>
  <si>
    <t>A) By the government, B) By the bull breeder, C) By donations from the spectators during the race, D) By the church</t>
  </si>
  <si>
    <t>C) By donations from the spectators during the race</t>
  </si>
  <si>
    <t>A key part of the traditional atmosphere was the public fundraising, where money was collected and announced for each attribute, adding to the excitement.</t>
  </si>
  <si>
    <t>What is the "Trophée de la Mer" (Trophy of the Sea)?</t>
  </si>
  <si>
    <t>A) A fishing competition, B) A famous and prestigious Course Camarguaise tournament held in Le Grau-du-Roi, C) A boat race, D) A prize for the best-decorated bull</t>
  </si>
  <si>
    <t>B) A famous and prestigious Course Camarguaise tournament held in Le Grau-du-Roi</t>
  </si>
  <si>
    <t>This is one of the major, highly-regarded tournaments of the official season, part of the elite "Trophée des As" series.</t>
  </si>
  <si>
    <t>The development of the Course Camarguaise is an example of what cultural process?</t>
  </si>
  <si>
    <t>A) The ritualization of an agricultural practice into a modern sport, B) The decline of a tradition, C) The invention of a new sport, D) The commercialization of a festival</t>
  </si>
  <si>
    <t>A) The ritualization of an agricultural practice into a modern sport</t>
  </si>
  <si>
    <t>The sport's history shows a clear evolution from the practical work of the ferrade into a complex and symbolic sporting ritual.</t>
  </si>
  <si>
    <t>A bull is said to be "généreux" (generous). What does this mean?</t>
  </si>
  <si>
    <t>A) It is a very large bull, B) It charges readily and participates actively in the game, C) It does not attack the razeteurs, D) It gives up its attributes easily</t>
  </si>
  <si>
    <t>B) It charges readily and participates actively in the game</t>
  </si>
  <si>
    <t>A "generous" bull is one that provides a great spectacle by engaging honestly and bravely with the razeteurs.</t>
  </si>
  <si>
    <t>What is the historical role of the "Croix Camarguaise" (Camargue Cross)?</t>
  </si>
  <si>
    <t>A) It is an ancient religious symbol, B) It was created in the 20th century to be a modern symbol of the Camargue's identity, C) It is the brand of a famous bull breeder, D) It is the logo of the FFCC</t>
  </si>
  <si>
    <t>B) It was created in the 20th century to be a modern symbol of the Camargue's identity</t>
  </si>
  <si>
    <t>The cross, combining symbols of faith, hope, and charity (the gardians' trident), was designed in 1926 at the request of the Marquis de Baroncelli.</t>
  </si>
  <si>
    <t>The "courses de protection" are a series of races for what purpose?</t>
  </si>
  <si>
    <t>A) To protect the razeteurs, B) They are races for young, inexperienced bulls to learn the sport, C) They are charity events, D) They are races for retired bulls</t>
  </si>
  <si>
    <t>B) They are races for young, inexperienced bulls to learn the sport</t>
  </si>
  <si>
    <t>These are "protected" races where young bulls are introduced to the arena in a controlled way, without the pressure of the elite razeteurs.</t>
  </si>
  <si>
    <t>What is the "Musée des Cultures Taurines" (Museum of Bullfighting Cultures) in Nîmes?</t>
  </si>
  <si>
    <t>A) A museum dedicated only to Spanish bullfighting, B) A museum that documents the history of all forms of bull games in the region, including the Course Camarguaise, C) A museum of modern art, D) A natural history museum</t>
  </si>
  <si>
    <t>B) A museum that documents the history of all forms of bull games in the region, including the Course Camarguaise</t>
  </si>
  <si>
    <t>This museum is a key institution for the history of the sport, with exhibits on both the Spanish-style corrida and the local Course Camarguaise.</t>
  </si>
  <si>
    <t>What is the main reason that the razeteurs wear white trousers and shirts?</t>
  </si>
  <si>
    <t>A) It is a modern fashion trend, B) It makes them more visible to the bull and the judges, C) It is a tribute to the French flag, D) It is the color of the local football team</t>
  </si>
  <si>
    <t>B) It makes them more visible to the bull and the judges</t>
  </si>
  <si>
    <t>The bright white uniform provides a clear target for the bull's charge and helps the judges to see the action clearly.</t>
  </si>
  <si>
    <t>Who was "Sanglier," a famous figure in the sport's history?</t>
  </si>
  <si>
    <t>A) A legendary razeteur, B) A legendary bull, C) A famous manadier, D) A founder of the federation</t>
  </si>
  <si>
    <t>B) A legendary bull</t>
  </si>
  <si>
    <t>Sanglier ("Wild Boar") was one of the most famous and celebrated cocardiers of the mid-20th century.</t>
  </si>
  <si>
    <t>In the early 20th century, before the crochet was standardized, how did razeteurs sometimes remove the attributes?</t>
  </si>
  <si>
    <t>A) With their bare hands, B) With a small knife, C) With a comb, D) With their teeth</t>
  </si>
  <si>
    <t>A) With their bare hands</t>
  </si>
  <si>
    <t>Early razeteurs, known as levants (lifters), would attempt to snatch the cocarde with their bare hands, a much more dangerous technique.</t>
  </si>
  <si>
    <t>What is a fête votive?</t>
  </si>
  <si>
    <t>A) A national holiday, B) A local festival in honor of a village's patron saint, C) A music festival, D) A food festival</t>
  </si>
  <si>
    <t>B) A local festival in honor of a village's patron saint</t>
  </si>
  <si>
    <t>The Course Camarguaise is the central event of the annual fête votive in nearly every village in its home region.</t>
  </si>
  <si>
    <t>What is the historical reason for the close relationship between the Camargue horse and the Camargue bull?</t>
  </si>
  <si>
    <t>A) They are natural enemies, B) The semi-wild horses are used by the gardians to manage the semi-wild herds of bulls, C) They are the same species, D) They were bred together</t>
  </si>
  <si>
    <t>B) The semi-wild horses are used by the gardians to manage the semi-wild herds of bulls</t>
  </si>
  <si>
    <t>The entire culture is built around the partnership between the gardian and their horse, working together to herd the bulls across the marshes.</t>
  </si>
  <si>
    <t>What does it signify when a bull becomes a "star"?</t>
  </si>
  <si>
    <t>A) It attracts larger crowds and higher prizes for its attributes, B) It is retired from the sport, C) It is sold to a zoo, D) It is given a special diet</t>
  </si>
  <si>
    <t>A) It attracts larger crowds and higher prizes for its attributes</t>
  </si>
  <si>
    <t>The fame of a great bull is a major draw for spectators. The prize money (primes) offered for its attributes will increase dramatically as its reputation grows.</t>
  </si>
  <si>
    <t>A bull is praised for "anticipating" the razeteur. What does this mean?</t>
  </si>
  <si>
    <t>A) The bull can read the razeteur's body language and cut off their running path, B) The bull is psychic, C) The bull waits for the razeteur to get close, D) The bull runs away from the razeteur</t>
  </si>
  <si>
    <t>A) The bull can read the razeteur's body language and cut off their running path</t>
  </si>
  <si>
    <t>This is a mark of an intelligent cocardier. It learns to recognize the preliminary movements of the raset and moves to intercept the man.</t>
  </si>
  <si>
    <t>What is the historical significance of the Trident, the tool of the gardians?</t>
  </si>
  <si>
    <t>A) It is used as a weapon in the arena, B) It is a symbol of the gardians' authority and their connection to the land, C) It is a religious symbol, D) All of the above</t>
  </si>
  <si>
    <t>B) It is a symbol of the gardians' authority and their connection to the land</t>
  </si>
  <si>
    <t>The trident is the traditional tool used by the mounted herdsmen to guide their bulls, and it has become a powerful symbol of the Camargue itself.</t>
  </si>
  <si>
    <t>In the sport's history, what was the role of the poet Frédéric Mistral?</t>
  </si>
  <si>
    <t>A) He was a famous razeteur, B) He was the founder of the federation, C) He was a key figure in the Provençal cultural revival (Félibrige) which helped to preserve traditions like the Course Camarguaise, D) He wrote the official rulebook</t>
  </si>
  <si>
    <t>C) He was a key figure in the Provençal cultural revival (Félibrige) which helped to preserve traditions like the Course Camarguaise</t>
  </si>
  <si>
    <t>Mistral's work to preserve the Provençal language and culture in the 19th century created a climate where traditions like the bull games were valued and saved.</t>
  </si>
  <si>
    <t>A bull is retired from the arena and put out to pasture. How is this event often marked?</t>
  </si>
  <si>
    <t>A) With a quiet ceremony, B) With a final "jubilee" or farewell race in its honor, C) It is not marked, D) With a final branding</t>
  </si>
  <si>
    <t>B) With a final "farewell" or jubilee race in its honor</t>
  </si>
  <si>
    <t>A great cocardier is given a formal, celebratory farewell tour of the arenas where it became famous, applauded by the public for its career.</t>
  </si>
  <si>
    <t>What is the main reason that the sport has a very limited presence in northern France?</t>
  </si>
  <si>
    <t>A) The climate is unsuitable for the bulls, B) It is a deeply regional tradition with no historical roots in the north, C) It is banned in northern France, D) The arenas are too small</t>
  </si>
  <si>
    <t>B) It is a deeply regional tradition with no historical roots in the north</t>
  </si>
  <si>
    <t>The Course Camarguaise is a product of the unique culture, geography, and history of the Camargue region and has not been exported to other parts of France.</t>
  </si>
  <si>
    <t>A razeteur is known as a "left-hander" (gaucher). What is their main advantage?</t>
  </si>
  <si>
    <t>A) They are stronger, B) They approach the bull from an unusual angle, which can confuse the bull's defense, C) They are faster, D) They have better equipment</t>
  </si>
  <si>
    <t>B) They approach the bull from an unusual angle, which can confuse the bull's defense</t>
  </si>
  <si>
    <t>Just as in baseball or boxing, a left-hander presents a different and often more difficult challenge for the bull, who is more accustomed to right-handed razeteurs.</t>
  </si>
  <si>
    <t>What is the "Trophée de l'Avenir" (Trophy of the Future)?</t>
  </si>
  <si>
    <t>A) The main championship for elite razeteurs, B) The championship for young, up-and-coming razeteurs, C) A prize for the oldest razeteur, D) A prize for the best bull breeder</t>
  </si>
  <si>
    <t>B) The championship for young, up-and-coming razeteurs</t>
  </si>
  <si>
    <t>This is the major competition for the next generation of stars, a stepping stone to the elite "Trophée des As."</t>
  </si>
  <si>
    <t>A bull is praised for its "sense of the barrier." What does this mean?</t>
  </si>
  <si>
    <t>A) It is afraid of the barrier, B) It intelligently uses the barrier to corner a razeteur, C) It often tries to jump over the barrier, D) It stays in the center of the arena</t>
  </si>
  <si>
    <t>B) It intelligently uses the barrier to corner a razeteur</t>
  </si>
  <si>
    <t>A smart bull learns to use the geography of the arena, pinning the man against the wall to prevent him from escaping or taking an attribute.</t>
  </si>
  <si>
    <t>What is the historical origin of the ficelles (strings) as an attribute?</t>
  </si>
  <si>
    <t>A) They were the first attribute, B) They were added later to make the game more difficult and to increase the number of prizes, C) They are purely decorative, D) They are used to tie the cocarde on</t>
  </si>
  <si>
    <t>B) They were added later to make the game more difficult and to increase the number of prizes</t>
  </si>
  <si>
    <t>The strings, wrapped around the base of the horn, were introduced after the cocarde to add another layer of challenge and more opportunities for scoring.</t>
  </si>
  <si>
    <t>What does the term "Course libre" (free race), the old name for the sport, signify about its origins?</t>
  </si>
  <si>
    <t>A) That the bulls were free, B) That the event was free to attend, C) That it was an informal contest with few rules, open to any brave young man, D) That the razeteurs could use any weapon</t>
  </si>
  <si>
    <t>C) That it was an informal contest with few rules, open to any brave young man</t>
  </si>
  <si>
    <t>The name reflects its origins as a spontaneous and unregulated test of courage in the village square, before the modern federation was formed.</t>
  </si>
  <si>
    <t>What is the historical reason for the razeteur's reliance on agility over strength?</t>
  </si>
  <si>
    <t>A) The razeteurs were traditionally small men, B) The Camargue bull is fast and agile, not a large, slow target, C) It is a rule that you cannot be too strong, D) The crochet requires finesse, not power</t>
  </si>
  <si>
    <t>B) The Camargue bull is fast and agile, not a large, slow target</t>
  </si>
  <si>
    <t>The sport is a duel of speed and intelligence. A razeteur must be incredibly quick and agile to outmaneuver the athletic bull.</t>
  </si>
  <si>
    <t>What is the "Coupe des manadiers" (Breeders' Cup)?</t>
  </si>
  <si>
    <t>A) A race for the razeteurs, B) A competition where the breeders (manadiers) themselves compete, C) A prestigious tournament where herds (manades) compete against each other, D) A horse race</t>
  </si>
  <si>
    <t>C) A prestigious tournament where herds (manades) compete against each other</t>
  </si>
  <si>
    <t>This is a special competition where the pride of the different breeding ranches is on the line, showcasing the quality of their bulls.</t>
  </si>
  <si>
    <t>The modern, formal "Course Camarguaise" was largely shaped and codified in which century?</t>
  </si>
  <si>
    <t>A) The 18th century, B) The 19th century, C) The 20th century, D) The 21st century</t>
  </si>
  <si>
    <t>C) The 20th century</t>
  </si>
  <si>
    <t>While its origins are ancient, the sport as we know it today, with its formal rules, federations, and star system, is a product of the 20th century.</t>
  </si>
  <si>
    <t>What is the "raset de face"?</t>
  </si>
  <si>
    <t>A) A foul, B) A raset performed from the side, C) A dangerous, head-on approach to the bull, D) The final raset of the match</t>
  </si>
  <si>
    <t>C) A dangerous, head-on approach to the bull</t>
  </si>
  <si>
    <t>This is a particularly brave but risky maneuver where the razeteur runs directly at the bull from the front.</t>
  </si>
  <si>
    <t>The famous razeteur Christian Chomel is a legend in the sport. What is he known for?</t>
  </si>
  <si>
    <t>A) He was the first to wear a white uniform, B) He won the Cocarde d'Or a record number of times, C) He invented the crochet, D) He was a famous bull breeder</t>
  </si>
  <si>
    <t>B) He won the Cocarde d'Or a record number of times</t>
  </si>
  <si>
    <t>Chomel is one of the all-time greats, a dominant figure in the 1980s and 90s who won the most prestigious prize multiple times.</t>
  </si>
  <si>
    <t>What is the main difference between the abrivado and the Spanish encierro (running of the bulls)?</t>
  </si>
  <si>
    <t>A) The abrivado uses horses to guide the bulls, while the encierro has people running in front, B) The abrivado is more dangerous, C) The encierro is older, D) There is no difference</t>
  </si>
  <si>
    <t>A) The abrivado uses horses to guide the bulls, while the encierro has people running in front</t>
  </si>
  <si>
    <t>This is a key difference. The abrivado is a display of horsemanship, with gardians forming a V-shape to control the bulls, unlike the Pamplona-style run.</t>
  </si>
  <si>
    <t>A bull is praised for its "générosité" (generosity). What does this mean?</t>
  </si>
  <si>
    <t>A) Paris, B) Sète, C) Lyon, D) Arles</t>
  </si>
  <si>
    <t>D) Arles</t>
  </si>
  <si>
    <t>The 1402 document from Arles is the oldest known written record of a bull game in the region.</t>
  </si>
  <si>
    <t>The sport's history shows a clear evolution from the practical work of the ferrade (branding) into a complex and symbolic sporting ritual.</t>
  </si>
  <si>
    <t>B) With a final "jubilee" or farewell race in its honor</t>
  </si>
  <si>
    <t>A left-hander presents a different and often more difficult challenge for the bull, who is more accustomed to right-handed razeteurs.</t>
  </si>
  <si>
    <t>A team of razeteurs consists of the razeteur who attempts to take the attributes and whom?</t>
  </si>
  <si>
    <t>A) The coach, B) The agent, C) The tourneurs (turners), D) The sponsor</t>
  </si>
  <si>
    <t>C) The tourneurs (turners)</t>
  </si>
  <si>
    <t>The tourneurs are the assistants in the ring who work to position the bull correctly for the razeteur's run.</t>
  </si>
  <si>
    <t>What is the historical reason that the sport is deeply tied to the identity of the Camargue region?</t>
  </si>
  <si>
    <t>A) It is the only sport played there, B) It is based on the region's unique ecosystem of bulls, horses, and wetlands, C) It was invented by a famous person from the Camargue, D) It is a major source of income</t>
  </si>
  <si>
    <t>B) It is based on the region's unique ecosystem of bulls, horses, and wetlands</t>
  </si>
  <si>
    <t>The sport is a direct cultural product of the unique environment of the Camargue delta and the traditional way of life of its people.</t>
  </si>
  <si>
    <t>A bull that is exceptionally good at defending its attributes and challenging the razeteurs is often given what title?</t>
  </si>
  <si>
    <t>A) A champion, B) A cocardier, C) A star, D) A legend</t>
  </si>
  <si>
    <t>B) A cocardier</t>
  </si>
  <si>
    <t>What is the historical significance of the razeteur's all-white uniform?</t>
  </si>
  <si>
    <t>A) It was the standard color for all French sports, B) It evolved from the simple, practical work clothes of the 19th-century farmhands who were the first to play, C) It symbolizes a truce with the bull, D) It was chosen by the first federation</t>
  </si>
  <si>
    <t>B) It evolved from the simple, practical work clothes of the 19th-century farmhands who were the first to play</t>
  </si>
  <si>
    <t>The white attire originated from the everyday clothing of the rural workers who first began the sport.</t>
  </si>
  <si>
    <t>What is the "Trophée des As"?</t>
  </si>
  <si>
    <t>A) A special prize for the best bull, B) The most prestigious, season-long championship for the elite razeteurs, C) A tournament for retired razeteurs, D) A card game played at festivals</t>
  </si>
  <si>
    <t>B) The most prestigious, season-long championship for the elite razeteurs</t>
  </si>
  <si>
    <t>This "Trophy of the Aces" is the top-tier competition that crowns the best razeteur of the year.</t>
  </si>
  <si>
    <t>The first formal, written rules for the sport were created in what period?</t>
  </si>
  <si>
    <t>A) The 15th century, B) The 18th century, C) The late 19th and early 20th century, D) The 1960s</t>
  </si>
  <si>
    <t>C) The late 19th and early 20th century</t>
  </si>
  <si>
    <t>The codification of the rules was a key part of the movement led by figures like the Marquis de Baroncelli to preserve and modernize the tradition.</t>
  </si>
  <si>
    <t>A bull's career is celebrated, and after retirement, it is returned to the pasture to live out its life. What does this show about the sport's philosophy?</t>
  </si>
  <si>
    <t>A) That the bulls are valuable, B) That the bull is respected as an athlete and the hero of the sport, not an animal to be sacrificed, C) That the breeders are wealthy, D) That the bulls are too old to be useful</t>
  </si>
  <si>
    <t>B) That the bull is respected as an athlete and the hero of the sport, not an animal to be sacrificed</t>
  </si>
  <si>
    <t>This is the central ethos of the Course Camarguaise, which fundamentally distinguishes it from Spanish-style bullfighting.</t>
  </si>
  <si>
    <t>What is the crochet?</t>
  </si>
  <si>
    <t>A) A defensive move, B) The metal hook worn on the razeteur's hand to snatch the attributes, C) The bull's horn, D) The barrier of the arena</t>
  </si>
  <si>
    <t>B) The metal hook worn on the razeteur's hand to snatch the attributes</t>
  </si>
  <si>
    <t>This unique tool is the instrument used by the razeteur to perform the delicate and dangerous task of cutting the strings.</t>
  </si>
  <si>
    <t>The culture of the gardians (Camargue cowboys) is central to the sport. What is their most important annual event?</t>
  </si>
  <si>
    <t>A) The Course Camarguaise, B) The branding of the foals, C) The Festival of Abrivado in Arles, D) The election of their captain</t>
  </si>
  <si>
    <t>C) The Festival of Abrivado in Arles</t>
  </si>
  <si>
    <t>This festival is a major celebration of gardian culture, featuring spectacular displays of horsemanship in the streets.</t>
  </si>
  <si>
    <t>What is the significance of a bull having its own statue in a village?</t>
  </si>
  <si>
    <t>A) It is a common practice for all bulls, B) It is the highest honor, reserved for only the most legendary and beloved bulls, C) It marks the bull's grave, D) It is a tourist attraction</t>
  </si>
  <si>
    <t>B) It is the highest honor, reserved for only the most legendary and beloved bulls</t>
  </si>
  <si>
    <t>A statue is a permanent tribute to a bull that has achieved heroic status in the eyes of the community, a rare and significant honor.</t>
  </si>
  <si>
    <t>What is the name of the prestigious tournament held every July in the Roman arena of Arles?</t>
  </si>
  <si>
    <t>A) The Biòu d'Or, B) The Trophée des As, C) The Cocarde d'Or, D) The Palme d'Or</t>
  </si>
  <si>
    <t>C) The Cocarde d'Or</t>
  </si>
  <si>
    <t>The "Golden Cocarde," first held in 1928, is one of the "big three" major tournaments of the season.</t>
  </si>
  <si>
    <t>The Marquis de Baroncelli was a key figure in what broader cultural movement?</t>
  </si>
  <si>
    <t>A) The French Renaissance, B) The Félibrige, a movement to preserve the Provençal language and culture, C) The Surrealist movement, D) The French Revolution</t>
  </si>
  <si>
    <t>B) The Félibrige, a movement to preserve the Provençal language and culture</t>
  </si>
  <si>
    <t>His work to save the Course Camarguaise was part of a wider effort to protect the unique cultural identity of the south of France.</t>
  </si>
  <si>
    <t>What is a "biòu"?</t>
  </si>
  <si>
    <t>A) A razeteur, B) The bull, in the local Provençal language, C) The arena, D) The prize</t>
  </si>
  <si>
    <t>B) The bull, in the local Provençal language</t>
  </si>
  <si>
    <t>Biòu is the Occitan/Provençal word for bull, and it is the term used by all enthusiasts of the sport.</t>
  </si>
  <si>
    <t>What is the main reason that the sport has a very limited presence outside of its home region in the south of France?</t>
  </si>
  <si>
    <t>A) It is banned elsewhere, B) It is a deeply regional tradition tied to a specific breed of bull and local culture, C) The equipment is too difficult to make, D) Other French people do not like the sport</t>
  </si>
  <si>
    <t>B) It is a deeply regional tradition tied to a specific breed of bull and local culture</t>
  </si>
  <si>
    <t>The Course Camarguaise is a product of the unique culture and geography of the Camargue, and it has not been successfully exported.</t>
  </si>
  <si>
    <t>What is the historical reason for the razeteurs' reliance on agility over strength?</t>
  </si>
  <si>
    <t>A bull is praised for its "intelligence." What does this mean in the context of the arena?</t>
  </si>
  <si>
    <t>A) It can solve puzzles, B) It learns from the razeteurs' attacks and anticipates their movements, C) It can recognize its owner in the crowd, D) It is a very calm and docile bull</t>
  </si>
  <si>
    <t>The "courses de protection" are a series of races held for what purpose?</t>
  </si>
  <si>
    <t>A) To protect the razeteurs from injury, B) They are races for young, inexperienced bulls to learn the sport in a controlled environment, C) They are charity events to raise money, D) They are races for retired bulls to participate in</t>
  </si>
  <si>
    <t>B) They are races for young, inexperienced bulls to learn the sport in a controlled environment</t>
  </si>
  <si>
    <t>A bull is retired from the arena and put out to pasture. How is this event often marked by the community?</t>
  </si>
  <si>
    <t>A) With a quiet ceremony, B) With a final "jubilee" or farewell race in its honor, C) It is not marked in any special way, D) With a final branding ceremony</t>
  </si>
  <si>
    <t>A great cocardier is given a formal, celebratory farewell tour of the arenas where it became famous, applauded by the public for its long and brave career.</t>
  </si>
  <si>
    <t>In its essence, the history of the Course Camarguaise is the story of what?</t>
  </si>
  <si>
    <t>A) A professional sport's rise and fall, B) The evolution of a local folk game into an organized modern sport, C) A conflict between France and Spain, D) A forgotten ancient game</t>
  </si>
  <si>
    <t>B) The evolution of a local folk game into an organized modern sport</t>
  </si>
  <si>
    <t>The sport's journey from informal village games to a structured sport with federations and championships is a classic example of a folk tradition's modernization.</t>
  </si>
  <si>
    <t>A) The abrivado uses horses to guide the bulls, while the encierro has people running in front, B) The abrivado is more dangerous for the public, C) The encierro is an older tradition, D) There is no real difference</t>
  </si>
  <si>
    <t>A) The bulls, B) The razeteurs, C) The breeders (manadiers), D) The referees and judges</t>
  </si>
  <si>
    <t>This is the elite, season-long championship that determines the best razeteur of the year, equivalent to a league title.</t>
  </si>
  <si>
    <t>A) A defensive move used by the razeteur, B) The metal hook worn on the razeteur's hand to snatch the attributes, C) The bull's horn, D) The barrier of the arena</t>
  </si>
  <si>
    <t>This unique tool is the instrument used by the razeteur to perform the delicate and dangerous task of cutting the strings on the bull's horns.</t>
  </si>
  <si>
    <t>This festival is a major celebration of gardian culture, featuring spectacular displays of horsemanship in the streets of Arles.</t>
  </si>
  <si>
    <t>A) It is a common practice for all bulls that compete, B) It is the highest honor, reserved for only the most legendary and beloved bulls, C) It marks the location of the bull's grave, D) It is primarily a tourist attraction</t>
  </si>
  <si>
    <t>A team of razeteurs consists of the main razeteur and which other role?</t>
  </si>
  <si>
    <t>The tourneurs are the assistants in the ring who work to position the bull correctly for the razeteur's run, a crucial part of the team strategy.</t>
  </si>
  <si>
    <t>The sport is a direct cultural product of the unique environment of the Camargue. What is this environment?</t>
  </si>
  <si>
    <t>A) A mountainous region, B) A dense forest, C) A vast river delta and wetland, D) A dry desert</t>
  </si>
  <si>
    <t>C) A vast river delta and wetland</t>
  </si>
  <si>
    <t>The entire tradition is shaped by the unique landscape of the Camargue and the semi-wild animals that inhabit it.</t>
  </si>
  <si>
    <t>The Trophée des As is a championship for the razeteurs. What is the equivalent championship for the bulls?</t>
  </si>
  <si>
    <t>A) The Cocarde d'Or, B) The Biòu d'Or, C) The Palme d'Or, D) There is no championship for bulls</t>
  </si>
  <si>
    <t>B) The Biòu d'Or</t>
  </si>
  <si>
    <t>The "Golden Bull" is the most prestigious award for a bull, decided by a vote of judges at the end of the season.</t>
  </si>
  <si>
    <t>A bull is retired from the arena and put out to pasture. What does this show about the sport's philosophy?</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</si>
</sst>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bottom" wrapText="0"/>
    </xf>
    <xf borderId="0" fillId="0" fontId="1" numFmtId="0" xfId="0" applyAlignment="1" applyFont="1">
      <alignment horizontal="left" readingOrder="0" shrinkToFit="0" vertical="bottom" wrapText="0"/>
    </xf>
    <xf borderId="0" fillId="0" fontId="2" numFmtId="0" xfId="0" applyAlignment="1" applyFont="1">
      <alignment horizontal="left" readingOrder="0" shrinkToFit="0" vertical="center" wrapText="0"/>
    </xf>
    <xf borderId="0" fillId="0" fontId="1" numFmtId="0" xfId="0" applyAlignment="1" applyFont="1">
      <alignment horizontal="right" shrinkToFit="0" vertical="bottom" wrapText="0"/>
    </xf>
    <xf borderId="0" fillId="0" fontId="1" numFmtId="0" xfId="0" applyAlignment="1" applyFont="1">
      <alignment shrinkToFit="0" vertical="bottom" wrapText="0"/>
    </xf>
    <xf borderId="0" fillId="0" fontId="2" numFmtId="0" xfId="0" applyAlignment="1" applyFont="1">
      <alignment shrinkToFit="0" vertical="center" wrapText="0"/>
    </xf>
    <xf borderId="0" fillId="0" fontId="2" numFmtId="0" xfId="0"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0">
    <tableStyle count="4" pivot="0" name="Nautical_Jousting-style">
      <tableStyleElement dxfId="1" type="headerRow"/>
      <tableStyleElement dxfId="2" type="firstRowStripe"/>
      <tableStyleElement dxfId="3" type="secondRowStripe"/>
      <tableStyleElement dxfId="4" size="0" type="wholeTable"/>
    </tableStyle>
    <tableStyle count="4" pivot="0" name="Nautical_Jousting-style 2">
      <tableStyleElement dxfId="1" type="headerRow"/>
      <tableStyleElement dxfId="2" type="firstRowStripe"/>
      <tableStyleElement dxfId="3" type="secondRowStripe"/>
      <tableStyleElement dxfId="4" size="0" type="wholeTable"/>
    </tableStyle>
    <tableStyle count="4" pivot="0" name="Tambourin-style">
      <tableStyleElement dxfId="1" type="headerRow"/>
      <tableStyleElement dxfId="2" type="firstRowStripe"/>
      <tableStyleElement dxfId="3" type="secondRowStripe"/>
      <tableStyleElement dxfId="4" size="0" type="wholeTable"/>
    </tableStyle>
    <tableStyle count="4" pivot="0" name="Tambourin-style 2">
      <tableStyleElement dxfId="1" type="headerRow"/>
      <tableStyleElement dxfId="2" type="firstRowStripe"/>
      <tableStyleElement dxfId="3" type="secondRowStripe"/>
      <tableStyleElement dxfId="4" size="0" type="wholeTable"/>
    </tableStyle>
    <tableStyle count="4" pivot="0" name="Pelota-style">
      <tableStyleElement dxfId="1" type="headerRow"/>
      <tableStyleElement dxfId="2" type="firstRowStripe"/>
      <tableStyleElement dxfId="3" type="secondRowStripe"/>
      <tableStyleElement dxfId="4" size="0" type="wholeTable"/>
    </tableStyle>
    <tableStyle count="4" pivot="0" name="Pelota-style 2">
      <tableStyleElement dxfId="1" type="headerRow"/>
      <tableStyleElement dxfId="2" type="firstRowStripe"/>
      <tableStyleElement dxfId="3" type="secondRowStripe"/>
      <tableStyleElement dxfId="4" size="0" type="wholeTable"/>
    </tableStyle>
    <tableStyle count="4" pivot="0" name="Gouren-style">
      <tableStyleElement dxfId="1" type="headerRow"/>
      <tableStyleElement dxfId="2" type="firstRowStripe"/>
      <tableStyleElement dxfId="3" type="secondRowStripe"/>
      <tableStyleElement dxfId="4" size="0" type="wholeTable"/>
    </tableStyle>
    <tableStyle count="4" pivot="0" name="Gouren-style 2">
      <tableStyleElement dxfId="1" type="headerRow"/>
      <tableStyleElement dxfId="2" type="firstRowStripe"/>
      <tableStyleElement dxfId="3" type="secondRowStripe"/>
      <tableStyleElement dxfId="4" size="0" type="wholeTable"/>
    </tableStyle>
    <tableStyle count="4" pivot="0" name="Camarague-style">
      <tableStyleElement dxfId="1" type="headerRow"/>
      <tableStyleElement dxfId="2" type="firstRowStripe"/>
      <tableStyleElement dxfId="3" type="secondRowStripe"/>
      <tableStyleElement dxfId="4" size="0" type="wholeTable"/>
    </tableStyle>
    <tableStyle count="4" pivot="0" name="Camarague-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E151" displayName="Table1" name="Table1" id="1">
  <tableColumns count="5">
    <tableColumn name="No." id="1"/>
    <tableColumn name="Question" id="2"/>
    <tableColumn name="Options" id="3"/>
    <tableColumn name="Answer" id="4"/>
    <tableColumn name="Description" id="5"/>
  </tableColumns>
  <tableStyleInfo name="Nautical_Jousting-style" showColumnStripes="0" showFirstColumn="1" showLastColumn="1" showRowStripes="1"/>
</table>
</file>

<file path=xl/tables/table2.xml><?xml version="1.0" encoding="utf-8"?>
<table xmlns="http://schemas.openxmlformats.org/spreadsheetml/2006/main" ref="G1:K151" displayName="Table2" name="Table2" id="2">
  <tableColumns count="5">
    <tableColumn name="n°" id="1"/>
    <tableColumn name="Question2" id="2"/>
    <tableColumn name="Options2" id="3"/>
    <tableColumn name="Répondre" id="4"/>
    <tableColumn name="Description" id="5"/>
  </tableColumns>
  <tableStyleInfo name="Nautical_Jousting-style 2" showColumnStripes="0" showFirstColumn="1" showLastColumn="1" showRowStripes="1"/>
</table>
</file>

<file path=xl/tables/table3.xml><?xml version="1.0" encoding="utf-8"?>
<table xmlns="http://schemas.openxmlformats.org/spreadsheetml/2006/main" ref="A1:E151" displayName="Table3" name="Table3" id="3">
  <tableColumns count="5">
    <tableColumn name="No." id="1"/>
    <tableColumn name="Question" id="2"/>
    <tableColumn name="Options" id="3"/>
    <tableColumn name="Answer" id="4"/>
    <tableColumn name="Description" id="5"/>
  </tableColumns>
  <tableStyleInfo name="Tambourin-style" showColumnStripes="0" showFirstColumn="1" showLastColumn="1" showRowStripes="1"/>
</table>
</file>

<file path=xl/tables/table4.xml><?xml version="1.0" encoding="utf-8"?>
<table xmlns="http://schemas.openxmlformats.org/spreadsheetml/2006/main" ref="G1:K151" displayName="Table4" name="Table4" id="4">
  <tableColumns count="5">
    <tableColumn name="n°" id="1"/>
    <tableColumn name="Question2" id="2"/>
    <tableColumn name="Options2" id="3"/>
    <tableColumn name="Répondre" id="4"/>
    <tableColumn name="Description" id="5"/>
  </tableColumns>
  <tableStyleInfo name="Tambourin-style 2" showColumnStripes="0" showFirstColumn="1" showLastColumn="1" showRowStripes="1"/>
</table>
</file>

<file path=xl/tables/table5.xml><?xml version="1.0" encoding="utf-8"?>
<table xmlns="http://schemas.openxmlformats.org/spreadsheetml/2006/main" ref="A1:E151" displayName="Table5" name="Table5" id="5">
  <tableColumns count="5">
    <tableColumn name="No." id="1"/>
    <tableColumn name="Question" id="2"/>
    <tableColumn name="Options" id="3"/>
    <tableColumn name="Answer" id="4"/>
    <tableColumn name="Description" id="5"/>
  </tableColumns>
  <tableStyleInfo name="Pelota-style" showColumnStripes="0" showFirstColumn="1" showLastColumn="1" showRowStripes="1"/>
</table>
</file>

<file path=xl/tables/table6.xml><?xml version="1.0" encoding="utf-8"?>
<table xmlns="http://schemas.openxmlformats.org/spreadsheetml/2006/main" ref="G1:K151" displayName="Table6" name="Table6" id="6">
  <tableColumns count="5">
    <tableColumn name="n°" id="1"/>
    <tableColumn name="Question2" id="2"/>
    <tableColumn name="Options2" id="3"/>
    <tableColumn name="Répondre" id="4"/>
    <tableColumn name="Description" id="5"/>
  </tableColumns>
  <tableStyleInfo name="Pelota-style 2" showColumnStripes="0" showFirstColumn="1" showLastColumn="1" showRowStripes="1"/>
</table>
</file>

<file path=xl/tables/table7.xml><?xml version="1.0" encoding="utf-8"?>
<table xmlns="http://schemas.openxmlformats.org/spreadsheetml/2006/main" ref="A1:E151" displayName="Table7" name="Table7" id="7">
  <tableColumns count="5">
    <tableColumn name="No." id="1"/>
    <tableColumn name="Question" id="2"/>
    <tableColumn name="Options" id="3"/>
    <tableColumn name="Answer" id="4"/>
    <tableColumn name="Description" id="5"/>
  </tableColumns>
  <tableStyleInfo name="Gouren-style" showColumnStripes="0" showFirstColumn="1" showLastColumn="1" showRowStripes="1"/>
</table>
</file>

<file path=xl/tables/table8.xml><?xml version="1.0" encoding="utf-8"?>
<table xmlns="http://schemas.openxmlformats.org/spreadsheetml/2006/main" ref="G1:K151" displayName="Table8" name="Table8" id="8">
  <tableColumns count="5">
    <tableColumn name="n°" id="1"/>
    <tableColumn name="Question2" id="2"/>
    <tableColumn name="Options2" id="3"/>
    <tableColumn name="Répondre" id="4"/>
    <tableColumn name="Description" id="5"/>
  </tableColumns>
  <tableStyleInfo name="Gouren-style 2" showColumnStripes="0" showFirstColumn="1" showLastColumn="1" showRowStripes="1"/>
</table>
</file>

<file path=xl/tables/table9.xml><?xml version="1.0" encoding="utf-8"?>
<table xmlns="http://schemas.openxmlformats.org/spreadsheetml/2006/main" ref="A1:E151" displayName="Table9" name="Table9" id="9">
  <tableColumns count="5">
    <tableColumn name="No." id="1"/>
    <tableColumn name="Question" id="2"/>
    <tableColumn name="Options" id="3"/>
    <tableColumn name="Answer" id="4"/>
    <tableColumn name="Description" id="5"/>
  </tableColumns>
  <tableStyleInfo name="Camarague-style" showColumnStripes="0" showFirstColumn="1" showLastColumn="1" showRowStripes="1"/>
</table>
</file>

<file path=xl/tables/table10.xml><?xml version="1.0" encoding="utf-8"?>
<table xmlns="http://schemas.openxmlformats.org/spreadsheetml/2006/main" ref="G1:K151" displayName="Table10" name="Table10" id="10">
  <tableColumns count="5">
    <tableColumn name="n°" id="1"/>
    <tableColumn name="Question2" id="2"/>
    <tableColumn name="Options2" id="3"/>
    <tableColumn name="Répondre" id="4"/>
    <tableColumn name="Description" id="5"/>
  </tableColumns>
  <tableStyleInfo name="Camarague-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3.xml"/><Relationship Id="rId5"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5.xml"/><Relationship Id="rId5" Type="http://schemas.openxmlformats.org/officeDocument/2006/relationships/table" Target="../tables/table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7.xml"/><Relationship Id="rId5" Type="http://schemas.openxmlformats.org/officeDocument/2006/relationships/table" Target="../tables/table8.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9.xml"/><Relationship Id="rId5"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5" width="37.63"/>
    <col customWidth="1" min="7" max="7" width="14.13"/>
    <col customWidth="1" min="8" max="9" width="37.63"/>
    <col customWidth="1" min="10" max="10" width="29.63"/>
    <col customWidth="1" min="11" max="11" width="37.63"/>
  </cols>
  <sheetData>
    <row r="1" ht="22.5" customHeight="1">
      <c r="A1" s="1" t="s">
        <v>0</v>
      </c>
      <c r="B1" s="2" t="s">
        <v>1</v>
      </c>
      <c r="C1" s="2" t="s">
        <v>2</v>
      </c>
      <c r="D1" s="2" t="s">
        <v>3</v>
      </c>
      <c r="E1" s="2" t="s">
        <v>4</v>
      </c>
      <c r="G1" s="3" t="s">
        <v>5</v>
      </c>
      <c r="H1" s="3" t="s">
        <v>6</v>
      </c>
      <c r="I1" s="3" t="s">
        <v>7</v>
      </c>
      <c r="J1" s="3" t="s">
        <v>8</v>
      </c>
      <c r="K1" s="3" t="s">
        <v>4</v>
      </c>
    </row>
    <row r="2" ht="22.5" customHeight="1">
      <c r="A2" s="4">
        <v>1.0</v>
      </c>
      <c r="B2" s="5" t="s">
        <v>9</v>
      </c>
      <c r="C2" s="5" t="s">
        <v>10</v>
      </c>
      <c r="D2" s="5" t="s">
        <v>11</v>
      </c>
      <c r="E2" s="5" t="s">
        <v>12</v>
      </c>
      <c r="G2" s="6" t="str">
        <f>IFERROR(__xludf.DUMMYFUNCTION("GOOGLETRANSLATE(A2, ""en"", ""fr"")"),"1")</f>
        <v>1</v>
      </c>
      <c r="H2" s="6" t="str">
        <f>IFERROR(__xludf.DUMMYFUNCTION("GOOGLETRANSLATE(B2, ""en"", ""fr"")"),"Dans quelle civilisation antique les plus anciennes représentations connues de joutes nautiques ont-elles été découvertes ?")</f>
        <v>Dans quelle civilisation antique les plus anciennes représentations connues de joutes nautiques ont-elles été découvertes ?</v>
      </c>
      <c r="I2" s="6" t="str">
        <f>IFERROR(__xludf.DUMMYFUNCTION("GOOGLETRANSLATE(C2, ""en"", ""fr"")"),"A) La Grèce antique, B) La Rome antique, C) L'Égypte antique, D) La Chine antique")</f>
        <v>A) La Grèce antique, B) La Rome antique, C) L'Égypte antique, D) La Chine antique</v>
      </c>
      <c r="J2" s="6" t="str">
        <f>IFERROR(__xludf.DUMMYFUNCTION("GOOGLETRANSLATE(D2, ""en"", ""fr"")"),"C) L'Égypte antique")</f>
        <v>C) L'Égypte antique</v>
      </c>
      <c r="K2" s="6" t="str">
        <f>IFERROR(__xludf.DUMMYFUNCTION("GOOGLETRANSLATE(E2, ""en"", ""fr"")"),"Des bas-reliefs dans des tombes de Saqqara, datant d'environ 2700 avant J.-C., montrent des bateliers égyptiens s'affrontant en joutes à l'aide de perches sur le Nil.")</f>
        <v>Des bas-reliefs dans des tombes de Saqqara, datant d'environ 2700 avant J.-C., montrent des bateliers égyptiens s'affrontant en joutes à l'aide de perches sur le Nil.</v>
      </c>
    </row>
    <row r="3" ht="22.5" customHeight="1">
      <c r="A3" s="4">
        <v>2.0</v>
      </c>
      <c r="B3" s="5" t="s">
        <v>13</v>
      </c>
      <c r="C3" s="5" t="s">
        <v>14</v>
      </c>
      <c r="D3" s="5" t="s">
        <v>15</v>
      </c>
      <c r="E3" s="5" t="s">
        <v>16</v>
      </c>
      <c r="G3" s="6" t="str">
        <f>IFERROR(__xludf.DUMMYFUNCTION("GOOGLETRANSLATE(A3, ""en"", ""fr"")"),"2")</f>
        <v>2</v>
      </c>
      <c r="H3" s="6" t="str">
        <f>IFERROR(__xludf.DUMMYFUNCTION("GOOGLETRANSLATE(B3, ""en"", ""fr"")"),"Le sport français moderne des joutes nautiques est le plus souvent et traditionnellement associé à quelle ville ?")</f>
        <v>Le sport français moderne des joutes nautiques est le plus souvent et traditionnellement associé à quelle ville ?</v>
      </c>
      <c r="I3" s="6" t="str">
        <f>IFERROR(__xludf.DUMMYFUNCTION("GOOGLETRANSLATE(C3, ""en"", ""fr"")"),"A) Marseille, B) Paris, C) Lyon, D) Sète")</f>
        <v>A) Marseille, B) Paris, C) Lyon, D) Sète</v>
      </c>
      <c r="J3" s="6" t="str">
        <f>IFERROR(__xludf.DUMMYFUNCTION("GOOGLETRANSLATE(D3, ""en"", ""fr"")"),"D) Sète")</f>
        <v>D) Sète</v>
      </c>
      <c r="K3" s="6" t="str">
        <f>IFERROR(__xludf.DUMMYFUNCTION("GOOGLETRANSLATE(E3, ""en"", ""fr"")"),"La ville portuaire de Sète, dans le département de l'Hérault, est considérée comme la capitale de la méthode languedocienne de joutes nautiques.")</f>
        <v>La ville portuaire de Sète, dans le département de l'Hérault, est considérée comme la capitale de la méthode languedocienne de joutes nautiques.</v>
      </c>
    </row>
    <row r="4" ht="22.5" customHeight="1">
      <c r="A4" s="4">
        <v>3.0</v>
      </c>
      <c r="B4" s="5" t="s">
        <v>17</v>
      </c>
      <c r="C4" s="5" t="s">
        <v>18</v>
      </c>
      <c r="D4" s="5" t="s">
        <v>19</v>
      </c>
      <c r="E4" s="5" t="s">
        <v>20</v>
      </c>
      <c r="G4" s="6" t="str">
        <f>IFERROR(__xludf.DUMMYFUNCTION("GOOGLETRANSLATE(A4, ""en"", ""fr"")"),"3")</f>
        <v>3</v>
      </c>
      <c r="H4" s="6" t="str">
        <f>IFERROR(__xludf.DUMMYFUNCTION("GOOGLETRANSLATE(B4, ""en"", ""fr"")"),"Quel est le nom du plus célèbre festival de joutes nautiques, créé à Sète en 1666 ?")</f>
        <v>Quel est le nom du plus célèbre festival de joutes nautiques, créé à Sète en 1666 ?</v>
      </c>
      <c r="I4" s="6" t="str">
        <f>IFERROR(__xludf.DUMMYFUNCTION("GOOGLETRANSLATE(C4, ""en"", ""fr"")"),"A) Le Championnat de Sète, B) Le Tournoi de la Gold Cup, C) Le Festival de Saint-Louis, D) Le Festival Nautique du Languedoc")</f>
        <v>A) Le Championnat de Sète, B) Le Tournoi de la Gold Cup, C) Le Festival de Saint-Louis, D) Le Festival Nautique du Languedoc</v>
      </c>
      <c r="J4" s="6" t="str">
        <f>IFERROR(__xludf.DUMMYFUNCTION("GOOGLETRANSLATE(D4, ""en"", ""fr"")"),"C) Le festival de Saint-Louis")</f>
        <v>C) Le festival de Saint-Louis</v>
      </c>
      <c r="K4" s="6" t="str">
        <f>IFERROR(__xludf.DUMMYFUNCTION("GOOGLETRANSLATE(E4, ""en"", ""fr"")"),"Les Fêtes de la Saint-Louis sont une fête majeure célébrant le saint patron de la ville, avec le tournoi de joutes comme événement principal.")</f>
        <v>Les Fêtes de la Saint-Louis sont une fête majeure célébrant le saint patron de la ville, avec le tournoi de joutes comme événement principal.</v>
      </c>
    </row>
    <row r="5" ht="22.5" customHeight="1">
      <c r="A5" s="4">
        <v>4.0</v>
      </c>
      <c r="B5" s="5" t="s">
        <v>21</v>
      </c>
      <c r="C5" s="5" t="s">
        <v>22</v>
      </c>
      <c r="D5" s="5" t="s">
        <v>23</v>
      </c>
      <c r="E5" s="5" t="s">
        <v>24</v>
      </c>
      <c r="G5" s="6" t="str">
        <f>IFERROR(__xludf.DUMMYFUNCTION("GOOGLETRANSLATE(A5, ""en"", ""fr"")"),"4")</f>
        <v>4</v>
      </c>
      <c r="H5" s="6" t="str">
        <f>IFERROR(__xludf.DUMMYFUNCTION("GOOGLETRANSLATE(B5, ""en"", ""fr"")"),"La création du Festival de Saint-Louis en 1666 visait à célébrer quel événement historique majeur ?")</f>
        <v>La création du Festival de Saint-Louis en 1666 visait à célébrer quel événement historique majeur ?</v>
      </c>
      <c r="I5" s="6" t="str">
        <f>IFERROR(__xludf.DUMMYFUNCTION("GOOGLETRANSLATE(C5, ""en"", ""fr"")"),"A) Un mariage royal, B) Une victoire militaire, C) La fondation du port de Sète, D) Une fête religieuse")</f>
        <v>A) Un mariage royal, B) Une victoire militaire, C) La fondation du port de Sète, D) Une fête religieuse</v>
      </c>
      <c r="J5" s="6" t="str">
        <f>IFERROR(__xludf.DUMMYFUNCTION("GOOGLETRANSLATE(D5, ""en"", ""fr"")"),"C) La fondation du port de Sète")</f>
        <v>C) La fondation du port de Sète</v>
      </c>
      <c r="K5" s="6" t="str">
        <f>IFERROR(__xludf.DUMMYFUNCTION("GOOGLETRANSLATE(E5, ""en"", ""fr"")"),"Le festival et son tournoi ont été inaugurés pour célébrer la création du port, un terminal clé du Canal du Midi.")</f>
        <v>Le festival et son tournoi ont été inaugurés pour célébrer la création du port, un terminal clé du Canal du Midi.</v>
      </c>
    </row>
    <row r="6" ht="22.5" customHeight="1">
      <c r="A6" s="4">
        <v>5.0</v>
      </c>
      <c r="B6" s="5" t="s">
        <v>25</v>
      </c>
      <c r="C6" s="5" t="s">
        <v>26</v>
      </c>
      <c r="D6" s="5" t="s">
        <v>27</v>
      </c>
      <c r="E6" s="5" t="s">
        <v>28</v>
      </c>
      <c r="G6" s="6" t="str">
        <f>IFERROR(__xludf.DUMMYFUNCTION("GOOGLETRANSLATE(A6, ""en"", ""fr"")"),"5")</f>
        <v>5</v>
      </c>
      <c r="H6" s="6" t="str">
        <f>IFERROR(__xludf.DUMMYFUNCTION("GOOGLETRANSLATE(B6, ""en"", ""fr"")"),"La première mention documentée de joutes nautiques en France date de 1170 et décrit un tournoi dans quelle ville ?")</f>
        <v>La première mention documentée de joutes nautiques en France date de 1170 et décrit un tournoi dans quelle ville ?</v>
      </c>
      <c r="I6" s="6" t="str">
        <f>IFERROR(__xludf.DUMMYFUNCTION("GOOGLETRANSLATE(C6, ""en"", ""fr"")"),"A) Paris, B) Sète, C) Marseille, D) Lyon")</f>
        <v>A) Paris, B) Sète, C) Marseille, D) Lyon</v>
      </c>
      <c r="J6" s="6" t="str">
        <f>IFERROR(__xludf.DUMMYFUNCTION("GOOGLETRANSLATE(D6, ""en"", ""fr"")"),"D) Lyon")</f>
        <v>D) Lyon</v>
      </c>
      <c r="K6" s="6" t="str">
        <f>IFERROR(__xludf.DUMMYFUNCTION("GOOGLETRANSLATE(E6, ""en"", ""fr"")"),"Une chronique de 1170 décrit des tournois de joutes organisés sur la Saône à Lyon, ce qui en fait l'un des plus anciens sites recensés pour ce sport en France.")</f>
        <v>Une chronique de 1170 décrit des tournois de joutes organisés sur la Saône à Lyon, ce qui en fait l'un des plus anciens sites recensés pour ce sport en France.</v>
      </c>
    </row>
    <row r="7" ht="22.5" customHeight="1">
      <c r="A7" s="4">
        <v>6.0</v>
      </c>
      <c r="B7" s="5" t="s">
        <v>29</v>
      </c>
      <c r="C7" s="5" t="s">
        <v>30</v>
      </c>
      <c r="D7" s="5" t="s">
        <v>31</v>
      </c>
      <c r="E7" s="5" t="s">
        <v>32</v>
      </c>
      <c r="G7" s="6" t="str">
        <f>IFERROR(__xludf.DUMMYFUNCTION("GOOGLETRANSLATE(A7, ""en"", ""fr"")"),"6")</f>
        <v>6</v>
      </c>
      <c r="H7" s="6" t="str">
        <f>IFERROR(__xludf.DUMMYFUNCTION("GOOGLETRANSLATE(B7, ""en"", ""fr"")"),"Une chronique historique de 1270 mentionne des joutes nautiques organisées pour les croisés de quel roi français ?")</f>
        <v>Une chronique historique de 1270 mentionne des joutes nautiques organisées pour les croisés de quel roi français ?</v>
      </c>
      <c r="I7" s="6" t="str">
        <f>IFERROR(__xludf.DUMMYFUNCTION("GOOGLETRANSLATE(C7, ""en"", ""fr"")"),"A) Philippe II, B) Louis IX (Saint Louis), C) Charles Quint, D) François Ier")</f>
        <v>A) Philippe II, B) Louis IX (Saint Louis), C) Charles Quint, D) François Ier</v>
      </c>
      <c r="J7" s="6" t="str">
        <f>IFERROR(__xludf.DUMMYFUNCTION("GOOGLETRANSLATE(D7, ""en"", ""fr"")"),"B) Louis IX (Saint Louis)")</f>
        <v>B) Louis IX (Saint Louis)</v>
      </c>
      <c r="K7" s="6" t="str">
        <f>IFERROR(__xludf.DUMMYFUNCTION("GOOGLETRANSLATE(E7, ""en"", ""fr"")"),"La chronique rapporte que des tournois de joutes étaient organisés pour divertir les chevaliers partant pour la septième croisade depuis le port d'Aigues-Mortes.")</f>
        <v>La chronique rapporte que des tournois de joutes étaient organisés pour divertir les chevaliers partant pour la septième croisade depuis le port d'Aigues-Mortes.</v>
      </c>
    </row>
    <row r="8" ht="22.5" customHeight="1">
      <c r="A8" s="4">
        <v>7.0</v>
      </c>
      <c r="B8" s="5" t="s">
        <v>33</v>
      </c>
      <c r="C8" s="5" t="s">
        <v>34</v>
      </c>
      <c r="D8" s="5" t="s">
        <v>35</v>
      </c>
      <c r="E8" s="5" t="s">
        <v>36</v>
      </c>
      <c r="G8" s="6" t="str">
        <f>IFERROR(__xludf.DUMMYFUNCTION("GOOGLETRANSLATE(A8, ""en"", ""fr"")"),"7")</f>
        <v>7</v>
      </c>
      <c r="H8" s="6" t="str">
        <f>IFERROR(__xludf.DUMMYFUNCTION("GOOGLETRANSLATE(B8, ""en"", ""fr"")"),"Quelle période historique a vu la plus grande expansion des joutes nautiques dans les vallées fluviales de France en tant que forme de divertissement noble ?")</f>
        <v>Quelle période historique a vu la plus grande expansion des joutes nautiques dans les vallées fluviales de France en tant que forme de divertissement noble ?</v>
      </c>
      <c r="I8" s="6" t="str">
        <f>IFERROR(__xludf.DUMMYFUNCTION("GOOGLETRANSLATE(C8, ""en"", ""fr"")"),"A) Le Moyen Âge, B) La Renaissance, C) L'époque romaine, D) L'époque napoléonienne")</f>
        <v>A) Le Moyen Âge, B) La Renaissance, C) L'époque romaine, D) L'époque napoléonienne</v>
      </c>
      <c r="J8" s="6" t="str">
        <f>IFERROR(__xludf.DUMMYFUNCTION("GOOGLETRANSLATE(D8, ""en"", ""fr"")"),"B) La Renaissance")</f>
        <v>B) La Renaissance</v>
      </c>
      <c r="K8" s="6" t="str">
        <f>IFERROR(__xludf.DUMMYFUNCTION("GOOGLETRANSLATE(E8, ""en"", ""fr"")"),"À la Renaissance, ce sport devint un spectacle populaire lors des festivités royales et nobiliaires, dépassant ainsi ses origines folkloriques.")</f>
        <v>À la Renaissance, ce sport devint un spectacle populaire lors des festivités royales et nobiliaires, dépassant ainsi ses origines folkloriques.</v>
      </c>
    </row>
    <row r="9" ht="22.5" customHeight="1">
      <c r="A9" s="4">
        <v>8.0</v>
      </c>
      <c r="B9" s="5" t="s">
        <v>37</v>
      </c>
      <c r="C9" s="5" t="s">
        <v>38</v>
      </c>
      <c r="D9" s="5" t="s">
        <v>39</v>
      </c>
      <c r="E9" s="5" t="s">
        <v>40</v>
      </c>
      <c r="G9" s="6" t="str">
        <f>IFERROR(__xludf.DUMMYFUNCTION("GOOGLETRANSLATE(A9, ""en"", ""fr"")"),"8")</f>
        <v>8</v>
      </c>
      <c r="H9" s="6" t="str">
        <f>IFERROR(__xludf.DUMMYFUNCTION("GOOGLETRANSLATE(B9, ""en"", ""fr"")"),"Quel roi de France a été honoré par un grand spectacle de joutes nautiques sur la Loire en 1510 ?")</f>
        <v>Quel roi de France a été honoré par un grand spectacle de joutes nautiques sur la Loire en 1510 ?</v>
      </c>
      <c r="I9" s="6" t="str">
        <f>IFERROR(__xludf.DUMMYFUNCTION("GOOGLETRANSLATE(C9, ""en"", ""fr"")"),"A) Louis XIV, B) Henri II, C) Charles VIII, D) François Ier")</f>
        <v>A) Louis XIV, B) Henri II, C) Charles VIII, D) François Ier</v>
      </c>
      <c r="J9" s="6" t="str">
        <f>IFERROR(__xludf.DUMMYFUNCTION("GOOGLETRANSLATE(D9, ""en"", ""fr"")"),"D) François Ier")</f>
        <v>D) François Ier</v>
      </c>
      <c r="K9" s="6" t="str">
        <f>IFERROR(__xludf.DUMMYFUNCTION("GOOGLETRANSLATE(E9, ""en"", ""fr"")"),"Le roi François Ier, figure emblématique de la Renaissance, était un grand mécène des fêtes, et un célèbre tournoi de joutes fut organisé en son honneur.")</f>
        <v>Le roi François Ier, figure emblématique de la Renaissance, était un grand mécène des fêtes, et un célèbre tournoi de joutes fut organisé en son honneur.</v>
      </c>
    </row>
    <row r="10" ht="22.5" customHeight="1">
      <c r="A10" s="4">
        <v>9.0</v>
      </c>
      <c r="B10" s="5" t="s">
        <v>41</v>
      </c>
      <c r="C10" s="5" t="s">
        <v>42</v>
      </c>
      <c r="D10" s="5" t="s">
        <v>43</v>
      </c>
      <c r="E10" s="5" t="s">
        <v>44</v>
      </c>
      <c r="G10" s="6" t="str">
        <f>IFERROR(__xludf.DUMMYFUNCTION("GOOGLETRANSLATE(A10, ""en"", ""fr"")"),"9")</f>
        <v>9</v>
      </c>
      <c r="H10" s="6" t="str">
        <f>IFERROR(__xludf.DUMMYFUNCTION("GOOGLETRANSLATE(B10, ""en"", ""fr"")"),"En 1507, quelle reine de France a assisté à un tournoi de joutes nautiques organisé en son honneur à Lyon ?")</f>
        <v>En 1507, quelle reine de France a assisté à un tournoi de joutes nautiques organisé en son honneur à Lyon ?</v>
      </c>
      <c r="I10" s="6" t="str">
        <f>IFERROR(__xludf.DUMMYFUNCTION("GOOGLETRANSLATE(C10, ""en"", ""fr"")"),"A) Catherine de Médicis, B) Marie de Médicis, C) Anne de Bretagne, D) Aliénor d'Autriche")</f>
        <v>A) Catherine de Médicis, B) Marie de Médicis, C) Anne de Bretagne, D) Aliénor d'Autriche</v>
      </c>
      <c r="J10" s="6" t="str">
        <f>IFERROR(__xludf.DUMMYFUNCTION("GOOGLETRANSLATE(D10, ""en"", ""fr"")"),"C) Anne de Bretagne")</f>
        <v>C) Anne de Bretagne</v>
      </c>
      <c r="K10" s="6" t="str">
        <f>IFERROR(__xludf.DUMMYFUNCTION("GOOGLETRANSLATE(E10, ""en"", ""fr"")"),"Anne de Bretagne, épouse du roi Louis XII, fut accueillie à Lyon par une grande fête qui comprenait des joutes nautiques.")</f>
        <v>Anne de Bretagne, épouse du roi Louis XII, fut accueillie à Lyon par une grande fête qui comprenait des joutes nautiques.</v>
      </c>
    </row>
    <row r="11" ht="22.5" customHeight="1">
      <c r="A11" s="4">
        <v>10.0</v>
      </c>
      <c r="B11" s="5" t="s">
        <v>45</v>
      </c>
      <c r="C11" s="5" t="s">
        <v>46</v>
      </c>
      <c r="D11" s="5" t="s">
        <v>47</v>
      </c>
      <c r="E11" s="5" t="s">
        <v>48</v>
      </c>
      <c r="G11" s="6" t="str">
        <f>IFERROR(__xludf.DUMMYFUNCTION("GOOGLETRANSLATE(A11, ""en"", ""fr"")"),"10")</f>
        <v>10</v>
      </c>
      <c r="H11" s="6" t="str">
        <f>IFERROR(__xludf.DUMMYFUNCTION("GOOGLETRANSLATE(B11, ""en"", ""fr"")"),"Quel roi de France fut reçu à Lyon en 1548 avec un grand spectacle de joutes nautiques ?")</f>
        <v>Quel roi de France fut reçu à Lyon en 1548 avec un grand spectacle de joutes nautiques ?</v>
      </c>
      <c r="I11" s="6" t="str">
        <f>IFERROR(__xludf.DUMMYFUNCTION("GOOGLETRANSLATE(C11, ""en"", ""fr"")"),"A) Henri IV, B) Louis XIII, C) Henri II, D) François II")</f>
        <v>A) Henri IV, B) Louis XIII, C) Henri II, D) François II</v>
      </c>
      <c r="J11" s="6" t="str">
        <f>IFERROR(__xludf.DUMMYFUNCTION("GOOGLETRANSLATE(D11, ""en"", ""fr"")"),"C) Henri II")</f>
        <v>C) Henri II</v>
      </c>
      <c r="K11" s="6" t="str">
        <f>IFERROR(__xludf.DUMMYFUNCTION("GOOGLETRANSLATE(E11, ""en"", ""fr"")"),"L'entrée royale d'Henri II et de son épouse Catherine de Médicis à Lyon fut marquée par une fête somptueuse comprenant une démonstration de combat naval.")</f>
        <v>L'entrée royale d'Henri II et de son épouse Catherine de Médicis à Lyon fut marquée par une fête somptueuse comprenant une démonstration de combat naval.</v>
      </c>
    </row>
    <row r="12" ht="22.5" customHeight="1">
      <c r="A12" s="4">
        <v>11.0</v>
      </c>
      <c r="B12" s="5" t="s">
        <v>49</v>
      </c>
      <c r="C12" s="5" t="s">
        <v>50</v>
      </c>
      <c r="D12" s="5" t="s">
        <v>51</v>
      </c>
      <c r="E12" s="5" t="s">
        <v>52</v>
      </c>
      <c r="G12" s="6" t="str">
        <f>IFERROR(__xludf.DUMMYFUNCTION("GOOGLETRANSLATE(A12, ""en"", ""fr"")"),"11")</f>
        <v>11</v>
      </c>
      <c r="H12" s="6" t="str">
        <f>IFERROR(__xludf.DUMMYFUNCTION("GOOGLETRANSLATE(B12, ""en"", ""fr"")"),"Pour quel monarque anglais une compétition de joutes nautiques a-t-elle été organisée dans la ville de Sandwich en 1573 ?")</f>
        <v>Pour quel monarque anglais une compétition de joutes nautiques a-t-elle été organisée dans la ville de Sandwich en 1573 ?</v>
      </c>
      <c r="I12" s="6" t="str">
        <f>IFERROR(__xludf.DUMMYFUNCTION("GOOGLETRANSLATE(C12, ""en"", ""fr"")"),"A) Henri VIII, B) Victoria, C) Élisabeth Ire, D) Marie Ire")</f>
        <v>A) Henri VIII, B) Victoria, C) Élisabeth Ire, D) Marie Ire</v>
      </c>
      <c r="J12" s="6" t="str">
        <f>IFERROR(__xludf.DUMMYFUNCTION("GOOGLETRANSLATE(D12, ""en"", ""fr"")"),"C) Élisabeth Ire")</f>
        <v>C) Élisabeth Ire</v>
      </c>
      <c r="K12" s="6" t="str">
        <f>IFERROR(__xludf.DUMMYFUNCTION("GOOGLETRANSLATE(E12, ""en"", ""fr"")"),"Lors d'un de ses déplacements royaux à travers le pays, la reine Élisabeth Ire a assisté à divers spectacles, dont un tournoi de joutes nautiques à Sandwich.")</f>
        <v>Lors d'un de ses déplacements royaux à travers le pays, la reine Élisabeth Ire a assisté à divers spectacles, dont un tournoi de joutes nautiques à Sandwich.</v>
      </c>
    </row>
    <row r="13" ht="22.5" customHeight="1">
      <c r="A13" s="4">
        <v>12.0</v>
      </c>
      <c r="B13" s="5" t="s">
        <v>53</v>
      </c>
      <c r="C13" s="5" t="s">
        <v>54</v>
      </c>
      <c r="D13" s="5" t="s">
        <v>55</v>
      </c>
      <c r="E13" s="5" t="s">
        <v>56</v>
      </c>
      <c r="G13" s="6" t="str">
        <f>IFERROR(__xludf.DUMMYFUNCTION("GOOGLETRANSLATE(A13, ""en"", ""fr"")"),"12")</f>
        <v>12</v>
      </c>
      <c r="H13" s="6" t="str">
        <f>IFERROR(__xludf.DUMMYFUNCTION("GOOGLETRANSLATE(B13, ""en"", ""fr"")"),"Dans l'Empire romain, que sont les « naumachiae » ?")</f>
        <v>Dans l'Empire romain, que sont les « naumachiae » ?</v>
      </c>
      <c r="I13" s="6" t="str">
        <f>IFERROR(__xludf.DUMMYFUNCTION("GOOGLETRANSLATE(C13, ""en"", ""fr"")"),"A) Petits bateaux de pêche, B) Arènes inondées, comme le Colisée, utilisées pour des reconstitutions de batailles navales, C) Type de fête religieuse, D) Terme romain désignant les joutes")</f>
        <v>A) Petits bateaux de pêche, B) Arènes inondées, comme le Colisée, utilisées pour des reconstitutions de batailles navales, C) Type de fête religieuse, D) Terme romain désignant les joutes</v>
      </c>
      <c r="J13" s="6" t="str">
        <f>IFERROR(__xludf.DUMMYFUNCTION("GOOGLETRANSLATE(D13, ""en"", ""fr"")"),"B) Arènes inondées, comme le Colisée, utilisées pour mettre en scène des batailles navales simulées")</f>
        <v>B) Arènes inondées, comme le Colisée, utilisées pour mettre en scène des batailles navales simulées</v>
      </c>
      <c r="K13" s="6" t="str">
        <f>IFERROR(__xludf.DUMMYFUNCTION("GOOGLETRANSLATE(E13, ""en"", ""fr"")"),"Ces spectacles grandioses furent les précurseurs de formes ultérieures de divertissement de combats nautiques et se déroulèrent dans des villes de tout l'empire, y compris en Provence, en France.")</f>
        <v>Ces spectacles grandioses furent les précurseurs de formes ultérieures de divertissement de combats nautiques et se déroulèrent dans des villes de tout l'empire, y compris en Provence, en France.</v>
      </c>
    </row>
    <row r="14" ht="22.5" customHeight="1">
      <c r="A14" s="4">
        <v>13.0</v>
      </c>
      <c r="B14" s="5" t="s">
        <v>57</v>
      </c>
      <c r="C14" s="5" t="s">
        <v>58</v>
      </c>
      <c r="D14" s="5" t="s">
        <v>59</v>
      </c>
      <c r="E14" s="5" t="s">
        <v>60</v>
      </c>
      <c r="G14" s="6" t="str">
        <f>IFERROR(__xludf.DUMMYFUNCTION("GOOGLETRANSLATE(A14, ""en"", ""fr"")"),"13")</f>
        <v>13</v>
      </c>
      <c r="H14" s="6" t="str">
        <f>IFERROR(__xludf.DUMMYFUNCTION("GOOGLETRANSLATE(B14, ""en"", ""fr"")"),"La Fédération Française de Joutes Nautiques et de Sauvetage (FFJSN) trouve ses origines au XIXe siècle. Quel était le but initial de ces sociétés ?")</f>
        <v>La Fédération Française de Joutes Nautiques et de Sauvetage (FFJSN) trouve ses origines au XIXe siècle. Quel était le but initial de ces sociétés ?</v>
      </c>
      <c r="I14" s="6" t="str">
        <f>IFERROR(__xludf.DUMMYFUNCTION("GOOGLETRANSLATE(C14, ""en"", ""fr"")"),"A) Promouvoir le tourisme, B) Construire de meilleurs bateaux, C) Organiser des équipes de bateliers qualifiés pour les opérations de sauvetage en cas d'inondation, D) Faire pression sur le gouvernement")</f>
        <v>A) Promouvoir le tourisme, B) Construire de meilleurs bateaux, C) Organiser des équipes de bateliers qualifiés pour les opérations de sauvetage en cas d'inondation, D) Faire pression sur le gouvernement</v>
      </c>
      <c r="J14" s="6" t="str">
        <f>IFERROR(__xludf.DUMMYFUNCTION("GOOGLETRANSLATE(D14, ""en"", ""fr"")"),"C) Organiser des bateliers qualifiés pour les opérations de sauvetage en cas d'inondation")</f>
        <v>C) Organiser des bateliers qualifiés pour les opérations de sauvetage en cas d'inondation</v>
      </c>
      <c r="K14" s="6" t="str">
        <f>IFERROR(__xludf.DUMMYFUNCTION("GOOGLETRANSLATE(E14, ""en"", ""fr"")"),"Les sociétés de joutes étaient à l'origine des unions de marins et de bateliers qui utilisaient leurs compétences pour sauver des vies lors des fréquentes crues du Rhône.")</f>
        <v>Les sociétés de joutes étaient à l'origine des unions de marins et de bateliers qui utilisaient leurs compétences pour sauver des vies lors des fréquentes crues du Rhône.</v>
      </c>
    </row>
    <row r="15" ht="22.5" customHeight="1">
      <c r="A15" s="4">
        <v>14.0</v>
      </c>
      <c r="B15" s="5" t="s">
        <v>61</v>
      </c>
      <c r="C15" s="5" t="s">
        <v>62</v>
      </c>
      <c r="D15" s="5" t="s">
        <v>63</v>
      </c>
      <c r="E15" s="5" t="s">
        <v>64</v>
      </c>
      <c r="G15" s="6" t="str">
        <f>IFERROR(__xludf.DUMMYFUNCTION("GOOGLETRANSLATE(A15, ""en"", ""fr"")"),"14")</f>
        <v>14</v>
      </c>
      <c r="H15" s="6" t="str">
        <f>IFERROR(__xludf.DUMMYFUNCTION("GOOGLETRANSLATE(B15, ""en"", ""fr"")"),"Dans les manuscrits médiévaux, les joutes nautiques sont souvent représentées aux côtés de quel autre type de combat ?")</f>
        <v>Dans les manuscrits médiévaux, les joutes nautiques sont souvent représentées aux côtés de quel autre type de combat ?</v>
      </c>
      <c r="I15" s="6" t="str">
        <f>IFERROR(__xludf.DUMMYFUNCTION("GOOGLETRANSLATE(C15, ""en"", ""fr"")"),"A) Concours de tir à l'arc, B) Combats à pied sur les ponts, C) Duels de canons, D) Courses de chars")</f>
        <v>A) Concours de tir à l'arc, B) Combats à pied sur les ponts, C) Duels de canons, D) Courses de chars</v>
      </c>
      <c r="J15" s="6" t="str">
        <f>IFERROR(__xludf.DUMMYFUNCTION("GOOGLETRANSLATE(D15, ""en"", ""fr"")"),"B) Combat à pied sur les ponts")</f>
        <v>B) Combat à pied sur les ponts</v>
      </c>
      <c r="K15" s="6" t="str">
        <f>IFERROR(__xludf.DUMMYFUNCTION("GOOGLETRANSLATE(E15, ""en"", ""fr"")"),"Les premières illustrations montrent souvent des chevaliers se battant sur des ponts, en parallèle des joutes qui se déroulaient sur l'eau en contrebas.")</f>
        <v>Les premières illustrations montrent souvent des chevaliers se battant sur des ponts, en parallèle des joutes qui se déroulaient sur l'eau en contrebas.</v>
      </c>
    </row>
    <row r="16" ht="22.5" customHeight="1">
      <c r="A16" s="4">
        <v>15.0</v>
      </c>
      <c r="B16" s="5" t="s">
        <v>65</v>
      </c>
      <c r="C16" s="5" t="s">
        <v>66</v>
      </c>
      <c r="D16" s="5" t="s">
        <v>67</v>
      </c>
      <c r="E16" s="5" t="s">
        <v>68</v>
      </c>
      <c r="G16" s="6" t="str">
        <f>IFERROR(__xludf.DUMMYFUNCTION("GOOGLETRANSLATE(A16, ""en"", ""fr"")"),"15")</f>
        <v>15</v>
      </c>
      <c r="H16" s="6" t="str">
        <f>IFERROR(__xludf.DUMMYFUNCTION("GOOGLETRANSLATE(B16, ""en"", ""fr"")"),"Quel est le nom historique de la cible basculante, souvent un bouclier sur un poteau, qui était parfois utilisée dans les premiers tournois de joutes à la place d'un adversaire humain ?")</f>
        <v>Quel est le nom historique de la cible basculante, souvent un bouclier sur un poteau, qui était parfois utilisée dans les premiers tournois de joutes à la place d'un adversaire humain ?</v>
      </c>
      <c r="I16" s="6" t="str">
        <f>IFERROR(__xludf.DUMMYFUNCTION("GOOGLETRANSLATE(C16, ""en"", ""fr"")"),"A) Le Pavo, B) Le Sarrasin, C) Le Quintain, D) Le mannequin")</f>
        <v>A) Le Pavo, B) Le Sarrasin, C) Le Quintain, D) Le mannequin</v>
      </c>
      <c r="J16" s="6" t="str">
        <f>IFERROR(__xludf.DUMMYFUNCTION("GOOGLETRANSLATE(D16, ""en"", ""fr"")"),"C) Le Quintain")</f>
        <v>C) Le Quintain</v>
      </c>
      <c r="K16" s="6" t="str">
        <f>IFERROR(__xludf.DUMMYFUNCTION("GOOGLETRANSLATE(E16, ""en"", ""fr"")"),"Le quintin était une cible d'entraînement courante pour les joutes terrestres et nautiques, conçue pour tester la précision du jouteur.")</f>
        <v>Le quintin était une cible d'entraînement courante pour les joutes terrestres et nautiques, conçue pour tester la précision du jouteur.</v>
      </c>
    </row>
    <row r="17" ht="22.5" customHeight="1">
      <c r="A17" s="4">
        <v>16.0</v>
      </c>
      <c r="B17" s="5" t="s">
        <v>69</v>
      </c>
      <c r="C17" s="5" t="s">
        <v>70</v>
      </c>
      <c r="D17" s="5" t="s">
        <v>71</v>
      </c>
      <c r="E17" s="5" t="s">
        <v>72</v>
      </c>
      <c r="G17" s="6" t="str">
        <f>IFERROR(__xludf.DUMMYFUNCTION("GOOGLETRANSLATE(A17, ""en"", ""fr"")"),"16")</f>
        <v>16</v>
      </c>
      <c r="H17" s="6" t="str">
        <f>IFERROR(__xludf.DUMMYFUNCTION("GOOGLETRANSLATE(B17, ""en"", ""fr"")"),"Les différents styles de joutes nautiques en France sont appelés « méthodes ». Quelle est la méthode la plus célèbre et la plus pratiquée ?")</f>
        <v>Les différents styles de joutes nautiques en France sont appelés « méthodes ». Quelle est la méthode la plus célèbre et la plus pratiquée ?</v>
      </c>
      <c r="I17" s="6" t="str">
        <f>IFERROR(__xludf.DUMMYFUNCTION("GOOGLETRANSLATE(C17, ""en"", ""fr"")"),"A) La méthode parisienne, B) La méthode alsacienne, C) La méthode languedocienne, D) La méthode bretonne")</f>
        <v>A) La méthode parisienne, B) La méthode alsacienne, C) La méthode languedocienne, D) La méthode bretonne</v>
      </c>
      <c r="J17" s="6" t="str">
        <f>IFERROR(__xludf.DUMMYFUNCTION("GOOGLETRANSLATE(D17, ""en"", ""fr"")"),"C) La méthode languedocienne")</f>
        <v>C) La méthode languedocienne</v>
      </c>
      <c r="K17" s="6" t="str">
        <f>IFERROR(__xludf.DUMMYFUNCTION("GOOGLETRANSLATE(E17, ""en"", ""fr"")"),"La méthode languedocienne, pratiquée à Sète, est la forme la plus emblématique et la plus populaire de ce sport, connue pour ses bateaux lourds et ses grandes fêtes.")</f>
        <v>La méthode languedocienne, pratiquée à Sète, est la forme la plus emblématique et la plus populaire de ce sport, connue pour ses bateaux lourds et ses grandes fêtes.</v>
      </c>
    </row>
    <row r="18" ht="22.5" customHeight="1">
      <c r="A18" s="4">
        <v>17.0</v>
      </c>
      <c r="B18" s="5" t="s">
        <v>73</v>
      </c>
      <c r="C18" s="5" t="s">
        <v>74</v>
      </c>
      <c r="D18" s="5" t="s">
        <v>75</v>
      </c>
      <c r="E18" s="5" t="s">
        <v>76</v>
      </c>
      <c r="G18" s="6" t="str">
        <f>IFERROR(__xludf.DUMMYFUNCTION("GOOGLETRANSLATE(A18, ""en"", ""fr"")"),"17")</f>
        <v>17</v>
      </c>
      <c r="H18" s="6" t="str">
        <f>IFERROR(__xludf.DUMMYFUNCTION("GOOGLETRANSLATE(B18, ""en"", ""fr"")"),"Quelle est la principale différence historique entre la méthode languedocienne (Sète) et la méthode lyonnaise (Lyon) ?")</f>
        <v>Quelle est la principale différence historique entre la méthode languedocienne (Sète) et la méthode lyonnaise (Lyon) ?</v>
      </c>
      <c r="I18" s="6" t="str">
        <f>IFERROR(__xludf.DUMMYFUNCTION("GOOGLETRANSLATE(C18, ""en"", ""fr"")"),"A) La méthode lyonnaise utilise des épées, B) La méthode languedocienne utilise des rameurs humains pour la propulsion, C) La méthode lyonnaise est plus ancienne, D) La méthode languedocienne se joue sur une rivière")</f>
        <v>A) La méthode lyonnaise utilise des épées, B) La méthode languedocienne utilise des rameurs humains pour la propulsion, C) La méthode lyonnaise est plus ancienne, D) La méthode languedocienne se joue sur une rivière</v>
      </c>
      <c r="J18" s="6" t="str">
        <f>IFERROR(__xludf.DUMMYFUNCTION("GOOGLETRANSLATE(D18, ""en"", ""fr"")"),"B) La méthode languedocienne utilise des rameurs humains pour la force motrice")</f>
        <v>B) La méthode languedocienne utilise des rameurs humains pour la force motrice</v>
      </c>
      <c r="K18" s="6" t="str">
        <f>IFERROR(__xludf.DUMMYFUNCTION("GOOGLETRANSLATE(E18, ""en"", ""fr"")"),"Le style sète utilise deux bateaux lourds propulsés par des équipes de 8 à 10 rameurs, tandis que le style lyonnais utilise des bateaux à moteur ou un système de treuil.")</f>
        <v>Le style sète utilise deux bateaux lourds propulsés par des équipes de 8 à 10 rameurs, tandis que le style lyonnais utilise des bateaux à moteur ou un système de treuil.</v>
      </c>
    </row>
    <row r="19" ht="22.5" customHeight="1">
      <c r="A19" s="4">
        <v>18.0</v>
      </c>
      <c r="B19" s="5" t="s">
        <v>77</v>
      </c>
      <c r="C19" s="5" t="s">
        <v>78</v>
      </c>
      <c r="D19" s="5" t="s">
        <v>79</v>
      </c>
      <c r="E19" s="5" t="s">
        <v>80</v>
      </c>
      <c r="G19" s="6" t="str">
        <f>IFERROR(__xludf.DUMMYFUNCTION("GOOGLETRANSLATE(A19, ""en"", ""fr"")"),"18")</f>
        <v>18</v>
      </c>
      <c r="H19" s="6" t="str">
        <f>IFERROR(__xludf.DUMMYFUNCTION("GOOGLETRANSLATE(B19, ""en"", ""fr"")"),"Quel grand projet d'ingénierie du XVIIe siècle a directement conduit à la fondation du port de Sète et à ses traditions de joutes ?")</f>
        <v>Quel grand projet d'ingénierie du XVIIe siècle a directement conduit à la fondation du port de Sète et à ses traditions de joutes ?</v>
      </c>
      <c r="I19" s="6" t="str">
        <f>IFERROR(__xludf.DUMMYFUNCTION("GOOGLETRANSLATE(C19, ""en"", ""fr"")"),"A) Le château de Versailles, B) Le canal du Midi, C) Le musée du Louvre, D) Le pont du Gard")</f>
        <v>A) Le château de Versailles, B) Le canal du Midi, C) Le musée du Louvre, D) Le pont du Gard</v>
      </c>
      <c r="J19" s="6" t="str">
        <f>IFERROR(__xludf.DUMMYFUNCTION("GOOGLETRANSLATE(D19, ""en"", ""fr"")"),"B) Le Canal du Midi")</f>
        <v>B) Le Canal du Midi</v>
      </c>
      <c r="K19" s="6" t="str">
        <f>IFERROR(__xludf.DUMMYFUNCTION("GOOGLETRANSLATE(E19, ""en"", ""fr"")"),"Le port de Sète fut créé par décret royal en 1666 pour servir de débouché méditerranéen au canal du Midi, qui reliait l'Atlantique à la Méditerranée.")</f>
        <v>Le port de Sète fut créé par décret royal en 1666 pour servir de débouché méditerranéen au canal du Midi, qui reliait l'Atlantique à la Méditerranée.</v>
      </c>
    </row>
    <row r="20" ht="22.5" customHeight="1">
      <c r="A20" s="4">
        <v>19.0</v>
      </c>
      <c r="B20" s="5" t="s">
        <v>81</v>
      </c>
      <c r="C20" s="5" t="s">
        <v>82</v>
      </c>
      <c r="D20" s="5" t="s">
        <v>83</v>
      </c>
      <c r="E20" s="5" t="s">
        <v>84</v>
      </c>
      <c r="G20" s="6" t="str">
        <f>IFERROR(__xludf.DUMMYFUNCTION("GOOGLETRANSLATE(A20, ""en"", ""fr"")"),"19")</f>
        <v>19</v>
      </c>
      <c r="H20" s="6" t="str">
        <f>IFERROR(__xludf.DUMMYFUNCTION("GOOGLETRANSLATE(B20, ""en"", ""fr"")"),"Quelle était la principale occupation des premiers jouteurs de Sète ?")</f>
        <v>Quelle était la principale occupation des premiers jouteurs de Sète ?</v>
      </c>
      <c r="I20" s="6" t="str">
        <f>IFERROR(__xludf.DUMMYFUNCTION("GOOGLETRANSLATE(C20, ""en"", ""fr"")"),"A) Soldats, B) Nobles, C) Pêcheurs et dockers, D) Agriculteurs")</f>
        <v>A) Soldats, B) Nobles, C) Pêcheurs et dockers, D) Agriculteurs</v>
      </c>
      <c r="J20" s="6" t="str">
        <f>IFERROR(__xludf.DUMMYFUNCTION("GOOGLETRANSLATE(D20, ""en"", ""fr"")"),"C) Pêcheurs et dockers")</f>
        <v>C) Pêcheurs et dockers</v>
      </c>
      <c r="K20" s="6" t="str">
        <f>IFERROR(__xludf.DUMMYFUNCTION("GOOGLETRANSLATE(E20, ""en"", ""fr"")"),"Ce sport est né au sein de la population ouvrière de la ville, composée de pêcheurs et de marins, qui ont adapté leurs compétences nautiques à la compétition.")</f>
        <v>Ce sport est né au sein de la population ouvrière de la ville, composée de pêcheurs et de marins, qui ont adapté leurs compétences nautiques à la compétition.</v>
      </c>
    </row>
    <row r="21" ht="22.5" customHeight="1">
      <c r="A21" s="4">
        <v>20.0</v>
      </c>
      <c r="B21" s="5" t="s">
        <v>85</v>
      </c>
      <c r="C21" s="5" t="s">
        <v>86</v>
      </c>
      <c r="D21" s="5" t="s">
        <v>87</v>
      </c>
      <c r="E21" s="5" t="s">
        <v>88</v>
      </c>
      <c r="G21" s="6" t="str">
        <f>IFERROR(__xludf.DUMMYFUNCTION("GOOGLETRANSLATE(A21, ""en"", ""fr"")"),"20")</f>
        <v>20</v>
      </c>
      <c r="H21" s="6" t="str">
        <f>IFERROR(__xludf.DUMMYFUNCTION("GOOGLETRANSLATE(B21, ""en"", ""fr"")"),"Au XIXe siècle, quelle innovation technologique a commencé à changer la nature de certaines méthodes de joutes régionales ?")</f>
        <v>Au XIXe siècle, quelle innovation technologique a commencé à changer la nature de certaines méthodes de joutes régionales ?</v>
      </c>
      <c r="I21" s="6" t="str">
        <f>IFERROR(__xludf.DUMMYFUNCTION("GOOGLETRANSLATE(C21, ""en"", ""fr"")"),"A) L'invention de la fibre de verre, B) L'introduction de la machine à vapeur et des bateaux à moteur, C) L'utilisation de lances en plastique, D) L'invention du gilet de sauvetage")</f>
        <v>A) L'invention de la fibre de verre, B) L'introduction de la machine à vapeur et des bateaux à moteur, C) L'utilisation de lances en plastique, D) L'invention du gilet de sauvetage</v>
      </c>
      <c r="J21" s="6" t="str">
        <f>IFERROR(__xludf.DUMMYFUNCTION("GOOGLETRANSLATE(D21, ""en"", ""fr"")"),"B) L'introduction de la machine à vapeur et des bateaux à moteur")</f>
        <v>B) L'introduction de la machine à vapeur et des bateaux à moteur</v>
      </c>
      <c r="K21" s="6" t="str">
        <f>IFERROR(__xludf.DUMMYFUNCTION("GOOGLETRANSLATE(E21, ""en"", ""fr"")"),"Certaines méthodes, comme la joute lyonnaise, adoptèrent une propulsion mécanique, ce qui modifia la vitesse et le style de la joute.")</f>
        <v>Certaines méthodes, comme la joute lyonnaise, adoptèrent une propulsion mécanique, ce qui modifia la vitesse et le style de la joute.</v>
      </c>
    </row>
    <row r="22" ht="22.5" customHeight="1">
      <c r="A22" s="4">
        <v>21.0</v>
      </c>
      <c r="B22" s="5" t="s">
        <v>89</v>
      </c>
      <c r="C22" s="5" t="s">
        <v>90</v>
      </c>
      <c r="D22" s="5" t="s">
        <v>91</v>
      </c>
      <c r="E22" s="5" t="s">
        <v>92</v>
      </c>
      <c r="G22" s="6" t="str">
        <f>IFERROR(__xludf.DUMMYFUNCTION("GOOGLETRANSLATE(A22, ""en"", ""fr"")"),"21")</f>
        <v>21</v>
      </c>
      <c r="H22" s="6" t="str">
        <f>IFERROR(__xludf.DUMMYFUNCTION("GOOGLETRANSLATE(B22, ""en"", ""fr"")"),"Comment appelle-t-on la plateforme surélevée à l'arrière du bateau sur laquelle se tient le jouteur languedocien ?")</f>
        <v>Comment appelle-t-on la plateforme surélevée à l'arrière du bateau sur laquelle se tient le jouteur languedocien ?</v>
      </c>
      <c r="I22" s="6" t="str">
        <f>IFERROR(__xludf.DUMMYFUNCTION("GOOGLETRANSLATE(C22, ""en"", ""fr"")"),"A) Le pont, B) Le gaillard d'avant, C) La tonneau, D) La tribune")</f>
        <v>A) Le pont, B) Le gaillard d'avant, C) La tonneau, D) La tribune</v>
      </c>
      <c r="J22" s="6" t="str">
        <f>IFERROR(__xludf.DUMMYFUNCTION("GOOGLETRANSLATE(D22, ""en"", ""fr"")"),"C) La tintaine")</f>
        <v>C) La tintaine</v>
      </c>
      <c r="K22" s="6" t="str">
        <f>IFERROR(__xludf.DUMMYFUNCTION("GOOGLETRANSLATE(E22, ""en"", ""fr"")"),"La tintaine est la petite estrade instable où le jouteur doit garder l'équilibre, une caractéristique essentielle et exigeante de la méthode languedocienne.")</f>
        <v>La tintaine est la petite estrade instable où le jouteur doit garder l'équilibre, une caractéristique essentielle et exigeante de la méthode languedocienne.</v>
      </c>
    </row>
    <row r="23" ht="22.5" customHeight="1">
      <c r="A23" s="4">
        <v>22.0</v>
      </c>
      <c r="B23" s="5" t="s">
        <v>93</v>
      </c>
      <c r="C23" s="5" t="s">
        <v>94</v>
      </c>
      <c r="D23" s="5" t="s">
        <v>95</v>
      </c>
      <c r="E23" s="5" t="s">
        <v>96</v>
      </c>
      <c r="G23" s="6" t="str">
        <f>IFERROR(__xludf.DUMMYFUNCTION("GOOGLETRANSLATE(A23, ""en"", ""fr"")"),"22")</f>
        <v>22</v>
      </c>
      <c r="H23" s="6" t="str">
        <f>IFERROR(__xludf.DUMMYFUNCTION("GOOGLETRANSLATE(B23, ""en"", ""fr"")"),"Comment s'appelle le bouclier en bois utilisé par le jouteur ?")</f>
        <v>Comment s'appelle le bouclier en bois utilisé par le jouteur ?</v>
      </c>
      <c r="I23" s="6" t="str">
        <f>IFERROR(__xludf.DUMMYFUNCTION("GOOGLETRANSLATE(C23, ""en"", ""fr"")"),"A) Un écusson, B) Une targe, C) Un pavois, D) Un bouclier")</f>
        <v>A) Un écusson, B) Une targe, C) Un pavois, D) Un bouclier</v>
      </c>
      <c r="J23" s="6" t="str">
        <f>IFERROR(__xludf.DUMMYFUNCTION("GOOGLETRANSLATE(D23, ""en"", ""fr"")"),"C) Un Pavois")</f>
        <v>C) Un Pavois</v>
      </c>
      <c r="K23" s="6" t="str">
        <f>IFERROR(__xludf.DUMMYFUNCTION("GOOGLETRANSLATE(E23, ""en"", ""fr"")"),"Le pavois est le grand bouclier en bois qui protège le torse du jouteur et sert de cible principale à la lance de l'adversaire.")</f>
        <v>Le pavois est le grand bouclier en bois qui protège le torse du jouteur et sert de cible principale à la lance de l'adversaire.</v>
      </c>
    </row>
    <row r="24" ht="22.5" customHeight="1">
      <c r="A24" s="4">
        <v>23.0</v>
      </c>
      <c r="B24" s="5" t="s">
        <v>97</v>
      </c>
      <c r="C24" s="5" t="s">
        <v>98</v>
      </c>
      <c r="D24" s="5" t="s">
        <v>99</v>
      </c>
      <c r="E24" s="5" t="s">
        <v>100</v>
      </c>
      <c r="G24" s="6" t="str">
        <f>IFERROR(__xludf.DUMMYFUNCTION("GOOGLETRANSLATE(A24, ""en"", ""fr"")"),"23")</f>
        <v>23</v>
      </c>
      <c r="H24" s="6" t="str">
        <f>IFERROR(__xludf.DUMMYFUNCTION("GOOGLETRANSLATE(B24, ""en"", ""fr"")"),"Laquelle des quatre principales méthodes françaises est connue pour être pratiquée sur le Rhin ?")</f>
        <v>Laquelle des quatre principales méthodes françaises est connue pour être pratiquée sur le Rhin ?</v>
      </c>
      <c r="I24" s="6" t="str">
        <f>IFERROR(__xludf.DUMMYFUNCTION("GOOGLETRANSLATE(C24, ""en"", ""fr"")"),"A) La méthode parisienne, B) La méthode provençale, C) La méthode lyonnaise, D) La méthode alsacienne")</f>
        <v>A) La méthode parisienne, B) La méthode provençale, C) La méthode lyonnaise, D) La méthode alsacienne</v>
      </c>
      <c r="J24" s="6" t="str">
        <f>IFERROR(__xludf.DUMMYFUNCTION("GOOGLETRANSLATE(D24, ""en"", ""fr"")"),"D) La méthode alsacienne")</f>
        <v>D) La méthode alsacienne</v>
      </c>
      <c r="K24" s="6" t="str">
        <f>IFERROR(__xludf.DUMMYFUNCTION("GOOGLETRANSLATE(E24, ""en"", ""fr"")"),"La méthode alsacienne, pratiquée dans des villes comme Strasbourg, possède ses propres règles et traditions et se déroule sur les rives du Rhin.")</f>
        <v>La méthode alsacienne, pratiquée dans des villes comme Strasbourg, possède ses propres règles et traditions et se déroule sur les rives du Rhin.</v>
      </c>
    </row>
    <row r="25" ht="22.5" customHeight="1">
      <c r="A25" s="4">
        <v>24.0</v>
      </c>
      <c r="B25" s="5" t="s">
        <v>101</v>
      </c>
      <c r="C25" s="5" t="s">
        <v>102</v>
      </c>
      <c r="D25" s="5" t="s">
        <v>103</v>
      </c>
      <c r="E25" s="5" t="s">
        <v>104</v>
      </c>
      <c r="G25" s="6" t="str">
        <f>IFERROR(__xludf.DUMMYFUNCTION("GOOGLETRANSLATE(A25, ""en"", ""fr"")"),"24")</f>
        <v>24</v>
      </c>
      <c r="H25" s="6" t="str">
        <f>IFERROR(__xludf.DUMMYFUNCTION("GOOGLETRANSLATE(B25, ""en"", ""fr"")"),"La rivalité historique en matière de joutes oppose, comme chacun sait, quels deux quartiers de Sète ?")</f>
        <v>La rivalité historique en matière de joutes oppose, comme chacun sait, quels deux quartiers de Sète ?</v>
      </c>
      <c r="I25" s="6" t="str">
        <f>IFERROR(__xludf.DUMMYFUNCTION("GOOGLETRANSLATE(C25, ""en"", ""fr"")"),"A) La Plagette et le Quartier Haut, B) La Pointe Courte et le Barrou, C) Le Vieux-Port et le Nouveau-Port, D) Mont Saint-Clair et les Canaux")</f>
        <v>A) La Plagette et le Quartier Haut, B) La Pointe Courte et le Barrou, C) Le Vieux-Port et le Nouveau-Port, D) Mont Saint-Clair et les Canaux</v>
      </c>
      <c r="J25" s="6" t="str">
        <f>IFERROR(__xludf.DUMMYFUNCTION("GOOGLETRANSLATE(D25, ""en"", ""fr"")"),"B) La Pointe Courte et Le Barrou")</f>
        <v>B) La Pointe Courte et Le Barrou</v>
      </c>
      <c r="K25" s="6" t="str">
        <f>IFERROR(__xludf.DUMMYFUNCTION("GOOGLETRANSLATE(E25, ""en"", ""fr"")"),"Ces deux communautés de pêcheurs traditionnelles entretiennent une rivalité féroce mais amicale qui constitue un élément majeur du festival de Saint-Louis.")</f>
        <v>Ces deux communautés de pêcheurs traditionnelles entretiennent une rivalité féroce mais amicale qui constitue un élément majeur du festival de Saint-Louis.</v>
      </c>
    </row>
    <row r="26" ht="22.5" customHeight="1">
      <c r="A26" s="4">
        <v>25.0</v>
      </c>
      <c r="B26" s="5" t="s">
        <v>105</v>
      </c>
      <c r="C26" s="5" t="s">
        <v>106</v>
      </c>
      <c r="D26" s="5" t="s">
        <v>107</v>
      </c>
      <c r="E26" s="5" t="s">
        <v>108</v>
      </c>
      <c r="G26" s="6" t="str">
        <f>IFERROR(__xludf.DUMMYFUNCTION("GOOGLETRANSLATE(A26, ""en"", ""fr"")"),"25")</f>
        <v>25</v>
      </c>
      <c r="H26" s="6" t="str">
        <f>IFERROR(__xludf.DUMMYFUNCTION("GOOGLETRANSLATE(B26, ""en"", ""fr"")"),"Historiquement, qu'apportait la victoire d'un jouteur à sa communauté ou à son quartier ?")</f>
        <v>Historiquement, qu'apportait la victoire d'un jouteur à sa communauté ou à son quartier ?</v>
      </c>
      <c r="I26" s="6" t="str">
        <f>IFERROR(__xludf.DUMMYFUNCTION("GOOGLETRANSLATE(C26, ""en"", ""fr"")"),"A) Une grosse somme d'argent, B) Le pouvoir politique, C) Un grand honneur et de quoi se vanter pendant un an, D) Un jour férié")</f>
        <v>A) Une grosse somme d'argent, B) Le pouvoir politique, C) Un grand honneur et de quoi se vanter pendant un an, D) Un jour férié</v>
      </c>
      <c r="J26" s="6" t="str">
        <f>IFERROR(__xludf.DUMMYFUNCTION("GOOGLETRANSLATE(D26, ""en"", ""fr"")"),"C) Un grand honneur et de quoi se vanter pour l'année")</f>
        <v>C) Un grand honneur et de quoi se vanter pour l'année</v>
      </c>
      <c r="K26" s="6" t="str">
        <f>IFERROR(__xludf.DUMMYFUNCTION("GOOGLETRANSLATE(E26, ""en"", ""fr"")"),"Une victoire, surtout dans le tournoi de Saint-Louis, est une source d'immense fierté pour tout le quartier du vainqueur.")</f>
        <v>Une victoire, surtout dans le tournoi de Saint-Louis, est une source d'immense fierté pour tout le quartier du vainqueur.</v>
      </c>
    </row>
    <row r="27" ht="22.5" customHeight="1">
      <c r="A27" s="4">
        <v>26.0</v>
      </c>
      <c r="B27" s="5" t="s">
        <v>109</v>
      </c>
      <c r="C27" s="5" t="s">
        <v>110</v>
      </c>
      <c r="D27" s="5" t="s">
        <v>111</v>
      </c>
      <c r="E27" s="5" t="s">
        <v>112</v>
      </c>
      <c r="G27" s="6" t="str">
        <f>IFERROR(__xludf.DUMMYFUNCTION("GOOGLETRANSLATE(A27, ""en"", ""fr"")"),"26")</f>
        <v>26</v>
      </c>
      <c r="H27" s="6" t="str">
        <f>IFERROR(__xludf.DUMMYFUNCTION("GOOGLETRANSLATE(B27, ""en"", ""fr"")"),"De quel matériau était historiquement utilisé pour les pointes des lances ?")</f>
        <v>De quel matériau était historiquement utilisé pour les pointes des lances ?</v>
      </c>
      <c r="I27" s="6" t="str">
        <f>IFERROR(__xludf.DUMMYFUNCTION("GOOGLETRANSLATE(C27, ""en"", ""fr"")"),"A) Bronze, B) Acier, C) Fer, D) Bois aiguisé")</f>
        <v>A) Bronze, B) Acier, C) Fer, D) Bois aiguisé</v>
      </c>
      <c r="J27" s="6" t="str">
        <f>IFERROR(__xludf.DUMMYFUNCTION("GOOGLETRANSLATE(D27, ""en"", ""fr"")"),"C) Fer")</f>
        <v>C) Fer</v>
      </c>
      <c r="K27" s="6" t="str">
        <f>IFERROR(__xludf.DUMMYFUNCTION("GOOGLETRANSLATE(E27, ""en"", ""fr"")"),"Les lances sont terminées par une pointe en fer en forme de trident (trois-pointes) conçue pour agripper le bouclier de l'adversaire.")</f>
        <v>Les lances sont terminées par une pointe en fer en forme de trident (trois-pointes) conçue pour agripper le bouclier de l'adversaire.</v>
      </c>
    </row>
    <row r="28" ht="22.5" customHeight="1">
      <c r="A28" s="4">
        <v>27.0</v>
      </c>
      <c r="B28" s="5" t="s">
        <v>113</v>
      </c>
      <c r="C28" s="5" t="s">
        <v>114</v>
      </c>
      <c r="D28" s="5" t="s">
        <v>115</v>
      </c>
      <c r="E28" s="5" t="s">
        <v>116</v>
      </c>
      <c r="G28" s="6" t="str">
        <f>IFERROR(__xludf.DUMMYFUNCTION("GOOGLETRANSLATE(A28, ""en"", ""fr"")"),"27")</f>
        <v>27</v>
      </c>
      <c r="H28" s="6" t="str">
        <f>IFERROR(__xludf.DUMMYFUNCTION("GOOGLETRANSLATE(B28, ""en"", ""fr"")"),"Quelle est la signification historique de la couleur des bateaux, l'un rouge et l'autre bleu ?")</f>
        <v>Quelle est la signification historique de la couleur des bateaux, l'un rouge et l'autre bleu ?</v>
      </c>
      <c r="I28" s="6" t="str">
        <f>IFERROR(__xludf.DUMMYFUNCTION("GOOGLETRANSLATE(C28, ""en"", ""fr"")"),"A) Elles représentent les couleurs du drapeau français, B) Elles représentent deux familles rivales historiques, C) Ce sont les couleurs traditionnelles des pêcheurs de Sète, D) C'est un choix aléatoire")</f>
        <v>A) Elles représentent les couleurs du drapeau français, B) Elles représentent deux familles rivales historiques, C) Ce sont les couleurs traditionnelles des pêcheurs de Sète, D) C'est un choix aléatoire</v>
      </c>
      <c r="J28" s="6" t="str">
        <f>IFERROR(__xludf.DUMMYFUNCTION("GOOGLETRANSLATE(D28, ""en"", ""fr"")"),"C) Ce sont les couleurs traditionnelles des pêcheurs de Sète")</f>
        <v>C) Ce sont les couleurs traditionnelles des pêcheurs de Sète</v>
      </c>
      <c r="K28" s="6" t="str">
        <f>IFERROR(__xludf.DUMMYFUNCTION("GOOGLETRANSLATE(E28, ""en"", ""fr"")"),"Les couleurs rouge et bleu sont un élément clé de l'identité visuelle et de la tradition de la méthode languedocienne.")</f>
        <v>Les couleurs rouge et bleu sont un élément clé de l'identité visuelle et de la tradition de la méthode languedocienne.</v>
      </c>
    </row>
    <row r="29" ht="22.5" customHeight="1">
      <c r="A29" s="4">
        <v>28.0</v>
      </c>
      <c r="B29" s="5" t="s">
        <v>117</v>
      </c>
      <c r="C29" s="5" t="s">
        <v>118</v>
      </c>
      <c r="D29" s="5" t="s">
        <v>119</v>
      </c>
      <c r="E29" s="5" t="s">
        <v>120</v>
      </c>
      <c r="G29" s="6" t="str">
        <f>IFERROR(__xludf.DUMMYFUNCTION("GOOGLETRANSLATE(A29, ""en"", ""fr"")"),"28")</f>
        <v>28</v>
      </c>
      <c r="H29" s="6" t="str">
        <f>IFERROR(__xludf.DUMMYFUNCTION("GOOGLETRANSLATE(B29, ""en"", ""fr"")"),"En quelle année la Fédération Française de Joutes Nautiques et de Sauvetage (FFJSN) a-t-elle été officiellement fondée ?")</f>
        <v>En quelle année la Fédération Française de Joutes Nautiques et de Sauvetage (FFJSN) a-t-elle été officiellement fondée ?</v>
      </c>
      <c r="I29" s="6" t="str">
        <f>IFERROR(__xludf.DUMMYFUNCTION("GOOGLETRANSLATE(C29, ""en"", ""fr"")"),"A) 1888, B) 1901, C) 1925, D) 1960")</f>
        <v>A) 1888, B) 1901, C) 1925, D) 1960</v>
      </c>
      <c r="J29" s="6" t="str">
        <f>IFERROR(__xludf.DUMMYFUNCTION("GOOGLETRANSLATE(D29, ""en"", ""fr"")"),"D) 1960")</f>
        <v>D) 1960</v>
      </c>
      <c r="K29" s="6" t="str">
        <f>IFERROR(__xludf.DUMMYFUNCTION("GOOGLETRANSLATE(E29, ""en"", ""fr"")"),"La fédération moderne a été fondée en 1960 pour standardiser les règles et organiser le sport au niveau national, bien que ses sociétés membres soient beaucoup plus anciennes.")</f>
        <v>La fédération moderne a été fondée en 1960 pour standardiser les règles et organiser le sport au niveau national, bien que ses sociétés membres soient beaucoup plus anciennes.</v>
      </c>
    </row>
    <row r="30" ht="22.5" customHeight="1">
      <c r="A30" s="4">
        <v>29.0</v>
      </c>
      <c r="B30" s="5" t="s">
        <v>121</v>
      </c>
      <c r="C30" s="5" t="s">
        <v>122</v>
      </c>
      <c r="D30" s="5" t="s">
        <v>123</v>
      </c>
      <c r="E30" s="5" t="s">
        <v>124</v>
      </c>
      <c r="G30" s="6" t="str">
        <f>IFERROR(__xludf.DUMMYFUNCTION("GOOGLETRANSLATE(A30, ""en"", ""fr"")"),"29")</f>
        <v>29</v>
      </c>
      <c r="H30" s="6" t="str">
        <f>IFERROR(__xludf.DUMMYFUNCTION("GOOGLETRANSLATE(B30, ""en"", ""fr"")"),"Qu'est-ce qu'une « bouletch » ?")</f>
        <v>Qu'est-ce qu'une « bouletch » ?</v>
      </c>
      <c r="I30" s="6" t="str">
        <f>IFERROR(__xludf.DUMMYFUNCTION("GOOGLETRANSLATE(C30, ""en"", ""fr"")"),"A) Un type de bateau, B) Le cri traditionnel des jouteurs, C) Un jouteur célèbre du passé, D) Le mélange de musique traditionnelle jouée pendant le tournoi")</f>
        <v>A) Un type de bateau, B) Le cri traditionnel des jouteurs, C) Un jouteur célèbre du passé, D) Le mélange de musique traditionnelle jouée pendant le tournoi</v>
      </c>
      <c r="J30" s="6" t="str">
        <f>IFERROR(__xludf.DUMMYFUNCTION("GOOGLETRANSLATE(D30, ""en"", ""fr"")"),"D) Le mélange de musique traditionnelle jouée pendant le tournoi")</f>
        <v>D) Le mélange de musique traditionnelle jouée pendant le tournoi</v>
      </c>
      <c r="K30" s="6" t="str">
        <f>IFERROR(__xludf.DUMMYFUNCTION("GOOGLETRANSLATE(E30, ""en"", ""fr"")"),"Le bouletch est le son unique et entraînant des hautbois et des tambours des peñas, un élément essentiel de l'atmosphère.")</f>
        <v>Le bouletch est le son unique et entraînant des hautbois et des tambours des peñas, un élément essentiel de l'atmosphère.</v>
      </c>
    </row>
    <row r="31" ht="22.5" customHeight="1">
      <c r="A31" s="4">
        <v>30.0</v>
      </c>
      <c r="B31" s="5" t="s">
        <v>125</v>
      </c>
      <c r="C31" s="5" t="s">
        <v>126</v>
      </c>
      <c r="D31" s="5" t="s">
        <v>127</v>
      </c>
      <c r="E31" s="5" t="s">
        <v>128</v>
      </c>
      <c r="G31" s="6" t="str">
        <f>IFERROR(__xludf.DUMMYFUNCTION("GOOGLETRANSLATE(A31, ""en"", ""fr"")"),"30")</f>
        <v>30</v>
      </c>
      <c r="H31" s="6" t="str">
        <f>IFERROR(__xludf.DUMMYFUNCTION("GOOGLETRANSLATE(B31, ""en"", ""fr"")"),"La tradition des joutes nautiques en Suisse est décrite pour la première fois dans des manuscrits médiévaux de quelle ville ?")</f>
        <v>La tradition des joutes nautiques en Suisse est décrite pour la première fois dans des manuscrits médiévaux de quelle ville ?</v>
      </c>
      <c r="I31" s="6" t="str">
        <f>IFERROR(__xludf.DUMMYFUNCTION("GOOGLETRANSLATE(C31, ""en"", ""fr"")"),"A) Genève, B) Berne, C) Zurich, D) Bâle")</f>
        <v>A) Genève, B) Berne, C) Zurich, D) Bâle</v>
      </c>
      <c r="J31" s="6" t="str">
        <f>IFERROR(__xludf.DUMMYFUNCTION("GOOGLETRANSLATE(D31, ""en"", ""fr"")"),"C) Zurich")</f>
        <v>C) Zurich</v>
      </c>
      <c r="K31" s="6" t="str">
        <f>IFERROR(__xludf.DUMMYFUNCTION("GOOGLETRANSLATE(E31, ""en"", ""fr"")"),"Des manuscrits des XIVe et XVe siècles décrivent des tournois de joutes nautiques organisés sur le lac de Zurich.")</f>
        <v>Des manuscrits des XIVe et XVe siècles décrivent des tournois de joutes nautiques organisés sur le lac de Zurich.</v>
      </c>
    </row>
    <row r="32" ht="22.5" customHeight="1">
      <c r="A32" s="4">
        <v>31.0</v>
      </c>
      <c r="B32" s="5" t="s">
        <v>129</v>
      </c>
      <c r="C32" s="5" t="s">
        <v>130</v>
      </c>
      <c r="D32" s="5" t="s">
        <v>131</v>
      </c>
      <c r="E32" s="5" t="s">
        <v>132</v>
      </c>
      <c r="G32" s="6" t="str">
        <f>IFERROR(__xludf.DUMMYFUNCTION("GOOGLETRANSLATE(A32, ""en"", ""fr"")"),"31")</f>
        <v>31</v>
      </c>
      <c r="H32" s="6" t="str">
        <f>IFERROR(__xludf.DUMMYFUNCTION("GOOGLETRANSLATE(B32, ""en"", ""fr"")"),"Quelle est la principale différence entre les bateaux utilisés dans la méthode provençale et ceux utilisés dans la méthode languedocienne ?")</f>
        <v>Quelle est la principale différence entre les bateaux utilisés dans la méthode provençale et ceux utilisés dans la méthode languedocienne ?</v>
      </c>
      <c r="I32" s="6" t="str">
        <f>IFERROR(__xludf.DUMMYFUNCTION("GOOGLETRANSLATE(C32, ""en"", ""fr"")"),"A) Ils sont beaucoup plus petits et plus légers, B) Ils sont fabriqués en fibre de verre, C) Ils n'ont pas de rameurs, D) Ils sont propulsés par une seule personne à l'aide d'une perche")</f>
        <v>A) Ils sont beaucoup plus petits et plus légers, B) Ils sont fabriqués en fibre de verre, C) Ils n'ont pas de rameurs, D) Ils sont propulsés par une seule personne à l'aide d'une perche</v>
      </c>
      <c r="J32" s="6" t="str">
        <f>IFERROR(__xludf.DUMMYFUNCTION("GOOGLETRANSLATE(D32, ""en"", ""fr"")"),"A) Ils sont beaucoup plus petits et plus légers")</f>
        <v>A) Ils sont beaucoup plus petits et plus légers</v>
      </c>
      <c r="K32" s="6" t="str">
        <f>IFERROR(__xludf.DUMMYFUNCTION("GOOGLETRANSLATE(E32, ""en"", ""fr"")"),"La méthode provençale, pratiquée dans des ports comme Marseille, utilise des bateaux plus petits et plus rapides avec moins de rameurs, ce qui donne lieu à un style de joute différent.")</f>
        <v>La méthode provençale, pratiquée dans des ports comme Marseille, utilise des bateaux plus petits et plus rapides avec moins de rameurs, ce qui donne lieu à un style de joute différent.</v>
      </c>
    </row>
    <row r="33" ht="22.5" customHeight="1">
      <c r="A33" s="4">
        <v>32.0</v>
      </c>
      <c r="B33" s="5" t="s">
        <v>133</v>
      </c>
      <c r="C33" s="5" t="s">
        <v>134</v>
      </c>
      <c r="D33" s="5" t="s">
        <v>135</v>
      </c>
      <c r="E33" s="5" t="s">
        <v>136</v>
      </c>
      <c r="G33" s="6" t="str">
        <f>IFERROR(__xludf.DUMMYFUNCTION("GOOGLETRANSLATE(A33, ""en"", ""fr"")"),"32")</f>
        <v>32</v>
      </c>
      <c r="H33" s="6" t="str">
        <f>IFERROR(__xludf.DUMMYFUNCTION("GOOGLETRANSLATE(B33, ""en"", ""fr"")"),"Les chroniques historiques de Lyon mentionnent des joutes nautiques organisées pour célébrer l'arrivée de quelles marchandises importantes ?")</f>
        <v>Les chroniques historiques de Lyon mentionnent des joutes nautiques organisées pour célébrer l'arrivée de quelles marchandises importantes ?</v>
      </c>
      <c r="I33" s="6" t="str">
        <f>IFERROR(__xludf.DUMMYFUNCTION("GOOGLETRANSLATE(C33, ""en"", ""fr"")"),"A) Soie d'Italie, B) Vin de Bourgogne, C) Sel de la Méditerranée, D) Bois des montagnes")</f>
        <v>A) Soie d'Italie, B) Vin de Bourgogne, C) Sel de la Méditerranée, D) Bois des montagnes</v>
      </c>
      <c r="J33" s="6" t="str">
        <f>IFERROR(__xludf.DUMMYFUNCTION("GOOGLETRANSLATE(D33, ""en"", ""fr"")"),"C) Sel de la Méditerranée")</f>
        <v>C) Sel de la Méditerranée</v>
      </c>
      <c r="K33" s="6" t="str">
        <f>IFERROR(__xludf.DUMMYFUNCTION("GOOGLETRANSLATE(E33, ""en"", ""fr"")"),"La puissante guilde des marchands de sel de Lyon organisait souvent des joutes et autres festivités pour célébrer l'arrivée de sa précieuse cargaison.")</f>
        <v>La puissante guilde des marchands de sel de Lyon organisait souvent des joutes et autres festivités pour célébrer l'arrivée de sa précieuse cargaison.</v>
      </c>
    </row>
    <row r="34" ht="22.5" customHeight="1">
      <c r="A34" s="4">
        <v>33.0</v>
      </c>
      <c r="B34" s="5" t="s">
        <v>137</v>
      </c>
      <c r="C34" s="5" t="s">
        <v>138</v>
      </c>
      <c r="D34" s="5" t="s">
        <v>139</v>
      </c>
      <c r="E34" s="5" t="s">
        <v>140</v>
      </c>
      <c r="G34" s="6" t="str">
        <f>IFERROR(__xludf.DUMMYFUNCTION("GOOGLETRANSLATE(A34, ""en"", ""fr"")"),"33")</f>
        <v>33</v>
      </c>
      <c r="H34" s="6" t="str">
        <f>IFERROR(__xludf.DUMMYFUNCTION("GOOGLETRANSLATE(B34, ""en"", ""fr"")"),"Quel est le rôle historique du « timonier » ou du protecteur du bateau ?")</f>
        <v>Quel est le rôle historique du « timonier » ou du protecteur du bateau ?</v>
      </c>
      <c r="I34" s="6" t="str">
        <f>IFERROR(__xludf.DUMMYFUNCTION("GOOGLETRANSLATE(C34, ""en"", ""fr"")"),"A) Ramer le plus vite, B) Diriger le bateau lourd avec une grande rame et commander les rameurs, C) Être capitaine de l'équipe, D) Être le principal sponsor")</f>
        <v>A) Ramer le plus vite, B) Diriger le bateau lourd avec une grande rame et commander les rameurs, C) Être capitaine de l'équipe, D) Être le principal sponsor</v>
      </c>
      <c r="J34" s="6" t="str">
        <f>IFERROR(__xludf.DUMMYFUNCTION("GOOGLETRANSLATE(D34, ""en"", ""fr"")"),"B) Diriger le lourd bateau à l'aide d'une grande rame et commander les rameurs")</f>
        <v>B) Diriger le lourd bateau à l'aide d'une grande rame et commander les rameurs</v>
      </c>
      <c r="K34" s="6" t="str">
        <f>IFERROR(__xludf.DUMMYFUNCTION("GOOGLETRANSLATE(E34, ""en"", ""fr"")"),"Le patron est le chef expérimenté qui se trouve à l'arrière du bateau, chargé de guider sa trajectoire et de donner le rythme aux rameurs.")</f>
        <v>Le patron est le chef expérimenté qui se trouve à l'arrière du bateau, chargé de guider sa trajectoire et de donner le rythme aux rameurs.</v>
      </c>
    </row>
    <row r="35" ht="22.5" customHeight="1">
      <c r="A35" s="4">
        <v>34.0</v>
      </c>
      <c r="B35" s="5" t="s">
        <v>141</v>
      </c>
      <c r="C35" s="5" t="s">
        <v>142</v>
      </c>
      <c r="D35" s="5" t="s">
        <v>143</v>
      </c>
      <c r="E35" s="5" t="s">
        <v>144</v>
      </c>
      <c r="G35" s="6" t="str">
        <f>IFERROR(__xludf.DUMMYFUNCTION("GOOGLETRANSLATE(A35, ""en"", ""fr"")"),"34")</f>
        <v>34</v>
      </c>
      <c r="H35" s="6" t="str">
        <f>IFERROR(__xludf.DUMMYFUNCTION("GOOGLETRANSLATE(B35, ""en"", ""fr"")"),"Quel célèbre artiste français a peint, au XIXe siècle, des scènes de joutes nautiques dans le sud de la France ?")</f>
        <v>Quel célèbre artiste français a peint, au XIXe siècle, des scènes de joutes nautiques dans le sud de la France ?</v>
      </c>
      <c r="I35" s="6" t="str">
        <f>IFERROR(__xludf.DUMMYFUNCTION("GOOGLETRANSLATE(C35, ""en"", ""fr"")"),"A) Claude Monet, B) Auguste Renoir, C) Paul Cézanne, D) André-Joseph Mégrot")</f>
        <v>A) Claude Monet, B) Auguste Renoir, C) Paul Cézanne, D) André-Joseph Mégrot</v>
      </c>
      <c r="J35" s="6" t="str">
        <f>IFERROR(__xludf.DUMMYFUNCTION("GOOGLETRANSLATE(D35, ""en"", ""fr"")"),"D) André-Joseph Mégrot")</f>
        <v>D) André-Joseph Mégrot</v>
      </c>
      <c r="K35" s="6" t="str">
        <f>IFERROR(__xludf.DUMMYFUNCTION("GOOGLETRANSLATE(E35, ""en"", ""fr"")"),"L'artiste André-Joseph Mégrot est connu pour ses peintures détaillées et vivantes des fêtes de joutes à Sète.")</f>
        <v>L'artiste André-Joseph Mégrot est connu pour ses peintures détaillées et vivantes des fêtes de joutes à Sète.</v>
      </c>
    </row>
    <row r="36" ht="22.5" customHeight="1">
      <c r="A36" s="4">
        <v>35.0</v>
      </c>
      <c r="B36" s="5" t="s">
        <v>145</v>
      </c>
      <c r="C36" s="5" t="s">
        <v>146</v>
      </c>
      <c r="D36" s="5" t="s">
        <v>147</v>
      </c>
      <c r="E36" s="5" t="s">
        <v>148</v>
      </c>
      <c r="G36" s="6" t="str">
        <f>IFERROR(__xludf.DUMMYFUNCTION("GOOGLETRANSLATE(A36, ""en"", ""fr"")"),"35")</f>
        <v>35</v>
      </c>
      <c r="H36" s="6" t="str">
        <f>IFERROR(__xludf.DUMMYFUNCTION("GOOGLETRANSLATE(B36, ""en"", ""fr"")"),"Quel événement historique du XIXe siècle a renforcé le lien entre les sociétés de joutes et le sauvetage en mer ?")</f>
        <v>Quel événement historique du XIXe siècle a renforcé le lien entre les sociétés de joutes et le sauvetage en mer ?</v>
      </c>
      <c r="I36" s="6" t="str">
        <f>IFERROR(__xludf.DUMMYFUNCTION("GOOGLETRANSLATE(C36, ""en"", ""fr"")"),"A) Une grande bataille navale, B) Une série d'inondations dévastatrices sur le Rhône, C) Le naufrage d'un paquebot, D) La Révolution française")</f>
        <v>A) Une grande bataille navale, B) Une série d'inondations dévastatrices sur le Rhône, C) Le naufrage d'un paquebot, D) La Révolution française</v>
      </c>
      <c r="J36" s="6" t="str">
        <f>IFERROR(__xludf.DUMMYFUNCTION("GOOGLETRANSLATE(D36, ""en"", ""fr"")"),"B) Une série d'inondations dévastatrices sur le Rhône")</f>
        <v>B) Une série d'inondations dévastatrices sur le Rhône</v>
      </c>
      <c r="K36" s="6" t="str">
        <f>IFERROR(__xludf.DUMMYFUNCTION("GOOGLETRANSLATE(E36, ""en"", ""fr"")"),"Les habiles bateliers des sociétés de joutes dans des villes comme Lyon ont joué un rôle héroïque dans le sauvetage des populations lors des grandes inondations des années 1840 et 1850.")</f>
        <v>Les habiles bateliers des sociétés de joutes dans des villes comme Lyon ont joué un rôle héroïque dans le sauvetage des populations lors des grandes inondations des années 1840 et 1850.</v>
      </c>
    </row>
    <row r="37" ht="22.5" customHeight="1">
      <c r="A37" s="4">
        <v>36.0</v>
      </c>
      <c r="B37" s="5" t="s">
        <v>149</v>
      </c>
      <c r="C37" s="5" t="s">
        <v>150</v>
      </c>
      <c r="D37" s="5" t="s">
        <v>151</v>
      </c>
      <c r="E37" s="5" t="s">
        <v>152</v>
      </c>
      <c r="G37" s="6" t="str">
        <f>IFERROR(__xludf.DUMMYFUNCTION("GOOGLETRANSLATE(A37, ""en"", ""fr"")"),"36")</f>
        <v>36</v>
      </c>
      <c r="H37" s="6" t="str">
        <f>IFERROR(__xludf.DUMMYFUNCTION("GOOGLETRANSLATE(B37, ""en"", ""fr"")"),"La fédération internationale de football (FFJSN) est basée dans quel pays ?")</f>
        <v>La fédération internationale de football (FFJSN) est basée dans quel pays ?</v>
      </c>
      <c r="I37" s="6" t="str">
        <f>IFERROR(__xludf.DUMMYFUNCTION("GOOGLETRANSLATE(C37, ""en"", ""fr"")"),"A) Suisse, B) Italie, C) Espagne, D) France")</f>
        <v>A) Suisse, B) Italie, C) Espagne, D) France</v>
      </c>
      <c r="J37" s="6" t="str">
        <f>IFERROR(__xludf.DUMMYFUNCTION("GOOGLETRANSLATE(D37, ""en"", ""fr"")"),"D) France")</f>
        <v>D) France</v>
      </c>
      <c r="K37" s="6" t="str">
        <f>IFERROR(__xludf.DUMMYFUNCTION("GOOGLETRANSLATE(E37, ""en"", ""fr"")"),"La Fédération Française de Joutes et de Sauvetage Nautique est l'instance dirigeante officielle de ce sport en France.")</f>
        <v>La Fédération Française de Joutes et de Sauvetage Nautique est l'instance dirigeante officielle de ce sport en France.</v>
      </c>
    </row>
    <row r="38" ht="22.5" customHeight="1">
      <c r="A38" s="4">
        <v>37.0</v>
      </c>
      <c r="B38" s="5" t="s">
        <v>153</v>
      </c>
      <c r="C38" s="5" t="s">
        <v>154</v>
      </c>
      <c r="D38" s="5" t="s">
        <v>155</v>
      </c>
      <c r="E38" s="5" t="s">
        <v>156</v>
      </c>
      <c r="G38" s="6" t="str">
        <f>IFERROR(__xludf.DUMMYFUNCTION("GOOGLETRANSLATE(A38, ""en"", ""fr"")"),"37")</f>
        <v>37</v>
      </c>
      <c r="H38" s="6" t="str">
        <f>IFERROR(__xludf.DUMMYFUNCTION("GOOGLETRANSLATE(B38, ""en"", ""fr"")"),"Quel est le nom de l'instrument à vent traditionnel, au son aigu, qui donne le ton à la musique lors d'un festival de joutes ?")</f>
        <v>Quel est le nom de l'instrument à vent traditionnel, au son aigu, qui donne le ton à la musique lors d'un festival de joutes ?</v>
      </c>
      <c r="I38" s="6" t="str">
        <f>IFERROR(__xludf.DUMMYFUNCTION("GOOGLETRANSLATE(C38, ""en"", ""fr"")"),"A) La trompette, B) La clarinette, C) Le hautbois, D) La flûte")</f>
        <v>A) La trompette, B) La clarinette, C) Le hautbois, D) La flûte</v>
      </c>
      <c r="J38" s="6" t="str">
        <f>IFERROR(__xludf.DUMMYFUNCTION("GOOGLETRANSLATE(D38, ""en"", ""fr"")"),"C) Le hautbois")</f>
        <v>C) Le hautbois</v>
      </c>
      <c r="K38" s="6" t="str">
        <f>IFERROR(__xludf.DUMMYFUNCTION("GOOGLETRANSLATE(E38, ""en"", ""fr"")"),"Le son perçant et festif du hautbois languedocien est l'instrument emblématique des fanfares de joutes.")</f>
        <v>Le son perçant et festif du hautbois languedocien est l'instrument emblématique des fanfares de joutes.</v>
      </c>
    </row>
    <row r="39" ht="22.5" customHeight="1">
      <c r="A39" s="4">
        <v>38.0</v>
      </c>
      <c r="B39" s="5" t="s">
        <v>157</v>
      </c>
      <c r="C39" s="5" t="s">
        <v>158</v>
      </c>
      <c r="D39" s="5" t="s">
        <v>159</v>
      </c>
      <c r="E39" s="5" t="s">
        <v>160</v>
      </c>
      <c r="G39" s="6" t="str">
        <f>IFERROR(__xludf.DUMMYFUNCTION("GOOGLETRANSLATE(A39, ""en"", ""fr"")"),"38")</f>
        <v>38</v>
      </c>
      <c r="H39" s="6" t="str">
        <f>IFERROR(__xludf.DUMMYFUNCTION("GOOGLETRANSLATE(B39, ""en"", ""fr"")"),"Comment appelle-t-on la tradition qui consiste à porter le jouteur victorieux à travers les rues sur les épaules de ses supporters ?")</f>
        <v>Comment appelle-t-on la tradition qui consiste à porter le jouteur victorieux à travers les rues sur les épaules de ses supporters ?</v>
      </c>
      <c r="I39" s="6" t="str">
        <f>IFERROR(__xludf.DUMMYFUNCTION("GOOGLETRANSLATE(C39, ""en"", ""fr"")"),"A) La Marche de la Victoire, B) Le Défilé, C) Le Triomphe, D) Il n'a pas de nom spécifique")</f>
        <v>A) La Marche de la Victoire, B) Le Défilé, C) Le Triomphe, D) Il n'a pas de nom spécifique</v>
      </c>
      <c r="J39" s="6" t="str">
        <f>IFERROR(__xludf.DUMMYFUNCTION("GOOGLETRANSLATE(D39, ""en"", ""fr"")"),"C) Le triomphe")</f>
        <v>C) Le triomphe</v>
      </c>
      <c r="K39" s="6" t="str">
        <f>IFERROR(__xludf.DUMMYFUNCTION("GOOGLETRANSLATE(E39, ""en"", ""fr"")"),"Ce cortège festif est un rituel classique, où le champion est honoré par tout son quartier.")</f>
        <v>Ce cortège festif est un rituel classique, où le champion est honoré par tout son quartier.</v>
      </c>
    </row>
    <row r="40" ht="22.5" customHeight="1">
      <c r="A40" s="4">
        <v>39.0</v>
      </c>
      <c r="B40" s="5" t="s">
        <v>161</v>
      </c>
      <c r="C40" s="5" t="s">
        <v>162</v>
      </c>
      <c r="D40" s="5" t="s">
        <v>163</v>
      </c>
      <c r="E40" s="5" t="s">
        <v>164</v>
      </c>
      <c r="G40" s="6" t="str">
        <f>IFERROR(__xludf.DUMMYFUNCTION("GOOGLETRANSLATE(A40, ""en"", ""fr"")"),"39")</f>
        <v>39</v>
      </c>
      <c r="H40" s="6" t="str">
        <f>IFERROR(__xludf.DUMMYFUNCTION("GOOGLETRANSLATE(B40, ""en"", ""fr"")"),"Quelle est la principale caractéristique de la méthode de joute « parisienne » ?")</f>
        <v>Quelle est la principale caractéristique de la méthode de joute « parisienne » ?</v>
      </c>
      <c r="I40" s="6" t="str">
        <f>IFERROR(__xludf.DUMMYFUNCTION("GOOGLETRANSLATE(C40, ""en"", ""fr"")"),"A) Il se joue sur la Seine, B) Il met en scène des jouteurs debout sur des plateformes et tirés par des cordes, C) Il utilise de très longues lances, D) C'est la méthode la plus populaire")</f>
        <v>A) Il se joue sur la Seine, B) Il met en scène des jouteurs debout sur des plateformes et tirés par des cordes, C) Il utilise de très longues lances, D) C'est la méthode la plus populaire</v>
      </c>
      <c r="J40" s="6" t="str">
        <f>IFERROR(__xludf.DUMMYFUNCTION("GOOGLETRANSLATE(D40, ""en"", ""fr"")"),"B) Il s'agit d'un affrontement entre jouteurs qui se tiennent sur des plateformes et sont tirés par des cordes.")</f>
        <v>B) Il s'agit d'un affrontement entre jouteurs qui se tiennent sur des plateformes et sont tirés par des cordes.</v>
      </c>
      <c r="K40" s="6" t="str">
        <f>IFERROR(__xludf.DUMMYFUNCTION("GOOGLETRANSLATE(E40, ""en"", ""fr"")"),"Cette méthode est unique en ce sens que les jouteurs se trouvent sur des plateformes fixes et sont tirés les uns vers les autres par leurs coéquipiers, au lieu d'être sur des bateaux.")</f>
        <v>Cette méthode est unique en ce sens que les jouteurs se trouvent sur des plateformes fixes et sont tirés les uns vers les autres par leurs coéquipiers, au lieu d'être sur des bateaux.</v>
      </c>
    </row>
    <row r="41" ht="22.5" customHeight="1">
      <c r="A41" s="4">
        <v>40.0</v>
      </c>
      <c r="B41" s="5" t="s">
        <v>165</v>
      </c>
      <c r="C41" s="5" t="s">
        <v>166</v>
      </c>
      <c r="D41" s="5" t="s">
        <v>167</v>
      </c>
      <c r="E41" s="5" t="s">
        <v>168</v>
      </c>
      <c r="G41" s="6" t="str">
        <f>IFERROR(__xludf.DUMMYFUNCTION("GOOGLETRANSLATE(A41, ""en"", ""fr"")"),"40")</f>
        <v>40</v>
      </c>
      <c r="H41" s="6" t="str">
        <f>IFERROR(__xludf.DUMMYFUNCTION("GOOGLETRANSLATE(B41, ""en"", ""fr"")"),"Le Musée de la Mer de Sète possède une section entière consacrée à quel aspect de ce sport ?")</f>
        <v>Le Musée de la Mer de Sète possède une section entière consacrée à quel aspect de ce sport ?</v>
      </c>
      <c r="I41" s="6" t="str">
        <f>IFERROR(__xludf.DUMMYFUNCTION("GOOGLETRANSLATE(C41, ""en"", ""fr"")"),"A) L'histoire des bateaux, B) Les biographies des jouteurs célèbres, C) L'évolution des lances et des boucliers, D) Toutes les réponses ci-dessus")</f>
        <v>A) L'histoire des bateaux, B) Les biographies des jouteurs célèbres, C) L'évolution des lances et des boucliers, D) Toutes les réponses ci-dessus</v>
      </c>
      <c r="J41" s="6" t="str">
        <f>IFERROR(__xludf.DUMMYFUNCTION("GOOGLETRANSLATE(D41, ""en"", ""fr"")"),"D) Toutes les réponses ci-dessus")</f>
        <v>D) Toutes les réponses ci-dessus</v>
      </c>
      <c r="K41" s="6" t="str">
        <f>IFERROR(__xludf.DUMMYFUNCTION("GOOGLETRANSLATE(E41, ""en"", ""fr"")"),"Le musée possède une vaste collection qui couvre tous les aspects historiques et culturels de la tradition la plus célèbre de la ville.")</f>
        <v>Le musée possède une vaste collection qui couvre tous les aspects historiques et culturels de la tradition la plus célèbre de la ville.</v>
      </c>
    </row>
    <row r="42" ht="22.5" customHeight="1">
      <c r="A42" s="4">
        <v>41.0</v>
      </c>
      <c r="B42" s="5" t="s">
        <v>169</v>
      </c>
      <c r="C42" s="5" t="s">
        <v>170</v>
      </c>
      <c r="D42" s="5" t="s">
        <v>171</v>
      </c>
      <c r="E42" s="5" t="s">
        <v>172</v>
      </c>
      <c r="G42" s="6" t="str">
        <f>IFERROR(__xludf.DUMMYFUNCTION("GOOGLETRANSLATE(A42, ""en"", ""fr"")"),"41")</f>
        <v>41</v>
      </c>
      <c r="H42" s="6" t="str">
        <f>IFERROR(__xludf.DUMMYFUNCTION("GOOGLETRANSLATE(B42, ""en"", ""fr"")"),"Dans quel plan d'eau se déroulent les tournois de joutes de Sète ?")</f>
        <v>Dans quel plan d'eau se déroulent les tournois de joutes de Sète ?</v>
      </c>
      <c r="I42" s="6" t="str">
        <f>IFERROR(__xludf.DUMMYFUNCTION("GOOGLETRANSLATE(C42, ""en"", ""fr"")"),"A) La mer Méditerranée, B) L'étang de Thau, C) Le canal royal, D) La rivière Hérault")</f>
        <v>A) La mer Méditerranée, B) L'étang de Thau, C) Le canal royal, D) La rivière Hérault</v>
      </c>
      <c r="J42" s="6" t="str">
        <f>IFERROR(__xludf.DUMMYFUNCTION("GOOGLETRANSLATE(D42, ""en"", ""fr"")"),"C) Le Canal Royal")</f>
        <v>C) Le Canal Royal</v>
      </c>
      <c r="K42" s="6" t="str">
        <f>IFERROR(__xludf.DUMMYFUNCTION("GOOGLETRANSLATE(E42, ""en"", ""fr"")"),"Le canal principal de la ville offre un cadre idéal et rectiligne pour le tournoi, bordé de spectateurs des deux côtés.")</f>
        <v>Le canal principal de la ville offre un cadre idéal et rectiligne pour le tournoi, bordé de spectateurs des deux côtés.</v>
      </c>
    </row>
    <row r="43" ht="22.5" customHeight="1">
      <c r="A43" s="4">
        <v>42.0</v>
      </c>
      <c r="B43" s="5" t="s">
        <v>173</v>
      </c>
      <c r="C43" s="5" t="s">
        <v>174</v>
      </c>
      <c r="D43" s="5" t="s">
        <v>175</v>
      </c>
      <c r="E43" s="5" t="s">
        <v>176</v>
      </c>
      <c r="G43" s="6" t="str">
        <f>IFERROR(__xludf.DUMMYFUNCTION("GOOGLETRANSLATE(A43, ""en"", ""fr"")"),"42")</f>
        <v>42</v>
      </c>
      <c r="H43" s="6" t="str">
        <f>IFERROR(__xludf.DUMMYFUNCTION("GOOGLETRANSLATE(B43, ""en"", ""fr"")"),"Aux XVe et XVIe siècles, quel était l'objectif principal des joutes nautiques lors des événements royaux ?")</f>
        <v>Aux XVe et XVIe siècles, quel était l'objectif principal des joutes nautiques lors des événements royaux ?</v>
      </c>
      <c r="I43" s="6" t="str">
        <f>IFERROR(__xludf.DUMMYFUNCTION("GOOGLETRANSLATE(C43, ""en"", ""fr"")"),"A) Pour entraîner les soldats à la guerre navale, B) Comme un spectacle magnifique et coûteux pour afficher la puissance et la richesse du monarque, C) Comme une cérémonie religieuse, D) Comme un moyen pour le roi de choisir ses gardes")</f>
        <v>A) Pour entraîner les soldats à la guerre navale, B) Comme un spectacle magnifique et coûteux pour afficher la puissance et la richesse du monarque, C) Comme une cérémonie religieuse, D) Comme un moyen pour le roi de choisir ses gardes</v>
      </c>
      <c r="J43" s="6" t="str">
        <f>IFERROR(__xludf.DUMMYFUNCTION("GOOGLETRANSLATE(D43, ""en"", ""fr"")"),"B) Comme un spectacle magnifique et coûteux destiné à afficher la puissance et la richesse du monarque")</f>
        <v>B) Comme un spectacle magnifique et coûteux destiné à afficher la puissance et la richesse du monarque</v>
      </c>
      <c r="K43" s="6" t="str">
        <f>IFERROR(__xludf.DUMMYFUNCTION("GOOGLETRANSLATE(E43, ""en"", ""fr"")"),"Les joutes royales étaient une forme de consommation ostentatoire, des spectacles fastueux destinés à impressionner les courtisans et les dignitaires étrangers.")</f>
        <v>Les joutes royales étaient une forme de consommation ostentatoire, des spectacles fastueux destinés à impressionner les courtisans et les dignitaires étrangers.</v>
      </c>
    </row>
    <row r="44" ht="22.5" customHeight="1">
      <c r="A44" s="4">
        <v>43.0</v>
      </c>
      <c r="B44" s="5" t="s">
        <v>177</v>
      </c>
      <c r="C44" s="5" t="s">
        <v>178</v>
      </c>
      <c r="D44" s="5" t="s">
        <v>179</v>
      </c>
      <c r="E44" s="5" t="s">
        <v>180</v>
      </c>
      <c r="G44" s="6" t="str">
        <f>IFERROR(__xludf.DUMMYFUNCTION("GOOGLETRANSLATE(A44, ""en"", ""fr"")"),"43")</f>
        <v>43</v>
      </c>
      <c r="H44" s="6" t="str">
        <f>IFERROR(__xludf.DUMMYFUNCTION("GOOGLETRANSLATE(B44, ""en"", ""fr"")"),"Qu'est-ce qu'un « bouc » dans le contexte des joutes de Sète ?")</f>
        <v>Qu'est-ce qu'un « bouc » dans le contexte des joutes de Sète ?</v>
      </c>
      <c r="I44" s="6" t="str">
        <f>IFERROR(__xludf.DUMMYFUNCTION("GOOGLETRANSLATE(C44, ""en"", ""fr"")"),"A) Le nom d'un jouteur célèbre, B) Un type de bateau, C) Un terme péjoratif pour un jouteur inexpérimenté, D) La chèvre offerte en prix au vainqueur")</f>
        <v>A) Le nom d'un jouteur célèbre, B) Un type de bateau, C) Un terme péjoratif pour un jouteur inexpérimenté, D) La chèvre offerte en prix au vainqueur</v>
      </c>
      <c r="J44" s="6" t="str">
        <f>IFERROR(__xludf.DUMMYFUNCTION("GOOGLETRANSLATE(D44, ""en"", ""fr"")"),"B) Un type de bateau")</f>
        <v>B) Un type de bateau</v>
      </c>
      <c r="K44" s="6" t="str">
        <f>IFERROR(__xludf.DUMMYFUNCTION("GOOGLETRANSLATE(E44, ""en"", ""fr"")"),"Le « bouc » est un type de bateau de pêche traditionnel dont sont issus les bateaux de joute rouges et bleus modernes.")</f>
        <v>Le « bouc » est un type de bateau de pêche traditionnel dont sont issus les bateaux de joute rouges et bleus modernes.</v>
      </c>
    </row>
    <row r="45" ht="22.5" customHeight="1">
      <c r="A45" s="4">
        <v>44.0</v>
      </c>
      <c r="B45" s="5" t="s">
        <v>181</v>
      </c>
      <c r="C45" s="5" t="s">
        <v>182</v>
      </c>
      <c r="D45" s="5" t="s">
        <v>183</v>
      </c>
      <c r="E45" s="5" t="s">
        <v>184</v>
      </c>
      <c r="G45" s="6" t="str">
        <f>IFERROR(__xludf.DUMMYFUNCTION("GOOGLETRANSLATE(A45, ""en"", ""fr"")"),"44")</f>
        <v>44</v>
      </c>
      <c r="H45" s="6" t="str">
        <f>IFERROR(__xludf.DUMMYFUNCTION("GOOGLETRANSLATE(B45, ""en"", ""fr"")"),"Quelle est la signification du « lundi de la Saint-Louis » pendant le festival ?")</f>
        <v>Quelle est la signification du « lundi de la Saint-Louis » pendant le festival ?</v>
      </c>
      <c r="I45" s="6" t="str">
        <f>IFERROR(__xludf.DUMMYFUNCTION("GOOGLETRANSLATE(C45, ""en"", ""fr"")"),"A) C'est le jour de l'ouverture, B) C'est le jour de la finale de la Gold Cup des poids lourds, C) C'est un jour de repos, D) C'est le jour des compétitions de jeunes")</f>
        <v>A) C'est le jour de l'ouverture, B) C'est le jour de la finale de la Gold Cup des poids lourds, C) C'est un jour de repos, D) C'est le jour des compétitions de jeunes</v>
      </c>
      <c r="J45" s="6" t="str">
        <f>IFERROR(__xludf.DUMMYFUNCTION("GOOGLETRANSLATE(D45, ""en"", ""fr"")"),"B) C'est le jour de la finale de la Gold Cup des poids lourds")</f>
        <v>B) C'est le jour de la finale de la Gold Cup des poids lourds</v>
      </c>
      <c r="K45" s="6" t="str">
        <f>IFERROR(__xludf.DUMMYFUNCTION("GOOGLETRANSLATE(E45, ""en"", ""fr"")"),"C'est le dernier jour, le plus important du tournoi, celui où se joue le prix le plus prestigieux de ce sport.")</f>
        <v>C'est le dernier jour, le plus important du tournoi, celui où se joue le prix le plus prestigieux de ce sport.</v>
      </c>
    </row>
    <row r="46" ht="22.5" customHeight="1">
      <c r="A46" s="4">
        <v>45.0</v>
      </c>
      <c r="B46" s="5" t="s">
        <v>185</v>
      </c>
      <c r="C46" s="5" t="s">
        <v>186</v>
      </c>
      <c r="D46" s="5" t="s">
        <v>187</v>
      </c>
      <c r="E46" s="5" t="s">
        <v>188</v>
      </c>
      <c r="G46" s="6" t="str">
        <f>IFERROR(__xludf.DUMMYFUNCTION("GOOGLETRANSLATE(A46, ""en"", ""fr"")"),"45")</f>
        <v>45</v>
      </c>
      <c r="H46" s="6" t="str">
        <f>IFERROR(__xludf.DUMMYFUNCTION("GOOGLETRANSLATE(B46, ""en"", ""fr"")"),"Par quel organisme les règles de la méthode languedocienne ont-elles été codifiées formellement pour la première fois ?")</f>
        <v>Par quel organisme les règles de la méthode languedocienne ont-elles été codifiées formellement pour la première fois ?</v>
      </c>
      <c r="I46" s="6" t="str">
        <f>IFERROR(__xludf.DUMMYFUNCTION("GOOGLETRANSLATE(C46, ""en"", ""fr"")"),"A) Le gouvernement français, B) La ville de Sète, C) Les sociétés de joutes elles-mêmes, D) L'ITPF")</f>
        <v>A) Le gouvernement français, B) La ville de Sète, C) Les sociétés de joutes elles-mêmes, D) L'ITPF</v>
      </c>
      <c r="J46" s="6" t="str">
        <f>IFERROR(__xludf.DUMMYFUNCTION("GOOGLETRANSLATE(D46, ""en"", ""fr"")"),"C) Les sociétés de joutes elles-mêmes")</f>
        <v>C) Les sociétés de joutes elles-mêmes</v>
      </c>
      <c r="K46" s="6" t="str">
        <f>IFERROR(__xludf.DUMMYFUNCTION("GOOGLETRANSLATE(E46, ""en"", ""fr"")"),"Les règles de ce sport ont évolué au fil des siècles et ont été formellement mises par écrit et approuvées par les clubs de joutes locaux.")</f>
        <v>Les règles de ce sport ont évolué au fil des siècles et ont été formellement mises par écrit et approuvées par les clubs de joutes locaux.</v>
      </c>
    </row>
    <row r="47" ht="22.5" customHeight="1">
      <c r="A47" s="4">
        <v>46.0</v>
      </c>
      <c r="B47" s="5" t="s">
        <v>189</v>
      </c>
      <c r="C47" s="5" t="s">
        <v>190</v>
      </c>
      <c r="D47" s="5" t="s">
        <v>191</v>
      </c>
      <c r="E47" s="5" t="s">
        <v>192</v>
      </c>
      <c r="G47" s="6" t="str">
        <f>IFERROR(__xludf.DUMMYFUNCTION("GOOGLETRANSLATE(A47, ""en"", ""fr"")"),"46")</f>
        <v>46</v>
      </c>
      <c r="H47" s="6" t="str">
        <f>IFERROR(__xludf.DUMMYFUNCTION("GOOGLETRANSLATE(B47, ""en"", ""fr"")"),"Quelle est la principale différence entre les lances utilisées dans la méthode alsacienne ?")</f>
        <v>Quelle est la principale différence entre les lances utilisées dans la méthode alsacienne ?</v>
      </c>
      <c r="I47" s="6" t="str">
        <f>IFERROR(__xludf.DUMMYFUNCTION("GOOGLETRANSLATE(C47, ""en"", ""fr"")"),"A) Ils sont beaucoup plus courts, B) Ils ont un embout rembourré, C) Ils sont en métal, D) Ils sont beaucoup plus longs et plus lourds")</f>
        <v>A) Ils sont beaucoup plus courts, B) Ils ont un embout rembourré, C) Ils sont en métal, D) Ils sont beaucoup plus longs et plus lourds</v>
      </c>
      <c r="J47" s="6" t="str">
        <f>IFERROR(__xludf.DUMMYFUNCTION("GOOGLETRANSLATE(D47, ""en"", ""fr"")"),"D) Ils sont beaucoup plus longs et plus lourds")</f>
        <v>D) Ils sont beaucoup plus longs et plus lourds</v>
      </c>
      <c r="K47" s="6" t="str">
        <f>IFERROR(__xludf.DUMMYFUNCTION("GOOGLETRANSLATE(E47, ""en"", ""fr"")"),"La méthode alsacienne utilise des lances très longues et lourdes et exige que les jouteurs soient attachés à leurs plateformes pour plus de stabilité.")</f>
        <v>La méthode alsacienne utilise des lances très longues et lourdes et exige que les jouteurs soient attachés à leurs plateformes pour plus de stabilité.</v>
      </c>
    </row>
    <row r="48" ht="22.5" customHeight="1">
      <c r="A48" s="4">
        <v>47.0</v>
      </c>
      <c r="B48" s="5" t="s">
        <v>193</v>
      </c>
      <c r="C48" s="5" t="s">
        <v>194</v>
      </c>
      <c r="D48" s="5" t="s">
        <v>195</v>
      </c>
      <c r="E48" s="5" t="s">
        <v>196</v>
      </c>
      <c r="G48" s="6" t="str">
        <f>IFERROR(__xludf.DUMMYFUNCTION("GOOGLETRANSLATE(A48, ""en"", ""fr"")"),"47")</f>
        <v>47</v>
      </c>
      <c r="H48" s="6" t="str">
        <f>IFERROR(__xludf.DUMMYFUNCTION("GOOGLETRANSLATE(B48, ""en"", ""fr"")"),"À quel siècle les joutes nautiques sont-elles passées d'un passe-temps noble à un sport populaire ouvrier ?")</f>
        <v>À quel siècle les joutes nautiques sont-elles passées d'un passe-temps noble à un sport populaire ouvrier ?</v>
      </c>
      <c r="I48" s="6" t="str">
        <f>IFERROR(__xludf.DUMMYFUNCTION("GOOGLETRANSLATE(C48, ""en"", ""fr"")"),"A) Le XVIe siècle, B) Le XVIIe siècle, C) Le XVIIIe siècle, D) Le XIXe siècle")</f>
        <v>A) Le XVIe siècle, B) Le XVIIe siècle, C) Le XVIIIe siècle, D) Le XIXe siècle</v>
      </c>
      <c r="J48" s="6" t="str">
        <f>IFERROR(__xludf.DUMMYFUNCTION("GOOGLETRANSLATE(D48, ""en"", ""fr"")"),"C) Le XVIIIe siècle")</f>
        <v>C) Le XVIIIe siècle</v>
      </c>
      <c r="K48" s="6" t="str">
        <f>IFERROR(__xludf.DUMMYFUNCTION("GOOGLETRANSLATE(E48, ""en"", ""fr"")"),"Après la Révolution française et le déclin de la monarchie, ce sport perdit son patronage royal et s'associa davantage aux communautés locales et ouvrières.")</f>
        <v>Après la Révolution française et le déclin de la monarchie, ce sport perdit son patronage royal et s'associa davantage aux communautés locales et ouvrières.</v>
      </c>
    </row>
    <row r="49" ht="22.5" customHeight="1">
      <c r="A49" s="4">
        <v>48.0</v>
      </c>
      <c r="B49" s="5" t="s">
        <v>197</v>
      </c>
      <c r="C49" s="5" t="s">
        <v>198</v>
      </c>
      <c r="D49" s="5" t="s">
        <v>199</v>
      </c>
      <c r="E49" s="5" t="s">
        <v>200</v>
      </c>
      <c r="G49" s="6" t="str">
        <f>IFERROR(__xludf.DUMMYFUNCTION("GOOGLETRANSLATE(A49, ""en"", ""fr"")"),"48")</f>
        <v>48</v>
      </c>
      <c r="H49" s="6" t="str">
        <f>IFERROR(__xludf.DUMMYFUNCTION("GOOGLETRANSLATE(B49, ""en"", ""fr"")"),"La ville d'Aigues-Mortes est historiquement importante car elle fut le point de départ de quelles croisades ?")</f>
        <v>La ville d'Aigues-Mortes est historiquement importante car elle fut le point de départ de quelles croisades ?</v>
      </c>
      <c r="I49" s="6" t="str">
        <f>IFERROR(__xludf.DUMMYFUNCTION("GOOGLETRANSLATE(C49, ""en"", ""fr"")"),"A) La première et la deuxième croisade, B) La quatrième croisade, C) La septième et la huitième croisade, D) La croisade des enfants")</f>
        <v>A) La première et la deuxième croisade, B) La quatrième croisade, C) La septième et la huitième croisade, D) La croisade des enfants</v>
      </c>
      <c r="J49" s="6" t="str">
        <f>IFERROR(__xludf.DUMMYFUNCTION("GOOGLETRANSLATE(D49, ""en"", ""fr"")"),"C) Les septième et huitième croisades")</f>
        <v>C) Les septième et huitième croisades</v>
      </c>
      <c r="K49" s="6" t="str">
        <f>IFERROR(__xludf.DUMMYFUNCTION("GOOGLETRANSLATE(E49, ""en"", ""fr"")"),"Ces deux croisades furent menées par le roi Louis IX (Saint Louis), le saint patron des fêtes de Sète.")</f>
        <v>Ces deux croisades furent menées par le roi Louis IX (Saint Louis), le saint patron des fêtes de Sète.</v>
      </c>
    </row>
    <row r="50" ht="22.5" customHeight="1">
      <c r="A50" s="4">
        <v>49.0</v>
      </c>
      <c r="B50" s="5" t="s">
        <v>201</v>
      </c>
      <c r="C50" s="5" t="s">
        <v>202</v>
      </c>
      <c r="D50" s="5" t="s">
        <v>203</v>
      </c>
      <c r="E50" s="5" t="s">
        <v>204</v>
      </c>
      <c r="G50" s="6" t="str">
        <f>IFERROR(__xludf.DUMMYFUNCTION("GOOGLETRANSLATE(A50, ""en"", ""fr"")"),"49")</f>
        <v>49</v>
      </c>
      <c r="H50" s="6" t="str">
        <f>IFERROR(__xludf.DUMMYFUNCTION("GOOGLETRANSLATE(B50, ""en"", ""fr"")"),"Quel est le but principal de la pointe en fer à trois branches (trois-pointes) de la lance ?")</f>
        <v>Quel est le but principal de la pointe en fer à trois branches (trois-pointes) de la lance ?</v>
      </c>
      <c r="I50" s="6" t="str">
        <f>IFERROR(__xludf.DUMMYFUNCTION("GOOGLETRANSLATE(C50, ""en"", ""fr"")"),"A) Pour blesser l'adversaire, B) Pour mieux agripper le bouclier en bois de l'adversaire, C) C'est purement décoratif, D) Pour briser la lance de l'adversaire")</f>
        <v>A) Pour blesser l'adversaire, B) Pour mieux agripper le bouclier en bois de l'adversaire, C) C'est purement décoratif, D) Pour briser la lance de l'adversaire</v>
      </c>
      <c r="J50" s="6" t="str">
        <f>IFERROR(__xludf.DUMMYFUNCTION("GOOGLETRANSLATE(D50, ""en"", ""fr"")"),"B) Pour une meilleure prise sur le bouclier en bois de l'adversaire")</f>
        <v>B) Pour une meilleure prise sur le bouclier en bois de l'adversaire</v>
      </c>
      <c r="K50" s="6" t="str">
        <f>IFERROR(__xludf.DUMMYFUNCTION("GOOGLETRANSLATE(E50, ""en"", ""fr"")"),"Les trois points sont conçus pour s'ancrer dans le bois du pavois, assurant une connexion solide capable de déstabiliser l'adversaire.")</f>
        <v>Les trois points sont conçus pour s'ancrer dans le bois du pavois, assurant une connexion solide capable de déstabiliser l'adversaire.</v>
      </c>
    </row>
    <row r="51" ht="22.5" customHeight="1">
      <c r="A51" s="4">
        <v>50.0</v>
      </c>
      <c r="B51" s="5" t="s">
        <v>205</v>
      </c>
      <c r="C51" s="5" t="s">
        <v>206</v>
      </c>
      <c r="D51" s="5" t="s">
        <v>207</v>
      </c>
      <c r="E51" s="5" t="s">
        <v>208</v>
      </c>
      <c r="G51" s="6" t="str">
        <f>IFERROR(__xludf.DUMMYFUNCTION("GOOGLETRANSLATE(A51, ""en"", ""fr"")"),"50")</f>
        <v>50</v>
      </c>
      <c r="H51" s="6" t="str">
        <f>IFERROR(__xludf.DUMMYFUNCTION("GOOGLETRANSLATE(B51, ""en"", ""fr"")"),"Quelle est la raison historique de la forte tradition des « familles de jouteurs » à Sète ?")</f>
        <v>Quelle est la raison historique de la forte tradition des « familles de jouteurs » à Sète ?</v>
      </c>
      <c r="I51" s="6" t="str">
        <f>IFERROR(__xludf.DUMMYFUNCTION("GOOGLETRANSLATE(C51, ""en"", ""fr"")"),"A) Il est obligatoire d'appartenir à une telle famille pour participer à la compétition. B) Les compétences et les traditions se transmettaient directement de père en fils. C) Ces familles étaient les plus riches. D) Ces familles étaient les seules autori"&amp;"sées à posséder des bateaux.")</f>
        <v>A) Il est obligatoire d'appartenir à une telle famille pour participer à la compétition. B) Les compétences et les traditions se transmettaient directement de père en fils. C) Ces familles étaient les plus riches. D) Ces familles étaient les seules autorisées à posséder des bateaux.</v>
      </c>
      <c r="J51" s="6" t="str">
        <f>IFERROR(__xludf.DUMMYFUNCTION("GOOGLETRANSLATE(D51, ""en"", ""fr"")"),"B) Les compétences et les traditions se transmettaient directement de père en fils.")</f>
        <v>B) Les compétences et les traditions se transmettaient directement de père en fils.</v>
      </c>
      <c r="K51" s="6" t="str">
        <f>IFERROR(__xludf.DUMMYFUNCTION("GOOGLETRANSLATE(E51, ""en"", ""fr"")"),"Depuis des générations, l'art des joutes était une affaire de famille, le savoir et la passion se transmettant de génération en génération.")</f>
        <v>Depuis des générations, l'art des joutes était une affaire de famille, le savoir et la passion se transmettant de génération en génération.</v>
      </c>
    </row>
    <row r="52" ht="22.5" customHeight="1">
      <c r="A52" s="4">
        <v>51.0</v>
      </c>
      <c r="B52" s="5" t="s">
        <v>209</v>
      </c>
      <c r="C52" s="5" t="s">
        <v>210</v>
      </c>
      <c r="D52" s="5" t="s">
        <v>211</v>
      </c>
      <c r="E52" s="5" t="s">
        <v>212</v>
      </c>
      <c r="G52" s="6" t="str">
        <f>IFERROR(__xludf.DUMMYFUNCTION("GOOGLETRANSLATE(A52, ""en"", ""fr"")"),"51")</f>
        <v>51</v>
      </c>
      <c r="H52" s="6" t="str">
        <f>IFERROR(__xludf.DUMMYFUNCTION("GOOGLETRANSLATE(B52, ""en"", ""fr"")"),"La Fédération française moderne de ce sport inclut également les mots « Sauvetage Nautique » dans son nom. Pourquoi ?")</f>
        <v>La Fédération française moderne de ce sport inclut également les mots « Sauvetage Nautique » dans son nom. Pourquoi ?</v>
      </c>
      <c r="I52" s="6" t="str">
        <f>IFERROR(__xludf.DUMMYFUNCTION("GOOGLETRANSLATE(C52, ""en"", ""fr"")"),"A) Parce que ce sport est dangereux, B) C'est un héritage historique du rôle des sociétés de joutes lors des sauvetages en cas d'inondation au XIXe siècle, C) Tous les jouteurs doivent également être sauveteurs certifiés, D) C'est une obligation gouvernem"&amp;"entale")</f>
        <v>A) Parce que ce sport est dangereux, B) C'est un héritage historique du rôle des sociétés de joutes lors des sauvetages en cas d'inondation au XIXe siècle, C) Tous les jouteurs doivent également être sauveteurs certifiés, D) C'est une obligation gouvernementale</v>
      </c>
      <c r="J52" s="6" t="str">
        <f>IFERROR(__xludf.DUMMYFUNCTION("GOOGLETRANSLATE(D52, ""en"", ""fr"")"),"B) Il s'agit d'un héritage historique issu du rôle joué par les sociétés de joutes lors des sauvetages en cas d'inondation au XIXe siècle.")</f>
        <v>B) Il s'agit d'un héritage historique issu du rôle joué par les sociétés de joutes lors des sauvetages en cas d'inondation au XIXe siècle.</v>
      </c>
      <c r="K52" s="6" t="str">
        <f>IFERROR(__xludf.DUMMYFUNCTION("GOOGLETRANSLATE(E52, ""en"", ""fr"")"),"Ce nom rend hommage à l'histoire des clubs fondateurs, qui étaient des syndicats de bateliers servant de premiers intervenants officiels lors des inondations.")</f>
        <v>Ce nom rend hommage à l'histoire des clubs fondateurs, qui étaient des syndicats de bateliers servant de premiers intervenants officiels lors des inondations.</v>
      </c>
    </row>
    <row r="53" ht="22.5" customHeight="1">
      <c r="A53" s="4">
        <v>52.0</v>
      </c>
      <c r="B53" s="5" t="s">
        <v>213</v>
      </c>
      <c r="C53" s="5" t="s">
        <v>214</v>
      </c>
      <c r="D53" s="5" t="s">
        <v>215</v>
      </c>
      <c r="E53" s="5" t="s">
        <v>216</v>
      </c>
      <c r="G53" s="6" t="str">
        <f>IFERROR(__xludf.DUMMYFUNCTION("GOOGLETRANSLATE(A53, ""en"", ""fr"")"),"52")</f>
        <v>52</v>
      </c>
      <c r="H53" s="6" t="str">
        <f>IFERROR(__xludf.DUMMYFUNCTION("GOOGLETRANSLATE(B53, ""en"", ""fr"")"),"Quelle est une caractéristique essentielle de la méthode de joute « provençale » ?")</f>
        <v>Quelle est une caractéristique essentielle de la méthode de joute « provençale » ?</v>
      </c>
      <c r="I53" s="6" t="str">
        <f>IFERROR(__xludf.DUMMYFUNCTION("GOOGLETRANSLATE(C53, ""en"", ""fr"")"),"A) Le jouteur s'assoit. B) Le jouteur ne doit pas tomber à l'eau, mais doit rester sur une plateforme spéciale. C) Les bateaux sont extrêmement grands. D) Les lances sont très courtes.")</f>
        <v>A) Le jouteur s'assoit. B) Le jouteur ne doit pas tomber à l'eau, mais doit rester sur une plateforme spéciale. C) Les bateaux sont extrêmement grands. D) Les lances sont très courtes.</v>
      </c>
      <c r="J53" s="6" t="str">
        <f>IFERROR(__xludf.DUMMYFUNCTION("GOOGLETRANSLATE(D53, ""en"", ""fr"")"),"B) Le jouteur ne doit pas tomber à l'eau, mais doit rester sur une plateforme spéciale.")</f>
        <v>B) Le jouteur ne doit pas tomber à l'eau, mais doit rester sur une plateforme spéciale.</v>
      </c>
      <c r="K53" s="6" t="str">
        <f>IFERROR(__xludf.DUMMYFUNCTION("GOOGLETRANSLATE(E53, ""en"", ""fr"")"),"Dans cette méthode, le but est de faire tomber l'adversaire de la tintaine, mais le vainqueur doit rester parfaitement en équilibre sur sa propre plateforme pour marquer.")</f>
        <v>Dans cette méthode, le but est de faire tomber l'adversaire de la tintaine, mais le vainqueur doit rester parfaitement en équilibre sur sa propre plateforme pour marquer.</v>
      </c>
    </row>
    <row r="54" ht="22.5" customHeight="1">
      <c r="A54" s="4">
        <v>53.0</v>
      </c>
      <c r="B54" s="5" t="s">
        <v>217</v>
      </c>
      <c r="C54" s="5" t="s">
        <v>218</v>
      </c>
      <c r="D54" s="5" t="s">
        <v>219</v>
      </c>
      <c r="E54" s="5" t="s">
        <v>220</v>
      </c>
      <c r="G54" s="6" t="str">
        <f>IFERROR(__xludf.DUMMYFUNCTION("GOOGLETRANSLATE(A54, ""en"", ""fr"")"),"53")</f>
        <v>53</v>
      </c>
      <c r="H54" s="6" t="str">
        <f>IFERROR(__xludf.DUMMYFUNCTION("GOOGLETRANSLATE(B54, ""en"", ""fr"")"),"Qu’est-ce qu’un « cheval marin » dans le contexte des tournois de joutes historiques ?")</f>
        <v>Qu’est-ce qu’un « cheval marin » dans le contexte des tournois de joutes historiques ?</v>
      </c>
      <c r="I54" s="6" t="str">
        <f>IFERROR(__xludf.DUMMYFUNCTION("GOOGLETRANSLATE(C54, ""en"", ""fr"")"),"A) Le nom d'un bateau célèbre, B) Un char élaboré, souvent en forme de créature marine mythique, utilisé lors des fêtes nautiques royales, C) Un type de poisson, D) Le surnom d'un jouteur champion")</f>
        <v>A) Le nom d'un bateau célèbre, B) Un char élaboré, souvent en forme de créature marine mythique, utilisé lors des fêtes nautiques royales, C) Un type de poisson, D) Le surnom d'un jouteur champion</v>
      </c>
      <c r="J54" s="6" t="str">
        <f>IFERROR(__xludf.DUMMYFUNCTION("GOOGLETRANSLATE(D54, ""en"", ""fr"")"),"B) Un char élaboré, souvent en forme de créature marine mythique, utilisé lors des fêtes royales de l'eau")</f>
        <v>B) Un char élaboré, souvent en forme de créature marine mythique, utilisé lors des fêtes royales de l'eau</v>
      </c>
      <c r="K54" s="6" t="str">
        <f>IFERROR(__xludf.DUMMYFUNCTION("GOOGLETRANSLATE(E54, ""en"", ""fr"")"),"Les fêtes nautiques de la Renaissance comprenaient souvent des chars allégoriques fantastiques et des batailles simulées entre bateaux conçus pour ressembler à des monstres marins.")</f>
        <v>Les fêtes nautiques de la Renaissance comprenaient souvent des chars allégoriques fantastiques et des batailles simulées entre bateaux conçus pour ressembler à des monstres marins.</v>
      </c>
    </row>
    <row r="55" ht="22.5" customHeight="1">
      <c r="A55" s="4">
        <v>54.0</v>
      </c>
      <c r="B55" s="5" t="s">
        <v>221</v>
      </c>
      <c r="C55" s="5" t="s">
        <v>222</v>
      </c>
      <c r="D55" s="5" t="s">
        <v>223</v>
      </c>
      <c r="E55" s="5" t="s">
        <v>224</v>
      </c>
      <c r="G55" s="6" t="str">
        <f>IFERROR(__xludf.DUMMYFUNCTION("GOOGLETRANSLATE(A55, ""en"", ""fr"")"),"54")</f>
        <v>54</v>
      </c>
      <c r="H55" s="6" t="str">
        <f>IFERROR(__xludf.DUMMYFUNCTION("GOOGLETRANSLATE(B55, ""en"", ""fr"")"),"Qu'est-ce qu'une ""Barque de parade"" ?")</f>
        <v>Qu'est-ce qu'une "Barque de parade" ?</v>
      </c>
      <c r="I55" s="6" t="str">
        <f>IFERROR(__xludf.DUMMYFUNCTION("GOOGLETRANSLATE(C55, ""en"", ""fr"")"),"A) Le bateau utilisé pour la finale, B) Le bateau richement décoré servant à transporter les officiels et les musiciens de la société de joutes, C) Un bateau pour les spectateurs, D) Un bateau d'entraînement")</f>
        <v>A) Le bateau utilisé pour la finale, B) Le bateau richement décoré servant à transporter les officiels et les musiciens de la société de joutes, C) Un bateau pour les spectateurs, D) Un bateau d'entraînement</v>
      </c>
      <c r="J55" s="6" t="str">
        <f>IFERROR(__xludf.DUMMYFUNCTION("GOOGLETRANSLATE(D55, ""en"", ""fr"")"),"B) Le bateau richement décoré utilisé pour transporter les officiels et les musiciens de la société de joutes.")</f>
        <v>B) Le bateau richement décoré utilisé pour transporter les officiels et les musiciens de la société de joutes.</v>
      </c>
      <c r="K55" s="6" t="str">
        <f>IFERROR(__xludf.DUMMYFUNCTION("GOOGLETRANSLATE(E55, ""en"", ""fr"")"),"Avant la compétition, un défilé de bateaux a lieu, mené par le bateau de parade de chaque club de joutes.")</f>
        <v>Avant la compétition, un défilé de bateaux a lieu, mené par le bateau de parade de chaque club de joutes.</v>
      </c>
    </row>
    <row r="56" ht="22.5" customHeight="1">
      <c r="A56" s="4">
        <v>55.0</v>
      </c>
      <c r="B56" s="5" t="s">
        <v>225</v>
      </c>
      <c r="C56" s="5" t="s">
        <v>226</v>
      </c>
      <c r="D56" s="5" t="s">
        <v>227</v>
      </c>
      <c r="E56" s="5" t="s">
        <v>228</v>
      </c>
      <c r="G56" s="6" t="str">
        <f>IFERROR(__xludf.DUMMYFUNCTION("GOOGLETRANSLATE(A56, ""en"", ""fr"")"),"55")</f>
        <v>55</v>
      </c>
      <c r="H56" s="6" t="str">
        <f>IFERROR(__xludf.DUMMYFUNCTION("GOOGLETRANSLATE(B56, ""en"", ""fr"")"),"Quel est le rôle principal du président d'une société de joutes ?")</f>
        <v>Quel est le rôle principal du président d'une société de joutes ?</v>
      </c>
      <c r="I56" s="6" t="str">
        <f>IFERROR(__xludf.DUMMYFUNCTION("GOOGLETRANSLATE(C56, ""en"", ""fr"")"),"A) Être le meilleur jouteur, B) Agir en tant qu'administrateur principal, mécène et représentant du club, C) Être l'arbitre principal, D) Construire les bateaux")</f>
        <v>A) Être le meilleur jouteur, B) Agir en tant qu'administrateur principal, mécène et représentant du club, C) Être l'arbitre principal, D) Construire les bateaux</v>
      </c>
      <c r="J56" s="6" t="str">
        <f>IFERROR(__xludf.DUMMYFUNCTION("GOOGLETRANSLATE(D56, ""en"", ""fr"")"),"B) Agir en tant qu'administrateur principal, mécène et représentant du club")</f>
        <v>B) Agir en tant qu'administrateur principal, mécène et représentant du club</v>
      </c>
      <c r="K56" s="6" t="str">
        <f>IFERROR(__xludf.DUMMYFUNCTION("GOOGLETRANSLATE(E56, ""en"", ""fr"")"),"Le président est le dirigeant de la société, responsable de son organisation, de ses finances et du respect de ses traditions.")</f>
        <v>Le président est le dirigeant de la société, responsable de son organisation, de ses finances et du respect de ses traditions.</v>
      </c>
    </row>
    <row r="57" ht="22.5" customHeight="1">
      <c r="A57" s="4">
        <v>56.0</v>
      </c>
      <c r="B57" s="5" t="s">
        <v>229</v>
      </c>
      <c r="C57" s="5" t="s">
        <v>230</v>
      </c>
      <c r="D57" s="5" t="s">
        <v>231</v>
      </c>
      <c r="E57" s="5" t="s">
        <v>232</v>
      </c>
      <c r="G57" s="6" t="str">
        <f>IFERROR(__xludf.DUMMYFUNCTION("GOOGLETRANSLATE(A57, ""en"", ""fr"")"),"56")</f>
        <v>56</v>
      </c>
      <c r="H57" s="6" t="str">
        <f>IFERROR(__xludf.DUMMYFUNCTION("GOOGLETRANSLATE(B57, ""en"", ""fr"")"),"À quel groupe historique la tradition des joutes de la ville de Lyon est-elle liée ?")</f>
        <v>À quel groupe historique la tradition des joutes de la ville de Lyon est-elle liée ?</v>
      </c>
      <c r="I57" s="6" t="str">
        <f>IFERROR(__xludf.DUMMYFUNCTION("GOOGLETRANSLATE(C57, ""en"", ""fr"")"),"A) Les pêcheurs de la Saône, B) Les tisserands de soie, C) Les marins fluviaux et les bateliers qui transportaient des marchandises, D) Les gardes royaux")</f>
        <v>A) Les pêcheurs de la Saône, B) Les tisserands de soie, C) Les marins fluviaux et les bateliers qui transportaient des marchandises, D) Les gardes royaux</v>
      </c>
      <c r="J57" s="6" t="str">
        <f>IFERROR(__xludf.DUMMYFUNCTION("GOOGLETRANSLATE(D57, ""en"", ""fr"")"),"C) Les marins et bateliers fluviaux qui transportaient des marchandises")</f>
        <v>C) Les marins et bateliers fluviaux qui transportaient des marchandises</v>
      </c>
      <c r="K57" s="6" t="str">
        <f>IFERROR(__xludf.DUMMYFUNCTION("GOOGLETRANSLATE(E57, ""en"", ""fr"")"),"Les puissantes guildes de bateliers qui contrôlaient le commerce sur le Rhône et la Saône furent les organisatrices initiales de ce sport à Lyon.")</f>
        <v>Les puissantes guildes de bateliers qui contrôlaient le commerce sur le Rhône et la Saône furent les organisatrices initiales de ce sport à Lyon.</v>
      </c>
    </row>
    <row r="58" ht="22.5" customHeight="1">
      <c r="A58" s="4">
        <v>57.0</v>
      </c>
      <c r="B58" s="5" t="s">
        <v>233</v>
      </c>
      <c r="C58" s="5" t="s">
        <v>234</v>
      </c>
      <c r="D58" s="5" t="s">
        <v>235</v>
      </c>
      <c r="E58" s="5" t="s">
        <v>236</v>
      </c>
      <c r="G58" s="6" t="str">
        <f>IFERROR(__xludf.DUMMYFUNCTION("GOOGLETRANSLATE(A58, ""en"", ""fr"")"),"57")</f>
        <v>57</v>
      </c>
      <c r="H58" s="6" t="str">
        <f>IFERROR(__xludf.DUMMYFUNCTION("GOOGLETRANSLATE(B58, ""en"", ""fr"")"),"Au XVIIIe siècle, quelle était la récompense courante pour un jouteur victorieux ?")</f>
        <v>Au XVIIIe siècle, quelle était la récompense courante pour un jouteur victorieux ?</v>
      </c>
      <c r="I58" s="6" t="str">
        <f>IFERROR(__xludf.DUMMYFUNCTION("GOOGLETRANSLATE(C58, ""en"", ""fr"")"),"A) Un mouton vivant ou un tonneau de vin, B) Une grosse somme d'or, C) Un titre de noblesse, D) Un bateau neuf")</f>
        <v>A) Un mouton vivant ou un tonneau de vin, B) Une grosse somme d'or, C) Un titre de noblesse, D) Un bateau neuf</v>
      </c>
      <c r="J58" s="6" t="str">
        <f>IFERROR(__xludf.DUMMYFUNCTION("GOOGLETRANSLATE(D58, ""en"", ""fr"")"),"A) Un mouton vivant ou un tonneau de vin")</f>
        <v>A) Un mouton vivant ou un tonneau de vin</v>
      </c>
      <c r="K58" s="6" t="str">
        <f>IFERROR(__xludf.DUMMYFUNCTION("GOOGLETRANSLATE(E58, ""en"", ""fr"")"),"Avant que les gros prix en espèces ne deviennent courants, les récompenses étaient souvent pratiques et symboliques, comme du bétail ou des produits agricoles.")</f>
        <v>Avant que les gros prix en espèces ne deviennent courants, les récompenses étaient souvent pratiques et symboliques, comme du bétail ou des produits agricoles.</v>
      </c>
    </row>
    <row r="59" ht="22.5" customHeight="1">
      <c r="A59" s="4">
        <v>58.0</v>
      </c>
      <c r="B59" s="5" t="s">
        <v>237</v>
      </c>
      <c r="C59" s="5" t="s">
        <v>238</v>
      </c>
      <c r="D59" s="5" t="s">
        <v>239</v>
      </c>
      <c r="E59" s="5" t="s">
        <v>240</v>
      </c>
      <c r="G59" s="6" t="str">
        <f>IFERROR(__xludf.DUMMYFUNCTION("GOOGLETRANSLATE(A59, ""en"", ""fr"")"),"58")</f>
        <v>58</v>
      </c>
      <c r="H59" s="6" t="str">
        <f>IFERROR(__xludf.DUMMYFUNCTION("GOOGLETRANSLATE(B59, ""en"", ""fr"")"),"Quelle est la principale caractéristique du style de joute de la méthode « parisienne » ?")</f>
        <v>Quelle est la principale caractéristique du style de joute de la méthode « parisienne » ?</v>
      </c>
      <c r="I59" s="6" t="str">
        <f>IFERROR(__xludf.DUMMYFUNCTION("GOOGLETRANSLATE(C59, ""en"", ""fr"")"),"A) C'est la méthode la plus rapide, B) Elle se déroule sur deux plates-formes fixes, les jouteurs étant tirés l'un vers l'autre sur un char coulissant, C) Elle se joue sur la mer, D) Elle utilise les lances les plus longues")</f>
        <v>A) C'est la méthode la plus rapide, B) Elle se déroule sur deux plates-formes fixes, les jouteurs étant tirés l'un vers l'autre sur un char coulissant, C) Elle se joue sur la mer, D) Elle utilise les lances les plus longues</v>
      </c>
      <c r="J59" s="6" t="str">
        <f>IFERROR(__xludf.DUMMYFUNCTION("GOOGLETRANSLATE(D59, ""en"", ""fr"")"),"B) Le combat se déroule sur deux plateformes fixes, les jouteurs étant tirés l'un vers l'autre sur un char coulissant.")</f>
        <v>B) Le combat se déroule sur deux plateformes fixes, les jouteurs étant tirés l'un vers l'autre sur un char coulissant.</v>
      </c>
      <c r="K59" s="6" t="str">
        <f>IFERROR(__xludf.DUMMYFUNCTION("GOOGLETRANSLATE(E59, ""en"", ""fr"")"),"Cette méthode unique, pratiquée sur les canaux de Paris et de ses environs, est très différente des styles de navigation du sud.")</f>
        <v>Cette méthode unique, pratiquée sur les canaux de Paris et de ses environs, est très différente des styles de navigation du sud.</v>
      </c>
    </row>
    <row r="60" ht="22.5" customHeight="1">
      <c r="A60" s="4">
        <v>59.0</v>
      </c>
      <c r="B60" s="5" t="s">
        <v>241</v>
      </c>
      <c r="C60" s="5" t="s">
        <v>242</v>
      </c>
      <c r="D60" s="5" t="s">
        <v>243</v>
      </c>
      <c r="E60" s="5" t="s">
        <v>244</v>
      </c>
      <c r="G60" s="6" t="str">
        <f>IFERROR(__xludf.DUMMYFUNCTION("GOOGLETRANSLATE(A60, ""en"", ""fr"")"),"59")</f>
        <v>59</v>
      </c>
      <c r="H60" s="6" t="str">
        <f>IFERROR(__xludf.DUMMYFUNCTION("GOOGLETRANSLATE(B60, ""en"", ""fr"")"),"Quelle est la signification historique de l'année 1666 pour la ville de Sète ?")</f>
        <v>Quelle est la signification historique de l'année 1666 pour la ville de Sète ?</v>
      </c>
      <c r="I60" s="6" t="str">
        <f>IFERROR(__xludf.DUMMYFUNCTION("GOOGLETRANSLATE(C60, ""en"", ""fr"")"),"A) Ce fut l'année d'une grande victoire navale. B) Ce fut l'année de la fondation officielle de la ville par décret royal. C) Ce fut l'année du premier festival de Saint-Louis. D) B et C.")</f>
        <v>A) Ce fut l'année d'une grande victoire navale. B) Ce fut l'année de la fondation officielle de la ville par décret royal. C) Ce fut l'année du premier festival de Saint-Louis. D) B et C.</v>
      </c>
      <c r="J60" s="6" t="str">
        <f>IFERROR(__xludf.DUMMYFUNCTION("GOOGLETRANSLATE(D60, ""en"", ""fr"")"),"D) B et C")</f>
        <v>D) B et C</v>
      </c>
      <c r="K60" s="6" t="str">
        <f>IFERROR(__xludf.DUMMYFUNCTION("GOOGLETRANSLATE(E60, ""en"", ""fr"")"),"La ville fut fondée pour desservir le Canal du Midi, et la toute première fête de Saint-Louis, avec son tournoi de joutes, eut lieu la même année.")</f>
        <v>La ville fut fondée pour desservir le Canal du Midi, et la toute première fête de Saint-Louis, avec son tournoi de joutes, eut lieu la même année.</v>
      </c>
    </row>
    <row r="61" ht="22.5" customHeight="1">
      <c r="A61" s="4">
        <v>60.0</v>
      </c>
      <c r="B61" s="5" t="s">
        <v>245</v>
      </c>
      <c r="C61" s="5" t="s">
        <v>246</v>
      </c>
      <c r="D61" s="5" t="s">
        <v>247</v>
      </c>
      <c r="E61" s="5" t="s">
        <v>248</v>
      </c>
      <c r="G61" s="6" t="str">
        <f>IFERROR(__xludf.DUMMYFUNCTION("GOOGLETRANSLATE(A61, ""en"", ""fr"")"),"60")</f>
        <v>60</v>
      </c>
      <c r="H61" s="6" t="str">
        <f>IFERROR(__xludf.DUMMYFUNCTION("GOOGLETRANSLATE(B61, ""en"", ""fr"")"),"Les chroniques médiévales décrivent souvent les joutes comme étant organisées dans quel but ?")</f>
        <v>Les chroniques médiévales décrivent souvent les joutes comme étant organisées dans quel but ?</v>
      </c>
      <c r="I61" s="6" t="str">
        <f>IFERROR(__xludf.DUMMYFUNCTION("GOOGLETRANSLATE(C61, ""en"", ""fr"")"),"A) Pour régler des litiges juridiques, B) Pour célébrer l'entrée d'un roi dans une ville, un mariage ou une naissance, C) Comme événement sportif hebdomadaire, D) Comme moyen de sélectionner des soldats")</f>
        <v>A) Pour régler des litiges juridiques, B) Pour célébrer l'entrée d'un roi dans une ville, un mariage ou une naissance, C) Comme événement sportif hebdomadaire, D) Comme moyen de sélectionner des soldats</v>
      </c>
      <c r="J61" s="6" t="str">
        <f>IFERROR(__xludf.DUMMYFUNCTION("GOOGLETRANSLATE(D61, ""en"", ""fr"")"),"B) Pour célébrer une entrée royale dans une ville, un mariage ou une naissance")</f>
        <v>B) Pour célébrer une entrée royale dans une ville, un mariage ou une naissance</v>
      </c>
      <c r="K61" s="6" t="str">
        <f>IFERROR(__xludf.DUMMYFUNCTION("GOOGLETRANSLATE(E61, ""en"", ""fr"")"),"Les joutes nautiques constituaient un élément clé du programme officiel des festivités de toute grande célébration royale ou nobiliaire.")</f>
        <v>Les joutes nautiques constituaient un élément clé du programme officiel des festivités de toute grande célébration royale ou nobiliaire.</v>
      </c>
    </row>
    <row r="62" ht="22.5" customHeight="1">
      <c r="A62" s="4">
        <v>61.0</v>
      </c>
      <c r="B62" s="5" t="s">
        <v>249</v>
      </c>
      <c r="C62" s="5" t="s">
        <v>250</v>
      </c>
      <c r="D62" s="5" t="s">
        <v>251</v>
      </c>
      <c r="E62" s="5" t="s">
        <v>252</v>
      </c>
      <c r="G62" s="6" t="str">
        <f>IFERROR(__xludf.DUMMYFUNCTION("GOOGLETRANSLATE(A62, ""en"", ""fr"")"),"61")</f>
        <v>61</v>
      </c>
      <c r="H62" s="6" t="str">
        <f>IFERROR(__xludf.DUMMYFUNCTION("GOOGLETRANSLATE(B62, ""en"", ""fr"")"),"Quelle est l'essence de bois principalement utilisée pour les longues et lourdes lances de la méthode languedocienne ?")</f>
        <v>Quelle est l'essence de bois principalement utilisée pour les longues et lourdes lances de la méthode languedocienne ?</v>
      </c>
      <c r="I62" s="6" t="str">
        <f>IFERROR(__xludf.DUMMYFUNCTION("GOOGLETRANSLATE(C62, ""en"", ""fr"")"),"A) Chêne, B) Pin, C) Frêne ou autre bois dur et légèrement flexible, D) Bambou")</f>
        <v>A) Chêne, B) Pin, C) Frêne ou autre bois dur et légèrement flexible, D) Bambou</v>
      </c>
      <c r="J62" s="6" t="str">
        <f>IFERROR(__xludf.DUMMYFUNCTION("GOOGLETRANSLATE(D62, ""en"", ""fr"")"),"C) Frêne ou autre bois dur et légèrement flexible")</f>
        <v>C) Frêne ou autre bois dur et légèrement flexible</v>
      </c>
      <c r="K62" s="6" t="str">
        <f>IFERROR(__xludf.DUMMYFUNCTION("GOOGLETRANSLATE(E62, ""en"", ""fr"")"),"La lance doit être incroyablement résistante pour supporter l'impact, mais légèrement flexible pour éviter qu'elle ne se brise.")</f>
        <v>La lance doit être incroyablement résistante pour supporter l'impact, mais légèrement flexible pour éviter qu'elle ne se brise.</v>
      </c>
    </row>
    <row r="63" ht="22.5" customHeight="1">
      <c r="A63" s="4">
        <v>62.0</v>
      </c>
      <c r="B63" s="5" t="s">
        <v>253</v>
      </c>
      <c r="C63" s="5" t="s">
        <v>126</v>
      </c>
      <c r="D63" s="5" t="s">
        <v>127</v>
      </c>
      <c r="E63" s="5" t="s">
        <v>254</v>
      </c>
      <c r="G63" s="6" t="str">
        <f>IFERROR(__xludf.DUMMYFUNCTION("GOOGLETRANSLATE(A63, ""en"", ""fr"")"),"62")</f>
        <v>62</v>
      </c>
      <c r="H63" s="6" t="str">
        <f>IFERROR(__xludf.DUMMYFUNCTION("GOOGLETRANSLATE(B63, ""en"", ""fr"")"),"La tradition des joutes nautiques en Suisse est surtout associée à quelle ville ?")</f>
        <v>La tradition des joutes nautiques en Suisse est surtout associée à quelle ville ?</v>
      </c>
      <c r="I63" s="6" t="str">
        <f>IFERROR(__xludf.DUMMYFUNCTION("GOOGLETRANSLATE(C63, ""en"", ""fr"")"),"A) Genève, B) Berne, C) Zurich, D) Bâle")</f>
        <v>A) Genève, B) Berne, C) Zurich, D) Bâle</v>
      </c>
      <c r="J63" s="6" t="str">
        <f>IFERROR(__xludf.DUMMYFUNCTION("GOOGLETRANSLATE(D63, ""en"", ""fr"")"),"C) Zurich")</f>
        <v>C) Zurich</v>
      </c>
      <c r="K63" s="6" t="str">
        <f>IFERROR(__xludf.DUMMYFUNCTION("GOOGLETRANSLATE(E63, ""en"", ""fr"")"),"Des manuscrits des XIVe et XVe siècles décrivent des tournois de joutes nautiques (Schifferstechen) organisés sur le lac de Zurich.")</f>
        <v>Des manuscrits des XIVe et XVe siècles décrivent des tournois de joutes nautiques (Schifferstechen) organisés sur le lac de Zurich.</v>
      </c>
    </row>
    <row r="64" ht="22.5" customHeight="1">
      <c r="A64" s="4">
        <v>63.0</v>
      </c>
      <c r="B64" s="5" t="s">
        <v>255</v>
      </c>
      <c r="C64" s="5" t="s">
        <v>256</v>
      </c>
      <c r="D64" s="5" t="s">
        <v>257</v>
      </c>
      <c r="E64" s="5" t="s">
        <v>258</v>
      </c>
      <c r="G64" s="6" t="str">
        <f>IFERROR(__xludf.DUMMYFUNCTION("GOOGLETRANSLATE(A64, ""en"", ""fr"")"),"63")</f>
        <v>63</v>
      </c>
      <c r="H64" s="6" t="str">
        <f>IFERROR(__xludf.DUMMYFUNCTION("GOOGLETRANSLATE(B64, ""en"", ""fr"")"),"Au XIXe siècle, comment le développement du réseau ferroviaire français a-t-il influencé les joutes nautiques ?")</f>
        <v>Au XIXe siècle, comment le développement du réseau ferroviaire français a-t-il influencé les joutes nautiques ?</v>
      </c>
      <c r="I64" s="6" t="str">
        <f>IFERROR(__xludf.DUMMYFUNCTION("GOOGLETRANSLATE(C64, ""en"", ""fr"")"),"A) Cela a entraîné le déclin de ce sport, B) Cela n'a eu aucun effet, C) Cela a permis aux jouteurs et aux spectateurs de voyager plus facilement, ce qui a conduit à des rivalités interurbaines et à des festivals plus importants, D) Cela a remplacé les ca"&amp;"naux pour le transport")</f>
        <v>A) Cela a entraîné le déclin de ce sport, B) Cela n'a eu aucun effet, C) Cela a permis aux jouteurs et aux spectateurs de voyager plus facilement, ce qui a conduit à des rivalités interurbaines et à des festivals plus importants, D) Cela a remplacé les canaux pour le transport</v>
      </c>
      <c r="J64" s="6" t="str">
        <f>IFERROR(__xludf.DUMMYFUNCTION("GOOGLETRANSLATE(D64, ""en"", ""fr"")"),"C) Cela a permis aux jouteurs et aux spectateurs de voyager plus facilement, ce qui a engendré des rivalités interurbaines et des festivals plus importants.")</f>
        <v>C) Cela a permis aux jouteurs et aux spectateurs de voyager plus facilement, ce qui a engendré des rivalités interurbaines et des festivals plus importants.</v>
      </c>
      <c r="K64" s="6" t="str">
        <f>IFERROR(__xludf.DUMMYFUNCTION("GOOGLETRANSLATE(E64, ""en"", ""fr"")"),"Le chemin de fer a permis aux sociétés de joutes de différentes villes et régions de s'affronter, contribuant ainsi à formaliser ce sport.")</f>
        <v>Le chemin de fer a permis aux sociétés de joutes de différentes villes et régions de s'affronter, contribuant ainsi à formaliser ce sport.</v>
      </c>
    </row>
    <row r="65" ht="22.5" customHeight="1">
      <c r="A65" s="4">
        <v>64.0</v>
      </c>
      <c r="B65" s="5" t="s">
        <v>259</v>
      </c>
      <c r="C65" s="5" t="s">
        <v>260</v>
      </c>
      <c r="D65" s="5" t="s">
        <v>261</v>
      </c>
      <c r="E65" s="5" t="s">
        <v>262</v>
      </c>
      <c r="G65" s="6" t="str">
        <f>IFERROR(__xludf.DUMMYFUNCTION("GOOGLETRANSLATE(A65, ""en"", ""fr"")"),"64")</f>
        <v>64</v>
      </c>
      <c r="H65" s="6" t="str">
        <f>IFERROR(__xludf.DUMMYFUNCTION("GOOGLETRANSLATE(B65, ""en"", ""fr"")"),"Qu'est-ce que le ""Tableau d'honneur"" ?")</f>
        <v>Qu'est-ce que le "Tableau d'honneur" ?</v>
      </c>
      <c r="I65" s="6" t="str">
        <f>IFERROR(__xludf.DUMMYFUNCTION("GOOGLETRANSLATE(C65, ""en"", ""fr"")"),"A) Le règlement officiel, B) La liste de tous les anciens lauréats du Festival de Saint-Louis, C) Le nom du jury, D) Le menu du festin d'après-tournoi")</f>
        <v>A) Le règlement officiel, B) La liste de tous les anciens lauréats du Festival de Saint-Louis, C) Le nom du jury, D) Le menu du festin d'après-tournoi</v>
      </c>
      <c r="J65" s="6" t="str">
        <f>IFERROR(__xludf.DUMMYFUNCTION("GOOGLETRANSLATE(D65, ""en"", ""fr"")"),"B) La liste de tous les anciens lauréats du Festival de Saint-Louis")</f>
        <v>B) La liste de tous les anciens lauréats du Festival de Saint-Louis</v>
      </c>
      <c r="K65" s="6" t="str">
        <f>IFERROR(__xludf.DUMMYFUNCTION("GOOGLETRANSLATE(E65, ""en"", ""fr"")"),"Ce « Tableau d'honneur » est un registre prestigieux de tous les champions, un élément clé de l'histoire de ce sport.")</f>
        <v>Ce « Tableau d'honneur » est un registre prestigieux de tous les champions, un élément clé de l'histoire de ce sport.</v>
      </c>
    </row>
    <row r="66" ht="22.5" customHeight="1">
      <c r="A66" s="4">
        <v>65.0</v>
      </c>
      <c r="B66" s="5" t="s">
        <v>263</v>
      </c>
      <c r="C66" s="5" t="s">
        <v>264</v>
      </c>
      <c r="D66" s="5" t="s">
        <v>265</v>
      </c>
      <c r="E66" s="5" t="s">
        <v>266</v>
      </c>
      <c r="G66" s="6" t="str">
        <f>IFERROR(__xludf.DUMMYFUNCTION("GOOGLETRANSLATE(A66, ""en"", ""fr"")"),"65")</f>
        <v>65</v>
      </c>
      <c r="H66" s="6" t="str">
        <f>IFERROR(__xludf.DUMMYFUNCTION("GOOGLETRANSLATE(B66, ""en"", ""fr"")"),"Les sociétés de joutes en France sont souvent structurées comme quel autre type d'organisation traditionnelle ?")</f>
        <v>Les sociétés de joutes en France sont souvent structurées comme quel autre type d'organisation traditionnelle ?</v>
      </c>
      <c r="I66" s="6" t="str">
        <f>IFERROR(__xludf.DUMMYFUNCTION("GOOGLETRANSLATE(C66, ""en"", ""fr"")"),"A) Un club sportif moderne, B) Une guilde professionnelle, C) Un parti politique, D) Un groupe de musique")</f>
        <v>A) Un club sportif moderne, B) Une guilde professionnelle, C) Un parti politique, D) Un groupe de musique</v>
      </c>
      <c r="J66" s="6" t="str">
        <f>IFERROR(__xludf.DUMMYFUNCTION("GOOGLETRANSLATE(D66, ""en"", ""fr"")"),"B) Une guilde professionnelle")</f>
        <v>B) Une guilde professionnelle</v>
      </c>
      <c r="K66" s="6" t="str">
        <f>IFERROR(__xludf.DUMMYFUNCTION("GOOGLETRANSLATE(E66, ""en"", ""fr"")"),"Avec leurs hiérarchies strictes, leurs fonctions sociales et leur spécialisation dans une compétence particulière, ces sociétés puisent leurs racines dans le système des guildes médiévales.")</f>
        <v>Avec leurs hiérarchies strictes, leurs fonctions sociales et leur spécialisation dans une compétence particulière, ces sociétés puisent leurs racines dans le système des guildes médiévales.</v>
      </c>
    </row>
    <row r="67" ht="22.5" customHeight="1">
      <c r="A67" s="4">
        <v>66.0</v>
      </c>
      <c r="B67" s="5" t="s">
        <v>267</v>
      </c>
      <c r="C67" s="5" t="s">
        <v>268</v>
      </c>
      <c r="D67" s="5" t="s">
        <v>269</v>
      </c>
      <c r="E67" s="5" t="s">
        <v>270</v>
      </c>
      <c r="G67" s="6" t="str">
        <f>IFERROR(__xludf.DUMMYFUNCTION("GOOGLETRANSLATE(A67, ""en"", ""fr"")"),"66")</f>
        <v>66</v>
      </c>
      <c r="H67" s="6" t="str">
        <f>IFERROR(__xludf.DUMMYFUNCTION("GOOGLETRANSLATE(B67, ""en"", ""fr"")"),"Quelle est la signification des ""Joutes de la St-Clair"" pendant la saison des joutes ?")</f>
        <v>Quelle est la signification des "Joutes de la St-Clair" pendant la saison des joutes ?</v>
      </c>
      <c r="I67" s="6" t="str">
        <f>IFERROR(__xludf.DUMMYFUNCTION("GOOGLETRANSLATE(C67, ""en"", ""fr"")"),"A) C'est le premier grand tournoi de la saison, B) C'est le dernier tournoi de la saison, C) C'est un tournoi réservé aux enfants, D) C'est le nom du tournoi de Lyon")</f>
        <v>A) C'est le premier grand tournoi de la saison, B) C'est le dernier tournoi de la saison, C) C'est un tournoi réservé aux enfants, D) C'est le nom du tournoi de Lyon</v>
      </c>
      <c r="J67" s="6" t="str">
        <f>IFERROR(__xludf.DUMMYFUNCTION("GOOGLETRANSLATE(D67, ""en"", ""fr"")"),"B) C'est le dernier tournoi de la saison")</f>
        <v>B) C'est le dernier tournoi de la saison</v>
      </c>
      <c r="K67" s="6" t="str">
        <f>IFERROR(__xludf.DUMMYFUNCTION("GOOGLETRANSLATE(E67, ""en"", ""fr"")"),"Ce tournoi, qui se déroule à Sète, marque traditionnellement la fin de la saison des joutes de compétition.")</f>
        <v>Ce tournoi, qui se déroule à Sète, marque traditionnellement la fin de la saison des joutes de compétition.</v>
      </c>
    </row>
    <row r="68" ht="22.5" customHeight="1">
      <c r="A68" s="4">
        <v>67.0</v>
      </c>
      <c r="B68" s="5" t="s">
        <v>271</v>
      </c>
      <c r="C68" s="5" t="s">
        <v>272</v>
      </c>
      <c r="D68" s="5" t="s">
        <v>273</v>
      </c>
      <c r="E68" s="5" t="s">
        <v>274</v>
      </c>
      <c r="G68" s="6" t="str">
        <f>IFERROR(__xludf.DUMMYFUNCTION("GOOGLETRANSLATE(A68, ""en"", ""fr"")"),"67")</f>
        <v>67</v>
      </c>
      <c r="H68" s="6" t="str">
        <f>IFERROR(__xludf.DUMMYFUNCTION("GOOGLETRANSLATE(B68, ""en"", ""fr"")"),"La conception des lourds bateaux de joute est basée sur quel type de navire historique ?")</f>
        <v>La conception des lourds bateaux de joute est basée sur quel type de navire historique ?</v>
      </c>
      <c r="I68" s="6" t="str">
        <f>IFERROR(__xludf.DUMMYFUNCTION("GOOGLETRANSLATE(C68, ""en"", ""fr"")"),"A) Une galère de guerre, B) Un drakkar viking, C) Un bateau de pêche méditerranéen traditionnel, D) Une péniche fluviale")</f>
        <v>A) Une galère de guerre, B) Un drakkar viking, C) Un bateau de pêche méditerranéen traditionnel, D) Une péniche fluviale</v>
      </c>
      <c r="J68" s="6" t="str">
        <f>IFERROR(__xludf.DUMMYFUNCTION("GOOGLETRANSLATE(D68, ""en"", ""fr"")"),"C) Un bateau de pêche traditionnel méditerranéen")</f>
        <v>C) Un bateau de pêche traditionnel méditerranéen</v>
      </c>
      <c r="K68" s="6" t="str">
        <f>IFERROR(__xludf.DUMMYFUNCTION("GOOGLETRANSLATE(E68, ""en"", ""fr"")"),"Ces bateaux sont issus des robustes et stables embarcations de pêche utilisées par les communautés locales.")</f>
        <v>Ces bateaux sont issus des robustes et stables embarcations de pêche utilisées par les communautés locales.</v>
      </c>
    </row>
    <row r="69" ht="22.5" customHeight="1">
      <c r="A69" s="4">
        <v>68.0</v>
      </c>
      <c r="B69" s="5" t="s">
        <v>275</v>
      </c>
      <c r="C69" s="5" t="s">
        <v>276</v>
      </c>
      <c r="D69" s="5" t="s">
        <v>277</v>
      </c>
      <c r="E69" s="5" t="s">
        <v>278</v>
      </c>
      <c r="G69" s="6" t="str">
        <f>IFERROR(__xludf.DUMMYFUNCTION("GOOGLETRANSLATE(A69, ""en"", ""fr"")"),"68")</f>
        <v>68</v>
      </c>
      <c r="H69" s="6" t="str">
        <f>IFERROR(__xludf.DUMMYFUNCTION("GOOGLETRANSLATE(B69, ""en"", ""fr"")"),"Que symbolise la tenue blanche d'un jouteur ?")</f>
        <v>Que symbolise la tenue blanche d'un jouteur ?</v>
      </c>
      <c r="I69" s="6" t="str">
        <f>IFERROR(__xludf.DUMMYFUNCTION("GOOGLETRANSLATE(C69, ""en"", ""fr"")"),"A) Elle représente la pureté et l'esprit sportif, B) C'est la couleur la plus agréable à porter en été, C) Elle facilite la visibilité de la cible pour les juges, D) C'est le tissu le moins cher")</f>
        <v>A) Elle représente la pureté et l'esprit sportif, B) C'est la couleur la plus agréable à porter en été, C) Elle facilite la visibilité de la cible pour les juges, D) C'est le tissu le moins cher</v>
      </c>
      <c r="J69" s="6" t="str">
        <f>IFERROR(__xludf.DUMMYFUNCTION("GOOGLETRANSLATE(D69, ""en"", ""fr"")"),"A) Elle représente la pureté et l'esprit sportif")</f>
        <v>A) Elle représente la pureté et l'esprit sportif</v>
      </c>
      <c r="K69" s="6" t="str">
        <f>IFERROR(__xludf.DUMMYFUNCTION("GOOGLETRANSLATE(E69, ""en"", ""fr"")"),"L'uniforme traditionnel entièrement blanc est un symbole de l'honneur du jouteur et du caractère « pur » de ce sport.")</f>
        <v>L'uniforme traditionnel entièrement blanc est un symbole de l'honneur du jouteur et du caractère « pur » de ce sport.</v>
      </c>
    </row>
    <row r="70" ht="22.5" customHeight="1">
      <c r="A70" s="4">
        <v>69.0</v>
      </c>
      <c r="B70" s="5" t="s">
        <v>279</v>
      </c>
      <c r="C70" s="5" t="s">
        <v>280</v>
      </c>
      <c r="D70" s="5" t="s">
        <v>281</v>
      </c>
      <c r="E70" s="5" t="s">
        <v>282</v>
      </c>
      <c r="G70" s="6" t="str">
        <f>IFERROR(__xludf.DUMMYFUNCTION("GOOGLETRANSLATE(A70, ""en"", ""fr"")"),"69")</f>
        <v>69</v>
      </c>
      <c r="H70" s="6" t="str">
        <f>IFERROR(__xludf.DUMMYFUNCTION("GOOGLETRANSLATE(B70, ""en"", ""fr"")"),"Quel est le rôle principal du « Conseil d'Administration » d'une société de joutes ?")</f>
        <v>Quel est le rôle principal du « Conseil d'Administration » d'une société de joutes ?</v>
      </c>
      <c r="I70" s="6" t="str">
        <f>IFERROR(__xludf.DUMMYFUNCTION("GOOGLETRANSLATE(C70, ""en"", ""fr"")"),"A) Être les meilleurs jouteurs, B) Faire office de conseil d'administration et gérer les affaires du club, C) Être les arbitres, D) Construire et entretenir les bateaux")</f>
        <v>A) Être les meilleurs jouteurs, B) Faire office de conseil d'administration et gérer les affaires du club, C) Être les arbitres, D) Construire et entretenir les bateaux</v>
      </c>
      <c r="J70" s="6" t="str">
        <f>IFERROR(__xludf.DUMMYFUNCTION("GOOGLETRANSLATE(D70, ""en"", ""fr"")"),"B) Agir en tant que conseil d'administration, en gérant les affaires du club")</f>
        <v>B) Agir en tant que conseil d'administration, en gérant les affaires du club</v>
      </c>
      <c r="K70" s="6" t="str">
        <f>IFERROR(__xludf.DUMMYFUNCTION("GOOGLETRANSLATE(E70, ""en"", ""fr"")"),"Il s'agit de l'organe administratif responsable de la gouvernance et de l'organisation du club de joutes.")</f>
        <v>Il s'agit de l'organe administratif responsable de la gouvernance et de l'organisation du club de joutes.</v>
      </c>
    </row>
    <row r="71" ht="22.5" customHeight="1">
      <c r="A71" s="4">
        <v>70.0</v>
      </c>
      <c r="B71" s="5" t="s">
        <v>283</v>
      </c>
      <c r="C71" s="5" t="s">
        <v>284</v>
      </c>
      <c r="D71" s="5" t="s">
        <v>285</v>
      </c>
      <c r="E71" s="5" t="s">
        <v>286</v>
      </c>
      <c r="G71" s="6" t="str">
        <f>IFERROR(__xludf.DUMMYFUNCTION("GOOGLETRANSLATE(A71, ""en"", ""fr"")"),"70")</f>
        <v>70</v>
      </c>
      <c r="H71" s="6" t="str">
        <f>IFERROR(__xludf.DUMMYFUNCTION("GOOGLETRANSLATE(B71, ""en"", ""fr"")"),"Dans les reconstitutions historiques, en qui les jouteurs étaient-ils souvent déguisés ?")</f>
        <v>Dans les reconstitutions historiques, en qui les jouteurs étaient-ils souvent déguisés ?</v>
      </c>
      <c r="I71" s="6" t="str">
        <f>IFERROR(__xludf.DUMMYFUNCTION("GOOGLETRANSLATE(C71, ""en"", ""fr"")"),"A) Pêcheurs, B) Chevaliers et Sarrasins, C) Gladiateurs romains, D) Soldats français et anglais")</f>
        <v>A) Pêcheurs, B) Chevaliers et Sarrasins, C) Gladiateurs romains, D) Soldats français et anglais</v>
      </c>
      <c r="J71" s="6" t="str">
        <f>IFERROR(__xludf.DUMMYFUNCTION("GOOGLETRANSLATE(D71, ""en"", ""fr"")"),"B) Chevaliers et Sarrasins")</f>
        <v>B) Chevaliers et Sarrasins</v>
      </c>
      <c r="K71" s="6" t="str">
        <f>IFERROR(__xludf.DUMMYFUNCTION("GOOGLETRANSLATE(E71, ""en"", ""fr"")"),"Les fêtes royales mettaient souvent en scène les joutes comme une bataille simulée ou une reconstitution des légendes des Croisades, avec des jouteurs en costume.")</f>
        <v>Les fêtes royales mettaient souvent en scène les joutes comme une bataille simulée ou une reconstitution des légendes des Croisades, avec des jouteurs en costume.</v>
      </c>
    </row>
    <row r="72" ht="22.5" customHeight="1">
      <c r="A72" s="4">
        <v>71.0</v>
      </c>
      <c r="B72" s="5" t="s">
        <v>287</v>
      </c>
      <c r="C72" s="5" t="s">
        <v>288</v>
      </c>
      <c r="D72" s="5" t="s">
        <v>289</v>
      </c>
      <c r="E72" s="5" t="s">
        <v>290</v>
      </c>
      <c r="G72" s="6" t="str">
        <f>IFERROR(__xludf.DUMMYFUNCTION("GOOGLETRANSLATE(A72, ""en"", ""fr"")"),"71")</f>
        <v>71</v>
      </c>
      <c r="H72" s="6" t="str">
        <f>IFERROR(__xludf.DUMMYFUNCTION("GOOGLETRANSLATE(B72, ""en"", ""fr"")"),"Quelle est l'origine historique du terme « tintaine » ?")</f>
        <v>Quelle est l'origine historique du terme « tintaine » ?</v>
      </c>
      <c r="I72" s="6" t="str">
        <f>IFERROR(__xludf.DUMMYFUNCTION("GOOGLETRANSLATE(C72, ""en"", ""fr"")"),"A) C'est le nom d'un jouteur célèbre, B) Cela dérive d'un ancien mot français désignant l'antenne ou le mât d'un navire, C) C'est une espèce de poisson, D) Cela signifie « petite scène » en dialecte languedocien")</f>
        <v>A) C'est le nom d'un jouteur célèbre, B) Cela dérive d'un ancien mot français désignant l'antenne ou le mât d'un navire, C) C'est une espèce de poisson, D) Cela signifie « petite scène » en dialecte languedocien</v>
      </c>
      <c r="J72" s="6" t="str">
        <f>IFERROR(__xludf.DUMMYFUNCTION("GOOGLETRANSLATE(D72, ""en"", ""fr"")"),"B) Il dérive d'un ancien mot français désignant l'antenne ou le mât d'un navire.")</f>
        <v>B) Il dérive d'un ancien mot français désignant l'antenne ou le mât d'un navire.</v>
      </c>
      <c r="K72" s="6" t="str">
        <f>IFERROR(__xludf.DUMMYFUNCTION("GOOGLETRANSLATE(E72, ""en"", ""fr"")"),"Le terme provient probablement de sa ressemblance avec une plateforme haute et mince sur un navire.")</f>
        <v>Le terme provient probablement de sa ressemblance avec une plateforme haute et mince sur un navire.</v>
      </c>
    </row>
    <row r="73" ht="22.5" customHeight="1">
      <c r="A73" s="4">
        <v>72.0</v>
      </c>
      <c r="B73" s="5" t="s">
        <v>291</v>
      </c>
      <c r="C73" s="5" t="s">
        <v>292</v>
      </c>
      <c r="D73" s="5" t="s">
        <v>293</v>
      </c>
      <c r="E73" s="5" t="s">
        <v>294</v>
      </c>
      <c r="G73" s="6" t="str">
        <f>IFERROR(__xludf.DUMMYFUNCTION("GOOGLETRANSLATE(A73, ""en"", ""fr"")"),"72")</f>
        <v>72</v>
      </c>
      <c r="H73" s="6" t="str">
        <f>IFERROR(__xludf.DUMMYFUNCTION("GOOGLETRANSLATE(B73, ""en"", ""fr"")"),"Un jouteur tombe à l'eau. Quelle est l'action immédiate des plongeurs ?")</f>
        <v>Un jouteur tombe à l'eau. Quelle est l'action immédiate des plongeurs ?</v>
      </c>
      <c r="I73" s="6" t="str">
        <f>IFERROR(__xludf.DUMMYFUNCTION("GOOGLETRANSLATE(C73, ""en"", ""fr"")"),"A) Déclarer le vainqueur, B) Aider le jouteur à sortir de l'eau en toute sécurité et à récupérer son équipement, C) Secourir l'adversaire, D) Réparer le bateau")</f>
        <v>A) Déclarer le vainqueur, B) Aider le jouteur à sortir de l'eau en toute sécurité et à récupérer son équipement, C) Secourir l'adversaire, D) Réparer le bateau</v>
      </c>
      <c r="J73" s="6" t="str">
        <f>IFERROR(__xludf.DUMMYFUNCTION("GOOGLETRANSLATE(D73, ""en"", ""fr"")"),"B) Aider le jouteur à sortir de l'eau en toute sécurité et à récupérer son équipement")</f>
        <v>B) Aider le jouteur à sortir de l'eau en toute sécurité et à récupérer son équipement</v>
      </c>
      <c r="K73" s="6" t="str">
        <f>IFERROR(__xludf.DUMMYFUNCTION("GOOGLETRANSLATE(E73, ""en"", ""fr"")"),"Ce sont les sauveteurs officiels qui se trouvent dans l'eau pour assurer la sécurité immédiate de tout jouteur qui tomberait.")</f>
        <v>Ce sont les sauveteurs officiels qui se trouvent dans l'eau pour assurer la sécurité immédiate de tout jouteur qui tomberait.</v>
      </c>
    </row>
    <row r="74" ht="22.5" customHeight="1">
      <c r="A74" s="4">
        <v>73.0</v>
      </c>
      <c r="B74" s="5" t="s">
        <v>295</v>
      </c>
      <c r="C74" s="5" t="s">
        <v>296</v>
      </c>
      <c r="D74" s="5" t="s">
        <v>297</v>
      </c>
      <c r="E74" s="5" t="s">
        <v>298</v>
      </c>
      <c r="G74" s="6" t="str">
        <f>IFERROR(__xludf.DUMMYFUNCTION("GOOGLETRANSLATE(A74, ""en"", ""fr"")"),"73")</f>
        <v>73</v>
      </c>
      <c r="H74" s="6" t="str">
        <f>IFERROR(__xludf.DUMMYFUNCTION("GOOGLETRANSLATE(B74, ""en"", ""fr"")"),"Qu'est-ce qu'une ""lancy d'or"" (lance d'or) ?")</f>
        <v>Qu'est-ce qu'une "lancy d'or" (lance d'or) ?</v>
      </c>
      <c r="I74" s="6" t="str">
        <f>IFERROR(__xludf.DUMMYFUNCTION("GOOGLETRANSLATE(C74, ""en"", ""fr"")"),"A) Un prix spécial pour le jouteur le plus élégant, B) Le nom de la ronde finale, C) Une arme mythique, D) Le surnom d'un jouteur champion")</f>
        <v>A) Un prix spécial pour le jouteur le plus élégant, B) Le nom de la ronde finale, C) Une arme mythique, D) Le surnom d'un jouteur champion</v>
      </c>
      <c r="J74" s="6" t="str">
        <f>IFERROR(__xludf.DUMMYFUNCTION("GOOGLETRANSLATE(D74, ""en"", ""fr"")"),"A) Un prix spécial pour le jouteur le plus élégant")</f>
        <v>A) Un prix spécial pour le jouteur le plus élégant</v>
      </c>
      <c r="K74" s="6" t="str">
        <f>IFERROR(__xludf.DUMMYFUNCTION("GOOGLETRANSLATE(E74, ""en"", ""fr"")"),"Dans certains tournois, un prix spécial est décerné au jouteur qui fait preuve de la technique la plus parfaite et la plus belle, même s'il ne gagne pas.")</f>
        <v>Dans certains tournois, un prix spécial est décerné au jouteur qui fait preuve de la technique la plus parfaite et la plus belle, même s'il ne gagne pas.</v>
      </c>
    </row>
    <row r="75" ht="22.5" customHeight="1">
      <c r="A75" s="4">
        <v>74.0</v>
      </c>
      <c r="B75" s="5" t="s">
        <v>299</v>
      </c>
      <c r="C75" s="5" t="s">
        <v>300</v>
      </c>
      <c r="D75" s="5" t="s">
        <v>301</v>
      </c>
      <c r="E75" s="5" t="s">
        <v>302</v>
      </c>
      <c r="G75" s="6" t="str">
        <f>IFERROR(__xludf.DUMMYFUNCTION("GOOGLETRANSLATE(A75, ""en"", ""fr"")"),"74")</f>
        <v>74</v>
      </c>
      <c r="H75" s="6" t="str">
        <f>IFERROR(__xludf.DUMMYFUNCTION("GOOGLETRANSLATE(B75, ""en"", ""fr"")"),"La tradition des joutes dans la ville d'Agde se distingue par quelle caractéristique unique ?")</f>
        <v>La tradition des joutes dans la ville d'Agde se distingue par quelle caractéristique unique ?</v>
      </c>
      <c r="I75" s="6" t="str">
        <f>IFERROR(__xludf.DUMMYFUNCTION("GOOGLETRANSLATE(C75, ""en"", ""fr"")"),"A) Ils utilisent des bateaux beaucoup plus petits, B) Les joutes ont lieu en mer, C) Ils ont une célèbre tradition de joutes nocturnes, D) Ils utilisent des épées au lieu de lances")</f>
        <v>A) Ils utilisent des bateaux beaucoup plus petits, B) Les joutes ont lieu en mer, C) Ils ont une célèbre tradition de joutes nocturnes, D) Ils utilisent des épées au lieu de lances</v>
      </c>
      <c r="J75" s="6" t="str">
        <f>IFERROR(__xludf.DUMMYFUNCTION("GOOGLETRANSLATE(D75, ""en"", ""fr"")"),"C) Ils ont une célèbre tradition de joutes nocturnes")</f>
        <v>C) Ils ont une célèbre tradition de joutes nocturnes</v>
      </c>
      <c r="K75" s="6" t="str">
        <f>IFERROR(__xludf.DUMMYFUNCTION("GOOGLETRANSLATE(E75, ""en"", ""fr"")"),"La ville d'Agde est réputée pour ses spectaculaires tournois de joutes nocturnes, illuminés par les projecteurs.")</f>
        <v>La ville d'Agde est réputée pour ses spectaculaires tournois de joutes nocturnes, illuminés par les projecteurs.</v>
      </c>
    </row>
    <row r="76" ht="22.5" customHeight="1">
      <c r="A76" s="4">
        <v>75.0</v>
      </c>
      <c r="B76" s="5" t="s">
        <v>303</v>
      </c>
      <c r="C76" s="5" t="s">
        <v>304</v>
      </c>
      <c r="D76" s="5" t="s">
        <v>305</v>
      </c>
      <c r="E76" s="5" t="s">
        <v>306</v>
      </c>
      <c r="G76" s="6" t="str">
        <f>IFERROR(__xludf.DUMMYFUNCTION("GOOGLETRANSLATE(A76, ""en"", ""fr"")"),"75")</f>
        <v>75</v>
      </c>
      <c r="H76" s="6" t="str">
        <f>IFERROR(__xludf.DUMMYFUNCTION("GOOGLETRANSLATE(B76, ""en"", ""fr"")"),"Au XVIIe siècle, la « Société des Jouteurs » de Lyon était également responsable de quel devoir civil ?")</f>
        <v>Au XVIIe siècle, la « Société des Jouteurs » de Lyon était également responsable de quel devoir civil ?</v>
      </c>
      <c r="I76" s="6" t="str">
        <f>IFERROR(__xludf.DUMMYFUNCTION("GOOGLETRANSLATE(C76, ""en"", ""fr"")"),"A) Exploiter le service de traversier sur le fleuve, B) Faire office de service d'incendie pour la ville, C) Surveiller le fleuve et faire office de garde-côtes, D) Percevoir les taxes auprès des bateaux")</f>
        <v>A) Exploiter le service de traversier sur le fleuve, B) Faire office de service d'incendie pour la ville, C) Surveiller le fleuve et faire office de garde-côtes, D) Percevoir les taxes auprès des bateaux</v>
      </c>
      <c r="J76" s="6" t="str">
        <f>IFERROR(__xludf.DUMMYFUNCTION("GOOGLETRANSLATE(D76, ""en"", ""fr"")"),"C) Surveiller le fleuve et faire office de garde-côtes")</f>
        <v>C) Surveiller le fleuve et faire office de garde-côtes</v>
      </c>
      <c r="K76" s="6" t="str">
        <f>IFERROR(__xludf.DUMMYFUNCTION("GOOGLETRANSLATE(E76, ""en"", ""fr"")"),"La puissante guilde des bateliers avait des responsabilités officielles liées à la sécurité du fleuve.")</f>
        <v>La puissante guilde des bateliers avait des responsabilités officielles liées à la sécurité du fleuve.</v>
      </c>
    </row>
    <row r="77" ht="22.5" customHeight="1">
      <c r="A77" s="4">
        <v>76.0</v>
      </c>
      <c r="B77" s="5" t="s">
        <v>307</v>
      </c>
      <c r="C77" s="5" t="s">
        <v>308</v>
      </c>
      <c r="D77" s="5" t="s">
        <v>309</v>
      </c>
      <c r="E77" s="5" t="s">
        <v>310</v>
      </c>
      <c r="G77" s="6" t="str">
        <f>IFERROR(__xludf.DUMMYFUNCTION("GOOGLETRANSLATE(A77, ""en"", ""fr"")"),"76")</f>
        <v>76</v>
      </c>
      <c r="H77" s="6" t="str">
        <f>IFERROR(__xludf.DUMMYFUNCTION("GOOGLETRANSLATE(B77, ""en"", ""fr"")"),"Que signifie le geste des deux jouteurs se serrant la main avec leurs lances avant une passe ?")</f>
        <v>Que signifie le geste des deux jouteurs se serrant la main avec leurs lances avant une passe ?</v>
      </c>
      <c r="I77" s="6" t="str">
        <f>IFERROR(__xludf.DUMMYFUNCTION("GOOGLETRANSLATE(C77, ""en"", ""fr"")"),"A) Ils testent les lances, B) C'est un salut mutuel et un signe de respect, C) Ils alignent leurs bateaux, D) C'est un signal pour l'arbitre")</f>
        <v>A) Ils testent les lances, B) C'est un salut mutuel et un signe de respect, C) Ils alignent leurs bateaux, D) C'est un signal pour l'arbitre</v>
      </c>
      <c r="J77" s="6" t="str">
        <f>IFERROR(__xludf.DUMMYFUNCTION("GOOGLETRANSLATE(D77, ""en"", ""fr"")"),"B) C'est un salut mutuel et un signe de respect")</f>
        <v>B) C'est un salut mutuel et un signe de respect</v>
      </c>
      <c r="K77" s="6" t="str">
        <f>IFERROR(__xludf.DUMMYFUNCTION("GOOGLETRANSLATE(E77, ""en"", ""fr"")"),"Ce rituel, appelé « appel », est une reconnaissance formelle de l'adversaire avant le début du combat.")</f>
        <v>Ce rituel, appelé « appel », est une reconnaissance formelle de l'adversaire avant le début du combat.</v>
      </c>
    </row>
    <row r="78" ht="22.5" customHeight="1">
      <c r="A78" s="4">
        <v>77.0</v>
      </c>
      <c r="B78" s="5" t="s">
        <v>311</v>
      </c>
      <c r="C78" s="5" t="s">
        <v>312</v>
      </c>
      <c r="D78" s="5" t="s">
        <v>313</v>
      </c>
      <c r="E78" s="5" t="s">
        <v>314</v>
      </c>
      <c r="G78" s="6" t="str">
        <f>IFERROR(__xludf.DUMMYFUNCTION("GOOGLETRANSLATE(A78, ""en"", ""fr"")"),"77")</f>
        <v>77</v>
      </c>
      <c r="H78" s="6" t="str">
        <f>IFERROR(__xludf.DUMMYFUNCTION("GOOGLETRANSLATE(B78, ""en"", ""fr"")"),"Quelle est la principale raison pour laquelle la méthode languedocienne est considérée comme la « reine » de tous les styles de joutes ?")</f>
        <v>Quelle est la principale raison pour laquelle la méthode languedocienne est considérée comme la « reine » de tous les styles de joutes ?</v>
      </c>
      <c r="I78" s="6" t="str">
        <f>IFERROR(__xludf.DUMMYFUNCTION("GOOGLETRANSLATE(C78, ""en"", ""fr"")"),"A) C'est la plus ancienne, B) Elle implique les bateaux les plus lourds, le plus grand nombre de rameurs et les festivals les plus importants et les plus prestigieux, C) C'est la seule reconnue par le gouvernement, D) C'est la plus dangereuse")</f>
        <v>A) C'est la plus ancienne, B) Elle implique les bateaux les plus lourds, le plus grand nombre de rameurs et les festivals les plus importants et les plus prestigieux, C) C'est la seule reconnue par le gouvernement, D) C'est la plus dangereuse</v>
      </c>
      <c r="J78" s="6" t="str">
        <f>IFERROR(__xludf.DUMMYFUNCTION("GOOGLETRANSLATE(D78, ""en"", ""fr"")"),"B) Cela implique les bateaux les plus lourds, le plus grand nombre de rameurs et les festivals les plus importants et les plus prestigieux")</f>
        <v>B) Cela implique les bateaux les plus lourds, le plus grand nombre de rameurs et les festivals les plus importants et les plus prestigieux</v>
      </c>
      <c r="K78" s="6" t="str">
        <f>IFERROR(__xludf.DUMMYFUNCTION("GOOGLETRANSLATE(E78, ""en"", ""fr"")"),"L'ampleur, la puissance et la tradition des joutes de style Sète en font la catégorie reine de ce sport.")</f>
        <v>L'ampleur, la puissance et la tradition des joutes de style Sète en font la catégorie reine de ce sport.</v>
      </c>
    </row>
    <row r="79" ht="22.5" customHeight="1">
      <c r="A79" s="4">
        <v>78.0</v>
      </c>
      <c r="B79" s="5" t="s">
        <v>315</v>
      </c>
      <c r="C79" s="5" t="s">
        <v>316</v>
      </c>
      <c r="D79" s="5" t="s">
        <v>317</v>
      </c>
      <c r="E79" s="5" t="s">
        <v>318</v>
      </c>
      <c r="G79" s="6" t="str">
        <f>IFERROR(__xludf.DUMMYFUNCTION("GOOGLETRANSLATE(A79, ""en"", ""fr"")"),"78")</f>
        <v>78</v>
      </c>
      <c r="H79" s="6" t="str">
        <f>IFERROR(__xludf.DUMMYFUNCTION("GOOGLETRANSLATE(B79, ""en"", ""fr"")"),"On dit d'un jouteur qu'il a « fait un bouquet ». Qu'est-ce que cela signifie ?")</f>
        <v>On dit d'un jouteur qu'il a « fait un bouquet ». Qu'est-ce que cela signifie ?</v>
      </c>
      <c r="I79" s="6" t="str">
        <f>IFERROR(__xludf.DUMMYFUNCTION("GOOGLETRANSLATE(C79, ""en"", ""fr"")"),"A) Ils ont gagné le tournoi, B) Ils sont tombés à l'eau de façon spectaculaire, C) Ils ont cassé leur lance, D) Ils ont offert des fleurs au vainqueur")</f>
        <v>A) Ils ont gagné le tournoi, B) Ils sont tombés à l'eau de façon spectaculaire, C) Ils ont cassé leur lance, D) Ils ont offert des fleurs au vainqueur</v>
      </c>
      <c r="J79" s="6" t="str">
        <f>IFERROR(__xludf.DUMMYFUNCTION("GOOGLETRANSLATE(D79, ""en"", ""fr"")"),"B) Ils sont tombés à l'eau de façon spectaculaire")</f>
        <v>B) Ils sont tombés à l'eau de façon spectaculaire</v>
      </c>
      <c r="K79" s="6" t="str">
        <f>IFERROR(__xludf.DUMMYFUNCTION("GOOGLETRANSLATE(E79, ""en"", ""fr"")"),"Il s'agit d'une expression argotique poétique et humoristique désignant une chute spectaculaire dans le canal.")</f>
        <v>Il s'agit d'une expression argotique poétique et humoristique désignant une chute spectaculaire dans le canal.</v>
      </c>
    </row>
    <row r="80" ht="22.5" customHeight="1">
      <c r="A80" s="4">
        <v>79.0</v>
      </c>
      <c r="B80" s="5" t="s">
        <v>319</v>
      </c>
      <c r="C80" s="5" t="s">
        <v>320</v>
      </c>
      <c r="D80" s="5" t="s">
        <v>321</v>
      </c>
      <c r="E80" s="5" t="s">
        <v>322</v>
      </c>
      <c r="G80" s="6" t="str">
        <f>IFERROR(__xludf.DUMMYFUNCTION("GOOGLETRANSLATE(A80, ""en"", ""fr"")"),"79")</f>
        <v>79</v>
      </c>
      <c r="H80" s="6" t="str">
        <f>IFERROR(__xludf.DUMMYFUNCTION("GOOGLETRANSLATE(B80, ""en"", ""fr"")"),"Les archives historiques de quelle ville française conservent les plus anciens règlements écrits connus d'un tournoi de joutes ?")</f>
        <v>Les archives historiques de quelle ville française conservent les plus anciens règlements écrits connus d'un tournoi de joutes ?</v>
      </c>
      <c r="I80" s="6" t="str">
        <f>IFERROR(__xludf.DUMMYFUNCTION("GOOGLETRANSLATE(C80, ""en"", ""fr"")"),"A) Sète, B) Paris, C) Lyon, D) Marseille")</f>
        <v>A) Sète, B) Paris, C) Lyon, D) Marseille</v>
      </c>
      <c r="J80" s="6" t="str">
        <f>IFERROR(__xludf.DUMMYFUNCTION("GOOGLETRANSLATE(D80, ""en"", ""fr"")"),"C) Lyon")</f>
        <v>C) Lyon</v>
      </c>
      <c r="K80" s="6" t="str">
        <f>IFERROR(__xludf.DUMMYFUNCTION("GOOGLETRANSLATE(E80, ""en"", ""fr"")"),"Les archives municipales de Lyon conservent certains des plus anciens documents qui établissent les règlements officiels régissant le déroulement d'un tournoi de joutes.")</f>
        <v>Les archives municipales de Lyon conservent certains des plus anciens documents qui établissent les règlements officiels régissant le déroulement d'un tournoi de joutes.</v>
      </c>
    </row>
    <row r="81" ht="22.5" customHeight="1">
      <c r="A81" s="4">
        <v>80.0</v>
      </c>
      <c r="B81" s="5" t="s">
        <v>323</v>
      </c>
      <c r="C81" s="5" t="s">
        <v>324</v>
      </c>
      <c r="D81" s="5" t="s">
        <v>325</v>
      </c>
      <c r="E81" s="5" t="s">
        <v>326</v>
      </c>
      <c r="G81" s="6" t="str">
        <f>IFERROR(__xludf.DUMMYFUNCTION("GOOGLETRANSLATE(A81, ""en"", ""fr"")"),"80")</f>
        <v>80</v>
      </c>
      <c r="H81" s="6" t="str">
        <f>IFERROR(__xludf.DUMMYFUNCTION("GOOGLETRANSLATE(B81, ""en"", ""fr"")"),"Quel est le rôle principal de la « barge » dans la méthode parisienne de joutes ?")</f>
        <v>Quel est le rôle principal de la « barge » dans la méthode parisienne de joutes ?</v>
      </c>
      <c r="I81" s="6" t="str">
        <f>IFERROR(__xludf.DUMMYFUNCTION("GOOGLETRANSLATE(C81, ""en"", ""fr"")"),"A) C'est le bateau dans lequel prennent place les rameurs. B) C'est une grande plateforme flottante stable sur laquelle est construite la piste de joute. C) C'est un bateau pour les spectateurs. D) C'est un autre nom pour la lance.")</f>
        <v>A) C'est le bateau dans lequel prennent place les rameurs. B) C'est une grande plateforme flottante stable sur laquelle est construite la piste de joute. C) C'est un bateau pour les spectateurs. D) C'est un autre nom pour la lance.</v>
      </c>
      <c r="J81" s="6" t="str">
        <f>IFERROR(__xludf.DUMMYFUNCTION("GOOGLETRANSLATE(D81, ""en"", ""fr"")"),"B) Il s'agit d'une grande plateforme flottante stable sur laquelle est construite la piste de joutes.")</f>
        <v>B) Il s'agit d'une grande plateforme flottante stable sur laquelle est construite la piste de joutes.</v>
      </c>
      <c r="K81" s="6" t="str">
        <f>IFERROR(__xludf.DUMMYFUNCTION("GOOGLETRANSLATE(E81, ""en"", ""fr"")"),"La méthode parisienne se déroule sur une voie fixe construite sur une grande barge, et non sur des bateaux en mouvement.")</f>
        <v>La méthode parisienne se déroule sur une voie fixe construite sur une grande barge, et non sur des bateaux en mouvement.</v>
      </c>
    </row>
    <row r="82" ht="22.5" customHeight="1">
      <c r="A82" s="4">
        <v>81.0</v>
      </c>
      <c r="B82" s="5" t="s">
        <v>327</v>
      </c>
      <c r="C82" s="5" t="s">
        <v>328</v>
      </c>
      <c r="D82" s="5" t="s">
        <v>329</v>
      </c>
      <c r="E82" s="5" t="s">
        <v>330</v>
      </c>
      <c r="G82" s="6" t="str">
        <f>IFERROR(__xludf.DUMMYFUNCTION("GOOGLETRANSLATE(A82, ""en"", ""fr"")"),"81")</f>
        <v>81</v>
      </c>
      <c r="H82" s="6" t="str">
        <f>IFERROR(__xludf.DUMMYFUNCTION("GOOGLETRANSLATE(B82, ""en"", ""fr"")"),"Quelle est la signification historique du fait que les jouteurs soient exclusivement des hommes ?")</f>
        <v>Quelle est la signification historique du fait que les jouteurs soient exclusivement des hommes ?</v>
      </c>
      <c r="I82" s="6" t="str">
        <f>IFERROR(__xludf.DUMMYFUNCTION("GOOGLETRANSLATE(C82, ""en"", ""fr"")"),"A) C'est une règle moderne. B) Ce sport est issu des corporations militaires et ouvrières, des professions exclusivement masculines. C) Les femmes n'étaient pas assez fortes. D) C'est une règle religieuse.")</f>
        <v>A) C'est une règle moderne. B) Ce sport est issu des corporations militaires et ouvrières, des professions exclusivement masculines. C) Les femmes n'étaient pas assez fortes. D) C'est une règle religieuse.</v>
      </c>
      <c r="J82" s="6" t="str">
        <f>IFERROR(__xludf.DUMMYFUNCTION("GOOGLETRANSLATE(D82, ""en"", ""fr"")"),"B) Ce sport est issu des guildes militaires et ouvrières, qui étaient des professions exclusivement masculines.")</f>
        <v>B) Ce sport est issu des guildes militaires et ouvrières, qui étaient des professions exclusivement masculines.</v>
      </c>
      <c r="K82" s="6" t="str">
        <f>IFERROR(__xludf.DUMMYFUNCTION("GOOGLETRANSLATE(E82, ""en"", ""fr"")"),"Cette tradition trouve son origine chez les soldats, les pêcheurs et les bateliers — des professions historiquement dominées par les hommes.")</f>
        <v>Cette tradition trouve son origine chez les soldats, les pêcheurs et les bateliers — des professions historiquement dominées par les hommes.</v>
      </c>
    </row>
    <row r="83" ht="22.5" customHeight="1">
      <c r="A83" s="4">
        <v>82.0</v>
      </c>
      <c r="B83" s="5" t="s">
        <v>331</v>
      </c>
      <c r="C83" s="5" t="s">
        <v>332</v>
      </c>
      <c r="D83" s="5" t="s">
        <v>333</v>
      </c>
      <c r="E83" s="5" t="s">
        <v>334</v>
      </c>
      <c r="G83" s="6" t="str">
        <f>IFERROR(__xludf.DUMMYFUNCTION("GOOGLETRANSLATE(A83, ""en"", ""fr"")"),"82")</f>
        <v>82</v>
      </c>
      <c r="H83" s="6" t="str">
        <f>IFERROR(__xludf.DUMMYFUNCTION("GOOGLETRANSLATE(B83, ""en"", ""fr"")"),"Quel célèbre roman français du XIXe siècle décrit une scène de joutes nautiques sur la Seine ?")</f>
        <v>Quel célèbre roman français du XIXe siècle décrit une scène de joutes nautiques sur la Seine ?</v>
      </c>
      <c r="I83" s="6" t="str">
        <f>IFERROR(__xludf.DUMMYFUNCTION("GOOGLETRANSLATE(C83, ""en"", ""fr"")"),"A) Les Misérables de Victor Hugo, B) Le Comte de Monte-Cristo d'Alexandre Dumas, C) Madame Bovary de Gustave Flaubert, D) L'Assommoir d'Émile Zola")</f>
        <v>A) Les Misérables de Victor Hugo, B) Le Comte de Monte-Cristo d'Alexandre Dumas, C) Madame Bovary de Gustave Flaubert, D) L'Assommoir d'Émile Zola</v>
      </c>
      <c r="J83" s="6" t="str">
        <f>IFERROR(__xludf.DUMMYFUNCTION("GOOGLETRANSLATE(D83, ""en"", ""fr"")"),"D) L'Assommoir d'Émile Zola")</f>
        <v>D) L'Assommoir d'Émile Zola</v>
      </c>
      <c r="K83" s="6" t="str">
        <f>IFERROR(__xludf.DUMMYFUNCTION("GOOGLETRANSLATE(E83, ""en"", ""fr"")"),"Le roman de Zola contient une description saisissante d'une fête ouvrière parisienne où se déroule un tournoi de joutes nautiques.")</f>
        <v>Le roman de Zola contient une description saisissante d'une fête ouvrière parisienne où se déroule un tournoi de joutes nautiques.</v>
      </c>
    </row>
    <row r="84" ht="22.5" customHeight="1">
      <c r="A84" s="4">
        <v>83.0</v>
      </c>
      <c r="B84" s="5" t="s">
        <v>335</v>
      </c>
      <c r="C84" s="5" t="s">
        <v>336</v>
      </c>
      <c r="D84" s="5" t="s">
        <v>337</v>
      </c>
      <c r="E84" s="5" t="s">
        <v>338</v>
      </c>
      <c r="G84" s="6" t="str">
        <f>IFERROR(__xludf.DUMMYFUNCTION("GOOGLETRANSLATE(A84, ""en"", ""fr"")"),"83")</f>
        <v>83</v>
      </c>
      <c r="H84" s="6" t="str">
        <f>IFERROR(__xludf.DUMMYFUNCTION("GOOGLETRANSLATE(B84, ""en"", ""fr"")"),"Les « joutes provençales » se caractérisent par quelle particularité unique de la tintaine ?")</f>
        <v>Les « joutes provençales » se caractérisent par quelle particularité unique de la tintaine ?</v>
      </c>
      <c r="I84" s="6" t="str">
        <f>IFERROR(__xludf.DUMMYFUNCTION("GOOGLETRANSLATE(C84, ""en"", ""fr"")"),"A) Elle est beaucoup plus haute, B) Elle se trouve à l'avant du bateau, C) C'est une plateforme fixe, et le jouteur se tient les deux pieds en avant, D) Elle est très petite")</f>
        <v>A) Elle est beaucoup plus haute, B) Elle se trouve à l'avant du bateau, C) C'est une plateforme fixe, et le jouteur se tient les deux pieds en avant, D) Elle est très petite</v>
      </c>
      <c r="J84" s="6" t="str">
        <f>IFERROR(__xludf.DUMMYFUNCTION("GOOGLETRANSLATE(D84, ""en"", ""fr"")"),"C) Il s'agit d'une plateforme fixe, et le jouteur se tient les deux pieds en avant.")</f>
        <v>C) Il s'agit d'une plateforme fixe, et le jouteur se tient les deux pieds en avant.</v>
      </c>
      <c r="K84" s="6" t="str">
        <f>IFERROR(__xludf.DUMMYFUNCTION("GOOGLETRANSLATE(E84, ""en"", ""fr"")"),"Dans le style marseillais, la plateforme est fixe et la posture est différente, le jouteur faisant face directement à l'avant.")</f>
        <v>Dans le style marseillais, la plateforme est fixe et la posture est différente, le jouteur faisant face directement à l'avant.</v>
      </c>
    </row>
    <row r="85" ht="22.5" customHeight="1">
      <c r="A85" s="4">
        <v>84.0</v>
      </c>
      <c r="B85" s="5" t="s">
        <v>339</v>
      </c>
      <c r="C85" s="5" t="s">
        <v>340</v>
      </c>
      <c r="D85" s="5" t="s">
        <v>341</v>
      </c>
      <c r="E85" s="5" t="s">
        <v>342</v>
      </c>
      <c r="G85" s="6" t="str">
        <f>IFERROR(__xludf.DUMMYFUNCTION("GOOGLETRANSLATE(A85, ""en"", ""fr"")"),"84")</f>
        <v>84</v>
      </c>
      <c r="H85" s="6" t="str">
        <f>IFERROR(__xludf.DUMMYFUNCTION("GOOGLETRANSLATE(B85, ""en"", ""fr"")"),"Quelle est la principale raison des catégories de poids strictes dans ce sport ?")</f>
        <v>Quelle est la principale raison des catégories de poids strictes dans ce sport ?</v>
      </c>
      <c r="I85" s="6" t="str">
        <f>IFERROR(__xludf.DUMMYFUNCTION("GOOGLETRANSLATE(C85, ""en"", ""fr"")"),"A) Pour garantir l'équité entre les jouteurs de gabarit similaire, B) Pour éviter la surcharge des bateaux, C) Par tradition, D) Pour faciliter le travail des juges")</f>
        <v>A) Pour garantir l'équité entre les jouteurs de gabarit similaire, B) Pour éviter la surcharge des bateaux, C) Par tradition, D) Pour faciliter le travail des juges</v>
      </c>
      <c r="J85" s="6" t="str">
        <f>IFERROR(__xludf.DUMMYFUNCTION("GOOGLETRANSLATE(D85, ""en"", ""fr"")"),"A) Afin de garantir que les jouteurs de taille similaire s'affrontent équitablement")</f>
        <v>A) Afin de garantir que les jouteurs de taille similaire s'affrontent équitablement</v>
      </c>
      <c r="K85" s="6" t="str">
        <f>IFERROR(__xludf.DUMMYFUNCTION("GOOGLETRANSLATE(E85, ""en"", ""fr"")"),"Comme en boxe ou en lutte, les catégories de poids garantissent que la compétition soit un test d'habileté, et non pas seulement une question de taille et de force.")</f>
        <v>Comme en boxe ou en lutte, les catégories de poids garantissent que la compétition soit un test d'habileté, et non pas seulement une question de taille et de force.</v>
      </c>
    </row>
    <row r="86" ht="22.5" customHeight="1">
      <c r="A86" s="4">
        <v>85.0</v>
      </c>
      <c r="B86" s="5" t="s">
        <v>343</v>
      </c>
      <c r="C86" s="5" t="s">
        <v>344</v>
      </c>
      <c r="D86" s="5" t="s">
        <v>345</v>
      </c>
      <c r="E86" s="5" t="s">
        <v>346</v>
      </c>
      <c r="G86" s="6" t="str">
        <f>IFERROR(__xludf.DUMMYFUNCTION("GOOGLETRANSLATE(A86, ""en"", ""fr"")"),"85")</f>
        <v>85</v>
      </c>
      <c r="H86" s="6" t="str">
        <f>IFERROR(__xludf.DUMMYFUNCTION("GOOGLETRANSLATE(B86, ""en"", ""fr"")"),"Quel est le cri de ralliement ou la devise traditionnelle du festival de Saint Louis ?")</f>
        <v>Quel est le cri de ralliement ou la devise traditionnelle du festival de Saint Louis ?</v>
      </c>
      <c r="I86" s="6" t="str">
        <f>IFERROR(__xludf.DUMMYFUNCTION("GOOGLETRANSLATE(C86, ""en"", ""fr"")"),"A) « Liberté, Égalité, Fraternité », B) « Pour le Roi et pour Sète », C) « Voilà le bouquet ! », D) « Gloire aux Jouteurs ! »")</f>
        <v>A) « Liberté, Égalité, Fraternité », B) « Pour le Roi et pour Sète », C) « Voilà le bouquet ! », D) « Gloire aux Jouteurs ! »</v>
      </c>
      <c r="J86" s="6" t="str">
        <f>IFERROR(__xludf.DUMMYFUNCTION("GOOGLETRANSLATE(D86, ""en"", ""fr"")"),"C) ""Voilà le bouquet !"" (Voilà le bouquet !)")</f>
        <v>C) "Voilà le bouquet !" (Voilà le bouquet !)</v>
      </c>
      <c r="K86" s="6" t="str">
        <f>IFERROR(__xludf.DUMMYFUNCTION("GOOGLETRANSLATE(E86, ""en"", ""fr"")"),"C'est le cri classique et humoristique de la foule lorsqu'un jouteur est envoyé voler dans l'eau.")</f>
        <v>C'est le cri classique et humoristique de la foule lorsqu'un jouteur est envoyé voler dans l'eau.</v>
      </c>
    </row>
    <row r="87" ht="22.5" customHeight="1">
      <c r="A87" s="4">
        <v>86.0</v>
      </c>
      <c r="B87" s="5" t="s">
        <v>347</v>
      </c>
      <c r="C87" s="5" t="s">
        <v>348</v>
      </c>
      <c r="D87" s="5" t="s">
        <v>349</v>
      </c>
      <c r="E87" s="5" t="s">
        <v>350</v>
      </c>
      <c r="G87" s="6" t="str">
        <f>IFERROR(__xludf.DUMMYFUNCTION("GOOGLETRANSLATE(A87, ""en"", ""fr"")"),"86")</f>
        <v>86</v>
      </c>
      <c r="H87" s="6" t="str">
        <f>IFERROR(__xludf.DUMMYFUNCTION("GOOGLETRANSLATE(B87, ""en"", ""fr"")"),"La Fédération française de joutes nautiques inclut également le terme « Sauvetage nautique » dans son nom. Cela reflète le rôle historique des jouteurs dans quoi ?")</f>
        <v>La Fédération française de joutes nautiques inclut également le terme « Sauvetage nautique » dans son nom. Cela reflète le rôle historique des jouteurs dans quoi ?</v>
      </c>
      <c r="I87" s="6" t="str">
        <f>IFERROR(__xludf.DUMMYFUNCTION("GOOGLETRANSLATE(C87, ""en"", ""fr"")"),"A) Secourir des personnes lors de crues fluviales, B) Agir comme première marine, C) Sauver des pêcheurs en mer, D) Participer à des compétitions de sauvetage en mer")</f>
        <v>A) Secourir des personnes lors de crues fluviales, B) Agir comme première marine, C) Sauver des pêcheurs en mer, D) Participer à des compétitions de sauvetage en mer</v>
      </c>
      <c r="J87" s="6" t="str">
        <f>IFERROR(__xludf.DUMMYFUNCTION("GOOGLETRANSLATE(D87, ""en"", ""fr"")"),"A) Sauvetage de personnes lors de crues fluviales")</f>
        <v>A) Sauvetage de personnes lors de crues fluviales</v>
      </c>
      <c r="K87" s="6" t="str">
        <f>IFERROR(__xludf.DUMMYFUNCTION("GOOGLETRANSLATE(E87, ""en"", ""fr"")"),"Les sociétés de joutes de la vallée du Rhône étaient composées de bateliers expérimentés qui étaient les premiers intervenants officiels lors des sauvetages en cas d'inondation.")</f>
        <v>Les sociétés de joutes de la vallée du Rhône étaient composées de bateliers expérimentés qui étaient les premiers intervenants officiels lors des sauvetages en cas d'inondation.</v>
      </c>
    </row>
    <row r="88" ht="22.5" customHeight="1">
      <c r="A88" s="4">
        <v>87.0</v>
      </c>
      <c r="B88" s="5" t="s">
        <v>351</v>
      </c>
      <c r="C88" s="5" t="s">
        <v>352</v>
      </c>
      <c r="D88" s="5" t="s">
        <v>353</v>
      </c>
      <c r="E88" s="5" t="s">
        <v>354</v>
      </c>
      <c r="G88" s="6" t="str">
        <f>IFERROR(__xludf.DUMMYFUNCTION("GOOGLETRANSLATE(A88, ""en"", ""fr"")"),"87")</f>
        <v>87</v>
      </c>
      <c r="H88" s="6" t="str">
        <f>IFERROR(__xludf.DUMMYFUNCTION("GOOGLETRANSLATE(B88, ""en"", ""fr"")"),"Quelle est la principale différence dans la méthode de joute alsacienne ?")</f>
        <v>Quelle est la principale différence dans la méthode de joute alsacienne ?</v>
      </c>
      <c r="I88" s="6" t="str">
        <f>IFERROR(__xludf.DUMMYFUNCTION("GOOGLETRANSLATE(C88, ""en"", ""fr"")"),"A) Cela se pratique sur un lac, B) Les jouteurs sont attachés au bateau et utilisent de très longues et lourdes lances, C) C'est un sport sans contact, D) C'est la méthode la plus ancienne")</f>
        <v>A) Cela se pratique sur un lac, B) Les jouteurs sont attachés au bateau et utilisent de très longues et lourdes lances, C) C'est un sport sans contact, D) C'est la méthode la plus ancienne</v>
      </c>
      <c r="J88" s="6" t="str">
        <f>IFERROR(__xludf.DUMMYFUNCTION("GOOGLETRANSLATE(D88, ""en"", ""fr"")"),"B) Les jouteurs sont attachés au bateau et utilisent de très longues et lourdes lances.")</f>
        <v>B) Les jouteurs sont attachés au bateau et utilisent de très longues et lourdes lances.</v>
      </c>
      <c r="K88" s="6" t="str">
        <f>IFERROR(__xludf.DUMMYFUNCTION("GOOGLETRANSLATE(E88, ""en"", ""fr"")"),"Le style strasbourgeois est très différent, axé sur la stabilité et la puissance, les jouteurs étant solidement attachés au bateau.")</f>
        <v>Le style strasbourgeois est très différent, axé sur la stabilité et la puissance, les jouteurs étant solidement attachés au bateau.</v>
      </c>
    </row>
    <row r="89" ht="22.5" customHeight="1">
      <c r="A89" s="4">
        <v>88.0</v>
      </c>
      <c r="B89" s="5" t="s">
        <v>355</v>
      </c>
      <c r="C89" s="5" t="s">
        <v>356</v>
      </c>
      <c r="D89" s="5" t="s">
        <v>357</v>
      </c>
      <c r="E89" s="5" t="s">
        <v>358</v>
      </c>
      <c r="G89" s="6" t="str">
        <f>IFERROR(__xludf.DUMMYFUNCTION("GOOGLETRANSLATE(A89, ""en"", ""fr"")"),"88")</f>
        <v>88</v>
      </c>
      <c r="H89" s="6" t="str">
        <f>IFERROR(__xludf.DUMMYFUNCTION("GOOGLETRANSLATE(B89, ""en"", ""fr"")"),"Quelle est l'origine historique des couleurs rouge et bleue des bateaux à Sète ?")</f>
        <v>Quelle est l'origine historique des couleurs rouge et bleue des bateaux à Sète ?</v>
      </c>
      <c r="I89" s="6" t="str">
        <f>IFERROR(__xludf.DUMMYFUNCTION("GOOGLETRANSLATE(C89, ""en"", ""fr"")"),"A) Ce sont les couleurs du drapeau français. B) Elles représentent les factions politiques historiques de la ville. C) Ce sont les couleurs traditionnelles des deux camps du port : les pêcheurs et les dockers. D) Ce sont les couleurs de la famille royale.")</f>
        <v>A) Ce sont les couleurs du drapeau français. B) Elles représentent les factions politiques historiques de la ville. C) Ce sont les couleurs traditionnelles des deux camps du port : les pêcheurs et les dockers. D) Ce sont les couleurs de la famille royale.</v>
      </c>
      <c r="J89" s="6" t="str">
        <f>IFERROR(__xludf.DUMMYFUNCTION("GOOGLETRANSLATE(D89, ""en"", ""fr"")"),"C) Ce sont les couleurs traditionnelles des deux camps du port : les pêcheurs et les dockers")</f>
        <v>C) Ce sont les couleurs traditionnelles des deux camps du port : les pêcheurs et les dockers</v>
      </c>
      <c r="K89" s="6" t="str">
        <f>IFERROR(__xludf.DUMMYFUNCTION("GOOGLETRANSLATE(E89, ""en"", ""fr"")"),"Les couleurs symbolisent les deux communautés ouvrières historiques du port d'où sont originaires les jouteurs.")</f>
        <v>Les couleurs symbolisent les deux communautés ouvrières historiques du port d'où sont originaires les jouteurs.</v>
      </c>
    </row>
    <row r="90" ht="22.5" customHeight="1">
      <c r="A90" s="4">
        <v>89.0</v>
      </c>
      <c r="B90" s="5" t="s">
        <v>359</v>
      </c>
      <c r="C90" s="5" t="s">
        <v>360</v>
      </c>
      <c r="D90" s="5" t="s">
        <v>361</v>
      </c>
      <c r="E90" s="5" t="s">
        <v>362</v>
      </c>
      <c r="G90" s="6" t="str">
        <f>IFERROR(__xludf.DUMMYFUNCTION("GOOGLETRANSLATE(A90, ""en"", ""fr"")"),"89")</f>
        <v>89</v>
      </c>
      <c r="H90" s="6" t="str">
        <f>IFERROR(__xludf.DUMMYFUNCTION("GOOGLETRANSLATE(B90, ""en"", ""fr"")"),"Que comprend le grand défilé qui ouvre le festival de Saint-Louis ?")</f>
        <v>Que comprend le grand défilé qui ouvre le festival de Saint-Louis ?</v>
      </c>
      <c r="I90" s="6" t="str">
        <f>IFERROR(__xludf.DUMMYFUNCTION("GOOGLETRANSLATE(C90, ""en"", ""fr"")"),"A) Un défilé équestre, B) Un cortège de toutes les sociétés de joutes sur leurs bateaux décorés à travers les canaux, C) Un défilé militaire, D) Un défilé floral")</f>
        <v>A) Un défilé équestre, B) Un cortège de toutes les sociétés de joutes sur leurs bateaux décorés à travers les canaux, C) Un défilé militaire, D) Un défilé floral</v>
      </c>
      <c r="J90" s="6" t="str">
        <f>IFERROR(__xludf.DUMMYFUNCTION("GOOGLETRANSLATE(D90, ""en"", ""fr"")"),"B) Un cortège de toutes les sociétés de joutes sur leurs bateaux décorés à travers les canaux")</f>
        <v>B) Un cortège de toutes les sociétés de joutes sur leurs bateaux décorés à travers les canaux</v>
      </c>
      <c r="K90" s="6" t="str">
        <f>IFERROR(__xludf.DUMMYFUNCTION("GOOGLETRANSLATE(E90, ""en"", ""fr"")"),"La cérémonie d'ouverture est un défilé spectaculaire des équipes, de leurs bateaux et de leurs musiciens à travers le canal principal de la ville.")</f>
        <v>La cérémonie d'ouverture est un défilé spectaculaire des équipes, de leurs bateaux et de leurs musiciens à travers le canal principal de la ville.</v>
      </c>
    </row>
    <row r="91" ht="22.5" customHeight="1">
      <c r="A91" s="4">
        <v>90.0</v>
      </c>
      <c r="B91" s="5" t="s">
        <v>363</v>
      </c>
      <c r="C91" s="5" t="s">
        <v>364</v>
      </c>
      <c r="D91" s="5" t="s">
        <v>365</v>
      </c>
      <c r="E91" s="5" t="s">
        <v>366</v>
      </c>
      <c r="G91" s="6" t="str">
        <f>IFERROR(__xludf.DUMMYFUNCTION("GOOGLETRANSLATE(A91, ""en"", ""fr"")"),"90")</f>
        <v>90</v>
      </c>
      <c r="H91" s="6" t="str">
        <f>IFERROR(__xludf.DUMMYFUNCTION("GOOGLETRANSLATE(B91, ""en"", ""fr"")"),"Aux XVIIIe et XIXe siècles, quelle était la principale motivation d'un jeune homme qui devenait jouteur ?")</f>
        <v>Aux XVIIIe et XIXe siècles, quelle était la principale motivation d'un jeune homme qui devenait jouteur ?</v>
      </c>
      <c r="I91" s="6" t="str">
        <f>IFERROR(__xludf.DUMMYFUNCTION("GOOGLETRANSLATE(C91, ""en"", ""fr"")"),"A) Gagner beaucoup d'argent, B) Acquérir honneur, renommée locale et prestige social, C) Obtenir un emploi d'athlète professionnel, D) Voyager dans d'autres pays")</f>
        <v>A) Gagner beaucoup d'argent, B) Acquérir honneur, renommée locale et prestige social, C) Obtenir un emploi d'athlète professionnel, D) Voyager dans d'autres pays</v>
      </c>
      <c r="J91" s="6" t="str">
        <f>IFERROR(__xludf.DUMMYFUNCTION("GOOGLETRANSLATE(D91, ""en"", ""fr"")"),"B) Obtenir honneur, renommée locale et prestige social")</f>
        <v>B) Obtenir honneur, renommée locale et prestige social</v>
      </c>
      <c r="K91" s="6" t="str">
        <f>IFERROR(__xludf.DUMMYFUNCTION("GOOGLETRANSLATE(E91, ""en"", ""fr"")"),"Dans cette communauté très soudée, être champion de joute était une source d'immense fierté personnelle et de fierté pour le voisinage.")</f>
        <v>Dans cette communauté très soudée, être champion de joute était une source d'immense fierté personnelle et de fierté pour le voisinage.</v>
      </c>
    </row>
    <row r="92" ht="22.5" customHeight="1">
      <c r="A92" s="4">
        <v>91.0</v>
      </c>
      <c r="B92" s="5" t="s">
        <v>367</v>
      </c>
      <c r="C92" s="5" t="s">
        <v>368</v>
      </c>
      <c r="D92" s="5" t="s">
        <v>369</v>
      </c>
      <c r="E92" s="5" t="s">
        <v>370</v>
      </c>
      <c r="G92" s="6" t="str">
        <f>IFERROR(__xludf.DUMMYFUNCTION("GOOGLETRANSLATE(A92, ""en"", ""fr"")"),"91")</f>
        <v>91</v>
      </c>
      <c r="H92" s="6" t="str">
        <f>IFERROR(__xludf.DUMMYFUNCTION("GOOGLETRANSLATE(B92, ""en"", ""fr"")"),"Quel est le rôle de la « Barge d'honneur » pendant les tournois ?")</f>
        <v>Quel est le rôle de la « Barge d'honneur » pendant les tournois ?</v>
      </c>
      <c r="I92" s="6" t="str">
        <f>IFERROR(__xludf.DUMMYFUNCTION("GOOGLETRANSLATE(C92, ""en"", ""fr"")"),"A) C'est le bateau utilisé par le champion en titre, B) C'est une barge de cérémonie pour les musiciens et les officiels, C) C'est un bateau pour les spectateurs, D) C'est le prix pour l'équipe gagnante")</f>
        <v>A) C'est le bateau utilisé par le champion en titre, B) C'est une barge de cérémonie pour les musiciens et les officiels, C) C'est un bateau pour les spectateurs, D) C'est le prix pour l'équipe gagnante</v>
      </c>
      <c r="J92" s="6" t="str">
        <f>IFERROR(__xludf.DUMMYFUNCTION("GOOGLETRANSLATE(D92, ""en"", ""fr"")"),"B) C'est une barge de cérémonie pour les musiciens et les officiels.")</f>
        <v>B) C'est une barge de cérémonie pour les musiciens et les officiels.</v>
      </c>
      <c r="K92" s="6" t="str">
        <f>IFERROR(__xludf.DUMMYFUNCTION("GOOGLETRANSLATE(E92, ""en"", ""fr"")"),"Chaque société de joutes possède un bateau de parade richement décoré pour sa fanfare et ses dignitaires, élément clé du spectacle.")</f>
        <v>Chaque société de joutes possède un bateau de parade richement décoré pour sa fanfare et ses dignitaires, élément clé du spectacle.</v>
      </c>
    </row>
    <row r="93" ht="22.5" customHeight="1">
      <c r="A93" s="4">
        <v>92.0</v>
      </c>
      <c r="B93" s="5" t="s">
        <v>371</v>
      </c>
      <c r="C93" s="5" t="s">
        <v>372</v>
      </c>
      <c r="D93" s="5" t="s">
        <v>373</v>
      </c>
      <c r="E93" s="5" t="s">
        <v>374</v>
      </c>
      <c r="G93" s="6" t="str">
        <f>IFERROR(__xludf.DUMMYFUNCTION("GOOGLETRANSLATE(A93, ""en"", ""fr"")"),"92")</f>
        <v>92</v>
      </c>
      <c r="H93" s="6" t="str">
        <f>IFERROR(__xludf.DUMMYFUNCTION("GOOGLETRANSLATE(B93, ""en"", ""fr"")"),"Le design du bateau de joute traditionnel languedocien est basé sur quel type de navire ?")</f>
        <v>Le design du bateau de joute traditionnel languedocien est basé sur quel type de navire ?</v>
      </c>
      <c r="I93" s="6" t="str">
        <f>IFERROR(__xludf.DUMMYFUNCTION("GOOGLETRANSLATE(C93, ""en"", ""fr"")"),"A) Une gondole vénitienne, B) Une péniche, C) Un bateau de pêche méditerranéen historique, D) Un drakkar viking")</f>
        <v>A) Une gondole vénitienne, B) Une péniche, C) Un bateau de pêche méditerranéen historique, D) Un drakkar viking</v>
      </c>
      <c r="J93" s="6" t="str">
        <f>IFERROR(__xludf.DUMMYFUNCTION("GOOGLETRANSLATE(D93, ""en"", ""fr"")"),"C) Un bateau de pêche historique de la Méditerranée")</f>
        <v>C) Un bateau de pêche historique de la Méditerranée</v>
      </c>
      <c r="K93" s="6" t="str">
        <f>IFERROR(__xludf.DUMMYFUNCTION("GOOGLETRANSLATE(E93, ""en"", ""fr"")"),"La conception robuste et stable des bateaux de joute est issue des bateaux de pêche traditionnels utilisés dans le port de Sète.")</f>
        <v>La conception robuste et stable des bateaux de joute est issue des bateaux de pêche traditionnels utilisés dans le port de Sète.</v>
      </c>
    </row>
    <row r="94" ht="22.5" customHeight="1">
      <c r="A94" s="4">
        <v>93.0</v>
      </c>
      <c r="B94" s="5" t="s">
        <v>375</v>
      </c>
      <c r="C94" s="5" t="s">
        <v>376</v>
      </c>
      <c r="D94" s="5" t="s">
        <v>377</v>
      </c>
      <c r="E94" s="5" t="s">
        <v>378</v>
      </c>
      <c r="G94" s="6" t="str">
        <f>IFERROR(__xludf.DUMMYFUNCTION("GOOGLETRANSLATE(A94, ""en"", ""fr"")"),"93")</f>
        <v>93</v>
      </c>
      <c r="H94" s="6" t="str">
        <f>IFERROR(__xludf.DUMMYFUNCTION("GOOGLETRANSLATE(B94, ""en"", ""fr"")"),"Quelle est la principale raison pour laquelle ce sport est resté concentré dans certaines régions de France ?")</f>
        <v>Quelle est la principale raison pour laquelle ce sport est resté concentré dans certaines régions de France ?</v>
      </c>
      <c r="I94" s="6" t="str">
        <f>IFERROR(__xludf.DUMMYFUNCTION("GOOGLETRANSLATE(C94, ""en"", ""fr"")"),"A) Il est interdit ailleurs, B) Les traditions sont profondément liées à l'identité locale et à la géographie des villes fluviales et des canaux, C) Le matériel est trop difficile à fabriquer ailleurs, D) Les autres Français n'aiment pas ce sport")</f>
        <v>A) Il est interdit ailleurs, B) Les traditions sont profondément liées à l'identité locale et à la géographie des villes fluviales et des canaux, C) Le matériel est trop difficile à fabriquer ailleurs, D) Les autres Français n'aiment pas ce sport</v>
      </c>
      <c r="J94" s="6" t="str">
        <f>IFERROR(__xludf.DUMMYFUNCTION("GOOGLETRANSLATE(D94, ""en"", ""fr"")"),"B) Les traditions sont profondément liées à l'identité locale et à la géographie des villes fluviales et des canaux.")</f>
        <v>B) Les traditions sont profondément liées à l'identité locale et à la géographie des villes fluviales et des canaux.</v>
      </c>
      <c r="K94" s="6" t="str">
        <f>IFERROR(__xludf.DUMMYFUNCTION("GOOGLETRANSLATE(E94, ""en"", ""fr"")"),"Les joutes nautiques sont un sport folklorique très local, dont les coutumes et les rivalités font partie intégrante de l'histoire de quelques villes spécifiques.")</f>
        <v>Les joutes nautiques sont un sport folklorique très local, dont les coutumes et les rivalités font partie intégrante de l'histoire de quelques villes spécifiques.</v>
      </c>
    </row>
    <row r="95" ht="22.5" customHeight="1">
      <c r="A95" s="4">
        <v>94.0</v>
      </c>
      <c r="B95" s="5" t="s">
        <v>379</v>
      </c>
      <c r="C95" s="5" t="s">
        <v>380</v>
      </c>
      <c r="D95" s="5" t="s">
        <v>381</v>
      </c>
      <c r="E95" s="5" t="s">
        <v>382</v>
      </c>
      <c r="G95" s="6" t="str">
        <f>IFERROR(__xludf.DUMMYFUNCTION("GOOGLETRANSLATE(A95, ""en"", ""fr"")"),"94")</f>
        <v>94</v>
      </c>
      <c r="H95" s="6" t="str">
        <f>IFERROR(__xludf.DUMMYFUNCTION("GOOGLETRANSLATE(B95, ""en"", ""fr"")"),"De quel matériau étaient probablement faites les lances au Moyen Âge ?")</f>
        <v>De quel matériau étaient probablement faites les lances au Moyen Âge ?</v>
      </c>
      <c r="I95" s="6" t="str">
        <f>IFERROR(__xludf.DUMMYFUNCTION("GOOGLETRANSLATE(C95, ""en"", ""fr"")"),"A) Fer, B) Acier, C) Bois massif, comme le frêne ou le châtaignier, D) Bambou")</f>
        <v>A) Fer, B) Acier, C) Bois massif, comme le frêne ou le châtaignier, D) Bambou</v>
      </c>
      <c r="J95" s="6" t="str">
        <f>IFERROR(__xludf.DUMMYFUNCTION("GOOGLETRANSLATE(D95, ""en"", ""fr"")"),"C) Bois massif, comme le frêne ou le châtaignier")</f>
        <v>C) Bois massif, comme le frêne ou le châtaignier</v>
      </c>
      <c r="K95" s="6" t="str">
        <f>IFERROR(__xludf.DUMMYFUNCTION("GOOGLETRANSLATE(E95, ""en"", ""fr"")"),"Les lances ont toujours été fabriquées en bois, choisi pour sa combinaison de robustesse et de légère flexibilité, sans risque de rupture.")</f>
        <v>Les lances ont toujours été fabriquées en bois, choisi pour sa combinaison de robustesse et de légère flexibilité, sans risque de rupture.</v>
      </c>
    </row>
    <row r="96" ht="22.5" customHeight="1">
      <c r="A96" s="4">
        <v>95.0</v>
      </c>
      <c r="B96" s="5" t="s">
        <v>383</v>
      </c>
      <c r="C96" s="5" t="s">
        <v>384</v>
      </c>
      <c r="D96" s="5" t="s">
        <v>385</v>
      </c>
      <c r="E96" s="5" t="s">
        <v>386</v>
      </c>
      <c r="G96" s="6" t="str">
        <f>IFERROR(__xludf.DUMMYFUNCTION("GOOGLETRANSLATE(A96, ""en"", ""fr"")"),"95")</f>
        <v>95</v>
      </c>
      <c r="H96" s="6" t="str">
        <f>IFERROR(__xludf.DUMMYFUNCTION("GOOGLETRANSLATE(B96, ""en"", ""fr"")"),"Un jouteur retombe parfaitement droit dans l'eau. Comment appelle-t-on cela ?")</f>
        <v>Un jouteur retombe parfaitement droit dans l'eau. Comment appelle-t-on cela ?</v>
      </c>
      <c r="I96" s="6" t="str">
        <f>IFERROR(__xludf.DUMMYFUNCTION("GOOGLETRANSLATE(C96, ""en"", ""fr"")"),"A) Une chute maladroite, B) La marque d'un jouteur expérimenté qui sait chuter sans se blesser, C) Une faute, D) Un motif de revanche")</f>
        <v>A) Une chute maladroite, B) La marque d'un jouteur expérimenté qui sait chuter sans se blesser, C) Une faute, D) Un motif de revanche</v>
      </c>
      <c r="J96" s="6" t="str">
        <f>IFERROR(__xludf.DUMMYFUNCTION("GOOGLETRANSLATE(D96, ""en"", ""fr"")"),"B) La marque d'un jouteur expérimenté qui sait chuter sans se blesser")</f>
        <v>B) La marque d'un jouteur expérimenté qui sait chuter sans se blesser</v>
      </c>
      <c r="K96" s="6" t="str">
        <f>IFERROR(__xludf.DUMMYFUNCTION("GOOGLETRANSLATE(E96, ""en"", ""fr"")"),"Un bon jouteur apprend à chuter correctement pour éviter les blessures, en tombant droit en arrière comme un arbre abattu.")</f>
        <v>Un bon jouteur apprend à chuter correctement pour éviter les blessures, en tombant droit en arrière comme un arbre abattu.</v>
      </c>
    </row>
    <row r="97" ht="22.5" customHeight="1">
      <c r="A97" s="4">
        <v>96.0</v>
      </c>
      <c r="B97" s="5" t="s">
        <v>387</v>
      </c>
      <c r="C97" s="5" t="s">
        <v>388</v>
      </c>
      <c r="D97" s="5" t="s">
        <v>389</v>
      </c>
      <c r="E97" s="5" t="s">
        <v>390</v>
      </c>
      <c r="G97" s="6" t="str">
        <f>IFERROR(__xludf.DUMMYFUNCTION("GOOGLETRANSLATE(A97, ""en"", ""fr"")"),"96")</f>
        <v>96</v>
      </c>
      <c r="H97" s="6" t="str">
        <f>IFERROR(__xludf.DUMMYFUNCTION("GOOGLETRANSLATE(B97, ""en"", ""fr"")"),"Quelle est la signification du tournoi « Pavois d'Or » à Sète ?")</f>
        <v>Quelle est la signification du tournoi « Pavois d'Or » à Sète ?</v>
      </c>
      <c r="I97" s="6" t="str">
        <f>IFERROR(__xludf.DUMMYFUNCTION("GOOGLETRANSLATE(C97, ""en"", ""fr"")"),"A) C'est le championnat principal, B) C'est l'un des tournois les plus prestigieux de la saison, avec le tournoi de Saint-Louis, C) C'est un tournoi pour les jeunes jouteurs, D) C'est une reconstitution historique")</f>
        <v>A) C'est le championnat principal, B) C'est l'un des tournois les plus prestigieux de la saison, avec le tournoi de Saint-Louis, C) C'est un tournoi pour les jeunes jouteurs, D) C'est une reconstitution historique</v>
      </c>
      <c r="J97" s="6" t="str">
        <f>IFERROR(__xludf.DUMMYFUNCTION("GOOGLETRANSLATE(D97, ""en"", ""fr"")"),"B) C'est l'un des tournois les plus prestigieux de la saison, au même titre que le Saint Louis")</f>
        <v>B) C'est l'un des tournois les plus prestigieux de la saison, au même titre que le Saint Louis</v>
      </c>
      <c r="K97" s="6" t="str">
        <f>IFERROR(__xludf.DUMMYFUNCTION("GOOGLETRANSLATE(E97, ""en"", ""fr"")"),"Le « Bouclier d'or » est un autre prix majeur et très convoité du calendrier des joutes languedociennes.")</f>
        <v>Le « Bouclier d'or » est un autre prix majeur et très convoité du calendrier des joutes languedociennes.</v>
      </c>
    </row>
    <row r="98" ht="22.5" customHeight="1">
      <c r="A98" s="4">
        <v>97.0</v>
      </c>
      <c r="B98" s="5" t="s">
        <v>391</v>
      </c>
      <c r="C98" s="5" t="s">
        <v>392</v>
      </c>
      <c r="D98" s="5" t="s">
        <v>393</v>
      </c>
      <c r="E98" s="5" t="s">
        <v>394</v>
      </c>
      <c r="G98" s="6" t="str">
        <f>IFERROR(__xludf.DUMMYFUNCTION("GOOGLETRANSLATE(A98, ""en"", ""fr"")"),"97")</f>
        <v>97</v>
      </c>
      <c r="H98" s="6" t="str">
        <f>IFERROR(__xludf.DUMMYFUNCTION("GOOGLETRANSLATE(B98, ""en"", ""fr"")"),"Qui est considéré comme le « saint patron » de la ville de Sète et de ses jouteurs ?")</f>
        <v>Qui est considéré comme le « saint patron » de la ville de Sète et de ses jouteurs ?</v>
      </c>
      <c r="I98" s="6" t="str">
        <f>IFERROR(__xludf.DUMMYFUNCTION("GOOGLETRANSLATE(C98, ""en"", ""fr"")"),"A) Saint Pierre, B) Saint Nicolas, C) Saint Louis (Louis IX), D) Saint Christophe")</f>
        <v>A) Saint Pierre, B) Saint Nicolas, C) Saint Louis (Louis IX), D) Saint Christophe</v>
      </c>
      <c r="J98" s="6" t="str">
        <f>IFERROR(__xludf.DUMMYFUNCTION("GOOGLETRANSLATE(D98, ""en"", ""fr"")"),"C) Saint Louis (Roi Louis IX)")</f>
        <v>C) Saint Louis (Roi Louis IX)</v>
      </c>
      <c r="K98" s="6" t="str">
        <f>IFERROR(__xludf.DUMMYFUNCTION("GOOGLETRANSLATE(E98, ""en"", ""fr"")"),"La ville et sa principale fête portent le nom du roi Louis IX, qui partit pour les croisades depuis la ville voisine d'Aigues-Mortes.")</f>
        <v>La ville et sa principale fête portent le nom du roi Louis IX, qui partit pour les croisades depuis la ville voisine d'Aigues-Mortes.</v>
      </c>
    </row>
    <row r="99" ht="22.5" customHeight="1">
      <c r="A99" s="4">
        <v>98.0</v>
      </c>
      <c r="B99" s="5" t="s">
        <v>395</v>
      </c>
      <c r="C99" s="5" t="s">
        <v>396</v>
      </c>
      <c r="D99" s="5" t="s">
        <v>167</v>
      </c>
      <c r="E99" s="5" t="s">
        <v>397</v>
      </c>
      <c r="G99" s="6" t="str">
        <f>IFERROR(__xludf.DUMMYFUNCTION("GOOGLETRANSLATE(A99, ""en"", ""fr"")"),"98")</f>
        <v>98</v>
      </c>
      <c r="H99" s="6" t="str">
        <f>IFERROR(__xludf.DUMMYFUNCTION("GOOGLETRANSLATE(B99, ""en"", ""fr"")"),"La création de la Fédération française au XXe siècle a permis de faire quoi pour le sport ?")</f>
        <v>La création de la Fédération française au XXe siècle a permis de faire quoi pour le sport ?</v>
      </c>
      <c r="I99" s="6" t="str">
        <f>IFERROR(__xludf.DUMMYFUNCTION("GOOGLETRANSLATE(C99, ""en"", ""fr"")"),"A) Uniformiser les règles entre les différentes régions, B) Professionnaliser davantage le sport, C) Organiser un championnat national, D) Toutes les réponses ci-dessus")</f>
        <v>A) Uniformiser les règles entre les différentes régions, B) Professionnaliser davantage le sport, C) Organiser un championnat national, D) Toutes les réponses ci-dessus</v>
      </c>
      <c r="J99" s="6" t="str">
        <f>IFERROR(__xludf.DUMMYFUNCTION("GOOGLETRANSLATE(D99, ""en"", ""fr"")"),"D) Toutes les réponses ci-dessus")</f>
        <v>D) Toutes les réponses ci-dessus</v>
      </c>
      <c r="K99" s="6" t="str">
        <f>IFERROR(__xludf.DUMMYFUNCTION("GOOGLETRANSLATE(E99, ""en"", ""fr"")"),"La création de la FFJSN a constitué une étape clé dans la transformation des diverses traditions folkloriques locales en un sport moderne unifié et organisé.")</f>
        <v>La création de la FFJSN a constitué une étape clé dans la transformation des diverses traditions folkloriques locales en un sport moderne unifié et organisé.</v>
      </c>
    </row>
    <row r="100" ht="22.5" customHeight="1">
      <c r="A100" s="4">
        <v>99.0</v>
      </c>
      <c r="B100" s="5" t="s">
        <v>398</v>
      </c>
      <c r="C100" s="5" t="s">
        <v>399</v>
      </c>
      <c r="D100" s="5" t="s">
        <v>400</v>
      </c>
      <c r="E100" s="5" t="s">
        <v>401</v>
      </c>
      <c r="G100" s="6" t="str">
        <f>IFERROR(__xludf.DUMMYFUNCTION("GOOGLETRANSLATE(A100, ""en"", ""fr"")"),"99")</f>
        <v>99</v>
      </c>
      <c r="H100" s="6" t="str">
        <f>IFERROR(__xludf.DUMMYFUNCTION("GOOGLETRANSLATE(B100, ""en"", ""fr"")"),"Quelle est la principale raison de la présence de dix rameurs par bateau dans la méthode languedocienne ?")</f>
        <v>Quelle est la principale raison de la présence de dix rameurs par bateau dans la méthode languedocienne ?</v>
      </c>
      <c r="I100" s="6" t="str">
        <f>IFERROR(__xludf.DUMMYFUNCTION("GOOGLETRANSLATE(C100, ""en"", ""fr"")"),"A) Pour que le bateau ait une allure impressionnante, B) Les bateaux sont extrêmement lourds et nécessitent une force humaine considérable pour les propulser à une vitesse constante, C) Pour avoir des rameurs remplaçants, D) C'est simplement une tradition")</f>
        <v>A) Pour que le bateau ait une allure impressionnante, B) Les bateaux sont extrêmement lourds et nécessitent une force humaine considérable pour les propulser à une vitesse constante, C) Pour avoir des rameurs remplaçants, D) C'est simplement une tradition</v>
      </c>
      <c r="J100" s="6" t="str">
        <f>IFERROR(__xludf.DUMMYFUNCTION("GOOGLETRANSLATE(D100, ""en"", ""fr"")"),"B) Les bateaux sont extrêmement lourds et nécessitent une main-d'œuvre considérable pour les propulser à une vitesse constante.")</f>
        <v>B) Les bateaux sont extrêmement lourds et nécessitent une main-d'œuvre considérable pour les propulser à une vitesse constante.</v>
      </c>
      <c r="K100" s="6" t="str">
        <f>IFERROR(__xludf.DUMMYFUNCTION("GOOGLETRANSLATE(E100, ""en"", ""fr"")"),"Le poids des bateaux en bois et la nécessité d'une glisse fluide et puissante exigent une équipe de rameurs nombreuse et synchronisée.")</f>
        <v>Le poids des bateaux en bois et la nécessité d'une glisse fluide et puissante exigent une équipe de rameurs nombreuse et synchronisée.</v>
      </c>
    </row>
    <row r="101" ht="22.5" customHeight="1">
      <c r="A101" s="4">
        <v>100.0</v>
      </c>
      <c r="B101" s="5" t="s">
        <v>402</v>
      </c>
      <c r="C101" s="5" t="s">
        <v>403</v>
      </c>
      <c r="D101" s="5" t="s">
        <v>404</v>
      </c>
      <c r="E101" s="5" t="s">
        <v>405</v>
      </c>
      <c r="G101" s="6" t="str">
        <f>IFERROR(__xludf.DUMMYFUNCTION("GOOGLETRANSLATE(A101, ""en"", ""fr"")"),"100")</f>
        <v>100</v>
      </c>
      <c r="H101" s="6" t="str">
        <f>IFERROR(__xludf.DUMMYFUNCTION("GOOGLETRANSLATE(B101, ""en"", ""fr"")"),"Quel est le symbole ultime d'un jouteur champion à Sète ?")</f>
        <v>Quel est le symbole ultime d'un jouteur champion à Sète ?</v>
      </c>
      <c r="I101" s="6" t="str">
        <f>IFERROR(__xludf.DUMMYFUNCTION("GOOGLETRANSLATE(C101, ""en"", ""fr"")"),"A) Un prix en espèces important, B) Leur nom inscrit au tableau d'honneur des anciens vainqueurs, C) Un bateau neuf, D) Une lance en or")</f>
        <v>A) Un prix en espèces important, B) Leur nom inscrit au tableau d'honneur des anciens vainqueurs, C) Un bateau neuf, D) Une lance en or</v>
      </c>
      <c r="J101" s="6" t="str">
        <f>IFERROR(__xludf.DUMMYFUNCTION("GOOGLETRANSLATE(D101, ""en"", ""fr"")"),"B) Leur nom est ajouté au « Tableau d'honneur » des anciens lauréats")</f>
        <v>B) Leur nom est ajouté au « Tableau d'honneur » des anciens lauréats</v>
      </c>
      <c r="K101" s="6" t="str">
        <f>IFERROR(__xludf.DUMMYFUNCTION("GOOGLETRANSLATE(E101, ""en"", ""fr"")"),"L'immortalité dans ce sport est atteinte lorsque le nom d'un champion est inscrit sur la liste officielle des vainqueurs du Festival de Saint-Louis.")</f>
        <v>L'immortalité dans ce sport est atteinte lorsque le nom d'un champion est inscrit sur la liste officielle des vainqueurs du Festival de Saint-Louis.</v>
      </c>
    </row>
    <row r="102" ht="22.5" customHeight="1">
      <c r="A102" s="4">
        <v>101.0</v>
      </c>
      <c r="B102" s="5" t="s">
        <v>406</v>
      </c>
      <c r="C102" s="5" t="s">
        <v>407</v>
      </c>
      <c r="D102" s="5" t="s">
        <v>71</v>
      </c>
      <c r="E102" s="5" t="s">
        <v>408</v>
      </c>
      <c r="G102" s="6" t="str">
        <f>IFERROR(__xludf.DUMMYFUNCTION("GOOGLETRANSLATE(A102, ""en"", ""fr"")"),"101")</f>
        <v>101</v>
      </c>
      <c r="H102" s="6" t="str">
        <f>IFERROR(__xludf.DUMMYFUNCTION("GOOGLETRANSLATE(B102, ""en"", ""fr"")"),"Laquelle des quatre principales méthodes françaises est considérée comme la plus exigeante physiquement en raison de la taille des bateaux et des lances ?")</f>
        <v>Laquelle des quatre principales méthodes françaises est considérée comme la plus exigeante physiquement en raison de la taille des bateaux et des lances ?</v>
      </c>
      <c r="I102" s="6" t="str">
        <f>IFERROR(__xludf.DUMMYFUNCTION("GOOGLETRANSLATE(C102, ""en"", ""fr"")"),"A) La méthode parisienne, B) La méthode lyonnaise, C) La méthode languedocienne, D) La méthode alsacienne")</f>
        <v>A) La méthode parisienne, B) La méthode lyonnaise, C) La méthode languedocienne, D) La méthode alsacienne</v>
      </c>
      <c r="J102" s="6" t="str">
        <f>IFERROR(__xludf.DUMMYFUNCTION("GOOGLETRANSLATE(D102, ""en"", ""fr"")"),"C) La méthode languedocienne")</f>
        <v>C) La méthode languedocienne</v>
      </c>
      <c r="K102" s="6" t="str">
        <f>IFERROR(__xludf.DUMMYFUNCTION("GOOGLETRANSLATE(E102, ""en"", ""fr"")"),"Le style Sète utilise les bateaux les plus lourds et exige du jouteur qu'il garde l'équilibre sur une plateforme instable, ce qui requiert une force et une stabilité incroyables.")</f>
        <v>Le style Sète utilise les bateaux les plus lourds et exige du jouteur qu'il garde l'équilibre sur une plateforme instable, ce qui requiert une force et une stabilité incroyables.</v>
      </c>
    </row>
    <row r="103" ht="22.5" customHeight="1">
      <c r="A103" s="4">
        <v>102.0</v>
      </c>
      <c r="B103" s="5" t="s">
        <v>409</v>
      </c>
      <c r="C103" s="5" t="s">
        <v>410</v>
      </c>
      <c r="D103" s="5" t="s">
        <v>411</v>
      </c>
      <c r="E103" s="5" t="s">
        <v>412</v>
      </c>
      <c r="G103" s="6" t="str">
        <f>IFERROR(__xludf.DUMMYFUNCTION("GOOGLETRANSLATE(A103, ""en"", ""fr"")"),"102")</f>
        <v>102</v>
      </c>
      <c r="H103" s="6" t="str">
        <f>IFERROR(__xludf.DUMMYFUNCTION("GOOGLETRANSLATE(B103, ""en"", ""fr"")"),"Quel est le rôle principal du timonier (patron) lors d'un passage ?")</f>
        <v>Quel est le rôle principal du timonier (patron) lors d'un passage ?</v>
      </c>
      <c r="I103" s="6" t="str">
        <f>IFERROR(__xludf.DUMMYFUNCTION("GOOGLETRANSLATE(C103, ""en"", ""fr"")"),"A) Encourager à grands cris, B) Diriger l'immense bateau à l'aide d'une rame géante pour assurer une trajectoire parfaite, C) Surveiller les fautes, D) Remplacer un jouteur")</f>
        <v>A) Encourager à grands cris, B) Diriger l'immense bateau à l'aide d'une rame géante pour assurer une trajectoire parfaite, C) Surveiller les fautes, D) Remplacer un jouteur</v>
      </c>
      <c r="J103" s="6" t="str">
        <f>IFERROR(__xludf.DUMMYFUNCTION("GOOGLETRANSLATE(D103, ""en"", ""fr"")"),"B) Diriger l'énorme bateau à l'aide d'une rame géante afin d'assurer une trajectoire parfaite")</f>
        <v>B) Diriger l'énorme bateau à l'aide d'une rame géante afin d'assurer une trajectoire parfaite</v>
      </c>
      <c r="K103" s="6" t="str">
        <f>IFERROR(__xludf.DUMMYFUNCTION("GOOGLETRANSLATE(E103, ""en"", ""fr"")"),"L'habileté du mécène est tout aussi importante que celle du jouteur, car une légère erreur de pilotage peut ruiner la passe.")</f>
        <v>L'habileté du mécène est tout aussi importante que celle du jouteur, car une légère erreur de pilotage peut ruiner la passe.</v>
      </c>
    </row>
    <row r="104" ht="22.5" customHeight="1">
      <c r="A104" s="4">
        <v>103.0</v>
      </c>
      <c r="B104" s="5" t="s">
        <v>413</v>
      </c>
      <c r="C104" s="5" t="s">
        <v>414</v>
      </c>
      <c r="D104" s="5" t="s">
        <v>415</v>
      </c>
      <c r="E104" s="5" t="s">
        <v>416</v>
      </c>
      <c r="G104" s="6" t="str">
        <f>IFERROR(__xludf.DUMMYFUNCTION("GOOGLETRANSLATE(A104, ""en"", ""fr"")"),"103")</f>
        <v>103</v>
      </c>
      <c r="H104" s="6" t="str">
        <f>IFERROR(__xludf.DUMMYFUNCTION("GOOGLETRANSLATE(B104, ""en"", ""fr"")"),"D'après les récits historiques, quel était le statut social de la plupart des jouteurs dans les villes fluviales comme Lyon ?")</f>
        <v>D'après les récits historiques, quel était le statut social de la plupart des jouteurs dans les villes fluviales comme Lyon ?</v>
      </c>
      <c r="I104" s="6" t="str">
        <f>IFERROR(__xludf.DUMMYFUNCTION("GOOGLETRANSLATE(C104, ""en"", ""fr"")"),"A) C'étaient des nobles, B) Ils appartenaient aux puissantes guildes de bateliers (marins), C) C'étaient des pêcheurs, D) C'étaient des soldats")</f>
        <v>A) C'étaient des nobles, B) Ils appartenaient aux puissantes guildes de bateliers (marins), C) C'étaient des pêcheurs, D) C'étaient des soldats</v>
      </c>
      <c r="J104" s="6" t="str">
        <f>IFERROR(__xludf.DUMMYFUNCTION("GOOGLETRANSLATE(D104, ""en"", ""fr"")"),"B) Ils appartenaient aux puissantes guildes de bateliers (mariniers).")</f>
        <v>B) Ils appartenaient aux puissantes guildes de bateliers (mariniers).</v>
      </c>
      <c r="K104" s="6" t="str">
        <f>IFERROR(__xludf.DUMMYFUNCTION("GOOGLETRANSLATE(E104, ""en"", ""fr"")"),"Ce sport était le domaine des bateliers professionnels qui contrôlaient le commerce et le transport sur les rivières.")</f>
        <v>Ce sport était le domaine des bateliers professionnels qui contrôlaient le commerce et le transport sur les rivières.</v>
      </c>
    </row>
    <row r="105" ht="22.5" customHeight="1">
      <c r="A105" s="4">
        <v>104.0</v>
      </c>
      <c r="B105" s="5" t="s">
        <v>417</v>
      </c>
      <c r="C105" s="5" t="s">
        <v>418</v>
      </c>
      <c r="D105" s="5" t="s">
        <v>419</v>
      </c>
      <c r="E105" s="5" t="s">
        <v>420</v>
      </c>
      <c r="G105" s="6" t="str">
        <f>IFERROR(__xludf.DUMMYFUNCTION("GOOGLETRANSLATE(A105, ""en"", ""fr"")"),"104")</f>
        <v>104</v>
      </c>
      <c r="H105" s="6" t="str">
        <f>IFERROR(__xludf.DUMMYFUNCTION("GOOGLETRANSLATE(B105, ""en"", ""fr"")"),"Le nom complet de la Fédération française inclut « Sauvetage Nautique ». Que signifie « sauvetage » ?")</f>
        <v>Le nom complet de la Fédération française inclut « Sauvetage Nautique ». Que signifie « sauvetage » ?</v>
      </c>
      <c r="I105" s="6" t="str">
        <f>IFERROR(__xludf.DUMMYFUNCTION("GOOGLETRANSLATE(C105, ""en"", ""fr"")"),"A) Sport, B) Tradition, C) Joutes, D) Sauvetage")</f>
        <v>A) Sport, B) Tradition, C) Joutes, D) Sauvetage</v>
      </c>
      <c r="J105" s="6" t="str">
        <f>IFERROR(__xludf.DUMMYFUNCTION("GOOGLETRANSLATE(D105, ""en"", ""fr"")"),"D) Sauvetage ou sauvetage")</f>
        <v>D) Sauvetage ou sauvetage</v>
      </c>
      <c r="K105" s="6" t="str">
        <f>IFERROR(__xludf.DUMMYFUNCTION("GOOGLETRANSLATE(E105, ""en"", ""fr"")"),"Ce nom rend hommage au rôle historique des sociétés de joutes fondatrices en tant qu'unités de sauvetage en cas d'inondation.")</f>
        <v>Ce nom rend hommage au rôle historique des sociétés de joutes fondatrices en tant qu'unités de sauvetage en cas d'inondation.</v>
      </c>
    </row>
    <row r="106" ht="22.5" customHeight="1">
      <c r="A106" s="4">
        <v>105.0</v>
      </c>
      <c r="B106" s="5" t="s">
        <v>421</v>
      </c>
      <c r="C106" s="5" t="s">
        <v>422</v>
      </c>
      <c r="D106" s="5" t="s">
        <v>423</v>
      </c>
      <c r="E106" s="5" t="s">
        <v>424</v>
      </c>
      <c r="G106" s="6" t="str">
        <f>IFERROR(__xludf.DUMMYFUNCTION("GOOGLETRANSLATE(A106, ""en"", ""fr"")"),"105")</f>
        <v>105</v>
      </c>
      <c r="H106" s="6" t="str">
        <f>IFERROR(__xludf.DUMMYFUNCTION("GOOGLETRANSLATE(B106, ""en"", ""fr"")"),"Quel célèbre roman français du XIXe siècle décrit un tournoi nautique ouvrier sur la Seine à Paris ?")</f>
        <v>Quel célèbre roman français du XIXe siècle décrit un tournoi nautique ouvrier sur la Seine à Paris ?</v>
      </c>
      <c r="I106" s="6" t="str">
        <f>IFERROR(__xludf.DUMMYFUNCTION("GOOGLETRANSLATE(C106, ""en"", ""fr"")"),"A) Les Misérables, B) Madame Bovary, C) L'Assommoir, D) Le Comte de Monte Cristo")</f>
        <v>A) Les Misérables, B) Madame Bovary, C) L'Assommoir, D) Le Comte de Monte Cristo</v>
      </c>
      <c r="J106" s="6" t="str">
        <f>IFERROR(__xludf.DUMMYFUNCTION("GOOGLETRANSLATE(D106, ""en"", ""fr"")"),"C) L'Assommoir")</f>
        <v>C) L'Assommoir</v>
      </c>
      <c r="K106" s="6" t="str">
        <f>IFERROR(__xludf.DUMMYFUNCTION("GOOGLETRANSLATE(E106, ""en"", ""fr"")"),"Le roman d'Émile Zola contient une description vivante d'une fête populaire qui met en scène un concours de joutes nautiques, illustrant le style parisien.")</f>
        <v>Le roman d'Émile Zola contient une description vivante d'une fête populaire qui met en scène un concours de joutes nautiques, illustrant le style parisien.</v>
      </c>
    </row>
    <row r="107" ht="22.5" customHeight="1">
      <c r="A107" s="4">
        <v>106.0</v>
      </c>
      <c r="B107" s="5" t="s">
        <v>425</v>
      </c>
      <c r="C107" s="5" t="s">
        <v>426</v>
      </c>
      <c r="D107" s="5" t="s">
        <v>427</v>
      </c>
      <c r="E107" s="5" t="s">
        <v>428</v>
      </c>
      <c r="G107" s="6" t="str">
        <f>IFERROR(__xludf.DUMMYFUNCTION("GOOGLETRANSLATE(A107, ""en"", ""fr"")"),"106")</f>
        <v>106</v>
      </c>
      <c r="H107" s="6" t="str">
        <f>IFERROR(__xludf.DUMMYFUNCTION("GOOGLETRANSLATE(B107, ""en"", ""fr"")"),"La tradition des combats navals se retrouve également dans l'histoire de quel autre pays européen, souvent représentée dans les manuscrits médiévaux ?")</f>
        <v>La tradition des combats navals se retrouve également dans l'histoire de quel autre pays européen, souvent représentée dans les manuscrits médiévaux ?</v>
      </c>
      <c r="I107" s="6" t="str">
        <f>IFERROR(__xludf.DUMMYFUNCTION("GOOGLETRANSLATE(C107, ""en"", ""fr"")"),"A) Allemagne, B) Espagne, C) Pologne, D) Russie")</f>
        <v>A) Allemagne, B) Espagne, C) Pologne, D) Russie</v>
      </c>
      <c r="J107" s="6" t="str">
        <f>IFERROR(__xludf.DUMMYFUNCTION("GOOGLETRANSLATE(D107, ""en"", ""fr"")"),"B) Espagne")</f>
        <v>B) Espagne</v>
      </c>
      <c r="K107" s="6" t="str">
        <f>IFERROR(__xludf.DUMMYFUNCTION("GOOGLETRANSLATE(E107, ""en"", ""fr"")"),"Les chroniques et l'art espagnols médiévaux contiennent également des représentations de chevaliers et de soldats s'affrontant au combat sur des bateaux.")</f>
        <v>Les chroniques et l'art espagnols médiévaux contiennent également des représentations de chevaliers et de soldats s'affrontant au combat sur des bateaux.</v>
      </c>
    </row>
    <row r="108" ht="22.5" customHeight="1">
      <c r="A108" s="4">
        <v>107.0</v>
      </c>
      <c r="B108" s="5" t="s">
        <v>295</v>
      </c>
      <c r="C108" s="5" t="s">
        <v>429</v>
      </c>
      <c r="D108" s="5" t="s">
        <v>430</v>
      </c>
      <c r="E108" s="5" t="s">
        <v>431</v>
      </c>
      <c r="G108" s="6" t="str">
        <f>IFERROR(__xludf.DUMMYFUNCTION("GOOGLETRANSLATE(A108, ""en"", ""fr"")"),"107")</f>
        <v>107</v>
      </c>
      <c r="H108" s="6" t="str">
        <f>IFERROR(__xludf.DUMMYFUNCTION("GOOGLETRANSLATE(B108, ""en"", ""fr"")"),"Qu'est-ce qu'une ""lancy d'or"" (lance d'or) ?")</f>
        <v>Qu'est-ce qu'une "lancy d'or" (lance d'or) ?</v>
      </c>
      <c r="I108" s="6" t="str">
        <f>IFERROR(__xludf.DUMMYFUNCTION("GOOGLETRANSLATE(C108, ""en"", ""fr"")"),"A) Le prix du champion, B) Un prix spécial décerné pour le style de joute le plus beau et le plus parfait, C) Une arme mythique, D) Le surnom d'un jouteur champion")</f>
        <v>A) Le prix du champion, B) Un prix spécial décerné pour le style de joute le plus beau et le plus parfait, C) Une arme mythique, D) Le surnom d'un jouteur champion</v>
      </c>
      <c r="J108" s="6" t="str">
        <f>IFERROR(__xludf.DUMMYFUNCTION("GOOGLETRANSLATE(D108, ""en"", ""fr"")"),"B) Un prix spécial décerné pour le style de joute le plus beau et le plus parfait")</f>
        <v>B) Un prix spécial décerné pour le style de joute le plus beau et le plus parfait</v>
      </c>
      <c r="K108" s="6" t="str">
        <f>IFERROR(__xludf.DUMMYFUNCTION("GOOGLETRANSLATE(E108, ""en"", ""fr"")"),"Dans certains tournois, une récompense spéciale est décernée au jouteur qui fait preuve de la technique la plus parfaite, même s'il ne remporte pas le prix principal.")</f>
        <v>Dans certains tournois, une récompense spéciale est décernée au jouteur qui fait preuve de la technique la plus parfaite, même s'il ne remporte pas le prix principal.</v>
      </c>
    </row>
    <row r="109" ht="22.5" customHeight="1">
      <c r="A109" s="4">
        <v>108.0</v>
      </c>
      <c r="B109" s="5" t="s">
        <v>432</v>
      </c>
      <c r="C109" s="5" t="s">
        <v>433</v>
      </c>
      <c r="D109" s="5" t="s">
        <v>434</v>
      </c>
      <c r="E109" s="5" t="s">
        <v>435</v>
      </c>
      <c r="G109" s="6" t="str">
        <f>IFERROR(__xludf.DUMMYFUNCTION("GOOGLETRANSLATE(A109, ""en"", ""fr"")"),"108")</f>
        <v>108</v>
      </c>
      <c r="H109" s="6" t="str">
        <f>IFERROR(__xludf.DUMMYFUNCTION("GOOGLETRANSLATE(B109, ""en"", ""fr"")"),"Quelle est la principale différence au niveau de la plate-forme (tintaine) utilisée dans la méthode provençale ?")</f>
        <v>Quelle est la principale différence au niveau de la plate-forme (tintaine) utilisée dans la méthode provençale ?</v>
      </c>
      <c r="I109" s="6" t="str">
        <f>IFERROR(__xludf.DUMMYFUNCTION("GOOGLETRANSLATE(C109, ""en"", ""fr"")"),"A) Elle est beaucoup plus haute, B) Elle se trouve à l'avant du bateau, C) C'est une plateforme fixe, et le jouteur se tient debout, les deux pieds tournés vers l'avant, D) Elle est très petite")</f>
        <v>A) Elle est beaucoup plus haute, B) Elle se trouve à l'avant du bateau, C) C'est une plateforme fixe, et le jouteur se tient debout, les deux pieds tournés vers l'avant, D) Elle est très petite</v>
      </c>
      <c r="J109" s="6" t="str">
        <f>IFERROR(__xludf.DUMMYFUNCTION("GOOGLETRANSLATE(D109, ""en"", ""fr"")"),"C) Il s'agit d'une plateforme fixe, et le jouteur se tient debout, les deux pieds tournés vers l'avant.")</f>
        <v>C) Il s'agit d'une plateforme fixe, et le jouteur se tient debout, les deux pieds tournés vers l'avant.</v>
      </c>
      <c r="K109" s="6" t="str">
        <f>IFERROR(__xludf.DUMMYFUNCTION("GOOGLETRANSLATE(E109, ""en"", ""fr"")"),"Dans cette méthode, depuis des ports comme Marseille, la plateforme est beaucoup plus basse et plus stable, et la position du jouteur est complètement différente.")</f>
        <v>Dans cette méthode, depuis des ports comme Marseille, la plateforme est beaucoup plus basse et plus stable, et la position du jouteur est complètement différente.</v>
      </c>
    </row>
    <row r="110" ht="22.5" customHeight="1">
      <c r="A110" s="4">
        <v>109.0</v>
      </c>
      <c r="B110" s="5" t="s">
        <v>436</v>
      </c>
      <c r="C110" s="5" t="s">
        <v>437</v>
      </c>
      <c r="D110" s="5" t="s">
        <v>438</v>
      </c>
      <c r="E110" s="5" t="s">
        <v>439</v>
      </c>
      <c r="G110" s="6" t="str">
        <f>IFERROR(__xludf.DUMMYFUNCTION("GOOGLETRANSLATE(A110, ""en"", ""fr"")"),"109")</f>
        <v>109</v>
      </c>
      <c r="H110" s="6" t="str">
        <f>IFERROR(__xludf.DUMMYFUNCTION("GOOGLETRANSLATE(B110, ""en"", ""fr"")"),"Aux XVIIe et XVIIIe siècles, qui finançait souvent les festivals de joutes ?")</f>
        <v>Aux XVIIe et XVIIIe siècles, qui finançait souvent les festivals de joutes ?</v>
      </c>
      <c r="I110" s="6" t="str">
        <f>IFERROR(__xludf.DUMMYFUNCTION("GOOGLETRANSLATE(C110, ""en"", ""fr"")"),"A) Les jouteurs eux-mêmes, B) Le conseil municipal ou un riche mécène, C) L'Église, D) Le gouvernement national")</f>
        <v>A) Les jouteurs eux-mêmes, B) Le conseil municipal ou un riche mécène, C) L'Église, D) Le gouvernement national</v>
      </c>
      <c r="J110" s="6" t="str">
        <f>IFERROR(__xludf.DUMMYFUNCTION("GOOGLETRANSLATE(D110, ""en"", ""fr"")"),"B) Le conseil municipal ou un riche mécène")</f>
        <v>B) Le conseil municipal ou un riche mécène</v>
      </c>
      <c r="K110" s="6" t="str">
        <f>IFERROR(__xludf.DUMMYFUNCTION("GOOGLETRANSLATE(E110, ""en"", ""fr"")"),"Les grandes fêtes publiques étaient coûteuses et nécessitaient le patronage de la ville ou d'un noble local pour être organisées.")</f>
        <v>Les grandes fêtes publiques étaient coûteuses et nécessitaient le patronage de la ville ou d'un noble local pour être organisées.</v>
      </c>
    </row>
    <row r="111" ht="22.5" customHeight="1">
      <c r="A111" s="4">
        <v>110.0</v>
      </c>
      <c r="B111" s="5" t="s">
        <v>440</v>
      </c>
      <c r="C111" s="5" t="s">
        <v>441</v>
      </c>
      <c r="D111" s="5" t="s">
        <v>167</v>
      </c>
      <c r="E111" s="5" t="s">
        <v>442</v>
      </c>
      <c r="G111" s="6" t="str">
        <f>IFERROR(__xludf.DUMMYFUNCTION("GOOGLETRANSLATE(A111, ""en"", ""fr"")"),"110")</f>
        <v>110</v>
      </c>
      <c r="H111" s="6" t="str">
        <f>IFERROR(__xludf.DUMMYFUNCTION("GOOGLETRANSLATE(B111, ""en"", ""fr"")"),"Pourquoi les joutes à Sète sont-elles si étroitement liées à l'industrie de la pêche locale ?")</f>
        <v>Pourquoi les joutes à Sète sont-elles si étroitement liées à l'industrie de la pêche locale ?</v>
      </c>
      <c r="I111" s="6" t="str">
        <f>IFERROR(__xludf.DUMMYFUNCTION("GOOGLETRANSLATE(C111, ""en"", ""fr"")"),"A) Les premiers jouteurs étaient tous des pêcheurs, B) Les bateaux sont inspirés des embarcations de pêche traditionnelles, C) Le calendrier de ce sport est lié aux saisons de pêche, D) Toutes les réponses ci-dessus")</f>
        <v>A) Les premiers jouteurs étaient tous des pêcheurs, B) Les bateaux sont inspirés des embarcations de pêche traditionnelles, C) Le calendrier de ce sport est lié aux saisons de pêche, D) Toutes les réponses ci-dessus</v>
      </c>
      <c r="J111" s="6" t="str">
        <f>IFERROR(__xludf.DUMMYFUNCTION("GOOGLETRANSLATE(D111, ""en"", ""fr"")"),"D) Toutes les réponses ci-dessus")</f>
        <v>D) Toutes les réponses ci-dessus</v>
      </c>
      <c r="K111" s="6" t="str">
        <f>IFERROR(__xludf.DUMMYFUNCTION("GOOGLETRANSLATE(E111, ""en"", ""fr"")"),"Ce sport est un héritier culturel direct de la communauté de pêcheurs de la ville, que ce soit ses participants, son équipement ou son rythme.")</f>
        <v>Ce sport est un héritier culturel direct de la communauté de pêcheurs de la ville, que ce soit ses participants, son équipement ou son rythme.</v>
      </c>
    </row>
    <row r="112" ht="22.5" customHeight="1">
      <c r="A112" s="4">
        <v>111.0</v>
      </c>
      <c r="B112" s="5" t="s">
        <v>221</v>
      </c>
      <c r="C112" s="5" t="s">
        <v>443</v>
      </c>
      <c r="D112" s="5" t="s">
        <v>444</v>
      </c>
      <c r="E112" s="5" t="s">
        <v>224</v>
      </c>
      <c r="G112" s="6" t="str">
        <f>IFERROR(__xludf.DUMMYFUNCTION("GOOGLETRANSLATE(A112, ""en"", ""fr"")"),"111")</f>
        <v>111</v>
      </c>
      <c r="H112" s="6" t="str">
        <f>IFERROR(__xludf.DUMMYFUNCTION("GOOGLETRANSLATE(B112, ""en"", ""fr"")"),"Qu'est-ce qu'une ""Barque de parade"" ?")</f>
        <v>Qu'est-ce qu'une "Barque de parade" ?</v>
      </c>
      <c r="I112" s="6" t="str">
        <f>IFERROR(__xludf.DUMMYFUNCTION("GOOGLETRANSLATE(C112, ""en"", ""fr"")"),"A) Le bateau utilisé pour la finale, B) Le bateau richement décoré servant à transporter les officiels et les musiciens d'une société de joutes, C) Un bateau pour les spectateurs payants, D) Un bateau d'entraînement")</f>
        <v>A) Le bateau utilisé pour la finale, B) Le bateau richement décoré servant à transporter les officiels et les musiciens d'une société de joutes, C) Un bateau pour les spectateurs payants, D) Un bateau d'entraînement</v>
      </c>
      <c r="J112" s="6" t="str">
        <f>IFERROR(__xludf.DUMMYFUNCTION("GOOGLETRANSLATE(D112, ""en"", ""fr"")"),"B) Le bateau richement décoré utilisé pour transporter les officiels et les musiciens d'une société de joutes.")</f>
        <v>B) Le bateau richement décoré utilisé pour transporter les officiels et les musiciens d'une société de joutes.</v>
      </c>
      <c r="K112" s="6" t="str">
        <f>IFERROR(__xludf.DUMMYFUNCTION("GOOGLETRANSLATE(E112, ""en"", ""fr"")"),"Avant la compétition, un défilé de bateaux a lieu, mené par le bateau de parade de chaque club de joutes.")</f>
        <v>Avant la compétition, un défilé de bateaux a lieu, mené par le bateau de parade de chaque club de joutes.</v>
      </c>
    </row>
    <row r="113" ht="22.5" customHeight="1">
      <c r="A113" s="4">
        <v>112.0</v>
      </c>
      <c r="B113" s="5" t="s">
        <v>445</v>
      </c>
      <c r="C113" s="5" t="s">
        <v>446</v>
      </c>
      <c r="D113" s="5" t="s">
        <v>447</v>
      </c>
      <c r="E113" s="5" t="s">
        <v>448</v>
      </c>
      <c r="G113" s="6" t="str">
        <f>IFERROR(__xludf.DUMMYFUNCTION("GOOGLETRANSLATE(A113, ""en"", ""fr"")"),"112")</f>
        <v>112</v>
      </c>
      <c r="H113" s="6" t="str">
        <f>IFERROR(__xludf.DUMMYFUNCTION("GOOGLETRANSLATE(B113, ""en"", ""fr"")"),"Quelle est une caractéristique essentielle de la méthode de joute alsacienne, pratiquée à Strasbourg ?")</f>
        <v>Quelle est une caractéristique essentielle de la méthode de joute alsacienne, pratiquée à Strasbourg ?</v>
      </c>
      <c r="I113" s="6" t="str">
        <f>IFERROR(__xludf.DUMMYFUNCTION("GOOGLETRANSLATE(C113, ""en"", ""fr"")"),"A) C'est la méthode la plus rapide, B) Les jouteurs sont attachés au bateau et utilisent de très longues lances, C) C'est un sport sans contact, D) C'est la méthode la plus ancienne")</f>
        <v>A) C'est la méthode la plus rapide, B) Les jouteurs sont attachés au bateau et utilisent de très longues lances, C) C'est un sport sans contact, D) C'est la méthode la plus ancienne</v>
      </c>
      <c r="J113" s="6" t="str">
        <f>IFERROR(__xludf.DUMMYFUNCTION("GOOGLETRANSLATE(D113, ""en"", ""fr"")"),"B) Les jouteurs sont attachés au bateau et utilisent de très longues lances.")</f>
        <v>B) Les jouteurs sont attachés au bateau et utilisent de très longues lances.</v>
      </c>
      <c r="K113" s="6" t="str">
        <f>IFERROR(__xludf.DUMMYFUNCTION("GOOGLETRANSLATE(E113, ""en"", ""fr"")"),"Le style strasbourgeois est très différent, axé sur la stabilité et la pure puissance de poussée, les jouteurs étant solidement attachés à leur plateforme.")</f>
        <v>Le style strasbourgeois est très différent, axé sur la stabilité et la pure puissance de poussée, les jouteurs étant solidement attachés à leur plateforme.</v>
      </c>
    </row>
    <row r="114" ht="22.5" customHeight="1">
      <c r="A114" s="4">
        <v>113.0</v>
      </c>
      <c r="B114" s="5" t="s">
        <v>449</v>
      </c>
      <c r="C114" s="5" t="s">
        <v>450</v>
      </c>
      <c r="D114" s="5" t="s">
        <v>451</v>
      </c>
      <c r="E114" s="5" t="s">
        <v>452</v>
      </c>
      <c r="G114" s="6" t="str">
        <f>IFERROR(__xludf.DUMMYFUNCTION("GOOGLETRANSLATE(A114, ""en"", ""fr"")"),"113")</f>
        <v>113</v>
      </c>
      <c r="H114" s="6" t="str">
        <f>IFERROR(__xludf.DUMMYFUNCTION("GOOGLETRANSLATE(B114, ""en"", ""fr"")"),"Dans les reconstitutions historiques, les jouteurs étaient souvent vêtus de costumes élaborés pour représenter quoi ?")</f>
        <v>Dans les reconstitutions historiques, les jouteurs étaient souvent vêtus de costumes élaborés pour représenter quoi ?</v>
      </c>
      <c r="I114" s="6" t="str">
        <f>IFERROR(__xludf.DUMMYFUNCTION("GOOGLETRANSLATE(C114, ""en"", ""fr"")"),"A) Pêcheurs et agriculteurs, B) Chevaliers et leurs adversaires, tels que les Sarrasins ou des bêtes mythiques, C) Gladiateurs romains, D) Soldats français et anglais")</f>
        <v>A) Pêcheurs et agriculteurs, B) Chevaliers et leurs adversaires, tels que les Sarrasins ou des bêtes mythiques, C) Gladiateurs romains, D) Soldats français et anglais</v>
      </c>
      <c r="J114" s="6" t="str">
        <f>IFERROR(__xludf.DUMMYFUNCTION("GOOGLETRANSLATE(D114, ""en"", ""fr"")"),"B) Les chevaliers et leurs adversaires, tels que les Sarrasins ou les bêtes mythiques")</f>
        <v>B) Les chevaliers et leurs adversaires, tels que les Sarrasins ou les bêtes mythiques</v>
      </c>
      <c r="K114" s="6" t="str">
        <f>IFERROR(__xludf.DUMMYFUNCTION("GOOGLETRANSLATE(E114, ""en"", ""fr"")"),"Les fêtes royales mettaient souvent en scène les joutes comme une bataille simulée et spectaculaire ou une reconstitution des légendes des Croisades, avec de somptueux costumes.")</f>
        <v>Les fêtes royales mettaient souvent en scène les joutes comme une bataille simulée et spectaculaire ou une reconstitution des légendes des Croisades, avec de somptueux costumes.</v>
      </c>
    </row>
    <row r="115" ht="22.5" customHeight="1">
      <c r="A115" s="4">
        <v>114.0</v>
      </c>
      <c r="B115" s="5" t="s">
        <v>259</v>
      </c>
      <c r="C115" s="5" t="s">
        <v>453</v>
      </c>
      <c r="D115" s="5" t="s">
        <v>454</v>
      </c>
      <c r="E115" s="5" t="s">
        <v>455</v>
      </c>
      <c r="G115" s="6" t="str">
        <f>IFERROR(__xludf.DUMMYFUNCTION("GOOGLETRANSLATE(A115, ""en"", ""fr"")"),"114")</f>
        <v>114</v>
      </c>
      <c r="H115" s="6" t="str">
        <f>IFERROR(__xludf.DUMMYFUNCTION("GOOGLETRANSLATE(B115, ""en"", ""fr"")"),"Qu'est-ce que le ""Tableau d'honneur"" ?")</f>
        <v>Qu'est-ce que le "Tableau d'honneur" ?</v>
      </c>
      <c r="I115" s="6" t="str">
        <f>IFERROR(__xludf.DUMMYFUNCTION("GOOGLETRANSLATE(C115, ""en"", ""fr"")"),"A) Le règlement officiel, B) La prestigieuse liste de tous les anciens lauréats du Festival de Saint-Louis, C) Le nom du jury, D) Le menu du festin d'après-tournoi")</f>
        <v>A) Le règlement officiel, B) La prestigieuse liste de tous les anciens lauréats du Festival de Saint-Louis, C) Le nom du jury, D) Le menu du festin d'après-tournoi</v>
      </c>
      <c r="J115" s="6" t="str">
        <f>IFERROR(__xludf.DUMMYFUNCTION("GOOGLETRANSLATE(D115, ""en"", ""fr"")"),"B) La prestigieuse liste de tous les anciens lauréats du Festival de Saint-Louis")</f>
        <v>B) La prestigieuse liste de tous les anciens lauréats du Festival de Saint-Louis</v>
      </c>
      <c r="K115" s="6" t="str">
        <f>IFERROR(__xludf.DUMMYFUNCTION("GOOGLETRANSLATE(E115, ""en"", ""fr"")"),"Cette « Table d'honneur » est un élément clé de l'histoire de ce sport, et y voir son nom inscrit est un gage d'immortalité dans le monde des joutes.")</f>
        <v>Cette « Table d'honneur » est un élément clé de l'histoire de ce sport, et y voir son nom inscrit est un gage d'immortalité dans le monde des joutes.</v>
      </c>
    </row>
    <row r="116" ht="22.5" customHeight="1">
      <c r="A116" s="4">
        <v>115.0</v>
      </c>
      <c r="B116" s="5" t="s">
        <v>456</v>
      </c>
      <c r="C116" s="5" t="s">
        <v>264</v>
      </c>
      <c r="D116" s="5" t="s">
        <v>265</v>
      </c>
      <c r="E116" s="5" t="s">
        <v>457</v>
      </c>
      <c r="G116" s="6" t="str">
        <f>IFERROR(__xludf.DUMMYFUNCTION("GOOGLETRANSLATE(A116, ""en"", ""fr"")"),"115")</f>
        <v>115</v>
      </c>
      <c r="H116" s="6" t="str">
        <f>IFERROR(__xludf.DUMMYFUNCTION("GOOGLETRANSLATE(B116, ""en"", ""fr"")"),"Les sociétés de joutes françaises sont historiquement structurées comme quel type d'organisation ?")</f>
        <v>Les sociétés de joutes françaises sont historiquement structurées comme quel type d'organisation ?</v>
      </c>
      <c r="I116" s="6" t="str">
        <f>IFERROR(__xludf.DUMMYFUNCTION("GOOGLETRANSLATE(C116, ""en"", ""fr"")"),"A) Un club sportif moderne, B) Une guilde professionnelle, C) Un parti politique, D) Un groupe de musique")</f>
        <v>A) Un club sportif moderne, B) Une guilde professionnelle, C) Un parti politique, D) Un groupe de musique</v>
      </c>
      <c r="J116" s="6" t="str">
        <f>IFERROR(__xludf.DUMMYFUNCTION("GOOGLETRANSLATE(D116, ""en"", ""fr"")"),"B) Une guilde professionnelle")</f>
        <v>B) Une guilde professionnelle</v>
      </c>
      <c r="K116" s="6" t="str">
        <f>IFERROR(__xludf.DUMMYFUNCTION("GOOGLETRANSLATE(E116, ""en"", ""fr"")"),"Avec leurs hiérarchies strictes, leurs fonctions sociales et leur spécialisation dans une compétence particulière, ces sociétés puisent leurs racines dans le système des guildes médiévales de bateliers et de marins.")</f>
        <v>Avec leurs hiérarchies strictes, leurs fonctions sociales et leur spécialisation dans une compétence particulière, ces sociétés puisent leurs racines dans le système des guildes médiévales de bateliers et de marins.</v>
      </c>
    </row>
    <row r="117" ht="22.5" customHeight="1">
      <c r="A117" s="4">
        <v>116.0</v>
      </c>
      <c r="B117" s="5" t="s">
        <v>458</v>
      </c>
      <c r="C117" s="5" t="s">
        <v>459</v>
      </c>
      <c r="D117" s="5" t="s">
        <v>269</v>
      </c>
      <c r="E117" s="5" t="s">
        <v>460</v>
      </c>
      <c r="G117" s="6" t="str">
        <f>IFERROR(__xludf.DUMMYFUNCTION("GOOGLETRANSLATE(A117, ""en"", ""fr"")"),"116")</f>
        <v>116</v>
      </c>
      <c r="H117" s="6" t="str">
        <f>IFERROR(__xludf.DUMMYFUNCTION("GOOGLETRANSLATE(B117, ""en"", ""fr"")"),"Quelle est la signification des ""Joutes de la St-Clair"" dans la saison des joutes de Sète ?")</f>
        <v>Quelle est la signification des "Joutes de la St-Clair" dans la saison des joutes de Sète ?</v>
      </c>
      <c r="I117" s="6" t="str">
        <f>IFERROR(__xludf.DUMMYFUNCTION("GOOGLETRANSLATE(C117, ""en"", ""fr"")"),"A) C'est le premier grand tournoi de la saison, B) C'est le dernier tournoi de la saison, C) C'est un tournoi réservé aux enfants, D) C'est le nom du tournoi de Lyon")</f>
        <v>A) C'est le premier grand tournoi de la saison, B) C'est le dernier tournoi de la saison, C) C'est un tournoi réservé aux enfants, D) C'est le nom du tournoi de Lyon</v>
      </c>
      <c r="J117" s="6" t="str">
        <f>IFERROR(__xludf.DUMMYFUNCTION("GOOGLETRANSLATE(D117, ""en"", ""fr"")"),"B) C'est le dernier tournoi de la saison")</f>
        <v>B) C'est le dernier tournoi de la saison</v>
      </c>
      <c r="K117" s="6" t="str">
        <f>IFERROR(__xludf.DUMMYFUNCTION("GOOGLETRANSLATE(E117, ""en"", ""fr"")"),"Ce tournoi, qui se déroule dans le quartier de la Pointe Courte, marque traditionnellement la fin de la saison des joutes compétitives à Sète.")</f>
        <v>Ce tournoi, qui se déroule dans le quartier de la Pointe Courte, marque traditionnellement la fin de la saison des joutes compétitives à Sète.</v>
      </c>
    </row>
    <row r="118" ht="22.5" customHeight="1">
      <c r="A118" s="4">
        <v>117.0</v>
      </c>
      <c r="B118" s="5" t="s">
        <v>153</v>
      </c>
      <c r="C118" s="5" t="s">
        <v>154</v>
      </c>
      <c r="D118" s="5" t="s">
        <v>155</v>
      </c>
      <c r="E118" s="5" t="s">
        <v>461</v>
      </c>
      <c r="G118" s="6" t="str">
        <f>IFERROR(__xludf.DUMMYFUNCTION("GOOGLETRANSLATE(A118, ""en"", ""fr"")"),"117")</f>
        <v>117</v>
      </c>
      <c r="H118" s="6" t="str">
        <f>IFERROR(__xludf.DUMMYFUNCTION("GOOGLETRANSLATE(B118, ""en"", ""fr"")"),"Quel est le nom de l'instrument à vent traditionnel, au son aigu, qui donne le ton à la musique lors d'un festival de joutes ?")</f>
        <v>Quel est le nom de l'instrument à vent traditionnel, au son aigu, qui donne le ton à la musique lors d'un festival de joutes ?</v>
      </c>
      <c r="I118" s="6" t="str">
        <f>IFERROR(__xludf.DUMMYFUNCTION("GOOGLETRANSLATE(C118, ""en"", ""fr"")"),"A) La trompette, B) La clarinette, C) Le hautbois, D) La flûte")</f>
        <v>A) La trompette, B) La clarinette, C) Le hautbois, D) La flûte</v>
      </c>
      <c r="J118" s="6" t="str">
        <f>IFERROR(__xludf.DUMMYFUNCTION("GOOGLETRANSLATE(D118, ""en"", ""fr"")"),"C) Le hautbois")</f>
        <v>C) Le hautbois</v>
      </c>
      <c r="K118" s="6" t="str">
        <f>IFERROR(__xludf.DUMMYFUNCTION("GOOGLETRANSLATE(E118, ""en"", ""fr"")"),"Le son perçant et festif du hautbois languedocien, accompagné d'un tambour (tamborí), est la signature sonore de ce sport.")</f>
        <v>Le son perçant et festif du hautbois languedocien, accompagné d'un tambour (tamborí), est la signature sonore de ce sport.</v>
      </c>
    </row>
    <row r="119" ht="22.5" customHeight="1">
      <c r="A119" s="4">
        <v>118.0</v>
      </c>
      <c r="B119" s="5" t="s">
        <v>462</v>
      </c>
      <c r="C119" s="5" t="s">
        <v>463</v>
      </c>
      <c r="D119" s="5" t="s">
        <v>464</v>
      </c>
      <c r="E119" s="5" t="s">
        <v>465</v>
      </c>
      <c r="G119" s="6" t="str">
        <f>IFERROR(__xludf.DUMMYFUNCTION("GOOGLETRANSLATE(A119, ""en"", ""fr"")"),"118")</f>
        <v>118</v>
      </c>
      <c r="H119" s="6" t="str">
        <f>IFERROR(__xludf.DUMMYFUNCTION("GOOGLETRANSLATE(B119, ""en"", ""fr"")"),"Un jouteur retombe parfaitement droit dans l'eau. Pourquoi est-ce considéré comme la marque d'un jouteur expérimenté ?")</f>
        <v>Un jouteur retombe parfaitement droit dans l'eau. Pourquoi est-ce considéré comme la marque d'un jouteur expérimenté ?</v>
      </c>
      <c r="I119" s="6" t="str">
        <f>IFERROR(__xludf.DUMMYFUNCTION("GOOGLETRANSLATE(C119, ""en"", ""fr"")"),"A) C'est une chute plus spectaculaire, B) Cela démontre qu'ils savent comment chuter sans se blesser, C) C'est une faute, D) Cela justifie de rejouer la passe")</f>
        <v>A) C'est une chute plus spectaculaire, B) Cela démontre qu'ils savent comment chuter sans se blesser, C) C'est une faute, D) Cela justifie de rejouer la passe</v>
      </c>
      <c r="J119" s="6" t="str">
        <f>IFERROR(__xludf.DUMMYFUNCTION("GOOGLETRANSLATE(D119, ""en"", ""fr"")"),"B) Cela démontre qu'ils savent comment chuter en toute sécurité pour éviter les blessures.")</f>
        <v>B) Cela démontre qu'ils savent comment chuter en toute sécurité pour éviter les blessures.</v>
      </c>
      <c r="K119" s="6" t="str">
        <f>IFERROR(__xludf.DUMMYFUNCTION("GOOGLETRANSLATE(E119, ""en"", ""fr"")"),"Un bon jouteur apprend à chuter correctement pour éviter de heurter le bateau ou d'atterrir maladroitement, en tombant droit en arrière comme un arbre abattu.")</f>
        <v>Un bon jouteur apprend à chuter correctement pour éviter de heurter le bateau ou d'atterrir maladroitement, en tombant droit en arrière comme un arbre abattu.</v>
      </c>
    </row>
    <row r="120" ht="22.5" customHeight="1">
      <c r="A120" s="4">
        <v>119.0</v>
      </c>
      <c r="B120" s="5" t="s">
        <v>466</v>
      </c>
      <c r="C120" s="5" t="s">
        <v>467</v>
      </c>
      <c r="D120" s="5" t="s">
        <v>389</v>
      </c>
      <c r="E120" s="5" t="s">
        <v>390</v>
      </c>
      <c r="G120" s="6" t="str">
        <f>IFERROR(__xludf.DUMMYFUNCTION("GOOGLETRANSLATE(A120, ""en"", ""fr"")"),"119")</f>
        <v>119</v>
      </c>
      <c r="H120" s="6" t="str">
        <f>IFERROR(__xludf.DUMMYFUNCTION("GOOGLETRANSLATE(B120, ""en"", ""fr"")"),"Quelle est la signification du tournoi du « Pavois d'Or » ?")</f>
        <v>Quelle est la signification du tournoi du « Pavois d'Or » ?</v>
      </c>
      <c r="I120" s="6" t="str">
        <f>IFERROR(__xludf.DUMMYFUNCTION("GOOGLETRANSLATE(C120, ""en"", ""fr"")"),"A) C'est le championnat principal de l'année, B) C'est l'un des tournois les plus prestigieux de la saison, au même titre que le tournoi de Saint-Louis, C) C'est un tournoi pour jeunes jouteurs, D) C'est une reconstitution historique uniquement")</f>
        <v>A) C'est le championnat principal de l'année, B) C'est l'un des tournois les plus prestigieux de la saison, au même titre que le tournoi de Saint-Louis, C) C'est un tournoi pour jeunes jouteurs, D) C'est une reconstitution historique uniquement</v>
      </c>
      <c r="J120" s="6" t="str">
        <f>IFERROR(__xludf.DUMMYFUNCTION("GOOGLETRANSLATE(D120, ""en"", ""fr"")"),"B) C'est l'un des tournois les plus prestigieux de la saison, au même titre que le Saint Louis")</f>
        <v>B) C'est l'un des tournois les plus prestigieux de la saison, au même titre que le Saint Louis</v>
      </c>
      <c r="K120" s="6" t="str">
        <f>IFERROR(__xludf.DUMMYFUNCTION("GOOGLETRANSLATE(E120, ""en"", ""fr"")"),"Le « Bouclier d'or » est un autre prix majeur et très convoité du calendrier des joutes languedociennes.")</f>
        <v>Le « Bouclier d'or » est un autre prix majeur et très convoité du calendrier des joutes languedociennes.</v>
      </c>
    </row>
    <row r="121" ht="22.5" customHeight="1">
      <c r="A121" s="4">
        <v>120.0</v>
      </c>
      <c r="B121" s="5" t="s">
        <v>468</v>
      </c>
      <c r="C121" s="5" t="s">
        <v>469</v>
      </c>
      <c r="D121" s="5" t="s">
        <v>470</v>
      </c>
      <c r="E121" s="5" t="s">
        <v>471</v>
      </c>
      <c r="G121" s="6" t="str">
        <f>IFERROR(__xludf.DUMMYFUNCTION("GOOGLETRANSLATE(A121, ""en"", ""fr"")"),"120")</f>
        <v>120</v>
      </c>
      <c r="H121" s="6" t="str">
        <f>IFERROR(__xludf.DUMMYFUNCTION("GOOGLETRANSLATE(B121, ""en"", ""fr"")"),"La création de la Fédération française en 1960 a eu quel impact majeur sur le sport ?")</f>
        <v>La création de la Fédération française en 1960 a eu quel impact majeur sur le sport ?</v>
      </c>
      <c r="I121" s="6" t="str">
        <f>IFERROR(__xludf.DUMMYFUNCTION("GOOGLETRANSLATE(C121, ""en"", ""fr"")"),"A) Cela a entraîné le déclin du sport, B) Cela a contribué à uniformiser les règles entre les différentes méthodes régionales, C) Cela a interdit le sport, D) Cela a professionnalisé le sport")</f>
        <v>A) Cela a entraîné le déclin du sport, B) Cela a contribué à uniformiser les règles entre les différentes méthodes régionales, C) Cela a interdit le sport, D) Cela a professionnalisé le sport</v>
      </c>
      <c r="J121" s="6" t="str">
        <f>IFERROR(__xludf.DUMMYFUNCTION("GOOGLETRANSLATE(D121, ""en"", ""fr"")"),"B) Cela a permis d'uniformiser les règles entre les différentes méthodes régionales")</f>
        <v>B) Cela a permis d'uniformiser les règles entre les différentes méthodes régionales</v>
      </c>
      <c r="K121" s="6" t="str">
        <f>IFERROR(__xludf.DUMMYFUNCTION("GOOGLETRANSLATE(E121, ""en"", ""fr"")"),"La création de la FFJSN a constitué une étape clé dans la transformation des diverses traditions folkloriques locales en un sport moderne plus unifié et organisé.")</f>
        <v>La création de la FFJSN a constitué une étape clé dans la transformation des diverses traditions folkloriques locales en un sport moderne plus unifié et organisé.</v>
      </c>
    </row>
    <row r="122" ht="22.5" customHeight="1">
      <c r="A122" s="4">
        <v>121.0</v>
      </c>
      <c r="B122" s="5" t="s">
        <v>201</v>
      </c>
      <c r="C122" s="5" t="s">
        <v>202</v>
      </c>
      <c r="D122" s="5" t="s">
        <v>203</v>
      </c>
      <c r="E122" s="5" t="s">
        <v>204</v>
      </c>
      <c r="G122" s="6" t="str">
        <f>IFERROR(__xludf.DUMMYFUNCTION("GOOGLETRANSLATE(A122, ""en"", ""fr"")"),"121")</f>
        <v>121</v>
      </c>
      <c r="H122" s="6" t="str">
        <f>IFERROR(__xludf.DUMMYFUNCTION("GOOGLETRANSLATE(B122, ""en"", ""fr"")"),"Quel est le but principal de la pointe en fer à trois branches (trois-pointes) de la lance ?")</f>
        <v>Quel est le but principal de la pointe en fer à trois branches (trois-pointes) de la lance ?</v>
      </c>
      <c r="I122" s="6" t="str">
        <f>IFERROR(__xludf.DUMMYFUNCTION("GOOGLETRANSLATE(C122, ""en"", ""fr"")"),"A) Pour blesser l'adversaire, B) Pour mieux agripper le bouclier en bois de l'adversaire, C) C'est purement décoratif, D) Pour briser la lance de l'adversaire")</f>
        <v>A) Pour blesser l'adversaire, B) Pour mieux agripper le bouclier en bois de l'adversaire, C) C'est purement décoratif, D) Pour briser la lance de l'adversaire</v>
      </c>
      <c r="J122" s="6" t="str">
        <f>IFERROR(__xludf.DUMMYFUNCTION("GOOGLETRANSLATE(D122, ""en"", ""fr"")"),"B) Pour une meilleure prise sur le bouclier en bois de l'adversaire")</f>
        <v>B) Pour une meilleure prise sur le bouclier en bois de l'adversaire</v>
      </c>
      <c r="K122" s="6" t="str">
        <f>IFERROR(__xludf.DUMMYFUNCTION("GOOGLETRANSLATE(E122, ""en"", ""fr"")"),"Les trois points sont conçus pour s'ancrer dans le bois du pavois, assurant une connexion solide capable de déstabiliser l'adversaire.")</f>
        <v>Les trois points sont conçus pour s'ancrer dans le bois du pavois, assurant une connexion solide capable de déstabiliser l'adversaire.</v>
      </c>
    </row>
    <row r="123" ht="22.5" customHeight="1">
      <c r="A123" s="4">
        <v>122.0</v>
      </c>
      <c r="B123" s="5" t="s">
        <v>295</v>
      </c>
      <c r="C123" s="5" t="s">
        <v>429</v>
      </c>
      <c r="D123" s="5" t="s">
        <v>430</v>
      </c>
      <c r="E123" s="5" t="s">
        <v>431</v>
      </c>
      <c r="G123" s="6" t="str">
        <f>IFERROR(__xludf.DUMMYFUNCTION("GOOGLETRANSLATE(A123, ""en"", ""fr"")"),"122")</f>
        <v>122</v>
      </c>
      <c r="H123" s="6" t="str">
        <f>IFERROR(__xludf.DUMMYFUNCTION("GOOGLETRANSLATE(B123, ""en"", ""fr"")"),"Qu'est-ce qu'une ""lancy d'or"" (lance d'or) ?")</f>
        <v>Qu'est-ce qu'une "lancy d'or" (lance d'or) ?</v>
      </c>
      <c r="I123" s="6" t="str">
        <f>IFERROR(__xludf.DUMMYFUNCTION("GOOGLETRANSLATE(C123, ""en"", ""fr"")"),"A) Le prix du champion, B) Un prix spécial décerné pour le style de joute le plus beau et le plus parfait, C) Une arme mythique, D) Le surnom d'un jouteur champion")</f>
        <v>A) Le prix du champion, B) Un prix spécial décerné pour le style de joute le plus beau et le plus parfait, C) Une arme mythique, D) Le surnom d'un jouteur champion</v>
      </c>
      <c r="J123" s="6" t="str">
        <f>IFERROR(__xludf.DUMMYFUNCTION("GOOGLETRANSLATE(D123, ""en"", ""fr"")"),"B) Un prix spécial décerné pour le style de joute le plus beau et le plus parfait")</f>
        <v>B) Un prix spécial décerné pour le style de joute le plus beau et le plus parfait</v>
      </c>
      <c r="K123" s="6" t="str">
        <f>IFERROR(__xludf.DUMMYFUNCTION("GOOGLETRANSLATE(E123, ""en"", ""fr"")"),"Dans certains tournois, une récompense spéciale est décernée au jouteur qui fait preuve de la technique la plus parfaite, même s'il ne remporte pas le prix principal.")</f>
        <v>Dans certains tournois, une récompense spéciale est décernée au jouteur qui fait preuve de la technique la plus parfaite, même s'il ne remporte pas le prix principal.</v>
      </c>
    </row>
    <row r="124" ht="22.5" customHeight="1">
      <c r="A124" s="4">
        <v>123.0</v>
      </c>
      <c r="B124" s="5" t="s">
        <v>299</v>
      </c>
      <c r="C124" s="5" t="s">
        <v>300</v>
      </c>
      <c r="D124" s="5" t="s">
        <v>301</v>
      </c>
      <c r="E124" s="5" t="s">
        <v>472</v>
      </c>
      <c r="G124" s="6" t="str">
        <f>IFERROR(__xludf.DUMMYFUNCTION("GOOGLETRANSLATE(A124, ""en"", ""fr"")"),"123")</f>
        <v>123</v>
      </c>
      <c r="H124" s="6" t="str">
        <f>IFERROR(__xludf.DUMMYFUNCTION("GOOGLETRANSLATE(B124, ""en"", ""fr"")"),"La tradition des joutes dans la ville d'Agde se distingue par quelle caractéristique unique ?")</f>
        <v>La tradition des joutes dans la ville d'Agde se distingue par quelle caractéristique unique ?</v>
      </c>
      <c r="I124" s="6" t="str">
        <f>IFERROR(__xludf.DUMMYFUNCTION("GOOGLETRANSLATE(C124, ""en"", ""fr"")"),"A) Ils utilisent des bateaux beaucoup plus petits, B) Les joutes ont lieu en mer, C) Ils ont une célèbre tradition de joutes nocturnes, D) Ils utilisent des épées au lieu de lances")</f>
        <v>A) Ils utilisent des bateaux beaucoup plus petits, B) Les joutes ont lieu en mer, C) Ils ont une célèbre tradition de joutes nocturnes, D) Ils utilisent des épées au lieu de lances</v>
      </c>
      <c r="J124" s="6" t="str">
        <f>IFERROR(__xludf.DUMMYFUNCTION("GOOGLETRANSLATE(D124, ""en"", ""fr"")"),"C) Ils ont une célèbre tradition de joutes nocturnes")</f>
        <v>C) Ils ont une célèbre tradition de joutes nocturnes</v>
      </c>
      <c r="K124" s="6" t="str">
        <f>IFERROR(__xludf.DUMMYFUNCTION("GOOGLETRANSLATE(E124, ""en"", ""fr"")"),"La ville d'Agde, près de Sète, est réputée pour ses spectaculaires tournois de joutes nocturnes, sous de brillants projecteurs.")</f>
        <v>La ville d'Agde, près de Sète, est réputée pour ses spectaculaires tournois de joutes nocturnes, sous de brillants projecteurs.</v>
      </c>
    </row>
    <row r="125" ht="22.5" customHeight="1">
      <c r="A125" s="4">
        <v>124.0</v>
      </c>
      <c r="B125" s="5" t="s">
        <v>335</v>
      </c>
      <c r="C125" s="5" t="s">
        <v>473</v>
      </c>
      <c r="D125" s="5" t="s">
        <v>474</v>
      </c>
      <c r="E125" s="5" t="s">
        <v>435</v>
      </c>
      <c r="G125" s="6" t="str">
        <f>IFERROR(__xludf.DUMMYFUNCTION("GOOGLETRANSLATE(A125, ""en"", ""fr"")"),"124")</f>
        <v>124</v>
      </c>
      <c r="H125" s="6" t="str">
        <f>IFERROR(__xludf.DUMMYFUNCTION("GOOGLETRANSLATE(B125, ""en"", ""fr"")"),"Les « joutes provençales » se caractérisent par quelle particularité unique de la tintaine ?")</f>
        <v>Les « joutes provençales » se caractérisent par quelle particularité unique de la tintaine ?</v>
      </c>
      <c r="I125" s="6" t="str">
        <f>IFERROR(__xludf.DUMMYFUNCTION("GOOGLETRANSLATE(C125, ""en"", ""fr"")"),"A) Il est beaucoup plus haut que dans les autres styles, B) Il est situé à l'avant du bateau, C) Le jouteur se tient debout, les deux pieds pointant vers l'avant, sur une plateforme fixe, D) Il est très petit et rond")</f>
        <v>A) Il est beaucoup plus haut que dans les autres styles, B) Il est situé à l'avant du bateau, C) Le jouteur se tient debout, les deux pieds pointant vers l'avant, sur une plateforme fixe, D) Il est très petit et rond</v>
      </c>
      <c r="J125" s="6" t="str">
        <f>IFERROR(__xludf.DUMMYFUNCTION("GOOGLETRANSLATE(D125, ""en"", ""fr"")"),"C) Le jouteur se tient debout, les deux pieds pointant vers l'avant, sur une plateforme fixe.")</f>
        <v>C) Le jouteur se tient debout, les deux pieds pointant vers l'avant, sur une plateforme fixe.</v>
      </c>
      <c r="K125" s="6" t="str">
        <f>IFERROR(__xludf.DUMMYFUNCTION("GOOGLETRANSLATE(E125, ""en"", ""fr"")"),"Dans cette méthode, depuis des ports comme Marseille, la plateforme est beaucoup plus basse et plus stable, et la position du jouteur est complètement différente.")</f>
        <v>Dans cette méthode, depuis des ports comme Marseille, la plateforme est beaucoup plus basse et plus stable, et la position du jouteur est complètement différente.</v>
      </c>
    </row>
    <row r="126" ht="22.5" customHeight="1">
      <c r="A126" s="4">
        <v>125.0</v>
      </c>
      <c r="B126" s="5" t="s">
        <v>221</v>
      </c>
      <c r="C126" s="5" t="s">
        <v>443</v>
      </c>
      <c r="D126" s="5" t="s">
        <v>444</v>
      </c>
      <c r="E126" s="5" t="s">
        <v>224</v>
      </c>
      <c r="G126" s="6" t="str">
        <f>IFERROR(__xludf.DUMMYFUNCTION("GOOGLETRANSLATE(A126, ""en"", ""fr"")"),"125")</f>
        <v>125</v>
      </c>
      <c r="H126" s="6" t="str">
        <f>IFERROR(__xludf.DUMMYFUNCTION("GOOGLETRANSLATE(B126, ""en"", ""fr"")"),"Qu'est-ce qu'une ""Barque de parade"" ?")</f>
        <v>Qu'est-ce qu'une "Barque de parade" ?</v>
      </c>
      <c r="I126" s="6" t="str">
        <f>IFERROR(__xludf.DUMMYFUNCTION("GOOGLETRANSLATE(C126, ""en"", ""fr"")"),"A) Le bateau utilisé pour la finale, B) Le bateau richement décoré servant à transporter les officiels et les musiciens d'une société de joutes, C) Un bateau pour les spectateurs payants, D) Un bateau d'entraînement")</f>
        <v>A) Le bateau utilisé pour la finale, B) Le bateau richement décoré servant à transporter les officiels et les musiciens d'une société de joutes, C) Un bateau pour les spectateurs payants, D) Un bateau d'entraînement</v>
      </c>
      <c r="J126" s="6" t="str">
        <f>IFERROR(__xludf.DUMMYFUNCTION("GOOGLETRANSLATE(D126, ""en"", ""fr"")"),"B) Le bateau richement décoré utilisé pour transporter les officiels et les musiciens d'une société de joutes.")</f>
        <v>B) Le bateau richement décoré utilisé pour transporter les officiels et les musiciens d'une société de joutes.</v>
      </c>
      <c r="K126" s="6" t="str">
        <f>IFERROR(__xludf.DUMMYFUNCTION("GOOGLETRANSLATE(E126, ""en"", ""fr"")"),"Avant la compétition, un défilé de bateaux a lieu, mené par le bateau de parade de chaque club de joutes.")</f>
        <v>Avant la compétition, un défilé de bateaux a lieu, mené par le bateau de parade de chaque club de joutes.</v>
      </c>
    </row>
    <row r="127" ht="22.5" customHeight="1">
      <c r="A127" s="4">
        <v>126.0</v>
      </c>
      <c r="B127" s="5" t="s">
        <v>475</v>
      </c>
      <c r="C127" s="5" t="s">
        <v>476</v>
      </c>
      <c r="D127" s="5" t="s">
        <v>309</v>
      </c>
      <c r="E127" s="5" t="s">
        <v>310</v>
      </c>
      <c r="G127" s="6" t="str">
        <f>IFERROR(__xludf.DUMMYFUNCTION("GOOGLETRANSLATE(A127, ""en"", ""fr"")"),"126")</f>
        <v>126</v>
      </c>
      <c r="H127" s="6" t="str">
        <f>IFERROR(__xludf.DUMMYFUNCTION("GOOGLETRANSLATE(B127, ""en"", ""fr"")"),"Que signifie le geste des deux jouteurs qui touchent leurs lances avant une passe ?")</f>
        <v>Que signifie le geste des deux jouteurs qui touchent leurs lances avant une passe ?</v>
      </c>
      <c r="I127" s="6" t="str">
        <f>IFERROR(__xludf.DUMMYFUNCTION("GOOGLETRANSLATE(C127, ""en"", ""fr"")"),"A) Ils testent la solidité des lances. B) C'est un salut mutuel et un signe de respect. C) Ils alignent leurs bateaux pour le passage. D) C'est un signal pour l'arbitre pour le départ.")</f>
        <v>A) Ils testent la solidité des lances. B) C'est un salut mutuel et un signe de respect. C) Ils alignent leurs bateaux pour le passage. D) C'est un signal pour l'arbitre pour le départ.</v>
      </c>
      <c r="J127" s="6" t="str">
        <f>IFERROR(__xludf.DUMMYFUNCTION("GOOGLETRANSLATE(D127, ""en"", ""fr"")"),"B) C'est un salut mutuel et un signe de respect")</f>
        <v>B) C'est un salut mutuel et un signe de respect</v>
      </c>
      <c r="K127" s="6" t="str">
        <f>IFERROR(__xludf.DUMMYFUNCTION("GOOGLETRANSLATE(E127, ""en"", ""fr"")"),"Ce rituel, appelé « appel », est une reconnaissance formelle de l'adversaire avant le début du combat.")</f>
        <v>Ce rituel, appelé « appel », est une reconnaissance formelle de l'adversaire avant le début du combat.</v>
      </c>
    </row>
    <row r="128" ht="22.5" customHeight="1">
      <c r="A128" s="4">
        <v>127.0</v>
      </c>
      <c r="B128" s="5" t="s">
        <v>311</v>
      </c>
      <c r="C128" s="5" t="s">
        <v>477</v>
      </c>
      <c r="D128" s="5" t="s">
        <v>478</v>
      </c>
      <c r="E128" s="5" t="s">
        <v>314</v>
      </c>
      <c r="G128" s="6" t="str">
        <f>IFERROR(__xludf.DUMMYFUNCTION("GOOGLETRANSLATE(A128, ""en"", ""fr"")"),"127")</f>
        <v>127</v>
      </c>
      <c r="H128" s="6" t="str">
        <f>IFERROR(__xludf.DUMMYFUNCTION("GOOGLETRANSLATE(B128, ""en"", ""fr"")"),"Quelle est la principale raison pour laquelle la méthode languedocienne est considérée comme la « reine » de tous les styles de joutes ?")</f>
        <v>Quelle est la principale raison pour laquelle la méthode languedocienne est considérée comme la « reine » de tous les styles de joutes ?</v>
      </c>
      <c r="I128" s="6" t="str">
        <f>IFERROR(__xludf.DUMMYFUNCTION("GOOGLETRANSLATE(C128, ""en"", ""fr"")"),"A) C'est la méthode la plus ancienne, B) Elle nécessite les bateaux les plus lourds, le plus grand nombre de rameurs et les plus grandes festivités, C) C'est la seule reconnue par le gouvernement, D) C'est la méthode la plus dangereuse")</f>
        <v>A) C'est la méthode la plus ancienne, B) Elle nécessite les bateaux les plus lourds, le plus grand nombre de rameurs et les plus grandes festivités, C) C'est la seule reconnue par le gouvernement, D) C'est la méthode la plus dangereuse</v>
      </c>
      <c r="J128" s="6" t="str">
        <f>IFERROR(__xludf.DUMMYFUNCTION("GOOGLETRANSLATE(D128, ""en"", ""fr"")"),"B) Cela implique les bateaux les plus lourds, le plus grand nombre de rameurs et les plus grands festivals")</f>
        <v>B) Cela implique les bateaux les plus lourds, le plus grand nombre de rameurs et les plus grands festivals</v>
      </c>
      <c r="K128" s="6" t="str">
        <f>IFERROR(__xludf.DUMMYFUNCTION("GOOGLETRANSLATE(E128, ""en"", ""fr"")"),"L'ampleur, la puissance et la tradition des joutes de style Sète en font la catégorie reine de ce sport.")</f>
        <v>L'ampleur, la puissance et la tradition des joutes de style Sète en font la catégorie reine de ce sport.</v>
      </c>
    </row>
    <row r="129" ht="22.5" customHeight="1">
      <c r="A129" s="4">
        <v>128.0</v>
      </c>
      <c r="B129" s="5" t="s">
        <v>177</v>
      </c>
      <c r="C129" s="5" t="s">
        <v>479</v>
      </c>
      <c r="D129" s="5" t="s">
        <v>480</v>
      </c>
      <c r="E129" s="5" t="s">
        <v>481</v>
      </c>
      <c r="G129" s="6" t="str">
        <f>IFERROR(__xludf.DUMMYFUNCTION("GOOGLETRANSLATE(A129, ""en"", ""fr"")"),"128")</f>
        <v>128</v>
      </c>
      <c r="H129" s="6" t="str">
        <f>IFERROR(__xludf.DUMMYFUNCTION("GOOGLETRANSLATE(B129, ""en"", ""fr"")"),"Qu'est-ce qu'un « bouc » dans le contexte des joutes de Sète ?")</f>
        <v>Qu'est-ce qu'un « bouc » dans le contexte des joutes de Sète ?</v>
      </c>
      <c r="I129" s="6" t="str">
        <f>IFERROR(__xludf.DUMMYFUNCTION("GOOGLETRANSLATE(C129, ""en"", ""fr"")"),"A) Le nom d'un jouteur célèbre, B) Un type de bateau de pêche traditionnel dont sont issus les bateaux de joute, C) Un terme péjoratif pour un jouteur inexpérimenté, D) La chèvre qui constituait le prix traditionnel")</f>
        <v>A) Le nom d'un jouteur célèbre, B) Un type de bateau de pêche traditionnel dont sont issus les bateaux de joute, C) Un terme péjoratif pour un jouteur inexpérimenté, D) La chèvre qui constituait le prix traditionnel</v>
      </c>
      <c r="J129" s="6" t="str">
        <f>IFERROR(__xludf.DUMMYFUNCTION("GOOGLETRANSLATE(D129, ""en"", ""fr"")"),"B) Un type de bateau de pêche traditionnel dont sont issus les bateaux de joute.")</f>
        <v>B) Un type de bateau de pêche traditionnel dont sont issus les bateaux de joute.</v>
      </c>
      <c r="K129" s="6" t="str">
        <f>IFERROR(__xludf.DUMMYFUNCTION("GOOGLETRANSLATE(E129, ""en"", ""fr"")"),"Le « Bouc de Sète » est un type de bateau de pêche traditionnel, et sa conception robuste a influencé la construction des bateaux de joute modernes rouges et bleus.")</f>
        <v>Le « Bouc de Sète » est un type de bateau de pêche traditionnel, et sa conception robuste a influencé la construction des bateaux de joute modernes rouges et bleus.</v>
      </c>
    </row>
    <row r="130" ht="22.5" customHeight="1">
      <c r="A130" s="4">
        <v>129.0</v>
      </c>
      <c r="B130" s="5" t="s">
        <v>287</v>
      </c>
      <c r="C130" s="5" t="s">
        <v>288</v>
      </c>
      <c r="D130" s="5" t="s">
        <v>289</v>
      </c>
      <c r="E130" s="5" t="s">
        <v>482</v>
      </c>
      <c r="G130" s="6" t="str">
        <f>IFERROR(__xludf.DUMMYFUNCTION("GOOGLETRANSLATE(A130, ""en"", ""fr"")"),"129")</f>
        <v>129</v>
      </c>
      <c r="H130" s="6" t="str">
        <f>IFERROR(__xludf.DUMMYFUNCTION("GOOGLETRANSLATE(B130, ""en"", ""fr"")"),"Quelle est l'origine historique du terme « tintaine » ?")</f>
        <v>Quelle est l'origine historique du terme « tintaine » ?</v>
      </c>
      <c r="I130" s="6" t="str">
        <f>IFERROR(__xludf.DUMMYFUNCTION("GOOGLETRANSLATE(C130, ""en"", ""fr"")"),"A) C'est le nom d'un jouteur célèbre, B) Cela dérive d'un ancien mot français désignant l'antenne ou le mât d'un navire, C) C'est une espèce de poisson, D) Cela signifie « petite scène » en dialecte languedocien")</f>
        <v>A) C'est le nom d'un jouteur célèbre, B) Cela dérive d'un ancien mot français désignant l'antenne ou le mât d'un navire, C) C'est une espèce de poisson, D) Cela signifie « petite scène » en dialecte languedocien</v>
      </c>
      <c r="J130" s="6" t="str">
        <f>IFERROR(__xludf.DUMMYFUNCTION("GOOGLETRANSLATE(D130, ""en"", ""fr"")"),"B) Il dérive d'un ancien mot français désignant l'antenne ou le mât d'un navire.")</f>
        <v>B) Il dérive d'un ancien mot français désignant l'antenne ou le mât d'un navire.</v>
      </c>
      <c r="K130" s="6" t="str">
        <f>IFERROR(__xludf.DUMMYFUNCTION("GOOGLETRANSLATE(E130, ""en"", ""fr"")"),"Le terme provient probablement de sa ressemblance avec une plateforme haute et étroite sur un navire, comme le poste d'observation d'un mât.")</f>
        <v>Le terme provient probablement de sa ressemblance avec une plateforme haute et étroite sur un navire, comme le poste d'observation d'un mât.</v>
      </c>
    </row>
    <row r="131" ht="22.5" customHeight="1">
      <c r="A131" s="4">
        <v>130.0</v>
      </c>
      <c r="B131" s="5" t="s">
        <v>391</v>
      </c>
      <c r="C131" s="5" t="s">
        <v>483</v>
      </c>
      <c r="D131" s="5" t="s">
        <v>393</v>
      </c>
      <c r="E131" s="5" t="s">
        <v>394</v>
      </c>
      <c r="G131" s="6" t="str">
        <f>IFERROR(__xludf.DUMMYFUNCTION("GOOGLETRANSLATE(A131, ""en"", ""fr"")"),"130")</f>
        <v>130</v>
      </c>
      <c r="H131" s="6" t="str">
        <f>IFERROR(__xludf.DUMMYFUNCTION("GOOGLETRANSLATE(B131, ""en"", ""fr"")"),"Qui est considéré comme le « saint patron » de la ville de Sète et de ses jouteurs ?")</f>
        <v>Qui est considéré comme le « saint patron » de la ville de Sète et de ses jouteurs ?</v>
      </c>
      <c r="I131" s="6" t="str">
        <f>IFERROR(__xludf.DUMMYFUNCTION("GOOGLETRANSLATE(C131, ""en"", ""fr"")"),"A) Saint Pierre (patron des pêcheurs), B) Saint Nicolas (patron des marins), C) Saint Louis (roi Louis IX), D) Saint Christophe (patron des voyageurs)")</f>
        <v>A) Saint Pierre (patron des pêcheurs), B) Saint Nicolas (patron des marins), C) Saint Louis (roi Louis IX), D) Saint Christophe (patron des voyageurs)</v>
      </c>
      <c r="J131" s="6" t="str">
        <f>IFERROR(__xludf.DUMMYFUNCTION("GOOGLETRANSLATE(D131, ""en"", ""fr"")"),"C) Saint Louis (Roi Louis IX)")</f>
        <v>C) Saint Louis (Roi Louis IX)</v>
      </c>
      <c r="K131" s="6" t="str">
        <f>IFERROR(__xludf.DUMMYFUNCTION("GOOGLETRANSLATE(E131, ""en"", ""fr"")"),"La ville et sa principale fête portent le nom du roi Louis IX, qui partit pour les croisades depuis la ville voisine d'Aigues-Mortes.")</f>
        <v>La ville et sa principale fête portent le nom du roi Louis IX, qui partit pour les croisades depuis la ville voisine d'Aigues-Mortes.</v>
      </c>
    </row>
    <row r="132" ht="22.5" customHeight="1">
      <c r="A132" s="4">
        <v>131.0</v>
      </c>
      <c r="B132" s="5" t="s">
        <v>339</v>
      </c>
      <c r="C132" s="5" t="s">
        <v>484</v>
      </c>
      <c r="D132" s="5" t="s">
        <v>341</v>
      </c>
      <c r="E132" s="5" t="s">
        <v>485</v>
      </c>
      <c r="G132" s="6" t="str">
        <f>IFERROR(__xludf.DUMMYFUNCTION("GOOGLETRANSLATE(A132, ""en"", ""fr"")"),"131")</f>
        <v>131</v>
      </c>
      <c r="H132" s="6" t="str">
        <f>IFERROR(__xludf.DUMMYFUNCTION("GOOGLETRANSLATE(B132, ""en"", ""fr"")"),"Quelle est la principale raison des catégories de poids strictes dans ce sport ?")</f>
        <v>Quelle est la principale raison des catégories de poids strictes dans ce sport ?</v>
      </c>
      <c r="I132" s="6" t="str">
        <f>IFERROR(__xludf.DUMMYFUNCTION("GOOGLETRANSLATE(C132, ""en"", ""fr"")"),"A) Pour garantir l'équité entre les jouteurs de taille similaire, B) Pour éviter la surcharge des bateaux, C) C'est une tradition sans but pratique, D) Pour faciliter l'identification des jouteurs par les juges")</f>
        <v>A) Pour garantir l'équité entre les jouteurs de taille similaire, B) Pour éviter la surcharge des bateaux, C) C'est une tradition sans but pratique, D) Pour faciliter l'identification des jouteurs par les juges</v>
      </c>
      <c r="J132" s="6" t="str">
        <f>IFERROR(__xludf.DUMMYFUNCTION("GOOGLETRANSLATE(D132, ""en"", ""fr"")"),"A) Afin de garantir que les jouteurs de taille similaire s'affrontent équitablement")</f>
        <v>A) Afin de garantir que les jouteurs de taille similaire s'affrontent équitablement</v>
      </c>
      <c r="K132" s="6" t="str">
        <f>IFERROR(__xludf.DUMMYFUNCTION("GOOGLETRANSLATE(E132, ""en"", ""fr"")"),"Comme en boxe ou en lutte, les catégories de poids garantissent que la compétition est un test d'habileté, et non pas simplement une question de victoire du plus grand et du plus fort.")</f>
        <v>Comme en boxe ou en lutte, les catégories de poids garantissent que la compétition est un test d'habileté, et non pas simplement une question de victoire du plus grand et du plus fort.</v>
      </c>
    </row>
    <row r="133" ht="22.5" customHeight="1">
      <c r="A133" s="4">
        <v>132.0</v>
      </c>
      <c r="B133" s="5" t="s">
        <v>486</v>
      </c>
      <c r="C133" s="5" t="s">
        <v>487</v>
      </c>
      <c r="D133" s="5" t="s">
        <v>345</v>
      </c>
      <c r="E133" s="5" t="s">
        <v>346</v>
      </c>
      <c r="G133" s="6" t="str">
        <f>IFERROR(__xludf.DUMMYFUNCTION("GOOGLETRANSLATE(A133, ""en"", ""fr"")"),"132")</f>
        <v>132</v>
      </c>
      <c r="H133" s="6" t="str">
        <f>IFERROR(__xludf.DUMMYFUNCTION("GOOGLETRANSLATE(B133, ""en"", ""fr"")"),"Quel est le cri ou la devise traditionnelle du festival de Saint Louis lorsqu'un jouteur tombe ?")</f>
        <v>Quel est le cri ou la devise traditionnelle du festival de Saint Louis lorsqu'un jouteur tombe ?</v>
      </c>
      <c r="I133" s="6" t="str">
        <f>IFERROR(__xludf.DUMMYFUNCTION("GOOGLETRANSLATE(C133, ""en"", ""fr"")"),"A) « Liberté, Égalité, Fraternité ! », B) « Pour le Roi et pour Sète ! », C) « Voilà le bouquet ! », D) « Gloire aux Jouteurs ! »")</f>
        <v>A) « Liberté, Égalité, Fraternité ! », B) « Pour le Roi et pour Sète ! », C) « Voilà le bouquet ! », D) « Gloire aux Jouteurs ! »</v>
      </c>
      <c r="J133" s="6" t="str">
        <f>IFERROR(__xludf.DUMMYFUNCTION("GOOGLETRANSLATE(D133, ""en"", ""fr"")"),"C) ""Voilà le bouquet !"" (Voilà le bouquet !)")</f>
        <v>C) "Voilà le bouquet !" (Voilà le bouquet !)</v>
      </c>
      <c r="K133" s="6" t="str">
        <f>IFERROR(__xludf.DUMMYFUNCTION("GOOGLETRANSLATE(E133, ""en"", ""fr"")"),"C'est le cri classique et humoristique de la foule lorsqu'un jouteur est envoyé voler dans l'eau.")</f>
        <v>C'est le cri classique et humoristique de la foule lorsqu'un jouteur est envoyé voler dans l'eau.</v>
      </c>
    </row>
    <row r="134" ht="22.5" customHeight="1">
      <c r="A134" s="4">
        <v>133.0</v>
      </c>
      <c r="B134" s="5" t="s">
        <v>351</v>
      </c>
      <c r="C134" s="5" t="s">
        <v>488</v>
      </c>
      <c r="D134" s="5" t="s">
        <v>447</v>
      </c>
      <c r="E134" s="5" t="s">
        <v>448</v>
      </c>
      <c r="G134" s="6" t="str">
        <f>IFERROR(__xludf.DUMMYFUNCTION("GOOGLETRANSLATE(A134, ""en"", ""fr"")"),"133")</f>
        <v>133</v>
      </c>
      <c r="H134" s="6" t="str">
        <f>IFERROR(__xludf.DUMMYFUNCTION("GOOGLETRANSLATE(B134, ""en"", ""fr"")"),"Quelle est la principale différence dans la méthode de joute alsacienne ?")</f>
        <v>Quelle est la principale différence dans la méthode de joute alsacienne ?</v>
      </c>
      <c r="I134" s="6" t="str">
        <f>IFERROR(__xludf.DUMMYFUNCTION("GOOGLETRANSLATE(C134, ""en"", ""fr"")"),"A) Cela se pratique sur un lac, B) Les jouteurs sont attachés au bateau et utilisent de très longues lances, C) C'est un sport sans contact, D) C'est la méthode la plus ancienne")</f>
        <v>A) Cela se pratique sur un lac, B) Les jouteurs sont attachés au bateau et utilisent de très longues lances, C) C'est un sport sans contact, D) C'est la méthode la plus ancienne</v>
      </c>
      <c r="J134" s="6" t="str">
        <f>IFERROR(__xludf.DUMMYFUNCTION("GOOGLETRANSLATE(D134, ""en"", ""fr"")"),"B) Les jouteurs sont attachés au bateau et utilisent de très longues lances.")</f>
        <v>B) Les jouteurs sont attachés au bateau et utilisent de très longues lances.</v>
      </c>
      <c r="K134" s="6" t="str">
        <f>IFERROR(__xludf.DUMMYFUNCTION("GOOGLETRANSLATE(E134, ""en"", ""fr"")"),"Le style strasbourgeois est très différent, axé sur la stabilité et la pure puissance de poussée, les jouteurs étant solidement attachés à leur plateforme.")</f>
        <v>Le style strasbourgeois est très différent, axé sur la stabilité et la pure puissance de poussée, les jouteurs étant solidement attachés à leur plateforme.</v>
      </c>
    </row>
    <row r="135" ht="22.5" customHeight="1">
      <c r="A135" s="4">
        <v>134.0</v>
      </c>
      <c r="B135" s="5" t="s">
        <v>355</v>
      </c>
      <c r="C135" s="5" t="s">
        <v>356</v>
      </c>
      <c r="D135" s="5" t="s">
        <v>357</v>
      </c>
      <c r="E135" s="5" t="s">
        <v>358</v>
      </c>
      <c r="G135" s="6" t="str">
        <f>IFERROR(__xludf.DUMMYFUNCTION("GOOGLETRANSLATE(A135, ""en"", ""fr"")"),"134")</f>
        <v>134</v>
      </c>
      <c r="H135" s="6" t="str">
        <f>IFERROR(__xludf.DUMMYFUNCTION("GOOGLETRANSLATE(B135, ""en"", ""fr"")"),"Quelle est l'origine historique des couleurs rouge et bleue des bateaux à Sète ?")</f>
        <v>Quelle est l'origine historique des couleurs rouge et bleue des bateaux à Sète ?</v>
      </c>
      <c r="I135" s="6" t="str">
        <f>IFERROR(__xludf.DUMMYFUNCTION("GOOGLETRANSLATE(C135, ""en"", ""fr"")"),"A) Ce sont les couleurs du drapeau français. B) Elles représentent les factions politiques historiques de la ville. C) Ce sont les couleurs traditionnelles des deux camps du port : les pêcheurs et les dockers. D) Ce sont les couleurs de la famille royale.")</f>
        <v>A) Ce sont les couleurs du drapeau français. B) Elles représentent les factions politiques historiques de la ville. C) Ce sont les couleurs traditionnelles des deux camps du port : les pêcheurs et les dockers. D) Ce sont les couleurs de la famille royale.</v>
      </c>
      <c r="J135" s="6" t="str">
        <f>IFERROR(__xludf.DUMMYFUNCTION("GOOGLETRANSLATE(D135, ""en"", ""fr"")"),"C) Ce sont les couleurs traditionnelles des deux camps du port : les pêcheurs et les dockers")</f>
        <v>C) Ce sont les couleurs traditionnelles des deux camps du port : les pêcheurs et les dockers</v>
      </c>
      <c r="K135" s="6" t="str">
        <f>IFERROR(__xludf.DUMMYFUNCTION("GOOGLETRANSLATE(E135, ""en"", ""fr"")"),"Les couleurs symbolisent les deux communautés ouvrières historiques du port d'où sont originaires les jouteurs.")</f>
        <v>Les couleurs symbolisent les deux communautés ouvrières historiques du port d'où sont originaires les jouteurs.</v>
      </c>
    </row>
    <row r="136" ht="22.5" customHeight="1">
      <c r="A136" s="4">
        <v>135.0</v>
      </c>
      <c r="B136" s="5" t="s">
        <v>363</v>
      </c>
      <c r="C136" s="5" t="s">
        <v>489</v>
      </c>
      <c r="D136" s="5" t="s">
        <v>490</v>
      </c>
      <c r="E136" s="5" t="s">
        <v>366</v>
      </c>
      <c r="G136" s="6" t="str">
        <f>IFERROR(__xludf.DUMMYFUNCTION("GOOGLETRANSLATE(A136, ""en"", ""fr"")"),"135")</f>
        <v>135</v>
      </c>
      <c r="H136" s="6" t="str">
        <f>IFERROR(__xludf.DUMMYFUNCTION("GOOGLETRANSLATE(B136, ""en"", ""fr"")"),"Aux XVIIIe et XIXe siècles, quelle était la principale motivation d'un jeune homme qui devenait jouteur ?")</f>
        <v>Aux XVIIIe et XIXe siècles, quelle était la principale motivation d'un jeune homme qui devenait jouteur ?</v>
      </c>
      <c r="I136" s="6" t="str">
        <f>IFERROR(__xludf.DUMMYFUNCTION("GOOGLETRANSLATE(C136, ""en"", ""fr"")"),"A) Gagner beaucoup d'argent, B) Acquérir honneur, renommée locale et prestige social pour lui-même et son quartier, C) Obtenir un emploi d'athlète professionnel, D) Voyager dans d'autres pays")</f>
        <v>A) Gagner beaucoup d'argent, B) Acquérir honneur, renommée locale et prestige social pour lui-même et son quartier, C) Obtenir un emploi d'athlète professionnel, D) Voyager dans d'autres pays</v>
      </c>
      <c r="J136" s="6" t="str">
        <f>IFERROR(__xludf.DUMMYFUNCTION("GOOGLETRANSLATE(D136, ""en"", ""fr"")"),"B) Pour gagner en honneur, en notoriété locale et en prestige social pour lui-même et son quartier")</f>
        <v>B) Pour gagner en honneur, en notoriété locale et en prestige social pour lui-même et son quartier</v>
      </c>
      <c r="K136" s="6" t="str">
        <f>IFERROR(__xludf.DUMMYFUNCTION("GOOGLETRANSLATE(E136, ""en"", ""fr"")"),"Dans cette communauté très soudée, être champion de joute était une source d'immense fierté personnelle et de fierté pour le voisinage.")</f>
        <v>Dans cette communauté très soudée, être champion de joute était une source d'immense fierté personnelle et de fierté pour le voisinage.</v>
      </c>
    </row>
    <row r="137" ht="22.5" customHeight="1">
      <c r="A137" s="4">
        <v>136.0</v>
      </c>
      <c r="B137" s="5" t="s">
        <v>371</v>
      </c>
      <c r="C137" s="5" t="s">
        <v>372</v>
      </c>
      <c r="D137" s="5" t="s">
        <v>373</v>
      </c>
      <c r="E137" s="5" t="s">
        <v>491</v>
      </c>
      <c r="G137" s="6" t="str">
        <f>IFERROR(__xludf.DUMMYFUNCTION("GOOGLETRANSLATE(A137, ""en"", ""fr"")"),"136")</f>
        <v>136</v>
      </c>
      <c r="H137" s="6" t="str">
        <f>IFERROR(__xludf.DUMMYFUNCTION("GOOGLETRANSLATE(B137, ""en"", ""fr"")"),"Le design du bateau de joute traditionnel languedocien est basé sur quel type de navire ?")</f>
        <v>Le design du bateau de joute traditionnel languedocien est basé sur quel type de navire ?</v>
      </c>
      <c r="I137" s="6" t="str">
        <f>IFERROR(__xludf.DUMMYFUNCTION("GOOGLETRANSLATE(C137, ""en"", ""fr"")"),"A) Une gondole vénitienne, B) Une péniche, C) Un bateau de pêche méditerranéen historique, D) Un drakkar viking")</f>
        <v>A) Une gondole vénitienne, B) Une péniche, C) Un bateau de pêche méditerranéen historique, D) Un drakkar viking</v>
      </c>
      <c r="J137" s="6" t="str">
        <f>IFERROR(__xludf.DUMMYFUNCTION("GOOGLETRANSLATE(D137, ""en"", ""fr"")"),"C) Un bateau de pêche historique de la Méditerranée")</f>
        <v>C) Un bateau de pêche historique de la Méditerranée</v>
      </c>
      <c r="K137" s="6" t="str">
        <f>IFERROR(__xludf.DUMMYFUNCTION("GOOGLETRANSLATE(E137, ""en"", ""fr"")"),"La conception robuste et stable des bateaux de joute est issue des bateaux de pêche traditionnels utilisés par les communautés locales du port de Sète.")</f>
        <v>La conception robuste et stable des bateaux de joute est issue des bateaux de pêche traditionnels utilisés par les communautés locales du port de Sète.</v>
      </c>
    </row>
    <row r="138" ht="22.5" customHeight="1">
      <c r="A138" s="4">
        <v>137.0</v>
      </c>
      <c r="B138" s="5" t="s">
        <v>492</v>
      </c>
      <c r="C138" s="5" t="s">
        <v>493</v>
      </c>
      <c r="D138" s="5" t="s">
        <v>494</v>
      </c>
      <c r="E138" s="5" t="s">
        <v>378</v>
      </c>
      <c r="G138" s="6" t="str">
        <f>IFERROR(__xludf.DUMMYFUNCTION("GOOGLETRANSLATE(A138, ""en"", ""fr"")"),"137")</f>
        <v>137</v>
      </c>
      <c r="H138" s="6" t="str">
        <f>IFERROR(__xludf.DUMMYFUNCTION("GOOGLETRANSLATE(B138, ""en"", ""fr"")"),"Pourquoi le sport des joutes nautiques est-il resté concentré dans certaines régions de France ?")</f>
        <v>Pourquoi le sport des joutes nautiques est-il resté concentré dans certaines régions de France ?</v>
      </c>
      <c r="I138" s="6" t="str">
        <f>IFERROR(__xludf.DUMMYFUNCTION("GOOGLETRANSLATE(C138, ""en"", ""fr"")"),"A) Il est interdit ailleurs dans le pays, B) Les traditions sont profondément liées à l'identité locale et à la géographie de certaines villes riveraines et de certains canaux, C) Le matériel est trop difficile à fabriquer ailleurs, D) Les autres Français"&amp;" n'aiment pas ce sport")</f>
        <v>A) Il est interdit ailleurs dans le pays, B) Les traditions sont profondément liées à l'identité locale et à la géographie de certaines villes riveraines et de certains canaux, C) Le matériel est trop difficile à fabriquer ailleurs, D) Les autres Français n'aiment pas ce sport</v>
      </c>
      <c r="J138" s="6" t="str">
        <f>IFERROR(__xludf.DUMMYFUNCTION("GOOGLETRANSLATE(D138, ""en"", ""fr"")"),"B) Les traditions sont profondément liées à l'identité locale et à la géographie de certaines villes fluviales et de canaux.")</f>
        <v>B) Les traditions sont profondément liées à l'identité locale et à la géographie de certaines villes fluviales et de canaux.</v>
      </c>
      <c r="K138" s="6" t="str">
        <f>IFERROR(__xludf.DUMMYFUNCTION("GOOGLETRANSLATE(E138, ""en"", ""fr"")"),"Les joutes nautiques sont un sport folklorique très local, dont les coutumes et les rivalités font partie intégrante de l'histoire de quelques villes spécifiques.")</f>
        <v>Les joutes nautiques sont un sport folklorique très local, dont les coutumes et les rivalités font partie intégrante de l'histoire de quelques villes spécifiques.</v>
      </c>
    </row>
    <row r="139" ht="22.5" customHeight="1">
      <c r="A139" s="4">
        <v>138.0</v>
      </c>
      <c r="B139" s="5" t="s">
        <v>291</v>
      </c>
      <c r="C139" s="5" t="s">
        <v>495</v>
      </c>
      <c r="D139" s="5" t="s">
        <v>496</v>
      </c>
      <c r="E139" s="5" t="s">
        <v>497</v>
      </c>
      <c r="G139" s="6" t="str">
        <f>IFERROR(__xludf.DUMMYFUNCTION("GOOGLETRANSLATE(A139, ""en"", ""fr"")"),"138")</f>
        <v>138</v>
      </c>
      <c r="H139" s="6" t="str">
        <f>IFERROR(__xludf.DUMMYFUNCTION("GOOGLETRANSLATE(B139, ""en"", ""fr"")"),"Un jouteur tombe à l'eau. Quelle est l'action immédiate des plongeurs ?")</f>
        <v>Un jouteur tombe à l'eau. Quelle est l'action immédiate des plongeurs ?</v>
      </c>
      <c r="I139" s="6" t="str">
        <f>IFERROR(__xludf.DUMMYFUNCTION("GOOGLETRANSLATE(C139, ""en"", ""fr"")"),"A) Déclarer le vainqueur de la manche, B) Aider le jouteur à sortir de l'eau en toute sécurité et à récupérer sa lance et son bouclier, C) Secourir l'adversaire encore sur le bateau, D) Préparer le bateau pour la manche suivante")</f>
        <v>A) Déclarer le vainqueur de la manche, B) Aider le jouteur à sortir de l'eau en toute sécurité et à récupérer sa lance et son bouclier, C) Secourir l'adversaire encore sur le bateau, D) Préparer le bateau pour la manche suivante</v>
      </c>
      <c r="J139" s="6" t="str">
        <f>IFERROR(__xludf.DUMMYFUNCTION("GOOGLETRANSLATE(D139, ""en"", ""fr"")"),"B) Aider le jouteur à sortir de l'eau en toute sécurité et à récupérer sa lance et son bouclier.")</f>
        <v>B) Aider le jouteur à sortir de l'eau en toute sécurité et à récupérer sa lance et son bouclier.</v>
      </c>
      <c r="K139" s="6" t="str">
        <f>IFERROR(__xludf.DUMMYFUNCTION("GOOGLETRANSLATE(E139, ""en"", ""fr"")"),"Ce sont les sauveteurs officiels qui se trouvent dans l'eau pour assurer la sécurité immédiate de tout jouteur qui tomberait et pour récupérer son équipement.")</f>
        <v>Ce sont les sauveteurs officiels qui se trouvent dans l'eau pour assurer la sécurité immédiate de tout jouteur qui tomberait et pour récupérer son équipement.</v>
      </c>
    </row>
    <row r="140" ht="22.5" customHeight="1">
      <c r="A140" s="4">
        <v>139.0</v>
      </c>
      <c r="B140" s="5" t="s">
        <v>498</v>
      </c>
      <c r="C140" s="5" t="s">
        <v>499</v>
      </c>
      <c r="D140" s="5" t="s">
        <v>227</v>
      </c>
      <c r="E140" s="5" t="s">
        <v>500</v>
      </c>
      <c r="G140" s="6" t="str">
        <f>IFERROR(__xludf.DUMMYFUNCTION("GOOGLETRANSLATE(A140, ""en"", ""fr"")"),"139")</f>
        <v>139</v>
      </c>
      <c r="H140" s="6" t="str">
        <f>IFERROR(__xludf.DUMMYFUNCTION("GOOGLETRANSLATE(B140, ""en"", ""fr"")"),"Quel est le rôle principal du président d'une société de joutes ?")</f>
        <v>Quel est le rôle principal du président d'une société de joutes ?</v>
      </c>
      <c r="I140" s="6" t="str">
        <f>IFERROR(__xludf.DUMMYFUNCTION("GOOGLETRANSLATE(C140, ""en"", ""fr"")"),"A) Être le meilleur jouteur du club, B) Agir en tant qu'administrateur principal, mécène et représentant du club, C) Être l'arbitre principal de tous les matchs, D) Construire et entretenir les bateaux")</f>
        <v>A) Être le meilleur jouteur du club, B) Agir en tant qu'administrateur principal, mécène et représentant du club, C) Être l'arbitre principal de tous les matchs, D) Construire et entretenir les bateaux</v>
      </c>
      <c r="J140" s="6" t="str">
        <f>IFERROR(__xludf.DUMMYFUNCTION("GOOGLETRANSLATE(D140, ""en"", ""fr"")"),"B) Agir en tant qu'administrateur principal, mécène et représentant du club")</f>
        <v>B) Agir en tant qu'administrateur principal, mécène et représentant du club</v>
      </c>
      <c r="K140" s="6" t="str">
        <f>IFERROR(__xludf.DUMMYFUNCTION("GOOGLETRANSLATE(E140, ""en"", ""fr"")"),"Le président est le dirigeant de la société, responsable de sa gouvernance, de ses finances et du maintien de ses traditions et de son honneur.")</f>
        <v>Le président est le dirigeant de la société, responsable de sa gouvernance, de ses finances et du maintien de ses traditions et de son honneur.</v>
      </c>
    </row>
    <row r="141" ht="22.5" customHeight="1">
      <c r="A141" s="4">
        <v>140.0</v>
      </c>
      <c r="B141" s="5" t="s">
        <v>501</v>
      </c>
      <c r="C141" s="5" t="s">
        <v>502</v>
      </c>
      <c r="D141" s="5" t="s">
        <v>503</v>
      </c>
      <c r="E141" s="5" t="s">
        <v>504</v>
      </c>
      <c r="G141" s="6" t="str">
        <f>IFERROR(__xludf.DUMMYFUNCTION("GOOGLETRANSLATE(A141, ""en"", ""fr"")"),"140")</f>
        <v>140</v>
      </c>
      <c r="H141" s="6" t="str">
        <f>IFERROR(__xludf.DUMMYFUNCTION("GOOGLETRANSLATE(B141, ""en"", ""fr"")"),"Aux XVIIIe et XIXe siècles, quelle était la récompense courante pour un jouteur victorieux lors d'une fête locale ?")</f>
        <v>Aux XVIIIe et XIXe siècles, quelle était la récompense courante pour un jouteur victorieux lors d'une fête locale ?</v>
      </c>
      <c r="I141" s="6" t="str">
        <f>IFERROR(__xludf.DUMMYFUNCTION("GOOGLETRANSLATE(C141, ""en"", ""fr"")"),"A) Un mouton vivant, un tonneau de vin ou une écharpe décorative, B) Une importante somme de pièces d'or, C) Un titre de noblesse décerné par le roi, D) Un bateau et une lance neufs")</f>
        <v>A) Un mouton vivant, un tonneau de vin ou une écharpe décorative, B) Une importante somme de pièces d'or, C) Un titre de noblesse décerné par le roi, D) Un bateau et une lance neufs</v>
      </c>
      <c r="J141" s="6" t="str">
        <f>IFERROR(__xludf.DUMMYFUNCTION("GOOGLETRANSLATE(D141, ""en"", ""fr"")"),"A) Un mouton vivant, un tonneau de vin ou une écharpe décorative")</f>
        <v>A) Un mouton vivant, un tonneau de vin ou une écharpe décorative</v>
      </c>
      <c r="K141" s="6" t="str">
        <f>IFERROR(__xludf.DUMMYFUNCTION("GOOGLETRANSLATE(E141, ""en"", ""fr"")"),"Avant que les gros prix en espèces ne deviennent courants, les récompenses étaient souvent pratiques et symboliques, comme du bétail, des produits agricoles ou des objets d'honneur.")</f>
        <v>Avant que les gros prix en espèces ne deviennent courants, les récompenses étaient souvent pratiques et symboliques, comme du bétail, des produits agricoles ou des objets d'honneur.</v>
      </c>
    </row>
    <row r="142" ht="22.5" customHeight="1">
      <c r="A142" s="4">
        <v>141.0</v>
      </c>
      <c r="B142" s="5" t="s">
        <v>299</v>
      </c>
      <c r="C142" s="5" t="s">
        <v>505</v>
      </c>
      <c r="D142" s="5" t="s">
        <v>506</v>
      </c>
      <c r="E142" s="5" t="s">
        <v>472</v>
      </c>
      <c r="G142" s="6" t="str">
        <f>IFERROR(__xludf.DUMMYFUNCTION("GOOGLETRANSLATE(A142, ""en"", ""fr"")"),"141")</f>
        <v>141</v>
      </c>
      <c r="H142" s="6" t="str">
        <f>IFERROR(__xludf.DUMMYFUNCTION("GOOGLETRANSLATE(B142, ""en"", ""fr"")"),"La tradition des joutes dans la ville d'Agde se distingue par quelle caractéristique unique ?")</f>
        <v>La tradition des joutes dans la ville d'Agde se distingue par quelle caractéristique unique ?</v>
      </c>
      <c r="I142" s="6" t="str">
        <f>IFERROR(__xludf.DUMMYFUNCTION("GOOGLETRANSLATE(C142, ""en"", ""fr"")"),"A) Ils utilisent des bateaux beaucoup plus petits qu'à Sète, B) Les joutes ont lieu en mer et non dans un canal, C) Ils ont une tradition réputée d'organiser des tournois nocturnes, D) Ils utilisent des épées au lieu de lances lors de leur événement princ"&amp;"ipal")</f>
        <v>A) Ils utilisent des bateaux beaucoup plus petits qu'à Sète, B) Les joutes ont lieu en mer et non dans un canal, C) Ils ont une tradition réputée d'organiser des tournois nocturnes, D) Ils utilisent des épées au lieu de lances lors de leur événement principal</v>
      </c>
      <c r="J142" s="6" t="str">
        <f>IFERROR(__xludf.DUMMYFUNCTION("GOOGLETRANSLATE(D142, ""en"", ""fr"")"),"C) Ils ont une tradition réputée d'organiser des tournois la nuit.")</f>
        <v>C) Ils ont une tradition réputée d'organiser des tournois la nuit.</v>
      </c>
      <c r="K142" s="6" t="str">
        <f>IFERROR(__xludf.DUMMYFUNCTION("GOOGLETRANSLATE(E142, ""en"", ""fr"")"),"La ville d'Agde, près de Sète, est réputée pour ses spectaculaires tournois de joutes nocturnes, sous de brillants projecteurs.")</f>
        <v>La ville d'Agde, près de Sète, est réputée pour ses spectaculaires tournois de joutes nocturnes, sous de brillants projecteurs.</v>
      </c>
    </row>
    <row r="143" ht="22.5" customHeight="1">
      <c r="A143" s="4">
        <v>142.0</v>
      </c>
      <c r="B143" s="5" t="s">
        <v>507</v>
      </c>
      <c r="C143" s="5" t="s">
        <v>508</v>
      </c>
      <c r="D143" s="5" t="s">
        <v>509</v>
      </c>
      <c r="E143" s="5" t="s">
        <v>510</v>
      </c>
      <c r="G143" s="6" t="str">
        <f>IFERROR(__xludf.DUMMYFUNCTION("GOOGLETRANSLATE(A143, ""en"", ""fr"")"),"142")</f>
        <v>142</v>
      </c>
      <c r="H143" s="6" t="str">
        <f>IFERROR(__xludf.DUMMYFUNCTION("GOOGLETRANSLATE(B143, ""en"", ""fr"")"),"Quelle est la signification historique du fait que les jouteurs soient presque exclusivement issus de milieux ouvriers (pêcheurs, dockers) ?")</f>
        <v>Quelle est la signification historique du fait que les jouteurs soient presque exclusivement issus de milieux ouvriers (pêcheurs, dockers) ?</v>
      </c>
      <c r="I143" s="6" t="str">
        <f>IFERROR(__xludf.DUMMYFUNCTION("GOOGLETRANSLATE(C143, ""en"", ""fr"")"),"A) Cela montre que ce sport était pour eux un moyen de protester contre la noblesse. B) Cela reflète les origines de ce sport dans les compétences pratiques et la vie sociale des communautés maritimes. C) La noblesse considérait ce sport comme indigne d'e"&amp;"lle. D) Seuls les hommes de la classe ouvrière pouvaient y participer.")</f>
        <v>A) Cela montre que ce sport était pour eux un moyen de protester contre la noblesse. B) Cela reflète les origines de ce sport dans les compétences pratiques et la vie sociale des communautés maritimes. C) La noblesse considérait ce sport comme indigne d'elle. D) Seuls les hommes de la classe ouvrière pouvaient y participer.</v>
      </c>
      <c r="J143" s="6" t="str">
        <f>IFERROR(__xludf.DUMMYFUNCTION("GOOGLETRANSLATE(D143, ""en"", ""fr"")"),"B) Elle reflète les origines de ce sport dans les compétences pratiques et la vie sociale des communautés maritimes.")</f>
        <v>B) Elle reflète les origines de ce sport dans les compétences pratiques et la vie sociale des communautés maritimes.</v>
      </c>
      <c r="K143" s="6" t="str">
        <f>IFERROR(__xludf.DUMMYFUNCTION("GOOGLETRANSLATE(E143, ""en"", ""fr"")"),"Ce sport est une expression directe de la culture des travailleurs de ces villes portuaires et fluviales.")</f>
        <v>Ce sport est une expression directe de la culture des travailleurs de ces villes portuaires et fluviales.</v>
      </c>
    </row>
    <row r="144" ht="22.5" customHeight="1">
      <c r="A144" s="4">
        <v>143.0</v>
      </c>
      <c r="B144" s="5" t="s">
        <v>511</v>
      </c>
      <c r="C144" s="5" t="s">
        <v>512</v>
      </c>
      <c r="D144" s="5" t="s">
        <v>513</v>
      </c>
      <c r="E144" s="5" t="s">
        <v>514</v>
      </c>
      <c r="G144" s="6" t="str">
        <f>IFERROR(__xludf.DUMMYFUNCTION("GOOGLETRANSLATE(A144, ""en"", ""fr"")"),"143")</f>
        <v>143</v>
      </c>
      <c r="H144" s="6" t="str">
        <f>IFERROR(__xludf.DUMMYFUNCTION("GOOGLETRANSLATE(B144, ""en"", ""fr"")"),"Qu'est-ce qu'un « terrassement » ?")</f>
        <v>Qu'est-ce qu'un « terrassement » ?</v>
      </c>
      <c r="I144" s="6" t="str">
        <f>IFERROR(__xludf.DUMMYFUNCTION("GOOGLETRANSLATE(C144, ""en"", ""fr"")"),"A) Le nom du bateau, B) L'action de tomber à l'eau, C) L'action de faire tomber l'adversaire de la barque, D) Un type de lance")</f>
        <v>A) Le nom du bateau, B) L'action de tomber à l'eau, C) L'action de faire tomber l'adversaire de la barque, D) Un type de lance</v>
      </c>
      <c r="J144" s="6" t="str">
        <f>IFERROR(__xludf.DUMMYFUNCTION("GOOGLETRANSLATE(D144, ""en"", ""fr"")"),"C) L'action de faire tomber l'adversaire de la pirogue")</f>
        <v>C) L'action de faire tomber l'adversaire de la pirogue</v>
      </c>
      <c r="K144" s="6" t="str">
        <f>IFERROR(__xludf.DUMMYFUNCTION("GOOGLETRANSLATE(E144, ""en"", ""fr"")"),"Il s'agit d'un terme technique utilisé dans ce sport pour désigner l'action réussie de désarçonner son adversaire à l'aide de la lance.")</f>
        <v>Il s'agit d'un terme technique utilisé dans ce sport pour désigner l'action réussie de désarçonner son adversaire à l'aide de la lance.</v>
      </c>
    </row>
    <row r="145" ht="22.5" customHeight="1">
      <c r="A145" s="4">
        <v>144.0</v>
      </c>
      <c r="B145" s="5" t="s">
        <v>331</v>
      </c>
      <c r="C145" s="5" t="s">
        <v>332</v>
      </c>
      <c r="D145" s="5" t="s">
        <v>333</v>
      </c>
      <c r="E145" s="5" t="s">
        <v>334</v>
      </c>
      <c r="G145" s="6" t="str">
        <f>IFERROR(__xludf.DUMMYFUNCTION("GOOGLETRANSLATE(A145, ""en"", ""fr"")"),"144")</f>
        <v>144</v>
      </c>
      <c r="H145" s="6" t="str">
        <f>IFERROR(__xludf.DUMMYFUNCTION("GOOGLETRANSLATE(B145, ""en"", ""fr"")"),"Quel célèbre roman français du XIXe siècle décrit une scène de joutes nautiques sur la Seine ?")</f>
        <v>Quel célèbre roman français du XIXe siècle décrit une scène de joutes nautiques sur la Seine ?</v>
      </c>
      <c r="I145" s="6" t="str">
        <f>IFERROR(__xludf.DUMMYFUNCTION("GOOGLETRANSLATE(C145, ""en"", ""fr"")"),"A) Les Misérables de Victor Hugo, B) Le Comte de Monte-Cristo d'Alexandre Dumas, C) Madame Bovary de Gustave Flaubert, D) L'Assommoir d'Émile Zola")</f>
        <v>A) Les Misérables de Victor Hugo, B) Le Comte de Monte-Cristo d'Alexandre Dumas, C) Madame Bovary de Gustave Flaubert, D) L'Assommoir d'Émile Zola</v>
      </c>
      <c r="J145" s="6" t="str">
        <f>IFERROR(__xludf.DUMMYFUNCTION("GOOGLETRANSLATE(D145, ""en"", ""fr"")"),"D) L'Assommoir d'Émile Zola")</f>
        <v>D) L'Assommoir d'Émile Zola</v>
      </c>
      <c r="K145" s="6" t="str">
        <f>IFERROR(__xludf.DUMMYFUNCTION("GOOGLETRANSLATE(E145, ""en"", ""fr"")"),"Le roman de Zola contient une description saisissante d'une fête ouvrière parisienne où se déroule un tournoi de joutes nautiques.")</f>
        <v>Le roman de Zola contient une description saisissante d'une fête ouvrière parisienne où se déroule un tournoi de joutes nautiques.</v>
      </c>
    </row>
    <row r="146" ht="22.5" customHeight="1">
      <c r="A146" s="4">
        <v>145.0</v>
      </c>
      <c r="B146" s="5" t="s">
        <v>205</v>
      </c>
      <c r="C146" s="5" t="s">
        <v>515</v>
      </c>
      <c r="D146" s="5" t="s">
        <v>516</v>
      </c>
      <c r="E146" s="5" t="s">
        <v>517</v>
      </c>
      <c r="G146" s="6" t="str">
        <f>IFERROR(__xludf.DUMMYFUNCTION("GOOGLETRANSLATE(A146, ""en"", ""fr"")"),"145")</f>
        <v>145</v>
      </c>
      <c r="H146" s="6" t="str">
        <f>IFERROR(__xludf.DUMMYFUNCTION("GOOGLETRANSLATE(B146, ""en"", ""fr"")"),"Quelle est la raison historique de la forte tradition des « familles de jouteurs » à Sète ?")</f>
        <v>Quelle est la raison historique de la forte tradition des « familles de jouteurs » à Sète ?</v>
      </c>
      <c r="I146" s="6" t="str">
        <f>IFERROR(__xludf.DUMMYFUNCTION("GOOGLETRANSLATE(C146, ""en"", ""fr"")"),"A) Il est obligatoire d'appartenir à une telle famille pour participer. B) Les compétences et les traditions se transmettaient directement de père en fils depuis des générations. C) Ces familles étaient les plus riches de la ville. D) Ces familles étaient"&amp;" les seules autorisées à posséder des bateaux.")</f>
        <v>A) Il est obligatoire d'appartenir à une telle famille pour participer. B) Les compétences et les traditions se transmettaient directement de père en fils depuis des générations. C) Ces familles étaient les plus riches de la ville. D) Ces familles étaient les seules autorisées à posséder des bateaux.</v>
      </c>
      <c r="J146" s="6" t="str">
        <f>IFERROR(__xludf.DUMMYFUNCTION("GOOGLETRANSLATE(D146, ""en"", ""fr"")"),"B) Les savoir-faire et les traditions se transmettaient directement de père en fils depuis des générations.")</f>
        <v>B) Les savoir-faire et les traditions se transmettaient directement de père en fils depuis des générations.</v>
      </c>
      <c r="K146" s="6" t="str">
        <f>IFERROR(__xludf.DUMMYFUNCTION("GOOGLETRANSLATE(E146, ""en"", ""fr"")"),"Pendant des siècles, l'art des joutes était une affaire de famille, où le savoir, la passion et l'honneur du voisinage se transmettaient de génération en génération.")</f>
        <v>Pendant des siècles, l'art des joutes était une affaire de famille, où le savoir, la passion et l'honneur du voisinage se transmettaient de génération en génération.</v>
      </c>
    </row>
    <row r="147" ht="22.5" customHeight="1">
      <c r="A147" s="4">
        <v>146.0</v>
      </c>
      <c r="B147" s="5" t="s">
        <v>518</v>
      </c>
      <c r="C147" s="5" t="s">
        <v>519</v>
      </c>
      <c r="D147" s="5" t="s">
        <v>520</v>
      </c>
      <c r="E147" s="5" t="s">
        <v>521</v>
      </c>
      <c r="G147" s="6" t="str">
        <f>IFERROR(__xludf.DUMMYFUNCTION("GOOGLETRANSLATE(A147, ""en"", ""fr"")"),"146")</f>
        <v>146</v>
      </c>
      <c r="H147" s="6" t="str">
        <f>IFERROR(__xludf.DUMMYFUNCTION("GOOGLETRANSLATE(B147, ""en"", ""fr"")"),"En quoi la « méthode parisienne » de joutes diffère-t-elle le plus des méthodes du sud de la France ?")</f>
        <v>En quoi la « méthode parisienne » de joutes diffère-t-elle le plus des méthodes du sud de la France ?</v>
      </c>
      <c r="I147" s="6" t="str">
        <f>IFERROR(__xludf.DUMMYFUNCTION("GOOGLETRANSLATE(C147, ""en"", ""fr"")"),"A) Il se joue sur une rivière, B) Les jouteurs sont sur des plateformes fixes et tirés par un char coulissant, et non sur des bateaux en mouvement, C) Il utilise de très longues lances, D) C'est la méthode la plus populaire")</f>
        <v>A) Il se joue sur une rivière, B) Les jouteurs sont sur des plateformes fixes et tirés par un char coulissant, et non sur des bateaux en mouvement, C) Il utilise de très longues lances, D) C'est la méthode la plus populaire</v>
      </c>
      <c r="J147" s="6" t="str">
        <f>IFERROR(__xludf.DUMMYFUNCTION("GOOGLETRANSLATE(D147, ""en"", ""fr"")"),"B) Les jouteurs se trouvent sur des plateformes fixes et sont tirés par un char coulissant, et non sur des bateaux en mouvement.")</f>
        <v>B) Les jouteurs se trouvent sur des plateformes fixes et sont tirés par un char coulissant, et non sur des bateaux en mouvement.</v>
      </c>
      <c r="K147" s="6" t="str">
        <f>IFERROR(__xludf.DUMMYFUNCTION("GOOGLETRANSLATE(E147, ""en"", ""fr"")"),"Cette méthode unique, pratiquée sur les canaux de Paris et de ses environs, est très différente des styles de navigation sur bateaux de Sète et de Lyon.")</f>
        <v>Cette méthode unique, pratiquée sur les canaux de Paris et de ses environs, est très différente des styles de navigation sur bateaux de Sète et de Lyon.</v>
      </c>
    </row>
    <row r="148" ht="22.5" customHeight="1">
      <c r="A148" s="4">
        <v>147.0</v>
      </c>
      <c r="B148" s="5" t="s">
        <v>291</v>
      </c>
      <c r="C148" s="5" t="s">
        <v>292</v>
      </c>
      <c r="D148" s="5" t="s">
        <v>293</v>
      </c>
      <c r="E148" s="5" t="s">
        <v>522</v>
      </c>
      <c r="G148" s="6" t="str">
        <f>IFERROR(__xludf.DUMMYFUNCTION("GOOGLETRANSLATE(A148, ""en"", ""fr"")"),"147")</f>
        <v>147</v>
      </c>
      <c r="H148" s="6" t="str">
        <f>IFERROR(__xludf.DUMMYFUNCTION("GOOGLETRANSLATE(B148, ""en"", ""fr"")"),"Un jouteur tombe à l'eau. Quelle est l'action immédiate des plongeurs ?")</f>
        <v>Un jouteur tombe à l'eau. Quelle est l'action immédiate des plongeurs ?</v>
      </c>
      <c r="I148" s="6" t="str">
        <f>IFERROR(__xludf.DUMMYFUNCTION("GOOGLETRANSLATE(C148, ""en"", ""fr"")"),"A) Déclarer le vainqueur, B) Aider le jouteur à sortir de l'eau en toute sécurité et à récupérer son équipement, C) Secourir l'adversaire, D) Réparer le bateau")</f>
        <v>A) Déclarer le vainqueur, B) Aider le jouteur à sortir de l'eau en toute sécurité et à récupérer son équipement, C) Secourir l'adversaire, D) Réparer le bateau</v>
      </c>
      <c r="J148" s="6" t="str">
        <f>IFERROR(__xludf.DUMMYFUNCTION("GOOGLETRANSLATE(D148, ""en"", ""fr"")"),"B) Aider le jouteur à sortir de l'eau en toute sécurité et à récupérer son équipement")</f>
        <v>B) Aider le jouteur à sortir de l'eau en toute sécurité et à récupérer son équipement</v>
      </c>
      <c r="K148" s="6" t="str">
        <f>IFERROR(__xludf.DUMMYFUNCTION("GOOGLETRANSLATE(E148, ""en"", ""fr"")"),"Ce sont les sauveteurs officiels qui se trouvent dans l'eau pour assurer la sécurité immédiate de tout jouteur qui tomberait et pour récupérer sa lance et son bouclier.")</f>
        <v>Ce sont les sauveteurs officiels qui se trouvent dans l'eau pour assurer la sécurité immédiate de tout jouteur qui tomberait et pour récupérer sa lance et son bouclier.</v>
      </c>
    </row>
    <row r="149" ht="22.5" customHeight="1">
      <c r="A149" s="4">
        <v>148.0</v>
      </c>
      <c r="B149" s="5" t="s">
        <v>523</v>
      </c>
      <c r="C149" s="5" t="s">
        <v>264</v>
      </c>
      <c r="D149" s="5" t="s">
        <v>265</v>
      </c>
      <c r="E149" s="5" t="s">
        <v>457</v>
      </c>
      <c r="G149" s="6" t="str">
        <f>IFERROR(__xludf.DUMMYFUNCTION("GOOGLETRANSLATE(A149, ""en"", ""fr"")"),"148")</f>
        <v>148</v>
      </c>
      <c r="H149" s="6" t="str">
        <f>IFERROR(__xludf.DUMMYFUNCTION("GOOGLETRANSLATE(B149, ""en"", ""fr"")"),"Historiquement, les sociétés de joutes en France sont structurées comme quel type d'organisation ?")</f>
        <v>Historiquement, les sociétés de joutes en France sont structurées comme quel type d'organisation ?</v>
      </c>
      <c r="I149" s="6" t="str">
        <f>IFERROR(__xludf.DUMMYFUNCTION("GOOGLETRANSLATE(C149, ""en"", ""fr"")"),"A) Un club sportif moderne, B) Une guilde professionnelle, C) Un parti politique, D) Un groupe de musique")</f>
        <v>A) Un club sportif moderne, B) Une guilde professionnelle, C) Un parti politique, D) Un groupe de musique</v>
      </c>
      <c r="J149" s="6" t="str">
        <f>IFERROR(__xludf.DUMMYFUNCTION("GOOGLETRANSLATE(D149, ""en"", ""fr"")"),"B) Une guilde professionnelle")</f>
        <v>B) Une guilde professionnelle</v>
      </c>
      <c r="K149" s="6" t="str">
        <f>IFERROR(__xludf.DUMMYFUNCTION("GOOGLETRANSLATE(E149, ""en"", ""fr"")"),"Avec leurs hiérarchies strictes, leurs fonctions sociales et leur spécialisation dans une compétence particulière, ces sociétés puisent leurs racines dans le système des guildes médiévales de bateliers et de marins.")</f>
        <v>Avec leurs hiérarchies strictes, leurs fonctions sociales et leur spécialisation dans une compétence particulière, ces sociétés puisent leurs racines dans le système des guildes médiévales de bateliers et de marins.</v>
      </c>
    </row>
    <row r="150" ht="22.5" customHeight="1">
      <c r="A150" s="4">
        <v>149.0</v>
      </c>
      <c r="B150" s="5" t="s">
        <v>498</v>
      </c>
      <c r="C150" s="5" t="s">
        <v>226</v>
      </c>
      <c r="D150" s="5" t="s">
        <v>227</v>
      </c>
      <c r="E150" s="5" t="s">
        <v>524</v>
      </c>
      <c r="G150" s="6" t="str">
        <f>IFERROR(__xludf.DUMMYFUNCTION("GOOGLETRANSLATE(A150, ""en"", ""fr"")"),"149")</f>
        <v>149</v>
      </c>
      <c r="H150" s="6" t="str">
        <f>IFERROR(__xludf.DUMMYFUNCTION("GOOGLETRANSLATE(B150, ""en"", ""fr"")"),"Quel est le rôle principal du président d'une société de joutes ?")</f>
        <v>Quel est le rôle principal du président d'une société de joutes ?</v>
      </c>
      <c r="I150" s="6" t="str">
        <f>IFERROR(__xludf.DUMMYFUNCTION("GOOGLETRANSLATE(C150, ""en"", ""fr"")"),"A) Être le meilleur jouteur, B) Agir en tant qu'administrateur principal, mécène et représentant du club, C) Être l'arbitre principal, D) Construire les bateaux")</f>
        <v>A) Être le meilleur jouteur, B) Agir en tant qu'administrateur principal, mécène et représentant du club, C) Être l'arbitre principal, D) Construire les bateaux</v>
      </c>
      <c r="J150" s="6" t="str">
        <f>IFERROR(__xludf.DUMMYFUNCTION("GOOGLETRANSLATE(D150, ""en"", ""fr"")"),"B) Agir en tant qu'administrateur principal, mécène et représentant du club")</f>
        <v>B) Agir en tant qu'administrateur principal, mécène et représentant du club</v>
      </c>
      <c r="K150" s="6" t="str">
        <f>IFERROR(__xludf.DUMMYFUNCTION("GOOGLETRANSLATE(E150, ""en"", ""fr"")"),"Le président est le dirigeant de la société, responsable de sa gouvernance, de ses finances et du respect de ses traditions.")</f>
        <v>Le président est le dirigeant de la société, responsable de sa gouvernance, de ses finances et du respect de ses traditions.</v>
      </c>
    </row>
    <row r="151" ht="22.5" customHeight="1">
      <c r="A151" s="4">
        <v>150.0</v>
      </c>
      <c r="B151" s="5" t="s">
        <v>402</v>
      </c>
      <c r="C151" s="5" t="s">
        <v>403</v>
      </c>
      <c r="D151" s="5" t="s">
        <v>404</v>
      </c>
      <c r="E151" s="5" t="s">
        <v>405</v>
      </c>
      <c r="G151" s="6" t="str">
        <f>IFERROR(__xludf.DUMMYFUNCTION("GOOGLETRANSLATE(A151, ""en"", ""fr"")"),"150")</f>
        <v>150</v>
      </c>
      <c r="H151" s="6" t="str">
        <f>IFERROR(__xludf.DUMMYFUNCTION("GOOGLETRANSLATE(B151, ""en"", ""fr"")"),"Quel est le symbole ultime d'un jouteur champion à Sète ?")</f>
        <v>Quel est le symbole ultime d'un jouteur champion à Sète ?</v>
      </c>
      <c r="I151" s="6" t="str">
        <f>IFERROR(__xludf.DUMMYFUNCTION("GOOGLETRANSLATE(C151, ""en"", ""fr"")"),"A) Un prix en espèces important, B) Leur nom inscrit au tableau d'honneur des anciens vainqueurs, C) Un bateau neuf, D) Une lance en or")</f>
        <v>A) Un prix en espèces important, B) Leur nom inscrit au tableau d'honneur des anciens vainqueurs, C) Un bateau neuf, D) Une lance en or</v>
      </c>
      <c r="J151" s="6" t="str">
        <f>IFERROR(__xludf.DUMMYFUNCTION("GOOGLETRANSLATE(D151, ""en"", ""fr"")"),"B) Leur nom est ajouté au « Tableau d'honneur » des anciens lauréats")</f>
        <v>B) Leur nom est ajouté au « Tableau d'honneur » des anciens lauréats</v>
      </c>
      <c r="K151" s="6" t="str">
        <f>IFERROR(__xludf.DUMMYFUNCTION("GOOGLETRANSLATE(E151, ""en"", ""fr"")"),"L'immortalité dans ce sport est atteinte lorsque le nom d'un champion est inscrit sur la liste officielle des vainqueurs du Festival de Saint-Louis.")</f>
        <v>L'immortalité dans ce sport est atteinte lorsque le nom d'un champion est inscrit sur la liste officielle des vainqueurs du Festival de Saint-Louis.</v>
      </c>
    </row>
  </sheetData>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5" width="37.63"/>
    <col customWidth="1" min="7" max="7" width="14.13"/>
    <col customWidth="1" min="8" max="8" width="37.63"/>
    <col customWidth="1" min="9" max="9" width="34.13"/>
    <col customWidth="1" min="11" max="11" width="37.63"/>
  </cols>
  <sheetData>
    <row r="1" ht="22.5" customHeight="1">
      <c r="A1" s="1" t="s">
        <v>0</v>
      </c>
      <c r="B1" s="2" t="s">
        <v>1</v>
      </c>
      <c r="C1" s="2" t="s">
        <v>2</v>
      </c>
      <c r="D1" s="2" t="s">
        <v>3</v>
      </c>
      <c r="E1" s="2" t="s">
        <v>4</v>
      </c>
      <c r="G1" s="3" t="s">
        <v>5</v>
      </c>
      <c r="H1" s="3" t="s">
        <v>6</v>
      </c>
      <c r="I1" s="3" t="s">
        <v>7</v>
      </c>
      <c r="J1" s="3" t="s">
        <v>8</v>
      </c>
      <c r="K1" s="3" t="s">
        <v>4</v>
      </c>
    </row>
    <row r="2" ht="22.5" customHeight="1">
      <c r="A2" s="4">
        <v>1.0</v>
      </c>
      <c r="B2" s="5" t="s">
        <v>525</v>
      </c>
      <c r="C2" s="5" t="s">
        <v>526</v>
      </c>
      <c r="D2" s="5" t="s">
        <v>527</v>
      </c>
      <c r="E2" s="5" t="s">
        <v>528</v>
      </c>
      <c r="G2" s="6" t="str">
        <f>IFERROR(__xludf.DUMMYFUNCTION("GOOGLETRANSLATE(A2, ""en"", ""fr"")"),"1")</f>
        <v>1</v>
      </c>
      <c r="H2" s="6" t="str">
        <f>IFERROR(__xludf.DUMMYFUNCTION("GOOGLETRANSLATE(B2, ""en"", ""fr"")"),"Le sport de la balle au tambourin est considéré comme un descendant direct de quel jeu européen beaucoup plus ancien ?")</f>
        <v>Le sport de la balle au tambourin est considéré comme un descendant direct de quel jeu européen beaucoup plus ancien ?</v>
      </c>
      <c r="I2" s="6" t="str">
        <f>IFERROR(__xludf.DUMMYFUNCTION("GOOGLETRANSLATE(C2, ""en"", ""fr"")"),"A) Tennis, B) Sphaerista, C) Jeu de Paume (Real Tennis), D) Volleyball")</f>
        <v>A) Tennis, B) Sphaerista, C) Jeu de Paume (Real Tennis), D) Volleyball</v>
      </c>
      <c r="J2" s="6" t="str">
        <f>IFERROR(__xludf.DUMMYFUNCTION("GOOGLETRANSLATE(D2, ""en"", ""fr"")"),"C) Jeu de Paume (Real Tennis)")</f>
        <v>C) Jeu de Paume (Real Tennis)</v>
      </c>
      <c r="K2" s="6" t="str">
        <f>IFERROR(__xludf.DUMMYFUNCTION("GOOGLETRANSLATE(E2, ""en"", ""fr"")"),"Le tambourin est issu du jeu de Paume, les joueurs abandonnant progressivement les raquettes au profit d'autres instruments.")</f>
        <v>Le tambourin est issu du jeu de Paume, les joueurs abandonnant progressivement les raquettes au profit d'autres instruments.</v>
      </c>
    </row>
    <row r="3" ht="22.5" customHeight="1">
      <c r="A3" s="4">
        <v>2.0</v>
      </c>
      <c r="B3" s="5" t="s">
        <v>529</v>
      </c>
      <c r="C3" s="5" t="s">
        <v>530</v>
      </c>
      <c r="D3" s="5" t="s">
        <v>531</v>
      </c>
      <c r="E3" s="5" t="s">
        <v>532</v>
      </c>
      <c r="G3" s="6" t="str">
        <f>IFERROR(__xludf.DUMMYFUNCTION("GOOGLETRANSLATE(A3, ""en"", ""fr"")"),"2")</f>
        <v>2</v>
      </c>
      <c r="H3" s="6" t="str">
        <f>IFERROR(__xludf.DUMMYFUNCTION("GOOGLETRANSLATE(B3, ""en"", ""fr"")"),"En quelle année et dans quelle ville française le premier tambourin moderne a-t-il été créé pour être utilisé dans ce sport ?")</f>
        <v>En quelle année et dans quelle ville française le premier tambourin moderne a-t-il été créé pour être utilisé dans ce sport ?</v>
      </c>
      <c r="I3" s="6" t="str">
        <f>IFERROR(__xludf.DUMMYFUNCTION("GOOGLETRANSLATE(C3, ""en"", ""fr"")"),"A) 1854 à Montpellier, B) 1861 à Mèze, C) 1870 à Pézenas, D) 1890 à Gignac")</f>
        <v>A) 1854 à Montpellier, B) 1861 à Mèze, C) 1870 à Pézenas, D) 1890 à Gignac</v>
      </c>
      <c r="J3" s="6" t="str">
        <f>IFERROR(__xludf.DUMMYFUNCTION("GOOGLETRANSLATE(D3, ""en"", ""fr"")"),"B) 1861 à Mèze")</f>
        <v>B) 1861 à Mèze</v>
      </c>
      <c r="K3" s="6" t="str">
        <f>IFERROR(__xludf.DUMMYFUNCTION("GOOGLETRANSLATE(E3, ""en"", ""fr"")"),"Le premier tambourin a été fabriqué en 1861 par un tonnelier dans la ville de Mèze, dans le département de l'Hérault.")</f>
        <v>Le premier tambourin a été fabriqué en 1861 par un tonnelier dans la ville de Mèze, dans le département de l'Hérault.</v>
      </c>
    </row>
    <row r="4" ht="22.5" customHeight="1">
      <c r="A4" s="4">
        <v>3.0</v>
      </c>
      <c r="B4" s="5" t="s">
        <v>533</v>
      </c>
      <c r="C4" s="5" t="s">
        <v>534</v>
      </c>
      <c r="D4" s="5" t="s">
        <v>535</v>
      </c>
      <c r="E4" s="5" t="s">
        <v>536</v>
      </c>
      <c r="G4" s="6" t="str">
        <f>IFERROR(__xludf.DUMMYFUNCTION("GOOGLETRANSLATE(A4, ""en"", ""fr"")"),"3")</f>
        <v>3</v>
      </c>
      <c r="H4" s="6" t="str">
        <f>IFERROR(__xludf.DUMMYFUNCTION("GOOGLETRANSLATE(B4, ""en"", ""fr"")"),"Avant l'invention du tambourin en 1861, quel instrument les joueurs utilisaient-ils pour frapper la balle ?")</f>
        <v>Avant l'invention du tambourin en 1861, quel instrument les joueurs utilisaient-ils pour frapper la balle ?</v>
      </c>
      <c r="I4" s="6" t="str">
        <f>IFERROR(__xludf.DUMMYFUNCTION("GOOGLETRANSLATE(C4, ""en"", ""fr"")"),"A) Leurs mains nues, B) Des bracelets en bois appelés brassards, C) De petites raquettes, D) Des gants rembourrés")</f>
        <v>A) Leurs mains nues, B) Des bracelets en bois appelés brassards, C) De petites raquettes, D) Des gants rembourrés</v>
      </c>
      <c r="J4" s="6" t="str">
        <f>IFERROR(__xludf.DUMMYFUNCTION("GOOGLETRANSLATE(D4, ""en"", ""fr"")"),"B) Bracelets en bois appelés brassards")</f>
        <v>B) Bracelets en bois appelés brassards</v>
      </c>
      <c r="K4" s="6" t="str">
        <f>IFERROR(__xludf.DUMMYFUNCTION("GOOGLETRANSLATE(E4, ""en"", ""fr"")"),"Le jeu a évolué, passant de l'utilisation des mains à celle des bracelets, puis à l'utilisation du tambourin pour une plus grande puissance.")</f>
        <v>Le jeu a évolué, passant de l'utilisation des mains à celle des bracelets, puis à l'utilisation du tambourin pour une plus grande puissance.</v>
      </c>
    </row>
    <row r="5" ht="22.5" customHeight="1">
      <c r="A5" s="4">
        <v>4.0</v>
      </c>
      <c r="B5" s="5" t="s">
        <v>537</v>
      </c>
      <c r="C5" s="5" t="s">
        <v>538</v>
      </c>
      <c r="D5" s="5" t="s">
        <v>539</v>
      </c>
      <c r="E5" s="5" t="s">
        <v>540</v>
      </c>
      <c r="G5" s="6" t="str">
        <f>IFERROR(__xludf.DUMMYFUNCTION("GOOGLETRANSLATE(A5, ""en"", ""fr"")"),"4")</f>
        <v>4</v>
      </c>
      <c r="H5" s="6" t="str">
        <f>IFERROR(__xludf.DUMMYFUNCTION("GOOGLETRANSLATE(B5, ""en"", ""fr"")"),"La première mention écrite de l'utilisation d'un tambourin dans un jeu de balle apparaît dans les archives de quel département ?")</f>
        <v>La première mention écrite de l'utilisation d'un tambourin dans un jeu de balle apparaît dans les archives de quel département ?</v>
      </c>
      <c r="I5" s="6" t="str">
        <f>IFERROR(__xludf.DUMMYFUNCTION("GOOGLETRANSLATE(C5, ""en"", ""fr"")"),"A) Gard, B) Bouches-du-Rhône, C) Aude, D) Hérault")</f>
        <v>A) Gard, B) Bouches-du-Rhône, C) Aude, D) Hérault</v>
      </c>
      <c r="J5" s="6" t="str">
        <f>IFERROR(__xludf.DUMMYFUNCTION("GOOGLETRANSLATE(D5, ""en"", ""fr"")"),"D) Hérault")</f>
        <v>D) Hérault</v>
      </c>
      <c r="K5" s="6" t="str">
        <f>IFERROR(__xludf.DUMMYFUNCTION("GOOGLETRANSLATE(E5, ""en"", ""fr"")"),"Un document officiel de 1864 conservé aux archives de l'Hérault fournit la première preuve écrite de ce jeu pratiqué avec des tambourins.")</f>
        <v>Un document officiel de 1864 conservé aux archives de l'Hérault fournit la première preuve écrite de ce jeu pratiqué avec des tambourins.</v>
      </c>
    </row>
    <row r="6" ht="22.5" customHeight="1">
      <c r="A6" s="4">
        <v>5.0</v>
      </c>
      <c r="B6" s="5" t="s">
        <v>541</v>
      </c>
      <c r="C6" s="5" t="s">
        <v>542</v>
      </c>
      <c r="D6" s="5" t="s">
        <v>543</v>
      </c>
      <c r="E6" s="5" t="s">
        <v>544</v>
      </c>
      <c r="G6" s="6" t="str">
        <f>IFERROR(__xludf.DUMMYFUNCTION("GOOGLETRANSLATE(A6, ""en"", ""fr"")"),"5")</f>
        <v>5</v>
      </c>
      <c r="H6" s="6" t="str">
        <f>IFERROR(__xludf.DUMMYFUNCTION("GOOGLETRANSLATE(B6, ""en"", ""fr"")"),"Quel est le nom de la version italienne de ce sport, qui a fortement influencé le jeu français au XXe siècle ?")</f>
        <v>Quel est le nom de la version italienne de ce sport, qui a fortement influencé le jeu français au XXe siècle ?</v>
      </c>
      <c r="I6" s="6" t="str">
        <f>IFERROR(__xludf.DUMMYFUNCTION("GOOGLETRANSLATE(C6, ""en"", ""fr"")"),"A) Palla, B) Tamburello, C) Calcio Storico, D) Pétanque")</f>
        <v>A) Palla, B) Tamburello, C) Calcio Storico, D) Pétanque</v>
      </c>
      <c r="J6" s="6" t="str">
        <f>IFERROR(__xludf.DUMMYFUNCTION("GOOGLETRANSLATE(D6, ""en"", ""fr"")"),"B) Tamburello")</f>
        <v>B) Tamburello</v>
      </c>
      <c r="K6" s="6" t="str">
        <f>IFERROR(__xludf.DUMMYFUNCTION("GOOGLETRANSLATE(E6, ""en"", ""fr"")"),"Le tamburello est l'équivalent italien de ce sport, qui a développé son propre ensemble de règles et une structure professionnelle.")</f>
        <v>Le tamburello est l'équivalent italien de ce sport, qui a développé son propre ensemble de règles et une structure professionnelle.</v>
      </c>
    </row>
    <row r="7" ht="22.5" customHeight="1">
      <c r="A7" s="4">
        <v>6.0</v>
      </c>
      <c r="B7" s="5" t="s">
        <v>545</v>
      </c>
      <c r="C7" s="5" t="s">
        <v>546</v>
      </c>
      <c r="D7" s="5" t="s">
        <v>547</v>
      </c>
      <c r="E7" s="5" t="s">
        <v>548</v>
      </c>
      <c r="G7" s="6" t="str">
        <f>IFERROR(__xludf.DUMMYFUNCTION("GOOGLETRANSLATE(A7, ""en"", ""fr"")"),"6")</f>
        <v>6</v>
      </c>
      <c r="H7" s="6" t="str">
        <f>IFERROR(__xludf.DUMMYFUNCTION("GOOGLETRANSLATE(B7, ""en"", ""fr"")"),"Quel pays a organisé le tout premier championnat national de ce sport en 1896 ?")</f>
        <v>Quel pays a organisé le tout premier championnat national de ce sport en 1896 ?</v>
      </c>
      <c r="I7" s="6" t="str">
        <f>IFERROR(__xludf.DUMMYFUNCTION("GOOGLETRANSLATE(C7, ""en"", ""fr"")"),"A) France, B) Espagne, C) Italie, D) Belgique")</f>
        <v>A) France, B) Espagne, C) Italie, D) Belgique</v>
      </c>
      <c r="J7" s="6" t="str">
        <f>IFERROR(__xludf.DUMMYFUNCTION("GOOGLETRANSLATE(D7, ""en"", ""fr"")"),"C) Italie")</f>
        <v>C) Italie</v>
      </c>
      <c r="K7" s="6" t="str">
        <f>IFERROR(__xludf.DUMMYFUNCTION("GOOGLETRANSLATE(E7, ""en"", ""fr"")"),"L'Italie a été la première nation à officialiser ce sport avec un championnat national, bien avant la France.")</f>
        <v>L'Italie a été la première nation à officialiser ce sport avec un championnat national, bien avant la France.</v>
      </c>
    </row>
    <row r="8" ht="22.5" customHeight="1">
      <c r="A8" s="4">
        <v>7.0</v>
      </c>
      <c r="B8" s="5" t="s">
        <v>549</v>
      </c>
      <c r="C8" s="5" t="s">
        <v>550</v>
      </c>
      <c r="D8" s="5" t="s">
        <v>551</v>
      </c>
      <c r="E8" s="5" t="s">
        <v>552</v>
      </c>
      <c r="G8" s="6" t="str">
        <f>IFERROR(__xludf.DUMMYFUNCTION("GOOGLETRANSLATE(A8, ""en"", ""fr"")"),"7")</f>
        <v>7</v>
      </c>
      <c r="H8" s="6" t="str">
        <f>IFERROR(__xludf.DUMMYFUNCTION("GOOGLETRANSLATE(B8, ""en"", ""fr"")"),"Quel journal régional français a organisé le premier grand « Championnat du Languedoc » en 1922 ?")</f>
        <v>Quel journal régional français a organisé le premier grand « Championnat du Languedoc » en 1922 ?</v>
      </c>
      <c r="I8" s="6" t="str">
        <f>IFERROR(__xludf.DUMMYFUNCTION("GOOGLETRANSLATE(C8, ""en"", ""fr"")"),"A) Le Monde, B) L'Éclair, C) Le Figaro, D) Midi Libre")</f>
        <v>A) Le Monde, B) L'Éclair, C) Le Figaro, D) Midi Libre</v>
      </c>
      <c r="J8" s="6" t="str">
        <f>IFERROR(__xludf.DUMMYFUNCTION("GOOGLETRANSLATE(D8, ""en"", ""fr"")"),"B) L'Éclair")</f>
        <v>B) L'Éclair</v>
      </c>
      <c r="K8" s="6" t="str">
        <f>IFERROR(__xludf.DUMMYFUNCTION("GOOGLETRANSLATE(E8, ""en"", ""fr"")"),"Le quotidien montpelliérain L'Éclair a joué un rôle majeur dans la promotion de ce sport durant ses premières années de compétition.")</f>
        <v>Le quotidien montpelliérain L'Éclair a joué un rôle majeur dans la promotion de ce sport durant ses premières années de compétition.</v>
      </c>
    </row>
    <row r="9" ht="22.5" customHeight="1">
      <c r="A9" s="4">
        <v>8.0</v>
      </c>
      <c r="B9" s="5" t="s">
        <v>553</v>
      </c>
      <c r="C9" s="5" t="s">
        <v>554</v>
      </c>
      <c r="D9" s="5" t="s">
        <v>555</v>
      </c>
      <c r="E9" s="5" t="s">
        <v>556</v>
      </c>
      <c r="G9" s="6" t="str">
        <f>IFERROR(__xludf.DUMMYFUNCTION("GOOGLETRANSLATE(A9, ""en"", ""fr"")"),"8")</f>
        <v>8</v>
      </c>
      <c r="H9" s="6" t="str">
        <f>IFERROR(__xludf.DUMMYFUNCTION("GOOGLETRANSLATE(B9, ""en"", ""fr"")"),"Quel tournoi annuel, organisé dans une ville française et créé en 1909, était considéré comme la compétition la plus prestigieuse des débuts de ce sport ?")</f>
        <v>Quel tournoi annuel, organisé dans une ville française et créé en 1909, était considéré comme la compétition la plus prestigieuse des débuts de ce sport ?</v>
      </c>
      <c r="I9" s="6" t="str">
        <f>IFERROR(__xludf.DUMMYFUNCTION("GOOGLETRANSLATE(C9, ""en"", ""fr"")"),"A) Mèze, B) Montpellier, C) Gignac, D) Pézenas")</f>
        <v>A) Mèze, B) Montpellier, C) Gignac, D) Pézenas</v>
      </c>
      <c r="J9" s="6" t="str">
        <f>IFERROR(__xludf.DUMMYFUNCTION("GOOGLETRANSLATE(D9, ""en"", ""fr"")"),"D) Pézenas")</f>
        <v>D) Pézenas</v>
      </c>
      <c r="K9" s="6" t="str">
        <f>IFERROR(__xludf.DUMMYFUNCTION("GOOGLETRANSLATE(E9, ""en"", ""fr"")"),"Le Concours de Pézenas annuel a été l'événement le plus prestigieux de ce sport pendant près de trois décennies.")</f>
        <v>Le Concours de Pézenas annuel a été l'événement le plus prestigieux de ce sport pendant près de trois décennies.</v>
      </c>
    </row>
    <row r="10" ht="22.5" customHeight="1">
      <c r="A10" s="4">
        <v>9.0</v>
      </c>
      <c r="B10" s="5" t="s">
        <v>557</v>
      </c>
      <c r="C10" s="5" t="s">
        <v>558</v>
      </c>
      <c r="D10" s="5" t="s">
        <v>559</v>
      </c>
      <c r="E10" s="5" t="s">
        <v>560</v>
      </c>
      <c r="G10" s="6" t="str">
        <f>IFERROR(__xludf.DUMMYFUNCTION("GOOGLETRANSLATE(A10, ""en"", ""fr"")"),"9")</f>
        <v>9</v>
      </c>
      <c r="H10" s="6" t="str">
        <f>IFERROR(__xludf.DUMMYFUNCTION("GOOGLETRANSLATE(B10, ""en"", ""fr"")"),"Quel était le nom du système de notation français traditionnel, abandonné en 1955 ?")</f>
        <v>Quel était le nom du système de notation français traditionnel, abandonné en 1955 ?</v>
      </c>
      <c r="I10" s="6" t="str">
        <f>IFERROR(__xludf.DUMMYFUNCTION("GOOGLETRANSLATE(C10, ""en"", ""fr"")"),"A) Jeu ouvert (Jeu ouvert), B) Jeu fermé (Jeu fermé), C) Le système des chasses (Le système de poursuite), D) Le point d'or (Point d'or)")</f>
        <v>A) Jeu ouvert (Jeu ouvert), B) Jeu fermé (Jeu fermé), C) Le système des chasses (Le système de poursuite), D) Le point d'or (Point d'or)</v>
      </c>
      <c r="J10" s="6" t="str">
        <f>IFERROR(__xludf.DUMMYFUNCTION("GOOGLETRANSLATE(D10, ""en"", ""fr"")"),"C) Le système des chasses")</f>
        <v>C) Le système des chasses</v>
      </c>
      <c r="K10" s="6" t="str">
        <f>IFERROR(__xludf.DUMMYFUNCTION("GOOGLETRANSLATE(E10, ""en"", ""fr"")"),"Le système complexe de chasse, hérité du Jeu de Paume, consistait à marquer des points sur le terrain qui seraient gagnés ou perdus ultérieurement.")</f>
        <v>Le système complexe de chasse, hérité du Jeu de Paume, consistait à marquer des points sur le terrain qui seraient gagnés ou perdus ultérieurement.</v>
      </c>
    </row>
    <row r="11" ht="22.5" customHeight="1">
      <c r="A11" s="4">
        <v>10.0</v>
      </c>
      <c r="B11" s="5" t="s">
        <v>561</v>
      </c>
      <c r="C11" s="5" t="s">
        <v>562</v>
      </c>
      <c r="D11" s="5" t="s">
        <v>563</v>
      </c>
      <c r="E11" s="5" t="s">
        <v>564</v>
      </c>
      <c r="G11" s="6" t="str">
        <f>IFERROR(__xludf.DUMMYFUNCTION("GOOGLETRANSLATE(A11, ""en"", ""fr"")"),"10")</f>
        <v>10</v>
      </c>
      <c r="H11" s="6" t="str">
        <f>IFERROR(__xludf.DUMMYFUNCTION("GOOGLETRANSLATE(B11, ""en"", ""fr"")"),"En quelle année a été fondée la première Fédération française du jeu de balle au tambourin ?")</f>
        <v>En quelle année a été fondée la première Fédération française du jeu de balle au tambourin ?</v>
      </c>
      <c r="I11" s="6" t="str">
        <f>IFERROR(__xludf.DUMMYFUNCTION("GOOGLETRANSLATE(C11, ""en"", ""fr"")"),"A) 1923, B) 1939, C) 1949, D) 1955")</f>
        <v>A) 1923, B) 1939, C) 1949, D) 1955</v>
      </c>
      <c r="J11" s="6" t="str">
        <f>IFERROR(__xludf.DUMMYFUNCTION("GOOGLETRANSLATE(D11, ""en"", ""fr"")"),"B) 1939")</f>
        <v>B) 1939</v>
      </c>
      <c r="K11" s="6" t="str">
        <f>IFERROR(__xludf.DUMMYFUNCTION("GOOGLETRANSLATE(E11, ""en"", ""fr"")"),"La première fédération nationale a été créée en 1939, dotant ainsi ce sport d'un organe directeur officiel.")</f>
        <v>La première fédération nationale a été créée en 1939, dotant ainsi ce sport d'un organe directeur officiel.</v>
      </c>
    </row>
    <row r="12" ht="22.5" customHeight="1">
      <c r="A12" s="4">
        <v>11.0</v>
      </c>
      <c r="B12" s="5" t="s">
        <v>565</v>
      </c>
      <c r="C12" s="5" t="s">
        <v>566</v>
      </c>
      <c r="D12" s="5" t="s">
        <v>567</v>
      </c>
      <c r="E12" s="5" t="s">
        <v>568</v>
      </c>
      <c r="G12" s="6" t="str">
        <f>IFERROR(__xludf.DUMMYFUNCTION("GOOGLETRANSLATE(A12, ""en"", ""fr"")"),"11")</f>
        <v>11</v>
      </c>
      <c r="H12" s="6" t="str">
        <f>IFERROR(__xludf.DUMMYFUNCTION("GOOGLETRANSLATE(B12, ""en"", ""fr"")"),"Quel a été l'impact principal de la Seconde Guerre mondiale sur la fédération française nouvellement formée ?")</f>
        <v>Quel a été l'impact principal de la Seconde Guerre mondiale sur la fédération française nouvellement formée ?</v>
      </c>
      <c r="I12" s="6" t="str">
        <f>IFERROR(__xludf.DUMMYFUNCTION("GOOGLETRANSLATE(C12, ""en"", ""fr"")"),"A) Sa popularité a augmenté, B) Elle a été immédiatement suspendue et est tombée en désuétude, C) Elle a fusionné avec un autre sport, D) Elle a modifié les règles du sport")</f>
        <v>A) Sa popularité a augmenté, B) Elle a été immédiatement suspendue et est tombée en désuétude, C) Elle a fusionné avec un autre sport, D) Elle a modifié les règles du sport</v>
      </c>
      <c r="J12" s="6" t="str">
        <f>IFERROR(__xludf.DUMMYFUNCTION("GOOGLETRANSLATE(D12, ""en"", ""fr"")"),"B) Elle a été immédiatement suspendue et est devenue inactive.")</f>
        <v>B) Elle a été immédiatement suspendue et est devenue inactive.</v>
      </c>
      <c r="K12" s="6" t="str">
        <f>IFERROR(__xludf.DUMMYFUNCTION("GOOGLETRANSLATE(E12, ""en"", ""fr"")"),"Le déclenchement de la guerre et l'occupation de la France ont interrompu toutes les activités officielles de la fédération, qui n'ont repris qu'après la guerre.")</f>
        <v>Le déclenchement de la guerre et l'occupation de la France ont interrompu toutes les activités officielles de la fédération, qui n'ont repris qu'après la guerre.</v>
      </c>
    </row>
    <row r="13" ht="22.5" customHeight="1">
      <c r="A13" s="4">
        <v>12.0</v>
      </c>
      <c r="B13" s="5" t="s">
        <v>569</v>
      </c>
      <c r="C13" s="5" t="s">
        <v>570</v>
      </c>
      <c r="D13" s="5" t="s">
        <v>571</v>
      </c>
      <c r="E13" s="5" t="s">
        <v>572</v>
      </c>
      <c r="G13" s="6" t="str">
        <f>IFERROR(__xludf.DUMMYFUNCTION("GOOGLETRANSLATE(A13, ""en"", ""fr"")"),"12")</f>
        <v>12</v>
      </c>
      <c r="H13" s="6" t="str">
        <f>IFERROR(__xludf.DUMMYFUNCTION("GOOGLETRANSLATE(B13, ""en"", ""fr"")"),"Quelle compétition nationale majeure a été créée en 1949 pour revitaliser le sport en France après la guerre ?")</f>
        <v>Quelle compétition nationale majeure a été créée en 1949 pour revitaliser le sport en France après la guerre ?</v>
      </c>
      <c r="I13" s="6" t="str">
        <f>IFERROR(__xludf.DUMMYFUNCTION("GOOGLETRANSLATE(C13, ""en"", ""fr"")"),"A) Roland-Garros, B) Championnat du Languedoc, C) Coupe de France, D) Classique Paris-Mèze")</f>
        <v>A) Roland-Garros, B) Championnat du Languedoc, C) Coupe de France, D) Classique Paris-Mèze</v>
      </c>
      <c r="J13" s="6" t="str">
        <f>IFERROR(__xludf.DUMMYFUNCTION("GOOGLETRANSLATE(D13, ""en"", ""fr"")"),"C) La Coupe de France")</f>
        <v>C) La Coupe de France</v>
      </c>
      <c r="K13" s="6" t="str">
        <f>IFERROR(__xludf.DUMMYFUNCTION("GOOGLETRANSLATE(E13, ""en"", ""fr"")"),"La création de la Coupe de France a été une étape clé dans la reconstruction de la structure compétitive du sport après la Seconde Guerre mondiale.")</f>
        <v>La création de la Coupe de France a été une étape clé dans la reconstruction de la structure compétitive du sport après la Seconde Guerre mondiale.</v>
      </c>
    </row>
    <row r="14" ht="22.5" customHeight="1">
      <c r="A14" s="4">
        <v>13.0</v>
      </c>
      <c r="B14" s="5" t="s">
        <v>573</v>
      </c>
      <c r="C14" s="5" t="s">
        <v>574</v>
      </c>
      <c r="D14" s="5" t="s">
        <v>575</v>
      </c>
      <c r="E14" s="5" t="s">
        <v>576</v>
      </c>
      <c r="G14" s="6" t="str">
        <f>IFERROR(__xludf.DUMMYFUNCTION("GOOGLETRANSLATE(A14, ""en"", ""fr"")"),"13")</f>
        <v>13</v>
      </c>
      <c r="H14" s="6" t="str">
        <f>IFERROR(__xludf.DUMMYFUNCTION("GOOGLETRANSLATE(B14, ""en"", ""fr"")"),"En 1955, les joueurs français prirent une décision historique : abandonner leurs règles traditionnelles. Quelles règles adoptèrent-ils ?")</f>
        <v>En 1955, les joueurs français prirent une décision historique : abandonner leurs règles traditionnelles. Quelles règles adoptèrent-ils ?</v>
      </c>
      <c r="I14" s="6" t="str">
        <f>IFERROR(__xludf.DUMMYFUNCTION("GOOGLETRANSLATE(C14, ""en"", ""fr"")"),"A) Les règles du tennis, B) Les règles du jeu ouvert italien, C) Un nouveau système avec filet, D) Les règles du badminton")</f>
        <v>A) Les règles du tennis, B) Les règles du jeu ouvert italien, C) Un nouveau système avec filet, D) Les règles du badminton</v>
      </c>
      <c r="J14" s="6" t="str">
        <f>IFERROR(__xludf.DUMMYFUNCTION("GOOGLETRANSLATE(D14, ""en"", ""fr"")"),"B) Les règles du jeu ouvert italien")</f>
        <v>B) Les règles du jeu ouvert italien</v>
      </c>
      <c r="K14" s="6" t="str">
        <f>IFERROR(__xludf.DUMMYFUNCTION("GOOGLETRANSLATE(E14, ""en"", ""fr"")"),"Pour faciliter les matchs internationaux, les clubs français ont voté pour adopter le système de points italien, plus simple et plus dynamique.")</f>
        <v>Pour faciliter les matchs internationaux, les clubs français ont voté pour adopter le système de points italien, plus simple et plus dynamique.</v>
      </c>
    </row>
    <row r="15" ht="22.5" customHeight="1">
      <c r="A15" s="4">
        <v>14.0</v>
      </c>
      <c r="B15" s="5" t="s">
        <v>577</v>
      </c>
      <c r="C15" s="5" t="s">
        <v>578</v>
      </c>
      <c r="D15" s="5" t="s">
        <v>579</v>
      </c>
      <c r="E15" s="5" t="s">
        <v>580</v>
      </c>
      <c r="G15" s="6" t="str">
        <f>IFERROR(__xludf.DUMMYFUNCTION("GOOGLETRANSLATE(A15, ""en"", ""fr"")"),"14")</f>
        <v>14</v>
      </c>
      <c r="H15" s="6" t="str">
        <f>IFERROR(__xludf.DUMMYFUNCTION("GOOGLETRANSLATE(B15, ""en"", ""fr"")"),"En quelle année a été fondée la Fédération Internationale de Balle au Tambourin ?")</f>
        <v>En quelle année a été fondée la Fédération Internationale de Balle au Tambourin ?</v>
      </c>
      <c r="I15" s="6" t="str">
        <f>IFERROR(__xludf.DUMMYFUNCTION("GOOGLETRANSLATE(C15, ""en"", ""fr"")"),"A) 1955, B) 1968, C) 1978, D) 1988")</f>
        <v>A) 1955, B) 1968, C) 1978, D) 1988</v>
      </c>
      <c r="J15" s="6" t="str">
        <f>IFERROR(__xludf.DUMMYFUNCTION("GOOGLETRANSLATE(D15, ""en"", ""fr"")"),"D) 1988")</f>
        <v>D) 1988</v>
      </c>
      <c r="K15" s="6" t="str">
        <f>IFERROR(__xludf.DUMMYFUNCTION("GOOGLETRANSLATE(E15, ""en"", ""fr"")"),"La F.I.B.T. a été fondée en 1988 pour régir ce sport au niveau mondial et organiser des compétitions internationales.")</f>
        <v>La F.I.B.T. a été fondée en 1988 pour régir ce sport au niveau mondial et organiser des compétitions internationales.</v>
      </c>
    </row>
    <row r="16" ht="22.5" customHeight="1">
      <c r="A16" s="4">
        <v>15.0</v>
      </c>
      <c r="B16" s="5" t="s">
        <v>581</v>
      </c>
      <c r="C16" s="5" t="s">
        <v>582</v>
      </c>
      <c r="D16" s="5" t="s">
        <v>583</v>
      </c>
      <c r="E16" s="5" t="s">
        <v>584</v>
      </c>
      <c r="G16" s="6" t="str">
        <f>IFERROR(__xludf.DUMMYFUNCTION("GOOGLETRANSLATE(A16, ""en"", ""fr"")"),"15")</f>
        <v>15</v>
      </c>
      <c r="H16" s="6" t="str">
        <f>IFERROR(__xludf.DUMMYFUNCTION("GOOGLETRANSLATE(B16, ""en"", ""fr"")"),"Dans quelle ville les premiers matchs internationaux officiels France-Italie ont-ils eu lieu en 1955 ?")</f>
        <v>Dans quelle ville les premiers matchs internationaux officiels France-Italie ont-ils eu lieu en 1955 ?</v>
      </c>
      <c r="I16" s="6" t="str">
        <f>IFERROR(__xludf.DUMMYFUNCTION("GOOGLETRANSLATE(C16, ""en"", ""fr"")"),"A) Rome, B) Paris, C) Nice, D) Montpellier")</f>
        <v>A) Rome, B) Paris, C) Nice, D) Montpellier</v>
      </c>
      <c r="J16" s="6" t="str">
        <f>IFERROR(__xludf.DUMMYFUNCTION("GOOGLETRANSLATE(D16, ""en"", ""fr"")"),"D) Montpellier")</f>
        <v>D) Montpellier</v>
      </c>
      <c r="K16" s="6" t="str">
        <f>IFERROR(__xludf.DUMMYFUNCTION("GOOGLETRANSLATE(E16, ""en"", ""fr"")"),"Les premières rencontres historiques entre les deux nations de tambourin ont eu lieu à Montpellier, haut lieu français de ce sport.")</f>
        <v>Les premières rencontres historiques entre les deux nations de tambourin ont eu lieu à Montpellier, haut lieu français de ce sport.</v>
      </c>
    </row>
    <row r="17" ht="22.5" customHeight="1">
      <c r="A17" s="4">
        <v>16.0</v>
      </c>
      <c r="B17" s="5" t="s">
        <v>585</v>
      </c>
      <c r="C17" s="5" t="s">
        <v>586</v>
      </c>
      <c r="D17" s="5" t="s">
        <v>587</v>
      </c>
      <c r="E17" s="5" t="s">
        <v>588</v>
      </c>
      <c r="G17" s="6" t="str">
        <f>IFERROR(__xludf.DUMMYFUNCTION("GOOGLETRANSLATE(A17, ""en"", ""fr"")"),"16")</f>
        <v>16</v>
      </c>
      <c r="H17" s="6" t="str">
        <f>IFERROR(__xludf.DUMMYFUNCTION("GOOGLETRANSLATE(B17, ""en"", ""fr"")"),"À quel événement sportif international majeur le tambourin a-t-il été présenté comme sport de démonstration en 1993 ?")</f>
        <v>À quel événement sportif international majeur le tambourin a-t-il été présenté comme sport de démonstration en 1993 ?</v>
      </c>
      <c r="I17" s="6" t="str">
        <f>IFERROR(__xludf.DUMMYFUNCTION("GOOGLETRANSLATE(C17, ""en"", ""fr"")"),"A) Les Jeux olympiques, B) La Coupe du monde de la FIFA, C) Les Jeux méditerranéens, D) Les Jeux du Commonwealth")</f>
        <v>A) Les Jeux olympiques, B) La Coupe du monde de la FIFA, C) Les Jeux méditerranéens, D) Les Jeux du Commonwealth</v>
      </c>
      <c r="J17" s="6" t="str">
        <f>IFERROR(__xludf.DUMMYFUNCTION("GOOGLETRANSLATE(D17, ""en"", ""fr"")"),"C) Les Jeux méditerranéens")</f>
        <v>C) Les Jeux méditerranéens</v>
      </c>
      <c r="K17" s="6" t="str">
        <f>IFERROR(__xludf.DUMMYFUNCTION("GOOGLETRANSLATE(E17, ""en"", ""fr"")"),"Les Jeux méditerranéens de 1993, organisés dans la région du Languedoc, ont offert une tribune internationale majeure pour mettre en valeur ce sport.")</f>
        <v>Les Jeux méditerranéens de 1993, organisés dans la région du Languedoc, ont offert une tribune internationale majeure pour mettre en valeur ce sport.</v>
      </c>
    </row>
    <row r="18" ht="22.5" customHeight="1">
      <c r="A18" s="4">
        <v>17.0</v>
      </c>
      <c r="B18" s="5" t="s">
        <v>589</v>
      </c>
      <c r="C18" s="5" t="s">
        <v>590</v>
      </c>
      <c r="D18" s="5" t="s">
        <v>591</v>
      </c>
      <c r="E18" s="5" t="s">
        <v>592</v>
      </c>
      <c r="G18" s="6" t="str">
        <f>IFERROR(__xludf.DUMMYFUNCTION("GOOGLETRANSLATE(A18, ""en"", ""fr"")"),"17")</f>
        <v>17</v>
      </c>
      <c r="H18" s="6" t="str">
        <f>IFERROR(__xludf.DUMMYFUNCTION("GOOGLETRANSLATE(B18, ""en"", ""fr"")"),"Le sport du tambourin est historiquement et culturellement le « berceau » de quel département français ?")</f>
        <v>Le sport du tambourin est historiquement et culturellement le « berceau » de quel département français ?</v>
      </c>
      <c r="I18" s="6" t="str">
        <f>IFERROR(__xludf.DUMMYFUNCTION("GOOGLETRANSLATE(C18, ""en"", ""fr"")"),"A) Gard, B) Hérault, C) Bouches-du-Rhône, D) Var")</f>
        <v>A) Gard, B) Hérault, C) Bouches-du-Rhône, D) Var</v>
      </c>
      <c r="J18" s="6" t="str">
        <f>IFERROR(__xludf.DUMMYFUNCTION("GOOGLETRANSLATE(D18, ""en"", ""fr"")"),"B) Hérault")</f>
        <v>B) Hérault</v>
      </c>
      <c r="K18" s="6" t="str">
        <f>IFERROR(__xludf.DUMMYFUNCTION("GOOGLETRANSLATE(E18, ""en"", ""fr"")"),"La grande majorité des clubs et toute l'histoire du développement de ce sport sont concentrées dans le département de l'Hérault, en Languedoc.")</f>
        <v>La grande majorité des clubs et toute l'histoire du développement de ce sport sont concentrées dans le département de l'Hérault, en Languedoc.</v>
      </c>
    </row>
    <row r="19" ht="22.5" customHeight="1">
      <c r="A19" s="4">
        <v>18.0</v>
      </c>
      <c r="B19" s="5" t="s">
        <v>593</v>
      </c>
      <c r="C19" s="5" t="s">
        <v>594</v>
      </c>
      <c r="D19" s="5" t="s">
        <v>595</v>
      </c>
      <c r="E19" s="5" t="s">
        <v>596</v>
      </c>
      <c r="G19" s="6" t="str">
        <f>IFERROR(__xludf.DUMMYFUNCTION("GOOGLETRANSLATE(A19, ""en"", ""fr"")"),"18")</f>
        <v>18</v>
      </c>
      <c r="H19" s="6" t="str">
        <f>IFERROR(__xludf.DUMMYFUNCTION("GOOGLETRANSLATE(B19, ""en"", ""fr"")"),"Quelle était la principale différence entre le système français de « chasse » et le « jeu ouvert » italien ?")</f>
        <v>Quelle était la principale différence entre le système français de « chasse » et le « jeu ouvert » italien ?</v>
      </c>
      <c r="I19" s="6" t="str">
        <f>IFERROR(__xludf.DUMMYFUNCTION("GOOGLETRANSLATE(C19, ""en"", ""fr"")"),"A) Le jeu italien utilisait un filet. B) Le jeu français se jouait avec une balle plus lourde. C) Le système de « chasse » impliquait de gagner du terrain, tandis que le « jeu ouvert » utilisait un système de points directs comme au tennis. D) Le jeu ital"&amp;"ien comptait plus de joueurs.")</f>
        <v>A) Le jeu italien utilisait un filet. B) Le jeu français se jouait avec une balle plus lourde. C) Le système de « chasse » impliquait de gagner du terrain, tandis que le « jeu ouvert » utilisait un système de points directs comme au tennis. D) Le jeu italien comptait plus de joueurs.</v>
      </c>
      <c r="J19" s="6" t="str">
        <f>IFERROR(__xludf.DUMMYFUNCTION("GOOGLETRANSLATE(D19, ""en"", ""fr"")"),"C) Le système de « chasse » impliquait de gagner du territoire, tandis que le « jeu ouvert » utilisait un système de points directs comme au tennis.")</f>
        <v>C) Le système de « chasse » impliquait de gagner du territoire, tandis que le « jeu ouvert » utilisait un système de points directs comme au tennis.</v>
      </c>
      <c r="K19" s="6" t="str">
        <f>IFERROR(__xludf.DUMMYFUNCTION("GOOGLETRANSLATE(E19, ""en"", ""fr"")"),"Le jeu ouvert, avec son système de points plus simple (15-30-40), était plus rapide et plus facile à comprendre pour les spectateurs que la règle complexe de la poursuite territoriale.")</f>
        <v>Le jeu ouvert, avec son système de points plus simple (15-30-40), était plus rapide et plus facile à comprendre pour les spectateurs que la règle complexe de la poursuite territoriale.</v>
      </c>
    </row>
    <row r="20" ht="22.5" customHeight="1">
      <c r="A20" s="4">
        <v>19.0</v>
      </c>
      <c r="B20" s="5" t="s">
        <v>597</v>
      </c>
      <c r="C20" s="5" t="s">
        <v>598</v>
      </c>
      <c r="D20" s="5" t="s">
        <v>599</v>
      </c>
      <c r="E20" s="5" t="s">
        <v>600</v>
      </c>
      <c r="G20" s="6" t="str">
        <f>IFERROR(__xludf.DUMMYFUNCTION("GOOGLETRANSLATE(A20, ""en"", ""fr"")"),"19")</f>
        <v>19</v>
      </c>
      <c r="H20" s="6" t="str">
        <f>IFERROR(__xludf.DUMMYFUNCTION("GOOGLETRANSLATE(B20, ""en"", ""fr"")"),"Quelle était la principale motivation des clubs français pour adopter les règles italiennes en 1955 ?")</f>
        <v>Quelle était la principale motivation des clubs français pour adopter les règles italiennes en 1955 ?</v>
      </c>
      <c r="I20" s="6" t="str">
        <f>IFERROR(__xludf.DUMMYFUNCTION("GOOGLETRANSLATE(C20, ""en"", ""fr"")"),"A) Les règles italiennes étaient considérées comme plus sûres. B) Pour permettre de jouer des matchs internationaux contre l'Italie. C) Le gouvernement français a imposé le changement. D) Les joueurs préféraient les règles italiennes.")</f>
        <v>A) Les règles italiennes étaient considérées comme plus sûres. B) Pour permettre de jouer des matchs internationaux contre l'Italie. C) Le gouvernement français a imposé le changement. D) Les joueurs préféraient les règles italiennes.</v>
      </c>
      <c r="J20" s="6" t="str">
        <f>IFERROR(__xludf.DUMMYFUNCTION("GOOGLETRANSLATE(D20, ""en"", ""fr"")"),"B) Rendre possible la tenue de matchs internationaux contre l'Italie")</f>
        <v>B) Rendre possible la tenue de matchs internationaux contre l'Italie</v>
      </c>
      <c r="K20" s="6" t="str">
        <f>IFERROR(__xludf.DUMMYFUNCTION("GOOGLETRANSLATE(E20, ""en"", ""fr"")"),"La volonté de rivaliser avec les équipes italiennes très talentueuses a été le principal moteur de l'unification des règles.")</f>
        <v>La volonté de rivaliser avec les équipes italiennes très talentueuses a été le principal moteur de l'unification des règles.</v>
      </c>
    </row>
    <row r="21" ht="22.5" customHeight="1">
      <c r="A21" s="4">
        <v>20.0</v>
      </c>
      <c r="B21" s="5" t="s">
        <v>601</v>
      </c>
      <c r="C21" s="5" t="s">
        <v>602</v>
      </c>
      <c r="D21" s="5" t="s">
        <v>603</v>
      </c>
      <c r="E21" s="5" t="s">
        <v>604</v>
      </c>
      <c r="G21" s="6" t="str">
        <f>IFERROR(__xludf.DUMMYFUNCTION("GOOGLETRANSLATE(A21, ""en"", ""fr"")"),"20")</f>
        <v>20</v>
      </c>
      <c r="H21" s="6" t="str">
        <f>IFERROR(__xludf.DUMMYFUNCTION("GOOGLETRANSLATE(B21, ""en"", ""fr"")"),"En quelle année a été créé le premier championnat national français officiel (pour les clubs) ?")</f>
        <v>En quelle année a été créé le premier championnat national français officiel (pour les clubs) ?</v>
      </c>
      <c r="I21" s="6" t="str">
        <f>IFERROR(__xludf.DUMMYFUNCTION("GOOGLETRANSLATE(C21, ""en"", ""fr"")"),"A) 1922, B) 1939, C) 1952, D) 1960")</f>
        <v>A) 1922, B) 1939, C) 1952, D) 1960</v>
      </c>
      <c r="J21" s="6" t="str">
        <f>IFERROR(__xludf.DUMMYFUNCTION("GOOGLETRANSLATE(D21, ""en"", ""fr"")"),"C) 1952")</f>
        <v>C) 1952</v>
      </c>
      <c r="K21" s="6" t="str">
        <f>IFERROR(__xludf.DUMMYFUNCTION("GOOGLETRANSLATE(E21, ""en"", ""fr"")"),"Suite à la renaissance d'après-guerre, un championnat national officiel des clubs a été créé, structurant davantage ce sport.")</f>
        <v>Suite à la renaissance d'après-guerre, un championnat national officiel des clubs a été créé, structurant davantage ce sport.</v>
      </c>
    </row>
    <row r="22" ht="22.5" customHeight="1">
      <c r="A22" s="4">
        <v>21.0</v>
      </c>
      <c r="B22" s="5" t="s">
        <v>605</v>
      </c>
      <c r="C22" s="5" t="s">
        <v>606</v>
      </c>
      <c r="D22" s="5" t="s">
        <v>607</v>
      </c>
      <c r="E22" s="5" t="s">
        <v>608</v>
      </c>
      <c r="G22" s="6" t="str">
        <f>IFERROR(__xludf.DUMMYFUNCTION("GOOGLETRANSLATE(A22, ""en"", ""fr"")"),"21")</f>
        <v>21</v>
      </c>
      <c r="H22" s="6" t="str">
        <f>IFERROR(__xludf.DUMMYFUNCTION("GOOGLETRANSLATE(B22, ""en"", ""fr"")"),"Le siège de la Fédération Internationale de Balle au Tambourin se trouve dans quel pays ?")</f>
        <v>Le siège de la Fédération Internationale de Balle au Tambourin se trouve dans quel pays ?</v>
      </c>
      <c r="I22" s="6" t="str">
        <f>IFERROR(__xludf.DUMMYFUNCTION("GOOGLETRANSLATE(C22, ""en"", ""fr"")"),"A) France, B) Italie, C) Espagne, D) Allemagne")</f>
        <v>A) France, B) Italie, C) Espagne, D) Allemagne</v>
      </c>
      <c r="J22" s="6" t="str">
        <f>IFERROR(__xludf.DUMMYFUNCTION("GOOGLETRANSLATE(D22, ""en"", ""fr"")"),"B) Italie")</f>
        <v>B) Italie</v>
      </c>
      <c r="K22" s="6" t="str">
        <f>IFERROR(__xludf.DUMMYFUNCTION("GOOGLETRANSLATE(E22, ""en"", ""fr"")"),"Témoignant du rôle de l'Italie dans la professionnalisation de ce sport, la F.I.B.T. y a son siège.")</f>
        <v>Témoignant du rôle de l'Italie dans la professionnalisation de ce sport, la F.I.B.T. y a son siège.</v>
      </c>
    </row>
    <row r="23" ht="22.5" customHeight="1">
      <c r="A23" s="4">
        <v>22.0</v>
      </c>
      <c r="B23" s="5" t="s">
        <v>609</v>
      </c>
      <c r="C23" s="5" t="s">
        <v>610</v>
      </c>
      <c r="D23" s="5" t="s">
        <v>611</v>
      </c>
      <c r="E23" s="5" t="s">
        <v>612</v>
      </c>
      <c r="G23" s="6" t="str">
        <f>IFERROR(__xludf.DUMMYFUNCTION("GOOGLETRANSLATE(A23, ""en"", ""fr"")"),"22")</f>
        <v>22</v>
      </c>
      <c r="H23" s="6" t="str">
        <f>IFERROR(__xludf.DUMMYFUNCTION("GOOGLETRANSLATE(B23, ""en"", ""fr"")"),"Qui est considéré comme une figure clé de la modernisation du tambourin français et de son rapprochement avec le jeu italien ?")</f>
        <v>Qui est considéré comme une figure clé de la modernisation du tambourin français et de son rapprochement avec le jeu italien ?</v>
      </c>
      <c r="I23" s="6" t="str">
        <f>IFERROR(__xludf.DUMMYFUNCTION("GOOGLETRANSLATE(C23, ""en"", ""fr"")"),"A) Jean-Laurent, B) Charles de Gaulle, C) Max Rouquette, D) Jacques Lemaire")</f>
        <v>A) Jean-Laurent, B) Charles de Gaulle, C) Max Rouquette, D) Jacques Lemaire</v>
      </c>
      <c r="J23" s="6" t="str">
        <f>IFERROR(__xludf.DUMMYFUNCTION("GOOGLETRANSLATE(D23, ""en"", ""fr"")"),"C) Max Rouquette")</f>
        <v>C) Max Rouquette</v>
      </c>
      <c r="K23" s="6" t="str">
        <f>IFERROR(__xludf.DUMMYFUNCTION("GOOGLETRANSLATE(E23, ""en"", ""fr"")"),"L'écrivain et poète occitan Max Rouquette était un fervent défenseur de ce sport et un acteur majeur des changements de règles de 1955.")</f>
        <v>L'écrivain et poète occitan Max Rouquette était un fervent défenseur de ce sport et un acteur majeur des changements de règles de 1955.</v>
      </c>
    </row>
    <row r="24" ht="22.5" customHeight="1">
      <c r="A24" s="4">
        <v>23.0</v>
      </c>
      <c r="B24" s="5" t="s">
        <v>613</v>
      </c>
      <c r="C24" s="5" t="s">
        <v>614</v>
      </c>
      <c r="D24" s="5" t="s">
        <v>615</v>
      </c>
      <c r="E24" s="5" t="s">
        <v>616</v>
      </c>
      <c r="G24" s="6" t="str">
        <f>IFERROR(__xludf.DUMMYFUNCTION("GOOGLETRANSLATE(A24, ""en"", ""fr"")"),"23")</f>
        <v>23</v>
      </c>
      <c r="H24" s="6" t="str">
        <f>IFERROR(__xludf.DUMMYFUNCTION("GOOGLETRANSLATE(B24, ""en"", ""fr"")"),"Lequel des sports suivants est un ancêtre direct de la balle au tambourin ?")</f>
        <v>Lequel des sports suivants est un ancêtre direct de la balle au tambourin ?</v>
      </c>
      <c r="I24" s="6" t="str">
        <f>IFERROR(__xludf.DUMMYFUNCTION("GOOGLETRANSLATE(C24, ""en"", ""fr"")"),"A) Tennis moderne, B) Badminton, C) Sphaerista (jeu de balle romaine), D) Jeu de Paume (Real Tennis)")</f>
        <v>A) Tennis moderne, B) Badminton, C) Sphaerista (jeu de balle romaine), D) Jeu de Paume (Real Tennis)</v>
      </c>
      <c r="J24" s="6" t="str">
        <f>IFERROR(__xludf.DUMMYFUNCTION("GOOGLETRANSLATE(D24, ""en"", ""fr"")"),"D) Jeu de Paume (Real Tennis)")</f>
        <v>D) Jeu de Paume (Real Tennis)</v>
      </c>
      <c r="K24" s="6" t="str">
        <f>IFERROR(__xludf.DUMMYFUNCTION("GOOGLETRANSLATE(E24, ""en"", ""fr"")"),"Le tambourin fait partie d'une longue famille de « jeux de paume » où une balle est frappée par-dessus une ligne ou un filet, originaire du Jeu de Paume.")</f>
        <v>Le tambourin fait partie d'une longue famille de « jeux de paume » où une balle est frappée par-dessus une ligne ou un filet, originaire du Jeu de Paume.</v>
      </c>
    </row>
    <row r="25" ht="22.5" customHeight="1">
      <c r="A25" s="4">
        <v>24.0</v>
      </c>
      <c r="B25" s="5" t="s">
        <v>617</v>
      </c>
      <c r="C25" s="5" t="s">
        <v>618</v>
      </c>
      <c r="D25" s="5" t="s">
        <v>619</v>
      </c>
      <c r="E25" s="5" t="s">
        <v>620</v>
      </c>
      <c r="G25" s="6" t="str">
        <f>IFERROR(__xludf.DUMMYFUNCTION("GOOGLETRANSLATE(A25, ""en"", ""fr"")"),"24")</f>
        <v>24</v>
      </c>
      <c r="H25" s="6" t="str">
        <f>IFERROR(__xludf.DUMMYFUNCTION("GOOGLETRANSLATE(B25, ""en"", ""fr"")"),"Où se situait souvent à l'origine le terrain de jeu du tambourin dans les villages ?")</f>
        <v>Où se situait souvent à l'origine le terrain de jeu du tambourin dans les villages ?</v>
      </c>
      <c r="I25" s="6" t="str">
        <f>IFERROR(__xludf.DUMMYFUNCTION("GOOGLETRANSLATE(C25, ""en"", ""fr"")"),"A) Dans un gymnase, B) Sur un terrain spécialement aménagé, C) Sur la place du marché ou tout autre espace public ouvert, D) Dans un cimetière")</f>
        <v>A) Dans un gymnase, B) Sur un terrain spécialement aménagé, C) Sur la place du marché ou tout autre espace public ouvert, D) Dans un cimetière</v>
      </c>
      <c r="J25" s="6" t="str">
        <f>IFERROR(__xludf.DUMMYFUNCTION("GOOGLETRANSLATE(D25, ""en"", ""fr"")"),"C) La « place du marché » ou tout espace public ouvert")</f>
        <v>C) La « place du marché » ou tout espace public ouvert</v>
      </c>
      <c r="K25" s="6" t="str">
        <f>IFERROR(__xludf.DUMMYFUNCTION("GOOGLETRANSLATE(E25, ""en"", ""fr"")"),"Jeu folklorique, il se pratiquait dans les espaces ouverts centraux du village, ses limites étant souvent constituées par les murs des maisons environnantes.")</f>
        <v>Jeu folklorique, il se pratiquait dans les espaces ouverts centraux du village, ses limites étant souvent constituées par les murs des maisons environnantes.</v>
      </c>
    </row>
    <row r="26" ht="22.5" customHeight="1">
      <c r="A26" s="4">
        <v>25.0</v>
      </c>
      <c r="B26" s="5" t="s">
        <v>621</v>
      </c>
      <c r="C26" s="5" t="s">
        <v>622</v>
      </c>
      <c r="D26" s="5" t="s">
        <v>623</v>
      </c>
      <c r="E26" s="5" t="s">
        <v>624</v>
      </c>
      <c r="G26" s="6" t="str">
        <f>IFERROR(__xludf.DUMMYFUNCTION("GOOGLETRANSLATE(A26, ""en"", ""fr"")"),"25")</f>
        <v>25</v>
      </c>
      <c r="H26" s="6" t="str">
        <f>IFERROR(__xludf.DUMMYFUNCTION("GOOGLETRANSLATE(B26, ""en"", ""fr"")"),"Quel a été l'impact principal de la Première Guerre mondiale sur la pratique du tambourin en France ?")</f>
        <v>Quel a été l'impact principal de la Première Guerre mondiale sur la pratique du tambourin en France ?</v>
      </c>
      <c r="I26" s="6" t="str">
        <f>IFERROR(__xludf.DUMMYFUNCTION("GOOGLETRANSLATE(C26, ""en"", ""fr"")"),"A) Sa popularité a augmenté en tant qu'exercice militaire, B) Il a entraîné un déclin important, car une génération de jeunes hommes a été perdue, C) Il n'a eu aucun impact, D) Il a conduit à la création de la première fédération")</f>
        <v>A) Sa popularité a augmenté en tant qu'exercice militaire, B) Il a entraîné un déclin important, car une génération de jeunes hommes a été perdue, C) Il n'a eu aucun impact, D) Il a conduit à la création de la première fédération</v>
      </c>
      <c r="J26" s="6" t="str">
        <f>IFERROR(__xludf.DUMMYFUNCTION("GOOGLETRANSLATE(D26, ""en"", ""fr"")"),"B) Cela a entraîné un déclin sévère, car toute une génération de jeunes hommes a disparu.")</f>
        <v>B) Cela a entraîné un déclin sévère, car toute une génération de jeunes hommes a disparu.</v>
      </c>
      <c r="K26" s="6" t="str">
        <f>IFERROR(__xludf.DUMMYFUNCTION("GOOGLETRANSLATE(E26, ""en"", ""fr"")"),"La guerre a fortement perturbé le sport, entraînant une perte dévastatrice de joueurs originaires des villages de l'Hérault.")</f>
        <v>La guerre a fortement perturbé le sport, entraînant une perte dévastatrice de joueurs originaires des villages de l'Hérault.</v>
      </c>
    </row>
    <row r="27" ht="22.5" customHeight="1">
      <c r="A27" s="4">
        <v>26.0</v>
      </c>
      <c r="B27" s="5" t="s">
        <v>625</v>
      </c>
      <c r="C27" s="5" t="s">
        <v>626</v>
      </c>
      <c r="D27" s="5" t="s">
        <v>627</v>
      </c>
      <c r="E27" s="5" t="s">
        <v>628</v>
      </c>
      <c r="G27" s="6" t="str">
        <f>IFERROR(__xludf.DUMMYFUNCTION("GOOGLETRANSLATE(A27, ""en"", ""fr"")"),"26")</f>
        <v>26</v>
      </c>
      <c r="H27" s="6" t="str">
        <f>IFERROR(__xludf.DUMMYFUNCTION("GOOGLETRANSLATE(B27, ""en"", ""fr"")"),"De quel matériau était faite la « peau » des premiers tambourins, datant du XIXe siècle ?")</f>
        <v>De quel matériau était faite la « peau » des premiers tambourins, datant du XIXe siècle ?</v>
      </c>
      <c r="I27" s="6" t="str">
        <f>IFERROR(__xludf.DUMMYFUNCTION("GOOGLETRANSLATE(C27, ""en"", ""fr"")"),"A) Peau animale tendue (parchemin), B) Toile, C) Plastique, D) Bois fin")</f>
        <v>A) Peau animale tendue (parchemin), B) Toile, C) Plastique, D) Bois fin</v>
      </c>
      <c r="J27" s="6" t="str">
        <f>IFERROR(__xludf.DUMMYFUNCTION("GOOGLETRANSLATE(D27, ""en"", ""fr"")"),"A) Peau animale tendue (parchemin)")</f>
        <v>A) Peau animale tendue (parchemin)</v>
      </c>
      <c r="K27" s="6" t="str">
        <f>IFERROR(__xludf.DUMMYFUNCTION("GOOGLETRANSLATE(E27, ""en"", ""fr"")"),"Tout comme un tambour musical, les premiers tambourins utilisaient une peau animale tendue et séchée sur un cadre en bois.")</f>
        <v>Tout comme un tambour musical, les premiers tambourins utilisaient une peau animale tendue et séchée sur un cadre en bois.</v>
      </c>
    </row>
    <row r="28" ht="22.5" customHeight="1">
      <c r="A28" s="4">
        <v>27.0</v>
      </c>
      <c r="B28" s="5" t="s">
        <v>629</v>
      </c>
      <c r="C28" s="5" t="s">
        <v>630</v>
      </c>
      <c r="D28" s="5" t="s">
        <v>243</v>
      </c>
      <c r="E28" s="5" t="s">
        <v>631</v>
      </c>
      <c r="G28" s="6" t="str">
        <f>IFERROR(__xludf.DUMMYFUNCTION("GOOGLETRANSLATE(A28, ""en"", ""fr"")"),"27")</f>
        <v>27</v>
      </c>
      <c r="H28" s="6" t="str">
        <f>IFERROR(__xludf.DUMMYFUNCTION("GOOGLETRANSLATE(B28, ""en"", ""fr"")"),"Quel a été le principal facteur limitant le développement de ce sport en dehors de la région de l'Hérault ?")</f>
        <v>Quel a été le principal facteur limitant le développement de ce sport en dehors de la région de l'Hérault ?</v>
      </c>
      <c r="I28" s="6" t="str">
        <f>IFERROR(__xludf.DUMMYFUNCTION("GOOGLETRANSLATE(C28, ""en"", ""fr"")"),"A) Le coût élevé du matériel, B) La complexité des règles traditionnelles de « chasse », C) Le manque d’intérêt des autres régions, D) B et C")</f>
        <v>A) Le coût élevé du matériel, B) La complexité des règles traditionnelles de « chasse », C) Le manque d’intérêt des autres régions, D) B et C</v>
      </c>
      <c r="J28" s="6" t="str">
        <f>IFERROR(__xludf.DUMMYFUNCTION("GOOGLETRANSLATE(D28, ""en"", ""fr"")"),"D) B et C")</f>
        <v>D) B et C</v>
      </c>
      <c r="K28" s="6" t="str">
        <f>IFERROR(__xludf.DUMMYFUNCTION("GOOGLETRANSLATE(E28, ""en"", ""fr"")"),"Les racines culturelles très locales du jeu et la complexité historique de ses règles ont rendu difficile son exportation vers d'autres régions de France.")</f>
        <v>Les racines culturelles très locales du jeu et la complexité historique de ses règles ont rendu difficile son exportation vers d'autres régions de France.</v>
      </c>
    </row>
    <row r="29" ht="22.5" customHeight="1">
      <c r="A29" s="4">
        <v>28.0</v>
      </c>
      <c r="B29" s="5" t="s">
        <v>632</v>
      </c>
      <c r="C29" s="5" t="s">
        <v>633</v>
      </c>
      <c r="D29" s="5" t="s">
        <v>634</v>
      </c>
      <c r="E29" s="5" t="s">
        <v>635</v>
      </c>
      <c r="G29" s="6" t="str">
        <f>IFERROR(__xludf.DUMMYFUNCTION("GOOGLETRANSLATE(A29, ""en"", ""fr"")"),"28")</f>
        <v>28</v>
      </c>
      <c r="H29" s="6" t="str">
        <f>IFERROR(__xludf.DUMMYFUNCTION("GOOGLETRANSLATE(B29, ""en"", ""fr"")"),"L'introduction d'une version en salle de ce sport a eu quel effet majeur sur sa popularité ?")</f>
        <v>L'introduction d'une version en salle de ce sport a eu quel effet majeur sur sa popularité ?</v>
      </c>
      <c r="I29" s="6" t="str">
        <f>IFERROR(__xludf.DUMMYFUNCTION("GOOGLETRANSLATE(C29, ""en"", ""fr"")"),"A) Cela a entraîné un déclin de la pratique du sport en extérieur, B) Cela a permis de pratiquer ce sport toute l'année, augmentant ainsi la participation, C) Cela n'a eu aucun effet, D) Cela n'était pas populaire")</f>
        <v>A) Cela a entraîné un déclin de la pratique du sport en extérieur, B) Cela a permis de pratiquer ce sport toute l'année, augmentant ainsi la participation, C) Cela n'a eu aucun effet, D) Cela n'était pas populaire</v>
      </c>
      <c r="J29" s="6" t="str">
        <f>IFERROR(__xludf.DUMMYFUNCTION("GOOGLETRANSLATE(D29, ""en"", ""fr"")"),"B) Cela a permis de pratiquer ce sport toute l'année, augmentant ainsi la participation.")</f>
        <v>B) Cela a permis de pratiquer ce sport toute l'année, augmentant ainsi la participation.</v>
      </c>
      <c r="K29" s="6" t="str">
        <f>IFERROR(__xludf.DUMMYFUNCTION("GOOGLETRANSLATE(E29, ""en"", ""fr"")"),"Le jeu en salle, pratiqué avec des règles légèrement différentes, a permis une saison hivernale et la création de nouveaux clubs dans des régions dépourvues de grands terrains extérieurs.")</f>
        <v>Le jeu en salle, pratiqué avec des règles légèrement différentes, a permis une saison hivernale et la création de nouveaux clubs dans des régions dépourvues de grands terrains extérieurs.</v>
      </c>
    </row>
    <row r="30" ht="22.5" customHeight="1">
      <c r="A30" s="4">
        <v>29.0</v>
      </c>
      <c r="B30" s="5" t="s">
        <v>636</v>
      </c>
      <c r="C30" s="5" t="s">
        <v>637</v>
      </c>
      <c r="D30" s="5" t="s">
        <v>638</v>
      </c>
      <c r="E30" s="5" t="s">
        <v>639</v>
      </c>
      <c r="G30" s="6" t="str">
        <f>IFERROR(__xludf.DUMMYFUNCTION("GOOGLETRANSLATE(A30, ""en"", ""fr"")"),"29")</f>
        <v>29</v>
      </c>
      <c r="H30" s="6" t="str">
        <f>IFERROR(__xludf.DUMMYFUNCTION("GOOGLETRANSLATE(B30, ""en"", ""fr"")"),"Quel département français, limitrophe de l'Hérault, a connu le plus grand développement moderne de ce sport ?")</f>
        <v>Quel département français, limitrophe de l'Hérault, a connu le plus grand développement moderne de ce sport ?</v>
      </c>
      <c r="I30" s="6" t="str">
        <f>IFERROR(__xludf.DUMMYFUNCTION("GOOGLETRANSLATE(C30, ""en"", ""fr"")"),"A) Aude, B) Aveyron, C) Lozère, D) Gard")</f>
        <v>A) Aude, B) Aveyron, C) Lozère, D) Gard</v>
      </c>
      <c r="J30" s="6" t="str">
        <f>IFERROR(__xludf.DUMMYFUNCTION("GOOGLETRANSLATE(D30, ""en"", ""fr"")"),"D) Gard")</f>
        <v>D) Gard</v>
      </c>
      <c r="K30" s="6" t="str">
        <f>IFERROR(__xludf.DUMMYFUNCTION("GOOGLETRANSLATE(E30, ""en"", ""fr"")"),"Ces dernières décennies, ce sport s'est développé avec succès dans le département voisin du Gard, qui compte désormais plusieurs clubs compétitifs.")</f>
        <v>Ces dernières décennies, ce sport s'est développé avec succès dans le département voisin du Gard, qui compte désormais plusieurs clubs compétitifs.</v>
      </c>
    </row>
    <row r="31" ht="22.5" customHeight="1">
      <c r="A31" s="4">
        <v>30.0</v>
      </c>
      <c r="B31" s="5" t="s">
        <v>640</v>
      </c>
      <c r="C31" s="5" t="s">
        <v>641</v>
      </c>
      <c r="D31" s="5" t="s">
        <v>642</v>
      </c>
      <c r="E31" s="5" t="s">
        <v>643</v>
      </c>
      <c r="G31" s="6" t="str">
        <f>IFERROR(__xludf.DUMMYFUNCTION("GOOGLETRANSLATE(A31, ""en"", ""fr"")"),"30")</f>
        <v>30</v>
      </c>
      <c r="H31" s="6" t="str">
        <f>IFERROR(__xludf.DUMMYFUNCTION("GOOGLETRANSLATE(B31, ""en"", ""fr"")"),"En quelle année une compétition distincte pour les femmes a-t-elle été officiellement introduite en France ?")</f>
        <v>En quelle année une compétition distincte pour les femmes a-t-elle été officiellement introduite en France ?</v>
      </c>
      <c r="I31" s="6" t="str">
        <f>IFERROR(__xludf.DUMMYFUNCTION("GOOGLETRANSLATE(C31, ""en"", ""fr"")"),"A) 1955, B) 1968, C) 1975, D) 1981")</f>
        <v>A) 1955, B) 1968, C) 1975, D) 1981</v>
      </c>
      <c r="J31" s="6" t="str">
        <f>IFERROR(__xludf.DUMMYFUNCTION("GOOGLETRANSLATE(D31, ""en"", ""fr"")"),"C) 1975")</f>
        <v>C) 1975</v>
      </c>
      <c r="K31" s="6" t="str">
        <f>IFERROR(__xludf.DUMMYFUNCTION("GOOGLETRANSLATE(E31, ""en"", ""fr"")"),"Le premier championnat féminin officiel a été créé en 1975, marquant une étape clé dans le développement de ce sport.")</f>
        <v>Le premier championnat féminin officiel a été créé en 1975, marquant une étape clé dans le développement de ce sport.</v>
      </c>
    </row>
    <row r="32" ht="22.5" customHeight="1">
      <c r="A32" s="4">
        <v>31.0</v>
      </c>
      <c r="B32" s="5" t="s">
        <v>644</v>
      </c>
      <c r="C32" s="5" t="s">
        <v>645</v>
      </c>
      <c r="D32" s="5" t="s">
        <v>646</v>
      </c>
      <c r="E32" s="5" t="s">
        <v>647</v>
      </c>
      <c r="G32" s="6" t="str">
        <f>IFERROR(__xludf.DUMMYFUNCTION("GOOGLETRANSLATE(A32, ""en"", ""fr"")"),"31")</f>
        <v>31</v>
      </c>
      <c r="H32" s="6" t="str">
        <f>IFERROR(__xludf.DUMMYFUNCTION("GOOGLETRANSLATE(B32, ""en"", ""fr"")"),"Historiquement, ces équipes ne représentaient pas des clubs, mais quoi ?")</f>
        <v>Historiquement, ces équipes ne représentaient pas des clubs, mais quoi ?</v>
      </c>
      <c r="I32" s="6" t="str">
        <f>IFERROR(__xludf.DUMMYFUNCTION("GOOGLETRANSLATE(C32, ""en"", ""fr"")"),"A) Les ligues professionnelles, B) Leurs familles, C) Leurs villages ou villes, D) Leurs sponsors")</f>
        <v>A) Les ligues professionnelles, B) Leurs familles, C) Leurs villages ou villes, D) Leurs sponsors</v>
      </c>
      <c r="J32" s="6" t="str">
        <f>IFERROR(__xludf.DUMMYFUNCTION("GOOGLETRANSLATE(D32, ""en"", ""fr"")"),"C) Leurs villages ou villes")</f>
        <v>C) Leurs villages ou villes</v>
      </c>
      <c r="K32" s="6" t="str">
        <f>IFERROR(__xludf.DUMMYFUNCTION("GOOGLETRANSLATE(E32, ""en"", ""fr"")"),"Ce sport était, et reste encore en grande partie, une source de grande fierté locale, chaque équipe représentant son village d'origine.")</f>
        <v>Ce sport était, et reste encore en grande partie, une source de grande fierté locale, chaque équipe représentant son village d'origine.</v>
      </c>
    </row>
    <row r="33" ht="22.5" customHeight="1">
      <c r="A33" s="4">
        <v>32.0</v>
      </c>
      <c r="B33" s="5" t="s">
        <v>648</v>
      </c>
      <c r="C33" s="5" t="s">
        <v>649</v>
      </c>
      <c r="D33" s="5" t="s">
        <v>650</v>
      </c>
      <c r="E33" s="5" t="s">
        <v>651</v>
      </c>
      <c r="G33" s="6" t="str">
        <f>IFERROR(__xludf.DUMMYFUNCTION("GOOGLETRANSLATE(A33, ""en"", ""fr"")"),"32")</f>
        <v>32</v>
      </c>
      <c r="H33" s="6" t="str">
        <f>IFERROR(__xludf.DUMMYFUNCTION("GOOGLETRANSLATE(B33, ""en"", ""fr"")"),"Quel était le nom de l'outil utilisé par les musiciens avant le tambourin, qui était un bracelet cylindrique en bois ?")</f>
        <v>Quel était le nom de l'outil utilisé par les musiciens avant le tambourin, qui était un bracelet cylindrique en bois ?</v>
      </c>
      <c r="I33" s="6" t="str">
        <f>IFERROR(__xludf.DUMMYFUNCTION("GOOGLETRANSLATE(C33, ""en"", ""fr"")"),"A) La «manchette», B) Le «cercle», C) Le «brassard», D) Le «poignet»")</f>
        <v>A) La «manchette», B) Le «cercle», C) Le «brassard», D) Le «poignet»</v>
      </c>
      <c r="J33" s="6" t="str">
        <f>IFERROR(__xludf.DUMMYFUNCTION("GOOGLETRANSLATE(D33, ""en"", ""fr"")"),"C) Le « brassard »")</f>
        <v>C) Le « brassard »</v>
      </c>
      <c r="K33" s="6" t="str">
        <f>IFERROR(__xludf.DUMMYFUNCTION("GOOGLETRANSLATE(E33, ""en"", ""fr"")"),"Le brassard était une lourde protection en bois portée sur l'avant-bras, utilisée pour frapper la balle avec plus de puissance et de protection qu'à mains nues.")</f>
        <v>Le brassard était une lourde protection en bois portée sur l'avant-bras, utilisée pour frapper la balle avec plus de puissance et de protection qu'à mains nues.</v>
      </c>
    </row>
    <row r="34" ht="22.5" customHeight="1">
      <c r="A34" s="4">
        <v>33.0</v>
      </c>
      <c r="B34" s="5" t="s">
        <v>652</v>
      </c>
      <c r="C34" s="5" t="s">
        <v>653</v>
      </c>
      <c r="D34" s="5" t="s">
        <v>654</v>
      </c>
      <c r="E34" s="5" t="s">
        <v>655</v>
      </c>
      <c r="G34" s="6" t="str">
        <f>IFERROR(__xludf.DUMMYFUNCTION("GOOGLETRANSLATE(A34, ""en"", ""fr"")"),"33")</f>
        <v>33</v>
      </c>
      <c r="H34" s="6" t="str">
        <f>IFERROR(__xludf.DUMMYFUNCTION("GOOGLETRANSLATE(B34, ""en"", ""fr"")"),"Quel pays domine toujours la version professionnelle en salle de ce sport ?")</f>
        <v>Quel pays domine toujours la version professionnelle en salle de ce sport ?</v>
      </c>
      <c r="I34" s="6" t="str">
        <f>IFERROR(__xludf.DUMMYFUNCTION("GOOGLETRANSLATE(C34, ""en"", ""fr"")"),"A) France, B) Allemagne, C) Espagne, D) Italie")</f>
        <v>A) France, B) Allemagne, C) Espagne, D) Italie</v>
      </c>
      <c r="J34" s="6" t="str">
        <f>IFERROR(__xludf.DUMMYFUNCTION("GOOGLETRANSLATE(D34, ""en"", ""fr"")"),"D) Italie")</f>
        <v>D) Italie</v>
      </c>
      <c r="K34" s="6" t="str">
        <f>IFERROR(__xludf.DUMMYFUNCTION("GOOGLETRANSLATE(E34, ""en"", ""fr"")"),"Le championnat italien de tamburello est une organisation professionnelle, et les équipes italiennes ont historiquement dominé la version en salle de ce jeu.")</f>
        <v>Le championnat italien de tamburello est une organisation professionnelle, et les équipes italiennes ont historiquement dominé la version en salle de ce jeu.</v>
      </c>
    </row>
    <row r="35" ht="22.5" customHeight="1">
      <c r="A35" s="4">
        <v>34.0</v>
      </c>
      <c r="B35" s="5" t="s">
        <v>656</v>
      </c>
      <c r="C35" s="5" t="s">
        <v>657</v>
      </c>
      <c r="D35" s="5" t="s">
        <v>658</v>
      </c>
      <c r="E35" s="5" t="s">
        <v>659</v>
      </c>
      <c r="G35" s="6" t="str">
        <f>IFERROR(__xludf.DUMMYFUNCTION("GOOGLETRANSLATE(A35, ""en"", ""fr"")"),"34")</f>
        <v>34</v>
      </c>
      <c r="H35" s="6" t="str">
        <f>IFERROR(__xludf.DUMMYFUNCTION("GOOGLETRANSLATE(B35, ""en"", ""fr"")"),"Quel changement majeur l'adoption des règles du « jeu ouvert » en 1955 a-t-elle apporté à l'aménagement du court ?")</f>
        <v>Quel changement majeur l'adoption des règles du « jeu ouvert » en 1955 a-t-elle apporté à l'aménagement du court ?</v>
      </c>
      <c r="I35" s="6" t="str">
        <f>IFERROR(__xludf.DUMMYFUNCTION("GOOGLETRANSLATE(C35, ""en"", ""fr"")"),"A) Le terrain a été réduit. B) Le concept d'un terrain permanent avec des lignes fixes a remplacé le système de « chasse » variable. C) Un filet a été ajouté au centre. D) Le terrain est devenu circulaire.")</f>
        <v>A) Le terrain a été réduit. B) Le concept d'un terrain permanent avec des lignes fixes a remplacé le système de « chasse » variable. C) Un filet a été ajouté au centre. D) Le terrain est devenu circulaire.</v>
      </c>
      <c r="J35" s="6" t="str">
        <f>IFERROR(__xludf.DUMMYFUNCTION("GOOGLETRANSLATE(D35, ""en"", ""fr"")"),"B) Le concept d'un court permanent à lignes fixes a remplacé le système de « chasse » variable")</f>
        <v>B) Le concept d'un court permanent à lignes fixes a remplacé le système de « chasse » variable</v>
      </c>
      <c r="K35" s="6" t="str">
        <f>IFERROR(__xludf.DUMMYFUNCTION("GOOGLETRANSLATE(E35, ""en"", ""fr"")"),"Les nouvelles règles imposaient un terrain rectangulaire standardisé avec une ligne centrale, semblable à un court de tennis, ce qui rendait le jeu plus facile à comprendre et à arbitrer.")</f>
        <v>Les nouvelles règles imposaient un terrain rectangulaire standardisé avec une ligne centrale, semblable à un court de tennis, ce qui rendait le jeu plus facile à comprendre et à arbitrer.</v>
      </c>
    </row>
    <row r="36" ht="22.5" customHeight="1">
      <c r="A36" s="4">
        <v>35.0</v>
      </c>
      <c r="B36" s="5" t="s">
        <v>660</v>
      </c>
      <c r="C36" s="5" t="s">
        <v>661</v>
      </c>
      <c r="D36" s="5" t="s">
        <v>662</v>
      </c>
      <c r="E36" s="5" t="s">
        <v>663</v>
      </c>
      <c r="G36" s="6" t="str">
        <f>IFERROR(__xludf.DUMMYFUNCTION("GOOGLETRANSLATE(A36, ""en"", ""fr"")"),"35")</f>
        <v>35</v>
      </c>
      <c r="H36" s="6" t="str">
        <f>IFERROR(__xludf.DUMMYFUNCTION("GOOGLETRANSLATE(B36, ""en"", ""fr"")"),"Dans le jeu traditionnel de « chasse », comment un point était-il finalement marqué ?")</f>
        <v>Dans le jeu traditionnel de « chasse », comment un point était-il finalement marqué ?</v>
      </c>
      <c r="I36" s="6" t="str">
        <f>IFERROR(__xludf.DUMMYFUNCTION("GOOGLETRANSLATE(C36, ""en"", ""fr"")"),"A) En touchant l'adversaire, B) En faisant rebondir la balle deux fois, C) En « gagnant le terrain » marqué par le chasse, D) En touchant une cible")</f>
        <v>A) En touchant l'adversaire, B) En faisant rebondir la balle deux fois, C) En « gagnant le terrain » marqué par le chasse, D) En touchant une cible</v>
      </c>
      <c r="J36" s="6" t="str">
        <f>IFERROR(__xludf.DUMMYFUNCTION("GOOGLETRANSLATE(D36, ""en"", ""fr"")"),"C) En « gagnant le terrain » marqué par le chasse")</f>
        <v>C) En « gagnant le terrain » marqué par le chasse</v>
      </c>
      <c r="K36" s="6" t="str">
        <f>IFERROR(__xludf.DUMMYFUNCTION("GOOGLETRANSLATE(E36, ""en"", ""fr"")"),"Les équipes changeaient de côté, et la nouvelle équipe au service devait faire atterrir la balle au-delà du marqueur de « poursuite » laissé par l'équipe précédente pour remporter le point.")</f>
        <v>Les équipes changeaient de côté, et la nouvelle équipe au service devait faire atterrir la balle au-delà du marqueur de « poursuite » laissé par l'équipe précédente pour remporter le point.</v>
      </c>
    </row>
    <row r="37" ht="22.5" customHeight="1">
      <c r="A37" s="4">
        <v>36.0</v>
      </c>
      <c r="B37" s="5" t="s">
        <v>664</v>
      </c>
      <c r="C37" s="5" t="s">
        <v>665</v>
      </c>
      <c r="D37" s="5" t="s">
        <v>666</v>
      </c>
      <c r="E37" s="5" t="s">
        <v>667</v>
      </c>
      <c r="G37" s="6" t="str">
        <f>IFERROR(__xludf.DUMMYFUNCTION("GOOGLETRANSLATE(A37, ""en"", ""fr"")"),"36")</f>
        <v>36</v>
      </c>
      <c r="H37" s="6" t="str">
        <f>IFERROR(__xludf.DUMMYFUNCTION("GOOGLETRANSLATE(B37, ""en"", ""fr"")"),"La diffusion historique du « jeu de paume » et de ses variantes est souvent associée au mouvement de quel groupe de personnes ?")</f>
        <v>La diffusion historique du « jeu de paume » et de ses variantes est souvent associée au mouvement de quel groupe de personnes ?</v>
      </c>
      <c r="I37" s="6" t="str">
        <f>IFERROR(__xludf.DUMMYFUNCTION("GOOGLETRANSLATE(C37, ""en"", ""fr"")"),"A) Soldats, B) Marchands, C) Moines et clergé, D) Royauté et noblesse")</f>
        <v>A) Soldats, B) Marchands, C) Moines et clergé, D) Royauté et noblesse</v>
      </c>
      <c r="J37" s="6" t="str">
        <f>IFERROR(__xludf.DUMMYFUNCTION("GOOGLETRANSLATE(D37, ""en"", ""fr"")"),"D) La royauté et la noblesse")</f>
        <v>D) La royauté et la noblesse</v>
      </c>
      <c r="K37" s="6" t="str">
        <f>IFERROR(__xludf.DUMMYFUNCTION("GOOGLETRANSLATE(E37, ""en"", ""fr"")"),"Ces premiers jeux de balle étaient extrêmement populaires auprès de l'aristocratie européenne, et leurs cours et leurs voyages ont contribué à leur diffusion.")</f>
        <v>Ces premiers jeux de balle étaient extrêmement populaires auprès de l'aristocratie européenne, et leurs cours et leurs voyages ont contribué à leur diffusion.</v>
      </c>
    </row>
    <row r="38" ht="22.5" customHeight="1">
      <c r="A38" s="4">
        <v>37.0</v>
      </c>
      <c r="B38" s="5" t="s">
        <v>668</v>
      </c>
      <c r="C38" s="5" t="s">
        <v>669</v>
      </c>
      <c r="D38" s="5" t="s">
        <v>670</v>
      </c>
      <c r="E38" s="5" t="s">
        <v>671</v>
      </c>
      <c r="G38" s="6" t="str">
        <f>IFERROR(__xludf.DUMMYFUNCTION("GOOGLETRANSLATE(A38, ""en"", ""fr"")"),"37")</f>
        <v>37</v>
      </c>
      <c r="H38" s="6" t="str">
        <f>IFERROR(__xludf.DUMMYFUNCTION("GOOGLETRANSLATE(B38, ""en"", ""fr"")"),"Qu'était le mot « tambourin » à l'origine en français ?")</f>
        <v>Qu'était le mot « tambourin » à l'origine en français ?</v>
      </c>
      <c r="I38" s="6" t="str">
        <f>IFERROR(__xludf.DUMMYFUNCTION("GOOGLETRANSLATE(C38, ""en"", ""fr"")"),"A) Un type de balle, B) Un petit tambour, C) Une raquette, D) Un bracelet en bois")</f>
        <v>A) Un type de balle, B) Un petit tambour, C) Une raquette, D) Un bracelet en bois</v>
      </c>
      <c r="J38" s="6" t="str">
        <f>IFERROR(__xludf.DUMMYFUNCTION("GOOGLETRANSLATE(D38, ""en"", ""fr"")"),"B) Un petit tambour")</f>
        <v>B) Un petit tambour</v>
      </c>
      <c r="K38" s="6" t="str">
        <f>IFERROR(__xludf.DUMMYFUNCTION("GOOGLETRANSLATE(E38, ""en"", ""fr"")"),"Cet article sportif tire son nom directement de l'instrument de musique auquel il ressemble.")</f>
        <v>Cet article sportif tire son nom directement de l'instrument de musique auquel il ressemble.</v>
      </c>
    </row>
    <row r="39" ht="22.5" customHeight="1">
      <c r="A39" s="4">
        <v>38.0</v>
      </c>
      <c r="B39" s="5" t="s">
        <v>672</v>
      </c>
      <c r="C39" s="5" t="s">
        <v>673</v>
      </c>
      <c r="D39" s="5" t="s">
        <v>674</v>
      </c>
      <c r="E39" s="5" t="s">
        <v>675</v>
      </c>
      <c r="G39" s="6" t="str">
        <f>IFERROR(__xludf.DUMMYFUNCTION("GOOGLETRANSLATE(A39, ""en"", ""fr"")"),"38")</f>
        <v>38</v>
      </c>
      <c r="H39" s="6" t="str">
        <f>IFERROR(__xludf.DUMMYFUNCTION("GOOGLETRANSLATE(B39, ""en"", ""fr"")"),"Le premier Championnat du Languedoc, en 1922, était réservé aux clubs de quel département ?")</f>
        <v>Le premier Championnat du Languedoc, en 1922, était réservé aux clubs de quel département ?</v>
      </c>
      <c r="I39" s="6" t="str">
        <f>IFERROR(__xludf.DUMMYFUNCTION("GOOGLETRANSLATE(C39, ""en"", ""fr"")"),"A) Gard, B) Aude, C) Hérault, D) Toutes les réponses ci-dessus")</f>
        <v>A) Gard, B) Aude, C) Hérault, D) Toutes les réponses ci-dessus</v>
      </c>
      <c r="J39" s="6" t="str">
        <f>IFERROR(__xludf.DUMMYFUNCTION("GOOGLETRANSLATE(D39, ""en"", ""fr"")"),"C) Hérault")</f>
        <v>C) Hérault</v>
      </c>
      <c r="K39" s="6" t="str">
        <f>IFERROR(__xludf.DUMMYFUNCTION("GOOGLETRANSLATE(E39, ""en"", ""fr"")"),"À cette époque, ce sport était pratiqué presque exclusivement dans le département de l'Hérault.")</f>
        <v>À cette époque, ce sport était pratiqué presque exclusivement dans le département de l'Hérault.</v>
      </c>
    </row>
    <row r="40" ht="22.5" customHeight="1">
      <c r="A40" s="4">
        <v>39.0</v>
      </c>
      <c r="B40" s="5" t="s">
        <v>676</v>
      </c>
      <c r="C40" s="5" t="s">
        <v>677</v>
      </c>
      <c r="D40" s="5" t="s">
        <v>678</v>
      </c>
      <c r="E40" s="5" t="s">
        <v>679</v>
      </c>
      <c r="G40" s="6" t="str">
        <f>IFERROR(__xludf.DUMMYFUNCTION("GOOGLETRANSLATE(A40, ""en"", ""fr"")"),"39")</f>
        <v>39</v>
      </c>
      <c r="H40" s="6" t="str">
        <f>IFERROR(__xludf.DUMMYFUNCTION("GOOGLETRANSLATE(B40, ""en"", ""fr"")"),"Quel fut l'un des principaux défis pour la Fédération française dans les années 1930 ?")</f>
        <v>Quel fut l'un des principaux défis pour la Fédération française dans les années 1930 ?</v>
      </c>
      <c r="I40" s="6" t="str">
        <f>IFERROR(__xludf.DUMMYFUNCTION("GOOGLETRANSLATE(C40, ""en"", ""fr"")"),"A) Un manque de financement, B) Une baisse du nombre de joueurs et de clubs, C) Des conflits internes concernant les règles, D) Un manque d'adversaires internationaux")</f>
        <v>A) Un manque de financement, B) Une baisse du nombre de joueurs et de clubs, C) Des conflits internes concernant les règles, D) Un manque d'adversaires internationaux</v>
      </c>
      <c r="J40" s="6" t="str">
        <f>IFERROR(__xludf.DUMMYFUNCTION("GOOGLETRANSLATE(D40, ""en"", ""fr"")"),"B) Une baisse du nombre de joueurs et de clubs")</f>
        <v>B) Une baisse du nombre de joueurs et de clubs</v>
      </c>
      <c r="K40" s="6" t="str">
        <f>IFERROR(__xludf.DUMMYFUNCTION("GOOGLETRANSLATE(E40, ""en"", ""fr"")"),"La période précédant la guerre a été marquée par une baisse de la popularité de ce sport et une réduction du nombre de clubs actifs.")</f>
        <v>La période précédant la guerre a été marquée par une baisse de la popularité de ce sport et une réduction du nombre de clubs actifs.</v>
      </c>
    </row>
    <row r="41" ht="22.5" customHeight="1">
      <c r="A41" s="4">
        <v>40.0</v>
      </c>
      <c r="B41" s="5" t="s">
        <v>680</v>
      </c>
      <c r="C41" s="5" t="s">
        <v>681</v>
      </c>
      <c r="D41" s="5" t="s">
        <v>682</v>
      </c>
      <c r="E41" s="5" t="s">
        <v>683</v>
      </c>
      <c r="G41" s="6" t="str">
        <f>IFERROR(__xludf.DUMMYFUNCTION("GOOGLETRANSLATE(A41, ""en"", ""fr"")"),"40")</f>
        <v>40</v>
      </c>
      <c r="H41" s="6" t="str">
        <f>IFERROR(__xludf.DUMMYFUNCTION("GOOGLETRANSLATE(B41, ""en"", ""fr"")"),"Quelle est la principale raison historique de la forte rivalité entre les villages de Gignac et de Cournonterral ?")</f>
        <v>Quelle est la principale raison historique de la forte rivalité entre les villages de Gignac et de Cournonterral ?</v>
      </c>
      <c r="I41" s="6" t="str">
        <f>IFERROR(__xludf.DUMMYFUNCTION("GOOGLETRANSLATE(C41, ""en"", ""fr"")"),"A) Ce sont les deux clubs les plus anciens, B) Ce sont les deux clubs les plus dominants et les plus titrés de l'histoire de ce sport, C) Ils sont originaires de régions différentes, D) Ils ont des affiliations politiques différentes")</f>
        <v>A) Ce sont les deux clubs les plus anciens, B) Ce sont les deux clubs les plus dominants et les plus titrés de l'histoire de ce sport, C) Ils sont originaires de régions différentes, D) Ils ont des affiliations politiques différentes</v>
      </c>
      <c r="J41" s="6" t="str">
        <f>IFERROR(__xludf.DUMMYFUNCTION("GOOGLETRANSLATE(D41, ""en"", ""fr"")"),"B) Ce sont les deux clubs les plus dominants et les plus titrés de l'histoire de ce sport.")</f>
        <v>B) Ce sont les deux clubs les plus dominants et les plus titrés de l'histoire de ce sport.</v>
      </c>
      <c r="K41" s="6" t="str">
        <f>IFERROR(__xludf.DUMMYFUNCTION("GOOGLETRANSLATE(E41, ""en"", ""fr"")"),"L'histoire du championnat de France est en grande partie celle de l'intense rivalité sportive entre ces deux villages phares.")</f>
        <v>L'histoire du championnat de France est en grande partie celle de l'intense rivalité sportive entre ces deux villages phares.</v>
      </c>
    </row>
    <row r="42" ht="22.5" customHeight="1">
      <c r="A42" s="4">
        <v>41.0</v>
      </c>
      <c r="B42" s="5" t="s">
        <v>684</v>
      </c>
      <c r="C42" s="5" t="s">
        <v>685</v>
      </c>
      <c r="D42" s="5" t="s">
        <v>686</v>
      </c>
      <c r="E42" s="5" t="s">
        <v>687</v>
      </c>
      <c r="G42" s="6" t="str">
        <f>IFERROR(__xludf.DUMMYFUNCTION("GOOGLETRANSLATE(A42, ""en"", ""fr"")"),"41")</f>
        <v>41</v>
      </c>
      <c r="H42" s="6" t="str">
        <f>IFERROR(__xludf.DUMMYFUNCTION("GOOGLETRANSLATE(B42, ""en"", ""fr"")"),"Comment appelle-t-on la surface de jeu de ce jeu traditionnel en extérieur ?")</f>
        <v>Comment appelle-t-on la surface de jeu de ce jeu traditionnel en extérieur ?</v>
      </c>
      <c r="I42" s="6" t="str">
        <f>IFERROR(__xludf.DUMMYFUNCTION("GOOGLETRANSLATE(C42, ""en"", ""fr"")"),"A) Un court, B) Un terrain, C) Un tambourodrome, D) Un terrain")</f>
        <v>A) Un court, B) Un terrain, C) Un tambourodrome, D) Un terrain</v>
      </c>
      <c r="J42" s="6" t="str">
        <f>IFERROR(__xludf.DUMMYFUNCTION("GOOGLETRANSLATE(D42, ""en"", ""fr"")"),"D) Un terrain")</f>
        <v>D) Un terrain</v>
      </c>
      <c r="K42" s="6" t="str">
        <f>IFERROR(__xludf.DUMMYFUNCTION("GOOGLETRANSLATE(E42, ""en"", ""fr"")"),"En français, le terme désignant le terrain de jeu est simplement « le terrain ».")</f>
        <v>En français, le terme désignant le terrain de jeu est simplement « le terrain ».</v>
      </c>
    </row>
    <row r="43" ht="22.5" customHeight="1">
      <c r="A43" s="4">
        <v>42.0</v>
      </c>
      <c r="B43" s="5" t="s">
        <v>688</v>
      </c>
      <c r="C43" s="5" t="s">
        <v>689</v>
      </c>
      <c r="D43" s="5" t="s">
        <v>690</v>
      </c>
      <c r="E43" s="5" t="s">
        <v>691</v>
      </c>
      <c r="G43" s="6" t="str">
        <f>IFERROR(__xludf.DUMMYFUNCTION("GOOGLETRANSLATE(A43, ""en"", ""fr"")"),"42")</f>
        <v>42</v>
      </c>
      <c r="H43" s="6" t="str">
        <f>IFERROR(__xludf.DUMMYFUNCTION("GOOGLETRANSLATE(B43, ""en"", ""fr"")"),"L'invention du tambourin au XIXe siècle est attribuée à un artisan de quel métier ?")</f>
        <v>L'invention du tambourin au XIXe siècle est attribuée à un artisan de quel métier ?</v>
      </c>
      <c r="I43" s="6" t="str">
        <f>IFERROR(__xludf.DUMMYFUNCTION("GOOGLETRANSLATE(C43, ""en"", ""fr"")"),"A) Un forgeron, B) Un charpentier, C) Un tonnelier, D) Un cordonnier")</f>
        <v>A) Un forgeron, B) Un charpentier, C) Un tonnelier, D) Un cordonnier</v>
      </c>
      <c r="J43" s="6" t="str">
        <f>IFERROR(__xludf.DUMMYFUNCTION("GOOGLETRANSLATE(D43, ""en"", ""fr"")"),"C) Un tonnelier")</f>
        <v>C) Un tonnelier</v>
      </c>
      <c r="K43" s="6" t="str">
        <f>IFERROR(__xludf.DUMMYFUNCTION("GOOGLETRANSLATE(E43, ""en"", ""fr"")"),"Un tonnelier de la ville portuaire de Mèze a utilisé son savoir-faire en matière de cintrage du bois et d'étirement des peaux pour créer le premier tambourin en 1861.")</f>
        <v>Un tonnelier de la ville portuaire de Mèze a utilisé son savoir-faire en matière de cintrage du bois et d'étirement des peaux pour créer le premier tambourin en 1861.</v>
      </c>
    </row>
    <row r="44" ht="22.5" customHeight="1">
      <c r="A44" s="4">
        <v>43.0</v>
      </c>
      <c r="B44" s="5" t="s">
        <v>692</v>
      </c>
      <c r="C44" s="5" t="s">
        <v>693</v>
      </c>
      <c r="D44" s="5" t="s">
        <v>694</v>
      </c>
      <c r="E44" s="5" t="s">
        <v>695</v>
      </c>
      <c r="G44" s="6" t="str">
        <f>IFERROR(__xludf.DUMMYFUNCTION("GOOGLETRANSLATE(A44, ""en"", ""fr"")"),"43")</f>
        <v>43</v>
      </c>
      <c r="H44" s="6" t="str">
        <f>IFERROR(__xludf.DUMMYFUNCTION("GOOGLETRANSLATE(B44, ""en"", ""fr"")"),"Pourquoi l'adoption des règles italiennes du « jeu ouvert » a-t-elle constitué un tournant majeur pour ce sport en France ?")</f>
        <v>Pourquoi l'adoption des règles italiennes du « jeu ouvert » a-t-elle constitué un tournant majeur pour ce sport en France ?</v>
      </c>
      <c r="I44" s="6" t="str">
        <f>IFERROR(__xludf.DUMMYFUNCTION("GOOGLETRANSLATE(C44, ""en"", ""fr"")"),"A) Cela a rendu le jeu plus difficile, B) Cela a simplifié le système de points et rendu le jeu plus accessible aux nouveaux joueurs et spectateurs, C) Cela a conduit au déclin du sport, D) Cela a introduit un filet")</f>
        <v>A) Cela a rendu le jeu plus difficile, B) Cela a simplifié le système de points et rendu le jeu plus accessible aux nouveaux joueurs et spectateurs, C) Cela a conduit au déclin du sport, D) Cela a introduit un filet</v>
      </c>
      <c r="J44" s="6" t="str">
        <f>IFERROR(__xludf.DUMMYFUNCTION("GOOGLETRANSLATE(D44, ""en"", ""fr"")"),"B) Cela a simplifié le système de points et rendu le jeu plus accessible aux nouveaux joueurs et aux spectateurs.")</f>
        <v>B) Cela a simplifié le système de points et rendu le jeu plus accessible aux nouveaux joueurs et aux spectateurs.</v>
      </c>
      <c r="K44" s="6" t="str">
        <f>IFERROR(__xludf.DUMMYFUNCTION("GOOGLETRANSLATE(E44, ""en"", ""fr"")"),"Le système de « jeu ouvert », similaire au système de pointage au tennis, était beaucoup plus dynamique et plus facile à suivre que les règles françaises traditionnelles complexes.")</f>
        <v>Le système de « jeu ouvert », similaire au système de pointage au tennis, était beaucoup plus dynamique et plus facile à suivre que les règles françaises traditionnelles complexes.</v>
      </c>
    </row>
    <row r="45" ht="22.5" customHeight="1">
      <c r="A45" s="4">
        <v>44.0</v>
      </c>
      <c r="B45" s="5" t="s">
        <v>696</v>
      </c>
      <c r="C45" s="5" t="s">
        <v>697</v>
      </c>
      <c r="D45" s="5" t="s">
        <v>698</v>
      </c>
      <c r="E45" s="5" t="s">
        <v>699</v>
      </c>
      <c r="G45" s="6" t="str">
        <f>IFERROR(__xludf.DUMMYFUNCTION("GOOGLETRANSLATE(A45, ""en"", ""fr"")"),"44")</f>
        <v>44</v>
      </c>
      <c r="H45" s="6" t="str">
        <f>IFERROR(__xludf.DUMMYFUNCTION("GOOGLETRANSLATE(B45, ""en"", ""fr"")"),"Quelle est l'origine historique de la composition d'équipe de 5 joueurs par équipe ?")</f>
        <v>Quelle est l'origine historique de la composition d'équipe de 5 joueurs par équipe ?</v>
      </c>
      <c r="I45" s="6" t="str">
        <f>IFERROR(__xludf.DUMMYFUNCTION("GOOGLETRANSLATE(C45, ""en"", ""fr"")"),"A) Il a été copié du basketball, B) Il est issu des équipes traditionnelles des villages, C) C'était une règle établie par la Fédération italienne, D) Il a été choisi au hasard")</f>
        <v>A) Il a été copié du basketball, B) Il est issu des équipes traditionnelles des villages, C) C'était une règle établie par la Fédération italienne, D) Il a été choisi au hasard</v>
      </c>
      <c r="J45" s="6" t="str">
        <f>IFERROR(__xludf.DUMMYFUNCTION("GOOGLETRANSLATE(D45, ""en"", ""fr"")"),"B) Elle a évolué à partir des équipes traditionnelles des villages")</f>
        <v>B) Elle a évolué à partir des équipes traditionnelles des villages</v>
      </c>
      <c r="K45" s="6" t="str">
        <f>IFERROR(__xludf.DUMMYFUNCTION("GOOGLETRANSLATE(E45, ""en"", ""fr"")"),"La formation à cinq joueurs s'est développée naturellement comme la norme pour couvrir le vaste terrain de jeu.")</f>
        <v>La formation à cinq joueurs s'est développée naturellement comme la norme pour couvrir le vaste terrain de jeu.</v>
      </c>
    </row>
    <row r="46" ht="22.5" customHeight="1">
      <c r="A46" s="4">
        <v>45.0</v>
      </c>
      <c r="B46" s="5" t="s">
        <v>700</v>
      </c>
      <c r="C46" s="5" t="s">
        <v>701</v>
      </c>
      <c r="D46" s="5" t="s">
        <v>702</v>
      </c>
      <c r="E46" s="5" t="s">
        <v>703</v>
      </c>
      <c r="G46" s="6" t="str">
        <f>IFERROR(__xludf.DUMMYFUNCTION("GOOGLETRANSLATE(A46, ""en"", ""fr"")"),"45")</f>
        <v>45</v>
      </c>
      <c r="H46" s="6" t="str">
        <f>IFERROR(__xludf.DUMMYFUNCTION("GOOGLETRANSLATE(B46, ""en"", ""fr"")"),"En quelle année a eu lieu la première Coupe de France ?")</f>
        <v>En quelle année a eu lieu la première Coupe de France ?</v>
      </c>
      <c r="I46" s="6" t="str">
        <f>IFERROR(__xludf.DUMMYFUNCTION("GOOGLETRANSLATE(C46, ""en"", ""fr"")"),"A) 1939, B) 1945, C) 1949, D) 1952")</f>
        <v>A) 1939, B) 1945, C) 1949, D) 1952</v>
      </c>
      <c r="J46" s="6" t="str">
        <f>IFERROR(__xludf.DUMMYFUNCTION("GOOGLETRANSLATE(D46, ""en"", ""fr"")"),"C) 1949")</f>
        <v>C) 1949</v>
      </c>
      <c r="K46" s="6" t="str">
        <f>IFERROR(__xludf.DUMMYFUNCTION("GOOGLETRANSLATE(E46, ""en"", ""fr"")"),"La Coupe de France a été créée en 1949 comme un événement clé pour aider à relancer et à réorganiser le sport après les bouleversements de la Seconde Guerre mondiale.")</f>
        <v>La Coupe de France a été créée en 1949 comme un événement clé pour aider à relancer et à réorganiser le sport après les bouleversements de la Seconde Guerre mondiale.</v>
      </c>
    </row>
    <row r="47" ht="22.5" customHeight="1">
      <c r="A47" s="4">
        <v>46.0</v>
      </c>
      <c r="B47" s="5" t="s">
        <v>704</v>
      </c>
      <c r="C47" s="5" t="s">
        <v>705</v>
      </c>
      <c r="D47" s="5" t="s">
        <v>706</v>
      </c>
      <c r="E47" s="5" t="s">
        <v>707</v>
      </c>
      <c r="G47" s="6" t="str">
        <f>IFERROR(__xludf.DUMMYFUNCTION("GOOGLETRANSLATE(A47, ""en"", ""fr"")"),"46")</f>
        <v>46</v>
      </c>
      <c r="H47" s="6" t="str">
        <f>IFERROR(__xludf.DUMMYFUNCTION("GOOGLETRANSLATE(B47, ""en"", ""fr"")"),"Quel type de compétition était le plus prestigieux et le plus populaire au début du XXe siècle ?")</f>
        <v>Quel type de compétition était le plus prestigieux et le plus populaire au début du XXe siècle ?</v>
      </c>
      <c r="I47" s="6" t="str">
        <f>IFERROR(__xludf.DUMMYFUNCTION("GOOGLETRANSLATE(C47, ""en"", ""fr"")"),"A) Le championnat national, B) La Coupe de France, C) Les concours locaux, D) Les matchs internationaux")</f>
        <v>A) Le championnat national, B) La Coupe de France, C) Les concours locaux, D) Les matchs internationaux</v>
      </c>
      <c r="J47" s="6" t="str">
        <f>IFERROR(__xludf.DUMMYFUNCTION("GOOGLETRANSLATE(D47, ""en"", ""fr"")"),"C) Le concours local du village (tournois)")</f>
        <v>C) Le concours local du village (tournois)</v>
      </c>
      <c r="K47" s="6" t="str">
        <f>IFERROR(__xludf.DUMMYFUNCTION("GOOGLETRANSLATE(E47, ""en"", ""fr"")"),"Avant que le championnat national ne prenne de l'importance, les grands tournois annuels dans des villes comme Pézenas étaient les événements les plus importants de l'année.")</f>
        <v>Avant que le championnat national ne prenne de l'importance, les grands tournois annuels dans des villes comme Pézenas étaient les événements les plus importants de l'année.</v>
      </c>
    </row>
    <row r="48" ht="22.5" customHeight="1">
      <c r="A48" s="4">
        <v>47.0</v>
      </c>
      <c r="B48" s="5" t="s">
        <v>708</v>
      </c>
      <c r="C48" s="5" t="s">
        <v>709</v>
      </c>
      <c r="D48" s="5" t="s">
        <v>710</v>
      </c>
      <c r="E48" s="5" t="s">
        <v>711</v>
      </c>
      <c r="G48" s="6" t="str">
        <f>IFERROR(__xludf.DUMMYFUNCTION("GOOGLETRANSLATE(A48, ""en"", ""fr"")"),"47")</f>
        <v>47</v>
      </c>
      <c r="H48" s="6" t="str">
        <f>IFERROR(__xludf.DUMMYFUNCTION("GOOGLETRANSLATE(B48, ""en"", ""fr"")"),"Historiquement, de quoi était faite la balle ?")</f>
        <v>Historiquement, de quoi était faite la balle ?</v>
      </c>
      <c r="I48" s="6" t="str">
        <f>IFERROR(__xludf.DUMMYFUNCTION("GOOGLETRANSLATE(C48, ""en"", ""fr"")"),"A) Bois, B) Liège, C) Cuir rembourré, D) Caoutchouc")</f>
        <v>A) Bois, B) Liège, C) Cuir rembourré, D) Caoutchouc</v>
      </c>
      <c r="J48" s="6" t="str">
        <f>IFERROR(__xludf.DUMMYFUNCTION("GOOGLETRANSLATE(D48, ""en"", ""fr"")"),"C) Cuir rembourré")</f>
        <v>C) Cuir rembourré</v>
      </c>
      <c r="K48" s="6" t="str">
        <f>IFERROR(__xludf.DUMMYFUNCTION("GOOGLETRANSLATE(E48, ""en"", ""fr"")"),"Les premières balles étaient en cuir cousu à la main et remplies d'une matière semblable à du crin de cheval, comme les premières balles de tennis.")</f>
        <v>Les premières balles étaient en cuir cousu à la main et remplies d'une matière semblable à du crin de cheval, comme les premières balles de tennis.</v>
      </c>
    </row>
    <row r="49" ht="22.5" customHeight="1">
      <c r="A49" s="4">
        <v>48.0</v>
      </c>
      <c r="B49" s="5" t="s">
        <v>712</v>
      </c>
      <c r="C49" s="5" t="s">
        <v>713</v>
      </c>
      <c r="D49" s="5" t="s">
        <v>714</v>
      </c>
      <c r="E49" s="5" t="s">
        <v>715</v>
      </c>
      <c r="G49" s="6" t="str">
        <f>IFERROR(__xludf.DUMMYFUNCTION("GOOGLETRANSLATE(A49, ""en"", ""fr"")"),"48")</f>
        <v>48</v>
      </c>
      <c r="H49" s="6" t="str">
        <f>IFERROR(__xludf.DUMMYFUNCTION("GOOGLETRANSLATE(B49, ""en"", ""fr"")"),"Le jeu de tambourin pratiqué dans la région du Beaujolais, près de Lyon, possède quelle particularité historique unique ?")</f>
        <v>Le jeu de tambourin pratiqué dans la région du Beaujolais, près de Lyon, possède quelle particularité historique unique ?</v>
      </c>
      <c r="I49" s="6" t="str">
        <f>IFERROR(__xludf.DUMMYFUNCTION("GOOGLETRANSLATE(C49, ""en"", ""fr"")"),"A) On y joue avec un tambourin beaucoup plus grand, B) Le terrain est recouvert de sable, C) On y joue sur un terrain en pente, D) On y joue sans balle")</f>
        <v>A) On y joue avec un tambourin beaucoup plus grand, B) Le terrain est recouvert de sable, C) On y joue sur un terrain en pente, D) On y joue sans balle</v>
      </c>
      <c r="J49" s="6" t="str">
        <f>IFERROR(__xludf.DUMMYFUNCTION("GOOGLETRANSLATE(D49, ""en"", ""fr"")"),"C) Il se joue sur un court en pente.")</f>
        <v>C) Il se joue sur un court en pente.</v>
      </c>
      <c r="K49" s="6" t="str">
        <f>IFERROR(__xludf.DUMMYFUNCTION("GOOGLETRANSLATE(E49, ""en"", ""fr"")"),"Cette variante régionale, connue sous le nom de « Tambourin en pente », possède un terrain unique avec une pente importante, ce qui affecte le rebond de la balle et la stratégie du jeu.")</f>
        <v>Cette variante régionale, connue sous le nom de « Tambourin en pente », possède un terrain unique avec une pente importante, ce qui affecte le rebond de la balle et la stratégie du jeu.</v>
      </c>
    </row>
    <row r="50" ht="22.5" customHeight="1">
      <c r="A50" s="4">
        <v>49.0</v>
      </c>
      <c r="B50" s="5" t="s">
        <v>716</v>
      </c>
      <c r="C50" s="5" t="s">
        <v>717</v>
      </c>
      <c r="D50" s="5" t="s">
        <v>718</v>
      </c>
      <c r="E50" s="5" t="s">
        <v>719</v>
      </c>
      <c r="G50" s="6" t="str">
        <f>IFERROR(__xludf.DUMMYFUNCTION("GOOGLETRANSLATE(A50, ""en"", ""fr"")"),"49")</f>
        <v>49</v>
      </c>
      <c r="H50" s="6" t="str">
        <f>IFERROR(__xludf.DUMMYFUNCTION("GOOGLETRANSLATE(B50, ""en"", ""fr"")"),"Quel a été l'impact de la création de la Fédération internationale en 1988 ?")</f>
        <v>Quel a été l'impact de la création de la Fédération internationale en 1988 ?</v>
      </c>
      <c r="I50" s="6" t="str">
        <f>IFERROR(__xludf.DUMMYFUNCTION("GOOGLETRANSLATE(C50, ""en"", ""fr"")"),"A) Cela a entraîné une baisse de la popularité du sport, B) Cela a permis l'organisation de championnats du monde et d'Europe officiels, C) Cela a modifié les règles du football français, D) Cela n'a eu aucun impact réel")</f>
        <v>A) Cela a entraîné une baisse de la popularité du sport, B) Cela a permis l'organisation de championnats du monde et d'Europe officiels, C) Cela a modifié les règles du football français, D) Cela n'a eu aucun impact réel</v>
      </c>
      <c r="J50" s="6" t="str">
        <f>IFERROR(__xludf.DUMMYFUNCTION("GOOGLETRANSLATE(D50, ""en"", ""fr"")"),"B) Cela a permis à ce sport d'organiser des championnats du monde et d'Europe officiels.")</f>
        <v>B) Cela a permis à ce sport d'organiser des championnats du monde et d'Europe officiels.</v>
      </c>
      <c r="K50" s="6" t="str">
        <f>IFERROR(__xludf.DUMMYFUNCTION("GOOGLETRANSLATE(E50, ""en"", ""fr"")"),"La création de la F.I.B.T. a constitué une étape majeure en donnant à ce sport une structure mondiale et une plateforme pour la compétition internationale.")</f>
        <v>La création de la F.I.B.T. a constitué une étape majeure en donnant à ce sport une structure mondiale et une plateforme pour la compétition internationale.</v>
      </c>
    </row>
    <row r="51" ht="22.5" customHeight="1">
      <c r="A51" s="4">
        <v>50.0</v>
      </c>
      <c r="B51" s="5" t="s">
        <v>720</v>
      </c>
      <c r="C51" s="5" t="s">
        <v>721</v>
      </c>
      <c r="D51" s="5" t="s">
        <v>722</v>
      </c>
      <c r="E51" s="5" t="s">
        <v>723</v>
      </c>
      <c r="G51" s="6" t="str">
        <f>IFERROR(__xludf.DUMMYFUNCTION("GOOGLETRANSLATE(A51, ""en"", ""fr"")"),"50")</f>
        <v>50</v>
      </c>
      <c r="H51" s="6" t="str">
        <f>IFERROR(__xludf.DUMMYFUNCTION("GOOGLETRANSLATE(B51, ""en"", ""fr"")"),"Le cœur traditionnel du Tambourin en France est un petit ensemble de villages situé dans quelle zone géographique ?")</f>
        <v>Le cœur traditionnel du Tambourin en France est un petit ensemble de villages situé dans quelle zone géographique ?</v>
      </c>
      <c r="I51" s="6" t="str">
        <f>IFERROR(__xludf.DUMMYFUNCTION("GOOGLETRANSLATE(C51, ""en"", ""fr"")"),"A) Les Alpes françaises, B) La vallée de la Loire, C) La vallée de l'Hérault, D) La côte normande")</f>
        <v>A) Les Alpes françaises, B) La vallée de la Loire, C) La vallée de l'Hérault, D) La côte normande</v>
      </c>
      <c r="J51" s="6" t="str">
        <f>IFERROR(__xludf.DUMMYFUNCTION("GOOGLETRANSLATE(D51, ""en"", ""fr"")"),"C) La vallée de la rivière Hérault")</f>
        <v>C) La vallée de la rivière Hérault</v>
      </c>
      <c r="K51" s="6" t="str">
        <f>IFERROR(__xludf.DUMMYFUNCTION("GOOGLETRANSLATE(E51, ""en"", ""fr"")"),"Le « berceau » de ce sport est une très petite zone située dans la vallée de l'Hérault, centrée autour de villes comme Gignac, Montpellier et Mèze.")</f>
        <v>Le « berceau » de ce sport est une très petite zone située dans la vallée de l'Hérault, centrée autour de villes comme Gignac, Montpellier et Mèze.</v>
      </c>
    </row>
    <row r="52" ht="22.5" customHeight="1">
      <c r="A52" s="4">
        <v>51.0</v>
      </c>
      <c r="B52" s="5" t="s">
        <v>724</v>
      </c>
      <c r="C52" s="5" t="s">
        <v>725</v>
      </c>
      <c r="D52" s="5" t="s">
        <v>726</v>
      </c>
      <c r="E52" s="5" t="s">
        <v>727</v>
      </c>
      <c r="G52" s="6" t="str">
        <f>IFERROR(__xludf.DUMMYFUNCTION("GOOGLETRANSLATE(A52, ""en"", ""fr"")"),"51")</f>
        <v>51</v>
      </c>
      <c r="H52" s="6" t="str">
        <f>IFERROR(__xludf.DUMMYFUNCTION("GOOGLETRANSLATE(B52, ""en"", ""fr"")"),"Quelle était la principale motivation des premiers matchs France-Italie en 1955 ?")</f>
        <v>Quelle était la principale motivation des premiers matchs France-Italie en 1955 ?</v>
      </c>
      <c r="I52" s="6" t="str">
        <f>IFERROR(__xludf.DUMMYFUNCTION("GOOGLETRANSLATE(C52, ""en"", ""fr"")"),"A) Un geste politique de bonne volonté, B) Déterminer la supériorité des règles de chaque pays, C) Le désir de mesurer les compétences françaises face à la réputation de force des joueurs italiens, D) Un accord de sponsoring commercial")</f>
        <v>A) Un geste politique de bonne volonté, B) Déterminer la supériorité des règles de chaque pays, C) Le désir de mesurer les compétences françaises face à la réputation de force des joueurs italiens, D) Un accord de sponsoring commercial</v>
      </c>
      <c r="J52" s="6" t="str">
        <f>IFERROR(__xludf.DUMMYFUNCTION("GOOGLETRANSLATE(D52, ""en"", ""fr"")"),"C) L'envie de mettre à l'épreuve les compétences françaises face aux joueurs italiens réputés pour leur force.")</f>
        <v>C) L'envie de mettre à l'épreuve les compétences françaises face aux joueurs italiens réputés pour leur force.</v>
      </c>
      <c r="K52" s="6" t="str">
        <f>IFERROR(__xludf.DUMMYFUNCTION("GOOGLETRANSLATE(E52, ""en"", ""fr"")"),"Les joueurs et les officiels français étaient impatients de se mesurer aux Italiens, considérés comme les maîtres de ce sport.")</f>
        <v>Les joueurs et les officiels français étaient impatients de se mesurer aux Italiens, considérés comme les maîtres de ce sport.</v>
      </c>
    </row>
    <row r="53" ht="22.5" customHeight="1">
      <c r="A53" s="4">
        <v>52.0</v>
      </c>
      <c r="B53" s="5" t="s">
        <v>728</v>
      </c>
      <c r="C53" s="5" t="s">
        <v>729</v>
      </c>
      <c r="D53" s="5" t="s">
        <v>730</v>
      </c>
      <c r="E53" s="5" t="s">
        <v>731</v>
      </c>
      <c r="G53" s="6" t="str">
        <f>IFERROR(__xludf.DUMMYFUNCTION("GOOGLETRANSLATE(A53, ""en"", ""fr"")"),"52")</f>
        <v>52</v>
      </c>
      <c r="H53" s="6" t="str">
        <f>IFERROR(__xludf.DUMMYFUNCTION("GOOGLETRANSLATE(B53, ""en"", ""fr"")"),"Au XIXe siècle, comment les joueurs se procuraient-ils généralement leur équipement ?")</f>
        <v>Au XIXe siècle, comment les joueurs se procuraient-ils généralement leur équipement ?</v>
      </c>
      <c r="I53" s="6" t="str">
        <f>IFERROR(__xludf.DUMMYFUNCTION("GOOGLETRANSLATE(C53, ""en"", ""fr"")"),"A) Ils l'ont acheté dans des magasins de sport spécialisés, B) Ils l'ont fabriqué eux-mêmes ou l'ont fait fabriquer par des artisans locaux, C) Il leur a été offert par le gouvernement, D) Ils l'ont importé d'Italie")</f>
        <v>A) Ils l'ont acheté dans des magasins de sport spécialisés, B) Ils l'ont fabriqué eux-mêmes ou l'ont fait fabriquer par des artisans locaux, C) Il leur a été offert par le gouvernement, D) Ils l'ont importé d'Italie</v>
      </c>
      <c r="J53" s="6" t="str">
        <f>IFERROR(__xludf.DUMMYFUNCTION("GOOGLETRANSLATE(D53, ""en"", ""fr"")"),"B) Ils l'ont fabriqué eux-mêmes ou l'ont fait fabriquer par des artisans locaux.")</f>
        <v>B) Ils l'ont fabriqué eux-mêmes ou l'ont fait fabriquer par des artisans locaux.</v>
      </c>
      <c r="K53" s="6" t="str">
        <f>IFERROR(__xludf.DUMMYFUNCTION("GOOGLETRANSLATE(E53, ""en"", ""fr"")"),"Sport traditionnel, l'équipement n'était pas produit en série. Chaque brassard ou tambourin était généralement fabriqué à la main par un artisan local.")</f>
        <v>Sport traditionnel, l'équipement n'était pas produit en série. Chaque brassard ou tambourin était généralement fabriqué à la main par un artisan local.</v>
      </c>
    </row>
    <row r="54" ht="22.5" customHeight="1">
      <c r="A54" s="4">
        <v>53.0</v>
      </c>
      <c r="B54" s="5" t="s">
        <v>732</v>
      </c>
      <c r="C54" s="5" t="s">
        <v>733</v>
      </c>
      <c r="D54" s="5" t="s">
        <v>734</v>
      </c>
      <c r="E54" s="5" t="s">
        <v>735</v>
      </c>
      <c r="G54" s="6" t="str">
        <f>IFERROR(__xludf.DUMMYFUNCTION("GOOGLETRANSLATE(A54, ""en"", ""fr"")"),"53")</f>
        <v>53</v>
      </c>
      <c r="H54" s="6" t="str">
        <f>IFERROR(__xludf.DUMMYFUNCTION("GOOGLETRANSLATE(B54, ""en"", ""fr"")"),"Quel effet significatif a eu la participation de Tambourin aux Jeux méditerranéens de 1993 ?")</f>
        <v>Quel effet significatif a eu la participation de Tambourin aux Jeux méditerranéens de 1993 ?</v>
      </c>
      <c r="I54" s="6" t="str">
        <f>IFERROR(__xludf.DUMMYFUNCTION("GOOGLETRANSLATE(C54, ""en"", ""fr"")"),"A) Il est devenu un sport olympique, B) Il a fait découvrir ce sport à de nombreux nouveaux pays et lui a offert une visibilité médiatique internationale, C) Il a entraîné un changement majeur de règlement, D) Il n'a eu aucun effet durable")</f>
        <v>A) Il est devenu un sport olympique, B) Il a fait découvrir ce sport à de nombreux nouveaux pays et lui a offert une visibilité médiatique internationale, C) Il a entraîné un changement majeur de règlement, D) Il n'a eu aucun effet durable</v>
      </c>
      <c r="J54" s="6" t="str">
        <f>IFERROR(__xludf.DUMMYFUNCTION("GOOGLETRANSLATE(D54, ""en"", ""fr"")"),"B) Cela a permis de faire découvrir ce sport à de nombreux nouveaux pays et de lui offrir une visibilité médiatique internationale.")</f>
        <v>B) Cela a permis de faire découvrir ce sport à de nombreux nouveaux pays et de lui offrir une visibilité médiatique internationale.</v>
      </c>
      <c r="K54" s="6" t="str">
        <f>IFERROR(__xludf.DUMMYFUNCTION("GOOGLETRANSLATE(E54, ""en"", ""fr"")"),"Le fait d'être un sport de démonstration lors de cet événement majeur a énormément contribué à la reconnaissance internationale de ce sport.")</f>
        <v>Le fait d'être un sport de démonstration lors de cet événement majeur a énormément contribué à la reconnaissance internationale de ce sport.</v>
      </c>
    </row>
    <row r="55" ht="22.5" customHeight="1">
      <c r="A55" s="4">
        <v>54.0</v>
      </c>
      <c r="B55" s="5" t="s">
        <v>736</v>
      </c>
      <c r="C55" s="5" t="s">
        <v>737</v>
      </c>
      <c r="D55" s="5" t="s">
        <v>738</v>
      </c>
      <c r="E55" s="5" t="s">
        <v>739</v>
      </c>
      <c r="G55" s="6" t="str">
        <f>IFERROR(__xludf.DUMMYFUNCTION("GOOGLETRANSLATE(A55, ""en"", ""fr"")"),"54")</f>
        <v>54</v>
      </c>
      <c r="H55" s="6" t="str">
        <f>IFERROR(__xludf.DUMMYFUNCTION("GOOGLETRANSLATE(B55, ""en"", ""fr"")"),"Quelle est l'origine historique des positions sur le court, telles que le fond (arrière) et le cordonnier (avant) ?")</f>
        <v>Quelle est l'origine historique des positions sur le court, telles que le fond (arrière) et le cordonnier (avant) ?</v>
      </c>
      <c r="I55" s="6" t="str">
        <f>IFERROR(__xludf.DUMMYFUNCTION("GOOGLETRANSLATE(C55, ""en"", ""fr"")"),"A) Elles sont inspirées du tennis, B) Elles sont issues des positions stratégiques du Jeu de Paume, C) Elles ont été inventées en Italie, D) Elles portent le nom de joueurs célèbres")</f>
        <v>A) Elles sont inspirées du tennis, B) Elles sont issues des positions stratégiques du Jeu de Paume, C) Elles ont été inventées en Italie, D) Elles portent le nom de joueurs célèbres</v>
      </c>
      <c r="J55" s="6" t="str">
        <f>IFERROR(__xludf.DUMMYFUNCTION("GOOGLETRANSLATE(D55, ""en"", ""fr"")"),"B) Elles ont évolué à partir des positions stratégiques du Jeu de Paume")</f>
        <v>B) Elles ont évolué à partir des positions stratégiques du Jeu de Paume</v>
      </c>
      <c r="K55" s="6" t="str">
        <f>IFERROR(__xludf.DUMMYFUNCTION("GOOGLETRANSLATE(E55, ""en"", ""fr"")"),"Les rôles tactiques et les positions sur le terrain au Tambourin sont un descendant direct des positions spécialisées utilisées dans son sport ancestral.")</f>
        <v>Les rôles tactiques et les positions sur le terrain au Tambourin sont un descendant direct des positions spécialisées utilisées dans son sport ancestral.</v>
      </c>
    </row>
    <row r="56" ht="22.5" customHeight="1">
      <c r="A56" s="4">
        <v>55.0</v>
      </c>
      <c r="B56" s="5" t="s">
        <v>740</v>
      </c>
      <c r="C56" s="5" t="s">
        <v>741</v>
      </c>
      <c r="D56" s="5" t="s">
        <v>742</v>
      </c>
      <c r="E56" s="5" t="s">
        <v>743</v>
      </c>
      <c r="G56" s="6" t="str">
        <f>IFERROR(__xludf.DUMMYFUNCTION("GOOGLETRANSLATE(A56, ""en"", ""fr"")"),"55")</f>
        <v>55</v>
      </c>
      <c r="H56" s="6" t="str">
        <f>IFERROR(__xludf.DUMMYFUNCTION("GOOGLETRANSLATE(B56, ""en"", ""fr"")"),"Quel célèbre écrivain et universitaire français était un fervent défenseur du tambourin, qu'il considérait comme un élément clé de la culture occitane ?")</f>
        <v>Quel célèbre écrivain et universitaire français était un fervent défenseur du tambourin, qu'il considérait comme un élément clé de la culture occitane ?</v>
      </c>
      <c r="I56" s="6" t="str">
        <f>IFERROR(__xludf.DUMMYFUNCTION("GOOGLETRANSLATE(C56, ""en"", ""fr"")"),"A) Albert Camus, B) Marcel Pagnol, C) Jean-Paul Sartre, D) Max Rouquette")</f>
        <v>A) Albert Camus, B) Marcel Pagnol, C) Jean-Paul Sartre, D) Max Rouquette</v>
      </c>
      <c r="J56" s="6" t="str">
        <f>IFERROR(__xludf.DUMMYFUNCTION("GOOGLETRANSLATE(D56, ""en"", ""fr"")"),"D) Max Rouquette")</f>
        <v>D) Max Rouquette</v>
      </c>
      <c r="K56" s="6" t="str">
        <f>IFERROR(__xludf.DUMMYFUNCTION("GOOGLETRANSLATE(E56, ""en"", ""fr"")"),"Max Rouquette a beaucoup écrit sur ce sport et a joué un rôle déterminant dans sa renaissance et sa modernisation après la guerre.")</f>
        <v>Max Rouquette a beaucoup écrit sur ce sport et a joué un rôle déterminant dans sa renaissance et sa modernisation après la guerre.</v>
      </c>
    </row>
    <row r="57" ht="22.5" customHeight="1">
      <c r="A57" s="4">
        <v>56.0</v>
      </c>
      <c r="B57" s="5" t="s">
        <v>744</v>
      </c>
      <c r="C57" s="5" t="s">
        <v>745</v>
      </c>
      <c r="D57" s="5" t="s">
        <v>746</v>
      </c>
      <c r="E57" s="5" t="s">
        <v>747</v>
      </c>
      <c r="G57" s="6" t="str">
        <f>IFERROR(__xludf.DUMMYFUNCTION("GOOGLETRANSLATE(A57, ""en"", ""fr"")"),"56")</f>
        <v>56</v>
      </c>
      <c r="H57" s="6" t="str">
        <f>IFERROR(__xludf.DUMMYFUNCTION("GOOGLETRANSLATE(B57, ""en"", ""fr"")"),"Quelle fut la principale raison de l'échec de la première Fédération française, fondée en 1922 ?")</f>
        <v>Quelle fut la principale raison de l'échec de la première Fédération française, fondée en 1922 ?</v>
      </c>
      <c r="I57" s="6" t="str">
        <f>IFERROR(__xludf.DUMMYFUNCTION("GOOGLETRANSLATE(C57, ""en"", ""fr"")"),"A) Un manque d'équipes, B) Un manque de financement, C) Des conflits internes et un défaut d'organisation formelle, D) Le déclenchement de la guerre")</f>
        <v>A) Un manque d'équipes, B) Un manque de financement, C) Des conflits internes et un défaut d'organisation formelle, D) Le déclenchement de la guerre</v>
      </c>
      <c r="J57" s="6" t="str">
        <f>IFERROR(__xludf.DUMMYFUNCTION("GOOGLETRANSLATE(D57, ""en"", ""fr"")"),"C) Conflits internes et absence d'organisation formelle")</f>
        <v>C) Conflits internes et absence d'organisation formelle</v>
      </c>
      <c r="K57" s="6" t="str">
        <f>IFERROR(__xludf.DUMMYFUNCTION("GOOGLETRANSLATE(E57, ""en"", ""fr"")"),"La première tentative de fédération fut une association informelle qui échoua finalement faute d'une organisation forte et centralisée.")</f>
        <v>La première tentative de fédération fut une association informelle qui échoua finalement faute d'une organisation forte et centralisée.</v>
      </c>
    </row>
    <row r="58" ht="22.5" customHeight="1">
      <c r="A58" s="4">
        <v>57.0</v>
      </c>
      <c r="B58" s="5" t="s">
        <v>748</v>
      </c>
      <c r="C58" s="5" t="s">
        <v>749</v>
      </c>
      <c r="D58" s="5" t="s">
        <v>750</v>
      </c>
      <c r="E58" s="5" t="s">
        <v>751</v>
      </c>
      <c r="G58" s="6" t="str">
        <f>IFERROR(__xludf.DUMMYFUNCTION("GOOGLETRANSLATE(A58, ""en"", ""fr"")"),"57")</f>
        <v>57</v>
      </c>
      <c r="H58" s="6" t="str">
        <f>IFERROR(__xludf.DUMMYFUNCTION("GOOGLETRANSLATE(B58, ""en"", ""fr"")"),"Comment le jeu italien du Tamburello est-il devenu semi-professionnel au XXe siècle ?")</f>
        <v>Comment le jeu italien du Tamburello est-il devenu semi-professionnel au XXe siècle ?</v>
      </c>
      <c r="I58" s="6" t="str">
        <f>IFERROR(__xludf.DUMMYFUNCTION("GOOGLETRANSLATE(C58, ""en"", ""fr"")"),"A) Il a été inclus aux Jeux olympiques, B) Les meilleurs joueurs ont commencé à être rémunérés et transférés d'un club à l'autre, C) Il ne se jouait que dans des stades, D) Il avait un contrat de télévision")</f>
        <v>A) Il a été inclus aux Jeux olympiques, B) Les meilleurs joueurs ont commencé à être rémunérés et transférés d'un club à l'autre, C) Il ne se jouait que dans des stades, D) Il avait un contrat de télévision</v>
      </c>
      <c r="J58" s="6" t="str">
        <f>IFERROR(__xludf.DUMMYFUNCTION("GOOGLETRANSLATE(D58, ""en"", ""fr"")"),"B) Les meilleurs joueurs ont commencé à être rémunérés et transférés entre les clubs.")</f>
        <v>B) Les meilleurs joueurs ont commencé à être rémunérés et transférés entre les clubs.</v>
      </c>
      <c r="K58" s="6" t="str">
        <f>IFERROR(__xludf.DUMMYFUNCTION("GOOGLETRANSLATE(E58, ""en"", ""fr"")"),"Le championnat italien est devenu une organisation semi-professionnelle très compétitive, un niveau de développement que le football français n'a pas atteint.")</f>
        <v>Le championnat italien est devenu une organisation semi-professionnelle très compétitive, un niveau de développement que le football français n'a pas atteint.</v>
      </c>
    </row>
    <row r="59" ht="22.5" customHeight="1">
      <c r="A59" s="4">
        <v>58.0</v>
      </c>
      <c r="B59" s="5" t="s">
        <v>752</v>
      </c>
      <c r="C59" s="5" t="s">
        <v>753</v>
      </c>
      <c r="D59" s="5" t="s">
        <v>754</v>
      </c>
      <c r="E59" s="5" t="s">
        <v>755</v>
      </c>
      <c r="G59" s="6" t="str">
        <f>IFERROR(__xludf.DUMMYFUNCTION("GOOGLETRANSLATE(A59, ""en"", ""fr"")"),"58")</f>
        <v>58</v>
      </c>
      <c r="H59" s="6" t="str">
        <f>IFERROR(__xludf.DUMMYFUNCTION("GOOGLETRANSLATE(B59, ""en"", ""fr"")"),"Quelle est la principale raison pour laquelle la ville de Montpellier est considérée aujourd'hui comme la « capitale » du Tambourin ?")</f>
        <v>Quelle est la principale raison pour laquelle la ville de Montpellier est considérée aujourd'hui comme la « capitale » du Tambourin ?</v>
      </c>
      <c r="I59" s="6" t="str">
        <f>IFERROR(__xludf.DUMMYFUNCTION("GOOGLETRANSLATE(C59, ""en"", ""fr"")"),"A) C'est là qu'a été fabriqué le premier tambourin, B) Il abrite le club le plus titré et est le centre administratif de la fédération, C) Il possède le plus grand terrain de jeu, D) C'est le plus ancien club")</f>
        <v>A) C'est là qu'a été fabriqué le premier tambourin, B) Il abrite le club le plus titré et est le centre administratif de la fédération, C) Il possède le plus grand terrain de jeu, D) C'est le plus ancien club</v>
      </c>
      <c r="J59" s="6" t="str">
        <f>IFERROR(__xludf.DUMMYFUNCTION("GOOGLETRANSLATE(D59, ""en"", ""fr"")"),"B) Elle abrite le club le plus titré et constitue le centre administratif de la fédération")</f>
        <v>B) Elle abrite le club le plus titré et constitue le centre administratif de la fédération</v>
      </c>
      <c r="K59" s="6" t="str">
        <f>IFERROR(__xludf.DUMMYFUNCTION("GOOGLETRANSLATE(E59, ""en"", ""fr"")"),"Montpellier a toujours été le centre névralgique de l'organisation de ce sport et abrite l'un de ses clubs les plus dominants.")</f>
        <v>Montpellier a toujours été le centre névralgique de l'organisation de ce sport et abrite l'un de ses clubs les plus dominants.</v>
      </c>
    </row>
    <row r="60" ht="22.5" customHeight="1">
      <c r="A60" s="4">
        <v>59.0</v>
      </c>
      <c r="B60" s="5" t="s">
        <v>756</v>
      </c>
      <c r="C60" s="5" t="s">
        <v>757</v>
      </c>
      <c r="D60" s="5" t="s">
        <v>758</v>
      </c>
      <c r="E60" s="5" t="s">
        <v>759</v>
      </c>
      <c r="G60" s="6" t="str">
        <f>IFERROR(__xludf.DUMMYFUNCTION("GOOGLETRANSLATE(A60, ""en"", ""fr"")"),"59")</f>
        <v>59</v>
      </c>
      <c r="H60" s="6" t="str">
        <f>IFERROR(__xludf.DUMMYFUNCTION("GOOGLETRANSLATE(B60, ""en"", ""fr"")"),"Quel a été l'impact principal de la Seconde Guerre mondiale sur la pratique du tambourin ?")</f>
        <v>Quel a été l'impact principal de la Seconde Guerre mondiale sur la pratique du tambourin ?</v>
      </c>
      <c r="I60" s="6" t="str">
        <f>IFERROR(__xludf.DUMMYFUNCTION("GOOGLETRANSLATE(C60, ""en"", ""fr"")"),"A) Cela n'a eu aucun impact. B) Cela a provoqué un déclin important dû à la perte de joueurs et à la suspension des activités. C) Cela a entraîné une augmentation de sa popularité en tant que distraction. D) Les règles ont été modifiées.")</f>
        <v>A) Cela n'a eu aucun impact. B) Cela a provoqué un déclin important dû à la perte de joueurs et à la suspension des activités. C) Cela a entraîné une augmentation de sa popularité en tant que distraction. D) Les règles ont été modifiées.</v>
      </c>
      <c r="J60" s="6" t="str">
        <f>IFERROR(__xludf.DUMMYFUNCTION("GOOGLETRANSLATE(D60, ""en"", ""fr"")"),"B) Cela a entraîné un déclin important dû à la perte de joueurs et à la suspension des activités.")</f>
        <v>B) Cela a entraîné un déclin important dû à la perte de joueurs et à la suspension des activités.</v>
      </c>
      <c r="K60" s="6" t="str">
        <f>IFERROR(__xludf.DUMMYFUNCTION("GOOGLETRANSLATE(E60, ""en"", ""fr"")"),"Les années de guerre furent une période de léthargie, et le sport dut être activement relancé à la fin des années 1940 et au début des années 1950.")</f>
        <v>Les années de guerre furent une période de léthargie, et le sport dut être activement relancé à la fin des années 1940 et au début des années 1950.</v>
      </c>
    </row>
    <row r="61" ht="22.5" customHeight="1">
      <c r="A61" s="4">
        <v>60.0</v>
      </c>
      <c r="B61" s="5" t="s">
        <v>760</v>
      </c>
      <c r="C61" s="5" t="s">
        <v>761</v>
      </c>
      <c r="D61" s="5" t="s">
        <v>762</v>
      </c>
      <c r="E61" s="5" t="s">
        <v>763</v>
      </c>
      <c r="G61" s="6" t="str">
        <f>IFERROR(__xludf.DUMMYFUNCTION("GOOGLETRANSLATE(A61, ""en"", ""fr"")"),"60")</f>
        <v>60</v>
      </c>
      <c r="H61" s="6" t="str">
        <f>IFERROR(__xludf.DUMMYFUNCTION("GOOGLETRANSLATE(B61, ""en"", ""fr"")"),"L'évolution du tambourin est un exemple classique de quel processus ?")</f>
        <v>L'évolution du tambourin est un exemple classique de quel processus ?</v>
      </c>
      <c r="I61" s="6" t="str">
        <f>IFERROR(__xludf.DUMMYFUNCTION("GOOGLETRANSLATE(C61, ""en"", ""fr"")"),"A) L'invention d'un nouveau sport, B) L'évolution d'un jeu folklorique traditionnel en un sport moderne organisé, C) Le déclin d'un sport traditionnel, D) La commercialisation d'un sport")</f>
        <v>A) L'invention d'un nouveau sport, B) L'évolution d'un jeu folklorique traditionnel en un sport moderne organisé, C) Le déclin d'un sport traditionnel, D) La commercialisation d'un sport</v>
      </c>
      <c r="J61" s="6" t="str">
        <f>IFERROR(__xludf.DUMMYFUNCTION("GOOGLETRANSLATE(D61, ""en"", ""fr"")"),"B) L'évolution d'un jeu folklorique traditionnel en un sport moderne organisé")</f>
        <v>B) L'évolution d'un jeu folklorique traditionnel en un sport moderne organisé</v>
      </c>
      <c r="K61" s="6" t="str">
        <f>IFERROR(__xludf.DUMMYFUNCTION("GOOGLETRANSLATE(E61, ""en"", ""fr"")"),"L'histoire du tambourin illustre le parcours typique d'un passe-temps local devenu un sport structuré avec des fédérations, des règles standardisées et des compétitions internationales.")</f>
        <v>L'histoire du tambourin illustre le parcours typique d'un passe-temps local devenu un sport structuré avec des fédérations, des règles standardisées et des compétitions internationales.</v>
      </c>
    </row>
    <row r="62" ht="22.5" customHeight="1">
      <c r="A62" s="4">
        <v>61.0</v>
      </c>
      <c r="B62" s="5" t="s">
        <v>764</v>
      </c>
      <c r="C62" s="5" t="s">
        <v>765</v>
      </c>
      <c r="D62" s="5" t="s">
        <v>766</v>
      </c>
      <c r="E62" s="5" t="s">
        <v>767</v>
      </c>
      <c r="G62" s="6" t="str">
        <f>IFERROR(__xludf.DUMMYFUNCTION("GOOGLETRANSLATE(A62, ""en"", ""fr"")"),"61")</f>
        <v>61</v>
      </c>
      <c r="H62" s="6" t="str">
        <f>IFERROR(__xludf.DUMMYFUNCTION("GOOGLETRANSLATE(B62, ""en"", ""fr"")"),"Quelle est la raison historique de la forte concentration de ce sport dans le département de l'Hérault ?")</f>
        <v>Quelle est la raison historique de la forte concentration de ce sport dans le département de l'Hérault ?</v>
      </c>
      <c r="I62" s="6" t="str">
        <f>IFERROR(__xludf.DUMMYFUNCTION("GOOGLETRANSLATE(C62, ""en"", ""fr"")"),"A) C'était un décret royal. B) Les conditions culturelles et sociales spécifiques des villages de l'Hérault ont permis à ce jeu de s'y développer. C) Le climat est idéal. D) Il était interdit dans tous les autres départements.")</f>
        <v>A) C'était un décret royal. B) Les conditions culturelles et sociales spécifiques des villages de l'Hérault ont permis à ce jeu de s'y développer. C) Le climat est idéal. D) Il était interdit dans tous les autres départements.</v>
      </c>
      <c r="J62" s="6" t="str">
        <f>IFERROR(__xludf.DUMMYFUNCTION("GOOGLETRANSLATE(D62, ""en"", ""fr"")"),"B) Les conditions culturelles et sociales spécifiques des villages de l'Hérault ont permis à ce jeu de s'y épanouir.")</f>
        <v>B) Les conditions culturelles et sociales spécifiques des villages de l'Hérault ont permis à ce jeu de s'y épanouir.</v>
      </c>
      <c r="K62" s="6" t="str">
        <f>IFERROR(__xludf.DUMMYFUNCTION("GOOGLETRANSLATE(E62, ""en"", ""fr"")"),"Ce sport est le fruit d'une culture locale unique et s'est transmis de génération en génération au sein d'une zone géographique très spécifique.")</f>
        <v>Ce sport est le fruit d'une culture locale unique et s'est transmis de génération en génération au sein d'une zone géographique très spécifique.</v>
      </c>
    </row>
    <row r="63" ht="22.5" customHeight="1">
      <c r="A63" s="4">
        <v>62.0</v>
      </c>
      <c r="B63" s="5" t="s">
        <v>768</v>
      </c>
      <c r="C63" s="5" t="s">
        <v>602</v>
      </c>
      <c r="D63" s="5" t="s">
        <v>603</v>
      </c>
      <c r="E63" s="5" t="s">
        <v>769</v>
      </c>
      <c r="G63" s="6" t="str">
        <f>IFERROR(__xludf.DUMMYFUNCTION("GOOGLETRANSLATE(A63, ""en"", ""fr"")"),"62")</f>
        <v>62</v>
      </c>
      <c r="H63" s="6" t="str">
        <f>IFERROR(__xludf.DUMMYFUNCTION("GOOGLETRANSLATE(B63, ""en"", ""fr"")"),"En quelle année s'est déroulé le premier championnat de France officiel des clubs ?")</f>
        <v>En quelle année s'est déroulé le premier championnat de France officiel des clubs ?</v>
      </c>
      <c r="I63" s="6" t="str">
        <f>IFERROR(__xludf.DUMMYFUNCTION("GOOGLETRANSLATE(C63, ""en"", ""fr"")"),"A) 1922, B) 1939, C) 1952, D) 1960")</f>
        <v>A) 1922, B) 1939, C) 1952, D) 1960</v>
      </c>
      <c r="J63" s="6" t="str">
        <f>IFERROR(__xludf.DUMMYFUNCTION("GOOGLETRANSLATE(D63, ""en"", ""fr"")"),"C) 1952")</f>
        <v>C) 1952</v>
      </c>
      <c r="K63" s="6" t="str">
        <f>IFERROR(__xludf.DUMMYFUNCTION("GOOGLETRANSLATE(E63, ""en"", ""fr"")"),"La création d'un championnat national officiel en 1952 a constitué une étape clé dans la reconstruction et la modernisation de ce sport après la guerre.")</f>
        <v>La création d'un championnat national officiel en 1952 a constitué une étape clé dans la reconstruction et la modernisation de ce sport après la guerre.</v>
      </c>
    </row>
    <row r="64" ht="22.5" customHeight="1">
      <c r="A64" s="4">
        <v>63.0</v>
      </c>
      <c r="B64" s="5" t="s">
        <v>770</v>
      </c>
      <c r="C64" s="5" t="s">
        <v>771</v>
      </c>
      <c r="D64" s="5" t="s">
        <v>772</v>
      </c>
      <c r="E64" s="5" t="s">
        <v>773</v>
      </c>
      <c r="G64" s="6" t="str">
        <f>IFERROR(__xludf.DUMMYFUNCTION("GOOGLETRANSLATE(A64, ""en"", ""fr"")"),"63")</f>
        <v>63</v>
      </c>
      <c r="H64" s="6" t="str">
        <f>IFERROR(__xludf.DUMMYFUNCTION("GOOGLETRANSLATE(B64, ""en"", ""fr"")"),"Les tournois d'avant-guerre, connus sous le nom de concours, étaient souvent organisés par qui ?")</f>
        <v>Les tournois d'avant-guerre, connus sous le nom de concours, étaient souvent organisés par qui ?</v>
      </c>
      <c r="I64" s="6" t="str">
        <f>IFERROR(__xludf.DUMMYFUNCTION("GOOGLETRANSLATE(C64, ""en"", ""fr"")"),"A) La fédération nationale, B) Les joueurs eux-mêmes, C) Les cafés locaux ou les comités de village, D) Le gouvernement français")</f>
        <v>A) La fédération nationale, B) Les joueurs eux-mêmes, C) Les cafés locaux ou les comités de village, D) Le gouvernement français</v>
      </c>
      <c r="J64" s="6" t="str">
        <f>IFERROR(__xludf.DUMMYFUNCTION("GOOGLETRANSLATE(D64, ""en"", ""fr"")"),"C) Cafés locaux ou comités de village")</f>
        <v>C) Cafés locaux ou comités de village</v>
      </c>
      <c r="K64" s="6" t="str">
        <f>IFERROR(__xludf.DUMMYFUNCTION("GOOGLETRANSLATE(E64, ""en"", ""fr"")"),"Ces premiers tournois étaient des événements locaux et festifs, souvent parrainés par une entreprise du village ou un comité formé pour l'occasion.")</f>
        <v>Ces premiers tournois étaient des événements locaux et festifs, souvent parrainés par une entreprise du village ou un comité formé pour l'occasion.</v>
      </c>
    </row>
    <row r="65" ht="22.5" customHeight="1">
      <c r="A65" s="4">
        <v>64.0</v>
      </c>
      <c r="B65" s="5" t="s">
        <v>774</v>
      </c>
      <c r="C65" s="5" t="s">
        <v>775</v>
      </c>
      <c r="D65" s="5" t="s">
        <v>776</v>
      </c>
      <c r="E65" s="5" t="s">
        <v>777</v>
      </c>
      <c r="G65" s="6" t="str">
        <f>IFERROR(__xludf.DUMMYFUNCTION("GOOGLETRANSLATE(A65, ""en"", ""fr"")"),"64")</f>
        <v>64</v>
      </c>
      <c r="H65" s="6" t="str">
        <f>IFERROR(__xludf.DUMMYFUNCTION("GOOGLETRANSLATE(B65, ""en"", ""fr"")"),"Quelle était la principale caractéristique du système de notation «chasse» ?")</f>
        <v>Quelle était la principale caractéristique du système de notation «chasse» ?</v>
      </c>
      <c r="I65" s="6" t="str">
        <f>IFERROR(__xludf.DUMMYFUNCTION("GOOGLETRANSLATE(C65, ""en"", ""fr"")"),"A) C'était un système simple point par point. B) C'était un système territorial complexe où les équipes devaient « gagner » des marques sur le terrain. C) La première équipe à 15 points gagnait. D) Il n'utilisait pas de points.")</f>
        <v>A) C'était un système simple point par point. B) C'était un système territorial complexe où les équipes devaient « gagner » des marques sur le terrain. C) La première équipe à 15 points gagnait. D) Il n'utilisait pas de points.</v>
      </c>
      <c r="J65" s="6" t="str">
        <f>IFERROR(__xludf.DUMMYFUNCTION("GOOGLETRANSLATE(D65, ""en"", ""fr"")"),"B) Il s'agissait d'un système territorial complexe où les équipes devaient « gagner » des marques sur le terrain")</f>
        <v>B) Il s'agissait d'un système territorial complexe où les équipes devaient « gagner » des marques sur le terrain</v>
      </c>
      <c r="K65" s="6" t="str">
        <f>IFERROR(__xludf.DUMMYFUNCTION("GOOGLETRANSLATE(E65, ""en"", ""fr"")"),"Ce système, hérité du Jeu de Paume, était difficile à suivre pour les spectateurs et constituait une des principales raisons du passage aux règles italiennes.")</f>
        <v>Ce système, hérité du Jeu de Paume, était difficile à suivre pour les spectateurs et constituait une des principales raisons du passage aux règles italiennes.</v>
      </c>
    </row>
    <row r="66" ht="22.5" customHeight="1">
      <c r="A66" s="4">
        <v>65.0</v>
      </c>
      <c r="B66" s="5" t="s">
        <v>778</v>
      </c>
      <c r="C66" s="5" t="s">
        <v>779</v>
      </c>
      <c r="D66" s="5" t="s">
        <v>780</v>
      </c>
      <c r="E66" s="5" t="s">
        <v>781</v>
      </c>
      <c r="G66" s="6" t="str">
        <f>IFERROR(__xludf.DUMMYFUNCTION("GOOGLETRANSLATE(A66, ""en"", ""fr"")"),"65")</f>
        <v>65</v>
      </c>
      <c r="H66" s="6" t="str">
        <f>IFERROR(__xludf.DUMMYFUNCTION("GOOGLETRANSLATE(B66, ""en"", ""fr"")"),"Quelle est la signification historique de l'année 1955 pour le sport en France ?")</f>
        <v>Quelle est la signification historique de l'année 1955 pour le sport en France ?</v>
      </c>
      <c r="I66" s="6" t="str">
        <f>IFERROR(__xludf.DUMMYFUNCTION("GOOGLETRANSLATE(C66, ""en"", ""fr"")"),"A) C'est l'année de la fabrication du premier tambourin. B) C'est l'année du premier championnat national. C) C'est l'année où les clubs français ont adopté les règles italiennes du « jeu ouvert ». D) C'est l'année de la création de la fédération internat"&amp;"ionale.")</f>
        <v>A) C'est l'année de la fabrication du premier tambourin. B) C'est l'année du premier championnat national. C) C'est l'année où les clubs français ont adopté les règles italiennes du « jeu ouvert ». D) C'est l'année de la création de la fédération internationale.</v>
      </c>
      <c r="J66" s="6" t="str">
        <f>IFERROR(__xludf.DUMMYFUNCTION("GOOGLETRANSLATE(D66, ""en"", ""fr"")"),"C) C'était l'année où les clubs français ont adopté les règles italiennes du « jeu ouvert ».")</f>
        <v>C) C'était l'année où les clubs français ont adopté les règles italiennes du « jeu ouvert ».</v>
      </c>
      <c r="K66" s="6" t="str">
        <f>IFERROR(__xludf.DUMMYFUNCTION("GOOGLETRANSLATE(E66, ""en"", ""fr"")"),"Il s'agissait de la décision stratégique la plus importante de l'histoire moderne de ce sport, permettant la compétition internationale et simplifiant le jeu.")</f>
        <v>Il s'agissait de la décision stratégique la plus importante de l'histoire moderne de ce sport, permettant la compétition internationale et simplifiant le jeu.</v>
      </c>
    </row>
    <row r="67" ht="22.5" customHeight="1">
      <c r="A67" s="4">
        <v>66.0</v>
      </c>
      <c r="B67" s="5" t="s">
        <v>782</v>
      </c>
      <c r="C67" s="5" t="s">
        <v>783</v>
      </c>
      <c r="D67" s="5" t="s">
        <v>784</v>
      </c>
      <c r="E67" s="5" t="s">
        <v>785</v>
      </c>
      <c r="G67" s="6" t="str">
        <f>IFERROR(__xludf.DUMMYFUNCTION("GOOGLETRANSLATE(A67, ""en"", ""fr"")"),"66")</f>
        <v>66</v>
      </c>
      <c r="H67" s="6" t="str">
        <f>IFERROR(__xludf.DUMMYFUNCTION("GOOGLETRANSLATE(B67, ""en"", ""fr"")"),"Quel était le principal matériau utilisé pour fabriquer la balle au XIXe siècle ?")</f>
        <v>Quel était le principal matériau utilisé pour fabriquer la balle au XIXe siècle ?</v>
      </c>
      <c r="I67" s="6" t="str">
        <f>IFERROR(__xludf.DUMMYFUNCTION("GOOGLETRANSLATE(C67, ""en"", ""fr"")"),"A) Caoutchouc solide, B) Bois, C) Tissu ou cuir rembourré, D) Liège")</f>
        <v>A) Caoutchouc solide, B) Bois, C) Tissu ou cuir rembourré, D) Liège</v>
      </c>
      <c r="J67" s="6" t="str">
        <f>IFERROR(__xludf.DUMMYFUNCTION("GOOGLETRANSLATE(D67, ""en"", ""fr"")"),"C) Tissu rembourré ou cuir")</f>
        <v>C) Tissu rembourré ou cuir</v>
      </c>
      <c r="K67" s="6" t="str">
        <f>IFERROR(__xludf.DUMMYFUNCTION("GOOGLETRANSLATE(E67, ""en"", ""fr"")"),"Les balles étaient fabriquées à la main, généralement à partir de chutes de tissu ou de cuir, et étaient beaucoup plus molles et moins réactives que les balles en caoutchouc modernes.")</f>
        <v>Les balles étaient fabriquées à la main, généralement à partir de chutes de tissu ou de cuir, et étaient beaucoup plus molles et moins réactives que les balles en caoutchouc modernes.</v>
      </c>
    </row>
    <row r="68" ht="22.5" customHeight="1">
      <c r="A68" s="4">
        <v>67.0</v>
      </c>
      <c r="B68" s="5" t="s">
        <v>786</v>
      </c>
      <c r="C68" s="5" t="s">
        <v>787</v>
      </c>
      <c r="D68" s="5" t="s">
        <v>788</v>
      </c>
      <c r="E68" s="5" t="s">
        <v>789</v>
      </c>
      <c r="G68" s="6" t="str">
        <f>IFERROR(__xludf.DUMMYFUNCTION("GOOGLETRANSLATE(A68, ""en"", ""fr"")"),"67")</f>
        <v>67</v>
      </c>
      <c r="H68" s="6" t="str">
        <f>IFERROR(__xludf.DUMMYFUNCTION("GOOGLETRANSLATE(B68, ""en"", ""fr"")"),"La Fédération française, fondée en 1939, a succédé à quelle organisation antérieure ?")</f>
        <v>La Fédération française, fondée en 1939, a succédé à quelle organisation antérieure ?</v>
      </c>
      <c r="I68" s="6" t="str">
        <f>IFERROR(__xludf.DUMMYFUNCTION("GOOGLETRANSLATE(C68, ""en"", ""fr"")"),"A) Le Comité sportif du Languedoc, B) L'Union des joueurs de tambourin, C) La première fédération, moins formelle, fondée en 1922, D) Il n'y avait pas d'organisation antérieure")</f>
        <v>A) Le Comité sportif du Languedoc, B) L'Union des joueurs de tambourin, C) La première fédération, moins formelle, fondée en 1922, D) Il n'y avait pas d'organisation antérieure</v>
      </c>
      <c r="J68" s="6" t="str">
        <f>IFERROR(__xludf.DUMMYFUNCTION("GOOGLETRANSLATE(D68, ""en"", ""fr"")"),"C) La première fédération, moins formelle, fondée en 1922")</f>
        <v>C) La première fédération, moins formelle, fondée en 1922</v>
      </c>
      <c r="K68" s="6" t="str">
        <f>IFERROR(__xludf.DUMMYFUNCTION("GOOGLETRANSLATE(E68, ""en"", ""fr"")"),"Une première tentative de création d'une fédération en 1922 avait échoué, ce qui avait conduit à la mise en place d'une organisation plus solide en 1939.")</f>
        <v>Une première tentative de création d'une fédération en 1922 avait échoué, ce qui avait conduit à la mise en place d'une organisation plus solide en 1939.</v>
      </c>
    </row>
    <row r="69" ht="22.5" customHeight="1">
      <c r="A69" s="4">
        <v>68.0</v>
      </c>
      <c r="B69" s="5" t="s">
        <v>790</v>
      </c>
      <c r="C69" s="5" t="s">
        <v>791</v>
      </c>
      <c r="D69" s="5" t="s">
        <v>547</v>
      </c>
      <c r="E69" s="5" t="s">
        <v>792</v>
      </c>
      <c r="G69" s="6" t="str">
        <f>IFERROR(__xludf.DUMMYFUNCTION("GOOGLETRANSLATE(A69, ""en"", ""fr"")"),"68")</f>
        <v>68</v>
      </c>
      <c r="H69" s="6" t="str">
        <f>IFERROR(__xludf.DUMMYFUNCTION("GOOGLETRANSLATE(B69, ""en"", ""fr"")"),"L'introduction de la version en salle de ce sport en France a été fortement influencée par quel pays ?")</f>
        <v>L'introduction de la version en salle de ce sport en France a été fortement influencée par quel pays ?</v>
      </c>
      <c r="I69" s="6" t="str">
        <f>IFERROR(__xludf.DUMMYFUNCTION("GOOGLETRANSLATE(C69, ""en"", ""fr"")"),"A) Espagne, B) Allemagne, C) Italie, D) Belgique")</f>
        <v>A) Espagne, B) Allemagne, C) Italie, D) Belgique</v>
      </c>
      <c r="J69" s="6" t="str">
        <f>IFERROR(__xludf.DUMMYFUNCTION("GOOGLETRANSLATE(D69, ""en"", ""fr"")"),"C) Italie")</f>
        <v>C) Italie</v>
      </c>
      <c r="K69" s="6" t="str">
        <f>IFERROR(__xludf.DUMMYFUNCTION("GOOGLETRANSLATE(E69, ""en"", ""fr"")"),"La ligue italienne de tamburello en salle, populaire et bien organisée, a directement inspiré le développement d'une saison en salle en France.")</f>
        <v>La ligue italienne de tamburello en salle, populaire et bien organisée, a directement inspiré le développement d'une saison en salle en France.</v>
      </c>
    </row>
    <row r="70" ht="22.5" customHeight="1">
      <c r="A70" s="4">
        <v>69.0</v>
      </c>
      <c r="B70" s="5" t="s">
        <v>793</v>
      </c>
      <c r="C70" s="5" t="s">
        <v>794</v>
      </c>
      <c r="D70" s="5" t="s">
        <v>795</v>
      </c>
      <c r="E70" s="5" t="s">
        <v>796</v>
      </c>
      <c r="G70" s="6" t="str">
        <f>IFERROR(__xludf.DUMMYFUNCTION("GOOGLETRANSLATE(A70, ""en"", ""fr"")"),"69")</f>
        <v>69</v>
      </c>
      <c r="H70" s="6" t="str">
        <f>IFERROR(__xludf.DUMMYFUNCTION("GOOGLETRANSLATE(B70, ""en"", ""fr"")"),"Quel est le nom de la compétition qui a marqué la renaissance officielle de ce sport après la Seconde Guerre mondiale ?")</f>
        <v>Quel est le nom de la compétition qui a marqué la renaissance officielle de ce sport après la Seconde Guerre mondiale ?</v>
      </c>
      <c r="I70" s="6" t="str">
        <f>IFERROR(__xludf.DUMMYFUNCTION("GOOGLETRANSLATE(C70, ""en"", ""fr"")"),"A) Le Championnat national, B) La Coupe de France, C) Le Championnat du Languedoc, D) Le Concours de Pézenas")</f>
        <v>A) Le Championnat national, B) La Coupe de France, C) Le Championnat du Languedoc, D) Le Concours de Pézenas</v>
      </c>
      <c r="J70" s="6" t="str">
        <f>IFERROR(__xludf.DUMMYFUNCTION("GOOGLETRANSLATE(D70, ""en"", ""fr"")"),"B) La Coupe de France")</f>
        <v>B) La Coupe de France</v>
      </c>
      <c r="K70" s="6" t="str">
        <f>IFERROR(__xludf.DUMMYFUNCTION("GOOGLETRANSLATE(E70, ""en"", ""fr"")"),"La création de la Coupe de France en 1949 a constitué la première étape majeure de la réorganisation du sport au niveau national après la guerre.")</f>
        <v>La création de la Coupe de France en 1949 a constitué la première étape majeure de la réorganisation du sport au niveau national après la guerre.</v>
      </c>
    </row>
    <row r="71" ht="22.5" customHeight="1">
      <c r="A71" s="4">
        <v>70.0</v>
      </c>
      <c r="B71" s="5" t="s">
        <v>797</v>
      </c>
      <c r="C71" s="5" t="s">
        <v>798</v>
      </c>
      <c r="D71" s="5" t="s">
        <v>799</v>
      </c>
      <c r="E71" s="5" t="s">
        <v>800</v>
      </c>
      <c r="G71" s="6" t="str">
        <f>IFERROR(__xludf.DUMMYFUNCTION("GOOGLETRANSLATE(A71, ""en"", ""fr"")"),"70")</f>
        <v>70</v>
      </c>
      <c r="H71" s="6" t="str">
        <f>IFERROR(__xludf.DUMMYFUNCTION("GOOGLETRANSLATE(B71, ""en"", ""fr"")"),"En quoi l'histoire de Tambourin reflète-t-elle l'histoire sociale de la région languedocienne ?")</f>
        <v>En quoi l'histoire de Tambourin reflète-t-elle l'histoire sociale de la région languedocienne ?</v>
      </c>
      <c r="I71" s="6" t="str">
        <f>IFERROR(__xludf.DUMMYFUNCTION("GOOGLETRANSLATE(C71, ""en"", ""fr"")"),"A) Cela montre l'influence de la noblesse, B) C'est l'histoire d'une culture villageoise ouvrière affirmant son identité, C) Cela reflète l'industrialisation de la région, D) Cela n'a aucun lien avec l'histoire sociale")</f>
        <v>A) Cela montre l'influence de la noblesse, B) C'est l'histoire d'une culture villageoise ouvrière affirmant son identité, C) Cela reflète l'industrialisation de la région, D) Cela n'a aucun lien avec l'histoire sociale</v>
      </c>
      <c r="J71" s="6" t="str">
        <f>IFERROR(__xludf.DUMMYFUNCTION("GOOGLETRANSLATE(D71, ""en"", ""fr"")"),"B) C'est l'histoire d'une culture villageoise ouvrière qui affirme son identité.")</f>
        <v>B) C'est l'histoire d'une culture villageoise ouvrière qui affirme son identité.</v>
      </c>
      <c r="K71" s="6" t="str">
        <f>IFERROR(__xludf.DUMMYFUNCTION("GOOGLETRANSLATE(E71, ""en"", ""fr"")"),"L'histoire de ce sport est profondément liée à la vie sociale, aux rivalités et aux traditions des petits villages viticoles de l'Hérault.")</f>
        <v>L'histoire de ce sport est profondément liée à la vie sociale, aux rivalités et aux traditions des petits villages viticoles de l'Hérault.</v>
      </c>
    </row>
    <row r="72" ht="22.5" customHeight="1">
      <c r="A72" s="4">
        <v>71.0</v>
      </c>
      <c r="B72" s="5" t="s">
        <v>801</v>
      </c>
      <c r="C72" s="5" t="s">
        <v>802</v>
      </c>
      <c r="D72" s="5" t="s">
        <v>803</v>
      </c>
      <c r="E72" s="5" t="s">
        <v>804</v>
      </c>
      <c r="G72" s="6" t="str">
        <f>IFERROR(__xludf.DUMMYFUNCTION("GOOGLETRANSLATE(A72, ""en"", ""fr"")"),"71")</f>
        <v>71</v>
      </c>
      <c r="H72" s="6" t="str">
        <f>IFERROR(__xludf.DUMMYFUNCTION("GOOGLETRANSLATE(B72, ""en"", ""fr"")"),"Quelle fut la principale raison de l'échec de la première tentative de fédération dans les années 1920 ?")</f>
        <v>Quelle fut la principale raison de l'échec de la première tentative de fédération dans les années 1920 ?</v>
      </c>
      <c r="I72" s="6" t="str">
        <f>IFERROR(__xludf.DUMMYFUNCTION("GOOGLETRANSLATE(C72, ""en"", ""fr"")"),"A) Un manque d'équipes et de joueurs, B) Un manque de financement et de leadership fort, C) L'opposition de la fédération italienne, D) Le déclenchement d'une guerre")</f>
        <v>A) Un manque d'équipes et de joueurs, B) Un manque de financement et de leadership fort, C) L'opposition de la fédération italienne, D) Le déclenchement d'une guerre</v>
      </c>
      <c r="J72" s="6" t="str">
        <f>IFERROR(__xludf.DUMMYFUNCTION("GOOGLETRANSLATE(D72, ""en"", ""fr"")"),"B) Un manque de financement et de leadership fort")</f>
        <v>B) Un manque de financement et de leadership fort</v>
      </c>
      <c r="K72" s="6" t="str">
        <f>IFERROR(__xludf.DUMMYFUNCTION("GOOGLETRANSLATE(E72, ""en"", ""fr"")"),"L'organisation initiale était une coalition informelle qui manquait de structure centralisée et de soutien financier pour être efficace.")</f>
        <v>L'organisation initiale était une coalition informelle qui manquait de structure centralisée et de soutien financier pour être efficace.</v>
      </c>
    </row>
    <row r="73" ht="22.5" customHeight="1">
      <c r="A73" s="4">
        <v>72.0</v>
      </c>
      <c r="B73" s="5" t="s">
        <v>805</v>
      </c>
      <c r="C73" s="5" t="s">
        <v>806</v>
      </c>
      <c r="D73" s="5" t="s">
        <v>807</v>
      </c>
      <c r="E73" s="5" t="s">
        <v>808</v>
      </c>
      <c r="G73" s="6" t="str">
        <f>IFERROR(__xludf.DUMMYFUNCTION("GOOGLETRANSLATE(A73, ""en"", ""fr"")"),"72")</f>
        <v>72</v>
      </c>
      <c r="H73" s="6" t="str">
        <f>IFERROR(__xludf.DUMMYFUNCTION("GOOGLETRANSLATE(B73, ""en"", ""fr"")"),"Quel fut le premier club à être officiellement enregistré auprès de la Fédération française ?")</f>
        <v>Quel fut le premier club à être officiellement enregistré auprès de la Fédération française ?</v>
      </c>
      <c r="I73" s="6" t="str">
        <f>IFERROR(__xludf.DUMMYFUNCTION("GOOGLETRANSLATE(C73, ""en"", ""fr"")"),"A) Montpellier, B) Pézenas, C) Gignac, D) Montarnaud")</f>
        <v>A) Montpellier, B) Pézenas, C) Gignac, D) Montarnaud</v>
      </c>
      <c r="J73" s="6" t="str">
        <f>IFERROR(__xludf.DUMMYFUNCTION("GOOGLETRANSLATE(D73, ""en"", ""fr"")"),"D) Montarnaud")</f>
        <v>D) Montarnaud</v>
      </c>
      <c r="K73" s="6" t="str">
        <f>IFERROR(__xludf.DUMMYFUNCTION("GOOGLETRANSLATE(E73, ""en"", ""fr"")"),"Le club de Montarnaud a la particularité d'être le tout premier à être officiellement affilié à la fédération nationale.")</f>
        <v>Le club de Montarnaud a la particularité d'être le tout premier à être officiellement affilié à la fédération nationale.</v>
      </c>
    </row>
    <row r="74" ht="22.5" customHeight="1">
      <c r="A74" s="4">
        <v>73.0</v>
      </c>
      <c r="B74" s="5" t="s">
        <v>809</v>
      </c>
      <c r="C74" s="5" t="s">
        <v>810</v>
      </c>
      <c r="D74" s="5" t="s">
        <v>811</v>
      </c>
      <c r="E74" s="5" t="s">
        <v>812</v>
      </c>
      <c r="G74" s="6" t="str">
        <f>IFERROR(__xludf.DUMMYFUNCTION("GOOGLETRANSLATE(A74, ""en"", ""fr"")"),"73")</f>
        <v>73</v>
      </c>
      <c r="H74" s="6" t="str">
        <f>IFERROR(__xludf.DUMMYFUNCTION("GOOGLETRANSLATE(B74, ""en"", ""fr"")"),"La popularité historique du tournoi de Pézenas était liée à son grand quoi ?")</f>
        <v>La popularité historique du tournoi de Pézenas était liée à son grand quoi ?</v>
      </c>
      <c r="I74" s="6" t="str">
        <f>IFERROR(__xludf.DUMMYFUNCTION("GOOGLETRANSLATE(C74, ""en"", ""fr"")"),"A) Son vaste terrain de jeu, B) Ses importants prix en argent, C) Sa foire annuelle, qui attirait les foules, D) Son patronage royal")</f>
        <v>A) Son vaste terrain de jeu, B) Ses importants prix en argent, C) Sa foire annuelle, qui attirait les foules, D) Son patronage royal</v>
      </c>
      <c r="J74" s="6" t="str">
        <f>IFERROR(__xludf.DUMMYFUNCTION("GOOGLETRANSLATE(D74, ""en"", ""fr"")"),"C) Sa foire annuelle, qui attirait de grandes foules")</f>
        <v>C) Sa foire annuelle, qui attirait de grandes foules</v>
      </c>
      <c r="K74" s="6" t="str">
        <f>IFERROR(__xludf.DUMMYFUNCTION("GOOGLETRANSLATE(E74, ""en"", ""fr"")"),"Le tournoi constituait une attraction majeure de la grande et célèbre foire de Pézenas, assurant une forte affluence et une ambiance festive.")</f>
        <v>Le tournoi constituait une attraction majeure de la grande et célèbre foire de Pézenas, assurant une forte affluence et une ambiance festive.</v>
      </c>
    </row>
    <row r="75" ht="22.5" customHeight="1">
      <c r="A75" s="4">
        <v>74.0</v>
      </c>
      <c r="B75" s="5" t="s">
        <v>813</v>
      </c>
      <c r="C75" s="5" t="s">
        <v>814</v>
      </c>
      <c r="D75" s="5" t="s">
        <v>815</v>
      </c>
      <c r="E75" s="5" t="s">
        <v>816</v>
      </c>
      <c r="G75" s="6" t="str">
        <f>IFERROR(__xludf.DUMMYFUNCTION("GOOGLETRANSLATE(A75, ""en"", ""fr"")"),"74")</f>
        <v>74</v>
      </c>
      <c r="H75" s="6" t="str">
        <f>IFERROR(__xludf.DUMMYFUNCTION("GOOGLETRANSLATE(B75, ""en"", ""fr"")"),"À quelle époque la balle en caoutchouc moderne a-t-elle été introduite dans ce sport ?")</f>
        <v>À quelle époque la balle en caoutchouc moderne a-t-elle été introduite dans ce sport ?</v>
      </c>
      <c r="I75" s="6" t="str">
        <f>IFERROR(__xludf.DUMMYFUNCTION("GOOGLETRANSLATE(C75, ""en"", ""fr"")"),"A) La fin du XIXe siècle, B) Le début du XXe siècle, C) Après la réforme de 1955, D) Dans les années 1980")</f>
        <v>A) La fin du XIXe siècle, B) Le début du XXe siècle, C) Après la réforme de 1955, D) Dans les années 1980</v>
      </c>
      <c r="J75" s="6" t="str">
        <f>IFERROR(__xludf.DUMMYFUNCTION("GOOGLETRANSLATE(D75, ""en"", ""fr"")"),"C) Après le changement de règle de 1955")</f>
        <v>C) Après le changement de règle de 1955</v>
      </c>
      <c r="K75" s="6" t="str">
        <f>IFERROR(__xludf.DUMMYFUNCTION("GOOGLETRANSLATE(E75, ""en"", ""fr"")"),"Le passage au jeu italien plus rapide a également nécessité l'adoption de la balle italienne en caoutchouc plus dure et plus rebondissante.")</f>
        <v>Le passage au jeu italien plus rapide a également nécessité l'adoption de la balle italienne en caoutchouc plus dure et plus rebondissante.</v>
      </c>
    </row>
    <row r="76" ht="22.5" customHeight="1">
      <c r="A76" s="4">
        <v>75.0</v>
      </c>
      <c r="B76" s="5" t="s">
        <v>817</v>
      </c>
      <c r="C76" s="5" t="s">
        <v>818</v>
      </c>
      <c r="D76" s="5" t="s">
        <v>819</v>
      </c>
      <c r="E76" s="5" t="s">
        <v>820</v>
      </c>
      <c r="G76" s="6" t="str">
        <f>IFERROR(__xludf.DUMMYFUNCTION("GOOGLETRANSLATE(A76, ""en"", ""fr"")"),"75")</f>
        <v>75</v>
      </c>
      <c r="H76" s="6" t="str">
        <f>IFERROR(__xludf.DUMMYFUNCTION("GOOGLETRANSLATE(B76, ""en"", ""fr"")"),"Quelle est l'origine historique du tambourin en tant qu'instrument de sport ?")</f>
        <v>Quelle est l'origine historique du tambourin en tant qu'instrument de sport ?</v>
      </c>
      <c r="I76" s="6" t="str">
        <f>IFERROR(__xludf.DUMMYFUNCTION("GOOGLETRANSLATE(C76, ""en"", ""fr"")"),"A) Il a été adapté d'une passoire de cuisine, B) Il a été adapté d'un tambourin, C) Il a été inventé comme un objet entièrement nouveau, D) Il a été adapté d'un petit bouclier")</f>
        <v>A) Il a été adapté d'une passoire de cuisine, B) Il a été adapté d'un tambourin, C) Il a été inventé comme un objet entièrement nouveau, D) Il a été adapté d'un petit bouclier</v>
      </c>
      <c r="J76" s="6" t="str">
        <f>IFERROR(__xludf.DUMMYFUNCTION("GOOGLETRANSLATE(D76, ""en"", ""fr"")"),"A) Il a été adapté d'une passoire de cuisine.")</f>
        <v>A) Il a été adapté d'une passoire de cuisine.</v>
      </c>
      <c r="K76" s="6" t="str">
        <f>IFERROR(__xludf.DUMMYFUNCTION("GOOGLETRANSLATE(E76, ""en"", ""fr"")"),"On raconte que les tout premiers tambourins auraient été fabriqués en tendant du parchemin sur le cadre circulaire en bois d'un grand tamis utilisé dans la vinification.")</f>
        <v>On raconte que les tout premiers tambourins auraient été fabriqués en tendant du parchemin sur le cadre circulaire en bois d'un grand tamis utilisé dans la vinification.</v>
      </c>
    </row>
    <row r="77" ht="22.5" customHeight="1">
      <c r="A77" s="4">
        <v>76.0</v>
      </c>
      <c r="B77" s="5" t="s">
        <v>821</v>
      </c>
      <c r="C77" s="5" t="s">
        <v>822</v>
      </c>
      <c r="D77" s="5" t="s">
        <v>823</v>
      </c>
      <c r="E77" s="5" t="s">
        <v>824</v>
      </c>
      <c r="G77" s="6" t="str">
        <f>IFERROR(__xludf.DUMMYFUNCTION("GOOGLETRANSLATE(A77, ""en"", ""fr"")"),"76")</f>
        <v>76</v>
      </c>
      <c r="H77" s="6" t="str">
        <f>IFERROR(__xludf.DUMMYFUNCTION("GOOGLETRANSLATE(B77, ""en"", ""fr"")"),"Quelle était la principale différence entre le ballon utilisé dans le football français et celui utilisé dans le football italien avant 1955 ?")</f>
        <v>Quelle était la principale différence entre le ballon utilisé dans le football français et celui utilisé dans le football italien avant 1955 ?</v>
      </c>
      <c r="I77" s="6" t="str">
        <f>IFERROR(__xludf.DUMMYFUNCTION("GOOGLETRANSLATE(C77, ""en"", ""fr"")"),"A) Le ballon français était plus gros. B) Le ballon français était plus souple et moins réactif. C) Le ballon italien était en cuir. D) Le ballon français était rouge.")</f>
        <v>A) Le ballon français était plus gros. B) Le ballon français était plus souple et moins réactif. C) Le ballon italien était en cuir. D) Le ballon français était rouge.</v>
      </c>
      <c r="J77" s="6" t="str">
        <f>IFERROR(__xludf.DUMMYFUNCTION("GOOGLETRANSLATE(D77, ""en"", ""fr"")"),"B) La balle française était plus molle et moins vive.")</f>
        <v>B) La balle française était plus molle et moins vive.</v>
      </c>
      <c r="K77" s="6" t="str">
        <f>IFERROR(__xludf.DUMMYFUNCTION("GOOGLETRANSLATE(E77, ""en"", ""fr"")"),"Le jeu traditionnel français utilisait une balle plus souple, moins réactive, ce qui convenait au système de chasse territoriale. Le jeu italien, quant à lui, utilisait une balle en caoutchouc dur pour un jeu plus rapide et avec des rebonds plus hauts.")</f>
        <v>Le jeu traditionnel français utilisait une balle plus souple, moins réactive, ce qui convenait au système de chasse territoriale. Le jeu italien, quant à lui, utilisait une balle en caoutchouc dur pour un jeu plus rapide et avec des rebonds plus hauts.</v>
      </c>
    </row>
    <row r="78" ht="22.5" customHeight="1">
      <c r="A78" s="4">
        <v>77.0</v>
      </c>
      <c r="B78" s="5" t="s">
        <v>825</v>
      </c>
      <c r="C78" s="5" t="s">
        <v>826</v>
      </c>
      <c r="D78" s="5" t="s">
        <v>827</v>
      </c>
      <c r="E78" s="5" t="s">
        <v>828</v>
      </c>
      <c r="G78" s="6" t="str">
        <f>IFERROR(__xludf.DUMMYFUNCTION("GOOGLETRANSLATE(A78, ""en"", ""fr"")"),"77")</f>
        <v>77</v>
      </c>
      <c r="H78" s="6" t="str">
        <f>IFERROR(__xludf.DUMMYFUNCTION("GOOGLETRANSLATE(B78, ""en"", ""fr"")"),"La décision de s'aligner sur les règles italiennes en 1955 a fait l'objet d'intenses débats. Quel était le principal argument contre ce changement ?")</f>
        <v>La décision de s'aligner sur les règles italiennes en 1955 a fait l'objet d'intenses débats. Quel était le principal argument contre ce changement ?</v>
      </c>
      <c r="I78" s="6" t="str">
        <f>IFERROR(__xludf.DUMMYFUNCTION("GOOGLETRANSLATE(C78, ""en"", ""fr"")"),"A) Que cela rendrait le jeu trop dangereux, B) Que cela trahirait les traditions et le patrimoine français uniques de ce sport, C) Que les règles italiennes étaient trop compliquées, D) Que les joueurs français n'étaient pas assez compétents")</f>
        <v>A) Que cela rendrait le jeu trop dangereux, B) Que cela trahirait les traditions et le patrimoine français uniques de ce sport, C) Que les règles italiennes étaient trop compliquées, D) Que les joueurs français n'étaient pas assez compétents</v>
      </c>
      <c r="J78" s="6" t="str">
        <f>IFERROR(__xludf.DUMMYFUNCTION("GOOGLETRANSLATE(D78, ""en"", ""fr"")"),"B) Que cela trahirait les traditions et le patrimoine français uniques de ce sport")</f>
        <v>B) Que cela trahirait les traditions et le patrimoine français uniques de ce sport</v>
      </c>
      <c r="K78" s="6" t="str">
        <f>IFERROR(__xludf.DUMMYFUNCTION("GOOGLETRANSLATE(E78, ""en"", ""fr"")"),"De nombreux traditionalistes s'opposaient farouchement à l'abandon du système historique de chasse, y voyant une perte d'identité culturelle.")</f>
        <v>De nombreux traditionalistes s'opposaient farouchement à l'abandon du système historique de chasse, y voyant une perte d'identité culturelle.</v>
      </c>
    </row>
    <row r="79" ht="22.5" customHeight="1">
      <c r="A79" s="4">
        <v>78.0</v>
      </c>
      <c r="B79" s="5" t="s">
        <v>829</v>
      </c>
      <c r="C79" s="5" t="s">
        <v>830</v>
      </c>
      <c r="D79" s="5" t="s">
        <v>831</v>
      </c>
      <c r="E79" s="5" t="s">
        <v>832</v>
      </c>
      <c r="G79" s="6" t="str">
        <f>IFERROR(__xludf.DUMMYFUNCTION("GOOGLETRANSLATE(A79, ""en"", ""fr"")"),"78")</f>
        <v>78</v>
      </c>
      <c r="H79" s="6" t="str">
        <f>IFERROR(__xludf.DUMMYFUNCTION("GOOGLETRANSLATE(B79, ""en"", ""fr"")"),"Laquelle de ces raisons historiques explique le profond enracinement de ce sport dans la région de l'Hérault ?")</f>
        <v>Laquelle de ces raisons historiques explique le profond enracinement de ce sport dans la région de l'Hérault ?</v>
      </c>
      <c r="I79" s="6" t="str">
        <f>IFERROR(__xludf.DUMMYFUNCTION("GOOGLETRANSLATE(C79, ""en"", ""fr"")"),"A) Les liens historiques étroits de la région avec l'Italie, B) Le climat local est idéal pour ce sport, C) Une longue tradition ininterrompue de jeu de paume et de ses variantes, D) C'était une obligation militaire")</f>
        <v>A) Les liens historiques étroits de la région avec l'Italie, B) Le climat local est idéal pour ce sport, C) Une longue tradition ininterrompue de jeu de paume et de ses variantes, D) C'était une obligation militaire</v>
      </c>
      <c r="J79" s="6" t="str">
        <f>IFERROR(__xludf.DUMMYFUNCTION("GOOGLETRANSLATE(D79, ""en"", ""fr"")"),"C) Une longue tradition ininterrompue de jeu de paume et de ses variantes")</f>
        <v>C) Une longue tradition ininterrompue de jeu de paume et de ses variantes</v>
      </c>
      <c r="K79" s="6" t="str">
        <f>IFERROR(__xludf.DUMMYFUNCTION("GOOGLETRANSLATE(E79, ""en"", ""fr"")"),"L’Hérault possède l’une des histoires de « jeux de paume » les plus riches et les plus longues de France, offrant un terrain fertile pour que le tambourin puisse évoluer et prospérer.")</f>
        <v>L’Hérault possède l’une des histoires de « jeux de paume » les plus riches et les plus longues de France, offrant un terrain fertile pour que le tambourin puisse évoluer et prospérer.</v>
      </c>
    </row>
    <row r="80" ht="22.5" customHeight="1">
      <c r="A80" s="4">
        <v>79.0</v>
      </c>
      <c r="B80" s="5" t="s">
        <v>833</v>
      </c>
      <c r="C80" s="5" t="s">
        <v>834</v>
      </c>
      <c r="D80" s="5" t="s">
        <v>835</v>
      </c>
      <c r="E80" s="5" t="s">
        <v>836</v>
      </c>
      <c r="G80" s="6" t="str">
        <f>IFERROR(__xludf.DUMMYFUNCTION("GOOGLETRANSLATE(A80, ""en"", ""fr"")"),"79")</f>
        <v>79</v>
      </c>
      <c r="H80" s="6" t="str">
        <f>IFERROR(__xludf.DUMMYFUNCTION("GOOGLETRANSLATE(B80, ""en"", ""fr"")"),"La Fédération internationale (FIBT) régit désormais plusieurs disciplines distinctes. Laquelle en fait partie ?")</f>
        <v>La Fédération internationale (FIBT) régit désormais plusieurs disciplines distinctes. Laquelle en fait partie ?</v>
      </c>
      <c r="I80" s="6" t="str">
        <f>IFERROR(__xludf.DUMMYFUNCTION("GOOGLETRANSLATE(C80, ""en"", ""fr"")"),"A) Plage de Tambourin, B) Tambourelli (une version plus petite, semblable à un terrain de badminton), C) Tambourin à cheval, D) A et B")</f>
        <v>A) Plage de Tambourin, B) Tambourelli (une version plus petite, semblable à un terrain de badminton), C) Tambourin à cheval, D) A et B</v>
      </c>
      <c r="J80" s="6" t="str">
        <f>IFERROR(__xludf.DUMMYFUNCTION("GOOGLETRANSLATE(D80, ""en"", ""fr"")"),"D) A et B")</f>
        <v>D) A et B</v>
      </c>
      <c r="K80" s="6" t="str">
        <f>IFERROR(__xludf.DUMMYFUNCTION("GOOGLETRANSLATE(E80, ""en"", ""fr"")"),"La F.I.B.T. s'est développée pour inclure des variantes modernes comme le Tambourin Beach et le Tambourelli afin de promouvoir ce sport à l'échelle mondiale.")</f>
        <v>La F.I.B.T. s'est développée pour inclure des variantes modernes comme le Tambourin Beach et le Tambourelli afin de promouvoir ce sport à l'échelle mondiale.</v>
      </c>
    </row>
    <row r="81" ht="22.5" customHeight="1">
      <c r="A81" s="4">
        <v>80.0</v>
      </c>
      <c r="B81" s="5" t="s">
        <v>837</v>
      </c>
      <c r="C81" s="5" t="s">
        <v>838</v>
      </c>
      <c r="D81" s="5" t="s">
        <v>839</v>
      </c>
      <c r="E81" s="5" t="s">
        <v>840</v>
      </c>
      <c r="G81" s="6" t="str">
        <f>IFERROR(__xludf.DUMMYFUNCTION("GOOGLETRANSLATE(A81, ""en"", ""fr"")"),"80")</f>
        <v>80</v>
      </c>
      <c r="H81" s="6" t="str">
        <f>IFERROR(__xludf.DUMMYFUNCTION("GOOGLETRANSLATE(B81, ""en"", ""fr"")"),"À quelle décennie le tambourin a-t-il commencé à être introduit dans le système scolaire français comme activité d'éducation physique ?")</f>
        <v>À quelle décennie le tambourin a-t-il commencé à être introduit dans le système scolaire français comme activité d'éducation physique ?</v>
      </c>
      <c r="I81" s="6" t="str">
        <f>IFERROR(__xludf.DUMMYFUNCTION("GOOGLETRANSLATE(C81, ""en"", ""fr"")"),"A) Les années 1920, B) Les années 1930, C) Les années 1950, D) Les années 1970")</f>
        <v>A) Les années 1920, B) Les années 1930, C) Les années 1950, D) Les années 1970</v>
      </c>
      <c r="J81" s="6" t="str">
        <f>IFERROR(__xludf.DUMMYFUNCTION("GOOGLETRANSLATE(D81, ""en"", ""fr"")"),"D) Les années 1970")</f>
        <v>D) Les années 1970</v>
      </c>
      <c r="K81" s="6" t="str">
        <f>IFERROR(__xludf.DUMMYFUNCTION("GOOGLETRANSLATE(E81, ""en"", ""fr"")"),"Une étape importante dans le développement moderne de ce sport a été son introduction officielle dans les programmes scolaires, contribuant ainsi à la création d'une nouvelle génération de joueurs.")</f>
        <v>Une étape importante dans le développement moderne de ce sport a été son introduction officielle dans les programmes scolaires, contribuant ainsi à la création d'une nouvelle génération de joueurs.</v>
      </c>
    </row>
    <row r="82" ht="22.5" customHeight="1">
      <c r="A82" s="4">
        <v>81.0</v>
      </c>
      <c r="B82" s="5" t="s">
        <v>841</v>
      </c>
      <c r="C82" s="5" t="s">
        <v>842</v>
      </c>
      <c r="D82" s="5" t="s">
        <v>843</v>
      </c>
      <c r="E82" s="5" t="s">
        <v>844</v>
      </c>
      <c r="G82" s="6" t="str">
        <f>IFERROR(__xludf.DUMMYFUNCTION("GOOGLETRANSLATE(A82, ""en"", ""fr"")"),"81")</f>
        <v>81</v>
      </c>
      <c r="H82" s="6" t="str">
        <f>IFERROR(__xludf.DUMMYFUNCTION("GOOGLETRANSLATE(B82, ""en"", ""fr"")"),"Quel était le rôle historique du « tambourinaire » lors d'un match ?")</f>
        <v>Quel était le rôle historique du « tambourinaire » lors d'un match ?</v>
      </c>
      <c r="I82" s="6" t="str">
        <f>IFERROR(__xludf.DUMMYFUNCTION("GOOGLETRANSLATE(C82, ""en"", ""fr"")"),"A) Le joueur qui utilisait le tambourin, B) L'artisan qui fabriquait les tambourins, C) Le musicien qui jouait du tambour pour accompagner le jeu, D) Le marqueur officiel")</f>
        <v>A) Le joueur qui utilisait le tambourin, B) L'artisan qui fabriquait les tambourins, C) Le musicien qui jouait du tambour pour accompagner le jeu, D) Le marqueur officiel</v>
      </c>
      <c r="J82" s="6" t="str">
        <f>IFERROR(__xludf.DUMMYFUNCTION("GOOGLETRANSLATE(D82, ""en"", ""fr"")"),"C) Le musicien qui jouait du tambour pour accompagner le jeu")</f>
        <v>C) Le musicien qui jouait du tambour pour accompagner le jeu</v>
      </c>
      <c r="K82" s="6" t="str">
        <f>IFERROR(__xludf.DUMMYFUNCTION("GOOGLETRANSLATE(E82, ""en"", ""fr"")"),"Dans certains contextes traditionnels, un batteur assurait le rythme du jeu, semblable à la musique d'un match perseais.")</f>
        <v>Dans certains contextes traditionnels, un batteur assurait le rythme du jeu, semblable à la musique d'un match perseais.</v>
      </c>
    </row>
    <row r="83" ht="22.5" customHeight="1">
      <c r="A83" s="4">
        <v>82.0</v>
      </c>
      <c r="B83" s="5" t="s">
        <v>845</v>
      </c>
      <c r="C83" s="5" t="s">
        <v>846</v>
      </c>
      <c r="D83" s="5" t="s">
        <v>847</v>
      </c>
      <c r="E83" s="5" t="s">
        <v>848</v>
      </c>
      <c r="G83" s="6" t="str">
        <f>IFERROR(__xludf.DUMMYFUNCTION("GOOGLETRANSLATE(A83, ""en"", ""fr"")"),"82")</f>
        <v>82</v>
      </c>
      <c r="H83" s="6" t="str">
        <f>IFERROR(__xludf.DUMMYFUNCTION("GOOGLETRANSLATE(B83, ""en"", ""fr"")"),"Le Championnat des Clubs a été créé en 1952. Quelle était la principale différence avec le concours précédent ?")</f>
        <v>Le Championnat des Clubs a été créé en 1952. Quelle était la principale différence avec le concours précédent ?</v>
      </c>
      <c r="I83" s="6" t="str">
        <f>IFERROR(__xludf.DUMMYFUNCTION("GOOGLETRANSLATE(C83, ""en"", ""fr"")"),"A) Le championnat se déroulait sur une saison complète, tandis qu'un concours était un tournoi unique. B) Le championnat utilisait de véritables épées. C) Le concours comptait plus de joueurs. D) Il n'y avait aucune différence.")</f>
        <v>A) Le championnat se déroulait sur une saison complète, tandis qu'un concours était un tournoi unique. B) Le championnat utilisait de véritables épées. C) Le concours comptait plus de joueurs. D) Il n'y avait aucune différence.</v>
      </c>
      <c r="J83" s="6" t="str">
        <f>IFERROR(__xludf.DUMMYFUNCTION("GOOGLETRANSLATE(D83, ""en"", ""fr"")"),"A) Le championnat se déroulait sur une saison complète, tandis qu'un concours était un tournoi unique.")</f>
        <v>A) Le championnat se déroulait sur une saison complète, tandis qu'un concours était un tournoi unique.</v>
      </c>
      <c r="K83" s="6" t="str">
        <f>IFERROR(__xludf.DUMMYFUNCTION("GOOGLETRANSLATE(E83, ""en"", ""fr"")"),"La création d'un championnat de ligue a marqué une étape majeure dans la modernisation de la structure compétitive de ce sport.")</f>
        <v>La création d'un championnat de ligue a marqué une étape majeure dans la modernisation de la structure compétitive de ce sport.</v>
      </c>
    </row>
    <row r="84" ht="22.5" customHeight="1">
      <c r="A84" s="4">
        <v>83.0</v>
      </c>
      <c r="B84" s="5" t="s">
        <v>849</v>
      </c>
      <c r="C84" s="5" t="s">
        <v>850</v>
      </c>
      <c r="D84" s="5" t="s">
        <v>851</v>
      </c>
      <c r="E84" s="5" t="s">
        <v>852</v>
      </c>
      <c r="G84" s="6" t="str">
        <f>IFERROR(__xludf.DUMMYFUNCTION("GOOGLETRANSLATE(A84, ""en"", ""fr"")"),"83")</f>
        <v>83</v>
      </c>
      <c r="H84" s="6" t="str">
        <f>IFERROR(__xludf.DUMMYFUNCTION("GOOGLETRANSLATE(B84, ""en"", ""fr"")"),"Quelle est la principale raison pour laquelle ce sport est plus populaire en Italie qu'en France ?")</f>
        <v>Quelle est la principale raison pour laquelle ce sport est plus populaire en Italie qu'en France ?</v>
      </c>
      <c r="I84" s="6" t="str">
        <f>IFERROR(__xludf.DUMMYFUNCTION("GOOGLETRANSLATE(C84, ""en"", ""fr"")"),"A) Le climat est meilleur en Italie, B) L'Italie a une plus longue histoire avec ce sport, C) Le sport en Italie possède une structure de ligue professionnelle et bénéficie d'une plus grande couverture médiatique, D) Les joueurs français sont moins compét"&amp;"ents")</f>
        <v>A) Le climat est meilleur en Italie, B) L'Italie a une plus longue histoire avec ce sport, C) Le sport en Italie possède une structure de ligue professionnelle et bénéficie d'une plus grande couverture médiatique, D) Les joueurs français sont moins compétents</v>
      </c>
      <c r="J84" s="6" t="str">
        <f>IFERROR(__xludf.DUMMYFUNCTION("GOOGLETRANSLATE(D84, ""en"", ""fr"")"),"C) En Italie, ce sport possède une structure de ligue professionnelle et bénéficie d'une plus grande couverture médiatique.")</f>
        <v>C) En Italie, ce sport possède une structure de ligue professionnelle et bénéficie d'une plus grande couverture médiatique.</v>
      </c>
      <c r="K84" s="6" t="str">
        <f>IFERROR(__xludf.DUMMYFUNCTION("GOOGLETRANSLATE(E84, ""en"", ""fr"")"),"Le tamburello italien est un sport semi-professionnel doté d'un championnat national bien organisé, ce qui lui confère une visibilité bien supérieure à celle du tamburello amateur en France.")</f>
        <v>Le tamburello italien est un sport semi-professionnel doté d'un championnat national bien organisé, ce qui lui confère une visibilité bien supérieure à celle du tamburello amateur en France.</v>
      </c>
    </row>
    <row r="85" ht="22.5" customHeight="1">
      <c r="A85" s="4">
        <v>84.0</v>
      </c>
      <c r="B85" s="5" t="s">
        <v>853</v>
      </c>
      <c r="C85" s="5" t="s">
        <v>854</v>
      </c>
      <c r="D85" s="5" t="s">
        <v>855</v>
      </c>
      <c r="E85" s="5" t="s">
        <v>856</v>
      </c>
      <c r="G85" s="6" t="str">
        <f>IFERROR(__xludf.DUMMYFUNCTION("GOOGLETRANSLATE(A85, ""en"", ""fr"")"),"84")</f>
        <v>84</v>
      </c>
      <c r="H85" s="6" t="str">
        <f>IFERROR(__xludf.DUMMYFUNCTION("GOOGLETRANSLATE(B85, ""en"", ""fr"")"),"Les archives historiques montrent que les premiers clubs ou « sociétés » officiels dédiés à ce sport ont commencé à se former à quelle période ?")</f>
        <v>Les archives historiques montrent que les premiers clubs ou « sociétés » officiels dédiés à ce sport ont commencé à se former à quelle période ?</v>
      </c>
      <c r="I85" s="6" t="str">
        <f>IFERROR(__xludf.DUMMYFUNCTION("GOOGLETRANSLATE(C85, ""en"", ""fr"")"),"A) Le XVIIIe siècle, B) Le début du XIXe siècle, C) La fin du XIXe et le début du XXe siècle, D) Les années 1950")</f>
        <v>A) Le XVIIIe siècle, B) Le début du XIXe siècle, C) La fin du XIXe et le début du XXe siècle, D) Les années 1950</v>
      </c>
      <c r="J85" s="6" t="str">
        <f>IFERROR(__xludf.DUMMYFUNCTION("GOOGLETRANSLATE(D85, ""en"", ""fr"")"),"C) La fin du XIXe et le début du XXe siècle")</f>
        <v>C) La fin du XIXe et le début du XXe siècle</v>
      </c>
      <c r="K85" s="6" t="str">
        <f>IFERROR(__xludf.DUMMYFUNCTION("GOOGLETRANSLATE(E85, ""en"", ""fr"")"),"À mesure que ce sport gagnait en popularité et s'organisait, les premiers clubs officiels commencèrent à apparaître dans les villages de l'Hérault au tournant du XXe siècle.")</f>
        <v>À mesure que ce sport gagnait en popularité et s'organisait, les premiers clubs officiels commencèrent à apparaître dans les villages de l'Hérault au tournant du XXe siècle.</v>
      </c>
    </row>
    <row r="86" ht="22.5" customHeight="1">
      <c r="A86" s="4">
        <v>85.0</v>
      </c>
      <c r="B86" s="5" t="s">
        <v>857</v>
      </c>
      <c r="C86" s="5" t="s">
        <v>858</v>
      </c>
      <c r="D86" s="5" t="s">
        <v>859</v>
      </c>
      <c r="E86" s="5" t="s">
        <v>860</v>
      </c>
      <c r="G86" s="6" t="str">
        <f>IFERROR(__xludf.DUMMYFUNCTION("GOOGLETRANSLATE(A86, ""en"", ""fr"")"),"85")</f>
        <v>85</v>
      </c>
      <c r="H86" s="6" t="str">
        <f>IFERROR(__xludf.DUMMYFUNCTION("GOOGLETRANSLATE(B86, ""en"", ""fr"")"),"Quelle était la signification historique du « service » ou de la « livraison » d'un joueur ?")</f>
        <v>Quelle était la signification historique du « service » ou de la « livraison » d'un joueur ?</v>
      </c>
      <c r="I86" s="6" t="str">
        <f>IFERROR(__xludf.DUMMYFUNCTION("GOOGLETRANSLATE(C86, ""en"", ""fr"")"),"A) Ce n'était pas important. B) Dans le système « chasse », un service puissant et bien placé était l'arme offensive principale. C) Il servait uniquement à débuter le point. D) Le service était effectué par en dessous.")</f>
        <v>A) Ce n'était pas important. B) Dans le système « chasse », un service puissant et bien placé était l'arme offensive principale. C) Il servait uniquement à débuter le point. D) Le service était effectué par en dessous.</v>
      </c>
      <c r="J86" s="6" t="str">
        <f>IFERROR(__xludf.DUMMYFUNCTION("GOOGLETRANSLATE(D86, ""en"", ""fr"")"),"B) Dans le système « chasse », un service puissant et bien placé constituait l'arme offensive principale.")</f>
        <v>B) Dans le système « chasse », un service puissant et bien placé constituait l'arme offensive principale.</v>
      </c>
      <c r="K86" s="6" t="str">
        <f>IFERROR(__xludf.DUMMYFUNCTION("GOOGLETRANSLATE(E86, ""en"", ""fr"")"),"Le but du jeu de chasse était de frapper la balle le plus loin possible dans le camp adverse, faisant du service le coup le plus important.")</f>
        <v>Le but du jeu de chasse était de frapper la balle le plus loin possible dans le camp adverse, faisant du service le coup le plus important.</v>
      </c>
    </row>
    <row r="87" ht="22.5" customHeight="1">
      <c r="A87" s="4">
        <v>86.0</v>
      </c>
      <c r="B87" s="5" t="s">
        <v>861</v>
      </c>
      <c r="C87" s="5" t="s">
        <v>862</v>
      </c>
      <c r="D87" s="5" t="s">
        <v>243</v>
      </c>
      <c r="E87" s="5" t="s">
        <v>863</v>
      </c>
      <c r="G87" s="6" t="str">
        <f>IFERROR(__xludf.DUMMYFUNCTION("GOOGLETRANSLATE(A87, ""en"", ""fr"")"),"86")</f>
        <v>86</v>
      </c>
      <c r="H87" s="6" t="str">
        <f>IFERROR(__xludf.DUMMYFUNCTION("GOOGLETRANSLATE(B87, ""en"", ""fr"")"),"Quelle est la principale raison historique du lien étroit qui unit ce sport à la viticulture dans la région du Languedoc ?")</f>
        <v>Quelle est la principale raison historique du lien étroit qui unit ce sport à la viticulture dans la région du Languedoc ?</v>
      </c>
      <c r="I87" s="6" t="str">
        <f>IFERROR(__xludf.DUMMYFUNCTION("GOOGLETRANSLATE(C87, ""en"", ""fr"")"),"A) Les premiers joueurs étaient tous des vignerons. B) Le premier tambourin a été fabriqué par un tonnelier et était probablement une adaptation d'un outil utilisé en viticulture. C) Ce sport ne se pratiquait qu'après les vendanges. D) B et C.")</f>
        <v>A) Les premiers joueurs étaient tous des vignerons. B) Le premier tambourin a été fabriqué par un tonnelier et était probablement une adaptation d'un outil utilisé en viticulture. C) Ce sport ne se pratiquait qu'après les vendanges. D) B et C.</v>
      </c>
      <c r="J87" s="6" t="str">
        <f>IFERROR(__xludf.DUMMYFUNCTION("GOOGLETRANSLATE(D87, ""en"", ""fr"")"),"D) B et C")</f>
        <v>D) B et C</v>
      </c>
      <c r="K87" s="6" t="str">
        <f>IFERROR(__xludf.DUMMYFUNCTION("GOOGLETRANSLATE(E87, ""en"", ""fr"")"),"Les origines de ce sport sont profondément liées aux outils et aux rythmes saisonniers du vignoble languedocien.")</f>
        <v>Les origines de ce sport sont profondément liées aux outils et aux rythmes saisonniers du vignoble languedocien.</v>
      </c>
    </row>
    <row r="88" ht="22.5" customHeight="1">
      <c r="A88" s="4">
        <v>87.0</v>
      </c>
      <c r="B88" s="5" t="s">
        <v>864</v>
      </c>
      <c r="C88" s="5" t="s">
        <v>865</v>
      </c>
      <c r="D88" s="5" t="s">
        <v>866</v>
      </c>
      <c r="E88" s="5" t="s">
        <v>867</v>
      </c>
      <c r="G88" s="6" t="str">
        <f>IFERROR(__xludf.DUMMYFUNCTION("GOOGLETRANSLATE(A88, ""en"", ""fr"")"),"87")</f>
        <v>87</v>
      </c>
      <c r="H88" s="6" t="str">
        <f>IFERROR(__xludf.DUMMYFUNCTION("GOOGLETRANSLATE(B88, ""en"", ""fr"")"),"La Coupe de l'Hérault est un tournoi prestigieux. Que signifie son existence ?")</f>
        <v>La Coupe de l'Hérault est un tournoi prestigieux. Que signifie son existence ?</v>
      </c>
      <c r="I88" s="6" t="str">
        <f>IFERROR(__xludf.DUMMYFUNCTION("GOOGLETRANSLATE(C88, ""en"", ""fr"")"),"A) Ce sport se pratique uniquement dans l'Hérault, B) L'identité profondément ancrée de ce sport au sein de son département d'origine, C) Il est plus important que le championnat national, D) C'est un tournoi pour les jeunes joueurs")</f>
        <v>A) Ce sport se pratique uniquement dans l'Hérault, B) L'identité profondément ancrée de ce sport au sein de son département d'origine, C) Il est plus important que le championnat national, D) C'est un tournoi pour les jeunes joueurs</v>
      </c>
      <c r="J88" s="6" t="str">
        <f>IFERROR(__xludf.DUMMYFUNCTION("GOOGLETRANSLATE(D88, ""en"", ""fr"")"),"B) L'identité profondément enracinée du sport au sein de son département d'origine")</f>
        <v>B) L'identité profondément enracinée du sport au sein de son département d'origine</v>
      </c>
      <c r="K88" s="6" t="str">
        <f>IFERROR(__xludf.DUMMYFUNCTION("GOOGLETRANSLATE(E88, ""en"", ""fr"")"),"L'existence d'un championnat spécifique pour le département de l'Hérault souligne la forte identité locale de ce sport.")</f>
        <v>L'existence d'un championnat spécifique pour le département de l'Hérault souligne la forte identité locale de ce sport.</v>
      </c>
    </row>
    <row r="89" ht="22.5" customHeight="1">
      <c r="A89" s="4">
        <v>88.0</v>
      </c>
      <c r="B89" s="5" t="s">
        <v>868</v>
      </c>
      <c r="C89" s="5" t="s">
        <v>869</v>
      </c>
      <c r="D89" s="5" t="s">
        <v>870</v>
      </c>
      <c r="E89" s="5" t="s">
        <v>871</v>
      </c>
      <c r="G89" s="6" t="str">
        <f>IFERROR(__xludf.DUMMYFUNCTION("GOOGLETRANSLATE(A89, ""en"", ""fr"")"),"88")</f>
        <v>88</v>
      </c>
      <c r="H89" s="6" t="str">
        <f>IFERROR(__xludf.DUMMYFUNCTION("GOOGLETRANSLATE(B89, ""en"", ""fr"")"),"Quel a été le défi le plus important pour le sport en France dans les années 1960 et 1970 ?")</f>
        <v>Quel a été le défi le plus important pour le sport en France dans les années 1960 et 1970 ?</v>
      </c>
      <c r="I89" s="6" t="str">
        <f>IFERROR(__xludf.DUMMYFUNCTION("GOOGLETRANSLATE(C89, ""en"", ""fr"")"),"A) Un manque d'équipement, B) La domination des équipes italiennes lors des matchs internationaux, C) La concurrence d'autres sports plus populaires comme le football et le rugby, D) Les mauvaises conditions météorologiques")</f>
        <v>A) Un manque d'équipement, B) La domination des équipes italiennes lors des matchs internationaux, C) La concurrence d'autres sports plus populaires comme le football et le rugby, D) Les mauvaises conditions météorologiques</v>
      </c>
      <c r="J89" s="6" t="str">
        <f>IFERROR(__xludf.DUMMYFUNCTION("GOOGLETRANSLATE(D89, ""en"", ""fr"")"),"C) La concurrence d'autres sports plus populaires comme le football et le rugby")</f>
        <v>C) La concurrence d'autres sports plus populaires comme le football et le rugby</v>
      </c>
      <c r="K89" s="6" t="str">
        <f>IFERROR(__xludf.DUMMYFUNCTION("GOOGLETRANSLATE(E89, ""en"", ""fr"")"),"Durant cette période, l'essor des grands sports mondiaux a représenté un défi important pour la survie des jeux traditionnels et locaux comme le tambourin.")</f>
        <v>Durant cette période, l'essor des grands sports mondiaux a représenté un défi important pour la survie des jeux traditionnels et locaux comme le tambourin.</v>
      </c>
    </row>
    <row r="90" ht="22.5" customHeight="1">
      <c r="A90" s="4">
        <v>89.0</v>
      </c>
      <c r="B90" s="5" t="s">
        <v>872</v>
      </c>
      <c r="C90" s="5" t="s">
        <v>873</v>
      </c>
      <c r="D90" s="5" t="s">
        <v>874</v>
      </c>
      <c r="E90" s="5" t="s">
        <v>875</v>
      </c>
      <c r="G90" s="6" t="str">
        <f>IFERROR(__xludf.DUMMYFUNCTION("GOOGLETRANSLATE(A90, ""en"", ""fr"")"),"89")</f>
        <v>89</v>
      </c>
      <c r="H90" s="6" t="str">
        <f>IFERROR(__xludf.DUMMYFUNCTION("GOOGLETRANSLATE(B90, ""en"", ""fr"")"),"Historiquement, comment les différends concernant un point ou une «chasse» étaient-ils réglés dans un jeu de village ?")</f>
        <v>Historiquement, comment les différends concernant un point ou une «chasse» étaient-ils réglés dans un jeu de village ?</v>
      </c>
      <c r="I90" s="6" t="str">
        <f>IFERROR(__xludf.DUMMYFUNCTION("GOOGLETRANSLATE(C90, ""en"", ""fr"")"),"A) Par l'arbitre, B) Par un vote des spectateurs, C) Par une discussion entre les capitaines d'équipe, souvent avec l'avis d'aînés respectés, D) En rejouant le point")</f>
        <v>A) Par l'arbitre, B) Par un vote des spectateurs, C) Par une discussion entre les capitaines d'équipe, souvent avec l'avis d'aînés respectés, D) En rejouant le point</v>
      </c>
      <c r="J90" s="6" t="str">
        <f>IFERROR(__xludf.DUMMYFUNCTION("GOOGLETRANSLATE(D90, ""en"", ""fr"")"),"C) Par une discussion entre les capitaines d'équipe, souvent avec l'apport d'aînés respectés.")</f>
        <v>C) Par une discussion entre les capitaines d'équipe, souvent avec l'apport d'aînés respectés.</v>
      </c>
      <c r="K90" s="6" t="str">
        <f>IFERROR(__xludf.DUMMYFUNCTION("GOOGLETRANSLATE(E90, ""en"", ""fr"")"),"En l'absence de représentants officiels, les différends faisaient l'objet de négociations sociales, et la décision d'un aîné respecté était souvent définitive.")</f>
        <v>En l'absence de représentants officiels, les différends faisaient l'objet de négociations sociales, et la décision d'un aîné respecté était souvent définitive.</v>
      </c>
    </row>
    <row r="91" ht="22.5" customHeight="1">
      <c r="A91" s="4">
        <v>90.0</v>
      </c>
      <c r="B91" s="5" t="s">
        <v>876</v>
      </c>
      <c r="C91" s="5" t="s">
        <v>877</v>
      </c>
      <c r="D91" s="5" t="s">
        <v>878</v>
      </c>
      <c r="E91" s="5" t="s">
        <v>879</v>
      </c>
      <c r="G91" s="6" t="str">
        <f>IFERROR(__xludf.DUMMYFUNCTION("GOOGLETRANSLATE(A91, ""en"", ""fr"")"),"90")</f>
        <v>90</v>
      </c>
      <c r="H91" s="6" t="str">
        <f>IFERROR(__xludf.DUMMYFUNCTION("GOOGLETRANSLATE(B91, ""en"", ""fr"")"),"Quelle est la principale raison pour laquelle le tambourin est considéré comme un sport « direct », contrairement au tennis ?")</f>
        <v>Quelle est la principale raison pour laquelle le tambourin est considéré comme un sport « direct », contrairement au tennis ?</v>
      </c>
      <c r="I91" s="6" t="str">
        <f>IFERROR(__xludf.DUMMYFUNCTION("GOOGLETRANSLATE(C91, ""en"", ""fr"")"),"A) Les joueurs sont plus proches les uns des autres, B) Il n'y a pas de filet entre les deux équipes, C) La balle est frappée plus directement, D) Les points sont marqués plus directement")</f>
        <v>A) Les joueurs sont plus proches les uns des autres, B) Il n'y a pas de filet entre les deux équipes, C) La balle est frappée plus directement, D) Les points sont marqués plus directement</v>
      </c>
      <c r="J91" s="6" t="str">
        <f>IFERROR(__xludf.DUMMYFUNCTION("GOOGLETRANSLATE(D91, ""en"", ""fr"")"),"B) Il n'y a pas de filet séparant les deux équipes")</f>
        <v>B) Il n'y a pas de filet séparant les deux équipes</v>
      </c>
      <c r="K91" s="6" t="str">
        <f>IFERROR(__xludf.DUMMYFUNCTION("GOOGLETRANSLATE(E91, ""en"", ""fr"")"),"C’est là la différence fondamentale. L’absence de filet crée une dynamique et un ensemble de tactiques uniques.")</f>
        <v>C’est là la différence fondamentale. L’absence de filet crée une dynamique et un ensemble de tactiques uniques.</v>
      </c>
    </row>
    <row r="92" ht="22.5" customHeight="1">
      <c r="A92" s="4">
        <v>91.0</v>
      </c>
      <c r="B92" s="5" t="s">
        <v>880</v>
      </c>
      <c r="C92" s="5" t="s">
        <v>881</v>
      </c>
      <c r="D92" s="5" t="s">
        <v>642</v>
      </c>
      <c r="E92" s="5" t="s">
        <v>882</v>
      </c>
      <c r="G92" s="6" t="str">
        <f>IFERROR(__xludf.DUMMYFUNCTION("GOOGLETRANSLATE(A92, ""en"", ""fr"")"),"91")</f>
        <v>91</v>
      </c>
      <c r="H92" s="6" t="str">
        <f>IFERROR(__xludf.DUMMYFUNCTION("GOOGLETRANSLATE(B92, ""en"", ""fr"")"),"En quelle année s'est déroulé le premier championnat féminin officiel en France ?")</f>
        <v>En quelle année s'est déroulé le premier championnat féminin officiel en France ?</v>
      </c>
      <c r="I92" s="6" t="str">
        <f>IFERROR(__xludf.DUMMYFUNCTION("GOOGLETRANSLATE(C92, ""en"", ""fr"")"),"A) 1955, B) 1965, C) 1975, D) 1985")</f>
        <v>A) 1955, B) 1965, C) 1975, D) 1985</v>
      </c>
      <c r="J92" s="6" t="str">
        <f>IFERROR(__xludf.DUMMYFUNCTION("GOOGLETRANSLATE(D92, ""en"", ""fr"")"),"C) 1975")</f>
        <v>C) 1975</v>
      </c>
      <c r="K92" s="6" t="str">
        <f>IFERROR(__xludf.DUMMYFUNCTION("GOOGLETRANSLATE(E92, ""en"", ""fr"")"),"La reconnaissance officielle des compétitions féminines a constitué une étape majeure dans la modernisation et le développement de ce sport.")</f>
        <v>La reconnaissance officielle des compétitions féminines a constitué une étape majeure dans la modernisation et le développement de ce sport.</v>
      </c>
    </row>
    <row r="93" ht="22.5" customHeight="1">
      <c r="A93" s="4">
        <v>92.0</v>
      </c>
      <c r="B93" s="5" t="s">
        <v>883</v>
      </c>
      <c r="C93" s="5" t="s">
        <v>884</v>
      </c>
      <c r="D93" s="5" t="s">
        <v>885</v>
      </c>
      <c r="E93" s="5" t="s">
        <v>886</v>
      </c>
      <c r="G93" s="6" t="str">
        <f>IFERROR(__xludf.DUMMYFUNCTION("GOOGLETRANSLATE(A93, ""en"", ""fr"")"),"92")</f>
        <v>92</v>
      </c>
      <c r="H93" s="6" t="str">
        <f>IFERROR(__xludf.DUMMYFUNCTION("GOOGLETRANSLATE(B93, ""en"", ""fr"")"),"Quelle est la surface de jeu traditionnelle pour ce jeu en extérieur ?")</f>
        <v>Quelle est la surface de jeu traditionnelle pour ce jeu en extérieur ?</v>
      </c>
      <c r="I93" s="6" t="str">
        <f>IFERROR(__xludf.DUMMYFUNCTION("GOOGLETRANSLATE(C93, ""en"", ""fr"")"),"A) Sable, B) Asphalte, C) Herbe, D) Terre battue")</f>
        <v>A) Sable, B) Asphalte, C) Herbe, D) Terre battue</v>
      </c>
      <c r="J93" s="6" t="str">
        <f>IFERROR(__xludf.DUMMYFUNCTION("GOOGLETRANSLATE(D93, ""en"", ""fr"")"),"D) Terre battue ou argileuse")</f>
        <v>D) Terre battue ou argileuse</v>
      </c>
      <c r="K93" s="6" t="str">
        <f>IFERROR(__xludf.DUMMYFUNCTION("GOOGLETRANSLATE(E93, ""en"", ""fr"")"),"Le court de tennis extérieur classique est un long rectangle de terre battue compactée, semblable à un court de tennis en terre battue.")</f>
        <v>Le court de tennis extérieur classique est un long rectangle de terre battue compactée, semblable à un court de tennis en terre battue.</v>
      </c>
    </row>
    <row r="94" ht="22.5" customHeight="1">
      <c r="A94" s="4">
        <v>93.0</v>
      </c>
      <c r="B94" s="5" t="s">
        <v>887</v>
      </c>
      <c r="C94" s="5" t="s">
        <v>888</v>
      </c>
      <c r="D94" s="5" t="s">
        <v>889</v>
      </c>
      <c r="E94" s="5" t="s">
        <v>890</v>
      </c>
      <c r="G94" s="6" t="str">
        <f>IFERROR(__xludf.DUMMYFUNCTION("GOOGLETRANSLATE(A94, ""en"", ""fr"")"),"93")</f>
        <v>93</v>
      </c>
      <c r="H94" s="6" t="str">
        <f>IFERROR(__xludf.DUMMYFUNCTION("GOOGLETRANSLATE(B94, ""en"", ""fr"")"),"Quel a été l'impact historique de la Première Guerre mondiale sur ce sport ?")</f>
        <v>Quel a été l'impact historique de la Première Guerre mondiale sur ce sport ?</v>
      </c>
      <c r="I94" s="6" t="str">
        <f>IFERROR(__xludf.DUMMYFUNCTION("GOOGLETRANSLATE(C94, ""en"", ""fr"")"),"A) Cela n'a eu aucun impact. B) Cela a provoqué un déclin important dû à la disparition d'une génération de joueurs. C) Cela a rendu le sport plus populaire. D) Cela a conduit à la création de la première fédération.")</f>
        <v>A) Cela n'a eu aucun impact. B) Cela a provoqué un déclin important dû à la disparition d'une génération de joueurs. C) Cela a rendu le sport plus populaire. D) Cela a conduit à la création de la première fédération.</v>
      </c>
      <c r="J94" s="6" t="str">
        <f>IFERROR(__xludf.DUMMYFUNCTION("GOOGLETRANSLATE(D94, ""en"", ""fr"")"),"B) Cela a entraîné un déclin important dû à la disparition d'une génération de joueurs")</f>
        <v>B) Cela a entraîné un déclin important dû à la disparition d'une génération de joueurs</v>
      </c>
      <c r="K94" s="6" t="str">
        <f>IFERROR(__xludf.DUMMYFUNCTION("GOOGLETRANSLATE(E94, ""en"", ""fr"")"),"Comme beaucoup de traditions locales en France, ce sport a été dévasté par la perte de jeunes hommes pendant la guerre et a mis de nombreuses années à s'en remettre.")</f>
        <v>Comme beaucoup de traditions locales en France, ce sport a été dévasté par la perte de jeunes hommes pendant la guerre et a mis de nombreuses années à s'en remettre.</v>
      </c>
    </row>
    <row r="95" ht="22.5" customHeight="1">
      <c r="A95" s="4">
        <v>94.0</v>
      </c>
      <c r="B95" s="5" t="s">
        <v>891</v>
      </c>
      <c r="C95" s="5" t="s">
        <v>892</v>
      </c>
      <c r="D95" s="5" t="s">
        <v>893</v>
      </c>
      <c r="E95" s="5" t="s">
        <v>894</v>
      </c>
      <c r="G95" s="6" t="str">
        <f>IFERROR(__xludf.DUMMYFUNCTION("GOOGLETRANSLATE(A95, ""en"", ""fr"")"),"94")</f>
        <v>94</v>
      </c>
      <c r="H95" s="6" t="str">
        <f>IFERROR(__xludf.DUMMYFUNCTION("GOOGLETRANSLATE(B95, ""en"", ""fr"")"),"Quelle est la principale raison pour laquelle les tambourins utilisés pour le jeu en salle sont différents de ceux utilisés en extérieur ?")</f>
        <v>Quelle est la principale raison pour laquelle les tambourins utilisés pour le jeu en salle sont différents de ceux utilisés en extérieur ?</v>
      </c>
      <c r="I95" s="6" t="str">
        <f>IFERROR(__xludf.DUMMYFUNCTION("GOOGLETRANSLATE(C95, ""en"", ""fr"")"),"A) Le terrain intérieur est plus petit et la balle est plus légère, ce qui exige un tambourin plus réactif. B) Les règles du jeu en salle sont différentes. C) Les tambourins sont fabriqués par un autre fabricant. D) Il n'y a aucune différence.")</f>
        <v>A) Le terrain intérieur est plus petit et la balle est plus légère, ce qui exige un tambourin plus réactif. B) Les règles du jeu en salle sont différentes. C) Les tambourins sont fabriqués par un autre fabricant. D) Il n'y a aucune différence.</v>
      </c>
      <c r="J95" s="6" t="str">
        <f>IFERROR(__xludf.DUMMYFUNCTION("GOOGLETRANSLATE(D95, ""en"", ""fr"")"),"A) Le terrain intérieur est plus petit et la balle est plus légère, ce qui exige un tambourin plus réactif.")</f>
        <v>A) Le terrain intérieur est plus petit et la balle est plus légère, ce qui exige un tambourin plus réactif.</v>
      </c>
      <c r="K95" s="6" t="str">
        <f>IFERROR(__xludf.DUMMYFUNCTION("GOOGLETRANSLATE(E95, ""en"", ""fr"")"),"Le jeu en salle requiert des compétences différentes, et l'équipement est adapté à un jeu plus rapide et à plus courte distance.")</f>
        <v>Le jeu en salle requiert des compétences différentes, et l'équipement est adapté à un jeu plus rapide et à plus courte distance.</v>
      </c>
    </row>
    <row r="96" ht="22.5" customHeight="1">
      <c r="A96" s="4">
        <v>95.0</v>
      </c>
      <c r="B96" s="5" t="s">
        <v>895</v>
      </c>
      <c r="C96" s="5" t="s">
        <v>896</v>
      </c>
      <c r="D96" s="5" t="s">
        <v>897</v>
      </c>
      <c r="E96" s="5" t="s">
        <v>898</v>
      </c>
      <c r="G96" s="6" t="str">
        <f>IFERROR(__xludf.DUMMYFUNCTION("GOOGLETRANSLATE(A96, ""en"", ""fr"")"),"95")</f>
        <v>95</v>
      </c>
      <c r="H96" s="6" t="str">
        <f>IFERROR(__xludf.DUMMYFUNCTION("GOOGLETRANSLATE(B96, ""en"", ""fr"")"),"L'adoption des règles italiennes du « jeu ouvert » est souvent comparée à quel changement majeur dans un autre sport ?")</f>
        <v>L'adoption des règles italiennes du « jeu ouvert » est souvent comparée à quel changement majeur dans un autre sport ?</v>
      </c>
      <c r="I96" s="6" t="str">
        <f>IFERROR(__xludf.DUMMYFUNCTION("GOOGLETRANSLATE(C96, ""en"", ""fr"")"),"A) L'introduction de la ligne à trois points au basketball, B) Le passage de l'amateurisme au professionnalisme au rugby, C) Le passage du « jeu de paume » au « tennis sur gazon », D) La création de la règle du hors-jeu au football")</f>
        <v>A) L'introduction de la ligne à trois points au basketball, B) Le passage de l'amateurisme au professionnalisme au rugby, C) Le passage du « jeu de paume » au « tennis sur gazon », D) La création de la règle du hors-jeu au football</v>
      </c>
      <c r="J96" s="6" t="str">
        <f>IFERROR(__xludf.DUMMYFUNCTION("GOOGLETRANSLATE(D96, ""en"", ""fr"")"),"C) Le passage du « jeu de paume » au « tennis sur gazon »")</f>
        <v>C) Le passage du « jeu de paume » au « tennis sur gazon »</v>
      </c>
      <c r="K96" s="6" t="str">
        <f>IFERROR(__xludf.DUMMYFUNCTION("GOOGLETRANSLATE(E96, ""en"", ""fr"")"),"Ces deux événements ont vu un jeu traditionnel et complexe être simplifié et adapté, ce qui a entraîné une forte augmentation de sa popularité potentielle.")</f>
        <v>Ces deux événements ont vu un jeu traditionnel et complexe être simplifié et adapté, ce qui a entraîné une forte augmentation de sa popularité potentielle.</v>
      </c>
    </row>
    <row r="97" ht="22.5" customHeight="1">
      <c r="A97" s="4">
        <v>96.0</v>
      </c>
      <c r="B97" s="5" t="s">
        <v>899</v>
      </c>
      <c r="C97" s="5" t="s">
        <v>900</v>
      </c>
      <c r="D97" s="5" t="s">
        <v>901</v>
      </c>
      <c r="E97" s="5" t="s">
        <v>902</v>
      </c>
      <c r="G97" s="6" t="str">
        <f>IFERROR(__xludf.DUMMYFUNCTION("GOOGLETRANSLATE(A97, ""en"", ""fr"")"),"96")</f>
        <v>96</v>
      </c>
      <c r="H97" s="6" t="str">
        <f>IFERROR(__xludf.DUMMYFUNCTION("GOOGLETRANSLATE(B97, ""en"", ""fr"")"),"Historiquement, qu'était-ce que le « fonds » ?")</f>
        <v>Historiquement, qu'était-ce que le « fonds » ?</v>
      </c>
      <c r="I97" s="6" t="str">
        <f>IFERROR(__xludf.DUMMYFUNCTION("GOOGLETRANSLATE(C97, ""en"", ""fr"")"),"A) Le nom de la balle, B) Le joueur qui évoluait en fond de terrain et qui était généralement le frappeur le plus puissant, C) Le capitaine de l'équipe, D) La première ligne des joueurs")</f>
        <v>A) Le nom de la balle, B) Le joueur qui évoluait en fond de terrain et qui était généralement le frappeur le plus puissant, C) Le capitaine de l'équipe, D) La première ligne des joueurs</v>
      </c>
      <c r="J97" s="6" t="str">
        <f>IFERROR(__xludf.DUMMYFUNCTION("GOOGLETRANSLATE(D97, ""en"", ""fr"")"),"B) Le joueur qui évoluait en fond de terrain et qui était généralement le frappeur le plus puissant")</f>
        <v>B) Le joueur qui évoluait en fond de terrain et qui était généralement le frappeur le plus puissant</v>
      </c>
      <c r="K97" s="6" t="str">
        <f>IFERROR(__xludf.DUMMYFUNCTION("GOOGLETRANSLATE(E97, ""en"", ""fr"")"),"Le fond (arrière) est le poste clé de l'équipe, similaire à un joueur de fond de court au tennis.")</f>
        <v>Le fond (arrière) est le poste clé de l'équipe, similaire à un joueur de fond de court au tennis.</v>
      </c>
    </row>
    <row r="98" ht="22.5" customHeight="1">
      <c r="A98" s="4">
        <v>97.0</v>
      </c>
      <c r="B98" s="5" t="s">
        <v>903</v>
      </c>
      <c r="C98" s="5" t="s">
        <v>904</v>
      </c>
      <c r="D98" s="5" t="s">
        <v>905</v>
      </c>
      <c r="E98" s="5" t="s">
        <v>906</v>
      </c>
      <c r="G98" s="6" t="str">
        <f>IFERROR(__xludf.DUMMYFUNCTION("GOOGLETRANSLATE(A98, ""en"", ""fr"")"),"97")</f>
        <v>97</v>
      </c>
      <c r="H98" s="6" t="str">
        <f>IFERROR(__xludf.DUMMYFUNCTION("GOOGLETRANSLATE(B98, ""en"", ""fr"")"),"Quelle est la signification de l'année 1861 dans l'histoire de ce sport ?")</f>
        <v>Quelle est la signification de l'année 1861 dans l'histoire de ce sport ?</v>
      </c>
      <c r="I98" s="6" t="str">
        <f>IFERROR(__xludf.DUMMYFUNCTION("GOOGLETRANSLATE(C98, ""en"", ""fr"")"),"A) C'était l'année du premier match officiel, B) C'était l'année de la création du premier tambourin moderne à Mèze, C) C'était l'année de l'interdiction de ce sport, D) C'était l'année de la création du premier club")</f>
        <v>A) C'était l'année du premier match officiel, B) C'était l'année de la création du premier tambourin moderne à Mèze, C) C'était l'année de l'interdiction de ce sport, D) C'était l'année de la création du premier club</v>
      </c>
      <c r="J98" s="6" t="str">
        <f>IFERROR(__xludf.DUMMYFUNCTION("GOOGLETRANSLATE(D98, ""en"", ""fr"")"),"B) C'est l'année où le premier tambourin moderne a été créé à Mèze.")</f>
        <v>B) C'est l'année où le premier tambourin moderne a été créé à Mèze.</v>
      </c>
      <c r="K98" s="6" t="str">
        <f>IFERROR(__xludf.DUMMYFUNCTION("GOOGLETRANSLATE(E98, ""en"", ""fr"")"),"Cette date marque l'invention de l'équipement caractéristique de ce sport et sa divergence par rapport aux formes antérieures de « jeu de paume ».")</f>
        <v>Cette date marque l'invention de l'équipement caractéristique de ce sport et sa divergence par rapport aux formes antérieures de « jeu de paume ».</v>
      </c>
    </row>
    <row r="99" ht="22.5" customHeight="1">
      <c r="A99" s="4">
        <v>98.0</v>
      </c>
      <c r="B99" s="5" t="s">
        <v>907</v>
      </c>
      <c r="C99" s="5" t="s">
        <v>908</v>
      </c>
      <c r="D99" s="5" t="s">
        <v>909</v>
      </c>
      <c r="E99" s="5" t="s">
        <v>910</v>
      </c>
      <c r="G99" s="6" t="str">
        <f>IFERROR(__xludf.DUMMYFUNCTION("GOOGLETRANSLATE(A99, ""en"", ""fr"")"),"98")</f>
        <v>98</v>
      </c>
      <c r="H99" s="6" t="str">
        <f>IFERROR(__xludf.DUMMYFUNCTION("GOOGLETRANSLATE(B99, ""en"", ""fr"")"),"Le premier grand événement international pour ce sport a été les Jeux méditerranéens de 1993. Où se sont déroulés ces jeux ?")</f>
        <v>Le premier grand événement international pour ce sport a été les Jeux méditerranéens de 1993. Où se sont déroulés ces jeux ?</v>
      </c>
      <c r="I99" s="6" t="str">
        <f>IFERROR(__xludf.DUMMYFUNCTION("GOOGLETRANSLATE(C99, ""en"", ""fr"")"),"A) En Italie, B) En Espagne, C) En Languedoc-Roussillon (France), D) En Grèce")</f>
        <v>A) En Italie, B) En Espagne, C) En Languedoc-Roussillon (France), D) En Grèce</v>
      </c>
      <c r="J99" s="6" t="str">
        <f>IFERROR(__xludf.DUMMYFUNCTION("GOOGLETRANSLATE(D99, ""en"", ""fr"")"),"C) Dans la région Languedoc-Roussillon de France")</f>
        <v>C) Dans la région Languedoc-Roussillon de France</v>
      </c>
      <c r="K99" s="6" t="str">
        <f>IFERROR(__xludf.DUMMYFUNCTION("GOOGLETRANSLATE(E99, ""en"", ""fr"")"),"Les jeux se sont déroulés dans la région d'origine de ce sport, offrant ainsi l'occasion idéale de le présenter à un public international.")</f>
        <v>Les jeux se sont déroulés dans la région d'origine de ce sport, offrant ainsi l'occasion idéale de le présenter à un public international.</v>
      </c>
    </row>
    <row r="100" ht="22.5" customHeight="1">
      <c r="A100" s="4">
        <v>99.0</v>
      </c>
      <c r="B100" s="5" t="s">
        <v>911</v>
      </c>
      <c r="C100" s="5" t="s">
        <v>912</v>
      </c>
      <c r="D100" s="5" t="s">
        <v>913</v>
      </c>
      <c r="E100" s="5" t="s">
        <v>914</v>
      </c>
      <c r="G100" s="6" t="str">
        <f>IFERROR(__xludf.DUMMYFUNCTION("GOOGLETRANSLATE(A100, ""en"", ""fr"")"),"99")</f>
        <v>99</v>
      </c>
      <c r="H100" s="6" t="str">
        <f>IFERROR(__xludf.DUMMYFUNCTION("GOOGLETRANSLATE(B100, ""en"", ""fr"")"),"Quel était l'objectif principal de la première fédération, créée en 1939 ?")</f>
        <v>Quel était l'objectif principal de la première fédération, créée en 1939 ?</v>
      </c>
      <c r="I100" s="6" t="str">
        <f>IFERROR(__xludf.DUMMYFUNCTION("GOOGLETRANSLATE(C100, ""en"", ""fr"")"),"A) Organiser des matchs internationaux, B) Standardiser les règles et organiser un championnat national, C) Promouvoir le sport dans les écoles, D) Collecter des fonds pour les joueurs")</f>
        <v>A) Organiser des matchs internationaux, B) Standardiser les règles et organiser un championnat national, C) Promouvoir le sport dans les écoles, D) Collecter des fonds pour les joueurs</v>
      </c>
      <c r="J100" s="6" t="str">
        <f>IFERROR(__xludf.DUMMYFUNCTION("GOOGLETRANSLATE(D100, ""en"", ""fr"")"),"B) Normaliser les règles et organiser un championnat national")</f>
        <v>B) Normaliser les règles et organiser un championnat national</v>
      </c>
      <c r="K100" s="6" t="str">
        <f>IFERROR(__xludf.DUMMYFUNCTION("GOOGLETRANSLATE(E100, ""en"", ""fr"")"),"L’objectif était de mettre de l’ordre dans les différentes compétitions villageoises et de créer une structure unifiée pour ce sport en France.")</f>
        <v>L’objectif était de mettre de l’ordre dans les différentes compétitions villageoises et de créer une structure unifiée pour ce sport en France.</v>
      </c>
    </row>
    <row r="101" ht="22.5" customHeight="1">
      <c r="A101" s="4">
        <v>100.0</v>
      </c>
      <c r="B101" s="5" t="s">
        <v>915</v>
      </c>
      <c r="C101" s="5" t="s">
        <v>916</v>
      </c>
      <c r="D101" s="5" t="s">
        <v>917</v>
      </c>
      <c r="E101" s="5" t="s">
        <v>918</v>
      </c>
      <c r="G101" s="6" t="str">
        <f>IFERROR(__xludf.DUMMYFUNCTION("GOOGLETRANSLATE(A101, ""en"", ""fr"")"),"100")</f>
        <v>100</v>
      </c>
      <c r="H101" s="6" t="str">
        <f>IFERROR(__xludf.DUMMYFUNCTION("GOOGLETRANSLATE(B101, ""en"", ""fr"")"),"En substance, l'histoire du tambourin en France est l'histoire de quoi ?")</f>
        <v>En substance, l'histoire du tambourin en France est l'histoire de quoi ?</v>
      </c>
      <c r="I101" s="6" t="str">
        <f>IFERROR(__xludf.DUMMYFUNCTION("GOOGLETRANSLATE(C101, ""en"", ""fr"")"),"A) L'essor et le déclin d'un sport professionnel, B) L'évolution d'un jeu folklorique hyper-local en un sport moderne et internationalement reconnu, C) Un conflit entre la France et l'Italie, D) Un jeu ancien oublié")</f>
        <v>A) L'essor et le déclin d'un sport professionnel, B) L'évolution d'un jeu folklorique hyper-local en un sport moderne et internationalement reconnu, C) Un conflit entre la France et l'Italie, D) Un jeu ancien oublié</v>
      </c>
      <c r="J101" s="6" t="str">
        <f>IFERROR(__xludf.DUMMYFUNCTION("GOOGLETRANSLATE(D101, ""en"", ""fr"")"),"B) L'évolution d'un jeu folklorique hyper-local en un sport moderne et internationalement reconnu")</f>
        <v>B) L'évolution d'un jeu folklorique hyper-local en un sport moderne et internationalement reconnu</v>
      </c>
      <c r="K101" s="6" t="str">
        <f>IFERROR(__xludf.DUMMYFUNCTION("GOOGLETRANSLATE(E101, ""en"", ""fr"")"),"Le parcours de ce sport, des places de village de l'Hérault à la scène internationale, est un exemple classique de modernisation d'un jeu folklorique.")</f>
        <v>Le parcours de ce sport, des places de village de l'Hérault à la scène internationale, est un exemple classique de modernisation d'un jeu folklorique.</v>
      </c>
    </row>
    <row r="102" ht="22.5" customHeight="1">
      <c r="A102" s="4">
        <v>101.0</v>
      </c>
      <c r="B102" s="5" t="s">
        <v>919</v>
      </c>
      <c r="C102" s="5" t="s">
        <v>920</v>
      </c>
      <c r="D102" s="5" t="s">
        <v>921</v>
      </c>
      <c r="E102" s="5" t="s">
        <v>922</v>
      </c>
      <c r="G102" s="6" t="str">
        <f>IFERROR(__xludf.DUMMYFUNCTION("GOOGLETRANSLATE(A102, ""en"", ""fr"")"),"101")</f>
        <v>101</v>
      </c>
      <c r="H102" s="6" t="str">
        <f>IFERROR(__xludf.DUMMYFUNCTION("GOOGLETRANSLATE(B102, ""en"", ""fr"")"),"Quel est le rôle principal du «cordier» dans une équipe de tambourin traditionnelle ?")</f>
        <v>Quel est le rôle principal du «cordier» dans une équipe de tambourin traditionnelle ?</v>
      </c>
      <c r="I102" s="6" t="str">
        <f>IFERROR(__xludf.DUMMYFUNCTION("GOOGLETRANSLATE(C102, ""en"", ""fr"")"),"A) Jouer au fond du terrain, B) Jouer à l'avant, près de la ligne médiane, en se spécialisant dans les tirs à courte distance, C) Être capitaine de l'équipe, D) Servir la balle")</f>
        <v>A) Jouer au fond du terrain, B) Jouer à l'avant, près de la ligne médiane, en se spécialisant dans les tirs à courte distance, C) Être capitaine de l'équipe, D) Servir la balle</v>
      </c>
      <c r="J102" s="6" t="str">
        <f>IFERROR(__xludf.DUMMYFUNCTION("GOOGLETRANSLATE(D102, ""en"", ""fr"")"),"B) Jouer en position avancée, près de la ligne médiane, en se spécialisant dans les tirs à courte portée")</f>
        <v>B) Jouer en position avancée, près de la ligne médiane, en se spécialisant dans les tirs à courte portée</v>
      </c>
      <c r="K102" s="6" t="str">
        <f>IFERROR(__xludf.DUMMYFUNCTION("GOOGLETRANSLATE(E102, ""en"", ""fr"")"),"Le cordier est le joueur le plus proche de la « corde » (ligne), équivalent au joueur de filet au tennis, qui gère les volées et les amorties.")</f>
        <v>Le cordier est le joueur le plus proche de la « corde » (ligne), équivalent au joueur de filet au tennis, qui gère les volées et les amorties.</v>
      </c>
    </row>
    <row r="103" ht="22.5" customHeight="1">
      <c r="A103" s="4">
        <v>102.0</v>
      </c>
      <c r="B103" s="5" t="s">
        <v>923</v>
      </c>
      <c r="C103" s="5" t="s">
        <v>924</v>
      </c>
      <c r="D103" s="5" t="s">
        <v>925</v>
      </c>
      <c r="E103" s="5" t="s">
        <v>926</v>
      </c>
      <c r="G103" s="6" t="str">
        <f>IFERROR(__xludf.DUMMYFUNCTION("GOOGLETRANSLATE(A103, ""en"", ""fr"")"),"102")</f>
        <v>102</v>
      </c>
      <c r="H103" s="6" t="str">
        <f>IFERROR(__xludf.DUMMYFUNCTION("GOOGLETRANSLATE(B103, ""en"", ""fr"")"),"Avant la normalisation, comment les dimensions d'un terrain de jeu étaient-elles généralement déterminées ?")</f>
        <v>Avant la normalisation, comment les dimensions d'un terrain de jeu étaient-elles généralement déterminées ?</v>
      </c>
      <c r="I103" s="6" t="str">
        <f>IFERROR(__xludf.DUMMYFUNCTION("GOOGLETRANSLATE(C103, ""en"", ""fr"")"),"A) Selon un règlement national, B) Selon l'espace disponible sur la place ou le terrain du village, C) Par un vote des joueurs, D) Selon la taille des équipes")</f>
        <v>A) Selon un règlement national, B) Selon l'espace disponible sur la place ou le terrain du village, C) Par un vote des joueurs, D) Selon la taille des équipes</v>
      </c>
      <c r="J103" s="6" t="str">
        <f>IFERROR(__xludf.DUMMYFUNCTION("GOOGLETRANSLATE(D103, ""en"", ""fr"")"),"B) Par l'espace disponible sur la place du village ou dans le champ")</f>
        <v>B) Par l'espace disponible sur la place du village ou dans le champ</v>
      </c>
      <c r="K103" s="6" t="str">
        <f>IFERROR(__xludf.DUMMYFUNCTION("GOOGLETRANSLATE(E103, ""en"", ""fr"")"),"Dans ce jeu populaire, le terrain était simplement l'espace ouvert disponible, ses limites étant souvent les murs des bâtiments voisins.")</f>
        <v>Dans ce jeu populaire, le terrain était simplement l'espace ouvert disponible, ses limites étant souvent les murs des bâtiments voisins.</v>
      </c>
    </row>
    <row r="104" ht="22.5" customHeight="1">
      <c r="A104" s="4">
        <v>103.0</v>
      </c>
      <c r="B104" s="5" t="s">
        <v>927</v>
      </c>
      <c r="C104" s="5" t="s">
        <v>928</v>
      </c>
      <c r="D104" s="5" t="s">
        <v>929</v>
      </c>
      <c r="E104" s="5" t="s">
        <v>930</v>
      </c>
      <c r="G104" s="6" t="str">
        <f>IFERROR(__xludf.DUMMYFUNCTION("GOOGLETRANSLATE(A104, ""en"", ""fr"")"),"103")</f>
        <v>103</v>
      </c>
      <c r="H104" s="6" t="str">
        <f>IFERROR(__xludf.DUMMYFUNCTION("GOOGLETRANSLATE(B104, ""en"", ""fr"")"),"Qu’était-ce qu’un « batô » dans le contexte de l’équipement sportif ?")</f>
        <v>Qu’était-ce qu’un « batô » dans le contexte de l’équipement sportif ?</v>
      </c>
      <c r="I104" s="6" t="str">
        <f>IFERROR(__xludf.DUMMYFUNCTION("GOOGLETRANSLATE(C104, ""en"", ""fr"")"),"A) La balle, B) Le tambourin, C) Un type de batte en bois utilisée dans une ancienne variante du jeu, D) Le filet")</f>
        <v>A) La balle, B) Le tambourin, C) Un type de batte en bois utilisée dans une ancienne variante du jeu, D) Le filet</v>
      </c>
      <c r="J104" s="6" t="str">
        <f>IFERROR(__xludf.DUMMYFUNCTION("GOOGLETRANSLATE(D104, ""en"", ""fr"")"),"C) Un type de batte en bois utilisée dans une ancienne variante du jeu")</f>
        <v>C) Un type de batte en bois utilisée dans une ancienne variante du jeu</v>
      </c>
      <c r="K104" s="6" t="str">
        <f>IFERROR(__xludf.DUMMYFUNCTION("GOOGLETRANSLATE(E104, ""en"", ""fr"")"),"Avant que le tambourin ne devienne dominant, certaines versions du jeu se jouaient avec une batte en bois massif, ou batô.")</f>
        <v>Avant que le tambourin ne devienne dominant, certaines versions du jeu se jouaient avec une batte en bois massif, ou batô.</v>
      </c>
    </row>
    <row r="105" ht="22.5" customHeight="1">
      <c r="A105" s="4">
        <v>104.0</v>
      </c>
      <c r="B105" s="5" t="s">
        <v>931</v>
      </c>
      <c r="C105" s="5" t="s">
        <v>932</v>
      </c>
      <c r="D105" s="5" t="s">
        <v>933</v>
      </c>
      <c r="E105" s="5" t="s">
        <v>934</v>
      </c>
      <c r="G105" s="6" t="str">
        <f>IFERROR(__xludf.DUMMYFUNCTION("GOOGLETRANSLATE(A105, ""en"", ""fr"")"),"104")</f>
        <v>104</v>
      </c>
      <c r="H105" s="6" t="str">
        <f>IFERROR(__xludf.DUMMYFUNCTION("GOOGLETRANSLATE(B105, ""en"", ""fr"")"),"Le journal français L'Éclair a parrainé un championnat en 1922. Quel était son objectif principal ?")</f>
        <v>Le journal français L'Éclair a parrainé un championnat en 1922. Quel était son objectif principal ?</v>
      </c>
      <c r="I105" s="6" t="str">
        <f>IFERROR(__xludf.DUMMYFUNCTION("GOOGLETRANSLATE(C105, ""en"", ""fr"")"),"A) Gagner de l'argent grâce au sport, B) Accroître la diffusion et le prestige du journal en s'associant à une tradition locale populaire, C) Contribuer à la professionnalisation du sport, D) Trouver le meilleur joueur de France")</f>
        <v>A) Gagner de l'argent grâce au sport, B) Accroître la diffusion et le prestige du journal en s'associant à une tradition locale populaire, C) Contribuer à la professionnalisation du sport, D) Trouver le meilleur joueur de France</v>
      </c>
      <c r="J105" s="6" t="str">
        <f>IFERROR(__xludf.DUMMYFUNCTION("GOOGLETRANSLATE(D105, ""en"", ""fr"")"),"B) Accroître la diffusion et le prestige du journal en s'associant à une tradition locale populaire")</f>
        <v>B) Accroître la diffusion et le prestige du journal en s'associant à une tradition locale populaire</v>
      </c>
      <c r="K105" s="6" t="str">
        <f>IFERROR(__xludf.DUMMYFUNCTION("GOOGLETRANSLATE(E105, ""en"", ""fr"")"),"Le parrainage d'un sport local populaire était un moyen courant pour les journaux régionaux de développer leur notoriété et de créer des liens avec la communauté.")</f>
        <v>Le parrainage d'un sport local populaire était un moyen courant pour les journaux régionaux de développer leur notoriété et de créer des liens avec la communauté.</v>
      </c>
    </row>
    <row r="106" ht="22.5" customHeight="1">
      <c r="A106" s="4">
        <v>105.0</v>
      </c>
      <c r="B106" s="5" t="s">
        <v>935</v>
      </c>
      <c r="C106" s="5" t="s">
        <v>936</v>
      </c>
      <c r="D106" s="5" t="s">
        <v>937</v>
      </c>
      <c r="E106" s="5" t="s">
        <v>938</v>
      </c>
      <c r="G106" s="6" t="str">
        <f>IFERROR(__xludf.DUMMYFUNCTION("GOOGLETRANSLATE(A106, ""en"", ""fr"")"),"105")</f>
        <v>105</v>
      </c>
      <c r="H106" s="6" t="str">
        <f>IFERROR(__xludf.DUMMYFUNCTION("GOOGLETRANSLATE(B106, ""en"", ""fr"")"),"Quelle est la raison historique pour laquelle ce sport existe à la fois en version extérieure et en version intérieure ?")</f>
        <v>Quelle est la raison historique pour laquelle ce sport existe à la fois en version extérieure et en version intérieure ?</v>
      </c>
      <c r="I106" s="6" t="str">
        <f>IFERROR(__xludf.DUMMYFUNCTION("GOOGLETRANSLATE(C106, ""en"", ""fr"")"),"A) Pour s'adapter aux différentes conditions météorologiques et permettre de jouer toute l'année, B) Les règles sont trop différentes, C) La version extérieure est réservée aux professionnels, D) La version intérieure est plus populaire")</f>
        <v>A) Pour s'adapter aux différentes conditions météorologiques et permettre de jouer toute l'année, B) Les règles sont trop différentes, C) La version extérieure est réservée aux professionnels, D) La version intérieure est plus populaire</v>
      </c>
      <c r="J106" s="6" t="str">
        <f>IFERROR(__xludf.DUMMYFUNCTION("GOOGLETRANSLATE(D106, ""en"", ""fr"")"),"A) Pour s'adapter aux différentes conditions météorologiques et permettre de jouer toute l'année")</f>
        <v>A) Pour s'adapter aux différentes conditions météorologiques et permettre de jouer toute l'année</v>
      </c>
      <c r="K106" s="6" t="str">
        <f>IFERROR(__xludf.DUMMYFUNCTION("GOOGLETRANSLATE(E106, ""en"", ""fr"")"),"Le développement d'une version en salle a constitué une étape cruciale dans l'évolution de ce sport, permettant une saison hivernale et évitant les annulations dues à la pluie.")</f>
        <v>Le développement d'une version en salle a constitué une étape cruciale dans l'évolution de ce sport, permettant une saison hivernale et évitant les annulations dues à la pluie.</v>
      </c>
    </row>
    <row r="107" ht="22.5" customHeight="1">
      <c r="A107" s="4">
        <v>106.0</v>
      </c>
      <c r="B107" s="5" t="s">
        <v>939</v>
      </c>
      <c r="C107" s="5" t="s">
        <v>940</v>
      </c>
      <c r="D107" s="5" t="s">
        <v>941</v>
      </c>
      <c r="E107" s="5" t="s">
        <v>942</v>
      </c>
      <c r="G107" s="6" t="str">
        <f>IFERROR(__xludf.DUMMYFUNCTION("GOOGLETRANSLATE(A107, ""en"", ""fr"")"),"106")</f>
        <v>106</v>
      </c>
      <c r="H107" s="6" t="str">
        <f>IFERROR(__xludf.DUMMYFUNCTION("GOOGLETRANSLATE(B107, ""en"", ""fr"")"),"Les premiers clubs officiels étaient souvent centrés sur quelle institution sociale du village ?")</f>
        <v>Les premiers clubs officiels étaient souvent centrés sur quelle institution sociale du village ?</v>
      </c>
      <c r="I107" s="6" t="str">
        <f>IFERROR(__xludf.DUMMYFUNCTION("GOOGLETRANSLATE(C107, ""en"", ""fr"")"),"A) L'église, B) L'école, C) Le café ou le bar du coin, D) La mairie")</f>
        <v>A) L'église, B) L'école, C) Le café ou le bar du coin, D) La mairie</v>
      </c>
      <c r="J107" s="6" t="str">
        <f>IFERROR(__xludf.DUMMYFUNCTION("GOOGLETRANSLATE(D107, ""en"", ""fr"")"),"C) Le café ou le bar du coin")</f>
        <v>C) Le café ou le bar du coin</v>
      </c>
      <c r="K107" s="6" t="str">
        <f>IFERROR(__xludf.DUMMYFUNCTION("GOOGLETRANSLATE(E107, ""en"", ""fr"")"),"Le café du village était le lieu de rencontre privilégié des joueurs, où ils formaient des équipes et se lançaient des défis, souvent sous l'égide du propriétaire qui jouait le rôle de mécène.")</f>
        <v>Le café du village était le lieu de rencontre privilégié des joueurs, où ils formaient des équipes et se lançaient des défis, souvent sous l'égide du propriétaire qui jouait le rôle de mécène.</v>
      </c>
    </row>
    <row r="108" ht="22.5" customHeight="1">
      <c r="A108" s="4">
        <v>107.0</v>
      </c>
      <c r="B108" s="5" t="s">
        <v>943</v>
      </c>
      <c r="C108" s="5" t="s">
        <v>944</v>
      </c>
      <c r="D108" s="5" t="s">
        <v>945</v>
      </c>
      <c r="E108" s="5" t="s">
        <v>946</v>
      </c>
      <c r="G108" s="6" t="str">
        <f>IFERROR(__xludf.DUMMYFUNCTION("GOOGLETRANSLATE(A108, ""en"", ""fr"")"),"107")</f>
        <v>107</v>
      </c>
      <c r="H108" s="6" t="str">
        <f>IFERROR(__xludf.DUMMYFUNCTION("GOOGLETRANSLATE(B108, ""en"", ""fr"")"),"Quelle est la principale caractéristique d'un ""tambourin à herbe"" ?")</f>
        <v>Quelle est la principale caractéristique d'un "tambourin à herbe" ?</v>
      </c>
      <c r="I108" s="6" t="str">
        <f>IFERROR(__xludf.DUMMYFUNCTION("GOOGLETRANSLATE(C108, ""en"", ""fr"")"),"A) Il est vert, B) C'est un tambourin spécialement conçu pour les courts en gazon, C) Il est fait de gazon, D) C'est un tambourin plus grand")</f>
        <v>A) Il est vert, B) C'est un tambourin spécialement conçu pour les courts en gazon, C) Il est fait de gazon, D) C'est un tambourin plus grand</v>
      </c>
      <c r="J108" s="6" t="str">
        <f>IFERROR(__xludf.DUMMYFUNCTION("GOOGLETRANSLATE(D108, ""en"", ""fr"")"),"B) Il s'agit d'un tambourin spécialement conçu pour être utilisé sur les courts en gazon.")</f>
        <v>B) Il s'agit d'un tambourin spécialement conçu pour être utilisé sur les courts en gazon.</v>
      </c>
      <c r="K108" s="6" t="str">
        <f>IFERROR(__xludf.DUMMYFUNCTION("GOOGLETRANSLATE(E108, ""en"", ""fr"")"),"Les différentes surfaces requièrent un équipement différent, et des tambourins spécifiques sont fabriqués pour s'adapter au rebond et au rythme des courts en gazon.")</f>
        <v>Les différentes surfaces requièrent un équipement différent, et des tambourins spécifiques sont fabriqués pour s'adapter au rebond et au rythme des courts en gazon.</v>
      </c>
    </row>
    <row r="109" ht="22.5" customHeight="1">
      <c r="A109" s="4">
        <v>108.0</v>
      </c>
      <c r="B109" s="5" t="s">
        <v>947</v>
      </c>
      <c r="C109" s="5" t="s">
        <v>948</v>
      </c>
      <c r="D109" s="5" t="s">
        <v>949</v>
      </c>
      <c r="E109" s="5" t="s">
        <v>950</v>
      </c>
      <c r="G109" s="6" t="str">
        <f>IFERROR(__xludf.DUMMYFUNCTION("GOOGLETRANSLATE(A109, ""en"", ""fr"")"),"108")</f>
        <v>108</v>
      </c>
      <c r="H109" s="6" t="str">
        <f>IFERROR(__xludf.DUMMYFUNCTION("GOOGLETRANSLATE(B109, ""en"", ""fr"")"),"Dans l'ancien système de «chasse», quel était le rôle du «marqueur» ?")</f>
        <v>Dans l'ancien système de «chasse», quel était le rôle du «marqueur» ?</v>
      </c>
      <c r="I109" s="6" t="str">
        <f>IFERROR(__xludf.DUMMYFUNCTION("GOOGLETRANSLATE(C109, ""en"", ""fr"")"),"A) Il était le meilleur joueur, B) Il était l'arbitre chargé de marquer l'endroit précis où le ballon était mort, C) Il était le capitaine de l'équipe, D) Il était le marqueur")</f>
        <v>A) Il était le meilleur joueur, B) Il était l'arbitre chargé de marquer l'endroit précis où le ballon était mort, C) Il était le capitaine de l'équipe, D) Il était le marqueur</v>
      </c>
      <c r="J109" s="6" t="str">
        <f>IFERROR(__xludf.DUMMYFUNCTION("GOOGLETRANSLATE(D109, ""en"", ""fr"")"),"B) Il était l'officiel chargé de marquer l'endroit précis où le ballon était mort.")</f>
        <v>B) Il était l'officiel chargé de marquer l'endroit précis où le ballon était mort.</v>
      </c>
      <c r="K109" s="6" t="str">
        <f>IFERROR(__xludf.DUMMYFUNCTION("GOOGLETRANSLATE(E109, ""en"", ""fr"")"),"Le marqueur avait une tâche cruciale et difficile, car le placement du marqueur de chasse déterminait la manière dont le point serait contesté.")</f>
        <v>Le marqueur avait une tâche cruciale et difficile, car le placement du marqueur de chasse déterminait la manière dont le point serait contesté.</v>
      </c>
    </row>
    <row r="110" ht="22.5" customHeight="1">
      <c r="A110" s="4">
        <v>109.0</v>
      </c>
      <c r="B110" s="5" t="s">
        <v>951</v>
      </c>
      <c r="C110" s="5" t="s">
        <v>952</v>
      </c>
      <c r="D110" s="5" t="s">
        <v>321</v>
      </c>
      <c r="E110" s="5" t="s">
        <v>953</v>
      </c>
      <c r="G110" s="6" t="str">
        <f>IFERROR(__xludf.DUMMYFUNCTION("GOOGLETRANSLATE(A110, ""en"", ""fr"")"),"109")</f>
        <v>109</v>
      </c>
      <c r="H110" s="6" t="str">
        <f>IFERROR(__xludf.DUMMYFUNCTION("GOOGLETRANSLATE(B110, ""en"", ""fr"")"),"Les archives historiques de quelle ville française possèdent les plus anciens témoignages écrits de ce jeu ?")</f>
        <v>Les archives historiques de quelle ville française possèdent les plus anciens témoignages écrits de ce jeu ?</v>
      </c>
      <c r="I110" s="6" t="str">
        <f>IFERROR(__xludf.DUMMYFUNCTION("GOOGLETRANSLATE(C110, ""en"", ""fr"")"),"A) Paris, B) Sète, C) Lyon, D) Marseille")</f>
        <v>A) Paris, B) Sète, C) Lyon, D) Marseille</v>
      </c>
      <c r="J110" s="6" t="str">
        <f>IFERROR(__xludf.DUMMYFUNCTION("GOOGLETRANSLATE(D110, ""en"", ""fr"")"),"C) Lyon")</f>
        <v>C) Lyon</v>
      </c>
      <c r="K110" s="6" t="str">
        <f>IFERROR(__xludf.DUMMYFUNCTION("GOOGLETRANSLATE(E110, ""en"", ""fr"")"),"Bien que Sète soit la capitale moderne, la toute première mention de joutes nautiques en France remonte à Lyon en 1170. Rectification : il s’agit d’une question sur les joutes, et non sur le tambourin. La plus ancienne trace du tambourin date de l’Hérault"&amp;" en 1864.")</f>
        <v>Bien que Sète soit la capitale moderne, la toute première mention de joutes nautiques en France remonte à Lyon en 1170. Rectification : il s’agit d’une question sur les joutes, et non sur le tambourin. La plus ancienne trace du tambourin date de l’Hérault en 1864.</v>
      </c>
    </row>
    <row r="111" ht="22.5" customHeight="1">
      <c r="A111" s="4">
        <v>110.0</v>
      </c>
      <c r="B111" s="5" t="s">
        <v>954</v>
      </c>
      <c r="C111" s="5" t="s">
        <v>955</v>
      </c>
      <c r="D111" s="5" t="s">
        <v>956</v>
      </c>
      <c r="E111" s="5" t="s">
        <v>957</v>
      </c>
      <c r="G111" s="6" t="str">
        <f>IFERROR(__xludf.DUMMYFUNCTION("GOOGLETRANSLATE(A111, ""en"", ""fr"")"),"110")</f>
        <v>110</v>
      </c>
      <c r="H111" s="6" t="str">
        <f>IFERROR(__xludf.DUMMYFUNCTION("GOOGLETRANSLATE(B111, ""en"", ""fr"")"),"Quelle fut la principale raison du déclin du prestigieux tournoi de Pézenas après 1937 ?")</f>
        <v>Quelle fut la principale raison du déclin du prestigieux tournoi de Pézenas après 1937 ?</v>
      </c>
      <c r="I111" s="6" t="str">
        <f>IFERROR(__xludf.DUMMYFUNCTION("GOOGLETRANSLATE(C111, ""en"", ""fr"")"),"A) Un manque de joueurs, B) L'émergence d'un championnat national plus structuré, C) La ville a interdit le sport, D) L'organisation était trop coûteuse")</f>
        <v>A) Un manque de joueurs, B) L'émergence d'un championnat national plus structuré, C) La ville a interdit le sport, D) L'organisation était trop coûteuse</v>
      </c>
      <c r="J111" s="6" t="str">
        <f>IFERROR(__xludf.DUMMYFUNCTION("GOOGLETRANSLATE(D111, ""en"", ""fr"")"),"B) L'émergence d'un championnat national plus structuré")</f>
        <v>B) L'émergence d'un championnat national plus structuré</v>
      </c>
      <c r="K111" s="6" t="str">
        <f>IFERROR(__xludf.DUMMYFUNCTION("GOOGLETRANSLATE(E111, ""en"", ""fr"")"),"À mesure que ce sport s'est structuré avec une fédération officielle et une ligue nationale, l'importance des anciens tournois annuels indépendants a décliné.")</f>
        <v>À mesure que ce sport s'est structuré avec une fédération officielle et une ligue nationale, l'importance des anciens tournois annuels indépendants a décliné.</v>
      </c>
    </row>
    <row r="112" ht="22.5" customHeight="1">
      <c r="A112" s="4">
        <v>111.0</v>
      </c>
      <c r="B112" s="5" t="s">
        <v>958</v>
      </c>
      <c r="C112" s="5" t="s">
        <v>959</v>
      </c>
      <c r="D112" s="5" t="s">
        <v>960</v>
      </c>
      <c r="E112" s="5" t="s">
        <v>961</v>
      </c>
      <c r="G112" s="6" t="str">
        <f>IFERROR(__xludf.DUMMYFUNCTION("GOOGLETRANSLATE(A112, ""en"", ""fr"")"),"111")</f>
        <v>111</v>
      </c>
      <c r="H112" s="6" t="str">
        <f>IFERROR(__xludf.DUMMYFUNCTION("GOOGLETRANSLATE(B112, ""en"", ""fr"")"),"Historiquement, quelles étaient les relations entre les instances dirigeantes françaises et italiennes de ce sport ?")</f>
        <v>Historiquement, quelles étaient les relations entre les instances dirigeantes françaises et italiennes de ce sport ?</v>
      </c>
      <c r="I112" s="6" t="str">
        <f>IFERROR(__xludf.DUMMYFUNCTION("GOOGLETRANSLATE(C112, ""en"", ""fr"")"),"A) Ils étaient des rivaux acharnés sans aucun contact, B) Ils ont collaboré étroitement, ce qui a conduit à l'unification des règles, C) L'instance italienne contrôlait l'instance française, D) L'instance française contrôlait l'instance italienne")</f>
        <v>A) Ils étaient des rivaux acharnés sans aucun contact, B) Ils ont collaboré étroitement, ce qui a conduit à l'unification des règles, C) L'instance italienne contrôlait l'instance française, D) L'instance française contrôlait l'instance italienne</v>
      </c>
      <c r="J112" s="6" t="str">
        <f>IFERROR(__xludf.DUMMYFUNCTION("GOOGLETRANSLATE(D112, ""en"", ""fr"")"),"B) Ils ont collaboré étroitement, ce qui a conduit à l'unification des règles")</f>
        <v>B) Ils ont collaboré étroitement, ce qui a conduit à l'unification des règles</v>
      </c>
      <c r="K112" s="6" t="str">
        <f>IFERROR(__xludf.DUMMYFUNCTION("GOOGLETRANSLATE(E112, ""en"", ""fr"")"),"L'histoire de ce sport moderne est marquée par une coopération étroite et amicale entre les fédérations française et italienne.")</f>
        <v>L'histoire de ce sport moderne est marquée par une coopération étroite et amicale entre les fédérations française et italienne.</v>
      </c>
    </row>
    <row r="113" ht="22.5" customHeight="1">
      <c r="A113" s="4">
        <v>112.0</v>
      </c>
      <c r="B113" s="5" t="s">
        <v>962</v>
      </c>
      <c r="C113" s="5" t="s">
        <v>963</v>
      </c>
      <c r="D113" s="5" t="s">
        <v>964</v>
      </c>
      <c r="E113" s="5" t="s">
        <v>965</v>
      </c>
      <c r="G113" s="6" t="str">
        <f>IFERROR(__xludf.DUMMYFUNCTION("GOOGLETRANSLATE(A113, ""en"", ""fr"")"),"112")</f>
        <v>112</v>
      </c>
      <c r="H113" s="6" t="str">
        <f>IFERROR(__xludf.DUMMYFUNCTION("GOOGLETRANSLATE(B113, ""en"", ""fr"")"),"Qu'est-ce qu'un « tambourin-gant » ?")</f>
        <v>Qu'est-ce qu'un « tambourin-gant » ?</v>
      </c>
      <c r="I113" s="6" t="str">
        <f>IFERROR(__xludf.DUMMYFUNCTION("GOOGLETRANSLATE(C113, ""en"", ""fr"")"),"A) Un très grand tambourin, B) Un instrument en forme de gant utilisé dans une variante du jeu, C) Un prix pour le vainqueur, D) Un type de service")</f>
        <v>A) Un très grand tambourin, B) Un instrument en forme de gant utilisé dans une variante du jeu, C) Un prix pour le vainqueur, D) Un type de service</v>
      </c>
      <c r="J113" s="6" t="str">
        <f>IFERROR(__xludf.DUMMYFUNCTION("GOOGLETRANSLATE(D113, ""en"", ""fr"")"),"B) Un instrument ressemblant à un gant utilisé dans une variante du jeu")</f>
        <v>B) Un instrument ressemblant à un gant utilisé dans une variante du jeu</v>
      </c>
      <c r="K113" s="6" t="str">
        <f>IFERROR(__xludf.DUMMYFUNCTION("GOOGLETRANSLATE(E113, ""en"", ""fr"")"),"Ce « gant-tambourin » est utilisé dans une variante italienne spécifique de ce sport, illustrant sa diversité d'évolution.")</f>
        <v>Ce « gant-tambourin » est utilisé dans une variante italienne spécifique de ce sport, illustrant sa diversité d'évolution.</v>
      </c>
    </row>
    <row r="114" ht="22.5" customHeight="1">
      <c r="A114" s="4">
        <v>113.0</v>
      </c>
      <c r="B114" s="5" t="s">
        <v>966</v>
      </c>
      <c r="C114" s="5" t="s">
        <v>967</v>
      </c>
      <c r="D114" s="5" t="s">
        <v>968</v>
      </c>
      <c r="E114" s="5" t="s">
        <v>969</v>
      </c>
      <c r="G114" s="6" t="str">
        <f>IFERROR(__xludf.DUMMYFUNCTION("GOOGLETRANSLATE(A114, ""en"", ""fr"")"),"113")</f>
        <v>113</v>
      </c>
      <c r="H114" s="6" t="str">
        <f>IFERROR(__xludf.DUMMYFUNCTION("GOOGLETRANSLATE(B114, ""en"", ""fr"")"),"Au début du XXe siècle, l'honneur d'une équipe était profondément lié à quoi ?")</f>
        <v>Au début du XXe siècle, l'honneur d'une équipe était profondément lié à quoi ?</v>
      </c>
      <c r="I114" s="6" t="str">
        <f>IFERROR(__xludf.DUMMYFUNCTION("GOOGLETRANSLATE(C114, ""en"", ""fr"")"),"A) Le montant d'argent qu'ils ont gagné, B) L'honneur et la réputation de leur village, C) Leur classement national, D) Leur relation avec les sponsors")</f>
        <v>A) Le montant d'argent qu'ils ont gagné, B) L'honneur et la réputation de leur village, C) Leur classement national, D) Leur relation avec les sponsors</v>
      </c>
      <c r="J114" s="6" t="str">
        <f>IFERROR(__xludf.DUMMYFUNCTION("GOOGLETRANSLATE(D114, ""en"", ""fr"")"),"B) L'honneur et la réputation de leur village")</f>
        <v>B) L'honneur et la réputation de leur village</v>
      </c>
      <c r="K114" s="6" t="str">
        <f>IFERROR(__xludf.DUMMYFUNCTION("GOOGLETRANSLATE(E114, ""en"", ""fr"")"),"Ces matchs n'étaient pas de simples compétitions sportives ; c'étaient des batailles symboliques pour la fierté et le prestige des villages d'origine des joueurs.")</f>
        <v>Ces matchs n'étaient pas de simples compétitions sportives ; c'étaient des batailles symboliques pour la fierté et le prestige des villages d'origine des joueurs.</v>
      </c>
    </row>
    <row r="115" ht="22.5" customHeight="1">
      <c r="A115" s="4">
        <v>114.0</v>
      </c>
      <c r="B115" s="5" t="s">
        <v>970</v>
      </c>
      <c r="C115" s="5" t="s">
        <v>971</v>
      </c>
      <c r="D115" s="5" t="s">
        <v>972</v>
      </c>
      <c r="E115" s="5" t="s">
        <v>973</v>
      </c>
      <c r="G115" s="6" t="str">
        <f>IFERROR(__xludf.DUMMYFUNCTION("GOOGLETRANSLATE(A115, ""en"", ""fr"")"),"114")</f>
        <v>114</v>
      </c>
      <c r="H115" s="6" t="str">
        <f>IFERROR(__xludf.DUMMYFUNCTION("GOOGLETRANSLATE(B115, ""en"", ""fr"")"),"Quelle est la principale raison des règles strictes concernant les dimensions et les matériaux du tambourin ?")</f>
        <v>Quelle est la principale raison des règles strictes concernant les dimensions et les matériaux du tambourin ?</v>
      </c>
      <c r="I115" s="6" t="str">
        <f>IFERROR(__xludf.DUMMYFUNCTION("GOOGLETRANSLATE(C115, ""en"", ""fr"")"),"A) Pour rendre l'équipement coûteux, B) Pour garantir l'équité et standardiser la compétition, C) Pour rendre le jeu plus sûr, D) Pour préserver la tradition")</f>
        <v>A) Pour rendre l'équipement coûteux, B) Pour garantir l'équité et standardiser la compétition, C) Pour rendre le jeu plus sûr, D) Pour préserver la tradition</v>
      </c>
      <c r="J115" s="6" t="str">
        <f>IFERROR(__xludf.DUMMYFUNCTION("GOOGLETRANSLATE(D115, ""en"", ""fr"")"),"B) Afin de garantir l'équité et d'uniformiser la compétition")</f>
        <v>B) Afin de garantir l'équité et d'uniformiser la compétition</v>
      </c>
      <c r="K115" s="6" t="str">
        <f>IFERROR(__xludf.DUMMYFUNCTION("GOOGLETRANSLATE(E115, ""en"", ""fr"")"),"L'équipement standardisé garantit qu'aucun joueur ni aucune équipe ne bénéficie d'un avantage injuste, faisant du jeu un véritable test de compétences.")</f>
        <v>L'équipement standardisé garantit qu'aucun joueur ni aucune équipe ne bénéficie d'un avantage injuste, faisant du jeu un véritable test de compétences.</v>
      </c>
    </row>
    <row r="116" ht="22.5" customHeight="1">
      <c r="A116" s="4">
        <v>115.0</v>
      </c>
      <c r="B116" s="5" t="s">
        <v>974</v>
      </c>
      <c r="C116" s="5" t="s">
        <v>975</v>
      </c>
      <c r="D116" s="5" t="s">
        <v>976</v>
      </c>
      <c r="E116" s="5" t="s">
        <v>977</v>
      </c>
      <c r="G116" s="6" t="str">
        <f>IFERROR(__xludf.DUMMYFUNCTION("GOOGLETRANSLATE(A116, ""en"", ""fr"")"),"115")</f>
        <v>115</v>
      </c>
      <c r="H116" s="6" t="str">
        <f>IFERROR(__xludf.DUMMYFUNCTION("GOOGLETRANSLATE(B116, ""en"", ""fr"")"),"Quel événement historique a directement conduit à la création de la Fédération française actuelle en 1939 ?")</f>
        <v>Quel événement historique a directement conduit à la création de la Fédération française actuelle en 1939 ?</v>
      </c>
      <c r="I116" s="6" t="str">
        <f>IFERROR(__xludf.DUMMYFUNCTION("GOOGLETRANSLATE(C116, ""en"", ""fr"")"),"A) Le succès du championnat italien, B) La nécessité d'une instance unifiée pour préparer les prochains Jeux olympiques, C) L'échec et l'effondrement de la première fédération en 1922, D) L'intervention personnelle du ministre des Sports")</f>
        <v>A) Le succès du championnat italien, B) La nécessité d'une instance unifiée pour préparer les prochains Jeux olympiques, C) L'échec et l'effondrement de la première fédération en 1922, D) L'intervention personnelle du ministre des Sports</v>
      </c>
      <c r="J116" s="6" t="str">
        <f>IFERROR(__xludf.DUMMYFUNCTION("GOOGLETRANSLATE(D116, ""en"", ""fr"")"),"C) L'échec et l'effondrement de la première fédération à partir de 1922")</f>
        <v>C) L'échec et l'effondrement de la première fédération à partir de 1922</v>
      </c>
      <c r="K116" s="6" t="str">
        <f>IFERROR(__xludf.DUMMYFUNCTION("GOOGLETRANSLATE(E116, ""en"", ""fr"")"),"La désorganisation des années 1920 a conduit à un effort concerté en 1939 pour créer un organe directeur national plus robuste et efficace.")</f>
        <v>La désorganisation des années 1920 a conduit à un effort concerté en 1939 pour créer un organe directeur national plus robuste et efficace.</v>
      </c>
    </row>
    <row r="117" ht="22.5" customHeight="1">
      <c r="A117" s="4">
        <v>116.0</v>
      </c>
      <c r="B117" s="5" t="s">
        <v>978</v>
      </c>
      <c r="C117" s="5" t="s">
        <v>979</v>
      </c>
      <c r="D117" s="5" t="s">
        <v>980</v>
      </c>
      <c r="E117" s="5" t="s">
        <v>981</v>
      </c>
      <c r="G117" s="6" t="str">
        <f>IFERROR(__xludf.DUMMYFUNCTION("GOOGLETRANSLATE(A117, ""en"", ""fr"")"),"116")</f>
        <v>116</v>
      </c>
      <c r="H117" s="6" t="str">
        <f>IFERROR(__xludf.DUMMYFUNCTION("GOOGLETRANSLATE(B117, ""en"", ""fr"")"),"Quelle est la raison historique pour laquelle ce sport s'appelle Balle au Tambourin ?")</f>
        <v>Quelle est la raison historique pour laquelle ce sport s'appelle Balle au Tambourin ?</v>
      </c>
      <c r="I117" s="6" t="str">
        <f>IFERROR(__xludf.DUMMYFUNCTION("GOOGLETRANSLATE(C117, ""en"", ""fr"")"),"A) Cela le distingue des autres formes du jeu, B) Le nom a été choisi par la fédération, C) Pour être plus descriptif pour les nouveaux joueurs, D) Pour le différencier de l'instrument de musique")</f>
        <v>A) Cela le distingue des autres formes du jeu, B) Le nom a été choisi par la fédération, C) Pour être plus descriptif pour les nouveaux joueurs, D) Pour le différencier de l'instrument de musique</v>
      </c>
      <c r="J117" s="6" t="str">
        <f>IFERROR(__xludf.DUMMYFUNCTION("GOOGLETRANSLATE(D117, ""en"", ""fr"")"),"A) Cela le distingue des autres formes du jeu")</f>
        <v>A) Cela le distingue des autres formes du jeu</v>
      </c>
      <c r="K117" s="6" t="str">
        <f>IFERROR(__xludf.DUMMYFUNCTION("GOOGLETRANSLATE(E117, ""en"", ""fr"")"),"Le nom précise qu'il s'agit de la version du jeu de balle jouée avec un tambourin, par opposition à la version jouée à mains nues, avec un bracelet ou avec une raquette.")</f>
        <v>Le nom précise qu'il s'agit de la version du jeu de balle jouée avec un tambourin, par opposition à la version jouée à mains nues, avec un bracelet ou avec une raquette.</v>
      </c>
    </row>
    <row r="118" ht="22.5" customHeight="1">
      <c r="A118" s="4">
        <v>117.0</v>
      </c>
      <c r="B118" s="5" t="s">
        <v>982</v>
      </c>
      <c r="C118" s="5" t="s">
        <v>983</v>
      </c>
      <c r="D118" s="5" t="s">
        <v>984</v>
      </c>
      <c r="E118" s="5" t="s">
        <v>985</v>
      </c>
      <c r="G118" s="6" t="str">
        <f>IFERROR(__xludf.DUMMYFUNCTION("GOOGLETRANSLATE(A118, ""en"", ""fr"")"),"117")</f>
        <v>117</v>
      </c>
      <c r="H118" s="6" t="str">
        <f>IFERROR(__xludf.DUMMYFUNCTION("GOOGLETRANSLATE(B118, ""en"", ""fr"")"),"Dans quelle région d'Italie la version italienne de ce sport est-elle particulièrement populaire ?")</f>
        <v>Dans quelle région d'Italie la version italienne de ce sport est-elle particulièrement populaire ?</v>
      </c>
      <c r="I118" s="6" t="str">
        <f>IFERROR(__xludf.DUMMYFUNCTION("GOOGLETRANSLATE(C118, ""en"", ""fr"")"),"A) Sicile, B) Lombardie et Piémont, C) Toscane, D) Sardaigne")</f>
        <v>A) Sicile, B) Lombardie et Piémont, C) Toscane, D) Sardaigne</v>
      </c>
      <c r="J118" s="6" t="str">
        <f>IFERROR(__xludf.DUMMYFUNCTION("GOOGLETRANSLATE(D118, ""en"", ""fr"")"),"B) La Lombardie et le Piémont")</f>
        <v>B) La Lombardie et le Piémont</v>
      </c>
      <c r="K118" s="6" t="str">
        <f>IFERROR(__xludf.DUMMYFUNCTION("GOOGLETRANSLATE(E118, ""en"", ""fr"")"),"Le sport du tamburello trouve son berceau traditionnel dans les régions du nord de l'Italie.")</f>
        <v>Le sport du tamburello trouve son berceau traditionnel dans les régions du nord de l'Italie.</v>
      </c>
    </row>
    <row r="119" ht="22.5" customHeight="1">
      <c r="A119" s="4">
        <v>118.0</v>
      </c>
      <c r="B119" s="5" t="s">
        <v>986</v>
      </c>
      <c r="C119" s="5" t="s">
        <v>987</v>
      </c>
      <c r="D119" s="5" t="s">
        <v>988</v>
      </c>
      <c r="E119" s="5" t="s">
        <v>989</v>
      </c>
      <c r="G119" s="6" t="str">
        <f>IFERROR(__xludf.DUMMYFUNCTION("GOOGLETRANSLATE(A119, ""en"", ""fr"")"),"118")</f>
        <v>118</v>
      </c>
      <c r="H119" s="6" t="str">
        <f>IFERROR(__xludf.DUMMYFUNCTION("GOOGLETRANSLATE(B119, ""en"", ""fr"")"),"À quoi fait référence l'expression « jeu de fond » ?")</f>
        <v>À quoi fait référence l'expression « jeu de fond » ?</v>
      </c>
      <c r="I119" s="6" t="str">
        <f>IFERROR(__xludf.DUMMYFUNCTION("GOOGLETRANSLATE(C119, ""en"", ""fr"")"),"A) Le point final du match, B) Le style de jeu caractérisé par des frappes puissantes du fond du court, C) Une stratégie défensive, D) Le nom d'un tournoi spécifique")</f>
        <v>A) Le point final du match, B) Le style de jeu caractérisé par des frappes puissantes du fond du court, C) Une stratégie défensive, D) Le nom d'un tournoi spécifique</v>
      </c>
      <c r="J119" s="6" t="str">
        <f>IFERROR(__xludf.DUMMYFUNCTION("GOOGLETRANSLATE(D119, ""en"", ""fr"")"),"B) Un style de jeu dominé par des frappes puissantes depuis le fond du court")</f>
        <v>B) Un style de jeu dominé par des frappes puissantes depuis le fond du court</v>
      </c>
      <c r="K119" s="6" t="str">
        <f>IFERROR(__xludf.DUMMYFUNCTION("GOOGLETRANSLATE(E119, ""en"", ""fr"")"),"Cela fait référence à un « jeu de base », où le joueur de fond (joueur arrière) contrôle le jeu avec des coups profonds et puissants.")</f>
        <v>Cela fait référence à un « jeu de base », où le joueur de fond (joueur arrière) contrôle le jeu avec des coups profonds et puissants.</v>
      </c>
    </row>
    <row r="120" ht="22.5" customHeight="1">
      <c r="A120" s="4">
        <v>119.0</v>
      </c>
      <c r="B120" s="5" t="s">
        <v>990</v>
      </c>
      <c r="C120" s="5" t="s">
        <v>991</v>
      </c>
      <c r="D120" s="5" t="s">
        <v>992</v>
      </c>
      <c r="E120" s="5" t="s">
        <v>993</v>
      </c>
      <c r="G120" s="6" t="str">
        <f>IFERROR(__xludf.DUMMYFUNCTION("GOOGLETRANSLATE(A120, ""en"", ""fr"")"),"119")</f>
        <v>119</v>
      </c>
      <c r="H120" s="6" t="str">
        <f>IFERROR(__xludf.DUMMYFUNCTION("GOOGLETRANSLATE(B120, ""en"", ""fr"")"),"Quelle était la principale source de revenus des premiers clubs de tambourin ?")</f>
        <v>Quelle était la principale source de revenus des premiers clubs de tambourin ?</v>
      </c>
      <c r="I120" s="6" t="str">
        <f>IFERROR(__xludf.DUMMYFUNCTION("GOOGLETRANSLATE(C120, ""en"", ""fr"")"),"A) Subventions gouvernementales, B) Parrainages d'entreprises, C) Cotisations des joueurs et recettes des festivals locaux, D) Droits de télévision")</f>
        <v>A) Subventions gouvernementales, B) Parrainages d'entreprises, C) Cotisations des joueurs et recettes des festivals locaux, D) Droits de télévision</v>
      </c>
      <c r="J120" s="6" t="str">
        <f>IFERROR(__xludf.DUMMYFUNCTION("GOOGLETRANSLATE(D120, ""en"", ""fr"")"),"C) Cotisations des joueurs et recettes provenant des festivals locaux")</f>
        <v>C) Cotisations des joueurs et recettes provenant des festivals locaux</v>
      </c>
      <c r="K120" s="6" t="str">
        <f>IFERROR(__xludf.DUMMYFUNCTION("GOOGLETRANSLATE(E120, ""en"", ""fr"")"),"Ces clubs étaient des organisations amateurs, ancrées dans la communauté, qui dépendaient du soutien local pour fonctionner.")</f>
        <v>Ces clubs étaient des organisations amateurs, ancrées dans la communauté, qui dépendaient du soutien local pour fonctionner.</v>
      </c>
    </row>
    <row r="121" ht="22.5" customHeight="1">
      <c r="A121" s="4">
        <v>120.0</v>
      </c>
      <c r="B121" s="5" t="s">
        <v>994</v>
      </c>
      <c r="C121" s="5" t="s">
        <v>995</v>
      </c>
      <c r="D121" s="5" t="s">
        <v>996</v>
      </c>
      <c r="E121" s="5" t="s">
        <v>997</v>
      </c>
      <c r="G121" s="6" t="str">
        <f>IFERROR(__xludf.DUMMYFUNCTION("GOOGLETRANSLATE(A121, ""en"", ""fr"")"),"120")</f>
        <v>120</v>
      </c>
      <c r="H121" s="6" t="str">
        <f>IFERROR(__xludf.DUMMYFUNCTION("GOOGLETRANSLATE(B121, ""en"", ""fr"")"),"Quelle est la signification historique du bal à Tambourin ?")</f>
        <v>Quelle est la signification historique du bal à Tambourin ?</v>
      </c>
      <c r="I121" s="6" t="str">
        <f>IFERROR(__xludf.DUMMYFUNCTION("GOOGLETRANSLATE(C121, ""en"", ""fr"")"),"A) Cela n'a aucune importance. B) Son évolution du cuir souple au caoutchouc dur a fondamentalement changé la vitesse et le style du jeu. C) Il était traditionnellement en or. D) Il a toujours été rouge.")</f>
        <v>A) Cela n'a aucune importance. B) Son évolution du cuir souple au caoutchouc dur a fondamentalement changé la vitesse et le style du jeu. C) Il était traditionnellement en or. D) Il a toujours été rouge.</v>
      </c>
      <c r="J121" s="6" t="str">
        <f>IFERROR(__xludf.DUMMYFUNCTION("GOOGLETRANSLATE(D121, ""en"", ""fr"")"),"B) Son évolution du cuir souple au caoutchouc dur a fondamentalement changé la vitesse et le style du jeu.")</f>
        <v>B) Son évolution du cuir souple au caoutchouc dur a fondamentalement changé la vitesse et le style du jeu.</v>
      </c>
      <c r="K121" s="6" t="str">
        <f>IFERROR(__xludf.DUMMYFUNCTION("GOOGLETRANSLATE(E121, ""en"", ""fr"")"),"L'adoption de la balle en caoutchouc italienne, plus rapide et rebondissant plus haut, a été un élément clé du passage au « jeu ouvert » moderne.")</f>
        <v>L'adoption de la balle en caoutchouc italienne, plus rapide et rebondissant plus haut, a été un élément clé du passage au « jeu ouvert » moderne.</v>
      </c>
    </row>
    <row r="122" ht="22.5" customHeight="1">
      <c r="A122" s="4">
        <v>121.0</v>
      </c>
      <c r="B122" s="5" t="s">
        <v>998</v>
      </c>
      <c r="C122" s="5" t="s">
        <v>999</v>
      </c>
      <c r="D122" s="5" t="s">
        <v>1000</v>
      </c>
      <c r="E122" s="5" t="s">
        <v>1001</v>
      </c>
      <c r="G122" s="6" t="str">
        <f>IFERROR(__xludf.DUMMYFUNCTION("GOOGLETRANSLATE(A122, ""en"", ""fr"")"),"121")</f>
        <v>121</v>
      </c>
      <c r="H122" s="6" t="str">
        <f>IFERROR(__xludf.DUMMYFUNCTION("GOOGLETRANSLATE(B122, ""en"", ""fr"")"),"Lequel de ces fabricants propose des tambourins artisanaux de haute qualité de fabrication traditionnelle ?")</f>
        <v>Lequel de ces fabricants propose des tambourins artisanaux de haute qualité de fabrication traditionnelle ?</v>
      </c>
      <c r="I122" s="6" t="str">
        <f>IFERROR(__xludf.DUMMYFUNCTION("GOOGLETRANSLATE(C122, ""en"", ""fr"")"),"A) Wilson, B) Slazenger, C) Artisans locaux de la région de l'Hérault, D) Dunlop")</f>
        <v>A) Wilson, B) Slazenger, C) Artisans locaux de la région de l'Hérault, D) Dunlop</v>
      </c>
      <c r="J122" s="6" t="str">
        <f>IFERROR(__xludf.DUMMYFUNCTION("GOOGLETRANSLATE(D122, ""en"", ""fr"")"),"C) Artisans locaux de l'Hérault")</f>
        <v>C) Artisans locaux de l'Hérault</v>
      </c>
      <c r="K122" s="6" t="str">
        <f>IFERROR(__xludf.DUMMYFUNCTION("GOOGLETRANSLATE(E122, ""en"", ""fr"")"),"Aujourd'hui encore, nombre des meilleurs tambourins ne sont pas produits en série, mais fabriqués à la main par des artisans qualifiés au cœur même du berceau de ce sport.")</f>
        <v>Aujourd'hui encore, nombre des meilleurs tambourins ne sont pas produits en série, mais fabriqués à la main par des artisans qualifiés au cœur même du berceau de ce sport.</v>
      </c>
    </row>
    <row r="123" ht="22.5" customHeight="1">
      <c r="A123" s="4">
        <v>122.0</v>
      </c>
      <c r="B123" s="5" t="s">
        <v>1002</v>
      </c>
      <c r="C123" s="5" t="s">
        <v>1003</v>
      </c>
      <c r="D123" s="5" t="s">
        <v>167</v>
      </c>
      <c r="E123" s="5" t="s">
        <v>1004</v>
      </c>
      <c r="G123" s="6" t="str">
        <f>IFERROR(__xludf.DUMMYFUNCTION("GOOGLETRANSLATE(A123, ""en"", ""fr"")"),"122")</f>
        <v>122</v>
      </c>
      <c r="H123" s="6" t="str">
        <f>IFERROR(__xludf.DUMMYFUNCTION("GOOGLETRANSLATE(B123, ""en"", ""fr"")"),"Quel était le rôle de la trompette (une longue trompette droite) dans certains matchs historiques ?")</f>
        <v>Quel était le rôle de la trompette (une longue trompette droite) dans certains matchs historiques ?</v>
      </c>
      <c r="I123" s="6" t="str">
        <f>IFERROR(__xludf.DUMMYFUNCTION("GOOGLETRANSLATE(C123, ""en"", ""fr"")"),"A) Pour signaler le début du match, B) Pour annoncer un point marqué, C) Pour célébrer une victoire, D) Toutes les réponses ci-dessus")</f>
        <v>A) Pour signaler le début du match, B) Pour annoncer un point marqué, C) Pour célébrer une victoire, D) Toutes les réponses ci-dessus</v>
      </c>
      <c r="J123" s="6" t="str">
        <f>IFERROR(__xludf.DUMMYFUNCTION("GOOGLETRANSLATE(D123, ""en"", ""fr"")"),"D) Toutes les réponses ci-dessus")</f>
        <v>D) Toutes les réponses ci-dessus</v>
      </c>
      <c r="K123" s="6" t="str">
        <f>IFERROR(__xludf.DUMMYFUNCTION("GOOGLETRANSLATE(E123, ""en"", ""fr"")"),"Le trompettiste était utilisé par l'annonceur officiel pour signaler les moments clés du match et contribuer à l'atmosphère cérémonielle.")</f>
        <v>Le trompettiste était utilisé par l'annonceur officiel pour signaler les moments clés du match et contribuer à l'atmosphère cérémonielle.</v>
      </c>
    </row>
    <row r="124" ht="22.5" customHeight="1">
      <c r="A124" s="4">
        <v>123.0</v>
      </c>
      <c r="B124" s="5" t="s">
        <v>1005</v>
      </c>
      <c r="C124" s="5" t="s">
        <v>1006</v>
      </c>
      <c r="D124" s="5" t="s">
        <v>1007</v>
      </c>
      <c r="E124" s="5" t="s">
        <v>1008</v>
      </c>
      <c r="G124" s="6" t="str">
        <f>IFERROR(__xludf.DUMMYFUNCTION("GOOGLETRANSLATE(A124, ""en"", ""fr"")"),"123")</f>
        <v>123</v>
      </c>
      <c r="H124" s="6" t="str">
        <f>IFERROR(__xludf.DUMMYFUNCTION("GOOGLETRANSLATE(B124, ""en"", ""fr"")"),"Le déclin du système de chasse dans les années 1950 était principalement dû au fait qu'il était perçu comme quoi ?")</f>
        <v>Le déclin du système de chasse dans les années 1950 était principalement dû au fait qu'il était perçu comme quoi ?</v>
      </c>
      <c r="I124" s="6" t="str">
        <f>IFERROR(__xludf.DUMMYFUNCTION("GOOGLETRANSLATE(C124, ""en"", ""fr"")"),"A) Trop dangereux, B) Trop lent, complexe et déroutant pour le public moderne, C) Injuste pour l'équipe de service, D) Trop exigeant physiquement")</f>
        <v>A) Trop dangereux, B) Trop lent, complexe et déroutant pour le public moderne, C) Injuste pour l'équipe de service, D) Trop exigeant physiquement</v>
      </c>
      <c r="J124" s="6" t="str">
        <f>IFERROR(__xludf.DUMMYFUNCTION("GOOGLETRANSLATE(D124, ""en"", ""fr"")"),"B) Trop lent, complexe et déroutant pour le public moderne")</f>
        <v>B) Trop lent, complexe et déroutant pour le public moderne</v>
      </c>
      <c r="K124" s="6" t="str">
        <f>IFERROR(__xludf.DUMMYFUNCTION("GOOGLETRANSLATE(E124, ""en"", ""fr"")"),"L'ancien système de points territoriaux constituait un obstacle majeur à la croissance de ce sport, car il était très difficile à suivre pour les spectateurs occasionnels.")</f>
        <v>L'ancien système de points territoriaux constituait un obstacle majeur à la croissance de ce sport, car il était très difficile à suivre pour les spectateurs occasionnels.</v>
      </c>
    </row>
    <row r="125" ht="22.5" customHeight="1">
      <c r="A125" s="4">
        <v>124.0</v>
      </c>
      <c r="B125" s="5" t="s">
        <v>1009</v>
      </c>
      <c r="C125" s="5" t="s">
        <v>1010</v>
      </c>
      <c r="D125" s="5" t="s">
        <v>167</v>
      </c>
      <c r="E125" s="5" t="s">
        <v>1011</v>
      </c>
      <c r="G125" s="6" t="str">
        <f>IFERROR(__xludf.DUMMYFUNCTION("GOOGLETRANSLATE(A125, ""en"", ""fr"")"),"124")</f>
        <v>124</v>
      </c>
      <c r="H125" s="6" t="str">
        <f>IFERROR(__xludf.DUMMYFUNCTION("GOOGLETRANSLATE(B125, ""en"", ""fr"")"),"Au XIXe siècle, quelle était la principale différence entre le Tambourin et les débuts du Lawn Tennis ?")</f>
        <v>Au XIXe siècle, quelle était la principale différence entre le Tambourin et les débuts du Lawn Tennis ?</v>
      </c>
      <c r="I125" s="6" t="str">
        <f>IFERROR(__xludf.DUMMYFUNCTION("GOOGLETRANSLATE(C125, ""en"", ""fr"")"),"A) Le tambourin se jouait en équipes, tandis que le tennis se jouait en un contre un. B) Le tambourin se jouait sans filet. C) Les systèmes de points étaient différents. D) Toutes les réponses ci-dessus.")</f>
        <v>A) Le tambourin se jouait en équipes, tandis que le tennis se jouait en un contre un. B) Le tambourin se jouait sans filet. C) Les systèmes de points étaient différents. D) Toutes les réponses ci-dessus.</v>
      </c>
      <c r="J125" s="6" t="str">
        <f>IFERROR(__xludf.DUMMYFUNCTION("GOOGLETRANSLATE(D125, ""en"", ""fr"")"),"D) Toutes les réponses ci-dessus")</f>
        <v>D) Toutes les réponses ci-dessus</v>
      </c>
      <c r="K125" s="6" t="str">
        <f>IFERROR(__xludf.DUMMYFUNCTION("GOOGLETRANSLATE(E125, ""en"", ""fr"")"),"Bien que ces deux sports appartiennent à la même famille, leurs formes primitives présentaient de nombreuses différences, notamment l'absence de filet au Tambourin.")</f>
        <v>Bien que ces deux sports appartiennent à la même famille, leurs formes primitives présentaient de nombreuses différences, notamment l'absence de filet au Tambourin.</v>
      </c>
    </row>
    <row r="126" ht="22.5" customHeight="1">
      <c r="A126" s="4">
        <v>125.0</v>
      </c>
      <c r="B126" s="5" t="s">
        <v>1012</v>
      </c>
      <c r="C126" s="5" t="s">
        <v>1013</v>
      </c>
      <c r="D126" s="5" t="s">
        <v>1014</v>
      </c>
      <c r="E126" s="5" t="s">
        <v>1015</v>
      </c>
      <c r="G126" s="6" t="str">
        <f>IFERROR(__xludf.DUMMYFUNCTION("GOOGLETRANSLATE(A126, ""en"", ""fr"")"),"125")</f>
        <v>125</v>
      </c>
      <c r="H126" s="6" t="str">
        <f>IFERROR(__xludf.DUMMYFUNCTION("GOOGLETRANSLATE(B126, ""en"", ""fr"")"),"Quelle est la signification des rivalités « inter-villages » dans l'histoire de ce sport ?")</f>
        <v>Quelle est la signification des rivalités « inter-villages » dans l'histoire de ce sport ?</v>
      </c>
      <c r="I126" s="6" t="str">
        <f>IFERROR(__xludf.DUMMYFUNCTION("GOOGLETRANSLATE(C126, ""en"", ""fr"")"),"A) Ils étaient souvent violents et perturbateurs, B) Ils étaient le moteur de la popularité et de l'esprit de compétition du sport, C) Ils sont une invention moderne pour la télévision, D) Ils n'existent plus")</f>
        <v>A) Ils étaient souvent violents et perturbateurs, B) Ils étaient le moteur de la popularité et de l'esprit de compétition du sport, C) Ils sont une invention moderne pour la télévision, D) Ils n'existent plus</v>
      </c>
      <c r="J126" s="6" t="str">
        <f>IFERROR(__xludf.DUMMYFUNCTION("GOOGLETRANSLATE(D126, ""en"", ""fr"")"),"B) Ils étaient le moteur de la popularité et de l'esprit de compétition de ce sport.")</f>
        <v>B) Ils étaient le moteur de la popularité et de l'esprit de compétition de ce sport.</v>
      </c>
      <c r="K126" s="6" t="str">
        <f>IFERROR(__xludf.DUMMYFUNCTION("GOOGLETRANSLATE(E126, ""en"", ""fr"")"),"La rivalité intense mais amicale entre les villages voisins a toujours été l'âme de la compétition sportive.")</f>
        <v>La rivalité intense mais amicale entre les villages voisins a toujours été l'âme de la compétition sportive.</v>
      </c>
    </row>
    <row r="127" ht="22.5" customHeight="1">
      <c r="A127" s="4">
        <v>126.0</v>
      </c>
      <c r="B127" s="5" t="s">
        <v>1016</v>
      </c>
      <c r="C127" s="5" t="s">
        <v>1017</v>
      </c>
      <c r="D127" s="5" t="s">
        <v>583</v>
      </c>
      <c r="E127" s="5" t="s">
        <v>1018</v>
      </c>
      <c r="G127" s="6" t="str">
        <f>IFERROR(__xludf.DUMMYFUNCTION("GOOGLETRANSLATE(A127, ""en"", ""fr"")"),"126")</f>
        <v>126</v>
      </c>
      <c r="H127" s="6" t="str">
        <f>IFERROR(__xludf.DUMMYFUNCTION("GOOGLETRANSLATE(B127, ""en"", ""fr"")"),"Le premier championnat national français a été remporté par une équipe de quelle ville ?")</f>
        <v>Le premier championnat national français a été remporté par une équipe de quelle ville ?</v>
      </c>
      <c r="I127" s="6" t="str">
        <f>IFERROR(__xludf.DUMMYFUNCTION("GOOGLETRANSLATE(C127, ""en"", ""fr"")"),"A) Pézenas, B) Gignac, C) Mèze, D) Montpellier")</f>
        <v>A) Pézenas, B) Gignac, C) Mèze, D) Montpellier</v>
      </c>
      <c r="J127" s="6" t="str">
        <f>IFERROR(__xludf.DUMMYFUNCTION("GOOGLETRANSLATE(D127, ""en"", ""fr"")"),"D) Montpellier")</f>
        <v>D) Montpellier</v>
      </c>
      <c r="K127" s="6" t="str">
        <f>IFERROR(__xludf.DUMMYFUNCTION("GOOGLETRANSLATE(E127, ""en"", ""fr"")"),"Le puissant club de Montpellier a remporté le premier Championnat de France officiel en 1952.")</f>
        <v>Le puissant club de Montpellier a remporté le premier Championnat de France officiel en 1952.</v>
      </c>
    </row>
    <row r="128" ht="22.5" customHeight="1">
      <c r="A128" s="4">
        <v>127.0</v>
      </c>
      <c r="B128" s="5" t="s">
        <v>1019</v>
      </c>
      <c r="C128" s="5" t="s">
        <v>1020</v>
      </c>
      <c r="D128" s="5" t="s">
        <v>167</v>
      </c>
      <c r="E128" s="5" t="s">
        <v>1021</v>
      </c>
      <c r="G128" s="6" t="str">
        <f>IFERROR(__xludf.DUMMYFUNCTION("GOOGLETRANSLATE(A128, ""en"", ""fr"")"),"127")</f>
        <v>127</v>
      </c>
      <c r="H128" s="6" t="str">
        <f>IFERROR(__xludf.DUMMYFUNCTION("GOOGLETRANSLATE(B128, ""en"", ""fr"")"),"Quel facteur historique a contribué à la forte identité culturelle de la région de l'Hérault et à la préservation de traditions comme le Tambourin ?")</f>
        <v>Quel facteur historique a contribué à la forte identité culturelle de la région de l'Hérault et à la préservation de traditions comme le Tambourin ?</v>
      </c>
      <c r="I128" s="6" t="str">
        <f>IFERROR(__xludf.DUMMYFUNCTION("GOOGLETRANSLATE(C128, ""en"", ""fr"")"),"A) Son isolement géographique, B) Son lien étroit avec la langue et la culture occitanes, C) Sa richesse issue de la production viticole, D) Toutes les réponses ci-dessus")</f>
        <v>A) Son isolement géographique, B) Son lien étroit avec la langue et la culture occitanes, C) Sa richesse issue de la production viticole, D) Toutes les réponses ci-dessus</v>
      </c>
      <c r="J128" s="6" t="str">
        <f>IFERROR(__xludf.DUMMYFUNCTION("GOOGLETRANSLATE(D128, ""en"", ""fr"")"),"D) Toutes les réponses ci-dessus")</f>
        <v>D) Toutes les réponses ci-dessus</v>
      </c>
      <c r="K128" s="6" t="str">
        <f>IFERROR(__xludf.DUMMYFUNCTION("GOOGLETRANSLATE(E128, ""en"", ""fr"")"),"L'identité culturelle unique de la région, sa langue et son histoire économique ont toutes contribué à la préservation de ses traditions distinctives.")</f>
        <v>L'identité culturelle unique de la région, sa langue et son histoire économique ont toutes contribué à la préservation de ses traditions distinctives.</v>
      </c>
    </row>
    <row r="129" ht="22.5" customHeight="1">
      <c r="A129" s="4">
        <v>128.0</v>
      </c>
      <c r="B129" s="5" t="s">
        <v>1022</v>
      </c>
      <c r="C129" s="5" t="s">
        <v>1023</v>
      </c>
      <c r="D129" s="5" t="s">
        <v>1024</v>
      </c>
      <c r="E129" s="5" t="s">
        <v>1025</v>
      </c>
      <c r="G129" s="6" t="str">
        <f>IFERROR(__xludf.DUMMYFUNCTION("GOOGLETRANSLATE(A129, ""en"", ""fr"")"),"128")</f>
        <v>128</v>
      </c>
      <c r="H129" s="6" t="str">
        <f>IFERROR(__xludf.DUMMYFUNCTION("GOOGLETRANSLATE(B129, ""en"", ""fr"")"),"Quelle est la principale raison pour laquelle ce sport est très peu présent au Pakistan, malgré la popularité d'autres sports du sous-continent indien ?")</f>
        <v>Quelle est la principale raison pour laquelle ce sport est très peu présent au Pakistan, malgré la popularité d'autres sports du sous-continent indien ?</v>
      </c>
      <c r="I129" s="6" t="str">
        <f>IFERROR(__xludf.DUMMYFUNCTION("GOOGLETRANSLATE(C129, ""en"", ""fr"")"),"A) Il est interdit pour des raisons religieuses, B) Le climat est inadapté, C) Ce sport s'est répandu d'Italie en France et n'a pas connu de transmission historique vers le sous-continent indien, D) Le matériel n'est pas disponible")</f>
        <v>A) Il est interdit pour des raisons religieuses, B) Le climat est inadapté, C) Ce sport s'est répandu d'Italie en France et n'a pas connu de transmission historique vers le sous-continent indien, D) Le matériel n'est pas disponible</v>
      </c>
      <c r="J129" s="6" t="str">
        <f>IFERROR(__xludf.DUMMYFUNCTION("GOOGLETRANSLATE(D129, ""en"", ""fr"")"),"C) Ce sport s'est répandu d'Italie en France et n'a pas connu de voie de transmission historique vers le sous-continent indien.")</f>
        <v>C) Ce sport s'est répandu d'Italie en France et n'a pas connu de voie de transmission historique vers le sous-continent indien.</v>
      </c>
      <c r="K129" s="6" t="str">
        <f>IFERROR(__xludf.DUMMYFUNCTION("GOOGLETRANSLATE(E129, ""en"", ""fr"")"),"Contrairement au cricket ou au polo, l'histoire du tambourin est purement européenne, et ce sport n'a jamais été introduit dans la région durant l'ère coloniale.")</f>
        <v>Contrairement au cricket ou au polo, l'histoire du tambourin est purement européenne, et ce sport n'a jamais été introduit dans la région durant l'ère coloniale.</v>
      </c>
    </row>
    <row r="130" ht="22.5" customHeight="1">
      <c r="A130" s="4">
        <v>129.0</v>
      </c>
      <c r="B130" s="5" t="s">
        <v>1026</v>
      </c>
      <c r="C130" s="5" t="s">
        <v>1027</v>
      </c>
      <c r="D130" s="5" t="s">
        <v>1028</v>
      </c>
      <c r="E130" s="5" t="s">
        <v>1029</v>
      </c>
      <c r="G130" s="6" t="str">
        <f>IFERROR(__xludf.DUMMYFUNCTION("GOOGLETRANSLATE(A130, ""en"", ""fr"")"),"129")</f>
        <v>129</v>
      </c>
      <c r="H130" s="6" t="str">
        <f>IFERROR(__xludf.DUMMYFUNCTION("GOOGLETRANSLATE(B130, ""en"", ""fr"")"),"Quel était le rôle du « tambourin-major » dans une fête traditionnelle ?")</f>
        <v>Quel était le rôle du « tambourin-major » dans une fête traditionnelle ?</v>
      </c>
      <c r="I130" s="6" t="str">
        <f>IFERROR(__xludf.DUMMYFUNCTION("GOOGLETRANSLATE(C130, ""en"", ""fr"")"),"A) Le meilleur joueur, B) Le chef de l'orchestre, C) L'arbitre principal, D) L'artisan qui a fabriqué les tambourins")</f>
        <v>A) Le meilleur joueur, B) Le chef de l'orchestre, C) L'arbitre principal, D) L'artisan qui a fabriqué les tambourins</v>
      </c>
      <c r="J130" s="6" t="str">
        <f>IFERROR(__xludf.DUMMYFUNCTION("GOOGLETRANSLATE(D130, ""en"", ""fr"")"),"B) Le chef du groupe musical")</f>
        <v>B) Le chef du groupe musical</v>
      </c>
      <c r="K130" s="6" t="str">
        <f>IFERROR(__xludf.DUMMYFUNCTION("GOOGLETRANSLATE(E130, ""en"", ""fr"")"),"Le « tambour-major » était le chef de la peña ou du groupe musical qui accompagnait le cortège de joutes ou de tambourins.")</f>
        <v>Le « tambour-major » était le chef de la peña ou du groupe musical qui accompagnait le cortège de joutes ou de tambourins.</v>
      </c>
    </row>
    <row r="131" ht="22.5" customHeight="1">
      <c r="A131" s="4">
        <v>130.0</v>
      </c>
      <c r="B131" s="5" t="s">
        <v>1030</v>
      </c>
      <c r="C131" s="5" t="s">
        <v>1031</v>
      </c>
      <c r="D131" s="5" t="s">
        <v>1032</v>
      </c>
      <c r="E131" s="5" t="s">
        <v>1033</v>
      </c>
      <c r="G131" s="6" t="str">
        <f>IFERROR(__xludf.DUMMYFUNCTION("GOOGLETRANSLATE(A131, ""en"", ""fr"")"),"130")</f>
        <v>130</v>
      </c>
      <c r="H131" s="6" t="str">
        <f>IFERROR(__xludf.DUMMYFUNCTION("GOOGLETRANSLATE(B131, ""en"", ""fr"")"),"En quoi le jeu pratiqué par les femmes différait-il historiquement du jeu pratiqué par les hommes ?")</f>
        <v>En quoi le jeu pratiqué par les femmes différait-il historiquement du jeu pratiqué par les hommes ?</v>
      </c>
      <c r="I131" s="6" t="str">
        <f>IFERROR(__xludf.DUMMYFUNCTION("GOOGLETRANSLATE(C131, ""en"", ""fr"")"),"A) Le terrain était plus petit et la balle plus légère. B) Les règles étaient complètement différentes. C) Les femmes n'étaient pas autorisées à servir. D) Il n'y avait aucune différence.")</f>
        <v>A) Le terrain était plus petit et la balle plus légère. B) Les règles étaient complètement différentes. C) Les femmes n'étaient pas autorisées à servir. D) Il n'y avait aucune différence.</v>
      </c>
      <c r="J131" s="6" t="str">
        <f>IFERROR(__xludf.DUMMYFUNCTION("GOOGLETRANSLATE(D131, ""en"", ""fr"")"),"A) Il utilisait un terrain plus petit et une balle plus légère")</f>
        <v>A) Il utilisait un terrain plus petit et une balle plus légère</v>
      </c>
      <c r="K131" s="6" t="str">
        <f>IFERROR(__xludf.DUMMYFUNCTION("GOOGLETRANSLATE(E131, ""en"", ""fr"")"),"Lorsque les femmes ont commencé à jouer, le jeu a souvent été adapté avec des équipements et des dimensions de terrain légèrement modifiés.")</f>
        <v>Lorsque les femmes ont commencé à jouer, le jeu a souvent été adapté avec des équipements et des dimensions de terrain légèrement modifiés.</v>
      </c>
    </row>
    <row r="132" ht="22.5" customHeight="1">
      <c r="A132" s="4">
        <v>131.0</v>
      </c>
      <c r="B132" s="5" t="s">
        <v>1034</v>
      </c>
      <c r="C132" s="5" t="s">
        <v>1035</v>
      </c>
      <c r="D132" s="5" t="s">
        <v>1036</v>
      </c>
      <c r="E132" s="5" t="s">
        <v>1037</v>
      </c>
      <c r="G132" s="6" t="str">
        <f>IFERROR(__xludf.DUMMYFUNCTION("GOOGLETRANSLATE(A132, ""en"", ""fr"")"),"131")</f>
        <v>131</v>
      </c>
      <c r="H132" s="6" t="str">
        <f>IFERROR(__xludf.DUMMYFUNCTION("GOOGLETRANSLATE(B132, ""en"", ""fr"")"),"Quelle est la signification historique de la « Place du Jeu de Ballon » dans de nombreux villages du Languedoc ?")</f>
        <v>Quelle est la signification historique de la « Place du Jeu de Ballon » dans de nombreux villages du Languedoc ?</v>
      </c>
      <c r="I132" s="6" t="str">
        <f>IFERROR(__xludf.DUMMYFUNCTION("GOOGLETRANSLATE(C132, ""en"", ""fr"")"),"A) C'est un stade moderne, B) C'est la place publique historique où ce sport est pratiqué depuis des siècles, C) C'est un musée, D) C'est un lieu de stockage de balles")</f>
        <v>A) C'est un stade moderne, B) C'est la place publique historique où ce sport est pratiqué depuis des siècles, C) C'est un musée, D) C'est un lieu de stockage de balles</v>
      </c>
      <c r="J132" s="6" t="str">
        <f>IFERROR(__xludf.DUMMYFUNCTION("GOOGLETRANSLATE(D132, ""en"", ""fr"")"),"B) C'est la place publique historique où ce jeu se pratique depuis des siècles.")</f>
        <v>B) C'est la place publique historique où ce jeu se pratique depuis des siècles.</v>
      </c>
      <c r="K132" s="6" t="str">
        <f>IFERROR(__xludf.DUMMYFUNCTION("GOOGLETRANSLATE(E132, ""en"", ""fr"")"),"De nombreux villages possèdent une place portant ce nom, témoignant des profondes racines historiques de ce sport dans l'aménagement du territoire.")</f>
        <v>De nombreux villages possèdent une place portant ce nom, témoignant des profondes racines historiques de ce sport dans l'aménagement du territoire.</v>
      </c>
    </row>
    <row r="133" ht="22.5" customHeight="1">
      <c r="A133" s="4">
        <v>132.0</v>
      </c>
      <c r="B133" s="5" t="s">
        <v>1038</v>
      </c>
      <c r="C133" s="5" t="s">
        <v>1039</v>
      </c>
      <c r="D133" s="5" t="s">
        <v>1040</v>
      </c>
      <c r="E133" s="5" t="s">
        <v>1041</v>
      </c>
      <c r="G133" s="6" t="str">
        <f>IFERROR(__xludf.DUMMYFUNCTION("GOOGLETRANSLATE(A133, ""en"", ""fr"")"),"132")</f>
        <v>132</v>
      </c>
      <c r="H133" s="6" t="str">
        <f>IFERROR(__xludf.DUMMYFUNCTION("GOOGLETRANSLATE(B133, ""en"", ""fr"")"),"À quelle période remontent les plus anciennes photographies de joueurs de tambourin ?")</f>
        <v>À quelle période remontent les plus anciennes photographies de joueurs de tambourin ?</v>
      </c>
      <c r="I133" s="6" t="str">
        <f>IFERROR(__xludf.DUMMYFUNCTION("GOOGLETRANSLATE(C133, ""en"", ""fr"")"),"A) Les années 1860, B) Les années 1880, C) Les années 1910, D) Les années 1930")</f>
        <v>A) Les années 1860, B) Les années 1880, C) Les années 1910, D) Les années 1930</v>
      </c>
      <c r="J133" s="6" t="str">
        <f>IFERROR(__xludf.DUMMYFUNCTION("GOOGLETRANSLATE(D133, ""en"", ""fr"")"),"B) Les années 1880")</f>
        <v>B) Les années 1880</v>
      </c>
      <c r="K133" s="6" t="str">
        <f>IFERROR(__xludf.DUMMYFUNCTION("GOOGLETRANSLATE(E133, ""en"", ""fr"")"),"L'avènement de la photographie à la fin du XIXe siècle a permis d'immortaliser les débuts de ce sport et ses joueurs.")</f>
        <v>L'avènement de la photographie à la fin du XIXe siècle a permis d'immortaliser les débuts de ce sport et ses joueurs.</v>
      </c>
    </row>
    <row r="134" ht="22.5" customHeight="1">
      <c r="A134" s="4">
        <v>133.0</v>
      </c>
      <c r="B134" s="5" t="s">
        <v>1042</v>
      </c>
      <c r="C134" s="5" t="s">
        <v>1043</v>
      </c>
      <c r="D134" s="5" t="s">
        <v>1044</v>
      </c>
      <c r="E134" s="5" t="s">
        <v>1045</v>
      </c>
      <c r="G134" s="6" t="str">
        <f>IFERROR(__xludf.DUMMYFUNCTION("GOOGLETRANSLATE(A134, ""en"", ""fr"")"),"133")</f>
        <v>133</v>
      </c>
      <c r="H134" s="6" t="str">
        <f>IFERROR(__xludf.DUMMYFUNCTION("GOOGLETRANSLATE(B134, ""en"", ""fr"")"),"Quelle était la principale raison de la création d'une version indoor de ce sport ?")</f>
        <v>Quelle était la principale raison de la création d'une version indoor de ce sport ?</v>
      </c>
      <c r="I134" s="6" t="str">
        <f>IFERROR(__xludf.DUMMYFUNCTION("GOOGLETRANSLATE(C134, ""en"", ""fr"")"),"A) Pour accélérer le jeu, B) Pour permettre la pratique de ce sport pendant les mois d'hiver, C) À la demande des sponsors, D) Pour en faire un sport olympique")</f>
        <v>A) Pour accélérer le jeu, B) Pour permettre la pratique de ce sport pendant les mois d'hiver, C) À la demande des sponsors, D) Pour en faire un sport olympique</v>
      </c>
      <c r="J134" s="6" t="str">
        <f>IFERROR(__xludf.DUMMYFUNCTION("GOOGLETRANSLATE(D134, ""en"", ""fr"")"),"B) Pour permettre la pratique de ce sport pendant les mois d'hiver")</f>
        <v>B) Pour permettre la pratique de ce sport pendant les mois d'hiver</v>
      </c>
      <c r="K134" s="6" t="str">
        <f>IFERROR(__xludf.DUMMYFUNCTION("GOOGLETRANSLATE(E134, ""en"", ""fr"")"),"Le jeu en salle a été développé pour créer une saison annuelle pour les joueurs et les clubs.")</f>
        <v>Le jeu en salle a été développé pour créer une saison annuelle pour les joueurs et les clubs.</v>
      </c>
    </row>
    <row r="135" ht="22.5" customHeight="1">
      <c r="A135" s="4">
        <v>134.0</v>
      </c>
      <c r="B135" s="5" t="s">
        <v>1046</v>
      </c>
      <c r="C135" s="5" t="s">
        <v>1047</v>
      </c>
      <c r="D135" s="5" t="s">
        <v>1048</v>
      </c>
      <c r="E135" s="5" t="s">
        <v>1049</v>
      </c>
      <c r="G135" s="6" t="str">
        <f>IFERROR(__xludf.DUMMYFUNCTION("GOOGLETRANSLATE(A135, ""en"", ""fr"")"),"134")</f>
        <v>134</v>
      </c>
      <c r="H135" s="6" t="str">
        <f>IFERROR(__xludf.DUMMYFUNCTION("GOOGLETRANSLATE(B135, ""en"", ""fr"")"),"Le championnat national italien, organisé pour la première fois en 1896, s'est déroulé dans quelle ville ?")</f>
        <v>Le championnat national italien, organisé pour la première fois en 1896, s'est déroulé dans quelle ville ?</v>
      </c>
      <c r="I135" s="6" t="str">
        <f>IFERROR(__xludf.DUMMYFUNCTION("GOOGLETRANSLATE(C135, ""en"", ""fr"")"),"A) Rome, B) Florence, C) Vérone, D) Turin")</f>
        <v>A) Rome, B) Florence, C) Vérone, D) Turin</v>
      </c>
      <c r="J135" s="6" t="str">
        <f>IFERROR(__xludf.DUMMYFUNCTION("GOOGLETRANSLATE(D135, ""en"", ""fr"")"),"D) Turin")</f>
        <v>D) Turin</v>
      </c>
      <c r="K135" s="6" t="str">
        <f>IFERROR(__xludf.DUMMYFUNCTION("GOOGLETRANSLATE(E135, ""en"", ""fr"")"),"Le premier championnat italien (campionato italiano) s'est tenu à Turin, marquant la naissance officielle de ce sport en Italie.")</f>
        <v>Le premier championnat italien (campionato italiano) s'est tenu à Turin, marquant la naissance officielle de ce sport en Italie.</v>
      </c>
    </row>
    <row r="136" ht="22.5" customHeight="1">
      <c r="A136" s="4">
        <v>135.0</v>
      </c>
      <c r="B136" s="5" t="s">
        <v>1050</v>
      </c>
      <c r="C136" s="5" t="s">
        <v>1051</v>
      </c>
      <c r="D136" s="5" t="s">
        <v>1052</v>
      </c>
      <c r="E136" s="5" t="s">
        <v>1053</v>
      </c>
      <c r="G136" s="6" t="str">
        <f>IFERROR(__xludf.DUMMYFUNCTION("GOOGLETRANSLATE(A136, ""en"", ""fr"")"),"135")</f>
        <v>135</v>
      </c>
      <c r="H136" s="6" t="str">
        <f>IFERROR(__xludf.DUMMYFUNCTION("GOOGLETRANSLATE(B136, ""en"", ""fr"")"),"Quel est l’impact à long terme le plus significatif de l’unification des règles de 1955 ?")</f>
        <v>Quel est l’impact à long terme le plus significatif de l’unification des règles de 1955 ?</v>
      </c>
      <c r="I136" s="6" t="str">
        <f>IFERROR(__xludf.DUMMYFUNCTION("GOOGLETRANSLATE(C136, ""en"", ""fr"")"),"A) Cela a affaibli les équipes françaises, B) Cela a permis des compétitions internationales régulières, ce qui a assuré la pérennité du sport, C) Cela a entraîné la disparition de nombreux clubs traditionnels, D) Cela a conduit au déclin du sport")</f>
        <v>A) Cela a affaibli les équipes françaises, B) Cela a permis des compétitions internationales régulières, ce qui a assuré la pérennité du sport, C) Cela a entraîné la disparition de nombreux clubs traditionnels, D) Cela a conduit au déclin du sport</v>
      </c>
      <c r="J136" s="6" t="str">
        <f>IFERROR(__xludf.DUMMYFUNCTION("GOOGLETRANSLATE(D136, ""en"", ""fr"")"),"B) Elle a permis des compétitions internationales régulières, ce qui a assuré la pérennité du sport.")</f>
        <v>B) Elle a permis des compétitions internationales régulières, ce qui a assuré la pérennité du sport.</v>
      </c>
      <c r="K136" s="6" t="str">
        <f>IFERROR(__xludf.DUMMYFUNCTION("GOOGLETRANSLATE(E136, ""en"", ""fr"")"),"La possibilité d'affronter des équipes italiennes et d'autres équipes européennes a été un élément essentiel à la survie et au développement de ce sport.")</f>
        <v>La possibilité d'affronter des équipes italiennes et d'autres équipes européennes a été un élément essentiel à la survie et au développement de ce sport.</v>
      </c>
    </row>
    <row r="137" ht="22.5" customHeight="1">
      <c r="A137" s="4">
        <v>136.0</v>
      </c>
      <c r="B137" s="5" t="s">
        <v>1054</v>
      </c>
      <c r="C137" s="5" t="s">
        <v>1055</v>
      </c>
      <c r="D137" s="5" t="s">
        <v>1056</v>
      </c>
      <c r="E137" s="5" t="s">
        <v>1057</v>
      </c>
      <c r="G137" s="6" t="str">
        <f>IFERROR(__xludf.DUMMYFUNCTION("GOOGLETRANSLATE(A137, ""en"", ""fr"")"),"136")</f>
        <v>136</v>
      </c>
      <c r="H137" s="6" t="str">
        <f>IFERROR(__xludf.DUMMYFUNCTION("GOOGLETRANSLATE(B137, ""en"", ""fr"")"),"Quel type de bois est utilisé pour la construction traditionnelle d'un cadre de tambourin ?")</f>
        <v>Quel type de bois est utilisé pour la construction traditionnelle d'un cadre de tambourin ?</v>
      </c>
      <c r="I137" s="6" t="str">
        <f>IFERROR(__xludf.DUMMYFUNCTION("GOOGLETRANSLATE(C137, ""en"", ""fr"")"),"A) Chêne, B) Pin, C) Hêtre ou frêne, D) Noyer")</f>
        <v>A) Chêne, B) Pin, C) Hêtre ou frêne, D) Noyer</v>
      </c>
      <c r="J137" s="6" t="str">
        <f>IFERROR(__xludf.DUMMYFUNCTION("GOOGLETRANSLATE(D137, ""en"", ""fr"")"),"C) Hêtre ou frêne")</f>
        <v>C) Hêtre ou frêne</v>
      </c>
      <c r="K137" s="6" t="str">
        <f>IFERROR(__xludf.DUMMYFUNCTION("GOOGLETRANSLATE(E137, ""en"", ""fr"")"),"Le cadre circulaire est généralement fabriqué à partir d'une bande de bois solide et flexible comme le hêtre ou le frêne, une technique empruntée à la fabrication des tonneaux.")</f>
        <v>Le cadre circulaire est généralement fabriqué à partir d'une bande de bois solide et flexible comme le hêtre ou le frêne, une technique empruntée à la fabrication des tonneaux.</v>
      </c>
    </row>
    <row r="138" ht="22.5" customHeight="1">
      <c r="A138" s="4">
        <v>137.0</v>
      </c>
      <c r="B138" s="5" t="s">
        <v>1058</v>
      </c>
      <c r="C138" s="5" t="s">
        <v>1059</v>
      </c>
      <c r="D138" s="5" t="s">
        <v>1060</v>
      </c>
      <c r="E138" s="5" t="s">
        <v>1061</v>
      </c>
      <c r="G138" s="6" t="str">
        <f>IFERROR(__xludf.DUMMYFUNCTION("GOOGLETRANSLATE(A138, ""en"", ""fr"")"),"137")</f>
        <v>137</v>
      </c>
      <c r="H138" s="6" t="str">
        <f>IFERROR(__xludf.DUMMYFUNCTION("GOOGLETRANSLATE(B138, ""en"", ""fr"")"),"À quoi fait référence l'expression « tamburello a muro » ?")</f>
        <v>À quoi fait référence l'expression « tamburello a muro » ?</v>
      </c>
      <c r="I138" s="6" t="str">
        <f>IFERROR(__xludf.DUMMYFUNCTION("GOOGLETRANSLATE(C138, ""en"", ""fr"")"),"A) La version extérieure, B) Une version du jeu jouée contre un mur, similaire au squash, C) La version intérieure, D) Une version pour enfants")</f>
        <v>A) La version extérieure, B) Une version du jeu jouée contre un mur, similaire au squash, C) La version intérieure, D) Une version pour enfants</v>
      </c>
      <c r="J138" s="6" t="str">
        <f>IFERROR(__xludf.DUMMYFUNCTION("GOOGLETRANSLATE(D138, ""en"", ""fr"")"),"B) Une variante du jeu jouée contre un mur, similaire au squash")</f>
        <v>B) Une variante du jeu jouée contre un mur, similaire au squash</v>
      </c>
      <c r="K138" s="6" t="str">
        <f>IFERROR(__xludf.DUMMYFUNCTION("GOOGLETRANSLATE(E138, ""en"", ""fr"")"),"Il s'agit d'une variante italienne spécifique de ce sport où la balle peut être jouée contre un mur latéral.")</f>
        <v>Il s'agit d'une variante italienne spécifique de ce sport où la balle peut être jouée contre un mur latéral.</v>
      </c>
    </row>
    <row r="139" ht="22.5" customHeight="1">
      <c r="A139" s="4">
        <v>138.0</v>
      </c>
      <c r="B139" s="5" t="s">
        <v>1062</v>
      </c>
      <c r="C139" s="5" t="s">
        <v>1063</v>
      </c>
      <c r="D139" s="5" t="s">
        <v>1064</v>
      </c>
      <c r="E139" s="5" t="s">
        <v>1065</v>
      </c>
      <c r="G139" s="6" t="str">
        <f>IFERROR(__xludf.DUMMYFUNCTION("GOOGLETRANSLATE(A139, ""en"", ""fr"")"),"138")</f>
        <v>138</v>
      </c>
      <c r="H139" s="6" t="str">
        <f>IFERROR(__xludf.DUMMYFUNCTION("GOOGLETRANSLATE(B139, ""en"", ""fr"")"),"La diffusion historique des jeux de balle comme le Tambourin est un exemple de quoi ?")</f>
        <v>La diffusion historique des jeux de balle comme le Tambourin est un exemple de quoi ?</v>
      </c>
      <c r="I139" s="6" t="str">
        <f>IFERROR(__xludf.DUMMYFUNCTION("GOOGLETRANSLATE(C139, ""en"", ""fr"")"),"A) Diffusion culturelle, B) Conquête politique, C) Commerce économique, D) Mission religieuse")</f>
        <v>A) Diffusion culturelle, B) Conquête politique, C) Commerce économique, D) Mission religieuse</v>
      </c>
      <c r="J139" s="6" t="str">
        <f>IFERROR(__xludf.DUMMYFUNCTION("GOOGLETRANSLATE(D139, ""en"", ""fr"")"),"A) Diffusion culturelle")</f>
        <v>A) Diffusion culturelle</v>
      </c>
      <c r="K139" s="6" t="str">
        <f>IFERROR(__xludf.DUMMYFUNCTION("GOOGLETRANSLATE(E139, ""en"", ""fr"")"),"La diffusion et l'évolution de ces jeux à travers l'Europe constituent un exemple classique de la manière dont les pratiques culturelles sont partagées, adaptées et transformées au fil du temps.")</f>
        <v>La diffusion et l'évolution de ces jeux à travers l'Europe constituent un exemple classique de la manière dont les pratiques culturelles sont partagées, adaptées et transformées au fil du temps.</v>
      </c>
    </row>
    <row r="140" ht="22.5" customHeight="1">
      <c r="A140" s="4">
        <v>139.0</v>
      </c>
      <c r="B140" s="5" t="s">
        <v>1066</v>
      </c>
      <c r="C140" s="5" t="s">
        <v>1067</v>
      </c>
      <c r="D140" s="5" t="s">
        <v>1068</v>
      </c>
      <c r="E140" s="5" t="s">
        <v>1069</v>
      </c>
      <c r="G140" s="6" t="str">
        <f>IFERROR(__xludf.DUMMYFUNCTION("GOOGLETRANSLATE(A140, ""en"", ""fr"")"),"139")</f>
        <v>139</v>
      </c>
      <c r="H140" s="6" t="str">
        <f>IFERROR(__xludf.DUMMYFUNCTION("GOOGLETRANSLATE(B140, ""en"", ""fr"")"),"Quelle était la principale motivation des premiers clubs à former une fédération dans les années 1920 ?")</f>
        <v>Quelle était la principale motivation des premiers clubs à former une fédération dans les années 1920 ?</v>
      </c>
      <c r="I140" s="6" t="str">
        <f>IFERROR(__xludf.DUMMYFUNCTION("GOOGLETRANSLATE(C140, ""en"", ""fr"")"),"A) Pour gagner de l'argent, B) Pour disposer d'un organisme unifié afin d'organiser un championnat et d'uniformiser les règles, C) Pour protester contre le gouvernement, D) Pour promouvoir le sport dans les écoles")</f>
        <v>A) Pour gagner de l'argent, B) Pour disposer d'un organisme unifié afin d'organiser un championnat et d'uniformiser les règles, C) Pour protester contre le gouvernement, D) Pour promouvoir le sport dans les écoles</v>
      </c>
      <c r="J140" s="6" t="str">
        <f>IFERROR(__xludf.DUMMYFUNCTION("GOOGLETRANSLATE(D140, ""en"", ""fr"")"),"B) Disposer d'un organisme unifié pour organiser un championnat et uniformiser les règles")</f>
        <v>B) Disposer d'un organisme unifié pour organiser un championnat et uniformiser les règles</v>
      </c>
      <c r="K140" s="6" t="str">
        <f>IFERROR(__xludf.DUMMYFUNCTION("GOOGLETRANSLATE(E140, ""en"", ""fr"")"),"Les clubs ont reconnu la nécessité d'une organisation centrale pour mettre de l'ordre dans les nombreuses règles locales et souvent contradictoires des tournois.")</f>
        <v>Les clubs ont reconnu la nécessité d'une organisation centrale pour mettre de l'ordre dans les nombreuses règles locales et souvent contradictoires des tournois.</v>
      </c>
    </row>
    <row r="141" ht="22.5" customHeight="1">
      <c r="A141" s="4">
        <v>140.0</v>
      </c>
      <c r="B141" s="5" t="s">
        <v>1070</v>
      </c>
      <c r="C141" s="5" t="s">
        <v>1071</v>
      </c>
      <c r="D141" s="5" t="s">
        <v>1072</v>
      </c>
      <c r="E141" s="5" t="s">
        <v>1073</v>
      </c>
      <c r="G141" s="6" t="str">
        <f>IFERROR(__xludf.DUMMYFUNCTION("GOOGLETRANSLATE(A141, ""en"", ""fr"")"),"140")</f>
        <v>140</v>
      </c>
      <c r="H141" s="6" t="str">
        <f>IFERROR(__xludf.DUMMYFUNCTION("GOOGLETRANSLATE(B141, ""en"", ""fr"")"),"La passion pour le tambourin dans l'Hérault est souvent comparée à la passion pour quel sport au Pays basque ?")</f>
        <v>La passion pour le tambourin dans l'Hérault est souvent comparée à la passion pour quel sport au Pays basque ?</v>
      </c>
      <c r="I141" s="6" t="str">
        <f>IFERROR(__xludf.DUMMYFUNCTION("GOOGLETRANSLATE(C141, ""en"", ""fr"")"),"A) Football, B) Rugby, C) Pelote, D) Cyclisme")</f>
        <v>A) Football, B) Rugby, C) Pelote, D) Cyclisme</v>
      </c>
      <c r="J141" s="6" t="str">
        <f>IFERROR(__xludf.DUMMYFUNCTION("GOOGLETRANSLATE(D141, ""en"", ""fr"")"),"C) Pelota")</f>
        <v>C) Pelota</v>
      </c>
      <c r="K141" s="6" t="str">
        <f>IFERROR(__xludf.DUMMYFUNCTION("GOOGLETRANSLATE(E141, ""en"", ""fr"")"),"Ce sont deux sports de balle traditionnels et rapides, profondément et singulièrement liés à l'identité de leurs régions respectives.")</f>
        <v>Ce sont deux sports de balle traditionnels et rapides, profondément et singulièrement liés à l'identité de leurs régions respectives.</v>
      </c>
    </row>
    <row r="142" ht="22.5" customHeight="1">
      <c r="A142" s="4">
        <v>141.0</v>
      </c>
      <c r="B142" s="5" t="s">
        <v>1074</v>
      </c>
      <c r="C142" s="5" t="s">
        <v>1075</v>
      </c>
      <c r="D142" s="5" t="s">
        <v>1076</v>
      </c>
      <c r="E142" s="5" t="s">
        <v>1077</v>
      </c>
      <c r="G142" s="6" t="str">
        <f>IFERROR(__xludf.DUMMYFUNCTION("GOOGLETRANSLATE(A142, ""en"", ""fr"")"),"141")</f>
        <v>141</v>
      </c>
      <c r="H142" s="6" t="str">
        <f>IFERROR(__xludf.DUMMYFUNCTION("GOOGLETRANSLATE(B142, ""en"", ""fr"")"),"Quelle fut la principale raison de la renaissance de ce sport après la Seconde Guerre mondiale ?")</f>
        <v>Quelle fut la principale raison de la renaissance de ce sport après la Seconde Guerre mondiale ?</v>
      </c>
      <c r="I142" s="6" t="str">
        <f>IFERROR(__xludf.DUMMYFUNCTION("GOOGLETRANSLATE(C142, ""en"", ""fr"")"),"A) Un décret gouvernemental, B) Le dévouement de joueurs et de dirigeants locaux passionnés comme Max Rouquette, C) Un afflux important de fonds, D) La popularité du sport à la télévision")</f>
        <v>A) Un décret gouvernemental, B) Le dévouement de joueurs et de dirigeants locaux passionnés comme Max Rouquette, C) Un afflux important de fonds, D) La popularité du sport à la télévision</v>
      </c>
      <c r="J142" s="6" t="str">
        <f>IFERROR(__xludf.DUMMYFUNCTION("GOOGLETRANSLATE(D142, ""en"", ""fr"")"),"B) Le dévouement de joueurs et de responsables locaux passionnés comme Max Rouquette")</f>
        <v>B) Le dévouement de joueurs et de responsables locaux passionnés comme Max Rouquette</v>
      </c>
      <c r="K142" s="6" t="str">
        <f>IFERROR(__xludf.DUMMYFUNCTION("GOOGLETRANSLATE(E142, ""en"", ""fr"")"),"La survie de ce sport après la guerre n'était pas le fruit du hasard ; elle est le résultat des efforts inlassables d'un petit groupe d'individus qui ont œuvré sans relâche à sa réorganisation.")</f>
        <v>La survie de ce sport après la guerre n'était pas le fruit du hasard ; elle est le résultat des efforts inlassables d'un petit groupe d'individus qui ont œuvré sans relâche à sa réorganisation.</v>
      </c>
    </row>
    <row r="143" ht="22.5" customHeight="1">
      <c r="A143" s="4">
        <v>142.0</v>
      </c>
      <c r="B143" s="5" t="s">
        <v>1078</v>
      </c>
      <c r="C143" s="5" t="s">
        <v>1079</v>
      </c>
      <c r="D143" s="5" t="s">
        <v>1080</v>
      </c>
      <c r="E143" s="5" t="s">
        <v>1081</v>
      </c>
      <c r="G143" s="6" t="str">
        <f>IFERROR(__xludf.DUMMYFUNCTION("GOOGLETRANSLATE(A143, ""en"", ""fr"")"),"142")</f>
        <v>142</v>
      </c>
      <c r="H143" s="6" t="str">
        <f>IFERROR(__xludf.DUMMYFUNCTION("GOOGLETRANSLATE(B143, ""en"", ""fr"")"),"Quelle est la signification historique du « tambourin » en tant qu'objet ?")</f>
        <v>Quelle est la signification historique du « tambourin » en tant qu'objet ?</v>
      </c>
      <c r="I143" s="6" t="str">
        <f>IFERROR(__xludf.DUMMYFUNCTION("GOOGLETRANSLATE(C143, ""en"", ""fr"")"),"A) Cela n'a aucune signification, B) Cela représente une adaptation régionale unique d'un jeu ancien, C) C'est une arme, D) C'est un instrument de musique")</f>
        <v>A) Cela n'a aucune signification, B) Cela représente une adaptation régionale unique d'un jeu ancien, C) C'est une arme, D) C'est un instrument de musique</v>
      </c>
      <c r="J143" s="6" t="str">
        <f>IFERROR(__xludf.DUMMYFUNCTION("GOOGLETRANSLATE(D143, ""en"", ""fr"")"),"B) Il représente une adaptation régionale unique d'un jeu ancien")</f>
        <v>B) Il représente une adaptation régionale unique d'un jeu ancien</v>
      </c>
      <c r="K143" s="6" t="str">
        <f>IFERROR(__xludf.DUMMYFUNCTION("GOOGLETRANSLATE(E143, ""en"", ""fr"")"),"L'invention du tambourin est l'événement clé qui marque la divergence de ce sport par rapport à son jeu parent, le jeu de paume.")</f>
        <v>L'invention du tambourin est l'événement clé qui marque la divergence de ce sport par rapport à son jeu parent, le jeu de paume.</v>
      </c>
    </row>
    <row r="144" ht="22.5" customHeight="1">
      <c r="A144" s="4">
        <v>143.0</v>
      </c>
      <c r="B144" s="5" t="s">
        <v>1082</v>
      </c>
      <c r="C144" s="5" t="s">
        <v>1083</v>
      </c>
      <c r="D144" s="5" t="s">
        <v>1084</v>
      </c>
      <c r="E144" s="5" t="s">
        <v>1085</v>
      </c>
      <c r="G144" s="6" t="str">
        <f>IFERROR(__xludf.DUMMYFUNCTION("GOOGLETRANSLATE(A144, ""en"", ""fr"")"),"143")</f>
        <v>143</v>
      </c>
      <c r="H144" s="6" t="str">
        <f>IFERROR(__xludf.DUMMYFUNCTION("GOOGLETRANSLATE(B144, ""en"", ""fr"")"),"Le système de notation du « jeu ouvert » est basé sur celui de quel autre sport ?")</f>
        <v>Le système de notation du « jeu ouvert » est basé sur celui de quel autre sport ?</v>
      </c>
      <c r="I144" s="6" t="str">
        <f>IFERROR(__xludf.DUMMYFUNCTION("GOOGLETRANSLATE(C144, ""en"", ""fr"")"),"A) Badminton, B) Volley-ball, C) Tennis, D) Squash")</f>
        <v>A) Badminton, B) Volley-ball, C) Tennis, D) Squash</v>
      </c>
      <c r="J144" s="6" t="str">
        <f>IFERROR(__xludf.DUMMYFUNCTION("GOOGLETRANSLATE(D144, ""en"", ""fr"")"),"C) Tennis")</f>
        <v>C) Tennis</v>
      </c>
      <c r="K144" s="6" t="str">
        <f>IFERROR(__xludf.DUMMYFUNCTION("GOOGLETRANSLATE(E144, ""en"", ""fr"")"),"Le système de notation en 15, 30, 40 jeux est une importation directe du tennis, qui lui-même a également évolué à partir du jeu de paume.")</f>
        <v>Le système de notation en 15, 30, 40 jeux est une importation directe du tennis, qui lui-même a également évolué à partir du jeu de paume.</v>
      </c>
    </row>
    <row r="145" ht="22.5" customHeight="1">
      <c r="A145" s="4">
        <v>144.0</v>
      </c>
      <c r="B145" s="5" t="s">
        <v>1086</v>
      </c>
      <c r="C145" s="5" t="s">
        <v>1087</v>
      </c>
      <c r="D145" s="5" t="s">
        <v>1088</v>
      </c>
      <c r="E145" s="5" t="s">
        <v>1089</v>
      </c>
      <c r="G145" s="6" t="str">
        <f>IFERROR(__xludf.DUMMYFUNCTION("GOOGLETRANSLATE(A145, ""en"", ""fr"")"),"144")</f>
        <v>144</v>
      </c>
      <c r="H145" s="6" t="str">
        <f>IFERROR(__xludf.DUMMYFUNCTION("GOOGLETRANSLATE(B145, ""en"", ""fr"")"),"Historiquement, un joueur très habile au placement de balle était considéré comme ayant un bon quoi ?")</f>
        <v>Historiquement, un joueur très habile au placement de balle était considéré comme ayant un bon quoi ?</v>
      </c>
      <c r="I145" s="6" t="str">
        <f>IFERROR(__xludf.DUMMYFUNCTION("GOOGLETRANSLATE(C145, ""en"", ""fr"")"),"A) Bras (soutiens-gorge), B) Oeil (œil), C) Main (principale), D) Pied (pied)")</f>
        <v>A) Bras (soutiens-gorge), B) Oeil (œil), C) Main (principale), D) Pied (pied)</v>
      </c>
      <c r="J145" s="6" t="str">
        <f>IFERROR(__xludf.DUMMYFUNCTION("GOOGLETRANSLATE(D145, ""en"", ""fr"")"),"B) Œil")</f>
        <v>B) Œil</v>
      </c>
      <c r="K145" s="6" t="str">
        <f>IFERROR(__xludf.DUMMYFUNCTION("GOOGLETRANSLATE(E145, ""en"", ""fr"")"),"Un joueur doté d'un bon « œil » était celui qui pouvait repérer les espaces libres et placer le ballon avec une grande précision.")</f>
        <v>Un joueur doté d'un bon « œil » était celui qui pouvait repérer les espaces libres et placer le ballon avec une grande précision.</v>
      </c>
    </row>
    <row r="146" ht="22.5" customHeight="1">
      <c r="A146" s="4">
        <v>145.0</v>
      </c>
      <c r="B146" s="5" t="s">
        <v>1090</v>
      </c>
      <c r="C146" s="5" t="s">
        <v>1091</v>
      </c>
      <c r="D146" s="5" t="s">
        <v>1092</v>
      </c>
      <c r="E146" s="5" t="s">
        <v>1093</v>
      </c>
      <c r="G146" s="6" t="str">
        <f>IFERROR(__xludf.DUMMYFUNCTION("GOOGLETRANSLATE(A146, ""en"", ""fr"")"),"145")</f>
        <v>145</v>
      </c>
      <c r="H146" s="6" t="str">
        <f>IFERROR(__xludf.DUMMYFUNCTION("GOOGLETRANSLATE(B146, ""en"", ""fr"")"),"Quelle est la principale raison pour laquelle ce sport n'est jamais devenu une ligue professionnelle à part entière en France ?")</f>
        <v>Quelle est la principale raison pour laquelle ce sport n'est jamais devenu une ligue professionnelle à part entière en France ?</v>
      </c>
      <c r="I146" s="6" t="str">
        <f>IFERROR(__xludf.DUMMYFUNCTION("GOOGLETRANSLATE(C146, ""en"", ""fr"")"),"A) Les joueurs ne sont pas assez compétents, B) C'est resté un sport profondément amateur et communautaire, C) Un manque d'intérêt, D) C'est trop dangereux")</f>
        <v>A) Les joueurs ne sont pas assez compétents, B) C'est resté un sport profondément amateur et communautaire, C) Un manque d'intérêt, D) C'est trop dangereux</v>
      </c>
      <c r="J146" s="6" t="str">
        <f>IFERROR(__xludf.DUMMYFUNCTION("GOOGLETRANSLATE(D146, ""en"", ""fr"")"),"B) Il est resté un sport profondément amateur et communautaire")</f>
        <v>B) Il est resté un sport profondément amateur et communautaire</v>
      </c>
      <c r="K146" s="6" t="str">
        <f>IFERROR(__xludf.DUMMYFUNCTION("GOOGLETRANSLATE(E146, ""en"", ""fr"")"),"Contrairement à l'Italie, ce sport a conservé en France son caractère de jeu folklorique villageois, pratiqué par passion et pour l'honneur local plutôt que pour l'argent.")</f>
        <v>Contrairement à l'Italie, ce sport a conservé en France son caractère de jeu folklorique villageois, pratiqué par passion et pour l'honneur local plutôt que pour l'argent.</v>
      </c>
    </row>
    <row r="147" ht="22.5" customHeight="1">
      <c r="A147" s="4">
        <v>146.0</v>
      </c>
      <c r="B147" s="5" t="s">
        <v>1094</v>
      </c>
      <c r="C147" s="5" t="s">
        <v>1095</v>
      </c>
      <c r="D147" s="5" t="s">
        <v>1096</v>
      </c>
      <c r="E147" s="5" t="s">
        <v>1097</v>
      </c>
      <c r="G147" s="6" t="str">
        <f>IFERROR(__xludf.DUMMYFUNCTION("GOOGLETRANSLATE(A147, ""en"", ""fr"")"),"146")</f>
        <v>146</v>
      </c>
      <c r="H147" s="6" t="str">
        <f>IFERROR(__xludf.DUMMYFUNCTION("GOOGLETRANSLATE(B147, ""en"", ""fr"")"),"Le Musée national du sport français abrite une exposition sur quel aspect du tambourin ?")</f>
        <v>Le Musée national du sport français abrite une exposition sur quel aspect du tambourin ?</v>
      </c>
      <c r="I147" s="6" t="str">
        <f>IFERROR(__xludf.DUMMYFUNCTION("GOOGLETRANSLATE(C147, ""en"", ""fr"")"),"A) L'évolution du tambourin à partir du brassard, B) L'histoire du festival de Saint-Louis, C) Les biographies des joueurs champions, D) Les règles du système de chasse")</f>
        <v>A) L'évolution du tambourin à partir du brassard, B) L'histoire du festival de Saint-Louis, C) Les biographies des joueurs champions, D) Les règles du système de chasse</v>
      </c>
      <c r="J147" s="6" t="str">
        <f>IFERROR(__xludf.DUMMYFUNCTION("GOOGLETRANSLATE(D147, ""en"", ""fr"")"),"A) L'évolution du tambourin à partir du brassard")</f>
        <v>A) L'évolution du tambourin à partir du brassard</v>
      </c>
      <c r="K147" s="6" t="str">
        <f>IFERROR(__xludf.DUMMYFUNCTION("GOOGLETRANSLATE(E147, ""en"", ""fr"")"),"La collection du musée comprend des exemples d'anciens bracelets en bois et des premiers tambourins, illustrant l'évolution technique de ce sport.")</f>
        <v>La collection du musée comprend des exemples d'anciens bracelets en bois et des premiers tambourins, illustrant l'évolution technique de ce sport.</v>
      </c>
    </row>
    <row r="148" ht="22.5" customHeight="1">
      <c r="A148" s="4">
        <v>147.0</v>
      </c>
      <c r="B148" s="5" t="s">
        <v>1098</v>
      </c>
      <c r="C148" s="5" t="s">
        <v>1099</v>
      </c>
      <c r="D148" s="5" t="s">
        <v>1100</v>
      </c>
      <c r="E148" s="5" t="s">
        <v>1101</v>
      </c>
      <c r="G148" s="6" t="str">
        <f>IFERROR(__xludf.DUMMYFUNCTION("GOOGLETRANSLATE(A148, ""en"", ""fr"")"),"147")</f>
        <v>147</v>
      </c>
      <c r="H148" s="6" t="str">
        <f>IFERROR(__xludf.DUMMYFUNCTION("GOOGLETRANSLATE(B148, ""en"", ""fr"")"),"Quel a été l'impact principal de la Révolution française sur les jeux de balle comme le jeu de paume ?")</f>
        <v>Quel a été l'impact principal de la Révolution française sur les jeux de balle comme le jeu de paume ?</v>
      </c>
      <c r="I148" s="6" t="str">
        <f>IFERROR(__xludf.DUMMYFUNCTION("GOOGLETRANSLATE(C148, ""en"", ""fr"")"),"A) Cela les a rendus plus populaires, B) Cela a entraîné le déclin des jeux aristocratiques, ce qui a permis à des versions populaires comme le tambourin de prospérer, C) Cela n'a eu aucun impact, D) Cela a interdit tous les sports")</f>
        <v>A) Cela les a rendus plus populaires, B) Cela a entraîné le déclin des jeux aristocratiques, ce qui a permis à des versions populaires comme le tambourin de prospérer, C) Cela n'a eu aucun impact, D) Cela a interdit tous les sports</v>
      </c>
      <c r="J148" s="6" t="str">
        <f>IFERROR(__xludf.DUMMYFUNCTION("GOOGLETRANSLATE(D148, ""en"", ""fr"")"),"B) Cela a entraîné le déclin des jeux aristocratiques, ce qui a permis à des versions populaires comme le Tambourin de prospérer.")</f>
        <v>B) Cela a entraîné le déclin des jeux aristocratiques, ce qui a permis à des versions populaires comme le Tambourin de prospérer.</v>
      </c>
      <c r="K148" s="6" t="str">
        <f>IFERROR(__xludf.DUMMYFUNCTION("GOOGLETRANSLATE(E148, ""en"", ""fr"")"),"Le déclin de la noblesse et de ses cours privées a entraîné une augmentation de l'importance des versions publiques et villageoises du jeu.")</f>
        <v>Le déclin de la noblesse et de ses cours privées a entraîné une augmentation de l'importance des versions publiques et villageoises du jeu.</v>
      </c>
    </row>
    <row r="149" ht="22.5" customHeight="1">
      <c r="A149" s="4">
        <v>148.0</v>
      </c>
      <c r="B149" s="5" t="s">
        <v>1102</v>
      </c>
      <c r="C149" s="5" t="s">
        <v>1103</v>
      </c>
      <c r="D149" s="5" t="s">
        <v>167</v>
      </c>
      <c r="E149" s="5" t="s">
        <v>1104</v>
      </c>
      <c r="G149" s="6" t="str">
        <f>IFERROR(__xludf.DUMMYFUNCTION("GOOGLETRANSLATE(A149, ""en"", ""fr"")"),"148")</f>
        <v>148</v>
      </c>
      <c r="H149" s="6" t="str">
        <f>IFERROR(__xludf.DUMMYFUNCTION("GOOGLETRANSLATE(B149, ""en"", ""fr"")"),"Lequel de ces événements représente un moment historique clé dans le parcours de ce sport vers la reconnaissance internationale ?")</f>
        <v>Lequel de ces événements représente un moment historique clé dans le parcours de ce sport vers la reconnaissance internationale ?</v>
      </c>
      <c r="I149" s="6" t="str">
        <f>IFERROR(__xludf.DUMMYFUNCTION("GOOGLETRANSLATE(C149, ""en"", ""fr"")"),"A) La création de la Coupe de France en 1949, B) L'adoption des règles italiennes en 1955, C) Son inclusion comme sport de démonstration aux Jeux méditerranéens de 1993, D) Toutes les réponses ci-dessus")</f>
        <v>A) La création de la Coupe de France en 1949, B) L'adoption des règles italiennes en 1955, C) Son inclusion comme sport de démonstration aux Jeux méditerranéens de 1993, D) Toutes les réponses ci-dessus</v>
      </c>
      <c r="J149" s="6" t="str">
        <f>IFERROR(__xludf.DUMMYFUNCTION("GOOGLETRANSLATE(D149, ""en"", ""fr"")"),"D) Toutes les réponses ci-dessus")</f>
        <v>D) Toutes les réponses ci-dessus</v>
      </c>
      <c r="K149" s="6" t="str">
        <f>IFERROR(__xludf.DUMMYFUNCTION("GOOGLETRANSLATE(E149, ""en"", ""fr"")"),"Ce furent toutes des étapes cruciales dans l'évolution de ce sport, qui est passé d'un passe-temps local à un sport reconnu internationalement.")</f>
        <v>Ce furent toutes des étapes cruciales dans l'évolution de ce sport, qui est passé d'un passe-temps local à un sport reconnu internationalement.</v>
      </c>
    </row>
    <row r="150" ht="22.5" customHeight="1">
      <c r="A150" s="4">
        <v>149.0</v>
      </c>
      <c r="B150" s="5" t="s">
        <v>1105</v>
      </c>
      <c r="C150" s="5" t="s">
        <v>1106</v>
      </c>
      <c r="D150" s="5" t="s">
        <v>1107</v>
      </c>
      <c r="E150" s="5" t="s">
        <v>1108</v>
      </c>
      <c r="G150" s="6" t="str">
        <f>IFERROR(__xludf.DUMMYFUNCTION("GOOGLETRANSLATE(A150, ""en"", ""fr"")"),"149")</f>
        <v>149</v>
      </c>
      <c r="H150" s="6" t="str">
        <f>IFERROR(__xludf.DUMMYFUNCTION("GOOGLETRANSLATE(B150, ""en"", ""fr"")"),"La fabrication traditionnelle du tambourin, avec une armature en bois et une peau tendue, est un artisanat connu sous le nom de comment ?")</f>
        <v>La fabrication traditionnelle du tambourin, avec une armature en bois et une peau tendue, est un artisanat connu sous le nom de comment ?</v>
      </c>
      <c r="I150" s="6" t="str">
        <f>IFERROR(__xludf.DUMMYFUNCTION("GOOGLETRANSLATE(C150, ""en"", ""fr"")"),"A) Menuiserie, B) Tannerie, C) Tonnerie, D) Maçonnerie")</f>
        <v>A) Menuiserie, B) Tannerie, C) Tonnerie, D) Maçonnerie</v>
      </c>
      <c r="J150" s="6" t="str">
        <f>IFERROR(__xludf.DUMMYFUNCTION("GOOGLETRANSLATE(D150, ""en"", ""fr"")"),"C) Tonnellerie (fabrication de tonneaux)")</f>
        <v>C) Tonnellerie (fabrication de tonneaux)</v>
      </c>
      <c r="K150" s="6" t="str">
        <f>IFERROR(__xludf.DUMMYFUNCTION("GOOGLETRANSLATE(E150, ""en"", ""fr"")"),"Les compétences d'un tonnelier (fabricant de tonneaux) — courber le bois en un cercle parfait et travailler avec la tension — étaient directement applicables à la fabrication des premiers tambourins.")</f>
        <v>Les compétences d'un tonnelier (fabricant de tonneaux) — courber le bois en un cercle parfait et travailler avec la tension — étaient directement applicables à la fabrication des premiers tambourins.</v>
      </c>
    </row>
    <row r="151" ht="22.5" customHeight="1">
      <c r="A151" s="4">
        <v>150.0</v>
      </c>
      <c r="B151" s="5" t="s">
        <v>1109</v>
      </c>
      <c r="C151" s="5" t="s">
        <v>1110</v>
      </c>
      <c r="D151" s="5" t="s">
        <v>1111</v>
      </c>
      <c r="E151" s="5" t="s">
        <v>1112</v>
      </c>
      <c r="G151" s="6" t="str">
        <f>IFERROR(__xludf.DUMMYFUNCTION("GOOGLETRANSLATE(A151, ""en"", ""fr"")"),"150")</f>
        <v>150</v>
      </c>
      <c r="H151" s="6" t="str">
        <f>IFERROR(__xludf.DUMMYFUNCTION("GOOGLETRANSLATE(B151, ""en"", ""fr"")"),"En substance, que représente l'histoire de Balle au Tambourin ?")</f>
        <v>En substance, que représente l'histoire de Balle au Tambourin ?</v>
      </c>
      <c r="I151" s="6" t="str">
        <f>IFERROR(__xludf.DUMMYFUNCTION("GOOGLETRANSLATE(C151, ""en"", ""fr"")"),"A) L'histoire d'un jeu oublié, B) L'histoire d'un sport professionnel, C) L'histoire d'une tradition folklorique locale qui s'adapte et survit dans le monde moderne, D) L'histoire d'un conflit entre la France et l'Italie")</f>
        <v>A) L'histoire d'un jeu oublié, B) L'histoire d'un sport professionnel, C) L'histoire d'une tradition folklorique locale qui s'adapte et survit dans le monde moderne, D) L'histoire d'un conflit entre la France et l'Italie</v>
      </c>
      <c r="J151" s="6" t="str">
        <f>IFERROR(__xludf.DUMMYFUNCTION("GOOGLETRANSLATE(D151, ""en"", ""fr"")"),"C) L'histoire d'une tradition folklorique locale qui s'adapte et survit dans le monde moderne")</f>
        <v>C) L'histoire d'une tradition folklorique locale qui s'adapte et survit dans le monde moderne</v>
      </c>
      <c r="K151" s="6" t="str">
        <f>IFERROR(__xludf.DUMMYFUNCTION("GOOGLETRANSLATE(E151, ""en"", ""fr"")"),"Le parcours de ce sport, des places de village aux compétitions internationales, témoigne de la résilience et de la passion de sa communauté.")</f>
        <v>Le parcours de ce sport, des places de village aux compétitions internationales, témoigne de la résilience et de la passion de sa communauté.</v>
      </c>
    </row>
  </sheetData>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5" width="37.63"/>
    <col customWidth="1" min="7" max="7" width="14.13"/>
    <col customWidth="1" min="8" max="11" width="37.63"/>
  </cols>
  <sheetData>
    <row r="1" ht="22.5" customHeight="1">
      <c r="A1" s="1" t="s">
        <v>0</v>
      </c>
      <c r="B1" s="2" t="s">
        <v>1</v>
      </c>
      <c r="C1" s="2" t="s">
        <v>2</v>
      </c>
      <c r="D1" s="2" t="s">
        <v>3</v>
      </c>
      <c r="E1" s="2" t="s">
        <v>4</v>
      </c>
      <c r="G1" s="3" t="s">
        <v>5</v>
      </c>
      <c r="H1" s="3" t="s">
        <v>6</v>
      </c>
      <c r="I1" s="3" t="s">
        <v>7</v>
      </c>
      <c r="J1" s="3" t="s">
        <v>8</v>
      </c>
      <c r="K1" s="3" t="s">
        <v>4</v>
      </c>
    </row>
    <row r="2" ht="22.5" customHeight="1">
      <c r="A2" s="4">
        <v>1.0</v>
      </c>
      <c r="B2" s="5" t="s">
        <v>1113</v>
      </c>
      <c r="C2" s="5" t="s">
        <v>1114</v>
      </c>
      <c r="D2" s="5" t="s">
        <v>1115</v>
      </c>
      <c r="E2" s="5" t="s">
        <v>1116</v>
      </c>
      <c r="G2" s="6" t="str">
        <f>IFERROR(__xludf.DUMMYFUNCTION("GOOGLETRANSLATE(A2, ""en"", ""fr"")"),"1")</f>
        <v>1</v>
      </c>
      <c r="H2" s="6" t="str">
        <f>IFERROR(__xludf.DUMMYFUNCTION("GOOGLETRANSLATE(B2, ""en"", ""fr"")"),"Le sport de la pelote basque est issu de quel jeu européen plus ancien ?")</f>
        <v>Le sport de la pelote basque est issu de quel jeu européen plus ancien ?</v>
      </c>
      <c r="I2" s="6" t="str">
        <f>IFERROR(__xludf.DUMMYFUNCTION("GOOGLETRANSLATE(C2, ""en"", ""fr"")"),"A) Tennis, B) Volleyball, C) Jeu de Paume, D) Cricket")</f>
        <v>A) Tennis, B) Volleyball, C) Jeu de Paume, D) Cricket</v>
      </c>
      <c r="J2" s="6" t="str">
        <f>IFERROR(__xludf.DUMMYFUNCTION("GOOGLETRANSLATE(D2, ""en"", ""fr"")"),"C) Jeu de Paume")</f>
        <v>C) Jeu de Paume</v>
      </c>
      <c r="K2" s="6" t="str">
        <f>IFERROR(__xludf.DUMMYFUNCTION("GOOGLETRANSLATE(E2, ""en"", ""fr"")"),"La pelote est issue de l'ancien « jeu de la paume », pratiqué dans toute l'Europe. Son adaptation basque a donné naissance à ses formes modernes uniques.")</f>
        <v>La pelote est issue de l'ancien « jeu de la paume », pratiqué dans toute l'Europe. Son adaptation basque a donné naissance à ses formes modernes uniques.</v>
      </c>
    </row>
    <row r="3" ht="22.5" customHeight="1">
      <c r="A3" s="4">
        <v>2.0</v>
      </c>
      <c r="B3" s="5" t="s">
        <v>1117</v>
      </c>
      <c r="C3" s="5" t="s">
        <v>1118</v>
      </c>
      <c r="D3" s="5" t="s">
        <v>1119</v>
      </c>
      <c r="E3" s="5" t="s">
        <v>1120</v>
      </c>
      <c r="G3" s="6" t="str">
        <f>IFERROR(__xludf.DUMMYFUNCTION("GOOGLETRANSLATE(A3, ""en"", ""fr"")"),"2")</f>
        <v>2</v>
      </c>
      <c r="H3" s="6" t="str">
        <f>IFERROR(__xludf.DUMMYFUNCTION("GOOGLETRANSLATE(B3, ""en"", ""fr"")"),"Quel changement significatif survenu au XVIIIe siècle a conduit au développement de la pelote basque en tant que sport d'arène ?")</f>
        <v>Quel changement significatif survenu au XVIIIe siècle a conduit au développement de la pelote basque en tant que sport d'arène ?</v>
      </c>
      <c r="I3" s="6" t="str">
        <f>IFERROR(__xludf.DUMMYFUNCTION("GOOGLETRANSLATE(C3, ""en"", ""fr"")"),"A) L'invention d'une nouvelle balle, B) Le déclin des terrains officiels de jeu de paume, obligeant les joueurs à utiliser les murs des églises ou des villes, C) Un décret royal interdisant ce sport, D) L'introduction d'un filet")</f>
        <v>A) L'invention d'une nouvelle balle, B) Le déclin des terrains officiels de jeu de paume, obligeant les joueurs à utiliser les murs des églises ou des villes, C) Un décret royal interdisant ce sport, D) L'introduction d'un filet</v>
      </c>
      <c r="J3" s="6" t="str">
        <f>IFERROR(__xludf.DUMMYFUNCTION("GOOGLETRANSLATE(D3, ""en"", ""fr"")"),"B) Le déclin des cours officielles de jeu de paume, obligeant les joueurs à utiliser les murs des églises ou des villes.")</f>
        <v>B) Le déclin des cours officielles de jeu de paume, obligeant les joueurs à utiliser les murs des églises ou des villes.</v>
      </c>
      <c r="K3" s="6" t="str">
        <f>IFERROR(__xludf.DUMMYFUNCTION("GOOGLETRANSLATE(E3, ""en"", ""fr"")"),"Avec l'abandon des courts traditionnels, les joueurs du Pays basque ont commencé à frapper la balle contre un seul mur, créant ainsi le style de jeu indirect.")</f>
        <v>Avec l'abandon des courts traditionnels, les joueurs du Pays basque ont commencé à frapper la balle contre un seul mur, créant ainsi le style de jeu indirect.</v>
      </c>
    </row>
    <row r="4" ht="22.5" customHeight="1">
      <c r="A4" s="4">
        <v>3.0</v>
      </c>
      <c r="B4" s="5" t="s">
        <v>1121</v>
      </c>
      <c r="C4" s="5" t="s">
        <v>1122</v>
      </c>
      <c r="D4" s="5" t="s">
        <v>1123</v>
      </c>
      <c r="E4" s="5" t="s">
        <v>1124</v>
      </c>
      <c r="G4" s="6" t="str">
        <f>IFERROR(__xludf.DUMMYFUNCTION("GOOGLETRANSLATE(A4, ""en"", ""fr"")"),"3")</f>
        <v>3</v>
      </c>
      <c r="H4" s="6" t="str">
        <f>IFERROR(__xludf.DUMMYFUNCTION("GOOGLETRANSLATE(B4, ""en"", ""fr"")"),"Le tennis moderne est issu d'une version du jeu de paume, mais quelle est la principale différence avec l'évolution de la pelote basque ?")</f>
        <v>Le tennis moderne est issu d'une version du jeu de paume, mais quelle est la principale différence avec l'évolution de la pelote basque ?</v>
      </c>
      <c r="I4" s="6" t="str">
        <f>IFERROR(__xludf.DUMMYFUNCTION("GOOGLETRANSLATE(C4, ""en"", ""fr"")"),"A) Le tennis utilise une balle plus lourde. B) La pelote basque est un sport d'équipe. C) Le tennis a adopté un filet pour un jeu direct, face à face. D) La pelote basque se joue sur gazon.")</f>
        <v>A) Le tennis utilise une balle plus lourde. B) La pelote basque est un sport d'équipe. C) Le tennis a adopté un filet pour un jeu direct, face à face. D) La pelote basque se joue sur gazon.</v>
      </c>
      <c r="J4" s="6" t="str">
        <f>IFERROR(__xludf.DUMMYFUNCTION("GOOGLETRANSLATE(D4, ""en"", ""fr"")"),"C) Le tennis a adopté un filet pour un jeu direct, face à face.")</f>
        <v>C) Le tennis a adopté un filet pour un jeu direct, face à face.</v>
      </c>
      <c r="K4" s="6" t="str">
        <f>IFERROR(__xludf.DUMMYFUNCTION("GOOGLETRANSLATE(E4, ""en"", ""fr"")"),"Bien que les deux sports aient un ancêtre commun, le tennis a évolué avec un filet, tandis que la pelote basque a évolué en utilisant un mur (fronton).")</f>
        <v>Bien que les deux sports aient un ancêtre commun, le tennis a évolué avec un filet, tandis que la pelote basque a évolué en utilisant un mur (fronton).</v>
      </c>
    </row>
    <row r="5" ht="22.5" customHeight="1">
      <c r="A5" s="4">
        <v>4.0</v>
      </c>
      <c r="B5" s="5" t="s">
        <v>1125</v>
      </c>
      <c r="C5" s="5" t="s">
        <v>1126</v>
      </c>
      <c r="D5" s="5" t="s">
        <v>1127</v>
      </c>
      <c r="E5" s="5" t="s">
        <v>1128</v>
      </c>
      <c r="G5" s="6" t="str">
        <f>IFERROR(__xludf.DUMMYFUNCTION("GOOGLETRANSLATE(A5, ""en"", ""fr"")"),"4")</f>
        <v>4</v>
      </c>
      <c r="H5" s="6" t="str">
        <f>IFERROR(__xludf.DUMMYFUNCTION("GOOGLETRANSLATE(B5, ""en"", ""fr"")"),"Selon l'historien Chipitey Etcheto, les premiers matchs importants de pelote basque ont eu lieu durant quelle période historique ?")</f>
        <v>Selon l'historien Chipitey Etcheto, les premiers matchs importants de pelote basque ont eu lieu durant quelle période historique ?</v>
      </c>
      <c r="I5" s="6" t="str">
        <f>IFERROR(__xludf.DUMMYFUNCTION("GOOGLETRANSLATE(C5, ""en"", ""fr"")"),"A) Le Moyen Âge, B) La Renaissance, C) L'époque napoléonienne, D) La Première Guerre mondiale")</f>
        <v>A) Le Moyen Âge, B) La Renaissance, C) L'époque napoléonienne, D) La Première Guerre mondiale</v>
      </c>
      <c r="J5" s="6" t="str">
        <f>IFERROR(__xludf.DUMMYFUNCTION("GOOGLETRANSLATE(D5, ""en"", ""fr"")"),"C) L'époque napoléonienne")</f>
        <v>C) L'époque napoléonienne</v>
      </c>
      <c r="K5" s="6" t="str">
        <f>IFERROR(__xludf.DUMMYFUNCTION("GOOGLETRANSLATE(E5, ""en"", ""fr"")"),"Les recherches d'Etcheto situent les premiers matchs significatifs et organisés au début du XIXe siècle, pendant les guerres napoléoniennes.")</f>
        <v>Les recherches d'Etcheto situent les premiers matchs significatifs et organisés au début du XIXe siècle, pendant les guerres napoléoniennes.</v>
      </c>
    </row>
    <row r="6" ht="22.5" customHeight="1">
      <c r="A6" s="4">
        <v>5.0</v>
      </c>
      <c r="B6" s="5" t="s">
        <v>1129</v>
      </c>
      <c r="C6" s="5" t="s">
        <v>1130</v>
      </c>
      <c r="D6" s="5" t="s">
        <v>1131</v>
      </c>
      <c r="E6" s="5" t="s">
        <v>1132</v>
      </c>
      <c r="G6" s="6" t="str">
        <f>IFERROR(__xludf.DUMMYFUNCTION("GOOGLETRANSLATE(A6, ""en"", ""fr"")"),"5")</f>
        <v>5</v>
      </c>
      <c r="H6" s="6" t="str">
        <f>IFERROR(__xludf.DUMMYFUNCTION("GOOGLETRANSLATE(B6, ""en"", ""fr"")"),"Quel est le nom de la raquette emblématique en forme de panier qui a révolutionné ce sport ?")</f>
        <v>Quel est le nom de la raquette emblématique en forme de panier qui a révolutionné ce sport ?</v>
      </c>
      <c r="I6" s="6" t="str">
        <f>IFERROR(__xludf.DUMMYFUNCTION("GOOGLETRANSLATE(C6, ""en"", ""fr"")"),"A) Le Pala, B) Le Xare, C) Le Chistera, D) Le Laxoa")</f>
        <v>A) Le Pala, B) Le Xare, C) Le Chistera, D) Le Laxoa</v>
      </c>
      <c r="J6" s="6" t="str">
        <f>IFERROR(__xludf.DUMMYFUNCTION("GOOGLETRANSLATE(D6, ""en"", ""fr"")"),"C) La Chistera")</f>
        <v>C) La Chistera</v>
      </c>
      <c r="K6" s="6" t="str">
        <f>IFERROR(__xludf.DUMMYFUNCTION("GOOGLETRANSLATE(E6, ""en"", ""fr"")"),"La chistera, un gant-panier en osier tressé, permettait aux joueurs d'attraper et de lancer la balle à des vitesses bien plus élevées qu'auparavant.")</f>
        <v>La chistera, un gant-panier en osier tressé, permettait aux joueurs d'attraper et de lancer la balle à des vitesses bien plus élevées qu'auparavant.</v>
      </c>
    </row>
    <row r="7" ht="22.5" customHeight="1">
      <c r="A7" s="4">
        <v>6.0</v>
      </c>
      <c r="B7" s="5" t="s">
        <v>1133</v>
      </c>
      <c r="C7" s="5" t="s">
        <v>1134</v>
      </c>
      <c r="D7" s="5" t="s">
        <v>1135</v>
      </c>
      <c r="E7" s="5" t="s">
        <v>1136</v>
      </c>
      <c r="G7" s="6" t="str">
        <f>IFERROR(__xludf.DUMMYFUNCTION("GOOGLETRANSLATE(A7, ""en"", ""fr"")"),"6")</f>
        <v>6</v>
      </c>
      <c r="H7" s="6" t="str">
        <f>IFERROR(__xludf.DUMMYFUNCTION("GOOGLETRANSLATE(B7, ""en"", ""fr"")"),"À qui attribue-t-on traditionnellement l'invention de la première chistera vers 1850 ?")</f>
        <v>À qui attribue-t-on traditionnellement l'invention de la première chistera vers 1850 ?</v>
      </c>
      <c r="I7" s="6" t="str">
        <f>IFERROR(__xludf.DUMMYFUNCTION("GOOGLETRANSLATE(C7, ""en"", ""fr"")"),"A) Chipitey Etcheto, B) Chiquito de Cambo, C) Jean ""Gantxiki"" Dithurbide, D) Atano III")</f>
        <v>A) Chipitey Etcheto, B) Chiquito de Cambo, C) Jean "Gantxiki" Dithurbide, D) Atano III</v>
      </c>
      <c r="J7" s="6" t="str">
        <f>IFERROR(__xludf.DUMMYFUNCTION("GOOGLETRANSLATE(D7, ""en"", ""fr"")"),"C) Jean « Gantxiki » Dithurbide")</f>
        <v>C) Jean « Gantxiki » Dithurbide</v>
      </c>
      <c r="K7" s="6" t="str">
        <f>IFERROR(__xludf.DUMMYFUNCTION("GOOGLETRANSLATE(E7, ""en"", ""fr"")"),"Gantxiki, un jeune joueur de Saint-Pée-sur-Nivelle, est à l'origine de l'adaptation d'un panier de fruits en première chistera, changeant ainsi le jeu à jamais.")</f>
        <v>Gantxiki, un jeune joueur de Saint-Pée-sur-Nivelle, est à l'origine de l'adaptation d'un panier de fruits en première chistera, changeant ainsi le jeu à jamais.</v>
      </c>
    </row>
    <row r="8" ht="22.5" customHeight="1">
      <c r="A8" s="4">
        <v>7.0</v>
      </c>
      <c r="B8" s="5" t="s">
        <v>1137</v>
      </c>
      <c r="C8" s="5" t="s">
        <v>1138</v>
      </c>
      <c r="D8" s="5" t="s">
        <v>1139</v>
      </c>
      <c r="E8" s="5" t="s">
        <v>1140</v>
      </c>
      <c r="G8" s="6" t="str">
        <f>IFERROR(__xludf.DUMMYFUNCTION("GOOGLETRANSLATE(A8, ""en"", ""fr"")"),"7")</f>
        <v>7</v>
      </c>
      <c r="H8" s="6" t="str">
        <f>IFERROR(__xludf.DUMMYFUNCTION("GOOGLETRANSLATE(B8, ""en"", ""fr"")"),"Quel joueur célèbre du XIXe siècle a le plus contribué à populariser la pelote basque et à en faire un sport de spectateurs majeur ?")</f>
        <v>Quel joueur célèbre du XIXe siècle a le plus contribué à populariser la pelote basque et à en faire un sport de spectateurs majeur ?</v>
      </c>
      <c r="I8" s="6" t="str">
        <f>IFERROR(__xludf.DUMMYFUNCTION("GOOGLETRANSLATE(C8, ""en"", ""fr"")"),"A) Gantxiki, B) Joseph ""Chiquito de Cambo"" Apezteguy, C) Mariano Juaristi, D) Indalecio Sarasqueta")</f>
        <v>A) Gantxiki, B) Joseph "Chiquito de Cambo" Apezteguy, C) Mariano Juaristi, D) Indalecio Sarasqueta</v>
      </c>
      <c r="J8" s="6" t="str">
        <f>IFERROR(__xludf.DUMMYFUNCTION("GOOGLETRANSLATE(D8, ""en"", ""fr"")"),"B) Joseph ""Chiquito de Cambo"" Apezteguy")</f>
        <v>B) Joseph "Chiquito de Cambo" Apezteguy</v>
      </c>
      <c r="K8" s="6" t="str">
        <f>IFERROR(__xludf.DUMMYFUNCTION("GOOGLETRANSLATE(E8, ""en"", ""fr"")"),"Chiquito de Cambo fut la première grande star de la pelote basque, dont l'incroyable talent et le sens du spectacle attirèrent des foules immenses et rehaussèrent le statut de ce sport.")</f>
        <v>Chiquito de Cambo fut la première grande star de la pelote basque, dont l'incroyable talent et le sens du spectacle attirèrent des foules immenses et rehaussèrent le statut de ce sport.</v>
      </c>
    </row>
    <row r="9" ht="22.5" customHeight="1">
      <c r="A9" s="4">
        <v>8.0</v>
      </c>
      <c r="B9" s="5" t="s">
        <v>1141</v>
      </c>
      <c r="C9" s="5" t="s">
        <v>1142</v>
      </c>
      <c r="D9" s="5" t="s">
        <v>1143</v>
      </c>
      <c r="E9" s="5" t="s">
        <v>1144</v>
      </c>
      <c r="G9" s="6" t="str">
        <f>IFERROR(__xludf.DUMMYFUNCTION("GOOGLETRANSLATE(A9, ""en"", ""fr"")"),"8")</f>
        <v>8</v>
      </c>
      <c r="H9" s="6" t="str">
        <f>IFERROR(__xludf.DUMMYFUNCTION("GOOGLETRANSLATE(B9, ""en"", ""fr"")"),"Dans quelle décennie ont été créées les premières compétitions et fédérations officielles et organisées de pelote basque ?")</f>
        <v>Dans quelle décennie ont été créées les premières compétitions et fédérations officielles et organisées de pelote basque ?</v>
      </c>
      <c r="I9" s="6" t="str">
        <f>IFERROR(__xludf.DUMMYFUNCTION("GOOGLETRANSLATE(C9, ""en"", ""fr"")"),"A) Les années 1880, B) Les années 1900, C) Les années 1920, D) Les années 1940")</f>
        <v>A) Les années 1880, B) Les années 1900, C) Les années 1920, D) Les années 1940</v>
      </c>
      <c r="J9" s="6" t="str">
        <f>IFERROR(__xludf.DUMMYFUNCTION("GOOGLETRANSLATE(D9, ""en"", ""fr"")"),"C) Les années 1920")</f>
        <v>C) Les années 1920</v>
      </c>
      <c r="K9" s="6" t="str">
        <f>IFERROR(__xludf.DUMMYFUNCTION("GOOGLETRANSLATE(E9, ""en"", ""fr"")"),"Les années 1920 ont vu la formalisation de ce sport avec la création de la Fédération Internationale de Pelota Basque (FIPV) et la standardisation des compétitions.")</f>
        <v>Les années 1920 ont vu la formalisation de ce sport avec la création de la Fédération Internationale de Pelota Basque (FIPV) et la standardisation des compétitions.</v>
      </c>
    </row>
    <row r="10" ht="22.5" customHeight="1">
      <c r="A10" s="4">
        <v>9.0</v>
      </c>
      <c r="B10" s="5" t="s">
        <v>1145</v>
      </c>
      <c r="C10" s="5" t="s">
        <v>1146</v>
      </c>
      <c r="D10" s="5" t="s">
        <v>1147</v>
      </c>
      <c r="E10" s="5" t="s">
        <v>1148</v>
      </c>
      <c r="G10" s="6" t="str">
        <f>IFERROR(__xludf.DUMMYFUNCTION("GOOGLETRANSLATE(A10, ""en"", ""fr"")"),"9")</f>
        <v>9</v>
      </c>
      <c r="H10" s="6" t="str">
        <f>IFERROR(__xludf.DUMMYFUNCTION("GOOGLETRANSLATE(B10, ""en"", ""fr"")"),"La version la plus populaire et la plus connue internationalement de la pelote basque, notamment en Amérique, est connue sous le nom de comment ?")</f>
        <v>La version la plus populaire et la plus connue internationalement de la pelote basque, notamment en Amérique, est connue sous le nom de comment ?</v>
      </c>
      <c r="I10" s="6" t="str">
        <f>IFERROR(__xludf.DUMMYFUNCTION("GOOGLETRANSLATE(C10, ""en"", ""fr"")"),"A) Main Nue, B) Pala Corta, C) Jai Alai, D) Xare")</f>
        <v>A) Main Nue, B) Pala Corta, C) Jai Alai, D) Xare</v>
      </c>
      <c r="J10" s="6" t="str">
        <f>IFERROR(__xludf.DUMMYFUNCTION("GOOGLETRANSLATE(D10, ""en"", ""fr"")"),"C) Jai Alai")</f>
        <v>C) Jai Alai</v>
      </c>
      <c r="K10" s="6" t="str">
        <f>IFERROR(__xludf.DUMMYFUNCTION("GOOGLETRANSLATE(E10, ""en"", ""fr"")"),"Le jai alai, qui signifie « joyeuse fête » en basque, est le nom donné à la version rapide de ce sport joué avec une chistera, qui est devenue une sensation à l'étranger.")</f>
        <v>Le jai alai, qui signifie « joyeuse fête » en basque, est le nom donné à la version rapide de ce sport joué avec une chistera, qui est devenue une sensation à l'étranger.</v>
      </c>
    </row>
    <row r="11" ht="22.5" customHeight="1">
      <c r="A11" s="4">
        <v>10.0</v>
      </c>
      <c r="B11" s="5" t="s">
        <v>1149</v>
      </c>
      <c r="C11" s="5" t="s">
        <v>1150</v>
      </c>
      <c r="D11" s="5" t="s">
        <v>1151</v>
      </c>
      <c r="E11" s="5" t="s">
        <v>1152</v>
      </c>
      <c r="G11" s="6" t="str">
        <f>IFERROR(__xludf.DUMMYFUNCTION("GOOGLETRANSLATE(A11, ""en"", ""fr"")"),"10")</f>
        <v>10</v>
      </c>
      <c r="H11" s="6" t="str">
        <f>IFERROR(__xludf.DUMMYFUNCTION("GOOGLETRANSLATE(B11, ""en"", ""fr"")"),"Le premier fronton (terrain de pelota) d'envergure aux États-Unis a été construit en 1924 dans quelle ville ?")</f>
        <v>Le premier fronton (terrain de pelota) d'envergure aux États-Unis a été construit en 1924 dans quelle ville ?</v>
      </c>
      <c r="I11" s="6" t="str">
        <f>IFERROR(__xludf.DUMMYFUNCTION("GOOGLETRANSLATE(C11, ""en"", ""fr"")"),"A) New York, B) Chicago, C) Miami, D) Los Angeles")</f>
        <v>A) New York, B) Chicago, C) Miami, D) Los Angeles</v>
      </c>
      <c r="J11" s="6" t="str">
        <f>IFERROR(__xludf.DUMMYFUNCTION("GOOGLETRANSLATE(D11, ""en"", ""fr"")"),"C) Miami")</f>
        <v>C) Miami</v>
      </c>
      <c r="K11" s="6" t="str">
        <f>IFERROR(__xludf.DUMMYFUNCTION("GOOGLETRANSLATE(E11, ""en"", ""fr"")"),"Le Miami Fronton a ouvert ses portes en 1924, marquant le début de l'« âge d'or » du jai alai en tant que sport populaire auprès des spectateurs et sur lequel on pariait en Floride.")</f>
        <v>Le Miami Fronton a ouvert ses portes en 1924, marquant le début de l'« âge d'or » du jai alai en tant que sport populaire auprès des spectateurs et sur lequel on pariait en Floride.</v>
      </c>
    </row>
    <row r="12" ht="22.5" customHeight="1">
      <c r="A12" s="4">
        <v>11.0</v>
      </c>
      <c r="B12" s="5" t="s">
        <v>1153</v>
      </c>
      <c r="C12" s="5" t="s">
        <v>1154</v>
      </c>
      <c r="D12" s="5" t="s">
        <v>1155</v>
      </c>
      <c r="E12" s="5" t="s">
        <v>1156</v>
      </c>
      <c r="G12" s="6" t="str">
        <f>IFERROR(__xludf.DUMMYFUNCTION("GOOGLETRANSLATE(A12, ""en"", ""fr"")"),"11")</f>
        <v>11</v>
      </c>
      <c r="H12" s="6" t="str">
        <f>IFERROR(__xludf.DUMMYFUNCTION("GOOGLETRANSLATE(B12, ""en"", ""fr"")"),"Quelle a été la principale raison du déclin spectaculaire de la popularité de la pelote basque aux États-Unis à partir des années 1990 ?")</f>
        <v>Quelle a été la principale raison du déclin spectaculaire de la popularité de la pelote basque aux États-Unis à partir des années 1990 ?</v>
      </c>
      <c r="I12" s="6" t="str">
        <f>IFERROR(__xludf.DUMMYFUNCTION("GOOGLETRANSLATE(C12, ""en"", ""fr"")"),"A) Un manque de joueurs qualifiés, B) La concurrence d'autres sports professionnels, C) Une grève importante des joueurs et le développement des casinos et des loteries, D) Le coût excessif du matériel")</f>
        <v>A) Un manque de joueurs qualifiés, B) La concurrence d'autres sports professionnels, C) Une grève importante des joueurs et le développement des casinos et des loteries, D) Le coût excessif du matériel</v>
      </c>
      <c r="J12" s="6" t="str">
        <f>IFERROR(__xludf.DUMMYFUNCTION("GOOGLETRANSLATE(D12, ""en"", ""fr"")"),"C) Une grève majeure des joueurs et la croissance des casinos et des loteries")</f>
        <v>C) Une grève majeure des joueurs et la croissance des casinos et des loteries</v>
      </c>
      <c r="K12" s="6" t="str">
        <f>IFERROR(__xludf.DUMMYFUNCTION("GOOGLETRANSLATE(E12, ""en"", ""fr"")"),"Une longue et âpre grève des joueurs à la fin des années 1980, combinée à l'essor d'autres options de jeu légalisées, a entraîné une forte baisse de la fréquentation.")</f>
        <v>Une longue et âpre grève des joueurs à la fin des années 1980, combinée à l'essor d'autres options de jeu légalisées, a entraîné une forte baisse de la fréquentation.</v>
      </c>
    </row>
    <row r="13" ht="22.5" customHeight="1">
      <c r="A13" s="4">
        <v>12.0</v>
      </c>
      <c r="B13" s="5" t="s">
        <v>1157</v>
      </c>
      <c r="C13" s="5" t="s">
        <v>1158</v>
      </c>
      <c r="D13" s="5" t="s">
        <v>1159</v>
      </c>
      <c r="E13" s="5" t="s">
        <v>1160</v>
      </c>
      <c r="G13" s="6" t="str">
        <f>IFERROR(__xludf.DUMMYFUNCTION("GOOGLETRANSLATE(A13, ""en"", ""fr"")"),"12")</f>
        <v>12</v>
      </c>
      <c r="H13" s="6" t="str">
        <f>IFERROR(__xludf.DUMMYFUNCTION("GOOGLETRANSLATE(B13, ""en"", ""fr"")"),"Dans quel événement multisports la pelote basque a-t-elle été présentée, souvent à titre de démonstration ou de sport officiel avec médaille ?")</f>
        <v>Dans quel événement multisports la pelote basque a-t-elle été présentée, souvent à titre de démonstration ou de sport officiel avec médaille ?</v>
      </c>
      <c r="I13" s="6" t="str">
        <f>IFERROR(__xludf.DUMMYFUNCTION("GOOGLETRANSLATE(C13, ""en"", ""fr"")"),"A) Les Jeux olympiques, B) Les Jeux du Commonwealth, C) Les Jeux panaméricains, D) Les Jeux asiatiques")</f>
        <v>A) Les Jeux olympiques, B) Les Jeux du Commonwealth, C) Les Jeux panaméricains, D) Les Jeux asiatiques</v>
      </c>
      <c r="J13" s="6" t="str">
        <f>IFERROR(__xludf.DUMMYFUNCTION("GOOGLETRANSLATE(D13, ""en"", ""fr"")"),"C) Les Jeux panaméricains")</f>
        <v>C) Les Jeux panaméricains</v>
      </c>
      <c r="K13" s="6" t="str">
        <f>IFERROR(__xludf.DUMMYFUNCTION("GOOGLETRANSLATE(E13, ""en"", ""fr"")"),"La pelote basque a figuré à plusieurs reprises au programme des Jeux panaméricains, depuis 1995, témoignant de sa popularité dans les pays d'Amérique latine.")</f>
        <v>La pelote basque a figuré à plusieurs reprises au programme des Jeux panaméricains, depuis 1995, témoignant de sa popularité dans les pays d'Amérique latine.</v>
      </c>
    </row>
    <row r="14" ht="22.5" customHeight="1">
      <c r="A14" s="4">
        <v>13.0</v>
      </c>
      <c r="B14" s="5" t="s">
        <v>1161</v>
      </c>
      <c r="C14" s="5" t="s">
        <v>1162</v>
      </c>
      <c r="D14" s="5" t="s">
        <v>1163</v>
      </c>
      <c r="E14" s="5" t="s">
        <v>1164</v>
      </c>
      <c r="G14" s="6" t="str">
        <f>IFERROR(__xludf.DUMMYFUNCTION("GOOGLETRANSLATE(A14, ""en"", ""fr"")"),"13")</f>
        <v>13</v>
      </c>
      <c r="H14" s="6" t="str">
        <f>IFERROR(__xludf.DUMMYFUNCTION("GOOGLETRANSLATE(B14, ""en"", ""fr"")"),"La balle (pelote) utilisée au jai alai est réputée pour être extrêmement dure et rapide. De quoi est-elle traditionnellement faite ?")</f>
        <v>La balle (pelote) utilisée au jai alai est réputée pour être extrêmement dure et rapide. De quoi est-elle traditionnellement faite ?</v>
      </c>
      <c r="I14" s="6" t="str">
        <f>IFERROR(__xludf.DUMMYFUNCTION("GOOGLETRANSLATE(C14, ""en"", ""fr"")"),"A) Bois massif, B) Noyau en caoutchouc brésilien, enroulé de laine et recouvert de peau de chèvre, C) Liège compressé, D) Polymère plastique")</f>
        <v>A) Bois massif, B) Noyau en caoutchouc brésilien, enroulé de laine et recouvert de peau de chèvre, C) Liège compressé, D) Polymère plastique</v>
      </c>
      <c r="J14" s="6" t="str">
        <f>IFERROR(__xludf.DUMMYFUNCTION("GOOGLETRANSLATE(D14, ""en"", ""fr"")"),"B) Un noyau de caoutchouc brésilien, enroulé de laine et recouvert de peau de chèvre")</f>
        <v>B) Un noyau de caoutchouc brésilien, enroulé de laine et recouvert de peau de chèvre</v>
      </c>
      <c r="K14" s="6" t="str">
        <f>IFERROR(__xludf.DUMMYFUNCTION("GOOGLETRANSLATE(E14, ""en"", ""fr"")"),"La pelote traditionnelle faite à la main est un projectile complexe et extrêmement dur, capable d'atteindre des vitesses supérieures à 300 km/h (186 mph).")</f>
        <v>La pelote traditionnelle faite à la main est un projectile complexe et extrêmement dur, capable d'atteindre des vitesses supérieures à 300 km/h (186 mph).</v>
      </c>
    </row>
    <row r="15" ht="22.5" customHeight="1">
      <c r="A15" s="4">
        <v>14.0</v>
      </c>
      <c r="B15" s="5" t="s">
        <v>1165</v>
      </c>
      <c r="C15" s="5" t="s">
        <v>1166</v>
      </c>
      <c r="D15" s="5" t="s">
        <v>1167</v>
      </c>
      <c r="E15" s="5" t="s">
        <v>1168</v>
      </c>
      <c r="G15" s="6" t="str">
        <f>IFERROR(__xludf.DUMMYFUNCTION("GOOGLETRANSLATE(A15, ""en"", ""fr"")"),"14")</f>
        <v>14</v>
      </c>
      <c r="H15" s="6" t="str">
        <f>IFERROR(__xludf.DUMMYFUNCTION("GOOGLETRANSLATE(B15, ""en"", ""fr"")"),"Quel est le rôle principal du fronton dans le jeu ?")</f>
        <v>Quel est le rôle principal du fronton dans le jeu ?</v>
      </c>
      <c r="I15" s="6" t="str">
        <f>IFERROR(__xludf.DUMMYFUNCTION("GOOGLETRANSLATE(C15, ""en"", ""fr"")"),"A) C'est le mur contre lequel la balle est frappée, B) C'est l'endroit où les spectateurs s'assoient, C) C'est l'arbitre du match, D) C'est l'ensemble du terrain de jeu")</f>
        <v>A) C'est le mur contre lequel la balle est frappée, B) C'est l'endroit où les spectateurs s'assoient, C) C'est l'arbitre du match, D) C'est l'ensemble du terrain de jeu</v>
      </c>
      <c r="J15" s="6" t="str">
        <f>IFERROR(__xludf.DUMMYFUNCTION("GOOGLETRANSLATE(D15, ""en"", ""fr"")"),"A) C'est le mur contre lequel la balle est frappée.")</f>
        <v>A) C'est le mur contre lequel la balle est frappée.</v>
      </c>
      <c r="K15" s="6" t="str">
        <f>IFERROR(__xludf.DUMMYFUNCTION("GOOGLETRANSLATE(E15, ""en"", ""fr"")"),"Le fronton est le mur de jeu principal, la cible que les joueurs doivent atteindre pour maintenir la balle en jeu. L'ensemble de la structure du terrain est également souvent appelé fronton.")</f>
        <v>Le fronton est le mur de jeu principal, la cible que les joueurs doivent atteindre pour maintenir la balle en jeu. L'ensemble de la structure du terrain est également souvent appelé fronton.</v>
      </c>
    </row>
    <row r="16" ht="22.5" customHeight="1">
      <c r="A16" s="4">
        <v>15.0</v>
      </c>
      <c r="B16" s="5" t="s">
        <v>1169</v>
      </c>
      <c r="C16" s="5" t="s">
        <v>1170</v>
      </c>
      <c r="D16" s="5" t="s">
        <v>1171</v>
      </c>
      <c r="E16" s="5" t="s">
        <v>1172</v>
      </c>
      <c r="G16" s="6" t="str">
        <f>IFERROR(__xludf.DUMMYFUNCTION("GOOGLETRANSLATE(A16, ""en"", ""fr"")"),"15")</f>
        <v>15</v>
      </c>
      <c r="H16" s="6" t="str">
        <f>IFERROR(__xludf.DUMMYFUNCTION("GOOGLETRANSLATE(B16, ""en"", ""fr"")"),"De quels matériaux est traditionnellement fabriquée la chistera ?")</f>
        <v>De quels matériaux est traditionnellement fabriquée la chistera ?</v>
      </c>
      <c r="I16" s="6" t="str">
        <f>IFERROR(__xludf.DUMMYFUNCTION("GOOGLETRANSLATE(C16, ""en"", ""fr"")"),"A) Plastique et nylon, B) Bois courbé (frêne ou châtaignier) et osier tressé, C) Métal et cuir, D) Fibre de carbone")</f>
        <v>A) Plastique et nylon, B) Bois courbé (frêne ou châtaignier) et osier tressé, C) Métal et cuir, D) Fibre de carbone</v>
      </c>
      <c r="J16" s="6" t="str">
        <f>IFERROR(__xludf.DUMMYFUNCTION("GOOGLETRANSLATE(D16, ""en"", ""fr"")"),"B) Bois courbé (frêne ou châtaignier) et osier tressé")</f>
        <v>B) Bois courbé (frêne ou châtaignier) et osier tressé</v>
      </c>
      <c r="K16" s="6" t="str">
        <f>IFERROR(__xludf.DUMMYFUNCTION("GOOGLETRANSLATE(E16, ""en"", ""fr"")"),"La chistera est un chef-d'œuvre d'artisanat, traditionnellement tissée à la main en osier sur une armature en bois courbée à la vapeur.")</f>
        <v>La chistera est un chef-d'œuvre d'artisanat, traditionnellement tissée à la main en osier sur une armature en bois courbée à la vapeur.</v>
      </c>
    </row>
    <row r="17" ht="22.5" customHeight="1">
      <c r="A17" s="4">
        <v>16.0</v>
      </c>
      <c r="B17" s="5" t="s">
        <v>1173</v>
      </c>
      <c r="C17" s="5" t="s">
        <v>1174</v>
      </c>
      <c r="D17" s="5" t="s">
        <v>1175</v>
      </c>
      <c r="E17" s="5" t="s">
        <v>1176</v>
      </c>
      <c r="G17" s="6" t="str">
        <f>IFERROR(__xludf.DUMMYFUNCTION("GOOGLETRANSLATE(A17, ""en"", ""fr"")"),"16")</f>
        <v>16</v>
      </c>
      <c r="H17" s="6" t="str">
        <f>IFERROR(__xludf.DUMMYFUNCTION("GOOGLETRANSLATE(B17, ""en"", ""fr"")"),"Que signifie le nom « Jai Alai » en langue basque (Euskara) ?")</f>
        <v>Que signifie le nom « Jai Alai » en langue basque (Euskara) ?</v>
      </c>
      <c r="I17" s="6" t="str">
        <f>IFERROR(__xludf.DUMMYFUNCTION("GOOGLETRANSLATE(C17, ""en"", ""fr"")"),"A) ""Fast Ball"", B) ""Wall Game"", C) ""Merry Festival"", D) ""Wisher Hand""")</f>
        <v>A) "Fast Ball", B) "Wall Game", C) "Merry Festival", D) "Wisher Hand"</v>
      </c>
      <c r="J17" s="6" t="str">
        <f>IFERROR(__xludf.DUMMYFUNCTION("GOOGLETRANSLATE(D17, ""en"", ""fr"")"),"C) « Joyeux Festival »")</f>
        <v>C) « Joyeux Festival »</v>
      </c>
      <c r="K17" s="6" t="str">
        <f>IFERROR(__xludf.DUMMYFUNCTION("GOOGLETRANSLATE(E17, ""en"", ""fr"")"),"Le nom a été inventé par un journaliste au XIXe siècle, car ce sport était un élément central des fêtes locales.")</f>
        <v>Le nom a été inventé par un journaliste au XIXe siècle, car ce sport était un élément central des fêtes locales.</v>
      </c>
    </row>
    <row r="18" ht="22.5" customHeight="1">
      <c r="A18" s="4">
        <v>17.0</v>
      </c>
      <c r="B18" s="5" t="s">
        <v>1177</v>
      </c>
      <c r="C18" s="5" t="s">
        <v>1178</v>
      </c>
      <c r="D18" s="5" t="s">
        <v>1179</v>
      </c>
      <c r="E18" s="5" t="s">
        <v>1180</v>
      </c>
      <c r="G18" s="6" t="str">
        <f>IFERROR(__xludf.DUMMYFUNCTION("GOOGLETRANSLATE(A18, ""en"", ""fr"")"),"17")</f>
        <v>17</v>
      </c>
      <c r="H18" s="6" t="str">
        <f>IFERROR(__xludf.DUMMYFUNCTION("GOOGLETRANSLATE(B18, ""en"", ""fr"")"),"Quels sont les deux pays qui dominent les compétitions internationales de pelote basque ?")</f>
        <v>Quels sont les deux pays qui dominent les compétitions internationales de pelote basque ?</v>
      </c>
      <c r="I18" s="6" t="str">
        <f>IFERROR(__xludf.DUMMYFUNCTION("GOOGLETRANSLATE(C18, ""en"", ""fr"")"),"A) L'Argentine et le Mexique, B) Les États-Unis et Cuba, C) La France et l'Espagne, D) Les Philippines et l'Italie")</f>
        <v>A) L'Argentine et le Mexique, B) Les États-Unis et Cuba, C) La France et l'Espagne, D) Les Philippines et l'Italie</v>
      </c>
      <c r="J18" s="6" t="str">
        <f>IFERROR(__xludf.DUMMYFUNCTION("GOOGLETRANSLATE(D18, ""en"", ""fr"")"),"C) France et Espagne")</f>
        <v>C) France et Espagne</v>
      </c>
      <c r="K18" s="6" t="str">
        <f>IFERROR(__xludf.DUMMYFUNCTION("GOOGLETRANSLATE(E18, ""en"", ""fr"")"),"Les régions basques de France et d'Espagne sont le berceau de ce sport et ont historiquement dominé les championnats du monde.")</f>
        <v>Les régions basques de France et d'Espagne sont le berceau de ce sport et ont historiquement dominé les championnats du monde.</v>
      </c>
    </row>
    <row r="19" ht="22.5" customHeight="1">
      <c r="A19" s="4">
        <v>18.0</v>
      </c>
      <c r="B19" s="5" t="s">
        <v>1181</v>
      </c>
      <c r="C19" s="5" t="s">
        <v>1182</v>
      </c>
      <c r="D19" s="5" t="s">
        <v>1183</v>
      </c>
      <c r="E19" s="5" t="s">
        <v>1184</v>
      </c>
      <c r="G19" s="6" t="str">
        <f>IFERROR(__xludf.DUMMYFUNCTION("GOOGLETRANSLATE(A19, ""en"", ""fr"")"),"18")</f>
        <v>18</v>
      </c>
      <c r="H19" s="6" t="str">
        <f>IFERROR(__xludf.DUMMYFUNCTION("GOOGLETRANSLATE(B19, ""en"", ""fr"")"),"Qu'est-ce qu'un bibelot ?")</f>
        <v>Qu'est-ce qu'un bibelot ?</v>
      </c>
      <c r="I19" s="6" t="str">
        <f>IFERROR(__xludf.DUMMYFUNCTION("GOOGLETRANSLATE(C19, ""en"", ""fr"")"),"A) Un type de chistera, B) Un terrain de pelote basque intérieur à quatre murs avec des tribunes, C) L'arbitre au jai alai, D) Le nom de la balle")</f>
        <v>A) Un type de chistera, B) Un terrain de pelote basque intérieur à quatre murs avec des tribunes, C) L'arbitre au jai alai, D) Le nom de la balle</v>
      </c>
      <c r="J19" s="6" t="str">
        <f>IFERROR(__xludf.DUMMYFUNCTION("GOOGLETRANSLATE(D19, ""en"", ""fr"")"),"B) Un terrain de pelote intérieur à quatre murs avec une galerie")</f>
        <v>B) Un terrain de pelote intérieur à quatre murs avec une galerie</v>
      </c>
      <c r="K19" s="6" t="str">
        <f>IFERROR(__xludf.DUMMYFUNCTION("GOOGLETRANSLATE(E19, ""en"", ""fr"")"),"Le trinquet est une forme de terrain plus ancienne que le fronton à ciel ouvert, avec quatre murs, ce qui crée un jeu plus complexe avec différents angles.")</f>
        <v>Le trinquet est une forme de terrain plus ancienne que le fronton à ciel ouvert, avec quatre murs, ce qui crée un jeu plus complexe avec différents angles.</v>
      </c>
    </row>
    <row r="20" ht="22.5" customHeight="1">
      <c r="A20" s="4">
        <v>19.0</v>
      </c>
      <c r="B20" s="5" t="s">
        <v>1185</v>
      </c>
      <c r="C20" s="5" t="s">
        <v>1186</v>
      </c>
      <c r="D20" s="5" t="s">
        <v>1187</v>
      </c>
      <c r="E20" s="5" t="s">
        <v>1188</v>
      </c>
      <c r="G20" s="6" t="str">
        <f>IFERROR(__xludf.DUMMYFUNCTION("GOOGLETRANSLATE(A20, ""en"", ""fr"")"),"19")</f>
        <v>19</v>
      </c>
      <c r="H20" s="6" t="str">
        <f>IFERROR(__xludf.DUMMYFUNCTION("GOOGLETRANSLATE(B20, ""en"", ""fr"")"),"La modalité la plus basique et la plus ancienne de ce sport est le main nue. Comment y joue-t-on ?")</f>
        <v>La modalité la plus basique et la plus ancienne de ce sport est le main nue. Comment y joue-t-on ?</v>
      </c>
      <c r="I20" s="6" t="str">
        <f>IFERROR(__xludf.DUMMYFUNCTION("GOOGLETRANSLATE(C20, ""en"", ""fr"")"),"A) Avec une pagaie en bois, B) Avec une petite chistera, C) À mains nues, D) Avec une raquette à cordes")</f>
        <v>A) Avec une pagaie en bois, B) Avec une petite chistera, C) À mains nues, D) Avec une raquette à cordes</v>
      </c>
      <c r="J20" s="6" t="str">
        <f>IFERROR(__xludf.DUMMYFUNCTION("GOOGLETRANSLATE(D20, ""en"", ""fr"")"),"C) À mains nues")</f>
        <v>C) À mains nues</v>
      </c>
      <c r="K20" s="6" t="str">
        <f>IFERROR(__xludf.DUMMYFUNCTION("GOOGLETRANSLATE(E20, ""en"", ""fr"")"),"L'Esku-pilota ou main nue (main nue) est la forme originale du jeu, où les joueurs frappent la balle dure avec leurs mains non protégées.")</f>
        <v>L'Esku-pilota ou main nue (main nue) est la forme originale du jeu, où les joueurs frappent la balle dure avec leurs mains non protégées.</v>
      </c>
    </row>
    <row r="21" ht="22.5" customHeight="1">
      <c r="A21" s="4">
        <v>20.0</v>
      </c>
      <c r="B21" s="5" t="s">
        <v>1189</v>
      </c>
      <c r="C21" s="5" t="s">
        <v>1190</v>
      </c>
      <c r="D21" s="5" t="s">
        <v>1191</v>
      </c>
      <c r="E21" s="5" t="s">
        <v>1192</v>
      </c>
      <c r="G21" s="6" t="str">
        <f>IFERROR(__xludf.DUMMYFUNCTION("GOOGLETRANSLATE(A21, ""en"", ""fr"")"),"20")</f>
        <v>20</v>
      </c>
      <c r="H21" s="6" t="str">
        <f>IFERROR(__xludf.DUMMYFUNCTION("GOOGLETRANSLATE(B21, ""en"", ""fr"")"),"Quelle est la fonction principale de la forme en panier de la chistera ?")</f>
        <v>Quelle est la fonction principale de la forme en panier de la chistera ?</v>
      </c>
      <c r="I21" s="6" t="str">
        <f>IFERROR(__xludf.DUMMYFUNCTION("GOOGLETRANSLATE(C21, ""en"", ""fr"")"),"A) C'est purement esthétique, B) Pour attraper, contrôler et lancer la balle d'un seul mouvement fluide, C) Pour protéger la main du joueur, D) Pour faire du bruit")</f>
        <v>A) C'est purement esthétique, B) Pour attraper, contrôler et lancer la balle d'un seul mouvement fluide, C) Pour protéger la main du joueur, D) Pour faire du bruit</v>
      </c>
      <c r="J21" s="6" t="str">
        <f>IFERROR(__xludf.DUMMYFUNCTION("GOOGLETRANSLATE(D21, ""en"", ""fr"")"),"B) Attraper, tenir et lancer la balle en un seul mouvement fluide")</f>
        <v>B) Attraper, tenir et lancer la balle en un seul mouvement fluide</v>
      </c>
      <c r="K21" s="6" t="str">
        <f>IFERROR(__xludf.DUMMYFUNCTION("GOOGLETRANSLATE(E21, ""en"", ""fr"")"),"Le panier incurvé agit comme un canal, permettant au joueur d'accélérer la balle à des vitesses incroyables, une technique connue sous le nom d'« effet fronde ».")</f>
        <v>Le panier incurvé agit comme un canal, permettant au joueur d'accélérer la balle à des vitesses incroyables, une technique connue sous le nom d'« effet fronde ».</v>
      </c>
    </row>
    <row r="22" ht="22.5" customHeight="1">
      <c r="A22" s="4">
        <v>21.0</v>
      </c>
      <c r="B22" s="5" t="s">
        <v>1193</v>
      </c>
      <c r="C22" s="5" t="s">
        <v>1194</v>
      </c>
      <c r="D22" s="5" t="s">
        <v>1195</v>
      </c>
      <c r="E22" s="5" t="s">
        <v>1196</v>
      </c>
      <c r="G22" s="6" t="str">
        <f>IFERROR(__xludf.DUMMYFUNCTION("GOOGLETRANSLATE(A22, ""en"", ""fr"")"),"21")</f>
        <v>21</v>
      </c>
      <c r="H22" s="6" t="str">
        <f>IFERROR(__xludf.DUMMYFUNCTION("GOOGLETRANSLATE(B22, ""en"", ""fr"")"),"Outre la Floride, quel autre État américain a connu une scène importante de pelote basque au XXe siècle ?")</f>
        <v>Outre la Floride, quel autre État américain a connu une scène importante de pelote basque au XXe siècle ?</v>
      </c>
      <c r="I22" s="6" t="str">
        <f>IFERROR(__xludf.DUMMYFUNCTION("GOOGLETRANSLATE(C22, ""en"", ""fr"")"),"A) Californie, B) Texas, C) Connecticut, D) Nevada")</f>
        <v>A) Californie, B) Texas, C) Connecticut, D) Nevada</v>
      </c>
      <c r="J22" s="6" t="str">
        <f>IFERROR(__xludf.DUMMYFUNCTION("GOOGLETRANSLATE(D22, ""en"", ""fr"")"),"C) Connecticut")</f>
        <v>C) Connecticut</v>
      </c>
      <c r="K22" s="6" t="str">
        <f>IFERROR(__xludf.DUMMYFUNCTION("GOOGLETRANSLATE(E22, ""en"", ""fr"")"),"Les frontons, dans des villes comme Hartford et Bridgeport, étaient des lieux majeurs pour ce sport dans le nord-est des États-Unis.")</f>
        <v>Les frontons, dans des villes comme Hartford et Bridgeport, étaient des lieux majeurs pour ce sport dans le nord-est des États-Unis.</v>
      </c>
    </row>
    <row r="23" ht="22.5" customHeight="1">
      <c r="A23" s="4">
        <v>22.0</v>
      </c>
      <c r="B23" s="5" t="s">
        <v>1197</v>
      </c>
      <c r="C23" s="5" t="s">
        <v>1198</v>
      </c>
      <c r="D23" s="5" t="s">
        <v>1199</v>
      </c>
      <c r="E23" s="5" t="s">
        <v>1200</v>
      </c>
      <c r="G23" s="6" t="str">
        <f>IFERROR(__xludf.DUMMYFUNCTION("GOOGLETRANSLATE(A23, ""en"", ""fr"")"),"22")</f>
        <v>22</v>
      </c>
      <c r="H23" s="6" t="str">
        <f>IFERROR(__xludf.DUMMYFUNCTION("GOOGLETRANSLATE(B23, ""en"", ""fr"")"),"Qu'est-ce qu'un partido au Jai Alai ?")</f>
        <v>Qu'est-ce qu'un partido au Jai Alai ?</v>
      </c>
      <c r="I23" s="6" t="str">
        <f>IFERROR(__xludf.DUMMYFUNCTION("GOOGLETRANSLATE(C23, ""en"", ""fr"")"),"A) Un point unique, B) Un match joué en un certain nombre de points, C) Un joueur, D) Le court")</f>
        <v>A) Un point unique, B) Un match joué en un certain nombre de points, C) Un joueur, D) Le court</v>
      </c>
      <c r="J23" s="6" t="str">
        <f>IFERROR(__xludf.DUMMYFUNCTION("GOOGLETRANSLATE(D23, ""en"", ""fr"")"),"B) Un match joué jusqu'à un certain nombre de points")</f>
        <v>B) Un match joué jusqu'à un certain nombre de points</v>
      </c>
      <c r="K23" s="6" t="str">
        <f>IFERROR(__xludf.DUMMYFUNCTION("GOOGLETRANSLATE(E23, ""en"", ""fr"")"),"Un partido est le format de match classique, où deux équipes jouent jusqu'à ce que l'une d'elles atteigne un score cible, tel que 35 points.")</f>
        <v>Un partido est le format de match classique, où deux équipes jouent jusqu'à ce que l'une d'elles atteigne un score cible, tel que 35 points.</v>
      </c>
    </row>
    <row r="24" ht="22.5" customHeight="1">
      <c r="A24" s="4">
        <v>23.0</v>
      </c>
      <c r="B24" s="5" t="s">
        <v>1201</v>
      </c>
      <c r="C24" s="5" t="s">
        <v>1202</v>
      </c>
      <c r="D24" s="5" t="s">
        <v>167</v>
      </c>
      <c r="E24" s="5" t="s">
        <v>1203</v>
      </c>
      <c r="G24" s="6" t="str">
        <f>IFERROR(__xludf.DUMMYFUNCTION("GOOGLETRANSLATE(A24, ""en"", ""fr"")"),"23")</f>
        <v>23</v>
      </c>
      <c r="H24" s="6" t="str">
        <f>IFERROR(__xludf.DUMMYFUNCTION("GOOGLETRANSLATE(B24, ""en"", ""fr"")"),"Dans quel pays, une ancienne colonie espagnole, la pelote basque est-elle devenue extrêmement populaire au XXe siècle, avec un fronton célèbre dans sa capitale ?")</f>
        <v>Dans quel pays, une ancienne colonie espagnole, la pelote basque est-elle devenue extrêmement populaire au XXe siècle, avec un fronton célèbre dans sa capitale ?</v>
      </c>
      <c r="I24" s="6" t="str">
        <f>IFERROR(__xludf.DUMMYFUNCTION("GOOGLETRANSLATE(C24, ""en"", ""fr"")"),"A) Les Philippines, B) Le Mexique, C) Cuba, D) Toutes les réponses ci-dessus")</f>
        <v>A) Les Philippines, B) Le Mexique, C) Cuba, D) Toutes les réponses ci-dessus</v>
      </c>
      <c r="J24" s="6" t="str">
        <f>IFERROR(__xludf.DUMMYFUNCTION("GOOGLETRANSLATE(D24, ""en"", ""fr"")"),"D) Toutes les réponses ci-dessus")</f>
        <v>D) Toutes les réponses ci-dessus</v>
      </c>
      <c r="K24" s="6" t="str">
        <f>IFERROR(__xludf.DUMMYFUNCTION("GOOGLETRANSLATE(E24, ""en"", ""fr"")"),"Le jai alai s'est répandu dans tout le monde hispanophone, avec d'importants frontons professionnels à Manille, Mexico et La Havane.")</f>
        <v>Le jai alai s'est répandu dans tout le monde hispanophone, avec d'importants frontons professionnels à Manille, Mexico et La Havane.</v>
      </c>
    </row>
    <row r="25" ht="22.5" customHeight="1">
      <c r="A25" s="4">
        <v>24.0</v>
      </c>
      <c r="B25" s="5" t="s">
        <v>1204</v>
      </c>
      <c r="C25" s="5" t="s">
        <v>1205</v>
      </c>
      <c r="D25" s="5" t="s">
        <v>1206</v>
      </c>
      <c r="E25" s="5" t="s">
        <v>1207</v>
      </c>
      <c r="G25" s="6" t="str">
        <f>IFERROR(__xludf.DUMMYFUNCTION("GOOGLETRANSLATE(A25, ""en"", ""fr"")"),"24")</f>
        <v>24</v>
      </c>
      <c r="H25" s="6" t="str">
        <f>IFERROR(__xludf.DUMMYFUNCTION("GOOGLETRANSLATE(B25, ""en"", ""fr"")"),"Comment s'appelle le système de notation utilisé au Jai Alai professionnel aux États-Unis, conçu pour les paris ?")</f>
        <v>Comment s'appelle le système de notation utilisé au Jai Alai professionnel aux États-Unis, conçu pour les paris ?</v>
      </c>
      <c r="I25" s="6" t="str">
        <f>IFERROR(__xludf.DUMMYFUNCTION("GOOGLETRANSLATE(C25, ""en"", ""fr"")"),"A) Le système Round Robin, B) Le système américain, C) Le système Quiniela, D) Le système du spectateur")</f>
        <v>A) Le système Round Robin, B) Le système américain, C) Le système Quiniela, D) Le système du spectateur</v>
      </c>
      <c r="J25" s="6" t="str">
        <f>IFERROR(__xludf.DUMMYFUNCTION("GOOGLETRANSLATE(D25, ""en"", ""fr"")"),"C) La Quiniela")</f>
        <v>C) La Quiniela</v>
      </c>
      <c r="K25" s="6" t="str">
        <f>IFERROR(__xludf.DUMMYFUNCTION("GOOGLETRANSLATE(E25, ""en"", ""fr"")"),"La quiniela est un système de rotation rapide où 8 équipes ou joueurs s'affrontent, et les spectateurs parient sur les deux qui termineront premier et deuxième.")</f>
        <v>La quiniela est un système de rotation rapide où 8 équipes ou joueurs s'affrontent, et les spectateurs parient sur les deux qui termineront premier et deuxième.</v>
      </c>
    </row>
    <row r="26" ht="22.5" customHeight="1">
      <c r="A26" s="4">
        <v>25.0</v>
      </c>
      <c r="B26" s="5" t="s">
        <v>1208</v>
      </c>
      <c r="C26" s="5" t="s">
        <v>1209</v>
      </c>
      <c r="D26" s="5" t="s">
        <v>1210</v>
      </c>
      <c r="E26" s="5" t="s">
        <v>1211</v>
      </c>
      <c r="G26" s="6" t="str">
        <f>IFERROR(__xludf.DUMMYFUNCTION("GOOGLETRANSLATE(A26, ""en"", ""fr"")"),"25")</f>
        <v>25</v>
      </c>
      <c r="H26" s="6" t="str">
        <f>IFERROR(__xludf.DUMMYFUNCTION("GOOGLETRANSLATE(B26, ""en"", ""fr"")"),"Quel est le rôle du canchero ?")</f>
        <v>Quel est le rôle du canchero ?</v>
      </c>
      <c r="I26" s="6" t="str">
        <f>IFERROR(__xludf.DUMMYFUNCTION("GOOGLETRANSLATE(C26, ""en"", ""fr"")"),"A) L'arbitre, B) Un joueur professionnel, C) Le responsable du court ou le juge assis derrière un écran, D) La personne qui lance les balles")</f>
        <v>A) L'arbitre, B) Un joueur professionnel, C) Le responsable du court ou le juge assis derrière un écran, D) La personne qui lance les balles</v>
      </c>
      <c r="J26" s="6" t="str">
        <f>IFERROR(__xludf.DUMMYFUNCTION("GOOGLETRANSLATE(D26, ""en"", ""fr"")"),"C) Le greffier ou le juge qui siège derrière un écran")</f>
        <v>C) Le greffier ou le juge qui siège derrière un écran</v>
      </c>
      <c r="K26" s="6" t="str">
        <f>IFERROR(__xludf.DUMMYFUNCTION("GOOGLETRANSLATE(E26, ""en"", ""fr"")"),"Le canchero est le juge du tribunal, protégé par un écran, qui prend les décisions officielles concernant les points et les fautes.")</f>
        <v>Le canchero est le juge du tribunal, protégé par un écran, qui prend les décisions officielles concernant les points et les fautes.</v>
      </c>
    </row>
    <row r="27" ht="22.5" customHeight="1">
      <c r="A27" s="4">
        <v>26.0</v>
      </c>
      <c r="B27" s="5" t="s">
        <v>1212</v>
      </c>
      <c r="C27" s="5" t="s">
        <v>1213</v>
      </c>
      <c r="D27" s="5" t="s">
        <v>1214</v>
      </c>
      <c r="E27" s="5" t="s">
        <v>1215</v>
      </c>
      <c r="G27" s="6" t="str">
        <f>IFERROR(__xludf.DUMMYFUNCTION("GOOGLETRANSLATE(A27, ""en"", ""fr"")"),"26")</f>
        <v>26</v>
      </c>
      <c r="H27" s="6" t="str">
        <f>IFERROR(__xludf.DUMMYFUNCTION("GOOGLETRANSLATE(B27, ""en"", ""fr"")"),"Quel est le nom du mode de jeu qui se pratique avec une balle en caoutchouc solide et une courte raquette en bois (pala) ?")</f>
        <v>Quel est le nom du mode de jeu qui se pratique avec une balle en caoutchouc solide et une courte raquette en bois (pala) ?</v>
      </c>
      <c r="I27" s="6" t="str">
        <f>IFERROR(__xludf.DUMMYFUNCTION("GOOGLETRANSLATE(C27, ""en"", ""fr"")"),"A) Main Nue, B) Cesta Punta, C) Paleta Goma, D) Xare")</f>
        <v>A) Main Nue, B) Cesta Punta, C) Paleta Goma, D) Xare</v>
      </c>
      <c r="J27" s="6" t="str">
        <f>IFERROR(__xludf.DUMMYFUNCTION("GOOGLETRANSLATE(D27, ""en"", ""fr"")"),"C) Paleta Goma")</f>
        <v>C) Paleta Goma</v>
      </c>
      <c r="K27" s="6" t="str">
        <f>IFERROR(__xludf.DUMMYFUNCTION("GOOGLETRANSLATE(E27, ""en"", ""fr"")"),"La Paleta Goma (pagaie en caoutchouc) est une version amateur extrêmement populaire de ce sport, notamment en Argentine.")</f>
        <v>La Paleta Goma (pagaie en caoutchouc) est une version amateur extrêmement populaire de ce sport, notamment en Argentine.</v>
      </c>
    </row>
    <row r="28" ht="22.5" customHeight="1">
      <c r="A28" s="4">
        <v>27.0</v>
      </c>
      <c r="B28" s="5" t="s">
        <v>1216</v>
      </c>
      <c r="C28" s="5" t="s">
        <v>1217</v>
      </c>
      <c r="D28" s="5" t="s">
        <v>1218</v>
      </c>
      <c r="E28" s="5" t="s">
        <v>1219</v>
      </c>
      <c r="G28" s="6" t="str">
        <f>IFERROR(__xludf.DUMMYFUNCTION("GOOGLETRANSLATE(A28, ""en"", ""fr"")"),"27")</f>
        <v>27</v>
      </c>
      <c r="H28" s="6" t="str">
        <f>IFERROR(__xludf.DUMMYFUNCTION("GOOGLETRANSLATE(B28, ""en"", ""fr"")"),"Quel événement a marqué un tournant dans le déclin du jeu de paume, ancêtre de la pelota ?")</f>
        <v>Quel événement a marqué un tournant dans le déclin du jeu de paume, ancêtre de la pelota ?</v>
      </c>
      <c r="I28" s="6" t="str">
        <f>IFERROR(__xludf.DUMMYFUNCTION("GOOGLETRANSLATE(C28, ""en"", ""fr"")"),"A) La peste noire, B) L'invention de l'imprimerie, C) La Révolution française, D) La guerre de Cent Ans")</f>
        <v>A) La peste noire, B) L'invention de l'imprimerie, C) La Révolution française, D) La guerre de Cent Ans</v>
      </c>
      <c r="J28" s="6" t="str">
        <f>IFERROR(__xludf.DUMMYFUNCTION("GOOGLETRANSLATE(D28, ""en"", ""fr"")"),"C) La Révolution française")</f>
        <v>C) La Révolution française</v>
      </c>
      <c r="K28" s="6" t="str">
        <f>IFERROR(__xludf.DUMMYFUNCTION("GOOGLETRANSLATE(E28, ""en"", ""fr"")"),"La révolution a entraîné le déclin de l'aristocratie, qui était la principale mécène des coûteux courts de jeu de paume couverts, forçant ainsi le jeu à se déplacer dans les espaces publics.")</f>
        <v>La révolution a entraîné le déclin de l'aristocratie, qui était la principale mécène des coûteux courts de jeu de paume couverts, forçant ainsi le jeu à se déplacer dans les espaces publics.</v>
      </c>
    </row>
    <row r="29" ht="22.5" customHeight="1">
      <c r="A29" s="4">
        <v>28.0</v>
      </c>
      <c r="B29" s="5" t="s">
        <v>1220</v>
      </c>
      <c r="C29" s="5" t="s">
        <v>1221</v>
      </c>
      <c r="D29" s="5" t="s">
        <v>1222</v>
      </c>
      <c r="E29" s="5" t="s">
        <v>1223</v>
      </c>
      <c r="G29" s="6" t="str">
        <f>IFERROR(__xludf.DUMMYFUNCTION("GOOGLETRANSLATE(A29, ""en"", ""fr"")"),"28")</f>
        <v>28</v>
      </c>
      <c r="H29" s="6" t="str">
        <f>IFERROR(__xludf.DUMMYFUNCTION("GOOGLETRANSLATE(B29, ""en"", ""fr"")"),"Comment s'appelle le mur de jeu frontal sur un terrain de pelote basque ?")</f>
        <v>Comment s'appelle le mur de jeu frontal sur un terrain de pelote basque ?</v>
      </c>
      <c r="I29" s="6" t="str">
        <f>IFERROR(__xludf.DUMMYFUNCTION("GOOGLETRANSLATE(C29, ""en"", ""fr"")"),"A) Le frontis, B) Le pared, C) Le rebote, D) Le cancha")</f>
        <v>A) Le frontis, B) Le pared, C) Le rebote, D) Le cancha</v>
      </c>
      <c r="J29" s="6" t="str">
        <f>IFERROR(__xludf.DUMMYFUNCTION("GOOGLETRANSLATE(D29, ""en"", ""fr"")"),"A) Le frontis")</f>
        <v>A) Le frontis</v>
      </c>
      <c r="K29" s="6" t="str">
        <f>IFERROR(__xludf.DUMMYFUNCTION("GOOGLETRANSLATE(E29, ""en"", ""fr"")"),"Le frontis est le mur principal, situé à l'avant, contre lequel la balle doit être frappée à chaque tir.")</f>
        <v>Le frontis est le mur principal, situé à l'avant, contre lequel la balle doit être frappée à chaque tir.</v>
      </c>
    </row>
    <row r="30" ht="22.5" customHeight="1">
      <c r="A30" s="4">
        <v>29.0</v>
      </c>
      <c r="B30" s="5" t="s">
        <v>1224</v>
      </c>
      <c r="C30" s="5" t="s">
        <v>1225</v>
      </c>
      <c r="D30" s="5" t="s">
        <v>1226</v>
      </c>
      <c r="E30" s="5" t="s">
        <v>1227</v>
      </c>
      <c r="G30" s="6" t="str">
        <f>IFERROR(__xludf.DUMMYFUNCTION("GOOGLETRANSLATE(A30, ""en"", ""fr"")"),"29")</f>
        <v>29</v>
      </c>
      <c r="H30" s="6" t="str">
        <f>IFERROR(__xludf.DUMMYFUNCTION("GOOGLETRANSLATE(B30, ""en"", ""fr"")"),"En plus du mur frontal, combien d'autres murs de jeu possède un fronton standard ?")</f>
        <v>En plus du mur frontal, combien d'autres murs de jeu possède un fronton standard ?</v>
      </c>
      <c r="I30" s="6" t="str">
        <f>IFERROR(__xludf.DUMMYFUNCTION("GOOGLETRANSLATE(C30, ""en"", ""fr"")"),"A) Aucun, B) Un (un mur de gauche), C) Deux (un mur de gauche et un mur du fond), D) Trois (un mur de gauche, un mur du fond et un mur de droite)")</f>
        <v>A) Aucun, B) Un (un mur de gauche), C) Deux (un mur de gauche et un mur du fond), D) Trois (un mur de gauche, un mur du fond et un mur de droite)</v>
      </c>
      <c r="J30" s="6" t="str">
        <f>IFERROR(__xludf.DUMMYFUNCTION("GOOGLETRANSLATE(D30, ""en"", ""fr"")"),"B) Un (un mur de gauche)")</f>
        <v>B) Un (un mur de gauche)</v>
      </c>
      <c r="K30" s="6" t="str">
        <f>IFERROR(__xludf.DUMMYFUNCTION("GOOGLETRANSLATE(E30, ""en"", ""fr"")"),"Le type de terrain le plus courant, le « fronton avec mur gauche », est un terrain à ciel ouvert avec un mur frontal et un long mur latéral.")</f>
        <v>Le type de terrain le plus courant, le « fronton avec mur gauche », est un terrain à ciel ouvert avec un mur frontal et un long mur latéral.</v>
      </c>
    </row>
    <row r="31" ht="22.5" customHeight="1">
      <c r="A31" s="4">
        <v>30.0</v>
      </c>
      <c r="B31" s="5" t="s">
        <v>1228</v>
      </c>
      <c r="C31" s="5" t="s">
        <v>1229</v>
      </c>
      <c r="D31" s="5" t="s">
        <v>1230</v>
      </c>
      <c r="E31" s="5" t="s">
        <v>1231</v>
      </c>
      <c r="G31" s="6" t="str">
        <f>IFERROR(__xludf.DUMMYFUNCTION("GOOGLETRANSLATE(A31, ""en"", ""fr"")"),"30")</f>
        <v>30</v>
      </c>
      <c r="H31" s="6" t="str">
        <f>IFERROR(__xludf.DUMMYFUNCTION("GOOGLETRANSLATE(B31, ""en"", ""fr"")"),"La Fédération Internationale de Pelota Basque (FIPV) a été fondée en quelle année ?")</f>
        <v>La Fédération Internationale de Pelota Basque (FIPV) a été fondée en quelle année ?</v>
      </c>
      <c r="I31" s="6" t="str">
        <f>IFERROR(__xludf.DUMMYFUNCTION("GOOGLETRANSLATE(C31, ""en"", ""fr"")"),"A) 1900, B) 1929, C) 1945, D) 1958")</f>
        <v>A) 1900, B) 1929, C) 1945, D) 1958</v>
      </c>
      <c r="J31" s="6" t="str">
        <f>IFERROR(__xludf.DUMMYFUNCTION("GOOGLETRANSLATE(D31, ""en"", ""fr"")"),"B) 1929")</f>
        <v>B) 1929</v>
      </c>
      <c r="K31" s="6" t="str">
        <f>IFERROR(__xludf.DUMMYFUNCTION("GOOGLETRANSLATE(E31, ""en"", ""fr"")"),"La FIPV a été créée pour standardiser les règles des différentes disciplines et pour organiser les premiers championnats du monde.")</f>
        <v>La FIPV a été créée pour standardiser les règles des différentes disciplines et pour organiser les premiers championnats du monde.</v>
      </c>
    </row>
    <row r="32" ht="22.5" customHeight="1">
      <c r="A32" s="4">
        <v>31.0</v>
      </c>
      <c r="B32" s="5" t="s">
        <v>1232</v>
      </c>
      <c r="C32" s="5" t="s">
        <v>1233</v>
      </c>
      <c r="D32" s="5" t="s">
        <v>1234</v>
      </c>
      <c r="E32" s="5" t="s">
        <v>1235</v>
      </c>
      <c r="G32" s="6" t="str">
        <f>IFERROR(__xludf.DUMMYFUNCTION("GOOGLETRANSLATE(A32, ""en"", ""fr"")"),"31")</f>
        <v>31</v>
      </c>
      <c r="H32" s="6" t="str">
        <f>IFERROR(__xludf.DUMMYFUNCTION("GOOGLETRANSLATE(B32, ""en"", ""fr"")"),"Dans quel pays trouve-t-on la variante de pelote connue sous le nom de Xare ou « raquette argentine » ?")</f>
        <v>Dans quel pays trouve-t-on la variante de pelote connue sous le nom de Xare ou « raquette argentine » ?</v>
      </c>
      <c r="I32" s="6" t="str">
        <f>IFERROR(__xludf.DUMMYFUNCTION("GOOGLETRANSLATE(C32, ""en"", ""fr"")"),"A) Argentine, B) Espagne, C) France, D) Mexique")</f>
        <v>A) Argentine, B) Espagne, C) France, D) Mexique</v>
      </c>
      <c r="J32" s="6" t="str">
        <f>IFERROR(__xludf.DUMMYFUNCTION("GOOGLETRANSLATE(D32, ""en"", ""fr"")"),"A) Argentine")</f>
        <v>A) Argentine</v>
      </c>
      <c r="K32" s="6" t="str">
        <f>IFERROR(__xludf.DUMMYFUNCTION("GOOGLETRANSLATE(E32, ""en"", ""fr"")"),"Le xare est une modalité unique qui se joue avec une raquette souple à cordes, et elle est surtout populaire en Argentine et en France.")</f>
        <v>Le xare est une modalité unique qui se joue avec une raquette souple à cordes, et elle est surtout populaire en Argentine et en France.</v>
      </c>
    </row>
    <row r="33" ht="22.5" customHeight="1">
      <c r="A33" s="4">
        <v>32.0</v>
      </c>
      <c r="B33" s="5" t="s">
        <v>1236</v>
      </c>
      <c r="C33" s="5" t="s">
        <v>1237</v>
      </c>
      <c r="D33" s="5" t="s">
        <v>1238</v>
      </c>
      <c r="E33" s="5" t="s">
        <v>1239</v>
      </c>
      <c r="G33" s="6" t="str">
        <f>IFERROR(__xludf.DUMMYFUNCTION("GOOGLETRANSLATE(A33, ""en"", ""fr"")"),"32")</f>
        <v>32</v>
      </c>
      <c r="H33" s="6" t="str">
        <f>IFERROR(__xludf.DUMMYFUNCTION("GOOGLETRANSLATE(B33, ""en"", ""fr"")"),"Qu'est-ce qu'un « pelotari » ?")</f>
        <v>Qu'est-ce qu'un « pelotari » ?</v>
      </c>
      <c r="I33" s="6" t="str">
        <f>IFERROR(__xludf.DUMMYFUNCTION("GOOGLETRANSLATE(C33, ""en"", ""fr"")"),"A) La balle, B) Le terrain, C) Un joueur de pelote basque, D) La raquette")</f>
        <v>A) La balle, B) Le terrain, C) Un joueur de pelote basque, D) La raquette</v>
      </c>
      <c r="J33" s="6" t="str">
        <f>IFERROR(__xludf.DUMMYFUNCTION("GOOGLETRANSLATE(D33, ""en"", ""fr"")"),"C) Un joueur de pelote basque")</f>
        <v>C) Un joueur de pelote basque</v>
      </c>
      <c r="K33" s="6" t="str">
        <f>IFERROR(__xludf.DUMMYFUNCTION("GOOGLETRANSLATE(E33, ""en"", ""fr"")"),"Le terme « pelotari » désigne de manière générale toute personne qui pratique une forme quelconque de ce jeu.")</f>
        <v>Le terme « pelotari » désigne de manière générale toute personne qui pratique une forme quelconque de ce jeu.</v>
      </c>
    </row>
    <row r="34" ht="22.5" customHeight="1">
      <c r="A34" s="4">
        <v>33.0</v>
      </c>
      <c r="B34" s="5" t="s">
        <v>1240</v>
      </c>
      <c r="C34" s="5" t="s">
        <v>1241</v>
      </c>
      <c r="D34" s="5" t="s">
        <v>1242</v>
      </c>
      <c r="E34" s="5" t="s">
        <v>1243</v>
      </c>
      <c r="G34" s="6" t="str">
        <f>IFERROR(__xludf.DUMMYFUNCTION("GOOGLETRANSLATE(A34, ""en"", ""fr"")"),"33")</f>
        <v>33</v>
      </c>
      <c r="H34" s="6" t="str">
        <f>IFERROR(__xludf.DUMMYFUNCTION("GOOGLETRANSLATE(B34, ""en"", ""fr"")"),"Les premiers championnats du monde de pelote basque ont eu lieu en 1952 dans quelle célèbre ville basque ?")</f>
        <v>Les premiers championnats du monde de pelote basque ont eu lieu en 1952 dans quelle célèbre ville basque ?</v>
      </c>
      <c r="I34" s="6" t="str">
        <f>IFERROR(__xludf.DUMMYFUNCTION("GOOGLETRANSLATE(C34, ""en"", ""fr"")"),"A) Bilbao, B) Biarritz, C) Saint-Sébastien, D) Pampelune")</f>
        <v>A) Bilbao, B) Biarritz, C) Saint-Sébastien, D) Pampelune</v>
      </c>
      <c r="J34" s="6" t="str">
        <f>IFERROR(__xludf.DUMMYFUNCTION("GOOGLETRANSLATE(D34, ""en"", ""fr"")"),"C) Saint-Sébastien")</f>
        <v>C) Saint-Sébastien</v>
      </c>
      <c r="K34" s="6" t="str">
        <f>IFERROR(__xludf.DUMMYFUNCTION("GOOGLETRANSLATE(E34, ""en"", ""fr"")"),"La ville historique de Saint-Sébastien (Donostia) en Espagne a accueilli les premiers Championnats du monde de la FIPV.")</f>
        <v>La ville historique de Saint-Sébastien (Donostia) en Espagne a accueilli les premiers Championnats du monde de la FIPV.</v>
      </c>
    </row>
    <row r="35" ht="22.5" customHeight="1">
      <c r="A35" s="4">
        <v>34.0</v>
      </c>
      <c r="B35" s="5" t="s">
        <v>1244</v>
      </c>
      <c r="C35" s="5" t="s">
        <v>1245</v>
      </c>
      <c r="D35" s="5" t="s">
        <v>1246</v>
      </c>
      <c r="E35" s="5" t="s">
        <v>1247</v>
      </c>
      <c r="G35" s="6" t="str">
        <f>IFERROR(__xludf.DUMMYFUNCTION("GOOGLETRANSLATE(A35, ""en"", ""fr"")"),"34")</f>
        <v>34</v>
      </c>
      <c r="H35" s="6" t="str">
        <f>IFERROR(__xludf.DUMMYFUNCTION("GOOGLETRANSLATE(B35, ""en"", ""fr"")"),"Pourquoi la participation de Pelota aux Jeux olympiques de Paris de 1900 était-elle officieuse ?")</f>
        <v>Pourquoi la participation de Pelota aux Jeux olympiques de Paris de 1900 était-elle officieuse ?</v>
      </c>
      <c r="I35" s="6" t="str">
        <f>IFERROR(__xludf.DUMMYFUNCTION("GOOGLETRANSLATE(C35, ""en"", ""fr"")"),"A) Les règles n'étaient pas prêtes, B) Seules deux équipes (France et Espagne) ont participé, C) Le temps était mauvais, D) C'était trop dangereux")</f>
        <v>A) Les règles n'étaient pas prêtes, B) Seules deux équipes (France et Espagne) ont participé, C) Le temps était mauvais, D) C'était trop dangereux</v>
      </c>
      <c r="J35" s="6" t="str">
        <f>IFERROR(__xludf.DUMMYFUNCTION("GOOGLETRANSLATE(D35, ""en"", ""fr"")"),"B) Seules deux équipes (France et Espagne) ont participé")</f>
        <v>B) Seules deux équipes (France et Espagne) ont participé</v>
      </c>
      <c r="K35" s="6" t="str">
        <f>IFERROR(__xludf.DUMMYFUNCTION("GOOGLETRANSLATE(E35, ""en"", ""fr"")"),"En raison du manque de participation internationale, l'événement n'a pas été pris en compte pour l'attribution de médailles officielles.")</f>
        <v>En raison du manque de participation internationale, l'événement n'a pas été pris en compte pour l'attribution de médailles officielles.</v>
      </c>
    </row>
    <row r="36" ht="22.5" customHeight="1">
      <c r="A36" s="4">
        <v>35.0</v>
      </c>
      <c r="B36" s="5" t="s">
        <v>1248</v>
      </c>
      <c r="C36" s="5" t="s">
        <v>1249</v>
      </c>
      <c r="D36" s="5" t="s">
        <v>167</v>
      </c>
      <c r="E36" s="5" t="s">
        <v>1250</v>
      </c>
      <c r="G36" s="6" t="str">
        <f>IFERROR(__xludf.DUMMYFUNCTION("GOOGLETRANSLATE(A36, ""en"", ""fr"")"),"35")</f>
        <v>35</v>
      </c>
      <c r="H36" s="6" t="str">
        <f>IFERROR(__xludf.DUMMYFUNCTION("GOOGLETRANSLATE(B36, ""en"", ""fr"")"),"La vitesse de la balle au Jai Alai lui a valu quel surnom ?")</f>
        <v>La vitesse de la balle au Jai Alai lui a valu quel surnom ?</v>
      </c>
      <c r="I36" s="6" t="str">
        <f>IFERROR(__xludf.DUMMYFUNCTION("GOOGLETRANSLATE(C36, ""en"", ""fr"")"),"A) « Le sport le plus rapide au monde », B) « Le jeu aux mille sensations », C) « Le ballet des balles », D) Toutes les réponses ci-dessus")</f>
        <v>A) « Le sport le plus rapide au monde », B) « Le jeu aux mille sensations », C) « Le ballet des balles », D) Toutes les réponses ci-dessus</v>
      </c>
      <c r="J36" s="6" t="str">
        <f>IFERROR(__xludf.DUMMYFUNCTION("GOOGLETRANSLATE(D36, ""en"", ""fr"")"),"D) Toutes les réponses ci-dessus")</f>
        <v>D) Toutes les réponses ci-dessus</v>
      </c>
      <c r="K36" s="6" t="str">
        <f>IFERROR(__xludf.DUMMYFUNCTION("GOOGLETRANSLATE(E36, ""en"", ""fr"")"),"La pelote basque est réputée pour son incroyable vitesse et son niveau de risque, ce qui lui a valu de nombreux surnoms spectaculaires au fil des ans.")</f>
        <v>La pelote basque est réputée pour son incroyable vitesse et son niveau de risque, ce qui lui a valu de nombreux surnoms spectaculaires au fil des ans.</v>
      </c>
    </row>
    <row r="37" ht="22.5" customHeight="1">
      <c r="A37" s="4">
        <v>36.0</v>
      </c>
      <c r="B37" s="5" t="s">
        <v>1251</v>
      </c>
      <c r="C37" s="5" t="s">
        <v>1252</v>
      </c>
      <c r="D37" s="5" t="s">
        <v>1253</v>
      </c>
      <c r="E37" s="5" t="s">
        <v>1254</v>
      </c>
      <c r="G37" s="6" t="str">
        <f>IFERROR(__xludf.DUMMYFUNCTION("GOOGLETRANSLATE(A37, ""en"", ""fr"")"),"36")</f>
        <v>36</v>
      </c>
      <c r="H37" s="6" t="str">
        <f>IFERROR(__xludf.DUMMYFUNCTION("GOOGLETRANSLATE(B37, ""en"", ""fr"")"),"Quel est le terme désignant le service au Jai Alai ?")</f>
        <v>Quel est le terme désignant le service au Jai Alai ?</v>
      </c>
      <c r="I37" s="6" t="str">
        <f>IFERROR(__xludf.DUMMYFUNCTION("GOOGLETRANSLATE(C37, ""en"", ""fr"")"),"A) Le lancer, B) Le lancement, C) Le service, D) Le déploiement")</f>
        <v>A) Le lancer, B) Le lancement, C) Le service, D) Le déploiement</v>
      </c>
      <c r="J37" s="6" t="str">
        <f>IFERROR(__xludf.DUMMYFUNCTION("GOOGLETRANSLATE(D37, ""en"", ""fr"")"),"C) Le service")</f>
        <v>C) Le service</v>
      </c>
      <c r="K37" s="6" t="str">
        <f>IFERROR(__xludf.DUMMYFUNCTION("GOOGLETRANSLATE(E37, ""en"", ""fr"")"),"Comme au tennis, le service est l'action qui lance le point ; le joueur doit faire rebondir la balle puis la projeter contre le mur frontal.")</f>
        <v>Comme au tennis, le service est l'action qui lance le point ; le joueur doit faire rebondir la balle puis la projeter contre le mur frontal.</v>
      </c>
    </row>
    <row r="38" ht="22.5" customHeight="1">
      <c r="A38" s="4">
        <v>37.0</v>
      </c>
      <c r="B38" s="5" t="s">
        <v>1255</v>
      </c>
      <c r="C38" s="5" t="s">
        <v>1256</v>
      </c>
      <c r="D38" s="5" t="s">
        <v>1257</v>
      </c>
      <c r="E38" s="5" t="s">
        <v>1258</v>
      </c>
      <c r="G38" s="6" t="str">
        <f>IFERROR(__xludf.DUMMYFUNCTION("GOOGLETRANSLATE(A38, ""en"", ""fr"")"),"37")</f>
        <v>37</v>
      </c>
      <c r="H38" s="6" t="str">
        <f>IFERROR(__xludf.DUMMYFUNCTION("GOOGLETRANSLATE(B38, ""en"", ""fr"")"),"Un joueur attrape la balle dans sa chistera mais la garde trop longtemps avant de la lancer. Quelle est la règle ?")</f>
        <v>Un joueur attrape la balle dans sa chistera mais la garde trop longtemps avant de la lancer. Quelle est la règle ?</v>
      </c>
      <c r="I38" s="6" t="str">
        <f>IFERROR(__xludf.DUMMYFUNCTION("GOOGLETRANSLATE(C38, ""en"", ""fr"")"),"A) Ce coup est légal. B) C'est une faute pour avoir retenu la balle. C) Le joueur est averti. D) Le point est rejoué.")</f>
        <v>A) Ce coup est légal. B) C'est une faute pour avoir retenu la balle. C) Le joueur est averti. D) Le point est rejoué.</v>
      </c>
      <c r="J38" s="6" t="str">
        <f>IFERROR(__xludf.DUMMYFUNCTION("GOOGLETRANSLATE(D38, ""en"", ""fr"")"),"B) C'est une faute de retenir ou de « conserver » la balle")</f>
        <v>B) C'est une faute de retenir ou de « conserver » la balle</v>
      </c>
      <c r="K38" s="6" t="str">
        <f>IFERROR(__xludf.DUMMYFUNCTION("GOOGLETRANSLATE(E38, ""en"", ""fr"")"),"Le règlement exige que la balle soit attrapée et lancée d'un seul mouvement fluide et continu. La retenir est considéré comme une « récupération » illégale.")</f>
        <v>Le règlement exige que la balle soit attrapée et lancée d'un seul mouvement fluide et continu. La retenir est considéré comme une « récupération » illégale.</v>
      </c>
    </row>
    <row r="39" ht="22.5" customHeight="1">
      <c r="A39" s="4">
        <v>38.0</v>
      </c>
      <c r="B39" s="5" t="s">
        <v>1259</v>
      </c>
      <c r="C39" s="5" t="s">
        <v>1260</v>
      </c>
      <c r="D39" s="5" t="s">
        <v>1261</v>
      </c>
      <c r="E39" s="5" t="s">
        <v>1262</v>
      </c>
      <c r="G39" s="6" t="str">
        <f>IFERROR(__xludf.DUMMYFUNCTION("GOOGLETRANSLATE(A39, ""en"", ""fr"")"),"38")</f>
        <v>38</v>
      </c>
      <c r="H39" s="6" t="str">
        <f>IFERROR(__xludf.DUMMYFUNCTION("GOOGLETRANSLATE(B39, ""en"", ""fr"")"),"Quelle est la principale raison du déclin du jai alai professionnel aux Philippines ?")</f>
        <v>Quelle est la principale raison du déclin du jai alai professionnel aux Philippines ?</v>
      </c>
      <c r="I39" s="6" t="str">
        <f>IFERROR(__xludf.DUMMYFUNCTION("GOOGLETRANSLATE(C39, ""en"", ""fr"")"),"A) Un manque de joueurs qualifiés, B) L'essor du basketball comme sport national, C) Une interdiction gouvernementale du sport, D) La destruction du terrain")</f>
        <v>A) Un manque de joueurs qualifiés, B) L'essor du basketball comme sport national, C) Une interdiction gouvernementale du sport, D) La destruction du terrain</v>
      </c>
      <c r="J39" s="6" t="str">
        <f>IFERROR(__xludf.DUMMYFUNCTION("GOOGLETRANSLATE(D39, ""en"", ""fr"")"),"B) L'essor du basketball comme sport national")</f>
        <v>B) L'essor du basketball comme sport national</v>
      </c>
      <c r="K39" s="6" t="str">
        <f>IFERROR(__xludf.DUMMYFUNCTION("GOOGLETRANSLATE(E39, ""en"", ""fr"")"),"Bien que populaire pendant des décennies, la popularité de la pelote basque a finalement été éclipsée par l'immense passion nationale pour le basketball.")</f>
        <v>Bien que populaire pendant des décennies, la popularité de la pelote basque a finalement été éclipsée par l'immense passion nationale pour le basketball.</v>
      </c>
    </row>
    <row r="40" ht="22.5" customHeight="1">
      <c r="A40" s="4">
        <v>39.0</v>
      </c>
      <c r="B40" s="5" t="s">
        <v>1263</v>
      </c>
      <c r="C40" s="5" t="s">
        <v>1264</v>
      </c>
      <c r="D40" s="5" t="s">
        <v>1265</v>
      </c>
      <c r="E40" s="5" t="s">
        <v>1266</v>
      </c>
      <c r="G40" s="6" t="str">
        <f>IFERROR(__xludf.DUMMYFUNCTION("GOOGLETRANSLATE(A40, ""en"", ""fr"")"),"39")</f>
        <v>39</v>
      </c>
      <c r="H40" s="6" t="str">
        <f>IFERROR(__xludf.DUMMYFUNCTION("GOOGLETRANSLATE(B40, ""en"", ""fr"")"),"Quel peloton espagnol légendaire est considéré comme l'un des plus grands de tous les temps, surnommé « Le Cyclone de Lekeitio » ?")</f>
        <v>Quel peloton espagnol légendaire est considéré comme l'un des plus grands de tous les temps, surnommé « Le Cyclone de Lekeitio » ?</v>
      </c>
      <c r="I40" s="6" t="str">
        <f>IFERROR(__xludf.DUMMYFUNCTION("GOOGLETRANSLATE(C40, ""en"", ""fr"")"),"A) Atano III, B) Retegi II, C) José de Amézola, D) Indalecio Sarasqueta")</f>
        <v>A) Atano III, B) Retegi II, C) José de Amézola, D) Indalecio Sarasqueta</v>
      </c>
      <c r="J40" s="6" t="str">
        <f>IFERROR(__xludf.DUMMYFUNCTION("GOOGLETRANSLATE(D40, ""en"", ""fr"")"),"D) Indalecio Sarasqueta")</f>
        <v>D) Indalecio Sarasqueta</v>
      </c>
      <c r="K40" s="6" t="str">
        <f>IFERROR(__xludf.DUMMYFUNCTION("GOOGLETRANSLATE(E40, ""en"", ""fr"")"),"Sarasqueta fut un joueur dominant de la fin du XIXe siècle qui contribua à populariser ce sport en Espagne et en Amérique latine.")</f>
        <v>Sarasqueta fut un joueur dominant de la fin du XIXe siècle qui contribua à populariser ce sport en Espagne et en Amérique latine.</v>
      </c>
    </row>
    <row r="41" ht="22.5" customHeight="1">
      <c r="A41" s="4">
        <v>40.0</v>
      </c>
      <c r="B41" s="5" t="s">
        <v>1267</v>
      </c>
      <c r="C41" s="5" t="s">
        <v>1268</v>
      </c>
      <c r="D41" s="5" t="s">
        <v>1269</v>
      </c>
      <c r="E41" s="5" t="s">
        <v>1270</v>
      </c>
      <c r="G41" s="6" t="str">
        <f>IFERROR(__xludf.DUMMYFUNCTION("GOOGLETRANSLATE(A41, ""en"", ""fr"")"),"40")</f>
        <v>40</v>
      </c>
      <c r="H41" s="6" t="str">
        <f>IFERROR(__xludf.DUMMYFUNCTION("GOOGLETRANSLATE(B41, ""en"", ""fr"")"),"Quel est le rôle de la couleur rouge sur le terrain (cancha) ?")</f>
        <v>Quel est le rôle de la couleur rouge sur le terrain (cancha) ?</v>
      </c>
      <c r="I41" s="6" t="str">
        <f>IFERROR(__xludf.DUMMYFUNCTION("GOOGLETRANSLATE(C41, ""en"", ""fr"")"),"A) Il est purement décoratif, B) Il marque la zone hors limites, C) Il marque les lignes de service et les zones de défaut, D) Il indique le côté de l'équipe à domicile")</f>
        <v>A) Il est purement décoratif, B) Il marque la zone hors limites, C) Il marque les lignes de service et les zones de défaut, D) Il indique le côté de l'équipe à domicile</v>
      </c>
      <c r="J41" s="6" t="str">
        <f>IFERROR(__xludf.DUMMYFUNCTION("GOOGLETRANSLATE(D41, ""en"", ""fr"")"),"C) Il marque les lignes de service et les zones de défaut")</f>
        <v>C) Il marque les lignes de service et les zones de défaut</v>
      </c>
      <c r="K41" s="6" t="str">
        <f>IFERROR(__xludf.DUMMYFUNCTION("GOOGLETRANSLATE(E41, ""en"", ""fr"")"),"Le court comporte des lignes rouges et des zones spécifiques qui déterminent si un service est légal ou si une balle est en jeu.")</f>
        <v>Le court comporte des lignes rouges et des zones spécifiques qui déterminent si un service est légal ou si une balle est en jeu.</v>
      </c>
    </row>
    <row r="42" ht="22.5" customHeight="1">
      <c r="A42" s="4">
        <v>41.0</v>
      </c>
      <c r="B42" s="5" t="s">
        <v>1271</v>
      </c>
      <c r="C42" s="5" t="s">
        <v>1272</v>
      </c>
      <c r="D42" s="5" t="s">
        <v>1273</v>
      </c>
      <c r="E42" s="5" t="s">
        <v>1274</v>
      </c>
      <c r="G42" s="6" t="str">
        <f>IFERROR(__xludf.DUMMYFUNCTION("GOOGLETRANSLATE(A42, ""en"", ""fr"")"),"41")</f>
        <v>41</v>
      </c>
      <c r="H42" s="6" t="str">
        <f>IFERROR(__xludf.DUMMYFUNCTION("GOOGLETRANSLATE(B42, ""en"", ""fr"")"),"Les premières compétitions officielles de pelote basque ont été organisées dans les années 1920. Quelle en était la principale motivation ?")</f>
        <v>Les premières compétitions officielles de pelote basque ont été organisées dans les années 1920. Quelle en était la principale motivation ?</v>
      </c>
      <c r="I42" s="6" t="str">
        <f>IFERROR(__xludf.DUMMYFUNCTION("GOOGLETRANSLATE(C42, ""en"", ""fr"")"),"A) Préparer le sport à son inclusion aux Jeux olympiques, B) Gagner de l'argent grâce aux paris, C) Régler les conflits entre villages, D) Attirer les touristes")</f>
        <v>A) Préparer le sport à son inclusion aux Jeux olympiques, B) Gagner de l'argent grâce aux paris, C) Régler les conflits entre villages, D) Attirer les touristes</v>
      </c>
      <c r="J42" s="6" t="str">
        <f>IFERROR(__xludf.DUMMYFUNCTION("GOOGLETRANSLATE(D42, ""en"", ""fr"")"),"A) Préparer le sport à son inclusion aux Jeux olympiques")</f>
        <v>A) Préparer le sport à son inclusion aux Jeux olympiques</v>
      </c>
      <c r="K42" s="6" t="str">
        <f>IFERROR(__xludf.DUMMYFUNCTION("GOOGLETRANSLATE(E42, ""en"", ""fr"")"),"L'un des principaux moteurs de la création de la FIPV et des premiers championnats du monde était l'ambition de faire de la pelota un sport olympique officiel.")</f>
        <v>L'un des principaux moteurs de la création de la FIPV et des premiers championnats du monde était l'ambition de faire de la pelota un sport olympique officiel.</v>
      </c>
    </row>
    <row r="43" ht="22.5" customHeight="1">
      <c r="A43" s="4">
        <v>42.0</v>
      </c>
      <c r="B43" s="5" t="s">
        <v>1275</v>
      </c>
      <c r="C43" s="5" t="s">
        <v>1276</v>
      </c>
      <c r="D43" s="5" t="s">
        <v>1277</v>
      </c>
      <c r="E43" s="5" t="s">
        <v>1278</v>
      </c>
      <c r="G43" s="6" t="str">
        <f>IFERROR(__xludf.DUMMYFUNCTION("GOOGLETRANSLATE(A43, ""en"", ""fr"")"),"42")</f>
        <v>42</v>
      </c>
      <c r="H43" s="6" t="str">
        <f>IFERROR(__xludf.DUMMYFUNCTION("GOOGLETRANSLATE(B43, ""en"", ""fr"")"),"Qu'est-ce qu'un « fronton » ?")</f>
        <v>Qu'est-ce qu'un « fronton » ?</v>
      </c>
      <c r="I43" s="6" t="str">
        <f>IFERROR(__xludf.DUMMYFUNCTION("GOOGLETRANSLATE(C43, ""en"", ""fr"")"),"A) Le casque d'un joueur, B) Le mur contre lequel la balle est frappée, C) Le béret basque traditionnel, D) Le nom de la prime")</f>
        <v>A) Le casque d'un joueur, B) Le mur contre lequel la balle est frappée, C) Le béret basque traditionnel, D) Le nom de la prime</v>
      </c>
      <c r="J43" s="6" t="str">
        <f>IFERROR(__xludf.DUMMYFUNCTION("GOOGLETRANSLATE(D43, ""en"", ""fr"")"),"B) Le mur contre lequel la balle est frappée")</f>
        <v>B) Le mur contre lequel la balle est frappée</v>
      </c>
      <c r="K43" s="6" t="str">
        <f>IFERROR(__xludf.DUMMYFUNCTION("GOOGLETRANSLATE(E43, ""en"", ""fr"")"),"Le fronton est le mur principal de jeu. Le terme est également utilisé pour désigner l'ensemble du terrain ou de la structure du stade.")</f>
        <v>Le fronton est le mur principal de jeu. Le terme est également utilisé pour désigner l'ensemble du terrain ou de la structure du stade.</v>
      </c>
    </row>
    <row r="44" ht="22.5" customHeight="1">
      <c r="A44" s="4">
        <v>43.0</v>
      </c>
      <c r="B44" s="5" t="s">
        <v>1279</v>
      </c>
      <c r="C44" s="5" t="s">
        <v>1280</v>
      </c>
      <c r="D44" s="5" t="s">
        <v>1281</v>
      </c>
      <c r="E44" s="5" t="s">
        <v>1282</v>
      </c>
      <c r="G44" s="6" t="str">
        <f>IFERROR(__xludf.DUMMYFUNCTION("GOOGLETRANSLATE(A44, ""en"", ""fr"")"),"43")</f>
        <v>43</v>
      </c>
      <c r="H44" s="6" t="str">
        <f>IFERROR(__xludf.DUMMYFUNCTION("GOOGLETRANSLATE(B44, ""en"", ""fr"")"),"Le jeu de Laxoa, un jeu de rue traditionnel basque, est considéré comme l'ancêtre direct de quelle modalité ?")</f>
        <v>Le jeu de Laxoa, un jeu de rue traditionnel basque, est considéré comme l'ancêtre direct de quelle modalité ?</v>
      </c>
      <c r="I44" s="6" t="str">
        <f>IFERROR(__xludf.DUMMYFUNCTION("GOOGLETRANSLATE(C44, ""en"", ""fr"")"),"A) Jai Alai, B) Main Nue (à mains nues), C) Paleta Goma, D) Cela n'a rien à voir avec la pelota")</f>
        <v>A) Jai Alai, B) Main Nue (à mains nues), C) Paleta Goma, D) Cela n'a rien à voir avec la pelota</v>
      </c>
      <c r="J44" s="6" t="str">
        <f>IFERROR(__xludf.DUMMYFUNCTION("GOOGLETRANSLATE(D44, ""en"", ""fr"")"),"B) Main Nue (main nue)")</f>
        <v>B) Main Nue (main nue)</v>
      </c>
      <c r="K44" s="6" t="str">
        <f>IFERROR(__xludf.DUMMYFUNCTION("GOOGLETRANSLATE(E44, ""en"", ""fr"")"),"Laxoa est l'ancienne version de la pelote basque à main, jouée en équipe et en face-à-face, dont est issu le jeu moderne indirect (avec mur).")</f>
        <v>Laxoa est l'ancienne version de la pelote basque à main, jouée en équipe et en face-à-face, dont est issu le jeu moderne indirect (avec mur).</v>
      </c>
    </row>
    <row r="45" ht="22.5" customHeight="1">
      <c r="A45" s="4">
        <v>44.0</v>
      </c>
      <c r="B45" s="5" t="s">
        <v>1283</v>
      </c>
      <c r="C45" s="5" t="s">
        <v>1284</v>
      </c>
      <c r="D45" s="5" t="s">
        <v>1285</v>
      </c>
      <c r="E45" s="5" t="s">
        <v>1286</v>
      </c>
      <c r="G45" s="6" t="str">
        <f>IFERROR(__xludf.DUMMYFUNCTION("GOOGLETRANSLATE(A45, ""en"", ""fr"")"),"44")</f>
        <v>44</v>
      </c>
      <c r="H45" s="6" t="str">
        <f>IFERROR(__xludf.DUMMYFUNCTION("GOOGLETRANSLATE(B45, ""en"", ""fr"")"),"Quelle est la principale différence entre la balle utilisée pour le main nue (main nue) et celle utilisée pour le cesta punta (Jai Alai) ?")</f>
        <v>Quelle est la principale différence entre la balle utilisée pour le main nue (main nue) et celle utilisée pour le cesta punta (Jai Alai) ?</v>
      </c>
      <c r="I45" s="6" t="str">
        <f>IFERROR(__xludf.DUMMYFUNCTION("GOOGLETRANSLATE(C45, ""en"", ""fr"")"),"A) La balle de pelote basque est plus souple et plus petite. B) Il n'y a pas de différence. C) La balle de pelote basque est plus lourde. D) La balle de pelote basque est en bois.")</f>
        <v>A) La balle de pelote basque est plus souple et plus petite. B) Il n'y a pas de différence. C) La balle de pelote basque est plus lourde. D) La balle de pelote basque est en bois.</v>
      </c>
      <c r="J45" s="6" t="str">
        <f>IFERROR(__xludf.DUMMYFUNCTION("GOOGLETRANSLATE(D45, ""en"", ""fr"")"),"A) La balle de pelote basque est plus souple et plus petite.")</f>
        <v>A) La balle de pelote basque est plus souple et plus petite.</v>
      </c>
      <c r="K45" s="6" t="str">
        <f>IFERROR(__xludf.DUMMYFUNCTION("GOOGLETRANSLATE(E45, ""en"", ""fr"")"),"Bien que toujours très dure, la balle utilisée pour le jeu à mains nues est légèrement plus petite et rebondit davantage que la pelote basque de Jai Alai, qui est extrêmement dure.")</f>
        <v>Bien que toujours très dure, la balle utilisée pour le jeu à mains nues est légèrement plus petite et rebondit davantage que la pelote basque de Jai Alai, qui est extrêmement dure.</v>
      </c>
    </row>
    <row r="46" ht="22.5" customHeight="1">
      <c r="A46" s="4">
        <v>45.0</v>
      </c>
      <c r="B46" s="5" t="s">
        <v>1287</v>
      </c>
      <c r="C46" s="5" t="s">
        <v>1288</v>
      </c>
      <c r="D46" s="5" t="s">
        <v>1289</v>
      </c>
      <c r="E46" s="5" t="s">
        <v>1290</v>
      </c>
      <c r="G46" s="6" t="str">
        <f>IFERROR(__xludf.DUMMYFUNCTION("GOOGLETRANSLATE(A46, ""en"", ""fr"")"),"45")</f>
        <v>45</v>
      </c>
      <c r="H46" s="6" t="str">
        <f>IFERROR(__xludf.DUMMYFUNCTION("GOOGLETRANSLATE(B46, ""en"", ""fr"")"),"Dans l'histoire de ce sport, la participation des femmes a été la plus marquante dans quelle discipline ?")</f>
        <v>Dans l'histoire de ce sport, la participation des femmes a été la plus marquante dans quelle discipline ?</v>
      </c>
      <c r="I46" s="6" t="str">
        <f>IFERROR(__xludf.DUMMYFUNCTION("GOOGLETRANSLATE(C46, ""en"", ""fr"")"),"A) Cesta Punta (Jai Alai), B) Main Nue (Main nue), C) Paleta Goma (Rubber Paddle), D) Ils n'ont pas participé")</f>
        <v>A) Cesta Punta (Jai Alai), B) Main Nue (Main nue), C) Paleta Goma (Rubber Paddle), D) Ils n'ont pas participé</v>
      </c>
      <c r="J46" s="6" t="str">
        <f>IFERROR(__xludf.DUMMYFUNCTION("GOOGLETRANSLATE(D46, ""en"", ""fr"")"),"C) Paleta Goma (Pagaie en caoutchouc)")</f>
        <v>C) Paleta Goma (Pagaie en caoutchouc)</v>
      </c>
      <c r="K46" s="6" t="str">
        <f>IFERROR(__xludf.DUMMYFUNCTION("GOOGLETRANSLATE(E46, ""en"", ""fr"")"),"La balle et la raquette plus légères de la Paleta Goma en ont fait la modalité la plus populaire et la plus accessible pour les joueuses, notamment en Argentine et en Espagne.")</f>
        <v>La balle et la raquette plus légères de la Paleta Goma en ont fait la modalité la plus populaire et la plus accessible pour les joueuses, notamment en Argentine et en Espagne.</v>
      </c>
    </row>
    <row r="47" ht="22.5" customHeight="1">
      <c r="A47" s="4">
        <v>46.0</v>
      </c>
      <c r="B47" s="5" t="s">
        <v>1291</v>
      </c>
      <c r="C47" s="5" t="s">
        <v>1292</v>
      </c>
      <c r="D47" s="5" t="s">
        <v>607</v>
      </c>
      <c r="E47" s="5" t="s">
        <v>1293</v>
      </c>
      <c r="G47" s="6" t="str">
        <f>IFERROR(__xludf.DUMMYFUNCTION("GOOGLETRANSLATE(A47, ""en"", ""fr"")"),"46")</f>
        <v>46</v>
      </c>
      <c r="H47" s="6" t="str">
        <f>IFERROR(__xludf.DUMMYFUNCTION("GOOGLETRANSLATE(B47, ""en"", ""fr"")"),"Quel pays européen, outre la France et l'Espagne, possède une petite fédération de pelote basque active ?")</f>
        <v>Quel pays européen, outre la France et l'Espagne, possède une petite fédération de pelote basque active ?</v>
      </c>
      <c r="I47" s="6" t="str">
        <f>IFERROR(__xludf.DUMMYFUNCTION("GOOGLETRANSLATE(C47, ""en"", ""fr"")"),"A) Allemagne, B) Italie, C) Portugal, D) Royaume-Uni")</f>
        <v>A) Allemagne, B) Italie, C) Portugal, D) Royaume-Uni</v>
      </c>
      <c r="J47" s="6" t="str">
        <f>IFERROR(__xludf.DUMMYFUNCTION("GOOGLETRANSLATE(D47, ""en"", ""fr"")"),"B) Italie")</f>
        <v>B) Italie</v>
      </c>
      <c r="K47" s="6" t="str">
        <f>IFERROR(__xludf.DUMMYFUNCTION("GOOGLETRANSLATE(E47, ""en"", ""fr"")"),"L'Italie a une histoire avec des jeux apparentés (palla) et possède une fédération qui participe à certains événements internationaux de pelote.")</f>
        <v>L'Italie a une histoire avec des jeux apparentés (palla) et possède une fédération qui participe à certains événements internationaux de pelote.</v>
      </c>
    </row>
    <row r="48" ht="22.5" customHeight="1">
      <c r="A48" s="4">
        <v>47.0</v>
      </c>
      <c r="B48" s="5" t="s">
        <v>1294</v>
      </c>
      <c r="C48" s="5" t="s">
        <v>1295</v>
      </c>
      <c r="D48" s="5" t="s">
        <v>1296</v>
      </c>
      <c r="E48" s="5" t="s">
        <v>1297</v>
      </c>
      <c r="G48" s="6" t="str">
        <f>IFERROR(__xludf.DUMMYFUNCTION("GOOGLETRANSLATE(A48, ""en"", ""fr"")"),"47")</f>
        <v>47</v>
      </c>
      <c r="H48" s="6" t="str">
        <f>IFERROR(__xludf.DUMMYFUNCTION("GOOGLETRANSLATE(B48, ""en"", ""fr"")"),"La diaspora basque a joué un rôle déterminant dans la diffusion de ce sport à l'échelle mondiale. Sur quel continent a-t-elle connu le plus grand succès dans la création de frontons professionnels ?")</f>
        <v>La diaspora basque a joué un rôle déterminant dans la diffusion de ce sport à l'échelle mondiale. Sur quel continent a-t-elle connu le plus grand succès dans la création de frontons professionnels ?</v>
      </c>
      <c r="I48" s="6" t="str">
        <f>IFERROR(__xludf.DUMMYFUNCTION("GOOGLETRANSLATE(C48, ""en"", ""fr"")"),"A) Amérique du Nord et du Sud, B) Afrique, C) Asie, D) Australie")</f>
        <v>A) Amérique du Nord et du Sud, B) Afrique, C) Asie, D) Australie</v>
      </c>
      <c r="J48" s="6" t="str">
        <f>IFERROR(__xludf.DUMMYFUNCTION("GOOGLETRANSLATE(D48, ""en"", ""fr"")"),"A) Amérique du Nord et du Sud")</f>
        <v>A) Amérique du Nord et du Sud</v>
      </c>
      <c r="K48" s="6" t="str">
        <f>IFERROR(__xludf.DUMMYFUNCTION("GOOGLETRANSLATE(E48, ""en"", ""fr"")"),"Les immigrants basques ont importé ce sport avec eux, ce qui a conduit à la construction de grands frontons professionnels dans les villes de toute l'Amérique.")</f>
        <v>Les immigrants basques ont importé ce sport avec eux, ce qui a conduit à la construction de grands frontons professionnels dans les villes de toute l'Amérique.</v>
      </c>
    </row>
    <row r="49" ht="22.5" customHeight="1">
      <c r="A49" s="4">
        <v>48.0</v>
      </c>
      <c r="B49" s="5" t="s">
        <v>1298</v>
      </c>
      <c r="C49" s="5" t="s">
        <v>1299</v>
      </c>
      <c r="D49" s="5" t="s">
        <v>1300</v>
      </c>
      <c r="E49" s="5" t="s">
        <v>1301</v>
      </c>
      <c r="G49" s="6" t="str">
        <f>IFERROR(__xludf.DUMMYFUNCTION("GOOGLETRANSLATE(A49, ""en"", ""fr"")"),"48")</f>
        <v>48</v>
      </c>
      <c r="H49" s="6" t="str">
        <f>IFERROR(__xludf.DUMMYFUNCTION("GOOGLETRANSLATE(B49, ""en"", ""fr"")"),"Quelle est la principale raison du prix élevé d'une balle de pelote basque professionnelle ?")</f>
        <v>Quelle est la principale raison du prix élevé d'une balle de pelote basque professionnelle ?</v>
      </c>
      <c r="I49" s="6" t="str">
        <f>IFERROR(__xludf.DUMMYFUNCTION("GOOGLETRANSLATE(C49, ""en"", ""fr"")"),"A) Les matériaux sont rares, B) Ils sont fabriqués à la main par quelques artisans qualifiés selon un processus exigeant une main-d'œuvre importante, C) Ils sont importés, D) Ils sont soumis à une taxe élevée")</f>
        <v>A) Les matériaux sont rares, B) Ils sont fabriqués à la main par quelques artisans qualifiés selon un processus exigeant une main-d'œuvre importante, C) Ils sont importés, D) Ils sont soumis à une taxe élevée</v>
      </c>
      <c r="J49" s="6" t="str">
        <f>IFERROR(__xludf.DUMMYFUNCTION("GOOGLETRANSLATE(D49, ""en"", ""fr"")"),"B) Ils sont fabriqués à la main par quelques artisans qualifiés au cours d'un processus exigeant une main-d'œuvre importante")</f>
        <v>B) Ils sont fabriqués à la main par quelques artisans qualifiés au cours d'un processus exigeant une main-d'œuvre importante</v>
      </c>
      <c r="K49" s="6" t="str">
        <f>IFERROR(__xludf.DUMMYFUNCTION("GOOGLETRANSLATE(E49, ""en"", ""fr"")"),"Chaque pelote est méticuleusement enroulée et cousue à la main, un processus qui prend de nombreuses heures. Elles ne peuvent pas être produites en série.")</f>
        <v>Chaque pelote est méticuleusement enroulée et cousue à la main, un processus qui prend de nombreuses heures. Elles ne peuvent pas être produites en série.</v>
      </c>
    </row>
    <row r="50" ht="22.5" customHeight="1">
      <c r="A50" s="4">
        <v>49.0</v>
      </c>
      <c r="B50" s="5" t="s">
        <v>1302</v>
      </c>
      <c r="C50" s="5" t="s">
        <v>1303</v>
      </c>
      <c r="D50" s="5" t="s">
        <v>1304</v>
      </c>
      <c r="E50" s="5" t="s">
        <v>1305</v>
      </c>
      <c r="G50" s="6" t="str">
        <f>IFERROR(__xludf.DUMMYFUNCTION("GOOGLETRANSLATE(A50, ""en"", ""fr"")"),"49")</f>
        <v>49</v>
      </c>
      <c r="H50" s="6" t="str">
        <f>IFERROR(__xludf.DUMMYFUNCTION("GOOGLETRANSLATE(B50, ""en"", ""fr"")"),"Le déclin du jeu de paume au XVIIIe siècle était dû en partie à quel changement social ?")</f>
        <v>Le déclin du jeu de paume au XVIIIe siècle était dû en partie à quel changement social ?</v>
      </c>
      <c r="I50" s="6" t="str">
        <f>IFERROR(__xludf.DUMMYFUNCTION("GOOGLETRANSLATE(C50, ""en"", ""fr"")"),"A) C'est devenu trop dangereux, B) L'aristocratie française, qui en était le principal mécène, a perdu son pouvoir et sa richesse, C) Le ballon est devenu trop cher, D) Un nouveau sport, plus passionnant, a été inventé")</f>
        <v>A) C'est devenu trop dangereux, B) L'aristocratie française, qui en était le principal mécène, a perdu son pouvoir et sa richesse, C) Le ballon est devenu trop cher, D) Un nouveau sport, plus passionnant, a été inventé</v>
      </c>
      <c r="J50" s="6" t="str">
        <f>IFERROR(__xludf.DUMMYFUNCTION("GOOGLETRANSLATE(D50, ""en"", ""fr"")"),"B) L'aristocratie française, qui en était le principal mécène, perdit son pouvoir et sa richesse.")</f>
        <v>B) L'aristocratie française, qui en était le principal mécène, perdit son pouvoir et sa richesse.</v>
      </c>
      <c r="K50" s="6" t="str">
        <f>IFERROR(__xludf.DUMMYFUNCTION("GOOGLETRANSLATE(E50, ""en"", ""fr"")"),"La Révolution française et ses conséquences ont entraîné le déclin de la classe noble qui finançait et jouait dans les coûteux courts couverts.")</f>
        <v>La Révolution française et ses conséquences ont entraîné le déclin de la classe noble qui finançait et jouait dans les coûteux courts couverts.</v>
      </c>
    </row>
    <row r="51" ht="22.5" customHeight="1">
      <c r="A51" s="4">
        <v>50.0</v>
      </c>
      <c r="B51" s="5" t="s">
        <v>1306</v>
      </c>
      <c r="C51" s="5" t="s">
        <v>1307</v>
      </c>
      <c r="D51" s="5" t="s">
        <v>1308</v>
      </c>
      <c r="E51" s="5" t="s">
        <v>1309</v>
      </c>
      <c r="G51" s="6" t="str">
        <f>IFERROR(__xludf.DUMMYFUNCTION("GOOGLETRANSLATE(A51, ""en"", ""fr"")"),"50")</f>
        <v>50</v>
      </c>
      <c r="H51" s="6" t="str">
        <f>IFERROR(__xludf.DUMMYFUNCTION("GOOGLETRANSLATE(B51, ""en"", ""fr"")"),"Quelle est la qualité la plus importante pour un pelotari qui joue main nue (à mains nues) ?")</f>
        <v>Quelle est la qualité la plus importante pour un pelotari qui joue main nue (à mains nues) ?</v>
      </c>
      <c r="I51" s="6" t="str">
        <f>IFERROR(__xludf.DUMMYFUNCTION("GOOGLETRANSLATE(C51, ""en"", ""fr"")"),"A) Vitesse, B) Agilité, C) Une tolérance à la douleur extrêmement élevée et des mains robustes, D) Une bonne écriture")</f>
        <v>A) Vitesse, B) Agilité, C) Une tolérance à la douleur extrêmement élevée et des mains robustes, D) Une bonne écriture</v>
      </c>
      <c r="J51" s="6" t="str">
        <f>IFERROR(__xludf.DUMMYFUNCTION("GOOGLETRANSLATE(D51, ""en"", ""fr"")"),"C) Une tolérance à la douleur extrêmement élevée et des mains robustes")</f>
        <v>C) Une tolérance à la douleur extrêmement élevée et des mains robustes</v>
      </c>
      <c r="K51" s="6" t="str">
        <f>IFERROR(__xludf.DUMMYFUNCTION("GOOGLETRANSLATE(E51, ""en"", ""fr"")"),"Ce sport consiste à frapper à répétition une balle très dure à mains nues, ce qui est incroyablement douloureux et exige des années d'entraînement.")</f>
        <v>Ce sport consiste à frapper à répétition une balle très dure à mains nues, ce qui est incroyablement douloureux et exige des années d'entraînement.</v>
      </c>
    </row>
    <row r="52" ht="22.5" customHeight="1">
      <c r="A52" s="4">
        <v>51.0</v>
      </c>
      <c r="B52" s="5" t="s">
        <v>1310</v>
      </c>
      <c r="C52" s="5" t="s">
        <v>1311</v>
      </c>
      <c r="D52" s="5" t="s">
        <v>1312</v>
      </c>
      <c r="E52" s="5" t="s">
        <v>1313</v>
      </c>
      <c r="G52" s="6" t="str">
        <f>IFERROR(__xludf.DUMMYFUNCTION("GOOGLETRANSLATE(A52, ""en"", ""fr"")"),"51")</f>
        <v>51</v>
      </c>
      <c r="H52" s="6" t="str">
        <f>IFERROR(__xludf.DUMMYFUNCTION("GOOGLETRANSLATE(B52, ""en"", ""fr"")"),"Quelle est la principale raison du succès du fronton à Miami ?")</f>
        <v>Quelle est la principale raison du succès du fronton à Miami ?</v>
      </c>
      <c r="I52" s="6" t="str">
        <f>IFERROR(__xludf.DUMMYFUNCTION("GOOGLETRANSLATE(C52, ""en"", ""fr"")"),"A) L'importante communauté basque présente, B) Son rythme effréné était idéal pour les paris légalisés, C) C'était le seul sport disponible, D) Il comptait les meilleurs joueurs du monde")</f>
        <v>A) L'importante communauté basque présente, B) Son rythme effréné était idéal pour les paris légalisés, C) C'était le seul sport disponible, D) Il comptait les meilleurs joueurs du monde</v>
      </c>
      <c r="J52" s="6" t="str">
        <f>IFERROR(__xludf.DUMMYFUNCTION("GOOGLETRANSLATE(D52, ""en"", ""fr"")"),"B) Son rythme rapide était idéal pour les paris légalisés.")</f>
        <v>B) Son rythme rapide était idéal pour les paris légalisés.</v>
      </c>
      <c r="K52" s="6" t="str">
        <f>IFERROR(__xludf.DUMMYFUNCTION("GOOGLETRANSLATE(E52, ""en"", ""fr"")"),"La vitesse du jai alai et le système de paris quiniela en ont fait un sport de jeu passionnant et populaire pendant des décennies.")</f>
        <v>La vitesse du jai alai et le système de paris quiniela en ont fait un sport de jeu passionnant et populaire pendant des décennies.</v>
      </c>
    </row>
    <row r="53" ht="22.5" customHeight="1">
      <c r="A53" s="4">
        <v>52.0</v>
      </c>
      <c r="B53" s="5" t="s">
        <v>1314</v>
      </c>
      <c r="C53" s="5" t="s">
        <v>1315</v>
      </c>
      <c r="D53" s="5" t="s">
        <v>1316</v>
      </c>
      <c r="E53" s="5" t="s">
        <v>1317</v>
      </c>
      <c r="G53" s="6" t="str">
        <f>IFERROR(__xludf.DUMMYFUNCTION("GOOGLETRANSLATE(A53, ""en"", ""fr"")"),"52")</f>
        <v>52</v>
      </c>
      <c r="H53" s="6" t="str">
        <f>IFERROR(__xludf.DUMMYFUNCTION("GOOGLETRANSLATE(B53, ""en"", ""fr"")"),"Quelle modalité tire son nom du mot espagnol signifiant « pointe du panier » ?")</f>
        <v>Quelle modalité tire son nom du mot espagnol signifiant « pointe du panier » ?</v>
      </c>
      <c r="I53" s="6" t="str">
        <f>IFERROR(__xludf.DUMMYFUNCTION("GOOGLETRANSLATE(C53, ""en"", ""fr"")"),"A) Paleta, B) Xare, C) Cesta Punta, D) Frontenis")</f>
        <v>A) Paleta, B) Xare, C) Cesta Punta, D) Frontenis</v>
      </c>
      <c r="J53" s="6" t="str">
        <f>IFERROR(__xludf.DUMMYFUNCTION("GOOGLETRANSLATE(D53, ""en"", ""fr"")"),"C) Cesta Punta")</f>
        <v>C) Cesta Punta</v>
      </c>
      <c r="K53" s="6" t="str">
        <f>IFERROR(__xludf.DUMMYFUNCTION("GOOGLETRANSLATE(E53, ""en"", ""fr"")"),"Cesta Punta est le nom espagnol de la modalité jouée avec la chistera, signifiant littéralement « panier avec une pointe ».")</f>
        <v>Cesta Punta est le nom espagnol de la modalité jouée avec la chistera, signifiant littéralement « panier avec une pointe ».</v>
      </c>
    </row>
    <row r="54" ht="22.5" customHeight="1">
      <c r="A54" s="4">
        <v>53.0</v>
      </c>
      <c r="B54" s="5" t="s">
        <v>1318</v>
      </c>
      <c r="C54" s="5" t="s">
        <v>1319</v>
      </c>
      <c r="D54" s="5" t="s">
        <v>1320</v>
      </c>
      <c r="E54" s="5" t="s">
        <v>1321</v>
      </c>
      <c r="G54" s="6" t="str">
        <f>IFERROR(__xludf.DUMMYFUNCTION("GOOGLETRANSLATE(A54, ""en"", ""fr"")"),"53")</f>
        <v>53</v>
      </c>
      <c r="H54" s="6" t="str">
        <f>IFERROR(__xludf.DUMMYFUNCTION("GOOGLETRANSLATE(B54, ""en"", ""fr"")"),"Dans l'histoire de ce sport, quel a été le rôle de l'Église ?")</f>
        <v>Dans l'histoire de ce sport, quel a été le rôle de l'Église ?</v>
      </c>
      <c r="I54" s="6" t="str">
        <f>IFERROR(__xludf.DUMMYFUNCTION("GOOGLETRANSLATE(C54, ""en"", ""fr"")"),"A) Elle a interdit ce sport, B) Les murs de l'église étaient souvent les premiers frontons utilisés pour jouer, C) Elle était le principal sponsor des tournois, D) Elle n'a joué aucun rôle")</f>
        <v>A) Elle a interdit ce sport, B) Les murs de l'église étaient souvent les premiers frontons utilisés pour jouer, C) Elle était le principal sponsor des tournois, D) Elle n'a joué aucun rôle</v>
      </c>
      <c r="J54" s="6" t="str">
        <f>IFERROR(__xludf.DUMMYFUNCTION("GOOGLETRANSLATE(D54, ""en"", ""fr"")"),"B) Les murs de l'église étaient souvent les premiers « frontons » utilisés pour jouer")</f>
        <v>B) Les murs de l'église étaient souvent les premiers « frontons » utilisés pour jouer</v>
      </c>
      <c r="K54" s="6" t="str">
        <f>IFERROR(__xludf.DUMMYFUNCTION("GOOGLETRANSLATE(E54, ""en"", ""fr"")"),"Dans de nombreux villages basques, le mur latéral solide et plat de l'église locale est devenu le terrain de jeu par défaut pour ce sport en plein essor.")</f>
        <v>Dans de nombreux villages basques, le mur latéral solide et plat de l'église locale est devenu le terrain de jeu par défaut pour ce sport en plein essor.</v>
      </c>
    </row>
    <row r="55" ht="22.5" customHeight="1">
      <c r="A55" s="4">
        <v>54.0</v>
      </c>
      <c r="B55" s="5" t="s">
        <v>1322</v>
      </c>
      <c r="C55" s="5" t="s">
        <v>1323</v>
      </c>
      <c r="D55" s="5" t="s">
        <v>1324</v>
      </c>
      <c r="E55" s="5" t="s">
        <v>1325</v>
      </c>
      <c r="G55" s="6" t="str">
        <f>IFERROR(__xludf.DUMMYFUNCTION("GOOGLETRANSLATE(A55, ""en"", ""fr"")"),"54")</f>
        <v>54</v>
      </c>
      <c r="H55" s="6" t="str">
        <f>IFERROR(__xludf.DUMMYFUNCTION("GOOGLETRANSLATE(B55, ""en"", ""fr"")"),"En quoi le squash moderne est-il fondamentalement similaire à la pelote basque ?")</f>
        <v>En quoi le squash moderne est-il fondamentalement similaire à la pelote basque ?</v>
      </c>
      <c r="I55" s="6" t="str">
        <f>IFERROR(__xludf.DUMMYFUNCTION("GOOGLETRANSLATE(C55, ""en"", ""fr"")"),"A) Il utilise une raquette similaire, B) C'est un jeu indirect où les joueurs frappent une balle contre un mur frontal, C) C'est un sport d'équipe, D) Il se joue sur un terrain de même dimension")</f>
        <v>A) Il utilise une raquette similaire, B) C'est un jeu indirect où les joueurs frappent une balle contre un mur frontal, C) C'est un sport d'équipe, D) Il se joue sur un terrain de même dimension</v>
      </c>
      <c r="J55" s="6" t="str">
        <f>IFERROR(__xludf.DUMMYFUNCTION("GOOGLETRANSLATE(D55, ""en"", ""fr"")"),"B) C'est un jeu indirect où les joueurs frappent une balle contre un mur frontal.")</f>
        <v>B) C'est un jeu indirect où les joueurs frappent une balle contre un mur frontal.</v>
      </c>
      <c r="K55" s="6" t="str">
        <f>IFERROR(__xludf.DUMMYFUNCTION("GOOGLETRANSLATE(E55, ""en"", ""fr"")"),"Ce sont deux sports de raquette (ou de main) « indirects », où les joueurs partagent un terrain et frappent à tour de rôle une balle contre un mur frontal commun.")</f>
        <v>Ce sont deux sports de raquette (ou de main) « indirects », où les joueurs partagent un terrain et frappent à tour de rôle une balle contre un mur frontal commun.</v>
      </c>
    </row>
    <row r="56" ht="22.5" customHeight="1">
      <c r="A56" s="4">
        <v>55.0</v>
      </c>
      <c r="B56" s="5" t="s">
        <v>1326</v>
      </c>
      <c r="C56" s="5" t="s">
        <v>1327</v>
      </c>
      <c r="D56" s="5" t="s">
        <v>1328</v>
      </c>
      <c r="E56" s="5" t="s">
        <v>1329</v>
      </c>
      <c r="G56" s="6" t="str">
        <f>IFERROR(__xludf.DUMMYFUNCTION("GOOGLETRANSLATE(A56, ""en"", ""fr"")"),"55")</f>
        <v>55</v>
      </c>
      <c r="H56" s="6" t="str">
        <f>IFERROR(__xludf.DUMMYFUNCTION("GOOGLETRANSLATE(B56, ""en"", ""fr"")"),"Quelle est l'importance historique de la ville de Saint-Pée-sur-Nivelle en France ?")</f>
        <v>Quelle est l'importance historique de la ville de Saint-Pée-sur-Nivelle en France ?</v>
      </c>
      <c r="I56" s="6" t="str">
        <f>IFERROR(__xludf.DUMMYFUNCTION("GOOGLETRANSLATE(C56, ""en"", ""fr"")"),"A) C'est là que fut construit le premier fronton, B) C'est le lieu de naissance de l'inventeur de la chistera, Gantxiki, C) Il accueille les championnats du monde, D) C'est la ville natale de Chiquito de Cambo")</f>
        <v>A) C'est là que fut construit le premier fronton, B) C'est le lieu de naissance de l'inventeur de la chistera, Gantxiki, C) Il accueille les championnats du monde, D) C'est la ville natale de Chiquito de Cambo</v>
      </c>
      <c r="J56" s="6" t="str">
        <f>IFERROR(__xludf.DUMMYFUNCTION("GOOGLETRANSLATE(D56, ""en"", ""fr"")"),"B) C'est le lieu de naissance de Gantxiki, l'inventeur de la chistera.")</f>
        <v>B) C'est le lieu de naissance de Gantxiki, l'inventeur de la chistera.</v>
      </c>
      <c r="K56" s="6" t="str">
        <f>IFERROR(__xludf.DUMMYFUNCTION("GOOGLETRANSLATE(E56, ""en"", ""fr"")"),"Cette petite ville basque est considérée comme le berceau de la raquette révolutionnaire.")</f>
        <v>Cette petite ville basque est considérée comme le berceau de la raquette révolutionnaire.</v>
      </c>
    </row>
    <row r="57" ht="22.5" customHeight="1">
      <c r="A57" s="4">
        <v>56.0</v>
      </c>
      <c r="B57" s="5" t="s">
        <v>1330</v>
      </c>
      <c r="C57" s="5" t="s">
        <v>1331</v>
      </c>
      <c r="D57" s="5" t="s">
        <v>1332</v>
      </c>
      <c r="E57" s="5" t="s">
        <v>1333</v>
      </c>
      <c r="G57" s="6" t="str">
        <f>IFERROR(__xludf.DUMMYFUNCTION("GOOGLETRANSLATE(A57, ""en"", ""fr"")"),"56")</f>
        <v>56</v>
      </c>
      <c r="H57" s="6" t="str">
        <f>IFERROR(__xludf.DUMMYFUNCTION("GOOGLETRANSLATE(B57, ""en"", ""fr"")"),"Qu'est-ce que le « mur de rebond » sur un terrain de pelote basque ?")</f>
        <v>Qu'est-ce que le « mur de rebond » sur un terrain de pelote basque ?</v>
      </c>
      <c r="I57" s="6" t="str">
        <f>IFERROR(__xludf.DUMMYFUNCTION("GOOGLETRANSLATE(C57, ""en"", ""fr"")"),"A) Le mur frontal, B) Le mur latéral gauche, C) Le mur arrière, D) Il n'y a pas de mur de rebond")</f>
        <v>A) Le mur frontal, B) Le mur latéral gauche, C) Le mur arrière, D) Il n'y a pas de mur de rebond</v>
      </c>
      <c r="J57" s="6" t="str">
        <f>IFERROR(__xludf.DUMMYFUNCTION("GOOGLETRANSLATE(D57, ""en"", ""fr"")"),"C) Le mur du fond")</f>
        <v>C) Le mur du fond</v>
      </c>
      <c r="K57" s="6" t="str">
        <f>IFERROR(__xludf.DUMMYFUNCTION("GOOGLETRANSLATE(E57, ""en"", ""fr"")"),"Le mur du fond, appelé rebote, est le mur contre lequel la balle peut être jouée légalement, ajoutant un élément stratégique complexe au jeu.")</f>
        <v>Le mur du fond, appelé rebote, est le mur contre lequel la balle peut être jouée légalement, ajoutant un élément stratégique complexe au jeu.</v>
      </c>
    </row>
    <row r="58" ht="22.5" customHeight="1">
      <c r="A58" s="4">
        <v>57.0</v>
      </c>
      <c r="B58" s="5" t="s">
        <v>1334</v>
      </c>
      <c r="C58" s="5" t="s">
        <v>1335</v>
      </c>
      <c r="D58" s="5" t="s">
        <v>1336</v>
      </c>
      <c r="E58" s="5" t="s">
        <v>1337</v>
      </c>
      <c r="G58" s="6" t="str">
        <f>IFERROR(__xludf.DUMMYFUNCTION("GOOGLETRANSLATE(A58, ""en"", ""fr"")"),"57")</f>
        <v>57</v>
      </c>
      <c r="H58" s="6" t="str">
        <f>IFERROR(__xludf.DUMMYFUNCTION("GOOGLETRANSLATE(B58, ""en"", ""fr"")"),"En quoi l'introduction du noyau en caoutchouc dans la balle au XIXe siècle a-t-elle changé la donne ?")</f>
        <v>En quoi l'introduction du noyau en caoutchouc dans la balle au XIXe siècle a-t-elle changé la donne ?</v>
      </c>
      <c r="I58" s="6" t="str">
        <f>IFERROR(__xludf.DUMMYFUNCTION("GOOGLETRANSLATE(C58, ""en"", ""fr"")"),"A) Cela a rendu le jeu plus sûr, B) Cela a rendu la balle beaucoup plus rapide et rebondissante, augmentant ainsi le rythme du jeu, C) Cela a rendu les balles moins chères, D) Cela n'a eu aucun impact réel")</f>
        <v>A) Cela a rendu le jeu plus sûr, B) Cela a rendu la balle beaucoup plus rapide et rebondissante, augmentant ainsi le rythme du jeu, C) Cela a rendu les balles moins chères, D) Cela n'a eu aucun impact réel</v>
      </c>
      <c r="J58" s="6" t="str">
        <f>IFERROR(__xludf.DUMMYFUNCTION("GOOGLETRANSLATE(D58, ""en"", ""fr"")"),"B) Cela a rendu la balle beaucoup plus rapide et rebondissante, augmentant ainsi la vitesse du jeu.")</f>
        <v>B) Cela a rendu la balle beaucoup plus rapide et rebondissante, augmentant ainsi la vitesse du jeu.</v>
      </c>
      <c r="K58" s="6" t="str">
        <f>IFERROR(__xludf.DUMMYFUNCTION("GOOGLETRANSLATE(E58, ""en"", ""fr"")"),"Le passage des anciens noyaux, moins dynamiques, au caoutchouc vulcanisé a considérablement augmenté la vitesse et le dynamisme de ce sport.")</f>
        <v>Le passage des anciens noyaux, moins dynamiques, au caoutchouc vulcanisé a considérablement augmenté la vitesse et le dynamisme de ce sport.</v>
      </c>
    </row>
    <row r="59" ht="22.5" customHeight="1">
      <c r="A59" s="4">
        <v>58.0</v>
      </c>
      <c r="B59" s="5" t="s">
        <v>1338</v>
      </c>
      <c r="C59" s="5" t="s">
        <v>1339</v>
      </c>
      <c r="D59" s="5" t="s">
        <v>1340</v>
      </c>
      <c r="E59" s="5" t="s">
        <v>1341</v>
      </c>
      <c r="G59" s="6" t="str">
        <f>IFERROR(__xludf.DUMMYFUNCTION("GOOGLETRANSLATE(A59, ""en"", ""fr"")"),"58")</f>
        <v>58</v>
      </c>
      <c r="H59" s="6" t="str">
        <f>IFERROR(__xludf.DUMMYFUNCTION("GOOGLETRANSLATE(B59, ""en"", ""fr"")"),"Quelle est la principale caractéristique du style « Laxoa » de Pelota ?")</f>
        <v>Quelle est la principale caractéristique du style « Laxoa » de Pelota ?</v>
      </c>
      <c r="I59" s="6" t="str">
        <f>IFERROR(__xludf.DUMMYFUNCTION("GOOGLETRANSLATE(C59, ""en"", ""fr"")"),"A) On y joue contre un mur, B) C'est un jeu direct, face à face, avec un filet, joué avec des gants en cuir, C) On utilise une raquette en bois, D) C'est un sport individuel")</f>
        <v>A) On y joue contre un mur, B) C'est un jeu direct, face à face, avec un filet, joué avec des gants en cuir, C) On utilise une raquette en bois, D) C'est un sport individuel</v>
      </c>
      <c r="J59" s="6" t="str">
        <f>IFERROR(__xludf.DUMMYFUNCTION("GOOGLETRANSLATE(D59, ""en"", ""fr"")"),"B) C'est un jeu direct, face à face, avec un filet, joué avec des gants en cuir.")</f>
        <v>B) C'est un jeu direct, face à face, avec un filet, joué avec des gants en cuir.</v>
      </c>
      <c r="K59" s="6" t="str">
        <f>IFERROR(__xludf.DUMMYFUNCTION("GOOGLETRANSLATE(E59, ""en"", ""fr"")"),"Laxoa est l'une des formes les plus anciennes, un jeu « direct » qui montre le lien évolutif clair avec le jeu de paume.")</f>
        <v>Laxoa est l'une des formes les plus anciennes, un jeu « direct » qui montre le lien évolutif clair avec le jeu de paume.</v>
      </c>
    </row>
    <row r="60" ht="22.5" customHeight="1">
      <c r="A60" s="4">
        <v>59.0</v>
      </c>
      <c r="B60" s="5" t="s">
        <v>1342</v>
      </c>
      <c r="C60" s="5" t="s">
        <v>1343</v>
      </c>
      <c r="D60" s="5" t="s">
        <v>1344</v>
      </c>
      <c r="E60" s="5" t="s">
        <v>1345</v>
      </c>
      <c r="G60" s="6" t="str">
        <f>IFERROR(__xludf.DUMMYFUNCTION("GOOGLETRANSLATE(A60, ""en"", ""fr"")"),"59")</f>
        <v>59</v>
      </c>
      <c r="H60" s="6" t="str">
        <f>IFERROR(__xludf.DUMMYFUNCTION("GOOGLETRANSLATE(B60, ""en"", ""fr"")"),"Quelle est la principale raison du lien étroit qui unit Pelota au nationalisme basque ?")</f>
        <v>Quelle est la principale raison du lien étroit qui unit Pelota au nationalisme basque ?</v>
      </c>
      <c r="I60" s="6" t="str">
        <f>IFERROR(__xludf.DUMMYFUNCTION("GOOGLETRANSLATE(C60, ""en"", ""fr"")"),"A) C'est un sport unique au Pays basque et un symbole fort de son identité culturelle. B) Ce sport a été utilisé lors des guerres d'indépendance. C) Les règles sont écrites en basque. D) Tous les joueurs professionnels doivent être basques.")</f>
        <v>A) C'est un sport unique au Pays basque et un symbole fort de son identité culturelle. B) Ce sport a été utilisé lors des guerres d'indépendance. C) Les règles sont écrites en basque. D) Tous les joueurs professionnels doivent être basques.</v>
      </c>
      <c r="J60" s="6" t="str">
        <f>IFERROR(__xludf.DUMMYFUNCTION("GOOGLETRANSLATE(D60, ""en"", ""fr"")"),"A) C'est un sport unique au Pays basque et un symbole fort de son identité culturelle.")</f>
        <v>A) C'est un sport unique au Pays basque et un symbole fort de son identité culturelle.</v>
      </c>
      <c r="K60" s="6" t="str">
        <f>IFERROR(__xludf.DUMMYFUNCTION("GOOGLETRANSLATE(E60, ""en"", ""fr"")"),"La pelote basque est plus qu'un jeu ; c'est un trésor culturel précieux et un symbole de l'unicité et du patrimoine basque.")</f>
        <v>La pelote basque est plus qu'un jeu ; c'est un trésor culturel précieux et un symbole de l'unicité et du patrimoine basque.</v>
      </c>
    </row>
    <row r="61" ht="22.5" customHeight="1">
      <c r="A61" s="4">
        <v>60.0</v>
      </c>
      <c r="B61" s="5" t="s">
        <v>1346</v>
      </c>
      <c r="C61" s="5" t="s">
        <v>1347</v>
      </c>
      <c r="D61" s="5" t="s">
        <v>1348</v>
      </c>
      <c r="E61" s="5" t="s">
        <v>1349</v>
      </c>
      <c r="G61" s="6" t="str">
        <f>IFERROR(__xludf.DUMMYFUNCTION("GOOGLETRANSLATE(A61, ""en"", ""fr"")"),"60")</f>
        <v>60</v>
      </c>
      <c r="H61" s="6" t="str">
        <f>IFERROR(__xludf.DUMMYFUNCTION("GOOGLETRANSLATE(B61, ""en"", ""fr"")"),"Qu'est-ce que la modalité « Pasaka » ?")</f>
        <v>Qu'est-ce que la modalité « Pasaka » ?</v>
      </c>
      <c r="I61" s="6" t="str">
        <f>IFERROR(__xludf.DUMMYFUNCTION("GOOGLETRANSLATE(C61, ""en"", ""fr"")"),"A) La version la plus moderne du jeu, B) Une version jouée sur un terrain divisé avec un filet, similaire au tennis, C) Une version jouée avec deux frontons, D) Une version jouée avec une balle très lourde")</f>
        <v>A) La version la plus moderne du jeu, B) Une version jouée sur un terrain divisé avec un filet, similaire au tennis, C) Une version jouée avec deux frontons, D) Une version jouée avec une balle très lourde</v>
      </c>
      <c r="J61" s="6" t="str">
        <f>IFERROR(__xludf.DUMMYFUNCTION("GOOGLETRANSLATE(D61, ""en"", ""fr"")"),"B) Une version jouée sur un terrain divisé avec un filet, similaire au tennis")</f>
        <v>B) Une version jouée sur un terrain divisé avec un filet, similaire au tennis</v>
      </c>
      <c r="K61" s="6" t="str">
        <f>IFERROR(__xludf.DUMMYFUNCTION("GOOGLETRANSLATE(E61, ""en"", ""fr"")"),"Le pasaka est un autre jeu « direct », héritier direct du jeu de paume. Il se joue en intérieur, dans un trinquet.")</f>
        <v>Le pasaka est un autre jeu « direct », héritier direct du jeu de paume. Il se joue en intérieur, dans un trinquet.</v>
      </c>
    </row>
    <row r="62" ht="22.5" customHeight="1">
      <c r="A62" s="4">
        <v>61.0</v>
      </c>
      <c r="B62" s="5" t="s">
        <v>1350</v>
      </c>
      <c r="C62" s="5" t="s">
        <v>1351</v>
      </c>
      <c r="D62" s="5" t="s">
        <v>1352</v>
      </c>
      <c r="E62" s="5" t="s">
        <v>1353</v>
      </c>
      <c r="G62" s="6" t="str">
        <f>IFERROR(__xludf.DUMMYFUNCTION("GOOGLETRANSLATE(A62, ""en"", ""fr"")"),"61")</f>
        <v>61</v>
      </c>
      <c r="H62" s="6" t="str">
        <f>IFERROR(__xludf.DUMMYFUNCTION("GOOGLETRANSLATE(B62, ""en"", ""fr"")"),"Quel auteur célèbre du XXe siècle était un grand amateur de pelote basque à Cuba ?")</f>
        <v>Quel auteur célèbre du XXe siècle était un grand amateur de pelote basque à Cuba ?</v>
      </c>
      <c r="I62" s="6" t="str">
        <f>IFERROR(__xludf.DUMMYFUNCTION("GOOGLETRANSLATE(C62, ""en"", ""fr"")"),"A) F. Scott Fitzgerald, B) Ernest Hemingway, C) Gabriel García Márquez, D) John Steinbeck")</f>
        <v>A) F. Scott Fitzgerald, B) Ernest Hemingway, C) Gabriel García Márquez, D) John Steinbeck</v>
      </c>
      <c r="J62" s="6" t="str">
        <f>IFERROR(__xludf.DUMMYFUNCTION("GOOGLETRANSLATE(D62, ""en"", ""fr"")"),"B) Ernest Hemingway")</f>
        <v>B) Ernest Hemingway</v>
      </c>
      <c r="K62" s="6" t="str">
        <f>IFERROR(__xludf.DUMMYFUNCTION("GOOGLETRANSLATE(E62, ""en"", ""fr"")"),"Hemingway était un passionné de ce sport et assistait souvent aux matchs au célèbre fronton de La Havane.")</f>
        <v>Hemingway était un passionné de ce sport et assistait souvent aux matchs au célèbre fronton de La Havane.</v>
      </c>
    </row>
    <row r="63" ht="22.5" customHeight="1">
      <c r="A63" s="4">
        <v>62.0</v>
      </c>
      <c r="B63" s="5" t="s">
        <v>1354</v>
      </c>
      <c r="C63" s="5" t="s">
        <v>1355</v>
      </c>
      <c r="D63" s="5" t="s">
        <v>1356</v>
      </c>
      <c r="E63" s="5" t="s">
        <v>1357</v>
      </c>
      <c r="G63" s="6" t="str">
        <f>IFERROR(__xludf.DUMMYFUNCTION("GOOGLETRANSLATE(A63, ""en"", ""fr"")"),"62")</f>
        <v>62</v>
      </c>
      <c r="H63" s="6" t="str">
        <f>IFERROR(__xludf.DUMMYFUNCTION("GOOGLETRANSLATE(B63, ""en"", ""fr"")"),"Qu'est-ce qu'un frontenis ?")</f>
        <v>Qu'est-ce qu'un frontenis ?</v>
      </c>
      <c r="I63" s="6" t="str">
        <f>IFERROR(__xludf.DUMMYFUNCTION("GOOGLETRANSLATE(C63, ""en"", ""fr"")"),"A) Le nom espagnol de la pelote basque, B) Une variante de la pelote basque jouée avec une raquette à cordes semblable à une raquette de tennis, C) Un fronton plus petit pour les enfants, D) Le mur frontal du court")</f>
        <v>A) Le nom espagnol de la pelote basque, B) Une variante de la pelote basque jouée avec une raquette à cordes semblable à une raquette de tennis, C) Un fronton plus petit pour les enfants, D) Le mur frontal du court</v>
      </c>
      <c r="J63" s="6" t="str">
        <f>IFERROR(__xludf.DUMMYFUNCTION("GOOGLETRANSLATE(D63, ""en"", ""fr"")"),"B) Une variante de la pelote basque jouée avec une raquette à cordes semblable à une raquette de tennis")</f>
        <v>B) Une variante de la pelote basque jouée avec une raquette à cordes semblable à une raquette de tennis</v>
      </c>
      <c r="K63" s="6" t="str">
        <f>IFERROR(__xludf.DUMMYFUNCTION("GOOGLETRANSLATE(E63, ""en"", ""fr"")"),"Le frontenis, extrêmement populaire au Mexique, est une fusion de pelote basque et de tennis, qui se joue sur un terrain de pelote basque avec des raquettes de tennis.")</f>
        <v>Le frontenis, extrêmement populaire au Mexique, est une fusion de pelote basque et de tennis, qui se joue sur un terrain de pelote basque avec des raquettes de tennis.</v>
      </c>
    </row>
    <row r="64" ht="22.5" customHeight="1">
      <c r="A64" s="4">
        <v>63.0</v>
      </c>
      <c r="B64" s="5" t="s">
        <v>1358</v>
      </c>
      <c r="C64" s="5" t="s">
        <v>1359</v>
      </c>
      <c r="D64" s="5" t="s">
        <v>1360</v>
      </c>
      <c r="E64" s="5" t="s">
        <v>1361</v>
      </c>
      <c r="G64" s="6" t="str">
        <f>IFERROR(__xludf.DUMMYFUNCTION("GOOGLETRANSLATE(A64, ""en"", ""fr"")"),"63")</f>
        <v>63</v>
      </c>
      <c r="H64" s="6" t="str">
        <f>IFERROR(__xludf.DUMMYFUNCTION("GOOGLETRANSLATE(B64, ""en"", ""fr"")"),"Les premiers championnats du monde de 1952 ont constitué une étape majeure dans quel processus ?")</f>
        <v>Les premiers championnats du monde de 1952 ont constitué une étape majeure dans quel processus ?</v>
      </c>
      <c r="I64" s="6" t="str">
        <f>IFERROR(__xludf.DUMMYFUNCTION("GOOGLETRANSLATE(C64, ""en"", ""fr"")"),"A) La commercialisation du sport, B) Le déclin du sport, C) La standardisation et la reconnaissance internationale du sport, D) L'introduction de nouvelles règles")</f>
        <v>A) La commercialisation du sport, B) Le déclin du sport, C) La standardisation et la reconnaissance internationale du sport, D) L'introduction de nouvelles règles</v>
      </c>
      <c r="J64" s="6" t="str">
        <f>IFERROR(__xludf.DUMMYFUNCTION("GOOGLETRANSLATE(D64, ""en"", ""fr"")"),"C) La normalisation et la reconnaissance internationale du sport")</f>
        <v>C) La normalisation et la reconnaissance internationale du sport</v>
      </c>
      <c r="K64" s="6" t="str">
        <f>IFERROR(__xludf.DUMMYFUNCTION("GOOGLETRANSLATE(E64, ""en"", ""fr"")"),"La création des Championnats du monde a offert une scène officielle et mondiale aux différentes modalités de la pelote basque.")</f>
        <v>La création des Championnats du monde a offert une scène officielle et mondiale aux différentes modalités de la pelote basque.</v>
      </c>
    </row>
    <row r="65" ht="22.5" customHeight="1">
      <c r="A65" s="4">
        <v>64.0</v>
      </c>
      <c r="B65" s="5" t="s">
        <v>1362</v>
      </c>
      <c r="C65" s="5" t="s">
        <v>1363</v>
      </c>
      <c r="D65" s="5" t="s">
        <v>1364</v>
      </c>
      <c r="E65" s="5" t="s">
        <v>1365</v>
      </c>
      <c r="G65" s="6" t="str">
        <f>IFERROR(__xludf.DUMMYFUNCTION("GOOGLETRANSLATE(A65, ""en"", ""fr"")"),"64")</f>
        <v>64</v>
      </c>
      <c r="H65" s="6" t="str">
        <f>IFERROR(__xludf.DUMMYFUNCTION("GOOGLETRANSLATE(B65, ""en"", ""fr"")"),"Quelle est la principale raison pour laquelle les joueurs de main nue (main nue) passent des années à préparer leurs mains ?")</f>
        <v>Quelle est la principale raison pour laquelle les joueurs de main nue (main nue) passent des années à préparer leurs mains ?</v>
      </c>
      <c r="I65" s="6" t="str">
        <f>IFERROR(__xludf.DUMMYFUNCTION("GOOGLETRANSLATE(C65, ""en"", ""fr"")"),"A) Pour renforcer leurs mains et mieux frapper, B) Pour développer des callosités et désensibiliser les nerfs afin de mieux supporter l'impact de la balle dure, C) Pour rendre leurs mains plus souples, D) C'est un rituel traditionnel sans but pratique")</f>
        <v>A) Pour renforcer leurs mains et mieux frapper, B) Pour développer des callosités et désensibiliser les nerfs afin de mieux supporter l'impact de la balle dure, C) Pour rendre leurs mains plus souples, D) C'est un rituel traditionnel sans but pratique</v>
      </c>
      <c r="J65" s="6" t="str">
        <f>IFERROR(__xludf.DUMMYFUNCTION("GOOGLETRANSLATE(D65, ""en"", ""fr"")"),"B) Pour développer des callosités et insensibiliser les nerfs afin de mieux résister à l'impact de la balle dure")</f>
        <v>B) Pour développer des callosités et insensibiliser les nerfs afin de mieux résister à l'impact de la balle dure</v>
      </c>
      <c r="K65" s="6" t="str">
        <f>IFERROR(__xludf.DUMMYFUNCTION("GOOGLETRANSLATE(E65, ""en"", ""fr"")"),"Frapper la pelote dure avec une main non entraînée peut facilement provoquer des fractures. Les joueurs doivent donc suivre un processus long et douloureux pour endurcir leurs mains.")</f>
        <v>Frapper la pelote dure avec une main non entraînée peut facilement provoquer des fractures. Les joueurs doivent donc suivre un processus long et douloureux pour endurcir leurs mains.</v>
      </c>
    </row>
    <row r="66" ht="22.5" customHeight="1">
      <c r="A66" s="4">
        <v>65.0</v>
      </c>
      <c r="B66" s="5" t="s">
        <v>1366</v>
      </c>
      <c r="C66" s="5" t="s">
        <v>1367</v>
      </c>
      <c r="D66" s="5" t="s">
        <v>1368</v>
      </c>
      <c r="E66" s="5" t="s">
        <v>1369</v>
      </c>
      <c r="G66" s="6" t="str">
        <f>IFERROR(__xludf.DUMMYFUNCTION("GOOGLETRANSLATE(A66, ""en"", ""fr"")"),"65")</f>
        <v>65</v>
      </c>
      <c r="H66" s="6" t="str">
        <f>IFERROR(__xludf.DUMMYFUNCTION("GOOGLETRANSLATE(B66, ""en"", ""fr"")"),"Quelle est la signification historique du fronton dans un village basque ?")</f>
        <v>Quelle est la signification historique du fronton dans un village basque ?</v>
      </c>
      <c r="I66" s="6" t="str">
        <f>IFERROR(__xludf.DUMMYFUNCTION("GOOGLETRANSLATE(C66, ""en"", ""fr"")"),"A) C'est un lieu de culte, B) C'est le centre social et culturel du village, C) C'est un marché, D) C'est une structure militaire")</f>
        <v>A) C'est un lieu de culte, B) C'est le centre social et culturel du village, C) C'est un marché, D) C'est une structure militaire</v>
      </c>
      <c r="J66" s="6" t="str">
        <f>IFERROR(__xludf.DUMMYFUNCTION("GOOGLETRANSLATE(D66, ""en"", ""fr"")"),"B) C'est le centre social et culturel du village")</f>
        <v>B) C'est le centre social et culturel du village</v>
      </c>
      <c r="K66" s="6" t="str">
        <f>IFERROR(__xludf.DUMMYFUNCTION("GOOGLETRANSLATE(E66, ""en"", ""fr"")"),"Le fronton est bien plus qu'un simple lieu sportif ; c'est la principale place publique où la communauté se rassemble pour des festivals, des bals et des événements sociaux.")</f>
        <v>Le fronton est bien plus qu'un simple lieu sportif ; c'est la principale place publique où la communauté se rassemble pour des festivals, des bals et des événements sociaux.</v>
      </c>
    </row>
    <row r="67" ht="22.5" customHeight="1">
      <c r="A67" s="4">
        <v>66.0</v>
      </c>
      <c r="B67" s="5" t="s">
        <v>1370</v>
      </c>
      <c r="C67" s="5" t="s">
        <v>1371</v>
      </c>
      <c r="D67" s="5" t="s">
        <v>1372</v>
      </c>
      <c r="E67" s="5" t="s">
        <v>1373</v>
      </c>
      <c r="G67" s="6" t="str">
        <f>IFERROR(__xludf.DUMMYFUNCTION("GOOGLETRANSLATE(A67, ""en"", ""fr"")"),"66")</f>
        <v>66</v>
      </c>
      <c r="H67" s="6" t="str">
        <f>IFERROR(__xludf.DUMMYFUNCTION("GOOGLETRANSLATE(B67, ""en"", ""fr"")"),"Au début du XXe siècle, pourquoi nombre des meilleurs péloteurs basques ont-ils émigré ?")</f>
        <v>Au début du XXe siècle, pourquoi nombre des meilleurs péloteurs basques ont-ils émigré ?</v>
      </c>
      <c r="I67" s="6" t="str">
        <f>IFERROR(__xludf.DUMMYFUNCTION("GOOGLETRANSLATE(C67, ""en"", ""fr"")"),"A) Ils ont été exilés pour des raisons politiques, B) Pour jouer dans les circuits professionnels lucratifs de pelote basque en Amérique et en Asie, C) Pour enseigner ce sport à d'autres, D) Pour échapper à la guerre civile espagnole")</f>
        <v>A) Ils ont été exilés pour des raisons politiques, B) Pour jouer dans les circuits professionnels lucratifs de pelote basque en Amérique et en Asie, C) Pour enseigner ce sport à d'autres, D) Pour échapper à la guerre civile espagnole</v>
      </c>
      <c r="J67" s="6" t="str">
        <f>IFERROR(__xludf.DUMMYFUNCTION("GOOGLETRANSLATE(D67, ""en"", ""fr"")"),"B) Participer aux lucratifs circuits professionnels de pelote basque en Amérique et en Asie")</f>
        <v>B) Participer aux lucratifs circuits professionnels de pelote basque en Amérique et en Asie</v>
      </c>
      <c r="K67" s="6" t="str">
        <f>IFERROR(__xludf.DUMMYFUNCTION("GOOGLETRANSLATE(E67, ""en"", ""fr"")"),"L'essor du jai alai professionnel a créé un circuit mondial qui offrait aux joueurs basques la possibilité de gagner beaucoup d'argent et d'acquérir une certaine notoriété à l'étranger.")</f>
        <v>L'essor du jai alai professionnel a créé un circuit mondial qui offrait aux joueurs basques la possibilité de gagner beaucoup d'argent et d'acquérir une certaine notoriété à l'étranger.</v>
      </c>
    </row>
    <row r="68" ht="22.5" customHeight="1">
      <c r="A68" s="4">
        <v>67.0</v>
      </c>
      <c r="B68" s="5" t="s">
        <v>1374</v>
      </c>
      <c r="C68" s="5" t="s">
        <v>1375</v>
      </c>
      <c r="D68" s="5" t="s">
        <v>1376</v>
      </c>
      <c r="E68" s="5" t="s">
        <v>1377</v>
      </c>
      <c r="G68" s="6" t="str">
        <f>IFERROR(__xludf.DUMMYFUNCTION("GOOGLETRANSLATE(A68, ""en"", ""fr"")"),"67")</f>
        <v>67</v>
      </c>
      <c r="H68" s="6" t="str">
        <f>IFERROR(__xludf.DUMMYFUNCTION("GOOGLETRANSLATE(B68, ""en"", ""fr"")"),"Quelle est la principale différence entre un trinquet et un fronton avec un mur gauche ?")</f>
        <v>Quelle est la principale différence entre un trinquet et un fronton avec un mur gauche ?</v>
      </c>
      <c r="I68" s="6" t="str">
        <f>IFERROR(__xludf.DUMMYFUNCTION("GOOGLETRANSLATE(C68, ""en"", ""fr"")"),"A) Le trinquet se joue en extérieur. B) Le trinquet est un court entièrement clos, souvent avec des tribunes. C) Le trinquet est plus petit. D) La balle utilisée est différente.")</f>
        <v>A) Le trinquet se joue en extérieur. B) Le trinquet est un court entièrement clos, souvent avec des tribunes. C) Le trinquet est plus petit. D) La balle utilisée est différente.</v>
      </c>
      <c r="J68" s="6" t="str">
        <f>IFERROR(__xludf.DUMMYFUNCTION("GOOGLETRANSLATE(D68, ""en"", ""fr"")"),"B) Le trinquet est un court entièrement clos de quatre murs, souvent doté d'une tribune pour les spectateurs.")</f>
        <v>B) Le trinquet est un court entièrement clos de quatre murs, souvent doté d'une tribune pour les spectateurs.</v>
      </c>
      <c r="K68" s="6" t="str">
        <f>IFERROR(__xludf.DUMMYFUNCTION("GOOGLETRANSLATE(E68, ""en"", ""fr"")"),"Le trinquet à quatre parois permet un jeu d'angles et de rebonds plus complexe que le fronton à trois parois plus courant.")</f>
        <v>Le trinquet à quatre parois permet un jeu d'angles et de rebonds plus complexe que le fronton à trois parois plus courant.</v>
      </c>
    </row>
    <row r="69" ht="22.5" customHeight="1">
      <c r="A69" s="4">
        <v>68.0</v>
      </c>
      <c r="B69" s="5" t="s">
        <v>1378</v>
      </c>
      <c r="C69" s="5" t="s">
        <v>1379</v>
      </c>
      <c r="D69" s="5" t="s">
        <v>1380</v>
      </c>
      <c r="E69" s="5" t="s">
        <v>1381</v>
      </c>
      <c r="G69" s="6" t="str">
        <f>IFERROR(__xludf.DUMMYFUNCTION("GOOGLETRANSLATE(A69, ""en"", ""fr"")"),"68")</f>
        <v>68</v>
      </c>
      <c r="H69" s="6" t="str">
        <f>IFERROR(__xludf.DUMMYFUNCTION("GOOGLETRANSLATE(B69, ""en"", ""fr"")"),"À quoi fait référence le terme « Basque » dans « Basque Pelota » ?")</f>
        <v>À quoi fait référence le terme « Basque » dans « Basque Pelota » ?</v>
      </c>
      <c r="I69" s="6" t="str">
        <f>IFERROR(__xludf.DUMMYFUNCTION("GOOGLETRANSLATE(C69, ""en"", ""fr"")"),"A) Le type de ballon utilisé, B) La région précise de France et d'Espagne où ce sport est né et est le plus populaire, C) Le nom de l'inventeur, D) La langue parlée par les joueurs")</f>
        <v>A) Le type de ballon utilisé, B) La région précise de France et d'Espagne où ce sport est né et est le plus populaire, C) Le nom de l'inventeur, D) La langue parlée par les joueurs</v>
      </c>
      <c r="J69" s="6" t="str">
        <f>IFERROR(__xludf.DUMMYFUNCTION("GOOGLETRANSLATE(D69, ""en"", ""fr"")"),"B) La région spécifique de France et d'Espagne où ce sport a vu le jour et est le plus populaire")</f>
        <v>B) La région spécifique de France et d'Espagne où ce sport a vu le jour et est le plus populaire</v>
      </c>
      <c r="K69" s="6" t="str">
        <f>IFERROR(__xludf.DUMMYFUNCTION("GOOGLETRANSLATE(E69, ""en"", ""fr"")"),"Ce sport est un produit culturel unique du Pays basque, une région à cheval sur la frontière entre le nord de l'Espagne et le sud-ouest de la France.")</f>
        <v>Ce sport est un produit culturel unique du Pays basque, une région à cheval sur la frontière entre le nord de l'Espagne et le sud-ouest de la France.</v>
      </c>
    </row>
    <row r="70" ht="22.5" customHeight="1">
      <c r="A70" s="4">
        <v>69.0</v>
      </c>
      <c r="B70" s="5" t="s">
        <v>1382</v>
      </c>
      <c r="C70" s="5" t="s">
        <v>1383</v>
      </c>
      <c r="D70" s="5" t="s">
        <v>1384</v>
      </c>
      <c r="E70" s="5" t="s">
        <v>1385</v>
      </c>
      <c r="G70" s="6" t="str">
        <f>IFERROR(__xludf.DUMMYFUNCTION("GOOGLETRANSLATE(A70, ""en"", ""fr"")"),"69")</f>
        <v>69</v>
      </c>
      <c r="H70" s="6" t="str">
        <f>IFERROR(__xludf.DUMMYFUNCTION("GOOGLETRANSLATE(B70, ""en"", ""fr"")"),"On dit qu'un joueur a un remat puissant. Qu'est-ce que cela signifie ?")</f>
        <v>On dit qu'un joueur a un remat puissant. Qu'est-ce que cela signifie ?</v>
      </c>
      <c r="I70" s="6" t="str">
        <f>IFERROR(__xludf.DUMMYFUNCTION("GOOGLETRANSLATE(C70, ""en"", ""fr"")"),"A) Ils ont un très bon service, B) Ils ont un coup final ou « kill » puissant, C) Ils ont une défense solide, D) Ils sont très rapides")</f>
        <v>A) Ils ont un très bon service, B) Ils ont un coup final ou « kill » puissant, C) Ils ont une défense solide, D) Ils sont très rapides</v>
      </c>
      <c r="J70" s="6" t="str">
        <f>IFERROR(__xludf.DUMMYFUNCTION("GOOGLETRANSLATE(D70, ""en"", ""fr"")"),"B) Ils possèdent un coup de finition ou « kill » puissant")</f>
        <v>B) Ils possèdent un coup de finition ou « kill » puissant</v>
      </c>
      <c r="K70" s="6" t="str">
        <f>IFERROR(__xludf.DUMMYFUNCTION("GOOGLETRANSLATE(E70, ""en"", ""fr"")"),"Le remate est le coup offensif joué pour gagner le point, équivalent à un « smash » dans d'autres sports de raquette.")</f>
        <v>Le remate est le coup offensif joué pour gagner le point, équivalent à un « smash » dans d'autres sports de raquette.</v>
      </c>
    </row>
    <row r="71" ht="22.5" customHeight="1">
      <c r="A71" s="4">
        <v>70.0</v>
      </c>
      <c r="B71" s="5" t="s">
        <v>1386</v>
      </c>
      <c r="C71" s="5" t="s">
        <v>1387</v>
      </c>
      <c r="D71" s="5" t="s">
        <v>1388</v>
      </c>
      <c r="E71" s="5" t="s">
        <v>1389</v>
      </c>
      <c r="G71" s="6" t="str">
        <f>IFERROR(__xludf.DUMMYFUNCTION("GOOGLETRANSLATE(A71, ""en"", ""fr"")"),"70")</f>
        <v>70</v>
      </c>
      <c r="H71" s="6" t="str">
        <f>IFERROR(__xludf.DUMMYFUNCTION("GOOGLETRANSLATE(B71, ""en"", ""fr"")"),"L’engouement pour la pelote basque à la fin du XIXe siècle était principalement dû à quoi ?")</f>
        <v>L’engouement pour la pelote basque à la fin du XIXe siècle était principalement dû à quoi ?</v>
      </c>
      <c r="I71" s="6" t="str">
        <f>IFERROR(__xludf.DUMMYFUNCTION("GOOGLETRANSLATE(C71, ""en"", ""fr"")"),"A) L'introduction de nouvelles règles, B) L'émergence de joueurs vedettes charismatiques comme Chiquito de Cambo, C) Son intégration aux Jeux olympiques, D) La diffusion de la télévision")</f>
        <v>A) L'introduction de nouvelles règles, B) L'émergence de joueurs vedettes charismatiques comme Chiquito de Cambo, C) Son intégration aux Jeux olympiques, D) La diffusion de la télévision</v>
      </c>
      <c r="J71" s="6" t="str">
        <f>IFERROR(__xludf.DUMMYFUNCTION("GOOGLETRANSLATE(D71, ""en"", ""fr"")"),"B) L'ascension de joueurs vedettes charismatiques comme Chiquito de Cambo")</f>
        <v>B) L'ascension de joueurs vedettes charismatiques comme Chiquito de Cambo</v>
      </c>
      <c r="K71" s="6" t="str">
        <f>IFERROR(__xludf.DUMMYFUNCTION("GOOGLETRANSLATE(E71, ""en"", ""fr"")"),"L'émergence des premières superstars professionnelles de ce sport l'a transformé d'un passe-temps local en un événement majeur pour les spectateurs.")</f>
        <v>L'émergence des premières superstars professionnelles de ce sport l'a transformé d'un passe-temps local en un événement majeur pour les spectateurs.</v>
      </c>
    </row>
    <row r="72" ht="22.5" customHeight="1">
      <c r="A72" s="4">
        <v>71.0</v>
      </c>
      <c r="B72" s="5" t="s">
        <v>1390</v>
      </c>
      <c r="C72" s="5" t="s">
        <v>1391</v>
      </c>
      <c r="D72" s="5" t="s">
        <v>1392</v>
      </c>
      <c r="E72" s="5" t="s">
        <v>1393</v>
      </c>
      <c r="G72" s="6" t="str">
        <f>IFERROR(__xludf.DUMMYFUNCTION("GOOGLETRANSLATE(A72, ""en"", ""fr"")"),"71")</f>
        <v>71</v>
      </c>
      <c r="H72" s="6" t="str">
        <f>IFERROR(__xludf.DUMMYFUNCTION("GOOGLETRANSLATE(B72, ""en"", ""fr"")"),"Pourquoi la mise au point de la balle en caoutchouc sans couture par le Dr S.C. Hart de Goodyear a-t-elle été si importante pour ce sport ?")</f>
        <v>Pourquoi la mise au point de la balle en caoutchouc sans couture par le Dr S.C. Hart de Goodyear a-t-elle été si importante pour ce sport ?</v>
      </c>
      <c r="I72" s="6" t="str">
        <f>IFERROR(__xludf.DUMMYFUNCTION("GOOGLETRANSLATE(C72, ""en"", ""fr"")"),"A) Cela a rendu les balles plus colorées, B) Cela a créé une balle standardisée, plus résistante et plus dynamique qui a révolutionné le jeu, C) Cela a rendu les balles moins chères, D) Cela a rendu le jeu plus sûr")</f>
        <v>A) Cela a rendu les balles plus colorées, B) Cela a créé une balle standardisée, plus résistante et plus dynamique qui a révolutionné le jeu, C) Cela a rendu les balles moins chères, D) Cela a rendu le jeu plus sûr</v>
      </c>
      <c r="J72" s="6" t="str">
        <f>IFERROR(__xludf.DUMMYFUNCTION("GOOGLETRANSLATE(D72, ""en"", ""fr"")"),"B) Elle a permis de créer une balle standardisée, plus résistante et plus dynamique qui a révolutionné le jeu.")</f>
        <v>B) Elle a permis de créer une balle standardisée, plus résistante et plus dynamique qui a révolutionné le jeu.</v>
      </c>
      <c r="K72" s="6" t="str">
        <f>IFERROR(__xludf.DUMMYFUNCTION("GOOGLETRANSLATE(E72, ""en"", ""fr"")"),"Cette innovation des années 1920 a remplacé les balles traditionnelles, moins fiables, et a constitué un élément clé de la modernisation de ce sport.")</f>
        <v>Cette innovation des années 1920 a remplacé les balles traditionnelles, moins fiables, et a constitué un élément clé de la modernisation de ce sport.</v>
      </c>
    </row>
    <row r="73" ht="22.5" customHeight="1">
      <c r="A73" s="4">
        <v>72.0</v>
      </c>
      <c r="B73" s="5" t="s">
        <v>1394</v>
      </c>
      <c r="C73" s="5" t="s">
        <v>1395</v>
      </c>
      <c r="D73" s="5" t="s">
        <v>1396</v>
      </c>
      <c r="E73" s="5" t="s">
        <v>1397</v>
      </c>
      <c r="G73" s="6" t="str">
        <f>IFERROR(__xludf.DUMMYFUNCTION("GOOGLETRANSLATE(A73, ""en"", ""fr"")"),"72")</f>
        <v>72</v>
      </c>
      <c r="H73" s="6" t="str">
        <f>IFERROR(__xludf.DUMMYFUNCTION("GOOGLETRANSLATE(B73, ""en"", ""fr"")"),"Qu'est-ce qu'une cancha ?")</f>
        <v>Qu'est-ce qu'une cancha ?</v>
      </c>
      <c r="I73" s="6" t="str">
        <f>IFERROR(__xludf.DUMMYFUNCTION("GOOGLETRANSLATE(C73, ""en"", ""fr"")"),"A) La raquette, B) La balle, C) Le terrain de jeu lui-même, D) L'arbitre")</f>
        <v>A) La raquette, B) La balle, C) Le terrain de jeu lui-même, D) L'arbitre</v>
      </c>
      <c r="J73" s="6" t="str">
        <f>IFERROR(__xludf.DUMMYFUNCTION("GOOGLETRANSLATE(D73, ""en"", ""fr"")"),"C) Le terrain de jeu lui-même")</f>
        <v>C) Le terrain de jeu lui-même</v>
      </c>
      <c r="K73" s="6" t="str">
        <f>IFERROR(__xludf.DUMMYFUNCTION("GOOGLETRANSLATE(E73, ""en"", ""fr"")"),"Cancha est le mot espagnol désignant le terrain sur lequel se joue le jeu.")</f>
        <v>Cancha est le mot espagnol désignant le terrain sur lequel se joue le jeu.</v>
      </c>
    </row>
    <row r="74" ht="22.5" customHeight="1">
      <c r="A74" s="4">
        <v>73.0</v>
      </c>
      <c r="B74" s="5" t="s">
        <v>1398</v>
      </c>
      <c r="C74" s="5" t="s">
        <v>1399</v>
      </c>
      <c r="D74" s="5" t="s">
        <v>1400</v>
      </c>
      <c r="E74" s="5" t="s">
        <v>1401</v>
      </c>
      <c r="G74" s="6" t="str">
        <f>IFERROR(__xludf.DUMMYFUNCTION("GOOGLETRANSLATE(A74, ""en"", ""fr"")"),"73")</f>
        <v>73</v>
      </c>
      <c r="H74" s="6" t="str">
        <f>IFERROR(__xludf.DUMMYFUNCTION("GOOGLETRANSLATE(B74, ""en"", ""fr"")"),"Comment le score était-il généralement comptabilisé lors d'un match amical à l'époque ?")</f>
        <v>Comment le score était-il généralement comptabilisé lors d'un match amical à l'époque ?</v>
      </c>
      <c r="I74" s="6" t="str">
        <f>IFERROR(__xludf.DUMMYFUNCTION("GOOGLETRANSLATE(C74, ""en"", ""fr"")"),"A) Avec un tableau d'affichage électronique, B) En traçant des marques à la craie sur une pierre, C) Il n'a pas été conservé, D) En utilisant un boulier")</f>
        <v>A) Avec un tableau d'affichage électronique, B) En traçant des marques à la craie sur une pierre, C) Il n'a pas été conservé, D) En utilisant un boulier</v>
      </c>
      <c r="J74" s="6" t="str">
        <f>IFERROR(__xludf.DUMMYFUNCTION("GOOGLETRANSLATE(D74, ""en"", ""fr"")"),"B) En traçant des marques à la craie sur une pierre")</f>
        <v>B) En traçant des marques à la craie sur une pierre</v>
      </c>
      <c r="K74" s="6" t="str">
        <f>IFERROR(__xludf.DUMMYFUNCTION("GOOGLETRANSLATE(E74, ""en"", ""fr"")"),"Avant l'instauration de marqueurs officiels, les joueurs comptaient souvent les points à l'aide de méthodes simples et traditionnelles.")</f>
        <v>Avant l'instauration de marqueurs officiels, les joueurs comptaient souvent les points à l'aide de méthodes simples et traditionnelles.</v>
      </c>
    </row>
    <row r="75" ht="22.5" customHeight="1">
      <c r="A75" s="4">
        <v>74.0</v>
      </c>
      <c r="B75" s="5" t="s">
        <v>1402</v>
      </c>
      <c r="C75" s="5" t="s">
        <v>1403</v>
      </c>
      <c r="D75" s="5" t="s">
        <v>1404</v>
      </c>
      <c r="E75" s="5" t="s">
        <v>1405</v>
      </c>
      <c r="G75" s="6" t="str">
        <f>IFERROR(__xludf.DUMMYFUNCTION("GOOGLETRANSLATE(A75, ""en"", ""fr"")"),"74")</f>
        <v>74</v>
      </c>
      <c r="H75" s="6" t="str">
        <f>IFERROR(__xludf.DUMMYFUNCTION("GOOGLETRANSLATE(B75, ""en"", ""fr"")"),"Quelle est la principale raison pour laquelle la pelote basque n'est pas devenue un sport olympique permanent ?")</f>
        <v>Quelle est la principale raison pour laquelle la pelote basque n'est pas devenue un sport olympique permanent ?</v>
      </c>
      <c r="I75" s="6" t="str">
        <f>IFERROR(__xludf.DUMMYFUNCTION("GOOGLETRANSLATE(C75, ""en"", ""fr"")"),"A) C'est trop dangereux, B) Le manque de participation mondiale et la complexité de ses nombreuses modalités différentes, C) Ce n'est pas assez populaire, D) L'équipement est trop cher")</f>
        <v>A) C'est trop dangereux, B) Le manque de participation mondiale et la complexité de ses nombreuses modalités différentes, C) Ce n'est pas assez populaire, D) L'équipement est trop cher</v>
      </c>
      <c r="J75" s="6" t="str">
        <f>IFERROR(__xludf.DUMMYFUNCTION("GOOGLETRANSLATE(D75, ""en"", ""fr"")"),"B) Le manque de participation mondiale et la complexité de ses nombreuses modalités différentes")</f>
        <v>B) Le manque de participation mondiale et la complexité de ses nombreuses modalités différentes</v>
      </c>
      <c r="K75" s="6" t="str">
        <f>IFERROR(__xludf.DUMMYFUNCTION("GOOGLETRANSLATE(E75, ""en"", ""fr"")"),"Ce sport n'est pratiqué à haut niveau que dans quelques pays, et ses nombreuses variantes rendent difficile son intégration au programme olympique.")</f>
        <v>Ce sport n'est pratiqué à haut niveau que dans quelques pays, et ses nombreuses variantes rendent difficile son intégration au programme olympique.</v>
      </c>
    </row>
    <row r="76" ht="22.5" customHeight="1">
      <c r="A76" s="4">
        <v>75.0</v>
      </c>
      <c r="B76" s="5" t="s">
        <v>1406</v>
      </c>
      <c r="C76" s="5" t="s">
        <v>1407</v>
      </c>
      <c r="D76" s="5" t="s">
        <v>1408</v>
      </c>
      <c r="E76" s="5" t="s">
        <v>1409</v>
      </c>
      <c r="G76" s="6" t="str">
        <f>IFERROR(__xludf.DUMMYFUNCTION("GOOGLETRANSLATE(A76, ""en"", ""fr"")"),"75")</f>
        <v>75</v>
      </c>
      <c r="H76" s="6" t="str">
        <f>IFERROR(__xludf.DUMMYFUNCTION("GOOGLETRANSLATE(B76, ""en"", ""fr"")"),"Quel est le rôle principal de la paroi latérale longue (pared izquierda) dans un fronton ?")</f>
        <v>Quel est le rôle principal de la paroi latérale longue (pared izquierda) dans un fronton ?</v>
      </c>
      <c r="I76" s="6" t="str">
        <f>IFERROR(__xludf.DUMMYFUNCTION("GOOGLETRANSLATE(C76, ""en"", ""fr"")"),"A) C'est l'endroit où prennent place les spectateurs, B) C'est une surface de jeu active sur laquelle on peut jouer la balle, C) C'est simplement une limite, D) C'est utilisé pour la publicité")</f>
        <v>A) C'est l'endroit où prennent place les spectateurs, B) C'est une surface de jeu active sur laquelle on peut jouer la balle, C) C'est simplement une limite, D) C'est utilisé pour la publicité</v>
      </c>
      <c r="J76" s="6" t="str">
        <f>IFERROR(__xludf.DUMMYFUNCTION("GOOGLETRANSLATE(D76, ""en"", ""fr"")"),"B) Il s'agit d'une surface de jeu active sur laquelle la balle peut être jouée.")</f>
        <v>B) Il s'agit d'une surface de jeu active sur laquelle la balle peut être jouée.</v>
      </c>
      <c r="K76" s="6" t="str">
        <f>IFERROR(__xludf.DUMMYFUNCTION("GOOGLETRANSLATE(E76, ""en"", ""fr"")"),"Le mur gauche est un élément clé du jeu, utilisé pour des tirs stratégiques et des angles complexes qui donnent à ce sport une dimension tridimensionnelle.")</f>
        <v>Le mur gauche est un élément clé du jeu, utilisé pour des tirs stratégiques et des angles complexes qui donnent à ce sport une dimension tridimensionnelle.</v>
      </c>
    </row>
    <row r="77" ht="22.5" customHeight="1">
      <c r="A77" s="4">
        <v>76.0</v>
      </c>
      <c r="B77" s="5" t="s">
        <v>1410</v>
      </c>
      <c r="C77" s="5" t="s">
        <v>1411</v>
      </c>
      <c r="D77" s="5" t="s">
        <v>1412</v>
      </c>
      <c r="E77" s="5" t="s">
        <v>1413</v>
      </c>
      <c r="G77" s="6" t="str">
        <f>IFERROR(__xludf.DUMMYFUNCTION("GOOGLETRANSLATE(A77, ""en"", ""fr"")"),"76")</f>
        <v>76</v>
      </c>
      <c r="H77" s="6" t="str">
        <f>IFERROR(__xludf.DUMMYFUNCTION("GOOGLETRANSLATE(B77, ""en"", ""fr"")"),"Un joueur porte un casque lors d'un match de pelote basque. Pourquoi est-ce une exigence moderne ?")</f>
        <v>Un joueur porte un casque lors d'un match de pelote basque. Pourquoi est-ce une exigence moderne ?</v>
      </c>
      <c r="I77" s="6" t="str">
        <f>IFERROR(__xludf.DUMMYFUNCTION("GOOGLETRANSLATE(C77, ""en"", ""fr"")"),"A) Pour faire professionnel, B) La vitesse incroyable du ballon peut être mortelle s'il heurte la tête d'un joueur, C) Pour se protéger des chutes, D) C'est une exigence du sponsor")</f>
        <v>A) Pour faire professionnel, B) La vitesse incroyable du ballon peut être mortelle s'il heurte la tête d'un joueur, C) Pour se protéger des chutes, D) C'est une exigence du sponsor</v>
      </c>
      <c r="J77" s="6" t="str">
        <f>IFERROR(__xludf.DUMMYFUNCTION("GOOGLETRANSLATE(D77, ""en"", ""fr"")"),"B) L'incroyable vitesse de la balle peut être mortelle si elle frappe un joueur à la tête.")</f>
        <v>B) L'incroyable vitesse de la balle peut être mortelle si elle frappe un joueur à la tête.</v>
      </c>
      <c r="K77" s="6" t="str">
        <f>IFERROR(__xludf.DUMMYFUNCTION("GOOGLETRANSLATE(E77, ""en"", ""fr"")"),"Avec des vitesses de balle dépassant les 300 km/h, le casque est un équipement de sécurité essentiel pour prévenir les blessures graves ou mortelles à la tête.")</f>
        <v>Avec des vitesses de balle dépassant les 300 km/h, le casque est un équipement de sécurité essentiel pour prévenir les blessures graves ou mortelles à la tête.</v>
      </c>
    </row>
    <row r="78" ht="22.5" customHeight="1">
      <c r="A78" s="4">
        <v>77.0</v>
      </c>
      <c r="B78" s="5" t="s">
        <v>1414</v>
      </c>
      <c r="C78" s="5" t="s">
        <v>1415</v>
      </c>
      <c r="D78" s="5" t="s">
        <v>1416</v>
      </c>
      <c r="E78" s="5" t="s">
        <v>1417</v>
      </c>
      <c r="G78" s="6" t="str">
        <f>IFERROR(__xludf.DUMMYFUNCTION("GOOGLETRANSLATE(A78, ""en"", ""fr"")"),"77")</f>
        <v>77</v>
      </c>
      <c r="H78" s="6" t="str">
        <f>IFERROR(__xludf.DUMMYFUNCTION("GOOGLETRANSLATE(B78, ""en"", ""fr"")"),"Que signifie l'expression « mano a mano » ?")</f>
        <v>Que signifie l'expression « mano a mano » ?</v>
      </c>
      <c r="I78" s="6" t="str">
        <f>IFERROR(__xludf.DUMMYFUNCTION("GOOGLETRANSLATE(C78, ""en"", ""fr"")"),"A) Un jeu d'équipe, B) Un match de simple, C) Un match de double, D) Une salutation traditionnelle")</f>
        <v>A) Un jeu d'équipe, B) Un match de simple, C) Un match de double, D) Une salutation traditionnelle</v>
      </c>
      <c r="J78" s="6" t="str">
        <f>IFERROR(__xludf.DUMMYFUNCTION("GOOGLETRANSLATE(D78, ""en"", ""fr"")"),"B) Un match en simple en un contre un")</f>
        <v>B) Un match en simple en un contre un</v>
      </c>
      <c r="K78" s="6" t="str">
        <f>IFERROR(__xludf.DUMMYFUNCTION("GOOGLETRANSLATE(E78, ""en"", ""fr"")"),"Mano a mano (« main à main ») est le terme désignant un match en simple, l'épreuve ultime du talent d'un pelotari.")</f>
        <v>Mano a mano (« main à main ») est le terme désignant un match en simple, l'épreuve ultime du talent d'un pelotari.</v>
      </c>
    </row>
    <row r="79" ht="22.5" customHeight="1">
      <c r="A79" s="4">
        <v>78.0</v>
      </c>
      <c r="B79" s="5" t="s">
        <v>1418</v>
      </c>
      <c r="C79" s="5" t="s">
        <v>1419</v>
      </c>
      <c r="D79" s="5" t="s">
        <v>1420</v>
      </c>
      <c r="E79" s="5" t="s">
        <v>1421</v>
      </c>
      <c r="G79" s="6" t="str">
        <f>IFERROR(__xludf.DUMMYFUNCTION("GOOGLETRANSLATE(A79, ""en"", ""fr"")"),"78")</f>
        <v>78</v>
      </c>
      <c r="H79" s="6" t="str">
        <f>IFERROR(__xludf.DUMMYFUNCTION("GOOGLETRANSLATE(B79, ""en"", ""fr"")"),"Quelle est l'origine historique de la fixation du fronton sur le côté d'une église ?")</f>
        <v>Quelle est l'origine historique de la fixation du fronton sur le côté d'une église ?</v>
      </c>
      <c r="I79" s="6" t="str">
        <f>IFERROR(__xludf.DUMMYFUNCTION("GOOGLETRANSLATE(C79, ""en"", ""fr"")"),"A) L'église était le seul bâtiment possédant un grand mur de pierre plat et adapté au jeu. B) Le jeu était un rituel religieux. C) Les prêtres étaient les meilleurs joueurs. D) Le jeu n'était autorisé que sur un lieu sacré.")</f>
        <v>A) L'église était le seul bâtiment possédant un grand mur de pierre plat et adapté au jeu. B) Le jeu était un rituel religieux. C) Les prêtres étaient les meilleurs joueurs. D) Le jeu n'était autorisé que sur un lieu sacré.</v>
      </c>
      <c r="J79" s="6" t="str">
        <f>IFERROR(__xludf.DUMMYFUNCTION("GOOGLETRANSLATE(D79, ""en"", ""fr"")"),"A) L'église était le seul bâtiment doté d'un grand mur plat en pierre, propice aux jeux.")</f>
        <v>A) L'église était le seul bâtiment doté d'un grand mur plat en pierre, propice aux jeux.</v>
      </c>
      <c r="K79" s="6" t="str">
        <f>IFERROR(__xludf.DUMMYFUNCTION("GOOGLETRANSLATE(E79, ""en"", ""fr"")"),"Dans de nombreux villages basques, le mur de l'église constituait un emplacement pratique et commode qui est devenu le cœur traditionnel de ce sport.")</f>
        <v>Dans de nombreux villages basques, le mur de l'église constituait un emplacement pratique et commode qui est devenu le cœur traditionnel de ce sport.</v>
      </c>
    </row>
    <row r="80" ht="22.5" customHeight="1">
      <c r="A80" s="4">
        <v>79.0</v>
      </c>
      <c r="B80" s="5" t="s">
        <v>1422</v>
      </c>
      <c r="C80" s="5" t="s">
        <v>1423</v>
      </c>
      <c r="D80" s="5" t="s">
        <v>1424</v>
      </c>
      <c r="E80" s="5" t="s">
        <v>1425</v>
      </c>
      <c r="G80" s="6" t="str">
        <f>IFERROR(__xludf.DUMMYFUNCTION("GOOGLETRANSLATE(A80, ""en"", ""fr"")"),"79")</f>
        <v>79</v>
      </c>
      <c r="H80" s="6" t="str">
        <f>IFERROR(__xludf.DUMMYFUNCTION("GOOGLETRANSLATE(B80, ""en"", ""fr"")"),"Le système de paris au Jai Alai, le quiniela, consiste à parier sur les équipes qui termineront à quelles positions ?")</f>
        <v>Le système de paris au Jai Alai, le quiniela, consiste à parier sur les équipes qui termineront à quelles positions ?</v>
      </c>
      <c r="I80" s="6" t="str">
        <f>IFERROR(__xludf.DUMMYFUNCTION("GOOGLETRANSLATE(C80, ""en"", ""fr"")"),"A) Première place seulement, B) Première et deuxième places (Victoire et Placement), C) Première, deuxième et troisième places (Trifecta), D) L'équipe dernière")</f>
        <v>A) Première place seulement, B) Première et deuxième places (Victoire et Placement), C) Première, deuxième et troisième places (Trifecta), D) L'équipe dernière</v>
      </c>
      <c r="J80" s="6" t="str">
        <f>IFERROR(__xludf.DUMMYFUNCTION("GOOGLETRANSLATE(D80, ""en"", ""fr"")"),"B) Première et deuxième place (Victoire et Place)")</f>
        <v>B) Première et deuxième place (Victoire et Place)</v>
      </c>
      <c r="K80" s="6" t="str">
        <f>IFERROR(__xludf.DUMMYFUNCTION("GOOGLETRANSLATE(E80, ""en"", ""fr"")"),"Le quiniela est un système de pari mutuel classique dont le but est de prédire les deux premiers du match.")</f>
        <v>Le quiniela est un système de pari mutuel classique dont le but est de prédire les deux premiers du match.</v>
      </c>
    </row>
    <row r="81" ht="22.5" customHeight="1">
      <c r="A81" s="4">
        <v>80.0</v>
      </c>
      <c r="B81" s="5" t="s">
        <v>1426</v>
      </c>
      <c r="C81" s="5" t="s">
        <v>1427</v>
      </c>
      <c r="D81" s="5" t="s">
        <v>1428</v>
      </c>
      <c r="E81" s="5" t="s">
        <v>1429</v>
      </c>
      <c r="G81" s="6" t="str">
        <f>IFERROR(__xludf.DUMMYFUNCTION("GOOGLETRANSLATE(A81, ""en"", ""fr"")"),"80")</f>
        <v>80</v>
      </c>
      <c r="H81" s="6" t="str">
        <f>IFERROR(__xludf.DUMMYFUNCTION("GOOGLETRANSLATE(B81, ""en"", ""fr"")"),"Quelle est la principale raison du déclin de la pelote basque dans des pays comme les Philippines et les États-Unis ?")</f>
        <v>Quelle est la principale raison du déclin de la pelote basque dans des pays comme les Philippines et les États-Unis ?</v>
      </c>
      <c r="I81" s="6" t="str">
        <f>IFERROR(__xludf.DUMMYFUNCTION("GOOGLETRANSLATE(C81, ""en"", ""fr"")"),"A) Une pénurie mondiale de joueurs, B) Une interdiction du sport, C) Une concurrence accrue d'autres sports et d'options de jeu comme les casinos, D) Le jeu est devenu trop lent")</f>
        <v>A) Une pénurie mondiale de joueurs, B) Une interdiction du sport, C) Une concurrence accrue d'autres sports et d'options de jeu comme les casinos, D) Le jeu est devenu trop lent</v>
      </c>
      <c r="J81" s="6" t="str">
        <f>IFERROR(__xludf.DUMMYFUNCTION("GOOGLETRANSLATE(D81, ""en"", ""fr"")"),"C) Concurrence accrue des autres sports et des options de jeu comme les casinos")</f>
        <v>C) Concurrence accrue des autres sports et des options de jeu comme les casinos</v>
      </c>
      <c r="K81" s="6" t="str">
        <f>IFERROR(__xludf.DUMMYFUNCTION("GOOGLETRANSLATE(E81, ""en"", ""fr"")"),"L'essor d'autres sports professionnels et de formes de jeux d'argent plus accessibles a été un facteur majeur du déclin de la pelote basque en dehors de son berceau.")</f>
        <v>L'essor d'autres sports professionnels et de formes de jeux d'argent plus accessibles a été un facteur majeur du déclin de la pelote basque en dehors de son berceau.</v>
      </c>
    </row>
    <row r="82" ht="22.5" customHeight="1">
      <c r="A82" s="4">
        <v>81.0</v>
      </c>
      <c r="B82" s="5" t="s">
        <v>1430</v>
      </c>
      <c r="C82" s="5" t="s">
        <v>1431</v>
      </c>
      <c r="D82" s="5" t="s">
        <v>1432</v>
      </c>
      <c r="E82" s="5" t="s">
        <v>1433</v>
      </c>
      <c r="G82" s="6" t="str">
        <f>IFERROR(__xludf.DUMMYFUNCTION("GOOGLETRANSLATE(A82, ""en"", ""fr"")"),"81")</f>
        <v>81</v>
      </c>
      <c r="H82" s="6" t="str">
        <f>IFERROR(__xludf.DUMMYFUNCTION("GOOGLETRANSLATE(B82, ""en"", ""fr"")"),"Qu'est-ce que la « ligne de service » ou la ligne falta ?")</f>
        <v>Qu'est-ce que la « ligne de service » ou la ligne falta ?</v>
      </c>
      <c r="I82" s="6" t="str">
        <f>IFERROR(__xludf.DUMMYFUNCTION("GOOGLETRANSLATE(C82, ""en"", ""fr"")"),"A) La ligne marquant le fond du terrain, B) Une ligne que le service doit franchir pour être valide, C) La ligne séparant les deux équipes, D) Une ligne que le serveur ne peut pas franchir")</f>
        <v>A) La ligne marquant le fond du terrain, B) Une ligne que le service doit franchir pour être valide, C) La ligne séparant les deux équipes, D) Une ligne que le serveur ne peut pas franchir</v>
      </c>
      <c r="J82" s="6" t="str">
        <f>IFERROR(__xludf.DUMMYFUNCTION("GOOGLETRANSLATE(D82, ""en"", ""fr"")"),"B) Une ligne que le service doit franchir pour être considéré comme légal")</f>
        <v>B) Une ligne que le service doit franchir pour être considéré comme légal</v>
      </c>
      <c r="K82" s="6" t="str">
        <f>IFERROR(__xludf.DUMMYFUNCTION("GOOGLETRANSLATE(E82, ""en"", ""fr"")"),"Après avoir touché le mur frontal, le service doit rebondir dans la zone valide entre la ligne falta (courte) et la ligne pasa (longue).")</f>
        <v>Après avoir touché le mur frontal, le service doit rebondir dans la zone valide entre la ligne falta (courte) et la ligne pasa (longue).</v>
      </c>
    </row>
    <row r="83" ht="22.5" customHeight="1">
      <c r="A83" s="4">
        <v>82.0</v>
      </c>
      <c r="B83" s="5" t="s">
        <v>1434</v>
      </c>
      <c r="C83" s="5" t="s">
        <v>1435</v>
      </c>
      <c r="D83" s="5" t="s">
        <v>1436</v>
      </c>
      <c r="E83" s="5" t="s">
        <v>1437</v>
      </c>
      <c r="G83" s="6" t="str">
        <f>IFERROR(__xludf.DUMMYFUNCTION("GOOGLETRANSLATE(A83, ""en"", ""fr"")"),"82")</f>
        <v>82</v>
      </c>
      <c r="H83" s="6" t="str">
        <f>IFERROR(__xludf.DUMMYFUNCTION("GOOGLETRANSLATE(B83, ""en"", ""fr"")"),"Quel artiste célèbre était connu pour ses peintures de joueurs de pelote basque ?")</f>
        <v>Quel artiste célèbre était connu pour ses peintures de joueurs de pelote basque ?</v>
      </c>
      <c r="I83" s="6" t="str">
        <f>IFERROR(__xludf.DUMMYFUNCTION("GOOGLETRANSLATE(C83, ""en"", ""fr"")"),"A) Pablo Picasso, B) Salvador Dalí, C) Francisco Goya, D) Joan Miró")</f>
        <v>A) Pablo Picasso, B) Salvador Dalí, C) Francisco Goya, D) Joan Miró</v>
      </c>
      <c r="J83" s="6" t="str">
        <f>IFERROR(__xludf.DUMMYFUNCTION("GOOGLETRANSLATE(D83, ""en"", ""fr"")"),"C) Francisco Goya")</f>
        <v>C) Francisco Goya</v>
      </c>
      <c r="K83" s="6" t="str">
        <f>IFERROR(__xludf.DUMMYFUNCTION("GOOGLETRANSLATE(E83, ""en"", ""fr"")"),"Le maître espagnol Francisco Goya a créé un tableau célèbre intitulé « Le Jeu de Pelota » (Juego de pelota a pala) à la fin du XVIIIe siècle.")</f>
        <v>Le maître espagnol Francisco Goya a créé un tableau célèbre intitulé « Le Jeu de Pelota » (Juego de pelota a pala) à la fin du XVIIIe siècle.</v>
      </c>
    </row>
    <row r="84" ht="22.5" customHeight="1">
      <c r="A84" s="4">
        <v>83.0</v>
      </c>
      <c r="B84" s="5" t="s">
        <v>1438</v>
      </c>
      <c r="C84" s="5" t="s">
        <v>1439</v>
      </c>
      <c r="D84" s="5" t="s">
        <v>1440</v>
      </c>
      <c r="E84" s="5" t="s">
        <v>1441</v>
      </c>
      <c r="G84" s="6" t="str">
        <f>IFERROR(__xludf.DUMMYFUNCTION("GOOGLETRANSLATE(A84, ""en"", ""fr"")"),"83")</f>
        <v>83</v>
      </c>
      <c r="H84" s="6" t="str">
        <f>IFERROR(__xludf.DUMMYFUNCTION("GOOGLETRANSLATE(B84, ""en"", ""fr"")"),"Comment appelle-t-on un « terrain de pelote » en langue basque, euskara ?")</f>
        <v>Comment appelle-t-on un « terrain de pelote » en langue basque, euskara ?</v>
      </c>
      <c r="I84" s="6" t="str">
        <f>IFERROR(__xludf.DUMMYFUNCTION("GOOGLETRANSLATE(C84, ""en"", ""fr"")"),"A) Fronton, B) Pilotaleku, C) Cancha, D) Trinquet")</f>
        <v>A) Fronton, B) Pilotaleku, C) Cancha, D) Trinquet</v>
      </c>
      <c r="J84" s="6" t="str">
        <f>IFERROR(__xludf.DUMMYFUNCTION("GOOGLETRANSLATE(D84, ""en"", ""fr"")"),"B) Pilotaleku")</f>
        <v>B) Pilotaleku</v>
      </c>
      <c r="K84" s="6" t="str">
        <f>IFERROR(__xludf.DUMMYFUNCTION("GOOGLETRANSLATE(E84, ""en"", ""fr"")"),"Pilotaleku est le terme basque désignant le lieu où l'on joue à la pelote basque.")</f>
        <v>Pilotaleku est le terme basque désignant le lieu où l'on joue à la pelote basque.</v>
      </c>
    </row>
    <row r="85" ht="22.5" customHeight="1">
      <c r="A85" s="4">
        <v>84.0</v>
      </c>
      <c r="B85" s="5" t="s">
        <v>1442</v>
      </c>
      <c r="C85" s="5" t="s">
        <v>1443</v>
      </c>
      <c r="D85" s="5" t="s">
        <v>1444</v>
      </c>
      <c r="E85" s="5" t="s">
        <v>1445</v>
      </c>
      <c r="G85" s="6" t="str">
        <f>IFERROR(__xludf.DUMMYFUNCTION("GOOGLETRANSLATE(A85, ""en"", ""fr"")"),"84")</f>
        <v>84</v>
      </c>
      <c r="H85" s="6" t="str">
        <f>IFERROR(__xludf.DUMMYFUNCTION("GOOGLETRANSLATE(B85, ""en"", ""fr"")"),"Pourquoi le mur de gauche (pared izquierda) est-il une caractéristique standard, mais pas le mur de droite ?")</f>
        <v>Pourquoi le mur de gauche (pared izquierda) est-il une caractéristique standard, mais pas le mur de droite ?</v>
      </c>
      <c r="I85" s="6" t="str">
        <f>IFERROR(__xludf.DUMMYFUNCTION("GOOGLETRANSLATE(C85, ""en"", ""fr"")"),"A) C'est une tradition sans raison, B) Pour permettre aux joueurs droitiers de jouer leur coup droit naturel, C) Construire un mur à droite coûte trop cher, D) Un mur à droite rendrait le jeu trop facile")</f>
        <v>A) C'est une tradition sans raison, B) Pour permettre aux joueurs droitiers de jouer leur coup droit naturel, C) Construire un mur à droite coûte trop cher, D) Un mur à droite rendrait le jeu trop facile</v>
      </c>
      <c r="J85" s="6" t="str">
        <f>IFERROR(__xludf.DUMMYFUNCTION("GOOGLETRANSLATE(D85, ""en"", ""fr"")"),"B) Pour permettre aux joueurs droitiers de jouer leur coup droit naturel")</f>
        <v>B) Pour permettre aux joueurs droitiers de jouer leur coup droit naturel</v>
      </c>
      <c r="K85" s="6" t="str">
        <f>IFERROR(__xludf.DUMMYFUNCTION("GOOGLETRANSLATE(E85, ""en"", ""fr"")"),"Le côté droit du court, ouvert, permet à la majorité des joueurs, qui sont droitiers, de frapper librement sans heurter un mur.")</f>
        <v>Le côté droit du court, ouvert, permet à la majorité des joueurs, qui sont droitiers, de frapper librement sans heurter un mur.</v>
      </c>
    </row>
    <row r="86" ht="22.5" customHeight="1">
      <c r="A86" s="4">
        <v>85.0</v>
      </c>
      <c r="B86" s="5" t="s">
        <v>1446</v>
      </c>
      <c r="C86" s="5" t="s">
        <v>1447</v>
      </c>
      <c r="D86" s="5" t="s">
        <v>1448</v>
      </c>
      <c r="E86" s="5" t="s">
        <v>1449</v>
      </c>
      <c r="G86" s="6" t="str">
        <f>IFERROR(__xludf.DUMMYFUNCTION("GOOGLETRANSLATE(A86, ""en"", ""fr"")"),"85")</f>
        <v>85</v>
      </c>
      <c r="H86" s="6" t="str">
        <f>IFERROR(__xludf.DUMMYFUNCTION("GOOGLETRANSLATE(B86, ""en"", ""fr"")"),"Quelle est la principale caractéristique du pala utilisé dans certaines modalités ?")</f>
        <v>Quelle est la principale caractéristique du pala utilisé dans certaines modalités ?</v>
      </c>
      <c r="I86" s="6" t="str">
        <f>IFERROR(__xludf.DUMMYFUNCTION("GOOGLETRANSLATE(C86, ""en"", ""fr"")"),"A) C'est une raquette à cordes, B) C'est une pagaie en bois massif, C) C'est un gant en cuir, D) C'est un panier tressé")</f>
        <v>A) C'est une raquette à cordes, B) C'est une pagaie en bois massif, C) C'est un gant en cuir, D) C'est un panier tressé</v>
      </c>
      <c r="J86" s="6" t="str">
        <f>IFERROR(__xludf.DUMMYFUNCTION("GOOGLETRANSLATE(D86, ""en"", ""fr"")"),"B) C'est une pagaie en bois massif")</f>
        <v>B) C'est une pagaie en bois massif</v>
      </c>
      <c r="K86" s="6" t="str">
        <f>IFERROR(__xludf.DUMMYFUNCTION("GOOGLETRANSLATE(E86, ""en"", ""fr"")"),"Le pala est une puissante raquette en bois, semblable à une batte, utilisée pour frapper la balle avec une grande force.")</f>
        <v>Le pala est une puissante raquette en bois, semblable à une batte, utilisée pour frapper la balle avec une grande force.</v>
      </c>
    </row>
    <row r="87" ht="22.5" customHeight="1">
      <c r="A87" s="4">
        <v>86.0</v>
      </c>
      <c r="B87" s="5" t="s">
        <v>1450</v>
      </c>
      <c r="C87" s="5" t="s">
        <v>1451</v>
      </c>
      <c r="D87" s="5" t="s">
        <v>1452</v>
      </c>
      <c r="E87" s="5" t="s">
        <v>1453</v>
      </c>
      <c r="G87" s="6" t="str">
        <f>IFERROR(__xludf.DUMMYFUNCTION("GOOGLETRANSLATE(A87, ""en"", ""fr"")"),"86")</f>
        <v>86</v>
      </c>
      <c r="H87" s="6" t="str">
        <f>IFERROR(__xludf.DUMMYFUNCTION("GOOGLETRANSLATE(B87, ""en"", ""fr"")"),"Au XIXe siècle, la pelote basque était souvent pratiquée dans le cadre d'un défi ou d'un desafio. En quoi cela consistait-il ?")</f>
        <v>Au XIXe siècle, la pelote basque était souvent pratiquée dans le cadre d'un défi ou d'un desafio. En quoi cela consistait-il ?</v>
      </c>
      <c r="I87" s="6" t="str">
        <f>IFERROR(__xludf.DUMMYFUNCTION("GOOGLETRANSLATE(C87, ""en"", ""fr"")"),"A) Un match amical d'exhibition, B) Un match à enjeux élevés entre deux villes ou champions, souvent avec une grosse mise, C) Un jeu avec des règles différentes, D) Une cérémonie religieuse")</f>
        <v>A) Un match amical d'exhibition, B) Un match à enjeux élevés entre deux villes ou champions, souvent avec une grosse mise, C) Un jeu avec des règles différentes, D) Une cérémonie religieuse</v>
      </c>
      <c r="J87" s="6" t="str">
        <f>IFERROR(__xludf.DUMMYFUNCTION("GOOGLETRANSLATE(D87, ""en"", ""fr"")"),"B) Un match à enjeux élevés entre deux villes ou deux champions, souvent avec une grosse mise")</f>
        <v>B) Un match à enjeux élevés entre deux villes ou deux champions, souvent avec une grosse mise</v>
      </c>
      <c r="K87" s="6" t="str">
        <f>IFERROR(__xludf.DUMMYFUNCTION("GOOGLETRANSLATE(E87, ""en"", ""fr"")"),"Un desafio était un match de défi formel, un élément central de la culture d'honneur et de rivalité de ce sport.")</f>
        <v>Un desafio était un match de défi formel, un élément central de la culture d'honneur et de rivalité de ce sport.</v>
      </c>
    </row>
    <row r="88" ht="22.5" customHeight="1">
      <c r="A88" s="4">
        <v>87.0</v>
      </c>
      <c r="B88" s="5" t="s">
        <v>1454</v>
      </c>
      <c r="C88" s="5" t="s">
        <v>1455</v>
      </c>
      <c r="D88" s="5" t="s">
        <v>1456</v>
      </c>
      <c r="E88" s="5" t="s">
        <v>1457</v>
      </c>
      <c r="G88" s="6" t="str">
        <f>IFERROR(__xludf.DUMMYFUNCTION("GOOGLETRANSLATE(A88, ""en"", ""fr"")"),"87")</f>
        <v>87</v>
      </c>
      <c r="H88" s="6" t="str">
        <f>IFERROR(__xludf.DUMMYFUNCTION("GOOGLETRANSLATE(B88, ""en"", ""fr"")"),"La Fédération internationale (FIPV) a fait pression pour que la pelote soit incluse dans quel événement majeur ?")</f>
        <v>La Fédération internationale (FIPV) a fait pression pour que la pelote soit incluse dans quel événement majeur ?</v>
      </c>
      <c r="I88" s="6" t="str">
        <f>IFERROR(__xludf.DUMMYFUNCTION("GOOGLETRANSLATE(C88, ""en"", ""fr"")"),"A) Les Jeux olympiques d'hiver, B) Les Jeux olympiques d'été, C) La Coupe du monde, D) Les X Games")</f>
        <v>A) Les Jeux olympiques d'hiver, B) Les Jeux olympiques d'été, C) La Coupe du monde, D) Les X Games</v>
      </c>
      <c r="J88" s="6" t="str">
        <f>IFERROR(__xludf.DUMMYFUNCTION("GOOGLETRANSLATE(D88, ""en"", ""fr"")"),"B) Les Jeux olympiques d'été")</f>
        <v>B) Les Jeux olympiques d'été</v>
      </c>
      <c r="K88" s="6" t="str">
        <f>IFERROR(__xludf.DUMMYFUNCTION("GOOGLETRANSLATE(E88, ""en"", ""fr"")"),"La FIPV nourrit depuis longtemps l'ambition de faire reconnaître la pelote basque comme un sport olympique officiel et permanent.")</f>
        <v>La FIPV nourrit depuis longtemps l'ambition de faire reconnaître la pelote basque comme un sport olympique officiel et permanent.</v>
      </c>
    </row>
    <row r="89" ht="22.5" customHeight="1">
      <c r="A89" s="4">
        <v>88.0</v>
      </c>
      <c r="B89" s="5" t="s">
        <v>1458</v>
      </c>
      <c r="C89" s="5" t="s">
        <v>1459</v>
      </c>
      <c r="D89" s="5" t="s">
        <v>1460</v>
      </c>
      <c r="E89" s="5" t="s">
        <v>1461</v>
      </c>
      <c r="G89" s="6" t="str">
        <f>IFERROR(__xludf.DUMMYFUNCTION("GOOGLETRANSLATE(A89, ""en"", ""fr"")"),"88")</f>
        <v>88</v>
      </c>
      <c r="H89" s="6" t="str">
        <f>IFERROR(__xludf.DUMMYFUNCTION("GOOGLETRANSLATE(B89, ""en"", ""fr"")"),"Comment appelle-t-on un point au Jai Alai ?")</f>
        <v>Comment appelle-t-on un point au Jai Alai ?</v>
      </c>
      <c r="I89" s="6" t="str">
        <f>IFERROR(__xludf.DUMMYFUNCTION("GOOGLETRANSLATE(C89, ""en"", ""fr"")"),"A) Un point, B) Un score, C) Un tanto, D) Un but")</f>
        <v>A) Un point, B) Un score, C) Un tanto, D) Un but</v>
      </c>
      <c r="J89" s="6" t="str">
        <f>IFERROR(__xludf.DUMMYFUNCTION("GOOGLETRANSLATE(D89, ""en"", ""fr"")"),"C) Un tanto")</f>
        <v>C) Un tanto</v>
      </c>
      <c r="K89" s="6" t="str">
        <f>IFERROR(__xludf.DUMMYFUNCTION("GOOGLETRANSLATE(E89, ""en"", ""fr"")"),"Le mot espagnol « tanto » est le terme traditionnel désignant un point marqué lors d'un match.")</f>
        <v>Le mot espagnol « tanto » est le terme traditionnel désignant un point marqué lors d'un match.</v>
      </c>
    </row>
    <row r="90" ht="22.5" customHeight="1">
      <c r="A90" s="4">
        <v>89.0</v>
      </c>
      <c r="B90" s="5" t="s">
        <v>1462</v>
      </c>
      <c r="C90" s="5" t="s">
        <v>1463</v>
      </c>
      <c r="D90" s="5" t="s">
        <v>1464</v>
      </c>
      <c r="E90" s="5" t="s">
        <v>1465</v>
      </c>
      <c r="G90" s="6" t="str">
        <f>IFERROR(__xludf.DUMMYFUNCTION("GOOGLETRANSLATE(A90, ""en"", ""fr"")"),"89")</f>
        <v>89</v>
      </c>
      <c r="H90" s="6" t="str">
        <f>IFERROR(__xludf.DUMMYFUNCTION("GOOGLETRANSLATE(B90, ""en"", ""fr"")"),"Le jeu joué avec un gant de cuir, laxoa, est considéré comme l'ancêtre direct de quelle modalité moderne ?")</f>
        <v>Le jeu joué avec un gant de cuir, laxoa, est considéré comme l'ancêtre direct de quelle modalité moderne ?</v>
      </c>
      <c r="I90" s="6" t="str">
        <f>IFERROR(__xludf.DUMMYFUNCTION("GOOGLETRANSLATE(C90, ""en"", ""fr"")"),"A) Cesta Punta, B) Pelote à main nue (nue principale), C) Paleta Goma, D) Ce n'est pas lié")</f>
        <v>A) Cesta Punta, B) Pelote à main nue (nue principale), C) Paleta Goma, D) Ce n'est pas lié</v>
      </c>
      <c r="J90" s="6" t="str">
        <f>IFERROR(__xludf.DUMMYFUNCTION("GOOGLETRANSLATE(D90, ""en"", ""fr"")"),"B) Pelote à main nue (nue principale)")</f>
        <v>B) Pelote à main nue (nue principale)</v>
      </c>
      <c r="K90" s="6" t="str">
        <f>IFERROR(__xludf.DUMMYFUNCTION("GOOGLETRANSLATE(E90, ""en"", ""fr"")"),"La laxoa, l'une des formes les plus anciennes, montre le lien évolutif clair entre le jeu de paume et le style moderne à mains nues de la pelota.")</f>
        <v>La laxoa, l'une des formes les plus anciennes, montre le lien évolutif clair entre le jeu de paume et le style moderne à mains nues de la pelota.</v>
      </c>
    </row>
    <row r="91" ht="22.5" customHeight="1">
      <c r="A91" s="4">
        <v>90.0</v>
      </c>
      <c r="B91" s="5" t="s">
        <v>1466</v>
      </c>
      <c r="C91" s="5" t="s">
        <v>1467</v>
      </c>
      <c r="D91" s="5" t="s">
        <v>1468</v>
      </c>
      <c r="E91" s="5" t="s">
        <v>1469</v>
      </c>
      <c r="G91" s="6" t="str">
        <f>IFERROR(__xludf.DUMMYFUNCTION("GOOGLETRANSLATE(A91, ""en"", ""fr"")"),"90")</f>
        <v>90</v>
      </c>
      <c r="H91" s="6" t="str">
        <f>IFERROR(__xludf.DUMMYFUNCTION("GOOGLETRANSLATE(B91, ""en"", ""fr"")"),"Pourquoi la balle (pelote) est-elle recouverte de peau de chèvre ?")</f>
        <v>Pourquoi la balle (pelote) est-elle recouverte de peau de chèvre ?</v>
      </c>
      <c r="I91" s="6" t="str">
        <f>IFERROR(__xludf.DUMMYFUNCTION("GOOGLETRANSLATE(C91, ""en"", ""fr"")"),"A) C'est le matériau le moins cher, B) C'est une tradition, C) La peau de chèvre est extrêmement résistante et offre la texture idéale pour le jeu, D) Elle est imperméable")</f>
        <v>A) C'est le matériau le moins cher, B) C'est une tradition, C) La peau de chèvre est extrêmement résistante et offre la texture idéale pour le jeu, D) Elle est imperméable</v>
      </c>
      <c r="J91" s="6" t="str">
        <f>IFERROR(__xludf.DUMMYFUNCTION("GOOGLETRANSLATE(D91, ""en"", ""fr"")"),"C) La peau de chèvre est extrêmement résistante et offre la texture idéale pour le jeu.")</f>
        <v>C) La peau de chèvre est extrêmement résistante et offre la texture idéale pour le jeu.</v>
      </c>
      <c r="K91" s="6" t="str">
        <f>IFERROR(__xludf.DUMMYFUNCTION("GOOGLETRANSLATE(E91, ""en"", ""fr"")"),"Les deux couches de cuir de chèvre cousues à la main constituent l'élément final et crucial qui confère à la balle son incroyable résilience et ses caractéristiques de jeu.")</f>
        <v>Les deux couches de cuir de chèvre cousues à la main constituent l'élément final et crucial qui confère à la balle son incroyable résilience et ses caractéristiques de jeu.</v>
      </c>
    </row>
    <row r="92" ht="22.5" customHeight="1">
      <c r="A92" s="4">
        <v>91.0</v>
      </c>
      <c r="B92" s="5" t="s">
        <v>1470</v>
      </c>
      <c r="C92" s="5" t="s">
        <v>1471</v>
      </c>
      <c r="D92" s="5" t="s">
        <v>1472</v>
      </c>
      <c r="E92" s="5" t="s">
        <v>1473</v>
      </c>
      <c r="G92" s="6" t="str">
        <f>IFERROR(__xludf.DUMMYFUNCTION("GOOGLETRANSLATE(A92, ""en"", ""fr"")"),"91")</f>
        <v>91</v>
      </c>
      <c r="H92" s="6" t="str">
        <f>IFERROR(__xludf.DUMMYFUNCTION("GOOGLETRANSLATE(B92, ""en"", ""fr"")"),"Quel est le rôle du mur arrière (rebote) dans un fronton à trois murs ?")</f>
        <v>Quel est le rôle du mur arrière (rebote) dans un fronton à trois murs ?</v>
      </c>
      <c r="I92" s="6" t="str">
        <f>IFERROR(__xludf.DUMMYFUNCTION("GOOGLETRANSLATE(C92, ""en"", ""fr"")"),"A) C'est hors limites, B) C'est une surface de jeu active sur laquelle la balle peut être jouée, C) C'est là que se trouve le tableau d'affichage, D) C'est pour les spectateurs")</f>
        <v>A) C'est hors limites, B) C'est une surface de jeu active sur laquelle la balle peut être jouée, C) C'est là que se trouve le tableau d'affichage, D) C'est pour les spectateurs</v>
      </c>
      <c r="J92" s="6" t="str">
        <f>IFERROR(__xludf.DUMMYFUNCTION("GOOGLETRANSLATE(D92, ""en"", ""fr"")"),"B) Il s'agit d'une surface de jeu active sur laquelle la balle peut être jouée.")</f>
        <v>B) Il s'agit d'une surface de jeu active sur laquelle la balle peut être jouée.</v>
      </c>
      <c r="K92" s="6" t="str">
        <f>IFERROR(__xludf.DUMMYFUNCTION("GOOGLETRANSLATE(E92, ""en"", ""fr"")"),"Le mur du fond ajoute un élément stratégique complexe, permettant de longs échanges et différents types de coups.")</f>
        <v>Le mur du fond ajoute un élément stratégique complexe, permettant de longs échanges et différents types de coups.</v>
      </c>
    </row>
    <row r="93" ht="22.5" customHeight="1">
      <c r="A93" s="4">
        <v>92.0</v>
      </c>
      <c r="B93" s="5" t="s">
        <v>1474</v>
      </c>
      <c r="C93" s="5" t="s">
        <v>1475</v>
      </c>
      <c r="D93" s="5" t="s">
        <v>1476</v>
      </c>
      <c r="E93" s="5" t="s">
        <v>1477</v>
      </c>
      <c r="G93" s="6" t="str">
        <f>IFERROR(__xludf.DUMMYFUNCTION("GOOGLETRANSLATE(A93, ""en"", ""fr"")"),"92")</f>
        <v>92</v>
      </c>
      <c r="H93" s="6" t="str">
        <f>IFERROR(__xludf.DUMMYFUNCTION("GOOGLETRANSLATE(B93, ""en"", ""fr"")"),"Quel joueur, au début du XXe siècle, a contribué à faire de la pelote basque un sport majeur au Pays basque grâce à sa popularité ?")</f>
        <v>Quel joueur, au début du XXe siècle, a contribué à faire de la pelote basque un sport majeur au Pays basque grâce à sa popularité ?</v>
      </c>
      <c r="I93" s="6" t="str">
        <f>IFERROR(__xludf.DUMMYFUNCTION("GOOGLETRANSLATE(C93, ""en"", ""fr"")"),"A) Atano III, B) Chiquito de Cambo, C) Retegi II, D) Gallastegui")</f>
        <v>A) Atano III, B) Chiquito de Cambo, C) Retegi II, D) Gallastegui</v>
      </c>
      <c r="J93" s="6" t="str">
        <f>IFERROR(__xludf.DUMMYFUNCTION("GOOGLETRANSLATE(D93, ""en"", ""fr"")"),"A) Atano III")</f>
        <v>A) Atano III</v>
      </c>
      <c r="K93" s="6" t="str">
        <f>IFERROR(__xludf.DUMMYFUNCTION("GOOGLETRANSLATE(E93, ""en"", ""fr"")"),"Mariano Juaristi, connu sous le nom d'Atano III, était un joueur légendaire de tennis à mains nues dont la domination et l'habileté dans les années 1920 et 1930 ont fait de lui un héros national.")</f>
        <v>Mariano Juaristi, connu sous le nom d'Atano III, était un joueur légendaire de tennis à mains nues dont la domination et l'habileté dans les années 1920 et 1930 ont fait de lui un héros national.</v>
      </c>
    </row>
    <row r="94" ht="22.5" customHeight="1">
      <c r="A94" s="4">
        <v>93.0</v>
      </c>
      <c r="B94" s="5" t="s">
        <v>1478</v>
      </c>
      <c r="C94" s="5" t="s">
        <v>1479</v>
      </c>
      <c r="D94" s="5" t="s">
        <v>1480</v>
      </c>
      <c r="E94" s="5" t="s">
        <v>1481</v>
      </c>
      <c r="G94" s="6" t="str">
        <f>IFERROR(__xludf.DUMMYFUNCTION("GOOGLETRANSLATE(A94, ""en"", ""fr"")"),"93")</f>
        <v>93</v>
      </c>
      <c r="H94" s="6" t="str">
        <f>IFERROR(__xludf.DUMMYFUNCTION("GOOGLETRANSLATE(B94, ""en"", ""fr"")"),"Qu'est-ce que le « frontball » ?")</f>
        <v>Qu'est-ce que le « frontball » ?</v>
      </c>
      <c r="I94" s="6" t="str">
        <f>IFERROR(__xludf.DUMMYFUNCTION("GOOGLETRANSLATE(C94, ""en"", ""fr"")"),"A) Un ancien nom de la pelote basque, B) Une version moderne et simplifiée de la pelote basque jouée avec une simple balle contre un mur, C) Le nom du service, D) Un type de terrain de jeu")</f>
        <v>A) Un ancien nom de la pelote basque, B) Une version moderne et simplifiée de la pelote basque jouée avec une simple balle contre un mur, C) Le nom du service, D) Un type de terrain de jeu</v>
      </c>
      <c r="J94" s="6" t="str">
        <f>IFERROR(__xludf.DUMMYFUNCTION("GOOGLETRANSLATE(D94, ""en"", ""fr"")"),"B) Une version moderne et simplifiée de la pelote basque, jouée avec une simple balle contre un mur.")</f>
        <v>B) Une version moderne et simplifiée de la pelote basque, jouée avec une simple balle contre un mur.</v>
      </c>
      <c r="K94" s="6" t="str">
        <f>IFERROR(__xludf.DUMMYFUNCTION("GOOGLETRANSLATE(E94, ""en"", ""fr"")"),"Le frontball est une nouvelle version accessible du jeu, promue par la FIPV pour diffuser ce sport dans le monde entier, car elle ne nécessite pas de terrain formel.")</f>
        <v>Le frontball est une nouvelle version accessible du jeu, promue par la FIPV pour diffuser ce sport dans le monde entier, car elle ne nécessite pas de terrain formel.</v>
      </c>
    </row>
    <row r="95" ht="22.5" customHeight="1">
      <c r="A95" s="4">
        <v>94.0</v>
      </c>
      <c r="B95" s="5" t="s">
        <v>1482</v>
      </c>
      <c r="C95" s="5" t="s">
        <v>1483</v>
      </c>
      <c r="D95" s="5" t="s">
        <v>1484</v>
      </c>
      <c r="E95" s="5" t="s">
        <v>1485</v>
      </c>
      <c r="G95" s="6" t="str">
        <f>IFERROR(__xludf.DUMMYFUNCTION("GOOGLETRANSLATE(A95, ""en"", ""fr"")"),"94")</f>
        <v>94</v>
      </c>
      <c r="H95" s="6" t="str">
        <f>IFERROR(__xludf.DUMMYFUNCTION("GOOGLETRANSLATE(B95, ""en"", ""fr"")"),"Lors d'un match professionnel de pelote basque, quel est le mouvement du serveur ?")</f>
        <v>Lors d'un match professionnel de pelote basque, quel est le mouvement du serveur ?</v>
      </c>
      <c r="I95" s="6" t="str">
        <f>IFERROR(__xludf.DUMMYFUNCTION("GOOGLETRANSLATE(C95, ""en"", ""fr"")"),"A) Ils lancent la balle par-dessus l'épaule, B) Ils doivent faire rebondir la balle puis la ramasser et la lancer avec la chistera, C) Ils peuvent la frapper directement avec la chistera, D) Un coéquipier sert pour eux")</f>
        <v>A) Ils lancent la balle par-dessus l'épaule, B) Ils doivent faire rebondir la balle puis la ramasser et la lancer avec la chistera, C) Ils peuvent la frapper directement avec la chistera, D) Un coéquipier sert pour eux</v>
      </c>
      <c r="J95" s="6" t="str">
        <f>IFERROR(__xludf.DUMMYFUNCTION("GOOGLETRANSLATE(D95, ""en"", ""fr"")"),"B) Ils doivent faire rebondir la balle, puis la ramasser et la lancer avec la styra.")</f>
        <v>B) Ils doivent faire rebondir la balle, puis la ramasser et la lancer avec la styra.</v>
      </c>
      <c r="K95" s="6" t="str">
        <f>IFERROR(__xludf.DUMMYFUNCTION("GOOGLETRANSLATE(E95, ""en"", ""fr"")"),"Le service doit comporter un mouvement spécifique et obligatoire pour être légal.")</f>
        <v>Le service doit comporter un mouvement spécifique et obligatoire pour être légal.</v>
      </c>
    </row>
    <row r="96" ht="22.5" customHeight="1">
      <c r="A96" s="4">
        <v>95.0</v>
      </c>
      <c r="B96" s="5" t="s">
        <v>1486</v>
      </c>
      <c r="C96" s="5" t="s">
        <v>1487</v>
      </c>
      <c r="D96" s="5" t="s">
        <v>1488</v>
      </c>
      <c r="E96" s="5" t="s">
        <v>1489</v>
      </c>
      <c r="G96" s="6" t="str">
        <f>IFERROR(__xludf.DUMMYFUNCTION("GOOGLETRANSLATE(A96, ""en"", ""fr"")"),"95")</f>
        <v>95</v>
      </c>
      <c r="H96" s="6" t="str">
        <f>IFERROR(__xludf.DUMMYFUNCTION("GOOGLETRANSLATE(B96, ""en"", ""fr"")"),"Le lien étroit qui unit ce sport aux paris est un héritage de quelle période ?")</f>
        <v>Le lien étroit qui unit ce sport aux paris est un héritage de quelle période ?</v>
      </c>
      <c r="I96" s="6" t="str">
        <f>IFERROR(__xludf.DUMMYFUNCTION("GOOGLETRANSLATE(C96, ""en"", ""fr"")"),"A) Ses origines anciennes, B) Son statut de sport professionnel majeur en Amérique, C) Son inclusion aux Jeux olympiques, D) Son absence d'association avec les paris")</f>
        <v>A) Ses origines anciennes, B) Son statut de sport professionnel majeur en Amérique, C) Son inclusion aux Jeux olympiques, D) Son absence d'association avec les paris</v>
      </c>
      <c r="J96" s="6" t="str">
        <f>IFERROR(__xludf.DUMMYFUNCTION("GOOGLETRANSLATE(D96, ""en"", ""fr"")"),"B) Son statut de sport professionnel majeur en Amérique")</f>
        <v>B) Son statut de sport professionnel majeur en Amérique</v>
      </c>
      <c r="K96" s="6" t="str">
        <f>IFERROR(__xludf.DUMMYFUNCTION("GOOGLETRANSLATE(E96, ""en"", ""fr"")"),"Le circuit professionnel de pelote basque aux États-Unis s'est presque entièrement construit autour du système de paris mutuels.")</f>
        <v>Le circuit professionnel de pelote basque aux États-Unis s'est presque entièrement construit autour du système de paris mutuels.</v>
      </c>
    </row>
    <row r="97" ht="22.5" customHeight="1">
      <c r="A97" s="4">
        <v>96.0</v>
      </c>
      <c r="B97" s="5" t="s">
        <v>1490</v>
      </c>
      <c r="C97" s="5" t="s">
        <v>1491</v>
      </c>
      <c r="D97" s="5" t="s">
        <v>1492</v>
      </c>
      <c r="E97" s="5" t="s">
        <v>1493</v>
      </c>
      <c r="G97" s="6" t="str">
        <f>IFERROR(__xludf.DUMMYFUNCTION("GOOGLETRANSLATE(A97, ""en"", ""fr"")"),"96")</f>
        <v>96</v>
      </c>
      <c r="H97" s="6" t="str">
        <f>IFERROR(__xludf.DUMMYFUNCTION("GOOGLETRANSLATE(B97, ""en"", ""fr"")"),"Quelle est la principale raison pour laquelle la pelota jouit d'un statut culturel beaucoup plus élevé au Pays basque que dans d'autres parties du monde ?")</f>
        <v>Quelle est la principale raison pour laquelle la pelota jouit d'un statut culturel beaucoup plus élevé au Pays basque que dans d'autres parties du monde ?</v>
      </c>
      <c r="I97" s="6" t="str">
        <f>IFERROR(__xludf.DUMMYFUNCTION("GOOGLETRANSLATE(C97, ""en"", ""fr"")"),"A) C'est un symbole de leur identité nationale et culturelle unique, B) C'est le seul sport qu'ils pratiquent, C) Les prix y sont beaucoup plus élevés, D) Les meilleurs joueurs viennent tous de là-bas")</f>
        <v>A) C'est un symbole de leur identité nationale et culturelle unique, B) C'est le seul sport qu'ils pratiquent, C) Les prix y sont beaucoup plus élevés, D) Les meilleurs joueurs viennent tous de là-bas</v>
      </c>
      <c r="J97" s="6" t="str">
        <f>IFERROR(__xludf.DUMMYFUNCTION("GOOGLETRANSLATE(D97, ""en"", ""fr"")"),"A) C'est un symbole de leur identité nationale et culturelle unique")</f>
        <v>A) C'est un symbole de leur identité nationale et culturelle unique</v>
      </c>
      <c r="K97" s="6" t="str">
        <f>IFERROR(__xludf.DUMMYFUNCTION("GOOGLETRANSLATE(E97, ""en"", ""fr"")"),"La pelote est bien plus qu'un simple jeu ; c'est un trésor culturel précieux, une institution sociale et une puissante expression du patrimoine basque.")</f>
        <v>La pelote est bien plus qu'un simple jeu ; c'est un trésor culturel précieux, une institution sociale et une puissante expression du patrimoine basque.</v>
      </c>
    </row>
    <row r="98" ht="22.5" customHeight="1">
      <c r="A98" s="4">
        <v>97.0</v>
      </c>
      <c r="B98" s="5" t="s">
        <v>1494</v>
      </c>
      <c r="C98" s="5" t="s">
        <v>1495</v>
      </c>
      <c r="D98" s="5" t="s">
        <v>1496</v>
      </c>
      <c r="E98" s="5" t="s">
        <v>1497</v>
      </c>
      <c r="G98" s="6" t="str">
        <f>IFERROR(__xludf.DUMMYFUNCTION("GOOGLETRANSLATE(A98, ""en"", ""fr"")"),"97")</f>
        <v>97</v>
      </c>
      <c r="H98" s="6" t="str">
        <f>IFERROR(__xludf.DUMMYFUNCTION("GOOGLETRANSLATE(B98, ""en"", ""fr"")"),"Quelle est la principale différence entre la paleta cuero et la paleta goma ?")</f>
        <v>Quelle est la principale différence entre la paleta cuero et la paleta goma ?</v>
      </c>
      <c r="I98" s="6" t="str">
        <f>IFERROR(__xludf.DUMMYFUNCTION("GOOGLETRANSLATE(C98, ""en"", ""fr"")"),"A) La taille du terrain, B) Le type de balle utilisée (balle en cuir ou balle en caoutchouc), C) Le nombre de joueurs, D) Le matériau de la raquette")</f>
        <v>A) La taille du terrain, B) Le type de balle utilisée (balle en cuir ou balle en caoutchouc), C) Le nombre de joueurs, D) Le matériau de la raquette</v>
      </c>
      <c r="J98" s="6" t="str">
        <f>IFERROR(__xludf.DUMMYFUNCTION("GOOGLETRANSLATE(D98, ""en"", ""fr"")"),"B) Le type de balle utilisée (balle en cuir ou balle en caoutchouc)")</f>
        <v>B) Le type de balle utilisée (balle en cuir ou balle en caoutchouc)</v>
      </c>
      <c r="K98" s="6" t="str">
        <f>IFERROR(__xludf.DUMMYFUNCTION("GOOGLETRANSLATE(E98, ""en"", ""fr"")"),"Il s'agit de deux modes de jeu de raquette différents : l'un se joue avec une balle traditionnelle en cuir dur et l'autre avec une balle en caoutchouc plus rebondissante.")</f>
        <v>Il s'agit de deux modes de jeu de raquette différents : l'un se joue avec une balle traditionnelle en cuir dur et l'autre avec une balle en caoutchouc plus rebondissante.</v>
      </c>
    </row>
    <row r="99" ht="22.5" customHeight="1">
      <c r="A99" s="4">
        <v>98.0</v>
      </c>
      <c r="B99" s="5" t="s">
        <v>1498</v>
      </c>
      <c r="C99" s="5" t="s">
        <v>1499</v>
      </c>
      <c r="D99" s="5" t="s">
        <v>1500</v>
      </c>
      <c r="E99" s="5" t="s">
        <v>1501</v>
      </c>
      <c r="G99" s="6" t="str">
        <f>IFERROR(__xludf.DUMMYFUNCTION("GOOGLETRANSLATE(A99, ""en"", ""fr"")"),"98")</f>
        <v>98</v>
      </c>
      <c r="H99" s="6" t="str">
        <f>IFERROR(__xludf.DUMMYFUNCTION("GOOGLETRANSLATE(B99, ""en"", ""fr"")"),"La diffusion de la pelota en Amérique latine est le résultat direct de quel processus historique ?")</f>
        <v>La diffusion de la pelota en Amérique latine est le résultat direct de quel processus historique ?</v>
      </c>
      <c r="I99" s="6" t="str">
        <f>IFERROR(__xludf.DUMMYFUNCTION("GOOGLETRANSLATE(C99, ""en"", ""fr"")"),"A) La Route de la Soie, B) L'Empire britannique, C) La colonisation espagnole et les migrations basques, D) Le mouvement olympique")</f>
        <v>A) La Route de la Soie, B) L'Empire britannique, C) La colonisation espagnole et les migrations basques, D) Le mouvement olympique</v>
      </c>
      <c r="J99" s="6" t="str">
        <f>IFERROR(__xludf.DUMMYFUNCTION("GOOGLETRANSLATE(D99, ""en"", ""fr"")"),"C) Colonisation espagnole et migration basque")</f>
        <v>C) Colonisation espagnole et migration basque</v>
      </c>
      <c r="K99" s="6" t="str">
        <f>IFERROR(__xludf.DUMMYFUNCTION("GOOGLETRANSLATE(E99, ""en"", ""fr"")"),"Les immigrants basques ont emporté avec eux leur sport national dans des pays comme l'Argentine, le Mexique et Cuba, où il s'est implanté.")</f>
        <v>Les immigrants basques ont emporté avec eux leur sport national dans des pays comme l'Argentine, le Mexique et Cuba, où il s'est implanté.</v>
      </c>
    </row>
    <row r="100" ht="22.5" customHeight="1">
      <c r="A100" s="4">
        <v>99.0</v>
      </c>
      <c r="B100" s="5" t="s">
        <v>1502</v>
      </c>
      <c r="C100" s="5" t="s">
        <v>1503</v>
      </c>
      <c r="D100" s="5" t="s">
        <v>1504</v>
      </c>
      <c r="E100" s="5" t="s">
        <v>1505</v>
      </c>
      <c r="G100" s="6" t="str">
        <f>IFERROR(__xludf.DUMMYFUNCTION("GOOGLETRANSLATE(A100, ""en"", ""fr"")"),"99")</f>
        <v>99</v>
      </c>
      <c r="H100" s="6" t="str">
        <f>IFERROR(__xludf.DUMMYFUNCTION("GOOGLETRANSLATE(B100, ""en"", ""fr"")"),"Qu'est-ce qu'une « école de pelote » ou escuela de pelota ?")</f>
        <v>Qu'est-ce qu'une « école de pelote » ou escuela de pelota ?</v>
      </c>
      <c r="I100" s="6" t="str">
        <f>IFERROR(__xludf.DUMMYFUNCTION("GOOGLETRANSLATE(C100, ""en"", ""fr"")"),"A) Une université qui étudie ce sport, B) Un centre de formation pour jeunes joueurs, C) Le titre d'un livre célèbre sur ce sport, D) Un lieu de fabrication des balles")</f>
        <v>A) Une université qui étudie ce sport, B) Un centre de formation pour jeunes joueurs, C) Le titre d'un livre célèbre sur ce sport, D) Un lieu de fabrication des balles</v>
      </c>
      <c r="J100" s="6" t="str">
        <f>IFERROR(__xludf.DUMMYFUNCTION("GOOGLETRANSLATE(D100, ""en"", ""fr"")"),"B) Une académie de formation pour jeunes joueurs")</f>
        <v>B) Une académie de formation pour jeunes joueurs</v>
      </c>
      <c r="K100" s="6" t="str">
        <f>IFERROR(__xludf.DUMMYFUNCTION("GOOGLETRANSLATE(E100, ""en"", ""fr"")"),"Ces écoles sont au cœur du développement de ce sport, où les jeunes enfants apprennent les fondamentaux auprès d'entraîneurs expérimentés.")</f>
        <v>Ces écoles sont au cœur du développement de ce sport, où les jeunes enfants apprennent les fondamentaux auprès d'entraîneurs expérimentés.</v>
      </c>
    </row>
    <row r="101" ht="22.5" customHeight="1">
      <c r="A101" s="4">
        <v>100.0</v>
      </c>
      <c r="B101" s="5" t="s">
        <v>1506</v>
      </c>
      <c r="C101" s="5" t="s">
        <v>1507</v>
      </c>
      <c r="D101" s="5" t="s">
        <v>1508</v>
      </c>
      <c r="E101" s="5" t="s">
        <v>1509</v>
      </c>
      <c r="G101" s="6" t="str">
        <f>IFERROR(__xludf.DUMMYFUNCTION("GOOGLETRANSLATE(A101, ""en"", ""fr"")"),"100")</f>
        <v>100</v>
      </c>
      <c r="H101" s="6" t="str">
        <f>IFERROR(__xludf.DUMMYFUNCTION("GOOGLETRANSLATE(B101, ""en"", ""fr"")"),"Quel est l’héritage le plus durable du jeu de paume ?")</f>
        <v>Quel est l’héritage le plus durable du jeu de paume ?</v>
      </c>
      <c r="I101" s="6" t="str">
        <f>IFERROR(__xludf.DUMMYFUNCTION("GOOGLETRANSLATE(C101, ""en"", ""fr"")"),"A) C'est encore un sport populaire dans le monde entier. B) Il a fourni les règles, la terminologie et les concepts fondamentaux des sports modernes comme le tennis et la pelote basque. C) C'était le premier sport à utiliser une raquette. D) C'était un sp"&amp;"ort olympique.")</f>
        <v>A) C'est encore un sport populaire dans le monde entier. B) Il a fourni les règles, la terminologie et les concepts fondamentaux des sports modernes comme le tennis et la pelote basque. C) C'était le premier sport à utiliser une raquette. D) C'était un sport olympique.</v>
      </c>
      <c r="J101" s="6" t="str">
        <f>IFERROR(__xludf.DUMMYFUNCTION("GOOGLETRANSLATE(D101, ""en"", ""fr"")"),"B) Il a fourni les règles fondamentales, la terminologie et les concepts des sports modernes comme le tennis et la pelote basque.")</f>
        <v>B) Il a fourni les règles fondamentales, la terminologie et les concepts des sports modernes comme le tennis et la pelote basque.</v>
      </c>
      <c r="K101" s="6" t="str">
        <f>IFERROR(__xludf.DUMMYFUNCTION("GOOGLETRANSLATE(E101, ""en"", ""fr"")"),"L'ancien « jeu de la paume » est l'un des ancêtres les plus importants de l'histoire du sport, à l'origine de nombreux jeux de raquette et de balle modernes.")</f>
        <v>L'ancien « jeu de la paume » est l'un des ancêtres les plus importants de l'histoire du sport, à l'origine de nombreux jeux de raquette et de balle modernes.</v>
      </c>
    </row>
    <row r="102" ht="22.5" customHeight="1">
      <c r="A102" s="4">
        <v>101.0</v>
      </c>
      <c r="B102" s="5" t="s">
        <v>1510</v>
      </c>
      <c r="C102" s="5" t="s">
        <v>1511</v>
      </c>
      <c r="D102" s="5" t="s">
        <v>1512</v>
      </c>
      <c r="E102" s="5" t="s">
        <v>1513</v>
      </c>
      <c r="G102" s="6" t="str">
        <f>IFERROR(__xludf.DUMMYFUNCTION("GOOGLETRANSLATE(A102, ""en"", ""fr"")"),"101")</f>
        <v>101</v>
      </c>
      <c r="H102" s="6" t="str">
        <f>IFERROR(__xludf.DUMMYFUNCTION("GOOGLETRANSLATE(B102, ""en"", ""fr"")"),"Lors d'un match de nu, on voit un joueur avec la main fortement bandée. Pourquoi fait-on cela ?")</f>
        <v>Lors d'un match de nu, on voit un joueur avec la main fortement bandée. Pourquoi fait-on cela ?</v>
      </c>
      <c r="I102" s="6" t="str">
        <f>IFERROR(__xludf.DUMMYFUNCTION("GOOGLETRANSLATE(C102, ""en"", ""fr"")"),"A) C'est une méthode illégale pour endurcir la main, B) Pour soutenir et protéger les os et les tendons de la main, C) Pour avoir une meilleure prise sur la balle, D) C'est purement décoratif")</f>
        <v>A) C'est une méthode illégale pour endurcir la main, B) Pour soutenir et protéger les os et les tendons de la main, C) Pour avoir une meilleure prise sur la balle, D) C'est purement décoratif</v>
      </c>
      <c r="J102" s="6" t="str">
        <f>IFERROR(__xludf.DUMMYFUNCTION("GOOGLETRANSLATE(D102, ""en"", ""fr"")"),"B) Pour soutenir et protéger les os et les tendons de la main")</f>
        <v>B) Pour soutenir et protéger les os et les tendons de la main</v>
      </c>
      <c r="K102" s="6" t="str">
        <f>IFERROR(__xludf.DUMMYFUNCTION("GOOGLETRANSLATE(E102, ""en"", ""fr"")"),"Les joueurs utilisent un bandage spécifique en plusieurs couches (tacos) pour protéger leurs mains des impacts immenses et répétitifs de la frappe de la balle dure.")</f>
        <v>Les joueurs utilisent un bandage spécifique en plusieurs couches (tacos) pour protéger leurs mains des impacts immenses et répétitifs de la frappe de la balle dure.</v>
      </c>
    </row>
    <row r="103" ht="22.5" customHeight="1">
      <c r="A103" s="4">
        <v>102.0</v>
      </c>
      <c r="B103" s="5" t="s">
        <v>1514</v>
      </c>
      <c r="C103" s="5" t="s">
        <v>1515</v>
      </c>
      <c r="D103" s="5" t="s">
        <v>1516</v>
      </c>
      <c r="E103" s="5" t="s">
        <v>1517</v>
      </c>
      <c r="G103" s="6" t="str">
        <f>IFERROR(__xludf.DUMMYFUNCTION("GOOGLETRANSLATE(A103, ""en"", ""fr"")"),"102")</f>
        <v>102</v>
      </c>
      <c r="H103" s="6" t="str">
        <f>IFERROR(__xludf.DUMMYFUNCTION("GOOGLETRANSLATE(B103, ""en"", ""fr"")"),"Quelle est une caractéristique essentielle d'un terrain à trinquets que l'on ne retrouve pas dans un fronton ?")</f>
        <v>Quelle est une caractéristique essentielle d'un terrain à trinquets que l'on ne retrouve pas dans un fronton ?</v>
      </c>
      <c r="I103" s="6" t="str">
        <f>IFERROR(__xludf.DUMMYFUNCTION("GOOGLETRANSLATE(C103, ""en"", ""fr"")"),"A) Un mur du fond, B) Un toit, C) Une galerie inclinée ou « penthouse » (tambour) le long d'un mur, D) Un filet")</f>
        <v>A) Un mur du fond, B) Un toit, C) Une galerie inclinée ou « penthouse » (tambour) le long d'un mur, D) Un filet</v>
      </c>
      <c r="J103" s="6" t="str">
        <f>IFERROR(__xludf.DUMMYFUNCTION("GOOGLETRANSLATE(D103, ""en"", ""fr"")"),"C) Une galerie en pente ou « penthouse » (tambor) le long d'un mur")</f>
        <v>C) Une galerie en pente ou « penthouse » (tambor) le long d'un mur</v>
      </c>
      <c r="K103" s="6" t="str">
        <f>IFERROR(__xludf.DUMMYFUNCTION("GOOGLETRANSLATE(E103, ""en"", ""fr"")"),"Le toit incliné ou la galerie constituent une surface de jeu active, ajoutant un élément complexe et imprévisible au jeu.")</f>
        <v>Le toit incliné ou la galerie constituent une surface de jeu active, ajoutant un élément complexe et imprévisible au jeu.</v>
      </c>
    </row>
    <row r="104" ht="22.5" customHeight="1">
      <c r="A104" s="4">
        <v>103.0</v>
      </c>
      <c r="B104" s="5" t="s">
        <v>1518</v>
      </c>
      <c r="C104" s="5" t="s">
        <v>1519</v>
      </c>
      <c r="D104" s="5" t="s">
        <v>1520</v>
      </c>
      <c r="E104" s="5" t="s">
        <v>1521</v>
      </c>
      <c r="G104" s="6" t="str">
        <f>IFERROR(__xludf.DUMMYFUNCTION("GOOGLETRANSLATE(A104, ""en"", ""fr"")"),"103")</f>
        <v>103</v>
      </c>
      <c r="H104" s="6" t="str">
        <f>IFERROR(__xludf.DUMMYFUNCTION("GOOGLETRANSLATE(B104, ""en"", ""fr"")"),"Quelle est la raison historique pour laquelle ce jeu est appelé Jai Alai en Amérique ?")</f>
        <v>Quelle est la raison historique pour laquelle ce jeu est appelé Jai Alai en Amérique ?</v>
      </c>
      <c r="I104" s="6" t="str">
        <f>IFERROR(__xludf.DUMMYFUNCTION("GOOGLETRANSLATE(C104, ""en"", ""fr"")"),"A) C'était le nom du premier fronton. B) C'était un nom commercial, signifiant « Joyeuse Fête », utilisé pour promouvoir le sport auprès d'un public non basque. C) C'est le nom de la chistera en espagnol. D) C'était le nom du premier grand joueur.")</f>
        <v>A) C'était le nom du premier fronton. B) C'était un nom commercial, signifiant « Joyeuse Fête », utilisé pour promouvoir le sport auprès d'un public non basque. C) C'est le nom de la chistera en espagnol. D) C'était le nom du premier grand joueur.</v>
      </c>
      <c r="J104" s="6" t="str">
        <f>IFERROR(__xludf.DUMMYFUNCTION("GOOGLETRANSLATE(D104, ""en"", ""fr"")"),"B) C'était un nom marketing, signifiant « Joyeux Festival », utilisé pour promouvoir le sport auprès d'un public non basque.")</f>
        <v>B) C'était un nom marketing, signifiant « Joyeux Festival », utilisé pour promouvoir le sport auprès d'un public non basque.</v>
      </c>
      <c r="K104" s="6" t="str">
        <f>IFERROR(__xludf.DUMMYFUNCTION("GOOGLETRANSLATE(E104, ""en"", ""fr"")"),"Ce nom festif et enthousiasmant était plus attrayant et plus facile à prononcer pour les spectateurs américains que le terme basque zesta punta.")</f>
        <v>Ce nom festif et enthousiasmant était plus attrayant et plus facile à prononcer pour les spectateurs américains que le terme basque zesta punta.</v>
      </c>
    </row>
    <row r="105" ht="22.5" customHeight="1">
      <c r="A105" s="4">
        <v>104.0</v>
      </c>
      <c r="B105" s="5" t="s">
        <v>1522</v>
      </c>
      <c r="C105" s="5" t="s">
        <v>1523</v>
      </c>
      <c r="D105" s="5" t="s">
        <v>1524</v>
      </c>
      <c r="E105" s="5" t="s">
        <v>1525</v>
      </c>
      <c r="G105" s="6" t="str">
        <f>IFERROR(__xludf.DUMMYFUNCTION("GOOGLETRANSLATE(A105, ""en"", ""fr"")"),"104")</f>
        <v>104</v>
      </c>
      <c r="H105" s="6" t="str">
        <f>IFERROR(__xludf.DUMMYFUNCTION("GOOGLETRANSLATE(B105, ""en"", ""fr"")"),"La Fédération internationale de pelote basque (FIPV) régit de nombreuses modalités. Combien y en a-t-il environ ?")</f>
        <v>La Fédération internationale de pelote basque (FIPV) régit de nombreuses modalités. Combien y en a-t-il environ ?</v>
      </c>
      <c r="I105" s="6" t="str">
        <f>IFERROR(__xludf.DUMMYFUNCTION("GOOGLETRANSLATE(C105, ""en"", ""fr"")"),"A) 2, B) 5, C) 14, D) 25")</f>
        <v>A) 2, B) 5, C) 14, D) 25</v>
      </c>
      <c r="J105" s="6" t="str">
        <f>IFERROR(__xludf.DUMMYFUNCTION("GOOGLETRANSLATE(D105, ""en"", ""fr"")"),"C) 14")</f>
        <v>C) 14</v>
      </c>
      <c r="K105" s="6" t="str">
        <f>IFERROR(__xludf.DUMMYFUNCTION("GOOGLETRANSLATE(E105, ""en"", ""fr"")"),"La FIPV reconnaît officiellement 14 modalités différentes, en fonction du terrain, de la balle et de l'instrument (main, raquette ou chistera) utilisé.")</f>
        <v>La FIPV reconnaît officiellement 14 modalités différentes, en fonction du terrain, de la balle et de l'instrument (main, raquette ou chistera) utilisé.</v>
      </c>
    </row>
    <row r="106" ht="22.5" customHeight="1">
      <c r="A106" s="4">
        <v>105.0</v>
      </c>
      <c r="B106" s="5" t="s">
        <v>1526</v>
      </c>
      <c r="C106" s="5" t="s">
        <v>1527</v>
      </c>
      <c r="D106" s="5" t="s">
        <v>1528</v>
      </c>
      <c r="E106" s="5" t="s">
        <v>1529</v>
      </c>
      <c r="G106" s="6" t="str">
        <f>IFERROR(__xludf.DUMMYFUNCTION("GOOGLETRANSLATE(A106, ""en"", ""fr"")"),"105")</f>
        <v>105</v>
      </c>
      <c r="H106" s="6" t="str">
        <f>IFERROR(__xludf.DUMMYFUNCTION("GOOGLETRANSLATE(B106, ""en"", ""fr"")"),"Un joueur sert, et la balle touche le mur frontal, puis rebondit sur le sol avant la ligne courte (falta). Quelle est la décision ?")</f>
        <v>Un joueur sert, et la balle touche le mur frontal, puis rebondit sur le sol avant la ligne courte (falta). Quelle est la décision ?</v>
      </c>
      <c r="I106" s="6" t="str">
        <f>IFERROR(__xludf.DUMMYFUNCTION("GOOGLETRANSLATE(C106, ""en"", ""fr"")"),"A) Service régulier, B) Faute ; le serveur perd le point, C) Le point est rejoué, D) Le serveur obtient un second service")</f>
        <v>A) Service régulier, B) Faute ; le serveur perd le point, C) Le point est rejoué, D) Le serveur obtient un second service</v>
      </c>
      <c r="J106" s="6" t="str">
        <f>IFERROR(__xludf.DUMMYFUNCTION("GOOGLETRANSLATE(D106, ""en"", ""fr"")"),"B) Une faute ; le serveur perd le point")</f>
        <v>B) Une faute ; le serveur perd le point</v>
      </c>
      <c r="K106" s="6" t="str">
        <f>IFERROR(__xludf.DUMMYFUNCTION("GOOGLETRANSLATE(E106, ""en"", ""fr"")"),"Le service est « court », ce qui constitue une faute. Dans la plupart des règles professionnelles, une faute au service entraîne la perte du point.")</f>
        <v>Le service est « court », ce qui constitue une faute. Dans la plupart des règles professionnelles, une faute au service entraîne la perte du point.</v>
      </c>
    </row>
    <row r="107" ht="22.5" customHeight="1">
      <c r="A107" s="4">
        <v>106.0</v>
      </c>
      <c r="B107" s="5" t="s">
        <v>1530</v>
      </c>
      <c r="C107" s="5" t="s">
        <v>1531</v>
      </c>
      <c r="D107" s="5" t="s">
        <v>1532</v>
      </c>
      <c r="E107" s="5" t="s">
        <v>1533</v>
      </c>
      <c r="G107" s="6" t="str">
        <f>IFERROR(__xludf.DUMMYFUNCTION("GOOGLETRANSLATE(A107, ""en"", ""fr"")"),"106")</f>
        <v>106</v>
      </c>
      <c r="H107" s="6" t="str">
        <f>IFERROR(__xludf.DUMMYFUNCTION("GOOGLETRANSLATE(B107, ""en"", ""fr"")"),"Pourquoi les prêtres basques ont-ils souvent joué un rôle déterminant dans l'histoire de ce sport ?")</f>
        <v>Pourquoi les prêtres basques ont-ils souvent joué un rôle déterminant dans l'histoire de ce sport ?</v>
      </c>
      <c r="I107" s="6" t="str">
        <f>IFERROR(__xludf.DUMMYFUNCTION("GOOGLETRANSLATE(C107, ""en"", ""fr"")"),"A) Ils étaient les principaux sponsors, B) Ils étaient souvent les seules personnes instruites capables de rédiger les règles, C) L'église était le centre social du village et de nombreux prêtres soutenaient le jeu local, D) Ils bénissaient les balles ava"&amp;"nt un match")</f>
        <v>A) Ils étaient les principaux sponsors, B) Ils étaient souvent les seules personnes instruites capables de rédiger les règles, C) L'église était le centre social du village et de nombreux prêtres soutenaient le jeu local, D) Ils bénissaient les balles avant un match</v>
      </c>
      <c r="J107" s="6" t="str">
        <f>IFERROR(__xludf.DUMMYFUNCTION("GOOGLETRANSLATE(D107, ""en"", ""fr"")"),"C) L'église était le centre social du village, et de nombreux prêtres soutenaient le jeu local")</f>
        <v>C) L'église était le centre social du village, et de nombreux prêtres soutenaient le jeu local</v>
      </c>
      <c r="K107" s="6" t="str">
        <f>IFERROR(__xludf.DUMMYFUNCTION("GOOGLETRANSLATE(E107, ""en"", ""fr"")"),"Figures centrales des communautés basques, de nombreux prêtres étaient des supporters et des organisateurs passionnés qui ont contribué à préserver ce sport.")</f>
        <v>Figures centrales des communautés basques, de nombreux prêtres étaient des supporters et des organisateurs passionnés qui ont contribué à préserver ce sport.</v>
      </c>
    </row>
    <row r="108" ht="22.5" customHeight="1">
      <c r="A108" s="4">
        <v>107.0</v>
      </c>
      <c r="B108" s="5" t="s">
        <v>1534</v>
      </c>
      <c r="C108" s="5" t="s">
        <v>1535</v>
      </c>
      <c r="D108" s="5" t="s">
        <v>1536</v>
      </c>
      <c r="E108" s="5" t="s">
        <v>1537</v>
      </c>
      <c r="G108" s="6" t="str">
        <f>IFERROR(__xludf.DUMMYFUNCTION("GOOGLETRANSLATE(A108, ""en"", ""fr"")"),"107")</f>
        <v>107</v>
      </c>
      <c r="H108" s="6" t="str">
        <f>IFERROR(__xludf.DUMMYFUNCTION("GOOGLETRANSLATE(B108, ""en"", ""fr"")"),"Qu'est-ce que le service « à la volée » en pelote basque ?")</f>
        <v>Qu'est-ce que le service « à la volée » en pelote basque ?</v>
      </c>
      <c r="I108" s="6" t="str">
        <f>IFERROR(__xludf.DUMMYFUNCTION("GOOGLETRANSLATE(C108, ""en"", ""fr"")"),"A) C'est le seul service légal. B) C'est un service illégal. C) C'est un service plus doux et plus contrôlé, contrairement au puissant service droit. D) C'est un service utilisé uniquement par les femmes.")</f>
        <v>A) C'est le seul service légal. B) C'est un service illégal. C) C'est un service plus doux et plus contrôlé, contrairement au puissant service droit. D) C'est un service utilisé uniquement par les femmes.</v>
      </c>
      <c r="J108" s="6" t="str">
        <f>IFERROR(__xludf.DUMMYFUNCTION("GOOGLETRANSLATE(D108, ""en"", ""fr"")"),"C) Il s'agit d'un service plus doux et plus contrôlé, contrairement au service puissant par-dessus la tête")</f>
        <v>C) Il s'agit d'un service plus doux et plus contrôlé, contrairement au service puissant par-dessus la tête</v>
      </c>
      <c r="K108" s="6" t="str">
        <f>IFERROR(__xludf.DUMMYFUNCTION("GOOGLETRANSLATE(E108, ""en"", ""fr"")"),"Les joueurs peuvent choisir entre un service puissant par-dessus l'épaule ou un service plus contrôlé par en dessous, selon leur stratégie.")</f>
        <v>Les joueurs peuvent choisir entre un service puissant par-dessus l'épaule ou un service plus contrôlé par en dessous, selon leur stratégie.</v>
      </c>
    </row>
    <row r="109" ht="22.5" customHeight="1">
      <c r="A109" s="4">
        <v>108.0</v>
      </c>
      <c r="B109" s="5" t="s">
        <v>1538</v>
      </c>
      <c r="C109" s="5" t="s">
        <v>1539</v>
      </c>
      <c r="D109" s="5" t="s">
        <v>1540</v>
      </c>
      <c r="E109" s="5" t="s">
        <v>1541</v>
      </c>
      <c r="G109" s="6" t="str">
        <f>IFERROR(__xludf.DUMMYFUNCTION("GOOGLETRANSLATE(A109, ""en"", ""fr"")"),"108")</f>
        <v>108</v>
      </c>
      <c r="H109" s="6" t="str">
        <f>IFERROR(__xludf.DUMMYFUNCTION("GOOGLETRANSLATE(B109, ""en"", ""fr"")"),"La chemise d'un joueur se casse en plein point. Que se passe-t-il ?")</f>
        <v>La chemise d'un joueur se casse en plein point. Que se passe-t-il ?</v>
      </c>
      <c r="I109" s="6" t="str">
        <f>IFERROR(__xludf.DUMMYFUNCTION("GOOGLETRANSLATE(C109, ""en"", ""fr"")"),"A) Le joueur est disqualifié, B) Le point est immédiatement arrêté et rejoué, C) Le joueur peut tenter de continuer le point avec la chestera cassée, D) Le joueur peut aller en chercher une nouvelle")</f>
        <v>A) Le joueur est disqualifié, B) Le point est immédiatement arrêté et rejoué, C) Le joueur peut tenter de continuer le point avec la chestera cassée, D) Le joueur peut aller en chercher une nouvelle</v>
      </c>
      <c r="J109" s="6" t="str">
        <f>IFERROR(__xludf.DUMMYFUNCTION("GOOGLETRANSLATE(D109, ""en"", ""fr"")"),"B) Le point est immédiatement interrompu et rejoué.")</f>
        <v>B) Le point est immédiatement interrompu et rejoué.</v>
      </c>
      <c r="K109" s="6" t="str">
        <f>IFERROR(__xludf.DUMMYFUNCTION("GOOGLETRANSLATE(E109, ""en"", ""fr"")"),"Si l'équipement essentiel d'un joueur se brise pendant un échange en direct sans qu'il y soit pour rien, le point est généralement rejoué.")</f>
        <v>Si l'équipement essentiel d'un joueur se brise pendant un échange en direct sans qu'il y soit pour rien, le point est généralement rejoué.</v>
      </c>
    </row>
    <row r="110" ht="22.5" customHeight="1">
      <c r="A110" s="4">
        <v>109.0</v>
      </c>
      <c r="B110" s="5" t="s">
        <v>1542</v>
      </c>
      <c r="C110" s="5" t="s">
        <v>1543</v>
      </c>
      <c r="D110" s="5" t="s">
        <v>1544</v>
      </c>
      <c r="E110" s="5" t="s">
        <v>1545</v>
      </c>
      <c r="G110" s="6" t="str">
        <f>IFERROR(__xludf.DUMMYFUNCTION("GOOGLETRANSLATE(A110, ""en"", ""fr"")"),"109")</f>
        <v>109</v>
      </c>
      <c r="H110" s="6" t="str">
        <f>IFERROR(__xludf.DUMMYFUNCTION("GOOGLETRANSLATE(B110, ""en"", ""fr"")"),"Qu'est-ce qu'une ""cortada"" ?")</f>
        <v>Qu'est-ce qu'une "cortada" ?</v>
      </c>
      <c r="I110" s="6" t="str">
        <f>IFERROR(__xludf.DUMMYFUNCTION("GOOGLETRANSLATE(C110, ""en"", ""fr"")"),"A) Un type de service, B) Un coup défensif, C) Un coup offensif frappé avec un effet coupé ou slicé pour l'arrêter rapidement, D) Le nom du mur du fond")</f>
        <v>A) Un type de service, B) Un coup défensif, C) Un coup offensif frappé avec un effet coupé ou slicé pour l'arrêter rapidement, D) Le nom du mur du fond</v>
      </c>
      <c r="J110" s="6" t="str">
        <f>IFERROR(__xludf.DUMMYFUNCTION("GOOGLETRANSLATE(D110, ""en"", ""fr"")"),"C) Un tir offensif frappé d'un « coup » ou d'un « tranchage » pour l'arrêter rapidement.")</f>
        <v>C) Un tir offensif frappé d'un « coup » ou d'un « tranchage » pour l'arrêter rapidement.</v>
      </c>
      <c r="K110" s="6" t="str">
        <f>IFERROR(__xludf.DUMMYFUNCTION("GOOGLETRANSLATE(E110, ""en"", ""fr"")"),"La cortada est un coup d'attaque habile, semblable à un ""amorti"" au tennis, conçu pour rebondir bas et loin de l'adversaire.")</f>
        <v>La cortada est un coup d'attaque habile, semblable à un "amorti" au tennis, conçu pour rebondir bas et loin de l'adversaire.</v>
      </c>
    </row>
    <row r="111" ht="22.5" customHeight="1">
      <c r="A111" s="4">
        <v>110.0</v>
      </c>
      <c r="B111" s="5" t="s">
        <v>1546</v>
      </c>
      <c r="C111" s="5" t="s">
        <v>1547</v>
      </c>
      <c r="D111" s="5" t="s">
        <v>1548</v>
      </c>
      <c r="E111" s="5" t="s">
        <v>1549</v>
      </c>
      <c r="G111" s="6" t="str">
        <f>IFERROR(__xludf.DUMMYFUNCTION("GOOGLETRANSLATE(A111, ""en"", ""fr"")"),"110")</f>
        <v>110</v>
      </c>
      <c r="H111" s="6" t="str">
        <f>IFERROR(__xludf.DUMMYFUNCTION("GOOGLETRANSLATE(B111, ""en"", ""fr"")"),"Le déclin de la pelote basque en Floride a été accéléré par une loi qui a dissocié les paris. Qu'est-ce que cela signifiait ?")</f>
        <v>Le déclin de la pelote basque en Floride a été accéléré par une loi qui a dissocié les paris. Qu'est-ce que cela signifiait ?</v>
      </c>
      <c r="I111" s="6" t="str">
        <f>IFERROR(__xludf.DUMMYFUNCTION("GOOGLETRANSLATE(C111, ""en"", ""fr"")"),"A) Les casinos n'étaient plus tenus d'organiser des compétitions de pelote basque pour obtenir une licence de jeu. B) Les paris sur la pelote basque sont devenus illégaux. C) Les gains des joueurs ont été réduits. D) Tous les paris devaient être placés en"&amp;" personne.")</f>
        <v>A) Les casinos n'étaient plus tenus d'organiser des compétitions de pelote basque pour obtenir une licence de jeu. B) Les paris sur la pelote basque sont devenus illégaux. C) Les gains des joueurs ont été réduits. D) Tous les paris devaient être placés en personne.</v>
      </c>
      <c r="J111" s="6" t="str">
        <f>IFERROR(__xludf.DUMMYFUNCTION("GOOGLETRANSLATE(D111, ""en"", ""fr"")"),"A) Les casinos n'étaient plus tenus d'organiser des tournois de pelote basque pour obtenir une licence de jeu.")</f>
        <v>A) Les casinos n'étaient plus tenus d'organiser des tournois de pelote basque pour obtenir une licence de jeu.</v>
      </c>
      <c r="K111" s="6" t="str">
        <f>IFERROR(__xludf.DUMMYFUNCTION("GOOGLETRANSLATE(E111, ""en"", ""fr"")"),"Cette loi a supprimé l'obligation légale pour les établissements de jeux de hasard d'organiser également des événements sportifs en direct, ce qui constituait la principale raison financière de l'existence des frontons.")</f>
        <v>Cette loi a supprimé l'obligation légale pour les établissements de jeux de hasard d'organiser également des événements sportifs en direct, ce qui constituait la principale raison financière de l'existence des frontons.</v>
      </c>
    </row>
    <row r="112" ht="22.5" customHeight="1">
      <c r="A112" s="4">
        <v>111.0</v>
      </c>
      <c r="B112" s="5" t="s">
        <v>1550</v>
      </c>
      <c r="C112" s="5" t="s">
        <v>1551</v>
      </c>
      <c r="D112" s="5" t="s">
        <v>167</v>
      </c>
      <c r="E112" s="5" t="s">
        <v>1552</v>
      </c>
      <c r="G112" s="6" t="str">
        <f>IFERROR(__xludf.DUMMYFUNCTION("GOOGLETRANSLATE(A112, ""en"", ""fr"")"),"111")</f>
        <v>111</v>
      </c>
      <c r="H112" s="6" t="str">
        <f>IFERROR(__xludf.DUMMYFUNCTION("GOOGLETRANSLATE(B112, ""en"", ""fr"")"),"Quelle est la principale raison pour laquelle la pelote basque a été un sport de démonstration aux Jeux olympiques mais pas une discipline olympique à part entière ?")</f>
        <v>Quelle est la principale raison pour laquelle la pelote basque a été un sport de démonstration aux Jeux olympiques mais pas une discipline olympique à part entière ?</v>
      </c>
      <c r="I112" s="6" t="str">
        <f>IFERROR(__xludf.DUMMYFUNCTION("GOOGLETRANSLATE(C112, ""en"", ""fr"")"),"A) Il n'est pas assez populaire, B) Le coût élevé de la construction des terrains spécifiques (frontons), C) La multitude de modalités différentes rend le choix difficile, D) Toutes les réponses ci-dessus")</f>
        <v>A) Il n'est pas assez populaire, B) Le coût élevé de la construction des terrains spécifiques (frontons), C) La multitude de modalités différentes rend le choix difficile, D) Toutes les réponses ci-dessus</v>
      </c>
      <c r="J112" s="6" t="str">
        <f>IFERROR(__xludf.DUMMYFUNCTION("GOOGLETRANSLATE(D112, ""en"", ""fr"")"),"D) Toutes les réponses ci-dessus")</f>
        <v>D) Toutes les réponses ci-dessus</v>
      </c>
      <c r="K112" s="6" t="str">
        <f>IFERROR(__xludf.DUMMYFUNCTION("GOOGLETRANSLATE(E112, ""en"", ""fr"")"),"La combinaison d'une base de fans mondiale limitée, du coût des infrastructures et du nombre important de disciplines différentes a rendu difficile l'obtention d'un statut olympique permanent.")</f>
        <v>La combinaison d'une base de fans mondiale limitée, du coût des infrastructures et du nombre important de disciplines différentes a rendu difficile l'obtention d'un statut olympique permanent.</v>
      </c>
    </row>
    <row r="113" ht="22.5" customHeight="1">
      <c r="A113" s="4">
        <v>112.0</v>
      </c>
      <c r="B113" s="5" t="s">
        <v>1553</v>
      </c>
      <c r="C113" s="5" t="s">
        <v>1554</v>
      </c>
      <c r="D113" s="5" t="s">
        <v>1555</v>
      </c>
      <c r="E113" s="5" t="s">
        <v>1556</v>
      </c>
      <c r="G113" s="6" t="str">
        <f>IFERROR(__xludf.DUMMYFUNCTION("GOOGLETRANSLATE(A113, ""en"", ""fr"")"),"112")</f>
        <v>112</v>
      </c>
      <c r="H113" s="6" t="str">
        <f>IFERROR(__xludf.DUMMYFUNCTION("GOOGLETRANSLATE(B113, ""en"", ""fr"")"),"Dans le jeu de Remonte, en quoi la chistera diffère-t-elle de celle utilisée dans Cesta Punta ?")</f>
        <v>Dans le jeu de Remonte, en quoi la chistera diffère-t-elle de celle utilisée dans Cesta Punta ?</v>
      </c>
      <c r="I113" s="6" t="str">
        <f>IFERROR(__xludf.DUMMYFUNCTION("GOOGLETRANSLATE(C113, ""en"", ""fr"")"),"A) Il est plus petit et moins courbé, B) Il est en métal, C) Il a des cordes, D) Il n'y a pas de différence")</f>
        <v>A) Il est plus petit et moins courbé, B) Il est en métal, C) Il a des cordes, D) Il n'y a pas de différence</v>
      </c>
      <c r="J113" s="6" t="str">
        <f>IFERROR(__xludf.DUMMYFUNCTION("GOOGLETRANSLATE(D113, ""en"", ""fr"")"),"A) Il est plus petit et moins courbé")</f>
        <v>A) Il est plus petit et moins courbé</v>
      </c>
      <c r="K113" s="6" t="str">
        <f>IFERROR(__xludf.DUMMYFUNCTION("GOOGLETRANSLATE(E113, ""en"", ""fr"")"),"Le remonte se joue avec une chistera moins profonde qui ne permet pas de garder la balle aussi longtemps, ce qui donne un style de jeu plus rapide et plus continu.")</f>
        <v>Le remonte se joue avec une chistera moins profonde qui ne permet pas de garder la balle aussi longtemps, ce qui donne un style de jeu plus rapide et plus continu.</v>
      </c>
    </row>
    <row r="114" ht="22.5" customHeight="1">
      <c r="A114" s="4">
        <v>113.0</v>
      </c>
      <c r="B114" s="5" t="s">
        <v>1557</v>
      </c>
      <c r="C114" s="5" t="s">
        <v>1558</v>
      </c>
      <c r="D114" s="5" t="s">
        <v>1559</v>
      </c>
      <c r="E114" s="5" t="s">
        <v>1560</v>
      </c>
      <c r="G114" s="6" t="str">
        <f>IFERROR(__xludf.DUMMYFUNCTION("GOOGLETRANSLATE(A114, ""en"", ""fr"")"),"113")</f>
        <v>113</v>
      </c>
      <c r="H114" s="6" t="str">
        <f>IFERROR(__xludf.DUMMYFUNCTION("GOOGLETRANSLATE(B114, ""en"", ""fr"")"),"Quel est le principal risque physique pour les joueurs de main nue (mains nues) ?")</f>
        <v>Quel est le principal risque physique pour les joueurs de main nue (mains nues) ?</v>
      </c>
      <c r="I114" s="6" t="str">
        <f>IFERROR(__xludf.DUMMYFUNCTION("GOOGLETRANSLATE(C114, ""en"", ""fr"")"),"A) Entorses de la cheville, B) Blessures chroniques à la main et arthrite, C) Commotions cérébrales, D) Élongations musculaires")</f>
        <v>A) Entorses de la cheville, B) Blessures chroniques à la main et arthrite, C) Commotions cérébrales, D) Élongations musculaires</v>
      </c>
      <c r="J114" s="6" t="str">
        <f>IFERROR(__xludf.DUMMYFUNCTION("GOOGLETRANSLATE(D114, ""en"", ""fr"")"),"B) Blessures chroniques à la main et arthrite")</f>
        <v>B) Blessures chroniques à la main et arthrite</v>
      </c>
      <c r="K114" s="6" t="str">
        <f>IFERROR(__xludf.DUMMYFUNCTION("GOOGLETRANSLATE(E114, ""en"", ""fr"")"),"Les contraintes répétitives et violentes exercées sur les mains peuvent entraîner des dommages graves et durables aux os, aux articulations et aux tendons.")</f>
        <v>Les contraintes répétitives et violentes exercées sur les mains peuvent entraîner des dommages graves et durables aux os, aux articulations et aux tendons.</v>
      </c>
    </row>
    <row r="115" ht="22.5" customHeight="1">
      <c r="A115" s="4">
        <v>114.0</v>
      </c>
      <c r="B115" s="5" t="s">
        <v>1561</v>
      </c>
      <c r="C115" s="5" t="s">
        <v>1562</v>
      </c>
      <c r="D115" s="5" t="s">
        <v>1563</v>
      </c>
      <c r="E115" s="5" t="s">
        <v>1564</v>
      </c>
      <c r="G115" s="6" t="str">
        <f>IFERROR(__xludf.DUMMYFUNCTION("GOOGLETRANSLATE(A115, ""en"", ""fr"")"),"114")</f>
        <v>114</v>
      </c>
      <c r="H115" s="6" t="str">
        <f>IFERROR(__xludf.DUMMYFUNCTION("GOOGLETRANSLATE(B115, ""en"", ""fr"")"),"Le jeu de Pelota Mixteca, populaire au Mexique, a un lien historique avec quoi ?")</f>
        <v>Le jeu de Pelota Mixteca, populaire au Mexique, a un lien historique avec quoi ?</v>
      </c>
      <c r="I115" s="6" t="str">
        <f>IFERROR(__xludf.DUMMYFUNCTION("GOOGLETRANSLATE(C115, ""en"", ""fr"")"),"A) La pelote basque moderne, B) Un ancien jeu de balle mésoaméricain préhispanique, C) Un jeu inventé par les colons espagnols, D) C'est une forme de tennis")</f>
        <v>A) La pelote basque moderne, B) Un ancien jeu de balle mésoaméricain préhispanique, C) Un jeu inventé par les colons espagnols, D) C'est une forme de tennis</v>
      </c>
      <c r="J115" s="6" t="str">
        <f>IFERROR(__xludf.DUMMYFUNCTION("GOOGLETRANSLATE(D115, ""en"", ""fr"")"),"B) Un ancien jeu de balle mésoaméricain préhispanique")</f>
        <v>B) Un ancien jeu de balle mésoaméricain préhispanique</v>
      </c>
      <c r="K115" s="6" t="str">
        <f>IFERROR(__xludf.DUMMYFUNCTION("GOOGLETRANSLATE(E115, ""en"", ""fr"")"),"Bien qu'elle partage le même nom, la Pelota Mixteca est un jeu indigène mexicain avec sa propre histoire distincte, joué avec de grands gants décorés.")</f>
        <v>Bien qu'elle partage le même nom, la Pelota Mixteca est un jeu indigène mexicain avec sa propre histoire distincte, joué avec de grands gants décorés.</v>
      </c>
    </row>
    <row r="116" ht="22.5" customHeight="1">
      <c r="A116" s="4">
        <v>115.0</v>
      </c>
      <c r="B116" s="5" t="s">
        <v>1565</v>
      </c>
      <c r="C116" s="5" t="s">
        <v>1566</v>
      </c>
      <c r="D116" s="5" t="s">
        <v>1567</v>
      </c>
      <c r="E116" s="5" t="s">
        <v>1568</v>
      </c>
      <c r="G116" s="6" t="str">
        <f>IFERROR(__xludf.DUMMYFUNCTION("GOOGLETRANSLATE(A116, ""en"", ""fr"")"),"115")</f>
        <v>115</v>
      </c>
      <c r="H116" s="6" t="str">
        <f>IFERROR(__xludf.DUMMYFUNCTION("GOOGLETRANSLATE(B116, ""en"", ""fr"")"),"Le service touche le mur frontal puis atterrit sur la ligne de pasa (la ligne longue). Quelle est la décision ?")</f>
        <v>Le service touche le mur frontal puis atterrit sur la ligne de pasa (la ligne longue). Quelle est la décision ?</v>
      </c>
      <c r="I116" s="6" t="str">
        <f>IFERROR(__xludf.DUMMYFUNCTION("GOOGLETRANSLATE(C116, ""en"", ""fr"")"),"A) Service régulier, B) Service trop long (faute), C) Point rejoué, D) Avertissement donné")</f>
        <v>A) Service régulier, B) Service trop long (faute), C) Point rejoué, D) Avertissement donné</v>
      </c>
      <c r="J116" s="6" t="str">
        <f>IFERROR(__xludf.DUMMYFUNCTION("GOOGLETRANSLATE(D116, ""en"", ""fr"")"),"B) Un service « long », ce qui est une faute")</f>
        <v>B) Un service « long », ce qui est une faute</v>
      </c>
      <c r="K116" s="6" t="str">
        <f>IFERROR(__xludf.DUMMYFUNCTION("GOOGLETRANSLATE(E116, ""en"", ""fr"")"),"Le service doit rebondir avant la ligne de passe. Un service qui atterrit sur ou au-delà de cette ligne constitue une faute.")</f>
        <v>Le service doit rebondir avant la ligne de passe. Un service qui atterrit sur ou au-delà de cette ligne constitue une faute.</v>
      </c>
    </row>
    <row r="117" ht="22.5" customHeight="1">
      <c r="A117" s="4">
        <v>116.0</v>
      </c>
      <c r="B117" s="5" t="s">
        <v>1569</v>
      </c>
      <c r="C117" s="5" t="s">
        <v>1570</v>
      </c>
      <c r="D117" s="5" t="s">
        <v>1571</v>
      </c>
      <c r="E117" s="5" t="s">
        <v>1572</v>
      </c>
      <c r="G117" s="6" t="str">
        <f>IFERROR(__xludf.DUMMYFUNCTION("GOOGLETRANSLATE(A117, ""en"", ""fr"")"),"116")</f>
        <v>116</v>
      </c>
      <c r="H117" s="6" t="str">
        <f>IFERROR(__xludf.DUMMYFUNCTION("GOOGLETRANSLATE(B117, ""en"", ""fr"")"),"Pourquoi les joueurs professionnels de pelote basque aux États-Unis étaient-ils presque exclusivement basques au XXe siècle ?")</f>
        <v>Pourquoi les joueurs professionnels de pelote basque aux États-Unis étaient-ils presque exclusivement basques au XXe siècle ?</v>
      </c>
      <c r="I117" s="6" t="str">
        <f>IFERROR(__xludf.DUMMYFUNCTION("GOOGLETRANSLATE(C117, ""en"", ""fr"")"),"A) C'était une règle. B) Le niveau de compétence requis était si élevé que seuls ceux formés dès l'enfance au Pays basque pouvaient participer. C) Les Américains n'étaient pas intéressés. D) Le gouvernement basque les sponsorisait.")</f>
        <v>A) C'était une règle. B) Le niveau de compétence requis était si élevé que seuls ceux formés dès l'enfance au Pays basque pouvaient participer. C) Les Américains n'étaient pas intéressés. D) Le gouvernement basque les sponsorisait.</v>
      </c>
      <c r="J117" s="6" t="str">
        <f>IFERROR(__xludf.DUMMYFUNCTION("GOOGLETRANSLATE(D117, ""en"", ""fr"")"),"B) Le niveau de compétence requis était si élevé que seuls ceux formés dès leur plus jeune âge au Pays basque pouvaient rivaliser.")</f>
        <v>B) Le niveau de compétence requis était si élevé que seuls ceux formés dès leur plus jeune âge au Pays basque pouvaient rivaliser.</v>
      </c>
      <c r="K117" s="6" t="str">
        <f>IFERROR(__xludf.DUMMYFUNCTION("GOOGLETRANSLATE(E117, ""en"", ""fr"")"),"Les compétences uniques et difficiles requises pour ce sport impliquaient que le circuit professionnel mondial devait importer ses joueurs directement du cœur du Pays basque.")</f>
        <v>Les compétences uniques et difficiles requises pour ce sport impliquaient que le circuit professionnel mondial devait importer ses joueurs directement du cœur du Pays basque.</v>
      </c>
    </row>
    <row r="118" ht="22.5" customHeight="1">
      <c r="A118" s="4">
        <v>117.0</v>
      </c>
      <c r="B118" s="5" t="s">
        <v>1573</v>
      </c>
      <c r="C118" s="5" t="s">
        <v>1574</v>
      </c>
      <c r="D118" s="5" t="s">
        <v>1575</v>
      </c>
      <c r="E118" s="5" t="s">
        <v>1576</v>
      </c>
      <c r="G118" s="6" t="str">
        <f>IFERROR(__xludf.DUMMYFUNCTION("GOOGLETRANSLATE(A118, ""en"", ""fr"")"),"117")</f>
        <v>117</v>
      </c>
      <c r="H118" s="6" t="str">
        <f>IFERROR(__xludf.DUMMYFUNCTION("GOOGLETRANSLATE(B118, ""en"", ""fr"")"),"Qu'est-ce qu'une « karambola » ?")</f>
        <v>Qu'est-ce qu'une « karambola » ?</v>
      </c>
      <c r="I118" s="6" t="str">
        <f>IFERROR(__xludf.DUMMYFUNCTION("GOOGLETRANSLATE(C118, ""en"", ""fr"")"),"A) Un type de service, B) Un rebond chanceux ou chaotique de la balle sur les murs, C) Une faute, D) Le nom d'un joueur célèbre")</f>
        <v>A) Un type de service, B) Un rebond chanceux ou chaotique de la balle sur les murs, C) Une faute, D) Le nom d'un joueur célèbre</v>
      </c>
      <c r="J118" s="6" t="str">
        <f>IFERROR(__xludf.DUMMYFUNCTION("GOOGLETRANSLATE(D118, ""en"", ""fr"")"),"B) Un rebond chanceux ou chaotique du ballon sur les murs")</f>
        <v>B) Un rebond chanceux ou chaotique du ballon sur les murs</v>
      </c>
      <c r="K118" s="6" t="str">
        <f>IFERROR(__xludf.DUMMYFUNCTION("GOOGLETRANSLATE(E118, ""en"", ""fr"")"),"Une karambola est un carambolage ou un rebond imprévisible qui peut déstabiliser un joueur, ajoutant ainsi un élément de chance au jeu.")</f>
        <v>Une karambola est un carambolage ou un rebond imprévisible qui peut déstabiliser un joueur, ajoutant ainsi un élément de chance au jeu.</v>
      </c>
    </row>
    <row r="119" ht="22.5" customHeight="1">
      <c r="A119" s="4">
        <v>118.0</v>
      </c>
      <c r="B119" s="5" t="s">
        <v>1577</v>
      </c>
      <c r="C119" s="5" t="s">
        <v>1578</v>
      </c>
      <c r="D119" s="5" t="s">
        <v>1579</v>
      </c>
      <c r="E119" s="5" t="s">
        <v>1580</v>
      </c>
      <c r="G119" s="6" t="str">
        <f>IFERROR(__xludf.DUMMYFUNCTION("GOOGLETRANSLATE(A119, ""en"", ""fr"")"),"118")</f>
        <v>118</v>
      </c>
      <c r="H119" s="6" t="str">
        <f>IFERROR(__xludf.DUMMYFUNCTION("GOOGLETRANSLATE(B119, ""en"", ""fr"")"),"Les premiers championnats du monde, en 1952, se sont déroulés dans un fronton célèbre de Saint-Sébastien. Quel est son nom ?")</f>
        <v>Les premiers championnats du monde, en 1952, se sont déroulés dans un fronton célèbre de Saint-Sébastien. Quel est son nom ?</v>
      </c>
      <c r="I119" s="6" t="str">
        <f>IFERROR(__xludf.DUMMYFUNCTION("GOOGLETRANSLATE(C119, ""en"", ""fr"")"),"A) L'Anoeta, B) La Galarreta, C) L'Atano III, D) L'Astelena")</f>
        <v>A) L'Anoeta, B) La Galarreta, C) L'Atano III, D) L'Astelena</v>
      </c>
      <c r="J119" s="6" t="str">
        <f>IFERROR(__xludf.DUMMYFUNCTION("GOOGLETRANSLATE(D119, ""en"", ""fr"")"),"C) L'Atano III")</f>
        <v>C) L'Atano III</v>
      </c>
      <c r="K119" s="6" t="str">
        <f>IFERROR(__xludf.DUMMYFUNCTION("GOOGLETRANSLATE(E119, ""en"", ""fr"")"),"Le fronton porte le nom du joueur légendaire Atano III et est l'un des lieux les plus historiques de ce sport.")</f>
        <v>Le fronton porte le nom du joueur légendaire Atano III et est l'un des lieux les plus historiques de ce sport.</v>
      </c>
    </row>
    <row r="120" ht="22.5" customHeight="1">
      <c r="A120" s="4">
        <v>119.0</v>
      </c>
      <c r="B120" s="5" t="s">
        <v>1581</v>
      </c>
      <c r="C120" s="5" t="s">
        <v>1582</v>
      </c>
      <c r="D120" s="5" t="s">
        <v>1583</v>
      </c>
      <c r="E120" s="5" t="s">
        <v>1584</v>
      </c>
      <c r="G120" s="6" t="str">
        <f>IFERROR(__xludf.DUMMYFUNCTION("GOOGLETRANSLATE(A120, ""en"", ""fr"")"),"119")</f>
        <v>119</v>
      </c>
      <c r="H120" s="6" t="str">
        <f>IFERROR(__xludf.DUMMYFUNCTION("GOOGLETRANSLATE(B120, ""en"", ""fr"")"),"Quelle est la principale raison tactique de jouer un tir haut sur le mur frontal ?")</f>
        <v>Quelle est la principale raison tactique de jouer un tir haut sur le mur frontal ?</v>
      </c>
      <c r="I120" s="6" t="str">
        <f>IFERROR(__xludf.DUMMYFUNCTION("GOOGLETRANSLATE(C120, ""en"", ""fr"")"),"A) Il est plus facile de frapper, B) Pour créer un rebond haut et profond qui force l'adversaire à reculer au fond du court, C) Il permet de marquer plus de points, D) Pour éviter de toucher le filet")</f>
        <v>A) Il est plus facile de frapper, B) Pour créer un rebond haut et profond qui force l'adversaire à reculer au fond du court, C) Il permet de marquer plus de points, D) Pour éviter de toucher le filet</v>
      </c>
      <c r="J120" s="6" t="str">
        <f>IFERROR(__xludf.DUMMYFUNCTION("GOOGLETRANSLATE(D120, ""en"", ""fr"")"),"B) Créer un rebond haut et profond qui force l'adversaire à reculer au fond du terrain")</f>
        <v>B) Créer un rebond haut et profond qui force l'adversaire à reculer au fond du terrain</v>
      </c>
      <c r="K120" s="6" t="str">
        <f>IFERROR(__xludf.DUMMYFUNCTION("GOOGLETRANSLATE(E120, ""en"", ""fr"")"),"Il s'agit d'un coup défensif ou tactique courant, utilisé pour relancer l'échange et forcer l'adversaire à se mettre en position défensive.")</f>
        <v>Il s'agit d'un coup défensif ou tactique courant, utilisé pour relancer l'échange et forcer l'adversaire à se mettre en position défensive.</v>
      </c>
    </row>
    <row r="121" ht="22.5" customHeight="1">
      <c r="A121" s="4">
        <v>120.0</v>
      </c>
      <c r="B121" s="5" t="s">
        <v>1585</v>
      </c>
      <c r="C121" s="5" t="s">
        <v>1586</v>
      </c>
      <c r="D121" s="5" t="s">
        <v>1587</v>
      </c>
      <c r="E121" s="5" t="s">
        <v>1588</v>
      </c>
      <c r="G121" s="6" t="str">
        <f>IFERROR(__xludf.DUMMYFUNCTION("GOOGLETRANSLATE(A121, ""en"", ""fr"")"),"120")</f>
        <v>120</v>
      </c>
      <c r="H121" s="6" t="str">
        <f>IFERROR(__xludf.DUMMYFUNCTION("GOOGLETRANSLATE(B121, ""en"", ""fr"")"),"Quelle est l'origine historique des uniformes blancs traditionnels des joueurs ?")</f>
        <v>Quelle est l'origine historique des uniformes blancs traditionnels des joueurs ?</v>
      </c>
      <c r="I121" s="6" t="str">
        <f>IFERROR(__xludf.DUMMYFUNCTION("GOOGLETRANSLATE(C121, ""en"", ""fr"")"),"A) C'était le tissu le moins cher, B) Il dérivait des sous-vêtements traditionnels portés au jeu de paume et était un signe d'esprit sportif, C) C'était une règle de la première fédération, D) Pour être plus visible sur le court")</f>
        <v>A) C'était le tissu le moins cher, B) Il dérivait des sous-vêtements traditionnels portés au jeu de paume et était un signe d'esprit sportif, C) C'était une règle de la première fédération, D) Pour être plus visible sur le court</v>
      </c>
      <c r="J121" s="6" t="str">
        <f>IFERROR(__xludf.DUMMYFUNCTION("GOOGLETRANSLATE(D121, ""en"", ""fr"")"),"B) Il a évolué à partir des sous-vêtements traditionnels portés au jeu de paume et était un signe d'esprit sportif.")</f>
        <v>B) Il a évolué à partir des sous-vêtements traditionnels portés au jeu de paume et était un signe d'esprit sportif.</v>
      </c>
      <c r="K121" s="6" t="str">
        <f>IFERROR(__xludf.DUMMYFUNCTION("GOOGLETRANSLATE(E121, ""en"", ""fr"")"),"La tenue blanche était la norme pour les premiers sports de raquette, symbolisant une compétition propre et honorable.")</f>
        <v>La tenue blanche était la norme pour les premiers sports de raquette, symbolisant une compétition propre et honorable.</v>
      </c>
    </row>
    <row r="122" ht="22.5" customHeight="1">
      <c r="A122" s="4">
        <v>121.0</v>
      </c>
      <c r="B122" s="5" t="s">
        <v>1589</v>
      </c>
      <c r="C122" s="5" t="s">
        <v>1590</v>
      </c>
      <c r="D122" s="5" t="s">
        <v>1591</v>
      </c>
      <c r="E122" s="5" t="s">
        <v>1592</v>
      </c>
      <c r="G122" s="6" t="str">
        <f>IFERROR(__xludf.DUMMYFUNCTION("GOOGLETRANSLATE(A122, ""en"", ""fr"")"),"121")</f>
        <v>121</v>
      </c>
      <c r="H122" s="6" t="str">
        <f>IFERROR(__xludf.DUMMYFUNCTION("GOOGLETRANSLATE(B122, ""en"", ""fr"")"),"Dans un trinquet, qu'est-ce que le xilo ?")</f>
        <v>Dans un trinquet, qu'est-ce que le xilo ?</v>
      </c>
      <c r="I122" s="6" t="str">
        <f>IFERROR(__xludf.DUMMYFUNCTION("GOOGLETRANSLATE(C122, ""en"", ""fr"")"),"A) Le mur du fond, B) Le filet, C) Un petit trou dans le mur avant qui constitue un coup gagnant automatique s'il est touché, D) La tribune latérale")</f>
        <v>A) Le mur du fond, B) Le filet, C) Un petit trou dans le mur avant qui constitue un coup gagnant automatique s'il est touché, D) La tribune latérale</v>
      </c>
      <c r="J122" s="6" t="str">
        <f>IFERROR(__xludf.DUMMYFUNCTION("GOOGLETRANSLATE(D122, ""en"", ""fr"")"),"C) Un petit trou dans la paroi avant qui, s'il est atteint, constitue un coup gagnant automatique.")</f>
        <v>C) Un petit trou dans la paroi avant qui, s'il est atteint, constitue un coup gagnant automatique.</v>
      </c>
      <c r="K122" s="6" t="str">
        <f>IFERROR(__xludf.DUMMYFUNCTION("GOOGLETRANSLATE(E122, ""en"", ""fr"")"),"Frapper la balle dans le xilo (trou) est un coup difficile et qui permet de gagner instantanément la partie dans certaines modalités.")</f>
        <v>Frapper la balle dans le xilo (trou) est un coup difficile et qui permet de gagner instantanément la partie dans certaines modalités.</v>
      </c>
    </row>
    <row r="123" ht="22.5" customHeight="1">
      <c r="A123" s="4">
        <v>122.0</v>
      </c>
      <c r="B123" s="5" t="s">
        <v>1593</v>
      </c>
      <c r="C123" s="5" t="s">
        <v>1594</v>
      </c>
      <c r="D123" s="5" t="s">
        <v>1595</v>
      </c>
      <c r="E123" s="5" t="s">
        <v>1596</v>
      </c>
      <c r="G123" s="6" t="str">
        <f>IFERROR(__xludf.DUMMYFUNCTION("GOOGLETRANSLATE(A123, ""en"", ""fr"")"),"122")</f>
        <v>122</v>
      </c>
      <c r="H123" s="6" t="str">
        <f>IFERROR(__xludf.DUMMYFUNCTION("GOOGLETRANSLATE(B123, ""en"", ""fr"")"),"Qu'est-ce qu'un gancho à Pelota ?")</f>
        <v>Qu'est-ce qu'un gancho à Pelota ?</v>
      </c>
      <c r="I123" s="6" t="str">
        <f>IFERROR(__xludf.DUMMYFUNCTION("GOOGLETRANSLATE(C123, ""en"", ""fr"")"),"A) Un bloc défensif, B) Un smash puissant et crocheté, C) Le service, D) La chiréra")</f>
        <v>A) Un bloc défensif, B) Un smash puissant et crocheté, C) Le service, D) La chiréra</v>
      </c>
      <c r="J123" s="6" t="str">
        <f>IFERROR(__xludf.DUMMYFUNCTION("GOOGLETRANSLATE(D123, ""en"", ""fr"")"),"B) Un coup fatal puissant et crochetant")</f>
        <v>B) Un coup fatal puissant et crochetant</v>
      </c>
      <c r="K123" s="6" t="str">
        <f>IFERROR(__xludf.DUMMYFUNCTION("GOOGLETRANSLATE(E123, ""en"", ""fr"")"),"Un gancho est un coup puissant et offensif, souvent frappé en diagonale, conçu pour être un coup gagnant imparable.")</f>
        <v>Un gancho est un coup puissant et offensif, souvent frappé en diagonale, conçu pour être un coup gagnant imparable.</v>
      </c>
    </row>
    <row r="124" ht="22.5" customHeight="1">
      <c r="A124" s="4">
        <v>123.0</v>
      </c>
      <c r="B124" s="5" t="s">
        <v>1597</v>
      </c>
      <c r="C124" s="5" t="s">
        <v>1598</v>
      </c>
      <c r="D124" s="5" t="s">
        <v>1599</v>
      </c>
      <c r="E124" s="5" t="s">
        <v>1600</v>
      </c>
      <c r="G124" s="6" t="str">
        <f>IFERROR(__xludf.DUMMYFUNCTION("GOOGLETRANSLATE(A124, ""en"", ""fr"")"),"123")</f>
        <v>123</v>
      </c>
      <c r="H124" s="6" t="str">
        <f>IFERROR(__xludf.DUMMYFUNCTION("GOOGLETRANSLATE(B124, ""en"", ""fr"")"),"On voit un joueur s'appliquer une substance collante, comme de la résine de pin, sur les mains avant un match de nue principal. Pourquoi ?")</f>
        <v>On voit un joueur s'appliquer une substance collante, comme de la résine de pin, sur les mains avant un match de nue principal. Pourquoi ?</v>
      </c>
      <c r="I124" s="6" t="str">
        <f>IFERROR(__xludf.DUMMYFUNCTION("GOOGLETRANSLATE(C124, ""en"", ""fr"")"),"A) C'est une substance illégale. B) Pour mieux contrôler la balle lors de la frappe. C) Pour se protéger les mains des blessures. D) Pour donner un effet à la balle.")</f>
        <v>A) C'est une substance illégale. B) Pour mieux contrôler la balle lors de la frappe. C) Pour se protéger les mains des blessures. D) Pour donner un effet à la balle.</v>
      </c>
      <c r="J124" s="6" t="str">
        <f>IFERROR(__xludf.DUMMYFUNCTION("GOOGLETRANSLATE(D124, ""en"", ""fr"")"),"B) Pour avoir une meilleure prise sur la balle lors de la frappe")</f>
        <v>B) Pour avoir une meilleure prise sur la balle lors de la frappe</v>
      </c>
      <c r="K124" s="6" t="str">
        <f>IFERROR(__xludf.DUMMYFUNCTION("GOOGLETRANSLATE(E124, ""en"", ""fr"")"),"Une petite quantité de résine peut aider le joueur à obtenir plus d'adhérence sur la balle, lui permettant ainsi de lui imprimer plus d'effet et de contrôle.")</f>
        <v>Une petite quantité de résine peut aider le joueur à obtenir plus d'adhérence sur la balle, lui permettant ainsi de lui imprimer plus d'effet et de contrôle.</v>
      </c>
    </row>
    <row r="125" ht="22.5" customHeight="1">
      <c r="A125" s="4">
        <v>124.0</v>
      </c>
      <c r="B125" s="5" t="s">
        <v>1601</v>
      </c>
      <c r="C125" s="5" t="s">
        <v>1602</v>
      </c>
      <c r="D125" s="5" t="s">
        <v>1603</v>
      </c>
      <c r="E125" s="5" t="s">
        <v>1604</v>
      </c>
      <c r="G125" s="6" t="str">
        <f>IFERROR(__xludf.DUMMYFUNCTION("GOOGLETRANSLATE(A125, ""en"", ""fr"")"),"124")</f>
        <v>124</v>
      </c>
      <c r="H125" s="6" t="str">
        <f>IFERROR(__xludf.DUMMYFUNCTION("GOOGLETRANSLATE(B125, ""en"", ""fr"")"),"À quoi correspond le numéro inscrit dans le dos d'un joueur de pelote basque ?")</f>
        <v>À quoi correspond le numéro inscrit dans le dos d'un joueur de pelote basque ?</v>
      </c>
      <c r="I125" s="6" t="str">
        <f>IFERROR(__xludf.DUMMYFUNCTION("GOOGLETRANSLATE(C125, ""en"", ""fr"")"),"A) Leur âge, B) Leur grade, C) Leur position dans le système de paris combinés, D) Leur taille de maillot")</f>
        <v>A) Leur âge, B) Leur grade, C) Leur position dans le système de paris combinés, D) Leur taille de maillot</v>
      </c>
      <c r="J125" s="6" t="str">
        <f>IFERROR(__xludf.DUMMYFUNCTION("GOOGLETRANSLATE(D125, ""en"", ""fr"")"),"C) Leur position dans le système de paris quiniela")</f>
        <v>C) Leur position dans le système de paris quiniela</v>
      </c>
      <c r="K125" s="6" t="str">
        <f>IFERROR(__xludf.DUMMYFUNCTION("GOOGLETRANSLATE(E125, ""en"", ""fr"")"),"Les numéros de 1 à 8 servent à identifier les joueurs ou les équipes pour les parieurs.")</f>
        <v>Les numéros de 1 à 8 servent à identifier les joueurs ou les équipes pour les parieurs.</v>
      </c>
    </row>
    <row r="126" ht="22.5" customHeight="1">
      <c r="A126" s="4">
        <v>125.0</v>
      </c>
      <c r="B126" s="5" t="s">
        <v>1605</v>
      </c>
      <c r="C126" s="5" t="s">
        <v>1606</v>
      </c>
      <c r="D126" s="5" t="s">
        <v>1607</v>
      </c>
      <c r="E126" s="5" t="s">
        <v>1608</v>
      </c>
      <c r="G126" s="6" t="str">
        <f>IFERROR(__xludf.DUMMYFUNCTION("GOOGLETRANSLATE(A126, ""en"", ""fr"")"),"125")</f>
        <v>125</v>
      </c>
      <c r="H126" s="6" t="str">
        <f>IFERROR(__xludf.DUMMYFUNCTION("GOOGLETRANSLATE(B126, ""en"", ""fr"")"),"Quelle est la principale raison de la forme longue et étroite du terrain de Jai Alai (cancha) ?")</f>
        <v>Quelle est la principale raison de la forme longue et étroite du terrain de Jai Alai (cancha) ?</v>
      </c>
      <c r="I126" s="6" t="str">
        <f>IFERROR(__xludf.DUMMYFUNCTION("GOOGLETRANSLATE(C126, ""en"", ""fr"")"),"A) C'est une tradition, B) Pour permettre l'incroyable vitesse et les longs rebonds du ballon, C) Pour accueillir plus de spectateurs, D) Il est inspiré d'une rue médiévale")</f>
        <v>A) C'est une tradition, B) Pour permettre l'incroyable vitesse et les longs rebonds du ballon, C) Pour accueillir plus de spectateurs, D) Il est inspiré d'une rue médiévale</v>
      </c>
      <c r="J126" s="6" t="str">
        <f>IFERROR(__xludf.DUMMYFUNCTION("GOOGLETRANSLATE(D126, ""en"", ""fr"")"),"B) Pour tenir compte de l'incroyable vitesse et des longs rebonds de la balle")</f>
        <v>B) Pour tenir compte de l'incroyable vitesse et des longs rebonds de la balle</v>
      </c>
      <c r="K126" s="6" t="str">
        <f>IFERROR(__xludf.DUMMYFUNCTION("GOOGLETRANSLATE(E126, ""en"", ""fr"")"),"Les dimensions du terrain sont spécifiquement conçues pour la nature à grande vitesse de ce sport.")</f>
        <v>Les dimensions du terrain sont spécifiquement conçues pour la nature à grande vitesse de ce sport.</v>
      </c>
    </row>
    <row r="127" ht="22.5" customHeight="1">
      <c r="A127" s="4">
        <v>126.0</v>
      </c>
      <c r="B127" s="5" t="s">
        <v>1609</v>
      </c>
      <c r="C127" s="5" t="s">
        <v>1610</v>
      </c>
      <c r="D127" s="5" t="s">
        <v>1611</v>
      </c>
      <c r="E127" s="5" t="s">
        <v>1612</v>
      </c>
      <c r="G127" s="6" t="str">
        <f>IFERROR(__xludf.DUMMYFUNCTION("GOOGLETRANSLATE(A127, ""en"", ""fr"")"),"126")</f>
        <v>126</v>
      </c>
      <c r="H127" s="6" t="str">
        <f>IFERROR(__xludf.DUMMYFUNCTION("GOOGLETRANSLATE(B127, ""en"", ""fr"")"),"Un joueur sert, et la balle touche la ligne entre le mur frontal et le sol. Quelle est la décision ?")</f>
        <v>Un joueur sert, et la balle touche la ligne entre le mur frontal et le sol. Quelle est la décision ?</v>
      </c>
      <c r="I127" s="6" t="str">
        <f>IFERROR(__xludf.DUMMYFUNCTION("GOOGLETRANSLATE(C127, ""en"", ""fr"")"),"A) Service régulier, B) Faute, C) Point rejoué, D) Choix de l'adversaire")</f>
        <v>A) Service régulier, B) Faute, C) Point rejoué, D) Choix de l'adversaire</v>
      </c>
      <c r="J127" s="6" t="str">
        <f>IFERROR(__xludf.DUMMYFUNCTION("GOOGLETRANSLATE(D127, ""en"", ""fr"")"),"B) Un défaut")</f>
        <v>B) Un défaut</v>
      </c>
      <c r="K127" s="6" t="str">
        <f>IFERROR(__xludf.DUMMYFUNCTION("GOOGLETRANSLATE(E127, ""en"", ""fr"")"),"La balle doit toucher le mur frontal nettement au-dessus du sol. Toucher la ligne est une faute.")</f>
        <v>La balle doit toucher le mur frontal nettement au-dessus du sol. Toucher la ligne est une faute.</v>
      </c>
    </row>
    <row r="128" ht="22.5" customHeight="1">
      <c r="A128" s="4">
        <v>127.0</v>
      </c>
      <c r="B128" s="5" t="s">
        <v>1613</v>
      </c>
      <c r="C128" s="5" t="s">
        <v>1614</v>
      </c>
      <c r="D128" s="5" t="s">
        <v>1615</v>
      </c>
      <c r="E128" s="5" t="s">
        <v>1616</v>
      </c>
      <c r="G128" s="6" t="str">
        <f>IFERROR(__xludf.DUMMYFUNCTION("GOOGLETRANSLATE(A128, ""en"", ""fr"")"),"127")</f>
        <v>127</v>
      </c>
      <c r="H128" s="6" t="str">
        <f>IFERROR(__xludf.DUMMYFUNCTION("GOOGLETRANSLATE(B128, ""en"", ""fr"")"),"Quel célèbre artiste surréaliste était un admirateur de Pelota et a utilisé son imagerie dans son œuvre ?")</f>
        <v>Quel célèbre artiste surréaliste était un admirateur de Pelota et a utilisé son imagerie dans son œuvre ?</v>
      </c>
      <c r="I128" s="6" t="str">
        <f>IFERROR(__xludf.DUMMYFUNCTION("GOOGLETRANSLATE(C128, ""en"", ""fr"")"),"A) Max Ernst, B) Man Ray, C) André Breton, D) Salvador Dalí")</f>
        <v>A) Max Ernst, B) Man Ray, C) André Breton, D) Salvador Dalí</v>
      </c>
      <c r="J128" s="6" t="str">
        <f>IFERROR(__xludf.DUMMYFUNCTION("GOOGLETRANSLATE(D128, ""en"", ""fr"")"),"D) Salvador Dalí")</f>
        <v>D) Salvador Dalí</v>
      </c>
      <c r="K128" s="6" t="str">
        <f>IFERROR(__xludf.DUMMYFUNCTION("GOOGLETRANSLATE(E128, ""en"", ""fr"")"),"Dalí était fasciné par la vitesse et la forme de ce sport, et il a créé un tableau célèbre intitulé « Jai-Alai cosmique ».")</f>
        <v>Dalí était fasciné par la vitesse et la forme de ce sport, et il a créé un tableau célèbre intitulé « Jai-Alai cosmique ».</v>
      </c>
    </row>
    <row r="129" ht="22.5" customHeight="1">
      <c r="A129" s="4">
        <v>128.0</v>
      </c>
      <c r="B129" s="5" t="s">
        <v>1617</v>
      </c>
      <c r="C129" s="5" t="s">
        <v>1618</v>
      </c>
      <c r="D129" s="5" t="s">
        <v>1619</v>
      </c>
      <c r="E129" s="5" t="s">
        <v>1620</v>
      </c>
      <c r="G129" s="6" t="str">
        <f>IFERROR(__xludf.DUMMYFUNCTION("GOOGLETRANSLATE(A129, ""en"", ""fr"")"),"128")</f>
        <v>128</v>
      </c>
      <c r="H129" s="6" t="str">
        <f>IFERROR(__xludf.DUMMYFUNCTION("GOOGLETRANSLATE(B129, ""en"", ""fr"")"),"Quelle est la raison historique de la popularité de la pelota dans de nombreuses anciennes colonies françaises ?")</f>
        <v>Quelle est la raison historique de la popularité de la pelota dans de nombreuses anciennes colonies françaises ?</v>
      </c>
      <c r="I129" s="6" t="str">
        <f>IFERROR(__xludf.DUMMYFUNCTION("GOOGLETRANSLATE(C129, ""en"", ""fr"")"),"A) Il était enseigné par l'armée française, B) Des administrateurs et missionnaires basques et français ont introduit le jeu, C) C'était un sport autochtone, D) Il n'y est pas populaire")</f>
        <v>A) Il était enseigné par l'armée française, B) Des administrateurs et missionnaires basques et français ont introduit le jeu, C) C'était un sport autochtone, D) Il n'y est pas populaire</v>
      </c>
      <c r="J129" s="6" t="str">
        <f>IFERROR(__xludf.DUMMYFUNCTION("GOOGLETRANSLATE(D129, ""en"", ""fr"")"),"B) Des administrateurs et missionnaires basques et français ont introduit le jeu")</f>
        <v>B) Des administrateurs et missionnaires basques et français ont introduit le jeu</v>
      </c>
      <c r="K129" s="6" t="str">
        <f>IFERROR(__xludf.DUMMYFUNCTION("GOOGLETRANSLATE(E129, ""en"", ""fr"")"),"Le jeu s'est répandu dans des endroits comme le Vietnam et certaines régions d'Afrique grâce à l'influence culturelle de l'empire colonial français.")</f>
        <v>Le jeu s'est répandu dans des endroits comme le Vietnam et certaines régions d'Afrique grâce à l'influence culturelle de l'empire colonial français.</v>
      </c>
    </row>
    <row r="130" ht="22.5" customHeight="1">
      <c r="A130" s="4">
        <v>129.0</v>
      </c>
      <c r="B130" s="5" t="s">
        <v>1621</v>
      </c>
      <c r="C130" s="5" t="s">
        <v>1622</v>
      </c>
      <c r="D130" s="5" t="s">
        <v>1623</v>
      </c>
      <c r="E130" s="5" t="s">
        <v>1624</v>
      </c>
      <c r="G130" s="6" t="str">
        <f>IFERROR(__xludf.DUMMYFUNCTION("GOOGLETRANSLATE(A130, ""en"", ""fr"")"),"129")</f>
        <v>129</v>
      </c>
      <c r="H130" s="6" t="str">
        <f>IFERROR(__xludf.DUMMYFUNCTION("GOOGLETRANSLATE(B130, ""en"", ""fr"")"),"Qu'est-ce qu'une Pala Corta ?")</f>
        <v>Qu'est-ce qu'une Pala Corta ?</v>
      </c>
      <c r="I130" s="6" t="str">
        <f>IFERROR(__xludf.DUMMYFUNCTION("GOOGLETRANSLATE(C130, ""en"", ""fr"")"),"A) Une petite chistera, B) Une courte et épaisse raquette en bois utilisée pour frapper une balle en cuir dur, C) Une courte partie de pelote basque, D) L'avant du terrain")</f>
        <v>A) Une petite chistera, B) Une courte et épaisse raquette en bois utilisée pour frapper une balle en cuir dur, C) Une courte partie de pelote basque, D) L'avant du terrain</v>
      </c>
      <c r="J130" s="6" t="str">
        <f>IFERROR(__xludf.DUMMYFUNCTION("GOOGLETRANSLATE(D130, ""en"", ""fr"")"),"B) Une raquette en bois courte et épaisse utilisée pour frapper une balle en cuir dur")</f>
        <v>B) Une raquette en bois courte et épaisse utilisée pour frapper une balle en cuir dur</v>
      </c>
      <c r="K130" s="6" t="str">
        <f>IFERROR(__xludf.DUMMYFUNCTION("GOOGLETRANSLATE(E130, ""en"", ""fr"")"),"Pala Corta (« courte pagaie ») est une modalité spécifique et puissante du jeu, populaire en Espagne.")</f>
        <v>Pala Corta (« courte pagaie ») est une modalité spécifique et puissante du jeu, populaire en Espagne.</v>
      </c>
    </row>
    <row r="131" ht="22.5" customHeight="1">
      <c r="A131" s="4">
        <v>130.0</v>
      </c>
      <c r="B131" s="5" t="s">
        <v>1625</v>
      </c>
      <c r="C131" s="5" t="s">
        <v>1626</v>
      </c>
      <c r="D131" s="5" t="s">
        <v>1627</v>
      </c>
      <c r="E131" s="5" t="s">
        <v>1628</v>
      </c>
      <c r="G131" s="6" t="str">
        <f>IFERROR(__xludf.DUMMYFUNCTION("GOOGLETRANSLATE(A131, ""en"", ""fr"")"),"130")</f>
        <v>130</v>
      </c>
      <c r="H131" s="6" t="str">
        <f>IFERROR(__xludf.DUMMYFUNCTION("GOOGLETRANSLATE(B131, ""en"", ""fr"")"),"En quoi le jeu pratiqué par les Aztèques (Ulama) ressemblait-il à la pelote basque ?")</f>
        <v>En quoi le jeu pratiqué par les Aztèques (Ulama) ressemblait-il à la pelote basque ?</v>
      </c>
      <c r="I131" s="6" t="str">
        <f>IFERROR(__xludf.DUMMYFUNCTION("GOOGLETRANSLATE(C131, ""en"", ""fr"")"),"A) On utilisait un mur, une balle en caoutchouc dur et on jouait avec le corps. B) On utilisait une raquette. C) On jouait à cheval. D) Il n'y a aucune ressemblance.")</f>
        <v>A) On utilisait un mur, une balle en caoutchouc dur et on jouait avec le corps. B) On utilisait une raquette. C) On jouait à cheval. D) Il n'y a aucune ressemblance.</v>
      </c>
      <c r="J131" s="6" t="str">
        <f>IFERROR(__xludf.DUMMYFUNCTION("GOOGLETRANSLATE(D131, ""en"", ""fr"")"),"A) Il utilisait un mur, une balle en caoutchouc dur et se jouait avec le corps.")</f>
        <v>A) Il utilisait un mur, une balle en caoutchouc dur et se jouait avec le corps.</v>
      </c>
      <c r="K131" s="6" t="str">
        <f>IFERROR(__xludf.DUMMYFUNCTION("GOOGLETRANSLATE(E131, ""en"", ""fr"")"),"Bien qu'ils n'en soient pas un ancêtre direct, les anciens jeux de balle mésoaméricains partageaient le concept de base d'un jeu latéral, se déroulant contre un mur, avec une balle en caoutchouc solide.")</f>
        <v>Bien qu'ils n'en soient pas un ancêtre direct, les anciens jeux de balle mésoaméricains partageaient le concept de base d'un jeu latéral, se déroulant contre un mur, avec une balle en caoutchouc solide.</v>
      </c>
    </row>
    <row r="132" ht="22.5" customHeight="1">
      <c r="A132" s="4">
        <v>131.0</v>
      </c>
      <c r="B132" s="5" t="s">
        <v>1629</v>
      </c>
      <c r="C132" s="5" t="s">
        <v>1630</v>
      </c>
      <c r="D132" s="5" t="s">
        <v>1631</v>
      </c>
      <c r="E132" s="5" t="s">
        <v>1632</v>
      </c>
      <c r="G132" s="6" t="str">
        <f>IFERROR(__xludf.DUMMYFUNCTION("GOOGLETRANSLATE(A132, ""en"", ""fr"")"),"131")</f>
        <v>131</v>
      </c>
      <c r="H132" s="6" t="str">
        <f>IFERROR(__xludf.DUMMYFUNCTION("GOOGLETRANSLATE(B132, ""en"", ""fr"")"),"Quel est le rôle principal du mur gauche (pared izquierda) dans le jeu ?")</f>
        <v>Quel est le rôle principal du mur gauche (pared izquierda) dans le jeu ?</v>
      </c>
      <c r="I132" s="6" t="str">
        <f>IFERROR(__xludf.DUMMYFUNCTION("GOOGLETRANSLATE(C132, ""en"", ""fr"")"),"A) Fournir une surface de jeu légale pour la balle, créant des angles complexes ; B) Séparer les joueurs des spectateurs ; C) C'est hors limites ; D) C'est là que le score est consigné.")</f>
        <v>A) Fournir une surface de jeu légale pour la balle, créant des angles complexes ; B) Séparer les joueurs des spectateurs ; C) C'est hors limites ; D) C'est là que le score est consigné.</v>
      </c>
      <c r="J132" s="6" t="str">
        <f>IFERROR(__xludf.DUMMYFUNCTION("GOOGLETRANSLATE(D132, ""en"", ""fr"")"),"A) Fournir une surface permettant de jouer la balle légalement, créant des angles complexes")</f>
        <v>A) Fournir une surface permettant de jouer la balle légalement, créant des angles complexes</v>
      </c>
      <c r="K132" s="6" t="str">
        <f>IFERROR(__xludf.DUMMYFUNCTION("GOOGLETRANSLATE(E132, ""en"", ""fr"")"),"Le mur latéral est un élément fondamental du jeu, permettant des tirs avec rebond et des actions défensives impossibles dans un jeu à deux murs.")</f>
        <v>Le mur latéral est un élément fondamental du jeu, permettant des tirs avec rebond et des actions défensives impossibles dans un jeu à deux murs.</v>
      </c>
    </row>
    <row r="133" ht="22.5" customHeight="1">
      <c r="A133" s="4">
        <v>132.0</v>
      </c>
      <c r="B133" s="5" t="s">
        <v>1633</v>
      </c>
      <c r="C133" s="5" t="s">
        <v>1634</v>
      </c>
      <c r="D133" s="5" t="s">
        <v>1635</v>
      </c>
      <c r="E133" s="5" t="s">
        <v>1636</v>
      </c>
      <c r="G133" s="6" t="str">
        <f>IFERROR(__xludf.DUMMYFUNCTION("GOOGLETRANSLATE(A133, ""en"", ""fr"")"),"132")</f>
        <v>132</v>
      </c>
      <c r="H133" s="6" t="str">
        <f>IFERROR(__xludf.DUMMYFUNCTION("GOOGLETRANSLATE(B133, ""en"", ""fr"")"),"Un joueur est connu pour son puissant saque. De quoi s'agit-il ?")</f>
        <v>Un joueur est connu pour son puissant saque. De quoi s'agit-il ?</v>
      </c>
      <c r="I133" s="6" t="str">
        <f>IFERROR(__xludf.DUMMYFUNCTION("GOOGLETRANSLATE(C133, ""en"", ""fr"")"),"A) Leur coup droit, B) Leur revers, C) Leur service, D) Leur bloc défensif")</f>
        <v>A) Leur coup droit, B) Leur revers, C) Leur service, D) Leur bloc défensif</v>
      </c>
      <c r="J133" s="6" t="str">
        <f>IFERROR(__xludf.DUMMYFUNCTION("GOOGLETRANSLATE(D133, ""en"", ""fr"")"),"C) Leur service")</f>
        <v>C) Leur service</v>
      </c>
      <c r="K133" s="6" t="str">
        <f>IFERROR(__xludf.DUMMYFUNCTION("GOOGLETRANSLATE(E133, ""en"", ""fr"")"),"Le saque est le mot espagnol pour le service, le premier coup de chaque point.")</f>
        <v>Le saque est le mot espagnol pour le service, le premier coup de chaque point.</v>
      </c>
    </row>
    <row r="134" ht="22.5" customHeight="1">
      <c r="A134" s="4">
        <v>133.0</v>
      </c>
      <c r="B134" s="5" t="s">
        <v>1637</v>
      </c>
      <c r="C134" s="5" t="s">
        <v>1638</v>
      </c>
      <c r="D134" s="5" t="s">
        <v>1639</v>
      </c>
      <c r="E134" s="5" t="s">
        <v>1640</v>
      </c>
      <c r="G134" s="6" t="str">
        <f>IFERROR(__xludf.DUMMYFUNCTION("GOOGLETRANSLATE(A134, ""en"", ""fr"")"),"133")</f>
        <v>133</v>
      </c>
      <c r="H134" s="6" t="str">
        <f>IFERROR(__xludf.DUMMYFUNCTION("GOOGLETRANSLATE(B134, ""en"", ""fr"")"),"Pourquoi le sol d'un fronton de pelote basque professionnel est-il souvent en béton ou en granit ?")</f>
        <v>Pourquoi le sol d'un fronton de pelote basque professionnel est-il souvent en béton ou en granit ?</v>
      </c>
      <c r="I134" s="6" t="str">
        <f>IFERROR(__xludf.DUMMYFUNCTION("GOOGLETRANSLATE(C134, ""en"", ""fr"")"),"A) Il est bon marché, B) Il offre un rebond très rapide et régulier pour la balle dure, C) Il est traditionnel, D) Il est facile à nettoyer")</f>
        <v>A) Il est bon marché, B) Il offre un rebond très rapide et régulier pour la balle dure, C) Il est traditionnel, D) Il est facile à nettoyer</v>
      </c>
      <c r="J134" s="6" t="str">
        <f>IFERROR(__xludf.DUMMYFUNCTION("GOOGLETRANSLATE(D134, ""en"", ""fr"")"),"B) Il assure un rebond très rapide et régulier pour la balle dure")</f>
        <v>B) Il assure un rebond très rapide et régulier pour la balle dure</v>
      </c>
      <c r="K134" s="6" t="str">
        <f>IFERROR(__xludf.DUMMYFUNCTION("GOOGLETRANSLATE(E134, ""en"", ""fr"")"),"La surface dure et lisse est essentielle pour le rythme rapide et les rebonds importants propres à ce jeu.")</f>
        <v>La surface dure et lisse est essentielle pour le rythme rapide et les rebonds importants propres à ce jeu.</v>
      </c>
    </row>
    <row r="135" ht="22.5" customHeight="1">
      <c r="A135" s="4">
        <v>134.0</v>
      </c>
      <c r="B135" s="5" t="s">
        <v>1641</v>
      </c>
      <c r="C135" s="5" t="s">
        <v>1642</v>
      </c>
      <c r="D135" s="5" t="s">
        <v>1643</v>
      </c>
      <c r="E135" s="5" t="s">
        <v>1644</v>
      </c>
      <c r="G135" s="6" t="str">
        <f>IFERROR(__xludf.DUMMYFUNCTION("GOOGLETRANSLATE(A135, ""en"", ""fr"")"),"134")</f>
        <v>134</v>
      </c>
      <c r="H135" s="6" t="str">
        <f>IFERROR(__xludf.DUMMYFUNCTION("GOOGLETRANSLATE(B135, ""en"", ""fr"")"),"Le déclin de la pelote basque aux États-Unis a été marqué par une longue et âpre grève des joueurs durant quelle décennie ?")</f>
        <v>Le déclin de la pelote basque aux États-Unis a été marqué par une longue et âpre grève des joueurs durant quelle décennie ?</v>
      </c>
      <c r="I135" s="6" t="str">
        <f>IFERROR(__xludf.DUMMYFUNCTION("GOOGLETRANSLATE(C135, ""en"", ""fr"")"),"A) Les années 1960, B) Les années 1970, C) Les années 1980, D) Les années 1990")</f>
        <v>A) Les années 1960, B) Les années 1970, C) Les années 1980, D) Les années 1990</v>
      </c>
      <c r="J135" s="6" t="str">
        <f>IFERROR(__xludf.DUMMYFUNCTION("GOOGLETRANSLATE(D135, ""en"", ""fr"")"),"C) Les années 1980")</f>
        <v>C) Les années 1980</v>
      </c>
      <c r="K135" s="6" t="str">
        <f>IFERROR(__xludf.DUMMYFUNCTION("GOOGLETRANSLATE(E135, ""en"", ""fr"")"),"Une grève majeure, qui a débuté en 1988, a duré plusieurs années et a porté un coup fatal dont la popularité de ce sport aux États-Unis ne s'est jamais pleinement remise.")</f>
        <v>Une grève majeure, qui a débuté en 1988, a duré plusieurs années et a porté un coup fatal dont la popularité de ce sport aux États-Unis ne s'est jamais pleinement remise.</v>
      </c>
    </row>
    <row r="136" ht="22.5" customHeight="1">
      <c r="A136" s="4">
        <v>135.0</v>
      </c>
      <c r="B136" s="5" t="s">
        <v>1490</v>
      </c>
      <c r="C136" s="5" t="s">
        <v>1491</v>
      </c>
      <c r="D136" s="5" t="s">
        <v>1492</v>
      </c>
      <c r="E136" s="5" t="s">
        <v>1493</v>
      </c>
      <c r="G136" s="6" t="str">
        <f>IFERROR(__xludf.DUMMYFUNCTION("GOOGLETRANSLATE(A136, ""en"", ""fr"")"),"135")</f>
        <v>135</v>
      </c>
      <c r="H136" s="6" t="str">
        <f>IFERROR(__xludf.DUMMYFUNCTION("GOOGLETRANSLATE(B136, ""en"", ""fr"")"),"Quelle est la principale raison pour laquelle la pelota jouit d'un statut culturel beaucoup plus élevé au Pays basque que dans d'autres parties du monde ?")</f>
        <v>Quelle est la principale raison pour laquelle la pelota jouit d'un statut culturel beaucoup plus élevé au Pays basque que dans d'autres parties du monde ?</v>
      </c>
      <c r="I136" s="6" t="str">
        <f>IFERROR(__xludf.DUMMYFUNCTION("GOOGLETRANSLATE(C136, ""en"", ""fr"")"),"A) C'est un symbole de leur identité nationale et culturelle unique, B) C'est le seul sport qu'ils pratiquent, C) Les prix y sont beaucoup plus élevés, D) Les meilleurs joueurs viennent tous de là-bas")</f>
        <v>A) C'est un symbole de leur identité nationale et culturelle unique, B) C'est le seul sport qu'ils pratiquent, C) Les prix y sont beaucoup plus élevés, D) Les meilleurs joueurs viennent tous de là-bas</v>
      </c>
      <c r="J136" s="6" t="str">
        <f>IFERROR(__xludf.DUMMYFUNCTION("GOOGLETRANSLATE(D136, ""en"", ""fr"")"),"A) C'est un symbole de leur identité nationale et culturelle unique")</f>
        <v>A) C'est un symbole de leur identité nationale et culturelle unique</v>
      </c>
      <c r="K136" s="6" t="str">
        <f>IFERROR(__xludf.DUMMYFUNCTION("GOOGLETRANSLATE(E136, ""en"", ""fr"")"),"La pelote est bien plus qu'un simple jeu ; c'est un trésor culturel précieux, une institution sociale et une puissante expression du patrimoine basque.")</f>
        <v>La pelote est bien plus qu'un simple jeu ; c'est un trésor culturel précieux, une institution sociale et une puissante expression du patrimoine basque.</v>
      </c>
    </row>
    <row r="137" ht="22.5" customHeight="1">
      <c r="A137" s="4">
        <v>136.0</v>
      </c>
      <c r="B137" s="5" t="s">
        <v>1645</v>
      </c>
      <c r="C137" s="5" t="s">
        <v>1646</v>
      </c>
      <c r="D137" s="5" t="s">
        <v>1647</v>
      </c>
      <c r="E137" s="5" t="s">
        <v>1648</v>
      </c>
      <c r="G137" s="6" t="str">
        <f>IFERROR(__xludf.DUMMYFUNCTION("GOOGLETRANSLATE(A137, ""en"", ""fr"")"),"136")</f>
        <v>136</v>
      </c>
      <c r="H137" s="6" t="str">
        <f>IFERROR(__xludf.DUMMYFUNCTION("GOOGLETRANSLATE(B137, ""en"", ""fr"")"),"Un joueur sert et la balle touche la ligne courte (falta line). Quelle est la décision ?")</f>
        <v>Un joueur sert et la balle touche la ligne courte (falta line). Quelle est la décision ?</v>
      </c>
      <c r="I137" s="6" t="str">
        <f>IFERROR(__xludf.DUMMYFUNCTION("GOOGLETRANSLATE(C137, ""en"", ""fr"")"),"A) Service régulier, B) Service court (faute), C) Point rejoué, D) Avertissement donné")</f>
        <v>A) Service régulier, B) Service court (faute), C) Point rejoué, D) Avertissement donné</v>
      </c>
      <c r="J137" s="6" t="str">
        <f>IFERROR(__xludf.DUMMYFUNCTION("GOOGLETRANSLATE(D137, ""en"", ""fr"")"),"B) Un service « court », ce qui est une faute")</f>
        <v>B) Un service « court », ce qui est une faute</v>
      </c>
      <c r="K137" s="6" t="str">
        <f>IFERROR(__xludf.DUMMYFUNCTION("GOOGLETRANSLATE(E137, ""en"", ""fr"")"),"Le service doit rebondir au-delà de la ligne de service. Un service qui atterrit sur ou avant cette ligne est une faute.")</f>
        <v>Le service doit rebondir au-delà de la ligne de service. Un service qui atterrit sur ou avant cette ligne est une faute.</v>
      </c>
    </row>
    <row r="138" ht="22.5" customHeight="1">
      <c r="A138" s="4">
        <v>137.0</v>
      </c>
      <c r="B138" s="5" t="s">
        <v>1569</v>
      </c>
      <c r="C138" s="5" t="s">
        <v>1570</v>
      </c>
      <c r="D138" s="5" t="s">
        <v>1571</v>
      </c>
      <c r="E138" s="5" t="s">
        <v>1572</v>
      </c>
      <c r="G138" s="6" t="str">
        <f>IFERROR(__xludf.DUMMYFUNCTION("GOOGLETRANSLATE(A138, ""en"", ""fr"")"),"137")</f>
        <v>137</v>
      </c>
      <c r="H138" s="6" t="str">
        <f>IFERROR(__xludf.DUMMYFUNCTION("GOOGLETRANSLATE(B138, ""en"", ""fr"")"),"Pourquoi les joueurs professionnels de pelote basque aux États-Unis étaient-ils presque exclusivement basques au XXe siècle ?")</f>
        <v>Pourquoi les joueurs professionnels de pelote basque aux États-Unis étaient-ils presque exclusivement basques au XXe siècle ?</v>
      </c>
      <c r="I138" s="6" t="str">
        <f>IFERROR(__xludf.DUMMYFUNCTION("GOOGLETRANSLATE(C138, ""en"", ""fr"")"),"A) C'était une règle. B) Le niveau de compétence requis était si élevé que seuls ceux formés dès l'enfance au Pays basque pouvaient participer. C) Les Américains n'étaient pas intéressés. D) Le gouvernement basque les sponsorisait.")</f>
        <v>A) C'était une règle. B) Le niveau de compétence requis était si élevé que seuls ceux formés dès l'enfance au Pays basque pouvaient participer. C) Les Américains n'étaient pas intéressés. D) Le gouvernement basque les sponsorisait.</v>
      </c>
      <c r="J138" s="6" t="str">
        <f>IFERROR(__xludf.DUMMYFUNCTION("GOOGLETRANSLATE(D138, ""en"", ""fr"")"),"B) Le niveau de compétence requis était si élevé que seuls ceux formés dès leur plus jeune âge au Pays basque pouvaient rivaliser.")</f>
        <v>B) Le niveau de compétence requis était si élevé que seuls ceux formés dès leur plus jeune âge au Pays basque pouvaient rivaliser.</v>
      </c>
      <c r="K138" s="6" t="str">
        <f>IFERROR(__xludf.DUMMYFUNCTION("GOOGLETRANSLATE(E138, ""en"", ""fr"")"),"Les compétences uniques et difficiles requises pour ce sport impliquaient que le circuit professionnel mondial devait importer ses joueurs directement du cœur du Pays basque.")</f>
        <v>Les compétences uniques et difficiles requises pour ce sport impliquaient que le circuit professionnel mondial devait importer ses joueurs directement du cœur du Pays basque.</v>
      </c>
    </row>
    <row r="139" ht="22.5" customHeight="1">
      <c r="A139" s="4">
        <v>138.0</v>
      </c>
      <c r="B139" s="5" t="s">
        <v>1649</v>
      </c>
      <c r="C139" s="5" t="s">
        <v>1574</v>
      </c>
      <c r="D139" s="5" t="s">
        <v>1575</v>
      </c>
      <c r="E139" s="5" t="s">
        <v>1576</v>
      </c>
      <c r="G139" s="6" t="str">
        <f>IFERROR(__xludf.DUMMYFUNCTION("GOOGLETRANSLATE(A139, ""en"", ""fr"")"),"138")</f>
        <v>138</v>
      </c>
      <c r="H139" s="6" t="str">
        <f>IFERROR(__xludf.DUMMYFUNCTION("GOOGLETRANSLATE(B139, ""en"", ""fr"")"),"Qu'est-ce qu'une karambola ?")</f>
        <v>Qu'est-ce qu'une karambola ?</v>
      </c>
      <c r="I139" s="6" t="str">
        <f>IFERROR(__xludf.DUMMYFUNCTION("GOOGLETRANSLATE(C139, ""en"", ""fr"")"),"A) Un type de service, B) Un rebond chanceux ou chaotique de la balle sur les murs, C) Une faute, D) Le nom d'un joueur célèbre")</f>
        <v>A) Un type de service, B) Un rebond chanceux ou chaotique de la balle sur les murs, C) Une faute, D) Le nom d'un joueur célèbre</v>
      </c>
      <c r="J139" s="6" t="str">
        <f>IFERROR(__xludf.DUMMYFUNCTION("GOOGLETRANSLATE(D139, ""en"", ""fr"")"),"B) Un rebond chanceux ou chaotique du ballon sur les murs")</f>
        <v>B) Un rebond chanceux ou chaotique du ballon sur les murs</v>
      </c>
      <c r="K139" s="6" t="str">
        <f>IFERROR(__xludf.DUMMYFUNCTION("GOOGLETRANSLATE(E139, ""en"", ""fr"")"),"Une karambola est un carambolage ou un rebond imprévisible qui peut déstabiliser un joueur, ajoutant ainsi un élément de chance au jeu.")</f>
        <v>Une karambola est un carambolage ou un rebond imprévisible qui peut déstabiliser un joueur, ajoutant ainsi un élément de chance au jeu.</v>
      </c>
    </row>
    <row r="140" ht="22.5" customHeight="1">
      <c r="A140" s="4">
        <v>139.0</v>
      </c>
      <c r="B140" s="5" t="s">
        <v>1581</v>
      </c>
      <c r="C140" s="5" t="s">
        <v>1582</v>
      </c>
      <c r="D140" s="5" t="s">
        <v>1583</v>
      </c>
      <c r="E140" s="5" t="s">
        <v>1584</v>
      </c>
      <c r="G140" s="6" t="str">
        <f>IFERROR(__xludf.DUMMYFUNCTION("GOOGLETRANSLATE(A140, ""en"", ""fr"")"),"139")</f>
        <v>139</v>
      </c>
      <c r="H140" s="6" t="str">
        <f>IFERROR(__xludf.DUMMYFUNCTION("GOOGLETRANSLATE(B140, ""en"", ""fr"")"),"Quelle est la principale raison tactique de jouer un tir haut sur le mur frontal ?")</f>
        <v>Quelle est la principale raison tactique de jouer un tir haut sur le mur frontal ?</v>
      </c>
      <c r="I140" s="6" t="str">
        <f>IFERROR(__xludf.DUMMYFUNCTION("GOOGLETRANSLATE(C140, ""en"", ""fr"")"),"A) Il est plus facile de frapper, B) Pour créer un rebond haut et profond qui force l'adversaire à reculer au fond du court, C) Il permet de marquer plus de points, D) Pour éviter de toucher le filet")</f>
        <v>A) Il est plus facile de frapper, B) Pour créer un rebond haut et profond qui force l'adversaire à reculer au fond du court, C) Il permet de marquer plus de points, D) Pour éviter de toucher le filet</v>
      </c>
      <c r="J140" s="6" t="str">
        <f>IFERROR(__xludf.DUMMYFUNCTION("GOOGLETRANSLATE(D140, ""en"", ""fr"")"),"B) Créer un rebond haut et profond qui force l'adversaire à reculer au fond du terrain")</f>
        <v>B) Créer un rebond haut et profond qui force l'adversaire à reculer au fond du terrain</v>
      </c>
      <c r="K140" s="6" t="str">
        <f>IFERROR(__xludf.DUMMYFUNCTION("GOOGLETRANSLATE(E140, ""en"", ""fr"")"),"Il s'agit d'un coup défensif ou tactique courant, utilisé pour relancer l'échange et forcer l'adversaire à se mettre en position défensive.")</f>
        <v>Il s'agit d'un coup défensif ou tactique courant, utilisé pour relancer l'échange et forcer l'adversaire à se mettre en position défensive.</v>
      </c>
    </row>
    <row r="141" ht="22.5" customHeight="1">
      <c r="A141" s="4">
        <v>140.0</v>
      </c>
      <c r="B141" s="5" t="s">
        <v>1585</v>
      </c>
      <c r="C141" s="5" t="s">
        <v>1586</v>
      </c>
      <c r="D141" s="5" t="s">
        <v>1587</v>
      </c>
      <c r="E141" s="5" t="s">
        <v>1588</v>
      </c>
      <c r="G141" s="6" t="str">
        <f>IFERROR(__xludf.DUMMYFUNCTION("GOOGLETRANSLATE(A141, ""en"", ""fr"")"),"140")</f>
        <v>140</v>
      </c>
      <c r="H141" s="6" t="str">
        <f>IFERROR(__xludf.DUMMYFUNCTION("GOOGLETRANSLATE(B141, ""en"", ""fr"")"),"Quelle est l'origine historique des uniformes blancs traditionnels des joueurs ?")</f>
        <v>Quelle est l'origine historique des uniformes blancs traditionnels des joueurs ?</v>
      </c>
      <c r="I141" s="6" t="str">
        <f>IFERROR(__xludf.DUMMYFUNCTION("GOOGLETRANSLATE(C141, ""en"", ""fr"")"),"A) C'était le tissu le moins cher, B) Il dérivait des sous-vêtements traditionnels portés au jeu de paume et était un signe d'esprit sportif, C) C'était une règle de la première fédération, D) Pour être plus visible sur le court")</f>
        <v>A) C'était le tissu le moins cher, B) Il dérivait des sous-vêtements traditionnels portés au jeu de paume et était un signe d'esprit sportif, C) C'était une règle de la première fédération, D) Pour être plus visible sur le court</v>
      </c>
      <c r="J141" s="6" t="str">
        <f>IFERROR(__xludf.DUMMYFUNCTION("GOOGLETRANSLATE(D141, ""en"", ""fr"")"),"B) Il a évolué à partir des sous-vêtements traditionnels portés au jeu de paume et était un signe d'esprit sportif.")</f>
        <v>B) Il a évolué à partir des sous-vêtements traditionnels portés au jeu de paume et était un signe d'esprit sportif.</v>
      </c>
      <c r="K141" s="6" t="str">
        <f>IFERROR(__xludf.DUMMYFUNCTION("GOOGLETRANSLATE(E141, ""en"", ""fr"")"),"La tenue blanche était la norme pour les premiers sports de raquette, symbolisant une compétition propre et honorable.")</f>
        <v>La tenue blanche était la norme pour les premiers sports de raquette, symbolisant une compétition propre et honorable.</v>
      </c>
    </row>
    <row r="142" ht="22.5" customHeight="1">
      <c r="A142" s="4">
        <v>141.0</v>
      </c>
      <c r="B142" s="5" t="s">
        <v>1589</v>
      </c>
      <c r="C142" s="5" t="s">
        <v>1590</v>
      </c>
      <c r="D142" s="5" t="s">
        <v>1591</v>
      </c>
      <c r="E142" s="5" t="s">
        <v>1592</v>
      </c>
      <c r="G142" s="6" t="str">
        <f>IFERROR(__xludf.DUMMYFUNCTION("GOOGLETRANSLATE(A142, ""en"", ""fr"")"),"141")</f>
        <v>141</v>
      </c>
      <c r="H142" s="6" t="str">
        <f>IFERROR(__xludf.DUMMYFUNCTION("GOOGLETRANSLATE(B142, ""en"", ""fr"")"),"Dans un trinquet, qu'est-ce que le xilo ?")</f>
        <v>Dans un trinquet, qu'est-ce que le xilo ?</v>
      </c>
      <c r="I142" s="6" t="str">
        <f>IFERROR(__xludf.DUMMYFUNCTION("GOOGLETRANSLATE(C142, ""en"", ""fr"")"),"A) Le mur du fond, B) Le filet, C) Un petit trou dans le mur avant qui constitue un coup gagnant automatique s'il est touché, D) La tribune latérale")</f>
        <v>A) Le mur du fond, B) Le filet, C) Un petit trou dans le mur avant qui constitue un coup gagnant automatique s'il est touché, D) La tribune latérale</v>
      </c>
      <c r="J142" s="6" t="str">
        <f>IFERROR(__xludf.DUMMYFUNCTION("GOOGLETRANSLATE(D142, ""en"", ""fr"")"),"C) Un petit trou dans la paroi avant qui, s'il est atteint, constitue un coup gagnant automatique.")</f>
        <v>C) Un petit trou dans la paroi avant qui, s'il est atteint, constitue un coup gagnant automatique.</v>
      </c>
      <c r="K142" s="6" t="str">
        <f>IFERROR(__xludf.DUMMYFUNCTION("GOOGLETRANSLATE(E142, ""en"", ""fr"")"),"Frapper la balle dans le xilo (trou) est un coup difficile et qui permet de gagner instantanément la partie dans certaines modalités.")</f>
        <v>Frapper la balle dans le xilo (trou) est un coup difficile et qui permet de gagner instantanément la partie dans certaines modalités.</v>
      </c>
    </row>
    <row r="143" ht="22.5" customHeight="1">
      <c r="A143" s="4">
        <v>142.0</v>
      </c>
      <c r="B143" s="5" t="s">
        <v>1597</v>
      </c>
      <c r="C143" s="5" t="s">
        <v>1598</v>
      </c>
      <c r="D143" s="5" t="s">
        <v>1599</v>
      </c>
      <c r="E143" s="5" t="s">
        <v>1600</v>
      </c>
      <c r="G143" s="6" t="str">
        <f>IFERROR(__xludf.DUMMYFUNCTION("GOOGLETRANSLATE(A143, ""en"", ""fr"")"),"142")</f>
        <v>142</v>
      </c>
      <c r="H143" s="6" t="str">
        <f>IFERROR(__xludf.DUMMYFUNCTION("GOOGLETRANSLATE(B143, ""en"", ""fr"")"),"On voit un joueur s'appliquer une substance collante, comme de la résine de pin, sur les mains avant un match de nue principal. Pourquoi ?")</f>
        <v>On voit un joueur s'appliquer une substance collante, comme de la résine de pin, sur les mains avant un match de nue principal. Pourquoi ?</v>
      </c>
      <c r="I143" s="6" t="str">
        <f>IFERROR(__xludf.DUMMYFUNCTION("GOOGLETRANSLATE(C143, ""en"", ""fr"")"),"A) C'est une substance illégale. B) Pour mieux contrôler la balle lors de la frappe. C) Pour se protéger les mains des blessures. D) Pour donner un effet à la balle.")</f>
        <v>A) C'est une substance illégale. B) Pour mieux contrôler la balle lors de la frappe. C) Pour se protéger les mains des blessures. D) Pour donner un effet à la balle.</v>
      </c>
      <c r="J143" s="6" t="str">
        <f>IFERROR(__xludf.DUMMYFUNCTION("GOOGLETRANSLATE(D143, ""en"", ""fr"")"),"B) Pour avoir une meilleure prise sur la balle lors de la frappe")</f>
        <v>B) Pour avoir une meilleure prise sur la balle lors de la frappe</v>
      </c>
      <c r="K143" s="6" t="str">
        <f>IFERROR(__xludf.DUMMYFUNCTION("GOOGLETRANSLATE(E143, ""en"", ""fr"")"),"Une petite quantité de résine peut aider le joueur à obtenir plus d'adhérence sur la balle, lui permettant ainsi de lui imprimer plus d'effet et de contrôle.")</f>
        <v>Une petite quantité de résine peut aider le joueur à obtenir plus d'adhérence sur la balle, lui permettant ainsi de lui imprimer plus d'effet et de contrôle.</v>
      </c>
    </row>
    <row r="144" ht="22.5" customHeight="1">
      <c r="A144" s="4">
        <v>143.0</v>
      </c>
      <c r="B144" s="5" t="s">
        <v>1605</v>
      </c>
      <c r="C144" s="5" t="s">
        <v>1606</v>
      </c>
      <c r="D144" s="5" t="s">
        <v>1607</v>
      </c>
      <c r="E144" s="5" t="s">
        <v>1608</v>
      </c>
      <c r="G144" s="6" t="str">
        <f>IFERROR(__xludf.DUMMYFUNCTION("GOOGLETRANSLATE(A144, ""en"", ""fr"")"),"143")</f>
        <v>143</v>
      </c>
      <c r="H144" s="6" t="str">
        <f>IFERROR(__xludf.DUMMYFUNCTION("GOOGLETRANSLATE(B144, ""en"", ""fr"")"),"Quelle est la principale raison de la forme longue et étroite du terrain de Jai Alai (cancha) ?")</f>
        <v>Quelle est la principale raison de la forme longue et étroite du terrain de Jai Alai (cancha) ?</v>
      </c>
      <c r="I144" s="6" t="str">
        <f>IFERROR(__xludf.DUMMYFUNCTION("GOOGLETRANSLATE(C144, ""en"", ""fr"")"),"A) C'est une tradition, B) Pour permettre l'incroyable vitesse et les longs rebonds du ballon, C) Pour accueillir plus de spectateurs, D) Il est inspiré d'une rue médiévale")</f>
        <v>A) C'est une tradition, B) Pour permettre l'incroyable vitesse et les longs rebonds du ballon, C) Pour accueillir plus de spectateurs, D) Il est inspiré d'une rue médiévale</v>
      </c>
      <c r="J144" s="6" t="str">
        <f>IFERROR(__xludf.DUMMYFUNCTION("GOOGLETRANSLATE(D144, ""en"", ""fr"")"),"B) Pour tenir compte de l'incroyable vitesse et des longs rebonds de la balle")</f>
        <v>B) Pour tenir compte de l'incroyable vitesse et des longs rebonds de la balle</v>
      </c>
      <c r="K144" s="6" t="str">
        <f>IFERROR(__xludf.DUMMYFUNCTION("GOOGLETRANSLATE(E144, ""en"", ""fr"")"),"Les dimensions du terrain sont spécifiquement conçues pour la nature à grande vitesse de ce sport.")</f>
        <v>Les dimensions du terrain sont spécifiquement conçues pour la nature à grande vitesse de ce sport.</v>
      </c>
    </row>
    <row r="145" ht="22.5" customHeight="1">
      <c r="A145" s="4">
        <v>144.0</v>
      </c>
      <c r="B145" s="5" t="s">
        <v>1609</v>
      </c>
      <c r="C145" s="5" t="s">
        <v>1610</v>
      </c>
      <c r="D145" s="5" t="s">
        <v>1611</v>
      </c>
      <c r="E145" s="5" t="s">
        <v>1612</v>
      </c>
      <c r="G145" s="6" t="str">
        <f>IFERROR(__xludf.DUMMYFUNCTION("GOOGLETRANSLATE(A145, ""en"", ""fr"")"),"144")</f>
        <v>144</v>
      </c>
      <c r="H145" s="6" t="str">
        <f>IFERROR(__xludf.DUMMYFUNCTION("GOOGLETRANSLATE(B145, ""en"", ""fr"")"),"Un joueur sert, et la balle touche la ligne entre le mur frontal et le sol. Quelle est la décision ?")</f>
        <v>Un joueur sert, et la balle touche la ligne entre le mur frontal et le sol. Quelle est la décision ?</v>
      </c>
      <c r="I145" s="6" t="str">
        <f>IFERROR(__xludf.DUMMYFUNCTION("GOOGLETRANSLATE(C145, ""en"", ""fr"")"),"A) Service régulier, B) Faute, C) Point rejoué, D) Choix de l'adversaire")</f>
        <v>A) Service régulier, B) Faute, C) Point rejoué, D) Choix de l'adversaire</v>
      </c>
      <c r="J145" s="6" t="str">
        <f>IFERROR(__xludf.DUMMYFUNCTION("GOOGLETRANSLATE(D145, ""en"", ""fr"")"),"B) Un défaut")</f>
        <v>B) Un défaut</v>
      </c>
      <c r="K145" s="6" t="str">
        <f>IFERROR(__xludf.DUMMYFUNCTION("GOOGLETRANSLATE(E145, ""en"", ""fr"")"),"La balle doit toucher le mur frontal nettement au-dessus du sol. Toucher la ligne est une faute.")</f>
        <v>La balle doit toucher le mur frontal nettement au-dessus du sol. Toucher la ligne est une faute.</v>
      </c>
    </row>
    <row r="146" ht="22.5" customHeight="1">
      <c r="A146" s="4">
        <v>145.0</v>
      </c>
      <c r="B146" s="5" t="s">
        <v>1498</v>
      </c>
      <c r="C146" s="5" t="s">
        <v>1499</v>
      </c>
      <c r="D146" s="5" t="s">
        <v>1500</v>
      </c>
      <c r="E146" s="5" t="s">
        <v>1501</v>
      </c>
      <c r="G146" s="6" t="str">
        <f>IFERROR(__xludf.DUMMYFUNCTION("GOOGLETRANSLATE(A146, ""en"", ""fr"")"),"145")</f>
        <v>145</v>
      </c>
      <c r="H146" s="6" t="str">
        <f>IFERROR(__xludf.DUMMYFUNCTION("GOOGLETRANSLATE(B146, ""en"", ""fr"")"),"La diffusion de la pelota en Amérique latine est le résultat direct de quel processus historique ?")</f>
        <v>La diffusion de la pelota en Amérique latine est le résultat direct de quel processus historique ?</v>
      </c>
      <c r="I146" s="6" t="str">
        <f>IFERROR(__xludf.DUMMYFUNCTION("GOOGLETRANSLATE(C146, ""en"", ""fr"")"),"A) La Route de la Soie, B) L'Empire britannique, C) La colonisation espagnole et les migrations basques, D) Le mouvement olympique")</f>
        <v>A) La Route de la Soie, B) L'Empire britannique, C) La colonisation espagnole et les migrations basques, D) Le mouvement olympique</v>
      </c>
      <c r="J146" s="6" t="str">
        <f>IFERROR(__xludf.DUMMYFUNCTION("GOOGLETRANSLATE(D146, ""en"", ""fr"")"),"C) Colonisation espagnole et migration basque")</f>
        <v>C) Colonisation espagnole et migration basque</v>
      </c>
      <c r="K146" s="6" t="str">
        <f>IFERROR(__xludf.DUMMYFUNCTION("GOOGLETRANSLATE(E146, ""en"", ""fr"")"),"Les immigrants basques ont emporté avec eux leur sport national dans des pays comme l'Argentine, le Mexique et Cuba, où il s'est implanté.")</f>
        <v>Les immigrants basques ont emporté avec eux leur sport national dans des pays comme l'Argentine, le Mexique et Cuba, où il s'est implanté.</v>
      </c>
    </row>
    <row r="147" ht="22.5" customHeight="1">
      <c r="A147" s="4">
        <v>146.0</v>
      </c>
      <c r="B147" s="5" t="s">
        <v>1502</v>
      </c>
      <c r="C147" s="5" t="s">
        <v>1503</v>
      </c>
      <c r="D147" s="5" t="s">
        <v>1504</v>
      </c>
      <c r="E147" s="5" t="s">
        <v>1505</v>
      </c>
      <c r="G147" s="6" t="str">
        <f>IFERROR(__xludf.DUMMYFUNCTION("GOOGLETRANSLATE(A147, ""en"", ""fr"")"),"146")</f>
        <v>146</v>
      </c>
      <c r="H147" s="6" t="str">
        <f>IFERROR(__xludf.DUMMYFUNCTION("GOOGLETRANSLATE(B147, ""en"", ""fr"")"),"Qu'est-ce qu'une « école de pelote » ou escuela de pelota ?")</f>
        <v>Qu'est-ce qu'une « école de pelote » ou escuela de pelota ?</v>
      </c>
      <c r="I147" s="6" t="str">
        <f>IFERROR(__xludf.DUMMYFUNCTION("GOOGLETRANSLATE(C147, ""en"", ""fr"")"),"A) Une université qui étudie ce sport, B) Un centre de formation pour jeunes joueurs, C) Le titre d'un livre célèbre sur ce sport, D) Un lieu de fabrication des balles")</f>
        <v>A) Une université qui étudie ce sport, B) Un centre de formation pour jeunes joueurs, C) Le titre d'un livre célèbre sur ce sport, D) Un lieu de fabrication des balles</v>
      </c>
      <c r="J147" s="6" t="str">
        <f>IFERROR(__xludf.DUMMYFUNCTION("GOOGLETRANSLATE(D147, ""en"", ""fr"")"),"B) Une académie de formation pour jeunes joueurs")</f>
        <v>B) Une académie de formation pour jeunes joueurs</v>
      </c>
      <c r="K147" s="6" t="str">
        <f>IFERROR(__xludf.DUMMYFUNCTION("GOOGLETRANSLATE(E147, ""en"", ""fr"")"),"Ces écoles sont au cœur du développement de ce sport, où les jeunes enfants apprennent les fondamentaux auprès d'entraîneurs expérimentés.")</f>
        <v>Ces écoles sont au cœur du développement de ce sport, où les jeunes enfants apprennent les fondamentaux auprès d'entraîneurs expérimentés.</v>
      </c>
    </row>
    <row r="148" ht="22.5" customHeight="1">
      <c r="A148" s="4">
        <v>147.0</v>
      </c>
      <c r="B148" s="5" t="s">
        <v>1506</v>
      </c>
      <c r="C148" s="5" t="s">
        <v>1507</v>
      </c>
      <c r="D148" s="5" t="s">
        <v>1508</v>
      </c>
      <c r="E148" s="5" t="s">
        <v>1650</v>
      </c>
      <c r="G148" s="6" t="str">
        <f>IFERROR(__xludf.DUMMYFUNCTION("GOOGLETRANSLATE(A148, ""en"", ""fr"")"),"147")</f>
        <v>147</v>
      </c>
      <c r="H148" s="6" t="str">
        <f>IFERROR(__xludf.DUMMYFUNCTION("GOOGLETRANSLATE(B148, ""en"", ""fr"")"),"Quel est l’héritage le plus durable du jeu de paume ?")</f>
        <v>Quel est l’héritage le plus durable du jeu de paume ?</v>
      </c>
      <c r="I148" s="6" t="str">
        <f>IFERROR(__xludf.DUMMYFUNCTION("GOOGLETRANSLATE(C148, ""en"", ""fr"")"),"A) C'est encore un sport populaire dans le monde entier. B) Il a fourni les règles, la terminologie et les concepts fondamentaux des sports modernes comme le tennis et la pelote basque. C) C'était le premier sport à utiliser une raquette. D) C'était un sp"&amp;"ort olympique.")</f>
        <v>A) C'est encore un sport populaire dans le monde entier. B) Il a fourni les règles, la terminologie et les concepts fondamentaux des sports modernes comme le tennis et la pelote basque. C) C'était le premier sport à utiliser une raquette. D) C'était un sport olympique.</v>
      </c>
      <c r="J148" s="6" t="str">
        <f>IFERROR(__xludf.DUMMYFUNCTION("GOOGLETRANSLATE(D148, ""en"", ""fr"")"),"B) Il a fourni les règles fondamentales, la terminologie et les concepts des sports modernes comme le tennis et la pelote basque.")</f>
        <v>B) Il a fourni les règles fondamentales, la terminologie et les concepts des sports modernes comme le tennis et la pelote basque.</v>
      </c>
      <c r="K148" s="6" t="str">
        <f>IFERROR(__xludf.DUMMYFUNCTION("GOOGLETRANSLATE(E148, ""en"", ""fr"")"),"L'ancien « jeu de la paume » est l'un des ancêtres les plus importants de l'histoire du sport, donnant naissance à de nombreux jeux de raquette et de balle modernes.")</f>
        <v>L'ancien « jeu de la paume » est l'un des ancêtres les plus importants de l'histoire du sport, donnant naissance à de nombreux jeux de raquette et de balle modernes.</v>
      </c>
    </row>
    <row r="149" ht="22.5" customHeight="1">
      <c r="A149" s="4">
        <v>148.0</v>
      </c>
      <c r="B149" s="5" t="s">
        <v>1410</v>
      </c>
      <c r="C149" s="5" t="s">
        <v>1411</v>
      </c>
      <c r="D149" s="5" t="s">
        <v>1412</v>
      </c>
      <c r="E149" s="5" t="s">
        <v>1413</v>
      </c>
      <c r="G149" s="6" t="str">
        <f>IFERROR(__xludf.DUMMYFUNCTION("GOOGLETRANSLATE(A149, ""en"", ""fr"")"),"148")</f>
        <v>148</v>
      </c>
      <c r="H149" s="6" t="str">
        <f>IFERROR(__xludf.DUMMYFUNCTION("GOOGLETRANSLATE(B149, ""en"", ""fr"")"),"Un joueur porte un casque lors d'un match de pelote basque. Pourquoi est-ce une exigence moderne ?")</f>
        <v>Un joueur porte un casque lors d'un match de pelote basque. Pourquoi est-ce une exigence moderne ?</v>
      </c>
      <c r="I149" s="6" t="str">
        <f>IFERROR(__xludf.DUMMYFUNCTION("GOOGLETRANSLATE(C149, ""en"", ""fr"")"),"A) Pour faire professionnel, B) La vitesse incroyable du ballon peut être mortelle s'il heurte la tête d'un joueur, C) Pour se protéger des chutes, D) C'est une exigence du sponsor")</f>
        <v>A) Pour faire professionnel, B) La vitesse incroyable du ballon peut être mortelle s'il heurte la tête d'un joueur, C) Pour se protéger des chutes, D) C'est une exigence du sponsor</v>
      </c>
      <c r="J149" s="6" t="str">
        <f>IFERROR(__xludf.DUMMYFUNCTION("GOOGLETRANSLATE(D149, ""en"", ""fr"")"),"B) L'incroyable vitesse de la balle peut être mortelle si elle frappe un joueur à la tête.")</f>
        <v>B) L'incroyable vitesse de la balle peut être mortelle si elle frappe un joueur à la tête.</v>
      </c>
      <c r="K149" s="6" t="str">
        <f>IFERROR(__xludf.DUMMYFUNCTION("GOOGLETRANSLATE(E149, ""en"", ""fr"")"),"Avec des vitesses de balle dépassant les 300 km/h, le casque est un équipement de sécurité essentiel pour prévenir les blessures graves ou mortelles à la tête.")</f>
        <v>Avec des vitesses de balle dépassant les 300 km/h, le casque est un équipement de sécurité essentiel pour prévenir les blessures graves ou mortelles à la tête.</v>
      </c>
    </row>
    <row r="150" ht="22.5" customHeight="1">
      <c r="A150" s="4">
        <v>149.0</v>
      </c>
      <c r="B150" s="5" t="s">
        <v>1422</v>
      </c>
      <c r="C150" s="5" t="s">
        <v>1423</v>
      </c>
      <c r="D150" s="5" t="s">
        <v>1424</v>
      </c>
      <c r="E150" s="5" t="s">
        <v>1425</v>
      </c>
      <c r="G150" s="6" t="str">
        <f>IFERROR(__xludf.DUMMYFUNCTION("GOOGLETRANSLATE(A150, ""en"", ""fr"")"),"149")</f>
        <v>149</v>
      </c>
      <c r="H150" s="6" t="str">
        <f>IFERROR(__xludf.DUMMYFUNCTION("GOOGLETRANSLATE(B150, ""en"", ""fr"")"),"Le système de paris au Jai Alai, le quiniela, consiste à parier sur les équipes qui termineront à quelles positions ?")</f>
        <v>Le système de paris au Jai Alai, le quiniela, consiste à parier sur les équipes qui termineront à quelles positions ?</v>
      </c>
      <c r="I150" s="6" t="str">
        <f>IFERROR(__xludf.DUMMYFUNCTION("GOOGLETRANSLATE(C150, ""en"", ""fr"")"),"A) Première place seulement, B) Première et deuxième places (Victoire et Placement), C) Première, deuxième et troisième places (Trifecta), D) L'équipe dernière")</f>
        <v>A) Première place seulement, B) Première et deuxième places (Victoire et Placement), C) Première, deuxième et troisième places (Trifecta), D) L'équipe dernière</v>
      </c>
      <c r="J150" s="6" t="str">
        <f>IFERROR(__xludf.DUMMYFUNCTION("GOOGLETRANSLATE(D150, ""en"", ""fr"")"),"B) Première et deuxième place (Victoire et Place)")</f>
        <v>B) Première et deuxième place (Victoire et Place)</v>
      </c>
      <c r="K150" s="6" t="str">
        <f>IFERROR(__xludf.DUMMYFUNCTION("GOOGLETRANSLATE(E150, ""en"", ""fr"")"),"Le quiniela est un système de pari mutuel classique dont le but est de prédire les deux premiers du match.")</f>
        <v>Le quiniela est un système de pari mutuel classique dont le but est de prédire les deux premiers du match.</v>
      </c>
    </row>
    <row r="151" ht="22.5" customHeight="1">
      <c r="A151" s="4">
        <v>150.0</v>
      </c>
      <c r="B151" s="5" t="s">
        <v>1494</v>
      </c>
      <c r="C151" s="5" t="s">
        <v>1495</v>
      </c>
      <c r="D151" s="5" t="s">
        <v>1496</v>
      </c>
      <c r="E151" s="5" t="s">
        <v>1497</v>
      </c>
      <c r="G151" s="6" t="str">
        <f>IFERROR(__xludf.DUMMYFUNCTION("GOOGLETRANSLATE(A151, ""en"", ""fr"")"),"150")</f>
        <v>150</v>
      </c>
      <c r="H151" s="6" t="str">
        <f>IFERROR(__xludf.DUMMYFUNCTION("GOOGLETRANSLATE(B151, ""en"", ""fr"")"),"Quelle est la principale différence entre la paleta cuero et la paleta goma ?")</f>
        <v>Quelle est la principale différence entre la paleta cuero et la paleta goma ?</v>
      </c>
      <c r="I151" s="6" t="str">
        <f>IFERROR(__xludf.DUMMYFUNCTION("GOOGLETRANSLATE(C151, ""en"", ""fr"")"),"A) La taille du terrain, B) Le type de balle utilisée (balle en cuir ou balle en caoutchouc), C) Le nombre de joueurs, D) Le matériau de la raquette")</f>
        <v>A) La taille du terrain, B) Le type de balle utilisée (balle en cuir ou balle en caoutchouc), C) Le nombre de joueurs, D) Le matériau de la raquette</v>
      </c>
      <c r="J151" s="6" t="str">
        <f>IFERROR(__xludf.DUMMYFUNCTION("GOOGLETRANSLATE(D151, ""en"", ""fr"")"),"B) Le type de balle utilisée (balle en cuir ou balle en caoutchouc)")</f>
        <v>B) Le type de balle utilisée (balle en cuir ou balle en caoutchouc)</v>
      </c>
      <c r="K151" s="6" t="str">
        <f>IFERROR(__xludf.DUMMYFUNCTION("GOOGLETRANSLATE(E151, ""en"", ""fr"")"),"Il s'agit de deux modes de jeu de raquette différents : l'un se joue avec une balle traditionnelle en cuir dur et l'autre avec une balle en caoutchouc plus rebondissante.")</f>
        <v>Il s'agit de deux modes de jeu de raquette différents : l'un se joue avec une balle traditionnelle en cuir dur et l'autre avec une balle en caoutchouc plus rebondissante.</v>
      </c>
    </row>
  </sheetData>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5" width="37.63"/>
    <col customWidth="1" min="7" max="7" width="14.13"/>
    <col customWidth="1" min="8" max="11" width="37.63"/>
  </cols>
  <sheetData>
    <row r="1" ht="22.5" customHeight="1">
      <c r="A1" s="1" t="s">
        <v>0</v>
      </c>
      <c r="B1" s="2" t="s">
        <v>1</v>
      </c>
      <c r="C1" s="2" t="s">
        <v>2</v>
      </c>
      <c r="D1" s="2" t="s">
        <v>3</v>
      </c>
      <c r="E1" s="2" t="s">
        <v>4</v>
      </c>
      <c r="G1" s="3" t="s">
        <v>5</v>
      </c>
      <c r="H1" s="3" t="s">
        <v>6</v>
      </c>
      <c r="I1" s="3" t="s">
        <v>7</v>
      </c>
      <c r="J1" s="3" t="s">
        <v>8</v>
      </c>
      <c r="K1" s="3" t="s">
        <v>4</v>
      </c>
    </row>
    <row r="2" ht="22.5" customHeight="1">
      <c r="A2" s="4">
        <v>1.0</v>
      </c>
      <c r="B2" s="5" t="s">
        <v>1651</v>
      </c>
      <c r="C2" s="5" t="s">
        <v>1652</v>
      </c>
      <c r="D2" s="5" t="s">
        <v>1653</v>
      </c>
      <c r="E2" s="5" t="s">
        <v>1654</v>
      </c>
      <c r="G2" s="6" t="str">
        <f>IFERROR(__xludf.DUMMYFUNCTION("GOOGLETRANSLATE(A2, ""en"", ""fr"")"),"1")</f>
        <v>1</v>
      </c>
      <c r="H2" s="6" t="str">
        <f>IFERROR(__xludf.DUMMYFUNCTION("GOOGLETRANSLATE(B2, ""en"", ""fr"")"),"Quel est le nom traditionnel du style de lutte populaire de Bretagne, en France ?")</f>
        <v>Quel est le nom traditionnel du style de lutte populaire de Bretagne, en France ?</v>
      </c>
      <c r="I2" s="6" t="str">
        <f>IFERROR(__xludf.DUMMYFUNCTION("GOOGLETRANSLATE(C2, ""en"", ""fr"")"),"A) Lucha, B) Bretz, C) Gouren, D) Calcio")</f>
        <v>A) Lucha, B) Bretz, C) Gouren, D) Calcio</v>
      </c>
      <c r="J2" s="6" t="str">
        <f>IFERROR(__xludf.DUMMYFUNCTION("GOOGLETRANSLATE(D2, ""en"", ""fr"")"),"C) Gouren")</f>
        <v>C) Gouren</v>
      </c>
      <c r="K2" s="6" t="str">
        <f>IFERROR(__xludf.DUMMYFUNCTION("GOOGLETRANSLATE(E2, ""en"", ""fr"")"),"Gouren est le nom breton de leur style traditionnel de lutte en veste.")</f>
        <v>Gouren est le nom breton de leur style traditionnel de lutte en veste.</v>
      </c>
    </row>
    <row r="3" ht="22.5" customHeight="1">
      <c r="A3" s="4">
        <v>2.0</v>
      </c>
      <c r="B3" s="5" t="s">
        <v>1655</v>
      </c>
      <c r="C3" s="5" t="s">
        <v>1656</v>
      </c>
      <c r="D3" s="5" t="s">
        <v>1657</v>
      </c>
      <c r="E3" s="5" t="s">
        <v>1658</v>
      </c>
      <c r="G3" s="6" t="str">
        <f>IFERROR(__xludf.DUMMYFUNCTION("GOOGLETRANSLATE(A3, ""en"", ""fr"")"),"2")</f>
        <v>2</v>
      </c>
      <c r="H3" s="6" t="str">
        <f>IFERROR(__xludf.DUMMYFUNCTION("GOOGLETRANSLATE(B3, ""en"", ""fr"")"),"Les origines de Gouren remontent à l'arrivée de quel groupe de personnes en Armorique (l'ancienne Bretagne) ?")</f>
        <v>Les origines de Gouren remontent à l'arrivée de quel groupe de personnes en Armorique (l'ancienne Bretagne) ?</v>
      </c>
      <c r="I3" s="6" t="str">
        <f>IFERROR(__xludf.DUMMYFUNCTION("GOOGLETRANSLATE(C3, ""en"", ""fr"")"),"A) Les Romains, B) Les Vikings, C) Les immigrants bretons venus de Grande-Bretagne, D) Les Francs")</f>
        <v>A) Les Romains, B) Les Vikings, C) Les immigrants bretons venus de Grande-Bretagne, D) Les Francs</v>
      </c>
      <c r="J3" s="6" t="str">
        <f>IFERROR(__xludf.DUMMYFUNCTION("GOOGLETRANSLATE(D3, ""en"", ""fr"")"),"C) Immigrants bretons de Grande-Bretagne")</f>
        <v>C) Immigrants bretons de Grande-Bretagne</v>
      </c>
      <c r="K3" s="6" t="str">
        <f>IFERROR(__xludf.DUMMYFUNCTION("GOOGLETRANSLATE(E3, ""en"", ""fr"")"),"On pense que ce sport a été introduit en Bretagne par des Celtes britanniques ayant migré de Grande-Bretagne au IVe siècle de notre ère.")</f>
        <v>On pense que ce sport a été introduit en Bretagne par des Celtes britanniques ayant migré de Grande-Bretagne au IVe siècle de notre ère.</v>
      </c>
    </row>
    <row r="4" ht="22.5" customHeight="1">
      <c r="A4" s="4">
        <v>3.0</v>
      </c>
      <c r="B4" s="5" t="s">
        <v>1659</v>
      </c>
      <c r="C4" s="5" t="s">
        <v>1660</v>
      </c>
      <c r="D4" s="5" t="s">
        <v>1661</v>
      </c>
      <c r="E4" s="5" t="s">
        <v>1662</v>
      </c>
      <c r="G4" s="6" t="str">
        <f>IFERROR(__xludf.DUMMYFUNCTION("GOOGLETRANSLATE(A4, ""en"", ""fr"")"),"3")</f>
        <v>3</v>
      </c>
      <c r="H4" s="6" t="str">
        <f>IFERROR(__xludf.DUMMYFUNCTION("GOOGLETRANSLATE(B4, ""en"", ""fr"")"),"À ses débuts, au Moyen Âge, le gouren était principalement pratiqué par quelle classe sociale ?")</f>
        <v>À ses débuts, au Moyen Âge, le gouren était principalement pratiqué par quelle classe sociale ?</v>
      </c>
      <c r="I4" s="6" t="str">
        <f>IFERROR(__xludf.DUMMYFUNCTION("GOOGLETRANSLATE(C4, ""en"", ""fr"")"),"A) Les paysans, B) Le clergé, C) Les artisans, D) Les nobles et les chevaliers")</f>
        <v>A) Les paysans, B) Le clergé, C) Les artisans, D) Les nobles et les chevaliers</v>
      </c>
      <c r="J4" s="6" t="str">
        <f>IFERROR(__xludf.DUMMYFUNCTION("GOOGLETRANSLATE(D4, ""en"", ""fr"")"),"D) Les nobles et les chevaliers")</f>
        <v>D) Les nobles et les chevaliers</v>
      </c>
      <c r="K4" s="6" t="str">
        <f>IFERROR(__xludf.DUMMYFUNCTION("GOOGLETRANSLATE(E4, ""en"", ""fr"")"),"À l'origine, le gouren était une technique martiale et un passe-temps de l'aristocratie bretonne, utilisé pour l'entraînement et le divertissement.")</f>
        <v>À l'origine, le gouren était une technique martiale et un passe-temps de l'aristocratie bretonne, utilisé pour l'entraînement et le divertissement.</v>
      </c>
    </row>
    <row r="5" ht="22.5" customHeight="1">
      <c r="A5" s="4">
        <v>4.0</v>
      </c>
      <c r="B5" s="5" t="s">
        <v>1663</v>
      </c>
      <c r="C5" s="5" t="s">
        <v>1664</v>
      </c>
      <c r="D5" s="5" t="s">
        <v>1665</v>
      </c>
      <c r="E5" s="5" t="s">
        <v>1666</v>
      </c>
      <c r="G5" s="6" t="str">
        <f>IFERROR(__xludf.DUMMYFUNCTION("GOOGLETRANSLATE(A5, ""en"", ""fr"")"),"4")</f>
        <v>4</v>
      </c>
      <c r="H5" s="6" t="str">
        <f>IFERROR(__xludf.DUMMYFUNCTION("GOOGLETRANSLATE(B5, ""en"", ""fr"")"),"Quel événement historique majeur a permis au gouren de passer d'un art noble à une pratique populaire parmi le peuple ?")</f>
        <v>Quel événement historique majeur a permis au gouren de passer d'un art noble à une pratique populaire parmi le peuple ?</v>
      </c>
      <c r="I5" s="6" t="str">
        <f>IFERROR(__xludf.DUMMYFUNCTION("GOOGLETRANSLATE(C5, ""en"", ""fr"")"),"A) La Révolution française, B) L'invention des armes à feu, rendant la lutte obsolète pour l'entraînement militaire, C) Un décret royal, D) La Peste noire")</f>
        <v>A) La Révolution française, B) L'invention des armes à feu, rendant la lutte obsolète pour l'entraînement militaire, C) Un décret royal, D) La Peste noire</v>
      </c>
      <c r="J5" s="6" t="str">
        <f>IFERROR(__xludf.DUMMYFUNCTION("GOOGLETRANSLATE(D5, ""en"", ""fr"")"),"B) L'invention des armes à feu, rendant la lutte obsolète pour l'entraînement militaire")</f>
        <v>B) L'invention des armes à feu, rendant la lutte obsolète pour l'entraînement militaire</v>
      </c>
      <c r="K5" s="6" t="str">
        <f>IFERROR(__xludf.DUMMYFUNCTION("GOOGLETRANSLATE(E5, ""en"", ""fr"")"),"Avec l'apparition des armes à feu qui a transformé la nature de la guerre à la Renaissance, les applications militaires de la lutte ont décliné et celle-ci a été adoptée comme sport populaire.")</f>
        <v>Avec l'apparition des armes à feu qui a transformé la nature de la guerre à la Renaissance, les applications militaires de la lutte ont décliné et celle-ci a été adoptée comme sport populaire.</v>
      </c>
    </row>
    <row r="6" ht="22.5" customHeight="1">
      <c r="A6" s="4">
        <v>5.0</v>
      </c>
      <c r="B6" s="5" t="s">
        <v>1667</v>
      </c>
      <c r="C6" s="5" t="s">
        <v>1668</v>
      </c>
      <c r="D6" s="5" t="s">
        <v>1669</v>
      </c>
      <c r="E6" s="5" t="s">
        <v>1670</v>
      </c>
      <c r="G6" s="6" t="str">
        <f>IFERROR(__xludf.DUMMYFUNCTION("GOOGLETRANSLATE(A6, ""en"", ""fr"")"),"5")</f>
        <v>5</v>
      </c>
      <c r="H6" s="6" t="str">
        <f>IFERROR(__xludf.DUMMYFUNCTION("GOOGLETRANSLATE(B6, ""en"", ""fr"")"),"Comment s'appelait le nom des trophées traditionnels, souvent des rubans ou des manches, remis aux vainqueurs avant la Révolution française ?")</f>
        <v>Comment s'appelait le nom des trophées traditionnels, souvent des rubans ou des manches, remis aux vainqueurs avant la Révolution française ?</v>
      </c>
      <c r="I6" s="6" t="str">
        <f>IFERROR(__xludf.DUMMYFUNCTION("GOOGLETRANSLATE(C6, ""en"", ""fr"")"),"A) Médailles, B) Coupés, C) Ceintures, D) Aiguilles")</f>
        <v>A) Médailles, B) Coupés, C) Ceintures, D) Aiguilles</v>
      </c>
      <c r="J6" s="6" t="str">
        <f>IFERROR(__xludf.DUMMYFUNCTION("GOOGLETRANSLATE(D6, ""en"", ""fr"")"),"D) Aiguillettes")</f>
        <v>D) Aiguillettes</v>
      </c>
      <c r="K6" s="6" t="str">
        <f>IFERROR(__xludf.DUMMYFUNCTION("GOOGLETRANSLATE(E6, ""en"", ""fr"")"),"Les aiguillettes, rubans ou morceaux de tissu décorés, étaient les prix traditionnels décernés aux champions lors des fêtes locales.")</f>
        <v>Les aiguillettes, rubans ou morceaux de tissu décorés, étaient les prix traditionnels décernés aux champions lors des fêtes locales.</v>
      </c>
    </row>
    <row r="7" ht="22.5" customHeight="1">
      <c r="A7" s="4">
        <v>6.0</v>
      </c>
      <c r="B7" s="5" t="s">
        <v>1671</v>
      </c>
      <c r="C7" s="5" t="s">
        <v>1672</v>
      </c>
      <c r="D7" s="5" t="s">
        <v>1673</v>
      </c>
      <c r="E7" s="5" t="s">
        <v>1674</v>
      </c>
      <c r="G7" s="6" t="str">
        <f>IFERROR(__xludf.DUMMYFUNCTION("GOOGLETRANSLATE(A7, ""en"", ""fr"")"),"6")</f>
        <v>6</v>
      </c>
      <c r="H7" s="6" t="str">
        <f>IFERROR(__xludf.DUMMYFUNCTION("GOOGLETRANSLATE(B7, ""en"", ""fr"")"),"La première mention écrite connue du mot « gouren » apparaît en 1464 dans quel important dictionnaire breton-français-latin ?")</f>
        <v>La première mention écrite connue du mot « gouren » apparaît en 1464 dans quel important dictionnaire breton-français-latin ?</v>
      </c>
      <c r="I7" s="6" t="str">
        <f>IFERROR(__xludf.DUMMYFUNCTION("GOOGLETRANSLATE(C7, ""en"", ""fr"")"),"A) Le Dictionnaire de l'Académie française, B) L'Encyclopédie, C) Le Catholicon, D) La Tapisserie de Bayeux")</f>
        <v>A) Le Dictionnaire de l'Académie française, B) L'Encyclopédie, C) Le Catholicon, D) La Tapisserie de Bayeux</v>
      </c>
      <c r="J7" s="6" t="str">
        <f>IFERROR(__xludf.DUMMYFUNCTION("GOOGLETRANSLATE(D7, ""en"", ""fr"")"),"C) Le Catholicon")</f>
        <v>C) Le Catholicon</v>
      </c>
      <c r="K7" s="6" t="str">
        <f>IFERROR(__xludf.DUMMYFUNCTION("GOOGLETRANSLATE(E7, ""en"", ""fr"")"),"Le Catholicon, dictionnaire trilingue compilé par Jehan Lagadeuc, est le premier texte où le mot breton « gouren » est répertorié.")</f>
        <v>Le Catholicon, dictionnaire trilingue compilé par Jehan Lagadeuc, est le premier texte où le mot breton « gouren » est répertorié.</v>
      </c>
    </row>
    <row r="8" ht="22.5" customHeight="1">
      <c r="A8" s="4">
        <v>7.0</v>
      </c>
      <c r="B8" s="5" t="s">
        <v>1675</v>
      </c>
      <c r="C8" s="5" t="s">
        <v>1676</v>
      </c>
      <c r="D8" s="5" t="s">
        <v>1677</v>
      </c>
      <c r="E8" s="5" t="s">
        <v>1678</v>
      </c>
      <c r="G8" s="6" t="str">
        <f>IFERROR(__xludf.DUMMYFUNCTION("GOOGLETRANSLATE(A8, ""en"", ""fr"")"),"7")</f>
        <v>7</v>
      </c>
      <c r="H8" s="6" t="str">
        <f>IFERROR(__xludf.DUMMYFUNCTION("GOOGLETRANSLATE(B8, ""en"", ""fr"")"),"Quel célèbre chirurgien français du XVIe siècle a rédigé une description détaillée d'un combat de Gouren auquel il a assisté ?")</f>
        <v>Quel célèbre chirurgien français du XVIe siècle a rédigé une description détaillée d'un combat de Gouren auquel il a assisté ?</v>
      </c>
      <c r="I8" s="6" t="str">
        <f>IFERROR(__xludf.DUMMYFUNCTION("GOOGLETRANSLATE(C8, ""en"", ""fr"")"),"A) Rabelais, B) Montaigne, C) Ambroise Paré, D) Nostradamus")</f>
        <v>A) Rabelais, B) Montaigne, C) Ambroise Paré, D) Nostradamus</v>
      </c>
      <c r="J8" s="6" t="str">
        <f>IFERROR(__xludf.DUMMYFUNCTION("GOOGLETRANSLATE(D8, ""en"", ""fr"")"),"C) Ambroise Paré")</f>
        <v>C) Ambroise Paré</v>
      </c>
      <c r="K8" s="6" t="str">
        <f>IFERROR(__xludf.DUMMYFUNCTION("GOOGLETRANSLATE(E8, ""en"", ""fr"")"),"Dans ses écrits de 1543, le chirurgien pionnier Ambroise Paré décrit les techniques et la férocité d'un combat de lutte breton auquel il a assisté.")</f>
        <v>Dans ses écrits de 1543, le chirurgien pionnier Ambroise Paré décrit les techniques et la férocité d'un combat de lutte breton auquel il a assisté.</v>
      </c>
    </row>
    <row r="9" ht="22.5" customHeight="1">
      <c r="A9" s="4">
        <v>8.0</v>
      </c>
      <c r="B9" s="5" t="s">
        <v>1679</v>
      </c>
      <c r="C9" s="5" t="s">
        <v>1680</v>
      </c>
      <c r="D9" s="5" t="s">
        <v>1681</v>
      </c>
      <c r="E9" s="5" t="s">
        <v>1682</v>
      </c>
      <c r="G9" s="6" t="str">
        <f>IFERROR(__xludf.DUMMYFUNCTION("GOOGLETRANSLATE(A9, ""en"", ""fr"")"),"8")</f>
        <v>8</v>
      </c>
      <c r="H9" s="6" t="str">
        <f>IFERROR(__xludf.DUMMYFUNCTION("GOOGLETRANSLATE(B9, ""en"", ""fr"")"),"Au XIXe siècle, quel était le rôle principal des autorités municipales vis-à-vis de Gouren ?")</f>
        <v>Au XIXe siècle, quel était le rôle principal des autorités municipales vis-à-vis de Gouren ?</v>
      </c>
      <c r="I9" s="6" t="str">
        <f>IFERROR(__xludf.DUMMYFUNCTION("GOOGLETRANSLATE(C9, ""en"", ""fr"")"),"A) Interdire ce sport, B) Organiser des tournois officiels, C) Établir les règles, D) Entraîner les lutteurs")</f>
        <v>A) Interdire ce sport, B) Organiser des tournois officiels, C) Établir les règles, D) Entraîner les lutteurs</v>
      </c>
      <c r="J9" s="6" t="str">
        <f>IFERROR(__xludf.DUMMYFUNCTION("GOOGLETRANSLATE(D9, ""en"", ""fr"")"),"B) Organiser des tournois officiels")</f>
        <v>B) Organiser des tournois officiels</v>
      </c>
      <c r="K9" s="6" t="str">
        <f>IFERROR(__xludf.DUMMYFUNCTION("GOOGLETRANSLATE(E9, ""en"", ""fr"")"),"Après la Révolution française, les nouveaux gouvernements locaux ont commencé à organiser des tournois pour affirmer leur autorité et renforcer les liens communautaires.")</f>
        <v>Après la Révolution française, les nouveaux gouvernements locaux ont commencé à organiser des tournois pour affirmer leur autorité et renforcer les liens communautaires.</v>
      </c>
    </row>
    <row r="10" ht="22.5" customHeight="1">
      <c r="A10" s="4">
        <v>9.0</v>
      </c>
      <c r="B10" s="5" t="s">
        <v>1683</v>
      </c>
      <c r="C10" s="5" t="s">
        <v>1684</v>
      </c>
      <c r="D10" s="5" t="s">
        <v>1685</v>
      </c>
      <c r="E10" s="5" t="s">
        <v>1686</v>
      </c>
      <c r="G10" s="6" t="str">
        <f>IFERROR(__xludf.DUMMYFUNCTION("GOOGLETRANSLATE(A10, ""en"", ""fr"")"),"9")</f>
        <v>9</v>
      </c>
      <c r="H10" s="6" t="str">
        <f>IFERROR(__xludf.DUMMYFUNCTION("GOOGLETRANSLATE(B10, ""en"", ""fr"")"),"Quel était l'objectif principal des grands tournois de Gouren organisés lors des fêtes religieuses (pardons) au XIXe siècle ?")</f>
        <v>Quel était l'objectif principal des grands tournois de Gouren organisés lors des fêtes religieuses (pardons) au XIXe siècle ?</v>
      </c>
      <c r="I10" s="6" t="str">
        <f>IFERROR(__xludf.DUMMYFUNCTION("GOOGLETRANSLATE(C10, ""en"", ""fr"")"),"A) Pour recruter des soldats, B) Ils constituaient un élément central de la célébration religieuse et sociale, C) Pour régler les litiges juridiques, D) Pour collecter des fonds pour l'église")</f>
        <v>A) Pour recruter des soldats, B) Ils constituaient un élément central de la célébration religieuse et sociale, C) Pour régler les litiges juridiques, D) Pour collecter des fonds pour l'église</v>
      </c>
      <c r="J10" s="6" t="str">
        <f>IFERROR(__xludf.DUMMYFUNCTION("GOOGLETRANSLATE(D10, ""en"", ""fr"")"),"B) Elles constituaient un élément central de la célébration religieuse et sociale")</f>
        <v>B) Elles constituaient un élément central de la célébration religieuse et sociale</v>
      </c>
      <c r="K10" s="6" t="str">
        <f>IFERROR(__xludf.DUMMYFUNCTION("GOOGLETRANSLATE(E10, ""en"", ""fr"")"),"Les combats de lutte étaient un moment fort de ces festivals locaux, attirant des foules importantes et représentant un élément clé de l'identité culturelle de la région.")</f>
        <v>Les combats de lutte étaient un moment fort de ces festivals locaux, attirant des foules importantes et représentant un élément clé de l'identité culturelle de la région.</v>
      </c>
    </row>
    <row r="11" ht="22.5" customHeight="1">
      <c r="A11" s="4">
        <v>10.0</v>
      </c>
      <c r="B11" s="5" t="s">
        <v>1687</v>
      </c>
      <c r="C11" s="5" t="s">
        <v>1688</v>
      </c>
      <c r="D11" s="5" t="s">
        <v>1689</v>
      </c>
      <c r="E11" s="5" t="s">
        <v>1690</v>
      </c>
      <c r="G11" s="6" t="str">
        <f>IFERROR(__xludf.DUMMYFUNCTION("GOOGLETRANSLATE(A11, ""en"", ""fr"")"),"10")</f>
        <v>10</v>
      </c>
      <c r="H11" s="6" t="str">
        <f>IFERROR(__xludf.DUMMYFUNCTION("GOOGLETRANSLATE(B11, ""en"", ""fr"")"),"Le peintre du XIXe siècle Adolphe Pierre Leleux a représenté une célèbre scène de Gouren lors de quel événement ?")</f>
        <v>Le peintre du XIXe siècle Adolphe Pierre Leleux a représenté une célèbre scène de Gouren lors de quel événement ?</v>
      </c>
      <c r="I11" s="6" t="str">
        <f>IFERROR(__xludf.DUMMYFUNCTION("GOOGLETRANSLATE(C11, ""en"", ""fr"")"),"A) Un mariage royal, B) Un défilé militaire, C) Une Fête-Dieu en Cornouaille, D) Un jour de marché")</f>
        <v>A) Un mariage royal, B) Un défilé militaire, C) Une Fête-Dieu en Cornouaille, D) Un jour de marché</v>
      </c>
      <c r="J11" s="6" t="str">
        <f>IFERROR(__xludf.DUMMYFUNCTION("GOOGLETRANSLATE(D11, ""en"", ""fr"")"),"C) Une Fête-Dieu en Cornouaille")</f>
        <v>C) Une Fête-Dieu en Cornouaille</v>
      </c>
      <c r="K11" s="6" t="str">
        <f>IFERROR(__xludf.DUMMYFUNCTION("GOOGLETRANSLATE(E11, ""en"", ""fr"")"),"Son tableau de 1864 capture une scène animée d'une fête locale où la lutte était le principal divertissement.")</f>
        <v>Son tableau de 1864 capture une scène animée d'une fête locale où la lutte était le principal divertissement.</v>
      </c>
    </row>
    <row r="12" ht="22.5" customHeight="1">
      <c r="A12" s="4">
        <v>11.0</v>
      </c>
      <c r="B12" s="5" t="s">
        <v>1691</v>
      </c>
      <c r="C12" s="5" t="s">
        <v>1692</v>
      </c>
      <c r="D12" s="5" t="s">
        <v>1693</v>
      </c>
      <c r="E12" s="5" t="s">
        <v>1694</v>
      </c>
      <c r="G12" s="6" t="str">
        <f>IFERROR(__xludf.DUMMYFUNCTION("GOOGLETRANSLATE(A12, ""en"", ""fr"")"),"11")</f>
        <v>11</v>
      </c>
      <c r="H12" s="6" t="str">
        <f>IFERROR(__xludf.DUMMYFUNCTION("GOOGLETRANSLATE(B12, ""en"", ""fr"")"),"L'artiste Hippolyte Lalaisse a réalisé de célèbres illustrations de lutteurs bretons du XIXe siècle. Quelle était la caractéristique principale de la tenue des lutteurs qu'il a représentés ?")</f>
        <v>L'artiste Hippolyte Lalaisse a réalisé de célèbres illustrations de lutteurs bretons du XIXe siècle. Quelle était la caractéristique principale de la tenue des lutteurs qu'il a représentés ?</v>
      </c>
      <c r="I12" s="6" t="str">
        <f>IFERROR(__xludf.DUMMYFUNCTION("GOOGLETRANSLATE(C12, ""en"", ""fr"")"),"A) Ils étaient torse nu, B) Ils portaient des vestes en cuir renforcées, C) Ils portaient de simples chemises blanches et des pantalons en lin (bragou), D) Ils portaient des costumes élaborés")</f>
        <v>A) Ils étaient torse nu, B) Ils portaient des vestes en cuir renforcées, C) Ils portaient de simples chemises blanches et des pantalons en lin (bragou), D) Ils portaient des costumes élaborés</v>
      </c>
      <c r="J12" s="6" t="str">
        <f>IFERROR(__xludf.DUMMYFUNCTION("GOOGLETRANSLATE(D12, ""en"", ""fr"")"),"C) Ils portaient de simples chemises blanches et des pantalons en lin (bragou).")</f>
        <v>C) Ils portaient de simples chemises blanches et des pantalons en lin (bragou).</v>
      </c>
      <c r="K12" s="6" t="str">
        <f>IFERROR(__xludf.DUMMYFUNCTION("GOOGLETRANSLATE(E12, ""en"", ""fr"")"),"L'ouvrage de Lalaisse constitue un précieux témoignage historique sur les vêtements simples et pratiques portés par les lutteurs de l'époque.")</f>
        <v>L'ouvrage de Lalaisse constitue un précieux témoignage historique sur les vêtements simples et pratiques portés par les lutteurs de l'époque.</v>
      </c>
    </row>
    <row r="13" ht="22.5" customHeight="1">
      <c r="A13" s="4">
        <v>12.0</v>
      </c>
      <c r="B13" s="5" t="s">
        <v>1695</v>
      </c>
      <c r="C13" s="5" t="s">
        <v>1696</v>
      </c>
      <c r="D13" s="5" t="s">
        <v>1697</v>
      </c>
      <c r="E13" s="5" t="s">
        <v>1698</v>
      </c>
      <c r="G13" s="6" t="str">
        <f>IFERROR(__xludf.DUMMYFUNCTION("GOOGLETRANSLATE(A13, ""en"", ""fr"")"),"12")</f>
        <v>12</v>
      </c>
      <c r="H13" s="6" t="str">
        <f>IFERROR(__xludf.DUMMYFUNCTION("GOOGLETRANSLATE(B13, ""en"", ""fr"")"),"Quelle était une caractéristique notable des chemises (roched) des lutteurs lors des combats du XIXe siècle ?")</f>
        <v>Quelle était une caractéristique notable des chemises (roched) des lutteurs lors des combats du XIXe siècle ?</v>
      </c>
      <c r="I13" s="6" t="str">
        <f>IFERROR(__xludf.DUMMYFUNCTION("GOOGLETRANSLATE(C13, ""en"", ""fr"")"),"A) Elles étaient en soie, B) Elles étaient conçues pour se déchirer facilement, C) Elles étaient renforcées de cuir, D) Elles étaient facultatives")</f>
        <v>A) Elles étaient en soie, B) Elles étaient conçues pour se déchirer facilement, C) Elles étaient renforcées de cuir, D) Elles étaient facultatives</v>
      </c>
      <c r="J13" s="6" t="str">
        <f>IFERROR(__xludf.DUMMYFUNCTION("GOOGLETRANSLATE(D13, ""en"", ""fr"")"),"B) Ils étaient conçus pour se déchirer facilement.")</f>
        <v>B) Ils étaient conçus pour se déchirer facilement.</v>
      </c>
      <c r="K13" s="6" t="str">
        <f>IFERROR(__xludf.DUMMYFUNCTION("GOOGLETRANSLATE(E13, ""en"", ""fr"")"),"Les chemises étaient en lin et furent mises à rude épreuve, se déchirant souvent lors des intenses prises et tractions, signe d'un match acharné.")</f>
        <v>Les chemises étaient en lin et furent mises à rude épreuve, se déchirant souvent lors des intenses prises et tractions, signe d'un match acharné.</v>
      </c>
    </row>
    <row r="14" ht="22.5" customHeight="1">
      <c r="A14" s="4">
        <v>13.0</v>
      </c>
      <c r="B14" s="5" t="s">
        <v>1699</v>
      </c>
      <c r="C14" s="5" t="s">
        <v>1700</v>
      </c>
      <c r="D14" s="5" t="s">
        <v>1701</v>
      </c>
      <c r="E14" s="5" t="s">
        <v>1702</v>
      </c>
      <c r="G14" s="6" t="str">
        <f>IFERROR(__xludf.DUMMYFUNCTION("GOOGLETRANSLATE(A14, ""en"", ""fr"")"),"13")</f>
        <v>13</v>
      </c>
      <c r="H14" s="6" t="str">
        <f>IFERROR(__xludf.DUMMYFUNCTION("GOOGLETRANSLATE(B14, ""en"", ""fr"")"),"Quel événement majeur de 1928, qui a attiré 6 000 spectateurs, a marqué un regain d'intérêt pour Gouren ?")</f>
        <v>Quel événement majeur de 1928, qui a attiré 6 000 spectateurs, a marqué un regain d'intérêt pour Gouren ?</v>
      </c>
      <c r="I14" s="6" t="str">
        <f>IFERROR(__xludf.DUMMYFUNCTION("GOOGLETRANSLATE(C14, ""en"", ""fr"")"),"A) Les Jeux olympiques de Paris, B) Le premier championnat national, C) Un grand tournoi dans la ville de Quimperlé, D) La fondation du premier club")</f>
        <v>A) Les Jeux olympiques de Paris, B) Le premier championnat national, C) Un grand tournoi dans la ville de Quimperlé, D) La fondation du premier club</v>
      </c>
      <c r="J14" s="6" t="str">
        <f>IFERROR(__xludf.DUMMYFUNCTION("GOOGLETRANSLATE(D14, ""en"", ""fr"")"),"C) Un grand tournoi dans la ville de Quimperlé")</f>
        <v>C) Un grand tournoi dans la ville de Quimperlé</v>
      </c>
      <c r="K14" s="6" t="str">
        <f>IFERROR(__xludf.DUMMYFUNCTION("GOOGLETRANSLATE(E14, ""en"", ""fr"")"),"Cette compétition, couronnée de succès, a été un moment clé qui a démontré l'attrait populaire durable de ce sport et a déclenché un mouvement de modernisation.")</f>
        <v>Cette compétition, couronnée de succès, a été un moment clé qui a démontré l'attrait populaire durable de ce sport et a déclenché un mouvement de modernisation.</v>
      </c>
    </row>
    <row r="15" ht="22.5" customHeight="1">
      <c r="A15" s="4">
        <v>14.0</v>
      </c>
      <c r="B15" s="5" t="s">
        <v>1703</v>
      </c>
      <c r="C15" s="5" t="s">
        <v>1704</v>
      </c>
      <c r="D15" s="5" t="s">
        <v>1705</v>
      </c>
      <c r="E15" s="5" t="s">
        <v>1706</v>
      </c>
      <c r="G15" s="6" t="str">
        <f>IFERROR(__xludf.DUMMYFUNCTION("GOOGLETRANSLATE(A15, ""en"", ""fr"")"),"14")</f>
        <v>14</v>
      </c>
      <c r="H15" s="6" t="str">
        <f>IFERROR(__xludf.DUMMYFUNCTION("GOOGLETRANSLATE(B15, ""en"", ""fr"")"),"Qui était la figure clé responsable de la renaissance et de la modernisation de Gouren au début du XXe siècle ?")</f>
        <v>Qui était la figure clé responsable de la renaissance et de la modernisation de Gouren au début du XXe siècle ?</v>
      </c>
      <c r="I15" s="6" t="str">
        <f>IFERROR(__xludf.DUMMYFUNCTION("GOOGLETRANSLATE(C15, ""en"", ""fr"")"),"A) Adolphe Pierre Leleux, B) Ambroise Paré, C) Charles Cottonec, D) Yves-Marie Le Trocquer")</f>
        <v>A) Adolphe Pierre Leleux, B) Ambroise Paré, C) Charles Cottonec, D) Yves-Marie Le Trocquer</v>
      </c>
      <c r="J15" s="6" t="str">
        <f>IFERROR(__xludf.DUMMYFUNCTION("GOOGLETRANSLATE(D15, ""en"", ""fr"")"),"C) Charles Cottonec")</f>
        <v>C) Charles Cottonec</v>
      </c>
      <c r="K15" s="6" t="str">
        <f>IFERROR(__xludf.DUMMYFUNCTION("GOOGLETRANSLATE(E15, ""en"", ""fr"")"),"Le docteur Charles Cottonec, médecin, s'est consacré à sauver ce sport du déclin en étudiant son histoire et en codifiant ses règles.")</f>
        <v>Le docteur Charles Cottonec, médecin, s'est consacré à sauver ce sport du déclin en étudiant son histoire et en codifiant ses règles.</v>
      </c>
    </row>
    <row r="16" ht="22.5" customHeight="1">
      <c r="A16" s="4">
        <v>15.0</v>
      </c>
      <c r="B16" s="5" t="s">
        <v>1707</v>
      </c>
      <c r="C16" s="5" t="s">
        <v>1708</v>
      </c>
      <c r="D16" s="5" t="s">
        <v>1709</v>
      </c>
      <c r="E16" s="5" t="s">
        <v>1710</v>
      </c>
      <c r="G16" s="6" t="str">
        <f>IFERROR(__xludf.DUMMYFUNCTION("GOOGLETRANSLATE(A16, ""en"", ""fr"")"),"15")</f>
        <v>15</v>
      </c>
      <c r="H16" s="6" t="str">
        <f>IFERROR(__xludf.DUMMYFUNCTION("GOOGLETRANSLATE(B16, ""en"", ""fr"")"),"Quel était l’objectif principal de Charles Cottonec lorsqu’il a codifié les règles du Gouren en 1930 ?")</f>
        <v>Quel était l’objectif principal de Charles Cottonec lorsqu’il a codifié les règles du Gouren en 1930 ?</v>
      </c>
      <c r="I16" s="6" t="str">
        <f>IFERROR(__xludf.DUMMYFUNCTION("GOOGLETRANSLATE(C16, ""en"", ""fr"")"),"A) Rendre ce sport plus violent, B) En faire un sport olympique, C) Revitaliser sa pratique en la rendant plus sûre, plus équitable et mieux organisée, D) En faire un sport professionnel")</f>
        <v>A) Rendre ce sport plus violent, B) En faire un sport olympique, C) Revitaliser sa pratique en la rendant plus sûre, plus équitable et mieux organisée, D) En faire un sport professionnel</v>
      </c>
      <c r="J16" s="6" t="str">
        <f>IFERROR(__xludf.DUMMYFUNCTION("GOOGLETRANSLATE(D16, ""en"", ""fr"")"),"C) Revitaliser la pratique en la rendant plus sûre, plus équitable et mieux organisée")</f>
        <v>C) Revitaliser la pratique en la rendant plus sûre, plus équitable et mieux organisée</v>
      </c>
      <c r="K16" s="6" t="str">
        <f>IFERROR(__xludf.DUMMYFUNCTION("GOOGLETRANSLATE(E16, ""en"", ""fr"")"),"L’objectif de Cottonec était de préserver cette tradition ancestrale en l’adaptant en un sport moderne doté de règles claires et standardisées.")</f>
        <v>L’objectif de Cottonec était de préserver cette tradition ancestrale en l’adaptant en un sport moderne doté de règles claires et standardisées.</v>
      </c>
    </row>
    <row r="17" ht="22.5" customHeight="1">
      <c r="A17" s="4">
        <v>16.0</v>
      </c>
      <c r="B17" s="5" t="s">
        <v>1711</v>
      </c>
      <c r="C17" s="5" t="s">
        <v>1712</v>
      </c>
      <c r="D17" s="5" t="s">
        <v>1713</v>
      </c>
      <c r="E17" s="5" t="s">
        <v>1714</v>
      </c>
      <c r="G17" s="6" t="str">
        <f>IFERROR(__xludf.DUMMYFUNCTION("GOOGLETRANSLATE(A17, ""en"", ""fr"")"),"16")</f>
        <v>16</v>
      </c>
      <c r="H17" s="6" t="str">
        <f>IFERROR(__xludf.DUMMYFUNCTION("GOOGLETRANSLATE(B17, ""en"", ""fr"")"),"Quel était le nom de la première fédération moderne de Gouren, fondée en 1930 par Charles Cottonec ?")</f>
        <v>Quel était le nom de la première fédération moderne de Gouren, fondée en 1930 par Charles Cottonec ?</v>
      </c>
      <c r="I17" s="6" t="str">
        <f>IFERROR(__xludf.DUMMYFUNCTION("GOOGLETRANSLATE(C17, ""en"", ""fr"")"),"A) Fédération de Gouren, B) Union des Lutteurs Bretons, C) FALSAB (Fédération des Amis des Luttes et Sports Athlétiques Bretons), D) Ligue de Bretagne de Gouren")</f>
        <v>A) Fédération de Gouren, B) Union des Lutteurs Bretons, C) FALSAB (Fédération des Amis des Luttes et Sports Athlétiques Bretons), D) Ligue de Bretagne de Gouren</v>
      </c>
      <c r="J17" s="6" t="str">
        <f>IFERROR(__xludf.DUMMYFUNCTION("GOOGLETRANSLATE(D17, ""en"", ""fr"")"),"C) FALSAB (Fédération des Amis des Luttes et Sports Athlétiques Bretons)")</f>
        <v>C) FALSAB (Fédération des Amis des Luttes et Sports Athlétiques Bretons)</v>
      </c>
      <c r="K17" s="6" t="str">
        <f>IFERROR(__xludf.DUMMYFUNCTION("GOOGLETRANSLATE(E17, ""en"", ""fr"")"),"La FALSAB a été le premier organe directeur, créé pour superviser les règles nouvellement codifiées et organiser les championnats.")</f>
        <v>La FALSAB a été le premier organe directeur, créé pour superviser les règles nouvellement codifiées et organiser les championnats.</v>
      </c>
    </row>
    <row r="18" ht="22.5" customHeight="1">
      <c r="A18" s="4">
        <v>17.0</v>
      </c>
      <c r="B18" s="5" t="s">
        <v>1715</v>
      </c>
      <c r="C18" s="5" t="s">
        <v>1716</v>
      </c>
      <c r="D18" s="5" t="s">
        <v>1717</v>
      </c>
      <c r="E18" s="5" t="s">
        <v>1718</v>
      </c>
      <c r="G18" s="6" t="str">
        <f>IFERROR(__xludf.DUMMYFUNCTION("GOOGLETRANSLATE(A18, ""en"", ""fr"")"),"17")</f>
        <v>17</v>
      </c>
      <c r="H18" s="6" t="str">
        <f>IFERROR(__xludf.DUMMYFUNCTION("GOOGLETRANSLATE(B18, ""en"", ""fr"")"),"Quel est le nom du serment traditionnel que les lutteurs doivent réciter avant chaque tournoi ?")</f>
        <v>Quel est le nom du serment traditionnel que les lutteurs doivent réciter avant chaque tournoi ?</v>
      </c>
      <c r="I18" s="6" t="str">
        <f>IFERROR(__xludf.DUMMYFUNCTION("GOOGLETRANSLATE(C18, ""en"", ""fr"")"),"A) Le Credo du Lutteur, B) Le Serment Breton, C) Le Serment de Fidélité (Serment), D) Le Pacte Celtique")</f>
        <v>A) Le Credo du Lutteur, B) Le Serment Breton, C) Le Serment de Fidélité (Serment), D) Le Pacte Celtique</v>
      </c>
      <c r="J18" s="6" t="str">
        <f>IFERROR(__xludf.DUMMYFUNCTION("GOOGLETRANSLATE(D18, ""en"", ""fr"")"),"C) Le serment de loyauté (Serment)")</f>
        <v>C) Le serment de loyauté (Serment)</v>
      </c>
      <c r="K18" s="6" t="str">
        <f>IFERROR(__xludf.DUMMYFUNCTION("GOOGLETRANSLATE(E18, ""en"", ""fr"")"),"Le serment, codifié par Cottonec, exige des lutteurs qu'ils s'engagent à combattre avec équité, loyauté et respect, sans trahison ni brutalité.")</f>
        <v>Le serment, codifié par Cottonec, exige des lutteurs qu'ils s'engagent à combattre avec équité, loyauté et respect, sans trahison ni brutalité.</v>
      </c>
    </row>
    <row r="19" ht="22.5" customHeight="1">
      <c r="A19" s="4">
        <v>18.0</v>
      </c>
      <c r="B19" s="5" t="s">
        <v>1719</v>
      </c>
      <c r="C19" s="5" t="s">
        <v>1720</v>
      </c>
      <c r="D19" s="5" t="s">
        <v>1721</v>
      </c>
      <c r="E19" s="5" t="s">
        <v>1722</v>
      </c>
      <c r="G19" s="6" t="str">
        <f>IFERROR(__xludf.DUMMYFUNCTION("GOOGLETRANSLATE(A19, ""en"", ""fr"")"),"18")</f>
        <v>18</v>
      </c>
      <c r="H19" s="6" t="str">
        <f>IFERROR(__xludf.DUMMYFUNCTION("GOOGLETRANSLATE(B19, ""en"", ""fr"")"),"Quelle est la poignée de main ou la prise traditionnelle qui commence et termine chaque combat de Gouren ?")</f>
        <v>Quelle est la poignée de main ou la prise traditionnelle qui commence et termine chaque combat de Gouren ?</v>
      </c>
      <c r="I19" s="6" t="str">
        <f>IFERROR(__xludf.DUMMYFUNCTION("GOOGLETRANSLATE(C19, ""en"", ""fr"")"),"A) Le Bretz, B) L'étreinte, C) Le Dornad, D) Le salut")</f>
        <v>A) Le Bretz, B) L'étreinte, C) Le Dornad, D) Le salut</v>
      </c>
      <c r="J19" s="6" t="str">
        <f>IFERROR(__xludf.DUMMYFUNCTION("GOOGLETRANSLATE(D19, ""en"", ""fr"")"),"C) Le Dornad")</f>
        <v>C) Le Dornad</v>
      </c>
      <c r="K19" s="6" t="str">
        <f>IFERROR(__xludf.DUMMYFUNCTION("GOOGLETRANSLATE(E19, ""en"", ""fr"")"),"La dornade est la poignée de main et la prise cérémonielles, un symbole du respect mutuel et de la fraternité entre les lutteurs.")</f>
        <v>La dornade est la poignée de main et la prise cérémonielles, un symbole du respect mutuel et de la fraternité entre les lutteurs.</v>
      </c>
    </row>
    <row r="20" ht="22.5" customHeight="1">
      <c r="A20" s="4">
        <v>19.0</v>
      </c>
      <c r="B20" s="5" t="s">
        <v>1723</v>
      </c>
      <c r="C20" s="5" t="s">
        <v>1724</v>
      </c>
      <c r="D20" s="5" t="s">
        <v>1725</v>
      </c>
      <c r="E20" s="5" t="s">
        <v>1726</v>
      </c>
      <c r="G20" s="6" t="str">
        <f>IFERROR(__xludf.DUMMYFUNCTION("GOOGLETRANSLATE(A20, ""en"", ""fr"")"),"19")</f>
        <v>19</v>
      </c>
      <c r="H20" s="6" t="str">
        <f>IFERROR(__xludf.DUMMYFUNCTION("GOOGLETRANSLATE(B20, ""en"", ""fr"")"),"En quelle année la Fédération internationale de lutte celtique (FILC) a-t-elle été fondée, unissant le Gouren à d'autres styles traditionnels ?")</f>
        <v>En quelle année la Fédération internationale de lutte celtique (FILC) a-t-elle été fondée, unissant le Gouren à d'autres styles traditionnels ?</v>
      </c>
      <c r="I20" s="6" t="str">
        <f>IFERROR(__xludf.DUMMYFUNCTION("GOOGLETRANSLATE(C20, ""en"", ""fr"")"),"A) 1930, B) 1965, C) 1985, D) 2000")</f>
        <v>A) 1930, B) 1965, C) 1985, D) 2000</v>
      </c>
      <c r="J20" s="6" t="str">
        <f>IFERROR(__xludf.DUMMYFUNCTION("GOOGLETRANSLATE(D20, ""en"", ""fr"")"),"C) 1985")</f>
        <v>C) 1985</v>
      </c>
      <c r="K20" s="6" t="str">
        <f>IFERROR(__xludf.DUMMYFUNCTION("GOOGLETRANSLATE(E20, ""en"", ""fr"")"),"La FILC a été créée pour rassembler les différents styles de lutte « cousins ​​» des nations celtiques, tels que la lutte cornique en Cornouailles et le Backhold en Écosse.")</f>
        <v>La FILC a été créée pour rassembler les différents styles de lutte « cousins ​​» des nations celtiques, tels que la lutte cornique en Cornouailles et le Backhold en Écosse.</v>
      </c>
    </row>
    <row r="21" ht="22.5" customHeight="1">
      <c r="A21" s="4">
        <v>20.0</v>
      </c>
      <c r="B21" s="5" t="s">
        <v>1727</v>
      </c>
      <c r="C21" s="5" t="s">
        <v>1728</v>
      </c>
      <c r="D21" s="5" t="s">
        <v>1729</v>
      </c>
      <c r="E21" s="5" t="s">
        <v>1730</v>
      </c>
      <c r="G21" s="6" t="str">
        <f>IFERROR(__xludf.DUMMYFUNCTION("GOOGLETRANSLATE(A21, ""en"", ""fr"")"),"20")</f>
        <v>20</v>
      </c>
      <c r="H21" s="6" t="str">
        <f>IFERROR(__xludf.DUMMYFUNCTION("GOOGLETRANSLATE(B21, ""en"", ""fr"")"),"En reconnaissance de son importance culturelle, Gouren est une matière optionnelle pour quel examen académique français majeur depuis 1998 ?")</f>
        <v>En reconnaissance de son importance culturelle, Gouren est une matière optionnelle pour quel examen académique français majeur depuis 1998 ?</v>
      </c>
      <c r="I21" s="6" t="str">
        <f>IFERROR(__xludf.DUMMYFUNCTION("GOOGLETRANSLATE(C21, ""en"", ""fr"")"),"A) Le Brevet, B) Le baccalauréat, C) L'examen d'entrée à l'université, D) L'examen de la fonction publique")</f>
        <v>A) Le Brevet, B) Le baccalauréat, C) L'examen d'entrée à l'université, D) L'examen de la fonction publique</v>
      </c>
      <c r="J21" s="6" t="str">
        <f>IFERROR(__xludf.DUMMYFUNCTION("GOOGLETRANSLATE(D21, ""en"", ""fr"")"),"B) Le baccalauréat")</f>
        <v>B) Le baccalauréat</v>
      </c>
      <c r="K21" s="6" t="str">
        <f>IFERROR(__xludf.DUMMYFUNCTION("GOOGLETRANSLATE(E21, ""en"", ""fr"")"),"L'inclusion du gouren dans l'examen de fin d'études secondaires en Bretagne a constitué une étape majeure dans sa reconnaissance officielle et sa préservation.")</f>
        <v>L'inclusion du gouren dans l'examen de fin d'études secondaires en Bretagne a constitué une étape majeure dans sa reconnaissance officielle et sa préservation.</v>
      </c>
    </row>
    <row r="22" ht="22.5" customHeight="1">
      <c r="A22" s="4">
        <v>21.0</v>
      </c>
      <c r="B22" s="5" t="s">
        <v>1731</v>
      </c>
      <c r="C22" s="5" t="s">
        <v>1732</v>
      </c>
      <c r="D22" s="5" t="s">
        <v>1733</v>
      </c>
      <c r="E22" s="5" t="s">
        <v>1734</v>
      </c>
      <c r="G22" s="6" t="str">
        <f>IFERROR(__xludf.DUMMYFUNCTION("GOOGLETRANSLATE(A22, ""en"", ""fr"")"),"21")</f>
        <v>21</v>
      </c>
      <c r="H22" s="6" t="str">
        <f>IFERROR(__xludf.DUMMYFUNCTION("GOOGLETRANSLATE(B22, ""en"", ""fr"")"),"Quel est l'un des éléments clés qui font de Gouren une partie officiellement reconnue du « patrimoine culturel immatériel » de la France ?")</f>
        <v>Quel est l'un des éléments clés qui font de Gouren une partie officiellement reconnue du « patrimoine culturel immatériel » de la France ?</v>
      </c>
      <c r="I22" s="6" t="str">
        <f>IFERROR(__xludf.DUMMYFUNCTION("GOOGLETRANSLATE(C22, ""en"", ""fr"")"),"A) Ses techniques de lutte uniques, B) Sa profondeur historique et les rituels culturels qui l'entourent, C) Sa popularité, D) Son lien avec les langues celtiques")</f>
        <v>A) Ses techniques de lutte uniques, B) Sa profondeur historique et les rituels culturels qui l'entourent, C) Sa popularité, D) Son lien avec les langues celtiques</v>
      </c>
      <c r="J22" s="6" t="str">
        <f>IFERROR(__xludf.DUMMYFUNCTION("GOOGLETRANSLATE(D22, ""en"", ""fr"")"),"B) Sa profondeur historique et les rituels culturels qui l'entourent")</f>
        <v>B) Sa profondeur historique et les rituels culturels qui l'entourent</v>
      </c>
      <c r="K22" s="6" t="str">
        <f>IFERROR(__xludf.DUMMYFUNCTION("GOOGLETRANSLATE(E22, ""en"", ""fr"")"),"L'association de ce sport avec sa musique traditionnelle, son serment et son rôle dans les fêtes en fait une composante importante du patrimoine vivant français.")</f>
        <v>L'association de ce sport avec sa musique traditionnelle, son serment et son rôle dans les fêtes en fait une composante importante du patrimoine vivant français.</v>
      </c>
    </row>
    <row r="23" ht="22.5" customHeight="1">
      <c r="A23" s="4">
        <v>22.0</v>
      </c>
      <c r="B23" s="5" t="s">
        <v>1735</v>
      </c>
      <c r="C23" s="5" t="s">
        <v>1736</v>
      </c>
      <c r="D23" s="5" t="s">
        <v>1737</v>
      </c>
      <c r="E23" s="5" t="s">
        <v>1738</v>
      </c>
      <c r="G23" s="6" t="str">
        <f>IFERROR(__xludf.DUMMYFUNCTION("GOOGLETRANSLATE(A23, ""en"", ""fr"")"),"22")</f>
        <v>22</v>
      </c>
      <c r="H23" s="6" t="str">
        <f>IFERROR(__xludf.DUMMYFUNCTION("GOOGLETRANSLATE(B23, ""en"", ""fr"")"),"Historiquement, quel était l'objectif principal pour remporter un combat de Gouren ?")</f>
        <v>Historiquement, quel était l'objectif principal pour remporter un combat de Gouren ?</v>
      </c>
      <c r="I23" s="6" t="str">
        <f>IFERROR(__xludf.DUMMYFUNCTION("GOOGLETRANSLATE(C23, ""en"", ""fr"")"),"A) Faire abandonner l'adversaire, B) Pousser l'adversaire hors du ring, C) Marquer le plus de points, D) Projeter l'adversaire au sol, dos au sol")</f>
        <v>A) Faire abandonner l'adversaire, B) Pousser l'adversaire hors du ring, C) Marquer le plus de points, D) Projeter l'adversaire au sol, dos au sol</v>
      </c>
      <c r="J23" s="6" t="str">
        <f>IFERROR(__xludf.DUMMYFUNCTION("GOOGLETRANSLATE(D23, ""en"", ""fr"")"),"D) Projeter l'adversaire de sorte que son dos touche le sol")</f>
        <v>D) Projeter l'adversaire de sorte que son dos touche le sol</v>
      </c>
      <c r="K23" s="6" t="str">
        <f>IFERROR(__xludf.DUMMYFUNCTION("GOOGLETRANSLATE(E23, ""en"", ""fr"")"),"L'objectif ultime a toujours été le lamm, une projection parfaite qui fait atterrir l'adversaire à plat dos.")</f>
        <v>L'objectif ultime a toujours été le lamm, une projection parfaite qui fait atterrir l'adversaire à plat dos.</v>
      </c>
    </row>
    <row r="24" ht="22.5" customHeight="1">
      <c r="A24" s="4">
        <v>23.0</v>
      </c>
      <c r="B24" s="5" t="s">
        <v>1739</v>
      </c>
      <c r="C24" s="5" t="s">
        <v>1740</v>
      </c>
      <c r="D24" s="5" t="s">
        <v>1741</v>
      </c>
      <c r="E24" s="5" t="s">
        <v>1742</v>
      </c>
      <c r="G24" s="6" t="str">
        <f>IFERROR(__xludf.DUMMYFUNCTION("GOOGLETRANSLATE(A24, ""en"", ""fr"")"),"23")</f>
        <v>23</v>
      </c>
      <c r="H24" s="6" t="str">
        <f>IFERROR(__xludf.DUMMYFUNCTION("GOOGLETRANSLATE(B24, ""en"", ""fr"")"),"Au XIXe siècle, comment s'habillaient les lutteurs pour un match ?")</f>
        <v>Au XIXe siècle, comment s'habillaient les lutteurs pour un match ?</v>
      </c>
      <c r="I24" s="6" t="str">
        <f>IFERROR(__xludf.DUMMYFUNCTION("GOOGLETRANSLATE(C24, ""en"", ""fr"")"),"A) Ils portaient des armures de cuir, B) Ils étaient torse nu et portaient des pantalons de lin, C) Ils portaient des justaucorps de lutte modernes, D) Ils portaient de lourdes vestes en laine")</f>
        <v>A) Ils portaient des armures de cuir, B) Ils étaient torse nu et portaient des pantalons de lin, C) Ils portaient des justaucorps de lutte modernes, D) Ils portaient de lourdes vestes en laine</v>
      </c>
      <c r="J24" s="6" t="str">
        <f>IFERROR(__xludf.DUMMYFUNCTION("GOOGLETRANSLATE(D24, ""en"", ""fr"")"),"B) Ils étaient torse nu et portaient des pantalons en lin")</f>
        <v>B) Ils étaient torse nu et portaient des pantalons en lin</v>
      </c>
      <c r="K24" s="6" t="str">
        <f>IFERROR(__xludf.DUMMYFUNCTION("GOOGLETRANSLATE(E24, ""en"", ""fr"")"),"Les représentations historiques montrent des lutteurs portant un simple pantalon (bragou) et une chemise en lin (roched) qui était souvent déchirée en lambeaux pendant le combat.")</f>
        <v>Les représentations historiques montrent des lutteurs portant un simple pantalon (bragou) et une chemise en lin (roched) qui était souvent déchirée en lambeaux pendant le combat.</v>
      </c>
    </row>
    <row r="25" ht="22.5" customHeight="1">
      <c r="A25" s="4">
        <v>24.0</v>
      </c>
      <c r="B25" s="5" t="s">
        <v>1743</v>
      </c>
      <c r="C25" s="5" t="s">
        <v>1744</v>
      </c>
      <c r="D25" s="5" t="s">
        <v>1745</v>
      </c>
      <c r="E25" s="5" t="s">
        <v>1746</v>
      </c>
      <c r="G25" s="6" t="str">
        <f>IFERROR(__xludf.DUMMYFUNCTION("GOOGLETRANSLATE(A25, ""en"", ""fr"")"),"24")</f>
        <v>24</v>
      </c>
      <c r="H25" s="6" t="str">
        <f>IFERROR(__xludf.DUMMYFUNCTION("GOOGLETRANSLATE(B25, ""en"", ""fr"")"),"Comment s'appelait le défi traditionnel lancé pour provoquer une bagarre lors d'un festival ?")</f>
        <v>Comment s'appelait le défi traditionnel lancé pour provoquer une bagarre lors d'un festival ?</v>
      </c>
      <c r="I25" s="6" t="str">
        <f>IFERROR(__xludf.DUMMYFUNCTION("GOOGLETRANSLATE(C25, ""en"", ""fr"")"),"A) L'appel, B) Le défi antique, C) L'invitation, D) Le combat singulier")</f>
        <v>A) L'appel, B) Le défi antique, C) L'invitation, D) Le combat singulier</v>
      </c>
      <c r="J25" s="6" t="str">
        <f>IFERROR(__xludf.DUMMYFUNCTION("GOOGLETRANSLATE(D25, ""en"", ""fr"")"),"B) Le défi antique")</f>
        <v>B) Le défi antique</v>
      </c>
      <c r="K25" s="6" t="str">
        <f>IFERROR(__xludf.DUMMYFUNCTION("GOOGLETRANSLATE(E25, ""en"", ""fr"")"),"Un lutteur lançait un défi ouvert, et n'importe quel homme du public pouvait s'avancer pour le relever.")</f>
        <v>Un lutteur lançait un défi ouvert, et n'importe quel homme du public pouvait s'avancer pour le relever.</v>
      </c>
    </row>
    <row r="26" ht="22.5" customHeight="1">
      <c r="A26" s="4">
        <v>25.0</v>
      </c>
      <c r="B26" s="5" t="s">
        <v>1747</v>
      </c>
      <c r="C26" s="5" t="s">
        <v>1748</v>
      </c>
      <c r="D26" s="5" t="s">
        <v>1749</v>
      </c>
      <c r="E26" s="5" t="s">
        <v>1750</v>
      </c>
      <c r="G26" s="6" t="str">
        <f>IFERROR(__xludf.DUMMYFUNCTION("GOOGLETRANSLATE(A26, ""en"", ""fr"")"),"25")</f>
        <v>25</v>
      </c>
      <c r="H26" s="6" t="str">
        <f>IFERROR(__xludf.DUMMYFUNCTION("GOOGLETRANSLATE(B26, ""en"", ""fr"")"),"De quelle manière la Renaissance et l'avènement des armes à feu ont-ils modifié le statut social de Gouren ?")</f>
        <v>De quelle manière la Renaissance et l'avènement des armes à feu ont-ils modifié le statut social de Gouren ?</v>
      </c>
      <c r="I26" s="6" t="str">
        <f>IFERROR(__xludf.DUMMYFUNCTION("GOOGLETRANSLATE(C26, ""en"", ""fr"")"),"A) Il devint un art secret, B) Il passa d'un art militaire de la noblesse à un sport populaire, C) Il fut interdit, D) Il devint plus violent")</f>
        <v>A) Il devint un art secret, B) Il passa d'un art militaire de la noblesse à un sport populaire, C) Il fut interdit, D) Il devint plus violent</v>
      </c>
      <c r="J26" s="6" t="str">
        <f>IFERROR(__xludf.DUMMYFUNCTION("GOOGLETRANSLATE(D26, ""en"", ""fr"")"),"B) Il est passé d'un art militaire de la noblesse à un sport populaire.")</f>
        <v>B) Il est passé d'un art militaire de la noblesse à un sport populaire.</v>
      </c>
      <c r="K26" s="6" t="str">
        <f>IFERROR(__xludf.DUMMYFUNCTION("GOOGLETRANSLATE(E26, ""en"", ""fr"")"),"À mesure que son utilité militaire pour les chevaliers déclinait, il fut adopté par le peuple comme une forme de divertissement et de compétition sociale.")</f>
        <v>À mesure que son utilité militaire pour les chevaliers déclinait, il fut adopté par le peuple comme une forme de divertissement et de compétition sociale.</v>
      </c>
    </row>
    <row r="27" ht="22.5" customHeight="1">
      <c r="A27" s="4">
        <v>26.0</v>
      </c>
      <c r="B27" s="5" t="s">
        <v>1751</v>
      </c>
      <c r="C27" s="5" t="s">
        <v>1752</v>
      </c>
      <c r="D27" s="5" t="s">
        <v>1753</v>
      </c>
      <c r="E27" s="5" t="s">
        <v>1754</v>
      </c>
      <c r="G27" s="6" t="str">
        <f>IFERROR(__xludf.DUMMYFUNCTION("GOOGLETRANSLATE(A27, ""en"", ""fr"")"),"26")</f>
        <v>26</v>
      </c>
      <c r="H27" s="6" t="str">
        <f>IFERROR(__xludf.DUMMYFUNCTION("GOOGLETRANSLATE(B27, ""en"", ""fr"")"),"Laquelle de ces règles était une règle clé codifiée par Charles Cottonec en 1930 pour moderniser ce sport ?")</f>
        <v>Laquelle de ces règles était une règle clé codifiée par Charles Cottonec en 1930 pour moderniser ce sport ?</v>
      </c>
      <c r="I27" s="6" t="str">
        <f>IFERROR(__xludf.DUMMYFUNCTION("GOOGLETRANSLATE(C27, ""en"", ""fr"")"),"A) L'introduction d'une limite de temps, B) La création de catégories d'âge et de poids, C) L'interdiction de toutes les projections dangereuses, D) L'obligation d'avoir un arbitre")</f>
        <v>A) L'introduction d'une limite de temps, B) La création de catégories d'âge et de poids, C) L'interdiction de toutes les projections dangereuses, D) L'obligation d'avoir un arbitre</v>
      </c>
      <c r="J27" s="6" t="str">
        <f>IFERROR(__xludf.DUMMYFUNCTION("GOOGLETRANSLATE(D27, ""en"", ""fr"")"),"B) La création de catégories d'âge et de poids")</f>
        <v>B) La création de catégories d'âge et de poids</v>
      </c>
      <c r="K27" s="6" t="str">
        <f>IFERROR(__xludf.DUMMYFUNCTION("GOOGLETRANSLATE(E27, ""en"", ""fr"")"),"Pour garantir une compétition équitable et sûre, Cottonec a introduit des principes sportifs modernes comme les catégories de poids, qui n'existaient pas sous leur forme traditionnelle.")</f>
        <v>Pour garantir une compétition équitable et sûre, Cottonec a introduit des principes sportifs modernes comme les catégories de poids, qui n'existaient pas sous leur forme traditionnelle.</v>
      </c>
    </row>
    <row r="28" ht="22.5" customHeight="1">
      <c r="A28" s="4">
        <v>27.0</v>
      </c>
      <c r="B28" s="5" t="s">
        <v>1755</v>
      </c>
      <c r="C28" s="5" t="s">
        <v>1756</v>
      </c>
      <c r="D28" s="5" t="s">
        <v>1757</v>
      </c>
      <c r="E28" s="5" t="s">
        <v>1758</v>
      </c>
      <c r="G28" s="6" t="str">
        <f>IFERROR(__xludf.DUMMYFUNCTION("GOOGLETRANSLATE(A28, ""en"", ""fr"")"),"27")</f>
        <v>27</v>
      </c>
      <c r="H28" s="6" t="str">
        <f>IFERROR(__xludf.DUMMYFUNCTION("GOOGLETRANSLATE(B28, ""en"", ""fr"")"),"Quelle fut l'une des principales raisons des efforts déployés pour revitaliser Gouren au début du XXe siècle ?")</f>
        <v>Quelle fut l'une des principales raisons des efforts déployés pour revitaliser Gouren au début du XXe siècle ?</v>
      </c>
      <c r="I28" s="6" t="str">
        <f>IFERROR(__xludf.DUMMYFUNCTION("GOOGLETRANSLATE(C28, ""en"", ""fr"")"),"A) Le désir de créer un sport professionnel, B) Pour lutter contre le déclin de la culture et de la langue bretonnes, C) Pour préparer les soldats à la Première Guerre mondiale, D) Pour attirer le tourisme en Bretagne")</f>
        <v>A) Le désir de créer un sport professionnel, B) Pour lutter contre le déclin de la culture et de la langue bretonnes, C) Pour préparer les soldats à la Première Guerre mondiale, D) Pour attirer le tourisme en Bretagne</v>
      </c>
      <c r="J28" s="6" t="str">
        <f>IFERROR(__xludf.DUMMYFUNCTION("GOOGLETRANSLATE(D28, ""en"", ""fr"")"),"B) Pour lutter contre le déclin de la culture et de la langue bretonnes")</f>
        <v>B) Pour lutter contre le déclin de la culture et de la langue bretonnes</v>
      </c>
      <c r="K28" s="6" t="str">
        <f>IFERROR(__xludf.DUMMYFUNCTION("GOOGLETRANSLATE(E28, ""en"", ""fr"")"),"La renaissance de Gouren s'inscrivait dans un mouvement culturel plus large visant à préserver l'identité et les traditions uniques de la Bretagne face à la centralisation française.")</f>
        <v>La renaissance de Gouren s'inscrivait dans un mouvement culturel plus large visant à préserver l'identité et les traditions uniques de la Bretagne face à la centralisation française.</v>
      </c>
    </row>
    <row r="29" ht="22.5" customHeight="1">
      <c r="A29" s="4">
        <v>28.0</v>
      </c>
      <c r="B29" s="5" t="s">
        <v>1759</v>
      </c>
      <c r="C29" s="5" t="s">
        <v>1760</v>
      </c>
      <c r="D29" s="5" t="s">
        <v>1761</v>
      </c>
      <c r="E29" s="5" t="s">
        <v>1762</v>
      </c>
      <c r="G29" s="6" t="str">
        <f>IFERROR(__xludf.DUMMYFUNCTION("GOOGLETRANSLATE(A29, ""en"", ""fr"")"),"28")</f>
        <v>28</v>
      </c>
      <c r="H29" s="6" t="str">
        <f>IFERROR(__xludf.DUMMYFUNCTION("GOOGLETRANSLATE(B29, ""en"", ""fr"")"),"Qu'est-ce qu'un skol Gouren ?")</f>
        <v>Qu'est-ce qu'un skol Gouren ?</v>
      </c>
      <c r="I29" s="6" t="str">
        <f>IFERROR(__xludf.DUMMYFUNCTION("GOOGLETRANSLATE(C29, ""en"", ""fr"")"),"A) Un tournoi de lutte, B) Un club ou une école de lutte, C) Un champion de lutte, D) Le maillot traditionnel de lutte")</f>
        <v>A) Un tournoi de lutte, B) Un club ou une école de lutte, C) Un champion de lutte, D) Le maillot traditionnel de lutte</v>
      </c>
      <c r="J29" s="6" t="str">
        <f>IFERROR(__xludf.DUMMYFUNCTION("GOOGLETRANSLATE(D29, ""en"", ""fr"")"),"B) Un club ou une école Gouren")</f>
        <v>B) Un club ou une école Gouren</v>
      </c>
      <c r="K29" s="6" t="str">
        <f>IFERROR(__xludf.DUMMYFUNCTION("GOOGLETRANSLATE(E29, ""en"", ""fr"")"),"Un skol (mot breton signifiant « école ») est un club moderne où les pratiquants, enfants et adultes compris, apprennent et s'entraînent à l'art du Gouren.")</f>
        <v>Un skol (mot breton signifiant « école ») est un club moderne où les pratiquants, enfants et adultes compris, apprennent et s'entraînent à l'art du Gouren.</v>
      </c>
    </row>
    <row r="30" ht="22.5" customHeight="1">
      <c r="A30" s="4">
        <v>29.0</v>
      </c>
      <c r="B30" s="5" t="s">
        <v>1763</v>
      </c>
      <c r="C30" s="5" t="s">
        <v>1764</v>
      </c>
      <c r="D30" s="5" t="s">
        <v>1765</v>
      </c>
      <c r="E30" s="5" t="s">
        <v>1766</v>
      </c>
      <c r="G30" s="6" t="str">
        <f>IFERROR(__xludf.DUMMYFUNCTION("GOOGLETRANSLATE(A30, ""en"", ""fr"")"),"29")</f>
        <v>29</v>
      </c>
      <c r="H30" s="6" t="str">
        <f>IFERROR(__xludf.DUMMYFUNCTION("GOOGLETRANSLATE(B30, ""en"", ""fr"")"),"La Fédération internationale de lutte celtique (FILC) inclut quel autre style de lutte, un proche cousin du Gouren ?")</f>
        <v>La Fédération internationale de lutte celtique (FILC) inclut quel autre style de lutte, un proche cousin du Gouren ?</v>
      </c>
      <c r="I30" s="6" t="str">
        <f>IFERROR(__xludf.DUMMYFUNCTION("GOOGLETRANSLATE(C30, ""en"", ""fr"")"),"A) Sumo, B) Glima (lutte islandaise), C) Lutte cornique, D) Schwingen (lutte suisse)")</f>
        <v>A) Sumo, B) Glima (lutte islandaise), C) Lutte cornique, D) Schwingen (lutte suisse)</v>
      </c>
      <c r="J30" s="6" t="str">
        <f>IFERROR(__xludf.DUMMYFUNCTION("GOOGLETRANSLATE(D30, ""en"", ""fr"")"),"C) Lutte cornique")</f>
        <v>C) Lutte cornique</v>
      </c>
      <c r="K30" s="6" t="str">
        <f>IFERROR(__xludf.DUMMYFUNCTION("GOOGLETRANSLATE(E30, ""en"", ""fr"")"),"La lutte cornique, originaire des Cornouailles en Grande-Bretagne, partage une origine celtique commune et des techniques de lutte en veste similaires à celles du Gouren.")</f>
        <v>La lutte cornique, originaire des Cornouailles en Grande-Bretagne, partage une origine celtique commune et des techniques de lutte en veste similaires à celles du Gouren.</v>
      </c>
    </row>
    <row r="31" ht="22.5" customHeight="1">
      <c r="A31" s="4">
        <v>30.0</v>
      </c>
      <c r="B31" s="5" t="s">
        <v>1767</v>
      </c>
      <c r="C31" s="5" t="s">
        <v>1768</v>
      </c>
      <c r="D31" s="5" t="s">
        <v>1769</v>
      </c>
      <c r="E31" s="5" t="s">
        <v>1770</v>
      </c>
      <c r="G31" s="6" t="str">
        <f>IFERROR(__xludf.DUMMYFUNCTION("GOOGLETRANSLATE(A31, ""en"", ""fr"")"),"30")</f>
        <v>30</v>
      </c>
      <c r="H31" s="6" t="str">
        <f>IFERROR(__xludf.DUMMYFUNCTION("GOOGLETRANSLATE(B31, ""en"", ""fr"")"),"Historiquement, quel était le rôle du jury lors d'un tournoi de Gouren au XIXe siècle ?")</f>
        <v>Historiquement, quel était le rôle du jury lors d'un tournoi de Gouren au XIXe siècle ?</v>
      </c>
      <c r="I31" s="6" t="str">
        <f>IFERROR(__xludf.DUMMYFUNCTION("GOOGLETRANSLATE(C31, ""en"", ""fr"")"),"A) Arbitrer les combats, B) Organiser l'événement, C) Être le dépositaire et le distributeur officiel des prix, D) Superviser les paris des spectateurs")</f>
        <v>A) Arbitrer les combats, B) Organiser l'événement, C) Être le dépositaire et le distributeur officiel des prix, D) Superviser les paris des spectateurs</v>
      </c>
      <c r="J31" s="6" t="str">
        <f>IFERROR(__xludf.DUMMYFUNCTION("GOOGLETRANSLATE(D31, ""en"", ""fr"")"),"C) Être les dépositaires et distributeurs officiels des prix")</f>
        <v>C) Être les dépositaires et distributeurs officiels des prix</v>
      </c>
      <c r="K31" s="6" t="str">
        <f>IFERROR(__xludf.DUMMYFUNCTION("GOOGLETRANSLATE(E31, ""en"", ""fr"")"),"Le jury était un panel de dignitaires chargés de superviser les prix et de les décerner aux champions.")</f>
        <v>Le jury était un panel de dignitaires chargés de superviser les prix et de les décerner aux champions.</v>
      </c>
    </row>
    <row r="32" ht="22.5" customHeight="1">
      <c r="A32" s="4">
        <v>31.0</v>
      </c>
      <c r="B32" s="5" t="s">
        <v>1771</v>
      </c>
      <c r="C32" s="5" t="s">
        <v>1772</v>
      </c>
      <c r="D32" s="5" t="s">
        <v>1773</v>
      </c>
      <c r="E32" s="5" t="s">
        <v>1774</v>
      </c>
      <c r="G32" s="6" t="str">
        <f>IFERROR(__xludf.DUMMYFUNCTION("GOOGLETRANSLATE(A32, ""en"", ""fr"")"),"31")</f>
        <v>31</v>
      </c>
      <c r="H32" s="6" t="str">
        <f>IFERROR(__xludf.DUMMYFUNCTION("GOOGLETRANSLATE(B32, ""en"", ""fr"")"),"À l'époque pré-moderne, comment les règles de Gouren ont-elles été transmises ?")</f>
        <v>À l'époque pré-moderne, comment les règles de Gouren ont-elles été transmises ?</v>
      </c>
      <c r="I32" s="6" t="str">
        <f>IFERROR(__xludf.DUMMYFUNCTION("GOOGLETRANSLATE(C32, ""en"", ""fr"")"),"A) Par le biais de manuels écrits, B) Par une tradition orale de lutteur à lutteur, C) Elles étaient décidées par le prêtre local, D) Il n'y avait pas de règles")</f>
        <v>A) Par le biais de manuels écrits, B) Par une tradition orale de lutteur à lutteur, C) Elles étaient décidées par le prêtre local, D) Il n'y avait pas de règles</v>
      </c>
      <c r="J32" s="6" t="str">
        <f>IFERROR(__xludf.DUMMYFUNCTION("GOOGLETRANSLATE(D32, ""en"", ""fr"")"),"B) Par une tradition orale de lutteur à lutteur")</f>
        <v>B) Par une tradition orale de lutteur à lutteur</v>
      </c>
      <c r="K32" s="6" t="str">
        <f>IFERROR(__xludf.DUMMYFUNCTION("GOOGLETRANSLATE(E32, ""en"", ""fr"")"),"En tant qu'art populaire, les règles et les techniques n'étaient pas écrites mais se sont perpétuées par la pratique et la transmission directe.")</f>
        <v>En tant qu'art populaire, les règles et les techniques n'étaient pas écrites mais se sont perpétuées par la pratique et la transmission directe.</v>
      </c>
    </row>
    <row r="33" ht="22.5" customHeight="1">
      <c r="A33" s="4">
        <v>32.0</v>
      </c>
      <c r="B33" s="5" t="s">
        <v>1775</v>
      </c>
      <c r="C33" s="5" t="s">
        <v>1776</v>
      </c>
      <c r="D33" s="5" t="s">
        <v>1777</v>
      </c>
      <c r="E33" s="5" t="s">
        <v>1778</v>
      </c>
      <c r="G33" s="6" t="str">
        <f>IFERROR(__xludf.DUMMYFUNCTION("GOOGLETRANSLATE(A33, ""en"", ""fr"")"),"32")</f>
        <v>32</v>
      </c>
      <c r="H33" s="6" t="str">
        <f>IFERROR(__xludf.DUMMYFUNCTION("GOOGLETRANSLATE(B33, ""en"", ""fr"")"),"Qu'est-ce qu'un lamm ?")</f>
        <v>Qu'est-ce qu'un lamm ?</v>
      </c>
      <c r="I33" s="6" t="str">
        <f>IFERROR(__xludf.DUMMYFUNCTION("GOOGLETRANSLATE(C33, ""en"", ""fr"")"),"A) La prise victorieuse à Gouren, B) Un type de mouvement défensif, C) L'arène de lutte, D) Le maillot traditionnel de lutte")</f>
        <v>A) La prise victorieuse à Gouren, B) Un type de mouvement défensif, C) L'arène de lutte, D) Le maillot traditionnel de lutte</v>
      </c>
      <c r="J33" s="6" t="str">
        <f>IFERROR(__xludf.DUMMYFUNCTION("GOOGLETRANSLATE(D33, ""en"", ""fr"")"),"A) Le lancer gagnant à Gouren")</f>
        <v>A) Le lancer gagnant à Gouren</v>
      </c>
      <c r="K33" s="6" t="str">
        <f>IFERROR(__xludf.DUMMYFUNCTION("GOOGLETRANSLATE(E33, ""en"", ""fr"")"),"Le lamm est le but ultime, une projection parfaite où l'adversaire est projeté au sol de sorte que ses deux omoplates touchent le sol simultanément.")</f>
        <v>Le lamm est le but ultime, une projection parfaite où l'adversaire est projeté au sol de sorte que ses deux omoplates touchent le sol simultanément.</v>
      </c>
    </row>
    <row r="34" ht="22.5" customHeight="1">
      <c r="A34" s="4">
        <v>33.0</v>
      </c>
      <c r="B34" s="5" t="s">
        <v>1779</v>
      </c>
      <c r="C34" s="5" t="s">
        <v>1780</v>
      </c>
      <c r="D34" s="5" t="s">
        <v>1781</v>
      </c>
      <c r="E34" s="5" t="s">
        <v>1782</v>
      </c>
      <c r="G34" s="6" t="str">
        <f>IFERROR(__xludf.DUMMYFUNCTION("GOOGLETRANSLATE(A34, ""en"", ""fr"")"),"33")</f>
        <v>33</v>
      </c>
      <c r="H34" s="6" t="str">
        <f>IFERROR(__xludf.DUMMYFUNCTION("GOOGLETRANSLATE(B34, ""en"", ""fr"")"),"Le serment récité par les lutteurs met l'accent sur quelles valeurs fondamentales ?")</f>
        <v>Le serment récité par les lutteurs met l'accent sur quelles valeurs fondamentales ?</v>
      </c>
      <c r="I34" s="6" t="str">
        <f>IFERROR(__xludf.DUMMYFUNCTION("GOOGLETRANSLATE(C34, ""en"", ""fr"")"),"A) Victoire et gloire, B) Force et puissance, C) Équité, respect et loyauté, D) Agressivité et domination")</f>
        <v>A) Victoire et gloire, B) Force et puissance, C) Équité, respect et loyauté, D) Agressivité et domination</v>
      </c>
      <c r="J34" s="6" t="str">
        <f>IFERROR(__xludf.DUMMYFUNCTION("GOOGLETRANSLATE(D34, ""en"", ""fr"")"),"C) Équité, respect et loyauté")</f>
        <v>C) Équité, respect et loyauté</v>
      </c>
      <c r="K34" s="6" t="str">
        <f>IFERROR(__xludf.DUMMYFUNCTION("GOOGLETRANSLATE(E34, ""en"", ""fr"")"),"Le serment est un engagement moral à concourir avec honneur et à respecter les principes éthiques du sport.")</f>
        <v>Le serment est un engagement moral à concourir avec honneur et à respecter les principes éthiques du sport.</v>
      </c>
    </row>
    <row r="35" ht="22.5" customHeight="1">
      <c r="A35" s="4">
        <v>34.0</v>
      </c>
      <c r="B35" s="5" t="s">
        <v>1783</v>
      </c>
      <c r="C35" s="5" t="s">
        <v>1784</v>
      </c>
      <c r="D35" s="5" t="s">
        <v>1785</v>
      </c>
      <c r="E35" s="5" t="s">
        <v>1786</v>
      </c>
      <c r="G35" s="6" t="str">
        <f>IFERROR(__xludf.DUMMYFUNCTION("GOOGLETRANSLATE(A35, ""en"", ""fr"")"),"34")</f>
        <v>34</v>
      </c>
      <c r="H35" s="6" t="str">
        <f>IFERROR(__xludf.DUMMYFUNCTION("GOOGLETRANSLATE(B35, ""en"", ""fr"")"),"Pourquoi le dictionnaire breton de 1464, le Catholicon, est-il historiquement important pour Gouren ?")</f>
        <v>Pourquoi le dictionnaire breton de 1464, le Catholicon, est-il historiquement important pour Gouren ?</v>
      </c>
      <c r="I35" s="6" t="str">
        <f>IFERROR(__xludf.DUMMYFUNCTION("GOOGLETRANSLATE(C35, ""en"", ""fr"")"),"A) Il contient les premières règles écrites de ce sport, B) Il contient la première mention écrite connue du mot « gouren », C) Il a été écrit par un lutteur célèbre, D) Il contient des illustrations de techniques de lutte")</f>
        <v>A) Il contient les premières règles écrites de ce sport, B) Il contient la première mention écrite connue du mot « gouren », C) Il a été écrit par un lutteur célèbre, D) Il contient des illustrations de techniques de lutte</v>
      </c>
      <c r="J35" s="6" t="str">
        <f>IFERROR(__xludf.DUMMYFUNCTION("GOOGLETRANSLATE(D35, ""en"", ""fr"")"),"B) Il contient la première trace écrite connue du mot « gouren »,")</f>
        <v>B) Il contient la première trace écrite connue du mot « gouren »,</v>
      </c>
      <c r="K35" s="6" t="str">
        <f>IFERROR(__xludf.DUMMYFUNCTION("GOOGLETRANSLATE(E35, ""en"", ""fr"")"),"Ce dictionnaire fournit le plus ancien témoignage documentaire du terme, confirmant son existence en tant qu'activité reconnue au XVe siècle.")</f>
        <v>Ce dictionnaire fournit le plus ancien témoignage documentaire du terme, confirmant son existence en tant qu'activité reconnue au XVe siècle.</v>
      </c>
    </row>
    <row r="36" ht="22.5" customHeight="1">
      <c r="A36" s="4">
        <v>35.0</v>
      </c>
      <c r="B36" s="5" t="s">
        <v>1787</v>
      </c>
      <c r="C36" s="5" t="s">
        <v>1788</v>
      </c>
      <c r="D36" s="5" t="s">
        <v>1789</v>
      </c>
      <c r="E36" s="5" t="s">
        <v>1790</v>
      </c>
      <c r="G36" s="6" t="str">
        <f>IFERROR(__xludf.DUMMYFUNCTION("GOOGLETRANSLATE(A36, ""en"", ""fr"")"),"35")</f>
        <v>35</v>
      </c>
      <c r="H36" s="6" t="str">
        <f>IFERROR(__xludf.DUMMYFUNCTION("GOOGLETRANSLATE(B36, ""en"", ""fr"")"),"La FALSAB, fondée en 1930, comprenait également quels autres sports bretons ?")</f>
        <v>La FALSAB, fondée en 1930, comprenait également quels autres sports bretons ?</v>
      </c>
      <c r="I36" s="6" t="str">
        <f>IFERROR(__xludf.DUMMYFUNCTION("GOOGLETRANSLATE(C36, ""en"", ""fr"")"),"A) Danses bretonnes, B) Voile, C) Combat au bâton et autres jeux athlétiques, D) Tir à l'arc")</f>
        <v>A) Danses bretonnes, B) Voile, C) Combat au bâton et autres jeux athlétiques, D) Tir à l'arc</v>
      </c>
      <c r="J36" s="6" t="str">
        <f>IFERROR(__xludf.DUMMYFUNCTION("GOOGLETRANSLATE(D36, ""en"", ""fr"")"),"C) Combats de bâtons et autres jeux athlétiques")</f>
        <v>C) Combats de bâtons et autres jeux athlétiques</v>
      </c>
      <c r="K36" s="6" t="str">
        <f>IFERROR(__xludf.DUMMYFUNCTION("GOOGLETRANSLATE(E36, ""en"", ""fr"")"),"La « Fédération des Amis de la Lutte et des Sports Athlétiques Bretons » a été créée pour préserver un ensemble d'activités physiques traditionnelles bretonnes.")</f>
        <v>La « Fédération des Amis de la Lutte et des Sports Athlétiques Bretons » a été créée pour préserver un ensemble d'activités physiques traditionnelles bretonnes.</v>
      </c>
    </row>
    <row r="37" ht="22.5" customHeight="1">
      <c r="A37" s="4">
        <v>36.0</v>
      </c>
      <c r="B37" s="5" t="s">
        <v>1791</v>
      </c>
      <c r="C37" s="5" t="s">
        <v>1792</v>
      </c>
      <c r="D37" s="5" t="s">
        <v>1793</v>
      </c>
      <c r="E37" s="5" t="s">
        <v>1794</v>
      </c>
      <c r="G37" s="6" t="str">
        <f>IFERROR(__xludf.DUMMYFUNCTION("GOOGLETRANSLATE(A37, ""en"", ""fr"")"),"36")</f>
        <v>36</v>
      </c>
      <c r="H37" s="6" t="str">
        <f>IFERROR(__xludf.DUMMYFUNCTION("GOOGLETRANSLATE(B37, ""en"", ""fr"")"),"Quelle est l'origine historique du geste des lutteurs qui se tiennent par le maillot (roched) ?")</f>
        <v>Quelle est l'origine historique du geste des lutteurs qui se tiennent par le maillot (roched) ?</v>
      </c>
      <c r="I37" s="6" t="str">
        <f>IFERROR(__xludf.DUMMYFUNCTION("GOOGLETRANSLATE(C37, ""en"", ""fr"")"),"A) C'était un moyen de se réchauffer, B) Cela simule le fait de saisir les vêtements ou l'armure d'un adversaire lors d'un véritable combat, C) Cela rend la lutte plus sûre, D) C'est uniquement pour l'équilibre")</f>
        <v>A) C'était un moyen de se réchauffer, B) Cela simule le fait de saisir les vêtements ou l'armure d'un adversaire lors d'un véritable combat, C) Cela rend la lutte plus sûre, D) C'est uniquement pour l'équilibre</v>
      </c>
      <c r="J37" s="6" t="str">
        <f>IFERROR(__xludf.DUMMYFUNCTION("GOOGLETRANSLATE(D37, ""en"", ""fr"")"),"B) Il simule le fait de saisir les vêtements ou l'armure d'un adversaire dans un véritable combat.")</f>
        <v>B) Il simule le fait de saisir les vêtements ou l'armure d'un adversaire dans un véritable combat.</v>
      </c>
      <c r="K37" s="6" t="str">
        <f>IFERROR(__xludf.DUMMYFUNCTION("GOOGLETRANSLATE(E37, ""en"", ""fr"")"),"Le gouren est une forme de lutte en veste, un style de grappling qui trouve ses racines dans le combat pratique en tenue vestimentaire.")</f>
        <v>Le gouren est une forme de lutte en veste, un style de grappling qui trouve ses racines dans le combat pratique en tenue vestimentaire.</v>
      </c>
    </row>
    <row r="38" ht="22.5" customHeight="1">
      <c r="A38" s="4">
        <v>37.0</v>
      </c>
      <c r="B38" s="5" t="s">
        <v>1795</v>
      </c>
      <c r="C38" s="5" t="s">
        <v>1796</v>
      </c>
      <c r="D38" s="5" t="s">
        <v>1797</v>
      </c>
      <c r="E38" s="5" t="s">
        <v>1798</v>
      </c>
      <c r="G38" s="6" t="str">
        <f>IFERROR(__xludf.DUMMYFUNCTION("GOOGLETRANSLATE(A38, ""en"", ""fr"")"),"37")</f>
        <v>37</v>
      </c>
      <c r="H38" s="6" t="str">
        <f>IFERROR(__xludf.DUMMYFUNCTION("GOOGLETRANSLATE(B38, ""en"", ""fr"")"),"Quelle était la principale motivation des autorités municipales pour organiser des tournois au XIXe siècle ?")</f>
        <v>Quelle était la principale motivation des autorités municipales pour organiser des tournois au XIXe siècle ?</v>
      </c>
      <c r="I38" s="6" t="str">
        <f>IFERROR(__xludf.DUMMYFUNCTION("GOOGLETRANSLATE(C38, ""en"", ""fr"")"),"A) Lever des fonds par le biais des impôts, B) Affirmer leur nouvelle autorité post-révolutionnaire et créer une cohésion sociale, C) Trouver les hommes les plus forts pour l'armée, D) Divertir les touristes")</f>
        <v>A) Lever des fonds par le biais des impôts, B) Affirmer leur nouvelle autorité post-révolutionnaire et créer une cohésion sociale, C) Trouver les hommes les plus forts pour l'armée, D) Divertir les touristes</v>
      </c>
      <c r="J38" s="6" t="str">
        <f>IFERROR(__xludf.DUMMYFUNCTION("GOOGLETRANSLATE(D38, ""en"", ""fr"")"),"B) Affirmer leur nouvelle autorité post-révolutionnaire et créer une cohésion sociale")</f>
        <v>B) Affirmer leur nouvelle autorité post-révolutionnaire et créer une cohésion sociale</v>
      </c>
      <c r="K38" s="6" t="str">
        <f>IFERROR(__xludf.DUMMYFUNCTION("GOOGLETRANSLATE(E38, ""en"", ""fr"")"),"Le parrainage d'un festival local populaire était un moyen pour les nouvelles autorités laïques de remplacer le rôle traditionnel de l'Église et de la noblesse.")</f>
        <v>Le parrainage d'un festival local populaire était un moyen pour les nouvelles autorités laïques de remplacer le rôle traditionnel de l'Église et de la noblesse.</v>
      </c>
    </row>
    <row r="39" ht="22.5" customHeight="1">
      <c r="A39" s="4">
        <v>38.0</v>
      </c>
      <c r="B39" s="5" t="s">
        <v>1799</v>
      </c>
      <c r="C39" s="5" t="s">
        <v>1800</v>
      </c>
      <c r="D39" s="5" t="s">
        <v>1801</v>
      </c>
      <c r="E39" s="5" t="s">
        <v>1802</v>
      </c>
      <c r="G39" s="6" t="str">
        <f>IFERROR(__xludf.DUMMYFUNCTION("GOOGLETRANSLATE(A39, ""en"", ""fr"")"),"38")</f>
        <v>38</v>
      </c>
      <c r="H39" s="6" t="str">
        <f>IFERROR(__xludf.DUMMYFUNCTION("GOOGLETRANSLATE(B39, ""en"", ""fr"")"),"À quoi fait référence le terme « Back-hold » ?")</f>
        <v>À quoi fait référence le terme « Back-hold » ?</v>
      </c>
      <c r="I39" s="6" t="str">
        <f>IFERROR(__xludf.DUMMYFUNCTION("GOOGLETRANSLATE(C39, ""en"", ""fr"")"),"A) Une projection spécifique en Gouren, B) Le style de lutte écossais et nord-anglais, également membre de la FILC, C) Une prise de soumission, D) La prise de départ en Gouren")</f>
        <v>A) Une projection spécifique en Gouren, B) Le style de lutte écossais et nord-anglais, également membre de la FILC, C) Une prise de soumission, D) La prise de départ en Gouren</v>
      </c>
      <c r="J39" s="6" t="str">
        <f>IFERROR(__xludf.DUMMYFUNCTION("GOOGLETRANSLATE(D39, ""en"", ""fr"")"),"B) Le style de lutte d'Écosse et du nord de l'Angleterre, qui fait également partie de la FILC")</f>
        <v>B) Le style de lutte d'Écosse et du nord de l'Angleterre, qui fait également partie de la FILC</v>
      </c>
      <c r="K39" s="6" t="str">
        <f>IFERROR(__xludf.DUMMYFUNCTION("GOOGLETRANSLATE(E39, ""en"", ""fr"")"),"La lutte par prise dorsale est un autre style celtique où les lutteurs commencent par se saisir mutuellement dans le dos d'une prise spécifique.")</f>
        <v>La lutte par prise dorsale est un autre style celtique où les lutteurs commencent par se saisir mutuellement dans le dos d'une prise spécifique.</v>
      </c>
    </row>
    <row r="40" ht="22.5" customHeight="1">
      <c r="A40" s="4">
        <v>39.0</v>
      </c>
      <c r="B40" s="5" t="s">
        <v>1803</v>
      </c>
      <c r="C40" s="5" t="s">
        <v>1804</v>
      </c>
      <c r="D40" s="5" t="s">
        <v>1805</v>
      </c>
      <c r="E40" s="5" t="s">
        <v>1806</v>
      </c>
      <c r="G40" s="6" t="str">
        <f>IFERROR(__xludf.DUMMYFUNCTION("GOOGLETRANSLATE(A40, ""en"", ""fr"")"),"39")</f>
        <v>39</v>
      </c>
      <c r="H40" s="6" t="str">
        <f>IFERROR(__xludf.DUMMYFUNCTION("GOOGLETRANSLATE(B40, ""en"", ""fr"")"),"Avant Charles Cottonec, quel était le principal problème des compétitions de Gouren ?")</f>
        <v>Avant Charles Cottonec, quel était le principal problème des compétitions de Gouren ?</v>
      </c>
      <c r="I40" s="6" t="str">
        <f>IFERROR(__xludf.DUMMYFUNCTION("GOOGLETRANSLATE(C40, ""en"", ""fr"")"),"A) Ils étaient trop violents, B) Les règles variaient d'un village à l'autre, ce qui engendrait des conflits, C) Ils n'étaient pas populaires, D) Les prix étaient trop faibles")</f>
        <v>A) Ils étaient trop violents, B) Les règles variaient d'un village à l'autre, ce qui engendrait des conflits, C) Ils n'étaient pas populaires, D) Les prix étaient trop faibles</v>
      </c>
      <c r="J40" s="6" t="str">
        <f>IFERROR(__xludf.DUMMYFUNCTION("GOOGLETRANSLATE(D40, ""en"", ""fr"")"),"B) Les règles variaient d'un village à l'autre, ce qui engendrait des conflits.")</f>
        <v>B) Les règles variaient d'un village à l'autre, ce qui engendrait des conflits.</v>
      </c>
      <c r="K40" s="6" t="str">
        <f>IFERROR(__xludf.DUMMYFUNCTION("GOOGLETRANSLATE(E40, ""en"", ""fr"")"),"L'absence de règles standardisées constituait un obstacle majeur au développement de ce sport et engendrait souvent des disputes entre les lutteurs de différentes régions.")</f>
        <v>L'absence de règles standardisées constituait un obstacle majeur au développement de ce sport et engendrait souvent des disputes entre les lutteurs de différentes régions.</v>
      </c>
    </row>
    <row r="41" ht="22.5" customHeight="1">
      <c r="A41" s="4">
        <v>40.0</v>
      </c>
      <c r="B41" s="5" t="s">
        <v>1807</v>
      </c>
      <c r="C41" s="5" t="s">
        <v>1808</v>
      </c>
      <c r="D41" s="5" t="s">
        <v>1809</v>
      </c>
      <c r="E41" s="5" t="s">
        <v>1810</v>
      </c>
      <c r="G41" s="6" t="str">
        <f>IFERROR(__xludf.DUMMYFUNCTION("GOOGLETRANSLATE(A41, ""en"", ""fr"")"),"40")</f>
        <v>40</v>
      </c>
      <c r="H41" s="6" t="str">
        <f>IFERROR(__xludf.DUMMYFUNCTION("GOOGLETRANSLATE(B41, ""en"", ""fr"")"),"Les récits historiques de Gouren du XVIe au XIXe siècle montrent qu'il s'agissait d'un élément clé de quel type d'événement ?")</f>
        <v>Les récits historiques de Gouren du XVIe au XIXe siècle montrent qu'il s'agissait d'un élément clé de quel type d'événement ?</v>
      </c>
      <c r="I41" s="6" t="str">
        <f>IFERROR(__xludf.DUMMYFUNCTION("GOOGLETRANSLATE(C41, ""en"", ""fr"")"),"A) Couronnements royaux, B) Funérailles, C) Fêtes religieuses et folkloriques locales (grâces et foires), D) Manifestations politiques")</f>
        <v>A) Couronnements royaux, B) Funérailles, C) Fêtes religieuses et folkloriques locales (grâces et foires), D) Manifestations politiques</v>
      </c>
      <c r="J41" s="6" t="str">
        <f>IFERROR(__xludf.DUMMYFUNCTION("GOOGLETRANSLATE(D41, ""en"", ""fr"")"),"C) Fêtes religieuses et folkloriques locales (pardons et foires)")</f>
        <v>C) Fêtes religieuses et folkloriques locales (pardons et foires)</v>
      </c>
      <c r="K41" s="6" t="str">
        <f>IFERROR(__xludf.DUMMYFUNCTION("GOOGLETRANSLATE(E41, ""en"", ""fr"")"),"Le gouren était le principal divertissement et concours social lors des grandes réunions annuelles qui étaient au cœur de la vie villageoise bretonne.")</f>
        <v>Le gouren était le principal divertissement et concours social lors des grandes réunions annuelles qui étaient au cœur de la vie villageoise bretonne.</v>
      </c>
    </row>
    <row r="42" ht="22.5" customHeight="1">
      <c r="A42" s="4">
        <v>41.0</v>
      </c>
      <c r="B42" s="5" t="s">
        <v>1811</v>
      </c>
      <c r="C42" s="5" t="s">
        <v>1812</v>
      </c>
      <c r="D42" s="5" t="s">
        <v>1813</v>
      </c>
      <c r="E42" s="5" t="s">
        <v>1814</v>
      </c>
      <c r="G42" s="6" t="str">
        <f>IFERROR(__xludf.DUMMYFUNCTION("GOOGLETRANSLATE(A42, ""en"", ""fr"")"),"41")</f>
        <v>41</v>
      </c>
      <c r="H42" s="6" t="str">
        <f>IFERROR(__xludf.DUMMYFUNCTION("GOOGLETRANSLATE(B42, ""en"", ""fr"")"),"Quel style de lutte d'une nation celtique, connu sous le nom de Collar-and-Elbow, est également membre de la FILC ?")</f>
        <v>Quel style de lutte d'une nation celtique, connu sous le nom de Collar-and-Elbow, est également membre de la FILC ?</v>
      </c>
      <c r="I42" s="6" t="str">
        <f>IFERROR(__xludf.DUMMYFUNCTION("GOOGLETRANSLATE(C42, ""en"", ""fr"")"),"A) Pays de Galles, B) Irlande, C) Île de Man, D) Galice")</f>
        <v>A) Pays de Galles, B) Irlande, C) Île de Man, D) Galice</v>
      </c>
      <c r="J42" s="6" t="str">
        <f>IFERROR(__xludf.DUMMYFUNCTION("GOOGLETRANSLATE(D42, ""en"", ""fr"")"),"B) Irlande")</f>
        <v>B) Irlande</v>
      </c>
      <c r="K42" s="6" t="str">
        <f>IFERROR(__xludf.DUMMYFUNCTION("GOOGLETRANSLATE(E42, ""en"", ""fr"")"),"La lutte irlandaise au col et au coude est un autre style celtique traditionnel qui partage un héritage commun avec Gouren.")</f>
        <v>La lutte irlandaise au col et au coude est un autre style celtique traditionnel qui partage un héritage commun avec Gouren.</v>
      </c>
    </row>
    <row r="43" ht="22.5" customHeight="1">
      <c r="A43" s="4">
        <v>42.0</v>
      </c>
      <c r="B43" s="5" t="s">
        <v>1815</v>
      </c>
      <c r="C43" s="5" t="s">
        <v>1816</v>
      </c>
      <c r="D43" s="5" t="s">
        <v>1817</v>
      </c>
      <c r="E43" s="5" t="s">
        <v>1818</v>
      </c>
      <c r="G43" s="6" t="str">
        <f>IFERROR(__xludf.DUMMYFUNCTION("GOOGLETRANSLATE(A43, ""en"", ""fr"")"),"42")</f>
        <v>42</v>
      </c>
      <c r="H43" s="6" t="str">
        <f>IFERROR(__xludf.DUMMYFUNCTION("GOOGLETRANSLATE(B43, ""en"", ""fr"")"),"À quoi fait référence le terme kostin en gouren ?")</f>
        <v>À quoi fait référence le terme kostin en gouren ?</v>
      </c>
      <c r="I43" s="6" t="str">
        <f>IFERROR(__xludf.DUMMYFUNCTION("GOOGLETRANSLATE(C43, ""en"", ""fr"")"),"A) Une projection spécifique, B) Le pantalon du lutteur, C) Une impasse ou une situation sans résultat, D) L'arbitre")</f>
        <v>A) Une projection spécifique, B) Le pantalon du lutteur, C) Une impasse ou une situation sans résultat, D) L'arbitre</v>
      </c>
      <c r="J43" s="6" t="str">
        <f>IFERROR(__xludf.DUMMYFUNCTION("GOOGLETRANSLATE(D43, ""en"", ""fr"")"),"C) Une impasse ou une situation sans résultat")</f>
        <v>C) Une impasse ou une situation sans résultat</v>
      </c>
      <c r="K43" s="6" t="str">
        <f>IFERROR(__xludf.DUMMYFUNCTION("GOOGLETRANSLATE(E43, ""en"", ""fr"")"),"Si une projection ne se termine pas par un lamm propre, mais que les deux lutteurs tombent, cela peut être considéré comme un kostin ou un match nul pour cet échange.")</f>
        <v>Si une projection ne se termine pas par un lamm propre, mais que les deux lutteurs tombent, cela peut être considéré comme un kostin ou un match nul pour cet échange.</v>
      </c>
    </row>
    <row r="44" ht="22.5" customHeight="1">
      <c r="A44" s="4">
        <v>43.0</v>
      </c>
      <c r="B44" s="5" t="s">
        <v>1819</v>
      </c>
      <c r="C44" s="5" t="s">
        <v>1820</v>
      </c>
      <c r="D44" s="5" t="s">
        <v>1821</v>
      </c>
      <c r="E44" s="5" t="s">
        <v>1822</v>
      </c>
      <c r="G44" s="6" t="str">
        <f>IFERROR(__xludf.DUMMYFUNCTION("GOOGLETRANSLATE(A44, ""en"", ""fr"")"),"43")</f>
        <v>43</v>
      </c>
      <c r="H44" s="6" t="str">
        <f>IFERROR(__xludf.DUMMYFUNCTION("GOOGLETRANSLATE(B44, ""en"", ""fr"")"),"Les peintures de Gouren du XIXe siècle sont importantes d'un point de vue historique car elles montrent quoi ?")</f>
        <v>Les peintures de Gouren du XIXe siècle sont importantes d'un point de vue historique car elles montrent quoi ?</v>
      </c>
      <c r="I44" s="6" t="str">
        <f>IFERROR(__xludf.DUMMYFUNCTION("GOOGLETRANSLATE(C44, ""en"", ""fr"")"),"A) Les règles exactes de l'époque, B) Le fait que ce sport était pratiqué par toutes les classes sociales, C) Le caractère dynamique, populaire et communautaire de ce sport à cette époque, D) Le fait que les lutteurs étaient des professionnels")</f>
        <v>A) Les règles exactes de l'époque, B) Le fait que ce sport était pratiqué par toutes les classes sociales, C) Le caractère dynamique, populaire et communautaire de ce sport à cette époque, D) Le fait que les lutteurs étaient des professionnels</v>
      </c>
      <c r="J44" s="6" t="str">
        <f>IFERROR(__xludf.DUMMYFUNCTION("GOOGLETRANSLATE(D44, ""en"", ""fr"")"),"C) Le caractère dynamique, populaire et communautaire de ce sport à cette époque")</f>
        <v>C) Le caractère dynamique, populaire et communautaire de ce sport à cette époque</v>
      </c>
      <c r="K44" s="6" t="str">
        <f>IFERROR(__xludf.DUMMYFUNCTION("GOOGLETRANSLATE(E44, ""en"", ""fr"")"),"Les œuvres de peintres comme Lalaisse et Leleux capturent l'atmosphère vibrante des tournois et leur importance dans la vie villageoise.")</f>
        <v>Les œuvres de peintres comme Lalaisse et Leleux capturent l'atmosphère vibrante des tournois et leur importance dans la vie villageoise.</v>
      </c>
    </row>
    <row r="45" ht="22.5" customHeight="1">
      <c r="A45" s="4">
        <v>44.0</v>
      </c>
      <c r="B45" s="5" t="s">
        <v>1823</v>
      </c>
      <c r="C45" s="5" t="s">
        <v>1824</v>
      </c>
      <c r="D45" s="5" t="s">
        <v>835</v>
      </c>
      <c r="E45" s="5" t="s">
        <v>1825</v>
      </c>
      <c r="G45" s="6" t="str">
        <f>IFERROR(__xludf.DUMMYFUNCTION("GOOGLETRANSLATE(A45, ""en"", ""fr"")"),"44")</f>
        <v>44</v>
      </c>
      <c r="H45" s="6" t="str">
        <f>IFERROR(__xludf.DUMMYFUNCTION("GOOGLETRANSLATE(B45, ""en"", ""fr"")"),"Quelle est la principale raison historique pour laquelle les lutteurs étaient pieds nus ?")</f>
        <v>Quelle est la principale raison historique pour laquelle les lutteurs étaient pieds nus ?</v>
      </c>
      <c r="I45" s="6" t="str">
        <f>IFERROR(__xludf.DUMMYFUNCTION("GOOGLETRANSLATE(C45, ""en"", ""fr"")"),"A) Les chaussures étaient trop chères pour les lutteurs paysans. B) Elles offrent une meilleure adhérence et une meilleure sensibilité sur une surface naturelle. C) C'est un signe d'humilité. D) A et B.")</f>
        <v>A) Les chaussures étaient trop chères pour les lutteurs paysans. B) Elles offrent une meilleure adhérence et une meilleure sensibilité sur une surface naturelle. C) C'est un signe d'humilité. D) A et B.</v>
      </c>
      <c r="J45" s="6" t="str">
        <f>IFERROR(__xludf.DUMMYFUNCTION("GOOGLETRANSLATE(D45, ""en"", ""fr"")"),"D) A et B")</f>
        <v>D) A et B</v>
      </c>
      <c r="K45" s="6" t="str">
        <f>IFERROR(__xludf.DUMMYFUNCTION("GOOGLETRANSLATE(E45, ""en"", ""fr"")"),"Être pieds nus était à la fois une question pratique pour les lutteurs ruraux pauvres et une meilleure façon d'agripper la terre ou la prairie de l'akhara.")</f>
        <v>Être pieds nus était à la fois une question pratique pour les lutteurs ruraux pauvres et une meilleure façon d'agripper la terre ou la prairie de l'akhara.</v>
      </c>
    </row>
    <row r="46" ht="22.5" customHeight="1">
      <c r="A46" s="4">
        <v>45.0</v>
      </c>
      <c r="B46" s="5" t="s">
        <v>1826</v>
      </c>
      <c r="C46" s="5" t="s">
        <v>1827</v>
      </c>
      <c r="D46" s="5" t="s">
        <v>1828</v>
      </c>
      <c r="E46" s="5" t="s">
        <v>1829</v>
      </c>
      <c r="G46" s="6" t="str">
        <f>IFERROR(__xludf.DUMMYFUNCTION("GOOGLETRANSLATE(A46, ""en"", ""fr"")"),"45")</f>
        <v>45</v>
      </c>
      <c r="H46" s="6" t="str">
        <f>IFERROR(__xludf.DUMMYFUNCTION("GOOGLETRANSLATE(B46, ""en"", ""fr"")"),"Qu’est-ce que le « challenge » ou défí dans un tournoi traditionnel ?")</f>
        <v>Qu’est-ce que le « challenge » ou défí dans un tournoi traditionnel ?</v>
      </c>
      <c r="I46" s="6" t="str">
        <f>IFERROR(__xludf.DUMMYFUNCTION("GOOGLETRANSLATE(C46, ""en"", ""fr"")"),"A) Une contestation de la décision de l'arbitre, B) Lorsqu'un lutteur, ayant remporté un prix, lance un défi pour un prix plus élevé, C) Un défi entre deux villages, D) Un défi à un combat avec de vraies armes")</f>
        <v>A) Une contestation de la décision de l'arbitre, B) Lorsqu'un lutteur, ayant remporté un prix, lance un défi pour un prix plus élevé, C) Un défi entre deux villages, D) Un défi à un combat avec de vraies armes</v>
      </c>
      <c r="J46" s="6" t="str">
        <f>IFERROR(__xludf.DUMMYFUNCTION("GOOGLETRANSLATE(D46, ""en"", ""fr"")"),"B) Lorsqu'un lutteur, ayant remporté un prix, lance un défi pour un prix plus élevé")</f>
        <v>B) Lorsqu'un lutteur, ayant remporté un prix, lance un défi pour un prix plus élevé</v>
      </c>
      <c r="K46" s="6" t="str">
        <f>IFERROR(__xludf.DUMMYFUNCTION("GOOGLETRANSLATE(E46, ""en"", ""fr"")"),"Le tournoi était structuré sous forme d'échelle, où un lutteur remportait un petit prix puis lançait un défi au vainqueur du prix immédiatement supérieur.")</f>
        <v>Le tournoi était structuré sous forme d'échelle, où un lutteur remportait un petit prix puis lançait un défi au vainqueur du prix immédiatement supérieur.</v>
      </c>
    </row>
    <row r="47" ht="22.5" customHeight="1">
      <c r="A47" s="4">
        <v>46.0</v>
      </c>
      <c r="B47" s="5" t="s">
        <v>1830</v>
      </c>
      <c r="C47" s="5" t="s">
        <v>1831</v>
      </c>
      <c r="D47" s="5" t="s">
        <v>1832</v>
      </c>
      <c r="E47" s="5" t="s">
        <v>1833</v>
      </c>
      <c r="G47" s="6" t="str">
        <f>IFERROR(__xludf.DUMMYFUNCTION("GOOGLETRANSLATE(A47, ""en"", ""fr"")"),"46")</f>
        <v>46</v>
      </c>
      <c r="H47" s="6" t="str">
        <f>IFERROR(__xludf.DUMMYFUNCTION("GOOGLETRANSLATE(B47, ""en"", ""fr"")"),"Les premières règles écrites de 1930 interdisaient quelles actions courantes mais dangereuses ?")</f>
        <v>Les premières règles écrites de 1930 interdisaient quelles actions courantes mais dangereuses ?</v>
      </c>
      <c r="I47" s="6" t="str">
        <f>IFERROR(__xludf.DUMMYFUNCTION("GOOGLETRANSLATE(C47, ""en"", ""fr"")"),"A) Tous les croche-pieds, B) Saisir le pantalon, C) Tous les coups, coups de pied et prises dangereuses, D) Éjecter l'adversaire du ring")</f>
        <v>A) Tous les croche-pieds, B) Saisir le pantalon, C) Tous les coups, coups de pied et prises dangereuses, D) Éjecter l'adversaire du ring</v>
      </c>
      <c r="J47" s="6" t="str">
        <f>IFERROR(__xludf.DUMMYFUNCTION("GOOGLETRANSLATE(D47, ""en"", ""fr"")"),"C) Tous les coups, coups de pied et prises dangereuses")</f>
        <v>C) Tous les coups, coups de pied et prises dangereuses</v>
      </c>
      <c r="K47" s="6" t="str">
        <f>IFERROR(__xludf.DUMMYFUNCTION("GOOGLETRANSLATE(E47, ""en"", ""fr"")"),"Pour rendre ce sport plus sûr, le règlement de Cottonec interdisait formellement toutes les formes de frappe, de coup de poing et de prise de soumission, en faisant un art de la lutte pure.")</f>
        <v>Pour rendre ce sport plus sûr, le règlement de Cottonec interdisait formellement toutes les formes de frappe, de coup de poing et de prise de soumission, en faisant un art de la lutte pure.</v>
      </c>
    </row>
    <row r="48" ht="22.5" customHeight="1">
      <c r="A48" s="4">
        <v>47.0</v>
      </c>
      <c r="B48" s="5" t="s">
        <v>1834</v>
      </c>
      <c r="C48" s="5" t="s">
        <v>1835</v>
      </c>
      <c r="D48" s="5" t="s">
        <v>1836</v>
      </c>
      <c r="E48" s="5" t="s">
        <v>1837</v>
      </c>
      <c r="G48" s="6" t="str">
        <f>IFERROR(__xludf.DUMMYFUNCTION("GOOGLETRANSLATE(A48, ""en"", ""fr"")"),"47")</f>
        <v>47</v>
      </c>
      <c r="H48" s="6" t="str">
        <f>IFERROR(__xludf.DUMMYFUNCTION("GOOGLETRANSLATE(B48, ""en"", ""fr"")"),"La Fédération internationale de lutte celtique (FILC) a été fondée dans quelle ville ?")</f>
        <v>La Fédération internationale de lutte celtique (FILC) a été fondée dans quelle ville ?</v>
      </c>
      <c r="I48" s="6" t="str">
        <f>IFERROR(__xludf.DUMMYFUNCTION("GOOGLETRANSLATE(C48, ""en"", ""fr"")"),"A) Paris, B) Cardiff, C) Dublin, D) Édimbourg")</f>
        <v>A) Paris, B) Cardiff, C) Dublin, D) Édimbourg</v>
      </c>
      <c r="J48" s="6" t="str">
        <f>IFERROR(__xludf.DUMMYFUNCTION("GOOGLETRANSLATE(D48, ""en"", ""fr"")"),"B) Cardiff")</f>
        <v>B) Cardiff</v>
      </c>
      <c r="K48" s="6" t="str">
        <f>IFERROR(__xludf.DUMMYFUNCTION("GOOGLETRANSLATE(E48, ""en"", ""fr"")"),"La fédération a été fondée à Cardiff, au Pays de Galles, soulignant la coopération entre les différentes nations celtiques.")</f>
        <v>La fédération a été fondée à Cardiff, au Pays de Galles, soulignant la coopération entre les différentes nations celtiques.</v>
      </c>
    </row>
    <row r="49" ht="22.5" customHeight="1">
      <c r="A49" s="4">
        <v>48.0</v>
      </c>
      <c r="B49" s="5" t="s">
        <v>1838</v>
      </c>
      <c r="C49" s="5" t="s">
        <v>1839</v>
      </c>
      <c r="D49" s="5" t="s">
        <v>1840</v>
      </c>
      <c r="E49" s="5" t="s">
        <v>1841</v>
      </c>
      <c r="G49" s="6" t="str">
        <f>IFERROR(__xludf.DUMMYFUNCTION("GOOGLETRANSLATE(A49, ""en"", ""fr"")"),"48")</f>
        <v>48</v>
      </c>
      <c r="H49" s="6" t="str">
        <f>IFERROR(__xludf.DUMMYFUNCTION("GOOGLETRANSLATE(B49, ""en"", ""fr"")"),"Les prix historiques décernés à Gouren, les aiguillettes, étaient souvent quoi ?")</f>
        <v>Les prix historiques décernés à Gouren, les aiguillettes, étaient souvent quoi ?</v>
      </c>
      <c r="I49" s="6" t="str">
        <f>IFERROR(__xludf.DUMMYFUNCTION("GOOGLETRANSLATE(C49, ""en"", ""fr"")"),"A) Un animal vivant, comme un mouton ou un coq, B) Une somme d'argent, C) Un trophée, D) Une arme")</f>
        <v>A) Un animal vivant, comme un mouton ou un coq, B) Une somme d'argent, C) Un trophée, D) Une arme</v>
      </c>
      <c r="J49" s="6" t="str">
        <f>IFERROR(__xludf.DUMMYFUNCTION("GOOGLETRANSLATE(D49, ""en"", ""fr"")"),"A) Un animal vivant, comme un mouton ou un coq")</f>
        <v>A) Un animal vivant, comme un mouton ou un coq</v>
      </c>
      <c r="K49" s="6" t="str">
        <f>IFERROR(__xludf.DUMMYFUNCTION("GOOGLETRANSLATE(E49, ""en"", ""fr"")"),"Les prix étaient souvent du bétail, ce qui constituait une récompense précieuse et pratique dans une société rurale et agricole.")</f>
        <v>Les prix étaient souvent du bétail, ce qui constituait une récompense précieuse et pratique dans une société rurale et agricole.</v>
      </c>
    </row>
    <row r="50" ht="22.5" customHeight="1">
      <c r="A50" s="4">
        <v>49.0</v>
      </c>
      <c r="B50" s="5" t="s">
        <v>1842</v>
      </c>
      <c r="C50" s="5" t="s">
        <v>1843</v>
      </c>
      <c r="D50" s="5" t="s">
        <v>1844</v>
      </c>
      <c r="E50" s="5" t="s">
        <v>1845</v>
      </c>
      <c r="G50" s="6" t="str">
        <f>IFERROR(__xludf.DUMMYFUNCTION("GOOGLETRANSLATE(A50, ""en"", ""fr"")"),"49")</f>
        <v>49</v>
      </c>
      <c r="H50" s="6" t="str">
        <f>IFERROR(__xludf.DUMMYFUNCTION("GOOGLETRANSLATE(B50, ""en"", ""fr"")"),"Quelle est la principale différence entre le Gouren et le Judo ?")</f>
        <v>Quelle est la principale différence entre le Gouren et le Judo ?</v>
      </c>
      <c r="I50" s="6" t="str">
        <f>IFERROR(__xludf.DUMMYFUNCTION("GOOGLETRANSLATE(C50, ""en"", ""fr"")"),"A) Le judo utilise une ceinture pour les prises, B) Les lutteurs de Gouren commencent le combat en saisissant la veste de leur adversaire, C) Le judo implique des combats au sol, D) Gouren est plus ancien")</f>
        <v>A) Le judo utilise une ceinture pour les prises, B) Les lutteurs de Gouren commencent le combat en saisissant la veste de leur adversaire, C) Le judo implique des combats au sol, D) Gouren est plus ancien</v>
      </c>
      <c r="J50" s="6" t="str">
        <f>IFERROR(__xludf.DUMMYFUNCTION("GOOGLETRANSLATE(D50, ""en"", ""fr"")"),"B) Les lutteurs de Gouren commencent le match en saisissant la veste de leur adversaire.")</f>
        <v>B) Les lutteurs de Gouren commencent le match en saisissant la veste de leur adversaire.</v>
      </c>
      <c r="K50" s="6" t="str">
        <f>IFERROR(__xludf.DUMMYFUNCTION("GOOGLETRANSLATE(E50, ""en"", ""fr"")"),"Le gouren est un style de « lutte en veste » où le combat commence par les deux lutteurs agrippant le maillot de l'adversaire (roched), tandis que le judo a une phase de saisie plus ouverte et dynamique.")</f>
        <v>Le gouren est un style de « lutte en veste » où le combat commence par les deux lutteurs agrippant le maillot de l'adversaire (roched), tandis que le judo a une phase de saisie plus ouverte et dynamique.</v>
      </c>
    </row>
    <row r="51" ht="22.5" customHeight="1">
      <c r="A51" s="4">
        <v>50.0</v>
      </c>
      <c r="B51" s="5" t="s">
        <v>1846</v>
      </c>
      <c r="C51" s="5" t="s">
        <v>1847</v>
      </c>
      <c r="D51" s="5" t="s">
        <v>1848</v>
      </c>
      <c r="E51" s="5" t="s">
        <v>1849</v>
      </c>
      <c r="G51" s="6" t="str">
        <f>IFERROR(__xludf.DUMMYFUNCTION("GOOGLETRANSLATE(A51, ""en"", ""fr"")"),"50")</f>
        <v>50</v>
      </c>
      <c r="H51" s="6" t="str">
        <f>IFERROR(__xludf.DUMMYFUNCTION("GOOGLETRANSLATE(B51, ""en"", ""fr"")"),"La renaissance de Gouren au XXe siècle s'inscrit dans une tendance européenne plus large, à savoir quoi ?")</f>
        <v>La renaissance de Gouren au XXe siècle s'inscrit dans une tendance européenne plus large, à savoir quoi ?</v>
      </c>
      <c r="I51" s="6" t="str">
        <f>IFERROR(__xludf.DUMMYFUNCTION("GOOGLETRANSLATE(C51, ""en"", ""fr"")"),"A) La professionnalisation de tous les sports, B) La renaissance et la préservation des sports folkloriques traditionnels, C) Le déclin des sports collectifs, D) L'invention de nouveaux sports")</f>
        <v>A) La professionnalisation de tous les sports, B) La renaissance et la préservation des sports folkloriques traditionnels, C) Le déclin des sports collectifs, D) L'invention de nouveaux sports</v>
      </c>
      <c r="J51" s="6" t="str">
        <f>IFERROR(__xludf.DUMMYFUNCTION("GOOGLETRANSLATE(D51, ""en"", ""fr"")"),"B) La renaissance et la préservation des sports folkloriques traditionnels")</f>
        <v>B) La renaissance et la préservation des sports folkloriques traditionnels</v>
      </c>
      <c r="K51" s="6" t="str">
        <f>IFERROR(__xludf.DUMMYFUNCTION("GOOGLETRANSLATE(E51, ""en"", ""fr"")"),"Les efforts déployés pour sauver le Gouren sont similaires aux mouvements visant à préserver d'autres sports régionaux uniques à travers l'Europe.")</f>
        <v>Les efforts déployés pour sauver le Gouren sont similaires aux mouvements visant à préserver d'autres sports régionaux uniques à travers l'Europe.</v>
      </c>
    </row>
    <row r="52" ht="22.5" customHeight="1">
      <c r="A52" s="4">
        <v>51.0</v>
      </c>
      <c r="B52" s="5" t="s">
        <v>1850</v>
      </c>
      <c r="C52" s="5" t="s">
        <v>1851</v>
      </c>
      <c r="D52" s="5" t="s">
        <v>1852</v>
      </c>
      <c r="E52" s="5" t="s">
        <v>1853</v>
      </c>
      <c r="G52" s="6" t="str">
        <f>IFERROR(__xludf.DUMMYFUNCTION("GOOGLETRANSLATE(A52, ""en"", ""fr"")"),"51")</f>
        <v>51</v>
      </c>
      <c r="H52" s="6" t="str">
        <f>IFERROR(__xludf.DUMMYFUNCTION("GOOGLETRANSLATE(B52, ""en"", ""fr"")"),"Quelle est la signification historique du tournoi de Quimperlé de 1928 ?")</f>
        <v>Quelle est la signification historique du tournoi de Quimperlé de 1928 ?</v>
      </c>
      <c r="I52" s="6" t="str">
        <f>IFERROR(__xludf.DUMMYFUNCTION("GOOGLETRANSLATE(C52, ""en"", ""fr"")"),"A) C'était le premier tournoi avec des règles écrites, B) Son immense succès a démontré que Gouren bénéficiait toujours d'une popularité considérable, C) C'était le premier tournoi international, D) C'était le premier tournoi où des femmes ont participé")</f>
        <v>A) C'était le premier tournoi avec des règles écrites, B) Son immense succès a démontré que Gouren bénéficiait toujours d'une popularité considérable, C) C'était le premier tournoi international, D) C'était le premier tournoi où des femmes ont participé</v>
      </c>
      <c r="J52" s="6" t="str">
        <f>IFERROR(__xludf.DUMMYFUNCTION("GOOGLETRANSLATE(D52, ""en"", ""fr"")"),"B) Son immense succès a démontré que Gouren bénéficiait toujours d'une popularité massive.")</f>
        <v>B) Son immense succès a démontré que Gouren bénéficiait toujours d'une popularité massive.</v>
      </c>
      <c r="K52" s="6" t="str">
        <f>IFERROR(__xludf.DUMMYFUNCTION("GOOGLETRANSLATE(E52, ""en"", ""fr"")"),"L'immense foule présente à cet événement était un signe clair que ce sport ancestral n'était pas mort et qu'il méritait d'être préservé et modernisé.")</f>
        <v>L'immense foule présente à cet événement était un signe clair que ce sport ancestral n'était pas mort et qu'il méritait d'être préservé et modernisé.</v>
      </c>
    </row>
    <row r="53" ht="22.5" customHeight="1">
      <c r="A53" s="4">
        <v>52.0</v>
      </c>
      <c r="B53" s="5" t="s">
        <v>1854</v>
      </c>
      <c r="C53" s="5" t="s">
        <v>1855</v>
      </c>
      <c r="D53" s="5" t="s">
        <v>1856</v>
      </c>
      <c r="E53" s="5" t="s">
        <v>1857</v>
      </c>
      <c r="G53" s="6" t="str">
        <f>IFERROR(__xludf.DUMMYFUNCTION("GOOGLETRANSLATE(A53, ""en"", ""fr"")"),"52")</f>
        <v>52</v>
      </c>
      <c r="H53" s="6" t="str">
        <f>IFERROR(__xludf.DUMMYFUNCTION("GOOGLETRANSLATE(B53, ""en"", ""fr"")"),"Au XIXe siècle, comment désignait-on souvent les vainqueurs des petits tournois locaux ?")</f>
        <v>Au XIXe siècle, comment désignait-on souvent les vainqueurs des petits tournois locaux ?</v>
      </c>
      <c r="I53" s="6" t="str">
        <f>IFERROR(__xludf.DUMMYFUNCTION("GOOGLETRANSLATE(C53, ""en"", ""fr"")"),"A) Par un seul lancer décisif, B) Le dernier homme debout après une série d'épreuves, C) Par un jury attribuant des points, D) Par les applaudissements du public")</f>
        <v>A) Par un seul lancer décisif, B) Le dernier homme debout après une série d'épreuves, C) Par un jury attribuant des points, D) Par les applaudissements du public</v>
      </c>
      <c r="J53" s="6" t="str">
        <f>IFERROR(__xludf.DUMMYFUNCTION("GOOGLETRANSLATE(D53, ""en"", ""fr"")"),"B) Le dernier homme en lice après une série d'épreuves")</f>
        <v>B) Le dernier homme en lice après une série d'épreuves</v>
      </c>
      <c r="K53" s="6" t="str">
        <f>IFERROR(__xludf.DUMMYFUNCTION("GOOGLETRANSLATE(E53, ""en"", ""fr"")"),"Le format traditionnel était un tournoi « à élimination directe », où les lutteurs s'affrontaient jusqu'à ce qu'il ne reste qu'un seul champion invaincu.")</f>
        <v>Le format traditionnel était un tournoi « à élimination directe », où les lutteurs s'affrontaient jusqu'à ce qu'il ne reste qu'un seul champion invaincu.</v>
      </c>
    </row>
    <row r="54" ht="22.5" customHeight="1">
      <c r="A54" s="4">
        <v>53.0</v>
      </c>
      <c r="B54" s="5" t="s">
        <v>1858</v>
      </c>
      <c r="C54" s="5" t="s">
        <v>1859</v>
      </c>
      <c r="D54" s="5" t="s">
        <v>1860</v>
      </c>
      <c r="E54" s="5" t="s">
        <v>1861</v>
      </c>
      <c r="G54" s="6" t="str">
        <f>IFERROR(__xludf.DUMMYFUNCTION("GOOGLETRANSLATE(A54, ""en"", ""fr"")"),"53")</f>
        <v>53</v>
      </c>
      <c r="H54" s="6" t="str">
        <f>IFERROR(__xludf.DUMMYFUNCTION("GOOGLETRANSLATE(B54, ""en"", ""fr"")"),"Qu'est-ce qu'un klinch à Gouren ?")</f>
        <v>Qu'est-ce qu'un klinch à Gouren ?</v>
      </c>
      <c r="I54" s="6" t="str">
        <f>IFERROR(__xludf.DUMMYFUNCTION("GOOGLETRANSLATE(C54, ""en"", ""fr"")"),"A) Un type de projection, B) Le mot breton pour désigner une prise de corps à corps, C) L'ordre d'arrêt donné par l'arbitre, D) Une impasse")</f>
        <v>A) Un type de projection, B) Le mot breton pour désigner une prise de corps à corps, C) L'ordre d'arrêt donné par l'arbitre, D) Une impasse</v>
      </c>
      <c r="J54" s="6" t="str">
        <f>IFERROR(__xludf.DUMMYFUNCTION("GOOGLETRANSLATE(D54, ""en"", ""fr"")"),"B) Le mot breton pour une prise de corps à corps ou une prise de lutte")</f>
        <v>B) Le mot breton pour une prise de corps à corps ou une prise de lutte</v>
      </c>
      <c r="K54" s="6" t="str">
        <f>IFERROR(__xludf.DUMMYFUNCTION("GOOGLETRANSLATE(E54, ""en"", ""fr"")"),"Le terme « klinch » désigne la phase de lutte au corps à corps où les lutteurs sont enlacés, tentant d'effectuer une projection.")</f>
        <v>Le terme « klinch » désigne la phase de lutte au corps à corps où les lutteurs sont enlacés, tentant d'effectuer une projection.</v>
      </c>
    </row>
    <row r="55" ht="22.5" customHeight="1">
      <c r="A55" s="4">
        <v>54.0</v>
      </c>
      <c r="B55" s="5" t="s">
        <v>1862</v>
      </c>
      <c r="C55" s="5" t="s">
        <v>1863</v>
      </c>
      <c r="D55" s="5" t="s">
        <v>1864</v>
      </c>
      <c r="E55" s="5" t="s">
        <v>1865</v>
      </c>
      <c r="G55" s="6" t="str">
        <f>IFERROR(__xludf.DUMMYFUNCTION("GOOGLETRANSLATE(A55, ""en"", ""fr"")"),"54")</f>
        <v>54</v>
      </c>
      <c r="H55" s="6" t="str">
        <f>IFERROR(__xludf.DUMMYFUNCTION("GOOGLETRANSLATE(B55, ""en"", ""fr"")"),"Les premiers récits historiques suggèrent que le gouren était un passe-temps pour quel groupe ?")</f>
        <v>Les premiers récits historiques suggèrent que le gouren était un passe-temps pour quel groupe ?</v>
      </c>
      <c r="I55" s="6" t="str">
        <f>IFERROR(__xludf.DUMMYFUNCTION("GOOGLETRANSLATE(C55, ""en"", ""fr"")"),"A) Nobles bretons et leurs suivants, B) Pêcheurs sur la côte, C) Paysans dans les champs, D) Moines dans les monastères")</f>
        <v>A) Nobles bretons et leurs suivants, B) Pêcheurs sur la côte, C) Paysans dans les champs, D) Moines dans les monastères</v>
      </c>
      <c r="J55" s="6" t="str">
        <f>IFERROR(__xludf.DUMMYFUNCTION("GOOGLETRANSLATE(D55, ""en"", ""fr"")"),"A) Les nobles bretons et leurs suivants")</f>
        <v>A) Les nobles bretons et leurs suivants</v>
      </c>
      <c r="K55" s="6" t="str">
        <f>IFERROR(__xludf.DUMMYFUNCTION("GOOGLETRANSLATE(E55, ""en"", ""fr"")"),"Les premières descriptions de ce sport l'associent à l'aristocratie, à son entraînement militaire et aux divertissements de la cour.")</f>
        <v>Les premières descriptions de ce sport l'associent à l'aristocratie, à son entraînement militaire et aux divertissements de la cour.</v>
      </c>
    </row>
    <row r="56" ht="22.5" customHeight="1">
      <c r="A56" s="4">
        <v>55.0</v>
      </c>
      <c r="B56" s="5" t="s">
        <v>1866</v>
      </c>
      <c r="C56" s="5" t="s">
        <v>1867</v>
      </c>
      <c r="D56" s="5" t="s">
        <v>1868</v>
      </c>
      <c r="E56" s="5" t="s">
        <v>1869</v>
      </c>
      <c r="G56" s="6" t="str">
        <f>IFERROR(__xludf.DUMMYFUNCTION("GOOGLETRANSLATE(A56, ""en"", ""fr"")"),"55")</f>
        <v>55</v>
      </c>
      <c r="H56" s="6" t="str">
        <f>IFERROR(__xludf.DUMMYFUNCTION("GOOGLETRANSLATE(B56, ""en"", ""fr"")"),"Qu’interdit principalement le serment du lutteur : « Je jure de combattre avec une loyauté sans faille » ?")</f>
        <v>Qu’interdit principalement le serment du lutteur : « Je jure de combattre avec une loyauté sans faille » ?</v>
      </c>
      <c r="I56" s="6" t="str">
        <f>IFERROR(__xludf.DUMMYFUNCTION("GOOGLETRANSLATE(C56, ""en"", ""fr"")"),"A) Perdre le match, B) Toute forme de trahison ou de « coup bas », C) Parler pendant le match, D) Attaquer les jambes")</f>
        <v>A) Perdre le match, B) Toute forme de trahison ou de « coup bas », C) Parler pendant le match, D) Attaquer les jambes</v>
      </c>
      <c r="J56" s="6" t="str">
        <f>IFERROR(__xludf.DUMMYFUNCTION("GOOGLETRANSLATE(D56, ""en"", ""fr"")"),"B) Toute forme de trahison ou de « coups bas »,")</f>
        <v>B) Toute forme de trahison ou de « coups bas »,</v>
      </c>
      <c r="K56" s="6" t="str">
        <f>IFERROR(__xludf.DUMMYFUNCTION("GOOGLETRANSLATE(E56, ""en"", ""fr"")"),"Le serment est un engagement à combattre avec honneur, interdisant explicitement toute action qui ne repose pas sur une compétence juste et transparente.")</f>
        <v>Le serment est un engagement à combattre avec honneur, interdisant explicitement toute action qui ne repose pas sur une compétence juste et transparente.</v>
      </c>
    </row>
    <row r="57" ht="22.5" customHeight="1">
      <c r="A57" s="4">
        <v>56.0</v>
      </c>
      <c r="B57" s="5" t="s">
        <v>1870</v>
      </c>
      <c r="C57" s="5" t="s">
        <v>1871</v>
      </c>
      <c r="D57" s="5" t="s">
        <v>1872</v>
      </c>
      <c r="E57" s="5" t="s">
        <v>1873</v>
      </c>
      <c r="G57" s="6" t="str">
        <f>IFERROR(__xludf.DUMMYFUNCTION("GOOGLETRANSLATE(A57, ""en"", ""fr"")"),"56")</f>
        <v>56</v>
      </c>
      <c r="H57" s="6" t="str">
        <f>IFERROR(__xludf.DUMMYFUNCTION("GOOGLETRANSLATE(B57, ""en"", ""fr"")"),"Quelle est la principale raison du succès de la revitalisation menée par Charles Cottonec en 1930 ?")</f>
        <v>Quelle est la principale raison du succès de la revitalisation menée par Charles Cottonec en 1930 ?</v>
      </c>
      <c r="I57" s="6" t="str">
        <f>IFERROR(__xludf.DUMMYFUNCTION("GOOGLETRANSLATE(C57, ""en"", ""fr"")"),"A) Il était très riche. B) Il a créé un système équilibré qui respectait la tradition tout en introduisant la sécurité et l'équité modernes. C) Il était lui-même un lutteur célèbre. D) Il bénéficiait du soutien du gouvernement.")</f>
        <v>A) Il était très riche. B) Il a créé un système équilibré qui respectait la tradition tout en introduisant la sécurité et l'équité modernes. C) Il était lui-même un lutteur célèbre. D) Il bénéficiait du soutien du gouvernement.</v>
      </c>
      <c r="J57" s="6" t="str">
        <f>IFERROR(__xludf.DUMMYFUNCTION("GOOGLETRANSLATE(D57, ""en"", ""fr"")"),"B) Il a créé un système équilibré qui respectait la tradition tout en introduisant la sécurité et l'équité modernes.")</f>
        <v>B) Il a créé un système équilibré qui respectait la tradition tout en introduisant la sécurité et l'équité modernes.</v>
      </c>
      <c r="K57" s="6" t="str">
        <f>IFERROR(__xludf.DUMMYFUNCTION("GOOGLETRANSLATE(E57, ""en"", ""fr"")"),"Le succès de Cottonec était dû à son approche prudente et respectueuse, qui lui a valu le soutien de la communauté de la lutte traditionnelle.")</f>
        <v>Le succès de Cottonec était dû à son approche prudente et respectueuse, qui lui a valu le soutien de la communauté de la lutte traditionnelle.</v>
      </c>
    </row>
    <row r="58" ht="22.5" customHeight="1">
      <c r="A58" s="4">
        <v>57.0</v>
      </c>
      <c r="B58" s="5" t="s">
        <v>1874</v>
      </c>
      <c r="C58" s="5" t="s">
        <v>1875</v>
      </c>
      <c r="D58" s="5" t="s">
        <v>1876</v>
      </c>
      <c r="E58" s="5" t="s">
        <v>1877</v>
      </c>
      <c r="G58" s="6" t="str">
        <f>IFERROR(__xludf.DUMMYFUNCTION("GOOGLETRANSLATE(A58, ""en"", ""fr"")"),"57")</f>
        <v>57</v>
      </c>
      <c r="H58" s="6" t="str">
        <f>IFERROR(__xludf.DUMMYFUNCTION("GOOGLETRANSLATE(B58, ""en"", ""fr"")"),"Dans quel pays moderne, destination historique des émigrants bretons, peut-on trouver un club Gouren ?")</f>
        <v>Dans quel pays moderne, destination historique des émigrants bretons, peut-on trouver un club Gouren ?</v>
      </c>
      <c r="I58" s="6" t="str">
        <f>IFERROR(__xludf.DUMMYFUNCTION("GOOGLETRANSLATE(C58, ""en"", ""fr"")"),"A) Les États-Unis, B) le Canada, C) l'Argentine, D) l'Australie")</f>
        <v>A) Les États-Unis, B) le Canada, C) l'Argentine, D) l'Australie</v>
      </c>
      <c r="J58" s="6" t="str">
        <f>IFERROR(__xludf.DUMMYFUNCTION("GOOGLETRANSLATE(D58, ""en"", ""fr"")"),"B) Canada")</f>
        <v>B) Canada</v>
      </c>
      <c r="K58" s="6" t="str">
        <f>IFERROR(__xludf.DUMMYFUNCTION("GOOGLETRANSLATE(E58, ""en"", ""fr"")"),"La diaspora bretonne, notamment au Québec, a conduit à la création de clubs de gourmets en dehors d'Europe.")</f>
        <v>La diaspora bretonne, notamment au Québec, a conduit à la création de clubs de gourmets en dehors d'Europe.</v>
      </c>
    </row>
    <row r="59" ht="22.5" customHeight="1">
      <c r="A59" s="4">
        <v>58.0</v>
      </c>
      <c r="B59" s="5" t="s">
        <v>1878</v>
      </c>
      <c r="C59" s="5" t="s">
        <v>1879</v>
      </c>
      <c r="D59" s="5" t="s">
        <v>1880</v>
      </c>
      <c r="E59" s="5" t="s">
        <v>1881</v>
      </c>
      <c r="G59" s="6" t="str">
        <f>IFERROR(__xludf.DUMMYFUNCTION("GOOGLETRANSLATE(A59, ""en"", ""fr"")"),"58")</f>
        <v>58</v>
      </c>
      <c r="H59" s="6" t="str">
        <f>IFERROR(__xludf.DUMMYFUNCTION("GOOGLETRANSLATE(B59, ""en"", ""fr"")"),"On pense que le mot « gouren » est apparenté au cornique « omgowel » et au gallois « ymguro ». Que signifient ces mots ?")</f>
        <v>On pense que le mot « gouren » est apparenté au cornique « omgowel » et au gallois « ymguro ». Que signifient ces mots ?</v>
      </c>
      <c r="I59" s="6" t="str">
        <f>IFERROR(__xludf.DUMMYFUNCTION("GOOGLETRANSLATE(C59, ""en"", ""fr"")"),"A) Se battre, B) Danser, C) Se battre ou se frapper, D) Gagner")</f>
        <v>A) Se battre, B) Danser, C) Se battre ou se frapper, D) Gagner</v>
      </c>
      <c r="J59" s="6" t="str">
        <f>IFERROR(__xludf.DUMMYFUNCTION("GOOGLETRANSLATE(D59, ""en"", ""fr"")"),"C) Se battre ou se frapper l'un l'autre")</f>
        <v>C) Se battre ou se frapper l'un l'autre</v>
      </c>
      <c r="K59" s="6" t="str">
        <f>IFERROR(__xludf.DUMMYFUNCTION("GOOGLETRANSLATE(E59, ""en"", ""fr"")"),"Le lien linguistique entre ces langues celtiques témoigne de l'origine ancienne et commune de leurs traditions de lutte.")</f>
        <v>Le lien linguistique entre ces langues celtiques témoigne de l'origine ancienne et commune de leurs traditions de lutte.</v>
      </c>
    </row>
    <row r="60" ht="22.5" customHeight="1">
      <c r="A60" s="4">
        <v>59.0</v>
      </c>
      <c r="B60" s="5" t="s">
        <v>1882</v>
      </c>
      <c r="C60" s="5" t="s">
        <v>1883</v>
      </c>
      <c r="D60" s="5" t="s">
        <v>1884</v>
      </c>
      <c r="E60" s="5" t="s">
        <v>1885</v>
      </c>
      <c r="G60" s="6" t="str">
        <f>IFERROR(__xludf.DUMMYFUNCTION("GOOGLETRANSLATE(A60, ""en"", ""fr"")"),"59")</f>
        <v>59</v>
      </c>
      <c r="H60" s="6" t="str">
        <f>IFERROR(__xludf.DUMMYFUNCTION("GOOGLETRANSLATE(B60, ""en"", ""fr"")"),"Quelle est la signification historique de l'inclusion des « sports athlétiques » dans la FALSAB ?")</f>
        <v>Quelle est la signification historique de l'inclusion des « sports athlétiques » dans la FALSAB ?</v>
      </c>
      <c r="I60" s="6" t="str">
        <f>IFERROR(__xludf.DUMMYFUNCTION("GOOGLETRANSLATE(C60, ""en"", ""fr"")"),"A) Cela montre qu'ils ne se concentraient pas uniquement sur la lutte, B) C'était une tentative de créer une version bretonne des Jeux olympiques, C) C'était un moyen d'obtenir plus de financement, D) C'était une erreur")</f>
        <v>A) Cela montre qu'ils ne se concentraient pas uniquement sur la lutte, B) C'était une tentative de créer une version bretonne des Jeux olympiques, C) C'était un moyen d'obtenir plus de financement, D) C'était une erreur</v>
      </c>
      <c r="J60" s="6" t="str">
        <f>IFERROR(__xludf.DUMMYFUNCTION("GOOGLETRANSLATE(D60, ""en"", ""fr"")"),"B) C'était une tentative de créer une version bretonne des Jeux olympiques")</f>
        <v>B) C'était une tentative de créer une version bretonne des Jeux olympiques</v>
      </c>
      <c r="K60" s="6" t="str">
        <f>IFERROR(__xludf.DUMMYFUNCTION("GOOGLETRANSLATE(E60, ""en"", ""fr"")"),"L’objectif de la fédération était de préserver tous les sports traditionnels bretons, de la lutte aux jeux de force et d’adresse uniques.")</f>
        <v>L’objectif de la fédération était de préserver tous les sports traditionnels bretons, de la lutte aux jeux de force et d’adresse uniques.</v>
      </c>
    </row>
    <row r="61" ht="22.5" customHeight="1">
      <c r="A61" s="4">
        <v>60.0</v>
      </c>
      <c r="B61" s="5" t="s">
        <v>1886</v>
      </c>
      <c r="C61" s="5" t="s">
        <v>1887</v>
      </c>
      <c r="D61" s="5" t="s">
        <v>1888</v>
      </c>
      <c r="E61" s="5" t="s">
        <v>1889</v>
      </c>
      <c r="G61" s="6" t="str">
        <f>IFERROR(__xludf.DUMMYFUNCTION("GOOGLETRANSLATE(A61, ""en"", ""fr"")"),"60")</f>
        <v>60</v>
      </c>
      <c r="H61" s="6" t="str">
        <f>IFERROR(__xludf.DUMMYFUNCTION("GOOGLETRANSLATE(B61, ""en"", ""fr"")"),"Dans un tableau du XIXe siècle, on voit souvent un musicien jouer d'un instrument traditionnel. Lequel ?")</f>
        <v>Dans un tableau du XIXe siècle, on voit souvent un musicien jouer d'un instrument traditionnel. Lequel ?</v>
      </c>
      <c r="I61" s="6" t="str">
        <f>IFERROR(__xludf.DUMMYFUNCTION("GOOGLETRANSLATE(C61, ""en"", ""fr"")"),"A) Un violon, B) Une flûte, C) Un accordéon, D) Un biniou (cornemuse bretonne) ou une bombarde (hautbois)")</f>
        <v>A) Un violon, B) Une flûte, C) Un accordéon, D) Un biniou (cornemuse bretonne) ou une bombarde (hautbois)</v>
      </c>
      <c r="J61" s="6" t="str">
        <f>IFERROR(__xludf.DUMMYFUNCTION("GOOGLETRANSLATE(D61, ""en"", ""fr"")"),"D) Un biniou (cornemuse bretonne) ou une bombarde (hautbois)")</f>
        <v>D) Un biniou (cornemuse bretonne) ou une bombarde (hautbois)</v>
      </c>
      <c r="K61" s="6" t="str">
        <f>IFERROR(__xludf.DUMMYFUNCTION("GOOGLETRANSLATE(E61, ""en"", ""fr"")"),"La musique traditionnelle bretonne, jouée au biniou et à la bombarde, était un élément essentiel de l'atmosphère festive des tournois.")</f>
        <v>La musique traditionnelle bretonne, jouée au biniou et à la bombarde, était un élément essentiel de l'atmosphère festive des tournois.</v>
      </c>
    </row>
    <row r="62" ht="22.5" customHeight="1">
      <c r="A62" s="4">
        <v>61.0</v>
      </c>
      <c r="B62" s="5" t="s">
        <v>1890</v>
      </c>
      <c r="C62" s="5" t="s">
        <v>1891</v>
      </c>
      <c r="D62" s="5" t="s">
        <v>1892</v>
      </c>
      <c r="E62" s="5" t="s">
        <v>1893</v>
      </c>
      <c r="G62" s="6" t="str">
        <f>IFERROR(__xludf.DUMMYFUNCTION("GOOGLETRANSLATE(A62, ""en"", ""fr"")"),"61")</f>
        <v>61</v>
      </c>
      <c r="H62" s="6" t="str">
        <f>IFERROR(__xludf.DUMMYFUNCTION("GOOGLETRANSLATE(B62, ""en"", ""fr"")"),"Comment s'appelle le lancer parfait à Gouren qui permet de gagner instantanément ?")</f>
        <v>Comment s'appelle le lancer parfait à Gouren qui permet de gagner instantanément ?</v>
      </c>
      <c r="I62" s="6" t="str">
        <f>IFERROR(__xludf.DUMMYFUNCTION("GOOGLETRANSLATE(C62, ""en"", ""fr"")"),"A) Le Lamm, B) Le Kostin, C) Le Dornad, D) Le Bretz")</f>
        <v>A) Le Lamm, B) Le Kostin, C) Le Dornad, D) Le Bretz</v>
      </c>
      <c r="J62" s="6" t="str">
        <f>IFERROR(__xludf.DUMMYFUNCTION("GOOGLETRANSLATE(D62, ""en"", ""fr"")"),"A) Le Lamm")</f>
        <v>A) Le Lamm</v>
      </c>
      <c r="K62" s="6" t="str">
        <f>IFERROR(__xludf.DUMMYFUNCTION("GOOGLETRANSLATE(E62, ""en"", ""fr"")"),"Le lamm est l'objectif ultime, où un adversaire est projeté de telle sorte que ses deux omoplates touchent le sol simultanément.")</f>
        <v>Le lamm est l'objectif ultime, où un adversaire est projeté de telle sorte que ses deux omoplates touchent le sol simultanément.</v>
      </c>
    </row>
    <row r="63" ht="22.5" customHeight="1">
      <c r="A63" s="4">
        <v>62.0</v>
      </c>
      <c r="B63" s="5" t="s">
        <v>1894</v>
      </c>
      <c r="C63" s="5" t="s">
        <v>1895</v>
      </c>
      <c r="D63" s="5" t="s">
        <v>1896</v>
      </c>
      <c r="E63" s="5" t="s">
        <v>1897</v>
      </c>
      <c r="G63" s="6" t="str">
        <f>IFERROR(__xludf.DUMMYFUNCTION("GOOGLETRANSLATE(A63, ""en"", ""fr"")"),"62")</f>
        <v>62</v>
      </c>
      <c r="H63" s="6" t="str">
        <f>IFERROR(__xludf.DUMMYFUNCTION("GOOGLETRANSLATE(B63, ""en"", ""fr"")"),"Avant la création de la fédération moderne, comment les litiges survenant pendant un match étaient-ils généralement résolus ?")</f>
        <v>Avant la création de la fédération moderne, comment les litiges survenant pendant un match étaient-ils généralement résolus ?</v>
      </c>
      <c r="I63" s="6" t="str">
        <f>IFERROR(__xludf.DUMMYFUNCTION("GOOGLETRANSLATE(C63, ""en"", ""fr"")"),"A) Par un tirage à pile ou face, B) Par les lutteurs eux-mêmes, C) Par décision des anciens ou des nobles locaux respectés, D) Le combat s'arrêterait tout simplement")</f>
        <v>A) Par un tirage à pile ou face, B) Par les lutteurs eux-mêmes, C) Par décision des anciens ou des nobles locaux respectés, D) Le combat s'arrêterait tout simplement</v>
      </c>
      <c r="J63" s="6" t="str">
        <f>IFERROR(__xludf.DUMMYFUNCTION("GOOGLETRANSLATE(D63, ""en"", ""fr"")"),"C) Par décision des anciens ou des nobles locaux respectés")</f>
        <v>C) Par décision des anciens ou des nobles locaux respectés</v>
      </c>
      <c r="K63" s="6" t="str">
        <f>IFERROR(__xludf.DUMMYFUNCTION("GOOGLETRANSLATE(E63, ""en"", ""fr"")"),"En l'absence d'arbitres officiels, le jugement de personnalités respectées de la communauté a été considéré comme définitif.")</f>
        <v>En l'absence d'arbitres officiels, le jugement de personnalités respectées de la communauté a été considéré comme définitif.</v>
      </c>
    </row>
    <row r="64" ht="22.5" customHeight="1">
      <c r="A64" s="4">
        <v>63.0</v>
      </c>
      <c r="B64" s="5" t="s">
        <v>1898</v>
      </c>
      <c r="C64" s="5" t="s">
        <v>1899</v>
      </c>
      <c r="D64" s="5" t="s">
        <v>1900</v>
      </c>
      <c r="E64" s="5" t="s">
        <v>1901</v>
      </c>
      <c r="G64" s="6" t="str">
        <f>IFERROR(__xludf.DUMMYFUNCTION("GOOGLETRANSLATE(A64, ""en"", ""fr"")"),"63")</f>
        <v>63</v>
      </c>
      <c r="H64" s="6" t="str">
        <f>IFERROR(__xludf.DUMMYFUNCTION("GOOGLETRANSLATE(B64, ""en"", ""fr"")"),"La création de la Fédération internationale de lutte celtique (FILC) a constitué une étape majeure dans la reconnaissance de quoi ?")</f>
        <v>La création de la Fédération internationale de lutte celtique (FILC) a constitué une étape majeure dans la reconnaissance de quoi ?</v>
      </c>
      <c r="I64" s="6" t="str">
        <f>IFERROR(__xludf.DUMMYFUNCTION("GOOGLETRANSLATE(C64, ""en"", ""fr"")"),"A) Que le Gouren soit le meilleur style de lutte, B) L'héritage culturel commun des styles de lutte dans les nations celtiques, C) Le besoin d'une ligue professionnelle, D) Le potentiel olympique de ce sport")</f>
        <v>A) Que le Gouren soit le meilleur style de lutte, B) L'héritage culturel commun des styles de lutte dans les nations celtiques, C) Le besoin d'une ligue professionnelle, D) Le potentiel olympique de ce sport</v>
      </c>
      <c r="J64" s="6" t="str">
        <f>IFERROR(__xludf.DUMMYFUNCTION("GOOGLETRANSLATE(D64, ""en"", ""fr"")"),"B) Le patrimoine culturel commun des styles de lutte à travers les nations celtiques")</f>
        <v>B) Le patrimoine culturel commun des styles de lutte à travers les nations celtiques</v>
      </c>
      <c r="K64" s="6" t="str">
        <f>IFERROR(__xludf.DUMMYFUNCTION("GOOGLETRANSLATE(E64, ""en"", ""fr"")"),"La FILC a été fondée sur le principe que les traditions de lutte de Bretagne, de Cornouailles, d'Écosse et d'Irlande proviennent toutes d'une racine ancienne commune.")</f>
        <v>La FILC a été fondée sur le principe que les traditions de lutte de Bretagne, de Cornouailles, d'Écosse et d'Irlande proviennent toutes d'une racine ancienne commune.</v>
      </c>
    </row>
    <row r="65" ht="22.5" customHeight="1">
      <c r="A65" s="4">
        <v>64.0</v>
      </c>
      <c r="B65" s="5" t="s">
        <v>1902</v>
      </c>
      <c r="C65" s="5" t="s">
        <v>1903</v>
      </c>
      <c r="D65" s="5" t="s">
        <v>1904</v>
      </c>
      <c r="E65" s="5" t="s">
        <v>1905</v>
      </c>
      <c r="G65" s="6" t="str">
        <f>IFERROR(__xludf.DUMMYFUNCTION("GOOGLETRANSLATE(A65, ""en"", ""fr"")"),"64")</f>
        <v>64</v>
      </c>
      <c r="H65" s="6" t="str">
        <f>IFERROR(__xludf.DUMMYFUNCTION("GOOGLETRANSLATE(B65, ""en"", ""fr"")"),"Quelle est la principale différence entre le Gouren et le Sumo japonais ?")</f>
        <v>Quelle est la principale différence entre le Gouren et le Sumo japonais ?</v>
      </c>
      <c r="I65" s="6" t="str">
        <f>IFERROR(__xludf.DUMMYFUNCTION("GOOGLETRANSLATE(C65, ""en"", ""fr"")"),"A) Les lutteurs de gouren portent une veste pour les prises, tandis que les lutteurs de sumo portent un pagne. B) Le sumo est plus ancien que le gouren. C) Le gouren implique des frappes. D) Le sumo est un sport d'équipe.")</f>
        <v>A) Les lutteurs de gouren portent une veste pour les prises, tandis que les lutteurs de sumo portent un pagne. B) Le sumo est plus ancien que le gouren. C) Le gouren implique des frappes. D) Le sumo est un sport d'équipe.</v>
      </c>
      <c r="J65" s="6" t="str">
        <f>IFERROR(__xludf.DUMMYFUNCTION("GOOGLETRANSLATE(D65, ""en"", ""fr"")"),"A) Les lutteurs de gouren portent une veste pour la prise, tandis que les lutteurs de sumo portent un pagne.")</f>
        <v>A) Les lutteurs de gouren portent une veste pour la prise, tandis que les lutteurs de sumo portent un pagne.</v>
      </c>
      <c r="K65" s="6" t="str">
        <f>IFERROR(__xludf.DUMMYFUNCTION("GOOGLETRANSLATE(E65, ""en"", ""fr"")"),"C'est là la différence fondamentale. Le gouren est un style de lutte avec veste, tandis que le sumo est un style de lutte avec ceinture.")</f>
        <v>C'est là la différence fondamentale. Le gouren est un style de lutte avec veste, tandis que le sumo est un style de lutte avec ceinture.</v>
      </c>
    </row>
    <row r="66" ht="22.5" customHeight="1">
      <c r="A66" s="4">
        <v>65.0</v>
      </c>
      <c r="B66" s="5" t="s">
        <v>1906</v>
      </c>
      <c r="C66" s="5" t="s">
        <v>1907</v>
      </c>
      <c r="D66" s="5" t="s">
        <v>1908</v>
      </c>
      <c r="E66" s="5" t="s">
        <v>1909</v>
      </c>
      <c r="G66" s="6" t="str">
        <f>IFERROR(__xludf.DUMMYFUNCTION("GOOGLETRANSLATE(A66, ""en"", ""fr"")"),"65")</f>
        <v>65</v>
      </c>
      <c r="H66" s="6" t="str">
        <f>IFERROR(__xludf.DUMMYFUNCTION("GOOGLETRANSLATE(B66, ""en"", ""fr"")"),"Les récits du XIXe siècle décrivant de longs et épuisants combats où les chemises étaient déchirées nous laissent perplexes quant à l'ancien style.")</f>
        <v>Les récits du XIXe siècle décrivant de longs et épuisants combats où les chemises étaient déchirées nous laissent perplexes quant à l'ancien style.</v>
      </c>
      <c r="I66" s="6" t="str">
        <f>IFERROR(__xludf.DUMMYFUNCTION("GOOGLETRANSLATE(C66, ""en"", ""fr"")"),"A) Les lutteurs n'étaient pas très habiles, B) C'était une épreuve d'endurance et de force pures, avec moins de règles techniques, C) Les maillots étaient de mauvaise qualité, D) Les combats étaient plus violents")</f>
        <v>A) Les lutteurs n'étaient pas très habiles, B) C'était une épreuve d'endurance et de force pures, avec moins de règles techniques, C) Les maillots étaient de mauvaise qualité, D) Les combats étaient plus violents</v>
      </c>
      <c r="J66" s="6" t="str">
        <f>IFERROR(__xludf.DUMMYFUNCTION("GOOGLETRANSLATE(D66, ""en"", ""fr"")"),"B) C'était une épreuve d'endurance et de force pures, avec moins de règles techniques.")</f>
        <v>B) C'était une épreuve d'endurance et de force pures, avec moins de règles techniques.</v>
      </c>
      <c r="K66" s="6" t="str">
        <f>IFERROR(__xludf.DUMMYFUNCTION("GOOGLETRANSLATE(E66, ""en"", ""fr"")"),"La forme pré-moderne du Gouren était probablement une compétition beaucoup plus acharnée et basée sur la force que le sport moderne et technique.")</f>
        <v>La forme pré-moderne du Gouren était probablement une compétition beaucoup plus acharnée et basée sur la force que le sport moderne et technique.</v>
      </c>
    </row>
    <row r="67" ht="22.5" customHeight="1">
      <c r="A67" s="4">
        <v>66.0</v>
      </c>
      <c r="B67" s="5" t="s">
        <v>1910</v>
      </c>
      <c r="C67" s="5" t="s">
        <v>1911</v>
      </c>
      <c r="D67" s="5" t="s">
        <v>1912</v>
      </c>
      <c r="E67" s="5" t="s">
        <v>1913</v>
      </c>
      <c r="G67" s="6" t="str">
        <f>IFERROR(__xludf.DUMMYFUNCTION("GOOGLETRANSLATE(A67, ""en"", ""fr"")"),"66")</f>
        <v>66</v>
      </c>
      <c r="H67" s="6" t="str">
        <f>IFERROR(__xludf.DUMMYFUNCTION("GOOGLETRANSLATE(B67, ""en"", ""fr"")"),"Quelle est la signification de la dornade, cette poignée de main où les lutteurs entrelacent leurs doigts ?")</f>
        <v>Quelle est la signification de la dornade, cette poignée de main où les lutteurs entrelacent leurs doigts ?</v>
      </c>
      <c r="I67" s="6" t="str">
        <f>IFERROR(__xludf.DUMMYFUNCTION("GOOGLETRANSLATE(C67, ""en"", ""fr"")"),"A) C'est un code secret, B) C'est un test de force de préhension, C) Cela symbolise le lien et le respect mutuel entre les lutteurs, D) C'est ainsi que l'arbitre commence le match")</f>
        <v>A) C'est un code secret, B) C'est un test de force de préhension, C) Cela symbolise le lien et le respect mutuel entre les lutteurs, D) C'est ainsi que l'arbitre commence le match</v>
      </c>
      <c r="J67" s="6" t="str">
        <f>IFERROR(__xludf.DUMMYFUNCTION("GOOGLETRANSLATE(D67, ""en"", ""fr"")"),"C) Il symbolise le lien et le respect mutuel entre les lutteurs.")</f>
        <v>C) Il symbolise le lien et le respect mutuel entre les lutteurs.</v>
      </c>
      <c r="K67" s="6" t="str">
        <f>IFERROR(__xludf.DUMMYFUNCTION("GOOGLETRANSLATE(E67, ""en"", ""fr"")"),"Cette poignée de main unique est un symbole puissant de la fraternité et de l'honneur qui sont au cœur de la philosophie de ce sport.")</f>
        <v>Cette poignée de main unique est un symbole puissant de la fraternité et de l'honneur qui sont au cœur de la philosophie de ce sport.</v>
      </c>
    </row>
    <row r="68" ht="22.5" customHeight="1">
      <c r="A68" s="4">
        <v>67.0</v>
      </c>
      <c r="B68" s="5" t="s">
        <v>1914</v>
      </c>
      <c r="C68" s="5" t="s">
        <v>1915</v>
      </c>
      <c r="D68" s="5" t="s">
        <v>1916</v>
      </c>
      <c r="E68" s="5" t="s">
        <v>1917</v>
      </c>
      <c r="G68" s="6" t="str">
        <f>IFERROR(__xludf.DUMMYFUNCTION("GOOGLETRANSLATE(A68, ""en"", ""fr"")"),"67")</f>
        <v>67</v>
      </c>
      <c r="H68" s="6" t="str">
        <f>IFERROR(__xludf.DUMMYFUNCTION("GOOGLETRANSLATE(B68, ""en"", ""fr"")"),"Pourquoi l'Église catholique de Bretagne soutenait-elle souvent les tournois de Gouren lors des fêtes de la chapelle (pardons) ?")</f>
        <v>Pourquoi l'Église catholique de Bretagne soutenait-elle souvent les tournois de Gouren lors des fêtes de la chapelle (pardons) ?</v>
      </c>
      <c r="I68" s="6" t="str">
        <f>IFERROR(__xludf.DUMMYFUNCTION("GOOGLETRANSLATE(C68, ""en"", ""fr"")"),"A) C'était un moyen d'attirer une foule nombreuse au festival. B) Les lutteurs faisaient don de leurs prix à l'église. C) Les prêtres étaient souvent les arbitres. D) C'était considéré comme une activité sacrée.")</f>
        <v>A) C'était un moyen d'attirer une foule nombreuse au festival. B) Les lutteurs faisaient don de leurs prix à l'église. C) Les prêtres étaient souvent les arbitres. D) C'était considéré comme une activité sacrée.</v>
      </c>
      <c r="J68" s="6" t="str">
        <f>IFERROR(__xludf.DUMMYFUNCTION("GOOGLETRANSLATE(D68, ""en"", ""fr"")"),"A) C'était un moyen d'attirer une foule nombreuse au festival")</f>
        <v>A) C'était un moyen d'attirer une foule nombreuse au festival</v>
      </c>
      <c r="K68" s="6" t="str">
        <f>IFERROR(__xludf.DUMMYFUNCTION("GOOGLETRANSLATE(E68, ""en"", ""fr"")"),"Le combat de lutte était l'événement principal et attirait énormément de monde, ce qui, en retour, soutenait la fête religieuse.")</f>
        <v>Le combat de lutte était l'événement principal et attirait énormément de monde, ce qui, en retour, soutenait la fête religieuse.</v>
      </c>
    </row>
    <row r="69" ht="22.5" customHeight="1">
      <c r="A69" s="4">
        <v>68.0</v>
      </c>
      <c r="B69" s="5" t="s">
        <v>1918</v>
      </c>
      <c r="C69" s="5" t="s">
        <v>1919</v>
      </c>
      <c r="D69" s="5" t="s">
        <v>1920</v>
      </c>
      <c r="E69" s="5" t="s">
        <v>1921</v>
      </c>
      <c r="G69" s="6" t="str">
        <f>IFERROR(__xludf.DUMMYFUNCTION("GOOGLETRANSLATE(A69, ""en"", ""fr"")"),"68")</f>
        <v>68</v>
      </c>
      <c r="H69" s="6" t="str">
        <f>IFERROR(__xludf.DUMMYFUNCTION("GOOGLETRANSLATE(B69, ""en"", ""fr"")"),"Quelle est l'origine historique de la chemise blanche (roched) et du pantalon noir (bragou) des lutteurs ?")</f>
        <v>Quelle est l'origine historique de la chemise blanche (roched) et du pantalon noir (bragou) des lutteurs ?</v>
      </c>
      <c r="I69" s="6" t="str">
        <f>IFERROR(__xludf.DUMMYFUNCTION("GOOGLETRANSLATE(C69, ""en"", ""fr"")"),"A) C'était un uniforme officiel conçu au XXe siècle. B) C'était le vêtement de travail traditionnel des paysans bretons du XIXe siècle. C) Il symbolise les couleurs du drapeau breton. D) Il s'inspirait des arts martiaux japonais.")</f>
        <v>A) C'était un uniforme officiel conçu au XXe siècle. B) C'était le vêtement de travail traditionnel des paysans bretons du XIXe siècle. C) Il symbolise les couleurs du drapeau breton. D) Il s'inspirait des arts martiaux japonais.</v>
      </c>
      <c r="J69" s="6" t="str">
        <f>IFERROR(__xludf.DUMMYFUNCTION("GOOGLETRANSLATE(D69, ""en"", ""fr"")"),"B) C'était le vêtement de travail traditionnel des paysans bretons du XIXe siècle.")</f>
        <v>B) C'était le vêtement de travail traditionnel des paysans bretons du XIXe siècle.</v>
      </c>
      <c r="K69" s="6" t="str">
        <f>IFERROR(__xludf.DUMMYFUNCTION("GOOGLETRANSLATE(E69, ""en"", ""fr"")"),"L'uniforme moderne est une version stylisée de la tenue quotidienne portée par les agriculteurs et les ouvriers qui pratiquaient ce sport au XIXe siècle.")</f>
        <v>L'uniforme moderne est une version stylisée de la tenue quotidienne portée par les agriculteurs et les ouvriers qui pratiquaient ce sport au XIXe siècle.</v>
      </c>
    </row>
    <row r="70" ht="22.5" customHeight="1">
      <c r="A70" s="4">
        <v>69.0</v>
      </c>
      <c r="B70" s="5" t="s">
        <v>1922</v>
      </c>
      <c r="C70" s="5" t="s">
        <v>1923</v>
      </c>
      <c r="D70" s="5" t="s">
        <v>1924</v>
      </c>
      <c r="E70" s="5" t="s">
        <v>1925</v>
      </c>
      <c r="G70" s="6" t="str">
        <f>IFERROR(__xludf.DUMMYFUNCTION("GOOGLETRANSLATE(A70, ""en"", ""fr"")"),"69")</f>
        <v>69</v>
      </c>
      <c r="H70" s="6" t="str">
        <f>IFERROR(__xludf.DUMMYFUNCTION("GOOGLETRANSLATE(B70, ""en"", ""fr"")"),"Dans la FILC, quel est le style de lutte de quel pays connu sous le nom de Back-hold ?")</f>
        <v>Dans la FILC, quel est le style de lutte de quel pays connu sous le nom de Back-hold ?</v>
      </c>
      <c r="I70" s="6" t="str">
        <f>IFERROR(__xludf.DUMMYFUNCTION("GOOGLETRANSLATE(C70, ""en"", ""fr"")"),"A) Irlande, B) Bretagne, C) Cornouailles, D) Écosse")</f>
        <v>A) Irlande, B) Bretagne, C) Cornouailles, D) Écosse</v>
      </c>
      <c r="J70" s="6" t="str">
        <f>IFERROR(__xludf.DUMMYFUNCTION("GOOGLETRANSLATE(D70, ""en"", ""fr"")"),"D) Écosse")</f>
        <v>D) Écosse</v>
      </c>
      <c r="K70" s="6" t="str">
        <f>IFERROR(__xludf.DUMMYFUNCTION("GOOGLETRANSLATE(E70, ""en"", ""fr"")"),"La lutte écossaise en prise dorsale est un autre style celtique, connu pour sa prise de départ distinctive.")</f>
        <v>La lutte écossaise en prise dorsale est un autre style celtique, connu pour sa prise de départ distinctive.</v>
      </c>
    </row>
    <row r="71" ht="22.5" customHeight="1">
      <c r="A71" s="4">
        <v>70.0</v>
      </c>
      <c r="B71" s="5" t="s">
        <v>1926</v>
      </c>
      <c r="C71" s="5" t="s">
        <v>1927</v>
      </c>
      <c r="D71" s="5" t="s">
        <v>1928</v>
      </c>
      <c r="E71" s="5" t="s">
        <v>1929</v>
      </c>
      <c r="G71" s="6" t="str">
        <f>IFERROR(__xludf.DUMMYFUNCTION("GOOGLETRANSLATE(A71, ""en"", ""fr"")"),"70")</f>
        <v>70</v>
      </c>
      <c r="H71" s="6" t="str">
        <f>IFERROR(__xludf.DUMMYFUNCTION("GOOGLETRANSLATE(B71, ""en"", ""fr"")"),"Quelle fut la principale raison du déclin de Gouren à la fin du XIXe siècle ?")</f>
        <v>Quelle fut la principale raison du déclin de Gouren à la fin du XIXe siècle ?</v>
      </c>
      <c r="I71" s="6" t="str">
        <f>IFERROR(__xludf.DUMMYFUNCTION("GOOGLETRANSLATE(C71, ""en"", ""fr"")"),"A) Son interdiction, B) L'essor d'autres sports plus « modernes » et le déclin général des traditions bretonnes, C) Le manque de lutteurs de haut niveau, D) Les prix n'étaient pas assez intéressants.")</f>
        <v>A) Son interdiction, B) L'essor d'autres sports plus « modernes » et le déclin général des traditions bretonnes, C) Le manque de lutteurs de haut niveau, D) Les prix n'étaient pas assez intéressants.</v>
      </c>
      <c r="J71" s="6" t="str">
        <f>IFERROR(__xludf.DUMMYFUNCTION("GOOGLETRANSLATE(D71, ""en"", ""fr"")"),"B) L'essor d'autres sports, plus « modernes », et un déclin général des traditions bretonnes")</f>
        <v>B) L'essor d'autres sports, plus « modernes », et un déclin général des traditions bretonnes</v>
      </c>
      <c r="K71" s="6" t="str">
        <f>IFERROR(__xludf.DUMMYFUNCTION("GOOGLETRANSLATE(E71, ""en"", ""fr"")"),"Les bouleversements culturels de la fin du XIXe siècle, notamment l'introduction de sports comme le football et le cyclisme, ont menacé la survie de nombreuses traditions folkloriques locales.")</f>
        <v>Les bouleversements culturels de la fin du XIXe siècle, notamment l'introduction de sports comme le football et le cyclisme, ont menacé la survie de nombreuses traditions folkloriques locales.</v>
      </c>
    </row>
    <row r="72" ht="22.5" customHeight="1">
      <c r="A72" s="4">
        <v>71.0</v>
      </c>
      <c r="B72" s="5" t="s">
        <v>1930</v>
      </c>
      <c r="C72" s="5" t="s">
        <v>1931</v>
      </c>
      <c r="D72" s="5" t="s">
        <v>1932</v>
      </c>
      <c r="E72" s="5" t="s">
        <v>1933</v>
      </c>
      <c r="G72" s="6" t="str">
        <f>IFERROR(__xludf.DUMMYFUNCTION("GOOGLETRANSLATE(A72, ""en"", ""fr"")"),"71")</f>
        <v>71</v>
      </c>
      <c r="H72" s="6" t="str">
        <f>IFERROR(__xludf.DUMMYFUNCTION("GOOGLETRANSLATE(B72, ""en"", ""fr"")"),"Laquelle de ces techniques est un « kliked », un lancer clé à Gouren ?")</f>
        <v>Laquelle de ces techniques est un « kliked », un lancer clé à Gouren ?</v>
      </c>
      <c r="I72" s="6" t="str">
        <f>IFERROR(__xludf.DUMMYFUNCTION("GOOGLETRANSLATE(C72, ""en"", ""fr"")"),"A) Un lancer avec les hanches, B) Un balayage de jambes, C) Un lancer roulé ou enroulé, D) Un lancer par les épaules")</f>
        <v>A) Un lancer avec les hanches, B) Un balayage de jambes, C) Un lancer roulé ou enroulé, D) Un lancer par les épaules</v>
      </c>
      <c r="J72" s="6" t="str">
        <f>IFERROR(__xludf.DUMMYFUNCTION("GOOGLETRANSLATE(D72, ""en"", ""fr"")"),"C) Un jet roulant ou sinueux")</f>
        <v>C) Un jet roulant ou sinueux</v>
      </c>
      <c r="K72" s="6" t="str">
        <f>IFERROR(__xludf.DUMMYFUNCTION("GOOGLETRANSLATE(E72, ""en"", ""fr"")"),"Le kliked est une projection caractéristique et puissante du Gouren qui consiste en un mouvement enroulé pour déséquilibrer et projeter l'adversaire.")</f>
        <v>Le kliked est une projection caractéristique et puissante du Gouren qui consiste en un mouvement enroulé pour déséquilibrer et projeter l'adversaire.</v>
      </c>
    </row>
    <row r="73" ht="22.5" customHeight="1">
      <c r="A73" s="4">
        <v>72.0</v>
      </c>
      <c r="B73" s="5" t="s">
        <v>1934</v>
      </c>
      <c r="C73" s="5" t="s">
        <v>1935</v>
      </c>
      <c r="D73" s="5" t="s">
        <v>1936</v>
      </c>
      <c r="E73" s="5" t="s">
        <v>1937</v>
      </c>
      <c r="G73" s="6" t="str">
        <f>IFERROR(__xludf.DUMMYFUNCTION("GOOGLETRANSLATE(A73, ""en"", ""fr"")"),"72")</f>
        <v>72</v>
      </c>
      <c r="H73" s="6" t="str">
        <f>IFERROR(__xludf.DUMMYFUNCTION("GOOGLETRANSLATE(B73, ""en"", ""fr"")"),"Les Championnats d'Europe de Gouren, organisés depuis 1991, sont le fruit des efforts de quelle organisation ?")</f>
        <v>Les Championnats d'Europe de Gouren, organisés depuis 1991, sont le fruit des efforts de quelle organisation ?</v>
      </c>
      <c r="I73" s="6" t="str">
        <f>IFERROR(__xludf.DUMMYFUNCTION("GOOGLETRANSLATE(C73, ""en"", ""fr"")"),"A) La Fédération française de lutte, B) Le Comité international olympique, C) La Fédération internationale de lutte celtique (FILC), D) L'Union européenne")</f>
        <v>A) La Fédération française de lutte, B) Le Comité international olympique, C) La Fédération internationale de lutte celtique (FILC), D) L'Union européenne</v>
      </c>
      <c r="J73" s="6" t="str">
        <f>IFERROR(__xludf.DUMMYFUNCTION("GOOGLETRANSLATE(D73, ""en"", ""fr"")"),"C) La Fédération internationale de lutte celtique (FILC)")</f>
        <v>C) La Fédération internationale de lutte celtique (FILC)</v>
      </c>
      <c r="K73" s="6" t="str">
        <f>IFERROR(__xludf.DUMMYFUNCTION("GOOGLETRANSLATE(E73, ""en"", ""fr"")"),"La FILC a été créée pour offrir une scène internationale aux différents styles de lutte celtique, y compris le Gouren.")</f>
        <v>La FILC a été créée pour offrir une scène internationale aux différents styles de lutte celtique, y compris le Gouren.</v>
      </c>
    </row>
    <row r="74" ht="22.5" customHeight="1">
      <c r="A74" s="4">
        <v>73.0</v>
      </c>
      <c r="B74" s="5" t="s">
        <v>1938</v>
      </c>
      <c r="C74" s="5" t="s">
        <v>1939</v>
      </c>
      <c r="D74" s="5" t="s">
        <v>1940</v>
      </c>
      <c r="E74" s="5" t="s">
        <v>1941</v>
      </c>
      <c r="G74" s="6" t="str">
        <f>IFERROR(__xludf.DUMMYFUNCTION("GOOGLETRANSLATE(A74, ""en"", ""fr"")"),"73")</f>
        <v>73</v>
      </c>
      <c r="H74" s="6" t="str">
        <f>IFERROR(__xludf.DUMMYFUNCTION("GOOGLETRANSLATE(B74, ""en"", ""fr"")"),"Que signifie le serment du lutteur : « … en gage d’amitié, sous le contrôle de mon jugement… » ?")</f>
        <v>Que signifie le serment du lutteur : « … en gage d’amitié, sous le contrôle de mon jugement… » ?</v>
      </c>
      <c r="I74" s="6" t="str">
        <f>IFERROR(__xludf.DUMMYFUNCTION("GOOGLETRANSLATE(C74, ""en"", ""fr"")"),"A) Que le lutteur doit être ami avec son adversaire, B) Que le combat est une épreuve d'habileté, et non une bagarre, et qu'il doit être mené avec maîtrise de soi, C) Que les juges contrôlent le combat, D) Que les lutteurs seront jugés sur leur amitié")</f>
        <v>A) Que le lutteur doit être ami avec son adversaire, B) Que le combat est une épreuve d'habileté, et non une bagarre, et qu'il doit être mené avec maîtrise de soi, C) Que les juges contrôlent le combat, D) Que les lutteurs seront jugés sur leur amitié</v>
      </c>
      <c r="J74" s="6" t="str">
        <f>IFERROR(__xludf.DUMMYFUNCTION("GOOGLETRANSLATE(D74, ""en"", ""fr"")"),"B) Que le combat est une épreuve d'habileté, et non une bagarre, et qu'il doit être mené avec maîtrise de soi.")</f>
        <v>B) Que le combat est une épreuve d'habileté, et non une bagarre, et qu'il doit être mené avec maîtrise de soi.</v>
      </c>
      <c r="K74" s="6" t="str">
        <f>IFERROR(__xludf.DUMMYFUNCTION("GOOGLETRANSLATE(E74, ""en"", ""fr"")"),"Cette partie du serment renforce le principe fondamental selon lequel le Gouren est un art martial qui exige discipline et contrôle, et non pas seulement de l'agression.")</f>
        <v>Cette partie du serment renforce le principe fondamental selon lequel le Gouren est un art martial qui exige discipline et contrôle, et non pas seulement de l'agression.</v>
      </c>
    </row>
    <row r="75" ht="22.5" customHeight="1">
      <c r="A75" s="4">
        <v>74.0</v>
      </c>
      <c r="B75" s="5" t="s">
        <v>1942</v>
      </c>
      <c r="C75" s="5" t="s">
        <v>1943</v>
      </c>
      <c r="D75" s="5" t="s">
        <v>1944</v>
      </c>
      <c r="E75" s="5" t="s">
        <v>1945</v>
      </c>
      <c r="G75" s="6" t="str">
        <f>IFERROR(__xludf.DUMMYFUNCTION("GOOGLETRANSLATE(A75, ""en"", ""fr"")"),"74")</f>
        <v>74</v>
      </c>
      <c r="H75" s="6" t="str">
        <f>IFERROR(__xludf.DUMMYFUNCTION("GOOGLETRANSLATE(B75, ""en"", ""fr"")"),"Quelle est la principale raison historique pour laquelle le Gouren est une forme de lutte qui se pratique uniquement debout ?")</f>
        <v>Quelle est la principale raison historique pour laquelle le Gouren est une forme de lutte qui se pratique uniquement debout ?</v>
      </c>
      <c r="I75" s="6" t="str">
        <f>IFERROR(__xludf.DUMMYFUNCTION("GOOGLETRANSLATE(C75, ""en"", ""fr"")"),"A) Le terrain était trop sale. B) Cette pratique est issue de techniques militaires où tomber au combat était fatal. C) Le combat au sol était considéré comme déshonorant. D) Il s'agit d'une règle moderne de sécurité.")</f>
        <v>A) Le terrain était trop sale. B) Cette pratique est issue de techniques militaires où tomber au combat était fatal. C) Le combat au sol était considéré comme déshonorant. D) Il s'agit d'une règle moderne de sécurité.</v>
      </c>
      <c r="J75" s="6" t="str">
        <f>IFERROR(__xludf.DUMMYFUNCTION("GOOGLETRANSLATE(D75, ""en"", ""fr"")"),"B) Elle est issue de techniques militaires où tomber au combat était fatal")</f>
        <v>B) Elle est issue de techniques militaires où tomber au combat était fatal</v>
      </c>
      <c r="K75" s="6" t="str">
        <f>IFERROR(__xludf.DUMMYFUNCTION("GOOGLETRANSLATE(E75, ""en"", ""fr"")"),"En situation de combat réelle, être mis au sol était extrêmement dangereux. L'objectif était de projeter l'adversaire au sol et de rester debout, prêt à poursuivre le combat.")</f>
        <v>En situation de combat réelle, être mis au sol était extrêmement dangereux. L'objectif était de projeter l'adversaire au sol et de rester debout, prêt à poursuivre le combat.</v>
      </c>
    </row>
    <row r="76" ht="22.5" customHeight="1">
      <c r="A76" s="4">
        <v>75.0</v>
      </c>
      <c r="B76" s="5" t="s">
        <v>1946</v>
      </c>
      <c r="C76" s="5" t="s">
        <v>1947</v>
      </c>
      <c r="D76" s="5" t="s">
        <v>1948</v>
      </c>
      <c r="E76" s="5" t="s">
        <v>1949</v>
      </c>
      <c r="G76" s="6" t="str">
        <f>IFERROR(__xludf.DUMMYFUNCTION("GOOGLETRANSLATE(A76, ""en"", ""fr"")"),"75")</f>
        <v>75</v>
      </c>
      <c r="H76" s="6" t="str">
        <f>IFERROR(__xludf.DUMMYFUNCTION("GOOGLETRANSLATE(B76, ""en"", ""fr"")"),"Le tournoi de Quimperlé de 1928 fut un moment clé de la « renaissance » de Gouren. Que signifie « renaissance » dans ce contexte ?")</f>
        <v>Le tournoi de Quimperlé de 1928 fut un moment clé de la « renaissance » de Gouren. Que signifie « renaissance » dans ce contexte ?</v>
      </c>
      <c r="I76" s="6" t="str">
        <f>IFERROR(__xludf.DUMMYFUNCTION("GOOGLETRANSLATE(C76, ""en"", ""fr"")"),"A) L'invention du sport, B) La renaissance et le regain d'intérêt pour le sport, C) Le déclin final du sport, D) La professionnalisation du sport")</f>
        <v>A) L'invention du sport, B) La renaissance et le regain d'intérêt pour le sport, C) Le déclin final du sport, D) La professionnalisation du sport</v>
      </c>
      <c r="J76" s="6" t="str">
        <f>IFERROR(__xludf.DUMMYFUNCTION("GOOGLETRANSLATE(D76, ""en"", ""fr"")"),"B) La renaissance et le regain d'intérêt pour le sport")</f>
        <v>B) La renaissance et le regain d'intérêt pour le sport</v>
      </c>
      <c r="K76" s="6" t="str">
        <f>IFERROR(__xludf.DUMMYFUNCTION("GOOGLETRANSLATE(E76, ""en"", ""fr"")"),"Ce tournoi a marqué un tournant, une renaissance de l'intérêt du public et des organisations pour une tradition qui risquait de disparaître.")</f>
        <v>Ce tournoi a marqué un tournant, une renaissance de l'intérêt du public et des organisations pour une tradition qui risquait de disparaître.</v>
      </c>
    </row>
    <row r="77" ht="22.5" customHeight="1">
      <c r="A77" s="4">
        <v>76.0</v>
      </c>
      <c r="B77" s="5" t="s">
        <v>1950</v>
      </c>
      <c r="C77" s="5" t="s">
        <v>1951</v>
      </c>
      <c r="D77" s="5" t="s">
        <v>243</v>
      </c>
      <c r="E77" s="5" t="s">
        <v>1952</v>
      </c>
      <c r="G77" s="6" t="str">
        <f>IFERROR(__xludf.DUMMYFUNCTION("GOOGLETRANSLATE(A77, ""en"", ""fr"")"),"76")</f>
        <v>76</v>
      </c>
      <c r="H77" s="6" t="str">
        <f>IFERROR(__xludf.DUMMYFUNCTION("GOOGLETRANSLATE(B77, ""en"", ""fr"")"),"De quelle manière la formation médicale de Charles Cottonec a-t-elle influencé ses nouvelles règles ?")</f>
        <v>De quelle manière la formation médicale de Charles Cottonec a-t-elle influencé ses nouvelles règles ?</v>
      </c>
      <c r="I77" s="6" t="str">
        <f>IFERROR(__xludf.DUMMYFUNCTION("GOOGLETRANSLATE(C77, ""en"", ""fr"")"),"A) Il a rendu le sport plus violent, B) Il a introduit des règles et du matériel conçus pour améliorer la sécurité et réduire les blessures, C) Il a exigé que tous les lutteurs subissent un examen médical, D) B et C")</f>
        <v>A) Il a rendu le sport plus violent, B) Il a introduit des règles et du matériel conçus pour améliorer la sécurité et réduire les blessures, C) Il a exigé que tous les lutteurs subissent un examen médical, D) B et C</v>
      </c>
      <c r="J77" s="6" t="str">
        <f>IFERROR(__xludf.DUMMYFUNCTION("GOOGLETRANSLATE(D77, ""en"", ""fr"")"),"D) B et C")</f>
        <v>D) B et C</v>
      </c>
      <c r="K77" s="6" t="str">
        <f>IFERROR(__xludf.DUMMYFUNCTION("GOOGLETRANSLATE(E77, ""en"", ""fr"")"),"En tant que médecin, la principale préoccupation de Cottonec était la santé des lutteurs. Il a interdit les techniques dangereuses et a introduit des principes de sécurité modernes.")</f>
        <v>En tant que médecin, la principale préoccupation de Cottonec était la santé des lutteurs. Il a interdit les techniques dangereuses et a introduit des principes de sécurité modernes.</v>
      </c>
    </row>
    <row r="78" ht="22.5" customHeight="1">
      <c r="A78" s="4">
        <v>77.0</v>
      </c>
      <c r="B78" s="5" t="s">
        <v>1953</v>
      </c>
      <c r="C78" s="5" t="s">
        <v>1954</v>
      </c>
      <c r="D78" s="5" t="s">
        <v>1955</v>
      </c>
      <c r="E78" s="5" t="s">
        <v>1956</v>
      </c>
      <c r="G78" s="6" t="str">
        <f>IFERROR(__xludf.DUMMYFUNCTION("GOOGLETRANSLATE(A78, ""en"", ""fr"")"),"77")</f>
        <v>77</v>
      </c>
      <c r="H78" s="6" t="str">
        <f>IFERROR(__xludf.DUMMYFUNCTION("GOOGLETRANSLATE(B78, ""en"", ""fr"")"),"Quelle est la signification de l'intégration du gouren au programme scolaire officiel en Bretagne ?")</f>
        <v>Quelle est la signification de l'intégration du gouren au programme scolaire officiel en Bretagne ?</v>
      </c>
      <c r="I78" s="6" t="str">
        <f>IFERROR(__xludf.DUMMYFUNCTION("GOOGLETRANSLATE(C78, ""en"", ""fr"")"),"A) Cela garantit la transmission de la tradition à une nouvelle génération, B) Cela professionnalise le sport, C) C'est un moyen de générer des revenus pour les écoles, D) Cela n'est pas significatif")</f>
        <v>A) Cela garantit la transmission de la tradition à une nouvelle génération, B) Cela professionnalise le sport, C) C'est un moyen de générer des revenus pour les écoles, D) Cela n'est pas significatif</v>
      </c>
      <c r="J78" s="6" t="str">
        <f>IFERROR(__xludf.DUMMYFUNCTION("GOOGLETRANSLATE(D78, ""en"", ""fr"")"),"A) Cela garantit que la tradition est transmise à une nouvelle génération")</f>
        <v>A) Cela garantit que la tradition est transmise à une nouvelle génération</v>
      </c>
      <c r="K78" s="6" t="str">
        <f>IFERROR(__xludf.DUMMYFUNCTION("GOOGLETRANSLATE(E78, ""en"", ""fr"")"),"L’enseignement du gouren à l’école est une étape cruciale pour préserver le patrimoine culturel breton et assurer la survie de ce sport.")</f>
        <v>L’enseignement du gouren à l’école est une étape cruciale pour préserver le patrimoine culturel breton et assurer la survie de ce sport.</v>
      </c>
    </row>
    <row r="79" ht="22.5" customHeight="1">
      <c r="A79" s="4">
        <v>78.0</v>
      </c>
      <c r="B79" s="5" t="s">
        <v>1957</v>
      </c>
      <c r="C79" s="5" t="s">
        <v>1958</v>
      </c>
      <c r="D79" s="5" t="s">
        <v>1959</v>
      </c>
      <c r="E79" s="5" t="s">
        <v>1960</v>
      </c>
      <c r="G79" s="6" t="str">
        <f>IFERROR(__xludf.DUMMYFUNCTION("GOOGLETRANSLATE(A79, ""en"", ""fr"")"),"78")</f>
        <v>78</v>
      </c>
      <c r="H79" s="6" t="str">
        <f>IFERROR(__xludf.DUMMYFUNCTION("GOOGLETRANSLATE(B79, ""en"", ""fr"")"),"Laquelle de ces nations ne fait PAS partie des nations celtiques fondatrices de la FILC ?")</f>
        <v>Laquelle de ces nations ne fait PAS partie des nations celtiques fondatrices de la FILC ?</v>
      </c>
      <c r="I79" s="6" t="str">
        <f>IFERROR(__xludf.DUMMYFUNCTION("GOOGLETRANSLATE(C79, ""en"", ""fr"")"),"A) Bretagne (Gouren), B) Écosse (Back-hold), C) Cornouailles (Cornish Wrestling), D) Pays de Galles (Welsh Wrestling)")</f>
        <v>A) Bretagne (Gouren), B) Écosse (Back-hold), C) Cornouailles (Cornish Wrestling), D) Pays de Galles (Welsh Wrestling)</v>
      </c>
      <c r="J79" s="6" t="str">
        <f>IFERROR(__xludf.DUMMYFUNCTION("GOOGLETRANSLATE(D79, ""en"", ""fr"")"),"D) Pays de Galles (Lutte galloise)")</f>
        <v>D) Pays de Galles (Lutte galloise)</v>
      </c>
      <c r="K79" s="6" t="str">
        <f>IFERROR(__xludf.DUMMYFUNCTION("GOOGLETRANSLATE(E79, ""en"", ""fr"")"),"Bien que le Pays de Galles soit une nation celtique, sa tradition de lutte n'a pas été aussi continue et ne faisait pas partie du groupe fondateur initial de la FILC.")</f>
        <v>Bien que le Pays de Galles soit une nation celtique, sa tradition de lutte n'a pas été aussi continue et ne faisait pas partie du groupe fondateur initial de la FILC.</v>
      </c>
    </row>
    <row r="80" ht="22.5" customHeight="1">
      <c r="A80" s="4">
        <v>79.0</v>
      </c>
      <c r="B80" s="5" t="s">
        <v>1961</v>
      </c>
      <c r="C80" s="5" t="s">
        <v>1962</v>
      </c>
      <c r="D80" s="5" t="s">
        <v>167</v>
      </c>
      <c r="E80" s="5" t="s">
        <v>1963</v>
      </c>
      <c r="G80" s="6" t="str">
        <f>IFERROR(__xludf.DUMMYFUNCTION("GOOGLETRANSLATE(A80, ""en"", ""fr"")"),"79")</f>
        <v>79</v>
      </c>
      <c r="H80" s="6" t="str">
        <f>IFERROR(__xludf.DUMMYFUNCTION("GOOGLETRANSLATE(B80, ""en"", ""fr"")"),"Le prix traditionnel, un animal vivant, était souvent le symbole de quoi ?")</f>
        <v>Le prix traditionnel, un animal vivant, était souvent le symbole de quoi ?</v>
      </c>
      <c r="I80" s="6" t="str">
        <f>IFERROR(__xludf.DUMMYFUNCTION("GOOGLETRANSLATE(C80, ""en"", ""fr"")"),"A) La force du lutteur, B) La richesse et le statut du sponsor du tournoi, C) Un atout pratique et précieux dans une économie rurale, D) Toutes les réponses ci-dessus")</f>
        <v>A) La force du lutteur, B) La richesse et le statut du sponsor du tournoi, C) Un atout pratique et précieux dans une économie rurale, D) Toutes les réponses ci-dessus</v>
      </c>
      <c r="J80" s="6" t="str">
        <f>IFERROR(__xludf.DUMMYFUNCTION("GOOGLETRANSLATE(D80, ""en"", ""fr"")"),"D) Toutes les réponses ci-dessus")</f>
        <v>D) Toutes les réponses ci-dessus</v>
      </c>
      <c r="K80" s="6" t="str">
        <f>IFERROR(__xludf.DUMMYFUNCTION("GOOGLETRANSLATE(E80, ""en"", ""fr"")"),"Le prix était à la fois une épreuve de force (le vainqueur devait maîtriser l'animal), une démonstration de la richesse du mécène et une précieuse récompense économique pour le champion.")</f>
        <v>Le prix était à la fois une épreuve de force (le vainqueur devait maîtriser l'animal), une démonstration de la richesse du mécène et une précieuse récompense économique pour le champion.</v>
      </c>
    </row>
    <row r="81" ht="22.5" customHeight="1">
      <c r="A81" s="4">
        <v>80.0</v>
      </c>
      <c r="B81" s="5" t="s">
        <v>1964</v>
      </c>
      <c r="C81" s="5" t="s">
        <v>1965</v>
      </c>
      <c r="D81" s="5" t="s">
        <v>167</v>
      </c>
      <c r="E81" s="5" t="s">
        <v>1966</v>
      </c>
      <c r="G81" s="6" t="str">
        <f>IFERROR(__xludf.DUMMYFUNCTION("GOOGLETRANSLATE(A81, ""en"", ""fr"")"),"80")</f>
        <v>80</v>
      </c>
      <c r="H81" s="6" t="str">
        <f>IFERROR(__xludf.DUMMYFUNCTION("GOOGLETRANSLATE(B81, ""en"", ""fr"")"),"Quelle est la principale différence entre la lutte Gouren et la lutte libre olympique moderne ?")</f>
        <v>Quelle est la principale différence entre la lutte Gouren et la lutte libre olympique moderne ?</v>
      </c>
      <c r="I81" s="6" t="str">
        <f>IFERROR(__xludf.DUMMYFUNCTION("GOOGLETRANSLATE(C81, ""en"", ""fr"")"),"A) Les lutteurs de Gouren portent une veste (roched), tandis que les lutteurs de style libre portent un justaucorps. B) Le Gouren est un style de lutte debout uniquement. C) Le Gouren a une condition de victoire différente (lamm). D) Toutes les réponses c"&amp;"i-dessus.")</f>
        <v>A) Les lutteurs de Gouren portent une veste (roched), tandis que les lutteurs de style libre portent un justaucorps. B) Le Gouren est un style de lutte debout uniquement. C) Le Gouren a une condition de victoire différente (lamm). D) Toutes les réponses ci-dessus.</v>
      </c>
      <c r="J81" s="6" t="str">
        <f>IFERROR(__xludf.DUMMYFUNCTION("GOOGLETRANSLATE(D81, ""en"", ""fr"")"),"D) Toutes les réponses ci-dessus")</f>
        <v>D) Toutes les réponses ci-dessus</v>
      </c>
      <c r="K81" s="6" t="str">
        <f>IFERROR(__xludf.DUMMYFUNCTION("GOOGLETRANSLATE(E81, ""en"", ""fr"")"),"Le Gouren est un style de lutte complètement différent, avec son propre uniforme, ses règles et ses conditions de victoire uniques.")</f>
        <v>Le Gouren est un style de lutte complètement différent, avec son propre uniforme, ses règles et ses conditions de victoire uniques.</v>
      </c>
    </row>
    <row r="82" ht="22.5" customHeight="1">
      <c r="A82" s="4">
        <v>81.0</v>
      </c>
      <c r="B82" s="5" t="s">
        <v>1967</v>
      </c>
      <c r="C82" s="5" t="s">
        <v>1968</v>
      </c>
      <c r="D82" s="5" t="s">
        <v>1969</v>
      </c>
      <c r="E82" s="5" t="s">
        <v>1970</v>
      </c>
      <c r="G82" s="6" t="str">
        <f>IFERROR(__xludf.DUMMYFUNCTION("GOOGLETRANSLATE(A82, ""en"", ""fr"")"),"81")</f>
        <v>81</v>
      </c>
      <c r="H82" s="6" t="str">
        <f>IFERROR(__xludf.DUMMYFUNCTION("GOOGLETRANSLATE(B82, ""en"", ""fr"")"),"Le peintre Adolphe Pierre Leleux appartenait à quel mouvement artistique du XIXe siècle ?")</f>
        <v>Le peintre Adolphe Pierre Leleux appartenait à quel mouvement artistique du XIXe siècle ?</v>
      </c>
      <c r="I82" s="6" t="str">
        <f>IFERROR(__xludf.DUMMYFUNCTION("GOOGLETRANSLATE(C82, ""en"", ""fr"")"),"A) Impressionnisme, B) Réalisme, C) Romantisme, D) Cubisme")</f>
        <v>A) Impressionnisme, B) Réalisme, C) Romantisme, D) Cubisme</v>
      </c>
      <c r="J82" s="6" t="str">
        <f>IFERROR(__xludf.DUMMYFUNCTION("GOOGLETRANSLATE(D82, ""en"", ""fr"")"),"B) Réalisme")</f>
        <v>B) Réalisme</v>
      </c>
      <c r="K82" s="6" t="str">
        <f>IFERROR(__xludf.DUMMYFUNCTION("GOOGLETRANSLATE(E82, ""en"", ""fr"")"),"Leleux était un peintre réaliste, connu pour ses représentations détaillées et sans sentimentalisme de la vie quotidienne des paysans et des villages, y compris les concours de Gouren.")</f>
        <v>Leleux était un peintre réaliste, connu pour ses représentations détaillées et sans sentimentalisme de la vie quotidienne des paysans et des villages, y compris les concours de Gouren.</v>
      </c>
    </row>
    <row r="83" ht="22.5" customHeight="1">
      <c r="A83" s="4">
        <v>82.0</v>
      </c>
      <c r="B83" s="5" t="s">
        <v>1971</v>
      </c>
      <c r="C83" s="5" t="s">
        <v>1972</v>
      </c>
      <c r="D83" s="5" t="s">
        <v>1973</v>
      </c>
      <c r="E83" s="5" t="s">
        <v>1974</v>
      </c>
      <c r="G83" s="6" t="str">
        <f>IFERROR(__xludf.DUMMYFUNCTION("GOOGLETRANSLATE(A83, ""en"", ""fr"")"),"82")</f>
        <v>82</v>
      </c>
      <c r="H83" s="6" t="str">
        <f>IFERROR(__xludf.DUMMYFUNCTION("GOOGLETRANSLATE(B83, ""en"", ""fr"")"),"Quel événement historique a le plus menacé la survie des langues et traditions régionales comme le gouren aux XIXe et XXe siècles ?")</f>
        <v>Quel événement historique a le plus menacé la survie des langues et traditions régionales comme le gouren aux XIXe et XXe siècles ?</v>
      </c>
      <c r="I83" s="6" t="str">
        <f>IFERROR(__xludf.DUMMYFUNCTION("GOOGLETRANSLATE(C83, ""en"", ""fr"")"),"A) La révolution industrielle, B) La politique de centralisation et de promotion d'une culture nationale unique menée par le gouvernement français, C) Les guerres mondiales, D) L'essor de la télévision")</f>
        <v>A) La révolution industrielle, B) La politique de centralisation et de promotion d'une culture nationale unique menée par le gouvernement français, C) Les guerres mondiales, D) L'essor de la télévision</v>
      </c>
      <c r="J83" s="6" t="str">
        <f>IFERROR(__xludf.DUMMYFUNCTION("GOOGLETRANSLATE(D83, ""en"", ""fr"")"),"B) La politique du gouvernement français de centralisation et de promotion d'une culture nationale unique")</f>
        <v>B) La politique du gouvernement français de centralisation et de promotion d'une culture nationale unique</v>
      </c>
      <c r="K83" s="6" t="str">
        <f>IFERROR(__xludf.DUMMYFUNCTION("GOOGLETRANSLATE(E83, ""en"", ""fr"")"),"La volonté de l'État de créer une identité française unifiée s'est souvent faite au détriment des cultures et des langues régionales comme le breton.")</f>
        <v>La volonté de l'État de créer une identité française unifiée s'est souvent faite au détriment des cultures et des langues régionales comme le breton.</v>
      </c>
    </row>
    <row r="84" ht="22.5" customHeight="1">
      <c r="A84" s="4">
        <v>83.0</v>
      </c>
      <c r="B84" s="5" t="s">
        <v>1975</v>
      </c>
      <c r="C84" s="5" t="s">
        <v>1976</v>
      </c>
      <c r="D84" s="5" t="s">
        <v>1977</v>
      </c>
      <c r="E84" s="5" t="s">
        <v>1978</v>
      </c>
      <c r="G84" s="6" t="str">
        <f>IFERROR(__xludf.DUMMYFUNCTION("GOOGLETRANSLATE(A84, ""en"", ""fr"")"),"83")</f>
        <v>83</v>
      </c>
      <c r="H84" s="6" t="str">
        <f>IFERROR(__xludf.DUMMYFUNCTION("GOOGLETRANSLATE(B84, ""en"", ""fr"")"),"Au XIXe siècle, qui étaient les « gars de Plouzané » (les garçons de Plouzané) ?")</f>
        <v>Au XIXe siècle, qui étaient les « gars de Plouzané » (les garçons de Plouzané) ?</v>
      </c>
      <c r="I84" s="6" t="str">
        <f>IFERROR(__xludf.DUMMYFUNCTION("GOOGLETRANSLATE(C84, ""en"", ""fr"")"),"A) Un groupe musical célèbre, B) Un groupe de lutteurs réputés pour leur force et leurs succès, originaires de la ville de Plouzané, C) Un groupe politique, D) Une équipe de bateliers")</f>
        <v>A) Un groupe musical célèbre, B) Un groupe de lutteurs réputés pour leur force et leurs succès, originaires de la ville de Plouzané, C) Un groupe politique, D) Une équipe de bateliers</v>
      </c>
      <c r="J84" s="6" t="str">
        <f>IFERROR(__xludf.DUMMYFUNCTION("GOOGLETRANSLATE(D84, ""en"", ""fr"")"),"B) Un groupe de lutteurs réputé pour sa force et son succès, originaire de la ville de Plouzané")</f>
        <v>B) Un groupe de lutteurs réputé pour sa force et son succès, originaire de la ville de Plouzané</v>
      </c>
      <c r="K84" s="6" t="str">
        <f>IFERROR(__xludf.DUMMYFUNCTION("GOOGLETRANSLATE(E84, ""en"", ""fr"")"),"Les villes et régions locales étaient réputées pour produire de puissants lutteurs, et les « gars de Plouzané » étaient légendaires en leur temps.")</f>
        <v>Les villes et régions locales étaient réputées pour produire de puissants lutteurs, et les « gars de Plouzané » étaient légendaires en leur temps.</v>
      </c>
    </row>
    <row r="85" ht="22.5" customHeight="1">
      <c r="A85" s="4">
        <v>84.0</v>
      </c>
      <c r="B85" s="5" t="s">
        <v>1979</v>
      </c>
      <c r="C85" s="5" t="s">
        <v>1980</v>
      </c>
      <c r="D85" s="5" t="s">
        <v>1981</v>
      </c>
      <c r="E85" s="5" t="s">
        <v>1982</v>
      </c>
      <c r="G85" s="6" t="str">
        <f>IFERROR(__xludf.DUMMYFUNCTION("GOOGLETRANSLATE(A85, ""en"", ""fr"")"),"84")</f>
        <v>84</v>
      </c>
      <c r="H85" s="6" t="str">
        <f>IFERROR(__xludf.DUMMYFUNCTION("GOOGLETRANSLATE(B85, ""en"", ""fr"")"),"Quelle est la principale caractéristique du format de tournoi « défi antique » ?")</f>
        <v>Quelle est la principale caractéristique du format de tournoi « défi antique » ?</v>
      </c>
      <c r="I85" s="6" t="str">
        <f>IFERROR(__xludf.DUMMYFUNCTION("GOOGLETRANSLATE(C85, ""en"", ""fr"")"),"A) C'est un tournoi toutes rondes, B) C'est un tournoi à élimination directe, C) C'est un système de classement où les gagnants des prix inférieurs affrontent les gagnants des prix supérieurs, D) C'est une compétition par équipes")</f>
        <v>A) C'est un tournoi toutes rondes, B) C'est un tournoi à élimination directe, C) C'est un système de classement où les gagnants des prix inférieurs affrontent les gagnants des prix supérieurs, D) C'est une compétition par équipes</v>
      </c>
      <c r="J85" s="6" t="str">
        <f>IFERROR(__xludf.DUMMYFUNCTION("GOOGLETRANSLATE(D85, ""en"", ""fr"")"),"C) Il s'agit d'un système à élimination directe où les gagnants des prix inférieurs défient les gagnants des prix supérieurs.")</f>
        <v>C) Il s'agit d'un système à élimination directe où les gagnants des prix inférieurs défient les gagnants des prix supérieurs.</v>
      </c>
      <c r="K85" s="6" t="str">
        <f>IFERROR(__xludf.DUMMYFUNCTION("GOOGLETRANSLATE(E85, ""en"", ""fr"")"),"Cela a donné lieu à une compétition spectaculaire, dans le style du « roi de la colline », le champion ultime étant celui qui pouvait vaincre tous les challengers.")</f>
        <v>Cela a donné lieu à une compétition spectaculaire, dans le style du « roi de la colline », le champion ultime étant celui qui pouvait vaincre tous les challengers.</v>
      </c>
    </row>
    <row r="86" ht="22.5" customHeight="1">
      <c r="A86" s="4">
        <v>85.0</v>
      </c>
      <c r="B86" s="5" t="s">
        <v>1983</v>
      </c>
      <c r="C86" s="5" t="s">
        <v>1984</v>
      </c>
      <c r="D86" s="5" t="s">
        <v>1985</v>
      </c>
      <c r="E86" s="5" t="s">
        <v>1986</v>
      </c>
      <c r="G86" s="6" t="str">
        <f>IFERROR(__xludf.DUMMYFUNCTION("GOOGLETRANSLATE(A86, ""en"", ""fr"")"),"85")</f>
        <v>85</v>
      </c>
      <c r="H86" s="6" t="str">
        <f>IFERROR(__xludf.DUMMYFUNCTION("GOOGLETRANSLATE(B86, ""en"", ""fr"")"),"Pourquoi l'introduction des catégories de poids en 1930 était-elle si importante ?")</f>
        <v>Pourquoi l'introduction des catégories de poids en 1930 était-elle si importante ?</v>
      </c>
      <c r="I86" s="6" t="str">
        <f>IFERROR(__xludf.DUMMYFUNCTION("GOOGLETRANSLATE(C86, ""en"", ""fr"")"),"A) Cela a rendu ce sport plus semblable à la boxe, B) Cela a permis aux lutteurs plus petits et plus techniques de concourir équitablement sans être dominés par des hommes beaucoup plus grands, C) C'était une demande du gouvernement, D) Cela a allongé la "&amp;"durée des tournois")</f>
        <v>A) Cela a rendu ce sport plus semblable à la boxe, B) Cela a permis aux lutteurs plus petits et plus techniques de concourir équitablement sans être dominés par des hommes beaucoup plus grands, C) C'était une demande du gouvernement, D) Cela a allongé la durée des tournois</v>
      </c>
      <c r="J86" s="6" t="str">
        <f>IFERROR(__xludf.DUMMYFUNCTION("GOOGLETRANSLATE(D86, ""en"", ""fr"")"),"B) Cela permettait aux lutteurs plus petits et plus techniques de concourir équitablement sans être dominés par des hommes beaucoup plus grands.")</f>
        <v>B) Cela permettait aux lutteurs plus petits et plus techniques de concourir équitablement sans être dominés par des hommes beaucoup plus grands.</v>
      </c>
      <c r="K86" s="6" t="str">
        <f>IFERROR(__xludf.DUMMYFUNCTION("GOOGLETRANSLATE(E86, ""en"", ""fr"")"),"Les catégories de poids sont un principe fondamental des sports de combat modernes, garantissant que les compétitions soient un véritable test de compétences, et non pas seulement de gabarit.")</f>
        <v>Les catégories de poids sont un principe fondamental des sports de combat modernes, garantissant que les compétitions soient un véritable test de compétences, et non pas seulement de gabarit.</v>
      </c>
    </row>
    <row r="87" ht="22.5" customHeight="1">
      <c r="A87" s="4">
        <v>86.0</v>
      </c>
      <c r="B87" s="5" t="s">
        <v>1987</v>
      </c>
      <c r="C87" s="5" t="s">
        <v>1988</v>
      </c>
      <c r="D87" s="5" t="s">
        <v>1989</v>
      </c>
      <c r="E87" s="5" t="s">
        <v>1990</v>
      </c>
      <c r="G87" s="6" t="str">
        <f>IFERROR(__xludf.DUMMYFUNCTION("GOOGLETRANSLATE(A87, ""en"", ""fr"")"),"86")</f>
        <v>86</v>
      </c>
      <c r="H87" s="6" t="str">
        <f>IFERROR(__xludf.DUMMYFUNCTION("GOOGLETRANSLATE(B87, ""en"", ""fr"")"),"Quelle est la signification historique du serment récité en langue bretonne ?")</f>
        <v>Quelle est la signification historique du serment récité en langue bretonne ?</v>
      </c>
      <c r="I87" s="6" t="str">
        <f>IFERROR(__xludf.DUMMYFUNCTION("GOOGLETRANSLATE(C87, ""en"", ""fr"")"),"A) C'est une règle du gouvernement français, B) C'est une invention moderne pour les touristes, C) Cela renforce l'identité de ce sport comme une composante unique et vivante de la culture bretonne, D) Les lutteurs ne parlent pas français")</f>
        <v>A) C'est une règle du gouvernement français, B) C'est une invention moderne pour les touristes, C) Cela renforce l'identité de ce sport comme une composante unique et vivante de la culture bretonne, D) Les lutteurs ne parlent pas français</v>
      </c>
      <c r="J87" s="6" t="str">
        <f>IFERROR(__xludf.DUMMYFUNCTION("GOOGLETRANSLATE(D87, ""en"", ""fr"")"),"C) Cela renforce l'identité de ce sport en tant que composante unique et vivante de la culture bretonne.")</f>
        <v>C) Cela renforce l'identité de ce sport en tant que composante unique et vivante de la culture bretonne.</v>
      </c>
      <c r="K87" s="6" t="str">
        <f>IFERROR(__xludf.DUMMYFUNCTION("GOOGLETRANSLATE(E87, ""en"", ""fr"")"),"L'utilisation du breton pour le serment est une forte affirmation de fierté culturelle et un lien direct avec les origines de ce sport.")</f>
        <v>L'utilisation du breton pour le serment est une forte affirmation de fierté culturelle et un lien direct avec les origines de ce sport.</v>
      </c>
    </row>
    <row r="88" ht="22.5" customHeight="1">
      <c r="A88" s="4">
        <v>87.0</v>
      </c>
      <c r="B88" s="5" t="s">
        <v>1991</v>
      </c>
      <c r="C88" s="5" t="s">
        <v>1992</v>
      </c>
      <c r="D88" s="5" t="s">
        <v>1993</v>
      </c>
      <c r="E88" s="5" t="s">
        <v>1994</v>
      </c>
      <c r="G88" s="6" t="str">
        <f>IFERROR(__xludf.DUMMYFUNCTION("GOOGLETRANSLATE(A88, ""en"", ""fr"")"),"87")</f>
        <v>87</v>
      </c>
      <c r="H88" s="6" t="str">
        <f>IFERROR(__xludf.DUMMYFUNCTION("GOOGLETRANSLATE(B88, ""en"", ""fr"")"),"La FALSAB a été fondée en 1930. Quand la fédération moderne, réservée aux Gourenois (Fédération de Gouren), a-t-elle été créée ?")</f>
        <v>La FALSAB a été fondée en 1930. Quand la fédération moderne, réservée aux Gourenois (Fédération de Gouren), a-t-elle été créée ?</v>
      </c>
      <c r="I88" s="6" t="str">
        <f>IFERROR(__xludf.DUMMYFUNCTION("GOOGLETRANSLATE(C88, ""en"", ""fr"")"),"A) 1949, B) 1965, C) 1980, D) 1998")</f>
        <v>A) 1949, B) 1965, C) 1980, D) 1998</v>
      </c>
      <c r="J88" s="6" t="str">
        <f>IFERROR(__xludf.DUMMYFUNCTION("GOOGLETRANSLATE(D88, ""en"", ""fr"")"),"C) 1980")</f>
        <v>C) 1980</v>
      </c>
      <c r="K88" s="6" t="str">
        <f>IFERROR(__xludf.DUMMYFUNCTION("GOOGLETRANSLATE(E88, ""en"", ""fr"")"),"En 1980, une nouvelle fédération entièrement dédiée au gouren a été créée, témoignant de la croissance et de la spécialisation de ce sport.")</f>
        <v>En 1980, une nouvelle fédération entièrement dédiée au gouren a été créée, témoignant de la croissance et de la spécialisation de ce sport.</v>
      </c>
    </row>
    <row r="89" ht="22.5" customHeight="1">
      <c r="A89" s="4">
        <v>88.0</v>
      </c>
      <c r="B89" s="5" t="s">
        <v>1995</v>
      </c>
      <c r="C89" s="5" t="s">
        <v>1996</v>
      </c>
      <c r="D89" s="5" t="s">
        <v>1997</v>
      </c>
      <c r="E89" s="5" t="s">
        <v>1998</v>
      </c>
      <c r="G89" s="6" t="str">
        <f>IFERROR(__xludf.DUMMYFUNCTION("GOOGLETRANSLATE(A89, ""en"", ""fr"")"),"88")</f>
        <v>88</v>
      </c>
      <c r="H89" s="6" t="str">
        <f>IFERROR(__xludf.DUMMYFUNCTION("GOOGLETRANSLATE(B89, ""en"", ""fr"")"),"La renaissance de Gouren au XXe siècle est un exemple de quel phénomène culturel ?")</f>
        <v>La renaissance de Gouren au XXe siècle est un exemple de quel phénomène culturel ?</v>
      </c>
      <c r="I89" s="6" t="str">
        <f>IFERROR(__xludf.DUMMYFUNCTION("GOOGLETRANSLATE(C89, ""en"", ""fr"")"),"A) La mondialisation, B) L'invention de la tradition, C) Un mouvement de renaissance celtique, D) Une protestation politique")</f>
        <v>A) La mondialisation, B) L'invention de la tradition, C) Un mouvement de renaissance celtique, D) Une protestation politique</v>
      </c>
      <c r="J89" s="6" t="str">
        <f>IFERROR(__xludf.DUMMYFUNCTION("GOOGLETRANSLATE(D89, ""en"", ""fr"")"),"C) Un mouvement de renaissance celtique")</f>
        <v>C) Un mouvement de renaissance celtique</v>
      </c>
      <c r="K89" s="6" t="str">
        <f>IFERROR(__xludf.DUMMYFUNCTION("GOOGLETRANSLATE(E89, ""en"", ""fr"")"),"Les efforts déployés pour sauver Gouren s'inscrivaient dans un mouvement culturel et politique plus large visant à préserver et à promouvoir l'identité distincte des nations celtiques.")</f>
        <v>Les efforts déployés pour sauver Gouren s'inscrivaient dans un mouvement culturel et politique plus large visant à préserver et à promouvoir l'identité distincte des nations celtiques.</v>
      </c>
    </row>
    <row r="90" ht="22.5" customHeight="1">
      <c r="A90" s="4">
        <v>89.0</v>
      </c>
      <c r="B90" s="5" t="s">
        <v>1999</v>
      </c>
      <c r="C90" s="5" t="s">
        <v>2000</v>
      </c>
      <c r="D90" s="5" t="s">
        <v>2001</v>
      </c>
      <c r="E90" s="5" t="s">
        <v>2002</v>
      </c>
      <c r="G90" s="6" t="str">
        <f>IFERROR(__xludf.DUMMYFUNCTION("GOOGLETRANSLATE(A90, ""en"", ""fr"")"),"89")</f>
        <v>89</v>
      </c>
      <c r="H90" s="6" t="str">
        <f>IFERROR(__xludf.DUMMYFUNCTION("GOOGLETRANSLATE(B90, ""en"", ""fr"")"),"Au XIXe siècle, combien de temps pouvait durer un seul combat de lutte ?")</f>
        <v>Au XIXe siècle, combien de temps pouvait durer un seul combat de lutte ?</v>
      </c>
      <c r="I90" s="6" t="str">
        <f>IFERROR(__xludf.DUMMYFUNCTION("GOOGLETRANSLATE(C90, ""en"", ""fr"")"),"A) Cinq minutes maximum, B) Cela pourrait durer une heure ou plus, jusqu'à ce qu'un lutteur soit mis hors de combat, C) Exactement dix minutes, D) Tant que la musique joue")</f>
        <v>A) Cinq minutes maximum, B) Cela pourrait durer une heure ou plus, jusqu'à ce qu'un lutteur soit mis hors de combat, C) Exactement dix minutes, D) Tant que la musique joue</v>
      </c>
      <c r="J90" s="6" t="str">
        <f>IFERROR(__xludf.DUMMYFUNCTION("GOOGLETRANSLATE(D90, ""en"", ""fr"")"),"B) Cela pourrait durer une heure ou plus, jusqu'à ce qu'un lutteur soit jeté")</f>
        <v>B) Cela pourrait durer une heure ou plus, jusqu'à ce qu'un lutteur soit jeté</v>
      </c>
      <c r="K90" s="6" t="str">
        <f>IFERROR(__xludf.DUMMYFUNCTION("GOOGLETRANSLATE(E90, ""en"", ""fr"")"),"Sans limite de temps, les combats étaient des épreuves d'endurance exténuantes et pouvaient durer très longtemps.")</f>
        <v>Sans limite de temps, les combats étaient des épreuves d'endurance exténuantes et pouvaient durer très longtemps.</v>
      </c>
    </row>
    <row r="91" ht="22.5" customHeight="1">
      <c r="A91" s="4">
        <v>90.0</v>
      </c>
      <c r="B91" s="5" t="s">
        <v>2003</v>
      </c>
      <c r="C91" s="5" t="s">
        <v>2004</v>
      </c>
      <c r="D91" s="5" t="s">
        <v>2005</v>
      </c>
      <c r="E91" s="5" t="s">
        <v>2006</v>
      </c>
      <c r="G91" s="6" t="str">
        <f>IFERROR(__xludf.DUMMYFUNCTION("GOOGLETRANSLATE(A91, ""en"", ""fr"")"),"90")</f>
        <v>90</v>
      </c>
      <c r="H91" s="6" t="str">
        <f>IFERROR(__xludf.DUMMYFUNCTION("GOOGLETRANSLATE(B91, ""en"", ""fr"")"),"Quel est l’objectif principal des manifestations estivales de Gouren organisées à travers la Bretagne ?")</f>
        <v>Quel est l’objectif principal des manifestations estivales de Gouren organisées à travers la Bretagne ?</v>
      </c>
      <c r="I91" s="6" t="str">
        <f>IFERROR(__xludf.DUMMYFUNCTION("GOOGLETRANSLATE(C91, ""en"", ""fr"")"),"A) Générer des revenus pour les clubs, B) Maintenir la tradition vivante et visible, et faire découvrir le sport aux touristes et aux locaux, C) Organiser une compétition officielle, D) Former de nouveaux arbitres")</f>
        <v>A) Générer des revenus pour les clubs, B) Maintenir la tradition vivante et visible, et faire découvrir le sport aux touristes et aux locaux, C) Organiser une compétition officielle, D) Former de nouveaux arbitres</v>
      </c>
      <c r="J91" s="6" t="str">
        <f>IFERROR(__xludf.DUMMYFUNCTION("GOOGLETRANSLATE(D91, ""en"", ""fr"")"),"B) Maintenir la tradition vivante et visible, et faire découvrir ce sport aux touristes et aux locaux.")</f>
        <v>B) Maintenir la tradition vivante et visible, et faire découvrir ce sport aux touristes et aux locaux.</v>
      </c>
      <c r="K91" s="6" t="str">
        <f>IFERROR(__xludf.DUMMYFUNCTION("GOOGLETRANSLATE(E91, ""en"", ""fr"")"),"Ces démonstrations constituent un élément clé du rayonnement culturel de ce sport, garantissant qu'il reste une composante dynamique de la vie estivale bretonne moderne.")</f>
        <v>Ces démonstrations constituent un élément clé du rayonnement culturel de ce sport, garantissant qu'il reste une composante dynamique de la vie estivale bretonne moderne.</v>
      </c>
    </row>
    <row r="92" ht="22.5" customHeight="1">
      <c r="A92" s="4">
        <v>91.0</v>
      </c>
      <c r="B92" s="5" t="s">
        <v>2007</v>
      </c>
      <c r="C92" s="5" t="s">
        <v>2008</v>
      </c>
      <c r="D92" s="5" t="s">
        <v>2009</v>
      </c>
      <c r="E92" s="5" t="s">
        <v>2010</v>
      </c>
      <c r="G92" s="6" t="str">
        <f>IFERROR(__xludf.DUMMYFUNCTION("GOOGLETRANSLATE(A92, ""en"", ""fr"")"),"91")</f>
        <v>91</v>
      </c>
      <c r="H92" s="6" t="str">
        <f>IFERROR(__xludf.DUMMYFUNCTION("GOOGLETRANSLATE(B92, ""en"", ""fr"")"),"Laquelle de ces caractéristiques est essentielle au bragou traditionnel (pantalon) ?")</f>
        <v>Laquelle de ces caractéristiques est essentielle au bragou traditionnel (pantalon) ?</v>
      </c>
      <c r="I92" s="6" t="str">
        <f>IFERROR(__xludf.DUMMYFUNCTION("GOOGLETRANSLATE(C92, ""en"", ""fr"")"),"A) Elles sont très moulantes, B) Elles sont courtes, s'arrêtant au genou, C) Elles sont en cuir, D) Elles sont décorées de couleurs vives")</f>
        <v>A) Elles sont très moulantes, B) Elles sont courtes, s'arrêtant au genou, C) Elles sont en cuir, D) Elles sont décorées de couleurs vives</v>
      </c>
      <c r="J92" s="6" t="str">
        <f>IFERROR(__xludf.DUMMYFUNCTION("GOOGLETRANSLATE(D92, ""en"", ""fr"")"),"B) Elles sont courtes, s'arrêtant au niveau du genou")</f>
        <v>B) Elles sont courtes, s'arrêtant au niveau du genou</v>
      </c>
      <c r="K92" s="6" t="str">
        <f>IFERROR(__xludf.DUMMYFUNCTION("GOOGLETRANSLATE(E92, ""en"", ""fr"")"),"Les pantalons traditionnels en lin étaient courts et amples, permettant une grande liberté de mouvement aux jambes.")</f>
        <v>Les pantalons traditionnels en lin étaient courts et amples, permettant une grande liberté de mouvement aux jambes.</v>
      </c>
    </row>
    <row r="93" ht="22.5" customHeight="1">
      <c r="A93" s="4">
        <v>92.0</v>
      </c>
      <c r="B93" s="5" t="s">
        <v>2011</v>
      </c>
      <c r="C93" s="5" t="s">
        <v>2012</v>
      </c>
      <c r="D93" s="5" t="s">
        <v>2013</v>
      </c>
      <c r="E93" s="5" t="s">
        <v>2014</v>
      </c>
      <c r="G93" s="6" t="str">
        <f>IFERROR(__xludf.DUMMYFUNCTION("GOOGLETRANSLATE(A93, ""en"", ""fr"")"),"92")</f>
        <v>92</v>
      </c>
      <c r="H93" s="6" t="str">
        <f>IFERROR(__xludf.DUMMYFUNCTION("GOOGLETRANSLATE(B93, ""en"", ""fr"")"),"Un lutteur effectue une projection, et son adversaire atterrit sur le côté, et non sur le dos. Quelle est la décision arbitrale ?")</f>
        <v>Un lutteur effectue une projection, et son adversaire atterrit sur le côté, et non sur le dos. Quelle est la décision arbitrale ?</v>
      </c>
      <c r="I93" s="6" t="str">
        <f>IFERROR(__xludf.DUMMYFUNCTION("GOOGLETRANSLATE(C93, ""en"", ""fr"")"),"A) Un score complet est attribué, B) Aucun point n'est attribué, C) Un score partiel est attribué, D) Le lancer doit être refait")</f>
        <v>A) Un score complet est attribué, B) Aucun point n'est attribué, C) Un score partiel est attribué, D) Le lancer doit être refait</v>
      </c>
      <c r="J93" s="6" t="str">
        <f>IFERROR(__xludf.DUMMYFUNCTION("GOOGLETRANSLATE(D93, ""en"", ""fr"")"),"B) Aucun point n'est attribué.")</f>
        <v>B) Aucun point n'est attribué.</v>
      </c>
      <c r="K93" s="6" t="str">
        <f>IFERROR(__xludf.DUMMYFUNCTION("GOOGLETRANSLATE(E93, ""en"", ""fr"")"),"Pour être valide, la projection doit avoir pour effet que le dos de l'adversaire, et plus précisément ses deux omoplates, touche le sol. Une chute latérale ne compte pas.")</f>
        <v>Pour être valide, la projection doit avoir pour effet que le dos de l'adversaire, et plus précisément ses deux omoplates, touche le sol. Une chute latérale ne compte pas.</v>
      </c>
    </row>
    <row r="94" ht="22.5" customHeight="1">
      <c r="A94" s="4">
        <v>93.0</v>
      </c>
      <c r="B94" s="5" t="s">
        <v>2015</v>
      </c>
      <c r="C94" s="5" t="s">
        <v>2016</v>
      </c>
      <c r="D94" s="5" t="s">
        <v>2017</v>
      </c>
      <c r="E94" s="5" t="s">
        <v>2018</v>
      </c>
      <c r="G94" s="6" t="str">
        <f>IFERROR(__xludf.DUMMYFUNCTION("GOOGLETRANSLATE(A94, ""en"", ""fr"")"),"93")</f>
        <v>93</v>
      </c>
      <c r="H94" s="6" t="str">
        <f>IFERROR(__xludf.DUMMYFUNCTION("GOOGLETRANSLATE(B94, ""en"", ""fr"")"),"La FILC organise un championnat d'Europe. Quelle est la principale différence entre celui-ci et un tournoi local ?")</f>
        <v>La FILC organise un championnat d'Europe. Quelle est la principale différence entre celui-ci et un tournoi local ?</v>
      </c>
      <c r="I94" s="6" t="str">
        <f>IFERROR(__xludf.DUMMYFUNCTION("GOOGLETRANSLATE(C94, ""en"", ""fr"")"),"A) Il met en scène des lutteurs de différents styles de lutte celtique s'affrontant les uns contre les autres, B) Les prix sont beaucoup plus importants, C) Il se déroule en intérieur, D) Les règles sont complètement différentes")</f>
        <v>A) Il met en scène des lutteurs de différents styles de lutte celtique s'affrontant les uns contre les autres, B) Les prix sont beaucoup plus importants, C) Il se déroule en intérieur, D) Les règles sont complètement différentes</v>
      </c>
      <c r="J94" s="6" t="str">
        <f>IFERROR(__xludf.DUMMYFUNCTION("GOOGLETRANSLATE(D94, ""en"", ""fr"")"),"A) Il met en scène des lutteurs de différents styles de lutte celtique s'affrontant les uns contre les autres")</f>
        <v>A) Il met en scène des lutteurs de différents styles de lutte celtique s'affrontant les uns contre les autres</v>
      </c>
      <c r="K94" s="6" t="str">
        <f>IFERROR(__xludf.DUMMYFUNCTION("GOOGLETRANSLATE(E94, ""en"", ""fr"")"),"Ce championnat est un événement unique où un lutteur de Gouren peut affronter un lutteur de Cornouailles ou d'Écosse selon un ensemble de règles de compromis.")</f>
        <v>Ce championnat est un événement unique où un lutteur de Gouren peut affronter un lutteur de Cornouailles ou d'Écosse selon un ensemble de règles de compromis.</v>
      </c>
    </row>
    <row r="95" ht="22.5" customHeight="1">
      <c r="A95" s="4">
        <v>94.0</v>
      </c>
      <c r="B95" s="5" t="s">
        <v>2019</v>
      </c>
      <c r="C95" s="5" t="s">
        <v>2020</v>
      </c>
      <c r="D95" s="5" t="s">
        <v>2021</v>
      </c>
      <c r="E95" s="5" t="s">
        <v>2022</v>
      </c>
      <c r="G95" s="6" t="str">
        <f>IFERROR(__xludf.DUMMYFUNCTION("GOOGLETRANSLATE(A95, ""en"", ""fr"")"),"94")</f>
        <v>94</v>
      </c>
      <c r="H95" s="6" t="str">
        <f>IFERROR(__xludf.DUMMYFUNCTION("GOOGLETRANSLATE(B95, ""en"", ""fr"")"),"Quelle est la principale raison pour laquelle la noblesse a abandonné la pratique du Gouren ?")</f>
        <v>Quelle est la principale raison pour laquelle la noblesse a abandonné la pratique du Gouren ?</v>
      </c>
      <c r="I95" s="6" t="str">
        <f>IFERROR(__xludf.DUMMYFUNCTION("GOOGLETRANSLATE(C95, ""en"", ""fr"")"),"A) Ils le trouvaient trop difficile, B) Un décret royal l'interdit aux nobles, C) Il fut considéré comme un « passe-temps de paysans » et n'était plus à la mode, D) Ils préféraient le tennis")</f>
        <v>A) Ils le trouvaient trop difficile, B) Un décret royal l'interdit aux nobles, C) Il fut considéré comme un « passe-temps de paysans » et n'était plus à la mode, D) Ils préféraient le tennis</v>
      </c>
      <c r="J95" s="6" t="str">
        <f>IFERROR(__xludf.DUMMYFUNCTION("GOOGLETRANSLATE(D95, ""en"", ""fr"")"),"C) Il fut perçu comme un « passe-temps de paysans » et n'était plus à la mode.")</f>
        <v>C) Il fut perçu comme un « passe-temps de paysans » et n'était plus à la mode.</v>
      </c>
      <c r="K95" s="6" t="str">
        <f>IFERROR(__xludf.DUMMYFUNCTION("GOOGLETRANSLATE(E95, ""en"", ""fr"")"),"Avec l'évolution de la société, l'aristocratie commença à considérer ce sport populaire, rude et physique, comme vulgaire et indigne de son rang.")</f>
        <v>Avec l'évolution de la société, l'aristocratie commença à considérer ce sport populaire, rude et physique, comme vulgaire et indigne de son rang.</v>
      </c>
    </row>
    <row r="96" ht="22.5" customHeight="1">
      <c r="A96" s="4">
        <v>95.0</v>
      </c>
      <c r="B96" s="5" t="s">
        <v>2023</v>
      </c>
      <c r="C96" s="5" t="s">
        <v>2024</v>
      </c>
      <c r="D96" s="5" t="s">
        <v>2025</v>
      </c>
      <c r="E96" s="5" t="s">
        <v>2026</v>
      </c>
      <c r="G96" s="6" t="str">
        <f>IFERROR(__xludf.DUMMYFUNCTION("GOOGLETRANSLATE(A96, ""en"", ""fr"")"),"95")</f>
        <v>95</v>
      </c>
      <c r="H96" s="6" t="str">
        <f>IFERROR(__xludf.DUMMYFUNCTION("GOOGLETRANSLATE(B96, ""en"", ""fr"")"),"Un lutteur est pénalisé pour avoir saisi le bragou (pantalon) de son adversaire. Est-ce une décision justifiée ?")</f>
        <v>Un lutteur est pénalisé pour avoir saisi le bragou (pantalon) de son adversaire. Est-ce une décision justifiée ?</v>
      </c>
      <c r="I96" s="6" t="str">
        <f>IFERROR(__xludf.DUMMYFUNCTION("GOOGLETRANSLATE(C96, ""en"", ""fr"")"),"A) Non, cela fait partie intégrante du catch en veste. B) Oui, toutes les prises doivent être effectuées sur le haut du corps (chemise). C) Uniquement si le pantalon se déchire. D) Uniquement lors d'un tournoi majeur.")</f>
        <v>A) Non, cela fait partie intégrante du catch en veste. B) Oui, toutes les prises doivent être effectuées sur le haut du corps (chemise). C) Uniquement si le pantalon se déchire. D) Uniquement lors d'un tournoi majeur.</v>
      </c>
      <c r="J96" s="6" t="str">
        <f>IFERROR(__xludf.DUMMYFUNCTION("GOOGLETRANSLATE(D96, ""en"", ""fr"")"),"B) Oui, toutes les prises doivent être sur le haut du corps (chemise).")</f>
        <v>B) Oui, toutes les prises doivent être sur le haut du corps (chemise).</v>
      </c>
      <c r="K96" s="6" t="str">
        <f>IFERROR(__xludf.DUMMYFUNCTION("GOOGLETRANSLATE(E96, ""en"", ""fr"")"),"Les règles du Gouren sont précises : la prise est limitée à la veste de lutte de l’adversaire. Saisir le pantalon est une faute.")</f>
        <v>Les règles du Gouren sont précises : la prise est limitée à la veste de lutte de l’adversaire. Saisir le pantalon est une faute.</v>
      </c>
    </row>
    <row r="97" ht="22.5" customHeight="1">
      <c r="A97" s="4">
        <v>96.0</v>
      </c>
      <c r="B97" s="5" t="s">
        <v>2027</v>
      </c>
      <c r="C97" s="5" t="s">
        <v>2028</v>
      </c>
      <c r="D97" s="5" t="s">
        <v>2029</v>
      </c>
      <c r="E97" s="5" t="s">
        <v>2030</v>
      </c>
      <c r="G97" s="6" t="str">
        <f>IFERROR(__xludf.DUMMYFUNCTION("GOOGLETRANSLATE(A97, ""en"", ""fr"")"),"96")</f>
        <v>96</v>
      </c>
      <c r="H97" s="6" t="str">
        <f>IFERROR(__xludf.DUMMYFUNCTION("GOOGLETRANSLATE(B97, ""en"", ""fr"")"),"Le mot « roched » fait référence à quel élément de la tenue du lutteur ?")</f>
        <v>Le mot « roched » fait référence à quel élément de la tenue du lutteur ?</v>
      </c>
      <c r="I97" s="6" t="str">
        <f>IFERROR(__xludf.DUMMYFUNCTION("GOOGLETRANSLATE(C97, ""en"", ""fr"")"),"A) Le pantalon, B) La ceinture, C) La chemise ou la veste blanche résistante à manches courtes, D) Les chaussures")</f>
        <v>A) Le pantalon, B) La ceinture, C) La chemise ou la veste blanche résistante à manches courtes, D) Les chaussures</v>
      </c>
      <c r="J97" s="6" t="str">
        <f>IFERROR(__xludf.DUMMYFUNCTION("GOOGLETRANSLATE(D97, ""en"", ""fr"")"),"C) La chemise ou la veste blanche résistante à manches courtes")</f>
        <v>C) La chemise ou la veste blanche résistante à manches courtes</v>
      </c>
      <c r="K97" s="6" t="str">
        <f>IFERROR(__xludf.DUMMYFUNCTION("GOOGLETRANSLATE(E97, ""en"", ""fr"")"),"Le roched est la veste robuste en lin ou en toile que les lutteurs agrippent pendant le match.")</f>
        <v>Le roched est la veste robuste en lin ou en toile que les lutteurs agrippent pendant le match.</v>
      </c>
    </row>
    <row r="98" ht="22.5" customHeight="1">
      <c r="A98" s="4">
        <v>97.0</v>
      </c>
      <c r="B98" s="5" t="s">
        <v>2031</v>
      </c>
      <c r="C98" s="5" t="s">
        <v>2032</v>
      </c>
      <c r="D98" s="5" t="s">
        <v>2033</v>
      </c>
      <c r="E98" s="5" t="s">
        <v>2034</v>
      </c>
      <c r="G98" s="6" t="str">
        <f>IFERROR(__xludf.DUMMYFUNCTION("GOOGLETRANSLATE(A98, ""en"", ""fr"")"),"97")</f>
        <v>97</v>
      </c>
      <c r="H98" s="6" t="str">
        <f>IFERROR(__xludf.DUMMYFUNCTION("GOOGLETRANSLATE(B98, ""en"", ""fr"")"),"Quelle est l'origine historique de la règle interdisant les combats au sol ?")</f>
        <v>Quelle est l'origine historique de la règle interdisant les combats au sol ?</v>
      </c>
      <c r="I98" s="6" t="str">
        <f>IFERROR(__xludf.DUMMYFUNCTION("GOOGLETRANSLATE(C98, ""en"", ""fr"")"),"A) Le sol était considéré comme sacré. B) Cela découle des combats militaires, où tomber au sol était souvent fatal. C) Cela rend le sport plus sûr. D) Cela permet de garder les vêtements des lutteurs propres.")</f>
        <v>A) Le sol était considéré comme sacré. B) Cela découle des combats militaires, où tomber au sol était souvent fatal. C) Cela rend le sport plus sûr. D) Cela permet de garder les vêtements des lutteurs propres.</v>
      </c>
      <c r="J98" s="6" t="str">
        <f>IFERROR(__xludf.DUMMYFUNCTION("GOOGLETRANSLATE(D98, ""en"", ""fr"")"),"B) Elle est issue des combats militaires, où le fait de se mettre à terre était souvent fatal.")</f>
        <v>B) Elle est issue des combats militaires, où le fait de se mettre à terre était souvent fatal.</v>
      </c>
      <c r="K98" s="6" t="str">
        <f>IFERROR(__xludf.DUMMYFUNCTION("GOOGLETRANSLATE(E98, ""en"", ""fr"")"),"L'objectif était de projeter un adversaire au sol et de rester debout, prêt à affronter le suivant. Être au sol représentait une position d'extrême vulnérabilité au combat.")</f>
        <v>L'objectif était de projeter un adversaire au sol et de rester debout, prêt à affronter le suivant. Être au sol représentait une position d'extrême vulnérabilité au combat.</v>
      </c>
    </row>
    <row r="99" ht="22.5" customHeight="1">
      <c r="A99" s="4">
        <v>98.0</v>
      </c>
      <c r="B99" s="5" t="s">
        <v>2035</v>
      </c>
      <c r="C99" s="5" t="s">
        <v>2036</v>
      </c>
      <c r="D99" s="5" t="s">
        <v>2037</v>
      </c>
      <c r="E99" s="5" t="s">
        <v>2038</v>
      </c>
      <c r="G99" s="6" t="str">
        <f>IFERROR(__xludf.DUMMYFUNCTION("GOOGLETRANSLATE(A99, ""en"", ""fr"")"),"98")</f>
        <v>98</v>
      </c>
      <c r="H99" s="6" t="str">
        <f>IFERROR(__xludf.DUMMYFUNCTION("GOOGLETRANSLATE(B99, ""en"", ""fr"")"),"Quel est l'objectif principal des skoliou modernes (écoles Gouren) ?")</f>
        <v>Quel est l'objectif principal des skoliou modernes (écoles Gouren) ?</v>
      </c>
      <c r="I99" s="6" t="str">
        <f>IFERROR(__xludf.DUMMYFUNCTION("GOOGLETRANSLATE(C99, ""en"", ""fr"")"),"A) Former des champions professionnels, B) Transmettre le sport et ses valeurs éthiques à une nouvelle génération, y compris les enfants, C) Être un club social pour adultes, D) Générer des revenus pour la fédération")</f>
        <v>A) Former des champions professionnels, B) Transmettre le sport et ses valeurs éthiques à une nouvelle génération, y compris les enfants, C) Être un club social pour adultes, D) Générer des revenus pour la fédération</v>
      </c>
      <c r="J99" s="6" t="str">
        <f>IFERROR(__xludf.DUMMYFUNCTION("GOOGLETRANSLATE(D99, ""en"", ""fr"")"),"B) Transmettre ce sport et ses valeurs éthiques à une nouvelle génération, y compris aux enfants")</f>
        <v>B) Transmettre ce sport et ses valeurs éthiques à une nouvelle génération, y compris aux enfants</v>
      </c>
      <c r="K99" s="6" t="str">
        <f>IFERROR(__xludf.DUMMYFUNCTION("GOOGLETRANSLATE(E99, ""en"", ""fr"")"),"Les écoles constituent la base de ce sport, axées sur l'éducation, la préservation culturelle et le développement personnel de leurs élèves.")</f>
        <v>Les écoles constituent la base de ce sport, axées sur l'éducation, la préservation culturelle et le développement personnel de leurs élèves.</v>
      </c>
    </row>
    <row r="100" ht="22.5" customHeight="1">
      <c r="A100" s="4">
        <v>99.0</v>
      </c>
      <c r="B100" s="5" t="s">
        <v>2039</v>
      </c>
      <c r="C100" s="5" t="s">
        <v>2040</v>
      </c>
      <c r="D100" s="5" t="s">
        <v>2041</v>
      </c>
      <c r="E100" s="5" t="s">
        <v>2042</v>
      </c>
      <c r="G100" s="6" t="str">
        <f>IFERROR(__xludf.DUMMYFUNCTION("GOOGLETRANSLATE(A100, ""en"", ""fr"")"),"99")</f>
        <v>99</v>
      </c>
      <c r="H100" s="6" t="str">
        <f>IFERROR(__xludf.DUMMYFUNCTION("GOOGLETRANSLATE(B100, ""en"", ""fr"")"),"Quelle est l'importance de l'année 1930 dans l'histoire de Gouren ?")</f>
        <v>Quelle est l'importance de l'année 1930 dans l'histoire de Gouren ?</v>
      </c>
      <c r="I100" s="6" t="str">
        <f>IFERROR(__xludf.DUMMYFUNCTION("GOOGLETRANSLATE(C100, ""en"", ""fr"")"),"A) C'était l'année du premier match international. B) C'était l'année où Charles Cottonec publia le premier règlement moderne et codifié. C) C'était l'année où le sport fut interdit. D) C'était l'année où eut lieu le dernier match traditionnel.")</f>
        <v>A) C'était l'année du premier match international. B) C'était l'année où Charles Cottonec publia le premier règlement moderne et codifié. C) C'était l'année où le sport fut interdit. D) C'était l'année où eut lieu le dernier match traditionnel.</v>
      </c>
      <c r="J100" s="6" t="str">
        <f>IFERROR(__xludf.DUMMYFUNCTION("GOOGLETRANSLATE(D100, ""en"", ""fr"")"),"B) C'était l'année où Charles Cottonec publia le premier manuel de règles moderne et codifié.")</f>
        <v>B) C'était l'année où Charles Cottonec publia le premier manuel de règles moderne et codifié.</v>
      </c>
      <c r="K100" s="6" t="str">
        <f>IFERROR(__xludf.DUMMYFUNCTION("GOOGLETRANSLATE(E100, ""en"", ""fr"")"),"1930 est une date charnière, marquant la transition du gouren d'une tradition folklorique désorganisée à un sport moderne et réglementé.")</f>
        <v>1930 est une date charnière, marquant la transition du gouren d'une tradition folklorique désorganisée à un sport moderne et réglementé.</v>
      </c>
    </row>
    <row r="101" ht="22.5" customHeight="1">
      <c r="A101" s="4">
        <v>100.0</v>
      </c>
      <c r="B101" s="5" t="s">
        <v>2043</v>
      </c>
      <c r="C101" s="5" t="s">
        <v>2044</v>
      </c>
      <c r="D101" s="5" t="s">
        <v>2045</v>
      </c>
      <c r="E101" s="5" t="s">
        <v>2046</v>
      </c>
      <c r="G101" s="6" t="str">
        <f>IFERROR(__xludf.DUMMYFUNCTION("GOOGLETRANSLATE(A101, ""en"", ""fr"")"),"100")</f>
        <v>100</v>
      </c>
      <c r="H101" s="6" t="str">
        <f>IFERROR(__xludf.DUMMYFUNCTION("GOOGLETRANSLATE(B101, ""en"", ""fr"")"),"En substance, la renaissance de Gouren au XXe siècle fut un acte de quoi ?")</f>
        <v>En substance, la renaissance de Gouren au XXe siècle fut un acte de quoi ?</v>
      </c>
      <c r="I101" s="6" t="str">
        <f>IFERROR(__xludf.DUMMYFUNCTION("GOOGLETRANSLATE(C101, ""en"", ""fr"")"),"A) Innovation sportive, B) Investissement financier, C) Rébellion politique, D) Préservation culturelle")</f>
        <v>A) Innovation sportive, B) Investissement financier, C) Rébellion politique, D) Préservation culturelle</v>
      </c>
      <c r="J101" s="6" t="str">
        <f>IFERROR(__xludf.DUMMYFUNCTION("GOOGLETRANSLATE(D101, ""en"", ""fr"")"),"D) Préservation culturelle")</f>
        <v>D) Préservation culturelle</v>
      </c>
      <c r="K101" s="6" t="str">
        <f>IFERROR(__xludf.DUMMYFUNCTION("GOOGLETRANSLATE(E101, ""en"", ""fr"")"),"Le mouvement pour sauver Gouren visait fondamentalement à préserver une partie unique et importante de l'identité culturelle bretonne.")</f>
        <v>Le mouvement pour sauver Gouren visait fondamentalement à préserver une partie unique et importante de l'identité culturelle bretonne.</v>
      </c>
    </row>
    <row r="102" ht="22.5" customHeight="1">
      <c r="A102" s="4">
        <v>101.0</v>
      </c>
      <c r="B102" s="5" t="s">
        <v>2047</v>
      </c>
      <c r="C102" s="5" t="s">
        <v>2048</v>
      </c>
      <c r="D102" s="5" t="s">
        <v>2049</v>
      </c>
      <c r="E102" s="5" t="s">
        <v>2050</v>
      </c>
      <c r="G102" s="6" t="str">
        <f>IFERROR(__xludf.DUMMYFUNCTION("GOOGLETRANSLATE(A102, ""en"", ""fr"")"),"101")</f>
        <v>101</v>
      </c>
      <c r="H102" s="6" t="str">
        <f>IFERROR(__xludf.DUMMYFUNCTION("GOOGLETRANSLATE(B102, ""en"", ""fr"")"),"Un lutteur effectue une projection, et son adversaire retombe sur le dos, mais l'une de ses mains touche le sol en premier. Quelle est la décision arbitrale ?")</f>
        <v>Un lutteur effectue une projection, et son adversaire retombe sur le dos, mais l'une de ses mains touche le sol en premier. Quelle est la décision arbitrale ?</v>
      </c>
      <c r="I102" s="6" t="str">
        <f>IFERROR(__xludf.DUMMYFUNCTION("GOOGLETRANSLATE(C102, ""en"", ""fr"")"),"A) Un point complet est accordé. B) Le lancer est invalide car la main a touché le sol en premier. C) Un point partiel est attribué. D) Le point est rejoué.")</f>
        <v>A) Un point complet est accordé. B) Le lancer est invalide car la main a touché le sol en premier. C) Un point partiel est attribué. D) Le point est rejoué.</v>
      </c>
      <c r="J102" s="6" t="str">
        <f>IFERROR(__xludf.DUMMYFUNCTION("GOOGLETRANSLATE(D102, ""en"", ""fr"")"),"B) Le lancer est invalide car la main a touché en premier.")</f>
        <v>B) Le lancer est invalide car la main a touché en premier.</v>
      </c>
      <c r="K102" s="6" t="str">
        <f>IFERROR(__xludf.DUMMYFUNCTION("GOOGLETRANSLATE(E102, ""en"", ""fr"")"),"Pour réussir un lancer parfait, le dos doit être la première partie du haut du corps à toucher le sol. Un appui de la main pour amortir la chute invalide le lancer.")</f>
        <v>Pour réussir un lancer parfait, le dos doit être la première partie du haut du corps à toucher le sol. Un appui de la main pour amortir la chute invalide le lancer.</v>
      </c>
    </row>
    <row r="103" ht="22.5" customHeight="1">
      <c r="A103" s="4">
        <v>102.0</v>
      </c>
      <c r="B103" s="5" t="s">
        <v>2051</v>
      </c>
      <c r="C103" s="5" t="s">
        <v>2052</v>
      </c>
      <c r="D103" s="5" t="s">
        <v>2053</v>
      </c>
      <c r="E103" s="5" t="s">
        <v>2054</v>
      </c>
      <c r="G103" s="6" t="str">
        <f>IFERROR(__xludf.DUMMYFUNCTION("GOOGLETRANSLATE(A103, ""en"", ""fr"")"),"102")</f>
        <v>102</v>
      </c>
      <c r="H103" s="6" t="str">
        <f>IFERROR(__xludf.DUMMYFUNCTION("GOOGLETRANSLATE(B103, ""en"", ""fr"")"),"Qu'est-ce qu'un « clic » (kliked) dans Gouren ?")</f>
        <v>Qu'est-ce qu'un « clic » (kliked) dans Gouren ?</v>
      </c>
      <c r="I103" s="6" t="str">
        <f>IFERROR(__xludf.DUMMYFUNCTION("GOOGLETRANSLATE(C103, ""en"", ""fr"")"),"A) Le son émis par l'arbitre, B) Un type de projection puissante avec enroulement ou roulade, C) Un blocage défensif avec le pied, D) Le nom de la ceinture du lutteur")</f>
        <v>A) Le son émis par l'arbitre, B) Un type de projection puissante avec enroulement ou roulade, C) Un blocage défensif avec le pied, D) Le nom de la ceinture du lutteur</v>
      </c>
      <c r="J103" s="6" t="str">
        <f>IFERROR(__xludf.DUMMYFUNCTION("GOOGLETRANSLATE(D103, ""en"", ""fr"")"),"B) Un type de puissant mécanisme d'enroulement ou de roulement")</f>
        <v>B) Un type de puissant mécanisme d'enroulement ou de roulement</v>
      </c>
      <c r="K103" s="6" t="str">
        <f>IFERROR(__xludf.DUMMYFUNCTION("GOOGLETRANSLATE(E103, ""en"", ""fr"")"),"Le kliked est l'un des lancers les plus caractéristiques et efficaces de ce sport, impliquant un puissant mouvement de rotation.")</f>
        <v>Le kliked est l'un des lancers les plus caractéristiques et efficaces de ce sport, impliquant un puissant mouvement de rotation.</v>
      </c>
    </row>
    <row r="104" ht="22.5" customHeight="1">
      <c r="A104" s="4">
        <v>103.0</v>
      </c>
      <c r="B104" s="5" t="s">
        <v>2055</v>
      </c>
      <c r="C104" s="5" t="s">
        <v>2056</v>
      </c>
      <c r="D104" s="5" t="s">
        <v>2057</v>
      </c>
      <c r="E104" s="5" t="s">
        <v>2058</v>
      </c>
      <c r="G104" s="6" t="str">
        <f>IFERROR(__xludf.DUMMYFUNCTION("GOOGLETRANSLATE(A104, ""en"", ""fr"")"),"103")</f>
        <v>103</v>
      </c>
      <c r="H104" s="6" t="str">
        <f>IFERROR(__xludf.DUMMYFUNCTION("GOOGLETRANSLATE(B104, ""en"", ""fr"")"),"Avant l'introduction des catégories de poids, comment les lutteurs étaient-ils généralement appariés ?")</f>
        <v>Avant l'introduction des catégories de poids, comment les lutteurs étaient-ils généralement appariés ?</v>
      </c>
      <c r="I104" s="6" t="str">
        <f>IFERROR(__xludf.DUMMYFUNCTION("GOOGLETRANSLATE(C104, ""en"", ""fr"")"),"A) Par l'âge, B) Par la taille, C) Par la réputation ou en lançant un défi ouvert, D) Par tirage au sort")</f>
        <v>A) Par l'âge, B) Par la taille, C) Par la réputation ou en lançant un défi ouvert, D) Par tirage au sort</v>
      </c>
      <c r="J104" s="6" t="str">
        <f>IFERROR(__xludf.DUMMYFUNCTION("GOOGLETRANSLATE(D104, ""en"", ""fr"")"),"C) Par sa réputation ou en lançant un défi ouvert")</f>
        <v>C) Par sa réputation ou en lançant un défi ouvert</v>
      </c>
      <c r="K104" s="6" t="str">
        <f>IFERROR(__xludf.DUMMYFUNCTION("GOOGLETRANSLATE(E104, ""en"", ""fr"")"),"Dans la formule traditionnelle, les lutteurs n'étaient pas appariés selon leur gabarit. Un homme plus petit pouvait défier un homme plus grand, comptant sur son habileté pour compenser son désavantage physique.")</f>
        <v>Dans la formule traditionnelle, les lutteurs n'étaient pas appariés selon leur gabarit. Un homme plus petit pouvait défier un homme plus grand, comptant sur son habileté pour compenser son désavantage physique.</v>
      </c>
    </row>
    <row r="105" ht="22.5" customHeight="1">
      <c r="A105" s="4">
        <v>104.0</v>
      </c>
      <c r="B105" s="5" t="s">
        <v>2059</v>
      </c>
      <c r="C105" s="5" t="s">
        <v>2060</v>
      </c>
      <c r="D105" s="5" t="s">
        <v>2061</v>
      </c>
      <c r="E105" s="5" t="s">
        <v>2062</v>
      </c>
      <c r="G105" s="6" t="str">
        <f>IFERROR(__xludf.DUMMYFUNCTION("GOOGLETRANSLATE(A105, ""en"", ""fr"")"),"104")</f>
        <v>104</v>
      </c>
      <c r="H105" s="6" t="str">
        <f>IFERROR(__xludf.DUMMYFUNCTION("GOOGLETRANSLATE(B105, ""en"", ""fr"")"),"La fédération Gouren moderne est affiliée à quelle instance sportive française plus importante ?")</f>
        <v>La fédération Gouren moderne est affiliée à quelle instance sportive française plus importante ?</v>
      </c>
      <c r="I105" s="6" t="str">
        <f>IFERROR(__xludf.DUMMYFUNCTION("GOOGLETRANSLATE(C105, ""en"", ""fr"")"),"A) La Fédération Française de Football, B) La Fédération Française de Judo, C) La Fédération Française de Lutte (FFL), D) Le Comité Olympique Français")</f>
        <v>A) La Fédération Française de Football, B) La Fédération Française de Judo, C) La Fédération Française de Lutte (FFL), D) Le Comité Olympique Français</v>
      </c>
      <c r="J105" s="6" t="str">
        <f>IFERROR(__xludf.DUMMYFUNCTION("GOOGLETRANSLATE(D105, ""en"", ""fr"")"),"C) La Fédération Française de Lutte (FFL)")</f>
        <v>C) La Fédération Française de Lutte (FFL)</v>
      </c>
      <c r="K105" s="6" t="str">
        <f>IFERROR(__xludf.DUMMYFUNCTION("GOOGLETRANSLATE(E105, ""en"", ""fr"")"),"Le gouren est officiellement reconnu et administré comme un style de lutte régional sous l'égide de la Fédération Française de Lutte.")</f>
        <v>Le gouren est officiellement reconnu et administré comme un style de lutte régional sous l'égide de la Fédération Française de Lutte.</v>
      </c>
    </row>
    <row r="106" ht="22.5" customHeight="1">
      <c r="A106" s="4">
        <v>105.0</v>
      </c>
      <c r="B106" s="5" t="s">
        <v>2063</v>
      </c>
      <c r="C106" s="5" t="s">
        <v>2064</v>
      </c>
      <c r="D106" s="5" t="s">
        <v>167</v>
      </c>
      <c r="E106" s="5" t="s">
        <v>2065</v>
      </c>
      <c r="G106" s="6" t="str">
        <f>IFERROR(__xludf.DUMMYFUNCTION("GOOGLETRANSLATE(A106, ""en"", ""fr"")"),"105")</f>
        <v>105</v>
      </c>
      <c r="H106" s="6" t="str">
        <f>IFERROR(__xludf.DUMMYFUNCTION("GOOGLETRANSLATE(B106, ""en"", ""fr"")"),"Quelle est la principale raison pour laquelle les coups (poings et pieds) sont interdits à Gouren ?")</f>
        <v>Quelle est la principale raison pour laquelle les coups (poings et pieds) sont interdits à Gouren ?</v>
      </c>
      <c r="I106" s="6" t="str">
        <f>IFERROR(__xludf.DUMMYFUNCTION("GOOGLETRANSLATE(C106, ""en"", ""fr"")"),"A) C'est un art martial de préhension pure, axé sur les projections et l'équilibre. B) Ce serait trop dangereux. C) Les lutteurs ne portent pas de gants. D) Toutes les réponses ci-dessus.")</f>
        <v>A) C'est un art martial de préhension pure, axé sur les projections et l'équilibre. B) Ce serait trop dangereux. C) Les lutteurs ne portent pas de gants. D) Toutes les réponses ci-dessus.</v>
      </c>
      <c r="J106" s="6" t="str">
        <f>IFERROR(__xludf.DUMMYFUNCTION("GOOGLETRANSLATE(D106, ""en"", ""fr"")"),"D) Toutes les réponses ci-dessus")</f>
        <v>D) Toutes les réponses ci-dessus</v>
      </c>
      <c r="K106" s="6" t="str">
        <f>IFERROR(__xludf.DUMMYFUNCTION("GOOGLETRANSLATE(E106, ""en"", ""fr"")"),"Les règles de Gouren ont été codifiées pour en faire un sport sûr et technique de lutte pure, distinct des arts martiaux de frappe.")</f>
        <v>Les règles de Gouren ont été codifiées pour en faire un sport sûr et technique de lutte pure, distinct des arts martiaux de frappe.</v>
      </c>
    </row>
    <row r="107" ht="22.5" customHeight="1">
      <c r="A107" s="4">
        <v>106.0</v>
      </c>
      <c r="B107" s="5" t="s">
        <v>2066</v>
      </c>
      <c r="C107" s="5" t="s">
        <v>2067</v>
      </c>
      <c r="D107" s="5" t="s">
        <v>2068</v>
      </c>
      <c r="E107" s="5" t="s">
        <v>2069</v>
      </c>
      <c r="G107" s="6" t="str">
        <f>IFERROR(__xludf.DUMMYFUNCTION("GOOGLETRANSLATE(A107, ""en"", ""fr"")"),"106")</f>
        <v>106</v>
      </c>
      <c r="H107" s="6" t="str">
        <f>IFERROR(__xludf.DUMMYFUNCTION("GOOGLETRANSLATE(B107, ""en"", ""fr"")"),"Le championnat européen annuel de lutte celtique présente différents styles. Quel est l'objectif de cet événement ?")</f>
        <v>Le championnat européen annuel de lutte celtique présente différents styles. Quel est l'objectif de cet événement ?</v>
      </c>
      <c r="I107" s="6" t="str">
        <f>IFERROR(__xludf.DUMMYFUNCTION("GOOGLETRANSLATE(C107, ""en"", ""fr"")"),"A) Prouver la supériorité du gouren, B) Favoriser les échanges culturels et la compétition amicale entre les nations celtiques, C) Créer un style de lutte nouveau et unifié, D) Se qualifier pour les Jeux olympiques")</f>
        <v>A) Prouver la supériorité du gouren, B) Favoriser les échanges culturels et la compétition amicale entre les nations celtiques, C) Créer un style de lutte nouveau et unifié, D) Se qualifier pour les Jeux olympiques</v>
      </c>
      <c r="J107" s="6" t="str">
        <f>IFERROR(__xludf.DUMMYFUNCTION("GOOGLETRANSLATE(D107, ""en"", ""fr"")"),"B) Favoriser les échanges culturels et la compétition amicale entre les nations celtiques")</f>
        <v>B) Favoriser les échanges culturels et la compétition amicale entre les nations celtiques</v>
      </c>
      <c r="K107" s="6" t="str">
        <f>IFERROR(__xludf.DUMMYFUNCTION("GOOGLETRANSLATE(E107, ""en"", ""fr"")"),"Ce championnat célèbre le patrimoine commun des différentes traditions de lutte celtique.")</f>
        <v>Ce championnat célèbre le patrimoine commun des différentes traditions de lutte celtique.</v>
      </c>
    </row>
    <row r="108" ht="22.5" customHeight="1">
      <c r="A108" s="4">
        <v>107.0</v>
      </c>
      <c r="B108" s="5" t="s">
        <v>2070</v>
      </c>
      <c r="C108" s="5" t="s">
        <v>2071</v>
      </c>
      <c r="D108" s="5" t="s">
        <v>2072</v>
      </c>
      <c r="E108" s="5" t="s">
        <v>2073</v>
      </c>
      <c r="G108" s="6" t="str">
        <f>IFERROR(__xludf.DUMMYFUNCTION("GOOGLETRANSLATE(A108, ""en"", ""fr"")"),"107")</f>
        <v>107</v>
      </c>
      <c r="H108" s="6" t="str">
        <f>IFERROR(__xludf.DUMMYFUNCTION("GOOGLETRANSLATE(B108, ""en"", ""fr"")"),"Quelle est la raison historique pour laquelle les pantalons de lin blanc des lutteurs sont appelés bragou ?")</f>
        <v>Quelle est la raison historique pour laquelle les pantalons de lin blanc des lutteurs sont appelés bragou ?</v>
      </c>
      <c r="I108" s="6" t="str">
        <f>IFERROR(__xludf.DUMMYFUNCTION("GOOGLETRANSLATE(C108, ""en"", ""fr"")"),"A) C'est le nom de la ville où ils ont été fabriqués pour la première fois. B) C'est l'ancien mot celtique et gaulois pour désigner les pantalons. C) Il porte le nom d'un lutteur célèbre. D) Il signifie « jambes fortes » en breton.")</f>
        <v>A) C'est le nom de la ville où ils ont été fabriqués pour la première fois. B) C'est l'ancien mot celtique et gaulois pour désigner les pantalons. C) Il porte le nom d'un lutteur célèbre. D) Il signifie « jambes fortes » en breton.</v>
      </c>
      <c r="J108" s="6" t="str">
        <f>IFERROR(__xludf.DUMMYFUNCTION("GOOGLETRANSLATE(D108, ""en"", ""fr"")"),"B) C'est l'ancien mot celtique et gaulois pour désigner un pantalon.")</f>
        <v>B) C'est l'ancien mot celtique et gaulois pour désigner un pantalon.</v>
      </c>
      <c r="K108" s="6" t="str">
        <f>IFERROR(__xludf.DUMMYFUNCTION("GOOGLETRANSLATE(E108, ""en"", ""fr"")"),"Le terme bragou est un lien linguistique direct avec l'ancien héritage celtique du peuple breton.")</f>
        <v>Le terme bragou est un lien linguistique direct avec l'ancien héritage celtique du peuple breton.</v>
      </c>
    </row>
    <row r="109" ht="22.5" customHeight="1">
      <c r="A109" s="4">
        <v>108.0</v>
      </c>
      <c r="B109" s="5" t="s">
        <v>2074</v>
      </c>
      <c r="C109" s="5" t="s">
        <v>2075</v>
      </c>
      <c r="D109" s="5" t="s">
        <v>2076</v>
      </c>
      <c r="E109" s="5" t="s">
        <v>2077</v>
      </c>
      <c r="G109" s="6" t="str">
        <f>IFERROR(__xludf.DUMMYFUNCTION("GOOGLETRANSLATE(A109, ""en"", ""fr"")"),"108")</f>
        <v>108</v>
      </c>
      <c r="H109" s="6" t="str">
        <f>IFERROR(__xludf.DUMMYFUNCTION("GOOGLETRANSLATE(B109, ""en"", ""fr"")"),"Un lutteur remporte une projection, et le résultat est un kostin. Qu'est-ce que cela signifie ?")</f>
        <v>Un lutteur remporte une projection, et le résultat est un kostin. Qu'est-ce que cela signifie ?</v>
      </c>
      <c r="I109" s="6" t="str">
        <f>IFERROR(__xludf.DUMMYFUNCTION("GOOGLETRANSLATE(C109, ""en"", ""fr"")"),"A) L'adversaire a été blessé. B) La projection était parfaite. C) La projection n'a été que partiellement réussie, les deux lutteurs tombant. D) Le lutteur a triché.")</f>
        <v>A) L'adversaire a été blessé. B) La projection était parfaite. C) La projection n'a été que partiellement réussie, les deux lutteurs tombant. D) Le lutteur a triché.</v>
      </c>
      <c r="J109" s="6" t="str">
        <f>IFERROR(__xludf.DUMMYFUNCTION("GOOGLETRANSLATE(D109, ""en"", ""fr"")"),"C) La projection n'a été que partiellement réussie, les deux lutteurs tombant.")</f>
        <v>C) La projection n'a été que partiellement réussie, les deux lutteurs tombant.</v>
      </c>
      <c r="K109" s="6" t="str">
        <f>IFERROR(__xludf.DUMMYFUNCTION("GOOGLETRANSLATE(E109, ""en"", ""fr"")"),"Un kostin est un résultat où l'attaquant perd également l'équilibre et tombe, ce qui est un résultat moindre qu'un lamm propre.")</f>
        <v>Un kostin est un résultat où l'attaquant perd également l'équilibre et tombe, ce qui est un résultat moindre qu'un lamm propre.</v>
      </c>
    </row>
    <row r="110" ht="22.5" customHeight="1">
      <c r="A110" s="4">
        <v>109.0</v>
      </c>
      <c r="B110" s="5" t="s">
        <v>2078</v>
      </c>
      <c r="C110" s="5" t="s">
        <v>2079</v>
      </c>
      <c r="D110" s="5" t="s">
        <v>2080</v>
      </c>
      <c r="E110" s="5" t="s">
        <v>2081</v>
      </c>
      <c r="G110" s="6" t="str">
        <f>IFERROR(__xludf.DUMMYFUNCTION("GOOGLETRANSLATE(A110, ""en"", ""fr"")"),"109")</f>
        <v>109</v>
      </c>
      <c r="H110" s="6" t="str">
        <f>IFERROR(__xludf.DUMMYFUNCTION("GOOGLETRANSLATE(B110, ""en"", ""fr"")"),"Quelle est la principale caractéristique du style « Gouren Cadours », une variante historique ?")</f>
        <v>Quelle est la principale caractéristique du style « Gouren Cadours », une variante historique ?</v>
      </c>
      <c r="I110" s="6" t="str">
        <f>IFERROR(__xludf.DUMMYFUNCTION("GOOGLETRANSLATE(C110, ""en"", ""fr"")"),"A) Il utilisait des armes, B) C'était une forme de lutte au sol, C) Il était connu pour ses projections particulièrement puissantes, D) C'était une version par équipe")</f>
        <v>A) Il utilisait des armes, B) C'était une forme de lutte au sol, C) Il était connu pour ses projections particulièrement puissantes, D) C'était une version par équipe</v>
      </c>
      <c r="J110" s="6" t="str">
        <f>IFERROR(__xludf.DUMMYFUNCTION("GOOGLETRANSLATE(D110, ""en"", ""fr"")"),"C) Il était connu pour ses lancers particulièrement puissants.")</f>
        <v>C) Il était connu pour ses lancers particulièrement puissants.</v>
      </c>
      <c r="K110" s="6" t="str">
        <f>IFERROR(__xludf.DUMMYFUNCTION("GOOGLETRANSLATE(E110, ""en"", ""fr"")"),"Il s'agissait d'un style régional réputé, les lutteurs de la région de Cadours étant reconnus pour leur force.")</f>
        <v>Il s'agissait d'un style régional réputé, les lutteurs de la région de Cadours étant reconnus pour leur force.</v>
      </c>
    </row>
    <row r="111" ht="22.5" customHeight="1">
      <c r="A111" s="4">
        <v>110.0</v>
      </c>
      <c r="B111" s="5" t="s">
        <v>2082</v>
      </c>
      <c r="C111" s="5" t="s">
        <v>2083</v>
      </c>
      <c r="D111" s="5" t="s">
        <v>835</v>
      </c>
      <c r="E111" s="5" t="s">
        <v>2084</v>
      </c>
      <c r="G111" s="6" t="str">
        <f>IFERROR(__xludf.DUMMYFUNCTION("GOOGLETRANSLATE(A111, ""en"", ""fr"")"),"110")</f>
        <v>110</v>
      </c>
      <c r="H111" s="6" t="str">
        <f>IFERROR(__xludf.DUMMYFUNCTION("GOOGLETRANSLATE(B111, ""en"", ""fr"")"),"Pourquoi les tournois du XIXe siècle se déroulaient-ils souvent dans une simple prairie (prat) ?")</f>
        <v>Pourquoi les tournois du XIXe siècle se déroulaient-ils souvent dans une simple prairie (prat) ?</v>
      </c>
      <c r="I111" s="6" t="str">
        <f>IFERROR(__xludf.DUMMYFUNCTION("GOOGLETRANSLATE(C111, ""en"", ""fr"")"),"A) C'était le seul espace disponible dans le village. B) L'herbe douce offrait une surface sûre en cas de chute. C) C'était une tradition d'être proche de la nature. D) A et B.")</f>
        <v>A) C'était le seul espace disponible dans le village. B) L'herbe douce offrait une surface sûre en cas de chute. C) C'était une tradition d'être proche de la nature. D) A et B.</v>
      </c>
      <c r="J111" s="6" t="str">
        <f>IFERROR(__xludf.DUMMYFUNCTION("GOOGLETRANSLATE(D111, ""en"", ""fr"")"),"D) A et B")</f>
        <v>D) A et B</v>
      </c>
      <c r="K111" s="6" t="str">
        <f>IFERROR(__xludf.DUMMYFUNCTION("GOOGLETRANSLATE(E111, ""en"", ""fr"")"),"La prairie du village était un choix pratique et sûr, offrant une arène naturelle et amortissante pour les combats de lutte.")</f>
        <v>La prairie du village était un choix pratique et sûr, offrant une arène naturelle et amortissante pour les combats de lutte.</v>
      </c>
    </row>
    <row r="112" ht="22.5" customHeight="1">
      <c r="A112" s="4">
        <v>111.0</v>
      </c>
      <c r="B112" s="5" t="s">
        <v>2085</v>
      </c>
      <c r="C112" s="5" t="s">
        <v>2086</v>
      </c>
      <c r="D112" s="5" t="s">
        <v>2087</v>
      </c>
      <c r="E112" s="5" t="s">
        <v>2088</v>
      </c>
      <c r="G112" s="6" t="str">
        <f>IFERROR(__xludf.DUMMYFUNCTION("GOOGLETRANSLATE(A112, ""en"", ""fr"")"),"111")</f>
        <v>111</v>
      </c>
      <c r="H112" s="6" t="str">
        <f>IFERROR(__xludf.DUMMYFUNCTION("GOOGLETRANSLATE(B112, ""en"", ""fr"")"),"Quelle est la principale différence entre Gouren et Swiss Schwingen ?")</f>
        <v>Quelle est la principale différence entre Gouren et Swiss Schwingen ?</v>
      </c>
      <c r="I112" s="6" t="str">
        <f>IFERROR(__xludf.DUMMYFUNCTION("GOOGLETRANSLATE(C112, ""en"", ""fr"")"),"A) Le Schwingen est plus ancien, B) Les lutteurs de Schwingen portent des shorts spéciaux en toile pour une meilleure prise, tandis que ceux de Gouren utilisent une veste, C) Le Schwingen est un sport d'équipe, D) Le Gouren est plus populaire")</f>
        <v>A) Le Schwingen est plus ancien, B) Les lutteurs de Schwingen portent des shorts spéciaux en toile pour une meilleure prise, tandis que ceux de Gouren utilisent une veste, C) Le Schwingen est un sport d'équipe, D) Le Gouren est plus populaire</v>
      </c>
      <c r="J112" s="6" t="str">
        <f>IFERROR(__xludf.DUMMYFUNCTION("GOOGLETRANSLATE(D112, ""en"", ""fr"")"),"B) Les lutteurs de Schwingen portent des shorts spéciaux en toile pour la prise, tandis que ceux de Gouren utilisent une veste")</f>
        <v>B) Les lutteurs de Schwingen portent des shorts spéciaux en toile pour la prise, tandis que ceux de Gouren utilisent une veste</v>
      </c>
      <c r="K112" s="6" t="str">
        <f>IFERROR(__xludf.DUMMYFUNCTION("GOOGLETRANSLATE(E112, ""en"", ""fr"")"),"Ce sont deux styles de lutte traditionnelle européenne, mais leurs règles et leurs techniques de prise diffèrent. Le Schwingen privilégie la prise sur le short de l'adversaire.")</f>
        <v>Ce sont deux styles de lutte traditionnelle européenne, mais leurs règles et leurs techniques de prise diffèrent. Le Schwingen privilégie la prise sur le short de l'adversaire.</v>
      </c>
    </row>
    <row r="113" ht="22.5" customHeight="1">
      <c r="A113" s="4">
        <v>112.0</v>
      </c>
      <c r="B113" s="5" t="s">
        <v>2089</v>
      </c>
      <c r="C113" s="5" t="s">
        <v>2090</v>
      </c>
      <c r="D113" s="5" t="s">
        <v>2091</v>
      </c>
      <c r="E113" s="5" t="s">
        <v>2092</v>
      </c>
      <c r="G113" s="6" t="str">
        <f>IFERROR(__xludf.DUMMYFUNCTION("GOOGLETRANSLATE(A113, ""en"", ""fr"")"),"112")</f>
        <v>112</v>
      </c>
      <c r="H113" s="6" t="str">
        <f>IFERROR(__xludf.DUMMYFUNCTION("GOOGLETRANSLATE(B113, ""en"", ""fr"")"),"La FILC compte des membres islandais. Comment s'appelle leur style de lutte traditionnel ?")</f>
        <v>La FILC compte des membres islandais. Comment s'appelle leur style de lutte traditionnel ?</v>
      </c>
      <c r="I113" s="6" t="str">
        <f>IFERROR(__xludf.DUMMYFUNCTION("GOOGLETRANSLATE(C113, ""en"", ""fr"")"),"A) Schwingen, B) Glima, C) Prise arrière, D) Cornish")</f>
        <v>A) Schwingen, B) Glima, C) Prise arrière, D) Cornish</v>
      </c>
      <c r="J113" s="6" t="str">
        <f>IFERROR(__xludf.DUMMYFUNCTION("GOOGLETRANSLATE(D113, ""en"", ""fr"")"),"B) Glima")</f>
        <v>B) Glima</v>
      </c>
      <c r="K113" s="6" t="str">
        <f>IFERROR(__xludf.DUMMYFUNCTION("GOOGLETRANSLATE(E113, ""en"", ""fr"")"),"Le glima, l'ancien style de lutte des Vikings, est également membre de la Fédération internationale de lutte celtique.")</f>
        <v>Le glima, l'ancien style de lutte des Vikings, est également membre de la Fédération internationale de lutte celtique.</v>
      </c>
    </row>
    <row r="114" ht="22.5" customHeight="1">
      <c r="A114" s="4">
        <v>113.0</v>
      </c>
      <c r="B114" s="5" t="s">
        <v>2093</v>
      </c>
      <c r="C114" s="5" t="s">
        <v>2094</v>
      </c>
      <c r="D114" s="5" t="s">
        <v>2095</v>
      </c>
      <c r="E114" s="5" t="s">
        <v>2096</v>
      </c>
      <c r="G114" s="6" t="str">
        <f>IFERROR(__xludf.DUMMYFUNCTION("GOOGLETRANSLATE(A114, ""en"", ""fr"")"),"113")</f>
        <v>113</v>
      </c>
      <c r="H114" s="6" t="str">
        <f>IFERROR(__xludf.DUMMYFUNCTION("GOOGLETRANSLATE(B114, ""en"", ""fr"")"),"Un lutteur est pénalisé pour avoir saisi son adversaire sous la ceinture. Cette décision est-elle justifiée ?")</f>
        <v>Un lutteur est pénalisé pour avoir saisi son adversaire sous la ceinture. Cette décision est-elle justifiée ?</v>
      </c>
      <c r="I114" s="6" t="str">
        <f>IFERROR(__xludf.DUMMYFUNCTION("GOOGLETRANSLATE(C114, ""en"", ""fr"")"),"A) Non, toutes les prises sont autorisées. B) Oui, toutes les prises doivent être effectuées sur la veste, au-dessus de la ceinture. C) Uniquement lors des tournois majeurs. D) Uniquement si l'adversaire se plaint.")</f>
        <v>A) Non, toutes les prises sont autorisées. B) Oui, toutes les prises doivent être effectuées sur la veste, au-dessus de la ceinture. C) Uniquement lors des tournois majeurs. D) Uniquement si l'adversaire se plaint.</v>
      </c>
      <c r="J114" s="6" t="str">
        <f>IFERROR(__xludf.DUMMYFUNCTION("GOOGLETRANSLATE(D114, ""en"", ""fr"")"),"B) Oui, toutes les poignées doivent être sur la veste, au-dessus de la ceinture.")</f>
        <v>B) Oui, toutes les poignées doivent être sur la veste, au-dessus de la ceinture.</v>
      </c>
      <c r="K114" s="6" t="str">
        <f>IFERROR(__xludf.DUMMYFUNCTION("GOOGLETRANSLATE(E114, ""en"", ""fr"")"),"Les règles du Gouren sont très précises concernant la zone de prise légale, qui est limitée à la veste de lutte de l'adversaire.")</f>
        <v>Les règles du Gouren sont très précises concernant la zone de prise légale, qui est limitée à la veste de lutte de l'adversaire.</v>
      </c>
    </row>
    <row r="115" ht="22.5" customHeight="1">
      <c r="A115" s="4">
        <v>114.0</v>
      </c>
      <c r="B115" s="5" t="s">
        <v>2097</v>
      </c>
      <c r="C115" s="5" t="s">
        <v>2098</v>
      </c>
      <c r="D115" s="5" t="s">
        <v>2099</v>
      </c>
      <c r="E115" s="5" t="s">
        <v>2042</v>
      </c>
      <c r="G115" s="6" t="str">
        <f>IFERROR(__xludf.DUMMYFUNCTION("GOOGLETRANSLATE(A115, ""en"", ""fr"")"),"114")</f>
        <v>114</v>
      </c>
      <c r="H115" s="6" t="str">
        <f>IFERROR(__xludf.DUMMYFUNCTION("GOOGLETRANSLATE(B115, ""en"", ""fr"")"),"Quelle est la signification de l'année 1930 dans l'histoire de Gouren ?")</f>
        <v>Quelle est la signification de l'année 1930 dans l'histoire de Gouren ?</v>
      </c>
      <c r="I115" s="6" t="str">
        <f>IFERROR(__xludf.DUMMYFUNCTION("GOOGLETRANSLATE(C115, ""en"", ""fr"")"),"A) C'était l'année du premier match international. B) C'était l'année où Charles Cottonec a codifié les règles et fondé la première fédération. C) C'était l'année où le sport a été interdit. D) C'était l'année où le dernier match traditionnel a eu lieu.")</f>
        <v>A) C'était l'année du premier match international. B) C'était l'année où Charles Cottonec a codifié les règles et fondé la première fédération. C) C'était l'année où le sport a été interdit. D) C'était l'année où le dernier match traditionnel a eu lieu.</v>
      </c>
      <c r="J115" s="6" t="str">
        <f>IFERROR(__xludf.DUMMYFUNCTION("GOOGLETRANSLATE(D115, ""en"", ""fr"")"),"B) C'est l'année où Charles Cottonec a codifié les règles et fondé la première fédération")</f>
        <v>B) C'est l'année où Charles Cottonec a codifié les règles et fondé la première fédération</v>
      </c>
      <c r="K115" s="6" t="str">
        <f>IFERROR(__xludf.DUMMYFUNCTION("GOOGLETRANSLATE(E115, ""en"", ""fr"")"),"1930 est une date charnière, marquant la transition du gouren d'une tradition folklorique désorganisée à un sport moderne et réglementé.")</f>
        <v>1930 est une date charnière, marquant la transition du gouren d'une tradition folklorique désorganisée à un sport moderne et réglementé.</v>
      </c>
    </row>
    <row r="116" ht="22.5" customHeight="1">
      <c r="A116" s="4">
        <v>115.0</v>
      </c>
      <c r="B116" s="5" t="s">
        <v>2100</v>
      </c>
      <c r="C116" s="5" t="s">
        <v>2101</v>
      </c>
      <c r="D116" s="5" t="s">
        <v>2102</v>
      </c>
      <c r="E116" s="5" t="s">
        <v>2103</v>
      </c>
      <c r="G116" s="6" t="str">
        <f>IFERROR(__xludf.DUMMYFUNCTION("GOOGLETRANSLATE(A116, ""en"", ""fr"")"),"115")</f>
        <v>115</v>
      </c>
      <c r="H116" s="6" t="str">
        <f>IFERROR(__xludf.DUMMYFUNCTION("GOOGLETRANSLATE(B116, ""en"", ""fr"")"),"Que représentait souvent pour le vainqueur le prix historique d'un animal vivant ?")</f>
        <v>Que représentait souvent pour le vainqueur le prix historique d'un animal vivant ?</v>
      </c>
      <c r="I116" s="6" t="str">
        <f>IFERROR(__xludf.DUMMYFUNCTION("GOOGLETRANSLATE(C116, ""en"", ""fr"")"),"A) Le cuisiner pour un festin, B) Maîtriser et conduire avec succès l'animal hors de l'arène, C) Le vendre immédiatement, D) Le remettre à l'arbitre")</f>
        <v>A) Le cuisiner pour un festin, B) Maîtriser et conduire avec succès l'animal hors de l'arène, C) Le vendre immédiatement, D) Le remettre à l'arbitre</v>
      </c>
      <c r="J116" s="6" t="str">
        <f>IFERROR(__xludf.DUMMYFUNCTION("GOOGLETRANSLATE(D116, ""en"", ""fr"")"),"B) Maîtriser et éloigner l'animal de l'arène avec succès")</f>
        <v>B) Maîtriser et éloigner l'animal de l'arène avec succès</v>
      </c>
      <c r="K116" s="6" t="str">
        <f>IFERROR(__xludf.DUMMYFUNCTION("GOOGLETRANSLATE(E116, ""en"", ""fr"")"),"Il s'agissait d'une épreuve finale, souvent humoristique, mettant à l'épreuve la force et l'habileté du champion.")</f>
        <v>Il s'agissait d'une épreuve finale, souvent humoristique, mettant à l'épreuve la force et l'habileté du champion.</v>
      </c>
    </row>
    <row r="117" ht="22.5" customHeight="1">
      <c r="A117" s="4">
        <v>116.0</v>
      </c>
      <c r="B117" s="5" t="s">
        <v>2104</v>
      </c>
      <c r="C117" s="5" t="s">
        <v>2004</v>
      </c>
      <c r="D117" s="5" t="s">
        <v>2005</v>
      </c>
      <c r="E117" s="5" t="s">
        <v>2006</v>
      </c>
      <c r="G117" s="6" t="str">
        <f>IFERROR(__xludf.DUMMYFUNCTION("GOOGLETRANSLATE(A117, ""en"", ""fr"")"),"116")</f>
        <v>116</v>
      </c>
      <c r="H117" s="6" t="str">
        <f>IFERROR(__xludf.DUMMYFUNCTION("GOOGLETRANSLATE(B117, ""en"", ""fr"")"),"Quel est l'objectif principal des manifestations estivales de Gouren ?")</f>
        <v>Quel est l'objectif principal des manifestations estivales de Gouren ?</v>
      </c>
      <c r="I117" s="6" t="str">
        <f>IFERROR(__xludf.DUMMYFUNCTION("GOOGLETRANSLATE(C117, ""en"", ""fr"")"),"A) Générer des revenus pour les clubs, B) Maintenir la tradition vivante et visible, et faire découvrir le sport aux touristes et aux locaux, C) Organiser une compétition officielle, D) Former de nouveaux arbitres")</f>
        <v>A) Générer des revenus pour les clubs, B) Maintenir la tradition vivante et visible, et faire découvrir le sport aux touristes et aux locaux, C) Organiser une compétition officielle, D) Former de nouveaux arbitres</v>
      </c>
      <c r="J117" s="6" t="str">
        <f>IFERROR(__xludf.DUMMYFUNCTION("GOOGLETRANSLATE(D117, ""en"", ""fr"")"),"B) Maintenir la tradition vivante et visible, et faire découvrir ce sport aux touristes et aux locaux.")</f>
        <v>B) Maintenir la tradition vivante et visible, et faire découvrir ce sport aux touristes et aux locaux.</v>
      </c>
      <c r="K117" s="6" t="str">
        <f>IFERROR(__xludf.DUMMYFUNCTION("GOOGLETRANSLATE(E117, ""en"", ""fr"")"),"Ces démonstrations constituent un élément clé du rayonnement culturel de ce sport, garantissant qu'il reste une composante dynamique de la vie estivale bretonne moderne.")</f>
        <v>Ces démonstrations constituent un élément clé du rayonnement culturel de ce sport, garantissant qu'il reste une composante dynamique de la vie estivale bretonne moderne.</v>
      </c>
    </row>
    <row r="118" ht="22.5" customHeight="1">
      <c r="A118" s="4">
        <v>117.0</v>
      </c>
      <c r="B118" s="5" t="s">
        <v>2105</v>
      </c>
      <c r="C118" s="5" t="s">
        <v>1996</v>
      </c>
      <c r="D118" s="5" t="s">
        <v>1997</v>
      </c>
      <c r="E118" s="5" t="s">
        <v>1998</v>
      </c>
      <c r="G118" s="6" t="str">
        <f>IFERROR(__xludf.DUMMYFUNCTION("GOOGLETRANSLATE(A118, ""en"", ""fr"")"),"117")</f>
        <v>117</v>
      </c>
      <c r="H118" s="6" t="str">
        <f>IFERROR(__xludf.DUMMYFUNCTION("GOOGLETRANSLATE(B118, ""en"", ""fr"")"),"La renaissance de Gouren est un exemple de quel phénomène culturel ?")</f>
        <v>La renaissance de Gouren est un exemple de quel phénomène culturel ?</v>
      </c>
      <c r="I118" s="6" t="str">
        <f>IFERROR(__xludf.DUMMYFUNCTION("GOOGLETRANSLATE(C118, ""en"", ""fr"")"),"A) La mondialisation, B) L'invention de la tradition, C) Un mouvement de renaissance celtique, D) Une protestation politique")</f>
        <v>A) La mondialisation, B) L'invention de la tradition, C) Un mouvement de renaissance celtique, D) Une protestation politique</v>
      </c>
      <c r="J118" s="6" t="str">
        <f>IFERROR(__xludf.DUMMYFUNCTION("GOOGLETRANSLATE(D118, ""en"", ""fr"")"),"C) Un mouvement de renaissance celtique")</f>
        <v>C) Un mouvement de renaissance celtique</v>
      </c>
      <c r="K118" s="6" t="str">
        <f>IFERROR(__xludf.DUMMYFUNCTION("GOOGLETRANSLATE(E118, ""en"", ""fr"")"),"Les efforts déployés pour sauver Gouren s'inscrivaient dans un mouvement culturel et politique plus large visant à préserver et à promouvoir l'identité distincte des nations celtiques.")</f>
        <v>Les efforts déployés pour sauver Gouren s'inscrivaient dans un mouvement culturel et politique plus large visant à préserver et à promouvoir l'identité distincte des nations celtiques.</v>
      </c>
    </row>
    <row r="119" ht="22.5" customHeight="1">
      <c r="A119" s="4">
        <v>118.0</v>
      </c>
      <c r="B119" s="5" t="s">
        <v>2106</v>
      </c>
      <c r="C119" s="5" t="s">
        <v>2000</v>
      </c>
      <c r="D119" s="5" t="s">
        <v>2001</v>
      </c>
      <c r="E119" s="5" t="s">
        <v>2107</v>
      </c>
      <c r="G119" s="6" t="str">
        <f>IFERROR(__xludf.DUMMYFUNCTION("GOOGLETRANSLATE(A119, ""en"", ""fr"")"),"118")</f>
        <v>118</v>
      </c>
      <c r="H119" s="6" t="str">
        <f>IFERROR(__xludf.DUMMYFUNCTION("GOOGLETRANSLATE(B119, ""en"", ""fr"")"),"Au XIXe siècle, combien de temps pouvait durer un seul combat ?")</f>
        <v>Au XIXe siècle, combien de temps pouvait durer un seul combat ?</v>
      </c>
      <c r="I119" s="6" t="str">
        <f>IFERROR(__xludf.DUMMYFUNCTION("GOOGLETRANSLATE(C119, ""en"", ""fr"")"),"A) Cinq minutes maximum, B) Cela pourrait durer une heure ou plus, jusqu'à ce qu'un lutteur soit mis hors de combat, C) Exactement dix minutes, D) Tant que la musique joue")</f>
        <v>A) Cinq minutes maximum, B) Cela pourrait durer une heure ou plus, jusqu'à ce qu'un lutteur soit mis hors de combat, C) Exactement dix minutes, D) Tant que la musique joue</v>
      </c>
      <c r="J119" s="6" t="str">
        <f>IFERROR(__xludf.DUMMYFUNCTION("GOOGLETRANSLATE(D119, ""en"", ""fr"")"),"B) Cela pourrait durer une heure ou plus, jusqu'à ce qu'un lutteur soit jeté")</f>
        <v>B) Cela pourrait durer une heure ou plus, jusqu'à ce qu'un lutteur soit jeté</v>
      </c>
      <c r="K119" s="6" t="str">
        <f>IFERROR(__xludf.DUMMYFUNCTION("GOOGLETRANSLATE(E119, ""en"", ""fr"")"),"Sans limite de temps, les combats étaient des épreuves d'endurance exténuantes, et pouvaient durer très longtemps jusqu'à ce qu'une chute décisive survienne.")</f>
        <v>Sans limite de temps, les combats étaient des épreuves d'endurance exténuantes, et pouvaient durer très longtemps jusqu'à ce qu'une chute décisive survienne.</v>
      </c>
    </row>
    <row r="120" ht="22.5" customHeight="1">
      <c r="A120" s="4">
        <v>119.0</v>
      </c>
      <c r="B120" s="5" t="s">
        <v>2108</v>
      </c>
      <c r="C120" s="5" t="s">
        <v>2109</v>
      </c>
      <c r="D120" s="5" t="s">
        <v>2110</v>
      </c>
      <c r="E120" s="5" t="s">
        <v>2014</v>
      </c>
      <c r="G120" s="6" t="str">
        <f>IFERROR(__xludf.DUMMYFUNCTION("GOOGLETRANSLATE(A120, ""en"", ""fr"")"),"119")</f>
        <v>119</v>
      </c>
      <c r="H120" s="6" t="str">
        <f>IFERROR(__xludf.DUMMYFUNCTION("GOOGLETRANSLATE(B120, ""en"", ""fr"")"),"Un lutteur effectue une projection et son adversaire retombe sur le côté. Quelle est la décision arbitrale ?")</f>
        <v>Un lutteur effectue une projection et son adversaire retombe sur le côté. Quelle est la décision arbitrale ?</v>
      </c>
      <c r="I120" s="6" t="str">
        <f>IFERROR(__xludf.DUMMYFUNCTION("GOOGLETRANSLATE(C120, ""en"", ""fr"")"),"A) Un point entier est accordé. B) Aucun point n'est accordé ; le match est réinitialisé. C) Un score partiel est accordé. D) Le lancer doit être refait.")</f>
        <v>A) Un point entier est accordé. B) Aucun point n'est accordé ; le match est réinitialisé. C) Un score partiel est accordé. D) Le lancer doit être refait.</v>
      </c>
      <c r="J120" s="6" t="str">
        <f>IFERROR(__xludf.DUMMYFUNCTION("GOOGLETRANSLATE(D120, ""en"", ""fr"")"),"B) Aucun point n'est attribué ; le match est réinitialisé.")</f>
        <v>B) Aucun point n'est attribué ; le match est réinitialisé.</v>
      </c>
      <c r="K120" s="6" t="str">
        <f>IFERROR(__xludf.DUMMYFUNCTION("GOOGLETRANSLATE(E120, ""en"", ""fr"")"),"Pour être valide, la projection doit avoir pour effet que le dos de l'adversaire, et plus précisément ses deux omoplates, touche le sol. Une chute latérale ne compte pas.")</f>
        <v>Pour être valide, la projection doit avoir pour effet que le dos de l'adversaire, et plus précisément ses deux omoplates, touche le sol. Une chute latérale ne compte pas.</v>
      </c>
    </row>
    <row r="121" ht="22.5" customHeight="1">
      <c r="A121" s="4">
        <v>120.0</v>
      </c>
      <c r="B121" s="5" t="s">
        <v>2111</v>
      </c>
      <c r="C121" s="5" t="s">
        <v>2112</v>
      </c>
      <c r="D121" s="5" t="s">
        <v>1944</v>
      </c>
      <c r="E121" s="5" t="s">
        <v>2034</v>
      </c>
      <c r="G121" s="6" t="str">
        <f>IFERROR(__xludf.DUMMYFUNCTION("GOOGLETRANSLATE(A121, ""en"", ""fr"")"),"120")</f>
        <v>120</v>
      </c>
      <c r="H121" s="6" t="str">
        <f>IFERROR(__xludf.DUMMYFUNCTION("GOOGLETRANSLATE(B121, ""en"", ""fr"")"),"Quelle est la raison historique pour laquelle le Gouren est une forme de lutte qui se pratique uniquement debout ?")</f>
        <v>Quelle est la raison historique pour laquelle le Gouren est une forme de lutte qui se pratique uniquement debout ?</v>
      </c>
      <c r="I121" s="6" t="str">
        <f>IFERROR(__xludf.DUMMYFUNCTION("GOOGLETRANSLATE(C121, ""en"", ""fr"")"),"A) Le sol était considéré comme sacré, B) Cela a évolué à partir de techniques militaires où tomber au combat était fatal, C) Combattre au sol était considéré comme déshonorant, D) C'est une règle moderne de sécurité")</f>
        <v>A) Le sol était considéré comme sacré, B) Cela a évolué à partir de techniques militaires où tomber au combat était fatal, C) Combattre au sol était considéré comme déshonorant, D) C'est une règle moderne de sécurité</v>
      </c>
      <c r="J121" s="6" t="str">
        <f>IFERROR(__xludf.DUMMYFUNCTION("GOOGLETRANSLATE(D121, ""en"", ""fr"")"),"B) Elle est issue de techniques militaires où tomber au combat était fatal")</f>
        <v>B) Elle est issue de techniques militaires où tomber au combat était fatal</v>
      </c>
      <c r="K121" s="6" t="str">
        <f>IFERROR(__xludf.DUMMYFUNCTION("GOOGLETRANSLATE(E121, ""en"", ""fr"")"),"L'objectif était de projeter un adversaire au sol et de rester debout, prêt à affronter le suivant. Être au sol représentait une position d'extrême vulnérabilité au combat.")</f>
        <v>L'objectif était de projeter un adversaire au sol et de rester debout, prêt à affronter le suivant. Être au sol représentait une position d'extrême vulnérabilité au combat.</v>
      </c>
    </row>
    <row r="122" ht="22.5" customHeight="1">
      <c r="A122" s="4">
        <v>121.0</v>
      </c>
      <c r="B122" s="5" t="s">
        <v>2019</v>
      </c>
      <c r="C122" s="5" t="s">
        <v>2020</v>
      </c>
      <c r="D122" s="5" t="s">
        <v>2021</v>
      </c>
      <c r="E122" s="5" t="s">
        <v>2022</v>
      </c>
      <c r="G122" s="6" t="str">
        <f>IFERROR(__xludf.DUMMYFUNCTION("GOOGLETRANSLATE(A122, ""en"", ""fr"")"),"121")</f>
        <v>121</v>
      </c>
      <c r="H122" s="6" t="str">
        <f>IFERROR(__xludf.DUMMYFUNCTION("GOOGLETRANSLATE(B122, ""en"", ""fr"")"),"Quelle est la principale raison pour laquelle la noblesse a abandonné la pratique du Gouren ?")</f>
        <v>Quelle est la principale raison pour laquelle la noblesse a abandonné la pratique du Gouren ?</v>
      </c>
      <c r="I122" s="6" t="str">
        <f>IFERROR(__xludf.DUMMYFUNCTION("GOOGLETRANSLATE(C122, ""en"", ""fr"")"),"A) Ils le trouvaient trop difficile, B) Un décret royal l'interdit aux nobles, C) Il fut considéré comme un « passe-temps de paysans » et n'était plus à la mode, D) Ils préféraient le tennis")</f>
        <v>A) Ils le trouvaient trop difficile, B) Un décret royal l'interdit aux nobles, C) Il fut considéré comme un « passe-temps de paysans » et n'était plus à la mode, D) Ils préféraient le tennis</v>
      </c>
      <c r="J122" s="6" t="str">
        <f>IFERROR(__xludf.DUMMYFUNCTION("GOOGLETRANSLATE(D122, ""en"", ""fr"")"),"C) Il fut perçu comme un « passe-temps de paysans » et n'était plus à la mode.")</f>
        <v>C) Il fut perçu comme un « passe-temps de paysans » et n'était plus à la mode.</v>
      </c>
      <c r="K122" s="6" t="str">
        <f>IFERROR(__xludf.DUMMYFUNCTION("GOOGLETRANSLATE(E122, ""en"", ""fr"")"),"Avec l'évolution de la société, l'aristocratie commença à considérer ce sport populaire, rude et physique, comme vulgaire et indigne de son rang.")</f>
        <v>Avec l'évolution de la société, l'aristocratie commença à considérer ce sport populaire, rude et physique, comme vulgaire et indigne de son rang.</v>
      </c>
    </row>
    <row r="123" ht="22.5" customHeight="1">
      <c r="A123" s="4">
        <v>122.0</v>
      </c>
      <c r="B123" s="5" t="s">
        <v>2113</v>
      </c>
      <c r="C123" s="5" t="s">
        <v>1988</v>
      </c>
      <c r="D123" s="5" t="s">
        <v>1989</v>
      </c>
      <c r="E123" s="5" t="s">
        <v>1990</v>
      </c>
      <c r="G123" s="6" t="str">
        <f>IFERROR(__xludf.DUMMYFUNCTION("GOOGLETRANSLATE(A123, ""en"", ""fr"")"),"122")</f>
        <v>122</v>
      </c>
      <c r="H123" s="6" t="str">
        <f>IFERROR(__xludf.DUMMYFUNCTION("GOOGLETRANSLATE(B123, ""en"", ""fr"")"),"Quelle est la signification du serment récité en langue bretonne ?")</f>
        <v>Quelle est la signification du serment récité en langue bretonne ?</v>
      </c>
      <c r="I123" s="6" t="str">
        <f>IFERROR(__xludf.DUMMYFUNCTION("GOOGLETRANSLATE(C123, ""en"", ""fr"")"),"A) C'est une règle du gouvernement français, B) C'est une invention moderne pour les touristes, C) Cela renforce l'identité de ce sport comme une composante unique et vivante de la culture bretonne, D) Les lutteurs ne parlent pas français")</f>
        <v>A) C'est une règle du gouvernement français, B) C'est une invention moderne pour les touristes, C) Cela renforce l'identité de ce sport comme une composante unique et vivante de la culture bretonne, D) Les lutteurs ne parlent pas français</v>
      </c>
      <c r="J123" s="6" t="str">
        <f>IFERROR(__xludf.DUMMYFUNCTION("GOOGLETRANSLATE(D123, ""en"", ""fr"")"),"C) Cela renforce l'identité de ce sport en tant que composante unique et vivante de la culture bretonne.")</f>
        <v>C) Cela renforce l'identité de ce sport en tant que composante unique et vivante de la culture bretonne.</v>
      </c>
      <c r="K123" s="6" t="str">
        <f>IFERROR(__xludf.DUMMYFUNCTION("GOOGLETRANSLATE(E123, ""en"", ""fr"")"),"L'utilisation du breton pour le serment est une forte affirmation de fierté culturelle et un lien direct avec les origines de ce sport.")</f>
        <v>L'utilisation du breton pour le serment est une forte affirmation de fierté culturelle et un lien direct avec les origines de ce sport.</v>
      </c>
    </row>
    <row r="124" ht="22.5" customHeight="1">
      <c r="A124" s="4">
        <v>123.0</v>
      </c>
      <c r="B124" s="5" t="s">
        <v>1991</v>
      </c>
      <c r="C124" s="5" t="s">
        <v>1992</v>
      </c>
      <c r="D124" s="5" t="s">
        <v>1993</v>
      </c>
      <c r="E124" s="5" t="s">
        <v>2114</v>
      </c>
      <c r="G124" s="6" t="str">
        <f>IFERROR(__xludf.DUMMYFUNCTION("GOOGLETRANSLATE(A124, ""en"", ""fr"")"),"123")</f>
        <v>123</v>
      </c>
      <c r="H124" s="6" t="str">
        <f>IFERROR(__xludf.DUMMYFUNCTION("GOOGLETRANSLATE(B124, ""en"", ""fr"")"),"La FALSAB a été fondée en 1930. Quand la fédération moderne, réservée aux Gourenois (Fédération de Gouren), a-t-elle été créée ?")</f>
        <v>La FALSAB a été fondée en 1930. Quand la fédération moderne, réservée aux Gourenois (Fédération de Gouren), a-t-elle été créée ?</v>
      </c>
      <c r="I124" s="6" t="str">
        <f>IFERROR(__xludf.DUMMYFUNCTION("GOOGLETRANSLATE(C124, ""en"", ""fr"")"),"A) 1949, B) 1965, C) 1980, D) 1998")</f>
        <v>A) 1949, B) 1965, C) 1980, D) 1998</v>
      </c>
      <c r="J124" s="6" t="str">
        <f>IFERROR(__xludf.DUMMYFUNCTION("GOOGLETRANSLATE(D124, ""en"", ""fr"")"),"C) 1980")</f>
        <v>C) 1980</v>
      </c>
      <c r="K124" s="6" t="str">
        <f>IFERROR(__xludf.DUMMYFUNCTION("GOOGLETRANSLATE(E124, ""en"", ""fr"")"),"En 1980, une nouvelle fédération entièrement dédiée au gouren a été créée à partir de la FALSAB, reflétant la croissance et la spécialisation de ce sport.")</f>
        <v>En 1980, une nouvelle fédération entièrement dédiée au gouren a été créée à partir de la FALSAB, reflétant la croissance et la spécialisation de ce sport.</v>
      </c>
    </row>
    <row r="125" ht="22.5" customHeight="1">
      <c r="A125" s="4">
        <v>124.0</v>
      </c>
      <c r="B125" s="5" t="s">
        <v>2023</v>
      </c>
      <c r="C125" s="5" t="s">
        <v>2024</v>
      </c>
      <c r="D125" s="5" t="s">
        <v>2025</v>
      </c>
      <c r="E125" s="5" t="s">
        <v>2026</v>
      </c>
      <c r="G125" s="6" t="str">
        <f>IFERROR(__xludf.DUMMYFUNCTION("GOOGLETRANSLATE(A125, ""en"", ""fr"")"),"124")</f>
        <v>124</v>
      </c>
      <c r="H125" s="6" t="str">
        <f>IFERROR(__xludf.DUMMYFUNCTION("GOOGLETRANSLATE(B125, ""en"", ""fr"")"),"Un lutteur est pénalisé pour avoir saisi le bragou (pantalon) de son adversaire. Est-ce une décision justifiée ?")</f>
        <v>Un lutteur est pénalisé pour avoir saisi le bragou (pantalon) de son adversaire. Est-ce une décision justifiée ?</v>
      </c>
      <c r="I125" s="6" t="str">
        <f>IFERROR(__xludf.DUMMYFUNCTION("GOOGLETRANSLATE(C125, ""en"", ""fr"")"),"A) Non, cela fait partie intégrante du catch en veste. B) Oui, toutes les prises doivent être effectuées sur le haut du corps (chemise). C) Uniquement si le pantalon se déchire. D) Uniquement lors d'un tournoi majeur.")</f>
        <v>A) Non, cela fait partie intégrante du catch en veste. B) Oui, toutes les prises doivent être effectuées sur le haut du corps (chemise). C) Uniquement si le pantalon se déchire. D) Uniquement lors d'un tournoi majeur.</v>
      </c>
      <c r="J125" s="6" t="str">
        <f>IFERROR(__xludf.DUMMYFUNCTION("GOOGLETRANSLATE(D125, ""en"", ""fr"")"),"B) Oui, toutes les prises doivent être sur le haut du corps (chemise).")</f>
        <v>B) Oui, toutes les prises doivent être sur le haut du corps (chemise).</v>
      </c>
      <c r="K125" s="6" t="str">
        <f>IFERROR(__xludf.DUMMYFUNCTION("GOOGLETRANSLATE(E125, ""en"", ""fr"")"),"Les règles du Gouren sont précises : la prise est limitée à la veste de lutte de l’adversaire. Saisir le pantalon est une faute.")</f>
        <v>Les règles du Gouren sont précises : la prise est limitée à la veste de lutte de l’adversaire. Saisir le pantalon est une faute.</v>
      </c>
    </row>
    <row r="126" ht="22.5" customHeight="1">
      <c r="A126" s="4">
        <v>125.0</v>
      </c>
      <c r="B126" s="5" t="s">
        <v>2115</v>
      </c>
      <c r="C126" s="5" t="s">
        <v>2036</v>
      </c>
      <c r="D126" s="5" t="s">
        <v>2037</v>
      </c>
      <c r="E126" s="5" t="s">
        <v>2038</v>
      </c>
      <c r="G126" s="6" t="str">
        <f>IFERROR(__xludf.DUMMYFUNCTION("GOOGLETRANSLATE(A126, ""en"", ""fr"")"),"125")</f>
        <v>125</v>
      </c>
      <c r="H126" s="6" t="str">
        <f>IFERROR(__xludf.DUMMYFUNCTION("GOOGLETRANSLATE(B126, ""en"", ""fr"")"),"Quel est le rôle principal des skoliou (écoles Gouren) aujourd'hui ?")</f>
        <v>Quel est le rôle principal des skoliou (écoles Gouren) aujourd'hui ?</v>
      </c>
      <c r="I126" s="6" t="str">
        <f>IFERROR(__xludf.DUMMYFUNCTION("GOOGLETRANSLATE(C126, ""en"", ""fr"")"),"A) Former des champions professionnels, B) Transmettre le sport et ses valeurs éthiques à une nouvelle génération, y compris les enfants, C) Être un club social pour adultes, D) Générer des revenus pour la fédération")</f>
        <v>A) Former des champions professionnels, B) Transmettre le sport et ses valeurs éthiques à une nouvelle génération, y compris les enfants, C) Être un club social pour adultes, D) Générer des revenus pour la fédération</v>
      </c>
      <c r="J126" s="6" t="str">
        <f>IFERROR(__xludf.DUMMYFUNCTION("GOOGLETRANSLATE(D126, ""en"", ""fr"")"),"B) Transmettre ce sport et ses valeurs éthiques à une nouvelle génération, y compris aux enfants")</f>
        <v>B) Transmettre ce sport et ses valeurs éthiques à une nouvelle génération, y compris aux enfants</v>
      </c>
      <c r="K126" s="6" t="str">
        <f>IFERROR(__xludf.DUMMYFUNCTION("GOOGLETRANSLATE(E126, ""en"", ""fr"")"),"Les écoles constituent la base de ce sport, axées sur l'éducation, la préservation culturelle et le développement personnel de leurs élèves.")</f>
        <v>Les écoles constituent la base de ce sport, axées sur l'éducation, la préservation culturelle et le développement personnel de leurs élèves.</v>
      </c>
    </row>
    <row r="127" ht="22.5" customHeight="1">
      <c r="A127" s="4">
        <v>126.0</v>
      </c>
      <c r="B127" s="5" t="s">
        <v>2043</v>
      </c>
      <c r="C127" s="5" t="s">
        <v>2044</v>
      </c>
      <c r="D127" s="5" t="s">
        <v>2045</v>
      </c>
      <c r="E127" s="5" t="s">
        <v>2046</v>
      </c>
      <c r="G127" s="6" t="str">
        <f>IFERROR(__xludf.DUMMYFUNCTION("GOOGLETRANSLATE(A127, ""en"", ""fr"")"),"126")</f>
        <v>126</v>
      </c>
      <c r="H127" s="6" t="str">
        <f>IFERROR(__xludf.DUMMYFUNCTION("GOOGLETRANSLATE(B127, ""en"", ""fr"")"),"En substance, la renaissance de Gouren au XXe siècle fut un acte de quoi ?")</f>
        <v>En substance, la renaissance de Gouren au XXe siècle fut un acte de quoi ?</v>
      </c>
      <c r="I127" s="6" t="str">
        <f>IFERROR(__xludf.DUMMYFUNCTION("GOOGLETRANSLATE(C127, ""en"", ""fr"")"),"A) Innovation sportive, B) Investissement financier, C) Rébellion politique, D) Préservation culturelle")</f>
        <v>A) Innovation sportive, B) Investissement financier, C) Rébellion politique, D) Préservation culturelle</v>
      </c>
      <c r="J127" s="6" t="str">
        <f>IFERROR(__xludf.DUMMYFUNCTION("GOOGLETRANSLATE(D127, ""en"", ""fr"")"),"D) Préservation culturelle")</f>
        <v>D) Préservation culturelle</v>
      </c>
      <c r="K127" s="6" t="str">
        <f>IFERROR(__xludf.DUMMYFUNCTION("GOOGLETRANSLATE(E127, ""en"", ""fr"")"),"Le mouvement pour sauver Gouren visait fondamentalement à préserver une partie unique et importante de l'identité culturelle bretonne.")</f>
        <v>Le mouvement pour sauver Gouren visait fondamentalement à préserver une partie unique et importante de l'identité culturelle bretonne.</v>
      </c>
    </row>
    <row r="128" ht="22.5" customHeight="1">
      <c r="A128" s="4">
        <v>127.0</v>
      </c>
      <c r="B128" s="5" t="s">
        <v>1964</v>
      </c>
      <c r="C128" s="5" t="s">
        <v>1965</v>
      </c>
      <c r="D128" s="5" t="s">
        <v>167</v>
      </c>
      <c r="E128" s="5" t="s">
        <v>1966</v>
      </c>
      <c r="G128" s="6" t="str">
        <f>IFERROR(__xludf.DUMMYFUNCTION("GOOGLETRANSLATE(A128, ""en"", ""fr"")"),"127")</f>
        <v>127</v>
      </c>
      <c r="H128" s="6" t="str">
        <f>IFERROR(__xludf.DUMMYFUNCTION("GOOGLETRANSLATE(B128, ""en"", ""fr"")"),"Quelle est la principale différence entre la lutte Gouren et la lutte libre olympique moderne ?")</f>
        <v>Quelle est la principale différence entre la lutte Gouren et la lutte libre olympique moderne ?</v>
      </c>
      <c r="I128" s="6" t="str">
        <f>IFERROR(__xludf.DUMMYFUNCTION("GOOGLETRANSLATE(C128, ""en"", ""fr"")"),"A) Les lutteurs de Gouren portent une veste (roched), tandis que les lutteurs de style libre portent un justaucorps. B) Le Gouren est un style de lutte debout uniquement. C) Le Gouren a une condition de victoire différente (lamm). D) Toutes les réponses c"&amp;"i-dessus.")</f>
        <v>A) Les lutteurs de Gouren portent une veste (roched), tandis que les lutteurs de style libre portent un justaucorps. B) Le Gouren est un style de lutte debout uniquement. C) Le Gouren a une condition de victoire différente (lamm). D) Toutes les réponses ci-dessus.</v>
      </c>
      <c r="J128" s="6" t="str">
        <f>IFERROR(__xludf.DUMMYFUNCTION("GOOGLETRANSLATE(D128, ""en"", ""fr"")"),"D) Toutes les réponses ci-dessus")</f>
        <v>D) Toutes les réponses ci-dessus</v>
      </c>
      <c r="K128" s="6" t="str">
        <f>IFERROR(__xludf.DUMMYFUNCTION("GOOGLETRANSLATE(E128, ""en"", ""fr"")"),"Le Gouren est un style de lutte complètement différent, avec son propre uniforme, ses règles et ses conditions de victoire uniques.")</f>
        <v>Le Gouren est un style de lutte complètement différent, avec son propre uniforme, ses règles et ses conditions de victoire uniques.</v>
      </c>
    </row>
    <row r="129" ht="22.5" customHeight="1">
      <c r="A129" s="4">
        <v>128.0</v>
      </c>
      <c r="B129" s="5" t="s">
        <v>2116</v>
      </c>
      <c r="C129" s="5" t="s">
        <v>2117</v>
      </c>
      <c r="D129" s="5" t="s">
        <v>2118</v>
      </c>
      <c r="E129" s="5" t="s">
        <v>2119</v>
      </c>
      <c r="G129" s="6" t="str">
        <f>IFERROR(__xludf.DUMMYFUNCTION("GOOGLETRANSLATE(A129, ""en"", ""fr"")"),"128")</f>
        <v>128</v>
      </c>
      <c r="H129" s="6" t="str">
        <f>IFERROR(__xludf.DUMMYFUNCTION("GOOGLETRANSLATE(B129, ""en"", ""fr"")"),"Un lutteur est connu pour son puissant « clic » (kliked). De quelle technique s'agit-il ?")</f>
        <v>Un lutteur est connu pour son puissant « clic » (kliked). De quelle technique s'agit-il ?</v>
      </c>
      <c r="I129" s="6" t="str">
        <f>IFERROR(__xludf.DUMMYFUNCTION("GOOGLETRANSLATE(C129, ""en"", ""fr"")"),"A) Un type de projection de hanche, B) Une projection puissante avec enroulement ou roulade, C) Un blocage défensif avec le pied, D) Le nom de la ceinture du lutteur")</f>
        <v>A) Un type de projection de hanche, B) Une projection puissante avec enroulement ou roulade, C) Un blocage défensif avec le pied, D) Le nom de la ceinture du lutteur</v>
      </c>
      <c r="J129" s="6" t="str">
        <f>IFERROR(__xludf.DUMMYFUNCTION("GOOGLETRANSLATE(D129, ""en"", ""fr"")"),"B) Un puissant mouvement de torsion ou de roulement")</f>
        <v>B) Un puissant mouvement de torsion ou de roulement</v>
      </c>
      <c r="K129" s="6" t="str">
        <f>IFERROR(__xludf.DUMMYFUNCTION("GOOGLETRANSLATE(E129, ""en"", ""fr"")"),"Le kliked est l'une des projections les plus caractéristiques et efficaces de ce sport, impliquant un puissant mouvement de rotation pour déséquilibrer l'adversaire.")</f>
        <v>Le kliked est l'une des projections les plus caractéristiques et efficaces de ce sport, impliquant un puissant mouvement de rotation pour déséquilibrer l'adversaire.</v>
      </c>
    </row>
    <row r="130" ht="22.5" customHeight="1">
      <c r="A130" s="4">
        <v>129.0</v>
      </c>
      <c r="B130" s="5" t="s">
        <v>2059</v>
      </c>
      <c r="C130" s="5" t="s">
        <v>2060</v>
      </c>
      <c r="D130" s="5" t="s">
        <v>2061</v>
      </c>
      <c r="E130" s="5" t="s">
        <v>2062</v>
      </c>
      <c r="G130" s="6" t="str">
        <f>IFERROR(__xludf.DUMMYFUNCTION("GOOGLETRANSLATE(A130, ""en"", ""fr"")"),"129")</f>
        <v>129</v>
      </c>
      <c r="H130" s="6" t="str">
        <f>IFERROR(__xludf.DUMMYFUNCTION("GOOGLETRANSLATE(B130, ""en"", ""fr"")"),"La fédération Gouren moderne est affiliée à quelle instance sportive française plus importante ?")</f>
        <v>La fédération Gouren moderne est affiliée à quelle instance sportive française plus importante ?</v>
      </c>
      <c r="I130" s="6" t="str">
        <f>IFERROR(__xludf.DUMMYFUNCTION("GOOGLETRANSLATE(C130, ""en"", ""fr"")"),"A) La Fédération Française de Football, B) La Fédération Française de Judo, C) La Fédération Française de Lutte (FFL), D) Le Comité Olympique Français")</f>
        <v>A) La Fédération Française de Football, B) La Fédération Française de Judo, C) La Fédération Française de Lutte (FFL), D) Le Comité Olympique Français</v>
      </c>
      <c r="J130" s="6" t="str">
        <f>IFERROR(__xludf.DUMMYFUNCTION("GOOGLETRANSLATE(D130, ""en"", ""fr"")"),"C) La Fédération Française de Lutte (FFL)")</f>
        <v>C) La Fédération Française de Lutte (FFL)</v>
      </c>
      <c r="K130" s="6" t="str">
        <f>IFERROR(__xludf.DUMMYFUNCTION("GOOGLETRANSLATE(E130, ""en"", ""fr"")"),"Le gouren est officiellement reconnu et administré comme un style de lutte régional sous l'égide de la Fédération Française de Lutte.")</f>
        <v>Le gouren est officiellement reconnu et administré comme un style de lutte régional sous l'égide de la Fédération Française de Lutte.</v>
      </c>
    </row>
    <row r="131" ht="22.5" customHeight="1">
      <c r="A131" s="4">
        <v>130.0</v>
      </c>
      <c r="B131" s="5" t="s">
        <v>2063</v>
      </c>
      <c r="C131" s="5" t="s">
        <v>2064</v>
      </c>
      <c r="D131" s="5" t="s">
        <v>167</v>
      </c>
      <c r="E131" s="5" t="s">
        <v>2065</v>
      </c>
      <c r="G131" s="6" t="str">
        <f>IFERROR(__xludf.DUMMYFUNCTION("GOOGLETRANSLATE(A131, ""en"", ""fr"")"),"130")</f>
        <v>130</v>
      </c>
      <c r="H131" s="6" t="str">
        <f>IFERROR(__xludf.DUMMYFUNCTION("GOOGLETRANSLATE(B131, ""en"", ""fr"")"),"Quelle est la principale raison pour laquelle les coups (poings et pieds) sont interdits à Gouren ?")</f>
        <v>Quelle est la principale raison pour laquelle les coups (poings et pieds) sont interdits à Gouren ?</v>
      </c>
      <c r="I131" s="6" t="str">
        <f>IFERROR(__xludf.DUMMYFUNCTION("GOOGLETRANSLATE(C131, ""en"", ""fr"")"),"A) C'est un art martial de préhension pure, axé sur les projections et l'équilibre. B) Ce serait trop dangereux. C) Les lutteurs ne portent pas de gants. D) Toutes les réponses ci-dessus.")</f>
        <v>A) C'est un art martial de préhension pure, axé sur les projections et l'équilibre. B) Ce serait trop dangereux. C) Les lutteurs ne portent pas de gants. D) Toutes les réponses ci-dessus.</v>
      </c>
      <c r="J131" s="6" t="str">
        <f>IFERROR(__xludf.DUMMYFUNCTION("GOOGLETRANSLATE(D131, ""en"", ""fr"")"),"D) Toutes les réponses ci-dessus")</f>
        <v>D) Toutes les réponses ci-dessus</v>
      </c>
      <c r="K131" s="6" t="str">
        <f>IFERROR(__xludf.DUMMYFUNCTION("GOOGLETRANSLATE(E131, ""en"", ""fr"")"),"Les règles de Gouren ont été codifiées pour en faire un sport sûr et technique de lutte pure, distinct des arts martiaux de frappe.")</f>
        <v>Les règles de Gouren ont été codifiées pour en faire un sport sûr et technique de lutte pure, distinct des arts martiaux de frappe.</v>
      </c>
    </row>
    <row r="132" ht="22.5" customHeight="1">
      <c r="A132" s="4">
        <v>131.0</v>
      </c>
      <c r="B132" s="5" t="s">
        <v>2120</v>
      </c>
      <c r="C132" s="5" t="s">
        <v>2086</v>
      </c>
      <c r="D132" s="5" t="s">
        <v>2087</v>
      </c>
      <c r="E132" s="5" t="s">
        <v>2088</v>
      </c>
      <c r="G132" s="6" t="str">
        <f>IFERROR(__xludf.DUMMYFUNCTION("GOOGLETRANSLATE(A132, ""en"", ""fr"")"),"131")</f>
        <v>131</v>
      </c>
      <c r="H132" s="6" t="str">
        <f>IFERROR(__xludf.DUMMYFUNCTION("GOOGLETRANSLATE(B132, ""en"", ""fr"")"),"Quelle est la principale différence entre Gouren et Swiss Schwingen ?")</f>
        <v>Quelle est la principale différence entre Gouren et Swiss Schwingen ?</v>
      </c>
      <c r="I132" s="6" t="str">
        <f>IFERROR(__xludf.DUMMYFUNCTION("GOOGLETRANSLATE(C132, ""en"", ""fr"")"),"A) Le Schwingen est plus ancien, B) Les lutteurs de Schwingen portent des shorts spéciaux en toile pour une meilleure prise, tandis que ceux de Gouren utilisent une veste, C) Le Schwingen est un sport d'équipe, D) Le Gouren est plus populaire")</f>
        <v>A) Le Schwingen est plus ancien, B) Les lutteurs de Schwingen portent des shorts spéciaux en toile pour une meilleure prise, tandis que ceux de Gouren utilisent une veste, C) Le Schwingen est un sport d'équipe, D) Le Gouren est plus populaire</v>
      </c>
      <c r="J132" s="6" t="str">
        <f>IFERROR(__xludf.DUMMYFUNCTION("GOOGLETRANSLATE(D132, ""en"", ""fr"")"),"B) Les lutteurs de Schwingen portent des shorts spéciaux en toile pour la prise, tandis que ceux de Gouren utilisent une veste")</f>
        <v>B) Les lutteurs de Schwingen portent des shorts spéciaux en toile pour la prise, tandis que ceux de Gouren utilisent une veste</v>
      </c>
      <c r="K132" s="6" t="str">
        <f>IFERROR(__xludf.DUMMYFUNCTION("GOOGLETRANSLATE(E132, ""en"", ""fr"")"),"Ce sont deux styles de lutte traditionnelle européenne, mais leurs règles et leurs techniques de prise diffèrent. Le Schwingen privilégie la prise sur le short de l'adversaire.")</f>
        <v>Ce sont deux styles de lutte traditionnelle européenne, mais leurs règles et leurs techniques de prise diffèrent. Le Schwingen privilégie la prise sur le short de l'adversaire.</v>
      </c>
    </row>
    <row r="133" ht="22.5" customHeight="1">
      <c r="A133" s="4">
        <v>132.0</v>
      </c>
      <c r="B133" s="5" t="s">
        <v>2089</v>
      </c>
      <c r="C133" s="5" t="s">
        <v>2090</v>
      </c>
      <c r="D133" s="5" t="s">
        <v>2091</v>
      </c>
      <c r="E133" s="5" t="s">
        <v>2092</v>
      </c>
      <c r="G133" s="6" t="str">
        <f>IFERROR(__xludf.DUMMYFUNCTION("GOOGLETRANSLATE(A133, ""en"", ""fr"")"),"132")</f>
        <v>132</v>
      </c>
      <c r="H133" s="6" t="str">
        <f>IFERROR(__xludf.DUMMYFUNCTION("GOOGLETRANSLATE(B133, ""en"", ""fr"")"),"La FILC compte des membres islandais. Comment s'appelle leur style de lutte traditionnel ?")</f>
        <v>La FILC compte des membres islandais. Comment s'appelle leur style de lutte traditionnel ?</v>
      </c>
      <c r="I133" s="6" t="str">
        <f>IFERROR(__xludf.DUMMYFUNCTION("GOOGLETRANSLATE(C133, ""en"", ""fr"")"),"A) Schwingen, B) Glima, C) Prise arrière, D) Cornish")</f>
        <v>A) Schwingen, B) Glima, C) Prise arrière, D) Cornish</v>
      </c>
      <c r="J133" s="6" t="str">
        <f>IFERROR(__xludf.DUMMYFUNCTION("GOOGLETRANSLATE(D133, ""en"", ""fr"")"),"B) Glima")</f>
        <v>B) Glima</v>
      </c>
      <c r="K133" s="6" t="str">
        <f>IFERROR(__xludf.DUMMYFUNCTION("GOOGLETRANSLATE(E133, ""en"", ""fr"")"),"Le glima, l'ancien style de lutte des Vikings, est également membre de la Fédération internationale de lutte celtique.")</f>
        <v>Le glima, l'ancien style de lutte des Vikings, est également membre de la Fédération internationale de lutte celtique.</v>
      </c>
    </row>
    <row r="134" ht="22.5" customHeight="1">
      <c r="A134" s="4">
        <v>133.0</v>
      </c>
      <c r="B134" s="5" t="s">
        <v>2093</v>
      </c>
      <c r="C134" s="5" t="s">
        <v>2094</v>
      </c>
      <c r="D134" s="5" t="s">
        <v>2095</v>
      </c>
      <c r="E134" s="5" t="s">
        <v>2096</v>
      </c>
      <c r="G134" s="6" t="str">
        <f>IFERROR(__xludf.DUMMYFUNCTION("GOOGLETRANSLATE(A134, ""en"", ""fr"")"),"133")</f>
        <v>133</v>
      </c>
      <c r="H134" s="6" t="str">
        <f>IFERROR(__xludf.DUMMYFUNCTION("GOOGLETRANSLATE(B134, ""en"", ""fr"")"),"Un lutteur est pénalisé pour avoir saisi son adversaire sous la ceinture. Cette décision est-elle justifiée ?")</f>
        <v>Un lutteur est pénalisé pour avoir saisi son adversaire sous la ceinture. Cette décision est-elle justifiée ?</v>
      </c>
      <c r="I134" s="6" t="str">
        <f>IFERROR(__xludf.DUMMYFUNCTION("GOOGLETRANSLATE(C134, ""en"", ""fr"")"),"A) Non, toutes les prises sont autorisées. B) Oui, toutes les prises doivent être effectuées sur la veste, au-dessus de la ceinture. C) Uniquement lors des tournois majeurs. D) Uniquement si l'adversaire se plaint.")</f>
        <v>A) Non, toutes les prises sont autorisées. B) Oui, toutes les prises doivent être effectuées sur la veste, au-dessus de la ceinture. C) Uniquement lors des tournois majeurs. D) Uniquement si l'adversaire se plaint.</v>
      </c>
      <c r="J134" s="6" t="str">
        <f>IFERROR(__xludf.DUMMYFUNCTION("GOOGLETRANSLATE(D134, ""en"", ""fr"")"),"B) Oui, toutes les poignées doivent être sur la veste, au-dessus de la ceinture.")</f>
        <v>B) Oui, toutes les poignées doivent être sur la veste, au-dessus de la ceinture.</v>
      </c>
      <c r="K134" s="6" t="str">
        <f>IFERROR(__xludf.DUMMYFUNCTION("GOOGLETRANSLATE(E134, ""en"", ""fr"")"),"Les règles du Gouren sont très précises concernant la zone de prise légale, qui est limitée à la veste de lutte de l'adversaire.")</f>
        <v>Les règles du Gouren sont très précises concernant la zone de prise légale, qui est limitée à la veste de lutte de l'adversaire.</v>
      </c>
    </row>
    <row r="135" ht="22.5" customHeight="1">
      <c r="A135" s="4">
        <v>134.0</v>
      </c>
      <c r="B135" s="5" t="s">
        <v>1918</v>
      </c>
      <c r="C135" s="5" t="s">
        <v>1919</v>
      </c>
      <c r="D135" s="5" t="s">
        <v>1920</v>
      </c>
      <c r="E135" s="5" t="s">
        <v>1921</v>
      </c>
      <c r="G135" s="6" t="str">
        <f>IFERROR(__xludf.DUMMYFUNCTION("GOOGLETRANSLATE(A135, ""en"", ""fr"")"),"134")</f>
        <v>134</v>
      </c>
      <c r="H135" s="6" t="str">
        <f>IFERROR(__xludf.DUMMYFUNCTION("GOOGLETRANSLATE(B135, ""en"", ""fr"")"),"Quelle est l'origine historique de la chemise blanche (roched) et du pantalon noir (bragou) des lutteurs ?")</f>
        <v>Quelle est l'origine historique de la chemise blanche (roched) et du pantalon noir (bragou) des lutteurs ?</v>
      </c>
      <c r="I135" s="6" t="str">
        <f>IFERROR(__xludf.DUMMYFUNCTION("GOOGLETRANSLATE(C135, ""en"", ""fr"")"),"A) C'était un uniforme officiel conçu au XXe siècle. B) C'était le vêtement de travail traditionnel des paysans bretons du XIXe siècle. C) Il symbolise les couleurs du drapeau breton. D) Il s'inspirait des arts martiaux japonais.")</f>
        <v>A) C'était un uniforme officiel conçu au XXe siècle. B) C'était le vêtement de travail traditionnel des paysans bretons du XIXe siècle. C) Il symbolise les couleurs du drapeau breton. D) Il s'inspirait des arts martiaux japonais.</v>
      </c>
      <c r="J135" s="6" t="str">
        <f>IFERROR(__xludf.DUMMYFUNCTION("GOOGLETRANSLATE(D135, ""en"", ""fr"")"),"B) C'était le vêtement de travail traditionnel des paysans bretons du XIXe siècle.")</f>
        <v>B) C'était le vêtement de travail traditionnel des paysans bretons du XIXe siècle.</v>
      </c>
      <c r="K135" s="6" t="str">
        <f>IFERROR(__xludf.DUMMYFUNCTION("GOOGLETRANSLATE(E135, ""en"", ""fr"")"),"L'uniforme moderne est une version stylisée de la tenue quotidienne portée par les agriculteurs et les ouvriers qui pratiquaient ce sport au XIXe siècle.")</f>
        <v>L'uniforme moderne est une version stylisée de la tenue quotidienne portée par les agriculteurs et les ouvriers qui pratiquaient ce sport au XIXe siècle.</v>
      </c>
    </row>
    <row r="136" ht="22.5" customHeight="1">
      <c r="A136" s="4">
        <v>135.0</v>
      </c>
      <c r="B136" s="5" t="s">
        <v>1842</v>
      </c>
      <c r="C136" s="5" t="s">
        <v>1843</v>
      </c>
      <c r="D136" s="5" t="s">
        <v>1844</v>
      </c>
      <c r="E136" s="5" t="s">
        <v>1845</v>
      </c>
      <c r="G136" s="6" t="str">
        <f>IFERROR(__xludf.DUMMYFUNCTION("GOOGLETRANSLATE(A136, ""en"", ""fr"")"),"135")</f>
        <v>135</v>
      </c>
      <c r="H136" s="6" t="str">
        <f>IFERROR(__xludf.DUMMYFUNCTION("GOOGLETRANSLATE(B136, ""en"", ""fr"")"),"Quelle est la principale différence entre le Gouren et le Judo ?")</f>
        <v>Quelle est la principale différence entre le Gouren et le Judo ?</v>
      </c>
      <c r="I136" s="6" t="str">
        <f>IFERROR(__xludf.DUMMYFUNCTION("GOOGLETRANSLATE(C136, ""en"", ""fr"")"),"A) Le judo utilise une ceinture pour les prises, B) Les lutteurs de Gouren commencent le combat en saisissant la veste de leur adversaire, C) Le judo implique des combats au sol, D) Gouren est plus ancien")</f>
        <v>A) Le judo utilise une ceinture pour les prises, B) Les lutteurs de Gouren commencent le combat en saisissant la veste de leur adversaire, C) Le judo implique des combats au sol, D) Gouren est plus ancien</v>
      </c>
      <c r="J136" s="6" t="str">
        <f>IFERROR(__xludf.DUMMYFUNCTION("GOOGLETRANSLATE(D136, ""en"", ""fr"")"),"B) Les lutteurs de Gouren commencent le match en saisissant la veste de leur adversaire.")</f>
        <v>B) Les lutteurs de Gouren commencent le match en saisissant la veste de leur adversaire.</v>
      </c>
      <c r="K136" s="6" t="str">
        <f>IFERROR(__xludf.DUMMYFUNCTION("GOOGLETRANSLATE(E136, ""en"", ""fr"")"),"Le gouren est un style de « lutte en veste » où le combat commence par les deux lutteurs agrippant le maillot de l'adversaire (roched), tandis que le judo a une phase de saisie plus ouverte et dynamique.")</f>
        <v>Le gouren est un style de « lutte en veste » où le combat commence par les deux lutteurs agrippant le maillot de l'adversaire (roched), tandis que le judo a une phase de saisie plus ouverte et dynamique.</v>
      </c>
    </row>
    <row r="137" ht="22.5" customHeight="1">
      <c r="A137" s="4">
        <v>136.0</v>
      </c>
      <c r="B137" s="5" t="s">
        <v>1846</v>
      </c>
      <c r="C137" s="5" t="s">
        <v>1847</v>
      </c>
      <c r="D137" s="5" t="s">
        <v>1848</v>
      </c>
      <c r="E137" s="5" t="s">
        <v>1849</v>
      </c>
      <c r="G137" s="6" t="str">
        <f>IFERROR(__xludf.DUMMYFUNCTION("GOOGLETRANSLATE(A137, ""en"", ""fr"")"),"136")</f>
        <v>136</v>
      </c>
      <c r="H137" s="6" t="str">
        <f>IFERROR(__xludf.DUMMYFUNCTION("GOOGLETRANSLATE(B137, ""en"", ""fr"")"),"La renaissance de Gouren au XXe siècle s'inscrit dans une tendance européenne plus large, à savoir quoi ?")</f>
        <v>La renaissance de Gouren au XXe siècle s'inscrit dans une tendance européenne plus large, à savoir quoi ?</v>
      </c>
      <c r="I137" s="6" t="str">
        <f>IFERROR(__xludf.DUMMYFUNCTION("GOOGLETRANSLATE(C137, ""en"", ""fr"")"),"A) La professionnalisation de tous les sports, B) La renaissance et la préservation des sports folkloriques traditionnels, C) Le déclin des sports collectifs, D) L'invention de nouveaux sports")</f>
        <v>A) La professionnalisation de tous les sports, B) La renaissance et la préservation des sports folkloriques traditionnels, C) Le déclin des sports collectifs, D) L'invention de nouveaux sports</v>
      </c>
      <c r="J137" s="6" t="str">
        <f>IFERROR(__xludf.DUMMYFUNCTION("GOOGLETRANSLATE(D137, ""en"", ""fr"")"),"B) La renaissance et la préservation des sports folkloriques traditionnels")</f>
        <v>B) La renaissance et la préservation des sports folkloriques traditionnels</v>
      </c>
      <c r="K137" s="6" t="str">
        <f>IFERROR(__xludf.DUMMYFUNCTION("GOOGLETRANSLATE(E137, ""en"", ""fr"")"),"Les efforts déployés pour sauver le Gouren sont similaires aux mouvements visant à préserver d'autres sports régionaux uniques à travers l'Europe.")</f>
        <v>Les efforts déployés pour sauver le Gouren sont similaires aux mouvements visant à préserver d'autres sports régionaux uniques à travers l'Europe.</v>
      </c>
    </row>
    <row r="138" ht="22.5" customHeight="1">
      <c r="A138" s="4">
        <v>137.0</v>
      </c>
      <c r="B138" s="5" t="s">
        <v>1922</v>
      </c>
      <c r="C138" s="5" t="s">
        <v>1923</v>
      </c>
      <c r="D138" s="5" t="s">
        <v>1924</v>
      </c>
      <c r="E138" s="5" t="s">
        <v>1925</v>
      </c>
      <c r="G138" s="6" t="str">
        <f>IFERROR(__xludf.DUMMYFUNCTION("GOOGLETRANSLATE(A138, ""en"", ""fr"")"),"137")</f>
        <v>137</v>
      </c>
      <c r="H138" s="6" t="str">
        <f>IFERROR(__xludf.DUMMYFUNCTION("GOOGLETRANSLATE(B138, ""en"", ""fr"")"),"Dans la FILC, quel est le style de lutte de quel pays connu sous le nom de Back-hold ?")</f>
        <v>Dans la FILC, quel est le style de lutte de quel pays connu sous le nom de Back-hold ?</v>
      </c>
      <c r="I138" s="6" t="str">
        <f>IFERROR(__xludf.DUMMYFUNCTION("GOOGLETRANSLATE(C138, ""en"", ""fr"")"),"A) Irlande, B) Bretagne, C) Cornouailles, D) Écosse")</f>
        <v>A) Irlande, B) Bretagne, C) Cornouailles, D) Écosse</v>
      </c>
      <c r="J138" s="6" t="str">
        <f>IFERROR(__xludf.DUMMYFUNCTION("GOOGLETRANSLATE(D138, ""en"", ""fr"")"),"D) Écosse")</f>
        <v>D) Écosse</v>
      </c>
      <c r="K138" s="6" t="str">
        <f>IFERROR(__xludf.DUMMYFUNCTION("GOOGLETRANSLATE(E138, ""en"", ""fr"")"),"La lutte écossaise en prise dorsale est un autre style celtique, connu pour sa prise de départ distinctive.")</f>
        <v>La lutte écossaise en prise dorsale est un autre style celtique, connu pour sa prise de départ distinctive.</v>
      </c>
    </row>
    <row r="139" ht="22.5" customHeight="1">
      <c r="A139" s="4">
        <v>138.0</v>
      </c>
      <c r="B139" s="5" t="s">
        <v>1926</v>
      </c>
      <c r="C139" s="5" t="s">
        <v>1927</v>
      </c>
      <c r="D139" s="5" t="s">
        <v>1928</v>
      </c>
      <c r="E139" s="5" t="s">
        <v>1929</v>
      </c>
      <c r="G139" s="6" t="str">
        <f>IFERROR(__xludf.DUMMYFUNCTION("GOOGLETRANSLATE(A139, ""en"", ""fr"")"),"138")</f>
        <v>138</v>
      </c>
      <c r="H139" s="6" t="str">
        <f>IFERROR(__xludf.DUMMYFUNCTION("GOOGLETRANSLATE(B139, ""en"", ""fr"")"),"Quelle fut la principale raison du déclin de Gouren à la fin du XIXe siècle ?")</f>
        <v>Quelle fut la principale raison du déclin de Gouren à la fin du XIXe siècle ?</v>
      </c>
      <c r="I139" s="6" t="str">
        <f>IFERROR(__xludf.DUMMYFUNCTION("GOOGLETRANSLATE(C139, ""en"", ""fr"")"),"A) Son interdiction, B) L'essor d'autres sports plus « modernes » et le déclin général des traditions bretonnes, C) Le manque de lutteurs de haut niveau, D) Les prix n'étaient pas assez intéressants.")</f>
        <v>A) Son interdiction, B) L'essor d'autres sports plus « modernes » et le déclin général des traditions bretonnes, C) Le manque de lutteurs de haut niveau, D) Les prix n'étaient pas assez intéressants.</v>
      </c>
      <c r="J139" s="6" t="str">
        <f>IFERROR(__xludf.DUMMYFUNCTION("GOOGLETRANSLATE(D139, ""en"", ""fr"")"),"B) L'essor d'autres sports, plus « modernes », et un déclin général des traditions bretonnes")</f>
        <v>B) L'essor d'autres sports, plus « modernes », et un déclin général des traditions bretonnes</v>
      </c>
      <c r="K139" s="6" t="str">
        <f>IFERROR(__xludf.DUMMYFUNCTION("GOOGLETRANSLATE(E139, ""en"", ""fr"")"),"Les bouleversements culturels de la fin du XIXe siècle, notamment l'introduction de sports comme le football et le cyclisme, ont menacé la survie de nombreuses traditions folkloriques locales.")</f>
        <v>Les bouleversements culturels de la fin du XIXe siècle, notamment l'introduction de sports comme le football et le cyclisme, ont menacé la survie de nombreuses traditions folkloriques locales.</v>
      </c>
    </row>
    <row r="140" ht="22.5" customHeight="1">
      <c r="A140" s="4">
        <v>139.0</v>
      </c>
      <c r="B140" s="5" t="s">
        <v>2074</v>
      </c>
      <c r="C140" s="5" t="s">
        <v>2075</v>
      </c>
      <c r="D140" s="5" t="s">
        <v>2076</v>
      </c>
      <c r="E140" s="5" t="s">
        <v>2077</v>
      </c>
      <c r="G140" s="6" t="str">
        <f>IFERROR(__xludf.DUMMYFUNCTION("GOOGLETRANSLATE(A140, ""en"", ""fr"")"),"139")</f>
        <v>139</v>
      </c>
      <c r="H140" s="6" t="str">
        <f>IFERROR(__xludf.DUMMYFUNCTION("GOOGLETRANSLATE(B140, ""en"", ""fr"")"),"Un lutteur remporte une projection, et le résultat est un kostin. Qu'est-ce que cela signifie ?")</f>
        <v>Un lutteur remporte une projection, et le résultat est un kostin. Qu'est-ce que cela signifie ?</v>
      </c>
      <c r="I140" s="6" t="str">
        <f>IFERROR(__xludf.DUMMYFUNCTION("GOOGLETRANSLATE(C140, ""en"", ""fr"")"),"A) L'adversaire a été blessé. B) La projection était parfaite. C) La projection n'a été que partiellement réussie, les deux lutteurs tombant. D) Le lutteur a triché.")</f>
        <v>A) L'adversaire a été blessé. B) La projection était parfaite. C) La projection n'a été que partiellement réussie, les deux lutteurs tombant. D) Le lutteur a triché.</v>
      </c>
      <c r="J140" s="6" t="str">
        <f>IFERROR(__xludf.DUMMYFUNCTION("GOOGLETRANSLATE(D140, ""en"", ""fr"")"),"C) La projection n'a été que partiellement réussie, les deux lutteurs tombant.")</f>
        <v>C) La projection n'a été que partiellement réussie, les deux lutteurs tombant.</v>
      </c>
      <c r="K140" s="6" t="str">
        <f>IFERROR(__xludf.DUMMYFUNCTION("GOOGLETRANSLATE(E140, ""en"", ""fr"")"),"Un kostin est un résultat où l'attaquant perd également l'équilibre et tombe, ce qui est un résultat moindre qu'un lamm propre.")</f>
        <v>Un kostin est un résultat où l'attaquant perd également l'équilibre et tombe, ce qui est un résultat moindre qu'un lamm propre.</v>
      </c>
    </row>
    <row r="141" ht="22.5" customHeight="1">
      <c r="A141" s="4">
        <v>140.0</v>
      </c>
      <c r="B141" s="5" t="s">
        <v>1975</v>
      </c>
      <c r="C141" s="5" t="s">
        <v>1976</v>
      </c>
      <c r="D141" s="5" t="s">
        <v>1977</v>
      </c>
      <c r="E141" s="5" t="s">
        <v>1978</v>
      </c>
      <c r="G141" s="6" t="str">
        <f>IFERROR(__xludf.DUMMYFUNCTION("GOOGLETRANSLATE(A141, ""en"", ""fr"")"),"140")</f>
        <v>140</v>
      </c>
      <c r="H141" s="6" t="str">
        <f>IFERROR(__xludf.DUMMYFUNCTION("GOOGLETRANSLATE(B141, ""en"", ""fr"")"),"Au XIXe siècle, qui étaient les « gars de Plouzané » (les garçons de Plouzané) ?")</f>
        <v>Au XIXe siècle, qui étaient les « gars de Plouzané » (les garçons de Plouzané) ?</v>
      </c>
      <c r="I141" s="6" t="str">
        <f>IFERROR(__xludf.DUMMYFUNCTION("GOOGLETRANSLATE(C141, ""en"", ""fr"")"),"A) Un groupe musical célèbre, B) Un groupe de lutteurs réputés pour leur force et leurs succès, originaires de la ville de Plouzané, C) Un groupe politique, D) Une équipe de bateliers")</f>
        <v>A) Un groupe musical célèbre, B) Un groupe de lutteurs réputés pour leur force et leurs succès, originaires de la ville de Plouzané, C) Un groupe politique, D) Une équipe de bateliers</v>
      </c>
      <c r="J141" s="6" t="str">
        <f>IFERROR(__xludf.DUMMYFUNCTION("GOOGLETRANSLATE(D141, ""en"", ""fr"")"),"B) Un groupe de lutteurs réputé pour sa force et son succès, originaire de la ville de Plouzané")</f>
        <v>B) Un groupe de lutteurs réputé pour sa force et son succès, originaire de la ville de Plouzané</v>
      </c>
      <c r="K141" s="6" t="str">
        <f>IFERROR(__xludf.DUMMYFUNCTION("GOOGLETRANSLATE(E141, ""en"", ""fr"")"),"Les villes et régions locales étaient réputées pour produire de puissants lutteurs, et les « gars de Plouzané » étaient légendaires en leur temps.")</f>
        <v>Les villes et régions locales étaient réputées pour produire de puissants lutteurs, et les « gars de Plouzané » étaient légendaires en leur temps.</v>
      </c>
    </row>
    <row r="142" ht="22.5" customHeight="1">
      <c r="A142" s="4">
        <v>141.0</v>
      </c>
      <c r="B142" s="5" t="s">
        <v>1979</v>
      </c>
      <c r="C142" s="5" t="s">
        <v>1980</v>
      </c>
      <c r="D142" s="5" t="s">
        <v>1981</v>
      </c>
      <c r="E142" s="5" t="s">
        <v>1982</v>
      </c>
      <c r="G142" s="6" t="str">
        <f>IFERROR(__xludf.DUMMYFUNCTION("GOOGLETRANSLATE(A142, ""en"", ""fr"")"),"141")</f>
        <v>141</v>
      </c>
      <c r="H142" s="6" t="str">
        <f>IFERROR(__xludf.DUMMYFUNCTION("GOOGLETRANSLATE(B142, ""en"", ""fr"")"),"Quelle est la principale caractéristique du format de tournoi « défi antique » ?")</f>
        <v>Quelle est la principale caractéristique du format de tournoi « défi antique » ?</v>
      </c>
      <c r="I142" s="6" t="str">
        <f>IFERROR(__xludf.DUMMYFUNCTION("GOOGLETRANSLATE(C142, ""en"", ""fr"")"),"A) C'est un tournoi toutes rondes, B) C'est un tournoi à élimination directe, C) C'est un système de classement où les gagnants des prix inférieurs affrontent les gagnants des prix supérieurs, D) C'est une compétition par équipes")</f>
        <v>A) C'est un tournoi toutes rondes, B) C'est un tournoi à élimination directe, C) C'est un système de classement où les gagnants des prix inférieurs affrontent les gagnants des prix supérieurs, D) C'est une compétition par équipes</v>
      </c>
      <c r="J142" s="6" t="str">
        <f>IFERROR(__xludf.DUMMYFUNCTION("GOOGLETRANSLATE(D142, ""en"", ""fr"")"),"C) Il s'agit d'un système à élimination directe où les gagnants des prix inférieurs défient les gagnants des prix supérieurs.")</f>
        <v>C) Il s'agit d'un système à élimination directe où les gagnants des prix inférieurs défient les gagnants des prix supérieurs.</v>
      </c>
      <c r="K142" s="6" t="str">
        <f>IFERROR(__xludf.DUMMYFUNCTION("GOOGLETRANSLATE(E142, ""en"", ""fr"")"),"Cela a donné lieu à une compétition spectaculaire, dans le style du « roi de la colline », le champion ultime étant celui qui pouvait vaincre tous les challengers.")</f>
        <v>Cela a donné lieu à une compétition spectaculaire, dans le style du « roi de la colline », le champion ultime étant celui qui pouvait vaincre tous les challengers.</v>
      </c>
    </row>
    <row r="143" ht="22.5" customHeight="1">
      <c r="A143" s="4">
        <v>142.0</v>
      </c>
      <c r="B143" s="5" t="s">
        <v>1983</v>
      </c>
      <c r="C143" s="5" t="s">
        <v>1984</v>
      </c>
      <c r="D143" s="5" t="s">
        <v>1985</v>
      </c>
      <c r="E143" s="5" t="s">
        <v>1986</v>
      </c>
      <c r="G143" s="6" t="str">
        <f>IFERROR(__xludf.DUMMYFUNCTION("GOOGLETRANSLATE(A143, ""en"", ""fr"")"),"142")</f>
        <v>142</v>
      </c>
      <c r="H143" s="6" t="str">
        <f>IFERROR(__xludf.DUMMYFUNCTION("GOOGLETRANSLATE(B143, ""en"", ""fr"")"),"Pourquoi l'introduction des catégories de poids en 1930 était-elle si importante ?")</f>
        <v>Pourquoi l'introduction des catégories de poids en 1930 était-elle si importante ?</v>
      </c>
      <c r="I143" s="6" t="str">
        <f>IFERROR(__xludf.DUMMYFUNCTION("GOOGLETRANSLATE(C143, ""en"", ""fr"")"),"A) Cela a rendu ce sport plus semblable à la boxe, B) Cela a permis aux lutteurs plus petits et plus techniques de concourir équitablement sans être dominés par des hommes beaucoup plus grands, C) C'était une demande du gouvernement, D) Cela a allongé la "&amp;"durée des tournois")</f>
        <v>A) Cela a rendu ce sport plus semblable à la boxe, B) Cela a permis aux lutteurs plus petits et plus techniques de concourir équitablement sans être dominés par des hommes beaucoup plus grands, C) C'était une demande du gouvernement, D) Cela a allongé la durée des tournois</v>
      </c>
      <c r="J143" s="6" t="str">
        <f>IFERROR(__xludf.DUMMYFUNCTION("GOOGLETRANSLATE(D143, ""en"", ""fr"")"),"B) Cela permettait aux lutteurs plus petits et plus techniques de concourir équitablement sans être dominés par des hommes beaucoup plus grands.")</f>
        <v>B) Cela permettait aux lutteurs plus petits et plus techniques de concourir équitablement sans être dominés par des hommes beaucoup plus grands.</v>
      </c>
      <c r="K143" s="6" t="str">
        <f>IFERROR(__xludf.DUMMYFUNCTION("GOOGLETRANSLATE(E143, ""en"", ""fr"")"),"Les catégories de poids sont un principe fondamental des sports de combat modernes, garantissant que les compétitions soient un véritable test de compétences, et non pas seulement de gabarit.")</f>
        <v>Les catégories de poids sont un principe fondamental des sports de combat modernes, garantissant que les compétitions soient un véritable test de compétences, et non pas seulement de gabarit.</v>
      </c>
    </row>
    <row r="144" ht="22.5" customHeight="1">
      <c r="A144" s="4">
        <v>143.0</v>
      </c>
      <c r="B144" s="5" t="s">
        <v>1987</v>
      </c>
      <c r="C144" s="5" t="s">
        <v>1988</v>
      </c>
      <c r="D144" s="5" t="s">
        <v>1989</v>
      </c>
      <c r="E144" s="5" t="s">
        <v>1990</v>
      </c>
      <c r="G144" s="6" t="str">
        <f>IFERROR(__xludf.DUMMYFUNCTION("GOOGLETRANSLATE(A144, ""en"", ""fr"")"),"143")</f>
        <v>143</v>
      </c>
      <c r="H144" s="6" t="str">
        <f>IFERROR(__xludf.DUMMYFUNCTION("GOOGLETRANSLATE(B144, ""en"", ""fr"")"),"Quelle est la signification historique du serment récité en langue bretonne ?")</f>
        <v>Quelle est la signification historique du serment récité en langue bretonne ?</v>
      </c>
      <c r="I144" s="6" t="str">
        <f>IFERROR(__xludf.DUMMYFUNCTION("GOOGLETRANSLATE(C144, ""en"", ""fr"")"),"A) C'est une règle du gouvernement français, B) C'est une invention moderne pour les touristes, C) Cela renforce l'identité de ce sport comme une composante unique et vivante de la culture bretonne, D) Les lutteurs ne parlent pas français")</f>
        <v>A) C'est une règle du gouvernement français, B) C'est une invention moderne pour les touristes, C) Cela renforce l'identité de ce sport comme une composante unique et vivante de la culture bretonne, D) Les lutteurs ne parlent pas français</v>
      </c>
      <c r="J144" s="6" t="str">
        <f>IFERROR(__xludf.DUMMYFUNCTION("GOOGLETRANSLATE(D144, ""en"", ""fr"")"),"C) Cela renforce l'identité de ce sport en tant que composante unique et vivante de la culture bretonne.")</f>
        <v>C) Cela renforce l'identité de ce sport en tant que composante unique et vivante de la culture bretonne.</v>
      </c>
      <c r="K144" s="6" t="str">
        <f>IFERROR(__xludf.DUMMYFUNCTION("GOOGLETRANSLATE(E144, ""en"", ""fr"")"),"L'utilisation du breton pour le serment est une forte affirmation de fierté culturelle et un lien direct avec les origines de ce sport.")</f>
        <v>L'utilisation du breton pour le serment est une forte affirmation de fierté culturelle et un lien direct avec les origines de ce sport.</v>
      </c>
    </row>
    <row r="145" ht="22.5" customHeight="1">
      <c r="A145" s="4">
        <v>144.0</v>
      </c>
      <c r="B145" s="5" t="s">
        <v>1991</v>
      </c>
      <c r="C145" s="5" t="s">
        <v>1992</v>
      </c>
      <c r="D145" s="5" t="s">
        <v>1993</v>
      </c>
      <c r="E145" s="5" t="s">
        <v>2114</v>
      </c>
      <c r="G145" s="6" t="str">
        <f>IFERROR(__xludf.DUMMYFUNCTION("GOOGLETRANSLATE(A145, ""en"", ""fr"")"),"144")</f>
        <v>144</v>
      </c>
      <c r="H145" s="6" t="str">
        <f>IFERROR(__xludf.DUMMYFUNCTION("GOOGLETRANSLATE(B145, ""en"", ""fr"")"),"La FALSAB a été fondée en 1930. Quand la fédération moderne, réservée aux Gourenois (Fédération de Gouren), a-t-elle été créée ?")</f>
        <v>La FALSAB a été fondée en 1930. Quand la fédération moderne, réservée aux Gourenois (Fédération de Gouren), a-t-elle été créée ?</v>
      </c>
      <c r="I145" s="6" t="str">
        <f>IFERROR(__xludf.DUMMYFUNCTION("GOOGLETRANSLATE(C145, ""en"", ""fr"")"),"A) 1949, B) 1965, C) 1980, D) 1998")</f>
        <v>A) 1949, B) 1965, C) 1980, D) 1998</v>
      </c>
      <c r="J145" s="6" t="str">
        <f>IFERROR(__xludf.DUMMYFUNCTION("GOOGLETRANSLATE(D145, ""en"", ""fr"")"),"C) 1980")</f>
        <v>C) 1980</v>
      </c>
      <c r="K145" s="6" t="str">
        <f>IFERROR(__xludf.DUMMYFUNCTION("GOOGLETRANSLATE(E145, ""en"", ""fr"")"),"En 1980, une nouvelle fédération entièrement dédiée au gouren a été créée à partir de la FALSAB, reflétant la croissance et la spécialisation de ce sport.")</f>
        <v>En 1980, une nouvelle fédération entièrement dédiée au gouren a été créée à partir de la FALSAB, reflétant la croissance et la spécialisation de ce sport.</v>
      </c>
    </row>
    <row r="146" ht="22.5" customHeight="1">
      <c r="A146" s="4">
        <v>145.0</v>
      </c>
      <c r="B146" s="5" t="s">
        <v>2023</v>
      </c>
      <c r="C146" s="5" t="s">
        <v>2024</v>
      </c>
      <c r="D146" s="5" t="s">
        <v>2025</v>
      </c>
      <c r="E146" s="5" t="s">
        <v>2026</v>
      </c>
      <c r="G146" s="6" t="str">
        <f>IFERROR(__xludf.DUMMYFUNCTION("GOOGLETRANSLATE(A146, ""en"", ""fr"")"),"145")</f>
        <v>145</v>
      </c>
      <c r="H146" s="6" t="str">
        <f>IFERROR(__xludf.DUMMYFUNCTION("GOOGLETRANSLATE(B146, ""en"", ""fr"")"),"Un lutteur est pénalisé pour avoir saisi le bragou (pantalon) de son adversaire. Est-ce une décision justifiée ?")</f>
        <v>Un lutteur est pénalisé pour avoir saisi le bragou (pantalon) de son adversaire. Est-ce une décision justifiée ?</v>
      </c>
      <c r="I146" s="6" t="str">
        <f>IFERROR(__xludf.DUMMYFUNCTION("GOOGLETRANSLATE(C146, ""en"", ""fr"")"),"A) Non, cela fait partie intégrante du catch en veste. B) Oui, toutes les prises doivent être effectuées sur le haut du corps (chemise). C) Uniquement si le pantalon se déchire. D) Uniquement lors d'un tournoi majeur.")</f>
        <v>A) Non, cela fait partie intégrante du catch en veste. B) Oui, toutes les prises doivent être effectuées sur le haut du corps (chemise). C) Uniquement si le pantalon se déchire. D) Uniquement lors d'un tournoi majeur.</v>
      </c>
      <c r="J146" s="6" t="str">
        <f>IFERROR(__xludf.DUMMYFUNCTION("GOOGLETRANSLATE(D146, ""en"", ""fr"")"),"B) Oui, toutes les prises doivent être sur le haut du corps (chemise).")</f>
        <v>B) Oui, toutes les prises doivent être sur le haut du corps (chemise).</v>
      </c>
      <c r="K146" s="6" t="str">
        <f>IFERROR(__xludf.DUMMYFUNCTION("GOOGLETRANSLATE(E146, ""en"", ""fr"")"),"Les règles du Gouren sont précises : la prise est limitée à la veste de lutte de l’adversaire. Saisir le pantalon est une faute.")</f>
        <v>Les règles du Gouren sont précises : la prise est limitée à la veste de lutte de l’adversaire. Saisir le pantalon est une faute.</v>
      </c>
    </row>
    <row r="147" ht="22.5" customHeight="1">
      <c r="A147" s="4">
        <v>146.0</v>
      </c>
      <c r="B147" s="5" t="s">
        <v>2121</v>
      </c>
      <c r="C147" s="5" t="s">
        <v>2028</v>
      </c>
      <c r="D147" s="5" t="s">
        <v>2029</v>
      </c>
      <c r="E147" s="5" t="s">
        <v>2030</v>
      </c>
      <c r="G147" s="6" t="str">
        <f>IFERROR(__xludf.DUMMYFUNCTION("GOOGLETRANSLATE(A147, ""en"", ""fr"")"),"146")</f>
        <v>146</v>
      </c>
      <c r="H147" s="6" t="str">
        <f>IFERROR(__xludf.DUMMYFUNCTION("GOOGLETRANSLATE(B147, ""en"", ""fr"")"),"À quel élément de la tenue du lutteur fait référence le mot « roched » ?")</f>
        <v>À quel élément de la tenue du lutteur fait référence le mot « roched » ?</v>
      </c>
      <c r="I147" s="6" t="str">
        <f>IFERROR(__xludf.DUMMYFUNCTION("GOOGLETRANSLATE(C147, ""en"", ""fr"")"),"A) Le pantalon, B) La ceinture, C) La chemise ou la veste blanche résistante à manches courtes, D) Les chaussures")</f>
        <v>A) Le pantalon, B) La ceinture, C) La chemise ou la veste blanche résistante à manches courtes, D) Les chaussures</v>
      </c>
      <c r="J147" s="6" t="str">
        <f>IFERROR(__xludf.DUMMYFUNCTION("GOOGLETRANSLATE(D147, ""en"", ""fr"")"),"C) La chemise ou la veste blanche résistante à manches courtes")</f>
        <v>C) La chemise ou la veste blanche résistante à manches courtes</v>
      </c>
      <c r="K147" s="6" t="str">
        <f>IFERROR(__xludf.DUMMYFUNCTION("GOOGLETRANSLATE(E147, ""en"", ""fr"")"),"Le roched est la veste robuste en lin ou en toile que les lutteurs agrippent pendant le match.")</f>
        <v>Le roched est la veste robuste en lin ou en toile que les lutteurs agrippent pendant le match.</v>
      </c>
    </row>
    <row r="148" ht="22.5" customHeight="1">
      <c r="A148" s="4">
        <v>147.0</v>
      </c>
      <c r="B148" s="5" t="s">
        <v>2019</v>
      </c>
      <c r="C148" s="5" t="s">
        <v>2020</v>
      </c>
      <c r="D148" s="5" t="s">
        <v>2021</v>
      </c>
      <c r="E148" s="5" t="s">
        <v>2022</v>
      </c>
      <c r="G148" s="6" t="str">
        <f>IFERROR(__xludf.DUMMYFUNCTION("GOOGLETRANSLATE(A148, ""en"", ""fr"")"),"147")</f>
        <v>147</v>
      </c>
      <c r="H148" s="6" t="str">
        <f>IFERROR(__xludf.DUMMYFUNCTION("GOOGLETRANSLATE(B148, ""en"", ""fr"")"),"Quelle est la principale raison pour laquelle la noblesse a abandonné la pratique du Gouren ?")</f>
        <v>Quelle est la principale raison pour laquelle la noblesse a abandonné la pratique du Gouren ?</v>
      </c>
      <c r="I148" s="6" t="str">
        <f>IFERROR(__xludf.DUMMYFUNCTION("GOOGLETRANSLATE(C148, ""en"", ""fr"")"),"A) Ils le trouvaient trop difficile, B) Un décret royal l'interdit aux nobles, C) Il fut considéré comme un « passe-temps de paysans » et n'était plus à la mode, D) Ils préféraient le tennis")</f>
        <v>A) Ils le trouvaient trop difficile, B) Un décret royal l'interdit aux nobles, C) Il fut considéré comme un « passe-temps de paysans » et n'était plus à la mode, D) Ils préféraient le tennis</v>
      </c>
      <c r="J148" s="6" t="str">
        <f>IFERROR(__xludf.DUMMYFUNCTION("GOOGLETRANSLATE(D148, ""en"", ""fr"")"),"C) Il fut perçu comme un « passe-temps de paysans » et n'était plus à la mode.")</f>
        <v>C) Il fut perçu comme un « passe-temps de paysans » et n'était plus à la mode.</v>
      </c>
      <c r="K148" s="6" t="str">
        <f>IFERROR(__xludf.DUMMYFUNCTION("GOOGLETRANSLATE(E148, ""en"", ""fr"")"),"Avec l'évolution de la société, l'aristocratie commença à considérer ce sport populaire, rude et physique, comme vulgaire et indigne de son rang.")</f>
        <v>Avec l'évolution de la société, l'aristocratie commença à considérer ce sport populaire, rude et physique, comme vulgaire et indigne de son rang.</v>
      </c>
    </row>
    <row r="149" ht="22.5" customHeight="1">
      <c r="A149" s="4">
        <v>148.0</v>
      </c>
      <c r="B149" s="5" t="s">
        <v>2122</v>
      </c>
      <c r="C149" s="5" t="s">
        <v>1867</v>
      </c>
      <c r="D149" s="5" t="s">
        <v>1868</v>
      </c>
      <c r="E149" s="5" t="s">
        <v>1869</v>
      </c>
      <c r="G149" s="6" t="str">
        <f>IFERROR(__xludf.DUMMYFUNCTION("GOOGLETRANSLATE(A149, ""en"", ""fr"")"),"148")</f>
        <v>148</v>
      </c>
      <c r="H149" s="6" t="str">
        <f>IFERROR(__xludf.DUMMYFUNCTION("GOOGLETRANSLATE(B149, ""en"", ""fr"")"),"Le serment du lutteur, « Je jure de combattre avec une loyauté totale », interdit principalement quoi ?")</f>
        <v>Le serment du lutteur, « Je jure de combattre avec une loyauté totale », interdit principalement quoi ?</v>
      </c>
      <c r="I149" s="6" t="str">
        <f>IFERROR(__xludf.DUMMYFUNCTION("GOOGLETRANSLATE(C149, ""en"", ""fr"")"),"A) Perdre le match, B) Toute forme de trahison ou de « coup bas », C) Parler pendant le match, D) Attaquer les jambes")</f>
        <v>A) Perdre le match, B) Toute forme de trahison ou de « coup bas », C) Parler pendant le match, D) Attaquer les jambes</v>
      </c>
      <c r="J149" s="6" t="str">
        <f>IFERROR(__xludf.DUMMYFUNCTION("GOOGLETRANSLATE(D149, ""en"", ""fr"")"),"B) Toute forme de trahison ou de « coups bas »,")</f>
        <v>B) Toute forme de trahison ou de « coups bas »,</v>
      </c>
      <c r="K149" s="6" t="str">
        <f>IFERROR(__xludf.DUMMYFUNCTION("GOOGLETRANSLATE(E149, ""en"", ""fr"")"),"Le serment est un engagement à combattre avec honneur, interdisant explicitement toute action qui ne repose pas sur une compétence juste et transparente.")</f>
        <v>Le serment est un engagement à combattre avec honneur, interdisant explicitement toute action qui ne repose pas sur une compétence juste et transparente.</v>
      </c>
    </row>
    <row r="150" ht="22.5" customHeight="1">
      <c r="A150" s="4">
        <v>149.0</v>
      </c>
      <c r="B150" s="5" t="s">
        <v>1882</v>
      </c>
      <c r="C150" s="5" t="s">
        <v>2123</v>
      </c>
      <c r="D150" s="5" t="s">
        <v>2124</v>
      </c>
      <c r="E150" s="5" t="s">
        <v>2125</v>
      </c>
      <c r="G150" s="6" t="str">
        <f>IFERROR(__xludf.DUMMYFUNCTION("GOOGLETRANSLATE(A150, ""en"", ""fr"")"),"149")</f>
        <v>149</v>
      </c>
      <c r="H150" s="6" t="str">
        <f>IFERROR(__xludf.DUMMYFUNCTION("GOOGLETRANSLATE(B150, ""en"", ""fr"")"),"Quelle est la signification historique de l'inclusion des « sports athlétiques » dans la FALSAB ?")</f>
        <v>Quelle est la signification historique de l'inclusion des « sports athlétiques » dans la FALSAB ?</v>
      </c>
      <c r="I150" s="6" t="str">
        <f>IFERROR(__xludf.DUMMYFUNCTION("GOOGLETRANSLATE(C150, ""en"", ""fr"")"),"A) Cela montre qu'ils ne se concentraient pas uniquement sur la lutte. B) C'était une tentative de créer une version bretonne des Jeux olympiques en préservant tous les sports locaux. C) C'était un moyen d'obtenir davantage de financements publics. D) C'é"&amp;"tait une erreur dans le nom de la fédération.")</f>
        <v>A) Cela montre qu'ils ne se concentraient pas uniquement sur la lutte. B) C'était une tentative de créer une version bretonne des Jeux olympiques en préservant tous les sports locaux. C) C'était un moyen d'obtenir davantage de financements publics. D) C'était une erreur dans le nom de la fédération.</v>
      </c>
      <c r="J150" s="6" t="str">
        <f>IFERROR(__xludf.DUMMYFUNCTION("GOOGLETRANSLATE(D150, ""en"", ""fr"")"),"B) Il s'agissait d'une tentative de créer une version bretonne des Jeux olympiques en préservant tous les sports locaux.")</f>
        <v>B) Il s'agissait d'une tentative de créer une version bretonne des Jeux olympiques en préservant tous les sports locaux.</v>
      </c>
      <c r="K150" s="6" t="str">
        <f>IFERROR(__xludf.DUMMYFUNCTION("GOOGLETRANSLATE(E150, ""en"", ""fr"")"),"L’objectif initial de la fédération était de préserver tous les sports traditionnels bretons, de la lutte aux jeux de force et d’adresse uniques.")</f>
        <v>L’objectif initial de la fédération était de préserver tous les sports traditionnels bretons, de la lutte aux jeux de force et d’adresse uniques.</v>
      </c>
    </row>
    <row r="151" ht="22.5" customHeight="1">
      <c r="A151" s="4">
        <v>150.0</v>
      </c>
      <c r="B151" s="5" t="s">
        <v>2126</v>
      </c>
      <c r="C151" s="5" t="s">
        <v>2127</v>
      </c>
      <c r="D151" s="5" t="s">
        <v>2128</v>
      </c>
      <c r="E151" s="5" t="s">
        <v>2129</v>
      </c>
      <c r="G151" s="6" t="str">
        <f>IFERROR(__xludf.DUMMYFUNCTION("GOOGLETRANSLATE(A151, ""en"", ""fr"")"),"150")</f>
        <v>150</v>
      </c>
      <c r="H151" s="6" t="str">
        <f>IFERROR(__xludf.DUMMYFUNCTION("GOOGLETRANSLATE(B151, ""en"", ""fr"")"),"Dans un tableau du XIXe siècle représentant un match de Gouren, on voit souvent un musicien jouer de quels instruments traditionnels ?")</f>
        <v>Dans un tableau du XIXe siècle représentant un match de Gouren, on voit souvent un musicien jouer de quels instruments traditionnels ?</v>
      </c>
      <c r="I151" s="6" t="str">
        <f>IFERROR(__xludf.DUMMYFUNCTION("GOOGLETRANSLATE(C151, ""en"", ""fr"")"),"A) Un violon et un violoncelle, B) Une flûte et une harpe, C) Un accordéon et un banjo, D) Un biniou (cornemuse bretonne) et une bombarde (hautbois)")</f>
        <v>A) Un violon et un violoncelle, B) Une flûte et une harpe, C) Un accordéon et un banjo, D) Un biniou (cornemuse bretonne) et une bombarde (hautbois)</v>
      </c>
      <c r="J151" s="6" t="str">
        <f>IFERROR(__xludf.DUMMYFUNCTION("GOOGLETRANSLATE(D151, ""en"", ""fr"")"),"D) Un biniou (cornemuse bretonne) et une bombarde (hautbois)")</f>
        <v>D) Un biniou (cornemuse bretonne) et une bombarde (hautbois)</v>
      </c>
      <c r="K151" s="6" t="str">
        <f>IFERROR(__xludf.DUMMYFUNCTION("GOOGLETRANSLATE(E151, ""en"", ""fr"")"),"La musique traditionnelle bretonne, jouée sur le duo emblématique du biniou et de la bombarde, était un élément essentiel de l'atmosphère festive des tournois.")</f>
        <v>La musique traditionnelle bretonne, jouée sur le duo emblématique du biniou et de la bombarde, était un élément essentiel de l'atmosphère festive des tournois.</v>
      </c>
    </row>
  </sheetData>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5" width="37.63"/>
    <col customWidth="1" min="7" max="7" width="14.13"/>
    <col customWidth="1" min="10" max="10" width="18.88"/>
    <col customWidth="1" min="11" max="11" width="13.88"/>
  </cols>
  <sheetData>
    <row r="1" ht="22.5" customHeight="1">
      <c r="A1" s="1" t="s">
        <v>0</v>
      </c>
      <c r="B1" s="2" t="s">
        <v>1</v>
      </c>
      <c r="C1" s="2" t="s">
        <v>2</v>
      </c>
      <c r="D1" s="2" t="s">
        <v>3</v>
      </c>
      <c r="E1" s="2" t="s">
        <v>4</v>
      </c>
      <c r="G1" s="3" t="s">
        <v>5</v>
      </c>
      <c r="H1" s="3" t="s">
        <v>6</v>
      </c>
      <c r="I1" s="3" t="s">
        <v>7</v>
      </c>
      <c r="J1" s="3" t="s">
        <v>8</v>
      </c>
      <c r="K1" s="3" t="s">
        <v>4</v>
      </c>
    </row>
    <row r="2" ht="22.5" customHeight="1">
      <c r="A2" s="4">
        <v>1.0</v>
      </c>
      <c r="B2" s="5" t="s">
        <v>2130</v>
      </c>
      <c r="C2" s="5" t="s">
        <v>2131</v>
      </c>
      <c r="D2" s="5" t="s">
        <v>2132</v>
      </c>
      <c r="E2" s="5" t="s">
        <v>2133</v>
      </c>
      <c r="G2" s="6" t="str">
        <f>IFERROR(__xludf.DUMMYFUNCTION("GOOGLETRANSLATE(A2, ""en"", ""fr"")"),"1")</f>
        <v>1</v>
      </c>
      <c r="H2" s="6" t="str">
        <f>IFERROR(__xludf.DUMMYFUNCTION("GOOGLETRANSLATE(B2, ""en"", ""fr"")"),"La première trace écrite connue d'un jeu de taureaux en Camargue, considéré comme un ancêtre du sport moderne, date de quelle année et de quelle ville ?")</f>
        <v>La première trace écrite connue d'un jeu de taureaux en Camargue, considéré comme un ancêtre du sport moderne, date de quelle année et de quelle ville ?</v>
      </c>
      <c r="I2" s="6" t="str">
        <f>IFERROR(__xludf.DUMMYFUNCTION("GOOGLETRANSLATE(C2, ""en"", ""fr"")"),"A) 1282 à Marseille, B) 1402 à Arles, C) 1551 à Nîmes, D) 1666 à Sète")</f>
        <v>A) 1282 à Marseille, B) 1402 à Arles, C) 1551 à Nîmes, D) 1666 à Sète</v>
      </c>
      <c r="J2" s="6" t="str">
        <f>IFERROR(__xludf.DUMMYFUNCTION("GOOGLETRANSLATE(D2, ""en"", ""fr"")"),"B) 1402 à Arles")</f>
        <v>B) 1402 à Arles</v>
      </c>
      <c r="K2" s="6" t="str">
        <f>IFERROR(__xludf.DUMMYFUNCTION("GOOGLETRANSLATE(E2, ""en"", ""fr"")"),"Un document de 1402 décrit une fête donnée à Arles en l'honneur de Louis II, comte de Provence, qui comprenait « un spectacle de course de taureaux ».")</f>
        <v>Un document de 1402 décrit une fête donnée à Arles en l'honneur de Louis II, comte de Provence, qui comprenait « un spectacle de course de taureaux ».</v>
      </c>
    </row>
    <row r="3" ht="22.5" customHeight="1">
      <c r="A3" s="4">
        <v>2.0</v>
      </c>
      <c r="B3" s="5" t="s">
        <v>2134</v>
      </c>
      <c r="C3" s="5" t="s">
        <v>2135</v>
      </c>
      <c r="D3" s="5" t="s">
        <v>2136</v>
      </c>
      <c r="E3" s="5" t="s">
        <v>2137</v>
      </c>
      <c r="G3" s="6" t="str">
        <f>IFERROR(__xludf.DUMMYFUNCTION("GOOGLETRANSLATE(A3, ""en"", ""fr"")"),"2")</f>
        <v>2</v>
      </c>
      <c r="H3" s="6" t="str">
        <f>IFERROR(__xludf.DUMMYFUNCTION("GOOGLETRANSLATE(B3, ""en"", ""fr"")"),"Au XIXe siècle, le Course Camarguaise est né de quel événement rural et agricole ?")</f>
        <v>Au XIXe siècle, le Course Camarguaise est né de quel événement rural et agricole ?</v>
      </c>
      <c r="I3" s="6" t="str">
        <f>IFERROR(__xludf.DUMMYFUNCTION("GOOGLETRANSLATE(C3, ""en"", ""fr"")"),"A) Ventes aux enchères de bétail, B) Processions religieuses, C) La ferrade (le marquage au fer rouge des jeunes taureaux), D) Fêtes des récoltes")</f>
        <v>A) Ventes aux enchères de bétail, B) Processions religieuses, C) La ferrade (le marquage au fer rouge des jeunes taureaux), D) Fêtes des récoltes</v>
      </c>
      <c r="J3" s="6" t="str">
        <f>IFERROR(__xludf.DUMMYFUNCTION("GOOGLETRANSLATE(D3, ""en"", ""fr"")"),"C) La ferrade (le marquage des jeunes taureaux)")</f>
        <v>C) La ferrade (le marquage des jeunes taureaux)</v>
      </c>
      <c r="K3" s="6" t="str">
        <f>IFERROR(__xludf.DUMMYFUNCTION("GOOGLETRANSLATE(E3, ""en"", ""fr"")"),"Ces jeux trouvent leur origine dans la bravoure des ouvriers agricoles qui tentaient d'arracher une rosette aux taureaux lors des cérémonies annuelles de marquage.")</f>
        <v>Ces jeux trouvent leur origine dans la bravoure des ouvriers agricoles qui tentaient d'arracher une rosette aux taureaux lors des cérémonies annuelles de marquage.</v>
      </c>
    </row>
    <row r="4" ht="22.5" customHeight="1">
      <c r="A4" s="4">
        <v>3.0</v>
      </c>
      <c r="B4" s="5" t="s">
        <v>2138</v>
      </c>
      <c r="C4" s="5" t="s">
        <v>2139</v>
      </c>
      <c r="D4" s="5" t="s">
        <v>2140</v>
      </c>
      <c r="E4" s="5" t="s">
        <v>2141</v>
      </c>
      <c r="G4" s="6" t="str">
        <f>IFERROR(__xludf.DUMMYFUNCTION("GOOGLETRANSLATE(A4, ""en"", ""fr"")"),"3")</f>
        <v>3</v>
      </c>
      <c r="H4" s="6" t="str">
        <f>IFERROR(__xludf.DUMMYFUNCTION("GOOGLETRANSLATE(B4, ""en"", ""fr"")"),"Qui est considéré comme le « père » du cours camarguais moderne pour son travail de préservation et de codification des traditions au début du XXe siècle ?")</f>
        <v>Qui est considéré comme le « père » du cours camarguais moderne pour son travail de préservation et de codification des traditions au début du XXe siècle ?</v>
      </c>
      <c r="I4" s="6" t="str">
        <f>IFERROR(__xludf.DUMMYFUNCTION("GOOGLETRANSLATE(C4, ""en"", ""fr"")"),"A) Louis IX, B) Jean-Henri Fabre, C) Frédéric Mistral, D) Marquis Folco de Baroncelli-Javon")</f>
        <v>A) Louis IX, B) Jean-Henri Fabre, C) Frédéric Mistral, D) Marquis Folco de Baroncelli-Javon</v>
      </c>
      <c r="J4" s="6" t="str">
        <f>IFERROR(__xludf.DUMMYFUNCTION("GOOGLETRANSLATE(D4, ""en"", ""fr"")"),"D) Marquis Folco de Baroncelli-Javon")</f>
        <v>D) Marquis Folco de Baroncelli-Javon</v>
      </c>
      <c r="K4" s="6" t="str">
        <f>IFERROR(__xludf.DUMMYFUNCTION("GOOGLETRANSLATE(E4, ""en"", ""fr"")"),"Le marquis de Baroncelli était un éleveur influent qui a travaillé sans relâche pour préserver les traditions camarguaises, notamment en formalisant le combat de taureaux.")</f>
        <v>Le marquis de Baroncelli était un éleveur influent qui a travaillé sans relâche pour préserver les traditions camarguaises, notamment en formalisant le combat de taureaux.</v>
      </c>
    </row>
    <row r="5" ht="22.5" customHeight="1">
      <c r="A5" s="4">
        <v>4.0</v>
      </c>
      <c r="B5" s="5" t="s">
        <v>2142</v>
      </c>
      <c r="C5" s="5" t="s">
        <v>2143</v>
      </c>
      <c r="D5" s="5" t="s">
        <v>2144</v>
      </c>
      <c r="E5" s="5" t="s">
        <v>2145</v>
      </c>
      <c r="G5" s="6" t="str">
        <f>IFERROR(__xludf.DUMMYFUNCTION("GOOGLETRANSLATE(A5, ""en"", ""fr"")"),"4")</f>
        <v>4</v>
      </c>
      <c r="H5" s="6" t="str">
        <f>IFERROR(__xludf.DUMMYFUNCTION("GOOGLETRANSLATE(B5, ""en"", ""fr"")"),"Quel est le nom de la race spécifique de taureau utilisée pour la Course Camarguaise, connue pour sa petite taille, sa robe noire et ses cornes en forme de lyre ?")</f>
        <v>Quel est le nom de la race spécifique de taureau utilisée pour la Course Camarguaise, connue pour sa petite taille, sa robe noire et ses cornes en forme de lyre ?</v>
      </c>
      <c r="I5" s="6" t="str">
        <f>IFERROR(__xludf.DUMMYFUNCTION("GOOGLETRANSLATE(C5, ""en"", ""fr"")"),"A) Le taureau de combat espagnol, B) Le raço di biòu (bovins de Camargue), C) L'aubrac, D) Le charolais")</f>
        <v>A) Le taureau de combat espagnol, B) Le raço di biòu (bovins de Camargue), C) L'aubrac, D) Le charolais</v>
      </c>
      <c r="J5" s="6" t="str">
        <f>IFERROR(__xludf.DUMMYFUNCTION("GOOGLETRANSLATE(D5, ""en"", ""fr"")"),"B) Le bétail camarguais (Raço di Biòu)")</f>
        <v>B) Le bétail camarguais (Raço di Biòu)</v>
      </c>
      <c r="K5" s="6" t="str">
        <f>IFERROR(__xludf.DUMMYFUNCTION("GOOGLETRANSLATE(E5, ""en"", ""fr"")"),"Ce sport utilise exclusivement la race indigène camarguaise, semi-sauvage et parfaitement adaptée aux zones marécageuses de la région.")</f>
        <v>Ce sport utilise exclusivement la race indigène camarguaise, semi-sauvage et parfaitement adaptée aux zones marécageuses de la région.</v>
      </c>
    </row>
    <row r="6" ht="22.5" customHeight="1">
      <c r="A6" s="4">
        <v>5.0</v>
      </c>
      <c r="B6" s="5" t="s">
        <v>2146</v>
      </c>
      <c r="C6" s="5" t="s">
        <v>2147</v>
      </c>
      <c r="D6" s="5" t="s">
        <v>2148</v>
      </c>
      <c r="E6" s="5" t="s">
        <v>2149</v>
      </c>
      <c r="G6" s="6" t="str">
        <f>IFERROR(__xludf.DUMMYFUNCTION("GOOGLETRANSLATE(A6, ""en"", ""fr"")"),"5")</f>
        <v>5</v>
      </c>
      <c r="H6" s="6" t="str">
        <f>IFERROR(__xludf.DUMMYFUNCTION("GOOGLETRANSLATE(B6, ""en"", ""fr"")"),"En quoi le sport moderne diffère-t-il fondamentalement de la corrida espagnole sur un point clé ?")</f>
        <v>En quoi le sport moderne diffère-t-il fondamentalement de la corrida espagnole sur un point clé ?</v>
      </c>
      <c r="I6" s="6" t="str">
        <f>IFERROR(__xludf.DUMMYFUNCTION("GOOGLETRANSLATE(C6, ""en"", ""fr"")"),"A) Les taureaux sont plus grands, B) Le combat a lieu dans une arène carrée, C) Le taureau est vénéré et n'est jamais mis à mort dans l'arène, D) Les hommes sont à cheval")</f>
        <v>A) Les taureaux sont plus grands, B) Le combat a lieu dans une arène carrée, C) Le taureau est vénéré et n'est jamais mis à mort dans l'arène, D) Les hommes sont à cheval</v>
      </c>
      <c r="J6" s="6" t="str">
        <f>IFERROR(__xludf.DUMMYFUNCTION("GOOGLETRANSLATE(D6, ""en"", ""fr"")"),"C) Le taureau est célébré et n'est jamais tué dans l'arène.")</f>
        <v>C) Le taureau est célébré et n'est jamais tué dans l'arène.</v>
      </c>
      <c r="K6" s="6" t="str">
        <f>IFERROR(__xludf.DUMMYFUNCTION("GOOGLETRANSLATE(E6, ""en"", ""fr"")"),"C’est le principe le plus important de la Course Camarguaise : le taureau est la star et sa vie est toujours préservée.")</f>
        <v>C’est le principe le plus important de la Course Camarguaise : le taureau est la star et sa vie est toujours préservée.</v>
      </c>
    </row>
    <row r="7" ht="22.5" customHeight="1">
      <c r="A7" s="4">
        <v>6.0</v>
      </c>
      <c r="B7" s="5" t="s">
        <v>2150</v>
      </c>
      <c r="C7" s="5" t="s">
        <v>2151</v>
      </c>
      <c r="D7" s="5" t="s">
        <v>2152</v>
      </c>
      <c r="E7" s="5" t="s">
        <v>2153</v>
      </c>
      <c r="G7" s="6" t="str">
        <f>IFERROR(__xludf.DUMMYFUNCTION("GOOGLETRANSLATE(A7, ""en"", ""fr"")"),"6")</f>
        <v>6</v>
      </c>
      <c r="H7" s="6" t="str">
        <f>IFERROR(__xludf.DUMMYFUNCTION("GOOGLETRANSLATE(B7, ""en"", ""fr"")"),"Comment appelle-t-on les hommes, vêtus de blanc, qui combattent dans l'arène ?")</f>
        <v>Comment appelle-t-on les hommes, vêtus de blanc, qui combattent dans l'arène ?</v>
      </c>
      <c r="I7" s="6" t="str">
        <f>IFERROR(__xludf.DUMMYFUNCTION("GOOGLETRANSLATE(C7, ""en"", ""fr"")"),"A) Matadors, B) Picadors, C) Gardiens, D) Razeteurs")</f>
        <v>A) Matadors, B) Picadors, C) Gardiens, D) Razeteurs</v>
      </c>
      <c r="J7" s="6" t="str">
        <f>IFERROR(__xludf.DUMMYFUNCTION("GOOGLETRANSLATE(D7, ""en"", ""fr"")"),"D) Razeteurs")</f>
        <v>D) Razeteurs</v>
      </c>
      <c r="K7" s="6" t="str">
        <f>IFERROR(__xludf.DUMMYFUNCTION("GOOGLETRANSLATE(E7, ""en"", ""fr"")"),"Le razeteur est l'athlète qui entre dans l'arène à pied et tente de récupérer les attributs des cornes du taureau.")</f>
        <v>Le razeteur est l'athlète qui entre dans l'arène à pied et tente de récupérer les attributs des cornes du taureau.</v>
      </c>
    </row>
    <row r="8" ht="22.5" customHeight="1">
      <c r="A8" s="4">
        <v>7.0</v>
      </c>
      <c r="B8" s="5" t="s">
        <v>2154</v>
      </c>
      <c r="C8" s="5" t="s">
        <v>2155</v>
      </c>
      <c r="D8" s="5" t="s">
        <v>2156</v>
      </c>
      <c r="E8" s="5" t="s">
        <v>2157</v>
      </c>
      <c r="G8" s="6" t="str">
        <f>IFERROR(__xludf.DUMMYFUNCTION("GOOGLETRANSLATE(A8, ""en"", ""fr"")"),"7")</f>
        <v>7</v>
      </c>
      <c r="H8" s="6" t="str">
        <f>IFERROR(__xludf.DUMMYFUNCTION("GOOGLETRANSLATE(B8, ""en"", ""fr"")"),"Comment s'appelle la griffe ou le crochet métallique porté à la main d'un razeteur ?")</f>
        <v>Comment s'appelle la griffe ou le crochet métallique porté à la main d'un razeteur ?</v>
      </c>
      <c r="I8" s="6" t="str">
        <f>IFERROR(__xludf.DUMMYFUNCTION("GOOGLETRANSLATE(C8, ""en"", ""fr"")"),"A) Le crochet, B) Le trident, C) Le crochet, D) Le griffe")</f>
        <v>A) Le crochet, B) Le trident, C) Le crochet, D) Le griffe</v>
      </c>
      <c r="J8" s="6" t="str">
        <f>IFERROR(__xludf.DUMMYFUNCTION("GOOGLETRANSLATE(D8, ""en"", ""fr"")"),"C) Le crochet")</f>
        <v>C) Le crochet</v>
      </c>
      <c r="K8" s="6" t="str">
        <f>IFERROR(__xludf.DUMMYFUNCTION("GOOGLETRANSLATE(E8, ""en"", ""fr"")"),"Le crochet est l'outil unique utilisé par le razeteur pour sectionner les cordes retenant les attributs sur les cornes du taureau.")</f>
        <v>Le crochet est l'outil unique utilisé par le razeteur pour sectionner les cordes retenant les attributs sur les cornes du taureau.</v>
      </c>
    </row>
    <row r="9" ht="22.5" customHeight="1">
      <c r="A9" s="4">
        <v>8.0</v>
      </c>
      <c r="B9" s="5" t="s">
        <v>2158</v>
      </c>
      <c r="C9" s="5" t="s">
        <v>2159</v>
      </c>
      <c r="D9" s="5" t="s">
        <v>2160</v>
      </c>
      <c r="E9" s="5" t="s">
        <v>2161</v>
      </c>
      <c r="G9" s="6" t="str">
        <f>IFERROR(__xludf.DUMMYFUNCTION("GOOGLETRANSLATE(A9, ""en"", ""fr"")"),"8")</f>
        <v>8</v>
      </c>
      <c r="H9" s="6" t="str">
        <f>IFERROR(__xludf.DUMMYFUNCTION("GOOGLETRANSLATE(B9, ""en"", ""fr"")"),"Historiquement, qu'était-ce que la «cocarde» ?")</f>
        <v>Historiquement, qu'était-ce que la «cocarde» ?</v>
      </c>
      <c r="I9" s="6" t="str">
        <f>IFERROR(__xludf.DUMMYFUNCTION("GOOGLETRANSLATE(C9, ""en"", ""fr"")"),"A) Une vraie fleur, B) Un ruban rouge posé sur le front du taureau, C) Un prix pour le taureau, D) Le nom de l'arène")</f>
        <v>A) Une vraie fleur, B) Un ruban rouge posé sur le front du taureau, C) Un prix pour le taureau, D) Le nom de l'arène</v>
      </c>
      <c r="J9" s="6" t="str">
        <f>IFERROR(__xludf.DUMMYFUNCTION("GOOGLETRANSLATE(D9, ""en"", ""fr"")"),"B) Un morceau de ruban rouge placé sur le front du taureau")</f>
        <v>B) Un morceau de ruban rouge placé sur le front du taureau</v>
      </c>
      <c r="K9" s="6" t="str">
        <f>IFERROR(__xludf.DUMMYFUNCTION("GOOGLETRANSLATE(E9, ""en"", ""fr"")"),"La cocarde fut le premier attribut à être formalisé, un simple ruban que les jeunes hommes tentaient d'arracher comme trophée pour l'offrir à une fille.")</f>
        <v>La cocarde fut le premier attribut à être formalisé, un simple ruban que les jeunes hommes tentaient d'arracher comme trophée pour l'offrir à une fille.</v>
      </c>
    </row>
    <row r="10" ht="22.5" customHeight="1">
      <c r="A10" s="4">
        <v>9.0</v>
      </c>
      <c r="B10" s="5" t="s">
        <v>2162</v>
      </c>
      <c r="C10" s="5" t="s">
        <v>2163</v>
      </c>
      <c r="D10" s="5" t="s">
        <v>2164</v>
      </c>
      <c r="E10" s="5" t="s">
        <v>2165</v>
      </c>
      <c r="G10" s="6" t="str">
        <f>IFERROR(__xludf.DUMMYFUNCTION("GOOGLETRANSLATE(A10, ""en"", ""fr"")"),"9")</f>
        <v>9</v>
      </c>
      <c r="H10" s="6" t="str">
        <f>IFERROR(__xludf.DUMMYFUNCTION("GOOGLETRANSLATE(B10, ""en"", ""fr"")"),"Dans quelles deux villes se déroulent de nombreuses courses parmi les plus célèbres ?")</f>
        <v>Dans quelles deux villes se déroulent de nombreuses courses parmi les plus célèbres ?</v>
      </c>
      <c r="I10" s="6" t="str">
        <f>IFERROR(__xludf.DUMMYFUNCTION("GOOGLETRANSLATE(C10, ""en"", ""fr"")"),"A) Marseille et Lyon, B) Avignon et Orange, C) Arles et Nîmes, D) Montpellier et Béziers")</f>
        <v>A) Marseille et Lyon, B) Avignon et Orange, C) Arles et Nîmes, D) Montpellier et Béziers</v>
      </c>
      <c r="J10" s="6" t="str">
        <f>IFERROR(__xludf.DUMMYFUNCTION("GOOGLETRANSLATE(D10, ""en"", ""fr"")"),"C) Arles et Nîmes")</f>
        <v>C) Arles et Nîmes</v>
      </c>
      <c r="K10" s="6" t="str">
        <f>IFERROR(__xludf.DUMMYFUNCTION("GOOGLETRANSLATE(E10, ""en"", ""fr"")"),"Les magnifiques arènes romaines d'Arles et de Nîmes offrent un cadre spectaculaire et historique aux grands événements du Course Camarguaise.")</f>
        <v>Les magnifiques arènes romaines d'Arles et de Nîmes offrent un cadre spectaculaire et historique aux grands événements du Course Camarguaise.</v>
      </c>
    </row>
    <row r="11" ht="22.5" customHeight="1">
      <c r="A11" s="4">
        <v>10.0</v>
      </c>
      <c r="B11" s="5" t="s">
        <v>2166</v>
      </c>
      <c r="C11" s="5" t="s">
        <v>2167</v>
      </c>
      <c r="D11" s="5" t="s">
        <v>2168</v>
      </c>
      <c r="E11" s="5" t="s">
        <v>2169</v>
      </c>
      <c r="G11" s="6" t="str">
        <f>IFERROR(__xludf.DUMMYFUNCTION("GOOGLETRANSLATE(A11, ""en"", ""fr"")"),"10")</f>
        <v>10</v>
      </c>
      <c r="H11" s="6" t="str">
        <f>IFERROR(__xludf.DUMMYFUNCTION("GOOGLETRANSLATE(B11, ""en"", ""fr"")"),"Qu'est-ce qu'une manade en Camargue ?")</f>
        <v>Qu'est-ce qu'une manade en Camargue ?</v>
      </c>
      <c r="I11" s="6" t="str">
        <f>IFERROR(__xludf.DUMMYFUNCTION("GOOGLETRANSLATE(C11, ""en"", ""fr"")"),"A) Un type de festival, B) Les arènes, C) Un troupeau de taureaux et de chevaux de Camargue, et le ranch où ils sont élevés, D) Une équipe de razeteurs")</f>
        <v>A) Un type de festival, B) Les arènes, C) Un troupeau de taureaux et de chevaux de Camargue, et le ranch où ils sont élevés, D) Une équipe de razeteurs</v>
      </c>
      <c r="J11" s="6" t="str">
        <f>IFERROR(__xludf.DUMMYFUNCTION("GOOGLETRANSLATE(D11, ""en"", ""fr"")"),"C) Un troupeau de taureaux et de chevaux de Camargue, et le ranch où ils sont élevés")</f>
        <v>C) Un troupeau de taureaux et de chevaux de Camargue, et le ranch où ils sont élevés</v>
      </c>
      <c r="K11" s="6" t="str">
        <f>IFERROR(__xludf.DUMMYFUNCTION("GOOGLETRANSLATE(E11, ""en"", ""fr"")"),"Une manade désigne l'ensemble de l'exploitation d'élevage, gérée par un manadier, qui est au cœur de la culture de la région.")</f>
        <v>Une manade désigne l'ensemble de l'exploitation d'élevage, gérée par un manadier, qui est au cœur de la culture de la région.</v>
      </c>
    </row>
    <row r="12" ht="22.5" customHeight="1">
      <c r="A12" s="4">
        <v>11.0</v>
      </c>
      <c r="B12" s="5" t="s">
        <v>2170</v>
      </c>
      <c r="C12" s="5" t="s">
        <v>2171</v>
      </c>
      <c r="D12" s="5" t="s">
        <v>2172</v>
      </c>
      <c r="E12" s="5" t="s">
        <v>2173</v>
      </c>
      <c r="G12" s="6" t="str">
        <f>IFERROR(__xludf.DUMMYFUNCTION("GOOGLETRANSLATE(A12, ""en"", ""fr"")"),"11")</f>
        <v>11</v>
      </c>
      <c r="H12" s="6" t="str">
        <f>IFERROR(__xludf.DUMMYFUNCTION("GOOGLETRANSLATE(B12, ""en"", ""fr"")"),"Qu'est-ce que l'« Abrivado » ?")</f>
        <v>Qu'est-ce que l'« Abrivado » ?</v>
      </c>
      <c r="I12" s="6" t="str">
        <f>IFERROR(__xludf.DUMMYFUNCTION("GOOGLETRANSLATE(C12, ""en"", ""fr"")"),"A) La dernière manche de la course, B) Le cortège des taureaux menant à l'arène à travers les rues, C) La cérémonie de remise des prix, D) Une race de taureau")</f>
        <v>A) La dernière manche de la course, B) Le cortège des taureaux menant à l'arène à travers les rues, C) La cérémonie de remise des prix, D) Une race de taureau</v>
      </c>
      <c r="J12" s="6" t="str">
        <f>IFERROR(__xludf.DUMMYFUNCTION("GOOGLETRANSLATE(D12, ""en"", ""fr"")"),"B) Le cortège des taureaux menés à travers les rues jusqu'à l'arène")</f>
        <v>B) Le cortège des taureaux menés à travers les rues jusqu'à l'arène</v>
      </c>
      <c r="K12" s="6" t="str">
        <f>IFERROR(__xludf.DUMMYFUNCTION("GOOGLETRANSLATE(E12, ""en"", ""fr"")"),"L'abrivado est une tradition palpitante et dangereuse où des gardiens à cheval escortent les taureaux à travers la ville jusqu'à l'arène avant la course.")</f>
        <v>L'abrivado est une tradition palpitante et dangereuse où des gardiens à cheval escortent les taureaux à travers la ville jusqu'à l'arène avant la course.</v>
      </c>
    </row>
    <row r="13" ht="22.5" customHeight="1">
      <c r="A13" s="4">
        <v>12.0</v>
      </c>
      <c r="B13" s="5" t="s">
        <v>2174</v>
      </c>
      <c r="C13" s="5" t="s">
        <v>2175</v>
      </c>
      <c r="D13" s="5" t="s">
        <v>2176</v>
      </c>
      <c r="E13" s="5" t="s">
        <v>2177</v>
      </c>
      <c r="G13" s="6" t="str">
        <f>IFERROR(__xludf.DUMMYFUNCTION("GOOGLETRANSLATE(A13, ""en"", ""fr"")"),"12")</f>
        <v>12</v>
      </c>
      <c r="H13" s="6" t="str">
        <f>IFERROR(__xludf.DUMMYFUNCTION("GOOGLETRANSLATE(B13, ""en"", ""fr"")"),"Qu'est-ce que le « Bandido » ?")</f>
        <v>Qu'est-ce que le « Bandido » ?</v>
      </c>
      <c r="I13" s="6" t="str">
        <f>IFERROR(__xludf.DUMMYFUNCTION("GOOGLETRANSLATE(C13, ""en"", ""fr"")"),"A) La cérémonie d'ouverture, B) Le retour des taureaux de l'arène aux pâturages après la course, C) Un terme désignant un taureau très agressif, D) Une équipe de taureaux")</f>
        <v>A) La cérémonie d'ouverture, B) Le retour des taureaux de l'arène aux pâturages après la course, C) Un terme désignant un taureau très agressif, D) Une équipe de taureaux</v>
      </c>
      <c r="J13" s="6" t="str">
        <f>IFERROR(__xludf.DUMMYFUNCTION("GOOGLETRANSLATE(D13, ""en"", ""fr"")"),"B) Le retour des taureaux de l'arène aux pâturages après la course")</f>
        <v>B) Le retour des taureaux de l'arène aux pâturages après la course</v>
      </c>
      <c r="K13" s="6" t="str">
        <f>IFERROR(__xludf.DUMMYFUNCTION("GOOGLETRANSLATE(E13, ""en"", ""fr"")"),"Le bandido est l'inverse de l'abrivado et est souvent encore plus chaotique, car les taureaux sont maintenant agités par la course.")</f>
        <v>Le bandido est l'inverse de l'abrivado et est souvent encore plus chaotique, car les taureaux sont maintenant agités par la course.</v>
      </c>
    </row>
    <row r="14" ht="22.5" customHeight="1">
      <c r="A14" s="4">
        <v>13.0</v>
      </c>
      <c r="B14" s="5" t="s">
        <v>2178</v>
      </c>
      <c r="C14" s="5" t="s">
        <v>2179</v>
      </c>
      <c r="D14" s="5" t="s">
        <v>2180</v>
      </c>
      <c r="E14" s="5" t="s">
        <v>2181</v>
      </c>
      <c r="G14" s="6" t="str">
        <f>IFERROR(__xludf.DUMMYFUNCTION("GOOGLETRANSLATE(A14, ""en"", ""fr"")"),"13")</f>
        <v>13</v>
      </c>
      <c r="H14" s="6" t="str">
        <f>IFERROR(__xludf.DUMMYFUNCTION("GOOGLETRANSLATE(B14, ""en"", ""fr"")"),"Un taureau camarguais d'exception peut devenir une légende. Quel est le plus grand honneur qu'un tel taureau puisse recevoir ?")</f>
        <v>Un taureau camarguais d'exception peut devenir une légende. Quel est le plus grand honneur qu'un tel taureau puisse recevoir ?</v>
      </c>
      <c r="I14" s="6" t="str">
        <f>IFERROR(__xludf.DUMMYFUNCTION("GOOGLETRANSLATE(C14, ""en"", ""fr"")"),"A) Être mis à la retraite dans un zoo, B) Avoir une statue érigée en son honneur, C) Être vendu à un prix élevé, D) Être déclaré trésor national")</f>
        <v>A) Être mis à la retraite dans un zoo, B) Avoir une statue érigée en son honneur, C) Être vendu à un prix élevé, D) Être déclaré trésor national</v>
      </c>
      <c r="J14" s="6" t="str">
        <f>IFERROR(__xludf.DUMMYFUNCTION("GOOGLETRANSLATE(D14, ""en"", ""fr"")"),"B) Faire ériger une statue en son honneur")</f>
        <v>B) Faire ériger une statue en son honneur</v>
      </c>
      <c r="K14" s="6" t="str">
        <f>IFERROR(__xludf.DUMMYFUNCTION("GOOGLETRANSLATE(E14, ""en"", ""fr"")"),"Des taureaux légendaires comme Goya et Vovo sont immortalisés par des statues dans les villages de Camargue, témoignant de leur statut de héros.")</f>
        <v>Des taureaux légendaires comme Goya et Vovo sont immortalisés par des statues dans les villages de Camargue, témoignant de leur statut de héros.</v>
      </c>
    </row>
    <row r="15" ht="22.5" customHeight="1">
      <c r="A15" s="4">
        <v>14.0</v>
      </c>
      <c r="B15" s="5" t="s">
        <v>2182</v>
      </c>
      <c r="C15" s="5" t="s">
        <v>2183</v>
      </c>
      <c r="D15" s="5" t="s">
        <v>2184</v>
      </c>
      <c r="E15" s="5" t="s">
        <v>2185</v>
      </c>
      <c r="G15" s="6" t="str">
        <f>IFERROR(__xludf.DUMMYFUNCTION("GOOGLETRANSLATE(A15, ""en"", ""fr"")"),"14")</f>
        <v>14</v>
      </c>
      <c r="H15" s="6" t="str">
        <f>IFERROR(__xludf.DUMMYFUNCTION("GOOGLETRANSLATE(B15, ""en"", ""fr"")"),"Quel est le nom du prestigieux trophée de fin de saison décerné au meilleur taureau de l'année ?")</f>
        <v>Quel est le nom du prestigieux trophée de fin de saison décerné au meilleur taureau de l'année ?</v>
      </c>
      <c r="I15" s="6" t="str">
        <f>IFERROR(__xludf.DUMMYFUNCTION("GOOGLETRANSLATE(C15, ""en"", ""fr"")"),"A) La Palme d'Or, B) La Cocarde d'Or, C) Le Biòu d'Or, D) Le Trophée des As")</f>
        <v>A) La Palme d'Or, B) La Cocarde d'Or, C) Le Biòu d'Or, D) Le Trophée des As</v>
      </c>
      <c r="J15" s="6" t="str">
        <f>IFERROR(__xludf.DUMMYFUNCTION("GOOGLETRANSLATE(D15, ""en"", ""fr"")"),"C) Le Biòu d'Or")</f>
        <v>C) Le Biòu d'Or</v>
      </c>
      <c r="K15" s="6" t="str">
        <f>IFERROR(__xludf.DUMMYFUNCTION("GOOGLETRANSLATE(E15, ""en"", ""fr"")"),"Le « Taureau d'or » est le prix le plus convoité de ce sport, décerné au taureau qui a fait preuve du plus d'intelligence et de courage tout au long de la saison.")</f>
        <v>Le « Taureau d'or » est le prix le plus convoité de ce sport, décerné au taureau qui a fait preuve du plus d'intelligence et de courage tout au long de la saison.</v>
      </c>
    </row>
    <row r="16" ht="22.5" customHeight="1">
      <c r="A16" s="4">
        <v>15.0</v>
      </c>
      <c r="B16" s="5" t="s">
        <v>2186</v>
      </c>
      <c r="C16" s="5" t="s">
        <v>2187</v>
      </c>
      <c r="D16" s="5" t="s">
        <v>2188</v>
      </c>
      <c r="E16" s="5" t="s">
        <v>2189</v>
      </c>
      <c r="G16" s="6" t="str">
        <f>IFERROR(__xludf.DUMMYFUNCTION("GOOGLETRANSLATE(A16, ""en"", ""fr"")"),"15")</f>
        <v>15</v>
      </c>
      <c r="H16" s="6" t="str">
        <f>IFERROR(__xludf.DUMMYFUNCTION("GOOGLETRANSLATE(B16, ""en"", ""fr"")"),"Quels sont les « attributs » qu'un abatteur doit recueillir sur les cornes du taureau ?")</f>
        <v>Quels sont les « attributs » qu'un abatteur doit recueillir sur les cornes du taureau ?</v>
      </c>
      <c r="I16" s="6" t="str">
        <f>IFERROR(__xludf.DUMMYFUNCTION("GOOGLETRANSLATE(C16, ""en"", ""fr"")"),"A) La cocarde, deux glands et les ficelles, B) Fleurs et rubans, C) Un drapeau et une cloche, D) Les pointes des cornes")</f>
        <v>A) La cocarde, deux glands et les ficelles, B) Fleurs et rubans, C) Un drapeau et une cloche, D) Les pointes des cornes</v>
      </c>
      <c r="J16" s="6" t="str">
        <f>IFERROR(__xludf.DUMMYFUNCTION("GOOGLETRANSLATE(D16, ""en"", ""fr"")"),"A) La cocarde, deux glandes et les cordes")</f>
        <v>A) La cocarde, deux glandes et les cordes</v>
      </c>
      <c r="K16" s="6" t="str">
        <f>IFERROR(__xludf.DUMMYFUNCTION("GOOGLETRANSLATE(E16, ""en"", ""fr"")"),"Ce sont les trois types d'attributs, placés sur la tête du taureau avant la course, que les razeteurs doivent arracher avec leur crochet.")</f>
        <v>Ce sont les trois types d'attributs, placés sur la tête du taureau avant la course, que les razeteurs doivent arracher avec leur crochet.</v>
      </c>
    </row>
    <row r="17" ht="22.5" customHeight="1">
      <c r="A17" s="4">
        <v>16.0</v>
      </c>
      <c r="B17" s="5" t="s">
        <v>2190</v>
      </c>
      <c r="C17" s="5" t="s">
        <v>2191</v>
      </c>
      <c r="D17" s="5" t="s">
        <v>2192</v>
      </c>
      <c r="E17" s="5" t="s">
        <v>2193</v>
      </c>
      <c r="G17" s="6" t="str">
        <f>IFERROR(__xludf.DUMMYFUNCTION("GOOGLETRANSLATE(A17, ""en"", ""fr"")"),"16")</f>
        <v>16</v>
      </c>
      <c r="H17" s="6" t="str">
        <f>IFERROR(__xludf.DUMMYFUNCTION("GOOGLETRANSLATE(B17, ""en"", ""fr"")"),"Qui sont les Gardiens ?")</f>
        <v>Qui sont les Gardiens ?</v>
      </c>
      <c r="I17" s="6" t="str">
        <f>IFERROR(__xludf.DUMMYFUNCTION("GOOGLETRANSLATE(C17, ""en"", ""fr"")"),"A) Les arbitres, B) Les éleveurs de taureaux, C) Les cow-boys traditionnels de Camargue, D) Les spectateurs")</f>
        <v>A) Les arbitres, B) Les éleveurs de taureaux, C) Les cow-boys traditionnels de Camargue, D) Les spectateurs</v>
      </c>
      <c r="J17" s="6" t="str">
        <f>IFERROR(__xludf.DUMMYFUNCTION("GOOGLETRANSLATE(D17, ""en"", ""fr"")"),"C) Les cow-boys traditionnels de la Camargue")</f>
        <v>C) Les cow-boys traditionnels de la Camargue</v>
      </c>
      <c r="K17" s="6" t="str">
        <f>IFERROR(__xludf.DUMMYFUNCTION("GOOGLETRANSLATE(E17, ""en"", ""fr"")"),"Les gardiens sont les bergers à cheval de Camargue, et leur culture, leurs traditions et leur art équestre sont au cœur de ce sport.")</f>
        <v>Les gardiens sont les bergers à cheval de Camargue, et leur culture, leurs traditions et leur art équestre sont au cœur de ce sport.</v>
      </c>
    </row>
    <row r="18" ht="22.5" customHeight="1">
      <c r="A18" s="4">
        <v>17.0</v>
      </c>
      <c r="B18" s="5" t="s">
        <v>2194</v>
      </c>
      <c r="C18" s="5" t="s">
        <v>2195</v>
      </c>
      <c r="D18" s="5" t="s">
        <v>167</v>
      </c>
      <c r="E18" s="5" t="s">
        <v>2196</v>
      </c>
      <c r="G18" s="6" t="str">
        <f>IFERROR(__xludf.DUMMYFUNCTION("GOOGLETRANSLATE(A18, ""en"", ""fr"")"),"17")</f>
        <v>17</v>
      </c>
      <c r="H18" s="6" t="str">
        <f>IFERROR(__xludf.DUMMYFUNCTION("GOOGLETRANSLATE(B18, ""en"", ""fr"")"),"Quelle est l'origine historique de l'uniforme entièrement blanc des razeteurs ?")</f>
        <v>Quelle est l'origine historique de l'uniforme entièrement blanc des razeteurs ?</v>
      </c>
      <c r="I18" s="6" t="str">
        <f>IFERROR(__xludf.DUMMYFUNCTION("GOOGLETRANSLATE(C18, ""en"", ""fr"")"),"A) Elle symbolise la pureté et le courage, B) Elle les rend plus visibles au taureau et aux juges, C) C'était la tenue sportive standard du début du XXe siècle, D) Toutes les réponses ci-dessus")</f>
        <v>A) Elle symbolise la pureté et le courage, B) Elle les rend plus visibles au taureau et aux juges, C) C'était la tenue sportive standard du début du XXe siècle, D) Toutes les réponses ci-dessus</v>
      </c>
      <c r="J18" s="6" t="str">
        <f>IFERROR(__xludf.DUMMYFUNCTION("GOOGLETRANSLATE(D18, ""en"", ""fr"")"),"D) Toutes les réponses ci-dessus")</f>
        <v>D) Toutes les réponses ci-dessus</v>
      </c>
      <c r="K18" s="6" t="str">
        <f>IFERROR(__xludf.DUMMYFUNCTION("GOOGLETRANSLATE(E18, ""en"", ""fr"")"),"L'uniforme blanc est pratique pour la visibilité, traditionnel de par son lien avec les premiers vêtements de sport, et symbolique du courage du razeteur.")</f>
        <v>L'uniforme blanc est pratique pour la visibilité, traditionnel de par son lien avec les premiers vêtements de sport, et symbolique du courage du razeteur.</v>
      </c>
    </row>
    <row r="19" ht="22.5" customHeight="1">
      <c r="A19" s="4">
        <v>18.0</v>
      </c>
      <c r="B19" s="5" t="s">
        <v>2197</v>
      </c>
      <c r="C19" s="5" t="s">
        <v>2198</v>
      </c>
      <c r="D19" s="5" t="s">
        <v>2199</v>
      </c>
      <c r="E19" s="5" t="s">
        <v>2200</v>
      </c>
      <c r="G19" s="6" t="str">
        <f>IFERROR(__xludf.DUMMYFUNCTION("GOOGLETRANSLATE(A19, ""en"", ""fr"")"),"18")</f>
        <v>18</v>
      </c>
      <c r="H19" s="6" t="str">
        <f>IFERROR(__xludf.DUMMYFUNCTION("GOOGLETRANSLATE(B19, ""en"", ""fr"")"),"Qu'est-ce que le «raset» ?")</f>
        <v>Qu'est-ce que le «raset» ?</v>
      </c>
      <c r="I19" s="6" t="str">
        <f>IFERROR(__xludf.DUMMYFUNCTION("GOOGLETRANSLATE(C19, ""en"", ""fr"")"),"A) Le nom du taureau, B) Le nom du crochet, C) La course explosive et courbe du razeteur pour dépasser le taureau et s'emparer d'un attribut, D) Le round final")</f>
        <v>A) Le nom du taureau, B) Le nom du crochet, C) La course explosive et courbe du razeteur pour dépasser le taureau et s'emparer d'un attribut, D) Le round final</v>
      </c>
      <c r="J19" s="6" t="str">
        <f>IFERROR(__xludf.DUMMYFUNCTION("GOOGLETRANSLATE(D19, ""en"", ""fr"")"),"C) La course explosive et courbe que le razeteur effectue pour dépasser le taureau et s'emparer d'un attribut")</f>
        <v>C) La course explosive et courbe que le razeteur effectue pour dépasser le taureau et s'emparer d'un attribut</v>
      </c>
      <c r="K19" s="6" t="str">
        <f>IFERROR(__xludf.DUMMYFUNCTION("GOOGLETRANSLATE(E19, ""en"", ""fr"")"),"Le raset est l'action emblématique de ce sport, une manœuvre extrêmement habile et dangereuse exigeant un timing et une vitesse parfaits.")</f>
        <v>Le raset est l'action emblématique de ce sport, une manœuvre extrêmement habile et dangereuse exigeant un timing et une vitesse parfaits.</v>
      </c>
    </row>
    <row r="20" ht="22.5" customHeight="1">
      <c r="A20" s="4">
        <v>19.0</v>
      </c>
      <c r="B20" s="5" t="s">
        <v>2201</v>
      </c>
      <c r="C20" s="5" t="s">
        <v>2202</v>
      </c>
      <c r="D20" s="5" t="s">
        <v>2203</v>
      </c>
      <c r="E20" s="5" t="s">
        <v>2204</v>
      </c>
      <c r="G20" s="6" t="str">
        <f>IFERROR(__xludf.DUMMYFUNCTION("GOOGLETRANSLATE(A20, ""en"", ""fr"")"),"19")</f>
        <v>19</v>
      </c>
      <c r="H20" s="6" t="str">
        <f>IFERROR(__xludf.DUMMYFUNCTION("GOOGLETRANSLATE(B20, ""en"", ""fr"")"),"Le célèbre taureau « Vovo » était connu pour quel comportement inhabituel ?")</f>
        <v>Le célèbre taureau « Vovo » était connu pour quel comportement inhabituel ?</v>
      </c>
      <c r="I20" s="6" t="str">
        <f>IFERROR(__xludf.DUMMYFUNCTION("GOOGLETRANSLATE(C20, ""en"", ""fr"")"),"A) Il n'attaquerait pas les razeteurs, B) Il sauterait par-dessus la barrière après les razeteurs, C) C'était un taureau blanc, D) Il ignorerait les attributs")</f>
        <v>A) Il n'attaquerait pas les razeteurs, B) Il sauterait par-dessus la barrière après les razeteurs, C) C'était un taureau blanc, D) Il ignorerait les attributs</v>
      </c>
      <c r="J20" s="6" t="str">
        <f>IFERROR(__xludf.DUMMYFUNCTION("GOOGLETRANSLATE(D20, ""en"", ""fr"")"),"B) Il sauterait par-dessus la barrière après les razeteurs")</f>
        <v>B) Il sauterait par-dessus la barrière après les razeteurs</v>
      </c>
      <c r="K20" s="6" t="str">
        <f>IFERROR(__xludf.DUMMYFUNCTION("GOOGLETRANSLATE(E20, ""en"", ""fr"")"),"Vovo était un taureau légendaire, célèbre pour son intelligence et son habitude spectaculaire de sauter par-dessus les murs de l'arène à la poursuite des hommes.")</f>
        <v>Vovo était un taureau légendaire, célèbre pour son intelligence et son habitude spectaculaire de sauter par-dessus les murs de l'arène à la poursuite des hommes.</v>
      </c>
    </row>
    <row r="21" ht="22.5" customHeight="1">
      <c r="A21" s="4">
        <v>20.0</v>
      </c>
      <c r="B21" s="5" t="s">
        <v>2205</v>
      </c>
      <c r="C21" s="5" t="s">
        <v>2206</v>
      </c>
      <c r="D21" s="5" t="s">
        <v>2207</v>
      </c>
      <c r="E21" s="5" t="s">
        <v>2208</v>
      </c>
      <c r="G21" s="6" t="str">
        <f>IFERROR(__xludf.DUMMYFUNCTION("GOOGLETRANSLATE(A21, ""en"", ""fr"")"),"20")</f>
        <v>20</v>
      </c>
      <c r="H21" s="6" t="str">
        <f>IFERROR(__xludf.DUMMYFUNCTION("GOOGLETRANSLATE(B21, ""en"", ""fr"")"),"Au XIXe siècle, ce jeu était souvent appelé « course libre ». Qu'est-ce que cela signifiait ?")</f>
        <v>Au XIXe siècle, ce jeu était souvent appelé « course libre ». Qu'est-ce que cela signifiait ?</v>
      </c>
      <c r="I21" s="6" t="str">
        <f>IFERROR(__xludf.DUMMYFUNCTION("GOOGLETRANSLATE(C21, ""en"", ""fr"")"),"A) Les billets étaient gratuits, B) Tout le monde pouvait participer, C) Il y avait peu de règles officielles et c'était plutôt une course chaotique, D) Les taureaux étaient lâchés en liberté dans les rues")</f>
        <v>A) Les billets étaient gratuits, B) Tout le monde pouvait participer, C) Il y avait peu de règles officielles et c'était plutôt une course chaotique, D) Les taureaux étaient lâchés en liberté dans les rues</v>
      </c>
      <c r="J21" s="6" t="str">
        <f>IFERROR(__xludf.DUMMYFUNCTION("GOOGLETRANSLATE(D21, ""en"", ""fr"")"),"C) Il y avait peu de règles formelles et c'était plutôt une course chaotique.")</f>
        <v>C) Il y avait peu de règles formelles et c'était plutôt une course chaotique.</v>
      </c>
      <c r="K21" s="6" t="str">
        <f>IFERROR(__xludf.DUMMYFUNCTION("GOOGLETRANSLATE(E21, ""en"", ""fr"")"),"La forme primitive de ce sport était beaucoup moins codifiée que la version moderne, mettant davantage l'accent sur la simple bravoure que sur la compétence technique.")</f>
        <v>La forme primitive de ce sport était beaucoup moins codifiée que la version moderne, mettant davantage l'accent sur la simple bravoure que sur la compétence technique.</v>
      </c>
    </row>
    <row r="22" ht="22.5" customHeight="1">
      <c r="A22" s="4">
        <v>21.0</v>
      </c>
      <c r="B22" s="5" t="s">
        <v>2209</v>
      </c>
      <c r="C22" s="5" t="s">
        <v>2210</v>
      </c>
      <c r="D22" s="5" t="s">
        <v>2211</v>
      </c>
      <c r="E22" s="5" t="s">
        <v>2212</v>
      </c>
      <c r="G22" s="6" t="str">
        <f>IFERROR(__xludf.DUMMYFUNCTION("GOOGLETRANSLATE(A22, ""en"", ""fr"")"),"21")</f>
        <v>21</v>
      </c>
      <c r="H22" s="6" t="str">
        <f>IFERROR(__xludf.DUMMYFUNCTION("GOOGLETRANSLATE(B22, ""en"", ""fr"")"),"Quel est le rôle du «tourneur» dans l'arène ?")</f>
        <v>Quel est le rôle du «tourneur» dans l'arène ?</v>
      </c>
      <c r="I22" s="6" t="str">
        <f>IFERROR(__xludf.DUMMYFUNCTION("GOOGLETRANSLATE(C22, ""en"", ""fr"")"),"A) Distraire le taureau et le positionner correctement pour la charge du raseur, B) Ouvrir et fermer la porte, C) Remplaçant le raseur, D) Tenir le score")</f>
        <v>A) Distraire le taureau et le positionner correctement pour la charge du raseur, B) Ouvrir et fermer la porte, C) Remplaçant le raseur, D) Tenir le score</v>
      </c>
      <c r="J22" s="6" t="str">
        <f>IFERROR(__xludf.DUMMYFUNCTION("GOOGLETRANSLATE(D22, ""en"", ""fr"")"),"A) Distraire le taureau et le positionner correctement pour la charge du razeteur")</f>
        <v>A) Distraire le taureau et le positionner correctement pour la charge du razeteur</v>
      </c>
      <c r="K22" s="6" t="str">
        <f>IFERROR(__xludf.DUMMYFUNCTION("GOOGLETRANSLATE(E22, ""en"", ""fr"")"),"Le tourteur, également vêtu de blanc, est le coéquipier du razeteur, dont le positionnement expert est crucial pour la mise en place d'un raset réussi.")</f>
        <v>Le tourteur, également vêtu de blanc, est le coéquipier du razeteur, dont le positionnement expert est crucial pour la mise en place d'un raset réussi.</v>
      </c>
    </row>
    <row r="23" ht="22.5" customHeight="1">
      <c r="A23" s="4">
        <v>22.0</v>
      </c>
      <c r="B23" s="5" t="s">
        <v>2213</v>
      </c>
      <c r="C23" s="5" t="s">
        <v>2214</v>
      </c>
      <c r="D23" s="5" t="s">
        <v>2215</v>
      </c>
      <c r="E23" s="5" t="s">
        <v>2216</v>
      </c>
      <c r="G23" s="6" t="str">
        <f>IFERROR(__xludf.DUMMYFUNCTION("GOOGLETRANSLATE(A23, ""en"", ""fr"")"),"22")</f>
        <v>22</v>
      </c>
      <c r="H23" s="6" t="str">
        <f>IFERROR(__xludf.DUMMYFUNCTION("GOOGLETRANSLATE(B23, ""en"", ""fr"")"),"Le tournoi annuel le plus prestigieux, outre le Biòu d'Or, est la Cocarde d'Or. Dans quelle ville se déroule-t-il ?")</f>
        <v>Le tournoi annuel le plus prestigieux, outre le Biòu d'Or, est la Cocarde d'Or. Dans quelle ville se déroule-t-il ?</v>
      </c>
      <c r="I23" s="6" t="str">
        <f>IFERROR(__xludf.DUMMYFUNCTION("GOOGLETRANSLATE(C23, ""en"", ""fr"")"),"A) Nîmes, B) Sète, C) Arles, D) Beaucaire")</f>
        <v>A) Nîmes, B) Sète, C) Arles, D) Beaucaire</v>
      </c>
      <c r="J23" s="6" t="str">
        <f>IFERROR(__xludf.DUMMYFUNCTION("GOOGLETRANSLATE(D23, ""en"", ""fr"")"),"C) Arles")</f>
        <v>C) Arles</v>
      </c>
      <c r="K23" s="6" t="str">
        <f>IFERROR(__xludf.DUMMYFUNCTION("GOOGLETRANSLATE(E23, ""en"", ""fr"")"),"La Cocarde d'Or, créée en 1928, est l'un des événements les plus importants de la saison et se tient chaque année en juillet dans l'amphithéâtre romain d'Arles.")</f>
        <v>La Cocarde d'Or, créée en 1928, est l'un des événements les plus importants de la saison et se tient chaque année en juillet dans l'amphithéâtre romain d'Arles.</v>
      </c>
    </row>
    <row r="24" ht="22.5" customHeight="1">
      <c r="A24" s="4">
        <v>23.0</v>
      </c>
      <c r="B24" s="5" t="s">
        <v>2217</v>
      </c>
      <c r="C24" s="5" t="s">
        <v>2218</v>
      </c>
      <c r="D24" s="5" t="s">
        <v>2219</v>
      </c>
      <c r="E24" s="5" t="s">
        <v>2220</v>
      </c>
      <c r="G24" s="6" t="str">
        <f>IFERROR(__xludf.DUMMYFUNCTION("GOOGLETRANSLATE(A24, ""en"", ""fr"")"),"23")</f>
        <v>23</v>
      </c>
      <c r="H24" s="6" t="str">
        <f>IFERROR(__xludf.DUMMYFUNCTION("GOOGLETRANSLATE(B24, ""en"", ""fr"")"),"Quelle est la signification historique de la croix de Camargue, souvent présente dans la région et sur les hippodromes ?")</f>
        <v>Quelle est la signification historique de la croix de Camargue, souvent présente dans la région et sur les hippodromes ?</v>
      </c>
      <c r="I24" s="6" t="str">
        <f>IFERROR(__xludf.DUMMYFUNCTION("GOOGLETRANSLATE(C24, ""en"", ""fr"")"),"A) C'est le symbole de la FFCC, B) Il représente les trois vertus théologales : la foi (la croix), l'espérance (l'ancre) et la charité (le trident des Gardiens), C) C'est la marque d'une célèbre manade, D) Il n'a aucun lien avec le sport")</f>
        <v>A) C'est le symbole de la FFCC, B) Il représente les trois vertus théologales : la foi (la croix), l'espérance (l'ancre) et la charité (le trident des Gardiens), C) C'est la marque d'une célèbre manade, D) Il n'a aucun lien avec le sport</v>
      </c>
      <c r="J24" s="6" t="str">
        <f>IFERROR(__xludf.DUMMYFUNCTION("GOOGLETRANSLATE(D24, ""en"", ""fr"")"),"B) Elle représente les trois vertus théologales : la foi (la croix), l'espérance (l'ancre) et la charité (le trident des Gardiens).")</f>
        <v>B) Elle représente les trois vertus théologales : la foi (la croix), l'espérance (l'ancre) et la charité (le trident des Gardiens).</v>
      </c>
      <c r="K24" s="6" t="str">
        <f>IFERROR(__xludf.DUMMYFUNCTION("GOOGLETRANSLATE(E24, ""en"", ""fr"")"),"Ce symbole, créé par l'artiste Hermann-Paul en 1926 à la demande du marquis de Baroncelli, est un puissant emblème de la culture unique de la Camargue.")</f>
        <v>Ce symbole, créé par l'artiste Hermann-Paul en 1926 à la demande du marquis de Baroncelli, est un puissant emblème de la culture unique de la Camargue.</v>
      </c>
    </row>
    <row r="25" ht="22.5" customHeight="1">
      <c r="A25" s="4">
        <v>24.0</v>
      </c>
      <c r="B25" s="5" t="s">
        <v>2221</v>
      </c>
      <c r="C25" s="5" t="s">
        <v>2222</v>
      </c>
      <c r="D25" s="5" t="s">
        <v>2223</v>
      </c>
      <c r="E25" s="5" t="s">
        <v>2224</v>
      </c>
      <c r="G25" s="6" t="str">
        <f>IFERROR(__xludf.DUMMYFUNCTION("GOOGLETRANSLATE(A25, ""en"", ""fr"")"),"24")</f>
        <v>24</v>
      </c>
      <c r="H25" s="6" t="str">
        <f>IFERROR(__xludf.DUMMYFUNCTION("GOOGLETRANSLATE(B25, ""en"", ""fr"")"),"Qu'est-ce qu'un « cocardier » ?")</f>
        <v>Qu'est-ce qu'un « cocardier » ?</v>
      </c>
      <c r="I25" s="6" t="str">
        <f>IFERROR(__xludf.DUMMYFUNCTION("GOOGLETRANSLATE(C25, ""en"", ""fr"")"),"A) Un razeteur habile à prendre la cocarde, B) Un taureau particulièrement habile et courageux dans l'arène, C) L'artisan qui fabrique les cocardes, D) La course finale d'un festival")</f>
        <v>A) Un razeteur habile à prendre la cocarde, B) Un taureau particulièrement habile et courageux dans l'arène, C) L'artisan qui fabrique les cocardes, D) La course finale d'un festival</v>
      </c>
      <c r="J25" s="6" t="str">
        <f>IFERROR(__xludf.DUMMYFUNCTION("GOOGLETRANSLATE(D25, ""en"", ""fr"")"),"B) Un taureau particulièrement habile et courageux dans l'arène")</f>
        <v>B) Un taureau particulièrement habile et courageux dans l'arène</v>
      </c>
      <c r="K25" s="6" t="str">
        <f>IFERROR(__xludf.DUMMYFUNCTION("GOOGLETRANSLATE(E25, ""en"", ""fr"")"),"Un cocardier est le nom donné à un grand taureau de combat, une véritable star des courses camarguaises.")</f>
        <v>Un cocardier est le nom donné à un grand taureau de combat, une véritable star des courses camarguaises.</v>
      </c>
    </row>
    <row r="26" ht="22.5" customHeight="1">
      <c r="A26" s="4">
        <v>25.0</v>
      </c>
      <c r="B26" s="5" t="s">
        <v>2225</v>
      </c>
      <c r="C26" s="5" t="s">
        <v>2226</v>
      </c>
      <c r="D26" s="5" t="s">
        <v>2227</v>
      </c>
      <c r="E26" s="5" t="s">
        <v>2228</v>
      </c>
      <c r="G26" s="6" t="str">
        <f>IFERROR(__xludf.DUMMYFUNCTION("GOOGLETRANSLATE(A26, ""en"", ""fr"")"),"25")</f>
        <v>25</v>
      </c>
      <c r="H26" s="6" t="str">
        <f>IFERROR(__xludf.DUMMYFUNCTION("GOOGLETRANSLATE(B26, ""en"", ""fr"")"),"Comment se déroule la carrière d'un taureau dans ce sport ?")</f>
        <v>Comment se déroule la carrière d'un taureau dans ce sport ?</v>
      </c>
      <c r="I26" s="6" t="str">
        <f>IFERROR(__xludf.DUMMYFUNCTION("GOOGLETRANSLATE(C26, ""en"", ""fr"")"),"A) Leur saison est courte. B) Leur carrière est longue et leur réputation se construit au fil des années. C) Ils prennent leur retraite après leur première blessure. D) Ils ne jouent que dans une seule arène.")</f>
        <v>A) Leur saison est courte. B) Leur carrière est longue et leur réputation se construit au fil des années. C) Ils prennent leur retraite après leur première blessure. D) Ils ne jouent que dans une seule arène.</v>
      </c>
      <c r="J26" s="6" t="str">
        <f>IFERROR(__xludf.DUMMYFUNCTION("GOOGLETRANSLATE(D26, ""en"", ""fr"")"),"B) Ils ont une longue carrière et leur réputation se construit au fil des années.")</f>
        <v>B) Ils ont une longue carrière et leur réputation se construit au fil des années.</v>
      </c>
      <c r="K26" s="6" t="str">
        <f>IFERROR(__xludf.DUMMYFUNCTION("GOOGLETRANSLATE(E26, ""en"", ""fr"")"),"Contrairement à la tauromachie espagnole, un taureau camarguais peut avoir une longue et brillante carrière, durant parfois plus d'une décennie, et devenir célèbre dans toute la région.")</f>
        <v>Contrairement à la tauromachie espagnole, un taureau camarguais peut avoir une longue et brillante carrière, durant parfois plus d'une décennie, et devenir célèbre dans toute la région.</v>
      </c>
    </row>
    <row r="27" ht="22.5" customHeight="1">
      <c r="A27" s="4">
        <v>26.0</v>
      </c>
      <c r="B27" s="5" t="s">
        <v>2229</v>
      </c>
      <c r="C27" s="5" t="s">
        <v>2230</v>
      </c>
      <c r="D27" s="5" t="s">
        <v>2231</v>
      </c>
      <c r="E27" s="5" t="s">
        <v>2232</v>
      </c>
      <c r="G27" s="6" t="str">
        <f>IFERROR(__xludf.DUMMYFUNCTION("GOOGLETRANSLATE(A27, ""en"", ""fr"")"),"26")</f>
        <v>26</v>
      </c>
      <c r="H27" s="6" t="str">
        <f>IFERROR(__xludf.DUMMYFUNCTION("GOOGLETRANSLATE(B27, ""en"", ""fr"")"),"Quelle est la musique de Carmen, souvent jouée pendant une course ?")</f>
        <v>Quelle est la musique de Carmen, souvent jouée pendant une course ?</v>
      </c>
      <c r="I27" s="6" t="str">
        <f>IFERROR(__xludf.DUMMYFUNCTION("GOOGLETRANSLATE(C27, ""en"", ""fr"")"),"A) C'est l'hymne national français. B) C'est un extrait de l'opéra Carmen de Bizet, joué pour honorer un acte particulièrement courageux. C) C'est la musique traditionnelle des gardiens de la paix. D) C'est un air spécifique joué au départ de la course.")</f>
        <v>A) C'est l'hymne national français. B) C'est un extrait de l'opéra Carmen de Bizet, joué pour honorer un acte particulièrement courageux. C) C'est la musique traditionnelle des gardiens de la paix. D) C'est un air spécifique joué au départ de la course.</v>
      </c>
      <c r="J27" s="6" t="str">
        <f>IFERROR(__xludf.DUMMYFUNCTION("GOOGLETRANSLATE(D27, ""en"", ""fr"")"),"B) Il s'agit d'un extrait de l'opéra Carmen de Bizet, joué pour honorer un acte particulièrement courageux")</f>
        <v>B) Il s'agit d'un extrait de l'opéra Carmen de Bizet, joué pour honorer un acte particulièrement courageux</v>
      </c>
      <c r="K27" s="6" t="str">
        <f>IFERROR(__xludf.DUMMYFUNCTION("GOOGLETRANSLATE(E27, ""en"", ""fr"")"),"Le thème du Toréador de Carmen est joué par l'orchestre de l'arène pour saluer un raset exceptionnel d'un razeteur ou une brillante manœuvre défensive du taureau.")</f>
        <v>Le thème du Toréador de Carmen est joué par l'orchestre de l'arène pour saluer un raset exceptionnel d'un razeteur ou une brillante manœuvre défensive du taureau.</v>
      </c>
    </row>
    <row r="28" ht="22.5" customHeight="1">
      <c r="A28" s="4">
        <v>27.0</v>
      </c>
      <c r="B28" s="5" t="s">
        <v>2233</v>
      </c>
      <c r="C28" s="5" t="s">
        <v>2234</v>
      </c>
      <c r="D28" s="5" t="s">
        <v>2235</v>
      </c>
      <c r="E28" s="5" t="s">
        <v>2236</v>
      </c>
      <c r="G28" s="6" t="str">
        <f>IFERROR(__xludf.DUMMYFUNCTION("GOOGLETRANSLATE(A28, ""en"", ""fr"")"),"27")</f>
        <v>27</v>
      </c>
      <c r="H28" s="6" t="str">
        <f>IFERROR(__xludf.DUMMYFUNCTION("GOOGLETRANSLATE(B28, ""en"", ""fr"")"),"Qu'est-ce qu'un « manadier » ?")</f>
        <v>Qu'est-ce qu'un « manadier » ?</v>
      </c>
      <c r="I28" s="6" t="str">
        <f>IFERROR(__xludf.DUMMYFUNCTION("GOOGLETRANSLATE(C28, ""en"", ""fr"")"),"A) Un amateur de ce sport, B) Un razeteur, C) Le propriétaire et éleveur d'un troupeau (manade) de taureaux camarguais, D) L'arbitre")</f>
        <v>A) Un amateur de ce sport, B) Un razeteur, C) Le propriétaire et éleveur d'un troupeau (manade) de taureaux camarguais, D) L'arbitre</v>
      </c>
      <c r="J28" s="6" t="str">
        <f>IFERROR(__xludf.DUMMYFUNCTION("GOOGLETRANSLATE(D28, ""en"", ""fr"")"),"C) Le propriétaire et éleveur d'un troupeau (manade) de taureaux camarguais")</f>
        <v>C) Le propriétaire et éleveur d'un troupeau (manade) de taureaux camarguais</v>
      </c>
      <c r="K28" s="6" t="str">
        <f>IFERROR(__xludf.DUMMYFUNCTION("GOOGLETRANSLATE(E28, ""en"", ""fr"")"),"Les manadiers sont des figures centrales de cette culture, chargés de préserver la race et d'élever les taureaux pour les arènes.")</f>
        <v>Les manadiers sont des figures centrales de cette culture, chargés de préserver la race et d'élever les taureaux pour les arènes.</v>
      </c>
    </row>
    <row r="29" ht="22.5" customHeight="1">
      <c r="A29" s="4">
        <v>28.0</v>
      </c>
      <c r="B29" s="5" t="s">
        <v>2237</v>
      </c>
      <c r="C29" s="5" t="s">
        <v>2238</v>
      </c>
      <c r="D29" s="5" t="s">
        <v>2239</v>
      </c>
      <c r="E29" s="5" t="s">
        <v>2240</v>
      </c>
      <c r="G29" s="6" t="str">
        <f>IFERROR(__xludf.DUMMYFUNCTION("GOOGLETRANSLATE(A29, ""en"", ""fr"")"),"28")</f>
        <v>28</v>
      </c>
      <c r="H29" s="6" t="str">
        <f>IFERROR(__xludf.DUMMYFUNCTION("GOOGLETRANSLATE(B29, ""en"", ""fr"")"),"L'instance dirigeante officielle de ce sport est la FFCC. Que signifie cet acronyme ?")</f>
        <v>L'instance dirigeante officielle de ce sport est la FFCC. Que signifie cet acronyme ?</v>
      </c>
      <c r="I29" s="6" t="str">
        <f>IFERROR(__xludf.DUMMYFUNCTION("GOOGLETRANSLATE(C29, ""en"", ""fr"")"),"A) Fédération Française de la Corrida, B) Fédération des Festivals Camarguais, C) Fédération Française de la Course Camarguaise, D) Fédération des Fans de Cocardiers")</f>
        <v>A) Fédération Française de la Corrida, B) Fédération des Festivals Camarguais, C) Fédération Française de la Course Camarguaise, D) Fédération des Fans de Cocardiers</v>
      </c>
      <c r="J29" s="6" t="str">
        <f>IFERROR(__xludf.DUMMYFUNCTION("GOOGLETRANSLATE(D29, ""en"", ""fr"")"),"C) Fédération Française de la Course Camarguaise")</f>
        <v>C) Fédération Française de la Course Camarguaise</v>
      </c>
      <c r="K29" s="6" t="str">
        <f>IFERROR(__xludf.DUMMYFUNCTION("GOOGLETRANSLATE(E29, ""en"", ""fr"")"),"La Fédération Française de Course Camargue a été fondée en 1975 pour réglementer, standardiser et promouvoir ce sport.")</f>
        <v>La Fédération Française de Course Camargue a été fondée en 1975 pour réglementer, standardiser et promouvoir ce sport.</v>
      </c>
    </row>
    <row r="30" ht="22.5" customHeight="1">
      <c r="A30" s="4">
        <v>29.0</v>
      </c>
      <c r="B30" s="5" t="s">
        <v>2241</v>
      </c>
      <c r="C30" s="5" t="s">
        <v>2242</v>
      </c>
      <c r="D30" s="5" t="s">
        <v>2243</v>
      </c>
      <c r="E30" s="5" t="s">
        <v>2244</v>
      </c>
      <c r="G30" s="6" t="str">
        <f>IFERROR(__xludf.DUMMYFUNCTION("GOOGLETRANSLATE(A30, ""en"", ""fr"")"),"29")</f>
        <v>29</v>
      </c>
      <c r="H30" s="6" t="str">
        <f>IFERROR(__xludf.DUMMYFUNCTION("GOOGLETRANSLATE(B30, ""en"", ""fr"")"),"Quelle est l'origine historique des razeteurs vêtus de blanc ?")</f>
        <v>Quelle est l'origine historique des razeteurs vêtus de blanc ?</v>
      </c>
      <c r="I30" s="6" t="str">
        <f>IFERROR(__xludf.DUMMYFUNCTION("GOOGLETRANSLATE(C30, ""en"", ""fr"")"),"A) C'était le matériau le moins cher à la disposition des ouvriers agricoles qui furent les premiers à abattre les taureaux. B) Cela les rend plus visibles au taureau. C) Cela symbolise la pureté de leur courage. D) C'est une invention moderne.")</f>
        <v>A) C'était le matériau le moins cher à la disposition des ouvriers agricoles qui furent les premiers à abattre les taureaux. B) Cela les rend plus visibles au taureau. C) Cela symbolise la pureté de leur courage. D) C'est une invention moderne.</v>
      </c>
      <c r="J30" s="6" t="str">
        <f>IFERROR(__xludf.DUMMYFUNCTION("GOOGLETRANSLATE(D30, ""en"", ""fr"")"),"A) C'était le matériau le moins cher disponible pour les ouvriers agricoles qui furent les premiers à travailler dans le secteur agricole.")</f>
        <v>A) C'était le matériau le moins cher disponible pour les ouvriers agricoles qui furent les premiers à travailler dans le secteur agricole.</v>
      </c>
      <c r="K30" s="6" t="str">
        <f>IFERROR(__xludf.DUMMYFUNCTION("GOOGLETRANSLATE(E30, ""en"", ""fr"")"),"La tenue entièrement blanche trouve son origine dans les vêtements simples et pratiques portés par les travailleurs ruraux qui ont été les premiers à pratiquer ce sport.")</f>
        <v>La tenue entièrement blanche trouve son origine dans les vêtements simples et pratiques portés par les travailleurs ruraux qui ont été les premiers à pratiquer ce sport.</v>
      </c>
    </row>
    <row r="31" ht="22.5" customHeight="1">
      <c r="A31" s="4">
        <v>30.0</v>
      </c>
      <c r="B31" s="5" t="s">
        <v>2245</v>
      </c>
      <c r="C31" s="5" t="s">
        <v>2246</v>
      </c>
      <c r="D31" s="5" t="s">
        <v>2247</v>
      </c>
      <c r="E31" s="5" t="s">
        <v>2248</v>
      </c>
      <c r="G31" s="6" t="str">
        <f>IFERROR(__xludf.DUMMYFUNCTION("GOOGLETRANSLATE(A31, ""en"", ""fr"")"),"30")</f>
        <v>30</v>
      </c>
      <c r="H31" s="6" t="str">
        <f>IFERROR(__xludf.DUMMYFUNCTION("GOOGLETRANSLATE(B31, ""en"", ""fr"")"),"On dit souvent qu'un grand taureau possède de l'« intelligence ». Qu'est-ce que cela signifie dans le contexte de l'arène ?")</f>
        <v>On dit souvent qu'un grand taureau possède de l'« intelligence ». Qu'est-ce que cela signifie dans le contexte de l'arène ?</v>
      </c>
      <c r="I31" s="6" t="str">
        <f>IFERROR(__xludf.DUMMYFUNCTION("GOOGLETRANSLATE(C31, ""en"", ""fr"")"),"A) Il peut résoudre des énigmes, B) Il apprend des attaques des ravisseurs et anticipe leurs mouvements, C) Il peut reconnaître son propriétaire, D) C'est un taureau très calme")</f>
        <v>A) Il peut résoudre des énigmes, B) Il apprend des attaques des ravisseurs et anticipe leurs mouvements, C) Il peut reconnaître son propriétaire, D) C'est un taureau très calme</v>
      </c>
      <c r="J31" s="6" t="str">
        <f>IFERROR(__xludf.DUMMYFUNCTION("GOOGLETRANSLATE(D31, ""en"", ""fr"")"),"B) Il tire des leçons des attaques des razeteurs et anticipe leurs mouvements")</f>
        <v>B) Il tire des leçons des attaques des razeteurs et anticipe leurs mouvements</v>
      </c>
      <c r="K31" s="6" t="str">
        <f>IFERROR(__xludf.DUMMYFUNCTION("GOOGLETRANSLATE(E31, ""en"", ""fr"")"),"Un cocardier de haut niveau est celui qui comprend rapidement le jeu, défend ses atouts et utilise l'arène à son avantage, ce qui rend la tâche très difficile pour les razeteurs.")</f>
        <v>Un cocardier de haut niveau est celui qui comprend rapidement le jeu, défend ses atouts et utilise l'arène à son avantage, ce qui rend la tâche très difficile pour les razeteurs.</v>
      </c>
    </row>
    <row r="32" ht="22.5" customHeight="1">
      <c r="A32" s="4">
        <v>31.0</v>
      </c>
      <c r="B32" s="5" t="s">
        <v>2249</v>
      </c>
      <c r="C32" s="5" t="s">
        <v>2250</v>
      </c>
      <c r="D32" s="5" t="s">
        <v>2251</v>
      </c>
      <c r="E32" s="5" t="s">
        <v>2252</v>
      </c>
      <c r="G32" s="6" t="str">
        <f>IFERROR(__xludf.DUMMYFUNCTION("GOOGLETRANSLATE(A32, ""en"", ""fr"")"),"31")</f>
        <v>31</v>
      </c>
      <c r="H32" s="6" t="str">
        <f>IFERROR(__xludf.DUMMYFUNCTION("GOOGLETRANSLATE(B32, ""en"", ""fr"")"),"Quelle est la principale différence dans le rôle du cheval à la Course Camarguaise par rapport à la corrida espagnole ?")</f>
        <v>Quelle est la principale différence dans le rôle du cheval à la Course Camarguaise par rapport à la corrida espagnole ?</v>
      </c>
      <c r="I32" s="6" t="str">
        <f>IFERROR(__xludf.DUMMYFUNCTION("GOOGLETRANSLATE(C32, ""en"", ""fr"")"),"A) Les chevaux sont plus grands, B) Les chevaux font partie intégrante de la culture entourant ce sport (par exemple, dans l'abrivado) mais n'entrent pas dans l'arène pendant la course, C) Les chevaux combattent le taureau, D) Il n'y a pas de chevaux")</f>
        <v>A) Les chevaux sont plus grands, B) Les chevaux font partie intégrante de la culture entourant ce sport (par exemple, dans l'abrivado) mais n'entrent pas dans l'arène pendant la course, C) Les chevaux combattent le taureau, D) Il n'y a pas de chevaux</v>
      </c>
      <c r="J32" s="6" t="str">
        <f>IFERROR(__xludf.DUMMYFUNCTION("GOOGLETRANSLATE(D32, ""en"", ""fr"")"),"B) Les chevaux font partie intégrante de la culture qui entoure ce sport (par exemple, dans l'abrivado) mais n'entrent pas dans l'arène pendant la course.")</f>
        <v>B) Les chevaux font partie intégrante de la culture qui entoure ce sport (par exemple, dans l'abrivado) mais n'entrent pas dans l'arène pendant la course.</v>
      </c>
      <c r="K32" s="6" t="str">
        <f>IFERROR(__xludf.DUMMYFUNCTION("GOOGLETRANSLATE(E32, ""en"", ""fr"")"),"Le cheval camarguais est au cœur de la culture gardienne, mais la course elle-même est un affrontement entre un homme à pied et le taureau.")</f>
        <v>Le cheval camarguais est au cœur de la culture gardienne, mais la course elle-même est un affrontement entre un homme à pied et le taureau.</v>
      </c>
    </row>
    <row r="33" ht="22.5" customHeight="1">
      <c r="A33" s="4">
        <v>32.0</v>
      </c>
      <c r="B33" s="5" t="s">
        <v>2253</v>
      </c>
      <c r="C33" s="5" t="s">
        <v>2254</v>
      </c>
      <c r="D33" s="5" t="s">
        <v>2255</v>
      </c>
      <c r="E33" s="5" t="s">
        <v>2256</v>
      </c>
      <c r="G33" s="6" t="str">
        <f>IFERROR(__xludf.DUMMYFUNCTION("GOOGLETRANSLATE(A33, ""en"", ""fr"")"),"32")</f>
        <v>32</v>
      </c>
      <c r="H33" s="6" t="str">
        <f>IFERROR(__xludf.DUMMYFUNCTION("GOOGLETRANSLATE(B33, ""en"", ""fr"")"),"Le Trophée des As est la compétition la plus prestigieuse pour quel groupe ?")</f>
        <v>Le Trophée des As est la compétition la plus prestigieuse pour quel groupe ?</v>
      </c>
      <c r="I33" s="6" t="str">
        <f>IFERROR(__xludf.DUMMYFUNCTION("GOOGLETRANSLATE(C33, ""en"", ""fr"")"),"A) Les taureaux, B) Les razeteurs, C) Les éleveurs, D) Les arbitres")</f>
        <v>A) Les taureaux, B) Les razeteurs, C) Les éleveurs, D) Les arbitres</v>
      </c>
      <c r="J33" s="6" t="str">
        <f>IFERROR(__xludf.DUMMYFUNCTION("GOOGLETRANSLATE(D33, ""en"", ""fr"")"),"B) Les razeteurs")</f>
        <v>B) Les razeteurs</v>
      </c>
      <c r="K33" s="6" t="str">
        <f>IFERROR(__xludf.DUMMYFUNCTION("GOOGLETRANSLATE(E33, ""en"", ""fr"")"),"Il s'agit du championnat d'élite, qui se déroule sur toute la saison et qui détermine le meilleur razeteur de l'année.")</f>
        <v>Il s'agit du championnat d'élite, qui se déroule sur toute la saison et qui détermine le meilleur razeteur de l'année.</v>
      </c>
    </row>
    <row r="34" ht="22.5" customHeight="1">
      <c r="A34" s="4">
        <v>33.0</v>
      </c>
      <c r="B34" s="5" t="s">
        <v>2257</v>
      </c>
      <c r="C34" s="5" t="s">
        <v>2258</v>
      </c>
      <c r="D34" s="5" t="s">
        <v>2259</v>
      </c>
      <c r="E34" s="5" t="s">
        <v>2260</v>
      </c>
      <c r="G34" s="6" t="str">
        <f>IFERROR(__xludf.DUMMYFUNCTION("GOOGLETRANSLATE(A34, ""en"", ""fr"")"),"33")</f>
        <v>33</v>
      </c>
      <c r="H34" s="6" t="str">
        <f>IFERROR(__xludf.DUMMYFUNCTION("GOOGLETRANSLATE(B34, ""en"", ""fr"")"),"Quelle est la raison historique pour laquelle les courses se déroulent principalement du printemps à l'automne ?")</f>
        <v>Quelle est la raison historique pour laquelle les courses se déroulent principalement du printemps à l'automne ?</v>
      </c>
      <c r="I34" s="6" t="str">
        <f>IFERROR(__xludf.DUMMYFUNCTION("GOOGLETRANSLATE(C34, ""en"", ""fr"")"),"A) C'est la saison touristique. B) C'est la saison des fêtes traditionnelles du calendrier agricole. C) Les taureaux sont plus agressifs en été. D) Les abatteurs sont en vacances.")</f>
        <v>A) C'est la saison touristique. B) C'est la saison des fêtes traditionnelles du calendrier agricole. C) Les taureaux sont plus agressifs en été. D) Les abatteurs sont en vacances.</v>
      </c>
      <c r="J34" s="6" t="str">
        <f>IFERROR(__xludf.DUMMYFUNCTION("GOOGLETRANSLATE(D34, ""en"", ""fr"")"),"B) C'est la saison des fêtes traditionnelles du calendrier agricole")</f>
        <v>B) C'est la saison des fêtes traditionnelles du calendrier agricole</v>
      </c>
      <c r="K34" s="6" t="str">
        <f>IFERROR(__xludf.DUMMYFUNCTION("GOOGLETRANSLATE(E34, ""en"", ""fr"")"),"Les courses sont liées aux fêtes votives (fêtes patronales locales) des villages, qui ont lieu pendant les mois les plus chauds.")</f>
        <v>Les courses sont liées aux fêtes votives (fêtes patronales locales) des villages, qui ont lieu pendant les mois les plus chauds.</v>
      </c>
    </row>
    <row r="35" ht="22.5" customHeight="1">
      <c r="A35" s="4">
        <v>34.0</v>
      </c>
      <c r="B35" s="5" t="s">
        <v>2261</v>
      </c>
      <c r="C35" s="5" t="s">
        <v>2262</v>
      </c>
      <c r="D35" s="5" t="s">
        <v>2263</v>
      </c>
      <c r="E35" s="5" t="s">
        <v>2264</v>
      </c>
      <c r="G35" s="6" t="str">
        <f>IFERROR(__xludf.DUMMYFUNCTION("GOOGLETRANSLATE(A35, ""en"", ""fr"")"),"34")</f>
        <v>34</v>
      </c>
      <c r="H35" s="6" t="str">
        <f>IFERROR(__xludf.DUMMYFUNCTION("GOOGLETRANSLATE(B35, ""en"", ""fr"")"),"Qu'est-ce que le « mur » ou mur dans l'arène ?")</f>
        <v>Qu'est-ce que le « mur » ou mur dans l'arène ?</v>
      </c>
      <c r="I35" s="6" t="str">
        <f>IFERROR(__xludf.DUMMYFUNCTION("GOOGLETRANSLATE(C35, ""en"", ""fr"")"),"A) Le mur extérieur du stade, B) La barrière en bois rouge qui entoure la piste, C) Un mur que le taureau doit franchir, D) Le mur où sont exposés les prix")</f>
        <v>A) Le mur extérieur du stade, B) La barrière en bois rouge qui entoure la piste, C) Un mur que le taureau doit franchir, D) Le mur où sont exposés les prix</v>
      </c>
      <c r="J35" s="6" t="str">
        <f>IFERROR(__xludf.DUMMYFUNCTION("GOOGLETRANSLATE(D35, ""en"", ""fr"")"),"B) La barrière en bois rouge qui entoure la piste")</f>
        <v>B) La barrière en bois rouge qui entoure la piste</v>
      </c>
      <c r="K35" s="6" t="str">
        <f>IFERROR(__xludf.DUMMYFUNCTION("GOOGLETRANSLATE(E35, ""en"", ""fr"")"),"Les razeteurs doivent sauter par-dessus cette barrière pour échapper au taureau chargé. Un taureau qui les poursuit jusqu'au mur est très prisé.")</f>
        <v>Les razeteurs doivent sauter par-dessus cette barrière pour échapper au taureau chargé. Un taureau qui les poursuit jusqu'au mur est très prisé.</v>
      </c>
    </row>
    <row r="36" ht="22.5" customHeight="1">
      <c r="A36" s="4">
        <v>35.0</v>
      </c>
      <c r="B36" s="5" t="s">
        <v>2265</v>
      </c>
      <c r="C36" s="5" t="s">
        <v>2266</v>
      </c>
      <c r="D36" s="5" t="s">
        <v>2267</v>
      </c>
      <c r="E36" s="5" t="s">
        <v>2268</v>
      </c>
      <c r="G36" s="6" t="str">
        <f>IFERROR(__xludf.DUMMYFUNCTION("GOOGLETRANSLATE(A36, ""en"", ""fr"")"),"35")</f>
        <v>35</v>
      </c>
      <c r="H36" s="6" t="str">
        <f>IFERROR(__xludf.DUMMYFUNCTION("GOOGLETRANSLATE(B36, ""en"", ""fr"")"),"Si un taureau parvient à tuer une personne dans l'arène, quelle est la conséquence traditionnelle, bien que désormais rare, pour le taureau ?")</f>
        <v>Si un taureau parvient à tuer une personne dans l'arène, quelle est la conséquence traditionnelle, bien que désormais rare, pour le taureau ?</v>
      </c>
      <c r="I36" s="6" t="str">
        <f>IFERROR(__xludf.DUMMYFUNCTION("GOOGLETRANSLATE(C36, ""en"", ""fr"")"),"A) Le taureau est également tué, B) La carrière du taureau est terminée et son nom est retiré des listes, C) Le taureau est couronné champion, D) Le taureau est vendu à une corrida espagnole")</f>
        <v>A) Le taureau est également tué, B) La carrière du taureau est terminée et son nom est retiré des listes, C) Le taureau est couronné champion, D) Le taureau est vendu à une corrida espagnole</v>
      </c>
      <c r="J36" s="6" t="str">
        <f>IFERROR(__xludf.DUMMYFUNCTION("GOOGLETRANSLATE(D36, ""en"", ""fr"")"),"B) La carrière du taureau est terminée et son nom est retiré des listes")</f>
        <v>B) La carrière du taureau est terminée et son nom est retiré des listes</v>
      </c>
      <c r="K36" s="6" t="str">
        <f>IFERROR(__xludf.DUMMYFUNCTION("GOOGLETRANSLATE(E36, ""en"", ""fr"")"),"Autrefois, un taureau qui tuait un homme était considéré comme ayant transgressé une règle, et sa lignée était souvent éteinte.")</f>
        <v>Autrefois, un taureau qui tuait un homme était considéré comme ayant transgressé une règle, et sa lignée était souvent éteinte.</v>
      </c>
    </row>
    <row r="37" ht="22.5" customHeight="1">
      <c r="A37" s="4">
        <v>36.0</v>
      </c>
      <c r="B37" s="5" t="s">
        <v>2269</v>
      </c>
      <c r="C37" s="5" t="s">
        <v>2270</v>
      </c>
      <c r="D37" s="5" t="s">
        <v>2271</v>
      </c>
      <c r="E37" s="5" t="s">
        <v>2272</v>
      </c>
      <c r="G37" s="6" t="str">
        <f>IFERROR(__xludf.DUMMYFUNCTION("GOOGLETRANSLATE(A37, ""en"", ""fr"")"),"36")</f>
        <v>36</v>
      </c>
      <c r="H37" s="6" t="str">
        <f>IFERROR(__xludf.DUMMYFUNCTION("GOOGLETRANSLATE(B37, ""en"", ""fr"")"),"Quelle est la principale caractéristique du taureau camarguais, le biòu ?")</f>
        <v>Quelle est la principale caractéristique du taureau camarguais, le biòu ?</v>
      </c>
      <c r="I37" s="6" t="str">
        <f>IFERROR(__xludf.DUMMYFUNCTION("GOOGLETRANSLATE(C37, ""en"", ""fr"")"),"A) Il est très grand et lourd, B) Il est connu pour son intelligence et son agilité, et non pour sa taille, C) C'est une race docile et calme, D) C'est un hybride d'une race espagnole et française")</f>
        <v>A) Il est très grand et lourd, B) Il est connu pour son intelligence et son agilité, et non pour sa taille, C) C'est une race docile et calme, D) C'est un hybride d'une race espagnole et française</v>
      </c>
      <c r="J37" s="6" t="str">
        <f>IFERROR(__xludf.DUMMYFUNCTION("GOOGLETRANSLATE(D37, ""en"", ""fr"")"),"B) Il est connu pour son intelligence et son agilité, et non pour sa taille.")</f>
        <v>B) Il est connu pour son intelligence et son agilité, et non pour sa taille.</v>
      </c>
      <c r="K37" s="6" t="str">
        <f>IFERROR(__xludf.DUMMYFUNCTION("GOOGLETRANSLATE(E37, ""en"", ""fr"")"),"Le taureau de Camargue est un animal petit, athlétique et intelligent, ce qui fait de ce sport une épreuve d'adresse plutôt que de force brute.")</f>
        <v>Le taureau de Camargue est un animal petit, athlétique et intelligent, ce qui fait de ce sport une épreuve d'adresse plutôt que de force brute.</v>
      </c>
    </row>
    <row r="38" ht="22.5" customHeight="1">
      <c r="A38" s="4">
        <v>37.0</v>
      </c>
      <c r="B38" s="5" t="s">
        <v>2273</v>
      </c>
      <c r="C38" s="5" t="s">
        <v>2274</v>
      </c>
      <c r="D38" s="5" t="s">
        <v>2275</v>
      </c>
      <c r="E38" s="5" t="s">
        <v>2276</v>
      </c>
      <c r="G38" s="6" t="str">
        <f>IFERROR(__xludf.DUMMYFUNCTION("GOOGLETRANSLATE(A38, ""en"", ""fr"")"),"37")</f>
        <v>37</v>
      </c>
      <c r="H38" s="6" t="str">
        <f>IFERROR(__xludf.DUMMYFUNCTION("GOOGLETRANSLATE(B38, ""en"", ""fr"")"),"Que signifie le terme « razeter » ?")</f>
        <v>Que signifie le terme « razeter » ?</v>
      </c>
      <c r="I38" s="6" t="str">
        <f>IFERROR(__xludf.DUMMYFUNCTION("GOOGLETRANSLATE(C38, ""en"", ""fr"")"),"A) Courir vite, B) Brouter ou raser, C) Sauter, D) Se battre")</f>
        <v>A) Courir vite, B) Brouter ou raser, C) Sauter, D) Se battre</v>
      </c>
      <c r="J38" s="6" t="str">
        <f>IFERROR(__xludf.DUMMYFUNCTION("GOOGLETRANSLATE(D38, ""en"", ""fr"")"),"B) Brouter ou raser")</f>
        <v>B) Brouter ou raser</v>
      </c>
      <c r="K38" s="6" t="str">
        <f>IFERROR(__xludf.DUMMYFUNCTION("GOOGLETRANSLATE(E38, ""en"", ""fr"")"),"Le nom provient de l'action du crochet qui « effleure » la tête du taureau pour couper le fil d'un attribut.")</f>
        <v>Le nom provient de l'action du crochet qui « effleure » la tête du taureau pour couper le fil d'un attribut.</v>
      </c>
    </row>
    <row r="39" ht="22.5" customHeight="1">
      <c r="A39" s="4">
        <v>38.0</v>
      </c>
      <c r="B39" s="5" t="s">
        <v>2277</v>
      </c>
      <c r="C39" s="5" t="s">
        <v>2278</v>
      </c>
      <c r="D39" s="5" t="s">
        <v>2279</v>
      </c>
      <c r="E39" s="5" t="s">
        <v>2280</v>
      </c>
      <c r="G39" s="6" t="str">
        <f>IFERROR(__xludf.DUMMYFUNCTION("GOOGLETRANSLATE(A39, ""en"", ""fr"")"),"38")</f>
        <v>38</v>
      </c>
      <c r="H39" s="6" t="str">
        <f>IFERROR(__xludf.DUMMYFUNCTION("GOOGLETRANSLATE(B39, ""en"", ""fr"")"),"Au XIXe siècle, comment étaient souvent financés les prix (primes) récompensant ces attributs ?")</f>
        <v>Au XIXe siècle, comment étaient souvent financés les prix (primes) récompensant ces attributs ?</v>
      </c>
      <c r="I39" s="6" t="str">
        <f>IFERROR(__xludf.DUMMYFUNCTION("GOOGLETRANSLATE(C39, ""en"", ""fr"")"),"A) Par le gouvernement, B) Par l'éleveur de taureaux, C) Par les dons des spectateurs pendant la course, D) Par l'église")</f>
        <v>A) Par le gouvernement, B) Par l'éleveur de taureaux, C) Par les dons des spectateurs pendant la course, D) Par l'église</v>
      </c>
      <c r="J39" s="6" t="str">
        <f>IFERROR(__xludf.DUMMYFUNCTION("GOOGLETRANSLATE(D39, ""en"", ""fr"")"),"C) Par les dons des spectateurs pendant la course")</f>
        <v>C) Par les dons des spectateurs pendant la course</v>
      </c>
      <c r="K39" s="6" t="str">
        <f>IFERROR(__xludf.DUMMYFUNCTION("GOOGLETRANSLATE(E39, ""en"", ""fr"")"),"Un élément clé de l'ambiance traditionnelle était la collecte de fonds publique, où l'argent était collecté et annoncé pour chaque attribut, ce qui ajoutait à l'enthousiasme.")</f>
        <v>Un élément clé de l'ambiance traditionnelle était la collecte de fonds publique, où l'argent était collecté et annoncé pour chaque attribut, ce qui ajoutait à l'enthousiasme.</v>
      </c>
    </row>
    <row r="40" ht="22.5" customHeight="1">
      <c r="A40" s="4">
        <v>39.0</v>
      </c>
      <c r="B40" s="5" t="s">
        <v>2281</v>
      </c>
      <c r="C40" s="5" t="s">
        <v>2282</v>
      </c>
      <c r="D40" s="5" t="s">
        <v>2283</v>
      </c>
      <c r="E40" s="5" t="s">
        <v>2284</v>
      </c>
      <c r="G40" s="6" t="str">
        <f>IFERROR(__xludf.DUMMYFUNCTION("GOOGLETRANSLATE(A40, ""en"", ""fr"")"),"39")</f>
        <v>39</v>
      </c>
      <c r="H40" s="6" t="str">
        <f>IFERROR(__xludf.DUMMYFUNCTION("GOOGLETRANSLATE(B40, ""en"", ""fr"")"),"Qu'est-ce que le « Trophée de la Mer » ?")</f>
        <v>Qu'est-ce que le « Trophée de la Mer » ?</v>
      </c>
      <c r="I40" s="6" t="str">
        <f>IFERROR(__xludf.DUMMYFUNCTION("GOOGLETRANSLATE(C40, ""en"", ""fr"")"),"A) Un concours de pêche, B) Un célèbre et prestigieux tournoi de la Course Camarguaise qui se déroule au Grau-du-Roi, C) Une course de bateaux, D) Un prix pour le taureau le mieux décoré")</f>
        <v>A) Un concours de pêche, B) Un célèbre et prestigieux tournoi de la Course Camarguaise qui se déroule au Grau-du-Roi, C) Une course de bateaux, D) Un prix pour le taureau le mieux décoré</v>
      </c>
      <c r="J40" s="6" t="str">
        <f>IFERROR(__xludf.DUMMYFUNCTION("GOOGLETRANSLATE(D40, ""en"", ""fr"")"),"B) Un célèbre et prestigieux tournoi de Course Camarguaise organisé au Grau-du-Roi")</f>
        <v>B) Un célèbre et prestigieux tournoi de Course Camarguaise organisé au Grau-du-Roi</v>
      </c>
      <c r="K40" s="6" t="str">
        <f>IFERROR(__xludf.DUMMYFUNCTION("GOOGLETRANSLATE(E40, ""en"", ""fr"")"),"Il s'agit de l'un des tournois majeurs et prestigieux de la saison officielle, faisant partie de la série d'élite « Trophée des As ».")</f>
        <v>Il s'agit de l'un des tournois majeurs et prestigieux de la saison officielle, faisant partie de la série d'élite « Trophée des As ».</v>
      </c>
    </row>
    <row r="41" ht="22.5" customHeight="1">
      <c r="A41" s="4">
        <v>40.0</v>
      </c>
      <c r="B41" s="5" t="s">
        <v>2285</v>
      </c>
      <c r="C41" s="5" t="s">
        <v>2286</v>
      </c>
      <c r="D41" s="5" t="s">
        <v>2287</v>
      </c>
      <c r="E41" s="5" t="s">
        <v>2288</v>
      </c>
      <c r="G41" s="6" t="str">
        <f>IFERROR(__xludf.DUMMYFUNCTION("GOOGLETRANSLATE(A41, ""en"", ""fr"")"),"40")</f>
        <v>40</v>
      </c>
      <c r="H41" s="6" t="str">
        <f>IFERROR(__xludf.DUMMYFUNCTION("GOOGLETRANSLATE(B41, ""en"", ""fr"")"),"Le développement du Course Camarguaise est un exemple de quel processus culturel ?")</f>
        <v>Le développement du Course Camarguaise est un exemple de quel processus culturel ?</v>
      </c>
      <c r="I41" s="6" t="str">
        <f>IFERROR(__xludf.DUMMYFUNCTION("GOOGLETRANSLATE(C41, ""en"", ""fr"")"),"A) La ritualisation d'une pratique agricole en un sport moderne, B) Le déclin d'une tradition, C) L'invention d'un nouveau sport, D) La commercialisation d'un festival")</f>
        <v>A) La ritualisation d'une pratique agricole en un sport moderne, B) Le déclin d'une tradition, C) L'invention d'un nouveau sport, D) La commercialisation d'un festival</v>
      </c>
      <c r="J41" s="6" t="str">
        <f>IFERROR(__xludf.DUMMYFUNCTION("GOOGLETRANSLATE(D41, ""en"", ""fr"")"),"A) La ritualisation d'une pratique agricole en un sport moderne")</f>
        <v>A) La ritualisation d'une pratique agricole en un sport moderne</v>
      </c>
      <c r="K41" s="6" t="str">
        <f>IFERROR(__xludf.DUMMYFUNCTION("GOOGLETRANSLATE(E41, ""en"", ""fr"")"),"L'histoire de ce sport témoigne d'une évolution manifeste, passant du travail pratique de la ferrade à un rituel sportif complexe et symbolique.")</f>
        <v>L'histoire de ce sport témoigne d'une évolution manifeste, passant du travail pratique de la ferrade à un rituel sportif complexe et symbolique.</v>
      </c>
    </row>
    <row r="42" ht="22.5" customHeight="1">
      <c r="A42" s="4">
        <v>41.0</v>
      </c>
      <c r="B42" s="5" t="s">
        <v>2289</v>
      </c>
      <c r="C42" s="5" t="s">
        <v>2290</v>
      </c>
      <c r="D42" s="5" t="s">
        <v>2291</v>
      </c>
      <c r="E42" s="5" t="s">
        <v>2292</v>
      </c>
      <c r="G42" s="6" t="str">
        <f>IFERROR(__xludf.DUMMYFUNCTION("GOOGLETRANSLATE(A42, ""en"", ""fr"")"),"41")</f>
        <v>41</v>
      </c>
      <c r="H42" s="6" t="str">
        <f>IFERROR(__xludf.DUMMYFUNCTION("GOOGLETRANSLATE(B42, ""en"", ""fr"")"),"On dit d'un taureau qu'il est « généreux ». Qu'est-ce que cela signifie ?")</f>
        <v>On dit d'un taureau qu'il est « généreux ». Qu'est-ce que cela signifie ?</v>
      </c>
      <c r="I42" s="6" t="str">
        <f>IFERROR(__xludf.DUMMYFUNCTION("GOOGLETRANSLATE(C42, ""en"", ""fr"")"),"A) C'est un très gros taureau, B) Il charge facilement et participe activement au jeu, C) Il n'attaque pas les razeteurs, D) Il abandonne facilement ses attributs")</f>
        <v>A) C'est un très gros taureau, B) Il charge facilement et participe activement au jeu, C) Il n'attaque pas les razeteurs, D) Il abandonne facilement ses attributs</v>
      </c>
      <c r="J42" s="6" t="str">
        <f>IFERROR(__xludf.DUMMYFUNCTION("GOOGLETRANSLATE(D42, ""en"", ""fr"")"),"B) Il se recharge facilement et participe activement au jeu")</f>
        <v>B) Il se recharge facilement et participe activement au jeu</v>
      </c>
      <c r="K42" s="6" t="str">
        <f>IFERROR(__xludf.DUMMYFUNCTION("GOOGLETRANSLATE(E42, ""en"", ""fr"")"),"Un taureau « généreux » est celui qui offre un grand spectacle en s'engageant honnêtement et courageusement avec les arpenteurs.")</f>
        <v>Un taureau « généreux » est celui qui offre un grand spectacle en s'engageant honnêtement et courageusement avec les arpenteurs.</v>
      </c>
    </row>
    <row r="43" ht="22.5" customHeight="1">
      <c r="A43" s="4">
        <v>42.0</v>
      </c>
      <c r="B43" s="5" t="s">
        <v>2293</v>
      </c>
      <c r="C43" s="5" t="s">
        <v>2294</v>
      </c>
      <c r="D43" s="5" t="s">
        <v>2295</v>
      </c>
      <c r="E43" s="5" t="s">
        <v>2296</v>
      </c>
      <c r="G43" s="6" t="str">
        <f>IFERROR(__xludf.DUMMYFUNCTION("GOOGLETRANSLATE(A43, ""en"", ""fr"")"),"42")</f>
        <v>42</v>
      </c>
      <c r="H43" s="6" t="str">
        <f>IFERROR(__xludf.DUMMYFUNCTION("GOOGLETRANSLATE(B43, ""en"", ""fr"")"),"Quel est le rôle historique de la « Croix Camarguaise » ?")</f>
        <v>Quel est le rôle historique de la « Croix Camarguaise » ?</v>
      </c>
      <c r="I43" s="6" t="str">
        <f>IFERROR(__xludf.DUMMYFUNCTION("GOOGLETRANSLATE(C43, ""en"", ""fr"")"),"A) C'est un symbole religieux ancien, B) Il a été créé au XXe siècle pour devenir un symbole moderne de l'identité camarguaise, C) C'est la marque d'un éleveur de taureaux renommé, D) C'est le logo de la FFCC")</f>
        <v>A) C'est un symbole religieux ancien, B) Il a été créé au XXe siècle pour devenir un symbole moderne de l'identité camarguaise, C) C'est la marque d'un éleveur de taureaux renommé, D) C'est le logo de la FFCC</v>
      </c>
      <c r="J43" s="6" t="str">
        <f>IFERROR(__xludf.DUMMYFUNCTION("GOOGLETRANSLATE(D43, ""en"", ""fr"")"),"B) Il a été créé au XXe siècle pour être un symbole moderne de l'identité camarguaise")</f>
        <v>B) Il a été créé au XXe siècle pour être un symbole moderne de l'identité camarguaise</v>
      </c>
      <c r="K43" s="6" t="str">
        <f>IFERROR(__xludf.DUMMYFUNCTION("GOOGLETRANSLATE(E43, ""en"", ""fr"")"),"La croix, combinant les symboles de la foi, de l'espérance et de la charité (le trident des Gardiens), a été conçue en 1926 à la demande du marquis de Baroncelli.")</f>
        <v>La croix, combinant les symboles de la foi, de l'espérance et de la charité (le trident des Gardiens), a été conçue en 1926 à la demande du marquis de Baroncelli.</v>
      </c>
    </row>
    <row r="44" ht="22.5" customHeight="1">
      <c r="A44" s="4">
        <v>43.0</v>
      </c>
      <c r="B44" s="5" t="s">
        <v>2297</v>
      </c>
      <c r="C44" s="5" t="s">
        <v>2298</v>
      </c>
      <c r="D44" s="5" t="s">
        <v>2299</v>
      </c>
      <c r="E44" s="5" t="s">
        <v>2300</v>
      </c>
      <c r="G44" s="6" t="str">
        <f>IFERROR(__xludf.DUMMYFUNCTION("GOOGLETRANSLATE(A44, ""en"", ""fr"")"),"43")</f>
        <v>43</v>
      </c>
      <c r="H44" s="6" t="str">
        <f>IFERROR(__xludf.DUMMYFUNCTION("GOOGLETRANSLATE(B44, ""en"", ""fr"")"),"Les « courses de protection » sont une série de courses destinées à quel but ?")</f>
        <v>Les « courses de protection » sont une série de courses destinées à quel but ?</v>
      </c>
      <c r="I44" s="6" t="str">
        <f>IFERROR(__xludf.DUMMYFUNCTION("GOOGLETRANSLATE(C44, ""en"", ""fr"")"),"A) Pour protéger les propriétaires de taureaux, B) Ce sont des courses pour jeunes taureaux inexpérimentés afin qu'ils apprennent le sport, C) Ce sont des événements caritatifs, D) Ce sont des courses pour taureaux retraités")</f>
        <v>A) Pour protéger les propriétaires de taureaux, B) Ce sont des courses pour jeunes taureaux inexpérimentés afin qu'ils apprennent le sport, C) Ce sont des événements caritatifs, D) Ce sont des courses pour taureaux retraités</v>
      </c>
      <c r="J44" s="6" t="str">
        <f>IFERROR(__xludf.DUMMYFUNCTION("GOOGLETRANSLATE(D44, ""en"", ""fr"")"),"B) Ce sont des courses pour jeunes taureaux inexpérimentés afin qu'ils apprennent le sport.")</f>
        <v>B) Ce sont des courses pour jeunes taureaux inexpérimentés afin qu'ils apprennent le sport.</v>
      </c>
      <c r="K44" s="6" t="str">
        <f>IFERROR(__xludf.DUMMYFUNCTION("GOOGLETRANSLATE(E44, ""en"", ""fr"")"),"Ce sont des courses « protégées » où les jeunes taureaux sont introduits dans l'arène de manière contrôlée, sans la pression des arboristes d'élite.")</f>
        <v>Ce sont des courses « protégées » où les jeunes taureaux sont introduits dans l'arène de manière contrôlée, sans la pression des arboristes d'élite.</v>
      </c>
    </row>
    <row r="45" ht="22.5" customHeight="1">
      <c r="A45" s="4">
        <v>44.0</v>
      </c>
      <c r="B45" s="5" t="s">
        <v>2301</v>
      </c>
      <c r="C45" s="5" t="s">
        <v>2302</v>
      </c>
      <c r="D45" s="5" t="s">
        <v>2303</v>
      </c>
      <c r="E45" s="5" t="s">
        <v>2304</v>
      </c>
      <c r="G45" s="6" t="str">
        <f>IFERROR(__xludf.DUMMYFUNCTION("GOOGLETRANSLATE(A45, ""en"", ""fr"")"),"44")</f>
        <v>44</v>
      </c>
      <c r="H45" s="6" t="str">
        <f>IFERROR(__xludf.DUMMYFUNCTION("GOOGLETRANSLATE(B45, ""en"", ""fr"")"),"Qu'est-ce que le « Musée des Cultures Taurines » à Nîmes ?")</f>
        <v>Qu'est-ce que le « Musée des Cultures Taurines » à Nîmes ?</v>
      </c>
      <c r="I45" s="6" t="str">
        <f>IFERROR(__xludf.DUMMYFUNCTION("GOOGLETRANSLATE(C45, ""en"", ""fr"")"),"A) Un musée consacré exclusivement à la tauromachie espagnole, B) Un musée retraçant l'histoire de toutes les formes de jeux taurins de la région, y compris la Course Camarguaise, C) Un musée d'art moderne, D) Un musée d'histoire naturelle")</f>
        <v>A) Un musée consacré exclusivement à la tauromachie espagnole, B) Un musée retraçant l'histoire de toutes les formes de jeux taurins de la région, y compris la Course Camarguaise, C) Un musée d'art moderne, D) Un musée d'histoire naturelle</v>
      </c>
      <c r="J45" s="6" t="str">
        <f>IFERROR(__xludf.DUMMYFUNCTION("GOOGLETRANSLATE(D45, ""en"", ""fr"")"),"B) Un musée qui documente l'histoire de toutes les formes de jeux taurins dans la région, y compris la Course Camarguaise")</f>
        <v>B) Un musée qui documente l'histoire de toutes les formes de jeux taurins dans la région, y compris la Course Camarguaise</v>
      </c>
      <c r="K45" s="6" t="str">
        <f>IFERROR(__xludf.DUMMYFUNCTION("GOOGLETRANSLATE(E45, ""en"", ""fr"")"),"Ce musée est une institution clé pour l'histoire de ce sport, avec des expositions sur la corrida espagnole et la course camarguaise locale.")</f>
        <v>Ce musée est une institution clé pour l'histoire de ce sport, avec des expositions sur la corrida espagnole et la course camarguaise locale.</v>
      </c>
    </row>
    <row r="46" ht="22.5" customHeight="1">
      <c r="A46" s="4">
        <v>45.0</v>
      </c>
      <c r="B46" s="5" t="s">
        <v>2305</v>
      </c>
      <c r="C46" s="5" t="s">
        <v>2306</v>
      </c>
      <c r="D46" s="5" t="s">
        <v>2307</v>
      </c>
      <c r="E46" s="5" t="s">
        <v>2308</v>
      </c>
      <c r="G46" s="6" t="str">
        <f>IFERROR(__xludf.DUMMYFUNCTION("GOOGLETRANSLATE(A46, ""en"", ""fr"")"),"45")</f>
        <v>45</v>
      </c>
      <c r="H46" s="6" t="str">
        <f>IFERROR(__xludf.DUMMYFUNCTION("GOOGLETRANSLATE(B46, ""en"", ""fr"")"),"Quelle est la principale raison pour laquelle les razeteurs portent des pantalons et des chemises blancs ?")</f>
        <v>Quelle est la principale raison pour laquelle les razeteurs portent des pantalons et des chemises blancs ?</v>
      </c>
      <c r="I46" s="6" t="str">
        <f>IFERROR(__xludf.DUMMYFUNCTION("GOOGLETRANSLATE(C46, ""en"", ""fr"")"),"A) C'est une tendance de mode moderne, B) Cela les rend plus visibles pour le taureau et les juges, C) C'est un hommage au drapeau français, D) C'est la couleur de l'équipe de football locale")</f>
        <v>A) C'est une tendance de mode moderne, B) Cela les rend plus visibles pour le taureau et les juges, C) C'est un hommage au drapeau français, D) C'est la couleur de l'équipe de football locale</v>
      </c>
      <c r="J46" s="6" t="str">
        <f>IFERROR(__xludf.DUMMYFUNCTION("GOOGLETRANSLATE(D46, ""en"", ""fr"")"),"B) Cela les rend plus visibles pour le taureau et les juges.")</f>
        <v>B) Cela les rend plus visibles pour le taureau et les juges.</v>
      </c>
      <c r="K46" s="6" t="str">
        <f>IFERROR(__xludf.DUMMYFUNCTION("GOOGLETRANSLATE(E46, ""en"", ""fr"")"),"L'uniforme blanc éclatant offre une cible claire pour la charge du taureau et aide les juges à bien observer l'action.")</f>
        <v>L'uniforme blanc éclatant offre une cible claire pour la charge du taureau et aide les juges à bien observer l'action.</v>
      </c>
    </row>
    <row r="47" ht="22.5" customHeight="1">
      <c r="A47" s="4">
        <v>46.0</v>
      </c>
      <c r="B47" s="5" t="s">
        <v>2309</v>
      </c>
      <c r="C47" s="5" t="s">
        <v>2310</v>
      </c>
      <c r="D47" s="5" t="s">
        <v>2311</v>
      </c>
      <c r="E47" s="5" t="s">
        <v>2312</v>
      </c>
      <c r="G47" s="6" t="str">
        <f>IFERROR(__xludf.DUMMYFUNCTION("GOOGLETRANSLATE(A47, ""en"", ""fr"")"),"46")</f>
        <v>46</v>
      </c>
      <c r="H47" s="6" t="str">
        <f>IFERROR(__xludf.DUMMYFUNCTION("GOOGLETRANSLATE(B47, ""en"", ""fr"")"),"Qui était « Sanglier », une figure célèbre de l'histoire de ce sport ?")</f>
        <v>Qui était « Sanglier », une figure célèbre de l'histoire de ce sport ?</v>
      </c>
      <c r="I47" s="6" t="str">
        <f>IFERROR(__xludf.DUMMYFUNCTION("GOOGLETRANSLATE(C47, ""en"", ""fr"")"),"A) Un razeteur légendaire, B) Un taureau légendaire, C) Un célèbre manadier, D) Un fondateur de la fédération")</f>
        <v>A) Un razeteur légendaire, B) Un taureau légendaire, C) Un célèbre manadier, D) Un fondateur de la fédération</v>
      </c>
      <c r="J47" s="6" t="str">
        <f>IFERROR(__xludf.DUMMYFUNCTION("GOOGLETRANSLATE(D47, ""en"", ""fr"")"),"B) Un taureau légendaire")</f>
        <v>B) Un taureau légendaire</v>
      </c>
      <c r="K47" s="6" t="str">
        <f>IFERROR(__xludf.DUMMYFUNCTION("GOOGLETRANSLATE(E47, ""en"", ""fr"")"),"Sanglier (« Sanglier ») était l'un des cocardiers les plus célèbres et les plus reconnus du milieu du XXe siècle.")</f>
        <v>Sanglier (« Sanglier ») était l'un des cocardiers les plus célèbres et les plus reconnus du milieu du XXe siècle.</v>
      </c>
    </row>
    <row r="48" ht="22.5" customHeight="1">
      <c r="A48" s="4">
        <v>47.0</v>
      </c>
      <c r="B48" s="5" t="s">
        <v>2313</v>
      </c>
      <c r="C48" s="5" t="s">
        <v>2314</v>
      </c>
      <c r="D48" s="5" t="s">
        <v>2315</v>
      </c>
      <c r="E48" s="5" t="s">
        <v>2316</v>
      </c>
      <c r="G48" s="6" t="str">
        <f>IFERROR(__xludf.DUMMYFUNCTION("GOOGLETRANSLATE(A48, ""en"", ""fr"")"),"47")</f>
        <v>47</v>
      </c>
      <c r="H48" s="6" t="str">
        <f>IFERROR(__xludf.DUMMYFUNCTION("GOOGLETRANSLATE(B48, ""en"", ""fr"")"),"Au début du XXe siècle, avant la standardisation du crochet, comment les razeteurs retiraient-ils parfois les attributs ?")</f>
        <v>Au début du XXe siècle, avant la standardisation du crochet, comment les razeteurs retiraient-ils parfois les attributs ?</v>
      </c>
      <c r="I48" s="6" t="str">
        <f>IFERROR(__xludf.DUMMYFUNCTION("GOOGLETRANSLATE(C48, ""en"", ""fr"")"),"A) À mains nues, B) Avec un petit couteau, C) Avec un peigne, D) Avec leurs dents")</f>
        <v>A) À mains nues, B) Avec un petit couteau, C) Avec un peigne, D) Avec leurs dents</v>
      </c>
      <c r="J48" s="6" t="str">
        <f>IFERROR(__xludf.DUMMYFUNCTION("GOOGLETRANSLATE(D48, ""en"", ""fr"")"),"A) À mains nues")</f>
        <v>A) À mains nues</v>
      </c>
      <c r="K48" s="6" t="str">
        <f>IFERROR(__xludf.DUMMYFUNCTION("GOOGLETRANSLATE(E48, ""en"", ""fr"")"),"Les premiers razeteurs, connus sous le nom de levants (leveurs), tentaient d'arracher la cocarde à mains nues, une technique beaucoup plus dangereuse.")</f>
        <v>Les premiers razeteurs, connus sous le nom de levants (leveurs), tentaient d'arracher la cocarde à mains nues, une technique beaucoup plus dangereuse.</v>
      </c>
    </row>
    <row r="49" ht="22.5" customHeight="1">
      <c r="A49" s="4">
        <v>48.0</v>
      </c>
      <c r="B49" s="5" t="s">
        <v>2317</v>
      </c>
      <c r="C49" s="5" t="s">
        <v>2318</v>
      </c>
      <c r="D49" s="5" t="s">
        <v>2319</v>
      </c>
      <c r="E49" s="5" t="s">
        <v>2320</v>
      </c>
      <c r="G49" s="6" t="str">
        <f>IFERROR(__xludf.DUMMYFUNCTION("GOOGLETRANSLATE(A49, ""en"", ""fr"")"),"48")</f>
        <v>48</v>
      </c>
      <c r="H49" s="6" t="str">
        <f>IFERROR(__xludf.DUMMYFUNCTION("GOOGLETRANSLATE(B49, ""en"", ""fr"")"),"Qu'est-ce qu'un ex-voto de fête ?")</f>
        <v>Qu'est-ce qu'un ex-voto de fête ?</v>
      </c>
      <c r="I49" s="6" t="str">
        <f>IFERROR(__xludf.DUMMYFUNCTION("GOOGLETRANSLATE(C49, ""en"", ""fr"")"),"A) Un jour férié national, B) Une fête locale en l'honneur du saint patron d'un village, C) Un festival de musique, D) Un festival gastronomique")</f>
        <v>A) Un jour férié national, B) Une fête locale en l'honneur du saint patron d'un village, C) Un festival de musique, D) Un festival gastronomique</v>
      </c>
      <c r="J49" s="6" t="str">
        <f>IFERROR(__xludf.DUMMYFUNCTION("GOOGLETRANSLATE(D49, ""en"", ""fr"")"),"B) Une fête locale en l'honneur du saint patron du village")</f>
        <v>B) Une fête locale en l'honneur du saint patron du village</v>
      </c>
      <c r="K49" s="6" t="str">
        <f>IFERROR(__xludf.DUMMYFUNCTION("GOOGLETRANSLATE(E49, ""en"", ""fr"")"),"La Course Camarguaise est l'événement central de la fête votive annuelle dans presque tous les villages de sa région d'origine.")</f>
        <v>La Course Camarguaise est l'événement central de la fête votive annuelle dans presque tous les villages de sa région d'origine.</v>
      </c>
    </row>
    <row r="50" ht="22.5" customHeight="1">
      <c r="A50" s="4">
        <v>49.0</v>
      </c>
      <c r="B50" s="5" t="s">
        <v>2321</v>
      </c>
      <c r="C50" s="5" t="s">
        <v>2322</v>
      </c>
      <c r="D50" s="5" t="s">
        <v>2323</v>
      </c>
      <c r="E50" s="5" t="s">
        <v>2324</v>
      </c>
      <c r="G50" s="6" t="str">
        <f>IFERROR(__xludf.DUMMYFUNCTION("GOOGLETRANSLATE(A50, ""en"", ""fr"")"),"49")</f>
        <v>49</v>
      </c>
      <c r="H50" s="6" t="str">
        <f>IFERROR(__xludf.DUMMYFUNCTION("GOOGLETRANSLATE(B50, ""en"", ""fr"")"),"Quelle est la raison historique de l'étroite relation entre le cheval et le taureau de Camargue ?")</f>
        <v>Quelle est la raison historique de l'étroite relation entre le cheval et le taureau de Camargue ?</v>
      </c>
      <c r="I50" s="6" t="str">
        <f>IFERROR(__xludf.DUMMYFUNCTION("GOOGLETRANSLATE(C50, ""en"", ""fr"")"),"A) Ce sont des ennemis naturels. B) Les chevaux semi-sauvages sont utilisés par les gardiens pour gérer les troupeaux de taureaux semi-sauvages. C) Ils appartiennent à la même espèce. D) Ils ont été élevés ensemble.")</f>
        <v>A) Ce sont des ennemis naturels. B) Les chevaux semi-sauvages sont utilisés par les gardiens pour gérer les troupeaux de taureaux semi-sauvages. C) Ils appartiennent à la même espèce. D) Ils ont été élevés ensemble.</v>
      </c>
      <c r="J50" s="6" t="str">
        <f>IFERROR(__xludf.DUMMYFUNCTION("GOOGLETRANSLATE(D50, ""en"", ""fr"")"),"B) Les chevaux semi-sauvages sont utilisés par les gardiens pour gérer les troupeaux de taureaux semi-sauvages.")</f>
        <v>B) Les chevaux semi-sauvages sont utilisés par les gardiens pour gérer les troupeaux de taureaux semi-sauvages.</v>
      </c>
      <c r="K50" s="6" t="str">
        <f>IFERROR(__xludf.DUMMYFUNCTION("GOOGLETRANSLATE(E50, ""en"", ""fr"")"),"Toute cette culture repose sur le partenariat entre le gardien et son cheval, travaillant ensemble pour conduire les taureaux à travers les marais.")</f>
        <v>Toute cette culture repose sur le partenariat entre le gardien et son cheval, travaillant ensemble pour conduire les taureaux à travers les marais.</v>
      </c>
    </row>
    <row r="51" ht="22.5" customHeight="1">
      <c r="A51" s="4">
        <v>50.0</v>
      </c>
      <c r="B51" s="5" t="s">
        <v>2325</v>
      </c>
      <c r="C51" s="5" t="s">
        <v>2326</v>
      </c>
      <c r="D51" s="5" t="s">
        <v>2327</v>
      </c>
      <c r="E51" s="5" t="s">
        <v>2328</v>
      </c>
      <c r="G51" s="6" t="str">
        <f>IFERROR(__xludf.DUMMYFUNCTION("GOOGLETRANSLATE(A51, ""en"", ""fr"")"),"50")</f>
        <v>50</v>
      </c>
      <c r="H51" s="6" t="str">
        <f>IFERROR(__xludf.DUMMYFUNCTION("GOOGLETRANSLATE(B51, ""en"", ""fr"")"),"Que signifie le fait qu'un taureau devienne une « star » ?")</f>
        <v>Que signifie le fait qu'un taureau devienne une « star » ?</v>
      </c>
      <c r="I51" s="6" t="str">
        <f>IFERROR(__xludf.DUMMYFUNCTION("GOOGLETRANSLATE(C51, ""en"", ""fr"")"),"A) Ses attributs lui valent d'attirer un public plus nombreux et des prix plus élevés. B) Il est retiré du sport. C) Il est vendu à un zoo. D) Il suit un régime alimentaire spécial.")</f>
        <v>A) Ses attributs lui valent d'attirer un public plus nombreux et des prix plus élevés. B) Il est retiré du sport. C) Il est vendu à un zoo. D) Il suit un régime alimentaire spécial.</v>
      </c>
      <c r="J51" s="6" t="str">
        <f>IFERROR(__xludf.DUMMYFUNCTION("GOOGLETRANSLATE(D51, ""en"", ""fr"")"),"A) Ses attributs lui permettent d'attirer un public plus nombreux et d'offrir des prix plus élevés.")</f>
        <v>A) Ses attributs lui permettent d'attirer un public plus nombreux et d'offrir des prix plus élevés.</v>
      </c>
      <c r="K51" s="6" t="str">
        <f>IFERROR(__xludf.DUMMYFUNCTION("GOOGLETRANSLATE(E51, ""en"", ""fr"")"),"La renommée d'un grand taureau attire les spectateurs. Les primes offertes pour ses performances augmentent considérablement à mesure que sa réputation grandit.")</f>
        <v>La renommée d'un grand taureau attire les spectateurs. Les primes offertes pour ses performances augmentent considérablement à mesure que sa réputation grandit.</v>
      </c>
    </row>
    <row r="52" ht="22.5" customHeight="1">
      <c r="A52" s="4">
        <v>51.0</v>
      </c>
      <c r="B52" s="5" t="s">
        <v>2329</v>
      </c>
      <c r="C52" s="5" t="s">
        <v>2330</v>
      </c>
      <c r="D52" s="5" t="s">
        <v>2331</v>
      </c>
      <c r="E52" s="5" t="s">
        <v>2332</v>
      </c>
      <c r="G52" s="6" t="str">
        <f>IFERROR(__xludf.DUMMYFUNCTION("GOOGLETRANSLATE(A52, ""en"", ""fr"")"),"51")</f>
        <v>51</v>
      </c>
      <c r="H52" s="6" t="str">
        <f>IFERROR(__xludf.DUMMYFUNCTION("GOOGLETRANSLATE(B52, ""en"", ""fr"")"),"On loue le taureau pour avoir « anticipé » le razeteur. Qu'est-ce que cela signifie ?")</f>
        <v>On loue le taureau pour avoir « anticipé » le razeteur. Qu'est-ce que cela signifie ?</v>
      </c>
      <c r="I52" s="6" t="str">
        <f>IFERROR(__xludf.DUMMYFUNCTION("GOOGLETRANSLATE(C52, ""en"", ""fr"")"),"A) Le taureau peut interpréter le langage corporel du razeteur et lui couper la route. B) Le taureau est médium. C) Le taureau attend que le razeteur s'approche. D) Le taureau s'enfuit du razeteur.")</f>
        <v>A) Le taureau peut interpréter le langage corporel du razeteur et lui couper la route. B) Le taureau est médium. C) Le taureau attend que le razeteur s'approche. D) Le taureau s'enfuit du razeteur.</v>
      </c>
      <c r="J52" s="6" t="str">
        <f>IFERROR(__xludf.DUMMYFUNCTION("GOOGLETRANSLATE(D52, ""en"", ""fr"")"),"A) Le taureau peut interpréter le langage corporel du taureau et lui couper la route.")</f>
        <v>A) Le taureau peut interpréter le langage corporel du taureau et lui couper la route.</v>
      </c>
      <c r="K52" s="6" t="str">
        <f>IFERROR(__xludf.DUMMYFUNCTION("GOOGLETRANSLATE(E52, ""en"", ""fr"")"),"C'est la marque d'un cocardier intelligent. Il apprend à reconnaître les mouvements préliminaires du raset et se déplace pour intercepter l'homme.")</f>
        <v>C'est la marque d'un cocardier intelligent. Il apprend à reconnaître les mouvements préliminaires du raset et se déplace pour intercepter l'homme.</v>
      </c>
    </row>
    <row r="53" ht="22.5" customHeight="1">
      <c r="A53" s="4">
        <v>52.0</v>
      </c>
      <c r="B53" s="5" t="s">
        <v>2333</v>
      </c>
      <c r="C53" s="5" t="s">
        <v>2334</v>
      </c>
      <c r="D53" s="5" t="s">
        <v>2335</v>
      </c>
      <c r="E53" s="5" t="s">
        <v>2336</v>
      </c>
      <c r="G53" s="6" t="str">
        <f>IFERROR(__xludf.DUMMYFUNCTION("GOOGLETRANSLATE(A53, ""en"", ""fr"")"),"52")</f>
        <v>52</v>
      </c>
      <c r="H53" s="6" t="str">
        <f>IFERROR(__xludf.DUMMYFUNCTION("GOOGLETRANSLATE(B53, ""en"", ""fr"")"),"Quelle est la signification historique du Trident, l'outil des Gardiens ?")</f>
        <v>Quelle est la signification historique du Trident, l'outil des Gardiens ?</v>
      </c>
      <c r="I53" s="6" t="str">
        <f>IFERROR(__xludf.DUMMYFUNCTION("GOOGLETRANSLATE(C53, ""en"", ""fr"")"),"A) Il est utilisé comme une arme dans l'arène, B) Il symbolise l'autorité des gardiens et leur lien à la terre, C) Il s'agit d'un symbole religieux, D) Toutes les réponses ci-dessus")</f>
        <v>A) Il est utilisé comme une arme dans l'arène, B) Il symbolise l'autorité des gardiens et leur lien à la terre, C) Il s'agit d'un symbole religieux, D) Toutes les réponses ci-dessus</v>
      </c>
      <c r="J53" s="6" t="str">
        <f>IFERROR(__xludf.DUMMYFUNCTION("GOOGLETRANSLATE(D53, ""en"", ""fr"")"),"B) C'est un symbole de l'autorité des gardiens et de leur lien avec la terre")</f>
        <v>B) C'est un symbole de l'autorité des gardiens et de leur lien avec la terre</v>
      </c>
      <c r="K53" s="6" t="str">
        <f>IFERROR(__xludf.DUMMYFUNCTION("GOOGLETRANSLATE(E53, ""en"", ""fr"")"),"Le trident est l'outil traditionnel utilisé par les bergers à cheval pour guider leurs taureaux, et il est devenu un symbole puissant de la Camargue elle-même.")</f>
        <v>Le trident est l'outil traditionnel utilisé par les bergers à cheval pour guider leurs taureaux, et il est devenu un symbole puissant de la Camargue elle-même.</v>
      </c>
    </row>
    <row r="54" ht="22.5" customHeight="1">
      <c r="A54" s="4">
        <v>53.0</v>
      </c>
      <c r="B54" s="5" t="s">
        <v>2337</v>
      </c>
      <c r="C54" s="5" t="s">
        <v>2338</v>
      </c>
      <c r="D54" s="5" t="s">
        <v>2339</v>
      </c>
      <c r="E54" s="5" t="s">
        <v>2340</v>
      </c>
      <c r="G54" s="6" t="str">
        <f>IFERROR(__xludf.DUMMYFUNCTION("GOOGLETRANSLATE(A54, ""en"", ""fr"")"),"53")</f>
        <v>53</v>
      </c>
      <c r="H54" s="6" t="str">
        <f>IFERROR(__xludf.DUMMYFUNCTION("GOOGLETRANSLATE(B54, ""en"", ""fr"")"),"Quel a été le rôle du poète Frédéric Mistral dans l'histoire de ce sport ?")</f>
        <v>Quel a été le rôle du poète Frédéric Mistral dans l'histoire de ce sport ?</v>
      </c>
      <c r="I54" s="6" t="str">
        <f>IFERROR(__xludf.DUMMYFUNCTION("GOOGLETRANSLATE(C54, ""en"", ""fr"")"),"A) Il était un célèbre razeteur, B) Il était le fondateur de la fédération, C) Il était une figure clé du renouveau culturel provençal (Félibrige) qui a contribué à préserver des traditions comme la course camarguaise, D) Il a rédigé le règlement officiel")</f>
        <v>A) Il était un célèbre razeteur, B) Il était le fondateur de la fédération, C) Il était une figure clé du renouveau culturel provençal (Félibrige) qui a contribué à préserver des traditions comme la course camarguaise, D) Il a rédigé le règlement officiel</v>
      </c>
      <c r="J54" s="6" t="str">
        <f>IFERROR(__xludf.DUMMYFUNCTION("GOOGLETRANSLATE(D54, ""en"", ""fr"")"),"C) Il a été une figure clé du renouveau culturel provençal (Félibrige) qui a contribué à préserver des traditions comme le Course Camarguaise.")</f>
        <v>C) Il a été une figure clé du renouveau culturel provençal (Félibrige) qui a contribué à préserver des traditions comme le Course Camarguaise.</v>
      </c>
      <c r="K54" s="6" t="str">
        <f>IFERROR(__xludf.DUMMYFUNCTION("GOOGLETRANSLATE(E54, ""en"", ""fr"")"),"Le travail de Mistral pour préserver la langue et la culture provençales au XIXe siècle a créé un climat où des traditions comme les jeux de taureaux étaient valorisées et sauvées.")</f>
        <v>Le travail de Mistral pour préserver la langue et la culture provençales au XIXe siècle a créé un climat où des traditions comme les jeux de taureaux étaient valorisées et sauvées.</v>
      </c>
    </row>
    <row r="55" ht="22.5" customHeight="1">
      <c r="A55" s="4">
        <v>54.0</v>
      </c>
      <c r="B55" s="5" t="s">
        <v>2341</v>
      </c>
      <c r="C55" s="5" t="s">
        <v>2342</v>
      </c>
      <c r="D55" s="5" t="s">
        <v>2343</v>
      </c>
      <c r="E55" s="5" t="s">
        <v>2344</v>
      </c>
      <c r="G55" s="6" t="str">
        <f>IFERROR(__xludf.DUMMYFUNCTION("GOOGLETRANSLATE(A55, ""en"", ""fr"")"),"54")</f>
        <v>54</v>
      </c>
      <c r="H55" s="6" t="str">
        <f>IFERROR(__xludf.DUMMYFUNCTION("GOOGLETRANSLATE(B55, ""en"", ""fr"")"),"Un taureau est retiré de l'arène et mis au pâturage. Comment cet événement est-il généralement commémoré ?")</f>
        <v>Un taureau est retiré de l'arène et mis au pâturage. Comment cet événement est-il généralement commémoré ?</v>
      </c>
      <c r="I55" s="6" t="str">
        <f>IFERROR(__xludf.DUMMYFUNCTION("GOOGLETRANSLATE(C55, ""en"", ""fr"")"),"A) Avec une cérémonie discrète, B) Avec une course finale « jubilé » ou d'adieu en son honneur, C) Sans marquage, D) Avec un marquage final")</f>
        <v>A) Avec une cérémonie discrète, B) Avec une course finale « jubilé » ou d'adieu en son honneur, C) Sans marquage, D) Avec un marquage final</v>
      </c>
      <c r="J55" s="6" t="str">
        <f>IFERROR(__xludf.DUMMYFUNCTION("GOOGLETRANSLATE(D55, ""en"", ""fr"")"),"B) Avec une course d'adieu ou une course du jubilé en son honneur")</f>
        <v>B) Avec une course d'adieu ou une course du jubilé en son honneur</v>
      </c>
      <c r="K55" s="6" t="str">
        <f>IFERROR(__xludf.DUMMYFUNCTION("GOOGLETRANSLATE(E55, ""en"", ""fr"")"),"Un grand cocardieur se voit offrir une tournée d'adieu officielle et festive dans les arènes où il est devenu célèbre, applaudi par le public pour sa carrière.")</f>
        <v>Un grand cocardieur se voit offrir une tournée d'adieu officielle et festive dans les arènes où il est devenu célèbre, applaudi par le public pour sa carrière.</v>
      </c>
    </row>
    <row r="56" ht="22.5" customHeight="1">
      <c r="A56" s="4">
        <v>55.0</v>
      </c>
      <c r="B56" s="5" t="s">
        <v>2345</v>
      </c>
      <c r="C56" s="5" t="s">
        <v>2346</v>
      </c>
      <c r="D56" s="5" t="s">
        <v>2347</v>
      </c>
      <c r="E56" s="5" t="s">
        <v>2348</v>
      </c>
      <c r="G56" s="6" t="str">
        <f>IFERROR(__xludf.DUMMYFUNCTION("GOOGLETRANSLATE(A56, ""en"", ""fr"")"),"55")</f>
        <v>55</v>
      </c>
      <c r="H56" s="6" t="str">
        <f>IFERROR(__xludf.DUMMYFUNCTION("GOOGLETRANSLATE(B56, ""en"", ""fr"")"),"Quelle est la principale raison de la présence très limitée de ce sport dans le nord de la France ?")</f>
        <v>Quelle est la principale raison de la présence très limitée de ce sport dans le nord de la France ?</v>
      </c>
      <c r="I56" s="6" t="str">
        <f>IFERROR(__xludf.DUMMYFUNCTION("GOOGLETRANSLATE(C56, ""en"", ""fr"")"),"A) Le climat ne convient pas aux taureaux. B) C'est une tradition profondément régionale sans racines historiques dans le nord. C) C'est interdit dans le nord de la France. D) Les arènes sont trop petites.")</f>
        <v>A) Le climat ne convient pas aux taureaux. B) C'est une tradition profondément régionale sans racines historiques dans le nord. C) C'est interdit dans le nord de la France. D) Les arènes sont trop petites.</v>
      </c>
      <c r="J56" s="6" t="str">
        <f>IFERROR(__xludf.DUMMYFUNCTION("GOOGLETRANSLATE(D56, ""en"", ""fr"")"),"B) C'est une tradition profondément régionale sans racines historiques dans le nord")</f>
        <v>B) C'est une tradition profondément régionale sans racines historiques dans le nord</v>
      </c>
      <c r="K56" s="6" t="str">
        <f>IFERROR(__xludf.DUMMYFUNCTION("GOOGLETRANSLATE(E56, ""en"", ""fr"")"),"Le Course Camarguaise est un produit de la culture, de la géographie et de l'histoire uniques de la région Camargue et n'a pas été exporté dans d'autres régions de France.")</f>
        <v>Le Course Camarguaise est un produit de la culture, de la géographie et de l'histoire uniques de la région Camargue et n'a pas été exporté dans d'autres régions de France.</v>
      </c>
    </row>
    <row r="57" ht="22.5" customHeight="1">
      <c r="A57" s="4">
        <v>56.0</v>
      </c>
      <c r="B57" s="5" t="s">
        <v>2349</v>
      </c>
      <c r="C57" s="5" t="s">
        <v>2350</v>
      </c>
      <c r="D57" s="5" t="s">
        <v>2351</v>
      </c>
      <c r="E57" s="5" t="s">
        <v>2352</v>
      </c>
      <c r="G57" s="6" t="str">
        <f>IFERROR(__xludf.DUMMYFUNCTION("GOOGLETRANSLATE(A57, ""en"", ""fr"")"),"56")</f>
        <v>56</v>
      </c>
      <c r="H57" s="6" t="str">
        <f>IFERROR(__xludf.DUMMYFUNCTION("GOOGLETRANSLATE(B57, ""en"", ""fr"")"),"Un razeteur est appelé « gaucher ». Quel est son principal avantage ?")</f>
        <v>Un razeteur est appelé « gaucher ». Quel est son principal avantage ?</v>
      </c>
      <c r="I57" s="6" t="str">
        <f>IFERROR(__xludf.DUMMYFUNCTION("GOOGLETRANSLATE(C57, ""en"", ""fr"")"),"A) Ils sont plus forts, B) Ils approchent le taureau sous un angle inhabituel, ce qui peut déstabiliser sa défense, C) Ils sont plus rapides, D) Ils ont un meilleur équipement")</f>
        <v>A) Ils sont plus forts, B) Ils approchent le taureau sous un angle inhabituel, ce qui peut déstabiliser sa défense, C) Ils sont plus rapides, D) Ils ont un meilleur équipement</v>
      </c>
      <c r="J57" s="6" t="str">
        <f>IFERROR(__xludf.DUMMYFUNCTION("GOOGLETRANSLATE(D57, ""en"", ""fr"")"),"B) Ils approchent le taureau sous un angle inhabituel, ce qui peut désorienter sa défense.")</f>
        <v>B) Ils approchent le taureau sous un angle inhabituel, ce qui peut désorienter sa défense.</v>
      </c>
      <c r="K57" s="6" t="str">
        <f>IFERROR(__xludf.DUMMYFUNCTION("GOOGLETRANSLATE(E57, ""en"", ""fr"")"),"Tout comme au baseball ou en boxe, un gaucher représente un défi différent et souvent plus difficile pour le taureau, qui est plus habitué aux razeteurs droitiers.")</f>
        <v>Tout comme au baseball ou en boxe, un gaucher représente un défi différent et souvent plus difficile pour le taureau, qui est plus habitué aux razeteurs droitiers.</v>
      </c>
    </row>
    <row r="58" ht="22.5" customHeight="1">
      <c r="A58" s="4">
        <v>57.0</v>
      </c>
      <c r="B58" s="5" t="s">
        <v>2353</v>
      </c>
      <c r="C58" s="5" t="s">
        <v>2354</v>
      </c>
      <c r="D58" s="5" t="s">
        <v>2355</v>
      </c>
      <c r="E58" s="5" t="s">
        <v>2356</v>
      </c>
      <c r="G58" s="6" t="str">
        <f>IFERROR(__xludf.DUMMYFUNCTION("GOOGLETRANSLATE(A58, ""en"", ""fr"")"),"57")</f>
        <v>57</v>
      </c>
      <c r="H58" s="6" t="str">
        <f>IFERROR(__xludf.DUMMYFUNCTION("GOOGLETRANSLATE(B58, ""en"", ""fr"")"),"Qu'est-ce que le « Trophée de l'Avenir » ?")</f>
        <v>Qu'est-ce que le « Trophée de l'Avenir » ?</v>
      </c>
      <c r="I58" s="6" t="str">
        <f>IFERROR(__xludf.DUMMYFUNCTION("GOOGLETRANSLATE(C58, ""en"", ""fr"")"),"A) Le championnat principal pour les éleveurs de taureaux d'élite, B) Le championnat pour les jeunes éleveurs prometteurs, C) Un prix pour l'éleveur le plus âgé, D) Un prix pour le meilleur éleveur de taureaux")</f>
        <v>A) Le championnat principal pour les éleveurs de taureaux d'élite, B) Le championnat pour les jeunes éleveurs prometteurs, C) Un prix pour l'éleveur le plus âgé, D) Un prix pour le meilleur éleveur de taureaux</v>
      </c>
      <c r="J58" s="6" t="str">
        <f>IFERROR(__xludf.DUMMYFUNCTION("GOOGLETRANSLATE(D58, ""en"", ""fr"")"),"B) Le championnat des jeunes razeteurs prometteurs")</f>
        <v>B) Le championnat des jeunes razeteurs prometteurs</v>
      </c>
      <c r="K58" s="6" t="str">
        <f>IFERROR(__xludf.DUMMYFUNCTION("GOOGLETRANSLATE(E58, ""en"", ""fr"")"),"Il s'agit de la compétition majeure pour la prochaine génération de stars, un tremplin vers l'élite du « Trophée des As ».")</f>
        <v>Il s'agit de la compétition majeure pour la prochaine génération de stars, un tremplin vers l'élite du « Trophée des As ».</v>
      </c>
    </row>
    <row r="59" ht="22.5" customHeight="1">
      <c r="A59" s="4">
        <v>58.0</v>
      </c>
      <c r="B59" s="5" t="s">
        <v>2357</v>
      </c>
      <c r="C59" s="5" t="s">
        <v>2358</v>
      </c>
      <c r="D59" s="5" t="s">
        <v>2359</v>
      </c>
      <c r="E59" s="5" t="s">
        <v>2360</v>
      </c>
      <c r="G59" s="6" t="str">
        <f>IFERROR(__xludf.DUMMYFUNCTION("GOOGLETRANSLATE(A59, ""en"", ""fr"")"),"58")</f>
        <v>58</v>
      </c>
      <c r="H59" s="6" t="str">
        <f>IFERROR(__xludf.DUMMYFUNCTION("GOOGLETRANSLATE(B59, ""en"", ""fr"")"),"On loue le taureau pour son « sens de la barrière ». Qu'est-ce que cela signifie ?")</f>
        <v>On loue le taureau pour son « sens de la barrière ». Qu'est-ce que cela signifie ?</v>
      </c>
      <c r="I59" s="6" t="str">
        <f>IFERROR(__xludf.DUMMYFUNCTION("GOOGLETRANSLATE(C59, ""en"", ""fr"")"),"A) Il a peur de la barrière, B) Il utilise intelligemment la barrière pour coincer un razeteur, C) Il essaie souvent de sauter par-dessus la barrière, D) Il reste au centre de l'arène")</f>
        <v>A) Il a peur de la barrière, B) Il utilise intelligemment la barrière pour coincer un razeteur, C) Il essaie souvent de sauter par-dessus la barrière, D) Il reste au centre de l'arène</v>
      </c>
      <c r="J59" s="6" t="str">
        <f>IFERROR(__xludf.DUMMYFUNCTION("GOOGLETRANSLATE(D59, ""en"", ""fr"")"),"B) Il utilise intelligemment la barrière pour coincer un razeteur")</f>
        <v>B) Il utilise intelligemment la barrière pour coincer un razeteur</v>
      </c>
      <c r="K59" s="6" t="str">
        <f>IFERROR(__xludf.DUMMYFUNCTION("GOOGLETRANSLATE(E59, ""en"", ""fr"")"),"Un taureau intelligent apprend à utiliser la géographie de l'arène, coinçant l'homme contre le mur pour l'empêcher de s'échapper ou de prendre un avantage.")</f>
        <v>Un taureau intelligent apprend à utiliser la géographie de l'arène, coinçant l'homme contre le mur pour l'empêcher de s'échapper ou de prendre un avantage.</v>
      </c>
    </row>
    <row r="60" ht="22.5" customHeight="1">
      <c r="A60" s="4">
        <v>59.0</v>
      </c>
      <c r="B60" s="5" t="s">
        <v>2361</v>
      </c>
      <c r="C60" s="5" t="s">
        <v>2362</v>
      </c>
      <c r="D60" s="5" t="s">
        <v>2363</v>
      </c>
      <c r="E60" s="5" t="s">
        <v>2364</v>
      </c>
      <c r="G60" s="6" t="str">
        <f>IFERROR(__xludf.DUMMYFUNCTION("GOOGLETRANSLATE(A60, ""en"", ""fr"")"),"59")</f>
        <v>59</v>
      </c>
      <c r="H60" s="6" t="str">
        <f>IFERROR(__xludf.DUMMYFUNCTION("GOOGLETRANSLATE(B60, ""en"", ""fr"")"),"Quelle est l’origine historique des ficelles (chaînes) en tant qu’attribut ?")</f>
        <v>Quelle est l’origine historique des ficelles (chaînes) en tant qu’attribut ?</v>
      </c>
      <c r="I60" s="6" t="str">
        <f>IFERROR(__xludf.DUMMYFUNCTION("GOOGLETRANSLATE(C60, ""en"", ""fr"")"),"A) Ils constituaient le premier attribut, B) Ils ont été ajoutés plus tard pour rendre le jeu plus difficile et augmenter le nombre de prix, C) Ils sont purement décoratifs, D) Ils servent à attacher la cocarde")</f>
        <v>A) Ils constituaient le premier attribut, B) Ils ont été ajoutés plus tard pour rendre le jeu plus difficile et augmenter le nombre de prix, C) Ils sont purement décoratifs, D) Ils servent à attacher la cocarde</v>
      </c>
      <c r="J60" s="6" t="str">
        <f>IFERROR(__xludf.DUMMYFUNCTION("GOOGLETRANSLATE(D60, ""en"", ""fr"")"),"B) Elles ont été ajoutées ultérieurement pour rendre le jeu plus difficile et augmenter le nombre de prix.")</f>
        <v>B) Elles ont été ajoutées ultérieurement pour rendre le jeu plus difficile et augmenter le nombre de prix.</v>
      </c>
      <c r="K60" s="6" t="str">
        <f>IFERROR(__xludf.DUMMYFUNCTION("GOOGLETRANSLATE(E60, ""en"", ""fr"")"),"Les cordes, enroulées autour de la base du cor, ont été introduites après la cocarde pour ajouter une difficulté supplémentaire et davantage de possibilités de marquer des points.")</f>
        <v>Les cordes, enroulées autour de la base du cor, ont été introduites après la cocarde pour ajouter une difficulté supplémentaire et davantage de possibilités de marquer des points.</v>
      </c>
    </row>
    <row r="61" ht="22.5" customHeight="1">
      <c r="A61" s="4">
        <v>60.0</v>
      </c>
      <c r="B61" s="5" t="s">
        <v>2365</v>
      </c>
      <c r="C61" s="5" t="s">
        <v>2366</v>
      </c>
      <c r="D61" s="5" t="s">
        <v>2367</v>
      </c>
      <c r="E61" s="5" t="s">
        <v>2368</v>
      </c>
      <c r="G61" s="6" t="str">
        <f>IFERROR(__xludf.DUMMYFUNCTION("GOOGLETRANSLATE(A61, ""en"", ""fr"")"),"60")</f>
        <v>60</v>
      </c>
      <c r="H61" s="6" t="str">
        <f>IFERROR(__xludf.DUMMYFUNCTION("GOOGLETRANSLATE(B61, ""en"", ""fr"")"),"Que signifie le terme « Course libre », l’ancien nom de ce sport, quant à ses origines ?")</f>
        <v>Que signifie le terme « Course libre », l’ancien nom de ce sport, quant à ses origines ?</v>
      </c>
      <c r="I61" s="6" t="str">
        <f>IFERROR(__xludf.DUMMYFUNCTION("GOOGLETRANSLATE(C61, ""en"", ""fr"")"),"A) Que les taureaux étaient libres, B) Que l'événement était gratuit, C) Qu'il s'agissait d'un concours informel avec peu de règles, ouvert à tout jeune homme courageux, D) Que les abatteurs pouvaient utiliser n'importe quelle arme")</f>
        <v>A) Que les taureaux étaient libres, B) Que l'événement était gratuit, C) Qu'il s'agissait d'un concours informel avec peu de règles, ouvert à tout jeune homme courageux, D) Que les abatteurs pouvaient utiliser n'importe quelle arme</v>
      </c>
      <c r="J61" s="6" t="str">
        <f>IFERROR(__xludf.DUMMYFUNCTION("GOOGLETRANSLATE(D61, ""en"", ""fr"")"),"C) Qu'il s'agissait d'un concours informel avec peu de règles, ouvert à tout jeune homme courageux")</f>
        <v>C) Qu'il s'agissait d'un concours informel avec peu de règles, ouvert à tout jeune homme courageux</v>
      </c>
      <c r="K61" s="6" t="str">
        <f>IFERROR(__xludf.DUMMYFUNCTION("GOOGLETRANSLATE(E61, ""en"", ""fr"")"),"Son nom reflète ses origines, à savoir une épreuve de courage spontanée et non réglementée sur la place du village, avant la formation de la fédération moderne.")</f>
        <v>Son nom reflète ses origines, à savoir une épreuve de courage spontanée et non réglementée sur la place du village, avant la formation de la fédération moderne.</v>
      </c>
    </row>
    <row r="62" ht="22.5" customHeight="1">
      <c r="A62" s="4">
        <v>61.0</v>
      </c>
      <c r="B62" s="5" t="s">
        <v>2369</v>
      </c>
      <c r="C62" s="5" t="s">
        <v>2370</v>
      </c>
      <c r="D62" s="5" t="s">
        <v>2371</v>
      </c>
      <c r="E62" s="5" t="s">
        <v>2372</v>
      </c>
      <c r="G62" s="6" t="str">
        <f>IFERROR(__xludf.DUMMYFUNCTION("GOOGLETRANSLATE(A62, ""en"", ""fr"")"),"61")</f>
        <v>61</v>
      </c>
      <c r="H62" s="6" t="str">
        <f>IFERROR(__xludf.DUMMYFUNCTION("GOOGLETRANSLATE(B62, ""en"", ""fr"")"),"Quelle est la raison historique pour laquelle le razeteur privilégie l'agilité à la force ?")</f>
        <v>Quelle est la raison historique pour laquelle le razeteur privilégie l'agilité à la force ?</v>
      </c>
      <c r="I62" s="6" t="str">
        <f>IFERROR(__xludf.DUMMYFUNCTION("GOOGLETRANSLATE(C62, ""en"", ""fr"")"),"A) Les razeteurs étaient traditionnellement des hommes de petite taille. B) Le taureau de Camargue est rapide et agile, et non une cible lourde et lente. C) Il est de notoriété publique qu'on ne peut être trop fort. D) Le crochet exige de la finesse, et n"&amp;"on de la force.")</f>
        <v>A) Les razeteurs étaient traditionnellement des hommes de petite taille. B) Le taureau de Camargue est rapide et agile, et non une cible lourde et lente. C) Il est de notoriété publique qu'on ne peut être trop fort. D) Le crochet exige de la finesse, et non de la force.</v>
      </c>
      <c r="J62" s="6" t="str">
        <f>IFERROR(__xludf.DUMMYFUNCTION("GOOGLETRANSLATE(D62, ""en"", ""fr"")"),"B) Le taureau de Camargue est rapide et agile, pas une cible lourde et lente")</f>
        <v>B) Le taureau de Camargue est rapide et agile, pas une cible lourde et lente</v>
      </c>
      <c r="K62" s="6" t="str">
        <f>IFERROR(__xludf.DUMMYFUNCTION("GOOGLETRANSLATE(E62, ""en"", ""fr"")"),"Ce sport est un duel de vitesse et d'intelligence. Un razeteur doit être incroyablement rapide et agile pour déjouer le taureau athlétique.")</f>
        <v>Ce sport est un duel de vitesse et d'intelligence. Un razeteur doit être incroyablement rapide et agile pour déjouer le taureau athlétique.</v>
      </c>
    </row>
    <row r="63" ht="22.5" customHeight="1">
      <c r="A63" s="4">
        <v>62.0</v>
      </c>
      <c r="B63" s="5" t="s">
        <v>2373</v>
      </c>
      <c r="C63" s="5" t="s">
        <v>2374</v>
      </c>
      <c r="D63" s="5" t="s">
        <v>2375</v>
      </c>
      <c r="E63" s="5" t="s">
        <v>2376</v>
      </c>
      <c r="G63" s="6" t="str">
        <f>IFERROR(__xludf.DUMMYFUNCTION("GOOGLETRANSLATE(A63, ""en"", ""fr"")"),"62")</f>
        <v>62</v>
      </c>
      <c r="H63" s="6" t="str">
        <f>IFERROR(__xludf.DUMMYFUNCTION("GOOGLETRANSLATE(B63, ""en"", ""fr"")"),"Qu'est-ce que la « Coupe des manadiers » (Breeders' Cup) ?")</f>
        <v>Qu'est-ce que la « Coupe des manadiers » (Breeders' Cup) ?</v>
      </c>
      <c r="I63" s="6" t="str">
        <f>IFERROR(__xludf.DUMMYFUNCTION("GOOGLETRANSLATE(C63, ""en"", ""fr"")"),"A) Une course pour les éleveurs, B) Une compétition où les éleveurs eux-mêmes s'affrontent, C) Un tournoi prestigieux où les troupeaux s'affrontent, D) Une course de chevaux")</f>
        <v>A) Une course pour les éleveurs, B) Une compétition où les éleveurs eux-mêmes s'affrontent, C) Un tournoi prestigieux où les troupeaux s'affrontent, D) Une course de chevaux</v>
      </c>
      <c r="J63" s="6" t="str">
        <f>IFERROR(__xludf.DUMMYFUNCTION("GOOGLETRANSLATE(D63, ""en"", ""fr"")"),"C) Un tournoi prestigieux où les troupeaux (manades) s'affrontent.")</f>
        <v>C) Un tournoi prestigieux où les troupeaux (manades) s'affrontent.</v>
      </c>
      <c r="K63" s="6" t="str">
        <f>IFERROR(__xludf.DUMMYFUNCTION("GOOGLETRANSLATE(E63, ""en"", ""fr"")"),"Il s'agit d'une compétition spéciale où la fierté des différents élevages est en jeu, mettant en valeur la qualité de leurs taureaux.")</f>
        <v>Il s'agit d'une compétition spéciale où la fierté des différents élevages est en jeu, mettant en valeur la qualité de leurs taureaux.</v>
      </c>
    </row>
    <row r="64" ht="22.5" customHeight="1">
      <c r="A64" s="4">
        <v>63.0</v>
      </c>
      <c r="B64" s="5" t="s">
        <v>2377</v>
      </c>
      <c r="C64" s="5" t="s">
        <v>2378</v>
      </c>
      <c r="D64" s="5" t="s">
        <v>2379</v>
      </c>
      <c r="E64" s="5" t="s">
        <v>2380</v>
      </c>
      <c r="G64" s="6" t="str">
        <f>IFERROR(__xludf.DUMMYFUNCTION("GOOGLETRANSLATE(A64, ""en"", ""fr"")"),"63")</f>
        <v>63</v>
      </c>
      <c r="H64" s="6" t="str">
        <f>IFERROR(__xludf.DUMMYFUNCTION("GOOGLETRANSLATE(B64, ""en"", ""fr"")"),"Le « Course Camarguaise » moderne et formel a été en grande partie façonné et codifié au cours de quel siècle ?")</f>
        <v>Le « Course Camarguaise » moderne et formel a été en grande partie façonné et codifié au cours de quel siècle ?</v>
      </c>
      <c r="I64" s="6" t="str">
        <f>IFERROR(__xludf.DUMMYFUNCTION("GOOGLETRANSLATE(C64, ""en"", ""fr"")"),"A) Le XVIIIe siècle, B) Le XIXe siècle, C) Le XXe siècle, D) Le XXIe siècle")</f>
        <v>A) Le XVIIIe siècle, B) Le XIXe siècle, C) Le XXe siècle, D) Le XXIe siècle</v>
      </c>
      <c r="J64" s="6" t="str">
        <f>IFERROR(__xludf.DUMMYFUNCTION("GOOGLETRANSLATE(D64, ""en"", ""fr"")"),"C) Le XXe siècle")</f>
        <v>C) Le XXe siècle</v>
      </c>
      <c r="K64" s="6" t="str">
        <f>IFERROR(__xludf.DUMMYFUNCTION("GOOGLETRANSLATE(E64, ""en"", ""fr"")"),"Bien que ses origines soient anciennes, ce sport tel que nous le connaissons aujourd'hui, avec ses règles officielles, ses fédérations et son système de stars, est un produit du XXe siècle.")</f>
        <v>Bien que ses origines soient anciennes, ce sport tel que nous le connaissons aujourd'hui, avec ses règles officielles, ses fédérations et son système de stars, est un produit du XXe siècle.</v>
      </c>
    </row>
    <row r="65" ht="22.5" customHeight="1">
      <c r="A65" s="4">
        <v>64.0</v>
      </c>
      <c r="B65" s="5" t="s">
        <v>2381</v>
      </c>
      <c r="C65" s="5" t="s">
        <v>2382</v>
      </c>
      <c r="D65" s="5" t="s">
        <v>2383</v>
      </c>
      <c r="E65" s="5" t="s">
        <v>2384</v>
      </c>
      <c r="G65" s="6" t="str">
        <f>IFERROR(__xludf.DUMMYFUNCTION("GOOGLETRANSLATE(A65, ""en"", ""fr"")"),"64")</f>
        <v>64</v>
      </c>
      <c r="H65" s="6" t="str">
        <f>IFERROR(__xludf.DUMMYFUNCTION("GOOGLETRANSLATE(B65, ""en"", ""fr"")"),"Qu'est-ce que le «raset de face» ?")</f>
        <v>Qu'est-ce que le «raset de face» ?</v>
      </c>
      <c r="I65" s="6" t="str">
        <f>IFERROR(__xludf.DUMMYFUNCTION("GOOGLETRANSLATE(C65, ""en"", ""fr"")"),"A) Une faute, B) Un raset effectué de côté, C) Une approche frontale dangereuse du taureau, D) Le raset final du match")</f>
        <v>A) Une faute, B) Un raset effectué de côté, C) Une approche frontale dangereuse du taureau, D) Le raset final du match</v>
      </c>
      <c r="J65" s="6" t="str">
        <f>IFERROR(__xludf.DUMMYFUNCTION("GOOGLETRANSLATE(D65, ""en"", ""fr"")"),"C) Une approche dangereuse et frontale du taureau")</f>
        <v>C) Une approche dangereuse et frontale du taureau</v>
      </c>
      <c r="K65" s="6" t="str">
        <f>IFERROR(__xludf.DUMMYFUNCTION("GOOGLETRANSLATE(E65, ""en"", ""fr"")"),"Il s'agit d'une manœuvre particulièrement courageuse mais risquée où le razeteur fonce droit sur le taureau de face.")</f>
        <v>Il s'agit d'une manœuvre particulièrement courageuse mais risquée où le razeteur fonce droit sur le taureau de face.</v>
      </c>
    </row>
    <row r="66" ht="22.5" customHeight="1">
      <c r="A66" s="4">
        <v>65.0</v>
      </c>
      <c r="B66" s="5" t="s">
        <v>2385</v>
      </c>
      <c r="C66" s="5" t="s">
        <v>2386</v>
      </c>
      <c r="D66" s="5" t="s">
        <v>2387</v>
      </c>
      <c r="E66" s="5" t="s">
        <v>2388</v>
      </c>
      <c r="G66" s="6" t="str">
        <f>IFERROR(__xludf.DUMMYFUNCTION("GOOGLETRANSLATE(A66, ""en"", ""fr"")"),"65")</f>
        <v>65</v>
      </c>
      <c r="H66" s="6" t="str">
        <f>IFERROR(__xludf.DUMMYFUNCTION("GOOGLETRANSLATE(B66, ""en"", ""fr"")"),"Le célèbre razéteur Christian Chomel est une légende de ce sport. Pour quoi est-il connu ?")</f>
        <v>Le célèbre razéteur Christian Chomel est une légende de ce sport. Pour quoi est-il connu ?</v>
      </c>
      <c r="I66" s="6" t="str">
        <f>IFERROR(__xludf.DUMMYFUNCTION("GOOGLETRANSLATE(C66, ""en"", ""fr"")"),"A) Il fut le premier à porter un uniforme blanc, B) Il remporta la Cocarde d'Or un nombre record de fois, C) Il inventa le crochet, D) Il était un éleveur de taureaux renommé")</f>
        <v>A) Il fut le premier à porter un uniforme blanc, B) Il remporta la Cocarde d'Or un nombre record de fois, C) Il inventa le crochet, D) Il était un éleveur de taureaux renommé</v>
      </c>
      <c r="J66" s="6" t="str">
        <f>IFERROR(__xludf.DUMMYFUNCTION("GOOGLETRANSLATE(D66, ""en"", ""fr"")"),"B) Il a remporté la Cocarde d'Or un nombre record de fois")</f>
        <v>B) Il a remporté la Cocarde d'Or un nombre record de fois</v>
      </c>
      <c r="K66" s="6" t="str">
        <f>IFERROR(__xludf.DUMMYFUNCTION("GOOGLETRANSLATE(E66, ""en"", ""fr"")"),"Chomel est l'un des plus grands de tous les temps, une figure dominante des années 1980 et 1990 qui a remporté à plusieurs reprises le prix le plus prestigieux.")</f>
        <v>Chomel est l'un des plus grands de tous les temps, une figure dominante des années 1980 et 1990 qui a remporté à plusieurs reprises le prix le plus prestigieux.</v>
      </c>
    </row>
    <row r="67" ht="22.5" customHeight="1">
      <c r="A67" s="4">
        <v>66.0</v>
      </c>
      <c r="B67" s="5" t="s">
        <v>2389</v>
      </c>
      <c r="C67" s="5" t="s">
        <v>2390</v>
      </c>
      <c r="D67" s="5" t="s">
        <v>2391</v>
      </c>
      <c r="E67" s="5" t="s">
        <v>2392</v>
      </c>
      <c r="G67" s="6" t="str">
        <f>IFERROR(__xludf.DUMMYFUNCTION("GOOGLETRANSLATE(A67, ""en"", ""fr"")"),"66")</f>
        <v>66</v>
      </c>
      <c r="H67" s="6" t="str">
        <f>IFERROR(__xludf.DUMMYFUNCTION("GOOGLETRANSLATE(B67, ""en"", ""fr"")"),"Quelle est la principale différence entre l'abrivado et l'encierro espagnol (course de taureaux) ?")</f>
        <v>Quelle est la principale différence entre l'abrivado et l'encierro espagnol (course de taureaux) ?</v>
      </c>
      <c r="I67" s="6" t="str">
        <f>IFERROR(__xludf.DUMMYFUNCTION("GOOGLETRANSLATE(C67, ""en"", ""fr"")"),"A) L'abrivado utilise des chevaux pour guider les taureaux, tandis que l'encierro a des personnes qui courent devant. B) L'abrivado est plus dangereux. C) L'encierro est plus ancien. D) Il n'y a pas de différence.")</f>
        <v>A) L'abrivado utilise des chevaux pour guider les taureaux, tandis que l'encierro a des personnes qui courent devant. B) L'abrivado est plus dangereux. C) L'encierro est plus ancien. D) Il n'y a pas de différence.</v>
      </c>
      <c r="J67" s="6" t="str">
        <f>IFERROR(__xludf.DUMMYFUNCTION("GOOGLETRANSLATE(D67, ""en"", ""fr"")"),"A) L'abrivado utilise des chevaux pour guider les taureaux, tandis que l'encierro fait courir des hommes devant le cortège.")</f>
        <v>A) L'abrivado utilise des chevaux pour guider les taureaux, tandis que l'encierro fait courir des hommes devant le cortège.</v>
      </c>
      <c r="K67" s="6" t="str">
        <f>IFERROR(__xludf.DUMMYFUNCTION("GOOGLETRANSLATE(E67, ""en"", ""fr"")"),"C'est là une différence essentielle. L'abrivado est une démonstration d'équitation, les gardiens formant un V pour contrôler les taureaux, contrairement à la course de style pamplonas.")</f>
        <v>C'est là une différence essentielle. L'abrivado est une démonstration d'équitation, les gardiens formant un V pour contrôler les taureaux, contrairement à la course de style pamplonas.</v>
      </c>
    </row>
    <row r="68" ht="22.5" customHeight="1">
      <c r="A68" s="4">
        <v>67.0</v>
      </c>
      <c r="B68" s="5" t="s">
        <v>2393</v>
      </c>
      <c r="C68" s="5" t="s">
        <v>2290</v>
      </c>
      <c r="D68" s="5" t="s">
        <v>2291</v>
      </c>
      <c r="E68" s="5" t="s">
        <v>2292</v>
      </c>
      <c r="G68" s="6" t="str">
        <f>IFERROR(__xludf.DUMMYFUNCTION("GOOGLETRANSLATE(A68, ""en"", ""fr"")"),"67")</f>
        <v>67</v>
      </c>
      <c r="H68" s="6" t="str">
        <f>IFERROR(__xludf.DUMMYFUNCTION("GOOGLETRANSLATE(B68, ""en"", ""fr"")"),"On loue le taureau pour sa « générosité ». Qu'est-ce que cela signifie ?")</f>
        <v>On loue le taureau pour sa « générosité ». Qu'est-ce que cela signifie ?</v>
      </c>
      <c r="I68" s="6" t="str">
        <f>IFERROR(__xludf.DUMMYFUNCTION("GOOGLETRANSLATE(C68, ""en"", ""fr"")"),"A) C'est un très gros taureau, B) Il charge facilement et participe activement au jeu, C) Il n'attaque pas les razeteurs, D) Il abandonne facilement ses attributs")</f>
        <v>A) C'est un très gros taureau, B) Il charge facilement et participe activement au jeu, C) Il n'attaque pas les razeteurs, D) Il abandonne facilement ses attributs</v>
      </c>
      <c r="J68" s="6" t="str">
        <f>IFERROR(__xludf.DUMMYFUNCTION("GOOGLETRANSLATE(D68, ""en"", ""fr"")"),"B) Il se recharge facilement et participe activement au jeu")</f>
        <v>B) Il se recharge facilement et participe activement au jeu</v>
      </c>
      <c r="K68" s="6" t="str">
        <f>IFERROR(__xludf.DUMMYFUNCTION("GOOGLETRANSLATE(E68, ""en"", ""fr"")"),"Un taureau « généreux » est celui qui offre un grand spectacle en s'engageant honnêtement et courageusement avec les arpenteurs.")</f>
        <v>Un taureau « généreux » est celui qui offre un grand spectacle en s'engageant honnêtement et courageusement avec les arpenteurs.</v>
      </c>
    </row>
    <row r="69" ht="22.5" customHeight="1">
      <c r="A69" s="4">
        <v>68.0</v>
      </c>
      <c r="B69" s="5" t="s">
        <v>2321</v>
      </c>
      <c r="C69" s="5" t="s">
        <v>2322</v>
      </c>
      <c r="D69" s="5" t="s">
        <v>2323</v>
      </c>
      <c r="E69" s="5" t="s">
        <v>2324</v>
      </c>
      <c r="G69" s="6" t="str">
        <f>IFERROR(__xludf.DUMMYFUNCTION("GOOGLETRANSLATE(A69, ""en"", ""fr"")"),"68")</f>
        <v>68</v>
      </c>
      <c r="H69" s="6" t="str">
        <f>IFERROR(__xludf.DUMMYFUNCTION("GOOGLETRANSLATE(B69, ""en"", ""fr"")"),"Quelle est la raison historique de l'étroite relation entre le cheval et le taureau de Camargue ?")</f>
        <v>Quelle est la raison historique de l'étroite relation entre le cheval et le taureau de Camargue ?</v>
      </c>
      <c r="I69" s="6" t="str">
        <f>IFERROR(__xludf.DUMMYFUNCTION("GOOGLETRANSLATE(C69, ""en"", ""fr"")"),"A) Ce sont des ennemis naturels. B) Les chevaux semi-sauvages sont utilisés par les gardiens pour gérer les troupeaux de taureaux semi-sauvages. C) Ils appartiennent à la même espèce. D) Ils ont été élevés ensemble.")</f>
        <v>A) Ce sont des ennemis naturels. B) Les chevaux semi-sauvages sont utilisés par les gardiens pour gérer les troupeaux de taureaux semi-sauvages. C) Ils appartiennent à la même espèce. D) Ils ont été élevés ensemble.</v>
      </c>
      <c r="J69" s="6" t="str">
        <f>IFERROR(__xludf.DUMMYFUNCTION("GOOGLETRANSLATE(D69, ""en"", ""fr"")"),"B) Les chevaux semi-sauvages sont utilisés par les gardiens pour gérer les troupeaux de taureaux semi-sauvages.")</f>
        <v>B) Les chevaux semi-sauvages sont utilisés par les gardiens pour gérer les troupeaux de taureaux semi-sauvages.</v>
      </c>
      <c r="K69" s="6" t="str">
        <f>IFERROR(__xludf.DUMMYFUNCTION("GOOGLETRANSLATE(E69, ""en"", ""fr"")"),"Toute cette culture repose sur le partenariat entre le gardien et son cheval, travaillant ensemble pour conduire les taureaux à travers les marais.")</f>
        <v>Toute cette culture repose sur le partenariat entre le gardien et son cheval, travaillant ensemble pour conduire les taureaux à travers les marais.</v>
      </c>
    </row>
    <row r="70" ht="22.5" customHeight="1">
      <c r="A70" s="4">
        <v>69.0</v>
      </c>
      <c r="B70" s="5" t="s">
        <v>2325</v>
      </c>
      <c r="C70" s="5" t="s">
        <v>2326</v>
      </c>
      <c r="D70" s="5" t="s">
        <v>2327</v>
      </c>
      <c r="E70" s="5" t="s">
        <v>2328</v>
      </c>
      <c r="G70" s="6" t="str">
        <f>IFERROR(__xludf.DUMMYFUNCTION("GOOGLETRANSLATE(A70, ""en"", ""fr"")"),"69")</f>
        <v>69</v>
      </c>
      <c r="H70" s="6" t="str">
        <f>IFERROR(__xludf.DUMMYFUNCTION("GOOGLETRANSLATE(B70, ""en"", ""fr"")"),"Que signifie le fait qu'un taureau devienne une « star » ?")</f>
        <v>Que signifie le fait qu'un taureau devienne une « star » ?</v>
      </c>
      <c r="I70" s="6" t="str">
        <f>IFERROR(__xludf.DUMMYFUNCTION("GOOGLETRANSLATE(C70, ""en"", ""fr"")"),"A) Ses attributs lui valent d'attirer un public plus nombreux et des prix plus élevés. B) Il est retiré du sport. C) Il est vendu à un zoo. D) Il suit un régime alimentaire spécial.")</f>
        <v>A) Ses attributs lui valent d'attirer un public plus nombreux et des prix plus élevés. B) Il est retiré du sport. C) Il est vendu à un zoo. D) Il suit un régime alimentaire spécial.</v>
      </c>
      <c r="J70" s="6" t="str">
        <f>IFERROR(__xludf.DUMMYFUNCTION("GOOGLETRANSLATE(D70, ""en"", ""fr"")"),"A) Ses attributs lui permettent d'attirer un public plus nombreux et d'offrir des prix plus élevés.")</f>
        <v>A) Ses attributs lui permettent d'attirer un public plus nombreux et d'offrir des prix plus élevés.</v>
      </c>
      <c r="K70" s="6" t="str">
        <f>IFERROR(__xludf.DUMMYFUNCTION("GOOGLETRANSLATE(E70, ""en"", ""fr"")"),"La renommée d'un grand taureau attire les spectateurs. Les primes offertes pour ses performances augmentent considérablement à mesure que sa réputation grandit.")</f>
        <v>La renommée d'un grand taureau attire les spectateurs. Les primes offertes pour ses performances augmentent considérablement à mesure que sa réputation grandit.</v>
      </c>
    </row>
    <row r="71" ht="22.5" customHeight="1">
      <c r="A71" s="4">
        <v>70.0</v>
      </c>
      <c r="B71" s="5" t="s">
        <v>2301</v>
      </c>
      <c r="C71" s="5" t="s">
        <v>2302</v>
      </c>
      <c r="D71" s="5" t="s">
        <v>2303</v>
      </c>
      <c r="E71" s="5" t="s">
        <v>2304</v>
      </c>
      <c r="G71" s="6" t="str">
        <f>IFERROR(__xludf.DUMMYFUNCTION("GOOGLETRANSLATE(A71, ""en"", ""fr"")"),"70")</f>
        <v>70</v>
      </c>
      <c r="H71" s="6" t="str">
        <f>IFERROR(__xludf.DUMMYFUNCTION("GOOGLETRANSLATE(B71, ""en"", ""fr"")"),"Qu'est-ce que le « Musée des Cultures Taurines » à Nîmes ?")</f>
        <v>Qu'est-ce que le « Musée des Cultures Taurines » à Nîmes ?</v>
      </c>
      <c r="I71" s="6" t="str">
        <f>IFERROR(__xludf.DUMMYFUNCTION("GOOGLETRANSLATE(C71, ""en"", ""fr"")"),"A) Un musée consacré exclusivement à la tauromachie espagnole, B) Un musée retraçant l'histoire de toutes les formes de jeux taurins de la région, y compris la Course Camarguaise, C) Un musée d'art moderne, D) Un musée d'histoire naturelle")</f>
        <v>A) Un musée consacré exclusivement à la tauromachie espagnole, B) Un musée retraçant l'histoire de toutes les formes de jeux taurins de la région, y compris la Course Camarguaise, C) Un musée d'art moderne, D) Un musée d'histoire naturelle</v>
      </c>
      <c r="J71" s="6" t="str">
        <f>IFERROR(__xludf.DUMMYFUNCTION("GOOGLETRANSLATE(D71, ""en"", ""fr"")"),"B) Un musée qui documente l'histoire de toutes les formes de jeux taurins dans la région, y compris la Course Camarguaise")</f>
        <v>B) Un musée qui documente l'histoire de toutes les formes de jeux taurins dans la région, y compris la Course Camarguaise</v>
      </c>
      <c r="K71" s="6" t="str">
        <f>IFERROR(__xludf.DUMMYFUNCTION("GOOGLETRANSLATE(E71, ""en"", ""fr"")"),"Ce musée est une institution clé pour l'histoire de ce sport, avec des expositions sur la corrida espagnole et la course camarguaise locale.")</f>
        <v>Ce musée est une institution clé pour l'histoire de ce sport, avec des expositions sur la corrida espagnole et la course camarguaise locale.</v>
      </c>
    </row>
    <row r="72" ht="22.5" customHeight="1">
      <c r="A72" s="4">
        <v>71.0</v>
      </c>
      <c r="B72" s="5" t="s">
        <v>2309</v>
      </c>
      <c r="C72" s="5" t="s">
        <v>2310</v>
      </c>
      <c r="D72" s="5" t="s">
        <v>2311</v>
      </c>
      <c r="E72" s="5" t="s">
        <v>2312</v>
      </c>
      <c r="G72" s="6" t="str">
        <f>IFERROR(__xludf.DUMMYFUNCTION("GOOGLETRANSLATE(A72, ""en"", ""fr"")"),"71")</f>
        <v>71</v>
      </c>
      <c r="H72" s="6" t="str">
        <f>IFERROR(__xludf.DUMMYFUNCTION("GOOGLETRANSLATE(B72, ""en"", ""fr"")"),"Qui était « Sanglier », une figure célèbre de l'histoire de ce sport ?")</f>
        <v>Qui était « Sanglier », une figure célèbre de l'histoire de ce sport ?</v>
      </c>
      <c r="I72" s="6" t="str">
        <f>IFERROR(__xludf.DUMMYFUNCTION("GOOGLETRANSLATE(C72, ""en"", ""fr"")"),"A) Un razeteur légendaire, B) Un taureau légendaire, C) Un célèbre manadier, D) Un fondateur de la fédération")</f>
        <v>A) Un razeteur légendaire, B) Un taureau légendaire, C) Un célèbre manadier, D) Un fondateur de la fédération</v>
      </c>
      <c r="J72" s="6" t="str">
        <f>IFERROR(__xludf.DUMMYFUNCTION("GOOGLETRANSLATE(D72, ""en"", ""fr"")"),"B) Un taureau légendaire")</f>
        <v>B) Un taureau légendaire</v>
      </c>
      <c r="K72" s="6" t="str">
        <f>IFERROR(__xludf.DUMMYFUNCTION("GOOGLETRANSLATE(E72, ""en"", ""fr"")"),"Sanglier (« Sanglier ») était l'un des cocardiers les plus célèbres et les plus reconnus du milieu du XXe siècle.")</f>
        <v>Sanglier (« Sanglier ») était l'un des cocardiers les plus célèbres et les plus reconnus du milieu du XXe siècle.</v>
      </c>
    </row>
    <row r="73" ht="22.5" customHeight="1">
      <c r="A73" s="4">
        <v>72.0</v>
      </c>
      <c r="B73" s="5" t="s">
        <v>2313</v>
      </c>
      <c r="C73" s="5" t="s">
        <v>2314</v>
      </c>
      <c r="D73" s="5" t="s">
        <v>2315</v>
      </c>
      <c r="E73" s="5" t="s">
        <v>2316</v>
      </c>
      <c r="G73" s="6" t="str">
        <f>IFERROR(__xludf.DUMMYFUNCTION("GOOGLETRANSLATE(A73, ""en"", ""fr"")"),"72")</f>
        <v>72</v>
      </c>
      <c r="H73" s="6" t="str">
        <f>IFERROR(__xludf.DUMMYFUNCTION("GOOGLETRANSLATE(B73, ""en"", ""fr"")"),"Au début du XXe siècle, avant la standardisation du crochet, comment les razeteurs retiraient-ils parfois les attributs ?")</f>
        <v>Au début du XXe siècle, avant la standardisation du crochet, comment les razeteurs retiraient-ils parfois les attributs ?</v>
      </c>
      <c r="I73" s="6" t="str">
        <f>IFERROR(__xludf.DUMMYFUNCTION("GOOGLETRANSLATE(C73, ""en"", ""fr"")"),"A) À mains nues, B) Avec un petit couteau, C) Avec un peigne, D) Avec leurs dents")</f>
        <v>A) À mains nues, B) Avec un petit couteau, C) Avec un peigne, D) Avec leurs dents</v>
      </c>
      <c r="J73" s="6" t="str">
        <f>IFERROR(__xludf.DUMMYFUNCTION("GOOGLETRANSLATE(D73, ""en"", ""fr"")"),"A) À mains nues")</f>
        <v>A) À mains nues</v>
      </c>
      <c r="K73" s="6" t="str">
        <f>IFERROR(__xludf.DUMMYFUNCTION("GOOGLETRANSLATE(E73, ""en"", ""fr"")"),"Les premiers razeteurs, connus sous le nom de levants (leveurs), tentaient d'arracher la cocarde à mains nues, une technique beaucoup plus dangereuse.")</f>
        <v>Les premiers razeteurs, connus sous le nom de levants (leveurs), tentaient d'arracher la cocarde à mains nues, une technique beaucoup plus dangereuse.</v>
      </c>
    </row>
    <row r="74" ht="22.5" customHeight="1">
      <c r="A74" s="4">
        <v>73.0</v>
      </c>
      <c r="B74" s="5" t="s">
        <v>2317</v>
      </c>
      <c r="C74" s="5" t="s">
        <v>2318</v>
      </c>
      <c r="D74" s="5" t="s">
        <v>2319</v>
      </c>
      <c r="E74" s="5" t="s">
        <v>2320</v>
      </c>
      <c r="G74" s="6" t="str">
        <f>IFERROR(__xludf.DUMMYFUNCTION("GOOGLETRANSLATE(A74, ""en"", ""fr"")"),"73")</f>
        <v>73</v>
      </c>
      <c r="H74" s="6" t="str">
        <f>IFERROR(__xludf.DUMMYFUNCTION("GOOGLETRANSLATE(B74, ""en"", ""fr"")"),"Qu'est-ce qu'un ex-voto de fête ?")</f>
        <v>Qu'est-ce qu'un ex-voto de fête ?</v>
      </c>
      <c r="I74" s="6" t="str">
        <f>IFERROR(__xludf.DUMMYFUNCTION("GOOGLETRANSLATE(C74, ""en"", ""fr"")"),"A) Un jour férié national, B) Une fête locale en l'honneur du saint patron d'un village, C) Un festival de musique, D) Un festival gastronomique")</f>
        <v>A) Un jour férié national, B) Une fête locale en l'honneur du saint patron d'un village, C) Un festival de musique, D) Un festival gastronomique</v>
      </c>
      <c r="J74" s="6" t="str">
        <f>IFERROR(__xludf.DUMMYFUNCTION("GOOGLETRANSLATE(D74, ""en"", ""fr"")"),"B) Une fête locale en l'honneur du saint patron du village")</f>
        <v>B) Une fête locale en l'honneur du saint patron du village</v>
      </c>
      <c r="K74" s="6" t="str">
        <f>IFERROR(__xludf.DUMMYFUNCTION("GOOGLETRANSLATE(E74, ""en"", ""fr"")"),"La Course Camarguaise est l'événement central de la fête votive annuelle dans presque tous les villages de sa région d'origine.")</f>
        <v>La Course Camarguaise est l'événement central de la fête votive annuelle dans presque tous les villages de sa région d'origine.</v>
      </c>
    </row>
    <row r="75" ht="22.5" customHeight="1">
      <c r="A75" s="4">
        <v>74.0</v>
      </c>
      <c r="B75" s="5" t="s">
        <v>951</v>
      </c>
      <c r="C75" s="5" t="s">
        <v>2394</v>
      </c>
      <c r="D75" s="5" t="s">
        <v>2395</v>
      </c>
      <c r="E75" s="5" t="s">
        <v>2396</v>
      </c>
      <c r="G75" s="6" t="str">
        <f>IFERROR(__xludf.DUMMYFUNCTION("GOOGLETRANSLATE(A75, ""en"", ""fr"")"),"74")</f>
        <v>74</v>
      </c>
      <c r="H75" s="6" t="str">
        <f>IFERROR(__xludf.DUMMYFUNCTION("GOOGLETRANSLATE(B75, ""en"", ""fr"")"),"Les archives historiques de quelle ville française possèdent les plus anciens témoignages écrits de ce jeu ?")</f>
        <v>Les archives historiques de quelle ville française possèdent les plus anciens témoignages écrits de ce jeu ?</v>
      </c>
      <c r="I75" s="6" t="str">
        <f>IFERROR(__xludf.DUMMYFUNCTION("GOOGLETRANSLATE(C75, ""en"", ""fr"")"),"A) Paris, B) Sète, C) Lyon, D) Arles")</f>
        <v>A) Paris, B) Sète, C) Lyon, D) Arles</v>
      </c>
      <c r="J75" s="6" t="str">
        <f>IFERROR(__xludf.DUMMYFUNCTION("GOOGLETRANSLATE(D75, ""en"", ""fr"")"),"D) Arles")</f>
        <v>D) Arles</v>
      </c>
      <c r="K75" s="6" t="str">
        <f>IFERROR(__xludf.DUMMYFUNCTION("GOOGLETRANSLATE(E75, ""en"", ""fr"")"),"Le document de 1402 provenant d'Arles est le plus ancien témoignage écrit connu d'un jeu de taureaux dans la région.")</f>
        <v>Le document de 1402 provenant d'Arles est le plus ancien témoignage écrit connu d'un jeu de taureaux dans la région.</v>
      </c>
    </row>
    <row r="76" ht="22.5" customHeight="1">
      <c r="A76" s="4">
        <v>75.0</v>
      </c>
      <c r="B76" s="5" t="s">
        <v>2285</v>
      </c>
      <c r="C76" s="5" t="s">
        <v>2286</v>
      </c>
      <c r="D76" s="5" t="s">
        <v>2287</v>
      </c>
      <c r="E76" s="5" t="s">
        <v>2397</v>
      </c>
      <c r="G76" s="6" t="str">
        <f>IFERROR(__xludf.DUMMYFUNCTION("GOOGLETRANSLATE(A76, ""en"", ""fr"")"),"75")</f>
        <v>75</v>
      </c>
      <c r="H76" s="6" t="str">
        <f>IFERROR(__xludf.DUMMYFUNCTION("GOOGLETRANSLATE(B76, ""en"", ""fr"")"),"Le développement du Course Camarguaise est un exemple de quel processus culturel ?")</f>
        <v>Le développement du Course Camarguaise est un exemple de quel processus culturel ?</v>
      </c>
      <c r="I76" s="6" t="str">
        <f>IFERROR(__xludf.DUMMYFUNCTION("GOOGLETRANSLATE(C76, ""en"", ""fr"")"),"A) La ritualisation d'une pratique agricole en un sport moderne, B) Le déclin d'une tradition, C) L'invention d'un nouveau sport, D) La commercialisation d'un festival")</f>
        <v>A) La ritualisation d'une pratique agricole en un sport moderne, B) Le déclin d'une tradition, C) L'invention d'un nouveau sport, D) La commercialisation d'un festival</v>
      </c>
      <c r="J76" s="6" t="str">
        <f>IFERROR(__xludf.DUMMYFUNCTION("GOOGLETRANSLATE(D76, ""en"", ""fr"")"),"A) La ritualisation d'une pratique agricole en un sport moderne")</f>
        <v>A) La ritualisation d'une pratique agricole en un sport moderne</v>
      </c>
      <c r="K76" s="6" t="str">
        <f>IFERROR(__xludf.DUMMYFUNCTION("GOOGLETRANSLATE(E76, ""en"", ""fr"")"),"L'histoire de ce sport montre une évolution claire, passant du travail pratique de la ferrade (marquage) à un rituel sportif complexe et symbolique.")</f>
        <v>L'histoire de ce sport montre une évolution claire, passant du travail pratique de la ferrade (marquage) à un rituel sportif complexe et symbolique.</v>
      </c>
    </row>
    <row r="77" ht="22.5" customHeight="1">
      <c r="A77" s="4">
        <v>76.0</v>
      </c>
      <c r="B77" s="5" t="s">
        <v>2293</v>
      </c>
      <c r="C77" s="5" t="s">
        <v>2294</v>
      </c>
      <c r="D77" s="5" t="s">
        <v>2295</v>
      </c>
      <c r="E77" s="5" t="s">
        <v>2296</v>
      </c>
      <c r="G77" s="6" t="str">
        <f>IFERROR(__xludf.DUMMYFUNCTION("GOOGLETRANSLATE(A77, ""en"", ""fr"")"),"76")</f>
        <v>76</v>
      </c>
      <c r="H77" s="6" t="str">
        <f>IFERROR(__xludf.DUMMYFUNCTION("GOOGLETRANSLATE(B77, ""en"", ""fr"")"),"Quel est le rôle historique de la « Croix Camarguaise » ?")</f>
        <v>Quel est le rôle historique de la « Croix Camarguaise » ?</v>
      </c>
      <c r="I77" s="6" t="str">
        <f>IFERROR(__xludf.DUMMYFUNCTION("GOOGLETRANSLATE(C77, ""en"", ""fr"")"),"A) C'est un symbole religieux ancien, B) Il a été créé au XXe siècle pour devenir un symbole moderne de l'identité camarguaise, C) C'est la marque d'un éleveur de taureaux renommé, D) C'est le logo de la FFCC")</f>
        <v>A) C'est un symbole religieux ancien, B) Il a été créé au XXe siècle pour devenir un symbole moderne de l'identité camarguaise, C) C'est la marque d'un éleveur de taureaux renommé, D) C'est le logo de la FFCC</v>
      </c>
      <c r="J77" s="6" t="str">
        <f>IFERROR(__xludf.DUMMYFUNCTION("GOOGLETRANSLATE(D77, ""en"", ""fr"")"),"B) Il a été créé au XXe siècle pour être un symbole moderne de l'identité camarguaise")</f>
        <v>B) Il a été créé au XXe siècle pour être un symbole moderne de l'identité camarguaise</v>
      </c>
      <c r="K77" s="6" t="str">
        <f>IFERROR(__xludf.DUMMYFUNCTION("GOOGLETRANSLATE(E77, ""en"", ""fr"")"),"La croix, combinant les symboles de la foi, de l'espérance et de la charité (le trident des Gardiens), a été conçue en 1926 à la demande du marquis de Baroncelli.")</f>
        <v>La croix, combinant les symboles de la foi, de l'espérance et de la charité (le trident des Gardiens), a été conçue en 1926 à la demande du marquis de Baroncelli.</v>
      </c>
    </row>
    <row r="78" ht="22.5" customHeight="1">
      <c r="A78" s="4">
        <v>77.0</v>
      </c>
      <c r="B78" s="5" t="s">
        <v>2341</v>
      </c>
      <c r="C78" s="5" t="s">
        <v>2342</v>
      </c>
      <c r="D78" s="5" t="s">
        <v>2398</v>
      </c>
      <c r="E78" s="5" t="s">
        <v>2344</v>
      </c>
      <c r="G78" s="6" t="str">
        <f>IFERROR(__xludf.DUMMYFUNCTION("GOOGLETRANSLATE(A78, ""en"", ""fr"")"),"77")</f>
        <v>77</v>
      </c>
      <c r="H78" s="6" t="str">
        <f>IFERROR(__xludf.DUMMYFUNCTION("GOOGLETRANSLATE(B78, ""en"", ""fr"")"),"Un taureau est retiré de l'arène et mis au pâturage. Comment cet événement est-il généralement commémoré ?")</f>
        <v>Un taureau est retiré de l'arène et mis au pâturage. Comment cet événement est-il généralement commémoré ?</v>
      </c>
      <c r="I78" s="6" t="str">
        <f>IFERROR(__xludf.DUMMYFUNCTION("GOOGLETRANSLATE(C78, ""en"", ""fr"")"),"A) Avec une cérémonie discrète, B) Avec une course finale « jubilé » ou d'adieu en son honneur, C) Sans marquage, D) Avec un marquage final")</f>
        <v>A) Avec une cérémonie discrète, B) Avec une course finale « jubilé » ou d'adieu en son honneur, C) Sans marquage, D) Avec un marquage final</v>
      </c>
      <c r="J78" s="6" t="str">
        <f>IFERROR(__xludf.DUMMYFUNCTION("GOOGLETRANSLATE(D78, ""en"", ""fr"")"),"B) Avec une course finale « jubilé » ou d'adieu en son honneur")</f>
        <v>B) Avec une course finale « jubilé » ou d'adieu en son honneur</v>
      </c>
      <c r="K78" s="6" t="str">
        <f>IFERROR(__xludf.DUMMYFUNCTION("GOOGLETRANSLATE(E78, ""en"", ""fr"")"),"Un grand cocardieur se voit offrir une tournée d'adieu officielle et festive dans les arènes où il est devenu célèbre, applaudi par le public pour sa carrière.")</f>
        <v>Un grand cocardieur se voit offrir une tournée d'adieu officielle et festive dans les arènes où il est devenu célèbre, applaudi par le public pour sa carrière.</v>
      </c>
    </row>
    <row r="79" ht="22.5" customHeight="1">
      <c r="A79" s="4">
        <v>78.0</v>
      </c>
      <c r="B79" s="5" t="s">
        <v>2349</v>
      </c>
      <c r="C79" s="5" t="s">
        <v>2350</v>
      </c>
      <c r="D79" s="5" t="s">
        <v>2351</v>
      </c>
      <c r="E79" s="5" t="s">
        <v>2399</v>
      </c>
      <c r="G79" s="6" t="str">
        <f>IFERROR(__xludf.DUMMYFUNCTION("GOOGLETRANSLATE(A79, ""en"", ""fr"")"),"78")</f>
        <v>78</v>
      </c>
      <c r="H79" s="6" t="str">
        <f>IFERROR(__xludf.DUMMYFUNCTION("GOOGLETRANSLATE(B79, ""en"", ""fr"")"),"Un razeteur est appelé « gaucher ». Quel est son principal avantage ?")</f>
        <v>Un razeteur est appelé « gaucher ». Quel est son principal avantage ?</v>
      </c>
      <c r="I79" s="6" t="str">
        <f>IFERROR(__xludf.DUMMYFUNCTION("GOOGLETRANSLATE(C79, ""en"", ""fr"")"),"A) Ils sont plus forts, B) Ils approchent le taureau sous un angle inhabituel, ce qui peut déstabiliser sa défense, C) Ils sont plus rapides, D) Ils ont un meilleur équipement")</f>
        <v>A) Ils sont plus forts, B) Ils approchent le taureau sous un angle inhabituel, ce qui peut déstabiliser sa défense, C) Ils sont plus rapides, D) Ils ont un meilleur équipement</v>
      </c>
      <c r="J79" s="6" t="str">
        <f>IFERROR(__xludf.DUMMYFUNCTION("GOOGLETRANSLATE(D79, ""en"", ""fr"")"),"B) Ils approchent le taureau sous un angle inhabituel, ce qui peut désorienter sa défense.")</f>
        <v>B) Ils approchent le taureau sous un angle inhabituel, ce qui peut désorienter sa défense.</v>
      </c>
      <c r="K79" s="6" t="str">
        <f>IFERROR(__xludf.DUMMYFUNCTION("GOOGLETRANSLATE(E79, ""en"", ""fr"")"),"Un gaucher représente un défi différent et souvent plus difficile pour le taureau, qui est plus habitué aux razeteurs droitiers.")</f>
        <v>Un gaucher représente un défi différent et souvent plus difficile pour le taureau, qui est plus habitué aux razeteurs droitiers.</v>
      </c>
    </row>
    <row r="80" ht="22.5" customHeight="1">
      <c r="A80" s="4">
        <v>79.0</v>
      </c>
      <c r="B80" s="5" t="s">
        <v>2353</v>
      </c>
      <c r="C80" s="5" t="s">
        <v>2354</v>
      </c>
      <c r="D80" s="5" t="s">
        <v>2355</v>
      </c>
      <c r="E80" s="5" t="s">
        <v>2356</v>
      </c>
      <c r="G80" s="6" t="str">
        <f>IFERROR(__xludf.DUMMYFUNCTION("GOOGLETRANSLATE(A80, ""en"", ""fr"")"),"79")</f>
        <v>79</v>
      </c>
      <c r="H80" s="6" t="str">
        <f>IFERROR(__xludf.DUMMYFUNCTION("GOOGLETRANSLATE(B80, ""en"", ""fr"")"),"Qu'est-ce que le « Trophée de l'Avenir » ?")</f>
        <v>Qu'est-ce que le « Trophée de l'Avenir » ?</v>
      </c>
      <c r="I80" s="6" t="str">
        <f>IFERROR(__xludf.DUMMYFUNCTION("GOOGLETRANSLATE(C80, ""en"", ""fr"")"),"A) Le championnat principal pour les éleveurs de taureaux d'élite, B) Le championnat pour les jeunes éleveurs prometteurs, C) Un prix pour l'éleveur le plus âgé, D) Un prix pour le meilleur éleveur de taureaux")</f>
        <v>A) Le championnat principal pour les éleveurs de taureaux d'élite, B) Le championnat pour les jeunes éleveurs prometteurs, C) Un prix pour l'éleveur le plus âgé, D) Un prix pour le meilleur éleveur de taureaux</v>
      </c>
      <c r="J80" s="6" t="str">
        <f>IFERROR(__xludf.DUMMYFUNCTION("GOOGLETRANSLATE(D80, ""en"", ""fr"")"),"B) Le championnat des jeunes razeteurs prometteurs")</f>
        <v>B) Le championnat des jeunes razeteurs prometteurs</v>
      </c>
      <c r="K80" s="6" t="str">
        <f>IFERROR(__xludf.DUMMYFUNCTION("GOOGLETRANSLATE(E80, ""en"", ""fr"")"),"Il s'agit de la compétition majeure pour la prochaine génération de stars, un tremplin vers l'élite du « Trophée des As ».")</f>
        <v>Il s'agit de la compétition majeure pour la prochaine génération de stars, un tremplin vers l'élite du « Trophée des As ».</v>
      </c>
    </row>
    <row r="81" ht="22.5" customHeight="1">
      <c r="A81" s="4">
        <v>80.0</v>
      </c>
      <c r="B81" s="5" t="s">
        <v>2357</v>
      </c>
      <c r="C81" s="5" t="s">
        <v>2358</v>
      </c>
      <c r="D81" s="5" t="s">
        <v>2359</v>
      </c>
      <c r="E81" s="5" t="s">
        <v>2360</v>
      </c>
      <c r="G81" s="6" t="str">
        <f>IFERROR(__xludf.DUMMYFUNCTION("GOOGLETRANSLATE(A81, ""en"", ""fr"")"),"80")</f>
        <v>80</v>
      </c>
      <c r="H81" s="6" t="str">
        <f>IFERROR(__xludf.DUMMYFUNCTION("GOOGLETRANSLATE(B81, ""en"", ""fr"")"),"On loue le taureau pour son « sens de la barrière ». Qu'est-ce que cela signifie ?")</f>
        <v>On loue le taureau pour son « sens de la barrière ». Qu'est-ce que cela signifie ?</v>
      </c>
      <c r="I81" s="6" t="str">
        <f>IFERROR(__xludf.DUMMYFUNCTION("GOOGLETRANSLATE(C81, ""en"", ""fr"")"),"A) Il a peur de la barrière, B) Il utilise intelligemment la barrière pour coincer un razeteur, C) Il essaie souvent de sauter par-dessus la barrière, D) Il reste au centre de l'arène")</f>
        <v>A) Il a peur de la barrière, B) Il utilise intelligemment la barrière pour coincer un razeteur, C) Il essaie souvent de sauter par-dessus la barrière, D) Il reste au centre de l'arène</v>
      </c>
      <c r="J81" s="6" t="str">
        <f>IFERROR(__xludf.DUMMYFUNCTION("GOOGLETRANSLATE(D81, ""en"", ""fr"")"),"B) Il utilise intelligemment la barrière pour coincer un razeteur")</f>
        <v>B) Il utilise intelligemment la barrière pour coincer un razeteur</v>
      </c>
      <c r="K81" s="6" t="str">
        <f>IFERROR(__xludf.DUMMYFUNCTION("GOOGLETRANSLATE(E81, ""en"", ""fr"")"),"Un taureau intelligent apprend à utiliser la géographie de l'arène, coinçant l'homme contre le mur pour l'empêcher de s'échapper ou de prendre un avantage.")</f>
        <v>Un taureau intelligent apprend à utiliser la géographie de l'arène, coinçant l'homme contre le mur pour l'empêcher de s'échapper ou de prendre un avantage.</v>
      </c>
    </row>
    <row r="82" ht="22.5" customHeight="1">
      <c r="A82" s="4">
        <v>81.0</v>
      </c>
      <c r="B82" s="5" t="s">
        <v>2361</v>
      </c>
      <c r="C82" s="5" t="s">
        <v>2362</v>
      </c>
      <c r="D82" s="5" t="s">
        <v>2363</v>
      </c>
      <c r="E82" s="5" t="s">
        <v>2364</v>
      </c>
      <c r="G82" s="6" t="str">
        <f>IFERROR(__xludf.DUMMYFUNCTION("GOOGLETRANSLATE(A82, ""en"", ""fr"")"),"81")</f>
        <v>81</v>
      </c>
      <c r="H82" s="6" t="str">
        <f>IFERROR(__xludf.DUMMYFUNCTION("GOOGLETRANSLATE(B82, ""en"", ""fr"")"),"Quelle est l’origine historique des ficelles (chaînes) en tant qu’attribut ?")</f>
        <v>Quelle est l’origine historique des ficelles (chaînes) en tant qu’attribut ?</v>
      </c>
      <c r="I82" s="6" t="str">
        <f>IFERROR(__xludf.DUMMYFUNCTION("GOOGLETRANSLATE(C82, ""en"", ""fr"")"),"A) Ils constituaient le premier attribut, B) Ils ont été ajoutés plus tard pour rendre le jeu plus difficile et augmenter le nombre de prix, C) Ils sont purement décoratifs, D) Ils servent à attacher la cocarde")</f>
        <v>A) Ils constituaient le premier attribut, B) Ils ont été ajoutés plus tard pour rendre le jeu plus difficile et augmenter le nombre de prix, C) Ils sont purement décoratifs, D) Ils servent à attacher la cocarde</v>
      </c>
      <c r="J82" s="6" t="str">
        <f>IFERROR(__xludf.DUMMYFUNCTION("GOOGLETRANSLATE(D82, ""en"", ""fr"")"),"B) Elles ont été ajoutées ultérieurement pour rendre le jeu plus difficile et augmenter le nombre de prix.")</f>
        <v>B) Elles ont été ajoutées ultérieurement pour rendre le jeu plus difficile et augmenter le nombre de prix.</v>
      </c>
      <c r="K82" s="6" t="str">
        <f>IFERROR(__xludf.DUMMYFUNCTION("GOOGLETRANSLATE(E82, ""en"", ""fr"")"),"Les cordes, enroulées autour de la base du cor, ont été introduites après la cocarde pour ajouter une difficulté supplémentaire et davantage de possibilités de marquer des points.")</f>
        <v>Les cordes, enroulées autour de la base du cor, ont été introduites après la cocarde pour ajouter une difficulté supplémentaire et davantage de possibilités de marquer des points.</v>
      </c>
    </row>
    <row r="83" ht="22.5" customHeight="1">
      <c r="A83" s="4">
        <v>82.0</v>
      </c>
      <c r="B83" s="5" t="s">
        <v>2365</v>
      </c>
      <c r="C83" s="5" t="s">
        <v>2366</v>
      </c>
      <c r="D83" s="5" t="s">
        <v>2367</v>
      </c>
      <c r="E83" s="5" t="s">
        <v>2368</v>
      </c>
      <c r="G83" s="6" t="str">
        <f>IFERROR(__xludf.DUMMYFUNCTION("GOOGLETRANSLATE(A83, ""en"", ""fr"")"),"82")</f>
        <v>82</v>
      </c>
      <c r="H83" s="6" t="str">
        <f>IFERROR(__xludf.DUMMYFUNCTION("GOOGLETRANSLATE(B83, ""en"", ""fr"")"),"Que signifie le terme « Course libre », l’ancien nom de ce sport, quant à ses origines ?")</f>
        <v>Que signifie le terme « Course libre », l’ancien nom de ce sport, quant à ses origines ?</v>
      </c>
      <c r="I83" s="6" t="str">
        <f>IFERROR(__xludf.DUMMYFUNCTION("GOOGLETRANSLATE(C83, ""en"", ""fr"")"),"A) Que les taureaux étaient libres, B) Que l'événement était gratuit, C) Qu'il s'agissait d'un concours informel avec peu de règles, ouvert à tout jeune homme courageux, D) Que les abatteurs pouvaient utiliser n'importe quelle arme")</f>
        <v>A) Que les taureaux étaient libres, B) Que l'événement était gratuit, C) Qu'il s'agissait d'un concours informel avec peu de règles, ouvert à tout jeune homme courageux, D) Que les abatteurs pouvaient utiliser n'importe quelle arme</v>
      </c>
      <c r="J83" s="6" t="str">
        <f>IFERROR(__xludf.DUMMYFUNCTION("GOOGLETRANSLATE(D83, ""en"", ""fr"")"),"C) Qu'il s'agissait d'un concours informel avec peu de règles, ouvert à tout jeune homme courageux")</f>
        <v>C) Qu'il s'agissait d'un concours informel avec peu de règles, ouvert à tout jeune homme courageux</v>
      </c>
      <c r="K83" s="6" t="str">
        <f>IFERROR(__xludf.DUMMYFUNCTION("GOOGLETRANSLATE(E83, ""en"", ""fr"")"),"Son nom reflète ses origines, à savoir une épreuve de courage spontanée et non réglementée sur la place du village, avant la formation de la fédération moderne.")</f>
        <v>Son nom reflète ses origines, à savoir une épreuve de courage spontanée et non réglementée sur la place du village, avant la formation de la fédération moderne.</v>
      </c>
    </row>
    <row r="84" ht="22.5" customHeight="1">
      <c r="A84" s="4">
        <v>83.0</v>
      </c>
      <c r="B84" s="5" t="s">
        <v>2373</v>
      </c>
      <c r="C84" s="5" t="s">
        <v>2374</v>
      </c>
      <c r="D84" s="5" t="s">
        <v>2375</v>
      </c>
      <c r="E84" s="5" t="s">
        <v>2376</v>
      </c>
      <c r="G84" s="6" t="str">
        <f>IFERROR(__xludf.DUMMYFUNCTION("GOOGLETRANSLATE(A84, ""en"", ""fr"")"),"83")</f>
        <v>83</v>
      </c>
      <c r="H84" s="6" t="str">
        <f>IFERROR(__xludf.DUMMYFUNCTION("GOOGLETRANSLATE(B84, ""en"", ""fr"")"),"Qu'est-ce que la « Coupe des manadiers » (Breeders' Cup) ?")</f>
        <v>Qu'est-ce que la « Coupe des manadiers » (Breeders' Cup) ?</v>
      </c>
      <c r="I84" s="6" t="str">
        <f>IFERROR(__xludf.DUMMYFUNCTION("GOOGLETRANSLATE(C84, ""en"", ""fr"")"),"A) Une course pour les éleveurs, B) Une compétition où les éleveurs eux-mêmes s'affrontent, C) Un tournoi prestigieux où les troupeaux s'affrontent, D) Une course de chevaux")</f>
        <v>A) Une course pour les éleveurs, B) Une compétition où les éleveurs eux-mêmes s'affrontent, C) Un tournoi prestigieux où les troupeaux s'affrontent, D) Une course de chevaux</v>
      </c>
      <c r="J84" s="6" t="str">
        <f>IFERROR(__xludf.DUMMYFUNCTION("GOOGLETRANSLATE(D84, ""en"", ""fr"")"),"C) Un tournoi prestigieux où les troupeaux (manades) s'affrontent.")</f>
        <v>C) Un tournoi prestigieux où les troupeaux (manades) s'affrontent.</v>
      </c>
      <c r="K84" s="6" t="str">
        <f>IFERROR(__xludf.DUMMYFUNCTION("GOOGLETRANSLATE(E84, ""en"", ""fr"")"),"Il s'agit d'une compétition spéciale où la fierté des différents élevages est en jeu, mettant en valeur la qualité de leurs taureaux.")</f>
        <v>Il s'agit d'une compétition spéciale où la fierté des différents élevages est en jeu, mettant en valeur la qualité de leurs taureaux.</v>
      </c>
    </row>
    <row r="85" ht="22.5" customHeight="1">
      <c r="A85" s="4">
        <v>84.0</v>
      </c>
      <c r="B85" s="5" t="s">
        <v>2377</v>
      </c>
      <c r="C85" s="5" t="s">
        <v>2378</v>
      </c>
      <c r="D85" s="5" t="s">
        <v>2379</v>
      </c>
      <c r="E85" s="5" t="s">
        <v>2380</v>
      </c>
      <c r="G85" s="6" t="str">
        <f>IFERROR(__xludf.DUMMYFUNCTION("GOOGLETRANSLATE(A85, ""en"", ""fr"")"),"84")</f>
        <v>84</v>
      </c>
      <c r="H85" s="6" t="str">
        <f>IFERROR(__xludf.DUMMYFUNCTION("GOOGLETRANSLATE(B85, ""en"", ""fr"")"),"Le « Course Camarguaise » moderne et formel a été en grande partie façonné et codifié au cours de quel siècle ?")</f>
        <v>Le « Course Camarguaise » moderne et formel a été en grande partie façonné et codifié au cours de quel siècle ?</v>
      </c>
      <c r="I85" s="6" t="str">
        <f>IFERROR(__xludf.DUMMYFUNCTION("GOOGLETRANSLATE(C85, ""en"", ""fr"")"),"A) Le XVIIIe siècle, B) Le XIXe siècle, C) Le XXe siècle, D) Le XXIe siècle")</f>
        <v>A) Le XVIIIe siècle, B) Le XIXe siècle, C) Le XXe siècle, D) Le XXIe siècle</v>
      </c>
      <c r="J85" s="6" t="str">
        <f>IFERROR(__xludf.DUMMYFUNCTION("GOOGLETRANSLATE(D85, ""en"", ""fr"")"),"C) Le XXe siècle")</f>
        <v>C) Le XXe siècle</v>
      </c>
      <c r="K85" s="6" t="str">
        <f>IFERROR(__xludf.DUMMYFUNCTION("GOOGLETRANSLATE(E85, ""en"", ""fr"")"),"Bien que ses origines soient anciennes, ce sport tel que nous le connaissons aujourd'hui, avec ses règles officielles, ses fédérations et son système de stars, est un produit du XXe siècle.")</f>
        <v>Bien que ses origines soient anciennes, ce sport tel que nous le connaissons aujourd'hui, avec ses règles officielles, ses fédérations et son système de stars, est un produit du XXe siècle.</v>
      </c>
    </row>
    <row r="86" ht="22.5" customHeight="1">
      <c r="A86" s="4">
        <v>85.0</v>
      </c>
      <c r="B86" s="5" t="s">
        <v>2389</v>
      </c>
      <c r="C86" s="5" t="s">
        <v>2390</v>
      </c>
      <c r="D86" s="5" t="s">
        <v>2391</v>
      </c>
      <c r="E86" s="5" t="s">
        <v>2392</v>
      </c>
      <c r="G86" s="6" t="str">
        <f>IFERROR(__xludf.DUMMYFUNCTION("GOOGLETRANSLATE(A86, ""en"", ""fr"")"),"85")</f>
        <v>85</v>
      </c>
      <c r="H86" s="6" t="str">
        <f>IFERROR(__xludf.DUMMYFUNCTION("GOOGLETRANSLATE(B86, ""en"", ""fr"")"),"Quelle est la principale différence entre l'abrivado et l'encierro espagnol (course de taureaux) ?")</f>
        <v>Quelle est la principale différence entre l'abrivado et l'encierro espagnol (course de taureaux) ?</v>
      </c>
      <c r="I86" s="6" t="str">
        <f>IFERROR(__xludf.DUMMYFUNCTION("GOOGLETRANSLATE(C86, ""en"", ""fr"")"),"A) L'abrivado utilise des chevaux pour guider les taureaux, tandis que l'encierro a des personnes qui courent devant. B) L'abrivado est plus dangereux. C) L'encierro est plus ancien. D) Il n'y a pas de différence.")</f>
        <v>A) L'abrivado utilise des chevaux pour guider les taureaux, tandis que l'encierro a des personnes qui courent devant. B) L'abrivado est plus dangereux. C) L'encierro est plus ancien. D) Il n'y a pas de différence.</v>
      </c>
      <c r="J86" s="6" t="str">
        <f>IFERROR(__xludf.DUMMYFUNCTION("GOOGLETRANSLATE(D86, ""en"", ""fr"")"),"A) L'abrivado utilise des chevaux pour guider les taureaux, tandis que l'encierro fait courir des hommes devant le cortège.")</f>
        <v>A) L'abrivado utilise des chevaux pour guider les taureaux, tandis que l'encierro fait courir des hommes devant le cortège.</v>
      </c>
      <c r="K86" s="6" t="str">
        <f>IFERROR(__xludf.DUMMYFUNCTION("GOOGLETRANSLATE(E86, ""en"", ""fr"")"),"C'est là une différence essentielle. L'abrivado est une démonstration d'équitation, les gardiens formant un V pour contrôler les taureaux, contrairement à la course de style pamplonas.")</f>
        <v>C'est là une différence essentielle. L'abrivado est une démonstration d'équitation, les gardiens formant un V pour contrôler les taureaux, contrairement à la course de style pamplonas.</v>
      </c>
    </row>
    <row r="87" ht="22.5" customHeight="1">
      <c r="A87" s="4">
        <v>86.0</v>
      </c>
      <c r="B87" s="5" t="s">
        <v>2313</v>
      </c>
      <c r="C87" s="5" t="s">
        <v>2314</v>
      </c>
      <c r="D87" s="5" t="s">
        <v>2315</v>
      </c>
      <c r="E87" s="5" t="s">
        <v>2316</v>
      </c>
      <c r="G87" s="6" t="str">
        <f>IFERROR(__xludf.DUMMYFUNCTION("GOOGLETRANSLATE(A87, ""en"", ""fr"")"),"86")</f>
        <v>86</v>
      </c>
      <c r="H87" s="6" t="str">
        <f>IFERROR(__xludf.DUMMYFUNCTION("GOOGLETRANSLATE(B87, ""en"", ""fr"")"),"Au début du XXe siècle, avant la standardisation du crochet, comment les razeteurs retiraient-ils parfois les attributs ?")</f>
        <v>Au début du XXe siècle, avant la standardisation du crochet, comment les razeteurs retiraient-ils parfois les attributs ?</v>
      </c>
      <c r="I87" s="6" t="str">
        <f>IFERROR(__xludf.DUMMYFUNCTION("GOOGLETRANSLATE(C87, ""en"", ""fr"")"),"A) À mains nues, B) Avec un petit couteau, C) Avec un peigne, D) Avec leurs dents")</f>
        <v>A) À mains nues, B) Avec un petit couteau, C) Avec un peigne, D) Avec leurs dents</v>
      </c>
      <c r="J87" s="6" t="str">
        <f>IFERROR(__xludf.DUMMYFUNCTION("GOOGLETRANSLATE(D87, ""en"", ""fr"")"),"A) À mains nues")</f>
        <v>A) À mains nues</v>
      </c>
      <c r="K87" s="6" t="str">
        <f>IFERROR(__xludf.DUMMYFUNCTION("GOOGLETRANSLATE(E87, ""en"", ""fr"")"),"Les premiers razeteurs, connus sous le nom de levants (leveurs), tentaient d'arracher la cocarde à mains nues, une technique beaucoup plus dangereuse.")</f>
        <v>Les premiers razeteurs, connus sous le nom de levants (leveurs), tentaient d'arracher la cocarde à mains nues, une technique beaucoup plus dangereuse.</v>
      </c>
    </row>
    <row r="88" ht="22.5" customHeight="1">
      <c r="A88" s="4">
        <v>87.0</v>
      </c>
      <c r="B88" s="5" t="s">
        <v>2400</v>
      </c>
      <c r="C88" s="5" t="s">
        <v>2401</v>
      </c>
      <c r="D88" s="5" t="s">
        <v>2402</v>
      </c>
      <c r="E88" s="5" t="s">
        <v>2403</v>
      </c>
      <c r="G88" s="6" t="str">
        <f>IFERROR(__xludf.DUMMYFUNCTION("GOOGLETRANSLATE(A88, ""en"", ""fr"")"),"87")</f>
        <v>87</v>
      </c>
      <c r="H88" s="6" t="str">
        <f>IFERROR(__xludf.DUMMYFUNCTION("GOOGLETRANSLATE(B88, ""en"", ""fr"")"),"Une équipe de razeteurs est composée du razeteur qui tente de s'emparer des attributs et de qui ?")</f>
        <v>Une équipe de razeteurs est composée du razeteur qui tente de s'emparer des attributs et de qui ?</v>
      </c>
      <c r="I88" s="6" t="str">
        <f>IFERROR(__xludf.DUMMYFUNCTION("GOOGLETRANSLATE(C88, ""en"", ""fr"")"),"A) L'entraîneur, B) L'agent, C) Les joueurs de tournoi, D) Le sponsor")</f>
        <v>A) L'entraîneur, B) L'agent, C) Les joueurs de tournoi, D) Le sponsor</v>
      </c>
      <c r="J88" s="6" t="str">
        <f>IFERROR(__xludf.DUMMYFUNCTION("GOOGLETRANSLATE(D88, ""en"", ""fr"")"),"C) Les tourneurs")</f>
        <v>C) Les tourneurs</v>
      </c>
      <c r="K88" s="6" t="str">
        <f>IFERROR(__xludf.DUMMYFUNCTION("GOOGLETRANSLATE(E88, ""en"", ""fr"")"),"Les tourneurs sont les assistants dans l'arène qui travaillent à positionner correctement le taureau pour la charge du razeteur.")</f>
        <v>Les tourneurs sont les assistants dans l'arène qui travaillent à positionner correctement le taureau pour la charge du razeteur.</v>
      </c>
    </row>
    <row r="89" ht="22.5" customHeight="1">
      <c r="A89" s="4">
        <v>88.0</v>
      </c>
      <c r="B89" s="5" t="s">
        <v>2404</v>
      </c>
      <c r="C89" s="5" t="s">
        <v>2405</v>
      </c>
      <c r="D89" s="5" t="s">
        <v>2406</v>
      </c>
      <c r="E89" s="5" t="s">
        <v>2407</v>
      </c>
      <c r="G89" s="6" t="str">
        <f>IFERROR(__xludf.DUMMYFUNCTION("GOOGLETRANSLATE(A89, ""en"", ""fr"")"),"88")</f>
        <v>88</v>
      </c>
      <c r="H89" s="6" t="str">
        <f>IFERROR(__xludf.DUMMYFUNCTION("GOOGLETRANSLATE(B89, ""en"", ""fr"")"),"Quelle est la raison historique pour laquelle ce sport est profondément lié à l'identité de la région camargue ?")</f>
        <v>Quelle est la raison historique pour laquelle ce sport est profondément lié à l'identité de la région camargue ?</v>
      </c>
      <c r="I89" s="6" t="str">
        <f>IFERROR(__xludf.DUMMYFUNCTION("GOOGLETRANSLATE(C89, ""en"", ""fr"")"),"A) C'est le seul sport pratiqué là-bas, B) Il repose sur l'écosystème unique de la région, composé de taureaux, de chevaux et de zones humides, C) Il a été inventé par une personnalité célèbre de Camargue, D) C'est une source de revenus importante")</f>
        <v>A) C'est le seul sport pratiqué là-bas, B) Il repose sur l'écosystème unique de la région, composé de taureaux, de chevaux et de zones humides, C) Il a été inventé par une personnalité célèbre de Camargue, D) C'est une source de revenus importante</v>
      </c>
      <c r="J89" s="6" t="str">
        <f>IFERROR(__xludf.DUMMYFUNCTION("GOOGLETRANSLATE(D89, ""en"", ""fr"")"),"B) Elle repose sur l'écosystème unique de la région, composé de taureaux, de chevaux et de zones humides.")</f>
        <v>B) Elle repose sur l'écosystème unique de la région, composé de taureaux, de chevaux et de zones humides.</v>
      </c>
      <c r="K89" s="6" t="str">
        <f>IFERROR(__xludf.DUMMYFUNCTION("GOOGLETRANSLATE(E89, ""en"", ""fr"")"),"Ce sport est un produit culturel direct de l'environnement unique du delta de la Camargue et du mode de vie traditionnel de ses habitants.")</f>
        <v>Ce sport est un produit culturel direct de l'environnement unique du delta de la Camargue et du mode de vie traditionnel de ses habitants.</v>
      </c>
    </row>
    <row r="90" ht="22.5" customHeight="1">
      <c r="A90" s="4">
        <v>89.0</v>
      </c>
      <c r="B90" s="5" t="s">
        <v>2408</v>
      </c>
      <c r="C90" s="5" t="s">
        <v>2409</v>
      </c>
      <c r="D90" s="5" t="s">
        <v>2410</v>
      </c>
      <c r="E90" s="5" t="s">
        <v>2224</v>
      </c>
      <c r="G90" s="6" t="str">
        <f>IFERROR(__xludf.DUMMYFUNCTION("GOOGLETRANSLATE(A90, ""en"", ""fr"")"),"89")</f>
        <v>89</v>
      </c>
      <c r="H90" s="6" t="str">
        <f>IFERROR(__xludf.DUMMYFUNCTION("GOOGLETRANSLATE(B90, ""en"", ""fr"")"),"Quel titre reçoit-on souvent un taureau qui excelle particulièrement à défendre ses attributs et à défier les abatteurs ?")</f>
        <v>Quel titre reçoit-on souvent un taureau qui excelle particulièrement à défendre ses attributs et à défier les abatteurs ?</v>
      </c>
      <c r="I90" s="6" t="str">
        <f>IFERROR(__xludf.DUMMYFUNCTION("GOOGLETRANSLATE(C90, ""en"", ""fr"")"),"A) Un champion, B) Un cocardier, C) Une star, D) Une légende")</f>
        <v>A) Un champion, B) Un cocardier, C) Une star, D) Une légende</v>
      </c>
      <c r="J90" s="6" t="str">
        <f>IFERROR(__xludf.DUMMYFUNCTION("GOOGLETRANSLATE(D90, ""en"", ""fr"")"),"B) Un cocardier")</f>
        <v>B) Un cocardier</v>
      </c>
      <c r="K90" s="6" t="str">
        <f>IFERROR(__xludf.DUMMYFUNCTION("GOOGLETRANSLATE(E90, ""en"", ""fr"")"),"Un cocardier est le nom donné à un grand taureau de combat, une véritable star des courses camarguaises.")</f>
        <v>Un cocardier est le nom donné à un grand taureau de combat, une véritable star des courses camarguaises.</v>
      </c>
    </row>
    <row r="91" ht="22.5" customHeight="1">
      <c r="A91" s="4">
        <v>90.0</v>
      </c>
      <c r="B91" s="5" t="s">
        <v>2411</v>
      </c>
      <c r="C91" s="5" t="s">
        <v>2412</v>
      </c>
      <c r="D91" s="5" t="s">
        <v>2413</v>
      </c>
      <c r="E91" s="5" t="s">
        <v>2414</v>
      </c>
      <c r="G91" s="6" t="str">
        <f>IFERROR(__xludf.DUMMYFUNCTION("GOOGLETRANSLATE(A91, ""en"", ""fr"")"),"90")</f>
        <v>90</v>
      </c>
      <c r="H91" s="6" t="str">
        <f>IFERROR(__xludf.DUMMYFUNCTION("GOOGLETRANSLATE(B91, ""en"", ""fr"")"),"Quelle est la signification historique de l'uniforme entièrement blanc du razeteur ?")</f>
        <v>Quelle est la signification historique de l'uniforme entièrement blanc du razeteur ?</v>
      </c>
      <c r="I91" s="6" t="str">
        <f>IFERROR(__xludf.DUMMYFUNCTION("GOOGLETRANSLATE(C91, ""en"", ""fr"")"),"A) C'était la couleur officielle de tous les sports français. B) Elle est issue des vêtements de travail simples et pratiques des ouvriers agricoles du XIXe siècle, qui furent les premiers à pratiquer ce sport. C) Elle symbolise une trêve avec le taureau."&amp;" D) Elle a été choisie par la première fédération.")</f>
        <v>A) C'était la couleur officielle de tous les sports français. B) Elle est issue des vêtements de travail simples et pratiques des ouvriers agricoles du XIXe siècle, qui furent les premiers à pratiquer ce sport. C) Elle symbolise une trêve avec le taureau. D) Elle a été choisie par la première fédération.</v>
      </c>
      <c r="J91" s="6" t="str">
        <f>IFERROR(__xludf.DUMMYFUNCTION("GOOGLETRANSLATE(D91, ""en"", ""fr"")"),"B) Il est issu des vêtements de travail simples et pratiques des ouvriers agricoles du XIXe siècle, qui furent les premiers à jouer")</f>
        <v>B) Il est issu des vêtements de travail simples et pratiques des ouvriers agricoles du XIXe siècle, qui furent les premiers à jouer</v>
      </c>
      <c r="K91" s="6" t="str">
        <f>IFERROR(__xludf.DUMMYFUNCTION("GOOGLETRANSLATE(E91, ""en"", ""fr"")"),"La tenue blanche trouve son origine dans les vêtements de tous les jours des travailleurs ruraux qui ont été les premiers à pratiquer ce sport.")</f>
        <v>La tenue blanche trouve son origine dans les vêtements de tous les jours des travailleurs ruraux qui ont été les premiers à pratiquer ce sport.</v>
      </c>
    </row>
    <row r="92" ht="22.5" customHeight="1">
      <c r="A92" s="4">
        <v>91.0</v>
      </c>
      <c r="B92" s="5" t="s">
        <v>2415</v>
      </c>
      <c r="C92" s="5" t="s">
        <v>2416</v>
      </c>
      <c r="D92" s="5" t="s">
        <v>2417</v>
      </c>
      <c r="E92" s="5" t="s">
        <v>2418</v>
      </c>
      <c r="G92" s="6" t="str">
        <f>IFERROR(__xludf.DUMMYFUNCTION("GOOGLETRANSLATE(A92, ""en"", ""fr"")"),"91")</f>
        <v>91</v>
      </c>
      <c r="H92" s="6" t="str">
        <f>IFERROR(__xludf.DUMMYFUNCTION("GOOGLETRANSLATE(B92, ""en"", ""fr"")"),"Qu'est-ce que le « Trophée des As » ?")</f>
        <v>Qu'est-ce que le « Trophée des As » ?</v>
      </c>
      <c r="I92" s="6" t="str">
        <f>IFERROR(__xludf.DUMMYFUNCTION("GOOGLETRANSLATE(C92, ""en"", ""fr"")"),"A) Un prix spécial pour le meilleur taureau, B) Le championnat le plus prestigieux, qui dure toute la saison, pour les taureaux d'élite, C) Un tournoi pour les taureaux retraités, D) Un jeu de cartes pratiqué lors des festivals")</f>
        <v>A) Un prix spécial pour le meilleur taureau, B) Le championnat le plus prestigieux, qui dure toute la saison, pour les taureaux d'élite, C) Un tournoi pour les taureaux retraités, D) Un jeu de cartes pratiqué lors des festivals</v>
      </c>
      <c r="J92" s="6" t="str">
        <f>IFERROR(__xludf.DUMMYFUNCTION("GOOGLETRANSLATE(D92, ""en"", ""fr"")"),"B) Le championnat le plus prestigieux, qui dure toute la saison, pour les razeteurs d'élite")</f>
        <v>B) Le championnat le plus prestigieux, qui dure toute la saison, pour les razeteurs d'élite</v>
      </c>
      <c r="K92" s="6" t="str">
        <f>IFERROR(__xludf.DUMMYFUNCTION("GOOGLETRANSLATE(E92, ""en"", ""fr"")"),"Ce « Trophée des As » est la compétition de plus haut niveau qui couronne le meilleur razeteur de l'année.")</f>
        <v>Ce « Trophée des As » est la compétition de plus haut niveau qui couronne le meilleur razeteur de l'année.</v>
      </c>
    </row>
    <row r="93" ht="22.5" customHeight="1">
      <c r="A93" s="4">
        <v>92.0</v>
      </c>
      <c r="B93" s="5" t="s">
        <v>2419</v>
      </c>
      <c r="C93" s="5" t="s">
        <v>2420</v>
      </c>
      <c r="D93" s="5" t="s">
        <v>2421</v>
      </c>
      <c r="E93" s="5" t="s">
        <v>2422</v>
      </c>
      <c r="G93" s="6" t="str">
        <f>IFERROR(__xludf.DUMMYFUNCTION("GOOGLETRANSLATE(A93, ""en"", ""fr"")"),"92")</f>
        <v>92</v>
      </c>
      <c r="H93" s="6" t="str">
        <f>IFERROR(__xludf.DUMMYFUNCTION("GOOGLETRANSLATE(B93, ""en"", ""fr"")"),"À quelle période ont été créées les premières règles formelles et écrites de ce sport ?")</f>
        <v>À quelle période ont été créées les premières règles formelles et écrites de ce sport ?</v>
      </c>
      <c r="I93" s="6" t="str">
        <f>IFERROR(__xludf.DUMMYFUNCTION("GOOGLETRANSLATE(C93, ""en"", ""fr"")"),"A) Le XVe siècle, B) Le XVIIIe siècle, C) La fin du XIXe et le début du XXe siècle, D) Les années 1960")</f>
        <v>A) Le XVe siècle, B) Le XVIIIe siècle, C) La fin du XIXe et le début du XXe siècle, D) Les années 1960</v>
      </c>
      <c r="J93" s="6" t="str">
        <f>IFERROR(__xludf.DUMMYFUNCTION("GOOGLETRANSLATE(D93, ""en"", ""fr"")"),"C) La fin du XIXe et le début du XXe siècle")</f>
        <v>C) La fin du XIXe et le début du XXe siècle</v>
      </c>
      <c r="K93" s="6" t="str">
        <f>IFERROR(__xludf.DUMMYFUNCTION("GOOGLETRANSLATE(E93, ""en"", ""fr"")"),"La codification des règles était un élément clé du mouvement mené par des personnalités comme le marquis de Baroncelli pour préserver et moderniser la tradition.")</f>
        <v>La codification des règles était un élément clé du mouvement mené par des personnalités comme le marquis de Baroncelli pour préserver et moderniser la tradition.</v>
      </c>
    </row>
    <row r="94" ht="22.5" customHeight="1">
      <c r="A94" s="4">
        <v>93.0</v>
      </c>
      <c r="B94" s="5" t="s">
        <v>2423</v>
      </c>
      <c r="C94" s="5" t="s">
        <v>2424</v>
      </c>
      <c r="D94" s="5" t="s">
        <v>2425</v>
      </c>
      <c r="E94" s="5" t="s">
        <v>2426</v>
      </c>
      <c r="G94" s="6" t="str">
        <f>IFERROR(__xludf.DUMMYFUNCTION("GOOGLETRANSLATE(A94, ""en"", ""fr"")"),"93")</f>
        <v>93</v>
      </c>
      <c r="H94" s="6" t="str">
        <f>IFERROR(__xludf.DUMMYFUNCTION("GOOGLETRANSLATE(B94, ""en"", ""fr"")"),"On célèbre la carrière d'un taureau, puis, après sa retraite, on le ramène au pâturage pour y finir ses jours. Qu'est-ce que cela révèle de la philosophie de ce sport ?")</f>
        <v>On célèbre la carrière d'un taureau, puis, après sa retraite, on le ramène au pâturage pour y finir ses jours. Qu'est-ce que cela révèle de la philosophie de ce sport ?</v>
      </c>
      <c r="I94" s="6" t="str">
        <f>IFERROR(__xludf.DUMMYFUNCTION("GOOGLETRANSLATE(C94, ""en"", ""fr"")"),"A) Que les taureaux ont de la valeur, B) Que le taureau est respecté comme un athlète et le héros du sport, et non comme un animal à sacrifier, C) Que les éleveurs sont riches, D) Que les taureaux sont trop vieux pour être utiles")</f>
        <v>A) Que les taureaux ont de la valeur, B) Que le taureau est respecté comme un athlète et le héros du sport, et non comme un animal à sacrifier, C) Que les éleveurs sont riches, D) Que les taureaux sont trop vieux pour être utiles</v>
      </c>
      <c r="J94" s="6" t="str">
        <f>IFERROR(__xludf.DUMMYFUNCTION("GOOGLETRANSLATE(D94, ""en"", ""fr"")"),"B) Que le taureau soit respecté comme un athlète et le héros de ce sport, et non comme un animal à sacrifier.")</f>
        <v>B) Que le taureau soit respecté comme un athlète et le héros de ce sport, et non comme un animal à sacrifier.</v>
      </c>
      <c r="K94" s="6" t="str">
        <f>IFERROR(__xludf.DUMMYFUNCTION("GOOGLETRANSLATE(E94, ""en"", ""fr"")"),"C’est là l’éthique centrale de la Course Camarguaise, qui la distingue fondamentalement de la corrida espagnole.")</f>
        <v>C’est là l’éthique centrale de la Course Camarguaise, qui la distingue fondamentalement de la corrida espagnole.</v>
      </c>
    </row>
    <row r="95" ht="22.5" customHeight="1">
      <c r="A95" s="4">
        <v>94.0</v>
      </c>
      <c r="B95" s="5" t="s">
        <v>2427</v>
      </c>
      <c r="C95" s="5" t="s">
        <v>2428</v>
      </c>
      <c r="D95" s="5" t="s">
        <v>2429</v>
      </c>
      <c r="E95" s="5" t="s">
        <v>2430</v>
      </c>
      <c r="G95" s="6" t="str">
        <f>IFERROR(__xludf.DUMMYFUNCTION("GOOGLETRANSLATE(A95, ""en"", ""fr"")"),"94")</f>
        <v>94</v>
      </c>
      <c r="H95" s="6" t="str">
        <f>IFERROR(__xludf.DUMMYFUNCTION("GOOGLETRANSLATE(B95, ""en"", ""fr"")"),"Qu'est-ce que le crochet ?")</f>
        <v>Qu'est-ce que le crochet ?</v>
      </c>
      <c r="I95" s="6" t="str">
        <f>IFERROR(__xludf.DUMMYFUNCTION("GOOGLETRANSLATE(C95, ""en"", ""fr"")"),"A) Une manœuvre défensive, B) Le crochet métallique porté par le razeteur pour s'emparer des attributs, C) La corne du taureau, D) La barrière de l'arène")</f>
        <v>A) Une manœuvre défensive, B) Le crochet métallique porté par le razeteur pour s'emparer des attributs, C) La corne du taureau, D) La barrière de l'arène</v>
      </c>
      <c r="J95" s="6" t="str">
        <f>IFERROR(__xludf.DUMMYFUNCTION("GOOGLETRANSLATE(D95, ""en"", ""fr"")"),"B) Le crochet métallique porté à la main du razeteur pour arracher les attributs")</f>
        <v>B) Le crochet métallique porté à la main du razeteur pour arracher les attributs</v>
      </c>
      <c r="K95" s="6" t="str">
        <f>IFERROR(__xludf.DUMMYFUNCTION("GOOGLETRANSLATE(E95, ""en"", ""fr"")"),"Cet outil unique est l'instrument utilisé par le rasoir pour accomplir la tâche délicate et dangereuse de couper les cordes.")</f>
        <v>Cet outil unique est l'instrument utilisé par le rasoir pour accomplir la tâche délicate et dangereuse de couper les cordes.</v>
      </c>
    </row>
    <row r="96" ht="22.5" customHeight="1">
      <c r="A96" s="4">
        <v>95.0</v>
      </c>
      <c r="B96" s="5" t="s">
        <v>2431</v>
      </c>
      <c r="C96" s="5" t="s">
        <v>2432</v>
      </c>
      <c r="D96" s="5" t="s">
        <v>2433</v>
      </c>
      <c r="E96" s="5" t="s">
        <v>2434</v>
      </c>
      <c r="G96" s="6" t="str">
        <f>IFERROR(__xludf.DUMMYFUNCTION("GOOGLETRANSLATE(A96, ""en"", ""fr"")"),"95")</f>
        <v>95</v>
      </c>
      <c r="H96" s="6" t="str">
        <f>IFERROR(__xludf.DUMMYFUNCTION("GOOGLETRANSLATE(B96, ""en"", ""fr"")"),"La culture des gardiens (cow-boys camarguais) est au cœur de ce sport. Quel est leur événement annuel le plus important ?")</f>
        <v>La culture des gardiens (cow-boys camarguais) est au cœur de ce sport. Quel est leur événement annuel le plus important ?</v>
      </c>
      <c r="I96" s="6" t="str">
        <f>IFERROR(__xludf.DUMMYFUNCTION("GOOGLETRANSLATE(C96, ""en"", ""fr"")"),"A) La course camarguaise, B) Le marquage des poulains, C) La fête de l'Abrivado à Arles, D) L'élection de leur capitaine")</f>
        <v>A) La course camarguaise, B) Le marquage des poulains, C) La fête de l'Abrivado à Arles, D) L'élection de leur capitaine</v>
      </c>
      <c r="J96" s="6" t="str">
        <f>IFERROR(__xludf.DUMMYFUNCTION("GOOGLETRANSLATE(D96, ""en"", ""fr"")"),"C) Le festival d'Abrivado à Arles")</f>
        <v>C) Le festival d'Abrivado à Arles</v>
      </c>
      <c r="K96" s="6" t="str">
        <f>IFERROR(__xludf.DUMMYFUNCTION("GOOGLETRANSLATE(E96, ""en"", ""fr"")"),"Ce festival est une célébration majeure de la culture gardienne, avec des démonstrations équestres spectaculaires dans les rues.")</f>
        <v>Ce festival est une célébration majeure de la culture gardienne, avec des démonstrations équestres spectaculaires dans les rues.</v>
      </c>
    </row>
    <row r="97" ht="22.5" customHeight="1">
      <c r="A97" s="4">
        <v>96.0</v>
      </c>
      <c r="B97" s="5" t="s">
        <v>2435</v>
      </c>
      <c r="C97" s="5" t="s">
        <v>2436</v>
      </c>
      <c r="D97" s="5" t="s">
        <v>2437</v>
      </c>
      <c r="E97" s="5" t="s">
        <v>2438</v>
      </c>
      <c r="G97" s="6" t="str">
        <f>IFERROR(__xludf.DUMMYFUNCTION("GOOGLETRANSLATE(A97, ""en"", ""fr"")"),"96")</f>
        <v>96</v>
      </c>
      <c r="H97" s="6" t="str">
        <f>IFERROR(__xludf.DUMMYFUNCTION("GOOGLETRANSLATE(B97, ""en"", ""fr"")"),"Quelle est la signification de la statue d'un taureau dans un village ?")</f>
        <v>Quelle est la signification de la statue d'un taureau dans un village ?</v>
      </c>
      <c r="I97" s="6" t="str">
        <f>IFERROR(__xludf.DUMMYFUNCTION("GOOGLETRANSLATE(C97, ""en"", ""fr"")"),"A) C'est une pratique courante pour tous les taureaux, B) C'est le plus grand honneur, réservé aux taureaux les plus légendaires et les plus aimés, C) Cela marque la tombe du taureau, D) C'est une attraction touristique")</f>
        <v>A) C'est une pratique courante pour tous les taureaux, B) C'est le plus grand honneur, réservé aux taureaux les plus légendaires et les plus aimés, C) Cela marque la tombe du taureau, D) C'est une attraction touristique</v>
      </c>
      <c r="J97" s="6" t="str">
        <f>IFERROR(__xludf.DUMMYFUNCTION("GOOGLETRANSLATE(D97, ""en"", ""fr"")"),"B) C'est le plus grand honneur, réservé uniquement aux taureaux les plus légendaires et les plus aimés.")</f>
        <v>B) C'est le plus grand honneur, réservé uniquement aux taureaux les plus légendaires et les plus aimés.</v>
      </c>
      <c r="K97" s="6" t="str">
        <f>IFERROR(__xludf.DUMMYFUNCTION("GOOGLETRANSLATE(E97, ""en"", ""fr"")"),"Une statue est un hommage permanent à un taureau qui a acquis un statut héroïque aux yeux de la communauté, un honneur rare et significatif.")</f>
        <v>Une statue est un hommage permanent à un taureau qui a acquis un statut héroïque aux yeux de la communauté, un honneur rare et significatif.</v>
      </c>
    </row>
    <row r="98" ht="22.5" customHeight="1">
      <c r="A98" s="4">
        <v>97.0</v>
      </c>
      <c r="B98" s="5" t="s">
        <v>2439</v>
      </c>
      <c r="C98" s="5" t="s">
        <v>2440</v>
      </c>
      <c r="D98" s="5" t="s">
        <v>2441</v>
      </c>
      <c r="E98" s="5" t="s">
        <v>2442</v>
      </c>
      <c r="G98" s="6" t="str">
        <f>IFERROR(__xludf.DUMMYFUNCTION("GOOGLETRANSLATE(A98, ""en"", ""fr"")"),"97")</f>
        <v>97</v>
      </c>
      <c r="H98" s="6" t="str">
        <f>IFERROR(__xludf.DUMMYFUNCTION("GOOGLETRANSLATE(B98, ""en"", ""fr"")"),"Quel est le nom du prestigieux tournoi qui se déroule chaque année en juillet dans les arènes romaines d'Arles ?")</f>
        <v>Quel est le nom du prestigieux tournoi qui se déroule chaque année en juillet dans les arènes romaines d'Arles ?</v>
      </c>
      <c r="I98" s="6" t="str">
        <f>IFERROR(__xludf.DUMMYFUNCTION("GOOGLETRANSLATE(C98, ""en"", ""fr"")"),"A) Le Biòu d'Or, B) Le Trophée des As, C) La Cocarde d'Or, D) La Palme d'Or")</f>
        <v>A) Le Biòu d'Or, B) Le Trophée des As, C) La Cocarde d'Or, D) La Palme d'Or</v>
      </c>
      <c r="J98" s="6" t="str">
        <f>IFERROR(__xludf.DUMMYFUNCTION("GOOGLETRANSLATE(D98, ""en"", ""fr"")"),"C) La Cocarde d'Or")</f>
        <v>C) La Cocarde d'Or</v>
      </c>
      <c r="K98" s="6" t="str">
        <f>IFERROR(__xludf.DUMMYFUNCTION("GOOGLETRANSLATE(E98, ""en"", ""fr"")"),"La « Cocarde d'Or », créée en 1928, est l'un des trois tournois majeurs de la saison.")</f>
        <v>La « Cocarde d'Or », créée en 1928, est l'un des trois tournois majeurs de la saison.</v>
      </c>
    </row>
    <row r="99" ht="22.5" customHeight="1">
      <c r="A99" s="4">
        <v>98.0</v>
      </c>
      <c r="B99" s="5" t="s">
        <v>2443</v>
      </c>
      <c r="C99" s="5" t="s">
        <v>2444</v>
      </c>
      <c r="D99" s="5" t="s">
        <v>2445</v>
      </c>
      <c r="E99" s="5" t="s">
        <v>2446</v>
      </c>
      <c r="G99" s="6" t="str">
        <f>IFERROR(__xludf.DUMMYFUNCTION("GOOGLETRANSLATE(A99, ""en"", ""fr"")"),"98")</f>
        <v>98</v>
      </c>
      <c r="H99" s="6" t="str">
        <f>IFERROR(__xludf.DUMMYFUNCTION("GOOGLETRANSLATE(B99, ""en"", ""fr"")"),"Le marquis de Baroncelli fut une figure clé de quel mouvement culturel plus large ?")</f>
        <v>Le marquis de Baroncelli fut une figure clé de quel mouvement culturel plus large ?</v>
      </c>
      <c r="I99" s="6" t="str">
        <f>IFERROR(__xludf.DUMMYFUNCTION("GOOGLETRANSLATE(C99, ""en"", ""fr"")"),"A) La Renaissance française, B) Le Félibrige, mouvement de préservation de la langue et de la culture provençales, C) Le mouvement surréaliste, D) La Révolution française")</f>
        <v>A) La Renaissance française, B) Le Félibrige, mouvement de préservation de la langue et de la culture provençales, C) Le mouvement surréaliste, D) La Révolution française</v>
      </c>
      <c r="J99" s="6" t="str">
        <f>IFERROR(__xludf.DUMMYFUNCTION("GOOGLETRANSLATE(D99, ""en"", ""fr"")"),"B) Le Félibrige, un mouvement pour préserver la langue et la culture provençales")</f>
        <v>B) Le Félibrige, un mouvement pour préserver la langue et la culture provençales</v>
      </c>
      <c r="K99" s="6" t="str">
        <f>IFERROR(__xludf.DUMMYFUNCTION("GOOGLETRANSLATE(E99, ""en"", ""fr"")"),"Son action pour sauver le Course Camarguaise s'inscrivait dans un effort plus large visant à protéger l'identité culturelle unique du sud de la France.")</f>
        <v>Son action pour sauver le Course Camarguaise s'inscrivait dans un effort plus large visant à protéger l'identité culturelle unique du sud de la France.</v>
      </c>
    </row>
    <row r="100" ht="22.5" customHeight="1">
      <c r="A100" s="4">
        <v>99.0</v>
      </c>
      <c r="B100" s="5" t="s">
        <v>2447</v>
      </c>
      <c r="C100" s="5" t="s">
        <v>2448</v>
      </c>
      <c r="D100" s="5" t="s">
        <v>2449</v>
      </c>
      <c r="E100" s="5" t="s">
        <v>2450</v>
      </c>
      <c r="G100" s="6" t="str">
        <f>IFERROR(__xludf.DUMMYFUNCTION("GOOGLETRANSLATE(A100, ""en"", ""fr"")"),"99")</f>
        <v>99</v>
      </c>
      <c r="H100" s="6" t="str">
        <f>IFERROR(__xludf.DUMMYFUNCTION("GOOGLETRANSLATE(B100, ""en"", ""fr"")"),"Qu'est-ce qu'un «biòu» ?")</f>
        <v>Qu'est-ce qu'un «biòu» ?</v>
      </c>
      <c r="I100" s="6" t="str">
        <f>IFERROR(__xludf.DUMMYFUNCTION("GOOGLETRANSLATE(C100, ""en"", ""fr"")"),"A) Un razeteur, B) Le taureau, en provençal, C) L'arène, D) Le prix")</f>
        <v>A) Un razeteur, B) Le taureau, en provençal, C) L'arène, D) Le prix</v>
      </c>
      <c r="J100" s="6" t="str">
        <f>IFERROR(__xludf.DUMMYFUNCTION("GOOGLETRANSLATE(D100, ""en"", ""fr"")"),"B) Le taureau, en provençal")</f>
        <v>B) Le taureau, en provençal</v>
      </c>
      <c r="K100" s="6" t="str">
        <f>IFERROR(__xludf.DUMMYFUNCTION("GOOGLETRANSLATE(E100, ""en"", ""fr"")"),"Biòu est le mot occitan/provençal pour taureau, et c'est le terme utilisé par tous les passionnés de ce sport.")</f>
        <v>Biòu est le mot occitan/provençal pour taureau, et c'est le terme utilisé par tous les passionnés de ce sport.</v>
      </c>
    </row>
    <row r="101" ht="22.5" customHeight="1">
      <c r="A101" s="4">
        <v>100.0</v>
      </c>
      <c r="B101" s="5" t="s">
        <v>2451</v>
      </c>
      <c r="C101" s="5" t="s">
        <v>2452</v>
      </c>
      <c r="D101" s="5" t="s">
        <v>2453</v>
      </c>
      <c r="E101" s="5" t="s">
        <v>2454</v>
      </c>
      <c r="G101" s="6" t="str">
        <f>IFERROR(__xludf.DUMMYFUNCTION("GOOGLETRANSLATE(A101, ""en"", ""fr"")"),"100")</f>
        <v>100</v>
      </c>
      <c r="H101" s="6" t="str">
        <f>IFERROR(__xludf.DUMMYFUNCTION("GOOGLETRANSLATE(B101, ""en"", ""fr"")"),"Quelle est la principale raison pour laquelle ce sport est très peu présent en dehors de sa région d'origine, le sud de la France ?")</f>
        <v>Quelle est la principale raison pour laquelle ce sport est très peu présent en dehors de sa région d'origine, le sud de la France ?</v>
      </c>
      <c r="I101" s="6" t="str">
        <f>IFERROR(__xludf.DUMMYFUNCTION("GOOGLETRANSLATE(C101, ""en"", ""fr"")"),"A) C'est interdit ailleurs, B) C'est une tradition profondément régionale liée à une race de taureau spécifique et à la culture locale, C) L'équipement est trop difficile à fabriquer, D) Les autres Français n'aiment pas ce sport")</f>
        <v>A) C'est interdit ailleurs, B) C'est une tradition profondément régionale liée à une race de taureau spécifique et à la culture locale, C) L'équipement est trop difficile à fabriquer, D) Les autres Français n'aiment pas ce sport</v>
      </c>
      <c r="J101" s="6" t="str">
        <f>IFERROR(__xludf.DUMMYFUNCTION("GOOGLETRANSLATE(D101, ""en"", ""fr"")"),"B) C'est une tradition profondément régionale, liée à une race de taureau spécifique et à la culture locale.")</f>
        <v>B) C'est une tradition profondément régionale, liée à une race de taureau spécifique et à la culture locale.</v>
      </c>
      <c r="K101" s="6" t="str">
        <f>IFERROR(__xludf.DUMMYFUNCTION("GOOGLETRANSLATE(E101, ""en"", ""fr"")"),"Le Course Camarguaise est un produit de la culture et de la géographie uniques de la Camargue, et il n'a pas été exporté avec succès.")</f>
        <v>Le Course Camarguaise est un produit de la culture et de la géographie uniques de la Camargue, et il n'a pas été exporté avec succès.</v>
      </c>
    </row>
    <row r="102" ht="22.5" customHeight="1">
      <c r="A102" s="4">
        <v>101.0</v>
      </c>
      <c r="B102" s="5" t="s">
        <v>2455</v>
      </c>
      <c r="C102" s="5" t="s">
        <v>2370</v>
      </c>
      <c r="D102" s="5" t="s">
        <v>2371</v>
      </c>
      <c r="E102" s="5" t="s">
        <v>2372</v>
      </c>
      <c r="G102" s="6" t="str">
        <f>IFERROR(__xludf.DUMMYFUNCTION("GOOGLETRANSLATE(A102, ""en"", ""fr"")"),"101")</f>
        <v>101</v>
      </c>
      <c r="H102" s="6" t="str">
        <f>IFERROR(__xludf.DUMMYFUNCTION("GOOGLETRANSLATE(B102, ""en"", ""fr"")"),"Quelle est la raison historique pour laquelle les razeteurs privilégiaient l'agilité à la force ?")</f>
        <v>Quelle est la raison historique pour laquelle les razeteurs privilégiaient l'agilité à la force ?</v>
      </c>
      <c r="I102" s="6" t="str">
        <f>IFERROR(__xludf.DUMMYFUNCTION("GOOGLETRANSLATE(C102, ""en"", ""fr"")"),"A) Les razeteurs étaient traditionnellement des hommes de petite taille. B) Le taureau de Camargue est rapide et agile, et non une cible lourde et lente. C) Il est de notoriété publique qu'on ne peut être trop fort. D) Le crochet exige de la finesse, et n"&amp;"on de la force.")</f>
        <v>A) Les razeteurs étaient traditionnellement des hommes de petite taille. B) Le taureau de Camargue est rapide et agile, et non une cible lourde et lente. C) Il est de notoriété publique qu'on ne peut être trop fort. D) Le crochet exige de la finesse, et non de la force.</v>
      </c>
      <c r="J102" s="6" t="str">
        <f>IFERROR(__xludf.DUMMYFUNCTION("GOOGLETRANSLATE(D102, ""en"", ""fr"")"),"B) Le taureau de Camargue est rapide et agile, pas une cible lourde et lente")</f>
        <v>B) Le taureau de Camargue est rapide et agile, pas une cible lourde et lente</v>
      </c>
      <c r="K102" s="6" t="str">
        <f>IFERROR(__xludf.DUMMYFUNCTION("GOOGLETRANSLATE(E102, ""en"", ""fr"")"),"Ce sport est un duel de vitesse et d'intelligence. Un razeteur doit être incroyablement rapide et agile pour déjouer le taureau athlétique.")</f>
        <v>Ce sport est un duel de vitesse et d'intelligence. Un razeteur doit être incroyablement rapide et agile pour déjouer le taureau athlétique.</v>
      </c>
    </row>
    <row r="103" ht="22.5" customHeight="1">
      <c r="A103" s="4">
        <v>102.0</v>
      </c>
      <c r="B103" s="5" t="s">
        <v>2377</v>
      </c>
      <c r="C103" s="5" t="s">
        <v>2378</v>
      </c>
      <c r="D103" s="5" t="s">
        <v>2379</v>
      </c>
      <c r="E103" s="5" t="s">
        <v>2380</v>
      </c>
      <c r="G103" s="6" t="str">
        <f>IFERROR(__xludf.DUMMYFUNCTION("GOOGLETRANSLATE(A103, ""en"", ""fr"")"),"102")</f>
        <v>102</v>
      </c>
      <c r="H103" s="6" t="str">
        <f>IFERROR(__xludf.DUMMYFUNCTION("GOOGLETRANSLATE(B103, ""en"", ""fr"")"),"Le « Course Camarguaise » moderne et formel a été en grande partie façonné et codifié au cours de quel siècle ?")</f>
        <v>Le « Course Camarguaise » moderne et formel a été en grande partie façonné et codifié au cours de quel siècle ?</v>
      </c>
      <c r="I103" s="6" t="str">
        <f>IFERROR(__xludf.DUMMYFUNCTION("GOOGLETRANSLATE(C103, ""en"", ""fr"")"),"A) Le XVIIIe siècle, B) Le XIXe siècle, C) Le XXe siècle, D) Le XXIe siècle")</f>
        <v>A) Le XVIIIe siècle, B) Le XIXe siècle, C) Le XXe siècle, D) Le XXIe siècle</v>
      </c>
      <c r="J103" s="6" t="str">
        <f>IFERROR(__xludf.DUMMYFUNCTION("GOOGLETRANSLATE(D103, ""en"", ""fr"")"),"C) Le XXe siècle")</f>
        <v>C) Le XXe siècle</v>
      </c>
      <c r="K103" s="6" t="str">
        <f>IFERROR(__xludf.DUMMYFUNCTION("GOOGLETRANSLATE(E103, ""en"", ""fr"")"),"Bien que ses origines soient anciennes, ce sport tel que nous le connaissons aujourd'hui, avec ses règles officielles, ses fédérations et son système de stars, est un produit du XXe siècle.")</f>
        <v>Bien que ses origines soient anciennes, ce sport tel que nous le connaissons aujourd'hui, avec ses règles officielles, ses fédérations et son système de stars, est un produit du XXe siècle.</v>
      </c>
    </row>
    <row r="104" ht="22.5" customHeight="1">
      <c r="A104" s="4">
        <v>103.0</v>
      </c>
      <c r="B104" s="5" t="s">
        <v>2456</v>
      </c>
      <c r="C104" s="5" t="s">
        <v>2457</v>
      </c>
      <c r="D104" s="5" t="s">
        <v>2247</v>
      </c>
      <c r="E104" s="5" t="s">
        <v>2248</v>
      </c>
      <c r="G104" s="6" t="str">
        <f>IFERROR(__xludf.DUMMYFUNCTION("GOOGLETRANSLATE(A104, ""en"", ""fr"")"),"103")</f>
        <v>103</v>
      </c>
      <c r="H104" s="6" t="str">
        <f>IFERROR(__xludf.DUMMYFUNCTION("GOOGLETRANSLATE(B104, ""en"", ""fr"")"),"On loue l'« intelligence » d'un taureau. Qu'est-ce que cela signifie dans le contexte de l'arène ?")</f>
        <v>On loue l'« intelligence » d'un taureau. Qu'est-ce que cela signifie dans le contexte de l'arène ?</v>
      </c>
      <c r="I104" s="6" t="str">
        <f>IFERROR(__xludf.DUMMYFUNCTION("GOOGLETRANSLATE(C104, ""en"", ""fr"")"),"A) Il peut résoudre des énigmes, B) Il apprend des attaques des ravisseurs et anticipe leurs mouvements, C) Il peut reconnaître son propriétaire dans la foule, D) C'est un taureau très calme et docile")</f>
        <v>A) Il peut résoudre des énigmes, B) Il apprend des attaques des ravisseurs et anticipe leurs mouvements, C) Il peut reconnaître son propriétaire dans la foule, D) C'est un taureau très calme et docile</v>
      </c>
      <c r="J104" s="6" t="str">
        <f>IFERROR(__xludf.DUMMYFUNCTION("GOOGLETRANSLATE(D104, ""en"", ""fr"")"),"B) Il tire des leçons des attaques des razeteurs et anticipe leurs mouvements")</f>
        <v>B) Il tire des leçons des attaques des razeteurs et anticipe leurs mouvements</v>
      </c>
      <c r="K104" s="6" t="str">
        <f>IFERROR(__xludf.DUMMYFUNCTION("GOOGLETRANSLATE(E104, ""en"", ""fr"")"),"Un cocardier de haut niveau est celui qui comprend rapidement le jeu, défend ses atouts et utilise l'arène à son avantage, ce qui rend la tâche très difficile pour les razeteurs.")</f>
        <v>Un cocardier de haut niveau est celui qui comprend rapidement le jeu, défend ses atouts et utilise l'arène à son avantage, ce qui rend la tâche très difficile pour les razeteurs.</v>
      </c>
    </row>
    <row r="105" ht="22.5" customHeight="1">
      <c r="A105" s="4">
        <v>104.0</v>
      </c>
      <c r="B105" s="5" t="s">
        <v>2458</v>
      </c>
      <c r="C105" s="5" t="s">
        <v>2459</v>
      </c>
      <c r="D105" s="5" t="s">
        <v>2460</v>
      </c>
      <c r="E105" s="5" t="s">
        <v>2300</v>
      </c>
      <c r="G105" s="6" t="str">
        <f>IFERROR(__xludf.DUMMYFUNCTION("GOOGLETRANSLATE(A105, ""en"", ""fr"")"),"104")</f>
        <v>104</v>
      </c>
      <c r="H105" s="6" t="str">
        <f>IFERROR(__xludf.DUMMYFUNCTION("GOOGLETRANSLATE(B105, ""en"", ""fr"")"),"Les « courses de protection » sont une série de courses organisées dans quel but ?")</f>
        <v>Les « courses de protection » sont une série de courses organisées dans quel but ?</v>
      </c>
      <c r="I105" s="6" t="str">
        <f>IFERROR(__xludf.DUMMYFUNCTION("GOOGLETRANSLATE(C105, ""en"", ""fr"")"),"A) Pour protéger les organisateurs des rodéos, B) Ce sont des courses pour jeunes taureaux inexpérimentés afin qu'ils apprennent le sport dans un environnement contrôlé, C) Ce sont des événements caritatifs pour collecter des fonds, D) Ce sont des courses"&amp;" pour taureaux retraités.")</f>
        <v>A) Pour protéger les organisateurs des rodéos, B) Ce sont des courses pour jeunes taureaux inexpérimentés afin qu'ils apprennent le sport dans un environnement contrôlé, C) Ce sont des événements caritatifs pour collecter des fonds, D) Ce sont des courses pour taureaux retraités.</v>
      </c>
      <c r="J105" s="6" t="str">
        <f>IFERROR(__xludf.DUMMYFUNCTION("GOOGLETRANSLATE(D105, ""en"", ""fr"")"),"B) Ce sont des courses pour jeunes taureaux inexpérimentés afin qu'ils apprennent ce sport dans un environnement contrôlé.")</f>
        <v>B) Ce sont des courses pour jeunes taureaux inexpérimentés afin qu'ils apprennent ce sport dans un environnement contrôlé.</v>
      </c>
      <c r="K105" s="6" t="str">
        <f>IFERROR(__xludf.DUMMYFUNCTION("GOOGLETRANSLATE(E105, ""en"", ""fr"")"),"Ce sont des courses « protégées » où les jeunes taureaux sont introduits dans l'arène de manière contrôlée, sans la pression des arboristes d'élite.")</f>
        <v>Ce sont des courses « protégées » où les jeunes taureaux sont introduits dans l'arène de manière contrôlée, sans la pression des arboristes d'élite.</v>
      </c>
    </row>
    <row r="106" ht="22.5" customHeight="1">
      <c r="A106" s="4">
        <v>105.0</v>
      </c>
      <c r="B106" s="5" t="s">
        <v>2461</v>
      </c>
      <c r="C106" s="5" t="s">
        <v>2462</v>
      </c>
      <c r="D106" s="5" t="s">
        <v>2398</v>
      </c>
      <c r="E106" s="5" t="s">
        <v>2463</v>
      </c>
      <c r="G106" s="6" t="str">
        <f>IFERROR(__xludf.DUMMYFUNCTION("GOOGLETRANSLATE(A106, ""en"", ""fr"")"),"105")</f>
        <v>105</v>
      </c>
      <c r="H106" s="6" t="str">
        <f>IFERROR(__xludf.DUMMYFUNCTION("GOOGLETRANSLATE(B106, ""en"", ""fr"")"),"Un taureau est retiré de l'arène et mis au pâturage. Comment cet événement est-il généralement commémoré par la communauté ?")</f>
        <v>Un taureau est retiré de l'arène et mis au pâturage. Comment cet événement est-il généralement commémoré par la communauté ?</v>
      </c>
      <c r="I106" s="6" t="str">
        <f>IFERROR(__xludf.DUMMYFUNCTION("GOOGLETRANSLATE(C106, ""en"", ""fr"")"),"A) Par une cérémonie discrète, B) Par une course finale « jubilé » ou d'adieu organisée en son honneur, C) Sans cérémonie particulière, D) Par une cérémonie de marquage final")</f>
        <v>A) Par une cérémonie discrète, B) Par une course finale « jubilé » ou d'adieu organisée en son honneur, C) Sans cérémonie particulière, D) Par une cérémonie de marquage final</v>
      </c>
      <c r="J106" s="6" t="str">
        <f>IFERROR(__xludf.DUMMYFUNCTION("GOOGLETRANSLATE(D106, ""en"", ""fr"")"),"B) Avec une course finale « jubilé » ou d'adieu en son honneur")</f>
        <v>B) Avec une course finale « jubilé » ou d'adieu en son honneur</v>
      </c>
      <c r="K106" s="6" t="str">
        <f>IFERROR(__xludf.DUMMYFUNCTION("GOOGLETRANSLATE(E106, ""en"", ""fr"")"),"Un grand cocardier se voit offrir une tournée d'adieu officielle et festive dans les arènes où il est devenu célèbre, applaudi par le public pour sa longue et courageuse carrière.")</f>
        <v>Un grand cocardier se voit offrir une tournée d'adieu officielle et festive dans les arènes où il est devenu célèbre, applaudi par le public pour sa longue et courageuse carrière.</v>
      </c>
    </row>
    <row r="107" ht="22.5" customHeight="1">
      <c r="A107" s="4">
        <v>106.0</v>
      </c>
      <c r="B107" s="5" t="s">
        <v>2353</v>
      </c>
      <c r="C107" s="5" t="s">
        <v>2354</v>
      </c>
      <c r="D107" s="5" t="s">
        <v>2355</v>
      </c>
      <c r="E107" s="5" t="s">
        <v>2356</v>
      </c>
      <c r="G107" s="6" t="str">
        <f>IFERROR(__xludf.DUMMYFUNCTION("GOOGLETRANSLATE(A107, ""en"", ""fr"")"),"106")</f>
        <v>106</v>
      </c>
      <c r="H107" s="6" t="str">
        <f>IFERROR(__xludf.DUMMYFUNCTION("GOOGLETRANSLATE(B107, ""en"", ""fr"")"),"Qu'est-ce que le « Trophée de l'Avenir » ?")</f>
        <v>Qu'est-ce que le « Trophée de l'Avenir » ?</v>
      </c>
      <c r="I107" s="6" t="str">
        <f>IFERROR(__xludf.DUMMYFUNCTION("GOOGLETRANSLATE(C107, ""en"", ""fr"")"),"A) Le championnat principal pour les éleveurs de taureaux d'élite, B) Le championnat pour les jeunes éleveurs prometteurs, C) Un prix pour l'éleveur le plus âgé, D) Un prix pour le meilleur éleveur de taureaux")</f>
        <v>A) Le championnat principal pour les éleveurs de taureaux d'élite, B) Le championnat pour les jeunes éleveurs prometteurs, C) Un prix pour l'éleveur le plus âgé, D) Un prix pour le meilleur éleveur de taureaux</v>
      </c>
      <c r="J107" s="6" t="str">
        <f>IFERROR(__xludf.DUMMYFUNCTION("GOOGLETRANSLATE(D107, ""en"", ""fr"")"),"B) Le championnat des jeunes razeteurs prometteurs")</f>
        <v>B) Le championnat des jeunes razeteurs prometteurs</v>
      </c>
      <c r="K107" s="6" t="str">
        <f>IFERROR(__xludf.DUMMYFUNCTION("GOOGLETRANSLATE(E107, ""en"", ""fr"")"),"Il s'agit de la compétition majeure pour la prochaine génération de stars, un tremplin vers l'élite du « Trophée des As ».")</f>
        <v>Il s'agit de la compétition majeure pour la prochaine génération de stars, un tremplin vers l'élite du « Trophée des As ».</v>
      </c>
    </row>
    <row r="108" ht="22.5" customHeight="1">
      <c r="A108" s="4">
        <v>107.0</v>
      </c>
      <c r="B108" s="5" t="s">
        <v>2357</v>
      </c>
      <c r="C108" s="5" t="s">
        <v>2358</v>
      </c>
      <c r="D108" s="5" t="s">
        <v>2359</v>
      </c>
      <c r="E108" s="5" t="s">
        <v>2360</v>
      </c>
      <c r="G108" s="6" t="str">
        <f>IFERROR(__xludf.DUMMYFUNCTION("GOOGLETRANSLATE(A108, ""en"", ""fr"")"),"107")</f>
        <v>107</v>
      </c>
      <c r="H108" s="6" t="str">
        <f>IFERROR(__xludf.DUMMYFUNCTION("GOOGLETRANSLATE(B108, ""en"", ""fr"")"),"On loue le taureau pour son « sens de la barrière ». Qu'est-ce que cela signifie ?")</f>
        <v>On loue le taureau pour son « sens de la barrière ». Qu'est-ce que cela signifie ?</v>
      </c>
      <c r="I108" s="6" t="str">
        <f>IFERROR(__xludf.DUMMYFUNCTION("GOOGLETRANSLATE(C108, ""en"", ""fr"")"),"A) Il a peur de la barrière, B) Il utilise intelligemment la barrière pour coincer un razeteur, C) Il essaie souvent de sauter par-dessus la barrière, D) Il reste au centre de l'arène")</f>
        <v>A) Il a peur de la barrière, B) Il utilise intelligemment la barrière pour coincer un razeteur, C) Il essaie souvent de sauter par-dessus la barrière, D) Il reste au centre de l'arène</v>
      </c>
      <c r="J108" s="6" t="str">
        <f>IFERROR(__xludf.DUMMYFUNCTION("GOOGLETRANSLATE(D108, ""en"", ""fr"")"),"B) Il utilise intelligemment la barrière pour coincer un razeteur")</f>
        <v>B) Il utilise intelligemment la barrière pour coincer un razeteur</v>
      </c>
      <c r="K108" s="6" t="str">
        <f>IFERROR(__xludf.DUMMYFUNCTION("GOOGLETRANSLATE(E108, ""en"", ""fr"")"),"Un taureau intelligent apprend à utiliser la géographie de l'arène, coinçant l'homme contre le mur pour l'empêcher de s'échapper ou de prendre un avantage.")</f>
        <v>Un taureau intelligent apprend à utiliser la géographie de l'arène, coinçant l'homme contre le mur pour l'empêcher de s'échapper ou de prendre un avantage.</v>
      </c>
    </row>
    <row r="109" ht="22.5" customHeight="1">
      <c r="A109" s="4">
        <v>108.0</v>
      </c>
      <c r="B109" s="5" t="s">
        <v>2464</v>
      </c>
      <c r="C109" s="5" t="s">
        <v>2465</v>
      </c>
      <c r="D109" s="5" t="s">
        <v>2466</v>
      </c>
      <c r="E109" s="5" t="s">
        <v>2467</v>
      </c>
      <c r="G109" s="6" t="str">
        <f>IFERROR(__xludf.DUMMYFUNCTION("GOOGLETRANSLATE(A109, ""en"", ""fr"")"),"108")</f>
        <v>108</v>
      </c>
      <c r="H109" s="6" t="str">
        <f>IFERROR(__xludf.DUMMYFUNCTION("GOOGLETRANSLATE(B109, ""en"", ""fr"")"),"En substance, l'histoire du Course Camarguaise est l'histoire de quoi ?")</f>
        <v>En substance, l'histoire du Course Camarguaise est l'histoire de quoi ?</v>
      </c>
      <c r="I109" s="6" t="str">
        <f>IFERROR(__xludf.DUMMYFUNCTION("GOOGLETRANSLATE(C109, ""en"", ""fr"")"),"A) L'essor et le déclin d'un sport professionnel, B) L'évolution d'un jeu folklorique local en un sport moderne organisé, C) Un conflit entre la France et l'Espagne, D) Un jeu ancien oublié")</f>
        <v>A) L'essor et le déclin d'un sport professionnel, B) L'évolution d'un jeu folklorique local en un sport moderne organisé, C) Un conflit entre la France et l'Espagne, D) Un jeu ancien oublié</v>
      </c>
      <c r="J109" s="6" t="str">
        <f>IFERROR(__xludf.DUMMYFUNCTION("GOOGLETRANSLATE(D109, ""en"", ""fr"")"),"B) L'évolution d'un jeu folklorique local en un sport moderne organisé")</f>
        <v>B) L'évolution d'un jeu folklorique local en un sport moderne organisé</v>
      </c>
      <c r="K109" s="6" t="str">
        <f>IFERROR(__xludf.DUMMYFUNCTION("GOOGLETRANSLATE(E109, ""en"", ""fr"")"),"L'évolution de ce sport, passé de jeux villageois informels à un sport structuré avec des fédérations et des championnats, est un exemple classique de modernisation d'une tradition populaire.")</f>
        <v>L'évolution de ce sport, passé de jeux villageois informels à un sport structuré avec des fédérations et des championnats, est un exemple classique de modernisation d'une tradition populaire.</v>
      </c>
    </row>
    <row r="110" ht="22.5" customHeight="1">
      <c r="A110" s="4">
        <v>109.0</v>
      </c>
      <c r="B110" s="5" t="s">
        <v>2389</v>
      </c>
      <c r="C110" s="5" t="s">
        <v>2468</v>
      </c>
      <c r="D110" s="5" t="s">
        <v>2391</v>
      </c>
      <c r="E110" s="5" t="s">
        <v>2392</v>
      </c>
      <c r="G110" s="6" t="str">
        <f>IFERROR(__xludf.DUMMYFUNCTION("GOOGLETRANSLATE(A110, ""en"", ""fr"")"),"109")</f>
        <v>109</v>
      </c>
      <c r="H110" s="6" t="str">
        <f>IFERROR(__xludf.DUMMYFUNCTION("GOOGLETRANSLATE(B110, ""en"", ""fr"")"),"Quelle est la principale différence entre l'abrivado et l'encierro espagnol (course de taureaux) ?")</f>
        <v>Quelle est la principale différence entre l'abrivado et l'encierro espagnol (course de taureaux) ?</v>
      </c>
      <c r="I110" s="6" t="str">
        <f>IFERROR(__xludf.DUMMYFUNCTION("GOOGLETRANSLATE(C110, ""en"", ""fr"")"),"A) L'abrivado utilise des chevaux pour guider les taureaux, tandis que l'encierro fait courir des personnes devant. B) L'abrivado est plus dangereux pour le public. C) L'encierro est une tradition plus ancienne. D) Il n'y a pas de réelle différence.")</f>
        <v>A) L'abrivado utilise des chevaux pour guider les taureaux, tandis que l'encierro fait courir des personnes devant. B) L'abrivado est plus dangereux pour le public. C) L'encierro est une tradition plus ancienne. D) Il n'y a pas de réelle différence.</v>
      </c>
      <c r="J110" s="6" t="str">
        <f>IFERROR(__xludf.DUMMYFUNCTION("GOOGLETRANSLATE(D110, ""en"", ""fr"")"),"A) L'abrivado utilise des chevaux pour guider les taureaux, tandis que l'encierro fait courir des hommes devant le cortège.")</f>
        <v>A) L'abrivado utilise des chevaux pour guider les taureaux, tandis que l'encierro fait courir des hommes devant le cortège.</v>
      </c>
      <c r="K110" s="6" t="str">
        <f>IFERROR(__xludf.DUMMYFUNCTION("GOOGLETRANSLATE(E110, ""en"", ""fr"")"),"C'est là une différence essentielle. L'abrivado est une démonstration d'équitation, les gardiens formant un V pour contrôler les taureaux, contrairement à la course de style pamplonas.")</f>
        <v>C'est là une différence essentielle. L'abrivado est une démonstration d'équitation, les gardiens formant un V pour contrôler les taureaux, contrairement à la course de style pamplonas.</v>
      </c>
    </row>
    <row r="111" ht="22.5" customHeight="1">
      <c r="A111" s="4">
        <v>110.0</v>
      </c>
      <c r="B111" s="5" t="s">
        <v>2253</v>
      </c>
      <c r="C111" s="5" t="s">
        <v>2469</v>
      </c>
      <c r="D111" s="5" t="s">
        <v>2255</v>
      </c>
      <c r="E111" s="5" t="s">
        <v>2470</v>
      </c>
      <c r="G111" s="6" t="str">
        <f>IFERROR(__xludf.DUMMYFUNCTION("GOOGLETRANSLATE(A111, ""en"", ""fr"")"),"110")</f>
        <v>110</v>
      </c>
      <c r="H111" s="6" t="str">
        <f>IFERROR(__xludf.DUMMYFUNCTION("GOOGLETRANSLATE(B111, ""en"", ""fr"")"),"Le Trophée des As est la compétition la plus prestigieuse pour quel groupe ?")</f>
        <v>Le Trophée des As est la compétition la plus prestigieuse pour quel groupe ?</v>
      </c>
      <c r="I111" s="6" t="str">
        <f>IFERROR(__xludf.DUMMYFUNCTION("GOOGLETRANSLATE(C111, ""en"", ""fr"")"),"A) Les taureaux, B) Les arpenteurs, C) Les éleveurs (manadiers), D) Les arbitres et les juges")</f>
        <v>A) Les taureaux, B) Les arpenteurs, C) Les éleveurs (manadiers), D) Les arbitres et les juges</v>
      </c>
      <c r="J111" s="6" t="str">
        <f>IFERROR(__xludf.DUMMYFUNCTION("GOOGLETRANSLATE(D111, ""en"", ""fr"")"),"B) Les razeteurs")</f>
        <v>B) Les razeteurs</v>
      </c>
      <c r="K111" s="6" t="str">
        <f>IFERROR(__xludf.DUMMYFUNCTION("GOOGLETRANSLATE(E111, ""en"", ""fr"")"),"Il s'agit du championnat d'élite, qui se déroule sur toute la saison et qui désigne le meilleur razeteur de l'année, équivalent à un titre de champion.")</f>
        <v>Il s'agit du championnat d'élite, qui se déroule sur toute la saison et qui désigne le meilleur razeteur de l'année, équivalent à un titre de champion.</v>
      </c>
    </row>
    <row r="112" ht="22.5" customHeight="1">
      <c r="A112" s="4">
        <v>111.0</v>
      </c>
      <c r="B112" s="5" t="s">
        <v>2419</v>
      </c>
      <c r="C112" s="5" t="s">
        <v>2420</v>
      </c>
      <c r="D112" s="5" t="s">
        <v>2421</v>
      </c>
      <c r="E112" s="5" t="s">
        <v>2422</v>
      </c>
      <c r="G112" s="6" t="str">
        <f>IFERROR(__xludf.DUMMYFUNCTION("GOOGLETRANSLATE(A112, ""en"", ""fr"")"),"111")</f>
        <v>111</v>
      </c>
      <c r="H112" s="6" t="str">
        <f>IFERROR(__xludf.DUMMYFUNCTION("GOOGLETRANSLATE(B112, ""en"", ""fr"")"),"À quelle période ont été créées les premières règles formelles et écrites de ce sport ?")</f>
        <v>À quelle période ont été créées les premières règles formelles et écrites de ce sport ?</v>
      </c>
      <c r="I112" s="6" t="str">
        <f>IFERROR(__xludf.DUMMYFUNCTION("GOOGLETRANSLATE(C112, ""en"", ""fr"")"),"A) Le XVe siècle, B) Le XVIIIe siècle, C) La fin du XIXe et le début du XXe siècle, D) Les années 1960")</f>
        <v>A) Le XVe siècle, B) Le XVIIIe siècle, C) La fin du XIXe et le début du XXe siècle, D) Les années 1960</v>
      </c>
      <c r="J112" s="6" t="str">
        <f>IFERROR(__xludf.DUMMYFUNCTION("GOOGLETRANSLATE(D112, ""en"", ""fr"")"),"C) La fin du XIXe et le début du XXe siècle")</f>
        <v>C) La fin du XIXe et le début du XXe siècle</v>
      </c>
      <c r="K112" s="6" t="str">
        <f>IFERROR(__xludf.DUMMYFUNCTION("GOOGLETRANSLATE(E112, ""en"", ""fr"")"),"La codification des règles était un élément clé du mouvement mené par des personnalités comme le marquis de Baroncelli pour préserver et moderniser la tradition.")</f>
        <v>La codification des règles était un élément clé du mouvement mené par des personnalités comme le marquis de Baroncelli pour préserver et moderniser la tradition.</v>
      </c>
    </row>
    <row r="113" ht="22.5" customHeight="1">
      <c r="A113" s="4">
        <v>112.0</v>
      </c>
      <c r="B113" s="5" t="s">
        <v>2427</v>
      </c>
      <c r="C113" s="5" t="s">
        <v>2471</v>
      </c>
      <c r="D113" s="5" t="s">
        <v>2429</v>
      </c>
      <c r="E113" s="5" t="s">
        <v>2472</v>
      </c>
      <c r="G113" s="6" t="str">
        <f>IFERROR(__xludf.DUMMYFUNCTION("GOOGLETRANSLATE(A113, ""en"", ""fr"")"),"112")</f>
        <v>112</v>
      </c>
      <c r="H113" s="6" t="str">
        <f>IFERROR(__xludf.DUMMYFUNCTION("GOOGLETRANSLATE(B113, ""en"", ""fr"")"),"Qu'est-ce que le crochet ?")</f>
        <v>Qu'est-ce que le crochet ?</v>
      </c>
      <c r="I113" s="6" t="str">
        <f>IFERROR(__xludf.DUMMYFUNCTION("GOOGLETRANSLATE(C113, ""en"", ""fr"")"),"A) Une manœuvre défensive du razeteur, B) Le crochet métallique porté par le razeteur pour s'emparer des attributs, C) La corne du taureau, D) La barrière de l'arène")</f>
        <v>A) Une manœuvre défensive du razeteur, B) Le crochet métallique porté par le razeteur pour s'emparer des attributs, C) La corne du taureau, D) La barrière de l'arène</v>
      </c>
      <c r="J113" s="6" t="str">
        <f>IFERROR(__xludf.DUMMYFUNCTION("GOOGLETRANSLATE(D113, ""en"", ""fr"")"),"B) Le crochet métallique porté à la main du razeteur pour arracher les attributs")</f>
        <v>B) Le crochet métallique porté à la main du razeteur pour arracher les attributs</v>
      </c>
      <c r="K113" s="6" t="str">
        <f>IFERROR(__xludf.DUMMYFUNCTION("GOOGLETRANSLATE(E113, ""en"", ""fr"")"),"Cet outil unique est l'instrument utilisé par le rasoirier pour accomplir la tâche délicate et dangereuse de couper les cordes des cornes du taureau.")</f>
        <v>Cet outil unique est l'instrument utilisé par le rasoirier pour accomplir la tâche délicate et dangereuse de couper les cordes des cornes du taureau.</v>
      </c>
    </row>
    <row r="114" ht="22.5" customHeight="1">
      <c r="A114" s="4">
        <v>113.0</v>
      </c>
      <c r="B114" s="5" t="s">
        <v>2431</v>
      </c>
      <c r="C114" s="5" t="s">
        <v>2432</v>
      </c>
      <c r="D114" s="5" t="s">
        <v>2433</v>
      </c>
      <c r="E114" s="5" t="s">
        <v>2473</v>
      </c>
      <c r="G114" s="6" t="str">
        <f>IFERROR(__xludf.DUMMYFUNCTION("GOOGLETRANSLATE(A114, ""en"", ""fr"")"),"113")</f>
        <v>113</v>
      </c>
      <c r="H114" s="6" t="str">
        <f>IFERROR(__xludf.DUMMYFUNCTION("GOOGLETRANSLATE(B114, ""en"", ""fr"")"),"La culture des gardiens (cow-boys camarguais) est au cœur de ce sport. Quel est leur événement annuel le plus important ?")</f>
        <v>La culture des gardiens (cow-boys camarguais) est au cœur de ce sport. Quel est leur événement annuel le plus important ?</v>
      </c>
      <c r="I114" s="6" t="str">
        <f>IFERROR(__xludf.DUMMYFUNCTION("GOOGLETRANSLATE(C114, ""en"", ""fr"")"),"A) La course camarguaise, B) Le marquage des poulains, C) La fête de l'Abrivado à Arles, D) L'élection de leur capitaine")</f>
        <v>A) La course camarguaise, B) Le marquage des poulains, C) La fête de l'Abrivado à Arles, D) L'élection de leur capitaine</v>
      </c>
      <c r="J114" s="6" t="str">
        <f>IFERROR(__xludf.DUMMYFUNCTION("GOOGLETRANSLATE(D114, ""en"", ""fr"")"),"C) Le festival d'Abrivado à Arles")</f>
        <v>C) Le festival d'Abrivado à Arles</v>
      </c>
      <c r="K114" s="6" t="str">
        <f>IFERROR(__xludf.DUMMYFUNCTION("GOOGLETRANSLATE(E114, ""en"", ""fr"")"),"Ce festival est une célébration majeure de la culture gardienne, avec des démonstrations équestres spectaculaires dans les rues d'Arles.")</f>
        <v>Ce festival est une célébration majeure de la culture gardienne, avec des démonstrations équestres spectaculaires dans les rues d'Arles.</v>
      </c>
    </row>
    <row r="115" ht="22.5" customHeight="1">
      <c r="A115" s="4">
        <v>114.0</v>
      </c>
      <c r="B115" s="5" t="s">
        <v>2435</v>
      </c>
      <c r="C115" s="5" t="s">
        <v>2474</v>
      </c>
      <c r="D115" s="5" t="s">
        <v>2437</v>
      </c>
      <c r="E115" s="5" t="s">
        <v>2438</v>
      </c>
      <c r="G115" s="6" t="str">
        <f>IFERROR(__xludf.DUMMYFUNCTION("GOOGLETRANSLATE(A115, ""en"", ""fr"")"),"114")</f>
        <v>114</v>
      </c>
      <c r="H115" s="6" t="str">
        <f>IFERROR(__xludf.DUMMYFUNCTION("GOOGLETRANSLATE(B115, ""en"", ""fr"")"),"Quelle est la signification de la statue d'un taureau dans un village ?")</f>
        <v>Quelle est la signification de la statue d'un taureau dans un village ?</v>
      </c>
      <c r="I115" s="6" t="str">
        <f>IFERROR(__xludf.DUMMYFUNCTION("GOOGLETRANSLATE(C115, ""en"", ""fr"")"),"A) C'est une pratique courante pour tous les taureaux de compétition, B) C'est le plus grand honneur, réservé aux taureaux les plus légendaires et les plus aimés, C) Il marque l'emplacement de la tombe du taureau, D) C'est principalement une attraction to"&amp;"uristique")</f>
        <v>A) C'est une pratique courante pour tous les taureaux de compétition, B) C'est le plus grand honneur, réservé aux taureaux les plus légendaires et les plus aimés, C) Il marque l'emplacement de la tombe du taureau, D) C'est principalement une attraction touristique</v>
      </c>
      <c r="J115" s="6" t="str">
        <f>IFERROR(__xludf.DUMMYFUNCTION("GOOGLETRANSLATE(D115, ""en"", ""fr"")"),"B) C'est le plus grand honneur, réservé uniquement aux taureaux les plus légendaires et les plus aimés.")</f>
        <v>B) C'est le plus grand honneur, réservé uniquement aux taureaux les plus légendaires et les plus aimés.</v>
      </c>
      <c r="K115" s="6" t="str">
        <f>IFERROR(__xludf.DUMMYFUNCTION("GOOGLETRANSLATE(E115, ""en"", ""fr"")"),"Une statue est un hommage permanent à un taureau qui a acquis un statut héroïque aux yeux de la communauté, un honneur rare et significatif.")</f>
        <v>Une statue est un hommage permanent à un taureau qui a acquis un statut héroïque aux yeux de la communauté, un honneur rare et significatif.</v>
      </c>
    </row>
    <row r="116" ht="22.5" customHeight="1">
      <c r="A116" s="4">
        <v>115.0</v>
      </c>
      <c r="B116" s="5" t="s">
        <v>2439</v>
      </c>
      <c r="C116" s="5" t="s">
        <v>2440</v>
      </c>
      <c r="D116" s="5" t="s">
        <v>2441</v>
      </c>
      <c r="E116" s="5" t="s">
        <v>2442</v>
      </c>
      <c r="G116" s="6" t="str">
        <f>IFERROR(__xludf.DUMMYFUNCTION("GOOGLETRANSLATE(A116, ""en"", ""fr"")"),"115")</f>
        <v>115</v>
      </c>
      <c r="H116" s="6" t="str">
        <f>IFERROR(__xludf.DUMMYFUNCTION("GOOGLETRANSLATE(B116, ""en"", ""fr"")"),"Quel est le nom du prestigieux tournoi qui se déroule chaque année en juillet dans les arènes romaines d'Arles ?")</f>
        <v>Quel est le nom du prestigieux tournoi qui se déroule chaque année en juillet dans les arènes romaines d'Arles ?</v>
      </c>
      <c r="I116" s="6" t="str">
        <f>IFERROR(__xludf.DUMMYFUNCTION("GOOGLETRANSLATE(C116, ""en"", ""fr"")"),"A) Le Biòu d'Or, B) Le Trophée des As, C) La Cocarde d'Or, D) La Palme d'Or")</f>
        <v>A) Le Biòu d'Or, B) Le Trophée des As, C) La Cocarde d'Or, D) La Palme d'Or</v>
      </c>
      <c r="J116" s="6" t="str">
        <f>IFERROR(__xludf.DUMMYFUNCTION("GOOGLETRANSLATE(D116, ""en"", ""fr"")"),"C) La Cocarde d'Or")</f>
        <v>C) La Cocarde d'Or</v>
      </c>
      <c r="K116" s="6" t="str">
        <f>IFERROR(__xludf.DUMMYFUNCTION("GOOGLETRANSLATE(E116, ""en"", ""fr"")"),"La « Cocarde d'Or », créée en 1928, est l'un des trois tournois majeurs de la saison.")</f>
        <v>La « Cocarde d'Or », créée en 1928, est l'un des trois tournois majeurs de la saison.</v>
      </c>
    </row>
    <row r="117" ht="22.5" customHeight="1">
      <c r="A117" s="4">
        <v>116.0</v>
      </c>
      <c r="B117" s="5" t="s">
        <v>2475</v>
      </c>
      <c r="C117" s="5" t="s">
        <v>2401</v>
      </c>
      <c r="D117" s="5" t="s">
        <v>2402</v>
      </c>
      <c r="E117" s="5" t="s">
        <v>2476</v>
      </c>
      <c r="G117" s="6" t="str">
        <f>IFERROR(__xludf.DUMMYFUNCTION("GOOGLETRANSLATE(A117, ""en"", ""fr"")"),"116")</f>
        <v>116</v>
      </c>
      <c r="H117" s="6" t="str">
        <f>IFERROR(__xludf.DUMMYFUNCTION("GOOGLETRANSLATE(B117, ""en"", ""fr"")"),"Une équipe de razeteurs se compose du razeteur principal et de quel autre rôle ?")</f>
        <v>Une équipe de razeteurs se compose du razeteur principal et de quel autre rôle ?</v>
      </c>
      <c r="I117" s="6" t="str">
        <f>IFERROR(__xludf.DUMMYFUNCTION("GOOGLETRANSLATE(C117, ""en"", ""fr"")"),"A) L'entraîneur, B) L'agent, C) Les joueurs de tournoi, D) Le sponsor")</f>
        <v>A) L'entraîneur, B) L'agent, C) Les joueurs de tournoi, D) Le sponsor</v>
      </c>
      <c r="J117" s="6" t="str">
        <f>IFERROR(__xludf.DUMMYFUNCTION("GOOGLETRANSLATE(D117, ""en"", ""fr"")"),"C) Les tourneurs")</f>
        <v>C) Les tourneurs</v>
      </c>
      <c r="K117" s="6" t="str">
        <f>IFERROR(__xludf.DUMMYFUNCTION("GOOGLETRANSLATE(E117, ""en"", ""fr"")"),"Les tourneurs sont les assistants dans l'arène qui travaillent à positionner correctement le taureau pour la charge du razeteur, un élément crucial de la stratégie de l'équipe.")</f>
        <v>Les tourneurs sont les assistants dans l'arène qui travaillent à positionner correctement le taureau pour la charge du razeteur, un élément crucial de la stratégie de l'équipe.</v>
      </c>
    </row>
    <row r="118" ht="22.5" customHeight="1">
      <c r="A118" s="4">
        <v>117.0</v>
      </c>
      <c r="B118" s="5" t="s">
        <v>2477</v>
      </c>
      <c r="C118" s="5" t="s">
        <v>2478</v>
      </c>
      <c r="D118" s="5" t="s">
        <v>2479</v>
      </c>
      <c r="E118" s="5" t="s">
        <v>2480</v>
      </c>
      <c r="G118" s="6" t="str">
        <f>IFERROR(__xludf.DUMMYFUNCTION("GOOGLETRANSLATE(A118, ""en"", ""fr"")"),"117")</f>
        <v>117</v>
      </c>
      <c r="H118" s="6" t="str">
        <f>IFERROR(__xludf.DUMMYFUNCTION("GOOGLETRANSLATE(B118, ""en"", ""fr"")"),"Ce sport est un produit culturel direct de l'environnement unique de la Camargue. En quoi consiste cet environnement ?")</f>
        <v>Ce sport est un produit culturel direct de l'environnement unique de la Camargue. En quoi consiste cet environnement ?</v>
      </c>
      <c r="I118" s="6" t="str">
        <f>IFERROR(__xludf.DUMMYFUNCTION("GOOGLETRANSLATE(C118, ""en"", ""fr"")"),"A) Une région montagneuse, B) Une forêt dense, C) Un vaste delta fluvial et une zone humide, D) Un désert aride")</f>
        <v>A) Une région montagneuse, B) Une forêt dense, C) Un vaste delta fluvial et une zone humide, D) Un désert aride</v>
      </c>
      <c r="J118" s="6" t="str">
        <f>IFERROR(__xludf.DUMMYFUNCTION("GOOGLETRANSLATE(D118, ""en"", ""fr"")"),"C) Un vaste delta fluvial et une zone humide")</f>
        <v>C) Un vaste delta fluvial et une zone humide</v>
      </c>
      <c r="K118" s="6" t="str">
        <f>IFERROR(__xludf.DUMMYFUNCTION("GOOGLETRANSLATE(E118, ""en"", ""fr"")"),"Toute cette tradition est façonnée par le paysage unique de la Camargue et les animaux semi-sauvages qui l'habitent.")</f>
        <v>Toute cette tradition est façonnée par le paysage unique de la Camargue et les animaux semi-sauvages qui l'habitent.</v>
      </c>
    </row>
    <row r="119" ht="22.5" customHeight="1">
      <c r="A119" s="4">
        <v>118.0</v>
      </c>
      <c r="B119" s="5" t="s">
        <v>2408</v>
      </c>
      <c r="C119" s="5" t="s">
        <v>2409</v>
      </c>
      <c r="D119" s="5" t="s">
        <v>2410</v>
      </c>
      <c r="E119" s="5" t="s">
        <v>2224</v>
      </c>
      <c r="G119" s="6" t="str">
        <f>IFERROR(__xludf.DUMMYFUNCTION("GOOGLETRANSLATE(A119, ""en"", ""fr"")"),"118")</f>
        <v>118</v>
      </c>
      <c r="H119" s="6" t="str">
        <f>IFERROR(__xludf.DUMMYFUNCTION("GOOGLETRANSLATE(B119, ""en"", ""fr"")"),"Quel titre reçoit-on souvent un taureau qui excelle particulièrement à défendre ses attributs et à défier les abatteurs ?")</f>
        <v>Quel titre reçoit-on souvent un taureau qui excelle particulièrement à défendre ses attributs et à défier les abatteurs ?</v>
      </c>
      <c r="I119" s="6" t="str">
        <f>IFERROR(__xludf.DUMMYFUNCTION("GOOGLETRANSLATE(C119, ""en"", ""fr"")"),"A) Un champion, B) Un cocardier, C) Une star, D) Une légende")</f>
        <v>A) Un champion, B) Un cocardier, C) Une star, D) Une légende</v>
      </c>
      <c r="J119" s="6" t="str">
        <f>IFERROR(__xludf.DUMMYFUNCTION("GOOGLETRANSLATE(D119, ""en"", ""fr"")"),"B) Un cocardier")</f>
        <v>B) Un cocardier</v>
      </c>
      <c r="K119" s="6" t="str">
        <f>IFERROR(__xludf.DUMMYFUNCTION("GOOGLETRANSLATE(E119, ""en"", ""fr"")"),"Un cocardier est le nom donné à un grand taureau de combat, une véritable star des courses camarguaises.")</f>
        <v>Un cocardier est le nom donné à un grand taureau de combat, une véritable star des courses camarguaises.</v>
      </c>
    </row>
    <row r="120" ht="22.5" customHeight="1">
      <c r="A120" s="4">
        <v>119.0</v>
      </c>
      <c r="B120" s="5" t="s">
        <v>2481</v>
      </c>
      <c r="C120" s="5" t="s">
        <v>2482</v>
      </c>
      <c r="D120" s="5" t="s">
        <v>2483</v>
      </c>
      <c r="E120" s="5" t="s">
        <v>2484</v>
      </c>
      <c r="G120" s="6" t="str">
        <f>IFERROR(__xludf.DUMMYFUNCTION("GOOGLETRANSLATE(A120, ""en"", ""fr"")"),"119")</f>
        <v>119</v>
      </c>
      <c r="H120" s="6" t="str">
        <f>IFERROR(__xludf.DUMMYFUNCTION("GOOGLETRANSLATE(B120, ""en"", ""fr"")"),"Le Trophée des As est un championnat pour les razeteurs. Quel est le championnat équivalent pour les taureaux ?")</f>
        <v>Le Trophée des As est un championnat pour les razeteurs. Quel est le championnat équivalent pour les taureaux ?</v>
      </c>
      <c r="I120" s="6" t="str">
        <f>IFERROR(__xludf.DUMMYFUNCTION("GOOGLETRANSLATE(C120, ""en"", ""fr"")"),"A) La Cocarde d'Or, B) Le Biòu d'Or, C) La Palme d'Or, D) Il n'existe pas de championnat pour les taureaux")</f>
        <v>A) La Cocarde d'Or, B) Le Biòu d'Or, C) La Palme d'Or, D) Il n'existe pas de championnat pour les taureaux</v>
      </c>
      <c r="J120" s="6" t="str">
        <f>IFERROR(__xludf.DUMMYFUNCTION("GOOGLETRANSLATE(D120, ""en"", ""fr"")"),"B) Le Biòu d'Or")</f>
        <v>B) Le Biòu d'Or</v>
      </c>
      <c r="K120" s="6" t="str">
        <f>IFERROR(__xludf.DUMMYFUNCTION("GOOGLETRANSLATE(E120, ""en"", ""fr"")"),"Le « Taureau d'or » est la récompense la plus prestigieuse pour un taureau, décernée par un vote de juges à la fin de la saison.")</f>
        <v>Le « Taureau d'or » est la récompense la plus prestigieuse pour un taureau, décernée par un vote de juges à la fin de la saison.</v>
      </c>
    </row>
    <row r="121" ht="22.5" customHeight="1">
      <c r="A121" s="4">
        <v>120.0</v>
      </c>
      <c r="B121" s="5" t="s">
        <v>2419</v>
      </c>
      <c r="C121" s="5" t="s">
        <v>2420</v>
      </c>
      <c r="D121" s="5" t="s">
        <v>2421</v>
      </c>
      <c r="E121" s="5" t="s">
        <v>2422</v>
      </c>
      <c r="G121" s="6" t="str">
        <f>IFERROR(__xludf.DUMMYFUNCTION("GOOGLETRANSLATE(A121, ""en"", ""fr"")"),"120")</f>
        <v>120</v>
      </c>
      <c r="H121" s="6" t="str">
        <f>IFERROR(__xludf.DUMMYFUNCTION("GOOGLETRANSLATE(B121, ""en"", ""fr"")"),"À quelle période ont été créées les premières règles formelles et écrites de ce sport ?")</f>
        <v>À quelle période ont été créées les premières règles formelles et écrites de ce sport ?</v>
      </c>
      <c r="I121" s="6" t="str">
        <f>IFERROR(__xludf.DUMMYFUNCTION("GOOGLETRANSLATE(C121, ""en"", ""fr"")"),"A) Le XVe siècle, B) Le XVIIIe siècle, C) La fin du XIXe et le début du XXe siècle, D) Les années 1960")</f>
        <v>A) Le XVe siècle, B) Le XVIIIe siècle, C) La fin du XIXe et le début du XXe siècle, D) Les années 1960</v>
      </c>
      <c r="J121" s="6" t="str">
        <f>IFERROR(__xludf.DUMMYFUNCTION("GOOGLETRANSLATE(D121, ""en"", ""fr"")"),"C) La fin du XIXe et le début du XXe siècle")</f>
        <v>C) La fin du XIXe et le début du XXe siècle</v>
      </c>
      <c r="K121" s="6" t="str">
        <f>IFERROR(__xludf.DUMMYFUNCTION("GOOGLETRANSLATE(E121, ""en"", ""fr"")"),"La codification des règles était un élément clé du mouvement mené par des personnalités comme le marquis de Baroncelli pour préserver et moderniser la tradition.")</f>
        <v>La codification des règles était un élément clé du mouvement mené par des personnalités comme le marquis de Baroncelli pour préserver et moderniser la tradition.</v>
      </c>
    </row>
    <row r="122" ht="22.5" customHeight="1">
      <c r="A122" s="4">
        <v>121.0</v>
      </c>
      <c r="B122" s="5" t="s">
        <v>2485</v>
      </c>
      <c r="C122" s="5" t="s">
        <v>2424</v>
      </c>
      <c r="D122" s="5" t="s">
        <v>2425</v>
      </c>
      <c r="E122" s="5" t="s">
        <v>2426</v>
      </c>
      <c r="G122" s="6" t="str">
        <f>IFERROR(__xludf.DUMMYFUNCTION("GOOGLETRANSLATE(A122, ""en"", ""fr"")"),"121")</f>
        <v>121</v>
      </c>
      <c r="H122" s="6" t="str">
        <f>IFERROR(__xludf.DUMMYFUNCTION("GOOGLETRANSLATE(B122, ""en"", ""fr"")"),"Un taureau est retiré de l'arène et mis au pâturage. Qu'est-ce que cela révèle de la philosophie de ce sport ?")</f>
        <v>Un taureau est retiré de l'arène et mis au pâturage. Qu'est-ce que cela révèle de la philosophie de ce sport ?</v>
      </c>
      <c r="I122" s="6" t="str">
        <f>IFERROR(__xludf.DUMMYFUNCTION("GOOGLETRANSLATE(C122, ""en"", ""fr"")"),"A) Que les taureaux ont de la valeur, B) Que le taureau est respecté comme un athlète et le héros du sport, et non comme un animal à sacrifier, C) Que les éleveurs sont riches, D) Que les taureaux sont trop vieux pour être utiles")</f>
        <v>A) Que les taureaux ont de la valeur, B) Que le taureau est respecté comme un athlète et le héros du sport, et non comme un animal à sacrifier, C) Que les éleveurs sont riches, D) Que les taureaux sont trop vieux pour être utiles</v>
      </c>
      <c r="J122" s="6" t="str">
        <f>IFERROR(__xludf.DUMMYFUNCTION("GOOGLETRANSLATE(D122, ""en"", ""fr"")"),"B) Que le taureau soit respecté comme un athlète et le héros de ce sport, et non comme un animal à sacrifier.")</f>
        <v>B) Que le taureau soit respecté comme un athlète et le héros de ce sport, et non comme un animal à sacrifier.</v>
      </c>
      <c r="K122" s="6" t="str">
        <f>IFERROR(__xludf.DUMMYFUNCTION("GOOGLETRANSLATE(E122, ""en"", ""fr"")"),"C’est là l’éthique centrale de la Course Camarguaise, qui la distingue fondamentalement de la corrida espagnole.")</f>
        <v>C’est là l’éthique centrale de la Course Camarguaise, qui la distingue fondamentalement de la corrida espagnole.</v>
      </c>
    </row>
    <row r="123" ht="22.5" customHeight="1">
      <c r="A123" s="4">
        <v>122.0</v>
      </c>
      <c r="B123" s="5" t="s">
        <v>2427</v>
      </c>
      <c r="C123" s="5" t="s">
        <v>2428</v>
      </c>
      <c r="D123" s="5" t="s">
        <v>2429</v>
      </c>
      <c r="E123" s="5" t="s">
        <v>2430</v>
      </c>
      <c r="G123" s="6" t="str">
        <f>IFERROR(__xludf.DUMMYFUNCTION("GOOGLETRANSLATE(A123, ""en"", ""fr"")"),"122")</f>
        <v>122</v>
      </c>
      <c r="H123" s="6" t="str">
        <f>IFERROR(__xludf.DUMMYFUNCTION("GOOGLETRANSLATE(B123, ""en"", ""fr"")"),"Qu'est-ce que le crochet ?")</f>
        <v>Qu'est-ce que le crochet ?</v>
      </c>
      <c r="I123" s="6" t="str">
        <f>IFERROR(__xludf.DUMMYFUNCTION("GOOGLETRANSLATE(C123, ""en"", ""fr"")"),"A) Une manœuvre défensive, B) Le crochet métallique porté par le razeteur pour s'emparer des attributs, C) La corne du taureau, D) La barrière de l'arène")</f>
        <v>A) Une manœuvre défensive, B) Le crochet métallique porté par le razeteur pour s'emparer des attributs, C) La corne du taureau, D) La barrière de l'arène</v>
      </c>
      <c r="J123" s="6" t="str">
        <f>IFERROR(__xludf.DUMMYFUNCTION("GOOGLETRANSLATE(D123, ""en"", ""fr"")"),"B) Le crochet métallique porté à la main du razeteur pour arracher les attributs")</f>
        <v>B) Le crochet métallique porté à la main du razeteur pour arracher les attributs</v>
      </c>
      <c r="K123" s="6" t="str">
        <f>IFERROR(__xludf.DUMMYFUNCTION("GOOGLETRANSLATE(E123, ""en"", ""fr"")"),"Cet outil unique est l'instrument utilisé par le rasoir pour accomplir la tâche délicate et dangereuse de couper les cordes.")</f>
        <v>Cet outil unique est l'instrument utilisé par le rasoir pour accomplir la tâche délicate et dangereuse de couper les cordes.</v>
      </c>
    </row>
    <row r="124" ht="22.5" customHeight="1">
      <c r="A124" s="4">
        <v>123.0</v>
      </c>
      <c r="B124" s="5" t="s">
        <v>2431</v>
      </c>
      <c r="C124" s="5" t="s">
        <v>2432</v>
      </c>
      <c r="D124" s="5" t="s">
        <v>2433</v>
      </c>
      <c r="E124" s="5" t="s">
        <v>2473</v>
      </c>
      <c r="G124" s="6" t="str">
        <f>IFERROR(__xludf.DUMMYFUNCTION("GOOGLETRANSLATE(A124, ""en"", ""fr"")"),"123")</f>
        <v>123</v>
      </c>
      <c r="H124" s="6" t="str">
        <f>IFERROR(__xludf.DUMMYFUNCTION("GOOGLETRANSLATE(B124, ""en"", ""fr"")"),"La culture des gardiens (cow-boys camarguais) est au cœur de ce sport. Quel est leur événement annuel le plus important ?")</f>
        <v>La culture des gardiens (cow-boys camarguais) est au cœur de ce sport. Quel est leur événement annuel le plus important ?</v>
      </c>
      <c r="I124" s="6" t="str">
        <f>IFERROR(__xludf.DUMMYFUNCTION("GOOGLETRANSLATE(C124, ""en"", ""fr"")"),"A) La course camarguaise, B) Le marquage des poulains, C) La fête de l'Abrivado à Arles, D) L'élection de leur capitaine")</f>
        <v>A) La course camarguaise, B) Le marquage des poulains, C) La fête de l'Abrivado à Arles, D) L'élection de leur capitaine</v>
      </c>
      <c r="J124" s="6" t="str">
        <f>IFERROR(__xludf.DUMMYFUNCTION("GOOGLETRANSLATE(D124, ""en"", ""fr"")"),"C) Le festival d'Abrivado à Arles")</f>
        <v>C) Le festival d'Abrivado à Arles</v>
      </c>
      <c r="K124" s="6" t="str">
        <f>IFERROR(__xludf.DUMMYFUNCTION("GOOGLETRANSLATE(E124, ""en"", ""fr"")"),"Ce festival est une célébration majeure de la culture gardienne, avec des démonstrations équestres spectaculaires dans les rues d'Arles.")</f>
        <v>Ce festival est une célébration majeure de la culture gardienne, avec des démonstrations équestres spectaculaires dans les rues d'Arles.</v>
      </c>
    </row>
    <row r="125" ht="22.5" customHeight="1">
      <c r="A125" s="4">
        <v>124.0</v>
      </c>
      <c r="B125" s="5" t="s">
        <v>2435</v>
      </c>
      <c r="C125" s="5" t="s">
        <v>2436</v>
      </c>
      <c r="D125" s="5" t="s">
        <v>2437</v>
      </c>
      <c r="E125" s="5" t="s">
        <v>2438</v>
      </c>
      <c r="G125" s="6" t="str">
        <f>IFERROR(__xludf.DUMMYFUNCTION("GOOGLETRANSLATE(A125, ""en"", ""fr"")"),"124")</f>
        <v>124</v>
      </c>
      <c r="H125" s="6" t="str">
        <f>IFERROR(__xludf.DUMMYFUNCTION("GOOGLETRANSLATE(B125, ""en"", ""fr"")"),"Quelle est la signification de la statue d'un taureau dans un village ?")</f>
        <v>Quelle est la signification de la statue d'un taureau dans un village ?</v>
      </c>
      <c r="I125" s="6" t="str">
        <f>IFERROR(__xludf.DUMMYFUNCTION("GOOGLETRANSLATE(C125, ""en"", ""fr"")"),"A) C'est une pratique courante pour tous les taureaux, B) C'est le plus grand honneur, réservé aux taureaux les plus légendaires et les plus aimés, C) Cela marque la tombe du taureau, D) C'est une attraction touristique")</f>
        <v>A) C'est une pratique courante pour tous les taureaux, B) C'est le plus grand honneur, réservé aux taureaux les plus légendaires et les plus aimés, C) Cela marque la tombe du taureau, D) C'est une attraction touristique</v>
      </c>
      <c r="J125" s="6" t="str">
        <f>IFERROR(__xludf.DUMMYFUNCTION("GOOGLETRANSLATE(D125, ""en"", ""fr"")"),"B) C'est le plus grand honneur, réservé uniquement aux taureaux les plus légendaires et les plus aimés.")</f>
        <v>B) C'est le plus grand honneur, réservé uniquement aux taureaux les plus légendaires et les plus aimés.</v>
      </c>
      <c r="K125" s="6" t="str">
        <f>IFERROR(__xludf.DUMMYFUNCTION("GOOGLETRANSLATE(E125, ""en"", ""fr"")"),"Une statue est un hommage permanent à un taureau qui a acquis un statut héroïque aux yeux de la communauté, un honneur rare et significatif.")</f>
        <v>Une statue est un hommage permanent à un taureau qui a acquis un statut héroïque aux yeux de la communauté, un honneur rare et significatif.</v>
      </c>
    </row>
    <row r="126" ht="22.5" customHeight="1">
      <c r="A126" s="4">
        <v>125.0</v>
      </c>
      <c r="B126" s="5" t="s">
        <v>2439</v>
      </c>
      <c r="C126" s="5" t="s">
        <v>2440</v>
      </c>
      <c r="D126" s="5" t="s">
        <v>2441</v>
      </c>
      <c r="E126" s="5" t="s">
        <v>2442</v>
      </c>
      <c r="G126" s="6" t="str">
        <f>IFERROR(__xludf.DUMMYFUNCTION("GOOGLETRANSLATE(A126, ""en"", ""fr"")"),"125")</f>
        <v>125</v>
      </c>
      <c r="H126" s="6" t="str">
        <f>IFERROR(__xludf.DUMMYFUNCTION("GOOGLETRANSLATE(B126, ""en"", ""fr"")"),"Quel est le nom du prestigieux tournoi qui se déroule chaque année en juillet dans les arènes romaines d'Arles ?")</f>
        <v>Quel est le nom du prestigieux tournoi qui se déroule chaque année en juillet dans les arènes romaines d'Arles ?</v>
      </c>
      <c r="I126" s="6" t="str">
        <f>IFERROR(__xludf.DUMMYFUNCTION("GOOGLETRANSLATE(C126, ""en"", ""fr"")"),"A) Le Biòu d'Or, B) Le Trophée des As, C) La Cocarde d'Or, D) La Palme d'Or")</f>
        <v>A) Le Biòu d'Or, B) Le Trophée des As, C) La Cocarde d'Or, D) La Palme d'Or</v>
      </c>
      <c r="J126" s="6" t="str">
        <f>IFERROR(__xludf.DUMMYFUNCTION("GOOGLETRANSLATE(D126, ""en"", ""fr"")"),"C) La Cocarde d'Or")</f>
        <v>C) La Cocarde d'Or</v>
      </c>
      <c r="K126" s="6" t="str">
        <f>IFERROR(__xludf.DUMMYFUNCTION("GOOGLETRANSLATE(E126, ""en"", ""fr"")"),"La « Cocarde d'Or », créée en 1928, est l'un des trois tournois majeurs de la saison.")</f>
        <v>La « Cocarde d'Or », créée en 1928, est l'un des trois tournois majeurs de la saison.</v>
      </c>
    </row>
    <row r="127" ht="22.5" customHeight="1">
      <c r="A127" s="4">
        <v>126.0</v>
      </c>
      <c r="B127" s="5" t="s">
        <v>2475</v>
      </c>
      <c r="C127" s="5" t="s">
        <v>2401</v>
      </c>
      <c r="D127" s="5" t="s">
        <v>2402</v>
      </c>
      <c r="E127" s="5" t="s">
        <v>2476</v>
      </c>
      <c r="G127" s="6" t="str">
        <f>IFERROR(__xludf.DUMMYFUNCTION("GOOGLETRANSLATE(A127, ""en"", ""fr"")"),"126")</f>
        <v>126</v>
      </c>
      <c r="H127" s="6" t="str">
        <f>IFERROR(__xludf.DUMMYFUNCTION("GOOGLETRANSLATE(B127, ""en"", ""fr"")"),"Une équipe de razeteurs se compose du razeteur principal et de quel autre rôle ?")</f>
        <v>Une équipe de razeteurs se compose du razeteur principal et de quel autre rôle ?</v>
      </c>
      <c r="I127" s="6" t="str">
        <f>IFERROR(__xludf.DUMMYFUNCTION("GOOGLETRANSLATE(C127, ""en"", ""fr"")"),"A) L'entraîneur, B) L'agent, C) Les joueurs de tournoi, D) Le sponsor")</f>
        <v>A) L'entraîneur, B) L'agent, C) Les joueurs de tournoi, D) Le sponsor</v>
      </c>
      <c r="J127" s="6" t="str">
        <f>IFERROR(__xludf.DUMMYFUNCTION("GOOGLETRANSLATE(D127, ""en"", ""fr"")"),"C) Les tourneurs")</f>
        <v>C) Les tourneurs</v>
      </c>
      <c r="K127" s="6" t="str">
        <f>IFERROR(__xludf.DUMMYFUNCTION("GOOGLETRANSLATE(E127, ""en"", ""fr"")"),"Les tourneurs sont les assistants dans l'arène qui travaillent à positionner correctement le taureau pour la charge du razeteur, un élément crucial de la stratégie de l'équipe.")</f>
        <v>Les tourneurs sont les assistants dans l'arène qui travaillent à positionner correctement le taureau pour la charge du razeteur, un élément crucial de la stratégie de l'équipe.</v>
      </c>
    </row>
    <row r="128" ht="22.5" customHeight="1">
      <c r="A128" s="4">
        <v>127.0</v>
      </c>
      <c r="B128" s="5" t="s">
        <v>2477</v>
      </c>
      <c r="C128" s="5" t="s">
        <v>2478</v>
      </c>
      <c r="D128" s="5" t="s">
        <v>2479</v>
      </c>
      <c r="E128" s="5" t="s">
        <v>2480</v>
      </c>
      <c r="G128" s="6" t="str">
        <f>IFERROR(__xludf.DUMMYFUNCTION("GOOGLETRANSLATE(A128, ""en"", ""fr"")"),"127")</f>
        <v>127</v>
      </c>
      <c r="H128" s="6" t="str">
        <f>IFERROR(__xludf.DUMMYFUNCTION("GOOGLETRANSLATE(B128, ""en"", ""fr"")"),"Ce sport est un produit culturel direct de l'environnement unique de la Camargue. En quoi consiste cet environnement ?")</f>
        <v>Ce sport est un produit culturel direct de l'environnement unique de la Camargue. En quoi consiste cet environnement ?</v>
      </c>
      <c r="I128" s="6" t="str">
        <f>IFERROR(__xludf.DUMMYFUNCTION("GOOGLETRANSLATE(C128, ""en"", ""fr"")"),"A) Une région montagneuse, B) Une forêt dense, C) Un vaste delta fluvial et une zone humide, D) Un désert aride")</f>
        <v>A) Une région montagneuse, B) Une forêt dense, C) Un vaste delta fluvial et une zone humide, D) Un désert aride</v>
      </c>
      <c r="J128" s="6" t="str">
        <f>IFERROR(__xludf.DUMMYFUNCTION("GOOGLETRANSLATE(D128, ""en"", ""fr"")"),"C) Un vaste delta fluvial et une zone humide")</f>
        <v>C) Un vaste delta fluvial et une zone humide</v>
      </c>
      <c r="K128" s="6" t="str">
        <f>IFERROR(__xludf.DUMMYFUNCTION("GOOGLETRANSLATE(E128, ""en"", ""fr"")"),"Toute cette tradition est façonnée par le paysage unique de la Camargue et les animaux semi-sauvages qui l'habitent.")</f>
        <v>Toute cette tradition est façonnée par le paysage unique de la Camargue et les animaux semi-sauvages qui l'habitent.</v>
      </c>
    </row>
    <row r="129" ht="22.5" customHeight="1">
      <c r="A129" s="4">
        <v>128.0</v>
      </c>
      <c r="B129" s="5" t="s">
        <v>2408</v>
      </c>
      <c r="C129" s="5" t="s">
        <v>2409</v>
      </c>
      <c r="D129" s="5" t="s">
        <v>2410</v>
      </c>
      <c r="E129" s="5" t="s">
        <v>2224</v>
      </c>
      <c r="G129" s="6" t="str">
        <f>IFERROR(__xludf.DUMMYFUNCTION("GOOGLETRANSLATE(A129, ""en"", ""fr"")"),"128")</f>
        <v>128</v>
      </c>
      <c r="H129" s="6" t="str">
        <f>IFERROR(__xludf.DUMMYFUNCTION("GOOGLETRANSLATE(B129, ""en"", ""fr"")"),"Quel titre reçoit-on souvent un taureau qui excelle particulièrement à défendre ses attributs et à défier les abatteurs ?")</f>
        <v>Quel titre reçoit-on souvent un taureau qui excelle particulièrement à défendre ses attributs et à défier les abatteurs ?</v>
      </c>
      <c r="I129" s="6" t="str">
        <f>IFERROR(__xludf.DUMMYFUNCTION("GOOGLETRANSLATE(C129, ""en"", ""fr"")"),"A) Un champion, B) Un cocardier, C) Une star, D) Une légende")</f>
        <v>A) Un champion, B) Un cocardier, C) Une star, D) Une légende</v>
      </c>
      <c r="J129" s="6" t="str">
        <f>IFERROR(__xludf.DUMMYFUNCTION("GOOGLETRANSLATE(D129, ""en"", ""fr"")"),"B) Un cocardier")</f>
        <v>B) Un cocardier</v>
      </c>
      <c r="K129" s="6" t="str">
        <f>IFERROR(__xludf.DUMMYFUNCTION("GOOGLETRANSLATE(E129, ""en"", ""fr"")"),"Un cocardier est le nom donné à un grand taureau de combat, une véritable star des courses camarguaises.")</f>
        <v>Un cocardier est le nom donné à un grand taureau de combat, une véritable star des courses camarguaises.</v>
      </c>
    </row>
    <row r="130" ht="22.5" customHeight="1">
      <c r="A130" s="4">
        <v>129.0</v>
      </c>
      <c r="B130" s="5" t="s">
        <v>2481</v>
      </c>
      <c r="C130" s="5" t="s">
        <v>2482</v>
      </c>
      <c r="D130" s="5" t="s">
        <v>2483</v>
      </c>
      <c r="E130" s="5" t="s">
        <v>2484</v>
      </c>
      <c r="G130" s="6" t="str">
        <f>IFERROR(__xludf.DUMMYFUNCTION("GOOGLETRANSLATE(A130, ""en"", ""fr"")"),"129")</f>
        <v>129</v>
      </c>
      <c r="H130" s="6" t="str">
        <f>IFERROR(__xludf.DUMMYFUNCTION("GOOGLETRANSLATE(B130, ""en"", ""fr"")"),"Le Trophée des As est un championnat pour les razeteurs. Quel est le championnat équivalent pour les taureaux ?")</f>
        <v>Le Trophée des As est un championnat pour les razeteurs. Quel est le championnat équivalent pour les taureaux ?</v>
      </c>
      <c r="I130" s="6" t="str">
        <f>IFERROR(__xludf.DUMMYFUNCTION("GOOGLETRANSLATE(C130, ""en"", ""fr"")"),"A) La Cocarde d'Or, B) Le Biòu d'Or, C) La Palme d'Or, D) Il n'existe pas de championnat pour les taureaux")</f>
        <v>A) La Cocarde d'Or, B) Le Biòu d'Or, C) La Palme d'Or, D) Il n'existe pas de championnat pour les taureaux</v>
      </c>
      <c r="J130" s="6" t="str">
        <f>IFERROR(__xludf.DUMMYFUNCTION("GOOGLETRANSLATE(D130, ""en"", ""fr"")"),"B) Le Biòu d'Or")</f>
        <v>B) Le Biòu d'Or</v>
      </c>
      <c r="K130" s="6" t="str">
        <f>IFERROR(__xludf.DUMMYFUNCTION("GOOGLETRANSLATE(E130, ""en"", ""fr"")"),"Le « Taureau d'or » est la récompense la plus prestigieuse pour un taureau, décernée par un vote de juges à la fin de la saison.")</f>
        <v>Le « Taureau d'or » est la récompense la plus prestigieuse pour un taureau, décernée par un vote de juges à la fin de la saison.</v>
      </c>
    </row>
    <row r="131" ht="22.5" customHeight="1">
      <c r="A131" s="4">
        <v>130.0</v>
      </c>
      <c r="B131" s="5" t="s">
        <v>2485</v>
      </c>
      <c r="C131" s="5" t="s">
        <v>2424</v>
      </c>
      <c r="D131" s="5" t="s">
        <v>2425</v>
      </c>
      <c r="E131" s="5" t="s">
        <v>2426</v>
      </c>
      <c r="G131" s="6" t="str">
        <f>IFERROR(__xludf.DUMMYFUNCTION("GOOGLETRANSLATE(A131, ""en"", ""fr"")"),"130")</f>
        <v>130</v>
      </c>
      <c r="H131" s="6" t="str">
        <f>IFERROR(__xludf.DUMMYFUNCTION("GOOGLETRANSLATE(B131, ""en"", ""fr"")"),"Un taureau est retiré de l'arène et mis au pâturage. Qu'est-ce que cela révèle de la philosophie de ce sport ?")</f>
        <v>Un taureau est retiré de l'arène et mis au pâturage. Qu'est-ce que cela révèle de la philosophie de ce sport ?</v>
      </c>
      <c r="I131" s="6" t="str">
        <f>IFERROR(__xludf.DUMMYFUNCTION("GOOGLETRANSLATE(C131, ""en"", ""fr"")"),"A) Que les taureaux ont de la valeur, B) Que le taureau est respecté comme un athlète et le héros du sport, et non comme un animal à sacrifier, C) Que les éleveurs sont riches, D) Que les taureaux sont trop vieux pour être utiles")</f>
        <v>A) Que les taureaux ont de la valeur, B) Que le taureau est respecté comme un athlète et le héros du sport, et non comme un animal à sacrifier, C) Que les éleveurs sont riches, D) Que les taureaux sont trop vieux pour être utiles</v>
      </c>
      <c r="J131" s="6" t="str">
        <f>IFERROR(__xludf.DUMMYFUNCTION("GOOGLETRANSLATE(D131, ""en"", ""fr"")"),"B) Que le taureau soit respecté comme un athlète et le héros de ce sport, et non comme un animal à sacrifier.")</f>
        <v>B) Que le taureau soit respecté comme un athlète et le héros de ce sport, et non comme un animal à sacrifier.</v>
      </c>
      <c r="K131" s="6" t="str">
        <f>IFERROR(__xludf.DUMMYFUNCTION("GOOGLETRANSLATE(E131, ""en"", ""fr"")"),"C’est là l’éthique centrale de la Course Camarguaise, qui la distingue fondamentalement de la corrida espagnole.")</f>
        <v>C’est là l’éthique centrale de la Course Camarguaise, qui la distingue fondamentalement de la corrida espagnole.</v>
      </c>
    </row>
    <row r="132" ht="22.5" customHeight="1">
      <c r="A132" s="4">
        <v>131.0</v>
      </c>
      <c r="B132" s="5" t="s">
        <v>2427</v>
      </c>
      <c r="C132" s="5" t="s">
        <v>2428</v>
      </c>
      <c r="D132" s="5" t="s">
        <v>2429</v>
      </c>
      <c r="E132" s="5" t="s">
        <v>2430</v>
      </c>
      <c r="G132" s="6" t="str">
        <f>IFERROR(__xludf.DUMMYFUNCTION("GOOGLETRANSLATE(A132, ""en"", ""fr"")"),"131")</f>
        <v>131</v>
      </c>
      <c r="H132" s="6" t="str">
        <f>IFERROR(__xludf.DUMMYFUNCTION("GOOGLETRANSLATE(B132, ""en"", ""fr"")"),"Qu'est-ce que le crochet ?")</f>
        <v>Qu'est-ce que le crochet ?</v>
      </c>
      <c r="I132" s="6" t="str">
        <f>IFERROR(__xludf.DUMMYFUNCTION("GOOGLETRANSLATE(C132, ""en"", ""fr"")"),"A) Une manœuvre défensive, B) Le crochet métallique porté par le razeteur pour s'emparer des attributs, C) La corne du taureau, D) La barrière de l'arène")</f>
        <v>A) Une manœuvre défensive, B) Le crochet métallique porté par le razeteur pour s'emparer des attributs, C) La corne du taureau, D) La barrière de l'arène</v>
      </c>
      <c r="J132" s="6" t="str">
        <f>IFERROR(__xludf.DUMMYFUNCTION("GOOGLETRANSLATE(D132, ""en"", ""fr"")"),"B) Le crochet métallique porté à la main du razeteur pour arracher les attributs")</f>
        <v>B) Le crochet métallique porté à la main du razeteur pour arracher les attributs</v>
      </c>
      <c r="K132" s="6" t="str">
        <f>IFERROR(__xludf.DUMMYFUNCTION("GOOGLETRANSLATE(E132, ""en"", ""fr"")"),"Cet outil unique est l'instrument utilisé par le rasoir pour accomplir la tâche délicate et dangereuse de couper les cordes.")</f>
        <v>Cet outil unique est l'instrument utilisé par le rasoir pour accomplir la tâche délicate et dangereuse de couper les cordes.</v>
      </c>
    </row>
    <row r="133" ht="22.5" customHeight="1">
      <c r="A133" s="4">
        <v>132.0</v>
      </c>
      <c r="B133" s="5" t="s">
        <v>2431</v>
      </c>
      <c r="C133" s="5" t="s">
        <v>2432</v>
      </c>
      <c r="D133" s="5" t="s">
        <v>2433</v>
      </c>
      <c r="E133" s="5" t="s">
        <v>2473</v>
      </c>
      <c r="G133" s="6" t="str">
        <f>IFERROR(__xludf.DUMMYFUNCTION("GOOGLETRANSLATE(A133, ""en"", ""fr"")"),"132")</f>
        <v>132</v>
      </c>
      <c r="H133" s="6" t="str">
        <f>IFERROR(__xludf.DUMMYFUNCTION("GOOGLETRANSLATE(B133, ""en"", ""fr"")"),"La culture des gardiens (cow-boys camarguais) est au cœur de ce sport. Quel est leur événement annuel le plus important ?")</f>
        <v>La culture des gardiens (cow-boys camarguais) est au cœur de ce sport. Quel est leur événement annuel le plus important ?</v>
      </c>
      <c r="I133" s="6" t="str">
        <f>IFERROR(__xludf.DUMMYFUNCTION("GOOGLETRANSLATE(C133, ""en"", ""fr"")"),"A) La course camarguaise, B) Le marquage des poulains, C) La fête de l'Abrivado à Arles, D) L'élection de leur capitaine")</f>
        <v>A) La course camarguaise, B) Le marquage des poulains, C) La fête de l'Abrivado à Arles, D) L'élection de leur capitaine</v>
      </c>
      <c r="J133" s="6" t="str">
        <f>IFERROR(__xludf.DUMMYFUNCTION("GOOGLETRANSLATE(D133, ""en"", ""fr"")"),"C) Le festival d'Abrivado à Arles")</f>
        <v>C) Le festival d'Abrivado à Arles</v>
      </c>
      <c r="K133" s="6" t="str">
        <f>IFERROR(__xludf.DUMMYFUNCTION("GOOGLETRANSLATE(E133, ""en"", ""fr"")"),"Ce festival est une célébration majeure de la culture gardienne, avec des démonstrations équestres spectaculaires dans les rues d'Arles.")</f>
        <v>Ce festival est une célébration majeure de la culture gardienne, avec des démonstrations équestres spectaculaires dans les rues d'Arles.</v>
      </c>
    </row>
    <row r="134" ht="22.5" customHeight="1">
      <c r="A134" s="4">
        <v>133.0</v>
      </c>
      <c r="B134" s="5" t="s">
        <v>2435</v>
      </c>
      <c r="C134" s="5" t="s">
        <v>2436</v>
      </c>
      <c r="D134" s="5" t="s">
        <v>2437</v>
      </c>
      <c r="E134" s="5" t="s">
        <v>2438</v>
      </c>
      <c r="G134" s="6" t="str">
        <f>IFERROR(__xludf.DUMMYFUNCTION("GOOGLETRANSLATE(A134, ""en"", ""fr"")"),"133")</f>
        <v>133</v>
      </c>
      <c r="H134" s="6" t="str">
        <f>IFERROR(__xludf.DUMMYFUNCTION("GOOGLETRANSLATE(B134, ""en"", ""fr"")"),"Quelle est la signification de la statue d'un taureau dans un village ?")</f>
        <v>Quelle est la signification de la statue d'un taureau dans un village ?</v>
      </c>
      <c r="I134" s="6" t="str">
        <f>IFERROR(__xludf.DUMMYFUNCTION("GOOGLETRANSLATE(C134, ""en"", ""fr"")"),"A) C'est une pratique courante pour tous les taureaux, B) C'est le plus grand honneur, réservé aux taureaux les plus légendaires et les plus aimés, C) Cela marque la tombe du taureau, D) C'est une attraction touristique")</f>
        <v>A) C'est une pratique courante pour tous les taureaux, B) C'est le plus grand honneur, réservé aux taureaux les plus légendaires et les plus aimés, C) Cela marque la tombe du taureau, D) C'est une attraction touristique</v>
      </c>
      <c r="J134" s="6" t="str">
        <f>IFERROR(__xludf.DUMMYFUNCTION("GOOGLETRANSLATE(D134, ""en"", ""fr"")"),"B) C'est le plus grand honneur, réservé uniquement aux taureaux les plus légendaires et les plus aimés.")</f>
        <v>B) C'est le plus grand honneur, réservé uniquement aux taureaux les plus légendaires et les plus aimés.</v>
      </c>
      <c r="K134" s="6" t="str">
        <f>IFERROR(__xludf.DUMMYFUNCTION("GOOGLETRANSLATE(E134, ""en"", ""fr"")"),"Une statue est un hommage permanent à un taureau qui a acquis un statut héroïque aux yeux de la communauté, un honneur rare et significatif.")</f>
        <v>Une statue est un hommage permanent à un taureau qui a acquis un statut héroïque aux yeux de la communauté, un honneur rare et significatif.</v>
      </c>
    </row>
    <row r="135" ht="22.5" customHeight="1">
      <c r="A135" s="4">
        <v>134.0</v>
      </c>
      <c r="B135" s="5" t="s">
        <v>2439</v>
      </c>
      <c r="C135" s="5" t="s">
        <v>2440</v>
      </c>
      <c r="D135" s="5" t="s">
        <v>2441</v>
      </c>
      <c r="E135" s="5" t="s">
        <v>2442</v>
      </c>
      <c r="G135" s="6" t="str">
        <f>IFERROR(__xludf.DUMMYFUNCTION("GOOGLETRANSLATE(A135, ""en"", ""fr"")"),"134")</f>
        <v>134</v>
      </c>
      <c r="H135" s="6" t="str">
        <f>IFERROR(__xludf.DUMMYFUNCTION("GOOGLETRANSLATE(B135, ""en"", ""fr"")"),"Quel est le nom du prestigieux tournoi qui se déroule chaque année en juillet dans les arènes romaines d'Arles ?")</f>
        <v>Quel est le nom du prestigieux tournoi qui se déroule chaque année en juillet dans les arènes romaines d'Arles ?</v>
      </c>
      <c r="I135" s="6" t="str">
        <f>IFERROR(__xludf.DUMMYFUNCTION("GOOGLETRANSLATE(C135, ""en"", ""fr"")"),"A) Le Biòu d'Or, B) Le Trophée des As, C) La Cocarde d'Or, D) La Palme d'Or")</f>
        <v>A) Le Biòu d'Or, B) Le Trophée des As, C) La Cocarde d'Or, D) La Palme d'Or</v>
      </c>
      <c r="J135" s="6" t="str">
        <f>IFERROR(__xludf.DUMMYFUNCTION("GOOGLETRANSLATE(D135, ""en"", ""fr"")"),"C) La Cocarde d'Or")</f>
        <v>C) La Cocarde d'Or</v>
      </c>
      <c r="K135" s="6" t="str">
        <f>IFERROR(__xludf.DUMMYFUNCTION("GOOGLETRANSLATE(E135, ""en"", ""fr"")"),"La « Cocarde d'Or », créée en 1928, est l'un des trois tournois majeurs de la saison.")</f>
        <v>La « Cocarde d'Or », créée en 1928, est l'un des trois tournois majeurs de la saison.</v>
      </c>
    </row>
    <row r="136" ht="22.5" customHeight="1">
      <c r="A136" s="4">
        <v>135.0</v>
      </c>
      <c r="B136" s="5" t="s">
        <v>2475</v>
      </c>
      <c r="C136" s="5" t="s">
        <v>2401</v>
      </c>
      <c r="D136" s="5" t="s">
        <v>2402</v>
      </c>
      <c r="E136" s="5" t="s">
        <v>2476</v>
      </c>
      <c r="G136" s="6" t="str">
        <f>IFERROR(__xludf.DUMMYFUNCTION("GOOGLETRANSLATE(A136, ""en"", ""fr"")"),"135")</f>
        <v>135</v>
      </c>
      <c r="H136" s="6" t="str">
        <f>IFERROR(__xludf.DUMMYFUNCTION("GOOGLETRANSLATE(B136, ""en"", ""fr"")"),"Une équipe de razeteurs se compose du razeteur principal et de quel autre rôle ?")</f>
        <v>Une équipe de razeteurs se compose du razeteur principal et de quel autre rôle ?</v>
      </c>
      <c r="I136" s="6" t="str">
        <f>IFERROR(__xludf.DUMMYFUNCTION("GOOGLETRANSLATE(C136, ""en"", ""fr"")"),"A) L'entraîneur, B) L'agent, C) Les joueurs de tournoi, D) Le sponsor")</f>
        <v>A) L'entraîneur, B) L'agent, C) Les joueurs de tournoi, D) Le sponsor</v>
      </c>
      <c r="J136" s="6" t="str">
        <f>IFERROR(__xludf.DUMMYFUNCTION("GOOGLETRANSLATE(D136, ""en"", ""fr"")"),"C) Les tourneurs")</f>
        <v>C) Les tourneurs</v>
      </c>
      <c r="K136" s="6" t="str">
        <f>IFERROR(__xludf.DUMMYFUNCTION("GOOGLETRANSLATE(E136, ""en"", ""fr"")"),"Les tourneurs sont les assistants dans l'arène qui travaillent à positionner correctement le taureau pour la charge du razeteur, un élément crucial de la stratégie de l'équipe.")</f>
        <v>Les tourneurs sont les assistants dans l'arène qui travaillent à positionner correctement le taureau pour la charge du razeteur, un élément crucial de la stratégie de l'équipe.</v>
      </c>
    </row>
    <row r="137" ht="22.5" customHeight="1">
      <c r="A137" s="4">
        <v>136.0</v>
      </c>
      <c r="B137" s="5" t="s">
        <v>2477</v>
      </c>
      <c r="C137" s="5" t="s">
        <v>2478</v>
      </c>
      <c r="D137" s="5" t="s">
        <v>2479</v>
      </c>
      <c r="E137" s="5" t="s">
        <v>2480</v>
      </c>
      <c r="G137" s="6" t="str">
        <f>IFERROR(__xludf.DUMMYFUNCTION("GOOGLETRANSLATE(A137, ""en"", ""fr"")"),"136")</f>
        <v>136</v>
      </c>
      <c r="H137" s="6" t="str">
        <f>IFERROR(__xludf.DUMMYFUNCTION("GOOGLETRANSLATE(B137, ""en"", ""fr"")"),"Ce sport est un produit culturel direct de l'environnement unique de la Camargue. En quoi consiste cet environnement ?")</f>
        <v>Ce sport est un produit culturel direct de l'environnement unique de la Camargue. En quoi consiste cet environnement ?</v>
      </c>
      <c r="I137" s="6" t="str">
        <f>IFERROR(__xludf.DUMMYFUNCTION("GOOGLETRANSLATE(C137, ""en"", ""fr"")"),"A) Une région montagneuse, B) Une forêt dense, C) Un vaste delta fluvial et une zone humide, D) Un désert aride")</f>
        <v>A) Une région montagneuse, B) Une forêt dense, C) Un vaste delta fluvial et une zone humide, D) Un désert aride</v>
      </c>
      <c r="J137" s="6" t="str">
        <f>IFERROR(__xludf.DUMMYFUNCTION("GOOGLETRANSLATE(D137, ""en"", ""fr"")"),"C) Un vaste delta fluvial et une zone humide")</f>
        <v>C) Un vaste delta fluvial et une zone humide</v>
      </c>
      <c r="K137" s="6" t="str">
        <f>IFERROR(__xludf.DUMMYFUNCTION("GOOGLETRANSLATE(E137, ""en"", ""fr"")"),"Toute cette tradition est façonnée par le paysage unique de la Camargue et les animaux semi-sauvages qui l'habitent.")</f>
        <v>Toute cette tradition est façonnée par le paysage unique de la Camargue et les animaux semi-sauvages qui l'habitent.</v>
      </c>
    </row>
    <row r="138" ht="22.5" customHeight="1">
      <c r="A138" s="4">
        <v>137.0</v>
      </c>
      <c r="B138" s="5" t="s">
        <v>2408</v>
      </c>
      <c r="C138" s="5" t="s">
        <v>2409</v>
      </c>
      <c r="D138" s="5" t="s">
        <v>2410</v>
      </c>
      <c r="E138" s="5" t="s">
        <v>2224</v>
      </c>
      <c r="G138" s="6" t="str">
        <f>IFERROR(__xludf.DUMMYFUNCTION("GOOGLETRANSLATE(A138, ""en"", ""fr"")"),"137")</f>
        <v>137</v>
      </c>
      <c r="H138" s="6" t="str">
        <f>IFERROR(__xludf.DUMMYFUNCTION("GOOGLETRANSLATE(B138, ""en"", ""fr"")"),"Quel titre reçoit-on souvent un taureau qui excelle particulièrement à défendre ses attributs et à défier les abatteurs ?")</f>
        <v>Quel titre reçoit-on souvent un taureau qui excelle particulièrement à défendre ses attributs et à défier les abatteurs ?</v>
      </c>
      <c r="I138" s="6" t="str">
        <f>IFERROR(__xludf.DUMMYFUNCTION("GOOGLETRANSLATE(C138, ""en"", ""fr"")"),"A) Un champion, B) Un cocardier, C) Une star, D) Une légende")</f>
        <v>A) Un champion, B) Un cocardier, C) Une star, D) Une légende</v>
      </c>
      <c r="J138" s="6" t="str">
        <f>IFERROR(__xludf.DUMMYFUNCTION("GOOGLETRANSLATE(D138, ""en"", ""fr"")"),"B) Un cocardier")</f>
        <v>B) Un cocardier</v>
      </c>
      <c r="K138" s="6" t="str">
        <f>IFERROR(__xludf.DUMMYFUNCTION("GOOGLETRANSLATE(E138, ""en"", ""fr"")"),"Un cocardier est le nom donné à un grand taureau de combat, une véritable star des courses camarguaises.")</f>
        <v>Un cocardier est le nom donné à un grand taureau de combat, une véritable star des courses camarguaises.</v>
      </c>
    </row>
    <row r="139" ht="22.5" customHeight="1">
      <c r="A139" s="4">
        <v>138.0</v>
      </c>
      <c r="B139" s="5" t="s">
        <v>2481</v>
      </c>
      <c r="C139" s="5" t="s">
        <v>2482</v>
      </c>
      <c r="D139" s="5" t="s">
        <v>2483</v>
      </c>
      <c r="E139" s="5" t="s">
        <v>2484</v>
      </c>
      <c r="G139" s="6" t="str">
        <f>IFERROR(__xludf.DUMMYFUNCTION("GOOGLETRANSLATE(A139, ""en"", ""fr"")"),"138")</f>
        <v>138</v>
      </c>
      <c r="H139" s="6" t="str">
        <f>IFERROR(__xludf.DUMMYFUNCTION("GOOGLETRANSLATE(B139, ""en"", ""fr"")"),"Le Trophée des As est un championnat pour les razeteurs. Quel est le championnat équivalent pour les taureaux ?")</f>
        <v>Le Trophée des As est un championnat pour les razeteurs. Quel est le championnat équivalent pour les taureaux ?</v>
      </c>
      <c r="I139" s="6" t="str">
        <f>IFERROR(__xludf.DUMMYFUNCTION("GOOGLETRANSLATE(C139, ""en"", ""fr"")"),"A) La Cocarde d'Or, B) Le Biòu d'Or, C) La Palme d'Or, D) Il n'existe pas de championnat pour les taureaux")</f>
        <v>A) La Cocarde d'Or, B) Le Biòu d'Or, C) La Palme d'Or, D) Il n'existe pas de championnat pour les taureaux</v>
      </c>
      <c r="J139" s="6" t="str">
        <f>IFERROR(__xludf.DUMMYFUNCTION("GOOGLETRANSLATE(D139, ""en"", ""fr"")"),"B) Le Biòu d'Or")</f>
        <v>B) Le Biòu d'Or</v>
      </c>
      <c r="K139" s="6" t="str">
        <f>IFERROR(__xludf.DUMMYFUNCTION("GOOGLETRANSLATE(E139, ""en"", ""fr"")"),"Le « Taureau d'or » est la récompense la plus prestigieuse pour un taureau, décernée par un vote de juges à la fin de la saison.")</f>
        <v>Le « Taureau d'or » est la récompense la plus prestigieuse pour un taureau, décernée par un vote de juges à la fin de la saison.</v>
      </c>
    </row>
    <row r="140" ht="22.5" customHeight="1">
      <c r="A140" s="4">
        <v>139.0</v>
      </c>
      <c r="B140" s="5" t="s">
        <v>2485</v>
      </c>
      <c r="C140" s="5" t="s">
        <v>2424</v>
      </c>
      <c r="D140" s="5" t="s">
        <v>2425</v>
      </c>
      <c r="E140" s="5" t="s">
        <v>2426</v>
      </c>
      <c r="G140" s="6" t="str">
        <f>IFERROR(__xludf.DUMMYFUNCTION("GOOGLETRANSLATE(A140, ""en"", ""fr"")"),"139")</f>
        <v>139</v>
      </c>
      <c r="H140" s="6" t="str">
        <f>IFERROR(__xludf.DUMMYFUNCTION("GOOGLETRANSLATE(B140, ""en"", ""fr"")"),"Un taureau est retiré de l'arène et mis au pâturage. Qu'est-ce que cela révèle de la philosophie de ce sport ?")</f>
        <v>Un taureau est retiré de l'arène et mis au pâturage. Qu'est-ce que cela révèle de la philosophie de ce sport ?</v>
      </c>
      <c r="I140" s="6" t="str">
        <f>IFERROR(__xludf.DUMMYFUNCTION("GOOGLETRANSLATE(C140, ""en"", ""fr"")"),"A) Que les taureaux ont de la valeur, B) Que le taureau est respecté comme un athlète et le héros du sport, et non comme un animal à sacrifier, C) Que les éleveurs sont riches, D) Que les taureaux sont trop vieux pour être utiles")</f>
        <v>A) Que les taureaux ont de la valeur, B) Que le taureau est respecté comme un athlète et le héros du sport, et non comme un animal à sacrifier, C) Que les éleveurs sont riches, D) Que les taureaux sont trop vieux pour être utiles</v>
      </c>
      <c r="J140" s="6" t="str">
        <f>IFERROR(__xludf.DUMMYFUNCTION("GOOGLETRANSLATE(D140, ""en"", ""fr"")"),"B) Que le taureau soit respecté comme un athlète et le héros de ce sport, et non comme un animal à sacrifier.")</f>
        <v>B) Que le taureau soit respecté comme un athlète et le héros de ce sport, et non comme un animal à sacrifier.</v>
      </c>
      <c r="K140" s="6" t="str">
        <f>IFERROR(__xludf.DUMMYFUNCTION("GOOGLETRANSLATE(E140, ""en"", ""fr"")"),"C’est là l’éthique centrale de la Course Camarguaise, qui la distingue fondamentalement de la corrida espagnole.")</f>
        <v>C’est là l’éthique centrale de la Course Camarguaise, qui la distingue fondamentalement de la corrida espagnole.</v>
      </c>
    </row>
    <row r="141" ht="22.5" customHeight="1">
      <c r="A141" s="4">
        <v>140.0</v>
      </c>
      <c r="B141" s="5" t="s">
        <v>2427</v>
      </c>
      <c r="C141" s="5" t="s">
        <v>2428</v>
      </c>
      <c r="D141" s="5" t="s">
        <v>2429</v>
      </c>
      <c r="E141" s="5" t="s">
        <v>2430</v>
      </c>
      <c r="G141" s="6" t="str">
        <f>IFERROR(__xludf.DUMMYFUNCTION("GOOGLETRANSLATE(A141, ""en"", ""fr"")"),"140")</f>
        <v>140</v>
      </c>
      <c r="H141" s="6" t="str">
        <f>IFERROR(__xludf.DUMMYFUNCTION("GOOGLETRANSLATE(B141, ""en"", ""fr"")"),"Qu'est-ce que le crochet ?")</f>
        <v>Qu'est-ce que le crochet ?</v>
      </c>
      <c r="I141" s="6" t="str">
        <f>IFERROR(__xludf.DUMMYFUNCTION("GOOGLETRANSLATE(C141, ""en"", ""fr"")"),"A) Une manœuvre défensive, B) Le crochet métallique porté par le razeteur pour s'emparer des attributs, C) La corne du taureau, D) La barrière de l'arène")</f>
        <v>A) Une manœuvre défensive, B) Le crochet métallique porté par le razeteur pour s'emparer des attributs, C) La corne du taureau, D) La barrière de l'arène</v>
      </c>
      <c r="J141" s="6" t="str">
        <f>IFERROR(__xludf.DUMMYFUNCTION("GOOGLETRANSLATE(D141, ""en"", ""fr"")"),"B) Le crochet métallique porté à la main du razeteur pour arracher les attributs")</f>
        <v>B) Le crochet métallique porté à la main du razeteur pour arracher les attributs</v>
      </c>
      <c r="K141" s="6" t="str">
        <f>IFERROR(__xludf.DUMMYFUNCTION("GOOGLETRANSLATE(E141, ""en"", ""fr"")"),"Cet outil unique est l'instrument utilisé par le rasoir pour accomplir la tâche délicate et dangereuse de couper les cordes.")</f>
        <v>Cet outil unique est l'instrument utilisé par le rasoir pour accomplir la tâche délicate et dangereuse de couper les cordes.</v>
      </c>
    </row>
    <row r="142" ht="22.5" customHeight="1">
      <c r="A142" s="4">
        <v>141.0</v>
      </c>
      <c r="B142" s="5" t="s">
        <v>2431</v>
      </c>
      <c r="C142" s="5" t="s">
        <v>2432</v>
      </c>
      <c r="D142" s="5" t="s">
        <v>2433</v>
      </c>
      <c r="E142" s="5" t="s">
        <v>2473</v>
      </c>
      <c r="G142" s="6" t="str">
        <f>IFERROR(__xludf.DUMMYFUNCTION("GOOGLETRANSLATE(A142, ""en"", ""fr"")"),"141")</f>
        <v>141</v>
      </c>
      <c r="H142" s="6" t="str">
        <f>IFERROR(__xludf.DUMMYFUNCTION("GOOGLETRANSLATE(B142, ""en"", ""fr"")"),"La culture des gardiens (cow-boys camarguais) est au cœur de ce sport. Quel est leur événement annuel le plus important ?")</f>
        <v>La culture des gardiens (cow-boys camarguais) est au cœur de ce sport. Quel est leur événement annuel le plus important ?</v>
      </c>
      <c r="I142" s="6" t="str">
        <f>IFERROR(__xludf.DUMMYFUNCTION("GOOGLETRANSLATE(C142, ""en"", ""fr"")"),"A) La course camarguaise, B) Le marquage des poulains, C) La fête de l'Abrivado à Arles, D) L'élection de leur capitaine")</f>
        <v>A) La course camarguaise, B) Le marquage des poulains, C) La fête de l'Abrivado à Arles, D) L'élection de leur capitaine</v>
      </c>
      <c r="J142" s="6" t="str">
        <f>IFERROR(__xludf.DUMMYFUNCTION("GOOGLETRANSLATE(D142, ""en"", ""fr"")"),"C) Le festival d'Abrivado à Arles")</f>
        <v>C) Le festival d'Abrivado à Arles</v>
      </c>
      <c r="K142" s="6" t="str">
        <f>IFERROR(__xludf.DUMMYFUNCTION("GOOGLETRANSLATE(E142, ""en"", ""fr"")"),"Ce festival est une célébration majeure de la culture gardienne, avec des démonstrations équestres spectaculaires dans les rues d'Arles.")</f>
        <v>Ce festival est une célébration majeure de la culture gardienne, avec des démonstrations équestres spectaculaires dans les rues d'Arles.</v>
      </c>
    </row>
    <row r="143" ht="22.5" customHeight="1">
      <c r="A143" s="4">
        <v>142.0</v>
      </c>
      <c r="B143" s="5" t="s">
        <v>2435</v>
      </c>
      <c r="C143" s="5" t="s">
        <v>2436</v>
      </c>
      <c r="D143" s="5" t="s">
        <v>2437</v>
      </c>
      <c r="E143" s="5" t="s">
        <v>2438</v>
      </c>
      <c r="G143" s="6" t="str">
        <f>IFERROR(__xludf.DUMMYFUNCTION("GOOGLETRANSLATE(A143, ""en"", ""fr"")"),"142")</f>
        <v>142</v>
      </c>
      <c r="H143" s="6" t="str">
        <f>IFERROR(__xludf.DUMMYFUNCTION("GOOGLETRANSLATE(B143, ""en"", ""fr"")"),"Quelle est la signification de la statue d'un taureau dans un village ?")</f>
        <v>Quelle est la signification de la statue d'un taureau dans un village ?</v>
      </c>
      <c r="I143" s="6" t="str">
        <f>IFERROR(__xludf.DUMMYFUNCTION("GOOGLETRANSLATE(C143, ""en"", ""fr"")"),"A) C'est une pratique courante pour tous les taureaux, B) C'est le plus grand honneur, réservé aux taureaux les plus légendaires et les plus aimés, C) Cela marque la tombe du taureau, D) C'est une attraction touristique")</f>
        <v>A) C'est une pratique courante pour tous les taureaux, B) C'est le plus grand honneur, réservé aux taureaux les plus légendaires et les plus aimés, C) Cela marque la tombe du taureau, D) C'est une attraction touristique</v>
      </c>
      <c r="J143" s="6" t="str">
        <f>IFERROR(__xludf.DUMMYFUNCTION("GOOGLETRANSLATE(D143, ""en"", ""fr"")"),"B) C'est le plus grand honneur, réservé uniquement aux taureaux les plus légendaires et les plus aimés.")</f>
        <v>B) C'est le plus grand honneur, réservé uniquement aux taureaux les plus légendaires et les plus aimés.</v>
      </c>
      <c r="K143" s="6" t="str">
        <f>IFERROR(__xludf.DUMMYFUNCTION("GOOGLETRANSLATE(E143, ""en"", ""fr"")"),"Une statue est un hommage permanent à un taureau qui a acquis un statut héroïque aux yeux de la communauté, un honneur rare et significatif.")</f>
        <v>Une statue est un hommage permanent à un taureau qui a acquis un statut héroïque aux yeux de la communauté, un honneur rare et significatif.</v>
      </c>
    </row>
    <row r="144" ht="22.5" customHeight="1">
      <c r="A144" s="4">
        <v>143.0</v>
      </c>
      <c r="B144" s="5" t="s">
        <v>2439</v>
      </c>
      <c r="C144" s="5" t="s">
        <v>2440</v>
      </c>
      <c r="D144" s="5" t="s">
        <v>2441</v>
      </c>
      <c r="E144" s="5" t="s">
        <v>2442</v>
      </c>
      <c r="G144" s="6" t="str">
        <f>IFERROR(__xludf.DUMMYFUNCTION("GOOGLETRANSLATE(A144, ""en"", ""fr"")"),"143")</f>
        <v>143</v>
      </c>
      <c r="H144" s="6" t="str">
        <f>IFERROR(__xludf.DUMMYFUNCTION("GOOGLETRANSLATE(B144, ""en"", ""fr"")"),"Quel est le nom du prestigieux tournoi qui se déroule chaque année en juillet dans les arènes romaines d'Arles ?")</f>
        <v>Quel est le nom du prestigieux tournoi qui se déroule chaque année en juillet dans les arènes romaines d'Arles ?</v>
      </c>
      <c r="I144" s="6" t="str">
        <f>IFERROR(__xludf.DUMMYFUNCTION("GOOGLETRANSLATE(C144, ""en"", ""fr"")"),"A) Le Biòu d'Or, B) Le Trophée des As, C) La Cocarde d'Or, D) La Palme d'Or")</f>
        <v>A) Le Biòu d'Or, B) Le Trophée des As, C) La Cocarde d'Or, D) La Palme d'Or</v>
      </c>
      <c r="J144" s="6" t="str">
        <f>IFERROR(__xludf.DUMMYFUNCTION("GOOGLETRANSLATE(D144, ""en"", ""fr"")"),"C) La Cocarde d'Or")</f>
        <v>C) La Cocarde d'Or</v>
      </c>
      <c r="K144" s="6" t="str">
        <f>IFERROR(__xludf.DUMMYFUNCTION("GOOGLETRANSLATE(E144, ""en"", ""fr"")"),"La « Cocarde d'Or », créée en 1928, est l'un des trois tournois majeurs de la saison.")</f>
        <v>La « Cocarde d'Or », créée en 1928, est l'un des trois tournois majeurs de la saison.</v>
      </c>
    </row>
    <row r="145" ht="22.5" customHeight="1">
      <c r="A145" s="4">
        <v>144.0</v>
      </c>
      <c r="B145" s="5" t="s">
        <v>2475</v>
      </c>
      <c r="C145" s="5" t="s">
        <v>2401</v>
      </c>
      <c r="D145" s="5" t="s">
        <v>2402</v>
      </c>
      <c r="E145" s="5" t="s">
        <v>2476</v>
      </c>
      <c r="G145" s="6" t="str">
        <f>IFERROR(__xludf.DUMMYFUNCTION("GOOGLETRANSLATE(A145, ""en"", ""fr"")"),"144")</f>
        <v>144</v>
      </c>
      <c r="H145" s="6" t="str">
        <f>IFERROR(__xludf.DUMMYFUNCTION("GOOGLETRANSLATE(B145, ""en"", ""fr"")"),"Une équipe de razeteurs se compose du razeteur principal et de quel autre rôle ?")</f>
        <v>Une équipe de razeteurs se compose du razeteur principal et de quel autre rôle ?</v>
      </c>
      <c r="I145" s="6" t="str">
        <f>IFERROR(__xludf.DUMMYFUNCTION("GOOGLETRANSLATE(C145, ""en"", ""fr"")"),"A) L'entraîneur, B) L'agent, C) Les joueurs de tournoi, D) Le sponsor")</f>
        <v>A) L'entraîneur, B) L'agent, C) Les joueurs de tournoi, D) Le sponsor</v>
      </c>
      <c r="J145" s="6" t="str">
        <f>IFERROR(__xludf.DUMMYFUNCTION("GOOGLETRANSLATE(D145, ""en"", ""fr"")"),"C) Les tourneurs")</f>
        <v>C) Les tourneurs</v>
      </c>
      <c r="K145" s="6" t="str">
        <f>IFERROR(__xludf.DUMMYFUNCTION("GOOGLETRANSLATE(E145, ""en"", ""fr"")"),"Les tourneurs sont les assistants dans l'arène qui travaillent à positionner correctement le taureau pour la charge du razeteur, un élément crucial de la stratégie de l'équipe.")</f>
        <v>Les tourneurs sont les assistants dans l'arène qui travaillent à positionner correctement le taureau pour la charge du razeteur, un élément crucial de la stratégie de l'équipe.</v>
      </c>
    </row>
    <row r="146" ht="22.5" customHeight="1">
      <c r="A146" s="4">
        <v>145.0</v>
      </c>
      <c r="B146" s="5" t="s">
        <v>2477</v>
      </c>
      <c r="C146" s="5" t="s">
        <v>2478</v>
      </c>
      <c r="D146" s="5" t="s">
        <v>2479</v>
      </c>
      <c r="E146" s="5" t="s">
        <v>2480</v>
      </c>
      <c r="G146" s="6" t="str">
        <f>IFERROR(__xludf.DUMMYFUNCTION("GOOGLETRANSLATE(A146, ""en"", ""fr"")"),"145")</f>
        <v>145</v>
      </c>
      <c r="H146" s="6" t="str">
        <f>IFERROR(__xludf.DUMMYFUNCTION("GOOGLETRANSLATE(B146, ""en"", ""fr"")"),"Ce sport est un produit culturel direct de l'environnement unique de la Camargue. En quoi consiste cet environnement ?")</f>
        <v>Ce sport est un produit culturel direct de l'environnement unique de la Camargue. En quoi consiste cet environnement ?</v>
      </c>
      <c r="I146" s="6" t="str">
        <f>IFERROR(__xludf.DUMMYFUNCTION("GOOGLETRANSLATE(C146, ""en"", ""fr"")"),"A) Une région montagneuse, B) Une forêt dense, C) Un vaste delta fluvial et une zone humide, D) Un désert aride")</f>
        <v>A) Une région montagneuse, B) Une forêt dense, C) Un vaste delta fluvial et une zone humide, D) Un désert aride</v>
      </c>
      <c r="J146" s="6" t="str">
        <f>IFERROR(__xludf.DUMMYFUNCTION("GOOGLETRANSLATE(D146, ""en"", ""fr"")"),"C) Un vaste delta fluvial et une zone humide")</f>
        <v>C) Un vaste delta fluvial et une zone humide</v>
      </c>
      <c r="K146" s="6" t="str">
        <f>IFERROR(__xludf.DUMMYFUNCTION("GOOGLETRANSLATE(E146, ""en"", ""fr"")"),"Toute cette tradition est façonnée par le paysage unique de la Camargue et les animaux semi-sauvages qui l'habitent.")</f>
        <v>Toute cette tradition est façonnée par le paysage unique de la Camargue et les animaux semi-sauvages qui l'habitent.</v>
      </c>
    </row>
    <row r="147" ht="22.5" customHeight="1">
      <c r="A147" s="4">
        <v>146.0</v>
      </c>
      <c r="B147" s="5" t="s">
        <v>2408</v>
      </c>
      <c r="C147" s="5" t="s">
        <v>2409</v>
      </c>
      <c r="D147" s="5" t="s">
        <v>2410</v>
      </c>
      <c r="E147" s="5" t="s">
        <v>2224</v>
      </c>
      <c r="G147" s="6" t="str">
        <f>IFERROR(__xludf.DUMMYFUNCTION("GOOGLETRANSLATE(A147, ""en"", ""fr"")"),"146")</f>
        <v>146</v>
      </c>
      <c r="H147" s="6" t="str">
        <f>IFERROR(__xludf.DUMMYFUNCTION("GOOGLETRANSLATE(B147, ""en"", ""fr"")"),"Quel titre reçoit-on souvent un taureau qui excelle particulièrement à défendre ses attributs et à défier les abatteurs ?")</f>
        <v>Quel titre reçoit-on souvent un taureau qui excelle particulièrement à défendre ses attributs et à défier les abatteurs ?</v>
      </c>
      <c r="I147" s="6" t="str">
        <f>IFERROR(__xludf.DUMMYFUNCTION("GOOGLETRANSLATE(C147, ""en"", ""fr"")"),"A) Un champion, B) Un cocardier, C) Une star, D) Une légende")</f>
        <v>A) Un champion, B) Un cocardier, C) Une star, D) Une légende</v>
      </c>
      <c r="J147" s="6" t="str">
        <f>IFERROR(__xludf.DUMMYFUNCTION("GOOGLETRANSLATE(D147, ""en"", ""fr"")"),"B) Un cocardier")</f>
        <v>B) Un cocardier</v>
      </c>
      <c r="K147" s="6" t="str">
        <f>IFERROR(__xludf.DUMMYFUNCTION("GOOGLETRANSLATE(E147, ""en"", ""fr"")"),"Un cocardier est le nom donné à un grand taureau de combat, une véritable star des courses camarguaises.")</f>
        <v>Un cocardier est le nom donné à un grand taureau de combat, une véritable star des courses camarguaises.</v>
      </c>
    </row>
    <row r="148" ht="22.5" customHeight="1">
      <c r="A148" s="4">
        <v>147.0</v>
      </c>
      <c r="B148" s="5" t="s">
        <v>2481</v>
      </c>
      <c r="C148" s="5" t="s">
        <v>2482</v>
      </c>
      <c r="D148" s="5" t="s">
        <v>2483</v>
      </c>
      <c r="E148" s="5" t="s">
        <v>2484</v>
      </c>
      <c r="G148" s="6" t="str">
        <f>IFERROR(__xludf.DUMMYFUNCTION("GOOGLETRANSLATE(A148, ""en"", ""fr"")"),"147")</f>
        <v>147</v>
      </c>
      <c r="H148" s="6" t="str">
        <f>IFERROR(__xludf.DUMMYFUNCTION("GOOGLETRANSLATE(B148, ""en"", ""fr"")"),"Le Trophée des As est un championnat pour les razeteurs. Quel est le championnat équivalent pour les taureaux ?")</f>
        <v>Le Trophée des As est un championnat pour les razeteurs. Quel est le championnat équivalent pour les taureaux ?</v>
      </c>
      <c r="I148" s="6" t="str">
        <f>IFERROR(__xludf.DUMMYFUNCTION("GOOGLETRANSLATE(C148, ""en"", ""fr"")"),"A) La Cocarde d'Or, B) Le Biòu d'Or, C) La Palme d'Or, D) Il n'existe pas de championnat pour les taureaux")</f>
        <v>A) La Cocarde d'Or, B) Le Biòu d'Or, C) La Palme d'Or, D) Il n'existe pas de championnat pour les taureaux</v>
      </c>
      <c r="J148" s="6" t="str">
        <f>IFERROR(__xludf.DUMMYFUNCTION("GOOGLETRANSLATE(D148, ""en"", ""fr"")"),"B) Le Biòu d'Or")</f>
        <v>B) Le Biòu d'Or</v>
      </c>
      <c r="K148" s="6" t="str">
        <f>IFERROR(__xludf.DUMMYFUNCTION("GOOGLETRANSLATE(E148, ""en"", ""fr"")"),"Le « Taureau d'or » est la récompense la plus prestigieuse pour un taureau, décernée par un vote de juges à la fin de la saison.")</f>
        <v>Le « Taureau d'or » est la récompense la plus prestigieuse pour un taureau, décernée par un vote de juges à la fin de la saison.</v>
      </c>
    </row>
    <row r="149" ht="22.5" customHeight="1">
      <c r="A149" s="4">
        <v>148.0</v>
      </c>
      <c r="B149" s="5" t="s">
        <v>2485</v>
      </c>
      <c r="C149" s="5" t="s">
        <v>2424</v>
      </c>
      <c r="D149" s="5" t="s">
        <v>2425</v>
      </c>
      <c r="E149" s="5" t="s">
        <v>2426</v>
      </c>
      <c r="G149" s="6" t="str">
        <f>IFERROR(__xludf.DUMMYFUNCTION("GOOGLETRANSLATE(A149, ""en"", ""fr"")"),"148")</f>
        <v>148</v>
      </c>
      <c r="H149" s="6" t="str">
        <f>IFERROR(__xludf.DUMMYFUNCTION("GOOGLETRANSLATE(B149, ""en"", ""fr"")"),"Un taureau est retiré de l'arène et mis au pâturage. Qu'est-ce que cela révèle de la philosophie de ce sport ?")</f>
        <v>Un taureau est retiré de l'arène et mis au pâturage. Qu'est-ce que cela révèle de la philosophie de ce sport ?</v>
      </c>
      <c r="I149" s="6" t="str">
        <f>IFERROR(__xludf.DUMMYFUNCTION("GOOGLETRANSLATE(C149, ""en"", ""fr"")"),"A) Que les taureaux ont de la valeur, B) Que le taureau est respecté comme un athlète et le héros du sport, et non comme un animal à sacrifier, C) Que les éleveurs sont riches, D) Que les taureaux sont trop vieux pour être utiles")</f>
        <v>A) Que les taureaux ont de la valeur, B) Que le taureau est respecté comme un athlète et le héros du sport, et non comme un animal à sacrifier, C) Que les éleveurs sont riches, D) Que les taureaux sont trop vieux pour être utiles</v>
      </c>
      <c r="J149" s="6" t="str">
        <f>IFERROR(__xludf.DUMMYFUNCTION("GOOGLETRANSLATE(D149, ""en"", ""fr"")"),"B) Que le taureau soit respecté comme un athlète et le héros de ce sport, et non comme un animal à sacrifier.")</f>
        <v>B) Que le taureau soit respecté comme un athlète et le héros de ce sport, et non comme un animal à sacrifier.</v>
      </c>
      <c r="K149" s="6" t="str">
        <f>IFERROR(__xludf.DUMMYFUNCTION("GOOGLETRANSLATE(E149, ""en"", ""fr"")"),"C’est là l’éthique centrale de la Course Camarguaise, qui la distingue fondamentalement de la corrida espagnole.")</f>
        <v>C’est là l’éthique centrale de la Course Camarguaise, qui la distingue fondamentalement de la corrida espagnole.</v>
      </c>
    </row>
    <row r="150" ht="22.5" customHeight="1">
      <c r="A150" s="4">
        <v>149.0</v>
      </c>
      <c r="B150" s="5" t="s">
        <v>2427</v>
      </c>
      <c r="C150" s="5" t="s">
        <v>2428</v>
      </c>
      <c r="D150" s="5" t="s">
        <v>2429</v>
      </c>
      <c r="E150" s="5" t="s">
        <v>2430</v>
      </c>
      <c r="G150" s="6" t="str">
        <f>IFERROR(__xludf.DUMMYFUNCTION("GOOGLETRANSLATE(A150, ""en"", ""fr"")"),"149")</f>
        <v>149</v>
      </c>
      <c r="H150" s="6" t="str">
        <f>IFERROR(__xludf.DUMMYFUNCTION("GOOGLETRANSLATE(B150, ""en"", ""fr"")"),"Qu'est-ce que le crochet ?")</f>
        <v>Qu'est-ce que le crochet ?</v>
      </c>
      <c r="I150" s="6" t="str">
        <f>IFERROR(__xludf.DUMMYFUNCTION("GOOGLETRANSLATE(C150, ""en"", ""fr"")"),"A) Une manœuvre défensive, B) Le crochet métallique porté par le razeteur pour s'emparer des attributs, C) La corne du taureau, D) La barrière de l'arène")</f>
        <v>A) Une manœuvre défensive, B) Le crochet métallique porté par le razeteur pour s'emparer des attributs, C) La corne du taureau, D) La barrière de l'arène</v>
      </c>
      <c r="J150" s="6" t="str">
        <f>IFERROR(__xludf.DUMMYFUNCTION("GOOGLETRANSLATE(D150, ""en"", ""fr"")"),"B) Le crochet métallique porté à la main du razeteur pour arracher les attributs")</f>
        <v>B) Le crochet métallique porté à la main du razeteur pour arracher les attributs</v>
      </c>
      <c r="K150" s="6" t="str">
        <f>IFERROR(__xludf.DUMMYFUNCTION("GOOGLETRANSLATE(E150, ""en"", ""fr"")"),"Cet outil unique est l'instrument utilisé par le rasoir pour accomplir la tâche délicate et dangereuse de couper les cordes.")</f>
        <v>Cet outil unique est l'instrument utilisé par le rasoir pour accomplir la tâche délicate et dangereuse de couper les cordes.</v>
      </c>
    </row>
    <row r="151" ht="22.5" customHeight="1">
      <c r="A151" s="4">
        <v>150.0</v>
      </c>
      <c r="B151" s="5" t="s">
        <v>2431</v>
      </c>
      <c r="C151" s="5" t="s">
        <v>2432</v>
      </c>
      <c r="D151" s="5" t="s">
        <v>2433</v>
      </c>
      <c r="E151" s="5" t="s">
        <v>2473</v>
      </c>
      <c r="G151" s="6" t="str">
        <f>IFERROR(__xludf.DUMMYFUNCTION("GOOGLETRANSLATE(A151, ""en"", ""fr"")"),"150")</f>
        <v>150</v>
      </c>
      <c r="H151" s="6" t="str">
        <f>IFERROR(__xludf.DUMMYFUNCTION("GOOGLETRANSLATE(B151, ""en"", ""fr"")"),"La culture des gardiens (cow-boys camarguais) est au cœur de ce sport. Quel est leur événement annuel le plus important ?")</f>
        <v>La culture des gardiens (cow-boys camarguais) est au cœur de ce sport. Quel est leur événement annuel le plus important ?</v>
      </c>
      <c r="I151" s="6" t="str">
        <f>IFERROR(__xludf.DUMMYFUNCTION("GOOGLETRANSLATE(C151, ""en"", ""fr"")"),"A) La course camarguaise, B) Le marquage des poulains, C) La fête de l'Abrivado à Arles, D) L'élection de leur capitaine")</f>
        <v>A) La course camarguaise, B) Le marquage des poulains, C) La fête de l'Abrivado à Arles, D) L'élection de leur capitaine</v>
      </c>
      <c r="J151" s="6" t="str">
        <f>IFERROR(__xludf.DUMMYFUNCTION("GOOGLETRANSLATE(D151, ""en"", ""fr"")"),"C) Le festival d'Abrivado à Arles")</f>
        <v>C) Le festival d'Abrivado à Arles</v>
      </c>
      <c r="K151" s="6" t="str">
        <f>IFERROR(__xludf.DUMMYFUNCTION("GOOGLETRANSLATE(E151, ""en"", ""fr"")"),"Ce festival est une célébration majeure de la culture gardienne, avec des démonstrations équestres spectaculaires dans les rues d'Arles.")</f>
        <v>Ce festival est une célébration majeure de la culture gardienne, avec des démonstrations équestres spectaculaires dans les rues d'Arles.</v>
      </c>
    </row>
    <row r="152">
      <c r="G152" s="7"/>
      <c r="H152" s="7"/>
      <c r="I152" s="7"/>
      <c r="J152" s="7"/>
      <c r="K152" s="7"/>
    </row>
  </sheetData>
  <drawing r:id="rId1"/>
  <tableParts count="2">
    <tablePart r:id="rId4"/>
    <tablePart r:id="rId5"/>
  </tableParts>
</worksheet>
</file>
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utical_Jousting" sheetId="1" r:id="rId4"/>
    <sheet state="visible" name="Tambourin" sheetId="2" r:id="rId5"/>
    <sheet state="visible" name="Pelota" sheetId="3" r:id="rId6"/>
    <sheet state="visible" name="Gouren" sheetId="4" r:id="rId7"/>
    <sheet state="visible" name="Camarague" sheetId="5" r:id="rId8"/>
  </sheets>
  <definedNames/>
  <calcPr/>
</workbook>
</file>

<file path=xl/sharedStrings.xml><?xml version="1.0" encoding="utf-8"?>
<sst xmlns="http://schemas.openxmlformats.org/spreadsheetml/2006/main" count="3050" uniqueCount="2008">
  <si>
    <t>Question No.</t>
  </si>
  <si>
    <t>Question</t>
  </si>
  <si>
    <t>Options</t>
  </si>
  <si>
    <t>Answer</t>
  </si>
  <si>
    <t>Description</t>
  </si>
  <si>
    <t>Question n°</t>
  </si>
  <si>
    <t>Question2</t>
  </si>
  <si>
    <t>Options2</t>
  </si>
  <si>
    <t>Répondre</t>
  </si>
  <si>
    <t>What is the primary objective a jouster must achieve to win a pass in the Languedocienne method?</t>
  </si>
  <si>
    <t>A) To break their lance, B) To make the opponent fall into the water while remaining on the platform, C) To have the faster boat, D) To score points for style</t>
  </si>
  <si>
    <t>B) To make the opponent fall into the water while remaining on the platform</t>
  </si>
  <si>
    <t>The goal is to use the lance to push the opponent off their platform (tintaine) into the water. A successful fall wins the pass.</t>
  </si>
  <si>
    <t>What are the two essential pieces of equipment used by a jouster during a match?</t>
  </si>
  <si>
    <t>A) A sword and a helmet, B) A lance and a shield (pavois), C) A net and a trident, D) An oar and a rope</t>
  </si>
  <si>
    <t>B) A lance and a shield (pavois)</t>
  </si>
  <si>
    <t>The jouster's equipment consists of a long wooden lance for attacking and a wooden shield to protect their torso and provide a target.</t>
  </si>
  <si>
    <t>What is the role of the ten rowers (rameurs) in a heavy jousting boat?</t>
  </si>
  <si>
    <t>A) To act as judges, B) To propel the boat forward at a constant, powerful pace, C) To help a fallen jouster, D) To play musical instruments</t>
  </si>
  <si>
    <t>B) To propel the boat forward at a constant, powerful pace</t>
  </si>
  <si>
    <t>The rowers are the "engine" of the sport, providing the momentum needed for the spectacular clash of the jousters.</t>
  </si>
  <si>
    <t>What is the name of the raised platform at the stern of the boat on which the jouster stands?</t>
  </si>
  <si>
    <t>A) The deck, B) The forecastle, C) The tintaine, D) The rostrum</t>
  </si>
  <si>
    <t>C) The tintaine</t>
  </si>
  <si>
    <t>The tintaine is the small, raised stage where the jouster must balance, a key feature of the Languedocienne method.</t>
  </si>
  <si>
    <t>A jouster falls into the water. What is the immediate consequence for them in that pass?</t>
  </si>
  <si>
    <t>A) They receive a penalty, B) They have lost the pass, C) They can remount and continue, D) The pass is replayed</t>
  </si>
  <si>
    <t>B) They have lost the pass</t>
  </si>
  <si>
    <t>Falling into the water results in an immediate loss of that specific joust or "pass."</t>
  </si>
  <si>
    <t>What is the main function of the wooden shield or pavois?</t>
  </si>
  <si>
    <t>A) To increase the speed of the boat, B) To serve as the target for the opponent's lance and to protect the jouster, C) To make it easier to pick up fallen jousters, D) It is purely decorative</t>
  </si>
  <si>
    <t>B) To serve as the target for the opponent's lance and to protect the jouster</t>
  </si>
  <si>
    <t>The pavois has a dual function: it is the legal target area and it shields the jouster's body from the impact.</t>
  </si>
  <si>
    <t>What is the standard number of crew members on a Languedocienne method jousting boat?</t>
  </si>
  <si>
    <t>A) 8, B) 10, C) 12, D) 14</t>
  </si>
  <si>
    <t>C) 12</t>
  </si>
  <si>
    <t>A full crew consists of 10 rowers, a helmsman (patron), and a musician (hautbois player), for a total of 12 people.</t>
  </si>
  <si>
    <t>What is the role of the drum and the oboe (hautbois) during the approach of the boats?</t>
  </si>
  <si>
    <t>A) To signal the start of the competition, B) To set the rhythm and pace for the rowers, C) To encourage the spectators, D) To distract the opposing team</t>
  </si>
  <si>
    <t>B) To set the rhythm and pace for the rowers</t>
  </si>
  <si>
    <t>The musicians play a traditional tune that dictates the rowing cadence, ensuring both boats approach each other at the correct, synchronized speed.</t>
  </si>
  <si>
    <t>What type of boats are traditionally and officially used in jousting competitions in Sète and Lyon?</t>
  </si>
  <si>
    <t>A) Metal boats, B) Plastic boats, C) Wooden boats, D) Fiberglass boats</t>
  </si>
  <si>
    <t>C) Wooden boats</t>
  </si>
  <si>
    <t>The heavy, purpose-built boats are a key part of the tradition and are still constructed by skilled shipwrights using wood.</t>
  </si>
  <si>
    <t>A jouster is wearing a white uniform. What is the significance of this attire?</t>
  </si>
  <si>
    <t>A) It is the color of the French flag, B) It is the traditional and required attire for all jousters, symbolizing fairness, C) It is the color of the home team, D) It keeps the jouster cool</t>
  </si>
  <si>
    <t>B) It is the traditional and required attire for all jousters, symbolizing fairness</t>
  </si>
  <si>
    <t>The all-white uniform is a mandatory part of the rules and tradition, representing the purity and honor of the sport.</t>
  </si>
  <si>
    <t>What is the ruling if both jousters fall into the water on the same pass?</t>
  </si>
  <si>
    <t>A) The pass is replayed, B) The jouster who fell first loses, C) The jouster who fell last loses, D) Both jousters are eliminated</t>
  </si>
  <si>
    <t>A) The pass is replayed</t>
  </si>
  <si>
    <t>If neither jouster can remain on their tintaine, the pass is considered a draw and must be re-run.</t>
  </si>
  <si>
    <t>In a tournament, how is the overall winner determined?</t>
  </si>
  <si>
    <t>A) By a single knockout, B) The jouster who wins the most individual passes progresses through the tournament bracket, C) By an audience vote, D) The jouster with the most stylish falls wins</t>
  </si>
  <si>
    <t>B) The jouster who wins the most individual passes progresses through the tournament bracket</t>
  </si>
  <si>
    <t>A tournament is an elimination-style event where jousters must win a series of one-on-one matches to advance to the final.</t>
  </si>
  <si>
    <t>What is the primary material used for the construction of the lances?</t>
  </si>
  <si>
    <t>A) Metal, B) Plastic, C) Wood, D) Carbon Fiber</t>
  </si>
  <si>
    <t>C) Wood</t>
  </si>
  <si>
    <t>The lances are made of wood, crafted to be strong enough to withstand the impact but also to break for safety.</t>
  </si>
  <si>
    <t>What is the main objective of modern nautical jousting, according to the official regulations?</t>
  </si>
  <si>
    <t>A) To entertain the spectators, B) To defend a city's honor, C) To win the competition by making the opponent fall, D) To demonstrate bravery</t>
  </si>
  <si>
    <t>C) To win the competition by making the opponent fall</t>
  </si>
  <si>
    <t>While it involves tradition and entertainment, the sport's official goal is to win a formal competition according to its rules.</t>
  </si>
  <si>
    <t>What is the main purpose of the rules set by the French Nautical Jousting Federation (FFJSN)?</t>
  </si>
  <si>
    <t>A) To ensure the safety of the jousters, B) To ensure fair competition for all participants, C) To protect the spectators, D) Both A and B</t>
  </si>
  <si>
    <t>D) Both A and B</t>
  </si>
  <si>
    <t>The federation's rules are designed to create a framework that ensures the sport is both safe for its athletes and fairly contested.</t>
  </si>
  <si>
    <t>The rules divide jousters into categories based on what criteria?</t>
  </si>
  <si>
    <t>A) Their skill level, B) The city they represent, C) Their age and weight, D) Their past victories</t>
  </si>
  <si>
    <t>C) Their age and weight</t>
  </si>
  <si>
    <t>To ensure fair matchups, competitions are structured with different categories for juniors, seniors, and various weight classes.</t>
  </si>
  <si>
    <t>What is the name of the competition category reserved for the heaviest jousters?</t>
  </si>
  <si>
    <t>A) Senior Competition, B) Elite Competition, C) Heavyweight Competition, D) Masters Competition</t>
  </si>
  <si>
    <t>C) Heavyweight Competition</t>
  </si>
  <si>
    <t>Jousters are divided into weight classes, such as light, middle, and heavyweight, to ensure they compete against opponents of a similar size.</t>
  </si>
  <si>
    <t>What is the primary function of the quintain in some historical or training versions of jousting?</t>
  </si>
  <si>
    <t>A) To score points by knocking it down, B) To act as a stationary target for the spear to break on, C) To be an obstacle to avoid, D) To serve as a launch pad</t>
  </si>
  <si>
    <t>B) To act as a stationary target for the spear to break on</t>
  </si>
  <si>
    <t>The quintain was a tilting target used for training, allowing a jouster to practice their aim and impact without a live opponent.</t>
  </si>
  <si>
    <t>What is the primary role of the rowers on the boat?</t>
  </si>
  <si>
    <t>A) To move the boat forward at a steady, powerful pace, B) To manage the direction of the boat, C) To protect the jouster, D) To provide music for the audience</t>
  </si>
  <si>
    <t>A) To move the boat forward at a steady, powerful pace</t>
  </si>
  <si>
    <t>The ten rowers are the engine of the boat, their synchronized effort creating the momentum for the joust.</t>
  </si>
  <si>
    <t>What is the main challenge for a jouster standing on the tintaine?</t>
  </si>
  <si>
    <t>A) To hit the target accurately, B) To maintain balance on a small, unstable platform on a moving boat, C) To protect the boat from the opponent, D) To steer the boat with their feet</t>
  </si>
  <si>
    <t>B) To maintain balance on a small, unstable platform on a moving boat</t>
  </si>
  <si>
    <t>The tintaine is deliberately designed to be unstable, making balance the most critical skill for a jouster.</t>
  </si>
  <si>
    <t>A jouster is holding the lance with two hands during the pass. Is this a legal technique?</t>
  </si>
  <si>
    <t>A) Yes, it provides more power, B) No, it is a foul; the lance must be held in one hand, C) Only if the jouster is in the heavyweight category, D) Only in practice</t>
  </si>
  <si>
    <t>B) No, it is a foul; the lance must be held in one hand</t>
  </si>
  <si>
    <t>The rules require the lance to be held in one arm, with the other arm used for balance, making it a true test of one-handed strength and skill.</t>
  </si>
  <si>
    <t>A jouster successfully knocks their opponent into the water. What is the referee's signal?</t>
  </si>
  <si>
    <t>A) They blow a whistle, B) They raise a flag corresponding to the winner's color, C) They fire a ceremonial pistol, D) They clap their hands</t>
  </si>
  <si>
    <t>B) They raise a flag corresponding to the winner's color</t>
  </si>
  <si>
    <t>The judges signal the result of the pass by raising a flag (red or blue) to indicate which jouster won.</t>
  </si>
  <si>
    <t>What is the rule regarding the jouster's feet on the tintaine?</t>
  </si>
  <si>
    <t>A) They can stand anywhere on the platform, B) They must keep both feet within the marked white footprints, C) They can move their feet during the pass, D) One foot must be off the platform for balance</t>
  </si>
  <si>
    <t>B) They must keep both feet within the marked white footprints</t>
  </si>
  <si>
    <t>The rules require the jouster to keep their feet within the designated painted areas on the tintaine during the entire pass.</t>
  </si>
  <si>
    <t>A jouster's lance breaks upon impact with the opponent's shield, but neither jouster falls. What is the ruling?</t>
  </si>
  <si>
    <t>A) The jouster with the broken lance wins the point, B) The jouster with the broken lance loses the point, C) The pass is declared a draw and is re-run, D) The fight continues with the broken lance</t>
  </si>
  <si>
    <t>C) The pass is declared a draw and is re-run</t>
  </si>
  <si>
    <t>A broken lance is a common occurrence. If no one falls, the pass is considered a draw and is re-run with new lances.</t>
  </si>
  <si>
    <t>In the Languedocienne method, the boats pass each other on which side?</t>
  </si>
  <si>
    <t>A) On the right side (starboard), B) On the left side (port), C) It varies with each pass, D) They pass on opposite sides</t>
  </si>
  <si>
    <t>A) On the right side (starboard)</t>
  </si>
  <si>
    <t>The rules of this method are strict: the two boats must always pass each other on the right, meaning the jousters are on the right side of their respective boats.</t>
  </si>
  <si>
    <t>What is a key rule difference in the Givordine method compared to the Lyonnaise method?</t>
  </si>
  <si>
    <t>A) The boats are much larger, B) The side on which the boats pass each other is different, C) The lances are shorter, D) There are no shields</t>
  </si>
  <si>
    <t>B) The side on which the boats pass each other is different</t>
  </si>
  <si>
    <t>This is a crucial distinction between these two regional styles from the Rhône valley.</t>
  </si>
  <si>
    <t>What is the primary role of the helmsman (patron)?</t>
  </si>
  <si>
    <t>A) To be the team captain, B) To steer the heavy boat with a large oar and command the rowers, C) To shout encouragement, D) To be a substitute jouster</t>
  </si>
  <si>
    <t>B) To steer the heavy boat with a large oar and command the rowers</t>
  </si>
  <si>
    <t>The skill of the patron is critical. They must expertly guide the boat to ensure the jousters meet at the perfect angle and distance.</t>
  </si>
  <si>
    <t>What is the minimum recommended water depth for a competition?</t>
  </si>
  <si>
    <t>A) 1 meter, B) 1.5 meters, C) 2 meters, D) 2.5 meters</t>
  </si>
  <si>
    <t>C) 2 meters</t>
  </si>
  <si>
    <t>A depth of at least 2 meters is a key safety rule to ensure that a falling jouster does not risk hitting the bottom.</t>
  </si>
  <si>
    <t>A jouster is penalized for an "incorrect guard" (garde incorrecte). What does this mean?</t>
  </si>
  <si>
    <t>A) They were not holding their shield correctly, B) They were holding the lance incorrectly, C) They were not standing correctly on the tintaine, D) Any of the above</t>
  </si>
  <si>
    <t>D) Any of the above</t>
  </si>
  <si>
    <t>An "incorrect guard" is a foul that can be called for improper positioning of the feet, the lance, or the shield before the moment of impact.</t>
  </si>
  <si>
    <t>What is the purpose of the "safety zones" or buffer areas around the jousting court?</t>
  </si>
  <si>
    <t>A) For spectator boats, B) To ensure there is a clear and safe area for the boats to turn around, C) To mark the finish line, D) For the musicians</t>
  </si>
  <si>
    <t>B) To ensure there is a clear and safe area for the boats to turn around</t>
  </si>
  <si>
    <t>These zones at each end of the course are essential for the safe operation and maneuvering of the heavy jousting boats.</t>
  </si>
  <si>
    <t>A jouster is warned for striking an illegal part of the opponent's body. Which area is the only legal target?</t>
  </si>
  <si>
    <t>A) The head, B) The legs, C) The opponent's shield (pavois), D) The opponent's lance</t>
  </si>
  <si>
    <t>C) The opponent's shield (pavois)</t>
  </si>
  <si>
    <t>The rules are very strict: a jouster must only aim for the opponent's shield. Intentionally striking their body is a serious foul.</t>
  </si>
  <si>
    <t>What is the role of the "jury" in a major tournament?</t>
  </si>
  <si>
    <t>A) They are the rowers, B) They are a panel of senior officials who oversee the referees and make final decisions on disputes, C) They are the team sponsors, D) They are the boat builders</t>
  </si>
  <si>
    <t>B) They are a panel of senior officials who oversee the referees and make final decisions on disputes</t>
  </si>
  <si>
    <t>The jury is the highest authority at a competition, responsible for interpreting the rules and handling any formal protests.</t>
  </si>
  <si>
    <t>What is the main characteristic of the Alsatian method of jousting?</t>
  </si>
  <si>
    <t>A) It is the fastest method, B) The jousters are strapped to the boat's platform, C) It is a non-contact sport, D) It is the oldest method</t>
  </si>
  <si>
    <t>B) The jousters are strapped to the boat's platform</t>
  </si>
  <si>
    <t>In the Strasbourg style, the jousters are secured to the boat to handle the very long, heavy lances used, making it a test of pure pushing power.</t>
  </si>
  <si>
    <t>A jouster has a perfect pass but is found to be under the minimum weight for their category. What is the result?</t>
  </si>
  <si>
    <t>A) The win stands, B) They are disqualified, C) They are moved to a lower category, D) They are given a warning</t>
  </si>
  <si>
    <t>B) They are disqualified</t>
  </si>
  <si>
    <t>Weight categories are strictly enforced. Competing in the wrong category results in disqualification.</t>
  </si>
  <si>
    <t>In the Parisian method, how are the jousters propelled towards each other?</t>
  </si>
  <si>
    <t>A) By rowers, B) By a motor, C) On a sliding chariot pulled by their teammates on a fixed platform, D) By the river's current</t>
  </si>
  <si>
    <t>C) On a sliding chariot pulled by their teammates on a fixed platform</t>
  </si>
  <si>
    <t>This unique method does not use moving boats but rather a track built on a barge, with the jousters pulled along the track.</t>
  </si>
  <si>
    <t>What is the purpose of the three-pronged iron tip (trois-points) on the lance?</t>
  </si>
  <si>
    <t>A) To injure the opponent, B) To provide a better grip on the opponent's wooden shield, C) It is purely decorative, D) To break the opponent's lance</t>
  </si>
  <si>
    <t>B) To provide a better grip on the opponent's wooden shield</t>
  </si>
  <si>
    <t>The three points are designed to dig into the wood of the pavois, ensuring a solid connection that can unseat the opponent.</t>
  </si>
  <si>
    <t>What is the ruling if a jouster falls but manages to take their opponent with them into the water?</t>
  </si>
  <si>
    <t>A) The first jouster still loses, B) The pass is declared a draw and is re-run, C) The second jouster to fall is the winner, D) Both jousters are eliminated</t>
  </si>
  <si>
    <t>B) The pass is declared a draw and is re-run</t>
  </si>
  <si>
    <t>If neither jouster can remain on the tintaine, the result is a draw, and the pass must be contested again.</t>
  </si>
  <si>
    <t>What is the primary material of the pavois (shield)?</t>
  </si>
  <si>
    <t>A) Steel, B) Aluminum, C) Wood, D) Plastic</t>
  </si>
  <si>
    <t>The shield is made of wood, strong enough to withstand the impact but soft enough for the lance tip to grip into.</t>
  </si>
  <si>
    <t>A jouster is penalized for "holding their free hand on the boat." Why is this a foul?</t>
  </si>
  <si>
    <t>A) It is disrespectful, B) It provides an unfair source of balance and stability, C) It can damage the boat, D) It is not a foul</t>
  </si>
  <si>
    <t>B) It provides an unfair source of balance and stability</t>
  </si>
  <si>
    <t>The jouster must balance on the tintaine using only their own skill. Using the boat for support is illegal.</t>
  </si>
  <si>
    <t>What is the main difference in the boats used in the Lyonnaise method compared to the Languedocienne method?</t>
  </si>
  <si>
    <t>A) They are heavier, B) They are propelled by a motor, not by rowers, C) They are made of fiberglass, D) They have no platform</t>
  </si>
  <si>
    <t>B) They are propelled by a motor, not by rowers</t>
  </si>
  <si>
    <t>The Lyon style uses motorboats, which creates a faster and different kind of pass compared to the rhythmic rowing of the Sète style.</t>
  </si>
  <si>
    <t>A jouster is warned for not being in the correct starting position. What is the required position?</t>
  </si>
  <si>
    <t>A) Sitting on the edge of the tintaine, B) Standing with feet in the marked areas, lance held horizontally, C) Kneeling on the tintaine, D) Standing with the lance pointed at the water</t>
  </si>
  <si>
    <t>B) Standing with feet in the marked areas, lance held horizontally</t>
  </si>
  <si>
    <t>A jouster must be in the correct, ready position before the boats begin to move.</t>
  </si>
  <si>
    <t>What is the main reason that a jouster's lance has a metal plate protecting their hand?</t>
  </si>
  <si>
    <t>A) For decoration, B) To prevent their hand from sliding up the lance, C) To protect their hand from the opponent's lance and from splinters, D) To add weight</t>
  </si>
  <si>
    <t>C) To protect their hand from the opponent's lance and from splinters</t>
  </si>
  <si>
    <t>The guard is a crucial piece of safety equipment that shields the jouster's gripping hand.</t>
  </si>
  <si>
    <t>A jouster wins a pass, but the referee declares their victory invalid. What is a possible reason?</t>
  </si>
  <si>
    <t>A) They celebrated too much, B) They struck an illegal part of the opponent's shield, C) They were too slow, D) Their boat was faster</t>
  </si>
  <si>
    <t>B) They struck an illegal part of the opponent's shield</t>
  </si>
  <si>
    <t>There are designated target zones on the pavois. A strike outside of these zones is a foul and will nullify a win.</t>
  </si>
  <si>
    <t>In a tournament, what is a "poule"?</t>
  </si>
  <si>
    <t>A) The final match, B) A round-robin group in the early stages of the competition, C) A prize for the winner, D) A type of boat</t>
  </si>
  <si>
    <t>B) A round-robin group in the early stages of the competition</t>
  </si>
  <si>
    <t>Like in many French sports, a poule is a group where several jousters compete against each other to qualify for the knockout rounds.</t>
  </si>
  <si>
    <t>What is the purpose of the jouster wearing a white uniform?</t>
  </si>
  <si>
    <t>A) It is a modern fashion choice, B) It makes the jouster more visible to the bull, C) It is the traditional and required attire, symbolizing fairness and making it easier for judges to see the action, D) It is the color of the French flag</t>
  </si>
  <si>
    <t>C) It is the traditional and required attire, symbolizing fairness and making it easier for judges to see the action</t>
  </si>
  <si>
    <t>The white uniform provides a clear contrast against the shield and the water, helping officials make accurate calls.</t>
  </si>
  <si>
    <t>A jouster is disqualified for having a lance that is too long. Why is there a maximum length rule?</t>
  </si>
  <si>
    <t>A) A long lance is harder to control, B) To prevent a rider from gaining an unfair reach advantage, C) To make the lances fit on the boat, D) It is a traditional rule with no practical purpose</t>
  </si>
  <si>
    <t>B) To prevent a rider from gaining an unfair reach advantage</t>
  </si>
  <si>
    <t>The length of the lance is standardized to ensure that all competitors have the same equipment and the contest is fair.</t>
  </si>
  <si>
    <t>What is the role of the "President of the Jury"?</t>
  </si>
  <si>
    <t>A) To be the main sponsor, B) To be the head official of the tournament with the final say on all protests and rule interpretations, C) To be the captain of the winning team, D) To be the mayor of the host city</t>
  </si>
  <si>
    <t>B) To be the head official of the tournament with the final say on all protests and rule interpretations</t>
  </si>
  <si>
    <t>This is the highest-ranking official at the event, responsible for overseeing the entire competition.</t>
  </si>
  <si>
    <t>What is the ruling if a jouster's lance breaks, and a splinter hits the opponent?</t>
  </si>
  <si>
    <t>A) The first jouster is disqualified, B) The pass is immediately stopped, and the situation is assessed for safety, C) The opponent wins the point, D) The pass continues</t>
  </si>
  <si>
    <t>B) The pass is immediately stopped, and the situation is assessed for safety</t>
  </si>
  <si>
    <t>The safety of the jousters is the top priority. Any equipment failure that could cause injury requires an immediate stoppage.</t>
  </si>
  <si>
    <t>What is the main characteristic of the jousting style of the "Parisian" method?</t>
  </si>
  <si>
    <t>A) It is the fastest method, B) The jousters are on a sliding chariot on a fixed platform, not on moving boats, C) It is played on the sea, D) It uses the longest lances</t>
  </si>
  <si>
    <t>B) The jousters are on a sliding chariot on a fixed platform, not on moving boats</t>
  </si>
  <si>
    <t>This unique method, practiced on canals in and around Paris, is very different from the boat-based styles of the south.</t>
  </si>
  <si>
    <t>In its essence, what is the primary skill being tested in nautical jousting?</t>
  </si>
  <si>
    <t>A) The strength of the rowers, B) The speed of the boat, C) The jouster's ability to maintain balance while delivering a powerful and precise blow, D) The beauty of the equipment</t>
  </si>
  <si>
    <t>C) The jouster's ability to maintain balance while delivering a powerful and precise blow</t>
  </si>
  <si>
    <t>The sport is the ultimate test of a jouster's balance, timing, strength, and accuracy, all performed on an unstable, moving platform.</t>
  </si>
  <si>
    <t>A jouster is penalized for "incorrect guard". What might they have done?</t>
  </si>
  <si>
    <t>A) Held their lance at the wrong angle before the pass, B) Placed their feet outside the marked footprints on the tintaine, C) Held their shield in the wrong position, D) Any of the above</t>
  </si>
  <si>
    <t>An "incorrect guard" is a foul that can be called for any improper positioning of the feet, lance, or shield before the moment of impact.</t>
  </si>
  <si>
    <t>In a team event, who is declared the winner?</t>
  </si>
  <si>
    <t>A) The team with the fastest boat, B) The team with the most individual victories, C) The team with the best uniform, D) The team that breaks the most lances</t>
  </si>
  <si>
    <t>B) The team with the most individual victories</t>
  </si>
  <si>
    <t>The team competition is a series of individual jousts, and the team that wins the most of these passes wins the overall match.</t>
  </si>
  <si>
    <t>A jouster is found to be wearing spiked shoes on the tintaine. Why is this a foul?</t>
  </si>
  <si>
    <t>A) It can damage the boat's platform, B) It provides an unfair grip advantage, C) It is dangerous if the jouster falls on someone, D) Both A and B</t>
  </si>
  <si>
    <t>Spikes would damage the wooden platform and give the jouster an illegal advantage in maintaining their balance.</t>
  </si>
  <si>
    <t>What is the role of the "plongeurs" (divers) in the water during a match?</t>
  </si>
  <si>
    <t>A) To judge the falls, B) To ensure the immediate safety of a fallen jouster and retrieve their equipment, C) To push the boats, D) To splash the crowd</t>
  </si>
  <si>
    <t>B) To ensure the immediate safety of a fallen jouster and retrieve their equipment</t>
  </si>
  <si>
    <t>The divers are the safety and rescue personnel, a mandatory part of any official tournament.</t>
  </si>
  <si>
    <t>A jouster is about to fall but grabs onto their opponent's lance to stay on the platform. What is the ruling?</t>
  </si>
  <si>
    <t>A) This is a clever move and they are safe, B) It is a foul; the jouster who grabbed the lance is declared the loser of the pass, C) The pass is replayed, D) Both jousters are disqualified</t>
  </si>
  <si>
    <t>B) It is a foul; the jouster who grabbed the lance is declared the loser of the pass</t>
  </si>
  <si>
    <t>A jouster cannot touch the opponent or their lance with their hands. This is a foul that results in an immediate loss.</t>
  </si>
  <si>
    <t>What is the main difference between the boats used in the Provençale method and the Languedocienne method?</t>
  </si>
  <si>
    <t>A) The Provençale boats are much smaller and faster, B) The Provençale boats are made of fiberglass, C) The Provençale boats have no rowers, D) The Provençale boats are red</t>
  </si>
  <si>
    <t>A) The Provençale boats are much smaller and faster</t>
  </si>
  <si>
    <t>The method from Marseille and nearby ports uses lighter, faster boats with fewer rowers, resulting in a quicker and more agile style of jousting.</t>
  </si>
  <si>
    <t>A jouster is penalized for a "coup de travers" (cross-hit). What does this mean?</t>
  </si>
  <si>
    <t>A) They hit the shield with a sideways, slashing motion instead of a direct thrust, B) They hit the opponent's body, C) They hit the boat, D) They broke their lance</t>
  </si>
  <si>
    <t>A) They hit the shield with a sideways, slashing motion instead of a direct thrust</t>
  </si>
  <si>
    <t>The strike must be a direct, forward thrust. A sideways or sweeping blow is an illegal technique.</t>
  </si>
  <si>
    <t>What is the main reason the lances are designed to break?</t>
  </si>
  <si>
    <t>A) To make the sport more expensive, B) It is a safety feature to dissipate the immense force of the impact, C) To make the spectacle more dramatic, D) Both B and C</t>
  </si>
  <si>
    <t>D) Both B and C</t>
  </si>
  <si>
    <t>A breaking lance absorbs energy that would otherwise be transferred to the jousters, reducing the risk of injury. It also adds to the drama of the event.</t>
  </si>
  <si>
    <t>A jouster is warned for not wearing their protective plastron (chest protector) correctly. Is this a valid call?</t>
  </si>
  <si>
    <t>A) No, the plastron is optional, B) Yes, all safety equipment must be worn as specified by the rules, C) Only if the opponent complains, D) Only in the heavyweight category</t>
  </si>
  <si>
    <t>B) Yes, all safety equipment must be worn as specified by the rules</t>
  </si>
  <si>
    <t>The wooden chest protector is a key piece of safety gear, and the referee must ensure it is properly fitted.</t>
  </si>
  <si>
    <t>In its essence, nautical jousting is a combination of a traditional folk festival and what else?</t>
  </si>
  <si>
    <t>A) A religious ceremony, B) A modern, highly regulated sport, C) A theatrical performance, D) A boat race</t>
  </si>
  <si>
    <t>B) A modern, highly regulated sport</t>
  </si>
  <si>
    <t>The sport today is a unique blend of ancient pageantry and a modern, codified athletic competition.</t>
  </si>
  <si>
    <t>What is the official term for the four main styles of nautical jousting in France?</t>
  </si>
  <si>
    <t>A) The "schools", B) The "methods", C) The "leagues", D) The "traditions"</t>
  </si>
  <si>
    <t>B) The "methods"</t>
  </si>
  <si>
    <t>The four officially recognized styles—Languedocienne, Provençale, Lyonnaise, and Alsatian—are known as the four methods.</t>
  </si>
  <si>
    <t>A jouster's boat is hit by a large wave just before the impact, causing the jouster to miss. What is the ruling?</t>
  </si>
  <si>
    <t>A) A re-run is granted due to interference, B) The pass continues, and it is scored as a miss, C) The opponent wins automatically, D) The boat is disqualified</t>
  </si>
  <si>
    <t>B) The pass continues, and it is scored as a miss</t>
  </si>
  <si>
    <t>Natural conditions like waves are considered part of the challenge of the sport, not external interference.</t>
  </si>
  <si>
    <t>What is the main purpose of the "appel" where the jousters touch lances before the pass?</t>
  </si>
  <si>
    <t>A) To test the strength of the lances, B) It is a traditional salute of mutual respect, C) To signal to the rowers to start, D) To align the boats properly</t>
  </si>
  <si>
    <t>B) It is a traditional salute of mutual respect</t>
  </si>
  <si>
    <t>This formal gesture is a sign of sportsmanship and acknowledges the opponent before the combat begins.</t>
  </si>
  <si>
    <t>A jouster is warned for having their lance tip aimed too high before the pass. Why is this a foul?</t>
  </si>
  <si>
    <t>A) It gives an unfair advantage, B) It is a safety risk, as it could strike the opponent's head, C) It is not a foul, D) It can damage the shield</t>
  </si>
  <si>
    <t>B) It is a safety risk, as it could strike the opponent's head</t>
  </si>
  <si>
    <t>The rules require the lance to be held in a specific horizontal position to ensure that all strikes are aimed at the shield and not higher.</t>
  </si>
  <si>
    <t>What is the primary role of the President of the Jury?</t>
  </si>
  <si>
    <t>This is the highest-ranking official at the event, responsible for overseeing the entire competition and making final rulings.</t>
  </si>
  <si>
    <t>A jouster is disqualified for being a member of two different jousting societies at the same time. Is this a real rule?</t>
  </si>
  <si>
    <t>A) No, a jouster can belong to multiple clubs, B) Yes, a jouster must be licensed to a single society for a season, C) Only if the clubs are rivals, D) Only for professional jousters</t>
  </si>
  <si>
    <t>B) Yes, a jouster must be licensed to a single society for a season</t>
  </si>
  <si>
    <t>Like in most organized sports, a player must be officially registered with one club to compete in the federation's championships.</t>
  </si>
  <si>
    <t>What is the ruling if a jouster successfully unseats their opponent, but the opponent manages to hold onto their boat and not fall completely into the water?</t>
  </si>
  <si>
    <t>A) The pass is replayed, B) The opponent is considered to have fallen, and it is a win, C) The jouster who is holding on loses, D) The pass continues</t>
  </si>
  <si>
    <t>B) The opponent is considered to have fallen, and it is a win</t>
  </si>
  <si>
    <t>A jouster is declared "fallen" the moment they lose contact with the tintaine. Holding onto the side of the boat does not save them.</t>
  </si>
  <si>
    <t>The "Fédération Française de Joutes et de Sauvetage Nautique" has what dual focus?</t>
  </si>
  <si>
    <t>A) Jousting and boat racing, B) Jousting and fishing, C) The sport of jousting and the practice of nautical lifesaving, D) Jousting and tourism</t>
  </si>
  <si>
    <t>C) The sport of jousting and the practice of nautical lifesaving</t>
  </si>
  <si>
    <t>The name reflects the historical origins of the jousting societies as skilled boatmen who also served as flood rescue teams.</t>
  </si>
  <si>
    <t>A jouster's victory is protested. The jury reviews a video and sees that the winner's foot was slightly outside the marked footprint on the tintaine. What is the decision?</t>
  </si>
  <si>
    <t>A) The victory stands, B) The victory is overturned, and the pass is re-run or awarded to the opponent, C) The winner is given a warning, D) The jury's decision is final</t>
  </si>
  <si>
    <t>B) The victory is overturned, and the pass is re-run or awarded to the opponent</t>
  </si>
  <si>
    <t>The rule requiring feet to be inside the marks is absolute. A video review showing a foul would lead to the disqualification of the win.</t>
  </si>
  <si>
    <t>What is the main reason that the boats in the Languedocienne method are so heavy?</t>
  </si>
  <si>
    <t>A) It is a tradition, B) To provide a stable platform and the momentum needed for the powerful impact of the joust, C) They are used for fishing in the off-season, D) To accommodate the large number of rowers</t>
  </si>
  <si>
    <t>B) To provide a stable platform and the momentum needed for the powerful impact of the joust</t>
  </si>
  <si>
    <t>The weight of the boats is crucial for creating the stability required for two jousters to clash with immense force without the boats capsizing.</t>
  </si>
  <si>
    <t>In the Alsatian method, the boats are propelled by what means?</t>
  </si>
  <si>
    <t>A) Rowers, B) A motor, C) They are pulled by a rope, D) The current of the river</t>
  </si>
  <si>
    <t>B) A motor</t>
  </si>
  <si>
    <t>The Alsatian method (joutes nautiques de Strasbourg) uses motor-propelled boats, which is a key difference from the Languedocienne style.</t>
  </si>
  <si>
    <t>A jouster is wearing a life jacket under their white uniform. Is this permitted?</t>
  </si>
  <si>
    <t>A) No, it is not traditional, B) Yes, modern safety rules often require or permit life jackets, especially for younger categories, C) Only if the water is very cold, D) Only if the jouster cannot swim</t>
  </si>
  <si>
    <t>B) Yes, modern safety rules often require or permit life jackets, especially for younger categories</t>
  </si>
  <si>
    <t>While jousters are typically strong swimmers, safety regulations, particularly in junior events, often mandate the use of personal flotation devices.</t>
  </si>
  <si>
    <t>What is a "revenche"?</t>
  </si>
  <si>
    <t>A) The final round of a tournament, B) A pass that is re-run after a draw, C) A protest by a losing team, D) A special prize for the bravest jouster</t>
  </si>
  <si>
    <t>B) A pass that is re-run after a draw</t>
  </si>
  <si>
    <t>Revanche is the French word for "rematch" or "revenge," and it is used for the re-run of a pass where both jousters fell.</t>
  </si>
  <si>
    <t>A jouster is penalized for having a lance with a tip that is too wide. What is the purpose of regulating the size of the tip?</t>
  </si>
  <si>
    <t>A) To make it harder to hit the shield, B) To ensure the tip can grip the wooden shield effectively without being too dangerous, C) To make the lances lighter, D) It is an aesthetic rule</t>
  </si>
  <si>
    <t>B) To ensure the tip can grip the wooden shield effectively without being too dangerous</t>
  </si>
  <si>
    <t>The dimensions of the three-pronged iron tip are standardized to ensure it functions correctly and fairly for all competitors.</t>
  </si>
  <si>
    <t>Why is a jouster required to keep their "free" arm (the one not holding the lance) in a specific position?</t>
  </si>
  <si>
    <t>A) It is not a requirement, B) For balance and to prevent them from illegally grabbing the opponent or the boat, C) To signal to their teammates, D) It is a traditional pose</t>
  </si>
  <si>
    <t>B) For balance and to prevent them from illegally grabbing the opponent or the boat</t>
  </si>
  <si>
    <t>The position of the free arm is a key part of the jouster's technique for maintaining balance and is regulated to prevent fouls.</t>
  </si>
  <si>
    <t>In a tournament, what is the "tableau d'avancement"?</t>
  </si>
  <si>
    <t>A) The scoreboard, B) The tournament bracket showing who will fight whom, C) The list of past champions, D) The schedule of events</t>
  </si>
  <si>
    <t>B) The tournament bracket showing who will fight whom</t>
  </si>
  <si>
    <t>This is the official progression chart that shows the pairings for each round of the elimination tournament.</t>
  </si>
  <si>
    <t>A jouster is seen applying a substance to the tip of their lance. If this substance is found to make the tip extra "sticky," what is the ruling?</t>
  </si>
  <si>
    <t>A) This is a clever and legal tactic, B) This is illegal tampering with equipment, and the jouster is disqualified, C) A warning is issued, D) The lance must be cleaned</t>
  </si>
  <si>
    <t>B) This is illegal tampering with equipment, and the jouster is disqualified</t>
  </si>
  <si>
    <t>A jouster is not allowed to modify their equipment in any way that would give them an unfair advantage in gripping the opponent's shield.</t>
  </si>
  <si>
    <t>What is the main difference between a "junior" and a "cadet" in the age categories?</t>
  </si>
  <si>
    <t>A) There is no difference, B) Cadets are younger than juniors, C) Juniors are younger than cadets, D) Cadets use lighter boats</t>
  </si>
  <si>
    <t>B) Cadets are younger than juniors</t>
  </si>
  <si>
    <t>The competition is structured by age, with categories such as cadets (e.g., up to 16 years old) and juniors (e.g., 17-20 years old).</t>
  </si>
  <si>
    <t>A jouster is holding their shield too low, exposing their upper chest. What will the referee likely do?</t>
  </si>
  <si>
    <t>A) Nothing, it is the jouster's own risk, B) Pause the pass and issue a warning for an "incorrect guard," C) Award a point to the opponent, D) Let the pass continue</t>
  </si>
  <si>
    <t>B) Pause the pass and issue a warning for an "incorrect guard,"</t>
  </si>
  <si>
    <t>The referee is responsible for safety and will enforce the rules that require the shield to be held in the correct protective position.</t>
  </si>
  <si>
    <t>The music stops abruptly in the middle of a pass. What should the rowers do?</t>
  </si>
  <si>
    <t>A) Stop rowing immediately, B) Continue rowing until the referee signals a stop, C) Row faster, D) Row backward</t>
  </si>
  <si>
    <t>B) Continue rowing until the referee signals a stop</t>
  </si>
  <si>
    <t>The music provides the rhythm, but the referee's whistle is the only official signal. The rowers must maintain their pace until the pass is complete.</t>
  </si>
  <si>
    <t>A jouster successfully makes their opponent fall, but in the process, their own foot slips out of the marked footprint on the tintaine. What is the ruling?</t>
  </si>
  <si>
    <t>A) The victory is valid, B) The pass is a draw and must be re-run, C) The jouster who slipped is disqualified, D) The point is awarded to the opponent</t>
  </si>
  <si>
    <t>B) The pass is a draw and must be re-run</t>
  </si>
  <si>
    <t>A jouster must remain perfectly within the rules to be declared the winner. A foot fault at the moment of victory nullifies the win, resulting in a draw.</t>
  </si>
  <si>
    <t>What is the purpose of the strict hierarchy within a jousting society (e.g., President, Secretary, Treasurer)?</t>
  </si>
  <si>
    <t>A) To mimic a military structure, B) To ensure the club is run in an organized and professional manner, C) To decide who gets to be the jouster, D) It is just a tradition</t>
  </si>
  <si>
    <t>B) To ensure the club is run in an organized and professional manner</t>
  </si>
  <si>
    <t>Like any modern sports club, the societies have a formal administrative structure to manage their finances, events, and members.</t>
  </si>
  <si>
    <t>A team's boat is found to be lighter than the minimum required weight. What is the consequence?</t>
  </si>
  <si>
    <t>A) They are given a head start, B) They are disqualified, C) They must add weights to the boat, D) It provides no advantage</t>
  </si>
  <si>
    <t>The weight of the boats is standardized to ensure fairness. A lighter boat would be faster and easier to propel, providing an illegal advantage.</t>
  </si>
  <si>
    <t>What is the main role of the helmsman's (patron's) long oar?</t>
  </si>
  <si>
    <t>A) To push off from the canal walls, B) To act as a rudder to steer the very heavy and long boat, C) To be used as a weapon in case of a dispute, D) To signal to the rowers</t>
  </si>
  <si>
    <t>B) To act as a rudder to steer the very heavy and long boat</t>
  </si>
  <si>
    <t>The long oar is the steering mechanism, and the skill of the patron in using it is crucial for a successful pass.</t>
  </si>
  <si>
    <t>A jouster wins the pass, but video replay shows that the tip of their lance struck the border of the shield, not the main surface. What is the call?</t>
  </si>
  <si>
    <t>A) The win is valid, B) The win is invalid because it was not in the legal target area, C) The pass is replayed, D) A penalty is given</t>
  </si>
  <si>
    <t>B) The win is invalid because it was not in the legal target area</t>
  </si>
  <si>
    <t>The rules specify the exact rectangular area on the shield that is a valid target. A hit on the edge or outside this area is a foul.</t>
  </si>
  <si>
    <t>Why is it a rule that the rowers must all be facing forward, away from the direction of travel?</t>
  </si>
  <si>
    <t>A) It is more comfortable, B) This is the traditional and most powerful method of rowing for this type of boat, C) To prevent them from distracting the jouster, D) So they cannot see the crash</t>
  </si>
  <si>
    <t>B) This is the traditional and most powerful method of rowing for this type of boat</t>
  </si>
  <si>
    <t>This is the classic Mediterranean style of rowing, where the rowers push on the oars while standing and facing forward.</t>
  </si>
  <si>
    <t>A jouster is penalized for "feet lifted" (pieds levés). What does this mean?</t>
  </si>
  <si>
    <t>A) They lifted their feet completely off the tintaine during the impact, B) They were not wearing the correct shoes, C) They kicked their opponent, D) They jumped into the water</t>
  </si>
  <si>
    <t>A) They lifted their feet completely off the tintaine during the impact</t>
  </si>
  <si>
    <t>A jouster must absorb the shock with their feet firmly planted. Lifting the feet off the platform at the moment of impact is a foul.</t>
  </si>
  <si>
    <t>What is the main reason that jousters must compete in specific, designated weight categories?</t>
  </si>
  <si>
    <t>A) To ensure that the boats are not unbalanced, B) To ensure a fair contest based on skill rather than just a massive weight advantage, C) To make it easier to find uniforms, D) To make the sport safer</t>
  </si>
  <si>
    <t>B) To ensure a fair contest based on skill rather than just a massive weight advantage</t>
  </si>
  <si>
    <t>Pitting a lightweight jouster against a super-heavyweight would be an unfair mismatch, so the categories ensure fair play.</t>
  </si>
  <si>
    <t>A team's boat has only 9 rowers instead of the required 10. What is the consequence?</t>
  </si>
  <si>
    <t>A) They are allowed to compete at a disadvantage, B) They are not allowed to start the pass, C) They are given a 1-point penalty, D) They can use a motor to compensate</t>
  </si>
  <si>
    <t>B) They are not allowed to start the pass</t>
  </si>
  <si>
    <t>The rules for the composition of the boat crew are strict to ensure fairness. A team that is short a rower cannot compete.</t>
  </si>
  <si>
    <t>A jouster is using a lance that has a slight curve in it. Is this allowed?</t>
  </si>
  <si>
    <t>A) Yes, if it helps them aim better, B) No, the lance must be perfectly straight, C) Only if the opponent agrees, D) Only in the junior category</t>
  </si>
  <si>
    <t>B) No, the lance must be perfectly straight</t>
  </si>
  <si>
    <t>The equipment is standardized, and a curved lance would be illegal as it could provide an unfair advantage or be unpredictable.</t>
  </si>
  <si>
    <t>What is the main characteristic of the "Givordine" method of jousting?</t>
  </si>
  <si>
    <t>A) The boats pass on the left side, B) The jousters are seated, C) The boats are propelled by a cable system, D) It is a non-contact version</t>
  </si>
  <si>
    <t>A) The boats pass on the left side</t>
  </si>
  <si>
    <t>This is the key distinguishing rule of the Givors style, as opposed to the Sète style where boats must pass on the right.</t>
  </si>
  <si>
    <t>A jouster successfully unseats their opponent. To whom does the glory of the victory belong?</t>
  </si>
  <si>
    <t>A) Only to the individual jouster, B) To the jouster, the rowers, the helmsman, and their entire society, C) To the boat builder, D) To the city's mayor</t>
  </si>
  <si>
    <t>B) To the jouster, the rowers, the helmsman, and their entire society</t>
  </si>
  <si>
    <t>A victory in jousting is considered a total team and community effort.</t>
  </si>
  <si>
    <t>What is the ruling if a jouster touches their opponent with their free hand to push them?</t>
  </si>
  <si>
    <t>A) It is a legal tactic, B) It is a foul, and the jouster loses the pass, C) A warning is issued, D) The pass is replayed</t>
  </si>
  <si>
    <t>B) It is a foul, and the jouster loses the pass</t>
  </si>
  <si>
    <t>A jouster is strictly forbidden from touching their opponent with any part of their body.</t>
  </si>
  <si>
    <t>What is the primary role of the musician on the boat?</t>
  </si>
  <si>
    <t>A) To entertain the crowd, B) To provide the rhythm for the rowers with their oboe and drum, C) To signal fouls to the referee, D) To be a substitute rower</t>
  </si>
  <si>
    <t>B) To provide the rhythm for the rowers with their oboe and drum</t>
  </si>
  <si>
    <t>The musician is a functional part of the crew, as their tempo dictates the speed of the boat's approach.</t>
  </si>
  <si>
    <t>A jouster is wearing a white outfit, but their socks are red, the color of the opposing boat. Why is this a foul?</t>
  </si>
  <si>
    <t>A) It is not a foul, B) It can be confusing for the judges, C) Red socks are considered bad luck, D) It violates the strict all-white uniform rule</t>
  </si>
  <si>
    <t>D) It violates the strict all-white uniform rule</t>
  </si>
  <si>
    <t>The rules require the jouster's attire to be entirely white, down to the socks, to ensure uniformity and clear judging.</t>
  </si>
  <si>
    <t>What is the main reason a jouster must remain on the tintaine for the entire pass?</t>
  </si>
  <si>
    <t>A) It is the most dangerous spot, B) It is the ultimate test of balance, the core skill of the sport, C) It is the only place they can hold the lance, D) It provides the best view</t>
  </si>
  <si>
    <t>B) It is the ultimate test of balance, the core skill of the sport</t>
  </si>
  <si>
    <t>The entire sport is designed around the challenge of staying balanced on this tiny, unstable platform during a violent impact.</t>
  </si>
  <si>
    <t>What is the ruling if a jouster's broken lance hits a spectator?</t>
  </si>
  <si>
    <t>A) The jouster is disqualified, B) The match is immediately stopped, and medical aid is provided, C) The spectator is at fault for being too close, D) The match continues</t>
  </si>
  <si>
    <t>B) The match is immediately stopped, and medical aid is provided</t>
  </si>
  <si>
    <t>The safety of the public is a primary concern, and any such incident would require an immediate halt to the competition.</t>
  </si>
  <si>
    <t>A jouster is seen to be "pumping" their lance up and down before impact. Why is this a foul?</t>
  </si>
  <si>
    <t>A) It can distract the opponent, B) It can generate unfair momentum, C) It is not a traditional technique, D) It is not a foul</t>
  </si>
  <si>
    <t>B) It can generate unfair momentum</t>
  </si>
  <si>
    <t>The lance must be held in a steady, horizontal position. Pumping it is an illegal way to add extra force to the thrust.</t>
  </si>
  <si>
    <t>What is the final action a jouster must perform after a successful, winning pass?</t>
  </si>
  <si>
    <t>A) Celebrate with their team, B) Shake hands with the opponent, C) Salute the jury and the public, D) Jump into the water</t>
  </si>
  <si>
    <t>C) Salute the jury and the public</t>
  </si>
  <si>
    <t>Proper etiquette requires the winning jouster to perform a salute with their lance to the officials and the crowd as a sign of respect.</t>
  </si>
  <si>
    <t>In its essence, nautical jousting is a formal duel. What is the ultimate goal?</t>
  </si>
  <si>
    <t>A) To demonstrate which team has the fastest rowers, B) To prove one's courage, skill, and balance by unseating an opponent, C) To break as many lances as possible, D) To entertain the royal family</t>
  </si>
  <si>
    <t>B) To prove one's courage, skill, and balance by unseating an opponent</t>
  </si>
  <si>
    <t>The sport is a ritualized and non-lethal form of a knightly duel, a one-on-one contest of skill and bravery.</t>
  </si>
  <si>
    <t>What is the "Coupe de France"?</t>
  </si>
  <si>
    <t>A) The main season-long championship, B) A prestigious national knockout tournament, C) A tournament for junior jousters, D) A ceremonial event</t>
  </si>
  <si>
    <t>B) A prestigious national knockout tournament</t>
  </si>
  <si>
    <t>The Coupe de France is a major knockout cup competition, separate from the league-style championship.</t>
  </si>
  <si>
    <t>A jouster's shield (pavois) has a small dent in it from a previous pass. Can they still use it?</t>
  </si>
  <si>
    <t>A) No, it must be replaced, B) Yes, as long as it is structurally sound, C) Only if the opponent agrees, D) They will receive a point penalty</t>
  </si>
  <si>
    <t>B) Yes, as long as it is structurally sound</t>
  </si>
  <si>
    <t>Minor cosmetic damage is normal. The shield is only replaced if it is broken or compromised in a way that affects safety or fairness.</t>
  </si>
  <si>
    <t>What is the primary job of the helmsman (patron) after the jousters have passed each other?</t>
  </si>
  <si>
    <t>A) To celebrate or console the jouster, B) To safely and efficiently turn the heavy boat around for the next pass, C) To help the rowers, D) To speak with the referee</t>
  </si>
  <si>
    <t>B) To safely and efficiently turn the heavy boat around for the next pass</t>
  </si>
  <si>
    <t>Maneuvering the long, heavy boat in the narrow canal is a highly skilled job that is crucial for the flow of the tournament.</t>
  </si>
  <si>
    <t>What is the name of the competition for jousters in the lightest weight category?</t>
  </si>
  <si>
    <t>A) Featherweights, B) Juniors, C) Lightweights (légers), D) Cadets</t>
  </si>
  <si>
    <t>C) Lightweights (légers)</t>
  </si>
  <si>
    <t>The senior competition is divided into several weight classes, including light, middle, and heavy.</t>
  </si>
  <si>
    <t>A jouster successfully makes their opponent fall, but the referee noticed that the winning jouster's heels were lifted off the tintaine at the moment of impact. What is the ruling?</t>
  </si>
  <si>
    <t>A) The win is valid, B) It is a foul; the pass is a draw and must be re-run, C) The jouster who lifted their heels is disqualified, D) The opponent wins the point</t>
  </si>
  <si>
    <t>B) It is a foul; the pass is a draw and must be re-run</t>
  </si>
  <si>
    <t>A jouster must remain firmly planted. Lifting the feet or heels off the platform at the moment of impact is a foul that nullifies the win.</t>
  </si>
  <si>
    <t>Why is the position of the jouster on the right side of the boat a strict rule in the Languedocienne method?</t>
  </si>
  <si>
    <t>A) It is a tradition with no reason, B) It ensures that all jousts are "right-handed" and consistent for fair competition, C) It makes the boat more stable, D) It is easier for the rowers</t>
  </si>
  <si>
    <t>B) It ensures that all jousts are "right-handed" and consistent for fair competition</t>
  </si>
  <si>
    <t>This rule standardizes the entire geometry of the pass, making the competition fair and the judging consistent.</t>
  </si>
  <si>
    <t>A team is penalized for having a non-regulation boat. What might be the issue?</t>
  </si>
  <si>
    <t>A) The boat is the wrong color, B) The boat is too light or too narrow, C) The boat is too old, D) The boat has a motor</t>
  </si>
  <si>
    <t>B) The boat is too light or too narrow</t>
  </si>
  <si>
    <t>The dimensions and weight of the boats are strictly regulated to ensure that neither team has an unfair advantage in speed or stability.</t>
  </si>
  <si>
    <t>A jouster's lance has a tip with points that are too sharp. Why is this a foul?</t>
  </si>
  <si>
    <t>A) It can pierce too deeply into the shield, making it hard to withdraw, B) It poses a safety risk if it hits a body part, C) It can shatter the shield, D) All of the above</t>
  </si>
  <si>
    <t>D) All of the above</t>
  </si>
  <si>
    <t>The specifications for the lance tip are a matter of both fairness (it must grip but not stick) and safety.</t>
  </si>
  <si>
    <t>What is the ruling if a rower accidentally hits an opponent with their oar?</t>
  </si>
  <si>
    <t>A) The rower is disqualified, B) The pass is stopped, and a foul is called on the rower's team, C) It is a racing incident with no penalty, D) The opposing team gets a re-run</t>
  </si>
  <si>
    <t>B) The pass is stopped, and a foul is called on the rower's team</t>
  </si>
  <si>
    <t>The rowers must perform their task without interfering with the opponents. An oar strike is a major foul.</t>
  </si>
  <si>
    <t>What is the main reason that the sport is called "nautical jousting"?</t>
  </si>
  <si>
    <t>A) It is a joust that takes place on the water, B) The rules are decided by the navy, C) It is a very old name, D) It was invented by a sailor</t>
  </si>
  <si>
    <t>A) It is a joust that takes place on the water</t>
  </si>
  <si>
    <t>The name is a literal description of the activity: a joust, similar to the medieval contest of knights, but performed in boats.</t>
  </si>
  <si>
    <t>In a team event, the score is tied at the end. How is the winning team determined?</t>
  </si>
  <si>
    <t>A) By a final one-on-one joust between the best jousters, B) The team with the fewest penalties wins, C) The team that won the last pass wins, D) The match is declared a draw</t>
  </si>
  <si>
    <t>A) By a final one-on-one joust between the best jousters</t>
  </si>
  <si>
    <t>A tie in a team match is often broken by a "barrage" or a final, decisive pass between the top jousters of each team.</t>
  </si>
  <si>
    <t>A jouster is found to be wearing a weighted vest under their uniform. What is the consequence?</t>
  </si>
  <si>
    <t>A) They are allowed to compete, B) They are disqualified for cheating, C) They are moved to a heavier weight class, D) They are given a warning</t>
  </si>
  <si>
    <t>B) They are disqualified for cheating</t>
  </si>
  <si>
    <t>Artificially altering one's weight to gain an advantage in a specific category is a serious violation of the rules.</t>
  </si>
  <si>
    <t>Why is it a rule that the rowers must stop rowing the moment the jousters make contact?</t>
  </si>
  <si>
    <t>A) To save energy, B) To prevent the boat from crashing into the quay, C) To ensure the outcome is decided by the joust itself, not by the continued push of the rowers, D) It is not a rule</t>
  </si>
  <si>
    <t>C) To ensure the outcome is decided by the joust itself, not by the continued push of the rowers</t>
  </si>
  <si>
    <t>The rowers provide the initial momentum, but the result of the pass must be determined by the skill and strength of the jousters at the moment of impact.</t>
  </si>
  <si>
    <t>What is the role of the "capitaine de jeunesse" in a jousting society?</t>
  </si>
  <si>
    <t>A) The president of the club, B) The coach of the junior and cadet teams, C) The youngest jouster on the team, D) The team's main sponsor</t>
  </si>
  <si>
    <t>B) The coach of the junior and cadet teams</t>
  </si>
  <si>
    <t>This person is responsible for training the next generation of jousters and passing on the traditions of the club.</t>
  </si>
  <si>
    <t>A jouster wins a pass, but the referee declares it a "victoire administrative" (administrative victory). What likely happened?</t>
  </si>
  <si>
    <t>A) The winner's opponent was disqualified for a foul before the joust, B) The winner was the only one to show up, C) The winner's opponent was injured, D) The winner was chosen by the jury</t>
  </si>
  <si>
    <t>A) The winner's opponent was disqualified for a foul before the joust</t>
  </si>
  <si>
    <t>An administrative victory is awarded when the opponent is disqualified for a procedural reason (e.g., false start, illegal equipment) before the pass is completed.</t>
  </si>
  <si>
    <t>Why must a jouster keep their back straight and chest forward during the pass?</t>
  </si>
  <si>
    <t>A) It is for aesthetic style points, B) It is the strongest biomechanical position to absorb impact and deliver force, C) It makes them a bigger target, D) It is a rule of etiquette</t>
  </si>
  <si>
    <t>B) It is the strongest biomechanical position to absorb impact and deliver force</t>
  </si>
  <si>
    <t>This classic posture is essential for maintaining balance and channeling the full power of the body through the lance.</t>
  </si>
  <si>
    <t>In the Lyonnaise method, the boats are often propelled by what means?</t>
  </si>
  <si>
    <t>A) Ten rowers, B) A silent electric motor, C) A powerful diesel engine, D) A system of underwater cables</t>
  </si>
  <si>
    <t>B) A silent electric motor</t>
  </si>
  <si>
    <t>To ensure a smooth, constant speed without the noise and pollution of a combustion engine, many modern Lyonnaise boats use electric motors.</t>
  </si>
  <si>
    <t>A jouster is disqualified for having a "pavois non conforme" (non-compliant shield). What could be wrong with it?</t>
  </si>
  <si>
    <t>A) It is the wrong color, B) It is too heavy or has an illegal surface designed to repel the lance, C) It is too old, D) It is not decorated</t>
  </si>
  <si>
    <t>B) It is too heavy or has an illegal surface designed to repel the lance</t>
  </si>
  <si>
    <t>The shield must meet strict specifications for size, weight, and material to ensure a fair contest.</t>
  </si>
  <si>
    <t>What is the main objective of the "Fédération Internationale de Joutes et de Sauvetage Nautique"?</t>
  </si>
  <si>
    <t>A) To make the sport professional, B) To govern and promote the different styles of jousting on a global level, C) To ban the sport, D) To sell equipment</t>
  </si>
  <si>
    <t>B) To govern and promote the different styles of jousting on a global level</t>
  </si>
  <si>
    <t>The international federation works to unite the various jousting traditions and organize international competitions.</t>
  </si>
  <si>
    <t>The two boats in a pass are designated by what colors?</t>
  </si>
  <si>
    <t>A) Black and White, B) Green and Yellow, C) Red and Blue, D) Gold and Silver</t>
  </si>
  <si>
    <t>C) Red and Blue</t>
  </si>
  <si>
    <t>The use of a red boat and a blue boat is a fundamental part of the visual identity and tradition of the sport.</t>
  </si>
  <si>
    <t>A jouster is holding their lance with the tip pointing down at the water before the pass. Why is this a foul?</t>
  </si>
  <si>
    <t>A) It can damage the lance tip, B) It is a sign of disrespect, C) It is a safety violation and an incorrect starting position, D) It can scare the fish</t>
  </si>
  <si>
    <t>C) It is a safety violation and an incorrect starting position</t>
  </si>
  <si>
    <t>The lance must be held horizontally to ensure a safe and fair engagement. Pointing it down is an illegal "garde basse" (low guard).</t>
  </si>
  <si>
    <t>What is the ruling if a jouster falls, but their opponent's lance is found to have struck them on the body instead of the shield?</t>
  </si>
  <si>
    <t>A) The fall is valid, and the opponent wins, B) The opponent is disqualified for a dangerous foul, and the fallen jouster wins the pass, C) The pass is replayed, D) Both jousters are disqualified</t>
  </si>
  <si>
    <t>B) The opponent is disqualified for a dangerous foul, and the fallen jouster wins the pass</t>
  </si>
  <si>
    <t>A strike to the body is a major foul. If it causes a fall, the offender is penalized, and the victim is awarded the win.</t>
  </si>
  <si>
    <t>What is the main reason a jouster must wear a traditional, tight-fitting outfit?</t>
  </si>
  <si>
    <t>A) For aerodynamics, B) To prevent loose clothing from being snagged by the opponent's lance, C) It is a sponsor requirement, D) It is more comfortable</t>
  </si>
  <si>
    <t>B) To prevent loose clothing from being snagged by the opponent's lance</t>
  </si>
  <si>
    <t>Safety rules require fitted clothing to minimize the risk of the lance getting dangerously caught.</t>
  </si>
  <si>
    <t>What does it mean if a tournament has different "catégories" (categories)?</t>
  </si>
  <si>
    <t>A) The prizes are different, B) It has different events for different skill levels, from juniors to seniors, C) It is held over several days, D) It includes both men's and women's events</t>
  </si>
  <si>
    <t>B) It has different events for different skill levels, from juniors to seniors</t>
  </si>
  <si>
    <t>The tournament is broken down into different age and weight classes to ensure fair competition.</t>
  </si>
  <si>
    <t>What is the ruling if a jouster blocks the opponent's lance with their free arm?</t>
  </si>
  <si>
    <t>A) It is a legal defensive move, B) It is a foul, and the jouster loses the pass, C) The pass is replayed, D) The jouster is given a warning</t>
  </si>
  <si>
    <t>A jouster cannot use their free hand or arm to interfere with the opponent's lance in any way.</t>
  </si>
  <si>
    <t>A jouster wins the final of the Saint Louis festival. What is their status in the community?</t>
  </si>
  <si>
    <t>A) They are a local celebrity and a hero, B) They are given a job as a boat captain, C) They are expected to retire, D) Their status does not change</t>
  </si>
  <si>
    <t>A) They are a local celebrity and a hero</t>
  </si>
  <si>
    <t>Winning the Saint Louis is the highest achievement in the sport, and the champion is revered in their hometown.</t>
  </si>
  <si>
    <t>A jouster is holding their lance with the tip pointing up at the sky before the pass. Why is this a foul?</t>
  </si>
  <si>
    <t>A) It can damage the lance tip, B) It is a sign of disrespect, C) It is a safety violation and an incorrect starting position, D) It can scare the birds</t>
  </si>
  <si>
    <t>The lance must be held horizontally to ensure a safe and fair engagement. Pointing it up is an illegal "garde haute" (high guard).</t>
  </si>
  <si>
    <t>What is the purpose of the strict hierarchy within a jousting society?</t>
  </si>
  <si>
    <t>A jouster successfully makes their opponent fall, but their own foot slips out of the marked footprint on the tintaine. What is the ruling?</t>
  </si>
  <si>
    <t>A) The victory is valid, B) It is a foul; the pass is a draw and must be re-run, C) The jouster who slipped is disqualified, D) The point is awarded to the opponent</t>
  </si>
  <si>
    <t>What is the primary objective in a game of Balle au Tambourin?</t>
  </si>
  <si>
    <t>A) To hit the opponent with the ball, B) To score points by hitting the ball into the opponent's court so they cannot return it, C) To hold the ball for the longest time, D) To perform the most skillful tricks</t>
  </si>
  <si>
    <t>B) To score points by hitting the ball into the opponent's court so they cannot return it</t>
  </si>
  <si>
    <t>The goal is to win points by making the ball land in the opponent's half of the field or by forcing them into an error.</t>
  </si>
  <si>
    <t>What is the essential piece of equipment used by players to strike the ball?</t>
  </si>
  <si>
    <t>A) A wooden bat, B) A stringed racket, C) A tambourin (a drum-like bat), D) Padded gloves</t>
  </si>
  <si>
    <t>C) A tambourin (a drum-like bat)</t>
  </si>
  <si>
    <t>The sport is named after its unique implement, a tambourin, which is used to hit the ball.</t>
  </si>
  <si>
    <t>How many players make up a standard outdoor Tambourin team?</t>
  </si>
  <si>
    <t>A) 3, B) 4, C) 5, D) 6</t>
  </si>
  <si>
    <t>C) 5</t>
  </si>
  <si>
    <t>The traditional outdoor version of the sport is played with five players on each team.</t>
  </si>
  <si>
    <t>How many games must a team win to win a set (manche) in a standard match?</t>
  </si>
  <si>
    <t>A) 4, B) 5, C) 6, D) 7</t>
  </si>
  <si>
    <t>C) 6</t>
  </si>
  <si>
    <t>Similar to tennis, a team must win 6 games to win the set. A tie-breaker is often played at 5-5.</t>
  </si>
  <si>
    <t>What is the scoring system used within a single game (jeu)?</t>
  </si>
  <si>
    <t>A) 1, 2, 3, 4, B) 10, 20, 30, 40, C) 15, 30, 40, game, D) 5, 10, 15, 20</t>
  </si>
  <si>
    <t>C) 15, 30, 40, game</t>
  </si>
  <si>
    <t>The sport uses a scoring system identical to tennis, a legacy of their shared ancestor, Jeu de Paume.</t>
  </si>
  <si>
    <t>What is the official weight range of the red rubber ball used in senior competitions?</t>
  </si>
  <si>
    <t>A) 38-40 g, B) 58-60 g, C) 78-80 g, D) 98-100 g</t>
  </si>
  <si>
    <t>C) 78-80 g</t>
  </si>
  <si>
    <t>The official ball is made of pressurized rubber and must conform to this specific weight for official matches.</t>
  </si>
  <si>
    <t>What is the standard diameter of a tambourin used in senior competitions?</t>
  </si>
  <si>
    <t>A) 20 cm, B) 24 cm, C) 28 cm, D) 32 cm</t>
  </si>
  <si>
    <t>C) 28 cm</t>
  </si>
  <si>
    <t>The senior-level tambourins are standardized at 28 cm in diameter to ensure fair play.</t>
  </si>
  <si>
    <t>What is the main characteristic that distinguishes outdoor Tambourin from sports like tennis or volleyball?</t>
  </si>
  <si>
    <t>A) It is played with a ball, B) It is a team sport, C) There is no physical net separating the two teams, D) It is played on a rectangular court</t>
  </si>
  <si>
    <t>C) There is no physical net separating the two teams</t>
  </si>
  <si>
    <t>The outdoor game is played over a simple line on the ground (la corde), not a raised net.</t>
  </si>
  <si>
    <t>What are the official dimensions of an outdoor Tambourin court (terrain)?</t>
  </si>
  <si>
    <t>A) 60m x 20m, B) 70m x 20m, C) 80m x 20m, D) 90m x 30m</t>
  </si>
  <si>
    <t>C) 80m x 20m</t>
  </si>
  <si>
    <t>The large size of the outdoor court requires players with great power and stamina.</t>
  </si>
  <si>
    <t>What is the role of the referee (arbitre) in a match?</t>
  </si>
  <si>
    <t>A) To coach the players, B) To announce the score and call faults, C) To provide commentary, D) To maintain the equipment</t>
  </si>
  <si>
    <t>B) To announce the score and call faults</t>
  </si>
  <si>
    <t>The referee is the sole authority on the court, responsible for enforcing the rules and making all official calls.</t>
  </si>
  <si>
    <t>What happens if the ball touches one of the court's boundary lines during a rally?</t>
  </si>
  <si>
    <t>A) The point is lost, B) The point is won (the ball is "in"), C) The point is replayed, D) The line is not part of the court</t>
  </si>
  <si>
    <t>B) The point is won (the ball is "in")</t>
  </si>
  <si>
    <t>The lines are considered part of the valid playing area. A ball that lands on a line is good.</t>
  </si>
  <si>
    <t>What is a "fault" on the serve (mise en jeu)?</t>
  </si>
  <si>
    <t>A) The ball hits the center line, B) The server steps on the baseline while serving, C) The serve is too high, D) The serve is too fast</t>
  </si>
  <si>
    <t>B) The server steps on the baseline while serving</t>
  </si>
  <si>
    <t>This is a "foot fault." The server's feet cannot touch the baseline or the court inside it until the ball has been struck.</t>
  </si>
  <si>
    <t>How long does a team have to complete a serve after the referee calls the score?</t>
  </si>
  <si>
    <t>A) 5 seconds, B) 10 seconds, C) 15 seconds, D) 20 seconds</t>
  </si>
  <si>
    <t>B) 10 seconds</t>
  </si>
  <si>
    <t>A server must strike the ball within ten seconds of the score being announced to prevent delaying the game.</t>
  </si>
  <si>
    <t>What is the minimum age to play in the "Cadets" category?</t>
  </si>
  <si>
    <t>A) 10 years old, B) 12 years old, C) 14 years old, D) 16 years old</t>
  </si>
  <si>
    <t>C) 14 years old</t>
  </si>
  <si>
    <t>The "Cadets" category is typically for players aged 14 to 16.</t>
  </si>
  <si>
    <t>What is the main purpose of the "safety zone" (zone de dégagement) around the court?</t>
  </si>
  <si>
    <t>A) For spectators to stand, B) To allow players to safely play balls that are hit near the boundaries, C) For team benches, D) For advertising</t>
  </si>
  <si>
    <t>B) To allow players to safely play balls that are hit near the boundaries</t>
  </si>
  <si>
    <t>This runoff area is essential for player safety, giving them space to slow down after chasing a wide shot.</t>
  </si>
  <si>
    <t>What is the ruling if the ball hits a player's body or clothing during a rally?</t>
  </si>
  <si>
    <t>A) The play continues, B) It is a fault, and the player's team loses the point, C) The point is replayed, D) Only if it was intentional</t>
  </si>
  <si>
    <t>B) It is a fault, and the player's team loses the point</t>
  </si>
  <si>
    <t>The ball can only be struck with the tambourin. Any contact with a player's body results in the loss of the point.</t>
  </si>
  <si>
    <t>What is the main difference in the tambourins used by junior players compared to seniors?</t>
  </si>
  <si>
    <t>A) They are a different color, B) They are lighter and often smaller in diameter, C) They are made of a different material, D) There is no difference</t>
  </si>
  <si>
    <t>B) They are lighter and often smaller in diameter</t>
  </si>
  <si>
    <t>Younger players use equipment that is scaled to their size and strength for safety and proper technique development.</t>
  </si>
  <si>
    <t>How many times is a team allowed to change players (make a substitution) during a match?</t>
  </si>
  <si>
    <t>A) Once per set, B) Twice per match, C) Three times per match, D) Unlimited</t>
  </si>
  <si>
    <t>C) Three times per match</t>
  </si>
  <si>
    <t>A team is permitted a maximum of three substitutions over the course of an entire match.</t>
  </si>
  <si>
    <t>What is the official name for the player who plays at the very back of the court?</t>
  </si>
  <si>
    <t>A) The Captain, B) The Fond, C) The Server, D) The Cordier</t>
  </si>
  <si>
    <t>B) The Fond</t>
  </si>
  <si>
    <t>The fond (literally "back" or "deep") is the player positioned furthest back, typically the most powerful hitter on the team.</t>
  </si>
  <si>
    <t>What is the primary role of the two players at the front of the court, the cordiers?</t>
  </si>
  <si>
    <t>A) To serve, B) To play short balls and volleys, C) To be defensive specialists, D) To be the team captains</t>
  </si>
  <si>
    <t>B) To play short balls and volleys</t>
  </si>
  <si>
    <t>The cordiers play closer to the center line ("la corde") and are responsible for angled shots and quick volleys.</t>
  </si>
  <si>
    <t>What is the ruling if a tambourin breaks during a rally?</t>
  </si>
  <si>
    <t>A) The player is disqualified, B) The point is immediately stopped and replayed, C) The player must continue with the broken tambourin, D) The team loses the point</t>
  </si>
  <si>
    <t>B) The point is immediately stopped and replayed</t>
  </si>
  <si>
    <t>If a player's equipment fails during a live point through no fault of their own, the point is replayed to ensure fairness.</t>
  </si>
  <si>
    <t>How does a team win a "game" when the score is 40-40 (known as "égalité")?</t>
  </si>
  <si>
    <t>A) The next point wins, B) They must win two consecutive points, C) A tie-breaker is played, D) The game is a draw</t>
  </si>
  <si>
    <t>B) They must win two consecutive points</t>
  </si>
  <si>
    <t>Just like in tennis, from "deuce" (égalité), a team must score two straight points: the first to get "advantage" (avantage), and the second to win the game.</t>
  </si>
  <si>
    <t>What type of surface is recommended for a high-quality outdoor Tambourin court?</t>
  </si>
  <si>
    <t>A) Natural grass, B) Sand, C) Paved asphalt or tarmac, D) Wood</t>
  </si>
  <si>
    <t>C) Paved asphalt or tarmac</t>
  </si>
  <si>
    <t>A hard, even surface like asphalt provides a consistent and high bounce for the ball, which is essential for the outdoor game.</t>
  </si>
  <si>
    <t>In the indoor version of the sport, how many players are on each team?</t>
  </si>
  <si>
    <t>A) 5, B) 4, C) 3, D) 2</t>
  </si>
  <si>
    <t>C) 3</t>
  </si>
  <si>
    <t>The smaller indoor court requires fewer players, with teams consisting of three players each.</t>
  </si>
  <si>
    <t>What is a key rule difference in the indoor game compared to the outdoor game?</t>
  </si>
  <si>
    <t>A) The ball is softer, B) The tambourins are larger, C) There is a neutral zone in the middle where the ball cannot bounce, D) There is no serving</t>
  </si>
  <si>
    <t>C) There is a neutral zone in the middle where the ball cannot bounce</t>
  </si>
  <si>
    <t>The indoor game has a "dead zone" or neutral area in the middle of the court, which changes the tactics of the game significantly.</t>
  </si>
  <si>
    <t>A player is penalized for a "foot fault" on their serve. What did they do?</t>
  </si>
  <si>
    <t>A) They served from the wrong side, B) They stepped on or over the baseline before hitting the ball, C) They kicked the ball, D) They took too long to serve</t>
  </si>
  <si>
    <t>B) They stepped on or over the baseline before hitting the ball</t>
  </si>
  <si>
    <t>The server must remain behind the baseline until the moment they strike the ball with their tambourin.</t>
  </si>
  <si>
    <t>What is the main characteristic of the ball used in the indoor game?</t>
  </si>
  <si>
    <t>A) It is heavier than the outdoor ball, B) It is a softer, lower-pressure ball, C) It is the same as the outdoor ball, D) It is made of leather</t>
  </si>
  <si>
    <t>B) It is a softer, lower-pressure ball</t>
  </si>
  <si>
    <t>The indoor game uses a lighter and softer ball that is better suited for the smaller court and faster exchanges.</t>
  </si>
  <si>
    <t>What is the ruling if a player hits the ball and it lands outside the opponent's court?</t>
  </si>
  <si>
    <t>A) The point is replayed, B) Their team loses the point, C) Their team wins the point, D) The serve is repeated</t>
  </si>
  <si>
    <t>B) Their team loses the point</t>
  </si>
  <si>
    <t>Hitting the ball out of bounds is an error that results in the immediate loss of the point.</t>
  </si>
  <si>
    <t>What is the main purpose of the battoire?</t>
  </si>
  <si>
    <t>A) It is another name for the tambourin, B) It is the serving action, C) It is the central line on the court, D) It is the name of a specific tournament</t>
  </si>
  <si>
    <t>B) It is the serving action</t>
  </si>
  <si>
    <t>The battoire is the term for the serve, the stroke used to put the ball into play.</t>
  </si>
  <si>
    <t>A player is substituted into the match. Can the player who was substituted out return to the game later?</t>
  </si>
  <si>
    <t>A) Yes, at any time, B) Yes, but only in the next set, C) No, a player who has been substituted out cannot re-enter the match, D) Only if another player gets injured</t>
  </si>
  <si>
    <t>C) No, a player who has been substituted out cannot re-enter the match</t>
  </si>
  <si>
    <t>Once a player is replaced by a substitute, they are finished for the remainder of that match.</t>
  </si>
  <si>
    <t>A server hits the ball, and it touches the ground in their own half of the court before crossing the center line. What is the call?</t>
  </si>
  <si>
    <t>A) A legal serve, B) A service fault; they lose the point, C) They get a second serve, D) The point is replayed</t>
  </si>
  <si>
    <t>B) A service fault; they lose the point</t>
  </si>
  <si>
    <t>The served ball must cross into the opponent's court without first touching the server's own side of the field.</t>
  </si>
  <si>
    <t>What is the primary role of the team captain?</t>
  </si>
  <si>
    <t>A) To be the best player, B) To be the only player who can speak to the referee, C) To decide the team's uniform, D) To keep the score</t>
  </si>
  <si>
    <t>B) To be the only player who can speak to the referee</t>
  </si>
  <si>
    <t>The captain is the official representative of the team on the court and is responsible for all communication with the officials.</t>
  </si>
  <si>
    <t>The serve must land beyond a specific line in the opponent's court. What is this line called?</t>
  </si>
  <si>
    <t>A) The baseline, B) The sideline, C) The service line (ligne de quinze), D) The neutral zone line</t>
  </si>
  <si>
    <t>C) The service line (ligne de quinze)</t>
  </si>
  <si>
    <t>For a serve to be valid, it must bounce beyond the service line, which is located 15 meters from the center line.</t>
  </si>
  <si>
    <t>How many games are in a standard set (manche)?</t>
  </si>
  <si>
    <t>A) The first to 4, B) The first to 6, C) The first to 8, D) The first to 10</t>
  </si>
  <si>
    <t>B) The first to 6</t>
  </si>
  <si>
    <t>A set is composed of games, and a team must win 6 games to win the set, often with a tie-breaker at 5-5.</t>
  </si>
  <si>
    <t>What is the ruling if a player catches the ball with their tambourin instead of hitting it?</t>
  </si>
  <si>
    <t>A) It is a legal move, B) It is a fault for "carrying" or "holding" the ball, C) The player gets a warning, D) The point is replayed</t>
  </si>
  <si>
    <t>B) It is a fault for "carrying" or "holding" the ball</t>
  </si>
  <si>
    <t>The ball must be struck cleanly in a distinct hitting motion. Catching, holding, or scooping it is a foul.</t>
  </si>
  <si>
    <t>The modern tambourin's hitting surface is made of what material?</t>
  </si>
  <si>
    <t>A) Animal skin (parchment), B) Canvas, C) Synthetic polymer material, D) Thin wood</t>
  </si>
  <si>
    <t>C) Synthetic polymer material</t>
  </si>
  <si>
    <t>While traditional tambourins used animal skin, modern ones use specially treated synthetic fabrics for durability and consistent performance.</t>
  </si>
  <si>
    <t>What is the main reason for the strict rules on the ball's weight and pressure?</t>
  </si>
  <si>
    <t>A) To make the balls more expensive, B) To ensure fair play and a consistent bounce for all competitions, C) To make the game safer for the players, D) To preserve the tradition of the sport</t>
  </si>
  <si>
    <t>B) To ensure fair play and a consistent bounce for all competitions</t>
  </si>
  <si>
    <t>Standardized equipment is essential for a legitimate sport, ensuring that no team has an unfair advantage from their ball.</t>
  </si>
  <si>
    <t>What is the main difference between the tambourin used for the outdoor game and the one for the indoor game?</t>
  </si>
  <si>
    <t>A) The indoor tambourin is much larger, B) The indoor tambourin is lighter and has a more "lively" or responsive head, C) The outdoor tambourin is made of plastic, D) There is no difference</t>
  </si>
  <si>
    <t>B) The indoor tambourin is lighter and has a more "lively" or responsive head</t>
  </si>
  <si>
    <t>The indoor game is faster and relies more on wrist action, so the tambourins are designed to be more responsive to lighter touches.</t>
  </si>
  <si>
    <t>A player is penalized for "touching the line" during a serve. Which line did they touch?</t>
  </si>
  <si>
    <t>A) The sideline, B) The baseline, C) The center line, D) The opponent's service line</t>
  </si>
  <si>
    <t>B) The baseline</t>
  </si>
  <si>
    <t>What is the role of the tiers position in a team?</t>
  </si>
  <si>
    <t>A) They are the main server, B) They are a versatile player positioned between the back and front players, C) They are the team captain, D) They are a defensive specialist</t>
  </si>
  <si>
    <t>B) They are a versatile player positioned between the back and front players</t>
  </si>
  <si>
    <t>The tiers (thirds) are the two players who occupy the middle of the court, playing both offense and defense.</t>
  </si>
  <si>
    <t>A player hits the ball, and it hits a permanent fixture above the court (like a tree branch or a roof beam). What is the ruling?</t>
  </si>
  <si>
    <t>A) The point is replayed, B) Play continues, C) It is a fault, and the player's team loses the point, D) It is a point for the hitting team</t>
  </si>
  <si>
    <t>C) It is a fault, and the player's team loses the point</t>
  </si>
  <si>
    <t>Any ball that hits an overhead obstruction is immediately considered "out," and the team that hit it loses the point.</t>
  </si>
  <si>
    <t>What is the maximum number of sets (manches) in a championship match?</t>
  </si>
  <si>
    <t>A) 1, B) Best of 3, C) Best of 5, D) Best of 7</t>
  </si>
  <si>
    <t>B) Best of 3</t>
  </si>
  <si>
    <t>Major finals are typically played as a best-of-three-sets match, where the first team to win two sets wins the match.</t>
  </si>
  <si>
    <t>A player argues with a referee over a line call. What is the likely first action from the referee?</t>
  </si>
  <si>
    <t>A) To issue a yellow card, B) To issue a verbal warning to the team captain, C) To deduct a point, D) To replay the point</t>
  </si>
  <si>
    <t>B) To issue a verbal warning to the team captain</t>
  </si>
  <si>
    <t>The referee will first try to de-escalate the situation with a warning. Persistent arguing will lead to more severe penalties.</t>
  </si>
  <si>
    <t>Is a player allowed to hit the ball with the wooden frame of the tambourin?</t>
  </si>
  <si>
    <t>A) No, only the hitting surface can be used, B) Yes, it is a legal, though often uncontrolled, hit, C) It is a fault, D) The point is replayed</t>
  </si>
  <si>
    <t>B) Yes, it is a legal, though often uncontrolled, hit</t>
  </si>
  <si>
    <t>A ball that strikes the frame ("the wood") is still in play, just like in tennis when a ball hits the frame of the racket.</t>
  </si>
  <si>
    <t>What is the main purpose of the "tie-break" game played when a set is tied at 5-5?</t>
  </si>
  <si>
    <t>A) To make the game longer, B) To be a fair and exciting way to decide the winner of the set, C) To give the losing team a chance, D) To test the players' endurance</t>
  </si>
  <si>
    <t>B) To be a fair and exciting way to decide the winner of the set</t>
  </si>
  <si>
    <t>The tie-break is a special game with a different scoring system that provides a decisive conclusion to a closely contested set.</t>
  </si>
  <si>
    <t>In the indoor game, what happens if the ball bounces in the central "neutral zone"?</t>
  </si>
  <si>
    <t>A) It is a point for the team that hit it, B) It is a fault, and the team that hit it loses the point, C) The point is replayed, D) The ball is still in play</t>
  </si>
  <si>
    <t>B) It is a fault, and the team that hit it loses the point</t>
  </si>
  <si>
    <t>The neutral zone is a "dead" area. A team that causes the ball to land there loses the point.</t>
  </si>
  <si>
    <t>How many line judges (juges de ligne) are typically used in a major championship match?</t>
  </si>
  <si>
    <t>A) None, B) Two, C) Four, D) Six</t>
  </si>
  <si>
    <t>C) Four</t>
  </si>
  <si>
    <t>To ensure accurate calls on the long sidelines and baselines, a team of four line judges is often used to assist the main referee.</t>
  </si>
  <si>
    <t>Can a player leave the court to play a ball?</t>
  </si>
  <si>
    <t>A) No, it is a foul, B) Yes, as long as they return to the court immediately, C) Yes, a player is allowed to play the ball from outside the court boundaries, D) Only if the referee gives permission</t>
  </si>
  <si>
    <t>C) Yes, a player is allowed to play the ball from outside the court boundaries</t>
  </si>
  <si>
    <t>A player can legally play a ball from the safety zone outside the court, as long as the ball has not yet bounced a second time.</t>
  </si>
  <si>
    <t>What is the penalty for a team that is not ready to play when the referee calls for the match to begin?</t>
  </si>
  <si>
    <t>A) They must forfeit the first point, B) A warning, followed by point penalties if the delay continues, C) They must forfeit the match, D) There is no penalty</t>
  </si>
  <si>
    <t>B) A warning, followed by point penalties if the delay continues</t>
  </si>
  <si>
    <t>To keep the tournament on schedule, teams are penalized for being late or delaying the start of a match.</t>
  </si>
  <si>
    <t>In its essence, Balle au Tambourin is a test of what?</t>
  </si>
  <si>
    <t>A) Raw power and strength, B) Team strategy, coordination, and individual skill, C) Pure speed and agility, D) Only the ability to serve well</t>
  </si>
  <si>
    <t>B) Team strategy, coordination, and individual skill</t>
  </si>
  <si>
    <t>The sport requires a combination of individual technical skill and sophisticated team coordination to be played at a high level.</t>
  </si>
  <si>
    <t>A player is found to be using a tambourin with a double layer of synthetic skin to create a "trampoline" effect. What is the ruling?</t>
  </si>
  <si>
    <t>A) This is a legal innovation, B) The tambourin is illegal, and the player is disqualified, C) The player can use it but cannot score points, D) A warning is issued</t>
  </si>
  <si>
    <t>B) The tambourin is illegal, and the player is disqualified</t>
  </si>
  <si>
    <t>All equipment must conform to the official standards. Tampering with the tambourin to gain an unfair advantage is a major violation.</t>
  </si>
  <si>
    <t>What is the main reason for the court being so long (80 meters)?</t>
  </si>
  <si>
    <t>A) To accommodate a large number of players, B) To test the power and stamina of the players, C) It is a traditional size with no reason, D) To make the game safer</t>
  </si>
  <si>
    <t>B) To test the power and stamina of the players</t>
  </si>
  <si>
    <t>The large court requires players, especially the fond, to have incredible strength to hit the ball the full length of the court for an entire match.</t>
  </si>
  <si>
    <t>A player is hit by a ball that was struck by their own teammate. What is the call?</t>
  </si>
  <si>
    <t>A) It is a fault, and the team loses the point, B) The point is replayed, C) Play continues as it was an accident, D) The player who was hit is penalized</t>
  </si>
  <si>
    <t>A) It is a fault, and the team loses the point</t>
  </si>
  <si>
    <t>If a player is struck by a ball hit by their own side (before it has been played by an opponent), it is a fault.</t>
  </si>
  <si>
    <t>What is the primary role of the tiers (thirds) players?</t>
  </si>
  <si>
    <t>A) They are the main servers, B) They are versatile players who control the mid-court, playing both offense and defense, C) They are defensive specialists who only block, D) They are substitutes</t>
  </si>
  <si>
    <t>B) They are versatile players who control the mid-court, playing both offense and defense</t>
  </si>
  <si>
    <t>The tiers are the all-rounders of the team, responsible for linking the play between the front and back of the court.</t>
  </si>
  <si>
    <t>A player is penalized for "prolonged contact" with the ball. What does this mean?</t>
  </si>
  <si>
    <t>A) They hit the ball twice, B) They caught or held the ball on the tambourin instead of striking it cleanly, C) They held onto the ball with their hand, D) They took too long to hit the ball</t>
  </si>
  <si>
    <t>B) They caught or held the ball on the tambourin instead of striking it cleanly</t>
  </si>
  <si>
    <t>The ball must be hit in a distinct, single motion. Scooping, carrying, or holding it on the tambourin is a foul.</t>
  </si>
  <si>
    <t>In a tie-break game, how are points scored?</t>
  </si>
  <si>
    <t>A) With the 15-30-40 system, B) With sequential points (1, 2, 3, etc.), C) The first team to score wins, D) By a vote of the judges</t>
  </si>
  <si>
    <t>B) With sequential points (1, 2, 3, etc.)</t>
  </si>
  <si>
    <t>The tie-break uses a simple numerical scoring system, usually played to 7 or 8 points.</t>
  </si>
  <si>
    <t>A player is found to be wearing shoes with cleats or spikes. Why is this a foul?</t>
  </si>
  <si>
    <t>A) It can damage the asphalt playing surface, B) It gives an unfair grip advantage, C) It is a safety hazard to other players, D) All of the above</t>
  </si>
  <si>
    <t>Spiked shoes are illegal as they damage the court and pose a significant risk of injury to other players.</t>
  </si>
  <si>
    <t>What is the ruling if the ball hits the referee during a live rally?</t>
  </si>
  <si>
    <t>A) Play continues, B) The point is immediately stopped and replayed, C) It is a fault on the player who hit the referee, D) It is a point for the player who hit the referee</t>
  </si>
  <si>
    <t>The referee is considered an outside interference. If the ball hits them, the point must be replayed to be fair.</t>
  </si>
  <si>
    <t>A team captain believes the referee has misinterpreted a rule. What is the correct procedure?</t>
  </si>
  <si>
    <t>A) To stop the game and argue, B) To formally and respectfully request a clarification from the referee during a stoppage in play, C) To appeal to the crowd, D) To file a protest after the match is over</t>
  </si>
  <si>
    <t>B) To formally and respectfully request a clarification from the referee during a stoppage in play</t>
  </si>
  <si>
    <t>The captain can ask for a rule explanation (but not argue a judgment call like a line call) in a calm and orderly manner.</t>
  </si>
  <si>
    <t>What is the main reason that the outdoor and indoor versions are considered different disciplines?</t>
  </si>
  <si>
    <t>A) The equipment is completely different, B) The core skills are different, C) The court size, team size, and ball create significantly different strategies and skills, D) One is professional, and one is amateur</t>
  </si>
  <si>
    <t>C) The court size, team size, and ball create significantly different strategies and skills</t>
  </si>
  <si>
    <t>The differences are so significant that players often specialize in one version of the sport over the other.</t>
  </si>
  <si>
    <t>A player serves, and the ball hits the ground just beyond the center line but before the service line. What is the call?</t>
  </si>
  <si>
    <t>A) A legal serve, B) A fault; the serve is "short", C) The point is replayed, D) A warning is issued</t>
  </si>
  <si>
    <t>B) A fault; the serve is "short"</t>
  </si>
  <si>
    <t>The serve must land in the service reception area, which is the space between the 15-meter service line and the baseline.</t>
  </si>
  <si>
    <t>What is the main purpose of the "warm-up" period before a match?</t>
  </si>
  <si>
    <t>A) To allow spectators to arrive, B) To allow the players to prepare their muscles and get a feel for the court conditions, C) It is purely ceremonial, D) To decide who serves first</t>
  </si>
  <si>
    <t>B) To allow the players to prepare their muscles and get a feel for the court conditions</t>
  </si>
  <si>
    <t>A proper warm-up is crucial for preventing injuries and for allowing players to adjust to the specific court and weather of the day.</t>
  </si>
  <si>
    <t>A player is substituted out of the match. What can they do for the rest of the game?</t>
  </si>
  <si>
    <t>A) They can re-enter the game later, B) They can act as the team's coach, C) They must leave the playing area, D) They can be a line judge</t>
  </si>
  <si>
    <t>C) They must leave the playing area</t>
  </si>
  <si>
    <t>A substituted player becomes a spectator and cannot have any further role in the match.</t>
  </si>
  <si>
    <t>What is the ruling if a player throws their tambourin to hit the ball?</t>
  </si>
  <si>
    <t>A) It is a legal, if desperate, move, B) It is a foul for "throwing the bat", C) The point is replayed, D) The player is disqualified</t>
  </si>
  <si>
    <t>B) It is a foul for "throwing the bat"</t>
  </si>
  <si>
    <t>The tambourin must be held in the hand when striking the ball. Throwing it is a clear foul.</t>
  </si>
  <si>
    <t>In the indoor game, a player hits the ball, and it hits the side wall before landing in the opponent's court. Is this a legal shot?</t>
  </si>
  <si>
    <t>A) Yes, in some versions the side walls are in play, B) No, it is a fault, C) The point is replayed, D) Only if it hits the back wall first</t>
  </si>
  <si>
    <t>A) Yes, in some versions the side walls are in play</t>
  </si>
  <si>
    <t>In some forms of indoor Tamburello (like "Tamburello a Muro"), playing the ball off the side walls is a legal and strategic part of the game.</t>
  </si>
  <si>
    <t>What is the main role of the "Fédération Française de Jeu de Balle au Tambourin" (FFJST)?</t>
  </si>
  <si>
    <t>A) To provide equipment to the clubs, B) To be the official governing body that organizes championships and sets the rules, C) To pay the players, D) To promote the sport on television</t>
  </si>
  <si>
    <t>B) To be the official governing body that organizes championships and sets the rules</t>
  </si>
  <si>
    <t>The FFJST is the central authority for the sport in France, responsible for its administration and development.</t>
  </si>
  <si>
    <t>A team is penalized for receiving "coaching from outside the designated area." What does this mean?</t>
  </si>
  <si>
    <t>A) Their coach was shouting too loudly, B) Their coach was using a mobile phone, C) Someone other than the official coach was giving instructions, D) The coach had stepped outside of the marked coach's box</t>
  </si>
  <si>
    <t>D) The coach had stepped outside of the marked coach's box</t>
  </si>
  <si>
    <t>A coach must remain within their designated area while instructing their team during a match.</t>
  </si>
  <si>
    <t>What is the ruling if a player strikes the ball, and it hits an overhead power line that crosses the court?</t>
  </si>
  <si>
    <t>A) The point is replayed</t>
  </si>
  <si>
    <t>An overhead wire is a common external obstruction. If a ball hits it, the point is considered a "let" and is replayed.</t>
  </si>
  <si>
    <t>A team has won the first set 6-2. They are leading the second set 5-5. A tie-break is played. If they win the tie-break, what is the final score?</t>
  </si>
  <si>
    <t>A) 2 sets to 0, B) 1 set all, C) The match continues to a third set, D) The team wins 6-5</t>
  </si>
  <si>
    <t>A) 2 sets to 0</t>
  </si>
  <si>
    <t>Winning the tie-break means they win the second set 6-5. Since they already won the first set, they win the match 2 sets to 0.</t>
  </si>
  <si>
    <t>What is the main reason that players must wear team uniforms in a competition?</t>
  </si>
  <si>
    <t>A) For a professional appearance and to help officials and spectators identify the teams, B) It is a sponsor requirement, C) To make the players more aerodynamic, D) It is a tradition with no practical purpose</t>
  </si>
  <si>
    <t>A) For a professional appearance and to help officials and spectators identify the teams</t>
  </si>
  <si>
    <t>Uniforms are a standard requirement in all organized sports for clear identification and professionalism.</t>
  </si>
  <si>
    <t>A serve hits the ground and rolls, touching the opponent's service line. Is this serve good?</t>
  </si>
  <si>
    <t>A) No, it must land beyond the line, B) Yes, touching the line is good, C) The point is replayed, D) It is a fault</t>
  </si>
  <si>
    <t>A) No, it must land beyond the line</t>
  </si>
  <si>
    <t>Unlike boundary lines, the service line is not part of the valid reception area. The ball must land past it.</t>
  </si>
  <si>
    <t>What is the main purpose of the "tambourin" itself?</t>
  </si>
  <si>
    <t>A) It is a defensive shield, B) To provide a large, powerful surface for striking the ball, C) It is a musical instrument, D) It is a symbol of the sport</t>
  </si>
  <si>
    <t>B) To provide a large, powerful surface for striking the ball</t>
  </si>
  <si>
    <t>The tambourin is the bat of the sport, a unique implement designed to hit the ball with great force and control.</t>
  </si>
  <si>
    <t>A player is penalized for "verbal abuse." What might they have done?</t>
  </si>
  <si>
    <t>A) Shouted instructions to a teammate, B) Argued respectfully with the referee, C) Used insulting or offensive language towards an opponent or official, D) Celebrated a point loudly</t>
  </si>
  <si>
    <t>C) Used insulting or offensive language towards an opponent or official</t>
  </si>
  <si>
    <t>Verbal abuse is a serious breach of sportsmanship and is penalized with a point deduction or disqualification.</t>
  </si>
  <si>
    <t>In its essence, Balle au Tambourin is a type of what kind of game?</t>
  </si>
  <si>
    <t>A) A net and wall game, B) A bat and ball game, C) A goal game, D) A target game</t>
  </si>
  <si>
    <t>B) A bat and ball game</t>
  </si>
  <si>
    <t>It belongs to the family of bat and ball games, which includes tennis, cricket, and baseball.</t>
  </si>
  <si>
    <t>What is the main reason for the strict rules regarding substitutions?</t>
  </si>
  <si>
    <t>A) To make the game harder, B) To ensure fairness and prevent teams from using substitutions for tactical stalling, C) To save time, D) To protect the players</t>
  </si>
  <si>
    <t>B) To ensure fairness and prevent teams from using substitutions for tactical stalling</t>
  </si>
  <si>
    <t>The rules are designed to allow for player changes due to injury or tactics, but not in a way that disrupts the flow or fairness of the game.</t>
  </si>
  <si>
    <t>A player hits the ball, and it hits their own teammate before crossing the center line. What is the call?</t>
  </si>
  <si>
    <t>A team has won the first set 6-2. They are leading the second set 5-5. A tie-break is played. If they win the tie-break, what is the final match score?</t>
  </si>
  <si>
    <t>A) 2 sets to 0, B) 1 set all, C) The match continues to a third set, D) The team wins the second set 6-5</t>
  </si>
  <si>
    <t>The tie-break uses a simple numerical scoring system, usually played to 7 or 8 points, to decide the set.</t>
  </si>
  <si>
    <t>Spiked shoes are illegal as they damage the court, provide an unfair advantage, and pose a significant risk of injury to other players.</t>
  </si>
  <si>
    <t>A team is leading 6-5 in a set and the score in the current game is 40-30. If they win the next point, what happens?</t>
  </si>
  <si>
    <t>A) They win the set 7-5, B) The game continues to a tie-break, C) They win the game and the set 6-5, D) They must win the game by two points</t>
  </si>
  <si>
    <t>A) They win the set 7-5</t>
  </si>
  <si>
    <t>In a standard set, a team must win by two clear games. Therefore, winning this game would make the set score 7-5, ending the set.</t>
  </si>
  <si>
    <t>What is the primary role of the line judges (juges de ligne)?</t>
  </si>
  <si>
    <t>A) To keep the score, B) To assist the main referee by making calls on the boundary lines, C) To coach the players, D) To inspect the equipment</t>
  </si>
  <si>
    <t>B) To assist the main referee by making calls on the boundary lines</t>
  </si>
  <si>
    <t>Line judges are positioned to have a clear view of the lines and are responsible for signaling whether a ball is "in" or "out."</t>
  </si>
  <si>
    <t>A player hits the ball, and it hits their own teammate after it has crossed into the opponent's court and been hit back by them. What is the call?</t>
  </si>
  <si>
    <t>A) It is a fault on the first team, B) It is a point for the first team, as the opponent's return was unsuccessful, C) The point is replayed, D) It is a fault on the opponent</t>
  </si>
  <si>
    <t>B) It is a point for the first team, as the opponent's return was unsuccessful</t>
  </si>
  <si>
    <t>If the opponent hits the ball and it then strikes a player on the other team, the hitting team loses the point.</t>
  </si>
  <si>
    <t>What is a "let" or "balle à remettre"?</t>
  </si>
  <si>
    <t>A) A fault, B) A point that is replayed due to an unforeseen interference, C) The end of a game, D) A type of serve</t>
  </si>
  <si>
    <t>B) A point that is replayed due to an unforeseen interference</t>
  </si>
  <si>
    <t>A "let" is called when an external event (like a stray ball from another court) disrupts the point, which is then replayed.</t>
  </si>
  <si>
    <t>A player serves from the wrong side of the court. What is the ruling?</t>
  </si>
  <si>
    <t>A) The serve is legal, B) A fault is called, and the point is lost, C) The referee allows a re-serve from the correct side, D) A warning is issued</t>
  </si>
  <si>
    <t>B) A fault is called, and the point is lost</t>
  </si>
  <si>
    <t>The server must deliver the serve from the correct position as determined by the score. Serving from the wrong side is a fault.</t>
  </si>
  <si>
    <t>What is the maximum number of players a team can have on its roster for a match?</t>
  </si>
  <si>
    <t>A) 5, B) 6, C) 8, D) 10</t>
  </si>
  <si>
    <t>C) 8</t>
  </si>
  <si>
    <t>A team is composed of 5 on-field players and up to 3 substitutes, for a total of 8 players on the match sheet.</t>
  </si>
  <si>
    <t>A player is hit by the ball while they are standing outside the court boundaries. What is the ruling?</t>
  </si>
  <si>
    <t>A) The player who was hit loses the point, B) The point is replayed, C) The player who hit the ball loses the point, D) Play continues</t>
  </si>
  <si>
    <t>C) The player who hit the ball loses the point</t>
  </si>
  <si>
    <t>If the ball strikes an opponent who is outside the playing court, the hitting team has made an error and loses the point.</t>
  </si>
  <si>
    <t>What is the main reason that the indoor version of the sport is played with teams of 3 instead of 5?</t>
  </si>
  <si>
    <t>A) It is harder to find 5 players for an indoor team, B) The indoor court is much smaller, C) It makes the game faster, D) It is a traditional rule</t>
  </si>
  <si>
    <t>B) The indoor court is much smaller</t>
  </si>
  <si>
    <t>The reduced size of the indoor court (typically 34m x 16m) means fewer players are needed to cover the area effectively.</t>
  </si>
  <si>
    <t>What is the "tambourin à herbe"?</t>
  </si>
  <si>
    <t>A) A tambourin made of grass, B) A specific type of tambourin designed for use on grass courts, C) A green-colored tambourin, D) A ceremonial tambourin</t>
  </si>
  <si>
    <t>B) A specific type of tambourin designed for use on grass courts</t>
  </si>
  <si>
    <t>Different court surfaces affect the ball's bounce, and specialized tambourins are sometimes used for grass courts to adapt to these conditions.</t>
  </si>
  <si>
    <t>What is the ruling if the ball hits the center line (la corde) on a serve?</t>
  </si>
  <si>
    <t>A) It is a fault, B) It is a "let" and the serve is replayed, C) It is a legal serve, D) The server loses the point</t>
  </si>
  <si>
    <t>C) It is a legal serve</t>
  </si>
  <si>
    <t>Unlike in tennis where a serve hitting the net is a "let," in Tambourin, a serve that hits the center line and lands in the correct service box is a live, legal serve.</t>
  </si>
  <si>
    <t>How many balls must the serving team have in their possession to begin a game?</t>
  </si>
  <si>
    <t>A) One, B) Two, C) Three, D) It does not matter</t>
  </si>
  <si>
    <t>B) Two</t>
  </si>
  <si>
    <t>The rules often require the server to have a second ball in their non-playing hand or pocket to speed up play in case of a service fault.</t>
  </si>
  <si>
    <t>What is the primary purpose of the resin or "colle" that players sometimes apply to their hands?</t>
  </si>
  <si>
    <t>A) To protect the skin, B) To improve their grip on the tambourin handle, C) It is a traditional ritual, D) To make the ball stick to the tambourin</t>
  </si>
  <si>
    <t>B) To improve their grip on the tambourin handle</t>
  </si>
  <si>
    <t>A small amount of sticky resin can help a player maintain a secure grip on their tambourin, especially in hot or humid conditions.</t>
  </si>
  <si>
    <t>A player is penalized for an "illegal substitution." What might have happened?</t>
  </si>
  <si>
    <t>A) They substituted a player who was not on the roster, B) They made a substitution during a live rally, C) They exceeded their maximum of three substitutions, D) All of the above</t>
  </si>
  <si>
    <t>All of these are violations of the formal substitution rules and would result in a penalty.</t>
  </si>
  <si>
    <t>What is the ruling if a player from Team A hits the ball, and it hits the ground in their own court before going over the line?</t>
  </si>
  <si>
    <t>A) The point is replayed, B) It is a fault, and Team A loses the point, C) Play continues, D) Team B gets to serve</t>
  </si>
  <si>
    <t>B) It is a fault, and Team A loses the point</t>
  </si>
  <si>
    <t>The ball must be struck directly into the opponent's court; it cannot bounce on the hitter's own side first.</t>
  </si>
  <si>
    <t>What is a "batô"?</t>
  </si>
  <si>
    <t>A) The ball, B) The tambourin, C) A type of solid wooden bat used in an early variant of the game, D) The net</t>
  </si>
  <si>
    <t>C) A type of solid wooden bat used in an early variant of the game</t>
  </si>
  <si>
    <t>Before the tambourin became the standard implement, some versions of the game were played with a solid wooden bat, or batô.</t>
  </si>
  <si>
    <t>A team is penalized for their coach using a "visual aid" during the match. What might the coach have done?</t>
  </si>
  <si>
    <t>A) Shouted instructions, B) Used a whiteboard or tablet to show tactical diagrams, C) Spoken to the captain, D) Signaled with their hands</t>
  </si>
  <si>
    <t>B) Used a whiteboard or tablet to show tactical diagrams</t>
  </si>
  <si>
    <t>Coaching during a match is typically restricted to verbal instructions. Using visual aids like tablets is not permitted.</t>
  </si>
  <si>
    <t>What is the main characteristic of the "service box" in outdoor Tambourin?</t>
  </si>
  <si>
    <t>A) It is the area where the server must stand, B) It is the large rectangular area where the serve must land, C) It is a small square at the front of the court, D) There is no service box</t>
  </si>
  <si>
    <t>B) It is the large rectangular area where the serve must land</t>
  </si>
  <si>
    <t>The service reception area is the large zone between the 15-meter service line and the baseline.</t>
  </si>
  <si>
    <t>A team is winning a game 40-15. What is this score also known as?</t>
  </si>
  <si>
    <t>A) Game point, B) Set point, C) Match point, D) Advantage</t>
  </si>
  <si>
    <t>A) Game point</t>
  </si>
  <si>
    <t>"Game point" is the term for a situation where the leading team needs only one more point to win the current game.</t>
  </si>
  <si>
    <t>Can a player hit the ball with two hands on the tambourin?</t>
  </si>
  <si>
    <t>A) Yes, it is a legal and powerful stroke, B) No, the tambourin must be held and struck with one hand, C) Only for serves, D) Only in the indoor game</t>
  </si>
  <si>
    <t>B) No, the tambourin must be held and struck with one hand</t>
  </si>
  <si>
    <t>The sport is a one-handed discipline. Using two hands on the tambourin for a strike is a foul.</t>
  </si>
  <si>
    <t>The referee issues a yellow card. What does this signify?</t>
  </si>
  <si>
    <t>A) The end of the game, B) A formal warning for unsportsmanlike conduct, C) A point has been scored, D) A substitution is requested</t>
  </si>
  <si>
    <t>B) A formal warning for unsportsmanlike conduct</t>
  </si>
  <si>
    <t>A yellow card is a standard official warning. A second yellow card often results in a point penalty or disqualification.</t>
  </si>
  <si>
    <t>What is the ruling if a player's shot goes under the (imaginary) net but rolls into the opponent's court?</t>
  </si>
  <si>
    <t>A) It is a legal point, B) It is a fault, C) The point is replayed, D) The opponent gets two points</t>
  </si>
  <si>
    <t>B) It is a fault</t>
  </si>
  <si>
    <t>The ball must pass over the center line in the air. A ball that rolls across the line is a fault.</t>
  </si>
  <si>
    <t>In team play, what is the role of the "leader"?</t>
  </si>
  <si>
    <t>A) They are the oldest player, B) They are the designated team captain, C) They are the player who serves first, D) They are the most powerful hitter (fond)</t>
  </si>
  <si>
    <t>B) They are the designated team captain</t>
  </si>
  <si>
    <t>The leader is the official captain, responsible for strategy and communication with the referee.</t>
  </si>
  <si>
    <t>A player strikes the ball with such force that the synthetic skin of the tambourin tears. What happens?</t>
  </si>
  <si>
    <t>A) The player is penalized for breaking equipment, B) The point is immediately stopped and replayed, C) The player must continue with the broken tambourin, D) The team loses the point</t>
  </si>
  <si>
    <t>What is a "fond" in Balle au Tambourin?</t>
  </si>
  <si>
    <t>A) The back of the court, B) The player positioned at the back, known for powerful shots, C) A type of serve, D) The team's score</t>
  </si>
  <si>
    <t>B) The player positioned at the back, known for powerful shots</t>
  </si>
  <si>
    <t>The fond (back) is the key position, similar to a baseline player in tennis, responsible for the most powerful strokes.</t>
  </si>
  <si>
    <t>How many substitutes can be listed on a team's roster for a single match?</t>
  </si>
  <si>
    <t>A) 1, B) 2, C) 3, D) 5</t>
  </si>
  <si>
    <t>A team is composed of 5 on-field players and is allowed to have up to 3 substitutes available for the match.</t>
  </si>
  <si>
    <t>A player is hit by a ball that was struck by an opponent, but the player was standing outside the court boundaries. Who wins the point?</t>
  </si>
  <si>
    <t>A) The player who was hit (their team), B) The player who hit the ball (their team), C) The point is replayed, D) A "let" is called</t>
  </si>
  <si>
    <t>A) The player who was hit (their team)</t>
  </si>
  <si>
    <t>If the ball strikes an opponent who is outside the playing court, the hitting team has made an error ("out") and loses the point.</t>
  </si>
  <si>
    <t>The serve is delivered. It lands in the correct service box but does not bounce. What is the ruling?</t>
  </si>
  <si>
    <t>A) It is a legal serve, B) It is a fault, as the ball is too soft, C) The server gets a second serve, D) The ball must be replaced</t>
  </si>
  <si>
    <t>B) It is a fault, as the ball is too soft</t>
  </si>
  <si>
    <t>The ball must be pressurized correctly and have a standard bounce. A "dead" ball is a fault, and the ball is taken out of play.</t>
  </si>
  <si>
    <t>A player is penalized for an "illegal serve". Which of these is a valid reason?</t>
  </si>
  <si>
    <t>A) The serve was too fast, B) The server served underhand, C) The server's foot was on the baseline when they hit the ball, D) The serve was aimed at an opponent</t>
  </si>
  <si>
    <t>C) The server's foot was on the baseline when they hit the ball</t>
  </si>
  <si>
    <t>A "foot fault" is a common service error. The server must stay behind the baseline until the ball is struck.</t>
  </si>
  <si>
    <t>What is the main reason for the difference in rules between the indoor and outdoor games?</t>
  </si>
  <si>
    <t>A) The indoor game is older, B) The significantly smaller size of the indoor court requires changes to make the game playable, C) The indoor game is for amateurs only, D) The indoor game uses a heavier ball</t>
  </si>
  <si>
    <t>B) The significantly smaller size of the indoor court requires changes to make the game playable</t>
  </si>
  <si>
    <t>The rules for the indoor version (3 players, neutral zone, etc.) are all adaptations to the constraints of a smaller playing area.</t>
  </si>
  <si>
    <t>A team is leading a game 40-0. What is this situation called?</t>
  </si>
  <si>
    <t>A) Advantage, B) Set point, C) Triple game point, D) A clean sweep</t>
  </si>
  <si>
    <t>C) Triple game point</t>
  </si>
  <si>
    <t>"Triple game point" is the term for when a team has three consecutive opportunities to win the current game.</t>
  </si>
  <si>
    <t>A player from Team A hits the ball. It hits the ground in Team B's court and then hits a player from Team B. What is the call?</t>
  </si>
  <si>
    <t>A) A point for Team A, B) A point for Team B, C) The point is replayed, D) A foul on the Team B player for not getting out of the way</t>
  </si>
  <si>
    <t>A) A point for Team A</t>
  </si>
  <si>
    <t>Once the ball has legally bounced in the opponent's court, the point is won by the hitting team. Subsequent contact with a player is irrelevant.</t>
  </si>
  <si>
    <t>In its essence, Balle au Tambourin is a test of what skills?</t>
  </si>
  <si>
    <t>The sport requires a combination of individual technical skill (hitting, serving) and sophisticated team coordination and positioning to be played at a high level.</t>
  </si>
  <si>
    <t>What is the primary objective in the indirect modalities of Basque Pelota?</t>
  </si>
  <si>
    <t>A) To hit the ball over a net, B) To hit the ball against a main wall (frontis) so the opponent cannot return it, C) To score goals in a net, D) To run between bases</t>
  </si>
  <si>
    <t>B) To hit the ball against a main wall (frontis) so the opponent cannot return it</t>
  </si>
  <si>
    <t>Unlike direct games like tennis, Pelota is an indirect game where players alternate hitting the ball against a shared front wall.</t>
  </si>
  <si>
    <t>What is the name of the entire playing area, including the court and walls?</t>
  </si>
  <si>
    <t>A) The Pitch, B) The Cancha, C) The Ring, D) The Diamond</t>
  </si>
  <si>
    <t>B) The Cancha</t>
  </si>
  <si>
    <t>Cancha is the Spanish term for the court on which the game is played.</t>
  </si>
  <si>
    <t>What is the main front wall that the ball must be hit against called?</t>
  </si>
  <si>
    <t>A) The Rebote, B) The Pared Izquierda, C) The Frontis, D) The Cancha</t>
  </si>
  <si>
    <t>C) The Frontis</t>
  </si>
  <si>
    <t>The frontis is the front wall and the primary playing surface. Every shot in a rally must hit the frontis.</t>
  </si>
  <si>
    <t>How many walls does the most common type of Pelota court, the "Mur à Gauche" (Left Wall), have?</t>
  </si>
  <si>
    <t>A) One, B) Two, C) Three, D) Four</t>
  </si>
  <si>
    <t>This court type, used for many modalities, has a front wall (frontis) and a left side wall (pared izquierda).</t>
  </si>
  <si>
    <t>What is a trinquet?</t>
  </si>
  <si>
    <t>A) A type of ball, B) A four-walled indoor Pelota court, C) The referee in Jai Alai, D) The chistera</t>
  </si>
  <si>
    <t>B) A four-walled indoor Pelota court</t>
  </si>
  <si>
    <t>The trinquet is a fully enclosed court with a front, back, and two side walls, often with a sloped gallery, which allows for more complex angle shots.</t>
  </si>
  <si>
    <t>What is the standard length of a "short" 36-meter fronton used for many hand and pala modalities?</t>
  </si>
  <si>
    <t>A) 28 meters, B) 36 meters, C) 54 meters, D) 60 meters</t>
  </si>
  <si>
    <t>B) 36 meters</t>
  </si>
  <si>
    <t>This is the official size for many popular modalities, including Hand Pelota and Paleta Goma.</t>
  </si>
  <si>
    <t>What is the name for the very long court used for the professional Cesta Punta (Jai Alai) modality?</t>
  </si>
  <si>
    <t>A) The Trinquet, B) The 36-meter Fronton, C) The Jai Alai, D) The 54-meter Fronton</t>
  </si>
  <si>
    <t>C) The Jai Alai</t>
  </si>
  <si>
    <t>The professional modality of Cesta Punta is played on a very long court, known as a Jai-Alai, which is typically 54 meters long.</t>
  </si>
  <si>
    <t>What is the iconic, basket-shaped racket used in Cesta Punta (Jai Alai) called?</t>
  </si>
  <si>
    <t>A) The Pala, B) The Xare, C) The Chistera, D) The Laxoa</t>
  </si>
  <si>
    <t>C) The Chistera</t>
  </si>
  <si>
    <t>The chistera is a woven wicker basket-glove that allows players to catch and throw the ball at extremely high speeds.</t>
  </si>
  <si>
    <t>What is the primary difference between the Joko Garbi chistera and the Grand Chistera?</t>
  </si>
  <si>
    <t>A) The color, B) The material, C) The size and depth of the basket, D) The grip style</t>
  </si>
  <si>
    <t>C) The size and depth of the basket</t>
  </si>
  <si>
    <t>The Joko Garbi chistera is smaller and shallower, not allowing the ball to be held. The Grand Chistera is larger and deeper, allowing the "slingshot" throw of Jai Alai.</t>
  </si>
  <si>
    <t>The pelota (ball) has a core made of what material?</t>
  </si>
  <si>
    <t>A) Wood, B) Cork, C) Brazilian latex rubber, D) Plastic</t>
  </si>
  <si>
    <t>C) Brazilian latex rubber</t>
  </si>
  <si>
    <t>The core of a traditional hand-made pelota is made of rubber, which gives it its characteristic high bounce and speed.</t>
  </si>
  <si>
    <t>What is the primary role of the left wall (pared izquierda) in the game?</t>
  </si>
  <si>
    <t>A) It is out of bounds, B) It is an active playing surface that the ball can be played off of, C) It is only for the spectators, D) It separates the two teams</t>
  </si>
  <si>
    <t>B) It is an active playing surface that the ball can be played off of</t>
  </si>
  <si>
    <t>The left wall is a key part of the game, allowing for strategic carom shots and complex angles that make the sport three-dimensional.</t>
  </si>
  <si>
    <t>What is the name of the oldest and most basic modality, played without any racket?</t>
  </si>
  <si>
    <t>A) Pala, B) Cesta Punta, C) Main Nue (Bare Hand), D) Xare</t>
  </si>
  <si>
    <t>C) Main Nue (Bare Hand)</t>
  </si>
  <si>
    <t>Esku-pilota or main nue is the original form of the game, where players strike the hard ball with their conditioned, bare hands.</t>
  </si>
  <si>
    <t>A serve must hit the front wall and then bounce in the area between two lines on the floor. What is the "short" line called?</t>
  </si>
  <si>
    <t>A) The Pasa, B) The Falta, C) The Raya, D) The Saque</t>
  </si>
  <si>
    <t>B) The Falta</t>
  </si>
  <si>
    <t>A serve that bounces before the falta line is a "short" serve and is a fault.</t>
  </si>
  <si>
    <t>What is the "long" line that the serve must bounce before?</t>
  </si>
  <si>
    <t>A) The Pasa, B) The Falta, C) The Raya, D) The Rebote</t>
  </si>
  <si>
    <t>A) The Pasa</t>
  </si>
  <si>
    <t>A serve that bounces on or beyond the pasa line is a "long" serve and is also a fault.</t>
  </si>
  <si>
    <t>A player catches the ball in their chistera but holds it for a noticeable moment before throwing. What is the ruling?</t>
  </si>
  <si>
    <t>A) This is a legal move, B) It is a fault for holding or "retaining" the ball (atxiki), C) The player is warned, D) The point is replayed</t>
  </si>
  <si>
    <t>B) It is a fault for holding or "retaining" the ball (atxiki)</t>
  </si>
  <si>
    <t>The rules require the ball to be caught and thrown in one continuous, fluid motion. Stopping or holding it is an illegal "scoop."</t>
  </si>
  <si>
    <t>What is a pelotari?</t>
  </si>
  <si>
    <t>A) The ball, B) The court, C) A player of Pelota, D) The racket</t>
  </si>
  <si>
    <t>C) A player of Pelota</t>
  </si>
  <si>
    <t>A pelotari is the general term for any person who plays any form of the game.</t>
  </si>
  <si>
    <t>What is a "partido"?</t>
  </si>
  <si>
    <t>A) A single point, B) A match played to a certain number of points, C) A player, D) The court</t>
  </si>
  <si>
    <t>B) A match played to a certain number of points</t>
  </si>
  <si>
    <t>A partido is the classic match format, where two teams play until one reaches a target score, such as 22, 35, or 40.</t>
  </si>
  <si>
    <t>The scoring system used in professional Jai Alai in the US, designed for betting, is called what?</t>
  </si>
  <si>
    <t>A) The Round Robin, B) The American System, C) The Quiniela, D) The Spectator System</t>
  </si>
  <si>
    <t>C) The Quiniela</t>
  </si>
  <si>
    <t>The quiniela is a fast-paced rotational system where 8 teams or players compete, and spectators bet on which two will finish first and second.</t>
  </si>
  <si>
    <t>What is the name for the solid wooden paddle used in several modalities of the sport?</t>
  </si>
  <si>
    <t>A) The Chistera, B) The Pala, C) The Xare, D) The Bate</t>
  </si>
  <si>
    <t>B) The Pala</t>
  </si>
  <si>
    <t>The Pala is a powerful, bat-like wooden paddle used to strike the ball with great force.</t>
  </si>
  <si>
    <t>What is the term for a single point in Pelota?</t>
  </si>
  <si>
    <t>A) A point, B) A goal, C) A tanto, D) A score</t>
  </si>
  <si>
    <t>C) A tanto</t>
  </si>
  <si>
    <t>The Spanish word tanto is the traditional term for a single point scored in a match.</t>
  </si>
  <si>
    <t>What is the main material of the chistera?</t>
  </si>
  <si>
    <t>A) Plastic and nylon, B) Bentwood (ash or chestnut) and woven wicker, C) Metal and leather, D) Carbon fiber</t>
  </si>
  <si>
    <t>B) Bentwood (ash or chestnut) and woven wicker</t>
  </si>
  <si>
    <t>The chistera is a masterpiece of craftsmanship, traditionally woven by hand from wicker onto a steam-bent wooden frame.</t>
  </si>
  <si>
    <t>How high is the front wall (frontis) of a standard 36-meter court?</t>
  </si>
  <si>
    <t>A) 8 meters, B) 9 meters, C) 10 meters, D) 12 meters</t>
  </si>
  <si>
    <t>C) 10 meters</t>
  </si>
  <si>
    <t>The front wall must be 10 meters high and 10 meters wide, providing a large, standardized target for the players.</t>
  </si>
  <si>
    <t>What is a key feature of a trinquet court that is not found in a standard fronton?</t>
  </si>
  <si>
    <t>A) A back wall, B) A roof, C) A sloped gallery or "penthouse" (tambor) along one wall, D) A net</t>
  </si>
  <si>
    <t>C) A sloped gallery or "penthouse" (tambor) along one wall</t>
  </si>
  <si>
    <t>The angled roof or gallery is an active playing surface, adding a complex and unpredictable element to the game.</t>
  </si>
  <si>
    <t>What is the ruling if a ball hits the line between the front wall and the floor?</t>
  </si>
  <si>
    <t>A) A legal shot, B) It is a fault (falta), and the player who hit it loses the point, C) The point is replayed, D) It is the opponent's choice</t>
  </si>
  <si>
    <t>B) It is a fault (falta), and the player who hit it loses the point</t>
  </si>
  <si>
    <t>The ball must hit the front wall clearly above the floor line. Hitting the line where the wall meets the floor is a fault.</t>
  </si>
  <si>
    <t>What is the term for the serve in Pelota?</t>
  </si>
  <si>
    <t>A) The throw, B) The launch, C) The saque, D) The cast</t>
  </si>
  <si>
    <t>C) The saque</t>
  </si>
  <si>
    <t>The saque is the Spanish word for the serve, the opening shot of every point.</t>
  </si>
  <si>
    <t>How many times is the ball allowed to bounce on the floor before it must be returned?</t>
  </si>
  <si>
    <t>A) Zero, B) One, C) Two, D) As many as needed</t>
  </si>
  <si>
    <t>B) One</t>
  </si>
  <si>
    <t>As in squash or tennis, the ball is only allowed to bounce once on the floor before it must be played.</t>
  </si>
  <si>
    <t>What is the role of the back wall (rebote) in a three-walled fronton?</t>
  </si>
  <si>
    <t>A) It is out of bounds, B) It is an active playing surface off which the ball can be legally played, C) It is where the scoreboard is placed, D) It is for spectators</t>
  </si>
  <si>
    <t>B) It is an active playing surface off which the ball can be legally played</t>
  </si>
  <si>
    <t>The back wall adds a complex strategic element, allowing for long rallies and different types of shots that rebound back towards the front wall.</t>
  </si>
  <si>
    <t>What is the term for a one-on-one singles match?</t>
  </si>
  <si>
    <t>A) A partido, B) A quiniela, C) A mano a mano, D) A duelo</t>
  </si>
  <si>
    <t>C) A mano a mano</t>
  </si>
  <si>
    <t>Mano a mano ("hand to hand") is the term for a singles match, the ultimate test of an individual pelotari's skill.</t>
  </si>
  <si>
    <t>Why is the left wall (pared izquierda) a standard feature, but not a right wall?</t>
  </si>
  <si>
    <t>A) It is a tradition with no reason, B) To allow right-handed players to play their natural forehand stroke, C) It is too expensive to build a right wall, D) A right wall would make the game too easy</t>
  </si>
  <si>
    <t>B) To allow right-handed players to play their natural forehand stroke</t>
  </si>
  <si>
    <t>The open right side of the court allows the majority of players, who are right-handed, to swing freely without hitting a wall.</t>
  </si>
  <si>
    <t>What is "frontball"?</t>
  </si>
  <si>
    <t>A) An older name for Pelota, B) A modern, simplified version of Pelota played with a simple ball against any wall, C) The name for the serve, D) A type of court</t>
  </si>
  <si>
    <t>B) A modern, simplified version of Pelota played with a simple ball against any wall</t>
  </si>
  <si>
    <t>Frontball is a new, accessible version of the game being promoted by the FIPV to spread the sport globally, as it does not require a formal court.</t>
  </si>
  <si>
    <t>In the quiniela betting system, what are spectators betting on?</t>
  </si>
  <si>
    <t>A) The final score of the match, B) The player who will hit the fastest shot, C) The players or teams that will finish in first and second place, D) The number of rounds the match will last</t>
  </si>
  <si>
    <t>C) The players or teams that will finish in first and second place</t>
  </si>
  <si>
    <t>The quiniela is a classic parimutuel betting system where the goal is to predict the top two finishers (the "win" and "place") in the match.</t>
  </si>
  <si>
    <t>What is the main reason players in main nue (bare hand) have heavily taped hands?</t>
  </si>
  <si>
    <t>A) To get a better grip on the ball, B) To provide support and protection for the bones of the hand, C) It is an illegal way to harden the hand, D) It is purely for show</t>
  </si>
  <si>
    <t>B) To provide support and protection for the bones of the hand</t>
  </si>
  <si>
    <t>Players use specific, layered taping (tacos) to protect their hands from the immense, repetitive impact of hitting the hard ball.</t>
  </si>
  <si>
    <t>What is a cortada?</t>
  </si>
  <si>
    <t>A) A type of serve, B) A defensive shot, C) An offensive shot that is hit with a "cut" or "slice" to make it die quickly, D) The name of the back wall</t>
  </si>
  <si>
    <t>C) An offensive shot that is hit with a "cut" or "slice" to make it die quickly</t>
  </si>
  <si>
    <t>The cortada is a skilled attacking shot, similar to a "drop shot" in tennis, designed to bounce low and away from the opponent.</t>
  </si>
  <si>
    <t>Why is the floor of a professional Jai Alai fronton often made of concrete or granite?</t>
  </si>
  <si>
    <t>A) It is cheap, B) It provides a very fast and consistent bounce for the hard ball, C) It is traditional, D) It is easy to clean</t>
  </si>
  <si>
    <t>B) It provides a very fast and consistent bounce for the hard ball</t>
  </si>
  <si>
    <t>The hard, smooth surface is essential for the high-speed, high-bounce nature of the game.</t>
  </si>
  <si>
    <t>What is a Pala Corta?</t>
  </si>
  <si>
    <t>A) A short chistera, B) A short, thick wooden paddle used for hitting a hard leather ball, C) A short game of Pelota, D) The front part of the court</t>
  </si>
  <si>
    <t>B) A short, thick wooden paddle used for hitting a hard leather ball</t>
  </si>
  <si>
    <t>Pala Corta ("short paddle") is a specific, powerful modality of the game, popular in Spain and France.</t>
  </si>
  <si>
    <t>The International Federation of Basque Pelota (FIPV) governs many modalities. Approximately how many are there?</t>
  </si>
  <si>
    <t>A) 2, B) 5, C) 14, D) 25</t>
  </si>
  <si>
    <t>C) 14</t>
  </si>
  <si>
    <t>The FIPV officially recognizes 14 different modalities, based on the court, the ball, and the implement (hand, paddle, or chistera) used.</t>
  </si>
  <si>
    <t>A player serves, and the ball hits the front wall, then bounces on the floor before the short line (falta). What is the call?</t>
  </si>
  <si>
    <t>A) A legal serve, B) A "short" serve, which is a fault, C) The point is replayed, D) The server gets a second serve</t>
  </si>
  <si>
    <t>B) A "short" serve, which is a fault</t>
  </si>
  <si>
    <t>The serve is "short," and in most professional rules, a service fault results in a loss of the point.</t>
  </si>
  <si>
    <t>A player's chistera breaks in the middle of a point. What happens?</t>
  </si>
  <si>
    <t>A) The player is disqualified, B) The point is immediately stopped and replayed, C) The player can try to continue the point with the broken chistera, D) The player can run to get a new one</t>
  </si>
  <si>
    <t>If a player's essential equipment breaks during a live rally through no fault of their own, the point is typically replayed.</t>
  </si>
  <si>
    <t>What is the main difference between paleta cuero and paleta goma?</t>
  </si>
  <si>
    <t>A) The size of the court, B) The type of ball used (a leather ball vs. a rubber ball), C) The number of players, D) The material of the paddle</t>
  </si>
  <si>
    <t>B) The type of ball used (a leather ball vs. a rubber ball)</t>
  </si>
  <si>
    <t>These are two different paddle modalities, one played with a traditional hard leather ball and the other with a bouncier rubber ball.</t>
  </si>
  <si>
    <t>A) To provide a surface for the ball to be legally played off of, creating complex angles, B) To separate the players from the spectators, C) It is out of bounds, D) It is where the score is kept</t>
  </si>
  <si>
    <t>A) To provide a surface for the ball to be legally played off of, creating complex angles</t>
  </si>
  <si>
    <t>The side wall is a fundamental part of the game, allowing for carom shots and defensive plays that are not possible in a two-walled game.</t>
  </si>
  <si>
    <t>A player is wearing a helmet during a Jai Alai match. Why is this a modern requirement?</t>
  </si>
  <si>
    <t>A) To look professional, B) The incredible speed of the ball can be lethal if it hits a player in the head, C) To protect from falls, D) It is a sponsor requirement</t>
  </si>
  <si>
    <t>B) The incredible speed of the ball can be lethal if it hits a player in the head</t>
  </si>
  <si>
    <t>With ball speeds exceeding 300 km/h, the helmet is an essential piece of safety equipment to prevent serious or fatal head injuries.</t>
  </si>
  <si>
    <t>The number on a Jai Alai player's back corresponds to what?</t>
  </si>
  <si>
    <t>A) Their age, B) Their rank, C) Their post position in the quiniela betting system, D) Their jersey size</t>
  </si>
  <si>
    <t>C) Their post position in the quiniela betting system</t>
  </si>
  <si>
    <t>The numbers 1 through 8 are used to identify the players or teams for the betting public.</t>
  </si>
  <si>
    <t>A player serves, and the ball hits the line between the front wall and the floor. What is the call?</t>
  </si>
  <si>
    <t>A) A legal serve, B) A fault, C) The point is replayed, D) It is the opponent's choice</t>
  </si>
  <si>
    <t>B) A fault</t>
  </si>
  <si>
    <t>The ball must hit the front wall clearly above the floor. Hitting the line is a fault.</t>
  </si>
  <si>
    <t>A player is seen applying a sticky substance like pine resin to their hands before a main nue match. Why?</t>
  </si>
  <si>
    <t>A) It is an illegal substance, B) To get a better grip or "tack" on the ball when hitting it, C) To protect their hands from injury, D) To make the ball curve</t>
  </si>
  <si>
    <t>B) To get a better grip or "tack" on the ball when hitting it</t>
  </si>
  <si>
    <t>A small amount of resin can help the player get more friction on the ball, allowing them to impart more spin and control.</t>
  </si>
  <si>
    <t>A player serves, and the ball lands on the pasa line (the long line). What is the call?</t>
  </si>
  <si>
    <t>A) A legal serve, B) A "long" serve, which is a fault, C) The point is replayed, D) A warning is issued</t>
  </si>
  <si>
    <t>B) A "long" serve, which is a fault</t>
  </si>
  <si>
    <t>The serve must bounce before the pasa line. A serve that lands on or beyond it is a fault.</t>
  </si>
  <si>
    <t>In a trinquet, what is the xilo?</t>
  </si>
  <si>
    <t>A) The back wall, B) The net, C) A small hole or recess in the front wall that is an automatic winning shot, D) The side gallery</t>
  </si>
  <si>
    <t>C) A small hole or recess in the front wall that is an automatic winning shot</t>
  </si>
  <si>
    <t>Hitting the ball into the xilo (hole) is a difficult and instantly game-winning shot in some modalities.</t>
  </si>
  <si>
    <t>What is a gancho?</t>
  </si>
  <si>
    <t>A) A defensive block, B) A powerful, hooking kill shot, C) The serve, D) The chistera</t>
  </si>
  <si>
    <t>B) A powerful, hooking kill shot</t>
  </si>
  <si>
    <t>A gancho is a hard, offensive stroke, often hit cross-court, designed to be an unreturnable winner.</t>
  </si>
  <si>
    <t>The game of frontenis is a hybrid of Pelota and which other sport?</t>
  </si>
  <si>
    <t>A) Squash, B) Tennis, C) Badminton, D) Volleyball</t>
  </si>
  <si>
    <t>B) Tennis</t>
  </si>
  <si>
    <t>Frontenis, which is extremely popular in Mexico, is a fusion of Pelota and tennis, played on a Pelota court with tennis-style rackets and balls.</t>
  </si>
  <si>
    <t>What is a remate?</t>
  </si>
  <si>
    <t>A) A very good serve, B) A powerful finishing or "kill" shot, C) A strong defense, D) A fast player</t>
  </si>
  <si>
    <t>B) A powerful finishing or "kill" shot</t>
  </si>
  <si>
    <t>The remate is the offensive shot played to win the point, equivalent to a "smash" in other racket sports.</t>
  </si>
  <si>
    <t>What is the main reason Pelota has a high cultural status in the Basque Country?</t>
  </si>
  <si>
    <t>A) It is a symbol of their unique national and cultural identity, B) It is the only sport they play, C) The prize money is very high, D) The best players are all from there</t>
  </si>
  <si>
    <t>A) It is a symbol of their unique national and cultural identity</t>
  </si>
  <si>
    <t>Pelota is more than just a game; it is a cherished cultural treasure, a social institution, and a powerful expression of Basque heritage.</t>
  </si>
  <si>
    <t>A player is hit by the ball during a rally. What is the ruling?</t>
  </si>
  <si>
    <t>A) The player who was hit loses the point, B) The point is replayed, C) The player who hit the ball loses the point, D) The player who was hit gets a penalty</t>
  </si>
  <si>
    <t>A) The player who was hit loses the point</t>
  </si>
  <si>
    <t>If the ball, after hitting the front wall, strikes a player before it has bounced on the floor, that player is considered "hit" and loses the point.</t>
  </si>
  <si>
    <t>What is a "dos paredes"?</t>
  </si>
  <si>
    <t>A) A shot that hits two walls, B) A type of serve, C) A defensive move, D) A term for a doubles match</t>
  </si>
  <si>
    <t>A) A shot that hits two walls</t>
  </si>
  <si>
    <t>A "two walls" shot is a common tactical play, where the ball is hit off the side wall and then the front wall, or vice versa, to create a difficult angle.</t>
  </si>
  <si>
    <t>In the game of Xare, what is the racket like?</t>
  </si>
  <si>
    <t>A) A solid wooden paddle, B) A woven basket, C) A stringed racket with a loose, net-like head, D) There is no racket</t>
  </si>
  <si>
    <t>C) A stringed racket with a loose, net-like head</t>
  </si>
  <si>
    <t>Xare (or "Argentine racket") uses a unique racket that looks like a lacrosse stick, used to catch and throw the soft ball.</t>
  </si>
  <si>
    <t>What is the maximum number of players on a court in any modality of Basque Pelota?</t>
  </si>
  <si>
    <t>A) 2 (singles), B) 4 (doubles), C) 6 (triples), D) 8 (quads)</t>
  </si>
  <si>
    <t>B) 4 (doubles)</t>
  </si>
  <si>
    <t>The game is played either one-on-one (mano a mano) or two-on-two (partido de parejas).</t>
  </si>
  <si>
    <t>A player is found to have a ball that has been illegally modified to be faster. What is the consequence?</t>
  </si>
  <si>
    <t>A) A warning, B) Forfeiture of the match, C) A point penalty, D) The ball is replaced</t>
  </si>
  <si>
    <t>B) Forfeiture of the match</t>
  </si>
  <si>
    <t>Tampering with the ball is a major act of cheating and would result in the forfeiture of the game.</t>
  </si>
  <si>
    <t>What is the main purpose of the tacos or protective taping on a bare-handed player's hand?</t>
  </si>
  <si>
    <t>A) To make the hand harder, B) To provide layers of protection against the impact of the ball, C) To improve grip, D) It is decorative</t>
  </si>
  <si>
    <t>B) To provide layers of protection against the impact of the ball</t>
  </si>
  <si>
    <t>The tacos are carefully applied layers of material designed to cushion the hand and prevent broken bones.</t>
  </si>
  <si>
    <t>A player hits a shot that is so fast and well-placed that the opponent cannot touch it. What is this called?</t>
  </si>
  <si>
    <t>A) A fault, B) A good shot, C) A winner, D) A let</t>
  </si>
  <si>
    <t>C) A winner</t>
  </si>
  <si>
    <t>A "winner" is an offensive shot that is so effective that the opponent cannot even make contact with the ball.</t>
  </si>
  <si>
    <t>What is the role of the red line, or chapa, on the bottom of the front wall?</t>
  </si>
  <si>
    <t>A) It is the target, B) It marks the out-of-bounds area; any shot hitting on or below it is a fault, C) It is a service line, D) It is decorative</t>
  </si>
  <si>
    <t>B) It marks the out-of-bounds area; any shot hitting on or below it is a fault</t>
  </si>
  <si>
    <t>The chapa is a metal strip that makes a loud noise when hit, clearly signaling that a shot was too low and is a fault.</t>
  </si>
  <si>
    <t>A player in a doubles match hits the ball, and it accidentally hits their own partner. What is the ruling?</t>
  </si>
  <si>
    <t>A) The point is replayed, B) It is a fault; their team loses the point, C) Play continues, D) The partner who was hit is out</t>
  </si>
  <si>
    <t>B) It is a fault; their team loses the point</t>
  </si>
  <si>
    <t>A team loses the point if the ball, during their turn to hit, makes contact with any of the players on their own team.</t>
  </si>
  <si>
    <t>What is the primary reason for the strict rules regarding the construction of the chistera?</t>
  </si>
  <si>
    <t>A) To keep the cost down, B) To ensure fairness by having standardized equipment for all players, C) To make them look traditional, D) To make them easy to repair</t>
  </si>
  <si>
    <t>B) To ensure fairness by having standardized equipment for all players</t>
  </si>
  <si>
    <t>Standardized equipment is a hallmark of a modern sport, ensuring that victory comes from skill, not from an equipment advantage.</t>
  </si>
  <si>
    <t>A player is penalized for a pasa on the serve. What does this mean?</t>
  </si>
  <si>
    <t>A) The serve was too short, B) The serve was too long, C) The server foot-faulted, D) The serve was not powerful enough</t>
  </si>
  <si>
    <t>B) The serve was too long</t>
  </si>
  <si>
    <t>A pasa is a "long" serve, where the ball bounces on or after the long service line, which is a fault.</t>
  </si>
  <si>
    <t>In a trinquet, what is the frare?</t>
  </si>
  <si>
    <t>A) The back wall, B) A cylinder-shaped pillar in the corner that creates unpredictable rebounds, C) The name of the net, D) The referee</t>
  </si>
  <si>
    <t>B) A cylinder-shaped pillar in the corner that creates unpredictable rebounds</t>
  </si>
  <si>
    <t>The frare ("friar" or "brother") is a unique feature of some trinquets that adds an element of chaos and difficulty to the game.</t>
  </si>
  <si>
    <t>A player returns the ball, and it hits the front wall and then the left wall before bouncing. Is this legal?</t>
  </si>
  <si>
    <t>A) No, it must only hit the front wall, B) Yes, this is a legal and common "two-wall" shot, C) The point is replayed, D) It is a fault</t>
  </si>
  <si>
    <t>B) Yes, this is a legal and common "two-wall" shot</t>
  </si>
  <si>
    <t>Using the side wall to create difficult angles is a key part of the strategy in courts that have one.</t>
  </si>
  <si>
    <t>What is the primary role of the International Federation of Basque Pelota (FIPV)?</t>
  </si>
  <si>
    <t>A) To organize professional betting, B) To govern the sport, standardize rules, and organize World Championships, C) To coach the Spanish national team, D) To manufacture the equipment</t>
  </si>
  <si>
    <t>B) To govern the sport, standardize rules, and organize World Championships</t>
  </si>
  <si>
    <t>The FIPV is the global governing body responsible for the administration and promotion of all official modalities of the sport.</t>
  </si>
  <si>
    <t>In the modality of Pala Larga, what is the main characteristic of the paddle?</t>
  </si>
  <si>
    <t>A) It is very short and light, B) It is long and heavy, designed for powerful, long-range shots, C) It is made of rubber, D) It has strings</t>
  </si>
  <si>
    <t>B) It is long and heavy, designed for powerful, long-range shots</t>
  </si>
  <si>
    <t>The Pala Larga ("long paddle") is the heaviest of the wooden paddles, used for a powerful version of the game played on a long court.</t>
  </si>
  <si>
    <t>A player is found to have an illegally modified ball that is extra bouncy. What is the consequence?</t>
  </si>
  <si>
    <t>A) A warning, B) Forfeiture of the match, C) A point penalty, D) The ball is simply replaced</t>
  </si>
  <si>
    <t>Tampering with the ball to gain an unfair advantage is a major act of cheating and would result in the forfeiture of the game.</t>
  </si>
  <si>
    <t>What is the ruling if the ball goes out of the court and hits a spectator?</t>
  </si>
  <si>
    <t>A) The point is replayed, B) The point is lost for the player who hit it out, C) The spectator is at fault, D) The player who hit it wins the point</t>
  </si>
  <si>
    <t>B) The point is lost for the player who hit it out</t>
  </si>
  <si>
    <t>Hitting the ball out of the defined playing area (the cancha) results in the loss of the point.</t>
  </si>
  <si>
    <t>What is the main difference in the chistera used for Remonte compared to Cesta Punta?</t>
  </si>
  <si>
    <t>A) It is smaller and less curved, allowing for a more continuous style of play, B) It is made of metal, C) It has strings instead of a basket, D) There is no difference</t>
  </si>
  <si>
    <t>A) It is smaller and less curved, allowing for a more continuous style of play</t>
  </si>
  <si>
    <t>The Remonte chistera is shallower and does not allow the ball to be held for as long, resulting in a game based on quick deflections rather than powerful throws.</t>
  </si>
  <si>
    <t>A player is warned for "interference". What might they have done?</t>
  </si>
  <si>
    <t>A) Hit the ball too hard, B) Stood in a way that blocked the opponent's path to the ball, C) Spoken to their partner, D) Questioned the referee</t>
  </si>
  <si>
    <t>B) Stood in a way that blocked the opponent's path to the ball</t>
  </si>
  <si>
    <t>A player cannot intentionally obstruct an opponent's movement or line of sight to the ball. This is a foul for interference.</t>
  </si>
  <si>
    <t>What is the primary reason that a helmet is mandatory in Jai Alai (Cesta Punta)?</t>
  </si>
  <si>
    <t>A) To look professional, B) The rock-hard ball travels at speeds that can be lethal, C) To protect from falls, D) It is a sponsor requirement</t>
  </si>
  <si>
    <t>B) The rock-hard ball travels at speeds that can be lethal</t>
  </si>
  <si>
    <t>With ball speeds exceeding 300 km/h (186 mph), a helmet is an essential piece of safety equipment to prevent serious or fatal head injuries.</t>
  </si>
  <si>
    <t>A player serves, and the ball hits the front wall, then the side wall, then the floor. Is this a legal serve?</t>
  </si>
  <si>
    <t>A) No, it must hit the floor directly after the front wall, B) Yes, it is a legal serve, C) The point is replayed, D) It is a fault</t>
  </si>
  <si>
    <t>A) No, it must hit the floor directly after the front wall</t>
  </si>
  <si>
    <t>The serve has a specific sequence. Hitting the side wall before the first bounce is a fault.</t>
  </si>
  <si>
    <t>A player is said to have a powerful saque. What is this?</t>
  </si>
  <si>
    <t>A) Their forehand shot, B) Their backhand shot, C) Their serve, D) Their defensive block</t>
  </si>
  <si>
    <t>C) Their serve</t>
  </si>
  <si>
    <t>What is the main reason Pelota has a much higher cultural status in the Basque Country than elsewhere?</t>
  </si>
  <si>
    <t>A) It is a symbol of their unique national and cultural identity, B) It is the only sport they play, C) The prize money is much higher there, D) The best players are all from there</t>
  </si>
  <si>
    <t>A player is bleeding from a scrape. What is the mandatory procedure?</t>
  </si>
  <si>
    <t>A) The player can choose to continue, B) The referee must stop the game for a "blood timeout", C) The player must forfeit the match, D) The opponent gets a point</t>
  </si>
  <si>
    <t>B) The referee must stop the game for a "blood timeout"</t>
  </si>
  <si>
    <t>For safety and hygiene, any active bleeding requires an immediate stoppage so the injury can be treated and covered.</t>
  </si>
  <si>
    <t>Why is the traditional Pelota uniform white?</t>
  </si>
  <si>
    <t>A) It was the cheapest fabric, B) It evolved from the traditional undergarments worn in jeu de paume and symbolizes sportsmanship, C) It was a rule from the first federation, D) To be more visible on the court</t>
  </si>
  <si>
    <t>B) It evolved from the traditional undergarments worn in jeu de paume and symbolizes sportsmanship</t>
  </si>
  <si>
    <t>White attire was the standard for early racket sports, signifying a clean and honorable contest.</t>
  </si>
  <si>
    <t>In a doubles match, Player A hits the ball, and it accidentally hits their partner, Player B. What is the ruling?</t>
  </si>
  <si>
    <t>A) The point is replayed, B) It is a fault; their team loses the point, C) Play continues as if nothing happened, D) The partner who was hit is out of the game</t>
  </si>
  <si>
    <t>A player is found to have an illegally modified chistera that has a "trampoline" effect. What is the consequence?</t>
  </si>
  <si>
    <t>A) A warning, B) Forfeiture of the match, C) A point penalty, D) The chistera is simply replaced</t>
  </si>
  <si>
    <t>Tampering with the equipment to gain an unfair advantage is a major act of cheating and would result in the forfeiture of the game.</t>
  </si>
  <si>
    <t>A player returns the ball, and it hits the front wall, then the back wall, then the floor. Is this a legal shot?</t>
  </si>
  <si>
    <t>A) No, it must bounce before hitting the back wall, B) Yes, this is a legal "carom" shot, C) The point is replayed, D) It is a fault</t>
  </si>
  <si>
    <t>B) Yes, this is a legal "carom" shot</t>
  </si>
  <si>
    <t>Using the back wall (rebote) is a key part of the strategy, especially in the three-walled fronton.</t>
  </si>
  <si>
    <t>What is the purpose of the red sash (faja) worn by players?</t>
  </si>
  <si>
    <t>A) It is purely decorative, B) It identifies which team a player is on (red vs. blue), C) It provides back support, D) It is a symbol of their rank</t>
  </si>
  <si>
    <t>B) It identifies which team a player is on (red vs. blue)</t>
  </si>
  <si>
    <t>In a doubles match, one team wears red sashes and the other wears blue sashes for clear identification.</t>
  </si>
  <si>
    <t>A player serves, and the ball hits the line between the front wall and the side wall. What is the call?</t>
  </si>
  <si>
    <t>A) A legal serve</t>
  </si>
  <si>
    <t>Unlike the line on the floor, the corner where two playing surfaces meet is considered "in."</t>
  </si>
  <si>
    <t>A) A shot that hits two walls (e.g., side then front), B) A type of serve, C) A defensive move, D) A term for a doubles match</t>
  </si>
  <si>
    <t>A) A shot that hits two walls (e.g., side then front)</t>
  </si>
  <si>
    <t>A "two walls" shot is a common tactical play, where the ball is hit off the side wall and then the front wall to create a difficult angle.</t>
  </si>
  <si>
    <t>In the game of Xare, how is the ball played?</t>
  </si>
  <si>
    <t>A) It is hit directly with the racket, B) It is caught in the loose strings of the racket and then thrown, C) It is hit with the hand, D) It is kicked</t>
  </si>
  <si>
    <t>B) It is caught in the loose strings of the racket and then thrown</t>
  </si>
  <si>
    <t>A player from Team A hits the ball. It hits the front wall and then hits a player from Team B before bouncing. What is the call?</t>
  </si>
  <si>
    <t>A) A point for Team A, B) A point for Team B, C) The point is replayed, D) A foul on the spiker for a dangerous play</t>
  </si>
  <si>
    <t>If the ball hits an opponent before it touches the floor, the hitting team wins the point.</t>
  </si>
  <si>
    <t>What is the main reason Pelota is a physically demanding sport?</t>
  </si>
  <si>
    <t>A) The court is very large, requiring constant sprinting, B) The ball is heavy and hard, C) The chistera is heavy, D) All of the above</t>
  </si>
  <si>
    <t>The combination of a large court, a fast and heavy ball, and the dynamic movements make it an incredibly athletic sport.</t>
  </si>
  <si>
    <t>A player cannot intentionally obstruct an opponent's movement or line of sight to the ball. This is a foul.</t>
  </si>
  <si>
    <t>A player serves. It hits the front wall, then the floor in the correct service box, and then the back wall. Is this a legal serve?</t>
  </si>
  <si>
    <t>A) No, it must be returned before it hits the back wall, B) Yes, it is a legal serve, C) The point is replayed, D) It is a fault</t>
  </si>
  <si>
    <t>B) Yes, it is a legal serve</t>
  </si>
  <si>
    <t>As long as the serve hits the front wall and bounces in the correct area, it is a live ball, even if it hits the back wall afterward.</t>
  </si>
  <si>
    <t>In a doubles match, who can return the ball?</t>
  </si>
  <si>
    <t>A) Only the player who is in the front court, B) Only the player who is in the back court, C) Either of the two players on the team, D) They must take turns hitting the ball</t>
  </si>
  <si>
    <t>C) Either of the two players on the team</t>
  </si>
  <si>
    <t>In doubles, either partner can legally play the ball on their team's turn.</t>
  </si>
  <si>
    <t>What is the main reason for the very specific and complex construction of the pelota (ball)?</t>
  </si>
  <si>
    <t>A) To make it very expensive, B) To create a projectile with a unique combination of extreme hardness, speed, and a consistent bounce, C) It is a tradition with no practical purpose, D) To make it easy to see</t>
  </si>
  <si>
    <t>B) To create a projectile with a unique combination of extreme hardness, speed, and a consistent bounce</t>
  </si>
  <si>
    <t>The multi-layered construction is a craft designed to produce a ball that can withstand the incredible forces of the game.</t>
  </si>
  <si>
    <t>A) It is out of bounds, B) It is an active playing surface off which the ball can be played, C) It is where the scoreboard is placed, D) It is for spectators</t>
  </si>
  <si>
    <t>B) It is an active playing surface off which the ball can be played</t>
  </si>
  <si>
    <t>What is the most important quality for a pelotari who plays main nue (bare hand)?</t>
  </si>
  <si>
    <t>A) Speed, B) Agility, C) An extremely high pain tolerance and tough hands, D) A good chistera</t>
  </si>
  <si>
    <t>C) An extremely high pain tolerance and tough hands</t>
  </si>
  <si>
    <t>The sport involves hitting a very hard ball repeatedly with the bare hand, which is incredibly painful and requires years of conditioning.</t>
  </si>
  <si>
    <t>What is the most enduring legacy of the game of jeu de paume?</t>
  </si>
  <si>
    <t>A) It is still a popular global sport, B) It provided the foundational rules, terminology, and concepts for modern sports like tennis and Pelota, C) It was the first sport to use a racket, D) It was an Olympic sport</t>
  </si>
  <si>
    <t>B) It provided the foundational rules, terminology, and concepts for modern sports like tennis and Pelota</t>
  </si>
  <si>
    <t>The ancient "game of the palm" is one of the most important ancestors in the history of sports, giving rise to many modern racket and ball games.</t>
  </si>
  <si>
    <t>The betting system in Jai Alai, the quiniela, involves betting on which teams will finish in what positions?</t>
  </si>
  <si>
    <t>A) First place only, B) First and second place (Win and Place), C) First, second, and third place (Trifecta), D) The last place team</t>
  </si>
  <si>
    <t>B) First and second place (Win and Place)</t>
  </si>
  <si>
    <t>The quiniela is a classic parimutuel betting system where the goal is to predict the top two finishers in the match.</t>
  </si>
  <si>
    <t>A) The back wall, B) The net, C) A small hole in the front wall that is an automatic winning shot if hit, D) The side gallery</t>
  </si>
  <si>
    <t>C) A small hole in the front wall that is an automatic winning shot if hit</t>
  </si>
  <si>
    <t>A) It is an illegal substance, B) To get a better grip on the ball when hitting it, C) To protect their hands from injury, D) To make the ball curve</t>
  </si>
  <si>
    <t>B) To get a better grip on the ball when hitting it</t>
  </si>
  <si>
    <t>What is a "pelota school" or escuela de pelota?</t>
  </si>
  <si>
    <t>A) A university that studies the sport, B) A training academy for young players, C) The name of a famous book about the sport, D) A place where the balls are made</t>
  </si>
  <si>
    <t>B) A training academy for young players</t>
  </si>
  <si>
    <t>These schools are the heart of the sport's development, where young children learn the fundamentals from experienced coaches.</t>
  </si>
  <si>
    <t>The most enduring legacy of the game of jeu de paume?</t>
  </si>
  <si>
    <t>A player is known for their powerful saque. What is this?</t>
  </si>
  <si>
    <t>A player serves. The ball hits the front wall, then the floor in the correct service box, and then the back wall. Is this a legal serve?</t>
  </si>
  <si>
    <t>What is the Breton name for the traditional wrestling sport of Brittany, France?</t>
  </si>
  <si>
    <t>A) Bretz, B) Lucha, C) Schwingen, D) Gouren</t>
  </si>
  <si>
    <t>D) Gouren</t>
  </si>
  <si>
    <t>Gouren is the Breton language name for their traditional style of jacket wrestling.</t>
  </si>
  <si>
    <t>What is the ultimate objective a wrestler must achieve to win a Gouren match instantly?</t>
  </si>
  <si>
    <t>A) Make the opponent surrender, B) Score the most points, C) Execute a perfect throw called a Lamm, D) Push the opponent out of the circle</t>
  </si>
  <si>
    <t>C) Execute a perfect throw called a Lamm</t>
  </si>
  <si>
    <t>The Lamm is the perfect result and primary goal, which results in an immediate victory.</t>
  </si>
  <si>
    <t>What is the specific requirement for a throw to be considered a Lamm?</t>
  </si>
  <si>
    <t>A) The opponent's back must touch the ground, B) Both of the opponent's shoulder blades must touch the ground simultaneously, C) The opponent must land on their head, D) The throw must be very high</t>
  </si>
  <si>
    <t>B) Both of the opponent's shoulder blades must touch the ground simultaneously</t>
  </si>
  <si>
    <t>A Lamm requires the opponent to be thrown cleanly onto their back, with both shoulders hitting the ground at the same time.</t>
  </si>
  <si>
    <t>If a throw results in the opponent landing on only one shoulder blade, what is the result called?</t>
  </si>
  <si>
    <t>A) A Lamm, B) A Kein, C) A Kostin, D) A Netra</t>
  </si>
  <si>
    <t>C) A Kostin</t>
  </si>
  <si>
    <t>A Kostin is a partial result, where the throw was effective but not perfect. It is the next best result after a Lamm.</t>
  </si>
  <si>
    <t>What is the name of the tough, short-sleeved white jacket that wrestlers must grip during a match?</t>
  </si>
  <si>
    <t>A) The Bragoù, B) The Roched, C) The Gi, D) The Singlet</t>
  </si>
  <si>
    <t>B) The Roched</t>
  </si>
  <si>
    <t>The roched is the heavy-duty canvas wrestling jacket. All grips must be on this jacket.</t>
  </si>
  <si>
    <t>What are the traditional trousers worn by a Gouren wrestler called?</t>
  </si>
  <si>
    <t>A) The Roched, B) The Bragoù, C) The Kimono, D) The Legin</t>
  </si>
  <si>
    <t>B) The Bragoù</t>
  </si>
  <si>
    <t>The bragoù are the distinctive, mid-length black trousers worn by the wrestlers.</t>
  </si>
  <si>
    <t>What is the rule regarding footwear during a Gouren match?</t>
  </si>
  <si>
    <t>A) Wrestlers must wear special wrestling shoes, B) Wrestlers must compete barefoot, C) Any athletic shoe is permitted, D) Wrestlers wear sandals</t>
  </si>
  <si>
    <t>B) Wrestlers must compete barefoot</t>
  </si>
  <si>
    <t>Competing barefoot is a strict rule, providing better grip on the mat and maintaining the sport's tradition.</t>
  </si>
  <si>
    <t>Before a tournament begins, what must all wrestlers do together?</t>
  </si>
  <si>
    <t>A) A ceremonial dance, B) A warm-up lap, C) Recite the wrestler's oath (serment), D) Shake hands with the judges</t>
  </si>
  <si>
    <t>C) Recite the wrestler's oath (serment)</t>
  </si>
  <si>
    <t>The oath is a mandatory ritual where wrestlers pledge to fight with fairness, respect, and loyalty.</t>
  </si>
  <si>
    <t>What is the name of the ceremonial handshake that begins and ends every bout?</t>
  </si>
  <si>
    <t>A) The Bretz, B) The Hug, C) The Dornad, D) The Salute</t>
  </si>
  <si>
    <t>C) The Dornad</t>
  </si>
  <si>
    <t>The dornad is the traditional handshake and grip, a symbol of the mutual respect between the wrestlers.</t>
  </si>
  <si>
    <t>What is the standard duration of a single round for senior wrestlers?</t>
  </si>
  <si>
    <t>A) 2 minutes, B) 3 minutes, C) 5 minutes, D) There is no time limit</t>
  </si>
  <si>
    <t>B) 3 minutes</t>
  </si>
  <si>
    <t>A standard senior-level match is typically contested over a 3-minute round.</t>
  </si>
  <si>
    <t>If there is no Lamm and the score is tied at the end of the round, what happens?</t>
  </si>
  <si>
    <t>A) The match is a draw, B) An overtime period (astenn) is wrestled, C) The winner is decided by a coin toss, D) The more aggressive wrestler wins</t>
  </si>
  <si>
    <t>B) An overtime period (astenn) is wrestled</t>
  </si>
  <si>
    <t>An overtime period, half the length of the original round, is held to determine a winner.</t>
  </si>
  <si>
    <t>What is a Fazi in Gouren?</t>
  </si>
  <si>
    <t>A) A winning throw, B) A penalty awarded for a technical foul, C) A warning, D) A draw</t>
  </si>
  <si>
    <t>B) A penalty awarded for a technical foul</t>
  </si>
  <si>
    <t>A Fazi is a penalty given for infractions like illegal holds or passivity.</t>
  </si>
  <si>
    <t>What is the first penalty a wrestler receives for a minor foul?</t>
  </si>
  <si>
    <t>A) A point deduction, B) Disqualification, C) A verbal warning, called a Diwall, D) A Fazi</t>
  </si>
  <si>
    <t>C) A verbal warning, called a Diwall</t>
  </si>
  <si>
    <t>For the first minor infraction, the referee will issue a Diwall (warning).</t>
  </si>
  <si>
    <t>What is the consequence of a wrestler receiving a second warning (Diwall)?</t>
  </si>
  <si>
    <t>A) Nothing, it is just another warning, B) They are disqualified, C) Their opponent is awarded an advantage, called a Poent, D) Their opponent is awarded a Kostin</t>
  </si>
  <si>
    <t>C) Their opponent is awarded an advantage, called a Poent</t>
  </si>
  <si>
    <t>Two warnings result in a Poent, which is an advantage that can decide the match in overtime if no other result is achieved.</t>
  </si>
  <si>
    <t>What happens if a wrestler accumulates three Fazi (penalties) in a single bout?</t>
  </si>
  <si>
    <t>A) They lose by disqualification, B) The score is reset, C) They get one final warning, D) The match continues</t>
  </si>
  <si>
    <t>A) They lose by disqualification</t>
  </si>
  <si>
    <t>The accumulation of three penalties for fouls results in an automatic loss of the match.</t>
  </si>
  <si>
    <t>What is the term for a serious foul that results in immediate disqualification from the tournament?</t>
  </si>
  <si>
    <t>A) A Lamm, B) A Fazi Vraz, C) A Divrud, D) A Diwall</t>
  </si>
  <si>
    <t>C) A Divrud</t>
  </si>
  <si>
    <t>A Divrud is the most severe penalty, given for a grave offense like refusing to fight or showing extreme disrespect, resulting in expulsion from the entire tournament.</t>
  </si>
  <si>
    <t>Which of these actions is an illegal foul in Gouren?</t>
  </si>
  <si>
    <t>A) A leg sweep (fauchage), B) A hip throw, C) Grabbing the opponent's leg, D) A winding throw (kliked)</t>
  </si>
  <si>
    <t>C) Grabbing the opponent's leg</t>
  </si>
  <si>
    <t>Gouren is a jacket-wrestling style. All grips must be on the roched (jacket) above the belt. Grabbing the legs is forbidden.</t>
  </si>
  <si>
    <t>How many referees officiate a single Gouren match?</t>
  </si>
  <si>
    <t>C) Three</t>
  </si>
  <si>
    <t>A panel of three referees—one central referee and two corner judges—officiates each match to ensure accurate calls.</t>
  </si>
  <si>
    <t>If the three referees disagree on a decision, how is the outcome determined?</t>
  </si>
  <si>
    <t>A) The central referee has the final say, B) The match is replayed, C) By a majority vote of the three referees, D) They ask the tournament director</t>
  </si>
  <si>
    <t>C) By a majority vote of the three referees</t>
  </si>
  <si>
    <t>The winner of a throw or the call of a foul is determined by the majority decision of the three officials.</t>
  </si>
  <si>
    <t>What is the term for the overtime period in a Gouren match?</t>
  </si>
  <si>
    <t>A) Sudden Death, B) Extra Time, C) Astenn, D) Verlängerung</t>
  </si>
  <si>
    <t>C) Astenn</t>
  </si>
  <si>
    <t>Astenn is the Breton word for the overtime period, which is half the duration of the regular round.</t>
  </si>
  <si>
    <t>If a throw results in no clear score for either wrestler (e.g., both fall on their side), what is the result called?</t>
  </si>
  <si>
    <t>A) A Kostin, B) A Kein, C) A Netra, D) A Fazi</t>
  </si>
  <si>
    <t>C) A Netra</t>
  </si>
  <si>
    <t>A Netra is a "no result" or null fall, and the match is restarted from the center.</t>
  </si>
  <si>
    <t>What is a Kein?</t>
  </si>
  <si>
    <t>A) The winning throw, B) A foul, C) An advantage awarded at the end of overtime if there are no other results, D) A warning</t>
  </si>
  <si>
    <t>C) An advantage awarded at the end of overtime if there are no other results</t>
  </si>
  <si>
    <t>If overtime ends with no Lamm or Kostin, the referees can award a Kein (advantage) to the more active and offensive wrestler to decide the winner.</t>
  </si>
  <si>
    <t>What is the name for the traditional tournament format where wrestlers of all weights compete for a single prize?</t>
  </si>
  <si>
    <t>A) The Open, B) The Grand Prix, C) The Mod-Kozh tournament, D) The Celtic Games</t>
  </si>
  <si>
    <t>C) The Mod-Kozh tournament</t>
  </si>
  <si>
    <t>The "old-style" tournament is an open-weight challenge format where the ultimate prize is a live ram (maout).</t>
  </si>
  <si>
    <t>What is the traditional prize awarded to the winner of the Mod-Kozh tournament?</t>
  </si>
  <si>
    <t>A) A trophy, B) A sum of money, C) A live ram, called the maout, D) A new wrestling jacket</t>
  </si>
  <si>
    <t>C) A live ram, called the maout</t>
  </si>
  <si>
    <t>The maout is the historic and highly prestigious prize for the champion of the traditional open-weight tournament.</t>
  </si>
  <si>
    <t>In the Mod-Kozh tournament, how does a wrestler issue a challenge?</t>
  </si>
  <si>
    <t>A) By shouting the opponent's name, B) By touching the opponent on the shoulder, C) By pointing at them, D) By raising their hand</t>
  </si>
  <si>
    <t>B) By touching the opponent on the shoulder</t>
  </si>
  <si>
    <t>The traditional method of challenge is a simple, respectful tap on the shoulder of the wrestler they wish to fight.</t>
  </si>
  <si>
    <t>What is the primary role of the skoliou (Gouren schools) in a tournament?</t>
  </si>
  <si>
    <t>A) To act as referees, B) To plan the matches to avoid wrestlers from the same school fighting each other in the early rounds, C) To provide the prizes, D) To sell tickets</t>
  </si>
  <si>
    <t>B) To plan the matches to avoid wrestlers from the same school fighting each other in the early rounds</t>
  </si>
  <si>
    <t>This is a strategic part of the tournament, ensuring that teammates do not eliminate each other prematurely.</t>
  </si>
  <si>
    <t>What does the Breton word roched translate to in English?</t>
  </si>
  <si>
    <t>A) Trousers, B) Belt, C) Shirt or jacket, D) Barefoot</t>
  </si>
  <si>
    <t>C) Shirt or jacket</t>
  </si>
  <si>
    <t>The roched is the mandatory white wrestling jacket that must be worn.</t>
  </si>
  <si>
    <t>What does the Breton word bragoù translate to in English?</t>
  </si>
  <si>
    <t>A) Shirt, B) Belt, C) Trousers or pants, D) Shoes</t>
  </si>
  <si>
    <t>C) Trousers or pants</t>
  </si>
  <si>
    <t>The bragoù are the mandatory black, mid-length trousers.</t>
  </si>
  <si>
    <t>What is the correct color for the roched (jacket) and the bragoù (trousers)?</t>
  </si>
  <si>
    <t>A) Black jacket, white trousers, B) Both are black, C) White jacket, black trousers, D) Both are white</t>
  </si>
  <si>
    <t>C) White jacket, black trousers</t>
  </si>
  <si>
    <t>The official uniform consists of a white roched and black bragoù.</t>
  </si>
  <si>
    <t>A wrestler executes a throw, and the opponent lands on their full back. What result is this?</t>
  </si>
  <si>
    <t>A) Lamm, B) Kostin, C) Kein, D) Netra</t>
  </si>
  <si>
    <t>A) Lamm</t>
  </si>
  <si>
    <t>A fall on the full back, with both shoulder blades hitting the ground at the same time, is the perfect result, the Lamm.</t>
  </si>
  <si>
    <t>A wrestler is penalized for being too defensive and refusing to attack. What is this foul called?</t>
  </si>
  <si>
    <t>A) A block, B) Passivity, C) A retreat, D) A stall</t>
  </si>
  <si>
    <t>B) Passivity</t>
  </si>
  <si>
    <t>A wrestler must actively try to execute throws. Continuously refusing to engage is a foul for passivity.</t>
  </si>
  <si>
    <t>What is the name of the international organization that governs Celtic wrestling styles, including Gouren?</t>
  </si>
  <si>
    <t>A) FALSAB, B) The World Wrestling Union, C) The International Federation of Celtic Wrestling (FILC), D) The European Wrestling Council</t>
  </si>
  <si>
    <t>C) The International Federation of Celtic Wrestling (FILC)</t>
  </si>
  <si>
    <t>The FILC was founded in 1985 to unite and promote the traditional wrestling styles of the Celtic nations.</t>
  </si>
  <si>
    <t>What is the main objective of the dornad (handshake) before the match begins?</t>
  </si>
  <si>
    <t>A) To test the opponent's grip strength, B) To establish a fair and respectful starting grip, C) It is a purely ceremonial gesture, D) To signal readiness to the referee</t>
  </si>
  <si>
    <t>B) To establish a fair and respectful starting grip</t>
  </si>
  <si>
    <t>The dornad is both a ritual of respect and the technical starting point of the match, from which the wrestlers begin their struggle.</t>
  </si>
  <si>
    <t>A wrestler is disqualified from the entire tournament for a grave offense. What is this penalty called?</t>
  </si>
  <si>
    <t>A) Fazi Vraz, B) Lamm, C) Divrud, D) Kostin</t>
  </si>
  <si>
    <t>C) Divrud</t>
  </si>
  <si>
    <t>A Divrud is the most severe sanction, resulting in a wrestler's expulsion from the whole competition for acts like fighting outside the match or gross disrespect.</t>
  </si>
  <si>
    <t>What is the name of the wrestling surface?</t>
  </si>
  <si>
    <t>A) The Tatami, B) The Mat, C) The Pallenn, D) The Ring</t>
  </si>
  <si>
    <t>C) The Pallenn</t>
  </si>
  <si>
    <t>The modern wrestling surface is a mat called the pallenn, which is typically 8 meters in diameter.</t>
  </si>
  <si>
    <t>Is a wrestler allowed to grab the belt that holds the roched in place?</t>
  </si>
  <si>
    <t>A) Yes, it is the primary target, B) No, all grips must be on the fabric of the jacket itself, C) Only for a specific throw, D) Only with one hand</t>
  </si>
  <si>
    <t>B) No, all grips must be on the fabric of the jacket itself</t>
  </si>
  <si>
    <t>Unlike in Malakhra or Schwingen, the belt is not a legal gripping point. All holds must be on the jacket.</t>
  </si>
  <si>
    <t>What is the minimum age to compete in the senior category?</t>
  </si>
  <si>
    <t>A) 16, B) 18, C) 20, D) 21</t>
  </si>
  <si>
    <t>B) 18</t>
  </si>
  <si>
    <t>The senior category is for adult wrestlers, typically starting at the age of 18.</t>
  </si>
  <si>
    <t>A wrestler executes a throw that results in a kostin (fall on one shoulder). Do they win the match?</t>
  </si>
  <si>
    <t>A) Yes, instantly, B) No, but they are in a strong winning position, C) The match is a draw, D) The opponent gets a point</t>
  </si>
  <si>
    <t>B) No, but they are in a strong winning position</t>
  </si>
  <si>
    <t>A kostin does not end the match like a Lamm. However, it is the highest result short of a perfect fall and will win the match if no Lamm is scored.</t>
  </si>
  <si>
    <t>What is the ruling if a wrestler forces their opponent out of the wrestling circle?</t>
  </si>
  <si>
    <t>A) The wrestler who pushed them out wins a point, B) It is a foul for pushing; a penalty is given, C) The match is restarted in the center, D) The wrestler who was pushed out is disqualified</t>
  </si>
  <si>
    <t>C) The match is restarted in the center</t>
  </si>
  <si>
    <t>There is no scoring for a "ring out." The referee will pause the fight and restart the wrestlers in the middle of the mat.</t>
  </si>
  <si>
    <t>What is the primary purpose of the wrestler's oath?</t>
  </si>
  <si>
    <t>A) To intimidate the opponent, B) To remind the wrestlers of the sport's ethical code of honor and fair play, C) To entertain the crowd, D) To signal the start of the tournament</t>
  </si>
  <si>
    <t>B) To remind the wrestlers of the sport's ethical code of honor and fair play</t>
  </si>
  <si>
    <t>The oath is a solemn promise to compete respectfully and uphold the values of the art.</t>
  </si>
  <si>
    <t>A wrestler is penalized for a fazi because they pulled their opponent's hair. Is this a correct call?</t>
  </si>
  <si>
    <t>A) No, this should be a more severe penalty, B) Yes, this is a standard foul, C) No, hair pulling is allowed, D) The opponent should be warned</t>
  </si>
  <si>
    <t>B) Yes, this is a standard foul</t>
  </si>
  <si>
    <t>Any unsportsmanlike or dangerous action, such as hair pulling, striking, or biting, is a clear foul.</t>
  </si>
  <si>
    <t>The European Championships feature wrestlers from Brittany, Cornwall, Scotland, and Iceland. What is the common link between their wrestling styles?</t>
  </si>
  <si>
    <t>A) They all use a jacket, B) They are all ancient Celtic or Nordic folk wrestling styles, C) The rules are identical, D) They are all Olympic sports</t>
  </si>
  <si>
    <t>B) They are all ancient Celtic or Nordic folk wrestling styles</t>
  </si>
  <si>
    <t>The championship celebrates the shared heritage of these traditional European wrestling forms.</t>
  </si>
  <si>
    <t>What does the command "Chomed o sav!" mean?</t>
  </si>
  <si>
    <t>A) "Begin!", B) "Stop!", C) "Stay up!" or "Remain standing!", D) "Hold!"</t>
  </si>
  <si>
    <t>C) "Stay up!" or "Remain standing!"</t>
  </si>
  <si>
    <t>This is a command from the referee to the wrestlers, instructing them to maintain their posture and not fall to their knees.</t>
  </si>
  <si>
    <t>What is the main characteristic of a kliked (winding throw)?</t>
  </si>
  <si>
    <t>A) It is a leg sweep, B) It involves a powerful turning or winding motion to unbalance the opponent, C) It is a defensive move, D) It is a lift</t>
  </si>
  <si>
    <t>B) It involves a powerful turning or winding motion to unbalance the opponent</t>
  </si>
  <si>
    <t>The kliked is a dynamic rotational throw that is one of the signature techniques of Gouren.</t>
  </si>
  <si>
    <t>What is the ruling if a wrestler performs a perfect Lamm, but their foot was outside the circle?</t>
  </si>
  <si>
    <t>A) The Lamm is valid, B) The throw is invalid due to the boundary violation, C) A Kostin is awarded instead, D) The match is replayed</t>
  </si>
  <si>
    <t>B) The throw is invalid due to the boundary violation</t>
  </si>
  <si>
    <t>All scoring actions must be completed while both wrestlers are inside the designated combat area.</t>
  </si>
  <si>
    <t>What is the primary purpose of the modern, standardized roched (jacket)?</t>
  </si>
  <si>
    <t>A) To look good for television, B) To provide a strong, durable, and fair gripping surface for both wrestlers, C) To be easy to tear, D) To be very loose-fitting</t>
  </si>
  <si>
    <t>B) To provide a strong, durable, and fair gripping surface for both wrestlers</t>
  </si>
  <si>
    <t>The modern jacket is made of a heavy canvas designed to withstand the immense forces of grappling without tearing easily.</t>
  </si>
  <si>
    <t>How many points is a Kostin worth in a point-based tie-breaker?</t>
  </si>
  <si>
    <t>A) 1, B) 2, C) 4, D) It is not worth points, it is a result</t>
  </si>
  <si>
    <t>C) 4</t>
  </si>
  <si>
    <t>In the modern scoring system, a Kostin is awarded 4 points, while a Lamm is worth 10 points.</t>
  </si>
  <si>
    <t>A wrestler is penalized for grabbing the bragoù (trousers). Is this a correct call?</t>
  </si>
  <si>
    <t>A) No, this is a legal grip, B) Yes, all grips must be on the roched (jacket) above the belt, C) Only if the trousers tear, D) Only if it is a major tournament</t>
  </si>
  <si>
    <t>B) Yes, all grips must be on the roched (jacket) above the belt</t>
  </si>
  <si>
    <t>Gouren is a "jacket wrestling" style, and the rules strictly forbid any grips on the trousers or legs.</t>
  </si>
  <si>
    <t>What is the primary role of the central referee on the mat?</t>
  </si>
  <si>
    <t>A) To keep score, B) To manage the bout, start and stop the action, and signal the primary decision, C) To consult with the coaches, D) To be a tie-breaker</t>
  </si>
  <si>
    <t>B) To manage the bout, start and stop the action, and signal the primary decision</t>
  </si>
  <si>
    <t>The central referee is in charge of the immediate action, while the corner judges assist in making the final call.</t>
  </si>
  <si>
    <t>In its essence, Gouren is a style of what type of wrestling?</t>
  </si>
  <si>
    <t>A) Belt wrestling, B) Jacket wrestling, C) Catch wrestling, D) Submission wrestling</t>
  </si>
  <si>
    <t>B) Jacket wrestling</t>
  </si>
  <si>
    <t>The defining characteristic of Gouren is that all techniques are initiated from a grip on the opponent's jacket.</t>
  </si>
  <si>
    <t>A wrestler is disqualified for a Fazi Vraz. What might they have done?</t>
  </si>
  <si>
    <t>A) Stepped out of the ring, B) Argued with the referee, C) Refused to shake hands after the match, D) Made a dangerous throw with intent to injure</t>
  </si>
  <si>
    <t>D) Made a dangerous throw with intent to injure</t>
  </si>
  <si>
    <t>A Fazi Vraz is a serious fault, often given for a dangerous or prohibited action that violates the spirit of the oath. It results in a loss of the bout.</t>
  </si>
  <si>
    <t>What is the result if overtime (astenn) ends with no score and no wrestler being awarded a Kein (advantage)?</t>
  </si>
  <si>
    <t>A) The match is declared a draw, B) The lighter wrestler wins, C) The wrestler with fewer warnings wins, D) A coin is tossed</t>
  </si>
  <si>
    <t>A) The match is declared a draw</t>
  </si>
  <si>
    <t>If no wrestler can establish superiority even after overtime, the match can be declared a draw, especially in preliminary rounds.</t>
  </si>
  <si>
    <t>What is the main difference between a Fazi and a Divrud?</t>
  </si>
  <si>
    <t>A) A Fazi is a warning, B) A Fazi is a bout-level penalty, while a Divrud is a tournament-level disqualification, C) A Divrud is a minor foul, D) There is no difference</t>
  </si>
  <si>
    <t>B) A Fazi is a bout-level penalty, while a Divrud is a tournament-level disqualification</t>
  </si>
  <si>
    <t>A wrestler can get multiple Fazi in a bout, but a Divrud is for a single, grave offense that results in expulsion from the entire event.</t>
  </si>
  <si>
    <t>Why is it illegal to put a hand on the ground to avoid a fall?</t>
  </si>
  <si>
    <t>A) It can injure the hand, B) It is a sign of weakness, C) It is a non-wrestling action that prevents a legitimate throw from being completed, D) It is not illegal</t>
  </si>
  <si>
    <t>C) It is a non-wrestling action that prevents a legitimate throw from being completed</t>
  </si>
  <si>
    <t>A wrestler must use their strength and balance to resist a throw. "Posting" a hand on the mat is an illegal way to block the fall.</t>
  </si>
  <si>
    <t>What does the term "mod-kozh" literally mean in Breton?</t>
  </si>
  <si>
    <t>A) "Old Style", B) "Big Prize", C) "The Ram", D) "Challenge Fight"</t>
  </si>
  <si>
    <t>A) "Old Style"</t>
  </si>
  <si>
    <t>The Mod-Kozh tournament preserves the "old style" of wrestling, with its open-weight challenge format and traditional prize.</t>
  </si>
  <si>
    <t>A wrestler executes a throw, but the opponent lands on their chest and stomach. What is the result?</t>
  </si>
  <si>
    <t>D) Netra</t>
  </si>
  <si>
    <t>A fall must be on the back or shoulders to score. A fall onto the front of the body is a Netra (no result).</t>
  </si>
  <si>
    <t>What is the main reason for the specific, mid-length cut of the bragoù (trousers)?</t>
  </si>
  <si>
    <t>A) It is a modern fashion, B) To ensure that the wrestlers' legs and feet are visible for judging foot-sweeps, C) It is cooler in the summer, D) It saves on material</t>
  </si>
  <si>
    <t>B) To ensure that the wrestlers' legs and feet are visible for judging foot-sweeps</t>
  </si>
  <si>
    <t>The length of the trousers is specified to allow the referees to have a clear view of the complex leg and foot techniques.</t>
  </si>
  <si>
    <t>A wrestler wins a perfect Lamm. The opponent's coach protests. On what grounds could a protest be valid?</t>
  </si>
  <si>
    <t>A) The throw was too powerful, B) The winning wrestler made a foul (e.g., grabbed the leg) during the throw, C) The coach did not like the result, D) The winning wrestler celebrated too much</t>
  </si>
  <si>
    <t>B) The winning wrestler made a foul (e.g., grabbed the leg) during the throw</t>
  </si>
  <si>
    <t>A protest can only be lodged based on a technical violation of the rules, not on a judgment of style or force.</t>
  </si>
  <si>
    <t>What is the primary role of the two corner judges?</t>
  </si>
  <si>
    <t>A) To keep time, B) To assist the central referee in observing the action and to vote on decisions, C) To coach the wrestlers, D) To be medical staff</t>
  </si>
  <si>
    <t>B) To assist the central referee in observing the action and to vote on decisions</t>
  </si>
  <si>
    <t>The corner judges provide additional viewpoints, especially for determining the quality of a fall (Lamm vs. Kostin), and vote with the referee.</t>
  </si>
  <si>
    <t>In its essence, the rule set of modern Gouren is designed to promote what?</t>
  </si>
  <si>
    <t>A) The most aggressive fighter, B) A dynamic, safe, and technical form of stand-up wrestling, C) The longest possible fights, D) The wrestler with the best defense</t>
  </si>
  <si>
    <t>B) A dynamic, safe, and technical form of stand-up wrestling</t>
  </si>
  <si>
    <t>The rules are a balance between preserving the art's traditional techniques and ensuring a modern, safe, and spectator-friendly sport.</t>
  </si>
  <si>
    <t>A wrestler is penalized for using their head to push the opponent's face away. Is this a valid foul?</t>
  </si>
  <si>
    <t>A) No, this is a legal move, B) Yes, using the head as an offensive weapon is illegal, C) Only if it causes an injury, D) Only if the opponent complains</t>
  </si>
  <si>
    <t>B) Yes, using the head as an offensive weapon is illegal</t>
  </si>
  <si>
    <t>The head cannot be used to butt, push, or strike an opponent. This is a foul for dangerous action.</t>
  </si>
  <si>
    <t>What is the ruling if a wrestler manages to completely rip off their opponent's roched (jacket)?</t>
  </si>
  <si>
    <t>A) The wrestler with the torn jacket loses, B) The match is immediately stopped to replace the jacket, C) The wrestler who tore the jacket is disqualified, D) The match continues</t>
  </si>
  <si>
    <t>B) The match is immediately stopped to replace the jacket</t>
  </si>
  <si>
    <t>The jacket is essential for the sport. If it becomes unusable, the referee must pause the fight for a replacement.</t>
  </si>
  <si>
    <t>A wrestler is warned for "refusing the grip" (dornad). What does this mean?</t>
  </si>
  <si>
    <t>A) They refused to shake hands after the match, B) They are repeatedly breaking contact and not allowing the opponent to take a fair starting grip, C) They are using an illegal grip, D) They are not gripping tightly enough</t>
  </si>
  <si>
    <t>B) They are repeatedly breaking contact and not allowing the opponent to take a fair starting grip</t>
  </si>
  <si>
    <t>The match requires a constant grip. A wrestler who continuously breaks the hold to avoid being thrown is penalized for passivity.</t>
  </si>
  <si>
    <t>What is the main purpose of the belt worn with the roched?</t>
  </si>
  <si>
    <t>A) It is the primary gripping point, B) It is to hold the roched down and keep it from riding up, C) It is purely decorative and indicates rank, D) It is a weapon</t>
  </si>
  <si>
    <t>B) It is to hold the roched down and keep it from riding up</t>
  </si>
  <si>
    <t>The belt ensures the wrestling jacket stays in place, providing a consistent gripping surface for the wrestlers.</t>
  </si>
  <si>
    <t>In a tie-breaker, the referee awards a Kein (advantage). What is this decision based on?</t>
  </si>
  <si>
    <t>A) The wrestler who scored the last point, B) The wrestler who demonstrated the most attacks and offensive actions during overtime, C) The wrestler who is lighter, D) A vote by the audience</t>
  </si>
  <si>
    <t>B) The wrestler who demonstrated the most attacks and offensive actions during overtime</t>
  </si>
  <si>
    <t>The Kein is a judgment call that rewards the wrestler who was more actively trying to win the match during the overtime period.</t>
  </si>
  <si>
    <t>A wrestler is disqualified for a Divrud for insulting an official. Can they compete in the rest of the tournament?</t>
  </si>
  <si>
    <t>A) Yes, they are only out of that one match, B) No, a Divrud is an expulsion from the entire tournament, C) Yes, if they apologize, D) It is up to the official</t>
  </si>
  <si>
    <t>B) No, a Divrud is an expulsion from the entire tournament</t>
  </si>
  <si>
    <t>A Divrud is the most severe penalty, reserved for grave offenses, and it results in the wrestler's complete removal from the competition.</t>
  </si>
  <si>
    <t>What is the official name for the wrestling circle on the mat?</t>
  </si>
  <si>
    <t>A) The Pallenn, B) The Akhara, C) The Kelc'h, D) The Ring</t>
  </si>
  <si>
    <t>C) The Kelc'h</t>
  </si>
  <si>
    <t>Kelc'h is the Breton word for "circle," and it is the official term for the competition area.</t>
  </si>
  <si>
    <t>Is it legal for a wrestler to use their opponent's momentum against them?</t>
  </si>
  <si>
    <t>A) No, a wrestler must use their own strength, B) Yes, this is a fundamental principle of the art, C) Only if the opponent is larger, D) It is considered a cheap trick</t>
  </si>
  <si>
    <t>B) Yes, this is a fundamental principle of the art</t>
  </si>
  <si>
    <t>Gouren, like Judo, relies heavily on using an opponent's force and momentum to execute throws, emphasizing technique over brute strength.</t>
  </si>
  <si>
    <t>A wrestler is warned for "brutality." What does this mean?</t>
  </si>
  <si>
    <t>A) They shouted too loudly, B) They executed a throw with the clear intention of injuring the opponent, C) They won the match too quickly, D) They committed too many fouls</t>
  </si>
  <si>
    <t>B) They executed a throw with the clear intention of injuring the opponent</t>
  </si>
  <si>
    <t>The wrestler's oath forbids brutality. Any action deemed to have malicious intent is a serious foul.</t>
  </si>
  <si>
    <t>What is the main reason that ground wrestling is not allowed in Gouren?</t>
  </si>
  <si>
    <t>A) The mat is too hard, B) It is considered less skillful than standing wrestling, C) The tradition of the sport is based on remaining on one's feet, ready for combat, D) It would make the matches too long</t>
  </si>
  <si>
    <t>C) The tradition of the sport is based on remaining on one's feet, ready for combat</t>
  </si>
  <si>
    <t>The art's military origins emphasized throwing an opponent to the ground while staying upright yourself, as going to the ground in a battle was often fatal.</t>
  </si>
  <si>
    <t>A wrestler is found to have applied a sticky substance to their hands to improve their grip. What is the ruling?</t>
  </si>
  <si>
    <t>A) This is legal, B) The wrestler is disqualified for cheating, C) The wrestler is told to wash their hands and is warned, D) The opponent gets a point</t>
  </si>
  <si>
    <t>B) The wrestler is disqualified for cheating</t>
  </si>
  <si>
    <t>Using any artificial substance to gain an unfair advantage is a major violation and results in disqualification.</t>
  </si>
  <si>
    <t>A) To keep time, B) To assist the central referee in observing the action and to vote on decisions, C) To coach the wrestlers from the corners, D) To act as medical staff</t>
  </si>
  <si>
    <t>The corner judges provide additional viewpoints, especially for determining the quality of a fall (Lamm vs. Kostin), and their votes are combined with the referee's for a majority decision.</t>
  </si>
  <si>
    <t>What is the ruling if a wrestler is thrown, and their back hits the ground, but they were already outside the circle?</t>
  </si>
  <si>
    <t>A) It is a valid Lamm, B) No score is awarded because the action finished out of bounds, C) The wrestler who was thrown is penalized, D) The match is replayed</t>
  </si>
  <si>
    <t>B) No score is awarded because the action finished out of bounds</t>
  </si>
  <si>
    <t>All scoring actions must be completed while both wrestlers are entirely inside the designated combat area.</t>
  </si>
  <si>
    <t>A wrestler is penalized for using their knee to block an opponent's leg sweep. Is this a correct call?</t>
  </si>
  <si>
    <t>A) No, this is a legal block, B) Yes, using the knee as a "hard point" to strike or block is illegal, C) Only if it causes an injury, D) Only if the referee sees it</t>
  </si>
  <si>
    <t>B) Yes, using the knee as a "hard point" to strike or block is illegal</t>
  </si>
  <si>
    <t>A wrestler must use their feet and the motion of their legs for sweeps and blocks, not the point of the knee.</t>
  </si>
  <si>
    <t>In its essence, Gouren is a test of a wrestler's ability to do what?</t>
  </si>
  <si>
    <t>A) To out-muscle their opponent, B) To control their opponent's balance while maintaining their own, C) To endure pain, D) To follow the referee's commands</t>
  </si>
  <si>
    <t>B) To control their opponent's balance while maintaining their own</t>
  </si>
  <si>
    <t>The entire art is based on the dynamic interplay of balance, with the goal of breaking the opponent's stability while perfecting your own.</t>
  </si>
  <si>
    <t>A wrestler is warned for using their free hand to grab the opponent's wrist. Is this a foul?</t>
  </si>
  <si>
    <t>A) No, this is a legal move to control the opponent, B) Yes, the free hand cannot be used to grip the opponent, C) Only if the grip is held for more than 3 seconds, D) It is not a foul, but it is poor sportsmanship</t>
  </si>
  <si>
    <t>B) Yes, the free hand cannot be used to grip the opponent</t>
  </si>
  <si>
    <t>The free hand is for balance and blocking, not for illegal gripping of the opponent's limbs.</t>
  </si>
  <si>
    <t>What is the ruling if a wrestler is injured due to a legal throw by their opponent?</t>
  </si>
  <si>
    <t>A) The opponent is penalized, B) The injured wrestler wins the match, C) The injured wrestler loses the match by retirement, D) The match is a draw</t>
  </si>
  <si>
    <t>C) The injured wrestler loses the match by retirement</t>
  </si>
  <si>
    <t>If a wrestler is unable to continue due to an injury sustained from a legal technique, they must retire, and their opponent is declared the winner.</t>
  </si>
  <si>
    <t>A wrestler is warned for "speaking to their opponent" during the match. Is this a valid foul?</t>
  </si>
  <si>
    <t>A) No, wrestlers can talk to each other, B) Yes, all communication must go through the referee, C) It is only a foul if they use insults, D) It depends on the language they use</t>
  </si>
  <si>
    <t>B) Yes, all communication must go through the referee</t>
  </si>
  <si>
    <t>Talking to an opponent during the bout is a violation of the rules of conduct and can be penalized.</t>
  </si>
  <si>
    <t>What is the main purpose of the modern, thick wrestling mat (pallenn)?</t>
  </si>
  <si>
    <t>A) To define the playing area, B) To provide a safe, cushioned surface to absorb the impact of throws, C) To keep the wrestlers clean, D) It is for sponsors' logos</t>
  </si>
  <si>
    <t>B) To provide a safe, cushioned surface to absorb the impact of throws</t>
  </si>
  <si>
    <t>The mat is the most important piece of safety equipment in the modern sport.</t>
  </si>
  <si>
    <t>What is the main difference between Gouren and Icelandic Glima?</t>
  </si>
  <si>
    <t>A) Glima uses a belt system for grips, B) Gouren is older, C) Glima involves striking, D) There is no difference</t>
  </si>
  <si>
    <t>A) Glima uses a belt system for grips</t>
  </si>
  <si>
    <t>Glima is a form of belt wrestling, which is fundamentally different from the jacket wrestling style of Gouren.</t>
  </si>
  <si>
    <t>A wrestler is found to have tape on their hands that has been illegally hardened. What is the consequence?</t>
  </si>
  <si>
    <t>A) The tape is removed, and a warning is issued, B) The wrestler is immediately disqualified for cheating, C) The opponent is awarded 5 points, D) The round is replayed</t>
  </si>
  <si>
    <t>B) The wrestler is immediately disqualified for cheating</t>
  </si>
  <si>
    <t>Tampering with any equipment or taping to create a weapon or an unfair advantage is a major violation.</t>
  </si>
  <si>
    <t>What is the referee's command to restart the wrestlers in the center after a stop?</t>
  </si>
  <si>
    <t>A) "En garde!", B) "Reprenez!" (Resume!), C) "Dornad!", D) "Allez!" (Go!)</t>
  </si>
  <si>
    <t>C) "Dornad!"</t>
  </si>
  <si>
    <t>The wrestlers are ordered to restart with the traditional dornad handshake and grip.</t>
  </si>
  <si>
    <t>A wrestler is warned for using their opponent's roched to choke them. Is this a correct call?</t>
  </si>
  <si>
    <t>A) No, this is a legal "lapel choke", B) Yes, using the uniform to strangle an opponent is an illegal and dangerous foul, C) Only if the opponent loses consciousness, D) It is legal but frowned upon</t>
  </si>
  <si>
    <t>B) Yes, using the uniform to strangle an opponent is an illegal and dangerous foul</t>
  </si>
  <si>
    <t>The jacket is for gripping and throwing only. Using it as a ligature for a choke is a major foul.</t>
  </si>
  <si>
    <t>What is the main purpose of the wrestler's belt?</t>
  </si>
  <si>
    <t>A) It is the primary gripping point, B) It is to hold the roched (jacket) down and keep it from riding up, C) It is purely decorative and indicates rank, D) It is a weapon to be used</t>
  </si>
  <si>
    <t>B) It is to hold the roched (jacket) down and keep it from riding up</t>
  </si>
  <si>
    <t>The belt ensures the wrestling jacket stays in place, providing a consistent and fair gripping surface for the wrestlers.</t>
  </si>
  <si>
    <t>What is the main characteristic of the "ancient challenge" format of a tournament?</t>
  </si>
  <si>
    <t>A) It is a round-robin tournament, B) It is a single-elimination tournament, C) It is a ladder system where winners of lower prizes challenge winners of higher prizes, D) It is a team competition</t>
  </si>
  <si>
    <t>C) It is a ladder system where winners of lower prizes challenge winners of higher prizes</t>
  </si>
  <si>
    <t>This created a dramatic, "king-of-the-hill" style competition, with the ultimate champion being the one who could defeat all challengers.</t>
  </si>
  <si>
    <t>What is the main difference between Gouren and Swiss Schwingen?</t>
  </si>
  <si>
    <t>A) Schwingen is older, B) Schwingen wrestlers wear special canvas shorts for gripping, while Gouren uses a jacket, C) Schwingen is a team sport, D) Gouren is more popular</t>
  </si>
  <si>
    <t>B) Schwingen wrestlers wear special canvas shorts for gripping, while Gouren uses a jacket</t>
  </si>
  <si>
    <t>Both are European folk wrestling styles, but their rules and gripping methods are distinct. Schwingen focuses on grips on the opponent's shorts.</t>
  </si>
  <si>
    <t>The FILC has members from Iceland. What is their traditional style of wrestling called?</t>
  </si>
  <si>
    <t>A) Schwingen, B) Glima, C) Back-hold, D) Cornish</t>
  </si>
  <si>
    <t>B) Glima</t>
  </si>
  <si>
    <t>Glima, the ancient wrestling style of the Vikings, is also a member of the International Federation of Celtic Wrestling.</t>
  </si>
  <si>
    <t>A wrestler is penalized for grabbing the opponent below the belt. Is this a correct call?</t>
  </si>
  <si>
    <t>A) No, all holds are allowed, B) Yes, all grips must be on the roched (jacket) above the belt, C) Only if it is a major tournament, D) Only if the opponent complains</t>
  </si>
  <si>
    <t>The rules of Gouren are very specific about the legal grip area, which is restricted to the opponent's wrestling jacket.</t>
  </si>
  <si>
    <t>A wrestler wins a throw, and the result is a kostin. What does this mean?</t>
  </si>
  <si>
    <t>A) The opponent was injured, B) The throw was perfect, C) The throw was only partially successful, with both wrestlers falling, D) The wrestler cheated</t>
  </si>
  <si>
    <t>C) The throw was only partially successful, with both wrestlers falling</t>
  </si>
  <si>
    <t>A kostin is a result where the attacker also loses their balance and falls, which is a lesser result than a clean lamm.</t>
  </si>
  <si>
    <t>What is the primary role of the skoliou (Gouren schools) today?</t>
  </si>
  <si>
    <t>A) To produce professional champions, B) To teach the sport and its ethical values to a new generation, including children, C) To be a social club for adults, D) To make money for the federation</t>
  </si>
  <si>
    <t>B) To teach the sport and its ethical values to a new generation, including children</t>
  </si>
  <si>
    <t>The schools are the grassroots of the sport, focused on education, cultural preservation, and the personal development of their students.</t>
  </si>
  <si>
    <t>What is the main difference between Gouren and modern Olympic Freestyle wrestling?</t>
  </si>
  <si>
    <t>A) Gouren wrestlers wear a jacket (roched), while freestyle wrestlers wear a singlet, B) Gouren is a standing-only style, C) Gouren has a different victory condition (lamm), D) All of the above</t>
  </si>
  <si>
    <t>Gouren is a completely different style of wrestling, with its own unique uniform, rules, and victory conditions.</t>
  </si>
  <si>
    <t>A wrestler is known for their powerful "click" (kliked). What is this technique?</t>
  </si>
  <si>
    <t>A) A type of hip throw, B) A powerful winding or rolling throw, C) A defensive foot-block, D) The name for the wrestler's belt</t>
  </si>
  <si>
    <t>B) A powerful winding or rolling throw</t>
  </si>
  <si>
    <t>The kliked is one of the most characteristic and effective throws in the sport, involving a powerful turning motion to unbalance the opponent.</t>
  </si>
  <si>
    <t>The modern Gouren federation is affiliated with which larger French sporting body?</t>
  </si>
  <si>
    <t>A) The French Football Federation, B) The French Judo Federation, C) The French Wrestling Federation (FFL), D) The French Olympic Committee</t>
  </si>
  <si>
    <t>C) The French Wrestling Federation (FFL)</t>
  </si>
  <si>
    <t>Gouren is officially recognized and administered as a regional wrestling style under the umbrella of the main French Wrestling Federation.</t>
  </si>
  <si>
    <t>What is the main reason that strikes (punches and kicks) are forbidden in Gouren?</t>
  </si>
  <si>
    <t>A) It is a purely grappling art, focused on throws and balance, B) It would be too dangerous, C) The wrestlers do not wear gloves, D) All of the above</t>
  </si>
  <si>
    <t>Gouren's rules were codified to make it a safe and technical sport of pure grappling, distinct from striking arts.</t>
  </si>
  <si>
    <t>In the FILC, which country's wrestling style is known as Back-hold?</t>
  </si>
  <si>
    <t>A) Ireland, B) Brittany, C) Cornwall, D) Scotland</t>
  </si>
  <si>
    <t>D) Scotland</t>
  </si>
  <si>
    <t>Scottish Back-hold wrestling is another of the Celtic styles, known for its distinctive starting grip.</t>
  </si>
  <si>
    <t>A wrestler is penalized for grabbing the opponent's bragoù (trousers). Is this a correct call?</t>
  </si>
  <si>
    <t>A) No, this is a legal part of jacket wrestling, B) Yes, all grips must be on the upper body roched (shirt), C) Only if the trousers tear, D) Only if it is a major tournament</t>
  </si>
  <si>
    <t>B) Yes, all grips must be on the upper body roched (shirt)</t>
  </si>
  <si>
    <t>Gouren rules are specific: the grip is restricted to the opponent's wrestling jacket. Grabbing the trousers is a foul.</t>
  </si>
  <si>
    <t>What is the word roched refer to what piece of the wrestler's attire?</t>
  </si>
  <si>
    <t>A) The trousers, B) The belt, C) The tough, short-sleeved white shirt or jacket, D) The shoes</t>
  </si>
  <si>
    <t>C) The tough, short-sleeved white shirt or jacket</t>
  </si>
  <si>
    <t>The roched is the heavy-duty linen or canvas jacket that the wrestlers grip during the match.</t>
  </si>
  <si>
    <t>The wrestler's oath, "I swear to fight with full loyalty," primarily forbids what?</t>
  </si>
  <si>
    <t>A) Losing the match, B) Any form of treachery or "cheap shots," C) Speaking during the match, D) Attacking the legs</t>
  </si>
  <si>
    <t>B) Any form of treachery or "cheap shots,"</t>
  </si>
  <si>
    <t>The oath is a commitment to an honorable fight, explicitly forbidding any action that is not based on fair and open skill.</t>
  </si>
  <si>
    <t>What is the primary objective for a razeteur in the Course Camarguaise?</t>
  </si>
  <si>
    <t>A) To tire the bull out, B) To stay in the arena for 15 minutes, C) To use a crochet to snatch attributes from the bull's horns, D) To perform acrobatic leaps over the bull</t>
  </si>
  <si>
    <t>C) To use a crochet to snatch attributes from the bull's horns</t>
  </si>
  <si>
    <t>The entire sport is based on the skill and bravery of the razeteurs as they attempt to collect the attributes placed on the bull.</t>
  </si>
  <si>
    <t>What is the most fundamental rule that distinguishes the Course Camarguaise from Spanish-style bullfighting?</t>
  </si>
  <si>
    <t>A) The bull is never intentionally harmed or killed in the arena, B) It is a team sport, C) It is always held at night, D) Only young bulls are used</t>
  </si>
  <si>
    <t>A) The bull is never intentionally harmed or killed in the arena</t>
  </si>
  <si>
    <t>This is the core principle of the sport. The bull is the star athlete and is respected and preserved.</t>
  </si>
  <si>
    <t>What is the name of the specific breed of bull used in the Course Camarguaise?</t>
  </si>
  <si>
    <t>A) The Spanish Fighting Bull, B) The Camargue (Raço di Biòu), C) The Aubrac, D) The Charolais</t>
  </si>
  <si>
    <t>B) The Camargue (Raço di Biòu)</t>
  </si>
  <si>
    <t>The sport exclusively uses the indigenous Camargue breed, a small, agile, and intelligent black bull with lyre-shaped horns.</t>
  </si>
  <si>
    <t>What is the official name for the human participants who enter the arena on foot?</t>
  </si>
  <si>
    <t>A) Matadors, B) Picadors, C) Gardians, D) Razeteurs</t>
  </si>
  <si>
    <t>D) Razeteurs</t>
  </si>
  <si>
    <t>The razeteur is the athlete dressed in white who performs the raset to take the attributes.</t>
  </si>
  <si>
    <t>What is the name of the metal hook worn on the hand of a razeteur to take the attributes?</t>
  </si>
  <si>
    <t>A) The hook, B) The trident, C) The crochet, D) The griffe</t>
  </si>
  <si>
    <t>C) The crochet</t>
  </si>
  <si>
    <t>The crochet is the unique, claw-shaped tool used by the razeteur to sever the strings holding the attributes on the bull's horns.</t>
  </si>
  <si>
    <t>What are the three types of "attributes" placed on a bull's horns for a race?</t>
  </si>
  <si>
    <t>A) A flag, a bell, and a flower, B) The cocarde, the tassels (glands), and the strings (ficelles), C) A ribbon, a tassel, and a horn cap, D) A scarf, a ring, and a string</t>
  </si>
  <si>
    <t>B) The cocarde, the tassels (glands), and the strings (ficelles)</t>
  </si>
  <si>
    <t>These are the three official prizes, each with a different point value, that the razeteurs compete to collect.</t>
  </si>
  <si>
    <t>Which of the three attributes is placed in the very center of the bull's forehead?</t>
  </si>
  <si>
    <t>A) The tassel (gland), B) The string (ficelle), C) The cocarde, D) A ribbon</t>
  </si>
  <si>
    <t>C) The cocarde</t>
  </si>
  <si>
    <t>The cocarde, a small red ribbon, is the first and most prestigious attribute to be taken, placed directly on the bull's brow.</t>
  </si>
  <si>
    <t>What is the standard duration of a single bull's appearance in the arena?</t>
  </si>
  <si>
    <t>A) 10 minutes, B) 15 minutes, C) 20 minutes, D) Until all attributes are taken</t>
  </si>
  <si>
    <t>B) 15 minutes</t>
  </si>
  <si>
    <t>Each bull, or cocardier, performs for a maximum of 15 minutes, after which it is returned to its pen (toril).</t>
  </si>
  <si>
    <t>What is the required uniform for a razeteur?</t>
  </si>
  <si>
    <t>A) Traditional cowboy attire, B) An all-white outfit (trousers and shirt), C) A suit of lights, D) There is no uniform</t>
  </si>
  <si>
    <t>B) An all-white outfit (trousers and shirt)</t>
  </si>
  <si>
    <t>For visibility and tradition, all razeteurs and their assistants must be dressed entirely in white.</t>
  </si>
  <si>
    <t>What is the role of the tourneur in the arena?</t>
  </si>
  <si>
    <t>A) To distract the bull and position it correctly for the razeteur's run, B) To open and close the gate, C) To be a substitute razeteur, D) To keep the score</t>
  </si>
  <si>
    <t>A) To distract the bull and position it correctly for the razeteur's run</t>
  </si>
  <si>
    <t>The tourneur, also dressed in white, is the razeteur's teammate, whose expert positioning is crucial for setting up a successful raset.</t>
  </si>
  <si>
    <t>What is a "raset"?</t>
  </si>
  <si>
    <t>A) The name of the bull, B) The name of the hook, C) The explosive, curved run the razeteur makes to pass the bull and snatch an attribute, D) The final round</t>
  </si>
  <si>
    <t>C) The explosive, curved run the razeteur makes to pass the bull and snatch an attribute</t>
  </si>
  <si>
    <t>The raset is the defining action of the sport, a highly skillful and dangerous maneuver requiring perfect timing and speed.</t>
  </si>
  <si>
    <t>A razeteur leaps onto the top of the red barrier surrounding the arena to escape a charging bull. Is this a legal move?</t>
  </si>
  <si>
    <t>A) No, they must stay on the track, B) Yes, this is the primary method of escape, C) It is a foul and results in a penalty, D) Only if they do not use their hands</t>
  </si>
  <si>
    <t>B) Yes, this is the primary method of escape</t>
  </si>
  <si>
    <t>The razeteurs' agility is showcased by their spectacular leaps onto and over the barrier to safely evade the bull's horns.</t>
  </si>
  <si>
    <t>What is the "Trophée des As"?</t>
  </si>
  <si>
    <t>A) A special prize for the best bull, B) The most prestigious, season-long championship for the elite razeteurs, C) A tournament for retired razeteurs, D) A card game played at festivals</t>
  </si>
  <si>
    <t>B) The most prestigious, season-long championship for the elite razeteurs</t>
  </si>
  <si>
    <t>This "Trophy of the Aces" is the top-tier competition that crowns the best razeteur of the year based on points accumulated throughout the season.</t>
  </si>
  <si>
    <t>A bull's career is celebrated, and after retirement, it is returned to the pasture. What does this show about the sport's philosophy?</t>
  </si>
  <si>
    <t>A) That the bulls are valuable property, B) That the bull is respected as an athlete and hero, not an animal to be sacrificed, C) That the breeders are wealthy, D) That the bulls are too old to be useful</t>
  </si>
  <si>
    <t>B) That the bull is respected as an athlete and hero, not an animal to be sacrificed</t>
  </si>
  <si>
    <t>This is the central ethos of the Course Camarguaise, which fundamentally distinguishes it from Spanish-style bullfighting.</t>
  </si>
  <si>
    <t>What is the name of the prestigious end-of-season trophy awarded to the best bull of the year?</t>
  </si>
  <si>
    <t>A) The Palme d'Or, B) The Cocarde d'Or, C) The Biòu d'Or, D) The Trophée des As</t>
  </si>
  <si>
    <t>C) The Biòu d'Or</t>
  </si>
  <si>
    <t>The "Golden Bull" is the most coveted prize for a bull, awarded by a panel of judges to the animal that has demonstrated the most bravery and skill all season.</t>
  </si>
  <si>
    <t>What is the ruling if a razeteur is injured by the bull during a legal raset?</t>
  </si>
  <si>
    <t>A) The bull is penalized, B) The razeteur wins the point automatically, C) The race is paused for medical attention; no points are awarded, D) The razeteur is disqualified</t>
  </si>
  <si>
    <t>C) The race is paused for medical attention; no points are awarded</t>
  </si>
  <si>
    <t>The risk of injury is inherent to the sport. If a razeteur is injured, the race is stopped for safety, but no score is given.</t>
  </si>
  <si>
    <t>What is the role of the "Président de Course" (President of the Race)?</t>
  </si>
  <si>
    <t>A) The main sponsor, B) The head official who directs the race, validates points, and manages the prize money, C) The captain of the home team, D) The mayor</t>
  </si>
  <si>
    <t>B) The head official who directs the race, validates points, and manages the prize money</t>
  </si>
  <si>
    <t>The President is the ultimate authority during the race, leading the proceedings from a designated box.</t>
  </si>
  <si>
    <t>The prize money (primes) for an attribute increases during the race. How does this happen?</t>
  </si>
  <si>
    <t>A) The price goes up every minute, B) Through public auctions announced over the loudspeaker, C) The razeteurs vote to increase it, D) The bull's owner decides</t>
  </si>
  <si>
    <t>B) Through public auctions announced over the loudspeaker</t>
  </si>
  <si>
    <t>Spectators, businesses, and clubs can bid against each other to increase the prize money for a specific attribute, adding to the excitement.</t>
  </si>
  <si>
    <t>What is a cocardier?</t>
  </si>
  <si>
    <t>A) A razeteur who is good at taking the cocarde, B) A bull that is particularly skilled and brave in the arena, C) The craftsman who makes the cocardes, D) The final race of a festival</t>
  </si>
  <si>
    <t>B) A bull that is particularly skilled and brave in the arena</t>
  </si>
  <si>
    <t>A cocardier is the name for a great fighting bull, a true star of the Course Camarguaise.</t>
  </si>
  <si>
    <t>What is the ruling if a razeteur loses their crochet in the arena?</t>
  </si>
  <si>
    <t>A) They are disqualified, B) They can retrieve it and continue, C) They must continue with their bare hands, D) The team loses a point</t>
  </si>
  <si>
    <t>B) They can retrieve it and continue</t>
  </si>
  <si>
    <t>A razeteur is allowed to pick up their dropped crochet, although doing so is dangerous and requires the help of the tourneurs to distract the bull.</t>
  </si>
  <si>
    <t>How many razeteurs are allowed to be on the track at the same time?</t>
  </si>
  <si>
    <t>A) Only one, B) A maximum of two, C) The entire team of razeteurs, D) It varies depending on the size of the arena</t>
  </si>
  <si>
    <t>C) The entire team of razeteurs</t>
  </si>
  <si>
    <t>Unlike a one-on-one duel, the razeteurs are all in the arena together, though only one will perform a raset at a time.</t>
  </si>
  <si>
    <t>A razeteur is penalized for a "refus de raset" (refusal to run). What does this mean?</t>
  </si>
  <si>
    <t>A) They refused to enter the arena, B) They are showing fear and are not attempting to run at the bull, C) They refused to accept a prize, D) They refused to wear the white uniform</t>
  </si>
  <si>
    <t>B) They are showing fear and are not attempting to run at the bull</t>
  </si>
  <si>
    <t>A razeteur is expected to show courage. If they consistently fail to engage with the bull, the President can penalize them.</t>
  </si>
  <si>
    <t>What is the main difference between the abrivado and the Spanish encierro (running of the bulls)?</t>
  </si>
  <si>
    <t>A) The abrivado uses horses to guide the bulls, while the encierro has people running in front, B) The abrivado is more dangerous, C) The encierro is older, D) There is no difference</t>
  </si>
  <si>
    <t>A) The abrivado uses horses to guide the bulls, while the encierro has people running in front</t>
  </si>
  <si>
    <t>The abrivado is a display of horsemanship, with gardians controlling the bulls, unlike the Pamplona-style run where the public runs with them.</t>
  </si>
  <si>
    <t>The ficelles (strings) are wrapped around the base of the bull's horns. What makes them the most difficult attribute to get?</t>
  </si>
  <si>
    <t>A) They are worth the fewest points, B) They are the last to be taken and are wrapped very tightly, C) They are very slippery, D) The razeteur must use their bare hands</t>
  </si>
  <si>
    <t>B) They are the last to be taken and are wrapped very tightly</t>
  </si>
  <si>
    <t>The strings are numerous and tightly wound, requiring many dangerous, close-range passes to cut and remove them one by one.</t>
  </si>
  <si>
    <t>What is the ruling if a razeteur is on the barrier and the bull hits the barrier directly underneath them?</t>
  </si>
  <si>
    <t>A) The razeteur is disqualified, B) The bull is praised for its bravery, and the Carmen music is played, C) The race is stopped, D) The bull is penalized</t>
  </si>
  <si>
    <t>B) The bull is praised for its bravery, and the Carmen music is played</t>
  </si>
  <si>
    <t>This action, known as "le coup de barrière," is a sign of a courageous and determined bull and is highly celebrated.</t>
  </si>
  <si>
    <t>The official governing body for the sport is the FFCC. What does this stand for?</t>
  </si>
  <si>
    <t>A) Fédération Française de la Corrida, B) Fédération des Festivals Camarguais, C) Fédération Française de la Course Camarguaise, D) Fédération des Fans de Cocardiers</t>
  </si>
  <si>
    <t>C) Fédération Française de la Course Camarguaise</t>
  </si>
  <si>
    <t>The French Federation of the Camargue Race was founded in 1975 to regulate, standardize, and promote the sport.</t>
  </si>
  <si>
    <t>What is the role of the gardians (cowboys) in the race itself?</t>
  </si>
  <si>
    <t>A) They are the referees, B) They have no role inside the arena, C) They help the razeteurs, D) They release the bull</t>
  </si>
  <si>
    <t>B) They have no role inside the arena</t>
  </si>
  <si>
    <t>While central to the surrounding culture (in the abrivado and bandido), the gardians do not participate in the race inside the arena.</t>
  </si>
  <si>
    <t>A razeteur successfully takes an attribute. What must they do immediately after?</t>
  </si>
  <si>
    <t>A) Run to the barrier to be safe from the bull, B) Celebrate for the crowd, C) Help their teammates, D) Try to take another attribute on the same run</t>
  </si>
  <si>
    <t>A) Run to the barrier to be safe from the bull</t>
  </si>
  <si>
    <t>The moment an attribute is taken, the bull's attention is fixed on that razeteur. Their first priority is to get to the safety of the barrier.</t>
  </si>
  <si>
    <t>How is the winner of the "Biòu d'Or" (Golden Bull) decided?</t>
  </si>
  <si>
    <t>A) By the bull that wins the most races, B) By a vote of a panel of experts and journalists at the end of the season, C) By the bull whose attributes sell for the most money, D) By public popular vote</t>
  </si>
  <si>
    <t>B) By a vote of a panel of experts and journalists at the end of the season</t>
  </si>
  <si>
    <t>The winner is chosen based on its performance, bravery, and intelligence demonstrated over the entire racing season.</t>
  </si>
  <si>
    <t>What does the playing of the Carmen overture signify during a race?</t>
  </si>
  <si>
    <t>A) The start of the race, B) A tribute to a particularly spectacular action by a razeteur or the bull, C) A foul has been committed, D) The end of the race</t>
  </si>
  <si>
    <t>B) A tribute to a particularly spectacular action by a razeteur or the bull</t>
  </si>
  <si>
    <t>The arena's band plays this famous tune to salute an act of exceptional bravery or skill, a high honor for both man and beast.</t>
  </si>
  <si>
    <t>A razeteur is penalized for "working on the wrong side" of the bull. What does this mean?</t>
  </si>
  <si>
    <t>A) They are on the left side, B) They are behind the bull, C) They are not positioning themselves correctly for a fair raset, D) They are too close to the barrier</t>
  </si>
  <si>
    <t>C) They are not positioning themselves correctly for a fair raset</t>
  </si>
  <si>
    <t>A razeteur must perform a clean, curved run. Approaching the bull from an incorrect angle is a foul.</t>
  </si>
  <si>
    <t>What is the ruling if a bull refuses to charge and remains passive in the arena?</t>
  </si>
  <si>
    <t>A) The razeteurs win automatically, B) The bull is replaced by another one, C) The razeteurs must try harder to provoke it, D) The race is cancelled</t>
  </si>
  <si>
    <t>B) The bull is replaced by another one</t>
  </si>
  <si>
    <t>If a bull does not show the required combativeness, it will be returned to its pen, and another bull will be brought out.</t>
  </si>
  <si>
    <t>The Trophée des As is a season-long competition. How do razeteurs earn points for it?</t>
  </si>
  <si>
    <t>A) By winning individual races, B) By earning points in a series of designated, high-level races throughout the season, C) By a vote of the public, D) By taking the most cocardes</t>
  </si>
  <si>
    <t>B) By earning points in a series of designated, high-level races throughout the season</t>
  </si>
  <si>
    <t>The championship is a league, where razeteurs accumulate points at major events to determine the overall season champion.</t>
  </si>
  <si>
    <t>What is the toril?</t>
  </si>
  <si>
    <t>A) The center of the arena, B) The pen or gate from which the bull is released into the arena, C) The razeteur's changing room, D) The prize money</t>
  </si>
  <si>
    <t>B) The pen or gate from which the bull is released into the arena</t>
  </si>
  <si>
    <t>The toril is the enclosure where the bulls are kept before they enter the ring.</t>
  </si>
  <si>
    <t>Why must a razeteur be extremely agile and athletic?</t>
  </si>
  <si>
    <t>A) To perform the explosive "raset" and to leap over the barrier to escape, B) To be able to lift the heavy attributes, C) To outrun their teammates, D) To be able to fight the bull</t>
  </si>
  <si>
    <t>A) To perform the explosive "raset" and to leap over the barrier to escape</t>
  </si>
  <si>
    <t>The sport demands incredible speed for the run and gymnastic ability for the escape, making it a test of pure athleticism.</t>
  </si>
  <si>
    <t>What is the name of the prestigious tournament held every July in the Roman arena of Arles?</t>
  </si>
  <si>
    <t>A) The Biòu d'Or, B) The Trophée des As, C) The Cocarde d'Or, D) The Palme d'Or</t>
  </si>
  <si>
    <t>C) The Cocarde d'Or</t>
  </si>
  <si>
    <t>The "Golden Cocarde" is one of the "big three" major tournaments of the season, famous for its historic setting.</t>
  </si>
  <si>
    <t>What is the ruling if a razeteur's crochet gets stuck on the bull's horn?</t>
  </si>
  <si>
    <t>A) They must let go immediately, B) They can try to pull it free, C) The point is replayed, D) They are disqualified</t>
  </si>
  <si>
    <t>A) They must let go immediately</t>
  </si>
  <si>
    <t>Holding onto the crochet while it is stuck is extremely dangerous and can result in the razeteur being dragged or gored.</t>
  </si>
  <si>
    <t>What does it mean if a bull is a "left-hander" or a "right-hander"?</t>
  </si>
  <si>
    <t>A) It prefers to charge with one horn over the other, B) It prefers to turn in one direction over the other, C) It is a way of classifying their temperament, D) It has no meaning</t>
  </si>
  <si>
    <t>B) It prefers to turn in one direction over the other</t>
  </si>
  <si>
    <t>An intelligent bull will often have a preferred turning direction to defend its attributes, a tendency that skilled razeteurs must learn to exploit.</t>
  </si>
  <si>
    <t>A new rule is introduced to give the bull a rest period in the middle of its 15 minutes. What is the main reason for this?</t>
  </si>
  <si>
    <t>A) To make the race longer, B) To improve animal welfare, C) To give the razeteurs a break, D) To build suspense</t>
  </si>
  <si>
    <t>B) To improve animal welfare</t>
  </si>
  <si>
    <t>Modern rule changes are often focused on ensuring the well-being of the bulls, who are the celebrated stars of the sport.</t>
  </si>
  <si>
    <t>What is a manade?</t>
  </si>
  <si>
    <t>A) A type of festival, B) The bullring, C) A herd of Camargue bulls and the ranch where they are raised, D) A team of razeteurs</t>
  </si>
  <si>
    <t>C) A herd of Camargue bulls and the ranch where they are raised</t>
  </si>
  <si>
    <t>A manade is the entire breeding operation, run by a manadier, which is central to the culture of the region.</t>
  </si>
  <si>
    <t>A razeteur makes a run, but the bull does not turn to face them. What is the ruling?</t>
  </si>
  <si>
    <t>A) The razeteur can take the attribute easily, B) The run is invalid; a raset must be performed on a charging bull, C) The bull is disqualified, D) The razeteur gets a warning</t>
  </si>
  <si>
    <t>B) The run is invalid; a raset must be performed on a charging bull</t>
  </si>
  <si>
    <t>A point can only be scored through a legitimate contest of skill and bravery. Taking an attribute from a bull that is not engaged is not a valid raset.</t>
  </si>
  <si>
    <t>The names of the razeteurs and tourneurs are written on the back of their shirts. What is the color code?</t>
  </si>
  <si>
    <t>A) Razeteurs in black, tourneurs in red, B) Both are in black, C) Razeteurs in red, tourneurs in black, D) Both are in red</t>
  </si>
  <si>
    <t>A) Razeteurs in black, tourneurs in red</t>
  </si>
  <si>
    <t>This color code allows the judges and the public to easily distinguish between the two different roles in the arena.</t>
  </si>
  <si>
    <t>Which of the attributes has the lowest point value but is often the first to be taken?</t>
  </si>
  <si>
    <t>A) The strings (ficelles), B) The tassels (glands), C) The cocarde, D) They are all worth the same</t>
  </si>
  <si>
    <t>The cocarde has a base point value (e.g., 1 point), but its prize money can be very high. It is taken first as it is at the front.</t>
  </si>
  <si>
    <t>What is the ruling if a razeteur leaps to the barrier and is "stuck" on top, unable to get over?</t>
  </si>
  <si>
    <t>A) They are out of the race, B) The bull is allowed to hit them, C) The bull must be distracted by the tourneurs so they can get down safely, D) They win a point for bravery</t>
  </si>
  <si>
    <t>C) The bull must be distracted by the tourneurs so they can get down safely</t>
  </si>
  <si>
    <t>This is a dangerous situation, and the other men in the ring have a duty to create a diversion to ensure their teammate's safety.</t>
  </si>
  <si>
    <t>What is the main characteristic of the Camargue breed of horse?</t>
  </si>
  <si>
    <t>A) It is very large and strong, B) It is a small, hardy, and agile white horse adapted to the wetlands, C) It is a fast racing horse like a Thoroughbred, D) It is a draft horse</t>
  </si>
  <si>
    <t>B) It is a small, hardy, and agile white horse adapted to the wetlands</t>
  </si>
  <si>
    <t>The famous white horses of the Camargue are a unique and ancient breed, perfectly suited to their environment and the work of the gardians.</t>
  </si>
  <si>
    <t>How does a razeteur learn their trade?</t>
  </si>
  <si>
    <t>A) From a book, B) By attending a formal university program, C) By entering a specialized école de raseteurs (razeteur school) at a young age, D) They are self-taught</t>
  </si>
  <si>
    <t>C) By entering a specialized école de raseteurs (razeteur school) at a young age</t>
  </si>
  <si>
    <t>Aspiring razeteurs go through years of intensive training at specialized schools to learn the dangerous and highly technical skills required.</t>
  </si>
  <si>
    <t>A bull is said to have "seen" a razeteur. What does this mean?</t>
  </si>
  <si>
    <t>A) The bull has good eyesight, B) The bull has identified and is focusing on a specific razeteur who is preparing to run, C) The bull is scared, D) The bull is ready to leave the arena</t>
  </si>
  <si>
    <t>B) The bull has identified and is focusing on a specific razeteur who is preparing to run</t>
  </si>
  <si>
    <t>This is a crucial moment where the bull locks its attention onto its target, setting up the charge for the raset.</t>
  </si>
  <si>
    <t>What is the penalty for a tourneur who illegally obstructs the bull?</t>
  </si>
  <si>
    <t>A) There is no penalty, B) The tourneur is warned or penalized, and any point scored is nullified, C) The razeteur is penalized, D) The bull is given a rest</t>
  </si>
  <si>
    <t>B) The tourneur is warned or penalized, and any point scored is nullified</t>
  </si>
  <si>
    <t>The tourneurs can only position the bull, not physically interfere with it. Illegal obstruction is a team foul.</t>
  </si>
  <si>
    <t>What is the main reason that razeteurs are considered elite athletes?</t>
  </si>
  <si>
    <t>A) They are paid a lot of money, B) The sport requires an exceptional combination of speed, agility, courage, and split-second decision making, C) They are very famous, D) They train every day</t>
  </si>
  <si>
    <t>B) The sport requires an exceptional combination of speed, agility, courage, and split-second decision making</t>
  </si>
  <si>
    <t>The physical and mental demands of being a razeteur are extremely high, requiring the dedication and skill of a top professional athlete.</t>
  </si>
  <si>
    <t>In its essence, the Course Camarguaise is a contest between what two forces?</t>
  </si>
  <si>
    <t>A) Good and evil, B) Man and nature, C) The intelligence and agility of the razeteur versus the power and instinct of the bull, D) Two rival villages</t>
  </si>
  <si>
    <t>C) The intelligence and agility of the razeteur versus the power and instinct of the bull</t>
  </si>
  <si>
    <t>The sport is a non-bloody duel that celebrates the skill and bravery of the human athlete and the power and intelligence of the animal athlete.</t>
  </si>
  <si>
    <t>A razeteur is found to be using a crochet that is longer than the regulation size. What is the penalty?</t>
  </si>
  <si>
    <t>A) A warning is issued, B) The razeteur is disqualified from the race, C) The crochet is confiscated, D) The razeteur can continue but scores half points</t>
  </si>
  <si>
    <t>B) The razeteur is disqualified from the race</t>
  </si>
  <si>
    <t>Using non-regulation equipment that provides an unfair advantage is a serious foul.</t>
  </si>
  <si>
    <t>What is the purpose of the white lines painted on the track of the arena?</t>
  </si>
  <si>
    <t>A) They are for decoration, B) They help the razeteurs judge their distance and position relative to the bull, C) They mark the boundary for the bull, D) They are service lines</t>
  </si>
  <si>
    <t>B) They help the razeteurs judge their distance and position relative to the bull</t>
  </si>
  <si>
    <t>The lines are a visual aid for the razeteurs to help them time their run and their leap to the barrier.</t>
  </si>
  <si>
    <t>A bull has a reputation for being a "jumper" (sauteur). What does this mean?</t>
  </si>
  <si>
    <t>A) It is very energetic, B) It has a habit of jumping the barrier in pursuit of the razeteurs, C) It jumps over the razeteurs, D) It is a young bull</t>
  </si>
  <si>
    <t>B) It has a habit of jumping the barrier in pursuit of the razeteurs</t>
  </si>
  <si>
    <t>This is a trait that makes a bull both dangerous and highly spectacular, and it is very popular with the crowds.</t>
  </si>
  <si>
    <t>What is the ruling if a razeteur grabs the bull's horn with their free hand?</t>
  </si>
  <si>
    <t>A) It is a legal move to gain stability, B) It is a major foul, and the razeteur is penalized, C) It is allowed if the bull is being aggressive, D) The point is replayed</t>
  </si>
  <si>
    <t>B) It is a major foul, and the razeteur is penalized</t>
  </si>
  <si>
    <t>A razeteur is strictly forbidden from touching the bull with any part of their body or with their free hand.</t>
  </si>
  <si>
    <t>What is the main role of the "délégué de la FFCC" (Federation Delegate) at a race?</t>
  </si>
  <si>
    <t>A) To be the main referee, B) To be the official representative of the federation, ensuring all rules and procedures are correctly followed, C) To be the scorer, D) To be the event organizer</t>
  </si>
  <si>
    <t>B) To be the official representative of the federation, ensuring all rules and procedures are correctly followed</t>
  </si>
  <si>
    <t>The delegate is the highest authority from the governing body, there to supervise the entire event.</t>
  </si>
  <si>
    <t>A bull is known as a "cocardier difficile" (a difficult bull). What does this imply?</t>
  </si>
  <si>
    <t>A) The bull is very aggressive, B) The bull is very intelligent and hard to trick, making it difficult to take its attributes, C) The bull is old, D) The bull refuses to charge</t>
  </si>
  <si>
    <t>B) The bull is very intelligent and hard to trick, making it difficult to take its attributes</t>
  </si>
  <si>
    <t>A "difficult" bull is a smart one that defends its attributes well, providing a greater challenge and a better spectacle.</t>
  </si>
  <si>
    <t>What is the role of the red-painted wooden barrier (barricade)?</t>
  </si>
  <si>
    <t>A) To keep the bull inside the arena, B) To be a safety refuge for the razeteurs, C) To separate the razeteurs from the crowd, D) All of the above</t>
  </si>
  <si>
    <t>The barrier serves all these functions: it contains the action, acts as the escape route for the men, and protects the spectators.</t>
  </si>
  <si>
    <t>What is the maximum number of razeteurs that can be in the "raseteur's passage" (the area between the two barriers) at one time?</t>
  </si>
  <si>
    <t>A) One, B) Two, C) There is no limit, D) It is not allowed</t>
  </si>
  <si>
    <t>A) One</t>
  </si>
  <si>
    <t>For safety, only one razeteur is allowed in this narrow corridor at a time.</t>
  </si>
  <si>
    <t>A razeteur takes the cocarde, but the referee declares the raset was "boulevardié" (on the boulevard). What does this foul mean?</t>
  </si>
  <si>
    <t>A) The run was too straight and not a proper curved raset, B) The razeteur ran outside the arena, C) The run was too slow, D) The run was too fast</t>
  </si>
  <si>
    <t>A) The run was too straight and not a proper curved raset</t>
  </si>
  <si>
    <t>A legal raset must have a distinct curve. A straight run is an illegal shortcut and any points scored are nullified.</t>
  </si>
  <si>
    <t>In its essence, the Course Camarguaise is a sport that celebrates the relationship between what three elements?</t>
  </si>
  <si>
    <t>A) The man, the horse, and the sea, B) The bull, the horse, and the gardian, C) The bull, the razeteur, and the unique landscape of the Camargue, D) The razeteur, the referee, and the crowd</t>
  </si>
  <si>
    <t>C) The bull, the razeteur, and the unique landscape of the Camargue</t>
  </si>
  <si>
    <t>The sport is an expression of the deep cultural connection between the people, the animals, and the specific environment of the Camargue.</t>
  </si>
  <si>
    <t>A razeteur is penalized for a "coup de barrière" (hit on the barrier). What did they do?</t>
  </si>
  <si>
    <t>A) They hit the barrier with their crochet, B) They were hit by the bull against the barrier, C) They jumped onto the barrier incorrectly, D) They refused to jump the barrier</t>
  </si>
  <si>
    <t>A) They hit the barrier with their crochet</t>
  </si>
  <si>
    <t>A razeteur is not allowed to touch the barrier with their crochet while running. The focus must be solely on the bull.</t>
  </si>
  <si>
    <t>A bull is taken out of the arena before its 15 minutes are up. What is the most likely reason?</t>
  </si>
  <si>
    <t>A) It has lost all its attributes, B) It is showing signs of injury or excessive fatigue, C) It is not being aggressive enough, D) Both B and C</t>
  </si>
  <si>
    <t>A bull's time can be cut short for its own welfare if it is injured, or if it is not participating in the game and providing a good contest.</t>
  </si>
  <si>
    <t>What is the primary job of the "Président de Course"?</t>
  </si>
  <si>
    <t>What is the ruling if a razeteur is injured due to a legal charge by the bull?</t>
  </si>
  <si>
    <t>A) The opponent is penalized, B) The injured razeteur wins the match, C) The injured razeteur loses the match by retirement, D) The match is a draw</t>
  </si>
  <si>
    <t>C) The injured razeteur loses the match by retirement</t>
  </si>
  <si>
    <t>If a razeteur is unable to continue due to an injury sustained from a legal technique by the bull, they must retire.</t>
  </si>
  <si>
    <t>What is the main reason a razeteur must have excellent cardiovascular fitness?</t>
  </si>
  <si>
    <t>A) To be able to run if unhorsed, B) The sport requires repeated, explosive sprints and acrobatic leaps for 15 minutes, C) To be able to hold their breath for a long time, D) It is not important</t>
  </si>
  <si>
    <t>B) The sport requires repeated, explosive sprints and acrobatic leaps for 15 minutes</t>
  </si>
  <si>
    <t>The physical demands of the sport are extremely high, requiring the endurance of a track and field athlete.</t>
  </si>
  <si>
    <t>What is the penalty for a tourneur who illegally grabs the bull's horn to position it?</t>
  </si>
  <si>
    <t>A) A warning is issued to the tourneur, B) The team is penalized, and any point scored on that action is nullified, C) The tourneur is ejected from the arena, D) There is no penalty</t>
  </si>
  <si>
    <t>B) The team is penalized, and any point scored on that action is nullified</t>
  </si>
  <si>
    <t>The tourneurs can only use their bodies and movements to position the bull, they cannot physically touch it.</t>
  </si>
  <si>
    <t>What is the "Trophée de la Mer" (Trophy of the Sea)?</t>
  </si>
  <si>
    <t>A) A fishing competition, B) A famous and prestigious Course Camarguaise tournament held in the seaside town of Le Grau-du-Roi, C) A boat race, D) A prize for the best-decorated bull</t>
  </si>
  <si>
    <t>B) A famous and prestigious Course Camarguaise tournament held in the seaside town of Le Grau-du-Roi</t>
  </si>
  <si>
    <t>This is one of the major, highly-regarded tournaments of the official "Trophée des As" season.</t>
  </si>
  <si>
    <t>What is the main reason that the razeteurs' white trousers are so tight-fitting?</t>
  </si>
  <si>
    <t>A) It is a modern fashion, B) To prevent the bull's horn from getting caught in loose fabric, C) To show off the razeteur's muscles, D) To improve aerodynamics</t>
  </si>
  <si>
    <t>B) To prevent the bull's horn from getting caught in loose fabric</t>
  </si>
  <si>
    <t>This is a key safety feature of the uniform, minimizing the risk of a horn getting snagged in the clothing.</t>
  </si>
  <si>
    <t>A razeteur successfully takes the final string (ficelle) from a bull's horn. What happens next?</t>
  </si>
  <si>
    <t>A) The bull is immediately returned to the toril, even if its 15 minutes are not up, B) A new set of attributes is placed on the bull, C) The razeteur wins the race, D) The bull is given a rest</t>
  </si>
  <si>
    <t>A) The bull is immediately returned to the toril, even if its 15 minutes are not up</t>
  </si>
  <si>
    <t>The bull's "job" is done once all of its attributes have been taken. It is honored with music and sent back to its pen.</t>
  </si>
  <si>
    <t>What does the term attribut refer to?</t>
  </si>
  <si>
    <t>A) The razeteur's crochet, B) The collective name for the cocarde, tassels, and strings, C) The bull's horns, D) The razeteur's skill</t>
  </si>
  <si>
    <t>B) The collective name for the cocarde, tassels, and strings</t>
  </si>
  <si>
    <t>The attributs are the prize objects that the razeteurs must snatch from the bull.</t>
  </si>
  <si>
    <t>What is the ruling if a razeteur is on the barrier and the bull leaps and places its front hooves on the barrier as well?</t>
  </si>
  <si>
    <t>A) The razeteur is disqualified, B) This is a celebrated act of bravery by the bull, often rewarded with the Carmen music, C) The race is stopped for safety, D) The bull is penalized</t>
  </si>
  <si>
    <t>B) This is a celebrated act of bravery by the bull, often rewarded with the Carmen music</t>
  </si>
  <si>
    <t>This action, known as "le coup de barrière," is a sign of a courageous and determined bull and is highly prized.</t>
  </si>
  <si>
    <t>A razeteur takes an attribute but is found to have used a crochet with two hooks instead of one. What is the ruling?</t>
  </si>
  <si>
    <t>A) The score is valid, B) The score is nullified, and the razeteur is disqualified for using illegal equipment, C) The score is halved, D) A warning is issued</t>
  </si>
  <si>
    <t>B) The score is nullified, and the razeteur is disqualified for using illegal equipment</t>
  </si>
  <si>
    <t>The dimensions and design of the crochet are strictly regulated. Using an illegal one is a major foul.</t>
  </si>
  <si>
    <t>What is the main reason that razeteurs must be extremely lightweight and agile?</t>
  </si>
  <si>
    <t>A) To be able to jump onto the barrier, B) To be fast enough to outmaneuver the bull during the raset, C) To be able to fit into the white uniform, D) Both A and B</t>
  </si>
  <si>
    <t>The sport demands the body type of a sprinter and a gymnast, emphasizing speed and agility over raw strength.</t>
  </si>
  <si>
    <t>A bull is said to have a "favorite side." What does this mean for the razeteurs?</t>
  </si>
  <si>
    <t>A) The bull is easier to run against on that side, B) The bull is more dangerous and defensive on that side, and razeteurs must be more careful, C) It has no effect on the race, D) The bull will only charge on that side</t>
  </si>
  <si>
    <t>B) The bull is more dangerous and defensive on that side, and razeteurs must be more careful</t>
  </si>
  <si>
    <t>An intelligent bull will learn to protect one horn more than the other, forcing the razeteurs to adapt their strategy.</t>
  </si>
  <si>
    <t>In its essence, the Course Camarguaise is a sport that pits what against what?</t>
  </si>
  <si>
    <t>A) Man against beast, B) The razeteur's intelligence and agility against the bull's power and instinct, C) Good against evil, D) Two rival villages against each other</t>
  </si>
  <si>
    <t>B) The razeteur's intelligence and agility against the bull's power and instinct</t>
  </si>
  <si>
    <t>The sport is a non-bloody duel that celebrates the skill of the human athlete and the power and intelligence of the animal athlete.</t>
  </si>
  <si>
    <t>This is a key difference. The abrivado is a display of horsemanship, with gardians controlling the bulls, unlike the Pamplona-style run.</t>
  </si>
  <si>
    <t>A razeteur is known as a "left-hander" (gaucher). What is their main advantage?</t>
  </si>
  <si>
    <t>A) They are stronger, B) They approach the bull from an unusual angle, which can confuse the bull's defense, C) They are faster, D) They have better equipment</t>
  </si>
  <si>
    <t>B) They approach the bull from an unusual angle, which can confuse the bull's defense</t>
  </si>
  <si>
    <t>A left-hander presents a different and often more difficult challenge for the bull, who is more accustomed to right-handed razeteurs.</t>
  </si>
  <si>
    <t>What is the "Trophée de l'Avenir" (Trophy of the Future)?</t>
  </si>
  <si>
    <t>A) The main championship for elite razeteurs, B) The championship for young, up-and-coming razeteurs, C) A prize for the oldest razeteur, D) A prize for the best bull breeder</t>
  </si>
  <si>
    <t>B) The championship for young, up-and-coming razeteurs</t>
  </si>
  <si>
    <t>This is the major competition for the next generation of stars, a stepping stone to the elite "Trophée des As."</t>
  </si>
  <si>
    <t>A bull is praised for its "sense of the barrier." What does this mean?</t>
  </si>
  <si>
    <t>A) It is afraid of the barrier, B) It intelligently uses the barrier to corner a razeteur, C) It often tries to jump over the barrier, D) It stays in the center of the arena</t>
  </si>
  <si>
    <t>B) It intelligently uses the barrier to corner a razeteur</t>
  </si>
  <si>
    <t>A smart bull learns to use the geography of the arena, pinning the man against the wall to prevent him from escaping or taking an attribute.</t>
  </si>
  <si>
    <t>What is the main reason that razeteurs must be extremely agile and athletic?</t>
  </si>
  <si>
    <t>The sport demands the body type of a sprinter and a gymnast, making it a test of pure athleticism.</t>
  </si>
  <si>
    <t>What is the "Coupe des manadiers" (Breeders' Cup)?</t>
  </si>
  <si>
    <t>A) A race for the razeteurs, B) A competition where the breeders (manadiers) themselves compete, C) A prestigious tournament where herds (manades) compete against each other, D) A horse race</t>
  </si>
  <si>
    <t>C) A prestigious tournament where herds (manades) compete against each other</t>
  </si>
  <si>
    <t>This is a special competition where the pride of the different breeding ranches is on the line, showcasing the quality of their bulls.</t>
  </si>
  <si>
    <t>What is the main difference between the abrivado and the bandido?</t>
  </si>
  <si>
    <t>A) There is no difference, B) The abrivado is the running of the bulls to the arena, while the bandido is the running from the arena, C) The abrivado is for young bulls, the bandido for old ones, D) The abrivado is on horseback, the bandido is on foot</t>
  </si>
  <si>
    <t>B) The abrivado is the running of the bulls to the arena, while the bandido is the running from the arena</t>
  </si>
  <si>
    <t>The bandido is the return of the bulls to the pasture after the race and is often more chaotic.</t>
  </si>
  <si>
    <t>What is the main characteristic of the Camargue horse?</t>
  </si>
  <si>
    <t>A bull is praised for its "générosité" (generosity). What does this mean?</t>
  </si>
  <si>
    <t>A) It is a very large bull, B) It charges readily and participates actively in the game, C) It does not attack the razeteurs, D) It gives up its attributes easily</t>
  </si>
  <si>
    <t>B) It charges readily and participates actively in the game</t>
  </si>
  <si>
    <t>A "generous" bull is one that provides a great spectacle by engaging honestly and bravely with the razeteurs.</t>
  </si>
  <si>
    <t>A razeteur takes the cocarde, but the referee declares the raset was "boulevardié". What does this foul mean?</t>
  </si>
  <si>
    <t>What is the main reason for the razeteurs' white trousers being so tight-fitting?</t>
  </si>
  <si>
    <t>B) They help the razeteur to judge their distance and position relative to the bull</t>
  </si>
  <si>
    <t>What is a "raset de face"?</t>
  </si>
  <si>
    <t>A) A foul, B) A raset performed from the side, C) A dangerous, head-on approach to the bull, D) The final raset of the match</t>
  </si>
  <si>
    <t>C) A dangerous, head-on approach to the bull</t>
  </si>
  <si>
    <t>This is a particularly brave but risky maneuver where the razeteur runs directly at the bull from the front.</t>
  </si>
  <si>
    <t>What is the main reason a razeteur must be extremely agile and athletic?</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</si>
</sst>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Nautical_Jousting-style">
      <tableStyleElement dxfId="1" type="headerRow"/>
      <tableStyleElement dxfId="2" type="firstRowStripe"/>
      <tableStyleElement dxfId="3" type="secondRowStripe"/>
      <tableStyleElement dxfId="4" size="0" type="wholeTable"/>
    </tableStyle>
    <tableStyle count="4" pivot="0" name="Nautical_Jousting-style 2">
      <tableStyleElement dxfId="1" type="headerRow"/>
      <tableStyleElement dxfId="2" type="firstRowStripe"/>
      <tableStyleElement dxfId="3" type="secondRowStripe"/>
      <tableStyleElement dxfId="4" size="0" type="wholeTable"/>
    </tableStyle>
    <tableStyle count="4" pivot="0" name="Tambourin-style">
      <tableStyleElement dxfId="1" type="headerRow"/>
      <tableStyleElement dxfId="2" type="firstRowStripe"/>
      <tableStyleElement dxfId="3" type="secondRowStripe"/>
      <tableStyleElement dxfId="4" size="0" type="wholeTable"/>
    </tableStyle>
    <tableStyle count="4" pivot="0" name="Tambourin-style 2">
      <tableStyleElement dxfId="1" type="headerRow"/>
      <tableStyleElement dxfId="2" type="firstRowStripe"/>
      <tableStyleElement dxfId="3" type="secondRowStripe"/>
      <tableStyleElement dxfId="4" size="0" type="wholeTable"/>
    </tableStyle>
    <tableStyle count="4" pivot="0" name="Pelota-style">
      <tableStyleElement dxfId="1" type="headerRow"/>
      <tableStyleElement dxfId="2" type="firstRowStripe"/>
      <tableStyleElement dxfId="3" type="secondRowStripe"/>
      <tableStyleElement dxfId="4" size="0" type="wholeTable"/>
    </tableStyle>
    <tableStyle count="4" pivot="0" name="Pelota-style 2">
      <tableStyleElement dxfId="1" type="headerRow"/>
      <tableStyleElement dxfId="2" type="firstRowStripe"/>
      <tableStyleElement dxfId="3" type="secondRowStripe"/>
      <tableStyleElement dxfId="4" size="0" type="wholeTable"/>
    </tableStyle>
    <tableStyle count="4" pivot="0" name="Gouren-style">
      <tableStyleElement dxfId="1" type="headerRow"/>
      <tableStyleElement dxfId="2" type="firstRowStripe"/>
      <tableStyleElement dxfId="3" type="secondRowStripe"/>
      <tableStyleElement dxfId="4" size="0" type="wholeTable"/>
    </tableStyle>
    <tableStyle count="4" pivot="0" name="Gouren-style 2">
      <tableStyleElement dxfId="1" type="headerRow"/>
      <tableStyleElement dxfId="2" type="firstRowStripe"/>
      <tableStyleElement dxfId="3" type="secondRowStripe"/>
      <tableStyleElement dxfId="4" size="0" type="wholeTable"/>
    </tableStyle>
    <tableStyle count="4" pivot="0" name="Camarague-style">
      <tableStyleElement dxfId="1" type="headerRow"/>
      <tableStyleElement dxfId="2" type="firstRowStripe"/>
      <tableStyleElement dxfId="3" type="secondRowStripe"/>
      <tableStyleElement dxfId="4" size="0" type="wholeTable"/>
    </tableStyle>
    <tableStyle count="4" pivot="0" name="Camarague-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1" displayName="Table1" name="Table1" id="1">
  <tableColumns count="5">
    <tableColumn name="Question No." id="1"/>
    <tableColumn name="Question" id="2"/>
    <tableColumn name="Options" id="3"/>
    <tableColumn name="Answer" id="4"/>
    <tableColumn name="Description" id="5"/>
  </tableColumns>
  <tableStyleInfo name="Nautical_Jousting-style" showColumnStripes="0" showFirstColumn="1" showLastColumn="1" showRowStripes="1"/>
</table>
</file>

<file path=xl/tables/table2.xml><?xml version="1.0" encoding="utf-8"?>
<table xmlns="http://schemas.openxmlformats.org/spreadsheetml/2006/main" ref="G1:K151" displayName="Table2" name="Table2" id="2">
  <tableColumns count="5">
    <tableColumn name="Question n°" id="1"/>
    <tableColumn name="Question2" id="2"/>
    <tableColumn name="Options2" id="3"/>
    <tableColumn name="Répondre" id="4"/>
    <tableColumn name="Description" id="5"/>
  </tableColumns>
  <tableStyleInfo name="Nautical_Jousting-style 2" showColumnStripes="0" showFirstColumn="1" showLastColumn="1" showRowStripes="1"/>
</table>
</file>

<file path=xl/tables/table3.xml><?xml version="1.0" encoding="utf-8"?>
<table xmlns="http://schemas.openxmlformats.org/spreadsheetml/2006/main" ref="A1:E151" displayName="Table3" name="Table3" id="3">
  <tableColumns count="5">
    <tableColumn name="Question No." id="1"/>
    <tableColumn name="Question" id="2"/>
    <tableColumn name="Options" id="3"/>
    <tableColumn name="Answer" id="4"/>
    <tableColumn name="Description" id="5"/>
  </tableColumns>
  <tableStyleInfo name="Tambourin-style" showColumnStripes="0" showFirstColumn="1" showLastColumn="1" showRowStripes="1"/>
</table>
</file>

<file path=xl/tables/table4.xml><?xml version="1.0" encoding="utf-8"?>
<table xmlns="http://schemas.openxmlformats.org/spreadsheetml/2006/main" ref="G1:K151" displayName="Table4" name="Table4" id="4">
  <tableColumns count="5">
    <tableColumn name="Question n°" id="1"/>
    <tableColumn name="Question2" id="2"/>
    <tableColumn name="Options2" id="3"/>
    <tableColumn name="Répondre" id="4"/>
    <tableColumn name="Description" id="5"/>
  </tableColumns>
  <tableStyleInfo name="Tambourin-style 2" showColumnStripes="0" showFirstColumn="1" showLastColumn="1" showRowStripes="1"/>
</table>
</file>

<file path=xl/tables/table5.xml><?xml version="1.0" encoding="utf-8"?>
<table xmlns="http://schemas.openxmlformats.org/spreadsheetml/2006/main" ref="A1:E151" displayName="Table5" name="Table5" id="5">
  <tableColumns count="5">
    <tableColumn name="Question No." id="1"/>
    <tableColumn name="Question" id="2"/>
    <tableColumn name="Options" id="3"/>
    <tableColumn name="Answer" id="4"/>
    <tableColumn name="Description" id="5"/>
  </tableColumns>
  <tableStyleInfo name="Pelota-style" showColumnStripes="0" showFirstColumn="1" showLastColumn="1" showRowStripes="1"/>
</table>
</file>

<file path=xl/tables/table6.xml><?xml version="1.0" encoding="utf-8"?>
<table xmlns="http://schemas.openxmlformats.org/spreadsheetml/2006/main" ref="G1:K151" displayName="Table6" name="Table6" id="6">
  <tableColumns count="5">
    <tableColumn name="Question n°" id="1"/>
    <tableColumn name="Question2" id="2"/>
    <tableColumn name="Options2" id="3"/>
    <tableColumn name="Répondre" id="4"/>
    <tableColumn name="Description" id="5"/>
  </tableColumns>
  <tableStyleInfo name="Pelota-style 2" showColumnStripes="0" showFirstColumn="1" showLastColumn="1" showRowStripes="1"/>
</table>
</file>

<file path=xl/tables/table7.xml><?xml version="1.0" encoding="utf-8"?>
<table xmlns="http://schemas.openxmlformats.org/spreadsheetml/2006/main" ref="A1:E151" displayName="Table7" name="Table7" id="7">
  <tableColumns count="5">
    <tableColumn name="Question No." id="1"/>
    <tableColumn name="Question" id="2"/>
    <tableColumn name="Options" id="3"/>
    <tableColumn name="Answer" id="4"/>
    <tableColumn name="Description" id="5"/>
  </tableColumns>
  <tableStyleInfo name="Gouren-style" showColumnStripes="0" showFirstColumn="1" showLastColumn="1" showRowStripes="1"/>
</table>
</file>

<file path=xl/tables/table8.xml><?xml version="1.0" encoding="utf-8"?>
<table xmlns="http://schemas.openxmlformats.org/spreadsheetml/2006/main" ref="G1:K151" displayName="Table8" name="Table8" id="8">
  <tableColumns count="5">
    <tableColumn name="Question n°" id="1"/>
    <tableColumn name="Question2" id="2"/>
    <tableColumn name="Options2" id="3"/>
    <tableColumn name="Répondre" id="4"/>
    <tableColumn name="Description" id="5"/>
  </tableColumns>
  <tableStyleInfo name="Gouren-style 2" showColumnStripes="0" showFirstColumn="1" showLastColumn="1" showRowStripes="1"/>
</table>
</file>

<file path=xl/tables/table9.xml><?xml version="1.0" encoding="utf-8"?>
<table xmlns="http://schemas.openxmlformats.org/spreadsheetml/2006/main" ref="A1:E151" displayName="Table9" name="Table9" id="9">
  <tableColumns count="5">
    <tableColumn name="Question No." id="1"/>
    <tableColumn name="Question" id="2"/>
    <tableColumn name="Options" id="3"/>
    <tableColumn name="Answer" id="4"/>
    <tableColumn name="Description" id="5"/>
  </tableColumns>
  <tableStyleInfo name="Camarague-style" showColumnStripes="0" showFirstColumn="1" showLastColumn="1" showRowStripes="1"/>
</table>
</file>

<file path=xl/tables/table10.xml><?xml version="1.0" encoding="utf-8"?>
<table xmlns="http://schemas.openxmlformats.org/spreadsheetml/2006/main" ref="G1:K151" displayName="Table10" name="Table10" id="10">
  <tableColumns count="5">
    <tableColumn name="Question n°" id="1"/>
    <tableColumn name="Question2" id="2"/>
    <tableColumn name="Options2" id="3"/>
    <tableColumn name="Répondre" id="4"/>
    <tableColumn name="Description" id="5"/>
  </tableColumns>
  <tableStyleInfo name="Camaragu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11" width="37.63"/>
  </cols>
  <sheetData>
    <row r="1" ht="22.5" customHeight="1">
      <c r="A1" s="1" t="s">
        <v>0</v>
      </c>
      <c r="B1" s="2" t="s">
        <v>1</v>
      </c>
      <c r="C1" s="2" t="s">
        <v>2</v>
      </c>
      <c r="D1" s="2" t="s">
        <v>3</v>
      </c>
      <c r="E1" s="2" t="s">
        <v>4</v>
      </c>
      <c r="G1" s="3" t="s">
        <v>5</v>
      </c>
      <c r="H1" s="3" t="s">
        <v>6</v>
      </c>
      <c r="I1" s="3" t="s">
        <v>7</v>
      </c>
      <c r="J1" s="3" t="s">
        <v>8</v>
      </c>
      <c r="K1" s="3" t="s">
        <v>4</v>
      </c>
    </row>
    <row r="2" ht="22.5" customHeight="1">
      <c r="A2" s="4">
        <v>1.0</v>
      </c>
      <c r="B2" s="5" t="s">
        <v>9</v>
      </c>
      <c r="C2" s="5" t="s">
        <v>10</v>
      </c>
      <c r="D2" s="5" t="s">
        <v>11</v>
      </c>
      <c r="E2" s="5" t="s">
        <v>12</v>
      </c>
      <c r="G2" s="6" t="str">
        <f>IFERROR(__xludf.DUMMYFUNCTION("GOOGLETRANSLATE(A2, ""en"", ""fr"")"),"1")</f>
        <v>1</v>
      </c>
      <c r="H2" s="6" t="str">
        <f>IFERROR(__xludf.DUMMYFUNCTION("GOOGLETRANSLATE(B2, ""en"", ""fr"")"),"Quel est l'objectif principal qu'un jouteur doit atteindre pour remporter un passage à la manière languedocienne ?")</f>
        <v>Quel est l'objectif principal qu'un jouteur doit atteindre pour remporter un passage à la manière languedocienne ?</v>
      </c>
      <c r="I2" s="6" t="str">
        <f>IFERROR(__xludf.DUMMYFUNCTION("GOOGLETRANSLATE(C2, ""en"", ""fr"")"),"A) Briser leur lance, B) Faire tomber l'adversaire à l'eau tout en restant sur la plateforme, C) Avoir le bateau le plus rapide, D) Marquer des points avec style")</f>
        <v>A) Briser leur lance, B) Faire tomber l'adversaire à l'eau tout en restant sur la plateforme, C) Avoir le bateau le plus rapide, D) Marquer des points avec style</v>
      </c>
      <c r="J2" s="6" t="str">
        <f>IFERROR(__xludf.DUMMYFUNCTION("GOOGLETRANSLATE(D2, ""en"", ""fr"")"),"B) Faire tomber l'adversaire à l'eau tout en restant sur la plateforme")</f>
        <v>B) Faire tomber l'adversaire à l'eau tout en restant sur la plateforme</v>
      </c>
      <c r="K2" s="6" t="str">
        <f>IFERROR(__xludf.DUMMYFUNCTION("GOOGLETRANSLATE(E2, ""en"", ""fr"")"),"Le but est d'utiliser la lance pour faire tomber l'adversaire de sa plateforme (tintaine) dans l'eau. Une chute réussie permet de remporter le passage.")</f>
        <v>Le but est d'utiliser la lance pour faire tomber l'adversaire de sa plateforme (tintaine) dans l'eau. Une chute réussie permet de remporter le passage.</v>
      </c>
    </row>
    <row r="3" ht="22.5" customHeight="1">
      <c r="A3" s="4">
        <v>2.0</v>
      </c>
      <c r="B3" s="5" t="s">
        <v>13</v>
      </c>
      <c r="C3" s="5" t="s">
        <v>14</v>
      </c>
      <c r="D3" s="5" t="s">
        <v>15</v>
      </c>
      <c r="E3" s="5" t="s">
        <v>16</v>
      </c>
      <c r="G3" s="6" t="str">
        <f>IFERROR(__xludf.DUMMYFUNCTION("GOOGLETRANSLATE(A3, ""en"", ""fr"")"),"2")</f>
        <v>2</v>
      </c>
      <c r="H3" s="6" t="str">
        <f>IFERROR(__xludf.DUMMYFUNCTION("GOOGLETRANSLATE(B3, ""en"", ""fr"")"),"Quels sont les deux équipements essentiels utilisés par un jouteur lors d'un match ?")</f>
        <v>Quels sont les deux équipements essentiels utilisés par un jouteur lors d'un match ?</v>
      </c>
      <c r="I3" s="6" t="str">
        <f>IFERROR(__xludf.DUMMYFUNCTION("GOOGLETRANSLATE(C3, ""en"", ""fr"")"),"A) Une épée et un casque, B) Une lance et un pavois, C) Un filet et un trident, D) Une rame et une corde")</f>
        <v>A) Une épée et un casque, B) Une lance et un pavois, C) Un filet et un trident, D) Une rame et une corde</v>
      </c>
      <c r="J3" s="6" t="str">
        <f>IFERROR(__xludf.DUMMYFUNCTION("GOOGLETRANSLATE(D3, ""en"", ""fr"")"),"B) Une lance et un bouclier (pavois)")</f>
        <v>B) Une lance et un bouclier (pavois)</v>
      </c>
      <c r="K3" s="6" t="str">
        <f>IFERROR(__xludf.DUMMYFUNCTION("GOOGLETRANSLATE(E3, ""en"", ""fr"")"),"L'équipement du jouteur se compose d'une longue lance en bois pour attaquer et d'un bouclier en bois pour protéger son torse et servir de cible.")</f>
        <v>L'équipement du jouteur se compose d'une longue lance en bois pour attaquer et d'un bouclier en bois pour protéger son torse et servir de cible.</v>
      </c>
    </row>
    <row r="4" ht="22.5" customHeight="1">
      <c r="A4" s="4">
        <v>3.0</v>
      </c>
      <c r="B4" s="5" t="s">
        <v>17</v>
      </c>
      <c r="C4" s="5" t="s">
        <v>18</v>
      </c>
      <c r="D4" s="5" t="s">
        <v>19</v>
      </c>
      <c r="E4" s="5" t="s">
        <v>20</v>
      </c>
      <c r="G4" s="6" t="str">
        <f>IFERROR(__xludf.DUMMYFUNCTION("GOOGLETRANSLATE(A4, ""en"", ""fr"")"),"3")</f>
        <v>3</v>
      </c>
      <c r="H4" s="6" t="str">
        <f>IFERROR(__xludf.DUMMYFUNCTION("GOOGLETRANSLATE(B4, ""en"", ""fr"")"),"Quel est le rôle des dix rameurs dans un bateau de joute lourd ?")</f>
        <v>Quel est le rôle des dix rameurs dans un bateau de joute lourd ?</v>
      </c>
      <c r="I4" s="6" t="str">
        <f>IFERROR(__xludf.DUMMYFUNCTION("GOOGLETRANSLATE(C4, ""en"", ""fr"")"),"A) Faire office de juges, B) Propulser le bateau à une allure constante et puissante, C) Secourir un jouteur tombé, D) Jouer d'instruments de musique")</f>
        <v>A) Faire office de juges, B) Propulser le bateau à une allure constante et puissante, C) Secourir un jouteur tombé, D) Jouer d'instruments de musique</v>
      </c>
      <c r="J4" s="6" t="str">
        <f>IFERROR(__xludf.DUMMYFUNCTION("GOOGLETRANSLATE(D4, ""en"", ""fr"")"),"B) Propulser le bateau vers l'avant à une vitesse constante et puissante")</f>
        <v>B) Propulser le bateau vers l'avant à une vitesse constante et puissante</v>
      </c>
      <c r="K4" s="6" t="str">
        <f>IFERROR(__xludf.DUMMYFUNCTION("GOOGLETRANSLATE(E4, ""en"", ""fr"")"),"Les rameurs sont le « moteur » de ce sport, fournissant l'élan nécessaire au spectaculaire affrontement des jouteurs.")</f>
        <v>Les rameurs sont le « moteur » de ce sport, fournissant l'élan nécessaire au spectaculaire affrontement des jouteurs.</v>
      </c>
    </row>
    <row r="5" ht="22.5" customHeight="1">
      <c r="A5" s="4">
        <v>4.0</v>
      </c>
      <c r="B5" s="5" t="s">
        <v>21</v>
      </c>
      <c r="C5" s="5" t="s">
        <v>22</v>
      </c>
      <c r="D5" s="5" t="s">
        <v>23</v>
      </c>
      <c r="E5" s="5" t="s">
        <v>24</v>
      </c>
      <c r="G5" s="6" t="str">
        <f>IFERROR(__xludf.DUMMYFUNCTION("GOOGLETRANSLATE(A5, ""en"", ""fr"")"),"4")</f>
        <v>4</v>
      </c>
      <c r="H5" s="6" t="str">
        <f>IFERROR(__xludf.DUMMYFUNCTION("GOOGLETRANSLATE(B5, ""en"", ""fr"")"),"Quel est le nom de la plateforme surélevée à l'arrière du bateau sur laquelle se tient le jouteur ?")</f>
        <v>Quel est le nom de la plateforme surélevée à l'arrière du bateau sur laquelle se tient le jouteur ?</v>
      </c>
      <c r="I5" s="6" t="str">
        <f>IFERROR(__xludf.DUMMYFUNCTION("GOOGLETRANSLATE(C5, ""en"", ""fr"")"),"A) Le pont, B) Le gaillard d'avant, C) La tonneau, D) La tribune")</f>
        <v>A) Le pont, B) Le gaillard d'avant, C) La tonneau, D) La tribune</v>
      </c>
      <c r="J5" s="6" t="str">
        <f>IFERROR(__xludf.DUMMYFUNCTION("GOOGLETRANSLATE(D5, ""en"", ""fr"")"),"C) La tintaine")</f>
        <v>C) La tintaine</v>
      </c>
      <c r="K5" s="6" t="str">
        <f>IFERROR(__xludf.DUMMYFUNCTION("GOOGLETRANSLATE(E5, ""en"", ""fr"")"),"La tintaine est la petite estrade surélevée où le jouteur doit garder l'équilibre, un élément clé de la méthode languedocienne.")</f>
        <v>La tintaine est la petite estrade surélevée où le jouteur doit garder l'équilibre, un élément clé de la méthode languedocienne.</v>
      </c>
    </row>
    <row r="6" ht="22.5" customHeight="1">
      <c r="A6" s="4">
        <v>5.0</v>
      </c>
      <c r="B6" s="5" t="s">
        <v>25</v>
      </c>
      <c r="C6" s="5" t="s">
        <v>26</v>
      </c>
      <c r="D6" s="5" t="s">
        <v>27</v>
      </c>
      <c r="E6" s="5" t="s">
        <v>28</v>
      </c>
      <c r="G6" s="6" t="str">
        <f>IFERROR(__xludf.DUMMYFUNCTION("GOOGLETRANSLATE(A6, ""en"", ""fr"")"),"5")</f>
        <v>5</v>
      </c>
      <c r="H6" s="6" t="str">
        <f>IFERROR(__xludf.DUMMYFUNCTION("GOOGLETRANSLATE(B6, ""en"", ""fr"")"),"Un jouteur tombe à l'eau. Quelle est la conséquence immédiate pour lui dans cette situation ?")</f>
        <v>Un jouteur tombe à l'eau. Quelle est la conséquence immédiate pour lui dans cette situation ?</v>
      </c>
      <c r="I6" s="6" t="str">
        <f>IFERROR(__xludf.DUMMYFUNCTION("GOOGLETRANSLATE(C6, ""en"", ""fr"")"),"A) Ils reçoivent une pénalité, B) Ils ont perdu la passe, C) Ils peuvent remonter en selle et continuer, D) La passe est rejouée")</f>
        <v>A) Ils reçoivent une pénalité, B) Ils ont perdu la passe, C) Ils peuvent remonter en selle et continuer, D) La passe est rejouée</v>
      </c>
      <c r="J6" s="6" t="str">
        <f>IFERROR(__xludf.DUMMYFUNCTION("GOOGLETRANSLATE(D6, ""en"", ""fr"")"),"B) Ils ont perdu le laissez-passer")</f>
        <v>B) Ils ont perdu le laissez-passer</v>
      </c>
      <c r="K6" s="6" t="str">
        <f>IFERROR(__xludf.DUMMYFUNCTION("GOOGLETRANSLATE(E6, ""en"", ""fr"")"),"Tomber à l'eau entraîne la perte immédiate de cette joute ou de cette « passe ».")</f>
        <v>Tomber à l'eau entraîne la perte immédiate de cette joute ou de cette « passe ».</v>
      </c>
    </row>
    <row r="7" ht="22.5" customHeight="1">
      <c r="A7" s="4">
        <v>6.0</v>
      </c>
      <c r="B7" s="5" t="s">
        <v>29</v>
      </c>
      <c r="C7" s="5" t="s">
        <v>30</v>
      </c>
      <c r="D7" s="5" t="s">
        <v>31</v>
      </c>
      <c r="E7" s="5" t="s">
        <v>32</v>
      </c>
      <c r="G7" s="6" t="str">
        <f>IFERROR(__xludf.DUMMYFUNCTION("GOOGLETRANSLATE(A7, ""en"", ""fr"")"),"6")</f>
        <v>6</v>
      </c>
      <c r="H7" s="6" t="str">
        <f>IFERROR(__xludf.DUMMYFUNCTION("GOOGLETRANSLATE(B7, ""en"", ""fr"")"),"Quelle est la fonction principale du bouclier en bois ou pavois ?")</f>
        <v>Quelle est la fonction principale du bouclier en bois ou pavois ?</v>
      </c>
      <c r="I7" s="6" t="str">
        <f>IFERROR(__xludf.DUMMYFUNCTION("GOOGLETRANSLATE(C7, ""en"", ""fr"")"),"A) Pour augmenter la vitesse du bateau, B) Pour servir de cible à la lance de l'adversaire et protéger le jouteur, C) Pour faciliter la récupération des jouteurs tombés au combat, D) C'est purement décoratif")</f>
        <v>A) Pour augmenter la vitesse du bateau, B) Pour servir de cible à la lance de l'adversaire et protéger le jouteur, C) Pour faciliter la récupération des jouteurs tombés au combat, D) C'est purement décoratif</v>
      </c>
      <c r="J7" s="6" t="str">
        <f>IFERROR(__xludf.DUMMYFUNCTION("GOOGLETRANSLATE(D7, ""en"", ""fr"")"),"B) Servir de cible à la lance de l'adversaire et protéger le jouteur")</f>
        <v>B) Servir de cible à la lance de l'adversaire et protéger le jouteur</v>
      </c>
      <c r="K7" s="6" t="str">
        <f>IFERROR(__xludf.DUMMYFUNCTION("GOOGLETRANSLATE(E7, ""en"", ""fr"")"),"Le pavois a une double fonction : il constitue la cible légale et protège le corps du jouteur de l'impact.")</f>
        <v>Le pavois a une double fonction : il constitue la cible légale et protège le corps du jouteur de l'impact.</v>
      </c>
    </row>
    <row r="8" ht="22.5" customHeight="1">
      <c r="A8" s="4">
        <v>7.0</v>
      </c>
      <c r="B8" s="5" t="s">
        <v>33</v>
      </c>
      <c r="C8" s="5" t="s">
        <v>34</v>
      </c>
      <c r="D8" s="5" t="s">
        <v>35</v>
      </c>
      <c r="E8" s="5" t="s">
        <v>36</v>
      </c>
      <c r="G8" s="6" t="str">
        <f>IFERROR(__xludf.DUMMYFUNCTION("GOOGLETRANSLATE(A8, ""en"", ""fr"")"),"7")</f>
        <v>7</v>
      </c>
      <c r="H8" s="6" t="str">
        <f>IFERROR(__xludf.DUMMYFUNCTION("GOOGLETRANSLATE(B8, ""en"", ""fr"")"),"Quel est le nombre standard de membres d'équipage sur un bateau de joute de méthode languedocienne ?")</f>
        <v>Quel est le nombre standard de membres d'équipage sur un bateau de joute de méthode languedocienne ?</v>
      </c>
      <c r="I8" s="6" t="str">
        <f>IFERROR(__xludf.DUMMYFUNCTION("GOOGLETRANSLATE(C8, ""en"", ""fr"")"),"A) 8, B) 10, C) 12, D) 14")</f>
        <v>A) 8, B) 10, C) 12, D) 14</v>
      </c>
      <c r="J8" s="6" t="str">
        <f>IFERROR(__xludf.DUMMYFUNCTION("GOOGLETRANSLATE(D8, ""en"", ""fr"")"),"C) 12")</f>
        <v>C) 12</v>
      </c>
      <c r="K8" s="6" t="str">
        <f>IFERROR(__xludf.DUMMYFUNCTION("GOOGLETRANSLATE(E8, ""en"", ""fr"")"),"Un équipage complet se compose de 10 rameurs, d'un barreur (patron) et d'un musicien (joueur de hautbois), soit un total de 12 personnes.")</f>
        <v>Un équipage complet se compose de 10 rameurs, d'un barreur (patron) et d'un musicien (joueur de hautbois), soit un total de 12 personnes.</v>
      </c>
    </row>
    <row r="9" ht="22.5" customHeight="1">
      <c r="A9" s="4">
        <v>8.0</v>
      </c>
      <c r="B9" s="5" t="s">
        <v>37</v>
      </c>
      <c r="C9" s="5" t="s">
        <v>38</v>
      </c>
      <c r="D9" s="5" t="s">
        <v>39</v>
      </c>
      <c r="E9" s="5" t="s">
        <v>40</v>
      </c>
      <c r="G9" s="6" t="str">
        <f>IFERROR(__xludf.DUMMYFUNCTION("GOOGLETRANSLATE(A9, ""en"", ""fr"")"),"8")</f>
        <v>8</v>
      </c>
      <c r="H9" s="6" t="str">
        <f>IFERROR(__xludf.DUMMYFUNCTION("GOOGLETRANSLATE(B9, ""en"", ""fr"")"),"Quel est le rôle du tambour et du hautbois lors de l'approche des bateaux ?")</f>
        <v>Quel est le rôle du tambour et du hautbois lors de l'approche des bateaux ?</v>
      </c>
      <c r="I9" s="6" t="str">
        <f>IFERROR(__xludf.DUMMYFUNCTION("GOOGLETRANSLATE(C9, ""en"", ""fr"")"),"A) Pour signaler le début de la compétition, B) Pour donner le rythme aux rameurs, C) Pour encourager les spectateurs, D) Pour déconcentrer l'équipe adverse")</f>
        <v>A) Pour signaler le début de la compétition, B) Pour donner le rythme aux rameurs, C) Pour encourager les spectateurs, D) Pour déconcentrer l'équipe adverse</v>
      </c>
      <c r="J9" s="6" t="str">
        <f>IFERROR(__xludf.DUMMYFUNCTION("GOOGLETRANSLATE(D9, ""en"", ""fr"")"),"B) Donner le rythme et la cadence aux rameurs")</f>
        <v>B) Donner le rythme et la cadence aux rameurs</v>
      </c>
      <c r="K9" s="6" t="str">
        <f>IFERROR(__xludf.DUMMYFUNCTION("GOOGLETRANSLATE(E9, ""en"", ""fr"")"),"Les musiciens jouent un air traditionnel qui dicte la cadence de rame, garantissant ainsi que les deux bateaux s'approchent l'un de l'autre à la vitesse correcte et synchronisée.")</f>
        <v>Les musiciens jouent un air traditionnel qui dicte la cadence de rame, garantissant ainsi que les deux bateaux s'approchent l'un de l'autre à la vitesse correcte et synchronisée.</v>
      </c>
    </row>
    <row r="10" ht="22.5" customHeight="1">
      <c r="A10" s="4">
        <v>9.0</v>
      </c>
      <c r="B10" s="5" t="s">
        <v>41</v>
      </c>
      <c r="C10" s="5" t="s">
        <v>42</v>
      </c>
      <c r="D10" s="5" t="s">
        <v>43</v>
      </c>
      <c r="E10" s="5" t="s">
        <v>44</v>
      </c>
      <c r="G10" s="6" t="str">
        <f>IFERROR(__xludf.DUMMYFUNCTION("GOOGLETRANSLATE(A10, ""en"", ""fr"")"),"9")</f>
        <v>9</v>
      </c>
      <c r="H10" s="6" t="str">
        <f>IFERROR(__xludf.DUMMYFUNCTION("GOOGLETRANSLATE(B10, ""en"", ""fr"")"),"Quels types de bateaux sont traditionnellement et officiellement utilisés lors des tournois de joutes à Sète et à Lyon ?")</f>
        <v>Quels types de bateaux sont traditionnellement et officiellement utilisés lors des tournois de joutes à Sète et à Lyon ?</v>
      </c>
      <c r="I10" s="6" t="str">
        <f>IFERROR(__xludf.DUMMYFUNCTION("GOOGLETRANSLATE(C10, ""en"", ""fr"")"),"A) Bateaux en métal, B) Bateaux en plastique, C) Bateaux en bois, D) Bateaux en fibre de verre")</f>
        <v>A) Bateaux en métal, B) Bateaux en plastique, C) Bateaux en bois, D) Bateaux en fibre de verre</v>
      </c>
      <c r="J10" s="6" t="str">
        <f>IFERROR(__xludf.DUMMYFUNCTION("GOOGLETRANSLATE(D10, ""en"", ""fr"")"),"C) Bateaux en bois")</f>
        <v>C) Bateaux en bois</v>
      </c>
      <c r="K10" s="6" t="str">
        <f>IFERROR(__xludf.DUMMYFUNCTION("GOOGLETRANSLATE(E10, ""en"", ""fr"")"),"Ces bateaux lourds, construits spécifiquement à cet effet, constituent un élément clé de la tradition et sont toujours fabriqués en bois par des charpentiers de marine qualifiés.")</f>
        <v>Ces bateaux lourds, construits spécifiquement à cet effet, constituent un élément clé de la tradition et sont toujours fabriqués en bois par des charpentiers de marine qualifiés.</v>
      </c>
    </row>
    <row r="11" ht="22.5" customHeight="1">
      <c r="A11" s="4">
        <v>10.0</v>
      </c>
      <c r="B11" s="5" t="s">
        <v>45</v>
      </c>
      <c r="C11" s="5" t="s">
        <v>46</v>
      </c>
      <c r="D11" s="5" t="s">
        <v>47</v>
      </c>
      <c r="E11" s="5" t="s">
        <v>48</v>
      </c>
      <c r="G11" s="6" t="str">
        <f>IFERROR(__xludf.DUMMYFUNCTION("GOOGLETRANSLATE(A11, ""en"", ""fr"")"),"10")</f>
        <v>10</v>
      </c>
      <c r="H11" s="6" t="str">
        <f>IFERROR(__xludf.DUMMYFUNCTION("GOOGLETRANSLATE(B11, ""en"", ""fr"")"),"Un jouteur porte un uniforme blanc. Quelle est la signification de cette tenue ?")</f>
        <v>Un jouteur porte un uniforme blanc. Quelle est la signification de cette tenue ?</v>
      </c>
      <c r="I11" s="6" t="str">
        <f>IFERROR(__xludf.DUMMYFUNCTION("GOOGLETRANSLATE(C11, ""en"", ""fr"")"),"A) C'est la couleur du drapeau français, B) C'est la tenue traditionnelle et obligatoire pour tous les jouteurs, symbolisant l'équité, C) C'est la couleur de l'équipe locale, D) Cela permet au jouteur de rester au frais")</f>
        <v>A) C'est la couleur du drapeau français, B) C'est la tenue traditionnelle et obligatoire pour tous les jouteurs, symbolisant l'équité, C) C'est la couleur de l'équipe locale, D) Cela permet au jouteur de rester au frais</v>
      </c>
      <c r="J11" s="6" t="str">
        <f>IFERROR(__xludf.DUMMYFUNCTION("GOOGLETRANSLATE(D11, ""en"", ""fr"")"),"B) C'est la tenue traditionnelle et obligatoire pour tous les jouteurs, symbolisant l'équité.")</f>
        <v>B) C'est la tenue traditionnelle et obligatoire pour tous les jouteurs, symbolisant l'équité.</v>
      </c>
      <c r="K11" s="6" t="str">
        <f>IFERROR(__xludf.DUMMYFUNCTION("GOOGLETRANSLATE(E11, ""en"", ""fr"")"),"L'uniforme entièrement blanc est une composante obligatoire du règlement et de la tradition, représentant la pureté et l'honneur de ce sport.")</f>
        <v>L'uniforme entièrement blanc est une composante obligatoire du règlement et de la tradition, représentant la pureté et l'honneur de ce sport.</v>
      </c>
    </row>
    <row r="12" ht="22.5" customHeight="1">
      <c r="A12" s="4">
        <v>11.0</v>
      </c>
      <c r="B12" s="5" t="s">
        <v>49</v>
      </c>
      <c r="C12" s="5" t="s">
        <v>50</v>
      </c>
      <c r="D12" s="5" t="s">
        <v>51</v>
      </c>
      <c r="E12" s="5" t="s">
        <v>52</v>
      </c>
      <c r="G12" s="6" t="str">
        <f>IFERROR(__xludf.DUMMYFUNCTION("GOOGLETRANSLATE(A12, ""en"", ""fr"")"),"11")</f>
        <v>11</v>
      </c>
      <c r="H12" s="6" t="str">
        <f>IFERROR(__xludf.DUMMYFUNCTION("GOOGLETRANSLATE(B12, ""en"", ""fr"")"),"Quelle est la décision à prendre si les deux jouteurs tombent à l'eau lors de la même passe ?")</f>
        <v>Quelle est la décision à prendre si les deux jouteurs tombent à l'eau lors de la même passe ?</v>
      </c>
      <c r="I12" s="6" t="str">
        <f>IFERROR(__xludf.DUMMYFUNCTION("GOOGLETRANSLATE(C12, ""en"", ""fr"")"),"A) Le tour est rejoué. B) Le jouteur tombé en premier perd. C) Le jouteur tombé en dernier perd. D) Les deux jouteurs sont éliminés.")</f>
        <v>A) Le tour est rejoué. B) Le jouteur tombé en premier perd. C) Le jouteur tombé en dernier perd. D) Les deux jouteurs sont éliminés.</v>
      </c>
      <c r="J12" s="6" t="str">
        <f>IFERROR(__xludf.DUMMYFUNCTION("GOOGLETRANSLATE(D12, ""en"", ""fr"")"),"A) La passe est rejouée")</f>
        <v>A) La passe est rejouée</v>
      </c>
      <c r="K12" s="6" t="str">
        <f>IFERROR(__xludf.DUMMYFUNCTION("GOOGLETRANSLATE(E12, ""en"", ""fr"")"),"Si aucun des deux jouteurs ne peut rester sur sa tintaine, la passe est considérée comme nulle et doit être rejouée.")</f>
        <v>Si aucun des deux jouteurs ne peut rester sur sa tintaine, la passe est considérée comme nulle et doit être rejouée.</v>
      </c>
    </row>
    <row r="13" ht="22.5" customHeight="1">
      <c r="A13" s="4">
        <v>12.0</v>
      </c>
      <c r="B13" s="5" t="s">
        <v>53</v>
      </c>
      <c r="C13" s="5" t="s">
        <v>54</v>
      </c>
      <c r="D13" s="5" t="s">
        <v>55</v>
      </c>
      <c r="E13" s="5" t="s">
        <v>56</v>
      </c>
      <c r="G13" s="6" t="str">
        <f>IFERROR(__xludf.DUMMYFUNCTION("GOOGLETRANSLATE(A13, ""en"", ""fr"")"),"12")</f>
        <v>12</v>
      </c>
      <c r="H13" s="6" t="str">
        <f>IFERROR(__xludf.DUMMYFUNCTION("GOOGLETRANSLATE(B13, ""en"", ""fr"")"),"Comment détermine-t-on le vainqueur final d'un tournoi ?")</f>
        <v>Comment détermine-t-on le vainqueur final d'un tournoi ?</v>
      </c>
      <c r="I13" s="6" t="str">
        <f>IFERROR(__xludf.DUMMYFUNCTION("GOOGLETRANSLATE(C13, ""en"", ""fr"")"),"A) Par élimination directe, B) Le jouteur qui remporte le plus de passes individuelles se qualifie pour le tour suivant, C) Par vote du public, D) Le jouteur aux chutes les plus élégantes remporte le tournoi")</f>
        <v>A) Par élimination directe, B) Le jouteur qui remporte le plus de passes individuelles se qualifie pour le tour suivant, C) Par vote du public, D) Le jouteur aux chutes les plus élégantes remporte le tournoi</v>
      </c>
      <c r="J13" s="6" t="str">
        <f>IFERROR(__xludf.DUMMYFUNCTION("GOOGLETRANSLATE(D13, ""en"", ""fr"")"),"B) Le jouteur qui remporte le plus de passes individuelles progresse dans le tableau du tournoi.")</f>
        <v>B) Le jouteur qui remporte le plus de passes individuelles progresse dans le tableau du tournoi.</v>
      </c>
      <c r="K13" s="6" t="str">
        <f>IFERROR(__xludf.DUMMYFUNCTION("GOOGLETRANSLATE(E13, ""en"", ""fr"")"),"Un tournoi est une compétition à élimination directe où les jouteurs doivent remporter une série de duels pour accéder à la finale.")</f>
        <v>Un tournoi est une compétition à élimination directe où les jouteurs doivent remporter une série de duels pour accéder à la finale.</v>
      </c>
    </row>
    <row r="14" ht="22.5" customHeight="1">
      <c r="A14" s="4">
        <v>13.0</v>
      </c>
      <c r="B14" s="5" t="s">
        <v>57</v>
      </c>
      <c r="C14" s="5" t="s">
        <v>58</v>
      </c>
      <c r="D14" s="5" t="s">
        <v>59</v>
      </c>
      <c r="E14" s="5" t="s">
        <v>60</v>
      </c>
      <c r="G14" s="6" t="str">
        <f>IFERROR(__xludf.DUMMYFUNCTION("GOOGLETRANSLATE(A14, ""en"", ""fr"")"),"13")</f>
        <v>13</v>
      </c>
      <c r="H14" s="6" t="str">
        <f>IFERROR(__xludf.DUMMYFUNCTION("GOOGLETRANSLATE(B14, ""en"", ""fr"")"),"Quel est le matériau principal utilisé pour la fabrication des lances ?")</f>
        <v>Quel est le matériau principal utilisé pour la fabrication des lances ?</v>
      </c>
      <c r="I14" s="6" t="str">
        <f>IFERROR(__xludf.DUMMYFUNCTION("GOOGLETRANSLATE(C14, ""en"", ""fr"")"),"A) Métal, B) Plastique, C) Bois, D) Fibre de carbone")</f>
        <v>A) Métal, B) Plastique, C) Bois, D) Fibre de carbone</v>
      </c>
      <c r="J14" s="6" t="str">
        <f>IFERROR(__xludf.DUMMYFUNCTION("GOOGLETRANSLATE(D14, ""en"", ""fr"")"),"C) Bois")</f>
        <v>C) Bois</v>
      </c>
      <c r="K14" s="6" t="str">
        <f>IFERROR(__xludf.DUMMYFUNCTION("GOOGLETRANSLATE(E14, ""en"", ""fr"")"),"Les lances sont en bois, conçues pour être suffisamment solides pour résister à l'impact, mais aussi pour se briser en cas de sécurité.")</f>
        <v>Les lances sont en bois, conçues pour être suffisamment solides pour résister à l'impact, mais aussi pour se briser en cas de sécurité.</v>
      </c>
    </row>
    <row r="15" ht="22.5" customHeight="1">
      <c r="A15" s="4">
        <v>14.0</v>
      </c>
      <c r="B15" s="5" t="s">
        <v>61</v>
      </c>
      <c r="C15" s="5" t="s">
        <v>62</v>
      </c>
      <c r="D15" s="5" t="s">
        <v>63</v>
      </c>
      <c r="E15" s="5" t="s">
        <v>64</v>
      </c>
      <c r="G15" s="6" t="str">
        <f>IFERROR(__xludf.DUMMYFUNCTION("GOOGLETRANSLATE(A15, ""en"", ""fr"")"),"14")</f>
        <v>14</v>
      </c>
      <c r="H15" s="6" t="str">
        <f>IFERROR(__xludf.DUMMYFUNCTION("GOOGLETRANSLATE(B15, ""en"", ""fr"")"),"Quel est l'objectif principal des joutes nautiques modernes, selon la réglementation officielle ?")</f>
        <v>Quel est l'objectif principal des joutes nautiques modernes, selon la réglementation officielle ?</v>
      </c>
      <c r="I15" s="6" t="str">
        <f>IFERROR(__xludf.DUMMYFUNCTION("GOOGLETRANSLATE(C15, ""en"", ""fr"")"),"A) Divertir les spectateurs, B) Défendre l'honneur d'une ville, C) Remporter la compétition en faisant tomber l'adversaire, D) Faire preuve de bravoure")</f>
        <v>A) Divertir les spectateurs, B) Défendre l'honneur d'une ville, C) Remporter la compétition en faisant tomber l'adversaire, D) Faire preuve de bravoure</v>
      </c>
      <c r="J15" s="6" t="str">
        <f>IFERROR(__xludf.DUMMYFUNCTION("GOOGLETRANSLATE(D15, ""en"", ""fr"")"),"C) Remporter la compétition en faisant tomber l'adversaire")</f>
        <v>C) Remporter la compétition en faisant tomber l'adversaire</v>
      </c>
      <c r="K15" s="6" t="str">
        <f>IFERROR(__xludf.DUMMYFUNCTION("GOOGLETRANSLATE(E15, ""en"", ""fr"")"),"Bien que ce sport comporte une dimension de tradition et de divertissement, son objectif officiel est de remporter une compétition formelle selon ses règles.")</f>
        <v>Bien que ce sport comporte une dimension de tradition et de divertissement, son objectif officiel est de remporter une compétition formelle selon ses règles.</v>
      </c>
    </row>
    <row r="16" ht="22.5" customHeight="1">
      <c r="A16" s="4">
        <v>15.0</v>
      </c>
      <c r="B16" s="5" t="s">
        <v>65</v>
      </c>
      <c r="C16" s="5" t="s">
        <v>66</v>
      </c>
      <c r="D16" s="5" t="s">
        <v>67</v>
      </c>
      <c r="E16" s="5" t="s">
        <v>68</v>
      </c>
      <c r="G16" s="6" t="str">
        <f>IFERROR(__xludf.DUMMYFUNCTION("GOOGLETRANSLATE(A16, ""en"", ""fr"")"),"15")</f>
        <v>15</v>
      </c>
      <c r="H16" s="6" t="str">
        <f>IFERROR(__xludf.DUMMYFUNCTION("GOOGLETRANSLATE(B16, ""en"", ""fr"")"),"Quel est l’objectif principal des règles établies par la Fédération Française de Joutes Nautiques (FFJSN) ?")</f>
        <v>Quel est l’objectif principal des règles établies par la Fédération Française de Joutes Nautiques (FFJSN) ?</v>
      </c>
      <c r="I16" s="6" t="str">
        <f>IFERROR(__xludf.DUMMYFUNCTION("GOOGLETRANSLATE(C16, ""en"", ""fr"")"),"A) Pour assurer la sécurité des jouteurs, B) Pour garantir une compétition équitable pour tous les participants, C) Pour protéger les spectateurs, D) A et B")</f>
        <v>A) Pour assurer la sécurité des jouteurs, B) Pour garantir une compétition équitable pour tous les participants, C) Pour protéger les spectateurs, D) A et B</v>
      </c>
      <c r="J16" s="6" t="str">
        <f>IFERROR(__xludf.DUMMYFUNCTION("GOOGLETRANSLATE(D16, ""en"", ""fr"")"),"D) A et B")</f>
        <v>D) A et B</v>
      </c>
      <c r="K16" s="6" t="str">
        <f>IFERROR(__xludf.DUMMYFUNCTION("GOOGLETRANSLATE(E16, ""en"", ""fr"")"),"Les règles de la fédération visent à créer un cadre garantissant la sécurité des athlètes et l'équité des compétitions sportives.")</f>
        <v>Les règles de la fédération visent à créer un cadre garantissant la sécurité des athlètes et l'équité des compétitions sportives.</v>
      </c>
    </row>
    <row r="17" ht="22.5" customHeight="1">
      <c r="A17" s="4">
        <v>16.0</v>
      </c>
      <c r="B17" s="5" t="s">
        <v>69</v>
      </c>
      <c r="C17" s="5" t="s">
        <v>70</v>
      </c>
      <c r="D17" s="5" t="s">
        <v>71</v>
      </c>
      <c r="E17" s="5" t="s">
        <v>72</v>
      </c>
      <c r="G17" s="6" t="str">
        <f>IFERROR(__xludf.DUMMYFUNCTION("GOOGLETRANSLATE(A17, ""en"", ""fr"")"),"16")</f>
        <v>16</v>
      </c>
      <c r="H17" s="6" t="str">
        <f>IFERROR(__xludf.DUMMYFUNCTION("GOOGLETRANSLATE(B17, ""en"", ""fr"")"),"Selon quels critères les règles répartissent-elles les jouteurs en catégories ?")</f>
        <v>Selon quels critères les règles répartissent-elles les jouteurs en catégories ?</v>
      </c>
      <c r="I17" s="6" t="str">
        <f>IFERROR(__xludf.DUMMYFUNCTION("GOOGLETRANSLATE(C17, ""en"", ""fr"")"),"A) Leur niveau de compétence, B) La ville qu'ils représentent, C) Leur âge et leur poids, D) Leurs victoires passées")</f>
        <v>A) Leur niveau de compétence, B) La ville qu'ils représentent, C) Leur âge et leur poids, D) Leurs victoires passées</v>
      </c>
      <c r="J17" s="6" t="str">
        <f>IFERROR(__xludf.DUMMYFUNCTION("GOOGLETRANSLATE(D17, ""en"", ""fr"")"),"C) Leur âge et leur poids")</f>
        <v>C) Leur âge et leur poids</v>
      </c>
      <c r="K17" s="6" t="str">
        <f>IFERROR(__xludf.DUMMYFUNCTION("GOOGLETRANSLATE(E17, ""en"", ""fr"")"),"Pour garantir des confrontations équitables, les compétitions sont structurées avec différentes catégories pour les juniors, les seniors et les différentes catégories de poids.")</f>
        <v>Pour garantir des confrontations équitables, les compétitions sont structurées avec différentes catégories pour les juniors, les seniors et les différentes catégories de poids.</v>
      </c>
    </row>
    <row r="18" ht="22.5" customHeight="1">
      <c r="A18" s="4">
        <v>17.0</v>
      </c>
      <c r="B18" s="5" t="s">
        <v>73</v>
      </c>
      <c r="C18" s="5" t="s">
        <v>74</v>
      </c>
      <c r="D18" s="5" t="s">
        <v>75</v>
      </c>
      <c r="E18" s="5" t="s">
        <v>76</v>
      </c>
      <c r="G18" s="6" t="str">
        <f>IFERROR(__xludf.DUMMYFUNCTION("GOOGLETRANSLATE(A18, ""en"", ""fr"")"),"17")</f>
        <v>17</v>
      </c>
      <c r="H18" s="6" t="str">
        <f>IFERROR(__xludf.DUMMYFUNCTION("GOOGLETRANSLATE(B18, ""en"", ""fr"")"),"Quel est le nom de la catégorie de compétition réservée aux jouteurs les plus lourds ?")</f>
        <v>Quel est le nom de la catégorie de compétition réservée aux jouteurs les plus lourds ?</v>
      </c>
      <c r="I18" s="6" t="str">
        <f>IFERROR(__xludf.DUMMYFUNCTION("GOOGLETRANSLATE(C18, ""en"", ""fr"")"),"A) Compétition senior, B) Compétition élite, C) Compétition poids lourds, D) Compétition masters")</f>
        <v>A) Compétition senior, B) Compétition élite, C) Compétition poids lourds, D) Compétition masters</v>
      </c>
      <c r="J18" s="6" t="str">
        <f>IFERROR(__xludf.DUMMYFUNCTION("GOOGLETRANSLATE(D18, ""en"", ""fr"")"),"C) Compétition poids lourds")</f>
        <v>C) Compétition poids lourds</v>
      </c>
      <c r="K18" s="6" t="str">
        <f>IFERROR(__xludf.DUMMYFUNCTION("GOOGLETRANSLATE(E18, ""en"", ""fr"")"),"Les jouteurs sont répartis en catégories de poids, telles que les poids légers, moyens et lourds, afin de garantir qu'ils affrontent des adversaires de gabarit similaire.")</f>
        <v>Les jouteurs sont répartis en catégories de poids, telles que les poids légers, moyens et lourds, afin de garantir qu'ils affrontent des adversaires de gabarit similaire.</v>
      </c>
    </row>
    <row r="19" ht="22.5" customHeight="1">
      <c r="A19" s="4">
        <v>18.0</v>
      </c>
      <c r="B19" s="5" t="s">
        <v>77</v>
      </c>
      <c r="C19" s="5" t="s">
        <v>78</v>
      </c>
      <c r="D19" s="5" t="s">
        <v>79</v>
      </c>
      <c r="E19" s="5" t="s">
        <v>80</v>
      </c>
      <c r="G19" s="6" t="str">
        <f>IFERROR(__xludf.DUMMYFUNCTION("GOOGLETRANSLATE(A19, ""en"", ""fr"")"),"18")</f>
        <v>18</v>
      </c>
      <c r="H19" s="6" t="str">
        <f>IFERROR(__xludf.DUMMYFUNCTION("GOOGLETRANSLATE(B19, ""en"", ""fr"")"),"Quel est le rôle principal du quintin dans certaines versions historiques ou d'entraînement des joutes ?")</f>
        <v>Quel est le rôle principal du quintin dans certaines versions historiques ou d'entraînement des joutes ?</v>
      </c>
      <c r="I19" s="6" t="str">
        <f>IFERROR(__xludf.DUMMYFUNCTION("GOOGLETRANSLATE(C19, ""en"", ""fr"")"),"A) Marquer des points en le faisant tomber, B) Servir de cible immobile pour que la lance s'y brise, C) Constituer un obstacle à éviter, D) Servir de tremplin")</f>
        <v>A) Marquer des points en le faisant tomber, B) Servir de cible immobile pour que la lance s'y brise, C) Constituer un obstacle à éviter, D) Servir de tremplin</v>
      </c>
      <c r="J19" s="6" t="str">
        <f>IFERROR(__xludf.DUMMYFUNCTION("GOOGLETRANSLATE(D19, ""en"", ""fr"")"),"B) Servir de cible immobile pour que la lance se brise sur")</f>
        <v>B) Servir de cible immobile pour que la lance se brise sur</v>
      </c>
      <c r="K19" s="6" t="str">
        <f>IFERROR(__xludf.DUMMYFUNCTION("GOOGLETRANSLATE(E19, ""en"", ""fr"")"),"Le quintin était une cible basculante utilisée pour l'entraînement, permettant au jouteur de pratiquer sa visée et son impact sans adversaire réel.")</f>
        <v>Le quintin était une cible basculante utilisée pour l'entraînement, permettant au jouteur de pratiquer sa visée et son impact sans adversaire réel.</v>
      </c>
    </row>
    <row r="20" ht="22.5" customHeight="1">
      <c r="A20" s="4">
        <v>19.0</v>
      </c>
      <c r="B20" s="5" t="s">
        <v>81</v>
      </c>
      <c r="C20" s="5" t="s">
        <v>82</v>
      </c>
      <c r="D20" s="5" t="s">
        <v>83</v>
      </c>
      <c r="E20" s="5" t="s">
        <v>84</v>
      </c>
      <c r="G20" s="6" t="str">
        <f>IFERROR(__xludf.DUMMYFUNCTION("GOOGLETRANSLATE(A20, ""en"", ""fr"")"),"19")</f>
        <v>19</v>
      </c>
      <c r="H20" s="6" t="str">
        <f>IFERROR(__xludf.DUMMYFUNCTION("GOOGLETRANSLATE(B20, ""en"", ""fr"")"),"Quel est le rôle principal des rameurs sur le bateau ?")</f>
        <v>Quel est le rôle principal des rameurs sur le bateau ?</v>
      </c>
      <c r="I20" s="6" t="str">
        <f>IFERROR(__xludf.DUMMYFUNCTION("GOOGLETRANSLATE(C20, ""en"", ""fr"")"),"A) Faire avancer le bateau à un rythme régulier et puissant, B) Gérer la direction du bateau, C) Protéger le jouteur, D) Fournir de la musique au public")</f>
        <v>A) Faire avancer le bateau à un rythme régulier et puissant, B) Gérer la direction du bateau, C) Protéger le jouteur, D) Fournir de la musique au public</v>
      </c>
      <c r="J20" s="6" t="str">
        <f>IFERROR(__xludf.DUMMYFUNCTION("GOOGLETRANSLATE(D20, ""en"", ""fr"")"),"A) Faire avancer le bateau à un rythme régulier et puissant")</f>
        <v>A) Faire avancer le bateau à un rythme régulier et puissant</v>
      </c>
      <c r="K20" s="6" t="str">
        <f>IFERROR(__xludf.DUMMYFUNCTION("GOOGLETRANSLATE(E20, ""en"", ""fr"")"),"Les dix rameurs sont le moteur du bateau, leur effort synchronisé créant l'élan nécessaire à la joute.")</f>
        <v>Les dix rameurs sont le moteur du bateau, leur effort synchronisé créant l'élan nécessaire à la joute.</v>
      </c>
    </row>
    <row r="21" ht="22.5" customHeight="1">
      <c r="A21" s="4">
        <v>20.0</v>
      </c>
      <c r="B21" s="5" t="s">
        <v>85</v>
      </c>
      <c r="C21" s="5" t="s">
        <v>86</v>
      </c>
      <c r="D21" s="5" t="s">
        <v>87</v>
      </c>
      <c r="E21" s="5" t="s">
        <v>88</v>
      </c>
      <c r="G21" s="6" t="str">
        <f>IFERROR(__xludf.DUMMYFUNCTION("GOOGLETRANSLATE(A21, ""en"", ""fr"")"),"20")</f>
        <v>20</v>
      </c>
      <c r="H21" s="6" t="str">
        <f>IFERROR(__xludf.DUMMYFUNCTION("GOOGLETRANSLATE(B21, ""en"", ""fr"")"),"Quel est le principal défi pour un jouteur se tenant sur la tintaine ?")</f>
        <v>Quel est le principal défi pour un jouteur se tenant sur la tintaine ?</v>
      </c>
      <c r="I21" s="6" t="str">
        <f>IFERROR(__xludf.DUMMYFUNCTION("GOOGLETRANSLATE(C21, ""en"", ""fr"")"),"A) Atteindre la cible avec précision, B) Garder l'équilibre sur une petite plateforme instable à bord d'un bateau en mouvement, C) Protéger le bateau de l'adversaire, D) Diriger le bateau avec les pieds")</f>
        <v>A) Atteindre la cible avec précision, B) Garder l'équilibre sur une petite plateforme instable à bord d'un bateau en mouvement, C) Protéger le bateau de l'adversaire, D) Diriger le bateau avec les pieds</v>
      </c>
      <c r="J21" s="6" t="str">
        <f>IFERROR(__xludf.DUMMYFUNCTION("GOOGLETRANSLATE(D21, ""en"", ""fr"")"),"B) Maintenir son équilibre sur une petite plateforme instable à bord d'un bateau en mouvement")</f>
        <v>B) Maintenir son équilibre sur une petite plateforme instable à bord d'un bateau en mouvement</v>
      </c>
      <c r="K21" s="6" t="str">
        <f>IFERROR(__xludf.DUMMYFUNCTION("GOOGLETRANSLATE(E21, ""en"", ""fr"")"),"La tintaine est délibérément conçue pour être instable, ce qui fait de l'équilibre la compétence la plus cruciale pour un jouteur.")</f>
        <v>La tintaine est délibérément conçue pour être instable, ce qui fait de l'équilibre la compétence la plus cruciale pour un jouteur.</v>
      </c>
    </row>
    <row r="22" ht="22.5" customHeight="1">
      <c r="A22" s="4">
        <v>21.0</v>
      </c>
      <c r="B22" s="5" t="s">
        <v>89</v>
      </c>
      <c r="C22" s="5" t="s">
        <v>90</v>
      </c>
      <c r="D22" s="5" t="s">
        <v>91</v>
      </c>
      <c r="E22" s="5" t="s">
        <v>92</v>
      </c>
      <c r="G22" s="6" t="str">
        <f>IFERROR(__xludf.DUMMYFUNCTION("GOOGLETRANSLATE(A22, ""en"", ""fr"")"),"21")</f>
        <v>21</v>
      </c>
      <c r="H22" s="6" t="str">
        <f>IFERROR(__xludf.DUMMYFUNCTION("GOOGLETRANSLATE(B22, ""en"", ""fr"")"),"Lors d'une passe, un jouteur tient sa lance à deux mains. Cette technique est-elle autorisée ?")</f>
        <v>Lors d'une passe, un jouteur tient sa lance à deux mains. Cette technique est-elle autorisée ?</v>
      </c>
      <c r="I22" s="6" t="str">
        <f>IFERROR(__xludf.DUMMYFUNCTION("GOOGLETRANSLATE(C22, ""en"", ""fr"")"),"A) Oui, cela donne plus de puissance. B) Non, c'est une faute ; la lance doit être tenue d'une seule main. C) Seulement si le jouteur est dans la catégorie des poids lourds. D) Seulement en pratique.")</f>
        <v>A) Oui, cela donne plus de puissance. B) Non, c'est une faute ; la lance doit être tenue d'une seule main. C) Seulement si le jouteur est dans la catégorie des poids lourds. D) Seulement en pratique.</v>
      </c>
      <c r="J22" s="6" t="str">
        <f>IFERROR(__xludf.DUMMYFUNCTION("GOOGLETRANSLATE(D22, ""en"", ""fr"")"),"B) Non, c'est une faute ; la lance doit être tenue d'une seule main.")</f>
        <v>B) Non, c'est une faute ; la lance doit être tenue d'une seule main.</v>
      </c>
      <c r="K22" s="6" t="str">
        <f>IFERROR(__xludf.DUMMYFUNCTION("GOOGLETRANSLATE(E22, ""en"", ""fr"")"),"Le règlement exige que la lance soit tenue d'un seul bras, l'autre bras servant à l'équilibre, ce qui en fait un véritable test de force et d'habileté à une main.")</f>
        <v>Le règlement exige que la lance soit tenue d'un seul bras, l'autre bras servant à l'équilibre, ce qui en fait un véritable test de force et d'habileté à une main.</v>
      </c>
    </row>
    <row r="23" ht="22.5" customHeight="1">
      <c r="A23" s="4">
        <v>22.0</v>
      </c>
      <c r="B23" s="5" t="s">
        <v>93</v>
      </c>
      <c r="C23" s="5" t="s">
        <v>94</v>
      </c>
      <c r="D23" s="5" t="s">
        <v>95</v>
      </c>
      <c r="E23" s="5" t="s">
        <v>96</v>
      </c>
      <c r="G23" s="6" t="str">
        <f>IFERROR(__xludf.DUMMYFUNCTION("GOOGLETRANSLATE(A23, ""en"", ""fr"")"),"22")</f>
        <v>22</v>
      </c>
      <c r="H23" s="6" t="str">
        <f>IFERROR(__xludf.DUMMYFUNCTION("GOOGLETRANSLATE(B23, ""en"", ""fr"")"),"Un jouteur parvient à faire tomber son adversaire à l'eau. Quel est le signal de l'arbitre ?")</f>
        <v>Un jouteur parvient à faire tomber son adversaire à l'eau. Quel est le signal de l'arbitre ?</v>
      </c>
      <c r="I23" s="6" t="str">
        <f>IFERROR(__xludf.DUMMYFUNCTION("GOOGLETRANSLATE(C23, ""en"", ""fr"")"),"A) Ils sifflent, B) Ils hissent un drapeau aux couleurs du vainqueur, C) Ils tirent un coup de pistolet cérémoniel, D) Ils applaudissent")</f>
        <v>A) Ils sifflent, B) Ils hissent un drapeau aux couleurs du vainqueur, C) Ils tirent un coup de pistolet cérémoniel, D) Ils applaudissent</v>
      </c>
      <c r="J23" s="6" t="str">
        <f>IFERROR(__xludf.DUMMYFUNCTION("GOOGLETRANSLATE(D23, ""en"", ""fr"")"),"B) Ils hissent un drapeau correspondant à la couleur du vainqueur")</f>
        <v>B) Ils hissent un drapeau correspondant à la couleur du vainqueur</v>
      </c>
      <c r="K23" s="6" t="str">
        <f>IFERROR(__xludf.DUMMYFUNCTION("GOOGLETRANSLATE(E23, ""en"", ""fr"")"),"Les juges signalent le résultat du passage en levant un drapeau (rouge ou bleu) pour indiquer quel jouteur a gagné.")</f>
        <v>Les juges signalent le résultat du passage en levant un drapeau (rouge ou bleu) pour indiquer quel jouteur a gagné.</v>
      </c>
    </row>
    <row r="24" ht="22.5" customHeight="1">
      <c r="A24" s="4">
        <v>23.0</v>
      </c>
      <c r="B24" s="5" t="s">
        <v>97</v>
      </c>
      <c r="C24" s="5" t="s">
        <v>98</v>
      </c>
      <c r="D24" s="5" t="s">
        <v>99</v>
      </c>
      <c r="E24" s="5" t="s">
        <v>100</v>
      </c>
      <c r="G24" s="6" t="str">
        <f>IFERROR(__xludf.DUMMYFUNCTION("GOOGLETRANSLATE(A24, ""en"", ""fr"")"),"23")</f>
        <v>23</v>
      </c>
      <c r="H24" s="6" t="str">
        <f>IFERROR(__xludf.DUMMYFUNCTION("GOOGLETRANSLATE(B24, ""en"", ""fr"")"),"Quelle est la règle concernant les pieds du jouteur sur la tintaine ?")</f>
        <v>Quelle est la règle concernant les pieds du jouteur sur la tintaine ?</v>
      </c>
      <c r="I24" s="6" t="str">
        <f>IFERROR(__xludf.DUMMYFUNCTION("GOOGLETRANSLATE(C24, ""en"", ""fr"")"),"A) Ils peuvent se tenir n'importe où sur le quai, B) Ils doivent garder les deux pieds à l'intérieur des empreintes blanches marquées, C) Ils peuvent déplacer leurs pieds pendant le passage, D) Un pied doit être hors du quai pour l'équilibre")</f>
        <v>A) Ils peuvent se tenir n'importe où sur le quai, B) Ils doivent garder les deux pieds à l'intérieur des empreintes blanches marquées, C) Ils peuvent déplacer leurs pieds pendant le passage, D) Un pied doit être hors du quai pour l'équilibre</v>
      </c>
      <c r="J24" s="6" t="str">
        <f>IFERROR(__xludf.DUMMYFUNCTION("GOOGLETRANSLATE(D24, ""en"", ""fr"")"),"B) Ils doivent garder les deux pieds à l'intérieur des empreintes blanches marquées.")</f>
        <v>B) Ils doivent garder les deux pieds à l'intérieur des empreintes blanches marquées.</v>
      </c>
      <c r="K24" s="6" t="str">
        <f>IFERROR(__xludf.DUMMYFUNCTION("GOOGLETRANSLATE(E24, ""en"", ""fr"")"),"Le règlement exige que le jouteur garde ses pieds à l'intérieur des zones peintes désignées sur la tintaine pendant toute la durée du passage.")</f>
        <v>Le règlement exige que le jouteur garde ses pieds à l'intérieur des zones peintes désignées sur la tintaine pendant toute la durée du passage.</v>
      </c>
    </row>
    <row r="25" ht="22.5" customHeight="1">
      <c r="A25" s="4">
        <v>24.0</v>
      </c>
      <c r="B25" s="5" t="s">
        <v>101</v>
      </c>
      <c r="C25" s="5" t="s">
        <v>102</v>
      </c>
      <c r="D25" s="5" t="s">
        <v>103</v>
      </c>
      <c r="E25" s="5" t="s">
        <v>104</v>
      </c>
      <c r="G25" s="6" t="str">
        <f>IFERROR(__xludf.DUMMYFUNCTION("GOOGLETRANSLATE(A25, ""en"", ""fr"")"),"24")</f>
        <v>24</v>
      </c>
      <c r="H25" s="6" t="str">
        <f>IFERROR(__xludf.DUMMYFUNCTION("GOOGLETRANSLATE(B25, ""en"", ""fr"")"),"La lance d'un jouteur se brise à l'impact avec le bouclier de son adversaire, mais aucun des deux jouteurs ne tombe. Quelle est la décision ?")</f>
        <v>La lance d'un jouteur se brise à l'impact avec le bouclier de son adversaire, mais aucun des deux jouteurs ne tombe. Quelle est la décision ?</v>
      </c>
      <c r="I25" s="6" t="str">
        <f>IFERROR(__xludf.DUMMYFUNCTION("GOOGLETRANSLATE(C25, ""en"", ""fr"")"),"A) Le jouteur à la lance brisée remporte le point. B) Le jouteur à la lance brisée perd le point. C) La passe est déclarée nulle et est rejouée. D) Le combat continue avec le jouteur à la lance brisée.")</f>
        <v>A) Le jouteur à la lance brisée remporte le point. B) Le jouteur à la lance brisée perd le point. C) La passe est déclarée nulle et est rejouée. D) Le combat continue avec le jouteur à la lance brisée.</v>
      </c>
      <c r="J25" s="6" t="str">
        <f>IFERROR(__xludf.DUMMYFUNCTION("GOOGLETRANSLATE(D25, ""en"", ""fr"")"),"C) La passe est déclarée nulle et est rejouée.")</f>
        <v>C) La passe est déclarée nulle et est rejouée.</v>
      </c>
      <c r="K25" s="6" t="str">
        <f>IFERROR(__xludf.DUMMYFUNCTION("GOOGLETRANSLATE(E25, ""en"", ""fr"")"),"Il est fréquent qu'une lance se brise. Si personne ne tombe, la manche est considérée comme nulle et est rejouée avec de nouvelles lances.")</f>
        <v>Il est fréquent qu'une lance se brise. Si personne ne tombe, la manche est considérée comme nulle et est rejouée avec de nouvelles lances.</v>
      </c>
    </row>
    <row r="26" ht="22.5" customHeight="1">
      <c r="A26" s="4">
        <v>25.0</v>
      </c>
      <c r="B26" s="5" t="s">
        <v>105</v>
      </c>
      <c r="C26" s="5" t="s">
        <v>106</v>
      </c>
      <c r="D26" s="5" t="s">
        <v>107</v>
      </c>
      <c r="E26" s="5" t="s">
        <v>108</v>
      </c>
      <c r="G26" s="6" t="str">
        <f>IFERROR(__xludf.DUMMYFUNCTION("GOOGLETRANSLATE(A26, ""en"", ""fr"")"),"25")</f>
        <v>25</v>
      </c>
      <c r="H26" s="6" t="str">
        <f>IFERROR(__xludf.DUMMYFUNCTION("GOOGLETRANSLATE(B26, ""en"", ""fr"")"),"Dans la méthode languedocienne, de quel côté se croisent les bateaux ?")</f>
        <v>Dans la méthode languedocienne, de quel côté se croisent les bateaux ?</v>
      </c>
      <c r="I26" s="6" t="str">
        <f>IFERROR(__xludf.DUMMYFUNCTION("GOOGLETRANSLATE(C26, ""en"", ""fr"")"),"A) À droite (tribord), B) À gauche (bâbord), C) Cela varie à chaque passage, D) Ils passent de part et d'autre")</f>
        <v>A) À droite (tribord), B) À gauche (bâbord), C) Cela varie à chaque passage, D) Ils passent de part et d'autre</v>
      </c>
      <c r="J26" s="6" t="str">
        <f>IFERROR(__xludf.DUMMYFUNCTION("GOOGLETRANSLATE(D26, ""en"", ""fr"")"),"A) Du côté droit (tribord)")</f>
        <v>A) Du côté droit (tribord)</v>
      </c>
      <c r="K26" s="6" t="str">
        <f>IFERROR(__xludf.DUMMYFUNCTION("GOOGLETRANSLATE(E26, ""en"", ""fr"")"),"Les règles de cette méthode sont strictes : les deux bateaux doivent toujours se croiser par la droite, ce qui signifie que les jouteurs se trouvent du côté droit de leur bateau respectif.")</f>
        <v>Les règles de cette méthode sont strictes : les deux bateaux doivent toujours se croiser par la droite, ce qui signifie que les jouteurs se trouvent du côté droit de leur bateau respectif.</v>
      </c>
    </row>
    <row r="27" ht="22.5" customHeight="1">
      <c r="A27" s="4">
        <v>26.0</v>
      </c>
      <c r="B27" s="5" t="s">
        <v>109</v>
      </c>
      <c r="C27" s="5" t="s">
        <v>110</v>
      </c>
      <c r="D27" s="5" t="s">
        <v>111</v>
      </c>
      <c r="E27" s="5" t="s">
        <v>112</v>
      </c>
      <c r="G27" s="6" t="str">
        <f>IFERROR(__xludf.DUMMYFUNCTION("GOOGLETRANSLATE(A27, ""en"", ""fr"")"),"26")</f>
        <v>26</v>
      </c>
      <c r="H27" s="6" t="str">
        <f>IFERROR(__xludf.DUMMYFUNCTION("GOOGLETRANSLATE(B27, ""en"", ""fr"")"),"Quelle est la principale différence de règles entre la méthode Givordine et la méthode lyonnaise ?")</f>
        <v>Quelle est la principale différence de règles entre la méthode Givordine et la méthode lyonnaise ?</v>
      </c>
      <c r="I27" s="6" t="str">
        <f>IFERROR(__xludf.DUMMYFUNCTION("GOOGLETRANSLATE(C27, ""en"", ""fr"")"),"A) Les bateaux sont beaucoup plus grands, B) Le côté où les bateaux se croisent est différent, C) Les lances sont plus courtes, D) Il n'y a pas de boucliers")</f>
        <v>A) Les bateaux sont beaucoup plus grands, B) Le côté où les bateaux se croisent est différent, C) Les lances sont plus courtes, D) Il n'y a pas de boucliers</v>
      </c>
      <c r="J27" s="6" t="str">
        <f>IFERROR(__xludf.DUMMYFUNCTION("GOOGLETRANSLATE(D27, ""en"", ""fr"")"),"B) Le côté où les bateaux se croisent est différent")</f>
        <v>B) Le côté où les bateaux se croisent est différent</v>
      </c>
      <c r="K27" s="6" t="str">
        <f>IFERROR(__xludf.DUMMYFUNCTION("GOOGLETRANSLATE(E27, ""en"", ""fr"")"),"Il s'agit d'une distinction cruciale entre ces deux styles régionaux de la vallée du Rhône.")</f>
        <v>Il s'agit d'une distinction cruciale entre ces deux styles régionaux de la vallée du Rhône.</v>
      </c>
    </row>
    <row r="28" ht="22.5" customHeight="1">
      <c r="A28" s="4">
        <v>27.0</v>
      </c>
      <c r="B28" s="5" t="s">
        <v>113</v>
      </c>
      <c r="C28" s="5" t="s">
        <v>114</v>
      </c>
      <c r="D28" s="5" t="s">
        <v>115</v>
      </c>
      <c r="E28" s="5" t="s">
        <v>116</v>
      </c>
      <c r="G28" s="6" t="str">
        <f>IFERROR(__xludf.DUMMYFUNCTION("GOOGLETRANSLATE(A28, ""en"", ""fr"")"),"27")</f>
        <v>27</v>
      </c>
      <c r="H28" s="6" t="str">
        <f>IFERROR(__xludf.DUMMYFUNCTION("GOOGLETRANSLATE(B28, ""en"", ""fr"")"),"Quel est le rôle principal du timonier (patron) ?")</f>
        <v>Quel est le rôle principal du timonier (patron) ?</v>
      </c>
      <c r="I28" s="6" t="str">
        <f>IFERROR(__xludf.DUMMYFUNCTION("GOOGLETRANSLATE(C28, ""en"", ""fr"")"),"A) Être capitaine de l'équipe, B) Diriger le lourd bateau avec une grande rame et commander les rameurs, C) Encourager l'équipe à grands cris, D) Être jouteur remplaçant")</f>
        <v>A) Être capitaine de l'équipe, B) Diriger le lourd bateau avec une grande rame et commander les rameurs, C) Encourager l'équipe à grands cris, D) Être jouteur remplaçant</v>
      </c>
      <c r="J28" s="6" t="str">
        <f>IFERROR(__xludf.DUMMYFUNCTION("GOOGLETRANSLATE(D28, ""en"", ""fr"")"),"B) Diriger le lourd bateau à l'aide d'une grande rame et commander les rameurs")</f>
        <v>B) Diriger le lourd bateau à l'aide d'une grande rame et commander les rameurs</v>
      </c>
      <c r="K28" s="6" t="str">
        <f>IFERROR(__xludf.DUMMYFUNCTION("GOOGLETRANSLATE(E28, ""en"", ""fr"")"),"L'habileté du commanditaire est primordiale. Il doit manœuvrer le bateau avec expertise afin que les jouteurs se rencontrent à l'angle et à la distance parfaits.")</f>
        <v>L'habileté du commanditaire est primordiale. Il doit manœuvrer le bateau avec expertise afin que les jouteurs se rencontrent à l'angle et à la distance parfaits.</v>
      </c>
    </row>
    <row r="29" ht="22.5" customHeight="1">
      <c r="A29" s="4">
        <v>28.0</v>
      </c>
      <c r="B29" s="5" t="s">
        <v>117</v>
      </c>
      <c r="C29" s="5" t="s">
        <v>118</v>
      </c>
      <c r="D29" s="5" t="s">
        <v>119</v>
      </c>
      <c r="E29" s="5" t="s">
        <v>120</v>
      </c>
      <c r="G29" s="6" t="str">
        <f>IFERROR(__xludf.DUMMYFUNCTION("GOOGLETRANSLATE(A29, ""en"", ""fr"")"),"28")</f>
        <v>28</v>
      </c>
      <c r="H29" s="6" t="str">
        <f>IFERROR(__xludf.DUMMYFUNCTION("GOOGLETRANSLATE(B29, ""en"", ""fr"")"),"Quelle est la profondeur d'eau minimale recommandée pour une compétition ?")</f>
        <v>Quelle est la profondeur d'eau minimale recommandée pour une compétition ?</v>
      </c>
      <c r="I29" s="6" t="str">
        <f>IFERROR(__xludf.DUMMYFUNCTION("GOOGLETRANSLATE(C29, ""en"", ""fr"")"),"A) 1 mètre, B) 1,5 mètre, C) 2 mètres, D) 2,5 mètres")</f>
        <v>A) 1 mètre, B) 1,5 mètre, C) 2 mètres, D) 2,5 mètres</v>
      </c>
      <c r="J29" s="6" t="str">
        <f>IFERROR(__xludf.DUMMYFUNCTION("GOOGLETRANSLATE(D29, ""en"", ""fr"")"),"C) 2 mètres")</f>
        <v>C) 2 mètres</v>
      </c>
      <c r="K29" s="6" t="str">
        <f>IFERROR(__xludf.DUMMYFUNCTION("GOOGLETRANSLATE(E29, ""en"", ""fr"")"),"Une profondeur d'au moins 2 mètres est une règle de sécurité essentielle pour éviter qu'un jouteur en chute libre ne risque de heurter le fond.")</f>
        <v>Une profondeur d'au moins 2 mètres est une règle de sécurité essentielle pour éviter qu'un jouteur en chute libre ne risque de heurter le fond.</v>
      </c>
    </row>
    <row r="30" ht="22.5" customHeight="1">
      <c r="A30" s="4">
        <v>29.0</v>
      </c>
      <c r="B30" s="5" t="s">
        <v>121</v>
      </c>
      <c r="C30" s="5" t="s">
        <v>122</v>
      </c>
      <c r="D30" s="5" t="s">
        <v>123</v>
      </c>
      <c r="E30" s="5" t="s">
        <v>124</v>
      </c>
      <c r="G30" s="6" t="str">
        <f>IFERROR(__xludf.DUMMYFUNCTION("GOOGLETRANSLATE(A30, ""en"", ""fr"")"),"29")</f>
        <v>29</v>
      </c>
      <c r="H30" s="6" t="str">
        <f>IFERROR(__xludf.DUMMYFUNCTION("GOOGLETRANSLATE(B30, ""en"", ""fr"")"),"Un jouteur est pénalisé pour une « garde incorrecte ». Qu'est-ce que cela signifie ?")</f>
        <v>Un jouteur est pénalisé pour une « garde incorrecte ». Qu'est-ce que cela signifie ?</v>
      </c>
      <c r="I30" s="6" t="str">
        <f>IFERROR(__xludf.DUMMYFUNCTION("GOOGLETRANSLATE(C30, ""en"", ""fr"")"),"A) Ils ne tenaient pas correctement leur bouclier, B) Ils tenaient mal leur lance, C) Ils n'étaient pas correctement positionnés sur la tréteau, D) N'importe laquelle des réponses ci-dessus")</f>
        <v>A) Ils ne tenaient pas correctement leur bouclier, B) Ils tenaient mal leur lance, C) Ils n'étaient pas correctement positionnés sur la tréteau, D) N'importe laquelle des réponses ci-dessus</v>
      </c>
      <c r="J30" s="6" t="str">
        <f>IFERROR(__xludf.DUMMYFUNCTION("GOOGLETRANSLATE(D30, ""en"", ""fr"")"),"D) N'importe laquelle des réponses ci-dessus")</f>
        <v>D) N'importe laquelle des réponses ci-dessus</v>
      </c>
      <c r="K30" s="6" t="str">
        <f>IFERROR(__xludf.DUMMYFUNCTION("GOOGLETRANSLATE(E30, ""en"", ""fr"")"),"Une « garde incorrecte » est une faute qui peut être sifflée pour un mauvais positionnement des pieds, de la lance ou du bouclier avant le moment de l'impact.")</f>
        <v>Une « garde incorrecte » est une faute qui peut être sifflée pour un mauvais positionnement des pieds, de la lance ou du bouclier avant le moment de l'impact.</v>
      </c>
    </row>
    <row r="31" ht="22.5" customHeight="1">
      <c r="A31" s="4">
        <v>30.0</v>
      </c>
      <c r="B31" s="5" t="s">
        <v>125</v>
      </c>
      <c r="C31" s="5" t="s">
        <v>126</v>
      </c>
      <c r="D31" s="5" t="s">
        <v>127</v>
      </c>
      <c r="E31" s="5" t="s">
        <v>128</v>
      </c>
      <c r="G31" s="6" t="str">
        <f>IFERROR(__xludf.DUMMYFUNCTION("GOOGLETRANSLATE(A31, ""en"", ""fr"")"),"30")</f>
        <v>30</v>
      </c>
      <c r="H31" s="6" t="str">
        <f>IFERROR(__xludf.DUMMYFUNCTION("GOOGLETRANSLATE(B31, ""en"", ""fr"")"),"Quel est l’objectif des « zones de sécurité » ou zones tampons autour du terrain de joutes ?")</f>
        <v>Quel est l’objectif des « zones de sécurité » ou zones tampons autour du terrain de joutes ?</v>
      </c>
      <c r="I31" s="6" t="str">
        <f>IFERROR(__xludf.DUMMYFUNCTION("GOOGLETRANSLATE(C31, ""en"", ""fr"")"),"A) Pour les bateaux des spectateurs, B) Pour garantir une zone dégagée et sécurisée pour le demi-tour des bateaux, C) Pour marquer la ligne d'arrivée, D) Pour les musiciens")</f>
        <v>A) Pour les bateaux des spectateurs, B) Pour garantir une zone dégagée et sécurisée pour le demi-tour des bateaux, C) Pour marquer la ligne d'arrivée, D) Pour les musiciens</v>
      </c>
      <c r="J31" s="6" t="str">
        <f>IFERROR(__xludf.DUMMYFUNCTION("GOOGLETRANSLATE(D31, ""en"", ""fr"")"),"B) Garantir une zone dégagée et sûre pour que les bateaux puissent faire demi-tour.")</f>
        <v>B) Garantir une zone dégagée et sûre pour que les bateaux puissent faire demi-tour.</v>
      </c>
      <c r="K31" s="6" t="str">
        <f>IFERROR(__xludf.DUMMYFUNCTION("GOOGLETRANSLATE(E31, ""en"", ""fr"")"),"Ces zones situées à chaque extrémité du parcours sont essentielles pour la sécurité et la manœuvre des lourds bateaux de joute.")</f>
        <v>Ces zones situées à chaque extrémité du parcours sont essentielles pour la sécurité et la manœuvre des lourds bateaux de joute.</v>
      </c>
    </row>
    <row r="32" ht="22.5" customHeight="1">
      <c r="A32" s="4">
        <v>31.0</v>
      </c>
      <c r="B32" s="5" t="s">
        <v>129</v>
      </c>
      <c r="C32" s="5" t="s">
        <v>130</v>
      </c>
      <c r="D32" s="5" t="s">
        <v>131</v>
      </c>
      <c r="E32" s="5" t="s">
        <v>132</v>
      </c>
      <c r="G32" s="6" t="str">
        <f>IFERROR(__xludf.DUMMYFUNCTION("GOOGLETRANSLATE(A32, ""en"", ""fr"")"),"31")</f>
        <v>31</v>
      </c>
      <c r="H32" s="6" t="str">
        <f>IFERROR(__xludf.DUMMYFUNCTION("GOOGLETRANSLATE(B32, ""en"", ""fr"")"),"Un jouteur est averti pour avoir frappé une partie illégale du corps de son adversaire. Quelle est la seule zone autorisée ?")</f>
        <v>Un jouteur est averti pour avoir frappé une partie illégale du corps de son adversaire. Quelle est la seule zone autorisée ?</v>
      </c>
      <c r="I32" s="6" t="str">
        <f>IFERROR(__xludf.DUMMYFUNCTION("GOOGLETRANSLATE(C32, ""en"", ""fr"")"),"A) La tête, B) Les jambes, C) Le pavois de l'adversaire, D) La lance de l'adversaire")</f>
        <v>A) La tête, B) Les jambes, C) Le pavois de l'adversaire, D) La lance de l'adversaire</v>
      </c>
      <c r="J32" s="6" t="str">
        <f>IFERROR(__xludf.DUMMYFUNCTION("GOOGLETRANSLATE(D32, ""en"", ""fr"")"),"C) Le bouclier de l'adversaire (pavois)")</f>
        <v>C) Le bouclier de l'adversaire (pavois)</v>
      </c>
      <c r="K32" s="6" t="str">
        <f>IFERROR(__xludf.DUMMYFUNCTION("GOOGLETRANSLATE(E32, ""en"", ""fr"")"),"Les règles sont très strictes : un jouteur ne doit viser que le bouclier de son adversaire. Frapper intentionnellement son corps constitue une faute grave.")</f>
        <v>Les règles sont très strictes : un jouteur ne doit viser que le bouclier de son adversaire. Frapper intentionnellement son corps constitue une faute grave.</v>
      </c>
    </row>
    <row r="33" ht="22.5" customHeight="1">
      <c r="A33" s="4">
        <v>32.0</v>
      </c>
      <c r="B33" s="5" t="s">
        <v>133</v>
      </c>
      <c r="C33" s="5" t="s">
        <v>134</v>
      </c>
      <c r="D33" s="5" t="s">
        <v>135</v>
      </c>
      <c r="E33" s="5" t="s">
        <v>136</v>
      </c>
      <c r="G33" s="6" t="str">
        <f>IFERROR(__xludf.DUMMYFUNCTION("GOOGLETRANSLATE(A33, ""en"", ""fr"")"),"32")</f>
        <v>32</v>
      </c>
      <c r="H33" s="6" t="str">
        <f>IFERROR(__xludf.DUMMYFUNCTION("GOOGLETRANSLATE(B33, ""en"", ""fr"")"),"Quel est le rôle du « jury » dans un tournoi majeur ?")</f>
        <v>Quel est le rôle du « jury » dans un tournoi majeur ?</v>
      </c>
      <c r="I33" s="6" t="str">
        <f>IFERROR(__xludf.DUMMYFUNCTION("GOOGLETRANSLATE(C33, ""en"", ""fr"")"),"A) Ce sont les rameurs, B) Ce sont un panel de hauts responsables qui supervisent les arbitres et prennent les décisions finales en cas de litige, C) Ce sont les sponsors de l'équipe, D) Ce sont les constructeurs de bateaux")</f>
        <v>A) Ce sont les rameurs, B) Ce sont un panel de hauts responsables qui supervisent les arbitres et prennent les décisions finales en cas de litige, C) Ce sont les sponsors de l'équipe, D) Ce sont les constructeurs de bateaux</v>
      </c>
      <c r="J33" s="6" t="str">
        <f>IFERROR(__xludf.DUMMYFUNCTION("GOOGLETRANSLATE(D33, ""en"", ""fr"")"),"B) Il s'agit d'un panel de hauts fonctionnaires qui supervisent les arbitres et prennent les décisions finales en cas de litige.")</f>
        <v>B) Il s'agit d'un panel de hauts fonctionnaires qui supervisent les arbitres et prennent les décisions finales en cas de litige.</v>
      </c>
      <c r="K33" s="6" t="str">
        <f>IFERROR(__xludf.DUMMYFUNCTION("GOOGLETRANSLATE(E33, ""en"", ""fr"")"),"Le jury est l'autorité suprême lors d'une compétition ; il est chargé d'interpréter les règles et de traiter toute réclamation officielle.")</f>
        <v>Le jury est l'autorité suprême lors d'une compétition ; il est chargé d'interpréter les règles et de traiter toute réclamation officielle.</v>
      </c>
    </row>
    <row r="34" ht="22.5" customHeight="1">
      <c r="A34" s="4">
        <v>33.0</v>
      </c>
      <c r="B34" s="5" t="s">
        <v>137</v>
      </c>
      <c r="C34" s="5" t="s">
        <v>138</v>
      </c>
      <c r="D34" s="5" t="s">
        <v>139</v>
      </c>
      <c r="E34" s="5" t="s">
        <v>140</v>
      </c>
      <c r="G34" s="6" t="str">
        <f>IFERROR(__xludf.DUMMYFUNCTION("GOOGLETRANSLATE(A34, ""en"", ""fr"")"),"33")</f>
        <v>33</v>
      </c>
      <c r="H34" s="6" t="str">
        <f>IFERROR(__xludf.DUMMYFUNCTION("GOOGLETRANSLATE(B34, ""en"", ""fr"")"),"Quelle est la principale caractéristique de la méthode de joute alsacienne ?")</f>
        <v>Quelle est la principale caractéristique de la méthode de joute alsacienne ?</v>
      </c>
      <c r="I34" s="6" t="str">
        <f>IFERROR(__xludf.DUMMYFUNCTION("GOOGLETRANSLATE(C34, ""en"", ""fr"")"),"A) C'est la méthode la plus rapide, B) Les jouteurs sont attachés à la plateforme du bateau, C) C'est un sport sans contact, D) C'est la méthode la plus ancienne")</f>
        <v>A) C'est la méthode la plus rapide, B) Les jouteurs sont attachés à la plateforme du bateau, C) C'est un sport sans contact, D) C'est la méthode la plus ancienne</v>
      </c>
      <c r="J34" s="6" t="str">
        <f>IFERROR(__xludf.DUMMYFUNCTION("GOOGLETRANSLATE(D34, ""en"", ""fr"")"),"B) Les jouteurs sont attachés à la plateforme du bateau")</f>
        <v>B) Les jouteurs sont attachés à la plateforme du bateau</v>
      </c>
      <c r="K34" s="6" t="str">
        <f>IFERROR(__xludf.DUMMYFUNCTION("GOOGLETRANSLATE(E34, ""en"", ""fr"")"),"Dans le style strasbourgeois, les jouteurs sont attachés au bateau pour manier les très longues et lourdes lances utilisées, ce qui en fait une épreuve de pure force de poussée.")</f>
        <v>Dans le style strasbourgeois, les jouteurs sont attachés au bateau pour manier les très longues et lourdes lances utilisées, ce qui en fait une épreuve de pure force de poussée.</v>
      </c>
    </row>
    <row r="35" ht="22.5" customHeight="1">
      <c r="A35" s="4">
        <v>34.0</v>
      </c>
      <c r="B35" s="5" t="s">
        <v>141</v>
      </c>
      <c r="C35" s="5" t="s">
        <v>142</v>
      </c>
      <c r="D35" s="5" t="s">
        <v>143</v>
      </c>
      <c r="E35" s="5" t="s">
        <v>144</v>
      </c>
      <c r="G35" s="6" t="str">
        <f>IFERROR(__xludf.DUMMYFUNCTION("GOOGLETRANSLATE(A35, ""en"", ""fr"")"),"34")</f>
        <v>34</v>
      </c>
      <c r="H35" s="6" t="str">
        <f>IFERROR(__xludf.DUMMYFUNCTION("GOOGLETRANSLATE(B35, ""en"", ""fr"")"),"Un jouteur réussit une passe parfaite, mais son poids est inférieur au poids minimum requis pour sa catégorie. Quel est le résultat ?")</f>
        <v>Un jouteur réussit une passe parfaite, mais son poids est inférieur au poids minimum requis pour sa catégorie. Quel est le résultat ?</v>
      </c>
      <c r="I35" s="6" t="str">
        <f>IFERROR(__xludf.DUMMYFUNCTION("GOOGLETRANSLATE(C35, ""en"", ""fr"")"),"A) La victoire est maintenue, B) Ils sont disqualifiés, C) Ils sont relégués dans une catégorie inférieure, D) Ils reçoivent un avertissement")</f>
        <v>A) La victoire est maintenue, B) Ils sont disqualifiés, C) Ils sont relégués dans une catégorie inférieure, D) Ils reçoivent un avertissement</v>
      </c>
      <c r="J35" s="6" t="str">
        <f>IFERROR(__xludf.DUMMYFUNCTION("GOOGLETRANSLATE(D35, ""en"", ""fr"")"),"B) Ils sont disqualifiés")</f>
        <v>B) Ils sont disqualifiés</v>
      </c>
      <c r="K35" s="6" t="str">
        <f>IFERROR(__xludf.DUMMYFUNCTION("GOOGLETRANSLATE(E35, ""en"", ""fr"")"),"Les catégories de poids sont strictement appliquées. Toute participation à une compétition dans la mauvaise catégorie entraîne la disqualification.")</f>
        <v>Les catégories de poids sont strictement appliquées. Toute participation à une compétition dans la mauvaise catégorie entraîne la disqualification.</v>
      </c>
    </row>
    <row r="36" ht="22.5" customHeight="1">
      <c r="A36" s="4">
        <v>35.0</v>
      </c>
      <c r="B36" s="5" t="s">
        <v>145</v>
      </c>
      <c r="C36" s="5" t="s">
        <v>146</v>
      </c>
      <c r="D36" s="5" t="s">
        <v>147</v>
      </c>
      <c r="E36" s="5" t="s">
        <v>148</v>
      </c>
      <c r="G36" s="6" t="str">
        <f>IFERROR(__xludf.DUMMYFUNCTION("GOOGLETRANSLATE(A36, ""en"", ""fr"")"),"35")</f>
        <v>35</v>
      </c>
      <c r="H36" s="6" t="str">
        <f>IFERROR(__xludf.DUMMYFUNCTION("GOOGLETRANSLATE(B36, ""en"", ""fr"")"),"Dans la méthode parisienne, comment les jouteurs sont-ils propulsés l'un vers l'autre ?")</f>
        <v>Dans la méthode parisienne, comment les jouteurs sont-ils propulsés l'un vers l'autre ?</v>
      </c>
      <c r="I36" s="6" t="str">
        <f>IFERROR(__xludf.DUMMYFUNCTION("GOOGLETRANSLATE(C36, ""en"", ""fr"")"),"A) À la rame, B) À moteur, C) Sur un chariot coulissant tiré par leurs coéquipiers sur une plateforme fixe, D) Au courant du fleuve")</f>
        <v>A) À la rame, B) À moteur, C) Sur un chariot coulissant tiré par leurs coéquipiers sur une plateforme fixe, D) Au courant du fleuve</v>
      </c>
      <c r="J36" s="6" t="str">
        <f>IFERROR(__xludf.DUMMYFUNCTION("GOOGLETRANSLATE(D36, ""en"", ""fr"")"),"C) Sur un chariot coulissant tiré par leurs coéquipiers sur une plateforme fixe")</f>
        <v>C) Sur un chariot coulissant tiré par leurs coéquipiers sur une plateforme fixe</v>
      </c>
      <c r="K36" s="6" t="str">
        <f>IFERROR(__xludf.DUMMYFUNCTION("GOOGLETRANSLATE(E36, ""en"", ""fr"")"),"Cette méthode unique n'utilise pas de bateaux en mouvement, mais plutôt une piste construite sur une barge, les jouteurs étant tirés le long de cette piste.")</f>
        <v>Cette méthode unique n'utilise pas de bateaux en mouvement, mais plutôt une piste construite sur une barge, les jouteurs étant tirés le long de cette piste.</v>
      </c>
    </row>
    <row r="37" ht="22.5" customHeight="1">
      <c r="A37" s="4">
        <v>36.0</v>
      </c>
      <c r="B37" s="5" t="s">
        <v>149</v>
      </c>
      <c r="C37" s="5" t="s">
        <v>150</v>
      </c>
      <c r="D37" s="5" t="s">
        <v>151</v>
      </c>
      <c r="E37" s="5" t="s">
        <v>152</v>
      </c>
      <c r="G37" s="6" t="str">
        <f>IFERROR(__xludf.DUMMYFUNCTION("GOOGLETRANSLATE(A37, ""en"", ""fr"")"),"36")</f>
        <v>36</v>
      </c>
      <c r="H37" s="6" t="str">
        <f>IFERROR(__xludf.DUMMYFUNCTION("GOOGLETRANSLATE(B37, ""en"", ""fr"")"),"Quel est le but de la pointe en fer à trois pointes (trois-points) sur la lance ?")</f>
        <v>Quel est le but de la pointe en fer à trois pointes (trois-points) sur la lance ?</v>
      </c>
      <c r="I37" s="6" t="str">
        <f>IFERROR(__xludf.DUMMYFUNCTION("GOOGLETRANSLATE(C37, ""en"", ""fr"")"),"A) Pour blesser l'adversaire, B) Pour mieux agripper le bouclier en bois de l'adversaire, C) C'est purement décoratif, D) Pour briser la lance de l'adversaire")</f>
        <v>A) Pour blesser l'adversaire, B) Pour mieux agripper le bouclier en bois de l'adversaire, C) C'est purement décoratif, D) Pour briser la lance de l'adversaire</v>
      </c>
      <c r="J37" s="6" t="str">
        <f>IFERROR(__xludf.DUMMYFUNCTION("GOOGLETRANSLATE(D37, ""en"", ""fr"")"),"B) Pour une meilleure prise sur le bouclier en bois de l'adversaire")</f>
        <v>B) Pour une meilleure prise sur le bouclier en bois de l'adversaire</v>
      </c>
      <c r="K37" s="6" t="str">
        <f>IFERROR(__xludf.DUMMYFUNCTION("GOOGLETRANSLATE(E37, ""en"", ""fr"")"),"Les trois points sont conçus pour s'ancrer dans le bois du pavois, assurant une connexion solide capable de déstabiliser l'adversaire.")</f>
        <v>Les trois points sont conçus pour s'ancrer dans le bois du pavois, assurant une connexion solide capable de déstabiliser l'adversaire.</v>
      </c>
    </row>
    <row r="38" ht="22.5" customHeight="1">
      <c r="A38" s="4">
        <v>37.0</v>
      </c>
      <c r="B38" s="5" t="s">
        <v>153</v>
      </c>
      <c r="C38" s="5" t="s">
        <v>154</v>
      </c>
      <c r="D38" s="5" t="s">
        <v>155</v>
      </c>
      <c r="E38" s="5" t="s">
        <v>156</v>
      </c>
      <c r="G38" s="6" t="str">
        <f>IFERROR(__xludf.DUMMYFUNCTION("GOOGLETRANSLATE(A38, ""en"", ""fr"")"),"37")</f>
        <v>37</v>
      </c>
      <c r="H38" s="6" t="str">
        <f>IFERROR(__xludf.DUMMYFUNCTION("GOOGLETRANSLATE(B38, ""en"", ""fr"")"),"Quelle est la règle si un jouteur tombe mais parvient à entraîner son adversaire avec lui dans l'eau ?")</f>
        <v>Quelle est la règle si un jouteur tombe mais parvient à entraîner son adversaire avec lui dans l'eau ?</v>
      </c>
      <c r="I38" s="6" t="str">
        <f>IFERROR(__xludf.DUMMYFUNCTION("GOOGLETRANSLATE(C38, ""en"", ""fr"")"),"A) Le premier jouteur perd toujours. B) La passe est déclarée nulle et est rejouée. C) Le deuxième jouteur à tomber est le vainqueur. D) Les deux jouteurs sont éliminés.")</f>
        <v>A) Le premier jouteur perd toujours. B) La passe est déclarée nulle et est rejouée. C) Le deuxième jouteur à tomber est le vainqueur. D) Les deux jouteurs sont éliminés.</v>
      </c>
      <c r="J38" s="6" t="str">
        <f>IFERROR(__xludf.DUMMYFUNCTION("GOOGLETRANSLATE(D38, ""en"", ""fr"")"),"B) La passe est déclarée nulle et est rejouée.")</f>
        <v>B) La passe est déclarée nulle et est rejouée.</v>
      </c>
      <c r="K38" s="6" t="str">
        <f>IFERROR(__xludf.DUMMYFUNCTION("GOOGLETRANSLATE(E38, ""en"", ""fr"")"),"Si aucun des deux jouteurs ne peut rester sur la tintaine, le résultat est un match nul et la passe doit être disputée à nouveau.")</f>
        <v>Si aucun des deux jouteurs ne peut rester sur la tintaine, le résultat est un match nul et la passe doit être disputée à nouveau.</v>
      </c>
    </row>
    <row r="39" ht="22.5" customHeight="1">
      <c r="A39" s="4">
        <v>38.0</v>
      </c>
      <c r="B39" s="5" t="s">
        <v>157</v>
      </c>
      <c r="C39" s="5" t="s">
        <v>158</v>
      </c>
      <c r="D39" s="5" t="s">
        <v>59</v>
      </c>
      <c r="E39" s="5" t="s">
        <v>159</v>
      </c>
      <c r="G39" s="6" t="str">
        <f>IFERROR(__xludf.DUMMYFUNCTION("GOOGLETRANSLATE(A39, ""en"", ""fr"")"),"38")</f>
        <v>38</v>
      </c>
      <c r="H39" s="6" t="str">
        <f>IFERROR(__xludf.DUMMYFUNCTION("GOOGLETRANSLATE(B39, ""en"", ""fr"")"),"Quel est le matériau principal du pavois (bouclier) ?")</f>
        <v>Quel est le matériau principal du pavois (bouclier) ?</v>
      </c>
      <c r="I39" s="6" t="str">
        <f>IFERROR(__xludf.DUMMYFUNCTION("GOOGLETRANSLATE(C39, ""en"", ""fr"")"),"A) Acier, B) Aluminium, C) Bois, D) Plastique")</f>
        <v>A) Acier, B) Aluminium, C) Bois, D) Plastique</v>
      </c>
      <c r="J39" s="6" t="str">
        <f>IFERROR(__xludf.DUMMYFUNCTION("GOOGLETRANSLATE(D39, ""en"", ""fr"")"),"C) Bois")</f>
        <v>C) Bois</v>
      </c>
      <c r="K39" s="6" t="str">
        <f>IFERROR(__xludf.DUMMYFUNCTION("GOOGLETRANSLATE(E39, ""en"", ""fr"")"),"Le bouclier est en bois, suffisamment solide pour résister à l'impact mais assez tendre pour que la pointe de la lance puisse s'y agripper.")</f>
        <v>Le bouclier est en bois, suffisamment solide pour résister à l'impact mais assez tendre pour que la pointe de la lance puisse s'y agripper.</v>
      </c>
    </row>
    <row r="40" ht="22.5" customHeight="1">
      <c r="A40" s="4">
        <v>39.0</v>
      </c>
      <c r="B40" s="5" t="s">
        <v>160</v>
      </c>
      <c r="C40" s="5" t="s">
        <v>161</v>
      </c>
      <c r="D40" s="5" t="s">
        <v>162</v>
      </c>
      <c r="E40" s="5" t="s">
        <v>163</v>
      </c>
      <c r="G40" s="6" t="str">
        <f>IFERROR(__xludf.DUMMYFUNCTION("GOOGLETRANSLATE(A40, ""en"", ""fr"")"),"39")</f>
        <v>39</v>
      </c>
      <c r="H40" s="6" t="str">
        <f>IFERROR(__xludf.DUMMYFUNCTION("GOOGLETRANSLATE(B40, ""en"", ""fr"")"),"Un jouteur est pénalisé pour avoir « gardé sa main libre sur le bateau ». Pourquoi est-ce une faute ?")</f>
        <v>Un jouteur est pénalisé pour avoir « gardé sa main libre sur le bateau ». Pourquoi est-ce une faute ?</v>
      </c>
      <c r="I40" s="6" t="str">
        <f>IFERROR(__xludf.DUMMYFUNCTION("GOOGLETRANSLATE(C40, ""en"", ""fr"")"),"A) C'est irrespectueux, B) Cela crée une source d'équilibre et de stabilité injuste, C) Cela peut endommager le bateau, D) Ce n'est pas une faute")</f>
        <v>A) C'est irrespectueux, B) Cela crée une source d'équilibre et de stabilité injuste, C) Cela peut endommager le bateau, D) Ce n'est pas une faute</v>
      </c>
      <c r="J40" s="6" t="str">
        <f>IFERROR(__xludf.DUMMYFUNCTION("GOOGLETRANSLATE(D40, ""en"", ""fr"")"),"B) Elle constitue une source injuste d'équilibre et de stabilité")</f>
        <v>B) Elle constitue une source injuste d'équilibre et de stabilité</v>
      </c>
      <c r="K40" s="6" t="str">
        <f>IFERROR(__xludf.DUMMYFUNCTION("GOOGLETRANSLATE(E40, ""en"", ""fr"")"),"Le jouteur doit tenir en équilibre sur la tintaine en utilisant uniquement son habileté. S'appuyer sur le bateau est interdit.")</f>
        <v>Le jouteur doit tenir en équilibre sur la tintaine en utilisant uniquement son habileté. S'appuyer sur le bateau est interdit.</v>
      </c>
    </row>
    <row r="41" ht="22.5" customHeight="1">
      <c r="A41" s="4">
        <v>40.0</v>
      </c>
      <c r="B41" s="5" t="s">
        <v>164</v>
      </c>
      <c r="C41" s="5" t="s">
        <v>165</v>
      </c>
      <c r="D41" s="5" t="s">
        <v>166</v>
      </c>
      <c r="E41" s="5" t="s">
        <v>167</v>
      </c>
      <c r="G41" s="6" t="str">
        <f>IFERROR(__xludf.DUMMYFUNCTION("GOOGLETRANSLATE(A41, ""en"", ""fr"")"),"40")</f>
        <v>40</v>
      </c>
      <c r="H41" s="6" t="str">
        <f>IFERROR(__xludf.DUMMYFUNCTION("GOOGLETRANSLATE(B41, ""en"", ""fr"")"),"Quelle est la principale différence entre les bateaux utilisés dans la méthode lyonnaise et ceux utilisés dans la méthode languedocienne ?")</f>
        <v>Quelle est la principale différence entre les bateaux utilisés dans la méthode lyonnaise et ceux utilisés dans la méthode languedocienne ?</v>
      </c>
      <c r="I41" s="6" t="str">
        <f>IFERROR(__xludf.DUMMYFUNCTION("GOOGLETRANSLATE(C41, ""en"", ""fr"")"),"A) Ils sont plus lourds, B) Ils sont propulsés par un moteur et non par des rameurs, C) Ils sont fabriqués en fibre de verre, D) Ils n'ont pas de plateforme")</f>
        <v>A) Ils sont plus lourds, B) Ils sont propulsés par un moteur et non par des rameurs, C) Ils sont fabriqués en fibre de verre, D) Ils n'ont pas de plateforme</v>
      </c>
      <c r="J41" s="6" t="str">
        <f>IFERROR(__xludf.DUMMYFUNCTION("GOOGLETRANSLATE(D41, ""en"", ""fr"")"),"B) Ils sont propulsés par un moteur, et non par des rameurs.")</f>
        <v>B) Ils sont propulsés par un moteur, et non par des rameurs.</v>
      </c>
      <c r="K41" s="6" t="str">
        <f>IFERROR(__xludf.DUMMYFUNCTION("GOOGLETRANSLATE(E41, ""en"", ""fr"")"),"Le style lyonnais utilise des bateaux à moteur, ce qui crée un passage plus rapide et différent de celui, rythmé, de la rame du style sète.")</f>
        <v>Le style lyonnais utilise des bateaux à moteur, ce qui crée un passage plus rapide et différent de celui, rythmé, de la rame du style sète.</v>
      </c>
    </row>
    <row r="42" ht="22.5" customHeight="1">
      <c r="A42" s="4">
        <v>41.0</v>
      </c>
      <c r="B42" s="5" t="s">
        <v>168</v>
      </c>
      <c r="C42" s="5" t="s">
        <v>169</v>
      </c>
      <c r="D42" s="5" t="s">
        <v>170</v>
      </c>
      <c r="E42" s="5" t="s">
        <v>171</v>
      </c>
      <c r="G42" s="6" t="str">
        <f>IFERROR(__xludf.DUMMYFUNCTION("GOOGLETRANSLATE(A42, ""en"", ""fr"")"),"41")</f>
        <v>41</v>
      </c>
      <c r="H42" s="6" t="str">
        <f>IFERROR(__xludf.DUMMYFUNCTION("GOOGLETRANSLATE(B42, ""en"", ""fr"")"),"Un jouteur est averti car il n'est pas dans la bonne position de départ. Quelle est la position requise ?")</f>
        <v>Un jouteur est averti car il n'est pas dans la bonne position de départ. Quelle est la position requise ?</v>
      </c>
      <c r="I42" s="6" t="str">
        <f>IFERROR(__xludf.DUMMYFUNCTION("GOOGLETRANSLATE(C42, ""en"", ""fr"")"),"A) Assis au bord de la tintaine, B) Debout, les pieds dans les zones marquées, la lance tenue horizontalement, C) À genoux sur la tintaine, D) Debout, la lance pointée vers l'eau")</f>
        <v>A) Assis au bord de la tintaine, B) Debout, les pieds dans les zones marquées, la lance tenue horizontalement, C) À genoux sur la tintaine, D) Debout, la lance pointée vers l'eau</v>
      </c>
      <c r="J42" s="6" t="str">
        <f>IFERROR(__xludf.DUMMYFUNCTION("GOOGLETRANSLATE(D42, ""en"", ""fr"")"),"B) Debout, les pieds dans les zones marquées, la lance tenue horizontalement")</f>
        <v>B) Debout, les pieds dans les zones marquées, la lance tenue horizontalement</v>
      </c>
      <c r="K42" s="6" t="str">
        <f>IFERROR(__xludf.DUMMYFUNCTION("GOOGLETRANSLATE(E42, ""en"", ""fr"")"),"Un jouteur doit se trouver dans la position correcte et prête avant que les bateaux ne commencent à bouger.")</f>
        <v>Un jouteur doit se trouver dans la position correcte et prête avant que les bateaux ne commencent à bouger.</v>
      </c>
    </row>
    <row r="43" ht="22.5" customHeight="1">
      <c r="A43" s="4">
        <v>42.0</v>
      </c>
      <c r="B43" s="5" t="s">
        <v>172</v>
      </c>
      <c r="C43" s="5" t="s">
        <v>173</v>
      </c>
      <c r="D43" s="5" t="s">
        <v>174</v>
      </c>
      <c r="E43" s="5" t="s">
        <v>175</v>
      </c>
      <c r="G43" s="6" t="str">
        <f>IFERROR(__xludf.DUMMYFUNCTION("GOOGLETRANSLATE(A43, ""en"", ""fr"")"),"42")</f>
        <v>42</v>
      </c>
      <c r="H43" s="6" t="str">
        <f>IFERROR(__xludf.DUMMYFUNCTION("GOOGLETRANSLATE(B43, ""en"", ""fr"")"),"Quelle est la principale raison pour laquelle la lance d'un jouteur est munie d'une plaque de métal protégeant sa main ?")</f>
        <v>Quelle est la principale raison pour laquelle la lance d'un jouteur est munie d'une plaque de métal protégeant sa main ?</v>
      </c>
      <c r="I43" s="6" t="str">
        <f>IFERROR(__xludf.DUMMYFUNCTION("GOOGLETRANSLATE(C43, ""en"", ""fr"")"),"A) À des fins décoratives, B) Pour empêcher leur main de glisser le long de la lance, C) Pour protéger leur main de la lance de l'adversaire et des éclats, D) Pour ajouter du poids")</f>
        <v>A) À des fins décoratives, B) Pour empêcher leur main de glisser le long de la lance, C) Pour protéger leur main de la lance de l'adversaire et des éclats, D) Pour ajouter du poids</v>
      </c>
      <c r="J43" s="6" t="str">
        <f>IFERROR(__xludf.DUMMYFUNCTION("GOOGLETRANSLATE(D43, ""en"", ""fr"")"),"C) Pour protéger leur main de la lance de l'adversaire et des échardes")</f>
        <v>C) Pour protéger leur main de la lance de l'adversaire et des échardes</v>
      </c>
      <c r="K43" s="6" t="str">
        <f>IFERROR(__xludf.DUMMYFUNCTION("GOOGLETRANSLATE(E43, ""en"", ""fr"")"),"La protection est un élément crucial de l'équipement de sécurité qui protège la main du jouteur qui tient l'échine.")</f>
        <v>La protection est un élément crucial de l'équipement de sécurité qui protège la main du jouteur qui tient l'échine.</v>
      </c>
    </row>
    <row r="44" ht="22.5" customHeight="1">
      <c r="A44" s="4">
        <v>43.0</v>
      </c>
      <c r="B44" s="5" t="s">
        <v>176</v>
      </c>
      <c r="C44" s="5" t="s">
        <v>177</v>
      </c>
      <c r="D44" s="5" t="s">
        <v>178</v>
      </c>
      <c r="E44" s="5" t="s">
        <v>179</v>
      </c>
      <c r="G44" s="6" t="str">
        <f>IFERROR(__xludf.DUMMYFUNCTION("GOOGLETRANSLATE(A44, ""en"", ""fr"")"),"43")</f>
        <v>43</v>
      </c>
      <c r="H44" s="6" t="str">
        <f>IFERROR(__xludf.DUMMYFUNCTION("GOOGLETRANSLATE(B44, ""en"", ""fr"")"),"Un jouteur remporte une passe, mais l'arbitre invalide sa victoire. Quelle pourrait en être la raison ?")</f>
        <v>Un jouteur remporte une passe, mais l'arbitre invalide sa victoire. Quelle pourrait en être la raison ?</v>
      </c>
      <c r="I44" s="6" t="str">
        <f>IFERROR(__xludf.DUMMYFUNCTION("GOOGLETRANSLATE(C44, ""en"", ""fr"")"),"A) Ils ont trop fêté leur victoire, B) Ils ont touché une partie illégale du bouclier de l'adversaire, C) Ils étaient trop lents, D) Leur bateau était plus rapide")</f>
        <v>A) Ils ont trop fêté leur victoire, B) Ils ont touché une partie illégale du bouclier de l'adversaire, C) Ils étaient trop lents, D) Leur bateau était plus rapide</v>
      </c>
      <c r="J44" s="6" t="str">
        <f>IFERROR(__xludf.DUMMYFUNCTION("GOOGLETRANSLATE(D44, ""en"", ""fr"")"),"B) Ils ont frappé une partie illégale du bouclier de l'adversaire")</f>
        <v>B) Ils ont frappé une partie illégale du bouclier de l'adversaire</v>
      </c>
      <c r="K44" s="6" t="str">
        <f>IFERROR(__xludf.DUMMYFUNCTION("GOOGLETRANSLATE(E44, ""en"", ""fr"")"),"Le pavois comporte des zones cibles désignées. Un tir en dehors de ces zones constitue une faute et annule la victoire.")</f>
        <v>Le pavois comporte des zones cibles désignées. Un tir en dehors de ces zones constitue une faute et annule la victoire.</v>
      </c>
    </row>
    <row r="45" ht="22.5" customHeight="1">
      <c r="A45" s="4">
        <v>44.0</v>
      </c>
      <c r="B45" s="5" t="s">
        <v>180</v>
      </c>
      <c r="C45" s="5" t="s">
        <v>181</v>
      </c>
      <c r="D45" s="5" t="s">
        <v>182</v>
      </c>
      <c r="E45" s="5" t="s">
        <v>183</v>
      </c>
      <c r="G45" s="6" t="str">
        <f>IFERROR(__xludf.DUMMYFUNCTION("GOOGLETRANSLATE(A45, ""en"", ""fr"")"),"44")</f>
        <v>44</v>
      </c>
      <c r="H45" s="6" t="str">
        <f>IFERROR(__xludf.DUMMYFUNCTION("GOOGLETRANSLATE(B45, ""en"", ""fr"")"),"Dans un tournoi, qu'est-ce qu'une «poule» ?")</f>
        <v>Dans un tournoi, qu'est-ce qu'une «poule» ?</v>
      </c>
      <c r="I45" s="6" t="str">
        <f>IFERROR(__xludf.DUMMYFUNCTION("GOOGLETRANSLATE(C45, ""en"", ""fr"")"),"A) La finale, B) Un groupe de poules en début de compétition, C) Un prix pour le vainqueur, D) Un type de bateau")</f>
        <v>A) La finale, B) Un groupe de poules en début de compétition, C) Un prix pour le vainqueur, D) Un type de bateau</v>
      </c>
      <c r="J45" s="6" t="str">
        <f>IFERROR(__xludf.DUMMYFUNCTION("GOOGLETRANSLATE(D45, ""en"", ""fr"")"),"B) Un groupe à la ronde lors des premières phases de la compétition")</f>
        <v>B) Un groupe à la ronde lors des premières phases de la compétition</v>
      </c>
      <c r="K45" s="6" t="str">
        <f>IFERROR(__xludf.DUMMYFUNCTION("GOOGLETRANSLATE(E45, ""en"", ""fr"")"),"Comme dans de nombreux sports français, une poule est un groupe où plusieurs jouteurs s'affrontent pour se qualifier pour les phases finales.")</f>
        <v>Comme dans de nombreux sports français, une poule est un groupe où plusieurs jouteurs s'affrontent pour se qualifier pour les phases finales.</v>
      </c>
    </row>
    <row r="46" ht="22.5" customHeight="1">
      <c r="A46" s="4">
        <v>45.0</v>
      </c>
      <c r="B46" s="5" t="s">
        <v>184</v>
      </c>
      <c r="C46" s="5" t="s">
        <v>185</v>
      </c>
      <c r="D46" s="5" t="s">
        <v>186</v>
      </c>
      <c r="E46" s="5" t="s">
        <v>187</v>
      </c>
      <c r="G46" s="6" t="str">
        <f>IFERROR(__xludf.DUMMYFUNCTION("GOOGLETRANSLATE(A46, ""en"", ""fr"")"),"45")</f>
        <v>45</v>
      </c>
      <c r="H46" s="6" t="str">
        <f>IFERROR(__xludf.DUMMYFUNCTION("GOOGLETRANSLATE(B46, ""en"", ""fr"")"),"Quel est le but du jouteur qui porte un uniforme blanc ?")</f>
        <v>Quel est le but du jouteur qui porte un uniforme blanc ?</v>
      </c>
      <c r="I46" s="6" t="str">
        <f>IFERROR(__xludf.DUMMYFUNCTION("GOOGLETRANSLATE(C46, ""en"", ""fr"")"),"A) C'est un choix de mode moderne, B) Cela rend le jouteur plus visible pour le taureau, C) C'est la tenue traditionnelle et obligatoire, symbolisant l'équité et facilitant l'observation du combat par les juges, D) C'est la couleur du drapeau français")</f>
        <v>A) C'est un choix de mode moderne, B) Cela rend le jouteur plus visible pour le taureau, C) C'est la tenue traditionnelle et obligatoire, symbolisant l'équité et facilitant l'observation du combat par les juges, D) C'est la couleur du drapeau français</v>
      </c>
      <c r="J46" s="6" t="str">
        <f>IFERROR(__xludf.DUMMYFUNCTION("GOOGLETRANSLATE(D46, ""en"", ""fr"")"),"C) Il s'agit de la tenue traditionnelle et obligatoire, symbolisant l'équité et facilitant l'observation de l'action par les juges.")</f>
        <v>C) Il s'agit de la tenue traditionnelle et obligatoire, symbolisant l'équité et facilitant l'observation de l'action par les juges.</v>
      </c>
      <c r="K46" s="6" t="str">
        <f>IFERROR(__xludf.DUMMYFUNCTION("GOOGLETRANSLATE(E46, ""en"", ""fr"")"),"L'uniforme blanc offre un contraste net avec le bouclier et l'eau, permettant aux officiels de prendre des décisions précises.")</f>
        <v>L'uniforme blanc offre un contraste net avec le bouclier et l'eau, permettant aux officiels de prendre des décisions précises.</v>
      </c>
    </row>
    <row r="47" ht="22.5" customHeight="1">
      <c r="A47" s="4">
        <v>46.0</v>
      </c>
      <c r="B47" s="5" t="s">
        <v>188</v>
      </c>
      <c r="C47" s="5" t="s">
        <v>189</v>
      </c>
      <c r="D47" s="5" t="s">
        <v>190</v>
      </c>
      <c r="E47" s="5" t="s">
        <v>191</v>
      </c>
      <c r="G47" s="6" t="str">
        <f>IFERROR(__xludf.DUMMYFUNCTION("GOOGLETRANSLATE(A47, ""en"", ""fr"")"),"46")</f>
        <v>46</v>
      </c>
      <c r="H47" s="6" t="str">
        <f>IFERROR(__xludf.DUMMYFUNCTION("GOOGLETRANSLATE(B47, ""en"", ""fr"")"),"Un jouteur est disqualifié s'il utilise une lance trop longue. Pourquoi existe-t-il une règle de longueur maximale ?")</f>
        <v>Un jouteur est disqualifié s'il utilise une lance trop longue. Pourquoi existe-t-il une règle de longueur maximale ?</v>
      </c>
      <c r="I47" s="6" t="str">
        <f>IFERROR(__xludf.DUMMYFUNCTION("GOOGLETRANSLATE(C47, ""en"", ""fr"")"),"A) Une longue lance est plus difficile à contrôler. B) Pour empêcher un cavalier de bénéficier d'un avantage injuste en termes d'allonge. C) Pour que les lances tiennent sur le bateau. D) C'est une règle traditionnelle sans utilité pratique.")</f>
        <v>A) Une longue lance est plus difficile à contrôler. B) Pour empêcher un cavalier de bénéficier d'un avantage injuste en termes d'allonge. C) Pour que les lances tiennent sur le bateau. D) C'est une règle traditionnelle sans utilité pratique.</v>
      </c>
      <c r="J47" s="6" t="str">
        <f>IFERROR(__xludf.DUMMYFUNCTION("GOOGLETRANSLATE(D47, ""en"", ""fr"")"),"B) Empêcher un cavalier d'obtenir un avantage injuste en termes d'allonge")</f>
        <v>B) Empêcher un cavalier d'obtenir un avantage injuste en termes d'allonge</v>
      </c>
      <c r="K47" s="6" t="str">
        <f>IFERROR(__xludf.DUMMYFUNCTION("GOOGLETRANSLATE(E47, ""en"", ""fr"")"),"La longueur de la lance est standardisée afin de garantir que tous les concurrents disposent du même équipement et que la compétition soit équitable.")</f>
        <v>La longueur de la lance est standardisée afin de garantir que tous les concurrents disposent du même équipement et que la compétition soit équitable.</v>
      </c>
    </row>
    <row r="48" ht="22.5" customHeight="1">
      <c r="A48" s="4">
        <v>47.0</v>
      </c>
      <c r="B48" s="5" t="s">
        <v>192</v>
      </c>
      <c r="C48" s="5" t="s">
        <v>193</v>
      </c>
      <c r="D48" s="5" t="s">
        <v>194</v>
      </c>
      <c r="E48" s="5" t="s">
        <v>195</v>
      </c>
      <c r="G48" s="6" t="str">
        <f>IFERROR(__xludf.DUMMYFUNCTION("GOOGLETRANSLATE(A48, ""en"", ""fr"")"),"47")</f>
        <v>47</v>
      </c>
      <c r="H48" s="6" t="str">
        <f>IFERROR(__xludf.DUMMYFUNCTION("GOOGLETRANSLATE(B48, ""en"", ""fr"")"),"Quel est le rôle du « président du jury » ?")</f>
        <v>Quel est le rôle du « président du jury » ?</v>
      </c>
      <c r="I48" s="6" t="str">
        <f>IFERROR(__xludf.DUMMYFUNCTION("GOOGLETRANSLATE(C48, ""en"", ""fr"")"),"A) Être le sponsor principal, B) Être le responsable du tournoi et avoir le dernier mot sur toutes les réclamations et l'interprétation des règles, C) Être le capitaine de l'équipe gagnante, D) Être le maire de la ville hôte")</f>
        <v>A) Être le sponsor principal, B) Être le responsable du tournoi et avoir le dernier mot sur toutes les réclamations et l'interprétation des règles, C) Être le capitaine de l'équipe gagnante, D) Être le maire de la ville hôte</v>
      </c>
      <c r="J48" s="6" t="str">
        <f>IFERROR(__xludf.DUMMYFUNCTION("GOOGLETRANSLATE(D48, ""en"", ""fr"")"),"B) Être le principal responsable du tournoi, ayant le dernier mot sur toutes les réclamations et les interprétations des règles.")</f>
        <v>B) Être le principal responsable du tournoi, ayant le dernier mot sur toutes les réclamations et les interprétations des règles.</v>
      </c>
      <c r="K48" s="6" t="str">
        <f>IFERROR(__xludf.DUMMYFUNCTION("GOOGLETRANSLATE(E48, ""en"", ""fr"")"),"Il s'agit du plus haut responsable de l'événement, chargé de superviser l'ensemble de la compétition.")</f>
        <v>Il s'agit du plus haut responsable de l'événement, chargé de superviser l'ensemble de la compétition.</v>
      </c>
    </row>
    <row r="49" ht="22.5" customHeight="1">
      <c r="A49" s="4">
        <v>48.0</v>
      </c>
      <c r="B49" s="5" t="s">
        <v>196</v>
      </c>
      <c r="C49" s="5" t="s">
        <v>197</v>
      </c>
      <c r="D49" s="5" t="s">
        <v>198</v>
      </c>
      <c r="E49" s="5" t="s">
        <v>199</v>
      </c>
      <c r="G49" s="6" t="str">
        <f>IFERROR(__xludf.DUMMYFUNCTION("GOOGLETRANSLATE(A49, ""en"", ""fr"")"),"48")</f>
        <v>48</v>
      </c>
      <c r="H49" s="6" t="str">
        <f>IFERROR(__xludf.DUMMYFUNCTION("GOOGLETRANSLATE(B49, ""en"", ""fr"")"),"Quelle est la décision à prendre si la lance d'un jouteur se brise et qu'un éclat atteint son adversaire ?")</f>
        <v>Quelle est la décision à prendre si la lance d'un jouteur se brise et qu'un éclat atteint son adversaire ?</v>
      </c>
      <c r="I49" s="6" t="str">
        <f>IFERROR(__xludf.DUMMYFUNCTION("GOOGLETRANSLATE(C49, ""en"", ""fr"")"),"A) Le premier jouteur est disqualifié. B) La passe est immédiatement interrompue et la situation est évaluée afin de déterminer les risques. C) L'adversaire remporte le point. D) La passe continue.")</f>
        <v>A) Le premier jouteur est disqualifié. B) La passe est immédiatement interrompue et la situation est évaluée afin de déterminer les risques. C) L'adversaire remporte le point. D) La passe continue.</v>
      </c>
      <c r="J49" s="6" t="str">
        <f>IFERROR(__xludf.DUMMYFUNCTION("GOOGLETRANSLATE(D49, ""en"", ""fr"")"),"B) Le passage est immédiatement interrompu et la situation est évaluée en matière de sécurité.")</f>
        <v>B) Le passage est immédiatement interrompu et la situation est évaluée en matière de sécurité.</v>
      </c>
      <c r="K49" s="6" t="str">
        <f>IFERROR(__xludf.DUMMYFUNCTION("GOOGLETRANSLATE(E49, ""en"", ""fr"")"),"La sécurité des jouteurs est la priorité absolue. Toute défaillance de matériel susceptible de causer des blessures exige un arrêt immédiat.")</f>
        <v>La sécurité des jouteurs est la priorité absolue. Toute défaillance de matériel susceptible de causer des blessures exige un arrêt immédiat.</v>
      </c>
    </row>
    <row r="50" ht="22.5" customHeight="1">
      <c r="A50" s="4">
        <v>49.0</v>
      </c>
      <c r="B50" s="5" t="s">
        <v>200</v>
      </c>
      <c r="C50" s="5" t="s">
        <v>201</v>
      </c>
      <c r="D50" s="5" t="s">
        <v>202</v>
      </c>
      <c r="E50" s="5" t="s">
        <v>203</v>
      </c>
      <c r="G50" s="6" t="str">
        <f>IFERROR(__xludf.DUMMYFUNCTION("GOOGLETRANSLATE(A50, ""en"", ""fr"")"),"49")</f>
        <v>49</v>
      </c>
      <c r="H50" s="6" t="str">
        <f>IFERROR(__xludf.DUMMYFUNCTION("GOOGLETRANSLATE(B50, ""en"", ""fr"")"),"Quelle est la principale caractéristique du style de joute de la méthode « parisienne » ?")</f>
        <v>Quelle est la principale caractéristique du style de joute de la méthode « parisienne » ?</v>
      </c>
      <c r="I50" s="6" t="str">
        <f>IFERROR(__xludf.DUMMYFUNCTION("GOOGLETRANSLATE(C50, ""en"", ""fr"")"),"A) C'est la méthode la plus rapide, B) Les jouteurs sont sur un char coulissant sur une plateforme fixe, et non sur des bateaux en mouvement, C) Il se joue sur la mer, D) Il utilise les lances les plus longues")</f>
        <v>A) C'est la méthode la plus rapide, B) Les jouteurs sont sur un char coulissant sur une plateforme fixe, et non sur des bateaux en mouvement, C) Il se joue sur la mer, D) Il utilise les lances les plus longues</v>
      </c>
      <c r="J50" s="6" t="str">
        <f>IFERROR(__xludf.DUMMYFUNCTION("GOOGLETRANSLATE(D50, ""en"", ""fr"")"),"B) Les jouteurs se trouvent sur un char coulissant sur une plateforme fixe, et non sur des bateaux en mouvement.")</f>
        <v>B) Les jouteurs se trouvent sur un char coulissant sur une plateforme fixe, et non sur des bateaux en mouvement.</v>
      </c>
      <c r="K50" s="6" t="str">
        <f>IFERROR(__xludf.DUMMYFUNCTION("GOOGLETRANSLATE(E50, ""en"", ""fr"")"),"Cette méthode unique, pratiquée sur les canaux de Paris et de ses environs, est très différente des styles de navigation du sud.")</f>
        <v>Cette méthode unique, pratiquée sur les canaux de Paris et de ses environs, est très différente des styles de navigation du sud.</v>
      </c>
    </row>
    <row r="51" ht="22.5" customHeight="1">
      <c r="A51" s="4">
        <v>50.0</v>
      </c>
      <c r="B51" s="5" t="s">
        <v>204</v>
      </c>
      <c r="C51" s="5" t="s">
        <v>205</v>
      </c>
      <c r="D51" s="5" t="s">
        <v>206</v>
      </c>
      <c r="E51" s="5" t="s">
        <v>207</v>
      </c>
      <c r="G51" s="6" t="str">
        <f>IFERROR(__xludf.DUMMYFUNCTION("GOOGLETRANSLATE(A51, ""en"", ""fr"")"),"50")</f>
        <v>50</v>
      </c>
      <c r="H51" s="6" t="str">
        <f>IFERROR(__xludf.DUMMYFUNCTION("GOOGLETRANSLATE(B51, ""en"", ""fr"")"),"En substance, quelle est la principale compétence mise à l'épreuve lors des joutes nautiques ?")</f>
        <v>En substance, quelle est la principale compétence mise à l'épreuve lors des joutes nautiques ?</v>
      </c>
      <c r="I51" s="6" t="str">
        <f>IFERROR(__xludf.DUMMYFUNCTION("GOOGLETRANSLATE(C51, ""en"", ""fr"")"),"A) La force des rameurs, B) La vitesse du bateau, C) L'habileté du jouteur à maintenir son équilibre tout en portant un coup puissant et précis, D) La beauté de l'équipement")</f>
        <v>A) La force des rameurs, B) La vitesse du bateau, C) L'habileté du jouteur à maintenir son équilibre tout en portant un coup puissant et précis, D) La beauté de l'équipement</v>
      </c>
      <c r="J51" s="6" t="str">
        <f>IFERROR(__xludf.DUMMYFUNCTION("GOOGLETRANSLATE(D51, ""en"", ""fr"")"),"C) La capacité du jouteur à maintenir son équilibre tout en portant un coup puissant et précis")</f>
        <v>C) La capacité du jouteur à maintenir son équilibre tout en portant un coup puissant et précis</v>
      </c>
      <c r="K51" s="6" t="str">
        <f>IFERROR(__xludf.DUMMYFUNCTION("GOOGLETRANSLATE(E51, ""en"", ""fr"")"),"Ce sport est l'épreuve ultime de l'équilibre, du timing, de la force et de la précision d'un jouteur, le tout réalisé sur une plateforme instable et mobile.")</f>
        <v>Ce sport est l'épreuve ultime de l'équilibre, du timing, de la force et de la précision d'un jouteur, le tout réalisé sur une plateforme instable et mobile.</v>
      </c>
    </row>
    <row r="52" ht="22.5" customHeight="1">
      <c r="A52" s="4">
        <v>51.0</v>
      </c>
      <c r="B52" s="5" t="s">
        <v>208</v>
      </c>
      <c r="C52" s="5" t="s">
        <v>209</v>
      </c>
      <c r="D52" s="5" t="s">
        <v>123</v>
      </c>
      <c r="E52" s="5" t="s">
        <v>210</v>
      </c>
      <c r="G52" s="6" t="str">
        <f>IFERROR(__xludf.DUMMYFUNCTION("GOOGLETRANSLATE(A52, ""en"", ""fr"")"),"51")</f>
        <v>51</v>
      </c>
      <c r="H52" s="6" t="str">
        <f>IFERROR(__xludf.DUMMYFUNCTION("GOOGLETRANSLATE(B52, ""en"", ""fr"")"),"Un jouteur est pénalisé pour « garde incorrecte ». Qu'a-t-il bien pu faire ?")</f>
        <v>Un jouteur est pénalisé pour « garde incorrecte ». Qu'a-t-il bien pu faire ?</v>
      </c>
      <c r="I52" s="6" t="str">
        <f>IFERROR(__xludf.DUMMYFUNCTION("GOOGLETRANSLATE(C52, ""en"", ""fr"")"),"A) Ils tenaient leur lance à un angle incorrect avant le passage, B) Ils ont placé leurs pieds hors des empreintes marquées sur la tintaine, C) Ils tenaient leur bouclier dans une position incorrecte, D) N'importe laquelle des réponses ci-dessus")</f>
        <v>A) Ils tenaient leur lance à un angle incorrect avant le passage, B) Ils ont placé leurs pieds hors des empreintes marquées sur la tintaine, C) Ils tenaient leur bouclier dans une position incorrecte, D) N'importe laquelle des réponses ci-dessus</v>
      </c>
      <c r="J52" s="6" t="str">
        <f>IFERROR(__xludf.DUMMYFUNCTION("GOOGLETRANSLATE(D52, ""en"", ""fr"")"),"D) N'importe laquelle des réponses ci-dessus")</f>
        <v>D) N'importe laquelle des réponses ci-dessus</v>
      </c>
      <c r="K52" s="6" t="str">
        <f>IFERROR(__xludf.DUMMYFUNCTION("GOOGLETRANSLATE(E52, ""en"", ""fr"")"),"Une « garde incorrecte » est une faute qui peut être sifflée pour tout positionnement incorrect des pieds, de la lance ou du bouclier avant le moment de l'impact.")</f>
        <v>Une « garde incorrecte » est une faute qui peut être sifflée pour tout positionnement incorrect des pieds, de la lance ou du bouclier avant le moment de l'impact.</v>
      </c>
    </row>
    <row r="53" ht="22.5" customHeight="1">
      <c r="A53" s="4">
        <v>52.0</v>
      </c>
      <c r="B53" s="5" t="s">
        <v>211</v>
      </c>
      <c r="C53" s="5" t="s">
        <v>212</v>
      </c>
      <c r="D53" s="5" t="s">
        <v>213</v>
      </c>
      <c r="E53" s="5" t="s">
        <v>214</v>
      </c>
      <c r="G53" s="6" t="str">
        <f>IFERROR(__xludf.DUMMYFUNCTION("GOOGLETRANSLATE(A53, ""en"", ""fr"")"),"52")</f>
        <v>52</v>
      </c>
      <c r="H53" s="6" t="str">
        <f>IFERROR(__xludf.DUMMYFUNCTION("GOOGLETRANSLATE(B53, ""en"", ""fr"")"),"Lors d'une épreuve par équipe, qui est déclaré vainqueur ?")</f>
        <v>Lors d'une épreuve par équipe, qui est déclaré vainqueur ?</v>
      </c>
      <c r="I53" s="6" t="str">
        <f>IFERROR(__xludf.DUMMYFUNCTION("GOOGLETRANSLATE(C53, ""en"", ""fr"")"),"A) L'équipe avec le bateau le plus rapide, B) L'équipe avec le plus de victoires individuelles, C) L'équipe avec le plus bel uniforme, D) L'équipe qui brise le plus de lances")</f>
        <v>A) L'équipe avec le bateau le plus rapide, B) L'équipe avec le plus de victoires individuelles, C) L'équipe avec le plus bel uniforme, D) L'équipe qui brise le plus de lances</v>
      </c>
      <c r="J53" s="6" t="str">
        <f>IFERROR(__xludf.DUMMYFUNCTION("GOOGLETRANSLATE(D53, ""en"", ""fr"")"),"B) L'équipe ayant enregistré le plus de victoires individuelles")</f>
        <v>B) L'équipe ayant enregistré le plus de victoires individuelles</v>
      </c>
      <c r="K53" s="6" t="str">
        <f>IFERROR(__xludf.DUMMYFUNCTION("GOOGLETRANSLATE(E53, ""en"", ""fr"")"),"La compétition par équipe consiste en une série de joutes individuelles, et l'équipe qui remporte le plus de ces manches gagne le match.")</f>
        <v>La compétition par équipe consiste en une série de joutes individuelles, et l'équipe qui remporte le plus de ces manches gagne le match.</v>
      </c>
    </row>
    <row r="54" ht="22.5" customHeight="1">
      <c r="A54" s="4">
        <v>53.0</v>
      </c>
      <c r="B54" s="5" t="s">
        <v>215</v>
      </c>
      <c r="C54" s="5" t="s">
        <v>216</v>
      </c>
      <c r="D54" s="5" t="s">
        <v>67</v>
      </c>
      <c r="E54" s="5" t="s">
        <v>217</v>
      </c>
      <c r="G54" s="6" t="str">
        <f>IFERROR(__xludf.DUMMYFUNCTION("GOOGLETRANSLATE(A54, ""en"", ""fr"")"),"53")</f>
        <v>53</v>
      </c>
      <c r="H54" s="6" t="str">
        <f>IFERROR(__xludf.DUMMYFUNCTION("GOOGLETRANSLATE(B54, ""en"", ""fr"")"),"Un jouteur est surpris à porter des chaussures à pointes sur la tintaine. Pourquoi est-ce une faute ?")</f>
        <v>Un jouteur est surpris à porter des chaussures à pointes sur la tintaine. Pourquoi est-ce une faute ?</v>
      </c>
      <c r="I54" s="6" t="str">
        <f>IFERROR(__xludf.DUMMYFUNCTION("GOOGLETRANSLATE(C54, ""en"", ""fr"")"),"A) Cela peut endommager la plateforme du bateau, B) Cela procure un avantage déloyal en termes de prise, C) C'est dangereux si le jouteur tombe sur quelqu'un, D) A et B")</f>
        <v>A) Cela peut endommager la plateforme du bateau, B) Cela procure un avantage déloyal en termes de prise, C) C'est dangereux si le jouteur tombe sur quelqu'un, D) A et B</v>
      </c>
      <c r="J54" s="6" t="str">
        <f>IFERROR(__xludf.DUMMYFUNCTION("GOOGLETRANSLATE(D54, ""en"", ""fr"")"),"D) A et B")</f>
        <v>D) A et B</v>
      </c>
      <c r="K54" s="6" t="str">
        <f>IFERROR(__xludf.DUMMYFUNCTION("GOOGLETRANSLATE(E54, ""en"", ""fr"")"),"Les pointes endommageraient la plateforme en bois et donneraient au jouteur un avantage illégal pour maintenir son équilibre.")</f>
        <v>Les pointes endommageraient la plateforme en bois et donneraient au jouteur un avantage illégal pour maintenir son équilibre.</v>
      </c>
    </row>
    <row r="55" ht="22.5" customHeight="1">
      <c r="A55" s="4">
        <v>54.0</v>
      </c>
      <c r="B55" s="5" t="s">
        <v>218</v>
      </c>
      <c r="C55" s="5" t="s">
        <v>219</v>
      </c>
      <c r="D55" s="5" t="s">
        <v>220</v>
      </c>
      <c r="E55" s="5" t="s">
        <v>221</v>
      </c>
      <c r="G55" s="6" t="str">
        <f>IFERROR(__xludf.DUMMYFUNCTION("GOOGLETRANSLATE(A55, ""en"", ""fr"")"),"54")</f>
        <v>54</v>
      </c>
      <c r="H55" s="6" t="str">
        <f>IFERROR(__xludf.DUMMYFUNCTION("GOOGLETRANSLATE(B55, ""en"", ""fr"")"),"Quel est le rôle des « plongeurs » dans l'eau pendant un match ?")</f>
        <v>Quel est le rôle des « plongeurs » dans l'eau pendant un match ?</v>
      </c>
      <c r="I55" s="6" t="str">
        <f>IFERROR(__xludf.DUMMYFUNCTION("GOOGLETRANSLATE(C55, ""en"", ""fr"")"),"A) Juger les chutes, B) Assurer la sécurité immédiate d'un jouteur tombé et récupérer son équipement, C) Pousser les bateaux, D) Éclabousser la foule")</f>
        <v>A) Juger les chutes, B) Assurer la sécurité immédiate d'un jouteur tombé et récupérer son équipement, C) Pousser les bateaux, D) Éclabousser la foule</v>
      </c>
      <c r="J55" s="6" t="str">
        <f>IFERROR(__xludf.DUMMYFUNCTION("GOOGLETRANSLATE(D55, ""en"", ""fr"")"),"B) Assurer la sécurité immédiate d'un jouteur tombé et récupérer son équipement")</f>
        <v>B) Assurer la sécurité immédiate d'un jouteur tombé et récupérer son équipement</v>
      </c>
      <c r="K55" s="6" t="str">
        <f>IFERROR(__xludf.DUMMYFUNCTION("GOOGLETRANSLATE(E55, ""en"", ""fr"")"),"Les plongeurs constituent le personnel de sécurité et de sauvetage, une composante obligatoire de tout tournoi officiel.")</f>
        <v>Les plongeurs constituent le personnel de sécurité et de sauvetage, une composante obligatoire de tout tournoi officiel.</v>
      </c>
    </row>
    <row r="56" ht="22.5" customHeight="1">
      <c r="A56" s="4">
        <v>55.0</v>
      </c>
      <c r="B56" s="5" t="s">
        <v>222</v>
      </c>
      <c r="C56" s="5" t="s">
        <v>223</v>
      </c>
      <c r="D56" s="5" t="s">
        <v>224</v>
      </c>
      <c r="E56" s="5" t="s">
        <v>225</v>
      </c>
      <c r="G56" s="6" t="str">
        <f>IFERROR(__xludf.DUMMYFUNCTION("GOOGLETRANSLATE(A56, ""en"", ""fr"")"),"55")</f>
        <v>55</v>
      </c>
      <c r="H56" s="6" t="str">
        <f>IFERROR(__xludf.DUMMYFUNCTION("GOOGLETRANSLATE(B56, ""en"", ""fr"")"),"Un jouteur est sur le point de tomber, mais il s'agrippe à la lance de son adversaire pour rester sur l'estrade. Quelle est la décision ?")</f>
        <v>Un jouteur est sur le point de tomber, mais il s'agrippe à la lance de son adversaire pour rester sur l'estrade. Quelle est la décision ?</v>
      </c>
      <c r="I56" s="6" t="str">
        <f>IFERROR(__xludf.DUMMYFUNCTION("GOOGLETRANSLATE(C56, ""en"", ""fr"")"),"A) C'est une manœuvre astucieuse et ils sont en sécurité. B) C'est une faute ; le jouteur qui a saisi la lance est déclaré perdant de la passe. C) La passe est rejouée. D) Les deux jouteurs sont disqualifiés.")</f>
        <v>A) C'est une manœuvre astucieuse et ils sont en sécurité. B) C'est une faute ; le jouteur qui a saisi la lance est déclaré perdant de la passe. C) La passe est rejouée. D) Les deux jouteurs sont disqualifiés.</v>
      </c>
      <c r="J56" s="6" t="str">
        <f>IFERROR(__xludf.DUMMYFUNCTION("GOOGLETRANSLATE(D56, ""en"", ""fr"")"),"B) C'est une faute ; le jouteur qui a saisi la lance est déclaré perdant de la passe.")</f>
        <v>B) C'est une faute ; le jouteur qui a saisi la lance est déclaré perdant de la passe.</v>
      </c>
      <c r="K56" s="6" t="str">
        <f>IFERROR(__xludf.DUMMYFUNCTION("GOOGLETRANSLATE(E56, ""en"", ""fr"")"),"Un jouteur ne peut toucher son adversaire ni sa lance avec les mains. Il s'agit d'une faute entraînant une défaite immédiate.")</f>
        <v>Un jouteur ne peut toucher son adversaire ni sa lance avec les mains. Il s'agit d'une faute entraînant une défaite immédiate.</v>
      </c>
    </row>
    <row r="57" ht="22.5" customHeight="1">
      <c r="A57" s="4">
        <v>56.0</v>
      </c>
      <c r="B57" s="5" t="s">
        <v>226</v>
      </c>
      <c r="C57" s="5" t="s">
        <v>227</v>
      </c>
      <c r="D57" s="5" t="s">
        <v>228</v>
      </c>
      <c r="E57" s="5" t="s">
        <v>229</v>
      </c>
      <c r="G57" s="6" t="str">
        <f>IFERROR(__xludf.DUMMYFUNCTION("GOOGLETRANSLATE(A57, ""en"", ""fr"")"),"56")</f>
        <v>56</v>
      </c>
      <c r="H57" s="6" t="str">
        <f>IFERROR(__xludf.DUMMYFUNCTION("GOOGLETRANSLATE(B57, ""en"", ""fr"")"),"Quelle est la principale différence entre les bateaux utilisés dans la méthode provençale et la méthode languedocienne ?")</f>
        <v>Quelle est la principale différence entre les bateaux utilisés dans la méthode provençale et la méthode languedocienne ?</v>
      </c>
      <c r="I57" s="6" t="str">
        <f>IFERROR(__xludf.DUMMYFUNCTION("GOOGLETRANSLATE(C57, ""en"", ""fr"")"),"A) Les bateaux provençaux sont beaucoup plus petits et plus rapides. B) Les bateaux provençaux sont en fibre de verre. C) Les bateaux provençaux n'ont pas de rameurs. D) Les bateaux provençaux sont rouges.")</f>
        <v>A) Les bateaux provençaux sont beaucoup plus petits et plus rapides. B) Les bateaux provençaux sont en fibre de verre. C) Les bateaux provençaux n'ont pas de rameurs. D) Les bateaux provençaux sont rouges.</v>
      </c>
      <c r="J57" s="6" t="str">
        <f>IFERROR(__xludf.DUMMYFUNCTION("GOOGLETRANSLATE(D57, ""en"", ""fr"")"),"A) Les bateaux provençaux sont beaucoup plus petits et plus rapides")</f>
        <v>A) Les bateaux provençaux sont beaucoup plus petits et plus rapides</v>
      </c>
      <c r="K57" s="6" t="str">
        <f>IFERROR(__xludf.DUMMYFUNCTION("GOOGLETRANSLATE(E57, ""en"", ""fr"")"),"La méthode employée à Marseille et dans les ports voisins utilise des bateaux plus légers et plus rapides avec moins de rameurs, ce qui donne un style de joute plus rapide et plus agile.")</f>
        <v>La méthode employée à Marseille et dans les ports voisins utilise des bateaux plus légers et plus rapides avec moins de rameurs, ce qui donne un style de joute plus rapide et plus agile.</v>
      </c>
    </row>
    <row r="58" ht="22.5" customHeight="1">
      <c r="A58" s="4">
        <v>57.0</v>
      </c>
      <c r="B58" s="5" t="s">
        <v>230</v>
      </c>
      <c r="C58" s="5" t="s">
        <v>231</v>
      </c>
      <c r="D58" s="5" t="s">
        <v>232</v>
      </c>
      <c r="E58" s="5" t="s">
        <v>233</v>
      </c>
      <c r="G58" s="6" t="str">
        <f>IFERROR(__xludf.DUMMYFUNCTION("GOOGLETRANSLATE(A58, ""en"", ""fr"")"),"57")</f>
        <v>57</v>
      </c>
      <c r="H58" s="6" t="str">
        <f>IFERROR(__xludf.DUMMYFUNCTION("GOOGLETRANSLATE(B58, ""en"", ""fr"")"),"Un jouteur est pénalisé pour un « coup de travers ». Qu'est-ce que cela signifie ?")</f>
        <v>Un jouteur est pénalisé pour un « coup de travers ». Qu'est-ce que cela signifie ?</v>
      </c>
      <c r="I58" s="6" t="str">
        <f>IFERROR(__xludf.DUMMYFUNCTION("GOOGLETRANSLATE(C58, ""en"", ""fr"")"),"A) Ils ont frappé le bouclier d'un mouvement latéral et tranchant au lieu d'une poussée directe, B) Ils ont frappé le corps de l'adversaire, C) Ils ont touché le bateau, D) Ils ont cassé leur lance")</f>
        <v>A) Ils ont frappé le bouclier d'un mouvement latéral et tranchant au lieu d'une poussée directe, B) Ils ont frappé le corps de l'adversaire, C) Ils ont touché le bateau, D) Ils ont cassé leur lance</v>
      </c>
      <c r="J58" s="6" t="str">
        <f>IFERROR(__xludf.DUMMYFUNCTION("GOOGLETRANSLATE(D58, ""en"", ""fr"")"),"A) Ils ont frappé le bouclier avec un mouvement latéral et tranchant au lieu d'une poussée directe.")</f>
        <v>A) Ils ont frappé le bouclier avec un mouvement latéral et tranchant au lieu d'une poussée directe.</v>
      </c>
      <c r="K58" s="6" t="str">
        <f>IFERROR(__xludf.DUMMYFUNCTION("GOOGLETRANSLATE(E58, ""en"", ""fr"")"),"Le coup doit être une poussée directe vers l'avant. Un coup latéral ou circulaire est une technique illégale.")</f>
        <v>Le coup doit être une poussée directe vers l'avant. Un coup latéral ou circulaire est une technique illégale.</v>
      </c>
    </row>
    <row r="59" ht="22.5" customHeight="1">
      <c r="A59" s="4">
        <v>58.0</v>
      </c>
      <c r="B59" s="5" t="s">
        <v>234</v>
      </c>
      <c r="C59" s="5" t="s">
        <v>235</v>
      </c>
      <c r="D59" s="5" t="s">
        <v>236</v>
      </c>
      <c r="E59" s="5" t="s">
        <v>237</v>
      </c>
      <c r="G59" s="6" t="str">
        <f>IFERROR(__xludf.DUMMYFUNCTION("GOOGLETRANSLATE(A59, ""en"", ""fr"")"),"58")</f>
        <v>58</v>
      </c>
      <c r="H59" s="6" t="str">
        <f>IFERROR(__xludf.DUMMYFUNCTION("GOOGLETRANSLATE(B59, ""en"", ""fr"")"),"Quelle est la principale raison pour laquelle les lances sont conçues pour se briser ?")</f>
        <v>Quelle est la principale raison pour laquelle les lances sont conçues pour se briser ?</v>
      </c>
      <c r="I59" s="6" t="str">
        <f>IFERROR(__xludf.DUMMYFUNCTION("GOOGLETRANSLATE(C59, ""en"", ""fr"")"),"A) Pour rendre ce sport plus coûteux, B) C'est un dispositif de sécurité pour dissiper l'immense force de l'impact, C) Pour rendre le spectacle plus spectaculaire, D) B et C")</f>
        <v>A) Pour rendre ce sport plus coûteux, B) C'est un dispositif de sécurité pour dissiper l'immense force de l'impact, C) Pour rendre le spectacle plus spectaculaire, D) B et C</v>
      </c>
      <c r="J59" s="6" t="str">
        <f>IFERROR(__xludf.DUMMYFUNCTION("GOOGLETRANSLATE(D59, ""en"", ""fr"")"),"D) B et C")</f>
        <v>D) B et C</v>
      </c>
      <c r="K59" s="6" t="str">
        <f>IFERROR(__xludf.DUMMYFUNCTION("GOOGLETRANSLATE(E59, ""en"", ""fr"")"),"La rupture d'une lance absorbe l'énergie qui serait autrement transmise aux jouteurs, réduisant ainsi le risque de blessure. Elle contribue également au caractère dramatique de l'événement.")</f>
        <v>La rupture d'une lance absorbe l'énergie qui serait autrement transmise aux jouteurs, réduisant ainsi le risque de blessure. Elle contribue également au caractère dramatique de l'événement.</v>
      </c>
    </row>
    <row r="60" ht="22.5" customHeight="1">
      <c r="A60" s="4">
        <v>59.0</v>
      </c>
      <c r="B60" s="5" t="s">
        <v>238</v>
      </c>
      <c r="C60" s="5" t="s">
        <v>239</v>
      </c>
      <c r="D60" s="5" t="s">
        <v>240</v>
      </c>
      <c r="E60" s="5" t="s">
        <v>241</v>
      </c>
      <c r="G60" s="6" t="str">
        <f>IFERROR(__xludf.DUMMYFUNCTION("GOOGLETRANSLATE(A60, ""en"", ""fr"")"),"59")</f>
        <v>59</v>
      </c>
      <c r="H60" s="6" t="str">
        <f>IFERROR(__xludf.DUMMYFUNCTION("GOOGLETRANSLATE(B60, ""en"", ""fr"")"),"Un jouteur est averti pour ne pas avoir porté correctement son plastron (protection de poitrine). Cet avertissement est-il justifié ?")</f>
        <v>Un jouteur est averti pour ne pas avoir porté correctement son plastron (protection de poitrine). Cet avertissement est-il justifié ?</v>
      </c>
      <c r="I60" s="6" t="str">
        <f>IFERROR(__xludf.DUMMYFUNCTION("GOOGLETRANSLATE(C60, ""en"", ""fr"")"),"A) Non, le plastron est facultatif. B) Oui, tout l'équipement de sécurité doit être porté conformément au règlement. C) Uniquement si l'adversaire se plaint. D) Uniquement dans la catégorie poids lourds.")</f>
        <v>A) Non, le plastron est facultatif. B) Oui, tout l'équipement de sécurité doit être porté conformément au règlement. C) Uniquement si l'adversaire se plaint. D) Uniquement dans la catégorie poids lourds.</v>
      </c>
      <c r="J60" s="6" t="str">
        <f>IFERROR(__xludf.DUMMYFUNCTION("GOOGLETRANSLATE(D60, ""en"", ""fr"")"),"B) Oui, tous les équipements de sécurité doivent être portés conformément à la réglementation.")</f>
        <v>B) Oui, tous les équipements de sécurité doivent être portés conformément à la réglementation.</v>
      </c>
      <c r="K60" s="6" t="str">
        <f>IFERROR(__xludf.DUMMYFUNCTION("GOOGLETRANSLATE(E60, ""en"", ""fr"")"),"Le plastron en bois est un élément essentiel de l'équipement de sécurité, et l'arbitre doit s'assurer qu'il est correctement ajusté.")</f>
        <v>Le plastron en bois est un élément essentiel de l'équipement de sécurité, et l'arbitre doit s'assurer qu'il est correctement ajusté.</v>
      </c>
    </row>
    <row r="61" ht="22.5" customHeight="1">
      <c r="A61" s="4">
        <v>60.0</v>
      </c>
      <c r="B61" s="5" t="s">
        <v>242</v>
      </c>
      <c r="C61" s="5" t="s">
        <v>243</v>
      </c>
      <c r="D61" s="5" t="s">
        <v>244</v>
      </c>
      <c r="E61" s="5" t="s">
        <v>245</v>
      </c>
      <c r="G61" s="6" t="str">
        <f>IFERROR(__xludf.DUMMYFUNCTION("GOOGLETRANSLATE(A61, ""en"", ""fr"")"),"60")</f>
        <v>60</v>
      </c>
      <c r="H61" s="6" t="str">
        <f>IFERROR(__xludf.DUMMYFUNCTION("GOOGLETRANSLATE(B61, ""en"", ""fr"")"),"En substance, les joutes nautiques sont une combinaison d'une fête folklorique traditionnelle et de quoi d'autre ?")</f>
        <v>En substance, les joutes nautiques sont une combinaison d'une fête folklorique traditionnelle et de quoi d'autre ?</v>
      </c>
      <c r="I61" s="6" t="str">
        <f>IFERROR(__xludf.DUMMYFUNCTION("GOOGLETRANSLATE(C61, ""en"", ""fr"")"),"A) Une cérémonie religieuse, B) Un sport moderne et très réglementé, C) Une représentation théâtrale, D) Une course de bateaux")</f>
        <v>A) Une cérémonie religieuse, B) Un sport moderne et très réglementé, C) Une représentation théâtrale, D) Une course de bateaux</v>
      </c>
      <c r="J61" s="6" t="str">
        <f>IFERROR(__xludf.DUMMYFUNCTION("GOOGLETRANSLATE(D61, ""en"", ""fr"")"),"B) Un sport moderne et hautement réglementé")</f>
        <v>B) Un sport moderne et hautement réglementé</v>
      </c>
      <c r="K61" s="6" t="str">
        <f>IFERROR(__xludf.DUMMYFUNCTION("GOOGLETRANSLATE(E61, ""en"", ""fr"")"),"Ce sport est aujourd'hui un mélange unique de faste antique et de compétition athlétique moderne et codifiée.")</f>
        <v>Ce sport est aujourd'hui un mélange unique de faste antique et de compétition athlétique moderne et codifiée.</v>
      </c>
    </row>
    <row r="62" ht="22.5" customHeight="1">
      <c r="A62" s="4">
        <v>61.0</v>
      </c>
      <c r="B62" s="5" t="s">
        <v>246</v>
      </c>
      <c r="C62" s="5" t="s">
        <v>247</v>
      </c>
      <c r="D62" s="5" t="s">
        <v>248</v>
      </c>
      <c r="E62" s="5" t="s">
        <v>249</v>
      </c>
      <c r="G62" s="6" t="str">
        <f>IFERROR(__xludf.DUMMYFUNCTION("GOOGLETRANSLATE(A62, ""en"", ""fr"")"),"61")</f>
        <v>61</v>
      </c>
      <c r="H62" s="6" t="str">
        <f>IFERROR(__xludf.DUMMYFUNCTION("GOOGLETRANSLATE(B62, ""en"", ""fr"")"),"Quel est le terme officiel désignant les quatre principaux styles de joutes nautiques en France ?")</f>
        <v>Quel est le terme officiel désignant les quatre principaux styles de joutes nautiques en France ?</v>
      </c>
      <c r="I62" s="6" t="str">
        <f>IFERROR(__xludf.DUMMYFUNCTION("GOOGLETRANSLATE(C62, ""en"", ""fr"")"),"A) Les « écoles », B) Les « méthodes », C) Les « ligues », D) Les « traditions »")</f>
        <v>A) Les « écoles », B) Les « méthodes », C) Les « ligues », D) Les « traditions »</v>
      </c>
      <c r="J62" s="6" t="str">
        <f>IFERROR(__xludf.DUMMYFUNCTION("GOOGLETRANSLATE(D62, ""en"", ""fr"")"),"B) Les « méthodes »")</f>
        <v>B) Les « méthodes »</v>
      </c>
      <c r="K62" s="6" t="str">
        <f>IFERROR(__xludf.DUMMYFUNCTION("GOOGLETRANSLATE(E62, ""en"", ""fr"")"),"Les quatre styles officiellement reconnus — languedocienne, provençale, lyonnaise et alsacienne — sont connus sous le nom des quatre méthodes.")</f>
        <v>Les quatre styles officiellement reconnus — languedocienne, provençale, lyonnaise et alsacienne — sont connus sous le nom des quatre méthodes.</v>
      </c>
    </row>
    <row r="63" ht="22.5" customHeight="1">
      <c r="A63" s="4">
        <v>62.0</v>
      </c>
      <c r="B63" s="5" t="s">
        <v>250</v>
      </c>
      <c r="C63" s="5" t="s">
        <v>251</v>
      </c>
      <c r="D63" s="5" t="s">
        <v>252</v>
      </c>
      <c r="E63" s="5" t="s">
        <v>253</v>
      </c>
      <c r="G63" s="6" t="str">
        <f>IFERROR(__xludf.DUMMYFUNCTION("GOOGLETRANSLATE(A63, ""en"", ""fr"")"),"62")</f>
        <v>62</v>
      </c>
      <c r="H63" s="6" t="str">
        <f>IFERROR(__xludf.DUMMYFUNCTION("GOOGLETRANSLATE(B63, ""en"", ""fr"")"),"Juste avant l'impact, le bateau d'un jouteur est heurté par une grosse vague, ce qui l'empêche de porter son coup. Quelle est la décision ?")</f>
        <v>Juste avant l'impact, le bateau d'un jouteur est heurté par une grosse vague, ce qui l'empêche de porter son coup. Quelle est la décision ?</v>
      </c>
      <c r="I63" s="6" t="str">
        <f>IFERROR(__xludf.DUMMYFUNCTION("GOOGLETRANSLATE(C63, ""en"", ""fr"")"),"A) Une nouvelle tentative est accordée en raison d'une interférence. B) Le passage se poursuit et est comptabilisé comme un échec. C) L'adversaire gagne automatiquement. D) Le bateau est disqualifié.")</f>
        <v>A) Une nouvelle tentative est accordée en raison d'une interférence. B) Le passage se poursuit et est comptabilisé comme un échec. C) L'adversaire gagne automatiquement. D) Le bateau est disqualifié.</v>
      </c>
      <c r="J63" s="6" t="str">
        <f>IFERROR(__xludf.DUMMYFUNCTION("GOOGLETRANSLATE(D63, ""en"", ""fr"")"),"B) La passe se poursuit et est comptabilisée comme un tir manqué.")</f>
        <v>B) La passe se poursuit et est comptabilisée comme un tir manqué.</v>
      </c>
      <c r="K63" s="6" t="str">
        <f>IFERROR(__xludf.DUMMYFUNCTION("GOOGLETRANSLATE(E63, ""en"", ""fr"")"),"Les conditions naturelles comme les vagues sont considérées comme faisant partie du défi de ce sport, et non comme une interférence extérieure.")</f>
        <v>Les conditions naturelles comme les vagues sont considérées comme faisant partie du défi de ce sport, et non comme une interférence extérieure.</v>
      </c>
    </row>
    <row r="64" ht="22.5" customHeight="1">
      <c r="A64" s="4">
        <v>63.0</v>
      </c>
      <c r="B64" s="5" t="s">
        <v>254</v>
      </c>
      <c r="C64" s="5" t="s">
        <v>255</v>
      </c>
      <c r="D64" s="5" t="s">
        <v>256</v>
      </c>
      <c r="E64" s="5" t="s">
        <v>257</v>
      </c>
      <c r="G64" s="6" t="str">
        <f>IFERROR(__xludf.DUMMYFUNCTION("GOOGLETRANSLATE(A64, ""en"", ""fr"")"),"63")</f>
        <v>63</v>
      </c>
      <c r="H64" s="6" t="str">
        <f>IFERROR(__xludf.DUMMYFUNCTION("GOOGLETRANSLATE(B64, ""en"", ""fr"")"),"Quel est le but principal de l'« appel », ce moment où les jouteurs touchent leurs lances avant la passe ?")</f>
        <v>Quel est le but principal de l'« appel », ce moment où les jouteurs touchent leurs lances avant la passe ?</v>
      </c>
      <c r="I64" s="6" t="str">
        <f>IFERROR(__xludf.DUMMYFUNCTION("GOOGLETRANSLATE(C64, ""en"", ""fr"")"),"A) Pour tester la solidité des lances, B) C'est un salut traditionnel de respect mutuel, C) Pour donner le signal de départ aux rameurs, D) Pour bien aligner les bateaux")</f>
        <v>A) Pour tester la solidité des lances, B) C'est un salut traditionnel de respect mutuel, C) Pour donner le signal de départ aux rameurs, D) Pour bien aligner les bateaux</v>
      </c>
      <c r="J64" s="6" t="str">
        <f>IFERROR(__xludf.DUMMYFUNCTION("GOOGLETRANSLATE(D64, ""en"", ""fr"")"),"B) C'est un salut traditionnel de respect mutuel")</f>
        <v>B) C'est un salut traditionnel de respect mutuel</v>
      </c>
      <c r="K64" s="6" t="str">
        <f>IFERROR(__xludf.DUMMYFUNCTION("GOOGLETRANSLATE(E64, ""en"", ""fr"")"),"Ce geste formel est un signe d'esprit sportif et permet de reconnaître l'adversaire avant le début du combat.")</f>
        <v>Ce geste formel est un signe d'esprit sportif et permet de reconnaître l'adversaire avant le début du combat.</v>
      </c>
    </row>
    <row r="65" ht="22.5" customHeight="1">
      <c r="A65" s="4">
        <v>64.0</v>
      </c>
      <c r="B65" s="5" t="s">
        <v>258</v>
      </c>
      <c r="C65" s="5" t="s">
        <v>259</v>
      </c>
      <c r="D65" s="5" t="s">
        <v>260</v>
      </c>
      <c r="E65" s="5" t="s">
        <v>261</v>
      </c>
      <c r="G65" s="6" t="str">
        <f>IFERROR(__xludf.DUMMYFUNCTION("GOOGLETRANSLATE(A65, ""en"", ""fr"")"),"64")</f>
        <v>64</v>
      </c>
      <c r="H65" s="6" t="str">
        <f>IFERROR(__xludf.DUMMYFUNCTION("GOOGLETRANSLATE(B65, ""en"", ""fr"")"),"Un jouteur est averti pour avoir pointé la pointe de sa lance trop haut avant la passe. Pourquoi est-ce une faute ?")</f>
        <v>Un jouteur est averti pour avoir pointé la pointe de sa lance trop haut avant la passe. Pourquoi est-ce une faute ?</v>
      </c>
      <c r="I65" s="6" t="str">
        <f>IFERROR(__xludf.DUMMYFUNCTION("GOOGLETRANSLATE(C65, ""en"", ""fr"")"),"A) Cela confère un avantage injuste, B) Cela représente un risque pour la sécurité, car cela pourrait heurter la tête de l'adversaire, C) Ce n'est pas une faute, D) Cela peut endommager le bouclier")</f>
        <v>A) Cela confère un avantage injuste, B) Cela représente un risque pour la sécurité, car cela pourrait heurter la tête de l'adversaire, C) Ce n'est pas une faute, D) Cela peut endommager le bouclier</v>
      </c>
      <c r="J65" s="6" t="str">
        <f>IFERROR(__xludf.DUMMYFUNCTION("GOOGLETRANSLATE(D65, ""en"", ""fr"")"),"B) Cela représente un risque pour la sécurité, car cela pourrait heurter la tête de l'adversaire.")</f>
        <v>B) Cela représente un risque pour la sécurité, car cela pourrait heurter la tête de l'adversaire.</v>
      </c>
      <c r="K65" s="6" t="str">
        <f>IFERROR(__xludf.DUMMYFUNCTION("GOOGLETRANSLATE(E65, ""en"", ""fr"")"),"Le règlement exige que la lance soit tenue dans une position horizontale précise afin de garantir que tous les coups soient portés vers le bouclier et non plus haut.")</f>
        <v>Le règlement exige que la lance soit tenue dans une position horizontale précise afin de garantir que tous les coups soient portés vers le bouclier et non plus haut.</v>
      </c>
    </row>
    <row r="66" ht="22.5" customHeight="1">
      <c r="A66" s="4">
        <v>65.0</v>
      </c>
      <c r="B66" s="5" t="s">
        <v>262</v>
      </c>
      <c r="C66" s="5" t="s">
        <v>193</v>
      </c>
      <c r="D66" s="5" t="s">
        <v>194</v>
      </c>
      <c r="E66" s="5" t="s">
        <v>263</v>
      </c>
      <c r="G66" s="6" t="str">
        <f>IFERROR(__xludf.DUMMYFUNCTION("GOOGLETRANSLATE(A66, ""en"", ""fr"")"),"65")</f>
        <v>65</v>
      </c>
      <c r="H66" s="6" t="str">
        <f>IFERROR(__xludf.DUMMYFUNCTION("GOOGLETRANSLATE(B66, ""en"", ""fr"")"),"Quel est le rôle principal du président du jury ?")</f>
        <v>Quel est le rôle principal du président du jury ?</v>
      </c>
      <c r="I66" s="6" t="str">
        <f>IFERROR(__xludf.DUMMYFUNCTION("GOOGLETRANSLATE(C66, ""en"", ""fr"")"),"A) Être le sponsor principal, B) Être le responsable du tournoi et avoir le dernier mot sur toutes les réclamations et l'interprétation des règles, C) Être le capitaine de l'équipe gagnante, D) Être le maire de la ville hôte")</f>
        <v>A) Être le sponsor principal, B) Être le responsable du tournoi et avoir le dernier mot sur toutes les réclamations et l'interprétation des règles, C) Être le capitaine de l'équipe gagnante, D) Être le maire de la ville hôte</v>
      </c>
      <c r="J66" s="6" t="str">
        <f>IFERROR(__xludf.DUMMYFUNCTION("GOOGLETRANSLATE(D66, ""en"", ""fr"")"),"B) Être le principal responsable du tournoi, ayant le dernier mot sur toutes les réclamations et les interprétations des règles.")</f>
        <v>B) Être le principal responsable du tournoi, ayant le dernier mot sur toutes les réclamations et les interprétations des règles.</v>
      </c>
      <c r="K66" s="6" t="str">
        <f>IFERROR(__xludf.DUMMYFUNCTION("GOOGLETRANSLATE(E66, ""en"", ""fr"")"),"Il s'agit du plus haut responsable de l'événement, chargé de superviser l'ensemble de la compétition et de prendre les décisions finales.")</f>
        <v>Il s'agit du plus haut responsable de l'événement, chargé de superviser l'ensemble de la compétition et de prendre les décisions finales.</v>
      </c>
    </row>
    <row r="67" ht="22.5" customHeight="1">
      <c r="A67" s="4">
        <v>66.0</v>
      </c>
      <c r="B67" s="5" t="s">
        <v>264</v>
      </c>
      <c r="C67" s="5" t="s">
        <v>265</v>
      </c>
      <c r="D67" s="5" t="s">
        <v>266</v>
      </c>
      <c r="E67" s="5" t="s">
        <v>267</v>
      </c>
      <c r="G67" s="6" t="str">
        <f>IFERROR(__xludf.DUMMYFUNCTION("GOOGLETRANSLATE(A67, ""en"", ""fr"")"),"66")</f>
        <v>66</v>
      </c>
      <c r="H67" s="6" t="str">
        <f>IFERROR(__xludf.DUMMYFUNCTION("GOOGLETRANSLATE(B67, ""en"", ""fr"")"),"Un jouteur est disqualifié s'il est membre de deux sociétés de joutes différentes simultanément. Est-ce une règle réelle ?")</f>
        <v>Un jouteur est disqualifié s'il est membre de deux sociétés de joutes différentes simultanément. Est-ce une règle réelle ?</v>
      </c>
      <c r="I67" s="6" t="str">
        <f>IFERROR(__xludf.DUMMYFUNCTION("GOOGLETRANSLATE(C67, ""en"", ""fr"")"),"A) Non, un jouteur peut appartenir à plusieurs clubs. B) Oui, un jouteur doit être licencié auprès d'une seule société pour une saison. C) Uniquement si les clubs sont rivaux. D) Uniquement pour les jouteurs professionnels.")</f>
        <v>A) Non, un jouteur peut appartenir à plusieurs clubs. B) Oui, un jouteur doit être licencié auprès d'une seule société pour une saison. C) Uniquement si les clubs sont rivaux. D) Uniquement pour les jouteurs professionnels.</v>
      </c>
      <c r="J67" s="6" t="str">
        <f>IFERROR(__xludf.DUMMYFUNCTION("GOOGLETRANSLATE(D67, ""en"", ""fr"")"),"B) Oui, un jouteur doit être agréé par une seule société pour une saison.")</f>
        <v>B) Oui, un jouteur doit être agréé par une seule société pour une saison.</v>
      </c>
      <c r="K67" s="6" t="str">
        <f>IFERROR(__xludf.DUMMYFUNCTION("GOOGLETRANSLATE(E67, ""en"", ""fr"")"),"Comme dans la plupart des sports organisés, un joueur doit être officiellement inscrit auprès d'un club pour participer aux championnats de la fédération.")</f>
        <v>Comme dans la plupart des sports organisés, un joueur doit être officiellement inscrit auprès d'un club pour participer aux championnats de la fédération.</v>
      </c>
    </row>
    <row r="68" ht="22.5" customHeight="1">
      <c r="A68" s="4">
        <v>67.0</v>
      </c>
      <c r="B68" s="5" t="s">
        <v>268</v>
      </c>
      <c r="C68" s="5" t="s">
        <v>269</v>
      </c>
      <c r="D68" s="5" t="s">
        <v>270</v>
      </c>
      <c r="E68" s="5" t="s">
        <v>271</v>
      </c>
      <c r="G68" s="6" t="str">
        <f>IFERROR(__xludf.DUMMYFUNCTION("GOOGLETRANSLATE(A68, ""en"", ""fr"")"),"67")</f>
        <v>67</v>
      </c>
      <c r="H68" s="6" t="str">
        <f>IFERROR(__xludf.DUMMYFUNCTION("GOOGLETRANSLATE(B68, ""en"", ""fr"")"),"Quelle est la décision à prendre si un jouteur parvient à désarçonner son adversaire, mais que ce dernier réussit à s'accrocher à son bateau et à ne pas tomber complètement à l'eau ?")</f>
        <v>Quelle est la décision à prendre si un jouteur parvient à désarçonner son adversaire, mais que ce dernier réussit à s'accrocher à son bateau et à ne pas tomber complètement à l'eau ?</v>
      </c>
      <c r="I68" s="6" t="str">
        <f>IFERROR(__xludf.DUMMYFUNCTION("GOOGLETRANSLATE(C68, ""en"", ""fr"")"),"A) La passe est rejouée, B) L'adversaire est considéré comme tombé, et c'est une victoire, C) Le jouteur qui s'accroche perd, D) La passe continue")</f>
        <v>A) La passe est rejouée, B) L'adversaire est considéré comme tombé, et c'est une victoire, C) Le jouteur qui s'accroche perd, D) La passe continue</v>
      </c>
      <c r="J68" s="6" t="str">
        <f>IFERROR(__xludf.DUMMYFUNCTION("GOOGLETRANSLATE(D68, ""en"", ""fr"")"),"B) L'adversaire est considéré comme vaincu, et c'est une victoire.")</f>
        <v>B) L'adversaire est considéré comme vaincu, et c'est une victoire.</v>
      </c>
      <c r="K68" s="6" t="str">
        <f>IFERROR(__xludf.DUMMYFUNCTION("GOOGLETRANSLATE(E68, ""en"", ""fr"")"),"Un jouteur est déclaré « tombé » dès qu'il perd le contact avec la tintaine. S'accrocher au bord du bateau ne le sauve pas.")</f>
        <v>Un jouteur est déclaré « tombé » dès qu'il perd le contact avec la tintaine. S'accrocher au bord du bateau ne le sauve pas.</v>
      </c>
    </row>
    <row r="69" ht="22.5" customHeight="1">
      <c r="A69" s="4">
        <v>68.0</v>
      </c>
      <c r="B69" s="5" t="s">
        <v>272</v>
      </c>
      <c r="C69" s="5" t="s">
        <v>273</v>
      </c>
      <c r="D69" s="5" t="s">
        <v>274</v>
      </c>
      <c r="E69" s="5" t="s">
        <v>275</v>
      </c>
      <c r="G69" s="6" t="str">
        <f>IFERROR(__xludf.DUMMYFUNCTION("GOOGLETRANSLATE(A69, ""en"", ""fr"")"),"68")</f>
        <v>68</v>
      </c>
      <c r="H69" s="6" t="str">
        <f>IFERROR(__xludf.DUMMYFUNCTION("GOOGLETRANSLATE(B69, ""en"", ""fr"")"),"La Fédération Française de Joutes et de Sauvetage Nautique a quelle double vocation ?")</f>
        <v>La Fédération Française de Joutes et de Sauvetage Nautique a quelle double vocation ?</v>
      </c>
      <c r="I69" s="6" t="str">
        <f>IFERROR(__xludf.DUMMYFUNCTION("GOOGLETRANSLATE(C69, ""en"", ""fr"")"),"A) Joutes et courses de bateaux, B) Joutes et pêche, C) Le sport des joutes et la pratique du sauvetage en mer, D) Joutes et tourisme")</f>
        <v>A) Joutes et courses de bateaux, B) Joutes et pêche, C) Le sport des joutes et la pratique du sauvetage en mer, D) Joutes et tourisme</v>
      </c>
      <c r="J69" s="6" t="str">
        <f>IFERROR(__xludf.DUMMYFUNCTION("GOOGLETRANSLATE(D69, ""en"", ""fr"")"),"C) Le sport des joutes et la pratique du sauvetage en mer")</f>
        <v>C) Le sport des joutes et la pratique du sauvetage en mer</v>
      </c>
      <c r="K69" s="6" t="str">
        <f>IFERROR(__xludf.DUMMYFUNCTION("GOOGLETRANSLATE(E69, ""en"", ""fr"")"),"Ce nom reflète les origines historiques de ces sociétés de joutes, qui étaient composées de bateliers habiles servant également d'équipes de sauvetage en cas d'inondation.")</f>
        <v>Ce nom reflète les origines historiques de ces sociétés de joutes, qui étaient composées de bateliers habiles servant également d'équipes de sauvetage en cas d'inondation.</v>
      </c>
    </row>
    <row r="70" ht="22.5" customHeight="1">
      <c r="A70" s="4">
        <v>69.0</v>
      </c>
      <c r="B70" s="5" t="s">
        <v>276</v>
      </c>
      <c r="C70" s="5" t="s">
        <v>277</v>
      </c>
      <c r="D70" s="5" t="s">
        <v>278</v>
      </c>
      <c r="E70" s="5" t="s">
        <v>279</v>
      </c>
      <c r="G70" s="6" t="str">
        <f>IFERROR(__xludf.DUMMYFUNCTION("GOOGLETRANSLATE(A70, ""en"", ""fr"")"),"69")</f>
        <v>69</v>
      </c>
      <c r="H70" s="6" t="str">
        <f>IFERROR(__xludf.DUMMYFUNCTION("GOOGLETRANSLATE(B70, ""en"", ""fr"")"),"La victoire d'un jouteur est contestée. Le jury visionne une vidéo et constate que le pied du vainqueur se trouvait légèrement à l'extérieur de l'empreinte marquée sur la tintaine. Quelle est la décision ?")</f>
        <v>La victoire d'un jouteur est contestée. Le jury visionne une vidéo et constate que le pied du vainqueur se trouvait légèrement à l'extérieur de l'empreinte marquée sur la tintaine. Quelle est la décision ?</v>
      </c>
      <c r="I70" s="6" t="str">
        <f>IFERROR(__xludf.DUMMYFUNCTION("GOOGLETRANSLATE(C70, ""en"", ""fr"")"),"A) La victoire est maintenue. B) La victoire est annulée et le coup franc est rejoué ou accordé à l'adversaire. C) Le vainqueur reçoit un avertissement. D) La décision du jury est définitive.")</f>
        <v>A) La victoire est maintenue. B) La victoire est annulée et le coup franc est rejoué ou accordé à l'adversaire. C) Le vainqueur reçoit un avertissement. D) La décision du jury est définitive.</v>
      </c>
      <c r="J70" s="6" t="str">
        <f>IFERROR(__xludf.DUMMYFUNCTION("GOOGLETRANSLATE(D70, ""en"", ""fr"")"),"B) La victoire est annulée, et la passe est rejouée ou accordée à l'adversaire")</f>
        <v>B) La victoire est annulée, et la passe est rejouée ou accordée à l'adversaire</v>
      </c>
      <c r="K70" s="6" t="str">
        <f>IFERROR(__xludf.DUMMYFUNCTION("GOOGLETRANSLATE(E70, ""en"", ""fr"")"),"La règle exigeant que les pieds restent à l'intérieur des marques est absolue. Un visionnage vidéo révélant une faute entraînerait la disqualification du joueur.")</f>
        <v>La règle exigeant que les pieds restent à l'intérieur des marques est absolue. Un visionnage vidéo révélant une faute entraînerait la disqualification du joueur.</v>
      </c>
    </row>
    <row r="71" ht="22.5" customHeight="1">
      <c r="A71" s="4">
        <v>70.0</v>
      </c>
      <c r="B71" s="5" t="s">
        <v>280</v>
      </c>
      <c r="C71" s="5" t="s">
        <v>281</v>
      </c>
      <c r="D71" s="5" t="s">
        <v>282</v>
      </c>
      <c r="E71" s="5" t="s">
        <v>283</v>
      </c>
      <c r="G71" s="6" t="str">
        <f>IFERROR(__xludf.DUMMYFUNCTION("GOOGLETRANSLATE(A71, ""en"", ""fr"")"),"70")</f>
        <v>70</v>
      </c>
      <c r="H71" s="6" t="str">
        <f>IFERROR(__xludf.DUMMYFUNCTION("GOOGLETRANSLATE(B71, ""en"", ""fr"")"),"Quelle est la principale raison pour laquelle les bateaux construits selon la méthode languedocienne sont si lourds ?")</f>
        <v>Quelle est la principale raison pour laquelle les bateaux construits selon la méthode languedocienne sont si lourds ?</v>
      </c>
      <c r="I71" s="6" t="str">
        <f>IFERROR(__xludf.DUMMYFUNCTION("GOOGLETRANSLATE(C71, ""en"", ""fr"")"),"A) C'est une tradition, B) Pour fournir une plateforme stable et l'élan nécessaire à l'impact puissant de la joute, C) Elles sont utilisées pour la pêche hors saison, D) Pour accueillir le grand nombre de rameurs")</f>
        <v>A) C'est une tradition, B) Pour fournir une plateforme stable et l'élan nécessaire à l'impact puissant de la joute, C) Elles sont utilisées pour la pêche hors saison, D) Pour accueillir le grand nombre de rameurs</v>
      </c>
      <c r="J71" s="6" t="str">
        <f>IFERROR(__xludf.DUMMYFUNCTION("GOOGLETRANSLATE(D71, ""en"", ""fr"")"),"B) Fournir une plateforme stable et l'élan nécessaire à l'impact puissant de la joute")</f>
        <v>B) Fournir une plateforme stable et l'élan nécessaire à l'impact puissant de la joute</v>
      </c>
      <c r="K71" s="6" t="str">
        <f>IFERROR(__xludf.DUMMYFUNCTION("GOOGLETRANSLATE(E71, ""en"", ""fr"")"),"Le poids des bateaux est crucial pour créer la stabilité nécessaire à deux jouteurs pour s'affronter avec une force immense sans que les bateaux ne chavirent.")</f>
        <v>Le poids des bateaux est crucial pour créer la stabilité nécessaire à deux jouteurs pour s'affronter avec une force immense sans que les bateaux ne chavirent.</v>
      </c>
    </row>
    <row r="72" ht="22.5" customHeight="1">
      <c r="A72" s="4">
        <v>71.0</v>
      </c>
      <c r="B72" s="5" t="s">
        <v>284</v>
      </c>
      <c r="C72" s="5" t="s">
        <v>285</v>
      </c>
      <c r="D72" s="5" t="s">
        <v>286</v>
      </c>
      <c r="E72" s="5" t="s">
        <v>287</v>
      </c>
      <c r="G72" s="6" t="str">
        <f>IFERROR(__xludf.DUMMYFUNCTION("GOOGLETRANSLATE(A72, ""en"", ""fr"")"),"71")</f>
        <v>71</v>
      </c>
      <c r="H72" s="6" t="str">
        <f>IFERROR(__xludf.DUMMYFUNCTION("GOOGLETRANSLATE(B72, ""en"", ""fr"")"),"Dans la méthode alsacienne, comment les bateaux sont-ils propulsés ?")</f>
        <v>Dans la méthode alsacienne, comment les bateaux sont-ils propulsés ?</v>
      </c>
      <c r="I72" s="6" t="str">
        <f>IFERROR(__xludf.DUMMYFUNCTION("GOOGLETRANSLATE(C72, ""en"", ""fr"")"),"A) Des rameurs, B) Un moteur, C) Ils sont tirés par une corde, D) Le courant de la rivière")</f>
        <v>A) Des rameurs, B) Un moteur, C) Ils sont tirés par une corde, D) Le courant de la rivière</v>
      </c>
      <c r="J72" s="6" t="str">
        <f>IFERROR(__xludf.DUMMYFUNCTION("GOOGLETRANSLATE(D72, ""en"", ""fr"")"),"B) Un moteur")</f>
        <v>B) Un moteur</v>
      </c>
      <c r="K72" s="6" t="str">
        <f>IFERROR(__xludf.DUMMYFUNCTION("GOOGLETRANSLATE(E72, ""en"", ""fr"")"),"La méthode alsacienne (joutes nautiques de Strasbourg) utilise des bateaux à moteur, ce qui constitue une différence clé par rapport au style languedocien.")</f>
        <v>La méthode alsacienne (joutes nautiques de Strasbourg) utilise des bateaux à moteur, ce qui constitue une différence clé par rapport au style languedocien.</v>
      </c>
    </row>
    <row r="73" ht="22.5" customHeight="1">
      <c r="A73" s="4">
        <v>72.0</v>
      </c>
      <c r="B73" s="5" t="s">
        <v>288</v>
      </c>
      <c r="C73" s="5" t="s">
        <v>289</v>
      </c>
      <c r="D73" s="5" t="s">
        <v>290</v>
      </c>
      <c r="E73" s="5" t="s">
        <v>291</v>
      </c>
      <c r="G73" s="6" t="str">
        <f>IFERROR(__xludf.DUMMYFUNCTION("GOOGLETRANSLATE(A73, ""en"", ""fr"")"),"72")</f>
        <v>72</v>
      </c>
      <c r="H73" s="6" t="str">
        <f>IFERROR(__xludf.DUMMYFUNCTION("GOOGLETRANSLATE(B73, ""en"", ""fr"")"),"Un jouteur porte un gilet de sauvetage sous son uniforme blanc. Est-ce autorisé ?")</f>
        <v>Un jouteur porte un gilet de sauvetage sous son uniforme blanc. Est-ce autorisé ?</v>
      </c>
      <c r="I73" s="6" t="str">
        <f>IFERROR(__xludf.DUMMYFUNCTION("GOOGLETRANSLATE(C73, ""en"", ""fr"")"),"A) Non, ce n'est pas traditionnel. B) Oui, les règles de sécurité modernes exigent ou autorisent souvent le port du gilet de sauvetage, notamment pour les jeunes catégories. C) Uniquement si l'eau est très froide. D) Uniquement si le jouteur ne sait pas n"&amp;"ager.")</f>
        <v>A) Non, ce n'est pas traditionnel. B) Oui, les règles de sécurité modernes exigent ou autorisent souvent le port du gilet de sauvetage, notamment pour les jeunes catégories. C) Uniquement si l'eau est très froide. D) Uniquement si le jouteur ne sait pas nager.</v>
      </c>
      <c r="J73" s="6" t="str">
        <f>IFERROR(__xludf.DUMMYFUNCTION("GOOGLETRANSLATE(D73, ""en"", ""fr"")"),"B) Oui, les règles de sécurité modernes exigent ou autorisent souvent le port du gilet de sauvetage, notamment pour les jeunes catégories de population.")</f>
        <v>B) Oui, les règles de sécurité modernes exigent ou autorisent souvent le port du gilet de sauvetage, notamment pour les jeunes catégories de population.</v>
      </c>
      <c r="K73" s="6" t="str">
        <f>IFERROR(__xludf.DUMMYFUNCTION("GOOGLETRANSLATE(E73, ""en"", ""fr"")"),"Bien que les jouteurs soient généralement de bons nageurs, les règles de sécurité, notamment dans les compétitions juniors, imposent souvent le port de gilets de sauvetage.")</f>
        <v>Bien que les jouteurs soient généralement de bons nageurs, les règles de sécurité, notamment dans les compétitions juniors, imposent souvent le port de gilets de sauvetage.</v>
      </c>
    </row>
    <row r="74" ht="22.5" customHeight="1">
      <c r="A74" s="4">
        <v>73.0</v>
      </c>
      <c r="B74" s="5" t="s">
        <v>292</v>
      </c>
      <c r="C74" s="5" t="s">
        <v>293</v>
      </c>
      <c r="D74" s="5" t="s">
        <v>294</v>
      </c>
      <c r="E74" s="5" t="s">
        <v>295</v>
      </c>
      <c r="G74" s="6" t="str">
        <f>IFERROR(__xludf.DUMMYFUNCTION("GOOGLETRANSLATE(A74, ""en"", ""fr"")"),"73")</f>
        <v>73</v>
      </c>
      <c r="H74" s="6" t="str">
        <f>IFERROR(__xludf.DUMMYFUNCTION("GOOGLETRANSLATE(B74, ""en"", ""fr"")"),"Qu'est-ce qu'une « vengeance » ?")</f>
        <v>Qu'est-ce qu'une « vengeance » ?</v>
      </c>
      <c r="I74" s="6" t="str">
        <f>IFERROR(__xludf.DUMMYFUNCTION("GOOGLETRANSLATE(C74, ""en"", ""fr"")"),"A) La dernière ronde d'un tournoi, B) Une passe rejouée après une égalité, C) Une protestation de l'équipe perdante, D) Un prix spécial pour le jouteur le plus courageux")</f>
        <v>A) La dernière ronde d'un tournoi, B) Une passe rejouée après une égalité, C) Une protestation de l'équipe perdante, D) Un prix spécial pour le jouteur le plus courageux</v>
      </c>
      <c r="J74" s="6" t="str">
        <f>IFERROR(__xludf.DUMMYFUNCTION("GOOGLETRANSLATE(D74, ""en"", ""fr"")"),"B) Une passe rejouée après un tirage au sort")</f>
        <v>B) Une passe rejouée après un tirage au sort</v>
      </c>
      <c r="K74" s="6" t="str">
        <f>IFERROR(__xludf.DUMMYFUNCTION("GOOGLETRANSLATE(E74, ""en"", ""fr"")"),"Revanche est le mot français pour « revanche » ou « vengeance », et il est utilisé pour la reprise d'un passage où les deux jouteurs sont tombés.")</f>
        <v>Revanche est le mot français pour « revanche » ou « vengeance », et il est utilisé pour la reprise d'un passage où les deux jouteurs sont tombés.</v>
      </c>
    </row>
    <row r="75" ht="22.5" customHeight="1">
      <c r="A75" s="4">
        <v>74.0</v>
      </c>
      <c r="B75" s="5" t="s">
        <v>296</v>
      </c>
      <c r="C75" s="5" t="s">
        <v>297</v>
      </c>
      <c r="D75" s="5" t="s">
        <v>298</v>
      </c>
      <c r="E75" s="5" t="s">
        <v>299</v>
      </c>
      <c r="G75" s="6" t="str">
        <f>IFERROR(__xludf.DUMMYFUNCTION("GOOGLETRANSLATE(A75, ""en"", ""fr"")"),"74")</f>
        <v>74</v>
      </c>
      <c r="H75" s="6" t="str">
        <f>IFERROR(__xludf.DUMMYFUNCTION("GOOGLETRANSLATE(B75, ""en"", ""fr"")"),"Un jouteur est pénalisé si sa lance a une pointe trop large. Quel est le but de cette réglementation concernant la taille de la pointe ?")</f>
        <v>Un jouteur est pénalisé si sa lance a une pointe trop large. Quel est le but de cette réglementation concernant la taille de la pointe ?</v>
      </c>
      <c r="I75" s="6" t="str">
        <f>IFERROR(__xludf.DUMMYFUNCTION("GOOGLETRANSLATE(C75, ""en"", ""fr"")"),"A) Pour rendre la frappe du bouclier plus difficile, B) Pour que la pointe puisse agripper efficacement le bouclier en bois sans être trop dangereuse, C) Pour alléger les lances, D) C'est une règle esthétique")</f>
        <v>A) Pour rendre la frappe du bouclier plus difficile, B) Pour que la pointe puisse agripper efficacement le bouclier en bois sans être trop dangereuse, C) Pour alléger les lances, D) C'est une règle esthétique</v>
      </c>
      <c r="J75" s="6" t="str">
        <f>IFERROR(__xludf.DUMMYFUNCTION("GOOGLETRANSLATE(D75, ""en"", ""fr"")"),"B) Pour s'assurer que la pointe puisse agripper efficacement le bouclier en bois sans être trop dangereuse")</f>
        <v>B) Pour s'assurer que la pointe puisse agripper efficacement le bouclier en bois sans être trop dangereuse</v>
      </c>
      <c r="K75" s="6" t="str">
        <f>IFERROR(__xludf.DUMMYFUNCTION("GOOGLETRANSLATE(E75, ""en"", ""fr"")"),"Les dimensions de la pointe en fer à trois branches sont standardisées afin de garantir son bon fonctionnement et l'équité pour tous les concurrents.")</f>
        <v>Les dimensions de la pointe en fer à trois branches sont standardisées afin de garantir son bon fonctionnement et l'équité pour tous les concurrents.</v>
      </c>
    </row>
    <row r="76" ht="22.5" customHeight="1">
      <c r="A76" s="4">
        <v>75.0</v>
      </c>
      <c r="B76" s="5" t="s">
        <v>300</v>
      </c>
      <c r="C76" s="5" t="s">
        <v>301</v>
      </c>
      <c r="D76" s="5" t="s">
        <v>302</v>
      </c>
      <c r="E76" s="5" t="s">
        <v>303</v>
      </c>
      <c r="G76" s="6" t="str">
        <f>IFERROR(__xludf.DUMMYFUNCTION("GOOGLETRANSLATE(A76, ""en"", ""fr"")"),"75")</f>
        <v>75</v>
      </c>
      <c r="H76" s="6" t="str">
        <f>IFERROR(__xludf.DUMMYFUNCTION("GOOGLETRANSLATE(B76, ""en"", ""fr"")"),"Pourquoi un jouteur doit-il garder son bras « libre » (celui qui ne tient pas la lance) dans une position spécifique ?")</f>
        <v>Pourquoi un jouteur doit-il garder son bras « libre » (celui qui ne tient pas la lance) dans une position spécifique ?</v>
      </c>
      <c r="I76" s="6" t="str">
        <f>IFERROR(__xludf.DUMMYFUNCTION("GOOGLETRANSLATE(C76, ""en"", ""fr"")"),"A) Ce n'est pas une obligation, B) Pour l'équilibre et pour les empêcher de saisir illégalement l'adversaire ou le bateau, C) Pour signaler leur présence à leurs coéquipiers, D) C'est une posture traditionnelle")</f>
        <v>A) Ce n'est pas une obligation, B) Pour l'équilibre et pour les empêcher de saisir illégalement l'adversaire ou le bateau, C) Pour signaler leur présence à leurs coéquipiers, D) C'est une posture traditionnelle</v>
      </c>
      <c r="J76" s="6" t="str">
        <f>IFERROR(__xludf.DUMMYFUNCTION("GOOGLETRANSLATE(D76, ""en"", ""fr"")"),"B) Pour des raisons d'équilibre et pour les empêcher de s'emparer illégalement de l'adversaire ou du bateau")</f>
        <v>B) Pour des raisons d'équilibre et pour les empêcher de s'emparer illégalement de l'adversaire ou du bateau</v>
      </c>
      <c r="K76" s="6" t="str">
        <f>IFERROR(__xludf.DUMMYFUNCTION("GOOGLETRANSLATE(E76, ""en"", ""fr"")"),"La position du bras libre est un élément clé de la technique du jouteur pour maintenir son équilibre et est réglementée afin d'éviter les fautes.")</f>
        <v>La position du bras libre est un élément clé de la technique du jouteur pour maintenir son équilibre et est réglementée afin d'éviter les fautes.</v>
      </c>
    </row>
    <row r="77" ht="22.5" customHeight="1">
      <c r="A77" s="4">
        <v>76.0</v>
      </c>
      <c r="B77" s="5" t="s">
        <v>304</v>
      </c>
      <c r="C77" s="5" t="s">
        <v>305</v>
      </c>
      <c r="D77" s="5" t="s">
        <v>306</v>
      </c>
      <c r="E77" s="5" t="s">
        <v>307</v>
      </c>
      <c r="G77" s="6" t="str">
        <f>IFERROR(__xludf.DUMMYFUNCTION("GOOGLETRANSLATE(A77, ""en"", ""fr"")"),"76")</f>
        <v>76</v>
      </c>
      <c r="H77" s="6" t="str">
        <f>IFERROR(__xludf.DUMMYFUNCTION("GOOGLETRANSLATE(B77, ""en"", ""fr"")"),"Dans un tournoi, qu'est-ce que le «tableau d'avancement» ?")</f>
        <v>Dans un tournoi, qu'est-ce que le «tableau d'avancement» ?</v>
      </c>
      <c r="I77" s="6" t="str">
        <f>IFERROR(__xludf.DUMMYFUNCTION("GOOGLETRANSLATE(C77, ""en"", ""fr"")"),"A) Le tableau des scores, B) Le tableau du tournoi indiquant les confrontations, C) La liste des anciens champions, D) Le programme des événements")</f>
        <v>A) Le tableau des scores, B) Le tableau du tournoi indiquant les confrontations, C) La liste des anciens champions, D) Le programme des événements</v>
      </c>
      <c r="J77" s="6" t="str">
        <f>IFERROR(__xludf.DUMMYFUNCTION("GOOGLETRANSLATE(D77, ""en"", ""fr"")"),"B) Le tableau du tournoi indiquant qui affrontera qui")</f>
        <v>B) Le tableau du tournoi indiquant qui affrontera qui</v>
      </c>
      <c r="K77" s="6" t="str">
        <f>IFERROR(__xludf.DUMMYFUNCTION("GOOGLETRANSLATE(E77, ""en"", ""fr"")"),"Voici le tableau de progression officiel qui indique les appariements pour chaque tour du tournoi éliminatoire.")</f>
        <v>Voici le tableau de progression officiel qui indique les appariements pour chaque tour du tournoi éliminatoire.</v>
      </c>
    </row>
    <row r="78" ht="22.5" customHeight="1">
      <c r="A78" s="4">
        <v>77.0</v>
      </c>
      <c r="B78" s="5" t="s">
        <v>308</v>
      </c>
      <c r="C78" s="5" t="s">
        <v>309</v>
      </c>
      <c r="D78" s="5" t="s">
        <v>310</v>
      </c>
      <c r="E78" s="5" t="s">
        <v>311</v>
      </c>
      <c r="G78" s="6" t="str">
        <f>IFERROR(__xludf.DUMMYFUNCTION("GOOGLETRANSLATE(A78, ""en"", ""fr"")"),"77")</f>
        <v>77</v>
      </c>
      <c r="H78" s="6" t="str">
        <f>IFERROR(__xludf.DUMMYFUNCTION("GOOGLETRANSLATE(B78, ""en"", ""fr"")"),"On voit un jouteur appliquer une substance sur la pointe de sa lance. Si cette substance rend la pointe particulièrement « collante », quelle est la règle ?")</f>
        <v>On voit un jouteur appliquer une substance sur la pointe de sa lance. Si cette substance rend la pointe particulièrement « collante », quelle est la règle ?</v>
      </c>
      <c r="I78" s="6" t="str">
        <f>IFERROR(__xludf.DUMMYFUNCTION("GOOGLETRANSLATE(C78, ""en"", ""fr"")"),"A) Il s'agit d'une tactique astucieuse et légale. B) Il s'agit d'une manipulation illégale du matériel, et le jouteur est disqualifié. C) Un avertissement est donné. D) La lance doit être nettoyée.")</f>
        <v>A) Il s'agit d'une tactique astucieuse et légale. B) Il s'agit d'une manipulation illégale du matériel, et le jouteur est disqualifié. C) Un avertissement est donné. D) La lance doit être nettoyée.</v>
      </c>
      <c r="J78" s="6" t="str">
        <f>IFERROR(__xludf.DUMMYFUNCTION("GOOGLETRANSLATE(D78, ""en"", ""fr"")"),"B) Il s'agit d'une manipulation illégale du matériel, et le jouteur est disqualifié.")</f>
        <v>B) Il s'agit d'une manipulation illégale du matériel, et le jouteur est disqualifié.</v>
      </c>
      <c r="K78" s="6" t="str">
        <f>IFERROR(__xludf.DUMMYFUNCTION("GOOGLETRANSLATE(E78, ""en"", ""fr"")"),"Un jouteur n'est pas autorisé à modifier son équipement de quelque manière que ce soit qui lui confère un avantage injuste pour saisir le bouclier de son adversaire.")</f>
        <v>Un jouteur n'est pas autorisé à modifier son équipement de quelque manière que ce soit qui lui confère un avantage injuste pour saisir le bouclier de son adversaire.</v>
      </c>
    </row>
    <row r="79" ht="22.5" customHeight="1">
      <c r="A79" s="4">
        <v>78.0</v>
      </c>
      <c r="B79" s="5" t="s">
        <v>312</v>
      </c>
      <c r="C79" s="5" t="s">
        <v>313</v>
      </c>
      <c r="D79" s="5" t="s">
        <v>314</v>
      </c>
      <c r="E79" s="5" t="s">
        <v>315</v>
      </c>
      <c r="G79" s="6" t="str">
        <f>IFERROR(__xludf.DUMMYFUNCTION("GOOGLETRANSLATE(A79, ""en"", ""fr"")"),"78")</f>
        <v>78</v>
      </c>
      <c r="H79" s="6" t="str">
        <f>IFERROR(__xludf.DUMMYFUNCTION("GOOGLETRANSLATE(B79, ""en"", ""fr"")"),"Quelle est la principale différence entre un « junior » et un « cadet » dans les catégories d'âge ?")</f>
        <v>Quelle est la principale différence entre un « junior » et un « cadet » dans les catégories d'âge ?</v>
      </c>
      <c r="I79" s="6" t="str">
        <f>IFERROR(__xludf.DUMMYFUNCTION("GOOGLETRANSLATE(C79, ""en"", ""fr"")"),"A) Il n'y a pas de différence, B) Les cadets sont plus jeunes que les juniors, C) Les juniors sont plus jeunes que les cadets, D) Les cadets utilisent des bateaux plus légers")</f>
        <v>A) Il n'y a pas de différence, B) Les cadets sont plus jeunes que les juniors, C) Les juniors sont plus jeunes que les cadets, D) Les cadets utilisent des bateaux plus légers</v>
      </c>
      <c r="J79" s="6" t="str">
        <f>IFERROR(__xludf.DUMMYFUNCTION("GOOGLETRANSLATE(D79, ""en"", ""fr"")"),"B) Les cadets sont plus jeunes que les juniors")</f>
        <v>B) Les cadets sont plus jeunes que les juniors</v>
      </c>
      <c r="K79" s="6" t="str">
        <f>IFERROR(__xludf.DUMMYFUNCTION("GOOGLETRANSLATE(E79, ""en"", ""fr"")"),"La compétition est structurée par âge, avec des catégories telles que les cadets (par exemple, jusqu'à 16 ans) et les juniors (par exemple, 17-20 ans).")</f>
        <v>La compétition est structurée par âge, avec des catégories telles que les cadets (par exemple, jusqu'à 16 ans) et les juniors (par exemple, 17-20 ans).</v>
      </c>
    </row>
    <row r="80" ht="22.5" customHeight="1">
      <c r="A80" s="4">
        <v>79.0</v>
      </c>
      <c r="B80" s="5" t="s">
        <v>316</v>
      </c>
      <c r="C80" s="5" t="s">
        <v>317</v>
      </c>
      <c r="D80" s="5" t="s">
        <v>318</v>
      </c>
      <c r="E80" s="5" t="s">
        <v>319</v>
      </c>
      <c r="G80" s="6" t="str">
        <f>IFERROR(__xludf.DUMMYFUNCTION("GOOGLETRANSLATE(A80, ""en"", ""fr"")"),"79")</f>
        <v>79</v>
      </c>
      <c r="H80" s="6" t="str">
        <f>IFERROR(__xludf.DUMMYFUNCTION("GOOGLETRANSLATE(B80, ""en"", ""fr"")"),"Un jouteur tient son bouclier trop bas, découvrant ainsi le haut de sa poitrine. Que fera probablement l'arbitre ?")</f>
        <v>Un jouteur tient son bouclier trop bas, découvrant ainsi le haut de sa poitrine. Que fera probablement l'arbitre ?</v>
      </c>
      <c r="I80" s="6" t="str">
        <f>IFERROR(__xludf.DUMMYFUNCTION("GOOGLETRANSLATE(C80, ""en"", ""fr"")"),"A) Rien, c'est aux risques et périls du jouteur. B) Interrompre la passe et donner un avertissement pour « garde incorrecte ». C) Attribuer un point à l'adversaire. D) Laisser la passe se poursuivre.")</f>
        <v>A) Rien, c'est aux risques et périls du jouteur. B) Interrompre la passe et donner un avertissement pour « garde incorrecte ». C) Attribuer un point à l'adversaire. D) Laisser la passe se poursuivre.</v>
      </c>
      <c r="J80" s="6" t="str">
        <f>IFERROR(__xludf.DUMMYFUNCTION("GOOGLETRANSLATE(D80, ""en"", ""fr"")"),"B) Interrompez la passe et émettez un avertissement pour « garde incorrecte »,")</f>
        <v>B) Interrompez la passe et émettez un avertissement pour « garde incorrecte »,</v>
      </c>
      <c r="K80" s="6" t="str">
        <f>IFERROR(__xludf.DUMMYFUNCTION("GOOGLETRANSLATE(E80, ""en"", ""fr"")"),"L'arbitre est responsable de la sécurité et veillera au respect des règles exigeant que le bouclier soit tenu dans la position de protection correcte.")</f>
        <v>L'arbitre est responsable de la sécurité et veillera au respect des règles exigeant que le bouclier soit tenu dans la position de protection correcte.</v>
      </c>
    </row>
    <row r="81" ht="22.5" customHeight="1">
      <c r="A81" s="4">
        <v>80.0</v>
      </c>
      <c r="B81" s="5" t="s">
        <v>320</v>
      </c>
      <c r="C81" s="5" t="s">
        <v>321</v>
      </c>
      <c r="D81" s="5" t="s">
        <v>322</v>
      </c>
      <c r="E81" s="5" t="s">
        <v>323</v>
      </c>
      <c r="G81" s="6" t="str">
        <f>IFERROR(__xludf.DUMMYFUNCTION("GOOGLETRANSLATE(A81, ""en"", ""fr"")"),"80")</f>
        <v>80</v>
      </c>
      <c r="H81" s="6" t="str">
        <f>IFERROR(__xludf.DUMMYFUNCTION("GOOGLETRANSLATE(B81, ""en"", ""fr"")"),"La musique s'arrête brusquement au milieu d'une passe. Que doivent faire les rameurs ?")</f>
        <v>La musique s'arrête brusquement au milieu d'une passe. Que doivent faire les rameurs ?</v>
      </c>
      <c r="I81" s="6" t="str">
        <f>IFERROR(__xludf.DUMMYFUNCTION("GOOGLETRANSLATE(C81, ""en"", ""fr"")"),"A) Arrêtez de ramer immédiatement, B) Continuez de ramer jusqu'à ce que l'arbitre signale l'arrêt, C) Ramez plus vite, D) Ramez en arrière")</f>
        <v>A) Arrêtez de ramer immédiatement, B) Continuez de ramer jusqu'à ce que l'arbitre signale l'arrêt, C) Ramez plus vite, D) Ramez en arrière</v>
      </c>
      <c r="J81" s="6" t="str">
        <f>IFERROR(__xludf.DUMMYFUNCTION("GOOGLETRANSLATE(D81, ""en"", ""fr"")"),"B) Continuez à ramer jusqu'à ce que l'arbitre signale l'arrêt.")</f>
        <v>B) Continuez à ramer jusqu'à ce que l'arbitre signale l'arrêt.</v>
      </c>
      <c r="K81" s="6" t="str">
        <f>IFERROR(__xludf.DUMMYFUNCTION("GOOGLETRANSLATE(E81, ""en"", ""fr"")"),"La musique donne le rythme, mais le coup de sifflet de l'arbitre est le seul signal officiel. Les rameurs doivent maintenir leur cadence jusqu'à la fin du passage.")</f>
        <v>La musique donne le rythme, mais le coup de sifflet de l'arbitre est le seul signal officiel. Les rameurs doivent maintenir leur cadence jusqu'à la fin du passage.</v>
      </c>
    </row>
    <row r="82" ht="22.5" customHeight="1">
      <c r="A82" s="4">
        <v>81.0</v>
      </c>
      <c r="B82" s="5" t="s">
        <v>324</v>
      </c>
      <c r="C82" s="5" t="s">
        <v>325</v>
      </c>
      <c r="D82" s="5" t="s">
        <v>326</v>
      </c>
      <c r="E82" s="5" t="s">
        <v>327</v>
      </c>
      <c r="G82" s="6" t="str">
        <f>IFERROR(__xludf.DUMMYFUNCTION("GOOGLETRANSLATE(A82, ""en"", ""fr"")"),"81")</f>
        <v>81</v>
      </c>
      <c r="H82" s="6" t="str">
        <f>IFERROR(__xludf.DUMMYFUNCTION("GOOGLETRANSLATE(B82, ""en"", ""fr"")"),"Un jouteur parvient à faire tomber son adversaire, mais ce faisant, son pied glisse hors de l'empreinte marquée sur la tintaine. Quelle est la décision ?")</f>
        <v>Un jouteur parvient à faire tomber son adversaire, mais ce faisant, son pied glisse hors de l'empreinte marquée sur la tintaine. Quelle est la décision ?</v>
      </c>
      <c r="I82" s="6" t="str">
        <f>IFERROR(__xludf.DUMMYFUNCTION("GOOGLETRANSLATE(C82, ""en"", ""fr"")"),"A) La victoire est valide, B) La passe est nulle et doit être rejouée, C) Le jouteur qui a glissé est disqualifié, D) Le point est attribué à l'adversaire")</f>
        <v>A) La victoire est valide, B) La passe est nulle et doit être rejouée, C) Le jouteur qui a glissé est disqualifié, D) Le point est attribué à l'adversaire</v>
      </c>
      <c r="J82" s="6" t="str">
        <f>IFERROR(__xludf.DUMMYFUNCTION("GOOGLETRANSLATE(D82, ""en"", ""fr"")"),"B) La passe est nulle et doit être rejouée.")</f>
        <v>B) La passe est nulle et doit être rejouée.</v>
      </c>
      <c r="K82" s="6" t="str">
        <f>IFERROR(__xludf.DUMMYFUNCTION("GOOGLETRANSLATE(E82, ""en"", ""fr"")"),"Pour être déclaré vainqueur, un jouteur doit respecter scrupuleusement les règles. Une faute de pied au moment de la victoire annule celle-ci et le match se solde par un match nul.")</f>
        <v>Pour être déclaré vainqueur, un jouteur doit respecter scrupuleusement les règles. Une faute de pied au moment de la victoire annule celle-ci et le match se solde par un match nul.</v>
      </c>
    </row>
    <row r="83" ht="22.5" customHeight="1">
      <c r="A83" s="4">
        <v>82.0</v>
      </c>
      <c r="B83" s="5" t="s">
        <v>328</v>
      </c>
      <c r="C83" s="5" t="s">
        <v>329</v>
      </c>
      <c r="D83" s="5" t="s">
        <v>330</v>
      </c>
      <c r="E83" s="5" t="s">
        <v>331</v>
      </c>
      <c r="G83" s="6" t="str">
        <f>IFERROR(__xludf.DUMMYFUNCTION("GOOGLETRANSLATE(A83, ""en"", ""fr"")"),"82")</f>
        <v>82</v>
      </c>
      <c r="H83" s="6" t="str">
        <f>IFERROR(__xludf.DUMMYFUNCTION("GOOGLETRANSLATE(B83, ""en"", ""fr"")"),"Quel est le but de la hiérarchie stricte au sein d'une société de joutes (par exemple, président, secrétaire, trésorier) ?")</f>
        <v>Quel est le but de la hiérarchie stricte au sein d'une société de joutes (par exemple, président, secrétaire, trésorier) ?</v>
      </c>
      <c r="I83" s="6" t="str">
        <f>IFERROR(__xludf.DUMMYFUNCTION("GOOGLETRANSLATE(C83, ""en"", ""fr"")"),"A) Pour imiter une structure militaire, B) Pour garantir le bon fonctionnement du club, C) Pour décider qui participera aux joutes, D) C'est simplement une tradition")</f>
        <v>A) Pour imiter une structure militaire, B) Pour garantir le bon fonctionnement du club, C) Pour décider qui participera aux joutes, D) C'est simplement une tradition</v>
      </c>
      <c r="J83" s="6" t="str">
        <f>IFERROR(__xludf.DUMMYFUNCTION("GOOGLETRANSLATE(D83, ""en"", ""fr"")"),"B) Veiller à ce que le club soit géré de manière organisée et professionnelle")</f>
        <v>B) Veiller à ce que le club soit géré de manière organisée et professionnelle</v>
      </c>
      <c r="K83" s="6" t="str">
        <f>IFERROR(__xludf.DUMMYFUNCTION("GOOGLETRANSLATE(E83, ""en"", ""fr"")"),"Comme tout club sportif moderne, ces associations disposent d'une structure administrative formelle pour gérer leurs finances, leurs événements et leurs membres.")</f>
        <v>Comme tout club sportif moderne, ces associations disposent d'une structure administrative formelle pour gérer leurs finances, leurs événements et leurs membres.</v>
      </c>
    </row>
    <row r="84" ht="22.5" customHeight="1">
      <c r="A84" s="4">
        <v>83.0</v>
      </c>
      <c r="B84" s="5" t="s">
        <v>332</v>
      </c>
      <c r="C84" s="5" t="s">
        <v>333</v>
      </c>
      <c r="D84" s="5" t="s">
        <v>143</v>
      </c>
      <c r="E84" s="5" t="s">
        <v>334</v>
      </c>
      <c r="G84" s="6" t="str">
        <f>IFERROR(__xludf.DUMMYFUNCTION("GOOGLETRANSLATE(A84, ""en"", ""fr"")"),"83")</f>
        <v>83</v>
      </c>
      <c r="H84" s="6" t="str">
        <f>IFERROR(__xludf.DUMMYFUNCTION("GOOGLETRANSLATE(B84, ""en"", ""fr"")"),"Le bateau d'une équipe s'avère plus léger que le poids minimum requis. Quelle en est la conséquence ?")</f>
        <v>Le bateau d'une équipe s'avère plus léger que le poids minimum requis. Quelle en est la conséquence ?</v>
      </c>
      <c r="I84" s="6" t="str">
        <f>IFERROR(__xludf.DUMMYFUNCTION("GOOGLETRANSLATE(C84, ""en"", ""fr"")"),"A) Ils bénéficient d'un avantage au départ, B) Ils sont disqualifiés, C) Ils doivent ajouter du poids au bateau, D) Cela ne leur apporte aucun avantage")</f>
        <v>A) Ils bénéficient d'un avantage au départ, B) Ils sont disqualifiés, C) Ils doivent ajouter du poids au bateau, D) Cela ne leur apporte aucun avantage</v>
      </c>
      <c r="J84" s="6" t="str">
        <f>IFERROR(__xludf.DUMMYFUNCTION("GOOGLETRANSLATE(D84, ""en"", ""fr"")"),"B) Ils sont disqualifiés")</f>
        <v>B) Ils sont disqualifiés</v>
      </c>
      <c r="K84" s="6" t="str">
        <f>IFERROR(__xludf.DUMMYFUNCTION("GOOGLETRANSLATE(E84, ""en"", ""fr"")"),"Le poids des bateaux est standardisé afin de garantir l'équité. Un bateau plus léger serait plus rapide et plus facile à propulser, ce qui constituerait un avantage illégal.")</f>
        <v>Le poids des bateaux est standardisé afin de garantir l'équité. Un bateau plus léger serait plus rapide et plus facile à propulser, ce qui constituerait un avantage illégal.</v>
      </c>
    </row>
    <row r="85" ht="22.5" customHeight="1">
      <c r="A85" s="4">
        <v>84.0</v>
      </c>
      <c r="B85" s="5" t="s">
        <v>335</v>
      </c>
      <c r="C85" s="5" t="s">
        <v>336</v>
      </c>
      <c r="D85" s="5" t="s">
        <v>337</v>
      </c>
      <c r="E85" s="5" t="s">
        <v>338</v>
      </c>
      <c r="G85" s="6" t="str">
        <f>IFERROR(__xludf.DUMMYFUNCTION("GOOGLETRANSLATE(A85, ""en"", ""fr"")"),"84")</f>
        <v>84</v>
      </c>
      <c r="H85" s="6" t="str">
        <f>IFERROR(__xludf.DUMMYFUNCTION("GOOGLETRANSLATE(B85, ""en"", ""fr"")"),"Quel est le rôle principal de la longue rame du timonier (du patron) ?")</f>
        <v>Quel est le rôle principal de la longue rame du timonier (du patron) ?</v>
      </c>
      <c r="I85" s="6" t="str">
        <f>IFERROR(__xludf.DUMMYFUNCTION("GOOGLETRANSLATE(C85, ""en"", ""fr"")"),"A) Pour prendre appui sur les parois du canal, B) Pour servir de gouvernail afin de diriger le bateau très lourd et long, C) Pour servir d'arme en cas de différend, D) Pour donner des signaux aux rameurs")</f>
        <v>A) Pour prendre appui sur les parois du canal, B) Pour servir de gouvernail afin de diriger le bateau très lourd et long, C) Pour servir d'arme en cas de différend, D) Pour donner des signaux aux rameurs</v>
      </c>
      <c r="J85" s="6" t="str">
        <f>IFERROR(__xludf.DUMMYFUNCTION("GOOGLETRANSLATE(D85, ""en"", ""fr"")"),"B) Servir de gouvernail pour diriger le bateau très lourd et long")</f>
        <v>B) Servir de gouvernail pour diriger le bateau très lourd et long</v>
      </c>
      <c r="K85" s="6" t="str">
        <f>IFERROR(__xludf.DUMMYFUNCTION("GOOGLETRANSLATE(E85, ""en"", ""fr"")"),"La longue rame sert de système de direction, et l'habileté du rameur à l'utiliser est cruciale pour réussir la traversée.")</f>
        <v>La longue rame sert de système de direction, et l'habileté du rameur à l'utiliser est cruciale pour réussir la traversée.</v>
      </c>
    </row>
    <row r="86" ht="22.5" customHeight="1">
      <c r="A86" s="4">
        <v>85.0</v>
      </c>
      <c r="B86" s="5" t="s">
        <v>339</v>
      </c>
      <c r="C86" s="5" t="s">
        <v>340</v>
      </c>
      <c r="D86" s="5" t="s">
        <v>341</v>
      </c>
      <c r="E86" s="5" t="s">
        <v>342</v>
      </c>
      <c r="G86" s="6" t="str">
        <f>IFERROR(__xludf.DUMMYFUNCTION("GOOGLETRANSLATE(A86, ""en"", ""fr"")"),"85")</f>
        <v>85</v>
      </c>
      <c r="H86" s="6" t="str">
        <f>IFERROR(__xludf.DUMMYFUNCTION("GOOGLETRANSLATE(B86, ""en"", ""fr"")"),"Un jouteur remporte le passage, mais le ralenti vidéo montre que la pointe de sa lance a touché le bord du bouclier, et non sa surface principale. Quelle est la décision ?")</f>
        <v>Un jouteur remporte le passage, mais le ralenti vidéo montre que la pointe de sa lance a touché le bord du bouclier, et non sa surface principale. Quelle est la décision ?</v>
      </c>
      <c r="I86" s="6" t="str">
        <f>IFERROR(__xludf.DUMMYFUNCTION("GOOGLETRANSLATE(C86, ""en"", ""fr"")"),"A) La passe est valable. B) La passe est invalidée car elle n'a pas été effectuée dans la surface de réparation. C) La passe est rejouée. D) Un penalty est accordé.")</f>
        <v>A) La passe est valable. B) La passe est invalidée car elle n'a pas été effectuée dans la surface de réparation. C) La passe est rejouée. D) Un penalty est accordé.</v>
      </c>
      <c r="J86" s="6" t="str">
        <f>IFERROR(__xludf.DUMMYFUNCTION("GOOGLETRANSLATE(D86, ""en"", ""fr"")"),"B) La victoire est invalide car elle n'a pas été remportée dans la zone cible légale.")</f>
        <v>B) La victoire est invalide car elle n'a pas été remportée dans la zone cible légale.</v>
      </c>
      <c r="K86" s="6" t="str">
        <f>IFERROR(__xludf.DUMMYFUNCTION("GOOGLETRANSLATE(E86, ""en"", ""fr"")"),"Le règlement précise la zone rectangulaire exacte sur le bouclier qui constitue une cible valide. Un coup porté sur le bord ou en dehors de cette zone est une faute.")</f>
        <v>Le règlement précise la zone rectangulaire exacte sur le bouclier qui constitue une cible valide. Un coup porté sur le bord ou en dehors de cette zone est une faute.</v>
      </c>
    </row>
    <row r="87" ht="22.5" customHeight="1">
      <c r="A87" s="4">
        <v>86.0</v>
      </c>
      <c r="B87" s="5" t="s">
        <v>343</v>
      </c>
      <c r="C87" s="5" t="s">
        <v>344</v>
      </c>
      <c r="D87" s="5" t="s">
        <v>345</v>
      </c>
      <c r="E87" s="5" t="s">
        <v>346</v>
      </c>
      <c r="G87" s="6" t="str">
        <f>IFERROR(__xludf.DUMMYFUNCTION("GOOGLETRANSLATE(A87, ""en"", ""fr"")"),"86")</f>
        <v>86</v>
      </c>
      <c r="H87" s="6" t="str">
        <f>IFERROR(__xludf.DUMMYFUNCTION("GOOGLETRANSLATE(B87, ""en"", ""fr"")"),"Pourquoi est-il obligatoire que tous les rameurs soient tournés vers l'avant, dos à la direction du déplacement ?")</f>
        <v>Pourquoi est-il obligatoire que tous les rameurs soient tournés vers l'avant, dos à la direction du déplacement ?</v>
      </c>
      <c r="I87" s="6" t="str">
        <f>IFERROR(__xludf.DUMMYFUNCTION("GOOGLETRANSLATE(C87, ""en"", ""fr"")"),"A) C'est plus confortable, B) C'est la méthode de rame traditionnelle et la plus efficace pour ce type d'embarcation, C) Pour éviter qu'ils ne distraient le jouteur, D) Pour qu'ils ne voient pas la collision")</f>
        <v>A) C'est plus confortable, B) C'est la méthode de rame traditionnelle et la plus efficace pour ce type d'embarcation, C) Pour éviter qu'ils ne distraient le jouteur, D) Pour qu'ils ne voient pas la collision</v>
      </c>
      <c r="J87" s="6" t="str">
        <f>IFERROR(__xludf.DUMMYFUNCTION("GOOGLETRANSLATE(D87, ""en"", ""fr"")"),"B) Il s'agit de la méthode de rame traditionnelle et la plus efficace pour ce type d'embarcation.")</f>
        <v>B) Il s'agit de la méthode de rame traditionnelle et la plus efficace pour ce type d'embarcation.</v>
      </c>
      <c r="K87" s="6" t="str">
        <f>IFERROR(__xludf.DUMMYFUNCTION("GOOGLETRANSLATE(E87, ""en"", ""fr"")"),"Il s'agit du style d'aviron méditerranéen classique, où les rameurs poussent sur les rames en position debout et face à l'avant.")</f>
        <v>Il s'agit du style d'aviron méditerranéen classique, où les rameurs poussent sur les rames en position debout et face à l'avant.</v>
      </c>
    </row>
    <row r="88" ht="22.5" customHeight="1">
      <c r="A88" s="4">
        <v>87.0</v>
      </c>
      <c r="B88" s="5" t="s">
        <v>347</v>
      </c>
      <c r="C88" s="5" t="s">
        <v>348</v>
      </c>
      <c r="D88" s="5" t="s">
        <v>349</v>
      </c>
      <c r="E88" s="5" t="s">
        <v>350</v>
      </c>
      <c r="G88" s="6" t="str">
        <f>IFERROR(__xludf.DUMMYFUNCTION("GOOGLETRANSLATE(A88, ""en"", ""fr"")"),"87")</f>
        <v>87</v>
      </c>
      <c r="H88" s="6" t="str">
        <f>IFERROR(__xludf.DUMMYFUNCTION("GOOGLETRANSLATE(B88, ""en"", ""fr"")"),"Un jouteur est pénalisé pour avoir les pieds levés. Qu'est-ce que cela signifie ?")</f>
        <v>Un jouteur est pénalisé pour avoir les pieds levés. Qu'est-ce que cela signifie ?</v>
      </c>
      <c r="I88" s="6" t="str">
        <f>IFERROR(__xludf.DUMMYFUNCTION("GOOGLETRANSLATE(C88, ""en"", ""fr"")"),"A) Ils ont complètement décollé les pieds de la tranchée lors de l'impact. B) Ils ne portaient pas les chaussures appropriées. C) Ils ont donné un coup de pied à leur adversaire. D) Ils ont sauté dans l'eau.")</f>
        <v>A) Ils ont complètement décollé les pieds de la tranchée lors de l'impact. B) Ils ne portaient pas les chaussures appropriées. C) Ils ont donné un coup de pied à leur adversaire. D) Ils ont sauté dans l'eau.</v>
      </c>
      <c r="J88" s="6" t="str">
        <f>IFERROR(__xludf.DUMMYFUNCTION("GOOGLETRANSLATE(D88, ""en"", ""fr"")"),"A) Ils ont complètement soulevé les pieds de la tôle lors de l'impact.")</f>
        <v>A) Ils ont complètement soulevé les pieds de la tôle lors de l'impact.</v>
      </c>
      <c r="K88" s="6" t="str">
        <f>IFERROR(__xludf.DUMMYFUNCTION("GOOGLETRANSLATE(E88, ""en"", ""fr"")"),"Un jouteur doit amortir le choc en gardant les pieds bien ancrés au sol. Lever les pieds de la plateforme au moment de l'impact constitue une faute.")</f>
        <v>Un jouteur doit amortir le choc en gardant les pieds bien ancrés au sol. Lever les pieds de la plateforme au moment de l'impact constitue une faute.</v>
      </c>
    </row>
    <row r="89" ht="22.5" customHeight="1">
      <c r="A89" s="4">
        <v>88.0</v>
      </c>
      <c r="B89" s="5" t="s">
        <v>351</v>
      </c>
      <c r="C89" s="5" t="s">
        <v>352</v>
      </c>
      <c r="D89" s="5" t="s">
        <v>353</v>
      </c>
      <c r="E89" s="5" t="s">
        <v>354</v>
      </c>
      <c r="G89" s="6" t="str">
        <f>IFERROR(__xludf.DUMMYFUNCTION("GOOGLETRANSLATE(A89, ""en"", ""fr"")"),"88")</f>
        <v>88</v>
      </c>
      <c r="H89" s="6" t="str">
        <f>IFERROR(__xludf.DUMMYFUNCTION("GOOGLETRANSLATE(B89, ""en"", ""fr"")"),"Quelle est la principale raison pour laquelle les jouteurs doivent concourir dans des catégories de poids spécifiques et désignées ?")</f>
        <v>Quelle est la principale raison pour laquelle les jouteurs doivent concourir dans des catégories de poids spécifiques et désignées ?</v>
      </c>
      <c r="I89" s="6" t="str">
        <f>IFERROR(__xludf.DUMMYFUNCTION("GOOGLETRANSLATE(C89, ""en"", ""fr"")"),"A) Pour garantir l'équilibre des bateaux, B) Pour assurer une compétition équitable basée sur le talent plutôt que sur un avantage de poids considérable, C) Pour faciliter la recherche d'uniformes, D) Pour rendre ce sport plus sûr")</f>
        <v>A) Pour garantir l'équilibre des bateaux, B) Pour assurer une compétition équitable basée sur le talent plutôt que sur un avantage de poids considérable, C) Pour faciliter la recherche d'uniformes, D) Pour rendre ce sport plus sûr</v>
      </c>
      <c r="J89" s="6" t="str">
        <f>IFERROR(__xludf.DUMMYFUNCTION("GOOGLETRANSLATE(D89, ""en"", ""fr"")"),"B) Afin de garantir un combat équitable fondé sur le talent plutôt que sur un avantage de poids considérable.")</f>
        <v>B) Afin de garantir un combat équitable fondé sur le talent plutôt que sur un avantage de poids considérable.</v>
      </c>
      <c r="K89" s="6" t="str">
        <f>IFERROR(__xludf.DUMMYFUNCTION("GOOGLETRANSLATE(E89, ""en"", ""fr"")"),"Opposer un jouteur léger à un super-lourd serait un combat déséquilibré et injuste ; les catégories garantissent donc un jeu équitable.")</f>
        <v>Opposer un jouteur léger à un super-lourd serait un combat déséquilibré et injuste ; les catégories garantissent donc un jeu équitable.</v>
      </c>
    </row>
    <row r="90" ht="22.5" customHeight="1">
      <c r="A90" s="4">
        <v>89.0</v>
      </c>
      <c r="B90" s="5" t="s">
        <v>355</v>
      </c>
      <c r="C90" s="5" t="s">
        <v>356</v>
      </c>
      <c r="D90" s="5" t="s">
        <v>357</v>
      </c>
      <c r="E90" s="5" t="s">
        <v>358</v>
      </c>
      <c r="G90" s="6" t="str">
        <f>IFERROR(__xludf.DUMMYFUNCTION("GOOGLETRANSLATE(A90, ""en"", ""fr"")"),"89")</f>
        <v>89</v>
      </c>
      <c r="H90" s="6" t="str">
        <f>IFERROR(__xludf.DUMMYFUNCTION("GOOGLETRANSLATE(B90, ""en"", ""fr"")"),"L'embarcation d'une équipe ne compte que 9 rameurs au lieu des 10 requis. Quelle en est la conséquence ?")</f>
        <v>L'embarcation d'une équipe ne compte que 9 rameurs au lieu des 10 requis. Quelle en est la conséquence ?</v>
      </c>
      <c r="I90" s="6" t="str">
        <f>IFERROR(__xludf.DUMMYFUNCTION("GOOGLETRANSLATE(C90, ""en"", ""fr"")"),"A) Ils sont autorisés à concourir malgré un désavantage, B) Ils ne sont pas autorisés à initier la passe, C) Ils reçoivent une pénalité d'un point, D) Ils peuvent utiliser un moteur pour compenser")</f>
        <v>A) Ils sont autorisés à concourir malgré un désavantage, B) Ils ne sont pas autorisés à initier la passe, C) Ils reçoivent une pénalité d'un point, D) Ils peuvent utiliser un moteur pour compenser</v>
      </c>
      <c r="J90" s="6" t="str">
        <f>IFERROR(__xludf.DUMMYFUNCTION("GOOGLETRANSLATE(D90, ""en"", ""fr"")"),"B) Ils ne sont pas autorisés à commencer la passe")</f>
        <v>B) Ils ne sont pas autorisés à commencer la passe</v>
      </c>
      <c r="K90" s="6" t="str">
        <f>IFERROR(__xludf.DUMMYFUNCTION("GOOGLETRANSLATE(E90, ""en"", ""fr"")"),"Les règles relatives à la composition des équipages sont strictes afin de garantir l'équité. Une équipe à laquelle il manque un rameur ne peut pas participer.")</f>
        <v>Les règles relatives à la composition des équipages sont strictes afin de garantir l'équité. Une équipe à laquelle il manque un rameur ne peut pas participer.</v>
      </c>
    </row>
    <row r="91" ht="22.5" customHeight="1">
      <c r="A91" s="4">
        <v>90.0</v>
      </c>
      <c r="B91" s="5" t="s">
        <v>359</v>
      </c>
      <c r="C91" s="5" t="s">
        <v>360</v>
      </c>
      <c r="D91" s="5" t="s">
        <v>361</v>
      </c>
      <c r="E91" s="5" t="s">
        <v>362</v>
      </c>
      <c r="G91" s="6" t="str">
        <f>IFERROR(__xludf.DUMMYFUNCTION("GOOGLETRANSLATE(A91, ""en"", ""fr"")"),"90")</f>
        <v>90</v>
      </c>
      <c r="H91" s="6" t="str">
        <f>IFERROR(__xludf.DUMMYFUNCTION("GOOGLETRANSLATE(B91, ""en"", ""fr"")"),"Un jouteur utilise une lance légèrement courbée. Est-ce autorisé ?")</f>
        <v>Un jouteur utilise une lance légèrement courbée. Est-ce autorisé ?</v>
      </c>
      <c r="I91" s="6" t="str">
        <f>IFERROR(__xludf.DUMMYFUNCTION("GOOGLETRANSLATE(C91, ""en"", ""fr"")"),"A) Oui, si cela les aide à mieux viser, B) Non, la lance doit être parfaitement droite, C) Seulement si l'adversaire est d'accord, D) Uniquement dans la catégorie junior")</f>
        <v>A) Oui, si cela les aide à mieux viser, B) Non, la lance doit être parfaitement droite, C) Seulement si l'adversaire est d'accord, D) Uniquement dans la catégorie junior</v>
      </c>
      <c r="J91" s="6" t="str">
        <f>IFERROR(__xludf.DUMMYFUNCTION("GOOGLETRANSLATE(D91, ""en"", ""fr"")"),"B) Non, la lance doit être parfaitement droite.")</f>
        <v>B) Non, la lance doit être parfaitement droite.</v>
      </c>
      <c r="K91" s="6" t="str">
        <f>IFERROR(__xludf.DUMMYFUNCTION("GOOGLETRANSLATE(E91, ""en"", ""fr"")"),"L'équipement est standardisé, et une lance courbe serait illégale car elle pourrait procurer un avantage injuste ou être imprévisible.")</f>
        <v>L'équipement est standardisé, et une lance courbe serait illégale car elle pourrait procurer un avantage injuste ou être imprévisible.</v>
      </c>
    </row>
    <row r="92" ht="22.5" customHeight="1">
      <c r="A92" s="4">
        <v>91.0</v>
      </c>
      <c r="B92" s="5" t="s">
        <v>363</v>
      </c>
      <c r="C92" s="5" t="s">
        <v>364</v>
      </c>
      <c r="D92" s="5" t="s">
        <v>365</v>
      </c>
      <c r="E92" s="5" t="s">
        <v>366</v>
      </c>
      <c r="G92" s="6" t="str">
        <f>IFERROR(__xludf.DUMMYFUNCTION("GOOGLETRANSLATE(A92, ""en"", ""fr"")"),"91")</f>
        <v>91</v>
      </c>
      <c r="H92" s="6" t="str">
        <f>IFERROR(__xludf.DUMMYFUNCTION("GOOGLETRANSLATE(B92, ""en"", ""fr"")"),"Quelle est la principale caractéristique de la méthode de joute « Givordine » ?")</f>
        <v>Quelle est la principale caractéristique de la méthode de joute « Givordine » ?</v>
      </c>
      <c r="I92" s="6" t="str">
        <f>IFERROR(__xludf.DUMMYFUNCTION("GOOGLETRANSLATE(C92, ""en"", ""fr"")"),"A) Les bateaux passent par la gauche, B) Les jouteurs sont assis, C) Les bateaux sont propulsés par un système de câbles, D) C'est une version sans contact")</f>
        <v>A) Les bateaux passent par la gauche, B) Les jouteurs sont assis, C) Les bateaux sont propulsés par un système de câbles, D) C'est une version sans contact</v>
      </c>
      <c r="J92" s="6" t="str">
        <f>IFERROR(__xludf.DUMMYFUNCTION("GOOGLETRANSLATE(D92, ""en"", ""fr"")"),"A) Les bateaux passent sur le côté gauche")</f>
        <v>A) Les bateaux passent sur le côté gauche</v>
      </c>
      <c r="K92" s="6" t="str">
        <f>IFERROR(__xludf.DUMMYFUNCTION("GOOGLETRANSLATE(E92, ""en"", ""fr"")"),"C’est là la règle distinctive clé du style Givors, par opposition au style Sète où les bateaux doivent passer par la droite.")</f>
        <v>C’est là la règle distinctive clé du style Givors, par opposition au style Sète où les bateaux doivent passer par la droite.</v>
      </c>
    </row>
    <row r="93" ht="22.5" customHeight="1">
      <c r="A93" s="4">
        <v>92.0</v>
      </c>
      <c r="B93" s="5" t="s">
        <v>367</v>
      </c>
      <c r="C93" s="5" t="s">
        <v>368</v>
      </c>
      <c r="D93" s="5" t="s">
        <v>369</v>
      </c>
      <c r="E93" s="5" t="s">
        <v>370</v>
      </c>
      <c r="G93" s="6" t="str">
        <f>IFERROR(__xludf.DUMMYFUNCTION("GOOGLETRANSLATE(A93, ""en"", ""fr"")"),"92")</f>
        <v>92</v>
      </c>
      <c r="H93" s="6" t="str">
        <f>IFERROR(__xludf.DUMMYFUNCTION("GOOGLETRANSLATE(B93, ""en"", ""fr"")"),"Un jouteur parvient à désarçonner son adversaire. À qui revient la gloire de la victoire ?")</f>
        <v>Un jouteur parvient à désarçonner son adversaire. À qui revient la gloire de la victoire ?</v>
      </c>
      <c r="I93" s="6" t="str">
        <f>IFERROR(__xludf.DUMMYFUNCTION("GOOGLETRANSLATE(C93, ""en"", ""fr"")"),"A) Uniquement au jouteur, B) Au jouteur, aux rameurs, au timonier et à toute leur société, C) Au constructeur de bateaux, D) Au maire de la ville")</f>
        <v>A) Uniquement au jouteur, B) Au jouteur, aux rameurs, au timonier et à toute leur société, C) Au constructeur de bateaux, D) Au maire de la ville</v>
      </c>
      <c r="J93" s="6" t="str">
        <f>IFERROR(__xludf.DUMMYFUNCTION("GOOGLETRANSLATE(D93, ""en"", ""fr"")"),"B) Au jouteur, aux rameurs, au timonier et à toute leur société")</f>
        <v>B) Au jouteur, aux rameurs, au timonier et à toute leur société</v>
      </c>
      <c r="K93" s="6" t="str">
        <f>IFERROR(__xludf.DUMMYFUNCTION("GOOGLETRANSLATE(E93, ""en"", ""fr"")"),"Une victoire en joute est considérée comme un effort collectif et communautaire.")</f>
        <v>Une victoire en joute est considérée comme un effort collectif et communautaire.</v>
      </c>
    </row>
    <row r="94" ht="22.5" customHeight="1">
      <c r="A94" s="4">
        <v>93.0</v>
      </c>
      <c r="B94" s="5" t="s">
        <v>371</v>
      </c>
      <c r="C94" s="5" t="s">
        <v>372</v>
      </c>
      <c r="D94" s="5" t="s">
        <v>373</v>
      </c>
      <c r="E94" s="5" t="s">
        <v>374</v>
      </c>
      <c r="G94" s="6" t="str">
        <f>IFERROR(__xludf.DUMMYFUNCTION("GOOGLETRANSLATE(A94, ""en"", ""fr"")"),"93")</f>
        <v>93</v>
      </c>
      <c r="H94" s="6" t="str">
        <f>IFERROR(__xludf.DUMMYFUNCTION("GOOGLETRANSLATE(B94, ""en"", ""fr"")"),"Quelle est la règle si un jouteur touche son adversaire de sa main libre pour le pousser ?")</f>
        <v>Quelle est la règle si un jouteur touche son adversaire de sa main libre pour le pousser ?</v>
      </c>
      <c r="I94" s="6" t="str">
        <f>IFERROR(__xludf.DUMMYFUNCTION("GOOGLETRANSLATE(C94, ""en"", ""fr"")"),"A) C'est une tactique légale, B) C'est une faute et le jouteur perd la passe, C) Un avertissement est donné, D) La passe est rejouée")</f>
        <v>A) C'est une tactique légale, B) C'est une faute et le jouteur perd la passe, C) Un avertissement est donné, D) La passe est rejouée</v>
      </c>
      <c r="J94" s="6" t="str">
        <f>IFERROR(__xludf.DUMMYFUNCTION("GOOGLETRANSLATE(D94, ""en"", ""fr"")"),"B) C'est une faute, et le jouteur perd la passe.")</f>
        <v>B) C'est une faute, et le jouteur perd la passe.</v>
      </c>
      <c r="K94" s="6" t="str">
        <f>IFERROR(__xludf.DUMMYFUNCTION("GOOGLETRANSLATE(E94, ""en"", ""fr"")"),"Il est strictement interdit à un jouteur de toucher son adversaire avec quelque partie que ce soit de son corps.")</f>
        <v>Il est strictement interdit à un jouteur de toucher son adversaire avec quelque partie que ce soit de son corps.</v>
      </c>
    </row>
    <row r="95" ht="22.5" customHeight="1">
      <c r="A95" s="4">
        <v>94.0</v>
      </c>
      <c r="B95" s="5" t="s">
        <v>375</v>
      </c>
      <c r="C95" s="5" t="s">
        <v>376</v>
      </c>
      <c r="D95" s="5" t="s">
        <v>377</v>
      </c>
      <c r="E95" s="5" t="s">
        <v>378</v>
      </c>
      <c r="G95" s="6" t="str">
        <f>IFERROR(__xludf.DUMMYFUNCTION("GOOGLETRANSLATE(A95, ""en"", ""fr"")"),"94")</f>
        <v>94</v>
      </c>
      <c r="H95" s="6" t="str">
        <f>IFERROR(__xludf.DUMMYFUNCTION("GOOGLETRANSLATE(B95, ""en"", ""fr"")"),"Quel est le rôle principal du musicien sur le bateau ?")</f>
        <v>Quel est le rôle principal du musicien sur le bateau ?</v>
      </c>
      <c r="I95" s="6" t="str">
        <f>IFERROR(__xludf.DUMMYFUNCTION("GOOGLETRANSLATE(C95, ""en"", ""fr"")"),"A) Divertir le public, B) Donner le rythme aux rameurs avec leur hautbois et leur tambour, C) Signaler les fautes à l'arbitre, D) Être rameur remplaçant")</f>
        <v>A) Divertir le public, B) Donner le rythme aux rameurs avec leur hautbois et leur tambour, C) Signaler les fautes à l'arbitre, D) Être rameur remplaçant</v>
      </c>
      <c r="J95" s="6" t="str">
        <f>IFERROR(__xludf.DUMMYFUNCTION("GOOGLETRANSLATE(D95, ""en"", ""fr"")"),"B) Donner le rythme aux rameurs avec leur hautbois et leur tambour")</f>
        <v>B) Donner le rythme aux rameurs avec leur hautbois et leur tambour</v>
      </c>
      <c r="K95" s="6" t="str">
        <f>IFERROR(__xludf.DUMMYFUNCTION("GOOGLETRANSLATE(E95, ""en"", ""fr"")"),"Le musicien fait partie intégrante de l'équipage, car son tempo détermine la vitesse d'approche du bateau.")</f>
        <v>Le musicien fait partie intégrante de l'équipage, car son tempo détermine la vitesse d'approche du bateau.</v>
      </c>
    </row>
    <row r="96" ht="22.5" customHeight="1">
      <c r="A96" s="4">
        <v>95.0</v>
      </c>
      <c r="B96" s="5" t="s">
        <v>379</v>
      </c>
      <c r="C96" s="5" t="s">
        <v>380</v>
      </c>
      <c r="D96" s="5" t="s">
        <v>381</v>
      </c>
      <c r="E96" s="5" t="s">
        <v>382</v>
      </c>
      <c r="G96" s="6" t="str">
        <f>IFERROR(__xludf.DUMMYFUNCTION("GOOGLETRANSLATE(A96, ""en"", ""fr"")"),"95")</f>
        <v>95</v>
      </c>
      <c r="H96" s="6" t="str">
        <f>IFERROR(__xludf.DUMMYFUNCTION("GOOGLETRANSLATE(B96, ""en"", ""fr"")"),"Un jouteur porte une tenue blanche, mais ses chaussettes sont rouges, de la couleur du bateau adverse. Pourquoi est-ce une faute ?")</f>
        <v>Un jouteur porte une tenue blanche, mais ses chaussettes sont rouges, de la couleur du bateau adverse. Pourquoi est-ce une faute ?</v>
      </c>
      <c r="I96" s="6" t="str">
        <f>IFERROR(__xludf.DUMMYFUNCTION("GOOGLETRANSLATE(C96, ""en"", ""fr"")"),"A) Ce n'est pas une faute, B) Cela peut prêter à confusion pour les juges, C) Les chaussettes rouges portent malheur, D) Cela enfreint le règlement strict concernant l'uniforme entièrement blanc")</f>
        <v>A) Ce n'est pas une faute, B) Cela peut prêter à confusion pour les juges, C) Les chaussettes rouges portent malheur, D) Cela enfreint le règlement strict concernant l'uniforme entièrement blanc</v>
      </c>
      <c r="J96" s="6" t="str">
        <f>IFERROR(__xludf.DUMMYFUNCTION("GOOGLETRANSLATE(D96, ""en"", ""fr"")"),"D) Cela enfreint la règle stricte de l'uniforme entièrement blanc.")</f>
        <v>D) Cela enfreint la règle stricte de l'uniforme entièrement blanc.</v>
      </c>
      <c r="K96" s="6" t="str">
        <f>IFERROR(__xludf.DUMMYFUNCTION("GOOGLETRANSLATE(E96, ""en"", ""fr"")"),"Le règlement exige que la tenue du jouteur soit entièrement blanche, jusqu'aux chaussettes, afin de garantir l'uniformité et un jugement clair.")</f>
        <v>Le règlement exige que la tenue du jouteur soit entièrement blanche, jusqu'aux chaussettes, afin de garantir l'uniformité et un jugement clair.</v>
      </c>
    </row>
    <row r="97" ht="22.5" customHeight="1">
      <c r="A97" s="4">
        <v>96.0</v>
      </c>
      <c r="B97" s="5" t="s">
        <v>383</v>
      </c>
      <c r="C97" s="5" t="s">
        <v>384</v>
      </c>
      <c r="D97" s="5" t="s">
        <v>385</v>
      </c>
      <c r="E97" s="5" t="s">
        <v>386</v>
      </c>
      <c r="G97" s="6" t="str">
        <f>IFERROR(__xludf.DUMMYFUNCTION("GOOGLETRANSLATE(A97, ""en"", ""fr"")"),"96")</f>
        <v>96</v>
      </c>
      <c r="H97" s="6" t="str">
        <f>IFERROR(__xludf.DUMMYFUNCTION("GOOGLETRANSLATE(B97, ""en"", ""fr"")"),"Quelle est la principale raison pour laquelle un jouteur doit rester sur la tintaine pendant toute la durée du passage ?")</f>
        <v>Quelle est la principale raison pour laquelle un jouteur doit rester sur la tintaine pendant toute la durée du passage ?</v>
      </c>
      <c r="I97" s="6" t="str">
        <f>IFERROR(__xludf.DUMMYFUNCTION("GOOGLETRANSLATE(C97, ""en"", ""fr"")"),"A) C'est l'endroit le plus dangereux, B) C'est l'épreuve ultime d'équilibre, la compétence essentielle de ce sport, C) C'est le seul endroit où ils peuvent tenir la lance, D) Il offre la meilleure vue")</f>
        <v>A) C'est l'endroit le plus dangereux, B) C'est l'épreuve ultime d'équilibre, la compétence essentielle de ce sport, C) C'est le seul endroit où ils peuvent tenir la lance, D) Il offre la meilleure vue</v>
      </c>
      <c r="J97" s="6" t="str">
        <f>IFERROR(__xludf.DUMMYFUNCTION("GOOGLETRANSLATE(D97, ""en"", ""fr"")"),"B) C'est l'épreuve ultime d'équilibre, la compétence fondamentale de ce sport.")</f>
        <v>B) C'est l'épreuve ultime d'équilibre, la compétence fondamentale de ce sport.</v>
      </c>
      <c r="K97" s="6" t="str">
        <f>IFERROR(__xludf.DUMMYFUNCTION("GOOGLETRANSLATE(E97, ""en"", ""fr"")"),"Ce sport tout entier est conçu autour du défi de garder l'équilibre sur cette minuscule plateforme instable lors d'un impact violent.")</f>
        <v>Ce sport tout entier est conçu autour du défi de garder l'équilibre sur cette minuscule plateforme instable lors d'un impact violent.</v>
      </c>
    </row>
    <row r="98" ht="22.5" customHeight="1">
      <c r="A98" s="4">
        <v>97.0</v>
      </c>
      <c r="B98" s="5" t="s">
        <v>387</v>
      </c>
      <c r="C98" s="5" t="s">
        <v>388</v>
      </c>
      <c r="D98" s="5" t="s">
        <v>389</v>
      </c>
      <c r="E98" s="5" t="s">
        <v>390</v>
      </c>
      <c r="G98" s="6" t="str">
        <f>IFERROR(__xludf.DUMMYFUNCTION("GOOGLETRANSLATE(A98, ""en"", ""fr"")"),"97")</f>
        <v>97</v>
      </c>
      <c r="H98" s="6" t="str">
        <f>IFERROR(__xludf.DUMMYFUNCTION("GOOGLETRANSLATE(B98, ""en"", ""fr"")"),"Quelle est la décision à prendre si la lance brisée d'un jouteur heurte un spectateur ?")</f>
        <v>Quelle est la décision à prendre si la lance brisée d'un jouteur heurte un spectateur ?</v>
      </c>
      <c r="I98" s="6" t="str">
        <f>IFERROR(__xludf.DUMMYFUNCTION("GOOGLETRANSLATE(C98, ""en"", ""fr"")"),"A) Le jouteur est disqualifié. B) Le match est immédiatement arrêté et des soins médicaux sont prodigués. C) Le spectateur est en faute pour s'être approché trop près. D) Le match continue.")</f>
        <v>A) Le jouteur est disqualifié. B) Le match est immédiatement arrêté et des soins médicaux sont prodigués. C) Le spectateur est en faute pour s'être approché trop près. D) Le match continue.</v>
      </c>
      <c r="J98" s="6" t="str">
        <f>IFERROR(__xludf.DUMMYFUNCTION("GOOGLETRANSLATE(D98, ""en"", ""fr"")"),"B) Le match est immédiatement arrêté et une assistance médicale est fournie.")</f>
        <v>B) Le match est immédiatement arrêté et une assistance médicale est fournie.</v>
      </c>
      <c r="K98" s="6" t="str">
        <f>IFERROR(__xludf.DUMMYFUNCTION("GOOGLETRANSLATE(E98, ""en"", ""fr"")"),"La sécurité du public est une préoccupation primordiale, et tout incident de ce type nécessiterait l'arrêt immédiat de la compétition.")</f>
        <v>La sécurité du public est une préoccupation primordiale, et tout incident de ce type nécessiterait l'arrêt immédiat de la compétition.</v>
      </c>
    </row>
    <row r="99" ht="22.5" customHeight="1">
      <c r="A99" s="4">
        <v>98.0</v>
      </c>
      <c r="B99" s="5" t="s">
        <v>391</v>
      </c>
      <c r="C99" s="5" t="s">
        <v>392</v>
      </c>
      <c r="D99" s="5" t="s">
        <v>393</v>
      </c>
      <c r="E99" s="5" t="s">
        <v>394</v>
      </c>
      <c r="G99" s="6" t="str">
        <f>IFERROR(__xludf.DUMMYFUNCTION("GOOGLETRANSLATE(A99, ""en"", ""fr"")"),"98")</f>
        <v>98</v>
      </c>
      <c r="H99" s="6" t="str">
        <f>IFERROR(__xludf.DUMMYFUNCTION("GOOGLETRANSLATE(B99, ""en"", ""fr"")"),"On voit un jouteur agiter sa lance de haut en bas avant l'impact. Pourquoi est-ce une faute ?")</f>
        <v>On voit un jouteur agiter sa lance de haut en bas avant l'impact. Pourquoi est-ce une faute ?</v>
      </c>
      <c r="I99" s="6" t="str">
        <f>IFERROR(__xludf.DUMMYFUNCTION("GOOGLETRANSLATE(C99, ""en"", ""fr"")"),"A) Cela peut distraire l'adversaire, B) Cela peut créer un avantage injuste, C) Ce n'est pas une technique traditionnelle, D) Ce n'est pas une faute")</f>
        <v>A) Cela peut distraire l'adversaire, B) Cela peut créer un avantage injuste, C) Ce n'est pas une technique traditionnelle, D) Ce n'est pas une faute</v>
      </c>
      <c r="J99" s="6" t="str">
        <f>IFERROR(__xludf.DUMMYFUNCTION("GOOGLETRANSLATE(D99, ""en"", ""fr"")"),"B) Cela peut générer une dynamique injuste")</f>
        <v>B) Cela peut générer une dynamique injuste</v>
      </c>
      <c r="K99" s="6" t="str">
        <f>IFERROR(__xludf.DUMMYFUNCTION("GOOGLETRANSLATE(E99, ""en"", ""fr"")"),"La lance doit être maintenue en position horizontale stable. La pomper est une méthode illégale pour augmenter la force de poussée.")</f>
        <v>La lance doit être maintenue en position horizontale stable. La pomper est une méthode illégale pour augmenter la force de poussée.</v>
      </c>
    </row>
    <row r="100" ht="22.5" customHeight="1">
      <c r="A100" s="4">
        <v>99.0</v>
      </c>
      <c r="B100" s="5" t="s">
        <v>395</v>
      </c>
      <c r="C100" s="5" t="s">
        <v>396</v>
      </c>
      <c r="D100" s="5" t="s">
        <v>397</v>
      </c>
      <c r="E100" s="5" t="s">
        <v>398</v>
      </c>
      <c r="G100" s="6" t="str">
        <f>IFERROR(__xludf.DUMMYFUNCTION("GOOGLETRANSLATE(A100, ""en"", ""fr"")"),"99")</f>
        <v>99</v>
      </c>
      <c r="H100" s="6" t="str">
        <f>IFERROR(__xludf.DUMMYFUNCTION("GOOGLETRANSLATE(B100, ""en"", ""fr"")"),"Quelle est la dernière action qu'un jouteur doit effectuer après une passe réussie et victorieuse ?")</f>
        <v>Quelle est la dernière action qu'un jouteur doit effectuer après une passe réussie et victorieuse ?</v>
      </c>
      <c r="I100" s="6" t="str">
        <f>IFERROR(__xludf.DUMMYFUNCTION("GOOGLETRANSLATE(C100, ""en"", ""fr"")"),"A) Célébrer avec leur équipe, B) Serrer la main de l'adversaire, C) Saluer le jury et le public, D) Sauter dans l'eau")</f>
        <v>A) Célébrer avec leur équipe, B) Serrer la main de l'adversaire, C) Saluer le jury et le public, D) Sauter dans l'eau</v>
      </c>
      <c r="J100" s="6" t="str">
        <f>IFERROR(__xludf.DUMMYFUNCTION("GOOGLETRANSLATE(D100, ""en"", ""fr"")"),"C) Saluez le jury et le public")</f>
        <v>C) Saluez le jury et le public</v>
      </c>
      <c r="K100" s="6" t="str">
        <f>IFERROR(__xludf.DUMMYFUNCTION("GOOGLETRANSLATE(E100, ""en"", ""fr"")"),"Selon l'étiquette, le jouteur vainqueur doit saluer les officiels et la foule avec sa lance en signe de respect.")</f>
        <v>Selon l'étiquette, le jouteur vainqueur doit saluer les officiels et la foule avec sa lance en signe de respect.</v>
      </c>
    </row>
    <row r="101" ht="22.5" customHeight="1">
      <c r="A101" s="4">
        <v>100.0</v>
      </c>
      <c r="B101" s="5" t="s">
        <v>399</v>
      </c>
      <c r="C101" s="5" t="s">
        <v>400</v>
      </c>
      <c r="D101" s="5" t="s">
        <v>401</v>
      </c>
      <c r="E101" s="5" t="s">
        <v>402</v>
      </c>
      <c r="G101" s="6" t="str">
        <f>IFERROR(__xludf.DUMMYFUNCTION("GOOGLETRANSLATE(A101, ""en"", ""fr"")"),"100")</f>
        <v>100</v>
      </c>
      <c r="H101" s="6" t="str">
        <f>IFERROR(__xludf.DUMMYFUNCTION("GOOGLETRANSLATE(B101, ""en"", ""fr"")"),"En substance, les joutes nautiques sont un duel formel. Quel est le but ultime ?")</f>
        <v>En substance, les joutes nautiques sont un duel formel. Quel est le but ultime ?</v>
      </c>
      <c r="I101" s="6" t="str">
        <f>IFERROR(__xludf.DUMMYFUNCTION("GOOGLETRANSLATE(C101, ""en"", ""fr"")"),"A) Pour démontrer quelle équipe possède les rameurs les plus rapides, B) Pour prouver son courage, son habileté et son équilibre en désarçonnant un adversaire, C) Pour briser le plus de lances possible, D) Pour divertir la famille royale")</f>
        <v>A) Pour démontrer quelle équipe possède les rameurs les plus rapides, B) Pour prouver son courage, son habileté et son équilibre en désarçonnant un adversaire, C) Pour briser le plus de lances possible, D) Pour divertir la famille royale</v>
      </c>
      <c r="J101" s="6" t="str">
        <f>IFERROR(__xludf.DUMMYFUNCTION("GOOGLETRANSLATE(D101, ""en"", ""fr"")"),"B) Prouver son courage, son habileté et son équilibre en désarçonnant un adversaire")</f>
        <v>B) Prouver son courage, son habileté et son équilibre en désarçonnant un adversaire</v>
      </c>
      <c r="K101" s="6" t="str">
        <f>IFERROR(__xludf.DUMMYFUNCTION("GOOGLETRANSLATE(E101, ""en"", ""fr"")"),"Ce sport est une forme ritualisée et non létale de duel chevaleresque, un affrontement en face à face d'adresse et de bravoure.")</f>
        <v>Ce sport est une forme ritualisée et non létale de duel chevaleresque, un affrontement en face à face d'adresse et de bravoure.</v>
      </c>
    </row>
    <row r="102" ht="22.5" customHeight="1">
      <c r="A102" s="4">
        <v>101.0</v>
      </c>
      <c r="B102" s="5" t="s">
        <v>403</v>
      </c>
      <c r="C102" s="5" t="s">
        <v>404</v>
      </c>
      <c r="D102" s="5" t="s">
        <v>405</v>
      </c>
      <c r="E102" s="5" t="s">
        <v>406</v>
      </c>
      <c r="G102" s="6" t="str">
        <f>IFERROR(__xludf.DUMMYFUNCTION("GOOGLETRANSLATE(A102, ""en"", ""fr"")"),"101")</f>
        <v>101</v>
      </c>
      <c r="H102" s="6" t="str">
        <f>IFERROR(__xludf.DUMMYFUNCTION("GOOGLETRANSLATE(B102, ""en"", ""fr"")"),"Qu'est-ce que la «Coupe de France» ?")</f>
        <v>Qu'est-ce que la «Coupe de France» ?</v>
      </c>
      <c r="I102" s="6" t="str">
        <f>IFERROR(__xludf.DUMMYFUNCTION("GOOGLETRANSLATE(C102, ""en"", ""fr"")"),"A) Le championnat principal de la saison, B) Un tournoi national prestigieux à élimination directe, C) Un tournoi pour les jeunes jouteurs, D) Un événement cérémoniel")</f>
        <v>A) Le championnat principal de la saison, B) Un tournoi national prestigieux à élimination directe, C) Un tournoi pour les jeunes jouteurs, D) Un événement cérémoniel</v>
      </c>
      <c r="J102" s="6" t="str">
        <f>IFERROR(__xludf.DUMMYFUNCTION("GOOGLETRANSLATE(D102, ""en"", ""fr"")"),"B) Un prestigieux tournoi national à élimination directe")</f>
        <v>B) Un prestigieux tournoi national à élimination directe</v>
      </c>
      <c r="K102" s="6" t="str">
        <f>IFERROR(__xludf.DUMMYFUNCTION("GOOGLETRANSLATE(E102, ""en"", ""fr"")"),"La Coupe de France est une compétition majeure de coupe à élimination directe, distincte du championnat organisé sous forme de ligue.")</f>
        <v>La Coupe de France est une compétition majeure de coupe à élimination directe, distincte du championnat organisé sous forme de ligue.</v>
      </c>
    </row>
    <row r="103" ht="22.5" customHeight="1">
      <c r="A103" s="4">
        <v>102.0</v>
      </c>
      <c r="B103" s="5" t="s">
        <v>407</v>
      </c>
      <c r="C103" s="5" t="s">
        <v>408</v>
      </c>
      <c r="D103" s="5" t="s">
        <v>409</v>
      </c>
      <c r="E103" s="5" t="s">
        <v>410</v>
      </c>
      <c r="G103" s="6" t="str">
        <f>IFERROR(__xludf.DUMMYFUNCTION("GOOGLETRANSLATE(A103, ""en"", ""fr"")"),"102")</f>
        <v>102</v>
      </c>
      <c r="H103" s="6" t="str">
        <f>IFERROR(__xludf.DUMMYFUNCTION("GOOGLETRANSLATE(B103, ""en"", ""fr"")"),"Le bouclier (pavois) d'un jouteur présente une petite bosse suite à un précédent passage. Peut-il encore être utilisé ?")</f>
        <v>Le bouclier (pavois) d'un jouteur présente une petite bosse suite à un précédent passage. Peut-il encore être utilisé ?</v>
      </c>
      <c r="I103" s="6" t="str">
        <f>IFERROR(__xludf.DUMMYFUNCTION("GOOGLETRANSLATE(C103, ""en"", ""fr"")"),"A) Non, il doit être remplacé. B) Oui, à condition qu'il soit structurellement sain. C) Uniquement si l'adversaire est d'accord. D) Ils recevront un point de pénalité.")</f>
        <v>A) Non, il doit être remplacé. B) Oui, à condition qu'il soit structurellement sain. C) Uniquement si l'adversaire est d'accord. D) Ils recevront un point de pénalité.</v>
      </c>
      <c r="J103" s="6" t="str">
        <f>IFERROR(__xludf.DUMMYFUNCTION("GOOGLETRANSLATE(D103, ""en"", ""fr"")"),"B) Oui, à condition qu'elle soit structurellement saine")</f>
        <v>B) Oui, à condition qu'elle soit structurellement saine</v>
      </c>
      <c r="K103" s="6" t="str">
        <f>IFERROR(__xludf.DUMMYFUNCTION("GOOGLETRANSLATE(E103, ""en"", ""fr"")"),"De légers dommages esthétiques sont normaux. Le bouclier n'est remplacé que s'il est brisé ou endommagé de manière à compromettre la sécurité ou l'équité.")</f>
        <v>De légers dommages esthétiques sont normaux. Le bouclier n'est remplacé que s'il est brisé ou endommagé de manière à compromettre la sécurité ou l'équité.</v>
      </c>
    </row>
    <row r="104" ht="22.5" customHeight="1">
      <c r="A104" s="4">
        <v>103.0</v>
      </c>
      <c r="B104" s="5" t="s">
        <v>411</v>
      </c>
      <c r="C104" s="5" t="s">
        <v>412</v>
      </c>
      <c r="D104" s="5" t="s">
        <v>413</v>
      </c>
      <c r="E104" s="5" t="s">
        <v>414</v>
      </c>
      <c r="G104" s="6" t="str">
        <f>IFERROR(__xludf.DUMMYFUNCTION("GOOGLETRANSLATE(A104, ""en"", ""fr"")"),"103")</f>
        <v>103</v>
      </c>
      <c r="H104" s="6" t="str">
        <f>IFERROR(__xludf.DUMMYFUNCTION("GOOGLETRANSLATE(B104, ""en"", ""fr"")"),"Quel est le rôle principal du timonier (patron) une fois que les jouteurs se sont croisés ?")</f>
        <v>Quel est le rôle principal du timonier (patron) une fois que les jouteurs se sont croisés ?</v>
      </c>
      <c r="I104" s="6" t="str">
        <f>IFERROR(__xludf.DUMMYFUNCTION("GOOGLETRANSLATE(C104, ""en"", ""fr"")"),"A) Pour célébrer ou consoler le jouteur, B) Pour faire demi-tour de manière sûre et efficace avec le bateau lourd en vue du prochain passage, C) Pour aider les rameurs, D) Pour parler avec l'arbitre")</f>
        <v>A) Pour célébrer ou consoler le jouteur, B) Pour faire demi-tour de manière sûre et efficace avec le bateau lourd en vue du prochain passage, C) Pour aider les rameurs, D) Pour parler avec l'arbitre</v>
      </c>
      <c r="J104" s="6" t="str">
        <f>IFERROR(__xludf.DUMMYFUNCTION("GOOGLETRANSLATE(D104, ""en"", ""fr"")"),"B) Pour faire demi-tour de manière sûre et efficace avec le bateau lourd en vue du prochain passage")</f>
        <v>B) Pour faire demi-tour de manière sûre et efficace avec le bateau lourd en vue du prochain passage</v>
      </c>
      <c r="K104" s="6" t="str">
        <f>IFERROR(__xludf.DUMMYFUNCTION("GOOGLETRANSLATE(E104, ""en"", ""fr"")"),"Manœuvrer ce bateau long et lourd dans l'étroit canal est une tâche qui requiert une grande habileté et qui est cruciale pour le bon déroulement du tournoi.")</f>
        <v>Manœuvrer ce bateau long et lourd dans l'étroit canal est une tâche qui requiert une grande habileté et qui est cruciale pour le bon déroulement du tournoi.</v>
      </c>
    </row>
    <row r="105" ht="22.5" customHeight="1">
      <c r="A105" s="4">
        <v>104.0</v>
      </c>
      <c r="B105" s="5" t="s">
        <v>415</v>
      </c>
      <c r="C105" s="5" t="s">
        <v>416</v>
      </c>
      <c r="D105" s="5" t="s">
        <v>417</v>
      </c>
      <c r="E105" s="5" t="s">
        <v>418</v>
      </c>
      <c r="G105" s="6" t="str">
        <f>IFERROR(__xludf.DUMMYFUNCTION("GOOGLETRANSLATE(A105, ""en"", ""fr"")"),"104")</f>
        <v>104</v>
      </c>
      <c r="H105" s="6" t="str">
        <f>IFERROR(__xludf.DUMMYFUNCTION("GOOGLETRANSLATE(B105, ""en"", ""fr"")"),"Quel est le nom de la compétition pour les jouteurs de la catégorie des poids les plus légers ?")</f>
        <v>Quel est le nom de la compétition pour les jouteurs de la catégorie des poids les plus légers ?</v>
      </c>
      <c r="I105" s="6" t="str">
        <f>IFERROR(__xludf.DUMMYFUNCTION("GOOGLETRANSLATE(C105, ""en"", ""fr"")"),"A) Poids plumes, B) Juniors, C) Poids légers, D) Cadets")</f>
        <v>A) Poids plumes, B) Juniors, C) Poids légers, D) Cadets</v>
      </c>
      <c r="J105" s="6" t="str">
        <f>IFERROR(__xludf.DUMMYFUNCTION("GOOGLETRANSLATE(D105, ""en"", ""fr"")"),"C) Légers")</f>
        <v>C) Légers</v>
      </c>
      <c r="K105" s="6" t="str">
        <f>IFERROR(__xludf.DUMMYFUNCTION("GOOGLETRANSLATE(E105, ""en"", ""fr"")"),"La compétition senior est divisée en plusieurs catégories de poids, notamment les poids légers, moyens et lourds.")</f>
        <v>La compétition senior est divisée en plusieurs catégories de poids, notamment les poids légers, moyens et lourds.</v>
      </c>
    </row>
    <row r="106" ht="22.5" customHeight="1">
      <c r="A106" s="4">
        <v>105.0</v>
      </c>
      <c r="B106" s="5" t="s">
        <v>419</v>
      </c>
      <c r="C106" s="5" t="s">
        <v>420</v>
      </c>
      <c r="D106" s="5" t="s">
        <v>421</v>
      </c>
      <c r="E106" s="5" t="s">
        <v>422</v>
      </c>
      <c r="G106" s="6" t="str">
        <f>IFERROR(__xludf.DUMMYFUNCTION("GOOGLETRANSLATE(A106, ""en"", ""fr"")"),"105")</f>
        <v>105</v>
      </c>
      <c r="H106" s="6" t="str">
        <f>IFERROR(__xludf.DUMMYFUNCTION("GOOGLETRANSLATE(B106, ""en"", ""fr"")"),"Un jouteur parvient à faire tomber son adversaire, mais l'arbitre remarque que les talons du jouteur vainqueur se sont soulevés de la tintaine au moment de l'impact. Quelle est la décision ?")</f>
        <v>Un jouteur parvient à faire tomber son adversaire, mais l'arbitre remarque que les talons du jouteur vainqueur se sont soulevés de la tintaine au moment de l'impact. Quelle est la décision ?</v>
      </c>
      <c r="I106" s="6" t="str">
        <f>IFERROR(__xludf.DUMMYFUNCTION("GOOGLETRANSLATE(C106, ""en"", ""fr"")"),"A) La victoire est valable. B) Il y a faute ; la passe est nulle et doit être rejouée. C) Le jouteur qui a levé les talons est disqualifié. D) L'adversaire remporte le point.")</f>
        <v>A) La victoire est valable. B) Il y a faute ; la passe est nulle et doit être rejouée. C) Le jouteur qui a levé les talons est disqualifié. D) L'adversaire remporte le point.</v>
      </c>
      <c r="J106" s="6" t="str">
        <f>IFERROR(__xludf.DUMMYFUNCTION("GOOGLETRANSLATE(D106, ""en"", ""fr"")"),"B) C'est une faute ; la passe est nulle et doit être rejouée.")</f>
        <v>B) C'est une faute ; la passe est nulle et doit être rejouée.</v>
      </c>
      <c r="K106" s="6" t="str">
        <f>IFERROR(__xludf.DUMMYFUNCTION("GOOGLETRANSLATE(E106, ""en"", ""fr"")"),"Un jouteur doit rester fermement ancré au sol. Lever les pieds ou les talons hors de la plateforme au moment de l'impact constitue une faute qui annule la victoire.")</f>
        <v>Un jouteur doit rester fermement ancré au sol. Lever les pieds ou les talons hors de la plateforme au moment de l'impact constitue une faute qui annule la victoire.</v>
      </c>
    </row>
    <row r="107" ht="22.5" customHeight="1">
      <c r="A107" s="4">
        <v>106.0</v>
      </c>
      <c r="B107" s="5" t="s">
        <v>423</v>
      </c>
      <c r="C107" s="5" t="s">
        <v>424</v>
      </c>
      <c r="D107" s="5" t="s">
        <v>425</v>
      </c>
      <c r="E107" s="5" t="s">
        <v>426</v>
      </c>
      <c r="G107" s="6" t="str">
        <f>IFERROR(__xludf.DUMMYFUNCTION("GOOGLETRANSLATE(A107, ""en"", ""fr"")"),"106")</f>
        <v>106</v>
      </c>
      <c r="H107" s="6" t="str">
        <f>IFERROR(__xludf.DUMMYFUNCTION("GOOGLETRANSLATE(B107, ""en"", ""fr"")"),"Pourquoi la position du jouteur à droite du bateau est-elle une règle stricte dans la méthode languedocienne ?")</f>
        <v>Pourquoi la position du jouteur à droite du bateau est-elle une règle stricte dans la méthode languedocienne ?</v>
      </c>
      <c r="I107" s="6" t="str">
        <f>IFERROR(__xludf.DUMMYFUNCTION("GOOGLETRANSLATE(C107, ""en"", ""fr"")"),"A) C'est une tradition sans raison, B) Cela garantit que toutes les joutes se déroulent « de la main droite » et que la compétition soit équitable, C) Cela rend le bateau plus stable, D) C'est plus facile pour les rameurs")</f>
        <v>A) C'est une tradition sans raison, B) Cela garantit que toutes les joutes se déroulent « de la main droite » et que la compétition soit équitable, C) Cela rend le bateau plus stable, D) C'est plus facile pour les rameurs</v>
      </c>
      <c r="J107" s="6" t="str">
        <f>IFERROR(__xludf.DUMMYFUNCTION("GOOGLETRANSLATE(D107, ""en"", ""fr"")"),"B) Cela garantit que toutes les joutes se déroulent « à droite » et de manière cohérente pour une compétition équitable.")</f>
        <v>B) Cela garantit que toutes les joutes se déroulent « à droite » et de manière cohérente pour une compétition équitable.</v>
      </c>
      <c r="K107" s="6" t="str">
        <f>IFERROR(__xludf.DUMMYFUNCTION("GOOGLETRANSLATE(E107, ""en"", ""fr"")"),"Cette règle standardise toute la géométrie du passage, ce qui rend la compétition équitable et le jugement cohérent.")</f>
        <v>Cette règle standardise toute la géométrie du passage, ce qui rend la compétition équitable et le jugement cohérent.</v>
      </c>
    </row>
    <row r="108" ht="22.5" customHeight="1">
      <c r="A108" s="4">
        <v>107.0</v>
      </c>
      <c r="B108" s="5" t="s">
        <v>427</v>
      </c>
      <c r="C108" s="5" t="s">
        <v>428</v>
      </c>
      <c r="D108" s="5" t="s">
        <v>429</v>
      </c>
      <c r="E108" s="5" t="s">
        <v>430</v>
      </c>
      <c r="G108" s="6" t="str">
        <f>IFERROR(__xludf.DUMMYFUNCTION("GOOGLETRANSLATE(A108, ""en"", ""fr"")"),"107")</f>
        <v>107</v>
      </c>
      <c r="H108" s="6" t="str">
        <f>IFERROR(__xludf.DUMMYFUNCTION("GOOGLETRANSLATE(B108, ""en"", ""fr"")"),"Une équipe est pénalisée pour avoir un bateau non conforme à la réglementation. Quel pourrait être le problème ?")</f>
        <v>Une équipe est pénalisée pour avoir un bateau non conforme à la réglementation. Quel pourrait être le problème ?</v>
      </c>
      <c r="I108" s="6" t="str">
        <f>IFERROR(__xludf.DUMMYFUNCTION("GOOGLETRANSLATE(C108, ""en"", ""fr"")"),"A) Le bateau n'est pas de la bonne couleur. B) Le bateau est trop léger ou trop étroit. C) Le bateau est trop vieux. D) Le bateau a un moteur.")</f>
        <v>A) Le bateau n'est pas de la bonne couleur. B) Le bateau est trop léger ou trop étroit. C) Le bateau est trop vieux. D) Le bateau a un moteur.</v>
      </c>
      <c r="J108" s="6" t="str">
        <f>IFERROR(__xludf.DUMMYFUNCTION("GOOGLETRANSLATE(D108, ""en"", ""fr"")"),"B) Le bateau est trop léger ou trop étroit.")</f>
        <v>B) Le bateau est trop léger ou trop étroit.</v>
      </c>
      <c r="K108" s="6" t="str">
        <f>IFERROR(__xludf.DUMMYFUNCTION("GOOGLETRANSLATE(E108, ""en"", ""fr"")"),"Les dimensions et le poids des bateaux sont strictement réglementés afin de garantir qu'aucune des deux équipes ne bénéficie d'un avantage injuste en termes de vitesse ou de stabilité.")</f>
        <v>Les dimensions et le poids des bateaux sont strictement réglementés afin de garantir qu'aucune des deux équipes ne bénéficie d'un avantage injuste en termes de vitesse ou de stabilité.</v>
      </c>
    </row>
    <row r="109" ht="22.5" customHeight="1">
      <c r="A109" s="4">
        <v>108.0</v>
      </c>
      <c r="B109" s="5" t="s">
        <v>431</v>
      </c>
      <c r="C109" s="5" t="s">
        <v>432</v>
      </c>
      <c r="D109" s="5" t="s">
        <v>433</v>
      </c>
      <c r="E109" s="5" t="s">
        <v>434</v>
      </c>
      <c r="G109" s="6" t="str">
        <f>IFERROR(__xludf.DUMMYFUNCTION("GOOGLETRANSLATE(A109, ""en"", ""fr"")"),"108")</f>
        <v>108</v>
      </c>
      <c r="H109" s="6" t="str">
        <f>IFERROR(__xludf.DUMMYFUNCTION("GOOGLETRANSLATE(B109, ""en"", ""fr"")"),"La pointe de la lance d'un jouteur est trop acérée. Pourquoi est-ce une faute ?")</f>
        <v>La pointe de la lance d'un jouteur est trop acérée. Pourquoi est-ce une faute ?</v>
      </c>
      <c r="I109" s="6" t="str">
        <f>IFERROR(__xludf.DUMMYFUNCTION("GOOGLETRANSLATE(C109, ""en"", ""fr"")"),"A) Elle peut pénétrer trop profondément dans le bouclier, rendant son retrait difficile. B) Elle présente un risque pour la sécurité si elle touche une partie du corps. C) Elle peut briser le bouclier. D) Toutes les réponses ci-dessus.")</f>
        <v>A) Elle peut pénétrer trop profondément dans le bouclier, rendant son retrait difficile. B) Elle présente un risque pour la sécurité si elle touche une partie du corps. C) Elle peut briser le bouclier. D) Toutes les réponses ci-dessus.</v>
      </c>
      <c r="J109" s="6" t="str">
        <f>IFERROR(__xludf.DUMMYFUNCTION("GOOGLETRANSLATE(D109, ""en"", ""fr"")"),"D) Toutes les réponses ci-dessus")</f>
        <v>D) Toutes les réponses ci-dessus</v>
      </c>
      <c r="K109" s="6" t="str">
        <f>IFERROR(__xludf.DUMMYFUNCTION("GOOGLETRANSLATE(E109, ""en"", ""fr"")"),"Les spécifications de l'embout de la lance sont une question d'équité (il doit adhérer sans coller) et de sécurité.")</f>
        <v>Les spécifications de l'embout de la lance sont une question d'équité (il doit adhérer sans coller) et de sécurité.</v>
      </c>
    </row>
    <row r="110" ht="22.5" customHeight="1">
      <c r="A110" s="4">
        <v>109.0</v>
      </c>
      <c r="B110" s="5" t="s">
        <v>435</v>
      </c>
      <c r="C110" s="5" t="s">
        <v>436</v>
      </c>
      <c r="D110" s="5" t="s">
        <v>437</v>
      </c>
      <c r="E110" s="5" t="s">
        <v>438</v>
      </c>
      <c r="G110" s="6" t="str">
        <f>IFERROR(__xludf.DUMMYFUNCTION("GOOGLETRANSLATE(A110, ""en"", ""fr"")"),"109")</f>
        <v>109</v>
      </c>
      <c r="H110" s="6" t="str">
        <f>IFERROR(__xludf.DUMMYFUNCTION("GOOGLETRANSLATE(B110, ""en"", ""fr"")"),"Quelle est la règle si un rameur heurte accidentellement un adversaire avec sa rame ?")</f>
        <v>Quelle est la règle si un rameur heurte accidentellement un adversaire avec sa rame ?</v>
      </c>
      <c r="I110" s="6" t="str">
        <f>IFERROR(__xludf.DUMMYFUNCTION("GOOGLETRANSLATE(C110, ""en"", ""fr"")"),"A) Le rameur est disqualifié. B) Le passage est arrêté et une faute est sifflée contre l'équipe du rameur. C) Il s'agit d'un incident de course sans pénalité. D) L'équipe adverse bénéficie d'une nouvelle tentative.")</f>
        <v>A) Le rameur est disqualifié. B) Le passage est arrêté et une faute est sifflée contre l'équipe du rameur. C) Il s'agit d'un incident de course sans pénalité. D) L'équipe adverse bénéficie d'une nouvelle tentative.</v>
      </c>
      <c r="J110" s="6" t="str">
        <f>IFERROR(__xludf.DUMMYFUNCTION("GOOGLETRANSLATE(D110, ""en"", ""fr"")"),"B) La passe est interceptée et une faute est sifflée contre l'équipe du rameur.")</f>
        <v>B) La passe est interceptée et une faute est sifflée contre l'équipe du rameur.</v>
      </c>
      <c r="K110" s="6" t="str">
        <f>IFERROR(__xludf.DUMMYFUNCTION("GOOGLETRANSLATE(E110, ""en"", ""fr"")"),"Les rameurs doivent effectuer leur tâche sans gêner leurs adversaires. Un coup de rame constitue une faute grave.")</f>
        <v>Les rameurs doivent effectuer leur tâche sans gêner leurs adversaires. Un coup de rame constitue une faute grave.</v>
      </c>
    </row>
    <row r="111" ht="22.5" customHeight="1">
      <c r="A111" s="4">
        <v>110.0</v>
      </c>
      <c r="B111" s="5" t="s">
        <v>439</v>
      </c>
      <c r="C111" s="5" t="s">
        <v>440</v>
      </c>
      <c r="D111" s="5" t="s">
        <v>441</v>
      </c>
      <c r="E111" s="5" t="s">
        <v>442</v>
      </c>
      <c r="G111" s="6" t="str">
        <f>IFERROR(__xludf.DUMMYFUNCTION("GOOGLETRANSLATE(A111, ""en"", ""fr"")"),"110")</f>
        <v>110</v>
      </c>
      <c r="H111" s="6" t="str">
        <f>IFERROR(__xludf.DUMMYFUNCTION("GOOGLETRANSLATE(B111, ""en"", ""fr"")"),"Pourquoi ce sport est-il principalement appelé « joutes nautiques » ?")</f>
        <v>Pourquoi ce sport est-il principalement appelé « joutes nautiques » ?</v>
      </c>
      <c r="I111" s="6" t="str">
        <f>IFERROR(__xludf.DUMMYFUNCTION("GOOGLETRANSLATE(C111, ""en"", ""fr"")"),"A) C'est une joute qui se déroule sur l'eau. B) Les règles sont décidées par la marine. C) C'est un nom très ancien. D) Elle a été inventée par un marin.")</f>
        <v>A) C'est une joute qui se déroule sur l'eau. B) Les règles sont décidées par la marine. C) C'est un nom très ancien. D) Elle a été inventée par un marin.</v>
      </c>
      <c r="J111" s="6" t="str">
        <f>IFERROR(__xludf.DUMMYFUNCTION("GOOGLETRANSLATE(D111, ""en"", ""fr"")"),"A) C'est une joute qui se déroule sur l'eau")</f>
        <v>A) C'est une joute qui se déroule sur l'eau</v>
      </c>
      <c r="K111" s="6" t="str">
        <f>IFERROR(__xludf.DUMMYFUNCTION("GOOGLETRANSLATE(E111, ""en"", ""fr"")"),"Le nom décrit littéralement l'activité : une joute, semblable aux combats de chevaliers du Moyen Âge, mais qui se déroule sur des bateaux.")</f>
        <v>Le nom décrit littéralement l'activité : une joute, semblable aux combats de chevaliers du Moyen Âge, mais qui se déroule sur des bateaux.</v>
      </c>
    </row>
    <row r="112" ht="22.5" customHeight="1">
      <c r="A112" s="4">
        <v>111.0</v>
      </c>
      <c r="B112" s="5" t="s">
        <v>443</v>
      </c>
      <c r="C112" s="5" t="s">
        <v>444</v>
      </c>
      <c r="D112" s="5" t="s">
        <v>445</v>
      </c>
      <c r="E112" s="5" t="s">
        <v>446</v>
      </c>
      <c r="G112" s="6" t="str">
        <f>IFERROR(__xludf.DUMMYFUNCTION("GOOGLETRANSLATE(A112, ""en"", ""fr"")"),"111")</f>
        <v>111</v>
      </c>
      <c r="H112" s="6" t="str">
        <f>IFERROR(__xludf.DUMMYFUNCTION("GOOGLETRANSLATE(B112, ""en"", ""fr"")"),"Lors d'une épreuve par équipe, le score est à égalité à la fin. Comment détermine-t-on l'équipe gagnante ?")</f>
        <v>Lors d'une épreuve par équipe, le score est à égalité à la fin. Comment détermine-t-on l'équipe gagnante ?</v>
      </c>
      <c r="I112" s="6" t="str">
        <f>IFERROR(__xludf.DUMMYFUNCTION("GOOGLETRANSLATE(C112, ""en"", ""fr"")"),"A) Par un duel final entre les meilleurs jouteurs, B) L'équipe ayant le moins de pénalités gagne, C) L'équipe ayant remporté la dernière passe gagne, D) Le match est déclaré nul")</f>
        <v>A) Par un duel final entre les meilleurs jouteurs, B) L'équipe ayant le moins de pénalités gagne, C) L'équipe ayant remporté la dernière passe gagne, D) Le match est déclaré nul</v>
      </c>
      <c r="J112" s="6" t="str">
        <f>IFERROR(__xludf.DUMMYFUNCTION("GOOGLETRANSLATE(D112, ""en"", ""fr"")"),"A) Par un duel final en tête-à-tête entre les meilleurs jouteurs")</f>
        <v>A) Par un duel final en tête-à-tête entre les meilleurs jouteurs</v>
      </c>
      <c r="K112" s="6" t="str">
        <f>IFERROR(__xludf.DUMMYFUNCTION("GOOGLETRANSLATE(E112, ""en"", ""fr"")"),"En cas d'égalité lors d'un match par équipes, un « barrage » ou une passe finale et décisive entre les meilleurs jouteurs de chaque équipe est souvent départagé.")</f>
        <v>En cas d'égalité lors d'un match par équipes, un « barrage » ou une passe finale et décisive entre les meilleurs jouteurs de chaque équipe est souvent départagé.</v>
      </c>
    </row>
    <row r="113" ht="22.5" customHeight="1">
      <c r="A113" s="4">
        <v>112.0</v>
      </c>
      <c r="B113" s="5" t="s">
        <v>447</v>
      </c>
      <c r="C113" s="5" t="s">
        <v>448</v>
      </c>
      <c r="D113" s="5" t="s">
        <v>449</v>
      </c>
      <c r="E113" s="5" t="s">
        <v>450</v>
      </c>
      <c r="G113" s="6" t="str">
        <f>IFERROR(__xludf.DUMMYFUNCTION("GOOGLETRANSLATE(A113, ""en"", ""fr"")"),"112")</f>
        <v>112</v>
      </c>
      <c r="H113" s="6" t="str">
        <f>IFERROR(__xludf.DUMMYFUNCTION("GOOGLETRANSLATE(B113, ""en"", ""fr"")"),"Un jouteur est surpris à porter un gilet lesté sous son uniforme. Quelle en est la conséquence ?")</f>
        <v>Un jouteur est surpris à porter un gilet lesté sous son uniforme. Quelle en est la conséquence ?</v>
      </c>
      <c r="I113" s="6" t="str">
        <f>IFERROR(__xludf.DUMMYFUNCTION("GOOGLETRANSLATE(C113, ""en"", ""fr"")"),"A) Ils sont autorisés à participer, B) Ils sont disqualifiés pour tricherie, C) Ils sont transférés dans une catégorie de poids supérieure, D) Ils reçoivent un avertissement")</f>
        <v>A) Ils sont autorisés à participer, B) Ils sont disqualifiés pour tricherie, C) Ils sont transférés dans une catégorie de poids supérieure, D) Ils reçoivent un avertissement</v>
      </c>
      <c r="J113" s="6" t="str">
        <f>IFERROR(__xludf.DUMMYFUNCTION("GOOGLETRANSLATE(D113, ""en"", ""fr"")"),"B) Ils sont disqualifiés pour tricherie")</f>
        <v>B) Ils sont disqualifiés pour tricherie</v>
      </c>
      <c r="K113" s="6" t="str">
        <f>IFERROR(__xludf.DUMMYFUNCTION("GOOGLETRANSLATE(E113, ""en"", ""fr"")"),"Modifier artificiellement son poids pour obtenir un avantage dans une catégorie spécifique constitue une violation grave du règlement.")</f>
        <v>Modifier artificiellement son poids pour obtenir un avantage dans une catégorie spécifique constitue une violation grave du règlement.</v>
      </c>
    </row>
    <row r="114" ht="22.5" customHeight="1">
      <c r="A114" s="4">
        <v>113.0</v>
      </c>
      <c r="B114" s="5" t="s">
        <v>451</v>
      </c>
      <c r="C114" s="5" t="s">
        <v>452</v>
      </c>
      <c r="D114" s="5" t="s">
        <v>453</v>
      </c>
      <c r="E114" s="5" t="s">
        <v>454</v>
      </c>
      <c r="G114" s="6" t="str">
        <f>IFERROR(__xludf.DUMMYFUNCTION("GOOGLETRANSLATE(A114, ""en"", ""fr"")"),"113")</f>
        <v>113</v>
      </c>
      <c r="H114" s="6" t="str">
        <f>IFERROR(__xludf.DUMMYFUNCTION("GOOGLETRANSLATE(B114, ""en"", ""fr"")"),"Pourquoi est-il de règle que les rameurs doivent cesser de ramer dès que les jouteurs entrent en contact ?")</f>
        <v>Pourquoi est-il de règle que les rameurs doivent cesser de ramer dès que les jouteurs entrent en contact ?</v>
      </c>
      <c r="I114" s="6" t="str">
        <f>IFERROR(__xludf.DUMMYFUNCTION("GOOGLETRANSLATE(C114, ""en"", ""fr"")"),"A) Pour économiser de l'énergie, B) Pour éviter que le bateau ne s'écrase contre le quai, C) Pour que l'issue du duel soit déterminée par le duel lui-même et non par la poussée continue des rameurs, D) Ce n'est pas une règle")</f>
        <v>A) Pour économiser de l'énergie, B) Pour éviter que le bateau ne s'écrase contre le quai, C) Pour que l'issue du duel soit déterminée par le duel lui-même et non par la poussée continue des rameurs, D) Ce n'est pas une règle</v>
      </c>
      <c r="J114" s="6" t="str">
        <f>IFERROR(__xludf.DUMMYFUNCTION("GOOGLETRANSLATE(D114, ""en"", ""fr"")"),"C) Pour que l'issue du duel soit déterminée par la joute elle-même, et non par la poussée continue des rameurs")</f>
        <v>C) Pour que l'issue du duel soit déterminée par la joute elle-même, et non par la poussée continue des rameurs</v>
      </c>
      <c r="K114" s="6" t="str">
        <f>IFERROR(__xludf.DUMMYFUNCTION("GOOGLETRANSLATE(E114, ""en"", ""fr"")"),"Les rameurs fournissent l'élan initial, mais le résultat de la passe dépend de l'habileté et de la force des jouteurs au moment de l'impact.")</f>
        <v>Les rameurs fournissent l'élan initial, mais le résultat de la passe dépend de l'habileté et de la force des jouteurs au moment de l'impact.</v>
      </c>
    </row>
    <row r="115" ht="22.5" customHeight="1">
      <c r="A115" s="4">
        <v>114.0</v>
      </c>
      <c r="B115" s="5" t="s">
        <v>455</v>
      </c>
      <c r="C115" s="5" t="s">
        <v>456</v>
      </c>
      <c r="D115" s="5" t="s">
        <v>457</v>
      </c>
      <c r="E115" s="5" t="s">
        <v>458</v>
      </c>
      <c r="G115" s="6" t="str">
        <f>IFERROR(__xludf.DUMMYFUNCTION("GOOGLETRANSLATE(A115, ""en"", ""fr"")"),"114")</f>
        <v>114</v>
      </c>
      <c r="H115" s="6" t="str">
        <f>IFERROR(__xludf.DUMMYFUNCTION("GOOGLETRANSLATE(B115, ""en"", ""fr"")"),"Quel est le rôle de la « capitaine de jeunesse » dans une société de joutes ?")</f>
        <v>Quel est le rôle de la « capitaine de jeunesse » dans une société de joutes ?</v>
      </c>
      <c r="I115" s="6" t="str">
        <f>IFERROR(__xludf.DUMMYFUNCTION("GOOGLETRANSLATE(C115, ""en"", ""fr"")"),"A) Le président du club, B) L'entraîneur des équipes juniors et cadets, C) Le plus jeune jouteur de l'équipe, D) Le principal sponsor de l'équipe")</f>
        <v>A) Le président du club, B) L'entraîneur des équipes juniors et cadets, C) Le plus jeune jouteur de l'équipe, D) Le principal sponsor de l'équipe</v>
      </c>
      <c r="J115" s="6" t="str">
        <f>IFERROR(__xludf.DUMMYFUNCTION("GOOGLETRANSLATE(D115, ""en"", ""fr"")"),"B) L'entraîneur des équipes juniors et cadets")</f>
        <v>B) L'entraîneur des équipes juniors et cadets</v>
      </c>
      <c r="K115" s="6" t="str">
        <f>IFERROR(__xludf.DUMMYFUNCTION("GOOGLETRANSLATE(E115, ""en"", ""fr"")"),"Cette personne est chargée de former la prochaine génération de jouteurs et de transmettre les traditions du club.")</f>
        <v>Cette personne est chargée de former la prochaine génération de jouteurs et de transmettre les traditions du club.</v>
      </c>
    </row>
    <row r="116" ht="22.5" customHeight="1">
      <c r="A116" s="4">
        <v>115.0</v>
      </c>
      <c r="B116" s="5" t="s">
        <v>459</v>
      </c>
      <c r="C116" s="5" t="s">
        <v>460</v>
      </c>
      <c r="D116" s="5" t="s">
        <v>461</v>
      </c>
      <c r="E116" s="5" t="s">
        <v>462</v>
      </c>
      <c r="G116" s="6" t="str">
        <f>IFERROR(__xludf.DUMMYFUNCTION("GOOGLETRANSLATE(A116, ""en"", ""fr"")"),"115")</f>
        <v>115</v>
      </c>
      <c r="H116" s="6" t="str">
        <f>IFERROR(__xludf.DUMMYFUNCTION("GOOGLETRANSLATE(B116, ""en"", ""fr"")"),"Un jouteur remporte une passe, mais l'arbitre déclare qu'il s'agit d'une « victoire administrative ». Que s'est-il probablement passé ?")</f>
        <v>Un jouteur remporte une passe, mais l'arbitre déclare qu'il s'agit d'une « victoire administrative ». Que s'est-il probablement passé ?</v>
      </c>
      <c r="I116" s="6" t="str">
        <f>IFERROR(__xludf.DUMMYFUNCTION("GOOGLETRANSLATE(C116, ""en"", ""fr"")"),"A) L'adversaire du vainqueur a été disqualifié pour faute avant la joute. B) Le vainqueur était le seul présent. C) L'adversaire du vainqueur était blessé. D) Le vainqueur a été choisi par le jury.")</f>
        <v>A) L'adversaire du vainqueur a été disqualifié pour faute avant la joute. B) Le vainqueur était le seul présent. C) L'adversaire du vainqueur était blessé. D) Le vainqueur a été choisi par le jury.</v>
      </c>
      <c r="J116" s="6" t="str">
        <f>IFERROR(__xludf.DUMMYFUNCTION("GOOGLETRANSLATE(D116, ""en"", ""fr"")"),"A) L'adversaire du vainqueur a été disqualifié pour faute avant la joute.")</f>
        <v>A) L'adversaire du vainqueur a été disqualifié pour faute avant la joute.</v>
      </c>
      <c r="K116" s="6" t="str">
        <f>IFERROR(__xludf.DUMMYFUNCTION("GOOGLETRANSLATE(E116, ""en"", ""fr"")"),"Une victoire administrative est accordée lorsque l'adversaire est disqualifié pour un motif de procédure (par exemple, faux départ, équipement non conforme) avant la fin du passage.")</f>
        <v>Une victoire administrative est accordée lorsque l'adversaire est disqualifié pour un motif de procédure (par exemple, faux départ, équipement non conforme) avant la fin du passage.</v>
      </c>
    </row>
    <row r="117" ht="22.5" customHeight="1">
      <c r="A117" s="4">
        <v>116.0</v>
      </c>
      <c r="B117" s="5" t="s">
        <v>463</v>
      </c>
      <c r="C117" s="5" t="s">
        <v>464</v>
      </c>
      <c r="D117" s="5" t="s">
        <v>465</v>
      </c>
      <c r="E117" s="5" t="s">
        <v>466</v>
      </c>
      <c r="G117" s="6" t="str">
        <f>IFERROR(__xludf.DUMMYFUNCTION("GOOGLETRANSLATE(A117, ""en"", ""fr"")"),"116")</f>
        <v>116</v>
      </c>
      <c r="H117" s="6" t="str">
        <f>IFERROR(__xludf.DUMMYFUNCTION("GOOGLETRANSLATE(B117, ""en"", ""fr"")"),"Pourquoi un jouteur doit-il garder le dos droit et la poitrine en avant pendant la passe ?")</f>
        <v>Pourquoi un jouteur doit-il garder le dos droit et la poitrine en avant pendant la passe ?</v>
      </c>
      <c r="I117" s="6" t="str">
        <f>IFERROR(__xludf.DUMMYFUNCTION("GOOGLETRANSLATE(C117, ""en"", ""fr"")"),"A) C'est pour des raisons esthétiques, B) C'est la position biomécanique la plus efficace pour absorber les chocs et transmettre la force, C) Cela les rend plus vulnérables, D) C'est une règle de bienséance")</f>
        <v>A) C'est pour des raisons esthétiques, B) C'est la position biomécanique la plus efficace pour absorber les chocs et transmettre la force, C) Cela les rend plus vulnérables, D) C'est une règle de bienséance</v>
      </c>
      <c r="J117" s="6" t="str">
        <f>IFERROR(__xludf.DUMMYFUNCTION("GOOGLETRANSLATE(D117, ""en"", ""fr"")"),"B) C'est la position biomécanique la plus efficace pour absorber les chocs et transmettre la force.")</f>
        <v>B) C'est la position biomécanique la plus efficace pour absorber les chocs et transmettre la force.</v>
      </c>
      <c r="K117" s="6" t="str">
        <f>IFERROR(__xludf.DUMMYFUNCTION("GOOGLETRANSLATE(E117, ""en"", ""fr"")"),"Cette posture classique est essentielle pour maintenir l'équilibre et canaliser toute la puissance du corps à travers la lance.")</f>
        <v>Cette posture classique est essentielle pour maintenir l'équilibre et canaliser toute la puissance du corps à travers la lance.</v>
      </c>
    </row>
    <row r="118" ht="22.5" customHeight="1">
      <c r="A118" s="4">
        <v>117.0</v>
      </c>
      <c r="B118" s="5" t="s">
        <v>467</v>
      </c>
      <c r="C118" s="5" t="s">
        <v>468</v>
      </c>
      <c r="D118" s="5" t="s">
        <v>469</v>
      </c>
      <c r="E118" s="5" t="s">
        <v>470</v>
      </c>
      <c r="G118" s="6" t="str">
        <f>IFERROR(__xludf.DUMMYFUNCTION("GOOGLETRANSLATE(A118, ""en"", ""fr"")"),"117")</f>
        <v>117</v>
      </c>
      <c r="H118" s="6" t="str">
        <f>IFERROR(__xludf.DUMMYFUNCTION("GOOGLETRANSLATE(B118, ""en"", ""fr"")"),"Dans la méthode lyonnaise, par quels moyens les bateaux sont-ils souvent propulsés ?")</f>
        <v>Dans la méthode lyonnaise, par quels moyens les bateaux sont-ils souvent propulsés ?</v>
      </c>
      <c r="I118" s="6" t="str">
        <f>IFERROR(__xludf.DUMMYFUNCTION("GOOGLETRANSLATE(C118, ""en"", ""fr"")"),"A) Dix rameurs, B) Un moteur électrique silencieux, C) Un puissant moteur diesel, D) Un système de câbles sous-marins")</f>
        <v>A) Dix rameurs, B) Un moteur électrique silencieux, C) Un puissant moteur diesel, D) Un système de câbles sous-marins</v>
      </c>
      <c r="J118" s="6" t="str">
        <f>IFERROR(__xludf.DUMMYFUNCTION("GOOGLETRANSLATE(D118, ""en"", ""fr"")"),"B) Un moteur électrique silencieux")</f>
        <v>B) Un moteur électrique silencieux</v>
      </c>
      <c r="K118" s="6" t="str">
        <f>IFERROR(__xludf.DUMMYFUNCTION("GOOGLETRANSLATE(E118, ""en"", ""fr"")"),"Pour assurer une vitesse régulière et constante, sans le bruit et la pollution d'un moteur à combustion, de nombreux bateaux lyonnais modernes utilisent des moteurs électriques.")</f>
        <v>Pour assurer une vitesse régulière et constante, sans le bruit et la pollution d'un moteur à combustion, de nombreux bateaux lyonnais modernes utilisent des moteurs électriques.</v>
      </c>
    </row>
    <row r="119" ht="22.5" customHeight="1">
      <c r="A119" s="4">
        <v>118.0</v>
      </c>
      <c r="B119" s="5" t="s">
        <v>471</v>
      </c>
      <c r="C119" s="5" t="s">
        <v>472</v>
      </c>
      <c r="D119" s="5" t="s">
        <v>473</v>
      </c>
      <c r="E119" s="5" t="s">
        <v>474</v>
      </c>
      <c r="G119" s="6" t="str">
        <f>IFERROR(__xludf.DUMMYFUNCTION("GOOGLETRANSLATE(A119, ""en"", ""fr"")"),"118")</f>
        <v>118</v>
      </c>
      <c r="H119" s="6" t="str">
        <f>IFERROR(__xludf.DUMMYFUNCTION("GOOGLETRANSLATE(B119, ""en"", ""fr"")"),"Un jouteur est disqualifié s'il porte un « pavois non conforme ». Quel est le problème ?")</f>
        <v>Un jouteur est disqualifié s'il porte un « pavois non conforme ». Quel est le problème ?</v>
      </c>
      <c r="I119" s="6" t="str">
        <f>IFERROR(__xludf.DUMMYFUNCTION("GOOGLETRANSLATE(C119, ""en"", ""fr"")"),"A) Sa couleur est inappropriée, B) Il est trop lourd ou possède une surface illégale conçue pour repousser la lance, C) Il est trop vieux, D) Il n'est pas décoré")</f>
        <v>A) Sa couleur est inappropriée, B) Il est trop lourd ou possède une surface illégale conçue pour repousser la lance, C) Il est trop vieux, D) Il n'est pas décoré</v>
      </c>
      <c r="J119" s="6" t="str">
        <f>IFERROR(__xludf.DUMMYFUNCTION("GOOGLETRANSLATE(D119, ""en"", ""fr"")"),"B) Il est trop lourd ou possède une surface illégale conçue pour repousser la lance")</f>
        <v>B) Il est trop lourd ou possède une surface illégale conçue pour repousser la lance</v>
      </c>
      <c r="K119" s="6" t="str">
        <f>IFERROR(__xludf.DUMMYFUNCTION("GOOGLETRANSLATE(E119, ""en"", ""fr"")"),"Le bouclier doit répondre à des spécifications strictes en matière de taille, de poids et de matériau afin de garantir une compétition équitable.")</f>
        <v>Le bouclier doit répondre à des spécifications strictes en matière de taille, de poids et de matériau afin de garantir une compétition équitable.</v>
      </c>
    </row>
    <row r="120" ht="22.5" customHeight="1">
      <c r="A120" s="4">
        <v>119.0</v>
      </c>
      <c r="B120" s="5" t="s">
        <v>475</v>
      </c>
      <c r="C120" s="5" t="s">
        <v>476</v>
      </c>
      <c r="D120" s="5" t="s">
        <v>477</v>
      </c>
      <c r="E120" s="5" t="s">
        <v>478</v>
      </c>
      <c r="G120" s="6" t="str">
        <f>IFERROR(__xludf.DUMMYFUNCTION("GOOGLETRANSLATE(A120, ""en"", ""fr"")"),"119")</f>
        <v>119</v>
      </c>
      <c r="H120" s="6" t="str">
        <f>IFERROR(__xludf.DUMMYFUNCTION("GOOGLETRANSLATE(B120, ""en"", ""fr"")"),"Quel est l'objectif principal de la ""Fédération Internationale de Joutes et de Sauvetage Nautique"" ?")</f>
        <v>Quel est l'objectif principal de la "Fédération Internationale de Joutes et de Sauvetage Nautique" ?</v>
      </c>
      <c r="I120" s="6" t="str">
        <f>IFERROR(__xludf.DUMMYFUNCTION("GOOGLETRANSLATE(C120, ""en"", ""fr"")"),"A) Professionnaliser le sport, B) Réglementer et promouvoir les différents styles de joutes à l'échelle mondiale, C) Interdire le sport, D) Vendre du matériel")</f>
        <v>A) Professionnaliser le sport, B) Réglementer et promouvoir les différents styles de joutes à l'échelle mondiale, C) Interdire le sport, D) Vendre du matériel</v>
      </c>
      <c r="J120" s="6" t="str">
        <f>IFERROR(__xludf.DUMMYFUNCTION("GOOGLETRANSLATE(D120, ""en"", ""fr"")"),"B) Réglementer et promouvoir les différents styles de joutes à l'échelle mondiale")</f>
        <v>B) Réglementer et promouvoir les différents styles de joutes à l'échelle mondiale</v>
      </c>
      <c r="K120" s="6" t="str">
        <f>IFERROR(__xludf.DUMMYFUNCTION("GOOGLETRANSLATE(E120, ""en"", ""fr"")"),"La fédération internationale œuvre à unifier les différentes traditions de joutes et à organiser des compétitions internationales.")</f>
        <v>La fédération internationale œuvre à unifier les différentes traditions de joutes et à organiser des compétitions internationales.</v>
      </c>
    </row>
    <row r="121" ht="22.5" customHeight="1">
      <c r="A121" s="4">
        <v>120.0</v>
      </c>
      <c r="B121" s="5" t="s">
        <v>479</v>
      </c>
      <c r="C121" s="5" t="s">
        <v>480</v>
      </c>
      <c r="D121" s="5" t="s">
        <v>481</v>
      </c>
      <c r="E121" s="5" t="s">
        <v>482</v>
      </c>
      <c r="G121" s="6" t="str">
        <f>IFERROR(__xludf.DUMMYFUNCTION("GOOGLETRANSLATE(A121, ""en"", ""fr"")"),"120")</f>
        <v>120</v>
      </c>
      <c r="H121" s="6" t="str">
        <f>IFERROR(__xludf.DUMMYFUNCTION("GOOGLETRANSLATE(B121, ""en"", ""fr"")"),"De quelles couleurs sont désignées les deux bateaux dans un passage ?")</f>
        <v>De quelles couleurs sont désignées les deux bateaux dans un passage ?</v>
      </c>
      <c r="I121" s="6" t="str">
        <f>IFERROR(__xludf.DUMMYFUNCTION("GOOGLETRANSLATE(C121, ""en"", ""fr"")"),"A) Noir et blanc, B) Vert et jaune, C) Rouge et bleu, D) Or et argent")</f>
        <v>A) Noir et blanc, B) Vert et jaune, C) Rouge et bleu, D) Or et argent</v>
      </c>
      <c r="J121" s="6" t="str">
        <f>IFERROR(__xludf.DUMMYFUNCTION("GOOGLETRANSLATE(D121, ""en"", ""fr"")"),"C) Rouge et bleu")</f>
        <v>C) Rouge et bleu</v>
      </c>
      <c r="K121" s="6" t="str">
        <f>IFERROR(__xludf.DUMMYFUNCTION("GOOGLETRANSLATE(E121, ""en"", ""fr"")"),"L'utilisation d'un bateau rouge et d'un bateau bleu est un élément fondamental de l'identité visuelle et de la tradition de ce sport.")</f>
        <v>L'utilisation d'un bateau rouge et d'un bateau bleu est un élément fondamental de l'identité visuelle et de la tradition de ce sport.</v>
      </c>
    </row>
    <row r="122" ht="22.5" customHeight="1">
      <c r="A122" s="4">
        <v>121.0</v>
      </c>
      <c r="B122" s="5" t="s">
        <v>483</v>
      </c>
      <c r="C122" s="5" t="s">
        <v>484</v>
      </c>
      <c r="D122" s="5" t="s">
        <v>485</v>
      </c>
      <c r="E122" s="5" t="s">
        <v>486</v>
      </c>
      <c r="G122" s="6" t="str">
        <f>IFERROR(__xludf.DUMMYFUNCTION("GOOGLETRANSLATE(A122, ""en"", ""fr"")"),"121")</f>
        <v>121</v>
      </c>
      <c r="H122" s="6" t="str">
        <f>IFERROR(__xludf.DUMMYFUNCTION("GOOGLETRANSLATE(B122, ""en"", ""fr"")"),"Un jouteur tient sa lance, la pointe dirigée vers l'eau, avant la passe. Pourquoi est-ce une faute ?")</f>
        <v>Un jouteur tient sa lance, la pointe dirigée vers l'eau, avant la passe. Pourquoi est-ce une faute ?</v>
      </c>
      <c r="I122" s="6" t="str">
        <f>IFERROR(__xludf.DUMMYFUNCTION("GOOGLETRANSLATE(C122, ""en"", ""fr"")"),"A) Cela peut endommager la pointe de la lance, B) C'est un signe d'irrespect, C) C'est une violation des règles de sécurité et une position de départ incorrecte, D) Cela peut effrayer les poissons")</f>
        <v>A) Cela peut endommager la pointe de la lance, B) C'est un signe d'irrespect, C) C'est une violation des règles de sécurité et une position de départ incorrecte, D) Cela peut effrayer les poissons</v>
      </c>
      <c r="J122" s="6" t="str">
        <f>IFERROR(__xludf.DUMMYFUNCTION("GOOGLETRANSLATE(D122, ""en"", ""fr"")"),"C) Il s'agit d'une infraction aux règles de sécurité et d'une position de départ incorrecte.")</f>
        <v>C) Il s'agit d'une infraction aux règles de sécurité et d'une position de départ incorrecte.</v>
      </c>
      <c r="K122" s="6" t="str">
        <f>IFERROR(__xludf.DUMMYFUNCTION("GOOGLETRANSLATE(E122, ""en"", ""fr"")"),"La lance doit être tenue horizontalement pour garantir un engagement sûr et équitable. La pointer vers le bas constitue une « garde basse » illégale.")</f>
        <v>La lance doit être tenue horizontalement pour garantir un engagement sûr et équitable. La pointer vers le bas constitue une « garde basse » illégale.</v>
      </c>
    </row>
    <row r="123" ht="22.5" customHeight="1">
      <c r="A123" s="4">
        <v>122.0</v>
      </c>
      <c r="B123" s="5" t="s">
        <v>487</v>
      </c>
      <c r="C123" s="5" t="s">
        <v>488</v>
      </c>
      <c r="D123" s="5" t="s">
        <v>489</v>
      </c>
      <c r="E123" s="5" t="s">
        <v>490</v>
      </c>
      <c r="G123" s="6" t="str">
        <f>IFERROR(__xludf.DUMMYFUNCTION("GOOGLETRANSLATE(A123, ""en"", ""fr"")"),"122")</f>
        <v>122</v>
      </c>
      <c r="H123" s="6" t="str">
        <f>IFERROR(__xludf.DUMMYFUNCTION("GOOGLETRANSLATE(B123, ""en"", ""fr"")"),"Quelle est la décision à prendre si un jouteur tombe, mais que la lance de son adversaire l'a touché au corps plutôt qu'au bouclier ?")</f>
        <v>Quelle est la décision à prendre si un jouteur tombe, mais que la lance de son adversaire l'a touché au corps plutôt qu'au bouclier ?</v>
      </c>
      <c r="I123" s="6" t="str">
        <f>IFERROR(__xludf.DUMMYFUNCTION("GOOGLETRANSLATE(C123, ""en"", ""fr"")"),"A) La chute est valide et l'adversaire remporte le duel. B) L'adversaire est disqualifié pour faute grave et le jouteur tombé remporte le duel. C) Le duel est rejoué. D) Les deux jouteurs sont disqualifiés.")</f>
        <v>A) La chute est valide et l'adversaire remporte le duel. B) L'adversaire est disqualifié pour faute grave et le jouteur tombé remporte le duel. C) Le duel est rejoué. D) Les deux jouteurs sont disqualifiés.</v>
      </c>
      <c r="J123" s="6" t="str">
        <f>IFERROR(__xludf.DUMMYFUNCTION("GOOGLETRANSLATE(D123, ""en"", ""fr"")"),"B) L'adversaire est disqualifié pour une faute dangereuse, et le jouteur tombé remporte le passage.")</f>
        <v>B) L'adversaire est disqualifié pour une faute dangereuse, et le jouteur tombé remporte le passage.</v>
      </c>
      <c r="K123" s="6" t="str">
        <f>IFERROR(__xludf.DUMMYFUNCTION("GOOGLETRANSLATE(E123, ""en"", ""fr"")"),"Un coup porté au corps constitue une faute grave. S'il provoque une chute, le joueur fautif est pénalisé et la victime remporte le match.")</f>
        <v>Un coup porté au corps constitue une faute grave. S'il provoque une chute, le joueur fautif est pénalisé et la victime remporte le match.</v>
      </c>
    </row>
    <row r="124" ht="22.5" customHeight="1">
      <c r="A124" s="4">
        <v>123.0</v>
      </c>
      <c r="B124" s="5" t="s">
        <v>491</v>
      </c>
      <c r="C124" s="5" t="s">
        <v>492</v>
      </c>
      <c r="D124" s="5" t="s">
        <v>493</v>
      </c>
      <c r="E124" s="5" t="s">
        <v>494</v>
      </c>
      <c r="G124" s="6" t="str">
        <f>IFERROR(__xludf.DUMMYFUNCTION("GOOGLETRANSLATE(A124, ""en"", ""fr"")"),"123")</f>
        <v>123</v>
      </c>
      <c r="H124" s="6" t="str">
        <f>IFERROR(__xludf.DUMMYFUNCTION("GOOGLETRANSLATE(B124, ""en"", ""fr"")"),"Quelle est la principale raison pour laquelle un jouteur doit porter une tenue traditionnelle et moulante ?")</f>
        <v>Quelle est la principale raison pour laquelle un jouteur doit porter une tenue traditionnelle et moulante ?</v>
      </c>
      <c r="I124" s="6" t="str">
        <f>IFERROR(__xludf.DUMMYFUNCTION("GOOGLETRANSLATE(C124, ""en"", ""fr"")"),"A) Pour des raisons d'aérodynamisme, B) Pour éviter que les vêtements amples ne s'accrochent à la lance de l'adversaire, C) C'est une exigence du sponsor, D) C'est plus confortable")</f>
        <v>A) Pour des raisons d'aérodynamisme, B) Pour éviter que les vêtements amples ne s'accrochent à la lance de l'adversaire, C) C'est une exigence du sponsor, D) C'est plus confortable</v>
      </c>
      <c r="J124" s="6" t="str">
        <f>IFERROR(__xludf.DUMMYFUNCTION("GOOGLETRANSLATE(D124, ""en"", ""fr"")"),"B) Pour éviter que les vêtements amples ne s'accrochent à la lance de l'adversaire")</f>
        <v>B) Pour éviter que les vêtements amples ne s'accrochent à la lance de l'adversaire</v>
      </c>
      <c r="K124" s="6" t="str">
        <f>IFERROR(__xludf.DUMMYFUNCTION("GOOGLETRANSLATE(E124, ""en"", ""fr"")"),"Les règles de sécurité exigent le port de vêtements ajustés afin de minimiser le risque que la lance ne se prenne dangereusement dans la peau.")</f>
        <v>Les règles de sécurité exigent le port de vêtements ajustés afin de minimiser le risque que la lance ne se prenne dangereusement dans la peau.</v>
      </c>
    </row>
    <row r="125" ht="22.5" customHeight="1">
      <c r="A125" s="4">
        <v>124.0</v>
      </c>
      <c r="B125" s="5" t="s">
        <v>495</v>
      </c>
      <c r="C125" s="5" t="s">
        <v>496</v>
      </c>
      <c r="D125" s="5" t="s">
        <v>497</v>
      </c>
      <c r="E125" s="5" t="s">
        <v>498</v>
      </c>
      <c r="G125" s="6" t="str">
        <f>IFERROR(__xludf.DUMMYFUNCTION("GOOGLETRANSLATE(A125, ""en"", ""fr"")"),"124")</f>
        <v>124</v>
      </c>
      <c r="H125" s="6" t="str">
        <f>IFERROR(__xludf.DUMMYFUNCTION("GOOGLETRANSLATE(B125, ""en"", ""fr"")"),"Que signifie le fait qu'un tournoi comporte différentes « catégories » ?")</f>
        <v>Que signifie le fait qu'un tournoi comporte différentes « catégories » ?</v>
      </c>
      <c r="I125" s="6" t="str">
        <f>IFERROR(__xludf.DUMMYFUNCTION("GOOGLETRANSLATE(C125, ""en"", ""fr"")"),"A) Les prix sont différents, B) Il y a des épreuves différentes pour différents niveaux de compétence, des juniors aux seniors, C) Il se déroule sur plusieurs jours, D) Il comprend des épreuves masculines et féminines")</f>
        <v>A) Les prix sont différents, B) Il y a des épreuves différentes pour différents niveaux de compétence, des juniors aux seniors, C) Il se déroule sur plusieurs jours, D) Il comprend des épreuves masculines et féminines</v>
      </c>
      <c r="J125" s="6" t="str">
        <f>IFERROR(__xludf.DUMMYFUNCTION("GOOGLETRANSLATE(D125, ""en"", ""fr"")"),"B) Il propose différentes épreuves pour différents niveaux de compétence, des juniors aux seniors.")</f>
        <v>B) Il propose différentes épreuves pour différents niveaux de compétence, des juniors aux seniors.</v>
      </c>
      <c r="K125" s="6" t="str">
        <f>IFERROR(__xludf.DUMMYFUNCTION("GOOGLETRANSLATE(E125, ""en"", ""fr"")"),"Le tournoi est divisé en différentes catégories d'âge et de poids afin de garantir une compétition équitable.")</f>
        <v>Le tournoi est divisé en différentes catégories d'âge et de poids afin de garantir une compétition équitable.</v>
      </c>
    </row>
    <row r="126" ht="22.5" customHeight="1">
      <c r="A126" s="4">
        <v>125.0</v>
      </c>
      <c r="B126" s="5" t="s">
        <v>499</v>
      </c>
      <c r="C126" s="5" t="s">
        <v>500</v>
      </c>
      <c r="D126" s="5" t="s">
        <v>373</v>
      </c>
      <c r="E126" s="5" t="s">
        <v>501</v>
      </c>
      <c r="G126" s="6" t="str">
        <f>IFERROR(__xludf.DUMMYFUNCTION("GOOGLETRANSLATE(A126, ""en"", ""fr"")"),"125")</f>
        <v>125</v>
      </c>
      <c r="H126" s="6" t="str">
        <f>IFERROR(__xludf.DUMMYFUNCTION("GOOGLETRANSLATE(B126, ""en"", ""fr"")"),"Quelle est la règle si un jouteur bloque la lance de son adversaire avec son bras libre ?")</f>
        <v>Quelle est la règle si un jouteur bloque la lance de son adversaire avec son bras libre ?</v>
      </c>
      <c r="I126" s="6" t="str">
        <f>IFERROR(__xludf.DUMMYFUNCTION("GOOGLETRANSLATE(C126, ""en"", ""fr"")"),"A) C'est une manœuvre défensive légale. B) C'est une faute et le jouteur perd la passe. C) La passe est rejouée. D) Le jouteur reçoit un avertissement.")</f>
        <v>A) C'est une manœuvre défensive légale. B) C'est une faute et le jouteur perd la passe. C) La passe est rejouée. D) Le jouteur reçoit un avertissement.</v>
      </c>
      <c r="J126" s="6" t="str">
        <f>IFERROR(__xludf.DUMMYFUNCTION("GOOGLETRANSLATE(D126, ""en"", ""fr"")"),"B) C'est une faute, et le jouteur perd la passe.")</f>
        <v>B) C'est une faute, et le jouteur perd la passe.</v>
      </c>
      <c r="K126" s="6" t="str">
        <f>IFERROR(__xludf.DUMMYFUNCTION("GOOGLETRANSLATE(E126, ""en"", ""fr"")"),"Un jouteur ne peut en aucun cas utiliser sa main ou son bras libre pour gêner la lance de son adversaire.")</f>
        <v>Un jouteur ne peut en aucun cas utiliser sa main ou son bras libre pour gêner la lance de son adversaire.</v>
      </c>
    </row>
    <row r="127" ht="22.5" customHeight="1">
      <c r="A127" s="4">
        <v>126.0</v>
      </c>
      <c r="B127" s="5" t="s">
        <v>502</v>
      </c>
      <c r="C127" s="5" t="s">
        <v>503</v>
      </c>
      <c r="D127" s="5" t="s">
        <v>504</v>
      </c>
      <c r="E127" s="5" t="s">
        <v>505</v>
      </c>
      <c r="G127" s="6" t="str">
        <f>IFERROR(__xludf.DUMMYFUNCTION("GOOGLETRANSLATE(A127, ""en"", ""fr"")"),"126")</f>
        <v>126</v>
      </c>
      <c r="H127" s="6" t="str">
        <f>IFERROR(__xludf.DUMMYFUNCTION("GOOGLETRANSLATE(B127, ""en"", ""fr"")"),"Un jouteur remporte la finale du festival de Saint-Louis. Quel est son statut dans la communauté ?")</f>
        <v>Un jouteur remporte la finale du festival de Saint-Louis. Quel est son statut dans la communauté ?</v>
      </c>
      <c r="I127" s="6" t="str">
        <f>IFERROR(__xludf.DUMMYFUNCTION("GOOGLETRANSLATE(C127, ""en"", ""fr"")"),"A) Ils sont une célébrité locale et un héros, B) Ils obtiennent un emploi de capitaine de bateau, C) Ils devraient prendre leur retraite, D) Leur statut ne change pas")</f>
        <v>A) Ils sont une célébrité locale et un héros, B) Ils obtiennent un emploi de capitaine de bateau, C) Ils devraient prendre leur retraite, D) Leur statut ne change pas</v>
      </c>
      <c r="J127" s="6" t="str">
        <f>IFERROR(__xludf.DUMMYFUNCTION("GOOGLETRANSLATE(D127, ""en"", ""fr"")"),"A) C'est une célébrité locale et un héros")</f>
        <v>A) C'est une célébrité locale et un héros</v>
      </c>
      <c r="K127" s="6" t="str">
        <f>IFERROR(__xludf.DUMMYFUNCTION("GOOGLETRANSLATE(E127, ""en"", ""fr"")"),"Remporter le tournoi de Saint-Louis est le plus grand accomplissement de ce sport, et le champion est vénéré dans sa ville natale.")</f>
        <v>Remporter le tournoi de Saint-Louis est le plus grand accomplissement de ce sport, et le champion est vénéré dans sa ville natale.</v>
      </c>
    </row>
    <row r="128" ht="22.5" customHeight="1">
      <c r="A128" s="4">
        <v>127.0</v>
      </c>
      <c r="B128" s="5" t="s">
        <v>411</v>
      </c>
      <c r="C128" s="5" t="s">
        <v>412</v>
      </c>
      <c r="D128" s="5" t="s">
        <v>413</v>
      </c>
      <c r="E128" s="5" t="s">
        <v>414</v>
      </c>
      <c r="G128" s="6" t="str">
        <f>IFERROR(__xludf.DUMMYFUNCTION("GOOGLETRANSLATE(A128, ""en"", ""fr"")"),"127")</f>
        <v>127</v>
      </c>
      <c r="H128" s="6" t="str">
        <f>IFERROR(__xludf.DUMMYFUNCTION("GOOGLETRANSLATE(B128, ""en"", ""fr"")"),"Quel est le rôle principal du timonier (patron) une fois que les jouteurs se sont croisés ?")</f>
        <v>Quel est le rôle principal du timonier (patron) une fois que les jouteurs se sont croisés ?</v>
      </c>
      <c r="I128" s="6" t="str">
        <f>IFERROR(__xludf.DUMMYFUNCTION("GOOGLETRANSLATE(C128, ""en"", ""fr"")"),"A) Pour célébrer ou consoler le jouteur, B) Pour faire demi-tour de manière sûre et efficace avec le bateau lourd en vue du prochain passage, C) Pour aider les rameurs, D) Pour parler avec l'arbitre")</f>
        <v>A) Pour célébrer ou consoler le jouteur, B) Pour faire demi-tour de manière sûre et efficace avec le bateau lourd en vue du prochain passage, C) Pour aider les rameurs, D) Pour parler avec l'arbitre</v>
      </c>
      <c r="J128" s="6" t="str">
        <f>IFERROR(__xludf.DUMMYFUNCTION("GOOGLETRANSLATE(D128, ""en"", ""fr"")"),"B) Pour faire demi-tour de manière sûre et efficace avec le bateau lourd en vue du prochain passage")</f>
        <v>B) Pour faire demi-tour de manière sûre et efficace avec le bateau lourd en vue du prochain passage</v>
      </c>
      <c r="K128" s="6" t="str">
        <f>IFERROR(__xludf.DUMMYFUNCTION("GOOGLETRANSLATE(E128, ""en"", ""fr"")"),"Manœuvrer ce bateau long et lourd dans l'étroit canal est une tâche qui requiert une grande habileté et qui est cruciale pour le bon déroulement du tournoi.")</f>
        <v>Manœuvrer ce bateau long et lourd dans l'étroit canal est une tâche qui requiert une grande habileté et qui est cruciale pour le bon déroulement du tournoi.</v>
      </c>
    </row>
    <row r="129" ht="22.5" customHeight="1">
      <c r="A129" s="4">
        <v>128.0</v>
      </c>
      <c r="B129" s="5" t="s">
        <v>280</v>
      </c>
      <c r="C129" s="5" t="s">
        <v>281</v>
      </c>
      <c r="D129" s="5" t="s">
        <v>282</v>
      </c>
      <c r="E129" s="5" t="s">
        <v>283</v>
      </c>
      <c r="G129" s="6" t="str">
        <f>IFERROR(__xludf.DUMMYFUNCTION("GOOGLETRANSLATE(A129, ""en"", ""fr"")"),"128")</f>
        <v>128</v>
      </c>
      <c r="H129" s="6" t="str">
        <f>IFERROR(__xludf.DUMMYFUNCTION("GOOGLETRANSLATE(B129, ""en"", ""fr"")"),"Quelle est la principale raison pour laquelle les bateaux construits selon la méthode languedocienne sont si lourds ?")</f>
        <v>Quelle est la principale raison pour laquelle les bateaux construits selon la méthode languedocienne sont si lourds ?</v>
      </c>
      <c r="I129" s="6" t="str">
        <f>IFERROR(__xludf.DUMMYFUNCTION("GOOGLETRANSLATE(C129, ""en"", ""fr"")"),"A) C'est une tradition, B) Pour fournir une plateforme stable et l'élan nécessaire à l'impact puissant de la joute, C) Elles sont utilisées pour la pêche hors saison, D) Pour accueillir le grand nombre de rameurs")</f>
        <v>A) C'est une tradition, B) Pour fournir une plateforme stable et l'élan nécessaire à l'impact puissant de la joute, C) Elles sont utilisées pour la pêche hors saison, D) Pour accueillir le grand nombre de rameurs</v>
      </c>
      <c r="J129" s="6" t="str">
        <f>IFERROR(__xludf.DUMMYFUNCTION("GOOGLETRANSLATE(D129, ""en"", ""fr"")"),"B) Fournir une plateforme stable et l'élan nécessaire à l'impact puissant de la joute")</f>
        <v>B) Fournir une plateforme stable et l'élan nécessaire à l'impact puissant de la joute</v>
      </c>
      <c r="K129" s="6" t="str">
        <f>IFERROR(__xludf.DUMMYFUNCTION("GOOGLETRANSLATE(E129, ""en"", ""fr"")"),"Le poids des bateaux est crucial pour créer la stabilité nécessaire à deux jouteurs pour s'affronter avec une force immense sans que les bateaux ne chavirent.")</f>
        <v>Le poids des bateaux est crucial pour créer la stabilité nécessaire à deux jouteurs pour s'affronter avec une force immense sans que les bateaux ne chavirent.</v>
      </c>
    </row>
    <row r="130" ht="22.5" customHeight="1">
      <c r="A130" s="4">
        <v>129.0</v>
      </c>
      <c r="B130" s="5" t="s">
        <v>200</v>
      </c>
      <c r="C130" s="5" t="s">
        <v>201</v>
      </c>
      <c r="D130" s="5" t="s">
        <v>202</v>
      </c>
      <c r="E130" s="5" t="s">
        <v>203</v>
      </c>
      <c r="G130" s="6" t="str">
        <f>IFERROR(__xludf.DUMMYFUNCTION("GOOGLETRANSLATE(A130, ""en"", ""fr"")"),"129")</f>
        <v>129</v>
      </c>
      <c r="H130" s="6" t="str">
        <f>IFERROR(__xludf.DUMMYFUNCTION("GOOGLETRANSLATE(B130, ""en"", ""fr"")"),"Quelle est la principale caractéristique du style de joute de la méthode « parisienne » ?")</f>
        <v>Quelle est la principale caractéristique du style de joute de la méthode « parisienne » ?</v>
      </c>
      <c r="I130" s="6" t="str">
        <f>IFERROR(__xludf.DUMMYFUNCTION("GOOGLETRANSLATE(C130, ""en"", ""fr"")"),"A) C'est la méthode la plus rapide, B) Les jouteurs sont sur un char coulissant sur une plateforme fixe, et non sur des bateaux en mouvement, C) Il se joue sur la mer, D) Il utilise les lances les plus longues")</f>
        <v>A) C'est la méthode la plus rapide, B) Les jouteurs sont sur un char coulissant sur une plateforme fixe, et non sur des bateaux en mouvement, C) Il se joue sur la mer, D) Il utilise les lances les plus longues</v>
      </c>
      <c r="J130" s="6" t="str">
        <f>IFERROR(__xludf.DUMMYFUNCTION("GOOGLETRANSLATE(D130, ""en"", ""fr"")"),"B) Les jouteurs se trouvent sur un char coulissant sur une plateforme fixe, et non sur des bateaux en mouvement.")</f>
        <v>B) Les jouteurs se trouvent sur un char coulissant sur une plateforme fixe, et non sur des bateaux en mouvement.</v>
      </c>
      <c r="K130" s="6" t="str">
        <f>IFERROR(__xludf.DUMMYFUNCTION("GOOGLETRANSLATE(E130, ""en"", ""fr"")"),"Cette méthode unique, pratiquée sur les canaux de Paris et de ses environs, est très différente des styles de navigation du sud.")</f>
        <v>Cette méthode unique, pratiquée sur les canaux de Paris et de ses environs, est très différente des styles de navigation du sud.</v>
      </c>
    </row>
    <row r="131" ht="22.5" customHeight="1">
      <c r="A131" s="4">
        <v>130.0</v>
      </c>
      <c r="B131" s="5" t="s">
        <v>506</v>
      </c>
      <c r="C131" s="5" t="s">
        <v>507</v>
      </c>
      <c r="D131" s="5" t="s">
        <v>485</v>
      </c>
      <c r="E131" s="5" t="s">
        <v>508</v>
      </c>
      <c r="G131" s="6" t="str">
        <f>IFERROR(__xludf.DUMMYFUNCTION("GOOGLETRANSLATE(A131, ""en"", ""fr"")"),"130")</f>
        <v>130</v>
      </c>
      <c r="H131" s="6" t="str">
        <f>IFERROR(__xludf.DUMMYFUNCTION("GOOGLETRANSLATE(B131, ""en"", ""fr"")"),"Avant de passer, un jouteur tient sa lance la pointe vers le ciel. Pourquoi est-ce une faute ?")</f>
        <v>Avant de passer, un jouteur tient sa lance la pointe vers le ciel. Pourquoi est-ce une faute ?</v>
      </c>
      <c r="I131" s="6" t="str">
        <f>IFERROR(__xludf.DUMMYFUNCTION("GOOGLETRANSLATE(C131, ""en"", ""fr"")"),"A) Cela peut endommager la pointe de la lance, B) C'est un signe d'irrespect, C) C'est une infraction aux règles de sécurité et une position de départ incorrecte, D) Cela peut effrayer les oiseaux")</f>
        <v>A) Cela peut endommager la pointe de la lance, B) C'est un signe d'irrespect, C) C'est une infraction aux règles de sécurité et une position de départ incorrecte, D) Cela peut effrayer les oiseaux</v>
      </c>
      <c r="J131" s="6" t="str">
        <f>IFERROR(__xludf.DUMMYFUNCTION("GOOGLETRANSLATE(D131, ""en"", ""fr"")"),"C) Il s'agit d'une infraction aux règles de sécurité et d'une position de départ incorrecte.")</f>
        <v>C) Il s'agit d'une infraction aux règles de sécurité et d'une position de départ incorrecte.</v>
      </c>
      <c r="K131" s="6" t="str">
        <f>IFERROR(__xludf.DUMMYFUNCTION("GOOGLETRANSLATE(E131, ""en"", ""fr"")"),"La lance doit être tenue horizontalement pour garantir un engagement sûr et équitable. La pointer vers le haut constitue une « garde haute » illégale.")</f>
        <v>La lance doit être tenue horizontalement pour garantir un engagement sûr et équitable. La pointer vers le haut constitue une « garde haute » illégale.</v>
      </c>
    </row>
    <row r="132" ht="22.5" customHeight="1">
      <c r="A132" s="4">
        <v>131.0</v>
      </c>
      <c r="B132" s="5" t="s">
        <v>509</v>
      </c>
      <c r="C132" s="5" t="s">
        <v>329</v>
      </c>
      <c r="D132" s="5" t="s">
        <v>330</v>
      </c>
      <c r="E132" s="5" t="s">
        <v>331</v>
      </c>
      <c r="G132" s="6" t="str">
        <f>IFERROR(__xludf.DUMMYFUNCTION("GOOGLETRANSLATE(A132, ""en"", ""fr"")"),"131")</f>
        <v>131</v>
      </c>
      <c r="H132" s="6" t="str">
        <f>IFERROR(__xludf.DUMMYFUNCTION("GOOGLETRANSLATE(B132, ""en"", ""fr"")"),"Quel est le but de la hiérarchie stricte au sein d'une société de joutes ?")</f>
        <v>Quel est le but de la hiérarchie stricte au sein d'une société de joutes ?</v>
      </c>
      <c r="I132" s="6" t="str">
        <f>IFERROR(__xludf.DUMMYFUNCTION("GOOGLETRANSLATE(C132, ""en"", ""fr"")"),"A) Pour imiter une structure militaire, B) Pour garantir le bon fonctionnement du club, C) Pour décider qui participera aux joutes, D) C'est simplement une tradition")</f>
        <v>A) Pour imiter une structure militaire, B) Pour garantir le bon fonctionnement du club, C) Pour décider qui participera aux joutes, D) C'est simplement une tradition</v>
      </c>
      <c r="J132" s="6" t="str">
        <f>IFERROR(__xludf.DUMMYFUNCTION("GOOGLETRANSLATE(D132, ""en"", ""fr"")"),"B) Veiller à ce que le club soit géré de manière organisée et professionnelle")</f>
        <v>B) Veiller à ce que le club soit géré de manière organisée et professionnelle</v>
      </c>
      <c r="K132" s="6" t="str">
        <f>IFERROR(__xludf.DUMMYFUNCTION("GOOGLETRANSLATE(E132, ""en"", ""fr"")"),"Comme tout club sportif moderne, ces associations disposent d'une structure administrative formelle pour gérer leurs finances, leurs événements et leurs membres.")</f>
        <v>Comme tout club sportif moderne, ces associations disposent d'une structure administrative formelle pour gérer leurs finances, leurs événements et leurs membres.</v>
      </c>
    </row>
    <row r="133" ht="22.5" customHeight="1">
      <c r="A133" s="4">
        <v>132.0</v>
      </c>
      <c r="B133" s="5" t="s">
        <v>292</v>
      </c>
      <c r="C133" s="5" t="s">
        <v>293</v>
      </c>
      <c r="D133" s="5" t="s">
        <v>294</v>
      </c>
      <c r="E133" s="5" t="s">
        <v>295</v>
      </c>
      <c r="G133" s="6" t="str">
        <f>IFERROR(__xludf.DUMMYFUNCTION("GOOGLETRANSLATE(A133, ""en"", ""fr"")"),"132")</f>
        <v>132</v>
      </c>
      <c r="H133" s="6" t="str">
        <f>IFERROR(__xludf.DUMMYFUNCTION("GOOGLETRANSLATE(B133, ""en"", ""fr"")"),"Qu'est-ce qu'une « vengeance » ?")</f>
        <v>Qu'est-ce qu'une « vengeance » ?</v>
      </c>
      <c r="I133" s="6" t="str">
        <f>IFERROR(__xludf.DUMMYFUNCTION("GOOGLETRANSLATE(C133, ""en"", ""fr"")"),"A) La dernière ronde d'un tournoi, B) Une passe rejouée après une égalité, C) Une protestation de l'équipe perdante, D) Un prix spécial pour le jouteur le plus courageux")</f>
        <v>A) La dernière ronde d'un tournoi, B) Une passe rejouée après une égalité, C) Une protestation de l'équipe perdante, D) Un prix spécial pour le jouteur le plus courageux</v>
      </c>
      <c r="J133" s="6" t="str">
        <f>IFERROR(__xludf.DUMMYFUNCTION("GOOGLETRANSLATE(D133, ""en"", ""fr"")"),"B) Une passe rejouée après un tirage au sort")</f>
        <v>B) Une passe rejouée après un tirage au sort</v>
      </c>
      <c r="K133" s="6" t="str">
        <f>IFERROR(__xludf.DUMMYFUNCTION("GOOGLETRANSLATE(E133, ""en"", ""fr"")"),"Revanche est le mot français pour « revanche » ou « vengeance », et il est utilisé pour la reprise d'un passage où les deux jouteurs sont tombés.")</f>
        <v>Revanche est le mot français pour « revanche » ou « vengeance », et il est utilisé pour la reprise d'un passage où les deux jouteurs sont tombés.</v>
      </c>
    </row>
    <row r="134" ht="22.5" customHeight="1">
      <c r="A134" s="4">
        <v>133.0</v>
      </c>
      <c r="B134" s="5" t="s">
        <v>391</v>
      </c>
      <c r="C134" s="5" t="s">
        <v>392</v>
      </c>
      <c r="D134" s="5" t="s">
        <v>393</v>
      </c>
      <c r="E134" s="5" t="s">
        <v>394</v>
      </c>
      <c r="G134" s="6" t="str">
        <f>IFERROR(__xludf.DUMMYFUNCTION("GOOGLETRANSLATE(A134, ""en"", ""fr"")"),"133")</f>
        <v>133</v>
      </c>
      <c r="H134" s="6" t="str">
        <f>IFERROR(__xludf.DUMMYFUNCTION("GOOGLETRANSLATE(B134, ""en"", ""fr"")"),"On voit un jouteur agiter sa lance de haut en bas avant l'impact. Pourquoi est-ce une faute ?")</f>
        <v>On voit un jouteur agiter sa lance de haut en bas avant l'impact. Pourquoi est-ce une faute ?</v>
      </c>
      <c r="I134" s="6" t="str">
        <f>IFERROR(__xludf.DUMMYFUNCTION("GOOGLETRANSLATE(C134, ""en"", ""fr"")"),"A) Cela peut distraire l'adversaire, B) Cela peut créer un avantage injuste, C) Ce n'est pas une technique traditionnelle, D) Ce n'est pas une faute")</f>
        <v>A) Cela peut distraire l'adversaire, B) Cela peut créer un avantage injuste, C) Ce n'est pas une technique traditionnelle, D) Ce n'est pas une faute</v>
      </c>
      <c r="J134" s="6" t="str">
        <f>IFERROR(__xludf.DUMMYFUNCTION("GOOGLETRANSLATE(D134, ""en"", ""fr"")"),"B) Cela peut générer une dynamique injuste")</f>
        <v>B) Cela peut générer une dynamique injuste</v>
      </c>
      <c r="K134" s="6" t="str">
        <f>IFERROR(__xludf.DUMMYFUNCTION("GOOGLETRANSLATE(E134, ""en"", ""fr"")"),"La lance doit être maintenue en position horizontale stable. La pomper est une méthode illégale pour augmenter la force de poussée.")</f>
        <v>La lance doit être maintenue en position horizontale stable. La pomper est une méthode illégale pour augmenter la force de poussée.</v>
      </c>
    </row>
    <row r="135" ht="22.5" customHeight="1">
      <c r="A135" s="4">
        <v>134.0</v>
      </c>
      <c r="B135" s="5" t="s">
        <v>395</v>
      </c>
      <c r="C135" s="5" t="s">
        <v>396</v>
      </c>
      <c r="D135" s="5" t="s">
        <v>397</v>
      </c>
      <c r="E135" s="5" t="s">
        <v>398</v>
      </c>
      <c r="G135" s="6" t="str">
        <f>IFERROR(__xludf.DUMMYFUNCTION("GOOGLETRANSLATE(A135, ""en"", ""fr"")"),"134")</f>
        <v>134</v>
      </c>
      <c r="H135" s="6" t="str">
        <f>IFERROR(__xludf.DUMMYFUNCTION("GOOGLETRANSLATE(B135, ""en"", ""fr"")"),"Quelle est la dernière action qu'un jouteur doit effectuer après une passe réussie et victorieuse ?")</f>
        <v>Quelle est la dernière action qu'un jouteur doit effectuer après une passe réussie et victorieuse ?</v>
      </c>
      <c r="I135" s="6" t="str">
        <f>IFERROR(__xludf.DUMMYFUNCTION("GOOGLETRANSLATE(C135, ""en"", ""fr"")"),"A) Célébrer avec leur équipe, B) Serrer la main de l'adversaire, C) Saluer le jury et le public, D) Sauter dans l'eau")</f>
        <v>A) Célébrer avec leur équipe, B) Serrer la main de l'adversaire, C) Saluer le jury et le public, D) Sauter dans l'eau</v>
      </c>
      <c r="J135" s="6" t="str">
        <f>IFERROR(__xludf.DUMMYFUNCTION("GOOGLETRANSLATE(D135, ""en"", ""fr"")"),"C) Saluez le jury et le public")</f>
        <v>C) Saluez le jury et le public</v>
      </c>
      <c r="K135" s="6" t="str">
        <f>IFERROR(__xludf.DUMMYFUNCTION("GOOGLETRANSLATE(E135, ""en"", ""fr"")"),"Selon l'étiquette, le jouteur vainqueur doit saluer les officiels et la foule avec sa lance en signe de respect.")</f>
        <v>Selon l'étiquette, le jouteur vainqueur doit saluer les officiels et la foule avec sa lance en signe de respect.</v>
      </c>
    </row>
    <row r="136" ht="22.5" customHeight="1">
      <c r="A136" s="4">
        <v>135.0</v>
      </c>
      <c r="B136" s="5" t="s">
        <v>399</v>
      </c>
      <c r="C136" s="5" t="s">
        <v>400</v>
      </c>
      <c r="D136" s="5" t="s">
        <v>401</v>
      </c>
      <c r="E136" s="5" t="s">
        <v>402</v>
      </c>
      <c r="G136" s="6" t="str">
        <f>IFERROR(__xludf.DUMMYFUNCTION("GOOGLETRANSLATE(A136, ""en"", ""fr"")"),"135")</f>
        <v>135</v>
      </c>
      <c r="H136" s="6" t="str">
        <f>IFERROR(__xludf.DUMMYFUNCTION("GOOGLETRANSLATE(B136, ""en"", ""fr"")"),"En substance, les joutes nautiques sont un duel formel. Quel est le but ultime ?")</f>
        <v>En substance, les joutes nautiques sont un duel formel. Quel est le but ultime ?</v>
      </c>
      <c r="I136" s="6" t="str">
        <f>IFERROR(__xludf.DUMMYFUNCTION("GOOGLETRANSLATE(C136, ""en"", ""fr"")"),"A) Pour démontrer quelle équipe possède les rameurs les plus rapides, B) Pour prouver son courage, son habileté et son équilibre en désarçonnant un adversaire, C) Pour briser le plus de lances possible, D) Pour divertir la famille royale")</f>
        <v>A) Pour démontrer quelle équipe possède les rameurs les plus rapides, B) Pour prouver son courage, son habileté et son équilibre en désarçonnant un adversaire, C) Pour briser le plus de lances possible, D) Pour divertir la famille royale</v>
      </c>
      <c r="J136" s="6" t="str">
        <f>IFERROR(__xludf.DUMMYFUNCTION("GOOGLETRANSLATE(D136, ""en"", ""fr"")"),"B) Prouver son courage, son habileté et son équilibre en désarçonnant un adversaire")</f>
        <v>B) Prouver son courage, son habileté et son équilibre en désarçonnant un adversaire</v>
      </c>
      <c r="K136" s="6" t="str">
        <f>IFERROR(__xludf.DUMMYFUNCTION("GOOGLETRANSLATE(E136, ""en"", ""fr"")"),"Ce sport est une forme ritualisée et non létale de duel chevaleresque, un affrontement en face à face d'adresse et de bravoure.")</f>
        <v>Ce sport est une forme ritualisée et non létale de duel chevaleresque, un affrontement en face à face d'adresse et de bravoure.</v>
      </c>
    </row>
    <row r="137" ht="22.5" customHeight="1">
      <c r="A137" s="4">
        <v>136.0</v>
      </c>
      <c r="B137" s="5" t="s">
        <v>407</v>
      </c>
      <c r="C137" s="5" t="s">
        <v>408</v>
      </c>
      <c r="D137" s="5" t="s">
        <v>409</v>
      </c>
      <c r="E137" s="5" t="s">
        <v>410</v>
      </c>
      <c r="G137" s="6" t="str">
        <f>IFERROR(__xludf.DUMMYFUNCTION("GOOGLETRANSLATE(A137, ""en"", ""fr"")"),"136")</f>
        <v>136</v>
      </c>
      <c r="H137" s="6" t="str">
        <f>IFERROR(__xludf.DUMMYFUNCTION("GOOGLETRANSLATE(B137, ""en"", ""fr"")"),"Le bouclier (pavois) d'un jouteur présente une petite bosse suite à un précédent passage. Peut-il encore être utilisé ?")</f>
        <v>Le bouclier (pavois) d'un jouteur présente une petite bosse suite à un précédent passage. Peut-il encore être utilisé ?</v>
      </c>
      <c r="I137" s="6" t="str">
        <f>IFERROR(__xludf.DUMMYFUNCTION("GOOGLETRANSLATE(C137, ""en"", ""fr"")"),"A) Non, il doit être remplacé. B) Oui, à condition qu'il soit structurellement sain. C) Uniquement si l'adversaire est d'accord. D) Ils recevront un point de pénalité.")</f>
        <v>A) Non, il doit être remplacé. B) Oui, à condition qu'il soit structurellement sain. C) Uniquement si l'adversaire est d'accord. D) Ils recevront un point de pénalité.</v>
      </c>
      <c r="J137" s="6" t="str">
        <f>IFERROR(__xludf.DUMMYFUNCTION("GOOGLETRANSLATE(D137, ""en"", ""fr"")"),"B) Oui, à condition qu'elle soit structurellement saine")</f>
        <v>B) Oui, à condition qu'elle soit structurellement saine</v>
      </c>
      <c r="K137" s="6" t="str">
        <f>IFERROR(__xludf.DUMMYFUNCTION("GOOGLETRANSLATE(E137, ""en"", ""fr"")"),"De légers dommages esthétiques sont normaux. Le bouclier n'est remplacé que s'il est brisé ou endommagé de manière à compromettre la sécurité ou l'équité.")</f>
        <v>De légers dommages esthétiques sont normaux. Le bouclier n'est remplacé que s'il est brisé ou endommagé de manière à compromettre la sécurité ou l'équité.</v>
      </c>
    </row>
    <row r="138" ht="22.5" customHeight="1">
      <c r="A138" s="4">
        <v>137.0</v>
      </c>
      <c r="B138" s="5" t="s">
        <v>415</v>
      </c>
      <c r="C138" s="5" t="s">
        <v>416</v>
      </c>
      <c r="D138" s="5" t="s">
        <v>417</v>
      </c>
      <c r="E138" s="5" t="s">
        <v>418</v>
      </c>
      <c r="G138" s="6" t="str">
        <f>IFERROR(__xludf.DUMMYFUNCTION("GOOGLETRANSLATE(A138, ""en"", ""fr"")"),"137")</f>
        <v>137</v>
      </c>
      <c r="H138" s="6" t="str">
        <f>IFERROR(__xludf.DUMMYFUNCTION("GOOGLETRANSLATE(B138, ""en"", ""fr"")"),"Quel est le nom de la compétition pour les jouteurs de la catégorie des poids les plus légers ?")</f>
        <v>Quel est le nom de la compétition pour les jouteurs de la catégorie des poids les plus légers ?</v>
      </c>
      <c r="I138" s="6" t="str">
        <f>IFERROR(__xludf.DUMMYFUNCTION("GOOGLETRANSLATE(C138, ""en"", ""fr"")"),"A) Poids plumes, B) Juniors, C) Poids légers, D) Cadets")</f>
        <v>A) Poids plumes, B) Juniors, C) Poids légers, D) Cadets</v>
      </c>
      <c r="J138" s="6" t="str">
        <f>IFERROR(__xludf.DUMMYFUNCTION("GOOGLETRANSLATE(D138, ""en"", ""fr"")"),"C) Légers")</f>
        <v>C) Légers</v>
      </c>
      <c r="K138" s="6" t="str">
        <f>IFERROR(__xludf.DUMMYFUNCTION("GOOGLETRANSLATE(E138, ""en"", ""fr"")"),"La compétition senior est divisée en plusieurs catégories de poids, notamment les poids légers, moyens et lourds.")</f>
        <v>La compétition senior est divisée en plusieurs catégories de poids, notamment les poids légers, moyens et lourds.</v>
      </c>
    </row>
    <row r="139" ht="22.5" customHeight="1">
      <c r="A139" s="4">
        <v>138.0</v>
      </c>
      <c r="B139" s="5" t="s">
        <v>510</v>
      </c>
      <c r="C139" s="5" t="s">
        <v>511</v>
      </c>
      <c r="D139" s="5" t="s">
        <v>421</v>
      </c>
      <c r="E139" s="5" t="s">
        <v>327</v>
      </c>
      <c r="G139" s="6" t="str">
        <f>IFERROR(__xludf.DUMMYFUNCTION("GOOGLETRANSLATE(A139, ""en"", ""fr"")"),"138")</f>
        <v>138</v>
      </c>
      <c r="H139" s="6" t="str">
        <f>IFERROR(__xludf.DUMMYFUNCTION("GOOGLETRANSLATE(B139, ""en"", ""fr"")"),"Un jouteur parvient à faire tomber son adversaire, mais son propre pied glisse hors de l'empreinte marquée sur la tintaine. Quelle est la décision ?")</f>
        <v>Un jouteur parvient à faire tomber son adversaire, mais son propre pied glisse hors de l'empreinte marquée sur la tintaine. Quelle est la décision ?</v>
      </c>
      <c r="I139" s="6" t="str">
        <f>IFERROR(__xludf.DUMMYFUNCTION("GOOGLETRANSLATE(C139, ""en"", ""fr"")"),"A) La victoire est valable. B) Il y a faute ; la passe est nulle et doit être rejouée. C) Le jouteur qui a glissé est disqualifié. D) Le point est attribué à l'adversaire.")</f>
        <v>A) La victoire est valable. B) Il y a faute ; la passe est nulle et doit être rejouée. C) Le jouteur qui a glissé est disqualifié. D) Le point est attribué à l'adversaire.</v>
      </c>
      <c r="J139" s="6" t="str">
        <f>IFERROR(__xludf.DUMMYFUNCTION("GOOGLETRANSLATE(D139, ""en"", ""fr"")"),"B) C'est une faute ; la passe est nulle et doit être rejouée.")</f>
        <v>B) C'est une faute ; la passe est nulle et doit être rejouée.</v>
      </c>
      <c r="K139" s="6" t="str">
        <f>IFERROR(__xludf.DUMMYFUNCTION("GOOGLETRANSLATE(E139, ""en"", ""fr"")"),"Pour être déclaré vainqueur, un jouteur doit respecter scrupuleusement les règles. Une faute de pied au moment de la victoire annule celle-ci et le match se solde par un match nul.")</f>
        <v>Pour être déclaré vainqueur, un jouteur doit respecter scrupuleusement les règles. Une faute de pied au moment de la victoire annule celle-ci et le match se solde par un match nul.</v>
      </c>
    </row>
    <row r="140" ht="22.5" customHeight="1">
      <c r="A140" s="4">
        <v>139.0</v>
      </c>
      <c r="B140" s="5" t="s">
        <v>355</v>
      </c>
      <c r="C140" s="5" t="s">
        <v>356</v>
      </c>
      <c r="D140" s="5" t="s">
        <v>357</v>
      </c>
      <c r="E140" s="5" t="s">
        <v>358</v>
      </c>
      <c r="G140" s="6" t="str">
        <f>IFERROR(__xludf.DUMMYFUNCTION("GOOGLETRANSLATE(A140, ""en"", ""fr"")"),"139")</f>
        <v>139</v>
      </c>
      <c r="H140" s="6" t="str">
        <f>IFERROR(__xludf.DUMMYFUNCTION("GOOGLETRANSLATE(B140, ""en"", ""fr"")"),"L'embarcation d'une équipe ne compte que 9 rameurs au lieu des 10 requis. Quelle en est la conséquence ?")</f>
        <v>L'embarcation d'une équipe ne compte que 9 rameurs au lieu des 10 requis. Quelle en est la conséquence ?</v>
      </c>
      <c r="I140" s="6" t="str">
        <f>IFERROR(__xludf.DUMMYFUNCTION("GOOGLETRANSLATE(C140, ""en"", ""fr"")"),"A) Ils sont autorisés à concourir malgré un désavantage, B) Ils ne sont pas autorisés à initier la passe, C) Ils reçoivent une pénalité d'un point, D) Ils peuvent utiliser un moteur pour compenser")</f>
        <v>A) Ils sont autorisés à concourir malgré un désavantage, B) Ils ne sont pas autorisés à initier la passe, C) Ils reçoivent une pénalité d'un point, D) Ils peuvent utiliser un moteur pour compenser</v>
      </c>
      <c r="J140" s="6" t="str">
        <f>IFERROR(__xludf.DUMMYFUNCTION("GOOGLETRANSLATE(D140, ""en"", ""fr"")"),"B) Ils ne sont pas autorisés à commencer la passe")</f>
        <v>B) Ils ne sont pas autorisés à commencer la passe</v>
      </c>
      <c r="K140" s="6" t="str">
        <f>IFERROR(__xludf.DUMMYFUNCTION("GOOGLETRANSLATE(E140, ""en"", ""fr"")"),"Les règles relatives à la composition des équipages sont strictes afin de garantir l'équité. Une équipe à laquelle il manque un rameur ne peut pas participer.")</f>
        <v>Les règles relatives à la composition des équipages sont strictes afin de garantir l'équité. Une équipe à laquelle il manque un rameur ne peut pas participer.</v>
      </c>
    </row>
    <row r="141" ht="22.5" customHeight="1">
      <c r="A141" s="4">
        <v>140.0</v>
      </c>
      <c r="B141" s="5" t="s">
        <v>359</v>
      </c>
      <c r="C141" s="5" t="s">
        <v>360</v>
      </c>
      <c r="D141" s="5" t="s">
        <v>361</v>
      </c>
      <c r="E141" s="5" t="s">
        <v>362</v>
      </c>
      <c r="G141" s="6" t="str">
        <f>IFERROR(__xludf.DUMMYFUNCTION("GOOGLETRANSLATE(A141, ""en"", ""fr"")"),"140")</f>
        <v>140</v>
      </c>
      <c r="H141" s="6" t="str">
        <f>IFERROR(__xludf.DUMMYFUNCTION("GOOGLETRANSLATE(B141, ""en"", ""fr"")"),"Un jouteur utilise une lance légèrement courbée. Est-ce autorisé ?")</f>
        <v>Un jouteur utilise une lance légèrement courbée. Est-ce autorisé ?</v>
      </c>
      <c r="I141" s="6" t="str">
        <f>IFERROR(__xludf.DUMMYFUNCTION("GOOGLETRANSLATE(C141, ""en"", ""fr"")"),"A) Oui, si cela les aide à mieux viser, B) Non, la lance doit être parfaitement droite, C) Seulement si l'adversaire est d'accord, D) Uniquement dans la catégorie junior")</f>
        <v>A) Oui, si cela les aide à mieux viser, B) Non, la lance doit être parfaitement droite, C) Seulement si l'adversaire est d'accord, D) Uniquement dans la catégorie junior</v>
      </c>
      <c r="J141" s="6" t="str">
        <f>IFERROR(__xludf.DUMMYFUNCTION("GOOGLETRANSLATE(D141, ""en"", ""fr"")"),"B) Non, la lance doit être parfaitement droite.")</f>
        <v>B) Non, la lance doit être parfaitement droite.</v>
      </c>
      <c r="K141" s="6" t="str">
        <f>IFERROR(__xludf.DUMMYFUNCTION("GOOGLETRANSLATE(E141, ""en"", ""fr"")"),"L'équipement est standardisé, et une lance courbe serait illégale car elle pourrait procurer un avantage injuste ou être imprévisible.")</f>
        <v>L'équipement est standardisé, et une lance courbe serait illégale car elle pourrait procurer un avantage injuste ou être imprévisible.</v>
      </c>
    </row>
    <row r="142" ht="22.5" customHeight="1">
      <c r="A142" s="4">
        <v>141.0</v>
      </c>
      <c r="B142" s="5" t="s">
        <v>363</v>
      </c>
      <c r="C142" s="5" t="s">
        <v>364</v>
      </c>
      <c r="D142" s="5" t="s">
        <v>365</v>
      </c>
      <c r="E142" s="5" t="s">
        <v>366</v>
      </c>
      <c r="G142" s="6" t="str">
        <f>IFERROR(__xludf.DUMMYFUNCTION("GOOGLETRANSLATE(A142, ""en"", ""fr"")"),"141")</f>
        <v>141</v>
      </c>
      <c r="H142" s="6" t="str">
        <f>IFERROR(__xludf.DUMMYFUNCTION("GOOGLETRANSLATE(B142, ""en"", ""fr"")"),"Quelle est la principale caractéristique de la méthode de joute « Givordine » ?")</f>
        <v>Quelle est la principale caractéristique de la méthode de joute « Givordine » ?</v>
      </c>
      <c r="I142" s="6" t="str">
        <f>IFERROR(__xludf.DUMMYFUNCTION("GOOGLETRANSLATE(C142, ""en"", ""fr"")"),"A) Les bateaux passent par la gauche, B) Les jouteurs sont assis, C) Les bateaux sont propulsés par un système de câbles, D) C'est une version sans contact")</f>
        <v>A) Les bateaux passent par la gauche, B) Les jouteurs sont assis, C) Les bateaux sont propulsés par un système de câbles, D) C'est une version sans contact</v>
      </c>
      <c r="J142" s="6" t="str">
        <f>IFERROR(__xludf.DUMMYFUNCTION("GOOGLETRANSLATE(D142, ""en"", ""fr"")"),"A) Les bateaux passent sur le côté gauche")</f>
        <v>A) Les bateaux passent sur le côté gauche</v>
      </c>
      <c r="K142" s="6" t="str">
        <f>IFERROR(__xludf.DUMMYFUNCTION("GOOGLETRANSLATE(E142, ""en"", ""fr"")"),"C’est là la règle distinctive clé du style Givors, par opposition au style Sète où les bateaux doivent passer par la droite.")</f>
        <v>C’est là la règle distinctive clé du style Givors, par opposition au style Sète où les bateaux doivent passer par la droite.</v>
      </c>
    </row>
    <row r="143" ht="22.5" customHeight="1">
      <c r="A143" s="4">
        <v>142.0</v>
      </c>
      <c r="B143" s="5" t="s">
        <v>367</v>
      </c>
      <c r="C143" s="5" t="s">
        <v>368</v>
      </c>
      <c r="D143" s="5" t="s">
        <v>369</v>
      </c>
      <c r="E143" s="5" t="s">
        <v>370</v>
      </c>
      <c r="G143" s="6" t="str">
        <f>IFERROR(__xludf.DUMMYFUNCTION("GOOGLETRANSLATE(A143, ""en"", ""fr"")"),"142")</f>
        <v>142</v>
      </c>
      <c r="H143" s="6" t="str">
        <f>IFERROR(__xludf.DUMMYFUNCTION("GOOGLETRANSLATE(B143, ""en"", ""fr"")"),"Un jouteur parvient à désarçonner son adversaire. À qui revient la gloire de la victoire ?")</f>
        <v>Un jouteur parvient à désarçonner son adversaire. À qui revient la gloire de la victoire ?</v>
      </c>
      <c r="I143" s="6" t="str">
        <f>IFERROR(__xludf.DUMMYFUNCTION("GOOGLETRANSLATE(C143, ""en"", ""fr"")"),"A) Uniquement au jouteur, B) Au jouteur, aux rameurs, au timonier et à toute leur société, C) Au constructeur de bateaux, D) Au maire de la ville")</f>
        <v>A) Uniquement au jouteur, B) Au jouteur, aux rameurs, au timonier et à toute leur société, C) Au constructeur de bateaux, D) Au maire de la ville</v>
      </c>
      <c r="J143" s="6" t="str">
        <f>IFERROR(__xludf.DUMMYFUNCTION("GOOGLETRANSLATE(D143, ""en"", ""fr"")"),"B) Au jouteur, aux rameurs, au timonier et à toute leur société")</f>
        <v>B) Au jouteur, aux rameurs, au timonier et à toute leur société</v>
      </c>
      <c r="K143" s="6" t="str">
        <f>IFERROR(__xludf.DUMMYFUNCTION("GOOGLETRANSLATE(E143, ""en"", ""fr"")"),"Une victoire en joute est considérée comme un effort collectif et communautaire.")</f>
        <v>Une victoire en joute est considérée comme un effort collectif et communautaire.</v>
      </c>
    </row>
    <row r="144" ht="22.5" customHeight="1">
      <c r="A144" s="4">
        <v>143.0</v>
      </c>
      <c r="B144" s="5" t="s">
        <v>371</v>
      </c>
      <c r="C144" s="5" t="s">
        <v>372</v>
      </c>
      <c r="D144" s="5" t="s">
        <v>373</v>
      </c>
      <c r="E144" s="5" t="s">
        <v>374</v>
      </c>
      <c r="G144" s="6" t="str">
        <f>IFERROR(__xludf.DUMMYFUNCTION("GOOGLETRANSLATE(A144, ""en"", ""fr"")"),"143")</f>
        <v>143</v>
      </c>
      <c r="H144" s="6" t="str">
        <f>IFERROR(__xludf.DUMMYFUNCTION("GOOGLETRANSLATE(B144, ""en"", ""fr"")"),"Quelle est la règle si un jouteur touche son adversaire de sa main libre pour le pousser ?")</f>
        <v>Quelle est la règle si un jouteur touche son adversaire de sa main libre pour le pousser ?</v>
      </c>
      <c r="I144" s="6" t="str">
        <f>IFERROR(__xludf.DUMMYFUNCTION("GOOGLETRANSLATE(C144, ""en"", ""fr"")"),"A) C'est une tactique légale, B) C'est une faute et le jouteur perd la passe, C) Un avertissement est donné, D) La passe est rejouée")</f>
        <v>A) C'est une tactique légale, B) C'est une faute et le jouteur perd la passe, C) Un avertissement est donné, D) La passe est rejouée</v>
      </c>
      <c r="J144" s="6" t="str">
        <f>IFERROR(__xludf.DUMMYFUNCTION("GOOGLETRANSLATE(D144, ""en"", ""fr"")"),"B) C'est une faute, et le jouteur perd la passe.")</f>
        <v>B) C'est une faute, et le jouteur perd la passe.</v>
      </c>
      <c r="K144" s="6" t="str">
        <f>IFERROR(__xludf.DUMMYFUNCTION("GOOGLETRANSLATE(E144, ""en"", ""fr"")"),"Il est strictement interdit à un jouteur de toucher son adversaire avec quelque partie que ce soit de son corps.")</f>
        <v>Il est strictement interdit à un jouteur de toucher son adversaire avec quelque partie que ce soit de son corps.</v>
      </c>
    </row>
    <row r="145" ht="22.5" customHeight="1">
      <c r="A145" s="4">
        <v>144.0</v>
      </c>
      <c r="B145" s="5" t="s">
        <v>375</v>
      </c>
      <c r="C145" s="5" t="s">
        <v>376</v>
      </c>
      <c r="D145" s="5" t="s">
        <v>377</v>
      </c>
      <c r="E145" s="5" t="s">
        <v>378</v>
      </c>
      <c r="G145" s="6" t="str">
        <f>IFERROR(__xludf.DUMMYFUNCTION("GOOGLETRANSLATE(A145, ""en"", ""fr"")"),"144")</f>
        <v>144</v>
      </c>
      <c r="H145" s="6" t="str">
        <f>IFERROR(__xludf.DUMMYFUNCTION("GOOGLETRANSLATE(B145, ""en"", ""fr"")"),"Quel est le rôle principal du musicien sur le bateau ?")</f>
        <v>Quel est le rôle principal du musicien sur le bateau ?</v>
      </c>
      <c r="I145" s="6" t="str">
        <f>IFERROR(__xludf.DUMMYFUNCTION("GOOGLETRANSLATE(C145, ""en"", ""fr"")"),"A) Divertir le public, B) Donner le rythme aux rameurs avec leur hautbois et leur tambour, C) Signaler les fautes à l'arbitre, D) Être rameur remplaçant")</f>
        <v>A) Divertir le public, B) Donner le rythme aux rameurs avec leur hautbois et leur tambour, C) Signaler les fautes à l'arbitre, D) Être rameur remplaçant</v>
      </c>
      <c r="J145" s="6" t="str">
        <f>IFERROR(__xludf.DUMMYFUNCTION("GOOGLETRANSLATE(D145, ""en"", ""fr"")"),"B) Donner le rythme aux rameurs avec leur hautbois et leur tambour")</f>
        <v>B) Donner le rythme aux rameurs avec leur hautbois et leur tambour</v>
      </c>
      <c r="K145" s="6" t="str">
        <f>IFERROR(__xludf.DUMMYFUNCTION("GOOGLETRANSLATE(E145, ""en"", ""fr"")"),"Le musicien fait partie intégrante de l'équipage, car son tempo détermine la vitesse d'approche du bateau.")</f>
        <v>Le musicien fait partie intégrante de l'équipage, car son tempo détermine la vitesse d'approche du bateau.</v>
      </c>
    </row>
    <row r="146" ht="22.5" customHeight="1">
      <c r="A146" s="4">
        <v>145.0</v>
      </c>
      <c r="B146" s="5" t="s">
        <v>379</v>
      </c>
      <c r="C146" s="5" t="s">
        <v>380</v>
      </c>
      <c r="D146" s="5" t="s">
        <v>381</v>
      </c>
      <c r="E146" s="5" t="s">
        <v>382</v>
      </c>
      <c r="G146" s="6" t="str">
        <f>IFERROR(__xludf.DUMMYFUNCTION("GOOGLETRANSLATE(A146, ""en"", ""fr"")"),"145")</f>
        <v>145</v>
      </c>
      <c r="H146" s="6" t="str">
        <f>IFERROR(__xludf.DUMMYFUNCTION("GOOGLETRANSLATE(B146, ""en"", ""fr"")"),"Un jouteur porte une tenue blanche, mais ses chaussettes sont rouges, de la couleur du bateau adverse. Pourquoi est-ce une faute ?")</f>
        <v>Un jouteur porte une tenue blanche, mais ses chaussettes sont rouges, de la couleur du bateau adverse. Pourquoi est-ce une faute ?</v>
      </c>
      <c r="I146" s="6" t="str">
        <f>IFERROR(__xludf.DUMMYFUNCTION("GOOGLETRANSLATE(C146, ""en"", ""fr"")"),"A) Ce n'est pas une faute, B) Cela peut prêter à confusion pour les juges, C) Les chaussettes rouges portent malheur, D) Cela enfreint le règlement strict concernant l'uniforme entièrement blanc")</f>
        <v>A) Ce n'est pas une faute, B) Cela peut prêter à confusion pour les juges, C) Les chaussettes rouges portent malheur, D) Cela enfreint le règlement strict concernant l'uniforme entièrement blanc</v>
      </c>
      <c r="J146" s="6" t="str">
        <f>IFERROR(__xludf.DUMMYFUNCTION("GOOGLETRANSLATE(D146, ""en"", ""fr"")"),"D) Cela enfreint la règle stricte de l'uniforme entièrement blanc.")</f>
        <v>D) Cela enfreint la règle stricte de l'uniforme entièrement blanc.</v>
      </c>
      <c r="K146" s="6" t="str">
        <f>IFERROR(__xludf.DUMMYFUNCTION("GOOGLETRANSLATE(E146, ""en"", ""fr"")"),"Le règlement exige que la tenue du jouteur soit entièrement blanche, jusqu'aux chaussettes, afin de garantir l'uniformité et un jugement clair.")</f>
        <v>Le règlement exige que la tenue du jouteur soit entièrement blanche, jusqu'aux chaussettes, afin de garantir l'uniformité et un jugement clair.</v>
      </c>
    </row>
    <row r="147" ht="22.5" customHeight="1">
      <c r="A147" s="4">
        <v>146.0</v>
      </c>
      <c r="B147" s="5" t="s">
        <v>383</v>
      </c>
      <c r="C147" s="5" t="s">
        <v>384</v>
      </c>
      <c r="D147" s="5" t="s">
        <v>385</v>
      </c>
      <c r="E147" s="5" t="s">
        <v>386</v>
      </c>
      <c r="G147" s="6" t="str">
        <f>IFERROR(__xludf.DUMMYFUNCTION("GOOGLETRANSLATE(A147, ""en"", ""fr"")"),"146")</f>
        <v>146</v>
      </c>
      <c r="H147" s="6" t="str">
        <f>IFERROR(__xludf.DUMMYFUNCTION("GOOGLETRANSLATE(B147, ""en"", ""fr"")"),"Quelle est la principale raison pour laquelle un jouteur doit rester sur la tintaine pendant toute la durée du passage ?")</f>
        <v>Quelle est la principale raison pour laquelle un jouteur doit rester sur la tintaine pendant toute la durée du passage ?</v>
      </c>
      <c r="I147" s="6" t="str">
        <f>IFERROR(__xludf.DUMMYFUNCTION("GOOGLETRANSLATE(C147, ""en"", ""fr"")"),"A) C'est l'endroit le plus dangereux, B) C'est l'épreuve ultime d'équilibre, la compétence essentielle de ce sport, C) C'est le seul endroit où ils peuvent tenir la lance, D) Il offre la meilleure vue")</f>
        <v>A) C'est l'endroit le plus dangereux, B) C'est l'épreuve ultime d'équilibre, la compétence essentielle de ce sport, C) C'est le seul endroit où ils peuvent tenir la lance, D) Il offre la meilleure vue</v>
      </c>
      <c r="J147" s="6" t="str">
        <f>IFERROR(__xludf.DUMMYFUNCTION("GOOGLETRANSLATE(D147, ""en"", ""fr"")"),"B) C'est l'épreuve ultime d'équilibre, la compétence fondamentale de ce sport.")</f>
        <v>B) C'est l'épreuve ultime d'équilibre, la compétence fondamentale de ce sport.</v>
      </c>
      <c r="K147" s="6" t="str">
        <f>IFERROR(__xludf.DUMMYFUNCTION("GOOGLETRANSLATE(E147, ""en"", ""fr"")"),"Ce sport tout entier est conçu autour du défi de garder l'équilibre sur cette minuscule plateforme instable lors d'un impact violent.")</f>
        <v>Ce sport tout entier est conçu autour du défi de garder l'équilibre sur cette minuscule plateforme instable lors d'un impact violent.</v>
      </c>
    </row>
    <row r="148" ht="22.5" customHeight="1">
      <c r="A148" s="4">
        <v>147.0</v>
      </c>
      <c r="B148" s="5" t="s">
        <v>387</v>
      </c>
      <c r="C148" s="5" t="s">
        <v>388</v>
      </c>
      <c r="D148" s="5" t="s">
        <v>389</v>
      </c>
      <c r="E148" s="5" t="s">
        <v>390</v>
      </c>
      <c r="G148" s="6" t="str">
        <f>IFERROR(__xludf.DUMMYFUNCTION("GOOGLETRANSLATE(A148, ""en"", ""fr"")"),"147")</f>
        <v>147</v>
      </c>
      <c r="H148" s="6" t="str">
        <f>IFERROR(__xludf.DUMMYFUNCTION("GOOGLETRANSLATE(B148, ""en"", ""fr"")"),"Quelle est la décision à prendre si la lance brisée d'un jouteur heurte un spectateur ?")</f>
        <v>Quelle est la décision à prendre si la lance brisée d'un jouteur heurte un spectateur ?</v>
      </c>
      <c r="I148" s="6" t="str">
        <f>IFERROR(__xludf.DUMMYFUNCTION("GOOGLETRANSLATE(C148, ""en"", ""fr"")"),"A) Le jouteur est disqualifié. B) Le match est immédiatement arrêté et des soins médicaux sont prodigués. C) Le spectateur est en faute pour s'être approché trop près. D) Le match continue.")</f>
        <v>A) Le jouteur est disqualifié. B) Le match est immédiatement arrêté et des soins médicaux sont prodigués. C) Le spectateur est en faute pour s'être approché trop près. D) Le match continue.</v>
      </c>
      <c r="J148" s="6" t="str">
        <f>IFERROR(__xludf.DUMMYFUNCTION("GOOGLETRANSLATE(D148, ""en"", ""fr"")"),"B) Le match est immédiatement arrêté et une assistance médicale est fournie.")</f>
        <v>B) Le match est immédiatement arrêté et une assistance médicale est fournie.</v>
      </c>
      <c r="K148" s="6" t="str">
        <f>IFERROR(__xludf.DUMMYFUNCTION("GOOGLETRANSLATE(E148, ""en"", ""fr"")"),"La sécurité du public est une préoccupation primordiale, et tout incident de ce type nécessiterait l'arrêt immédiat de la compétition.")</f>
        <v>La sécurité du public est une préoccupation primordiale, et tout incident de ce type nécessiterait l'arrêt immédiat de la compétition.</v>
      </c>
    </row>
    <row r="149" ht="22.5" customHeight="1">
      <c r="A149" s="4">
        <v>148.0</v>
      </c>
      <c r="B149" s="5" t="s">
        <v>391</v>
      </c>
      <c r="C149" s="5" t="s">
        <v>392</v>
      </c>
      <c r="D149" s="5" t="s">
        <v>393</v>
      </c>
      <c r="E149" s="5" t="s">
        <v>394</v>
      </c>
      <c r="G149" s="6" t="str">
        <f>IFERROR(__xludf.DUMMYFUNCTION("GOOGLETRANSLATE(A149, ""en"", ""fr"")"),"148")</f>
        <v>148</v>
      </c>
      <c r="H149" s="6" t="str">
        <f>IFERROR(__xludf.DUMMYFUNCTION("GOOGLETRANSLATE(B149, ""en"", ""fr"")"),"On voit un jouteur agiter sa lance de haut en bas avant l'impact. Pourquoi est-ce une faute ?")</f>
        <v>On voit un jouteur agiter sa lance de haut en bas avant l'impact. Pourquoi est-ce une faute ?</v>
      </c>
      <c r="I149" s="6" t="str">
        <f>IFERROR(__xludf.DUMMYFUNCTION("GOOGLETRANSLATE(C149, ""en"", ""fr"")"),"A) Cela peut distraire l'adversaire, B) Cela peut créer un avantage injuste, C) Ce n'est pas une technique traditionnelle, D) Ce n'est pas une faute")</f>
        <v>A) Cela peut distraire l'adversaire, B) Cela peut créer un avantage injuste, C) Ce n'est pas une technique traditionnelle, D) Ce n'est pas une faute</v>
      </c>
      <c r="J149" s="6" t="str">
        <f>IFERROR(__xludf.DUMMYFUNCTION("GOOGLETRANSLATE(D149, ""en"", ""fr"")"),"B) Cela peut générer une dynamique injuste")</f>
        <v>B) Cela peut générer une dynamique injuste</v>
      </c>
      <c r="K149" s="6" t="str">
        <f>IFERROR(__xludf.DUMMYFUNCTION("GOOGLETRANSLATE(E149, ""en"", ""fr"")"),"La lance doit être maintenue en position horizontale stable. La pomper est une méthode illégale pour augmenter la force de poussée.")</f>
        <v>La lance doit être maintenue en position horizontale stable. La pomper est une méthode illégale pour augmenter la force de poussée.</v>
      </c>
    </row>
    <row r="150" ht="22.5" customHeight="1">
      <c r="A150" s="4">
        <v>149.0</v>
      </c>
      <c r="B150" s="5" t="s">
        <v>395</v>
      </c>
      <c r="C150" s="5" t="s">
        <v>396</v>
      </c>
      <c r="D150" s="5" t="s">
        <v>397</v>
      </c>
      <c r="E150" s="5" t="s">
        <v>398</v>
      </c>
      <c r="G150" s="6" t="str">
        <f>IFERROR(__xludf.DUMMYFUNCTION("GOOGLETRANSLATE(A150, ""en"", ""fr"")"),"149")</f>
        <v>149</v>
      </c>
      <c r="H150" s="6" t="str">
        <f>IFERROR(__xludf.DUMMYFUNCTION("GOOGLETRANSLATE(B150, ""en"", ""fr"")"),"Quelle est la dernière action qu'un jouteur doit effectuer après une passe réussie et victorieuse ?")</f>
        <v>Quelle est la dernière action qu'un jouteur doit effectuer après une passe réussie et victorieuse ?</v>
      </c>
      <c r="I150" s="6" t="str">
        <f>IFERROR(__xludf.DUMMYFUNCTION("GOOGLETRANSLATE(C150, ""en"", ""fr"")"),"A) Célébrer avec leur équipe, B) Serrer la main de l'adversaire, C) Saluer le jury et le public, D) Sauter dans l'eau")</f>
        <v>A) Célébrer avec leur équipe, B) Serrer la main de l'adversaire, C) Saluer le jury et le public, D) Sauter dans l'eau</v>
      </c>
      <c r="J150" s="6" t="str">
        <f>IFERROR(__xludf.DUMMYFUNCTION("GOOGLETRANSLATE(D150, ""en"", ""fr"")"),"C) Saluez le jury et le public")</f>
        <v>C) Saluez le jury et le public</v>
      </c>
      <c r="K150" s="6" t="str">
        <f>IFERROR(__xludf.DUMMYFUNCTION("GOOGLETRANSLATE(E150, ""en"", ""fr"")"),"Selon l'étiquette, le jouteur vainqueur doit saluer les officiels et la foule avec sa lance en signe de respect.")</f>
        <v>Selon l'étiquette, le jouteur vainqueur doit saluer les officiels et la foule avec sa lance en signe de respect.</v>
      </c>
    </row>
    <row r="151" ht="22.5" customHeight="1">
      <c r="A151" s="4">
        <v>150.0</v>
      </c>
      <c r="B151" s="5" t="s">
        <v>399</v>
      </c>
      <c r="C151" s="5" t="s">
        <v>400</v>
      </c>
      <c r="D151" s="5" t="s">
        <v>401</v>
      </c>
      <c r="E151" s="5" t="s">
        <v>402</v>
      </c>
      <c r="G151" s="6" t="str">
        <f>IFERROR(__xludf.DUMMYFUNCTION("GOOGLETRANSLATE(A151, ""en"", ""fr"")"),"150")</f>
        <v>150</v>
      </c>
      <c r="H151" s="6" t="str">
        <f>IFERROR(__xludf.DUMMYFUNCTION("GOOGLETRANSLATE(B151, ""en"", ""fr"")"),"En substance, les joutes nautiques sont un duel formel. Quel est le but ultime ?")</f>
        <v>En substance, les joutes nautiques sont un duel formel. Quel est le but ultime ?</v>
      </c>
      <c r="I151" s="6" t="str">
        <f>IFERROR(__xludf.DUMMYFUNCTION("GOOGLETRANSLATE(C151, ""en"", ""fr"")"),"A) Pour démontrer quelle équipe possède les rameurs les plus rapides, B) Pour prouver son courage, son habileté et son équilibre en désarçonnant un adversaire, C) Pour briser le plus de lances possible, D) Pour divertir la famille royale")</f>
        <v>A) Pour démontrer quelle équipe possède les rameurs les plus rapides, B) Pour prouver son courage, son habileté et son équilibre en désarçonnant un adversaire, C) Pour briser le plus de lances possible, D) Pour divertir la famille royale</v>
      </c>
      <c r="J151" s="6" t="str">
        <f>IFERROR(__xludf.DUMMYFUNCTION("GOOGLETRANSLATE(D151, ""en"", ""fr"")"),"B) Prouver son courage, son habileté et son équilibre en désarçonnant un adversaire")</f>
        <v>B) Prouver son courage, son habileté et son équilibre en désarçonnant un adversaire</v>
      </c>
      <c r="K151" s="6" t="str">
        <f>IFERROR(__xludf.DUMMYFUNCTION("GOOGLETRANSLATE(E151, ""en"", ""fr"")"),"Ce sport est une forme ritualisée et non létale de duel chevaleresque, un affrontement en face à face d'adresse et de bravoure.")</f>
        <v>Ce sport est une forme ritualisée et non létale de duel chevaleresque, un affrontement en face à face d'adresse et de bravoure.</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13"/>
    <col customWidth="1" min="8" max="11" width="37.63"/>
  </cols>
  <sheetData>
    <row r="1" ht="22.5" customHeight="1">
      <c r="A1" s="1" t="s">
        <v>0</v>
      </c>
      <c r="B1" s="2" t="s">
        <v>1</v>
      </c>
      <c r="C1" s="2" t="s">
        <v>2</v>
      </c>
      <c r="D1" s="2" t="s">
        <v>3</v>
      </c>
      <c r="E1" s="2" t="s">
        <v>4</v>
      </c>
      <c r="G1" s="3" t="s">
        <v>5</v>
      </c>
      <c r="H1" s="3" t="s">
        <v>6</v>
      </c>
      <c r="I1" s="3" t="s">
        <v>7</v>
      </c>
      <c r="J1" s="3" t="s">
        <v>8</v>
      </c>
      <c r="K1" s="3" t="s">
        <v>4</v>
      </c>
    </row>
    <row r="2" ht="22.5" customHeight="1">
      <c r="A2" s="4">
        <v>1.0</v>
      </c>
      <c r="B2" s="5" t="s">
        <v>512</v>
      </c>
      <c r="C2" s="5" t="s">
        <v>513</v>
      </c>
      <c r="D2" s="5" t="s">
        <v>514</v>
      </c>
      <c r="E2" s="5" t="s">
        <v>515</v>
      </c>
      <c r="G2" s="6" t="str">
        <f>IFERROR(__xludf.DUMMYFUNCTION("GOOGLETRANSLATE(A2, ""en"", ""fr"")"),"1")</f>
        <v>1</v>
      </c>
      <c r="H2" s="6" t="str">
        <f>IFERROR(__xludf.DUMMYFUNCTION("GOOGLETRANSLATE(B2, ""en"", ""fr"")"),"Quel est l'objectif principal d'une partie de Balle au Tambourin ?")</f>
        <v>Quel est l'objectif principal d'une partie de Balle au Tambourin ?</v>
      </c>
      <c r="I2" s="6" t="str">
        <f>IFERROR(__xludf.DUMMYFUNCTION("GOOGLETRANSLATE(C2, ""en"", ""fr"")"),"A) Toucher l'adversaire avec la balle, B) Marquer des points en envoyant la balle dans le camp adverse de manière à ce qu'il ne puisse pas la renvoyer, C) Garder la balle le plus longtemps possible, D) Réaliser les figures les plus habiles")</f>
        <v>A) Toucher l'adversaire avec la balle, B) Marquer des points en envoyant la balle dans le camp adverse de manière à ce qu'il ne puisse pas la renvoyer, C) Garder la balle le plus longtemps possible, D) Réaliser les figures les plus habiles</v>
      </c>
      <c r="J2" s="6" t="str">
        <f>IFERROR(__xludf.DUMMYFUNCTION("GOOGLETRANSLATE(D2, ""en"", ""fr"")"),"B) Marquer des points en envoyant la balle dans le camp adverse de manière à ce qu'elle ne puisse pas être renvoyée.")</f>
        <v>B) Marquer des points en envoyant la balle dans le camp adverse de manière à ce qu'elle ne puisse pas être renvoyée.</v>
      </c>
      <c r="K2" s="6" t="str">
        <f>IFERROR(__xludf.DUMMYFUNCTION("GOOGLETRANSLATE(E2, ""en"", ""fr"")"),"L'objectif est de marquer des points en faisant atterrir le ballon dans la moitié de terrain adverse ou en provoquant une erreur de l'adversaire.")</f>
        <v>L'objectif est de marquer des points en faisant atterrir le ballon dans la moitié de terrain adverse ou en provoquant une erreur de l'adversaire.</v>
      </c>
    </row>
    <row r="3" ht="22.5" customHeight="1">
      <c r="A3" s="4">
        <v>2.0</v>
      </c>
      <c r="B3" s="5" t="s">
        <v>516</v>
      </c>
      <c r="C3" s="5" t="s">
        <v>517</v>
      </c>
      <c r="D3" s="5" t="s">
        <v>518</v>
      </c>
      <c r="E3" s="5" t="s">
        <v>519</v>
      </c>
      <c r="G3" s="6" t="str">
        <f>IFERROR(__xludf.DUMMYFUNCTION("GOOGLETRANSLATE(A3, ""en"", ""fr"")"),"2")</f>
        <v>2</v>
      </c>
      <c r="H3" s="6" t="str">
        <f>IFERROR(__xludf.DUMMYFUNCTION("GOOGLETRANSLATE(B3, ""en"", ""fr"")"),"Quel est l'équipement essentiel utilisé par les joueurs pour frapper la balle ?")</f>
        <v>Quel est l'équipement essentiel utilisé par les joueurs pour frapper la balle ?</v>
      </c>
      <c r="I3" s="6" t="str">
        <f>IFERROR(__xludf.DUMMYFUNCTION("GOOGLETRANSLATE(C3, ""en"", ""fr"")"),"A) Une batte en bois, B) Une raquette à cordes, C) Un tambourin (une batte ressemblant à un tambour), D) Des gants rembourrés")</f>
        <v>A) Une batte en bois, B) Une raquette à cordes, C) Un tambourin (une batte ressemblant à un tambour), D) Des gants rembourrés</v>
      </c>
      <c r="J3" s="6" t="str">
        <f>IFERROR(__xludf.DUMMYFUNCTION("GOOGLETRANSLATE(D3, ""en"", ""fr"")"),"C) Un tambourin (une chauve-souris en forme de tambour)")</f>
        <v>C) Un tambourin (une chauve-souris en forme de tambour)</v>
      </c>
      <c r="K3" s="6" t="str">
        <f>IFERROR(__xludf.DUMMYFUNCTION("GOOGLETRANSLATE(E3, ""en"", ""fr"")"),"Ce sport tire son nom de son instrument unique, le tambourin, utilisé pour frapper la balle.")</f>
        <v>Ce sport tire son nom de son instrument unique, le tambourin, utilisé pour frapper la balle.</v>
      </c>
    </row>
    <row r="4" ht="22.5" customHeight="1">
      <c r="A4" s="4">
        <v>3.0</v>
      </c>
      <c r="B4" s="5" t="s">
        <v>520</v>
      </c>
      <c r="C4" s="5" t="s">
        <v>521</v>
      </c>
      <c r="D4" s="5" t="s">
        <v>522</v>
      </c>
      <c r="E4" s="5" t="s">
        <v>523</v>
      </c>
      <c r="G4" s="6" t="str">
        <f>IFERROR(__xludf.DUMMYFUNCTION("GOOGLETRANSLATE(A4, ""en"", ""fr"")"),"3")</f>
        <v>3</v>
      </c>
      <c r="H4" s="6" t="str">
        <f>IFERROR(__xludf.DUMMYFUNCTION("GOOGLETRANSLATE(B4, ""en"", ""fr"")"),"Combien de joueurs composent une équipe standard de tambourin en extérieur ?")</f>
        <v>Combien de joueurs composent une équipe standard de tambourin en extérieur ?</v>
      </c>
      <c r="I4" s="6" t="str">
        <f>IFERROR(__xludf.DUMMYFUNCTION("GOOGLETRANSLATE(C4, ""en"", ""fr"")"),"A) 3, B) 4, C) 5, D) 6")</f>
        <v>A) 3, B) 4, C) 5, D) 6</v>
      </c>
      <c r="J4" s="6" t="str">
        <f>IFERROR(__xludf.DUMMYFUNCTION("GOOGLETRANSLATE(D4, ""en"", ""fr"")"),"C) 5")</f>
        <v>C) 5</v>
      </c>
      <c r="K4" s="6" t="str">
        <f>IFERROR(__xludf.DUMMYFUNCTION("GOOGLETRANSLATE(E4, ""en"", ""fr"")"),"La version traditionnelle de ce sport, en extérieur, se joue avec cinq joueurs par équipe.")</f>
        <v>La version traditionnelle de ce sport, en extérieur, se joue avec cinq joueurs par équipe.</v>
      </c>
    </row>
    <row r="5" ht="22.5" customHeight="1">
      <c r="A5" s="4">
        <v>4.0</v>
      </c>
      <c r="B5" s="5" t="s">
        <v>524</v>
      </c>
      <c r="C5" s="5" t="s">
        <v>525</v>
      </c>
      <c r="D5" s="5" t="s">
        <v>526</v>
      </c>
      <c r="E5" s="5" t="s">
        <v>527</v>
      </c>
      <c r="G5" s="6" t="str">
        <f>IFERROR(__xludf.DUMMYFUNCTION("GOOGLETRANSLATE(A5, ""en"", ""fr"")"),"4")</f>
        <v>4</v>
      </c>
      <c r="H5" s="6" t="str">
        <f>IFERROR(__xludf.DUMMYFUNCTION("GOOGLETRANSLATE(B5, ""en"", ""fr"")"),"Combien de jeux une équipe doit-elle gagner pour remporter un set (manche) dans un match standard ?")</f>
        <v>Combien de jeux une équipe doit-elle gagner pour remporter un set (manche) dans un match standard ?</v>
      </c>
      <c r="I5" s="6" t="str">
        <f>IFERROR(__xludf.DUMMYFUNCTION("GOOGLETRANSLATE(C5, ""en"", ""fr"")"),"A) 4, B) 5, C) 6, D) 7")</f>
        <v>A) 4, B) 5, C) 6, D) 7</v>
      </c>
      <c r="J5" s="6" t="str">
        <f>IFERROR(__xludf.DUMMYFUNCTION("GOOGLETRANSLATE(D5, ""en"", ""fr"")"),"C) 6")</f>
        <v>C) 6</v>
      </c>
      <c r="K5" s="6" t="str">
        <f>IFERROR(__xludf.DUMMYFUNCTION("GOOGLETRANSLATE(E5, ""en"", ""fr"")"),"Comme au tennis, une équipe doit remporter six jeux pour gagner un set. Un tie-break est souvent joué à 5-5.")</f>
        <v>Comme au tennis, une équipe doit remporter six jeux pour gagner un set. Un tie-break est souvent joué à 5-5.</v>
      </c>
    </row>
    <row r="6" ht="22.5" customHeight="1">
      <c r="A6" s="4">
        <v>5.0</v>
      </c>
      <c r="B6" s="5" t="s">
        <v>528</v>
      </c>
      <c r="C6" s="5" t="s">
        <v>529</v>
      </c>
      <c r="D6" s="5" t="s">
        <v>530</v>
      </c>
      <c r="E6" s="5" t="s">
        <v>531</v>
      </c>
      <c r="G6" s="6" t="str">
        <f>IFERROR(__xludf.DUMMYFUNCTION("GOOGLETRANSLATE(A6, ""en"", ""fr"")"),"5")</f>
        <v>5</v>
      </c>
      <c r="H6" s="6" t="str">
        <f>IFERROR(__xludf.DUMMYFUNCTION("GOOGLETRANSLATE(B6, ""en"", ""fr"")"),"Quel est le système de notation utilisé au sein d'un seul jeu (jeu) ?")</f>
        <v>Quel est le système de notation utilisé au sein d'un seul jeu (jeu) ?</v>
      </c>
      <c r="I6" s="6" t="str">
        <f>IFERROR(__xludf.DUMMYFUNCTION("GOOGLETRANSLATE(C6, ""en"", ""fr"")"),"A) 1, 2, 3, 4 ; B) 10, 20, 30, 40 ; C) 15, 30, 40 ; D) 5, 10, 15, 20")</f>
        <v>A) 1, 2, 3, 4 ; B) 10, 20, 30, 40 ; C) 15, 30, 40 ; D) 5, 10, 15, 20</v>
      </c>
      <c r="J6" s="6" t="str">
        <f>IFERROR(__xludf.DUMMYFUNCTION("GOOGLETRANSLATE(D6, ""en"", ""fr"")"),"C) 15, 30, 40, jeu")</f>
        <v>C) 15, 30, 40, jeu</v>
      </c>
      <c r="K6" s="6" t="str">
        <f>IFERROR(__xludf.DUMMYFUNCTION("GOOGLETRANSLATE(E6, ""en"", ""fr"")"),"Ce sport utilise un système de points identique à celui du tennis, un héritage de leur ancêtre commun, le Jeu de Paume.")</f>
        <v>Ce sport utilise un système de points identique à celui du tennis, un héritage de leur ancêtre commun, le Jeu de Paume.</v>
      </c>
    </row>
    <row r="7" ht="22.5" customHeight="1">
      <c r="A7" s="4">
        <v>6.0</v>
      </c>
      <c r="B7" s="5" t="s">
        <v>532</v>
      </c>
      <c r="C7" s="5" t="s">
        <v>533</v>
      </c>
      <c r="D7" s="5" t="s">
        <v>534</v>
      </c>
      <c r="E7" s="5" t="s">
        <v>535</v>
      </c>
      <c r="G7" s="6" t="str">
        <f>IFERROR(__xludf.DUMMYFUNCTION("GOOGLETRANSLATE(A7, ""en"", ""fr"")"),"6")</f>
        <v>6</v>
      </c>
      <c r="H7" s="6" t="str">
        <f>IFERROR(__xludf.DUMMYFUNCTION("GOOGLETRANSLATE(B7, ""en"", ""fr"")"),"Quel est le poids officiel de la balle en caoutchouc rouge utilisée dans les compétitions seniors ?")</f>
        <v>Quel est le poids officiel de la balle en caoutchouc rouge utilisée dans les compétitions seniors ?</v>
      </c>
      <c r="I7" s="6" t="str">
        <f>IFERROR(__xludf.DUMMYFUNCTION("GOOGLETRANSLATE(C7, ""en"", ""fr"")"),"A) 38-40 g, B) 58-60 g, C) 78-80 g, D) 98-100 g")</f>
        <v>A) 38-40 g, B) 58-60 g, C) 78-80 g, D) 98-100 g</v>
      </c>
      <c r="J7" s="6" t="str">
        <f>IFERROR(__xludf.DUMMYFUNCTION("GOOGLETRANSLATE(D7, ""en"", ""fr"")"),"C) 78-80 g")</f>
        <v>C) 78-80 g</v>
      </c>
      <c r="K7" s="6" t="str">
        <f>IFERROR(__xludf.DUMMYFUNCTION("GOOGLETRANSLATE(E7, ""en"", ""fr"")"),"Le ballon officiel est fabriqué en caoutchouc pressurisé et doit respecter ce poids spécifique pour les matchs officiels.")</f>
        <v>Le ballon officiel est fabriqué en caoutchouc pressurisé et doit respecter ce poids spécifique pour les matchs officiels.</v>
      </c>
    </row>
    <row r="8" ht="22.5" customHeight="1">
      <c r="A8" s="4">
        <v>7.0</v>
      </c>
      <c r="B8" s="5" t="s">
        <v>536</v>
      </c>
      <c r="C8" s="5" t="s">
        <v>537</v>
      </c>
      <c r="D8" s="5" t="s">
        <v>538</v>
      </c>
      <c r="E8" s="5" t="s">
        <v>539</v>
      </c>
      <c r="G8" s="6" t="str">
        <f>IFERROR(__xludf.DUMMYFUNCTION("GOOGLETRANSLATE(A8, ""en"", ""fr"")"),"7")</f>
        <v>7</v>
      </c>
      <c r="H8" s="6" t="str">
        <f>IFERROR(__xludf.DUMMYFUNCTION("GOOGLETRANSLATE(B8, ""en"", ""fr"")"),"Quel est le diamètre standard d'un tambourin utilisé dans les compétitions seniors ?")</f>
        <v>Quel est le diamètre standard d'un tambourin utilisé dans les compétitions seniors ?</v>
      </c>
      <c r="I8" s="6" t="str">
        <f>IFERROR(__xludf.DUMMYFUNCTION("GOOGLETRANSLATE(C8, ""en"", ""fr"")"),"A) 20 cm, B) 24 cm, C) 28 cm, D) 32 cm")</f>
        <v>A) 20 cm, B) 24 cm, C) 28 cm, D) 32 cm</v>
      </c>
      <c r="J8" s="6" t="str">
        <f>IFERROR(__xludf.DUMMYFUNCTION("GOOGLETRANSLATE(D8, ""en"", ""fr"")"),"C) 28 cm")</f>
        <v>C) 28 cm</v>
      </c>
      <c r="K8" s="6" t="str">
        <f>IFERROR(__xludf.DUMMYFUNCTION("GOOGLETRANSLATE(E8, ""en"", ""fr"")"),"Les tambourins de niveau supérieur sont standardisés à 28 cm de diamètre pour garantir l'équité du jeu.")</f>
        <v>Les tambourins de niveau supérieur sont standardisés à 28 cm de diamètre pour garantir l'équité du jeu.</v>
      </c>
    </row>
    <row r="9" ht="22.5" customHeight="1">
      <c r="A9" s="4">
        <v>8.0</v>
      </c>
      <c r="B9" s="5" t="s">
        <v>540</v>
      </c>
      <c r="C9" s="5" t="s">
        <v>541</v>
      </c>
      <c r="D9" s="5" t="s">
        <v>542</v>
      </c>
      <c r="E9" s="5" t="s">
        <v>543</v>
      </c>
      <c r="G9" s="6" t="str">
        <f>IFERROR(__xludf.DUMMYFUNCTION("GOOGLETRANSLATE(A9, ""en"", ""fr"")"),"8")</f>
        <v>8</v>
      </c>
      <c r="H9" s="6" t="str">
        <f>IFERROR(__xludf.DUMMYFUNCTION("GOOGLETRANSLATE(B9, ""en"", ""fr"")"),"Quelle est la principale caractéristique qui distingue le tambourin en extérieur de sports comme le tennis ou le volley-ball ?")</f>
        <v>Quelle est la principale caractéristique qui distingue le tambourin en extérieur de sports comme le tennis ou le volley-ball ?</v>
      </c>
      <c r="I9" s="6" t="str">
        <f>IFERROR(__xludf.DUMMYFUNCTION("GOOGLETRANSLATE(C9, ""en"", ""fr"")"),"A) On y joue avec un ballon, B) C'est un sport d'équipe, C) Il n'y a pas de filet physique séparant les deux équipes, D) On y joue sur un terrain rectangulaire")</f>
        <v>A) On y joue avec un ballon, B) C'est un sport d'équipe, C) Il n'y a pas de filet physique séparant les deux équipes, D) On y joue sur un terrain rectangulaire</v>
      </c>
      <c r="J9" s="6" t="str">
        <f>IFERROR(__xludf.DUMMYFUNCTION("GOOGLETRANSLATE(D9, ""en"", ""fr"")"),"C) Il n'y a pas de filet physique séparant les deux équipes")</f>
        <v>C) Il n'y a pas de filet physique séparant les deux équipes</v>
      </c>
      <c r="K9" s="6" t="str">
        <f>IFERROR(__xludf.DUMMYFUNCTION("GOOGLETRANSLATE(E9, ""en"", ""fr"")"),"Le jeu en extérieur se joue sur une simple ligne au sol (la corde), et non sur un filet surélevé.")</f>
        <v>Le jeu en extérieur se joue sur une simple ligne au sol (la corde), et non sur un filet surélevé.</v>
      </c>
    </row>
    <row r="10" ht="22.5" customHeight="1">
      <c r="A10" s="4">
        <v>9.0</v>
      </c>
      <c r="B10" s="5" t="s">
        <v>544</v>
      </c>
      <c r="C10" s="5" t="s">
        <v>545</v>
      </c>
      <c r="D10" s="5" t="s">
        <v>546</v>
      </c>
      <c r="E10" s="5" t="s">
        <v>547</v>
      </c>
      <c r="G10" s="6" t="str">
        <f>IFERROR(__xludf.DUMMYFUNCTION("GOOGLETRANSLATE(A10, ""en"", ""fr"")"),"9")</f>
        <v>9</v>
      </c>
      <c r="H10" s="6" t="str">
        <f>IFERROR(__xludf.DUMMYFUNCTION("GOOGLETRANSLATE(B10, ""en"", ""fr"")"),"Quelles sont les dimensions officielles d'un terrain de tambourin extérieur ?")</f>
        <v>Quelles sont les dimensions officielles d'un terrain de tambourin extérieur ?</v>
      </c>
      <c r="I10" s="6" t="str">
        <f>IFERROR(__xludf.DUMMYFUNCTION("GOOGLETRANSLATE(C10, ""en"", ""fr"")"),"A) 60 m x 20 m, B) 70 m x 20 m, C) 80 m x 20 m, D) 90 m x 30 m")</f>
        <v>A) 60 m x 20 m, B) 70 m x 20 m, C) 80 m x 20 m, D) 90 m x 30 m</v>
      </c>
      <c r="J10" s="6" t="str">
        <f>IFERROR(__xludf.DUMMYFUNCTION("GOOGLETRANSLATE(D10, ""en"", ""fr"")"),"C) 80 m x 20 m")</f>
        <v>C) 80 m x 20 m</v>
      </c>
      <c r="K10" s="6" t="str">
        <f>IFERROR(__xludf.DUMMYFUNCTION("GOOGLETRANSLATE(E10, ""en"", ""fr"")"),"La grande taille du terrain extérieur exige des joueurs dotés d'une grande puissance et d'une grande endurance.")</f>
        <v>La grande taille du terrain extérieur exige des joueurs dotés d'une grande puissance et d'une grande endurance.</v>
      </c>
    </row>
    <row r="11" ht="22.5" customHeight="1">
      <c r="A11" s="4">
        <v>10.0</v>
      </c>
      <c r="B11" s="5" t="s">
        <v>548</v>
      </c>
      <c r="C11" s="5" t="s">
        <v>549</v>
      </c>
      <c r="D11" s="5" t="s">
        <v>550</v>
      </c>
      <c r="E11" s="5" t="s">
        <v>551</v>
      </c>
      <c r="G11" s="6" t="str">
        <f>IFERROR(__xludf.DUMMYFUNCTION("GOOGLETRANSLATE(A11, ""en"", ""fr"")"),"10")</f>
        <v>10</v>
      </c>
      <c r="H11" s="6" t="str">
        <f>IFERROR(__xludf.DUMMYFUNCTION("GOOGLETRANSLATE(B11, ""en"", ""fr"")"),"Quel est le rôle de l'arbitre dans un match ?")</f>
        <v>Quel est le rôle de l'arbitre dans un match ?</v>
      </c>
      <c r="I11" s="6" t="str">
        <f>IFERROR(__xludf.DUMMYFUNCTION("GOOGLETRANSLATE(C11, ""en"", ""fr"")"),"A) Entraîner les joueurs, B) Annoncer le score et signaler les fautes, C) Commenter les matchs, D) Entretenir le matériel")</f>
        <v>A) Entraîner les joueurs, B) Annoncer le score et signaler les fautes, C) Commenter les matchs, D) Entretenir le matériel</v>
      </c>
      <c r="J11" s="6" t="str">
        <f>IFERROR(__xludf.DUMMYFUNCTION("GOOGLETRANSLATE(D11, ""en"", ""fr"")"),"B) Annoncer le score et signaler les fautes")</f>
        <v>B) Annoncer le score et signaler les fautes</v>
      </c>
      <c r="K11" s="6" t="str">
        <f>IFERROR(__xludf.DUMMYFUNCTION("GOOGLETRANSLATE(E11, ""en"", ""fr"")"),"L'arbitre est la seule autorité sur le court, responsable de l'application des règles et de toutes les décisions officielles.")</f>
        <v>L'arbitre est la seule autorité sur le court, responsable de l'application des règles et de toutes les décisions officielles.</v>
      </c>
    </row>
    <row r="12" ht="22.5" customHeight="1">
      <c r="A12" s="4">
        <v>11.0</v>
      </c>
      <c r="B12" s="5" t="s">
        <v>552</v>
      </c>
      <c r="C12" s="5" t="s">
        <v>553</v>
      </c>
      <c r="D12" s="5" t="s">
        <v>554</v>
      </c>
      <c r="E12" s="5" t="s">
        <v>555</v>
      </c>
      <c r="G12" s="6" t="str">
        <f>IFERROR(__xludf.DUMMYFUNCTION("GOOGLETRANSLATE(A12, ""en"", ""fr"")"),"11")</f>
        <v>11</v>
      </c>
      <c r="H12" s="6" t="str">
        <f>IFERROR(__xludf.DUMMYFUNCTION("GOOGLETRANSLATE(B12, ""en"", ""fr"")"),"Que se passe-t-il si la balle touche l'une des lignes de délimitation du court pendant un échange ?")</f>
        <v>Que se passe-t-il si la balle touche l'une des lignes de délimitation du court pendant un échange ?</v>
      </c>
      <c r="I12" s="6" t="str">
        <f>IFERROR(__xludf.DUMMYFUNCTION("GOOGLETRANSLATE(C12, ""en"", ""fr"")"),"A) Le point est perdu, B) Le point est gagné (la balle est « dedans »), C) Le point est rejoué, D) La ligne ne fait pas partie du terrain")</f>
        <v>A) Le point est perdu, B) Le point est gagné (la balle est « dedans »), C) Le point est rejoué, D) La ligne ne fait pas partie du terrain</v>
      </c>
      <c r="J12" s="6" t="str">
        <f>IFERROR(__xludf.DUMMYFUNCTION("GOOGLETRANSLATE(D12, ""en"", ""fr"")"),"B) Le point est gagné (la balle est « dedans »)")</f>
        <v>B) Le point est gagné (la balle est « dedans »)</v>
      </c>
      <c r="K12" s="6" t="str">
        <f>IFERROR(__xludf.DUMMYFUNCTION("GOOGLETRANSLATE(E12, ""en"", ""fr"")"),"Les lignes sont considérées comme faisant partie de l'aire de jeu valide. Une balle qui atterrit sur une ligne est bonne.")</f>
        <v>Les lignes sont considérées comme faisant partie de l'aire de jeu valide. Une balle qui atterrit sur une ligne est bonne.</v>
      </c>
    </row>
    <row r="13" ht="22.5" customHeight="1">
      <c r="A13" s="4">
        <v>12.0</v>
      </c>
      <c r="B13" s="5" t="s">
        <v>556</v>
      </c>
      <c r="C13" s="5" t="s">
        <v>557</v>
      </c>
      <c r="D13" s="5" t="s">
        <v>558</v>
      </c>
      <c r="E13" s="5" t="s">
        <v>559</v>
      </c>
      <c r="G13" s="6" t="str">
        <f>IFERROR(__xludf.DUMMYFUNCTION("GOOGLETRANSLATE(A13, ""en"", ""fr"")"),"12")</f>
        <v>12</v>
      </c>
      <c r="H13" s="6" t="str">
        <f>IFERROR(__xludf.DUMMYFUNCTION("GOOGLETRANSLATE(B13, ""en"", ""fr"")"),"Qu'est-ce qu'une ""faute"" au service (mise en jeu) ?")</f>
        <v>Qu'est-ce qu'une "faute" au service (mise en jeu) ?</v>
      </c>
      <c r="I13" s="6" t="str">
        <f>IFERROR(__xludf.DUMMYFUNCTION("GOOGLETRANSLATE(C13, ""en"", ""fr"")"),"A) La balle touche la ligne médiane, B) Le serveur marche sur la ligne de fond en servant, C) Le service est trop haut, D) Le service est trop rapide")</f>
        <v>A) La balle touche la ligne médiane, B) Le serveur marche sur la ligne de fond en servant, C) Le service est trop haut, D) Le service est trop rapide</v>
      </c>
      <c r="J13" s="6" t="str">
        <f>IFERROR(__xludf.DUMMYFUNCTION("GOOGLETRANSLATE(D13, ""en"", ""fr"")"),"B) Le serveur se place sur la ligne de base pendant le service.")</f>
        <v>B) Le serveur se place sur la ligne de base pendant le service.</v>
      </c>
      <c r="K13" s="6" t="str">
        <f>IFERROR(__xludf.DUMMYFUNCTION("GOOGLETRANSLATE(E13, ""en"", ""fr"")"),"Il s'agit d'une « faute de pied ». Les pieds du serveur ne peuvent toucher la ligne de fond ni le court à l'intérieur de celle-ci tant que la balle n'a pas été frappée.")</f>
        <v>Il s'agit d'une « faute de pied ». Les pieds du serveur ne peuvent toucher la ligne de fond ni le court à l'intérieur de celle-ci tant que la balle n'a pas été frappée.</v>
      </c>
    </row>
    <row r="14" ht="22.5" customHeight="1">
      <c r="A14" s="4">
        <v>13.0</v>
      </c>
      <c r="B14" s="5" t="s">
        <v>560</v>
      </c>
      <c r="C14" s="5" t="s">
        <v>561</v>
      </c>
      <c r="D14" s="5" t="s">
        <v>562</v>
      </c>
      <c r="E14" s="5" t="s">
        <v>563</v>
      </c>
      <c r="G14" s="6" t="str">
        <f>IFERROR(__xludf.DUMMYFUNCTION("GOOGLETRANSLATE(A14, ""en"", ""fr"")"),"13")</f>
        <v>13</v>
      </c>
      <c r="H14" s="6" t="str">
        <f>IFERROR(__xludf.DUMMYFUNCTION("GOOGLETRANSLATE(B14, ""en"", ""fr"")"),"Combien de temps une équipe a-t-elle pour effectuer un service après que l'arbitre a annoncé le score ?")</f>
        <v>Combien de temps une équipe a-t-elle pour effectuer un service après que l'arbitre a annoncé le score ?</v>
      </c>
      <c r="I14" s="6" t="str">
        <f>IFERROR(__xludf.DUMMYFUNCTION("GOOGLETRANSLATE(C14, ""en"", ""fr"")"),"A) 5 secondes, B) 10 secondes, C) 15 secondes, D) 20 secondes")</f>
        <v>A) 5 secondes, B) 10 secondes, C) 15 secondes, D) 20 secondes</v>
      </c>
      <c r="J14" s="6" t="str">
        <f>IFERROR(__xludf.DUMMYFUNCTION("GOOGLETRANSLATE(D14, ""en"", ""fr"")"),"B) 10 secondes")</f>
        <v>B) 10 secondes</v>
      </c>
      <c r="K14" s="6" t="str">
        <f>IFERROR(__xludf.DUMMYFUNCTION("GOOGLETRANSLATE(E14, ""en"", ""fr"")"),"Le serveur doit frapper la balle dans les dix secondes suivant l'annonce du score afin de ne pas retarder le jeu.")</f>
        <v>Le serveur doit frapper la balle dans les dix secondes suivant l'annonce du score afin de ne pas retarder le jeu.</v>
      </c>
    </row>
    <row r="15" ht="22.5" customHeight="1">
      <c r="A15" s="4">
        <v>14.0</v>
      </c>
      <c r="B15" s="5" t="s">
        <v>564</v>
      </c>
      <c r="C15" s="5" t="s">
        <v>565</v>
      </c>
      <c r="D15" s="5" t="s">
        <v>566</v>
      </c>
      <c r="E15" s="5" t="s">
        <v>567</v>
      </c>
      <c r="G15" s="6" t="str">
        <f>IFERROR(__xludf.DUMMYFUNCTION("GOOGLETRANSLATE(A15, ""en"", ""fr"")"),"14")</f>
        <v>14</v>
      </c>
      <c r="H15" s="6" t="str">
        <f>IFERROR(__xludf.DUMMYFUNCTION("GOOGLETRANSLATE(B15, ""en"", ""fr"")"),"Quel est l'âge minimum pour jouer dans la catégorie « Cadets » ?")</f>
        <v>Quel est l'âge minimum pour jouer dans la catégorie « Cadets » ?</v>
      </c>
      <c r="I15" s="6" t="str">
        <f>IFERROR(__xludf.DUMMYFUNCTION("GOOGLETRANSLATE(C15, ""en"", ""fr"")"),"A) 10 ans, B) 12 ans, C) 14 ans, D) 16 ans")</f>
        <v>A) 10 ans, B) 12 ans, C) 14 ans, D) 16 ans</v>
      </c>
      <c r="J15" s="6" t="str">
        <f>IFERROR(__xludf.DUMMYFUNCTION("GOOGLETRANSLATE(D15, ""en"", ""fr"")"),"C) 14 ans")</f>
        <v>C) 14 ans</v>
      </c>
      <c r="K15" s="6" t="str">
        <f>IFERROR(__xludf.DUMMYFUNCTION("GOOGLETRANSLATE(E15, ""en"", ""fr"")"),"La catégorie « Cadets » est généralement destinée aux joueurs âgés de 14 à 16 ans.")</f>
        <v>La catégorie « Cadets » est généralement destinée aux joueurs âgés de 14 à 16 ans.</v>
      </c>
    </row>
    <row r="16" ht="22.5" customHeight="1">
      <c r="A16" s="4">
        <v>15.0</v>
      </c>
      <c r="B16" s="5" t="s">
        <v>568</v>
      </c>
      <c r="C16" s="5" t="s">
        <v>569</v>
      </c>
      <c r="D16" s="5" t="s">
        <v>570</v>
      </c>
      <c r="E16" s="5" t="s">
        <v>571</v>
      </c>
      <c r="G16" s="6" t="str">
        <f>IFERROR(__xludf.DUMMYFUNCTION("GOOGLETRANSLATE(A16, ""en"", ""fr"")"),"15")</f>
        <v>15</v>
      </c>
      <c r="H16" s="6" t="str">
        <f>IFERROR(__xludf.DUMMYFUNCTION("GOOGLETRANSLATE(B16, ""en"", ""fr"")"),"Quel est le but principal de la « zone de sécurité » (zone de dégagement) autour du court ?")</f>
        <v>Quel est le but principal de la « zone de sécurité » (zone de dégagement) autour du court ?</v>
      </c>
      <c r="I16" s="6" t="str">
        <f>IFERROR(__xludf.DUMMYFUNCTION("GOOGLETRANSLATE(C16, ""en"", ""fr"")"),"A) Pour que les spectateurs puissent se tenir debout, B) Pour permettre aux joueurs de jouer en toute sécurité les balles frappées près des limites du terrain, C) Pour les bancs des équipes, D) À des fins publicitaires")</f>
        <v>A) Pour que les spectateurs puissent se tenir debout, B) Pour permettre aux joueurs de jouer en toute sécurité les balles frappées près des limites du terrain, C) Pour les bancs des équipes, D) À des fins publicitaires</v>
      </c>
      <c r="J16" s="6" t="str">
        <f>IFERROR(__xludf.DUMMYFUNCTION("GOOGLETRANSLATE(D16, ""en"", ""fr"")"),"B) Pour permettre aux joueurs de jouer en toute sécurité les balles frappées près des limites du terrain.")</f>
        <v>B) Pour permettre aux joueurs de jouer en toute sécurité les balles frappées près des limites du terrain.</v>
      </c>
      <c r="K16" s="6" t="str">
        <f>IFERROR(__xludf.DUMMYFUNCTION("GOOGLETRANSLATE(E16, ""en"", ""fr"")"),"Cette zone de dégagement est essentielle pour la sécurité des joueurs, leur offrant l'espace nécessaire pour ralentir après avoir tenté un tir large.")</f>
        <v>Cette zone de dégagement est essentielle pour la sécurité des joueurs, leur offrant l'espace nécessaire pour ralentir après avoir tenté un tir large.</v>
      </c>
    </row>
    <row r="17" ht="22.5" customHeight="1">
      <c r="A17" s="4">
        <v>16.0</v>
      </c>
      <c r="B17" s="5" t="s">
        <v>572</v>
      </c>
      <c r="C17" s="5" t="s">
        <v>573</v>
      </c>
      <c r="D17" s="5" t="s">
        <v>574</v>
      </c>
      <c r="E17" s="5" t="s">
        <v>575</v>
      </c>
      <c r="G17" s="6" t="str">
        <f>IFERROR(__xludf.DUMMYFUNCTION("GOOGLETRANSLATE(A17, ""en"", ""fr"")"),"16")</f>
        <v>16</v>
      </c>
      <c r="H17" s="6" t="str">
        <f>IFERROR(__xludf.DUMMYFUNCTION("GOOGLETRANSLATE(B17, ""en"", ""fr"")"),"Quelle est la règle si la balle touche le corps ou les vêtements d'un joueur pendant un échange ?")</f>
        <v>Quelle est la règle si la balle touche le corps ou les vêtements d'un joueur pendant un échange ?</v>
      </c>
      <c r="I17" s="6" t="str">
        <f>IFERROR(__xludf.DUMMYFUNCTION("GOOGLETRANSLATE(C17, ""en"", ""fr"")"),"A) Le jeu continue, B) C'est une faute et l'équipe du joueur perd le point, C) Le point est rejoué, D) Uniquement si c'était intentionnel")</f>
        <v>A) Le jeu continue, B) C'est une faute et l'équipe du joueur perd le point, C) Le point est rejoué, D) Uniquement si c'était intentionnel</v>
      </c>
      <c r="J17" s="6" t="str">
        <f>IFERROR(__xludf.DUMMYFUNCTION("GOOGLETRANSLATE(D17, ""en"", ""fr"")"),"B) C'est une faute, et l'équipe du joueur perd le point.")</f>
        <v>B) C'est une faute, et l'équipe du joueur perd le point.</v>
      </c>
      <c r="K17" s="6" t="str">
        <f>IFERROR(__xludf.DUMMYFUNCTION("GOOGLETRANSLATE(E17, ""en"", ""fr"")"),"La balle ne peut être frappée qu'avec le tambourin. Tout contact avec le corps d'un joueur entraîne la perte du point.")</f>
        <v>La balle ne peut être frappée qu'avec le tambourin. Tout contact avec le corps d'un joueur entraîne la perte du point.</v>
      </c>
    </row>
    <row r="18" ht="22.5" customHeight="1">
      <c r="A18" s="4">
        <v>17.0</v>
      </c>
      <c r="B18" s="5" t="s">
        <v>576</v>
      </c>
      <c r="C18" s="5" t="s">
        <v>577</v>
      </c>
      <c r="D18" s="5" t="s">
        <v>578</v>
      </c>
      <c r="E18" s="5" t="s">
        <v>579</v>
      </c>
      <c r="G18" s="6" t="str">
        <f>IFERROR(__xludf.DUMMYFUNCTION("GOOGLETRANSLATE(A18, ""en"", ""fr"")"),"17")</f>
        <v>17</v>
      </c>
      <c r="H18" s="6" t="str">
        <f>IFERROR(__xludf.DUMMYFUNCTION("GOOGLETRANSLATE(B18, ""en"", ""fr"")"),"Quelle est la principale différence entre les tambourins utilisés par les jeunes joueurs et ceux utilisés par les joueurs seniors ?")</f>
        <v>Quelle est la principale différence entre les tambourins utilisés par les jeunes joueurs et ceux utilisés par les joueurs seniors ?</v>
      </c>
      <c r="I18" s="6" t="str">
        <f>IFERROR(__xludf.DUMMYFUNCTION("GOOGLETRANSLATE(C18, ""en"", ""fr"")"),"A) Elles sont d'une couleur différente, B) Elles sont plus légères et souvent de plus petit diamètre, C) Elles sont faites d'un matériau différent, D) Il n'y a aucune différence")</f>
        <v>A) Elles sont d'une couleur différente, B) Elles sont plus légères et souvent de plus petit diamètre, C) Elles sont faites d'un matériau différent, D) Il n'y a aucune différence</v>
      </c>
      <c r="J18" s="6" t="str">
        <f>IFERROR(__xludf.DUMMYFUNCTION("GOOGLETRANSLATE(D18, ""en"", ""fr"")"),"B) Ils sont plus légers et souvent de diamètre plus petit.")</f>
        <v>B) Ils sont plus légers et souvent de diamètre plus petit.</v>
      </c>
      <c r="K18" s="6" t="str">
        <f>IFERROR(__xludf.DUMMYFUNCTION("GOOGLETRANSLATE(E18, ""en"", ""fr"")"),"Les jeunes joueurs utilisent un équipement adapté à leur taille et à leur force, pour des raisons de sécurité et de développement technique approprié.")</f>
        <v>Les jeunes joueurs utilisent un équipement adapté à leur taille et à leur force, pour des raisons de sécurité et de développement technique approprié.</v>
      </c>
    </row>
    <row r="19" ht="22.5" customHeight="1">
      <c r="A19" s="4">
        <v>18.0</v>
      </c>
      <c r="B19" s="5" t="s">
        <v>580</v>
      </c>
      <c r="C19" s="5" t="s">
        <v>581</v>
      </c>
      <c r="D19" s="5" t="s">
        <v>582</v>
      </c>
      <c r="E19" s="5" t="s">
        <v>583</v>
      </c>
      <c r="G19" s="6" t="str">
        <f>IFERROR(__xludf.DUMMYFUNCTION("GOOGLETRANSLATE(A19, ""en"", ""fr"")"),"18")</f>
        <v>18</v>
      </c>
      <c r="H19" s="6" t="str">
        <f>IFERROR(__xludf.DUMMYFUNCTION("GOOGLETRANSLATE(B19, ""en"", ""fr"")"),"Combien de fois une équipe est-elle autorisée à changer de joueur (effectuer un remplacement) au cours d'un match ?")</f>
        <v>Combien de fois une équipe est-elle autorisée à changer de joueur (effectuer un remplacement) au cours d'un match ?</v>
      </c>
      <c r="I19" s="6" t="str">
        <f>IFERROR(__xludf.DUMMYFUNCTION("GOOGLETRANSLATE(C19, ""en"", ""fr"")"),"A) Une fois par set, B) Deux fois par match, C) Trois fois par match, D) Illimité")</f>
        <v>A) Une fois par set, B) Deux fois par match, C) Trois fois par match, D) Illimité</v>
      </c>
      <c r="J19" s="6" t="str">
        <f>IFERROR(__xludf.DUMMYFUNCTION("GOOGLETRANSLATE(D19, ""en"", ""fr"")"),"C) Trois fois par match")</f>
        <v>C) Trois fois par match</v>
      </c>
      <c r="K19" s="6" t="str">
        <f>IFERROR(__xludf.DUMMYFUNCTION("GOOGLETRANSLATE(E19, ""en"", ""fr"")"),"Une équipe est autorisée à effectuer un maximum de trois remplacements au cours d'un match.")</f>
        <v>Une équipe est autorisée à effectuer un maximum de trois remplacements au cours d'un match.</v>
      </c>
    </row>
    <row r="20" ht="22.5" customHeight="1">
      <c r="A20" s="4">
        <v>19.0</v>
      </c>
      <c r="B20" s="5" t="s">
        <v>584</v>
      </c>
      <c r="C20" s="5" t="s">
        <v>585</v>
      </c>
      <c r="D20" s="5" t="s">
        <v>586</v>
      </c>
      <c r="E20" s="5" t="s">
        <v>587</v>
      </c>
      <c r="G20" s="6" t="str">
        <f>IFERROR(__xludf.DUMMYFUNCTION("GOOGLETRANSLATE(A20, ""en"", ""fr"")"),"19")</f>
        <v>19</v>
      </c>
      <c r="H20" s="6" t="str">
        <f>IFERROR(__xludf.DUMMYFUNCTION("GOOGLETRANSLATE(B20, ""en"", ""fr"")"),"Quel est le nom officiel du joueur qui évolue tout au fond du terrain ?")</f>
        <v>Quel est le nom officiel du joueur qui évolue tout au fond du terrain ?</v>
      </c>
      <c r="I20" s="6" t="str">
        <f>IFERROR(__xludf.DUMMYFUNCTION("GOOGLETRANSLATE(C20, ""en"", ""fr"")"),"A) Le capitaine, B) Le fond, C) Le serveur, D) Le cordonnier")</f>
        <v>A) Le capitaine, B) Le fond, C) Le serveur, D) Le cordonnier</v>
      </c>
      <c r="J20" s="6" t="str">
        <f>IFERROR(__xludf.DUMMYFUNCTION("GOOGLETRANSLATE(D20, ""en"", ""fr"")"),"B) Le Fond")</f>
        <v>B) Le Fond</v>
      </c>
      <c r="K20" s="6" t="str">
        <f>IFERROR(__xludf.DUMMYFUNCTION("GOOGLETRANSLATE(E20, ""en"", ""fr"")"),"Le fond (littéralement « arrière » ou « profond ») est le joueur positionné le plus en arrière, généralement le frappeur le plus puissant de l'équipe.")</f>
        <v>Le fond (littéralement « arrière » ou « profond ») est le joueur positionné le plus en arrière, généralement le frappeur le plus puissant de l'équipe.</v>
      </c>
    </row>
    <row r="21" ht="22.5" customHeight="1">
      <c r="A21" s="4">
        <v>20.0</v>
      </c>
      <c r="B21" s="5" t="s">
        <v>588</v>
      </c>
      <c r="C21" s="5" t="s">
        <v>589</v>
      </c>
      <c r="D21" s="5" t="s">
        <v>590</v>
      </c>
      <c r="E21" s="5" t="s">
        <v>591</v>
      </c>
      <c r="G21" s="6" t="str">
        <f>IFERROR(__xludf.DUMMYFUNCTION("GOOGLETRANSLATE(A21, ""en"", ""fr"")"),"20")</f>
        <v>20</v>
      </c>
      <c r="H21" s="6" t="str">
        <f>IFERROR(__xludf.DUMMYFUNCTION("GOOGLETRANSLATE(B21, ""en"", ""fr"")"),"Quel est le rôle principal des deux joueurs situés à l'avant du terrain, les cordonniers ?")</f>
        <v>Quel est le rôle principal des deux joueurs situés à l'avant du terrain, les cordonniers ?</v>
      </c>
      <c r="I21" s="6" t="str">
        <f>IFERROR(__xludf.DUMMYFUNCTION("GOOGLETRANSLATE(C21, ""en"", ""fr"")"),"A) Servir, B) Jouer des balles courtes et des volées, C) Être des spécialistes de la défense, D) Être les capitaines de l'équipe")</f>
        <v>A) Servir, B) Jouer des balles courtes et des volées, C) Être des spécialistes de la défense, D) Être les capitaines de l'équipe</v>
      </c>
      <c r="J21" s="6" t="str">
        <f>IFERROR(__xludf.DUMMYFUNCTION("GOOGLETRANSLATE(D21, ""en"", ""fr"")"),"B) Jouer des balles courtes et des volées")</f>
        <v>B) Jouer des balles courtes et des volées</v>
      </c>
      <c r="K21" s="6" t="str">
        <f>IFERROR(__xludf.DUMMYFUNCTION("GOOGLETRANSLATE(E21, ""en"", ""fr"")"),"Les cordiers jouent plus près de la ligne médiane (« la corde ») et sont responsables des tirs en angle et des volées rapides.")</f>
        <v>Les cordiers jouent plus près de la ligne médiane (« la corde ») et sont responsables des tirs en angle et des volées rapides.</v>
      </c>
    </row>
    <row r="22" ht="22.5" customHeight="1">
      <c r="A22" s="4">
        <v>21.0</v>
      </c>
      <c r="B22" s="5" t="s">
        <v>592</v>
      </c>
      <c r="C22" s="5" t="s">
        <v>593</v>
      </c>
      <c r="D22" s="5" t="s">
        <v>594</v>
      </c>
      <c r="E22" s="5" t="s">
        <v>595</v>
      </c>
      <c r="G22" s="6" t="str">
        <f>IFERROR(__xludf.DUMMYFUNCTION("GOOGLETRANSLATE(A22, ""en"", ""fr"")"),"21")</f>
        <v>21</v>
      </c>
      <c r="H22" s="6" t="str">
        <f>IFERROR(__xludf.DUMMYFUNCTION("GOOGLETRANSLATE(B22, ""en"", ""fr"")"),"Quelle est la règle si un tambourin se casse pendant un rassemblement ?")</f>
        <v>Quelle est la règle si un tambourin se casse pendant un rassemblement ?</v>
      </c>
      <c r="I22" s="6" t="str">
        <f>IFERROR(__xludf.DUMMYFUNCTION("GOOGLETRANSLATE(C22, ""en"", ""fr"")"),"A) Le joueur est disqualifié, B) Le point est immédiatement arrêté et rejoué, C) Le joueur doit continuer avec le tambourin cassé, D) L'équipe perd le point")</f>
        <v>A) Le joueur est disqualifié, B) Le point est immédiatement arrêté et rejoué, C) Le joueur doit continuer avec le tambourin cassé, D) L'équipe perd le point</v>
      </c>
      <c r="J22" s="6" t="str">
        <f>IFERROR(__xludf.DUMMYFUNCTION("GOOGLETRANSLATE(D22, ""en"", ""fr"")"),"B) Le point est immédiatement interrompu et rejoué.")</f>
        <v>B) Le point est immédiatement interrompu et rejoué.</v>
      </c>
      <c r="K22" s="6" t="str">
        <f>IFERROR(__xludf.DUMMYFUNCTION("GOOGLETRANSLATE(E22, ""en"", ""fr"")"),"Si le matériel d'un joueur tombe en panne pendant un point en direct sans que ce soit de sa faute, le point est rejoué pour garantir l'équité.")</f>
        <v>Si le matériel d'un joueur tombe en panne pendant un point en direct sans que ce soit de sa faute, le point est rejoué pour garantir l'équité.</v>
      </c>
    </row>
    <row r="23" ht="22.5" customHeight="1">
      <c r="A23" s="4">
        <v>22.0</v>
      </c>
      <c r="B23" s="5" t="s">
        <v>596</v>
      </c>
      <c r="C23" s="5" t="s">
        <v>597</v>
      </c>
      <c r="D23" s="5" t="s">
        <v>598</v>
      </c>
      <c r="E23" s="5" t="s">
        <v>599</v>
      </c>
      <c r="G23" s="6" t="str">
        <f>IFERROR(__xludf.DUMMYFUNCTION("GOOGLETRANSLATE(A23, ""en"", ""fr"")"),"22")</f>
        <v>22</v>
      </c>
      <c r="H23" s="6" t="str">
        <f>IFERROR(__xludf.DUMMYFUNCTION("GOOGLETRANSLATE(B23, ""en"", ""fr"")"),"Comment une équipe peut-elle gagner un « match » lorsque le score est de 40-40 (ce qu'on appelle « l'égalité ») ?")</f>
        <v>Comment une équipe peut-elle gagner un « match » lorsque le score est de 40-40 (ce qu'on appelle « l'égalité ») ?</v>
      </c>
      <c r="I23" s="6" t="str">
        <f>IFERROR(__xludf.DUMMYFUNCTION("GOOGLETRANSLATE(C23, ""en"", ""fr"")"),"A) Le prochain point l'emporte, B) Ils doivent marquer deux points consécutifs, C) Un match de départage est joué, D) Le match est nul")</f>
        <v>A) Le prochain point l'emporte, B) Ils doivent marquer deux points consécutifs, C) Un match de départage est joué, D) Le match est nul</v>
      </c>
      <c r="J23" s="6" t="str">
        <f>IFERROR(__xludf.DUMMYFUNCTION("GOOGLETRANSLATE(D23, ""en"", ""fr"")"),"B) Ils doivent gagner deux points consécutifs")</f>
        <v>B) Ils doivent gagner deux points consécutifs</v>
      </c>
      <c r="K23" s="6" t="str">
        <f>IFERROR(__xludf.DUMMYFUNCTION("GOOGLETRANSLATE(E23, ""en"", ""fr"")"),"Tout comme au tennis, à partir de « égalité », une équipe doit marquer deux points consécutifs : le premier pour obtenir un « avantage », et le second pour gagner le jeu.")</f>
        <v>Tout comme au tennis, à partir de « égalité », une équipe doit marquer deux points consécutifs : le premier pour obtenir un « avantage », et le second pour gagner le jeu.</v>
      </c>
    </row>
    <row r="24" ht="22.5" customHeight="1">
      <c r="A24" s="4">
        <v>23.0</v>
      </c>
      <c r="B24" s="5" t="s">
        <v>600</v>
      </c>
      <c r="C24" s="5" t="s">
        <v>601</v>
      </c>
      <c r="D24" s="5" t="s">
        <v>602</v>
      </c>
      <c r="E24" s="5" t="s">
        <v>603</v>
      </c>
      <c r="G24" s="6" t="str">
        <f>IFERROR(__xludf.DUMMYFUNCTION("GOOGLETRANSLATE(A24, ""en"", ""fr"")"),"23")</f>
        <v>23</v>
      </c>
      <c r="H24" s="6" t="str">
        <f>IFERROR(__xludf.DUMMYFUNCTION("GOOGLETRANSLATE(B24, ""en"", ""fr"")"),"Quel type de revêtement est recommandé pour un terrain de tambourin extérieur de haute qualité ?")</f>
        <v>Quel type de revêtement est recommandé pour un terrain de tambourin extérieur de haute qualité ?</v>
      </c>
      <c r="I24" s="6" t="str">
        <f>IFERROR(__xludf.DUMMYFUNCTION("GOOGLETRANSLATE(C24, ""en"", ""fr"")"),"A) Gazon naturel, B) Sable, C) Asphalte ou tarmac, D) Bois")</f>
        <v>A) Gazon naturel, B) Sable, C) Asphalte ou tarmac, D) Bois</v>
      </c>
      <c r="J24" s="6" t="str">
        <f>IFERROR(__xludf.DUMMYFUNCTION("GOOGLETRANSLATE(D24, ""en"", ""fr"")"),"C) Asphalte ou tarmac pavé")</f>
        <v>C) Asphalte ou tarmac pavé</v>
      </c>
      <c r="K24" s="6" t="str">
        <f>IFERROR(__xludf.DUMMYFUNCTION("GOOGLETRANSLATE(E24, ""en"", ""fr"")"),"Une surface dure et uniforme comme l'asphalte offre un rebond régulier et élevé à la balle, ce qui est essentiel pour le jeu en extérieur.")</f>
        <v>Une surface dure et uniforme comme l'asphalte offre un rebond régulier et élevé à la balle, ce qui est essentiel pour le jeu en extérieur.</v>
      </c>
    </row>
    <row r="25" ht="22.5" customHeight="1">
      <c r="A25" s="4">
        <v>24.0</v>
      </c>
      <c r="B25" s="5" t="s">
        <v>604</v>
      </c>
      <c r="C25" s="5" t="s">
        <v>605</v>
      </c>
      <c r="D25" s="5" t="s">
        <v>606</v>
      </c>
      <c r="E25" s="5" t="s">
        <v>607</v>
      </c>
      <c r="G25" s="6" t="str">
        <f>IFERROR(__xludf.DUMMYFUNCTION("GOOGLETRANSLATE(A25, ""en"", ""fr"")"),"24")</f>
        <v>24</v>
      </c>
      <c r="H25" s="6" t="str">
        <f>IFERROR(__xludf.DUMMYFUNCTION("GOOGLETRANSLATE(B25, ""en"", ""fr"")"),"Dans la version en salle de ce sport, combien de joueurs compte chaque équipe ?")</f>
        <v>Dans la version en salle de ce sport, combien de joueurs compte chaque équipe ?</v>
      </c>
      <c r="I25" s="6" t="str">
        <f>IFERROR(__xludf.DUMMYFUNCTION("GOOGLETRANSLATE(C25, ""en"", ""fr"")"),"A) 5, B) 4, C) 3, D) 2")</f>
        <v>A) 5, B) 4, C) 3, D) 2</v>
      </c>
      <c r="J25" s="6" t="str">
        <f>IFERROR(__xludf.DUMMYFUNCTION("GOOGLETRANSLATE(D25, ""en"", ""fr"")"),"C) 3")</f>
        <v>C) 3</v>
      </c>
      <c r="K25" s="6" t="str">
        <f>IFERROR(__xludf.DUMMYFUNCTION("GOOGLETRANSLATE(E25, ""en"", ""fr"")"),"Le terrain intérieur plus petit nécessite moins de joueurs, les équipes étant composées de trois joueurs chacune.")</f>
        <v>Le terrain intérieur plus petit nécessite moins de joueurs, les équipes étant composées de trois joueurs chacune.</v>
      </c>
    </row>
    <row r="26" ht="22.5" customHeight="1">
      <c r="A26" s="4">
        <v>25.0</v>
      </c>
      <c r="B26" s="5" t="s">
        <v>608</v>
      </c>
      <c r="C26" s="5" t="s">
        <v>609</v>
      </c>
      <c r="D26" s="5" t="s">
        <v>610</v>
      </c>
      <c r="E26" s="5" t="s">
        <v>611</v>
      </c>
      <c r="G26" s="6" t="str">
        <f>IFERROR(__xludf.DUMMYFUNCTION("GOOGLETRANSLATE(A26, ""en"", ""fr"")"),"25")</f>
        <v>25</v>
      </c>
      <c r="H26" s="6" t="str">
        <f>IFERROR(__xludf.DUMMYFUNCTION("GOOGLETRANSLATE(B26, ""en"", ""fr"")"),"Quelle est la principale différence de règles entre le jeu en salle et le jeu en extérieur ?")</f>
        <v>Quelle est la principale différence de règles entre le jeu en salle et le jeu en extérieur ?</v>
      </c>
      <c r="I26" s="6" t="str">
        <f>IFERROR(__xludf.DUMMYFUNCTION("GOOGLETRANSLATE(C26, ""en"", ""fr"")"),"A) La balle est plus molle, B) Les tambourins sont plus grands, C) Il y a une zone neutre au milieu où la balle ne peut pas rebondir, D) Il n'y a pas de service")</f>
        <v>A) La balle est plus molle, B) Les tambourins sont plus grands, C) Il y a une zone neutre au milieu où la balle ne peut pas rebondir, D) Il n'y a pas de service</v>
      </c>
      <c r="J26" s="6" t="str">
        <f>IFERROR(__xludf.DUMMYFUNCTION("GOOGLETRANSLATE(D26, ""en"", ""fr"")"),"C) Il existe une zone neutre au milieu où la balle ne peut pas rebondir.")</f>
        <v>C) Il existe une zone neutre au milieu où la balle ne peut pas rebondir.</v>
      </c>
      <c r="K26" s="6" t="str">
        <f>IFERROR(__xludf.DUMMYFUNCTION("GOOGLETRANSLATE(E26, ""en"", ""fr"")"),"Le jeu en salle comporte une « zone morte » ou zone neutre au milieu du terrain, ce qui modifie considérablement la tactique du jeu.")</f>
        <v>Le jeu en salle comporte une « zone morte » ou zone neutre au milieu du terrain, ce qui modifie considérablement la tactique du jeu.</v>
      </c>
    </row>
    <row r="27" ht="22.5" customHeight="1">
      <c r="A27" s="4">
        <v>26.0</v>
      </c>
      <c r="B27" s="5" t="s">
        <v>612</v>
      </c>
      <c r="C27" s="5" t="s">
        <v>613</v>
      </c>
      <c r="D27" s="5" t="s">
        <v>614</v>
      </c>
      <c r="E27" s="5" t="s">
        <v>615</v>
      </c>
      <c r="G27" s="6" t="str">
        <f>IFERROR(__xludf.DUMMYFUNCTION("GOOGLETRANSLATE(A27, ""en"", ""fr"")"),"26")</f>
        <v>26</v>
      </c>
      <c r="H27" s="6" t="str">
        <f>IFERROR(__xludf.DUMMYFUNCTION("GOOGLETRANSLATE(B27, ""en"", ""fr"")"),"Un joueur est pénalisé pour une faute de pied sur son service. Que s'est-il passé ?")</f>
        <v>Un joueur est pénalisé pour une faute de pied sur son service. Que s'est-il passé ?</v>
      </c>
      <c r="I27" s="6" t="str">
        <f>IFERROR(__xludf.DUMMYFUNCTION("GOOGLETRANSLATE(C27, ""en"", ""fr"")"),"A) Ils ont servi du mauvais côté, B) Ils ont marché sur la ligne de fond avant de frapper la balle, C) Ils ont donné un coup de pied dans la balle, D) Ils ont mis trop de temps à servir")</f>
        <v>A) Ils ont servi du mauvais côté, B) Ils ont marché sur la ligne de fond avant de frapper la balle, C) Ils ont donné un coup de pied dans la balle, D) Ils ont mis trop de temps à servir</v>
      </c>
      <c r="J27" s="6" t="str">
        <f>IFERROR(__xludf.DUMMYFUNCTION("GOOGLETRANSLATE(D27, ""en"", ""fr"")"),"B) Ils ont marché sur ou au-delà de la ligne de fond avant de frapper la balle")</f>
        <v>B) Ils ont marché sur ou au-delà de la ligne de fond avant de frapper la balle</v>
      </c>
      <c r="K27" s="6" t="str">
        <f>IFERROR(__xludf.DUMMYFUNCTION("GOOGLETRANSLATE(E27, ""en"", ""fr"")"),"Le serveur doit rester derrière la ligne de fond jusqu'au moment où il frappe la balle avec son tambourin.")</f>
        <v>Le serveur doit rester derrière la ligne de fond jusqu'au moment où il frappe la balle avec son tambourin.</v>
      </c>
    </row>
    <row r="28" ht="22.5" customHeight="1">
      <c r="A28" s="4">
        <v>27.0</v>
      </c>
      <c r="B28" s="5" t="s">
        <v>616</v>
      </c>
      <c r="C28" s="5" t="s">
        <v>617</v>
      </c>
      <c r="D28" s="5" t="s">
        <v>618</v>
      </c>
      <c r="E28" s="5" t="s">
        <v>619</v>
      </c>
      <c r="G28" s="6" t="str">
        <f>IFERROR(__xludf.DUMMYFUNCTION("GOOGLETRANSLATE(A28, ""en"", ""fr"")"),"27")</f>
        <v>27</v>
      </c>
      <c r="H28" s="6" t="str">
        <f>IFERROR(__xludf.DUMMYFUNCTION("GOOGLETRANSLATE(B28, ""en"", ""fr"")"),"Quelle est la principale caractéristique du ballon utilisé dans ce jeu en salle ?")</f>
        <v>Quelle est la principale caractéristique du ballon utilisé dans ce jeu en salle ?</v>
      </c>
      <c r="I28" s="6" t="str">
        <f>IFERROR(__xludf.DUMMYFUNCTION("GOOGLETRANSLATE(C28, ""en"", ""fr"")"),"A) Il est plus lourd que le ballon d'extérieur, B) C'est un ballon plus souple, à pression plus faible, C) Il est identique au ballon d'extérieur, D) Il est en cuir")</f>
        <v>A) Il est plus lourd que le ballon d'extérieur, B) C'est un ballon plus souple, à pression plus faible, C) Il est identique au ballon d'extérieur, D) Il est en cuir</v>
      </c>
      <c r="J28" s="6" t="str">
        <f>IFERROR(__xludf.DUMMYFUNCTION("GOOGLETRANSLATE(D28, ""en"", ""fr"")"),"B) C'est une balle plus souple, à pression plus faible")</f>
        <v>B) C'est une balle plus souple, à pression plus faible</v>
      </c>
      <c r="K28" s="6" t="str">
        <f>IFERROR(__xludf.DUMMYFUNCTION("GOOGLETRANSLATE(E28, ""en"", ""fr"")"),"Le jeu en salle utilise une balle plus légère et plus souple, mieux adaptée à la taille réduite du terrain et à des échanges plus rapides.")</f>
        <v>Le jeu en salle utilise une balle plus légère et plus souple, mieux adaptée à la taille réduite du terrain et à des échanges plus rapides.</v>
      </c>
    </row>
    <row r="29" ht="22.5" customHeight="1">
      <c r="A29" s="4">
        <v>28.0</v>
      </c>
      <c r="B29" s="5" t="s">
        <v>620</v>
      </c>
      <c r="C29" s="5" t="s">
        <v>621</v>
      </c>
      <c r="D29" s="5" t="s">
        <v>622</v>
      </c>
      <c r="E29" s="5" t="s">
        <v>623</v>
      </c>
      <c r="G29" s="6" t="str">
        <f>IFERROR(__xludf.DUMMYFUNCTION("GOOGLETRANSLATE(A29, ""en"", ""fr"")"),"28")</f>
        <v>28</v>
      </c>
      <c r="H29" s="6" t="str">
        <f>IFERROR(__xludf.DUMMYFUNCTION("GOOGLETRANSLATE(B29, ""en"", ""fr"")"),"Quelle est la règle si un joueur frappe la balle et qu'elle atterrit en dehors du camp adverse ?")</f>
        <v>Quelle est la règle si un joueur frappe la balle et qu'elle atterrit en dehors du camp adverse ?</v>
      </c>
      <c r="I29" s="6" t="str">
        <f>IFERROR(__xludf.DUMMYFUNCTION("GOOGLETRANSLATE(C29, ""en"", ""fr"")"),"A) Le point est rejoué, B) Leur équipe perd le point, C) Leur équipe gagne le point, D) Le service est répété")</f>
        <v>A) Le point est rejoué, B) Leur équipe perd le point, C) Leur équipe gagne le point, D) Le service est répété</v>
      </c>
      <c r="J29" s="6" t="str">
        <f>IFERROR(__xludf.DUMMYFUNCTION("GOOGLETRANSLATE(D29, ""en"", ""fr"")"),"B) Leur équipe perd le point")</f>
        <v>B) Leur équipe perd le point</v>
      </c>
      <c r="K29" s="6" t="str">
        <f>IFERROR(__xludf.DUMMYFUNCTION("GOOGLETRANSLATE(E29, ""en"", ""fr"")"),"Envoyer la balle hors des limites du terrain est une erreur qui entraîne la perte immédiate du point.")</f>
        <v>Envoyer la balle hors des limites du terrain est une erreur qui entraîne la perte immédiate du point.</v>
      </c>
    </row>
    <row r="30" ht="22.5" customHeight="1">
      <c r="A30" s="4">
        <v>29.0</v>
      </c>
      <c r="B30" s="5" t="s">
        <v>624</v>
      </c>
      <c r="C30" s="5" t="s">
        <v>625</v>
      </c>
      <c r="D30" s="5" t="s">
        <v>626</v>
      </c>
      <c r="E30" s="5" t="s">
        <v>627</v>
      </c>
      <c r="G30" s="6" t="str">
        <f>IFERROR(__xludf.DUMMYFUNCTION("GOOGLETRANSLATE(A30, ""en"", ""fr"")"),"29")</f>
        <v>29</v>
      </c>
      <c r="H30" s="6" t="str">
        <f>IFERROR(__xludf.DUMMYFUNCTION("GOOGLETRANSLATE(B30, ""en"", ""fr"")"),"Quel est le but principal du bataillon ?")</f>
        <v>Quel est le but principal du bataillon ?</v>
      </c>
      <c r="I30" s="6" t="str">
        <f>IFERROR(__xludf.DUMMYFUNCTION("GOOGLETRANSLATE(C30, ""en"", ""fr"")"),"A) C'est un autre nom pour le tambourin, B) C'est le service, C) C'est la ligne centrale sur le court, D) C'est le nom d'un tournoi spécifique")</f>
        <v>A) C'est un autre nom pour le tambourin, B) C'est le service, C) C'est la ligne centrale sur le court, D) C'est le nom d'un tournoi spécifique</v>
      </c>
      <c r="J30" s="6" t="str">
        <f>IFERROR(__xludf.DUMMYFUNCTION("GOOGLETRANSLATE(D30, ""en"", ""fr"")"),"B) C'est l'action de service")</f>
        <v>B) C'est l'action de service</v>
      </c>
      <c r="K30" s="6" t="str">
        <f>IFERROR(__xludf.DUMMYFUNCTION("GOOGLETRANSLATE(E30, ""en"", ""fr"")"),"Le batteur est le terme désignant le service, le coup utilisé pour mettre la balle en jeu.")</f>
        <v>Le batteur est le terme désignant le service, le coup utilisé pour mettre la balle en jeu.</v>
      </c>
    </row>
    <row r="31" ht="22.5" customHeight="1">
      <c r="A31" s="4">
        <v>30.0</v>
      </c>
      <c r="B31" s="5" t="s">
        <v>628</v>
      </c>
      <c r="C31" s="5" t="s">
        <v>629</v>
      </c>
      <c r="D31" s="5" t="s">
        <v>630</v>
      </c>
      <c r="E31" s="5" t="s">
        <v>631</v>
      </c>
      <c r="G31" s="6" t="str">
        <f>IFERROR(__xludf.DUMMYFUNCTION("GOOGLETRANSLATE(A31, ""en"", ""fr"")"),"30")</f>
        <v>30</v>
      </c>
      <c r="H31" s="6" t="str">
        <f>IFERROR(__xludf.DUMMYFUNCTION("GOOGLETRANSLATE(B31, ""en"", ""fr"")"),"Un joueur entre en jeu en cours de rencontre. Le joueur remplacé peut-il revenir dans le match ultérieurement ?")</f>
        <v>Un joueur entre en jeu en cours de rencontre. Le joueur remplacé peut-il revenir dans le match ultérieurement ?</v>
      </c>
      <c r="I31" s="6" t="str">
        <f>IFERROR(__xludf.DUMMYFUNCTION("GOOGLETRANSLATE(C31, ""en"", ""fr"")"),"A) Oui, à tout moment. B) Oui, mais seulement au prochain set. C) Non, un joueur remplacé ne peut pas réintégrer le match. D) Uniquement si un autre joueur se blesse.")</f>
        <v>A) Oui, à tout moment. B) Oui, mais seulement au prochain set. C) Non, un joueur remplacé ne peut pas réintégrer le match. D) Uniquement si un autre joueur se blesse.</v>
      </c>
      <c r="J31" s="6" t="str">
        <f>IFERROR(__xludf.DUMMYFUNCTION("GOOGLETRANSLATE(D31, ""en"", ""fr"")"),"C) Non, un joueur remplacé ne peut pas réintégrer le match.")</f>
        <v>C) Non, un joueur remplacé ne peut pas réintégrer le match.</v>
      </c>
      <c r="K31" s="6" t="str">
        <f>IFERROR(__xludf.DUMMYFUNCTION("GOOGLETRANSLATE(E31, ""en"", ""fr"")"),"Une fois qu'un joueur est remplacé par un remplaçant, son temps de jeu est terminé pour le reste du match.")</f>
        <v>Une fois qu'un joueur est remplacé par un remplaçant, son temps de jeu est terminé pour le reste du match.</v>
      </c>
    </row>
    <row r="32" ht="22.5" customHeight="1">
      <c r="A32" s="4">
        <v>31.0</v>
      </c>
      <c r="B32" s="5" t="s">
        <v>632</v>
      </c>
      <c r="C32" s="5" t="s">
        <v>633</v>
      </c>
      <c r="D32" s="5" t="s">
        <v>634</v>
      </c>
      <c r="E32" s="5" t="s">
        <v>635</v>
      </c>
      <c r="G32" s="6" t="str">
        <f>IFERROR(__xludf.DUMMYFUNCTION("GOOGLETRANSLATE(A32, ""en"", ""fr"")"),"31")</f>
        <v>31</v>
      </c>
      <c r="H32" s="6" t="str">
        <f>IFERROR(__xludf.DUMMYFUNCTION("GOOGLETRANSLATE(B32, ""en"", ""fr"")"),"Le serveur frappe la balle, et celle-ci touche le sol dans sa propre moitié de terrain avant de franchir la ligne médiane. Quelle est la décision arbitrale ?")</f>
        <v>Le serveur frappe la balle, et celle-ci touche le sol dans sa propre moitié de terrain avant de franchir la ligne médiane. Quelle est la décision arbitrale ?</v>
      </c>
      <c r="I32" s="6" t="str">
        <f>IFERROR(__xludf.DUMMYFUNCTION("GOOGLETRANSLATE(C32, ""en"", ""fr"")"),"A) Service régulier, B) Faute au service ; ils perdent le point, C) Ils obtiennent un deuxième service, D) Le point est rejoué")</f>
        <v>A) Service régulier, B) Faute au service ; ils perdent le point, C) Ils obtiennent un deuxième service, D) Le point est rejoué</v>
      </c>
      <c r="J32" s="6" t="str">
        <f>IFERROR(__xludf.DUMMYFUNCTION("GOOGLETRANSLATE(D32, ""en"", ""fr"")"),"B) Un défaut de service ; ils perdent le point")</f>
        <v>B) Un défaut de service ; ils perdent le point</v>
      </c>
      <c r="K32" s="6" t="str">
        <f>IFERROR(__xludf.DUMMYFUNCTION("GOOGLETRANSLATE(E32, ""en"", ""fr"")"),"La balle servie doit franchir la ligne médiane et pénétrer dans le camp adverse sans toucher au préalable le camp du serveur.")</f>
        <v>La balle servie doit franchir la ligne médiane et pénétrer dans le camp adverse sans toucher au préalable le camp du serveur.</v>
      </c>
    </row>
    <row r="33" ht="22.5" customHeight="1">
      <c r="A33" s="4">
        <v>32.0</v>
      </c>
      <c r="B33" s="5" t="s">
        <v>636</v>
      </c>
      <c r="C33" s="5" t="s">
        <v>637</v>
      </c>
      <c r="D33" s="5" t="s">
        <v>638</v>
      </c>
      <c r="E33" s="5" t="s">
        <v>639</v>
      </c>
      <c r="G33" s="6" t="str">
        <f>IFERROR(__xludf.DUMMYFUNCTION("GOOGLETRANSLATE(A33, ""en"", ""fr"")"),"32")</f>
        <v>32</v>
      </c>
      <c r="H33" s="6" t="str">
        <f>IFERROR(__xludf.DUMMYFUNCTION("GOOGLETRANSLATE(B33, ""en"", ""fr"")"),"Quel est le rôle principal du capitaine d'équipe ?")</f>
        <v>Quel est le rôle principal du capitaine d'équipe ?</v>
      </c>
      <c r="I33" s="6" t="str">
        <f>IFERROR(__xludf.DUMMYFUNCTION("GOOGLETRANSLATE(C33, ""en"", ""fr"")"),"A) Être le meilleur joueur, B) Être le seul joueur autorisé à parler à l'arbitre, C) Choisir l'uniforme de l'équipe, D) Tenir le score")</f>
        <v>A) Être le meilleur joueur, B) Être le seul joueur autorisé à parler à l'arbitre, C) Choisir l'uniforme de l'équipe, D) Tenir le score</v>
      </c>
      <c r="J33" s="6" t="str">
        <f>IFERROR(__xludf.DUMMYFUNCTION("GOOGLETRANSLATE(D33, ""en"", ""fr"")"),"B) Être le seul joueur autorisé à parler à l'arbitre")</f>
        <v>B) Être le seul joueur autorisé à parler à l'arbitre</v>
      </c>
      <c r="K33" s="6" t="str">
        <f>IFERROR(__xludf.DUMMYFUNCTION("GOOGLETRANSLATE(E33, ""en"", ""fr"")"),"Le capitaine est le représentant officiel de l'équipe sur le terrain et est responsable de toutes les communications avec les officiels.")</f>
        <v>Le capitaine est le représentant officiel de l'équipe sur le terrain et est responsable de toutes les communications avec les officiels.</v>
      </c>
    </row>
    <row r="34" ht="22.5" customHeight="1">
      <c r="A34" s="4">
        <v>33.0</v>
      </c>
      <c r="B34" s="5" t="s">
        <v>640</v>
      </c>
      <c r="C34" s="5" t="s">
        <v>641</v>
      </c>
      <c r="D34" s="5" t="s">
        <v>642</v>
      </c>
      <c r="E34" s="5" t="s">
        <v>643</v>
      </c>
      <c r="G34" s="6" t="str">
        <f>IFERROR(__xludf.DUMMYFUNCTION("GOOGLETRANSLATE(A34, ""en"", ""fr"")"),"33")</f>
        <v>33</v>
      </c>
      <c r="H34" s="6" t="str">
        <f>IFERROR(__xludf.DUMMYFUNCTION("GOOGLETRANSLATE(B34, ""en"", ""fr"")"),"Le service doit atterrir au-delà d'une ligne précise dans le camp adverse. Comment s'appelle cette ligne ?")</f>
        <v>Le service doit atterrir au-delà d'une ligne précise dans le camp adverse. Comment s'appelle cette ligne ?</v>
      </c>
      <c r="I34" s="6" t="str">
        <f>IFERROR(__xludf.DUMMYFUNCTION("GOOGLETRANSLATE(C34, ""en"", ""fr"")"),"A) La ligne de fond, B) La ligne de touche, C) La ligne de quinze, D) La ligne de zone neutre")</f>
        <v>A) La ligne de fond, B) La ligne de touche, C) La ligne de quinze, D) La ligne de zone neutre</v>
      </c>
      <c r="J34" s="6" t="str">
        <f>IFERROR(__xludf.DUMMYFUNCTION("GOOGLETRANSLATE(D34, ""en"", ""fr"")"),"C) La ligne de service (ligne de quinze)")</f>
        <v>C) La ligne de service (ligne de quinze)</v>
      </c>
      <c r="K34" s="6" t="str">
        <f>IFERROR(__xludf.DUMMYFUNCTION("GOOGLETRANSLATE(E34, ""en"", ""fr"")"),"Pour qu'un service soit valide, la balle doit rebondir au-delà de la ligne de service, située à 15 mètres de la ligne médiane.")</f>
        <v>Pour qu'un service soit valide, la balle doit rebondir au-delà de la ligne de service, située à 15 mètres de la ligne médiane.</v>
      </c>
    </row>
    <row r="35" ht="22.5" customHeight="1">
      <c r="A35" s="4">
        <v>34.0</v>
      </c>
      <c r="B35" s="5" t="s">
        <v>644</v>
      </c>
      <c r="C35" s="5" t="s">
        <v>645</v>
      </c>
      <c r="D35" s="5" t="s">
        <v>646</v>
      </c>
      <c r="E35" s="5" t="s">
        <v>647</v>
      </c>
      <c r="G35" s="6" t="str">
        <f>IFERROR(__xludf.DUMMYFUNCTION("GOOGLETRANSLATE(A35, ""en"", ""fr"")"),"34")</f>
        <v>34</v>
      </c>
      <c r="H35" s="6" t="str">
        <f>IFERROR(__xludf.DUMMYFUNCTION("GOOGLETRANSLATE(B35, ""en"", ""fr"")"),"Combien de jeux contient un set standard (manche) ?")</f>
        <v>Combien de jeux contient un set standard (manche) ?</v>
      </c>
      <c r="I35" s="6" t="str">
        <f>IFERROR(__xludf.DUMMYFUNCTION("GOOGLETRANSLATE(C35, ""en"", ""fr"")"),"A) Le premier à 4, B) Le premier à 6, C) Le premier à 8, D) Le premier à 10")</f>
        <v>A) Le premier à 4, B) Le premier à 6, C) Le premier à 8, D) Le premier à 10</v>
      </c>
      <c r="J35" s="6" t="str">
        <f>IFERROR(__xludf.DUMMYFUNCTION("GOOGLETRANSLATE(D35, ""en"", ""fr"")"),"B) Les 6 premiers")</f>
        <v>B) Les 6 premiers</v>
      </c>
      <c r="K35" s="6" t="str">
        <f>IFERROR(__xludf.DUMMYFUNCTION("GOOGLETRANSLATE(E35, ""en"", ""fr"")"),"Un set est composé de jeux, et une équipe doit gagner 6 jeux pour remporter le set, souvent avec un tie-break à 5-5.")</f>
        <v>Un set est composé de jeux, et une équipe doit gagner 6 jeux pour remporter le set, souvent avec un tie-break à 5-5.</v>
      </c>
    </row>
    <row r="36" ht="22.5" customHeight="1">
      <c r="A36" s="4">
        <v>35.0</v>
      </c>
      <c r="B36" s="5" t="s">
        <v>648</v>
      </c>
      <c r="C36" s="5" t="s">
        <v>649</v>
      </c>
      <c r="D36" s="5" t="s">
        <v>650</v>
      </c>
      <c r="E36" s="5" t="s">
        <v>651</v>
      </c>
      <c r="G36" s="6" t="str">
        <f>IFERROR(__xludf.DUMMYFUNCTION("GOOGLETRANSLATE(A36, ""en"", ""fr"")"),"35")</f>
        <v>35</v>
      </c>
      <c r="H36" s="6" t="str">
        <f>IFERROR(__xludf.DUMMYFUNCTION("GOOGLETRANSLATE(B36, ""en"", ""fr"")"),"Quelle est la règle si un joueur attrape la balle avec son tambourin au lieu de la frapper ?")</f>
        <v>Quelle est la règle si un joueur attrape la balle avec son tambourin au lieu de la frapper ?</v>
      </c>
      <c r="I36" s="6" t="str">
        <f>IFERROR(__xludf.DUMMYFUNCTION("GOOGLETRANSLATE(C36, ""en"", ""fr"")"),"A) C'est un coup légal, B) C'est une faute pour avoir « porté » ou « retenu » la balle, C) Le joueur reçoit un avertissement, D) Le point est rejoué")</f>
        <v>A) C'est un coup légal, B) C'est une faute pour avoir « porté » ou « retenu » la balle, C) Le joueur reçoit un avertissement, D) Le point est rejoué</v>
      </c>
      <c r="J36" s="6" t="str">
        <f>IFERROR(__xludf.DUMMYFUNCTION("GOOGLETRANSLATE(D36, ""en"", ""fr"")"),"B) C'est une faute pour avoir « porté » ou « retenu » le ballon")</f>
        <v>B) C'est une faute pour avoir « porté » ou « retenu » le ballon</v>
      </c>
      <c r="K36" s="6" t="str">
        <f>IFERROR(__xludf.DUMMYFUNCTION("GOOGLETRANSLATE(E36, ""en"", ""fr"")"),"La balle doit être frappée proprement, d'un mouvement distinct. La rattraper, la retenir ou la ramasser constitue une faute.")</f>
        <v>La balle doit être frappée proprement, d'un mouvement distinct. La rattraper, la retenir ou la ramasser constitue une faute.</v>
      </c>
    </row>
    <row r="37" ht="22.5" customHeight="1">
      <c r="A37" s="4">
        <v>36.0</v>
      </c>
      <c r="B37" s="5" t="s">
        <v>652</v>
      </c>
      <c r="C37" s="5" t="s">
        <v>653</v>
      </c>
      <c r="D37" s="5" t="s">
        <v>654</v>
      </c>
      <c r="E37" s="5" t="s">
        <v>655</v>
      </c>
      <c r="G37" s="6" t="str">
        <f>IFERROR(__xludf.DUMMYFUNCTION("GOOGLETRANSLATE(A37, ""en"", ""fr"")"),"36")</f>
        <v>36</v>
      </c>
      <c r="H37" s="6" t="str">
        <f>IFERROR(__xludf.DUMMYFUNCTION("GOOGLETRANSLATE(B37, ""en"", ""fr"")"),"La surface de frappe du tambourin moderne est faite de quel matériau ?")</f>
        <v>La surface de frappe du tambourin moderne est faite de quel matériau ?</v>
      </c>
      <c r="I37" s="6" t="str">
        <f>IFERROR(__xludf.DUMMYFUNCTION("GOOGLETRANSLATE(C37, ""en"", ""fr"")"),"A) Peau animale (parchemin), B) Toile, C) Matériau polymère synthétique, D) Bois fin")</f>
        <v>A) Peau animale (parchemin), B) Toile, C) Matériau polymère synthétique, D) Bois fin</v>
      </c>
      <c r="J37" s="6" t="str">
        <f>IFERROR(__xludf.DUMMYFUNCTION("GOOGLETRANSLATE(D37, ""en"", ""fr"")"),"C) Matériau polymère synthétique")</f>
        <v>C) Matériau polymère synthétique</v>
      </c>
      <c r="K37" s="6" t="str">
        <f>IFERROR(__xludf.DUMMYFUNCTION("GOOGLETRANSLATE(E37, ""en"", ""fr"")"),"Alors que les tambourins traditionnels utilisaient de la peau animale, les modèles modernes utilisent des tissus synthétiques spécialement traités pour plus de durabilité et de performance constante.")</f>
        <v>Alors que les tambourins traditionnels utilisaient de la peau animale, les modèles modernes utilisent des tissus synthétiques spécialement traités pour plus de durabilité et de performance constante.</v>
      </c>
    </row>
    <row r="38" ht="22.5" customHeight="1">
      <c r="A38" s="4">
        <v>37.0</v>
      </c>
      <c r="B38" s="5" t="s">
        <v>656</v>
      </c>
      <c r="C38" s="5" t="s">
        <v>657</v>
      </c>
      <c r="D38" s="5" t="s">
        <v>658</v>
      </c>
      <c r="E38" s="5" t="s">
        <v>659</v>
      </c>
      <c r="G38" s="6" t="str">
        <f>IFERROR(__xludf.DUMMYFUNCTION("GOOGLETRANSLATE(A38, ""en"", ""fr"")"),"37")</f>
        <v>37</v>
      </c>
      <c r="H38" s="6" t="str">
        <f>IFERROR(__xludf.DUMMYFUNCTION("GOOGLETRANSLATE(B38, ""en"", ""fr"")"),"Quelle est la principale raison des règles strictes concernant le poids et la pression du ballon ?")</f>
        <v>Quelle est la principale raison des règles strictes concernant le poids et la pression du ballon ?</v>
      </c>
      <c r="I38" s="6" t="str">
        <f>IFERROR(__xludf.DUMMYFUNCTION("GOOGLETRANSLATE(C38, ""en"", ""fr"")"),"A) Pour augmenter le prix des balles, B) Pour garantir l'équité du jeu et un rebond constant pour toutes les compétitions, C) Pour améliorer la sécurité des joueurs, D) Pour préserver la tradition du sport")</f>
        <v>A) Pour augmenter le prix des balles, B) Pour garantir l'équité du jeu et un rebond constant pour toutes les compétitions, C) Pour améliorer la sécurité des joueurs, D) Pour préserver la tradition du sport</v>
      </c>
      <c r="J38" s="6" t="str">
        <f>IFERROR(__xludf.DUMMYFUNCTION("GOOGLETRANSLATE(D38, ""en"", ""fr"")"),"B) Afin de garantir l'équité et un rebond cohérent pour toutes les compétitions")</f>
        <v>B) Afin de garantir l'équité et un rebond cohérent pour toutes les compétitions</v>
      </c>
      <c r="K38" s="6" t="str">
        <f>IFERROR(__xludf.DUMMYFUNCTION("GOOGLETRANSLATE(E38, ""en"", ""fr"")"),"Un équipement standardisé est essentiel pour un sport légitime, car il garantit qu'aucune équipe ne bénéficie d'un avantage injuste grâce à son ballon.")</f>
        <v>Un équipement standardisé est essentiel pour un sport légitime, car il garantit qu'aucune équipe ne bénéficie d'un avantage injuste grâce à son ballon.</v>
      </c>
    </row>
    <row r="39" ht="22.5" customHeight="1">
      <c r="A39" s="4">
        <v>38.0</v>
      </c>
      <c r="B39" s="5" t="s">
        <v>660</v>
      </c>
      <c r="C39" s="5" t="s">
        <v>661</v>
      </c>
      <c r="D39" s="5" t="s">
        <v>662</v>
      </c>
      <c r="E39" s="5" t="s">
        <v>663</v>
      </c>
      <c r="G39" s="6" t="str">
        <f>IFERROR(__xludf.DUMMYFUNCTION("GOOGLETRANSLATE(A39, ""en"", ""fr"")"),"38")</f>
        <v>38</v>
      </c>
      <c r="H39" s="6" t="str">
        <f>IFERROR(__xludf.DUMMYFUNCTION("GOOGLETRANSLATE(B39, ""en"", ""fr"")"),"Quelle est la principale différence entre le tambourin utilisé pour le jeu en extérieur et celui utilisé pour le jeu en intérieur ?")</f>
        <v>Quelle est la principale différence entre le tambourin utilisé pour le jeu en extérieur et celui utilisé pour le jeu en intérieur ?</v>
      </c>
      <c r="I39" s="6" t="str">
        <f>IFERROR(__xludf.DUMMYFUNCTION("GOOGLETRANSLATE(C39, ""en"", ""fr"")"),"A) Le tambourin d'intérieur est beaucoup plus grand. B) Le tambourin d'intérieur est plus léger et sa peau est plus réactive. C) Le tambourin d'extérieur est en plastique. D) Il n'y a pas de différence.")</f>
        <v>A) Le tambourin d'intérieur est beaucoup plus grand. B) Le tambourin d'intérieur est plus léger et sa peau est plus réactive. C) Le tambourin d'extérieur est en plastique. D) Il n'y a pas de différence.</v>
      </c>
      <c r="J39" s="6" t="str">
        <f>IFERROR(__xludf.DUMMYFUNCTION("GOOGLETRANSLATE(D39, ""en"", ""fr"")"),"B) Le tambourin d'intérieur est plus léger et possède une tête plus « vive » ou réactive")</f>
        <v>B) Le tambourin d'intérieur est plus léger et possède une tête plus « vive » ou réactive</v>
      </c>
      <c r="K39" s="6" t="str">
        <f>IFERROR(__xludf.DUMMYFUNCTION("GOOGLETRANSLATE(E39, ""en"", ""fr"")"),"Le jeu en salle est plus rapide et repose davantage sur les mouvements du poignet, les tambourins sont donc conçus pour être plus sensibles aux touches légères.")</f>
        <v>Le jeu en salle est plus rapide et repose davantage sur les mouvements du poignet, les tambourins sont donc conçus pour être plus sensibles aux touches légères.</v>
      </c>
    </row>
    <row r="40" ht="22.5" customHeight="1">
      <c r="A40" s="4">
        <v>39.0</v>
      </c>
      <c r="B40" s="5" t="s">
        <v>664</v>
      </c>
      <c r="C40" s="5" t="s">
        <v>665</v>
      </c>
      <c r="D40" s="5" t="s">
        <v>666</v>
      </c>
      <c r="E40" s="5" t="s">
        <v>559</v>
      </c>
      <c r="G40" s="6" t="str">
        <f>IFERROR(__xludf.DUMMYFUNCTION("GOOGLETRANSLATE(A40, ""en"", ""fr"")"),"39")</f>
        <v>39</v>
      </c>
      <c r="H40" s="6" t="str">
        <f>IFERROR(__xludf.DUMMYFUNCTION("GOOGLETRANSLATE(B40, ""en"", ""fr"")"),"Un joueur est pénalisé pour avoir « touché la ligne » lors d'un service. Quelle ligne a-t-il touchée ?")</f>
        <v>Un joueur est pénalisé pour avoir « touché la ligne » lors d'un service. Quelle ligne a-t-il touchée ?</v>
      </c>
      <c r="I40" s="6" t="str">
        <f>IFERROR(__xludf.DUMMYFUNCTION("GOOGLETRANSLATE(C40, ""en"", ""fr"")"),"A) La ligne de touche, B) La ligne de fond, C) La ligne centrale, D) La ligne de service adverse")</f>
        <v>A) La ligne de touche, B) La ligne de fond, C) La ligne centrale, D) La ligne de service adverse</v>
      </c>
      <c r="J40" s="6" t="str">
        <f>IFERROR(__xludf.DUMMYFUNCTION("GOOGLETRANSLATE(D40, ""en"", ""fr"")"),"B) La ligne de base")</f>
        <v>B) La ligne de base</v>
      </c>
      <c r="K40" s="6" t="str">
        <f>IFERROR(__xludf.DUMMYFUNCTION("GOOGLETRANSLATE(E40, ""en"", ""fr"")"),"Il s'agit d'une « faute de pied ». Les pieds du serveur ne peuvent toucher la ligne de fond ni le court à l'intérieur de celle-ci tant que la balle n'a pas été frappée.")</f>
        <v>Il s'agit d'une « faute de pied ». Les pieds du serveur ne peuvent toucher la ligne de fond ni le court à l'intérieur de celle-ci tant que la balle n'a pas été frappée.</v>
      </c>
    </row>
    <row r="41" ht="22.5" customHeight="1">
      <c r="A41" s="4">
        <v>40.0</v>
      </c>
      <c r="B41" s="5" t="s">
        <v>667</v>
      </c>
      <c r="C41" s="5" t="s">
        <v>668</v>
      </c>
      <c r="D41" s="5" t="s">
        <v>669</v>
      </c>
      <c r="E41" s="5" t="s">
        <v>670</v>
      </c>
      <c r="G41" s="6" t="str">
        <f>IFERROR(__xludf.DUMMYFUNCTION("GOOGLETRANSLATE(A41, ""en"", ""fr"")"),"40")</f>
        <v>40</v>
      </c>
      <c r="H41" s="6" t="str">
        <f>IFERROR(__xludf.DUMMYFUNCTION("GOOGLETRANSLATE(B41, ""en"", ""fr"")"),"Quel est le rôle du poste au sein d'une équipe ?")</f>
        <v>Quel est le rôle du poste au sein d'une équipe ?</v>
      </c>
      <c r="I41" s="6" t="str">
        <f>IFERROR(__xludf.DUMMYFUNCTION("GOOGLETRANSLATE(C41, ""en"", ""fr"")"),"A) Il est le serveur principal, B) Il est un joueur polyvalent évoluant entre les joueurs de défense et d'attaque, C) Il est le capitaine de l'équipe, D) Il est un spécialiste de la défense")</f>
        <v>A) Il est le serveur principal, B) Il est un joueur polyvalent évoluant entre les joueurs de défense et d'attaque, C) Il est le capitaine de l'équipe, D) Il est un spécialiste de la défense</v>
      </c>
      <c r="J41" s="6" t="str">
        <f>IFERROR(__xludf.DUMMYFUNCTION("GOOGLETRANSLATE(D41, ""en"", ""fr"")"),"B) C'est un joueur polyvalent évoluant entre les joueurs de défense et d'attaque.")</f>
        <v>B) C'est un joueur polyvalent évoluant entre les joueurs de défense et d'attaque.</v>
      </c>
      <c r="K41" s="6" t="str">
        <f>IFERROR(__xludf.DUMMYFUNCTION("GOOGLETRANSLATE(E41, ""en"", ""fr"")"),"Les tiers sont les deux joueurs qui occupent le milieu du terrain, jouant à la fois en attaque et en défense.")</f>
        <v>Les tiers sont les deux joueurs qui occupent le milieu du terrain, jouant à la fois en attaque et en défense.</v>
      </c>
    </row>
    <row r="42" ht="22.5" customHeight="1">
      <c r="A42" s="4">
        <v>41.0</v>
      </c>
      <c r="B42" s="5" t="s">
        <v>671</v>
      </c>
      <c r="C42" s="5" t="s">
        <v>672</v>
      </c>
      <c r="D42" s="5" t="s">
        <v>673</v>
      </c>
      <c r="E42" s="5" t="s">
        <v>674</v>
      </c>
      <c r="G42" s="6" t="str">
        <f>IFERROR(__xludf.DUMMYFUNCTION("GOOGLETRANSLATE(A42, ""en"", ""fr"")"),"41")</f>
        <v>41</v>
      </c>
      <c r="H42" s="6" t="str">
        <f>IFERROR(__xludf.DUMMYFUNCTION("GOOGLETRANSLATE(B42, ""en"", ""fr"")"),"Un joueur frappe la balle, et celle-ci heurte un élément fixe situé au-dessus du terrain (comme une branche d'arbre ou une poutre de toit). Quelle est la décision ?")</f>
        <v>Un joueur frappe la balle, et celle-ci heurte un élément fixe situé au-dessus du terrain (comme une branche d'arbre ou une poutre de toit). Quelle est la décision ?</v>
      </c>
      <c r="I42" s="6" t="str">
        <f>IFERROR(__xludf.DUMMYFUNCTION("GOOGLETRANSLATE(C42, ""en"", ""fr"")"),"A) Le point est rejoué. B) Le jeu continue. C) C'est une faute et l'équipe du joueur perd le point. D) C'est un point pour l'équipe qui a frappé.")</f>
        <v>A) Le point est rejoué. B) Le jeu continue. C) C'est une faute et l'équipe du joueur perd le point. D) C'est un point pour l'équipe qui a frappé.</v>
      </c>
      <c r="J42" s="6" t="str">
        <f>IFERROR(__xludf.DUMMYFUNCTION("GOOGLETRANSLATE(D42, ""en"", ""fr"")"),"C) C'est une faute, et l'équipe du joueur perd le point.")</f>
        <v>C) C'est une faute, et l'équipe du joueur perd le point.</v>
      </c>
      <c r="K42" s="6" t="str">
        <f>IFERROR(__xludf.DUMMYFUNCTION("GOOGLETRANSLATE(E42, ""en"", ""fr"")"),"Toute balle qui touche un obstacle en hauteur est immédiatement considérée comme « sortie », et l'équipe qui l'a touchée perd le point.")</f>
        <v>Toute balle qui touche un obstacle en hauteur est immédiatement considérée comme « sortie », et l'équipe qui l'a touchée perd le point.</v>
      </c>
    </row>
    <row r="43" ht="22.5" customHeight="1">
      <c r="A43" s="4">
        <v>42.0</v>
      </c>
      <c r="B43" s="5" t="s">
        <v>675</v>
      </c>
      <c r="C43" s="5" t="s">
        <v>676</v>
      </c>
      <c r="D43" s="5" t="s">
        <v>677</v>
      </c>
      <c r="E43" s="5" t="s">
        <v>678</v>
      </c>
      <c r="G43" s="6" t="str">
        <f>IFERROR(__xludf.DUMMYFUNCTION("GOOGLETRANSLATE(A43, ""en"", ""fr"")"),"42")</f>
        <v>42</v>
      </c>
      <c r="H43" s="6" t="str">
        <f>IFERROR(__xludf.DUMMYFUNCTION("GOOGLETRANSLATE(B43, ""en"", ""fr"")"),"Quel est le nombre maximum de sets (manches) dans un match de championnat ?")</f>
        <v>Quel est le nombre maximum de sets (manches) dans un match de championnat ?</v>
      </c>
      <c r="I43" s="6" t="str">
        <f>IFERROR(__xludf.DUMMYFUNCTION("GOOGLETRANSLATE(C43, ""en"", ""fr"")"),"A) 1 match, B) Meilleur des 3 matchs, C) Meilleur des 5 matchs, D) Meilleur des 7 matchs")</f>
        <v>A) 1 match, B) Meilleur des 3 matchs, C) Meilleur des 5 matchs, D) Meilleur des 7 matchs</v>
      </c>
      <c r="J43" s="6" t="str">
        <f>IFERROR(__xludf.DUMMYFUNCTION("GOOGLETRANSLATE(D43, ""en"", ""fr"")"),"B) Meilleur des 3")</f>
        <v>B) Meilleur des 3</v>
      </c>
      <c r="K43" s="6" t="str">
        <f>IFERROR(__xludf.DUMMYFUNCTION("GOOGLETRANSLATE(E43, ""en"", ""fr"")"),"Les finales des tournois majeurs se jouent généralement au meilleur des trois sets, la première équipe à remporter deux sets gagnant le match.")</f>
        <v>Les finales des tournois majeurs se jouent généralement au meilleur des trois sets, la première équipe à remporter deux sets gagnant le match.</v>
      </c>
    </row>
    <row r="44" ht="22.5" customHeight="1">
      <c r="A44" s="4">
        <v>43.0</v>
      </c>
      <c r="B44" s="5" t="s">
        <v>679</v>
      </c>
      <c r="C44" s="5" t="s">
        <v>680</v>
      </c>
      <c r="D44" s="5" t="s">
        <v>681</v>
      </c>
      <c r="E44" s="5" t="s">
        <v>682</v>
      </c>
      <c r="G44" s="6" t="str">
        <f>IFERROR(__xludf.DUMMYFUNCTION("GOOGLETRANSLATE(A44, ""en"", ""fr"")"),"43")</f>
        <v>43</v>
      </c>
      <c r="H44" s="6" t="str">
        <f>IFERROR(__xludf.DUMMYFUNCTION("GOOGLETRANSLATE(B44, ""en"", ""fr"")"),"Un joueur conteste une décision de ligne auprès d'un arbitre. Quelle est la première action probable de l'arbitre ?")</f>
        <v>Un joueur conteste une décision de ligne auprès d'un arbitre. Quelle est la première action probable de l'arbitre ?</v>
      </c>
      <c r="I44" s="6" t="str">
        <f>IFERROR(__xludf.DUMMYFUNCTION("GOOGLETRANSLATE(C44, ""en"", ""fr"")"),"A) Donner un carton jaune, B) Donner un avertissement verbal au capitaine de l'équipe, C) Retirer un point, D) Rejouer le point")</f>
        <v>A) Donner un carton jaune, B) Donner un avertissement verbal au capitaine de l'équipe, C) Retirer un point, D) Rejouer le point</v>
      </c>
      <c r="J44" s="6" t="str">
        <f>IFERROR(__xludf.DUMMYFUNCTION("GOOGLETRANSLATE(D44, ""en"", ""fr"")"),"B) Adresser un avertissement verbal au capitaine de l'équipe")</f>
        <v>B) Adresser un avertissement verbal au capitaine de l'équipe</v>
      </c>
      <c r="K44" s="6" t="str">
        <f>IFERROR(__xludf.DUMMYFUNCTION("GOOGLETRANSLATE(E44, ""en"", ""fr"")"),"L'arbitre tentera d'abord de calmer la situation par un avertissement. Toute contestation persistante entraînera des sanctions plus sévères.")</f>
        <v>L'arbitre tentera d'abord de calmer la situation par un avertissement. Toute contestation persistante entraînera des sanctions plus sévères.</v>
      </c>
    </row>
    <row r="45" ht="22.5" customHeight="1">
      <c r="A45" s="4">
        <v>44.0</v>
      </c>
      <c r="B45" s="5" t="s">
        <v>683</v>
      </c>
      <c r="C45" s="5" t="s">
        <v>684</v>
      </c>
      <c r="D45" s="5" t="s">
        <v>685</v>
      </c>
      <c r="E45" s="5" t="s">
        <v>686</v>
      </c>
      <c r="G45" s="6" t="str">
        <f>IFERROR(__xludf.DUMMYFUNCTION("GOOGLETRANSLATE(A45, ""en"", ""fr"")"),"44")</f>
        <v>44</v>
      </c>
      <c r="H45" s="6" t="str">
        <f>IFERROR(__xludf.DUMMYFUNCTION("GOOGLETRANSLATE(B45, ""en"", ""fr"")"),"Un joueur est-il autorisé à frapper la balle avec le cadre en bois du tambourin ?")</f>
        <v>Un joueur est-il autorisé à frapper la balle avec le cadre en bois du tambourin ?</v>
      </c>
      <c r="I45" s="6" t="str">
        <f>IFERROR(__xludf.DUMMYFUNCTION("GOOGLETRANSLATE(C45, ""en"", ""fr"")"),"A) Non, seule la surface de frappe peut être utilisée. B) Oui, c'est un coup légal, bien que souvent incontrôlé. C) C'est une faute. D) Le point est rejoué.")</f>
        <v>A) Non, seule la surface de frappe peut être utilisée. B) Oui, c'est un coup légal, bien que souvent incontrôlé. C) C'est une faute. D) Le point est rejoué.</v>
      </c>
      <c r="J45" s="6" t="str">
        <f>IFERROR(__xludf.DUMMYFUNCTION("GOOGLETRANSLATE(D45, ""en"", ""fr"")"),"B) Oui, il s'agit d'un coup légal, bien que souvent incontrôlé.")</f>
        <v>B) Oui, il s'agit d'un coup légal, bien que souvent incontrôlé.</v>
      </c>
      <c r="K45" s="6" t="str">
        <f>IFERROR(__xludf.DUMMYFUNCTION("GOOGLETRANSLATE(E45, ""en"", ""fr"")"),"Une balle qui frappe le cadre (« le bois ») est toujours en jeu, tout comme au tennis lorsqu'une balle frappe le cadre de la raquette.")</f>
        <v>Une balle qui frappe le cadre (« le bois ») est toujours en jeu, tout comme au tennis lorsqu'une balle frappe le cadre de la raquette.</v>
      </c>
    </row>
    <row r="46" ht="22.5" customHeight="1">
      <c r="A46" s="4">
        <v>45.0</v>
      </c>
      <c r="B46" s="5" t="s">
        <v>687</v>
      </c>
      <c r="C46" s="5" t="s">
        <v>688</v>
      </c>
      <c r="D46" s="5" t="s">
        <v>689</v>
      </c>
      <c r="E46" s="5" t="s">
        <v>690</v>
      </c>
      <c r="G46" s="6" t="str">
        <f>IFERROR(__xludf.DUMMYFUNCTION("GOOGLETRANSLATE(A46, ""en"", ""fr"")"),"45")</f>
        <v>45</v>
      </c>
      <c r="H46" s="6" t="str">
        <f>IFERROR(__xludf.DUMMYFUNCTION("GOOGLETRANSLATE(B46, ""en"", ""fr"")"),"Quel est l'objectif principal du jeu de « tie-break » joué lorsqu'un set est à égalité à 5-5 ?")</f>
        <v>Quel est l'objectif principal du jeu de « tie-break » joué lorsqu'un set est à égalité à 5-5 ?</v>
      </c>
      <c r="I46" s="6" t="str">
        <f>IFERROR(__xludf.DUMMYFUNCTION("GOOGLETRANSLATE(C46, ""en"", ""fr"")"),"A) Pour prolonger la partie, B) Pour départager les joueurs de manière équitable et palpitante, C) Pour donner une chance à l'équipe perdante, D) Pour tester l'endurance des joueurs")</f>
        <v>A) Pour prolonger la partie, B) Pour départager les joueurs de manière équitable et palpitante, C) Pour donner une chance à l'équipe perdante, D) Pour tester l'endurance des joueurs</v>
      </c>
      <c r="J46" s="6" t="str">
        <f>IFERROR(__xludf.DUMMYFUNCTION("GOOGLETRANSLATE(D46, ""en"", ""fr"")"),"B) Constituer une manière juste et passionnante de désigner le vainqueur du set")</f>
        <v>B) Constituer une manière juste et passionnante de désigner le vainqueur du set</v>
      </c>
      <c r="K46" s="6" t="str">
        <f>IFERROR(__xludf.DUMMYFUNCTION("GOOGLETRANSLATE(E46, ""en"", ""fr"")"),"Le tie-break est un jeu spécial avec un système de points différent qui permet de départager de manière décisive un set très disputé.")</f>
        <v>Le tie-break est un jeu spécial avec un système de points différent qui permet de départager de manière décisive un set très disputé.</v>
      </c>
    </row>
    <row r="47" ht="22.5" customHeight="1">
      <c r="A47" s="4">
        <v>46.0</v>
      </c>
      <c r="B47" s="5" t="s">
        <v>691</v>
      </c>
      <c r="C47" s="5" t="s">
        <v>692</v>
      </c>
      <c r="D47" s="5" t="s">
        <v>693</v>
      </c>
      <c r="E47" s="5" t="s">
        <v>694</v>
      </c>
      <c r="G47" s="6" t="str">
        <f>IFERROR(__xludf.DUMMYFUNCTION("GOOGLETRANSLATE(A47, ""en"", ""fr"")"),"46")</f>
        <v>46</v>
      </c>
      <c r="H47" s="6" t="str">
        <f>IFERROR(__xludf.DUMMYFUNCTION("GOOGLETRANSLATE(B47, ""en"", ""fr"")"),"Dans le jeu en salle, que se passe-t-il si la balle rebondit dans la « zone neutre » centrale ?")</f>
        <v>Dans le jeu en salle, que se passe-t-il si la balle rebondit dans la « zone neutre » centrale ?</v>
      </c>
      <c r="I47" s="6" t="str">
        <f>IFERROR(__xludf.DUMMYFUNCTION("GOOGLETRANSLATE(C47, ""en"", ""fr"")"),"A) C'est un point pour l'équipe qui a frappé la balle. B) C'est une faute, et l'équipe qui l'a commise perd le point. C) Le point est rejoué. D) La balle est toujours en jeu.")</f>
        <v>A) C'est un point pour l'équipe qui a frappé la balle. B) C'est une faute, et l'équipe qui l'a commise perd le point. C) Le point est rejoué. D) La balle est toujours en jeu.</v>
      </c>
      <c r="J47" s="6" t="str">
        <f>IFERROR(__xludf.DUMMYFUNCTION("GOOGLETRANSLATE(D47, ""en"", ""fr"")"),"B) C'est une faute, et l'équipe qui l'a commise perd le point.")</f>
        <v>B) C'est une faute, et l'équipe qui l'a commise perd le point.</v>
      </c>
      <c r="K47" s="6" t="str">
        <f>IFERROR(__xludf.DUMMYFUNCTION("GOOGLETRANSLATE(E47, ""en"", ""fr"")"),"La zone neutre est une zone « morte ». L'équipe qui fait atterrir le ballon dans cette zone perd le point.")</f>
        <v>La zone neutre est une zone « morte ». L'équipe qui fait atterrir le ballon dans cette zone perd le point.</v>
      </c>
    </row>
    <row r="48" ht="22.5" customHeight="1">
      <c r="A48" s="4">
        <v>47.0</v>
      </c>
      <c r="B48" s="5" t="s">
        <v>695</v>
      </c>
      <c r="C48" s="5" t="s">
        <v>696</v>
      </c>
      <c r="D48" s="5" t="s">
        <v>697</v>
      </c>
      <c r="E48" s="5" t="s">
        <v>698</v>
      </c>
      <c r="G48" s="6" t="str">
        <f>IFERROR(__xludf.DUMMYFUNCTION("GOOGLETRANSLATE(A48, ""en"", ""fr"")"),"47")</f>
        <v>47</v>
      </c>
      <c r="H48" s="6" t="str">
        <f>IFERROR(__xludf.DUMMYFUNCTION("GOOGLETRANSLATE(B48, ""en"", ""fr"")"),"Combien de juges de ligne sont généralement utilisés lors d'un match de championnat majeur ?")</f>
        <v>Combien de juges de ligne sont généralement utilisés lors d'un match de championnat majeur ?</v>
      </c>
      <c r="I48" s="6" t="str">
        <f>IFERROR(__xludf.DUMMYFUNCTION("GOOGLETRANSLATE(C48, ""en"", ""fr"")"),"A) Aucun, B) Deux, C) Quatre, D) Six")</f>
        <v>A) Aucun, B) Deux, C) Quatre, D) Six</v>
      </c>
      <c r="J48" s="6" t="str">
        <f>IFERROR(__xludf.DUMMYFUNCTION("GOOGLETRANSLATE(D48, ""en"", ""fr"")"),"C) Quatre")</f>
        <v>C) Quatre</v>
      </c>
      <c r="K48" s="6" t="str">
        <f>IFERROR(__xludf.DUMMYFUNCTION("GOOGLETRANSLATE(E48, ""en"", ""fr"")"),"Pour garantir des décisions précises sur les lignes de touche et les lignes de fond, une équipe de quatre juges de ligne est souvent utilisée pour assister l'arbitre principal.")</f>
        <v>Pour garantir des décisions précises sur les lignes de touche et les lignes de fond, une équipe de quatre juges de ligne est souvent utilisée pour assister l'arbitre principal.</v>
      </c>
    </row>
    <row r="49" ht="22.5" customHeight="1">
      <c r="A49" s="4">
        <v>48.0</v>
      </c>
      <c r="B49" s="5" t="s">
        <v>699</v>
      </c>
      <c r="C49" s="5" t="s">
        <v>700</v>
      </c>
      <c r="D49" s="5" t="s">
        <v>701</v>
      </c>
      <c r="E49" s="5" t="s">
        <v>702</v>
      </c>
      <c r="G49" s="6" t="str">
        <f>IFERROR(__xludf.DUMMYFUNCTION("GOOGLETRANSLATE(A49, ""en"", ""fr"")"),"48")</f>
        <v>48</v>
      </c>
      <c r="H49" s="6" t="str">
        <f>IFERROR(__xludf.DUMMYFUNCTION("GOOGLETRANSLATE(B49, ""en"", ""fr"")"),"Un joueur peut-il quitter le terrain pour jouer une balle ?")</f>
        <v>Un joueur peut-il quitter le terrain pour jouer une balle ?</v>
      </c>
      <c r="I49" s="6" t="str">
        <f>IFERROR(__xludf.DUMMYFUNCTION("GOOGLETRANSLATE(C49, ""en"", ""fr"")"),"A) Non, c'est une faute. B) Oui, à condition qu'ils retournent immédiatement sur le terrain. C) Oui, un joueur est autorisé à jouer la balle en dehors des limites du terrain. D) Uniquement si l'arbitre l'autorise.")</f>
        <v>A) Non, c'est une faute. B) Oui, à condition qu'ils retournent immédiatement sur le terrain. C) Oui, un joueur est autorisé à jouer la balle en dehors des limites du terrain. D) Uniquement si l'arbitre l'autorise.</v>
      </c>
      <c r="J49" s="6" t="str">
        <f>IFERROR(__xludf.DUMMYFUNCTION("GOOGLETRANSLATE(D49, ""en"", ""fr"")"),"C) Oui, un joueur est autorisé à jouer la balle depuis l'extérieur des limites du terrain.")</f>
        <v>C) Oui, un joueur est autorisé à jouer la balle depuis l'extérieur des limites du terrain.</v>
      </c>
      <c r="K49" s="6" t="str">
        <f>IFERROR(__xludf.DUMMYFUNCTION("GOOGLETRANSLATE(E49, ""en"", ""fr"")"),"Un joueur peut légalement jouer une balle depuis la zone de sécurité située à l'extérieur du terrain, à condition que la balle n'ait pas encore rebondi une deuxième fois.")</f>
        <v>Un joueur peut légalement jouer une balle depuis la zone de sécurité située à l'extérieur du terrain, à condition que la balle n'ait pas encore rebondi une deuxième fois.</v>
      </c>
    </row>
    <row r="50" ht="22.5" customHeight="1">
      <c r="A50" s="4">
        <v>49.0</v>
      </c>
      <c r="B50" s="5" t="s">
        <v>703</v>
      </c>
      <c r="C50" s="5" t="s">
        <v>704</v>
      </c>
      <c r="D50" s="5" t="s">
        <v>705</v>
      </c>
      <c r="E50" s="5" t="s">
        <v>706</v>
      </c>
      <c r="G50" s="6" t="str">
        <f>IFERROR(__xludf.DUMMYFUNCTION("GOOGLETRANSLATE(A50, ""en"", ""fr"")"),"49")</f>
        <v>49</v>
      </c>
      <c r="H50" s="6" t="str">
        <f>IFERROR(__xludf.DUMMYFUNCTION("GOOGLETRANSLATE(B50, ""en"", ""fr"")"),"Quelle est la sanction pour une équipe qui n'est pas prête à jouer lorsque l'arbitre donne le coup d'envoi du match ?")</f>
        <v>Quelle est la sanction pour une équipe qui n'est pas prête à jouer lorsque l'arbitre donne le coup d'envoi du match ?</v>
      </c>
      <c r="I50" s="6" t="str">
        <f>IFERROR(__xludf.DUMMYFUNCTION("GOOGLETRANSLATE(C50, ""en"", ""fr"")"),"A) Ils perdent le premier point. B) Un avertissement, suivi de points de pénalité si le retard persiste. C) Ils perdent le match par forfait. D) Aucune pénalité.")</f>
        <v>A) Ils perdent le premier point. B) Un avertissement, suivi de points de pénalité si le retard persiste. C) Ils perdent le match par forfait. D) Aucune pénalité.</v>
      </c>
      <c r="J50" s="6" t="str">
        <f>IFERROR(__xludf.DUMMYFUNCTION("GOOGLETRANSLATE(D50, ""en"", ""fr"")"),"B) Un avertissement, suivi de pénalités de points si le retard persiste.")</f>
        <v>B) Un avertissement, suivi de pénalités de points si le retard persiste.</v>
      </c>
      <c r="K50" s="6" t="str">
        <f>IFERROR(__xludf.DUMMYFUNCTION("GOOGLETRANSLATE(E50, ""en"", ""fr"")"),"Pour que le tournoi se déroule comme prévu, les équipes sont pénalisées en cas de retard ou de retard au début d'un match.")</f>
        <v>Pour que le tournoi se déroule comme prévu, les équipes sont pénalisées en cas de retard ou de retard au début d'un match.</v>
      </c>
    </row>
    <row r="51" ht="22.5" customHeight="1">
      <c r="A51" s="4">
        <v>50.0</v>
      </c>
      <c r="B51" s="5" t="s">
        <v>707</v>
      </c>
      <c r="C51" s="5" t="s">
        <v>708</v>
      </c>
      <c r="D51" s="5" t="s">
        <v>709</v>
      </c>
      <c r="E51" s="5" t="s">
        <v>710</v>
      </c>
      <c r="G51" s="6" t="str">
        <f>IFERROR(__xludf.DUMMYFUNCTION("GOOGLETRANSLATE(A51, ""en"", ""fr"")"),"50")</f>
        <v>50</v>
      </c>
      <c r="H51" s="6" t="str">
        <f>IFERROR(__xludf.DUMMYFUNCTION("GOOGLETRANSLATE(B51, ""en"", ""fr"")"),"En substance, Balle au Tambourin est une épreuve de quoi ?")</f>
        <v>En substance, Balle au Tambourin est une épreuve de quoi ?</v>
      </c>
      <c r="I51" s="6" t="str">
        <f>IFERROR(__xludf.DUMMYFUNCTION("GOOGLETRANSLATE(C51, ""en"", ""fr"")"),"A) Puissance et force brutes, B) Stratégie d'équipe, coordination et compétences individuelles, C) Vitesse et agilité pures, D) Uniquement la capacité à bien servir")</f>
        <v>A) Puissance et force brutes, B) Stratégie d'équipe, coordination et compétences individuelles, C) Vitesse et agilité pures, D) Uniquement la capacité à bien servir</v>
      </c>
      <c r="J51" s="6" t="str">
        <f>IFERROR(__xludf.DUMMYFUNCTION("GOOGLETRANSLATE(D51, ""en"", ""fr"")"),"B) Stratégie d'équipe, coordination et compétences individuelles")</f>
        <v>B) Stratégie d'équipe, coordination et compétences individuelles</v>
      </c>
      <c r="K51" s="6" t="str">
        <f>IFERROR(__xludf.DUMMYFUNCTION("GOOGLETRANSLATE(E51, ""en"", ""fr"")"),"Ce sport exige, pour être pratiqué à haut niveau, une combinaison de compétences techniques individuelles et de coordination d'équipe sophistiquée.")</f>
        <v>Ce sport exige, pour être pratiqué à haut niveau, une combinaison de compétences techniques individuelles et de coordination d'équipe sophistiquée.</v>
      </c>
    </row>
    <row r="52" ht="22.5" customHeight="1">
      <c r="A52" s="4">
        <v>51.0</v>
      </c>
      <c r="B52" s="5" t="s">
        <v>711</v>
      </c>
      <c r="C52" s="5" t="s">
        <v>712</v>
      </c>
      <c r="D52" s="5" t="s">
        <v>713</v>
      </c>
      <c r="E52" s="5" t="s">
        <v>714</v>
      </c>
      <c r="G52" s="6" t="str">
        <f>IFERROR(__xludf.DUMMYFUNCTION("GOOGLETRANSLATE(A52, ""en"", ""fr"")"),"51")</f>
        <v>51</v>
      </c>
      <c r="H52" s="6" t="str">
        <f>IFERROR(__xludf.DUMMYFUNCTION("GOOGLETRANSLATE(B52, ""en"", ""fr"")"),"Un joueur est surpris à utiliser un tambourin à double couche de peau synthétique pour créer un effet de « trampoline ». Quelle est la décision ?")</f>
        <v>Un joueur est surpris à utiliser un tambourin à double couche de peau synthétique pour créer un effet de « trampoline ». Quelle est la décision ?</v>
      </c>
      <c r="I52" s="6" t="str">
        <f>IFERROR(__xludf.DUMMYFUNCTION("GOOGLETRANSLATE(C52, ""en"", ""fr"")"),"A) Il s'agit d'une innovation légale. B) Le tambourin est illégal et le joueur est disqualifié. C) Le joueur peut l'utiliser mais ne peut pas marquer de points. D) Un avertissement est donné.")</f>
        <v>A) Il s'agit d'une innovation légale. B) Le tambourin est illégal et le joueur est disqualifié. C) Le joueur peut l'utiliser mais ne peut pas marquer de points. D) Un avertissement est donné.</v>
      </c>
      <c r="J52" s="6" t="str">
        <f>IFERROR(__xludf.DUMMYFUNCTION("GOOGLETRANSLATE(D52, ""en"", ""fr"")"),"B) Le tambourin est illégal et le joueur est disqualifié.")</f>
        <v>B) Le tambourin est illégal et le joueur est disqualifié.</v>
      </c>
      <c r="K52" s="6" t="str">
        <f>IFERROR(__xludf.DUMMYFUNCTION("GOOGLETRANSLATE(E52, ""en"", ""fr"")"),"Tout le matériel doit être conforme aux normes officielles. Toute altération du tambourin visant à obtenir un avantage indu constitue une infraction grave.")</f>
        <v>Tout le matériel doit être conforme aux normes officielles. Toute altération du tambourin visant à obtenir un avantage indu constitue une infraction grave.</v>
      </c>
    </row>
    <row r="53" ht="22.5" customHeight="1">
      <c r="A53" s="4">
        <v>52.0</v>
      </c>
      <c r="B53" s="5" t="s">
        <v>715</v>
      </c>
      <c r="C53" s="5" t="s">
        <v>716</v>
      </c>
      <c r="D53" s="5" t="s">
        <v>717</v>
      </c>
      <c r="E53" s="5" t="s">
        <v>718</v>
      </c>
      <c r="G53" s="6" t="str">
        <f>IFERROR(__xludf.DUMMYFUNCTION("GOOGLETRANSLATE(A53, ""en"", ""fr"")"),"52")</f>
        <v>52</v>
      </c>
      <c r="H53" s="6" t="str">
        <f>IFERROR(__xludf.DUMMYFUNCTION("GOOGLETRANSLATE(B53, ""en"", ""fr"")"),"Quelle est la principale raison pour laquelle le terrain est si long (80 mètres) ?")</f>
        <v>Quelle est la principale raison pour laquelle le terrain est si long (80 mètres) ?</v>
      </c>
      <c r="I53" s="6" t="str">
        <f>IFERROR(__xludf.DUMMYFUNCTION("GOOGLETRANSLATE(C53, ""en"", ""fr"")"),"A) Pour accueillir un grand nombre de joueurs, B) Pour tester la force et l'endurance des joueurs, C) C'est une taille traditionnelle sans raison particulière, D) Pour rendre le jeu plus sûr")</f>
        <v>A) Pour accueillir un grand nombre de joueurs, B) Pour tester la force et l'endurance des joueurs, C) C'est une taille traditionnelle sans raison particulière, D) Pour rendre le jeu plus sûr</v>
      </c>
      <c r="J53" s="6" t="str">
        <f>IFERROR(__xludf.DUMMYFUNCTION("GOOGLETRANSLATE(D53, ""en"", ""fr"")"),"B) Tester la puissance et l'endurance des joueurs")</f>
        <v>B) Tester la puissance et l'endurance des joueurs</v>
      </c>
      <c r="K53" s="6" t="str">
        <f>IFERROR(__xludf.DUMMYFUNCTION("GOOGLETRANSLATE(E53, ""en"", ""fr"")"),"Le grand format du court exige des joueurs, et notamment du fond, une force incroyable pour frapper la balle sur toute la longueur du court pendant tout un match.")</f>
        <v>Le grand format du court exige des joueurs, et notamment du fond, une force incroyable pour frapper la balle sur toute la longueur du court pendant tout un match.</v>
      </c>
    </row>
    <row r="54" ht="22.5" customHeight="1">
      <c r="A54" s="4">
        <v>53.0</v>
      </c>
      <c r="B54" s="5" t="s">
        <v>719</v>
      </c>
      <c r="C54" s="5" t="s">
        <v>720</v>
      </c>
      <c r="D54" s="5" t="s">
        <v>721</v>
      </c>
      <c r="E54" s="5" t="s">
        <v>722</v>
      </c>
      <c r="G54" s="6" t="str">
        <f>IFERROR(__xludf.DUMMYFUNCTION("GOOGLETRANSLATE(A54, ""en"", ""fr"")"),"53")</f>
        <v>53</v>
      </c>
      <c r="H54" s="6" t="str">
        <f>IFERROR(__xludf.DUMMYFUNCTION("GOOGLETRANSLATE(B54, ""en"", ""fr"")"),"Un joueur est touché par une balle frappée par son propre coéquipier. Quelle est la décision arbitrale ?")</f>
        <v>Un joueur est touché par une balle frappée par son propre coéquipier. Quelle est la décision arbitrale ?</v>
      </c>
      <c r="I54" s="6" t="str">
        <f>IFERROR(__xludf.DUMMYFUNCTION("GOOGLETRANSLATE(C54, ""en"", ""fr"")"),"A) C'est une faute, et l'équipe perd le point. B) Le point est rejoué. C) Le jeu continue car il s'agissait d'un accident. D) Le joueur touché est pénalisé.")</f>
        <v>A) C'est une faute, et l'équipe perd le point. B) Le point est rejoué. C) Le jeu continue car il s'agissait d'un accident. D) Le joueur touché est pénalisé.</v>
      </c>
      <c r="J54" s="6" t="str">
        <f>IFERROR(__xludf.DUMMYFUNCTION("GOOGLETRANSLATE(D54, ""en"", ""fr"")"),"A) C'est une faute, et l'équipe perd le point.")</f>
        <v>A) C'est une faute, et l'équipe perd le point.</v>
      </c>
      <c r="K54" s="6" t="str">
        <f>IFERROR(__xludf.DUMMYFUNCTION("GOOGLETRANSLATE(E54, ""en"", ""fr"")"),"Si un joueur est touché par une balle frappée par son équipe (avant qu'elle n'ait été jouée par un adversaire), il s'agit d'une faute.")</f>
        <v>Si un joueur est touché par une balle frappée par son équipe (avant qu'elle n'ait été jouée par un adversaire), il s'agit d'une faute.</v>
      </c>
    </row>
    <row r="55" ht="22.5" customHeight="1">
      <c r="A55" s="4">
        <v>54.0</v>
      </c>
      <c r="B55" s="5" t="s">
        <v>723</v>
      </c>
      <c r="C55" s="5" t="s">
        <v>724</v>
      </c>
      <c r="D55" s="5" t="s">
        <v>725</v>
      </c>
      <c r="E55" s="5" t="s">
        <v>726</v>
      </c>
      <c r="G55" s="6" t="str">
        <f>IFERROR(__xludf.DUMMYFUNCTION("GOOGLETRANSLATE(A55, ""en"", ""fr"")"),"54")</f>
        <v>54</v>
      </c>
      <c r="H55" s="6" t="str">
        <f>IFERROR(__xludf.DUMMYFUNCTION("GOOGLETRANSLATE(B55, ""en"", ""fr"")"),"Quel est le rôle principal des joueurs des tiers ?")</f>
        <v>Quel est le rôle principal des joueurs des tiers ?</v>
      </c>
      <c r="I55" s="6" t="str">
        <f>IFERROR(__xludf.DUMMYFUNCTION("GOOGLETRANSLATE(C55, ""en"", ""fr"")"),"A) Ce sont les serveurs principaux, B) Ce sont des joueurs polyvalents qui contrôlent le milieu de terrain, jouant à la fois en attaque et en défense, C) Ce sont des spécialistes de la défense qui ne font que bloquer, D) Ce sont des remplaçants")</f>
        <v>A) Ce sont les serveurs principaux, B) Ce sont des joueurs polyvalents qui contrôlent le milieu de terrain, jouant à la fois en attaque et en défense, C) Ce sont des spécialistes de la défense qui ne font que bloquer, D) Ce sont des remplaçants</v>
      </c>
      <c r="J55" s="6" t="str">
        <f>IFERROR(__xludf.DUMMYFUNCTION("GOOGLETRANSLATE(D55, ""en"", ""fr"")"),"B) Ce sont des joueurs polyvalents qui contrôlent le milieu de terrain, jouant à la fois en attaque et en défense.")</f>
        <v>B) Ce sont des joueurs polyvalents qui contrôlent le milieu de terrain, jouant à la fois en attaque et en défense.</v>
      </c>
      <c r="K55" s="6" t="str">
        <f>IFERROR(__xludf.DUMMYFUNCTION("GOOGLETRANSLATE(E55, ""en"", ""fr"")"),"Les milieux défensifs sont les joueurs polyvalents de l'équipe, chargés d'assurer la liaison entre l'avant et l'arrière du terrain.")</f>
        <v>Les milieux défensifs sont les joueurs polyvalents de l'équipe, chargés d'assurer la liaison entre l'avant et l'arrière du terrain.</v>
      </c>
    </row>
    <row r="56" ht="22.5" customHeight="1">
      <c r="A56" s="4">
        <v>55.0</v>
      </c>
      <c r="B56" s="5" t="s">
        <v>727</v>
      </c>
      <c r="C56" s="5" t="s">
        <v>728</v>
      </c>
      <c r="D56" s="5" t="s">
        <v>729</v>
      </c>
      <c r="E56" s="5" t="s">
        <v>730</v>
      </c>
      <c r="G56" s="6" t="str">
        <f>IFERROR(__xludf.DUMMYFUNCTION("GOOGLETRANSLATE(A56, ""en"", ""fr"")"),"55")</f>
        <v>55</v>
      </c>
      <c r="H56" s="6" t="str">
        <f>IFERROR(__xludf.DUMMYFUNCTION("GOOGLETRANSLATE(B56, ""en"", ""fr"")"),"Un joueur est pénalisé pour « contact prolongé » avec le ballon. Qu'est-ce que cela signifie ?")</f>
        <v>Un joueur est pénalisé pour « contact prolongé » avec le ballon. Qu'est-ce que cela signifie ?</v>
      </c>
      <c r="I56" s="6" t="str">
        <f>IFERROR(__xludf.DUMMYFUNCTION("GOOGLETRANSLATE(C56, ""en"", ""fr"")"),"A) Ils ont frappé la balle deux fois, B) Ils ont attrapé ou retenu la balle sur le tambourin au lieu de la frapper proprement, C) Ils ont tenu la balle avec leur main, D) Ils ont mis trop de temps à frapper la balle")</f>
        <v>A) Ils ont frappé la balle deux fois, B) Ils ont attrapé ou retenu la balle sur le tambourin au lieu de la frapper proprement, C) Ils ont tenu la balle avec leur main, D) Ils ont mis trop de temps à frapper la balle</v>
      </c>
      <c r="J56" s="6" t="str">
        <f>IFERROR(__xludf.DUMMYFUNCTION("GOOGLETRANSLATE(D56, ""en"", ""fr"")"),"B) Ils ont attrapé ou retenu la balle sur le tambourin au lieu de la frapper proprement.")</f>
        <v>B) Ils ont attrapé ou retenu la balle sur le tambourin au lieu de la frapper proprement.</v>
      </c>
      <c r="K56" s="6" t="str">
        <f>IFERROR(__xludf.DUMMYFUNCTION("GOOGLETRANSLATE(E56, ""en"", ""fr"")"),"La balle doit être frappée d'un seul mouvement distinct. La ramasser, la porter ou la retenir sur le tambourin constitue une faute.")</f>
        <v>La balle doit être frappée d'un seul mouvement distinct. La ramasser, la porter ou la retenir sur le tambourin constitue une faute.</v>
      </c>
    </row>
    <row r="57" ht="22.5" customHeight="1">
      <c r="A57" s="4">
        <v>56.0</v>
      </c>
      <c r="B57" s="5" t="s">
        <v>731</v>
      </c>
      <c r="C57" s="5" t="s">
        <v>732</v>
      </c>
      <c r="D57" s="5" t="s">
        <v>733</v>
      </c>
      <c r="E57" s="5" t="s">
        <v>734</v>
      </c>
      <c r="G57" s="6" t="str">
        <f>IFERROR(__xludf.DUMMYFUNCTION("GOOGLETRANSLATE(A57, ""en"", ""fr"")"),"56")</f>
        <v>56</v>
      </c>
      <c r="H57" s="6" t="str">
        <f>IFERROR(__xludf.DUMMYFUNCTION("GOOGLETRANSLATE(B57, ""en"", ""fr"")"),"Comment les points sont-ils marqués lors d'un match décisif ?")</f>
        <v>Comment les points sont-ils marqués lors d'un match décisif ?</v>
      </c>
      <c r="I57" s="6" t="str">
        <f>IFERROR(__xludf.DUMMYFUNCTION("GOOGLETRANSLATE(C57, ""en"", ""fr"")"),"A) Avec le système 15-30-40, B) Avec des points séquentiels (1, 2, 3, etc.), C) La première équipe à marquer gagne, D) Par un vote des juges")</f>
        <v>A) Avec le système 15-30-40, B) Avec des points séquentiels (1, 2, 3, etc.), C) La première équipe à marquer gagne, D) Par un vote des juges</v>
      </c>
      <c r="J57" s="6" t="str">
        <f>IFERROR(__xludf.DUMMYFUNCTION("GOOGLETRANSLATE(D57, ""en"", ""fr"")"),"B) Avec des points séquentiels (1, 2, 3, etc.)")</f>
        <v>B) Avec des points séquentiels (1, 2, 3, etc.)</v>
      </c>
      <c r="K57" s="6" t="str">
        <f>IFERROR(__xludf.DUMMYFUNCTION("GOOGLETRANSLATE(E57, ""en"", ""fr"")"),"Le tie-break utilise un système de points numérique simple, généralement joué en 7 ou 8 points.")</f>
        <v>Le tie-break utilise un système de points numérique simple, généralement joué en 7 ou 8 points.</v>
      </c>
    </row>
    <row r="58" ht="22.5" customHeight="1">
      <c r="A58" s="4">
        <v>57.0</v>
      </c>
      <c r="B58" s="5" t="s">
        <v>735</v>
      </c>
      <c r="C58" s="5" t="s">
        <v>736</v>
      </c>
      <c r="D58" s="5" t="s">
        <v>433</v>
      </c>
      <c r="E58" s="5" t="s">
        <v>737</v>
      </c>
      <c r="G58" s="6" t="str">
        <f>IFERROR(__xludf.DUMMYFUNCTION("GOOGLETRANSLATE(A58, ""en"", ""fr"")"),"57")</f>
        <v>57</v>
      </c>
      <c r="H58" s="6" t="str">
        <f>IFERROR(__xludf.DUMMYFUNCTION("GOOGLETRANSLATE(B58, ""en"", ""fr"")"),"Un joueur porte des chaussures à crampons. Pourquoi est-ce une faute ?")</f>
        <v>Un joueur porte des chaussures à crampons. Pourquoi est-ce une faute ?</v>
      </c>
      <c r="I58" s="6" t="str">
        <f>IFERROR(__xludf.DUMMYFUNCTION("GOOGLETRANSLATE(C58, ""en"", ""fr"")"),"A) Cela peut endommager la surface de jeu en asphalte, B) Cela donne un avantage injuste en termes d'adhérence, C) Cela représente un danger pour la sécurité des autres joueurs, D) Toutes les réponses ci-dessus")</f>
        <v>A) Cela peut endommager la surface de jeu en asphalte, B) Cela donne un avantage injuste en termes d'adhérence, C) Cela représente un danger pour la sécurité des autres joueurs, D) Toutes les réponses ci-dessus</v>
      </c>
      <c r="J58" s="6" t="str">
        <f>IFERROR(__xludf.DUMMYFUNCTION("GOOGLETRANSLATE(D58, ""en"", ""fr"")"),"D) Toutes les réponses ci-dessus")</f>
        <v>D) Toutes les réponses ci-dessus</v>
      </c>
      <c r="K58" s="6" t="str">
        <f>IFERROR(__xludf.DUMMYFUNCTION("GOOGLETRANSLATE(E58, ""en"", ""fr"")"),"Les chaussures à pointes sont interdites car elles endommagent le terrain et présentent un risque important de blessure pour les autres joueurs.")</f>
        <v>Les chaussures à pointes sont interdites car elles endommagent le terrain et présentent un risque important de blessure pour les autres joueurs.</v>
      </c>
    </row>
    <row r="59" ht="22.5" customHeight="1">
      <c r="A59" s="4">
        <v>58.0</v>
      </c>
      <c r="B59" s="5" t="s">
        <v>738</v>
      </c>
      <c r="C59" s="5" t="s">
        <v>739</v>
      </c>
      <c r="D59" s="5" t="s">
        <v>594</v>
      </c>
      <c r="E59" s="5" t="s">
        <v>740</v>
      </c>
      <c r="G59" s="6" t="str">
        <f>IFERROR(__xludf.DUMMYFUNCTION("GOOGLETRANSLATE(A59, ""en"", ""fr"")"),"58")</f>
        <v>58</v>
      </c>
      <c r="H59" s="6" t="str">
        <f>IFERROR(__xludf.DUMMYFUNCTION("GOOGLETRANSLATE(B59, ""en"", ""fr"")"),"Quelle est la décision à prendre si la balle touche l'arbitre pendant un échange de balles ?")</f>
        <v>Quelle est la décision à prendre si la balle touche l'arbitre pendant un échange de balles ?</v>
      </c>
      <c r="I59" s="6" t="str">
        <f>IFERROR(__xludf.DUMMYFUNCTION("GOOGLETRANSLATE(C59, ""en"", ""fr"")"),"A) Le jeu continue, B) Le point est immédiatement arrêté et rejoué, C) C'est une faute du joueur qui a touché l'arbitre, D) C'est un point pour le joueur qui a touché l'arbitre")</f>
        <v>A) Le jeu continue, B) Le point est immédiatement arrêté et rejoué, C) C'est une faute du joueur qui a touché l'arbitre, D) C'est un point pour le joueur qui a touché l'arbitre</v>
      </c>
      <c r="J59" s="6" t="str">
        <f>IFERROR(__xludf.DUMMYFUNCTION("GOOGLETRANSLATE(D59, ""en"", ""fr"")"),"B) Le point est immédiatement interrompu et rejoué.")</f>
        <v>B) Le point est immédiatement interrompu et rejoué.</v>
      </c>
      <c r="K59" s="6" t="str">
        <f>IFERROR(__xludf.DUMMYFUNCTION("GOOGLETRANSLATE(E59, ""en"", ""fr"")"),"L'arbitre est considéré comme une interférence extérieure. Si la balle le touche, le point doit être rejoué pour que l'arbitre soit équitable.")</f>
        <v>L'arbitre est considéré comme une interférence extérieure. Si la balle le touche, le point doit être rejoué pour que l'arbitre soit équitable.</v>
      </c>
    </row>
    <row r="60" ht="22.5" customHeight="1">
      <c r="A60" s="4">
        <v>59.0</v>
      </c>
      <c r="B60" s="5" t="s">
        <v>741</v>
      </c>
      <c r="C60" s="5" t="s">
        <v>742</v>
      </c>
      <c r="D60" s="5" t="s">
        <v>743</v>
      </c>
      <c r="E60" s="5" t="s">
        <v>744</v>
      </c>
      <c r="G60" s="6" t="str">
        <f>IFERROR(__xludf.DUMMYFUNCTION("GOOGLETRANSLATE(A60, ""en"", ""fr"")"),"59")</f>
        <v>59</v>
      </c>
      <c r="H60" s="6" t="str">
        <f>IFERROR(__xludf.DUMMYFUNCTION("GOOGLETRANSLATE(B60, ""en"", ""fr"")"),"Le capitaine d'une équipe pense que l'arbitre a mal interprété une règle. Quelle est la procédure correcte ?")</f>
        <v>Le capitaine d'une équipe pense que l'arbitre a mal interprété une règle. Quelle est la procédure correcte ?</v>
      </c>
      <c r="I60" s="6" t="str">
        <f>IFERROR(__xludf.DUMMYFUNCTION("GOOGLETRANSLATE(C60, ""en"", ""fr"")"),"A) Interrompre le jeu et contester, B) Demander formellement et respectueusement une clarification à l'arbitre pendant un arrêt de jeu, C) Faire appel au public, D) Déposer une réclamation après la fin du match")</f>
        <v>A) Interrompre le jeu et contester, B) Demander formellement et respectueusement une clarification à l'arbitre pendant un arrêt de jeu, C) Faire appel au public, D) Déposer une réclamation après la fin du match</v>
      </c>
      <c r="J60" s="6" t="str">
        <f>IFERROR(__xludf.DUMMYFUNCTION("GOOGLETRANSLATE(D60, ""en"", ""fr"")"),"B) Demander formellement et respectueusement une clarification à l'arbitre pendant un arrêt de jeu")</f>
        <v>B) Demander formellement et respectueusement une clarification à l'arbitre pendant un arrêt de jeu</v>
      </c>
      <c r="K60" s="6" t="str">
        <f>IFERROR(__xludf.DUMMYFUNCTION("GOOGLETRANSLATE(E60, ""en"", ""fr"")"),"Le capitaine peut demander une explication de règle (mais ne peut pas contester une décision d'appréciation comme une décision de ligne) de manière calme et ordonnée.")</f>
        <v>Le capitaine peut demander une explication de règle (mais ne peut pas contester une décision d'appréciation comme une décision de ligne) de manière calme et ordonnée.</v>
      </c>
    </row>
    <row r="61" ht="22.5" customHeight="1">
      <c r="A61" s="4">
        <v>60.0</v>
      </c>
      <c r="B61" s="5" t="s">
        <v>745</v>
      </c>
      <c r="C61" s="5" t="s">
        <v>746</v>
      </c>
      <c r="D61" s="5" t="s">
        <v>747</v>
      </c>
      <c r="E61" s="5" t="s">
        <v>748</v>
      </c>
      <c r="G61" s="6" t="str">
        <f>IFERROR(__xludf.DUMMYFUNCTION("GOOGLETRANSLATE(A61, ""en"", ""fr"")"),"60")</f>
        <v>60</v>
      </c>
      <c r="H61" s="6" t="str">
        <f>IFERROR(__xludf.DUMMYFUNCTION("GOOGLETRANSLATE(B61, ""en"", ""fr"")"),"Quelle est la principale raison pour laquelle les versions extérieure et intérieure sont considérées comme des disciplines différentes ?")</f>
        <v>Quelle est la principale raison pour laquelle les versions extérieure et intérieure sont considérées comme des disciplines différentes ?</v>
      </c>
      <c r="I61" s="6" t="str">
        <f>IFERROR(__xludf.DUMMYFUNCTION("GOOGLETRANSLATE(C61, ""en"", ""fr"")"),"A) L'équipement est complètement différent. B) Les compétences fondamentales sont différentes. C) La taille du terrain, la taille de l'équipe et le type de ballon engendrent des stratégies et des compétences très différentes. D) L'un est professionnel, l'"&amp;"autre amateur.")</f>
        <v>A) L'équipement est complètement différent. B) Les compétences fondamentales sont différentes. C) La taille du terrain, la taille de l'équipe et le type de ballon engendrent des stratégies et des compétences très différentes. D) L'un est professionnel, l'autre amateur.</v>
      </c>
      <c r="J61" s="6" t="str">
        <f>IFERROR(__xludf.DUMMYFUNCTION("GOOGLETRANSLATE(D61, ""en"", ""fr"")"),"C) La taille du terrain, la taille de l'équipe et le type de ballon engendrent des stratégies et des compétences très différentes.")</f>
        <v>C) La taille du terrain, la taille de l'équipe et le type de ballon engendrent des stratégies et des compétences très différentes.</v>
      </c>
      <c r="K61" s="6" t="str">
        <f>IFERROR(__xludf.DUMMYFUNCTION("GOOGLETRANSLATE(E61, ""en"", ""fr"")"),"Les différences sont si importantes que les joueurs se spécialisent souvent dans une version de ce sport plutôt que dans l'autre.")</f>
        <v>Les différences sont si importantes que les joueurs se spécialisent souvent dans une version de ce sport plutôt que dans l'autre.</v>
      </c>
    </row>
    <row r="62" ht="22.5" customHeight="1">
      <c r="A62" s="4">
        <v>61.0</v>
      </c>
      <c r="B62" s="5" t="s">
        <v>749</v>
      </c>
      <c r="C62" s="5" t="s">
        <v>750</v>
      </c>
      <c r="D62" s="5" t="s">
        <v>751</v>
      </c>
      <c r="E62" s="5" t="s">
        <v>752</v>
      </c>
      <c r="G62" s="6" t="str">
        <f>IFERROR(__xludf.DUMMYFUNCTION("GOOGLETRANSLATE(A62, ""en"", ""fr"")"),"61")</f>
        <v>61</v>
      </c>
      <c r="H62" s="6" t="str">
        <f>IFERROR(__xludf.DUMMYFUNCTION("GOOGLETRANSLATE(B62, ""en"", ""fr"")"),"Un joueur sert, et la balle touche le sol juste au-delà de la ligne centrale mais avant la ligne de service. Quelle est la décision ?")</f>
        <v>Un joueur sert, et la balle touche le sol juste au-delà de la ligne centrale mais avant la ligne de service. Quelle est la décision ?</v>
      </c>
      <c r="I62" s="6" t="str">
        <f>IFERROR(__xludf.DUMMYFUNCTION("GOOGLETRANSLATE(C62, ""en"", ""fr"")"),"A) Service régulier, B) Faute ; service trop court, C) Point rejoué, D) Avertissement donné")</f>
        <v>A) Service régulier, B) Faute ; service trop court, C) Point rejoué, D) Avertissement donné</v>
      </c>
      <c r="J62" s="6" t="str">
        <f>IFERROR(__xludf.DUMMYFUNCTION("GOOGLETRANSLATE(D62, ""en"", ""fr"")"),"B) Une faute ; le service est « court ».")</f>
        <v>B) Une faute ; le service est « court ».</v>
      </c>
      <c r="K62" s="6" t="str">
        <f>IFERROR(__xludf.DUMMYFUNCTION("GOOGLETRANSLATE(E62, ""en"", ""fr"")"),"Le service doit atterrir dans la zone de réception du service, c'est-à-dire l'espace situé entre la ligne de service de 15 mètres et la ligne de fond.")</f>
        <v>Le service doit atterrir dans la zone de réception du service, c'est-à-dire l'espace situé entre la ligne de service de 15 mètres et la ligne de fond.</v>
      </c>
    </row>
    <row r="63" ht="22.5" customHeight="1">
      <c r="A63" s="4">
        <v>62.0</v>
      </c>
      <c r="B63" s="5" t="s">
        <v>753</v>
      </c>
      <c r="C63" s="5" t="s">
        <v>754</v>
      </c>
      <c r="D63" s="5" t="s">
        <v>755</v>
      </c>
      <c r="E63" s="5" t="s">
        <v>756</v>
      </c>
      <c r="G63" s="6" t="str">
        <f>IFERROR(__xludf.DUMMYFUNCTION("GOOGLETRANSLATE(A63, ""en"", ""fr"")"),"62")</f>
        <v>62</v>
      </c>
      <c r="H63" s="6" t="str">
        <f>IFERROR(__xludf.DUMMYFUNCTION("GOOGLETRANSLATE(B63, ""en"", ""fr"")"),"Quel est l’objectif principal de la période d’échauffement avant un match ?")</f>
        <v>Quel est l’objectif principal de la période d’échauffement avant un match ?</v>
      </c>
      <c r="I63" s="6" t="str">
        <f>IFERROR(__xludf.DUMMYFUNCTION("GOOGLETRANSLATE(C63, ""en"", ""fr"")"),"A) Pour permettre aux spectateurs d'arriver, B) Pour permettre aux joueurs de préparer leurs muscles et de se familiariser avec le court, C) C'est purement cérémoniel, D) Pour décider qui sert en premier")</f>
        <v>A) Pour permettre aux spectateurs d'arriver, B) Pour permettre aux joueurs de préparer leurs muscles et de se familiariser avec le court, C) C'est purement cérémoniel, D) Pour décider qui sert en premier</v>
      </c>
      <c r="J63" s="6" t="str">
        <f>IFERROR(__xludf.DUMMYFUNCTION("GOOGLETRANSLATE(D63, ""en"", ""fr"")"),"B) Pour permettre aux joueurs de préparer leurs muscles et de se familiariser avec les conditions du terrain")</f>
        <v>B) Pour permettre aux joueurs de préparer leurs muscles et de se familiariser avec les conditions du terrain</v>
      </c>
      <c r="K63" s="6" t="str">
        <f>IFERROR(__xludf.DUMMYFUNCTION("GOOGLETRANSLATE(E63, ""en"", ""fr"")"),"Un échauffement adéquat est essentiel pour prévenir les blessures et permettre aux joueurs de s'adapter au terrain et aux conditions météorologiques du jour.")</f>
        <v>Un échauffement adéquat est essentiel pour prévenir les blessures et permettre aux joueurs de s'adapter au terrain et aux conditions météorologiques du jour.</v>
      </c>
    </row>
    <row r="64" ht="22.5" customHeight="1">
      <c r="A64" s="4">
        <v>63.0</v>
      </c>
      <c r="B64" s="5" t="s">
        <v>757</v>
      </c>
      <c r="C64" s="5" t="s">
        <v>758</v>
      </c>
      <c r="D64" s="5" t="s">
        <v>759</v>
      </c>
      <c r="E64" s="5" t="s">
        <v>760</v>
      </c>
      <c r="G64" s="6" t="str">
        <f>IFERROR(__xludf.DUMMYFUNCTION("GOOGLETRANSLATE(A64, ""en"", ""fr"")"),"63")</f>
        <v>63</v>
      </c>
      <c r="H64" s="6" t="str">
        <f>IFERROR(__xludf.DUMMYFUNCTION("GOOGLETRANSLATE(B64, ""en"", ""fr"")"),"Un joueur est remplacé et sort du match. Que peut-il faire pour le reste de la rencontre ?")</f>
        <v>Un joueur est remplacé et sort du match. Que peut-il faire pour le reste de la rencontre ?</v>
      </c>
      <c r="I64" s="6" t="str">
        <f>IFERROR(__xludf.DUMMYFUNCTION("GOOGLETRANSLATE(C64, ""en"", ""fr"")"),"A) Ils peuvent réintégrer le jeu plus tard, B) Ils peuvent faire office d'entraîneur de l'équipe, C) Ils doivent quitter l'aire de jeu, D) Ils peuvent être juges de ligne")</f>
        <v>A) Ils peuvent réintégrer le jeu plus tard, B) Ils peuvent faire office d'entraîneur de l'équipe, C) Ils doivent quitter l'aire de jeu, D) Ils peuvent être juges de ligne</v>
      </c>
      <c r="J64" s="6" t="str">
        <f>IFERROR(__xludf.DUMMYFUNCTION("GOOGLETRANSLATE(D64, ""en"", ""fr"")"),"C) Ils doivent quitter l'aire de jeu")</f>
        <v>C) Ils doivent quitter l'aire de jeu</v>
      </c>
      <c r="K64" s="6" t="str">
        <f>IFERROR(__xludf.DUMMYFUNCTION("GOOGLETRANSLATE(E64, ""en"", ""fr"")"),"Un joueur remplacé devient spectateur et ne peut plus jouer aucun rôle dans le match.")</f>
        <v>Un joueur remplacé devient spectateur et ne peut plus jouer aucun rôle dans le match.</v>
      </c>
    </row>
    <row r="65" ht="22.5" customHeight="1">
      <c r="A65" s="4">
        <v>64.0</v>
      </c>
      <c r="B65" s="5" t="s">
        <v>761</v>
      </c>
      <c r="C65" s="5" t="s">
        <v>762</v>
      </c>
      <c r="D65" s="5" t="s">
        <v>763</v>
      </c>
      <c r="E65" s="5" t="s">
        <v>764</v>
      </c>
      <c r="G65" s="6" t="str">
        <f>IFERROR(__xludf.DUMMYFUNCTION("GOOGLETRANSLATE(A65, ""en"", ""fr"")"),"64")</f>
        <v>64</v>
      </c>
      <c r="H65" s="6" t="str">
        <f>IFERROR(__xludf.DUMMYFUNCTION("GOOGLETRANSLATE(B65, ""en"", ""fr"")"),"Quelle est la règle si un joueur lance son tambourin pour frapper la balle ?")</f>
        <v>Quelle est la règle si un joueur lance son tambourin pour frapper la balle ?</v>
      </c>
      <c r="I65" s="6" t="str">
        <f>IFERROR(__xludf.DUMMYFUNCTION("GOOGLETRANSLATE(C65, ""en"", ""fr"")"),"A) C'est un geste légal, même s'il est désespéré. B) C'est une faute pour avoir « jeté la batte ». C) Le point est rejoué. D) Le joueur est disqualifié.")</f>
        <v>A) C'est un geste légal, même s'il est désespéré. B) C'est une faute pour avoir « jeté la batte ». C) Le point est rejoué. D) Le joueur est disqualifié.</v>
      </c>
      <c r="J65" s="6" t="str">
        <f>IFERROR(__xludf.DUMMYFUNCTION("GOOGLETRANSLATE(D65, ""en"", ""fr"")"),"B) C'est une faute pour « avoir jeté la batte »")</f>
        <v>B) C'est une faute pour « avoir jeté la batte »</v>
      </c>
      <c r="K65" s="6" t="str">
        <f>IFERROR(__xludf.DUMMYFUNCTION("GOOGLETRANSLATE(E65, ""en"", ""fr"")"),"Le tambourin doit être tenu à la main lors de la frappe de la balle. Le jeter constitue une faute manifeste.")</f>
        <v>Le tambourin doit être tenu à la main lors de la frappe de la balle. Le jeter constitue une faute manifeste.</v>
      </c>
    </row>
    <row r="66" ht="22.5" customHeight="1">
      <c r="A66" s="4">
        <v>65.0</v>
      </c>
      <c r="B66" s="5" t="s">
        <v>765</v>
      </c>
      <c r="C66" s="5" t="s">
        <v>766</v>
      </c>
      <c r="D66" s="5" t="s">
        <v>767</v>
      </c>
      <c r="E66" s="5" t="s">
        <v>768</v>
      </c>
      <c r="G66" s="6" t="str">
        <f>IFERROR(__xludf.DUMMYFUNCTION("GOOGLETRANSLATE(A66, ""en"", ""fr"")"),"65")</f>
        <v>65</v>
      </c>
      <c r="H66" s="6" t="str">
        <f>IFERROR(__xludf.DUMMYFUNCTION("GOOGLETRANSLATE(B66, ""en"", ""fr"")"),"Au jeu en salle, un joueur frappe la balle, qui heurte le mur latéral avant d'atterrir dans le camp adverse. Ce coup est-il autorisé ?")</f>
        <v>Au jeu en salle, un joueur frappe la balle, qui heurte le mur latéral avant d'atterrir dans le camp adverse. Ce coup est-il autorisé ?</v>
      </c>
      <c r="I66" s="6" t="str">
        <f>IFERROR(__xludf.DUMMYFUNCTION("GOOGLETRANSLATE(C66, ""en"", ""fr"")"),"A) Oui, dans certaines versions, les murs latéraux sont pris en compte. B) Non, c'est une faute. C) Le point est rejoué. D) Uniquement si la balle touche d'abord le mur du fond.")</f>
        <v>A) Oui, dans certaines versions, les murs latéraux sont pris en compte. B) Non, c'est une faute. C) Le point est rejoué. D) Uniquement si la balle touche d'abord le mur du fond.</v>
      </c>
      <c r="J66" s="6" t="str">
        <f>IFERROR(__xludf.DUMMYFUNCTION("GOOGLETRANSLATE(D66, ""en"", ""fr"")"),"A) Oui, dans certaines versions, les murs latéraux entrent en jeu.")</f>
        <v>A) Oui, dans certaines versions, les murs latéraux entrent en jeu.</v>
      </c>
      <c r="K66" s="6" t="str">
        <f>IFERROR(__xludf.DUMMYFUNCTION("GOOGLETRANSLATE(E66, ""en"", ""fr"")"),"Dans certaines formes de Tamburello en salle (comme le « Tamburello a Muro »), jouer la balle contre les murs latéraux est une partie légale et stratégique du jeu.")</f>
        <v>Dans certaines formes de Tamburello en salle (comme le « Tamburello a Muro »), jouer la balle contre les murs latéraux est une partie légale et stratégique du jeu.</v>
      </c>
    </row>
    <row r="67" ht="22.5" customHeight="1">
      <c r="A67" s="4">
        <v>66.0</v>
      </c>
      <c r="B67" s="5" t="s">
        <v>769</v>
      </c>
      <c r="C67" s="5" t="s">
        <v>770</v>
      </c>
      <c r="D67" s="5" t="s">
        <v>771</v>
      </c>
      <c r="E67" s="5" t="s">
        <v>772</v>
      </c>
      <c r="G67" s="6" t="str">
        <f>IFERROR(__xludf.DUMMYFUNCTION("GOOGLETRANSLATE(A67, ""en"", ""fr"")"),"66")</f>
        <v>66</v>
      </c>
      <c r="H67" s="6" t="str">
        <f>IFERROR(__xludf.DUMMYFUNCTION("GOOGLETRANSLATE(B67, ""en"", ""fr"")"),"Quel est le rôle principal de la Fédération Française de Jeu de Balle au Tambourin (FFJST) ?")</f>
        <v>Quel est le rôle principal de la Fédération Française de Jeu de Balle au Tambourin (FFJST) ?</v>
      </c>
      <c r="I67" s="6" t="str">
        <f>IFERROR(__xludf.DUMMYFUNCTION("GOOGLETRANSLATE(C67, ""en"", ""fr"")"),"A) Fournir du matériel aux clubs, B) Être l'instance dirigeante officielle qui organise les championnats et fixe les règles, C) Rémunérer les joueurs, D) Promouvoir le sport à la télévision")</f>
        <v>A) Fournir du matériel aux clubs, B) Être l'instance dirigeante officielle qui organise les championnats et fixe les règles, C) Rémunérer les joueurs, D) Promouvoir le sport à la télévision</v>
      </c>
      <c r="J67" s="6" t="str">
        <f>IFERROR(__xludf.DUMMYFUNCTION("GOOGLETRANSLATE(D67, ""en"", ""fr"")"),"B) Être l'instance dirigeante officielle qui organise les championnats et établit les règles")</f>
        <v>B) Être l'instance dirigeante officielle qui organise les championnats et établit les règles</v>
      </c>
      <c r="K67" s="6" t="str">
        <f>IFERROR(__xludf.DUMMYFUNCTION("GOOGLETRANSLATE(E67, ""en"", ""fr"")"),"La FFJST est l'autorité centrale du sport en France, chargée de son administration et de son développement.")</f>
        <v>La FFJST est l'autorité centrale du sport en France, chargée de son administration et de son développement.</v>
      </c>
    </row>
    <row r="68" ht="22.5" customHeight="1">
      <c r="A68" s="4">
        <v>67.0</v>
      </c>
      <c r="B68" s="5" t="s">
        <v>773</v>
      </c>
      <c r="C68" s="5" t="s">
        <v>774</v>
      </c>
      <c r="D68" s="5" t="s">
        <v>775</v>
      </c>
      <c r="E68" s="5" t="s">
        <v>776</v>
      </c>
      <c r="G68" s="6" t="str">
        <f>IFERROR(__xludf.DUMMYFUNCTION("GOOGLETRANSLATE(A68, ""en"", ""fr"")"),"67")</f>
        <v>67</v>
      </c>
      <c r="H68" s="6" t="str">
        <f>IFERROR(__xludf.DUMMYFUNCTION("GOOGLETRANSLATE(B68, ""en"", ""fr"")"),"Une équipe est pénalisée pour avoir reçu des « conseils en dehors de la zone désignée ». Qu'est-ce que cela signifie ?")</f>
        <v>Une équipe est pénalisée pour avoir reçu des « conseils en dehors de la zone désignée ». Qu'est-ce que cela signifie ?</v>
      </c>
      <c r="I68" s="6" t="str">
        <f>IFERROR(__xludf.DUMMYFUNCTION("GOOGLETRANSLATE(C68, ""en"", ""fr"")"),"A) Leur entraîneur criait trop fort. B) Leur entraîneur utilisait un téléphone portable. C) Une autre personne que l'entraîneur officiel donnait des instructions. D) L'entraîneur était sorti de sa zone délimitée.")</f>
        <v>A) Leur entraîneur criait trop fort. B) Leur entraîneur utilisait un téléphone portable. C) Une autre personne que l'entraîneur officiel donnait des instructions. D) L'entraîneur était sorti de sa zone délimitée.</v>
      </c>
      <c r="J68" s="6" t="str">
        <f>IFERROR(__xludf.DUMMYFUNCTION("GOOGLETRANSLATE(D68, ""en"", ""fr"")"),"D) L'entraîneur avait franchi la zone délimitée de son emplacement.")</f>
        <v>D) L'entraîneur avait franchi la zone délimitée de son emplacement.</v>
      </c>
      <c r="K68" s="6" t="str">
        <f>IFERROR(__xludf.DUMMYFUNCTION("GOOGLETRANSLATE(E68, ""en"", ""fr"")"),"Un entraîneur doit rester dans sa zone désignée lorsqu'il donne des instructions à son équipe pendant un match.")</f>
        <v>Un entraîneur doit rester dans sa zone désignée lorsqu'il donne des instructions à son équipe pendant un match.</v>
      </c>
    </row>
    <row r="69" ht="22.5" customHeight="1">
      <c r="A69" s="4">
        <v>68.0</v>
      </c>
      <c r="B69" s="5" t="s">
        <v>777</v>
      </c>
      <c r="C69" s="5" t="s">
        <v>672</v>
      </c>
      <c r="D69" s="5" t="s">
        <v>778</v>
      </c>
      <c r="E69" s="5" t="s">
        <v>779</v>
      </c>
      <c r="G69" s="6" t="str">
        <f>IFERROR(__xludf.DUMMYFUNCTION("GOOGLETRANSLATE(A69, ""en"", ""fr"")"),"68")</f>
        <v>68</v>
      </c>
      <c r="H69" s="6" t="str">
        <f>IFERROR(__xludf.DUMMYFUNCTION("GOOGLETRANSLATE(B69, ""en"", ""fr"")"),"Quelle est la décision à prendre si un joueur frappe la balle et que celle-ci heurte une ligne électrique aérienne traversant le terrain ?")</f>
        <v>Quelle est la décision à prendre si un joueur frappe la balle et que celle-ci heurte une ligne électrique aérienne traversant le terrain ?</v>
      </c>
      <c r="I69" s="6" t="str">
        <f>IFERROR(__xludf.DUMMYFUNCTION("GOOGLETRANSLATE(C69, ""en"", ""fr"")"),"A) Le point est rejoué. B) Le jeu continue. C) C'est une faute et l'équipe du joueur perd le point. D) C'est un point pour l'équipe qui a frappé.")</f>
        <v>A) Le point est rejoué. B) Le jeu continue. C) C'est une faute et l'équipe du joueur perd le point. D) C'est un point pour l'équipe qui a frappé.</v>
      </c>
      <c r="J69" s="6" t="str">
        <f>IFERROR(__xludf.DUMMYFUNCTION("GOOGLETRANSLATE(D69, ""en"", ""fr"")"),"A) Le point est rejoué")</f>
        <v>A) Le point est rejoué</v>
      </c>
      <c r="K69" s="6" t="str">
        <f>IFERROR(__xludf.DUMMYFUNCTION("GOOGLETRANSLATE(E69, ""en"", ""fr"")"),"Un câble aérien est un obstacle extérieur courant. Si une balle le touche, le point est considéré comme un « let » et est rejoué.")</f>
        <v>Un câble aérien est un obstacle extérieur courant. Si une balle le touche, le point est considéré comme un « let » et est rejoué.</v>
      </c>
    </row>
    <row r="70" ht="22.5" customHeight="1">
      <c r="A70" s="4">
        <v>69.0</v>
      </c>
      <c r="B70" s="5" t="s">
        <v>780</v>
      </c>
      <c r="C70" s="5" t="s">
        <v>781</v>
      </c>
      <c r="D70" s="5" t="s">
        <v>782</v>
      </c>
      <c r="E70" s="5" t="s">
        <v>783</v>
      </c>
      <c r="G70" s="6" t="str">
        <f>IFERROR(__xludf.DUMMYFUNCTION("GOOGLETRANSLATE(A70, ""en"", ""fr"")"),"69")</f>
        <v>69</v>
      </c>
      <c r="H70" s="6" t="str">
        <f>IFERROR(__xludf.DUMMYFUNCTION("GOOGLETRANSLATE(B70, ""en"", ""fr"")"),"Une équipe a remporté le premier set 6-2. Elle mène le deuxième set 5-5. Un tie-break est joué. Si elle remporte le tie-break, quel est le score final ?")</f>
        <v>Une équipe a remporté le premier set 6-2. Elle mène le deuxième set 5-5. Un tie-break est joué. Si elle remporte le tie-break, quel est le score final ?</v>
      </c>
      <c r="I70" s="6" t="str">
        <f>IFERROR(__xludf.DUMMYFUNCTION("GOOGLETRANSLATE(C70, ""en"", ""fr"")"),"A) 2 sets à 0, B) 1 set partout, C) Le match se poursuit en un troisième set, D) L'équipe gagne 6-5")</f>
        <v>A) 2 sets à 0, B) 1 set partout, C) Le match se poursuit en un troisième set, D) L'équipe gagne 6-5</v>
      </c>
      <c r="J70" s="6" t="str">
        <f>IFERROR(__xludf.DUMMYFUNCTION("GOOGLETRANSLATE(D70, ""en"", ""fr"")"),"A) 2 ensembles à 0")</f>
        <v>A) 2 ensembles à 0</v>
      </c>
      <c r="K70" s="6" t="str">
        <f>IFERROR(__xludf.DUMMYFUNCTION("GOOGLETRANSLATE(E70, ""en"", ""fr"")"),"Remporter le tie-break leur permet de gagner le deuxième set 6-5. Comme ils ont déjà gagné le premier set, ils remportent le match 2 sets à 0.")</f>
        <v>Remporter le tie-break leur permet de gagner le deuxième set 6-5. Comme ils ont déjà gagné le premier set, ils remportent le match 2 sets à 0.</v>
      </c>
    </row>
    <row r="71" ht="22.5" customHeight="1">
      <c r="A71" s="4">
        <v>70.0</v>
      </c>
      <c r="B71" s="5" t="s">
        <v>784</v>
      </c>
      <c r="C71" s="5" t="s">
        <v>785</v>
      </c>
      <c r="D71" s="5" t="s">
        <v>786</v>
      </c>
      <c r="E71" s="5" t="s">
        <v>787</v>
      </c>
      <c r="G71" s="6" t="str">
        <f>IFERROR(__xludf.DUMMYFUNCTION("GOOGLETRANSLATE(A71, ""en"", ""fr"")"),"70")</f>
        <v>70</v>
      </c>
      <c r="H71" s="6" t="str">
        <f>IFERROR(__xludf.DUMMYFUNCTION("GOOGLETRANSLATE(B71, ""en"", ""fr"")"),"Quelle est la principale raison pour laquelle les joueurs doivent porter un uniforme d'équipe lors d'une compétition ?")</f>
        <v>Quelle est la principale raison pour laquelle les joueurs doivent porter un uniforme d'équipe lors d'une compétition ?</v>
      </c>
      <c r="I71" s="6" t="str">
        <f>IFERROR(__xludf.DUMMYFUNCTION("GOOGLETRANSLATE(C71, ""en"", ""fr"")"),"A) Pour une présentation professionnelle et pour aider les officiels et les spectateurs à identifier les équipes, B) C'est une exigence des sponsors, C) Pour améliorer l'aérodynamisme des joueurs, D) C'est une tradition sans utilité pratique")</f>
        <v>A) Pour une présentation professionnelle et pour aider les officiels et les spectateurs à identifier les équipes, B) C'est une exigence des sponsors, C) Pour améliorer l'aérodynamisme des joueurs, D) C'est une tradition sans utilité pratique</v>
      </c>
      <c r="J71" s="6" t="str">
        <f>IFERROR(__xludf.DUMMYFUNCTION("GOOGLETRANSLATE(D71, ""en"", ""fr"")"),"A) Pour une présentation professionnelle et pour aider les officiels et les spectateurs à identifier les équipes")</f>
        <v>A) Pour une présentation professionnelle et pour aider les officiels et les spectateurs à identifier les équipes</v>
      </c>
      <c r="K71" s="6" t="str">
        <f>IFERROR(__xludf.DUMMYFUNCTION("GOOGLETRANSLATE(E71, ""en"", ""fr"")"),"Le port d'un uniforme est une exigence standard dans tous les sports organisés, afin de garantir une identification claire et un professionnalisme irréprochable.")</f>
        <v>Le port d'un uniforme est une exigence standard dans tous les sports organisés, afin de garantir une identification claire et un professionnalisme irréprochable.</v>
      </c>
    </row>
    <row r="72" ht="22.5" customHeight="1">
      <c r="A72" s="4">
        <v>71.0</v>
      </c>
      <c r="B72" s="5" t="s">
        <v>788</v>
      </c>
      <c r="C72" s="5" t="s">
        <v>789</v>
      </c>
      <c r="D72" s="5" t="s">
        <v>790</v>
      </c>
      <c r="E72" s="5" t="s">
        <v>791</v>
      </c>
      <c r="G72" s="6" t="str">
        <f>IFERROR(__xludf.DUMMYFUNCTION("GOOGLETRANSLATE(A72, ""en"", ""fr"")"),"71")</f>
        <v>71</v>
      </c>
      <c r="H72" s="6" t="str">
        <f>IFERROR(__xludf.DUMMYFUNCTION("GOOGLETRANSLATE(B72, ""en"", ""fr"")"),"Le service touche le sol et roule, effleurant la ligne de service adverse. Ce service est-il bon ?")</f>
        <v>Le service touche le sol et roule, effleurant la ligne de service adverse. Ce service est-il bon ?</v>
      </c>
      <c r="I72" s="6" t="str">
        <f>IFERROR(__xludf.DUMMYFUNCTION("GOOGLETRANSLATE(C72, ""en"", ""fr"")"),"A) Non, la balle doit atterrir au-delà de la ligne. B) Oui, toucher la ligne est bon. C) Le point est rejoué. D) C'est une faute.")</f>
        <v>A) Non, la balle doit atterrir au-delà de la ligne. B) Oui, toucher la ligne est bon. C) Le point est rejoué. D) C'est une faute.</v>
      </c>
      <c r="J72" s="6" t="str">
        <f>IFERROR(__xludf.DUMMYFUNCTION("GOOGLETRANSLATE(D72, ""en"", ""fr"")"),"A) Non, il doit atterrir au-delà de la ligne")</f>
        <v>A) Non, il doit atterrir au-delà de la ligne</v>
      </c>
      <c r="K72" s="6" t="str">
        <f>IFERROR(__xludf.DUMMYFUNCTION("GOOGLETRANSLATE(E72, ""en"", ""fr"")"),"Contrairement aux lignes de délimitation, la ligne de service ne fait pas partie de la zone de réception valide. La balle doit atterrir au-delà de cette ligne.")</f>
        <v>Contrairement aux lignes de délimitation, la ligne de service ne fait pas partie de la zone de réception valide. La balle doit atterrir au-delà de cette ligne.</v>
      </c>
    </row>
    <row r="73" ht="22.5" customHeight="1">
      <c r="A73" s="4">
        <v>72.0</v>
      </c>
      <c r="B73" s="5" t="s">
        <v>792</v>
      </c>
      <c r="C73" s="5" t="s">
        <v>793</v>
      </c>
      <c r="D73" s="5" t="s">
        <v>794</v>
      </c>
      <c r="E73" s="5" t="s">
        <v>795</v>
      </c>
      <c r="G73" s="6" t="str">
        <f>IFERROR(__xludf.DUMMYFUNCTION("GOOGLETRANSLATE(A73, ""en"", ""fr"")"),"72")</f>
        <v>72</v>
      </c>
      <c r="H73" s="6" t="str">
        <f>IFERROR(__xludf.DUMMYFUNCTION("GOOGLETRANSLATE(B73, ""en"", ""fr"")"),"Quel est le but principal du « tambourin » lui-même ?")</f>
        <v>Quel est le but principal du « tambourin » lui-même ?</v>
      </c>
      <c r="I73" s="6" t="str">
        <f>IFERROR(__xludf.DUMMYFUNCTION("GOOGLETRANSLATE(C73, ""en"", ""fr"")"),"A) C'est un bouclier défensif, B) Pour fournir une grande surface puissante pour frapper la balle, C) C'est un instrument de musique, D) C'est un symbole du sport")</f>
        <v>A) C'est un bouclier défensif, B) Pour fournir une grande surface puissante pour frapper la balle, C) C'est un instrument de musique, D) C'est un symbole du sport</v>
      </c>
      <c r="J73" s="6" t="str">
        <f>IFERROR(__xludf.DUMMYFUNCTION("GOOGLETRANSLATE(D73, ""en"", ""fr"")"),"B) Fournir une surface large et puissante pour frapper la balle")</f>
        <v>B) Fournir une surface large et puissante pour frapper la balle</v>
      </c>
      <c r="K73" s="6" t="str">
        <f>IFERROR(__xludf.DUMMYFUNCTION("GOOGLETRANSLATE(E73, ""en"", ""fr"")"),"Le tambourin est la batte de ce sport, un instrument unique conçu pour frapper la balle avec force et précision.")</f>
        <v>Le tambourin est la batte de ce sport, un instrument unique conçu pour frapper la balle avec force et précision.</v>
      </c>
    </row>
    <row r="74" ht="22.5" customHeight="1">
      <c r="A74" s="4">
        <v>73.0</v>
      </c>
      <c r="B74" s="5" t="s">
        <v>796</v>
      </c>
      <c r="C74" s="5" t="s">
        <v>797</v>
      </c>
      <c r="D74" s="5" t="s">
        <v>798</v>
      </c>
      <c r="E74" s="5" t="s">
        <v>799</v>
      </c>
      <c r="G74" s="6" t="str">
        <f>IFERROR(__xludf.DUMMYFUNCTION("GOOGLETRANSLATE(A74, ""en"", ""fr"")"),"73")</f>
        <v>73</v>
      </c>
      <c r="H74" s="6" t="str">
        <f>IFERROR(__xludf.DUMMYFUNCTION("GOOGLETRANSLATE(B74, ""en"", ""fr"")"),"Un joueur est sanctionné pour « injures verbales ». Qu'a-t-il bien pu faire ?")</f>
        <v>Un joueur est sanctionné pour « injures verbales ». Qu'a-t-il bien pu faire ?</v>
      </c>
      <c r="I74" s="6" t="str">
        <f>IFERROR(__xludf.DUMMYFUNCTION("GOOGLETRANSLATE(C74, ""en"", ""fr"")"),"A) A crié des instructions à un coéquipier, B) A argumenté respectueusement avec l'arbitre, C) A utilisé un langage insultant ou offensant envers un adversaire ou un officiel, D) A célébré un point bruyamment")</f>
        <v>A) A crié des instructions à un coéquipier, B) A argumenté respectueusement avec l'arbitre, C) A utilisé un langage insultant ou offensant envers un adversaire ou un officiel, D) A célébré un point bruyamment</v>
      </c>
      <c r="J74" s="6" t="str">
        <f>IFERROR(__xludf.DUMMYFUNCTION("GOOGLETRANSLATE(D74, ""en"", ""fr"")"),"C) A utilisé un langage insultant ou offensant envers un adversaire ou un officiel")</f>
        <v>C) A utilisé un langage insultant ou offensant envers un adversaire ou un officiel</v>
      </c>
      <c r="K74" s="6" t="str">
        <f>IFERROR(__xludf.DUMMYFUNCTION("GOOGLETRANSLATE(E74, ""en"", ""fr"")"),"Les injures verbales constituent une grave violation de l'esprit sportif et sont sanctionnées par un retrait de points ou une disqualification.")</f>
        <v>Les injures verbales constituent une grave violation de l'esprit sportif et sont sanctionnées par un retrait de points ou une disqualification.</v>
      </c>
    </row>
    <row r="75" ht="22.5" customHeight="1">
      <c r="A75" s="4">
        <v>74.0</v>
      </c>
      <c r="B75" s="5" t="s">
        <v>800</v>
      </c>
      <c r="C75" s="5" t="s">
        <v>801</v>
      </c>
      <c r="D75" s="5" t="s">
        <v>802</v>
      </c>
      <c r="E75" s="5" t="s">
        <v>803</v>
      </c>
      <c r="G75" s="6" t="str">
        <f>IFERROR(__xludf.DUMMYFUNCTION("GOOGLETRANSLATE(A75, ""en"", ""fr"")"),"74")</f>
        <v>74</v>
      </c>
      <c r="H75" s="6" t="str">
        <f>IFERROR(__xludf.DUMMYFUNCTION("GOOGLETRANSLATE(B75, ""en"", ""fr"")"),"En substance, la Balle au Tambourin est un type de quel genre de jeu ?")</f>
        <v>En substance, la Balle au Tambourin est un type de quel genre de jeu ?</v>
      </c>
      <c r="I75" s="6" t="str">
        <f>IFERROR(__xludf.DUMMYFUNCTION("GOOGLETRANSLATE(C75, ""en"", ""fr"")"),"A) Un jeu de filet et de mur, B) Un jeu de batte et de balle, C) Un jeu de but, D) Un jeu de cible")</f>
        <v>A) Un jeu de filet et de mur, B) Un jeu de batte et de balle, C) Un jeu de but, D) Un jeu de cible</v>
      </c>
      <c r="J75" s="6" t="str">
        <f>IFERROR(__xludf.DUMMYFUNCTION("GOOGLETRANSLATE(D75, ""en"", ""fr"")"),"B) Un jeu de batte et de balle")</f>
        <v>B) Un jeu de batte et de balle</v>
      </c>
      <c r="K75" s="6" t="str">
        <f>IFERROR(__xludf.DUMMYFUNCTION("GOOGLETRANSLATE(E75, ""en"", ""fr"")"),"Il appartient à la famille des jeux de balle et de batte, qui comprend le tennis, le cricket et le baseball.")</f>
        <v>Il appartient à la famille des jeux de balle et de batte, qui comprend le tennis, le cricket et le baseball.</v>
      </c>
    </row>
    <row r="76" ht="22.5" customHeight="1">
      <c r="A76" s="4">
        <v>75.0</v>
      </c>
      <c r="B76" s="5" t="s">
        <v>804</v>
      </c>
      <c r="C76" s="5" t="s">
        <v>805</v>
      </c>
      <c r="D76" s="5" t="s">
        <v>806</v>
      </c>
      <c r="E76" s="5" t="s">
        <v>807</v>
      </c>
      <c r="G76" s="6" t="str">
        <f>IFERROR(__xludf.DUMMYFUNCTION("GOOGLETRANSLATE(A76, ""en"", ""fr"")"),"75")</f>
        <v>75</v>
      </c>
      <c r="H76" s="6" t="str">
        <f>IFERROR(__xludf.DUMMYFUNCTION("GOOGLETRANSLATE(B76, ""en"", ""fr"")"),"Quelle est la principale raison de ces règles strictes concernant les substitutions ?")</f>
        <v>Quelle est la principale raison de ces règles strictes concernant les substitutions ?</v>
      </c>
      <c r="I76" s="6" t="str">
        <f>IFERROR(__xludf.DUMMYFUNCTION("GOOGLETRANSLATE(C76, ""en"", ""fr"")"),"A) Pour rendre le jeu plus difficile, B) Pour garantir l'équité et empêcher les équipes d'utiliser les remplacements à des fins tactiques de temporisation, C) Pour gagner du temps, D) Pour protéger les joueurs")</f>
        <v>A) Pour rendre le jeu plus difficile, B) Pour garantir l'équité et empêcher les équipes d'utiliser les remplacements à des fins tactiques de temporisation, C) Pour gagner du temps, D) Pour protéger les joueurs</v>
      </c>
      <c r="J76" s="6" t="str">
        <f>IFERROR(__xludf.DUMMYFUNCTION("GOOGLETRANSLATE(D76, ""en"", ""fr"")"),"B) Afin de garantir l'équité et d'empêcher les équipes d'utiliser les substitutions à des fins de temporisation tactique")</f>
        <v>B) Afin de garantir l'équité et d'empêcher les équipes d'utiliser les substitutions à des fins de temporisation tactique</v>
      </c>
      <c r="K76" s="6" t="str">
        <f>IFERROR(__xludf.DUMMYFUNCTION("GOOGLETRANSLATE(E76, ""en"", ""fr"")"),"Les règles sont conçues pour permettre des changements de joueurs en raison de blessures ou de choix tactiques, mais pas de manière à perturber le déroulement ou l'équité du jeu.")</f>
        <v>Les règles sont conçues pour permettre des changements de joueurs en raison de blessures ou de choix tactiques, mais pas de manière à perturber le déroulement ou l'équité du jeu.</v>
      </c>
    </row>
    <row r="77" ht="22.5" customHeight="1">
      <c r="A77" s="4">
        <v>76.0</v>
      </c>
      <c r="B77" s="5" t="s">
        <v>808</v>
      </c>
      <c r="C77" s="5" t="s">
        <v>720</v>
      </c>
      <c r="D77" s="5" t="s">
        <v>721</v>
      </c>
      <c r="E77" s="5" t="s">
        <v>722</v>
      </c>
      <c r="G77" s="6" t="str">
        <f>IFERROR(__xludf.DUMMYFUNCTION("GOOGLETRANSLATE(A77, ""en"", ""fr"")"),"76")</f>
        <v>76</v>
      </c>
      <c r="H77" s="6" t="str">
        <f>IFERROR(__xludf.DUMMYFUNCTION("GOOGLETRANSLATE(B77, ""en"", ""fr"")"),"Un joueur frappe la balle, et celle-ci touche son propre coéquipier avant de franchir la ligne médiane. Quelle est la décision arbitrale ?")</f>
        <v>Un joueur frappe la balle, et celle-ci touche son propre coéquipier avant de franchir la ligne médiane. Quelle est la décision arbitrale ?</v>
      </c>
      <c r="I77" s="6" t="str">
        <f>IFERROR(__xludf.DUMMYFUNCTION("GOOGLETRANSLATE(C77, ""en"", ""fr"")"),"A) C'est une faute, et l'équipe perd le point. B) Le point est rejoué. C) Le jeu continue car il s'agissait d'un accident. D) Le joueur touché est pénalisé.")</f>
        <v>A) C'est une faute, et l'équipe perd le point. B) Le point est rejoué. C) Le jeu continue car il s'agissait d'un accident. D) Le joueur touché est pénalisé.</v>
      </c>
      <c r="J77" s="6" t="str">
        <f>IFERROR(__xludf.DUMMYFUNCTION("GOOGLETRANSLATE(D77, ""en"", ""fr"")"),"A) C'est une faute, et l'équipe perd le point.")</f>
        <v>A) C'est une faute, et l'équipe perd le point.</v>
      </c>
      <c r="K77" s="6" t="str">
        <f>IFERROR(__xludf.DUMMYFUNCTION("GOOGLETRANSLATE(E77, ""en"", ""fr"")"),"Si un joueur est touché par une balle frappée par son équipe (avant qu'elle n'ait été jouée par un adversaire), il s'agit d'une faute.")</f>
        <v>Si un joueur est touché par une balle frappée par son équipe (avant qu'elle n'ait été jouée par un adversaire), il s'agit d'une faute.</v>
      </c>
    </row>
    <row r="78" ht="22.5" customHeight="1">
      <c r="A78" s="4">
        <v>77.0</v>
      </c>
      <c r="B78" s="5" t="s">
        <v>761</v>
      </c>
      <c r="C78" s="5" t="s">
        <v>762</v>
      </c>
      <c r="D78" s="5" t="s">
        <v>763</v>
      </c>
      <c r="E78" s="5" t="s">
        <v>764</v>
      </c>
      <c r="G78" s="6" t="str">
        <f>IFERROR(__xludf.DUMMYFUNCTION("GOOGLETRANSLATE(A78, ""en"", ""fr"")"),"77")</f>
        <v>77</v>
      </c>
      <c r="H78" s="6" t="str">
        <f>IFERROR(__xludf.DUMMYFUNCTION("GOOGLETRANSLATE(B78, ""en"", ""fr"")"),"Quelle est la règle si un joueur lance son tambourin pour frapper la balle ?")</f>
        <v>Quelle est la règle si un joueur lance son tambourin pour frapper la balle ?</v>
      </c>
      <c r="I78" s="6" t="str">
        <f>IFERROR(__xludf.DUMMYFUNCTION("GOOGLETRANSLATE(C78, ""en"", ""fr"")"),"A) C'est un geste légal, même s'il est désespéré. B) C'est une faute pour avoir « jeté la batte ». C) Le point est rejoué. D) Le joueur est disqualifié.")</f>
        <v>A) C'est un geste légal, même s'il est désespéré. B) C'est une faute pour avoir « jeté la batte ». C) Le point est rejoué. D) Le joueur est disqualifié.</v>
      </c>
      <c r="J78" s="6" t="str">
        <f>IFERROR(__xludf.DUMMYFUNCTION("GOOGLETRANSLATE(D78, ""en"", ""fr"")"),"B) C'est une faute pour « avoir jeté la batte »")</f>
        <v>B) C'est une faute pour « avoir jeté la batte »</v>
      </c>
      <c r="K78" s="6" t="str">
        <f>IFERROR(__xludf.DUMMYFUNCTION("GOOGLETRANSLATE(E78, ""en"", ""fr"")"),"Le tambourin doit être tenu à la main lors de la frappe de la balle. Le jeter constitue une faute manifeste.")</f>
        <v>Le tambourin doit être tenu à la main lors de la frappe de la balle. Le jeter constitue une faute manifeste.</v>
      </c>
    </row>
    <row r="79" ht="22.5" customHeight="1">
      <c r="A79" s="4">
        <v>78.0</v>
      </c>
      <c r="B79" s="5" t="s">
        <v>765</v>
      </c>
      <c r="C79" s="5" t="s">
        <v>766</v>
      </c>
      <c r="D79" s="5" t="s">
        <v>767</v>
      </c>
      <c r="E79" s="5" t="s">
        <v>768</v>
      </c>
      <c r="G79" s="6" t="str">
        <f>IFERROR(__xludf.DUMMYFUNCTION("GOOGLETRANSLATE(A79, ""en"", ""fr"")"),"78")</f>
        <v>78</v>
      </c>
      <c r="H79" s="6" t="str">
        <f>IFERROR(__xludf.DUMMYFUNCTION("GOOGLETRANSLATE(B79, ""en"", ""fr"")"),"Au jeu en salle, un joueur frappe la balle, qui heurte le mur latéral avant d'atterrir dans le camp adverse. Ce coup est-il autorisé ?")</f>
        <v>Au jeu en salle, un joueur frappe la balle, qui heurte le mur latéral avant d'atterrir dans le camp adverse. Ce coup est-il autorisé ?</v>
      </c>
      <c r="I79" s="6" t="str">
        <f>IFERROR(__xludf.DUMMYFUNCTION("GOOGLETRANSLATE(C79, ""en"", ""fr"")"),"A) Oui, dans certaines versions, les murs latéraux sont pris en compte. B) Non, c'est une faute. C) Le point est rejoué. D) Uniquement si la balle touche d'abord le mur du fond.")</f>
        <v>A) Oui, dans certaines versions, les murs latéraux sont pris en compte. B) Non, c'est une faute. C) Le point est rejoué. D) Uniquement si la balle touche d'abord le mur du fond.</v>
      </c>
      <c r="J79" s="6" t="str">
        <f>IFERROR(__xludf.DUMMYFUNCTION("GOOGLETRANSLATE(D79, ""en"", ""fr"")"),"A) Oui, dans certaines versions, les murs latéraux entrent en jeu.")</f>
        <v>A) Oui, dans certaines versions, les murs latéraux entrent en jeu.</v>
      </c>
      <c r="K79" s="6" t="str">
        <f>IFERROR(__xludf.DUMMYFUNCTION("GOOGLETRANSLATE(E79, ""en"", ""fr"")"),"Dans certaines formes de Tamburello en salle (comme le « Tamburello a Muro »), jouer la balle contre les murs latéraux est une partie légale et stratégique du jeu.")</f>
        <v>Dans certaines formes de Tamburello en salle (comme le « Tamburello a Muro »), jouer la balle contre les murs latéraux est une partie légale et stratégique du jeu.</v>
      </c>
    </row>
    <row r="80" ht="22.5" customHeight="1">
      <c r="A80" s="4">
        <v>79.0</v>
      </c>
      <c r="B80" s="5" t="s">
        <v>769</v>
      </c>
      <c r="C80" s="5" t="s">
        <v>770</v>
      </c>
      <c r="D80" s="5" t="s">
        <v>771</v>
      </c>
      <c r="E80" s="5" t="s">
        <v>772</v>
      </c>
      <c r="G80" s="6" t="str">
        <f>IFERROR(__xludf.DUMMYFUNCTION("GOOGLETRANSLATE(A80, ""en"", ""fr"")"),"79")</f>
        <v>79</v>
      </c>
      <c r="H80" s="6" t="str">
        <f>IFERROR(__xludf.DUMMYFUNCTION("GOOGLETRANSLATE(B80, ""en"", ""fr"")"),"Quel est le rôle principal de la Fédération Française de Jeu de Balle au Tambourin (FFJST) ?")</f>
        <v>Quel est le rôle principal de la Fédération Française de Jeu de Balle au Tambourin (FFJST) ?</v>
      </c>
      <c r="I80" s="6" t="str">
        <f>IFERROR(__xludf.DUMMYFUNCTION("GOOGLETRANSLATE(C80, ""en"", ""fr"")"),"A) Fournir du matériel aux clubs, B) Être l'instance dirigeante officielle qui organise les championnats et fixe les règles, C) Rémunérer les joueurs, D) Promouvoir le sport à la télévision")</f>
        <v>A) Fournir du matériel aux clubs, B) Être l'instance dirigeante officielle qui organise les championnats et fixe les règles, C) Rémunérer les joueurs, D) Promouvoir le sport à la télévision</v>
      </c>
      <c r="J80" s="6" t="str">
        <f>IFERROR(__xludf.DUMMYFUNCTION("GOOGLETRANSLATE(D80, ""en"", ""fr"")"),"B) Être l'instance dirigeante officielle qui organise les championnats et établit les règles")</f>
        <v>B) Être l'instance dirigeante officielle qui organise les championnats et établit les règles</v>
      </c>
      <c r="K80" s="6" t="str">
        <f>IFERROR(__xludf.DUMMYFUNCTION("GOOGLETRANSLATE(E80, ""en"", ""fr"")"),"La FFJST est l'autorité centrale du sport en France, chargée de son administration et de son développement.")</f>
        <v>La FFJST est l'autorité centrale du sport en France, chargée de son administration et de son développement.</v>
      </c>
    </row>
    <row r="81" ht="22.5" customHeight="1">
      <c r="A81" s="4">
        <v>80.0</v>
      </c>
      <c r="B81" s="5" t="s">
        <v>773</v>
      </c>
      <c r="C81" s="5" t="s">
        <v>774</v>
      </c>
      <c r="D81" s="5" t="s">
        <v>775</v>
      </c>
      <c r="E81" s="5" t="s">
        <v>776</v>
      </c>
      <c r="G81" s="6" t="str">
        <f>IFERROR(__xludf.DUMMYFUNCTION("GOOGLETRANSLATE(A81, ""en"", ""fr"")"),"80")</f>
        <v>80</v>
      </c>
      <c r="H81" s="6" t="str">
        <f>IFERROR(__xludf.DUMMYFUNCTION("GOOGLETRANSLATE(B81, ""en"", ""fr"")"),"Une équipe est pénalisée pour avoir reçu des « conseils en dehors de la zone désignée ». Qu'est-ce que cela signifie ?")</f>
        <v>Une équipe est pénalisée pour avoir reçu des « conseils en dehors de la zone désignée ». Qu'est-ce que cela signifie ?</v>
      </c>
      <c r="I81" s="6" t="str">
        <f>IFERROR(__xludf.DUMMYFUNCTION("GOOGLETRANSLATE(C81, ""en"", ""fr"")"),"A) Leur entraîneur criait trop fort. B) Leur entraîneur utilisait un téléphone portable. C) Une autre personne que l'entraîneur officiel donnait des instructions. D) L'entraîneur était sorti de sa zone délimitée.")</f>
        <v>A) Leur entraîneur criait trop fort. B) Leur entraîneur utilisait un téléphone portable. C) Une autre personne que l'entraîneur officiel donnait des instructions. D) L'entraîneur était sorti de sa zone délimitée.</v>
      </c>
      <c r="J81" s="6" t="str">
        <f>IFERROR(__xludf.DUMMYFUNCTION("GOOGLETRANSLATE(D81, ""en"", ""fr"")"),"D) L'entraîneur avait franchi la zone délimitée de son emplacement.")</f>
        <v>D) L'entraîneur avait franchi la zone délimitée de son emplacement.</v>
      </c>
      <c r="K81" s="6" t="str">
        <f>IFERROR(__xludf.DUMMYFUNCTION("GOOGLETRANSLATE(E81, ""en"", ""fr"")"),"Un entraîneur doit rester dans sa zone désignée lorsqu'il donne des instructions à son équipe pendant un match.")</f>
        <v>Un entraîneur doit rester dans sa zone désignée lorsqu'il donne des instructions à son équipe pendant un match.</v>
      </c>
    </row>
    <row r="82" ht="22.5" customHeight="1">
      <c r="A82" s="4">
        <v>81.0</v>
      </c>
      <c r="B82" s="5" t="s">
        <v>809</v>
      </c>
      <c r="C82" s="5" t="s">
        <v>810</v>
      </c>
      <c r="D82" s="5" t="s">
        <v>782</v>
      </c>
      <c r="E82" s="5" t="s">
        <v>783</v>
      </c>
      <c r="G82" s="6" t="str">
        <f>IFERROR(__xludf.DUMMYFUNCTION("GOOGLETRANSLATE(A82, ""en"", ""fr"")"),"81")</f>
        <v>81</v>
      </c>
      <c r="H82" s="6" t="str">
        <f>IFERROR(__xludf.DUMMYFUNCTION("GOOGLETRANSLATE(B82, ""en"", ""fr"")"),"Une équipe a remporté le premier set 6-2. Elle mène le deuxième set 5-5. Un tie-break est joué. Si elle remporte le tie-break, quel est le score final du match ?")</f>
        <v>Une équipe a remporté le premier set 6-2. Elle mène le deuxième set 5-5. Un tie-break est joué. Si elle remporte le tie-break, quel est le score final du match ?</v>
      </c>
      <c r="I82" s="6" t="str">
        <f>IFERROR(__xludf.DUMMYFUNCTION("GOOGLETRANSLATE(C82, ""en"", ""fr"")"),"A) 2 sets à 0, B) 1 set partout, C) Le match se poursuit avec un troisième set, D) L'équipe remporte le deuxième set 6-5")</f>
        <v>A) 2 sets à 0, B) 1 set partout, C) Le match se poursuit avec un troisième set, D) L'équipe remporte le deuxième set 6-5</v>
      </c>
      <c r="J82" s="6" t="str">
        <f>IFERROR(__xludf.DUMMYFUNCTION("GOOGLETRANSLATE(D82, ""en"", ""fr"")"),"A) 2 ensembles à 0")</f>
        <v>A) 2 ensembles à 0</v>
      </c>
      <c r="K82" s="6" t="str">
        <f>IFERROR(__xludf.DUMMYFUNCTION("GOOGLETRANSLATE(E82, ""en"", ""fr"")"),"Remporter le tie-break leur permet de gagner le deuxième set 6-5. Comme ils ont déjà gagné le premier set, ils remportent le match 2 sets à 0.")</f>
        <v>Remporter le tie-break leur permet de gagner le deuxième set 6-5. Comme ils ont déjà gagné le premier set, ils remportent le match 2 sets à 0.</v>
      </c>
    </row>
    <row r="83" ht="22.5" customHeight="1">
      <c r="A83" s="4">
        <v>82.0</v>
      </c>
      <c r="B83" s="5" t="s">
        <v>792</v>
      </c>
      <c r="C83" s="5" t="s">
        <v>793</v>
      </c>
      <c r="D83" s="5" t="s">
        <v>794</v>
      </c>
      <c r="E83" s="5" t="s">
        <v>795</v>
      </c>
      <c r="G83" s="6" t="str">
        <f>IFERROR(__xludf.DUMMYFUNCTION("GOOGLETRANSLATE(A83, ""en"", ""fr"")"),"82")</f>
        <v>82</v>
      </c>
      <c r="H83" s="6" t="str">
        <f>IFERROR(__xludf.DUMMYFUNCTION("GOOGLETRANSLATE(B83, ""en"", ""fr"")"),"Quel est le but principal du « tambourin » lui-même ?")</f>
        <v>Quel est le but principal du « tambourin » lui-même ?</v>
      </c>
      <c r="I83" s="6" t="str">
        <f>IFERROR(__xludf.DUMMYFUNCTION("GOOGLETRANSLATE(C83, ""en"", ""fr"")"),"A) C'est un bouclier défensif, B) Pour fournir une grande surface puissante pour frapper la balle, C) C'est un instrument de musique, D) C'est un symbole du sport")</f>
        <v>A) C'est un bouclier défensif, B) Pour fournir une grande surface puissante pour frapper la balle, C) C'est un instrument de musique, D) C'est un symbole du sport</v>
      </c>
      <c r="J83" s="6" t="str">
        <f>IFERROR(__xludf.DUMMYFUNCTION("GOOGLETRANSLATE(D83, ""en"", ""fr"")"),"B) Fournir une surface large et puissante pour frapper la balle")</f>
        <v>B) Fournir une surface large et puissante pour frapper la balle</v>
      </c>
      <c r="K83" s="6" t="str">
        <f>IFERROR(__xludf.DUMMYFUNCTION("GOOGLETRANSLATE(E83, ""en"", ""fr"")"),"Le tambourin est la batte de ce sport, un instrument unique conçu pour frapper la balle avec force et précision.")</f>
        <v>Le tambourin est la batte de ce sport, un instrument unique conçu pour frapper la balle avec force et précision.</v>
      </c>
    </row>
    <row r="84" ht="22.5" customHeight="1">
      <c r="A84" s="4">
        <v>83.0</v>
      </c>
      <c r="B84" s="5" t="s">
        <v>796</v>
      </c>
      <c r="C84" s="5" t="s">
        <v>797</v>
      </c>
      <c r="D84" s="5" t="s">
        <v>798</v>
      </c>
      <c r="E84" s="5" t="s">
        <v>799</v>
      </c>
      <c r="G84" s="6" t="str">
        <f>IFERROR(__xludf.DUMMYFUNCTION("GOOGLETRANSLATE(A84, ""en"", ""fr"")"),"83")</f>
        <v>83</v>
      </c>
      <c r="H84" s="6" t="str">
        <f>IFERROR(__xludf.DUMMYFUNCTION("GOOGLETRANSLATE(B84, ""en"", ""fr"")"),"Un joueur est sanctionné pour « injures verbales ». Qu'a-t-il bien pu faire ?")</f>
        <v>Un joueur est sanctionné pour « injures verbales ». Qu'a-t-il bien pu faire ?</v>
      </c>
      <c r="I84" s="6" t="str">
        <f>IFERROR(__xludf.DUMMYFUNCTION("GOOGLETRANSLATE(C84, ""en"", ""fr"")"),"A) A crié des instructions à un coéquipier, B) A argumenté respectueusement avec l'arbitre, C) A utilisé un langage insultant ou offensant envers un adversaire ou un officiel, D) A célébré un point bruyamment")</f>
        <v>A) A crié des instructions à un coéquipier, B) A argumenté respectueusement avec l'arbitre, C) A utilisé un langage insultant ou offensant envers un adversaire ou un officiel, D) A célébré un point bruyamment</v>
      </c>
      <c r="J84" s="6" t="str">
        <f>IFERROR(__xludf.DUMMYFUNCTION("GOOGLETRANSLATE(D84, ""en"", ""fr"")"),"C) A utilisé un langage insultant ou offensant envers un adversaire ou un officiel")</f>
        <v>C) A utilisé un langage insultant ou offensant envers un adversaire ou un officiel</v>
      </c>
      <c r="K84" s="6" t="str">
        <f>IFERROR(__xludf.DUMMYFUNCTION("GOOGLETRANSLATE(E84, ""en"", ""fr"")"),"Les injures verbales constituent une grave violation de l'esprit sportif et sont sanctionnées par un retrait de points ou une disqualification.")</f>
        <v>Les injures verbales constituent une grave violation de l'esprit sportif et sont sanctionnées par un retrait de points ou une disqualification.</v>
      </c>
    </row>
    <row r="85" ht="22.5" customHeight="1">
      <c r="A85" s="4">
        <v>84.0</v>
      </c>
      <c r="B85" s="5" t="s">
        <v>804</v>
      </c>
      <c r="C85" s="5" t="s">
        <v>805</v>
      </c>
      <c r="D85" s="5" t="s">
        <v>806</v>
      </c>
      <c r="E85" s="5" t="s">
        <v>807</v>
      </c>
      <c r="G85" s="6" t="str">
        <f>IFERROR(__xludf.DUMMYFUNCTION("GOOGLETRANSLATE(A85, ""en"", ""fr"")"),"84")</f>
        <v>84</v>
      </c>
      <c r="H85" s="6" t="str">
        <f>IFERROR(__xludf.DUMMYFUNCTION("GOOGLETRANSLATE(B85, ""en"", ""fr"")"),"Quelle est la principale raison de ces règles strictes concernant les substitutions ?")</f>
        <v>Quelle est la principale raison de ces règles strictes concernant les substitutions ?</v>
      </c>
      <c r="I85" s="6" t="str">
        <f>IFERROR(__xludf.DUMMYFUNCTION("GOOGLETRANSLATE(C85, ""en"", ""fr"")"),"A) Pour rendre le jeu plus difficile, B) Pour garantir l'équité et empêcher les équipes d'utiliser les remplacements à des fins tactiques de temporisation, C) Pour gagner du temps, D) Pour protéger les joueurs")</f>
        <v>A) Pour rendre le jeu plus difficile, B) Pour garantir l'équité et empêcher les équipes d'utiliser les remplacements à des fins tactiques de temporisation, C) Pour gagner du temps, D) Pour protéger les joueurs</v>
      </c>
      <c r="J85" s="6" t="str">
        <f>IFERROR(__xludf.DUMMYFUNCTION("GOOGLETRANSLATE(D85, ""en"", ""fr"")"),"B) Afin de garantir l'équité et d'empêcher les équipes d'utiliser les substitutions à des fins de temporisation tactique")</f>
        <v>B) Afin de garantir l'équité et d'empêcher les équipes d'utiliser les substitutions à des fins de temporisation tactique</v>
      </c>
      <c r="K85" s="6" t="str">
        <f>IFERROR(__xludf.DUMMYFUNCTION("GOOGLETRANSLATE(E85, ""en"", ""fr"")"),"Les règles sont conçues pour permettre des changements de joueurs en raison de blessures ou de choix tactiques, mais pas de manière à perturber le déroulement ou l'équité du jeu.")</f>
        <v>Les règles sont conçues pour permettre des changements de joueurs en raison de blessures ou de choix tactiques, mais pas de manière à perturber le déroulement ou l'équité du jeu.</v>
      </c>
    </row>
    <row r="86" ht="22.5" customHeight="1">
      <c r="A86" s="4">
        <v>85.0</v>
      </c>
      <c r="B86" s="5" t="s">
        <v>711</v>
      </c>
      <c r="C86" s="5" t="s">
        <v>712</v>
      </c>
      <c r="D86" s="5" t="s">
        <v>713</v>
      </c>
      <c r="E86" s="5" t="s">
        <v>714</v>
      </c>
      <c r="G86" s="6" t="str">
        <f>IFERROR(__xludf.DUMMYFUNCTION("GOOGLETRANSLATE(A86, ""en"", ""fr"")"),"85")</f>
        <v>85</v>
      </c>
      <c r="H86" s="6" t="str">
        <f>IFERROR(__xludf.DUMMYFUNCTION("GOOGLETRANSLATE(B86, ""en"", ""fr"")"),"Un joueur est surpris à utiliser un tambourin à double couche de peau synthétique pour créer un effet de « trampoline ». Quelle est la décision ?")</f>
        <v>Un joueur est surpris à utiliser un tambourin à double couche de peau synthétique pour créer un effet de « trampoline ». Quelle est la décision ?</v>
      </c>
      <c r="I86" s="6" t="str">
        <f>IFERROR(__xludf.DUMMYFUNCTION("GOOGLETRANSLATE(C86, ""en"", ""fr"")"),"A) Il s'agit d'une innovation légale. B) Le tambourin est illégal et le joueur est disqualifié. C) Le joueur peut l'utiliser mais ne peut pas marquer de points. D) Un avertissement est donné.")</f>
        <v>A) Il s'agit d'une innovation légale. B) Le tambourin est illégal et le joueur est disqualifié. C) Le joueur peut l'utiliser mais ne peut pas marquer de points. D) Un avertissement est donné.</v>
      </c>
      <c r="J86" s="6" t="str">
        <f>IFERROR(__xludf.DUMMYFUNCTION("GOOGLETRANSLATE(D86, ""en"", ""fr"")"),"B) Le tambourin est illégal et le joueur est disqualifié.")</f>
        <v>B) Le tambourin est illégal et le joueur est disqualifié.</v>
      </c>
      <c r="K86" s="6" t="str">
        <f>IFERROR(__xludf.DUMMYFUNCTION("GOOGLETRANSLATE(E86, ""en"", ""fr"")"),"Tout le matériel doit être conforme aux normes officielles. Toute altération du tambourin visant à obtenir un avantage indu constitue une infraction grave.")</f>
        <v>Tout le matériel doit être conforme aux normes officielles. Toute altération du tambourin visant à obtenir un avantage indu constitue une infraction grave.</v>
      </c>
    </row>
    <row r="87" ht="22.5" customHeight="1">
      <c r="A87" s="4">
        <v>86.0</v>
      </c>
      <c r="B87" s="5" t="s">
        <v>723</v>
      </c>
      <c r="C87" s="5" t="s">
        <v>724</v>
      </c>
      <c r="D87" s="5" t="s">
        <v>725</v>
      </c>
      <c r="E87" s="5" t="s">
        <v>726</v>
      </c>
      <c r="G87" s="6" t="str">
        <f>IFERROR(__xludf.DUMMYFUNCTION("GOOGLETRANSLATE(A87, ""en"", ""fr"")"),"86")</f>
        <v>86</v>
      </c>
      <c r="H87" s="6" t="str">
        <f>IFERROR(__xludf.DUMMYFUNCTION("GOOGLETRANSLATE(B87, ""en"", ""fr"")"),"Quel est le rôle principal des joueurs des tiers ?")</f>
        <v>Quel est le rôle principal des joueurs des tiers ?</v>
      </c>
      <c r="I87" s="6" t="str">
        <f>IFERROR(__xludf.DUMMYFUNCTION("GOOGLETRANSLATE(C87, ""en"", ""fr"")"),"A) Ce sont les serveurs principaux, B) Ce sont des joueurs polyvalents qui contrôlent le milieu de terrain, jouant à la fois en attaque et en défense, C) Ce sont des spécialistes de la défense qui ne font que bloquer, D) Ce sont des remplaçants")</f>
        <v>A) Ce sont les serveurs principaux, B) Ce sont des joueurs polyvalents qui contrôlent le milieu de terrain, jouant à la fois en attaque et en défense, C) Ce sont des spécialistes de la défense qui ne font que bloquer, D) Ce sont des remplaçants</v>
      </c>
      <c r="J87" s="6" t="str">
        <f>IFERROR(__xludf.DUMMYFUNCTION("GOOGLETRANSLATE(D87, ""en"", ""fr"")"),"B) Ce sont des joueurs polyvalents qui contrôlent le milieu de terrain, jouant à la fois en attaque et en défense.")</f>
        <v>B) Ce sont des joueurs polyvalents qui contrôlent le milieu de terrain, jouant à la fois en attaque et en défense.</v>
      </c>
      <c r="K87" s="6" t="str">
        <f>IFERROR(__xludf.DUMMYFUNCTION("GOOGLETRANSLATE(E87, ""en"", ""fr"")"),"Les milieux défensifs sont les joueurs polyvalents de l'équipe, chargés d'assurer la liaison entre l'avant et l'arrière du terrain.")</f>
        <v>Les milieux défensifs sont les joueurs polyvalents de l'équipe, chargés d'assurer la liaison entre l'avant et l'arrière du terrain.</v>
      </c>
    </row>
    <row r="88" ht="22.5" customHeight="1">
      <c r="A88" s="4">
        <v>87.0</v>
      </c>
      <c r="B88" s="5" t="s">
        <v>727</v>
      </c>
      <c r="C88" s="5" t="s">
        <v>728</v>
      </c>
      <c r="D88" s="5" t="s">
        <v>729</v>
      </c>
      <c r="E88" s="5" t="s">
        <v>730</v>
      </c>
      <c r="G88" s="6" t="str">
        <f>IFERROR(__xludf.DUMMYFUNCTION("GOOGLETRANSLATE(A88, ""en"", ""fr"")"),"87")</f>
        <v>87</v>
      </c>
      <c r="H88" s="6" t="str">
        <f>IFERROR(__xludf.DUMMYFUNCTION("GOOGLETRANSLATE(B88, ""en"", ""fr"")"),"Un joueur est pénalisé pour « contact prolongé » avec le ballon. Qu'est-ce que cela signifie ?")</f>
        <v>Un joueur est pénalisé pour « contact prolongé » avec le ballon. Qu'est-ce que cela signifie ?</v>
      </c>
      <c r="I88" s="6" t="str">
        <f>IFERROR(__xludf.DUMMYFUNCTION("GOOGLETRANSLATE(C88, ""en"", ""fr"")"),"A) Ils ont frappé la balle deux fois, B) Ils ont attrapé ou retenu la balle sur le tambourin au lieu de la frapper proprement, C) Ils ont tenu la balle avec leur main, D) Ils ont mis trop de temps à frapper la balle")</f>
        <v>A) Ils ont frappé la balle deux fois, B) Ils ont attrapé ou retenu la balle sur le tambourin au lieu de la frapper proprement, C) Ils ont tenu la balle avec leur main, D) Ils ont mis trop de temps à frapper la balle</v>
      </c>
      <c r="J88" s="6" t="str">
        <f>IFERROR(__xludf.DUMMYFUNCTION("GOOGLETRANSLATE(D88, ""en"", ""fr"")"),"B) Ils ont attrapé ou retenu la balle sur le tambourin au lieu de la frapper proprement.")</f>
        <v>B) Ils ont attrapé ou retenu la balle sur le tambourin au lieu de la frapper proprement.</v>
      </c>
      <c r="K88" s="6" t="str">
        <f>IFERROR(__xludf.DUMMYFUNCTION("GOOGLETRANSLATE(E88, ""en"", ""fr"")"),"La balle doit être frappée d'un seul mouvement distinct. La ramasser, la porter ou la retenir sur le tambourin constitue une faute.")</f>
        <v>La balle doit être frappée d'un seul mouvement distinct. La ramasser, la porter ou la retenir sur le tambourin constitue une faute.</v>
      </c>
    </row>
    <row r="89" ht="22.5" customHeight="1">
      <c r="A89" s="4">
        <v>88.0</v>
      </c>
      <c r="B89" s="5" t="s">
        <v>731</v>
      </c>
      <c r="C89" s="5" t="s">
        <v>732</v>
      </c>
      <c r="D89" s="5" t="s">
        <v>733</v>
      </c>
      <c r="E89" s="5" t="s">
        <v>811</v>
      </c>
      <c r="G89" s="6" t="str">
        <f>IFERROR(__xludf.DUMMYFUNCTION("GOOGLETRANSLATE(A89, ""en"", ""fr"")"),"88")</f>
        <v>88</v>
      </c>
      <c r="H89" s="6" t="str">
        <f>IFERROR(__xludf.DUMMYFUNCTION("GOOGLETRANSLATE(B89, ""en"", ""fr"")"),"Comment les points sont-ils marqués lors d'un match décisif ?")</f>
        <v>Comment les points sont-ils marqués lors d'un match décisif ?</v>
      </c>
      <c r="I89" s="6" t="str">
        <f>IFERROR(__xludf.DUMMYFUNCTION("GOOGLETRANSLATE(C89, ""en"", ""fr"")"),"A) Avec le système 15-30-40, B) Avec des points séquentiels (1, 2, 3, etc.), C) La première équipe à marquer gagne, D) Par un vote des juges")</f>
        <v>A) Avec le système 15-30-40, B) Avec des points séquentiels (1, 2, 3, etc.), C) La première équipe à marquer gagne, D) Par un vote des juges</v>
      </c>
      <c r="J89" s="6" t="str">
        <f>IFERROR(__xludf.DUMMYFUNCTION("GOOGLETRANSLATE(D89, ""en"", ""fr"")"),"B) Avec des points séquentiels (1, 2, 3, etc.)")</f>
        <v>B) Avec des points séquentiels (1, 2, 3, etc.)</v>
      </c>
      <c r="K89" s="6" t="str">
        <f>IFERROR(__xludf.DUMMYFUNCTION("GOOGLETRANSLATE(E89, ""en"", ""fr"")"),"Le tie-break utilise un système de points numérique simple, généralement joué en 7 ou 8 points, pour décider du set.")</f>
        <v>Le tie-break utilise un système de points numérique simple, généralement joué en 7 ou 8 points, pour décider du set.</v>
      </c>
    </row>
    <row r="90" ht="22.5" customHeight="1">
      <c r="A90" s="4">
        <v>89.0</v>
      </c>
      <c r="B90" s="5" t="s">
        <v>735</v>
      </c>
      <c r="C90" s="5" t="s">
        <v>736</v>
      </c>
      <c r="D90" s="5" t="s">
        <v>433</v>
      </c>
      <c r="E90" s="5" t="s">
        <v>812</v>
      </c>
      <c r="G90" s="6" t="str">
        <f>IFERROR(__xludf.DUMMYFUNCTION("GOOGLETRANSLATE(A90, ""en"", ""fr"")"),"89")</f>
        <v>89</v>
      </c>
      <c r="H90" s="6" t="str">
        <f>IFERROR(__xludf.DUMMYFUNCTION("GOOGLETRANSLATE(B90, ""en"", ""fr"")"),"Un joueur porte des chaussures à crampons. Pourquoi est-ce une faute ?")</f>
        <v>Un joueur porte des chaussures à crampons. Pourquoi est-ce une faute ?</v>
      </c>
      <c r="I90" s="6" t="str">
        <f>IFERROR(__xludf.DUMMYFUNCTION("GOOGLETRANSLATE(C90, ""en"", ""fr"")"),"A) Cela peut endommager la surface de jeu en asphalte, B) Cela donne un avantage injuste en termes d'adhérence, C) Cela représente un danger pour la sécurité des autres joueurs, D) Toutes les réponses ci-dessus")</f>
        <v>A) Cela peut endommager la surface de jeu en asphalte, B) Cela donne un avantage injuste en termes d'adhérence, C) Cela représente un danger pour la sécurité des autres joueurs, D) Toutes les réponses ci-dessus</v>
      </c>
      <c r="J90" s="6" t="str">
        <f>IFERROR(__xludf.DUMMYFUNCTION("GOOGLETRANSLATE(D90, ""en"", ""fr"")"),"D) Toutes les réponses ci-dessus")</f>
        <v>D) Toutes les réponses ci-dessus</v>
      </c>
      <c r="K90" s="6" t="str">
        <f>IFERROR(__xludf.DUMMYFUNCTION("GOOGLETRANSLATE(E90, ""en"", ""fr"")"),"Les chaussures à pointes sont interdites car elles endommagent le terrain, procurent un avantage injuste et présentent un risque important de blessure pour les autres joueurs.")</f>
        <v>Les chaussures à pointes sont interdites car elles endommagent le terrain, procurent un avantage injuste et présentent un risque important de blessure pour les autres joueurs.</v>
      </c>
    </row>
    <row r="91" ht="22.5" customHeight="1">
      <c r="A91" s="4">
        <v>90.0</v>
      </c>
      <c r="B91" s="5" t="s">
        <v>738</v>
      </c>
      <c r="C91" s="5" t="s">
        <v>739</v>
      </c>
      <c r="D91" s="5" t="s">
        <v>594</v>
      </c>
      <c r="E91" s="5" t="s">
        <v>740</v>
      </c>
      <c r="G91" s="6" t="str">
        <f>IFERROR(__xludf.DUMMYFUNCTION("GOOGLETRANSLATE(A91, ""en"", ""fr"")"),"90")</f>
        <v>90</v>
      </c>
      <c r="H91" s="6" t="str">
        <f>IFERROR(__xludf.DUMMYFUNCTION("GOOGLETRANSLATE(B91, ""en"", ""fr"")"),"Quelle est la décision à prendre si la balle touche l'arbitre pendant un échange de balles ?")</f>
        <v>Quelle est la décision à prendre si la balle touche l'arbitre pendant un échange de balles ?</v>
      </c>
      <c r="I91" s="6" t="str">
        <f>IFERROR(__xludf.DUMMYFUNCTION("GOOGLETRANSLATE(C91, ""en"", ""fr"")"),"A) Le jeu continue, B) Le point est immédiatement arrêté et rejoué, C) C'est une faute du joueur qui a touché l'arbitre, D) C'est un point pour le joueur qui a touché l'arbitre")</f>
        <v>A) Le jeu continue, B) Le point est immédiatement arrêté et rejoué, C) C'est une faute du joueur qui a touché l'arbitre, D) C'est un point pour le joueur qui a touché l'arbitre</v>
      </c>
      <c r="J91" s="6" t="str">
        <f>IFERROR(__xludf.DUMMYFUNCTION("GOOGLETRANSLATE(D91, ""en"", ""fr"")"),"B) Le point est immédiatement interrompu et rejoué.")</f>
        <v>B) Le point est immédiatement interrompu et rejoué.</v>
      </c>
      <c r="K91" s="6" t="str">
        <f>IFERROR(__xludf.DUMMYFUNCTION("GOOGLETRANSLATE(E91, ""en"", ""fr"")"),"L'arbitre est considéré comme une interférence extérieure. Si la balle le touche, le point doit être rejoué pour que l'arbitre soit équitable.")</f>
        <v>L'arbitre est considéré comme une interférence extérieure. Si la balle le touche, le point doit être rejoué pour que l'arbitre soit équitable.</v>
      </c>
    </row>
    <row r="92" ht="22.5" customHeight="1">
      <c r="A92" s="4">
        <v>91.0</v>
      </c>
      <c r="B92" s="5" t="s">
        <v>745</v>
      </c>
      <c r="C92" s="5" t="s">
        <v>746</v>
      </c>
      <c r="D92" s="5" t="s">
        <v>747</v>
      </c>
      <c r="E92" s="5" t="s">
        <v>748</v>
      </c>
      <c r="G92" s="6" t="str">
        <f>IFERROR(__xludf.DUMMYFUNCTION("GOOGLETRANSLATE(A92, ""en"", ""fr"")"),"91")</f>
        <v>91</v>
      </c>
      <c r="H92" s="6" t="str">
        <f>IFERROR(__xludf.DUMMYFUNCTION("GOOGLETRANSLATE(B92, ""en"", ""fr"")"),"Quelle est la principale raison pour laquelle les versions extérieure et intérieure sont considérées comme des disciplines différentes ?")</f>
        <v>Quelle est la principale raison pour laquelle les versions extérieure et intérieure sont considérées comme des disciplines différentes ?</v>
      </c>
      <c r="I92" s="6" t="str">
        <f>IFERROR(__xludf.DUMMYFUNCTION("GOOGLETRANSLATE(C92, ""en"", ""fr"")"),"A) L'équipement est complètement différent. B) Les compétences fondamentales sont différentes. C) La taille du terrain, la taille de l'équipe et le type de ballon engendrent des stratégies et des compétences très différentes. D) L'un est professionnel, l'"&amp;"autre amateur.")</f>
        <v>A) L'équipement est complètement différent. B) Les compétences fondamentales sont différentes. C) La taille du terrain, la taille de l'équipe et le type de ballon engendrent des stratégies et des compétences très différentes. D) L'un est professionnel, l'autre amateur.</v>
      </c>
      <c r="J92" s="6" t="str">
        <f>IFERROR(__xludf.DUMMYFUNCTION("GOOGLETRANSLATE(D92, ""en"", ""fr"")"),"C) La taille du terrain, la taille de l'équipe et le type de ballon engendrent des stratégies et des compétences très différentes.")</f>
        <v>C) La taille du terrain, la taille de l'équipe et le type de ballon engendrent des stratégies et des compétences très différentes.</v>
      </c>
      <c r="K92" s="6" t="str">
        <f>IFERROR(__xludf.DUMMYFUNCTION("GOOGLETRANSLATE(E92, ""en"", ""fr"")"),"Les différences sont si importantes que les joueurs se spécialisent souvent dans une version de ce sport plutôt que dans l'autre.")</f>
        <v>Les différences sont si importantes que les joueurs se spécialisent souvent dans une version de ce sport plutôt que dans l'autre.</v>
      </c>
    </row>
    <row r="93" ht="22.5" customHeight="1">
      <c r="A93" s="4">
        <v>92.0</v>
      </c>
      <c r="B93" s="5" t="s">
        <v>761</v>
      </c>
      <c r="C93" s="5" t="s">
        <v>762</v>
      </c>
      <c r="D93" s="5" t="s">
        <v>763</v>
      </c>
      <c r="E93" s="5" t="s">
        <v>764</v>
      </c>
      <c r="G93" s="6" t="str">
        <f>IFERROR(__xludf.DUMMYFUNCTION("GOOGLETRANSLATE(A93, ""en"", ""fr"")"),"92")</f>
        <v>92</v>
      </c>
      <c r="H93" s="6" t="str">
        <f>IFERROR(__xludf.DUMMYFUNCTION("GOOGLETRANSLATE(B93, ""en"", ""fr"")"),"Quelle est la règle si un joueur lance son tambourin pour frapper la balle ?")</f>
        <v>Quelle est la règle si un joueur lance son tambourin pour frapper la balle ?</v>
      </c>
      <c r="I93" s="6" t="str">
        <f>IFERROR(__xludf.DUMMYFUNCTION("GOOGLETRANSLATE(C93, ""en"", ""fr"")"),"A) C'est un geste légal, même s'il est désespéré. B) C'est une faute pour avoir « jeté la batte ». C) Le point est rejoué. D) Le joueur est disqualifié.")</f>
        <v>A) C'est un geste légal, même s'il est désespéré. B) C'est une faute pour avoir « jeté la batte ». C) Le point est rejoué. D) Le joueur est disqualifié.</v>
      </c>
      <c r="J93" s="6" t="str">
        <f>IFERROR(__xludf.DUMMYFUNCTION("GOOGLETRANSLATE(D93, ""en"", ""fr"")"),"B) C'est une faute pour « avoir jeté la batte »")</f>
        <v>B) C'est une faute pour « avoir jeté la batte »</v>
      </c>
      <c r="K93" s="6" t="str">
        <f>IFERROR(__xludf.DUMMYFUNCTION("GOOGLETRANSLATE(E93, ""en"", ""fr"")"),"Le tambourin doit être tenu à la main lors de la frappe de la balle. Le jeter constitue une faute manifeste.")</f>
        <v>Le tambourin doit être tenu à la main lors de la frappe de la balle. Le jeter constitue une faute manifeste.</v>
      </c>
    </row>
    <row r="94" ht="22.5" customHeight="1">
      <c r="A94" s="4">
        <v>93.0</v>
      </c>
      <c r="B94" s="5" t="s">
        <v>773</v>
      </c>
      <c r="C94" s="5" t="s">
        <v>774</v>
      </c>
      <c r="D94" s="5" t="s">
        <v>775</v>
      </c>
      <c r="E94" s="5" t="s">
        <v>776</v>
      </c>
      <c r="G94" s="6" t="str">
        <f>IFERROR(__xludf.DUMMYFUNCTION("GOOGLETRANSLATE(A94, ""en"", ""fr"")"),"93")</f>
        <v>93</v>
      </c>
      <c r="H94" s="6" t="str">
        <f>IFERROR(__xludf.DUMMYFUNCTION("GOOGLETRANSLATE(B94, ""en"", ""fr"")"),"Une équipe est pénalisée pour avoir reçu des « conseils en dehors de la zone désignée ». Qu'est-ce que cela signifie ?")</f>
        <v>Une équipe est pénalisée pour avoir reçu des « conseils en dehors de la zone désignée ». Qu'est-ce que cela signifie ?</v>
      </c>
      <c r="I94" s="6" t="str">
        <f>IFERROR(__xludf.DUMMYFUNCTION("GOOGLETRANSLATE(C94, ""en"", ""fr"")"),"A) Leur entraîneur criait trop fort. B) Leur entraîneur utilisait un téléphone portable. C) Une autre personne que l'entraîneur officiel donnait des instructions. D) L'entraîneur était sorti de sa zone délimitée.")</f>
        <v>A) Leur entraîneur criait trop fort. B) Leur entraîneur utilisait un téléphone portable. C) Une autre personne que l'entraîneur officiel donnait des instructions. D) L'entraîneur était sorti de sa zone délimitée.</v>
      </c>
      <c r="J94" s="6" t="str">
        <f>IFERROR(__xludf.DUMMYFUNCTION("GOOGLETRANSLATE(D94, ""en"", ""fr"")"),"D) L'entraîneur avait franchi la zone délimitée de son emplacement.")</f>
        <v>D) L'entraîneur avait franchi la zone délimitée de son emplacement.</v>
      </c>
      <c r="K94" s="6" t="str">
        <f>IFERROR(__xludf.DUMMYFUNCTION("GOOGLETRANSLATE(E94, ""en"", ""fr"")"),"Un entraîneur doit rester dans sa zone désignée lorsqu'il donne des instructions à son équipe pendant un match.")</f>
        <v>Un entraîneur doit rester dans sa zone désignée lorsqu'il donne des instructions à son équipe pendant un match.</v>
      </c>
    </row>
    <row r="95" ht="22.5" customHeight="1">
      <c r="A95" s="4">
        <v>94.0</v>
      </c>
      <c r="B95" s="5" t="s">
        <v>792</v>
      </c>
      <c r="C95" s="5" t="s">
        <v>793</v>
      </c>
      <c r="D95" s="5" t="s">
        <v>794</v>
      </c>
      <c r="E95" s="5" t="s">
        <v>795</v>
      </c>
      <c r="G95" s="6" t="str">
        <f>IFERROR(__xludf.DUMMYFUNCTION("GOOGLETRANSLATE(A95, ""en"", ""fr"")"),"94")</f>
        <v>94</v>
      </c>
      <c r="H95" s="6" t="str">
        <f>IFERROR(__xludf.DUMMYFUNCTION("GOOGLETRANSLATE(B95, ""en"", ""fr"")"),"Quel est le but principal du « tambourin » lui-même ?")</f>
        <v>Quel est le but principal du « tambourin » lui-même ?</v>
      </c>
      <c r="I95" s="6" t="str">
        <f>IFERROR(__xludf.DUMMYFUNCTION("GOOGLETRANSLATE(C95, ""en"", ""fr"")"),"A) C'est un bouclier défensif, B) Pour fournir une grande surface puissante pour frapper la balle, C) C'est un instrument de musique, D) C'est un symbole du sport")</f>
        <v>A) C'est un bouclier défensif, B) Pour fournir une grande surface puissante pour frapper la balle, C) C'est un instrument de musique, D) C'est un symbole du sport</v>
      </c>
      <c r="J95" s="6" t="str">
        <f>IFERROR(__xludf.DUMMYFUNCTION("GOOGLETRANSLATE(D95, ""en"", ""fr"")"),"B) Fournir une surface large et puissante pour frapper la balle")</f>
        <v>B) Fournir une surface large et puissante pour frapper la balle</v>
      </c>
      <c r="K95" s="6" t="str">
        <f>IFERROR(__xludf.DUMMYFUNCTION("GOOGLETRANSLATE(E95, ""en"", ""fr"")"),"Le tambourin est la batte de ce sport, un instrument unique conçu pour frapper la balle avec force et précision.")</f>
        <v>Le tambourin est la batte de ce sport, un instrument unique conçu pour frapper la balle avec force et précision.</v>
      </c>
    </row>
    <row r="96" ht="22.5" customHeight="1">
      <c r="A96" s="4">
        <v>95.0</v>
      </c>
      <c r="B96" s="5" t="s">
        <v>796</v>
      </c>
      <c r="C96" s="5" t="s">
        <v>797</v>
      </c>
      <c r="D96" s="5" t="s">
        <v>798</v>
      </c>
      <c r="E96" s="5" t="s">
        <v>799</v>
      </c>
      <c r="G96" s="6" t="str">
        <f>IFERROR(__xludf.DUMMYFUNCTION("GOOGLETRANSLATE(A96, ""en"", ""fr"")"),"95")</f>
        <v>95</v>
      </c>
      <c r="H96" s="6" t="str">
        <f>IFERROR(__xludf.DUMMYFUNCTION("GOOGLETRANSLATE(B96, ""en"", ""fr"")"),"Un joueur est sanctionné pour « injures verbales ». Qu'a-t-il bien pu faire ?")</f>
        <v>Un joueur est sanctionné pour « injures verbales ». Qu'a-t-il bien pu faire ?</v>
      </c>
      <c r="I96" s="6" t="str">
        <f>IFERROR(__xludf.DUMMYFUNCTION("GOOGLETRANSLATE(C96, ""en"", ""fr"")"),"A) A crié des instructions à un coéquipier, B) A argumenté respectueusement avec l'arbitre, C) A utilisé un langage insultant ou offensant envers un adversaire ou un officiel, D) A célébré un point bruyamment")</f>
        <v>A) A crié des instructions à un coéquipier, B) A argumenté respectueusement avec l'arbitre, C) A utilisé un langage insultant ou offensant envers un adversaire ou un officiel, D) A célébré un point bruyamment</v>
      </c>
      <c r="J96" s="6" t="str">
        <f>IFERROR(__xludf.DUMMYFUNCTION("GOOGLETRANSLATE(D96, ""en"", ""fr"")"),"C) A utilisé un langage insultant ou offensant envers un adversaire ou un officiel")</f>
        <v>C) A utilisé un langage insultant ou offensant envers un adversaire ou un officiel</v>
      </c>
      <c r="K96" s="6" t="str">
        <f>IFERROR(__xludf.DUMMYFUNCTION("GOOGLETRANSLATE(E96, ""en"", ""fr"")"),"Les injures verbales constituent une grave violation de l'esprit sportif et sont sanctionnées par un retrait de points ou une disqualification.")</f>
        <v>Les injures verbales constituent une grave violation de l'esprit sportif et sont sanctionnées par un retrait de points ou une disqualification.</v>
      </c>
    </row>
    <row r="97" ht="22.5" customHeight="1">
      <c r="A97" s="4">
        <v>96.0</v>
      </c>
      <c r="B97" s="5" t="s">
        <v>804</v>
      </c>
      <c r="C97" s="5" t="s">
        <v>805</v>
      </c>
      <c r="D97" s="5" t="s">
        <v>806</v>
      </c>
      <c r="E97" s="5" t="s">
        <v>807</v>
      </c>
      <c r="G97" s="6" t="str">
        <f>IFERROR(__xludf.DUMMYFUNCTION("GOOGLETRANSLATE(A97, ""en"", ""fr"")"),"96")</f>
        <v>96</v>
      </c>
      <c r="H97" s="6" t="str">
        <f>IFERROR(__xludf.DUMMYFUNCTION("GOOGLETRANSLATE(B97, ""en"", ""fr"")"),"Quelle est la principale raison de ces règles strictes concernant les substitutions ?")</f>
        <v>Quelle est la principale raison de ces règles strictes concernant les substitutions ?</v>
      </c>
      <c r="I97" s="6" t="str">
        <f>IFERROR(__xludf.DUMMYFUNCTION("GOOGLETRANSLATE(C97, ""en"", ""fr"")"),"A) Pour rendre le jeu plus difficile, B) Pour garantir l'équité et empêcher les équipes d'utiliser les remplacements à des fins tactiques de temporisation, C) Pour gagner du temps, D) Pour protéger les joueurs")</f>
        <v>A) Pour rendre le jeu plus difficile, B) Pour garantir l'équité et empêcher les équipes d'utiliser les remplacements à des fins tactiques de temporisation, C) Pour gagner du temps, D) Pour protéger les joueurs</v>
      </c>
      <c r="J97" s="6" t="str">
        <f>IFERROR(__xludf.DUMMYFUNCTION("GOOGLETRANSLATE(D97, ""en"", ""fr"")"),"B) Afin de garantir l'équité et d'empêcher les équipes d'utiliser les substitutions à des fins de temporisation tactique")</f>
        <v>B) Afin de garantir l'équité et d'empêcher les équipes d'utiliser les substitutions à des fins de temporisation tactique</v>
      </c>
      <c r="K97" s="6" t="str">
        <f>IFERROR(__xludf.DUMMYFUNCTION("GOOGLETRANSLATE(E97, ""en"", ""fr"")"),"Les règles sont conçues pour permettre des changements de joueurs en raison de blessures ou de choix tactiques, mais pas de manière à perturber le déroulement ou l'équité du jeu.")</f>
        <v>Les règles sont conçues pour permettre des changements de joueurs en raison de blessures ou de choix tactiques, mais pas de manière à perturber le déroulement ou l'équité du jeu.</v>
      </c>
    </row>
    <row r="98" ht="22.5" customHeight="1">
      <c r="A98" s="4">
        <v>97.0</v>
      </c>
      <c r="B98" s="5" t="s">
        <v>808</v>
      </c>
      <c r="C98" s="5" t="s">
        <v>720</v>
      </c>
      <c r="D98" s="5" t="s">
        <v>721</v>
      </c>
      <c r="E98" s="5" t="s">
        <v>722</v>
      </c>
      <c r="G98" s="6" t="str">
        <f>IFERROR(__xludf.DUMMYFUNCTION("GOOGLETRANSLATE(A98, ""en"", ""fr"")"),"97")</f>
        <v>97</v>
      </c>
      <c r="H98" s="6" t="str">
        <f>IFERROR(__xludf.DUMMYFUNCTION("GOOGLETRANSLATE(B98, ""en"", ""fr"")"),"Un joueur frappe la balle, et celle-ci touche son propre coéquipier avant de franchir la ligne médiane. Quelle est la décision arbitrale ?")</f>
        <v>Un joueur frappe la balle, et celle-ci touche son propre coéquipier avant de franchir la ligne médiane. Quelle est la décision arbitrale ?</v>
      </c>
      <c r="I98" s="6" t="str">
        <f>IFERROR(__xludf.DUMMYFUNCTION("GOOGLETRANSLATE(C98, ""en"", ""fr"")"),"A) C'est une faute, et l'équipe perd le point. B) Le point est rejoué. C) Le jeu continue car il s'agissait d'un accident. D) Le joueur touché est pénalisé.")</f>
        <v>A) C'est une faute, et l'équipe perd le point. B) Le point est rejoué. C) Le jeu continue car il s'agissait d'un accident. D) Le joueur touché est pénalisé.</v>
      </c>
      <c r="J98" s="6" t="str">
        <f>IFERROR(__xludf.DUMMYFUNCTION("GOOGLETRANSLATE(D98, ""en"", ""fr"")"),"A) C'est une faute, et l'équipe perd le point.")</f>
        <v>A) C'est une faute, et l'équipe perd le point.</v>
      </c>
      <c r="K98" s="6" t="str">
        <f>IFERROR(__xludf.DUMMYFUNCTION("GOOGLETRANSLATE(E98, ""en"", ""fr"")"),"Si un joueur est touché par une balle frappée par son équipe (avant qu'elle n'ait été jouée par un adversaire), il s'agit d'une faute.")</f>
        <v>Si un joueur est touché par une balle frappée par son équipe (avant qu'elle n'ait été jouée par un adversaire), il s'agit d'une faute.</v>
      </c>
    </row>
    <row r="99" ht="22.5" customHeight="1">
      <c r="A99" s="4">
        <v>98.0</v>
      </c>
      <c r="B99" s="5" t="s">
        <v>765</v>
      </c>
      <c r="C99" s="5" t="s">
        <v>766</v>
      </c>
      <c r="D99" s="5" t="s">
        <v>767</v>
      </c>
      <c r="E99" s="5" t="s">
        <v>768</v>
      </c>
      <c r="G99" s="6" t="str">
        <f>IFERROR(__xludf.DUMMYFUNCTION("GOOGLETRANSLATE(A99, ""en"", ""fr"")"),"98")</f>
        <v>98</v>
      </c>
      <c r="H99" s="6" t="str">
        <f>IFERROR(__xludf.DUMMYFUNCTION("GOOGLETRANSLATE(B99, ""en"", ""fr"")"),"Au jeu en salle, un joueur frappe la balle, qui heurte le mur latéral avant d'atterrir dans le camp adverse. Ce coup est-il autorisé ?")</f>
        <v>Au jeu en salle, un joueur frappe la balle, qui heurte le mur latéral avant d'atterrir dans le camp adverse. Ce coup est-il autorisé ?</v>
      </c>
      <c r="I99" s="6" t="str">
        <f>IFERROR(__xludf.DUMMYFUNCTION("GOOGLETRANSLATE(C99, ""en"", ""fr"")"),"A) Oui, dans certaines versions, les murs latéraux sont pris en compte. B) Non, c'est une faute. C) Le point est rejoué. D) Uniquement si la balle touche d'abord le mur du fond.")</f>
        <v>A) Oui, dans certaines versions, les murs latéraux sont pris en compte. B) Non, c'est une faute. C) Le point est rejoué. D) Uniquement si la balle touche d'abord le mur du fond.</v>
      </c>
      <c r="J99" s="6" t="str">
        <f>IFERROR(__xludf.DUMMYFUNCTION("GOOGLETRANSLATE(D99, ""en"", ""fr"")"),"A) Oui, dans certaines versions, les murs latéraux entrent en jeu.")</f>
        <v>A) Oui, dans certaines versions, les murs latéraux entrent en jeu.</v>
      </c>
      <c r="K99" s="6" t="str">
        <f>IFERROR(__xludf.DUMMYFUNCTION("GOOGLETRANSLATE(E99, ""en"", ""fr"")"),"Dans certaines formes de Tamburello en salle (comme le « Tamburello a Muro »), jouer la balle contre les murs latéraux est une partie légale et stratégique du jeu.")</f>
        <v>Dans certaines formes de Tamburello en salle (comme le « Tamburello a Muro »), jouer la balle contre les murs latéraux est une partie légale et stratégique du jeu.</v>
      </c>
    </row>
    <row r="100" ht="22.5" customHeight="1">
      <c r="A100" s="4">
        <v>99.0</v>
      </c>
      <c r="B100" s="5" t="s">
        <v>769</v>
      </c>
      <c r="C100" s="5" t="s">
        <v>770</v>
      </c>
      <c r="D100" s="5" t="s">
        <v>771</v>
      </c>
      <c r="E100" s="5" t="s">
        <v>772</v>
      </c>
      <c r="G100" s="6" t="str">
        <f>IFERROR(__xludf.DUMMYFUNCTION("GOOGLETRANSLATE(A100, ""en"", ""fr"")"),"99")</f>
        <v>99</v>
      </c>
      <c r="H100" s="6" t="str">
        <f>IFERROR(__xludf.DUMMYFUNCTION("GOOGLETRANSLATE(B100, ""en"", ""fr"")"),"Quel est le rôle principal de la Fédération Française de Jeu de Balle au Tambourin (FFJST) ?")</f>
        <v>Quel est le rôle principal de la Fédération Française de Jeu de Balle au Tambourin (FFJST) ?</v>
      </c>
      <c r="I100" s="6" t="str">
        <f>IFERROR(__xludf.DUMMYFUNCTION("GOOGLETRANSLATE(C100, ""en"", ""fr"")"),"A) Fournir du matériel aux clubs, B) Être l'instance dirigeante officielle qui organise les championnats et fixe les règles, C) Rémunérer les joueurs, D) Promouvoir le sport à la télévision")</f>
        <v>A) Fournir du matériel aux clubs, B) Être l'instance dirigeante officielle qui organise les championnats et fixe les règles, C) Rémunérer les joueurs, D) Promouvoir le sport à la télévision</v>
      </c>
      <c r="J100" s="6" t="str">
        <f>IFERROR(__xludf.DUMMYFUNCTION("GOOGLETRANSLATE(D100, ""en"", ""fr"")"),"B) Être l'instance dirigeante officielle qui organise les championnats et établit les règles")</f>
        <v>B) Être l'instance dirigeante officielle qui organise les championnats et établit les règles</v>
      </c>
      <c r="K100" s="6" t="str">
        <f>IFERROR(__xludf.DUMMYFUNCTION("GOOGLETRANSLATE(E100, ""en"", ""fr"")"),"La FFJST est l'autorité centrale du sport en France, chargée de son administration et de son développement.")</f>
        <v>La FFJST est l'autorité centrale du sport en France, chargée de son administration et de son développement.</v>
      </c>
    </row>
    <row r="101" ht="22.5" customHeight="1">
      <c r="A101" s="4">
        <v>100.0</v>
      </c>
      <c r="B101" s="5" t="s">
        <v>715</v>
      </c>
      <c r="C101" s="5" t="s">
        <v>716</v>
      </c>
      <c r="D101" s="5" t="s">
        <v>717</v>
      </c>
      <c r="E101" s="5" t="s">
        <v>718</v>
      </c>
      <c r="G101" s="6" t="str">
        <f>IFERROR(__xludf.DUMMYFUNCTION("GOOGLETRANSLATE(A101, ""en"", ""fr"")"),"100")</f>
        <v>100</v>
      </c>
      <c r="H101" s="6" t="str">
        <f>IFERROR(__xludf.DUMMYFUNCTION("GOOGLETRANSLATE(B101, ""en"", ""fr"")"),"Quelle est la principale raison pour laquelle le terrain est si long (80 mètres) ?")</f>
        <v>Quelle est la principale raison pour laquelle le terrain est si long (80 mètres) ?</v>
      </c>
      <c r="I101" s="6" t="str">
        <f>IFERROR(__xludf.DUMMYFUNCTION("GOOGLETRANSLATE(C101, ""en"", ""fr"")"),"A) Pour accueillir un grand nombre de joueurs, B) Pour tester la force et l'endurance des joueurs, C) C'est une taille traditionnelle sans raison particulière, D) Pour rendre le jeu plus sûr")</f>
        <v>A) Pour accueillir un grand nombre de joueurs, B) Pour tester la force et l'endurance des joueurs, C) C'est une taille traditionnelle sans raison particulière, D) Pour rendre le jeu plus sûr</v>
      </c>
      <c r="J101" s="6" t="str">
        <f>IFERROR(__xludf.DUMMYFUNCTION("GOOGLETRANSLATE(D101, ""en"", ""fr"")"),"B) Tester la puissance et l'endurance des joueurs")</f>
        <v>B) Tester la puissance et l'endurance des joueurs</v>
      </c>
      <c r="K101" s="6" t="str">
        <f>IFERROR(__xludf.DUMMYFUNCTION("GOOGLETRANSLATE(E101, ""en"", ""fr"")"),"Le grand format du court exige des joueurs, et notamment du fond, une force incroyable pour frapper la balle sur toute la longueur du court pendant tout un match.")</f>
        <v>Le grand format du court exige des joueurs, et notamment du fond, une force incroyable pour frapper la balle sur toute la longueur du court pendant tout un match.</v>
      </c>
    </row>
    <row r="102" ht="22.5" customHeight="1">
      <c r="A102" s="4">
        <v>101.0</v>
      </c>
      <c r="B102" s="5" t="s">
        <v>719</v>
      </c>
      <c r="C102" s="5" t="s">
        <v>720</v>
      </c>
      <c r="D102" s="5" t="s">
        <v>721</v>
      </c>
      <c r="E102" s="5" t="s">
        <v>722</v>
      </c>
      <c r="G102" s="6" t="str">
        <f>IFERROR(__xludf.DUMMYFUNCTION("GOOGLETRANSLATE(A102, ""en"", ""fr"")"),"101")</f>
        <v>101</v>
      </c>
      <c r="H102" s="6" t="str">
        <f>IFERROR(__xludf.DUMMYFUNCTION("GOOGLETRANSLATE(B102, ""en"", ""fr"")"),"Un joueur est touché par une balle frappée par son propre coéquipier. Quelle est la décision arbitrale ?")</f>
        <v>Un joueur est touché par une balle frappée par son propre coéquipier. Quelle est la décision arbitrale ?</v>
      </c>
      <c r="I102" s="6" t="str">
        <f>IFERROR(__xludf.DUMMYFUNCTION("GOOGLETRANSLATE(C102, ""en"", ""fr"")"),"A) C'est une faute, et l'équipe perd le point. B) Le point est rejoué. C) Le jeu continue car il s'agissait d'un accident. D) Le joueur touché est pénalisé.")</f>
        <v>A) C'est une faute, et l'équipe perd le point. B) Le point est rejoué. C) Le jeu continue car il s'agissait d'un accident. D) Le joueur touché est pénalisé.</v>
      </c>
      <c r="J102" s="6" t="str">
        <f>IFERROR(__xludf.DUMMYFUNCTION("GOOGLETRANSLATE(D102, ""en"", ""fr"")"),"A) C'est une faute, et l'équipe perd le point.")</f>
        <v>A) C'est une faute, et l'équipe perd le point.</v>
      </c>
      <c r="K102" s="6" t="str">
        <f>IFERROR(__xludf.DUMMYFUNCTION("GOOGLETRANSLATE(E102, ""en"", ""fr"")"),"Si un joueur est touché par une balle frappée par son équipe (avant qu'elle n'ait été jouée par un adversaire), il s'agit d'une faute.")</f>
        <v>Si un joueur est touché par une balle frappée par son équipe (avant qu'elle n'ait été jouée par un adversaire), il s'agit d'une faute.</v>
      </c>
    </row>
    <row r="103" ht="22.5" customHeight="1">
      <c r="A103" s="4">
        <v>102.0</v>
      </c>
      <c r="B103" s="5" t="s">
        <v>723</v>
      </c>
      <c r="C103" s="5" t="s">
        <v>724</v>
      </c>
      <c r="D103" s="5" t="s">
        <v>725</v>
      </c>
      <c r="E103" s="5" t="s">
        <v>726</v>
      </c>
      <c r="G103" s="6" t="str">
        <f>IFERROR(__xludf.DUMMYFUNCTION("GOOGLETRANSLATE(A103, ""en"", ""fr"")"),"102")</f>
        <v>102</v>
      </c>
      <c r="H103" s="6" t="str">
        <f>IFERROR(__xludf.DUMMYFUNCTION("GOOGLETRANSLATE(B103, ""en"", ""fr"")"),"Quel est le rôle principal des joueurs des tiers ?")</f>
        <v>Quel est le rôle principal des joueurs des tiers ?</v>
      </c>
      <c r="I103" s="6" t="str">
        <f>IFERROR(__xludf.DUMMYFUNCTION("GOOGLETRANSLATE(C103, ""en"", ""fr"")"),"A) Ce sont les serveurs principaux, B) Ce sont des joueurs polyvalents qui contrôlent le milieu de terrain, jouant à la fois en attaque et en défense, C) Ce sont des spécialistes de la défense qui ne font que bloquer, D) Ce sont des remplaçants")</f>
        <v>A) Ce sont les serveurs principaux, B) Ce sont des joueurs polyvalents qui contrôlent le milieu de terrain, jouant à la fois en attaque et en défense, C) Ce sont des spécialistes de la défense qui ne font que bloquer, D) Ce sont des remplaçants</v>
      </c>
      <c r="J103" s="6" t="str">
        <f>IFERROR(__xludf.DUMMYFUNCTION("GOOGLETRANSLATE(D103, ""en"", ""fr"")"),"B) Ce sont des joueurs polyvalents qui contrôlent le milieu de terrain, jouant à la fois en attaque et en défense.")</f>
        <v>B) Ce sont des joueurs polyvalents qui contrôlent le milieu de terrain, jouant à la fois en attaque et en défense.</v>
      </c>
      <c r="K103" s="6" t="str">
        <f>IFERROR(__xludf.DUMMYFUNCTION("GOOGLETRANSLATE(E103, ""en"", ""fr"")"),"Les milieux défensifs sont les joueurs polyvalents de l'équipe, chargés d'assurer la liaison entre l'avant et l'arrière du terrain.")</f>
        <v>Les milieux défensifs sont les joueurs polyvalents de l'équipe, chargés d'assurer la liaison entre l'avant et l'arrière du terrain.</v>
      </c>
    </row>
    <row r="104" ht="22.5" customHeight="1">
      <c r="A104" s="4">
        <v>103.0</v>
      </c>
      <c r="B104" s="5" t="s">
        <v>727</v>
      </c>
      <c r="C104" s="5" t="s">
        <v>728</v>
      </c>
      <c r="D104" s="5" t="s">
        <v>729</v>
      </c>
      <c r="E104" s="5" t="s">
        <v>730</v>
      </c>
      <c r="G104" s="6" t="str">
        <f>IFERROR(__xludf.DUMMYFUNCTION("GOOGLETRANSLATE(A104, ""en"", ""fr"")"),"103")</f>
        <v>103</v>
      </c>
      <c r="H104" s="6" t="str">
        <f>IFERROR(__xludf.DUMMYFUNCTION("GOOGLETRANSLATE(B104, ""en"", ""fr"")"),"Un joueur est pénalisé pour « contact prolongé » avec le ballon. Qu'est-ce que cela signifie ?")</f>
        <v>Un joueur est pénalisé pour « contact prolongé » avec le ballon. Qu'est-ce que cela signifie ?</v>
      </c>
      <c r="I104" s="6" t="str">
        <f>IFERROR(__xludf.DUMMYFUNCTION("GOOGLETRANSLATE(C104, ""en"", ""fr"")"),"A) Ils ont frappé la balle deux fois, B) Ils ont attrapé ou retenu la balle sur le tambourin au lieu de la frapper proprement, C) Ils ont tenu la balle avec leur main, D) Ils ont mis trop de temps à frapper la balle")</f>
        <v>A) Ils ont frappé la balle deux fois, B) Ils ont attrapé ou retenu la balle sur le tambourin au lieu de la frapper proprement, C) Ils ont tenu la balle avec leur main, D) Ils ont mis trop de temps à frapper la balle</v>
      </c>
      <c r="J104" s="6" t="str">
        <f>IFERROR(__xludf.DUMMYFUNCTION("GOOGLETRANSLATE(D104, ""en"", ""fr"")"),"B) Ils ont attrapé ou retenu la balle sur le tambourin au lieu de la frapper proprement.")</f>
        <v>B) Ils ont attrapé ou retenu la balle sur le tambourin au lieu de la frapper proprement.</v>
      </c>
      <c r="K104" s="6" t="str">
        <f>IFERROR(__xludf.DUMMYFUNCTION("GOOGLETRANSLATE(E104, ""en"", ""fr"")"),"La balle doit être frappée d'un seul mouvement distinct. La ramasser, la porter ou la retenir sur le tambourin constitue une faute.")</f>
        <v>La balle doit être frappée d'un seul mouvement distinct. La ramasser, la porter ou la retenir sur le tambourin constitue une faute.</v>
      </c>
    </row>
    <row r="105" ht="22.5" customHeight="1">
      <c r="A105" s="4">
        <v>104.0</v>
      </c>
      <c r="B105" s="5" t="s">
        <v>731</v>
      </c>
      <c r="C105" s="5" t="s">
        <v>732</v>
      </c>
      <c r="D105" s="5" t="s">
        <v>733</v>
      </c>
      <c r="E105" s="5" t="s">
        <v>811</v>
      </c>
      <c r="G105" s="6" t="str">
        <f>IFERROR(__xludf.DUMMYFUNCTION("GOOGLETRANSLATE(A105, ""en"", ""fr"")"),"104")</f>
        <v>104</v>
      </c>
      <c r="H105" s="6" t="str">
        <f>IFERROR(__xludf.DUMMYFUNCTION("GOOGLETRANSLATE(B105, ""en"", ""fr"")"),"Comment les points sont-ils marqués lors d'un match décisif ?")</f>
        <v>Comment les points sont-ils marqués lors d'un match décisif ?</v>
      </c>
      <c r="I105" s="6" t="str">
        <f>IFERROR(__xludf.DUMMYFUNCTION("GOOGLETRANSLATE(C105, ""en"", ""fr"")"),"A) Avec le système 15-30-40, B) Avec des points séquentiels (1, 2, 3, etc.), C) La première équipe à marquer gagne, D) Par un vote des juges")</f>
        <v>A) Avec le système 15-30-40, B) Avec des points séquentiels (1, 2, 3, etc.), C) La première équipe à marquer gagne, D) Par un vote des juges</v>
      </c>
      <c r="J105" s="6" t="str">
        <f>IFERROR(__xludf.DUMMYFUNCTION("GOOGLETRANSLATE(D105, ""en"", ""fr"")"),"B) Avec des points séquentiels (1, 2, 3, etc.)")</f>
        <v>B) Avec des points séquentiels (1, 2, 3, etc.)</v>
      </c>
      <c r="K105" s="6" t="str">
        <f>IFERROR(__xludf.DUMMYFUNCTION("GOOGLETRANSLATE(E105, ""en"", ""fr"")"),"Le tie-break utilise un système de points numérique simple, généralement joué en 7 ou 8 points, pour décider du set.")</f>
        <v>Le tie-break utilise un système de points numérique simple, généralement joué en 7 ou 8 points, pour décider du set.</v>
      </c>
    </row>
    <row r="106" ht="22.5" customHeight="1">
      <c r="A106" s="4">
        <v>105.0</v>
      </c>
      <c r="B106" s="5" t="s">
        <v>735</v>
      </c>
      <c r="C106" s="5" t="s">
        <v>736</v>
      </c>
      <c r="D106" s="5" t="s">
        <v>433</v>
      </c>
      <c r="E106" s="5" t="s">
        <v>812</v>
      </c>
      <c r="G106" s="6" t="str">
        <f>IFERROR(__xludf.DUMMYFUNCTION("GOOGLETRANSLATE(A106, ""en"", ""fr"")"),"105")</f>
        <v>105</v>
      </c>
      <c r="H106" s="6" t="str">
        <f>IFERROR(__xludf.DUMMYFUNCTION("GOOGLETRANSLATE(B106, ""en"", ""fr"")"),"Un joueur porte des chaussures à crampons. Pourquoi est-ce une faute ?")</f>
        <v>Un joueur porte des chaussures à crampons. Pourquoi est-ce une faute ?</v>
      </c>
      <c r="I106" s="6" t="str">
        <f>IFERROR(__xludf.DUMMYFUNCTION("GOOGLETRANSLATE(C106, ""en"", ""fr"")"),"A) Cela peut endommager la surface de jeu en asphalte, B) Cela donne un avantage injuste en termes d'adhérence, C) Cela représente un danger pour la sécurité des autres joueurs, D) Toutes les réponses ci-dessus")</f>
        <v>A) Cela peut endommager la surface de jeu en asphalte, B) Cela donne un avantage injuste en termes d'adhérence, C) Cela représente un danger pour la sécurité des autres joueurs, D) Toutes les réponses ci-dessus</v>
      </c>
      <c r="J106" s="6" t="str">
        <f>IFERROR(__xludf.DUMMYFUNCTION("GOOGLETRANSLATE(D106, ""en"", ""fr"")"),"D) Toutes les réponses ci-dessus")</f>
        <v>D) Toutes les réponses ci-dessus</v>
      </c>
      <c r="K106" s="6" t="str">
        <f>IFERROR(__xludf.DUMMYFUNCTION("GOOGLETRANSLATE(E106, ""en"", ""fr"")"),"Les chaussures à pointes sont interdites car elles endommagent le terrain, procurent un avantage injuste et présentent un risque important de blessure pour les autres joueurs.")</f>
        <v>Les chaussures à pointes sont interdites car elles endommagent le terrain, procurent un avantage injuste et présentent un risque important de blessure pour les autres joueurs.</v>
      </c>
    </row>
    <row r="107" ht="22.5" customHeight="1">
      <c r="A107" s="4">
        <v>106.0</v>
      </c>
      <c r="B107" s="5" t="s">
        <v>738</v>
      </c>
      <c r="C107" s="5" t="s">
        <v>739</v>
      </c>
      <c r="D107" s="5" t="s">
        <v>594</v>
      </c>
      <c r="E107" s="5" t="s">
        <v>740</v>
      </c>
      <c r="G107" s="6" t="str">
        <f>IFERROR(__xludf.DUMMYFUNCTION("GOOGLETRANSLATE(A107, ""en"", ""fr"")"),"106")</f>
        <v>106</v>
      </c>
      <c r="H107" s="6" t="str">
        <f>IFERROR(__xludf.DUMMYFUNCTION("GOOGLETRANSLATE(B107, ""en"", ""fr"")"),"Quelle est la décision à prendre si la balle touche l'arbitre pendant un échange de balles ?")</f>
        <v>Quelle est la décision à prendre si la balle touche l'arbitre pendant un échange de balles ?</v>
      </c>
      <c r="I107" s="6" t="str">
        <f>IFERROR(__xludf.DUMMYFUNCTION("GOOGLETRANSLATE(C107, ""en"", ""fr"")"),"A) Le jeu continue, B) Le point est immédiatement arrêté et rejoué, C) C'est une faute du joueur qui a touché l'arbitre, D) C'est un point pour le joueur qui a touché l'arbitre")</f>
        <v>A) Le jeu continue, B) Le point est immédiatement arrêté et rejoué, C) C'est une faute du joueur qui a touché l'arbitre, D) C'est un point pour le joueur qui a touché l'arbitre</v>
      </c>
      <c r="J107" s="6" t="str">
        <f>IFERROR(__xludf.DUMMYFUNCTION("GOOGLETRANSLATE(D107, ""en"", ""fr"")"),"B) Le point est immédiatement interrompu et rejoué.")</f>
        <v>B) Le point est immédiatement interrompu et rejoué.</v>
      </c>
      <c r="K107" s="6" t="str">
        <f>IFERROR(__xludf.DUMMYFUNCTION("GOOGLETRANSLATE(E107, ""en"", ""fr"")"),"L'arbitre est considéré comme une interférence extérieure. Si la balle le touche, le point doit être rejoué pour que l'arbitre soit équitable.")</f>
        <v>L'arbitre est considéré comme une interférence extérieure. Si la balle le touche, le point doit être rejoué pour que l'arbitre soit équitable.</v>
      </c>
    </row>
    <row r="108" ht="22.5" customHeight="1">
      <c r="A108" s="4">
        <v>107.0</v>
      </c>
      <c r="B108" s="5" t="s">
        <v>745</v>
      </c>
      <c r="C108" s="5" t="s">
        <v>746</v>
      </c>
      <c r="D108" s="5" t="s">
        <v>747</v>
      </c>
      <c r="E108" s="5" t="s">
        <v>748</v>
      </c>
      <c r="G108" s="6" t="str">
        <f>IFERROR(__xludf.DUMMYFUNCTION("GOOGLETRANSLATE(A108, ""en"", ""fr"")"),"107")</f>
        <v>107</v>
      </c>
      <c r="H108" s="6" t="str">
        <f>IFERROR(__xludf.DUMMYFUNCTION("GOOGLETRANSLATE(B108, ""en"", ""fr"")"),"Quelle est la principale raison pour laquelle les versions extérieure et intérieure sont considérées comme des disciplines différentes ?")</f>
        <v>Quelle est la principale raison pour laquelle les versions extérieure et intérieure sont considérées comme des disciplines différentes ?</v>
      </c>
      <c r="I108" s="6" t="str">
        <f>IFERROR(__xludf.DUMMYFUNCTION("GOOGLETRANSLATE(C108, ""en"", ""fr"")"),"A) L'équipement est complètement différent. B) Les compétences fondamentales sont différentes. C) La taille du terrain, la taille de l'équipe et le type de ballon engendrent des stratégies et des compétences très différentes. D) L'un est professionnel, l'"&amp;"autre amateur.")</f>
        <v>A) L'équipement est complètement différent. B) Les compétences fondamentales sont différentes. C) La taille du terrain, la taille de l'équipe et le type de ballon engendrent des stratégies et des compétences très différentes. D) L'un est professionnel, l'autre amateur.</v>
      </c>
      <c r="J108" s="6" t="str">
        <f>IFERROR(__xludf.DUMMYFUNCTION("GOOGLETRANSLATE(D108, ""en"", ""fr"")"),"C) La taille du terrain, la taille de l'équipe et le type de ballon engendrent des stratégies et des compétences très différentes.")</f>
        <v>C) La taille du terrain, la taille de l'équipe et le type de ballon engendrent des stratégies et des compétences très différentes.</v>
      </c>
      <c r="K108" s="6" t="str">
        <f>IFERROR(__xludf.DUMMYFUNCTION("GOOGLETRANSLATE(E108, ""en"", ""fr"")"),"Les différences sont si importantes que les joueurs se spécialisent souvent dans une version de ce sport plutôt que dans l'autre.")</f>
        <v>Les différences sont si importantes que les joueurs se spécialisent souvent dans une version de ce sport plutôt que dans l'autre.</v>
      </c>
    </row>
    <row r="109" ht="22.5" customHeight="1">
      <c r="A109" s="4">
        <v>108.0</v>
      </c>
      <c r="B109" s="5" t="s">
        <v>761</v>
      </c>
      <c r="C109" s="5" t="s">
        <v>762</v>
      </c>
      <c r="D109" s="5" t="s">
        <v>763</v>
      </c>
      <c r="E109" s="5" t="s">
        <v>764</v>
      </c>
      <c r="G109" s="6" t="str">
        <f>IFERROR(__xludf.DUMMYFUNCTION("GOOGLETRANSLATE(A109, ""en"", ""fr"")"),"108")</f>
        <v>108</v>
      </c>
      <c r="H109" s="6" t="str">
        <f>IFERROR(__xludf.DUMMYFUNCTION("GOOGLETRANSLATE(B109, ""en"", ""fr"")"),"Quelle est la règle si un joueur lance son tambourin pour frapper la balle ?")</f>
        <v>Quelle est la règle si un joueur lance son tambourin pour frapper la balle ?</v>
      </c>
      <c r="I109" s="6" t="str">
        <f>IFERROR(__xludf.DUMMYFUNCTION("GOOGLETRANSLATE(C109, ""en"", ""fr"")"),"A) C'est un geste légal, même s'il est désespéré. B) C'est une faute pour avoir « jeté la batte ». C) Le point est rejoué. D) Le joueur est disqualifié.")</f>
        <v>A) C'est un geste légal, même s'il est désespéré. B) C'est une faute pour avoir « jeté la batte ». C) Le point est rejoué. D) Le joueur est disqualifié.</v>
      </c>
      <c r="J109" s="6" t="str">
        <f>IFERROR(__xludf.DUMMYFUNCTION("GOOGLETRANSLATE(D109, ""en"", ""fr"")"),"B) C'est une faute pour « avoir jeté la batte »")</f>
        <v>B) C'est une faute pour « avoir jeté la batte »</v>
      </c>
      <c r="K109" s="6" t="str">
        <f>IFERROR(__xludf.DUMMYFUNCTION("GOOGLETRANSLATE(E109, ""en"", ""fr"")"),"Le tambourin doit être tenu à la main lors de la frappe de la balle. Le jeter constitue une faute manifeste.")</f>
        <v>Le tambourin doit être tenu à la main lors de la frappe de la balle. Le jeter constitue une faute manifeste.</v>
      </c>
    </row>
    <row r="110" ht="22.5" customHeight="1">
      <c r="A110" s="4">
        <v>109.0</v>
      </c>
      <c r="B110" s="5" t="s">
        <v>765</v>
      </c>
      <c r="C110" s="5" t="s">
        <v>766</v>
      </c>
      <c r="D110" s="5" t="s">
        <v>767</v>
      </c>
      <c r="E110" s="5" t="s">
        <v>768</v>
      </c>
      <c r="G110" s="6" t="str">
        <f>IFERROR(__xludf.DUMMYFUNCTION("GOOGLETRANSLATE(A110, ""en"", ""fr"")"),"109")</f>
        <v>109</v>
      </c>
      <c r="H110" s="6" t="str">
        <f>IFERROR(__xludf.DUMMYFUNCTION("GOOGLETRANSLATE(B110, ""en"", ""fr"")"),"Au jeu en salle, un joueur frappe la balle, qui heurte le mur latéral avant d'atterrir dans le camp adverse. Ce coup est-il autorisé ?")</f>
        <v>Au jeu en salle, un joueur frappe la balle, qui heurte le mur latéral avant d'atterrir dans le camp adverse. Ce coup est-il autorisé ?</v>
      </c>
      <c r="I110" s="6" t="str">
        <f>IFERROR(__xludf.DUMMYFUNCTION("GOOGLETRANSLATE(C110, ""en"", ""fr"")"),"A) Oui, dans certaines versions, les murs latéraux sont pris en compte. B) Non, c'est une faute. C) Le point est rejoué. D) Uniquement si la balle touche d'abord le mur du fond.")</f>
        <v>A) Oui, dans certaines versions, les murs latéraux sont pris en compte. B) Non, c'est une faute. C) Le point est rejoué. D) Uniquement si la balle touche d'abord le mur du fond.</v>
      </c>
      <c r="J110" s="6" t="str">
        <f>IFERROR(__xludf.DUMMYFUNCTION("GOOGLETRANSLATE(D110, ""en"", ""fr"")"),"A) Oui, dans certaines versions, les murs latéraux entrent en jeu.")</f>
        <v>A) Oui, dans certaines versions, les murs latéraux entrent en jeu.</v>
      </c>
      <c r="K110" s="6" t="str">
        <f>IFERROR(__xludf.DUMMYFUNCTION("GOOGLETRANSLATE(E110, ""en"", ""fr"")"),"Dans certaines formes de Tamburello en salle (comme le « Tamburello a Muro »), jouer la balle contre les murs latéraux est une partie légale et stratégique du jeu.")</f>
        <v>Dans certaines formes de Tamburello en salle (comme le « Tamburello a Muro »), jouer la balle contre les murs latéraux est une partie légale et stratégique du jeu.</v>
      </c>
    </row>
    <row r="111" ht="22.5" customHeight="1">
      <c r="A111" s="4">
        <v>110.0</v>
      </c>
      <c r="B111" s="5" t="s">
        <v>769</v>
      </c>
      <c r="C111" s="5" t="s">
        <v>770</v>
      </c>
      <c r="D111" s="5" t="s">
        <v>771</v>
      </c>
      <c r="E111" s="5" t="s">
        <v>772</v>
      </c>
      <c r="G111" s="6" t="str">
        <f>IFERROR(__xludf.DUMMYFUNCTION("GOOGLETRANSLATE(A111, ""en"", ""fr"")"),"110")</f>
        <v>110</v>
      </c>
      <c r="H111" s="6" t="str">
        <f>IFERROR(__xludf.DUMMYFUNCTION("GOOGLETRANSLATE(B111, ""en"", ""fr"")"),"Quel est le rôle principal de la Fédération Française de Jeu de Balle au Tambourin (FFJST) ?")</f>
        <v>Quel est le rôle principal de la Fédération Française de Jeu de Balle au Tambourin (FFJST) ?</v>
      </c>
      <c r="I111" s="6" t="str">
        <f>IFERROR(__xludf.DUMMYFUNCTION("GOOGLETRANSLATE(C111, ""en"", ""fr"")"),"A) Fournir du matériel aux clubs, B) Être l'instance dirigeante officielle qui organise les championnats et fixe les règles, C) Rémunérer les joueurs, D) Promouvoir le sport à la télévision")</f>
        <v>A) Fournir du matériel aux clubs, B) Être l'instance dirigeante officielle qui organise les championnats et fixe les règles, C) Rémunérer les joueurs, D) Promouvoir le sport à la télévision</v>
      </c>
      <c r="J111" s="6" t="str">
        <f>IFERROR(__xludf.DUMMYFUNCTION("GOOGLETRANSLATE(D111, ""en"", ""fr"")"),"B) Être l'instance dirigeante officielle qui organise les championnats et établit les règles")</f>
        <v>B) Être l'instance dirigeante officielle qui organise les championnats et établit les règles</v>
      </c>
      <c r="K111" s="6" t="str">
        <f>IFERROR(__xludf.DUMMYFUNCTION("GOOGLETRANSLATE(E111, ""en"", ""fr"")"),"La FFJST est l'autorité centrale du sport en France, chargée de son administration et de son développement.")</f>
        <v>La FFJST est l'autorité centrale du sport en France, chargée de son administration et de son développement.</v>
      </c>
    </row>
    <row r="112" ht="22.5" customHeight="1">
      <c r="A112" s="4">
        <v>111.0</v>
      </c>
      <c r="B112" s="5" t="s">
        <v>773</v>
      </c>
      <c r="C112" s="5" t="s">
        <v>774</v>
      </c>
      <c r="D112" s="5" t="s">
        <v>775</v>
      </c>
      <c r="E112" s="5" t="s">
        <v>776</v>
      </c>
      <c r="G112" s="6" t="str">
        <f>IFERROR(__xludf.DUMMYFUNCTION("GOOGLETRANSLATE(A112, ""en"", ""fr"")"),"111")</f>
        <v>111</v>
      </c>
      <c r="H112" s="6" t="str">
        <f>IFERROR(__xludf.DUMMYFUNCTION("GOOGLETRANSLATE(B112, ""en"", ""fr"")"),"Une équipe est pénalisée pour avoir reçu des « conseils en dehors de la zone désignée ». Qu'est-ce que cela signifie ?")</f>
        <v>Une équipe est pénalisée pour avoir reçu des « conseils en dehors de la zone désignée ». Qu'est-ce que cela signifie ?</v>
      </c>
      <c r="I112" s="6" t="str">
        <f>IFERROR(__xludf.DUMMYFUNCTION("GOOGLETRANSLATE(C112, ""en"", ""fr"")"),"A) Leur entraîneur criait trop fort. B) Leur entraîneur utilisait un téléphone portable. C) Une autre personne que l'entraîneur officiel donnait des instructions. D) L'entraîneur était sorti de sa zone délimitée.")</f>
        <v>A) Leur entraîneur criait trop fort. B) Leur entraîneur utilisait un téléphone portable. C) Une autre personne que l'entraîneur officiel donnait des instructions. D) L'entraîneur était sorti de sa zone délimitée.</v>
      </c>
      <c r="J112" s="6" t="str">
        <f>IFERROR(__xludf.DUMMYFUNCTION("GOOGLETRANSLATE(D112, ""en"", ""fr"")"),"D) L'entraîneur avait franchi la zone délimitée de son emplacement.")</f>
        <v>D) L'entraîneur avait franchi la zone délimitée de son emplacement.</v>
      </c>
      <c r="K112" s="6" t="str">
        <f>IFERROR(__xludf.DUMMYFUNCTION("GOOGLETRANSLATE(E112, ""en"", ""fr"")"),"Un entraîneur doit rester dans sa zone désignée lorsqu'il donne des instructions à son équipe pendant un match.")</f>
        <v>Un entraîneur doit rester dans sa zone désignée lorsqu'il donne des instructions à son équipe pendant un match.</v>
      </c>
    </row>
    <row r="113" ht="22.5" customHeight="1">
      <c r="A113" s="4">
        <v>112.0</v>
      </c>
      <c r="B113" s="5" t="s">
        <v>796</v>
      </c>
      <c r="C113" s="5" t="s">
        <v>797</v>
      </c>
      <c r="D113" s="5" t="s">
        <v>798</v>
      </c>
      <c r="E113" s="5" t="s">
        <v>799</v>
      </c>
      <c r="G113" s="6" t="str">
        <f>IFERROR(__xludf.DUMMYFUNCTION("GOOGLETRANSLATE(A113, ""en"", ""fr"")"),"112")</f>
        <v>112</v>
      </c>
      <c r="H113" s="6" t="str">
        <f>IFERROR(__xludf.DUMMYFUNCTION("GOOGLETRANSLATE(B113, ""en"", ""fr"")"),"Un joueur est sanctionné pour « injures verbales ». Qu'a-t-il bien pu faire ?")</f>
        <v>Un joueur est sanctionné pour « injures verbales ». Qu'a-t-il bien pu faire ?</v>
      </c>
      <c r="I113" s="6" t="str">
        <f>IFERROR(__xludf.DUMMYFUNCTION("GOOGLETRANSLATE(C113, ""en"", ""fr"")"),"A) A crié des instructions à un coéquipier, B) A argumenté respectueusement avec l'arbitre, C) A utilisé un langage insultant ou offensant envers un adversaire ou un officiel, D) A célébré un point bruyamment")</f>
        <v>A) A crié des instructions à un coéquipier, B) A argumenté respectueusement avec l'arbitre, C) A utilisé un langage insultant ou offensant envers un adversaire ou un officiel, D) A célébré un point bruyamment</v>
      </c>
      <c r="J113" s="6" t="str">
        <f>IFERROR(__xludf.DUMMYFUNCTION("GOOGLETRANSLATE(D113, ""en"", ""fr"")"),"C) A utilisé un langage insultant ou offensant envers un adversaire ou un officiel")</f>
        <v>C) A utilisé un langage insultant ou offensant envers un adversaire ou un officiel</v>
      </c>
      <c r="K113" s="6" t="str">
        <f>IFERROR(__xludf.DUMMYFUNCTION("GOOGLETRANSLATE(E113, ""en"", ""fr"")"),"Les injures verbales constituent une grave violation de l'esprit sportif et sont sanctionnées par un retrait de points ou une disqualification.")</f>
        <v>Les injures verbales constituent une grave violation de l'esprit sportif et sont sanctionnées par un retrait de points ou une disqualification.</v>
      </c>
    </row>
    <row r="114" ht="22.5" customHeight="1">
      <c r="A114" s="4">
        <v>113.0</v>
      </c>
      <c r="B114" s="5" t="s">
        <v>804</v>
      </c>
      <c r="C114" s="5" t="s">
        <v>805</v>
      </c>
      <c r="D114" s="5" t="s">
        <v>806</v>
      </c>
      <c r="E114" s="5" t="s">
        <v>807</v>
      </c>
      <c r="G114" s="6" t="str">
        <f>IFERROR(__xludf.DUMMYFUNCTION("GOOGLETRANSLATE(A114, ""en"", ""fr"")"),"113")</f>
        <v>113</v>
      </c>
      <c r="H114" s="6" t="str">
        <f>IFERROR(__xludf.DUMMYFUNCTION("GOOGLETRANSLATE(B114, ""en"", ""fr"")"),"Quelle est la principale raison de ces règles strictes concernant les substitutions ?")</f>
        <v>Quelle est la principale raison de ces règles strictes concernant les substitutions ?</v>
      </c>
      <c r="I114" s="6" t="str">
        <f>IFERROR(__xludf.DUMMYFUNCTION("GOOGLETRANSLATE(C114, ""en"", ""fr"")"),"A) Pour rendre le jeu plus difficile, B) Pour garantir l'équité et empêcher les équipes d'utiliser les remplacements à des fins tactiques de temporisation, C) Pour gagner du temps, D) Pour protéger les joueurs")</f>
        <v>A) Pour rendre le jeu plus difficile, B) Pour garantir l'équité et empêcher les équipes d'utiliser les remplacements à des fins tactiques de temporisation, C) Pour gagner du temps, D) Pour protéger les joueurs</v>
      </c>
      <c r="J114" s="6" t="str">
        <f>IFERROR(__xludf.DUMMYFUNCTION("GOOGLETRANSLATE(D114, ""en"", ""fr"")"),"B) Afin de garantir l'équité et d'empêcher les équipes d'utiliser les substitutions à des fins de temporisation tactique")</f>
        <v>B) Afin de garantir l'équité et d'empêcher les équipes d'utiliser les substitutions à des fins de temporisation tactique</v>
      </c>
      <c r="K114" s="6" t="str">
        <f>IFERROR(__xludf.DUMMYFUNCTION("GOOGLETRANSLATE(E114, ""en"", ""fr"")"),"Les règles sont conçues pour permettre des changements de joueurs en raison de blessures ou de choix tactiques, mais pas de manière à perturber le déroulement ou l'équité du jeu.")</f>
        <v>Les règles sont conçues pour permettre des changements de joueurs en raison de blessures ou de choix tactiques, mais pas de manière à perturber le déroulement ou l'équité du jeu.</v>
      </c>
    </row>
    <row r="115" ht="22.5" customHeight="1">
      <c r="A115" s="4">
        <v>114.0</v>
      </c>
      <c r="B115" s="5" t="s">
        <v>808</v>
      </c>
      <c r="C115" s="5" t="s">
        <v>720</v>
      </c>
      <c r="D115" s="5" t="s">
        <v>721</v>
      </c>
      <c r="E115" s="5" t="s">
        <v>722</v>
      </c>
      <c r="G115" s="6" t="str">
        <f>IFERROR(__xludf.DUMMYFUNCTION("GOOGLETRANSLATE(A115, ""en"", ""fr"")"),"114")</f>
        <v>114</v>
      </c>
      <c r="H115" s="6" t="str">
        <f>IFERROR(__xludf.DUMMYFUNCTION("GOOGLETRANSLATE(B115, ""en"", ""fr"")"),"Un joueur frappe la balle, et celle-ci touche son propre coéquipier avant de franchir la ligne médiane. Quelle est la décision arbitrale ?")</f>
        <v>Un joueur frappe la balle, et celle-ci touche son propre coéquipier avant de franchir la ligne médiane. Quelle est la décision arbitrale ?</v>
      </c>
      <c r="I115" s="6" t="str">
        <f>IFERROR(__xludf.DUMMYFUNCTION("GOOGLETRANSLATE(C115, ""en"", ""fr"")"),"A) C'est une faute, et l'équipe perd le point. B) Le point est rejoué. C) Le jeu continue car il s'agissait d'un accident. D) Le joueur touché est pénalisé.")</f>
        <v>A) C'est une faute, et l'équipe perd le point. B) Le point est rejoué. C) Le jeu continue car il s'agissait d'un accident. D) Le joueur touché est pénalisé.</v>
      </c>
      <c r="J115" s="6" t="str">
        <f>IFERROR(__xludf.DUMMYFUNCTION("GOOGLETRANSLATE(D115, ""en"", ""fr"")"),"A) C'est une faute, et l'équipe perd le point.")</f>
        <v>A) C'est une faute, et l'équipe perd le point.</v>
      </c>
      <c r="K115" s="6" t="str">
        <f>IFERROR(__xludf.DUMMYFUNCTION("GOOGLETRANSLATE(E115, ""en"", ""fr"")"),"Si un joueur est touché par une balle frappée par son équipe (avant qu'elle n'ait été jouée par un adversaire), il s'agit d'une faute.")</f>
        <v>Si un joueur est touché par une balle frappée par son équipe (avant qu'elle n'ait été jouée par un adversaire), il s'agit d'une faute.</v>
      </c>
    </row>
    <row r="116" ht="22.5" customHeight="1">
      <c r="A116" s="4">
        <v>115.0</v>
      </c>
      <c r="B116" s="5" t="s">
        <v>715</v>
      </c>
      <c r="C116" s="5" t="s">
        <v>716</v>
      </c>
      <c r="D116" s="5" t="s">
        <v>717</v>
      </c>
      <c r="E116" s="5" t="s">
        <v>718</v>
      </c>
      <c r="G116" s="6" t="str">
        <f>IFERROR(__xludf.DUMMYFUNCTION("GOOGLETRANSLATE(A116, ""en"", ""fr"")"),"115")</f>
        <v>115</v>
      </c>
      <c r="H116" s="6" t="str">
        <f>IFERROR(__xludf.DUMMYFUNCTION("GOOGLETRANSLATE(B116, ""en"", ""fr"")"),"Quelle est la principale raison pour laquelle le terrain est si long (80 mètres) ?")</f>
        <v>Quelle est la principale raison pour laquelle le terrain est si long (80 mètres) ?</v>
      </c>
      <c r="I116" s="6" t="str">
        <f>IFERROR(__xludf.DUMMYFUNCTION("GOOGLETRANSLATE(C116, ""en"", ""fr"")"),"A) Pour accueillir un grand nombre de joueurs, B) Pour tester la force et l'endurance des joueurs, C) C'est une taille traditionnelle sans raison particulière, D) Pour rendre le jeu plus sûr")</f>
        <v>A) Pour accueillir un grand nombre de joueurs, B) Pour tester la force et l'endurance des joueurs, C) C'est une taille traditionnelle sans raison particulière, D) Pour rendre le jeu plus sûr</v>
      </c>
      <c r="J116" s="6" t="str">
        <f>IFERROR(__xludf.DUMMYFUNCTION("GOOGLETRANSLATE(D116, ""en"", ""fr"")"),"B) Tester la puissance et l'endurance des joueurs")</f>
        <v>B) Tester la puissance et l'endurance des joueurs</v>
      </c>
      <c r="K116" s="6" t="str">
        <f>IFERROR(__xludf.DUMMYFUNCTION("GOOGLETRANSLATE(E116, ""en"", ""fr"")"),"Le grand format du court exige des joueurs, et notamment du fond, une force incroyable pour frapper la balle sur toute la longueur du court pendant tout un match.")</f>
        <v>Le grand format du court exige des joueurs, et notamment du fond, une force incroyable pour frapper la balle sur toute la longueur du court pendant tout un match.</v>
      </c>
    </row>
    <row r="117" ht="22.5" customHeight="1">
      <c r="A117" s="4">
        <v>116.0</v>
      </c>
      <c r="B117" s="5" t="s">
        <v>711</v>
      </c>
      <c r="C117" s="5" t="s">
        <v>712</v>
      </c>
      <c r="D117" s="5" t="s">
        <v>713</v>
      </c>
      <c r="E117" s="5" t="s">
        <v>714</v>
      </c>
      <c r="G117" s="6" t="str">
        <f>IFERROR(__xludf.DUMMYFUNCTION("GOOGLETRANSLATE(A117, ""en"", ""fr"")"),"116")</f>
        <v>116</v>
      </c>
      <c r="H117" s="6" t="str">
        <f>IFERROR(__xludf.DUMMYFUNCTION("GOOGLETRANSLATE(B117, ""en"", ""fr"")"),"Un joueur est surpris à utiliser un tambourin à double couche de peau synthétique pour créer un effet de « trampoline ». Quelle est la décision ?")</f>
        <v>Un joueur est surpris à utiliser un tambourin à double couche de peau synthétique pour créer un effet de « trampoline ». Quelle est la décision ?</v>
      </c>
      <c r="I117" s="6" t="str">
        <f>IFERROR(__xludf.DUMMYFUNCTION("GOOGLETRANSLATE(C117, ""en"", ""fr"")"),"A) Il s'agit d'une innovation légale. B) Le tambourin est illégal et le joueur est disqualifié. C) Le joueur peut l'utiliser mais ne peut pas marquer de points. D) Un avertissement est donné.")</f>
        <v>A) Il s'agit d'une innovation légale. B) Le tambourin est illégal et le joueur est disqualifié. C) Le joueur peut l'utiliser mais ne peut pas marquer de points. D) Un avertissement est donné.</v>
      </c>
      <c r="J117" s="6" t="str">
        <f>IFERROR(__xludf.DUMMYFUNCTION("GOOGLETRANSLATE(D117, ""en"", ""fr"")"),"B) Le tambourin est illégal et le joueur est disqualifié.")</f>
        <v>B) Le tambourin est illégal et le joueur est disqualifié.</v>
      </c>
      <c r="K117" s="6" t="str">
        <f>IFERROR(__xludf.DUMMYFUNCTION("GOOGLETRANSLATE(E117, ""en"", ""fr"")"),"Tout le matériel doit être conforme aux normes officielles. Toute altération du tambourin visant à obtenir un avantage indu constitue une infraction grave.")</f>
        <v>Tout le matériel doit être conforme aux normes officielles. Toute altération du tambourin visant à obtenir un avantage indu constitue une infraction grave.</v>
      </c>
    </row>
    <row r="118" ht="22.5" customHeight="1">
      <c r="A118" s="4">
        <v>117.0</v>
      </c>
      <c r="B118" s="5" t="s">
        <v>723</v>
      </c>
      <c r="C118" s="5" t="s">
        <v>724</v>
      </c>
      <c r="D118" s="5" t="s">
        <v>725</v>
      </c>
      <c r="E118" s="5" t="s">
        <v>726</v>
      </c>
      <c r="G118" s="6" t="str">
        <f>IFERROR(__xludf.DUMMYFUNCTION("GOOGLETRANSLATE(A118, ""en"", ""fr"")"),"117")</f>
        <v>117</v>
      </c>
      <c r="H118" s="6" t="str">
        <f>IFERROR(__xludf.DUMMYFUNCTION("GOOGLETRANSLATE(B118, ""en"", ""fr"")"),"Quel est le rôle principal des joueurs des tiers ?")</f>
        <v>Quel est le rôle principal des joueurs des tiers ?</v>
      </c>
      <c r="I118" s="6" t="str">
        <f>IFERROR(__xludf.DUMMYFUNCTION("GOOGLETRANSLATE(C118, ""en"", ""fr"")"),"A) Ce sont les serveurs principaux, B) Ce sont des joueurs polyvalents qui contrôlent le milieu de terrain, jouant à la fois en attaque et en défense, C) Ce sont des spécialistes de la défense qui ne font que bloquer, D) Ce sont des remplaçants")</f>
        <v>A) Ce sont les serveurs principaux, B) Ce sont des joueurs polyvalents qui contrôlent le milieu de terrain, jouant à la fois en attaque et en défense, C) Ce sont des spécialistes de la défense qui ne font que bloquer, D) Ce sont des remplaçants</v>
      </c>
      <c r="J118" s="6" t="str">
        <f>IFERROR(__xludf.DUMMYFUNCTION("GOOGLETRANSLATE(D118, ""en"", ""fr"")"),"B) Ce sont des joueurs polyvalents qui contrôlent le milieu de terrain, jouant à la fois en attaque et en défense.")</f>
        <v>B) Ce sont des joueurs polyvalents qui contrôlent le milieu de terrain, jouant à la fois en attaque et en défense.</v>
      </c>
      <c r="K118" s="6" t="str">
        <f>IFERROR(__xludf.DUMMYFUNCTION("GOOGLETRANSLATE(E118, ""en"", ""fr"")"),"Les milieux défensifs sont les joueurs polyvalents de l'équipe, chargés d'assurer la liaison entre l'avant et l'arrière du terrain.")</f>
        <v>Les milieux défensifs sont les joueurs polyvalents de l'équipe, chargés d'assurer la liaison entre l'avant et l'arrière du terrain.</v>
      </c>
    </row>
    <row r="119" ht="22.5" customHeight="1">
      <c r="A119" s="4">
        <v>118.0</v>
      </c>
      <c r="B119" s="5" t="s">
        <v>727</v>
      </c>
      <c r="C119" s="5" t="s">
        <v>728</v>
      </c>
      <c r="D119" s="5" t="s">
        <v>729</v>
      </c>
      <c r="E119" s="5" t="s">
        <v>730</v>
      </c>
      <c r="G119" s="6" t="str">
        <f>IFERROR(__xludf.DUMMYFUNCTION("GOOGLETRANSLATE(A119, ""en"", ""fr"")"),"118")</f>
        <v>118</v>
      </c>
      <c r="H119" s="6" t="str">
        <f>IFERROR(__xludf.DUMMYFUNCTION("GOOGLETRANSLATE(B119, ""en"", ""fr"")"),"Un joueur est pénalisé pour « contact prolongé » avec le ballon. Qu'est-ce que cela signifie ?")</f>
        <v>Un joueur est pénalisé pour « contact prolongé » avec le ballon. Qu'est-ce que cela signifie ?</v>
      </c>
      <c r="I119" s="6" t="str">
        <f>IFERROR(__xludf.DUMMYFUNCTION("GOOGLETRANSLATE(C119, ""en"", ""fr"")"),"A) Ils ont frappé la balle deux fois, B) Ils ont attrapé ou retenu la balle sur le tambourin au lieu de la frapper proprement, C) Ils ont tenu la balle avec leur main, D) Ils ont mis trop de temps à frapper la balle")</f>
        <v>A) Ils ont frappé la balle deux fois, B) Ils ont attrapé ou retenu la balle sur le tambourin au lieu de la frapper proprement, C) Ils ont tenu la balle avec leur main, D) Ils ont mis trop de temps à frapper la balle</v>
      </c>
      <c r="J119" s="6" t="str">
        <f>IFERROR(__xludf.DUMMYFUNCTION("GOOGLETRANSLATE(D119, ""en"", ""fr"")"),"B) Ils ont attrapé ou retenu la balle sur le tambourin au lieu de la frapper proprement.")</f>
        <v>B) Ils ont attrapé ou retenu la balle sur le tambourin au lieu de la frapper proprement.</v>
      </c>
      <c r="K119" s="6" t="str">
        <f>IFERROR(__xludf.DUMMYFUNCTION("GOOGLETRANSLATE(E119, ""en"", ""fr"")"),"La balle doit être frappée d'un seul mouvement distinct. La ramasser, la porter ou la retenir sur le tambourin constitue une faute.")</f>
        <v>La balle doit être frappée d'un seul mouvement distinct. La ramasser, la porter ou la retenir sur le tambourin constitue une faute.</v>
      </c>
    </row>
    <row r="120" ht="22.5" customHeight="1">
      <c r="A120" s="4">
        <v>119.0</v>
      </c>
      <c r="B120" s="5" t="s">
        <v>813</v>
      </c>
      <c r="C120" s="5" t="s">
        <v>814</v>
      </c>
      <c r="D120" s="5" t="s">
        <v>815</v>
      </c>
      <c r="E120" s="5" t="s">
        <v>816</v>
      </c>
      <c r="G120" s="6" t="str">
        <f>IFERROR(__xludf.DUMMYFUNCTION("GOOGLETRANSLATE(A120, ""en"", ""fr"")"),"119")</f>
        <v>119</v>
      </c>
      <c r="H120" s="6" t="str">
        <f>IFERROR(__xludf.DUMMYFUNCTION("GOOGLETRANSLATE(B120, ""en"", ""fr"")"),"Une équipe mène 6-5 dans un set et le score du match est de 40-30. Si elle remporte le prochain point, que se passe-t-il ?")</f>
        <v>Une équipe mène 6-5 dans un set et le score du match est de 40-30. Si elle remporte le prochain point, que se passe-t-il ?</v>
      </c>
      <c r="I120" s="6" t="str">
        <f>IFERROR(__xludf.DUMMYFUNCTION("GOOGLETRANSLATE(C120, ""en"", ""fr"")"),"A) Ils remportent le set 7-5, B) Le jeu se poursuit jusqu'au tie-break, C) Ils remportent le jeu et le set 6-5, D) Ils doivent remporter le jeu par deux points d'écart")</f>
        <v>A) Ils remportent le set 7-5, B) Le jeu se poursuit jusqu'au tie-break, C) Ils remportent le jeu et le set 6-5, D) Ils doivent remporter le jeu par deux points d'écart</v>
      </c>
      <c r="J120" s="6" t="str">
        <f>IFERROR(__xludf.DUMMYFUNCTION("GOOGLETRANSLATE(D120, ""en"", ""fr"")"),"A) Ils remportent le set 7-5")</f>
        <v>A) Ils remportent le set 7-5</v>
      </c>
      <c r="K120" s="6" t="str">
        <f>IFERROR(__xludf.DUMMYFUNCTION("GOOGLETRANSLATE(E120, ""en"", ""fr"")"),"Dans un set standard, une équipe doit gagner avec deux jeux d'avance. Par conséquent, remporter ce jeu porterait le score à 7-5 et mettrait fin au set.")</f>
        <v>Dans un set standard, une équipe doit gagner avec deux jeux d'avance. Par conséquent, remporter ce jeu porterait le score à 7-5 et mettrait fin au set.</v>
      </c>
    </row>
    <row r="121" ht="22.5" customHeight="1">
      <c r="A121" s="4">
        <v>120.0</v>
      </c>
      <c r="B121" s="5" t="s">
        <v>817</v>
      </c>
      <c r="C121" s="5" t="s">
        <v>818</v>
      </c>
      <c r="D121" s="5" t="s">
        <v>819</v>
      </c>
      <c r="E121" s="5" t="s">
        <v>820</v>
      </c>
      <c r="G121" s="6" t="str">
        <f>IFERROR(__xludf.DUMMYFUNCTION("GOOGLETRANSLATE(A121, ""en"", ""fr"")"),"120")</f>
        <v>120</v>
      </c>
      <c r="H121" s="6" t="str">
        <f>IFERROR(__xludf.DUMMYFUNCTION("GOOGLETRANSLATE(B121, ""en"", ""fr"")"),"Quel est le rôle principal des juges de ligne ?")</f>
        <v>Quel est le rôle principal des juges de ligne ?</v>
      </c>
      <c r="I121" s="6" t="str">
        <f>IFERROR(__xludf.DUMMYFUNCTION("GOOGLETRANSLATE(C121, ""en"", ""fr"")"),"A) Tenir le score, B) Assister l'arbitre principal en signalant les fautes sur les lignes de touche, C) Encadrer les joueurs, D) Inspecter l'équipement")</f>
        <v>A) Tenir le score, B) Assister l'arbitre principal en signalant les fautes sur les lignes de touche, C) Encadrer les joueurs, D) Inspecter l'équipement</v>
      </c>
      <c r="J121" s="6" t="str">
        <f>IFERROR(__xludf.DUMMYFUNCTION("GOOGLETRANSLATE(D121, ""en"", ""fr"")"),"B) Assister l'arbitre principal en signalant les fautes sur les lignes de touche")</f>
        <v>B) Assister l'arbitre principal en signalant les fautes sur les lignes de touche</v>
      </c>
      <c r="K121" s="6" t="str">
        <f>IFERROR(__xludf.DUMMYFUNCTION("GOOGLETRANSLATE(E121, ""en"", ""fr"")"),"Les juges de ligne sont positionnés de manière à avoir une vue dégagée des lignes et sont chargés de signaler si une balle est « dedans » ou « dehors ».")</f>
        <v>Les juges de ligne sont positionnés de manière à avoir une vue dégagée des lignes et sont chargés de signaler si une balle est « dedans » ou « dehors ».</v>
      </c>
    </row>
    <row r="122" ht="22.5" customHeight="1">
      <c r="A122" s="4">
        <v>121.0</v>
      </c>
      <c r="B122" s="5" t="s">
        <v>821</v>
      </c>
      <c r="C122" s="5" t="s">
        <v>822</v>
      </c>
      <c r="D122" s="5" t="s">
        <v>823</v>
      </c>
      <c r="E122" s="5" t="s">
        <v>824</v>
      </c>
      <c r="G122" s="6" t="str">
        <f>IFERROR(__xludf.DUMMYFUNCTION("GOOGLETRANSLATE(A122, ""en"", ""fr"")"),"121")</f>
        <v>121</v>
      </c>
      <c r="H122" s="6" t="str">
        <f>IFERROR(__xludf.DUMMYFUNCTION("GOOGLETRANSLATE(B122, ""en"", ""fr"")"),"Un joueur frappe la balle, et celle-ci touche son propre coéquipier après avoir franchi la ligne médiane et avoir été renvoyée par ce dernier. Quelle est la décision arbitrale ?")</f>
        <v>Un joueur frappe la balle, et celle-ci touche son propre coéquipier après avoir franchi la ligne médiane et avoir été renvoyée par ce dernier. Quelle est la décision arbitrale ?</v>
      </c>
      <c r="I122" s="6" t="str">
        <f>IFERROR(__xludf.DUMMYFUNCTION("GOOGLETRANSLATE(C122, ""en"", ""fr"")"),"A) C'est une faute de la première équipe. B) C'est un point pour la première équipe, car la tentative de retour de l'adversaire a échoué. C) Le point est rejoué. D) C'est une faute de l'adversaire.")</f>
        <v>A) C'est une faute de la première équipe. B) C'est un point pour la première équipe, car la tentative de retour de l'adversaire a échoué. C) Le point est rejoué. D) C'est une faute de l'adversaire.</v>
      </c>
      <c r="J122" s="6" t="str">
        <f>IFERROR(__xludf.DUMMYFUNCTION("GOOGLETRANSLATE(D122, ""en"", ""fr"")"),"B) C'est un point pour la première équipe, car le retour de l'adversaire n'a pas abouti.")</f>
        <v>B) C'est un point pour la première équipe, car le retour de l'adversaire n'a pas abouti.</v>
      </c>
      <c r="K122" s="6" t="str">
        <f>IFERROR(__xludf.DUMMYFUNCTION("GOOGLETRANSLATE(E122, ""en"", ""fr"")"),"Si l'équipe adverse frappe la balle et que celle-ci touche ensuite un joueur de l'équipe adverse, l'équipe qui a frappé perd le point.")</f>
        <v>Si l'équipe adverse frappe la balle et que celle-ci touche ensuite un joueur de l'équipe adverse, l'équipe qui a frappé perd le point.</v>
      </c>
    </row>
    <row r="123" ht="22.5" customHeight="1">
      <c r="A123" s="4">
        <v>122.0</v>
      </c>
      <c r="B123" s="5" t="s">
        <v>825</v>
      </c>
      <c r="C123" s="5" t="s">
        <v>826</v>
      </c>
      <c r="D123" s="5" t="s">
        <v>827</v>
      </c>
      <c r="E123" s="5" t="s">
        <v>828</v>
      </c>
      <c r="G123" s="6" t="str">
        <f>IFERROR(__xludf.DUMMYFUNCTION("GOOGLETRANSLATE(A123, ""en"", ""fr"")"),"122")</f>
        <v>122</v>
      </c>
      <c r="H123" s="6" t="str">
        <f>IFERROR(__xludf.DUMMYFUNCTION("GOOGLETRANSLATE(B123, ""en"", ""fr"")"),"Qu'est-ce qu'un « let » ou une « balle à remettre » ?")</f>
        <v>Qu'est-ce qu'un « let » ou une « balle à remettre » ?</v>
      </c>
      <c r="I123" s="6" t="str">
        <f>IFERROR(__xludf.DUMMYFUNCTION("GOOGLETRANSLATE(C123, ""en"", ""fr"")"),"A) Une faute, B) Un point rejoué suite à une interférence imprévue, C) La fin d'un jeu, D) Un type de service")</f>
        <v>A) Une faute, B) Un point rejoué suite à une interférence imprévue, C) La fin d'un jeu, D) Un type de service</v>
      </c>
      <c r="J123" s="6" t="str">
        <f>IFERROR(__xludf.DUMMYFUNCTION("GOOGLETRANSLATE(D123, ""en"", ""fr"")"),"B) Un point rejoué en raison d'une interférence imprévue")</f>
        <v>B) Un point rejoué en raison d'une interférence imprévue</v>
      </c>
      <c r="K123" s="6" t="str">
        <f>IFERROR(__xludf.DUMMYFUNCTION("GOOGLETRANSLATE(E123, ""en"", ""fr"")"),"Un « let » est prononcé lorsqu'un événement extérieur (comme une balle perdue provenant d'un autre terrain) interrompt le point, qui est alors rejoué.")</f>
        <v>Un « let » est prononcé lorsqu'un événement extérieur (comme une balle perdue provenant d'un autre terrain) interrompt le point, qui est alors rejoué.</v>
      </c>
    </row>
    <row r="124" ht="22.5" customHeight="1">
      <c r="A124" s="4">
        <v>123.0</v>
      </c>
      <c r="B124" s="5" t="s">
        <v>829</v>
      </c>
      <c r="C124" s="5" t="s">
        <v>830</v>
      </c>
      <c r="D124" s="5" t="s">
        <v>831</v>
      </c>
      <c r="E124" s="5" t="s">
        <v>832</v>
      </c>
      <c r="G124" s="6" t="str">
        <f>IFERROR(__xludf.DUMMYFUNCTION("GOOGLETRANSLATE(A124, ""en"", ""fr"")"),"123")</f>
        <v>123</v>
      </c>
      <c r="H124" s="6" t="str">
        <f>IFERROR(__xludf.DUMMYFUNCTION("GOOGLETRANSLATE(B124, ""en"", ""fr"")"),"Un joueur sert du mauvais côté du terrain. Quelle est la décision ?")</f>
        <v>Un joueur sert du mauvais côté du terrain. Quelle est la décision ?</v>
      </c>
      <c r="I124" s="6" t="str">
        <f>IFERROR(__xludf.DUMMYFUNCTION("GOOGLETRANSLATE(C124, ""en"", ""fr"")"),"A) Le service est régulier, B) Une faute est signalée et le point est perdu, C) L'arbitre autorise un nouveau service du côté droit, D) Un avertissement est donné")</f>
        <v>A) Le service est régulier, B) Une faute est signalée et le point est perdu, C) L'arbitre autorise un nouveau service du côté droit, D) Un avertissement est donné</v>
      </c>
      <c r="J124" s="6" t="str">
        <f>IFERROR(__xludf.DUMMYFUNCTION("GOOGLETRANSLATE(D124, ""en"", ""fr"")"),"B) Un défaut est signalé et le point est perdu.")</f>
        <v>B) Un défaut est signalé et le point est perdu.</v>
      </c>
      <c r="K124" s="6" t="str">
        <f>IFERROR(__xludf.DUMMYFUNCTION("GOOGLETRANSLATE(E124, ""en"", ""fr"")"),"Le serveur doit effectuer le service depuis la position correcte, déterminée par le score. Servir du mauvais côté constitue une faute.")</f>
        <v>Le serveur doit effectuer le service depuis la position correcte, déterminée par le score. Servir du mauvais côté constitue une faute.</v>
      </c>
    </row>
    <row r="125" ht="22.5" customHeight="1">
      <c r="A125" s="4">
        <v>124.0</v>
      </c>
      <c r="B125" s="5" t="s">
        <v>833</v>
      </c>
      <c r="C125" s="5" t="s">
        <v>834</v>
      </c>
      <c r="D125" s="5" t="s">
        <v>835</v>
      </c>
      <c r="E125" s="5" t="s">
        <v>836</v>
      </c>
      <c r="G125" s="6" t="str">
        <f>IFERROR(__xludf.DUMMYFUNCTION("GOOGLETRANSLATE(A125, ""en"", ""fr"")"),"124")</f>
        <v>124</v>
      </c>
      <c r="H125" s="6" t="str">
        <f>IFERROR(__xludf.DUMMYFUNCTION("GOOGLETRANSLATE(B125, ""en"", ""fr"")"),"Quel est le nombre maximum de joueurs qu'une équipe peut inscrire sur sa liste pour un match ?")</f>
        <v>Quel est le nombre maximum de joueurs qu'une équipe peut inscrire sur sa liste pour un match ?</v>
      </c>
      <c r="I125" s="6" t="str">
        <f>IFERROR(__xludf.DUMMYFUNCTION("GOOGLETRANSLATE(C125, ""en"", ""fr"")"),"A) 5, B) 6, C) 8, D) 10")</f>
        <v>A) 5, B) 6, C) 8, D) 10</v>
      </c>
      <c r="J125" s="6" t="str">
        <f>IFERROR(__xludf.DUMMYFUNCTION("GOOGLETRANSLATE(D125, ""en"", ""fr"")"),"C) 8")</f>
        <v>C) 8</v>
      </c>
      <c r="K125" s="6" t="str">
        <f>IFERROR(__xludf.DUMMYFUNCTION("GOOGLETRANSLATE(E125, ""en"", ""fr"")"),"Une équipe est composée de 5 joueurs sur le terrain et jusqu'à 3 remplaçants, pour un total de 8 joueurs sur la feuille de match.")</f>
        <v>Une équipe est composée de 5 joueurs sur le terrain et jusqu'à 3 remplaçants, pour un total de 8 joueurs sur la feuille de match.</v>
      </c>
    </row>
    <row r="126" ht="22.5" customHeight="1">
      <c r="A126" s="4">
        <v>125.0</v>
      </c>
      <c r="B126" s="5" t="s">
        <v>837</v>
      </c>
      <c r="C126" s="5" t="s">
        <v>838</v>
      </c>
      <c r="D126" s="5" t="s">
        <v>839</v>
      </c>
      <c r="E126" s="5" t="s">
        <v>840</v>
      </c>
      <c r="G126" s="6" t="str">
        <f>IFERROR(__xludf.DUMMYFUNCTION("GOOGLETRANSLATE(A126, ""en"", ""fr"")"),"125")</f>
        <v>125</v>
      </c>
      <c r="H126" s="6" t="str">
        <f>IFERROR(__xludf.DUMMYFUNCTION("GOOGLETRANSLATE(B126, ""en"", ""fr"")"),"Un joueur est touché par la balle alors qu'il se trouve hors des limites du terrain. Quelle est la décision ?")</f>
        <v>Un joueur est touché par la balle alors qu'il se trouve hors des limites du terrain. Quelle est la décision ?</v>
      </c>
      <c r="I126" s="6" t="str">
        <f>IFERROR(__xludf.DUMMYFUNCTION("GOOGLETRANSLATE(C126, ""en"", ""fr"")"),"A) Le joueur touché perd le point. B) Le point est rejoué. C) Le joueur qui a frappé la balle perd le point. D) Le jeu continue.")</f>
        <v>A) Le joueur touché perd le point. B) Le point est rejoué. C) Le joueur qui a frappé la balle perd le point. D) Le jeu continue.</v>
      </c>
      <c r="J126" s="6" t="str">
        <f>IFERROR(__xludf.DUMMYFUNCTION("GOOGLETRANSLATE(D126, ""en"", ""fr"")"),"C) Le joueur qui a frappé la balle perd le point.")</f>
        <v>C) Le joueur qui a frappé la balle perd le point.</v>
      </c>
      <c r="K126" s="6" t="str">
        <f>IFERROR(__xludf.DUMMYFUNCTION("GOOGLETRANSLATE(E126, ""en"", ""fr"")"),"Si la balle touche un adversaire qui se trouve hors du terrain, l'équipe qui a frappé a commis une faute et perd le point.")</f>
        <v>Si la balle touche un adversaire qui se trouve hors du terrain, l'équipe qui a frappé a commis une faute et perd le point.</v>
      </c>
    </row>
    <row r="127" ht="22.5" customHeight="1">
      <c r="A127" s="4">
        <v>126.0</v>
      </c>
      <c r="B127" s="5" t="s">
        <v>841</v>
      </c>
      <c r="C127" s="5" t="s">
        <v>842</v>
      </c>
      <c r="D127" s="5" t="s">
        <v>843</v>
      </c>
      <c r="E127" s="5" t="s">
        <v>844</v>
      </c>
      <c r="G127" s="6" t="str">
        <f>IFERROR(__xludf.DUMMYFUNCTION("GOOGLETRANSLATE(A127, ""en"", ""fr"")"),"126")</f>
        <v>126</v>
      </c>
      <c r="H127" s="6" t="str">
        <f>IFERROR(__xludf.DUMMYFUNCTION("GOOGLETRANSLATE(B127, ""en"", ""fr"")"),"Quelle est la principale raison pour laquelle la version en salle de ce sport se joue avec des équipes de 3 au lieu de 5 ?")</f>
        <v>Quelle est la principale raison pour laquelle la version en salle de ce sport se joue avec des équipes de 3 au lieu de 5 ?</v>
      </c>
      <c r="I127" s="6" t="str">
        <f>IFERROR(__xludf.DUMMYFUNCTION("GOOGLETRANSLATE(C127, ""en"", ""fr"")"),"A) Il est plus difficile de trouver 5 joueurs pour une équipe en salle, B) Le terrain en salle est beaucoup plus petit, C) Cela accélère le jeu, D) C'est une règle traditionnelle")</f>
        <v>A) Il est plus difficile de trouver 5 joueurs pour une équipe en salle, B) Le terrain en salle est beaucoup plus petit, C) Cela accélère le jeu, D) C'est une règle traditionnelle</v>
      </c>
      <c r="J127" s="6" t="str">
        <f>IFERROR(__xludf.DUMMYFUNCTION("GOOGLETRANSLATE(D127, ""en"", ""fr"")"),"B) Le terrain intérieur est beaucoup plus petit.")</f>
        <v>B) Le terrain intérieur est beaucoup plus petit.</v>
      </c>
      <c r="K127" s="6" t="str">
        <f>IFERROR(__xludf.DUMMYFUNCTION("GOOGLETRANSLATE(E127, ""en"", ""fr"")"),"La taille réduite du terrain intérieur (généralement 34 m x 16 m) signifie qu'il faut moins de joueurs pour couvrir efficacement la surface.")</f>
        <v>La taille réduite du terrain intérieur (généralement 34 m x 16 m) signifie qu'il faut moins de joueurs pour couvrir efficacement la surface.</v>
      </c>
    </row>
    <row r="128" ht="22.5" customHeight="1">
      <c r="A128" s="4">
        <v>127.0</v>
      </c>
      <c r="B128" s="5" t="s">
        <v>845</v>
      </c>
      <c r="C128" s="5" t="s">
        <v>846</v>
      </c>
      <c r="D128" s="5" t="s">
        <v>847</v>
      </c>
      <c r="E128" s="5" t="s">
        <v>848</v>
      </c>
      <c r="G128" s="6" t="str">
        <f>IFERROR(__xludf.DUMMYFUNCTION("GOOGLETRANSLATE(A128, ""en"", ""fr"")"),"127")</f>
        <v>127</v>
      </c>
      <c r="H128" s="6" t="str">
        <f>IFERROR(__xludf.DUMMYFUNCTION("GOOGLETRANSLATE(B128, ""en"", ""fr"")"),"Qu'est-ce que le ""tambourin à herbes"" ?")</f>
        <v>Qu'est-ce que le "tambourin à herbes" ?</v>
      </c>
      <c r="I128" s="6" t="str">
        <f>IFERROR(__xludf.DUMMYFUNCTION("GOOGLETRANSLATE(C128, ""en"", ""fr"")"),"A) Un tambourin en herbe, B) Un type spécifique de tambourin conçu pour être utilisé sur les courts en gazon, C) Un tambourin de couleur verte, D) Un tambourin de cérémonie")</f>
        <v>A) Un tambourin en herbe, B) Un type spécifique de tambourin conçu pour être utilisé sur les courts en gazon, C) Un tambourin de couleur verte, D) Un tambourin de cérémonie</v>
      </c>
      <c r="J128" s="6" t="str">
        <f>IFERROR(__xludf.DUMMYFUNCTION("GOOGLETRANSLATE(D128, ""en"", ""fr"")"),"B) Un type spécifique de tambourin conçu pour être utilisé sur les courts en gazon")</f>
        <v>B) Un type spécifique de tambourin conçu pour être utilisé sur les courts en gazon</v>
      </c>
      <c r="K128" s="6" t="str">
        <f>IFERROR(__xludf.DUMMYFUNCTION("GOOGLETRANSLATE(E128, ""en"", ""fr"")"),"Les différentes surfaces de jeu affectent le rebond de la balle, et des tambourins spécialisés sont parfois utilisés sur les courts en gazon pour s'adapter à ces conditions.")</f>
        <v>Les différentes surfaces de jeu affectent le rebond de la balle, et des tambourins spécialisés sont parfois utilisés sur les courts en gazon pour s'adapter à ces conditions.</v>
      </c>
    </row>
    <row r="129" ht="22.5" customHeight="1">
      <c r="A129" s="4">
        <v>128.0</v>
      </c>
      <c r="B129" s="5" t="s">
        <v>849</v>
      </c>
      <c r="C129" s="5" t="s">
        <v>850</v>
      </c>
      <c r="D129" s="5" t="s">
        <v>851</v>
      </c>
      <c r="E129" s="5" t="s">
        <v>852</v>
      </c>
      <c r="G129" s="6" t="str">
        <f>IFERROR(__xludf.DUMMYFUNCTION("GOOGLETRANSLATE(A129, ""en"", ""fr"")"),"128")</f>
        <v>128</v>
      </c>
      <c r="H129" s="6" t="str">
        <f>IFERROR(__xludf.DUMMYFUNCTION("GOOGLETRANSLATE(B129, ""en"", ""fr"")"),"Quelle est la règle si la balle touche la ligne centrale (la corde) lors d'un service ?")</f>
        <v>Quelle est la règle si la balle touche la ligne centrale (la corde) lors d'un service ?</v>
      </c>
      <c r="I129" s="6" t="str">
        <f>IFERROR(__xludf.DUMMYFUNCTION("GOOGLETRANSLATE(C129, ""en"", ""fr"")"),"A) C'est une faute, B) C'est un « let » et le service est rejoué, C) C'est un service régulier, D) Le serveur perd le point")</f>
        <v>A) C'est une faute, B) C'est un « let » et le service est rejoué, C) C'est un service régulier, D) Le serveur perd le point</v>
      </c>
      <c r="J129" s="6" t="str">
        <f>IFERROR(__xludf.DUMMYFUNCTION("GOOGLETRANSLATE(D129, ""en"", ""fr"")"),"C) Il s'agit d'un service légal")</f>
        <v>C) Il s'agit d'un service légal</v>
      </c>
      <c r="K129" s="6" t="str">
        <f>IFERROR(__xludf.DUMMYFUNCTION("GOOGLETRANSLATE(E129, ""en"", ""fr"")"),"Contrairement au tennis où un service touchant le filet est un « let », au Tambourin, un service qui touche la ligne centrale et atterrit dans le carré de service correct est un service valide et légal.")</f>
        <v>Contrairement au tennis où un service touchant le filet est un « let », au Tambourin, un service qui touche la ligne centrale et atterrit dans le carré de service correct est un service valide et légal.</v>
      </c>
    </row>
    <row r="130" ht="22.5" customHeight="1">
      <c r="A130" s="4">
        <v>129.0</v>
      </c>
      <c r="B130" s="5" t="s">
        <v>853</v>
      </c>
      <c r="C130" s="5" t="s">
        <v>854</v>
      </c>
      <c r="D130" s="5" t="s">
        <v>855</v>
      </c>
      <c r="E130" s="5" t="s">
        <v>856</v>
      </c>
      <c r="G130" s="6" t="str">
        <f>IFERROR(__xludf.DUMMYFUNCTION("GOOGLETRANSLATE(A130, ""en"", ""fr"")"),"129")</f>
        <v>129</v>
      </c>
      <c r="H130" s="6" t="str">
        <f>IFERROR(__xludf.DUMMYFUNCTION("GOOGLETRANSLATE(B130, ""en"", ""fr"")"),"Combien de balles l'équipe au service doit-elle avoir en sa possession pour commencer une partie ?")</f>
        <v>Combien de balles l'équipe au service doit-elle avoir en sa possession pour commencer une partie ?</v>
      </c>
      <c r="I130" s="6" t="str">
        <f>IFERROR(__xludf.DUMMYFUNCTION("GOOGLETRANSLATE(C130, ""en"", ""fr"")"),"A) Un, B) Deux, C) Trois, D) Cela n'a pas d'importance")</f>
        <v>A) Un, B) Deux, C) Trois, D) Cela n'a pas d'importance</v>
      </c>
      <c r="J130" s="6" t="str">
        <f>IFERROR(__xludf.DUMMYFUNCTION("GOOGLETRANSLATE(D130, ""en"", ""fr"")"),"B) Deux")</f>
        <v>B) Deux</v>
      </c>
      <c r="K130" s="6" t="str">
        <f>IFERROR(__xludf.DUMMYFUNCTION("GOOGLETRANSLATE(E130, ""en"", ""fr"")"),"Les règles exigent souvent que le serveur ait une deuxième balle dans sa main non dominante ou dans sa poche afin d'accélérer le jeu en cas de faute de service.")</f>
        <v>Les règles exigent souvent que le serveur ait une deuxième balle dans sa main non dominante ou dans sa poche afin d'accélérer le jeu en cas de faute de service.</v>
      </c>
    </row>
    <row r="131" ht="22.5" customHeight="1">
      <c r="A131" s="4">
        <v>130.0</v>
      </c>
      <c r="B131" s="5" t="s">
        <v>857</v>
      </c>
      <c r="C131" s="5" t="s">
        <v>858</v>
      </c>
      <c r="D131" s="5" t="s">
        <v>859</v>
      </c>
      <c r="E131" s="5" t="s">
        <v>860</v>
      </c>
      <c r="G131" s="6" t="str">
        <f>IFERROR(__xludf.DUMMYFUNCTION("GOOGLETRANSLATE(A131, ""en"", ""fr"")"),"130")</f>
        <v>130</v>
      </c>
      <c r="H131" s="6" t="str">
        <f>IFERROR(__xludf.DUMMYFUNCTION("GOOGLETRANSLATE(B131, ""en"", ""fr"")"),"Quel est le but principal de la résine ou du « collet » que les joueurs appliquent parfois sur leurs mains ?")</f>
        <v>Quel est le but principal de la résine ou du « collet » que les joueurs appliquent parfois sur leurs mains ?</v>
      </c>
      <c r="I131" s="6" t="str">
        <f>IFERROR(__xludf.DUMMYFUNCTION("GOOGLETRANSLATE(C131, ""en"", ""fr"")"),"A) Pour protéger la peau, B) Pour améliorer leur prise en main du manche du tambourin, C) C'est un rituel traditionnel, D) Pour que la balle adhère au tambourin")</f>
        <v>A) Pour protéger la peau, B) Pour améliorer leur prise en main du manche du tambourin, C) C'est un rituel traditionnel, D) Pour que la balle adhère au tambourin</v>
      </c>
      <c r="J131" s="6" t="str">
        <f>IFERROR(__xludf.DUMMYFUNCTION("GOOGLETRANSLATE(D131, ""en"", ""fr"")"),"B) Améliorer leur prise en main du manche du tambourin")</f>
        <v>B) Améliorer leur prise en main du manche du tambourin</v>
      </c>
      <c r="K131" s="6" t="str">
        <f>IFERROR(__xludf.DUMMYFUNCTION("GOOGLETRANSLATE(E131, ""en"", ""fr"")"),"Une petite quantité de résine collante peut aider un musicien à maintenir une bonne prise sur son tambourin, notamment par temps chaud ou humide.")</f>
        <v>Une petite quantité de résine collante peut aider un musicien à maintenir une bonne prise sur son tambourin, notamment par temps chaud ou humide.</v>
      </c>
    </row>
    <row r="132" ht="22.5" customHeight="1">
      <c r="A132" s="4">
        <v>131.0</v>
      </c>
      <c r="B132" s="5" t="s">
        <v>861</v>
      </c>
      <c r="C132" s="5" t="s">
        <v>862</v>
      </c>
      <c r="D132" s="5" t="s">
        <v>433</v>
      </c>
      <c r="E132" s="5" t="s">
        <v>863</v>
      </c>
      <c r="G132" s="6" t="str">
        <f>IFERROR(__xludf.DUMMYFUNCTION("GOOGLETRANSLATE(A132, ""en"", ""fr"")"),"131")</f>
        <v>131</v>
      </c>
      <c r="H132" s="6" t="str">
        <f>IFERROR(__xludf.DUMMYFUNCTION("GOOGLETRANSLATE(B132, ""en"", ""fr"")"),"Un joueur est sanctionné pour « remplacement illégal ». Que s'est-il passé ?")</f>
        <v>Un joueur est sanctionné pour « remplacement illégal ». Que s'est-il passé ?</v>
      </c>
      <c r="I132" s="6" t="str">
        <f>IFERROR(__xludf.DUMMYFUNCTION("GOOGLETRANSLATE(C132, ""en"", ""fr"")"),"A) Ils ont remplacé un joueur qui ne figurait pas sur la feuille de match, B) Ils ont effectué un remplacement en cours d'échange, C) Ils ont dépassé leur maximum de trois remplacements, D) Toutes les réponses ci-dessus")</f>
        <v>A) Ils ont remplacé un joueur qui ne figurait pas sur la feuille de match, B) Ils ont effectué un remplacement en cours d'échange, C) Ils ont dépassé leur maximum de trois remplacements, D) Toutes les réponses ci-dessus</v>
      </c>
      <c r="J132" s="6" t="str">
        <f>IFERROR(__xludf.DUMMYFUNCTION("GOOGLETRANSLATE(D132, ""en"", ""fr"")"),"D) Toutes les réponses ci-dessus")</f>
        <v>D) Toutes les réponses ci-dessus</v>
      </c>
      <c r="K132" s="6" t="str">
        <f>IFERROR(__xludf.DUMMYFUNCTION("GOOGLETRANSLATE(E132, ""en"", ""fr"")"),"Tous ces éléments constituent des violations des règles formelles de substitution et entraîneraient une sanction.")</f>
        <v>Tous ces éléments constituent des violations des règles formelles de substitution et entraîneraient une sanction.</v>
      </c>
    </row>
    <row r="133" ht="22.5" customHeight="1">
      <c r="A133" s="4">
        <v>132.0</v>
      </c>
      <c r="B133" s="5" t="s">
        <v>864</v>
      </c>
      <c r="C133" s="5" t="s">
        <v>865</v>
      </c>
      <c r="D133" s="5" t="s">
        <v>866</v>
      </c>
      <c r="E133" s="5" t="s">
        <v>867</v>
      </c>
      <c r="G133" s="6" t="str">
        <f>IFERROR(__xludf.DUMMYFUNCTION("GOOGLETRANSLATE(A133, ""en"", ""fr"")"),"132")</f>
        <v>132</v>
      </c>
      <c r="H133" s="6" t="str">
        <f>IFERROR(__xludf.DUMMYFUNCTION("GOOGLETRANSLATE(B133, ""en"", ""fr"")"),"Quelle est la décision à prendre si un joueur de l'équipe A frappe la balle et que celle-ci touche le sol dans son propre camp avant de franchir la ligne ?")</f>
        <v>Quelle est la décision à prendre si un joueur de l'équipe A frappe la balle et que celle-ci touche le sol dans son propre camp avant de franchir la ligne ?</v>
      </c>
      <c r="I133" s="6" t="str">
        <f>IFERROR(__xludf.DUMMYFUNCTION("GOOGLETRANSLATE(C133, ""en"", ""fr"")"),"A) Le point est rejoué. B) C'est une faute, et l'équipe A perd le point. C) Le jeu continue. D) L'équipe B sert.")</f>
        <v>A) Le point est rejoué. B) C'est une faute, et l'équipe A perd le point. C) Le jeu continue. D) L'équipe B sert.</v>
      </c>
      <c r="J133" s="6" t="str">
        <f>IFERROR(__xludf.DUMMYFUNCTION("GOOGLETRANSLATE(D133, ""en"", ""fr"")"),"B) C'est une faute, et l'équipe A perd le point.")</f>
        <v>B) C'est une faute, et l'équipe A perd le point.</v>
      </c>
      <c r="K133" s="6" t="str">
        <f>IFERROR(__xludf.DUMMYFUNCTION("GOOGLETRANSLATE(E133, ""en"", ""fr"")"),"La balle doit être frappée directement dans le camp adverse ; elle ne peut pas rebondir d'abord dans le camp du frappeur.")</f>
        <v>La balle doit être frappée directement dans le camp adverse ; elle ne peut pas rebondir d'abord dans le camp du frappeur.</v>
      </c>
    </row>
    <row r="134" ht="22.5" customHeight="1">
      <c r="A134" s="4">
        <v>133.0</v>
      </c>
      <c r="B134" s="5" t="s">
        <v>868</v>
      </c>
      <c r="C134" s="5" t="s">
        <v>869</v>
      </c>
      <c r="D134" s="5" t="s">
        <v>870</v>
      </c>
      <c r="E134" s="5" t="s">
        <v>871</v>
      </c>
      <c r="G134" s="6" t="str">
        <f>IFERROR(__xludf.DUMMYFUNCTION("GOOGLETRANSLATE(A134, ""en"", ""fr"")"),"133")</f>
        <v>133</v>
      </c>
      <c r="H134" s="6" t="str">
        <f>IFERROR(__xludf.DUMMYFUNCTION("GOOGLETRANSLATE(B134, ""en"", ""fr"")"),"Qu'est-ce qu'un « batô » ?")</f>
        <v>Qu'est-ce qu'un « batô » ?</v>
      </c>
      <c r="I134" s="6" t="str">
        <f>IFERROR(__xludf.DUMMYFUNCTION("GOOGLETRANSLATE(C134, ""en"", ""fr"")"),"A) La balle, B) Le tambourin, C) Un type de batte en bois massif utilisée dans une ancienne variante du jeu, D) Le filet")</f>
        <v>A) La balle, B) Le tambourin, C) Un type de batte en bois massif utilisée dans une ancienne variante du jeu, D) Le filet</v>
      </c>
      <c r="J134" s="6" t="str">
        <f>IFERROR(__xludf.DUMMYFUNCTION("GOOGLETRANSLATE(D134, ""en"", ""fr"")"),"C) Un type de batte en bois massif utilisée dans une ancienne variante du jeu")</f>
        <v>C) Un type de batte en bois massif utilisée dans une ancienne variante du jeu</v>
      </c>
      <c r="K134" s="6" t="str">
        <f>IFERROR(__xludf.DUMMYFUNCTION("GOOGLETRANSLATE(E134, ""en"", ""fr"")"),"Avant que le tambourin ne devienne l'instrument standard, certaines versions du jeu se jouaient avec une batte en bois massif, ou batô.")</f>
        <v>Avant que le tambourin ne devienne l'instrument standard, certaines versions du jeu se jouaient avec une batte en bois massif, ou batô.</v>
      </c>
    </row>
    <row r="135" ht="22.5" customHeight="1">
      <c r="A135" s="4">
        <v>134.0</v>
      </c>
      <c r="B135" s="5" t="s">
        <v>872</v>
      </c>
      <c r="C135" s="5" t="s">
        <v>873</v>
      </c>
      <c r="D135" s="5" t="s">
        <v>874</v>
      </c>
      <c r="E135" s="5" t="s">
        <v>875</v>
      </c>
      <c r="G135" s="6" t="str">
        <f>IFERROR(__xludf.DUMMYFUNCTION("GOOGLETRANSLATE(A135, ""en"", ""fr"")"),"134")</f>
        <v>134</v>
      </c>
      <c r="H135" s="6" t="str">
        <f>IFERROR(__xludf.DUMMYFUNCTION("GOOGLETRANSLATE(B135, ""en"", ""fr"")"),"Une équipe est pénalisée parce que son entraîneur a utilisé un « support visuel » pendant le match. Qu'a pu faire l'entraîneur ?")</f>
        <v>Une équipe est pénalisée parce que son entraîneur a utilisé un « support visuel » pendant le match. Qu'a pu faire l'entraîneur ?</v>
      </c>
      <c r="I135" s="6" t="str">
        <f>IFERROR(__xludf.DUMMYFUNCTION("GOOGLETRANSLATE(C135, ""en"", ""fr"")"),"A) Ils ont crié des instructions, B) Ils ont utilisé un tableau blanc ou une tablette pour montrer des schémas tactiques, C) Ils ont parlé au capitaine, D) Ils ont fait des signes de la main")</f>
        <v>A) Ils ont crié des instructions, B) Ils ont utilisé un tableau blanc ou une tablette pour montrer des schémas tactiques, C) Ils ont parlé au capitaine, D) Ils ont fait des signes de la main</v>
      </c>
      <c r="J135" s="6" t="str">
        <f>IFERROR(__xludf.DUMMYFUNCTION("GOOGLETRANSLATE(D135, ""en"", ""fr"")"),"B) Utilisation d'un tableau blanc ou d'une tablette pour présenter des schémas tactiques")</f>
        <v>B) Utilisation d'un tableau blanc ou d'une tablette pour présenter des schémas tactiques</v>
      </c>
      <c r="K135" s="6" t="str">
        <f>IFERROR(__xludf.DUMMYFUNCTION("GOOGLETRANSLATE(E135, ""en"", ""fr"")"),"Les instructions données pendant un match se limitent généralement à des consignes verbales. L'utilisation de supports visuels comme des tablettes est interdite.")</f>
        <v>Les instructions données pendant un match se limitent généralement à des consignes verbales. L'utilisation de supports visuels comme des tablettes est interdite.</v>
      </c>
    </row>
    <row r="136" ht="22.5" customHeight="1">
      <c r="A136" s="4">
        <v>135.0</v>
      </c>
      <c r="B136" s="5" t="s">
        <v>876</v>
      </c>
      <c r="C136" s="5" t="s">
        <v>877</v>
      </c>
      <c r="D136" s="5" t="s">
        <v>878</v>
      </c>
      <c r="E136" s="5" t="s">
        <v>879</v>
      </c>
      <c r="G136" s="6" t="str">
        <f>IFERROR(__xludf.DUMMYFUNCTION("GOOGLETRANSLATE(A136, ""en"", ""fr"")"),"135")</f>
        <v>135</v>
      </c>
      <c r="H136" s="6" t="str">
        <f>IFERROR(__xludf.DUMMYFUNCTION("GOOGLETRANSLATE(B136, ""en"", ""fr"")"),"Quelle est la principale caractéristique du « boîtier de service » en extérieur chez Tambourin ?")</f>
        <v>Quelle est la principale caractéristique du « boîtier de service » en extérieur chez Tambourin ?</v>
      </c>
      <c r="I136" s="6" t="str">
        <f>IFERROR(__xludf.DUMMYFUNCTION("GOOGLETRANSLATE(C136, ""en"", ""fr"")"),"A) C'est la zone où le serveur doit se tenir. B) C'est la grande zone rectangulaire où le service doit atterrir. C) C'est un petit carré à l'avant du court. D) Il n'y a pas de zone de service.")</f>
        <v>A) C'est la zone où le serveur doit se tenir. B) C'est la grande zone rectangulaire où le service doit atterrir. C) C'est un petit carré à l'avant du court. D) Il n'y a pas de zone de service.</v>
      </c>
      <c r="J136" s="6" t="str">
        <f>IFERROR(__xludf.DUMMYFUNCTION("GOOGLETRANSLATE(D136, ""en"", ""fr"")"),"B) Il s'agit de la grande zone rectangulaire où le service doit atterrir.")</f>
        <v>B) Il s'agit de la grande zone rectangulaire où le service doit atterrir.</v>
      </c>
      <c r="K136" s="6" t="str">
        <f>IFERROR(__xludf.DUMMYFUNCTION("GOOGLETRANSLATE(E136, ""en"", ""fr"")"),"La zone de réception du service est la grande zone située entre la ligne de service de 15 mètres et la ligne de base.")</f>
        <v>La zone de réception du service est la grande zone située entre la ligne de service de 15 mètres et la ligne de base.</v>
      </c>
    </row>
    <row r="137" ht="22.5" customHeight="1">
      <c r="A137" s="4">
        <v>136.0</v>
      </c>
      <c r="B137" s="5" t="s">
        <v>880</v>
      </c>
      <c r="C137" s="5" t="s">
        <v>881</v>
      </c>
      <c r="D137" s="5" t="s">
        <v>882</v>
      </c>
      <c r="E137" s="5" t="s">
        <v>883</v>
      </c>
      <c r="G137" s="6" t="str">
        <f>IFERROR(__xludf.DUMMYFUNCTION("GOOGLETRANSLATE(A137, ""en"", ""fr"")"),"136")</f>
        <v>136</v>
      </c>
      <c r="H137" s="6" t="str">
        <f>IFERROR(__xludf.DUMMYFUNCTION("GOOGLETRANSLATE(B137, ""en"", ""fr"")"),"Une équipe gagne un match sur le score de 40 à 15. Comment appelle-t-on également ce score ?")</f>
        <v>Une équipe gagne un match sur le score de 40 à 15. Comment appelle-t-on également ce score ?</v>
      </c>
      <c r="I137" s="6" t="str">
        <f>IFERROR(__xludf.DUMMYFUNCTION("GOOGLETRANSLATE(C137, ""en"", ""fr"")"),"A) Balle de jeu, B) Balle de set, C) Balle de match, D) Avantage")</f>
        <v>A) Balle de jeu, B) Balle de set, C) Balle de match, D) Avantage</v>
      </c>
      <c r="J137" s="6" t="str">
        <f>IFERROR(__xludf.DUMMYFUNCTION("GOOGLETRANSLATE(D137, ""en"", ""fr"")"),"A) Point de jeu")</f>
        <v>A) Point de jeu</v>
      </c>
      <c r="K137" s="6" t="str">
        <f>IFERROR(__xludf.DUMMYFUNCTION("GOOGLETRANSLATE(E137, ""en"", ""fr"")"),"L'expression « balle de match » désigne une situation où l'équipe en tête n'a besoin que d'un seul point pour remporter la partie en cours.")</f>
        <v>L'expression « balle de match » désigne une situation où l'équipe en tête n'a besoin que d'un seul point pour remporter la partie en cours.</v>
      </c>
    </row>
    <row r="138" ht="22.5" customHeight="1">
      <c r="A138" s="4">
        <v>137.0</v>
      </c>
      <c r="B138" s="5" t="s">
        <v>884</v>
      </c>
      <c r="C138" s="5" t="s">
        <v>885</v>
      </c>
      <c r="D138" s="5" t="s">
        <v>886</v>
      </c>
      <c r="E138" s="5" t="s">
        <v>887</v>
      </c>
      <c r="G138" s="6" t="str">
        <f>IFERROR(__xludf.DUMMYFUNCTION("GOOGLETRANSLATE(A138, ""en"", ""fr"")"),"137")</f>
        <v>137</v>
      </c>
      <c r="H138" s="6" t="str">
        <f>IFERROR(__xludf.DUMMYFUNCTION("GOOGLETRANSLATE(B138, ""en"", ""fr"")"),"Un joueur peut-il frapper la balle du tambourin à deux mains ?")</f>
        <v>Un joueur peut-il frapper la balle du tambourin à deux mains ?</v>
      </c>
      <c r="I138" s="6" t="str">
        <f>IFERROR(__xludf.DUMMYFUNCTION("GOOGLETRANSLATE(C138, ""en"", ""fr"")"),"A) Oui, c'est un coup légal et puissant. B) Non, le tambourin doit être tenu et frappé d'une seule main. C) Uniquement pour les services. D) Uniquement en salle.")</f>
        <v>A) Oui, c'est un coup légal et puissant. B) Non, le tambourin doit être tenu et frappé d'une seule main. C) Uniquement pour les services. D) Uniquement en salle.</v>
      </c>
      <c r="J138" s="6" t="str">
        <f>IFERROR(__xludf.DUMMYFUNCTION("GOOGLETRANSLATE(D138, ""en"", ""fr"")"),"B) Non, le tambourin doit être tenu et frappé d'une seule main")</f>
        <v>B) Non, le tambourin doit être tenu et frappé d'une seule main</v>
      </c>
      <c r="K138" s="6" t="str">
        <f>IFERROR(__xludf.DUMMYFUNCTION("GOOGLETRANSLATE(E138, ""en"", ""fr"")"),"Ce sport se pratique d'une seule main. Utiliser les deux mains pour frapper le tambourin est une faute.")</f>
        <v>Ce sport se pratique d'une seule main. Utiliser les deux mains pour frapper le tambourin est une faute.</v>
      </c>
    </row>
    <row r="139" ht="22.5" customHeight="1">
      <c r="A139" s="4">
        <v>138.0</v>
      </c>
      <c r="B139" s="5" t="s">
        <v>888</v>
      </c>
      <c r="C139" s="5" t="s">
        <v>889</v>
      </c>
      <c r="D139" s="5" t="s">
        <v>890</v>
      </c>
      <c r="E139" s="5" t="s">
        <v>891</v>
      </c>
      <c r="G139" s="6" t="str">
        <f>IFERROR(__xludf.DUMMYFUNCTION("GOOGLETRANSLATE(A139, ""en"", ""fr"")"),"138")</f>
        <v>138</v>
      </c>
      <c r="H139" s="6" t="str">
        <f>IFERROR(__xludf.DUMMYFUNCTION("GOOGLETRANSLATE(B139, ""en"", ""fr"")"),"L'arbitre sort un carton jaune. Qu'est-ce que cela signifie ?")</f>
        <v>L'arbitre sort un carton jaune. Qu'est-ce que cela signifie ?</v>
      </c>
      <c r="I139" s="6" t="str">
        <f>IFERROR(__xludf.DUMMYFUNCTION("GOOGLETRANSLATE(C139, ""en"", ""fr"")"),"A) Fin du match, B) Avertissement officiel pour conduite antisportive, C) Un point a été marqué, D) Demande de remplacement")</f>
        <v>A) Fin du match, B) Avertissement officiel pour conduite antisportive, C) Un point a été marqué, D) Demande de remplacement</v>
      </c>
      <c r="J139" s="6" t="str">
        <f>IFERROR(__xludf.DUMMYFUNCTION("GOOGLETRANSLATE(D139, ""en"", ""fr"")"),"B) Un avertissement formel pour conduite antisportive")</f>
        <v>B) Un avertissement formel pour conduite antisportive</v>
      </c>
      <c r="K139" s="6" t="str">
        <f>IFERROR(__xludf.DUMMYFUNCTION("GOOGLETRANSLATE(E139, ""en"", ""fr"")"),"Un carton jaune est un avertissement officiel standard. Un deuxième carton jaune entraîne souvent une pénalité de points ou une disqualification.")</f>
        <v>Un carton jaune est un avertissement officiel standard. Un deuxième carton jaune entraîne souvent une pénalité de points ou une disqualification.</v>
      </c>
    </row>
    <row r="140" ht="22.5" customHeight="1">
      <c r="A140" s="4">
        <v>139.0</v>
      </c>
      <c r="B140" s="5" t="s">
        <v>892</v>
      </c>
      <c r="C140" s="5" t="s">
        <v>893</v>
      </c>
      <c r="D140" s="5" t="s">
        <v>894</v>
      </c>
      <c r="E140" s="5" t="s">
        <v>895</v>
      </c>
      <c r="G140" s="6" t="str">
        <f>IFERROR(__xludf.DUMMYFUNCTION("GOOGLETRANSLATE(A140, ""en"", ""fr"")"),"139")</f>
        <v>139</v>
      </c>
      <c r="H140" s="6" t="str">
        <f>IFERROR(__xludf.DUMMYFUNCTION("GOOGLETRANSLATE(B140, ""en"", ""fr"")"),"Quelle est la décision à prendre si le tir d'un joueur passe sous le filet (imaginaire) mais roule dans le camp adverse ?")</f>
        <v>Quelle est la décision à prendre si le tir d'un joueur passe sous le filet (imaginaire) mais roule dans le camp adverse ?</v>
      </c>
      <c r="I140" s="6" t="str">
        <f>IFERROR(__xludf.DUMMYFUNCTION("GOOGLETRANSLATE(C140, ""en"", ""fr"")"),"A) C'est un point valable, B) C'est une faute, C) Le point est rejoué, D) L'adversaire marque deux points")</f>
        <v>A) C'est un point valable, B) C'est une faute, C) Le point est rejoué, D) L'adversaire marque deux points</v>
      </c>
      <c r="J140" s="6" t="str">
        <f>IFERROR(__xludf.DUMMYFUNCTION("GOOGLETRANSLATE(D140, ""en"", ""fr"")"),"B) C'est un défaut")</f>
        <v>B) C'est un défaut</v>
      </c>
      <c r="K140" s="6" t="str">
        <f>IFERROR(__xludf.DUMMYFUNCTION("GOOGLETRANSLATE(E140, ""en"", ""fr"")"),"La balle doit franchir la ligne médiane en l'air. Une balle qui roule au-delà de cette ligne constitue une faute.")</f>
        <v>La balle doit franchir la ligne médiane en l'air. Une balle qui roule au-delà de cette ligne constitue une faute.</v>
      </c>
    </row>
    <row r="141" ht="22.5" customHeight="1">
      <c r="A141" s="4">
        <v>140.0</v>
      </c>
      <c r="B141" s="5" t="s">
        <v>896</v>
      </c>
      <c r="C141" s="5" t="s">
        <v>897</v>
      </c>
      <c r="D141" s="5" t="s">
        <v>898</v>
      </c>
      <c r="E141" s="5" t="s">
        <v>899</v>
      </c>
      <c r="G141" s="6" t="str">
        <f>IFERROR(__xludf.DUMMYFUNCTION("GOOGLETRANSLATE(A141, ""en"", ""fr"")"),"140")</f>
        <v>140</v>
      </c>
      <c r="H141" s="6" t="str">
        <f>IFERROR(__xludf.DUMMYFUNCTION("GOOGLETRANSLATE(B141, ""en"", ""fr"")"),"Dans le jeu en équipe, quel est le rôle du « leader » ?")</f>
        <v>Dans le jeu en équipe, quel est le rôle du « leader » ?</v>
      </c>
      <c r="I141" s="6" t="str">
        <f>IFERROR(__xludf.DUMMYFUNCTION("GOOGLETRANSLATE(C141, ""en"", ""fr"")"),"A) C'est le joueur le plus âgé, B) C'est le capitaine désigné de l'équipe, C) C'est le joueur qui sert en premier, D) C'est le frappeur le plus puissant (fond)")</f>
        <v>A) C'est le joueur le plus âgé, B) C'est le capitaine désigné de l'équipe, C) C'est le joueur qui sert en premier, D) C'est le frappeur le plus puissant (fond)</v>
      </c>
      <c r="J141" s="6" t="str">
        <f>IFERROR(__xludf.DUMMYFUNCTION("GOOGLETRANSLATE(D141, ""en"", ""fr"")"),"B) Ils sont les capitaines d'équipe désignés")</f>
        <v>B) Ils sont les capitaines d'équipe désignés</v>
      </c>
      <c r="K141" s="6" t="str">
        <f>IFERROR(__xludf.DUMMYFUNCTION("GOOGLETRANSLATE(E141, ""en"", ""fr"")"),"Le leader est le capitaine officiel, responsable de la stratégie et de la communication avec l'arbitre.")</f>
        <v>Le leader est le capitaine officiel, responsable de la stratégie et de la communication avec l'arbitre.</v>
      </c>
    </row>
    <row r="142" ht="22.5" customHeight="1">
      <c r="A142" s="4">
        <v>141.0</v>
      </c>
      <c r="B142" s="5" t="s">
        <v>900</v>
      </c>
      <c r="C142" s="5" t="s">
        <v>901</v>
      </c>
      <c r="D142" s="5" t="s">
        <v>594</v>
      </c>
      <c r="E142" s="5" t="s">
        <v>595</v>
      </c>
      <c r="G142" s="6" t="str">
        <f>IFERROR(__xludf.DUMMYFUNCTION("GOOGLETRANSLATE(A142, ""en"", ""fr"")"),"141")</f>
        <v>141</v>
      </c>
      <c r="H142" s="6" t="str">
        <f>IFERROR(__xludf.DUMMYFUNCTION("GOOGLETRANSLATE(B142, ""en"", ""fr"")"),"Un joueur frappe la balle avec une telle force que la peau synthétique du tambourin se déchire. Que se passe-t-il ?")</f>
        <v>Un joueur frappe la balle avec une telle force que la peau synthétique du tambourin se déchire. Que se passe-t-il ?</v>
      </c>
      <c r="I142" s="6" t="str">
        <f>IFERROR(__xludf.DUMMYFUNCTION("GOOGLETRANSLATE(C142, ""en"", ""fr"")"),"A) Le joueur est pénalisé pour avoir cassé son équipement. B) Le point est immédiatement arrêté et rejoué. C) Le joueur doit continuer avec le tambourin cassé. D) L'équipe perd le point.")</f>
        <v>A) Le joueur est pénalisé pour avoir cassé son équipement. B) Le point est immédiatement arrêté et rejoué. C) Le joueur doit continuer avec le tambourin cassé. D) L'équipe perd le point.</v>
      </c>
      <c r="J142" s="6" t="str">
        <f>IFERROR(__xludf.DUMMYFUNCTION("GOOGLETRANSLATE(D142, ""en"", ""fr"")"),"B) Le point est immédiatement interrompu et rejoué.")</f>
        <v>B) Le point est immédiatement interrompu et rejoué.</v>
      </c>
      <c r="K142" s="6" t="str">
        <f>IFERROR(__xludf.DUMMYFUNCTION("GOOGLETRANSLATE(E142, ""en"", ""fr"")"),"Si le matériel d'un joueur tombe en panne pendant un point en direct sans que ce soit de sa faute, le point est rejoué pour garantir l'équité.")</f>
        <v>Si le matériel d'un joueur tombe en panne pendant un point en direct sans que ce soit de sa faute, le point est rejoué pour garantir l'équité.</v>
      </c>
    </row>
    <row r="143" ht="22.5" customHeight="1">
      <c r="A143" s="4">
        <v>142.0</v>
      </c>
      <c r="B143" s="5" t="s">
        <v>902</v>
      </c>
      <c r="C143" s="5" t="s">
        <v>903</v>
      </c>
      <c r="D143" s="5" t="s">
        <v>904</v>
      </c>
      <c r="E143" s="5" t="s">
        <v>905</v>
      </c>
      <c r="G143" s="6" t="str">
        <f>IFERROR(__xludf.DUMMYFUNCTION("GOOGLETRANSLATE(A143, ""en"", ""fr"")"),"142")</f>
        <v>142</v>
      </c>
      <c r="H143" s="6" t="str">
        <f>IFERROR(__xludf.DUMMYFUNCTION("GOOGLETRANSLATE(B143, ""en"", ""fr"")"),"Qu'est-ce qu'un ""fond"" dans la Balle au Tambourin ?")</f>
        <v>Qu'est-ce qu'un "fond" dans la Balle au Tambourin ?</v>
      </c>
      <c r="I143" s="6" t="str">
        <f>IFERROR(__xludf.DUMMYFUNCTION("GOOGLETRANSLATE(C143, ""en"", ""fr"")"),"A) Le fond du terrain, B) Le joueur positionné au fond, connu pour ses frappes puissantes, C) Un type de service, D) Le score de l'équipe")</f>
        <v>A) Le fond du terrain, B) Le joueur positionné au fond, connu pour ses frappes puissantes, C) Un type de service, D) Le score de l'équipe</v>
      </c>
      <c r="J143" s="6" t="str">
        <f>IFERROR(__xludf.DUMMYFUNCTION("GOOGLETRANSLATE(D143, ""en"", ""fr"")"),"B) Le joueur positionné en retrait, connu pour ses frappes puissantes")</f>
        <v>B) Le joueur positionné en retrait, connu pour ses frappes puissantes</v>
      </c>
      <c r="K143" s="6" t="str">
        <f>IFERROR(__xludf.DUMMYFUNCTION("GOOGLETRANSLATE(E143, ""en"", ""fr"")"),"Le fond (arrière) est la position clé, similaire à un joueur de fond de court au tennis, responsable des coups les plus puissants.")</f>
        <v>Le fond (arrière) est la position clé, similaire à un joueur de fond de court au tennis, responsable des coups les plus puissants.</v>
      </c>
    </row>
    <row r="144" ht="22.5" customHeight="1">
      <c r="A144" s="4">
        <v>143.0</v>
      </c>
      <c r="B144" s="5" t="s">
        <v>906</v>
      </c>
      <c r="C144" s="5" t="s">
        <v>907</v>
      </c>
      <c r="D144" s="5" t="s">
        <v>606</v>
      </c>
      <c r="E144" s="5" t="s">
        <v>908</v>
      </c>
      <c r="G144" s="6" t="str">
        <f>IFERROR(__xludf.DUMMYFUNCTION("GOOGLETRANSLATE(A144, ""en"", ""fr"")"),"143")</f>
        <v>143</v>
      </c>
      <c r="H144" s="6" t="str">
        <f>IFERROR(__xludf.DUMMYFUNCTION("GOOGLETRANSLATE(B144, ""en"", ""fr"")"),"Combien de remplaçants peuvent figurer sur la liste d'une équipe pour un seul match ?")</f>
        <v>Combien de remplaçants peuvent figurer sur la liste d'une équipe pour un seul match ?</v>
      </c>
      <c r="I144" s="6" t="str">
        <f>IFERROR(__xludf.DUMMYFUNCTION("GOOGLETRANSLATE(C144, ""en"", ""fr"")"),"A) 1, B) 2, C) 3, D) 5")</f>
        <v>A) 1, B) 2, C) 3, D) 5</v>
      </c>
      <c r="J144" s="6" t="str">
        <f>IFERROR(__xludf.DUMMYFUNCTION("GOOGLETRANSLATE(D144, ""en"", ""fr"")"),"C) 3")</f>
        <v>C) 3</v>
      </c>
      <c r="K144" s="6" t="str">
        <f>IFERROR(__xludf.DUMMYFUNCTION("GOOGLETRANSLATE(E144, ""en"", ""fr"")"),"Une équipe est composée de 5 joueurs sur le terrain et peut avoir jusqu'à 3 remplaçants disponibles pour le match.")</f>
        <v>Une équipe est composée de 5 joueurs sur le terrain et peut avoir jusqu'à 3 remplaçants disponibles pour le match.</v>
      </c>
    </row>
    <row r="145" ht="22.5" customHeight="1">
      <c r="A145" s="4">
        <v>144.0</v>
      </c>
      <c r="B145" s="5" t="s">
        <v>909</v>
      </c>
      <c r="C145" s="5" t="s">
        <v>910</v>
      </c>
      <c r="D145" s="5" t="s">
        <v>911</v>
      </c>
      <c r="E145" s="5" t="s">
        <v>912</v>
      </c>
      <c r="G145" s="6" t="str">
        <f>IFERROR(__xludf.DUMMYFUNCTION("GOOGLETRANSLATE(A145, ""en"", ""fr"")"),"144")</f>
        <v>144</v>
      </c>
      <c r="H145" s="6" t="str">
        <f>IFERROR(__xludf.DUMMYFUNCTION("GOOGLETRANSLATE(B145, ""en"", ""fr"")"),"Un joueur est touché par une balle frappée par un adversaire, mais il se trouvait hors des limites du terrain. Qui remporte le point ?")</f>
        <v>Un joueur est touché par une balle frappée par un adversaire, mais il se trouvait hors des limites du terrain. Qui remporte le point ?</v>
      </c>
      <c r="I145" s="6" t="str">
        <f>IFERROR(__xludf.DUMMYFUNCTION("GOOGLETRANSLATE(C145, ""en"", ""fr"")"),"A) Le joueur qui a été touché (de son équipe), B) Le joueur qui a touché la balle (de son équipe), C) Le point est rejoué, D) Un « let » est annoncé")</f>
        <v>A) Le joueur qui a été touché (de son équipe), B) Le joueur qui a touché la balle (de son équipe), C) Le point est rejoué, D) Un « let » est annoncé</v>
      </c>
      <c r="J145" s="6" t="str">
        <f>IFERROR(__xludf.DUMMYFUNCTION("GOOGLETRANSLATE(D145, ""en"", ""fr"")"),"A) Le joueur qui a été touché (de son équipe)")</f>
        <v>A) Le joueur qui a été touché (de son équipe)</v>
      </c>
      <c r="K145" s="6" t="str">
        <f>IFERROR(__xludf.DUMMYFUNCTION("GOOGLETRANSLATE(E145, ""en"", ""fr"")"),"Si la balle touche un adversaire qui se trouve hors du terrain, l'équipe qui a frappé a commis une faute (« out ») et perd le point.")</f>
        <v>Si la balle touche un adversaire qui se trouve hors du terrain, l'équipe qui a frappé a commis une faute (« out ») et perd le point.</v>
      </c>
    </row>
    <row r="146" ht="22.5" customHeight="1">
      <c r="A146" s="4">
        <v>145.0</v>
      </c>
      <c r="B146" s="5" t="s">
        <v>913</v>
      </c>
      <c r="C146" s="5" t="s">
        <v>914</v>
      </c>
      <c r="D146" s="5" t="s">
        <v>915</v>
      </c>
      <c r="E146" s="5" t="s">
        <v>916</v>
      </c>
      <c r="G146" s="6" t="str">
        <f>IFERROR(__xludf.DUMMYFUNCTION("GOOGLETRANSLATE(A146, ""en"", ""fr"")"),"145")</f>
        <v>145</v>
      </c>
      <c r="H146" s="6" t="str">
        <f>IFERROR(__xludf.DUMMYFUNCTION("GOOGLETRANSLATE(B146, ""en"", ""fr"")"),"Le service est effectué. La balle atterrit dans le carré de service mais ne rebondit pas. Quelle est la décision arbitrale ?")</f>
        <v>Le service est effectué. La balle atterrit dans le carré de service mais ne rebondit pas. Quelle est la décision arbitrale ?</v>
      </c>
      <c r="I146" s="6" t="str">
        <f>IFERROR(__xludf.DUMMYFUNCTION("GOOGLETRANSLATE(C146, ""en"", ""fr"")"),"A) C'est un service régulier. B) C'est une faute, car la balle est trop molle. C) Le serveur a droit à un deuxième service. D) La balle doit être remplacée.")</f>
        <v>A) C'est un service régulier. B) C'est une faute, car la balle est trop molle. C) Le serveur a droit à un deuxième service. D) La balle doit être remplacée.</v>
      </c>
      <c r="J146" s="6" t="str">
        <f>IFERROR(__xludf.DUMMYFUNCTION("GOOGLETRANSLATE(D146, ""en"", ""fr"")"),"B) C'est un défaut, car la balle est trop molle.")</f>
        <v>B) C'est un défaut, car la balle est trop molle.</v>
      </c>
      <c r="K146" s="6" t="str">
        <f>IFERROR(__xludf.DUMMYFUNCTION("GOOGLETRANSLATE(E146, ""en"", ""fr"")"),"La balle doit être correctement gonflée et avoir un rebond normal. Une balle « morte » est une faute et est retirée du jeu.")</f>
        <v>La balle doit être correctement gonflée et avoir un rebond normal. Une balle « morte » est une faute et est retirée du jeu.</v>
      </c>
    </row>
    <row r="147" ht="22.5" customHeight="1">
      <c r="A147" s="4">
        <v>146.0</v>
      </c>
      <c r="B147" s="5" t="s">
        <v>917</v>
      </c>
      <c r="C147" s="5" t="s">
        <v>918</v>
      </c>
      <c r="D147" s="5" t="s">
        <v>919</v>
      </c>
      <c r="E147" s="5" t="s">
        <v>920</v>
      </c>
      <c r="G147" s="6" t="str">
        <f>IFERROR(__xludf.DUMMYFUNCTION("GOOGLETRANSLATE(A147, ""en"", ""fr"")"),"146")</f>
        <v>146</v>
      </c>
      <c r="H147" s="6" t="str">
        <f>IFERROR(__xludf.DUMMYFUNCTION("GOOGLETRANSLATE(B147, ""en"", ""fr"")"),"Un joueur est pénalisé pour un « service illégal ». Laquelle de ces raisons est valable ?")</f>
        <v>Un joueur est pénalisé pour un « service illégal ». Laquelle de ces raisons est valable ?</v>
      </c>
      <c r="I147" s="6" t="str">
        <f>IFERROR(__xludf.DUMMYFUNCTION("GOOGLETRANSLATE(C147, ""en"", ""fr"")"),"A) Le service était trop rapide. B) Le serveur a servi par en dessous. C) Le pied du serveur était sur la ligne de fond au moment de la frappe. D) Le service était dirigé vers un adversaire.")</f>
        <v>A) Le service était trop rapide. B) Le serveur a servi par en dessous. C) Le pied du serveur était sur la ligne de fond au moment de la frappe. D) Le service était dirigé vers un adversaire.</v>
      </c>
      <c r="J147" s="6" t="str">
        <f>IFERROR(__xludf.DUMMYFUNCTION("GOOGLETRANSLATE(D147, ""en"", ""fr"")"),"C) Le pied du serveur était sur la ligne de fond lorsqu'il a frappé la balle.")</f>
        <v>C) Le pied du serveur était sur la ligne de fond lorsqu'il a frappé la balle.</v>
      </c>
      <c r="K147" s="6" t="str">
        <f>IFERROR(__xludf.DUMMYFUNCTION("GOOGLETRANSLATE(E147, ""en"", ""fr"")"),"Une faute de pied est une erreur de service courante. Le serveur doit rester derrière la ligne de fond jusqu'à ce que la balle soit frappée.")</f>
        <v>Une faute de pied est une erreur de service courante. Le serveur doit rester derrière la ligne de fond jusqu'à ce que la balle soit frappée.</v>
      </c>
    </row>
    <row r="148" ht="22.5" customHeight="1">
      <c r="A148" s="4">
        <v>147.0</v>
      </c>
      <c r="B148" s="5" t="s">
        <v>921</v>
      </c>
      <c r="C148" s="5" t="s">
        <v>922</v>
      </c>
      <c r="D148" s="5" t="s">
        <v>923</v>
      </c>
      <c r="E148" s="5" t="s">
        <v>924</v>
      </c>
      <c r="G148" s="6" t="str">
        <f>IFERROR(__xludf.DUMMYFUNCTION("GOOGLETRANSLATE(A148, ""en"", ""fr"")"),"147")</f>
        <v>147</v>
      </c>
      <c r="H148" s="6" t="str">
        <f>IFERROR(__xludf.DUMMYFUNCTION("GOOGLETRANSLATE(B148, ""en"", ""fr"")"),"Quelle est la principale raison de la différence de règles entre les jeux d'intérieur et les jeux d'extérieur ?")</f>
        <v>Quelle est la principale raison de la différence de règles entre les jeux d'intérieur et les jeux d'extérieur ?</v>
      </c>
      <c r="I148" s="6" t="str">
        <f>IFERROR(__xludf.DUMMYFUNCTION("GOOGLETRANSLATE(C148, ""en"", ""fr"")"),"A) Le jeu en salle est plus ancien. B) La taille nettement plus réduite du terrain en salle nécessite des modifications pour que le jeu soit jouable. C) Le jeu en salle est réservé aux amateurs. D) Le jeu en salle utilise une balle plus lourde.")</f>
        <v>A) Le jeu en salle est plus ancien. B) La taille nettement plus réduite du terrain en salle nécessite des modifications pour que le jeu soit jouable. C) Le jeu en salle est réservé aux amateurs. D) Le jeu en salle utilise une balle plus lourde.</v>
      </c>
      <c r="J148" s="6" t="str">
        <f>IFERROR(__xludf.DUMMYFUNCTION("GOOGLETRANSLATE(D148, ""en"", ""fr"")"),"B) La taille considérablement réduite du terrain intérieur nécessite des modifications pour rendre le jeu jouable.")</f>
        <v>B) La taille considérablement réduite du terrain intérieur nécessite des modifications pour rendre le jeu jouable.</v>
      </c>
      <c r="K148" s="6" t="str">
        <f>IFERROR(__xludf.DUMMYFUNCTION("GOOGLETRANSLATE(E148, ""en"", ""fr"")"),"Les règles de la version en salle (3 joueurs, zone neutre, etc.) sont toutes des adaptations aux contraintes d'une surface de jeu plus petite.")</f>
        <v>Les règles de la version en salle (3 joueurs, zone neutre, etc.) sont toutes des adaptations aux contraintes d'une surface de jeu plus petite.</v>
      </c>
    </row>
    <row r="149" ht="22.5" customHeight="1">
      <c r="A149" s="4">
        <v>148.0</v>
      </c>
      <c r="B149" s="5" t="s">
        <v>925</v>
      </c>
      <c r="C149" s="5" t="s">
        <v>926</v>
      </c>
      <c r="D149" s="5" t="s">
        <v>927</v>
      </c>
      <c r="E149" s="5" t="s">
        <v>928</v>
      </c>
      <c r="G149" s="6" t="str">
        <f>IFERROR(__xludf.DUMMYFUNCTION("GOOGLETRANSLATE(A149, ""en"", ""fr"")"),"148")</f>
        <v>148</v>
      </c>
      <c r="H149" s="6" t="str">
        <f>IFERROR(__xludf.DUMMYFUNCTION("GOOGLETRANSLATE(B149, ""en"", ""fr"")"),"Une équipe mène 40-0 dans un match. Comment appelle-t-on cette situation ?")</f>
        <v>Une équipe mène 40-0 dans un match. Comment appelle-t-on cette situation ?</v>
      </c>
      <c r="I149" s="6" t="str">
        <f>IFERROR(__xludf.DUMMYFUNCTION("GOOGLETRANSLATE(C149, ""en"", ""fr"")"),"A) Avantage, B) Balle de set, C) Balle de triple jeu, D) Victoire sans appel")</f>
        <v>A) Avantage, B) Balle de set, C) Balle de triple jeu, D) Victoire sans appel</v>
      </c>
      <c r="J149" s="6" t="str">
        <f>IFERROR(__xludf.DUMMYFUNCTION("GOOGLETRANSLATE(D149, ""en"", ""fr"")"),"C) Point de match triple")</f>
        <v>C) Point de match triple</v>
      </c>
      <c r="K149" s="6" t="str">
        <f>IFERROR(__xludf.DUMMYFUNCTION("GOOGLETRANSLATE(E149, ""en"", ""fr"")"),"L'expression « triple point de match » désigne la situation où une équipe a trois occasions consécutives de remporter la partie en cours.")</f>
        <v>L'expression « triple point de match » désigne la situation où une équipe a trois occasions consécutives de remporter la partie en cours.</v>
      </c>
    </row>
    <row r="150" ht="22.5" customHeight="1">
      <c r="A150" s="4">
        <v>149.0</v>
      </c>
      <c r="B150" s="5" t="s">
        <v>929</v>
      </c>
      <c r="C150" s="5" t="s">
        <v>930</v>
      </c>
      <c r="D150" s="5" t="s">
        <v>931</v>
      </c>
      <c r="E150" s="5" t="s">
        <v>932</v>
      </c>
      <c r="G150" s="6" t="str">
        <f>IFERROR(__xludf.DUMMYFUNCTION("GOOGLETRANSLATE(A150, ""en"", ""fr"")"),"149")</f>
        <v>149</v>
      </c>
      <c r="H150" s="6" t="str">
        <f>IFERROR(__xludf.DUMMYFUNCTION("GOOGLETRANSLATE(B150, ""en"", ""fr"")"),"Un joueur de l'équipe A frappe la balle. Celle-ci touche le sol dans le camp de l'équipe B, puis un joueur de l'équipe B. Quelle est la décision arbitrale ?")</f>
        <v>Un joueur de l'équipe A frappe la balle. Celle-ci touche le sol dans le camp de l'équipe B, puis un joueur de l'équipe B. Quelle est la décision arbitrale ?</v>
      </c>
      <c r="I150" s="6" t="str">
        <f>IFERROR(__xludf.DUMMYFUNCTION("GOOGLETRANSLATE(C150, ""en"", ""fr"")"),"A) Point pour l'équipe A, B) Point pour l'équipe B, C) Le point est rejoué, D) Faute du joueur de l'équipe B pour ne pas s'être écarté.")</f>
        <v>A) Point pour l'équipe A, B) Point pour l'équipe B, C) Le point est rejoué, D) Faute du joueur de l'équipe B pour ne pas s'être écarté.</v>
      </c>
      <c r="J150" s="6" t="str">
        <f>IFERROR(__xludf.DUMMYFUNCTION("GOOGLETRANSLATE(D150, ""en"", ""fr"")"),"A) Un point pour l'équipe A")</f>
        <v>A) Un point pour l'équipe A</v>
      </c>
      <c r="K150" s="6" t="str">
        <f>IFERROR(__xludf.DUMMYFUNCTION("GOOGLETRANSLATE(E150, ""en"", ""fr"")"),"Une fois que la balle a rebondi légalement dans le camp adverse, le point est marqué par l'équipe qui a frappé. Tout contact ultérieur avec un joueur est sans importance.")</f>
        <v>Une fois que la balle a rebondi légalement dans le camp adverse, le point est marqué par l'équipe qui a frappé. Tout contact ultérieur avec un joueur est sans importance.</v>
      </c>
    </row>
    <row r="151" ht="22.5" customHeight="1">
      <c r="A151" s="4">
        <v>150.0</v>
      </c>
      <c r="B151" s="5" t="s">
        <v>933</v>
      </c>
      <c r="C151" s="5" t="s">
        <v>708</v>
      </c>
      <c r="D151" s="5" t="s">
        <v>709</v>
      </c>
      <c r="E151" s="5" t="s">
        <v>934</v>
      </c>
      <c r="G151" s="6" t="str">
        <f>IFERROR(__xludf.DUMMYFUNCTION("GOOGLETRANSLATE(A151, ""en"", ""fr"")"),"150")</f>
        <v>150</v>
      </c>
      <c r="H151" s="6" t="str">
        <f>IFERROR(__xludf.DUMMYFUNCTION("GOOGLETRANSLATE(B151, ""en"", ""fr"")"),"En substance, Balle au Tambourin est un test de quelles compétences ?")</f>
        <v>En substance, Balle au Tambourin est un test de quelles compétences ?</v>
      </c>
      <c r="I151" s="6" t="str">
        <f>IFERROR(__xludf.DUMMYFUNCTION("GOOGLETRANSLATE(C151, ""en"", ""fr"")"),"A) Puissance et force brutes, B) Stratégie d'équipe, coordination et compétences individuelles, C) Vitesse et agilité pures, D) Uniquement la capacité à bien servir")</f>
        <v>A) Puissance et force brutes, B) Stratégie d'équipe, coordination et compétences individuelles, C) Vitesse et agilité pures, D) Uniquement la capacité à bien servir</v>
      </c>
      <c r="J151" s="6" t="str">
        <f>IFERROR(__xludf.DUMMYFUNCTION("GOOGLETRANSLATE(D151, ""en"", ""fr"")"),"B) Stratégie d'équipe, coordination et compétences individuelles")</f>
        <v>B) Stratégie d'équipe, coordination et compétences individuelles</v>
      </c>
      <c r="K151" s="6" t="str">
        <f>IFERROR(__xludf.DUMMYFUNCTION("GOOGLETRANSLATE(E151, ""en"", ""fr"")"),"Ce sport exige, pour être pratiqué à un haut niveau, une combinaison de compétences techniques individuelles (frappe, service) et d'une coordination et d'un positionnement d'équipe sophistiqués.")</f>
        <v>Ce sport exige, pour être pratiqué à un haut niveau, une combinaison de compétences techniques individuelles (frappe, service) et d'une coordination et d'un positionnement d'équipe sophistiqués.</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37.63"/>
    <col customWidth="1" min="7" max="7" width="14.13"/>
    <col customWidth="1" min="8" max="11" width="37.63"/>
  </cols>
  <sheetData>
    <row r="1" ht="22.5" customHeight="1">
      <c r="A1" s="2" t="s">
        <v>0</v>
      </c>
      <c r="B1" s="2" t="s">
        <v>1</v>
      </c>
      <c r="C1" s="2" t="s">
        <v>2</v>
      </c>
      <c r="D1" s="2" t="s">
        <v>3</v>
      </c>
      <c r="E1" s="2" t="s">
        <v>4</v>
      </c>
      <c r="G1" s="3" t="s">
        <v>5</v>
      </c>
      <c r="H1" s="3" t="s">
        <v>6</v>
      </c>
      <c r="I1" s="3" t="s">
        <v>7</v>
      </c>
      <c r="J1" s="3" t="s">
        <v>8</v>
      </c>
      <c r="K1" s="3" t="s">
        <v>4</v>
      </c>
    </row>
    <row r="2" ht="22.5" customHeight="1">
      <c r="A2" s="4">
        <v>1.0</v>
      </c>
      <c r="B2" s="5" t="s">
        <v>935</v>
      </c>
      <c r="C2" s="5" t="s">
        <v>936</v>
      </c>
      <c r="D2" s="5" t="s">
        <v>937</v>
      </c>
      <c r="E2" s="5" t="s">
        <v>938</v>
      </c>
      <c r="G2" s="6" t="str">
        <f>IFERROR(__xludf.DUMMYFUNCTION("GOOGLETRANSLATE(A2, ""en"", ""fr"")"),"1")</f>
        <v>1</v>
      </c>
      <c r="H2" s="6" t="str">
        <f>IFERROR(__xludf.DUMMYFUNCTION("GOOGLETRANSLATE(B2, ""en"", ""fr"")"),"Quel est l'objectif principal des modalités indirectes de la pelote basque ?")</f>
        <v>Quel est l'objectif principal des modalités indirectes de la pelote basque ?</v>
      </c>
      <c r="I2" s="6" t="str">
        <f>IFERROR(__xludf.DUMMYFUNCTION("GOOGLETRANSLATE(C2, ""en"", ""fr"")"),"A) Frapper la balle par-dessus le filet, B) Frapper la balle contre le mur principal (frontis) pour empêcher l'adversaire de la renvoyer, C) Marquer des buts, D) Courir entre les bases")</f>
        <v>A) Frapper la balle par-dessus le filet, B) Frapper la balle contre le mur principal (frontis) pour empêcher l'adversaire de la renvoyer, C) Marquer des buts, D) Courir entre les bases</v>
      </c>
      <c r="J2" s="6" t="str">
        <f>IFERROR(__xludf.DUMMYFUNCTION("GOOGLETRANSLATE(D2, ""en"", ""fr"")"),"B) Frapper la balle contre le mur principal (frontis) pour empêcher l'adversaire de la renvoyer.")</f>
        <v>B) Frapper la balle contre le mur principal (frontis) pour empêcher l'adversaire de la renvoyer.</v>
      </c>
      <c r="K2" s="6" t="str">
        <f>IFERROR(__xludf.DUMMYFUNCTION("GOOGLETRANSLATE(E2, ""en"", ""fr"")"),"Contrairement aux jeux directs comme le tennis, la pelote basque est un jeu indirect où les joueurs frappent la balle à tour de rôle contre un mur frontal commun.")</f>
        <v>Contrairement aux jeux directs comme le tennis, la pelote basque est un jeu indirect où les joueurs frappent la balle à tour de rôle contre un mur frontal commun.</v>
      </c>
    </row>
    <row r="3" ht="22.5" customHeight="1">
      <c r="A3" s="4">
        <v>2.0</v>
      </c>
      <c r="B3" s="5" t="s">
        <v>939</v>
      </c>
      <c r="C3" s="5" t="s">
        <v>940</v>
      </c>
      <c r="D3" s="5" t="s">
        <v>941</v>
      </c>
      <c r="E3" s="5" t="s">
        <v>942</v>
      </c>
      <c r="G3" s="6" t="str">
        <f>IFERROR(__xludf.DUMMYFUNCTION("GOOGLETRANSLATE(A3, ""en"", ""fr"")"),"2")</f>
        <v>2</v>
      </c>
      <c r="H3" s="6" t="str">
        <f>IFERROR(__xludf.DUMMYFUNCTION("GOOGLETRANSLATE(B3, ""en"", ""fr"")"),"Quel est le nom de l'ensemble de l'aire de jeu, y compris le terrain et les murs ?")</f>
        <v>Quel est le nom de l'ensemble de l'aire de jeu, y compris le terrain et les murs ?</v>
      </c>
      <c r="I3" s="6" t="str">
        <f>IFERROR(__xludf.DUMMYFUNCTION("GOOGLETRANSLATE(C3, ""en"", ""fr"")"),"A) Le terrain, B) La cancha, C) L'anneau, D) Le diamant")</f>
        <v>A) Le terrain, B) La cancha, C) L'anneau, D) Le diamant</v>
      </c>
      <c r="J3" s="6" t="str">
        <f>IFERROR(__xludf.DUMMYFUNCTION("GOOGLETRANSLATE(D3, ""en"", ""fr"")"),"B) Le Cancha")</f>
        <v>B) Le Cancha</v>
      </c>
      <c r="K3" s="6" t="str">
        <f>IFERROR(__xludf.DUMMYFUNCTION("GOOGLETRANSLATE(E3, ""en"", ""fr"")"),"Cancha est le terme espagnol désignant le terrain sur lequel se joue le jeu.")</f>
        <v>Cancha est le terme espagnol désignant le terrain sur lequel se joue le jeu.</v>
      </c>
    </row>
    <row r="4" ht="22.5" customHeight="1">
      <c r="A4" s="4">
        <v>3.0</v>
      </c>
      <c r="B4" s="5" t="s">
        <v>943</v>
      </c>
      <c r="C4" s="5" t="s">
        <v>944</v>
      </c>
      <c r="D4" s="5" t="s">
        <v>945</v>
      </c>
      <c r="E4" s="5" t="s">
        <v>946</v>
      </c>
      <c r="G4" s="6" t="str">
        <f>IFERROR(__xludf.DUMMYFUNCTION("GOOGLETRANSLATE(A4, ""en"", ""fr"")"),"3")</f>
        <v>3</v>
      </c>
      <c r="H4" s="6" t="str">
        <f>IFERROR(__xludf.DUMMYFUNCTION("GOOGLETRANSLATE(B4, ""en"", ""fr"")"),"Comment s'appelle le mur principal frontal contre lequel la balle doit être frappée ?")</f>
        <v>Comment s'appelle le mur principal frontal contre lequel la balle doit être frappée ?</v>
      </c>
      <c r="I4" s="6" t="str">
        <f>IFERROR(__xludf.DUMMYFUNCTION("GOOGLETRANSLATE(C4, ""en"", ""fr"")"),"A) Le Rebote, B) La Pared Izquierda, C) Le Frontis, D) La Cancha")</f>
        <v>A) Le Rebote, B) La Pared Izquierda, C) Le Frontis, D) La Cancha</v>
      </c>
      <c r="J4" s="6" t="str">
        <f>IFERROR(__xludf.DUMMYFUNCTION("GOOGLETRANSLATE(D4, ""en"", ""fr"")"),"C) Le frontis")</f>
        <v>C) Le frontis</v>
      </c>
      <c r="K4" s="6" t="str">
        <f>IFERROR(__xludf.DUMMYFUNCTION("GOOGLETRANSLATE(E4, ""en"", ""fr"")"),"Le frontis est le mur frontal et la surface de jeu principale. Chaque coup lors d'un échange doit toucher le frontis.")</f>
        <v>Le frontis est le mur frontal et la surface de jeu principale. Chaque coup lors d'un échange doit toucher le frontis.</v>
      </c>
    </row>
    <row r="5" ht="22.5" customHeight="1">
      <c r="A5" s="4">
        <v>4.0</v>
      </c>
      <c r="B5" s="5" t="s">
        <v>947</v>
      </c>
      <c r="C5" s="5" t="s">
        <v>948</v>
      </c>
      <c r="D5" s="5" t="s">
        <v>855</v>
      </c>
      <c r="E5" s="5" t="s">
        <v>949</v>
      </c>
      <c r="G5" s="6" t="str">
        <f>IFERROR(__xludf.DUMMYFUNCTION("GOOGLETRANSLATE(A5, ""en"", ""fr"")"),"4")</f>
        <v>4</v>
      </c>
      <c r="H5" s="6" t="str">
        <f>IFERROR(__xludf.DUMMYFUNCTION("GOOGLETRANSLATE(B5, ""en"", ""fr"")"),"Combien de murs possède le type de terrain de pelote le plus courant, le « Mur à Gauche » (mur gauche) ?")</f>
        <v>Combien de murs possède le type de terrain de pelote le plus courant, le « Mur à Gauche » (mur gauche) ?</v>
      </c>
      <c r="I5" s="6" t="str">
        <f>IFERROR(__xludf.DUMMYFUNCTION("GOOGLETRANSLATE(C5, ""en"", ""fr"")"),"A) Un, B) Deux, C) Trois, D) Quatre")</f>
        <v>A) Un, B) Deux, C) Trois, D) Quatre</v>
      </c>
      <c r="J5" s="6" t="str">
        <f>IFERROR(__xludf.DUMMYFUNCTION("GOOGLETRANSLATE(D5, ""en"", ""fr"")"),"B) Deux")</f>
        <v>B) Deux</v>
      </c>
      <c r="K5" s="6" t="str">
        <f>IFERROR(__xludf.DUMMYFUNCTION("GOOGLETRANSLATE(E5, ""en"", ""fr"")"),"Ce type de terrain, utilisé pour de nombreuses modalités, possède un mur frontal (frontis) et un mur latéral gauche (pared izquierda).")</f>
        <v>Ce type de terrain, utilisé pour de nombreuses modalités, possède un mur frontal (frontis) et un mur latéral gauche (pared izquierda).</v>
      </c>
    </row>
    <row r="6" ht="22.5" customHeight="1">
      <c r="A6" s="4">
        <v>5.0</v>
      </c>
      <c r="B6" s="5" t="s">
        <v>950</v>
      </c>
      <c r="C6" s="5" t="s">
        <v>951</v>
      </c>
      <c r="D6" s="5" t="s">
        <v>952</v>
      </c>
      <c r="E6" s="5" t="s">
        <v>953</v>
      </c>
      <c r="G6" s="6" t="str">
        <f>IFERROR(__xludf.DUMMYFUNCTION("GOOGLETRANSLATE(A6, ""en"", ""fr"")"),"5")</f>
        <v>5</v>
      </c>
      <c r="H6" s="6" t="str">
        <f>IFERROR(__xludf.DUMMYFUNCTION("GOOGLETRANSLATE(B6, ""en"", ""fr"")"),"Qu'est-ce qu'un bibelot ?")</f>
        <v>Qu'est-ce qu'un bibelot ?</v>
      </c>
      <c r="I6" s="6" t="str">
        <f>IFERROR(__xludf.DUMMYFUNCTION("GOOGLETRANSLATE(C6, ""en"", ""fr"")"),"A) Un type de balle, B) Un terrain de pelote basque intérieur à quatre murs, C) L'arbitre de la pelote basque, D) La soutane")</f>
        <v>A) Un type de balle, B) Un terrain de pelote basque intérieur à quatre murs, C) L'arbitre de la pelote basque, D) La soutane</v>
      </c>
      <c r="J6" s="6" t="str">
        <f>IFERROR(__xludf.DUMMYFUNCTION("GOOGLETRANSLATE(D6, ""en"", ""fr"")"),"B) Un terrain de pelote intérieur à quatre murs")</f>
        <v>B) Un terrain de pelote intérieur à quatre murs</v>
      </c>
      <c r="K6" s="6" t="str">
        <f>IFERROR(__xludf.DUMMYFUNCTION("GOOGLETRANSLATE(E6, ""en"", ""fr"")"),"Le trinquet est un court entièrement clos avec un mur avant, un mur arrière et deux murs latéraux, souvent doté d'une galerie inclinée, ce qui permet des coups d'angle plus complexes.")</f>
        <v>Le trinquet est un court entièrement clos avec un mur avant, un mur arrière et deux murs latéraux, souvent doté d'une galerie inclinée, ce qui permet des coups d'angle plus complexes.</v>
      </c>
    </row>
    <row r="7" ht="22.5" customHeight="1">
      <c r="A7" s="4">
        <v>6.0</v>
      </c>
      <c r="B7" s="5" t="s">
        <v>954</v>
      </c>
      <c r="C7" s="5" t="s">
        <v>955</v>
      </c>
      <c r="D7" s="5" t="s">
        <v>956</v>
      </c>
      <c r="E7" s="5" t="s">
        <v>957</v>
      </c>
      <c r="G7" s="6" t="str">
        <f>IFERROR(__xludf.DUMMYFUNCTION("GOOGLETRANSLATE(A7, ""en"", ""fr"")"),"6")</f>
        <v>6</v>
      </c>
      <c r="H7" s="6" t="str">
        <f>IFERROR(__xludf.DUMMYFUNCTION("GOOGLETRANSLATE(B7, ""en"", ""fr"")"),"Quelle est la longueur standard d'un fronton « court » de 36 mètres utilisé pour de nombreuses modalités de combat à la main et au pala ?")</f>
        <v>Quelle est la longueur standard d'un fronton « court » de 36 mètres utilisé pour de nombreuses modalités de combat à la main et au pala ?</v>
      </c>
      <c r="I7" s="6" t="str">
        <f>IFERROR(__xludf.DUMMYFUNCTION("GOOGLETRANSLATE(C7, ""en"", ""fr"")"),"A) 28 mètres, B) 36 mètres, C) 54 mètres, D) 60 mètres")</f>
        <v>A) 28 mètres, B) 36 mètres, C) 54 mètres, D) 60 mètres</v>
      </c>
      <c r="J7" s="6" t="str">
        <f>IFERROR(__xludf.DUMMYFUNCTION("GOOGLETRANSLATE(D7, ""en"", ""fr"")"),"B) 36 mètres")</f>
        <v>B) 36 mètres</v>
      </c>
      <c r="K7" s="6" t="str">
        <f>IFERROR(__xludf.DUMMYFUNCTION("GOOGLETRANSLATE(E7, ""en"", ""fr"")"),"Il s'agit de la taille officielle pour de nombreuses modalités populaires, notamment Hand Pelota et Paleta Goma.")</f>
        <v>Il s'agit de la taille officielle pour de nombreuses modalités populaires, notamment Hand Pelota et Paleta Goma.</v>
      </c>
    </row>
    <row r="8" ht="22.5" customHeight="1">
      <c r="A8" s="4">
        <v>7.0</v>
      </c>
      <c r="B8" s="5" t="s">
        <v>958</v>
      </c>
      <c r="C8" s="5" t="s">
        <v>959</v>
      </c>
      <c r="D8" s="5" t="s">
        <v>960</v>
      </c>
      <c r="E8" s="5" t="s">
        <v>961</v>
      </c>
      <c r="G8" s="6" t="str">
        <f>IFERROR(__xludf.DUMMYFUNCTION("GOOGLETRANSLATE(A8, ""en"", ""fr"")"),"7")</f>
        <v>7</v>
      </c>
      <c r="H8" s="6" t="str">
        <f>IFERROR(__xludf.DUMMYFUNCTION("GOOGLETRANSLATE(B8, ""en"", ""fr"")"),"Quel est le nom du très long terrain utilisé pour la discipline professionnelle de la Cesta Punta (Jai Alai) ?")</f>
        <v>Quel est le nom du très long terrain utilisé pour la discipline professionnelle de la Cesta Punta (Jai Alai) ?</v>
      </c>
      <c r="I8" s="6" t="str">
        <f>IFERROR(__xludf.DUMMYFUNCTION("GOOGLETRANSLATE(C8, ""en"", ""fr"")"),"A) Le Trinquet, B) Le Fronton de 36 mètres, C) Le Jai Alai, D) Le Fronton de 54 mètres")</f>
        <v>A) Le Trinquet, B) Le Fronton de 36 mètres, C) Le Jai Alai, D) Le Fronton de 54 mètres</v>
      </c>
      <c r="J8" s="6" t="str">
        <f>IFERROR(__xludf.DUMMYFUNCTION("GOOGLETRANSLATE(D8, ""en"", ""fr"")"),"C) La Jai ​​Alai")</f>
        <v>C) La Jai ​​Alai</v>
      </c>
      <c r="K8" s="6" t="str">
        <f>IFERROR(__xludf.DUMMYFUNCTION("GOOGLETRANSLATE(E8, ""en"", ""fr"")"),"La version professionnelle de Cesta Punta se joue sur un terrain très long, appelé Jai-Alai, qui mesure généralement 54 mètres de long.")</f>
        <v>La version professionnelle de Cesta Punta se joue sur un terrain très long, appelé Jai-Alai, qui mesure généralement 54 mètres de long.</v>
      </c>
    </row>
    <row r="9" ht="22.5" customHeight="1">
      <c r="A9" s="4">
        <v>8.0</v>
      </c>
      <c r="B9" s="5" t="s">
        <v>962</v>
      </c>
      <c r="C9" s="5" t="s">
        <v>963</v>
      </c>
      <c r="D9" s="5" t="s">
        <v>964</v>
      </c>
      <c r="E9" s="5" t="s">
        <v>965</v>
      </c>
      <c r="G9" s="6" t="str">
        <f>IFERROR(__xludf.DUMMYFUNCTION("GOOGLETRANSLATE(A9, ""en"", ""fr"")"),"8")</f>
        <v>8</v>
      </c>
      <c r="H9" s="6" t="str">
        <f>IFERROR(__xludf.DUMMYFUNCTION("GOOGLETRANSLATE(B9, ""en"", ""fr"")"),"Comment s'appelle la raquette emblématique en forme de panier utilisée au Cesta Punta (Jai Alai) ?")</f>
        <v>Comment s'appelle la raquette emblématique en forme de panier utilisée au Cesta Punta (Jai Alai) ?</v>
      </c>
      <c r="I9" s="6" t="str">
        <f>IFERROR(__xludf.DUMMYFUNCTION("GOOGLETRANSLATE(C9, ""en"", ""fr"")"),"A) Le Pala, B) Le Xare, C) Le Chistera, D) Le Laxoa")</f>
        <v>A) Le Pala, B) Le Xare, C) Le Chistera, D) Le Laxoa</v>
      </c>
      <c r="J9" s="6" t="str">
        <f>IFERROR(__xludf.DUMMYFUNCTION("GOOGLETRANSLATE(D9, ""en"", ""fr"")"),"C) La Chistera")</f>
        <v>C) La Chistera</v>
      </c>
      <c r="K9" s="6" t="str">
        <f>IFERROR(__xludf.DUMMYFUNCTION("GOOGLETRANSLATE(E9, ""en"", ""fr"")"),"La chistera est un gant-panier en osier tressé qui permet aux joueurs d'attraper et de lancer la balle à des vitesses extrêmement élevées.")</f>
        <v>La chistera est un gant-panier en osier tressé qui permet aux joueurs d'attraper et de lancer la balle à des vitesses extrêmement élevées.</v>
      </c>
    </row>
    <row r="10" ht="22.5" customHeight="1">
      <c r="A10" s="4">
        <v>9.0</v>
      </c>
      <c r="B10" s="5" t="s">
        <v>966</v>
      </c>
      <c r="C10" s="5" t="s">
        <v>967</v>
      </c>
      <c r="D10" s="5" t="s">
        <v>968</v>
      </c>
      <c r="E10" s="5" t="s">
        <v>969</v>
      </c>
      <c r="G10" s="6" t="str">
        <f>IFERROR(__xludf.DUMMYFUNCTION("GOOGLETRANSLATE(A10, ""en"", ""fr"")"),"9")</f>
        <v>9</v>
      </c>
      <c r="H10" s="6" t="str">
        <f>IFERROR(__xludf.DUMMYFUNCTION("GOOGLETRANSLATE(B10, ""en"", ""fr"")"),"Quelle est la principale différence entre la chistera Joko Garbi et la Grande Chistera ?")</f>
        <v>Quelle est la principale différence entre la chistera Joko Garbi et la Grande Chistera ?</v>
      </c>
      <c r="I10" s="6" t="str">
        <f>IFERROR(__xludf.DUMMYFUNCTION("GOOGLETRANSLATE(C10, ""en"", ""fr"")"),"A) La couleur, B) Le matériau, C) La taille et la profondeur du panier, D) Le style de poignée")</f>
        <v>A) La couleur, B) Le matériau, C) La taille et la profondeur du panier, D) Le style de poignée</v>
      </c>
      <c r="J10" s="6" t="str">
        <f>IFERROR(__xludf.DUMMYFUNCTION("GOOGLETRANSLATE(D10, ""en"", ""fr"")"),"C) La taille et la profondeur du panier")</f>
        <v>C) La taille et la profondeur du panier</v>
      </c>
      <c r="K10" s="6" t="str">
        <f>IFERROR(__xludf.DUMMYFUNCTION("GOOGLETRANSLATE(E10, ""en"", ""fr"")"),"La chistera Joko Garbi est plus petite et moins profonde, ne permettant pas de retenir la balle. La Grand Chistera est plus grande et plus profonde, permettant le lancer en « fronde » du jai alai.")</f>
        <v>La chistera Joko Garbi est plus petite et moins profonde, ne permettant pas de retenir la balle. La Grand Chistera est plus grande et plus profonde, permettant le lancer en « fronde » du jai alai.</v>
      </c>
    </row>
    <row r="11" ht="22.5" customHeight="1">
      <c r="A11" s="4">
        <v>10.0</v>
      </c>
      <c r="B11" s="5" t="s">
        <v>970</v>
      </c>
      <c r="C11" s="5" t="s">
        <v>971</v>
      </c>
      <c r="D11" s="5" t="s">
        <v>972</v>
      </c>
      <c r="E11" s="5" t="s">
        <v>973</v>
      </c>
      <c r="G11" s="6" t="str">
        <f>IFERROR(__xludf.DUMMYFUNCTION("GOOGLETRANSLATE(A11, ""en"", ""fr"")"),"10")</f>
        <v>10</v>
      </c>
      <c r="H11" s="6" t="str">
        <f>IFERROR(__xludf.DUMMYFUNCTION("GOOGLETRANSLATE(B11, ""en"", ""fr"")"),"La pelote (balle) a un noyau fait de quel matériau ?")</f>
        <v>La pelote (balle) a un noyau fait de quel matériau ?</v>
      </c>
      <c r="I11" s="6" t="str">
        <f>IFERROR(__xludf.DUMMYFUNCTION("GOOGLETRANSLATE(C11, ""en"", ""fr"")"),"A) Bois, B) Liège, C) Latex brésilien, D) Plastique")</f>
        <v>A) Bois, B) Liège, C) Latex brésilien, D) Plastique</v>
      </c>
      <c r="J11" s="6" t="str">
        <f>IFERROR(__xludf.DUMMYFUNCTION("GOOGLETRANSLATE(D11, ""en"", ""fr"")"),"C) Caoutchouc latex brésilien")</f>
        <v>C) Caoutchouc latex brésilien</v>
      </c>
      <c r="K11" s="6" t="str">
        <f>IFERROR(__xludf.DUMMYFUNCTION("GOOGLETRANSLATE(E11, ""en"", ""fr"")"),"Le noyau d'une pelote traditionnelle faite à la main est en caoutchouc, ce qui lui confère son rebond et sa vitesse caractéristiques.")</f>
        <v>Le noyau d'une pelote traditionnelle faite à la main est en caoutchouc, ce qui lui confère son rebond et sa vitesse caractéristiques.</v>
      </c>
    </row>
    <row r="12" ht="22.5" customHeight="1">
      <c r="A12" s="4">
        <v>11.0</v>
      </c>
      <c r="B12" s="5" t="s">
        <v>974</v>
      </c>
      <c r="C12" s="5" t="s">
        <v>975</v>
      </c>
      <c r="D12" s="5" t="s">
        <v>976</v>
      </c>
      <c r="E12" s="5" t="s">
        <v>977</v>
      </c>
      <c r="G12" s="6" t="str">
        <f>IFERROR(__xludf.DUMMYFUNCTION("GOOGLETRANSLATE(A12, ""en"", ""fr"")"),"11")</f>
        <v>11</v>
      </c>
      <c r="H12" s="6" t="str">
        <f>IFERROR(__xludf.DUMMYFUNCTION("GOOGLETRANSLATE(B12, ""en"", ""fr"")"),"Quel est le rôle principal du mur gauche (pared izquierda) dans le jeu ?")</f>
        <v>Quel est le rôle principal du mur gauche (pared izquierda) dans le jeu ?</v>
      </c>
      <c r="I12" s="6" t="str">
        <f>IFERROR(__xludf.DUMMYFUNCTION("GOOGLETRANSLATE(C12, ""en"", ""fr"")"),"A) C'est hors limites, B) C'est une surface de jeu active sur laquelle le ballon peut être joué, C) C'est uniquement pour les spectateurs, D) Cela sépare les deux équipes")</f>
        <v>A) C'est hors limites, B) C'est une surface de jeu active sur laquelle le ballon peut être joué, C) C'est uniquement pour les spectateurs, D) Cela sépare les deux équipes</v>
      </c>
      <c r="J12" s="6" t="str">
        <f>IFERROR(__xludf.DUMMYFUNCTION("GOOGLETRANSLATE(D12, ""en"", ""fr"")"),"B) Il s'agit d'une surface de jeu active sur laquelle la balle peut être jouée.")</f>
        <v>B) Il s'agit d'une surface de jeu active sur laquelle la balle peut être jouée.</v>
      </c>
      <c r="K12" s="6" t="str">
        <f>IFERROR(__xludf.DUMMYFUNCTION("GOOGLETRANSLATE(E12, ""en"", ""fr"")"),"Le mur de gauche est un élément clé du jeu, permettant des tirs de carambolage stratégiques et des angles complexes qui donnent à ce sport une dimension tridimensionnelle.")</f>
        <v>Le mur de gauche est un élément clé du jeu, permettant des tirs de carambolage stratégiques et des angles complexes qui donnent à ce sport une dimension tridimensionnelle.</v>
      </c>
    </row>
    <row r="13" ht="22.5" customHeight="1">
      <c r="A13" s="4">
        <v>12.0</v>
      </c>
      <c r="B13" s="5" t="s">
        <v>978</v>
      </c>
      <c r="C13" s="5" t="s">
        <v>979</v>
      </c>
      <c r="D13" s="5" t="s">
        <v>980</v>
      </c>
      <c r="E13" s="5" t="s">
        <v>981</v>
      </c>
      <c r="G13" s="6" t="str">
        <f>IFERROR(__xludf.DUMMYFUNCTION("GOOGLETRANSLATE(A13, ""en"", ""fr"")"),"12")</f>
        <v>12</v>
      </c>
      <c r="H13" s="6" t="str">
        <f>IFERROR(__xludf.DUMMYFUNCTION("GOOGLETRANSLATE(B13, ""en"", ""fr"")"),"Quel est le nom de la modalité la plus ancienne et la plus élémentaire, jouée sans raquette ?")</f>
        <v>Quel est le nom de la modalité la plus ancienne et la plus élémentaire, jouée sans raquette ?</v>
      </c>
      <c r="I13" s="6" t="str">
        <f>IFERROR(__xludf.DUMMYFUNCTION("GOOGLETRANSLATE(C13, ""en"", ""fr"")"),"A) Pala, B) Cesta Punta, C) Main Nue (main nue), D) Xare")</f>
        <v>A) Pala, B) Cesta Punta, C) Main Nue (main nue), D) Xare</v>
      </c>
      <c r="J13" s="6" t="str">
        <f>IFERROR(__xludf.DUMMYFUNCTION("GOOGLETRANSLATE(D13, ""en"", ""fr"")"),"C) Main Nue (main nue)")</f>
        <v>C) Main Nue (main nue)</v>
      </c>
      <c r="K13" s="6" t="str">
        <f>IFERROR(__xludf.DUMMYFUNCTION("GOOGLETRANSLATE(E13, ""en"", ""fr"")"),"L'Esku-pilota ou main nue est la forme originale du jeu, où les joueurs frappent la balle dure avec leurs mains nues et entraînées.")</f>
        <v>L'Esku-pilota ou main nue est la forme originale du jeu, où les joueurs frappent la balle dure avec leurs mains nues et entraînées.</v>
      </c>
    </row>
    <row r="14" ht="22.5" customHeight="1">
      <c r="A14" s="4">
        <v>13.0</v>
      </c>
      <c r="B14" s="5" t="s">
        <v>982</v>
      </c>
      <c r="C14" s="5" t="s">
        <v>983</v>
      </c>
      <c r="D14" s="5" t="s">
        <v>984</v>
      </c>
      <c r="E14" s="5" t="s">
        <v>985</v>
      </c>
      <c r="G14" s="6" t="str">
        <f>IFERROR(__xludf.DUMMYFUNCTION("GOOGLETRANSLATE(A14, ""en"", ""fr"")"),"13")</f>
        <v>13</v>
      </c>
      <c r="H14" s="6" t="str">
        <f>IFERROR(__xludf.DUMMYFUNCTION("GOOGLETRANSLATE(B14, ""en"", ""fr"")"),"Un service doit toucher le mur frontal puis rebondir dans la zone située entre deux lignes au sol. Comment s'appelle la ligne « courte » ?")</f>
        <v>Un service doit toucher le mur frontal puis rebondir dans la zone située entre deux lignes au sol. Comment s'appelle la ligne « courte » ?</v>
      </c>
      <c r="I14" s="6" t="str">
        <f>IFERROR(__xludf.DUMMYFUNCTION("GOOGLETRANSLATE(C14, ""en"", ""fr"")"),"A) Le Pasa, B) La Falta, C) Le Raya, D) Le Saque")</f>
        <v>A) Le Pasa, B) La Falta, C) Le Raya, D) Le Saque</v>
      </c>
      <c r="J14" s="6" t="str">
        <f>IFERROR(__xludf.DUMMYFUNCTION("GOOGLETRANSLATE(D14, ""en"", ""fr"")"),"B) Le Falta")</f>
        <v>B) Le Falta</v>
      </c>
      <c r="K14" s="6" t="str">
        <f>IFERROR(__xludf.DUMMYFUNCTION("GOOGLETRANSLATE(E14, ""en"", ""fr"")"),"Un service qui rebondit avant la ligne de faute est un service « court » et constitue une faute.")</f>
        <v>Un service qui rebondit avant la ligne de faute est un service « court » et constitue une faute.</v>
      </c>
    </row>
    <row r="15" ht="22.5" customHeight="1">
      <c r="A15" s="4">
        <v>14.0</v>
      </c>
      <c r="B15" s="5" t="s">
        <v>986</v>
      </c>
      <c r="C15" s="5" t="s">
        <v>987</v>
      </c>
      <c r="D15" s="5" t="s">
        <v>988</v>
      </c>
      <c r="E15" s="5" t="s">
        <v>989</v>
      </c>
      <c r="G15" s="6" t="str">
        <f>IFERROR(__xludf.DUMMYFUNCTION("GOOGLETRANSLATE(A15, ""en"", ""fr"")"),"14")</f>
        <v>14</v>
      </c>
      <c r="H15" s="6" t="str">
        <f>IFERROR(__xludf.DUMMYFUNCTION("GOOGLETRANSLATE(B15, ""en"", ""fr"")"),"Quelle est la ligne « longue » devant laquelle le service doit rebondir ?")</f>
        <v>Quelle est la ligne « longue » devant laquelle le service doit rebondir ?</v>
      </c>
      <c r="I15" s="6" t="str">
        <f>IFERROR(__xludf.DUMMYFUNCTION("GOOGLETRANSLATE(C15, ""en"", ""fr"")"),"A) Le Pasa, B) Le Falta, C) Le Raya, D) Le Rebote")</f>
        <v>A) Le Pasa, B) Le Falta, C) Le Raya, D) Le Rebote</v>
      </c>
      <c r="J15" s="6" t="str">
        <f>IFERROR(__xludf.DUMMYFUNCTION("GOOGLETRANSLATE(D15, ""en"", ""fr"")"),"A) Le Pasa")</f>
        <v>A) Le Pasa</v>
      </c>
      <c r="K15" s="6" t="str">
        <f>IFERROR(__xludf.DUMMYFUNCTION("GOOGLETRANSLATE(E15, ""en"", ""fr"")"),"Un service qui rebondit sur ou au-delà de la ligne de pasa est un service « long » et constitue également une faute.")</f>
        <v>Un service qui rebondit sur ou au-delà de la ligne de pasa est un service « long » et constitue également une faute.</v>
      </c>
    </row>
    <row r="16" ht="22.5" customHeight="1">
      <c r="A16" s="4">
        <v>15.0</v>
      </c>
      <c r="B16" s="5" t="s">
        <v>990</v>
      </c>
      <c r="C16" s="5" t="s">
        <v>991</v>
      </c>
      <c r="D16" s="5" t="s">
        <v>992</v>
      </c>
      <c r="E16" s="5" t="s">
        <v>993</v>
      </c>
      <c r="G16" s="6" t="str">
        <f>IFERROR(__xludf.DUMMYFUNCTION("GOOGLETRANSLATE(A16, ""en"", ""fr"")"),"15")</f>
        <v>15</v>
      </c>
      <c r="H16" s="6" t="str">
        <f>IFERROR(__xludf.DUMMYFUNCTION("GOOGLETRANSLATE(B16, ""en"", ""fr"")"),"Un joueur attrape la balle avec sa chistera mais la retient un instant avant de la lancer. Quelle est la règle ?")</f>
        <v>Un joueur attrape la balle avec sa chistera mais la retient un instant avant de la lancer. Quelle est la règle ?</v>
      </c>
      <c r="I16" s="6" t="str">
        <f>IFERROR(__xludf.DUMMYFUNCTION("GOOGLETRANSLATE(C16, ""en"", ""fr"")"),"A) Ce coup est légal. B) Il y a faute pour avoir retenu la balle (atxiki). C) Le joueur est averti. D) Le point est rejoué.")</f>
        <v>A) Ce coup est légal. B) Il y a faute pour avoir retenu la balle (atxiki). C) Le joueur est averti. D) Le point est rejoué.</v>
      </c>
      <c r="J16" s="6" t="str">
        <f>IFERROR(__xludf.DUMMYFUNCTION("GOOGLETRANSLATE(D16, ""en"", ""fr"")"),"B) C'est une faute pour avoir tenu ou « retenu » le ballon (atxiki)")</f>
        <v>B) C'est une faute pour avoir tenu ou « retenu » le ballon (atxiki)</v>
      </c>
      <c r="K16" s="6" t="str">
        <f>IFERROR(__xludf.DUMMYFUNCTION("GOOGLETRANSLATE(E16, ""en"", ""fr"")"),"Le règlement exige que la balle soit attrapée et lancée d'un seul mouvement fluide et continu. S'arrêter ou la retenir constitue une faute illégale.")</f>
        <v>Le règlement exige que la balle soit attrapée et lancée d'un seul mouvement fluide et continu. S'arrêter ou la retenir constitue une faute illégale.</v>
      </c>
    </row>
    <row r="17" ht="22.5" customHeight="1">
      <c r="A17" s="4">
        <v>16.0</v>
      </c>
      <c r="B17" s="5" t="s">
        <v>994</v>
      </c>
      <c r="C17" s="5" t="s">
        <v>995</v>
      </c>
      <c r="D17" s="5" t="s">
        <v>996</v>
      </c>
      <c r="E17" s="5" t="s">
        <v>997</v>
      </c>
      <c r="G17" s="6" t="str">
        <f>IFERROR(__xludf.DUMMYFUNCTION("GOOGLETRANSLATE(A17, ""en"", ""fr"")"),"16")</f>
        <v>16</v>
      </c>
      <c r="H17" s="6" t="str">
        <f>IFERROR(__xludf.DUMMYFUNCTION("GOOGLETRANSLATE(B17, ""en"", ""fr"")"),"Qu'est-ce qu'un pelotari ?")</f>
        <v>Qu'est-ce qu'un pelotari ?</v>
      </c>
      <c r="I17" s="6" t="str">
        <f>IFERROR(__xludf.DUMMYFUNCTION("GOOGLETRANSLATE(C17, ""en"", ""fr"")"),"A) La balle, B) Le terrain, C) Un joueur de pelote basque, D) La raquette")</f>
        <v>A) La balle, B) Le terrain, C) Un joueur de pelote basque, D) La raquette</v>
      </c>
      <c r="J17" s="6" t="str">
        <f>IFERROR(__xludf.DUMMYFUNCTION("GOOGLETRANSLATE(D17, ""en"", ""fr"")"),"C) Un joueur de pelote basque")</f>
        <v>C) Un joueur de pelote basque</v>
      </c>
      <c r="K17" s="6" t="str">
        <f>IFERROR(__xludf.DUMMYFUNCTION("GOOGLETRANSLATE(E17, ""en"", ""fr"")"),"Le terme « pelotari » désigne de manière générale toute personne qui pratique une forme quelconque de ce jeu.")</f>
        <v>Le terme « pelotari » désigne de manière générale toute personne qui pratique une forme quelconque de ce jeu.</v>
      </c>
    </row>
    <row r="18" ht="22.5" customHeight="1">
      <c r="A18" s="4">
        <v>17.0</v>
      </c>
      <c r="B18" s="5" t="s">
        <v>998</v>
      </c>
      <c r="C18" s="5" t="s">
        <v>999</v>
      </c>
      <c r="D18" s="5" t="s">
        <v>1000</v>
      </c>
      <c r="E18" s="5" t="s">
        <v>1001</v>
      </c>
      <c r="G18" s="6" t="str">
        <f>IFERROR(__xludf.DUMMYFUNCTION("GOOGLETRANSLATE(A18, ""en"", ""fr"")"),"17")</f>
        <v>17</v>
      </c>
      <c r="H18" s="6" t="str">
        <f>IFERROR(__xludf.DUMMYFUNCTION("GOOGLETRANSLATE(B18, ""en"", ""fr"")"),"Qu'est-ce qu'un «partido» ?")</f>
        <v>Qu'est-ce qu'un «partido» ?</v>
      </c>
      <c r="I18" s="6" t="str">
        <f>IFERROR(__xludf.DUMMYFUNCTION("GOOGLETRANSLATE(C18, ""en"", ""fr"")"),"A) Un point unique, B) Un match joué en un certain nombre de points, C) Un joueur, D) Le court")</f>
        <v>A) Un point unique, B) Un match joué en un certain nombre de points, C) Un joueur, D) Le court</v>
      </c>
      <c r="J18" s="6" t="str">
        <f>IFERROR(__xludf.DUMMYFUNCTION("GOOGLETRANSLATE(D18, ""en"", ""fr"")"),"B) Un match joué jusqu'à un certain nombre de points")</f>
        <v>B) Un match joué jusqu'à un certain nombre de points</v>
      </c>
      <c r="K18" s="6" t="str">
        <f>IFERROR(__xludf.DUMMYFUNCTION("GOOGLETRANSLATE(E18, ""en"", ""fr"")"),"Un partido est le format de match classique, où deux équipes jouent jusqu'à ce que l'une d'elles atteigne un score cible, tel que 22, 35 ou 40.")</f>
        <v>Un partido est le format de match classique, où deux équipes jouent jusqu'à ce que l'une d'elles atteigne un score cible, tel que 22, 35 ou 40.</v>
      </c>
    </row>
    <row r="19" ht="22.5" customHeight="1">
      <c r="A19" s="4">
        <v>18.0</v>
      </c>
      <c r="B19" s="5" t="s">
        <v>1002</v>
      </c>
      <c r="C19" s="5" t="s">
        <v>1003</v>
      </c>
      <c r="D19" s="5" t="s">
        <v>1004</v>
      </c>
      <c r="E19" s="5" t="s">
        <v>1005</v>
      </c>
      <c r="G19" s="6" t="str">
        <f>IFERROR(__xludf.DUMMYFUNCTION("GOOGLETRANSLATE(A19, ""en"", ""fr"")"),"18")</f>
        <v>18</v>
      </c>
      <c r="H19" s="6" t="str">
        <f>IFERROR(__xludf.DUMMYFUNCTION("GOOGLETRANSLATE(B19, ""en"", ""fr"")"),"Comment s'appelle le système de notation utilisé au Jai Alai professionnel aux États-Unis, conçu pour les paris ?")</f>
        <v>Comment s'appelle le système de notation utilisé au Jai Alai professionnel aux États-Unis, conçu pour les paris ?</v>
      </c>
      <c r="I19" s="6" t="str">
        <f>IFERROR(__xludf.DUMMYFUNCTION("GOOGLETRANSLATE(C19, ""en"", ""fr"")"),"A) Le système Round Robin, B) Le système américain, C) Le système Quiniela, D) Le système du spectateur")</f>
        <v>A) Le système Round Robin, B) Le système américain, C) Le système Quiniela, D) Le système du spectateur</v>
      </c>
      <c r="J19" s="6" t="str">
        <f>IFERROR(__xludf.DUMMYFUNCTION("GOOGLETRANSLATE(D19, ""en"", ""fr"")"),"C) La Quiniela")</f>
        <v>C) La Quiniela</v>
      </c>
      <c r="K19" s="6" t="str">
        <f>IFERROR(__xludf.DUMMYFUNCTION("GOOGLETRANSLATE(E19, ""en"", ""fr"")"),"La quiniela est un système de rotation rapide où 8 équipes ou joueurs s'affrontent, et les spectateurs parient sur les deux qui termineront premier et deuxième.")</f>
        <v>La quiniela est un système de rotation rapide où 8 équipes ou joueurs s'affrontent, et les spectateurs parient sur les deux qui termineront premier et deuxième.</v>
      </c>
    </row>
    <row r="20" ht="22.5" customHeight="1">
      <c r="A20" s="4">
        <v>19.0</v>
      </c>
      <c r="B20" s="5" t="s">
        <v>1006</v>
      </c>
      <c r="C20" s="5" t="s">
        <v>1007</v>
      </c>
      <c r="D20" s="5" t="s">
        <v>1008</v>
      </c>
      <c r="E20" s="5" t="s">
        <v>1009</v>
      </c>
      <c r="G20" s="6" t="str">
        <f>IFERROR(__xludf.DUMMYFUNCTION("GOOGLETRANSLATE(A20, ""en"", ""fr"")"),"19")</f>
        <v>19</v>
      </c>
      <c r="H20" s="6" t="str">
        <f>IFERROR(__xludf.DUMMYFUNCTION("GOOGLETRANSLATE(B20, ""en"", ""fr"")"),"Comment s'appelle la pagaie en bois massif utilisée dans plusieurs variantes de ce sport ?")</f>
        <v>Comment s'appelle la pagaie en bois massif utilisée dans plusieurs variantes de ce sport ?</v>
      </c>
      <c r="I20" s="6" t="str">
        <f>IFERROR(__xludf.DUMMYFUNCTION("GOOGLETRANSLATE(C20, ""en"", ""fr"")"),"A) La Chistera, B) La Pala, C) La Xare, D) La Bate")</f>
        <v>A) La Chistera, B) La Pala, C) La Xare, D) La Bate</v>
      </c>
      <c r="J20" s="6" t="str">
        <f>IFERROR(__xludf.DUMMYFUNCTION("GOOGLETRANSLATE(D20, ""en"", ""fr"")"),"B) Le Pala")</f>
        <v>B) Le Pala</v>
      </c>
      <c r="K20" s="6" t="str">
        <f>IFERROR(__xludf.DUMMYFUNCTION("GOOGLETRANSLATE(E20, ""en"", ""fr"")"),"Le Pala est une raquette en bois puissante, semblable à une batte, utilisée pour frapper la balle avec une grande force.")</f>
        <v>Le Pala est une raquette en bois puissante, semblable à une batte, utilisée pour frapper la balle avec une grande force.</v>
      </c>
    </row>
    <row r="21" ht="22.5" customHeight="1">
      <c r="A21" s="4">
        <v>20.0</v>
      </c>
      <c r="B21" s="5" t="s">
        <v>1010</v>
      </c>
      <c r="C21" s="5" t="s">
        <v>1011</v>
      </c>
      <c r="D21" s="5" t="s">
        <v>1012</v>
      </c>
      <c r="E21" s="5" t="s">
        <v>1013</v>
      </c>
      <c r="G21" s="6" t="str">
        <f>IFERROR(__xludf.DUMMYFUNCTION("GOOGLETRANSLATE(A21, ""en"", ""fr"")"),"20")</f>
        <v>20</v>
      </c>
      <c r="H21" s="6" t="str">
        <f>IFERROR(__xludf.DUMMYFUNCTION("GOOGLETRANSLATE(B21, ""en"", ""fr"")"),"Comment appelle-t-on un point à la pelote basque ?")</f>
        <v>Comment appelle-t-on un point à la pelote basque ?</v>
      </c>
      <c r="I21" s="6" t="str">
        <f>IFERROR(__xludf.DUMMYFUNCTION("GOOGLETRANSLATE(C21, ""en"", ""fr"")"),"A) Un point, B) Un but, C) Un tanto, D) Un score")</f>
        <v>A) Un point, B) Un but, C) Un tanto, D) Un score</v>
      </c>
      <c r="J21" s="6" t="str">
        <f>IFERROR(__xludf.DUMMYFUNCTION("GOOGLETRANSLATE(D21, ""en"", ""fr"")"),"C) Un tanto")</f>
        <v>C) Un tanto</v>
      </c>
      <c r="K21" s="6" t="str">
        <f>IFERROR(__xludf.DUMMYFUNCTION("GOOGLETRANSLATE(E21, ""en"", ""fr"")"),"Le mot espagnol « tanto » est le terme traditionnel désignant un point marqué lors d'un match.")</f>
        <v>Le mot espagnol « tanto » est le terme traditionnel désignant un point marqué lors d'un match.</v>
      </c>
    </row>
    <row r="22" ht="22.5" customHeight="1">
      <c r="A22" s="4">
        <v>21.0</v>
      </c>
      <c r="B22" s="5" t="s">
        <v>1014</v>
      </c>
      <c r="C22" s="5" t="s">
        <v>1015</v>
      </c>
      <c r="D22" s="5" t="s">
        <v>1016</v>
      </c>
      <c r="E22" s="5" t="s">
        <v>1017</v>
      </c>
      <c r="G22" s="6" t="str">
        <f>IFERROR(__xludf.DUMMYFUNCTION("GOOGLETRANSLATE(A22, ""en"", ""fr"")"),"21")</f>
        <v>21</v>
      </c>
      <c r="H22" s="6" t="str">
        <f>IFERROR(__xludf.DUMMYFUNCTION("GOOGLETRANSLATE(B22, ""en"", ""fr"")"),"Quel est le matériau principal de la chistera ?")</f>
        <v>Quel est le matériau principal de la chistera ?</v>
      </c>
      <c r="I22" s="6" t="str">
        <f>IFERROR(__xludf.DUMMYFUNCTION("GOOGLETRANSLATE(C22, ""en"", ""fr"")"),"A) Plastique et nylon, B) Bois courbé (frêne ou châtaignier) et osier tressé, C) Métal et cuir, D) Fibre de carbone")</f>
        <v>A) Plastique et nylon, B) Bois courbé (frêne ou châtaignier) et osier tressé, C) Métal et cuir, D) Fibre de carbone</v>
      </c>
      <c r="J22" s="6" t="str">
        <f>IFERROR(__xludf.DUMMYFUNCTION("GOOGLETRANSLATE(D22, ""en"", ""fr"")"),"B) Bois courbé (frêne ou châtaignier) et osier tressé")</f>
        <v>B) Bois courbé (frêne ou châtaignier) et osier tressé</v>
      </c>
      <c r="K22" s="6" t="str">
        <f>IFERROR(__xludf.DUMMYFUNCTION("GOOGLETRANSLATE(E22, ""en"", ""fr"")"),"La chistera est un chef-d'œuvre d'artisanat, traditionnellement tissée à la main en osier sur une armature en bois courbée à la vapeur.")</f>
        <v>La chistera est un chef-d'œuvre d'artisanat, traditionnellement tissée à la main en osier sur une armature en bois courbée à la vapeur.</v>
      </c>
    </row>
    <row r="23" ht="22.5" customHeight="1">
      <c r="A23" s="4">
        <v>22.0</v>
      </c>
      <c r="B23" s="5" t="s">
        <v>1018</v>
      </c>
      <c r="C23" s="5" t="s">
        <v>1019</v>
      </c>
      <c r="D23" s="5" t="s">
        <v>1020</v>
      </c>
      <c r="E23" s="5" t="s">
        <v>1021</v>
      </c>
      <c r="G23" s="6" t="str">
        <f>IFERROR(__xludf.DUMMYFUNCTION("GOOGLETRANSLATE(A23, ""en"", ""fr"")"),"22")</f>
        <v>22</v>
      </c>
      <c r="H23" s="6" t="str">
        <f>IFERROR(__xludf.DUMMYFUNCTION("GOOGLETRANSLATE(B23, ""en"", ""fr"")"),"Quelle est la hauteur du mur frontal d'un terrain standard de 36 mètres ?")</f>
        <v>Quelle est la hauteur du mur frontal d'un terrain standard de 36 mètres ?</v>
      </c>
      <c r="I23" s="6" t="str">
        <f>IFERROR(__xludf.DUMMYFUNCTION("GOOGLETRANSLATE(C23, ""en"", ""fr"")"),"A) 8 mètres, B) 9 mètres, C) 10 mètres, D) 12 mètres")</f>
        <v>A) 8 mètres, B) 9 mètres, C) 10 mètres, D) 12 mètres</v>
      </c>
      <c r="J23" s="6" t="str">
        <f>IFERROR(__xludf.DUMMYFUNCTION("GOOGLETRANSLATE(D23, ""en"", ""fr"")"),"C) 10 mètres")</f>
        <v>C) 10 mètres</v>
      </c>
      <c r="K23" s="6" t="str">
        <f>IFERROR(__xludf.DUMMYFUNCTION("GOOGLETRANSLATE(E23, ""en"", ""fr"")"),"Le mur frontal doit mesurer 10 mètres de haut et 10 mètres de large, offrant ainsi une cible large et standardisée aux joueurs.")</f>
        <v>Le mur frontal doit mesurer 10 mètres de haut et 10 mètres de large, offrant ainsi une cible large et standardisée aux joueurs.</v>
      </c>
    </row>
    <row r="24" ht="22.5" customHeight="1">
      <c r="A24" s="4">
        <v>23.0</v>
      </c>
      <c r="B24" s="5" t="s">
        <v>1022</v>
      </c>
      <c r="C24" s="5" t="s">
        <v>1023</v>
      </c>
      <c r="D24" s="5" t="s">
        <v>1024</v>
      </c>
      <c r="E24" s="5" t="s">
        <v>1025</v>
      </c>
      <c r="G24" s="6" t="str">
        <f>IFERROR(__xludf.DUMMYFUNCTION("GOOGLETRANSLATE(A24, ""en"", ""fr"")"),"23")</f>
        <v>23</v>
      </c>
      <c r="H24" s="6" t="str">
        <f>IFERROR(__xludf.DUMMYFUNCTION("GOOGLETRANSLATE(B24, ""en"", ""fr"")"),"Quelle est une caractéristique essentielle d'un terrain à trinquets que l'on ne retrouve pas dans un fronton standard ?")</f>
        <v>Quelle est une caractéristique essentielle d'un terrain à trinquets que l'on ne retrouve pas dans un fronton standard ?</v>
      </c>
      <c r="I24" s="6" t="str">
        <f>IFERROR(__xludf.DUMMYFUNCTION("GOOGLETRANSLATE(C24, ""en"", ""fr"")"),"A) Un mur du fond, B) Un toit, C) Une galerie inclinée ou « penthouse » (tambour) le long d'un mur, D) Un filet")</f>
        <v>A) Un mur du fond, B) Un toit, C) Une galerie inclinée ou « penthouse » (tambour) le long d'un mur, D) Un filet</v>
      </c>
      <c r="J24" s="6" t="str">
        <f>IFERROR(__xludf.DUMMYFUNCTION("GOOGLETRANSLATE(D24, ""en"", ""fr"")"),"C) Une galerie en pente ou « penthouse » (tambor) le long d'un mur")</f>
        <v>C) Une galerie en pente ou « penthouse » (tambor) le long d'un mur</v>
      </c>
      <c r="K24" s="6" t="str">
        <f>IFERROR(__xludf.DUMMYFUNCTION("GOOGLETRANSLATE(E24, ""en"", ""fr"")"),"Le toit incliné ou la galerie constituent une surface de jeu active, ajoutant un élément complexe et imprévisible au jeu.")</f>
        <v>Le toit incliné ou la galerie constituent une surface de jeu active, ajoutant un élément complexe et imprévisible au jeu.</v>
      </c>
    </row>
    <row r="25" ht="22.5" customHeight="1">
      <c r="A25" s="4">
        <v>24.0</v>
      </c>
      <c r="B25" s="5" t="s">
        <v>1026</v>
      </c>
      <c r="C25" s="5" t="s">
        <v>1027</v>
      </c>
      <c r="D25" s="5" t="s">
        <v>1028</v>
      </c>
      <c r="E25" s="5" t="s">
        <v>1029</v>
      </c>
      <c r="G25" s="6" t="str">
        <f>IFERROR(__xludf.DUMMYFUNCTION("GOOGLETRANSLATE(A25, ""en"", ""fr"")"),"24")</f>
        <v>24</v>
      </c>
      <c r="H25" s="6" t="str">
        <f>IFERROR(__xludf.DUMMYFUNCTION("GOOGLETRANSLATE(B25, ""en"", ""fr"")"),"Quelle est la règle si une balle touche la ligne entre le mur frontal et le sol ?")</f>
        <v>Quelle est la règle si une balle touche la ligne entre le mur frontal et le sol ?</v>
      </c>
      <c r="I25" s="6" t="str">
        <f>IFERROR(__xludf.DUMMYFUNCTION("GOOGLETRANSLATE(C25, ""en"", ""fr"")"),"A) Coup légal, B) Faute (falta), le joueur qui a commis la faute perd le point, C) Le point est rejoué, D) Choix de l'adversaire")</f>
        <v>A) Coup légal, B) Faute (falta), le joueur qui a commis la faute perd le point, C) Le point est rejoué, D) Choix de l'adversaire</v>
      </c>
      <c r="J25" s="6" t="str">
        <f>IFERROR(__xludf.DUMMYFUNCTION("GOOGLETRANSLATE(D25, ""en"", ""fr"")"),"B) C'est une faute (falta), et le joueur qui l'a commise perd le point.")</f>
        <v>B) C'est une faute (falta), et le joueur qui l'a commise perd le point.</v>
      </c>
      <c r="K25" s="6" t="str">
        <f>IFERROR(__xludf.DUMMYFUNCTION("GOOGLETRANSLATE(E25, ""en"", ""fr"")"),"La balle doit toucher le mur frontal nettement au-dessus de la ligne de sol. Toucher la ligne de jonction entre le mur et le sol constitue une faute.")</f>
        <v>La balle doit toucher le mur frontal nettement au-dessus de la ligne de sol. Toucher la ligne de jonction entre le mur et le sol constitue une faute.</v>
      </c>
    </row>
    <row r="26" ht="22.5" customHeight="1">
      <c r="A26" s="4">
        <v>25.0</v>
      </c>
      <c r="B26" s="5" t="s">
        <v>1030</v>
      </c>
      <c r="C26" s="5" t="s">
        <v>1031</v>
      </c>
      <c r="D26" s="5" t="s">
        <v>1032</v>
      </c>
      <c r="E26" s="5" t="s">
        <v>1033</v>
      </c>
      <c r="G26" s="6" t="str">
        <f>IFERROR(__xludf.DUMMYFUNCTION("GOOGLETRANSLATE(A26, ""en"", ""fr"")"),"25")</f>
        <v>25</v>
      </c>
      <c r="H26" s="6" t="str">
        <f>IFERROR(__xludf.DUMMYFUNCTION("GOOGLETRANSLATE(B26, ""en"", ""fr"")"),"Comment appelle-t-on le service à Pelota ?")</f>
        <v>Comment appelle-t-on le service à Pelota ?</v>
      </c>
      <c r="I26" s="6" t="str">
        <f>IFERROR(__xludf.DUMMYFUNCTION("GOOGLETRANSLATE(C26, ""en"", ""fr"")"),"A) Le lancer, B) Le lancement, C) La saque, D) Le jet")</f>
        <v>A) Le lancer, B) Le lancement, C) La saque, D) Le jet</v>
      </c>
      <c r="J26" s="6" t="str">
        <f>IFERROR(__xludf.DUMMYFUNCTION("GOOGLETRANSLATE(D26, ""en"", ""fr"")"),"C) La saque")</f>
        <v>C) La saque</v>
      </c>
      <c r="K26" s="6" t="str">
        <f>IFERROR(__xludf.DUMMYFUNCTION("GOOGLETRANSLATE(E26, ""en"", ""fr"")"),"Le saque est le mot espagnol pour le service, le premier coup de chaque point.")</f>
        <v>Le saque est le mot espagnol pour le service, le premier coup de chaque point.</v>
      </c>
    </row>
    <row r="27" ht="22.5" customHeight="1">
      <c r="A27" s="4">
        <v>26.0</v>
      </c>
      <c r="B27" s="5" t="s">
        <v>1034</v>
      </c>
      <c r="C27" s="5" t="s">
        <v>1035</v>
      </c>
      <c r="D27" s="5" t="s">
        <v>1036</v>
      </c>
      <c r="E27" s="5" t="s">
        <v>1037</v>
      </c>
      <c r="G27" s="6" t="str">
        <f>IFERROR(__xludf.DUMMYFUNCTION("GOOGLETRANSLATE(A27, ""en"", ""fr"")"),"26")</f>
        <v>26</v>
      </c>
      <c r="H27" s="6" t="str">
        <f>IFERROR(__xludf.DUMMYFUNCTION("GOOGLETRANSLATE(B27, ""en"", ""fr"")"),"Combien de fois la balle est-elle autorisée à rebondir sur le sol avant de devoir être renvoyée ?")</f>
        <v>Combien de fois la balle est-elle autorisée à rebondir sur le sol avant de devoir être renvoyée ?</v>
      </c>
      <c r="I27" s="6" t="str">
        <f>IFERROR(__xludf.DUMMYFUNCTION("GOOGLETRANSLATE(C27, ""en"", ""fr"")"),"A) Zéro, B) Un, C) Deux, D) Autant que nécessaire")</f>
        <v>A) Zéro, B) Un, C) Deux, D) Autant que nécessaire</v>
      </c>
      <c r="J27" s="6" t="str">
        <f>IFERROR(__xludf.DUMMYFUNCTION("GOOGLETRANSLATE(D27, ""en"", ""fr"")"),"Os")</f>
        <v>Os</v>
      </c>
      <c r="K27" s="6" t="str">
        <f>IFERROR(__xludf.DUMMYFUNCTION("GOOGLETRANSLATE(E27, ""en"", ""fr"")"),"Comme au squash ou au tennis, la balle ne peut rebondir qu'une seule fois sur le sol avant d'être jouée.")</f>
        <v>Comme au squash ou au tennis, la balle ne peut rebondir qu'une seule fois sur le sol avant d'être jouée.</v>
      </c>
    </row>
    <row r="28" ht="22.5" customHeight="1">
      <c r="A28" s="4">
        <v>27.0</v>
      </c>
      <c r="B28" s="5" t="s">
        <v>1038</v>
      </c>
      <c r="C28" s="5" t="s">
        <v>1039</v>
      </c>
      <c r="D28" s="5" t="s">
        <v>1040</v>
      </c>
      <c r="E28" s="5" t="s">
        <v>1041</v>
      </c>
      <c r="G28" s="6" t="str">
        <f>IFERROR(__xludf.DUMMYFUNCTION("GOOGLETRANSLATE(A28, ""en"", ""fr"")"),"27")</f>
        <v>27</v>
      </c>
      <c r="H28" s="6" t="str">
        <f>IFERROR(__xludf.DUMMYFUNCTION("GOOGLETRANSLATE(B28, ""en"", ""fr"")"),"Quel est le rôle du mur arrière (rebote) dans un fronton à trois murs ?")</f>
        <v>Quel est le rôle du mur arrière (rebote) dans un fronton à trois murs ?</v>
      </c>
      <c r="I28" s="6" t="str">
        <f>IFERROR(__xludf.DUMMYFUNCTION("GOOGLETRANSLATE(C28, ""en"", ""fr"")"),"A) C'est hors limites, B) C'est une surface de jeu active sur laquelle la balle peut être jouée légalement, C) C'est là que se trouve le tableau d'affichage, D) C'est pour les spectateurs")</f>
        <v>A) C'est hors limites, B) C'est une surface de jeu active sur laquelle la balle peut être jouée légalement, C) C'est là que se trouve le tableau d'affichage, D) C'est pour les spectateurs</v>
      </c>
      <c r="J28" s="6" t="str">
        <f>IFERROR(__xludf.DUMMYFUNCTION("GOOGLETRANSLATE(D28, ""en"", ""fr"")"),"B) Il s'agit d'une surface de jeu active sur laquelle la balle peut être jouée légalement.")</f>
        <v>B) Il s'agit d'une surface de jeu active sur laquelle la balle peut être jouée légalement.</v>
      </c>
      <c r="K28" s="6" t="str">
        <f>IFERROR(__xludf.DUMMYFUNCTION("GOOGLETRANSLATE(E28, ""en"", ""fr"")"),"Le mur du fond ajoute un élément stratégique complexe, permettant de longs échanges et différents types de coups qui rebondissent vers le mur avant.")</f>
        <v>Le mur du fond ajoute un élément stratégique complexe, permettant de longs échanges et différents types de coups qui rebondissent vers le mur avant.</v>
      </c>
    </row>
    <row r="29" ht="22.5" customHeight="1">
      <c r="A29" s="4">
        <v>28.0</v>
      </c>
      <c r="B29" s="5" t="s">
        <v>1042</v>
      </c>
      <c r="C29" s="5" t="s">
        <v>1043</v>
      </c>
      <c r="D29" s="5" t="s">
        <v>1044</v>
      </c>
      <c r="E29" s="5" t="s">
        <v>1045</v>
      </c>
      <c r="G29" s="6" t="str">
        <f>IFERROR(__xludf.DUMMYFUNCTION("GOOGLETRANSLATE(A29, ""en"", ""fr"")"),"28")</f>
        <v>28</v>
      </c>
      <c r="H29" s="6" t="str">
        <f>IFERROR(__xludf.DUMMYFUNCTION("GOOGLETRANSLATE(B29, ""en"", ""fr"")"),"Quel est le terme désignant un match en simple face à face ?")</f>
        <v>Quel est le terme désignant un match en simple face à face ?</v>
      </c>
      <c r="I29" s="6" t="str">
        <f>IFERROR(__xludf.DUMMYFUNCTION("GOOGLETRANSLATE(C29, ""en"", ""fr"")"),"A) Un partido, B) Une quiniela, C) Un mano a mano, D) Un duelo")</f>
        <v>A) Un partido, B) Une quiniela, C) Un mano a mano, D) Un duelo</v>
      </c>
      <c r="J29" s="6" t="str">
        <f>IFERROR(__xludf.DUMMYFUNCTION("GOOGLETRANSLATE(D29, ""en"", ""fr"")"),"C) A mano a mano")</f>
        <v>C) A mano a mano</v>
      </c>
      <c r="K29" s="6" t="str">
        <f>IFERROR(__xludf.DUMMYFUNCTION("GOOGLETRANSLATE(E29, ""en"", ""fr"")"),"Mano a mano (« main à main ») est le terme désignant un match en simple, l'épreuve ultime du talent d'un pelotari.")</f>
        <v>Mano a mano (« main à main ») est le terme désignant un match en simple, l'épreuve ultime du talent d'un pelotari.</v>
      </c>
    </row>
    <row r="30" ht="22.5" customHeight="1">
      <c r="A30" s="4">
        <v>29.0</v>
      </c>
      <c r="B30" s="5" t="s">
        <v>1046</v>
      </c>
      <c r="C30" s="5" t="s">
        <v>1047</v>
      </c>
      <c r="D30" s="5" t="s">
        <v>1048</v>
      </c>
      <c r="E30" s="5" t="s">
        <v>1049</v>
      </c>
      <c r="G30" s="6" t="str">
        <f>IFERROR(__xludf.DUMMYFUNCTION("GOOGLETRANSLATE(A30, ""en"", ""fr"")"),"29")</f>
        <v>29</v>
      </c>
      <c r="H30" s="6" t="str">
        <f>IFERROR(__xludf.DUMMYFUNCTION("GOOGLETRANSLATE(B30, ""en"", ""fr"")"),"Pourquoi le mur de gauche (pared izquierda) est-il une caractéristique standard, mais pas le mur de droite ?")</f>
        <v>Pourquoi le mur de gauche (pared izquierda) est-il une caractéristique standard, mais pas le mur de droite ?</v>
      </c>
      <c r="I30" s="6" t="str">
        <f>IFERROR(__xludf.DUMMYFUNCTION("GOOGLETRANSLATE(C30, ""en"", ""fr"")"),"A) C'est une tradition sans raison, B) Pour permettre aux joueurs droitiers de jouer leur coup droit naturel, C) Construire un mur à droite coûte trop cher, D) Un mur à droite rendrait le jeu trop facile")</f>
        <v>A) C'est une tradition sans raison, B) Pour permettre aux joueurs droitiers de jouer leur coup droit naturel, C) Construire un mur à droite coûte trop cher, D) Un mur à droite rendrait le jeu trop facile</v>
      </c>
      <c r="J30" s="6" t="str">
        <f>IFERROR(__xludf.DUMMYFUNCTION("GOOGLETRANSLATE(D30, ""en"", ""fr"")"),"B) Pour permettre aux joueurs droitiers de jouer leur coup droit naturel")</f>
        <v>B) Pour permettre aux joueurs droitiers de jouer leur coup droit naturel</v>
      </c>
      <c r="K30" s="6" t="str">
        <f>IFERROR(__xludf.DUMMYFUNCTION("GOOGLETRANSLATE(E30, ""en"", ""fr"")"),"Le côté droit du court, ouvert, permet à la majorité des joueurs, qui sont droitiers, de frapper librement sans heurter un mur.")</f>
        <v>Le côté droit du court, ouvert, permet à la majorité des joueurs, qui sont droitiers, de frapper librement sans heurter un mur.</v>
      </c>
    </row>
    <row r="31" ht="22.5" customHeight="1">
      <c r="A31" s="4">
        <v>30.0</v>
      </c>
      <c r="B31" s="5" t="s">
        <v>1050</v>
      </c>
      <c r="C31" s="5" t="s">
        <v>1051</v>
      </c>
      <c r="D31" s="5" t="s">
        <v>1052</v>
      </c>
      <c r="E31" s="5" t="s">
        <v>1053</v>
      </c>
      <c r="G31" s="6" t="str">
        <f>IFERROR(__xludf.DUMMYFUNCTION("GOOGLETRANSLATE(A31, ""en"", ""fr"")"),"30")</f>
        <v>30</v>
      </c>
      <c r="H31" s="6" t="str">
        <f>IFERROR(__xludf.DUMMYFUNCTION("GOOGLETRANSLATE(B31, ""en"", ""fr"")"),"Qu'est-ce que le « frontball » ?")</f>
        <v>Qu'est-ce que le « frontball » ?</v>
      </c>
      <c r="I31" s="6" t="str">
        <f>IFERROR(__xludf.DUMMYFUNCTION("GOOGLETRANSLATE(C31, ""en"", ""fr"")"),"A) Un ancien nom de la pelote basque, B) Une version moderne et simplifiée de la pelote basque jouée avec une simple balle contre un mur, C) Le nom du service, D) Un type de terrain de jeu")</f>
        <v>A) Un ancien nom de la pelote basque, B) Une version moderne et simplifiée de la pelote basque jouée avec une simple balle contre un mur, C) Le nom du service, D) Un type de terrain de jeu</v>
      </c>
      <c r="J31" s="6" t="str">
        <f>IFERROR(__xludf.DUMMYFUNCTION("GOOGLETRANSLATE(D31, ""en"", ""fr"")"),"B) Une version moderne et simplifiée de la pelote basque, jouée avec une simple balle contre un mur.")</f>
        <v>B) Une version moderne et simplifiée de la pelote basque, jouée avec une simple balle contre un mur.</v>
      </c>
      <c r="K31" s="6" t="str">
        <f>IFERROR(__xludf.DUMMYFUNCTION("GOOGLETRANSLATE(E31, ""en"", ""fr"")"),"Le frontball est une nouvelle version accessible du jeu, promue par la FIPV pour diffuser ce sport dans le monde entier, car elle ne nécessite pas de terrain formel.")</f>
        <v>Le frontball est une nouvelle version accessible du jeu, promue par la FIPV pour diffuser ce sport dans le monde entier, car elle ne nécessite pas de terrain formel.</v>
      </c>
    </row>
    <row r="32" ht="22.5" customHeight="1">
      <c r="A32" s="4">
        <v>31.0</v>
      </c>
      <c r="B32" s="5" t="s">
        <v>1054</v>
      </c>
      <c r="C32" s="5" t="s">
        <v>1055</v>
      </c>
      <c r="D32" s="5" t="s">
        <v>1056</v>
      </c>
      <c r="E32" s="5" t="s">
        <v>1057</v>
      </c>
      <c r="G32" s="6" t="str">
        <f>IFERROR(__xludf.DUMMYFUNCTION("GOOGLETRANSLATE(A32, ""en"", ""fr"")"),"31")</f>
        <v>31</v>
      </c>
      <c r="H32" s="6" t="str">
        <f>IFERROR(__xludf.DUMMYFUNCTION("GOOGLETRANSLATE(B32, ""en"", ""fr"")"),"Dans le système de paris quiniela, sur quoi parient les spectateurs ?")</f>
        <v>Dans le système de paris quiniela, sur quoi parient les spectateurs ?</v>
      </c>
      <c r="I32" s="6" t="str">
        <f>IFERROR(__xludf.DUMMYFUNCTION("GOOGLETRANSLATE(C32, ""en"", ""fr"")"),"A) Le score final du match, B) Le joueur qui réalisera le coup le plus rapide, C) Les joueurs ou équipes qui termineront premier et deuxième, D) Le nombre de manches que durera le match")</f>
        <v>A) Le score final du match, B) Le joueur qui réalisera le coup le plus rapide, C) Les joueurs ou équipes qui termineront premier et deuxième, D) Le nombre de manches que durera le match</v>
      </c>
      <c r="J32" s="6" t="str">
        <f>IFERROR(__xludf.DUMMYFUNCTION("GOOGLETRANSLATE(D32, ""en"", ""fr"")"),"C) Les joueurs ou les équipes qui termineront à la première et à la deuxième place")</f>
        <v>C) Les joueurs ou les équipes qui termineront à la première et à la deuxième place</v>
      </c>
      <c r="K32" s="6" t="str">
        <f>IFERROR(__xludf.DUMMYFUNCTION("GOOGLETRANSLATE(E32, ""en"", ""fr"")"),"Le quiniela est un système de pari mutuel classique dont le but est de prédire les deux premiers à terminer (le «gagnant» et le «placé») du match.")</f>
        <v>Le quiniela est un système de pari mutuel classique dont le but est de prédire les deux premiers à terminer (le «gagnant» et le «placé») du match.</v>
      </c>
    </row>
    <row r="33" ht="22.5" customHeight="1">
      <c r="A33" s="4">
        <v>32.0</v>
      </c>
      <c r="B33" s="5" t="s">
        <v>1058</v>
      </c>
      <c r="C33" s="5" t="s">
        <v>1059</v>
      </c>
      <c r="D33" s="5" t="s">
        <v>1060</v>
      </c>
      <c r="E33" s="5" t="s">
        <v>1061</v>
      </c>
      <c r="G33" s="6" t="str">
        <f>IFERROR(__xludf.DUMMYFUNCTION("GOOGLETRANSLATE(A33, ""en"", ""fr"")"),"32")</f>
        <v>32</v>
      </c>
      <c r="H33" s="6" t="str">
        <f>IFERROR(__xludf.DUMMYFUNCTION("GOOGLETRANSLATE(B33, ""en"", ""fr"")"),"Quelle est la principale raison pour laquelle les joueurs de main nue (mains nues) ont les mains fortement bandées ?")</f>
        <v>Quelle est la principale raison pour laquelle les joueurs de main nue (mains nues) ont les mains fortement bandées ?</v>
      </c>
      <c r="I33" s="6" t="str">
        <f>IFERROR(__xludf.DUMMYFUNCTION("GOOGLETRANSLATE(C33, ""en"", ""fr"")"),"A) Pour une meilleure prise sur le ballon, B) Pour soutenir et protéger les os de la main, C) C'est une méthode illégale pour endurcir la main, D) C'est purement décoratif")</f>
        <v>A) Pour une meilleure prise sur le ballon, B) Pour soutenir et protéger les os de la main, C) C'est une méthode illégale pour endurcir la main, D) C'est purement décoratif</v>
      </c>
      <c r="J33" s="6" t="str">
        <f>IFERROR(__xludf.DUMMYFUNCTION("GOOGLETRANSLATE(D33, ""en"", ""fr"")"),"B) Pour soutenir et protéger les os de la main")</f>
        <v>B) Pour soutenir et protéger les os de la main</v>
      </c>
      <c r="K33" s="6" t="str">
        <f>IFERROR(__xludf.DUMMYFUNCTION("GOOGLETRANSLATE(E33, ""en"", ""fr"")"),"Les joueurs utilisent un bandage spécifique en plusieurs couches (tacos) pour protéger leurs mains des impacts immenses et répétitifs de la frappe de la balle dure.")</f>
        <v>Les joueurs utilisent un bandage spécifique en plusieurs couches (tacos) pour protéger leurs mains des impacts immenses et répétitifs de la frappe de la balle dure.</v>
      </c>
    </row>
    <row r="34" ht="22.5" customHeight="1">
      <c r="A34" s="4">
        <v>33.0</v>
      </c>
      <c r="B34" s="5" t="s">
        <v>1062</v>
      </c>
      <c r="C34" s="5" t="s">
        <v>1063</v>
      </c>
      <c r="D34" s="5" t="s">
        <v>1064</v>
      </c>
      <c r="E34" s="5" t="s">
        <v>1065</v>
      </c>
      <c r="G34" s="6" t="str">
        <f>IFERROR(__xludf.DUMMYFUNCTION("GOOGLETRANSLATE(A34, ""en"", ""fr"")"),"33")</f>
        <v>33</v>
      </c>
      <c r="H34" s="6" t="str">
        <f>IFERROR(__xludf.DUMMYFUNCTION("GOOGLETRANSLATE(B34, ""en"", ""fr"")"),"Qu'est-ce qu'une cortada ?")</f>
        <v>Qu'est-ce qu'une cortada ?</v>
      </c>
      <c r="I34" s="6" t="str">
        <f>IFERROR(__xludf.DUMMYFUNCTION("GOOGLETRANSLATE(C34, ""en"", ""fr"")"),"A) Un type de service, B) Un coup défensif, C) Un coup offensif frappé avec un effet coupé ou slicé pour l'arrêter rapidement, D) Le nom du mur du fond")</f>
        <v>A) Un type de service, B) Un coup défensif, C) Un coup offensif frappé avec un effet coupé ou slicé pour l'arrêter rapidement, D) Le nom du mur du fond</v>
      </c>
      <c r="J34" s="6" t="str">
        <f>IFERROR(__xludf.DUMMYFUNCTION("GOOGLETRANSLATE(D34, ""en"", ""fr"")"),"C) Un tir offensif frappé d'un « coup » ou d'un « tranchage » pour l'arrêter rapidement.")</f>
        <v>C) Un tir offensif frappé d'un « coup » ou d'un « tranchage » pour l'arrêter rapidement.</v>
      </c>
      <c r="K34" s="6" t="str">
        <f>IFERROR(__xludf.DUMMYFUNCTION("GOOGLETRANSLATE(E34, ""en"", ""fr"")"),"La cortada est un coup d'attaque habile, semblable à un ""amorti"" au tennis, conçu pour rebondir bas et loin de l'adversaire.")</f>
        <v>La cortada est un coup d'attaque habile, semblable à un "amorti" au tennis, conçu pour rebondir bas et loin de l'adversaire.</v>
      </c>
    </row>
    <row r="35" ht="22.5" customHeight="1">
      <c r="A35" s="4">
        <v>34.0</v>
      </c>
      <c r="B35" s="5" t="s">
        <v>1066</v>
      </c>
      <c r="C35" s="5" t="s">
        <v>1067</v>
      </c>
      <c r="D35" s="5" t="s">
        <v>1068</v>
      </c>
      <c r="E35" s="5" t="s">
        <v>1069</v>
      </c>
      <c r="G35" s="6" t="str">
        <f>IFERROR(__xludf.DUMMYFUNCTION("GOOGLETRANSLATE(A35, ""en"", ""fr"")"),"34")</f>
        <v>34</v>
      </c>
      <c r="H35" s="6" t="str">
        <f>IFERROR(__xludf.DUMMYFUNCTION("GOOGLETRANSLATE(B35, ""en"", ""fr"")"),"Pourquoi le sol d'un fronton de pelote basque professionnel est-il souvent en béton ou en granit ?")</f>
        <v>Pourquoi le sol d'un fronton de pelote basque professionnel est-il souvent en béton ou en granit ?</v>
      </c>
      <c r="I35" s="6" t="str">
        <f>IFERROR(__xludf.DUMMYFUNCTION("GOOGLETRANSLATE(C35, ""en"", ""fr"")"),"A) Il est bon marché, B) Il offre un rebond très rapide et régulier pour la balle dure, C) Il est traditionnel, D) Il est facile à nettoyer")</f>
        <v>A) Il est bon marché, B) Il offre un rebond très rapide et régulier pour la balle dure, C) Il est traditionnel, D) Il est facile à nettoyer</v>
      </c>
      <c r="J35" s="6" t="str">
        <f>IFERROR(__xludf.DUMMYFUNCTION("GOOGLETRANSLATE(D35, ""en"", ""fr"")"),"B) Il assure un rebond très rapide et régulier pour la balle dure")</f>
        <v>B) Il assure un rebond très rapide et régulier pour la balle dure</v>
      </c>
      <c r="K35" s="6" t="str">
        <f>IFERROR(__xludf.DUMMYFUNCTION("GOOGLETRANSLATE(E35, ""en"", ""fr"")"),"La surface dure et lisse est essentielle pour le rythme rapide et les rebonds importants propres à ce jeu.")</f>
        <v>La surface dure et lisse est essentielle pour le rythme rapide et les rebonds importants propres à ce jeu.</v>
      </c>
    </row>
    <row r="36" ht="22.5" customHeight="1">
      <c r="A36" s="4">
        <v>35.0</v>
      </c>
      <c r="B36" s="5" t="s">
        <v>1070</v>
      </c>
      <c r="C36" s="5" t="s">
        <v>1071</v>
      </c>
      <c r="D36" s="5" t="s">
        <v>1072</v>
      </c>
      <c r="E36" s="5" t="s">
        <v>1073</v>
      </c>
      <c r="G36" s="6" t="str">
        <f>IFERROR(__xludf.DUMMYFUNCTION("GOOGLETRANSLATE(A36, ""en"", ""fr"")"),"35")</f>
        <v>35</v>
      </c>
      <c r="H36" s="6" t="str">
        <f>IFERROR(__xludf.DUMMYFUNCTION("GOOGLETRANSLATE(B36, ""en"", ""fr"")"),"Qu'est-ce qu'une Pala Corta ?")</f>
        <v>Qu'est-ce qu'une Pala Corta ?</v>
      </c>
      <c r="I36" s="6" t="str">
        <f>IFERROR(__xludf.DUMMYFUNCTION("GOOGLETRANSLATE(C36, ""en"", ""fr"")"),"A) Une petite chistera, B) Une courte et épaisse raquette en bois utilisée pour frapper une balle en cuir dur, C) Une courte partie de pelote basque, D) L'avant du terrain")</f>
        <v>A) Une petite chistera, B) Une courte et épaisse raquette en bois utilisée pour frapper une balle en cuir dur, C) Une courte partie de pelote basque, D) L'avant du terrain</v>
      </c>
      <c r="J36" s="6" t="str">
        <f>IFERROR(__xludf.DUMMYFUNCTION("GOOGLETRANSLATE(D36, ""en"", ""fr"")"),"B) Une raquette en bois courte et épaisse utilisée pour frapper une balle en cuir dur")</f>
        <v>B) Une raquette en bois courte et épaisse utilisée pour frapper une balle en cuir dur</v>
      </c>
      <c r="K36" s="6" t="str">
        <f>IFERROR(__xludf.DUMMYFUNCTION("GOOGLETRANSLATE(E36, ""en"", ""fr"")"),"Pala Corta (« courte raquette ») est une modalité spécifique et puissante du jeu, populaire en Espagne et en France.")</f>
        <v>Pala Corta (« courte raquette ») est une modalité spécifique et puissante du jeu, populaire en Espagne et en France.</v>
      </c>
    </row>
    <row r="37" ht="22.5" customHeight="1">
      <c r="A37" s="4">
        <v>36.0</v>
      </c>
      <c r="B37" s="5" t="s">
        <v>1074</v>
      </c>
      <c r="C37" s="5" t="s">
        <v>1075</v>
      </c>
      <c r="D37" s="5" t="s">
        <v>1076</v>
      </c>
      <c r="E37" s="5" t="s">
        <v>1077</v>
      </c>
      <c r="G37" s="6" t="str">
        <f>IFERROR(__xludf.DUMMYFUNCTION("GOOGLETRANSLATE(A37, ""en"", ""fr"")"),"36")</f>
        <v>36</v>
      </c>
      <c r="H37" s="6" t="str">
        <f>IFERROR(__xludf.DUMMYFUNCTION("GOOGLETRANSLATE(B37, ""en"", ""fr"")"),"La Fédération internationale de pelote basque (FIPV) régit de nombreuses modalités. Combien y en a-t-il environ ?")</f>
        <v>La Fédération internationale de pelote basque (FIPV) régit de nombreuses modalités. Combien y en a-t-il environ ?</v>
      </c>
      <c r="I37" s="6" t="str">
        <f>IFERROR(__xludf.DUMMYFUNCTION("GOOGLETRANSLATE(C37, ""en"", ""fr"")"),"A) 2, B) 5, C) 14, D) 25")</f>
        <v>A) 2, B) 5, C) 14, D) 25</v>
      </c>
      <c r="J37" s="6" t="str">
        <f>IFERROR(__xludf.DUMMYFUNCTION("GOOGLETRANSLATE(D37, ""en"", ""fr"")"),"C) 14")</f>
        <v>C) 14</v>
      </c>
      <c r="K37" s="6" t="str">
        <f>IFERROR(__xludf.DUMMYFUNCTION("GOOGLETRANSLATE(E37, ""en"", ""fr"")"),"La FIPV reconnaît officiellement 14 modalités différentes, en fonction du terrain, de la balle et de l'instrument (main, raquette ou chistera) utilisé.")</f>
        <v>La FIPV reconnaît officiellement 14 modalités différentes, en fonction du terrain, de la balle et de l'instrument (main, raquette ou chistera) utilisé.</v>
      </c>
    </row>
    <row r="38" ht="22.5" customHeight="1">
      <c r="A38" s="4">
        <v>37.0</v>
      </c>
      <c r="B38" s="5" t="s">
        <v>1078</v>
      </c>
      <c r="C38" s="5" t="s">
        <v>1079</v>
      </c>
      <c r="D38" s="5" t="s">
        <v>1080</v>
      </c>
      <c r="E38" s="5" t="s">
        <v>1081</v>
      </c>
      <c r="G38" s="6" t="str">
        <f>IFERROR(__xludf.DUMMYFUNCTION("GOOGLETRANSLATE(A38, ""en"", ""fr"")"),"37")</f>
        <v>37</v>
      </c>
      <c r="H38" s="6" t="str">
        <f>IFERROR(__xludf.DUMMYFUNCTION("GOOGLETRANSLATE(B38, ""en"", ""fr"")"),"Un joueur sert, et la balle touche le mur frontal, puis rebondit sur le sol avant la ligne courte (falta). Quelle est la décision ?")</f>
        <v>Un joueur sert, et la balle touche le mur frontal, puis rebondit sur le sol avant la ligne courte (falta). Quelle est la décision ?</v>
      </c>
      <c r="I38" s="6" t="str">
        <f>IFERROR(__xludf.DUMMYFUNCTION("GOOGLETRANSLATE(C38, ""en"", ""fr"")"),"A) Un service régulier, B) Un service court, donc une faute, C) Le point est rejoué, D) Le serveur bénéficie d'un second service")</f>
        <v>A) Un service régulier, B) Un service court, donc une faute, C) Le point est rejoué, D) Le serveur bénéficie d'un second service</v>
      </c>
      <c r="J38" s="6" t="str">
        <f>IFERROR(__xludf.DUMMYFUNCTION("GOOGLETRANSLATE(D38, ""en"", ""fr"")"),"B) Un service « court », ce qui est une faute")</f>
        <v>B) Un service « court », ce qui est une faute</v>
      </c>
      <c r="K38" s="6" t="str">
        <f>IFERROR(__xludf.DUMMYFUNCTION("GOOGLETRANSLATE(E38, ""en"", ""fr"")"),"Le service est « court », et selon la plupart des règles professionnelles, une faute au service entraîne la perte du point.")</f>
        <v>Le service est « court », et selon la plupart des règles professionnelles, une faute au service entraîne la perte du point.</v>
      </c>
    </row>
    <row r="39" ht="22.5" customHeight="1">
      <c r="A39" s="4">
        <v>38.0</v>
      </c>
      <c r="B39" s="5" t="s">
        <v>1082</v>
      </c>
      <c r="C39" s="5" t="s">
        <v>1083</v>
      </c>
      <c r="D39" s="5" t="s">
        <v>594</v>
      </c>
      <c r="E39" s="5" t="s">
        <v>1084</v>
      </c>
      <c r="G39" s="6" t="str">
        <f>IFERROR(__xludf.DUMMYFUNCTION("GOOGLETRANSLATE(A39, ""en"", ""fr"")"),"38")</f>
        <v>38</v>
      </c>
      <c r="H39" s="6" t="str">
        <f>IFERROR(__xludf.DUMMYFUNCTION("GOOGLETRANSLATE(B39, ""en"", ""fr"")"),"La chemise d'un joueur se casse en plein point. Que se passe-t-il ?")</f>
        <v>La chemise d'un joueur se casse en plein point. Que se passe-t-il ?</v>
      </c>
      <c r="I39" s="6" t="str">
        <f>IFERROR(__xludf.DUMMYFUNCTION("GOOGLETRANSLATE(C39, ""en"", ""fr"")"),"A) Le joueur est disqualifié, B) Le point est immédiatement arrêté et rejoué, C) Le joueur peut tenter de continuer le point avec la chestera cassée, D) Le joueur peut aller en chercher une nouvelle")</f>
        <v>A) Le joueur est disqualifié, B) Le point est immédiatement arrêté et rejoué, C) Le joueur peut tenter de continuer le point avec la chestera cassée, D) Le joueur peut aller en chercher une nouvelle</v>
      </c>
      <c r="J39" s="6" t="str">
        <f>IFERROR(__xludf.DUMMYFUNCTION("GOOGLETRANSLATE(D39, ""en"", ""fr"")"),"B) Le point est immédiatement interrompu et rejoué.")</f>
        <v>B) Le point est immédiatement interrompu et rejoué.</v>
      </c>
      <c r="K39" s="6" t="str">
        <f>IFERROR(__xludf.DUMMYFUNCTION("GOOGLETRANSLATE(E39, ""en"", ""fr"")"),"Si l'équipement essentiel d'un joueur se brise pendant un échange en direct sans qu'il y soit pour rien, le point est généralement rejoué.")</f>
        <v>Si l'équipement essentiel d'un joueur se brise pendant un échange en direct sans qu'il y soit pour rien, le point est généralement rejoué.</v>
      </c>
    </row>
    <row r="40" ht="22.5" customHeight="1">
      <c r="A40" s="4">
        <v>39.0</v>
      </c>
      <c r="B40" s="5" t="s">
        <v>1085</v>
      </c>
      <c r="C40" s="5" t="s">
        <v>1086</v>
      </c>
      <c r="D40" s="5" t="s">
        <v>1087</v>
      </c>
      <c r="E40" s="5" t="s">
        <v>1088</v>
      </c>
      <c r="G40" s="6" t="str">
        <f>IFERROR(__xludf.DUMMYFUNCTION("GOOGLETRANSLATE(A40, ""en"", ""fr"")"),"39")</f>
        <v>39</v>
      </c>
      <c r="H40" s="6" t="str">
        <f>IFERROR(__xludf.DUMMYFUNCTION("GOOGLETRANSLATE(B40, ""en"", ""fr"")"),"Quelle est la principale différence entre la paleta cuero et la paleta goma ?")</f>
        <v>Quelle est la principale différence entre la paleta cuero et la paleta goma ?</v>
      </c>
      <c r="I40" s="6" t="str">
        <f>IFERROR(__xludf.DUMMYFUNCTION("GOOGLETRANSLATE(C40, ""en"", ""fr"")"),"A) La taille du terrain, B) Le type de balle utilisée (balle en cuir ou balle en caoutchouc), C) Le nombre de joueurs, D) Le matériau de la raquette")</f>
        <v>A) La taille du terrain, B) Le type de balle utilisée (balle en cuir ou balle en caoutchouc), C) Le nombre de joueurs, D) Le matériau de la raquette</v>
      </c>
      <c r="J40" s="6" t="str">
        <f>IFERROR(__xludf.DUMMYFUNCTION("GOOGLETRANSLATE(D40, ""en"", ""fr"")"),"B) Le type de balle utilisée (balle en cuir ou balle en caoutchouc)")</f>
        <v>B) Le type de balle utilisée (balle en cuir ou balle en caoutchouc)</v>
      </c>
      <c r="K40" s="6" t="str">
        <f>IFERROR(__xludf.DUMMYFUNCTION("GOOGLETRANSLATE(E40, ""en"", ""fr"")"),"Il s'agit de deux modes de jeu de raquette différents : l'un se joue avec une balle traditionnelle en cuir dur et l'autre avec une balle en caoutchouc plus rebondissante.")</f>
        <v>Il s'agit de deux modes de jeu de raquette différents : l'un se joue avec une balle traditionnelle en cuir dur et l'autre avec une balle en caoutchouc plus rebondissante.</v>
      </c>
    </row>
    <row r="41" ht="22.5" customHeight="1">
      <c r="A41" s="4">
        <v>40.0</v>
      </c>
      <c r="B41" s="5" t="s">
        <v>974</v>
      </c>
      <c r="C41" s="5" t="s">
        <v>1089</v>
      </c>
      <c r="D41" s="5" t="s">
        <v>1090</v>
      </c>
      <c r="E41" s="5" t="s">
        <v>1091</v>
      </c>
      <c r="G41" s="6" t="str">
        <f>IFERROR(__xludf.DUMMYFUNCTION("GOOGLETRANSLATE(A41, ""en"", ""fr"")"),"40")</f>
        <v>40</v>
      </c>
      <c r="H41" s="6" t="str">
        <f>IFERROR(__xludf.DUMMYFUNCTION("GOOGLETRANSLATE(B41, ""en"", ""fr"")"),"Quel est le rôle principal du mur gauche (pared izquierda) dans le jeu ?")</f>
        <v>Quel est le rôle principal du mur gauche (pared izquierda) dans le jeu ?</v>
      </c>
      <c r="I41" s="6" t="str">
        <f>IFERROR(__xludf.DUMMYFUNCTION("GOOGLETRANSLATE(C41, ""en"", ""fr"")"),"A) Fournir une surface de jeu légale pour la balle, créant des angles complexes ; B) Séparer les joueurs des spectateurs ; C) C'est hors limites ; D) C'est là que le score est consigné.")</f>
        <v>A) Fournir une surface de jeu légale pour la balle, créant des angles complexes ; B) Séparer les joueurs des spectateurs ; C) C'est hors limites ; D) C'est là que le score est consigné.</v>
      </c>
      <c r="J41" s="6" t="str">
        <f>IFERROR(__xludf.DUMMYFUNCTION("GOOGLETRANSLATE(D41, ""en"", ""fr"")"),"A) Fournir une surface permettant de jouer la balle légalement, créant des angles complexes")</f>
        <v>A) Fournir une surface permettant de jouer la balle légalement, créant des angles complexes</v>
      </c>
      <c r="K41" s="6" t="str">
        <f>IFERROR(__xludf.DUMMYFUNCTION("GOOGLETRANSLATE(E41, ""en"", ""fr"")"),"Le mur latéral est un élément fondamental du jeu, permettant des tirs avec rebond et des actions défensives impossibles dans un jeu à deux murs.")</f>
        <v>Le mur latéral est un élément fondamental du jeu, permettant des tirs avec rebond et des actions défensives impossibles dans un jeu à deux murs.</v>
      </c>
    </row>
    <row r="42" ht="22.5" customHeight="1">
      <c r="A42" s="4">
        <v>41.0</v>
      </c>
      <c r="B42" s="5" t="s">
        <v>1092</v>
      </c>
      <c r="C42" s="5" t="s">
        <v>1093</v>
      </c>
      <c r="D42" s="5" t="s">
        <v>1094</v>
      </c>
      <c r="E42" s="5" t="s">
        <v>1095</v>
      </c>
      <c r="G42" s="6" t="str">
        <f>IFERROR(__xludf.DUMMYFUNCTION("GOOGLETRANSLATE(A42, ""en"", ""fr"")"),"41")</f>
        <v>41</v>
      </c>
      <c r="H42" s="6" t="str">
        <f>IFERROR(__xludf.DUMMYFUNCTION("GOOGLETRANSLATE(B42, ""en"", ""fr"")"),"Un joueur porte un casque lors d'un match de pelote basque. Pourquoi est-ce une exigence moderne ?")</f>
        <v>Un joueur porte un casque lors d'un match de pelote basque. Pourquoi est-ce une exigence moderne ?</v>
      </c>
      <c r="I42" s="6" t="str">
        <f>IFERROR(__xludf.DUMMYFUNCTION("GOOGLETRANSLATE(C42,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42" s="6" t="str">
        <f>IFERROR(__xludf.DUMMYFUNCTION("GOOGLETRANSLATE(D42, ""en"", ""fr"")"),"B) L'incroyable vitesse de la balle peut être mortelle si elle frappe un joueur à la tête.")</f>
        <v>B) L'incroyable vitesse de la balle peut être mortelle si elle frappe un joueur à la tête.</v>
      </c>
      <c r="K42" s="6" t="str">
        <f>IFERROR(__xludf.DUMMYFUNCTION("GOOGLETRANSLATE(E42,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43" ht="22.5" customHeight="1">
      <c r="A43" s="4">
        <v>42.0</v>
      </c>
      <c r="B43" s="5" t="s">
        <v>1096</v>
      </c>
      <c r="C43" s="5" t="s">
        <v>1097</v>
      </c>
      <c r="D43" s="5" t="s">
        <v>1098</v>
      </c>
      <c r="E43" s="5" t="s">
        <v>1099</v>
      </c>
      <c r="G43" s="6" t="str">
        <f>IFERROR(__xludf.DUMMYFUNCTION("GOOGLETRANSLATE(A43, ""en"", ""fr"")"),"42")</f>
        <v>42</v>
      </c>
      <c r="H43" s="6" t="str">
        <f>IFERROR(__xludf.DUMMYFUNCTION("GOOGLETRANSLATE(B43, ""en"", ""fr"")"),"À quoi correspond le numéro inscrit dans le dos d'un joueur de pelote basque ?")</f>
        <v>À quoi correspond le numéro inscrit dans le dos d'un joueur de pelote basque ?</v>
      </c>
      <c r="I43" s="6" t="str">
        <f>IFERROR(__xludf.DUMMYFUNCTION("GOOGLETRANSLATE(C43, ""en"", ""fr"")"),"A) Leur âge, B) Leur grade, C) Leur position dans le système de paris combinés, D) Leur taille de maillot")</f>
        <v>A) Leur âge, B) Leur grade, C) Leur position dans le système de paris combinés, D) Leur taille de maillot</v>
      </c>
      <c r="J43" s="6" t="str">
        <f>IFERROR(__xludf.DUMMYFUNCTION("GOOGLETRANSLATE(D43, ""en"", ""fr"")"),"C) Leur position dans le système de paris quiniela")</f>
        <v>C) Leur position dans le système de paris quiniela</v>
      </c>
      <c r="K43" s="6" t="str">
        <f>IFERROR(__xludf.DUMMYFUNCTION("GOOGLETRANSLATE(E43, ""en"", ""fr"")"),"Les numéros de 1 à 8 servent à identifier les joueurs ou les équipes pour les parieurs.")</f>
        <v>Les numéros de 1 à 8 servent à identifier les joueurs ou les équipes pour les parieurs.</v>
      </c>
    </row>
    <row r="44" ht="22.5" customHeight="1">
      <c r="A44" s="4">
        <v>43.0</v>
      </c>
      <c r="B44" s="5" t="s">
        <v>1100</v>
      </c>
      <c r="C44" s="5" t="s">
        <v>1101</v>
      </c>
      <c r="D44" s="5" t="s">
        <v>1102</v>
      </c>
      <c r="E44" s="5" t="s">
        <v>1103</v>
      </c>
      <c r="G44" s="6" t="str">
        <f>IFERROR(__xludf.DUMMYFUNCTION("GOOGLETRANSLATE(A44, ""en"", ""fr"")"),"43")</f>
        <v>43</v>
      </c>
      <c r="H44" s="6" t="str">
        <f>IFERROR(__xludf.DUMMYFUNCTION("GOOGLETRANSLATE(B44, ""en"", ""fr"")"),"Un joueur sert, et la balle touche la ligne entre le mur frontal et le sol. Quelle est la décision ?")</f>
        <v>Un joueur sert, et la balle touche la ligne entre le mur frontal et le sol. Quelle est la décision ?</v>
      </c>
      <c r="I44" s="6" t="str">
        <f>IFERROR(__xludf.DUMMYFUNCTION("GOOGLETRANSLATE(C44, ""en"", ""fr"")"),"A) Service régulier, B) Faute, C) Point rejoué, D) Choix de l'adversaire")</f>
        <v>A) Service régulier, B) Faute, C) Point rejoué, D) Choix de l'adversaire</v>
      </c>
      <c r="J44" s="6" t="str">
        <f>IFERROR(__xludf.DUMMYFUNCTION("GOOGLETRANSLATE(D44, ""en"", ""fr"")"),"B) Un défaut")</f>
        <v>B) Un défaut</v>
      </c>
      <c r="K44" s="6" t="str">
        <f>IFERROR(__xludf.DUMMYFUNCTION("GOOGLETRANSLATE(E44, ""en"", ""fr"")"),"La balle doit toucher le mur frontal nettement au-dessus du sol. Toucher la ligne est une faute.")</f>
        <v>La balle doit toucher le mur frontal nettement au-dessus du sol. Toucher la ligne est une faute.</v>
      </c>
    </row>
    <row r="45" ht="22.5" customHeight="1">
      <c r="A45" s="4">
        <v>44.0</v>
      </c>
      <c r="B45" s="5" t="s">
        <v>1104</v>
      </c>
      <c r="C45" s="5" t="s">
        <v>1105</v>
      </c>
      <c r="D45" s="5" t="s">
        <v>1106</v>
      </c>
      <c r="E45" s="5" t="s">
        <v>1107</v>
      </c>
      <c r="G45" s="6" t="str">
        <f>IFERROR(__xludf.DUMMYFUNCTION("GOOGLETRANSLATE(A45, ""en"", ""fr"")"),"44")</f>
        <v>44</v>
      </c>
      <c r="H45" s="6" t="str">
        <f>IFERROR(__xludf.DUMMYFUNCTION("GOOGLETRANSLATE(B45, ""en"", ""fr"")"),"On voit un joueur s'appliquer une substance collante, comme de la résine de pin, sur les mains avant un match de nue principal. Pourquoi ?")</f>
        <v>On voit un joueur s'appliquer une substance collante, comme de la résine de pin, sur les mains avant un match de nue principal. Pourquoi ?</v>
      </c>
      <c r="I45" s="6" t="str">
        <f>IFERROR(__xludf.DUMMYFUNCTION("GOOGLETRANSLATE(C45, ""en"", ""fr"")"),"A) C'est une substance illégale. B) Pour une meilleure adhérence à la balle lors de la frappe. C) Pour protéger leurs mains des blessures. D) Pour donner un effet à la balle.")</f>
        <v>A) C'est une substance illégale. B) Pour une meilleure adhérence à la balle lors de la frappe. C) Pour protéger leurs mains des blessures. D) Pour donner un effet à la balle.</v>
      </c>
      <c r="J45" s="6" t="str">
        <f>IFERROR(__xludf.DUMMYFUNCTION("GOOGLETRANSLATE(D45, ""en"", ""fr"")"),"B) Pour avoir une meilleure adhérence ou une meilleure « accroche » sur la balle lors de la frappe")</f>
        <v>B) Pour avoir une meilleure adhérence ou une meilleure « accroche » sur la balle lors de la frappe</v>
      </c>
      <c r="K45" s="6" t="str">
        <f>IFERROR(__xludf.DUMMYFUNCTION("GOOGLETRANSLATE(E45, ""en"", ""fr"")"),"Une petite quantité de résine peut aider le joueur à obtenir plus d'adhérence sur la balle, lui permettant ainsi de lui imprimer plus d'effet et de contrôle.")</f>
        <v>Une petite quantité de résine peut aider le joueur à obtenir plus d'adhérence sur la balle, lui permettant ainsi de lui imprimer plus d'effet et de contrôle.</v>
      </c>
    </row>
    <row r="46" ht="22.5" customHeight="1">
      <c r="A46" s="4">
        <v>45.0</v>
      </c>
      <c r="B46" s="5" t="s">
        <v>1108</v>
      </c>
      <c r="C46" s="5" t="s">
        <v>1109</v>
      </c>
      <c r="D46" s="5" t="s">
        <v>1110</v>
      </c>
      <c r="E46" s="5" t="s">
        <v>1111</v>
      </c>
      <c r="G46" s="6" t="str">
        <f>IFERROR(__xludf.DUMMYFUNCTION("GOOGLETRANSLATE(A46, ""en"", ""fr"")"),"45")</f>
        <v>45</v>
      </c>
      <c r="H46" s="6" t="str">
        <f>IFERROR(__xludf.DUMMYFUNCTION("GOOGLETRANSLATE(B46, ""en"", ""fr"")"),"Un joueur sert et la balle atterrit sur la ligne de pasa (la ligne longue). Quelle est la décision ?")</f>
        <v>Un joueur sert et la balle atterrit sur la ligne de pasa (la ligne longue). Quelle est la décision ?</v>
      </c>
      <c r="I46" s="6" t="str">
        <f>IFERROR(__xludf.DUMMYFUNCTION("GOOGLETRANSLATE(C46, ""en"", ""fr"")"),"A) Service régulier, B) Service trop long (faute), C) Point rejoué, D) Avertissement donné")</f>
        <v>A) Service régulier, B) Service trop long (faute), C) Point rejoué, D) Avertissement donné</v>
      </c>
      <c r="J46" s="6" t="str">
        <f>IFERROR(__xludf.DUMMYFUNCTION("GOOGLETRANSLATE(D46, ""en"", ""fr"")"),"B) Un service « long », ce qui est une faute")</f>
        <v>B) Un service « long », ce qui est une faute</v>
      </c>
      <c r="K46" s="6" t="str">
        <f>IFERROR(__xludf.DUMMYFUNCTION("GOOGLETRANSLATE(E46, ""en"", ""fr"")"),"Le service doit rebondir avant la ligne de passe. Un service qui atterrit sur ou au-delà de cette ligne constitue une faute.")</f>
        <v>Le service doit rebondir avant la ligne de passe. Un service qui atterrit sur ou au-delà de cette ligne constitue une faute.</v>
      </c>
    </row>
    <row r="47" ht="22.5" customHeight="1">
      <c r="A47" s="4">
        <v>46.0</v>
      </c>
      <c r="B47" s="5" t="s">
        <v>1112</v>
      </c>
      <c r="C47" s="5" t="s">
        <v>1113</v>
      </c>
      <c r="D47" s="5" t="s">
        <v>1114</v>
      </c>
      <c r="E47" s="5" t="s">
        <v>1115</v>
      </c>
      <c r="G47" s="6" t="str">
        <f>IFERROR(__xludf.DUMMYFUNCTION("GOOGLETRANSLATE(A47, ""en"", ""fr"")"),"46")</f>
        <v>46</v>
      </c>
      <c r="H47" s="6" t="str">
        <f>IFERROR(__xludf.DUMMYFUNCTION("GOOGLETRANSLATE(B47, ""en"", ""fr"")"),"Dans un trinquet, qu'est-ce que le xilo ?")</f>
        <v>Dans un trinquet, qu'est-ce que le xilo ?</v>
      </c>
      <c r="I47" s="6" t="str">
        <f>IFERROR(__xludf.DUMMYFUNCTION("GOOGLETRANSLATE(C47, ""en"", ""fr"")"),"A) Le mur du fond, B) Le filet, C) Un petit trou ou une niche dans le mur avant qui constitue un coup gagnant automatique, D) La tribune latérale")</f>
        <v>A) Le mur du fond, B) Le filet, C) Un petit trou ou une niche dans le mur avant qui constitue un coup gagnant automatique, D) La tribune latérale</v>
      </c>
      <c r="J47" s="6" t="str">
        <f>IFERROR(__xludf.DUMMYFUNCTION("GOOGLETRANSLATE(D47, ""en"", ""fr"")"),"C) Un petit trou ou un renfoncement dans la paroi avant qui constitue un coup gagnant automatique")</f>
        <v>C) Un petit trou ou un renfoncement dans la paroi avant qui constitue un coup gagnant automatique</v>
      </c>
      <c r="K47" s="6" t="str">
        <f>IFERROR(__xludf.DUMMYFUNCTION("GOOGLETRANSLATE(E47, ""en"", ""fr"")"),"Frapper la balle dans le xilo (trou) est un coup difficile et qui permet de gagner instantanément la partie dans certaines modalités.")</f>
        <v>Frapper la balle dans le xilo (trou) est un coup difficile et qui permet de gagner instantanément la partie dans certaines modalités.</v>
      </c>
    </row>
    <row r="48" ht="22.5" customHeight="1">
      <c r="A48" s="4">
        <v>47.0</v>
      </c>
      <c r="B48" s="5" t="s">
        <v>1116</v>
      </c>
      <c r="C48" s="5" t="s">
        <v>1117</v>
      </c>
      <c r="D48" s="5" t="s">
        <v>1118</v>
      </c>
      <c r="E48" s="5" t="s">
        <v>1119</v>
      </c>
      <c r="G48" s="6" t="str">
        <f>IFERROR(__xludf.DUMMYFUNCTION("GOOGLETRANSLATE(A48, ""en"", ""fr"")"),"47")</f>
        <v>47</v>
      </c>
      <c r="H48" s="6" t="str">
        <f>IFERROR(__xludf.DUMMYFUNCTION("GOOGLETRANSLATE(B48, ""en"", ""fr"")"),"Qu'est-ce qu'un gancho ?")</f>
        <v>Qu'est-ce qu'un gancho ?</v>
      </c>
      <c r="I48" s="6" t="str">
        <f>IFERROR(__xludf.DUMMYFUNCTION("GOOGLETRANSLATE(C48, ""en"", ""fr"")"),"A) Un bloc défensif, B) Un smash puissant et crocheté, C) Le service, D) La chiréra")</f>
        <v>A) Un bloc défensif, B) Un smash puissant et crocheté, C) Le service, D) La chiréra</v>
      </c>
      <c r="J48" s="6" t="str">
        <f>IFERROR(__xludf.DUMMYFUNCTION("GOOGLETRANSLATE(D48, ""en"", ""fr"")"),"B) Un coup fatal puissant et crochetant")</f>
        <v>B) Un coup fatal puissant et crochetant</v>
      </c>
      <c r="K48" s="6" t="str">
        <f>IFERROR(__xludf.DUMMYFUNCTION("GOOGLETRANSLATE(E48, ""en"", ""fr"")"),"Un gancho est un coup puissant et offensif, souvent frappé en diagonale, conçu pour être un coup gagnant imparable.")</f>
        <v>Un gancho est un coup puissant et offensif, souvent frappé en diagonale, conçu pour être un coup gagnant imparable.</v>
      </c>
    </row>
    <row r="49" ht="22.5" customHeight="1">
      <c r="A49" s="4">
        <v>48.0</v>
      </c>
      <c r="B49" s="5" t="s">
        <v>1120</v>
      </c>
      <c r="C49" s="5" t="s">
        <v>1121</v>
      </c>
      <c r="D49" s="5" t="s">
        <v>1122</v>
      </c>
      <c r="E49" s="5" t="s">
        <v>1123</v>
      </c>
      <c r="G49" s="6" t="str">
        <f>IFERROR(__xludf.DUMMYFUNCTION("GOOGLETRANSLATE(A49, ""en"", ""fr"")"),"48")</f>
        <v>48</v>
      </c>
      <c r="H49" s="6" t="str">
        <f>IFERROR(__xludf.DUMMYFUNCTION("GOOGLETRANSLATE(B49, ""en"", ""fr"")"),"Le jeu de frontenis est un hybride de la pelote basque et de quel autre sport ?")</f>
        <v>Le jeu de frontenis est un hybride de la pelote basque et de quel autre sport ?</v>
      </c>
      <c r="I49" s="6" t="str">
        <f>IFERROR(__xludf.DUMMYFUNCTION("GOOGLETRANSLATE(C49, ""en"", ""fr"")"),"A) Squash, B) Tennis, C) Badminton, D) Volley-ball")</f>
        <v>A) Squash, B) Tennis, C) Badminton, D) Volley-ball</v>
      </c>
      <c r="J49" s="6" t="str">
        <f>IFERROR(__xludf.DUMMYFUNCTION("GOOGLETRANSLATE(D49, ""en"", ""fr"")"),"B) Tennis")</f>
        <v>B) Tennis</v>
      </c>
      <c r="K49" s="6" t="str">
        <f>IFERROR(__xludf.DUMMYFUNCTION("GOOGLETRANSLATE(E49, ""en"", ""fr"")"),"Le frontenis, extrêmement populaire au Mexique, est une fusion de pelote basque et de tennis, joué sur un terrain de pelote basque avec des raquettes et des balles de tennis.")</f>
        <v>Le frontenis, extrêmement populaire au Mexique, est une fusion de pelote basque et de tennis, joué sur un terrain de pelote basque avec des raquettes et des balles de tennis.</v>
      </c>
    </row>
    <row r="50" ht="22.5" customHeight="1">
      <c r="A50" s="4">
        <v>49.0</v>
      </c>
      <c r="B50" s="5" t="s">
        <v>1124</v>
      </c>
      <c r="C50" s="5" t="s">
        <v>1125</v>
      </c>
      <c r="D50" s="5" t="s">
        <v>1126</v>
      </c>
      <c r="E50" s="5" t="s">
        <v>1127</v>
      </c>
      <c r="G50" s="6" t="str">
        <f>IFERROR(__xludf.DUMMYFUNCTION("GOOGLETRANSLATE(A50, ""en"", ""fr"")"),"49")</f>
        <v>49</v>
      </c>
      <c r="H50" s="6" t="str">
        <f>IFERROR(__xludf.DUMMYFUNCTION("GOOGLETRANSLATE(B50, ""en"", ""fr"")"),"Qu'est-ce qu'un remate ?")</f>
        <v>Qu'est-ce qu'un remate ?</v>
      </c>
      <c r="I50" s="6" t="str">
        <f>IFERROR(__xludf.DUMMYFUNCTION("GOOGLETRANSLATE(C50, ""en"", ""fr"")"),"A) Un très bon service, B) Un coup final ou « kill » puissant, C) Une défense solide, D) Un joueur rapide")</f>
        <v>A) Un très bon service, B) Un coup final ou « kill » puissant, C) Une défense solide, D) Un joueur rapide</v>
      </c>
      <c r="J50" s="6" t="str">
        <f>IFERROR(__xludf.DUMMYFUNCTION("GOOGLETRANSLATE(D50, ""en"", ""fr"")"),"B) Un coup de finition puissant ou un coup « mortel »")</f>
        <v>B) Un coup de finition puissant ou un coup « mortel »</v>
      </c>
      <c r="K50" s="6" t="str">
        <f>IFERROR(__xludf.DUMMYFUNCTION("GOOGLETRANSLATE(E50, ""en"", ""fr"")"),"Le remate est le coup offensif joué pour gagner le point, équivalent à un « smash » dans d'autres sports de raquette.")</f>
        <v>Le remate est le coup offensif joué pour gagner le point, équivalent à un « smash » dans d'autres sports de raquette.</v>
      </c>
    </row>
    <row r="51" ht="22.5" customHeight="1">
      <c r="A51" s="4">
        <v>50.0</v>
      </c>
      <c r="B51" s="5" t="s">
        <v>1128</v>
      </c>
      <c r="C51" s="5" t="s">
        <v>1129</v>
      </c>
      <c r="D51" s="5" t="s">
        <v>1130</v>
      </c>
      <c r="E51" s="5" t="s">
        <v>1131</v>
      </c>
      <c r="G51" s="6" t="str">
        <f>IFERROR(__xludf.DUMMYFUNCTION("GOOGLETRANSLATE(A51, ""en"", ""fr"")"),"50")</f>
        <v>50</v>
      </c>
      <c r="H51" s="6" t="str">
        <f>IFERROR(__xludf.DUMMYFUNCTION("GOOGLETRANSLATE(B51, ""en"", ""fr"")"),"Quelle est la principale raison pour laquelle Pelota jouit d'un statut culturel élevé au Pays basque ?")</f>
        <v>Quelle est la principale raison pour laquelle Pelota jouit d'un statut culturel élevé au Pays basque ?</v>
      </c>
      <c r="I51" s="6" t="str">
        <f>IFERROR(__xludf.DUMMYFUNCTION("GOOGLETRANSLATE(C51, ""en"", ""fr"")"),"A) C'est un symbole de leur identité nationale et culturelle unique, B) C'est le seul sport qu'ils pratiquent, C) Les prix sont très élevés, D) Les meilleurs joueurs viennent tous de là-bas")</f>
        <v>A) C'est un symbole de leur identité nationale et culturelle unique, B) C'est le seul sport qu'ils pratiquent, C) Les prix sont très élevés, D) Les meilleurs joueurs viennent tous de là-bas</v>
      </c>
      <c r="J51" s="6" t="str">
        <f>IFERROR(__xludf.DUMMYFUNCTION("GOOGLETRANSLATE(D51, ""en"", ""fr"")"),"A) C'est un symbole de leur identité nationale et culturelle unique")</f>
        <v>A) C'est un symbole de leur identité nationale et culturelle unique</v>
      </c>
      <c r="K51" s="6" t="str">
        <f>IFERROR(__xludf.DUMMYFUNCTION("GOOGLETRANSLATE(E51,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52" ht="22.5" customHeight="1">
      <c r="A52" s="4">
        <v>51.0</v>
      </c>
      <c r="B52" s="5" t="s">
        <v>1132</v>
      </c>
      <c r="C52" s="5" t="s">
        <v>1133</v>
      </c>
      <c r="D52" s="5" t="s">
        <v>1134</v>
      </c>
      <c r="E52" s="5" t="s">
        <v>1135</v>
      </c>
      <c r="G52" s="6" t="str">
        <f>IFERROR(__xludf.DUMMYFUNCTION("GOOGLETRANSLATE(A52, ""en"", ""fr"")"),"51")</f>
        <v>51</v>
      </c>
      <c r="H52" s="6" t="str">
        <f>IFERROR(__xludf.DUMMYFUNCTION("GOOGLETRANSLATE(B52, ""en"", ""fr"")"),"Un joueur est touché par la balle pendant un échange. Quelle est la décision arbitrale ?")</f>
        <v>Un joueur est touché par la balle pendant un échange. Quelle est la décision arbitrale ?</v>
      </c>
      <c r="I52" s="6" t="str">
        <f>IFERROR(__xludf.DUMMYFUNCTION("GOOGLETRANSLATE(C52, ""en"", ""fr"")"),"A) Le joueur touché perd le point. B) Le point est rejoué. C) Le joueur qui a frappé la balle perd le point. D) Le joueur touché reçoit une pénalité.")</f>
        <v>A) Le joueur touché perd le point. B) Le point est rejoué. C) Le joueur qui a frappé la balle perd le point. D) Le joueur touché reçoit une pénalité.</v>
      </c>
      <c r="J52" s="6" t="str">
        <f>IFERROR(__xludf.DUMMYFUNCTION("GOOGLETRANSLATE(D52, ""en"", ""fr"")"),"A) Le joueur touché perd le point.")</f>
        <v>A) Le joueur touché perd le point.</v>
      </c>
      <c r="K52" s="6" t="str">
        <f>IFERROR(__xludf.DUMMYFUNCTION("GOOGLETRANSLATE(E52, ""en"", ""fr"")"),"Si la balle, après avoir heurté le mur frontal, touche un joueur avant d'avoir rebondi sur le sol, ce joueur est considéré comme « touché » et perd le point.")</f>
        <v>Si la balle, après avoir heurté le mur frontal, touche un joueur avant d'avoir rebondi sur le sol, ce joueur est considéré comme « touché » et perd le point.</v>
      </c>
    </row>
    <row r="53" ht="22.5" customHeight="1">
      <c r="A53" s="4">
        <v>52.0</v>
      </c>
      <c r="B53" s="5" t="s">
        <v>1136</v>
      </c>
      <c r="C53" s="5" t="s">
        <v>1137</v>
      </c>
      <c r="D53" s="5" t="s">
        <v>1138</v>
      </c>
      <c r="E53" s="5" t="s">
        <v>1139</v>
      </c>
      <c r="G53" s="6" t="str">
        <f>IFERROR(__xludf.DUMMYFUNCTION("GOOGLETRANSLATE(A53, ""en"", ""fr"")"),"52")</f>
        <v>52</v>
      </c>
      <c r="H53" s="6" t="str">
        <f>IFERROR(__xludf.DUMMYFUNCTION("GOOGLETRANSLATE(B53, ""en"", ""fr"")"),"Qu'est-ce qu'un « dos paredes » ?")</f>
        <v>Qu'est-ce qu'un « dos paredes » ?</v>
      </c>
      <c r="I53" s="6" t="str">
        <f>IFERROR(__xludf.DUMMYFUNCTION("GOOGLETRANSLATE(C53, ""en"", ""fr"")"),"A) Un coup qui touche deux murs, B) Un type de service, C) Un mouvement défensif, D) Un terme désignant un match de double")</f>
        <v>A) Un coup qui touche deux murs, B) Un type de service, C) Un mouvement défensif, D) Un terme désignant un match de double</v>
      </c>
      <c r="J53" s="6" t="str">
        <f>IFERROR(__xludf.DUMMYFUNCTION("GOOGLETRANSLATE(D53, ""en"", ""fr"")"),"A) Un tir qui touche deux murs")</f>
        <v>A) Un tir qui touche deux murs</v>
      </c>
      <c r="K53" s="6" t="str">
        <f>IFERROR(__xludf.DUMMYFUNCTION("GOOGLETRANSLATE(E53, ""en"", ""fr"")"),"Le tir « à deux murs » est une tactique courante où la balle est frappée contre le mur latéral puis contre le mur frontal, ou inversement, afin de créer un angle difficile.")</f>
        <v>Le tir « à deux murs » est une tactique courante où la balle est frappée contre le mur latéral puis contre le mur frontal, ou inversement, afin de créer un angle difficile.</v>
      </c>
    </row>
    <row r="54" ht="22.5" customHeight="1">
      <c r="A54" s="4">
        <v>53.0</v>
      </c>
      <c r="B54" s="5" t="s">
        <v>1140</v>
      </c>
      <c r="C54" s="5" t="s">
        <v>1141</v>
      </c>
      <c r="D54" s="5" t="s">
        <v>1142</v>
      </c>
      <c r="E54" s="5" t="s">
        <v>1143</v>
      </c>
      <c r="G54" s="6" t="str">
        <f>IFERROR(__xludf.DUMMYFUNCTION("GOOGLETRANSLATE(A54, ""en"", ""fr"")"),"53")</f>
        <v>53</v>
      </c>
      <c r="H54" s="6" t="str">
        <f>IFERROR(__xludf.DUMMYFUNCTION("GOOGLETRANSLATE(B54, ""en"", ""fr"")"),"Au jeu de Xare, à quoi ressemble la raquette ?")</f>
        <v>Au jeu de Xare, à quoi ressemble la raquette ?</v>
      </c>
      <c r="I54" s="6" t="str">
        <f>IFERROR(__xludf.DUMMYFUNCTION("GOOGLETRANSLATE(C54, ""en"", ""fr"")"),"A) Une pagaie en bois massif, B) Un panier tressé, C) Une raquette à cordes avec un tamis souple en forme de filet, D) Il n'y a pas de raquette")</f>
        <v>A) Une pagaie en bois massif, B) Un panier tressé, C) Une raquette à cordes avec un tamis souple en forme de filet, D) Il n'y a pas de raquette</v>
      </c>
      <c r="J54" s="6" t="str">
        <f>IFERROR(__xludf.DUMMYFUNCTION("GOOGLETRANSLATE(D54, ""en"", ""fr"")"),"C) Une raquette cordée avec un manche lâche en forme de filet")</f>
        <v>C) Une raquette cordée avec un manche lâche en forme de filet</v>
      </c>
      <c r="K54" s="6" t="str">
        <f>IFERROR(__xludf.DUMMYFUNCTION("GOOGLETRANSLATE(E54, ""en"", ""fr"")"),"Le xare (ou « raquette argentine ») utilise une raquette unique qui ressemble à une crosse de lacrosse, servant à attraper et à lancer la balle molle.")</f>
        <v>Le xare (ou « raquette argentine ») utilise une raquette unique qui ressemble à une crosse de lacrosse, servant à attraper et à lancer la balle molle.</v>
      </c>
    </row>
    <row r="55" ht="22.5" customHeight="1">
      <c r="A55" s="4">
        <v>54.0</v>
      </c>
      <c r="B55" s="5" t="s">
        <v>1144</v>
      </c>
      <c r="C55" s="5" t="s">
        <v>1145</v>
      </c>
      <c r="D55" s="5" t="s">
        <v>1146</v>
      </c>
      <c r="E55" s="5" t="s">
        <v>1147</v>
      </c>
      <c r="G55" s="6" t="str">
        <f>IFERROR(__xludf.DUMMYFUNCTION("GOOGLETRANSLATE(A55, ""en"", ""fr"")"),"54")</f>
        <v>54</v>
      </c>
      <c r="H55" s="6" t="str">
        <f>IFERROR(__xludf.DUMMYFUNCTION("GOOGLETRANSLATE(B55, ""en"", ""fr"")"),"Quel est le nombre maximum de joueurs sur un terrain dans n'importe quelle variante de la pelote basque ?")</f>
        <v>Quel est le nombre maximum de joueurs sur un terrain dans n'importe quelle variante de la pelote basque ?</v>
      </c>
      <c r="I55" s="6" t="str">
        <f>IFERROR(__xludf.DUMMYFUNCTION("GOOGLETRANSLATE(C55, ""en"", ""fr"")"),"A) 2 (simples), B) 4 (doubles), C) 6 (triples), D) 8 (quadruples)")</f>
        <v>A) 2 (simples), B) 4 (doubles), C) 6 (triples), D) 8 (quadruples)</v>
      </c>
      <c r="J55" s="6" t="str">
        <f>IFERROR(__xludf.DUMMYFUNCTION("GOOGLETRANSLATE(D55, ""en"", ""fr"")"),"B) 4 (doubles)")</f>
        <v>B) 4 (doubles)</v>
      </c>
      <c r="K55" s="6" t="str">
        <f>IFERROR(__xludf.DUMMYFUNCTION("GOOGLETRANSLATE(E55, ""en"", ""fr"")"),"Le jeu se joue soit en un contre un (mano a mano), soit en deux contre deux (partido de parejas).")</f>
        <v>Le jeu se joue soit en un contre un (mano a mano), soit en deux contre deux (partido de parejas).</v>
      </c>
    </row>
    <row r="56" ht="22.5" customHeight="1">
      <c r="A56" s="4">
        <v>55.0</v>
      </c>
      <c r="B56" s="5" t="s">
        <v>1148</v>
      </c>
      <c r="C56" s="5" t="s">
        <v>1149</v>
      </c>
      <c r="D56" s="5" t="s">
        <v>1150</v>
      </c>
      <c r="E56" s="5" t="s">
        <v>1151</v>
      </c>
      <c r="G56" s="6" t="str">
        <f>IFERROR(__xludf.DUMMYFUNCTION("GOOGLETRANSLATE(A56, ""en"", ""fr"")"),"55")</f>
        <v>55</v>
      </c>
      <c r="H56" s="6" t="str">
        <f>IFERROR(__xludf.DUMMYFUNCTION("GOOGLETRANSLATE(B56, ""en"", ""fr"")"),"Un joueur est surpris en possession d'un ballon modifié illégalement pour être plus rapide. Quelle est la conséquence ?")</f>
        <v>Un joueur est surpris en possession d'un ballon modifié illégalement pour être plus rapide. Quelle est la conséquence ?</v>
      </c>
      <c r="I56" s="6" t="str">
        <f>IFERROR(__xludf.DUMMYFUNCTION("GOOGLETRANSLATE(C56, ""en"", ""fr"")"),"A) Un avertissement, B) Perte du match, C) Un point de pénalité, D) Le ballon est remplacé")</f>
        <v>A) Un avertissement, B) Perte du match, C) Un point de pénalité, D) Le ballon est remplacé</v>
      </c>
      <c r="J56" s="6" t="str">
        <f>IFERROR(__xludf.DUMMYFUNCTION("GOOGLETRANSLATE(D56, ""en"", ""fr"")"),"B) Forfait du match")</f>
        <v>B) Forfait du match</v>
      </c>
      <c r="K56" s="6" t="str">
        <f>IFERROR(__xludf.DUMMYFUNCTION("GOOGLETRANSLATE(E56, ""en"", ""fr"")"),"Toute altération du ballon constitue un acte de tricherie majeur et entraînerait la perte du match.")</f>
        <v>Toute altération du ballon constitue un acte de tricherie majeur et entraînerait la perte du match.</v>
      </c>
    </row>
    <row r="57" ht="22.5" customHeight="1">
      <c r="A57" s="4">
        <v>56.0</v>
      </c>
      <c r="B57" s="5" t="s">
        <v>1152</v>
      </c>
      <c r="C57" s="5" t="s">
        <v>1153</v>
      </c>
      <c r="D57" s="5" t="s">
        <v>1154</v>
      </c>
      <c r="E57" s="5" t="s">
        <v>1155</v>
      </c>
      <c r="G57" s="6" t="str">
        <f>IFERROR(__xludf.DUMMYFUNCTION("GOOGLETRANSLATE(A57, ""en"", ""fr"")"),"56")</f>
        <v>56</v>
      </c>
      <c r="H57" s="6" t="str">
        <f>IFERROR(__xludf.DUMMYFUNCTION("GOOGLETRANSLATE(B57, ""en"", ""fr"")"),"Quel est l'objectif principal des tacos ou du ruban adhésif de protection sur la main d'un joueur qui joue à mains nues ?")</f>
        <v>Quel est l'objectif principal des tacos ou du ruban adhésif de protection sur la main d'un joueur qui joue à mains nues ?</v>
      </c>
      <c r="I57" s="6" t="str">
        <f>IFERROR(__xludf.DUMMYFUNCTION("GOOGLETRANSLATE(C57, ""en"", ""fr"")"),"A) Pour durcir la main, B) Pour offrir plusieurs niveaux de protection contre l'impact de la balle, C) Pour améliorer l'adhérence, D) C'est décoratif")</f>
        <v>A) Pour durcir la main, B) Pour offrir plusieurs niveaux de protection contre l'impact de la balle, C) Pour améliorer l'adhérence, D) C'est décoratif</v>
      </c>
      <c r="J57" s="6" t="str">
        <f>IFERROR(__xludf.DUMMYFUNCTION("GOOGLETRANSLATE(D57, ""en"", ""fr"")"),"B) Pour fournir plusieurs niveaux de protection contre l'impact de la balle")</f>
        <v>B) Pour fournir plusieurs niveaux de protection contre l'impact de la balle</v>
      </c>
      <c r="K57" s="6" t="str">
        <f>IFERROR(__xludf.DUMMYFUNCTION("GOOGLETRANSLATE(E57, ""en"", ""fr"")"),"Les tacos sont constitués de couches de matériau soigneusement appliquées, conçues pour amortir les chocs et prévenir les fractures.")</f>
        <v>Les tacos sont constitués de couches de matériau soigneusement appliquées, conçues pour amortir les chocs et prévenir les fractures.</v>
      </c>
    </row>
    <row r="58" ht="22.5" customHeight="1">
      <c r="A58" s="4">
        <v>57.0</v>
      </c>
      <c r="B58" s="5" t="s">
        <v>1156</v>
      </c>
      <c r="C58" s="5" t="s">
        <v>1157</v>
      </c>
      <c r="D58" s="5" t="s">
        <v>1158</v>
      </c>
      <c r="E58" s="5" t="s">
        <v>1159</v>
      </c>
      <c r="G58" s="6" t="str">
        <f>IFERROR(__xludf.DUMMYFUNCTION("GOOGLETRANSLATE(A58, ""en"", ""fr"")"),"57")</f>
        <v>57</v>
      </c>
      <c r="H58" s="6" t="str">
        <f>IFERROR(__xludf.DUMMYFUNCTION("GOOGLETRANSLATE(B58, ""en"", ""fr"")"),"Un joueur réussit un coup si rapide et si précis que son adversaire ne peut le toucher. Comment appelle-t-on cela ?")</f>
        <v>Un joueur réussit un coup si rapide et si précis que son adversaire ne peut le toucher. Comment appelle-t-on cela ?</v>
      </c>
      <c r="I58" s="6" t="str">
        <f>IFERROR(__xludf.DUMMYFUNCTION("GOOGLETRANSLATE(C58, ""en"", ""fr"")"),"A) Une faute, B) Un bon coup, C) Un gagnant, D) Un let")</f>
        <v>A) Une faute, B) Un bon coup, C) Un gagnant, D) Un let</v>
      </c>
      <c r="J58" s="6" t="str">
        <f>IFERROR(__xludf.DUMMYFUNCTION("GOOGLETRANSLATE(D58, ""en"", ""fr"")"),"C) Un gagnant")</f>
        <v>C) Un gagnant</v>
      </c>
      <c r="K58" s="6" t="str">
        <f>IFERROR(__xludf.DUMMYFUNCTION("GOOGLETRANSLATE(E58, ""en"", ""fr"")"),"Un « coup gagnant » est un tir offensif tellement efficace que l'adversaire ne parvient même pas à toucher le ballon.")</f>
        <v>Un « coup gagnant » est un tir offensif tellement efficace que l'adversaire ne parvient même pas à toucher le ballon.</v>
      </c>
    </row>
    <row r="59" ht="22.5" customHeight="1">
      <c r="A59" s="4">
        <v>58.0</v>
      </c>
      <c r="B59" s="5" t="s">
        <v>1160</v>
      </c>
      <c r="C59" s="5" t="s">
        <v>1161</v>
      </c>
      <c r="D59" s="5" t="s">
        <v>1162</v>
      </c>
      <c r="E59" s="5" t="s">
        <v>1163</v>
      </c>
      <c r="G59" s="6" t="str">
        <f>IFERROR(__xludf.DUMMYFUNCTION("GOOGLETRANSLATE(A59, ""en"", ""fr"")"),"58")</f>
        <v>58</v>
      </c>
      <c r="H59" s="6" t="str">
        <f>IFERROR(__xludf.DUMMYFUNCTION("GOOGLETRANSLATE(B59, ""en"", ""fr"")"),"Quel est le rôle de la ligne rouge, ou chapa, en bas du mur avant ?")</f>
        <v>Quel est le rôle de la ligne rouge, ou chapa, en bas du mur avant ?</v>
      </c>
      <c r="I59" s="6" t="str">
        <f>IFERROR(__xludf.DUMMYFUNCTION("GOOGLETRANSLATE(C59, ""en"", ""fr"")"),"A) C'est la cible. B) Elle marque la limite du terrain ; tout tir la touchant ou la touchant en dessous est une faute. C) C'est une ligne de service. D) Elle est décorative.")</f>
        <v>A) C'est la cible. B) Elle marque la limite du terrain ; tout tir la touchant ou la touchant en dessous est une faute. C) C'est une ligne de service. D) Elle est décorative.</v>
      </c>
      <c r="J59" s="6" t="str">
        <f>IFERROR(__xludf.DUMMYFUNCTION("GOOGLETRANSLATE(D59, ""en"", ""fr"")"),"B) Elle marque la zone hors limites ; tout coup qui la touche ou qui la touche en dessous est une faute.")</f>
        <v>B) Elle marque la zone hors limites ; tout coup qui la touche ou qui la touche en dessous est une faute.</v>
      </c>
      <c r="K59" s="6" t="str">
        <f>IFERROR(__xludf.DUMMYFUNCTION("GOOGLETRANSLATE(E59, ""en"", ""fr"")"),"Le chapa est une bande métallique qui émet un bruit fort lorsqu'on la frappe, signalant clairement qu'un tir était trop bas et constitue une faute.")</f>
        <v>Le chapa est une bande métallique qui émet un bruit fort lorsqu'on la frappe, signalant clairement qu'un tir était trop bas et constitue une faute.</v>
      </c>
    </row>
    <row r="60" ht="22.5" customHeight="1">
      <c r="A60" s="4">
        <v>59.0</v>
      </c>
      <c r="B60" s="5" t="s">
        <v>1164</v>
      </c>
      <c r="C60" s="5" t="s">
        <v>1165</v>
      </c>
      <c r="D60" s="5" t="s">
        <v>1166</v>
      </c>
      <c r="E60" s="5" t="s">
        <v>1167</v>
      </c>
      <c r="G60" s="6" t="str">
        <f>IFERROR(__xludf.DUMMYFUNCTION("GOOGLETRANSLATE(A60, ""en"", ""fr"")"),"59")</f>
        <v>59</v>
      </c>
      <c r="H60" s="6" t="str">
        <f>IFERROR(__xludf.DUMMYFUNCTION("GOOGLETRANSLATE(B60, ""en"", ""fr"")"),"Lors d'un match de double, un joueur frappe la balle et celle-ci touche accidentellement son partenaire. Quelle est la décision arbitrale ?")</f>
        <v>Lors d'un match de double, un joueur frappe la balle et celle-ci touche accidentellement son partenaire. Quelle est la décision arbitrale ?</v>
      </c>
      <c r="I60" s="6" t="str">
        <f>IFERROR(__xludf.DUMMYFUNCTION("GOOGLETRANSLATE(C60, ""en"", ""fr"")"),"A) Le point est rejoué. B) C'est une faute ; leur équipe perd le point. C) Le jeu continue. D) Le partenaire touché est éliminé.")</f>
        <v>A) Le point est rejoué. B) C'est une faute ; leur équipe perd le point. C) Le jeu continue. D) Le partenaire touché est éliminé.</v>
      </c>
      <c r="J60" s="6" t="str">
        <f>IFERROR(__xludf.DUMMYFUNCTION("GOOGLETRANSLATE(D60, ""en"", ""fr"")"),"B) C'est une faute ; leur équipe perd le point")</f>
        <v>B) C'est une faute ; leur équipe perd le point</v>
      </c>
      <c r="K60" s="6" t="str">
        <f>IFERROR(__xludf.DUMMYFUNCTION("GOOGLETRANSLATE(E60, ""en"", ""fr"")"),"Une équipe perd le point si, lors de son tour de frappe, la balle entre en contact avec un joueur de sa propre équipe.")</f>
        <v>Une équipe perd le point si, lors de son tour de frappe, la balle entre en contact avec un joueur de sa propre équipe.</v>
      </c>
    </row>
    <row r="61" ht="22.5" customHeight="1">
      <c r="A61" s="4">
        <v>60.0</v>
      </c>
      <c r="B61" s="5" t="s">
        <v>1168</v>
      </c>
      <c r="C61" s="5" t="s">
        <v>1169</v>
      </c>
      <c r="D61" s="5" t="s">
        <v>1170</v>
      </c>
      <c r="E61" s="5" t="s">
        <v>1171</v>
      </c>
      <c r="G61" s="6" t="str">
        <f>IFERROR(__xludf.DUMMYFUNCTION("GOOGLETRANSLATE(A61, ""en"", ""fr"")"),"60")</f>
        <v>60</v>
      </c>
      <c r="H61" s="6" t="str">
        <f>IFERROR(__xludf.DUMMYFUNCTION("GOOGLETRANSLATE(B61, ""en"", ""fr"")"),"Quelle est la principale raison des règles strictes concernant la construction de la chistera ?")</f>
        <v>Quelle est la principale raison des règles strictes concernant la construction de la chistera ?</v>
      </c>
      <c r="I61" s="6" t="str">
        <f>IFERROR(__xludf.DUMMYFUNCTION("GOOGLETRANSLATE(C61, ""en"", ""fr"")"),"A) Pour réduire les coûts, B) Pour garantir l'équité en standardisant l'équipement pour tous les joueurs, C) Pour leur donner un aspect traditionnel, D) Pour faciliter leur réparation")</f>
        <v>A) Pour réduire les coûts, B) Pour garantir l'équité en standardisant l'équipement pour tous les joueurs, C) Pour leur donner un aspect traditionnel, D) Pour faciliter leur réparation</v>
      </c>
      <c r="J61" s="6" t="str">
        <f>IFERROR(__xludf.DUMMYFUNCTION("GOOGLETRANSLATE(D61, ""en"", ""fr"")"),"B) Garantir l'équité en fournissant un équipement standardisé à tous les joueurs")</f>
        <v>B) Garantir l'équité en fournissant un équipement standardisé à tous les joueurs</v>
      </c>
      <c r="K61" s="6" t="str">
        <f>IFERROR(__xludf.DUMMYFUNCTION("GOOGLETRANSLATE(E61, ""en"", ""fr"")"),"L'équipement standardisé est une caractéristique essentielle du sport moderne, garantissant que la victoire provienne du talent et non d'un avantage matériel.")</f>
        <v>L'équipement standardisé est une caractéristique essentielle du sport moderne, garantissant que la victoire provienne du talent et non d'un avantage matériel.</v>
      </c>
    </row>
    <row r="62" ht="22.5" customHeight="1">
      <c r="A62" s="4">
        <v>61.0</v>
      </c>
      <c r="B62" s="5" t="s">
        <v>1172</v>
      </c>
      <c r="C62" s="5" t="s">
        <v>1173</v>
      </c>
      <c r="D62" s="5" t="s">
        <v>1174</v>
      </c>
      <c r="E62" s="5" t="s">
        <v>1175</v>
      </c>
      <c r="G62" s="6" t="str">
        <f>IFERROR(__xludf.DUMMYFUNCTION("GOOGLETRANSLATE(A62, ""en"", ""fr"")"),"61")</f>
        <v>61</v>
      </c>
      <c r="H62" s="6" t="str">
        <f>IFERROR(__xludf.DUMMYFUNCTION("GOOGLETRANSLATE(B62, ""en"", ""fr"")"),"Un joueur est pénalisé pour une faute au service. Qu'est-ce que cela signifie ?")</f>
        <v>Un joueur est pénalisé pour une faute au service. Qu'est-ce que cela signifie ?</v>
      </c>
      <c r="I62" s="6" t="str">
        <f>IFERROR(__xludf.DUMMYFUNCTION("GOOGLETRANSLATE(C62, ""en"", ""fr"")"),"A) Le service était trop court, B) Le service était trop long, C) Le serveur a commis une faute de pied, D) Le service n'était pas assez puissant")</f>
        <v>A) Le service était trop court, B) Le service était trop long, C) Le serveur a commis une faute de pied, D) Le service n'était pas assez puissant</v>
      </c>
      <c r="J62" s="6" t="str">
        <f>IFERROR(__xludf.DUMMYFUNCTION("GOOGLETRANSLATE(D62, ""en"", ""fr"")"),"B) Le service était trop long.")</f>
        <v>B) Le service était trop long.</v>
      </c>
      <c r="K62" s="6" t="str">
        <f>IFERROR(__xludf.DUMMYFUNCTION("GOOGLETRANSLATE(E62, ""en"", ""fr"")"),"Un pasa est un service « long », où la balle rebondit sur ou après la ligne de service longue, ce qui constitue une faute.")</f>
        <v>Un pasa est un service « long », où la balle rebondit sur ou après la ligne de service longue, ce qui constitue une faute.</v>
      </c>
    </row>
    <row r="63" ht="22.5" customHeight="1">
      <c r="A63" s="4">
        <v>62.0</v>
      </c>
      <c r="B63" s="5" t="s">
        <v>1176</v>
      </c>
      <c r="C63" s="5" t="s">
        <v>1177</v>
      </c>
      <c r="D63" s="5" t="s">
        <v>1178</v>
      </c>
      <c r="E63" s="5" t="s">
        <v>1179</v>
      </c>
      <c r="G63" s="6" t="str">
        <f>IFERROR(__xludf.DUMMYFUNCTION("GOOGLETRANSLATE(A63, ""en"", ""fr"")"),"62")</f>
        <v>62</v>
      </c>
      <c r="H63" s="6" t="str">
        <f>IFERROR(__xludf.DUMMYFUNCTION("GOOGLETRANSLATE(B63, ""en"", ""fr"")"),"Dans un trinquet, c'est quoi le frare ?")</f>
        <v>Dans un trinquet, c'est quoi le frare ?</v>
      </c>
      <c r="I63" s="6" t="str">
        <f>IFERROR(__xludf.DUMMYFUNCTION("GOOGLETRANSLATE(C63, ""en"", ""fr"")"),"A) Le mur du fond, B) Un pilier cylindrique dans le coin qui crée des rebonds imprévisibles, C) Le nom du filet, D) L'arbitre")</f>
        <v>A) Le mur du fond, B) Un pilier cylindrique dans le coin qui crée des rebonds imprévisibles, C) Le nom du filet, D) L'arbitre</v>
      </c>
      <c r="J63" s="6" t="str">
        <f>IFERROR(__xludf.DUMMYFUNCTION("GOOGLETRANSLATE(D63, ""en"", ""fr"")"),"B) Un pilier cylindrique dans le coin qui crée des rebonds imprévisibles")</f>
        <v>B) Un pilier cylindrique dans le coin qui crée des rebonds imprévisibles</v>
      </c>
      <c r="K63" s="6" t="str">
        <f>IFERROR(__xludf.DUMMYFUNCTION("GOOGLETRANSLATE(E63, ""en"", ""fr"")"),"Le « frare » (« moine » ou « frère ») est une caractéristique unique de certains amulettes qui ajoute un élément de chaos et de difficulté au jeu.")</f>
        <v>Le « frare » (« moine » ou « frère ») est une caractéristique unique de certains amulettes qui ajoute un élément de chaos et de difficulté au jeu.</v>
      </c>
    </row>
    <row r="64" ht="22.5" customHeight="1">
      <c r="A64" s="4">
        <v>63.0</v>
      </c>
      <c r="B64" s="5" t="s">
        <v>1180</v>
      </c>
      <c r="C64" s="5" t="s">
        <v>1181</v>
      </c>
      <c r="D64" s="5" t="s">
        <v>1182</v>
      </c>
      <c r="E64" s="5" t="s">
        <v>1183</v>
      </c>
      <c r="G64" s="6" t="str">
        <f>IFERROR(__xludf.DUMMYFUNCTION("GOOGLETRANSLATE(A64, ""en"", ""fr"")"),"63")</f>
        <v>63</v>
      </c>
      <c r="H64" s="6" t="str">
        <f>IFERROR(__xludf.DUMMYFUNCTION("GOOGLETRANSLATE(B64, ""en"", ""fr"")"),"Un joueur renvoie la balle, qui heurte le mur frontal puis le mur gauche avant de rebondir. Est-ce autorisé ?")</f>
        <v>Un joueur renvoie la balle, qui heurte le mur frontal puis le mur gauche avant de rebondir. Est-ce autorisé ?</v>
      </c>
      <c r="I64" s="6" t="str">
        <f>IFERROR(__xludf.DUMMYFUNCTION("GOOGLETRANSLATE(C64, ""en"", ""fr"")"),"A) Non, la balle doit seulement toucher le mur frontal. B) Oui, c'est un coup « à deux murs » légal et courant. C) Le point est rejoué. D) C'est une faute.")</f>
        <v>A) Non, la balle doit seulement toucher le mur frontal. B) Oui, c'est un coup « à deux murs » légal et courant. C) Le point est rejoué. D) C'est une faute.</v>
      </c>
      <c r="J64" s="6" t="str">
        <f>IFERROR(__xludf.DUMMYFUNCTION("GOOGLETRANSLATE(D64, ""en"", ""fr"")"),"B) Oui, il s'agit d'une prise de vue « à deux murs » légale et courante")</f>
        <v>B) Oui, il s'agit d'une prise de vue « à deux murs » légale et courante</v>
      </c>
      <c r="K64" s="6" t="str">
        <f>IFERROR(__xludf.DUMMYFUNCTION("GOOGLETRANSLATE(E64, ""en"", ""fr"")"),"Utiliser le mur latéral pour créer des angles difficiles est un élément clé de la stratégie dans les courts qui en sont équipés.")</f>
        <v>Utiliser le mur latéral pour créer des angles difficiles est un élément clé de la stratégie dans les courts qui en sont équipés.</v>
      </c>
    </row>
    <row r="65" ht="22.5" customHeight="1">
      <c r="A65" s="4">
        <v>64.0</v>
      </c>
      <c r="B65" s="5" t="s">
        <v>1184</v>
      </c>
      <c r="C65" s="5" t="s">
        <v>1185</v>
      </c>
      <c r="D65" s="5" t="s">
        <v>1186</v>
      </c>
      <c r="E65" s="5" t="s">
        <v>1187</v>
      </c>
      <c r="G65" s="6" t="str">
        <f>IFERROR(__xludf.DUMMYFUNCTION("GOOGLETRANSLATE(A65, ""en"", ""fr"")"),"64")</f>
        <v>64</v>
      </c>
      <c r="H65" s="6" t="str">
        <f>IFERROR(__xludf.DUMMYFUNCTION("GOOGLETRANSLATE(B65, ""en"", ""fr"")"),"Quel est le rôle principal de la Fédération internationale de pelote basque (FIPV) ?")</f>
        <v>Quel est le rôle principal de la Fédération internationale de pelote basque (FIPV) ?</v>
      </c>
      <c r="I65" s="6" t="str">
        <f>IFERROR(__xludf.DUMMYFUNCTION("GOOGLETRANSLATE(C65, ""en"", ""fr"")"),"A) Organiser des paris professionnels, B) Gouverner le sport, normaliser les règles et organiser des championnats du monde, C) Entraîner l'équipe nationale espagnole, D) Fabriquer l'équipement")</f>
        <v>A) Organiser des paris professionnels, B) Gouverner le sport, normaliser les règles et organiser des championnats du monde, C) Entraîner l'équipe nationale espagnole, D) Fabriquer l'équipement</v>
      </c>
      <c r="J65" s="6" t="str">
        <f>IFERROR(__xludf.DUMMYFUNCTION("GOOGLETRANSLATE(D65, ""en"", ""fr"")"),"B) Gouverner le sport, normaliser les règles et organiser les championnats du monde")</f>
        <v>B) Gouverner le sport, normaliser les règles et organiser les championnats du monde</v>
      </c>
      <c r="K65" s="6" t="str">
        <f>IFERROR(__xludf.DUMMYFUNCTION("GOOGLETRANSLATE(E65, ""en"", ""fr"")"),"La FIPV est l'instance dirigeante mondiale chargée de l'administration et de la promotion de toutes les modalités officielles de ce sport.")</f>
        <v>La FIPV est l'instance dirigeante mondiale chargée de l'administration et de la promotion de toutes les modalités officielles de ce sport.</v>
      </c>
    </row>
    <row r="66" ht="22.5" customHeight="1">
      <c r="A66" s="4">
        <v>65.0</v>
      </c>
      <c r="B66" s="5" t="s">
        <v>1188</v>
      </c>
      <c r="C66" s="5" t="s">
        <v>1189</v>
      </c>
      <c r="D66" s="5" t="s">
        <v>1190</v>
      </c>
      <c r="E66" s="5" t="s">
        <v>1191</v>
      </c>
      <c r="G66" s="6" t="str">
        <f>IFERROR(__xludf.DUMMYFUNCTION("GOOGLETRANSLATE(A66, ""en"", ""fr"")"),"65")</f>
        <v>65</v>
      </c>
      <c r="H66" s="6" t="str">
        <f>IFERROR(__xludf.DUMMYFUNCTION("GOOGLETRANSLATE(B66, ""en"", ""fr"")"),"Dans la modalité de Pala Larga, quelle est la principale caractéristique de la pagaie ?")</f>
        <v>Dans la modalité de Pala Larga, quelle est la principale caractéristique de la pagaie ?</v>
      </c>
      <c r="I66" s="6" t="str">
        <f>IFERROR(__xludf.DUMMYFUNCTION("GOOGLETRANSLATE(C66, ""en"", ""fr"")"),"A) Il est très court et léger, B) Il est long et lourd, conçu pour des tirs puissants à longue distance, C) Il est en caoutchouc, D) Il a des cordes")</f>
        <v>A) Il est très court et léger, B) Il est long et lourd, conçu pour des tirs puissants à longue distance, C) Il est en caoutchouc, D) Il a des cordes</v>
      </c>
      <c r="J66" s="6" t="str">
        <f>IFERROR(__xludf.DUMMYFUNCTION("GOOGLETRANSLATE(D66, ""en"", ""fr"")"),"B) Il est long et lourd, conçu pour des tirs puissants à longue portée.")</f>
        <v>B) Il est long et lourd, conçu pour des tirs puissants à longue portée.</v>
      </c>
      <c r="K66" s="6" t="str">
        <f>IFERROR(__xludf.DUMMYFUNCTION("GOOGLETRANSLATE(E66, ""en"", ""fr"")"),"La Pala Larga (« longue raquette ») est la plus lourde des raquettes en bois, utilisée pour une version puissante du jeu jouée sur un long terrain.")</f>
        <v>La Pala Larga (« longue raquette ») est la plus lourde des raquettes en bois, utilisée pour une version puissante du jeu jouée sur un long terrain.</v>
      </c>
    </row>
    <row r="67" ht="22.5" customHeight="1">
      <c r="A67" s="4">
        <v>66.0</v>
      </c>
      <c r="B67" s="5" t="s">
        <v>1192</v>
      </c>
      <c r="C67" s="5" t="s">
        <v>1193</v>
      </c>
      <c r="D67" s="5" t="s">
        <v>1150</v>
      </c>
      <c r="E67" s="5" t="s">
        <v>1194</v>
      </c>
      <c r="G67" s="6" t="str">
        <f>IFERROR(__xludf.DUMMYFUNCTION("GOOGLETRANSLATE(A67, ""en"", ""fr"")"),"66")</f>
        <v>66</v>
      </c>
      <c r="H67" s="6" t="str">
        <f>IFERROR(__xludf.DUMMYFUNCTION("GOOGLETRANSLATE(B67, ""en"", ""fr"")"),"Un joueur est surpris en possession d'un ballon modifié illégalement, qui rebondit anormalement. Quelle est la conséquence ?")</f>
        <v>Un joueur est surpris en possession d'un ballon modifié illégalement, qui rebondit anormalement. Quelle est la conséquence ?</v>
      </c>
      <c r="I67" s="6" t="str">
        <f>IFERROR(__xludf.DUMMYFUNCTION("GOOGLETRANSLATE(C67, ""en"", ""fr"")"),"A) Un avertissement, B) Perte du match, C) Un point de pénalité, D) Le ballon est simplement remplacé")</f>
        <v>A) Un avertissement, B) Perte du match, C) Un point de pénalité, D) Le ballon est simplement remplacé</v>
      </c>
      <c r="J67" s="6" t="str">
        <f>IFERROR(__xludf.DUMMYFUNCTION("GOOGLETRANSLATE(D67, ""en"", ""fr"")"),"B) Forfait du match")</f>
        <v>B) Forfait du match</v>
      </c>
      <c r="K67" s="6" t="str">
        <f>IFERROR(__xludf.DUMMYFUNCTION("GOOGLETRANSLATE(E67, ""en"", ""fr"")"),"Toute altération du ballon visant à obtenir un avantage indu constitue un acte de tricherie majeur et entraînerait la perte du match.")</f>
        <v>Toute altération du ballon visant à obtenir un avantage indu constitue un acte de tricherie majeur et entraînerait la perte du match.</v>
      </c>
    </row>
    <row r="68" ht="22.5" customHeight="1">
      <c r="A68" s="4">
        <v>67.0</v>
      </c>
      <c r="B68" s="5" t="s">
        <v>1195</v>
      </c>
      <c r="C68" s="5" t="s">
        <v>1196</v>
      </c>
      <c r="D68" s="5" t="s">
        <v>1197</v>
      </c>
      <c r="E68" s="5" t="s">
        <v>1198</v>
      </c>
      <c r="G68" s="6" t="str">
        <f>IFERROR(__xludf.DUMMYFUNCTION("GOOGLETRANSLATE(A68, ""en"", ""fr"")"),"67")</f>
        <v>67</v>
      </c>
      <c r="H68" s="6" t="str">
        <f>IFERROR(__xludf.DUMMYFUNCTION("GOOGLETRANSLATE(B68, ""en"", ""fr"")"),"Quelle est la décision à prendre si la balle sort du terrain et touche un spectateur ?")</f>
        <v>Quelle est la décision à prendre si la balle sort du terrain et touche un spectateur ?</v>
      </c>
      <c r="I68" s="6" t="str">
        <f>IFERROR(__xludf.DUMMYFUNCTION("GOOGLETRANSLATE(C68, ""en"", ""fr"")"),"A) Le point est rejoué. B) Le point est perdu pour le joueur qui a envoyé la balle hors des limites du terrain. C) La faute incombe au spectateur. D) Le joueur qui a envoyé la balle hors des limites du terrain remporte le point.")</f>
        <v>A) Le point est rejoué. B) Le point est perdu pour le joueur qui a envoyé la balle hors des limites du terrain. C) La faute incombe au spectateur. D) Le joueur qui a envoyé la balle hors des limites du terrain remporte le point.</v>
      </c>
      <c r="J68" s="6" t="str">
        <f>IFERROR(__xludf.DUMMYFUNCTION("GOOGLETRANSLATE(D68, ""en"", ""fr"")"),"B) Le point est perdu pour le joueur qui a frappé la balle hors du terrain.")</f>
        <v>B) Le point est perdu pour le joueur qui a frappé la balle hors du terrain.</v>
      </c>
      <c r="K68" s="6" t="str">
        <f>IFERROR(__xludf.DUMMYFUNCTION("GOOGLETRANSLATE(E68, ""en"", ""fr"")"),"Frapper la balle hors de la zone de jeu définie (la cancha) entraîne la perte du point.")</f>
        <v>Frapper la balle hors de la zone de jeu définie (la cancha) entraîne la perte du point.</v>
      </c>
    </row>
    <row r="69" ht="22.5" customHeight="1">
      <c r="A69" s="4">
        <v>68.0</v>
      </c>
      <c r="B69" s="5" t="s">
        <v>1199</v>
      </c>
      <c r="C69" s="5" t="s">
        <v>1200</v>
      </c>
      <c r="D69" s="5" t="s">
        <v>1201</v>
      </c>
      <c r="E69" s="5" t="s">
        <v>1202</v>
      </c>
      <c r="G69" s="6" t="str">
        <f>IFERROR(__xludf.DUMMYFUNCTION("GOOGLETRANSLATE(A69, ""en"", ""fr"")"),"68")</f>
        <v>68</v>
      </c>
      <c r="H69" s="6" t="str">
        <f>IFERROR(__xludf.DUMMYFUNCTION("GOOGLETRANSLATE(B69, ""en"", ""fr"")"),"Quelle est la principale différence entre la chistera utilisée pour Remonte et celle utilisée pour Cesta Punta ?")</f>
        <v>Quelle est la principale différence entre la chistera utilisée pour Remonte et celle utilisée pour Cesta Punta ?</v>
      </c>
      <c r="I69" s="6" t="str">
        <f>IFERROR(__xludf.DUMMYFUNCTION("GOOGLETRANSLATE(C69, ""en"", ""fr"")"),"A) Il est plus petit et moins incurvé, permettant un style de jeu plus continu, B) Il est en métal, C) Il a des cordes au lieu d'un panier, D) Il n'y a pas de différence")</f>
        <v>A) Il est plus petit et moins incurvé, permettant un style de jeu plus continu, B) Il est en métal, C) Il a des cordes au lieu d'un panier, D) Il n'y a pas de différence</v>
      </c>
      <c r="J69" s="6" t="str">
        <f>IFERROR(__xludf.DUMMYFUNCTION("GOOGLETRANSLATE(D69, ""en"", ""fr"")"),"A) Il est plus petit et moins incurvé, ce qui permet un style de jeu plus continu.")</f>
        <v>A) Il est plus petit et moins incurvé, ce qui permet un style de jeu plus continu.</v>
      </c>
      <c r="K69" s="6" t="str">
        <f>IFERROR(__xludf.DUMMYFUNCTION("GOOGLETRANSLATE(E69, ""en"", ""fr"")"),"La chistera de Remonte est moins profonde et ne permet pas de garder la balle aussi longtemps, ce qui donne un jeu basé sur des déviations rapides plutôt que sur des lancers puissants.")</f>
        <v>La chistera de Remonte est moins profonde et ne permet pas de garder la balle aussi longtemps, ce qui donne un jeu basé sur des déviations rapides plutôt que sur des lancers puissants.</v>
      </c>
    </row>
    <row r="70" ht="22.5" customHeight="1">
      <c r="A70" s="4">
        <v>69.0</v>
      </c>
      <c r="B70" s="5" t="s">
        <v>1203</v>
      </c>
      <c r="C70" s="5" t="s">
        <v>1204</v>
      </c>
      <c r="D70" s="5" t="s">
        <v>1205</v>
      </c>
      <c r="E70" s="5" t="s">
        <v>1206</v>
      </c>
      <c r="G70" s="6" t="str">
        <f>IFERROR(__xludf.DUMMYFUNCTION("GOOGLETRANSLATE(A70, ""en"", ""fr"")"),"69")</f>
        <v>69</v>
      </c>
      <c r="H70" s="6" t="str">
        <f>IFERROR(__xludf.DUMMYFUNCTION("GOOGLETRANSLATE(B70, ""en"", ""fr"")"),"Un joueur reçoit un avertissement pour « interférence ». Qu'a-t-il bien pu faire ?")</f>
        <v>Un joueur reçoit un avertissement pour « interférence ». Qu'a-t-il bien pu faire ?</v>
      </c>
      <c r="I70" s="6" t="str">
        <f>IFERROR(__xludf.DUMMYFUNCTION("GOOGLETRANSLATE(C70, ""en"", ""fr"")"),"A) A frappé la balle trop fort, B) S'est placé de manière à bloquer le passage de l'adversaire vers la balle, C) A parlé à son partenaire, D) A contesté l'arbitre")</f>
        <v>A) A frappé la balle trop fort, B) S'est placé de manière à bloquer le passage de l'adversaire vers la balle, C) A parlé à son partenaire, D) A contesté l'arbitre</v>
      </c>
      <c r="J70" s="6" t="str">
        <f>IFERROR(__xludf.DUMMYFUNCTION("GOOGLETRANSLATE(D70, ""en"", ""fr"")"),"B) S'est placé de manière à bloquer le passage de l'adversaire vers la balle")</f>
        <v>B) S'est placé de manière à bloquer le passage de l'adversaire vers la balle</v>
      </c>
      <c r="K70" s="6" t="str">
        <f>IFERROR(__xludf.DUMMYFUNCTION("GOOGLETRANSLATE(E70, ""en"", ""fr"")"),"Un joueur ne peut pas intentionnellement obstruer les mouvements ou la ligne de vue d'un adversaire vers le ballon. Il s'agit d'une faute d'obstruction.")</f>
        <v>Un joueur ne peut pas intentionnellement obstruer les mouvements ou la ligne de vue d'un adversaire vers le ballon. Il s'agit d'une faute d'obstruction.</v>
      </c>
    </row>
    <row r="71" ht="22.5" customHeight="1">
      <c r="A71" s="4">
        <v>70.0</v>
      </c>
      <c r="B71" s="5" t="s">
        <v>1207</v>
      </c>
      <c r="C71" s="5" t="s">
        <v>1208</v>
      </c>
      <c r="D71" s="5" t="s">
        <v>1209</v>
      </c>
      <c r="E71" s="5" t="s">
        <v>1210</v>
      </c>
      <c r="G71" s="6" t="str">
        <f>IFERROR(__xludf.DUMMYFUNCTION("GOOGLETRANSLATE(A71, ""en"", ""fr"")"),"70")</f>
        <v>70</v>
      </c>
      <c r="H71" s="6" t="str">
        <f>IFERROR(__xludf.DUMMYFUNCTION("GOOGLETRANSLATE(B71, ""en"", ""fr"")"),"Quelle est la principale raison pour laquelle le port du casque est obligatoire au Jai Alai (Cesta Punta) ?")</f>
        <v>Quelle est la principale raison pour laquelle le port du casque est obligatoire au Jai Alai (Cesta Punta) ?</v>
      </c>
      <c r="I71" s="6" t="str">
        <f>IFERROR(__xludf.DUMMYFUNCTION("GOOGLETRANSLATE(C71, ""en"", ""fr"")"),"A) Pour faire professionnel, B) La balle, très dure, atteint des vitesses potentiellement mortelles, C) Pour se protéger des chutes, D) C'est une exigence du sponsor")</f>
        <v>A) Pour faire professionnel, B) La balle, très dure, atteint des vitesses potentiellement mortelles, C) Pour se protéger des chutes, D) C'est une exigence du sponsor</v>
      </c>
      <c r="J71" s="6" t="str">
        <f>IFERROR(__xludf.DUMMYFUNCTION("GOOGLETRANSLATE(D71, ""en"", ""fr"")"),"B) La balle, extrêmement dure, se déplace à des vitesses potentiellement mortelles.")</f>
        <v>B) La balle, extrêmement dure, se déplace à des vitesses potentiellement mortelles.</v>
      </c>
      <c r="K71" s="6" t="str">
        <f>IFERROR(__xludf.DUMMYFUNCTION("GOOGLETRANSLATE(E71, ""en"", ""fr"")"),"Avec des vitesses de balle dépassant les 300 km/h (186 mph), le port d'un casque est un équipement de sécurité essentiel pour prévenir les blessures graves ou mortelles à la tête.")</f>
        <v>Avec des vitesses de balle dépassant les 300 km/h (186 mph), le port d'un casque est un équipement de sécurité essentiel pour prévenir les blessures graves ou mortelles à la tête.</v>
      </c>
    </row>
    <row r="72" ht="22.5" customHeight="1">
      <c r="A72" s="4">
        <v>71.0</v>
      </c>
      <c r="B72" s="5" t="s">
        <v>1211</v>
      </c>
      <c r="C72" s="5" t="s">
        <v>1212</v>
      </c>
      <c r="D72" s="5" t="s">
        <v>1213</v>
      </c>
      <c r="E72" s="5" t="s">
        <v>1214</v>
      </c>
      <c r="G72" s="6" t="str">
        <f>IFERROR(__xludf.DUMMYFUNCTION("GOOGLETRANSLATE(A72, ""en"", ""fr"")"),"71")</f>
        <v>71</v>
      </c>
      <c r="H72" s="6" t="str">
        <f>IFERROR(__xludf.DUMMYFUNCTION("GOOGLETRANSLATE(B72, ""en"", ""fr"")"),"Un joueur effectue un service, et la balle touche le mur frontal, puis le mur latéral, puis le sol. Ce service est-il valide ?")</f>
        <v>Un joueur effectue un service, et la balle touche le mur frontal, puis le mur latéral, puis le sol. Ce service est-il valide ?</v>
      </c>
      <c r="I72" s="6" t="str">
        <f>IFERROR(__xludf.DUMMYFUNCTION("GOOGLETRANSLATE(C72, ""en"", ""fr"")"),"A) Non, la balle doit toucher le sol directement après le mur frontal. B) Oui, le service est régulier. C) Le point est rejoué. D) C'est une faute.")</f>
        <v>A) Non, la balle doit toucher le sol directement après le mur frontal. B) Oui, le service est régulier. C) Le point est rejoué. D) C'est une faute.</v>
      </c>
      <c r="J72" s="6" t="str">
        <f>IFERROR(__xludf.DUMMYFUNCTION("GOOGLETRANSLATE(D72, ""en"", ""fr"")"),"A) Non, il doit toucher le sol directement après le mur avant.")</f>
        <v>A) Non, il doit toucher le sol directement après le mur avant.</v>
      </c>
      <c r="K72" s="6" t="str">
        <f>IFERROR(__xludf.DUMMYFUNCTION("GOOGLETRANSLATE(E72, ""en"", ""fr"")"),"Le service obéit à une séquence précise. Toucher le mur latéral avant le premier rebond constitue une faute.")</f>
        <v>Le service obéit à une séquence précise. Toucher le mur latéral avant le premier rebond constitue une faute.</v>
      </c>
    </row>
    <row r="73" ht="22.5" customHeight="1">
      <c r="A73" s="4">
        <v>72.0</v>
      </c>
      <c r="B73" s="5" t="s">
        <v>1215</v>
      </c>
      <c r="C73" s="5" t="s">
        <v>1216</v>
      </c>
      <c r="D73" s="5" t="s">
        <v>1217</v>
      </c>
      <c r="E73" s="5" t="s">
        <v>1033</v>
      </c>
      <c r="G73" s="6" t="str">
        <f>IFERROR(__xludf.DUMMYFUNCTION("GOOGLETRANSLATE(A73, ""en"", ""fr"")"),"72")</f>
        <v>72</v>
      </c>
      <c r="H73" s="6" t="str">
        <f>IFERROR(__xludf.DUMMYFUNCTION("GOOGLETRANSLATE(B73, ""en"", ""fr"")"),"On dit qu'un joueur possède un saque puissant. De quoi s'agit-il ?")</f>
        <v>On dit qu'un joueur possède un saque puissant. De quoi s'agit-il ?</v>
      </c>
      <c r="I73" s="6" t="str">
        <f>IFERROR(__xludf.DUMMYFUNCTION("GOOGLETRANSLATE(C73, ""en"", ""fr"")"),"A) Leur coup droit, B) Leur revers, C) Leur service, D) Leur bloc défensif")</f>
        <v>A) Leur coup droit, B) Leur revers, C) Leur service, D) Leur bloc défensif</v>
      </c>
      <c r="J73" s="6" t="str">
        <f>IFERROR(__xludf.DUMMYFUNCTION("GOOGLETRANSLATE(D73, ""en"", ""fr"")"),"C) Leur service")</f>
        <v>C) Leur service</v>
      </c>
      <c r="K73" s="6" t="str">
        <f>IFERROR(__xludf.DUMMYFUNCTION("GOOGLETRANSLATE(E73, ""en"", ""fr"")"),"Le saque est le mot espagnol pour le service, le premier coup de chaque point.")</f>
        <v>Le saque est le mot espagnol pour le service, le premier coup de chaque point.</v>
      </c>
    </row>
    <row r="74" ht="22.5" customHeight="1">
      <c r="A74" s="4">
        <v>73.0</v>
      </c>
      <c r="B74" s="5" t="s">
        <v>1218</v>
      </c>
      <c r="C74" s="5" t="s">
        <v>1219</v>
      </c>
      <c r="D74" s="5" t="s">
        <v>1130</v>
      </c>
      <c r="E74" s="5" t="s">
        <v>1131</v>
      </c>
      <c r="G74" s="6" t="str">
        <f>IFERROR(__xludf.DUMMYFUNCTION("GOOGLETRANSLATE(A74, ""en"", ""fr"")"),"73")</f>
        <v>73</v>
      </c>
      <c r="H74" s="6" t="str">
        <f>IFERROR(__xludf.DUMMYFUNCTION("GOOGLETRANSLATE(B74, ""en"", ""fr"")"),"Quelle est la principale raison pour laquelle la pelota jouit d'un statut culturel beaucoup plus élevé au Pays basque qu'ailleurs ?")</f>
        <v>Quelle est la principale raison pour laquelle la pelota jouit d'un statut culturel beaucoup plus élevé au Pays basque qu'ailleurs ?</v>
      </c>
      <c r="I74" s="6" t="str">
        <f>IFERROR(__xludf.DUMMYFUNCTION("GOOGLETRANSLATE(C74, ""en"", ""fr"")"),"A) C'est un symbole de leur identité nationale et culturelle unique, B) C'est le seul sport qu'ils pratiquent, C) Les prix y sont beaucoup plus élevés, D) Les meilleurs joueurs viennent tous de là-bas")</f>
        <v>A) C'est un symbole de leur identité nationale et culturelle unique, B) C'est le seul sport qu'ils pratiquent, C) Les prix y sont beaucoup plus élevés, D) Les meilleurs joueurs viennent tous de là-bas</v>
      </c>
      <c r="J74" s="6" t="str">
        <f>IFERROR(__xludf.DUMMYFUNCTION("GOOGLETRANSLATE(D74, ""en"", ""fr"")"),"A) C'est un symbole de leur identité nationale et culturelle unique")</f>
        <v>A) C'est un symbole de leur identité nationale et culturelle unique</v>
      </c>
      <c r="K74" s="6" t="str">
        <f>IFERROR(__xludf.DUMMYFUNCTION("GOOGLETRANSLATE(E74,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75" ht="22.5" customHeight="1">
      <c r="A75" s="4">
        <v>74.0</v>
      </c>
      <c r="B75" s="5" t="s">
        <v>1220</v>
      </c>
      <c r="C75" s="5" t="s">
        <v>1221</v>
      </c>
      <c r="D75" s="5" t="s">
        <v>1222</v>
      </c>
      <c r="E75" s="5" t="s">
        <v>1223</v>
      </c>
      <c r="G75" s="6" t="str">
        <f>IFERROR(__xludf.DUMMYFUNCTION("GOOGLETRANSLATE(A75, ""en"", ""fr"")"),"74")</f>
        <v>74</v>
      </c>
      <c r="H75" s="6" t="str">
        <f>IFERROR(__xludf.DUMMYFUNCTION("GOOGLETRANSLATE(B75, ""en"", ""fr"")"),"Un joueur saigne suite à une éraflure. Quelle est la procédure obligatoire ?")</f>
        <v>Un joueur saigne suite à une éraflure. Quelle est la procédure obligatoire ?</v>
      </c>
      <c r="I75" s="6" t="str">
        <f>IFERROR(__xludf.DUMMYFUNCTION("GOOGLETRANSLATE(C75, ""en"", ""fr"")"),"A) Le joueur peut choisir de continuer, B) L'arbitre doit arrêter le jeu pour un temps mort médical, C) Le joueur doit déclarer forfait, D) L'adversaire marque un point")</f>
        <v>A) Le joueur peut choisir de continuer, B) L'arbitre doit arrêter le jeu pour un temps mort médical, C) Le joueur doit déclarer forfait, D) L'adversaire marque un point</v>
      </c>
      <c r="J75" s="6" t="str">
        <f>IFERROR(__xludf.DUMMYFUNCTION("GOOGLETRANSLATE(D75, ""en"", ""fr"")"),"B) L'arbitre doit arrêter le jeu pour un « temps mort pour cause de sang ».")</f>
        <v>B) L'arbitre doit arrêter le jeu pour un « temps mort pour cause de sang ».</v>
      </c>
      <c r="K75" s="6" t="str">
        <f>IFERROR(__xludf.DUMMYFUNCTION("GOOGLETRANSLATE(E75, ""en"", ""fr"")"),"Pour des raisons de sécurité et d'hygiène, tout saignement actif doit être immédiatement arrêté afin que la blessure puisse être soignée et recouverte.")</f>
        <v>Pour des raisons de sécurité et d'hygiène, tout saignement actif doit être immédiatement arrêté afin que la blessure puisse être soignée et recouverte.</v>
      </c>
    </row>
    <row r="76" ht="22.5" customHeight="1">
      <c r="A76" s="4">
        <v>75.0</v>
      </c>
      <c r="B76" s="5" t="s">
        <v>1224</v>
      </c>
      <c r="C76" s="5" t="s">
        <v>1225</v>
      </c>
      <c r="D76" s="5" t="s">
        <v>1226</v>
      </c>
      <c r="E76" s="5" t="s">
        <v>1227</v>
      </c>
      <c r="G76" s="6" t="str">
        <f>IFERROR(__xludf.DUMMYFUNCTION("GOOGLETRANSLATE(A76, ""en"", ""fr"")"),"75")</f>
        <v>75</v>
      </c>
      <c r="H76" s="6" t="str">
        <f>IFERROR(__xludf.DUMMYFUNCTION("GOOGLETRANSLATE(B76, ""en"", ""fr"")"),"Pourquoi l'uniforme traditionnel de la pelote basque est-il blanc ?")</f>
        <v>Pourquoi l'uniforme traditionnel de la pelote basque est-il blanc ?</v>
      </c>
      <c r="I76" s="6" t="str">
        <f>IFERROR(__xludf.DUMMYFUNCTION("GOOGLETRANSLATE(C76, ""en"", ""fr"")"),"A) C'était le tissu le moins cher, B) Il est issu des sous-vêtements traditionnels portés au jeu de paume et symbolise l'esprit sportif, C) C'était une règle de la première fédération, D) Pour être plus visible sur le court")</f>
        <v>A) C'était le tissu le moins cher, B) Il est issu des sous-vêtements traditionnels portés au jeu de paume et symbolise l'esprit sportif, C) C'était une règle de la première fédération, D) Pour être plus visible sur le court</v>
      </c>
      <c r="J76" s="6" t="str">
        <f>IFERROR(__xludf.DUMMYFUNCTION("GOOGLETRANSLATE(D76, ""en"", ""fr"")"),"B) Il est issu des sous-vêtements traditionnels portés au jeu de paume et symbolise l'esprit sportif.")</f>
        <v>B) Il est issu des sous-vêtements traditionnels portés au jeu de paume et symbolise l'esprit sportif.</v>
      </c>
      <c r="K76" s="6" t="str">
        <f>IFERROR(__xludf.DUMMYFUNCTION("GOOGLETRANSLATE(E76, ""en"", ""fr"")"),"La tenue blanche était la norme pour les premiers sports de raquette, symbolisant une compétition propre et honorable.")</f>
        <v>La tenue blanche était la norme pour les premiers sports de raquette, symbolisant une compétition propre et honorable.</v>
      </c>
    </row>
    <row r="77" ht="22.5" customHeight="1">
      <c r="A77" s="4">
        <v>76.0</v>
      </c>
      <c r="B77" s="5" t="s">
        <v>1228</v>
      </c>
      <c r="C77" s="5" t="s">
        <v>1229</v>
      </c>
      <c r="D77" s="5" t="s">
        <v>1166</v>
      </c>
      <c r="E77" s="5" t="s">
        <v>1167</v>
      </c>
      <c r="G77" s="6" t="str">
        <f>IFERROR(__xludf.DUMMYFUNCTION("GOOGLETRANSLATE(A77, ""en"", ""fr"")"),"76")</f>
        <v>76</v>
      </c>
      <c r="H77" s="6" t="str">
        <f>IFERROR(__xludf.DUMMYFUNCTION("GOOGLETRANSLATE(B77, ""en"", ""fr"")"),"Lors d'un match de double, le joueur A frappe la balle, et celle-ci touche accidentellement son partenaire, le joueur B. Quelle est la décision ?")</f>
        <v>Lors d'un match de double, le joueur A frappe la balle, et celle-ci touche accidentellement son partenaire, le joueur B. Quelle est la décision ?</v>
      </c>
      <c r="I77" s="6" t="str">
        <f>IFERROR(__xludf.DUMMYFUNCTION("GOOGLETRANSLATE(C77, ""en"", ""fr"")"),"A) Le point est rejoué. B) C'est une faute ; leur équipe perd le point. C) Le jeu continue comme si de rien n'était. D) Le partenaire touché est éliminé.")</f>
        <v>A) Le point est rejoué. B) C'est une faute ; leur équipe perd le point. C) Le jeu continue comme si de rien n'était. D) Le partenaire touché est éliminé.</v>
      </c>
      <c r="J77" s="6" t="str">
        <f>IFERROR(__xludf.DUMMYFUNCTION("GOOGLETRANSLATE(D77, ""en"", ""fr"")"),"B) C'est une faute ; leur équipe perd le point")</f>
        <v>B) C'est une faute ; leur équipe perd le point</v>
      </c>
      <c r="K77" s="6" t="str">
        <f>IFERROR(__xludf.DUMMYFUNCTION("GOOGLETRANSLATE(E77, ""en"", ""fr"")"),"Une équipe perd le point si, lors de son tour de frappe, la balle entre en contact avec un joueur de sa propre équipe.")</f>
        <v>Une équipe perd le point si, lors de son tour de frappe, la balle entre en contact avec un joueur de sa propre équipe.</v>
      </c>
    </row>
    <row r="78" ht="22.5" customHeight="1">
      <c r="A78" s="4">
        <v>77.0</v>
      </c>
      <c r="B78" s="5" t="s">
        <v>1230</v>
      </c>
      <c r="C78" s="5" t="s">
        <v>1231</v>
      </c>
      <c r="D78" s="5" t="s">
        <v>1150</v>
      </c>
      <c r="E78" s="5" t="s">
        <v>1232</v>
      </c>
      <c r="G78" s="6" t="str">
        <f>IFERROR(__xludf.DUMMYFUNCTION("GOOGLETRANSLATE(A78, ""en"", ""fr"")"),"77")</f>
        <v>77</v>
      </c>
      <c r="H78" s="6" t="str">
        <f>IFERROR(__xludf.DUMMYFUNCTION("GOOGLETRANSLATE(B78, ""en"", ""fr"")"),"Un joueur est surpris en possession d'une chistera modifiée illégalement, produisant un effet « trampoline ». Quelle en est la conséquence ?")</f>
        <v>Un joueur est surpris en possession d'une chistera modifiée illégalement, produisant un effet « trampoline ». Quelle en est la conséquence ?</v>
      </c>
      <c r="I78" s="6" t="str">
        <f>IFERROR(__xludf.DUMMYFUNCTION("GOOGLETRANSLATE(C78, ""en"", ""fr"")"),"A) Un avertissement, B) Forfait du match, C) Un point de pénalité, D) La chistera est simplement remplacée")</f>
        <v>A) Un avertissement, B) Forfait du match, C) Un point de pénalité, D) La chistera est simplement remplacée</v>
      </c>
      <c r="J78" s="6" t="str">
        <f>IFERROR(__xludf.DUMMYFUNCTION("GOOGLETRANSLATE(D78, ""en"", ""fr"")"),"B) Forfait du match")</f>
        <v>B) Forfait du match</v>
      </c>
      <c r="K78" s="6" t="str">
        <f>IFERROR(__xludf.DUMMYFUNCTION("GOOGLETRANSLATE(E78, ""en"", ""fr"")"),"Toute altération du matériel visant à obtenir un avantage indu constitue un acte de tricherie majeur et entraînerait la perte de la partie.")</f>
        <v>Toute altération du matériel visant à obtenir un avantage indu constitue un acte de tricherie majeur et entraînerait la perte de la partie.</v>
      </c>
    </row>
    <row r="79" ht="22.5" customHeight="1">
      <c r="A79" s="4">
        <v>78.0</v>
      </c>
      <c r="B79" s="5" t="s">
        <v>1233</v>
      </c>
      <c r="C79" s="5" t="s">
        <v>1234</v>
      </c>
      <c r="D79" s="5" t="s">
        <v>1235</v>
      </c>
      <c r="E79" s="5" t="s">
        <v>1236</v>
      </c>
      <c r="G79" s="6" t="str">
        <f>IFERROR(__xludf.DUMMYFUNCTION("GOOGLETRANSLATE(A79, ""en"", ""fr"")"),"78")</f>
        <v>78</v>
      </c>
      <c r="H79" s="6" t="str">
        <f>IFERROR(__xludf.DUMMYFUNCTION("GOOGLETRANSLATE(B79, ""en"", ""fr"")"),"Un joueur renvoie la balle, qui touche le mur avant, puis le mur arrière, puis le sol. Ce coup est-il autorisé ?")</f>
        <v>Un joueur renvoie la balle, qui touche le mur avant, puis le mur arrière, puis le sol. Ce coup est-il autorisé ?</v>
      </c>
      <c r="I79" s="6" t="str">
        <f>IFERROR(__xludf.DUMMYFUNCTION("GOOGLETRANSLATE(C79, ""en"", ""fr"")"),"A) Non, la bille doit rebondir avant de toucher le mur du fond. B) Oui, c'est un coup de carambole légal. C) Le point est rejoué. D) C'est une faute.")</f>
        <v>A) Non, la bille doit rebondir avant de toucher le mur du fond. B) Oui, c'est un coup de carambole légal. C) Le point est rejoué. D) C'est une faute.</v>
      </c>
      <c r="J79" s="6" t="str">
        <f>IFERROR(__xludf.DUMMYFUNCTION("GOOGLETRANSLATE(D79, ""en"", ""fr"")"),"B) Oui, il s'agit d'un coup de carambole légal.")</f>
        <v>B) Oui, il s'agit d'un coup de carambole légal.</v>
      </c>
      <c r="K79" s="6" t="str">
        <f>IFERROR(__xludf.DUMMYFUNCTION("GOOGLETRANSLATE(E79, ""en"", ""fr"")"),"L'utilisation du mur arrière (rebote) est un élément clé de la stratégie, en particulier dans le fronton à trois murs.")</f>
        <v>L'utilisation du mur arrière (rebote) est un élément clé de la stratégie, en particulier dans le fronton à trois murs.</v>
      </c>
    </row>
    <row r="80" ht="22.5" customHeight="1">
      <c r="A80" s="4">
        <v>79.0</v>
      </c>
      <c r="B80" s="5" t="s">
        <v>1160</v>
      </c>
      <c r="C80" s="5" t="s">
        <v>1161</v>
      </c>
      <c r="D80" s="5" t="s">
        <v>1162</v>
      </c>
      <c r="E80" s="5" t="s">
        <v>1163</v>
      </c>
      <c r="G80" s="6" t="str">
        <f>IFERROR(__xludf.DUMMYFUNCTION("GOOGLETRANSLATE(A80, ""en"", ""fr"")"),"79")</f>
        <v>79</v>
      </c>
      <c r="H80" s="6" t="str">
        <f>IFERROR(__xludf.DUMMYFUNCTION("GOOGLETRANSLATE(B80, ""en"", ""fr"")"),"Quel est le rôle de la ligne rouge, ou chapa, en bas du mur avant ?")</f>
        <v>Quel est le rôle de la ligne rouge, ou chapa, en bas du mur avant ?</v>
      </c>
      <c r="I80" s="6" t="str">
        <f>IFERROR(__xludf.DUMMYFUNCTION("GOOGLETRANSLATE(C80, ""en"", ""fr"")"),"A) C'est la cible. B) Elle marque la limite du terrain ; tout tir la touchant ou la touchant en dessous est une faute. C) C'est une ligne de service. D) Elle est décorative.")</f>
        <v>A) C'est la cible. B) Elle marque la limite du terrain ; tout tir la touchant ou la touchant en dessous est une faute. C) C'est une ligne de service. D) Elle est décorative.</v>
      </c>
      <c r="J80" s="6" t="str">
        <f>IFERROR(__xludf.DUMMYFUNCTION("GOOGLETRANSLATE(D80, ""en"", ""fr"")"),"B) Elle marque la zone hors limites ; tout coup qui la touche ou qui la touche en dessous est une faute.")</f>
        <v>B) Elle marque la zone hors limites ; tout coup qui la touche ou qui la touche en dessous est une faute.</v>
      </c>
      <c r="K80" s="6" t="str">
        <f>IFERROR(__xludf.DUMMYFUNCTION("GOOGLETRANSLATE(E80, ""en"", ""fr"")"),"Le chapa est une bande métallique qui émet un bruit fort lorsqu'on la frappe, signalant clairement qu'un tir était trop bas et constitue une faute.")</f>
        <v>Le chapa est une bande métallique qui émet un bruit fort lorsqu'on la frappe, signalant clairement qu'un tir était trop bas et constitue une faute.</v>
      </c>
    </row>
    <row r="81" ht="22.5" customHeight="1">
      <c r="A81" s="4">
        <v>80.0</v>
      </c>
      <c r="B81" s="5" t="s">
        <v>1237</v>
      </c>
      <c r="C81" s="5" t="s">
        <v>1238</v>
      </c>
      <c r="D81" s="5" t="s">
        <v>1239</v>
      </c>
      <c r="E81" s="5" t="s">
        <v>1240</v>
      </c>
      <c r="G81" s="6" t="str">
        <f>IFERROR(__xludf.DUMMYFUNCTION("GOOGLETRANSLATE(A81, ""en"", ""fr"")"),"80")</f>
        <v>80</v>
      </c>
      <c r="H81" s="6" t="str">
        <f>IFERROR(__xludf.DUMMYFUNCTION("GOOGLETRANSLATE(B81, ""en"", ""fr"")"),"Quel est le but de la ceinture rouge (faja) portée par les joueurs ?")</f>
        <v>Quel est le but de la ceinture rouge (faja) portée par les joueurs ?</v>
      </c>
      <c r="I81" s="6" t="str">
        <f>IFERROR(__xludf.DUMMYFUNCTION("GOOGLETRANSLATE(C81, ""en"", ""fr"")"),"A) Il est purement décoratif, B) Il permet d'identifier l'équipe à laquelle appartient un joueur (rouge ou bleu), C) Il offre un soutien dorsal, D) Il symbolise leur grade")</f>
        <v>A) Il est purement décoratif, B) Il permet d'identifier l'équipe à laquelle appartient un joueur (rouge ou bleu), C) Il offre un soutien dorsal, D) Il symbolise leur grade</v>
      </c>
      <c r="J81" s="6" t="str">
        <f>IFERROR(__xludf.DUMMYFUNCTION("GOOGLETRANSLATE(D81, ""en"", ""fr"")"),"B) Il permet d'identifier l'équipe à laquelle appartient un joueur (rouge ou bleue).")</f>
        <v>B) Il permet d'identifier l'équipe à laquelle appartient un joueur (rouge ou bleue).</v>
      </c>
      <c r="K81" s="6" t="str">
        <f>IFERROR(__xludf.DUMMYFUNCTION("GOOGLETRANSLATE(E81, ""en"", ""fr"")"),"Lors d'un match en double, une équipe porte des écharpes rouges et l'autre des écharpes bleues pour une identification claire.")</f>
        <v>Lors d'un match en double, une équipe porte des écharpes rouges et l'autre des écharpes bleues pour une identification claire.</v>
      </c>
    </row>
    <row r="82" ht="22.5" customHeight="1">
      <c r="A82" s="4">
        <v>81.0</v>
      </c>
      <c r="B82" s="5" t="s">
        <v>1241</v>
      </c>
      <c r="C82" s="5" t="s">
        <v>1101</v>
      </c>
      <c r="D82" s="5" t="s">
        <v>1242</v>
      </c>
      <c r="E82" s="5" t="s">
        <v>1243</v>
      </c>
      <c r="G82" s="6" t="str">
        <f>IFERROR(__xludf.DUMMYFUNCTION("GOOGLETRANSLATE(A82, ""en"", ""fr"")"),"81")</f>
        <v>81</v>
      </c>
      <c r="H82" s="6" t="str">
        <f>IFERROR(__xludf.DUMMYFUNCTION("GOOGLETRANSLATE(B82, ""en"", ""fr"")"),"Un joueur sert, et la balle touche la ligne entre le mur frontal et le mur latéral. Quelle est la décision ?")</f>
        <v>Un joueur sert, et la balle touche la ligne entre le mur frontal et le mur latéral. Quelle est la décision ?</v>
      </c>
      <c r="I82" s="6" t="str">
        <f>IFERROR(__xludf.DUMMYFUNCTION("GOOGLETRANSLATE(C82, ""en"", ""fr"")"),"A) Service régulier, B) Faute, C) Point rejoué, D) Choix de l'adversaire")</f>
        <v>A) Service régulier, B) Faute, C) Point rejoué, D) Choix de l'adversaire</v>
      </c>
      <c r="J82" s="6" t="str">
        <f>IFERROR(__xludf.DUMMYFUNCTION("GOOGLETRANSLATE(D82, ""en"", ""fr"")"),"A) Un service légal")</f>
        <v>A) Un service légal</v>
      </c>
      <c r="K82" s="6" t="str">
        <f>IFERROR(__xludf.DUMMYFUNCTION("GOOGLETRANSLATE(E82, ""en"", ""fr"")"),"Contrairement à la ligne tracée au sol, le coin où deux surfaces de jeu se rejoignent est considéré comme « dedans ».")</f>
        <v>Contrairement à la ligne tracée au sol, le coin où deux surfaces de jeu se rejoignent est considéré comme « dedans ».</v>
      </c>
    </row>
    <row r="83" ht="22.5" customHeight="1">
      <c r="A83" s="4">
        <v>82.0</v>
      </c>
      <c r="B83" s="5" t="s">
        <v>1136</v>
      </c>
      <c r="C83" s="5" t="s">
        <v>1244</v>
      </c>
      <c r="D83" s="5" t="s">
        <v>1245</v>
      </c>
      <c r="E83" s="5" t="s">
        <v>1246</v>
      </c>
      <c r="G83" s="6" t="str">
        <f>IFERROR(__xludf.DUMMYFUNCTION("GOOGLETRANSLATE(A83, ""en"", ""fr"")"),"82")</f>
        <v>82</v>
      </c>
      <c r="H83" s="6" t="str">
        <f>IFERROR(__xludf.DUMMYFUNCTION("GOOGLETRANSLATE(B83, ""en"", ""fr"")"),"Qu'est-ce qu'un « dos paredes » ?")</f>
        <v>Qu'est-ce qu'un « dos paredes » ?</v>
      </c>
      <c r="I83" s="6" t="str">
        <f>IFERROR(__xludf.DUMMYFUNCTION("GOOGLETRANSLATE(C83, ""en"", ""fr"")"),"A) Un coup qui touche deux murs (par exemple, le côté puis l'avant), B) Un type de service, C) Un mouvement défensif, D) Un terme désignant un match de double")</f>
        <v>A) Un coup qui touche deux murs (par exemple, le côté puis l'avant), B) Un type de service, C) Un mouvement défensif, D) Un terme désignant un match de double</v>
      </c>
      <c r="J83" s="6" t="str">
        <f>IFERROR(__xludf.DUMMYFUNCTION("GOOGLETRANSLATE(D83, ""en"", ""fr"")"),"A) Un tir qui touche deux murs (par exemple, le côté puis l'avant)")</f>
        <v>A) Un tir qui touche deux murs (par exemple, le côté puis l'avant)</v>
      </c>
      <c r="K83" s="6" t="str">
        <f>IFERROR(__xludf.DUMMYFUNCTION("GOOGLETRANSLATE(E83, ""en"", ""fr"")"),"Le tir « à deux murs » est une tactique courante où la balle est frappée contre le mur latéral puis contre le mur frontal pour créer un angle difficile.")</f>
        <v>Le tir « à deux murs » est une tactique courante où la balle est frappée contre le mur latéral puis contre le mur frontal pour créer un angle difficile.</v>
      </c>
    </row>
    <row r="84" ht="22.5" customHeight="1">
      <c r="A84" s="4">
        <v>83.0</v>
      </c>
      <c r="B84" s="5" t="s">
        <v>1247</v>
      </c>
      <c r="C84" s="5" t="s">
        <v>1248</v>
      </c>
      <c r="D84" s="5" t="s">
        <v>1249</v>
      </c>
      <c r="E84" s="5" t="s">
        <v>1143</v>
      </c>
      <c r="G84" s="6" t="str">
        <f>IFERROR(__xludf.DUMMYFUNCTION("GOOGLETRANSLATE(A84, ""en"", ""fr"")"),"83")</f>
        <v>83</v>
      </c>
      <c r="H84" s="6" t="str">
        <f>IFERROR(__xludf.DUMMYFUNCTION("GOOGLETRANSLATE(B84, ""en"", ""fr"")"),"Au jeu de Xare, comment se joue la balle ?")</f>
        <v>Au jeu de Xare, comment se joue la balle ?</v>
      </c>
      <c r="I84" s="6" t="str">
        <f>IFERROR(__xludf.DUMMYFUNCTION("GOOGLETRANSLATE(C84, ""en"", ""fr"")"),"A) Elle est frappée directement avec la raquette, B) Elle est prise dans les cordes lâches de la raquette puis lancée, C) Elle est frappée avec la main, D) Elle est frappée du pied")</f>
        <v>A) Elle est frappée directement avec la raquette, B) Elle est prise dans les cordes lâches de la raquette puis lancée, C) Elle est frappée avec la main, D) Elle est frappée du pied</v>
      </c>
      <c r="J84" s="6" t="str">
        <f>IFERROR(__xludf.DUMMYFUNCTION("GOOGLETRANSLATE(D84, ""en"", ""fr"")"),"B) Il est pris dans les cordes lâches de la raquette puis jeté")</f>
        <v>B) Il est pris dans les cordes lâches de la raquette puis jeté</v>
      </c>
      <c r="K84" s="6" t="str">
        <f>IFERROR(__xludf.DUMMYFUNCTION("GOOGLETRANSLATE(E84, ""en"", ""fr"")"),"Le xare (ou « raquette argentine ») utilise une raquette unique qui ressemble à une crosse de lacrosse, servant à attraper et à lancer la balle molle.")</f>
        <v>Le xare (ou « raquette argentine ») utilise une raquette unique qui ressemble à une crosse de lacrosse, servant à attraper et à lancer la balle molle.</v>
      </c>
    </row>
    <row r="85" ht="22.5" customHeight="1">
      <c r="A85" s="4">
        <v>84.0</v>
      </c>
      <c r="B85" s="5" t="s">
        <v>1250</v>
      </c>
      <c r="C85" s="5" t="s">
        <v>1251</v>
      </c>
      <c r="D85" s="5" t="s">
        <v>931</v>
      </c>
      <c r="E85" s="5" t="s">
        <v>1252</v>
      </c>
      <c r="G85" s="6" t="str">
        <f>IFERROR(__xludf.DUMMYFUNCTION("GOOGLETRANSLATE(A85, ""en"", ""fr"")"),"84")</f>
        <v>84</v>
      </c>
      <c r="H85" s="6" t="str">
        <f>IFERROR(__xludf.DUMMYFUNCTION("GOOGLETRANSLATE(B85, ""en"", ""fr"")"),"Un joueur de l'équipe A frappe la balle. Celle-ci heurte le mur frontal, puis un joueur de l'équipe B avant de rebondir. Quelle est la décision ?")</f>
        <v>Un joueur de l'équipe A frappe la balle. Celle-ci heurte le mur frontal, puis un joueur de l'équipe B avant de rebondir. Quelle est la décision ?</v>
      </c>
      <c r="I85" s="6" t="str">
        <f>IFERROR(__xludf.DUMMYFUNCTION("GOOGLETRANSLATE(C85, ""en"", ""fr"")"),"A) Point pour l'équipe A, B) Point pour l'équipe B, C) Le point est rejoué, D) Faute du smasheur pour jeu dangereux")</f>
        <v>A) Point pour l'équipe A, B) Point pour l'équipe B, C) Le point est rejoué, D) Faute du smasheur pour jeu dangereux</v>
      </c>
      <c r="J85" s="6" t="str">
        <f>IFERROR(__xludf.DUMMYFUNCTION("GOOGLETRANSLATE(D85, ""en"", ""fr"")"),"A) Un point pour l'équipe A")</f>
        <v>A) Un point pour l'équipe A</v>
      </c>
      <c r="K85" s="6" t="str">
        <f>IFERROR(__xludf.DUMMYFUNCTION("GOOGLETRANSLATE(E85, ""en"", ""fr"")"),"Si la balle touche un adversaire avant de toucher le sol, l'équipe qui a frappé remporte le point.")</f>
        <v>Si la balle touche un adversaire avant de toucher le sol, l'équipe qui a frappé remporte le point.</v>
      </c>
    </row>
    <row r="86" ht="22.5" customHeight="1">
      <c r="A86" s="4">
        <v>85.0</v>
      </c>
      <c r="B86" s="5" t="s">
        <v>1253</v>
      </c>
      <c r="C86" s="5" t="s">
        <v>1254</v>
      </c>
      <c r="D86" s="5" t="s">
        <v>433</v>
      </c>
      <c r="E86" s="5" t="s">
        <v>1255</v>
      </c>
      <c r="G86" s="6" t="str">
        <f>IFERROR(__xludf.DUMMYFUNCTION("GOOGLETRANSLATE(A86, ""en"", ""fr"")"),"85")</f>
        <v>85</v>
      </c>
      <c r="H86" s="6" t="str">
        <f>IFERROR(__xludf.DUMMYFUNCTION("GOOGLETRANSLATE(B86, ""en"", ""fr"")"),"Quelle est la principale raison pour laquelle la pelote basque est un sport physiquement exigeant ?")</f>
        <v>Quelle est la principale raison pour laquelle la pelote basque est un sport physiquement exigeant ?</v>
      </c>
      <c r="I86" s="6" t="str">
        <f>IFERROR(__xludf.DUMMYFUNCTION("GOOGLETRANSLATE(C86, ""en"", ""fr"")"),"A) Le terrain est très grand, ce qui oblige à courir constamment. B) La balle est lourde et dure. C) La cristera est lourde. D) Toutes les réponses ci-dessus.")</f>
        <v>A) Le terrain est très grand, ce qui oblige à courir constamment. B) La balle est lourde et dure. C) La cristera est lourde. D) Toutes les réponses ci-dessus.</v>
      </c>
      <c r="J86" s="6" t="str">
        <f>IFERROR(__xludf.DUMMYFUNCTION("GOOGLETRANSLATE(D86, ""en"", ""fr"")"),"D) Toutes les réponses ci-dessus")</f>
        <v>D) Toutes les réponses ci-dessus</v>
      </c>
      <c r="K86" s="6" t="str">
        <f>IFERROR(__xludf.DUMMYFUNCTION("GOOGLETRANSLATE(E86, ""en"", ""fr"")"),"La combinaison d'un grand terrain, d'une balle rapide et lourde et de mouvements dynamiques en fait un sport incroyablement athlétique.")</f>
        <v>La combinaison d'un grand terrain, d'une balle rapide et lourde et de mouvements dynamiques en fait un sport incroyablement athlétique.</v>
      </c>
    </row>
    <row r="87" ht="22.5" customHeight="1">
      <c r="A87" s="4">
        <v>86.0</v>
      </c>
      <c r="B87" s="5" t="s">
        <v>1203</v>
      </c>
      <c r="C87" s="5" t="s">
        <v>1204</v>
      </c>
      <c r="D87" s="5" t="s">
        <v>1205</v>
      </c>
      <c r="E87" s="5" t="s">
        <v>1256</v>
      </c>
      <c r="G87" s="6" t="str">
        <f>IFERROR(__xludf.DUMMYFUNCTION("GOOGLETRANSLATE(A87, ""en"", ""fr"")"),"86")</f>
        <v>86</v>
      </c>
      <c r="H87" s="6" t="str">
        <f>IFERROR(__xludf.DUMMYFUNCTION("GOOGLETRANSLATE(B87, ""en"", ""fr"")"),"Un joueur reçoit un avertissement pour « interférence ». Qu'a-t-il bien pu faire ?")</f>
        <v>Un joueur reçoit un avertissement pour « interférence ». Qu'a-t-il bien pu faire ?</v>
      </c>
      <c r="I87" s="6" t="str">
        <f>IFERROR(__xludf.DUMMYFUNCTION("GOOGLETRANSLATE(C87, ""en"", ""fr"")"),"A) A frappé la balle trop fort, B) S'est placé de manière à bloquer le passage de l'adversaire vers la balle, C) A parlé à son partenaire, D) A contesté l'arbitre")</f>
        <v>A) A frappé la balle trop fort, B) S'est placé de manière à bloquer le passage de l'adversaire vers la balle, C) A parlé à son partenaire, D) A contesté l'arbitre</v>
      </c>
      <c r="J87" s="6" t="str">
        <f>IFERROR(__xludf.DUMMYFUNCTION("GOOGLETRANSLATE(D87, ""en"", ""fr"")"),"B) S'est placé de manière à bloquer le passage de l'adversaire vers la balle")</f>
        <v>B) S'est placé de manière à bloquer le passage de l'adversaire vers la balle</v>
      </c>
      <c r="K87" s="6" t="str">
        <f>IFERROR(__xludf.DUMMYFUNCTION("GOOGLETRANSLATE(E87, ""en"", ""fr"")"),"Un joueur ne peut pas intentionnellement obstruer les mouvements ou la ligne de vue d'un adversaire vers le ballon. Il s'agit d'une faute.")</f>
        <v>Un joueur ne peut pas intentionnellement obstruer les mouvements ou la ligne de vue d'un adversaire vers le ballon. Il s'agit d'une faute.</v>
      </c>
    </row>
    <row r="88" ht="22.5" customHeight="1">
      <c r="A88" s="4">
        <v>87.0</v>
      </c>
      <c r="B88" s="5" t="s">
        <v>1257</v>
      </c>
      <c r="C88" s="5" t="s">
        <v>1258</v>
      </c>
      <c r="D88" s="5" t="s">
        <v>1259</v>
      </c>
      <c r="E88" s="5" t="s">
        <v>1260</v>
      </c>
      <c r="G88" s="6" t="str">
        <f>IFERROR(__xludf.DUMMYFUNCTION("GOOGLETRANSLATE(A88, ""en"", ""fr"")"),"87")</f>
        <v>87</v>
      </c>
      <c r="H88" s="6" t="str">
        <f>IFERROR(__xludf.DUMMYFUNCTION("GOOGLETRANSLATE(B88, ""en"", ""fr"")"),"Un joueur sert. La balle touche le mur frontal, puis le sol dans le carré de service réglementaire, et enfin le mur du fond. Ce service est-il valide ?")</f>
        <v>Un joueur sert. La balle touche le mur frontal, puis le sol dans le carré de service réglementaire, et enfin le mur du fond. Ce service est-il valide ?</v>
      </c>
      <c r="I88" s="6" t="str">
        <f>IFERROR(__xludf.DUMMYFUNCTION("GOOGLETRANSLATE(C88, ""en"", ""fr"")"),"A) Non, la balle doit être renvoyée avant de toucher le mur du fond. B) Oui, c'est un service régulier. C) Le point est rejoué. D) C'est une faute.")</f>
        <v>A) Non, la balle doit être renvoyée avant de toucher le mur du fond. B) Oui, c'est un service régulier. C) Le point est rejoué. D) C'est une faute.</v>
      </c>
      <c r="J88" s="6" t="str">
        <f>IFERROR(__xludf.DUMMYFUNCTION("GOOGLETRANSLATE(D88, ""en"", ""fr"")"),"B) Oui, c'est un service légal")</f>
        <v>B) Oui, c'est un service légal</v>
      </c>
      <c r="K88" s="6" t="str">
        <f>IFERROR(__xludf.DUMMYFUNCTION("GOOGLETRANSLATE(E88, ""en"", ""fr"")"),"Tant que le service touche le mur frontal et rebondit dans la zone prévue, la balle est valable, même si elle touche ensuite le mur du fond.")</f>
        <v>Tant que le service touche le mur frontal et rebondit dans la zone prévue, la balle est valable, même si elle touche ensuite le mur du fond.</v>
      </c>
    </row>
    <row r="89" ht="22.5" customHeight="1">
      <c r="A89" s="4">
        <v>88.0</v>
      </c>
      <c r="B89" s="5" t="s">
        <v>1184</v>
      </c>
      <c r="C89" s="5" t="s">
        <v>1185</v>
      </c>
      <c r="D89" s="5" t="s">
        <v>1186</v>
      </c>
      <c r="E89" s="5" t="s">
        <v>1187</v>
      </c>
      <c r="G89" s="6" t="str">
        <f>IFERROR(__xludf.DUMMYFUNCTION("GOOGLETRANSLATE(A89, ""en"", ""fr"")"),"88")</f>
        <v>88</v>
      </c>
      <c r="H89" s="6" t="str">
        <f>IFERROR(__xludf.DUMMYFUNCTION("GOOGLETRANSLATE(B89, ""en"", ""fr"")"),"Quel est le rôle principal de la Fédération internationale de pelote basque (FIPV) ?")</f>
        <v>Quel est le rôle principal de la Fédération internationale de pelote basque (FIPV) ?</v>
      </c>
      <c r="I89" s="6" t="str">
        <f>IFERROR(__xludf.DUMMYFUNCTION("GOOGLETRANSLATE(C89, ""en"", ""fr"")"),"A) Organiser des paris professionnels, B) Gouverner le sport, normaliser les règles et organiser des championnats du monde, C) Entraîner l'équipe nationale espagnole, D) Fabriquer l'équipement")</f>
        <v>A) Organiser des paris professionnels, B) Gouverner le sport, normaliser les règles et organiser des championnats du monde, C) Entraîner l'équipe nationale espagnole, D) Fabriquer l'équipement</v>
      </c>
      <c r="J89" s="6" t="str">
        <f>IFERROR(__xludf.DUMMYFUNCTION("GOOGLETRANSLATE(D89, ""en"", ""fr"")"),"B) Gouverner le sport, normaliser les règles et organiser les championnats du monde")</f>
        <v>B) Gouverner le sport, normaliser les règles et organiser les championnats du monde</v>
      </c>
      <c r="K89" s="6" t="str">
        <f>IFERROR(__xludf.DUMMYFUNCTION("GOOGLETRANSLATE(E89, ""en"", ""fr"")"),"La FIPV est l'instance dirigeante mondiale chargée de l'administration et de la promotion de toutes les modalités officielles de ce sport.")</f>
        <v>La FIPV est l'instance dirigeante mondiale chargée de l'administration et de la promotion de toutes les modalités officielles de ce sport.</v>
      </c>
    </row>
    <row r="90" ht="22.5" customHeight="1">
      <c r="A90" s="4">
        <v>89.0</v>
      </c>
      <c r="B90" s="5" t="s">
        <v>1261</v>
      </c>
      <c r="C90" s="5" t="s">
        <v>1262</v>
      </c>
      <c r="D90" s="5" t="s">
        <v>1263</v>
      </c>
      <c r="E90" s="5" t="s">
        <v>1264</v>
      </c>
      <c r="G90" s="6" t="str">
        <f>IFERROR(__xludf.DUMMYFUNCTION("GOOGLETRANSLATE(A90, ""en"", ""fr"")"),"89")</f>
        <v>89</v>
      </c>
      <c r="H90" s="6" t="str">
        <f>IFERROR(__xludf.DUMMYFUNCTION("GOOGLETRANSLATE(B90, ""en"", ""fr"")"),"Dans un match de double, qui peut renvoyer la balle ?")</f>
        <v>Dans un match de double, qui peut renvoyer la balle ?</v>
      </c>
      <c r="I90" s="6" t="str">
        <f>IFERROR(__xludf.DUMMYFUNCTION("GOOGLETRANSLATE(C90, ""en"", ""fr"")"),"A) Seul le joueur situé en zone avant, B) Seul le joueur situé en zone arrière, C) L'un ou l'autre des deux joueurs de l'équipe, D) Ils doivent frapper la balle à tour de rôle")</f>
        <v>A) Seul le joueur situé en zone avant, B) Seul le joueur situé en zone arrière, C) L'un ou l'autre des deux joueurs de l'équipe, D) Ils doivent frapper la balle à tour de rôle</v>
      </c>
      <c r="J90" s="6" t="str">
        <f>IFERROR(__xludf.DUMMYFUNCTION("GOOGLETRANSLATE(D90, ""en"", ""fr"")"),"C) L'un ou l'autre des deux joueurs de l'équipe")</f>
        <v>C) L'un ou l'autre des deux joueurs de l'équipe</v>
      </c>
      <c r="K90" s="6" t="str">
        <f>IFERROR(__xludf.DUMMYFUNCTION("GOOGLETRANSLATE(E90, ""en"", ""fr"")"),"En double, chaque partenaire peut légalement jouer la balle au tour de son équipe.")</f>
        <v>En double, chaque partenaire peut légalement jouer la balle au tour de son équipe.</v>
      </c>
    </row>
    <row r="91" ht="22.5" customHeight="1">
      <c r="A91" s="4">
        <v>90.0</v>
      </c>
      <c r="B91" s="5" t="s">
        <v>1265</v>
      </c>
      <c r="C91" s="5" t="s">
        <v>1266</v>
      </c>
      <c r="D91" s="5" t="s">
        <v>1267</v>
      </c>
      <c r="E91" s="5" t="s">
        <v>1268</v>
      </c>
      <c r="G91" s="6" t="str">
        <f>IFERROR(__xludf.DUMMYFUNCTION("GOOGLETRANSLATE(A91, ""en"", ""fr"")"),"90")</f>
        <v>90</v>
      </c>
      <c r="H91" s="6" t="str">
        <f>IFERROR(__xludf.DUMMYFUNCTION("GOOGLETRANSLATE(B91, ""en"", ""fr"")"),"Quelle est la principale raison de la construction très spécifique et complexe de la pelota (balle) ?")</f>
        <v>Quelle est la principale raison de la construction très spécifique et complexe de la pelota (balle) ?</v>
      </c>
      <c r="I91" s="6" t="str">
        <f>IFERROR(__xludf.DUMMYFUNCTION("GOOGLETRANSLATE(C91, ""en"", ""fr"")"),"A) Pour le rendre très coûteux, B) Pour créer un projectile présentant une combinaison unique de dureté extrême, de vitesse et de rebond constant, C) C'est une tradition sans utilité pratique, D) Pour le rendre facile à voir")</f>
        <v>A) Pour le rendre très coûteux, B) Pour créer un projectile présentant une combinaison unique de dureté extrême, de vitesse et de rebond constant, C) C'est une tradition sans utilité pratique, D) Pour le rendre facile à voir</v>
      </c>
      <c r="J91" s="6" t="str">
        <f>IFERROR(__xludf.DUMMYFUNCTION("GOOGLETRANSLATE(D91, ""en"", ""fr"")"),"B) Créer un projectile présentant une combinaison unique de dureté extrême, de vitesse et de rebond constant")</f>
        <v>B) Créer un projectile présentant une combinaison unique de dureté extrême, de vitesse et de rebond constant</v>
      </c>
      <c r="K91" s="6" t="str">
        <f>IFERROR(__xludf.DUMMYFUNCTION("GOOGLETRANSLATE(E91, ""en"", ""fr"")"),"Sa construction multicouche est un savoir-faire conçu pour produire un ballon capable de résister aux forces incroyables du jeu.")</f>
        <v>Sa construction multicouche est un savoir-faire conçu pour produire un ballon capable de résister aux forces incroyables du jeu.</v>
      </c>
    </row>
    <row r="92" ht="22.5" customHeight="1">
      <c r="A92" s="4">
        <v>91.0</v>
      </c>
      <c r="B92" s="5" t="s">
        <v>1038</v>
      </c>
      <c r="C92" s="5" t="s">
        <v>1269</v>
      </c>
      <c r="D92" s="5" t="s">
        <v>1270</v>
      </c>
      <c r="E92" s="5" t="s">
        <v>1041</v>
      </c>
      <c r="G92" s="6" t="str">
        <f>IFERROR(__xludf.DUMMYFUNCTION("GOOGLETRANSLATE(A92, ""en"", ""fr"")"),"91")</f>
        <v>91</v>
      </c>
      <c r="H92" s="6" t="str">
        <f>IFERROR(__xludf.DUMMYFUNCTION("GOOGLETRANSLATE(B92, ""en"", ""fr"")"),"Quel est le rôle du mur arrière (rebote) dans un fronton à trois murs ?")</f>
        <v>Quel est le rôle du mur arrière (rebote) dans un fronton à trois murs ?</v>
      </c>
      <c r="I92" s="6" t="str">
        <f>IFERROR(__xludf.DUMMYFUNCTION("GOOGLETRANSLATE(C92, ""en"", ""fr"")"),"A) C'est hors limites, B) C'est une surface de jeu active sur laquelle la balle peut être jouée, C) C'est là que se trouve le tableau d'affichage, D) C'est pour les spectateurs")</f>
        <v>A) C'est hors limites, B) C'est une surface de jeu active sur laquelle la balle peut être jouée, C) C'est là que se trouve le tableau d'affichage, D) C'est pour les spectateurs</v>
      </c>
      <c r="J92" s="6" t="str">
        <f>IFERROR(__xludf.DUMMYFUNCTION("GOOGLETRANSLATE(D92, ""en"", ""fr"")"),"B) Il s'agit d'une surface de jeu active sur laquelle la balle peut être jouée.")</f>
        <v>B) Il s'agit d'une surface de jeu active sur laquelle la balle peut être jouée.</v>
      </c>
      <c r="K92" s="6" t="str">
        <f>IFERROR(__xludf.DUMMYFUNCTION("GOOGLETRANSLATE(E92, ""en"", ""fr"")"),"Le mur du fond ajoute un élément stratégique complexe, permettant de longs échanges et différents types de coups qui rebondissent vers le mur avant.")</f>
        <v>Le mur du fond ajoute un élément stratégique complexe, permettant de longs échanges et différents types de coups qui rebondissent vers le mur avant.</v>
      </c>
    </row>
    <row r="93" ht="22.5" customHeight="1">
      <c r="A93" s="4">
        <v>92.0</v>
      </c>
      <c r="B93" s="5" t="s">
        <v>1156</v>
      </c>
      <c r="C93" s="5" t="s">
        <v>1157</v>
      </c>
      <c r="D93" s="5" t="s">
        <v>1158</v>
      </c>
      <c r="E93" s="5" t="s">
        <v>1159</v>
      </c>
      <c r="G93" s="6" t="str">
        <f>IFERROR(__xludf.DUMMYFUNCTION("GOOGLETRANSLATE(A93, ""en"", ""fr"")"),"92")</f>
        <v>92</v>
      </c>
      <c r="H93" s="6" t="str">
        <f>IFERROR(__xludf.DUMMYFUNCTION("GOOGLETRANSLATE(B93, ""en"", ""fr"")"),"Un joueur réussit un coup si rapide et si précis que son adversaire ne peut le toucher. Comment appelle-t-on cela ?")</f>
        <v>Un joueur réussit un coup si rapide et si précis que son adversaire ne peut le toucher. Comment appelle-t-on cela ?</v>
      </c>
      <c r="I93" s="6" t="str">
        <f>IFERROR(__xludf.DUMMYFUNCTION("GOOGLETRANSLATE(C93, ""en"", ""fr"")"),"A) Une faute, B) Un bon coup, C) Un gagnant, D) Un let")</f>
        <v>A) Une faute, B) Un bon coup, C) Un gagnant, D) Un let</v>
      </c>
      <c r="J93" s="6" t="str">
        <f>IFERROR(__xludf.DUMMYFUNCTION("GOOGLETRANSLATE(D93, ""en"", ""fr"")"),"C) Un gagnant")</f>
        <v>C) Un gagnant</v>
      </c>
      <c r="K93" s="6" t="str">
        <f>IFERROR(__xludf.DUMMYFUNCTION("GOOGLETRANSLATE(E93, ""en"", ""fr"")"),"Un « coup gagnant » est un tir offensif tellement efficace que l'adversaire ne parvient même pas à toucher le ballon.")</f>
        <v>Un « coup gagnant » est un tir offensif tellement efficace que l'adversaire ne parvient même pas à toucher le ballon.</v>
      </c>
    </row>
    <row r="94" ht="22.5" customHeight="1">
      <c r="A94" s="4">
        <v>93.0</v>
      </c>
      <c r="B94" s="5" t="s">
        <v>1192</v>
      </c>
      <c r="C94" s="5" t="s">
        <v>1193</v>
      </c>
      <c r="D94" s="5" t="s">
        <v>1150</v>
      </c>
      <c r="E94" s="5" t="s">
        <v>1194</v>
      </c>
      <c r="G94" s="6" t="str">
        <f>IFERROR(__xludf.DUMMYFUNCTION("GOOGLETRANSLATE(A94, ""en"", ""fr"")"),"93")</f>
        <v>93</v>
      </c>
      <c r="H94" s="6" t="str">
        <f>IFERROR(__xludf.DUMMYFUNCTION("GOOGLETRANSLATE(B94, ""en"", ""fr"")"),"Un joueur est surpris en possession d'un ballon modifié illégalement, qui rebondit anormalement. Quelle est la conséquence ?")</f>
        <v>Un joueur est surpris en possession d'un ballon modifié illégalement, qui rebondit anormalement. Quelle est la conséquence ?</v>
      </c>
      <c r="I94" s="6" t="str">
        <f>IFERROR(__xludf.DUMMYFUNCTION("GOOGLETRANSLATE(C94, ""en"", ""fr"")"),"A) Un avertissement, B) Perte du match, C) Un point de pénalité, D) Le ballon est simplement remplacé")</f>
        <v>A) Un avertissement, B) Perte du match, C) Un point de pénalité, D) Le ballon est simplement remplacé</v>
      </c>
      <c r="J94" s="6" t="str">
        <f>IFERROR(__xludf.DUMMYFUNCTION("GOOGLETRANSLATE(D94, ""en"", ""fr"")"),"B) Forfait du match")</f>
        <v>B) Forfait du match</v>
      </c>
      <c r="K94" s="6" t="str">
        <f>IFERROR(__xludf.DUMMYFUNCTION("GOOGLETRANSLATE(E94, ""en"", ""fr"")"),"Toute altération du ballon visant à obtenir un avantage indu constitue un acte de tricherie majeur et entraînerait la perte du match.")</f>
        <v>Toute altération du ballon visant à obtenir un avantage indu constitue un acte de tricherie majeur et entraînerait la perte du match.</v>
      </c>
    </row>
    <row r="95" ht="22.5" customHeight="1">
      <c r="A95" s="4">
        <v>94.0</v>
      </c>
      <c r="B95" s="5" t="s">
        <v>1218</v>
      </c>
      <c r="C95" s="5" t="s">
        <v>1219</v>
      </c>
      <c r="D95" s="5" t="s">
        <v>1130</v>
      </c>
      <c r="E95" s="5" t="s">
        <v>1131</v>
      </c>
      <c r="G95" s="6" t="str">
        <f>IFERROR(__xludf.DUMMYFUNCTION("GOOGLETRANSLATE(A95, ""en"", ""fr"")"),"94")</f>
        <v>94</v>
      </c>
      <c r="H95" s="6" t="str">
        <f>IFERROR(__xludf.DUMMYFUNCTION("GOOGLETRANSLATE(B95, ""en"", ""fr"")"),"Quelle est la principale raison pour laquelle la pelota jouit d'un statut culturel beaucoup plus élevé au Pays basque qu'ailleurs ?")</f>
        <v>Quelle est la principale raison pour laquelle la pelota jouit d'un statut culturel beaucoup plus élevé au Pays basque qu'ailleurs ?</v>
      </c>
      <c r="I95" s="6" t="str">
        <f>IFERROR(__xludf.DUMMYFUNCTION("GOOGLETRANSLATE(C95, ""en"", ""fr"")"),"A) C'est un symbole de leur identité nationale et culturelle unique, B) C'est le seul sport qu'ils pratiquent, C) Les prix y sont beaucoup plus élevés, D) Les meilleurs joueurs viennent tous de là-bas")</f>
        <v>A) C'est un symbole de leur identité nationale et culturelle unique, B) C'est le seul sport qu'ils pratiquent, C) Les prix y sont beaucoup plus élevés, D) Les meilleurs joueurs viennent tous de là-bas</v>
      </c>
      <c r="J95" s="6" t="str">
        <f>IFERROR(__xludf.DUMMYFUNCTION("GOOGLETRANSLATE(D95, ""en"", ""fr"")"),"A) C'est un symbole de leur identité nationale et culturelle unique")</f>
        <v>A) C'est un symbole de leur identité nationale et culturelle unique</v>
      </c>
      <c r="K95" s="6" t="str">
        <f>IFERROR(__xludf.DUMMYFUNCTION("GOOGLETRANSLATE(E95,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96" ht="22.5" customHeight="1">
      <c r="A96" s="4">
        <v>95.0</v>
      </c>
      <c r="B96" s="5" t="s">
        <v>1271</v>
      </c>
      <c r="C96" s="5" t="s">
        <v>1272</v>
      </c>
      <c r="D96" s="5" t="s">
        <v>1273</v>
      </c>
      <c r="E96" s="5" t="s">
        <v>1274</v>
      </c>
      <c r="G96" s="6" t="str">
        <f>IFERROR(__xludf.DUMMYFUNCTION("GOOGLETRANSLATE(A96, ""en"", ""fr"")"),"95")</f>
        <v>95</v>
      </c>
      <c r="H96" s="6" t="str">
        <f>IFERROR(__xludf.DUMMYFUNCTION("GOOGLETRANSLATE(B96, ""en"", ""fr"")"),"Quelle est la qualité la plus importante pour un pelotari qui joue main nue (à mains nues) ?")</f>
        <v>Quelle est la qualité la plus importante pour un pelotari qui joue main nue (à mains nues) ?</v>
      </c>
      <c r="I96" s="6" t="str">
        <f>IFERROR(__xludf.DUMMYFUNCTION("GOOGLETRANSLATE(C96, ""en"", ""fr"")"),"A) Vitesse, B) Agilité, C) Une tolérance à la douleur extrêmement élevée et des mains robustes, D) Une bonne écriture")</f>
        <v>A) Vitesse, B) Agilité, C) Une tolérance à la douleur extrêmement élevée et des mains robustes, D) Une bonne écriture</v>
      </c>
      <c r="J96" s="6" t="str">
        <f>IFERROR(__xludf.DUMMYFUNCTION("GOOGLETRANSLATE(D96, ""en"", ""fr"")"),"C) Une tolérance à la douleur extrêmement élevée et des mains robustes")</f>
        <v>C) Une tolérance à la douleur extrêmement élevée et des mains robustes</v>
      </c>
      <c r="K96" s="6" t="str">
        <f>IFERROR(__xludf.DUMMYFUNCTION("GOOGLETRANSLATE(E96, ""en"", ""fr"")"),"Ce sport consiste à frapper à répétition une balle très dure à mains nues, ce qui est incroyablement douloureux et exige des années d'entraînement.")</f>
        <v>Ce sport consiste à frapper à répétition une balle très dure à mains nues, ce qui est incroyablement douloureux et exige des années d'entraînement.</v>
      </c>
    </row>
    <row r="97" ht="22.5" customHeight="1">
      <c r="A97" s="4">
        <v>96.0</v>
      </c>
      <c r="B97" s="5" t="s">
        <v>1092</v>
      </c>
      <c r="C97" s="5" t="s">
        <v>1093</v>
      </c>
      <c r="D97" s="5" t="s">
        <v>1094</v>
      </c>
      <c r="E97" s="5" t="s">
        <v>1095</v>
      </c>
      <c r="G97" s="6" t="str">
        <f>IFERROR(__xludf.DUMMYFUNCTION("GOOGLETRANSLATE(A97, ""en"", ""fr"")"),"96")</f>
        <v>96</v>
      </c>
      <c r="H97" s="6" t="str">
        <f>IFERROR(__xludf.DUMMYFUNCTION("GOOGLETRANSLATE(B97, ""en"", ""fr"")"),"Un joueur porte un casque lors d'un match de pelote basque. Pourquoi est-ce une exigence moderne ?")</f>
        <v>Un joueur porte un casque lors d'un match de pelote basque. Pourquoi est-ce une exigence moderne ?</v>
      </c>
      <c r="I97" s="6" t="str">
        <f>IFERROR(__xludf.DUMMYFUNCTION("GOOGLETRANSLATE(C97,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97" s="6" t="str">
        <f>IFERROR(__xludf.DUMMYFUNCTION("GOOGLETRANSLATE(D97, ""en"", ""fr"")"),"B) L'incroyable vitesse de la balle peut être mortelle si elle frappe un joueur à la tête.")</f>
        <v>B) L'incroyable vitesse de la balle peut être mortelle si elle frappe un joueur à la tête.</v>
      </c>
      <c r="K97" s="6" t="str">
        <f>IFERROR(__xludf.DUMMYFUNCTION("GOOGLETRANSLATE(E97,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98" ht="22.5" customHeight="1">
      <c r="A98" s="4">
        <v>97.0</v>
      </c>
      <c r="B98" s="5" t="s">
        <v>1085</v>
      </c>
      <c r="C98" s="5" t="s">
        <v>1086</v>
      </c>
      <c r="D98" s="5" t="s">
        <v>1087</v>
      </c>
      <c r="E98" s="5" t="s">
        <v>1088</v>
      </c>
      <c r="G98" s="6" t="str">
        <f>IFERROR(__xludf.DUMMYFUNCTION("GOOGLETRANSLATE(A98, ""en"", ""fr"")"),"97")</f>
        <v>97</v>
      </c>
      <c r="H98" s="6" t="str">
        <f>IFERROR(__xludf.DUMMYFUNCTION("GOOGLETRANSLATE(B98, ""en"", ""fr"")"),"Quelle est la principale différence entre la paleta cuero et la paleta goma ?")</f>
        <v>Quelle est la principale différence entre la paleta cuero et la paleta goma ?</v>
      </c>
      <c r="I98" s="6" t="str">
        <f>IFERROR(__xludf.DUMMYFUNCTION("GOOGLETRANSLATE(C98, ""en"", ""fr"")"),"A) La taille du terrain, B) Le type de balle utilisée (balle en cuir ou balle en caoutchouc), C) Le nombre de joueurs, D) Le matériau de la raquette")</f>
        <v>A) La taille du terrain, B) Le type de balle utilisée (balle en cuir ou balle en caoutchouc), C) Le nombre de joueurs, D) Le matériau de la raquette</v>
      </c>
      <c r="J98" s="6" t="str">
        <f>IFERROR(__xludf.DUMMYFUNCTION("GOOGLETRANSLATE(D98, ""en"", ""fr"")"),"B) Le type de balle utilisée (balle en cuir ou balle en caoutchouc)")</f>
        <v>B) Le type de balle utilisée (balle en cuir ou balle en caoutchouc)</v>
      </c>
      <c r="K98" s="6" t="str">
        <f>IFERROR(__xludf.DUMMYFUNCTION("GOOGLETRANSLATE(E98, ""en"", ""fr"")"),"Il s'agit de deux modes de jeu de raquette différents : l'un se joue avec une balle traditionnelle en cuir dur et l'autre avec une balle en caoutchouc plus rebondissante.")</f>
        <v>Il s'agit de deux modes de jeu de raquette différents : l'un se joue avec une balle traditionnelle en cuir dur et l'autre avec une balle en caoutchouc plus rebondissante.</v>
      </c>
    </row>
    <row r="99" ht="22.5" customHeight="1">
      <c r="A99" s="4">
        <v>98.0</v>
      </c>
      <c r="B99" s="5" t="s">
        <v>1203</v>
      </c>
      <c r="C99" s="5" t="s">
        <v>1204</v>
      </c>
      <c r="D99" s="5" t="s">
        <v>1205</v>
      </c>
      <c r="E99" s="5" t="s">
        <v>1256</v>
      </c>
      <c r="G99" s="6" t="str">
        <f>IFERROR(__xludf.DUMMYFUNCTION("GOOGLETRANSLATE(A99, ""en"", ""fr"")"),"98")</f>
        <v>98</v>
      </c>
      <c r="H99" s="6" t="str">
        <f>IFERROR(__xludf.DUMMYFUNCTION("GOOGLETRANSLATE(B99, ""en"", ""fr"")"),"Un joueur reçoit un avertissement pour « interférence ». Qu'a-t-il bien pu faire ?")</f>
        <v>Un joueur reçoit un avertissement pour « interférence ». Qu'a-t-il bien pu faire ?</v>
      </c>
      <c r="I99" s="6" t="str">
        <f>IFERROR(__xludf.DUMMYFUNCTION("GOOGLETRANSLATE(C99, ""en"", ""fr"")"),"A) A frappé la balle trop fort, B) S'est placé de manière à bloquer le passage de l'adversaire vers la balle, C) A parlé à son partenaire, D) A contesté l'arbitre")</f>
        <v>A) A frappé la balle trop fort, B) S'est placé de manière à bloquer le passage de l'adversaire vers la balle, C) A parlé à son partenaire, D) A contesté l'arbitre</v>
      </c>
      <c r="J99" s="6" t="str">
        <f>IFERROR(__xludf.DUMMYFUNCTION("GOOGLETRANSLATE(D99, ""en"", ""fr"")"),"B) S'est placé de manière à bloquer le passage de l'adversaire vers la balle")</f>
        <v>B) S'est placé de manière à bloquer le passage de l'adversaire vers la balle</v>
      </c>
      <c r="K99" s="6" t="str">
        <f>IFERROR(__xludf.DUMMYFUNCTION("GOOGLETRANSLATE(E99, ""en"", ""fr"")"),"Un joueur ne peut pas intentionnellement obstruer les mouvements ou la ligne de vue d'un adversaire vers le ballon. Il s'agit d'une faute.")</f>
        <v>Un joueur ne peut pas intentionnellement obstruer les mouvements ou la ligne de vue d'un adversaire vers le ballon. Il s'agit d'une faute.</v>
      </c>
    </row>
    <row r="100" ht="22.5" customHeight="1">
      <c r="A100" s="4">
        <v>99.0</v>
      </c>
      <c r="B100" s="5" t="s">
        <v>1250</v>
      </c>
      <c r="C100" s="5" t="s">
        <v>1251</v>
      </c>
      <c r="D100" s="5" t="s">
        <v>931</v>
      </c>
      <c r="E100" s="5" t="s">
        <v>1252</v>
      </c>
      <c r="G100" s="6" t="str">
        <f>IFERROR(__xludf.DUMMYFUNCTION("GOOGLETRANSLATE(A100, ""en"", ""fr"")"),"99")</f>
        <v>99</v>
      </c>
      <c r="H100" s="6" t="str">
        <f>IFERROR(__xludf.DUMMYFUNCTION("GOOGLETRANSLATE(B100, ""en"", ""fr"")"),"Un joueur de l'équipe A frappe la balle. Celle-ci heurte le mur frontal, puis un joueur de l'équipe B avant de rebondir. Quelle est la décision ?")</f>
        <v>Un joueur de l'équipe A frappe la balle. Celle-ci heurte le mur frontal, puis un joueur de l'équipe B avant de rebondir. Quelle est la décision ?</v>
      </c>
      <c r="I100" s="6" t="str">
        <f>IFERROR(__xludf.DUMMYFUNCTION("GOOGLETRANSLATE(C100, ""en"", ""fr"")"),"A) Point pour l'équipe A, B) Point pour l'équipe B, C) Le point est rejoué, D) Faute du smasheur pour jeu dangereux")</f>
        <v>A) Point pour l'équipe A, B) Point pour l'équipe B, C) Le point est rejoué, D) Faute du smasheur pour jeu dangereux</v>
      </c>
      <c r="J100" s="6" t="str">
        <f>IFERROR(__xludf.DUMMYFUNCTION("GOOGLETRANSLATE(D100, ""en"", ""fr"")"),"A) Un point pour l'équipe A")</f>
        <v>A) Un point pour l'équipe A</v>
      </c>
      <c r="K100" s="6" t="str">
        <f>IFERROR(__xludf.DUMMYFUNCTION("GOOGLETRANSLATE(E100, ""en"", ""fr"")"),"Si la balle touche un adversaire avant de toucher le sol, l'équipe qui a frappé remporte le point.")</f>
        <v>Si la balle touche un adversaire avant de toucher le sol, l'équipe qui a frappé remporte le point.</v>
      </c>
    </row>
    <row r="101" ht="22.5" customHeight="1">
      <c r="A101" s="4">
        <v>100.0</v>
      </c>
      <c r="B101" s="5" t="s">
        <v>1275</v>
      </c>
      <c r="C101" s="5" t="s">
        <v>1276</v>
      </c>
      <c r="D101" s="5" t="s">
        <v>1277</v>
      </c>
      <c r="E101" s="5" t="s">
        <v>1278</v>
      </c>
      <c r="G101" s="6" t="str">
        <f>IFERROR(__xludf.DUMMYFUNCTION("GOOGLETRANSLATE(A101, ""en"", ""fr"")"),"100")</f>
        <v>100</v>
      </c>
      <c r="H101" s="6" t="str">
        <f>IFERROR(__xludf.DUMMYFUNCTION("GOOGLETRANSLATE(B101, ""en"", ""fr"")"),"Quel est l’héritage le plus durable du jeu de paume ?")</f>
        <v>Quel est l’héritage le plus durable du jeu de paume ?</v>
      </c>
      <c r="I101" s="6" t="str">
        <f>IFERROR(__xludf.DUMMYFUNCTION("GOOGLETRANSLATE(C101, ""en"", ""fr"")"),"A) C'est encore un sport populaire dans le monde entier. B) Il a fourni les règles, la terminologie et les concepts fondamentaux des sports modernes comme le tennis et la pelote basque. C) C'était le premier sport à utiliser une raquette. D) C'était un sp"&amp;"ort olympique.")</f>
        <v>A) C'est encore un sport populaire dans le monde entier. B) Il a fourni les règles, la terminologie et les concepts fondamentaux des sports modernes comme le tennis et la pelote basque. C) C'était le premier sport à utiliser une raquette. D) C'était un sport olympique.</v>
      </c>
      <c r="J101" s="6" t="str">
        <f>IFERROR(__xludf.DUMMYFUNCTION("GOOGLETRANSLATE(D101, ""en"", ""fr"")"),"B) Il a fourni les règles fondamentales, la terminologie et les concepts des sports modernes comme le tennis et la pelote basque.")</f>
        <v>B) Il a fourni les règles fondamentales, la terminologie et les concepts des sports modernes comme le tennis et la pelote basque.</v>
      </c>
      <c r="K101" s="6" t="str">
        <f>IFERROR(__xludf.DUMMYFUNCTION("GOOGLETRANSLATE(E101, ""en"", ""fr"")"),"L'ancien « jeu de la paume » est l'un des ancêtres les plus importants de l'histoire du sport, à l'origine de nombreux jeux de raquette et de balle modernes.")</f>
        <v>L'ancien « jeu de la paume » est l'un des ancêtres les plus importants de l'histoire du sport, à l'origine de nombreux jeux de raquette et de balle modernes.</v>
      </c>
    </row>
    <row r="102" ht="22.5" customHeight="1">
      <c r="A102" s="4">
        <v>101.0</v>
      </c>
      <c r="B102" s="5" t="s">
        <v>1132</v>
      </c>
      <c r="C102" s="5" t="s">
        <v>1133</v>
      </c>
      <c r="D102" s="5" t="s">
        <v>1134</v>
      </c>
      <c r="E102" s="5" t="s">
        <v>1135</v>
      </c>
      <c r="G102" s="6" t="str">
        <f>IFERROR(__xludf.DUMMYFUNCTION("GOOGLETRANSLATE(A102, ""en"", ""fr"")"),"101")</f>
        <v>101</v>
      </c>
      <c r="H102" s="6" t="str">
        <f>IFERROR(__xludf.DUMMYFUNCTION("GOOGLETRANSLATE(B102, ""en"", ""fr"")"),"Un joueur est touché par la balle pendant un échange. Quelle est la décision arbitrale ?")</f>
        <v>Un joueur est touché par la balle pendant un échange. Quelle est la décision arbitrale ?</v>
      </c>
      <c r="I102" s="6" t="str">
        <f>IFERROR(__xludf.DUMMYFUNCTION("GOOGLETRANSLATE(C102, ""en"", ""fr"")"),"A) Le joueur touché perd le point. B) Le point est rejoué. C) Le joueur qui a frappé la balle perd le point. D) Le joueur touché reçoit une pénalité.")</f>
        <v>A) Le joueur touché perd le point. B) Le point est rejoué. C) Le joueur qui a frappé la balle perd le point. D) Le joueur touché reçoit une pénalité.</v>
      </c>
      <c r="J102" s="6" t="str">
        <f>IFERROR(__xludf.DUMMYFUNCTION("GOOGLETRANSLATE(D102, ""en"", ""fr"")"),"A) Le joueur touché perd le point.")</f>
        <v>A) Le joueur touché perd le point.</v>
      </c>
      <c r="K102" s="6" t="str">
        <f>IFERROR(__xludf.DUMMYFUNCTION("GOOGLETRANSLATE(E102, ""en"", ""fr"")"),"Si la balle, après avoir heurté le mur frontal, touche un joueur avant d'avoir rebondi sur le sol, ce joueur est considéré comme « touché » et perd le point.")</f>
        <v>Si la balle, après avoir heurté le mur frontal, touche un joueur avant d'avoir rebondi sur le sol, ce joueur est considéré comme « touché » et perd le point.</v>
      </c>
    </row>
    <row r="103" ht="22.5" customHeight="1">
      <c r="A103" s="4">
        <v>102.0</v>
      </c>
      <c r="B103" s="5" t="s">
        <v>1136</v>
      </c>
      <c r="C103" s="5" t="s">
        <v>1137</v>
      </c>
      <c r="D103" s="5" t="s">
        <v>1138</v>
      </c>
      <c r="E103" s="5" t="s">
        <v>1139</v>
      </c>
      <c r="G103" s="6" t="str">
        <f>IFERROR(__xludf.DUMMYFUNCTION("GOOGLETRANSLATE(A103, ""en"", ""fr"")"),"102")</f>
        <v>102</v>
      </c>
      <c r="H103" s="6" t="str">
        <f>IFERROR(__xludf.DUMMYFUNCTION("GOOGLETRANSLATE(B103, ""en"", ""fr"")"),"Qu'est-ce qu'un « dos paredes » ?")</f>
        <v>Qu'est-ce qu'un « dos paredes » ?</v>
      </c>
      <c r="I103" s="6" t="str">
        <f>IFERROR(__xludf.DUMMYFUNCTION("GOOGLETRANSLATE(C103, ""en"", ""fr"")"),"A) Un coup qui touche deux murs, B) Un type de service, C) Un mouvement défensif, D) Un terme désignant un match de double")</f>
        <v>A) Un coup qui touche deux murs, B) Un type de service, C) Un mouvement défensif, D) Un terme désignant un match de double</v>
      </c>
      <c r="J103" s="6" t="str">
        <f>IFERROR(__xludf.DUMMYFUNCTION("GOOGLETRANSLATE(D103, ""en"", ""fr"")"),"A) Un tir qui touche deux murs")</f>
        <v>A) Un tir qui touche deux murs</v>
      </c>
      <c r="K103" s="6" t="str">
        <f>IFERROR(__xludf.DUMMYFUNCTION("GOOGLETRANSLATE(E103, ""en"", ""fr"")"),"Le tir « à deux murs » est une tactique courante où la balle est frappée contre le mur latéral puis contre le mur frontal, ou inversement, afin de créer un angle difficile.")</f>
        <v>Le tir « à deux murs » est une tactique courante où la balle est frappée contre le mur latéral puis contre le mur frontal, ou inversement, afin de créer un angle difficile.</v>
      </c>
    </row>
    <row r="104" ht="22.5" customHeight="1">
      <c r="A104" s="4">
        <v>103.0</v>
      </c>
      <c r="B104" s="5" t="s">
        <v>1140</v>
      </c>
      <c r="C104" s="5" t="s">
        <v>1141</v>
      </c>
      <c r="D104" s="5" t="s">
        <v>1142</v>
      </c>
      <c r="E104" s="5" t="s">
        <v>1143</v>
      </c>
      <c r="G104" s="6" t="str">
        <f>IFERROR(__xludf.DUMMYFUNCTION("GOOGLETRANSLATE(A104, ""en"", ""fr"")"),"103")</f>
        <v>103</v>
      </c>
      <c r="H104" s="6" t="str">
        <f>IFERROR(__xludf.DUMMYFUNCTION("GOOGLETRANSLATE(B104, ""en"", ""fr"")"),"Au jeu de Xare, à quoi ressemble la raquette ?")</f>
        <v>Au jeu de Xare, à quoi ressemble la raquette ?</v>
      </c>
      <c r="I104" s="6" t="str">
        <f>IFERROR(__xludf.DUMMYFUNCTION("GOOGLETRANSLATE(C104, ""en"", ""fr"")"),"A) Une pagaie en bois massif, B) Un panier tressé, C) Une raquette à cordes avec un tamis souple en forme de filet, D) Il n'y a pas de raquette")</f>
        <v>A) Une pagaie en bois massif, B) Un panier tressé, C) Une raquette à cordes avec un tamis souple en forme de filet, D) Il n'y a pas de raquette</v>
      </c>
      <c r="J104" s="6" t="str">
        <f>IFERROR(__xludf.DUMMYFUNCTION("GOOGLETRANSLATE(D104, ""en"", ""fr"")"),"C) Une raquette cordée avec un manche lâche en forme de filet")</f>
        <v>C) Une raquette cordée avec un manche lâche en forme de filet</v>
      </c>
      <c r="K104" s="6" t="str">
        <f>IFERROR(__xludf.DUMMYFUNCTION("GOOGLETRANSLATE(E104, ""en"", ""fr"")"),"Le xare (ou « raquette argentine ») utilise une raquette unique qui ressemble à une crosse de lacrosse, servant à attraper et à lancer la balle molle.")</f>
        <v>Le xare (ou « raquette argentine ») utilise une raquette unique qui ressemble à une crosse de lacrosse, servant à attraper et à lancer la balle molle.</v>
      </c>
    </row>
    <row r="105" ht="22.5" customHeight="1">
      <c r="A105" s="4">
        <v>104.0</v>
      </c>
      <c r="B105" s="5" t="s">
        <v>1192</v>
      </c>
      <c r="C105" s="5" t="s">
        <v>1193</v>
      </c>
      <c r="D105" s="5" t="s">
        <v>1150</v>
      </c>
      <c r="E105" s="5" t="s">
        <v>1194</v>
      </c>
      <c r="G105" s="6" t="str">
        <f>IFERROR(__xludf.DUMMYFUNCTION("GOOGLETRANSLATE(A105, ""en"", ""fr"")"),"104")</f>
        <v>104</v>
      </c>
      <c r="H105" s="6" t="str">
        <f>IFERROR(__xludf.DUMMYFUNCTION("GOOGLETRANSLATE(B105, ""en"", ""fr"")"),"Un joueur est surpris en possession d'un ballon modifié illégalement, qui rebondit anormalement. Quelle est la conséquence ?")</f>
        <v>Un joueur est surpris en possession d'un ballon modifié illégalement, qui rebondit anormalement. Quelle est la conséquence ?</v>
      </c>
      <c r="I105" s="6" t="str">
        <f>IFERROR(__xludf.DUMMYFUNCTION("GOOGLETRANSLATE(C105, ""en"", ""fr"")"),"A) Un avertissement, B) Perte du match, C) Un point de pénalité, D) Le ballon est simplement remplacé")</f>
        <v>A) Un avertissement, B) Perte du match, C) Un point de pénalité, D) Le ballon est simplement remplacé</v>
      </c>
      <c r="J105" s="6" t="str">
        <f>IFERROR(__xludf.DUMMYFUNCTION("GOOGLETRANSLATE(D105, ""en"", ""fr"")"),"B) Forfait du match")</f>
        <v>B) Forfait du match</v>
      </c>
      <c r="K105" s="6" t="str">
        <f>IFERROR(__xludf.DUMMYFUNCTION("GOOGLETRANSLATE(E105, ""en"", ""fr"")"),"Toute altération du ballon visant à obtenir un avantage indu constitue un acte de tricherie majeur et entraînerait la perte du match.")</f>
        <v>Toute altération du ballon visant à obtenir un avantage indu constitue un acte de tricherie majeur et entraînerait la perte du match.</v>
      </c>
    </row>
    <row r="106" ht="22.5" customHeight="1">
      <c r="A106" s="4">
        <v>105.0</v>
      </c>
      <c r="B106" s="5" t="s">
        <v>1128</v>
      </c>
      <c r="C106" s="5" t="s">
        <v>1219</v>
      </c>
      <c r="D106" s="5" t="s">
        <v>1130</v>
      </c>
      <c r="E106" s="5" t="s">
        <v>1131</v>
      </c>
      <c r="G106" s="6" t="str">
        <f>IFERROR(__xludf.DUMMYFUNCTION("GOOGLETRANSLATE(A106, ""en"", ""fr"")"),"105")</f>
        <v>105</v>
      </c>
      <c r="H106" s="6" t="str">
        <f>IFERROR(__xludf.DUMMYFUNCTION("GOOGLETRANSLATE(B106, ""en"", ""fr"")"),"Quelle est la principale raison pour laquelle Pelota jouit d'un statut culturel élevé au Pays basque ?")</f>
        <v>Quelle est la principale raison pour laquelle Pelota jouit d'un statut culturel élevé au Pays basque ?</v>
      </c>
      <c r="I106" s="6" t="str">
        <f>IFERROR(__xludf.DUMMYFUNCTION("GOOGLETRANSLATE(C106, ""en"", ""fr"")"),"A) C'est un symbole de leur identité nationale et culturelle unique, B) C'est le seul sport qu'ils pratiquent, C) Les prix y sont beaucoup plus élevés, D) Les meilleurs joueurs viennent tous de là-bas")</f>
        <v>A) C'est un symbole de leur identité nationale et culturelle unique, B) C'est le seul sport qu'ils pratiquent, C) Les prix y sont beaucoup plus élevés, D) Les meilleurs joueurs viennent tous de là-bas</v>
      </c>
      <c r="J106" s="6" t="str">
        <f>IFERROR(__xludf.DUMMYFUNCTION("GOOGLETRANSLATE(D106, ""en"", ""fr"")"),"A) C'est un symbole de leur identité nationale et culturelle unique")</f>
        <v>A) C'est un symbole de leur identité nationale et culturelle unique</v>
      </c>
      <c r="K106" s="6" t="str">
        <f>IFERROR(__xludf.DUMMYFUNCTION("GOOGLETRANSLATE(E106,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107" ht="22.5" customHeight="1">
      <c r="A107" s="4">
        <v>106.0</v>
      </c>
      <c r="B107" s="5" t="s">
        <v>1092</v>
      </c>
      <c r="C107" s="5" t="s">
        <v>1093</v>
      </c>
      <c r="D107" s="5" t="s">
        <v>1094</v>
      </c>
      <c r="E107" s="5" t="s">
        <v>1095</v>
      </c>
      <c r="G107" s="6" t="str">
        <f>IFERROR(__xludf.DUMMYFUNCTION("GOOGLETRANSLATE(A107, ""en"", ""fr"")"),"106")</f>
        <v>106</v>
      </c>
      <c r="H107" s="6" t="str">
        <f>IFERROR(__xludf.DUMMYFUNCTION("GOOGLETRANSLATE(B107, ""en"", ""fr"")"),"Un joueur porte un casque lors d'un match de pelote basque. Pourquoi est-ce une exigence moderne ?")</f>
        <v>Un joueur porte un casque lors d'un match de pelote basque. Pourquoi est-ce une exigence moderne ?</v>
      </c>
      <c r="I107" s="6" t="str">
        <f>IFERROR(__xludf.DUMMYFUNCTION("GOOGLETRANSLATE(C107,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107" s="6" t="str">
        <f>IFERROR(__xludf.DUMMYFUNCTION("GOOGLETRANSLATE(D107, ""en"", ""fr"")"),"B) L'incroyable vitesse de la balle peut être mortelle si elle frappe un joueur à la tête.")</f>
        <v>B) L'incroyable vitesse de la balle peut être mortelle si elle frappe un joueur à la tête.</v>
      </c>
      <c r="K107" s="6" t="str">
        <f>IFERROR(__xludf.DUMMYFUNCTION("GOOGLETRANSLATE(E107,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108" ht="22.5" customHeight="1">
      <c r="A108" s="4">
        <v>107.0</v>
      </c>
      <c r="B108" s="5" t="s">
        <v>1279</v>
      </c>
      <c r="C108" s="5" t="s">
        <v>1280</v>
      </c>
      <c r="D108" s="5" t="s">
        <v>1281</v>
      </c>
      <c r="E108" s="5" t="s">
        <v>1282</v>
      </c>
      <c r="G108" s="6" t="str">
        <f>IFERROR(__xludf.DUMMYFUNCTION("GOOGLETRANSLATE(A108, ""en"", ""fr"")"),"107")</f>
        <v>107</v>
      </c>
      <c r="H108" s="6" t="str">
        <f>IFERROR(__xludf.DUMMYFUNCTION("GOOGLETRANSLATE(B108, ""en"", ""fr"")"),"Le système de paris au Jai Alai, le quiniela, consiste à parier sur les équipes qui termineront à quelles positions ?")</f>
        <v>Le système de paris au Jai Alai, le quiniela, consiste à parier sur les équipes qui termineront à quelles positions ?</v>
      </c>
      <c r="I108" s="6" t="str">
        <f>IFERROR(__xludf.DUMMYFUNCTION("GOOGLETRANSLATE(C108, ""en"", ""fr"")"),"A) Première place seulement, B) Première et deuxième places (Victoire et Placement), C) Première, deuxième et troisième places (Trifecta), D) L'équipe dernière")</f>
        <v>A) Première place seulement, B) Première et deuxième places (Victoire et Placement), C) Première, deuxième et troisième places (Trifecta), D) L'équipe dernière</v>
      </c>
      <c r="J108" s="6" t="str">
        <f>IFERROR(__xludf.DUMMYFUNCTION("GOOGLETRANSLATE(D108, ""en"", ""fr"")"),"B) Première et deuxième place (Victoire et Place)")</f>
        <v>B) Première et deuxième place (Victoire et Place)</v>
      </c>
      <c r="K108" s="6" t="str">
        <f>IFERROR(__xludf.DUMMYFUNCTION("GOOGLETRANSLATE(E108, ""en"", ""fr"")"),"Le quiniela est un système de pari mutuel classique dont le but est de prédire les deux premiers du match.")</f>
        <v>Le quiniela est un système de pari mutuel classique dont le but est de prédire les deux premiers du match.</v>
      </c>
    </row>
    <row r="109" ht="22.5" customHeight="1">
      <c r="A109" s="4">
        <v>108.0</v>
      </c>
      <c r="B109" s="5" t="s">
        <v>1233</v>
      </c>
      <c r="C109" s="5" t="s">
        <v>1234</v>
      </c>
      <c r="D109" s="5" t="s">
        <v>1235</v>
      </c>
      <c r="E109" s="5" t="s">
        <v>1236</v>
      </c>
      <c r="G109" s="6" t="str">
        <f>IFERROR(__xludf.DUMMYFUNCTION("GOOGLETRANSLATE(A109, ""en"", ""fr"")"),"108")</f>
        <v>108</v>
      </c>
      <c r="H109" s="6" t="str">
        <f>IFERROR(__xludf.DUMMYFUNCTION("GOOGLETRANSLATE(B109, ""en"", ""fr"")"),"Un joueur renvoie la balle, qui touche le mur avant, puis le mur arrière, puis le sol. Ce coup est-il autorisé ?")</f>
        <v>Un joueur renvoie la balle, qui touche le mur avant, puis le mur arrière, puis le sol. Ce coup est-il autorisé ?</v>
      </c>
      <c r="I109" s="6" t="str">
        <f>IFERROR(__xludf.DUMMYFUNCTION("GOOGLETRANSLATE(C109, ""en"", ""fr"")"),"A) Non, la bille doit rebondir avant de toucher le mur du fond. B) Oui, c'est un coup de carambole légal. C) Le point est rejoué. D) C'est une faute.")</f>
        <v>A) Non, la bille doit rebondir avant de toucher le mur du fond. B) Oui, c'est un coup de carambole légal. C) Le point est rejoué. D) C'est une faute.</v>
      </c>
      <c r="J109" s="6" t="str">
        <f>IFERROR(__xludf.DUMMYFUNCTION("GOOGLETRANSLATE(D109, ""en"", ""fr"")"),"B) Oui, il s'agit d'un coup de carambole légal.")</f>
        <v>B) Oui, il s'agit d'un coup de carambole légal.</v>
      </c>
      <c r="K109" s="6" t="str">
        <f>IFERROR(__xludf.DUMMYFUNCTION("GOOGLETRANSLATE(E109, ""en"", ""fr"")"),"L'utilisation du mur arrière (rebote) est un élément clé de la stratégie, en particulier dans le fronton à trois murs.")</f>
        <v>L'utilisation du mur arrière (rebote) est un élément clé de la stratégie, en particulier dans le fronton à trois murs.</v>
      </c>
    </row>
    <row r="110" ht="22.5" customHeight="1">
      <c r="A110" s="4">
        <v>109.0</v>
      </c>
      <c r="B110" s="5" t="s">
        <v>1241</v>
      </c>
      <c r="C110" s="5" t="s">
        <v>1101</v>
      </c>
      <c r="D110" s="5" t="s">
        <v>1242</v>
      </c>
      <c r="E110" s="5" t="s">
        <v>1243</v>
      </c>
      <c r="G110" s="6" t="str">
        <f>IFERROR(__xludf.DUMMYFUNCTION("GOOGLETRANSLATE(A110, ""en"", ""fr"")"),"109")</f>
        <v>109</v>
      </c>
      <c r="H110" s="6" t="str">
        <f>IFERROR(__xludf.DUMMYFUNCTION("GOOGLETRANSLATE(B110, ""en"", ""fr"")"),"Un joueur sert, et la balle touche la ligne entre le mur frontal et le mur latéral. Quelle est la décision ?")</f>
        <v>Un joueur sert, et la balle touche la ligne entre le mur frontal et le mur latéral. Quelle est la décision ?</v>
      </c>
      <c r="I110" s="6" t="str">
        <f>IFERROR(__xludf.DUMMYFUNCTION("GOOGLETRANSLATE(C110, ""en"", ""fr"")"),"A) Service régulier, B) Faute, C) Point rejoué, D) Choix de l'adversaire")</f>
        <v>A) Service régulier, B) Faute, C) Point rejoué, D) Choix de l'adversaire</v>
      </c>
      <c r="J110" s="6" t="str">
        <f>IFERROR(__xludf.DUMMYFUNCTION("GOOGLETRANSLATE(D110, ""en"", ""fr"")"),"A) Un service légal")</f>
        <v>A) Un service légal</v>
      </c>
      <c r="K110" s="6" t="str">
        <f>IFERROR(__xludf.DUMMYFUNCTION("GOOGLETRANSLATE(E110, ""en"", ""fr"")"),"Contrairement à la ligne tracée au sol, le coin où deux surfaces de jeu se rejoignent est considéré comme « dedans ».")</f>
        <v>Contrairement à la ligne tracée au sol, le coin où deux surfaces de jeu se rejoignent est considéré comme « dedans ».</v>
      </c>
    </row>
    <row r="111" ht="22.5" customHeight="1">
      <c r="A111" s="4">
        <v>110.0</v>
      </c>
      <c r="B111" s="5" t="s">
        <v>1112</v>
      </c>
      <c r="C111" s="5" t="s">
        <v>1283</v>
      </c>
      <c r="D111" s="5" t="s">
        <v>1284</v>
      </c>
      <c r="E111" s="5" t="s">
        <v>1115</v>
      </c>
      <c r="G111" s="6" t="str">
        <f>IFERROR(__xludf.DUMMYFUNCTION("GOOGLETRANSLATE(A111, ""en"", ""fr"")"),"110")</f>
        <v>110</v>
      </c>
      <c r="H111" s="6" t="str">
        <f>IFERROR(__xludf.DUMMYFUNCTION("GOOGLETRANSLATE(B111, ""en"", ""fr"")"),"Dans un trinquet, qu'est-ce que le xilo ?")</f>
        <v>Dans un trinquet, qu'est-ce que le xilo ?</v>
      </c>
      <c r="I111" s="6" t="str">
        <f>IFERROR(__xludf.DUMMYFUNCTION("GOOGLETRANSLATE(C111, ""en"", ""fr"")"),"A) Le mur du fond, B) Le filet, C) Un petit trou dans le mur avant qui constitue un coup gagnant automatique s'il est touché, D) La tribune latérale")</f>
        <v>A) Le mur du fond, B) Le filet, C) Un petit trou dans le mur avant qui constitue un coup gagnant automatique s'il est touché, D) La tribune latérale</v>
      </c>
      <c r="J111" s="6" t="str">
        <f>IFERROR(__xludf.DUMMYFUNCTION("GOOGLETRANSLATE(D111, ""en"", ""fr"")"),"C) Un petit trou dans la paroi avant qui, s'il est atteint, constitue un coup gagnant automatique.")</f>
        <v>C) Un petit trou dans la paroi avant qui, s'il est atteint, constitue un coup gagnant automatique.</v>
      </c>
      <c r="K111" s="6" t="str">
        <f>IFERROR(__xludf.DUMMYFUNCTION("GOOGLETRANSLATE(E111, ""en"", ""fr"")"),"Frapper la balle dans le xilo (trou) est un coup difficile et qui permet de gagner instantanément la partie dans certaines modalités.")</f>
        <v>Frapper la balle dans le xilo (trou) est un coup difficile et qui permet de gagner instantanément la partie dans certaines modalités.</v>
      </c>
    </row>
    <row r="112" ht="22.5" customHeight="1">
      <c r="A112" s="4">
        <v>111.0</v>
      </c>
      <c r="B112" s="5" t="s">
        <v>1104</v>
      </c>
      <c r="C112" s="5" t="s">
        <v>1285</v>
      </c>
      <c r="D112" s="5" t="s">
        <v>1286</v>
      </c>
      <c r="E112" s="5" t="s">
        <v>1107</v>
      </c>
      <c r="G112" s="6" t="str">
        <f>IFERROR(__xludf.DUMMYFUNCTION("GOOGLETRANSLATE(A112, ""en"", ""fr"")"),"111")</f>
        <v>111</v>
      </c>
      <c r="H112" s="6" t="str">
        <f>IFERROR(__xludf.DUMMYFUNCTION("GOOGLETRANSLATE(B112, ""en"", ""fr"")"),"On voit un joueur s'appliquer une substance collante, comme de la résine de pin, sur les mains avant un match de nue principal. Pourquoi ?")</f>
        <v>On voit un joueur s'appliquer une substance collante, comme de la résine de pin, sur les mains avant un match de nue principal. Pourquoi ?</v>
      </c>
      <c r="I112" s="6" t="str">
        <f>IFERROR(__xludf.DUMMYFUNCTION("GOOGLETRANSLATE(C112, ""en"", ""fr"")"),"A) C'est une substance illégale. B) Pour mieux contrôler la balle lors de la frappe. C) Pour se protéger les mains des blessures. D) Pour donner un effet à la balle.")</f>
        <v>A) C'est une substance illégale. B) Pour mieux contrôler la balle lors de la frappe. C) Pour se protéger les mains des blessures. D) Pour donner un effet à la balle.</v>
      </c>
      <c r="J112" s="6" t="str">
        <f>IFERROR(__xludf.DUMMYFUNCTION("GOOGLETRANSLATE(D112, ""en"", ""fr"")"),"B) Pour avoir une meilleure prise sur la balle lors de la frappe")</f>
        <v>B) Pour avoir une meilleure prise sur la balle lors de la frappe</v>
      </c>
      <c r="K112" s="6" t="str">
        <f>IFERROR(__xludf.DUMMYFUNCTION("GOOGLETRANSLATE(E112, ""en"", ""fr"")"),"Une petite quantité de résine peut aider le joueur à obtenir plus d'adhérence sur la balle, lui permettant ainsi de lui imprimer plus d'effet et de contrôle.")</f>
        <v>Une petite quantité de résine peut aider le joueur à obtenir plus d'adhérence sur la balle, lui permettant ainsi de lui imprimer plus d'effet et de contrôle.</v>
      </c>
    </row>
    <row r="113" ht="22.5" customHeight="1">
      <c r="A113" s="4">
        <v>112.0</v>
      </c>
      <c r="B113" s="5" t="s">
        <v>1096</v>
      </c>
      <c r="C113" s="5" t="s">
        <v>1097</v>
      </c>
      <c r="D113" s="5" t="s">
        <v>1098</v>
      </c>
      <c r="E113" s="5" t="s">
        <v>1099</v>
      </c>
      <c r="G113" s="6" t="str">
        <f>IFERROR(__xludf.DUMMYFUNCTION("GOOGLETRANSLATE(A113, ""en"", ""fr"")"),"112")</f>
        <v>112</v>
      </c>
      <c r="H113" s="6" t="str">
        <f>IFERROR(__xludf.DUMMYFUNCTION("GOOGLETRANSLATE(B113, ""en"", ""fr"")"),"À quoi correspond le numéro inscrit dans le dos d'un joueur de pelote basque ?")</f>
        <v>À quoi correspond le numéro inscrit dans le dos d'un joueur de pelote basque ?</v>
      </c>
      <c r="I113" s="6" t="str">
        <f>IFERROR(__xludf.DUMMYFUNCTION("GOOGLETRANSLATE(C113, ""en"", ""fr"")"),"A) Leur âge, B) Leur grade, C) Leur position dans le système de paris combinés, D) Leur taille de maillot")</f>
        <v>A) Leur âge, B) Leur grade, C) Leur position dans le système de paris combinés, D) Leur taille de maillot</v>
      </c>
      <c r="J113" s="6" t="str">
        <f>IFERROR(__xludf.DUMMYFUNCTION("GOOGLETRANSLATE(D113, ""en"", ""fr"")"),"C) Leur position dans le système de paris quiniela")</f>
        <v>C) Leur position dans le système de paris quiniela</v>
      </c>
      <c r="K113" s="6" t="str">
        <f>IFERROR(__xludf.DUMMYFUNCTION("GOOGLETRANSLATE(E113, ""en"", ""fr"")"),"Les numéros de 1 à 8 servent à identifier les joueurs ou les équipes pour les parieurs.")</f>
        <v>Les numéros de 1 à 8 servent à identifier les joueurs ou les équipes pour les parieurs.</v>
      </c>
    </row>
    <row r="114" ht="22.5" customHeight="1">
      <c r="A114" s="4">
        <v>113.0</v>
      </c>
      <c r="B114" s="5" t="s">
        <v>1100</v>
      </c>
      <c r="C114" s="5" t="s">
        <v>1101</v>
      </c>
      <c r="D114" s="5" t="s">
        <v>1102</v>
      </c>
      <c r="E114" s="5" t="s">
        <v>1103</v>
      </c>
      <c r="G114" s="6" t="str">
        <f>IFERROR(__xludf.DUMMYFUNCTION("GOOGLETRANSLATE(A114, ""en"", ""fr"")"),"113")</f>
        <v>113</v>
      </c>
      <c r="H114" s="6" t="str">
        <f>IFERROR(__xludf.DUMMYFUNCTION("GOOGLETRANSLATE(B114, ""en"", ""fr"")"),"Un joueur sert, et la balle touche la ligne entre le mur frontal et le sol. Quelle est la décision ?")</f>
        <v>Un joueur sert, et la balle touche la ligne entre le mur frontal et le sol. Quelle est la décision ?</v>
      </c>
      <c r="I114" s="6" t="str">
        <f>IFERROR(__xludf.DUMMYFUNCTION("GOOGLETRANSLATE(C114, ""en"", ""fr"")"),"A) Service régulier, B) Faute, C) Point rejoué, D) Choix de l'adversaire")</f>
        <v>A) Service régulier, B) Faute, C) Point rejoué, D) Choix de l'adversaire</v>
      </c>
      <c r="J114" s="6" t="str">
        <f>IFERROR(__xludf.DUMMYFUNCTION("GOOGLETRANSLATE(D114, ""en"", ""fr"")"),"B) Un défaut")</f>
        <v>B) Un défaut</v>
      </c>
      <c r="K114" s="6" t="str">
        <f>IFERROR(__xludf.DUMMYFUNCTION("GOOGLETRANSLATE(E114, ""en"", ""fr"")"),"La balle doit toucher le mur frontal nettement au-dessus du sol. Toucher la ligne est une faute.")</f>
        <v>La balle doit toucher le mur frontal nettement au-dessus du sol. Toucher la ligne est une faute.</v>
      </c>
    </row>
    <row r="115" ht="22.5" customHeight="1">
      <c r="A115" s="4">
        <v>114.0</v>
      </c>
      <c r="B115" s="5" t="s">
        <v>1287</v>
      </c>
      <c r="C115" s="5" t="s">
        <v>1288</v>
      </c>
      <c r="D115" s="5" t="s">
        <v>1289</v>
      </c>
      <c r="E115" s="5" t="s">
        <v>1290</v>
      </c>
      <c r="G115" s="6" t="str">
        <f>IFERROR(__xludf.DUMMYFUNCTION("GOOGLETRANSLATE(A115, ""en"", ""fr"")"),"114")</f>
        <v>114</v>
      </c>
      <c r="H115" s="6" t="str">
        <f>IFERROR(__xludf.DUMMYFUNCTION("GOOGLETRANSLATE(B115, ""en"", ""fr"")"),"Qu'est-ce qu'une « école de pelote » ou escuela de pelota ?")</f>
        <v>Qu'est-ce qu'une « école de pelote » ou escuela de pelota ?</v>
      </c>
      <c r="I115" s="6" t="str">
        <f>IFERROR(__xludf.DUMMYFUNCTION("GOOGLETRANSLATE(C115, ""en"", ""fr"")"),"A) Une université qui étudie ce sport, B) Un centre de formation pour jeunes joueurs, C) Le titre d'un livre célèbre sur ce sport, D) Un lieu de fabrication des balles")</f>
        <v>A) Une université qui étudie ce sport, B) Un centre de formation pour jeunes joueurs, C) Le titre d'un livre célèbre sur ce sport, D) Un lieu de fabrication des balles</v>
      </c>
      <c r="J115" s="6" t="str">
        <f>IFERROR(__xludf.DUMMYFUNCTION("GOOGLETRANSLATE(D115, ""en"", ""fr"")"),"B) Une académie de formation pour jeunes joueurs")</f>
        <v>B) Une académie de formation pour jeunes joueurs</v>
      </c>
      <c r="K115" s="6" t="str">
        <f>IFERROR(__xludf.DUMMYFUNCTION("GOOGLETRANSLATE(E115, ""en"", ""fr"")"),"Ces écoles sont au cœur du développement de ce sport, où les jeunes enfants apprennent les fondamentaux auprès d'entraîneurs expérimentés.")</f>
        <v>Ces écoles sont au cœur du développement de ce sport, où les jeunes enfants apprennent les fondamentaux auprès d'entraîneurs expérimentés.</v>
      </c>
    </row>
    <row r="116" ht="22.5" customHeight="1">
      <c r="A116" s="4">
        <v>115.0</v>
      </c>
      <c r="B116" s="5" t="s">
        <v>1291</v>
      </c>
      <c r="C116" s="5" t="s">
        <v>1276</v>
      </c>
      <c r="D116" s="5" t="s">
        <v>1277</v>
      </c>
      <c r="E116" s="5" t="s">
        <v>1278</v>
      </c>
      <c r="G116" s="6" t="str">
        <f>IFERROR(__xludf.DUMMYFUNCTION("GOOGLETRANSLATE(A116, ""en"", ""fr"")"),"115")</f>
        <v>115</v>
      </c>
      <c r="H116" s="6" t="str">
        <f>IFERROR(__xludf.DUMMYFUNCTION("GOOGLETRANSLATE(B116, ""en"", ""fr"")"),"L’héritage le plus durable du jeu de paume ?")</f>
        <v>L’héritage le plus durable du jeu de paume ?</v>
      </c>
      <c r="I116" s="6" t="str">
        <f>IFERROR(__xludf.DUMMYFUNCTION("GOOGLETRANSLATE(C116, ""en"", ""fr"")"),"A) C'est encore un sport populaire dans le monde entier. B) Il a fourni les règles, la terminologie et les concepts fondamentaux des sports modernes comme le tennis et la pelote basque. C) C'était le premier sport à utiliser une raquette. D) C'était un sp"&amp;"ort olympique.")</f>
        <v>A) C'est encore un sport populaire dans le monde entier. B) Il a fourni les règles, la terminologie et les concepts fondamentaux des sports modernes comme le tennis et la pelote basque. C) C'était le premier sport à utiliser une raquette. D) C'était un sport olympique.</v>
      </c>
      <c r="J116" s="6" t="str">
        <f>IFERROR(__xludf.DUMMYFUNCTION("GOOGLETRANSLATE(D116, ""en"", ""fr"")"),"B) Il a fourni les règles fondamentales, la terminologie et les concepts des sports modernes comme le tennis et la pelote basque.")</f>
        <v>B) Il a fourni les règles fondamentales, la terminologie et les concepts des sports modernes comme le tennis et la pelote basque.</v>
      </c>
      <c r="K116" s="6" t="str">
        <f>IFERROR(__xludf.DUMMYFUNCTION("GOOGLETRANSLATE(E116, ""en"", ""fr"")"),"L'ancien « jeu de la paume » est l'un des ancêtres les plus importants de l'histoire du sport, à l'origine de nombreux jeux de raquette et de balle modernes.")</f>
        <v>L'ancien « jeu de la paume » est l'un des ancêtres les plus importants de l'histoire du sport, à l'origine de nombreux jeux de raquette et de balle modernes.</v>
      </c>
    </row>
    <row r="117" ht="22.5" customHeight="1">
      <c r="A117" s="4">
        <v>116.0</v>
      </c>
      <c r="B117" s="5" t="s">
        <v>1092</v>
      </c>
      <c r="C117" s="5" t="s">
        <v>1093</v>
      </c>
      <c r="D117" s="5" t="s">
        <v>1094</v>
      </c>
      <c r="E117" s="5" t="s">
        <v>1095</v>
      </c>
      <c r="G117" s="6" t="str">
        <f>IFERROR(__xludf.DUMMYFUNCTION("GOOGLETRANSLATE(A117, ""en"", ""fr"")"),"116")</f>
        <v>116</v>
      </c>
      <c r="H117" s="6" t="str">
        <f>IFERROR(__xludf.DUMMYFUNCTION("GOOGLETRANSLATE(B117, ""en"", ""fr"")"),"Un joueur porte un casque lors d'un match de pelote basque. Pourquoi est-ce une exigence moderne ?")</f>
        <v>Un joueur porte un casque lors d'un match de pelote basque. Pourquoi est-ce une exigence moderne ?</v>
      </c>
      <c r="I117" s="6" t="str">
        <f>IFERROR(__xludf.DUMMYFUNCTION("GOOGLETRANSLATE(C117,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117" s="6" t="str">
        <f>IFERROR(__xludf.DUMMYFUNCTION("GOOGLETRANSLATE(D117, ""en"", ""fr"")"),"B) L'incroyable vitesse de la balle peut être mortelle si elle frappe un joueur à la tête.")</f>
        <v>B) L'incroyable vitesse de la balle peut être mortelle si elle frappe un joueur à la tête.</v>
      </c>
      <c r="K117" s="6" t="str">
        <f>IFERROR(__xludf.DUMMYFUNCTION("GOOGLETRANSLATE(E117,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118" ht="22.5" customHeight="1">
      <c r="A118" s="4">
        <v>117.0</v>
      </c>
      <c r="B118" s="5" t="s">
        <v>1279</v>
      </c>
      <c r="C118" s="5" t="s">
        <v>1280</v>
      </c>
      <c r="D118" s="5" t="s">
        <v>1281</v>
      </c>
      <c r="E118" s="5" t="s">
        <v>1282</v>
      </c>
      <c r="G118" s="6" t="str">
        <f>IFERROR(__xludf.DUMMYFUNCTION("GOOGLETRANSLATE(A118, ""en"", ""fr"")"),"117")</f>
        <v>117</v>
      </c>
      <c r="H118" s="6" t="str">
        <f>IFERROR(__xludf.DUMMYFUNCTION("GOOGLETRANSLATE(B118, ""en"", ""fr"")"),"Le système de paris au Jai Alai, le quiniela, consiste à parier sur les équipes qui termineront à quelles positions ?")</f>
        <v>Le système de paris au Jai Alai, le quiniela, consiste à parier sur les équipes qui termineront à quelles positions ?</v>
      </c>
      <c r="I118" s="6" t="str">
        <f>IFERROR(__xludf.DUMMYFUNCTION("GOOGLETRANSLATE(C118, ""en"", ""fr"")"),"A) Première place seulement, B) Première et deuxième places (Victoire et Placement), C) Première, deuxième et troisième places (Trifecta), D) L'équipe dernière")</f>
        <v>A) Première place seulement, B) Première et deuxième places (Victoire et Placement), C) Première, deuxième et troisième places (Trifecta), D) L'équipe dernière</v>
      </c>
      <c r="J118" s="6" t="str">
        <f>IFERROR(__xludf.DUMMYFUNCTION("GOOGLETRANSLATE(D118, ""en"", ""fr"")"),"B) Première et deuxième place (Victoire et Place)")</f>
        <v>B) Première et deuxième place (Victoire et Place)</v>
      </c>
      <c r="K118" s="6" t="str">
        <f>IFERROR(__xludf.DUMMYFUNCTION("GOOGLETRANSLATE(E118, ""en"", ""fr"")"),"Le quiniela est un système de pari mutuel classique dont le but est de prédire les deux premiers du match.")</f>
        <v>Le quiniela est un système de pari mutuel classique dont le but est de prédire les deux premiers du match.</v>
      </c>
    </row>
    <row r="119" ht="22.5" customHeight="1">
      <c r="A119" s="4">
        <v>118.0</v>
      </c>
      <c r="B119" s="5" t="s">
        <v>1233</v>
      </c>
      <c r="C119" s="5" t="s">
        <v>1234</v>
      </c>
      <c r="D119" s="5" t="s">
        <v>1235</v>
      </c>
      <c r="E119" s="5" t="s">
        <v>1236</v>
      </c>
      <c r="G119" s="6" t="str">
        <f>IFERROR(__xludf.DUMMYFUNCTION("GOOGLETRANSLATE(A119, ""en"", ""fr"")"),"118")</f>
        <v>118</v>
      </c>
      <c r="H119" s="6" t="str">
        <f>IFERROR(__xludf.DUMMYFUNCTION("GOOGLETRANSLATE(B119, ""en"", ""fr"")"),"Un joueur renvoie la balle, qui touche le mur avant, puis le mur arrière, puis le sol. Ce coup est-il autorisé ?")</f>
        <v>Un joueur renvoie la balle, qui touche le mur avant, puis le mur arrière, puis le sol. Ce coup est-il autorisé ?</v>
      </c>
      <c r="I119" s="6" t="str">
        <f>IFERROR(__xludf.DUMMYFUNCTION("GOOGLETRANSLATE(C119, ""en"", ""fr"")"),"A) Non, la bille doit rebondir avant de toucher le mur du fond. B) Oui, c'est un coup de carambole légal. C) Le point est rejoué. D) C'est une faute.")</f>
        <v>A) Non, la bille doit rebondir avant de toucher le mur du fond. B) Oui, c'est un coup de carambole légal. C) Le point est rejoué. D) C'est une faute.</v>
      </c>
      <c r="J119" s="6" t="str">
        <f>IFERROR(__xludf.DUMMYFUNCTION("GOOGLETRANSLATE(D119, ""en"", ""fr"")"),"B) Oui, il s'agit d'un coup de carambole légal.")</f>
        <v>B) Oui, il s'agit d'un coup de carambole légal.</v>
      </c>
      <c r="K119" s="6" t="str">
        <f>IFERROR(__xludf.DUMMYFUNCTION("GOOGLETRANSLATE(E119, ""en"", ""fr"")"),"L'utilisation du mur arrière (rebote) est un élément clé de la stratégie, en particulier dans le fronton à trois murs.")</f>
        <v>L'utilisation du mur arrière (rebote) est un élément clé de la stratégie, en particulier dans le fronton à trois murs.</v>
      </c>
    </row>
    <row r="120" ht="22.5" customHeight="1">
      <c r="A120" s="4">
        <v>119.0</v>
      </c>
      <c r="B120" s="5" t="s">
        <v>1085</v>
      </c>
      <c r="C120" s="5" t="s">
        <v>1086</v>
      </c>
      <c r="D120" s="5" t="s">
        <v>1087</v>
      </c>
      <c r="E120" s="5" t="s">
        <v>1088</v>
      </c>
      <c r="G120" s="6" t="str">
        <f>IFERROR(__xludf.DUMMYFUNCTION("GOOGLETRANSLATE(A120, ""en"", ""fr"")"),"119")</f>
        <v>119</v>
      </c>
      <c r="H120" s="6" t="str">
        <f>IFERROR(__xludf.DUMMYFUNCTION("GOOGLETRANSLATE(B120, ""en"", ""fr"")"),"Quelle est la principale différence entre la paleta cuero et la paleta goma ?")</f>
        <v>Quelle est la principale différence entre la paleta cuero et la paleta goma ?</v>
      </c>
      <c r="I120" s="6" t="str">
        <f>IFERROR(__xludf.DUMMYFUNCTION("GOOGLETRANSLATE(C120, ""en"", ""fr"")"),"A) La taille du terrain, B) Le type de balle utilisée (balle en cuir ou balle en caoutchouc), C) Le nombre de joueurs, D) Le matériau de la raquette")</f>
        <v>A) La taille du terrain, B) Le type de balle utilisée (balle en cuir ou balle en caoutchouc), C) Le nombre de joueurs, D) Le matériau de la raquette</v>
      </c>
      <c r="J120" s="6" t="str">
        <f>IFERROR(__xludf.DUMMYFUNCTION("GOOGLETRANSLATE(D120, ""en"", ""fr"")"),"B) Le type de balle utilisée (balle en cuir ou balle en caoutchouc)")</f>
        <v>B) Le type de balle utilisée (balle en cuir ou balle en caoutchouc)</v>
      </c>
      <c r="K120" s="6" t="str">
        <f>IFERROR(__xludf.DUMMYFUNCTION("GOOGLETRANSLATE(E120, ""en"", ""fr"")"),"Il s'agit de deux modes de jeu de raquette différents : l'un se joue avec une balle traditionnelle en cuir dur et l'autre avec une balle en caoutchouc plus rebondissante.")</f>
        <v>Il s'agit de deux modes de jeu de raquette différents : l'un se joue avec une balle traditionnelle en cuir dur et l'autre avec une balle en caoutchouc plus rebondissante.</v>
      </c>
    </row>
    <row r="121" ht="22.5" customHeight="1">
      <c r="A121" s="4">
        <v>120.0</v>
      </c>
      <c r="B121" s="5" t="s">
        <v>974</v>
      </c>
      <c r="C121" s="5" t="s">
        <v>1089</v>
      </c>
      <c r="D121" s="5" t="s">
        <v>1090</v>
      </c>
      <c r="E121" s="5" t="s">
        <v>1091</v>
      </c>
      <c r="G121" s="6" t="str">
        <f>IFERROR(__xludf.DUMMYFUNCTION("GOOGLETRANSLATE(A121, ""en"", ""fr"")"),"120")</f>
        <v>120</v>
      </c>
      <c r="H121" s="6" t="str">
        <f>IFERROR(__xludf.DUMMYFUNCTION("GOOGLETRANSLATE(B121, ""en"", ""fr"")"),"Quel est le rôle principal du mur gauche (pared izquierda) dans le jeu ?")</f>
        <v>Quel est le rôle principal du mur gauche (pared izquierda) dans le jeu ?</v>
      </c>
      <c r="I121" s="6" t="str">
        <f>IFERROR(__xludf.DUMMYFUNCTION("GOOGLETRANSLATE(C121, ""en"", ""fr"")"),"A) Fournir une surface de jeu légale pour la balle, créant des angles complexes ; B) Séparer les joueurs des spectateurs ; C) C'est hors limites ; D) C'est là que le score est consigné.")</f>
        <v>A) Fournir une surface de jeu légale pour la balle, créant des angles complexes ; B) Séparer les joueurs des spectateurs ; C) C'est hors limites ; D) C'est là que le score est consigné.</v>
      </c>
      <c r="J121" s="6" t="str">
        <f>IFERROR(__xludf.DUMMYFUNCTION("GOOGLETRANSLATE(D121, ""en"", ""fr"")"),"A) Fournir une surface permettant de jouer la balle légalement, créant des angles complexes")</f>
        <v>A) Fournir une surface permettant de jouer la balle légalement, créant des angles complexes</v>
      </c>
      <c r="K121" s="6" t="str">
        <f>IFERROR(__xludf.DUMMYFUNCTION("GOOGLETRANSLATE(E121, ""en"", ""fr"")"),"Le mur latéral est un élément fondamental du jeu, permettant des tirs avec rebond et des actions défensives impossibles dans un jeu à deux murs.")</f>
        <v>Le mur latéral est un élément fondamental du jeu, permettant des tirs avec rebond et des actions défensives impossibles dans un jeu à deux murs.</v>
      </c>
    </row>
    <row r="122" ht="22.5" customHeight="1">
      <c r="A122" s="4">
        <v>121.0</v>
      </c>
      <c r="B122" s="5" t="s">
        <v>1292</v>
      </c>
      <c r="C122" s="5" t="s">
        <v>1216</v>
      </c>
      <c r="D122" s="5" t="s">
        <v>1217</v>
      </c>
      <c r="E122" s="5" t="s">
        <v>1033</v>
      </c>
      <c r="G122" s="6" t="str">
        <f>IFERROR(__xludf.DUMMYFUNCTION("GOOGLETRANSLATE(A122, ""en"", ""fr"")"),"121")</f>
        <v>121</v>
      </c>
      <c r="H122" s="6" t="str">
        <f>IFERROR(__xludf.DUMMYFUNCTION("GOOGLETRANSLATE(B122, ""en"", ""fr"")"),"Un joueur est connu pour son puissant saque. De quoi s'agit-il ?")</f>
        <v>Un joueur est connu pour son puissant saque. De quoi s'agit-il ?</v>
      </c>
      <c r="I122" s="6" t="str">
        <f>IFERROR(__xludf.DUMMYFUNCTION("GOOGLETRANSLATE(C122, ""en"", ""fr"")"),"A) Leur coup droit, B) Leur revers, C) Leur service, D) Leur bloc défensif")</f>
        <v>A) Leur coup droit, B) Leur revers, C) Leur service, D) Leur bloc défensif</v>
      </c>
      <c r="J122" s="6" t="str">
        <f>IFERROR(__xludf.DUMMYFUNCTION("GOOGLETRANSLATE(D122, ""en"", ""fr"")"),"C) Leur service")</f>
        <v>C) Leur service</v>
      </c>
      <c r="K122" s="6" t="str">
        <f>IFERROR(__xludf.DUMMYFUNCTION("GOOGLETRANSLATE(E122, ""en"", ""fr"")"),"Le saque est le mot espagnol pour le service, le premier coup de chaque point.")</f>
        <v>Le saque est le mot espagnol pour le service, le premier coup de chaque point.</v>
      </c>
    </row>
    <row r="123" ht="22.5" customHeight="1">
      <c r="A123" s="4">
        <v>122.0</v>
      </c>
      <c r="B123" s="5" t="s">
        <v>1066</v>
      </c>
      <c r="C123" s="5" t="s">
        <v>1067</v>
      </c>
      <c r="D123" s="5" t="s">
        <v>1068</v>
      </c>
      <c r="E123" s="5" t="s">
        <v>1069</v>
      </c>
      <c r="G123" s="6" t="str">
        <f>IFERROR(__xludf.DUMMYFUNCTION("GOOGLETRANSLATE(A123, ""en"", ""fr"")"),"122")</f>
        <v>122</v>
      </c>
      <c r="H123" s="6" t="str">
        <f>IFERROR(__xludf.DUMMYFUNCTION("GOOGLETRANSLATE(B123, ""en"", ""fr"")"),"Pourquoi le sol d'un fronton de pelote basque professionnel est-il souvent en béton ou en granit ?")</f>
        <v>Pourquoi le sol d'un fronton de pelote basque professionnel est-il souvent en béton ou en granit ?</v>
      </c>
      <c r="I123" s="6" t="str">
        <f>IFERROR(__xludf.DUMMYFUNCTION("GOOGLETRANSLATE(C123, ""en"", ""fr"")"),"A) Il est bon marché, B) Il offre un rebond très rapide et régulier pour la balle dure, C) Il est traditionnel, D) Il est facile à nettoyer")</f>
        <v>A) Il est bon marché, B) Il offre un rebond très rapide et régulier pour la balle dure, C) Il est traditionnel, D) Il est facile à nettoyer</v>
      </c>
      <c r="J123" s="6" t="str">
        <f>IFERROR(__xludf.DUMMYFUNCTION("GOOGLETRANSLATE(D123, ""en"", ""fr"")"),"B) Il assure un rebond très rapide et régulier pour la balle dure")</f>
        <v>B) Il assure un rebond très rapide et régulier pour la balle dure</v>
      </c>
      <c r="K123" s="6" t="str">
        <f>IFERROR(__xludf.DUMMYFUNCTION("GOOGLETRANSLATE(E123, ""en"", ""fr"")"),"La surface dure et lisse est essentielle pour le rythme rapide et les rebonds importants propres à ce jeu.")</f>
        <v>La surface dure et lisse est essentielle pour le rythme rapide et les rebonds importants propres à ce jeu.</v>
      </c>
    </row>
    <row r="124" ht="22.5" customHeight="1">
      <c r="A124" s="4">
        <v>123.0</v>
      </c>
      <c r="B124" s="5" t="s">
        <v>1096</v>
      </c>
      <c r="C124" s="5" t="s">
        <v>1097</v>
      </c>
      <c r="D124" s="5" t="s">
        <v>1098</v>
      </c>
      <c r="E124" s="5" t="s">
        <v>1099</v>
      </c>
      <c r="G124" s="6" t="str">
        <f>IFERROR(__xludf.DUMMYFUNCTION("GOOGLETRANSLATE(A124, ""en"", ""fr"")"),"123")</f>
        <v>123</v>
      </c>
      <c r="H124" s="6" t="str">
        <f>IFERROR(__xludf.DUMMYFUNCTION("GOOGLETRANSLATE(B124, ""en"", ""fr"")"),"À quoi correspond le numéro inscrit dans le dos d'un joueur de pelote basque ?")</f>
        <v>À quoi correspond le numéro inscrit dans le dos d'un joueur de pelote basque ?</v>
      </c>
      <c r="I124" s="6" t="str">
        <f>IFERROR(__xludf.DUMMYFUNCTION("GOOGLETRANSLATE(C124, ""en"", ""fr"")"),"A) Leur âge, B) Leur grade, C) Leur position dans le système de paris combinés, D) Leur taille de maillot")</f>
        <v>A) Leur âge, B) Leur grade, C) Leur position dans le système de paris combinés, D) Leur taille de maillot</v>
      </c>
      <c r="J124" s="6" t="str">
        <f>IFERROR(__xludf.DUMMYFUNCTION("GOOGLETRANSLATE(D124, ""en"", ""fr"")"),"C) Leur position dans le système de paris quiniela")</f>
        <v>C) Leur position dans le système de paris quiniela</v>
      </c>
      <c r="K124" s="6" t="str">
        <f>IFERROR(__xludf.DUMMYFUNCTION("GOOGLETRANSLATE(E124, ""en"", ""fr"")"),"Les numéros de 1 à 8 servent à identifier les joueurs ou les équipes pour les parieurs.")</f>
        <v>Les numéros de 1 à 8 servent à identifier les joueurs ou les équipes pour les parieurs.</v>
      </c>
    </row>
    <row r="125" ht="22.5" customHeight="1">
      <c r="A125" s="4">
        <v>124.0</v>
      </c>
      <c r="B125" s="5" t="s">
        <v>1100</v>
      </c>
      <c r="C125" s="5" t="s">
        <v>1101</v>
      </c>
      <c r="D125" s="5" t="s">
        <v>1102</v>
      </c>
      <c r="E125" s="5" t="s">
        <v>1103</v>
      </c>
      <c r="G125" s="6" t="str">
        <f>IFERROR(__xludf.DUMMYFUNCTION("GOOGLETRANSLATE(A125, ""en"", ""fr"")"),"124")</f>
        <v>124</v>
      </c>
      <c r="H125" s="6" t="str">
        <f>IFERROR(__xludf.DUMMYFUNCTION("GOOGLETRANSLATE(B125, ""en"", ""fr"")"),"Un joueur sert, et la balle touche la ligne entre le mur frontal et le sol. Quelle est la décision ?")</f>
        <v>Un joueur sert, et la balle touche la ligne entre le mur frontal et le sol. Quelle est la décision ?</v>
      </c>
      <c r="I125" s="6" t="str">
        <f>IFERROR(__xludf.DUMMYFUNCTION("GOOGLETRANSLATE(C125, ""en"", ""fr"")"),"A) Service régulier, B) Faute, C) Point rejoué, D) Choix de l'adversaire")</f>
        <v>A) Service régulier, B) Faute, C) Point rejoué, D) Choix de l'adversaire</v>
      </c>
      <c r="J125" s="6" t="str">
        <f>IFERROR(__xludf.DUMMYFUNCTION("GOOGLETRANSLATE(D125, ""en"", ""fr"")"),"B) Un défaut")</f>
        <v>B) Un défaut</v>
      </c>
      <c r="K125" s="6" t="str">
        <f>IFERROR(__xludf.DUMMYFUNCTION("GOOGLETRANSLATE(E125, ""en"", ""fr"")"),"La balle doit toucher le mur frontal nettement au-dessus du sol. Toucher la ligne est une faute.")</f>
        <v>La balle doit toucher le mur frontal nettement au-dessus du sol. Toucher la ligne est une faute.</v>
      </c>
    </row>
    <row r="126" ht="22.5" customHeight="1">
      <c r="A126" s="4">
        <v>125.0</v>
      </c>
      <c r="B126" s="5" t="s">
        <v>1287</v>
      </c>
      <c r="C126" s="5" t="s">
        <v>1288</v>
      </c>
      <c r="D126" s="5" t="s">
        <v>1289</v>
      </c>
      <c r="E126" s="5" t="s">
        <v>1290</v>
      </c>
      <c r="G126" s="6" t="str">
        <f>IFERROR(__xludf.DUMMYFUNCTION("GOOGLETRANSLATE(A126, ""en"", ""fr"")"),"125")</f>
        <v>125</v>
      </c>
      <c r="H126" s="6" t="str">
        <f>IFERROR(__xludf.DUMMYFUNCTION("GOOGLETRANSLATE(B126, ""en"", ""fr"")"),"Qu'est-ce qu'une « école de pelote » ou escuela de pelota ?")</f>
        <v>Qu'est-ce qu'une « école de pelote » ou escuela de pelota ?</v>
      </c>
      <c r="I126" s="6" t="str">
        <f>IFERROR(__xludf.DUMMYFUNCTION("GOOGLETRANSLATE(C126, ""en"", ""fr"")"),"A) Une université qui étudie ce sport, B) Un centre de formation pour jeunes joueurs, C) Le titre d'un livre célèbre sur ce sport, D) Un lieu de fabrication des balles")</f>
        <v>A) Une université qui étudie ce sport, B) Un centre de formation pour jeunes joueurs, C) Le titre d'un livre célèbre sur ce sport, D) Un lieu de fabrication des balles</v>
      </c>
      <c r="J126" s="6" t="str">
        <f>IFERROR(__xludf.DUMMYFUNCTION("GOOGLETRANSLATE(D126, ""en"", ""fr"")"),"B) Une académie de formation pour jeunes joueurs")</f>
        <v>B) Une académie de formation pour jeunes joueurs</v>
      </c>
      <c r="K126" s="6" t="str">
        <f>IFERROR(__xludf.DUMMYFUNCTION("GOOGLETRANSLATE(E126, ""en"", ""fr"")"),"Ces écoles sont au cœur du développement de ce sport, où les jeunes enfants apprennent les fondamentaux auprès d'entraîneurs expérimentés.")</f>
        <v>Ces écoles sont au cœur du développement de ce sport, où les jeunes enfants apprennent les fondamentaux auprès d'entraîneurs expérimentés.</v>
      </c>
    </row>
    <row r="127" ht="22.5" customHeight="1">
      <c r="A127" s="4">
        <v>126.0</v>
      </c>
      <c r="B127" s="5" t="s">
        <v>1291</v>
      </c>
      <c r="C127" s="5" t="s">
        <v>1276</v>
      </c>
      <c r="D127" s="5" t="s">
        <v>1277</v>
      </c>
      <c r="E127" s="5" t="s">
        <v>1278</v>
      </c>
      <c r="G127" s="6" t="str">
        <f>IFERROR(__xludf.DUMMYFUNCTION("GOOGLETRANSLATE(A127, ""en"", ""fr"")"),"126")</f>
        <v>126</v>
      </c>
      <c r="H127" s="6" t="str">
        <f>IFERROR(__xludf.DUMMYFUNCTION("GOOGLETRANSLATE(B127, ""en"", ""fr"")"),"L’héritage le plus durable du jeu de paume ?")</f>
        <v>L’héritage le plus durable du jeu de paume ?</v>
      </c>
      <c r="I127" s="6" t="str">
        <f>IFERROR(__xludf.DUMMYFUNCTION("GOOGLETRANSLATE(C127, ""en"", ""fr"")"),"A) C'est encore un sport populaire dans le monde entier. B) Il a fourni les règles, la terminologie et les concepts fondamentaux des sports modernes comme le tennis et la pelote basque. C) C'était le premier sport à utiliser une raquette. D) C'était un sp"&amp;"ort olympique.")</f>
        <v>A) C'est encore un sport populaire dans le monde entier. B) Il a fourni les règles, la terminologie et les concepts fondamentaux des sports modernes comme le tennis et la pelote basque. C) C'était le premier sport à utiliser une raquette. D) C'était un sport olympique.</v>
      </c>
      <c r="J127" s="6" t="str">
        <f>IFERROR(__xludf.DUMMYFUNCTION("GOOGLETRANSLATE(D127, ""en"", ""fr"")"),"B) Il a fourni les règles fondamentales, la terminologie et les concepts des sports modernes comme le tennis et la pelote basque.")</f>
        <v>B) Il a fourni les règles fondamentales, la terminologie et les concepts des sports modernes comme le tennis et la pelote basque.</v>
      </c>
      <c r="K127" s="6" t="str">
        <f>IFERROR(__xludf.DUMMYFUNCTION("GOOGLETRANSLATE(E127, ""en"", ""fr"")"),"L'ancien « jeu de la paume » est l'un des ancêtres les plus importants de l'histoire du sport, à l'origine de nombreux jeux de raquette et de balle modernes.")</f>
        <v>L'ancien « jeu de la paume » est l'un des ancêtres les plus importants de l'histoire du sport, à l'origine de nombreux jeux de raquette et de balle modernes.</v>
      </c>
    </row>
    <row r="128" ht="22.5" customHeight="1">
      <c r="A128" s="4">
        <v>127.0</v>
      </c>
      <c r="B128" s="5" t="s">
        <v>1132</v>
      </c>
      <c r="C128" s="5" t="s">
        <v>1133</v>
      </c>
      <c r="D128" s="5" t="s">
        <v>1134</v>
      </c>
      <c r="E128" s="5" t="s">
        <v>1135</v>
      </c>
      <c r="G128" s="6" t="str">
        <f>IFERROR(__xludf.DUMMYFUNCTION("GOOGLETRANSLATE(A128, ""en"", ""fr"")"),"127")</f>
        <v>127</v>
      </c>
      <c r="H128" s="6" t="str">
        <f>IFERROR(__xludf.DUMMYFUNCTION("GOOGLETRANSLATE(B128, ""en"", ""fr"")"),"Un joueur est touché par la balle pendant un échange. Quelle est la décision arbitrale ?")</f>
        <v>Un joueur est touché par la balle pendant un échange. Quelle est la décision arbitrale ?</v>
      </c>
      <c r="I128" s="6" t="str">
        <f>IFERROR(__xludf.DUMMYFUNCTION("GOOGLETRANSLATE(C128, ""en"", ""fr"")"),"A) Le joueur touché perd le point. B) Le point est rejoué. C) Le joueur qui a frappé la balle perd le point. D) Le joueur touché reçoit une pénalité.")</f>
        <v>A) Le joueur touché perd le point. B) Le point est rejoué. C) Le joueur qui a frappé la balle perd le point. D) Le joueur touché reçoit une pénalité.</v>
      </c>
      <c r="J128" s="6" t="str">
        <f>IFERROR(__xludf.DUMMYFUNCTION("GOOGLETRANSLATE(D128, ""en"", ""fr"")"),"A) Le joueur touché perd le point.")</f>
        <v>A) Le joueur touché perd le point.</v>
      </c>
      <c r="K128" s="6" t="str">
        <f>IFERROR(__xludf.DUMMYFUNCTION("GOOGLETRANSLATE(E128, ""en"", ""fr"")"),"Si la balle, après avoir heurté le mur frontal, touche un joueur avant d'avoir rebondi sur le sol, ce joueur est considéré comme « touché » et perd le point.")</f>
        <v>Si la balle, après avoir heurté le mur frontal, touche un joueur avant d'avoir rebondi sur le sol, ce joueur est considéré comme « touché » et perd le point.</v>
      </c>
    </row>
    <row r="129" ht="22.5" customHeight="1">
      <c r="A129" s="4">
        <v>128.0</v>
      </c>
      <c r="B129" s="5" t="s">
        <v>1136</v>
      </c>
      <c r="C129" s="5" t="s">
        <v>1137</v>
      </c>
      <c r="D129" s="5" t="s">
        <v>1138</v>
      </c>
      <c r="E129" s="5" t="s">
        <v>1139</v>
      </c>
      <c r="G129" s="6" t="str">
        <f>IFERROR(__xludf.DUMMYFUNCTION("GOOGLETRANSLATE(A129, ""en"", ""fr"")"),"128")</f>
        <v>128</v>
      </c>
      <c r="H129" s="6" t="str">
        <f>IFERROR(__xludf.DUMMYFUNCTION("GOOGLETRANSLATE(B129, ""en"", ""fr"")"),"Qu'est-ce qu'un « dos paredes » ?")</f>
        <v>Qu'est-ce qu'un « dos paredes » ?</v>
      </c>
      <c r="I129" s="6" t="str">
        <f>IFERROR(__xludf.DUMMYFUNCTION("GOOGLETRANSLATE(C129, ""en"", ""fr"")"),"A) Un coup qui touche deux murs, B) Un type de service, C) Un mouvement défensif, D) Un terme désignant un match de double")</f>
        <v>A) Un coup qui touche deux murs, B) Un type de service, C) Un mouvement défensif, D) Un terme désignant un match de double</v>
      </c>
      <c r="J129" s="6" t="str">
        <f>IFERROR(__xludf.DUMMYFUNCTION("GOOGLETRANSLATE(D129, ""en"", ""fr"")"),"A) Un tir qui touche deux murs")</f>
        <v>A) Un tir qui touche deux murs</v>
      </c>
      <c r="K129" s="6" t="str">
        <f>IFERROR(__xludf.DUMMYFUNCTION("GOOGLETRANSLATE(E129, ""en"", ""fr"")"),"Le tir « à deux murs » est une tactique courante où la balle est frappée contre le mur latéral puis contre le mur frontal, ou inversement, afin de créer un angle difficile.")</f>
        <v>Le tir « à deux murs » est une tactique courante où la balle est frappée contre le mur latéral puis contre le mur frontal, ou inversement, afin de créer un angle difficile.</v>
      </c>
    </row>
    <row r="130" ht="22.5" customHeight="1">
      <c r="A130" s="4">
        <v>129.0</v>
      </c>
      <c r="B130" s="5" t="s">
        <v>1140</v>
      </c>
      <c r="C130" s="5" t="s">
        <v>1141</v>
      </c>
      <c r="D130" s="5" t="s">
        <v>1142</v>
      </c>
      <c r="E130" s="5" t="s">
        <v>1143</v>
      </c>
      <c r="G130" s="6" t="str">
        <f>IFERROR(__xludf.DUMMYFUNCTION("GOOGLETRANSLATE(A130, ""en"", ""fr"")"),"129")</f>
        <v>129</v>
      </c>
      <c r="H130" s="6" t="str">
        <f>IFERROR(__xludf.DUMMYFUNCTION("GOOGLETRANSLATE(B130, ""en"", ""fr"")"),"Au jeu de Xare, à quoi ressemble la raquette ?")</f>
        <v>Au jeu de Xare, à quoi ressemble la raquette ?</v>
      </c>
      <c r="I130" s="6" t="str">
        <f>IFERROR(__xludf.DUMMYFUNCTION("GOOGLETRANSLATE(C130, ""en"", ""fr"")"),"A) Une pagaie en bois massif, B) Un panier tressé, C) Une raquette à cordes avec un tamis souple en forme de filet, D) Il n'y a pas de raquette")</f>
        <v>A) Une pagaie en bois massif, B) Un panier tressé, C) Une raquette à cordes avec un tamis souple en forme de filet, D) Il n'y a pas de raquette</v>
      </c>
      <c r="J130" s="6" t="str">
        <f>IFERROR(__xludf.DUMMYFUNCTION("GOOGLETRANSLATE(D130, ""en"", ""fr"")"),"C) Une raquette cordée avec un manche lâche en forme de filet")</f>
        <v>C) Une raquette cordée avec un manche lâche en forme de filet</v>
      </c>
      <c r="K130" s="6" t="str">
        <f>IFERROR(__xludf.DUMMYFUNCTION("GOOGLETRANSLATE(E130, ""en"", ""fr"")"),"Le xare (ou « raquette argentine ») utilise une raquette unique qui ressemble à une crosse de lacrosse, servant à attraper et à lancer la balle molle.")</f>
        <v>Le xare (ou « raquette argentine ») utilise une raquette unique qui ressemble à une crosse de lacrosse, servant à attraper et à lancer la balle molle.</v>
      </c>
    </row>
    <row r="131" ht="22.5" customHeight="1">
      <c r="A131" s="4">
        <v>130.0</v>
      </c>
      <c r="B131" s="5" t="s">
        <v>1192</v>
      </c>
      <c r="C131" s="5" t="s">
        <v>1193</v>
      </c>
      <c r="D131" s="5" t="s">
        <v>1150</v>
      </c>
      <c r="E131" s="5" t="s">
        <v>1194</v>
      </c>
      <c r="G131" s="6" t="str">
        <f>IFERROR(__xludf.DUMMYFUNCTION("GOOGLETRANSLATE(A131, ""en"", ""fr"")"),"130")</f>
        <v>130</v>
      </c>
      <c r="H131" s="6" t="str">
        <f>IFERROR(__xludf.DUMMYFUNCTION("GOOGLETRANSLATE(B131, ""en"", ""fr"")"),"Un joueur est surpris en possession d'un ballon modifié illégalement, qui rebondit anormalement. Quelle est la conséquence ?")</f>
        <v>Un joueur est surpris en possession d'un ballon modifié illégalement, qui rebondit anormalement. Quelle est la conséquence ?</v>
      </c>
      <c r="I131" s="6" t="str">
        <f>IFERROR(__xludf.DUMMYFUNCTION("GOOGLETRANSLATE(C131, ""en"", ""fr"")"),"A) Un avertissement, B) Perte du match, C) Un point de pénalité, D) Le ballon est simplement remplacé")</f>
        <v>A) Un avertissement, B) Perte du match, C) Un point de pénalité, D) Le ballon est simplement remplacé</v>
      </c>
      <c r="J131" s="6" t="str">
        <f>IFERROR(__xludf.DUMMYFUNCTION("GOOGLETRANSLATE(D131, ""en"", ""fr"")"),"B) Forfait du match")</f>
        <v>B) Forfait du match</v>
      </c>
      <c r="K131" s="6" t="str">
        <f>IFERROR(__xludf.DUMMYFUNCTION("GOOGLETRANSLATE(E131, ""en"", ""fr"")"),"Toute altération du ballon visant à obtenir un avantage indu constitue un acte de tricherie majeur et entraînerait la perte du match.")</f>
        <v>Toute altération du ballon visant à obtenir un avantage indu constitue un acte de tricherie majeur et entraînerait la perte du match.</v>
      </c>
    </row>
    <row r="132" ht="22.5" customHeight="1">
      <c r="A132" s="4">
        <v>131.0</v>
      </c>
      <c r="B132" s="5" t="s">
        <v>1092</v>
      </c>
      <c r="C132" s="5" t="s">
        <v>1093</v>
      </c>
      <c r="D132" s="5" t="s">
        <v>1094</v>
      </c>
      <c r="E132" s="5" t="s">
        <v>1095</v>
      </c>
      <c r="G132" s="6" t="str">
        <f>IFERROR(__xludf.DUMMYFUNCTION("GOOGLETRANSLATE(A132, ""en"", ""fr"")"),"131")</f>
        <v>131</v>
      </c>
      <c r="H132" s="6" t="str">
        <f>IFERROR(__xludf.DUMMYFUNCTION("GOOGLETRANSLATE(B132, ""en"", ""fr"")"),"Un joueur porte un casque lors d'un match de pelote basque. Pourquoi est-ce une exigence moderne ?")</f>
        <v>Un joueur porte un casque lors d'un match de pelote basque. Pourquoi est-ce une exigence moderne ?</v>
      </c>
      <c r="I132" s="6" t="str">
        <f>IFERROR(__xludf.DUMMYFUNCTION("GOOGLETRANSLATE(C132,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132" s="6" t="str">
        <f>IFERROR(__xludf.DUMMYFUNCTION("GOOGLETRANSLATE(D132, ""en"", ""fr"")"),"B) L'incroyable vitesse de la balle peut être mortelle si elle frappe un joueur à la tête.")</f>
        <v>B) L'incroyable vitesse de la balle peut être mortelle si elle frappe un joueur à la tête.</v>
      </c>
      <c r="K132" s="6" t="str">
        <f>IFERROR(__xludf.DUMMYFUNCTION("GOOGLETRANSLATE(E132,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133" ht="22.5" customHeight="1">
      <c r="A133" s="4">
        <v>132.0</v>
      </c>
      <c r="B133" s="5" t="s">
        <v>1279</v>
      </c>
      <c r="C133" s="5" t="s">
        <v>1280</v>
      </c>
      <c r="D133" s="5" t="s">
        <v>1281</v>
      </c>
      <c r="E133" s="5" t="s">
        <v>1282</v>
      </c>
      <c r="G133" s="6" t="str">
        <f>IFERROR(__xludf.DUMMYFUNCTION("GOOGLETRANSLATE(A133, ""en"", ""fr"")"),"132")</f>
        <v>132</v>
      </c>
      <c r="H133" s="6" t="str">
        <f>IFERROR(__xludf.DUMMYFUNCTION("GOOGLETRANSLATE(B133, ""en"", ""fr"")"),"Le système de paris au Jai Alai, le quiniela, consiste à parier sur les équipes qui termineront à quelles positions ?")</f>
        <v>Le système de paris au Jai Alai, le quiniela, consiste à parier sur les équipes qui termineront à quelles positions ?</v>
      </c>
      <c r="I133" s="6" t="str">
        <f>IFERROR(__xludf.DUMMYFUNCTION("GOOGLETRANSLATE(C133, ""en"", ""fr"")"),"A) Première place seulement, B) Première et deuxième places (Victoire et Placement), C) Première, deuxième et troisième places (Trifecta), D) L'équipe dernière")</f>
        <v>A) Première place seulement, B) Première et deuxième places (Victoire et Placement), C) Première, deuxième et troisième places (Trifecta), D) L'équipe dernière</v>
      </c>
      <c r="J133" s="6" t="str">
        <f>IFERROR(__xludf.DUMMYFUNCTION("GOOGLETRANSLATE(D133, ""en"", ""fr"")"),"B) Première et deuxième place (Victoire et Place)")</f>
        <v>B) Première et deuxième place (Victoire et Place)</v>
      </c>
      <c r="K133" s="6" t="str">
        <f>IFERROR(__xludf.DUMMYFUNCTION("GOOGLETRANSLATE(E133, ""en"", ""fr"")"),"Le quiniela est un système de pari mutuel classique dont le but est de prédire les deux premiers du match.")</f>
        <v>Le quiniela est un système de pari mutuel classique dont le but est de prédire les deux premiers du match.</v>
      </c>
    </row>
    <row r="134" ht="22.5" customHeight="1">
      <c r="A134" s="4">
        <v>133.0</v>
      </c>
      <c r="B134" s="5" t="s">
        <v>1233</v>
      </c>
      <c r="C134" s="5" t="s">
        <v>1234</v>
      </c>
      <c r="D134" s="5" t="s">
        <v>1235</v>
      </c>
      <c r="E134" s="5" t="s">
        <v>1236</v>
      </c>
      <c r="G134" s="6" t="str">
        <f>IFERROR(__xludf.DUMMYFUNCTION("GOOGLETRANSLATE(A134, ""en"", ""fr"")"),"133")</f>
        <v>133</v>
      </c>
      <c r="H134" s="6" t="str">
        <f>IFERROR(__xludf.DUMMYFUNCTION("GOOGLETRANSLATE(B134, ""en"", ""fr"")"),"Un joueur renvoie la balle, qui touche le mur avant, puis le mur arrière, puis le sol. Ce coup est-il autorisé ?")</f>
        <v>Un joueur renvoie la balle, qui touche le mur avant, puis le mur arrière, puis le sol. Ce coup est-il autorisé ?</v>
      </c>
      <c r="I134" s="6" t="str">
        <f>IFERROR(__xludf.DUMMYFUNCTION("GOOGLETRANSLATE(C134, ""en"", ""fr"")"),"A) Non, la bille doit rebondir avant de toucher le mur du fond. B) Oui, c'est un coup de carambole légal. C) Le point est rejoué. D) C'est une faute.")</f>
        <v>A) Non, la bille doit rebondir avant de toucher le mur du fond. B) Oui, c'est un coup de carambole légal. C) Le point est rejoué. D) C'est une faute.</v>
      </c>
      <c r="J134" s="6" t="str">
        <f>IFERROR(__xludf.DUMMYFUNCTION("GOOGLETRANSLATE(D134, ""en"", ""fr"")"),"B) Oui, il s'agit d'un coup de carambole légal.")</f>
        <v>B) Oui, il s'agit d'un coup de carambole légal.</v>
      </c>
      <c r="K134" s="6" t="str">
        <f>IFERROR(__xludf.DUMMYFUNCTION("GOOGLETRANSLATE(E134, ""en"", ""fr"")"),"L'utilisation du mur arrière (rebote) est un élément clé de la stratégie, en particulier dans le fronton à trois murs.")</f>
        <v>L'utilisation du mur arrière (rebote) est un élément clé de la stratégie, en particulier dans le fronton à trois murs.</v>
      </c>
    </row>
    <row r="135" ht="22.5" customHeight="1">
      <c r="A135" s="4">
        <v>134.0</v>
      </c>
      <c r="B135" s="5" t="s">
        <v>1241</v>
      </c>
      <c r="C135" s="5" t="s">
        <v>1101</v>
      </c>
      <c r="D135" s="5" t="s">
        <v>1242</v>
      </c>
      <c r="E135" s="5" t="s">
        <v>1243</v>
      </c>
      <c r="G135" s="6" t="str">
        <f>IFERROR(__xludf.DUMMYFUNCTION("GOOGLETRANSLATE(A135, ""en"", ""fr"")"),"134")</f>
        <v>134</v>
      </c>
      <c r="H135" s="6" t="str">
        <f>IFERROR(__xludf.DUMMYFUNCTION("GOOGLETRANSLATE(B135, ""en"", ""fr"")"),"Un joueur sert, et la balle touche la ligne entre le mur frontal et le mur latéral. Quelle est la décision ?")</f>
        <v>Un joueur sert, et la balle touche la ligne entre le mur frontal et le mur latéral. Quelle est la décision ?</v>
      </c>
      <c r="I135" s="6" t="str">
        <f>IFERROR(__xludf.DUMMYFUNCTION("GOOGLETRANSLATE(C135, ""en"", ""fr"")"),"A) Service régulier, B) Faute, C) Point rejoué, D) Choix de l'adversaire")</f>
        <v>A) Service régulier, B) Faute, C) Point rejoué, D) Choix de l'adversaire</v>
      </c>
      <c r="J135" s="6" t="str">
        <f>IFERROR(__xludf.DUMMYFUNCTION("GOOGLETRANSLATE(D135, ""en"", ""fr"")"),"A) Un service légal")</f>
        <v>A) Un service légal</v>
      </c>
      <c r="K135" s="6" t="str">
        <f>IFERROR(__xludf.DUMMYFUNCTION("GOOGLETRANSLATE(E135, ""en"", ""fr"")"),"Contrairement à la ligne tracée au sol, le coin où deux surfaces de jeu se rejoignent est considéré comme « dedans ».")</f>
        <v>Contrairement à la ligne tracée au sol, le coin où deux surfaces de jeu se rejoignent est considéré comme « dedans ».</v>
      </c>
    </row>
    <row r="136" ht="22.5" customHeight="1">
      <c r="A136" s="4">
        <v>135.0</v>
      </c>
      <c r="B136" s="5" t="s">
        <v>1112</v>
      </c>
      <c r="C136" s="5" t="s">
        <v>1283</v>
      </c>
      <c r="D136" s="5" t="s">
        <v>1284</v>
      </c>
      <c r="E136" s="5" t="s">
        <v>1115</v>
      </c>
      <c r="G136" s="6" t="str">
        <f>IFERROR(__xludf.DUMMYFUNCTION("GOOGLETRANSLATE(A136, ""en"", ""fr"")"),"135")</f>
        <v>135</v>
      </c>
      <c r="H136" s="6" t="str">
        <f>IFERROR(__xludf.DUMMYFUNCTION("GOOGLETRANSLATE(B136, ""en"", ""fr"")"),"Dans un trinquet, qu'est-ce que le xilo ?")</f>
        <v>Dans un trinquet, qu'est-ce que le xilo ?</v>
      </c>
      <c r="I136" s="6" t="str">
        <f>IFERROR(__xludf.DUMMYFUNCTION("GOOGLETRANSLATE(C136, ""en"", ""fr"")"),"A) Le mur du fond, B) Le filet, C) Un petit trou dans le mur avant qui constitue un coup gagnant automatique s'il est touché, D) La tribune latérale")</f>
        <v>A) Le mur du fond, B) Le filet, C) Un petit trou dans le mur avant qui constitue un coup gagnant automatique s'il est touché, D) La tribune latérale</v>
      </c>
      <c r="J136" s="6" t="str">
        <f>IFERROR(__xludf.DUMMYFUNCTION("GOOGLETRANSLATE(D136, ""en"", ""fr"")"),"C) Un petit trou dans la paroi avant qui, s'il est atteint, constitue un coup gagnant automatique.")</f>
        <v>C) Un petit trou dans la paroi avant qui, s'il est atteint, constitue un coup gagnant automatique.</v>
      </c>
      <c r="K136" s="6" t="str">
        <f>IFERROR(__xludf.DUMMYFUNCTION("GOOGLETRANSLATE(E136, ""en"", ""fr"")"),"Frapper la balle dans le xilo (trou) est un coup difficile et qui permet de gagner instantanément la partie dans certaines modalités.")</f>
        <v>Frapper la balle dans le xilo (trou) est un coup difficile et qui permet de gagner instantanément la partie dans certaines modalités.</v>
      </c>
    </row>
    <row r="137" ht="22.5" customHeight="1">
      <c r="A137" s="4">
        <v>136.0</v>
      </c>
      <c r="B137" s="5" t="s">
        <v>1104</v>
      </c>
      <c r="C137" s="5" t="s">
        <v>1285</v>
      </c>
      <c r="D137" s="5" t="s">
        <v>1286</v>
      </c>
      <c r="E137" s="5" t="s">
        <v>1107</v>
      </c>
      <c r="G137" s="6" t="str">
        <f>IFERROR(__xludf.DUMMYFUNCTION("GOOGLETRANSLATE(A137, ""en"", ""fr"")"),"136")</f>
        <v>136</v>
      </c>
      <c r="H137" s="6" t="str">
        <f>IFERROR(__xludf.DUMMYFUNCTION("GOOGLETRANSLATE(B137, ""en"", ""fr"")"),"On voit un joueur s'appliquer une substance collante, comme de la résine de pin, sur les mains avant un match de nue principal. Pourquoi ?")</f>
        <v>On voit un joueur s'appliquer une substance collante, comme de la résine de pin, sur les mains avant un match de nue principal. Pourquoi ?</v>
      </c>
      <c r="I137" s="6" t="str">
        <f>IFERROR(__xludf.DUMMYFUNCTION("GOOGLETRANSLATE(C137, ""en"", ""fr"")"),"A) C'est une substance illégale. B) Pour mieux contrôler la balle lors de la frappe. C) Pour se protéger les mains des blessures. D) Pour donner un effet à la balle.")</f>
        <v>A) C'est une substance illégale. B) Pour mieux contrôler la balle lors de la frappe. C) Pour se protéger les mains des blessures. D) Pour donner un effet à la balle.</v>
      </c>
      <c r="J137" s="6" t="str">
        <f>IFERROR(__xludf.DUMMYFUNCTION("GOOGLETRANSLATE(D137, ""en"", ""fr"")"),"B) Pour avoir une meilleure prise sur la balle lors de la frappe")</f>
        <v>B) Pour avoir une meilleure prise sur la balle lors de la frappe</v>
      </c>
      <c r="K137" s="6" t="str">
        <f>IFERROR(__xludf.DUMMYFUNCTION("GOOGLETRANSLATE(E137, ""en"", ""fr"")"),"Une petite quantité de résine peut aider le joueur à obtenir plus d'adhérence sur la balle, lui permettant ainsi de lui imprimer plus d'effet et de contrôle.")</f>
        <v>Une petite quantité de résine peut aider le joueur à obtenir plus d'adhérence sur la balle, lui permettant ainsi de lui imprimer plus d'effet et de contrôle.</v>
      </c>
    </row>
    <row r="138" ht="22.5" customHeight="1">
      <c r="A138" s="4">
        <v>137.0</v>
      </c>
      <c r="B138" s="5" t="s">
        <v>1096</v>
      </c>
      <c r="C138" s="5" t="s">
        <v>1097</v>
      </c>
      <c r="D138" s="5" t="s">
        <v>1098</v>
      </c>
      <c r="E138" s="5" t="s">
        <v>1099</v>
      </c>
      <c r="G138" s="6" t="str">
        <f>IFERROR(__xludf.DUMMYFUNCTION("GOOGLETRANSLATE(A138, ""en"", ""fr"")"),"137")</f>
        <v>137</v>
      </c>
      <c r="H138" s="6" t="str">
        <f>IFERROR(__xludf.DUMMYFUNCTION("GOOGLETRANSLATE(B138, ""en"", ""fr"")"),"À quoi correspond le numéro inscrit dans le dos d'un joueur de pelote basque ?")</f>
        <v>À quoi correspond le numéro inscrit dans le dos d'un joueur de pelote basque ?</v>
      </c>
      <c r="I138" s="6" t="str">
        <f>IFERROR(__xludf.DUMMYFUNCTION("GOOGLETRANSLATE(C138, ""en"", ""fr"")"),"A) Leur âge, B) Leur grade, C) Leur position dans le système de paris combinés, D) Leur taille de maillot")</f>
        <v>A) Leur âge, B) Leur grade, C) Leur position dans le système de paris combinés, D) Leur taille de maillot</v>
      </c>
      <c r="J138" s="6" t="str">
        <f>IFERROR(__xludf.DUMMYFUNCTION("GOOGLETRANSLATE(D138, ""en"", ""fr"")"),"C) Leur position dans le système de paris quiniela")</f>
        <v>C) Leur position dans le système de paris quiniela</v>
      </c>
      <c r="K138" s="6" t="str">
        <f>IFERROR(__xludf.DUMMYFUNCTION("GOOGLETRANSLATE(E138, ""en"", ""fr"")"),"Les numéros de 1 à 8 servent à identifier les joueurs ou les équipes pour les parieurs.")</f>
        <v>Les numéros de 1 à 8 servent à identifier les joueurs ou les équipes pour les parieurs.</v>
      </c>
    </row>
    <row r="139" ht="22.5" customHeight="1">
      <c r="A139" s="4">
        <v>138.0</v>
      </c>
      <c r="B139" s="5" t="s">
        <v>1100</v>
      </c>
      <c r="C139" s="5" t="s">
        <v>1101</v>
      </c>
      <c r="D139" s="5" t="s">
        <v>1102</v>
      </c>
      <c r="E139" s="5" t="s">
        <v>1103</v>
      </c>
      <c r="G139" s="6" t="str">
        <f>IFERROR(__xludf.DUMMYFUNCTION("GOOGLETRANSLATE(A139, ""en"", ""fr"")"),"138")</f>
        <v>138</v>
      </c>
      <c r="H139" s="6" t="str">
        <f>IFERROR(__xludf.DUMMYFUNCTION("GOOGLETRANSLATE(B139, ""en"", ""fr"")"),"Un joueur sert, et la balle touche la ligne entre le mur frontal et le sol. Quelle est la décision ?")</f>
        <v>Un joueur sert, et la balle touche la ligne entre le mur frontal et le sol. Quelle est la décision ?</v>
      </c>
      <c r="I139" s="6" t="str">
        <f>IFERROR(__xludf.DUMMYFUNCTION("GOOGLETRANSLATE(C139, ""en"", ""fr"")"),"A) Service régulier, B) Faute, C) Point rejoué, D) Choix de l'adversaire")</f>
        <v>A) Service régulier, B) Faute, C) Point rejoué, D) Choix de l'adversaire</v>
      </c>
      <c r="J139" s="6" t="str">
        <f>IFERROR(__xludf.DUMMYFUNCTION("GOOGLETRANSLATE(D139, ""en"", ""fr"")"),"B) Un défaut")</f>
        <v>B) Un défaut</v>
      </c>
      <c r="K139" s="6" t="str">
        <f>IFERROR(__xludf.DUMMYFUNCTION("GOOGLETRANSLATE(E139, ""en"", ""fr"")"),"La balle doit toucher le mur frontal nettement au-dessus du sol. Toucher la ligne est une faute.")</f>
        <v>La balle doit toucher le mur frontal nettement au-dessus du sol. Toucher la ligne est une faute.</v>
      </c>
    </row>
    <row r="140" ht="22.5" customHeight="1">
      <c r="A140" s="4">
        <v>139.0</v>
      </c>
      <c r="B140" s="5" t="s">
        <v>1287</v>
      </c>
      <c r="C140" s="5" t="s">
        <v>1288</v>
      </c>
      <c r="D140" s="5" t="s">
        <v>1289</v>
      </c>
      <c r="E140" s="5" t="s">
        <v>1290</v>
      </c>
      <c r="G140" s="6" t="str">
        <f>IFERROR(__xludf.DUMMYFUNCTION("GOOGLETRANSLATE(A140, ""en"", ""fr"")"),"139")</f>
        <v>139</v>
      </c>
      <c r="H140" s="6" t="str">
        <f>IFERROR(__xludf.DUMMYFUNCTION("GOOGLETRANSLATE(B140, ""en"", ""fr"")"),"Qu'est-ce qu'une « école de pelote » ou escuela de pelota ?")</f>
        <v>Qu'est-ce qu'une « école de pelote » ou escuela de pelota ?</v>
      </c>
      <c r="I140" s="6" t="str">
        <f>IFERROR(__xludf.DUMMYFUNCTION("GOOGLETRANSLATE(C140, ""en"", ""fr"")"),"A) Une université qui étudie ce sport, B) Un centre de formation pour jeunes joueurs, C) Le titre d'un livre célèbre sur ce sport, D) Un lieu de fabrication des balles")</f>
        <v>A) Une université qui étudie ce sport, B) Un centre de formation pour jeunes joueurs, C) Le titre d'un livre célèbre sur ce sport, D) Un lieu de fabrication des balles</v>
      </c>
      <c r="J140" s="6" t="str">
        <f>IFERROR(__xludf.DUMMYFUNCTION("GOOGLETRANSLATE(D140, ""en"", ""fr"")"),"B) Une académie de formation pour jeunes joueurs")</f>
        <v>B) Une académie de formation pour jeunes joueurs</v>
      </c>
      <c r="K140" s="6" t="str">
        <f>IFERROR(__xludf.DUMMYFUNCTION("GOOGLETRANSLATE(E140, ""en"", ""fr"")"),"Ces écoles sont au cœur du développement de ce sport, où les jeunes enfants apprennent les fondamentaux auprès d'entraîneurs expérimentés.")</f>
        <v>Ces écoles sont au cœur du développement de ce sport, où les jeunes enfants apprennent les fondamentaux auprès d'entraîneurs expérimentés.</v>
      </c>
    </row>
    <row r="141" ht="22.5" customHeight="1">
      <c r="A141" s="4">
        <v>140.0</v>
      </c>
      <c r="B141" s="5" t="s">
        <v>1291</v>
      </c>
      <c r="C141" s="5" t="s">
        <v>1276</v>
      </c>
      <c r="D141" s="5" t="s">
        <v>1277</v>
      </c>
      <c r="E141" s="5" t="s">
        <v>1278</v>
      </c>
      <c r="G141" s="6" t="str">
        <f>IFERROR(__xludf.DUMMYFUNCTION("GOOGLETRANSLATE(A141, ""en"", ""fr"")"),"140")</f>
        <v>140</v>
      </c>
      <c r="H141" s="6" t="str">
        <f>IFERROR(__xludf.DUMMYFUNCTION("GOOGLETRANSLATE(B141, ""en"", ""fr"")"),"L’héritage le plus durable du jeu de paume ?")</f>
        <v>L’héritage le plus durable du jeu de paume ?</v>
      </c>
      <c r="I141" s="6" t="str">
        <f>IFERROR(__xludf.DUMMYFUNCTION("GOOGLETRANSLATE(C141, ""en"", ""fr"")"),"A) C'est encore un sport populaire dans le monde entier. B) Il a fourni les règles, la terminologie et les concepts fondamentaux des sports modernes comme le tennis et la pelote basque. C) C'était le premier sport à utiliser une raquette. D) C'était un sp"&amp;"ort olympique.")</f>
        <v>A) C'est encore un sport populaire dans le monde entier. B) Il a fourni les règles, la terminologie et les concepts fondamentaux des sports modernes comme le tennis et la pelote basque. C) C'était le premier sport à utiliser une raquette. D) C'était un sport olympique.</v>
      </c>
      <c r="J141" s="6" t="str">
        <f>IFERROR(__xludf.DUMMYFUNCTION("GOOGLETRANSLATE(D141, ""en"", ""fr"")"),"B) Il a fourni les règles fondamentales, la terminologie et les concepts des sports modernes comme le tennis et la pelote basque.")</f>
        <v>B) Il a fourni les règles fondamentales, la terminologie et les concepts des sports modernes comme le tennis et la pelote basque.</v>
      </c>
      <c r="K141" s="6" t="str">
        <f>IFERROR(__xludf.DUMMYFUNCTION("GOOGLETRANSLATE(E141, ""en"", ""fr"")"),"L'ancien « jeu de la paume » est l'un des ancêtres les plus importants de l'histoire du sport, à l'origine de nombreux jeux de raquette et de balle modernes.")</f>
        <v>L'ancien « jeu de la paume » est l'un des ancêtres les plus importants de l'histoire du sport, à l'origine de nombreux jeux de raquette et de balle modernes.</v>
      </c>
    </row>
    <row r="142" ht="22.5" customHeight="1">
      <c r="A142" s="4">
        <v>141.0</v>
      </c>
      <c r="B142" s="5" t="s">
        <v>974</v>
      </c>
      <c r="C142" s="5" t="s">
        <v>1089</v>
      </c>
      <c r="D142" s="5" t="s">
        <v>1090</v>
      </c>
      <c r="E142" s="5" t="s">
        <v>1091</v>
      </c>
      <c r="G142" s="6" t="str">
        <f>IFERROR(__xludf.DUMMYFUNCTION("GOOGLETRANSLATE(A142, ""en"", ""fr"")"),"141")</f>
        <v>141</v>
      </c>
      <c r="H142" s="6" t="str">
        <f>IFERROR(__xludf.DUMMYFUNCTION("GOOGLETRANSLATE(B142, ""en"", ""fr"")"),"Quel est le rôle principal du mur gauche (pared izquierda) dans le jeu ?")</f>
        <v>Quel est le rôle principal du mur gauche (pared izquierda) dans le jeu ?</v>
      </c>
      <c r="I142" s="6" t="str">
        <f>IFERROR(__xludf.DUMMYFUNCTION("GOOGLETRANSLATE(C142, ""en"", ""fr"")"),"A) Fournir une surface de jeu légale pour la balle, créant des angles complexes ; B) Séparer les joueurs des spectateurs ; C) C'est hors limites ; D) C'est là que le score est consigné.")</f>
        <v>A) Fournir une surface de jeu légale pour la balle, créant des angles complexes ; B) Séparer les joueurs des spectateurs ; C) C'est hors limites ; D) C'est là que le score est consigné.</v>
      </c>
      <c r="J142" s="6" t="str">
        <f>IFERROR(__xludf.DUMMYFUNCTION("GOOGLETRANSLATE(D142, ""en"", ""fr"")"),"A) Fournir une surface permettant de jouer la balle légalement, créant des angles complexes")</f>
        <v>A) Fournir une surface permettant de jouer la balle légalement, créant des angles complexes</v>
      </c>
      <c r="K142" s="6" t="str">
        <f>IFERROR(__xludf.DUMMYFUNCTION("GOOGLETRANSLATE(E142, ""en"", ""fr"")"),"Le mur latéral est un élément fondamental du jeu, permettant des tirs avec rebond et des actions défensives impossibles dans un jeu à deux murs.")</f>
        <v>Le mur latéral est un élément fondamental du jeu, permettant des tirs avec rebond et des actions défensives impossibles dans un jeu à deux murs.</v>
      </c>
    </row>
    <row r="143" ht="22.5" customHeight="1">
      <c r="A143" s="4">
        <v>142.0</v>
      </c>
      <c r="B143" s="5" t="s">
        <v>1292</v>
      </c>
      <c r="C143" s="5" t="s">
        <v>1216</v>
      </c>
      <c r="D143" s="5" t="s">
        <v>1217</v>
      </c>
      <c r="E143" s="5" t="s">
        <v>1033</v>
      </c>
      <c r="G143" s="6" t="str">
        <f>IFERROR(__xludf.DUMMYFUNCTION("GOOGLETRANSLATE(A143, ""en"", ""fr"")"),"142")</f>
        <v>142</v>
      </c>
      <c r="H143" s="6" t="str">
        <f>IFERROR(__xludf.DUMMYFUNCTION("GOOGLETRANSLATE(B143, ""en"", ""fr"")"),"Un joueur est connu pour son puissant saque. De quoi s'agit-il ?")</f>
        <v>Un joueur est connu pour son puissant saque. De quoi s'agit-il ?</v>
      </c>
      <c r="I143" s="6" t="str">
        <f>IFERROR(__xludf.DUMMYFUNCTION("GOOGLETRANSLATE(C143, ""en"", ""fr"")"),"A) Leur coup droit, B) Leur revers, C) Leur service, D) Leur bloc défensif")</f>
        <v>A) Leur coup droit, B) Leur revers, C) Leur service, D) Leur bloc défensif</v>
      </c>
      <c r="J143" s="6" t="str">
        <f>IFERROR(__xludf.DUMMYFUNCTION("GOOGLETRANSLATE(D143, ""en"", ""fr"")"),"C) Leur service")</f>
        <v>C) Leur service</v>
      </c>
      <c r="K143" s="6" t="str">
        <f>IFERROR(__xludf.DUMMYFUNCTION("GOOGLETRANSLATE(E143, ""en"", ""fr"")"),"Le saque est le mot espagnol pour le service, le premier coup de chaque point.")</f>
        <v>Le saque est le mot espagnol pour le service, le premier coup de chaque point.</v>
      </c>
    </row>
    <row r="144" ht="22.5" customHeight="1">
      <c r="A144" s="4">
        <v>143.0</v>
      </c>
      <c r="B144" s="5" t="s">
        <v>1066</v>
      </c>
      <c r="C144" s="5" t="s">
        <v>1067</v>
      </c>
      <c r="D144" s="5" t="s">
        <v>1068</v>
      </c>
      <c r="E144" s="5" t="s">
        <v>1069</v>
      </c>
      <c r="G144" s="6" t="str">
        <f>IFERROR(__xludf.DUMMYFUNCTION("GOOGLETRANSLATE(A144, ""en"", ""fr"")"),"143")</f>
        <v>143</v>
      </c>
      <c r="H144" s="6" t="str">
        <f>IFERROR(__xludf.DUMMYFUNCTION("GOOGLETRANSLATE(B144, ""en"", ""fr"")"),"Pourquoi le sol d'un fronton de pelote basque professionnel est-il souvent en béton ou en granit ?")</f>
        <v>Pourquoi le sol d'un fronton de pelote basque professionnel est-il souvent en béton ou en granit ?</v>
      </c>
      <c r="I144" s="6" t="str">
        <f>IFERROR(__xludf.DUMMYFUNCTION("GOOGLETRANSLATE(C144, ""en"", ""fr"")"),"A) Il est bon marché, B) Il offre un rebond très rapide et régulier pour la balle dure, C) Il est traditionnel, D) Il est facile à nettoyer")</f>
        <v>A) Il est bon marché, B) Il offre un rebond très rapide et régulier pour la balle dure, C) Il est traditionnel, D) Il est facile à nettoyer</v>
      </c>
      <c r="J144" s="6" t="str">
        <f>IFERROR(__xludf.DUMMYFUNCTION("GOOGLETRANSLATE(D144, ""en"", ""fr"")"),"B) Il assure un rebond très rapide et régulier pour la balle dure")</f>
        <v>B) Il assure un rebond très rapide et régulier pour la balle dure</v>
      </c>
      <c r="K144" s="6" t="str">
        <f>IFERROR(__xludf.DUMMYFUNCTION("GOOGLETRANSLATE(E144, ""en"", ""fr"")"),"La surface dure et lisse est essentielle pour le rythme rapide et les rebonds importants propres à ce jeu.")</f>
        <v>La surface dure et lisse est essentielle pour le rythme rapide et les rebonds importants propres à ce jeu.</v>
      </c>
    </row>
    <row r="145" ht="22.5" customHeight="1">
      <c r="A145" s="4">
        <v>144.0</v>
      </c>
      <c r="B145" s="5" t="s">
        <v>1082</v>
      </c>
      <c r="C145" s="5" t="s">
        <v>1083</v>
      </c>
      <c r="D145" s="5" t="s">
        <v>594</v>
      </c>
      <c r="E145" s="5" t="s">
        <v>1084</v>
      </c>
      <c r="G145" s="6" t="str">
        <f>IFERROR(__xludf.DUMMYFUNCTION("GOOGLETRANSLATE(A145, ""en"", ""fr"")"),"144")</f>
        <v>144</v>
      </c>
      <c r="H145" s="6" t="str">
        <f>IFERROR(__xludf.DUMMYFUNCTION("GOOGLETRANSLATE(B145, ""en"", ""fr"")"),"La chemise d'un joueur se casse en plein point. Que se passe-t-il ?")</f>
        <v>La chemise d'un joueur se casse en plein point. Que se passe-t-il ?</v>
      </c>
      <c r="I145" s="6" t="str">
        <f>IFERROR(__xludf.DUMMYFUNCTION("GOOGLETRANSLATE(C145, ""en"", ""fr"")"),"A) Le joueur est disqualifié, B) Le point est immédiatement arrêté et rejoué, C) Le joueur peut tenter de continuer le point avec la chestera cassée, D) Le joueur peut aller en chercher une nouvelle")</f>
        <v>A) Le joueur est disqualifié, B) Le point est immédiatement arrêté et rejoué, C) Le joueur peut tenter de continuer le point avec la chestera cassée, D) Le joueur peut aller en chercher une nouvelle</v>
      </c>
      <c r="J145" s="6" t="str">
        <f>IFERROR(__xludf.DUMMYFUNCTION("GOOGLETRANSLATE(D145, ""en"", ""fr"")"),"B) Le point est immédiatement interrompu et rejoué.")</f>
        <v>B) Le point est immédiatement interrompu et rejoué.</v>
      </c>
      <c r="K145" s="6" t="str">
        <f>IFERROR(__xludf.DUMMYFUNCTION("GOOGLETRANSLATE(E145, ""en"", ""fr"")"),"Si l'équipement essentiel d'un joueur se brise pendant un échange en direct sans qu'il y soit pour rien, le point est généralement rejoué.")</f>
        <v>Si l'équipement essentiel d'un joueur se brise pendant un échange en direct sans qu'il y soit pour rien, le point est généralement rejoué.</v>
      </c>
    </row>
    <row r="146" ht="22.5" customHeight="1">
      <c r="A146" s="4">
        <v>145.0</v>
      </c>
      <c r="B146" s="5" t="s">
        <v>1085</v>
      </c>
      <c r="C146" s="5" t="s">
        <v>1086</v>
      </c>
      <c r="D146" s="5" t="s">
        <v>1087</v>
      </c>
      <c r="E146" s="5" t="s">
        <v>1088</v>
      </c>
      <c r="G146" s="6" t="str">
        <f>IFERROR(__xludf.DUMMYFUNCTION("GOOGLETRANSLATE(A146, ""en"", ""fr"")"),"145")</f>
        <v>145</v>
      </c>
      <c r="H146" s="6" t="str">
        <f>IFERROR(__xludf.DUMMYFUNCTION("GOOGLETRANSLATE(B146, ""en"", ""fr"")"),"Quelle est la principale différence entre la paleta cuero et la paleta goma ?")</f>
        <v>Quelle est la principale différence entre la paleta cuero et la paleta goma ?</v>
      </c>
      <c r="I146" s="6" t="str">
        <f>IFERROR(__xludf.DUMMYFUNCTION("GOOGLETRANSLATE(C146, ""en"", ""fr"")"),"A) La taille du terrain, B) Le type de balle utilisée (balle en cuir ou balle en caoutchouc), C) Le nombre de joueurs, D) Le matériau de la raquette")</f>
        <v>A) La taille du terrain, B) Le type de balle utilisée (balle en cuir ou balle en caoutchouc), C) Le nombre de joueurs, D) Le matériau de la raquette</v>
      </c>
      <c r="J146" s="6" t="str">
        <f>IFERROR(__xludf.DUMMYFUNCTION("GOOGLETRANSLATE(D146, ""en"", ""fr"")"),"B) Le type de balle utilisée (balle en cuir ou balle en caoutchouc)")</f>
        <v>B) Le type de balle utilisée (balle en cuir ou balle en caoutchouc)</v>
      </c>
      <c r="K146" s="6" t="str">
        <f>IFERROR(__xludf.DUMMYFUNCTION("GOOGLETRANSLATE(E146, ""en"", ""fr"")"),"Il s'agit de deux modes de jeu de raquette différents : l'un se joue avec une balle traditionnelle en cuir dur et l'autre avec une balle en caoutchouc plus rebondissante.")</f>
        <v>Il s'agit de deux modes de jeu de raquette différents : l'un se joue avec une balle traditionnelle en cuir dur et l'autre avec une balle en caoutchouc plus rebondissante.</v>
      </c>
    </row>
    <row r="147" ht="22.5" customHeight="1">
      <c r="A147" s="4">
        <v>146.0</v>
      </c>
      <c r="B147" s="5" t="s">
        <v>1203</v>
      </c>
      <c r="C147" s="5" t="s">
        <v>1204</v>
      </c>
      <c r="D147" s="5" t="s">
        <v>1205</v>
      </c>
      <c r="E147" s="5" t="s">
        <v>1256</v>
      </c>
      <c r="G147" s="6" t="str">
        <f>IFERROR(__xludf.DUMMYFUNCTION("GOOGLETRANSLATE(A147, ""en"", ""fr"")"),"146")</f>
        <v>146</v>
      </c>
      <c r="H147" s="6" t="str">
        <f>IFERROR(__xludf.DUMMYFUNCTION("GOOGLETRANSLATE(B147, ""en"", ""fr"")"),"Un joueur reçoit un avertissement pour « interférence ». Qu'a-t-il bien pu faire ?")</f>
        <v>Un joueur reçoit un avertissement pour « interférence ». Qu'a-t-il bien pu faire ?</v>
      </c>
      <c r="I147" s="6" t="str">
        <f>IFERROR(__xludf.DUMMYFUNCTION("GOOGLETRANSLATE(C147, ""en"", ""fr"")"),"A) A frappé la balle trop fort, B) S'est placé de manière à bloquer le passage de l'adversaire vers la balle, C) A parlé à son partenaire, D) A contesté l'arbitre")</f>
        <v>A) A frappé la balle trop fort, B) S'est placé de manière à bloquer le passage de l'adversaire vers la balle, C) A parlé à son partenaire, D) A contesté l'arbitre</v>
      </c>
      <c r="J147" s="6" t="str">
        <f>IFERROR(__xludf.DUMMYFUNCTION("GOOGLETRANSLATE(D147, ""en"", ""fr"")"),"B) S'est placé de manière à bloquer le passage de l'adversaire vers la balle")</f>
        <v>B) S'est placé de manière à bloquer le passage de l'adversaire vers la balle</v>
      </c>
      <c r="K147" s="6" t="str">
        <f>IFERROR(__xludf.DUMMYFUNCTION("GOOGLETRANSLATE(E147, ""en"", ""fr"")"),"Un joueur ne peut pas intentionnellement obstruer les mouvements ou la ligne de vue d'un adversaire vers le ballon. Il s'agit d'une faute.")</f>
        <v>Un joueur ne peut pas intentionnellement obstruer les mouvements ou la ligne de vue d'un adversaire vers le ballon. Il s'agit d'une faute.</v>
      </c>
    </row>
    <row r="148" ht="22.5" customHeight="1">
      <c r="A148" s="4">
        <v>147.0</v>
      </c>
      <c r="B148" s="5" t="s">
        <v>1293</v>
      </c>
      <c r="C148" s="5" t="s">
        <v>1258</v>
      </c>
      <c r="D148" s="5" t="s">
        <v>1259</v>
      </c>
      <c r="E148" s="5" t="s">
        <v>1260</v>
      </c>
      <c r="G148" s="6" t="str">
        <f>IFERROR(__xludf.DUMMYFUNCTION("GOOGLETRANSLATE(A148, ""en"", ""fr"")"),"147")</f>
        <v>147</v>
      </c>
      <c r="H148" s="6" t="str">
        <f>IFERROR(__xludf.DUMMYFUNCTION("GOOGLETRANSLATE(B148, ""en"", ""fr"")"),"Un joueur sert. La balle touche le mur frontal, puis le sol dans le carré de service, et enfin le mur du fond. Ce service est-il valide ?")</f>
        <v>Un joueur sert. La balle touche le mur frontal, puis le sol dans le carré de service, et enfin le mur du fond. Ce service est-il valide ?</v>
      </c>
      <c r="I148" s="6" t="str">
        <f>IFERROR(__xludf.DUMMYFUNCTION("GOOGLETRANSLATE(C148, ""en"", ""fr"")"),"A) Non, la balle doit être renvoyée avant de toucher le mur du fond. B) Oui, c'est un service régulier. C) Le point est rejoué. D) C'est une faute.")</f>
        <v>A) Non, la balle doit être renvoyée avant de toucher le mur du fond. B) Oui, c'est un service régulier. C) Le point est rejoué. D) C'est une faute.</v>
      </c>
      <c r="J148" s="6" t="str">
        <f>IFERROR(__xludf.DUMMYFUNCTION("GOOGLETRANSLATE(D148, ""en"", ""fr"")"),"B) Oui, c'est un service légal")</f>
        <v>B) Oui, c'est un service légal</v>
      </c>
      <c r="K148" s="6" t="str">
        <f>IFERROR(__xludf.DUMMYFUNCTION("GOOGLETRANSLATE(E148, ""en"", ""fr"")"),"Tant que le service touche le mur frontal et rebondit dans la zone prévue, la balle est valable, même si elle touche ensuite le mur du fond.")</f>
        <v>Tant que le service touche le mur frontal et rebondit dans la zone prévue, la balle est valable, même si elle touche ensuite le mur du fond.</v>
      </c>
    </row>
    <row r="149" ht="22.5" customHeight="1">
      <c r="A149" s="4">
        <v>148.0</v>
      </c>
      <c r="B149" s="5" t="s">
        <v>1218</v>
      </c>
      <c r="C149" s="5" t="s">
        <v>1219</v>
      </c>
      <c r="D149" s="5" t="s">
        <v>1130</v>
      </c>
      <c r="E149" s="5" t="s">
        <v>1131</v>
      </c>
      <c r="G149" s="6" t="str">
        <f>IFERROR(__xludf.DUMMYFUNCTION("GOOGLETRANSLATE(A149, ""en"", ""fr"")"),"148")</f>
        <v>148</v>
      </c>
      <c r="H149" s="6" t="str">
        <f>IFERROR(__xludf.DUMMYFUNCTION("GOOGLETRANSLATE(B149, ""en"", ""fr"")"),"Quelle est la principale raison pour laquelle la pelota jouit d'un statut culturel beaucoup plus élevé au Pays basque qu'ailleurs ?")</f>
        <v>Quelle est la principale raison pour laquelle la pelota jouit d'un statut culturel beaucoup plus élevé au Pays basque qu'ailleurs ?</v>
      </c>
      <c r="I149" s="6" t="str">
        <f>IFERROR(__xludf.DUMMYFUNCTION("GOOGLETRANSLATE(C149, ""en"", ""fr"")"),"A) C'est un symbole de leur identité nationale et culturelle unique, B) C'est le seul sport qu'ils pratiquent, C) Les prix y sont beaucoup plus élevés, D) Les meilleurs joueurs viennent tous de là-bas")</f>
        <v>A) C'est un symbole de leur identité nationale et culturelle unique, B) C'est le seul sport qu'ils pratiquent, C) Les prix y sont beaucoup plus élevés, D) Les meilleurs joueurs viennent tous de là-bas</v>
      </c>
      <c r="J149" s="6" t="str">
        <f>IFERROR(__xludf.DUMMYFUNCTION("GOOGLETRANSLATE(D149, ""en"", ""fr"")"),"A) C'est un symbole de leur identité nationale et culturelle unique")</f>
        <v>A) C'est un symbole de leur identité nationale et culturelle unique</v>
      </c>
      <c r="K149" s="6" t="str">
        <f>IFERROR(__xludf.DUMMYFUNCTION("GOOGLETRANSLATE(E149, ""en"", ""fr"")"),"La pelote est bien plus qu'un simple jeu ; c'est un trésor culturel précieux, une institution sociale et une puissante expression du patrimoine basque.")</f>
        <v>La pelote est bien plus qu'un simple jeu ; c'est un trésor culturel précieux, une institution sociale et une puissante expression du patrimoine basque.</v>
      </c>
    </row>
    <row r="150" ht="22.5" customHeight="1">
      <c r="A150" s="4">
        <v>149.0</v>
      </c>
      <c r="B150" s="5" t="s">
        <v>1092</v>
      </c>
      <c r="C150" s="5" t="s">
        <v>1093</v>
      </c>
      <c r="D150" s="5" t="s">
        <v>1094</v>
      </c>
      <c r="E150" s="5" t="s">
        <v>1095</v>
      </c>
      <c r="G150" s="6" t="str">
        <f>IFERROR(__xludf.DUMMYFUNCTION("GOOGLETRANSLATE(A150, ""en"", ""fr"")"),"149")</f>
        <v>149</v>
      </c>
      <c r="H150" s="6" t="str">
        <f>IFERROR(__xludf.DUMMYFUNCTION("GOOGLETRANSLATE(B150, ""en"", ""fr"")"),"Un joueur porte un casque lors d'un match de pelote basque. Pourquoi est-ce une exigence moderne ?")</f>
        <v>Un joueur porte un casque lors d'un match de pelote basque. Pourquoi est-ce une exigence moderne ?</v>
      </c>
      <c r="I150" s="6" t="str">
        <f>IFERROR(__xludf.DUMMYFUNCTION("GOOGLETRANSLATE(C150, ""en"", ""fr"")"),"A) Pour faire professionnel, B) La vitesse incroyable du ballon peut être mortelle s'il heurte la tête d'un joueur, C) Pour se protéger des chutes, D) C'est une exigence du sponsor")</f>
        <v>A) Pour faire professionnel, B) La vitesse incroyable du ballon peut être mortelle s'il heurte la tête d'un joueur, C) Pour se protéger des chutes, D) C'est une exigence du sponsor</v>
      </c>
      <c r="J150" s="6" t="str">
        <f>IFERROR(__xludf.DUMMYFUNCTION("GOOGLETRANSLATE(D150, ""en"", ""fr"")"),"B) L'incroyable vitesse de la balle peut être mortelle si elle frappe un joueur à la tête.")</f>
        <v>B) L'incroyable vitesse de la balle peut être mortelle si elle frappe un joueur à la tête.</v>
      </c>
      <c r="K150" s="6" t="str">
        <f>IFERROR(__xludf.DUMMYFUNCTION("GOOGLETRANSLATE(E150, ""en"", ""fr"")"),"Avec des vitesses de balle dépassant les 300 km/h, le casque est un équipement de sécurité essentiel pour prévenir les blessures graves ou mortelles à la tête.")</f>
        <v>Avec des vitesses de balle dépassant les 300 km/h, le casque est un équipement de sécurité essentiel pour prévenir les blessures graves ou mortelles à la tête.</v>
      </c>
    </row>
    <row r="151" ht="22.5" customHeight="1">
      <c r="A151" s="4">
        <v>150.0</v>
      </c>
      <c r="B151" s="5" t="s">
        <v>1184</v>
      </c>
      <c r="C151" s="5" t="s">
        <v>1185</v>
      </c>
      <c r="D151" s="5" t="s">
        <v>1186</v>
      </c>
      <c r="E151" s="5" t="s">
        <v>1187</v>
      </c>
      <c r="G151" s="6" t="str">
        <f>IFERROR(__xludf.DUMMYFUNCTION("GOOGLETRANSLATE(A151, ""en"", ""fr"")"),"150")</f>
        <v>150</v>
      </c>
      <c r="H151" s="6" t="str">
        <f>IFERROR(__xludf.DUMMYFUNCTION("GOOGLETRANSLATE(B151, ""en"", ""fr"")"),"Quel est le rôle principal de la Fédération internationale de pelote basque (FIPV) ?")</f>
        <v>Quel est le rôle principal de la Fédération internationale de pelote basque (FIPV) ?</v>
      </c>
      <c r="I151" s="6" t="str">
        <f>IFERROR(__xludf.DUMMYFUNCTION("GOOGLETRANSLATE(C151, ""en"", ""fr"")"),"A) Organiser des paris professionnels, B) Gouverner le sport, normaliser les règles et organiser des championnats du monde, C) Entraîner l'équipe nationale espagnole, D) Fabriquer l'équipement")</f>
        <v>A) Organiser des paris professionnels, B) Gouverner le sport, normaliser les règles et organiser des championnats du monde, C) Entraîner l'équipe nationale espagnole, D) Fabriquer l'équipement</v>
      </c>
      <c r="J151" s="6" t="str">
        <f>IFERROR(__xludf.DUMMYFUNCTION("GOOGLETRANSLATE(D151, ""en"", ""fr"")"),"B) Gouverner le sport, normaliser les règles et organiser les championnats du monde")</f>
        <v>B) Gouverner le sport, normaliser les règles et organiser les championnats du monde</v>
      </c>
      <c r="K151" s="6" t="str">
        <f>IFERROR(__xludf.DUMMYFUNCTION("GOOGLETRANSLATE(E151, ""en"", ""fr"")"),"La FIPV est l'instance dirigeante mondiale chargée de l'administration et de la promotion de toutes les modalités officielles de ce sport.")</f>
        <v>La FIPV est l'instance dirigeante mondiale chargée de l'administration et de la promotion de toutes les modalités officielles de ce sport.</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25"/>
    <col customWidth="1" min="8" max="11" width="37.63"/>
  </cols>
  <sheetData>
    <row r="1" ht="22.5" customHeight="1">
      <c r="A1" s="1" t="s">
        <v>0</v>
      </c>
      <c r="B1" s="2" t="s">
        <v>1</v>
      </c>
      <c r="C1" s="2" t="s">
        <v>2</v>
      </c>
      <c r="D1" s="2" t="s">
        <v>3</v>
      </c>
      <c r="E1" s="2" t="s">
        <v>4</v>
      </c>
      <c r="G1" s="2" t="s">
        <v>5</v>
      </c>
      <c r="H1" s="2" t="s">
        <v>6</v>
      </c>
      <c r="I1" s="2" t="s">
        <v>7</v>
      </c>
      <c r="J1" s="2" t="s">
        <v>8</v>
      </c>
      <c r="K1" s="2" t="s">
        <v>4</v>
      </c>
    </row>
    <row r="2" ht="22.5" customHeight="1">
      <c r="A2" s="4">
        <v>1.0</v>
      </c>
      <c r="B2" s="5" t="s">
        <v>1294</v>
      </c>
      <c r="C2" s="5" t="s">
        <v>1295</v>
      </c>
      <c r="D2" s="5" t="s">
        <v>1296</v>
      </c>
      <c r="E2" s="5" t="s">
        <v>1297</v>
      </c>
      <c r="G2" s="5" t="str">
        <f>IFERROR(__xludf.DUMMYFUNCTION("GOOGLETRANSLATE(A2, ""en"", ""fr"")"),"1")</f>
        <v>1</v>
      </c>
      <c r="H2" s="5" t="str">
        <f>IFERROR(__xludf.DUMMYFUNCTION("GOOGLETRANSLATE(B2, ""en"", ""fr"")"),"Quel est le nom breton du sport de lutte traditionnel de Bretagne, en France ?")</f>
        <v>Quel est le nom breton du sport de lutte traditionnel de Bretagne, en France ?</v>
      </c>
      <c r="I2" s="5" t="str">
        <f>IFERROR(__xludf.DUMMYFUNCTION("GOOGLETRANSLATE(C2, ""en"", ""fr"")"),"A) Bretz, B) Lucha, C) Schwingen, D) Gouren")</f>
        <v>A) Bretz, B) Lucha, C) Schwingen, D) Gouren</v>
      </c>
      <c r="J2" s="5" t="str">
        <f>IFERROR(__xludf.DUMMYFUNCTION("GOOGLETRANSLATE(D2, ""en"", ""fr"")"),"D) Gouren")</f>
        <v>D) Gouren</v>
      </c>
      <c r="K2" s="5" t="str">
        <f>IFERROR(__xludf.DUMMYFUNCTION("GOOGLETRANSLATE(E2, ""en"", ""fr"")"),"Gouren est le nom breton de leur style traditionnel de lutte en veste.")</f>
        <v>Gouren est le nom breton de leur style traditionnel de lutte en veste.</v>
      </c>
    </row>
    <row r="3" ht="22.5" customHeight="1">
      <c r="A3" s="4">
        <v>2.0</v>
      </c>
      <c r="B3" s="5" t="s">
        <v>1298</v>
      </c>
      <c r="C3" s="5" t="s">
        <v>1299</v>
      </c>
      <c r="D3" s="5" t="s">
        <v>1300</v>
      </c>
      <c r="E3" s="5" t="s">
        <v>1301</v>
      </c>
      <c r="G3" s="5" t="str">
        <f>IFERROR(__xludf.DUMMYFUNCTION("GOOGLETRANSLATE(A3, ""en"", ""fr"")"),"2")</f>
        <v>2</v>
      </c>
      <c r="H3" s="5" t="str">
        <f>IFERROR(__xludf.DUMMYFUNCTION("GOOGLETRANSLATE(B3, ""en"", ""fr"")"),"Quel est l'objectif ultime qu'un lutteur doit atteindre pour remporter instantanément un match de Gouren ?")</f>
        <v>Quel est l'objectif ultime qu'un lutteur doit atteindre pour remporter instantanément un match de Gouren ?</v>
      </c>
      <c r="I3" s="5" t="str">
        <f>IFERROR(__xludf.DUMMYFUNCTION("GOOGLETRANSLATE(C3, ""en"", ""fr"")"),"A) Faire abandonner l'adversaire, B) Marquer le plus de points, C) Réaliser une projection parfaite appelée Lamm, D) Pousser l'adversaire hors du cercle")</f>
        <v>A) Faire abandonner l'adversaire, B) Marquer le plus de points, C) Réaliser une projection parfaite appelée Lamm, D) Pousser l'adversaire hors du cercle</v>
      </c>
      <c r="J3" s="5" t="str">
        <f>IFERROR(__xludf.DUMMYFUNCTION("GOOGLETRANSLATE(D3, ""en"", ""fr"")"),"C) Exécutez un lancer parfait appelé Lamm")</f>
        <v>C) Exécutez un lancer parfait appelé Lamm</v>
      </c>
      <c r="K3" s="5" t="str">
        <f>IFERROR(__xludf.DUMMYFUNCTION("GOOGLETRANSLATE(E3, ""en"", ""fr"")"),"Le Lamm est le résultat parfait et l'objectif principal, ce qui entraîne une victoire immédiate.")</f>
        <v>Le Lamm est le résultat parfait et l'objectif principal, ce qui entraîne une victoire immédiate.</v>
      </c>
    </row>
    <row r="4" ht="22.5" customHeight="1">
      <c r="A4" s="4">
        <v>3.0</v>
      </c>
      <c r="B4" s="5" t="s">
        <v>1302</v>
      </c>
      <c r="C4" s="5" t="s">
        <v>1303</v>
      </c>
      <c r="D4" s="5" t="s">
        <v>1304</v>
      </c>
      <c r="E4" s="5" t="s">
        <v>1305</v>
      </c>
      <c r="G4" s="5" t="str">
        <f>IFERROR(__xludf.DUMMYFUNCTION("GOOGLETRANSLATE(A4, ""en"", ""fr"")"),"3")</f>
        <v>3</v>
      </c>
      <c r="H4" s="5" t="str">
        <f>IFERROR(__xludf.DUMMYFUNCTION("GOOGLETRANSLATE(B4, ""en"", ""fr"")"),"Quelles sont les conditions spécifiques pour qu'un lancer soit considéré comme un Lamm ?")</f>
        <v>Quelles sont les conditions spécifiques pour qu'un lancer soit considéré comme un Lamm ?</v>
      </c>
      <c r="I4" s="5" t="str">
        <f>IFERROR(__xludf.DUMMYFUNCTION("GOOGLETRANSLATE(C4, ""en"", ""fr"")"),"A) Le dos de l'adversaire doit toucher le sol. B) Les deux omoplates de l'adversaire doivent toucher le sol simultanément. C) L'adversaire doit atterrir sur la tête. D) La projection doit être très haute.")</f>
        <v>A) Le dos de l'adversaire doit toucher le sol. B) Les deux omoplates de l'adversaire doivent toucher le sol simultanément. C) L'adversaire doit atterrir sur la tête. D) La projection doit être très haute.</v>
      </c>
      <c r="J4" s="5" t="str">
        <f>IFERROR(__xludf.DUMMYFUNCTION("GOOGLETRANSLATE(D4, ""en"", ""fr"")"),"B) Les deux omoplates de l'adversaire doivent toucher le sol simultanément.")</f>
        <v>B) Les deux omoplates de l'adversaire doivent toucher le sol simultanément.</v>
      </c>
      <c r="K4" s="5" t="str">
        <f>IFERROR(__xludf.DUMMYFUNCTION("GOOGLETRANSLATE(E4, ""en"", ""fr"")"),"Un Lamm nécessite que l'adversaire soit projeté proprement sur le dos, les deux épaules touchant le sol simultanément.")</f>
        <v>Un Lamm nécessite que l'adversaire soit projeté proprement sur le dos, les deux épaules touchant le sol simultanément.</v>
      </c>
    </row>
    <row r="5" ht="22.5" customHeight="1">
      <c r="A5" s="4">
        <v>4.0</v>
      </c>
      <c r="B5" s="5" t="s">
        <v>1306</v>
      </c>
      <c r="C5" s="5" t="s">
        <v>1307</v>
      </c>
      <c r="D5" s="5" t="s">
        <v>1308</v>
      </c>
      <c r="E5" s="5" t="s">
        <v>1309</v>
      </c>
      <c r="G5" s="5" t="str">
        <f>IFERROR(__xludf.DUMMYFUNCTION("GOOGLETRANSLATE(A5, ""en"", ""fr"")"),"4")</f>
        <v>4</v>
      </c>
      <c r="H5" s="5" t="str">
        <f>IFERROR(__xludf.DUMMYFUNCTION("GOOGLETRANSLATE(B5, ""en"", ""fr"")"),"Si une projection a pour résultat que l'adversaire retombe sur une seule omoplate, comment appelle-t-on ce résultat ?")</f>
        <v>Si une projection a pour résultat que l'adversaire retombe sur une seule omoplate, comment appelle-t-on ce résultat ?</v>
      </c>
      <c r="I5" s="5" t="str">
        <f>IFERROR(__xludf.DUMMYFUNCTION("GOOGLETRANSLATE(C5, ""en"", ""fr"")"),"A) A Lamm, B) A Kein, C) A Kostin, D) A Netra")</f>
        <v>A) A Lamm, B) A Kein, C) A Kostin, D) A Netra</v>
      </c>
      <c r="J5" s="5" t="str">
        <f>IFERROR(__xludf.DUMMYFUNCTION("GOOGLETRANSLATE(D5, ""en"", ""fr"")"),"C) Un Kostin")</f>
        <v>C) Un Kostin</v>
      </c>
      <c r="K5" s="5" t="str">
        <f>IFERROR(__xludf.DUMMYFUNCTION("GOOGLETRANSLATE(E5, ""en"", ""fr"")"),"Un Kostin est un résultat partiel, où le lancer a été efficace mais pas parfait. C'est le meilleur résultat après un Lamm.")</f>
        <v>Un Kostin est un résultat partiel, où le lancer a été efficace mais pas parfait. C'est le meilleur résultat après un Lamm.</v>
      </c>
    </row>
    <row r="6" ht="22.5" customHeight="1">
      <c r="A6" s="4">
        <v>5.0</v>
      </c>
      <c r="B6" s="5" t="s">
        <v>1310</v>
      </c>
      <c r="C6" s="5" t="s">
        <v>1311</v>
      </c>
      <c r="D6" s="5" t="s">
        <v>1312</v>
      </c>
      <c r="E6" s="5" t="s">
        <v>1313</v>
      </c>
      <c r="G6" s="5" t="str">
        <f>IFERROR(__xludf.DUMMYFUNCTION("GOOGLETRANSLATE(A6, ""en"", ""fr"")"),"5")</f>
        <v>5</v>
      </c>
      <c r="H6" s="5" t="str">
        <f>IFERROR(__xludf.DUMMYFUNCTION("GOOGLETRANSLATE(B6, ""en"", ""fr"")"),"Comment s'appelle cette veste blanche résistante à manches courtes que les lutteurs doivent tenir fermement pendant un match ?")</f>
        <v>Comment s'appelle cette veste blanche résistante à manches courtes que les lutteurs doivent tenir fermement pendant un match ?</v>
      </c>
      <c r="I6" s="5" t="str">
        <f>IFERROR(__xludf.DUMMYFUNCTION("GOOGLETRANSLATE(C6, ""en"", ""fr"")"),"A) Le Bragoù, B) Le Roched, C) Le Gi, D) Le Singlet")</f>
        <v>A) Le Bragoù, B) Le Roched, C) Le Gi, D) Le Singlet</v>
      </c>
      <c r="J6" s="5" t="str">
        <f>IFERROR(__xludf.DUMMYFUNCTION("GOOGLETRANSLATE(D6, ""en"", ""fr"")"),"B) Le Roched")</f>
        <v>B) Le Roched</v>
      </c>
      <c r="K6" s="5" t="str">
        <f>IFERROR(__xludf.DUMMYFUNCTION("GOOGLETRANSLATE(E6, ""en"", ""fr"")"),"La veste Roched est une veste de lutte en toile robuste. Toutes les prises doivent être effectuées avec cette veste.")</f>
        <v>La veste Roched est une veste de lutte en toile robuste. Toutes les prises doivent être effectuées avec cette veste.</v>
      </c>
    </row>
    <row r="7" ht="22.5" customHeight="1">
      <c r="A7" s="4">
        <v>6.0</v>
      </c>
      <c r="B7" s="5" t="s">
        <v>1314</v>
      </c>
      <c r="C7" s="5" t="s">
        <v>1315</v>
      </c>
      <c r="D7" s="5" t="s">
        <v>1316</v>
      </c>
      <c r="E7" s="5" t="s">
        <v>1317</v>
      </c>
      <c r="G7" s="5" t="str">
        <f>IFERROR(__xludf.DUMMYFUNCTION("GOOGLETRANSLATE(A7, ""en"", ""fr"")"),"6")</f>
        <v>6</v>
      </c>
      <c r="H7" s="5" t="str">
        <f>IFERROR(__xludf.DUMMYFUNCTION("GOOGLETRANSLATE(B7, ""en"", ""fr"")"),"Comment s'appelle le pantalon traditionnel porté par un lutteur Gouren ?")</f>
        <v>Comment s'appelle le pantalon traditionnel porté par un lutteur Gouren ?</v>
      </c>
      <c r="I7" s="5" t="str">
        <f>IFERROR(__xludf.DUMMYFUNCTION("GOOGLETRANSLATE(C7, ""en"", ""fr"")"),"A) Le roched, B) Le bragoù, C) Le kimono, D) Le legging")</f>
        <v>A) Le roched, B) Le bragoù, C) Le kimono, D) Le legging</v>
      </c>
      <c r="J7" s="5" t="str">
        <f>IFERROR(__xludf.DUMMYFUNCTION("GOOGLETRANSLATE(D7, ""en"", ""fr"")"),"B) Les Bragou")</f>
        <v>B) Les Bragou</v>
      </c>
      <c r="K7" s="5" t="str">
        <f>IFERROR(__xludf.DUMMYFUNCTION("GOOGLETRANSLATE(E7, ""en"", ""fr"")"),"Les bragoù sont les pantalons noirs mi-longs caractéristiques portés par les lutteurs.")</f>
        <v>Les bragoù sont les pantalons noirs mi-longs caractéristiques portés par les lutteurs.</v>
      </c>
    </row>
    <row r="8" ht="22.5" customHeight="1">
      <c r="A8" s="4">
        <v>7.0</v>
      </c>
      <c r="B8" s="5" t="s">
        <v>1318</v>
      </c>
      <c r="C8" s="5" t="s">
        <v>1319</v>
      </c>
      <c r="D8" s="5" t="s">
        <v>1320</v>
      </c>
      <c r="E8" s="5" t="s">
        <v>1321</v>
      </c>
      <c r="G8" s="5" t="str">
        <f>IFERROR(__xludf.DUMMYFUNCTION("GOOGLETRANSLATE(A8, ""en"", ""fr"")"),"7")</f>
        <v>7</v>
      </c>
      <c r="H8" s="5" t="str">
        <f>IFERROR(__xludf.DUMMYFUNCTION("GOOGLETRANSLATE(B8, ""en"", ""fr"")"),"Quelle est la règle concernant les chaussures lors d'un match de Gouren ?")</f>
        <v>Quelle est la règle concernant les chaussures lors d'un match de Gouren ?</v>
      </c>
      <c r="I8" s="5" t="str">
        <f>IFERROR(__xludf.DUMMYFUNCTION("GOOGLETRANSLATE(C8, ""en"", ""fr"")"),"A) Les lutteurs doivent porter des chaussures de lutte spéciales, B) Les lutteurs doivent concourir pieds nus, C) Toute chaussure de sport est autorisée, D) Les lutteurs portent des sandales")</f>
        <v>A) Les lutteurs doivent porter des chaussures de lutte spéciales, B) Les lutteurs doivent concourir pieds nus, C) Toute chaussure de sport est autorisée, D) Les lutteurs portent des sandales</v>
      </c>
      <c r="J8" s="5" t="str">
        <f>IFERROR(__xludf.DUMMYFUNCTION("GOOGLETRANSLATE(D8, ""en"", ""fr"")"),"B) Les lutteurs doivent concourir pieds nus")</f>
        <v>B) Les lutteurs doivent concourir pieds nus</v>
      </c>
      <c r="K8" s="5" t="str">
        <f>IFERROR(__xludf.DUMMYFUNCTION("GOOGLETRANSLATE(E8, ""en"", ""fr"")"),"Combattre pieds nus est une règle stricte, offrant une meilleure adhérence sur le tapis et préservant la tradition de ce sport.")</f>
        <v>Combattre pieds nus est une règle stricte, offrant une meilleure adhérence sur le tapis et préservant la tradition de ce sport.</v>
      </c>
    </row>
    <row r="9" ht="22.5" customHeight="1">
      <c r="A9" s="4">
        <v>8.0</v>
      </c>
      <c r="B9" s="5" t="s">
        <v>1322</v>
      </c>
      <c r="C9" s="5" t="s">
        <v>1323</v>
      </c>
      <c r="D9" s="5" t="s">
        <v>1324</v>
      </c>
      <c r="E9" s="5" t="s">
        <v>1325</v>
      </c>
      <c r="G9" s="5" t="str">
        <f>IFERROR(__xludf.DUMMYFUNCTION("GOOGLETRANSLATE(A9, ""en"", ""fr"")"),"8")</f>
        <v>8</v>
      </c>
      <c r="H9" s="5" t="str">
        <f>IFERROR(__xludf.DUMMYFUNCTION("GOOGLETRANSLATE(B9, ""en"", ""fr"")"),"Avant le début d'un tournoi, que doivent faire tous les lutteurs ensemble ?")</f>
        <v>Avant le début d'un tournoi, que doivent faire tous les lutteurs ensemble ?</v>
      </c>
      <c r="I9" s="5" t="str">
        <f>IFERROR(__xludf.DUMMYFUNCTION("GOOGLETRANSLATE(C9, ""en"", ""fr"")"),"A) Une danse cérémonielle, B) Un tour d'échauffement, C) Réciter le serment du lutteur, D) Serrer la main des juges")</f>
        <v>A) Une danse cérémonielle, B) Un tour d'échauffement, C) Réciter le serment du lutteur, D) Serrer la main des juges</v>
      </c>
      <c r="J9" s="5" t="str">
        <f>IFERROR(__xludf.DUMMYFUNCTION("GOOGLETRANSLATE(D9, ""en"", ""fr"")"),"C) Réciter le serment du lutteur (serment)")</f>
        <v>C) Réciter le serment du lutteur (serment)</v>
      </c>
      <c r="K9" s="5" t="str">
        <f>IFERROR(__xludf.DUMMYFUNCTION("GOOGLETRANSLATE(E9, ""en"", ""fr"")"),"Le serment est un rituel obligatoire par lequel les lutteurs s'engagent à combattre avec équité, respect et loyauté.")</f>
        <v>Le serment est un rituel obligatoire par lequel les lutteurs s'engagent à combattre avec équité, respect et loyauté.</v>
      </c>
    </row>
    <row r="10" ht="22.5" customHeight="1">
      <c r="A10" s="4">
        <v>9.0</v>
      </c>
      <c r="B10" s="5" t="s">
        <v>1326</v>
      </c>
      <c r="C10" s="5" t="s">
        <v>1327</v>
      </c>
      <c r="D10" s="5" t="s">
        <v>1328</v>
      </c>
      <c r="E10" s="5" t="s">
        <v>1329</v>
      </c>
      <c r="G10" s="5" t="str">
        <f>IFERROR(__xludf.DUMMYFUNCTION("GOOGLETRANSLATE(A10, ""en"", ""fr"")"),"9")</f>
        <v>9</v>
      </c>
      <c r="H10" s="5" t="str">
        <f>IFERROR(__xludf.DUMMYFUNCTION("GOOGLETRANSLATE(B10, ""en"", ""fr"")"),"Quel est le nom de la poignée de main cérémonielle qui commence et termine chaque combat ?")</f>
        <v>Quel est le nom de la poignée de main cérémonielle qui commence et termine chaque combat ?</v>
      </c>
      <c r="I10" s="5" t="str">
        <f>IFERROR(__xludf.DUMMYFUNCTION("GOOGLETRANSLATE(C10, ""en"", ""fr"")"),"A) Le Bretz, B) L'étreinte, C) Le Dornad, D) Le salut")</f>
        <v>A) Le Bretz, B) L'étreinte, C) Le Dornad, D) Le salut</v>
      </c>
      <c r="J10" s="5" t="str">
        <f>IFERROR(__xludf.DUMMYFUNCTION("GOOGLETRANSLATE(D10, ""en"", ""fr"")"),"C) Le Dornad")</f>
        <v>C) Le Dornad</v>
      </c>
      <c r="K10" s="5" t="str">
        <f>IFERROR(__xludf.DUMMYFUNCTION("GOOGLETRANSLATE(E10, ""en"", ""fr"")"),"La dornade est la poignée de main et la prise traditionnelles, un symbole du respect mutuel entre les lutteurs.")</f>
        <v>La dornade est la poignée de main et la prise traditionnelles, un symbole du respect mutuel entre les lutteurs.</v>
      </c>
    </row>
    <row r="11" ht="22.5" customHeight="1">
      <c r="A11" s="4">
        <v>10.0</v>
      </c>
      <c r="B11" s="5" t="s">
        <v>1330</v>
      </c>
      <c r="C11" s="5" t="s">
        <v>1331</v>
      </c>
      <c r="D11" s="5" t="s">
        <v>1332</v>
      </c>
      <c r="E11" s="5" t="s">
        <v>1333</v>
      </c>
      <c r="G11" s="5" t="str">
        <f>IFERROR(__xludf.DUMMYFUNCTION("GOOGLETRANSLATE(A11, ""en"", ""fr"")"),"10")</f>
        <v>10</v>
      </c>
      <c r="H11" s="5" t="str">
        <f>IFERROR(__xludf.DUMMYFUNCTION("GOOGLETRANSLATE(B11, ""en"", ""fr"")"),"Quelle est la durée standard d'un round pour les lutteurs seniors ?")</f>
        <v>Quelle est la durée standard d'un round pour les lutteurs seniors ?</v>
      </c>
      <c r="I11" s="5" t="str">
        <f>IFERROR(__xludf.DUMMYFUNCTION("GOOGLETRANSLATE(C11, ""en"", ""fr"")"),"A) 2 minutes, B) 3 minutes, C) 5 minutes, D) Il n'y a pas de limite de temps")</f>
        <v>A) 2 minutes, B) 3 minutes, C) 5 minutes, D) Il n'y a pas de limite de temps</v>
      </c>
      <c r="J11" s="5" t="str">
        <f>IFERROR(__xludf.DUMMYFUNCTION("GOOGLETRANSLATE(D11, ""en"", ""fr"")"),"B) 3 minutes")</f>
        <v>B) 3 minutes</v>
      </c>
      <c r="K11" s="5" t="str">
        <f>IFERROR(__xludf.DUMMYFUNCTION("GOOGLETRANSLATE(E11, ""en"", ""fr"")"),"Un match standard de niveau senior se déroule généralement sur une manche de 3 minutes.")</f>
        <v>Un match standard de niveau senior se déroule généralement sur une manche de 3 minutes.</v>
      </c>
    </row>
    <row r="12" ht="22.5" customHeight="1">
      <c r="A12" s="4">
        <v>11.0</v>
      </c>
      <c r="B12" s="5" t="s">
        <v>1334</v>
      </c>
      <c r="C12" s="5" t="s">
        <v>1335</v>
      </c>
      <c r="D12" s="5" t="s">
        <v>1336</v>
      </c>
      <c r="E12" s="5" t="s">
        <v>1337</v>
      </c>
      <c r="G12" s="5" t="str">
        <f>IFERROR(__xludf.DUMMYFUNCTION("GOOGLETRANSLATE(A12, ""en"", ""fr"")"),"11")</f>
        <v>11</v>
      </c>
      <c r="H12" s="5" t="str">
        <f>IFERROR(__xludf.DUMMYFUNCTION("GOOGLETRANSLATE(B12, ""en"", ""fr"")"),"Que se passe-t-il si Lamm n'est pas présent et que le score est à égalité à la fin de la manche ?")</f>
        <v>Que se passe-t-il si Lamm n'est pas présent et que le score est à égalité à la fin de la manche ?</v>
      </c>
      <c r="I12" s="5" t="str">
        <f>IFERROR(__xludf.DUMMYFUNCTION("GOOGLETRANSLATE(C12, ""en"", ""fr"")"),"A) Le match se termine par un match nul, B) Une prolongation est jouée, C) Le vainqueur est désigné par un tirage à pile ou face, D) Le lutteur le plus agressif l'emporte")</f>
        <v>A) Le match se termine par un match nul, B) Une prolongation est jouée, C) Le vainqueur est désigné par un tirage à pile ou face, D) Le lutteur le plus agressif l'emporte</v>
      </c>
      <c r="J12" s="5" t="str">
        <f>IFERROR(__xludf.DUMMYFUNCTION("GOOGLETRANSLATE(D12, ""en"", ""fr"")"),"B) Une période de prolongation (astenn) est disputée")</f>
        <v>B) Une période de prolongation (astenn) est disputée</v>
      </c>
      <c r="K12" s="5" t="str">
        <f>IFERROR(__xludf.DUMMYFUNCTION("GOOGLETRANSLATE(E12, ""en"", ""fr"")"),"Une prolongation, d'une durée équivalente à la moitié de la manche initiale, est organisée pour déterminer un vainqueur.")</f>
        <v>Une prolongation, d'une durée équivalente à la moitié de la manche initiale, est organisée pour déterminer un vainqueur.</v>
      </c>
    </row>
    <row r="13" ht="22.5" customHeight="1">
      <c r="A13" s="4">
        <v>12.0</v>
      </c>
      <c r="B13" s="5" t="s">
        <v>1338</v>
      </c>
      <c r="C13" s="5" t="s">
        <v>1339</v>
      </c>
      <c r="D13" s="5" t="s">
        <v>1340</v>
      </c>
      <c r="E13" s="5" t="s">
        <v>1341</v>
      </c>
      <c r="G13" s="5" t="str">
        <f>IFERROR(__xludf.DUMMYFUNCTION("GOOGLETRANSLATE(A13, ""en"", ""fr"")"),"12")</f>
        <v>12</v>
      </c>
      <c r="H13" s="5" t="str">
        <f>IFERROR(__xludf.DUMMYFUNCTION("GOOGLETRANSLATE(B13, ""en"", ""fr"")"),"Qu'est-ce qu'un Fazi à Gouren ?")</f>
        <v>Qu'est-ce qu'un Fazi à Gouren ?</v>
      </c>
      <c r="I13" s="5" t="str">
        <f>IFERROR(__xludf.DUMMYFUNCTION("GOOGLETRANSLATE(C13, ""en"", ""fr"")"),"A) Un lancer gagnant, B) Une pénalité pour faute technique, C) Un avertissement, D) Un match nul")</f>
        <v>A) Un lancer gagnant, B) Une pénalité pour faute technique, C) Un avertissement, D) Un match nul</v>
      </c>
      <c r="J13" s="5" t="str">
        <f>IFERROR(__xludf.DUMMYFUNCTION("GOOGLETRANSLATE(D13, ""en"", ""fr"")"),"B) Un penalty accordé pour une faute technique")</f>
        <v>B) Un penalty accordé pour une faute technique</v>
      </c>
      <c r="K13" s="5" t="str">
        <f>IFERROR(__xludf.DUMMYFUNCTION("GOOGLETRANSLATE(E13, ""en"", ""fr"")"),"Un Fazi est une sanction infligée pour des infractions telles que des prises illégales ou la passivité.")</f>
        <v>Un Fazi est une sanction infligée pour des infractions telles que des prises illégales ou la passivité.</v>
      </c>
    </row>
    <row r="14" ht="22.5" customHeight="1">
      <c r="A14" s="4">
        <v>13.0</v>
      </c>
      <c r="B14" s="5" t="s">
        <v>1342</v>
      </c>
      <c r="C14" s="5" t="s">
        <v>1343</v>
      </c>
      <c r="D14" s="5" t="s">
        <v>1344</v>
      </c>
      <c r="E14" s="5" t="s">
        <v>1345</v>
      </c>
      <c r="G14" s="5" t="str">
        <f>IFERROR(__xludf.DUMMYFUNCTION("GOOGLETRANSLATE(A14, ""en"", ""fr"")"),"13")</f>
        <v>13</v>
      </c>
      <c r="H14" s="5" t="str">
        <f>IFERROR(__xludf.DUMMYFUNCTION("GOOGLETRANSLATE(B14, ""en"", ""fr"")"),"Quelle est la première sanction infligée à un lutteur pour une faute mineure ?")</f>
        <v>Quelle est la première sanction infligée à un lutteur pour une faute mineure ?</v>
      </c>
      <c r="I14" s="5" t="str">
        <f>IFERROR(__xludf.DUMMYFUNCTION("GOOGLETRANSLATE(C14, ""en"", ""fr"")"),"A) Un retrait de points, B) Une disqualification, C) Un avertissement verbal, appelé Diwall, D) Un Fazi")</f>
        <v>A) Un retrait de points, B) Une disqualification, C) Un avertissement verbal, appelé Diwall, D) Un Fazi</v>
      </c>
      <c r="J14" s="5" t="str">
        <f>IFERROR(__xludf.DUMMYFUNCTION("GOOGLETRANSLATE(D14, ""en"", ""fr"")"),"C) Un avertissement verbal, appelé Diwall")</f>
        <v>C) Un avertissement verbal, appelé Diwall</v>
      </c>
      <c r="K14" s="5" t="str">
        <f>IFERROR(__xludf.DUMMYFUNCTION("GOOGLETRANSLATE(E14, ""en"", ""fr"")"),"Pour la première infraction mineure, l'arbitre émettra un Diwall (avertissement).")</f>
        <v>Pour la première infraction mineure, l'arbitre émettra un Diwall (avertissement).</v>
      </c>
    </row>
    <row r="15" ht="22.5" customHeight="1">
      <c r="A15" s="4">
        <v>14.0</v>
      </c>
      <c r="B15" s="5" t="s">
        <v>1346</v>
      </c>
      <c r="C15" s="5" t="s">
        <v>1347</v>
      </c>
      <c r="D15" s="5" t="s">
        <v>1348</v>
      </c>
      <c r="E15" s="5" t="s">
        <v>1349</v>
      </c>
      <c r="G15" s="5" t="str">
        <f>IFERROR(__xludf.DUMMYFUNCTION("GOOGLETRANSLATE(A15, ""en"", ""fr"")"),"14")</f>
        <v>14</v>
      </c>
      <c r="H15" s="5" t="str">
        <f>IFERROR(__xludf.DUMMYFUNCTION("GOOGLETRANSLATE(B15, ""en"", ""fr"")"),"Quelles sont les conséquences pour un lutteur de recevoir un deuxième avertissement (Diwall) ?")</f>
        <v>Quelles sont les conséquences pour un lutteur de recevoir un deuxième avertissement (Diwall) ?</v>
      </c>
      <c r="I15" s="5" t="str">
        <f>IFERROR(__xludf.DUMMYFUNCTION("GOOGLETRANSLATE(C15, ""en"", ""fr"")"),"A) Rien, c'est juste un autre avertissement, B) Ils sont disqualifiés, C) Leur adversaire obtient un avantage, appelé Poent, D) Leur adversaire obtient un Kostin")</f>
        <v>A) Rien, c'est juste un autre avertissement, B) Ils sont disqualifiés, C) Leur adversaire obtient un avantage, appelé Poent, D) Leur adversaire obtient un Kostin</v>
      </c>
      <c r="J15" s="5" t="str">
        <f>IFERROR(__xludf.DUMMYFUNCTION("GOOGLETRANSLATE(D15, ""en"", ""fr"")"),"C) Leur adversaire se voit accorder un avantage, appelé Poent")</f>
        <v>C) Leur adversaire se voit accorder un avantage, appelé Poent</v>
      </c>
      <c r="K15" s="5" t="str">
        <f>IFERROR(__xludf.DUMMYFUNCTION("GOOGLETRANSLATE(E15, ""en"", ""fr"")"),"Deux avertissements entraînent un Poent, un avantage qui peut décider du sort du match en prolongation si aucun autre résultat n'est obtenu.")</f>
        <v>Deux avertissements entraînent un Poent, un avantage qui peut décider du sort du match en prolongation si aucun autre résultat n'est obtenu.</v>
      </c>
    </row>
    <row r="16" ht="22.5" customHeight="1">
      <c r="A16" s="4">
        <v>15.0</v>
      </c>
      <c r="B16" s="5" t="s">
        <v>1350</v>
      </c>
      <c r="C16" s="5" t="s">
        <v>1351</v>
      </c>
      <c r="D16" s="5" t="s">
        <v>1352</v>
      </c>
      <c r="E16" s="5" t="s">
        <v>1353</v>
      </c>
      <c r="G16" s="5" t="str">
        <f>IFERROR(__xludf.DUMMYFUNCTION("GOOGLETRANSLATE(A16, ""en"", ""fr"")"),"15")</f>
        <v>15</v>
      </c>
      <c r="H16" s="5" t="str">
        <f>IFERROR(__xludf.DUMMYFUNCTION("GOOGLETRANSLATE(B16, ""en"", ""fr"")"),"Que se passe-t-il si un lutteur accumule trois Fazi (pénalités) dans un seul combat ?")</f>
        <v>Que se passe-t-il si un lutteur accumule trois Fazi (pénalités) dans un seul combat ?</v>
      </c>
      <c r="I16" s="5" t="str">
        <f>IFERROR(__xludf.DUMMYFUNCTION("GOOGLETRANSLATE(C16, ""en"", ""fr"")"),"A) Ils perdent par disqualification, B) Le score est remis à zéro, C) Ils reçoivent un dernier avertissement, D) Le match continue")</f>
        <v>A) Ils perdent par disqualification, B) Le score est remis à zéro, C) Ils reçoivent un dernier avertissement, D) Le match continue</v>
      </c>
      <c r="J16" s="5" t="str">
        <f>IFERROR(__xludf.DUMMYFUNCTION("GOOGLETRANSLATE(D16, ""en"", ""fr"")"),"A) Ils perdent par disqualification")</f>
        <v>A) Ils perdent par disqualification</v>
      </c>
      <c r="K16" s="5" t="str">
        <f>IFERROR(__xludf.DUMMYFUNCTION("GOOGLETRANSLATE(E16, ""en"", ""fr"")"),"L'accumulation de trois pénalités pour fautes entraîne la défaite automatique du match.")</f>
        <v>L'accumulation de trois pénalités pour fautes entraîne la défaite automatique du match.</v>
      </c>
    </row>
    <row r="17" ht="22.5" customHeight="1">
      <c r="A17" s="4">
        <v>16.0</v>
      </c>
      <c r="B17" s="5" t="s">
        <v>1354</v>
      </c>
      <c r="C17" s="5" t="s">
        <v>1355</v>
      </c>
      <c r="D17" s="5" t="s">
        <v>1356</v>
      </c>
      <c r="E17" s="5" t="s">
        <v>1357</v>
      </c>
      <c r="G17" s="5" t="str">
        <f>IFERROR(__xludf.DUMMYFUNCTION("GOOGLETRANSLATE(A17, ""en"", ""fr"")"),"16")</f>
        <v>16</v>
      </c>
      <c r="H17" s="5" t="str">
        <f>IFERROR(__xludf.DUMMYFUNCTION("GOOGLETRANSLATE(B17, ""en"", ""fr"")"),"Quel est le terme désignant une faute grave entraînant la disqualification immédiate du tournoi ?")</f>
        <v>Quel est le terme désignant une faute grave entraînant la disqualification immédiate du tournoi ?</v>
      </c>
      <c r="I17" s="5" t="str">
        <f>IFERROR(__xludf.DUMMYFUNCTION("GOOGLETRANSLATE(C17, ""en"", ""fr"")"),"A) A Lamm, B) A Fazi Vraz, C) A Divrud, D) A Diwall")</f>
        <v>A) A Lamm, B) A Fazi Vraz, C) A Divrud, D) A Diwall</v>
      </c>
      <c r="J17" s="5" t="str">
        <f>IFERROR(__xludf.DUMMYFUNCTION("GOOGLETRANSLATE(D17, ""en"", ""fr"")"),"C) Un Divrud")</f>
        <v>C) Un Divrud</v>
      </c>
      <c r="K17" s="5" t="str">
        <f>IFERROR(__xludf.DUMMYFUNCTION("GOOGLETRANSLATE(E17, ""en"", ""fr"")"),"Le Divrud est la sanction la plus sévère, infligée pour une infraction grave comme le refus de combattre ou un manque de respect extrême, entraînant l'expulsion de l'ensemble du tournoi.")</f>
        <v>Le Divrud est la sanction la plus sévère, infligée pour une infraction grave comme le refus de combattre ou un manque de respect extrême, entraînant l'expulsion de l'ensemble du tournoi.</v>
      </c>
    </row>
    <row r="18" ht="22.5" customHeight="1">
      <c r="A18" s="4">
        <v>17.0</v>
      </c>
      <c r="B18" s="5" t="s">
        <v>1358</v>
      </c>
      <c r="C18" s="5" t="s">
        <v>1359</v>
      </c>
      <c r="D18" s="5" t="s">
        <v>1360</v>
      </c>
      <c r="E18" s="5" t="s">
        <v>1361</v>
      </c>
      <c r="G18" s="5" t="str">
        <f>IFERROR(__xludf.DUMMYFUNCTION("GOOGLETRANSLATE(A18, ""en"", ""fr"")"),"17")</f>
        <v>17</v>
      </c>
      <c r="H18" s="5" t="str">
        <f>IFERROR(__xludf.DUMMYFUNCTION("GOOGLETRANSLATE(B18, ""en"", ""fr"")"),"Laquelle de ces actions constitue une faute illégale à Gouren ?")</f>
        <v>Laquelle de ces actions constitue une faute illégale à Gouren ?</v>
      </c>
      <c r="I18" s="5" t="str">
        <f>IFERROR(__xludf.DUMMYFUNCTION("GOOGLETRANSLATE(C18, ""en"", ""fr"")"),"A) Un balayage de jambe (fauchage), B) Une projection de hanche, C) Saisir la jambe de l'adversaire, D) Une projection enroulée (kliked)")</f>
        <v>A) Un balayage de jambe (fauchage), B) Une projection de hanche, C) Saisir la jambe de l'adversaire, D) Une projection enroulée (kliked)</v>
      </c>
      <c r="J18" s="5" t="str">
        <f>IFERROR(__xludf.DUMMYFUNCTION("GOOGLETRANSLATE(D18, ""en"", ""fr"")"),"C) Saisir la jambe de l'adversaire")</f>
        <v>C) Saisir la jambe de l'adversaire</v>
      </c>
      <c r="K18" s="5" t="str">
        <f>IFERROR(__xludf.DUMMYFUNCTION("GOOGLETRANSLATE(E18, ""en"", ""fr"")"),"Gouren est un style de lutte avec veste. Toutes les prises doivent se faire sur la veste, au-dessus de la ceinture. Saisir les jambes est interdit.")</f>
        <v>Gouren est un style de lutte avec veste. Toutes les prises doivent se faire sur la veste, au-dessus de la ceinture. Saisir les jambes est interdit.</v>
      </c>
    </row>
    <row r="19" ht="22.5" customHeight="1">
      <c r="A19" s="4">
        <v>18.0</v>
      </c>
      <c r="B19" s="5" t="s">
        <v>1362</v>
      </c>
      <c r="C19" s="5" t="s">
        <v>948</v>
      </c>
      <c r="D19" s="5" t="s">
        <v>1363</v>
      </c>
      <c r="E19" s="5" t="s">
        <v>1364</v>
      </c>
      <c r="G19" s="5" t="str">
        <f>IFERROR(__xludf.DUMMYFUNCTION("GOOGLETRANSLATE(A19, ""en"", ""fr"")"),"18")</f>
        <v>18</v>
      </c>
      <c r="H19" s="5" t="str">
        <f>IFERROR(__xludf.DUMMYFUNCTION("GOOGLETRANSLATE(B19, ""en"", ""fr"")"),"Combien d'arbitres officient lors d'un match de Gouren ?")</f>
        <v>Combien d'arbitres officient lors d'un match de Gouren ?</v>
      </c>
      <c r="I19" s="5" t="str">
        <f>IFERROR(__xludf.DUMMYFUNCTION("GOOGLETRANSLATE(C19, ""en"", ""fr"")"),"A) Un, B) Deux, C) Trois, D) Quatre")</f>
        <v>A) Un, B) Deux, C) Trois, D) Quatre</v>
      </c>
      <c r="J19" s="5" t="str">
        <f>IFERROR(__xludf.DUMMYFUNCTION("GOOGLETRANSLATE(D19, ""en"", ""fr"")"),"C) Trois")</f>
        <v>C) Trois</v>
      </c>
      <c r="K19" s="5" t="str">
        <f>IFERROR(__xludf.DUMMYFUNCTION("GOOGLETRANSLATE(E19, ""en"", ""fr"")"),"Un panel de trois arbitres — un arbitre central et deux juges de coin — officie lors de chaque match afin de garantir des décisions précises.")</f>
        <v>Un panel de trois arbitres — un arbitre central et deux juges de coin — officie lors de chaque match afin de garantir des décisions précises.</v>
      </c>
    </row>
    <row r="20" ht="22.5" customHeight="1">
      <c r="A20" s="4">
        <v>19.0</v>
      </c>
      <c r="B20" s="5" t="s">
        <v>1365</v>
      </c>
      <c r="C20" s="5" t="s">
        <v>1366</v>
      </c>
      <c r="D20" s="5" t="s">
        <v>1367</v>
      </c>
      <c r="E20" s="5" t="s">
        <v>1368</v>
      </c>
      <c r="G20" s="5" t="str">
        <f>IFERROR(__xludf.DUMMYFUNCTION("GOOGLETRANSLATE(A20, ""en"", ""fr"")"),"19")</f>
        <v>19</v>
      </c>
      <c r="H20" s="5" t="str">
        <f>IFERROR(__xludf.DUMMYFUNCTION("GOOGLETRANSLATE(B20, ""en"", ""fr"")"),"Si les trois arbitres sont en désaccord sur une décision, comment le résultat est-il déterminé ?")</f>
        <v>Si les trois arbitres sont en désaccord sur une décision, comment le résultat est-il déterminé ?</v>
      </c>
      <c r="I20" s="5" t="str">
        <f>IFERROR(__xludf.DUMMYFUNCTION("GOOGLETRANSLATE(C20, ""en"", ""fr"")"),"A) L'arbitre central a le dernier mot, B) Le match est rejoué, C) Par un vote majoritaire des trois arbitres, D) Ils consultent le directeur du tournoi")</f>
        <v>A) L'arbitre central a le dernier mot, B) Le match est rejoué, C) Par un vote majoritaire des trois arbitres, D) Ils consultent le directeur du tournoi</v>
      </c>
      <c r="J20" s="5" t="str">
        <f>IFERROR(__xludf.DUMMYFUNCTION("GOOGLETRANSLATE(D20, ""en"", ""fr"")"),"C) Par un vote majoritaire des trois arbitres")</f>
        <v>C) Par un vote majoritaire des trois arbitres</v>
      </c>
      <c r="K20" s="5" t="str">
        <f>IFERROR(__xludf.DUMMYFUNCTION("GOOGLETRANSLATE(E20, ""en"", ""fr"")"),"Le vainqueur d'un lancer ou la décision sifflée d'une faute est déterminé par la décision majoritaire des trois arbitres.")</f>
        <v>Le vainqueur d'un lancer ou la décision sifflée d'une faute est déterminé par la décision majoritaire des trois arbitres.</v>
      </c>
    </row>
    <row r="21" ht="22.5" customHeight="1">
      <c r="A21" s="4">
        <v>20.0</v>
      </c>
      <c r="B21" s="5" t="s">
        <v>1369</v>
      </c>
      <c r="C21" s="5" t="s">
        <v>1370</v>
      </c>
      <c r="D21" s="5" t="s">
        <v>1371</v>
      </c>
      <c r="E21" s="5" t="s">
        <v>1372</v>
      </c>
      <c r="G21" s="5" t="str">
        <f>IFERROR(__xludf.DUMMYFUNCTION("GOOGLETRANSLATE(A21, ""en"", ""fr"")"),"20")</f>
        <v>20</v>
      </c>
      <c r="H21" s="5" t="str">
        <f>IFERROR(__xludf.DUMMYFUNCTION("GOOGLETRANSLATE(B21, ""en"", ""fr"")"),"Comment appelle-t-on la période de prolongation dans un match de Gouren ?")</f>
        <v>Comment appelle-t-on la période de prolongation dans un match de Gouren ?</v>
      </c>
      <c r="I21" s="5" t="str">
        <f>IFERROR(__xludf.DUMMYFUNCTION("GOOGLETRANSLATE(C21, ""en"", ""fr"")"),"A) Mort subite, B) Prolongations, C) Astenn, D) Verlängerung")</f>
        <v>A) Mort subite, B) Prolongations, C) Astenn, D) Verlängerung</v>
      </c>
      <c r="J21" s="5" t="str">
        <f>IFERROR(__xludf.DUMMYFUNCTION("GOOGLETRANSLATE(D21, ""en"", ""fr"")"),"C) Astenn")</f>
        <v>C) Astenn</v>
      </c>
      <c r="K21" s="5" t="str">
        <f>IFERROR(__xludf.DUMMYFUNCTION("GOOGLETRANSLATE(E21, ""en"", ""fr"")"),"Astenn est le mot breton pour désigner la période de prolongation, qui correspond à la moitié de la durée d'un match normal.")</f>
        <v>Astenn est le mot breton pour désigner la période de prolongation, qui correspond à la moitié de la durée d'un match normal.</v>
      </c>
    </row>
    <row r="22" ht="22.5" customHeight="1">
      <c r="A22" s="4">
        <v>21.0</v>
      </c>
      <c r="B22" s="5" t="s">
        <v>1373</v>
      </c>
      <c r="C22" s="5" t="s">
        <v>1374</v>
      </c>
      <c r="D22" s="5" t="s">
        <v>1375</v>
      </c>
      <c r="E22" s="5" t="s">
        <v>1376</v>
      </c>
      <c r="G22" s="5" t="str">
        <f>IFERROR(__xludf.DUMMYFUNCTION("GOOGLETRANSLATE(A22, ""en"", ""fr"")"),"21")</f>
        <v>21</v>
      </c>
      <c r="H22" s="5" t="str">
        <f>IFERROR(__xludf.DUMMYFUNCTION("GOOGLETRANSLATE(B22, ""en"", ""fr"")"),"Si une projection ne donne lieu à aucun point clair pour l'un ou l'autre des lutteurs (par exemple, si les deux tombent sur le côté), comment appelle-t-on ce résultat ?")</f>
        <v>Si une projection ne donne lieu à aucun point clair pour l'un ou l'autre des lutteurs (par exemple, si les deux tombent sur le côté), comment appelle-t-on ce résultat ?</v>
      </c>
      <c r="I22" s="5" t="str">
        <f>IFERROR(__xludf.DUMMYFUNCTION("GOOGLETRANSLATE(C22, ""en"", ""fr"")"),"A) A Kostin, B) A Kein, C) A Netra, D) A Fazi")</f>
        <v>A) A Kostin, B) A Kein, C) A Netra, D) A Fazi</v>
      </c>
      <c r="J22" s="5" t="str">
        <f>IFERROR(__xludf.DUMMYFUNCTION("GOOGLETRANSLATE(D22, ""en"", ""fr"")"),"C) Un Netra")</f>
        <v>C) Un Netra</v>
      </c>
      <c r="K22" s="5" t="str">
        <f>IFERROR(__xludf.DUMMYFUNCTION("GOOGLETRANSLATE(E22, ""en"", ""fr"")"),"Un Netra est un « résultat nul » ou une chute nulle, et le match est redémarré depuis le centre.")</f>
        <v>Un Netra est un « résultat nul » ou une chute nulle, et le match est redémarré depuis le centre.</v>
      </c>
    </row>
    <row r="23" ht="22.5" customHeight="1">
      <c r="A23" s="4">
        <v>22.0</v>
      </c>
      <c r="B23" s="5" t="s">
        <v>1377</v>
      </c>
      <c r="C23" s="5" t="s">
        <v>1378</v>
      </c>
      <c r="D23" s="5" t="s">
        <v>1379</v>
      </c>
      <c r="E23" s="5" t="s">
        <v>1380</v>
      </c>
      <c r="G23" s="5" t="str">
        <f>IFERROR(__xludf.DUMMYFUNCTION("GOOGLETRANSLATE(A23, ""en"", ""fr"")"),"22")</f>
        <v>22</v>
      </c>
      <c r="H23" s="5" t="str">
        <f>IFERROR(__xludf.DUMMYFUNCTION("GOOGLETRANSLATE(B23, ""en"", ""fr"")"),"Qu'est-ce qu'un Kein ?")</f>
        <v>Qu'est-ce qu'un Kein ?</v>
      </c>
      <c r="I23" s="5" t="str">
        <f>IFERROR(__xludf.DUMMYFUNCTION("GOOGLETRANSLATE(C23, ""en"", ""fr"")"),"A) Le lancer gagnant, B) Une faute, C) Un avantage accordé à la fin de la prolongation s'il n'y a pas d'autre résultat, D) Un avertissement")</f>
        <v>A) Le lancer gagnant, B) Une faute, C) Un avantage accordé à la fin de la prolongation s'il n'y a pas d'autre résultat, D) Un avertissement</v>
      </c>
      <c r="J23" s="5" t="str">
        <f>IFERROR(__xludf.DUMMYFUNCTION("GOOGLETRANSLATE(D23, ""en"", ""fr"")"),"C) Un avantage accordé à la fin des prolongations s'il n'y a pas d'autres résultats")</f>
        <v>C) Un avantage accordé à la fin des prolongations s'il n'y a pas d'autres résultats</v>
      </c>
      <c r="K23" s="5" t="str">
        <f>IFERROR(__xludf.DUMMYFUNCTION("GOOGLETRANSLATE(E23, ""en"", ""fr"")"),"Si la prolongation se termine sans que Lamm ou Kostin ne se qualifie, les arbitres peuvent accorder un Kein (avantage) au lutteur le plus actif et offensif pour décider du vainqueur.")</f>
        <v>Si la prolongation se termine sans que Lamm ou Kostin ne se qualifie, les arbitres peuvent accorder un Kein (avantage) au lutteur le plus actif et offensif pour décider du vainqueur.</v>
      </c>
    </row>
    <row r="24" ht="22.5" customHeight="1">
      <c r="A24" s="4">
        <v>23.0</v>
      </c>
      <c r="B24" s="5" t="s">
        <v>1381</v>
      </c>
      <c r="C24" s="5" t="s">
        <v>1382</v>
      </c>
      <c r="D24" s="5" t="s">
        <v>1383</v>
      </c>
      <c r="E24" s="5" t="s">
        <v>1384</v>
      </c>
      <c r="G24" s="5" t="str">
        <f>IFERROR(__xludf.DUMMYFUNCTION("GOOGLETRANSLATE(A24, ""en"", ""fr"")"),"23")</f>
        <v>23</v>
      </c>
      <c r="H24" s="5" t="str">
        <f>IFERROR(__xludf.DUMMYFUNCTION("GOOGLETRANSLATE(B24, ""en"", ""fr"")"),"Comment s'appelle le format de tournoi traditionnel où des lutteurs de tous les poids s'affrontent pour un prix unique ?")</f>
        <v>Comment s'appelle le format de tournoi traditionnel où des lutteurs de tous les poids s'affrontent pour un prix unique ?</v>
      </c>
      <c r="I24" s="5" t="str">
        <f>IFERROR(__xludf.DUMMYFUNCTION("GOOGLETRANSLATE(C24, ""en"", ""fr"")"),"A) L'Open, B) Le Grand Prix, C) Le tournoi Mod-Kozh, D) Les Jeux Celtiques")</f>
        <v>A) L'Open, B) Le Grand Prix, C) Le tournoi Mod-Kozh, D) Les Jeux Celtiques</v>
      </c>
      <c r="J24" s="5" t="str">
        <f>IFERROR(__xludf.DUMMYFUNCTION("GOOGLETRANSLATE(D24, ""en"", ""fr"")"),"C) Le tournoi Mod-Kozh")</f>
        <v>C) Le tournoi Mod-Kozh</v>
      </c>
      <c r="K24" s="5" t="str">
        <f>IFERROR(__xludf.DUMMYFUNCTION("GOOGLETRANSLATE(E24, ""en"", ""fr"")"),"Le tournoi « à l'ancienne » est un format de défi à poids libre où le prix ultime est un bélier vivant (maout).")</f>
        <v>Le tournoi « à l'ancienne » est un format de défi à poids libre où le prix ultime est un bélier vivant (maout).</v>
      </c>
    </row>
    <row r="25" ht="22.5" customHeight="1">
      <c r="A25" s="4">
        <v>24.0</v>
      </c>
      <c r="B25" s="5" t="s">
        <v>1385</v>
      </c>
      <c r="C25" s="5" t="s">
        <v>1386</v>
      </c>
      <c r="D25" s="5" t="s">
        <v>1387</v>
      </c>
      <c r="E25" s="5" t="s">
        <v>1388</v>
      </c>
      <c r="G25" s="5" t="str">
        <f>IFERROR(__xludf.DUMMYFUNCTION("GOOGLETRANSLATE(A25, ""en"", ""fr"")"),"24")</f>
        <v>24</v>
      </c>
      <c r="H25" s="5" t="str">
        <f>IFERROR(__xludf.DUMMYFUNCTION("GOOGLETRANSLATE(B25, ""en"", ""fr"")"),"Quel est le prix traditionnellement décerné au vainqueur du tournoi Mod-Kozh ?")</f>
        <v>Quel est le prix traditionnellement décerné au vainqueur du tournoi Mod-Kozh ?</v>
      </c>
      <c r="I25" s="5" t="str">
        <f>IFERROR(__xludf.DUMMYFUNCTION("GOOGLETRANSLATE(C25, ""en"", ""fr"")"),"A) Un trophée, B) Une somme d'argent, C) Un bélier vivant, appelé le maout, D) Une nouvelle veste de lutte")</f>
        <v>A) Un trophée, B) Une somme d'argent, C) Un bélier vivant, appelé le maout, D) Une nouvelle veste de lutte</v>
      </c>
      <c r="J25" s="5" t="str">
        <f>IFERROR(__xludf.DUMMYFUNCTION("GOOGLETRANSLATE(D25, ""en"", ""fr"")"),"C) Un bélier vivant, appelé le maout")</f>
        <v>C) Un bélier vivant, appelé le maout</v>
      </c>
      <c r="K25" s="5" t="str">
        <f>IFERROR(__xludf.DUMMYFUNCTION("GOOGLETRANSLATE(E25, ""en"", ""fr"")"),"Le maout est le prix historique et très prestigieux décerné au champion du tournoi traditionnel toutes catégories.")</f>
        <v>Le maout est le prix historique et très prestigieux décerné au champion du tournoi traditionnel toutes catégories.</v>
      </c>
    </row>
    <row r="26" ht="22.5" customHeight="1">
      <c r="A26" s="4">
        <v>25.0</v>
      </c>
      <c r="B26" s="5" t="s">
        <v>1389</v>
      </c>
      <c r="C26" s="5" t="s">
        <v>1390</v>
      </c>
      <c r="D26" s="5" t="s">
        <v>1391</v>
      </c>
      <c r="E26" s="5" t="s">
        <v>1392</v>
      </c>
      <c r="G26" s="5" t="str">
        <f>IFERROR(__xludf.DUMMYFUNCTION("GOOGLETRANSLATE(A26, ""en"", ""fr"")"),"25")</f>
        <v>25</v>
      </c>
      <c r="H26" s="5" t="str">
        <f>IFERROR(__xludf.DUMMYFUNCTION("GOOGLETRANSLATE(B26, ""en"", ""fr"")"),"Dans le tournoi Mod-Kozh, comment un lutteur lance-t-il un défi ?")</f>
        <v>Dans le tournoi Mod-Kozh, comment un lutteur lance-t-il un défi ?</v>
      </c>
      <c r="I26" s="5" t="str">
        <f>IFERROR(__xludf.DUMMYFUNCTION("GOOGLETRANSLATE(C26, ""en"", ""fr"")"),"A) En criant le nom de l'adversaire, B) En touchant l'adversaire à l'épaule, C) En le pointant du doigt, D) En levant la main")</f>
        <v>A) En criant le nom de l'adversaire, B) En touchant l'adversaire à l'épaule, C) En le pointant du doigt, D) En levant la main</v>
      </c>
      <c r="J26" s="5" t="str">
        <f>IFERROR(__xludf.DUMMYFUNCTION("GOOGLETRANSLATE(D26, ""en"", ""fr"")"),"B) En touchant l'adversaire à l'épaule")</f>
        <v>B) En touchant l'adversaire à l'épaule</v>
      </c>
      <c r="K26" s="5" t="str">
        <f>IFERROR(__xludf.DUMMYFUNCTION("GOOGLETRANSLATE(E26, ""en"", ""fr"")"),"La méthode traditionnelle pour défier un adversaire consiste en une simple tape respectueuse sur l'épaule du lutteur qu'ils souhaitent affronter.")</f>
        <v>La méthode traditionnelle pour défier un adversaire consiste en une simple tape respectueuse sur l'épaule du lutteur qu'ils souhaitent affronter.</v>
      </c>
    </row>
    <row r="27" ht="22.5" customHeight="1">
      <c r="A27" s="4">
        <v>26.0</v>
      </c>
      <c r="B27" s="5" t="s">
        <v>1393</v>
      </c>
      <c r="C27" s="5" t="s">
        <v>1394</v>
      </c>
      <c r="D27" s="5" t="s">
        <v>1395</v>
      </c>
      <c r="E27" s="5" t="s">
        <v>1396</v>
      </c>
      <c r="G27" s="5" t="str">
        <f>IFERROR(__xludf.DUMMYFUNCTION("GOOGLETRANSLATE(A27, ""en"", ""fr"")"),"26")</f>
        <v>26</v>
      </c>
      <c r="H27" s="5" t="str">
        <f>IFERROR(__xludf.DUMMYFUNCTION("GOOGLETRANSLATE(B27, ""en"", ""fr"")"),"Quel est le rôle principal des skoliou (écoles de Gouren) dans un tournoi ?")</f>
        <v>Quel est le rôle principal des skoliou (écoles de Gouren) dans un tournoi ?</v>
      </c>
      <c r="I27" s="5" t="str">
        <f>IFERROR(__xludf.DUMMYFUNCTION("GOOGLETRANSLATE(C27, ""en"", ""fr"")"),"A) Faire office d'arbitres, B) Planifier les matchs afin d'éviter que des lutteurs d'une même école ne s'affrontent dès les premiers tours, C) Fournir les prix, D) Vendre les billets")</f>
        <v>A) Faire office d'arbitres, B) Planifier les matchs afin d'éviter que des lutteurs d'une même école ne s'affrontent dès les premiers tours, C) Fournir les prix, D) Vendre les billets</v>
      </c>
      <c r="J27" s="5" t="str">
        <f>IFERROR(__xludf.DUMMYFUNCTION("GOOGLETRANSLATE(D27, ""en"", ""fr"")"),"B) Planifier les matchs de manière à éviter que des lutteurs d'une même école ne s'affrontent dès les premiers tours.")</f>
        <v>B) Planifier les matchs de manière à éviter que des lutteurs d'une même école ne s'affrontent dès les premiers tours.</v>
      </c>
      <c r="K27" s="5" t="str">
        <f>IFERROR(__xludf.DUMMYFUNCTION("GOOGLETRANSLATE(E27, ""en"", ""fr"")"),"Il s'agit d'un aspect stratégique du tournoi, visant à éviter que les coéquipiers ne s'éliminent mutuellement prématurément.")</f>
        <v>Il s'agit d'un aspect stratégique du tournoi, visant à éviter que les coéquipiers ne s'éliminent mutuellement prématurément.</v>
      </c>
    </row>
    <row r="28" ht="22.5" customHeight="1">
      <c r="A28" s="4">
        <v>27.0</v>
      </c>
      <c r="B28" s="5" t="s">
        <v>1397</v>
      </c>
      <c r="C28" s="5" t="s">
        <v>1398</v>
      </c>
      <c r="D28" s="5" t="s">
        <v>1399</v>
      </c>
      <c r="E28" s="5" t="s">
        <v>1400</v>
      </c>
      <c r="G28" s="5" t="str">
        <f>IFERROR(__xludf.DUMMYFUNCTION("GOOGLETRANSLATE(A28, ""en"", ""fr"")"),"27")</f>
        <v>27</v>
      </c>
      <c r="H28" s="5" t="str">
        <f>IFERROR(__xludf.DUMMYFUNCTION("GOOGLETRANSLATE(B28, ""en"", ""fr"")"),"Comment se traduit en anglais le mot breton « roched » ?")</f>
        <v>Comment se traduit en anglais le mot breton « roched » ?</v>
      </c>
      <c r="I28" s="5" t="str">
        <f>IFERROR(__xludf.DUMMYFUNCTION("GOOGLETRANSLATE(C28, ""en"", ""fr"")"),"A) Pantalon, B) Ceinture, C) Chemise ou veste, D) Pieds nus")</f>
        <v>A) Pantalon, B) Ceinture, C) Chemise ou veste, D) Pieds nus</v>
      </c>
      <c r="J28" s="5" t="str">
        <f>IFERROR(__xludf.DUMMYFUNCTION("GOOGLETRANSLATE(D28, ""en"", ""fr"")"),"C) Chemise ou veste")</f>
        <v>C) Chemise ou veste</v>
      </c>
      <c r="K28" s="5" t="str">
        <f>IFERROR(__xludf.DUMMYFUNCTION("GOOGLETRANSLATE(E28, ""en"", ""fr"")"),"La veste de lutte blanche est obligatoire et doit être portée.")</f>
        <v>La veste de lutte blanche est obligatoire et doit être portée.</v>
      </c>
    </row>
    <row r="29" ht="22.5" customHeight="1">
      <c r="A29" s="4">
        <v>28.0</v>
      </c>
      <c r="B29" s="5" t="s">
        <v>1401</v>
      </c>
      <c r="C29" s="5" t="s">
        <v>1402</v>
      </c>
      <c r="D29" s="5" t="s">
        <v>1403</v>
      </c>
      <c r="E29" s="5" t="s">
        <v>1404</v>
      </c>
      <c r="G29" s="5" t="str">
        <f>IFERROR(__xludf.DUMMYFUNCTION("GOOGLETRANSLATE(A29, ""en"", ""fr"")"),"28")</f>
        <v>28</v>
      </c>
      <c r="H29" s="5" t="str">
        <f>IFERROR(__xludf.DUMMYFUNCTION("GOOGLETRANSLATE(B29, ""en"", ""fr"")"),"Comment se traduit en anglais le mot breton bragoù ?")</f>
        <v>Comment se traduit en anglais le mot breton bragoù ?</v>
      </c>
      <c r="I29" s="5" t="str">
        <f>IFERROR(__xludf.DUMMYFUNCTION("GOOGLETRANSLATE(C29, ""en"", ""fr"")"),"A) Chemise, B) Ceinture, C) Pantalon, D) Chaussures")</f>
        <v>A) Chemise, B) Ceinture, C) Pantalon, D) Chaussures</v>
      </c>
      <c r="J29" s="5" t="str">
        <f>IFERROR(__xludf.DUMMYFUNCTION("GOOGLETRANSLATE(D29, ""en"", ""fr"")"),"C) Pantalon")</f>
        <v>C) Pantalon</v>
      </c>
      <c r="K29" s="5" t="str">
        <f>IFERROR(__xludf.DUMMYFUNCTION("GOOGLETRANSLATE(E29, ""en"", ""fr"")"),"Le bragoù est le pantalon noir obligatoire, de longueur mi-longue.")</f>
        <v>Le bragoù est le pantalon noir obligatoire, de longueur mi-longue.</v>
      </c>
    </row>
    <row r="30" ht="22.5" customHeight="1">
      <c r="A30" s="4">
        <v>29.0</v>
      </c>
      <c r="B30" s="5" t="s">
        <v>1405</v>
      </c>
      <c r="C30" s="5" t="s">
        <v>1406</v>
      </c>
      <c r="D30" s="5" t="s">
        <v>1407</v>
      </c>
      <c r="E30" s="5" t="s">
        <v>1408</v>
      </c>
      <c r="G30" s="5" t="str">
        <f>IFERROR(__xludf.DUMMYFUNCTION("GOOGLETRANSLATE(A30, ""en"", ""fr"")"),"29")</f>
        <v>29</v>
      </c>
      <c r="H30" s="5" t="str">
        <f>IFERROR(__xludf.DUMMYFUNCTION("GOOGLETRANSLATE(B30, ""en"", ""fr"")"),"Quelle est la couleur correcte pour la veste (roched) et le pantalon (bragoù) ?")</f>
        <v>Quelle est la couleur correcte pour la veste (roched) et le pantalon (bragoù) ?</v>
      </c>
      <c r="I30" s="5" t="str">
        <f>IFERROR(__xludf.DUMMYFUNCTION("GOOGLETRANSLATE(C30, ""en"", ""fr"")"),"A) Veste noire, pantalon blanc, B) Les deux sont noirs, C) Veste blanche, pantalon noir, D) Les deux sont blancs")</f>
        <v>A) Veste noire, pantalon blanc, B) Les deux sont noirs, C) Veste blanche, pantalon noir, D) Les deux sont blancs</v>
      </c>
      <c r="J30" s="5" t="str">
        <f>IFERROR(__xludf.DUMMYFUNCTION("GOOGLETRANSLATE(D30, ""en"", ""fr"")"),"C) Veste blanche, pantalon noir")</f>
        <v>C) Veste blanche, pantalon noir</v>
      </c>
      <c r="K30" s="5" t="str">
        <f>IFERROR(__xludf.DUMMYFUNCTION("GOOGLETRANSLATE(E30, ""en"", ""fr"")"),"L'uniforme officiel se compose d'un roched blanc et d'un bragoù noir.")</f>
        <v>L'uniforme officiel se compose d'un roched blanc et d'un bragoù noir.</v>
      </c>
    </row>
    <row r="31" ht="22.5" customHeight="1">
      <c r="A31" s="4">
        <v>30.0</v>
      </c>
      <c r="B31" s="5" t="s">
        <v>1409</v>
      </c>
      <c r="C31" s="5" t="s">
        <v>1410</v>
      </c>
      <c r="D31" s="5" t="s">
        <v>1411</v>
      </c>
      <c r="E31" s="5" t="s">
        <v>1412</v>
      </c>
      <c r="G31" s="5" t="str">
        <f>IFERROR(__xludf.DUMMYFUNCTION("GOOGLETRANSLATE(A31, ""en"", ""fr"")"),"30")</f>
        <v>30</v>
      </c>
      <c r="H31" s="5" t="str">
        <f>IFERROR(__xludf.DUMMYFUNCTION("GOOGLETRANSLATE(B31, ""en"", ""fr"")"),"Un lutteur effectue une projection et son adversaire retombe sur le dos. Quel est le résultat ?")</f>
        <v>Un lutteur effectue une projection et son adversaire retombe sur le dos. Quel est le résultat ?</v>
      </c>
      <c r="I31" s="5" t="str">
        <f>IFERROR(__xludf.DUMMYFUNCTION("GOOGLETRANSLATE(C31, ""en"", ""fr"")"),"A) Lamm, B) Kostin, C) Kein, D) Netra")</f>
        <v>A) Lamm, B) Kostin, C) Kein, D) Netra</v>
      </c>
      <c r="J31" s="5" t="str">
        <f>IFERROR(__xludf.DUMMYFUNCTION("GOOGLETRANSLATE(D31, ""en"", ""fr"")"),"A) Lamm")</f>
        <v>A) Lamm</v>
      </c>
      <c r="K31" s="5" t="str">
        <f>IFERROR(__xludf.DUMMYFUNCTION("GOOGLETRANSLATE(E31, ""en"", ""fr"")"),"Une chute sur le dos, avec les deux omoplates touchant le sol en même temps, est le résultat parfait, le Lamm.")</f>
        <v>Une chute sur le dos, avec les deux omoplates touchant le sol en même temps, est le résultat parfait, le Lamm.</v>
      </c>
    </row>
    <row r="32" ht="22.5" customHeight="1">
      <c r="A32" s="4">
        <v>31.0</v>
      </c>
      <c r="B32" s="5" t="s">
        <v>1413</v>
      </c>
      <c r="C32" s="5" t="s">
        <v>1414</v>
      </c>
      <c r="D32" s="5" t="s">
        <v>1415</v>
      </c>
      <c r="E32" s="5" t="s">
        <v>1416</v>
      </c>
      <c r="G32" s="5" t="str">
        <f>IFERROR(__xludf.DUMMYFUNCTION("GOOGLETRANSLATE(A32, ""en"", ""fr"")"),"31")</f>
        <v>31</v>
      </c>
      <c r="H32" s="5" t="str">
        <f>IFERROR(__xludf.DUMMYFUNCTION("GOOGLETRANSLATE(B32, ""en"", ""fr"")"),"Un lutteur est pénalisé pour être trop défensif et refuser d'attaquer. Comment appelle-t-on cette faute ?")</f>
        <v>Un lutteur est pénalisé pour être trop défensif et refuser d'attaquer. Comment appelle-t-on cette faute ?</v>
      </c>
      <c r="I32" s="5" t="str">
        <f>IFERROR(__xludf.DUMMYFUNCTION("GOOGLETRANSLATE(C32, ""en"", ""fr"")"),"A) Un blocage, B) La passivité, C) Un repli, D) Une impasse")</f>
        <v>A) Un blocage, B) La passivité, C) Un repli, D) Une impasse</v>
      </c>
      <c r="J32" s="5" t="str">
        <f>IFERROR(__xludf.DUMMYFUNCTION("GOOGLETRANSLATE(D32, ""en"", ""fr"")"),"B) Passivité")</f>
        <v>B) Passivité</v>
      </c>
      <c r="K32" s="5" t="str">
        <f>IFERROR(__xludf.DUMMYFUNCTION("GOOGLETRANSLATE(E32, ""en"", ""fr"")"),"Un lutteur doit activement tenter d'exécuter des projections. Refuser systématiquement de s'engager est une faute pour passivité.")</f>
        <v>Un lutteur doit activement tenter d'exécuter des projections. Refuser systématiquement de s'engager est une faute pour passivité.</v>
      </c>
    </row>
    <row r="33" ht="22.5" customHeight="1">
      <c r="A33" s="4">
        <v>32.0</v>
      </c>
      <c r="B33" s="5" t="s">
        <v>1417</v>
      </c>
      <c r="C33" s="5" t="s">
        <v>1418</v>
      </c>
      <c r="D33" s="5" t="s">
        <v>1419</v>
      </c>
      <c r="E33" s="5" t="s">
        <v>1420</v>
      </c>
      <c r="G33" s="5" t="str">
        <f>IFERROR(__xludf.DUMMYFUNCTION("GOOGLETRANSLATE(A33, ""en"", ""fr"")"),"32")</f>
        <v>32</v>
      </c>
      <c r="H33" s="5" t="str">
        <f>IFERROR(__xludf.DUMMYFUNCTION("GOOGLETRANSLATE(B33, ""en"", ""fr"")"),"Quel est le nom de l'organisation internationale qui régit les styles de lutte celtiques, y compris le Gouren ?")</f>
        <v>Quel est le nom de l'organisation internationale qui régit les styles de lutte celtiques, y compris le Gouren ?</v>
      </c>
      <c r="I33" s="5" t="str">
        <f>IFERROR(__xludf.DUMMYFUNCTION("GOOGLETRANSLATE(C33, ""en"", ""fr"")"),"A) FALSAB, B) L'Union mondiale de lutte, C) La Fédération internationale de lutte celtique (FILC), D) Le Conseil européen de lutte")</f>
        <v>A) FALSAB, B) L'Union mondiale de lutte, C) La Fédération internationale de lutte celtique (FILC), D) Le Conseil européen de lutte</v>
      </c>
      <c r="J33" s="5" t="str">
        <f>IFERROR(__xludf.DUMMYFUNCTION("GOOGLETRANSLATE(D33, ""en"", ""fr"")"),"C) La Fédération internationale de lutte celtique (FILC)")</f>
        <v>C) La Fédération internationale de lutte celtique (FILC)</v>
      </c>
      <c r="K33" s="5" t="str">
        <f>IFERROR(__xludf.DUMMYFUNCTION("GOOGLETRANSLATE(E33, ""en"", ""fr"")"),"La FILC a été fondée en 1985 pour unir et promouvoir les styles de lutte traditionnels des nations celtiques.")</f>
        <v>La FILC a été fondée en 1985 pour unir et promouvoir les styles de lutte traditionnels des nations celtiques.</v>
      </c>
    </row>
    <row r="34" ht="22.5" customHeight="1">
      <c r="A34" s="4">
        <v>33.0</v>
      </c>
      <c r="B34" s="5" t="s">
        <v>1421</v>
      </c>
      <c r="C34" s="5" t="s">
        <v>1422</v>
      </c>
      <c r="D34" s="5" t="s">
        <v>1423</v>
      </c>
      <c r="E34" s="5" t="s">
        <v>1424</v>
      </c>
      <c r="G34" s="5" t="str">
        <f>IFERROR(__xludf.DUMMYFUNCTION("GOOGLETRANSLATE(A34, ""en"", ""fr"")"),"33")</f>
        <v>33</v>
      </c>
      <c r="H34" s="5" t="str">
        <f>IFERROR(__xludf.DUMMYFUNCTION("GOOGLETRANSLATE(B34, ""en"", ""fr"")"),"Quel est l'objectif principal de la dornade (poignée de main) avant le début du match ?")</f>
        <v>Quel est l'objectif principal de la dornade (poignée de main) avant le début du match ?</v>
      </c>
      <c r="I34" s="5" t="str">
        <f>IFERROR(__xludf.DUMMYFUNCTION("GOOGLETRANSLATE(C34, ""en"", ""fr"")"),"A) Pour tester la force de préhension de l'adversaire, B) Pour établir une prise de départ juste et respectueuse, C) C'est un geste purement cérémonial, D) Pour signaler sa disponibilité à l'arbitre")</f>
        <v>A) Pour tester la force de préhension de l'adversaire, B) Pour établir une prise de départ juste et respectueuse, C) C'est un geste purement cérémonial, D) Pour signaler sa disponibilité à l'arbitre</v>
      </c>
      <c r="J34" s="5" t="str">
        <f>IFERROR(__xludf.DUMMYFUNCTION("GOOGLETRANSLATE(D34, ""en"", ""fr"")"),"B) Établir une prise de départ juste et respectueuse")</f>
        <v>B) Établir une prise de départ juste et respectueuse</v>
      </c>
      <c r="K34" s="5" t="str">
        <f>IFERROR(__xludf.DUMMYFUNCTION("GOOGLETRANSLATE(E34, ""en"", ""fr"")"),"La dornade est à la fois un rituel de respect et le point de départ technique du match, à partir duquel les lutteurs entament leur combat.")</f>
        <v>La dornade est à la fois un rituel de respect et le point de départ technique du match, à partir duquel les lutteurs entament leur combat.</v>
      </c>
    </row>
    <row r="35" ht="22.5" customHeight="1">
      <c r="A35" s="4">
        <v>34.0</v>
      </c>
      <c r="B35" s="5" t="s">
        <v>1425</v>
      </c>
      <c r="C35" s="5" t="s">
        <v>1426</v>
      </c>
      <c r="D35" s="5" t="s">
        <v>1427</v>
      </c>
      <c r="E35" s="5" t="s">
        <v>1428</v>
      </c>
      <c r="G35" s="5" t="str">
        <f>IFERROR(__xludf.DUMMYFUNCTION("GOOGLETRANSLATE(A35, ""en"", ""fr"")"),"34")</f>
        <v>34</v>
      </c>
      <c r="H35" s="5" t="str">
        <f>IFERROR(__xludf.DUMMYFUNCTION("GOOGLETRANSLATE(B35, ""en"", ""fr"")"),"Un lutteur est disqualifié de l'ensemble du tournoi pour une faute grave. Comment s'appelle cette sanction ?")</f>
        <v>Un lutteur est disqualifié de l'ensemble du tournoi pour une faute grave. Comment s'appelle cette sanction ?</v>
      </c>
      <c r="I35" s="5" t="str">
        <f>IFERROR(__xludf.DUMMYFUNCTION("GOOGLETRANSLATE(C35, ""en"", ""fr"")"),"A) Fazi Vraz, B) Lamm, C) Divrud, D) Kostin")</f>
        <v>A) Fazi Vraz, B) Lamm, C) Divrud, D) Kostin</v>
      </c>
      <c r="J35" s="5" t="str">
        <f>IFERROR(__xludf.DUMMYFUNCTION("GOOGLETRANSLATE(D35, ""en"", ""fr"")"),"C) Divrud")</f>
        <v>C) Divrud</v>
      </c>
      <c r="K35" s="5" t="str">
        <f>IFERROR(__xludf.DUMMYFUNCTION("GOOGLETRANSLATE(E35, ""en"", ""fr"")"),"Le Divrud est la sanction la plus sévère, entraînant l'expulsion d'un lutteur de toute la compétition pour des actes tels que se battre en dehors du match ou faire preuve d'un manque de respect flagrant.")</f>
        <v>Le Divrud est la sanction la plus sévère, entraînant l'expulsion d'un lutteur de toute la compétition pour des actes tels que se battre en dehors du match ou faire preuve d'un manque de respect flagrant.</v>
      </c>
    </row>
    <row r="36" ht="22.5" customHeight="1">
      <c r="A36" s="4">
        <v>35.0</v>
      </c>
      <c r="B36" s="5" t="s">
        <v>1429</v>
      </c>
      <c r="C36" s="5" t="s">
        <v>1430</v>
      </c>
      <c r="D36" s="5" t="s">
        <v>1431</v>
      </c>
      <c r="E36" s="5" t="s">
        <v>1432</v>
      </c>
      <c r="G36" s="5" t="str">
        <f>IFERROR(__xludf.DUMMYFUNCTION("GOOGLETRANSLATE(A36, ""en"", ""fr"")"),"35")</f>
        <v>35</v>
      </c>
      <c r="H36" s="5" t="str">
        <f>IFERROR(__xludf.DUMMYFUNCTION("GOOGLETRANSLATE(B36, ""en"", ""fr"")"),"Quel est le nom de la surface de lutte ?")</f>
        <v>Quel est le nom de la surface de lutte ?</v>
      </c>
      <c r="I36" s="5" t="str">
        <f>IFERROR(__xludf.DUMMYFUNCTION("GOOGLETRANSLATE(C36, ""en"", ""fr"")"),"A) Le tatami, B) Le tapis, C) Le pallenn, D) L'anneau")</f>
        <v>A) Le tatami, B) Le tapis, C) Le pallenn, D) L'anneau</v>
      </c>
      <c r="J36" s="5" t="str">
        <f>IFERROR(__xludf.DUMMYFUNCTION("GOOGLETRANSLATE(D36, ""en"", ""fr"")"),"C) Le Pallenn")</f>
        <v>C) Le Pallenn</v>
      </c>
      <c r="K36" s="5" t="str">
        <f>IFERROR(__xludf.DUMMYFUNCTION("GOOGLETRANSLATE(E36, ""en"", ""fr"")"),"La surface de lutte moderne est un tapis appelé pallenn, qui mesure généralement 8 mètres de diamètre.")</f>
        <v>La surface de lutte moderne est un tapis appelé pallenn, qui mesure généralement 8 mètres de diamètre.</v>
      </c>
    </row>
    <row r="37" ht="22.5" customHeight="1">
      <c r="A37" s="4">
        <v>36.0</v>
      </c>
      <c r="B37" s="5" t="s">
        <v>1433</v>
      </c>
      <c r="C37" s="5" t="s">
        <v>1434</v>
      </c>
      <c r="D37" s="5" t="s">
        <v>1435</v>
      </c>
      <c r="E37" s="5" t="s">
        <v>1436</v>
      </c>
      <c r="G37" s="5" t="str">
        <f>IFERROR(__xludf.DUMMYFUNCTION("GOOGLETRANSLATE(A37, ""en"", ""fr"")"),"36")</f>
        <v>36</v>
      </c>
      <c r="H37" s="5" t="str">
        <f>IFERROR(__xludf.DUMMYFUNCTION("GOOGLETRANSLATE(B37, ""en"", ""fr"")"),"Un lutteur a-t-il le droit de saisir la ceinture qui maintient le catcheur en place ?")</f>
        <v>Un lutteur a-t-il le droit de saisir la ceinture qui maintient le catcheur en place ?</v>
      </c>
      <c r="I37" s="5" t="str">
        <f>IFERROR(__xludf.DUMMYFUNCTION("GOOGLETRANSLATE(C37, ""en"", ""fr"")"),"A) Oui, c'est la cible principale. B) Non, toutes les prises doivent se faire sur le tissu de la veste elle-même. C) Uniquement pour un lancer spécifique. D) Uniquement d'une seule main.")</f>
        <v>A) Oui, c'est la cible principale. B) Non, toutes les prises doivent se faire sur le tissu de la veste elle-même. C) Uniquement pour un lancer spécifique. D) Uniquement d'une seule main.</v>
      </c>
      <c r="J37" s="5" t="str">
        <f>IFERROR(__xludf.DUMMYFUNCTION("GOOGLETRANSLATE(D37, ""en"", ""fr"")"),"B) Non, toutes les poignées doivent être fixées directement sur le tissu de la veste.")</f>
        <v>B) Non, toutes les poignées doivent être fixées directement sur le tissu de la veste.</v>
      </c>
      <c r="K37" s="5" t="str">
        <f>IFERROR(__xludf.DUMMYFUNCTION("GOOGLETRANSLATE(E37, ""en"", ""fr"")"),"Contrairement à Malakhra ou Schwingen, la ceinture n'est pas un point d'appui autorisé. Toutes les prises doivent être effectuées sur la veste.")</f>
        <v>Contrairement à Malakhra ou Schwingen, la ceinture n'est pas un point d'appui autorisé. Toutes les prises doivent être effectuées sur la veste.</v>
      </c>
    </row>
    <row r="38" ht="22.5" customHeight="1">
      <c r="A38" s="4">
        <v>37.0</v>
      </c>
      <c r="B38" s="5" t="s">
        <v>1437</v>
      </c>
      <c r="C38" s="5" t="s">
        <v>1438</v>
      </c>
      <c r="D38" s="5" t="s">
        <v>1439</v>
      </c>
      <c r="E38" s="5" t="s">
        <v>1440</v>
      </c>
      <c r="G38" s="5" t="str">
        <f>IFERROR(__xludf.DUMMYFUNCTION("GOOGLETRANSLATE(A38, ""en"", ""fr"")"),"37")</f>
        <v>37</v>
      </c>
      <c r="H38" s="5" t="str">
        <f>IFERROR(__xludf.DUMMYFUNCTION("GOOGLETRANSLATE(B38, ""en"", ""fr"")"),"Quel est l'âge minimum pour concourir dans la catégorie senior ?")</f>
        <v>Quel est l'âge minimum pour concourir dans la catégorie senior ?</v>
      </c>
      <c r="I38" s="5" t="str">
        <f>IFERROR(__xludf.DUMMYFUNCTION("GOOGLETRANSLATE(C38, ""en"", ""fr"")"),"A) 16, B) 18, C) 20, D) 21")</f>
        <v>A) 16, B) 18, C) 20, D) 21</v>
      </c>
      <c r="J38" s="5" t="str">
        <f>IFERROR(__xludf.DUMMYFUNCTION("GOOGLETRANSLATE(D38, ""en"", ""fr"")"),"B) 18")</f>
        <v>B) 18</v>
      </c>
      <c r="K38" s="5" t="str">
        <f>IFERROR(__xludf.DUMMYFUNCTION("GOOGLETRANSLATE(E38, ""en"", ""fr"")"),"La catégorie senior est destinée aux lutteurs adultes, généralement à partir de 18 ans.")</f>
        <v>La catégorie senior est destinée aux lutteurs adultes, généralement à partir de 18 ans.</v>
      </c>
    </row>
    <row r="39" ht="22.5" customHeight="1">
      <c r="A39" s="4">
        <v>38.0</v>
      </c>
      <c r="B39" s="5" t="s">
        <v>1441</v>
      </c>
      <c r="C39" s="5" t="s">
        <v>1442</v>
      </c>
      <c r="D39" s="5" t="s">
        <v>1443</v>
      </c>
      <c r="E39" s="5" t="s">
        <v>1444</v>
      </c>
      <c r="G39" s="5" t="str">
        <f>IFERROR(__xludf.DUMMYFUNCTION("GOOGLETRANSLATE(A39, ""en"", ""fr"")"),"38")</f>
        <v>38</v>
      </c>
      <c r="H39" s="5" t="str">
        <f>IFERROR(__xludf.DUMMYFUNCTION("GOOGLETRANSLATE(B39, ""en"", ""fr"")"),"Un lutteur effectue une projection qui se termine par un kostin (chute sur une épaule). Remporte-t-il le match ?")</f>
        <v>Un lutteur effectue une projection qui se termine par un kostin (chute sur une épaule). Remporte-t-il le match ?</v>
      </c>
      <c r="I39" s="5" t="str">
        <f>IFERROR(__xludf.DUMMYFUNCTION("GOOGLETRANSLATE(C39, ""en"", ""fr"")"),"A) Oui, instantanément. B) Non, mais ils sont en position de force. C) Le match est nul. D) L'adversaire marque un point.")</f>
        <v>A) Oui, instantanément. B) Non, mais ils sont en position de force. C) Le match est nul. D) L'adversaire marque un point.</v>
      </c>
      <c r="J39" s="5" t="str">
        <f>IFERROR(__xludf.DUMMYFUNCTION("GOOGLETRANSLATE(D39, ""en"", ""fr"")"),"B) Non, mais ils sont en position de force pour gagner.")</f>
        <v>B) Non, mais ils sont en position de force pour gagner.</v>
      </c>
      <c r="K39" s="5" t="str">
        <f>IFERROR(__xludf.DUMMYFUNCTION("GOOGLETRANSLATE(E39, ""en"", ""fr"")"),"Un kostin ne met pas fin au match comme un lamm. Cependant, c'est le meilleur résultat avant un tombé parfait et il permet de remporter le match si aucun lamm n'est marqué.")</f>
        <v>Un kostin ne met pas fin au match comme un lamm. Cependant, c'est le meilleur résultat avant un tombé parfait et il permet de remporter le match si aucun lamm n'est marqué.</v>
      </c>
    </row>
    <row r="40" ht="22.5" customHeight="1">
      <c r="A40" s="4">
        <v>39.0</v>
      </c>
      <c r="B40" s="5" t="s">
        <v>1445</v>
      </c>
      <c r="C40" s="5" t="s">
        <v>1446</v>
      </c>
      <c r="D40" s="5" t="s">
        <v>1447</v>
      </c>
      <c r="E40" s="5" t="s">
        <v>1448</v>
      </c>
      <c r="G40" s="5" t="str">
        <f>IFERROR(__xludf.DUMMYFUNCTION("GOOGLETRANSLATE(A40, ""en"", ""fr"")"),"39")</f>
        <v>39</v>
      </c>
      <c r="H40" s="5" t="str">
        <f>IFERROR(__xludf.DUMMYFUNCTION("GOOGLETRANSLATE(B40, ""en"", ""fr"")"),"Quelle est la règle si un lutteur force son adversaire à sortir du cercle de lutte ?")</f>
        <v>Quelle est la règle si un lutteur force son adversaire à sortir du cercle de lutte ?</v>
      </c>
      <c r="I40" s="5" t="str">
        <f>IFERROR(__xludf.DUMMYFUNCTION("GOOGLETRANSLATE(C40, ""en"", ""fr"")"),"A) Le lutteur qui a poussé l'adversaire hors du ring marque un point. B) C'est une faute ; une pénalité est infligée. C) Le match reprend au centre. D) Le lutteur poussé hors du ring est disqualifié.")</f>
        <v>A) Le lutteur qui a poussé l'adversaire hors du ring marque un point. B) C'est une faute ; une pénalité est infligée. C) Le match reprend au centre. D) Le lutteur poussé hors du ring est disqualifié.</v>
      </c>
      <c r="J40" s="5" t="str">
        <f>IFERROR(__xludf.DUMMYFUNCTION("GOOGLETRANSLATE(D40, ""en"", ""fr"")"),"C) Le match reprend au centre")</f>
        <v>C) Le match reprend au centre</v>
      </c>
      <c r="K40" s="5" t="str">
        <f>IFERROR(__xludf.DUMMYFUNCTION("GOOGLETRANSLATE(E40, ""en"", ""fr"")"),"Il n'y a pas de pointage pour une sortie de ring. L'arbitre interrompra le combat et fera reprendre le combat au centre du tapis.")</f>
        <v>Il n'y a pas de pointage pour une sortie de ring. L'arbitre interrompra le combat et fera reprendre le combat au centre du tapis.</v>
      </c>
    </row>
    <row r="41" ht="22.5" customHeight="1">
      <c r="A41" s="4">
        <v>40.0</v>
      </c>
      <c r="B41" s="5" t="s">
        <v>1449</v>
      </c>
      <c r="C41" s="5" t="s">
        <v>1450</v>
      </c>
      <c r="D41" s="5" t="s">
        <v>1451</v>
      </c>
      <c r="E41" s="5" t="s">
        <v>1452</v>
      </c>
      <c r="G41" s="5" t="str">
        <f>IFERROR(__xludf.DUMMYFUNCTION("GOOGLETRANSLATE(A41, ""en"", ""fr"")"),"40")</f>
        <v>40</v>
      </c>
      <c r="H41" s="5" t="str">
        <f>IFERROR(__xludf.DUMMYFUNCTION("GOOGLETRANSLATE(B41, ""en"", ""fr"")"),"Quel est l'objectif principal du serment du lutteur ?")</f>
        <v>Quel est l'objectif principal du serment du lutteur ?</v>
      </c>
      <c r="I41" s="5" t="str">
        <f>IFERROR(__xludf.DUMMYFUNCTION("GOOGLETRANSLATE(C41, ""en"", ""fr"")"),"A) Pour intimider l'adversaire, B) Pour rappeler aux lutteurs le code d'honneur et de fair-play de ce sport, C) Pour divertir le public, D) Pour signaler le début du tournoi")</f>
        <v>A) Pour intimider l'adversaire, B) Pour rappeler aux lutteurs le code d'honneur et de fair-play de ce sport, C) Pour divertir le public, D) Pour signaler le début du tournoi</v>
      </c>
      <c r="J41" s="5" t="str">
        <f>IFERROR(__xludf.DUMMYFUNCTION("GOOGLETRANSLATE(D41, ""en"", ""fr"")"),"B) Rappeler aux lutteurs le code d'éthique de ce sport, fondé sur l'honneur et le fair-play.")</f>
        <v>B) Rappeler aux lutteurs le code d'éthique de ce sport, fondé sur l'honneur et le fair-play.</v>
      </c>
      <c r="K41" s="5" t="str">
        <f>IFERROR(__xludf.DUMMYFUNCTION("GOOGLETRANSLATE(E41, ""en"", ""fr"")"),"Le serment est une promesse solennelle de concourir dans le respect et de défendre les valeurs de cet art.")</f>
        <v>Le serment est une promesse solennelle de concourir dans le respect et de défendre les valeurs de cet art.</v>
      </c>
    </row>
    <row r="42" ht="22.5" customHeight="1">
      <c r="A42" s="4">
        <v>41.0</v>
      </c>
      <c r="B42" s="5" t="s">
        <v>1453</v>
      </c>
      <c r="C42" s="5" t="s">
        <v>1454</v>
      </c>
      <c r="D42" s="5" t="s">
        <v>1455</v>
      </c>
      <c r="E42" s="5" t="s">
        <v>1456</v>
      </c>
      <c r="G42" s="5" t="str">
        <f>IFERROR(__xludf.DUMMYFUNCTION("GOOGLETRANSLATE(A42, ""en"", ""fr"")"),"41")</f>
        <v>41</v>
      </c>
      <c r="H42" s="5" t="str">
        <f>IFERROR(__xludf.DUMMYFUNCTION("GOOGLETRANSLATE(B42, ""en"", ""fr"")"),"Un lutteur est pénalisé pour avoir tiré les cheveux de son adversaire (fazi). Cette décision est-elle justifiée ?")</f>
        <v>Un lutteur est pénalisé pour avoir tiré les cheveux de son adversaire (fazi). Cette décision est-elle justifiée ?</v>
      </c>
      <c r="I42" s="5" t="str">
        <f>IFERROR(__xludf.DUMMYFUNCTION("GOOGLETRANSLATE(C42, ""en"", ""fr"")"),"A) Non, il faudrait une sanction plus sévère. B) Oui, c'est une faute courante. C) Non, tirer les cheveux est autorisé. D) L'adversaire devrait être averti.")</f>
        <v>A) Non, il faudrait une sanction plus sévère. B) Oui, c'est une faute courante. C) Non, tirer les cheveux est autorisé. D) L'adversaire devrait être averti.</v>
      </c>
      <c r="J42" s="5" t="str">
        <f>IFERROR(__xludf.DUMMYFUNCTION("GOOGLETRANSLATE(D42, ""en"", ""fr"")"),"B) Oui, c'est une faute standard")</f>
        <v>B) Oui, c'est une faute standard</v>
      </c>
      <c r="K42" s="5" t="str">
        <f>IFERROR(__xludf.DUMMYFUNCTION("GOOGLETRANSLATE(E42, ""en"", ""fr"")"),"Tout acte antisportif ou dangereux, comme tirer les cheveux, frapper ou mordre, constitue une faute manifeste.")</f>
        <v>Tout acte antisportif ou dangereux, comme tirer les cheveux, frapper ou mordre, constitue une faute manifeste.</v>
      </c>
    </row>
    <row r="43" ht="22.5" customHeight="1">
      <c r="A43" s="4">
        <v>42.0</v>
      </c>
      <c r="B43" s="5" t="s">
        <v>1457</v>
      </c>
      <c r="C43" s="5" t="s">
        <v>1458</v>
      </c>
      <c r="D43" s="5" t="s">
        <v>1459</v>
      </c>
      <c r="E43" s="5" t="s">
        <v>1460</v>
      </c>
      <c r="G43" s="5" t="str">
        <f>IFERROR(__xludf.DUMMYFUNCTION("GOOGLETRANSLATE(A43, ""en"", ""fr"")"),"42")</f>
        <v>42</v>
      </c>
      <c r="H43" s="5" t="str">
        <f>IFERROR(__xludf.DUMMYFUNCTION("GOOGLETRANSLATE(B43, ""en"", ""fr"")"),"Les championnats d'Europe réunissent des lutteurs de Bretagne, de Cornouailles, d'Écosse et d'Islande. Quel est le point commun entre leurs styles de lutte ?")</f>
        <v>Les championnats d'Europe réunissent des lutteurs de Bretagne, de Cornouailles, d'Écosse et d'Islande. Quel est le point commun entre leurs styles de lutte ?</v>
      </c>
      <c r="I43" s="5" t="str">
        <f>IFERROR(__xludf.DUMMYFUNCTION("GOOGLETRANSLATE(C43, ""en"", ""fr"")"),"A) Ils utilisent tous une veste, B) Ce sont tous des styles de lutte folklorique celtique ou nordique anciens, C) Les règles sont identiques, D) Ce sont tous des sports olympiques")</f>
        <v>A) Ils utilisent tous une veste, B) Ce sont tous des styles de lutte folklorique celtique ou nordique anciens, C) Les règles sont identiques, D) Ce sont tous des sports olympiques</v>
      </c>
      <c r="J43" s="5" t="str">
        <f>IFERROR(__xludf.DUMMYFUNCTION("GOOGLETRANSLATE(D43, ""en"", ""fr"")"),"B) Ce sont tous d'anciens styles de lutte folklorique celtique ou nordique.")</f>
        <v>B) Ce sont tous d'anciens styles de lutte folklorique celtique ou nordique.</v>
      </c>
      <c r="K43" s="5" t="str">
        <f>IFERROR(__xludf.DUMMYFUNCTION("GOOGLETRANSLATE(E43, ""en"", ""fr"")"),"Ce championnat célèbre le patrimoine commun de ces formes traditionnelles de lutte européenne.")</f>
        <v>Ce championnat célèbre le patrimoine commun de ces formes traditionnelles de lutte européenne.</v>
      </c>
    </row>
    <row r="44" ht="22.5" customHeight="1">
      <c r="A44" s="4">
        <v>43.0</v>
      </c>
      <c r="B44" s="5" t="s">
        <v>1461</v>
      </c>
      <c r="C44" s="5" t="s">
        <v>1462</v>
      </c>
      <c r="D44" s="5" t="s">
        <v>1463</v>
      </c>
      <c r="E44" s="5" t="s">
        <v>1464</v>
      </c>
      <c r="G44" s="5" t="str">
        <f>IFERROR(__xludf.DUMMYFUNCTION("GOOGLETRANSLATE(A44, ""en"", ""fr"")"),"43")</f>
        <v>43</v>
      </c>
      <c r="H44" s="5" t="str">
        <f>IFERROR(__xludf.DUMMYFUNCTION("GOOGLETRANSLATE(B44, ""en"", ""fr"")"),"Que signifie la commande « Chomed o sav ! » ?")</f>
        <v>Que signifie la commande « Chomed o sav ! » ?</v>
      </c>
      <c r="I44" s="5" t="str">
        <f>IFERROR(__xludf.DUMMYFUNCTION("GOOGLETRANSLATE(C44, ""en"", ""fr"")"),"A) ""Commencez !"", B) ""Arrêtez !"", C) ""Tenez-vous debout !"" ou ""Restez debout !"", D) ""Tenez !""")</f>
        <v>A) "Commencez !", B) "Arrêtez !", C) "Tenez-vous debout !" ou "Restez debout !", D) "Tenez !"</v>
      </c>
      <c r="J44" s="5" t="str">
        <f>IFERROR(__xludf.DUMMYFUNCTION("GOOGLETRANSLATE(D44, ""en"", ""fr"")"),"C) « Restez debout ! » ou « Restez debout ! »")</f>
        <v>C) « Restez debout ! » ou « Restez debout ! »</v>
      </c>
      <c r="K44" s="5" t="str">
        <f>IFERROR(__xludf.DUMMYFUNCTION("GOOGLETRANSLATE(E44, ""en"", ""fr"")"),"Il s'agit d'un ordre donné par l'arbitre aux lutteurs, leur demandant de maintenir leur posture et de ne pas tomber à genoux.")</f>
        <v>Il s'agit d'un ordre donné par l'arbitre aux lutteurs, leur demandant de maintenir leur posture et de ne pas tomber à genoux.</v>
      </c>
    </row>
    <row r="45" ht="22.5" customHeight="1">
      <c r="A45" s="4">
        <v>44.0</v>
      </c>
      <c r="B45" s="5" t="s">
        <v>1465</v>
      </c>
      <c r="C45" s="5" t="s">
        <v>1466</v>
      </c>
      <c r="D45" s="5" t="s">
        <v>1467</v>
      </c>
      <c r="E45" s="5" t="s">
        <v>1468</v>
      </c>
      <c r="G45" s="5" t="str">
        <f>IFERROR(__xludf.DUMMYFUNCTION("GOOGLETRANSLATE(A45, ""en"", ""fr"")"),"44")</f>
        <v>44</v>
      </c>
      <c r="H45" s="5" t="str">
        <f>IFERROR(__xludf.DUMMYFUNCTION("GOOGLETRANSLATE(B45, ""en"", ""fr"")"),"Quelle est la principale caractéristique d'un kliked (jet enroulé) ?")</f>
        <v>Quelle est la principale caractéristique d'un kliked (jet enroulé) ?</v>
      </c>
      <c r="I45" s="5" t="str">
        <f>IFERROR(__xludf.DUMMYFUNCTION("GOOGLETRANSLATE(C45, ""en"", ""fr"")"),"A) C'est un balayage de jambe, B) Cela implique un puissant mouvement de rotation ou d'enroulement pour déséquilibrer l'adversaire, C) C'est un mouvement défensif, D) C'est un porté")</f>
        <v>A) C'est un balayage de jambe, B) Cela implique un puissant mouvement de rotation ou d'enroulement pour déséquilibrer l'adversaire, C) C'est un mouvement défensif, D) C'est un porté</v>
      </c>
      <c r="J45" s="5" t="str">
        <f>IFERROR(__xludf.DUMMYFUNCTION("GOOGLETRANSLATE(D45, ""en"", ""fr"")"),"B) Cela implique un puissant mouvement de rotation ou d'enroulement pour déséquilibrer l'adversaire")</f>
        <v>B) Cela implique un puissant mouvement de rotation ou d'enroulement pour déséquilibrer l'adversaire</v>
      </c>
      <c r="K45" s="5" t="str">
        <f>IFERROR(__xludf.DUMMYFUNCTION("GOOGLETRANSLATE(E45, ""en"", ""fr"")"),"Le kliked est une projection rotative dynamique qui est l'une des techniques emblématiques de Gouren.")</f>
        <v>Le kliked est une projection rotative dynamique qui est l'une des techniques emblématiques de Gouren.</v>
      </c>
    </row>
    <row r="46" ht="22.5" customHeight="1">
      <c r="A46" s="4">
        <v>45.0</v>
      </c>
      <c r="B46" s="5" t="s">
        <v>1469</v>
      </c>
      <c r="C46" s="5" t="s">
        <v>1470</v>
      </c>
      <c r="D46" s="5" t="s">
        <v>1471</v>
      </c>
      <c r="E46" s="5" t="s">
        <v>1472</v>
      </c>
      <c r="G46" s="5" t="str">
        <f>IFERROR(__xludf.DUMMYFUNCTION("GOOGLETRANSLATE(A46, ""en"", ""fr"")"),"45")</f>
        <v>45</v>
      </c>
      <c r="H46" s="5" t="str">
        <f>IFERROR(__xludf.DUMMYFUNCTION("GOOGLETRANSLATE(B46, ""en"", ""fr"")"),"Quelle est la décision à prendre si un lutteur exécute un Lamm parfait, mais que son pied se trouvait à l'extérieur du cercle ?")</f>
        <v>Quelle est la décision à prendre si un lutteur exécute un Lamm parfait, mais que son pied se trouvait à l'extérieur du cercle ?</v>
      </c>
      <c r="I46" s="5" t="str">
        <f>IFERROR(__xludf.DUMMYFUNCTION("GOOGLETRANSLATE(C46, ""en"", ""fr"")"),"A) Le Lamm est valide, B) Le lancer est invalide pour violation des limites du terrain, C) Un Kostin est accordé à la place, D) Le match est rejoué")</f>
        <v>A) Le Lamm est valide, B) Le lancer est invalide pour violation des limites du terrain, C) Un Kostin est accordé à la place, D) Le match est rejoué</v>
      </c>
      <c r="J46" s="5" t="str">
        <f>IFERROR(__xludf.DUMMYFUNCTION("GOOGLETRANSLATE(D46, ""en"", ""fr"")"),"B) Le lancer est invalide en raison d'une violation de limite.")</f>
        <v>B) Le lancer est invalide en raison d'une violation de limite.</v>
      </c>
      <c r="K46" s="5" t="str">
        <f>IFERROR(__xludf.DUMMYFUNCTION("GOOGLETRANSLATE(E46, ""en"", ""fr"")"),"Toutes les actions de score doivent être effectuées pendant que les deux lutteurs se trouvent à l'intérieur de la zone de combat désignée.")</f>
        <v>Toutes les actions de score doivent être effectuées pendant que les deux lutteurs se trouvent à l'intérieur de la zone de combat désignée.</v>
      </c>
    </row>
    <row r="47" ht="22.5" customHeight="1">
      <c r="A47" s="4">
        <v>46.0</v>
      </c>
      <c r="B47" s="5" t="s">
        <v>1473</v>
      </c>
      <c r="C47" s="5" t="s">
        <v>1474</v>
      </c>
      <c r="D47" s="5" t="s">
        <v>1475</v>
      </c>
      <c r="E47" s="5" t="s">
        <v>1476</v>
      </c>
      <c r="G47" s="5" t="str">
        <f>IFERROR(__xludf.DUMMYFUNCTION("GOOGLETRANSLATE(A47, ""en"", ""fr"")"),"46")</f>
        <v>46</v>
      </c>
      <c r="H47" s="5" t="str">
        <f>IFERROR(__xludf.DUMMYFUNCTION("GOOGLETRANSLATE(B47, ""en"", ""fr"")"),"Quel est l'objectif principal de la veste roche moderne et standardisée ?")</f>
        <v>Quel est l'objectif principal de la veste roche moderne et standardisée ?</v>
      </c>
      <c r="I47" s="5" t="str">
        <f>IFERROR(__xludf.DUMMYFUNCTION("GOOGLETRANSLATE(C47, ""en"", ""fr"")"),"A) Pour être esthétique à la télévision, B) Pour offrir une surface de préhension solide, durable et équitable pour les deux lutteurs, C) Pour être facile à déchirer, D) Pour être très ample")</f>
        <v>A) Pour être esthétique à la télévision, B) Pour offrir une surface de préhension solide, durable et équitable pour les deux lutteurs, C) Pour être facile à déchirer, D) Pour être très ample</v>
      </c>
      <c r="J47" s="5" t="str">
        <f>IFERROR(__xludf.DUMMYFUNCTION("GOOGLETRANSLATE(D47, ""en"", ""fr"")"),"B) Fournir une surface de préhension solide, durable et équitable pour les deux lutteurs")</f>
        <v>B) Fournir une surface de préhension solide, durable et équitable pour les deux lutteurs</v>
      </c>
      <c r="K47" s="5" t="str">
        <f>IFERROR(__xludf.DUMMYFUNCTION("GOOGLETRANSLATE(E47, ""en"", ""fr"")"),"La veste moderne est fabriquée en toile épaisse conçue pour résister aux forces immenses des combats au corps à corps sans se déchirer facilement.")</f>
        <v>La veste moderne est fabriquée en toile épaisse conçue pour résister aux forces immenses des combats au corps à corps sans se déchirer facilement.</v>
      </c>
    </row>
    <row r="48" ht="22.5" customHeight="1">
      <c r="A48" s="4">
        <v>47.0</v>
      </c>
      <c r="B48" s="5" t="s">
        <v>1477</v>
      </c>
      <c r="C48" s="5" t="s">
        <v>1478</v>
      </c>
      <c r="D48" s="5" t="s">
        <v>1479</v>
      </c>
      <c r="E48" s="5" t="s">
        <v>1480</v>
      </c>
      <c r="G48" s="5" t="str">
        <f>IFERROR(__xludf.DUMMYFUNCTION("GOOGLETRANSLATE(A48, ""en"", ""fr"")"),"47")</f>
        <v>47</v>
      </c>
      <c r="H48" s="5" t="str">
        <f>IFERROR(__xludf.DUMMYFUNCTION("GOOGLETRANSLATE(B48, ""en"", ""fr"")"),"Combien de points vaut un Kostin lors d'un bris d'égalité basé sur les points ?")</f>
        <v>Combien de points vaut un Kostin lors d'un bris d'égalité basé sur les points ?</v>
      </c>
      <c r="I48" s="5" t="str">
        <f>IFERROR(__xludf.DUMMYFUNCTION("GOOGLETRANSLATE(C48, ""en"", ""fr"")"),"A) 1, B) 2, C) 4, D) Cela ne vaut pas de points, c'est un résultat")</f>
        <v>A) 1, B) 2, C) 4, D) Cela ne vaut pas de points, c'est un résultat</v>
      </c>
      <c r="J48" s="5" t="str">
        <f>IFERROR(__xludf.DUMMYFUNCTION("GOOGLETRANSLATE(D48, ""en"", ""fr"")"),"C) 4")</f>
        <v>C) 4</v>
      </c>
      <c r="K48" s="5" t="str">
        <f>IFERROR(__xludf.DUMMYFUNCTION("GOOGLETRANSLATE(E48, ""en"", ""fr"")"),"Dans le système de notation moderne, un Kostin vaut 4 points, tandis qu'un Lamm vaut 10 points.")</f>
        <v>Dans le système de notation moderne, un Kostin vaut 4 points, tandis qu'un Lamm vaut 10 points.</v>
      </c>
    </row>
    <row r="49" ht="22.5" customHeight="1">
      <c r="A49" s="4">
        <v>48.0</v>
      </c>
      <c r="B49" s="5" t="s">
        <v>1481</v>
      </c>
      <c r="C49" s="5" t="s">
        <v>1482</v>
      </c>
      <c r="D49" s="5" t="s">
        <v>1483</v>
      </c>
      <c r="E49" s="5" t="s">
        <v>1484</v>
      </c>
      <c r="G49" s="5" t="str">
        <f>IFERROR(__xludf.DUMMYFUNCTION("GOOGLETRANSLATE(A49, ""en"", ""fr"")"),"48")</f>
        <v>48</v>
      </c>
      <c r="H49" s="5" t="str">
        <f>IFERROR(__xludf.DUMMYFUNCTION("GOOGLETRANSLATE(B49, ""en"", ""fr"")"),"Un lutteur est pénalisé pour avoir attrapé le bragoù (pantalon). Est-ce une décision correcte ?")</f>
        <v>Un lutteur est pénalisé pour avoir attrapé le bragoù (pantalon). Est-ce une décision correcte ?</v>
      </c>
      <c r="I49" s="5" t="str">
        <f>IFERROR(__xludf.DUMMYFUNCTION("GOOGLETRANSLATE(C49, ""en"", ""fr"")"),"A) Non, cette prise est légale. B) Oui, toutes les prises doivent être effectuées sur la veste, au-dessus de la ceinture. C) Uniquement si le pantalon est déchiré. D) Uniquement s'il s'agit d'un tournoi majeur.")</f>
        <v>A) Non, cette prise est légale. B) Oui, toutes les prises doivent être effectuées sur la veste, au-dessus de la ceinture. C) Uniquement si le pantalon est déchiré. D) Uniquement s'il s'agit d'un tournoi majeur.</v>
      </c>
      <c r="J49" s="5" t="str">
        <f>IFERROR(__xludf.DUMMYFUNCTION("GOOGLETRANSLATE(D49, ""en"", ""fr"")"),"B) Oui, toutes les poignées doivent être sur la veste, au-dessus de la ceinture.")</f>
        <v>B) Oui, toutes les poignées doivent être sur la veste, au-dessus de la ceinture.</v>
      </c>
      <c r="K49" s="5" t="str">
        <f>IFERROR(__xludf.DUMMYFUNCTION("GOOGLETRANSLATE(E49, ""en"", ""fr"")"),"Le gouren est un style de « lutte en veste », et les règles interdisent strictement toute prise sur le pantalon ou les jambes.")</f>
        <v>Le gouren est un style de « lutte en veste », et les règles interdisent strictement toute prise sur le pantalon ou les jambes.</v>
      </c>
    </row>
    <row r="50" ht="22.5" customHeight="1">
      <c r="A50" s="4">
        <v>49.0</v>
      </c>
      <c r="B50" s="5" t="s">
        <v>1485</v>
      </c>
      <c r="C50" s="5" t="s">
        <v>1486</v>
      </c>
      <c r="D50" s="5" t="s">
        <v>1487</v>
      </c>
      <c r="E50" s="5" t="s">
        <v>1488</v>
      </c>
      <c r="G50" s="5" t="str">
        <f>IFERROR(__xludf.DUMMYFUNCTION("GOOGLETRANSLATE(A50, ""en"", ""fr"")"),"49")</f>
        <v>49</v>
      </c>
      <c r="H50" s="5" t="str">
        <f>IFERROR(__xludf.DUMMYFUNCTION("GOOGLETRANSLATE(B50, ""en"", ""fr"")"),"Quel est le rôle principal de l'arbitre central sur le tapis ?")</f>
        <v>Quel est le rôle principal de l'arbitre central sur le tapis ?</v>
      </c>
      <c r="I50" s="5" t="str">
        <f>IFERROR(__xludf.DUMMYFUNCTION("GOOGLETRANSLATE(C50, ""en"", ""fr"")"),"A) Tenir le score, B) Gérer le combat, démarrer et arrêter l'action, et signaler la décision principale, C) Consulter les entraîneurs, D) Déterminer le vainqueur en cas d'égalité")</f>
        <v>A) Tenir le score, B) Gérer le combat, démarrer et arrêter l'action, et signaler la décision principale, C) Consulter les entraîneurs, D) Déterminer le vainqueur en cas d'égalité</v>
      </c>
      <c r="J50" s="5" t="str">
        <f>IFERROR(__xludf.DUMMYFUNCTION("GOOGLETRANSLATE(D50, ""en"", ""fr"")"),"B) Pour gérer le combat, démarrer et arrêter l'action, et signaler la décision principale")</f>
        <v>B) Pour gérer le combat, démarrer et arrêter l'action, et signaler la décision principale</v>
      </c>
      <c r="K50" s="5" t="str">
        <f>IFERROR(__xludf.DUMMYFUNCTION("GOOGLETRANSLATE(E50, ""en"", ""fr"")"),"L'arbitre central est responsable de l'action immédiate, tandis que les juges de coin aident à prendre la décision finale.")</f>
        <v>L'arbitre central est responsable de l'action immédiate, tandis que les juges de coin aident à prendre la décision finale.</v>
      </c>
    </row>
    <row r="51" ht="22.5" customHeight="1">
      <c r="A51" s="4">
        <v>50.0</v>
      </c>
      <c r="B51" s="5" t="s">
        <v>1489</v>
      </c>
      <c r="C51" s="5" t="s">
        <v>1490</v>
      </c>
      <c r="D51" s="5" t="s">
        <v>1491</v>
      </c>
      <c r="E51" s="5" t="s">
        <v>1492</v>
      </c>
      <c r="G51" s="5" t="str">
        <f>IFERROR(__xludf.DUMMYFUNCTION("GOOGLETRANSLATE(A51, ""en"", ""fr"")"),"50")</f>
        <v>50</v>
      </c>
      <c r="H51" s="5" t="str">
        <f>IFERROR(__xludf.DUMMYFUNCTION("GOOGLETRANSLATE(B51, ""en"", ""fr"")"),"Le Gouren est, en substance, un style de quel type de lutte ?")</f>
        <v>Le Gouren est, en substance, un style de quel type de lutte ?</v>
      </c>
      <c r="I51" s="5" t="str">
        <f>IFERROR(__xludf.DUMMYFUNCTION("GOOGLETRANSLATE(C51, ""en"", ""fr"")"),"A) Lutte à la ceinture, B) Lutte en veste, C) Lutte libre, D) Lutte par soumission")</f>
        <v>A) Lutte à la ceinture, B) Lutte en veste, C) Lutte libre, D) Lutte par soumission</v>
      </c>
      <c r="J51" s="5" t="str">
        <f>IFERROR(__xludf.DUMMYFUNCTION("GOOGLETRANSLATE(D51, ""en"", ""fr"")"),"B) Lutte en veste")</f>
        <v>B) Lutte en veste</v>
      </c>
      <c r="K51" s="5" t="str">
        <f>IFERROR(__xludf.DUMMYFUNCTION("GOOGLETRANSLATE(E51, ""en"", ""fr"")"),"La caractéristique principale du Gouren est que toutes les techniques sont initiées à partir d'une prise sur la veste de l'adversaire.")</f>
        <v>La caractéristique principale du Gouren est que toutes les techniques sont initiées à partir d'une prise sur la veste de l'adversaire.</v>
      </c>
    </row>
    <row r="52" ht="22.5" customHeight="1">
      <c r="A52" s="4">
        <v>51.0</v>
      </c>
      <c r="B52" s="5" t="s">
        <v>1493</v>
      </c>
      <c r="C52" s="5" t="s">
        <v>1494</v>
      </c>
      <c r="D52" s="5" t="s">
        <v>1495</v>
      </c>
      <c r="E52" s="5" t="s">
        <v>1496</v>
      </c>
      <c r="G52" s="5" t="str">
        <f>IFERROR(__xludf.DUMMYFUNCTION("GOOGLETRANSLATE(A52, ""en"", ""fr"")"),"51")</f>
        <v>51</v>
      </c>
      <c r="H52" s="5" t="str">
        <f>IFERROR(__xludf.DUMMYFUNCTION("GOOGLETRANSLATE(B52, ""en"", ""fr"")"),"Un lutteur est disqualifié pour avoir commis une faute grave. Qu'a-t-il bien pu faire ?")</f>
        <v>Un lutteur est disqualifié pour avoir commis une faute grave. Qu'a-t-il bien pu faire ?</v>
      </c>
      <c r="I52" s="5" t="str">
        <f>IFERROR(__xludf.DUMMYFUNCTION("GOOGLETRANSLATE(C52, ""en"", ""fr"")"),"A) Est sorti du ring, B) A contesté les décisions de l'arbitre, C) A refusé de serrer la main de son adversaire après le match, D) A effectué une projection dangereuse dans l'intention de blesser")</f>
        <v>A) Est sorti du ring, B) A contesté les décisions de l'arbitre, C) A refusé de serrer la main de son adversaire après le match, D) A effectué une projection dangereuse dans l'intention de blesser</v>
      </c>
      <c r="J52" s="5" t="str">
        <f>IFERROR(__xludf.DUMMYFUNCTION("GOOGLETRANSLATE(D52, ""en"", ""fr"")"),"D) A effectué un lancer dangereux dans l'intention de blesser")</f>
        <v>D) A effectué un lancer dangereux dans l'intention de blesser</v>
      </c>
      <c r="K52" s="5" t="str">
        <f>IFERROR(__xludf.DUMMYFUNCTION("GOOGLETRANSLATE(E52, ""en"", ""fr"")"),"Un Fazi Vraz est une faute grave, souvent infligée pour un acte dangereux ou interdit qui contrevient à l'esprit du serment. Elle entraîne la perte du combat.")</f>
        <v>Un Fazi Vraz est une faute grave, souvent infligée pour un acte dangereux ou interdit qui contrevient à l'esprit du serment. Elle entraîne la perte du combat.</v>
      </c>
    </row>
    <row r="53" ht="22.5" customHeight="1">
      <c r="A53" s="4">
        <v>52.0</v>
      </c>
      <c r="B53" s="5" t="s">
        <v>1497</v>
      </c>
      <c r="C53" s="5" t="s">
        <v>1498</v>
      </c>
      <c r="D53" s="5" t="s">
        <v>1499</v>
      </c>
      <c r="E53" s="5" t="s">
        <v>1500</v>
      </c>
      <c r="G53" s="5" t="str">
        <f>IFERROR(__xludf.DUMMYFUNCTION("GOOGLETRANSLATE(A53, ""en"", ""fr"")"),"52")</f>
        <v>52</v>
      </c>
      <c r="H53" s="5" t="str">
        <f>IFERROR(__xludf.DUMMYFUNCTION("GOOGLETRANSLATE(B53, ""en"", ""fr"")"),"Quel est le résultat si la prolongation (astenn) se termine sans point et sans qu'aucun lutteur ne se voie attribuer un Kein (avantage) ?")</f>
        <v>Quel est le résultat si la prolongation (astenn) se termine sans point et sans qu'aucun lutteur ne se voie attribuer un Kein (avantage) ?</v>
      </c>
      <c r="I53" s="5" t="str">
        <f>IFERROR(__xludf.DUMMYFUNCTION("GOOGLETRANSLATE(C53, ""en"", ""fr"")"),"A) Le match est déclaré nul, B) Le lutteur le plus léger gagne, C) Le lutteur ayant reçu le moins d'avertissements gagne, D) On lance une pièce")</f>
        <v>A) Le match est déclaré nul, B) Le lutteur le plus léger gagne, C) Le lutteur ayant reçu le moins d'avertissements gagne, D) On lance une pièce</v>
      </c>
      <c r="J53" s="5" t="str">
        <f>IFERROR(__xludf.DUMMYFUNCTION("GOOGLETRANSLATE(D53, ""en"", ""fr"")"),"A) Le match est déclaré nul.")</f>
        <v>A) Le match est déclaré nul.</v>
      </c>
      <c r="K53" s="5" t="str">
        <f>IFERROR(__xludf.DUMMYFUNCTION("GOOGLETRANSLATE(E53, ""en"", ""fr"")"),"Si aucun lutteur ne parvient à prendre l'ascendant même après prolongation, le match peut être déclaré nul, notamment lors des tours préliminaires.")</f>
        <v>Si aucun lutteur ne parvient à prendre l'ascendant même après prolongation, le match peut être déclaré nul, notamment lors des tours préliminaires.</v>
      </c>
    </row>
    <row r="54" ht="22.5" customHeight="1">
      <c r="A54" s="4">
        <v>53.0</v>
      </c>
      <c r="B54" s="5" t="s">
        <v>1501</v>
      </c>
      <c r="C54" s="5" t="s">
        <v>1502</v>
      </c>
      <c r="D54" s="5" t="s">
        <v>1503</v>
      </c>
      <c r="E54" s="5" t="s">
        <v>1504</v>
      </c>
      <c r="G54" s="5" t="str">
        <f>IFERROR(__xludf.DUMMYFUNCTION("GOOGLETRANSLATE(A54, ""en"", ""fr"")"),"53")</f>
        <v>53</v>
      </c>
      <c r="H54" s="5" t="str">
        <f>IFERROR(__xludf.DUMMYFUNCTION("GOOGLETRANSLATE(B54, ""en"", ""fr"")"),"Quelle est la principale différence entre un Fazi et un Divrud ?")</f>
        <v>Quelle est la principale différence entre un Fazi et un Divrud ?</v>
      </c>
      <c r="I54" s="5" t="str">
        <f>IFERROR(__xludf.DUMMYFUNCTION("GOOGLETRANSLATE(C54, ""en"", ""fr"")"),"A) Un Fazi est un avertissement, B) Un Fazi est une pénalité au niveau du combat, tandis qu'un Divrud est une disqualification au niveau du tournoi, C) Un Divrud est une faute mineure, D) Il n'y a pas de différence")</f>
        <v>A) Un Fazi est un avertissement, B) Un Fazi est une pénalité au niveau du combat, tandis qu'un Divrud est une disqualification au niveau du tournoi, C) Un Divrud est une faute mineure, D) Il n'y a pas de différence</v>
      </c>
      <c r="J54" s="5" t="str">
        <f>IFERROR(__xludf.DUMMYFUNCTION("GOOGLETRANSLATE(D54, ""en"", ""fr"")"),"B) Un Fazi est une pénalité au niveau du combat, tandis qu'un Divrud est une disqualification au niveau du tournoi.")</f>
        <v>B) Un Fazi est une pénalité au niveau du combat, tandis qu'un Divrud est une disqualification au niveau du tournoi.</v>
      </c>
      <c r="K54" s="5" t="str">
        <f>IFERROR(__xludf.DUMMYFUNCTION("GOOGLETRANSLATE(E54, ""en"", ""fr"")"),"Un lutteur peut recevoir plusieurs Fazi dans un combat, mais un Divrud est pour une seule infraction grave qui entraîne l'expulsion de l'événement entier.")</f>
        <v>Un lutteur peut recevoir plusieurs Fazi dans un combat, mais un Divrud est pour une seule infraction grave qui entraîne l'expulsion de l'événement entier.</v>
      </c>
    </row>
    <row r="55" ht="22.5" customHeight="1">
      <c r="A55" s="4">
        <v>54.0</v>
      </c>
      <c r="B55" s="5" t="s">
        <v>1505</v>
      </c>
      <c r="C55" s="5" t="s">
        <v>1506</v>
      </c>
      <c r="D55" s="5" t="s">
        <v>1507</v>
      </c>
      <c r="E55" s="5" t="s">
        <v>1508</v>
      </c>
      <c r="G55" s="5" t="str">
        <f>IFERROR(__xludf.DUMMYFUNCTION("GOOGLETRANSLATE(A55, ""en"", ""fr"")"),"54")</f>
        <v>54</v>
      </c>
      <c r="H55" s="5" t="str">
        <f>IFERROR(__xludf.DUMMYFUNCTION("GOOGLETRANSLATE(B55, ""en"", ""fr"")"),"Pourquoi est-il illégal de poser la main au sol pour éviter une chute ?")</f>
        <v>Pourquoi est-il illégal de poser la main au sol pour éviter une chute ?</v>
      </c>
      <c r="I55" s="5" t="str">
        <f>IFERROR(__xludf.DUMMYFUNCTION("GOOGLETRANSLATE(C55, ""en"", ""fr"")"),"A) Cela peut blesser la main, B) C'est un signe de faiblesse, C) C'est une action non liée à la lutte qui empêche la réalisation d'une projection légitime, D) Ce n'est pas illégal")</f>
        <v>A) Cela peut blesser la main, B) C'est un signe de faiblesse, C) C'est une action non liée à la lutte qui empêche la réalisation d'une projection légitime, D) Ce n'est pas illégal</v>
      </c>
      <c r="J55" s="5" t="str">
        <f>IFERROR(__xludf.DUMMYFUNCTION("GOOGLETRANSLATE(D55, ""en"", ""fr"")"),"C) Il s'agit d'une action autre que la lutte qui empêche la réalisation complète d'une projection légitime.")</f>
        <v>C) Il s'agit d'une action autre que la lutte qui empêche la réalisation complète d'une projection légitime.</v>
      </c>
      <c r="K55" s="5" t="str">
        <f>IFERROR(__xludf.DUMMYFUNCTION("GOOGLETRANSLATE(E55, ""en"", ""fr"")"),"Un lutteur doit utiliser sa force et son équilibre pour résister à une projection. Poser la main au sol est une technique illégale pour bloquer la chute.")</f>
        <v>Un lutteur doit utiliser sa force et son équilibre pour résister à une projection. Poser la main au sol est une technique illégale pour bloquer la chute.</v>
      </c>
    </row>
    <row r="56" ht="22.5" customHeight="1">
      <c r="A56" s="4">
        <v>55.0</v>
      </c>
      <c r="B56" s="5" t="s">
        <v>1509</v>
      </c>
      <c r="C56" s="5" t="s">
        <v>1510</v>
      </c>
      <c r="D56" s="5" t="s">
        <v>1511</v>
      </c>
      <c r="E56" s="5" t="s">
        <v>1512</v>
      </c>
      <c r="G56" s="5" t="str">
        <f>IFERROR(__xludf.DUMMYFUNCTION("GOOGLETRANSLATE(A56, ""en"", ""fr"")"),"55")</f>
        <v>55</v>
      </c>
      <c r="H56" s="5" t="str">
        <f>IFERROR(__xludf.DUMMYFUNCTION("GOOGLETRANSLATE(B56, ""en"", ""fr"")"),"Que signifie littéralement le terme « mod-kozh » en breton ?")</f>
        <v>Que signifie littéralement le terme « mod-kozh » en breton ?</v>
      </c>
      <c r="I56" s="5" t="str">
        <f>IFERROR(__xludf.DUMMYFUNCTION("GOOGLETRANSLATE(C56, ""en"", ""fr"")"),"A) « À l'ancienne », B) « Gros prix », C) « Le Bélier », D) « Combat de défi »")</f>
        <v>A) « À l'ancienne », B) « Gros prix », C) « Le Bélier », D) « Combat de défi »</v>
      </c>
      <c r="J56" s="5" t="str">
        <f>IFERROR(__xludf.DUMMYFUNCTION("GOOGLETRANSLATE(D56, ""en"", ""fr"")"),"A) « À l'ancienne »")</f>
        <v>A) « À l'ancienne »</v>
      </c>
      <c r="K56" s="5" t="str">
        <f>IFERROR(__xludf.DUMMYFUNCTION("GOOGLETRANSLATE(E56, ""en"", ""fr"")"),"Le tournoi Mod-Kozh préserve le « style ancien » de la lutte, avec son format de défi à poids libre et son prix traditionnel.")</f>
        <v>Le tournoi Mod-Kozh préserve le « style ancien » de la lutte, avec son format de défi à poids libre et son prix traditionnel.</v>
      </c>
    </row>
    <row r="57" ht="22.5" customHeight="1">
      <c r="A57" s="4">
        <v>56.0</v>
      </c>
      <c r="B57" s="5" t="s">
        <v>1513</v>
      </c>
      <c r="C57" s="5" t="s">
        <v>1410</v>
      </c>
      <c r="D57" s="5" t="s">
        <v>1514</v>
      </c>
      <c r="E57" s="5" t="s">
        <v>1515</v>
      </c>
      <c r="G57" s="5" t="str">
        <f>IFERROR(__xludf.DUMMYFUNCTION("GOOGLETRANSLATE(A57, ""en"", ""fr"")"),"56")</f>
        <v>56</v>
      </c>
      <c r="H57" s="5" t="str">
        <f>IFERROR(__xludf.DUMMYFUNCTION("GOOGLETRANSLATE(B57, ""en"", ""fr"")"),"Un lutteur effectue une projection, mais son adversaire retombe sur le torse et le ventre. Quel est le résultat ?")</f>
        <v>Un lutteur effectue une projection, mais son adversaire retombe sur le torse et le ventre. Quel est le résultat ?</v>
      </c>
      <c r="I57" s="5" t="str">
        <f>IFERROR(__xludf.DUMMYFUNCTION("GOOGLETRANSLATE(C57, ""en"", ""fr"")"),"A) Lamm, B) Kostin, C) Kein, D) Netra")</f>
        <v>A) Lamm, B) Kostin, C) Kein, D) Netra</v>
      </c>
      <c r="J57" s="5" t="str">
        <f>IFERROR(__xludf.DUMMYFUNCTION("GOOGLETRANSLATE(D57, ""en"", ""fr"")"),"D) Netra")</f>
        <v>D) Netra</v>
      </c>
      <c r="K57" s="5" t="str">
        <f>IFERROR(__xludf.DUMMYFUNCTION("GOOGLETRANSLATE(E57, ""en"", ""fr"")"),"Pour qu'un point soit marqué, la chute doit avoir lieu sur le dos ou les épaules. Une chute sur le devant du corps est un Netra (aucun point).")</f>
        <v>Pour qu'un point soit marqué, la chute doit avoir lieu sur le dos ou les épaules. Une chute sur le devant du corps est un Netra (aucun point).</v>
      </c>
    </row>
    <row r="58" ht="22.5" customHeight="1">
      <c r="A58" s="4">
        <v>57.0</v>
      </c>
      <c r="B58" s="5" t="s">
        <v>1516</v>
      </c>
      <c r="C58" s="5" t="s">
        <v>1517</v>
      </c>
      <c r="D58" s="5" t="s">
        <v>1518</v>
      </c>
      <c r="E58" s="5" t="s">
        <v>1519</v>
      </c>
      <c r="G58" s="5" t="str">
        <f>IFERROR(__xludf.DUMMYFUNCTION("GOOGLETRANSLATE(A58, ""en"", ""fr"")"),"57")</f>
        <v>57</v>
      </c>
      <c r="H58" s="5" t="str">
        <f>IFERROR(__xludf.DUMMYFUNCTION("GOOGLETRANSLATE(B58, ""en"", ""fr"")"),"Quelle est la principale raison de la coupe mi-longue spécifique du bragoù (pantalon) ?")</f>
        <v>Quelle est la principale raison de la coupe mi-longue spécifique du bragoù (pantalon) ?</v>
      </c>
      <c r="I58" s="5" t="str">
        <f>IFERROR(__xludf.DUMMYFUNCTION("GOOGLETRANSLATE(C58, ""en"", ""fr"")"),"A) C'est une mode moderne, B) Pour que les jambes et les pieds des lutteurs soient visibles afin de juger les balayages, C) C'est plus frais en été, D) Cela permet d'économiser du matériel")</f>
        <v>A) C'est une mode moderne, B) Pour que les jambes et les pieds des lutteurs soient visibles afin de juger les balayages, C) C'est plus frais en été, D) Cela permet d'économiser du matériel</v>
      </c>
      <c r="J58" s="5" t="str">
        <f>IFERROR(__xludf.DUMMYFUNCTION("GOOGLETRANSLATE(D58, ""en"", ""fr"")"),"B) Afin de garantir que les jambes et les pieds des lutteurs soient visibles pour le jugement des balayages de pieds")</f>
        <v>B) Afin de garantir que les jambes et les pieds des lutteurs soient visibles pour le jugement des balayages de pieds</v>
      </c>
      <c r="K58" s="5" t="str">
        <f>IFERROR(__xludf.DUMMYFUNCTION("GOOGLETRANSLATE(E58, ""en"", ""fr"")"),"La longueur du pantalon est spécifiée pour permettre aux arbitres d'avoir une vue dégagée sur les techniques complexes des jambes et des pieds.")</f>
        <v>La longueur du pantalon est spécifiée pour permettre aux arbitres d'avoir une vue dégagée sur les techniques complexes des jambes et des pieds.</v>
      </c>
    </row>
    <row r="59" ht="22.5" customHeight="1">
      <c r="A59" s="4">
        <v>58.0</v>
      </c>
      <c r="B59" s="5" t="s">
        <v>1520</v>
      </c>
      <c r="C59" s="5" t="s">
        <v>1521</v>
      </c>
      <c r="D59" s="5" t="s">
        <v>1522</v>
      </c>
      <c r="E59" s="5" t="s">
        <v>1523</v>
      </c>
      <c r="G59" s="5" t="str">
        <f>IFERROR(__xludf.DUMMYFUNCTION("GOOGLETRANSLATE(A59, ""en"", ""fr"")"),"58")</f>
        <v>58</v>
      </c>
      <c r="H59" s="5" t="str">
        <f>IFERROR(__xludf.DUMMYFUNCTION("GOOGLETRANSLATE(B59, ""en"", ""fr"")"),"Un lutteur remporte un Lamm parfait. L'entraîneur de son adversaire proteste. Sur quels fondements cette protestation pourrait-elle être valable ?")</f>
        <v>Un lutteur remporte un Lamm parfait. L'entraîneur de son adversaire proteste. Sur quels fondements cette protestation pourrait-elle être valable ?</v>
      </c>
      <c r="I59" s="5" t="str">
        <f>IFERROR(__xludf.DUMMYFUNCTION("GOOGLETRANSLATE(C59, ""en"", ""fr"")"),"A) La projection était trop puissante. B) Le lutteur vainqueur a commis une faute (par exemple, en attrapant la jambe) lors de la projection. C) L'entraîneur n'a pas apprécié le résultat. D) Le lutteur vainqueur a trop célébré sa victoire.")</f>
        <v>A) La projection était trop puissante. B) Le lutteur vainqueur a commis une faute (par exemple, en attrapant la jambe) lors de la projection. C) L'entraîneur n'a pas apprécié le résultat. D) Le lutteur vainqueur a trop célébré sa victoire.</v>
      </c>
      <c r="J59" s="5" t="str">
        <f>IFERROR(__xludf.DUMMYFUNCTION("GOOGLETRANSLATE(D59, ""en"", ""fr"")"),"B) Le lutteur vainqueur a commis une faute (par exemple, en attrapant la jambe) pendant la projection.")</f>
        <v>B) Le lutteur vainqueur a commis une faute (par exemple, en attrapant la jambe) pendant la projection.</v>
      </c>
      <c r="K59" s="5" t="str">
        <f>IFERROR(__xludf.DUMMYFUNCTION("GOOGLETRANSLATE(E59, ""en"", ""fr"")"),"Une protestation ne peut être déposée que sur la base d'une violation technique des règles, et non sur un jugement de style ou de force.")</f>
        <v>Une protestation ne peut être déposée que sur la base d'une violation technique des règles, et non sur un jugement de style ou de force.</v>
      </c>
    </row>
    <row r="60" ht="22.5" customHeight="1">
      <c r="A60" s="4">
        <v>59.0</v>
      </c>
      <c r="B60" s="5" t="s">
        <v>1524</v>
      </c>
      <c r="C60" s="5" t="s">
        <v>1525</v>
      </c>
      <c r="D60" s="5" t="s">
        <v>1526</v>
      </c>
      <c r="E60" s="5" t="s">
        <v>1527</v>
      </c>
      <c r="G60" s="5" t="str">
        <f>IFERROR(__xludf.DUMMYFUNCTION("GOOGLETRANSLATE(A60, ""en"", ""fr"")"),"59")</f>
        <v>59</v>
      </c>
      <c r="H60" s="5" t="str">
        <f>IFERROR(__xludf.DUMMYFUNCTION("GOOGLETRANSLATE(B60, ""en"", ""fr"")"),"Quel est le rôle principal des deux juges de coin ?")</f>
        <v>Quel est le rôle principal des deux juges de coin ?</v>
      </c>
      <c r="I60" s="5" t="str">
        <f>IFERROR(__xludf.DUMMYFUNCTION("GOOGLETRANSLATE(C60, ""en"", ""fr"")"),"A) Chronométrer, B) Assister l'arbitre principal dans l'observation du combat et voter sur les décisions, C) Entraîner les lutteurs, D) Faire partie du personnel médical")</f>
        <v>A) Chronométrer, B) Assister l'arbitre principal dans l'observation du combat et voter sur les décisions, C) Entraîner les lutteurs, D) Faire partie du personnel médical</v>
      </c>
      <c r="J60" s="5" t="str">
        <f>IFERROR(__xludf.DUMMYFUNCTION("GOOGLETRANSLATE(D60, ""en"", ""fr"")"),"B) Aider l'arbitre central à observer le déroulement du match et à voter sur les décisions")</f>
        <v>B) Aider l'arbitre central à observer le déroulement du match et à voter sur les décisions</v>
      </c>
      <c r="K60" s="5" t="str">
        <f>IFERROR(__xludf.DUMMYFUNCTION("GOOGLETRANSLATE(E60, ""en"", ""fr"")"),"Les juges de coin apportent des points de vue supplémentaires, notamment pour déterminer la qualité d'une chute (Lamm contre Kostin), et votent avec l'arbitre.")</f>
        <v>Les juges de coin apportent des points de vue supplémentaires, notamment pour déterminer la qualité d'une chute (Lamm contre Kostin), et votent avec l'arbitre.</v>
      </c>
    </row>
    <row r="61" ht="22.5" customHeight="1">
      <c r="A61" s="4">
        <v>60.0</v>
      </c>
      <c r="B61" s="5" t="s">
        <v>1528</v>
      </c>
      <c r="C61" s="5" t="s">
        <v>1529</v>
      </c>
      <c r="D61" s="5" t="s">
        <v>1530</v>
      </c>
      <c r="E61" s="5" t="s">
        <v>1531</v>
      </c>
      <c r="G61" s="5" t="str">
        <f>IFERROR(__xludf.DUMMYFUNCTION("GOOGLETRANSLATE(A61, ""en"", ""fr"")"),"60")</f>
        <v>60</v>
      </c>
      <c r="H61" s="5" t="str">
        <f>IFERROR(__xludf.DUMMYFUNCTION("GOOGLETRANSLATE(B61, ""en"", ""fr"")"),"En substance, le règlement du Gouren moderne vise à promouvoir quoi ?")</f>
        <v>En substance, le règlement du Gouren moderne vise à promouvoir quoi ?</v>
      </c>
      <c r="I61" s="5" t="str">
        <f>IFERROR(__xludf.DUMMYFUNCTION("GOOGLETRANSLATE(C61, ""en"", ""fr"")"),"A) Le combattant le plus agressif, B) Une forme de lutte debout dynamique, sûre et technique, C) Les combats les plus longs possibles, D) Le lutteur avec la meilleure défense")</f>
        <v>A) Le combattant le plus agressif, B) Une forme de lutte debout dynamique, sûre et technique, C) Les combats les plus longs possibles, D) Le lutteur avec la meilleure défense</v>
      </c>
      <c r="J61" s="5" t="str">
        <f>IFERROR(__xludf.DUMMYFUNCTION("GOOGLETRANSLATE(D61, ""en"", ""fr"")"),"B) Une forme dynamique, sûre et technique de lutte debout")</f>
        <v>B) Une forme dynamique, sûre et technique de lutte debout</v>
      </c>
      <c r="K61" s="5" t="str">
        <f>IFERROR(__xludf.DUMMYFUNCTION("GOOGLETRANSLATE(E61, ""en"", ""fr"")"),"Les règles établissent un équilibre entre la préservation des techniques traditionnelles de cet art et la garantie d'un sport moderne, sûr et agréable pour les spectateurs.")</f>
        <v>Les règles établissent un équilibre entre la préservation des techniques traditionnelles de cet art et la garantie d'un sport moderne, sûr et agréable pour les spectateurs.</v>
      </c>
    </row>
    <row r="62" ht="22.5" customHeight="1">
      <c r="A62" s="4">
        <v>61.0</v>
      </c>
      <c r="B62" s="5" t="s">
        <v>1532</v>
      </c>
      <c r="C62" s="5" t="s">
        <v>1533</v>
      </c>
      <c r="D62" s="5" t="s">
        <v>1534</v>
      </c>
      <c r="E62" s="5" t="s">
        <v>1535</v>
      </c>
      <c r="G62" s="5" t="str">
        <f>IFERROR(__xludf.DUMMYFUNCTION("GOOGLETRANSLATE(A62, ""en"", ""fr"")"),"61")</f>
        <v>61</v>
      </c>
      <c r="H62" s="5" t="str">
        <f>IFERROR(__xludf.DUMMYFUNCTION("GOOGLETRANSLATE(B62, ""en"", ""fr"")"),"Un lutteur est pénalisé pour avoir utilisé sa tête afin de repousser le visage de son adversaire. S'agit-il d'une faute valable ?")</f>
        <v>Un lutteur est pénalisé pour avoir utilisé sa tête afin de repousser le visage de son adversaire. S'agit-il d'une faute valable ?</v>
      </c>
      <c r="I62" s="5" t="str">
        <f>IFERROR(__xludf.DUMMYFUNCTION("GOOGLETRANSLATE(C62, ""en"", ""fr"")"),"A) Non, ce geste est légal. B) Oui, utiliser la tête comme une arme offensive est illégal. C) Seulement si cela cause une blessure. D) Seulement si l'adversaire se plaint.")</f>
        <v>A) Non, ce geste est légal. B) Oui, utiliser la tête comme une arme offensive est illégal. C) Seulement si cela cause une blessure. D) Seulement si l'adversaire se plaint.</v>
      </c>
      <c r="J62" s="5" t="str">
        <f>IFERROR(__xludf.DUMMYFUNCTION("GOOGLETRANSLATE(D62, ""en"", ""fr"")"),"B) Oui, utiliser la tête comme une arme offensive est illégal.")</f>
        <v>B) Oui, utiliser la tête comme une arme offensive est illégal.</v>
      </c>
      <c r="K62" s="5" t="str">
        <f>IFERROR(__xludf.DUMMYFUNCTION("GOOGLETRANSLATE(E62, ""en"", ""fr"")"),"Il est interdit d'utiliser la tête pour donner des coups de tête, pousser ou frapper un adversaire. Il s'agit d'une faute pour action dangereuse.")</f>
        <v>Il est interdit d'utiliser la tête pour donner des coups de tête, pousser ou frapper un adversaire. Il s'agit d'une faute pour action dangereuse.</v>
      </c>
    </row>
    <row r="63" ht="22.5" customHeight="1">
      <c r="A63" s="4">
        <v>62.0</v>
      </c>
      <c r="B63" s="5" t="s">
        <v>1536</v>
      </c>
      <c r="C63" s="5" t="s">
        <v>1537</v>
      </c>
      <c r="D63" s="5" t="s">
        <v>1538</v>
      </c>
      <c r="E63" s="5" t="s">
        <v>1539</v>
      </c>
      <c r="G63" s="5" t="str">
        <f>IFERROR(__xludf.DUMMYFUNCTION("GOOGLETRANSLATE(A63, ""en"", ""fr"")"),"62")</f>
        <v>62</v>
      </c>
      <c r="H63" s="5" t="str">
        <f>IFERROR(__xludf.DUMMYFUNCTION("GOOGLETRANSLATE(B63, ""en"", ""fr"")"),"Quelle est la décision si un lutteur parvient à arracher complètement la veste de son adversaire ?")</f>
        <v>Quelle est la décision si un lutteur parvient à arracher complètement la veste de son adversaire ?</v>
      </c>
      <c r="I63" s="5" t="str">
        <f>IFERROR(__xludf.DUMMYFUNCTION("GOOGLETRANSLATE(C63, ""en"", ""fr"")"),"A) Le lutteur dont la veste est déchirée perd. B) Le match est immédiatement interrompu pour remplacer la veste. C) Le lutteur qui a déchiré la veste est disqualifié. D) Le match continue.")</f>
        <v>A) Le lutteur dont la veste est déchirée perd. B) Le match est immédiatement interrompu pour remplacer la veste. C) Le lutteur qui a déchiré la veste est disqualifié. D) Le match continue.</v>
      </c>
      <c r="J63" s="5" t="str">
        <f>IFERROR(__xludf.DUMMYFUNCTION("GOOGLETRANSLATE(D63, ""en"", ""fr"")"),"B) Le match est immédiatement interrompu pour remplacer la veste")</f>
        <v>B) Le match est immédiatement interrompu pour remplacer la veste</v>
      </c>
      <c r="K63" s="5" t="str">
        <f>IFERROR(__xludf.DUMMYFUNCTION("GOOGLETRANSLATE(E63, ""en"", ""fr"")"),"La veste est indispensable à la pratique de ce sport. Si elle devient inutilisable, l'arbitre doit interrompre le combat pour la remplacer.")</f>
        <v>La veste est indispensable à la pratique de ce sport. Si elle devient inutilisable, l'arbitre doit interrompre le combat pour la remplacer.</v>
      </c>
    </row>
    <row r="64" ht="22.5" customHeight="1">
      <c r="A64" s="4">
        <v>63.0</v>
      </c>
      <c r="B64" s="5" t="s">
        <v>1540</v>
      </c>
      <c r="C64" s="5" t="s">
        <v>1541</v>
      </c>
      <c r="D64" s="5" t="s">
        <v>1542</v>
      </c>
      <c r="E64" s="5" t="s">
        <v>1543</v>
      </c>
      <c r="G64" s="5" t="str">
        <f>IFERROR(__xludf.DUMMYFUNCTION("GOOGLETRANSLATE(A64, ""en"", ""fr"")"),"63")</f>
        <v>63</v>
      </c>
      <c r="H64" s="5" t="str">
        <f>IFERROR(__xludf.DUMMYFUNCTION("GOOGLETRANSLATE(B64, ""en"", ""fr"")"),"Un lutteur reçoit un avertissement pour « refus de prise » (dornad). Qu'est-ce que cela signifie ?")</f>
        <v>Un lutteur reçoit un avertissement pour « refus de prise » (dornad). Qu'est-ce que cela signifie ?</v>
      </c>
      <c r="I64" s="5" t="str">
        <f>IFERROR(__xludf.DUMMYFUNCTION("GOOGLETRANSLATE(C64, ""en"", ""fr"")"),"A) Ils ont refusé de se serrer la main après le match. B) Ils rompent le contact à plusieurs reprises et empêchent l'adversaire de prendre une prise de départ correcte. C) Ils utilisent une prise illégale. D) Leur prise n'est pas assez ferme.")</f>
        <v>A) Ils ont refusé de se serrer la main après le match. B) Ils rompent le contact à plusieurs reprises et empêchent l'adversaire de prendre une prise de départ correcte. C) Ils utilisent une prise illégale. D) Leur prise n'est pas assez ferme.</v>
      </c>
      <c r="J64" s="5" t="str">
        <f>IFERROR(__xludf.DUMMYFUNCTION("GOOGLETRANSLATE(D64, ""en"", ""fr"")"),"B) Ils rompent le contact de manière répétée et ne permettent pas à l'adversaire de prendre une prise de départ correcte.")</f>
        <v>B) Ils rompent le contact de manière répétée et ne permettent pas à l'adversaire de prendre une prise de départ correcte.</v>
      </c>
      <c r="K64" s="5" t="str">
        <f>IFERROR(__xludf.DUMMYFUNCTION("GOOGLETRANSLATE(E64, ""en"", ""fr"")"),"Le match exige une prise constante. Un lutteur qui rompt continuellement la prise pour éviter d'être projeté est pénalisé pour passivité.")</f>
        <v>Le match exige une prise constante. Un lutteur qui rompt continuellement la prise pour éviter d'être projeté est pénalisé pour passivité.</v>
      </c>
    </row>
    <row r="65" ht="22.5" customHeight="1">
      <c r="A65" s="4">
        <v>64.0</v>
      </c>
      <c r="B65" s="5" t="s">
        <v>1544</v>
      </c>
      <c r="C65" s="5" t="s">
        <v>1545</v>
      </c>
      <c r="D65" s="5" t="s">
        <v>1546</v>
      </c>
      <c r="E65" s="5" t="s">
        <v>1547</v>
      </c>
      <c r="G65" s="5" t="str">
        <f>IFERROR(__xludf.DUMMYFUNCTION("GOOGLETRANSLATE(A65, ""en"", ""fr"")"),"64")</f>
        <v>64</v>
      </c>
      <c r="H65" s="5" t="str">
        <f>IFERROR(__xludf.DUMMYFUNCTION("GOOGLETRANSLATE(B65, ""en"", ""fr"")"),"Quel est le but principal de la ceinture portée avec le roched ?")</f>
        <v>Quel est le but principal de la ceinture portée avec le roched ?</v>
      </c>
      <c r="I65" s="5" t="str">
        <f>IFERROR(__xludf.DUMMYFUNCTION("GOOGLETRANSLATE(C65, ""en"", ""fr"")"),"A) C'est le principal point de préhension, B) Il sert à maintenir le roched en place et à l'empêcher de remonter, C) Il est purement décoratif et indique le grade, D) C'est une arme")</f>
        <v>A) C'est le principal point de préhension, B) Il sert à maintenir le roched en place et à l'empêcher de remonter, C) Il est purement décoratif et indique le grade, D) C'est une arme</v>
      </c>
      <c r="J65" s="5" t="str">
        <f>IFERROR(__xludf.DUMMYFUNCTION("GOOGLETRANSLATE(D65, ""en"", ""fr"")"),"B) Il sert à maintenir le rocher en place et à l'empêcher de remonter.")</f>
        <v>B) Il sert à maintenir le rocher en place et à l'empêcher de remonter.</v>
      </c>
      <c r="K65" s="5" t="str">
        <f>IFERROR(__xludf.DUMMYFUNCTION("GOOGLETRANSLATE(E65, ""en"", ""fr"")"),"La ceinture permet de maintenir la veste de lutte en place, offrant ainsi une surface d'adhérence constante aux lutteurs.")</f>
        <v>La ceinture permet de maintenir la veste de lutte en place, offrant ainsi une surface d'adhérence constante aux lutteurs.</v>
      </c>
    </row>
    <row r="66" ht="22.5" customHeight="1">
      <c r="A66" s="4">
        <v>65.0</v>
      </c>
      <c r="B66" s="5" t="s">
        <v>1548</v>
      </c>
      <c r="C66" s="5" t="s">
        <v>1549</v>
      </c>
      <c r="D66" s="5" t="s">
        <v>1550</v>
      </c>
      <c r="E66" s="5" t="s">
        <v>1551</v>
      </c>
      <c r="G66" s="5" t="str">
        <f>IFERROR(__xludf.DUMMYFUNCTION("GOOGLETRANSLATE(A66, ""en"", ""fr"")"),"65")</f>
        <v>65</v>
      </c>
      <c r="H66" s="5" t="str">
        <f>IFERROR(__xludf.DUMMYFUNCTION("GOOGLETRANSLATE(B66, ""en"", ""fr"")"),"En cas d'égalité, l'arbitre accorde un avantage. Sur quoi se fonde cette décision ?")</f>
        <v>En cas d'égalité, l'arbitre accorde un avantage. Sur quoi se fonde cette décision ?</v>
      </c>
      <c r="I66" s="5" t="str">
        <f>IFERROR(__xludf.DUMMYFUNCTION("GOOGLETRANSLATE(C66, ""en"", ""fr"")"),"A) Le lutteur qui a marqué le dernier point, B) Le lutteur qui a réalisé le plus d'attaques et d'actions offensives pendant la prolongation, C) Le lutteur le plus léger, D) Un vote du public")</f>
        <v>A) Le lutteur qui a marqué le dernier point, B) Le lutteur qui a réalisé le plus d'attaques et d'actions offensives pendant la prolongation, C) Le lutteur le plus léger, D) Un vote du public</v>
      </c>
      <c r="J66" s="5" t="str">
        <f>IFERROR(__xludf.DUMMYFUNCTION("GOOGLETRANSLATE(D66, ""en"", ""fr"")"),"B) Le lutteur qui a réalisé le plus d'attaques et d'actions offensives pendant la prolongation")</f>
        <v>B) Le lutteur qui a réalisé le plus d'attaques et d'actions offensives pendant la prolongation</v>
      </c>
      <c r="K66" s="5" t="str">
        <f>IFERROR(__xludf.DUMMYFUNCTION("GOOGLETRANSLATE(E66, ""en"", ""fr"")"),"Le Kein est une décision arbitrale qui récompense le lutteur qui a le plus activement tenté de remporter le match pendant la prolongation.")</f>
        <v>Le Kein est une décision arbitrale qui récompense le lutteur qui a le plus activement tenté de remporter le match pendant la prolongation.</v>
      </c>
    </row>
    <row r="67" ht="22.5" customHeight="1">
      <c r="A67" s="4">
        <v>66.0</v>
      </c>
      <c r="B67" s="5" t="s">
        <v>1552</v>
      </c>
      <c r="C67" s="5" t="s">
        <v>1553</v>
      </c>
      <c r="D67" s="5" t="s">
        <v>1554</v>
      </c>
      <c r="E67" s="5" t="s">
        <v>1555</v>
      </c>
      <c r="G67" s="5" t="str">
        <f>IFERROR(__xludf.DUMMYFUNCTION("GOOGLETRANSLATE(A67, ""en"", ""fr"")"),"66")</f>
        <v>66</v>
      </c>
      <c r="H67" s="5" t="str">
        <f>IFERROR(__xludf.DUMMYFUNCTION("GOOGLETRANSLATE(B67, ""en"", ""fr"")"),"Un lutteur est disqualifié pour avoir insulté un officiel. Peut-il participer au reste du tournoi ?")</f>
        <v>Un lutteur est disqualifié pour avoir insulté un officiel. Peut-il participer au reste du tournoi ?</v>
      </c>
      <c r="I67" s="5" t="str">
        <f>IFERROR(__xludf.DUMMYFUNCTION("GOOGLETRANSLATE(C67, ""en"", ""fr"")"),"A) Oui, ils sont seulement exclus de ce match. B) Non, un Divrud est une exclusion de tout le tournoi. C) Oui, s'ils présentent des excuses. D) C'est à l'arbitre de décider.")</f>
        <v>A) Oui, ils sont seulement exclus de ce match. B) Non, un Divrud est une exclusion de tout le tournoi. C) Oui, s'ils présentent des excuses. D) C'est à l'arbitre de décider.</v>
      </c>
      <c r="J67" s="5" t="str">
        <f>IFERROR(__xludf.DUMMYFUNCTION("GOOGLETRANSLATE(D67, ""en"", ""fr"")"),"B) Non, un Divrud est une expulsion de l'ensemble du tournoi")</f>
        <v>B) Non, un Divrud est une expulsion de l'ensemble du tournoi</v>
      </c>
      <c r="K67" s="5" t="str">
        <f>IFERROR(__xludf.DUMMYFUNCTION("GOOGLETRANSLATE(E67, ""en"", ""fr"")"),"Le Divrud est la sanction la plus sévère, réservée aux infractions graves, et elle entraîne l'exclusion définitive du lutteur de la compétition.")</f>
        <v>Le Divrud est la sanction la plus sévère, réservée aux infractions graves, et elle entraîne l'exclusion définitive du lutteur de la compétition.</v>
      </c>
    </row>
    <row r="68" ht="22.5" customHeight="1">
      <c r="A68" s="4">
        <v>67.0</v>
      </c>
      <c r="B68" s="5" t="s">
        <v>1556</v>
      </c>
      <c r="C68" s="5" t="s">
        <v>1557</v>
      </c>
      <c r="D68" s="5" t="s">
        <v>1558</v>
      </c>
      <c r="E68" s="5" t="s">
        <v>1559</v>
      </c>
      <c r="G68" s="5" t="str">
        <f>IFERROR(__xludf.DUMMYFUNCTION("GOOGLETRANSLATE(A68, ""en"", ""fr"")"),"67")</f>
        <v>67</v>
      </c>
      <c r="H68" s="5" t="str">
        <f>IFERROR(__xludf.DUMMYFUNCTION("GOOGLETRANSLATE(B68, ""en"", ""fr"")"),"Quel est le nom officiel du cercle de lutte sur le tapis ?")</f>
        <v>Quel est le nom officiel du cercle de lutte sur le tapis ?</v>
      </c>
      <c r="I68" s="5" t="str">
        <f>IFERROR(__xludf.DUMMYFUNCTION("GOOGLETRANSLATE(C68, ""en"", ""fr"")"),"A) Le Pallenn, B) L'Akhara, C) Le Kelch, D) L'Anneau")</f>
        <v>A) Le Pallenn, B) L'Akhara, C) Le Kelch, D) L'Anneau</v>
      </c>
      <c r="J68" s="5" t="str">
        <f>IFERROR(__xludf.DUMMYFUNCTION("GOOGLETRANSLATE(D68, ""en"", ""fr"")"),"C) Les Kelch")</f>
        <v>C) Les Kelch</v>
      </c>
      <c r="K68" s="5" t="str">
        <f>IFERROR(__xludf.DUMMYFUNCTION("GOOGLETRANSLATE(E68, ""en"", ""fr"")"),"Kelc'h est le mot breton pour « cercle », et c'est le terme officiel désignant la zone de compétition.")</f>
        <v>Kelc'h est le mot breton pour « cercle », et c'est le terme officiel désignant la zone de compétition.</v>
      </c>
    </row>
    <row r="69" ht="22.5" customHeight="1">
      <c r="A69" s="4">
        <v>68.0</v>
      </c>
      <c r="B69" s="5" t="s">
        <v>1560</v>
      </c>
      <c r="C69" s="5" t="s">
        <v>1561</v>
      </c>
      <c r="D69" s="5" t="s">
        <v>1562</v>
      </c>
      <c r="E69" s="5" t="s">
        <v>1563</v>
      </c>
      <c r="G69" s="5" t="str">
        <f>IFERROR(__xludf.DUMMYFUNCTION("GOOGLETRANSLATE(A69, ""en"", ""fr"")"),"68")</f>
        <v>68</v>
      </c>
      <c r="H69" s="5" t="str">
        <f>IFERROR(__xludf.DUMMYFUNCTION("GOOGLETRANSLATE(B69, ""en"", ""fr"")"),"Est-il légal pour un lutteur d'utiliser l'élan de son adversaire contre lui ?")</f>
        <v>Est-il légal pour un lutteur d'utiliser l'élan de son adversaire contre lui ?</v>
      </c>
      <c r="I69" s="5" t="str">
        <f>IFERROR(__xludf.DUMMYFUNCTION("GOOGLETRANSLATE(C69, ""en"", ""fr"")"),"A) Non, un lutteur doit utiliser sa propre force. B) Oui, c'est un principe fondamental de cet art. C) Seulement si l'adversaire est plus grand. D) C'est considéré comme une technique déloyale.")</f>
        <v>A) Non, un lutteur doit utiliser sa propre force. B) Oui, c'est un principe fondamental de cet art. C) Seulement si l'adversaire est plus grand. D) C'est considéré comme une technique déloyale.</v>
      </c>
      <c r="J69" s="5" t="str">
        <f>IFERROR(__xludf.DUMMYFUNCTION("GOOGLETRANSLATE(D69, ""en"", ""fr"")"),"B) Oui, il s'agit d'un principe fondamental de l'art")</f>
        <v>B) Oui, il s'agit d'un principe fondamental de l'art</v>
      </c>
      <c r="K69" s="5" t="str">
        <f>IFERROR(__xludf.DUMMYFUNCTION("GOOGLETRANSLATE(E69, ""en"", ""fr"")"),"Le gouren, tout comme le judo, repose en grande partie sur l'utilisation de la force et de l'élan de l'adversaire pour exécuter les projections, privilégiant la technique à la force brute.")</f>
        <v>Le gouren, tout comme le judo, repose en grande partie sur l'utilisation de la force et de l'élan de l'adversaire pour exécuter les projections, privilégiant la technique à la force brute.</v>
      </c>
    </row>
    <row r="70" ht="22.5" customHeight="1">
      <c r="A70" s="4">
        <v>69.0</v>
      </c>
      <c r="B70" s="5" t="s">
        <v>1564</v>
      </c>
      <c r="C70" s="5" t="s">
        <v>1565</v>
      </c>
      <c r="D70" s="5" t="s">
        <v>1566</v>
      </c>
      <c r="E70" s="5" t="s">
        <v>1567</v>
      </c>
      <c r="G70" s="5" t="str">
        <f>IFERROR(__xludf.DUMMYFUNCTION("GOOGLETRANSLATE(A70, ""en"", ""fr"")"),"69")</f>
        <v>69</v>
      </c>
      <c r="H70" s="5" t="str">
        <f>IFERROR(__xludf.DUMMYFUNCTION("GOOGLETRANSLATE(B70, ""en"", ""fr"")"),"Un lutteur reçoit un avertissement pour « brutalité ». Qu'est-ce que cela signifie ?")</f>
        <v>Un lutteur reçoit un avertissement pour « brutalité ». Qu'est-ce que cela signifie ?</v>
      </c>
      <c r="I70" s="5" t="str">
        <f>IFERROR(__xludf.DUMMYFUNCTION("GOOGLETRANSLATE(C70, ""en"", ""fr"")"),"A) Ils ont crié trop fort, B) Ils ont effectué une projection avec l'intention manifeste de blesser l'adversaire, C) Ils ont gagné le match trop rapidement, D) Ils ont commis trop de fautes")</f>
        <v>A) Ils ont crié trop fort, B) Ils ont effectué une projection avec l'intention manifeste de blesser l'adversaire, C) Ils ont gagné le match trop rapidement, D) Ils ont commis trop de fautes</v>
      </c>
      <c r="J70" s="5" t="str">
        <f>IFERROR(__xludf.DUMMYFUNCTION("GOOGLETRANSLATE(D70, ""en"", ""fr"")"),"B) Ils ont exécuté une projection avec l'intention manifeste de blesser l'adversaire")</f>
        <v>B) Ils ont exécuté une projection avec l'intention manifeste de blesser l'adversaire</v>
      </c>
      <c r="K70" s="5" t="str">
        <f>IFERROR(__xludf.DUMMYFUNCTION("GOOGLETRANSLATE(E70, ""en"", ""fr"")"),"Le serment du lutteur interdit toute brutalité. Tout acte jugé malveillant constitue une faute grave.")</f>
        <v>Le serment du lutteur interdit toute brutalité. Tout acte jugé malveillant constitue une faute grave.</v>
      </c>
    </row>
    <row r="71" ht="22.5" customHeight="1">
      <c r="A71" s="4">
        <v>70.0</v>
      </c>
      <c r="B71" s="5" t="s">
        <v>1568</v>
      </c>
      <c r="C71" s="5" t="s">
        <v>1569</v>
      </c>
      <c r="D71" s="5" t="s">
        <v>1570</v>
      </c>
      <c r="E71" s="5" t="s">
        <v>1571</v>
      </c>
      <c r="G71" s="5" t="str">
        <f>IFERROR(__xludf.DUMMYFUNCTION("GOOGLETRANSLATE(A71, ""en"", ""fr"")"),"70")</f>
        <v>70</v>
      </c>
      <c r="H71" s="5" t="str">
        <f>IFERROR(__xludf.DUMMYFUNCTION("GOOGLETRANSLATE(B71, ""en"", ""fr"")"),"Quelle est la principale raison pour laquelle la lutte au sol n'est pas autorisée à Gouren ?")</f>
        <v>Quelle est la principale raison pour laquelle la lutte au sol n'est pas autorisée à Gouren ?</v>
      </c>
      <c r="I71" s="5" t="str">
        <f>IFERROR(__xludf.DUMMYFUNCTION("GOOGLETRANSLATE(C71, ""en"", ""fr"")"),"A) Le tapis est trop dur. B) Cette technique est considérée comme moins technique que la lutte debout. C) La tradition de ce sport repose sur le fait de rester debout, prêt au combat. D) Cela rallongerait trop les combats.")</f>
        <v>A) Le tapis est trop dur. B) Cette technique est considérée comme moins technique que la lutte debout. C) La tradition de ce sport repose sur le fait de rester debout, prêt au combat. D) Cela rallongerait trop les combats.</v>
      </c>
      <c r="J71" s="5" t="str">
        <f>IFERROR(__xludf.DUMMYFUNCTION("GOOGLETRANSLATE(D71, ""en"", ""fr"")"),"C) La tradition de ce sport repose sur le fait de rester debout, prêt au combat.")</f>
        <v>C) La tradition de ce sport repose sur le fait de rester debout, prêt au combat.</v>
      </c>
      <c r="K71" s="5" t="str">
        <f>IFERROR(__xludf.DUMMYFUNCTION("GOOGLETRANSLATE(E71, ""en"", ""fr"")"),"Les origines militaires de cet art mettaient l'accent sur le fait de projeter un adversaire au sol tout en restant soi-même debout, car tomber au sol lors d'un combat était souvent fatal.")</f>
        <v>Les origines militaires de cet art mettaient l'accent sur le fait de projeter un adversaire au sol tout en restant soi-même debout, car tomber au sol lors d'un combat était souvent fatal.</v>
      </c>
    </row>
    <row r="72" ht="22.5" customHeight="1">
      <c r="A72" s="4">
        <v>71.0</v>
      </c>
      <c r="B72" s="5" t="s">
        <v>1572</v>
      </c>
      <c r="C72" s="5" t="s">
        <v>1573</v>
      </c>
      <c r="D72" s="5" t="s">
        <v>1574</v>
      </c>
      <c r="E72" s="5" t="s">
        <v>1575</v>
      </c>
      <c r="G72" s="5" t="str">
        <f>IFERROR(__xludf.DUMMYFUNCTION("GOOGLETRANSLATE(A72, ""en"", ""fr"")"),"71")</f>
        <v>71</v>
      </c>
      <c r="H72" s="5" t="str">
        <f>IFERROR(__xludf.DUMMYFUNCTION("GOOGLETRANSLATE(B72, ""en"", ""fr"")"),"Un lutteur est reconnu coupable d'avoir appliqué une substance collante sur ses mains pour améliorer sa prise. Quelle est la décision ?")</f>
        <v>Un lutteur est reconnu coupable d'avoir appliqué une substance collante sur ses mains pour améliorer sa prise. Quelle est la décision ?</v>
      </c>
      <c r="I72" s="5" t="str">
        <f>IFERROR(__xludf.DUMMYFUNCTION("GOOGLETRANSLATE(C72, ""en"", ""fr"")"),"A) C'est légal. B) Le lutteur est disqualifié pour tricherie. C) Le lutteur reçoit un avertissement et doit se laver les mains. D) L'adversaire marque un point.")</f>
        <v>A) C'est légal. B) Le lutteur est disqualifié pour tricherie. C) Le lutteur reçoit un avertissement et doit se laver les mains. D) L'adversaire marque un point.</v>
      </c>
      <c r="J72" s="5" t="str">
        <f>IFERROR(__xludf.DUMMYFUNCTION("GOOGLETRANSLATE(D72, ""en"", ""fr"")"),"B) Le lutteur est disqualifié pour tricherie.")</f>
        <v>B) Le lutteur est disqualifié pour tricherie.</v>
      </c>
      <c r="K72" s="5" t="str">
        <f>IFERROR(__xludf.DUMMYFUNCTION("GOOGLETRANSLATE(E72, ""en"", ""fr"")"),"L'utilisation de toute substance artificielle pour obtenir un avantage indu constitue une infraction majeure et entraîne la disqualification.")</f>
        <v>L'utilisation de toute substance artificielle pour obtenir un avantage indu constitue une infraction majeure et entraîne la disqualification.</v>
      </c>
    </row>
    <row r="73" ht="22.5" customHeight="1">
      <c r="A73" s="4">
        <v>72.0</v>
      </c>
      <c r="B73" s="5" t="s">
        <v>1524</v>
      </c>
      <c r="C73" s="5" t="s">
        <v>1576</v>
      </c>
      <c r="D73" s="5" t="s">
        <v>1526</v>
      </c>
      <c r="E73" s="5" t="s">
        <v>1577</v>
      </c>
      <c r="G73" s="5" t="str">
        <f>IFERROR(__xludf.DUMMYFUNCTION("GOOGLETRANSLATE(A73, ""en"", ""fr"")"),"72")</f>
        <v>72</v>
      </c>
      <c r="H73" s="5" t="str">
        <f>IFERROR(__xludf.DUMMYFUNCTION("GOOGLETRANSLATE(B73, ""en"", ""fr"")"),"Quel est le rôle principal des deux juges de coin ?")</f>
        <v>Quel est le rôle principal des deux juges de coin ?</v>
      </c>
      <c r="I73" s="5" t="str">
        <f>IFERROR(__xludf.DUMMYFUNCTION("GOOGLETRANSLATE(C73, ""en"", ""fr"")"),"A) Chronométrer, B) Assister l'arbitre principal dans l'observation du combat et voter sur les décisions, C) Conseiller les lutteurs depuis les coins du ring, D) Assurer les fonctions médicales")</f>
        <v>A) Chronométrer, B) Assister l'arbitre principal dans l'observation du combat et voter sur les décisions, C) Conseiller les lutteurs depuis les coins du ring, D) Assurer les fonctions médicales</v>
      </c>
      <c r="J73" s="5" t="str">
        <f>IFERROR(__xludf.DUMMYFUNCTION("GOOGLETRANSLATE(D73, ""en"", ""fr"")"),"B) Aider l'arbitre central à observer le déroulement du match et à voter sur les décisions")</f>
        <v>B) Aider l'arbitre central à observer le déroulement du match et à voter sur les décisions</v>
      </c>
      <c r="K73" s="5" t="str">
        <f>IFERROR(__xludf.DUMMYFUNCTION("GOOGLETRANSLATE(E73, ""en"", ""fr"")"),"Les juges de coin apportent des points de vue supplémentaires, notamment pour déterminer la qualité d'une chute (Lamm contre Kostin), et leurs votes sont combinés à ceux de l'arbitre pour une décision majoritaire.")</f>
        <v>Les juges de coin apportent des points de vue supplémentaires, notamment pour déterminer la qualité d'une chute (Lamm contre Kostin), et leurs votes sont combinés à ceux de l'arbitre pour une décision majoritaire.</v>
      </c>
    </row>
    <row r="74" ht="22.5" customHeight="1">
      <c r="A74" s="4">
        <v>73.0</v>
      </c>
      <c r="B74" s="5" t="s">
        <v>1578</v>
      </c>
      <c r="C74" s="5" t="s">
        <v>1579</v>
      </c>
      <c r="D74" s="5" t="s">
        <v>1580</v>
      </c>
      <c r="E74" s="5" t="s">
        <v>1581</v>
      </c>
      <c r="G74" s="5" t="str">
        <f>IFERROR(__xludf.DUMMYFUNCTION("GOOGLETRANSLATE(A74, ""en"", ""fr"")"),"73")</f>
        <v>73</v>
      </c>
      <c r="H74" s="5" t="str">
        <f>IFERROR(__xludf.DUMMYFUNCTION("GOOGLETRANSLATE(B74, ""en"", ""fr"")"),"Quelle est la règle si un lutteur est projeté au sol, que son dos heurte le sol, mais qu'il se trouvait déjà hors du cercle ?")</f>
        <v>Quelle est la règle si un lutteur est projeté au sol, que son dos heurte le sol, mais qu'il se trouvait déjà hors du cercle ?</v>
      </c>
      <c r="I74" s="5" t="str">
        <f>IFERROR(__xludf.DUMMYFUNCTION("GOOGLETRANSLATE(C74, ""en"", ""fr"")"),"A) Il s'agit d'un Lamm valide, B) Aucun point n'est attribué car l'action s'est terminée hors des limites du tapis, C) Le lutteur projeté est pénalisé, D) Le match est rejoué")</f>
        <v>A) Il s'agit d'un Lamm valide, B) Aucun point n'est attribué car l'action s'est terminée hors des limites du tapis, C) Le lutteur projeté est pénalisé, D) Le match est rejoué</v>
      </c>
      <c r="J74" s="5" t="str">
        <f>IFERROR(__xludf.DUMMYFUNCTION("GOOGLETRANSLATE(D74, ""en"", ""fr"")"),"B) Aucun point n'est attribué car l'action s'est terminée hors des limites du terrain.")</f>
        <v>B) Aucun point n'est attribué car l'action s'est terminée hors des limites du terrain.</v>
      </c>
      <c r="K74" s="5" t="str">
        <f>IFERROR(__xludf.DUMMYFUNCTION("GOOGLETRANSLATE(E74, ""en"", ""fr"")"),"Toutes les actions de score doivent être effectuées alors que les deux lutteurs se trouvent entièrement à l'intérieur de la zone de combat désignée.")</f>
        <v>Toutes les actions de score doivent être effectuées alors que les deux lutteurs se trouvent entièrement à l'intérieur de la zone de combat désignée.</v>
      </c>
    </row>
    <row r="75" ht="22.5" customHeight="1">
      <c r="A75" s="4">
        <v>74.0</v>
      </c>
      <c r="B75" s="5" t="s">
        <v>1582</v>
      </c>
      <c r="C75" s="5" t="s">
        <v>1583</v>
      </c>
      <c r="D75" s="5" t="s">
        <v>1584</v>
      </c>
      <c r="E75" s="5" t="s">
        <v>1585</v>
      </c>
      <c r="G75" s="5" t="str">
        <f>IFERROR(__xludf.DUMMYFUNCTION("GOOGLETRANSLATE(A75, ""en"", ""fr"")"),"74")</f>
        <v>74</v>
      </c>
      <c r="H75" s="5" t="str">
        <f>IFERROR(__xludf.DUMMYFUNCTION("GOOGLETRANSLATE(B75, ""en"", ""fr"")"),"Un lutteur est pénalisé pour avoir utilisé son genou afin de bloquer un balayage de jambe de son adversaire. Cette décision est-elle justifiée ?")</f>
        <v>Un lutteur est pénalisé pour avoir utilisé son genou afin de bloquer un balayage de jambe de son adversaire. Cette décision est-elle justifiée ?</v>
      </c>
      <c r="I75" s="5" t="str">
        <f>IFERROR(__xludf.DUMMYFUNCTION("GOOGLETRANSLATE(C75, ""en"", ""fr"")"),"A) Non, ce blocage est légal. B) Oui, utiliser le genou comme point d'appui pour frapper ou bloquer est illégal. C) Uniquement si cela provoque une blessure. D) Uniquement si l'arbitre le voit.")</f>
        <v>A) Non, ce blocage est légal. B) Oui, utiliser le genou comme point d'appui pour frapper ou bloquer est illégal. C) Uniquement si cela provoque une blessure. D) Uniquement si l'arbitre le voit.</v>
      </c>
      <c r="J75" s="5" t="str">
        <f>IFERROR(__xludf.DUMMYFUNCTION("GOOGLETRANSLATE(D75, ""en"", ""fr"")"),"B) Oui, utiliser le genou comme « point d'appui » pour frapper ou bloquer est illégal.")</f>
        <v>B) Oui, utiliser le genou comme « point d'appui » pour frapper ou bloquer est illégal.</v>
      </c>
      <c r="K75" s="5" t="str">
        <f>IFERROR(__xludf.DUMMYFUNCTION("GOOGLETRANSLATE(E75, ""en"", ""fr"")"),"Un lutteur doit utiliser ses pieds et le mouvement de ses jambes pour les balayages et les blocages, et non la pointe du genou.")</f>
        <v>Un lutteur doit utiliser ses pieds et le mouvement de ses jambes pour les balayages et les blocages, et non la pointe du genou.</v>
      </c>
    </row>
    <row r="76" ht="22.5" customHeight="1">
      <c r="A76" s="4">
        <v>75.0</v>
      </c>
      <c r="B76" s="5" t="s">
        <v>1586</v>
      </c>
      <c r="C76" s="5" t="s">
        <v>1587</v>
      </c>
      <c r="D76" s="5" t="s">
        <v>1588</v>
      </c>
      <c r="E76" s="5" t="s">
        <v>1589</v>
      </c>
      <c r="G76" s="5" t="str">
        <f>IFERROR(__xludf.DUMMYFUNCTION("GOOGLETRANSLATE(A76, ""en"", ""fr"")"),"75")</f>
        <v>75</v>
      </c>
      <c r="H76" s="5" t="str">
        <f>IFERROR(__xludf.DUMMYFUNCTION("GOOGLETRANSLATE(B76, ""en"", ""fr"")"),"En substance, Gouren est un test de la capacité d'un lutteur à faire quoi ?")</f>
        <v>En substance, Gouren est un test de la capacité d'un lutteur à faire quoi ?</v>
      </c>
      <c r="I76" s="5" t="str">
        <f>IFERROR(__xludf.DUMMYFUNCTION("GOOGLETRANSLATE(C76, ""en"", ""fr"")"),"A) Dépasser son adversaire par la force, B) Contrôler l'équilibre de son adversaire tout en conservant le sien, C) Endurer la douleur, D) Suivre les ordres de l'arbitre")</f>
        <v>A) Dépasser son adversaire par la force, B) Contrôler l'équilibre de son adversaire tout en conservant le sien, C) Endurer la douleur, D) Suivre les ordres de l'arbitre</v>
      </c>
      <c r="J76" s="5" t="str">
        <f>IFERROR(__xludf.DUMMYFUNCTION("GOOGLETRANSLATE(D76, ""en"", ""fr"")"),"B) Contrôler l'équilibre de leur adversaire tout en maintenant le leur")</f>
        <v>B) Contrôler l'équilibre de leur adversaire tout en maintenant le leur</v>
      </c>
      <c r="K76" s="5" t="str">
        <f>IFERROR(__xludf.DUMMYFUNCTION("GOOGLETRANSLATE(E76, ""en"", ""fr"")"),"Tout cet art repose sur l'interaction dynamique de l'équilibre, dans le but de briser la stabilité de l'adversaire tout en perfectionnant la sienne.")</f>
        <v>Tout cet art repose sur l'interaction dynamique de l'équilibre, dans le but de briser la stabilité de l'adversaire tout en perfectionnant la sienne.</v>
      </c>
    </row>
    <row r="77" ht="22.5" customHeight="1">
      <c r="A77" s="4">
        <v>76.0</v>
      </c>
      <c r="B77" s="5" t="s">
        <v>1590</v>
      </c>
      <c r="C77" s="5" t="s">
        <v>1591</v>
      </c>
      <c r="D77" s="5" t="s">
        <v>1592</v>
      </c>
      <c r="E77" s="5" t="s">
        <v>1593</v>
      </c>
      <c r="G77" s="5" t="str">
        <f>IFERROR(__xludf.DUMMYFUNCTION("GOOGLETRANSLATE(A77, ""en"", ""fr"")"),"76")</f>
        <v>76</v>
      </c>
      <c r="H77" s="5" t="str">
        <f>IFERROR(__xludf.DUMMYFUNCTION("GOOGLETRANSLATE(B77, ""en"", ""fr"")"),"Un lutteur reçoit un avertissement pour avoir saisi le poignet de son adversaire de sa main libre. Est-ce une faute ?")</f>
        <v>Un lutteur reçoit un avertissement pour avoir saisi le poignet de son adversaire de sa main libre. Est-ce une faute ?</v>
      </c>
      <c r="I77" s="5" t="str">
        <f>IFERROR(__xludf.DUMMYFUNCTION("GOOGLETRANSLATE(C77, ""en"", ""fr"")"),"A) Non, c'est une manœuvre légale pour contrôler l'adversaire. B) Oui, la main libre ne peut pas être utilisée pour saisir l'adversaire. C) Uniquement si la prise est maintenue pendant plus de 3 secondes. D) Ce n'est pas une faute, mais c'est un manque de"&amp;" fair-play.")</f>
        <v>A) Non, c'est une manœuvre légale pour contrôler l'adversaire. B) Oui, la main libre ne peut pas être utilisée pour saisir l'adversaire. C) Uniquement si la prise est maintenue pendant plus de 3 secondes. D) Ce n'est pas une faute, mais c'est un manque de fair-play.</v>
      </c>
      <c r="J77" s="5" t="str">
        <f>IFERROR(__xludf.DUMMYFUNCTION("GOOGLETRANSLATE(D77, ""en"", ""fr"")"),"B) Oui, la main libre ne peut pas être utilisée pour saisir l'adversaire.")</f>
        <v>B) Oui, la main libre ne peut pas être utilisée pour saisir l'adversaire.</v>
      </c>
      <c r="K77" s="5" t="str">
        <f>IFERROR(__xludf.DUMMYFUNCTION("GOOGLETRANSLATE(E77, ""en"", ""fr"")"),"La main libre sert à l'équilibre et au blocage, pas à saisir illégalement les membres de l'adversaire.")</f>
        <v>La main libre sert à l'équilibre et au blocage, pas à saisir illégalement les membres de l'adversaire.</v>
      </c>
    </row>
    <row r="78" ht="22.5" customHeight="1">
      <c r="A78" s="4">
        <v>77.0</v>
      </c>
      <c r="B78" s="5" t="s">
        <v>1594</v>
      </c>
      <c r="C78" s="5" t="s">
        <v>1595</v>
      </c>
      <c r="D78" s="5" t="s">
        <v>1596</v>
      </c>
      <c r="E78" s="5" t="s">
        <v>1597</v>
      </c>
      <c r="G78" s="5" t="str">
        <f>IFERROR(__xludf.DUMMYFUNCTION("GOOGLETRANSLATE(A78, ""en"", ""fr"")"),"77")</f>
        <v>77</v>
      </c>
      <c r="H78" s="5" t="str">
        <f>IFERROR(__xludf.DUMMYFUNCTION("GOOGLETRANSLATE(B78, ""en"", ""fr"")"),"Quelle est la décision à prendre si un lutteur se blesse à la suite d'une projection légale de son adversaire ?")</f>
        <v>Quelle est la décision à prendre si un lutteur se blesse à la suite d'une projection légale de son adversaire ?</v>
      </c>
      <c r="I78" s="5" t="str">
        <f>IFERROR(__xludf.DUMMYFUNCTION("GOOGLETRANSLATE(C78, ""en"", ""fr"")"),"A) L'adversaire est pénalisé. B) Le lutteur blessé remporte le match. C) Le lutteur blessé perd le match par abandon. D) Le match se termine par un match nul.")</f>
        <v>A) L'adversaire est pénalisé. B) Le lutteur blessé remporte le match. C) Le lutteur blessé perd le match par abandon. D) Le match se termine par un match nul.</v>
      </c>
      <c r="J78" s="5" t="str">
        <f>IFERROR(__xludf.DUMMYFUNCTION("GOOGLETRANSLATE(D78, ""en"", ""fr"")"),"C) Le lutteur blessé perd le match par abandon.")</f>
        <v>C) Le lutteur blessé perd le match par abandon.</v>
      </c>
      <c r="K78" s="5" t="str">
        <f>IFERROR(__xludf.DUMMYFUNCTION("GOOGLETRANSLATE(E78, ""en"", ""fr"")"),"Si un lutteur est dans l'incapacité de continuer en raison d'une blessure subie suite à une technique légale, il doit abandonner et son adversaire est déclaré vainqueur.")</f>
        <v>Si un lutteur est dans l'incapacité de continuer en raison d'une blessure subie suite à une technique légale, il doit abandonner et son adversaire est déclaré vainqueur.</v>
      </c>
    </row>
    <row r="79" ht="22.5" customHeight="1">
      <c r="A79" s="4">
        <v>78.0</v>
      </c>
      <c r="B79" s="5" t="s">
        <v>1598</v>
      </c>
      <c r="C79" s="5" t="s">
        <v>1599</v>
      </c>
      <c r="D79" s="5" t="s">
        <v>1600</v>
      </c>
      <c r="E79" s="5" t="s">
        <v>1601</v>
      </c>
      <c r="G79" s="5" t="str">
        <f>IFERROR(__xludf.DUMMYFUNCTION("GOOGLETRANSLATE(A79, ""en"", ""fr"")"),"78")</f>
        <v>78</v>
      </c>
      <c r="H79" s="5" t="str">
        <f>IFERROR(__xludf.DUMMYFUNCTION("GOOGLETRANSLATE(B79, ""en"", ""fr"")"),"Un lutteur reçoit un avertissement pour avoir « parlé à son adversaire » pendant le match. S'agit-il d'une faute valable ?")</f>
        <v>Un lutteur reçoit un avertissement pour avoir « parlé à son adversaire » pendant le match. S'agit-il d'une faute valable ?</v>
      </c>
      <c r="I79" s="5" t="str">
        <f>IFERROR(__xludf.DUMMYFUNCTION("GOOGLETRANSLATE(C79, ""en"", ""fr"")"),"A) Non, les lutteurs peuvent se parler. B) Oui, toute communication doit passer par l'arbitre. C) Il n'y a faute que s'ils utilisent des insultes. D) Cela dépend du langage utilisé.")</f>
        <v>A) Non, les lutteurs peuvent se parler. B) Oui, toute communication doit passer par l'arbitre. C) Il n'y a faute que s'ils utilisent des insultes. D) Cela dépend du langage utilisé.</v>
      </c>
      <c r="J79" s="5" t="str">
        <f>IFERROR(__xludf.DUMMYFUNCTION("GOOGLETRANSLATE(D79, ""en"", ""fr"")"),"B) Oui, toute communication doit passer par l'arbitre.")</f>
        <v>B) Oui, toute communication doit passer par l'arbitre.</v>
      </c>
      <c r="K79" s="5" t="str">
        <f>IFERROR(__xludf.DUMMYFUNCTION("GOOGLETRANSLATE(E79, ""en"", ""fr"")"),"Parler à son adversaire pendant le combat constitue une violation des règles de conduite et peut être sanctionné.")</f>
        <v>Parler à son adversaire pendant le combat constitue une violation des règles de conduite et peut être sanctionné.</v>
      </c>
    </row>
    <row r="80" ht="22.5" customHeight="1">
      <c r="A80" s="4">
        <v>79.0</v>
      </c>
      <c r="B80" s="5" t="s">
        <v>1602</v>
      </c>
      <c r="C80" s="5" t="s">
        <v>1603</v>
      </c>
      <c r="D80" s="5" t="s">
        <v>1604</v>
      </c>
      <c r="E80" s="5" t="s">
        <v>1605</v>
      </c>
      <c r="G80" s="5" t="str">
        <f>IFERROR(__xludf.DUMMYFUNCTION("GOOGLETRANSLATE(A80, ""en"", ""fr"")"),"79")</f>
        <v>79</v>
      </c>
      <c r="H80" s="5" t="str">
        <f>IFERROR(__xludf.DUMMYFUNCTION("GOOGLETRANSLATE(B80, ""en"", ""fr"")"),"Quel est l'objectif principal du tapis de lutte moderne et épais (pallenn) ?")</f>
        <v>Quel est l'objectif principal du tapis de lutte moderne et épais (pallenn) ?</v>
      </c>
      <c r="I80" s="5" t="str">
        <f>IFERROR(__xludf.DUMMYFUNCTION("GOOGLETRANSLATE(C80, ""en"", ""fr"")"),"A) Pour délimiter l'aire de jeu, B) Pour fournir une surface sûre et amortissante afin d'absorber l'impact des projections, C) Pour garder les lutteurs propres, D) Pour les logos des sponsors")</f>
        <v>A) Pour délimiter l'aire de jeu, B) Pour fournir une surface sûre et amortissante afin d'absorber l'impact des projections, C) Pour garder les lutteurs propres, D) Pour les logos des sponsors</v>
      </c>
      <c r="J80" s="5" t="str">
        <f>IFERROR(__xludf.DUMMYFUNCTION("GOOGLETRANSLATE(D80, ""en"", ""fr"")"),"B) Fournir une surface sûre et amortissante pour absorber l'impact des lancers")</f>
        <v>B) Fournir une surface sûre et amortissante pour absorber l'impact des lancers</v>
      </c>
      <c r="K80" s="5" t="str">
        <f>IFERROR(__xludf.DUMMYFUNCTION("GOOGLETRANSLATE(E80, ""en"", ""fr"")"),"Le tapis est l'équipement de sécurité le plus important dans le sport moderne.")</f>
        <v>Le tapis est l'équipement de sécurité le plus important dans le sport moderne.</v>
      </c>
    </row>
    <row r="81" ht="22.5" customHeight="1">
      <c r="A81" s="4">
        <v>80.0</v>
      </c>
      <c r="B81" s="5" t="s">
        <v>1520</v>
      </c>
      <c r="C81" s="5" t="s">
        <v>1521</v>
      </c>
      <c r="D81" s="5" t="s">
        <v>1522</v>
      </c>
      <c r="E81" s="5" t="s">
        <v>1523</v>
      </c>
      <c r="G81" s="5" t="str">
        <f>IFERROR(__xludf.DUMMYFUNCTION("GOOGLETRANSLATE(A81, ""en"", ""fr"")"),"80")</f>
        <v>80</v>
      </c>
      <c r="H81" s="5" t="str">
        <f>IFERROR(__xludf.DUMMYFUNCTION("GOOGLETRANSLATE(B81, ""en"", ""fr"")"),"Un lutteur remporte un Lamm parfait. L'entraîneur de son adversaire proteste. Sur quels fondements cette protestation pourrait-elle être valable ?")</f>
        <v>Un lutteur remporte un Lamm parfait. L'entraîneur de son adversaire proteste. Sur quels fondements cette protestation pourrait-elle être valable ?</v>
      </c>
      <c r="I81" s="5" t="str">
        <f>IFERROR(__xludf.DUMMYFUNCTION("GOOGLETRANSLATE(C81, ""en"", ""fr"")"),"A) La projection était trop puissante. B) Le lutteur vainqueur a commis une faute (par exemple, en attrapant la jambe) lors de la projection. C) L'entraîneur n'a pas apprécié le résultat. D) Le lutteur vainqueur a trop célébré sa victoire.")</f>
        <v>A) La projection était trop puissante. B) Le lutteur vainqueur a commis une faute (par exemple, en attrapant la jambe) lors de la projection. C) L'entraîneur n'a pas apprécié le résultat. D) Le lutteur vainqueur a trop célébré sa victoire.</v>
      </c>
      <c r="J81" s="5" t="str">
        <f>IFERROR(__xludf.DUMMYFUNCTION("GOOGLETRANSLATE(D81, ""en"", ""fr"")"),"B) Le lutteur vainqueur a commis une faute (par exemple, en attrapant la jambe) pendant la projection.")</f>
        <v>B) Le lutteur vainqueur a commis une faute (par exemple, en attrapant la jambe) pendant la projection.</v>
      </c>
      <c r="K81" s="5" t="str">
        <f>IFERROR(__xludf.DUMMYFUNCTION("GOOGLETRANSLATE(E81, ""en"", ""fr"")"),"Une protestation ne peut être déposée que sur la base d'une violation technique des règles, et non sur un jugement de style ou de force.")</f>
        <v>Une protestation ne peut être déposée que sur la base d'une violation technique des règles, et non sur un jugement de style ou de force.</v>
      </c>
    </row>
    <row r="82" ht="22.5" customHeight="1">
      <c r="A82" s="4">
        <v>81.0</v>
      </c>
      <c r="B82" s="5" t="s">
        <v>1606</v>
      </c>
      <c r="C82" s="5" t="s">
        <v>1607</v>
      </c>
      <c r="D82" s="5" t="s">
        <v>1608</v>
      </c>
      <c r="E82" s="5" t="s">
        <v>1609</v>
      </c>
      <c r="G82" s="5" t="str">
        <f>IFERROR(__xludf.DUMMYFUNCTION("GOOGLETRANSLATE(A82, ""en"", ""fr"")"),"81")</f>
        <v>81</v>
      </c>
      <c r="H82" s="5" t="str">
        <f>IFERROR(__xludf.DUMMYFUNCTION("GOOGLETRANSLATE(B82, ""en"", ""fr"")"),"Quelle est la principale différence entre le gouren et le glima islandais ?")</f>
        <v>Quelle est la principale différence entre le gouren et le glima islandais ?</v>
      </c>
      <c r="I82" s="5" t="str">
        <f>IFERROR(__xludf.DUMMYFUNCTION("GOOGLETRANSLATE(C82, ""en"", ""fr"")"),"A) Glima utilise un système de ceinture pour les prises, B) Gouren est plus ancien, C) Glima implique des frappes, D) Il n'y a pas de différence")</f>
        <v>A) Glima utilise un système de ceinture pour les prises, B) Gouren est plus ancien, C) Glima implique des frappes, D) Il n'y a pas de différence</v>
      </c>
      <c r="J82" s="5" t="str">
        <f>IFERROR(__xludf.DUMMYFUNCTION("GOOGLETRANSLATE(D82, ""en"", ""fr"")"),"A) Glima utilise un système de ceinture pour les poignées")</f>
        <v>A) Glima utilise un système de ceinture pour les poignées</v>
      </c>
      <c r="K82" s="5" t="str">
        <f>IFERROR(__xludf.DUMMYFUNCTION("GOOGLETRANSLATE(E82, ""en"", ""fr"")"),"Le Glima est une forme de lutte à la ceinture, fondamentalement différente du style de lutte en veste du Gouren.")</f>
        <v>Le Glima est une forme de lutte à la ceinture, fondamentalement différente du style de lutte en veste du Gouren.</v>
      </c>
    </row>
    <row r="83" ht="22.5" customHeight="1">
      <c r="A83" s="4">
        <v>82.0</v>
      </c>
      <c r="B83" s="5" t="s">
        <v>1610</v>
      </c>
      <c r="C83" s="5" t="s">
        <v>1611</v>
      </c>
      <c r="D83" s="5" t="s">
        <v>1612</v>
      </c>
      <c r="E83" s="5" t="s">
        <v>1613</v>
      </c>
      <c r="G83" s="5" t="str">
        <f>IFERROR(__xludf.DUMMYFUNCTION("GOOGLETRANSLATE(A83, ""en"", ""fr"")"),"82")</f>
        <v>82</v>
      </c>
      <c r="H83" s="5" t="str">
        <f>IFERROR(__xludf.DUMMYFUNCTION("GOOGLETRANSLATE(B83, ""en"", ""fr"")"),"Un lutteur est surpris avec du ruban adhésif sur les mains, durci illégalement. Quelles sont les conséquences ?")</f>
        <v>Un lutteur est surpris avec du ruban adhésif sur les mains, durci illégalement. Quelles sont les conséquences ?</v>
      </c>
      <c r="I83" s="5" t="str">
        <f>IFERROR(__xludf.DUMMYFUNCTION("GOOGLETRANSLATE(C83, ""en"", ""fr"")"),"A) La bande est retirée et un avertissement est donné, B) Le lutteur est immédiatement disqualifié pour tricherie, C) L'adversaire se voit attribuer 5 points, D) Le round est rejoué")</f>
        <v>A) La bande est retirée et un avertissement est donné, B) Le lutteur est immédiatement disqualifié pour tricherie, C) L'adversaire se voit attribuer 5 points, D) Le round est rejoué</v>
      </c>
      <c r="J83" s="5" t="str">
        <f>IFERROR(__xludf.DUMMYFUNCTION("GOOGLETRANSLATE(D83, ""en"", ""fr"")"),"B) Le lutteur est immédiatement disqualifié pour tricherie.")</f>
        <v>B) Le lutteur est immédiatement disqualifié pour tricherie.</v>
      </c>
      <c r="K83" s="5" t="str">
        <f>IFERROR(__xludf.DUMMYFUNCTION("GOOGLETRANSLATE(E83, ""en"", ""fr"")"),"Toute altération de matériel ou tout collage d'étiquettes visant à créer une arme ou un avantage indu constitue une infraction majeure.")</f>
        <v>Toute altération de matériel ou tout collage d'étiquettes visant à créer une arme ou un avantage indu constitue une infraction majeure.</v>
      </c>
    </row>
    <row r="84" ht="22.5" customHeight="1">
      <c r="A84" s="4">
        <v>83.0</v>
      </c>
      <c r="B84" s="5" t="s">
        <v>1614</v>
      </c>
      <c r="C84" s="5" t="s">
        <v>1615</v>
      </c>
      <c r="D84" s="5" t="s">
        <v>1616</v>
      </c>
      <c r="E84" s="5" t="s">
        <v>1617</v>
      </c>
      <c r="G84" s="5" t="str">
        <f>IFERROR(__xludf.DUMMYFUNCTION("GOOGLETRANSLATE(A84, ""en"", ""fr"")"),"83")</f>
        <v>83</v>
      </c>
      <c r="H84" s="5" t="str">
        <f>IFERROR(__xludf.DUMMYFUNCTION("GOOGLETRANSLATE(B84, ""en"", ""fr"")"),"Quelle est la commande de l'arbitre pour que les lutteurs reprennent le combat au centre après un arrêt ?")</f>
        <v>Quelle est la commande de l'arbitre pour que les lutteurs reprennent le combat au centre après un arrêt ?</v>
      </c>
      <c r="I84" s="5" t="str">
        <f>IFERROR(__xludf.DUMMYFUNCTION("GOOGLETRANSLATE(C84, ""en"", ""fr"")"),"A) ""En garde!"", B) ""Reprenez!"" (Reprendre !), C) ""Dornad !"", D) ""Allez !"" (Aller!)")</f>
        <v>A) "En garde!", B) "Reprenez!" (Reprendre !), C) "Dornad !", D) "Allez !" (Aller!)</v>
      </c>
      <c r="J84" s="5" t="str">
        <f>IFERROR(__xludf.DUMMYFUNCTION("GOOGLETRANSLATE(D84, ""en"", ""fr"")"),"C) ""Dornade !""")</f>
        <v>C) "Dornade !"</v>
      </c>
      <c r="K84" s="5" t="str">
        <f>IFERROR(__xludf.DUMMYFUNCTION("GOOGLETRANSLATE(E84, ""en"", ""fr"")"),"Les lutteurs reçoivent l'ordre de reprendre la poignée de main et la prise traditionnelles de la dornad.")</f>
        <v>Les lutteurs reçoivent l'ordre de reprendre la poignée de main et la prise traditionnelles de la dornad.</v>
      </c>
    </row>
    <row r="85" ht="22.5" customHeight="1">
      <c r="A85" s="4">
        <v>84.0</v>
      </c>
      <c r="B85" s="5" t="s">
        <v>1618</v>
      </c>
      <c r="C85" s="5" t="s">
        <v>1619</v>
      </c>
      <c r="D85" s="5" t="s">
        <v>1620</v>
      </c>
      <c r="E85" s="5" t="s">
        <v>1621</v>
      </c>
      <c r="G85" s="5" t="str">
        <f>IFERROR(__xludf.DUMMYFUNCTION("GOOGLETRANSLATE(A85, ""en"", ""fr"")"),"84")</f>
        <v>84</v>
      </c>
      <c r="H85" s="5" t="str">
        <f>IFERROR(__xludf.DUMMYFUNCTION("GOOGLETRANSLATE(B85, ""en"", ""fr"")"),"Un lutteur reçoit un avertissement pour avoir utilisé la prise de son adversaire pour l'étrangler. Est-ce une décision justifiée ?")</f>
        <v>Un lutteur reçoit un avertissement pour avoir utilisé la prise de son adversaire pour l'étrangler. Est-ce une décision justifiée ?</v>
      </c>
      <c r="I85" s="5" t="str">
        <f>IFERROR(__xludf.DUMMYFUNCTION("GOOGLETRANSLATE(C85, ""en"", ""fr"")"),"A) Non, il s'agit d'un étranglement par le revers légal. B) Oui, utiliser l'uniforme pour étrangler un adversaire est une faute illégale et dangereuse. C) Uniquement si l'adversaire perd connaissance. D) C'est légal, mais mal vu.")</f>
        <v>A) Non, il s'agit d'un étranglement par le revers légal. B) Oui, utiliser l'uniforme pour étrangler un adversaire est une faute illégale et dangereuse. C) Uniquement si l'adversaire perd connaissance. D) C'est légal, mais mal vu.</v>
      </c>
      <c r="J85" s="5" t="str">
        <f>IFERROR(__xludf.DUMMYFUNCTION("GOOGLETRANSLATE(D85, ""en"", ""fr"")"),"B) Oui, utiliser son uniforme pour étrangler un adversaire est une faute illégale et dangereuse.")</f>
        <v>B) Oui, utiliser son uniforme pour étrangler un adversaire est une faute illégale et dangereuse.</v>
      </c>
      <c r="K85" s="5" t="str">
        <f>IFERROR(__xludf.DUMMYFUNCTION("GOOGLETRANSLATE(E85, ""en"", ""fr"")"),"Cette veste est uniquement destinée à la préhension et au lancer. L'utiliser comme lien pour un étranglement est une faute grave.")</f>
        <v>Cette veste est uniquement destinée à la préhension et au lancer. L'utiliser comme lien pour un étranglement est une faute grave.</v>
      </c>
    </row>
    <row r="86" ht="22.5" customHeight="1">
      <c r="A86" s="4">
        <v>85.0</v>
      </c>
      <c r="B86" s="5" t="s">
        <v>1622</v>
      </c>
      <c r="C86" s="5" t="s">
        <v>1623</v>
      </c>
      <c r="D86" s="5" t="s">
        <v>1624</v>
      </c>
      <c r="E86" s="5" t="s">
        <v>1625</v>
      </c>
      <c r="G86" s="5" t="str">
        <f>IFERROR(__xludf.DUMMYFUNCTION("GOOGLETRANSLATE(A86, ""en"", ""fr"")"),"85")</f>
        <v>85</v>
      </c>
      <c r="H86" s="5" t="str">
        <f>IFERROR(__xludf.DUMMYFUNCTION("GOOGLETRANSLATE(B86, ""en"", ""fr"")"),"Quel est le but principal de la ceinture de lutteur ?")</f>
        <v>Quel est le but principal de la ceinture de lutteur ?</v>
      </c>
      <c r="I86" s="5" t="str">
        <f>IFERROR(__xludf.DUMMYFUNCTION("GOOGLETRANSLATE(C86, ""en"", ""fr"")"),"A) C'est le principal point de préhension, B) Il sert à maintenir la veste en place et à l'empêcher de remonter, C) Il est purement décoratif et indique le grade, D) C'est une arme à utiliser")</f>
        <v>A) C'est le principal point de préhension, B) Il sert à maintenir la veste en place et à l'empêcher de remonter, C) Il est purement décoratif et indique le grade, D) C'est une arme à utiliser</v>
      </c>
      <c r="J86" s="5" t="str">
        <f>IFERROR(__xludf.DUMMYFUNCTION("GOOGLETRANSLATE(D86, ""en"", ""fr"")"),"B) Il sert à maintenir la veste en place et à l'empêcher de remonter.")</f>
        <v>B) Il sert à maintenir la veste en place et à l'empêcher de remonter.</v>
      </c>
      <c r="K86" s="5" t="str">
        <f>IFERROR(__xludf.DUMMYFUNCTION("GOOGLETRANSLATE(E86, ""en"", ""fr"")"),"La ceinture permet de maintenir la veste de lutte en place, offrant ainsi une surface d'adhérence uniforme et équitable aux lutteurs.")</f>
        <v>La ceinture permet de maintenir la veste de lutte en place, offrant ainsi une surface d'adhérence uniforme et équitable aux lutteurs.</v>
      </c>
    </row>
    <row r="87" ht="22.5" customHeight="1">
      <c r="A87" s="4">
        <v>86.0</v>
      </c>
      <c r="B87" s="5" t="s">
        <v>1548</v>
      </c>
      <c r="C87" s="5" t="s">
        <v>1549</v>
      </c>
      <c r="D87" s="5" t="s">
        <v>1550</v>
      </c>
      <c r="E87" s="5" t="s">
        <v>1551</v>
      </c>
      <c r="G87" s="5" t="str">
        <f>IFERROR(__xludf.DUMMYFUNCTION("GOOGLETRANSLATE(A87, ""en"", ""fr"")"),"86")</f>
        <v>86</v>
      </c>
      <c r="H87" s="5" t="str">
        <f>IFERROR(__xludf.DUMMYFUNCTION("GOOGLETRANSLATE(B87, ""en"", ""fr"")"),"En cas d'égalité, l'arbitre accorde un avantage. Sur quoi se fonde cette décision ?")</f>
        <v>En cas d'égalité, l'arbitre accorde un avantage. Sur quoi se fonde cette décision ?</v>
      </c>
      <c r="I87" s="5" t="str">
        <f>IFERROR(__xludf.DUMMYFUNCTION("GOOGLETRANSLATE(C87, ""en"", ""fr"")"),"A) Le lutteur qui a marqué le dernier point, B) Le lutteur qui a réalisé le plus d'attaques et d'actions offensives pendant la prolongation, C) Le lutteur le plus léger, D) Un vote du public")</f>
        <v>A) Le lutteur qui a marqué le dernier point, B) Le lutteur qui a réalisé le plus d'attaques et d'actions offensives pendant la prolongation, C) Le lutteur le plus léger, D) Un vote du public</v>
      </c>
      <c r="J87" s="5" t="str">
        <f>IFERROR(__xludf.DUMMYFUNCTION("GOOGLETRANSLATE(D87, ""en"", ""fr"")"),"B) Le lutteur qui a réalisé le plus d'attaques et d'actions offensives pendant la prolongation")</f>
        <v>B) Le lutteur qui a réalisé le plus d'attaques et d'actions offensives pendant la prolongation</v>
      </c>
      <c r="K87" s="5" t="str">
        <f>IFERROR(__xludf.DUMMYFUNCTION("GOOGLETRANSLATE(E87, ""en"", ""fr"")"),"Le Kein est une décision arbitrale qui récompense le lutteur qui a le plus activement tenté de remporter le match pendant la prolongation.")</f>
        <v>Le Kein est une décision arbitrale qui récompense le lutteur qui a le plus activement tenté de remporter le match pendant la prolongation.</v>
      </c>
    </row>
    <row r="88" ht="22.5" customHeight="1">
      <c r="A88" s="4">
        <v>87.0</v>
      </c>
      <c r="B88" s="5" t="s">
        <v>1425</v>
      </c>
      <c r="C88" s="5" t="s">
        <v>1426</v>
      </c>
      <c r="D88" s="5" t="s">
        <v>1427</v>
      </c>
      <c r="E88" s="5" t="s">
        <v>1428</v>
      </c>
      <c r="G88" s="5" t="str">
        <f>IFERROR(__xludf.DUMMYFUNCTION("GOOGLETRANSLATE(A88, ""en"", ""fr"")"),"87")</f>
        <v>87</v>
      </c>
      <c r="H88" s="5" t="str">
        <f>IFERROR(__xludf.DUMMYFUNCTION("GOOGLETRANSLATE(B88, ""en"", ""fr"")"),"Un lutteur est disqualifié de l'ensemble du tournoi pour une faute grave. Comment s'appelle cette sanction ?")</f>
        <v>Un lutteur est disqualifié de l'ensemble du tournoi pour une faute grave. Comment s'appelle cette sanction ?</v>
      </c>
      <c r="I88" s="5" t="str">
        <f>IFERROR(__xludf.DUMMYFUNCTION("GOOGLETRANSLATE(C88, ""en"", ""fr"")"),"A) Fazi Vraz, B) Lamm, C) Divrud, D) Kostin")</f>
        <v>A) Fazi Vraz, B) Lamm, C) Divrud, D) Kostin</v>
      </c>
      <c r="J88" s="5" t="str">
        <f>IFERROR(__xludf.DUMMYFUNCTION("GOOGLETRANSLATE(D88, ""en"", ""fr"")"),"C) Divrud")</f>
        <v>C) Divrud</v>
      </c>
      <c r="K88" s="5" t="str">
        <f>IFERROR(__xludf.DUMMYFUNCTION("GOOGLETRANSLATE(E88, ""en"", ""fr"")"),"Le Divrud est la sanction la plus sévère, entraînant l'expulsion d'un lutteur de toute la compétition pour des actes tels que se battre en dehors du match ou faire preuve d'un manque de respect flagrant.")</f>
        <v>Le Divrud est la sanction la plus sévère, entraînant l'expulsion d'un lutteur de toute la compétition pour des actes tels que se battre en dehors du match ou faire preuve d'un manque de respect flagrant.</v>
      </c>
    </row>
    <row r="89" ht="22.5" customHeight="1">
      <c r="A89" s="4">
        <v>88.0</v>
      </c>
      <c r="B89" s="5" t="s">
        <v>1429</v>
      </c>
      <c r="C89" s="5" t="s">
        <v>1430</v>
      </c>
      <c r="D89" s="5" t="s">
        <v>1431</v>
      </c>
      <c r="E89" s="5" t="s">
        <v>1432</v>
      </c>
      <c r="G89" s="5" t="str">
        <f>IFERROR(__xludf.DUMMYFUNCTION("GOOGLETRANSLATE(A89, ""en"", ""fr"")"),"88")</f>
        <v>88</v>
      </c>
      <c r="H89" s="5" t="str">
        <f>IFERROR(__xludf.DUMMYFUNCTION("GOOGLETRANSLATE(B89, ""en"", ""fr"")"),"Quel est le nom de la surface de lutte ?")</f>
        <v>Quel est le nom de la surface de lutte ?</v>
      </c>
      <c r="I89" s="5" t="str">
        <f>IFERROR(__xludf.DUMMYFUNCTION("GOOGLETRANSLATE(C89, ""en"", ""fr"")"),"A) Le tatami, B) Le tapis, C) Le pallenn, D) L'anneau")</f>
        <v>A) Le tatami, B) Le tapis, C) Le pallenn, D) L'anneau</v>
      </c>
      <c r="J89" s="5" t="str">
        <f>IFERROR(__xludf.DUMMYFUNCTION("GOOGLETRANSLATE(D89, ""en"", ""fr"")"),"C) Le Pallenn")</f>
        <v>C) Le Pallenn</v>
      </c>
      <c r="K89" s="5" t="str">
        <f>IFERROR(__xludf.DUMMYFUNCTION("GOOGLETRANSLATE(E89, ""en"", ""fr"")"),"La surface de lutte moderne est un tapis appelé pallenn, qui mesure généralement 8 mètres de diamètre.")</f>
        <v>La surface de lutte moderne est un tapis appelé pallenn, qui mesure généralement 8 mètres de diamètre.</v>
      </c>
    </row>
    <row r="90" ht="22.5" customHeight="1">
      <c r="A90" s="4">
        <v>89.0</v>
      </c>
      <c r="B90" s="5" t="s">
        <v>1433</v>
      </c>
      <c r="C90" s="5" t="s">
        <v>1434</v>
      </c>
      <c r="D90" s="5" t="s">
        <v>1435</v>
      </c>
      <c r="E90" s="5" t="s">
        <v>1436</v>
      </c>
      <c r="G90" s="5" t="str">
        <f>IFERROR(__xludf.DUMMYFUNCTION("GOOGLETRANSLATE(A90, ""en"", ""fr"")"),"89")</f>
        <v>89</v>
      </c>
      <c r="H90" s="5" t="str">
        <f>IFERROR(__xludf.DUMMYFUNCTION("GOOGLETRANSLATE(B90, ""en"", ""fr"")"),"Un lutteur a-t-il le droit de saisir la ceinture qui maintient le catcheur en place ?")</f>
        <v>Un lutteur a-t-il le droit de saisir la ceinture qui maintient le catcheur en place ?</v>
      </c>
      <c r="I90" s="5" t="str">
        <f>IFERROR(__xludf.DUMMYFUNCTION("GOOGLETRANSLATE(C90, ""en"", ""fr"")"),"A) Oui, c'est la cible principale. B) Non, toutes les prises doivent se faire sur le tissu de la veste elle-même. C) Uniquement pour un lancer spécifique. D) Uniquement d'une seule main.")</f>
        <v>A) Oui, c'est la cible principale. B) Non, toutes les prises doivent se faire sur le tissu de la veste elle-même. C) Uniquement pour un lancer spécifique. D) Uniquement d'une seule main.</v>
      </c>
      <c r="J90" s="5" t="str">
        <f>IFERROR(__xludf.DUMMYFUNCTION("GOOGLETRANSLATE(D90, ""en"", ""fr"")"),"B) Non, toutes les poignées doivent être fixées directement sur le tissu de la veste.")</f>
        <v>B) Non, toutes les poignées doivent être fixées directement sur le tissu de la veste.</v>
      </c>
      <c r="K90" s="5" t="str">
        <f>IFERROR(__xludf.DUMMYFUNCTION("GOOGLETRANSLATE(E90, ""en"", ""fr"")"),"Contrairement à Malakhra ou Schwingen, la ceinture n'est pas un point d'appui autorisé. Toutes les prises doivent être effectuées sur la veste.")</f>
        <v>Contrairement à Malakhra ou Schwingen, la ceinture n'est pas un point d'appui autorisé. Toutes les prises doivent être effectuées sur la veste.</v>
      </c>
    </row>
    <row r="91" ht="22.5" customHeight="1">
      <c r="A91" s="4">
        <v>90.0</v>
      </c>
      <c r="B91" s="5" t="s">
        <v>1437</v>
      </c>
      <c r="C91" s="5" t="s">
        <v>1438</v>
      </c>
      <c r="D91" s="5" t="s">
        <v>1439</v>
      </c>
      <c r="E91" s="5" t="s">
        <v>1440</v>
      </c>
      <c r="G91" s="5" t="str">
        <f>IFERROR(__xludf.DUMMYFUNCTION("GOOGLETRANSLATE(A91, ""en"", ""fr"")"),"90")</f>
        <v>90</v>
      </c>
      <c r="H91" s="5" t="str">
        <f>IFERROR(__xludf.DUMMYFUNCTION("GOOGLETRANSLATE(B91, ""en"", ""fr"")"),"Quel est l'âge minimum pour concourir dans la catégorie senior ?")</f>
        <v>Quel est l'âge minimum pour concourir dans la catégorie senior ?</v>
      </c>
      <c r="I91" s="5" t="str">
        <f>IFERROR(__xludf.DUMMYFUNCTION("GOOGLETRANSLATE(C91, ""en"", ""fr"")"),"A) 16, B) 18, C) 20, D) 21")</f>
        <v>A) 16, B) 18, C) 20, D) 21</v>
      </c>
      <c r="J91" s="5" t="str">
        <f>IFERROR(__xludf.DUMMYFUNCTION("GOOGLETRANSLATE(D91, ""en"", ""fr"")"),"B) 18")</f>
        <v>B) 18</v>
      </c>
      <c r="K91" s="5" t="str">
        <f>IFERROR(__xludf.DUMMYFUNCTION("GOOGLETRANSLATE(E91, ""en"", ""fr"")"),"La catégorie senior est destinée aux lutteurs adultes, généralement à partir de 18 ans.")</f>
        <v>La catégorie senior est destinée aux lutteurs adultes, généralement à partir de 18 ans.</v>
      </c>
    </row>
    <row r="92" ht="22.5" customHeight="1">
      <c r="A92" s="4">
        <v>91.0</v>
      </c>
      <c r="B92" s="5" t="s">
        <v>1441</v>
      </c>
      <c r="C92" s="5" t="s">
        <v>1442</v>
      </c>
      <c r="D92" s="5" t="s">
        <v>1443</v>
      </c>
      <c r="E92" s="5" t="s">
        <v>1444</v>
      </c>
      <c r="G92" s="5" t="str">
        <f>IFERROR(__xludf.DUMMYFUNCTION("GOOGLETRANSLATE(A92, ""en"", ""fr"")"),"91")</f>
        <v>91</v>
      </c>
      <c r="H92" s="5" t="str">
        <f>IFERROR(__xludf.DUMMYFUNCTION("GOOGLETRANSLATE(B92, ""en"", ""fr"")"),"Un lutteur effectue une projection qui se termine par un kostin (chute sur une épaule). Remporte-t-il le match ?")</f>
        <v>Un lutteur effectue une projection qui se termine par un kostin (chute sur une épaule). Remporte-t-il le match ?</v>
      </c>
      <c r="I92" s="5" t="str">
        <f>IFERROR(__xludf.DUMMYFUNCTION("GOOGLETRANSLATE(C92, ""en"", ""fr"")"),"A) Oui, instantanément. B) Non, mais ils sont en position de force. C) Le match est nul. D) L'adversaire marque un point.")</f>
        <v>A) Oui, instantanément. B) Non, mais ils sont en position de force. C) Le match est nul. D) L'adversaire marque un point.</v>
      </c>
      <c r="J92" s="5" t="str">
        <f>IFERROR(__xludf.DUMMYFUNCTION("GOOGLETRANSLATE(D92, ""en"", ""fr"")"),"B) Non, mais ils sont en position de force pour gagner.")</f>
        <v>B) Non, mais ils sont en position de force pour gagner.</v>
      </c>
      <c r="K92" s="5" t="str">
        <f>IFERROR(__xludf.DUMMYFUNCTION("GOOGLETRANSLATE(E92, ""en"", ""fr"")"),"Un kostin ne met pas fin au match comme un lamm. Cependant, c'est le meilleur résultat avant un tombé parfait et il permet de remporter le match si aucun lamm n'est marqué.")</f>
        <v>Un kostin ne met pas fin au match comme un lamm. Cependant, c'est le meilleur résultat avant un tombé parfait et il permet de remporter le match si aucun lamm n'est marqué.</v>
      </c>
    </row>
    <row r="93" ht="22.5" customHeight="1">
      <c r="A93" s="4">
        <v>92.0</v>
      </c>
      <c r="B93" s="5" t="s">
        <v>1445</v>
      </c>
      <c r="C93" s="5" t="s">
        <v>1446</v>
      </c>
      <c r="D93" s="5" t="s">
        <v>1447</v>
      </c>
      <c r="E93" s="5" t="s">
        <v>1448</v>
      </c>
      <c r="G93" s="5" t="str">
        <f>IFERROR(__xludf.DUMMYFUNCTION("GOOGLETRANSLATE(A93, ""en"", ""fr"")"),"92")</f>
        <v>92</v>
      </c>
      <c r="H93" s="5" t="str">
        <f>IFERROR(__xludf.DUMMYFUNCTION("GOOGLETRANSLATE(B93, ""en"", ""fr"")"),"Quelle est la règle si un lutteur force son adversaire à sortir du cercle de lutte ?")</f>
        <v>Quelle est la règle si un lutteur force son adversaire à sortir du cercle de lutte ?</v>
      </c>
      <c r="I93" s="5" t="str">
        <f>IFERROR(__xludf.DUMMYFUNCTION("GOOGLETRANSLATE(C93, ""en"", ""fr"")"),"A) Le lutteur qui a poussé l'adversaire hors du ring marque un point. B) C'est une faute ; une pénalité est infligée. C) Le match reprend au centre. D) Le lutteur poussé hors du ring est disqualifié.")</f>
        <v>A) Le lutteur qui a poussé l'adversaire hors du ring marque un point. B) C'est une faute ; une pénalité est infligée. C) Le match reprend au centre. D) Le lutteur poussé hors du ring est disqualifié.</v>
      </c>
      <c r="J93" s="5" t="str">
        <f>IFERROR(__xludf.DUMMYFUNCTION("GOOGLETRANSLATE(D93, ""en"", ""fr"")"),"C) Le match reprend au centre")</f>
        <v>C) Le match reprend au centre</v>
      </c>
      <c r="K93" s="5" t="str">
        <f>IFERROR(__xludf.DUMMYFUNCTION("GOOGLETRANSLATE(E93, ""en"", ""fr"")"),"Il n'y a pas de pointage pour une sortie de ring. L'arbitre interrompra le combat et fera reprendre le combat au centre du tapis.")</f>
        <v>Il n'y a pas de pointage pour une sortie de ring. L'arbitre interrompra le combat et fera reprendre le combat au centre du tapis.</v>
      </c>
    </row>
    <row r="94" ht="22.5" customHeight="1">
      <c r="A94" s="4">
        <v>93.0</v>
      </c>
      <c r="B94" s="5" t="s">
        <v>1449</v>
      </c>
      <c r="C94" s="5" t="s">
        <v>1450</v>
      </c>
      <c r="D94" s="5" t="s">
        <v>1451</v>
      </c>
      <c r="E94" s="5" t="s">
        <v>1452</v>
      </c>
      <c r="G94" s="5" t="str">
        <f>IFERROR(__xludf.DUMMYFUNCTION("GOOGLETRANSLATE(A94, ""en"", ""fr"")"),"93")</f>
        <v>93</v>
      </c>
      <c r="H94" s="5" t="str">
        <f>IFERROR(__xludf.DUMMYFUNCTION("GOOGLETRANSLATE(B94, ""en"", ""fr"")"),"Quel est l'objectif principal du serment du lutteur ?")</f>
        <v>Quel est l'objectif principal du serment du lutteur ?</v>
      </c>
      <c r="I94" s="5" t="str">
        <f>IFERROR(__xludf.DUMMYFUNCTION("GOOGLETRANSLATE(C94, ""en"", ""fr"")"),"A) Pour intimider l'adversaire, B) Pour rappeler aux lutteurs le code d'honneur et de fair-play de ce sport, C) Pour divertir le public, D) Pour signaler le début du tournoi")</f>
        <v>A) Pour intimider l'adversaire, B) Pour rappeler aux lutteurs le code d'honneur et de fair-play de ce sport, C) Pour divertir le public, D) Pour signaler le début du tournoi</v>
      </c>
      <c r="J94" s="5" t="str">
        <f>IFERROR(__xludf.DUMMYFUNCTION("GOOGLETRANSLATE(D94, ""en"", ""fr"")"),"B) Rappeler aux lutteurs le code d'éthique de ce sport, fondé sur l'honneur et le fair-play.")</f>
        <v>B) Rappeler aux lutteurs le code d'éthique de ce sport, fondé sur l'honneur et le fair-play.</v>
      </c>
      <c r="K94" s="5" t="str">
        <f>IFERROR(__xludf.DUMMYFUNCTION("GOOGLETRANSLATE(E94, ""en"", ""fr"")"),"Le serment est une promesse solennelle de concourir dans le respect et de défendre les valeurs de cet art.")</f>
        <v>Le serment est une promesse solennelle de concourir dans le respect et de défendre les valeurs de cet art.</v>
      </c>
    </row>
    <row r="95" ht="22.5" customHeight="1">
      <c r="A95" s="4">
        <v>94.0</v>
      </c>
      <c r="B95" s="5" t="s">
        <v>1453</v>
      </c>
      <c r="C95" s="5" t="s">
        <v>1454</v>
      </c>
      <c r="D95" s="5" t="s">
        <v>1455</v>
      </c>
      <c r="E95" s="5" t="s">
        <v>1456</v>
      </c>
      <c r="G95" s="5" t="str">
        <f>IFERROR(__xludf.DUMMYFUNCTION("GOOGLETRANSLATE(A95, ""en"", ""fr"")"),"94")</f>
        <v>94</v>
      </c>
      <c r="H95" s="5" t="str">
        <f>IFERROR(__xludf.DUMMYFUNCTION("GOOGLETRANSLATE(B95, ""en"", ""fr"")"),"Un lutteur est pénalisé pour avoir tiré les cheveux de son adversaire (fazi). Cette décision est-elle justifiée ?")</f>
        <v>Un lutteur est pénalisé pour avoir tiré les cheveux de son adversaire (fazi). Cette décision est-elle justifiée ?</v>
      </c>
      <c r="I95" s="5" t="str">
        <f>IFERROR(__xludf.DUMMYFUNCTION("GOOGLETRANSLATE(C95, ""en"", ""fr"")"),"A) Non, il faudrait une sanction plus sévère. B) Oui, c'est une faute courante. C) Non, tirer les cheveux est autorisé. D) L'adversaire devrait être averti.")</f>
        <v>A) Non, il faudrait une sanction plus sévère. B) Oui, c'est une faute courante. C) Non, tirer les cheveux est autorisé. D) L'adversaire devrait être averti.</v>
      </c>
      <c r="J95" s="5" t="str">
        <f>IFERROR(__xludf.DUMMYFUNCTION("GOOGLETRANSLATE(D95, ""en"", ""fr"")"),"B) Oui, c'est une faute standard")</f>
        <v>B) Oui, c'est une faute standard</v>
      </c>
      <c r="K95" s="5" t="str">
        <f>IFERROR(__xludf.DUMMYFUNCTION("GOOGLETRANSLATE(E95, ""en"", ""fr"")"),"Tout acte antisportif ou dangereux, comme tirer les cheveux, frapper ou mordre, constitue une faute manifeste.")</f>
        <v>Tout acte antisportif ou dangereux, comme tirer les cheveux, frapper ou mordre, constitue une faute manifeste.</v>
      </c>
    </row>
    <row r="96" ht="22.5" customHeight="1">
      <c r="A96" s="4">
        <v>95.0</v>
      </c>
      <c r="B96" s="5" t="s">
        <v>1457</v>
      </c>
      <c r="C96" s="5" t="s">
        <v>1458</v>
      </c>
      <c r="D96" s="5" t="s">
        <v>1459</v>
      </c>
      <c r="E96" s="5" t="s">
        <v>1460</v>
      </c>
      <c r="G96" s="5" t="str">
        <f>IFERROR(__xludf.DUMMYFUNCTION("GOOGLETRANSLATE(A96, ""en"", ""fr"")"),"95")</f>
        <v>95</v>
      </c>
      <c r="H96" s="5" t="str">
        <f>IFERROR(__xludf.DUMMYFUNCTION("GOOGLETRANSLATE(B96, ""en"", ""fr"")"),"Les championnats d'Europe réunissent des lutteurs de Bretagne, de Cornouailles, d'Écosse et d'Islande. Quel est le point commun entre leurs styles de lutte ?")</f>
        <v>Les championnats d'Europe réunissent des lutteurs de Bretagne, de Cornouailles, d'Écosse et d'Islande. Quel est le point commun entre leurs styles de lutte ?</v>
      </c>
      <c r="I96" s="5" t="str">
        <f>IFERROR(__xludf.DUMMYFUNCTION("GOOGLETRANSLATE(C96, ""en"", ""fr"")"),"A) Ils utilisent tous une veste, B) Ce sont tous des styles de lutte folklorique celtique ou nordique anciens, C) Les règles sont identiques, D) Ce sont tous des sports olympiques")</f>
        <v>A) Ils utilisent tous une veste, B) Ce sont tous des styles de lutte folklorique celtique ou nordique anciens, C) Les règles sont identiques, D) Ce sont tous des sports olympiques</v>
      </c>
      <c r="J96" s="5" t="str">
        <f>IFERROR(__xludf.DUMMYFUNCTION("GOOGLETRANSLATE(D96, ""en"", ""fr"")"),"B) Ce sont tous d'anciens styles de lutte folklorique celtique ou nordique.")</f>
        <v>B) Ce sont tous d'anciens styles de lutte folklorique celtique ou nordique.</v>
      </c>
      <c r="K96" s="5" t="str">
        <f>IFERROR(__xludf.DUMMYFUNCTION("GOOGLETRANSLATE(E96, ""en"", ""fr"")"),"Ce championnat célèbre le patrimoine commun de ces formes traditionnelles de lutte européenne.")</f>
        <v>Ce championnat célèbre le patrimoine commun de ces formes traditionnelles de lutte européenne.</v>
      </c>
    </row>
    <row r="97" ht="22.5" customHeight="1">
      <c r="A97" s="4">
        <v>96.0</v>
      </c>
      <c r="B97" s="5" t="s">
        <v>1461</v>
      </c>
      <c r="C97" s="5" t="s">
        <v>1462</v>
      </c>
      <c r="D97" s="5" t="s">
        <v>1463</v>
      </c>
      <c r="E97" s="5" t="s">
        <v>1464</v>
      </c>
      <c r="G97" s="5" t="str">
        <f>IFERROR(__xludf.DUMMYFUNCTION("GOOGLETRANSLATE(A97, ""en"", ""fr"")"),"96")</f>
        <v>96</v>
      </c>
      <c r="H97" s="5" t="str">
        <f>IFERROR(__xludf.DUMMYFUNCTION("GOOGLETRANSLATE(B97, ""en"", ""fr"")"),"Que signifie la commande « Chomed o sav ! » ?")</f>
        <v>Que signifie la commande « Chomed o sav ! » ?</v>
      </c>
      <c r="I97" s="5" t="str">
        <f>IFERROR(__xludf.DUMMYFUNCTION("GOOGLETRANSLATE(C97, ""en"", ""fr"")"),"A) ""Commencez !"", B) ""Arrêtez !"", C) ""Tenez-vous debout !"" ou ""Restez debout !"", D) ""Tenez !""")</f>
        <v>A) "Commencez !", B) "Arrêtez !", C) "Tenez-vous debout !" ou "Restez debout !", D) "Tenez !"</v>
      </c>
      <c r="J97" s="5" t="str">
        <f>IFERROR(__xludf.DUMMYFUNCTION("GOOGLETRANSLATE(D97, ""en"", ""fr"")"),"C) « Restez debout ! » ou « Restez debout ! »")</f>
        <v>C) « Restez debout ! » ou « Restez debout ! »</v>
      </c>
      <c r="K97" s="5" t="str">
        <f>IFERROR(__xludf.DUMMYFUNCTION("GOOGLETRANSLATE(E97, ""en"", ""fr"")"),"Il s'agit d'un ordre donné par l'arbitre aux lutteurs, leur demandant de maintenir leur posture et de ne pas tomber à genoux.")</f>
        <v>Il s'agit d'un ordre donné par l'arbitre aux lutteurs, leur demandant de maintenir leur posture et de ne pas tomber à genoux.</v>
      </c>
    </row>
    <row r="98" ht="22.5" customHeight="1">
      <c r="A98" s="4">
        <v>97.0</v>
      </c>
      <c r="B98" s="5" t="s">
        <v>1465</v>
      </c>
      <c r="C98" s="5" t="s">
        <v>1466</v>
      </c>
      <c r="D98" s="5" t="s">
        <v>1467</v>
      </c>
      <c r="E98" s="5" t="s">
        <v>1468</v>
      </c>
      <c r="G98" s="5" t="str">
        <f>IFERROR(__xludf.DUMMYFUNCTION("GOOGLETRANSLATE(A98, ""en"", ""fr"")"),"97")</f>
        <v>97</v>
      </c>
      <c r="H98" s="5" t="str">
        <f>IFERROR(__xludf.DUMMYFUNCTION("GOOGLETRANSLATE(B98, ""en"", ""fr"")"),"Quelle est la principale caractéristique d'un kliked (jet enroulé) ?")</f>
        <v>Quelle est la principale caractéristique d'un kliked (jet enroulé) ?</v>
      </c>
      <c r="I98" s="5" t="str">
        <f>IFERROR(__xludf.DUMMYFUNCTION("GOOGLETRANSLATE(C98, ""en"", ""fr"")"),"A) C'est un balayage de jambe, B) Cela implique un puissant mouvement de rotation ou d'enroulement pour déséquilibrer l'adversaire, C) C'est un mouvement défensif, D) C'est un porté")</f>
        <v>A) C'est un balayage de jambe, B) Cela implique un puissant mouvement de rotation ou d'enroulement pour déséquilibrer l'adversaire, C) C'est un mouvement défensif, D) C'est un porté</v>
      </c>
      <c r="J98" s="5" t="str">
        <f>IFERROR(__xludf.DUMMYFUNCTION("GOOGLETRANSLATE(D98, ""en"", ""fr"")"),"B) Cela implique un puissant mouvement de rotation ou d'enroulement pour déséquilibrer l'adversaire")</f>
        <v>B) Cela implique un puissant mouvement de rotation ou d'enroulement pour déséquilibrer l'adversaire</v>
      </c>
      <c r="K98" s="5" t="str">
        <f>IFERROR(__xludf.DUMMYFUNCTION("GOOGLETRANSLATE(E98, ""en"", ""fr"")"),"Le kliked est une projection rotative dynamique qui est l'une des techniques emblématiques de Gouren.")</f>
        <v>Le kliked est une projection rotative dynamique qui est l'une des techniques emblématiques de Gouren.</v>
      </c>
    </row>
    <row r="99" ht="22.5" customHeight="1">
      <c r="A99" s="4">
        <v>98.0</v>
      </c>
      <c r="B99" s="5" t="s">
        <v>1469</v>
      </c>
      <c r="C99" s="5" t="s">
        <v>1470</v>
      </c>
      <c r="D99" s="5" t="s">
        <v>1471</v>
      </c>
      <c r="E99" s="5" t="s">
        <v>1472</v>
      </c>
      <c r="G99" s="5" t="str">
        <f>IFERROR(__xludf.DUMMYFUNCTION("GOOGLETRANSLATE(A99, ""en"", ""fr"")"),"98")</f>
        <v>98</v>
      </c>
      <c r="H99" s="5" t="str">
        <f>IFERROR(__xludf.DUMMYFUNCTION("GOOGLETRANSLATE(B99, ""en"", ""fr"")"),"Quelle est la décision à prendre si un lutteur exécute un Lamm parfait, mais que son pied se trouvait à l'extérieur du cercle ?")</f>
        <v>Quelle est la décision à prendre si un lutteur exécute un Lamm parfait, mais que son pied se trouvait à l'extérieur du cercle ?</v>
      </c>
      <c r="I99" s="5" t="str">
        <f>IFERROR(__xludf.DUMMYFUNCTION("GOOGLETRANSLATE(C99, ""en"", ""fr"")"),"A) Le Lamm est valide, B) Le lancer est invalide pour violation des limites du terrain, C) Un Kostin est accordé à la place, D) Le match est rejoué")</f>
        <v>A) Le Lamm est valide, B) Le lancer est invalide pour violation des limites du terrain, C) Un Kostin est accordé à la place, D) Le match est rejoué</v>
      </c>
      <c r="J99" s="5" t="str">
        <f>IFERROR(__xludf.DUMMYFUNCTION("GOOGLETRANSLATE(D99, ""en"", ""fr"")"),"B) Le lancer est invalide en raison d'une violation de limite.")</f>
        <v>B) Le lancer est invalide en raison d'une violation de limite.</v>
      </c>
      <c r="K99" s="5" t="str">
        <f>IFERROR(__xludf.DUMMYFUNCTION("GOOGLETRANSLATE(E99, ""en"", ""fr"")"),"Toutes les actions de score doivent être effectuées pendant que les deux lutteurs se trouvent à l'intérieur de la zone de combat désignée.")</f>
        <v>Toutes les actions de score doivent être effectuées pendant que les deux lutteurs se trouvent à l'intérieur de la zone de combat désignée.</v>
      </c>
    </row>
    <row r="100" ht="22.5" customHeight="1">
      <c r="A100" s="4">
        <v>99.0</v>
      </c>
      <c r="B100" s="5" t="s">
        <v>1473</v>
      </c>
      <c r="C100" s="5" t="s">
        <v>1474</v>
      </c>
      <c r="D100" s="5" t="s">
        <v>1475</v>
      </c>
      <c r="E100" s="5" t="s">
        <v>1476</v>
      </c>
      <c r="G100" s="5" t="str">
        <f>IFERROR(__xludf.DUMMYFUNCTION("GOOGLETRANSLATE(A100, ""en"", ""fr"")"),"99")</f>
        <v>99</v>
      </c>
      <c r="H100" s="5" t="str">
        <f>IFERROR(__xludf.DUMMYFUNCTION("GOOGLETRANSLATE(B100, ""en"", ""fr"")"),"Quel est l'objectif principal de la veste roche moderne et standardisée ?")</f>
        <v>Quel est l'objectif principal de la veste roche moderne et standardisée ?</v>
      </c>
      <c r="I100" s="5" t="str">
        <f>IFERROR(__xludf.DUMMYFUNCTION("GOOGLETRANSLATE(C100, ""en"", ""fr"")"),"A) Pour être esthétique à la télévision, B) Pour offrir une surface de préhension solide, durable et équitable pour les deux lutteurs, C) Pour être facile à déchirer, D) Pour être très ample")</f>
        <v>A) Pour être esthétique à la télévision, B) Pour offrir une surface de préhension solide, durable et équitable pour les deux lutteurs, C) Pour être facile à déchirer, D) Pour être très ample</v>
      </c>
      <c r="J100" s="5" t="str">
        <f>IFERROR(__xludf.DUMMYFUNCTION("GOOGLETRANSLATE(D100, ""en"", ""fr"")"),"B) Fournir une surface de préhension solide, durable et équitable pour les deux lutteurs")</f>
        <v>B) Fournir une surface de préhension solide, durable et équitable pour les deux lutteurs</v>
      </c>
      <c r="K100" s="5" t="str">
        <f>IFERROR(__xludf.DUMMYFUNCTION("GOOGLETRANSLATE(E100, ""en"", ""fr"")"),"La veste moderne est fabriquée en toile épaisse conçue pour résister aux forces immenses des combats au corps à corps sans se déchirer facilement.")</f>
        <v>La veste moderne est fabriquée en toile épaisse conçue pour résister aux forces immenses des combats au corps à corps sans se déchirer facilement.</v>
      </c>
    </row>
    <row r="101" ht="22.5" customHeight="1">
      <c r="A101" s="4">
        <v>100.0</v>
      </c>
      <c r="B101" s="5" t="s">
        <v>1626</v>
      </c>
      <c r="C101" s="5" t="s">
        <v>1627</v>
      </c>
      <c r="D101" s="5" t="s">
        <v>1628</v>
      </c>
      <c r="E101" s="5" t="s">
        <v>1629</v>
      </c>
      <c r="G101" s="5" t="str">
        <f>IFERROR(__xludf.DUMMYFUNCTION("GOOGLETRANSLATE(A101, ""en"", ""fr"")"),"100")</f>
        <v>100</v>
      </c>
      <c r="H101" s="5" t="str">
        <f>IFERROR(__xludf.DUMMYFUNCTION("GOOGLETRANSLATE(B101, ""en"", ""fr"")"),"Quelle est la principale caractéristique du format de tournoi « défi antique » ?")</f>
        <v>Quelle est la principale caractéristique du format de tournoi « défi antique » ?</v>
      </c>
      <c r="I101" s="5" t="str">
        <f>IFERROR(__xludf.DUMMYFUNCTION("GOOGLETRANSLATE(C101, ""en"", ""fr"")"),"A) C'est un tournoi toutes rondes, B) C'est un tournoi à élimination directe, C) C'est un système de classement où les gagnants des prix inférieurs affrontent les gagnants des prix supérieurs, D) C'est une compétition par équipes")</f>
        <v>A) C'est un tournoi toutes rondes, B) C'est un tournoi à élimination directe, C) C'est un système de classement où les gagnants des prix inférieurs affrontent les gagnants des prix supérieurs, D) C'est une compétition par équipes</v>
      </c>
      <c r="J101" s="5" t="str">
        <f>IFERROR(__xludf.DUMMYFUNCTION("GOOGLETRANSLATE(D101, ""en"", ""fr"")"),"C) Il s'agit d'un système à élimination directe où les gagnants des prix inférieurs défient les gagnants des prix supérieurs.")</f>
        <v>C) Il s'agit d'un système à élimination directe où les gagnants des prix inférieurs défient les gagnants des prix supérieurs.</v>
      </c>
      <c r="K101" s="5" t="str">
        <f>IFERROR(__xludf.DUMMYFUNCTION("GOOGLETRANSLATE(E101, ""en"", ""fr"")"),"Cela a donné lieu à une compétition spectaculaire, dans le style du « roi de la colline », le champion ultime étant celui qui pouvait vaincre tous les challengers.")</f>
        <v>Cela a donné lieu à une compétition spectaculaire, dans le style du « roi de la colline », le champion ultime étant celui qui pouvait vaincre tous les challengers.</v>
      </c>
    </row>
    <row r="102" ht="22.5" customHeight="1">
      <c r="A102" s="4">
        <v>101.0</v>
      </c>
      <c r="B102" s="5" t="s">
        <v>1548</v>
      </c>
      <c r="C102" s="5" t="s">
        <v>1549</v>
      </c>
      <c r="D102" s="5" t="s">
        <v>1550</v>
      </c>
      <c r="E102" s="5" t="s">
        <v>1551</v>
      </c>
      <c r="G102" s="5" t="str">
        <f>IFERROR(__xludf.DUMMYFUNCTION("GOOGLETRANSLATE(A102, ""en"", ""fr"")"),"101")</f>
        <v>101</v>
      </c>
      <c r="H102" s="5" t="str">
        <f>IFERROR(__xludf.DUMMYFUNCTION("GOOGLETRANSLATE(B102, ""en"", ""fr"")"),"En cas d'égalité, l'arbitre accorde un avantage. Sur quoi se fonde cette décision ?")</f>
        <v>En cas d'égalité, l'arbitre accorde un avantage. Sur quoi se fonde cette décision ?</v>
      </c>
      <c r="I102" s="5" t="str">
        <f>IFERROR(__xludf.DUMMYFUNCTION("GOOGLETRANSLATE(C102, ""en"", ""fr"")"),"A) Le lutteur qui a marqué le dernier point, B) Le lutteur qui a réalisé le plus d'attaques et d'actions offensives pendant la prolongation, C) Le lutteur le plus léger, D) Un vote du public")</f>
        <v>A) Le lutteur qui a marqué le dernier point, B) Le lutteur qui a réalisé le plus d'attaques et d'actions offensives pendant la prolongation, C) Le lutteur le plus léger, D) Un vote du public</v>
      </c>
      <c r="J102" s="5" t="str">
        <f>IFERROR(__xludf.DUMMYFUNCTION("GOOGLETRANSLATE(D102, ""en"", ""fr"")"),"B) Le lutteur qui a réalisé le plus d'attaques et d'actions offensives pendant la prolongation")</f>
        <v>B) Le lutteur qui a réalisé le plus d'attaques et d'actions offensives pendant la prolongation</v>
      </c>
      <c r="K102" s="5" t="str">
        <f>IFERROR(__xludf.DUMMYFUNCTION("GOOGLETRANSLATE(E102, ""en"", ""fr"")"),"Le Kein est une décision arbitrale qui récompense le lutteur qui a le plus activement tenté de remporter le match pendant la prolongation.")</f>
        <v>Le Kein est une décision arbitrale qui récompense le lutteur qui a le plus activement tenté de remporter le match pendant la prolongation.</v>
      </c>
    </row>
    <row r="103" ht="22.5" customHeight="1">
      <c r="A103" s="4">
        <v>102.0</v>
      </c>
      <c r="B103" s="5" t="s">
        <v>1425</v>
      </c>
      <c r="C103" s="5" t="s">
        <v>1426</v>
      </c>
      <c r="D103" s="5" t="s">
        <v>1427</v>
      </c>
      <c r="E103" s="5" t="s">
        <v>1428</v>
      </c>
      <c r="G103" s="5" t="str">
        <f>IFERROR(__xludf.DUMMYFUNCTION("GOOGLETRANSLATE(A103, ""en"", ""fr"")"),"102")</f>
        <v>102</v>
      </c>
      <c r="H103" s="5" t="str">
        <f>IFERROR(__xludf.DUMMYFUNCTION("GOOGLETRANSLATE(B103, ""en"", ""fr"")"),"Un lutteur est disqualifié de l'ensemble du tournoi pour une faute grave. Comment s'appelle cette sanction ?")</f>
        <v>Un lutteur est disqualifié de l'ensemble du tournoi pour une faute grave. Comment s'appelle cette sanction ?</v>
      </c>
      <c r="I103" s="5" t="str">
        <f>IFERROR(__xludf.DUMMYFUNCTION("GOOGLETRANSLATE(C103, ""en"", ""fr"")"),"A) Fazi Vraz, B) Lamm, C) Divrud, D) Kostin")</f>
        <v>A) Fazi Vraz, B) Lamm, C) Divrud, D) Kostin</v>
      </c>
      <c r="J103" s="5" t="str">
        <f>IFERROR(__xludf.DUMMYFUNCTION("GOOGLETRANSLATE(D103, ""en"", ""fr"")"),"C) Divrud")</f>
        <v>C) Divrud</v>
      </c>
      <c r="K103" s="5" t="str">
        <f>IFERROR(__xludf.DUMMYFUNCTION("GOOGLETRANSLATE(E103, ""en"", ""fr"")"),"Le Divrud est la sanction la plus sévère, entraînant l'expulsion d'un lutteur de toute la compétition pour des actes tels que se battre en dehors du match ou faire preuve d'un manque de respect flagrant.")</f>
        <v>Le Divrud est la sanction la plus sévère, entraînant l'expulsion d'un lutteur de toute la compétition pour des actes tels que se battre en dehors du match ou faire preuve d'un manque de respect flagrant.</v>
      </c>
    </row>
    <row r="104" ht="22.5" customHeight="1">
      <c r="A104" s="4">
        <v>103.0</v>
      </c>
      <c r="B104" s="5" t="s">
        <v>1556</v>
      </c>
      <c r="C104" s="5" t="s">
        <v>1557</v>
      </c>
      <c r="D104" s="5" t="s">
        <v>1558</v>
      </c>
      <c r="E104" s="5" t="s">
        <v>1559</v>
      </c>
      <c r="G104" s="5" t="str">
        <f>IFERROR(__xludf.DUMMYFUNCTION("GOOGLETRANSLATE(A104, ""en"", ""fr"")"),"103")</f>
        <v>103</v>
      </c>
      <c r="H104" s="5" t="str">
        <f>IFERROR(__xludf.DUMMYFUNCTION("GOOGLETRANSLATE(B104, ""en"", ""fr"")"),"Quel est le nom officiel du cercle de lutte sur le tapis ?")</f>
        <v>Quel est le nom officiel du cercle de lutte sur le tapis ?</v>
      </c>
      <c r="I104" s="5" t="str">
        <f>IFERROR(__xludf.DUMMYFUNCTION("GOOGLETRANSLATE(C104, ""en"", ""fr"")"),"A) Le Pallenn, B) L'Akhara, C) Le Kelch, D) L'Anneau")</f>
        <v>A) Le Pallenn, B) L'Akhara, C) Le Kelch, D) L'Anneau</v>
      </c>
      <c r="J104" s="5" t="str">
        <f>IFERROR(__xludf.DUMMYFUNCTION("GOOGLETRANSLATE(D104, ""en"", ""fr"")"),"C) Les Kelch")</f>
        <v>C) Les Kelch</v>
      </c>
      <c r="K104" s="5" t="str">
        <f>IFERROR(__xludf.DUMMYFUNCTION("GOOGLETRANSLATE(E104, ""en"", ""fr"")"),"Kelc'h est le mot breton pour « cercle », et c'est le terme officiel désignant la zone de compétition.")</f>
        <v>Kelc'h est le mot breton pour « cercle », et c'est le terme officiel désignant la zone de compétition.</v>
      </c>
    </row>
    <row r="105" ht="22.5" customHeight="1">
      <c r="A105" s="4">
        <v>104.0</v>
      </c>
      <c r="B105" s="5" t="s">
        <v>1560</v>
      </c>
      <c r="C105" s="5" t="s">
        <v>1561</v>
      </c>
      <c r="D105" s="5" t="s">
        <v>1562</v>
      </c>
      <c r="E105" s="5" t="s">
        <v>1563</v>
      </c>
      <c r="G105" s="5" t="str">
        <f>IFERROR(__xludf.DUMMYFUNCTION("GOOGLETRANSLATE(A105, ""en"", ""fr"")"),"104")</f>
        <v>104</v>
      </c>
      <c r="H105" s="5" t="str">
        <f>IFERROR(__xludf.DUMMYFUNCTION("GOOGLETRANSLATE(B105, ""en"", ""fr"")"),"Est-il légal pour un lutteur d'utiliser l'élan de son adversaire contre lui ?")</f>
        <v>Est-il légal pour un lutteur d'utiliser l'élan de son adversaire contre lui ?</v>
      </c>
      <c r="I105" s="5" t="str">
        <f>IFERROR(__xludf.DUMMYFUNCTION("GOOGLETRANSLATE(C105, ""en"", ""fr"")"),"A) Non, un lutteur doit utiliser sa propre force. B) Oui, c'est un principe fondamental de cet art. C) Seulement si l'adversaire est plus grand. D) C'est considéré comme une technique déloyale.")</f>
        <v>A) Non, un lutteur doit utiliser sa propre force. B) Oui, c'est un principe fondamental de cet art. C) Seulement si l'adversaire est plus grand. D) C'est considéré comme une technique déloyale.</v>
      </c>
      <c r="J105" s="5" t="str">
        <f>IFERROR(__xludf.DUMMYFUNCTION("GOOGLETRANSLATE(D105, ""en"", ""fr"")"),"B) Oui, il s'agit d'un principe fondamental de l'art")</f>
        <v>B) Oui, il s'agit d'un principe fondamental de l'art</v>
      </c>
      <c r="K105" s="5" t="str">
        <f>IFERROR(__xludf.DUMMYFUNCTION("GOOGLETRANSLATE(E105, ""en"", ""fr"")"),"Le gouren, tout comme le judo, repose en grande partie sur l'utilisation de la force et de l'élan de l'adversaire pour exécuter les projections, privilégiant la technique à la force brute.")</f>
        <v>Le gouren, tout comme le judo, repose en grande partie sur l'utilisation de la force et de l'élan de l'adversaire pour exécuter les projections, privilégiant la technique à la force brute.</v>
      </c>
    </row>
    <row r="106" ht="22.5" customHeight="1">
      <c r="A106" s="4">
        <v>105.0</v>
      </c>
      <c r="B106" s="5" t="s">
        <v>1564</v>
      </c>
      <c r="C106" s="5" t="s">
        <v>1565</v>
      </c>
      <c r="D106" s="5" t="s">
        <v>1566</v>
      </c>
      <c r="E106" s="5" t="s">
        <v>1567</v>
      </c>
      <c r="G106" s="5" t="str">
        <f>IFERROR(__xludf.DUMMYFUNCTION("GOOGLETRANSLATE(A106, ""en"", ""fr"")"),"105")</f>
        <v>105</v>
      </c>
      <c r="H106" s="5" t="str">
        <f>IFERROR(__xludf.DUMMYFUNCTION("GOOGLETRANSLATE(B106, ""en"", ""fr"")"),"Un lutteur reçoit un avertissement pour « brutalité ». Qu'est-ce que cela signifie ?")</f>
        <v>Un lutteur reçoit un avertissement pour « brutalité ». Qu'est-ce que cela signifie ?</v>
      </c>
      <c r="I106" s="5" t="str">
        <f>IFERROR(__xludf.DUMMYFUNCTION("GOOGLETRANSLATE(C106, ""en"", ""fr"")"),"A) Ils ont crié trop fort, B) Ils ont effectué une projection avec l'intention manifeste de blesser l'adversaire, C) Ils ont gagné le match trop rapidement, D) Ils ont commis trop de fautes")</f>
        <v>A) Ils ont crié trop fort, B) Ils ont effectué une projection avec l'intention manifeste de blesser l'adversaire, C) Ils ont gagné le match trop rapidement, D) Ils ont commis trop de fautes</v>
      </c>
      <c r="J106" s="5" t="str">
        <f>IFERROR(__xludf.DUMMYFUNCTION("GOOGLETRANSLATE(D106, ""en"", ""fr"")"),"B) Ils ont exécuté une projection avec l'intention manifeste de blesser l'adversaire")</f>
        <v>B) Ils ont exécuté une projection avec l'intention manifeste de blesser l'adversaire</v>
      </c>
      <c r="K106" s="5" t="str">
        <f>IFERROR(__xludf.DUMMYFUNCTION("GOOGLETRANSLATE(E106, ""en"", ""fr"")"),"Le serment du lutteur interdit toute brutalité. Tout acte jugé malveillant constitue une faute grave.")</f>
        <v>Le serment du lutteur interdit toute brutalité. Tout acte jugé malveillant constitue une faute grave.</v>
      </c>
    </row>
    <row r="107" ht="22.5" customHeight="1">
      <c r="A107" s="4">
        <v>106.0</v>
      </c>
      <c r="B107" s="5" t="s">
        <v>1568</v>
      </c>
      <c r="C107" s="5" t="s">
        <v>1569</v>
      </c>
      <c r="D107" s="5" t="s">
        <v>1570</v>
      </c>
      <c r="E107" s="5" t="s">
        <v>1571</v>
      </c>
      <c r="G107" s="5" t="str">
        <f>IFERROR(__xludf.DUMMYFUNCTION("GOOGLETRANSLATE(A107, ""en"", ""fr"")"),"106")</f>
        <v>106</v>
      </c>
      <c r="H107" s="5" t="str">
        <f>IFERROR(__xludf.DUMMYFUNCTION("GOOGLETRANSLATE(B107, ""en"", ""fr"")"),"Quelle est la principale raison pour laquelle la lutte au sol n'est pas autorisée à Gouren ?")</f>
        <v>Quelle est la principale raison pour laquelle la lutte au sol n'est pas autorisée à Gouren ?</v>
      </c>
      <c r="I107" s="5" t="str">
        <f>IFERROR(__xludf.DUMMYFUNCTION("GOOGLETRANSLATE(C107, ""en"", ""fr"")"),"A) Le tapis est trop dur. B) Cette technique est considérée comme moins technique que la lutte debout. C) La tradition de ce sport repose sur le fait de rester debout, prêt au combat. D) Cela rallongerait trop les combats.")</f>
        <v>A) Le tapis est trop dur. B) Cette technique est considérée comme moins technique que la lutte debout. C) La tradition de ce sport repose sur le fait de rester debout, prêt au combat. D) Cela rallongerait trop les combats.</v>
      </c>
      <c r="J107" s="5" t="str">
        <f>IFERROR(__xludf.DUMMYFUNCTION("GOOGLETRANSLATE(D107, ""en"", ""fr"")"),"C) La tradition de ce sport repose sur le fait de rester debout, prêt au combat.")</f>
        <v>C) La tradition de ce sport repose sur le fait de rester debout, prêt au combat.</v>
      </c>
      <c r="K107" s="5" t="str">
        <f>IFERROR(__xludf.DUMMYFUNCTION("GOOGLETRANSLATE(E107, ""en"", ""fr"")"),"Les origines militaires de cet art mettaient l'accent sur le fait de projeter un adversaire au sol tout en restant soi-même debout, car tomber au sol lors d'un combat était souvent fatal.")</f>
        <v>Les origines militaires de cet art mettaient l'accent sur le fait de projeter un adversaire au sol tout en restant soi-même debout, car tomber au sol lors d'un combat était souvent fatal.</v>
      </c>
    </row>
    <row r="108" ht="22.5" customHeight="1">
      <c r="A108" s="4">
        <v>107.0</v>
      </c>
      <c r="B108" s="5" t="s">
        <v>1572</v>
      </c>
      <c r="C108" s="5" t="s">
        <v>1573</v>
      </c>
      <c r="D108" s="5" t="s">
        <v>1574</v>
      </c>
      <c r="E108" s="5" t="s">
        <v>1575</v>
      </c>
      <c r="G108" s="5" t="str">
        <f>IFERROR(__xludf.DUMMYFUNCTION("GOOGLETRANSLATE(A108, ""en"", ""fr"")"),"107")</f>
        <v>107</v>
      </c>
      <c r="H108" s="5" t="str">
        <f>IFERROR(__xludf.DUMMYFUNCTION("GOOGLETRANSLATE(B108, ""en"", ""fr"")"),"Un lutteur est reconnu coupable d'avoir appliqué une substance collante sur ses mains pour améliorer sa prise. Quelle est la décision ?")</f>
        <v>Un lutteur est reconnu coupable d'avoir appliqué une substance collante sur ses mains pour améliorer sa prise. Quelle est la décision ?</v>
      </c>
      <c r="I108" s="5" t="str">
        <f>IFERROR(__xludf.DUMMYFUNCTION("GOOGLETRANSLATE(C108, ""en"", ""fr"")"),"A) C'est légal. B) Le lutteur est disqualifié pour tricherie. C) Le lutteur reçoit un avertissement et doit se laver les mains. D) L'adversaire marque un point.")</f>
        <v>A) C'est légal. B) Le lutteur est disqualifié pour tricherie. C) Le lutteur reçoit un avertissement et doit se laver les mains. D) L'adversaire marque un point.</v>
      </c>
      <c r="J108" s="5" t="str">
        <f>IFERROR(__xludf.DUMMYFUNCTION("GOOGLETRANSLATE(D108, ""en"", ""fr"")"),"B) Le lutteur est disqualifié pour tricherie.")</f>
        <v>B) Le lutteur est disqualifié pour tricherie.</v>
      </c>
      <c r="K108" s="5" t="str">
        <f>IFERROR(__xludf.DUMMYFUNCTION("GOOGLETRANSLATE(E108, ""en"", ""fr"")"),"L'utilisation de toute substance artificielle pour obtenir un avantage indu constitue une infraction majeure et entraîne la disqualification.")</f>
        <v>L'utilisation de toute substance artificielle pour obtenir un avantage indu constitue une infraction majeure et entraîne la disqualification.</v>
      </c>
    </row>
    <row r="109" ht="22.5" customHeight="1">
      <c r="A109" s="4">
        <v>108.0</v>
      </c>
      <c r="B109" s="5" t="s">
        <v>1524</v>
      </c>
      <c r="C109" s="5" t="s">
        <v>1576</v>
      </c>
      <c r="D109" s="5" t="s">
        <v>1526</v>
      </c>
      <c r="E109" s="5" t="s">
        <v>1577</v>
      </c>
      <c r="G109" s="5" t="str">
        <f>IFERROR(__xludf.DUMMYFUNCTION("GOOGLETRANSLATE(A109, ""en"", ""fr"")"),"108")</f>
        <v>108</v>
      </c>
      <c r="H109" s="5" t="str">
        <f>IFERROR(__xludf.DUMMYFUNCTION("GOOGLETRANSLATE(B109, ""en"", ""fr"")"),"Quel est le rôle principal des deux juges de coin ?")</f>
        <v>Quel est le rôle principal des deux juges de coin ?</v>
      </c>
      <c r="I109" s="5" t="str">
        <f>IFERROR(__xludf.DUMMYFUNCTION("GOOGLETRANSLATE(C109, ""en"", ""fr"")"),"A) Chronométrer, B) Assister l'arbitre principal dans l'observation du combat et voter sur les décisions, C) Conseiller les lutteurs depuis les coins du ring, D) Assurer les fonctions médicales")</f>
        <v>A) Chronométrer, B) Assister l'arbitre principal dans l'observation du combat et voter sur les décisions, C) Conseiller les lutteurs depuis les coins du ring, D) Assurer les fonctions médicales</v>
      </c>
      <c r="J109" s="5" t="str">
        <f>IFERROR(__xludf.DUMMYFUNCTION("GOOGLETRANSLATE(D109, ""en"", ""fr"")"),"B) Aider l'arbitre central à observer le déroulement du match et à voter sur les décisions")</f>
        <v>B) Aider l'arbitre central à observer le déroulement du match et à voter sur les décisions</v>
      </c>
      <c r="K109" s="5" t="str">
        <f>IFERROR(__xludf.DUMMYFUNCTION("GOOGLETRANSLATE(E109, ""en"", ""fr"")"),"Les juges de coin apportent des points de vue supplémentaires, notamment pour déterminer la qualité d'une chute (Lamm contre Kostin), et leurs votes sont combinés à ceux de l'arbitre pour une décision majoritaire.")</f>
        <v>Les juges de coin apportent des points de vue supplémentaires, notamment pour déterminer la qualité d'une chute (Lamm contre Kostin), et leurs votes sont combinés à ceux de l'arbitre pour une décision majoritaire.</v>
      </c>
    </row>
    <row r="110" ht="22.5" customHeight="1">
      <c r="A110" s="4">
        <v>109.0</v>
      </c>
      <c r="B110" s="5" t="s">
        <v>1578</v>
      </c>
      <c r="C110" s="5" t="s">
        <v>1579</v>
      </c>
      <c r="D110" s="5" t="s">
        <v>1580</v>
      </c>
      <c r="E110" s="5" t="s">
        <v>1581</v>
      </c>
      <c r="G110" s="5" t="str">
        <f>IFERROR(__xludf.DUMMYFUNCTION("GOOGLETRANSLATE(A110, ""en"", ""fr"")"),"109")</f>
        <v>109</v>
      </c>
      <c r="H110" s="5" t="str">
        <f>IFERROR(__xludf.DUMMYFUNCTION("GOOGLETRANSLATE(B110, ""en"", ""fr"")"),"Quelle est la règle si un lutteur est projeté au sol, que son dos heurte le sol, mais qu'il se trouvait déjà hors du cercle ?")</f>
        <v>Quelle est la règle si un lutteur est projeté au sol, que son dos heurte le sol, mais qu'il se trouvait déjà hors du cercle ?</v>
      </c>
      <c r="I110" s="5" t="str">
        <f>IFERROR(__xludf.DUMMYFUNCTION("GOOGLETRANSLATE(C110, ""en"", ""fr"")"),"A) Il s'agit d'un Lamm valide, B) Aucun point n'est attribué car l'action s'est terminée hors des limites du tapis, C) Le lutteur projeté est pénalisé, D) Le match est rejoué")</f>
        <v>A) Il s'agit d'un Lamm valide, B) Aucun point n'est attribué car l'action s'est terminée hors des limites du tapis, C) Le lutteur projeté est pénalisé, D) Le match est rejoué</v>
      </c>
      <c r="J110" s="5" t="str">
        <f>IFERROR(__xludf.DUMMYFUNCTION("GOOGLETRANSLATE(D110, ""en"", ""fr"")"),"B) Aucun point n'est attribué car l'action s'est terminée hors des limites du terrain.")</f>
        <v>B) Aucun point n'est attribué car l'action s'est terminée hors des limites du terrain.</v>
      </c>
      <c r="K110" s="5" t="str">
        <f>IFERROR(__xludf.DUMMYFUNCTION("GOOGLETRANSLATE(E110, ""en"", ""fr"")"),"Toutes les actions de score doivent être effectuées alors que les deux lutteurs se trouvent entièrement à l'intérieur de la zone de combat désignée.")</f>
        <v>Toutes les actions de score doivent être effectuées alors que les deux lutteurs se trouvent entièrement à l'intérieur de la zone de combat désignée.</v>
      </c>
    </row>
    <row r="111" ht="22.5" customHeight="1">
      <c r="A111" s="4">
        <v>110.0</v>
      </c>
      <c r="B111" s="5" t="s">
        <v>1582</v>
      </c>
      <c r="C111" s="5" t="s">
        <v>1583</v>
      </c>
      <c r="D111" s="5" t="s">
        <v>1584</v>
      </c>
      <c r="E111" s="5" t="s">
        <v>1585</v>
      </c>
      <c r="G111" s="5" t="str">
        <f>IFERROR(__xludf.DUMMYFUNCTION("GOOGLETRANSLATE(A111, ""en"", ""fr"")"),"110")</f>
        <v>110</v>
      </c>
      <c r="H111" s="5" t="str">
        <f>IFERROR(__xludf.DUMMYFUNCTION("GOOGLETRANSLATE(B111, ""en"", ""fr"")"),"Un lutteur est pénalisé pour avoir utilisé son genou afin de bloquer un balayage de jambe de son adversaire. Cette décision est-elle justifiée ?")</f>
        <v>Un lutteur est pénalisé pour avoir utilisé son genou afin de bloquer un balayage de jambe de son adversaire. Cette décision est-elle justifiée ?</v>
      </c>
      <c r="I111" s="5" t="str">
        <f>IFERROR(__xludf.DUMMYFUNCTION("GOOGLETRANSLATE(C111, ""en"", ""fr"")"),"A) Non, ce blocage est légal. B) Oui, utiliser le genou comme point d'appui pour frapper ou bloquer est illégal. C) Uniquement si cela provoque une blessure. D) Uniquement si l'arbitre le voit.")</f>
        <v>A) Non, ce blocage est légal. B) Oui, utiliser le genou comme point d'appui pour frapper ou bloquer est illégal. C) Uniquement si cela provoque une blessure. D) Uniquement si l'arbitre le voit.</v>
      </c>
      <c r="J111" s="5" t="str">
        <f>IFERROR(__xludf.DUMMYFUNCTION("GOOGLETRANSLATE(D111, ""en"", ""fr"")"),"B) Oui, utiliser le genou comme « point d'appui » pour frapper ou bloquer est illégal.")</f>
        <v>B) Oui, utiliser le genou comme « point d'appui » pour frapper ou bloquer est illégal.</v>
      </c>
      <c r="K111" s="5" t="str">
        <f>IFERROR(__xludf.DUMMYFUNCTION("GOOGLETRANSLATE(E111, ""en"", ""fr"")"),"Un lutteur doit utiliser ses pieds et le mouvement de ses jambes pour les balayages et les blocages, et non la pointe du genou.")</f>
        <v>Un lutteur doit utiliser ses pieds et le mouvement de ses jambes pour les balayages et les blocages, et non la pointe du genou.</v>
      </c>
    </row>
    <row r="112" ht="22.5" customHeight="1">
      <c r="A112" s="4">
        <v>111.0</v>
      </c>
      <c r="B112" s="5" t="s">
        <v>1586</v>
      </c>
      <c r="C112" s="5" t="s">
        <v>1587</v>
      </c>
      <c r="D112" s="5" t="s">
        <v>1588</v>
      </c>
      <c r="E112" s="5" t="s">
        <v>1589</v>
      </c>
      <c r="G112" s="5" t="str">
        <f>IFERROR(__xludf.DUMMYFUNCTION("GOOGLETRANSLATE(A112, ""en"", ""fr"")"),"111")</f>
        <v>111</v>
      </c>
      <c r="H112" s="5" t="str">
        <f>IFERROR(__xludf.DUMMYFUNCTION("GOOGLETRANSLATE(B112, ""en"", ""fr"")"),"En substance, Gouren est un test de la capacité d'un lutteur à faire quoi ?")</f>
        <v>En substance, Gouren est un test de la capacité d'un lutteur à faire quoi ?</v>
      </c>
      <c r="I112" s="5" t="str">
        <f>IFERROR(__xludf.DUMMYFUNCTION("GOOGLETRANSLATE(C112, ""en"", ""fr"")"),"A) Dépasser son adversaire par la force, B) Contrôler l'équilibre de son adversaire tout en conservant le sien, C) Endurer la douleur, D) Suivre les ordres de l'arbitre")</f>
        <v>A) Dépasser son adversaire par la force, B) Contrôler l'équilibre de son adversaire tout en conservant le sien, C) Endurer la douleur, D) Suivre les ordres de l'arbitre</v>
      </c>
      <c r="J112" s="5" t="str">
        <f>IFERROR(__xludf.DUMMYFUNCTION("GOOGLETRANSLATE(D112, ""en"", ""fr"")"),"B) Contrôler l'équilibre de leur adversaire tout en maintenant le leur")</f>
        <v>B) Contrôler l'équilibre de leur adversaire tout en maintenant le leur</v>
      </c>
      <c r="K112" s="5" t="str">
        <f>IFERROR(__xludf.DUMMYFUNCTION("GOOGLETRANSLATE(E112, ""en"", ""fr"")"),"Tout cet art repose sur l'interaction dynamique de l'équilibre, dans le but de briser la stabilité de l'adversaire tout en perfectionnant la sienne.")</f>
        <v>Tout cet art repose sur l'interaction dynamique de l'équilibre, dans le but de briser la stabilité de l'adversaire tout en perfectionnant la sienne.</v>
      </c>
    </row>
    <row r="113" ht="22.5" customHeight="1">
      <c r="A113" s="4">
        <v>112.0</v>
      </c>
      <c r="B113" s="5" t="s">
        <v>1590</v>
      </c>
      <c r="C113" s="5" t="s">
        <v>1591</v>
      </c>
      <c r="D113" s="5" t="s">
        <v>1592</v>
      </c>
      <c r="E113" s="5" t="s">
        <v>1593</v>
      </c>
      <c r="G113" s="5" t="str">
        <f>IFERROR(__xludf.DUMMYFUNCTION("GOOGLETRANSLATE(A113, ""en"", ""fr"")"),"112")</f>
        <v>112</v>
      </c>
      <c r="H113" s="5" t="str">
        <f>IFERROR(__xludf.DUMMYFUNCTION("GOOGLETRANSLATE(B113, ""en"", ""fr"")"),"Un lutteur reçoit un avertissement pour avoir saisi le poignet de son adversaire de sa main libre. Est-ce une faute ?")</f>
        <v>Un lutteur reçoit un avertissement pour avoir saisi le poignet de son adversaire de sa main libre. Est-ce une faute ?</v>
      </c>
      <c r="I113" s="5" t="str">
        <f>IFERROR(__xludf.DUMMYFUNCTION("GOOGLETRANSLATE(C113, ""en"", ""fr"")"),"A) Non, c'est une manœuvre légale pour contrôler l'adversaire. B) Oui, la main libre ne peut pas être utilisée pour saisir l'adversaire. C) Uniquement si la prise est maintenue pendant plus de 3 secondes. D) Ce n'est pas une faute, mais c'est un manque de"&amp;" fair-play.")</f>
        <v>A) Non, c'est une manœuvre légale pour contrôler l'adversaire. B) Oui, la main libre ne peut pas être utilisée pour saisir l'adversaire. C) Uniquement si la prise est maintenue pendant plus de 3 secondes. D) Ce n'est pas une faute, mais c'est un manque de fair-play.</v>
      </c>
      <c r="J113" s="5" t="str">
        <f>IFERROR(__xludf.DUMMYFUNCTION("GOOGLETRANSLATE(D113, ""en"", ""fr"")"),"B) Oui, la main libre ne peut pas être utilisée pour saisir l'adversaire.")</f>
        <v>B) Oui, la main libre ne peut pas être utilisée pour saisir l'adversaire.</v>
      </c>
      <c r="K113" s="5" t="str">
        <f>IFERROR(__xludf.DUMMYFUNCTION("GOOGLETRANSLATE(E113, ""en"", ""fr"")"),"La main libre sert à l'équilibre et au blocage, pas à saisir illégalement les membres de l'adversaire.")</f>
        <v>La main libre sert à l'équilibre et au blocage, pas à saisir illégalement les membres de l'adversaire.</v>
      </c>
    </row>
    <row r="114" ht="22.5" customHeight="1">
      <c r="A114" s="4">
        <v>113.0</v>
      </c>
      <c r="B114" s="5" t="s">
        <v>1594</v>
      </c>
      <c r="C114" s="5" t="s">
        <v>1595</v>
      </c>
      <c r="D114" s="5" t="s">
        <v>1596</v>
      </c>
      <c r="E114" s="5" t="s">
        <v>1597</v>
      </c>
      <c r="G114" s="5" t="str">
        <f>IFERROR(__xludf.DUMMYFUNCTION("GOOGLETRANSLATE(A114, ""en"", ""fr"")"),"113")</f>
        <v>113</v>
      </c>
      <c r="H114" s="5" t="str">
        <f>IFERROR(__xludf.DUMMYFUNCTION("GOOGLETRANSLATE(B114, ""en"", ""fr"")"),"Quelle est la décision à prendre si un lutteur se blesse à la suite d'une projection légale de son adversaire ?")</f>
        <v>Quelle est la décision à prendre si un lutteur se blesse à la suite d'une projection légale de son adversaire ?</v>
      </c>
      <c r="I114" s="5" t="str">
        <f>IFERROR(__xludf.DUMMYFUNCTION("GOOGLETRANSLATE(C114, ""en"", ""fr"")"),"A) L'adversaire est pénalisé. B) Le lutteur blessé remporte le match. C) Le lutteur blessé perd le match par abandon. D) Le match se termine par un match nul.")</f>
        <v>A) L'adversaire est pénalisé. B) Le lutteur blessé remporte le match. C) Le lutteur blessé perd le match par abandon. D) Le match se termine par un match nul.</v>
      </c>
      <c r="J114" s="5" t="str">
        <f>IFERROR(__xludf.DUMMYFUNCTION("GOOGLETRANSLATE(D114, ""en"", ""fr"")"),"C) Le lutteur blessé perd le match par abandon.")</f>
        <v>C) Le lutteur blessé perd le match par abandon.</v>
      </c>
      <c r="K114" s="5" t="str">
        <f>IFERROR(__xludf.DUMMYFUNCTION("GOOGLETRANSLATE(E114, ""en"", ""fr"")"),"Si un lutteur est dans l'incapacité de continuer en raison d'une blessure subie suite à une technique légale, il doit abandonner et son adversaire est déclaré vainqueur.")</f>
        <v>Si un lutteur est dans l'incapacité de continuer en raison d'une blessure subie suite à une technique légale, il doit abandonner et son adversaire est déclaré vainqueur.</v>
      </c>
    </row>
    <row r="115" ht="22.5" customHeight="1">
      <c r="A115" s="4">
        <v>114.0</v>
      </c>
      <c r="B115" s="5" t="s">
        <v>1598</v>
      </c>
      <c r="C115" s="5" t="s">
        <v>1599</v>
      </c>
      <c r="D115" s="5" t="s">
        <v>1600</v>
      </c>
      <c r="E115" s="5" t="s">
        <v>1601</v>
      </c>
      <c r="G115" s="5" t="str">
        <f>IFERROR(__xludf.DUMMYFUNCTION("GOOGLETRANSLATE(A115, ""en"", ""fr"")"),"114")</f>
        <v>114</v>
      </c>
      <c r="H115" s="5" t="str">
        <f>IFERROR(__xludf.DUMMYFUNCTION("GOOGLETRANSLATE(B115, ""en"", ""fr"")"),"Un lutteur reçoit un avertissement pour avoir « parlé à son adversaire » pendant le match. S'agit-il d'une faute valable ?")</f>
        <v>Un lutteur reçoit un avertissement pour avoir « parlé à son adversaire » pendant le match. S'agit-il d'une faute valable ?</v>
      </c>
      <c r="I115" s="5" t="str">
        <f>IFERROR(__xludf.DUMMYFUNCTION("GOOGLETRANSLATE(C115, ""en"", ""fr"")"),"A) Non, les lutteurs peuvent se parler. B) Oui, toute communication doit passer par l'arbitre. C) Il n'y a faute que s'ils utilisent des insultes. D) Cela dépend du langage utilisé.")</f>
        <v>A) Non, les lutteurs peuvent se parler. B) Oui, toute communication doit passer par l'arbitre. C) Il n'y a faute que s'ils utilisent des insultes. D) Cela dépend du langage utilisé.</v>
      </c>
      <c r="J115" s="5" t="str">
        <f>IFERROR(__xludf.DUMMYFUNCTION("GOOGLETRANSLATE(D115, ""en"", ""fr"")"),"B) Oui, toute communication doit passer par l'arbitre.")</f>
        <v>B) Oui, toute communication doit passer par l'arbitre.</v>
      </c>
      <c r="K115" s="5" t="str">
        <f>IFERROR(__xludf.DUMMYFUNCTION("GOOGLETRANSLATE(E115, ""en"", ""fr"")"),"Parler à son adversaire pendant le combat constitue une violation des règles de conduite et peut être sanctionné.")</f>
        <v>Parler à son adversaire pendant le combat constitue une violation des règles de conduite et peut être sanctionné.</v>
      </c>
    </row>
    <row r="116" ht="22.5" customHeight="1">
      <c r="A116" s="4">
        <v>115.0</v>
      </c>
      <c r="B116" s="5" t="s">
        <v>1602</v>
      </c>
      <c r="C116" s="5" t="s">
        <v>1603</v>
      </c>
      <c r="D116" s="5" t="s">
        <v>1604</v>
      </c>
      <c r="E116" s="5" t="s">
        <v>1605</v>
      </c>
      <c r="G116" s="5" t="str">
        <f>IFERROR(__xludf.DUMMYFUNCTION("GOOGLETRANSLATE(A116, ""en"", ""fr"")"),"115")</f>
        <v>115</v>
      </c>
      <c r="H116" s="5" t="str">
        <f>IFERROR(__xludf.DUMMYFUNCTION("GOOGLETRANSLATE(B116, ""en"", ""fr"")"),"Quel est l'objectif principal du tapis de lutte moderne et épais (pallenn) ?")</f>
        <v>Quel est l'objectif principal du tapis de lutte moderne et épais (pallenn) ?</v>
      </c>
      <c r="I116" s="5" t="str">
        <f>IFERROR(__xludf.DUMMYFUNCTION("GOOGLETRANSLATE(C116, ""en"", ""fr"")"),"A) Pour délimiter l'aire de jeu, B) Pour fournir une surface sûre et amortissante afin d'absorber l'impact des projections, C) Pour garder les lutteurs propres, D) Pour les logos des sponsors")</f>
        <v>A) Pour délimiter l'aire de jeu, B) Pour fournir une surface sûre et amortissante afin d'absorber l'impact des projections, C) Pour garder les lutteurs propres, D) Pour les logos des sponsors</v>
      </c>
      <c r="J116" s="5" t="str">
        <f>IFERROR(__xludf.DUMMYFUNCTION("GOOGLETRANSLATE(D116, ""en"", ""fr"")"),"B) Fournir une surface sûre et amortissante pour absorber l'impact des lancers")</f>
        <v>B) Fournir une surface sûre et amortissante pour absorber l'impact des lancers</v>
      </c>
      <c r="K116" s="5" t="str">
        <f>IFERROR(__xludf.DUMMYFUNCTION("GOOGLETRANSLATE(E116, ""en"", ""fr"")"),"Le tapis est l'équipement de sécurité le plus important dans le sport moderne.")</f>
        <v>Le tapis est l'équipement de sécurité le plus important dans le sport moderne.</v>
      </c>
    </row>
    <row r="117" ht="22.5" customHeight="1">
      <c r="A117" s="4">
        <v>116.0</v>
      </c>
      <c r="B117" s="5" t="s">
        <v>1520</v>
      </c>
      <c r="C117" s="5" t="s">
        <v>1521</v>
      </c>
      <c r="D117" s="5" t="s">
        <v>1522</v>
      </c>
      <c r="E117" s="5" t="s">
        <v>1523</v>
      </c>
      <c r="G117" s="5" t="str">
        <f>IFERROR(__xludf.DUMMYFUNCTION("GOOGLETRANSLATE(A117, ""en"", ""fr"")"),"116")</f>
        <v>116</v>
      </c>
      <c r="H117" s="5" t="str">
        <f>IFERROR(__xludf.DUMMYFUNCTION("GOOGLETRANSLATE(B117, ""en"", ""fr"")"),"Un lutteur remporte un Lamm parfait. L'entraîneur de son adversaire proteste. Sur quels fondements cette protestation pourrait-elle être valable ?")</f>
        <v>Un lutteur remporte un Lamm parfait. L'entraîneur de son adversaire proteste. Sur quels fondements cette protestation pourrait-elle être valable ?</v>
      </c>
      <c r="I117" s="5" t="str">
        <f>IFERROR(__xludf.DUMMYFUNCTION("GOOGLETRANSLATE(C117, ""en"", ""fr"")"),"A) La projection était trop puissante. B) Le lutteur vainqueur a commis une faute (par exemple, en attrapant la jambe) lors de la projection. C) L'entraîneur n'a pas apprécié le résultat. D) Le lutteur vainqueur a trop célébré sa victoire.")</f>
        <v>A) La projection était trop puissante. B) Le lutteur vainqueur a commis une faute (par exemple, en attrapant la jambe) lors de la projection. C) L'entraîneur n'a pas apprécié le résultat. D) Le lutteur vainqueur a trop célébré sa victoire.</v>
      </c>
      <c r="J117" s="5" t="str">
        <f>IFERROR(__xludf.DUMMYFUNCTION("GOOGLETRANSLATE(D117, ""en"", ""fr"")"),"B) Le lutteur vainqueur a commis une faute (par exemple, en attrapant la jambe) pendant la projection.")</f>
        <v>B) Le lutteur vainqueur a commis une faute (par exemple, en attrapant la jambe) pendant la projection.</v>
      </c>
      <c r="K117" s="5" t="str">
        <f>IFERROR(__xludf.DUMMYFUNCTION("GOOGLETRANSLATE(E117, ""en"", ""fr"")"),"Une protestation ne peut être déposée que sur la base d'une violation technique des règles, et non sur un jugement de style ou de force.")</f>
        <v>Une protestation ne peut être déposée que sur la base d'une violation technique des règles, et non sur un jugement de style ou de force.</v>
      </c>
    </row>
    <row r="118" ht="22.5" customHeight="1">
      <c r="A118" s="4">
        <v>117.0</v>
      </c>
      <c r="B118" s="5" t="s">
        <v>1606</v>
      </c>
      <c r="C118" s="5" t="s">
        <v>1607</v>
      </c>
      <c r="D118" s="5" t="s">
        <v>1608</v>
      </c>
      <c r="E118" s="5" t="s">
        <v>1609</v>
      </c>
      <c r="G118" s="5" t="str">
        <f>IFERROR(__xludf.DUMMYFUNCTION("GOOGLETRANSLATE(A118, ""en"", ""fr"")"),"117")</f>
        <v>117</v>
      </c>
      <c r="H118" s="5" t="str">
        <f>IFERROR(__xludf.DUMMYFUNCTION("GOOGLETRANSLATE(B118, ""en"", ""fr"")"),"Quelle est la principale différence entre le gouren et le glima islandais ?")</f>
        <v>Quelle est la principale différence entre le gouren et le glima islandais ?</v>
      </c>
      <c r="I118" s="5" t="str">
        <f>IFERROR(__xludf.DUMMYFUNCTION("GOOGLETRANSLATE(C118, ""en"", ""fr"")"),"A) Glima utilise un système de ceinture pour les prises, B) Gouren est plus ancien, C) Glima implique des frappes, D) Il n'y a pas de différence")</f>
        <v>A) Glima utilise un système de ceinture pour les prises, B) Gouren est plus ancien, C) Glima implique des frappes, D) Il n'y a pas de différence</v>
      </c>
      <c r="J118" s="5" t="str">
        <f>IFERROR(__xludf.DUMMYFUNCTION("GOOGLETRANSLATE(D118, ""en"", ""fr"")"),"A) Glima utilise un système de ceinture pour les poignées")</f>
        <v>A) Glima utilise un système de ceinture pour les poignées</v>
      </c>
      <c r="K118" s="5" t="str">
        <f>IFERROR(__xludf.DUMMYFUNCTION("GOOGLETRANSLATE(E118, ""en"", ""fr"")"),"Le Glima est une forme de lutte à la ceinture, fondamentalement différente du style de lutte en veste du Gouren.")</f>
        <v>Le Glima est une forme de lutte à la ceinture, fondamentalement différente du style de lutte en veste du Gouren.</v>
      </c>
    </row>
    <row r="119" ht="22.5" customHeight="1">
      <c r="A119" s="4">
        <v>118.0</v>
      </c>
      <c r="B119" s="5" t="s">
        <v>1610</v>
      </c>
      <c r="C119" s="5" t="s">
        <v>1611</v>
      </c>
      <c r="D119" s="5" t="s">
        <v>1612</v>
      </c>
      <c r="E119" s="5" t="s">
        <v>1613</v>
      </c>
      <c r="G119" s="5" t="str">
        <f>IFERROR(__xludf.DUMMYFUNCTION("GOOGLETRANSLATE(A119, ""en"", ""fr"")"),"118")</f>
        <v>118</v>
      </c>
      <c r="H119" s="5" t="str">
        <f>IFERROR(__xludf.DUMMYFUNCTION("GOOGLETRANSLATE(B119, ""en"", ""fr"")"),"Un lutteur est surpris avec du ruban adhésif sur les mains, durci illégalement. Quelles sont les conséquences ?")</f>
        <v>Un lutteur est surpris avec du ruban adhésif sur les mains, durci illégalement. Quelles sont les conséquences ?</v>
      </c>
      <c r="I119" s="5" t="str">
        <f>IFERROR(__xludf.DUMMYFUNCTION("GOOGLETRANSLATE(C119, ""en"", ""fr"")"),"A) La bande est retirée et un avertissement est donné, B) Le lutteur est immédiatement disqualifié pour tricherie, C) L'adversaire se voit attribuer 5 points, D) Le round est rejoué")</f>
        <v>A) La bande est retirée et un avertissement est donné, B) Le lutteur est immédiatement disqualifié pour tricherie, C) L'adversaire se voit attribuer 5 points, D) Le round est rejoué</v>
      </c>
      <c r="J119" s="5" t="str">
        <f>IFERROR(__xludf.DUMMYFUNCTION("GOOGLETRANSLATE(D119, ""en"", ""fr"")"),"B) Le lutteur est immédiatement disqualifié pour tricherie.")</f>
        <v>B) Le lutteur est immédiatement disqualifié pour tricherie.</v>
      </c>
      <c r="K119" s="5" t="str">
        <f>IFERROR(__xludf.DUMMYFUNCTION("GOOGLETRANSLATE(E119, ""en"", ""fr"")"),"Toute altération de matériel ou tout collage d'étiquettes visant à créer une arme ou un avantage indu constitue une infraction majeure.")</f>
        <v>Toute altération de matériel ou tout collage d'étiquettes visant à créer une arme ou un avantage indu constitue une infraction majeure.</v>
      </c>
    </row>
    <row r="120" ht="22.5" customHeight="1">
      <c r="A120" s="4">
        <v>119.0</v>
      </c>
      <c r="B120" s="5" t="s">
        <v>1614</v>
      </c>
      <c r="C120" s="5" t="s">
        <v>1615</v>
      </c>
      <c r="D120" s="5" t="s">
        <v>1616</v>
      </c>
      <c r="E120" s="5" t="s">
        <v>1617</v>
      </c>
      <c r="G120" s="5" t="str">
        <f>IFERROR(__xludf.DUMMYFUNCTION("GOOGLETRANSLATE(A120, ""en"", ""fr"")"),"119")</f>
        <v>119</v>
      </c>
      <c r="H120" s="5" t="str">
        <f>IFERROR(__xludf.DUMMYFUNCTION("GOOGLETRANSLATE(B120, ""en"", ""fr"")"),"Quelle est la commande de l'arbitre pour que les lutteurs reprennent le combat au centre après un arrêt ?")</f>
        <v>Quelle est la commande de l'arbitre pour que les lutteurs reprennent le combat au centre après un arrêt ?</v>
      </c>
      <c r="I120" s="5" t="str">
        <f>IFERROR(__xludf.DUMMYFUNCTION("GOOGLETRANSLATE(C120, ""en"", ""fr"")"),"A) ""En garde!"", B) ""Reprenez!"" (Reprendre !), C) ""Dornad !"", D) ""Allez !"" (Aller!)")</f>
        <v>A) "En garde!", B) "Reprenez!" (Reprendre !), C) "Dornad !", D) "Allez !" (Aller!)</v>
      </c>
      <c r="J120" s="5" t="str">
        <f>IFERROR(__xludf.DUMMYFUNCTION("GOOGLETRANSLATE(D120, ""en"", ""fr"")"),"C) ""Dornade !""")</f>
        <v>C) "Dornade !"</v>
      </c>
      <c r="K120" s="5" t="str">
        <f>IFERROR(__xludf.DUMMYFUNCTION("GOOGLETRANSLATE(E120, ""en"", ""fr"")"),"Les lutteurs reçoivent l'ordre de reprendre la poignée de main et la prise traditionnelles de la dornad.")</f>
        <v>Les lutteurs reçoivent l'ordre de reprendre la poignée de main et la prise traditionnelles de la dornad.</v>
      </c>
    </row>
    <row r="121" ht="22.5" customHeight="1">
      <c r="A121" s="4">
        <v>120.0</v>
      </c>
      <c r="B121" s="5" t="s">
        <v>1618</v>
      </c>
      <c r="C121" s="5" t="s">
        <v>1619</v>
      </c>
      <c r="D121" s="5" t="s">
        <v>1620</v>
      </c>
      <c r="E121" s="5" t="s">
        <v>1621</v>
      </c>
      <c r="G121" s="5" t="str">
        <f>IFERROR(__xludf.DUMMYFUNCTION("GOOGLETRANSLATE(A121, ""en"", ""fr"")"),"120")</f>
        <v>120</v>
      </c>
      <c r="H121" s="5" t="str">
        <f>IFERROR(__xludf.DUMMYFUNCTION("GOOGLETRANSLATE(B121, ""en"", ""fr"")"),"Un lutteur reçoit un avertissement pour avoir utilisé la prise de son adversaire pour l'étrangler. Est-ce une décision justifiée ?")</f>
        <v>Un lutteur reçoit un avertissement pour avoir utilisé la prise de son adversaire pour l'étrangler. Est-ce une décision justifiée ?</v>
      </c>
      <c r="I121" s="5" t="str">
        <f>IFERROR(__xludf.DUMMYFUNCTION("GOOGLETRANSLATE(C121, ""en"", ""fr"")"),"A) Non, il s'agit d'un étranglement par le revers légal. B) Oui, utiliser l'uniforme pour étrangler un adversaire est une faute illégale et dangereuse. C) Uniquement si l'adversaire perd connaissance. D) C'est légal, mais mal vu.")</f>
        <v>A) Non, il s'agit d'un étranglement par le revers légal. B) Oui, utiliser l'uniforme pour étrangler un adversaire est une faute illégale et dangereuse. C) Uniquement si l'adversaire perd connaissance. D) C'est légal, mais mal vu.</v>
      </c>
      <c r="J121" s="5" t="str">
        <f>IFERROR(__xludf.DUMMYFUNCTION("GOOGLETRANSLATE(D121, ""en"", ""fr"")"),"B) Oui, utiliser son uniforme pour étrangler un adversaire est une faute illégale et dangereuse.")</f>
        <v>B) Oui, utiliser son uniforme pour étrangler un adversaire est une faute illégale et dangereuse.</v>
      </c>
      <c r="K121" s="5" t="str">
        <f>IFERROR(__xludf.DUMMYFUNCTION("GOOGLETRANSLATE(E121, ""en"", ""fr"")"),"Cette veste est uniquement destinée à la préhension et au lancer. L'utiliser comme lien pour un étranglement est une faute grave.")</f>
        <v>Cette veste est uniquement destinée à la préhension et au lancer. L'utiliser comme lien pour un étranglement est une faute grave.</v>
      </c>
    </row>
    <row r="122" ht="22.5" customHeight="1">
      <c r="A122" s="4">
        <v>121.0</v>
      </c>
      <c r="B122" s="5" t="s">
        <v>1582</v>
      </c>
      <c r="C122" s="5" t="s">
        <v>1583</v>
      </c>
      <c r="D122" s="5" t="s">
        <v>1584</v>
      </c>
      <c r="E122" s="5" t="s">
        <v>1585</v>
      </c>
      <c r="G122" s="5" t="str">
        <f>IFERROR(__xludf.DUMMYFUNCTION("GOOGLETRANSLATE(A122, ""en"", ""fr"")"),"121")</f>
        <v>121</v>
      </c>
      <c r="H122" s="5" t="str">
        <f>IFERROR(__xludf.DUMMYFUNCTION("GOOGLETRANSLATE(B122, ""en"", ""fr"")"),"Un lutteur est pénalisé pour avoir utilisé son genou afin de bloquer un balayage de jambe de son adversaire. Cette décision est-elle justifiée ?")</f>
        <v>Un lutteur est pénalisé pour avoir utilisé son genou afin de bloquer un balayage de jambe de son adversaire. Cette décision est-elle justifiée ?</v>
      </c>
      <c r="I122" s="5" t="str">
        <f>IFERROR(__xludf.DUMMYFUNCTION("GOOGLETRANSLATE(C122, ""en"", ""fr"")"),"A) Non, ce blocage est légal. B) Oui, utiliser le genou comme point d'appui pour frapper ou bloquer est illégal. C) Uniquement si cela provoque une blessure. D) Uniquement si l'arbitre le voit.")</f>
        <v>A) Non, ce blocage est légal. B) Oui, utiliser le genou comme point d'appui pour frapper ou bloquer est illégal. C) Uniquement si cela provoque une blessure. D) Uniquement si l'arbitre le voit.</v>
      </c>
      <c r="J122" s="5" t="str">
        <f>IFERROR(__xludf.DUMMYFUNCTION("GOOGLETRANSLATE(D122, ""en"", ""fr"")"),"B) Oui, utiliser le genou comme « point d'appui » pour frapper ou bloquer est illégal.")</f>
        <v>B) Oui, utiliser le genou comme « point d'appui » pour frapper ou bloquer est illégal.</v>
      </c>
      <c r="K122" s="5" t="str">
        <f>IFERROR(__xludf.DUMMYFUNCTION("GOOGLETRANSLATE(E122, ""en"", ""fr"")"),"Un lutteur doit utiliser ses pieds et le mouvement de ses jambes pour les balayages et les blocages, et non la pointe du genou.")</f>
        <v>Un lutteur doit utiliser ses pieds et le mouvement de ses jambes pour les balayages et les blocages, et non la pointe du genou.</v>
      </c>
    </row>
    <row r="123" ht="22.5" customHeight="1">
      <c r="A123" s="4">
        <v>122.0</v>
      </c>
      <c r="B123" s="5" t="s">
        <v>1586</v>
      </c>
      <c r="C123" s="5" t="s">
        <v>1587</v>
      </c>
      <c r="D123" s="5" t="s">
        <v>1588</v>
      </c>
      <c r="E123" s="5" t="s">
        <v>1589</v>
      </c>
      <c r="G123" s="5" t="str">
        <f>IFERROR(__xludf.DUMMYFUNCTION("GOOGLETRANSLATE(A123, ""en"", ""fr"")"),"122")</f>
        <v>122</v>
      </c>
      <c r="H123" s="5" t="str">
        <f>IFERROR(__xludf.DUMMYFUNCTION("GOOGLETRANSLATE(B123, ""en"", ""fr"")"),"En substance, Gouren est un test de la capacité d'un lutteur à faire quoi ?")</f>
        <v>En substance, Gouren est un test de la capacité d'un lutteur à faire quoi ?</v>
      </c>
      <c r="I123" s="5" t="str">
        <f>IFERROR(__xludf.DUMMYFUNCTION("GOOGLETRANSLATE(C123, ""en"", ""fr"")"),"A) Dépasser son adversaire par la force, B) Contrôler l'équilibre de son adversaire tout en conservant le sien, C) Endurer la douleur, D) Suivre les ordres de l'arbitre")</f>
        <v>A) Dépasser son adversaire par la force, B) Contrôler l'équilibre de son adversaire tout en conservant le sien, C) Endurer la douleur, D) Suivre les ordres de l'arbitre</v>
      </c>
      <c r="J123" s="5" t="str">
        <f>IFERROR(__xludf.DUMMYFUNCTION("GOOGLETRANSLATE(D123, ""en"", ""fr"")"),"B) Contrôler l'équilibre de leur adversaire tout en maintenant le leur")</f>
        <v>B) Contrôler l'équilibre de leur adversaire tout en maintenant le leur</v>
      </c>
      <c r="K123" s="5" t="str">
        <f>IFERROR(__xludf.DUMMYFUNCTION("GOOGLETRANSLATE(E123, ""en"", ""fr"")"),"Tout cet art repose sur l'interaction dynamique de l'équilibre, dans le but de briser la stabilité de l'adversaire tout en perfectionnant la sienne.")</f>
        <v>Tout cet art repose sur l'interaction dynamique de l'équilibre, dans le but de briser la stabilité de l'adversaire tout en perfectionnant la sienne.</v>
      </c>
    </row>
    <row r="124" ht="22.5" customHeight="1">
      <c r="A124" s="4">
        <v>123.0</v>
      </c>
      <c r="B124" s="5" t="s">
        <v>1594</v>
      </c>
      <c r="C124" s="5" t="s">
        <v>1595</v>
      </c>
      <c r="D124" s="5" t="s">
        <v>1596</v>
      </c>
      <c r="E124" s="5" t="s">
        <v>1597</v>
      </c>
      <c r="G124" s="5" t="str">
        <f>IFERROR(__xludf.DUMMYFUNCTION("GOOGLETRANSLATE(A124, ""en"", ""fr"")"),"123")</f>
        <v>123</v>
      </c>
      <c r="H124" s="5" t="str">
        <f>IFERROR(__xludf.DUMMYFUNCTION("GOOGLETRANSLATE(B124, ""en"", ""fr"")"),"Quelle est la décision à prendre si un lutteur se blesse à la suite d'une projection légale de son adversaire ?")</f>
        <v>Quelle est la décision à prendre si un lutteur se blesse à la suite d'une projection légale de son adversaire ?</v>
      </c>
      <c r="I124" s="5" t="str">
        <f>IFERROR(__xludf.DUMMYFUNCTION("GOOGLETRANSLATE(C124, ""en"", ""fr"")"),"A) L'adversaire est pénalisé. B) Le lutteur blessé remporte le match. C) Le lutteur blessé perd le match par abandon. D) Le match se termine par un match nul.")</f>
        <v>A) L'adversaire est pénalisé. B) Le lutteur blessé remporte le match. C) Le lutteur blessé perd le match par abandon. D) Le match se termine par un match nul.</v>
      </c>
      <c r="J124" s="5" t="str">
        <f>IFERROR(__xludf.DUMMYFUNCTION("GOOGLETRANSLATE(D124, ""en"", ""fr"")"),"C) Le lutteur blessé perd le match par abandon.")</f>
        <v>C) Le lutteur blessé perd le match par abandon.</v>
      </c>
      <c r="K124" s="5" t="str">
        <f>IFERROR(__xludf.DUMMYFUNCTION("GOOGLETRANSLATE(E124, ""en"", ""fr"")"),"Si un lutteur est dans l'incapacité de continuer en raison d'une blessure subie suite à une technique légale, il doit abandonner et son adversaire est déclaré vainqueur.")</f>
        <v>Si un lutteur est dans l'incapacité de continuer en raison d'une blessure subie suite à une technique légale, il doit abandonner et son adversaire est déclaré vainqueur.</v>
      </c>
    </row>
    <row r="125" ht="22.5" customHeight="1">
      <c r="A125" s="4">
        <v>124.0</v>
      </c>
      <c r="B125" s="5" t="s">
        <v>1602</v>
      </c>
      <c r="C125" s="5" t="s">
        <v>1603</v>
      </c>
      <c r="D125" s="5" t="s">
        <v>1604</v>
      </c>
      <c r="E125" s="5" t="s">
        <v>1605</v>
      </c>
      <c r="G125" s="5" t="str">
        <f>IFERROR(__xludf.DUMMYFUNCTION("GOOGLETRANSLATE(A125, ""en"", ""fr"")"),"124")</f>
        <v>124</v>
      </c>
      <c r="H125" s="5" t="str">
        <f>IFERROR(__xludf.DUMMYFUNCTION("GOOGLETRANSLATE(B125, ""en"", ""fr"")"),"Quel est l'objectif principal du tapis de lutte moderne et épais (pallenn) ?")</f>
        <v>Quel est l'objectif principal du tapis de lutte moderne et épais (pallenn) ?</v>
      </c>
      <c r="I125" s="5" t="str">
        <f>IFERROR(__xludf.DUMMYFUNCTION("GOOGLETRANSLATE(C125, ""en"", ""fr"")"),"A) Pour délimiter l'aire de jeu, B) Pour fournir une surface sûre et amortissante afin d'absorber l'impact des projections, C) Pour garder les lutteurs propres, D) Pour les logos des sponsors")</f>
        <v>A) Pour délimiter l'aire de jeu, B) Pour fournir une surface sûre et amortissante afin d'absorber l'impact des projections, C) Pour garder les lutteurs propres, D) Pour les logos des sponsors</v>
      </c>
      <c r="J125" s="5" t="str">
        <f>IFERROR(__xludf.DUMMYFUNCTION("GOOGLETRANSLATE(D125, ""en"", ""fr"")"),"B) Fournir une surface sûre et amortissante pour absorber l'impact des lancers")</f>
        <v>B) Fournir une surface sûre et amortissante pour absorber l'impact des lancers</v>
      </c>
      <c r="K125" s="5" t="str">
        <f>IFERROR(__xludf.DUMMYFUNCTION("GOOGLETRANSLATE(E125, ""en"", ""fr"")"),"Le tapis est l'équipement de sécurité le plus important dans le sport moderne.")</f>
        <v>Le tapis est l'équipement de sécurité le plus important dans le sport moderne.</v>
      </c>
    </row>
    <row r="126" ht="22.5" customHeight="1">
      <c r="A126" s="4">
        <v>125.0</v>
      </c>
      <c r="B126" s="5" t="s">
        <v>1606</v>
      </c>
      <c r="C126" s="5" t="s">
        <v>1607</v>
      </c>
      <c r="D126" s="5" t="s">
        <v>1608</v>
      </c>
      <c r="E126" s="5" t="s">
        <v>1609</v>
      </c>
      <c r="G126" s="5" t="str">
        <f>IFERROR(__xludf.DUMMYFUNCTION("GOOGLETRANSLATE(A126, ""en"", ""fr"")"),"125")</f>
        <v>125</v>
      </c>
      <c r="H126" s="5" t="str">
        <f>IFERROR(__xludf.DUMMYFUNCTION("GOOGLETRANSLATE(B126, ""en"", ""fr"")"),"Quelle est la principale différence entre le gouren et le glima islandais ?")</f>
        <v>Quelle est la principale différence entre le gouren et le glima islandais ?</v>
      </c>
      <c r="I126" s="5" t="str">
        <f>IFERROR(__xludf.DUMMYFUNCTION("GOOGLETRANSLATE(C126, ""en"", ""fr"")"),"A) Glima utilise un système de ceinture pour les prises, B) Gouren est plus ancien, C) Glima implique des frappes, D) Il n'y a pas de différence")</f>
        <v>A) Glima utilise un système de ceinture pour les prises, B) Gouren est plus ancien, C) Glima implique des frappes, D) Il n'y a pas de différence</v>
      </c>
      <c r="J126" s="5" t="str">
        <f>IFERROR(__xludf.DUMMYFUNCTION("GOOGLETRANSLATE(D126, ""en"", ""fr"")"),"A) Glima utilise un système de ceinture pour les poignées")</f>
        <v>A) Glima utilise un système de ceinture pour les poignées</v>
      </c>
      <c r="K126" s="5" t="str">
        <f>IFERROR(__xludf.DUMMYFUNCTION("GOOGLETRANSLATE(E126, ""en"", ""fr"")"),"Le Glima est une forme de lutte à la ceinture, fondamentalement différente du style de lutte en veste du Gouren.")</f>
        <v>Le Glima est une forme de lutte à la ceinture, fondamentalement différente du style de lutte en veste du Gouren.</v>
      </c>
    </row>
    <row r="127" ht="22.5" customHeight="1">
      <c r="A127" s="4">
        <v>126.0</v>
      </c>
      <c r="B127" s="5" t="s">
        <v>1610</v>
      </c>
      <c r="C127" s="5" t="s">
        <v>1611</v>
      </c>
      <c r="D127" s="5" t="s">
        <v>1612</v>
      </c>
      <c r="E127" s="5" t="s">
        <v>1613</v>
      </c>
      <c r="G127" s="5" t="str">
        <f>IFERROR(__xludf.DUMMYFUNCTION("GOOGLETRANSLATE(A127, ""en"", ""fr"")"),"126")</f>
        <v>126</v>
      </c>
      <c r="H127" s="5" t="str">
        <f>IFERROR(__xludf.DUMMYFUNCTION("GOOGLETRANSLATE(B127, ""en"", ""fr"")"),"Un lutteur est surpris avec du ruban adhésif sur les mains, durci illégalement. Quelles sont les conséquences ?")</f>
        <v>Un lutteur est surpris avec du ruban adhésif sur les mains, durci illégalement. Quelles sont les conséquences ?</v>
      </c>
      <c r="I127" s="5" t="str">
        <f>IFERROR(__xludf.DUMMYFUNCTION("GOOGLETRANSLATE(C127, ""en"", ""fr"")"),"A) La bande est retirée et un avertissement est donné, B) Le lutteur est immédiatement disqualifié pour tricherie, C) L'adversaire se voit attribuer 5 points, D) Le round est rejoué")</f>
        <v>A) La bande est retirée et un avertissement est donné, B) Le lutteur est immédiatement disqualifié pour tricherie, C) L'adversaire se voit attribuer 5 points, D) Le round est rejoué</v>
      </c>
      <c r="J127" s="5" t="str">
        <f>IFERROR(__xludf.DUMMYFUNCTION("GOOGLETRANSLATE(D127, ""en"", ""fr"")"),"B) Le lutteur est immédiatement disqualifié pour tricherie.")</f>
        <v>B) Le lutteur est immédiatement disqualifié pour tricherie.</v>
      </c>
      <c r="K127" s="5" t="str">
        <f>IFERROR(__xludf.DUMMYFUNCTION("GOOGLETRANSLATE(E127, ""en"", ""fr"")"),"Toute altération de matériel ou tout collage d'étiquettes visant à créer une arme ou un avantage indu constitue une infraction majeure.")</f>
        <v>Toute altération de matériel ou tout collage d'étiquettes visant à créer une arme ou un avantage indu constitue une infraction majeure.</v>
      </c>
    </row>
    <row r="128" ht="22.5" customHeight="1">
      <c r="A128" s="4">
        <v>127.0</v>
      </c>
      <c r="B128" s="5" t="s">
        <v>1614</v>
      </c>
      <c r="C128" s="5" t="s">
        <v>1615</v>
      </c>
      <c r="D128" s="5" t="s">
        <v>1616</v>
      </c>
      <c r="E128" s="5" t="s">
        <v>1617</v>
      </c>
      <c r="G128" s="5" t="str">
        <f>IFERROR(__xludf.DUMMYFUNCTION("GOOGLETRANSLATE(A128, ""en"", ""fr"")"),"127")</f>
        <v>127</v>
      </c>
      <c r="H128" s="5" t="str">
        <f>IFERROR(__xludf.DUMMYFUNCTION("GOOGLETRANSLATE(B128, ""en"", ""fr"")"),"Quelle est la commande de l'arbitre pour que les lutteurs reprennent le combat au centre après un arrêt ?")</f>
        <v>Quelle est la commande de l'arbitre pour que les lutteurs reprennent le combat au centre après un arrêt ?</v>
      </c>
      <c r="I128" s="5" t="str">
        <f>IFERROR(__xludf.DUMMYFUNCTION("GOOGLETRANSLATE(C128, ""en"", ""fr"")"),"A) ""En garde!"", B) ""Reprenez!"" (Reprendre !), C) ""Dornad !"", D) ""Allez !"" (Aller!)")</f>
        <v>A) "En garde!", B) "Reprenez!" (Reprendre !), C) "Dornad !", D) "Allez !" (Aller!)</v>
      </c>
      <c r="J128" s="5" t="str">
        <f>IFERROR(__xludf.DUMMYFUNCTION("GOOGLETRANSLATE(D128, ""en"", ""fr"")"),"C) ""Dornade !""")</f>
        <v>C) "Dornade !"</v>
      </c>
      <c r="K128" s="5" t="str">
        <f>IFERROR(__xludf.DUMMYFUNCTION("GOOGLETRANSLATE(E128, ""en"", ""fr"")"),"Les lutteurs reçoivent l'ordre de reprendre la poignée de main et la prise traditionnelles de la dornad.")</f>
        <v>Les lutteurs reçoivent l'ordre de reprendre la poignée de main et la prise traditionnelles de la dornad.</v>
      </c>
    </row>
    <row r="129" ht="22.5" customHeight="1">
      <c r="A129" s="4">
        <v>128.0</v>
      </c>
      <c r="B129" s="5" t="s">
        <v>1630</v>
      </c>
      <c r="C129" s="5" t="s">
        <v>1631</v>
      </c>
      <c r="D129" s="5" t="s">
        <v>1632</v>
      </c>
      <c r="E129" s="5" t="s">
        <v>1633</v>
      </c>
      <c r="G129" s="5" t="str">
        <f>IFERROR(__xludf.DUMMYFUNCTION("GOOGLETRANSLATE(A129, ""en"", ""fr"")"),"128")</f>
        <v>128</v>
      </c>
      <c r="H129" s="5" t="str">
        <f>IFERROR(__xludf.DUMMYFUNCTION("GOOGLETRANSLATE(B129, ""en"", ""fr"")"),"Quelle est la principale différence entre Gouren et Swiss Schwingen ?")</f>
        <v>Quelle est la principale différence entre Gouren et Swiss Schwingen ?</v>
      </c>
      <c r="I129" s="5" t="str">
        <f>IFERROR(__xludf.DUMMYFUNCTION("GOOGLETRANSLATE(C129, ""en"", ""fr"")"),"A) Le Schwingen est plus ancien, B) Les lutteurs de Schwingen portent des shorts spéciaux en toile pour une meilleure prise, tandis que ceux de Gouren utilisent une veste, C) Le Schwingen est un sport d'équipe, D) Le Gouren est plus populaire")</f>
        <v>A) Le Schwingen est plus ancien, B) Les lutteurs de Schwingen portent des shorts spéciaux en toile pour une meilleure prise, tandis que ceux de Gouren utilisent une veste, C) Le Schwingen est un sport d'équipe, D) Le Gouren est plus populaire</v>
      </c>
      <c r="J129" s="5" t="str">
        <f>IFERROR(__xludf.DUMMYFUNCTION("GOOGLETRANSLATE(D129, ""en"", ""fr"")"),"B) Les lutteurs de Schwingen portent des shorts spéciaux en toile pour la prise, tandis que ceux de Gouren utilisent une veste")</f>
        <v>B) Les lutteurs de Schwingen portent des shorts spéciaux en toile pour la prise, tandis que ceux de Gouren utilisent une veste</v>
      </c>
      <c r="K129" s="5" t="str">
        <f>IFERROR(__xludf.DUMMYFUNCTION("GOOGLETRANSLATE(E129, ""en"", ""fr"")"),"Ce sont deux styles de lutte traditionnelle européenne, mais leurs règles et leurs techniques de prise diffèrent. Le Schwingen privilégie la prise sur le short de l'adversaire.")</f>
        <v>Ce sont deux styles de lutte traditionnelle européenne, mais leurs règles et leurs techniques de prise diffèrent. Le Schwingen privilégie la prise sur le short de l'adversaire.</v>
      </c>
    </row>
    <row r="130" ht="22.5" customHeight="1">
      <c r="A130" s="4">
        <v>129.0</v>
      </c>
      <c r="B130" s="5" t="s">
        <v>1634</v>
      </c>
      <c r="C130" s="5" t="s">
        <v>1635</v>
      </c>
      <c r="D130" s="5" t="s">
        <v>1636</v>
      </c>
      <c r="E130" s="5" t="s">
        <v>1637</v>
      </c>
      <c r="G130" s="5" t="str">
        <f>IFERROR(__xludf.DUMMYFUNCTION("GOOGLETRANSLATE(A130, ""en"", ""fr"")"),"129")</f>
        <v>129</v>
      </c>
      <c r="H130" s="5" t="str">
        <f>IFERROR(__xludf.DUMMYFUNCTION("GOOGLETRANSLATE(B130, ""en"", ""fr"")"),"La FILC compte des membres islandais. Comment s'appelle leur style de lutte traditionnel ?")</f>
        <v>La FILC compte des membres islandais. Comment s'appelle leur style de lutte traditionnel ?</v>
      </c>
      <c r="I130" s="5" t="str">
        <f>IFERROR(__xludf.DUMMYFUNCTION("GOOGLETRANSLATE(C130, ""en"", ""fr"")"),"A) Schwingen, B) Glima, C) Prise arrière, D) Cornish")</f>
        <v>A) Schwingen, B) Glima, C) Prise arrière, D) Cornish</v>
      </c>
      <c r="J130" s="5" t="str">
        <f>IFERROR(__xludf.DUMMYFUNCTION("GOOGLETRANSLATE(D130, ""en"", ""fr"")"),"B) Glima")</f>
        <v>B) Glima</v>
      </c>
      <c r="K130" s="5" t="str">
        <f>IFERROR(__xludf.DUMMYFUNCTION("GOOGLETRANSLATE(E130, ""en"", ""fr"")"),"Le glima, l'ancien style de lutte des Vikings, est également membre de la Fédération internationale de lutte celtique.")</f>
        <v>Le glima, l'ancien style de lutte des Vikings, est également membre de la Fédération internationale de lutte celtique.</v>
      </c>
    </row>
    <row r="131" ht="22.5" customHeight="1">
      <c r="A131" s="4">
        <v>130.0</v>
      </c>
      <c r="B131" s="5" t="s">
        <v>1638</v>
      </c>
      <c r="C131" s="5" t="s">
        <v>1639</v>
      </c>
      <c r="D131" s="5" t="s">
        <v>1483</v>
      </c>
      <c r="E131" s="5" t="s">
        <v>1640</v>
      </c>
      <c r="G131" s="5" t="str">
        <f>IFERROR(__xludf.DUMMYFUNCTION("GOOGLETRANSLATE(A131, ""en"", ""fr"")"),"130")</f>
        <v>130</v>
      </c>
      <c r="H131" s="5" t="str">
        <f>IFERROR(__xludf.DUMMYFUNCTION("GOOGLETRANSLATE(B131, ""en"", ""fr"")"),"Un lutteur est pénalisé pour avoir saisi son adversaire sous la ceinture. Cette décision est-elle justifiée ?")</f>
        <v>Un lutteur est pénalisé pour avoir saisi son adversaire sous la ceinture. Cette décision est-elle justifiée ?</v>
      </c>
      <c r="I131" s="5" t="str">
        <f>IFERROR(__xludf.DUMMYFUNCTION("GOOGLETRANSLATE(C131, ""en"", ""fr"")"),"A) Non, toutes les prises sont autorisées. B) Oui, toutes les prises doivent être effectuées sur la veste, au-dessus de la ceinture. C) Uniquement lors des tournois majeurs. D) Uniquement si l'adversaire se plaint.")</f>
        <v>A) Non, toutes les prises sont autorisées. B) Oui, toutes les prises doivent être effectuées sur la veste, au-dessus de la ceinture. C) Uniquement lors des tournois majeurs. D) Uniquement si l'adversaire se plaint.</v>
      </c>
      <c r="J131" s="5" t="str">
        <f>IFERROR(__xludf.DUMMYFUNCTION("GOOGLETRANSLATE(D131, ""en"", ""fr"")"),"B) Oui, toutes les poignées doivent être sur la veste, au-dessus de la ceinture.")</f>
        <v>B) Oui, toutes les poignées doivent être sur la veste, au-dessus de la ceinture.</v>
      </c>
      <c r="K131" s="5" t="str">
        <f>IFERROR(__xludf.DUMMYFUNCTION("GOOGLETRANSLATE(E131, ""en"", ""fr"")"),"Les règles du Gouren sont très précises concernant la zone de prise légale, qui est limitée à la veste de lutte de l'adversaire.")</f>
        <v>Les règles du Gouren sont très précises concernant la zone de prise légale, qui est limitée à la veste de lutte de l'adversaire.</v>
      </c>
    </row>
    <row r="132" ht="22.5" customHeight="1">
      <c r="A132" s="4">
        <v>131.0</v>
      </c>
      <c r="B132" s="5" t="s">
        <v>1641</v>
      </c>
      <c r="C132" s="5" t="s">
        <v>1642</v>
      </c>
      <c r="D132" s="5" t="s">
        <v>1643</v>
      </c>
      <c r="E132" s="5" t="s">
        <v>1644</v>
      </c>
      <c r="G132" s="5" t="str">
        <f>IFERROR(__xludf.DUMMYFUNCTION("GOOGLETRANSLATE(A132, ""en"", ""fr"")"),"131")</f>
        <v>131</v>
      </c>
      <c r="H132" s="5" t="str">
        <f>IFERROR(__xludf.DUMMYFUNCTION("GOOGLETRANSLATE(B132, ""en"", ""fr"")"),"Un lutteur remporte une projection, et le résultat est un kostin. Qu'est-ce que cela signifie ?")</f>
        <v>Un lutteur remporte une projection, et le résultat est un kostin. Qu'est-ce que cela signifie ?</v>
      </c>
      <c r="I132" s="5" t="str">
        <f>IFERROR(__xludf.DUMMYFUNCTION("GOOGLETRANSLATE(C132,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32" s="5" t="str">
        <f>IFERROR(__xludf.DUMMYFUNCTION("GOOGLETRANSLATE(D132, ""en"", ""fr"")"),"C) La projection n'a été que partiellement réussie, les deux lutteurs tombant.")</f>
        <v>C) La projection n'a été que partiellement réussie, les deux lutteurs tombant.</v>
      </c>
      <c r="K132" s="5" t="str">
        <f>IFERROR(__xludf.DUMMYFUNCTION("GOOGLETRANSLATE(E132, ""en"", ""fr"")"),"Un kostin est un résultat où l'attaquant perd également l'équilibre et tombe, ce qui est un résultat moindre qu'un lamm propre.")</f>
        <v>Un kostin est un résultat où l'attaquant perd également l'équilibre et tombe, ce qui est un résultat moindre qu'un lamm propre.</v>
      </c>
    </row>
    <row r="133" ht="22.5" customHeight="1">
      <c r="A133" s="4">
        <v>132.0</v>
      </c>
      <c r="B133" s="5" t="s">
        <v>1645</v>
      </c>
      <c r="C133" s="5" t="s">
        <v>1646</v>
      </c>
      <c r="D133" s="5" t="s">
        <v>1647</v>
      </c>
      <c r="E133" s="5" t="s">
        <v>1648</v>
      </c>
      <c r="G133" s="5" t="str">
        <f>IFERROR(__xludf.DUMMYFUNCTION("GOOGLETRANSLATE(A133, ""en"", ""fr"")"),"132")</f>
        <v>132</v>
      </c>
      <c r="H133" s="5" t="str">
        <f>IFERROR(__xludf.DUMMYFUNCTION("GOOGLETRANSLATE(B133, ""en"", ""fr"")"),"Quel est le rôle principal des skoliou (écoles Gouren) aujourd'hui ?")</f>
        <v>Quel est le rôle principal des skoliou (écoles Gouren) aujourd'hui ?</v>
      </c>
      <c r="I133" s="5" t="str">
        <f>IFERROR(__xludf.DUMMYFUNCTION("GOOGLETRANSLATE(C133, ""en"", ""fr"")"),"A) Former des champions professionnels, B) Transmettre le sport et ses valeurs éthiques à une nouvelle génération, y compris les enfants, C) Être un club social pour adultes, D) Générer des revenus pour la fédération")</f>
        <v>A) Former des champions professionnels, B) Transmettre le sport et ses valeurs éthiques à une nouvelle génération, y compris les enfants, C) Être un club social pour adultes, D) Générer des revenus pour la fédération</v>
      </c>
      <c r="J133" s="5" t="str">
        <f>IFERROR(__xludf.DUMMYFUNCTION("GOOGLETRANSLATE(D133, ""en"", ""fr"")"),"B) Transmettre ce sport et ses valeurs éthiques à une nouvelle génération, y compris aux enfants")</f>
        <v>B) Transmettre ce sport et ses valeurs éthiques à une nouvelle génération, y compris aux enfants</v>
      </c>
      <c r="K133" s="5" t="str">
        <f>IFERROR(__xludf.DUMMYFUNCTION("GOOGLETRANSLATE(E133, ""en"", ""fr"")"),"Les écoles constituent la base de ce sport, axées sur l'éducation, la préservation culturelle et le développement personnel de leurs élèves.")</f>
        <v>Les écoles constituent la base de ce sport, axées sur l'éducation, la préservation culturelle et le développement personnel de leurs élèves.</v>
      </c>
    </row>
    <row r="134" ht="22.5" customHeight="1">
      <c r="A134" s="4">
        <v>133.0</v>
      </c>
      <c r="B134" s="5" t="s">
        <v>1649</v>
      </c>
      <c r="C134" s="5" t="s">
        <v>1650</v>
      </c>
      <c r="D134" s="5" t="s">
        <v>433</v>
      </c>
      <c r="E134" s="5" t="s">
        <v>1651</v>
      </c>
      <c r="G134" s="5" t="str">
        <f>IFERROR(__xludf.DUMMYFUNCTION("GOOGLETRANSLATE(A134, ""en"", ""fr"")"),"133")</f>
        <v>133</v>
      </c>
      <c r="H134" s="5" t="str">
        <f>IFERROR(__xludf.DUMMYFUNCTION("GOOGLETRANSLATE(B134, ""en"", ""fr"")"),"Quelle est la principale différence entre la lutte Gouren et la lutte libre olympique moderne ?")</f>
        <v>Quelle est la principale différence entre la lutte Gouren et la lutte libre olympique moderne ?</v>
      </c>
      <c r="I134" s="5" t="str">
        <f>IFERROR(__xludf.DUMMYFUNCTION("GOOGLETRANSLATE(C134,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134" s="5" t="str">
        <f>IFERROR(__xludf.DUMMYFUNCTION("GOOGLETRANSLATE(D134, ""en"", ""fr"")"),"D) Toutes les réponses ci-dessus")</f>
        <v>D) Toutes les réponses ci-dessus</v>
      </c>
      <c r="K134" s="5" t="str">
        <f>IFERROR(__xludf.DUMMYFUNCTION("GOOGLETRANSLATE(E134,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135" ht="22.5" customHeight="1">
      <c r="A135" s="4">
        <v>134.0</v>
      </c>
      <c r="B135" s="5" t="s">
        <v>1652</v>
      </c>
      <c r="C135" s="5" t="s">
        <v>1653</v>
      </c>
      <c r="D135" s="5" t="s">
        <v>1654</v>
      </c>
      <c r="E135" s="5" t="s">
        <v>1655</v>
      </c>
      <c r="G135" s="5" t="str">
        <f>IFERROR(__xludf.DUMMYFUNCTION("GOOGLETRANSLATE(A135, ""en"", ""fr"")"),"134")</f>
        <v>134</v>
      </c>
      <c r="H135" s="5" t="str">
        <f>IFERROR(__xludf.DUMMYFUNCTION("GOOGLETRANSLATE(B135, ""en"", ""fr"")"),"Un lutteur est connu pour son puissant « clic » (kliked). De quelle technique s'agit-il ?")</f>
        <v>Un lutteur est connu pour son puissant « clic » (kliked). De quelle technique s'agit-il ?</v>
      </c>
      <c r="I135" s="5" t="str">
        <f>IFERROR(__xludf.DUMMYFUNCTION("GOOGLETRANSLATE(C135,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135" s="5" t="str">
        <f>IFERROR(__xludf.DUMMYFUNCTION("GOOGLETRANSLATE(D135, ""en"", ""fr"")"),"B) Un puissant mouvement de torsion ou de roulement")</f>
        <v>B) Un puissant mouvement de torsion ou de roulement</v>
      </c>
      <c r="K135" s="5" t="str">
        <f>IFERROR(__xludf.DUMMYFUNCTION("GOOGLETRANSLATE(E135,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136" ht="22.5" customHeight="1">
      <c r="A136" s="4">
        <v>135.0</v>
      </c>
      <c r="B136" s="5" t="s">
        <v>1656</v>
      </c>
      <c r="C136" s="5" t="s">
        <v>1657</v>
      </c>
      <c r="D136" s="5" t="s">
        <v>1658</v>
      </c>
      <c r="E136" s="5" t="s">
        <v>1659</v>
      </c>
      <c r="G136" s="5" t="str">
        <f>IFERROR(__xludf.DUMMYFUNCTION("GOOGLETRANSLATE(A136, ""en"", ""fr"")"),"135")</f>
        <v>135</v>
      </c>
      <c r="H136" s="5" t="str">
        <f>IFERROR(__xludf.DUMMYFUNCTION("GOOGLETRANSLATE(B136, ""en"", ""fr"")"),"La fédération Gouren moderne est affiliée à quelle instance sportive française plus importante ?")</f>
        <v>La fédération Gouren moderne est affiliée à quelle instance sportive française plus importante ?</v>
      </c>
      <c r="I136" s="5" t="str">
        <f>IFERROR(__xludf.DUMMYFUNCTION("GOOGLETRANSLATE(C136,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136" s="5" t="str">
        <f>IFERROR(__xludf.DUMMYFUNCTION("GOOGLETRANSLATE(D136, ""en"", ""fr"")"),"C) La Fédération Française de Lutte (FFL)")</f>
        <v>C) La Fédération Française de Lutte (FFL)</v>
      </c>
      <c r="K136" s="5" t="str">
        <f>IFERROR(__xludf.DUMMYFUNCTION("GOOGLETRANSLATE(E136,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137" ht="22.5" customHeight="1">
      <c r="A137" s="4">
        <v>136.0</v>
      </c>
      <c r="B137" s="5" t="s">
        <v>1660</v>
      </c>
      <c r="C137" s="5" t="s">
        <v>1661</v>
      </c>
      <c r="D137" s="5" t="s">
        <v>433</v>
      </c>
      <c r="E137" s="5" t="s">
        <v>1662</v>
      </c>
      <c r="G137" s="5" t="str">
        <f>IFERROR(__xludf.DUMMYFUNCTION("GOOGLETRANSLATE(A137, ""en"", ""fr"")"),"136")</f>
        <v>136</v>
      </c>
      <c r="H137" s="5" t="str">
        <f>IFERROR(__xludf.DUMMYFUNCTION("GOOGLETRANSLATE(B137, ""en"", ""fr"")"),"Quelle est la principale raison pour laquelle les coups (poings et pieds) sont interdits à Gouren ?")</f>
        <v>Quelle est la principale raison pour laquelle les coups (poings et pieds) sont interdits à Gouren ?</v>
      </c>
      <c r="I137" s="5" t="str">
        <f>IFERROR(__xludf.DUMMYFUNCTION("GOOGLETRANSLATE(C137,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137" s="5" t="str">
        <f>IFERROR(__xludf.DUMMYFUNCTION("GOOGLETRANSLATE(D137, ""en"", ""fr"")"),"D) Toutes les réponses ci-dessus")</f>
        <v>D) Toutes les réponses ci-dessus</v>
      </c>
      <c r="K137" s="5" t="str">
        <f>IFERROR(__xludf.DUMMYFUNCTION("GOOGLETRANSLATE(E137,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138" ht="22.5" customHeight="1">
      <c r="A138" s="4">
        <v>137.0</v>
      </c>
      <c r="B138" s="5" t="s">
        <v>1663</v>
      </c>
      <c r="C138" s="5" t="s">
        <v>1664</v>
      </c>
      <c r="D138" s="5" t="s">
        <v>1665</v>
      </c>
      <c r="E138" s="5" t="s">
        <v>1666</v>
      </c>
      <c r="G138" s="5" t="str">
        <f>IFERROR(__xludf.DUMMYFUNCTION("GOOGLETRANSLATE(A138, ""en"", ""fr"")"),"137")</f>
        <v>137</v>
      </c>
      <c r="H138" s="5" t="str">
        <f>IFERROR(__xludf.DUMMYFUNCTION("GOOGLETRANSLATE(B138, ""en"", ""fr"")"),"Dans la FILC, quel est le style de lutte de quel pays connu sous le nom de Back-hold ?")</f>
        <v>Dans la FILC, quel est le style de lutte de quel pays connu sous le nom de Back-hold ?</v>
      </c>
      <c r="I138" s="5" t="str">
        <f>IFERROR(__xludf.DUMMYFUNCTION("GOOGLETRANSLATE(C138, ""en"", ""fr"")"),"A) Irlande, B) Bretagne, C) Cornouailles, D) Écosse")</f>
        <v>A) Irlande, B) Bretagne, C) Cornouailles, D) Écosse</v>
      </c>
      <c r="J138" s="5" t="str">
        <f>IFERROR(__xludf.DUMMYFUNCTION("GOOGLETRANSLATE(D138, ""en"", ""fr"")"),"D) Écosse")</f>
        <v>D) Écosse</v>
      </c>
      <c r="K138" s="5" t="str">
        <f>IFERROR(__xludf.DUMMYFUNCTION("GOOGLETRANSLATE(E138, ""en"", ""fr"")"),"La lutte écossaise en prise dorsale est un autre style celtique, connu pour sa prise de départ distinctive.")</f>
        <v>La lutte écossaise en prise dorsale est un autre style celtique, connu pour sa prise de départ distinctive.</v>
      </c>
    </row>
    <row r="139" ht="22.5" customHeight="1">
      <c r="A139" s="4">
        <v>138.0</v>
      </c>
      <c r="B139" s="5" t="s">
        <v>1641</v>
      </c>
      <c r="C139" s="5" t="s">
        <v>1642</v>
      </c>
      <c r="D139" s="5" t="s">
        <v>1643</v>
      </c>
      <c r="E139" s="5" t="s">
        <v>1644</v>
      </c>
      <c r="G139" s="5" t="str">
        <f>IFERROR(__xludf.DUMMYFUNCTION("GOOGLETRANSLATE(A139, ""en"", ""fr"")"),"138")</f>
        <v>138</v>
      </c>
      <c r="H139" s="5" t="str">
        <f>IFERROR(__xludf.DUMMYFUNCTION("GOOGLETRANSLATE(B139, ""en"", ""fr"")"),"Un lutteur remporte une projection, et le résultat est un kostin. Qu'est-ce que cela signifie ?")</f>
        <v>Un lutteur remporte une projection, et le résultat est un kostin. Qu'est-ce que cela signifie ?</v>
      </c>
      <c r="I139" s="5" t="str">
        <f>IFERROR(__xludf.DUMMYFUNCTION("GOOGLETRANSLATE(C139,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39" s="5" t="str">
        <f>IFERROR(__xludf.DUMMYFUNCTION("GOOGLETRANSLATE(D139, ""en"", ""fr"")"),"C) La projection n'a été que partiellement réussie, les deux lutteurs tombant.")</f>
        <v>C) La projection n'a été que partiellement réussie, les deux lutteurs tombant.</v>
      </c>
      <c r="K139" s="5" t="str">
        <f>IFERROR(__xludf.DUMMYFUNCTION("GOOGLETRANSLATE(E139, ""en"", ""fr"")"),"Un kostin est un résultat où l'attaquant perd également l'équilibre et tombe, ce qui est un résultat moindre qu'un lamm propre.")</f>
        <v>Un kostin est un résultat où l'attaquant perd également l'équilibre et tombe, ce qui est un résultat moindre qu'un lamm propre.</v>
      </c>
    </row>
    <row r="140" ht="22.5" customHeight="1">
      <c r="A140" s="4">
        <v>139.0</v>
      </c>
      <c r="B140" s="5" t="s">
        <v>1667</v>
      </c>
      <c r="C140" s="5" t="s">
        <v>1668</v>
      </c>
      <c r="D140" s="5" t="s">
        <v>1669</v>
      </c>
      <c r="E140" s="5" t="s">
        <v>1670</v>
      </c>
      <c r="G140" s="5" t="str">
        <f>IFERROR(__xludf.DUMMYFUNCTION("GOOGLETRANSLATE(A140, ""en"", ""fr"")"),"139")</f>
        <v>139</v>
      </c>
      <c r="H140" s="5" t="str">
        <f>IFERROR(__xludf.DUMMYFUNCTION("GOOGLETRANSLATE(B140, ""en"", ""fr"")"),"Un lutteur est pénalisé pour avoir saisi le bragoù (pantalon) de son adversaire. Cette décision est-elle justifiée ?")</f>
        <v>Un lutteur est pénalisé pour avoir saisi le bragoù (pantalon) de son adversaire. Cette décision est-elle justifiée ?</v>
      </c>
      <c r="I140" s="5" t="str">
        <f>IFERROR(__xludf.DUMMYFUNCTION("GOOGLETRANSLATE(C140,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140" s="5" t="str">
        <f>IFERROR(__xludf.DUMMYFUNCTION("GOOGLETRANSLATE(D140, ""en"", ""fr"")"),"B) Oui, toutes les prises doivent être sur le haut du corps (chemise).")</f>
        <v>B) Oui, toutes les prises doivent être sur le haut du corps (chemise).</v>
      </c>
      <c r="K140" s="5" t="str">
        <f>IFERROR(__xludf.DUMMYFUNCTION("GOOGLETRANSLATE(E140, ""en"", ""fr"")"),"Les règles du Gouren sont précises : la prise est limitée à la veste de lutte de l’adversaire. Saisir le pantalon est une faute.")</f>
        <v>Les règles du Gouren sont précises : la prise est limitée à la veste de lutte de l’adversaire. Saisir le pantalon est une faute.</v>
      </c>
    </row>
    <row r="141" ht="22.5" customHeight="1">
      <c r="A141" s="4">
        <v>140.0</v>
      </c>
      <c r="B141" s="5" t="s">
        <v>1671</v>
      </c>
      <c r="C141" s="5" t="s">
        <v>1672</v>
      </c>
      <c r="D141" s="5" t="s">
        <v>1673</v>
      </c>
      <c r="E141" s="5" t="s">
        <v>1674</v>
      </c>
      <c r="G141" s="5" t="str">
        <f>IFERROR(__xludf.DUMMYFUNCTION("GOOGLETRANSLATE(A141, ""en"", ""fr"")"),"140")</f>
        <v>140</v>
      </c>
      <c r="H141" s="5" t="str">
        <f>IFERROR(__xludf.DUMMYFUNCTION("GOOGLETRANSLATE(B141, ""en"", ""fr"")"),"À quel élément de la tenue du lutteur fait référence le mot « roched » ?")</f>
        <v>À quel élément de la tenue du lutteur fait référence le mot « roched » ?</v>
      </c>
      <c r="I141" s="5" t="str">
        <f>IFERROR(__xludf.DUMMYFUNCTION("GOOGLETRANSLATE(C141, ""en"", ""fr"")"),"A) Le pantalon, B) La ceinture, C) La chemise ou la veste blanche résistante à manches courtes, D) Les chaussures")</f>
        <v>A) Le pantalon, B) La ceinture, C) La chemise ou la veste blanche résistante à manches courtes, D) Les chaussures</v>
      </c>
      <c r="J141" s="5" t="str">
        <f>IFERROR(__xludf.DUMMYFUNCTION("GOOGLETRANSLATE(D141, ""en"", ""fr"")"),"C) La chemise ou la veste blanche résistante à manches courtes")</f>
        <v>C) La chemise ou la veste blanche résistante à manches courtes</v>
      </c>
      <c r="K141" s="5" t="str">
        <f>IFERROR(__xludf.DUMMYFUNCTION("GOOGLETRANSLATE(E141, ""en"", ""fr"")"),"Le roched est la veste robuste en lin ou en toile que les lutteurs agrippent pendant le match.")</f>
        <v>Le roched est la veste robuste en lin ou en toile que les lutteurs agrippent pendant le match.</v>
      </c>
    </row>
    <row r="142" ht="22.5" customHeight="1">
      <c r="A142" s="4">
        <v>141.0</v>
      </c>
      <c r="B142" s="5" t="s">
        <v>1675</v>
      </c>
      <c r="C142" s="5" t="s">
        <v>1676</v>
      </c>
      <c r="D142" s="5" t="s">
        <v>1677</v>
      </c>
      <c r="E142" s="5" t="s">
        <v>1678</v>
      </c>
      <c r="G142" s="5" t="str">
        <f>IFERROR(__xludf.DUMMYFUNCTION("GOOGLETRANSLATE(A142, ""en"", ""fr"")"),"141")</f>
        <v>141</v>
      </c>
      <c r="H142" s="5" t="str">
        <f>IFERROR(__xludf.DUMMYFUNCTION("GOOGLETRANSLATE(B142, ""en"", ""fr"")"),"Le serment du lutteur, « Je jure de combattre avec une loyauté totale », interdit principalement quoi ?")</f>
        <v>Le serment du lutteur, « Je jure de combattre avec une loyauté totale », interdit principalement quoi ?</v>
      </c>
      <c r="I142" s="5" t="str">
        <f>IFERROR(__xludf.DUMMYFUNCTION("GOOGLETRANSLATE(C142, ""en"", ""fr"")"),"A) Perdre le match, B) Toute forme de trahison ou de « coup bas », C) Parler pendant le match, D) Attaquer les jambes")</f>
        <v>A) Perdre le match, B) Toute forme de trahison ou de « coup bas », C) Parler pendant le match, D) Attaquer les jambes</v>
      </c>
      <c r="J142" s="5" t="str">
        <f>IFERROR(__xludf.DUMMYFUNCTION("GOOGLETRANSLATE(D142, ""en"", ""fr"")"),"B) Toute forme de trahison ou de « coups bas »,")</f>
        <v>B) Toute forme de trahison ou de « coups bas »,</v>
      </c>
      <c r="K142" s="5" t="str">
        <f>IFERROR(__xludf.DUMMYFUNCTION("GOOGLETRANSLATE(E142, ""en"", ""fr"")"),"Le serment est un engagement à combattre avec honneur, interdisant explicitement toute action qui ne repose pas sur une compétence juste et transparente.")</f>
        <v>Le serment est un engagement à combattre avec honneur, interdisant explicitement toute action qui ne repose pas sur une compétence juste et transparente.</v>
      </c>
    </row>
    <row r="143" ht="22.5" customHeight="1">
      <c r="A143" s="4">
        <v>142.0</v>
      </c>
      <c r="B143" s="5" t="s">
        <v>1645</v>
      </c>
      <c r="C143" s="5" t="s">
        <v>1646</v>
      </c>
      <c r="D143" s="5" t="s">
        <v>1647</v>
      </c>
      <c r="E143" s="5" t="s">
        <v>1648</v>
      </c>
      <c r="G143" s="5" t="str">
        <f>IFERROR(__xludf.DUMMYFUNCTION("GOOGLETRANSLATE(A143, ""en"", ""fr"")"),"142")</f>
        <v>142</v>
      </c>
      <c r="H143" s="5" t="str">
        <f>IFERROR(__xludf.DUMMYFUNCTION("GOOGLETRANSLATE(B143, ""en"", ""fr"")"),"Quel est le rôle principal des skoliou (écoles Gouren) aujourd'hui ?")</f>
        <v>Quel est le rôle principal des skoliou (écoles Gouren) aujourd'hui ?</v>
      </c>
      <c r="I143" s="5" t="str">
        <f>IFERROR(__xludf.DUMMYFUNCTION("GOOGLETRANSLATE(C143, ""en"", ""fr"")"),"A) Former des champions professionnels, B) Transmettre le sport et ses valeurs éthiques à une nouvelle génération, y compris les enfants, C) Être un club social pour adultes, D) Générer des revenus pour la fédération")</f>
        <v>A) Former des champions professionnels, B) Transmettre le sport et ses valeurs éthiques à une nouvelle génération, y compris les enfants, C) Être un club social pour adultes, D) Générer des revenus pour la fédération</v>
      </c>
      <c r="J143" s="5" t="str">
        <f>IFERROR(__xludf.DUMMYFUNCTION("GOOGLETRANSLATE(D143, ""en"", ""fr"")"),"B) Transmettre ce sport et ses valeurs éthiques à une nouvelle génération, y compris aux enfants")</f>
        <v>B) Transmettre ce sport et ses valeurs éthiques à une nouvelle génération, y compris aux enfants</v>
      </c>
      <c r="K143" s="5" t="str">
        <f>IFERROR(__xludf.DUMMYFUNCTION("GOOGLETRANSLATE(E143, ""en"", ""fr"")"),"Les écoles constituent la base de ce sport, axées sur l'éducation, la préservation culturelle et le développement personnel de leurs élèves.")</f>
        <v>Les écoles constituent la base de ce sport, axées sur l'éducation, la préservation culturelle et le développement personnel de leurs élèves.</v>
      </c>
    </row>
    <row r="144" ht="22.5" customHeight="1">
      <c r="A144" s="4">
        <v>143.0</v>
      </c>
      <c r="B144" s="5" t="s">
        <v>1649</v>
      </c>
      <c r="C144" s="5" t="s">
        <v>1650</v>
      </c>
      <c r="D144" s="5" t="s">
        <v>433</v>
      </c>
      <c r="E144" s="5" t="s">
        <v>1651</v>
      </c>
      <c r="G144" s="5" t="str">
        <f>IFERROR(__xludf.DUMMYFUNCTION("GOOGLETRANSLATE(A144, ""en"", ""fr"")"),"143")</f>
        <v>143</v>
      </c>
      <c r="H144" s="5" t="str">
        <f>IFERROR(__xludf.DUMMYFUNCTION("GOOGLETRANSLATE(B144, ""en"", ""fr"")"),"Quelle est la principale différence entre la lutte Gouren et la lutte libre olympique moderne ?")</f>
        <v>Quelle est la principale différence entre la lutte Gouren et la lutte libre olympique moderne ?</v>
      </c>
      <c r="I144" s="5" t="str">
        <f>IFERROR(__xludf.DUMMYFUNCTION("GOOGLETRANSLATE(C144, ""en"", ""fr"")"),"A) Les lutteurs de Gouren portent une veste (roched), tandis que les lutteurs de style libre portent un justaucorps. B) Le Gouren est un style de lutte debout uniquement. C) Le Gouren a une condition de victoire différente (lamm). D) Toutes les réponses c"&amp;"i-dessus.")</f>
        <v>A) Les lutteurs de Gouren portent une veste (roched), tandis que les lutteurs de style libre portent un justaucorps. B) Le Gouren est un style de lutte debout uniquement. C) Le Gouren a une condition de victoire différente (lamm). D) Toutes les réponses ci-dessus.</v>
      </c>
      <c r="J144" s="5" t="str">
        <f>IFERROR(__xludf.DUMMYFUNCTION("GOOGLETRANSLATE(D144, ""en"", ""fr"")"),"D) Toutes les réponses ci-dessus")</f>
        <v>D) Toutes les réponses ci-dessus</v>
      </c>
      <c r="K144" s="5" t="str">
        <f>IFERROR(__xludf.DUMMYFUNCTION("GOOGLETRANSLATE(E144, ""en"", ""fr"")"),"Le Gouren est un style de lutte complètement différent, avec son propre uniforme, ses règles et ses conditions de victoire uniques.")</f>
        <v>Le Gouren est un style de lutte complètement différent, avec son propre uniforme, ses règles et ses conditions de victoire uniques.</v>
      </c>
    </row>
    <row r="145" ht="22.5" customHeight="1">
      <c r="A145" s="4">
        <v>144.0</v>
      </c>
      <c r="B145" s="5" t="s">
        <v>1652</v>
      </c>
      <c r="C145" s="5" t="s">
        <v>1653</v>
      </c>
      <c r="D145" s="5" t="s">
        <v>1654</v>
      </c>
      <c r="E145" s="5" t="s">
        <v>1655</v>
      </c>
      <c r="G145" s="5" t="str">
        <f>IFERROR(__xludf.DUMMYFUNCTION("GOOGLETRANSLATE(A145, ""en"", ""fr"")"),"144")</f>
        <v>144</v>
      </c>
      <c r="H145" s="5" t="str">
        <f>IFERROR(__xludf.DUMMYFUNCTION("GOOGLETRANSLATE(B145, ""en"", ""fr"")"),"Un lutteur est connu pour son puissant « clic » (kliked). De quelle technique s'agit-il ?")</f>
        <v>Un lutteur est connu pour son puissant « clic » (kliked). De quelle technique s'agit-il ?</v>
      </c>
      <c r="I145" s="5" t="str">
        <f>IFERROR(__xludf.DUMMYFUNCTION("GOOGLETRANSLATE(C145, ""en"", ""fr"")"),"A) Un type de projection de hanche, B) Une projection puissante avec enroulement ou roulade, C) Un blocage défensif avec le pied, D) Le nom de la ceinture du lutteur")</f>
        <v>A) Un type de projection de hanche, B) Une projection puissante avec enroulement ou roulade, C) Un blocage défensif avec le pied, D) Le nom de la ceinture du lutteur</v>
      </c>
      <c r="J145" s="5" t="str">
        <f>IFERROR(__xludf.DUMMYFUNCTION("GOOGLETRANSLATE(D145, ""en"", ""fr"")"),"B) Un puissant mouvement de torsion ou de roulement")</f>
        <v>B) Un puissant mouvement de torsion ou de roulement</v>
      </c>
      <c r="K145" s="5" t="str">
        <f>IFERROR(__xludf.DUMMYFUNCTION("GOOGLETRANSLATE(E145, ""en"", ""fr"")"),"Le kliked est l'une des projections les plus caractéristiques et efficaces de ce sport, impliquant un puissant mouvement de rotation pour déséquilibrer l'adversaire.")</f>
        <v>Le kliked est l'une des projections les plus caractéristiques et efficaces de ce sport, impliquant un puissant mouvement de rotation pour déséquilibrer l'adversaire.</v>
      </c>
    </row>
    <row r="146" ht="22.5" customHeight="1">
      <c r="A146" s="4">
        <v>145.0</v>
      </c>
      <c r="B146" s="5" t="s">
        <v>1656</v>
      </c>
      <c r="C146" s="5" t="s">
        <v>1657</v>
      </c>
      <c r="D146" s="5" t="s">
        <v>1658</v>
      </c>
      <c r="E146" s="5" t="s">
        <v>1659</v>
      </c>
      <c r="G146" s="5" t="str">
        <f>IFERROR(__xludf.DUMMYFUNCTION("GOOGLETRANSLATE(A146, ""en"", ""fr"")"),"145")</f>
        <v>145</v>
      </c>
      <c r="H146" s="5" t="str">
        <f>IFERROR(__xludf.DUMMYFUNCTION("GOOGLETRANSLATE(B146, ""en"", ""fr"")"),"La fédération Gouren moderne est affiliée à quelle instance sportive française plus importante ?")</f>
        <v>La fédération Gouren moderne est affiliée à quelle instance sportive française plus importante ?</v>
      </c>
      <c r="I146" s="5" t="str">
        <f>IFERROR(__xludf.DUMMYFUNCTION("GOOGLETRANSLATE(C146, ""en"", ""fr"")"),"A) La Fédération Française de Football, B) La Fédération Française de Judo, C) La Fédération Française de Lutte (FFL), D) Le Comité Olympique Français")</f>
        <v>A) La Fédération Française de Football, B) La Fédération Française de Judo, C) La Fédération Française de Lutte (FFL), D) Le Comité Olympique Français</v>
      </c>
      <c r="J146" s="5" t="str">
        <f>IFERROR(__xludf.DUMMYFUNCTION("GOOGLETRANSLATE(D146, ""en"", ""fr"")"),"C) La Fédération Française de Lutte (FFL)")</f>
        <v>C) La Fédération Française de Lutte (FFL)</v>
      </c>
      <c r="K146" s="5" t="str">
        <f>IFERROR(__xludf.DUMMYFUNCTION("GOOGLETRANSLATE(E146, ""en"", ""fr"")"),"Le gouren est officiellement reconnu et administré comme un style de lutte régional sous l'égide de la Fédération Française de Lutte.")</f>
        <v>Le gouren est officiellement reconnu et administré comme un style de lutte régional sous l'égide de la Fédération Française de Lutte.</v>
      </c>
    </row>
    <row r="147" ht="22.5" customHeight="1">
      <c r="A147" s="4">
        <v>146.0</v>
      </c>
      <c r="B147" s="5" t="s">
        <v>1660</v>
      </c>
      <c r="C147" s="5" t="s">
        <v>1661</v>
      </c>
      <c r="D147" s="5" t="s">
        <v>433</v>
      </c>
      <c r="E147" s="5" t="s">
        <v>1662</v>
      </c>
      <c r="G147" s="5" t="str">
        <f>IFERROR(__xludf.DUMMYFUNCTION("GOOGLETRANSLATE(A147, ""en"", ""fr"")"),"146")</f>
        <v>146</v>
      </c>
      <c r="H147" s="5" t="str">
        <f>IFERROR(__xludf.DUMMYFUNCTION("GOOGLETRANSLATE(B147, ""en"", ""fr"")"),"Quelle est la principale raison pour laquelle les coups (poings et pieds) sont interdits à Gouren ?")</f>
        <v>Quelle est la principale raison pour laquelle les coups (poings et pieds) sont interdits à Gouren ?</v>
      </c>
      <c r="I147" s="5" t="str">
        <f>IFERROR(__xludf.DUMMYFUNCTION("GOOGLETRANSLATE(C147, ""en"", ""fr"")"),"A) C'est un art martial de préhension pure, axé sur les projections et l'équilibre. B) Ce serait trop dangereux. C) Les lutteurs ne portent pas de gants. D) Toutes les réponses ci-dessus.")</f>
        <v>A) C'est un art martial de préhension pure, axé sur les projections et l'équilibre. B) Ce serait trop dangereux. C) Les lutteurs ne portent pas de gants. D) Toutes les réponses ci-dessus.</v>
      </c>
      <c r="J147" s="5" t="str">
        <f>IFERROR(__xludf.DUMMYFUNCTION("GOOGLETRANSLATE(D147, ""en"", ""fr"")"),"D) Toutes les réponses ci-dessus")</f>
        <v>D) Toutes les réponses ci-dessus</v>
      </c>
      <c r="K147" s="5" t="str">
        <f>IFERROR(__xludf.DUMMYFUNCTION("GOOGLETRANSLATE(E147, ""en"", ""fr"")"),"Les règles de Gouren ont été codifiées pour en faire un sport sûr et technique de lutte pure, distinct des arts martiaux de frappe.")</f>
        <v>Les règles de Gouren ont été codifiées pour en faire un sport sûr et technique de lutte pure, distinct des arts martiaux de frappe.</v>
      </c>
    </row>
    <row r="148" ht="22.5" customHeight="1">
      <c r="A148" s="4">
        <v>147.0</v>
      </c>
      <c r="B148" s="5" t="s">
        <v>1663</v>
      </c>
      <c r="C148" s="5" t="s">
        <v>1664</v>
      </c>
      <c r="D148" s="5" t="s">
        <v>1665</v>
      </c>
      <c r="E148" s="5" t="s">
        <v>1666</v>
      </c>
      <c r="G148" s="5" t="str">
        <f>IFERROR(__xludf.DUMMYFUNCTION("GOOGLETRANSLATE(A148, ""en"", ""fr"")"),"147")</f>
        <v>147</v>
      </c>
      <c r="H148" s="5" t="str">
        <f>IFERROR(__xludf.DUMMYFUNCTION("GOOGLETRANSLATE(B148, ""en"", ""fr"")"),"Dans la FILC, quel est le style de lutte de quel pays connu sous le nom de Back-hold ?")</f>
        <v>Dans la FILC, quel est le style de lutte de quel pays connu sous le nom de Back-hold ?</v>
      </c>
      <c r="I148" s="5" t="str">
        <f>IFERROR(__xludf.DUMMYFUNCTION("GOOGLETRANSLATE(C148, ""en"", ""fr"")"),"A) Irlande, B) Bretagne, C) Cornouailles, D) Écosse")</f>
        <v>A) Irlande, B) Bretagne, C) Cornouailles, D) Écosse</v>
      </c>
      <c r="J148" s="5" t="str">
        <f>IFERROR(__xludf.DUMMYFUNCTION("GOOGLETRANSLATE(D148, ""en"", ""fr"")"),"D) Écosse")</f>
        <v>D) Écosse</v>
      </c>
      <c r="K148" s="5" t="str">
        <f>IFERROR(__xludf.DUMMYFUNCTION("GOOGLETRANSLATE(E148, ""en"", ""fr"")"),"La lutte écossaise en prise dorsale est un autre style celtique, connu pour sa prise de départ distinctive.")</f>
        <v>La lutte écossaise en prise dorsale est un autre style celtique, connu pour sa prise de départ distinctive.</v>
      </c>
    </row>
    <row r="149" ht="22.5" customHeight="1">
      <c r="A149" s="4">
        <v>148.0</v>
      </c>
      <c r="B149" s="5" t="s">
        <v>1641</v>
      </c>
      <c r="C149" s="5" t="s">
        <v>1642</v>
      </c>
      <c r="D149" s="5" t="s">
        <v>1643</v>
      </c>
      <c r="E149" s="5" t="s">
        <v>1644</v>
      </c>
      <c r="G149" s="5" t="str">
        <f>IFERROR(__xludf.DUMMYFUNCTION("GOOGLETRANSLATE(A149, ""en"", ""fr"")"),"148")</f>
        <v>148</v>
      </c>
      <c r="H149" s="5" t="str">
        <f>IFERROR(__xludf.DUMMYFUNCTION("GOOGLETRANSLATE(B149, ""en"", ""fr"")"),"Un lutteur remporte une projection, et le résultat est un kostin. Qu'est-ce que cela signifie ?")</f>
        <v>Un lutteur remporte une projection, et le résultat est un kostin. Qu'est-ce que cela signifie ?</v>
      </c>
      <c r="I149" s="5" t="str">
        <f>IFERROR(__xludf.DUMMYFUNCTION("GOOGLETRANSLATE(C149, ""en"", ""fr"")"),"A) L'adversaire a été blessé. B) La projection était parfaite. C) La projection n'a été que partiellement réussie, les deux lutteurs tombant. D) Le lutteur a triché.")</f>
        <v>A) L'adversaire a été blessé. B) La projection était parfaite. C) La projection n'a été que partiellement réussie, les deux lutteurs tombant. D) Le lutteur a triché.</v>
      </c>
      <c r="J149" s="5" t="str">
        <f>IFERROR(__xludf.DUMMYFUNCTION("GOOGLETRANSLATE(D149, ""en"", ""fr"")"),"C) La projection n'a été que partiellement réussie, les deux lutteurs tombant.")</f>
        <v>C) La projection n'a été que partiellement réussie, les deux lutteurs tombant.</v>
      </c>
      <c r="K149" s="5" t="str">
        <f>IFERROR(__xludf.DUMMYFUNCTION("GOOGLETRANSLATE(E149, ""en"", ""fr"")"),"Un kostin est un résultat où l'attaquant perd également l'équilibre et tombe, ce qui est un résultat moindre qu'un lamm propre.")</f>
        <v>Un kostin est un résultat où l'attaquant perd également l'équilibre et tombe, ce qui est un résultat moindre qu'un lamm propre.</v>
      </c>
    </row>
    <row r="150" ht="22.5" customHeight="1">
      <c r="A150" s="4">
        <v>149.0</v>
      </c>
      <c r="B150" s="5" t="s">
        <v>1667</v>
      </c>
      <c r="C150" s="5" t="s">
        <v>1668</v>
      </c>
      <c r="D150" s="5" t="s">
        <v>1669</v>
      </c>
      <c r="E150" s="5" t="s">
        <v>1670</v>
      </c>
      <c r="G150" s="5" t="str">
        <f>IFERROR(__xludf.DUMMYFUNCTION("GOOGLETRANSLATE(A150, ""en"", ""fr"")"),"149")</f>
        <v>149</v>
      </c>
      <c r="H150" s="5" t="str">
        <f>IFERROR(__xludf.DUMMYFUNCTION("GOOGLETRANSLATE(B150, ""en"", ""fr"")"),"Un lutteur est pénalisé pour avoir saisi le bragoù (pantalon) de son adversaire. Cette décision est-elle justifiée ?")</f>
        <v>Un lutteur est pénalisé pour avoir saisi le bragoù (pantalon) de son adversaire. Cette décision est-elle justifiée ?</v>
      </c>
      <c r="I150" s="5" t="str">
        <f>IFERROR(__xludf.DUMMYFUNCTION("GOOGLETRANSLATE(C150, ""en"", ""fr"")"),"A) Non, cela fait partie intégrante du catch en veste. B) Oui, toutes les prises doivent être effectuées sur le haut du corps (chemise). C) Uniquement si le pantalon se déchire. D) Uniquement lors d'un tournoi majeur.")</f>
        <v>A) Non, cela fait partie intégrante du catch en veste. B) Oui, toutes les prises doivent être effectuées sur le haut du corps (chemise). C) Uniquement si le pantalon se déchire. D) Uniquement lors d'un tournoi majeur.</v>
      </c>
      <c r="J150" s="5" t="str">
        <f>IFERROR(__xludf.DUMMYFUNCTION("GOOGLETRANSLATE(D150, ""en"", ""fr"")"),"B) Oui, toutes les prises doivent être sur le haut du corps (chemise).")</f>
        <v>B) Oui, toutes les prises doivent être sur le haut du corps (chemise).</v>
      </c>
      <c r="K150" s="5" t="str">
        <f>IFERROR(__xludf.DUMMYFUNCTION("GOOGLETRANSLATE(E150, ""en"", ""fr"")"),"Les règles du Gouren sont précises : la prise est limitée à la veste de lutte de l’adversaire. Saisir le pantalon est une faute.")</f>
        <v>Les règles du Gouren sont précises : la prise est limitée à la veste de lutte de l’adversaire. Saisir le pantalon est une faute.</v>
      </c>
    </row>
    <row r="151" ht="22.5" customHeight="1">
      <c r="A151" s="4">
        <v>150.0</v>
      </c>
      <c r="B151" s="5" t="s">
        <v>1671</v>
      </c>
      <c r="C151" s="5" t="s">
        <v>1672</v>
      </c>
      <c r="D151" s="5" t="s">
        <v>1673</v>
      </c>
      <c r="E151" s="5" t="s">
        <v>1674</v>
      </c>
      <c r="G151" s="5" t="str">
        <f>IFERROR(__xludf.DUMMYFUNCTION("GOOGLETRANSLATE(A151, ""en"", ""fr"")"),"150")</f>
        <v>150</v>
      </c>
      <c r="H151" s="5" t="str">
        <f>IFERROR(__xludf.DUMMYFUNCTION("GOOGLETRANSLATE(B151, ""en"", ""fr"")"),"À quel élément de la tenue du lutteur fait référence le mot « roched » ?")</f>
        <v>À quel élément de la tenue du lutteur fait référence le mot « roched » ?</v>
      </c>
      <c r="I151" s="5" t="str">
        <f>IFERROR(__xludf.DUMMYFUNCTION("GOOGLETRANSLATE(C151, ""en"", ""fr"")"),"A) Le pantalon, B) La ceinture, C) La chemise ou la veste blanche résistante à manches courtes, D) Les chaussures")</f>
        <v>A) Le pantalon, B) La ceinture, C) La chemise ou la veste blanche résistante à manches courtes, D) Les chaussures</v>
      </c>
      <c r="J151" s="5" t="str">
        <f>IFERROR(__xludf.DUMMYFUNCTION("GOOGLETRANSLATE(D151, ""en"", ""fr"")"),"C) La chemise ou la veste blanche résistante à manches courtes")</f>
        <v>C) La chemise ou la veste blanche résistante à manches courtes</v>
      </c>
      <c r="K151" s="5" t="str">
        <f>IFERROR(__xludf.DUMMYFUNCTION("GOOGLETRANSLATE(E151, ""en"", ""fr"")"),"Le roched est la veste robuste en lin ou en toile que les lutteurs agrippent pendant le match.")</f>
        <v>Le roched est la veste robuste en lin ou en toile que les lutteurs agrippent pendant le match.</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7" max="7" width="14.25"/>
    <col customWidth="1" min="10" max="10" width="12.88"/>
    <col customWidth="1" min="11" max="11" width="13.88"/>
  </cols>
  <sheetData>
    <row r="1" ht="22.5" customHeight="1">
      <c r="A1" s="1" t="s">
        <v>0</v>
      </c>
      <c r="B1" s="2" t="s">
        <v>1</v>
      </c>
      <c r="C1" s="2" t="s">
        <v>2</v>
      </c>
      <c r="D1" s="2" t="s">
        <v>3</v>
      </c>
      <c r="E1" s="2" t="s">
        <v>4</v>
      </c>
      <c r="G1" s="2" t="s">
        <v>5</v>
      </c>
      <c r="H1" s="2" t="s">
        <v>6</v>
      </c>
      <c r="I1" s="2" t="s">
        <v>7</v>
      </c>
      <c r="J1" s="2" t="s">
        <v>8</v>
      </c>
      <c r="K1" s="2" t="s">
        <v>4</v>
      </c>
    </row>
    <row r="2" ht="22.5" customHeight="1">
      <c r="A2" s="4">
        <v>1.0</v>
      </c>
      <c r="B2" s="5" t="s">
        <v>1679</v>
      </c>
      <c r="C2" s="5" t="s">
        <v>1680</v>
      </c>
      <c r="D2" s="5" t="s">
        <v>1681</v>
      </c>
      <c r="E2" s="5" t="s">
        <v>1682</v>
      </c>
      <c r="G2" s="5" t="str">
        <f>IFERROR(__xludf.DUMMYFUNCTION("GOOGLETRANSLATE(A2, ""en"", ""fr"")"),"1")</f>
        <v>1</v>
      </c>
      <c r="H2" s="5" t="str">
        <f>IFERROR(__xludf.DUMMYFUNCTION("GOOGLETRANSLATE(B2, ""en"", ""fr"")"),"Quel est l'objectif principal d'un razeteur dans le Cours Camarguaise ?")</f>
        <v>Quel est l'objectif principal d'un razeteur dans le Cours Camarguaise ?</v>
      </c>
      <c r="I2" s="5" t="str">
        <f>IFERROR(__xludf.DUMMYFUNCTION("GOOGLETRANSLATE(C2, ""en"", ""fr"")"),"A) Fatiguer le taureau, B) Rester dans l'arène pendant 15 minutes, C) Utiliser un crochet pour attraper des objets sur les cornes du taureau, D) Effectuer des sauts acrobatiques par-dessus le taureau")</f>
        <v>A) Fatiguer le taureau, B) Rester dans l'arène pendant 15 minutes, C) Utiliser un crochet pour attraper des objets sur les cornes du taureau, D) Effectuer des sauts acrobatiques par-dessus le taureau</v>
      </c>
      <c r="J2" s="5" t="str">
        <f>IFERROR(__xludf.DUMMYFUNCTION("GOOGLETRANSLATE(D2, ""en"", ""fr"")"),"C) Utiliser un crochet pour arracher des attributs aux cornes du taureau")</f>
        <v>C) Utiliser un crochet pour arracher des attributs aux cornes du taureau</v>
      </c>
      <c r="K2" s="5" t="str">
        <f>IFERROR(__xludf.DUMMYFUNCTION("GOOGLETRANSLATE(E2, ""en"", ""fr"")"),"Ce sport repose entièrement sur l'habileté et le courage des razeteurs qui tentent de récupérer les attributs placés sur le taureau.")</f>
        <v>Ce sport repose entièrement sur l'habileté et le courage des razeteurs qui tentent de récupérer les attributs placés sur le taureau.</v>
      </c>
    </row>
    <row r="3" ht="22.5" customHeight="1">
      <c r="A3" s="4">
        <v>2.0</v>
      </c>
      <c r="B3" s="5" t="s">
        <v>1683</v>
      </c>
      <c r="C3" s="5" t="s">
        <v>1684</v>
      </c>
      <c r="D3" s="5" t="s">
        <v>1685</v>
      </c>
      <c r="E3" s="5" t="s">
        <v>1686</v>
      </c>
      <c r="G3" s="5" t="str">
        <f>IFERROR(__xludf.DUMMYFUNCTION("GOOGLETRANSLATE(A3, ""en"", ""fr"")"),"2")</f>
        <v>2</v>
      </c>
      <c r="H3" s="5" t="str">
        <f>IFERROR(__xludf.DUMMYFUNCTION("GOOGLETRANSLATE(B3, ""en"", ""fr"")"),"Quelle est la règle fondamentale qui distingue la course camarguaise de la corrida espagnole ?")</f>
        <v>Quelle est la règle fondamentale qui distingue la course camarguaise de la corrida espagnole ?</v>
      </c>
      <c r="I3" s="5" t="str">
        <f>IFERROR(__xludf.DUMMYFUNCTION("GOOGLETRANSLATE(C3, ""en"", ""fr"")"),"A) Le taureau n'est jamais intentionnellement blessé ou tué dans l'arène. B) C'est un sport d'équipe. C) Les compétitions ont toujours lieu la nuit. D) Seuls de jeunes taureaux sont utilisés.")</f>
        <v>A) Le taureau n'est jamais intentionnellement blessé ou tué dans l'arène. B) C'est un sport d'équipe. C) Les compétitions ont toujours lieu la nuit. D) Seuls de jeunes taureaux sont utilisés.</v>
      </c>
      <c r="J3" s="5" t="str">
        <f>IFERROR(__xludf.DUMMYFUNCTION("GOOGLETRANSLATE(D3, ""en"", ""fr"")"),"A) Le taureau n'est jamais intentionnellement blessé ou tué dans l'arène.")</f>
        <v>A) Le taureau n'est jamais intentionnellement blessé ou tué dans l'arène.</v>
      </c>
      <c r="K3" s="5" t="str">
        <f>IFERROR(__xludf.DUMMYFUNCTION("GOOGLETRANSLATE(E3, ""en"", ""fr"")"),"C'est le principe fondamental de ce sport. Le taureau est l'athlète vedette ; il est respecté et préservé.")</f>
        <v>C'est le principe fondamental de ce sport. Le taureau est l'athlète vedette ; il est respecté et préservé.</v>
      </c>
    </row>
    <row r="4" ht="22.5" customHeight="1">
      <c r="A4" s="4">
        <v>3.0</v>
      </c>
      <c r="B4" s="5" t="s">
        <v>1687</v>
      </c>
      <c r="C4" s="5" t="s">
        <v>1688</v>
      </c>
      <c r="D4" s="5" t="s">
        <v>1689</v>
      </c>
      <c r="E4" s="5" t="s">
        <v>1690</v>
      </c>
      <c r="G4" s="5" t="str">
        <f>IFERROR(__xludf.DUMMYFUNCTION("GOOGLETRANSLATE(A4, ""en"", ""fr"")"),"3")</f>
        <v>3</v>
      </c>
      <c r="H4" s="5" t="str">
        <f>IFERROR(__xludf.DUMMYFUNCTION("GOOGLETRANSLATE(B4, ""en"", ""fr"")"),"Quelle est la race précise de taureau utilisée dans la Course Camarguaise ?")</f>
        <v>Quelle est la race précise de taureau utilisée dans la Course Camarguaise ?</v>
      </c>
      <c r="I4" s="5" t="str">
        <f>IFERROR(__xludf.DUMMYFUNCTION("GOOGLETRANSLATE(C4, ""en"", ""fr"")"),"A) Le taureau de combat espagnol, B) Le taureau de Camargue (Raço di Biòu), C) L'Aubrac, D) Le taureau charolais")</f>
        <v>A) Le taureau de combat espagnol, B) Le taureau de Camargue (Raço di Biòu), C) L'Aubrac, D) Le taureau charolais</v>
      </c>
      <c r="J4" s="5" t="str">
        <f>IFERROR(__xludf.DUMMYFUNCTION("GOOGLETRANSLATE(D4, ""en"", ""fr"")"),"B) La Camargue (Raço di Biòu)")</f>
        <v>B) La Camargue (Raço di Biòu)</v>
      </c>
      <c r="K4" s="5" t="str">
        <f>IFERROR(__xludf.DUMMYFUNCTION("GOOGLETRANSLATE(E4, ""en"", ""fr"")"),"Ce sport utilise exclusivement la race indigène de Camargue, un petit taureau noir agile et intelligent aux cornes en forme de lyre.")</f>
        <v>Ce sport utilise exclusivement la race indigène de Camargue, un petit taureau noir agile et intelligent aux cornes en forme de lyre.</v>
      </c>
    </row>
    <row r="5" ht="22.5" customHeight="1">
      <c r="A5" s="4">
        <v>4.0</v>
      </c>
      <c r="B5" s="5" t="s">
        <v>1691</v>
      </c>
      <c r="C5" s="5" t="s">
        <v>1692</v>
      </c>
      <c r="D5" s="5" t="s">
        <v>1693</v>
      </c>
      <c r="E5" s="5" t="s">
        <v>1694</v>
      </c>
      <c r="G5" s="5" t="str">
        <f>IFERROR(__xludf.DUMMYFUNCTION("GOOGLETRANSLATE(A5, ""en"", ""fr"")"),"4")</f>
        <v>4</v>
      </c>
      <c r="H5" s="5" t="str">
        <f>IFERROR(__xludf.DUMMYFUNCTION("GOOGLETRANSLATE(B5, ""en"", ""fr"")"),"Quel est le nom officiel donné aux participants humains qui entrent dans l'arène à pied ?")</f>
        <v>Quel est le nom officiel donné aux participants humains qui entrent dans l'arène à pied ?</v>
      </c>
      <c r="I5" s="5" t="str">
        <f>IFERROR(__xludf.DUMMYFUNCTION("GOOGLETRANSLATE(C5, ""en"", ""fr"")"),"A) Matadors, B) Picadors, C) Gardiens, D) Razeteurs")</f>
        <v>A) Matadors, B) Picadors, C) Gardiens, D) Razeteurs</v>
      </c>
      <c r="J5" s="5" t="str">
        <f>IFERROR(__xludf.DUMMYFUNCTION("GOOGLETRANSLATE(D5, ""en"", ""fr"")"),"D) Razeteurs")</f>
        <v>D) Razeteurs</v>
      </c>
      <c r="K5" s="5" t="str">
        <f>IFERROR(__xludf.DUMMYFUNCTION("GOOGLETRANSLATE(E5, ""en"", ""fr"")"),"Le razeteur est l'athlète vêtu de blanc qui effectue le raset pour s'emparer des attributs.")</f>
        <v>Le razeteur est l'athlète vêtu de blanc qui effectue le raset pour s'emparer des attributs.</v>
      </c>
    </row>
    <row r="6" ht="22.5" customHeight="1">
      <c r="A6" s="4">
        <v>5.0</v>
      </c>
      <c r="B6" s="5" t="s">
        <v>1695</v>
      </c>
      <c r="C6" s="5" t="s">
        <v>1696</v>
      </c>
      <c r="D6" s="5" t="s">
        <v>1697</v>
      </c>
      <c r="E6" s="5" t="s">
        <v>1698</v>
      </c>
      <c r="G6" s="5" t="str">
        <f>IFERROR(__xludf.DUMMYFUNCTION("GOOGLETRANSLATE(A6, ""en"", ""fr"")"),"5")</f>
        <v>5</v>
      </c>
      <c r="H6" s="5" t="str">
        <f>IFERROR(__xludf.DUMMYFUNCTION("GOOGLETRANSLATE(B6, ""en"", ""fr"")"),"Comment s'appelle le crochet métallique porté à la main par un razeteur pour prendre les attributs ?")</f>
        <v>Comment s'appelle le crochet métallique porté à la main par un razeteur pour prendre les attributs ?</v>
      </c>
      <c r="I6" s="5" t="str">
        <f>IFERROR(__xludf.DUMMYFUNCTION("GOOGLETRANSLATE(C6, ""en"", ""fr"")"),"A) Le crochet, B) Le trident, C) Le crochet, D) Le griffe")</f>
        <v>A) Le crochet, B) Le trident, C) Le crochet, D) Le griffe</v>
      </c>
      <c r="J6" s="5" t="str">
        <f>IFERROR(__xludf.DUMMYFUNCTION("GOOGLETRANSLATE(D6, ""en"", ""fr"")"),"C) Le crochet")</f>
        <v>C) Le crochet</v>
      </c>
      <c r="K6" s="5" t="str">
        <f>IFERROR(__xludf.DUMMYFUNCTION("GOOGLETRANSLATE(E6, ""en"", ""fr"")"),"Le crochet est l'outil unique en forme de griffe utilisé par le razeteur pour sectionner les cordes retenant les attributs sur les cornes du taureau.")</f>
        <v>Le crochet est l'outil unique en forme de griffe utilisé par le razeteur pour sectionner les cordes retenant les attributs sur les cornes du taureau.</v>
      </c>
    </row>
    <row r="7" ht="22.5" customHeight="1">
      <c r="A7" s="4">
        <v>6.0</v>
      </c>
      <c r="B7" s="5" t="s">
        <v>1699</v>
      </c>
      <c r="C7" s="5" t="s">
        <v>1700</v>
      </c>
      <c r="D7" s="5" t="s">
        <v>1701</v>
      </c>
      <c r="E7" s="5" t="s">
        <v>1702</v>
      </c>
      <c r="G7" s="5" t="str">
        <f>IFERROR(__xludf.DUMMYFUNCTION("GOOGLETRANSLATE(A7, ""en"", ""fr"")"),"6")</f>
        <v>6</v>
      </c>
      <c r="H7" s="5" t="str">
        <f>IFERROR(__xludf.DUMMYFUNCTION("GOOGLETRANSLATE(B7, ""en"", ""fr"")"),"Quels sont les trois types d'« attributs » placés sur les cornes d'un taureau pour une course ?")</f>
        <v>Quels sont les trois types d'« attributs » placés sur les cornes d'un taureau pour une course ?</v>
      </c>
      <c r="I7" s="5" t="str">
        <f>IFERROR(__xludf.DUMMYFUNCTION("GOOGLETRANSLATE(C7, ""en"", ""fr"")"),"A) Un drapeau, une cloche et une fleur ; B) La cocarde, les glands et les ficelles ; C) Un ruban, un gland et un bonnet en corne ; D) Une écharpe, une bague et une ficelle.")</f>
        <v>A) Un drapeau, une cloche et une fleur ; B) La cocarde, les glands et les ficelles ; C) Un ruban, un gland et un bonnet en corne ; D) Une écharpe, une bague et une ficelle.</v>
      </c>
      <c r="J7" s="5" t="str">
        <f>IFERROR(__xludf.DUMMYFUNCTION("GOOGLETRANSLATE(D7, ""en"", ""fr"")"),"B) La cocarde, les glands et les cordes")</f>
        <v>B) La cocarde, les glands et les cordes</v>
      </c>
      <c r="K7" s="5" t="str">
        <f>IFERROR(__xludf.DUMMYFUNCTION("GOOGLETRANSLATE(E7, ""en"", ""fr"")"),"Ce sont les trois prix officiels, chacun ayant une valeur en points différente, que les razeteurs s'efforcent de remporter.")</f>
        <v>Ce sont les trois prix officiels, chacun ayant une valeur en points différente, que les razeteurs s'efforcent de remporter.</v>
      </c>
    </row>
    <row r="8" ht="22.5" customHeight="1">
      <c r="A8" s="4">
        <v>7.0</v>
      </c>
      <c r="B8" s="5" t="s">
        <v>1703</v>
      </c>
      <c r="C8" s="5" t="s">
        <v>1704</v>
      </c>
      <c r="D8" s="5" t="s">
        <v>1705</v>
      </c>
      <c r="E8" s="5" t="s">
        <v>1706</v>
      </c>
      <c r="G8" s="5" t="str">
        <f>IFERROR(__xludf.DUMMYFUNCTION("GOOGLETRANSLATE(A8, ""en"", ""fr"")"),"7")</f>
        <v>7</v>
      </c>
      <c r="H8" s="5" t="str">
        <f>IFERROR(__xludf.DUMMYFUNCTION("GOOGLETRANSLATE(B8, ""en"", ""fr"")"),"Lequel de ces trois attributs est placé exactement au centre du front du taureau ?")</f>
        <v>Lequel de ces trois attributs est placé exactement au centre du front du taureau ?</v>
      </c>
      <c r="I8" s="5" t="str">
        <f>IFERROR(__xludf.DUMMYFUNCTION("GOOGLETRANSLATE(C8, ""en"", ""fr"")"),"A) Le gland, B) La ficelle, C) La cocarde, D) Un ruban")</f>
        <v>A) Le gland, B) La ficelle, C) La cocarde, D) Un ruban</v>
      </c>
      <c r="J8" s="5" t="str">
        <f>IFERROR(__xludf.DUMMYFUNCTION("GOOGLETRANSLATE(D8, ""en"", ""fr"")"),"C) La cocarde")</f>
        <v>C) La cocarde</v>
      </c>
      <c r="K8" s="5" t="str">
        <f>IFERROR(__xludf.DUMMYFUNCTION("GOOGLETRANSLATE(E8, ""en"", ""fr"")"),"La cocarde, un petit ruban rouge, est le premier et le plus prestigieux attribut à être prélevé, placé directement sur le front du taureau.")</f>
        <v>La cocarde, un petit ruban rouge, est le premier et le plus prestigieux attribut à être prélevé, placé directement sur le front du taureau.</v>
      </c>
    </row>
    <row r="9" ht="22.5" customHeight="1">
      <c r="A9" s="4">
        <v>8.0</v>
      </c>
      <c r="B9" s="5" t="s">
        <v>1707</v>
      </c>
      <c r="C9" s="5" t="s">
        <v>1708</v>
      </c>
      <c r="D9" s="5" t="s">
        <v>1709</v>
      </c>
      <c r="E9" s="5" t="s">
        <v>1710</v>
      </c>
      <c r="G9" s="5" t="str">
        <f>IFERROR(__xludf.DUMMYFUNCTION("GOOGLETRANSLATE(A9, ""en"", ""fr"")"),"8")</f>
        <v>8</v>
      </c>
      <c r="H9" s="5" t="str">
        <f>IFERROR(__xludf.DUMMYFUNCTION("GOOGLETRANSLATE(B9, ""en"", ""fr"")"),"Quelle est la durée standard de la présence d'un taureau dans l'arène ?")</f>
        <v>Quelle est la durée standard de la présence d'un taureau dans l'arène ?</v>
      </c>
      <c r="I9" s="5" t="str">
        <f>IFERROR(__xludf.DUMMYFUNCTION("GOOGLETRANSLATE(C9, ""en"", ""fr"")"),"A) 10 minutes, B) 15 minutes, C) 20 minutes, D) Jusqu'à ce que tous les attributs soient pris en compte")</f>
        <v>A) 10 minutes, B) 15 minutes, C) 20 minutes, D) Jusqu'à ce que tous les attributs soient pris en compte</v>
      </c>
      <c r="J9" s="5" t="str">
        <f>IFERROR(__xludf.DUMMYFUNCTION("GOOGLETRANSLATE(D9, ""en"", ""fr"")"),"B) 15 minutes")</f>
        <v>B) 15 minutes</v>
      </c>
      <c r="K9" s="5" t="str">
        <f>IFERROR(__xludf.DUMMYFUNCTION("GOOGLETRANSLATE(E9, ""en"", ""fr"")"),"Chaque taureau, ou cocardier, performe pendant un maximum de 15 minutes, après quoi il est ramené dans son enclos (toril).")</f>
        <v>Chaque taureau, ou cocardier, performe pendant un maximum de 15 minutes, après quoi il est ramené dans son enclos (toril).</v>
      </c>
    </row>
    <row r="10" ht="22.5" customHeight="1">
      <c r="A10" s="4">
        <v>9.0</v>
      </c>
      <c r="B10" s="5" t="s">
        <v>1711</v>
      </c>
      <c r="C10" s="5" t="s">
        <v>1712</v>
      </c>
      <c r="D10" s="5" t="s">
        <v>1713</v>
      </c>
      <c r="E10" s="5" t="s">
        <v>1714</v>
      </c>
      <c r="G10" s="5" t="str">
        <f>IFERROR(__xludf.DUMMYFUNCTION("GOOGLETRANSLATE(A10, ""en"", ""fr"")"),"9")</f>
        <v>9</v>
      </c>
      <c r="H10" s="5" t="str">
        <f>IFERROR(__xludf.DUMMYFUNCTION("GOOGLETRANSLATE(B10, ""en"", ""fr"")"),"Quel est l'uniforme requis pour un razeteur ?")</f>
        <v>Quel est l'uniforme requis pour un razeteur ?</v>
      </c>
      <c r="I10" s="5" t="str">
        <f>IFERROR(__xludf.DUMMYFUNCTION("GOOGLETRANSLATE(C10, ""en"", ""fr"")"),"A) Tenue traditionnelle de cow-boy, B) Tenue entièrement blanche (pantalon et chemise), C) Costume léger, D) Pas d'uniforme")</f>
        <v>A) Tenue traditionnelle de cow-boy, B) Tenue entièrement blanche (pantalon et chemise), C) Costume léger, D) Pas d'uniforme</v>
      </c>
      <c r="J10" s="5" t="str">
        <f>IFERROR(__xludf.DUMMYFUNCTION("GOOGLETRANSLATE(D10, ""en"", ""fr"")"),"B) Une tenue entièrement blanche (pantalon et chemise)")</f>
        <v>B) Une tenue entièrement blanche (pantalon et chemise)</v>
      </c>
      <c r="K10" s="5" t="str">
        <f>IFERROR(__xludf.DUMMYFUNCTION("GOOGLETRANSLATE(E10, ""en"", ""fr"")"),"Par souci de visibilité et par tradition, tous les razeteurs et leurs assistants doivent être vêtus entièrement de blanc.")</f>
        <v>Par souci de visibilité et par tradition, tous les razeteurs et leurs assistants doivent être vêtus entièrement de blanc.</v>
      </c>
    </row>
    <row r="11" ht="22.5" customHeight="1">
      <c r="A11" s="4">
        <v>10.0</v>
      </c>
      <c r="B11" s="5" t="s">
        <v>1715</v>
      </c>
      <c r="C11" s="5" t="s">
        <v>1716</v>
      </c>
      <c r="D11" s="5" t="s">
        <v>1717</v>
      </c>
      <c r="E11" s="5" t="s">
        <v>1718</v>
      </c>
      <c r="G11" s="5" t="str">
        <f>IFERROR(__xludf.DUMMYFUNCTION("GOOGLETRANSLATE(A11, ""en"", ""fr"")"),"10")</f>
        <v>10</v>
      </c>
      <c r="H11" s="5" t="str">
        <f>IFERROR(__xludf.DUMMYFUNCTION("GOOGLETRANSLATE(B11, ""en"", ""fr"")"),"Quel est le rôle du tourneur dans l'arène ?")</f>
        <v>Quel est le rôle du tourneur dans l'arène ?</v>
      </c>
      <c r="I11" s="5" t="str">
        <f>IFERROR(__xludf.DUMMYFUNCTION("GOOGLETRANSLATE(C11, ""en"", ""fr"")"),"A) Distraire le taureau et le positionner correctement pour la charge du raseur, B) Ouvrir et fermer la porte, C) Remplaçant le raseur, D) Tenir le score")</f>
        <v>A) Distraire le taureau et le positionner correctement pour la charge du raseur, B) Ouvrir et fermer la porte, C) Remplaçant le raseur, D) Tenir le score</v>
      </c>
      <c r="J11" s="5" t="str">
        <f>IFERROR(__xludf.DUMMYFUNCTION("GOOGLETRANSLATE(D11, ""en"", ""fr"")"),"A) Distraire le taureau et le positionner correctement pour la charge du razeteur")</f>
        <v>A) Distraire le taureau et le positionner correctement pour la charge du razeteur</v>
      </c>
      <c r="K11" s="5" t="str">
        <f>IFERROR(__xludf.DUMMYFUNCTION("GOOGLETRANSLATE(E11, ""en"", ""fr"")"),"Le tourteur, également vêtu de blanc, est le coéquipier du razeteur, dont le positionnement expert est crucial pour la mise en place d'un raset réussi.")</f>
        <v>Le tourteur, également vêtu de blanc, est le coéquipier du razeteur, dont le positionnement expert est crucial pour la mise en place d'un raset réussi.</v>
      </c>
    </row>
    <row r="12" ht="22.5" customHeight="1">
      <c r="A12" s="4">
        <v>11.0</v>
      </c>
      <c r="B12" s="5" t="s">
        <v>1719</v>
      </c>
      <c r="C12" s="5" t="s">
        <v>1720</v>
      </c>
      <c r="D12" s="5" t="s">
        <v>1721</v>
      </c>
      <c r="E12" s="5" t="s">
        <v>1722</v>
      </c>
      <c r="G12" s="5" t="str">
        <f>IFERROR(__xludf.DUMMYFUNCTION("GOOGLETRANSLATE(A12, ""en"", ""fr"")"),"11")</f>
        <v>11</v>
      </c>
      <c r="H12" s="5" t="str">
        <f>IFERROR(__xludf.DUMMYFUNCTION("GOOGLETRANSLATE(B12, ""en"", ""fr"")"),"Qu'est-ce qu'un «raset» ?")</f>
        <v>Qu'est-ce qu'un «raset» ?</v>
      </c>
      <c r="I12" s="5" t="str">
        <f>IFERROR(__xludf.DUMMYFUNCTION("GOOGLETRANSLATE(C12, ""en"", ""fr"")"),"A) Le nom du taureau, B) Le nom du crochet, C) La course explosive et courbe du razeteur pour dépasser le taureau et s'emparer d'un attribut, D) Le round final")</f>
        <v>A) Le nom du taureau, B) Le nom du crochet, C) La course explosive et courbe du razeteur pour dépasser le taureau et s'emparer d'un attribut, D) Le round final</v>
      </c>
      <c r="J12" s="5" t="str">
        <f>IFERROR(__xludf.DUMMYFUNCTION("GOOGLETRANSLATE(D12, ""en"", ""fr"")"),"C) La course explosive et courbe que le razeteur effectue pour dépasser le taureau et s'emparer d'un attribut")</f>
        <v>C) La course explosive et courbe que le razeteur effectue pour dépasser le taureau et s'emparer d'un attribut</v>
      </c>
      <c r="K12" s="5" t="str">
        <f>IFERROR(__xludf.DUMMYFUNCTION("GOOGLETRANSLATE(E12, ""en"", ""fr"")"),"Le raset est l'action emblématique de ce sport, une manœuvre extrêmement habile et dangereuse exigeant un timing et une vitesse parfaits.")</f>
        <v>Le raset est l'action emblématique de ce sport, une manœuvre extrêmement habile et dangereuse exigeant un timing et une vitesse parfaits.</v>
      </c>
    </row>
    <row r="13" ht="22.5" customHeight="1">
      <c r="A13" s="4">
        <v>12.0</v>
      </c>
      <c r="B13" s="5" t="s">
        <v>1723</v>
      </c>
      <c r="C13" s="5" t="s">
        <v>1724</v>
      </c>
      <c r="D13" s="5" t="s">
        <v>1725</v>
      </c>
      <c r="E13" s="5" t="s">
        <v>1726</v>
      </c>
      <c r="G13" s="5" t="str">
        <f>IFERROR(__xludf.DUMMYFUNCTION("GOOGLETRANSLATE(A13, ""en"", ""fr"")"),"12")</f>
        <v>12</v>
      </c>
      <c r="H13" s="5" t="str">
        <f>IFERROR(__xludf.DUMMYFUNCTION("GOOGLETRANSLATE(B13, ""en"", ""fr"")"),"Un taureau chargeant saute sur la barrière rouge qui entoure l'arène pour échapper à un taureau enragé. Cette manœuvre est-elle légale ?")</f>
        <v>Un taureau chargeant saute sur la barrière rouge qui entoure l'arène pour échapper à un taureau enragé. Cette manœuvre est-elle légale ?</v>
      </c>
      <c r="I13" s="5" t="str">
        <f>IFERROR(__xludf.DUMMYFUNCTION("GOOGLETRANSLATE(C13, ""en"", ""fr"")"),"A) Non, ils doivent rester sur la piste. B) Oui, c'est le principal moyen d'échappatoire. C) C'est une faute et cela entraîne une pénalité. D) Seulement s'ils n'utilisent pas leurs mains.")</f>
        <v>A) Non, ils doivent rester sur la piste. B) Oui, c'est le principal moyen d'échappatoire. C) C'est une faute et cela entraîne une pénalité. D) Seulement s'ils n'utilisent pas leurs mains.</v>
      </c>
      <c r="J13" s="5" t="str">
        <f>IFERROR(__xludf.DUMMYFUNCTION("GOOGLETRANSLATE(D13, ""en"", ""fr"")"),"B) Oui, c'est le principal moyen d'évasion")</f>
        <v>B) Oui, c'est le principal moyen d'évasion</v>
      </c>
      <c r="K13" s="5" t="str">
        <f>IFERROR(__xludf.DUMMYFUNCTION("GOOGLETRANSLATE(E13, ""en"", ""fr"")"),"L'agilité des cavaliers est mise en valeur par leurs sauts spectaculaires par-dessus la barrière pour éviter en toute sécurité les cornes du taureau.")</f>
        <v>L'agilité des cavaliers est mise en valeur par leurs sauts spectaculaires par-dessus la barrière pour éviter en toute sécurité les cornes du taureau.</v>
      </c>
    </row>
    <row r="14" ht="22.5" customHeight="1">
      <c r="A14" s="4">
        <v>13.0</v>
      </c>
      <c r="B14" s="5" t="s">
        <v>1727</v>
      </c>
      <c r="C14" s="5" t="s">
        <v>1728</v>
      </c>
      <c r="D14" s="5" t="s">
        <v>1729</v>
      </c>
      <c r="E14" s="5" t="s">
        <v>1730</v>
      </c>
      <c r="G14" s="5" t="str">
        <f>IFERROR(__xludf.DUMMYFUNCTION("GOOGLETRANSLATE(A14, ""en"", ""fr"")"),"13")</f>
        <v>13</v>
      </c>
      <c r="H14" s="5" t="str">
        <f>IFERROR(__xludf.DUMMYFUNCTION("GOOGLETRANSLATE(B14, ""en"", ""fr"")"),"Qu'est-ce que le « Trophée des As » ?")</f>
        <v>Qu'est-ce que le « Trophée des As » ?</v>
      </c>
      <c r="I14" s="5" t="str">
        <f>IFERROR(__xludf.DUMMYFUNCTION("GOOGLETRANSLATE(C14, ""en"", ""fr"")"),"A) Un prix spécial pour le meilleur taureau, B) Le championnat le plus prestigieux, qui dure toute la saison, pour les taureaux d'élite, C) Un tournoi pour les taureaux retraités, D) Un jeu de cartes pratiqué lors des festivals")</f>
        <v>A) Un prix spécial pour le meilleur taureau, B) Le championnat le plus prestigieux, qui dure toute la saison, pour les taureaux d'élite, C) Un tournoi pour les taureaux retraités, D) Un jeu de cartes pratiqué lors des festivals</v>
      </c>
      <c r="J14" s="5" t="str">
        <f>IFERROR(__xludf.DUMMYFUNCTION("GOOGLETRANSLATE(D14, ""en"", ""fr"")"),"B) Le championnat le plus prestigieux, qui dure toute la saison, pour les razeteurs d'élite")</f>
        <v>B) Le championnat le plus prestigieux, qui dure toute la saison, pour les razeteurs d'élite</v>
      </c>
      <c r="K14" s="5" t="str">
        <f>IFERROR(__xludf.DUMMYFUNCTION("GOOGLETRANSLATE(E14, ""en"", ""fr"")"),"Ce « Trophée des As » est la compétition de plus haut niveau qui couronne le meilleur razeteur de l'année en fonction des points accumulés tout au long de la saison.")</f>
        <v>Ce « Trophée des As » est la compétition de plus haut niveau qui couronne le meilleur razeteur de l'année en fonction des points accumulés tout au long de la saison.</v>
      </c>
    </row>
    <row r="15" ht="22.5" customHeight="1">
      <c r="A15" s="4">
        <v>14.0</v>
      </c>
      <c r="B15" s="5" t="s">
        <v>1731</v>
      </c>
      <c r="C15" s="5" t="s">
        <v>1732</v>
      </c>
      <c r="D15" s="5" t="s">
        <v>1733</v>
      </c>
      <c r="E15" s="5" t="s">
        <v>1734</v>
      </c>
      <c r="G15" s="5" t="str">
        <f>IFERROR(__xludf.DUMMYFUNCTION("GOOGLETRANSLATE(A15, ""en"", ""fr"")"),"14")</f>
        <v>14</v>
      </c>
      <c r="H15" s="5" t="str">
        <f>IFERROR(__xludf.DUMMYFUNCTION("GOOGLETRANSLATE(B15, ""en"", ""fr"")"),"On célèbre la carrière d'un taureau, puis, après sa retraite, on le ramène au pâturage. Qu'est-ce que cela révèle de la philosophie de ce sport ?")</f>
        <v>On célèbre la carrière d'un taureau, puis, après sa retraite, on le ramène au pâturage. Qu'est-ce que cela révèle de la philosophie de ce sport ?</v>
      </c>
      <c r="I15" s="5" t="str">
        <f>IFERROR(__xludf.DUMMYFUNCTION("GOOGLETRANSLATE(C15, ""en"", ""fr"")"),"A) Que les taureaux sont une propriété précieuse, B) Que le taureau est respecté comme un athlète et un héros, et non comme un animal à sacrifier, C) Que les éleveurs sont riches, D) Que les taureaux sont trop vieux pour être utiles")</f>
        <v>A) Que les taureaux sont une propriété précieuse, B) Que le taureau est respecté comme un athlète et un héros, et non comme un animal à sacrifier, C) Que les éleveurs sont riches, D) Que les taureaux sont trop vieux pour être utiles</v>
      </c>
      <c r="J15" s="5" t="str">
        <f>IFERROR(__xludf.DUMMYFUNCTION("GOOGLETRANSLATE(D15, ""en"", ""fr"")"),"B) Que le taureau soit respecté comme un athlète et un héros, et non comme un animal à sacrifier.")</f>
        <v>B) Que le taureau soit respecté comme un athlète et un héros, et non comme un animal à sacrifier.</v>
      </c>
      <c r="K15" s="5" t="str">
        <f>IFERROR(__xludf.DUMMYFUNCTION("GOOGLETRANSLATE(E15, ""en"", ""fr"")"),"C’est là l’éthique centrale de la Course Camarguaise, qui la distingue fondamentalement de la corrida espagnole.")</f>
        <v>C’est là l’éthique centrale de la Course Camarguaise, qui la distingue fondamentalement de la corrida espagnole.</v>
      </c>
    </row>
    <row r="16" ht="22.5" customHeight="1">
      <c r="A16" s="4">
        <v>15.0</v>
      </c>
      <c r="B16" s="5" t="s">
        <v>1735</v>
      </c>
      <c r="C16" s="5" t="s">
        <v>1736</v>
      </c>
      <c r="D16" s="5" t="s">
        <v>1737</v>
      </c>
      <c r="E16" s="5" t="s">
        <v>1738</v>
      </c>
      <c r="G16" s="5" t="str">
        <f>IFERROR(__xludf.DUMMYFUNCTION("GOOGLETRANSLATE(A16, ""en"", ""fr"")"),"15")</f>
        <v>15</v>
      </c>
      <c r="H16" s="5" t="str">
        <f>IFERROR(__xludf.DUMMYFUNCTION("GOOGLETRANSLATE(B16, ""en"", ""fr"")"),"Quel est le nom du prestigieux trophée de fin de saison décerné au meilleur taureau de l'année ?")</f>
        <v>Quel est le nom du prestigieux trophée de fin de saison décerné au meilleur taureau de l'année ?</v>
      </c>
      <c r="I16" s="5" t="str">
        <f>IFERROR(__xludf.DUMMYFUNCTION("GOOGLETRANSLATE(C16, ""en"", ""fr"")"),"A) La Palme d'Or, B) La Cocarde d'Or, C) Le Biòu d'Or, D) Le Trophée des As")</f>
        <v>A) La Palme d'Or, B) La Cocarde d'Or, C) Le Biòu d'Or, D) Le Trophée des As</v>
      </c>
      <c r="J16" s="5" t="str">
        <f>IFERROR(__xludf.DUMMYFUNCTION("GOOGLETRANSLATE(D16, ""en"", ""fr"")"),"C) Le Biòu d'Or")</f>
        <v>C) Le Biòu d'Or</v>
      </c>
      <c r="K16" s="5" t="str">
        <f>IFERROR(__xludf.DUMMYFUNCTION("GOOGLETRANSLATE(E16, ""en"", ""fr"")"),"Le « Taureau d'or » est la récompense la plus convoitée pour un taureau, décernée par un jury à l'animal qui a fait preuve du plus de courage et d'habileté tout au long de la saison.")</f>
        <v>Le « Taureau d'or » est la récompense la plus convoitée pour un taureau, décernée par un jury à l'animal qui a fait preuve du plus de courage et d'habileté tout au long de la saison.</v>
      </c>
    </row>
    <row r="17" ht="22.5" customHeight="1">
      <c r="A17" s="4">
        <v>16.0</v>
      </c>
      <c r="B17" s="5" t="s">
        <v>1739</v>
      </c>
      <c r="C17" s="5" t="s">
        <v>1740</v>
      </c>
      <c r="D17" s="5" t="s">
        <v>1741</v>
      </c>
      <c r="E17" s="5" t="s">
        <v>1742</v>
      </c>
      <c r="G17" s="5" t="str">
        <f>IFERROR(__xludf.DUMMYFUNCTION("GOOGLETRANSLATE(A17, ""en"", ""fr"")"),"16")</f>
        <v>16</v>
      </c>
      <c r="H17" s="5" t="str">
        <f>IFERROR(__xludf.DUMMYFUNCTION("GOOGLETRANSLATE(B17, ""en"", ""fr"")"),"Quelle est la décision rendue si un taureau est blessé lors d'une course légale ?")</f>
        <v>Quelle est la décision rendue si un taureau est blessé lors d'une course légale ?</v>
      </c>
      <c r="I17" s="5" t="str">
        <f>IFERROR(__xludf.DUMMYFUNCTION("GOOGLETRANSLATE(C17, ""en"", ""fr"")"),"A) Le taureau est pénalisé, B) Le razeteur remporte automatiquement le point, C) La course est interrompue pour soins médicaux ; aucun point n'est attribué, D) Le razeteur est disqualifié")</f>
        <v>A) Le taureau est pénalisé, B) Le razeteur remporte automatiquement le point, C) La course est interrompue pour soins médicaux ; aucun point n'est attribué, D) Le razeteur est disqualifié</v>
      </c>
      <c r="J17" s="5" t="str">
        <f>IFERROR(__xludf.DUMMYFUNCTION("GOOGLETRANSLATE(D17, ""en"", ""fr"")"),"C) La course est interrompue pour soins médicaux ; aucun point n'est attribué.")</f>
        <v>C) La course est interrompue pour soins médicaux ; aucun point n'est attribué.</v>
      </c>
      <c r="K17" s="5" t="str">
        <f>IFERROR(__xludf.DUMMYFUNCTION("GOOGLETRANSLATE(E17, ""en"", ""fr"")"),"Le risque de blessure est inhérent à ce sport. Si un razeteur se blesse, la course est arrêtée par mesure de sécurité, mais aucun score n'est attribué.")</f>
        <v>Le risque de blessure est inhérent à ce sport. Si un razeteur se blesse, la course est arrêtée par mesure de sécurité, mais aucun score n'est attribué.</v>
      </c>
    </row>
    <row r="18" ht="22.5" customHeight="1">
      <c r="A18" s="4">
        <v>17.0</v>
      </c>
      <c r="B18" s="5" t="s">
        <v>1743</v>
      </c>
      <c r="C18" s="5" t="s">
        <v>1744</v>
      </c>
      <c r="D18" s="5" t="s">
        <v>1745</v>
      </c>
      <c r="E18" s="5" t="s">
        <v>1746</v>
      </c>
      <c r="G18" s="5" t="str">
        <f>IFERROR(__xludf.DUMMYFUNCTION("GOOGLETRANSLATE(A18, ""en"", ""fr"")"),"17")</f>
        <v>17</v>
      </c>
      <c r="H18" s="5" t="str">
        <f>IFERROR(__xludf.DUMMYFUNCTION("GOOGLETRANSLATE(B18, ""en"", ""fr"")"),"Quel est le rôle du « Président de Course » ?")</f>
        <v>Quel est le rôle du « Président de Course » ?</v>
      </c>
      <c r="I18" s="5" t="str">
        <f>IFERROR(__xludf.DUMMYFUNCTION("GOOGLETRANSLATE(C18, ""en"", ""fr"")"),"A) Le sponsor principal, B) Le responsable qui dirige la course, valide les points et gère les prix, C) Le capitaine de l'équipe locale, D) Le maire")</f>
        <v>A) Le sponsor principal, B) Le responsable qui dirige la course, valide les points et gère les prix, C) Le capitaine de l'équipe locale, D) Le maire</v>
      </c>
      <c r="J18" s="5" t="str">
        <f>IFERROR(__xludf.DUMMYFUNCTION("GOOGLETRANSLATE(D18, ""en"", ""fr"")"),"B) Le responsable principal qui dirige la course, valide les points et gère les prix.")</f>
        <v>B) Le responsable principal qui dirige la course, valide les points et gère les prix.</v>
      </c>
      <c r="K18" s="5" t="str">
        <f>IFERROR(__xludf.DUMMYFUNCTION("GOOGLETRANSLATE(E18, ""en"", ""fr"")"),"Le président détient l'autorité suprême durant la course, dirigeant les débats depuis une tribune désignée.")</f>
        <v>Le président détient l'autorité suprême durant la course, dirigeant les débats depuis une tribune désignée.</v>
      </c>
    </row>
    <row r="19" ht="22.5" customHeight="1">
      <c r="A19" s="4">
        <v>18.0</v>
      </c>
      <c r="B19" s="5" t="s">
        <v>1747</v>
      </c>
      <c r="C19" s="5" t="s">
        <v>1748</v>
      </c>
      <c r="D19" s="5" t="s">
        <v>1749</v>
      </c>
      <c r="E19" s="5" t="s">
        <v>1750</v>
      </c>
      <c r="G19" s="5" t="str">
        <f>IFERROR(__xludf.DUMMYFUNCTION("GOOGLETRANSLATE(A19, ""en"", ""fr"")"),"18")</f>
        <v>18</v>
      </c>
      <c r="H19" s="5" t="str">
        <f>IFERROR(__xludf.DUMMYFUNCTION("GOOGLETRANSLATE(B19, ""en"", ""fr"")"),"La valeur des primes associées à un attribut augmente au cours de la course. Comment cela se produit-il ?")</f>
        <v>La valeur des primes associées à un attribut augmente au cours de la course. Comment cela se produit-il ?</v>
      </c>
      <c r="I19" s="5" t="str">
        <f>IFERROR(__xludf.DUMMYFUNCTION("GOOGLETRANSLATE(C19, ""en"", ""fr"")"),"A) Le prix augmente chaque minute, B) Par le biais d'enchères publiques annoncées par haut-parleur, C) Les vendeurs votent pour l'augmenter, D) Le propriétaire du taureau décide")</f>
        <v>A) Le prix augmente chaque minute, B) Par le biais d'enchères publiques annoncées par haut-parleur, C) Les vendeurs votent pour l'augmenter, D) Le propriétaire du taureau décide</v>
      </c>
      <c r="J19" s="5" t="str">
        <f>IFERROR(__xludf.DUMMYFUNCTION("GOOGLETRANSLATE(D19, ""en"", ""fr"")"),"B) Par le biais de ventes aux enchères publiques annoncées par haut-parleur")</f>
        <v>B) Par le biais de ventes aux enchères publiques annoncées par haut-parleur</v>
      </c>
      <c r="K19" s="5" t="str">
        <f>IFERROR(__xludf.DUMMYFUNCTION("GOOGLETRANSLATE(E19, ""en"", ""fr"")"),"Les spectateurs, les entreprises et les clubs peuvent surenchérir les uns contre les autres pour augmenter le montant du prix pour un attribut spécifique, ce qui ajoute à l'excitation.")</f>
        <v>Les spectateurs, les entreprises et les clubs peuvent surenchérir les uns contre les autres pour augmenter le montant du prix pour un attribut spécifique, ce qui ajoute à l'excitation.</v>
      </c>
    </row>
    <row r="20" ht="22.5" customHeight="1">
      <c r="A20" s="4">
        <v>19.0</v>
      </c>
      <c r="B20" s="5" t="s">
        <v>1751</v>
      </c>
      <c r="C20" s="5" t="s">
        <v>1752</v>
      </c>
      <c r="D20" s="5" t="s">
        <v>1753</v>
      </c>
      <c r="E20" s="5" t="s">
        <v>1754</v>
      </c>
      <c r="G20" s="5" t="str">
        <f>IFERROR(__xludf.DUMMYFUNCTION("GOOGLETRANSLATE(A20, ""en"", ""fr"")"),"19")</f>
        <v>19</v>
      </c>
      <c r="H20" s="5" t="str">
        <f>IFERROR(__xludf.DUMMYFUNCTION("GOOGLETRANSLATE(B20, ""en"", ""fr"")"),"Qu'est-ce qu'un cocardier ?")</f>
        <v>Qu'est-ce qu'un cocardier ?</v>
      </c>
      <c r="I20" s="5" t="str">
        <f>IFERROR(__xludf.DUMMYFUNCTION("GOOGLETRANSLATE(C20, ""en"", ""fr"")"),"A) Un razeteur habile à prendre la cocarde, B) Un taureau particulièrement habile et courageux dans l'arène, C) L'artisan qui fabrique les cocardes, D) La course finale d'un festival")</f>
        <v>A) Un razeteur habile à prendre la cocarde, B) Un taureau particulièrement habile et courageux dans l'arène, C) L'artisan qui fabrique les cocardes, D) La course finale d'un festival</v>
      </c>
      <c r="J20" s="5" t="str">
        <f>IFERROR(__xludf.DUMMYFUNCTION("GOOGLETRANSLATE(D20, ""en"", ""fr"")"),"B) Un taureau particulièrement habile et courageux dans l'arène")</f>
        <v>B) Un taureau particulièrement habile et courageux dans l'arène</v>
      </c>
      <c r="K20" s="5" t="str">
        <f>IFERROR(__xludf.DUMMYFUNCTION("GOOGLETRANSLATE(E20, ""en"", ""fr"")"),"Un cocardier est le nom donné à un grand taureau de combat, une véritable star des courses camarguaises.")</f>
        <v>Un cocardier est le nom donné à un grand taureau de combat, une véritable star des courses camarguaises.</v>
      </c>
    </row>
    <row r="21" ht="22.5" customHeight="1">
      <c r="A21" s="4">
        <v>20.0</v>
      </c>
      <c r="B21" s="5" t="s">
        <v>1755</v>
      </c>
      <c r="C21" s="5" t="s">
        <v>1756</v>
      </c>
      <c r="D21" s="5" t="s">
        <v>1757</v>
      </c>
      <c r="E21" s="5" t="s">
        <v>1758</v>
      </c>
      <c r="G21" s="5" t="str">
        <f>IFERROR(__xludf.DUMMYFUNCTION("GOOGLETRANSLATE(A21, ""en"", ""fr"")"),"20")</f>
        <v>20</v>
      </c>
      <c r="H21" s="5" t="str">
        <f>IFERROR(__xludf.DUMMYFUNCTION("GOOGLETRANSLATE(B21, ""en"", ""fr"")"),"Quelle est la décision si un razeteur perd son crochet dans l'arène ?")</f>
        <v>Quelle est la décision si un razeteur perd son crochet dans l'arène ?</v>
      </c>
      <c r="I21" s="5" t="str">
        <f>IFERROR(__xludf.DUMMYFUNCTION("GOOGLETRANSLATE(C21, ""en"", ""fr"")"),"A) Ils sont disqualifiés, B) Ils peuvent récupérer l'objet et continuer, C) Ils doivent continuer à mains nues, D) L'équipe perd un point")</f>
        <v>A) Ils sont disqualifiés, B) Ils peuvent récupérer l'objet et continuer, C) Ils doivent continuer à mains nues, D) L'équipe perd un point</v>
      </c>
      <c r="J21" s="5" t="str">
        <f>IFERROR(__xludf.DUMMYFUNCTION("GOOGLETRANSLATE(D21, ""en"", ""fr"")"),"B) Ils peuvent le récupérer et continuer")</f>
        <v>B) Ils peuvent le récupérer et continuer</v>
      </c>
      <c r="K21" s="5" t="str">
        <f>IFERROR(__xludf.DUMMYFUNCTION("GOOGLETRANSLATE(E21, ""en"", ""fr"")"),"Un razeteur est autorisé à ramasser son crochet tombé, bien que cela soit dangereux et nécessite l'aide des tourteurs pour distraire le taureau.")</f>
        <v>Un razeteur est autorisé à ramasser son crochet tombé, bien que cela soit dangereux et nécessite l'aide des tourteurs pour distraire le taureau.</v>
      </c>
    </row>
    <row r="22" ht="22.5" customHeight="1">
      <c r="A22" s="4">
        <v>21.0</v>
      </c>
      <c r="B22" s="5" t="s">
        <v>1759</v>
      </c>
      <c r="C22" s="5" t="s">
        <v>1760</v>
      </c>
      <c r="D22" s="5" t="s">
        <v>1761</v>
      </c>
      <c r="E22" s="5" t="s">
        <v>1762</v>
      </c>
      <c r="G22" s="5" t="str">
        <f>IFERROR(__xludf.DUMMYFUNCTION("GOOGLETRANSLATE(A22, ""en"", ""fr"")"),"21")</f>
        <v>21</v>
      </c>
      <c r="H22" s="5" t="str">
        <f>IFERROR(__xludf.DUMMYFUNCTION("GOOGLETRANSLATE(B22, ""en"", ""fr"")"),"Combien de razeteurs sont autorisés à se trouver sur la piste en même temps ?")</f>
        <v>Combien de razeteurs sont autorisés à se trouver sur la piste en même temps ?</v>
      </c>
      <c r="I22" s="5" t="str">
        <f>IFERROR(__xludf.DUMMYFUNCTION("GOOGLETRANSLATE(C22, ""en"", ""fr"")"),"A) Un seul, B) Deux au maximum, C) Toute l'équipe de razeteurs, D) Cela varie selon la taille de l'arène")</f>
        <v>A) Un seul, B) Deux au maximum, C) Toute l'équipe de razeteurs, D) Cela varie selon la taille de l'arène</v>
      </c>
      <c r="J22" s="5" t="str">
        <f>IFERROR(__xludf.DUMMYFUNCTION("GOOGLETRANSLATE(D22, ""en"", ""fr"")"),"C) Toute l'équipe de razeteurs")</f>
        <v>C) Toute l'équipe de razeteurs</v>
      </c>
      <c r="K22" s="5" t="str">
        <f>IFERROR(__xludf.DUMMYFUNCTION("GOOGLETRANSLATE(E22, ""en"", ""fr"")"),"Contrairement à un duel en tête-à-tête, les razeteurs sont tous ensemble dans l'arène, même si un seul effectuera un raset à la fois.")</f>
        <v>Contrairement à un duel en tête-à-tête, les razeteurs sont tous ensemble dans l'arène, même si un seul effectuera un raset à la fois.</v>
      </c>
    </row>
    <row r="23" ht="22.5" customHeight="1">
      <c r="A23" s="4">
        <v>22.0</v>
      </c>
      <c r="B23" s="5" t="s">
        <v>1763</v>
      </c>
      <c r="C23" s="5" t="s">
        <v>1764</v>
      </c>
      <c r="D23" s="5" t="s">
        <v>1765</v>
      </c>
      <c r="E23" s="5" t="s">
        <v>1766</v>
      </c>
      <c r="G23" s="5" t="str">
        <f>IFERROR(__xludf.DUMMYFUNCTION("GOOGLETRANSLATE(A23, ""en"", ""fr"")"),"22")</f>
        <v>22</v>
      </c>
      <c r="H23" s="5" t="str">
        <f>IFERROR(__xludf.DUMMYFUNCTION("GOOGLETRANSLATE(B23, ""en"", ""fr"")"),"Un razeteur est sanctionné pour un « refus de raset ». Qu'est-ce que cela signifie ?")</f>
        <v>Un razeteur est sanctionné pour un « refus de raset ». Qu'est-ce que cela signifie ?</v>
      </c>
      <c r="I23" s="5" t="str">
        <f>IFERROR(__xludf.DUMMYFUNCTION("GOOGLETRANSLATE(C23, ""en"", ""fr"")"),"A) Ils ont refusé d'entrer dans l'arène. B) Ils manifestent de la peur et n'essaient pas de charger le taureau. C) Ils ont refusé d'accepter un prix. D) Ils ont refusé de porter l'uniforme blanc.")</f>
        <v>A) Ils ont refusé d'entrer dans l'arène. B) Ils manifestent de la peur et n'essaient pas de charger le taureau. C) Ils ont refusé d'accepter un prix. D) Ils ont refusé de porter l'uniforme blanc.</v>
      </c>
      <c r="J23" s="5" t="str">
        <f>IFERROR(__xludf.DUMMYFUNCTION("GOOGLETRANSLATE(D23, ""en"", ""fr"")"),"B) Ils manifestent de la peur et n'essaient pas de charger le taureau")</f>
        <v>B) Ils manifestent de la peur et n'essaient pas de charger le taureau</v>
      </c>
      <c r="K23" s="5" t="str">
        <f>IFERROR(__xludf.DUMMYFUNCTION("GOOGLETRANSLATE(E23, ""en"", ""fr"")"),"On attend d'un arpenteur qu'il fasse preuve de courage. S'il refuse systématiquement d'affronter le taureau, le président peut le sanctionner.")</f>
        <v>On attend d'un arpenteur qu'il fasse preuve de courage. S'il refuse systématiquement d'affronter le taureau, le président peut le sanctionner.</v>
      </c>
    </row>
    <row r="24" ht="22.5" customHeight="1">
      <c r="A24" s="4">
        <v>23.0</v>
      </c>
      <c r="B24" s="5" t="s">
        <v>1767</v>
      </c>
      <c r="C24" s="5" t="s">
        <v>1768</v>
      </c>
      <c r="D24" s="5" t="s">
        <v>1769</v>
      </c>
      <c r="E24" s="5" t="s">
        <v>1770</v>
      </c>
      <c r="G24" s="5" t="str">
        <f>IFERROR(__xludf.DUMMYFUNCTION("GOOGLETRANSLATE(A24, ""en"", ""fr"")"),"23")</f>
        <v>23</v>
      </c>
      <c r="H24" s="5" t="str">
        <f>IFERROR(__xludf.DUMMYFUNCTION("GOOGLETRANSLATE(B24, ""en"", ""fr"")"),"Quelle est la principale différence entre l'abrivado et l'encierro espagnol (course de taureaux) ?")</f>
        <v>Quelle est la principale différence entre l'abrivado et l'encierro espagnol (course de taureaux) ?</v>
      </c>
      <c r="I24" s="5" t="str">
        <f>IFERROR(__xludf.DUMMYFUNCTION("GOOGLETRANSLATE(C24, ""en"", ""fr"")"),"A) L'abrivado utilise des chevaux pour guider les taureaux, tandis que l'encierro a des personnes qui courent devant. B) L'abrivado est plus dangereux. C) L'encierro est plus ancien. D) Il n'y a pas de différence.")</f>
        <v>A) L'abrivado utilise des chevaux pour guider les taureaux, tandis que l'encierro a des personnes qui courent devant. B) L'abrivado est plus dangereux. C) L'encierro est plus ancien. D) Il n'y a pas de différence.</v>
      </c>
      <c r="J24" s="5" t="str">
        <f>IFERROR(__xludf.DUMMYFUNCTION("GOOGLETRANSLATE(D24, ""en"", ""fr"")"),"A) L'abrivado utilise des chevaux pour guider les taureaux, tandis que l'encierro fait courir des hommes devant le cortège.")</f>
        <v>A) L'abrivado utilise des chevaux pour guider les taureaux, tandis que l'encierro fait courir des hommes devant le cortège.</v>
      </c>
      <c r="K24" s="5" t="str">
        <f>IFERROR(__xludf.DUMMYFUNCTION("GOOGLETRANSLATE(E24, ""en"", ""fr"")"),"L'abrivado est une démonstration d'équitation, où les gardians contrôlent les taureaux, contrairement à la course de style Pampelune où le public court avec eux.")</f>
        <v>L'abrivado est une démonstration d'équitation, où les gardians contrôlent les taureaux, contrairement à la course de style Pampelune où le public court avec eux.</v>
      </c>
    </row>
    <row r="25" ht="22.5" customHeight="1">
      <c r="A25" s="4">
        <v>24.0</v>
      </c>
      <c r="B25" s="5" t="s">
        <v>1771</v>
      </c>
      <c r="C25" s="5" t="s">
        <v>1772</v>
      </c>
      <c r="D25" s="5" t="s">
        <v>1773</v>
      </c>
      <c r="E25" s="5" t="s">
        <v>1774</v>
      </c>
      <c r="G25" s="5" t="str">
        <f>IFERROR(__xludf.DUMMYFUNCTION("GOOGLETRANSLATE(A25, ""en"", ""fr"")"),"24")</f>
        <v>24</v>
      </c>
      <c r="H25" s="5" t="str">
        <f>IFERROR(__xludf.DUMMYFUNCTION("GOOGLETRANSLATE(B25, ""en"", ""fr"")"),"Les ficelles (cordes) sont enroulées autour de la base des cornes du taureau. Qu'est-ce qui en fait l'attribut le plus difficile à obtenir ?")</f>
        <v>Les ficelles (cordes) sont enroulées autour de la base des cornes du taureau. Qu'est-ce qui en fait l'attribut le plus difficile à obtenir ?</v>
      </c>
      <c r="I25" s="5" t="str">
        <f>IFERROR(__xludf.DUMMYFUNCTION("GOOGLETRANSLATE(C25, ""en"", ""fr"")"),"A) Elles valent le moins de points, B) Elles sont les dernières à être prises et sont emballées très serrées, C) Elles sont très glissantes, D) Le razeteur doit utiliser ses mains nues")</f>
        <v>A) Elles valent le moins de points, B) Elles sont les dernières à être prises et sont emballées très serrées, C) Elles sont très glissantes, D) Le razeteur doit utiliser ses mains nues</v>
      </c>
      <c r="J25" s="5" t="str">
        <f>IFERROR(__xludf.DUMMYFUNCTION("GOOGLETRANSLATE(D25, ""en"", ""fr"")"),"B) Ce sont les derniers à être prélevés et ils sont emballés très serrés.")</f>
        <v>B) Ce sont les derniers à être prélevés et ils sont emballés très serrés.</v>
      </c>
      <c r="K25" s="5" t="str">
        <f>IFERROR(__xludf.DUMMYFUNCTION("GOOGLETRANSLATE(E25, ""en"", ""fr"")"),"Les cordes sont nombreuses et étroitement enroulées, ce qui nécessite de nombreux passages dangereux à courte distance pour les couper et les retirer une par une.")</f>
        <v>Les cordes sont nombreuses et étroitement enroulées, ce qui nécessite de nombreux passages dangereux à courte distance pour les couper et les retirer une par une.</v>
      </c>
    </row>
    <row r="26" ht="22.5" customHeight="1">
      <c r="A26" s="4">
        <v>25.0</v>
      </c>
      <c r="B26" s="5" t="s">
        <v>1775</v>
      </c>
      <c r="C26" s="5" t="s">
        <v>1776</v>
      </c>
      <c r="D26" s="5" t="s">
        <v>1777</v>
      </c>
      <c r="E26" s="5" t="s">
        <v>1778</v>
      </c>
      <c r="G26" s="5" t="str">
        <f>IFERROR(__xludf.DUMMYFUNCTION("GOOGLETRANSLATE(A26, ""en"", ""fr"")"),"25")</f>
        <v>25</v>
      </c>
      <c r="H26" s="5" t="str">
        <f>IFERROR(__xludf.DUMMYFUNCTION("GOOGLETRANSLATE(B26, ""en"", ""fr"")"),"Quelle est la décision à prendre si un arquebusier se trouve sur la barrière et que le taureau heurte la barrière directement sous lui ?")</f>
        <v>Quelle est la décision à prendre si un arquebusier se trouve sur la barrière et que le taureau heurte la barrière directement sous lui ?</v>
      </c>
      <c r="I26" s="5" t="str">
        <f>IFERROR(__xludf.DUMMYFUNCTION("GOOGLETRANSLATE(C26, ""en"", ""fr"")"),"A) Le dresseur est disqualifié, B) Le taureau est félicité pour sa bravoure et la musique de Carmen est jouée, C) La course est arrêtée, D) Le taureau est pénalisé")</f>
        <v>A) Le dresseur est disqualifié, B) Le taureau est félicité pour sa bravoure et la musique de Carmen est jouée, C) La course est arrêtée, D) Le taureau est pénalisé</v>
      </c>
      <c r="J26" s="5" t="str">
        <f>IFERROR(__xludf.DUMMYFUNCTION("GOOGLETRANSLATE(D26, ""en"", ""fr"")"),"B) Le taureau est loué pour sa bravoure, et la musique de Carmen est jouée.")</f>
        <v>B) Le taureau est loué pour sa bravoure, et la musique de Carmen est jouée.</v>
      </c>
      <c r="K26" s="5" t="str">
        <f>IFERROR(__xludf.DUMMYFUNCTION("GOOGLETRANSLATE(E26, ""en"", ""fr"")"),"Cette action, connue sous le nom de « coup de barrière », est un signe de courage et de détermination chez un taureau et est très célébrée.")</f>
        <v>Cette action, connue sous le nom de « coup de barrière », est un signe de courage et de détermination chez un taureau et est très célébrée.</v>
      </c>
    </row>
    <row r="27" ht="22.5" customHeight="1">
      <c r="A27" s="4">
        <v>26.0</v>
      </c>
      <c r="B27" s="5" t="s">
        <v>1779</v>
      </c>
      <c r="C27" s="5" t="s">
        <v>1780</v>
      </c>
      <c r="D27" s="5" t="s">
        <v>1781</v>
      </c>
      <c r="E27" s="5" t="s">
        <v>1782</v>
      </c>
      <c r="G27" s="5" t="str">
        <f>IFERROR(__xludf.DUMMYFUNCTION("GOOGLETRANSLATE(A27, ""en"", ""fr"")"),"26")</f>
        <v>26</v>
      </c>
      <c r="H27" s="5" t="str">
        <f>IFERROR(__xludf.DUMMYFUNCTION("GOOGLETRANSLATE(B27, ""en"", ""fr"")"),"L'instance dirigeante officielle de ce sport est la FFCC. Que signifie cet acronyme ?")</f>
        <v>L'instance dirigeante officielle de ce sport est la FFCC. Que signifie cet acronyme ?</v>
      </c>
      <c r="I27" s="5" t="str">
        <f>IFERROR(__xludf.DUMMYFUNCTION("GOOGLETRANSLATE(C27, ""en"", ""fr"")"),"A) Fédération Française de la Corrida, B) Fédération des Festivals Camarguais, C) Fédération Française de la Course Camarguaise, D) Fédération des Fans de Cocardiers")</f>
        <v>A) Fédération Française de la Corrida, B) Fédération des Festivals Camarguais, C) Fédération Française de la Course Camarguaise, D) Fédération des Fans de Cocardiers</v>
      </c>
      <c r="J27" s="5" t="str">
        <f>IFERROR(__xludf.DUMMYFUNCTION("GOOGLETRANSLATE(D27, ""en"", ""fr"")"),"C) Fédération Française de la Course Camarguaise")</f>
        <v>C) Fédération Française de la Course Camarguaise</v>
      </c>
      <c r="K27" s="5" t="str">
        <f>IFERROR(__xludf.DUMMYFUNCTION("GOOGLETRANSLATE(E27, ""en"", ""fr"")"),"La Fédération Française de Course Camargue a été fondée en 1975 pour réglementer, standardiser et promouvoir ce sport.")</f>
        <v>La Fédération Française de Course Camargue a été fondée en 1975 pour réglementer, standardiser et promouvoir ce sport.</v>
      </c>
    </row>
    <row r="28" ht="22.5" customHeight="1">
      <c r="A28" s="4">
        <v>27.0</v>
      </c>
      <c r="B28" s="5" t="s">
        <v>1783</v>
      </c>
      <c r="C28" s="5" t="s">
        <v>1784</v>
      </c>
      <c r="D28" s="5" t="s">
        <v>1785</v>
      </c>
      <c r="E28" s="5" t="s">
        <v>1786</v>
      </c>
      <c r="G28" s="5" t="str">
        <f>IFERROR(__xludf.DUMMYFUNCTION("GOOGLETRANSLATE(A28, ""en"", ""fr"")"),"27")</f>
        <v>27</v>
      </c>
      <c r="H28" s="5" t="str">
        <f>IFERROR(__xludf.DUMMYFUNCTION("GOOGLETRANSLATE(B28, ""en"", ""fr"")"),"Quel est le rôle des gardiens (cow-boys) dans la course elle-même ?")</f>
        <v>Quel est le rôle des gardiens (cow-boys) dans la course elle-même ?</v>
      </c>
      <c r="I28" s="5" t="str">
        <f>IFERROR(__xludf.DUMMYFUNCTION("GOOGLETRANSLATE(C28, ""en"", ""fr"")"),"A) Ce sont les arbitres, B) Ils n'ont aucun rôle dans l'arène, C) Ils aident les râteaux, D) Ils lâchent le taureau")</f>
        <v>A) Ce sont les arbitres, B) Ils n'ont aucun rôle dans l'arène, C) Ils aident les râteaux, D) Ils lâchent le taureau</v>
      </c>
      <c r="J28" s="5" t="str">
        <f>IFERROR(__xludf.DUMMYFUNCTION("GOOGLETRANSLATE(D28, ""en"", ""fr"")"),"B) Ils n'ont aucun rôle à jouer dans l'arène")</f>
        <v>B) Ils n'ont aucun rôle à jouer dans l'arène</v>
      </c>
      <c r="K28" s="5" t="str">
        <f>IFERROR(__xludf.DUMMYFUNCTION("GOOGLETRANSLATE(E28, ""en"", ""fr"")"),"Bien qu'ils soient au cœur de la culture environnante (dans l'abrivado et le bandido), les gardians ne participent pas à la course à l'intérieur de l'arène.")</f>
        <v>Bien qu'ils soient au cœur de la culture environnante (dans l'abrivado et le bandido), les gardians ne participent pas à la course à l'intérieur de l'arène.</v>
      </c>
    </row>
    <row r="29" ht="22.5" customHeight="1">
      <c r="A29" s="4">
        <v>28.0</v>
      </c>
      <c r="B29" s="5" t="s">
        <v>1787</v>
      </c>
      <c r="C29" s="5" t="s">
        <v>1788</v>
      </c>
      <c r="D29" s="5" t="s">
        <v>1789</v>
      </c>
      <c r="E29" s="5" t="s">
        <v>1790</v>
      </c>
      <c r="G29" s="5" t="str">
        <f>IFERROR(__xludf.DUMMYFUNCTION("GOOGLETRANSLATE(A29, ""en"", ""fr"")"),"28")</f>
        <v>28</v>
      </c>
      <c r="H29" s="5" t="str">
        <f>IFERROR(__xludf.DUMMYFUNCTION("GOOGLETRANSLATE(B29, ""en"", ""fr"")"),"Un razeteur s'empare avec succès d'un attribut. Que doit-il faire immédiatement après ?")</f>
        <v>Un razeteur s'empare avec succès d'un attribut. Que doit-il faire immédiatement après ?</v>
      </c>
      <c r="I29" s="5" t="str">
        <f>IFERROR(__xludf.DUMMYFUNCTION("GOOGLETRANSLATE(C29, ""en"", ""fr"")"),"A) Courir jusqu'à la barrière pour se mettre à l'abri du taureau, B) Célébrer devant la foule, C) Aider ses coéquipiers, D) Tenter d'obtenir un autre attribut lors de la même course")</f>
        <v>A) Courir jusqu'à la barrière pour se mettre à l'abri du taureau, B) Célébrer devant la foule, C) Aider ses coéquipiers, D) Tenter d'obtenir un autre attribut lors de la même course</v>
      </c>
      <c r="J29" s="5" t="str">
        <f>IFERROR(__xludf.DUMMYFUNCTION("GOOGLETRANSLATE(D29, ""en"", ""fr"")"),"A) Courez vers la barrière pour vous mettre à l'abri du taureau")</f>
        <v>A) Courez vers la barrière pour vous mettre à l'abri du taureau</v>
      </c>
      <c r="K29" s="5" t="str">
        <f>IFERROR(__xludf.DUMMYFUNCTION("GOOGLETRANSLATE(E29, ""en"", ""fr"")"),"Dès qu'un attribut est saisi, l'attention du taureau se fixe sur le razeteur. Sa priorité absolue est de rejoindre la sécurité de la barrière.")</f>
        <v>Dès qu'un attribut est saisi, l'attention du taureau se fixe sur le razeteur. Sa priorité absolue est de rejoindre la sécurité de la barrière.</v>
      </c>
    </row>
    <row r="30" ht="22.5" customHeight="1">
      <c r="A30" s="4">
        <v>29.0</v>
      </c>
      <c r="B30" s="5" t="s">
        <v>1791</v>
      </c>
      <c r="C30" s="5" t="s">
        <v>1792</v>
      </c>
      <c r="D30" s="5" t="s">
        <v>1793</v>
      </c>
      <c r="E30" s="5" t="s">
        <v>1794</v>
      </c>
      <c r="G30" s="5" t="str">
        <f>IFERROR(__xludf.DUMMYFUNCTION("GOOGLETRANSLATE(A30, ""en"", ""fr"")"),"29")</f>
        <v>29</v>
      </c>
      <c r="H30" s="5" t="str">
        <f>IFERROR(__xludf.DUMMYFUNCTION("GOOGLETRANSLATE(B30, ""en"", ""fr"")"),"Comment est désigné le vainqueur du « Biòu d'Or » (Taureau d'Or) ?")</f>
        <v>Comment est désigné le vainqueur du « Biòu d'Or » (Taureau d'Or) ?</v>
      </c>
      <c r="I30" s="5" t="str">
        <f>IFERROR(__xludf.DUMMYFUNCTION("GOOGLETRANSLATE(C30, ""en"", ""fr"")"),"A) Selon le taureau qui remporte le plus de courses, B) Par un vote d'un jury d'experts et de journalistes à la fin de la saison, C) Selon le taureau dont les attributs se vendent le plus cher, D) Par vote populaire.")</f>
        <v>A) Selon le taureau qui remporte le plus de courses, B) Par un vote d'un jury d'experts et de journalistes à la fin de la saison, C) Selon le taureau dont les attributs se vendent le plus cher, D) Par vote populaire.</v>
      </c>
      <c r="J30" s="5" t="str">
        <f>IFERROR(__xludf.DUMMYFUNCTION("GOOGLETRANSLATE(D30, ""en"", ""fr"")"),"B) Par un vote d'un panel d'experts et de journalistes à la fin de la saison")</f>
        <v>B) Par un vote d'un panel d'experts et de journalistes à la fin de la saison</v>
      </c>
      <c r="K30" s="5" t="str">
        <f>IFERROR(__xludf.DUMMYFUNCTION("GOOGLETRANSLATE(E30, ""en"", ""fr"")"),"Le vainqueur est choisi en fonction de ses performances, de son courage et de son intelligence démontrés tout au long de la saison de course.")</f>
        <v>Le vainqueur est choisi en fonction de ses performances, de son courage et de son intelligence démontrés tout au long de la saison de course.</v>
      </c>
    </row>
    <row r="31" ht="22.5" customHeight="1">
      <c r="A31" s="4">
        <v>30.0</v>
      </c>
      <c r="B31" s="5" t="s">
        <v>1795</v>
      </c>
      <c r="C31" s="5" t="s">
        <v>1796</v>
      </c>
      <c r="D31" s="5" t="s">
        <v>1797</v>
      </c>
      <c r="E31" s="5" t="s">
        <v>1798</v>
      </c>
      <c r="G31" s="5" t="str">
        <f>IFERROR(__xludf.DUMMYFUNCTION("GOOGLETRANSLATE(A31, ""en"", ""fr"")"),"30")</f>
        <v>30</v>
      </c>
      <c r="H31" s="5" t="str">
        <f>IFERROR(__xludf.DUMMYFUNCTION("GOOGLETRANSLATE(B31, ""en"", ""fr"")"),"Que signifie l'interprétation de l'ouverture de Carmen pendant une course ?")</f>
        <v>Que signifie l'interprétation de l'ouverture de Carmen pendant une course ?</v>
      </c>
      <c r="I31" s="5" t="str">
        <f>IFERROR(__xludf.DUMMYFUNCTION("GOOGLETRANSLATE(C31, ""en"", ""fr"")"),"A) Le départ de la course, B) Un hommage à une action particulièrement spectaculaire d'un taureau ou d'un razeteur, C) Une faute a été commise, D) La fin de la course")</f>
        <v>A) Le départ de la course, B) Un hommage à une action particulièrement spectaculaire d'un taureau ou d'un razeteur, C) Une faute a été commise, D) La fin de la course</v>
      </c>
      <c r="J31" s="5" t="str">
        <f>IFERROR(__xludf.DUMMYFUNCTION("GOOGLETRANSLATE(D31, ""en"", ""fr"")"),"B) Un hommage à une action particulièrement spectaculaire d'un razeteur ou du taureau")</f>
        <v>B) Un hommage à une action particulièrement spectaculaire d'un razeteur ou du taureau</v>
      </c>
      <c r="K31" s="5" t="str">
        <f>IFERROR(__xludf.DUMMYFUNCTION("GOOGLETRANSLATE(E31, ""en"", ""fr"")"),"L'orchestre du stade joue ce morceau célèbre pour saluer un acte de bravoure ou d'habileté exceptionnel, un grand honneur pour l'homme comme pour l'animal.")</f>
        <v>L'orchestre du stade joue ce morceau célèbre pour saluer un acte de bravoure ou d'habileté exceptionnel, un grand honneur pour l'homme comme pour l'animal.</v>
      </c>
    </row>
    <row r="32" ht="22.5" customHeight="1">
      <c r="A32" s="4">
        <v>31.0</v>
      </c>
      <c r="B32" s="5" t="s">
        <v>1799</v>
      </c>
      <c r="C32" s="5" t="s">
        <v>1800</v>
      </c>
      <c r="D32" s="5" t="s">
        <v>1801</v>
      </c>
      <c r="E32" s="5" t="s">
        <v>1802</v>
      </c>
      <c r="G32" s="5" t="str">
        <f>IFERROR(__xludf.DUMMYFUNCTION("GOOGLETRANSLATE(A32, ""en"", ""fr"")"),"31")</f>
        <v>31</v>
      </c>
      <c r="H32" s="5" t="str">
        <f>IFERROR(__xludf.DUMMYFUNCTION("GOOGLETRANSLATE(B32, ""en"", ""fr"")"),"Un razeteur est pénalisé pour avoir « travaillé du mauvais côté » du taureau. Qu'est-ce que cela signifie ?")</f>
        <v>Un razeteur est pénalisé pour avoir « travaillé du mauvais côté » du taureau. Qu'est-ce que cela signifie ?</v>
      </c>
      <c r="I32" s="5" t="str">
        <f>IFERROR(__xludf.DUMMYFUNCTION("GOOGLETRANSLATE(C32, ""en"", ""fr"")"),"A) Ils sont à gauche, B) Ils sont derrière le taureau, C) Ils ne se positionnent pas correctement pour une course équitable, D) Ils sont trop près de la barrière")</f>
        <v>A) Ils sont à gauche, B) Ils sont derrière le taureau, C) Ils ne se positionnent pas correctement pour une course équitable, D) Ils sont trop près de la barrière</v>
      </c>
      <c r="J32" s="5" t="str">
        <f>IFERROR(__xludf.DUMMYFUNCTION("GOOGLETRANSLATE(D32, ""en"", ""fr"")"),"C) Ils ne se positionnent pas correctement pour un raset équitable")</f>
        <v>C) Ils ne se positionnent pas correctement pour un raset équitable</v>
      </c>
      <c r="K32" s="5" t="str">
        <f>IFERROR(__xludf.DUMMYFUNCTION("GOOGLETRANSLATE(E32, ""en"", ""fr"")"),"Un razeteur doit effectuer une course d'élan nette et incurvée. Aborder le taureau sous un angle incorrect constitue une faute.")</f>
        <v>Un razeteur doit effectuer une course d'élan nette et incurvée. Aborder le taureau sous un angle incorrect constitue une faute.</v>
      </c>
    </row>
    <row r="33" ht="22.5" customHeight="1">
      <c r="A33" s="4">
        <v>32.0</v>
      </c>
      <c r="B33" s="5" t="s">
        <v>1803</v>
      </c>
      <c r="C33" s="5" t="s">
        <v>1804</v>
      </c>
      <c r="D33" s="5" t="s">
        <v>1805</v>
      </c>
      <c r="E33" s="5" t="s">
        <v>1806</v>
      </c>
      <c r="G33" s="5" t="str">
        <f>IFERROR(__xludf.DUMMYFUNCTION("GOOGLETRANSLATE(A33, ""en"", ""fr"")"),"32")</f>
        <v>32</v>
      </c>
      <c r="H33" s="5" t="str">
        <f>IFERROR(__xludf.DUMMYFUNCTION("GOOGLETRANSLATE(B33, ""en"", ""fr"")"),"Quelle est la décision à prendre si un taureau refuse de charger et reste passif dans l'arène ?")</f>
        <v>Quelle est la décision à prendre si un taureau refuse de charger et reste passif dans l'arène ?</v>
      </c>
      <c r="I33" s="5" t="str">
        <f>IFERROR(__xludf.DUMMYFUNCTION("GOOGLETRANSLATE(C33, ""en"", ""fr"")"),"A) Les razeteurs gagnent automatiquement, B) Le taureau est remplacé par un autre, C) Les razeteurs doivent redoubler d'efforts pour le provoquer, D) La course est annulée")</f>
        <v>A) Les razeteurs gagnent automatiquement, B) Le taureau est remplacé par un autre, C) Les razeteurs doivent redoubler d'efforts pour le provoquer, D) La course est annulée</v>
      </c>
      <c r="J33" s="5" t="str">
        <f>IFERROR(__xludf.DUMMYFUNCTION("GOOGLETRANSLATE(D33, ""en"", ""fr"")"),"B) Le taureau est remplacé par un autre.")</f>
        <v>B) Le taureau est remplacé par un autre.</v>
      </c>
      <c r="K33" s="5" t="str">
        <f>IFERROR(__xludf.DUMMYFUNCTION("GOOGLETRANSLATE(E33, ""en"", ""fr"")"),"Si un taureau ne fait pas preuve de la combativité requise, il sera renvoyé dans son enclos et un autre taureau sera amené.")</f>
        <v>Si un taureau ne fait pas preuve de la combativité requise, il sera renvoyé dans son enclos et un autre taureau sera amené.</v>
      </c>
    </row>
    <row r="34" ht="22.5" customHeight="1">
      <c r="A34" s="4">
        <v>33.0</v>
      </c>
      <c r="B34" s="5" t="s">
        <v>1807</v>
      </c>
      <c r="C34" s="5" t="s">
        <v>1808</v>
      </c>
      <c r="D34" s="5" t="s">
        <v>1809</v>
      </c>
      <c r="E34" s="5" t="s">
        <v>1810</v>
      </c>
      <c r="G34" s="5" t="str">
        <f>IFERROR(__xludf.DUMMYFUNCTION("GOOGLETRANSLATE(A34, ""en"", ""fr"")"),"33")</f>
        <v>33</v>
      </c>
      <c r="H34" s="5" t="str">
        <f>IFERROR(__xludf.DUMMYFUNCTION("GOOGLETRANSLATE(B34, ""en"", ""fr"")"),"Le Trophée des As est une compétition qui dure toute la saison. Comment les razeteurs gagnent-ils des points pour ce trophée ?")</f>
        <v>Le Trophée des As est une compétition qui dure toute la saison. Comment les razeteurs gagnent-ils des points pour ce trophée ?</v>
      </c>
      <c r="I34" s="5" t="str">
        <f>IFERROR(__xludf.DUMMYFUNCTION("GOOGLETRANSLATE(C34, ""en"", ""fr"")"),"A) En remportant des courses individuelles, B) En accumulant des points lors de courses de haut niveau désignées tout au long de la saison, C) Par un vote du public, D) En remportant le plus de cocardes")</f>
        <v>A) En remportant des courses individuelles, B) En accumulant des points lors de courses de haut niveau désignées tout au long de la saison, C) Par un vote du public, D) En remportant le plus de cocardes</v>
      </c>
      <c r="J34" s="5" t="str">
        <f>IFERROR(__xludf.DUMMYFUNCTION("GOOGLETRANSLATE(D34, ""en"", ""fr"")"),"B) En accumulant des points lors de courses désignées et de haut niveau tout au long de la saison")</f>
        <v>B) En accumulant des points lors de courses désignées et de haut niveau tout au long de la saison</v>
      </c>
      <c r="K34" s="5" t="str">
        <f>IFERROR(__xludf.DUMMYFUNCTION("GOOGLETRANSLATE(E34, ""en"", ""fr"")"),"Le championnat est une ligue où les razeteurs accumulent des points lors des événements majeurs pour déterminer le champion de la saison.")</f>
        <v>Le championnat est une ligue où les razeteurs accumulent des points lors des événements majeurs pour déterminer le champion de la saison.</v>
      </c>
    </row>
    <row r="35" ht="22.5" customHeight="1">
      <c r="A35" s="4">
        <v>34.0</v>
      </c>
      <c r="B35" s="5" t="s">
        <v>1811</v>
      </c>
      <c r="C35" s="5" t="s">
        <v>1812</v>
      </c>
      <c r="D35" s="5" t="s">
        <v>1813</v>
      </c>
      <c r="E35" s="5" t="s">
        <v>1814</v>
      </c>
      <c r="G35" s="5" t="str">
        <f>IFERROR(__xludf.DUMMYFUNCTION("GOOGLETRANSLATE(A35, ""en"", ""fr"")"),"34")</f>
        <v>34</v>
      </c>
      <c r="H35" s="5" t="str">
        <f>IFERROR(__xludf.DUMMYFUNCTION("GOOGLETRANSLATE(B35, ""en"", ""fr"")"),"Qu'est-ce que le toril ?")</f>
        <v>Qu'est-ce que le toril ?</v>
      </c>
      <c r="I35" s="5" t="str">
        <f>IFERROR(__xludf.DUMMYFUNCTION("GOOGLETRANSLATE(C35, ""en"", ""fr"")"),"A) Le centre de l'arène, B) L'enclos ou la porte d'où le taureau est lâché dans l'arène, C) Le vestiaire du taureau, D) Le prix.")</f>
        <v>A) Le centre de l'arène, B) L'enclos ou la porte d'où le taureau est lâché dans l'arène, C) Le vestiaire du taureau, D) Le prix.</v>
      </c>
      <c r="J35" s="5" t="str">
        <f>IFERROR(__xludf.DUMMYFUNCTION("GOOGLETRANSLATE(D35, ""en"", ""fr"")"),"B) L'enclos ou la porte par laquelle le taureau est lâché dans l'arène")</f>
        <v>B) L'enclos ou la porte par laquelle le taureau est lâché dans l'arène</v>
      </c>
      <c r="K35" s="5" t="str">
        <f>IFERROR(__xludf.DUMMYFUNCTION("GOOGLETRANSLATE(E35, ""en"", ""fr"")"),"Le toril est l'enclos où les taureaux sont gardés avant d'entrer dans l'arène.")</f>
        <v>Le toril est l'enclos où les taureaux sont gardés avant d'entrer dans l'arène.</v>
      </c>
    </row>
    <row r="36" ht="22.5" customHeight="1">
      <c r="A36" s="4">
        <v>35.0</v>
      </c>
      <c r="B36" s="5" t="s">
        <v>1815</v>
      </c>
      <c r="C36" s="5" t="s">
        <v>1816</v>
      </c>
      <c r="D36" s="5" t="s">
        <v>1817</v>
      </c>
      <c r="E36" s="5" t="s">
        <v>1818</v>
      </c>
      <c r="G36" s="5" t="str">
        <f>IFERROR(__xludf.DUMMYFUNCTION("GOOGLETRANSLATE(A36, ""en"", ""fr"")"),"35")</f>
        <v>35</v>
      </c>
      <c r="H36" s="5" t="str">
        <f>IFERROR(__xludf.DUMMYFUNCTION("GOOGLETRANSLATE(B36, ""en"", ""fr"")"),"Pourquoi un razeteur doit-il être extrêmement agile et athlétique ?")</f>
        <v>Pourquoi un razeteur doit-il être extrêmement agile et athlétique ?</v>
      </c>
      <c r="I36" s="5" t="str">
        <f>IFERROR(__xludf.DUMMYFUNCTION("GOOGLETRANSLATE(C36, ""en"", ""fr"")"),"A) Réaliser le « raset » explosif et sauter par-dessus la barrière pour s'échapper, B) Être capable de soulever des objets lourds, C) Courir plus vite que ses coéquipiers, D) Être capable de combattre le taureau")</f>
        <v>A) Réaliser le « raset » explosif et sauter par-dessus la barrière pour s'échapper, B) Être capable de soulever des objets lourds, C) Courir plus vite que ses coéquipiers, D) Être capable de combattre le taureau</v>
      </c>
      <c r="J36" s="5" t="str">
        <f>IFERROR(__xludf.DUMMYFUNCTION("GOOGLETRANSLATE(D36, ""en"", ""fr"")"),"A) Effectuer le ""raset"" explosif et sauter par-dessus la barrière pour s'échapper")</f>
        <v>A) Effectuer le "raset" explosif et sauter par-dessus la barrière pour s'échapper</v>
      </c>
      <c r="K36" s="5" t="str">
        <f>IFERROR(__xludf.DUMMYFUNCTION("GOOGLETRANSLATE(E36, ""en"", ""fr"")"),"Ce sport exige une vitesse incroyable pour la course et des capacités gymniques pour l'échappatoire, ce qui en fait une épreuve d'athlétisme pur.")</f>
        <v>Ce sport exige une vitesse incroyable pour la course et des capacités gymniques pour l'échappatoire, ce qui en fait une épreuve d'athlétisme pur.</v>
      </c>
    </row>
    <row r="37" ht="22.5" customHeight="1">
      <c r="A37" s="4">
        <v>36.0</v>
      </c>
      <c r="B37" s="5" t="s">
        <v>1819</v>
      </c>
      <c r="C37" s="5" t="s">
        <v>1820</v>
      </c>
      <c r="D37" s="5" t="s">
        <v>1821</v>
      </c>
      <c r="E37" s="5" t="s">
        <v>1822</v>
      </c>
      <c r="G37" s="5" t="str">
        <f>IFERROR(__xludf.DUMMYFUNCTION("GOOGLETRANSLATE(A37, ""en"", ""fr"")"),"36")</f>
        <v>36</v>
      </c>
      <c r="H37" s="5" t="str">
        <f>IFERROR(__xludf.DUMMYFUNCTION("GOOGLETRANSLATE(B37, ""en"", ""fr"")"),"Quel est le nom du prestigieux tournoi qui se déroule chaque année en juillet dans les arènes romaines d'Arles ?")</f>
        <v>Quel est le nom du prestigieux tournoi qui se déroule chaque année en juillet dans les arènes romaines d'Arles ?</v>
      </c>
      <c r="I37" s="5" t="str">
        <f>IFERROR(__xludf.DUMMYFUNCTION("GOOGLETRANSLATE(C37, ""en"", ""fr"")"),"A) Le Biòu d'Or, B) Le Trophée des As, C) La Cocarde d'Or, D) La Palme d'Or")</f>
        <v>A) Le Biòu d'Or, B) Le Trophée des As, C) La Cocarde d'Or, D) La Palme d'Or</v>
      </c>
      <c r="J37" s="5" t="str">
        <f>IFERROR(__xludf.DUMMYFUNCTION("GOOGLETRANSLATE(D37, ""en"", ""fr"")"),"C) La Cocarde d'Or")</f>
        <v>C) La Cocarde d'Or</v>
      </c>
      <c r="K37" s="5" t="str">
        <f>IFERROR(__xludf.DUMMYFUNCTION("GOOGLETRANSLATE(E37, ""en"", ""fr"")"),"La « Golden Cocarde » est l'un des trois tournois majeurs de la saison, célèbre pour son cadre historique.")</f>
        <v>La « Golden Cocarde » est l'un des trois tournois majeurs de la saison, célèbre pour son cadre historique.</v>
      </c>
    </row>
    <row r="38" ht="22.5" customHeight="1">
      <c r="A38" s="4">
        <v>37.0</v>
      </c>
      <c r="B38" s="5" t="s">
        <v>1823</v>
      </c>
      <c r="C38" s="5" t="s">
        <v>1824</v>
      </c>
      <c r="D38" s="5" t="s">
        <v>1825</v>
      </c>
      <c r="E38" s="5" t="s">
        <v>1826</v>
      </c>
      <c r="G38" s="5" t="str">
        <f>IFERROR(__xludf.DUMMYFUNCTION("GOOGLETRANSLATE(A38, ""en"", ""fr"")"),"37")</f>
        <v>37</v>
      </c>
      <c r="H38" s="5" t="str">
        <f>IFERROR(__xludf.DUMMYFUNCTION("GOOGLETRANSLATE(B38, ""en"", ""fr"")"),"Quelle est la décision à prendre si le crochet d'un razeteur se coince dans la corne du taureau ?")</f>
        <v>Quelle est la décision à prendre si le crochet d'un razeteur se coince dans la corne du taureau ?</v>
      </c>
      <c r="I38" s="5" t="str">
        <f>IFERROR(__xludf.DUMMYFUNCTION("GOOGLETRANSLATE(C38, ""en"", ""fr"")"),"A) Ils doivent lâcher prise immédiatement, B) Ils peuvent essayer de se dégager, C) Le point est rejoué, D) Ils sont disqualifiés")</f>
        <v>A) Ils doivent lâcher prise immédiatement, B) Ils peuvent essayer de se dégager, C) Le point est rejoué, D) Ils sont disqualifiés</v>
      </c>
      <c r="J38" s="5" t="str">
        <f>IFERROR(__xludf.DUMMYFUNCTION("GOOGLETRANSLATE(D38, ""en"", ""fr"")"),"A) Ils doivent lâcher prise immédiatement")</f>
        <v>A) Ils doivent lâcher prise immédiatement</v>
      </c>
      <c r="K38" s="5" t="str">
        <f>IFERROR(__xludf.DUMMYFUNCTION("GOOGLETRANSLATE(E38, ""en"", ""fr"")"),"S'accrocher au crochet lorsqu'il est coincé est extrêmement dangereux et peut entraîner le fait que le razeteur soit traîné ou encorné.")</f>
        <v>S'accrocher au crochet lorsqu'il est coincé est extrêmement dangereux et peut entraîner le fait que le razeteur soit traîné ou encorné.</v>
      </c>
    </row>
    <row r="39" ht="22.5" customHeight="1">
      <c r="A39" s="4">
        <v>38.0</v>
      </c>
      <c r="B39" s="5" t="s">
        <v>1827</v>
      </c>
      <c r="C39" s="5" t="s">
        <v>1828</v>
      </c>
      <c r="D39" s="5" t="s">
        <v>1829</v>
      </c>
      <c r="E39" s="5" t="s">
        <v>1830</v>
      </c>
      <c r="G39" s="5" t="str">
        <f>IFERROR(__xludf.DUMMYFUNCTION("GOOGLETRANSLATE(A39, ""en"", ""fr"")"),"38")</f>
        <v>38</v>
      </c>
      <c r="H39" s="5" t="str">
        <f>IFERROR(__xludf.DUMMYFUNCTION("GOOGLETRANSLATE(B39, ""en"", ""fr"")"),"Que signifie le fait qu'un taureau soit « gaucher » ou « droitier » ?")</f>
        <v>Que signifie le fait qu'un taureau soit « gaucher » ou « droitier » ?</v>
      </c>
      <c r="I39" s="5" t="str">
        <f>IFERROR(__xludf.DUMMYFUNCTION("GOOGLETRANSLATE(C39, ""en"", ""fr"")"),"A) Il préfère charger avec une corne plutôt qu'avec l'autre, B) Il préfère tourner dans une direction plutôt que dans l'autre, C) C'est une façon de classer leur tempérament, D) Cela n'a aucune signification")</f>
        <v>A) Il préfère charger avec une corne plutôt qu'avec l'autre, B) Il préfère tourner dans une direction plutôt que dans l'autre, C) C'est une façon de classer leur tempérament, D) Cela n'a aucune signification</v>
      </c>
      <c r="J39" s="5" t="str">
        <f>IFERROR(__xludf.DUMMYFUNCTION("GOOGLETRANSLATE(D39, ""en"", ""fr"")"),"B) Il préfère tourner dans une direction plutôt que dans l'autre.")</f>
        <v>B) Il préfère tourner dans une direction plutôt que dans l'autre.</v>
      </c>
      <c r="K39" s="5" t="str">
        <f>IFERROR(__xludf.DUMMYFUNCTION("GOOGLETRANSLATE(E39, ""en"", ""fr"")"),"Un taureau intelligent aura souvent une direction de virage privilégiée pour défendre ses atouts, une tendance que les arpenteurs expérimentés doivent apprendre à exploiter.")</f>
        <v>Un taureau intelligent aura souvent une direction de virage privilégiée pour défendre ses atouts, une tendance que les arpenteurs expérimentés doivent apprendre à exploiter.</v>
      </c>
    </row>
    <row r="40" ht="22.5" customHeight="1">
      <c r="A40" s="4">
        <v>39.0</v>
      </c>
      <c r="B40" s="5" t="s">
        <v>1831</v>
      </c>
      <c r="C40" s="5" t="s">
        <v>1832</v>
      </c>
      <c r="D40" s="5" t="s">
        <v>1833</v>
      </c>
      <c r="E40" s="5" t="s">
        <v>1834</v>
      </c>
      <c r="G40" s="5" t="str">
        <f>IFERROR(__xludf.DUMMYFUNCTION("GOOGLETRANSLATE(A40, ""en"", ""fr"")"),"39")</f>
        <v>39</v>
      </c>
      <c r="H40" s="5" t="str">
        <f>IFERROR(__xludf.DUMMYFUNCTION("GOOGLETRANSLATE(B40, ""en"", ""fr"")"),"Une nouvelle règle est introduite pour accorder au taureau une période de repos au milieu de ses 15 minutes de course. Quelle en est la principale raison ?")</f>
        <v>Une nouvelle règle est introduite pour accorder au taureau une période de repos au milieu de ses 15 minutes de course. Quelle en est la principale raison ?</v>
      </c>
      <c r="I40" s="5" t="str">
        <f>IFERROR(__xludf.DUMMYFUNCTION("GOOGLETRANSLATE(C40, ""en"", ""fr"")"),"A) Pour allonger la course, B) Pour améliorer le bien-être animal, C) Pour donner un peu de répit aux organisateurs, D) Pour créer du suspense")</f>
        <v>A) Pour allonger la course, B) Pour améliorer le bien-être animal, C) Pour donner un peu de répit aux organisateurs, D) Pour créer du suspense</v>
      </c>
      <c r="J40" s="5" t="str">
        <f>IFERROR(__xludf.DUMMYFUNCTION("GOOGLETRANSLATE(D40, ""en"", ""fr"")"),"B) Améliorer le bien-être animal")</f>
        <v>B) Améliorer le bien-être animal</v>
      </c>
      <c r="K40" s="5" t="str">
        <f>IFERROR(__xludf.DUMMYFUNCTION("GOOGLETRANSLATE(E40, ""en"", ""fr"")"),"Les modifications réglementaires modernes visent souvent à garantir le bien-être des taureaux, véritables stars de ce sport.")</f>
        <v>Les modifications réglementaires modernes visent souvent à garantir le bien-être des taureaux, véritables stars de ce sport.</v>
      </c>
    </row>
    <row r="41" ht="22.5" customHeight="1">
      <c r="A41" s="4">
        <v>40.0</v>
      </c>
      <c r="B41" s="5" t="s">
        <v>1835</v>
      </c>
      <c r="C41" s="5" t="s">
        <v>1836</v>
      </c>
      <c r="D41" s="5" t="s">
        <v>1837</v>
      </c>
      <c r="E41" s="5" t="s">
        <v>1838</v>
      </c>
      <c r="G41" s="5" t="str">
        <f>IFERROR(__xludf.DUMMYFUNCTION("GOOGLETRANSLATE(A41, ""en"", ""fr"")"),"40")</f>
        <v>40</v>
      </c>
      <c r="H41" s="5" t="str">
        <f>IFERROR(__xludf.DUMMYFUNCTION("GOOGLETRANSLATE(B41, ""en"", ""fr"")"),"Qu'est-ce qu'une manade ?")</f>
        <v>Qu'est-ce qu'une manade ?</v>
      </c>
      <c r="I41" s="5" t="str">
        <f>IFERROR(__xludf.DUMMYFUNCTION("GOOGLETRANSLATE(C41, ""en"", ""fr"")"),"A) Un type de festival, B) Les arènes, C) Un troupeau de taureaux camarguais et le ranch où ils sont élevés, D) Une équipe de razeteurs")</f>
        <v>A) Un type de festival, B) Les arènes, C) Un troupeau de taureaux camarguais et le ranch où ils sont élevés, D) Une équipe de razeteurs</v>
      </c>
      <c r="J41" s="5" t="str">
        <f>IFERROR(__xludf.DUMMYFUNCTION("GOOGLETRANSLATE(D41, ""en"", ""fr"")"),"C) Un troupeau de taureaux camarguais et le ranch où ils sont élevés")</f>
        <v>C) Un troupeau de taureaux camarguais et le ranch où ils sont élevés</v>
      </c>
      <c r="K41" s="5" t="str">
        <f>IFERROR(__xludf.DUMMYFUNCTION("GOOGLETRANSLATE(E41, ""en"", ""fr"")"),"Une manade désigne l'ensemble de l'exploitation d'élevage, gérée par un manadier, qui est au cœur de la culture de la région.")</f>
        <v>Une manade désigne l'ensemble de l'exploitation d'élevage, gérée par un manadier, qui est au cœur de la culture de la région.</v>
      </c>
    </row>
    <row r="42" ht="22.5" customHeight="1">
      <c r="A42" s="4">
        <v>41.0</v>
      </c>
      <c r="B42" s="5" t="s">
        <v>1839</v>
      </c>
      <c r="C42" s="5" t="s">
        <v>1840</v>
      </c>
      <c r="D42" s="5" t="s">
        <v>1841</v>
      </c>
      <c r="E42" s="5" t="s">
        <v>1842</v>
      </c>
      <c r="G42" s="5" t="str">
        <f>IFERROR(__xludf.DUMMYFUNCTION("GOOGLETRANSLATE(A42, ""en"", ""fr"")"),"41")</f>
        <v>41</v>
      </c>
      <c r="H42" s="5" t="str">
        <f>IFERROR(__xludf.DUMMYFUNCTION("GOOGLETRANSLATE(B42, ""en"", ""fr"")"),"Un arqueur charge, mais le taureau ne se retourne pas. Quelle est la décision ?")</f>
        <v>Un arqueur charge, mais le taureau ne se retourne pas. Quelle est la décision ?</v>
      </c>
      <c r="I42" s="5" t="str">
        <f>IFERROR(__xludf.DUMMYFUNCTION("GOOGLETRANSLATE(C42, ""en"", ""fr"")"),"A) Le razeteur peut facilement prendre l'attribut, B) La course est invalide ; un raset doit être effectué sur un taureau en charge, C) Le taureau est disqualifié, D) Le razeteur reçoit un avertissement")</f>
        <v>A) Le razeteur peut facilement prendre l'attribut, B) La course est invalide ; un raset doit être effectué sur un taureau en charge, C) Le taureau est disqualifié, D) Le razeteur reçoit un avertissement</v>
      </c>
      <c r="J42" s="5" t="str">
        <f>IFERROR(__xludf.DUMMYFUNCTION("GOOGLETRANSLATE(D42, ""en"", ""fr"")"),"B) La course est invalide ; un raset doit être effectué sur un taureau en charge.")</f>
        <v>B) La course est invalide ; un raset doit être effectué sur un taureau en charge.</v>
      </c>
      <c r="K42" s="5" t="str">
        <f>IFERROR(__xludf.DUMMYFUNCTION("GOOGLETRANSLATE(E42, ""en"", ""fr"")"),"Un point ne peut être marqué que lors d'une compétition légitime d'adresse et de courage. Prendre un attribut à un taureau qui n'est pas engagé dans le combat ne constitue pas un point valable.")</f>
        <v>Un point ne peut être marqué que lors d'une compétition légitime d'adresse et de courage. Prendre un attribut à un taureau qui n'est pas engagé dans le combat ne constitue pas un point valable.</v>
      </c>
    </row>
    <row r="43" ht="22.5" customHeight="1">
      <c r="A43" s="4">
        <v>42.0</v>
      </c>
      <c r="B43" s="5" t="s">
        <v>1843</v>
      </c>
      <c r="C43" s="5" t="s">
        <v>1844</v>
      </c>
      <c r="D43" s="5" t="s">
        <v>1845</v>
      </c>
      <c r="E43" s="5" t="s">
        <v>1846</v>
      </c>
      <c r="G43" s="5" t="str">
        <f>IFERROR(__xludf.DUMMYFUNCTION("GOOGLETRANSLATE(A43, ""en"", ""fr"")"),"42")</f>
        <v>42</v>
      </c>
      <c r="H43" s="5" t="str">
        <f>IFERROR(__xludf.DUMMYFUNCTION("GOOGLETRANSLATE(B43, ""en"", ""fr"")"),"Les noms des razeteurs et des tourteurs sont inscrits au dos de leurs maillots. Quel est le code couleur ?")</f>
        <v>Les noms des razeteurs et des tourteurs sont inscrits au dos de leurs maillots. Quel est le code couleur ?</v>
      </c>
      <c r="I43" s="5" t="str">
        <f>IFERROR(__xludf.DUMMYFUNCTION("GOOGLETRANSLATE(C43, ""en"", ""fr"")"),"A) Les Razeteurs en noir, les tourneurs en rouge, B) Les deux sont en noir, C) Les Razeteurs en rouge, les tourneurs en noir, D) Les deux sont en rouge")</f>
        <v>A) Les Razeteurs en noir, les tourneurs en rouge, B) Les deux sont en noir, C) Les Razeteurs en rouge, les tourneurs en noir, D) Les deux sont en rouge</v>
      </c>
      <c r="J43" s="5" t="str">
        <f>IFERROR(__xludf.DUMMYFUNCTION("GOOGLETRANSLATE(D43, ""en"", ""fr"")"),"A) Razeteurs en noir, tourneurs en rouge")</f>
        <v>A) Razeteurs en noir, tourneurs en rouge</v>
      </c>
      <c r="K43" s="5" t="str">
        <f>IFERROR(__xludf.DUMMYFUNCTION("GOOGLETRANSLATE(E43, ""en"", ""fr"")"),"Ce code couleur permet aux juges et au public de distinguer facilement les deux rôles différents sur le ring.")</f>
        <v>Ce code couleur permet aux juges et au public de distinguer facilement les deux rôles différents sur le ring.</v>
      </c>
    </row>
    <row r="44" ht="22.5" customHeight="1">
      <c r="A44" s="4">
        <v>43.0</v>
      </c>
      <c r="B44" s="5" t="s">
        <v>1847</v>
      </c>
      <c r="C44" s="5" t="s">
        <v>1848</v>
      </c>
      <c r="D44" s="5" t="s">
        <v>1705</v>
      </c>
      <c r="E44" s="5" t="s">
        <v>1849</v>
      </c>
      <c r="G44" s="5" t="str">
        <f>IFERROR(__xludf.DUMMYFUNCTION("GOOGLETRANSLATE(A44, ""en"", ""fr"")"),"43")</f>
        <v>43</v>
      </c>
      <c r="H44" s="5" t="str">
        <f>IFERROR(__xludf.DUMMYFUNCTION("GOOGLETRANSLATE(B44, ""en"", ""fr"")"),"Lequel de ces attributs a la valeur en points la plus faible mais est souvent le premier à être choisi ?")</f>
        <v>Lequel de ces attributs a la valeur en points la plus faible mais est souvent le premier à être choisi ?</v>
      </c>
      <c r="I44" s="5" t="str">
        <f>IFERROR(__xludf.DUMMYFUNCTION("GOOGLETRANSLATE(C44, ""en"", ""fr"")"),"A) Les cordes (ficelles), B) Les glands, C) La cocarde, D) Ils valent tous la même chose")</f>
        <v>A) Les cordes (ficelles), B) Les glands, C) La cocarde, D) Ils valent tous la même chose</v>
      </c>
      <c r="J44" s="5" t="str">
        <f>IFERROR(__xludf.DUMMYFUNCTION("GOOGLETRANSLATE(D44, ""en"", ""fr"")"),"C) La cocarde")</f>
        <v>C) La cocarde</v>
      </c>
      <c r="K44" s="5" t="str">
        <f>IFERROR(__xludf.DUMMYFUNCTION("GOOGLETRANSLATE(E44, ""en"", ""fr"")"),"La cocarde a une valeur de base (par exemple 1 point), mais son prix peut être très élevé. Elle est prise en premier car elle se trouve en tête de file.")</f>
        <v>La cocarde a une valeur de base (par exemple 1 point), mais son prix peut être très élevé. Elle est prise en premier car elle se trouve en tête de file.</v>
      </c>
    </row>
    <row r="45" ht="22.5" customHeight="1">
      <c r="A45" s="4">
        <v>44.0</v>
      </c>
      <c r="B45" s="5" t="s">
        <v>1850</v>
      </c>
      <c r="C45" s="5" t="s">
        <v>1851</v>
      </c>
      <c r="D45" s="5" t="s">
        <v>1852</v>
      </c>
      <c r="E45" s="5" t="s">
        <v>1853</v>
      </c>
      <c r="G45" s="5" t="str">
        <f>IFERROR(__xludf.DUMMYFUNCTION("GOOGLETRANSLATE(A45, ""en"", ""fr"")"),"44")</f>
        <v>44</v>
      </c>
      <c r="H45" s="5" t="str">
        <f>IFERROR(__xludf.DUMMYFUNCTION("GOOGLETRANSLATE(B45, ""en"", ""fr"")"),"Quelle est la décision à prendre si un razeteur saute sur la barrière et se retrouve « coincé » dessus, incapable de la franchir ?")</f>
        <v>Quelle est la décision à prendre si un razeteur saute sur la barrière et se retrouve « coincé » dessus, incapable de la franchir ?</v>
      </c>
      <c r="I45" s="5" t="str">
        <f>IFERROR(__xludf.DUMMYFUNCTION("GOOGLETRANSLATE(C45, ""en"", ""fr"")"),"A) Ils sont éliminés de la course, B) Le taureau est autorisé à les percuter, C) Le taureau doit être distrait par les participants pour qu'ils puissent descendre en toute sécurité, D) Ils gagnent un point pour leur bravoure")</f>
        <v>A) Ils sont éliminés de la course, B) Le taureau est autorisé à les percuter, C) Le taureau doit être distrait par les participants pour qu'ils puissent descendre en toute sécurité, D) Ils gagnent un point pour leur bravoure</v>
      </c>
      <c r="J45" s="5" t="str">
        <f>IFERROR(__xludf.DUMMYFUNCTION("GOOGLETRANSLATE(D45, ""en"", ""fr"")"),"C) Le taureau doit être distrait par les tourteurs afin qu'ils puissent descendre en toute sécurité.")</f>
        <v>C) Le taureau doit être distrait par les tourteurs afin qu'ils puissent descendre en toute sécurité.</v>
      </c>
      <c r="K45" s="5" t="str">
        <f>IFERROR(__xludf.DUMMYFUNCTION("GOOGLETRANSLATE(E45, ""en"", ""fr"")"),"Il s'agit d'une situation dangereuse, et les autres hommes présents sur le ring ont le devoir de créer une diversion pour assurer la sécurité de leur coéquipier.")</f>
        <v>Il s'agit d'une situation dangereuse, et les autres hommes présents sur le ring ont le devoir de créer une diversion pour assurer la sécurité de leur coéquipier.</v>
      </c>
    </row>
    <row r="46" ht="22.5" customHeight="1">
      <c r="A46" s="4">
        <v>45.0</v>
      </c>
      <c r="B46" s="5" t="s">
        <v>1854</v>
      </c>
      <c r="C46" s="5" t="s">
        <v>1855</v>
      </c>
      <c r="D46" s="5" t="s">
        <v>1856</v>
      </c>
      <c r="E46" s="5" t="s">
        <v>1857</v>
      </c>
      <c r="G46" s="5" t="str">
        <f>IFERROR(__xludf.DUMMYFUNCTION("GOOGLETRANSLATE(A46, ""en"", ""fr"")"),"45")</f>
        <v>45</v>
      </c>
      <c r="H46" s="5" t="str">
        <f>IFERROR(__xludf.DUMMYFUNCTION("GOOGLETRANSLATE(B46, ""en"", ""fr"")"),"Quelle est la principale caractéristique de la race de chevaux camarguaise ?")</f>
        <v>Quelle est la principale caractéristique de la race de chevaux camarguaise ?</v>
      </c>
      <c r="I46" s="5" t="str">
        <f>IFERROR(__xludf.DUMMYFUNCTION("GOOGLETRANSLATE(C46, ""en"", ""fr"")"),"A) Il est très grand et fort, B) C'est un petit cheval blanc, robuste et agile, adapté aux zones humides, C) C'est un cheval de course rapide, comme un pur-sang, D) C'est un cheval de trait")</f>
        <v>A) Il est très grand et fort, B) C'est un petit cheval blanc, robuste et agile, adapté aux zones humides, C) C'est un cheval de course rapide, comme un pur-sang, D) C'est un cheval de trait</v>
      </c>
      <c r="J46" s="5" t="str">
        <f>IFERROR(__xludf.DUMMYFUNCTION("GOOGLETRANSLATE(D46, ""en"", ""fr"")"),"B) C'est un petit cheval blanc, robuste et agile, adapté aux zones humides.")</f>
        <v>B) C'est un petit cheval blanc, robuste et agile, adapté aux zones humides.</v>
      </c>
      <c r="K46" s="5" t="str">
        <f>IFERROR(__xludf.DUMMYFUNCTION("GOOGLETRANSLATE(E46, ""en"", ""fr"")"),"Les célèbres chevaux blancs de Camargue constituent une race unique et ancienne, parfaitement adaptée à son environnement et au travail des gardians.")</f>
        <v>Les célèbres chevaux blancs de Camargue constituent une race unique et ancienne, parfaitement adaptée à son environnement et au travail des gardians.</v>
      </c>
    </row>
    <row r="47" ht="22.5" customHeight="1">
      <c r="A47" s="4">
        <v>46.0</v>
      </c>
      <c r="B47" s="5" t="s">
        <v>1858</v>
      </c>
      <c r="C47" s="5" t="s">
        <v>1859</v>
      </c>
      <c r="D47" s="5" t="s">
        <v>1860</v>
      </c>
      <c r="E47" s="5" t="s">
        <v>1861</v>
      </c>
      <c r="G47" s="5" t="str">
        <f>IFERROR(__xludf.DUMMYFUNCTION("GOOGLETRANSLATE(A47, ""en"", ""fr"")"),"46")</f>
        <v>46</v>
      </c>
      <c r="H47" s="5" t="str">
        <f>IFERROR(__xludf.DUMMYFUNCTION("GOOGLETRANSLATE(B47, ""en"", ""fr"")"),"Comment un racleur apprend-il son métier ?")</f>
        <v>Comment un racleur apprend-il son métier ?</v>
      </c>
      <c r="I47" s="5" t="str">
        <f>IFERROR(__xludf.DUMMYFUNCTION("GOOGLETRANSLATE(C47, ""en"", ""fr"")"),"A) À partir d'un livre, B) En suivant un cursus universitaire, C) En intégrant une école de raseteurs dès leur plus jeune âge, D) Ils sont autodidactes")</f>
        <v>A) À partir d'un livre, B) En suivant un cursus universitaire, C) En intégrant une école de raseteurs dès leur plus jeune âge, D) Ils sont autodidactes</v>
      </c>
      <c r="J47" s="5" t="str">
        <f>IFERROR(__xludf.DUMMYFUNCTION("GOOGLETRANSLATE(D47, ""en"", ""fr"")"),"C) En entrant jeune dans une école de raseteurs spécialisée")</f>
        <v>C) En entrant jeune dans une école de raseteurs spécialisée</v>
      </c>
      <c r="K47" s="5" t="str">
        <f>IFERROR(__xludf.DUMMYFUNCTION("GOOGLETRANSLATE(E47, ""en"", ""fr"")"),"Les aspirants bargeurs de glace suivent des années de formation intensive dans des écoles spécialisées pour acquérir les compétences dangereuses et hautement techniques requises.")</f>
        <v>Les aspirants bargeurs de glace suivent des années de formation intensive dans des écoles spécialisées pour acquérir les compétences dangereuses et hautement techniques requises.</v>
      </c>
    </row>
    <row r="48" ht="22.5" customHeight="1">
      <c r="A48" s="4">
        <v>47.0</v>
      </c>
      <c r="B48" s="5" t="s">
        <v>1862</v>
      </c>
      <c r="C48" s="5" t="s">
        <v>1863</v>
      </c>
      <c r="D48" s="5" t="s">
        <v>1864</v>
      </c>
      <c r="E48" s="5" t="s">
        <v>1865</v>
      </c>
      <c r="G48" s="5" t="str">
        <f>IFERROR(__xludf.DUMMYFUNCTION("GOOGLETRANSLATE(A48, ""en"", ""fr"")"),"47")</f>
        <v>47</v>
      </c>
      <c r="H48" s="5" t="str">
        <f>IFERROR(__xludf.DUMMYFUNCTION("GOOGLETRANSLATE(B48, ""en"", ""fr"")"),"On dit qu'un taureau a « vu » un razeteur. Qu'est-ce que cela signifie ?")</f>
        <v>On dit qu'un taureau a « vu » un razeteur. Qu'est-ce que cela signifie ?</v>
      </c>
      <c r="I48" s="5" t="str">
        <f>IFERROR(__xludf.DUMMYFUNCTION("GOOGLETRANSLATE(C48, ""en"", ""fr"")"),"A) Le taureau a une bonne vue. B) Le taureau a repéré un taureau en particulier qui s'apprête à s'élancer et se concentre sur lui. C) Le taureau a peur. D) Le taureau est prêt à quitter l'arène.")</f>
        <v>A) Le taureau a une bonne vue. B) Le taureau a repéré un taureau en particulier qui s'apprête à s'élancer et se concentre sur lui. C) Le taureau a peur. D) Le taureau est prêt à quitter l'arène.</v>
      </c>
      <c r="J48" s="5" t="str">
        <f>IFERROR(__xludf.DUMMYFUNCTION("GOOGLETRANSLATE(D48, ""en"", ""fr"")"),"B) Le taureau a identifié et se concentre sur un razeteur spécifique qui se prépare à courir")</f>
        <v>B) Le taureau a identifié et se concentre sur un razeteur spécifique qui se prépare à courir</v>
      </c>
      <c r="K48" s="5" t="str">
        <f>IFERROR(__xludf.DUMMYFUNCTION("GOOGLETRANSLATE(E48, ""en"", ""fr"")"),"C’est un moment crucial où le taureau concentre toute son attention sur sa cible, préparant ainsi la charge pour le raset.")</f>
        <v>C’est un moment crucial où le taureau concentre toute son attention sur sa cible, préparant ainsi la charge pour le raset.</v>
      </c>
    </row>
    <row r="49" ht="22.5" customHeight="1">
      <c r="A49" s="4">
        <v>48.0</v>
      </c>
      <c r="B49" s="5" t="s">
        <v>1866</v>
      </c>
      <c r="C49" s="5" t="s">
        <v>1867</v>
      </c>
      <c r="D49" s="5" t="s">
        <v>1868</v>
      </c>
      <c r="E49" s="5" t="s">
        <v>1869</v>
      </c>
      <c r="G49" s="5" t="str">
        <f>IFERROR(__xludf.DUMMYFUNCTION("GOOGLETRANSLATE(A49, ""en"", ""fr"")"),"48")</f>
        <v>48</v>
      </c>
      <c r="H49" s="5" t="str">
        <f>IFERROR(__xludf.DUMMYFUNCTION("GOOGLETRANSLATE(B49, ""en"", ""fr"")"),"Quelle est la sanction infligée à un joueur de tournoi qui gêne illégalement le taureau ?")</f>
        <v>Quelle est la sanction infligée à un joueur de tournoi qui gêne illégalement le taureau ?</v>
      </c>
      <c r="I49" s="5" t="str">
        <f>IFERROR(__xludf.DUMMYFUNCTION("GOOGLETRANSLATE(C49, ""en"", ""fr"")"),"A) Aucune pénalité n'est infligée. B) Le tourteur est averti ou pénalisé, et tout point marqué est annulé. C) Le razeteur est pénalisé. D) Le taureau bénéficie d'un repos.")</f>
        <v>A) Aucune pénalité n'est infligée. B) Le tourteur est averti ou pénalisé, et tout point marqué est annulé. C) Le razeteur est pénalisé. D) Le taureau bénéficie d'un repos.</v>
      </c>
      <c r="J49" s="5" t="str">
        <f>IFERROR(__xludf.DUMMYFUNCTION("GOOGLETRANSLATE(D49, ""en"", ""fr"")"),"B) Le joueur participant au tournoi est averti ou pénalisé, et tout point marqué est annulé.")</f>
        <v>B) Le joueur participant au tournoi est averti ou pénalisé, et tout point marqué est annulé.</v>
      </c>
      <c r="K49" s="5" t="str">
        <f>IFERROR(__xludf.DUMMYFUNCTION("GOOGLETRANSLATE(E49, ""en"", ""fr"")"),"Les joueurs de tournoi peuvent seulement positionner le taureau, sans intervenir physiquement sur lui. Toute obstruction illégale constitue une faute d'équipe.")</f>
        <v>Les joueurs de tournoi peuvent seulement positionner le taureau, sans intervenir physiquement sur lui. Toute obstruction illégale constitue une faute d'équipe.</v>
      </c>
    </row>
    <row r="50" ht="22.5" customHeight="1">
      <c r="A50" s="4">
        <v>49.0</v>
      </c>
      <c r="B50" s="5" t="s">
        <v>1870</v>
      </c>
      <c r="C50" s="5" t="s">
        <v>1871</v>
      </c>
      <c r="D50" s="5" t="s">
        <v>1872</v>
      </c>
      <c r="E50" s="5" t="s">
        <v>1873</v>
      </c>
      <c r="G50" s="5" t="str">
        <f>IFERROR(__xludf.DUMMYFUNCTION("GOOGLETRANSLATE(A50, ""en"", ""fr"")"),"49")</f>
        <v>49</v>
      </c>
      <c r="H50" s="5" t="str">
        <f>IFERROR(__xludf.DUMMYFUNCTION("GOOGLETRANSLATE(B50, ""en"", ""fr"")"),"Quelle est la principale raison pour laquelle les razeteurs sont considérés comme des athlètes d'élite ?")</f>
        <v>Quelle est la principale raison pour laquelle les razeteurs sont considérés comme des athlètes d'élite ?</v>
      </c>
      <c r="I50" s="5" t="str">
        <f>IFERROR(__xludf.DUMMYFUNCTION("GOOGLETRANSLATE(C50, ""en"", ""fr"")"),"A) Ils sont très bien payés, B) Ce sport exige une combinaison exceptionnelle de vitesse, d'agilité, de courage et de capacité à prendre des décisions en une fraction de seconde, C) Ils sont très célèbres, D) Ils s'entraînent tous les jours")</f>
        <v>A) Ils sont très bien payés, B) Ce sport exige une combinaison exceptionnelle de vitesse, d'agilité, de courage et de capacité à prendre des décisions en une fraction de seconde, C) Ils sont très célèbres, D) Ils s'entraînent tous les jours</v>
      </c>
      <c r="J50" s="5" t="str">
        <f>IFERROR(__xludf.DUMMYFUNCTION("GOOGLETRANSLATE(D50, ""en"", ""fr"")"),"B) Ce sport exige une combinaison exceptionnelle de vitesse, d'agilité, de courage et de capacité à prendre des décisions en une fraction de seconde.")</f>
        <v>B) Ce sport exige une combinaison exceptionnelle de vitesse, d'agilité, de courage et de capacité à prendre des décisions en une fraction de seconde.</v>
      </c>
      <c r="K50" s="5" t="str">
        <f>IFERROR(__xludf.DUMMYFUNCTION("GOOGLETRANSLATE(E50, ""en"", ""fr"")"),"Les exigences physiques et mentales du métier de razeteur sont extrêmement élevées, nécessitant le dévouement et les compétences d'un athlète professionnel de haut niveau.")</f>
        <v>Les exigences physiques et mentales du métier de razeteur sont extrêmement élevées, nécessitant le dévouement et les compétences d'un athlète professionnel de haut niveau.</v>
      </c>
    </row>
    <row r="51" ht="22.5" customHeight="1">
      <c r="A51" s="4">
        <v>50.0</v>
      </c>
      <c r="B51" s="5" t="s">
        <v>1874</v>
      </c>
      <c r="C51" s="5" t="s">
        <v>1875</v>
      </c>
      <c r="D51" s="5" t="s">
        <v>1876</v>
      </c>
      <c r="E51" s="5" t="s">
        <v>1877</v>
      </c>
      <c r="G51" s="5" t="str">
        <f>IFERROR(__xludf.DUMMYFUNCTION("GOOGLETRANSLATE(A51, ""en"", ""fr"")"),"50")</f>
        <v>50</v>
      </c>
      <c r="H51" s="5" t="str">
        <f>IFERROR(__xludf.DUMMYFUNCTION("GOOGLETRANSLATE(B51, ""en"", ""fr"")"),"En substance, le Course Camarguaise est une confrontation entre quelles deux forces ?")</f>
        <v>En substance, le Course Camarguaise est une confrontation entre quelles deux forces ?</v>
      </c>
      <c r="I51" s="5" t="str">
        <f>IFERROR(__xludf.DUMMYFUNCTION("GOOGLETRANSLATE(C51, ""en"", ""fr"")"),"A) Le bien et le mal, B) L'homme et la nature, C) L'intelligence et l'agilité du razeteur contre la puissance et l'instinct du taureau, D) Deux villages rivaux")</f>
        <v>A) Le bien et le mal, B) L'homme et la nature, C) L'intelligence et l'agilité du razeteur contre la puissance et l'instinct du taureau, D) Deux villages rivaux</v>
      </c>
      <c r="J51" s="5" t="str">
        <f>IFERROR(__xludf.DUMMYFUNCTION("GOOGLETRANSLATE(D51, ""en"", ""fr"")"),"C) L'intelligence et l'agilité du razeteur contre la puissance et l'instinct du taureau")</f>
        <v>C) L'intelligence et l'agilité du razeteur contre la puissance et l'instinct du taureau</v>
      </c>
      <c r="K51" s="5" t="str">
        <f>IFERROR(__xludf.DUMMYFUNCTION("GOOGLETRANSLATE(E51, ""en"", ""fr"")"),"Ce sport est un duel non sanglant qui célèbre l'habileté et le courage de l'athlète humain ainsi que la puissance et l'intelligence de l'athlète animal.")</f>
        <v>Ce sport est un duel non sanglant qui célèbre l'habileté et le courage de l'athlète humain ainsi que la puissance et l'intelligence de l'athlète animal.</v>
      </c>
    </row>
    <row r="52" ht="22.5" customHeight="1">
      <c r="A52" s="4">
        <v>51.0</v>
      </c>
      <c r="B52" s="5" t="s">
        <v>1878</v>
      </c>
      <c r="C52" s="5" t="s">
        <v>1879</v>
      </c>
      <c r="D52" s="5" t="s">
        <v>1880</v>
      </c>
      <c r="E52" s="5" t="s">
        <v>1881</v>
      </c>
      <c r="G52" s="5" t="str">
        <f>IFERROR(__xludf.DUMMYFUNCTION("GOOGLETRANSLATE(A52, ""en"", ""fr"")"),"51")</f>
        <v>51</v>
      </c>
      <c r="H52" s="5" t="str">
        <f>IFERROR(__xludf.DUMMYFUNCTION("GOOGLETRANSLATE(B52, ""en"", ""fr"")"),"Un racleur est surpris à utiliser un crochet plus long que la longueur réglementaire. Quelle est la sanction ?")</f>
        <v>Un racleur est surpris à utiliser un crochet plus long que la longueur réglementaire. Quelle est la sanction ?</v>
      </c>
      <c r="I52" s="5" t="str">
        <f>IFERROR(__xludf.DUMMYFUNCTION("GOOGLETRANSLATE(C52, ""en"", ""fr"")"),"A) Un avertissement est donné, B) Le razeteur est disqualifié de la course, C) Le crochet est confisqué, D) Le razeteur peut continuer mais marque la moitié des points")</f>
        <v>A) Un avertissement est donné, B) Le razeteur est disqualifié de la course, C) Le crochet est confisqué, D) Le razeteur peut continuer mais marque la moitié des points</v>
      </c>
      <c r="J52" s="5" t="str">
        <f>IFERROR(__xludf.DUMMYFUNCTION("GOOGLETRANSLATE(D52, ""en"", ""fr"")"),"B) Le razeteur est disqualifié de la course")</f>
        <v>B) Le razeteur est disqualifié de la course</v>
      </c>
      <c r="K52" s="5" t="str">
        <f>IFERROR(__xludf.DUMMYFUNCTION("GOOGLETRANSLATE(E52, ""en"", ""fr"")"),"L'utilisation d'équipements non conformes à la réglementation, conférant un avantage indu, constitue une faute grave.")</f>
        <v>L'utilisation d'équipements non conformes à la réglementation, conférant un avantage indu, constitue une faute grave.</v>
      </c>
    </row>
    <row r="53" ht="22.5" customHeight="1">
      <c r="A53" s="4">
        <v>52.0</v>
      </c>
      <c r="B53" s="5" t="s">
        <v>1882</v>
      </c>
      <c r="C53" s="5" t="s">
        <v>1883</v>
      </c>
      <c r="D53" s="5" t="s">
        <v>1884</v>
      </c>
      <c r="E53" s="5" t="s">
        <v>1885</v>
      </c>
      <c r="G53" s="5" t="str">
        <f>IFERROR(__xludf.DUMMYFUNCTION("GOOGLETRANSLATE(A53, ""en"", ""fr"")"),"52")</f>
        <v>52</v>
      </c>
      <c r="H53" s="5" t="str">
        <f>IFERROR(__xludf.DUMMYFUNCTION("GOOGLETRANSLATE(B53, ""en"", ""fr"")"),"À quoi servent les lignes blanches peintes sur la piste de l'arène ?")</f>
        <v>À quoi servent les lignes blanches peintes sur la piste de l'arène ?</v>
      </c>
      <c r="I53" s="5" t="str">
        <f>IFERROR(__xludf.DUMMYFUNCTION("GOOGLETRANSLATE(C53, ""en"", ""fr"")"),"A) Elles servent à la décoration, B) Elles aident les dresseurs à évaluer la distance et la position par rapport au taureau, C) Elles délimitent le périmètre du taureau, D) Ce sont des lignes de service")</f>
        <v>A) Elles servent à la décoration, B) Elles aident les dresseurs à évaluer la distance et la position par rapport au taureau, C) Elles délimitent le périmètre du taureau, D) Ce sont des lignes de service</v>
      </c>
      <c r="J53" s="5" t="str">
        <f>IFERROR(__xludf.DUMMYFUNCTION("GOOGLETRANSLATE(D53, ""en"", ""fr"")"),"B) Ils aident les arqueurs à évaluer leur distance et leur position par rapport au taureau")</f>
        <v>B) Ils aident les arqueurs à évaluer leur distance et leur position par rapport au taureau</v>
      </c>
      <c r="K53" s="5" t="str">
        <f>IFERROR(__xludf.DUMMYFUNCTION("GOOGLETRANSLATE(E53, ""en"", ""fr"")"),"Ces lignes servent de repère visuel aux razeteurs pour les aider à synchroniser leur course et leur saut vers la barrière.")</f>
        <v>Ces lignes servent de repère visuel aux razeteurs pour les aider à synchroniser leur course et leur saut vers la barrière.</v>
      </c>
    </row>
    <row r="54" ht="22.5" customHeight="1">
      <c r="A54" s="4">
        <v>53.0</v>
      </c>
      <c r="B54" s="5" t="s">
        <v>1886</v>
      </c>
      <c r="C54" s="5" t="s">
        <v>1887</v>
      </c>
      <c r="D54" s="5" t="s">
        <v>1888</v>
      </c>
      <c r="E54" s="5" t="s">
        <v>1889</v>
      </c>
      <c r="G54" s="5" t="str">
        <f>IFERROR(__xludf.DUMMYFUNCTION("GOOGLETRANSLATE(A54, ""en"", ""fr"")"),"53")</f>
        <v>53</v>
      </c>
      <c r="H54" s="5" t="str">
        <f>IFERROR(__xludf.DUMMYFUNCTION("GOOGLETRANSLATE(B54, ""en"", ""fr"")"),"Un taureau a la réputation d'être un « sauteur ». Qu'est-ce que cela signifie ?")</f>
        <v>Un taureau a la réputation d'être un « sauteur ». Qu'est-ce que cela signifie ?</v>
      </c>
      <c r="I54" s="5" t="str">
        <f>IFERROR(__xludf.DUMMYFUNCTION("GOOGLETRANSLATE(C54, ""en"", ""fr"")"),"A) Il est très énergique, B) Il a l'habitude de sauter la barrière à la poursuite des razeteurs, C) Il saute par-dessus les razeteurs, D) C'est un jeune taureau")</f>
        <v>A) Il est très énergique, B) Il a l'habitude de sauter la barrière à la poursuite des razeteurs, C) Il saute par-dessus les razeteurs, D) C'est un jeune taureau</v>
      </c>
      <c r="J54" s="5" t="str">
        <f>IFERROR(__xludf.DUMMYFUNCTION("GOOGLETRANSLATE(D54, ""en"", ""fr"")"),"B) Elle a la fâcheuse habitude de franchir la barrière à la poursuite des razeteurs")</f>
        <v>B) Elle a la fâcheuse habitude de franchir la barrière à la poursuite des razeteurs</v>
      </c>
      <c r="K54" s="5" t="str">
        <f>IFERROR(__xludf.DUMMYFUNCTION("GOOGLETRANSLATE(E54, ""en"", ""fr"")"),"C'est une caractéristique qui rend le taureau à la fois dangereux et extrêmement spectaculaire, et qui le rend très populaire auprès du public.")</f>
        <v>C'est une caractéristique qui rend le taureau à la fois dangereux et extrêmement spectaculaire, et qui le rend très populaire auprès du public.</v>
      </c>
    </row>
    <row r="55" ht="22.5" customHeight="1">
      <c r="A55" s="4">
        <v>54.0</v>
      </c>
      <c r="B55" s="5" t="s">
        <v>1890</v>
      </c>
      <c r="C55" s="5" t="s">
        <v>1891</v>
      </c>
      <c r="D55" s="5" t="s">
        <v>1892</v>
      </c>
      <c r="E55" s="5" t="s">
        <v>1893</v>
      </c>
      <c r="G55" s="5" t="str">
        <f>IFERROR(__xludf.DUMMYFUNCTION("GOOGLETRANSLATE(A55, ""en"", ""fr"")"),"54")</f>
        <v>54</v>
      </c>
      <c r="H55" s="5" t="str">
        <f>IFERROR(__xludf.DUMMYFUNCTION("GOOGLETRANSLATE(B55, ""en"", ""fr"")"),"Quelle est la décision rendue si un arracheur saisit la corne du taureau de sa main libre ?")</f>
        <v>Quelle est la décision rendue si un arracheur saisit la corne du taureau de sa main libre ?</v>
      </c>
      <c r="I55" s="5" t="str">
        <f>IFERROR(__xludf.DUMMYFUNCTION("GOOGLETRANSLATE(C55, ""en"", ""fr"")"),"A) C'est une manœuvre légale pour rétablir l'équilibre, B) C'est une faute grave et le razeteur est pénalisé, C) C'est autorisé si le taureau est agressif, D) Le point est rejoué")</f>
        <v>A) C'est une manœuvre légale pour rétablir l'équilibre, B) C'est une faute grave et le razeteur est pénalisé, C) C'est autorisé si le taureau est agressif, D) Le point est rejoué</v>
      </c>
      <c r="J55" s="5" t="str">
        <f>IFERROR(__xludf.DUMMYFUNCTION("GOOGLETRANSLATE(D55, ""en"", ""fr"")"),"B) C'est une faute grave, et le razéteur est sanctionné.")</f>
        <v>B) C'est une faute grave, et le razéteur est sanctionné.</v>
      </c>
      <c r="K55" s="5" t="str">
        <f>IFERROR(__xludf.DUMMYFUNCTION("GOOGLETRANSLATE(E55, ""en"", ""fr"")"),"Il est strictement interdit à un razeteur de toucher le taureau avec quelque partie que ce soit de son corps ou avec sa main libre.")</f>
        <v>Il est strictement interdit à un razeteur de toucher le taureau avec quelque partie que ce soit de son corps ou avec sa main libre.</v>
      </c>
    </row>
    <row r="56" ht="22.5" customHeight="1">
      <c r="A56" s="4">
        <v>55.0</v>
      </c>
      <c r="B56" s="5" t="s">
        <v>1894</v>
      </c>
      <c r="C56" s="5" t="s">
        <v>1895</v>
      </c>
      <c r="D56" s="5" t="s">
        <v>1896</v>
      </c>
      <c r="E56" s="5" t="s">
        <v>1897</v>
      </c>
      <c r="G56" s="5" t="str">
        <f>IFERROR(__xludf.DUMMYFUNCTION("GOOGLETRANSLATE(A56, ""en"", ""fr"")"),"55")</f>
        <v>55</v>
      </c>
      <c r="H56" s="5" t="str">
        <f>IFERROR(__xludf.DUMMYFUNCTION("GOOGLETRANSLATE(B56, ""en"", ""fr"")"),"Quel est le rôle principal du « délégué de la FFCC » (Federation Delegate) lors d'une course ?")</f>
        <v>Quel est le rôle principal du « délégué de la FFCC » (Federation Delegate) lors d'une course ?</v>
      </c>
      <c r="I56" s="5" t="str">
        <f>IFERROR(__xludf.DUMMYFUNCTION("GOOGLETRANSLATE(C56, ""en"", ""fr"")"),"A) Être l'arbitre principal, B) Être le représentant officiel de la fédération, veillant au respect des règles et procédures, C) Être le marqueur, D) Être l'organisateur de l'événement")</f>
        <v>A) Être l'arbitre principal, B) Être le représentant officiel de la fédération, veillant au respect des règles et procédures, C) Être le marqueur, D) Être l'organisateur de l'événement</v>
      </c>
      <c r="J56" s="5" t="str">
        <f>IFERROR(__xludf.DUMMYFUNCTION("GOOGLETRANSLATE(D56, ""en"", ""fr"")"),"B) Être le représentant officiel de la fédération, en veillant à ce que toutes les règles et procédures soient correctement respectées.")</f>
        <v>B) Être le représentant officiel de la fédération, en veillant à ce que toutes les règles et procédures soient correctement respectées.</v>
      </c>
      <c r="K56" s="5" t="str">
        <f>IFERROR(__xludf.DUMMYFUNCTION("GOOGLETRANSLATE(E56, ""en"", ""fr"")"),"Le délégué est la plus haute autorité de l'instance dirigeante, présente pour superviser l'ensemble de l'événement.")</f>
        <v>Le délégué est la plus haute autorité de l'instance dirigeante, présente pour superviser l'ensemble de l'événement.</v>
      </c>
    </row>
    <row r="57" ht="22.5" customHeight="1">
      <c r="A57" s="4">
        <v>56.0</v>
      </c>
      <c r="B57" s="5" t="s">
        <v>1898</v>
      </c>
      <c r="C57" s="5" t="s">
        <v>1899</v>
      </c>
      <c r="D57" s="5" t="s">
        <v>1900</v>
      </c>
      <c r="E57" s="5" t="s">
        <v>1901</v>
      </c>
      <c r="G57" s="5" t="str">
        <f>IFERROR(__xludf.DUMMYFUNCTION("GOOGLETRANSLATE(A57, ""en"", ""fr"")"),"56")</f>
        <v>56</v>
      </c>
      <c r="H57" s="5" t="str">
        <f>IFERROR(__xludf.DUMMYFUNCTION("GOOGLETRANSLATE(B57, ""en"", ""fr"")"),"Un taureau est appelé « cocardier difficile ». Qu'est-ce que cela signifie ?")</f>
        <v>Un taureau est appelé « cocardier difficile ». Qu'est-ce que cela signifie ?</v>
      </c>
      <c r="I57" s="5" t="str">
        <f>IFERROR(__xludf.DUMMYFUNCTION("GOOGLETRANSLATE(C57, ""en"", ""fr"")"),"A) Le taureau est très agressif. B) Le taureau est très intelligent et difficile à tromper, ce qui rend difficile la mémorisation de ses caractéristiques. C) Le taureau est vieux. D) Le taureau refuse de charger.")</f>
        <v>A) Le taureau est très agressif. B) Le taureau est très intelligent et difficile à tromper, ce qui rend difficile la mémorisation de ses caractéristiques. C) Le taureau est vieux. D) Le taureau refuse de charger.</v>
      </c>
      <c r="J57" s="5" t="str">
        <f>IFERROR(__xludf.DUMMYFUNCTION("GOOGLETRANSLATE(D57, ""en"", ""fr"")"),"B) Le taureau est très intelligent et difficile à tromper, ce qui rend difficile la prise de ses attributs")</f>
        <v>B) Le taureau est très intelligent et difficile à tromper, ce qui rend difficile la prise de ses attributs</v>
      </c>
      <c r="K57" s="5" t="str">
        <f>IFERROR(__xludf.DUMMYFUNCTION("GOOGLETRANSLATE(E57, ""en"", ""fr"")"),"Un taureau « difficile » est un taureau intelligent qui défend bien ses atouts, offrant un défi plus grand et un spectacle plus impressionnant.")</f>
        <v>Un taureau « difficile » est un taureau intelligent qui défend bien ses atouts, offrant un défi plus grand et un spectacle plus impressionnant.</v>
      </c>
    </row>
    <row r="58" ht="22.5" customHeight="1">
      <c r="A58" s="4">
        <v>57.0</v>
      </c>
      <c r="B58" s="5" t="s">
        <v>1902</v>
      </c>
      <c r="C58" s="5" t="s">
        <v>1903</v>
      </c>
      <c r="D58" s="5" t="s">
        <v>433</v>
      </c>
      <c r="E58" s="5" t="s">
        <v>1904</v>
      </c>
      <c r="G58" s="5" t="str">
        <f>IFERROR(__xludf.DUMMYFUNCTION("GOOGLETRANSLATE(A58, ""en"", ""fr"")"),"57")</f>
        <v>57</v>
      </c>
      <c r="H58" s="5" t="str">
        <f>IFERROR(__xludf.DUMMYFUNCTION("GOOGLETRANSLATE(B58, ""en"", ""fr"")"),"Quel est le rôle de la barrière en bois peinte en rouge (barricade) ?")</f>
        <v>Quel est le rôle de la barrière en bois peinte en rouge (barricade) ?</v>
      </c>
      <c r="I58" s="5" t="str">
        <f>IFERROR(__xludf.DUMMYFUNCTION("GOOGLETRANSLATE(C58, ""en"", ""fr"")"),"A) Pour maintenir le taureau dans l'arène, B) Pour servir de refuge aux organisateurs, C) Pour séparer les organisateurs de la foule, D) Toutes les réponses ci-dessus")</f>
        <v>A) Pour maintenir le taureau dans l'arène, B) Pour servir de refuge aux organisateurs, C) Pour séparer les organisateurs de la foule, D) Toutes les réponses ci-dessus</v>
      </c>
      <c r="J58" s="5" t="str">
        <f>IFERROR(__xludf.DUMMYFUNCTION("GOOGLETRANSLATE(D58, ""en"", ""fr"")"),"D) Toutes les réponses ci-dessus")</f>
        <v>D) Toutes les réponses ci-dessus</v>
      </c>
      <c r="K58" s="5" t="str">
        <f>IFERROR(__xludf.DUMMYFUNCTION("GOOGLETRANSLATE(E58, ""en"", ""fr"")"),"La barrière remplit toutes ces fonctions : elle contient l'action, sert de voie d'évacuation pour les hommes et protège les spectateurs.")</f>
        <v>La barrière remplit toutes ces fonctions : elle contient l'action, sert de voie d'évacuation pour les hommes et protège les spectateurs.</v>
      </c>
    </row>
    <row r="59" ht="22.5" customHeight="1">
      <c r="A59" s="4">
        <v>58.0</v>
      </c>
      <c r="B59" s="5" t="s">
        <v>1905</v>
      </c>
      <c r="C59" s="5" t="s">
        <v>1906</v>
      </c>
      <c r="D59" s="5" t="s">
        <v>1907</v>
      </c>
      <c r="E59" s="5" t="s">
        <v>1908</v>
      </c>
      <c r="G59" s="5" t="str">
        <f>IFERROR(__xludf.DUMMYFUNCTION("GOOGLETRANSLATE(A59, ""en"", ""fr"")"),"58")</f>
        <v>58</v>
      </c>
      <c r="H59" s="5" t="str">
        <f>IFERROR(__xludf.DUMMYFUNCTION("GOOGLETRANSLATE(B59, ""en"", ""fr"")"),"Quel est le nombre maximal de razeteurs pouvant se trouver simultanément dans le « passage des razeteurs » (l'espace entre les deux barrières) ?")</f>
        <v>Quel est le nombre maximal de razeteurs pouvant se trouver simultanément dans le « passage des razeteurs » (l'espace entre les deux barrières) ?</v>
      </c>
      <c r="I59" s="5" t="str">
        <f>IFERROR(__xludf.DUMMYFUNCTION("GOOGLETRANSLATE(C59, ""en"", ""fr"")"),"A) Un, B) Deux, C) Il n'y a pas de limite, D) Ce n'est pas autorisé")</f>
        <v>A) Un, B) Deux, C) Il n'y a pas de limite, D) Ce n'est pas autorisé</v>
      </c>
      <c r="J59" s="5" t="str">
        <f>IFERROR(__xludf.DUMMYFUNCTION("GOOGLETRANSLATE(D59, ""en"", ""fr"")"),"A) Un")</f>
        <v>A) Un</v>
      </c>
      <c r="K59" s="5" t="str">
        <f>IFERROR(__xludf.DUMMYFUNCTION("GOOGLETRANSLATE(E59, ""en"", ""fr"")"),"Pour des raisons de sécurité, un seul razeteur est autorisé à la fois dans ce couloir étroit.")</f>
        <v>Pour des raisons de sécurité, un seul razeteur est autorisé à la fois dans ce couloir étroit.</v>
      </c>
    </row>
    <row r="60" ht="22.5" customHeight="1">
      <c r="A60" s="4">
        <v>59.0</v>
      </c>
      <c r="B60" s="5" t="s">
        <v>1909</v>
      </c>
      <c r="C60" s="5" t="s">
        <v>1910</v>
      </c>
      <c r="D60" s="5" t="s">
        <v>1911</v>
      </c>
      <c r="E60" s="5" t="s">
        <v>1912</v>
      </c>
      <c r="G60" s="5" t="str">
        <f>IFERROR(__xludf.DUMMYFUNCTION("GOOGLETRANSLATE(A60, ""en"", ""fr"")"),"59")</f>
        <v>59</v>
      </c>
      <c r="H60" s="5" t="str">
        <f>IFERROR(__xludf.DUMMYFUNCTION("GOOGLETRANSLATE(B60, ""en"", ""fr"")"),"Un razeteur prend la cocarde, mais l'arbitre déclare que le raset était « boulevardié ». Que signifie cette faute ?")</f>
        <v>Un razeteur prend la cocarde, mais l'arbitre déclare que le raset était « boulevardié ». Que signifie cette faute ?</v>
      </c>
      <c r="I60" s="5" t="str">
        <f>IFERROR(__xludf.DUMMYFUNCTION("GOOGLETRANSLATE(C60,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60" s="5" t="str">
        <f>IFERROR(__xludf.DUMMYFUNCTION("GOOGLETRANSLATE(D60, ""en"", ""fr"")"),"A) La piste était trop droite et non pas une courbe appropriée.")</f>
        <v>A) La piste était trop droite et non pas une courbe appropriée.</v>
      </c>
      <c r="K60" s="5" t="str">
        <f>IFERROR(__xludf.DUMMYFUNCTION("GOOGLETRANSLATE(E60,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61" ht="22.5" customHeight="1">
      <c r="A61" s="4">
        <v>60.0</v>
      </c>
      <c r="B61" s="5" t="s">
        <v>1913</v>
      </c>
      <c r="C61" s="5" t="s">
        <v>1914</v>
      </c>
      <c r="D61" s="5" t="s">
        <v>1915</v>
      </c>
      <c r="E61" s="5" t="s">
        <v>1916</v>
      </c>
      <c r="G61" s="5" t="str">
        <f>IFERROR(__xludf.DUMMYFUNCTION("GOOGLETRANSLATE(A61, ""en"", ""fr"")"),"60")</f>
        <v>60</v>
      </c>
      <c r="H61" s="5" t="str">
        <f>IFERROR(__xludf.DUMMYFUNCTION("GOOGLETRANSLATE(B61, ""en"", ""fr"")"),"Le Course Camarguaise est avant tout un sport qui célèbre la relation entre quels trois éléments ?")</f>
        <v>Le Course Camarguaise est avant tout un sport qui célèbre la relation entre quels trois éléments ?</v>
      </c>
      <c r="I61" s="5" t="str">
        <f>IFERROR(__xludf.DUMMYFUNCTION("GOOGLETRANSLATE(C61, ""en"", ""fr"")"),"A) L'homme, le cheval et la mer, B) Le taureau, le cheval et le gardien, C) Le taureau, le razeteur et le paysage unique de la Camargue, D) Le razeteur, l'arbitre et la foule")</f>
        <v>A) L'homme, le cheval et la mer, B) Le taureau, le cheval et le gardien, C) Le taureau, le razeteur et le paysage unique de la Camargue, D) Le razeteur, l'arbitre et la foule</v>
      </c>
      <c r="J61" s="5" t="str">
        <f>IFERROR(__xludf.DUMMYFUNCTION("GOOGLETRANSLATE(D61, ""en"", ""fr"")"),"C) Le taureau, le razeteur et le paysage unique de la Camargue")</f>
        <v>C) Le taureau, le razeteur et le paysage unique de la Camargue</v>
      </c>
      <c r="K61" s="5" t="str">
        <f>IFERROR(__xludf.DUMMYFUNCTION("GOOGLETRANSLATE(E61, ""en"", ""fr"")"),"Ce sport est l'expression du lien culturel profond qui unit les hommes, les animaux et l'environnement spécifique de la Camargue.")</f>
        <v>Ce sport est l'expression du lien culturel profond qui unit les hommes, les animaux et l'environnement spécifique de la Camargue.</v>
      </c>
    </row>
    <row r="62" ht="22.5" customHeight="1">
      <c r="A62" s="4">
        <v>61.0</v>
      </c>
      <c r="B62" s="5" t="s">
        <v>1917</v>
      </c>
      <c r="C62" s="5" t="s">
        <v>1918</v>
      </c>
      <c r="D62" s="5" t="s">
        <v>1919</v>
      </c>
      <c r="E62" s="5" t="s">
        <v>1920</v>
      </c>
      <c r="G62" s="5" t="str">
        <f>IFERROR(__xludf.DUMMYFUNCTION("GOOGLETRANSLATE(A62, ""en"", ""fr"")"),"61")</f>
        <v>61</v>
      </c>
      <c r="H62" s="5" t="str">
        <f>IFERROR(__xludf.DUMMYFUNCTION("GOOGLETRANSLATE(B62, ""en"", ""fr"")"),"Un razeteur est sanctionné pour un « coup de barrière ». Qu'a-t-il fait ?")</f>
        <v>Un razeteur est sanctionné pour un « coup de barrière ». Qu'a-t-il fait ?</v>
      </c>
      <c r="I62" s="5" t="str">
        <f>IFERROR(__xludf.DUMMYFUNCTION("GOOGLETRANSLATE(C62, ""en"", ""fr"")"),"A) Ils ont heurté la barrière avec leur crochet, B) Ils ont été heurtés par le taureau contre la barrière, C) Ils ont sauté sur la barrière de manière incorrecte, D) Ils ont refusé de sauter la barrière")</f>
        <v>A) Ils ont heurté la barrière avec leur crochet, B) Ils ont été heurtés par le taureau contre la barrière, C) Ils ont sauté sur la barrière de manière incorrecte, D) Ils ont refusé de sauter la barrière</v>
      </c>
      <c r="J62" s="5" t="str">
        <f>IFERROR(__xludf.DUMMYFUNCTION("GOOGLETRANSLATE(D62, ""en"", ""fr"")"),"A) Ils ont heurté la barrière avec leur crochet")</f>
        <v>A) Ils ont heurté la barrière avec leur crochet</v>
      </c>
      <c r="K62" s="5" t="str">
        <f>IFERROR(__xludf.DUMMYFUNCTION("GOOGLETRANSLATE(E62, ""en"", ""fr"")"),"Un razeteur n'est pas autorisé à toucher la barrière avec son crochet pendant la course. Son attention doit être entièrement portée sur le taureau.")</f>
        <v>Un razeteur n'est pas autorisé à toucher la barrière avec son crochet pendant la course. Son attention doit être entièrement portée sur le taureau.</v>
      </c>
    </row>
    <row r="63" ht="22.5" customHeight="1">
      <c r="A63" s="4">
        <v>62.0</v>
      </c>
      <c r="B63" s="5" t="s">
        <v>1921</v>
      </c>
      <c r="C63" s="5" t="s">
        <v>1922</v>
      </c>
      <c r="D63" s="5" t="s">
        <v>236</v>
      </c>
      <c r="E63" s="5" t="s">
        <v>1923</v>
      </c>
      <c r="G63" s="5" t="str">
        <f>IFERROR(__xludf.DUMMYFUNCTION("GOOGLETRANSLATE(A63, ""en"", ""fr"")"),"62")</f>
        <v>62</v>
      </c>
      <c r="H63" s="5" t="str">
        <f>IFERROR(__xludf.DUMMYFUNCTION("GOOGLETRANSLATE(B63, ""en"", ""fr"")"),"Un taureau est retiré de l'arène avant la fin de ses 15 minutes de compétition. Quelle en est la raison la plus probable ?")</f>
        <v>Un taureau est retiré de l'arène avant la fin de ses 15 minutes de compétition. Quelle en est la raison la plus probable ?</v>
      </c>
      <c r="I63" s="5" t="str">
        <f>IFERROR(__xludf.DUMMYFUNCTION("GOOGLETRANSLATE(C63, ""en"", ""fr"")"),"A) Il a perdu toutes ses capacités, B) Il présente des signes de blessure ou de fatigue excessive, C) Il n'est pas assez agressif, D) B et C")</f>
        <v>A) Il a perdu toutes ses capacités, B) Il présente des signes de blessure ou de fatigue excessive, C) Il n'est pas assez agressif, D) B et C</v>
      </c>
      <c r="J63" s="5" t="str">
        <f>IFERROR(__xludf.DUMMYFUNCTION("GOOGLETRANSLATE(D63, ""en"", ""fr"")"),"D) B et C")</f>
        <v>D) B et C</v>
      </c>
      <c r="K63" s="5" t="str">
        <f>IFERROR(__xludf.DUMMYFUNCTION("GOOGLETRANSLATE(E63, ""en"", ""fr"")"),"La vie d'un taureau peut être écourtée pour son propre bien-être s'il est blessé, ou s'il ne participe pas au combat et ne livre pas une compétition satisfaisante.")</f>
        <v>La vie d'un taureau peut être écourtée pour son propre bien-être s'il est blessé, ou s'il ne participe pas au combat et ne livre pas une compétition satisfaisante.</v>
      </c>
    </row>
    <row r="64" ht="22.5" customHeight="1">
      <c r="A64" s="4">
        <v>63.0</v>
      </c>
      <c r="B64" s="5" t="s">
        <v>1924</v>
      </c>
      <c r="C64" s="5" t="s">
        <v>193</v>
      </c>
      <c r="D64" s="5" t="s">
        <v>194</v>
      </c>
      <c r="E64" s="5" t="s">
        <v>263</v>
      </c>
      <c r="G64" s="5" t="str">
        <f>IFERROR(__xludf.DUMMYFUNCTION("GOOGLETRANSLATE(A64, ""en"", ""fr"")"),"63")</f>
        <v>63</v>
      </c>
      <c r="H64" s="5" t="str">
        <f>IFERROR(__xludf.DUMMYFUNCTION("GOOGLETRANSLATE(B64, ""en"", ""fr"")"),"Quel est le rôle principal du « Président de Course » ?")</f>
        <v>Quel est le rôle principal du « Président de Course » ?</v>
      </c>
      <c r="I64" s="5" t="str">
        <f>IFERROR(__xludf.DUMMYFUNCTION("GOOGLETRANSLATE(C64, ""en"", ""fr"")"),"A) Être le sponsor principal, B) Être le responsable du tournoi et avoir le dernier mot sur toutes les réclamations et l'interprétation des règles, C) Être le capitaine de l'équipe gagnante, D) Être le maire de la ville hôte")</f>
        <v>A) Être le sponsor principal, B) Être le responsable du tournoi et avoir le dernier mot sur toutes les réclamations et l'interprétation des règles, C) Être le capitaine de l'équipe gagnante, D) Être le maire de la ville hôte</v>
      </c>
      <c r="J64" s="5" t="str">
        <f>IFERROR(__xludf.DUMMYFUNCTION("GOOGLETRANSLATE(D64, ""en"", ""fr"")"),"B) Être le principal responsable du tournoi, ayant le dernier mot sur toutes les réclamations et les interprétations des règles.")</f>
        <v>B) Être le principal responsable du tournoi, ayant le dernier mot sur toutes les réclamations et les interprétations des règles.</v>
      </c>
      <c r="K64" s="5" t="str">
        <f>IFERROR(__xludf.DUMMYFUNCTION("GOOGLETRANSLATE(E64, ""en"", ""fr"")"),"Il s'agit du plus haut responsable de l'événement, chargé de superviser l'ensemble de la compétition et de prendre les décisions finales.")</f>
        <v>Il s'agit du plus haut responsable de l'événement, chargé de superviser l'ensemble de la compétition et de prendre les décisions finales.</v>
      </c>
    </row>
    <row r="65" ht="22.5" customHeight="1">
      <c r="A65" s="4">
        <v>64.0</v>
      </c>
      <c r="B65" s="5" t="s">
        <v>1925</v>
      </c>
      <c r="C65" s="5" t="s">
        <v>1926</v>
      </c>
      <c r="D65" s="5" t="s">
        <v>1927</v>
      </c>
      <c r="E65" s="5" t="s">
        <v>1928</v>
      </c>
      <c r="G65" s="5" t="str">
        <f>IFERROR(__xludf.DUMMYFUNCTION("GOOGLETRANSLATE(A65, ""en"", ""fr"")"),"64")</f>
        <v>64</v>
      </c>
      <c r="H65" s="5" t="str">
        <f>IFERROR(__xludf.DUMMYFUNCTION("GOOGLETRANSLATE(B65, ""en"", ""fr"")"),"Quelle est la décision rendue si un abatteur est blessé lors d'une charge légale du taureau ?")</f>
        <v>Quelle est la décision rendue si un abatteur est blessé lors d'une charge légale du taureau ?</v>
      </c>
      <c r="I65" s="5" t="str">
        <f>IFERROR(__xludf.DUMMYFUNCTION("GOOGLETRANSLATE(C65, ""en"", ""fr"")"),"A) L'adversaire est pénalisé. B) Le razeteur blessé remporte le match. C) Le razeteur blessé perd le match par abandon. D) Le match se termine par un match nul.")</f>
        <v>A) L'adversaire est pénalisé. B) Le razeteur blessé remporte le match. C) Le razeteur blessé perd le match par abandon. D) Le match se termine par un match nul.</v>
      </c>
      <c r="J65" s="5" t="str">
        <f>IFERROR(__xludf.DUMMYFUNCTION("GOOGLETRANSLATE(D65, ""en"", ""fr"")"),"C) Le razeteur blessé perd le match par abandon")</f>
        <v>C) Le razeteur blessé perd le match par abandon</v>
      </c>
      <c r="K65" s="5" t="str">
        <f>IFERROR(__xludf.DUMMYFUNCTION("GOOGLETRANSLATE(E65, ""en"", ""fr"")"),"Si un razeteur est dans l'incapacité de continuer en raison d'une blessure subie suite à une technique légale du taureau, il doit abandonner.")</f>
        <v>Si un razeteur est dans l'incapacité de continuer en raison d'une blessure subie suite à une technique légale du taureau, il doit abandonner.</v>
      </c>
    </row>
    <row r="66" ht="22.5" customHeight="1">
      <c r="A66" s="4">
        <v>65.0</v>
      </c>
      <c r="B66" s="5" t="s">
        <v>1929</v>
      </c>
      <c r="C66" s="5" t="s">
        <v>1930</v>
      </c>
      <c r="D66" s="5" t="s">
        <v>1931</v>
      </c>
      <c r="E66" s="5" t="s">
        <v>1932</v>
      </c>
      <c r="G66" s="5" t="str">
        <f>IFERROR(__xludf.DUMMYFUNCTION("GOOGLETRANSLATE(A66, ""en"", ""fr"")"),"65")</f>
        <v>65</v>
      </c>
      <c r="H66" s="5" t="str">
        <f>IFERROR(__xludf.DUMMYFUNCTION("GOOGLETRANSLATE(B66, ""en"", ""fr"")"),"Quelle est la principale raison pour laquelle un razeteur doit avoir une excellente condition cardiovasculaire ?")</f>
        <v>Quelle est la principale raison pour laquelle un razeteur doit avoir une excellente condition cardiovasculaire ?</v>
      </c>
      <c r="I66" s="5" t="str">
        <f>IFERROR(__xludf.DUMMYFUNCTION("GOOGLETRANSLATE(C66, ""en"", ""fr"")"),"A) Être capable de courir à pied, B) Ce sport exige des sprints explosifs répétés et des sauts acrobatiques pendant 15 minutes, C) Être capable de retenir sa respiration longtemps, D) Ce n'est pas important")</f>
        <v>A) Être capable de courir à pied, B) Ce sport exige des sprints explosifs répétés et des sauts acrobatiques pendant 15 minutes, C) Être capable de retenir sa respiration longtemps, D) Ce n'est pas important</v>
      </c>
      <c r="J66" s="5" t="str">
        <f>IFERROR(__xludf.DUMMYFUNCTION("GOOGLETRANSLATE(D66, ""en"", ""fr"")"),"B) Ce sport exige des sprints explosifs répétés et des sauts acrobatiques pendant 15 minutes.")</f>
        <v>B) Ce sport exige des sprints explosifs répétés et des sauts acrobatiques pendant 15 minutes.</v>
      </c>
      <c r="K66" s="5" t="str">
        <f>IFERROR(__xludf.DUMMYFUNCTION("GOOGLETRANSLATE(E66, ""en"", ""fr"")"),"Les exigences physiques de ce sport sont extrêmement élevées, nécessitant l'endurance d'un athlète d'athlétisme.")</f>
        <v>Les exigences physiques de ce sport sont extrêmement élevées, nécessitant l'endurance d'un athlète d'athlétisme.</v>
      </c>
    </row>
    <row r="67" ht="22.5" customHeight="1">
      <c r="A67" s="4">
        <v>66.0</v>
      </c>
      <c r="B67" s="5" t="s">
        <v>1933</v>
      </c>
      <c r="C67" s="5" t="s">
        <v>1934</v>
      </c>
      <c r="D67" s="5" t="s">
        <v>1935</v>
      </c>
      <c r="E67" s="5" t="s">
        <v>1936</v>
      </c>
      <c r="G67" s="5" t="str">
        <f>IFERROR(__xludf.DUMMYFUNCTION("GOOGLETRANSLATE(A67, ""en"", ""fr"")"),"66")</f>
        <v>66</v>
      </c>
      <c r="H67" s="5" t="str">
        <f>IFERROR(__xludf.DUMMYFUNCTION("GOOGLETRANSLATE(B67, ""en"", ""fr"")"),"Quelle est la sanction infligée à un joueur de tournoi qui saisit illégalement la corne du taureau pour le positionner ?")</f>
        <v>Quelle est la sanction infligée à un joueur de tournoi qui saisit illégalement la corne du taureau pour le positionner ?</v>
      </c>
      <c r="I67" s="5" t="str">
        <f>IFERROR(__xludf.DUMMYFUNCTION("GOOGLETRANSLATE(C67, ""en"", ""fr"")"),"A) Un avertissement est donné au joueur, B) L'équipe est pénalisée et tout point marqué sur cette action est annulé, C) Le joueur est expulsé de l'arène, D) Aucune pénalité n'est infligée")</f>
        <v>A) Un avertissement est donné au joueur, B) L'équipe est pénalisée et tout point marqué sur cette action est annulé, C) Le joueur est expulsé de l'arène, D) Aucune pénalité n'est infligée</v>
      </c>
      <c r="J67" s="5" t="str">
        <f>IFERROR(__xludf.DUMMYFUNCTION("GOOGLETRANSLATE(D67, ""en"", ""fr"")"),"B) L'équipe est pénalisée et tout point marqué sur cette action est annulé.")</f>
        <v>B) L'équipe est pénalisée et tout point marqué sur cette action est annulé.</v>
      </c>
      <c r="K67" s="5" t="str">
        <f>IFERROR(__xludf.DUMMYFUNCTION("GOOGLETRANSLATE(E67, ""en"", ""fr"")"),"Les joueurs de tournoi peuvent seulement utiliser leur corps et leurs mouvements pour positionner le taureau, ils ne peuvent pas le toucher physiquement.")</f>
        <v>Les joueurs de tournoi peuvent seulement utiliser leur corps et leurs mouvements pour positionner le taureau, ils ne peuvent pas le toucher physiquement.</v>
      </c>
    </row>
    <row r="68" ht="22.5" customHeight="1">
      <c r="A68" s="4">
        <v>67.0</v>
      </c>
      <c r="B68" s="5" t="s">
        <v>1937</v>
      </c>
      <c r="C68" s="5" t="s">
        <v>1938</v>
      </c>
      <c r="D68" s="5" t="s">
        <v>1939</v>
      </c>
      <c r="E68" s="5" t="s">
        <v>1940</v>
      </c>
      <c r="G68" s="5" t="str">
        <f>IFERROR(__xludf.DUMMYFUNCTION("GOOGLETRANSLATE(A68, ""en"", ""fr"")"),"67")</f>
        <v>67</v>
      </c>
      <c r="H68" s="5" t="str">
        <f>IFERROR(__xludf.DUMMYFUNCTION("GOOGLETRANSLATE(B68, ""en"", ""fr"")"),"Qu'est-ce que le « Trophée de la Mer » ?")</f>
        <v>Qu'est-ce que le « Trophée de la Mer » ?</v>
      </c>
      <c r="I68" s="5" t="str">
        <f>IFERROR(__xludf.DUMMYFUNCTION("GOOGLETRANSLATE(C68, ""en"", ""fr"")"),"A) Un concours de pêche, B) Un célèbre et prestigieux tournoi de la Course Camarguaise qui se déroule dans la ville balnéaire du Grau-du-Roi, C) Une course de bateaux, D) Un prix pour le taureau le mieux décoré")</f>
        <v>A) Un concours de pêche, B) Un célèbre et prestigieux tournoi de la Course Camarguaise qui se déroule dans la ville balnéaire du Grau-du-Roi, C) Une course de bateaux, D) Un prix pour le taureau le mieux décoré</v>
      </c>
      <c r="J68" s="5" t="str">
        <f>IFERROR(__xludf.DUMMYFUNCTION("GOOGLETRANSLATE(D68, ""en"", ""fr"")"),"B) Un célèbre et prestigieux tournoi de Course Camarguaise qui se déroule dans la ville balnéaire du Grau-du-Roi")</f>
        <v>B) Un célèbre et prestigieux tournoi de Course Camarguaise qui se déroule dans la ville balnéaire du Grau-du-Roi</v>
      </c>
      <c r="K68" s="5" t="str">
        <f>IFERROR(__xludf.DUMMYFUNCTION("GOOGLETRANSLATE(E68, ""en"", ""fr"")"),"Il s'agit de l'un des tournois majeurs et très prestigieux de la saison officielle du « Trophée des As ».")</f>
        <v>Il s'agit de l'un des tournois majeurs et très prestigieux de la saison officielle du « Trophée des As ».</v>
      </c>
    </row>
    <row r="69" ht="22.5" customHeight="1">
      <c r="A69" s="4">
        <v>68.0</v>
      </c>
      <c r="B69" s="5" t="s">
        <v>1941</v>
      </c>
      <c r="C69" s="5" t="s">
        <v>1942</v>
      </c>
      <c r="D69" s="5" t="s">
        <v>1943</v>
      </c>
      <c r="E69" s="5" t="s">
        <v>1944</v>
      </c>
      <c r="G69" s="5" t="str">
        <f>IFERROR(__xludf.DUMMYFUNCTION("GOOGLETRANSLATE(A69, ""en"", ""fr"")"),"68")</f>
        <v>68</v>
      </c>
      <c r="H69" s="5" t="str">
        <f>IFERROR(__xludf.DUMMYFUNCTION("GOOGLETRANSLATE(B69, ""en"", ""fr"")"),"Quelle est la principale raison pour laquelle les pantalons blancs des razeteurs sont si moulants ?")</f>
        <v>Quelle est la principale raison pour laquelle les pantalons blancs des razeteurs sont si moulants ?</v>
      </c>
      <c r="I69" s="5" t="str">
        <f>IFERROR(__xludf.DUMMYFUNCTION("GOOGLETRANSLATE(C69, ""en"", ""fr"")"),"A) C'est une mode moderne, B) Pour éviter que la corne du taureau ne se prenne dans le tissu, C) Pour mettre en valeur les muscles du taureau, D) Pour améliorer l'aérodynamisme")</f>
        <v>A) C'est une mode moderne, B) Pour éviter que la corne du taureau ne se prenne dans le tissu, C) Pour mettre en valeur les muscles du taureau, D) Pour améliorer l'aérodynamisme</v>
      </c>
      <c r="J69" s="5" t="str">
        <f>IFERROR(__xludf.DUMMYFUNCTION("GOOGLETRANSLATE(D69, ""en"", ""fr"")"),"B) Pour éviter que la corne du taureau ne se prenne dans les tissus lâches")</f>
        <v>B) Pour éviter que la corne du taureau ne se prenne dans les tissus lâches</v>
      </c>
      <c r="K69" s="5" t="str">
        <f>IFERROR(__xludf.DUMMYFUNCTION("GOOGLETRANSLATE(E69, ""en"", ""fr"")"),"Il s'agit d'un élément de sécurité essentiel de l'uniforme, minimisant le risque qu'un klaxon se prenne dans les vêtements.")</f>
        <v>Il s'agit d'un élément de sécurité essentiel de l'uniforme, minimisant le risque qu'un klaxon se prenne dans les vêtements.</v>
      </c>
    </row>
    <row r="70" ht="22.5" customHeight="1">
      <c r="A70" s="4">
        <v>69.0</v>
      </c>
      <c r="B70" s="5" t="s">
        <v>1945</v>
      </c>
      <c r="C70" s="5" t="s">
        <v>1946</v>
      </c>
      <c r="D70" s="5" t="s">
        <v>1947</v>
      </c>
      <c r="E70" s="5" t="s">
        <v>1948</v>
      </c>
      <c r="G70" s="5" t="str">
        <f>IFERROR(__xludf.DUMMYFUNCTION("GOOGLETRANSLATE(A70, ""en"", ""fr"")"),"69")</f>
        <v>69</v>
      </c>
      <c r="H70" s="5" t="str">
        <f>IFERROR(__xludf.DUMMYFUNCTION("GOOGLETRANSLATE(B70, ""en"", ""fr"")"),"Un razeteur réussit à extraire la dernière corde (fielle) d'une corne de taureau. Que se passe-t-il ensuite ?")</f>
        <v>Un razeteur réussit à extraire la dernière corde (fielle) d'une corne de taureau. Que se passe-t-il ensuite ?</v>
      </c>
      <c r="I70" s="5" t="str">
        <f>IFERROR(__xludf.DUMMYFUNCTION("GOOGLETRANSLATE(C70, ""en"", ""fr"")"),"A) Le taureau est immédiatement remis dans l'arène, même si ses 15 minutes ne sont pas écoulées. B) De nouveaux attributs sont attribués au taureau. C) Le dresseur remporte la course. D) Le taureau bénéficie d'un repos.")</f>
        <v>A) Le taureau est immédiatement remis dans l'arène, même si ses 15 minutes ne sont pas écoulées. B) De nouveaux attributs sont attribués au taureau. C) Le dresseur remporte la course. D) Le taureau bénéficie d'un repos.</v>
      </c>
      <c r="J70" s="5" t="str">
        <f>IFERROR(__xludf.DUMMYFUNCTION("GOOGLETRANSLATE(D70, ""en"", ""fr"")"),"A) Le taureau est immédiatement remis dans l'arène, même si ses 15 minutes ne sont pas écoulées.")</f>
        <v>A) Le taureau est immédiatement remis dans l'arène, même si ses 15 minutes ne sont pas écoulées.</v>
      </c>
      <c r="K70" s="5" t="str">
        <f>IFERROR(__xludf.DUMMYFUNCTION("GOOGLETRANSLATE(E70, ""en"", ""fr"")"),"Le « travail » du taureau est terminé une fois que tous ses attributs ont été prélevés. On lui rend hommage en musique et on le ramène à son enclos.")</f>
        <v>Le « travail » du taureau est terminé une fois que tous ses attributs ont été prélevés. On lui rend hommage en musique et on le ramène à son enclos.</v>
      </c>
    </row>
    <row r="71" ht="22.5" customHeight="1">
      <c r="A71" s="4">
        <v>70.0</v>
      </c>
      <c r="B71" s="5" t="s">
        <v>1949</v>
      </c>
      <c r="C71" s="5" t="s">
        <v>1950</v>
      </c>
      <c r="D71" s="5" t="s">
        <v>1951</v>
      </c>
      <c r="E71" s="5" t="s">
        <v>1952</v>
      </c>
      <c r="G71" s="5" t="str">
        <f>IFERROR(__xludf.DUMMYFUNCTION("GOOGLETRANSLATE(A71, ""en"", ""fr"")"),"70")</f>
        <v>70</v>
      </c>
      <c r="H71" s="5" t="str">
        <f>IFERROR(__xludf.DUMMYFUNCTION("GOOGLETRANSLATE(B71, ""en"", ""fr"")"),"À quoi fait référence le terme « attribut » ?")</f>
        <v>À quoi fait référence le terme « attribut » ?</v>
      </c>
      <c r="I71" s="5" t="str">
        <f>IFERROR(__xludf.DUMMYFUNCTION("GOOGLETRANSLATE(C71, ""en"", ""fr"")"),"A) Le crochet du razeteur, B) Le nom collectif de la cocarde, des glands et des cordes, C) Les cornes du taureau, D) L'habileté du razeteur")</f>
        <v>A) Le crochet du razeteur, B) Le nom collectif de la cocarde, des glands et des cordes, C) Les cornes du taureau, D) L'habileté du razeteur</v>
      </c>
      <c r="J71" s="5" t="str">
        <f>IFERROR(__xludf.DUMMYFUNCTION("GOOGLETRANSLATE(D71, ""en"", ""fr"")"),"B) Le nom collectif pour la cocarde, les glands et les cordes")</f>
        <v>B) Le nom collectif pour la cocarde, les glands et les cordes</v>
      </c>
      <c r="K71" s="5" t="str">
        <f>IFERROR(__xludf.DUMMYFUNCTION("GOOGLETRANSLATE(E71, ""en"", ""fr"")"),"Les attributs sont les objets de choix que les razeteurs doivent arracher au taureau.")</f>
        <v>Les attributs sont les objets de choix que les razeteurs doivent arracher au taureau.</v>
      </c>
    </row>
    <row r="72" ht="22.5" customHeight="1">
      <c r="A72" s="4">
        <v>71.0</v>
      </c>
      <c r="B72" s="5" t="s">
        <v>1953</v>
      </c>
      <c r="C72" s="5" t="s">
        <v>1954</v>
      </c>
      <c r="D72" s="5" t="s">
        <v>1955</v>
      </c>
      <c r="E72" s="5" t="s">
        <v>1956</v>
      </c>
      <c r="G72" s="5" t="str">
        <f>IFERROR(__xludf.DUMMYFUNCTION("GOOGLETRANSLATE(A72, ""en"", ""fr"")"),"71")</f>
        <v>71</v>
      </c>
      <c r="H72" s="5" t="str">
        <f>IFERROR(__xludf.DUMMYFUNCTION("GOOGLETRANSLATE(B72, ""en"", ""fr"")"),"Quelle est la décision à prendre si un razeteur se trouve sur la barrière et que le taureau saute et pose également ses sabots avant sur la barrière ?")</f>
        <v>Quelle est la décision à prendre si un razeteur se trouve sur la barrière et que le taureau saute et pose également ses sabots avant sur la barrière ?</v>
      </c>
      <c r="I72" s="5" t="str">
        <f>IFERROR(__xludf.DUMMYFUNCTION("GOOGLETRANSLATE(C72, ""en"", ""fr"")"),"A) Le razeteur est disqualifié, B) Il s'agit d'un acte de bravoure célébré de la part du taureau, souvent récompensé par la musique de Carmen, C) La course est arrêtée pour des raisons de sécurité, D) Le taureau est pénalisé")</f>
        <v>A) Le razeteur est disqualifié, B) Il s'agit d'un acte de bravoure célébré de la part du taureau, souvent récompensé par la musique de Carmen, C) La course est arrêtée pour des raisons de sécurité, D) Le taureau est pénalisé</v>
      </c>
      <c r="J72" s="5" t="str">
        <f>IFERROR(__xludf.DUMMYFUNCTION("GOOGLETRANSLATE(D72, ""en"", ""fr"")"),"B) Il s'agit d'un acte de bravoure célébré du taureau, souvent récompensé par la musique de Carmen.")</f>
        <v>B) Il s'agit d'un acte de bravoure célébré du taureau, souvent récompensé par la musique de Carmen.</v>
      </c>
      <c r="K72" s="5" t="str">
        <f>IFERROR(__xludf.DUMMYFUNCTION("GOOGLETRANSLATE(E72, ""en"", ""fr"")"),"Cette action, connue sous le nom de « coup de barrière », est un signe de courage et de détermination chez un taureau et est très prisée.")</f>
        <v>Cette action, connue sous le nom de « coup de barrière », est un signe de courage et de détermination chez un taureau et est très prisée.</v>
      </c>
    </row>
    <row r="73" ht="22.5" customHeight="1">
      <c r="A73" s="4">
        <v>72.0</v>
      </c>
      <c r="B73" s="5" t="s">
        <v>1957</v>
      </c>
      <c r="C73" s="5" t="s">
        <v>1958</v>
      </c>
      <c r="D73" s="5" t="s">
        <v>1959</v>
      </c>
      <c r="E73" s="5" t="s">
        <v>1960</v>
      </c>
      <c r="G73" s="5" t="str">
        <f>IFERROR(__xludf.DUMMYFUNCTION("GOOGLETRANSLATE(A73, ""en"", ""fr"")"),"72")</f>
        <v>72</v>
      </c>
      <c r="H73" s="5" t="str">
        <f>IFERROR(__xludf.DUMMYFUNCTION("GOOGLETRANSLATE(B73, ""en"", ""fr"")"),"Un razeteur choisit un attribut, mais on découvre qu'il a utilisé un crochet à deux crochets au lieu d'un. Quelle est la règle ?")</f>
        <v>Un razeteur choisit un attribut, mais on découvre qu'il a utilisé un crochet à deux crochets au lieu d'un. Quelle est la règle ?</v>
      </c>
      <c r="I73" s="5" t="str">
        <f>IFERROR(__xludf.DUMMYFUNCTION("GOOGLETRANSLATE(C73, ""en"", ""fr"")"),"A) Le score est valide, B) Le score est annulé et le joueur est disqualifié pour utilisation de matériel non conforme, C) Le score est divisé par deux, D) Un avertissement est donné")</f>
        <v>A) Le score est valide, B) Le score est annulé et le joueur est disqualifié pour utilisation de matériel non conforme, C) Le score est divisé par deux, D) Un avertissement est donné</v>
      </c>
      <c r="J73" s="5" t="str">
        <f>IFERROR(__xludf.DUMMYFUNCTION("GOOGLETRANSLATE(D73, ""en"", ""fr"")"),"B) Le score est annulé et le razeteur est disqualifié pour utilisation d'équipement illégal.")</f>
        <v>B) Le score est annulé et le razeteur est disqualifié pour utilisation d'équipement illégal.</v>
      </c>
      <c r="K73" s="5" t="str">
        <f>IFERROR(__xludf.DUMMYFUNCTION("GOOGLETRANSLATE(E73, ""en"", ""fr"")"),"Les dimensions et le modèle du crochet sont strictement réglementés. L'utilisation d'un ouvrage non conforme constitue une faute grave.")</f>
        <v>Les dimensions et le modèle du crochet sont strictement réglementés. L'utilisation d'un ouvrage non conforme constitue une faute grave.</v>
      </c>
    </row>
    <row r="74" ht="22.5" customHeight="1">
      <c r="A74" s="4">
        <v>73.0</v>
      </c>
      <c r="B74" s="5" t="s">
        <v>1961</v>
      </c>
      <c r="C74" s="5" t="s">
        <v>1962</v>
      </c>
      <c r="D74" s="5" t="s">
        <v>67</v>
      </c>
      <c r="E74" s="5" t="s">
        <v>1963</v>
      </c>
      <c r="G74" s="5" t="str">
        <f>IFERROR(__xludf.DUMMYFUNCTION("GOOGLETRANSLATE(A74, ""en"", ""fr"")"),"73")</f>
        <v>73</v>
      </c>
      <c r="H74" s="5" t="str">
        <f>IFERROR(__xludf.DUMMYFUNCTION("GOOGLETRANSLATE(B74, ""en"", ""fr"")"),"Quelle est la principale raison pour laquelle les razeteurs doivent être extrêmement légers et agiles ?")</f>
        <v>Quelle est la principale raison pour laquelle les razeteurs doivent être extrêmement légers et agiles ?</v>
      </c>
      <c r="I74" s="5" t="str">
        <f>IFERROR(__xludf.DUMMYFUNCTION("GOOGLETRANSLATE(C74, ""en"", ""fr"")"),"A) Être capable de sauter sur la barrière, B) Être suffisamment rapide pour déjouer le taureau pendant la charge, C) Pouvoir enfiler l'uniforme blanc, D) A et B")</f>
        <v>A) Être capable de sauter sur la barrière, B) Être suffisamment rapide pour déjouer le taureau pendant la charge, C) Pouvoir enfiler l'uniforme blanc, D) A et B</v>
      </c>
      <c r="J74" s="5" t="str">
        <f>IFERROR(__xludf.DUMMYFUNCTION("GOOGLETRANSLATE(D74, ""en"", ""fr"")"),"D) A et B")</f>
        <v>D) A et B</v>
      </c>
      <c r="K74" s="5" t="str">
        <f>IFERROR(__xludf.DUMMYFUNCTION("GOOGLETRANSLATE(E74, ""en"", ""fr"")"),"Ce sport exige le physique d'un sprinter et d'un gymnaste, privilégiant la vitesse et l'agilité à la force brute.")</f>
        <v>Ce sport exige le physique d'un sprinter et d'un gymnaste, privilégiant la vitesse et l'agilité à la force brute.</v>
      </c>
    </row>
    <row r="75" ht="22.5" customHeight="1">
      <c r="A75" s="4">
        <v>74.0</v>
      </c>
      <c r="B75" s="5" t="s">
        <v>1964</v>
      </c>
      <c r="C75" s="5" t="s">
        <v>1965</v>
      </c>
      <c r="D75" s="5" t="s">
        <v>1966</v>
      </c>
      <c r="E75" s="5" t="s">
        <v>1967</v>
      </c>
      <c r="G75" s="5" t="str">
        <f>IFERROR(__xludf.DUMMYFUNCTION("GOOGLETRANSLATE(A75, ""en"", ""fr"")"),"74")</f>
        <v>74</v>
      </c>
      <c r="H75" s="5" t="str">
        <f>IFERROR(__xludf.DUMMYFUNCTION("GOOGLETRANSLATE(B75, ""en"", ""fr"")"),"On dit qu'un taureau a un « côté préféré ». Qu'est-ce que cela signifie pour les abatteurs ?")</f>
        <v>On dit qu'un taureau a un « côté préféré ». Qu'est-ce que cela signifie pour les abatteurs ?</v>
      </c>
      <c r="I75" s="5" t="str">
        <f>IFERROR(__xludf.DUMMYFUNCTION("GOOGLETRANSLATE(C75, ""en"", ""fr"")"),"A) Il est plus facile de courir contre le taureau de ce côté. B) Le taureau est plus dangereux et sur la défensive de ce côté, et les arpenteurs doivent être plus prudents. C) Cela n'a aucun effet sur la course. D) Le taureau ne chargera que de ce côté.")</f>
        <v>A) Il est plus facile de courir contre le taureau de ce côté. B) Le taureau est plus dangereux et sur la défensive de ce côté, et les arpenteurs doivent être plus prudents. C) Cela n'a aucun effet sur la course. D) Le taureau ne chargera que de ce côté.</v>
      </c>
      <c r="J75" s="5" t="str">
        <f>IFERROR(__xludf.DUMMYFUNCTION("GOOGLETRANSLATE(D75, ""en"", ""fr"")"),"B) Le taureau est plus dangereux et plus sur la défensive de ce côté, et les abatteurs doivent être plus prudents.")</f>
        <v>B) Le taureau est plus dangereux et plus sur la défensive de ce côté, et les abatteurs doivent être plus prudents.</v>
      </c>
      <c r="K75" s="5" t="str">
        <f>IFERROR(__xludf.DUMMYFUNCTION("GOOGLETRANSLATE(E75, ""en"", ""fr"")"),"Un taureau intelligent apprendra à protéger une corne plus que l'autre, obligeant ainsi les abatteurs à adapter leur stratégie.")</f>
        <v>Un taureau intelligent apprendra à protéger une corne plus que l'autre, obligeant ainsi les abatteurs à adapter leur stratégie.</v>
      </c>
    </row>
    <row r="76" ht="22.5" customHeight="1">
      <c r="A76" s="4">
        <v>75.0</v>
      </c>
      <c r="B76" s="5" t="s">
        <v>1968</v>
      </c>
      <c r="C76" s="5" t="s">
        <v>1969</v>
      </c>
      <c r="D76" s="5" t="s">
        <v>1970</v>
      </c>
      <c r="E76" s="5" t="s">
        <v>1971</v>
      </c>
      <c r="G76" s="5" t="str">
        <f>IFERROR(__xludf.DUMMYFUNCTION("GOOGLETRANSLATE(A76, ""en"", ""fr"")"),"75")</f>
        <v>75</v>
      </c>
      <c r="H76" s="5" t="str">
        <f>IFERROR(__xludf.DUMMYFUNCTION("GOOGLETRANSLATE(B76, ""en"", ""fr"")"),"En substance, la Course Camarguaise est un sport qui oppose quoi à quoi ?")</f>
        <v>En substance, la Course Camarguaise est un sport qui oppose quoi à quoi ?</v>
      </c>
      <c r="I76" s="5" t="str">
        <f>IFERROR(__xludf.DUMMYFUNCTION("GOOGLETRANSLATE(C76, ""en"", ""fr"")"),"A) L'homme contre la bête, B) L'intelligence et l'agilité du taureau contre la puissance et l'instinct du taureau, C) Le bien contre le mal, D) Deux villages rivaux l'un contre l'autre")</f>
        <v>A) L'homme contre la bête, B) L'intelligence et l'agilité du taureau contre la puissance et l'instinct du taureau, C) Le bien contre le mal, D) Deux villages rivaux l'un contre l'autre</v>
      </c>
      <c r="J76" s="5" t="str">
        <f>IFERROR(__xludf.DUMMYFUNCTION("GOOGLETRANSLATE(D76, ""en"", ""fr"")"),"B) L'intelligence et l'agilité du dresseur face à la puissance et à l'instinct du taureau")</f>
        <v>B) L'intelligence et l'agilité du dresseur face à la puissance et à l'instinct du taureau</v>
      </c>
      <c r="K76" s="5" t="str">
        <f>IFERROR(__xludf.DUMMYFUNCTION("GOOGLETRANSLATE(E76, ""en"", ""fr"")"),"Ce sport est un duel non sanglant qui célèbre l'habileté de l'athlète humain et la puissance et l'intelligence de l'athlète animal.")</f>
        <v>Ce sport est un duel non sanglant qui célèbre l'habileté de l'athlète humain et la puissance et l'intelligence de l'athlète animal.</v>
      </c>
    </row>
    <row r="77" ht="22.5" customHeight="1">
      <c r="A77" s="4">
        <v>76.0</v>
      </c>
      <c r="B77" s="5" t="s">
        <v>1739</v>
      </c>
      <c r="C77" s="5" t="s">
        <v>1740</v>
      </c>
      <c r="D77" s="5" t="s">
        <v>1741</v>
      </c>
      <c r="E77" s="5" t="s">
        <v>1742</v>
      </c>
      <c r="G77" s="5" t="str">
        <f>IFERROR(__xludf.DUMMYFUNCTION("GOOGLETRANSLATE(A77, ""en"", ""fr"")"),"76")</f>
        <v>76</v>
      </c>
      <c r="H77" s="5" t="str">
        <f>IFERROR(__xludf.DUMMYFUNCTION("GOOGLETRANSLATE(B77, ""en"", ""fr"")"),"Quelle est la décision rendue si un taureau est blessé lors d'une course légale ?")</f>
        <v>Quelle est la décision rendue si un taureau est blessé lors d'une course légale ?</v>
      </c>
      <c r="I77" s="5" t="str">
        <f>IFERROR(__xludf.DUMMYFUNCTION("GOOGLETRANSLATE(C77, ""en"", ""fr"")"),"A) Le taureau est pénalisé, B) Le razeteur remporte automatiquement le point, C) La course est interrompue pour soins médicaux ; aucun point n'est attribué, D) Le razeteur est disqualifié")</f>
        <v>A) Le taureau est pénalisé, B) Le razeteur remporte automatiquement le point, C) La course est interrompue pour soins médicaux ; aucun point n'est attribué, D) Le razeteur est disqualifié</v>
      </c>
      <c r="J77" s="5" t="str">
        <f>IFERROR(__xludf.DUMMYFUNCTION("GOOGLETRANSLATE(D77, ""en"", ""fr"")"),"C) La course est interrompue pour soins médicaux ; aucun point n'est attribué.")</f>
        <v>C) La course est interrompue pour soins médicaux ; aucun point n'est attribué.</v>
      </c>
      <c r="K77" s="5" t="str">
        <f>IFERROR(__xludf.DUMMYFUNCTION("GOOGLETRANSLATE(E77, ""en"", ""fr"")"),"Le risque de blessure est inhérent à ce sport. Si un razeteur se blesse, la course est arrêtée par mesure de sécurité, mais aucun score n'est attribué.")</f>
        <v>Le risque de blessure est inhérent à ce sport. Si un razeteur se blesse, la course est arrêtée par mesure de sécurité, mais aucun score n'est attribué.</v>
      </c>
    </row>
    <row r="78" ht="22.5" customHeight="1">
      <c r="A78" s="4">
        <v>77.0</v>
      </c>
      <c r="B78" s="5" t="s">
        <v>1763</v>
      </c>
      <c r="C78" s="5" t="s">
        <v>1764</v>
      </c>
      <c r="D78" s="5" t="s">
        <v>1765</v>
      </c>
      <c r="E78" s="5" t="s">
        <v>1766</v>
      </c>
      <c r="G78" s="5" t="str">
        <f>IFERROR(__xludf.DUMMYFUNCTION("GOOGLETRANSLATE(A78, ""en"", ""fr"")"),"77")</f>
        <v>77</v>
      </c>
      <c r="H78" s="5" t="str">
        <f>IFERROR(__xludf.DUMMYFUNCTION("GOOGLETRANSLATE(B78, ""en"", ""fr"")"),"Un razeteur est sanctionné pour un « refus de raset ». Qu'est-ce que cela signifie ?")</f>
        <v>Un razeteur est sanctionné pour un « refus de raset ». Qu'est-ce que cela signifie ?</v>
      </c>
      <c r="I78" s="5" t="str">
        <f>IFERROR(__xludf.DUMMYFUNCTION("GOOGLETRANSLATE(C78, ""en"", ""fr"")"),"A) Ils ont refusé d'entrer dans l'arène. B) Ils manifestent de la peur et n'essaient pas de charger le taureau. C) Ils ont refusé d'accepter un prix. D) Ils ont refusé de porter l'uniforme blanc.")</f>
        <v>A) Ils ont refusé d'entrer dans l'arène. B) Ils manifestent de la peur et n'essaient pas de charger le taureau. C) Ils ont refusé d'accepter un prix. D) Ils ont refusé de porter l'uniforme blanc.</v>
      </c>
      <c r="J78" s="5" t="str">
        <f>IFERROR(__xludf.DUMMYFUNCTION("GOOGLETRANSLATE(D78, ""en"", ""fr"")"),"B) Ils manifestent de la peur et n'essaient pas de charger le taureau")</f>
        <v>B) Ils manifestent de la peur et n'essaient pas de charger le taureau</v>
      </c>
      <c r="K78" s="5" t="str">
        <f>IFERROR(__xludf.DUMMYFUNCTION("GOOGLETRANSLATE(E78, ""en"", ""fr"")"),"On attend d'un arpenteur qu'il fasse preuve de courage. S'il refuse systématiquement d'affronter le taureau, le président peut le sanctionner.")</f>
        <v>On attend d'un arpenteur qu'il fasse preuve de courage. S'il refuse systématiquement d'affronter le taureau, le président peut le sanctionner.</v>
      </c>
    </row>
    <row r="79" ht="22.5" customHeight="1">
      <c r="A79" s="4">
        <v>78.0</v>
      </c>
      <c r="B79" s="5" t="s">
        <v>1767</v>
      </c>
      <c r="C79" s="5" t="s">
        <v>1768</v>
      </c>
      <c r="D79" s="5" t="s">
        <v>1769</v>
      </c>
      <c r="E79" s="5" t="s">
        <v>1972</v>
      </c>
      <c r="G79" s="5" t="str">
        <f>IFERROR(__xludf.DUMMYFUNCTION("GOOGLETRANSLATE(A79, ""en"", ""fr"")"),"78")</f>
        <v>78</v>
      </c>
      <c r="H79" s="5" t="str">
        <f>IFERROR(__xludf.DUMMYFUNCTION("GOOGLETRANSLATE(B79, ""en"", ""fr"")"),"Quelle est la principale différence entre l'abrivado et l'encierro espagnol (course de taureaux) ?")</f>
        <v>Quelle est la principale différence entre l'abrivado et l'encierro espagnol (course de taureaux) ?</v>
      </c>
      <c r="I79" s="5" t="str">
        <f>IFERROR(__xludf.DUMMYFUNCTION("GOOGLETRANSLATE(C79, ""en"", ""fr"")"),"A) L'abrivado utilise des chevaux pour guider les taureaux, tandis que l'encierro a des personnes qui courent devant. B) L'abrivado est plus dangereux. C) L'encierro est plus ancien. D) Il n'y a pas de différence.")</f>
        <v>A) L'abrivado utilise des chevaux pour guider les taureaux, tandis que l'encierro a des personnes qui courent devant. B) L'abrivado est plus dangereux. C) L'encierro est plus ancien. D) Il n'y a pas de différence.</v>
      </c>
      <c r="J79" s="5" t="str">
        <f>IFERROR(__xludf.DUMMYFUNCTION("GOOGLETRANSLATE(D79, ""en"", ""fr"")"),"A) L'abrivado utilise des chevaux pour guider les taureaux, tandis que l'encierro fait courir des hommes devant le cortège.")</f>
        <v>A) L'abrivado utilise des chevaux pour guider les taureaux, tandis que l'encierro fait courir des hommes devant le cortège.</v>
      </c>
      <c r="K79" s="5" t="str">
        <f>IFERROR(__xludf.DUMMYFUNCTION("GOOGLETRANSLATE(E79, ""en"", ""fr"")"),"C'est là une différence essentielle. L'abrivado est une démonstration d'équitation, où les gardians contrôlent les taureaux, contrairement à la course de style pamplona.")</f>
        <v>C'est là une différence essentielle. L'abrivado est une démonstration d'équitation, où les gardians contrôlent les taureaux, contrairement à la course de style pamplona.</v>
      </c>
    </row>
    <row r="80" ht="22.5" customHeight="1">
      <c r="A80" s="4">
        <v>79.0</v>
      </c>
      <c r="B80" s="5" t="s">
        <v>1807</v>
      </c>
      <c r="C80" s="5" t="s">
        <v>1808</v>
      </c>
      <c r="D80" s="5" t="s">
        <v>1809</v>
      </c>
      <c r="E80" s="5" t="s">
        <v>1810</v>
      </c>
      <c r="G80" s="5" t="str">
        <f>IFERROR(__xludf.DUMMYFUNCTION("GOOGLETRANSLATE(A80, ""en"", ""fr"")"),"79")</f>
        <v>79</v>
      </c>
      <c r="H80" s="5" t="str">
        <f>IFERROR(__xludf.DUMMYFUNCTION("GOOGLETRANSLATE(B80, ""en"", ""fr"")"),"Le Trophée des As est une compétition qui dure toute la saison. Comment les razeteurs gagnent-ils des points pour ce trophée ?")</f>
        <v>Le Trophée des As est une compétition qui dure toute la saison. Comment les razeteurs gagnent-ils des points pour ce trophée ?</v>
      </c>
      <c r="I80" s="5" t="str">
        <f>IFERROR(__xludf.DUMMYFUNCTION("GOOGLETRANSLATE(C80, ""en"", ""fr"")"),"A) En remportant des courses individuelles, B) En accumulant des points lors de courses de haut niveau désignées tout au long de la saison, C) Par un vote du public, D) En remportant le plus de cocardes")</f>
        <v>A) En remportant des courses individuelles, B) En accumulant des points lors de courses de haut niveau désignées tout au long de la saison, C) Par un vote du public, D) En remportant le plus de cocardes</v>
      </c>
      <c r="J80" s="5" t="str">
        <f>IFERROR(__xludf.DUMMYFUNCTION("GOOGLETRANSLATE(D80, ""en"", ""fr"")"),"B) En accumulant des points lors de courses désignées et de haut niveau tout au long de la saison")</f>
        <v>B) En accumulant des points lors de courses désignées et de haut niveau tout au long de la saison</v>
      </c>
      <c r="K80" s="5" t="str">
        <f>IFERROR(__xludf.DUMMYFUNCTION("GOOGLETRANSLATE(E80, ""en"", ""fr"")"),"Le championnat est une ligue où les razeteurs accumulent des points lors des événements majeurs pour déterminer le champion de la saison.")</f>
        <v>Le championnat est une ligue où les razeteurs accumulent des points lors des événements majeurs pour déterminer le champion de la saison.</v>
      </c>
    </row>
    <row r="81" ht="22.5" customHeight="1">
      <c r="A81" s="4">
        <v>80.0</v>
      </c>
      <c r="B81" s="5" t="s">
        <v>1811</v>
      </c>
      <c r="C81" s="5" t="s">
        <v>1812</v>
      </c>
      <c r="D81" s="5" t="s">
        <v>1813</v>
      </c>
      <c r="E81" s="5" t="s">
        <v>1814</v>
      </c>
      <c r="G81" s="5" t="str">
        <f>IFERROR(__xludf.DUMMYFUNCTION("GOOGLETRANSLATE(A81, ""en"", ""fr"")"),"80")</f>
        <v>80</v>
      </c>
      <c r="H81" s="5" t="str">
        <f>IFERROR(__xludf.DUMMYFUNCTION("GOOGLETRANSLATE(B81, ""en"", ""fr"")"),"Qu'est-ce que le toril ?")</f>
        <v>Qu'est-ce que le toril ?</v>
      </c>
      <c r="I81" s="5" t="str">
        <f>IFERROR(__xludf.DUMMYFUNCTION("GOOGLETRANSLATE(C81, ""en"", ""fr"")"),"A) Le centre de l'arène, B) L'enclos ou la porte d'où le taureau est lâché dans l'arène, C) Le vestiaire du taureau, D) Le prix.")</f>
        <v>A) Le centre de l'arène, B) L'enclos ou la porte d'où le taureau est lâché dans l'arène, C) Le vestiaire du taureau, D) Le prix.</v>
      </c>
      <c r="J81" s="5" t="str">
        <f>IFERROR(__xludf.DUMMYFUNCTION("GOOGLETRANSLATE(D81, ""en"", ""fr"")"),"B) L'enclos ou la porte par laquelle le taureau est lâché dans l'arène")</f>
        <v>B) L'enclos ou la porte par laquelle le taureau est lâché dans l'arène</v>
      </c>
      <c r="K81" s="5" t="str">
        <f>IFERROR(__xludf.DUMMYFUNCTION("GOOGLETRANSLATE(E81, ""en"", ""fr"")"),"Le toril est l'enclos où les taureaux sont gardés avant d'entrer dans l'arène.")</f>
        <v>Le toril est l'enclos où les taureaux sont gardés avant d'entrer dans l'arène.</v>
      </c>
    </row>
    <row r="82" ht="22.5" customHeight="1">
      <c r="A82" s="4">
        <v>81.0</v>
      </c>
      <c r="B82" s="5" t="s">
        <v>1973</v>
      </c>
      <c r="C82" s="5" t="s">
        <v>1974</v>
      </c>
      <c r="D82" s="5" t="s">
        <v>1975</v>
      </c>
      <c r="E82" s="5" t="s">
        <v>1976</v>
      </c>
      <c r="G82" s="5" t="str">
        <f>IFERROR(__xludf.DUMMYFUNCTION("GOOGLETRANSLATE(A82, ""en"", ""fr"")"),"81")</f>
        <v>81</v>
      </c>
      <c r="H82" s="5" t="str">
        <f>IFERROR(__xludf.DUMMYFUNCTION("GOOGLETRANSLATE(B82, ""en"", ""fr"")"),"Un razeteur est appelé « gaucher ». Quel est son principal avantage ?")</f>
        <v>Un razeteur est appelé « gaucher ». Quel est son principal avantage ?</v>
      </c>
      <c r="I82" s="5" t="str">
        <f>IFERROR(__xludf.DUMMYFUNCTION("GOOGLETRANSLATE(C82, ""en"", ""fr"")"),"A) Ils sont plus forts, B) Ils approchent le taureau sous un angle inhabituel, ce qui peut déstabiliser sa défense, C) Ils sont plus rapides, D) Ils ont un meilleur équipement")</f>
        <v>A) Ils sont plus forts, B) Ils approchent le taureau sous un angle inhabituel, ce qui peut déstabiliser sa défense, C) Ils sont plus rapides, D) Ils ont un meilleur équipement</v>
      </c>
      <c r="J82" s="5" t="str">
        <f>IFERROR(__xludf.DUMMYFUNCTION("GOOGLETRANSLATE(D82, ""en"", ""fr"")"),"B) Ils approchent le taureau sous un angle inhabituel, ce qui peut désorienter sa défense.")</f>
        <v>B) Ils approchent le taureau sous un angle inhabituel, ce qui peut désorienter sa défense.</v>
      </c>
      <c r="K82" s="5" t="str">
        <f>IFERROR(__xludf.DUMMYFUNCTION("GOOGLETRANSLATE(E82, ""en"", ""fr"")"),"Un gaucher représente un défi différent et souvent plus difficile pour le taureau, qui est plus habitué aux razeteurs droitiers.")</f>
        <v>Un gaucher représente un défi différent et souvent plus difficile pour le taureau, qui est plus habitué aux razeteurs droitiers.</v>
      </c>
    </row>
    <row r="83" ht="22.5" customHeight="1">
      <c r="A83" s="4">
        <v>82.0</v>
      </c>
      <c r="B83" s="5" t="s">
        <v>1977</v>
      </c>
      <c r="C83" s="5" t="s">
        <v>1978</v>
      </c>
      <c r="D83" s="5" t="s">
        <v>1979</v>
      </c>
      <c r="E83" s="5" t="s">
        <v>1980</v>
      </c>
      <c r="G83" s="5" t="str">
        <f>IFERROR(__xludf.DUMMYFUNCTION("GOOGLETRANSLATE(A83, ""en"", ""fr"")"),"82")</f>
        <v>82</v>
      </c>
      <c r="H83" s="5" t="str">
        <f>IFERROR(__xludf.DUMMYFUNCTION("GOOGLETRANSLATE(B83, ""en"", ""fr"")"),"Qu'est-ce que le « Trophée de l'Avenir » ?")</f>
        <v>Qu'est-ce que le « Trophée de l'Avenir » ?</v>
      </c>
      <c r="I83" s="5" t="str">
        <f>IFERROR(__xludf.DUMMYFUNCTION("GOOGLETRANSLATE(C83, ""en"", ""fr"")"),"A) Le championnat principal pour les éleveurs de taureaux d'élite, B) Le championnat pour les jeunes éleveurs prometteurs, C) Un prix pour l'éleveur le plus âgé, D) Un prix pour le meilleur éleveur de taureaux")</f>
        <v>A) Le championnat principal pour les éleveurs de taureaux d'élite, B) Le championnat pour les jeunes éleveurs prometteurs, C) Un prix pour l'éleveur le plus âgé, D) Un prix pour le meilleur éleveur de taureaux</v>
      </c>
      <c r="J83" s="5" t="str">
        <f>IFERROR(__xludf.DUMMYFUNCTION("GOOGLETRANSLATE(D83, ""en"", ""fr"")"),"B) Le championnat des jeunes razeteurs prometteurs")</f>
        <v>B) Le championnat des jeunes razeteurs prometteurs</v>
      </c>
      <c r="K83" s="5" t="str">
        <f>IFERROR(__xludf.DUMMYFUNCTION("GOOGLETRANSLATE(E83, ""en"", ""fr"")"),"Il s'agit de la compétition majeure pour la prochaine génération de stars, un tremplin vers l'élite du « Trophée des As ».")</f>
        <v>Il s'agit de la compétition majeure pour la prochaine génération de stars, un tremplin vers l'élite du « Trophée des As ».</v>
      </c>
    </row>
    <row r="84" ht="22.5" customHeight="1">
      <c r="A84" s="4">
        <v>83.0</v>
      </c>
      <c r="B84" s="5" t="s">
        <v>1981</v>
      </c>
      <c r="C84" s="5" t="s">
        <v>1982</v>
      </c>
      <c r="D84" s="5" t="s">
        <v>1983</v>
      </c>
      <c r="E84" s="5" t="s">
        <v>1984</v>
      </c>
      <c r="G84" s="5" t="str">
        <f>IFERROR(__xludf.DUMMYFUNCTION("GOOGLETRANSLATE(A84, ""en"", ""fr"")"),"83")</f>
        <v>83</v>
      </c>
      <c r="H84" s="5" t="str">
        <f>IFERROR(__xludf.DUMMYFUNCTION("GOOGLETRANSLATE(B84, ""en"", ""fr"")"),"On loue le taureau pour son « sens de la barrière ». Qu'est-ce que cela signifie ?")</f>
        <v>On loue le taureau pour son « sens de la barrière ». Qu'est-ce que cela signifie ?</v>
      </c>
      <c r="I84" s="5" t="str">
        <f>IFERROR(__xludf.DUMMYFUNCTION("GOOGLETRANSLATE(C84, ""en"", ""fr"")"),"A) Il a peur de la barrière, B) Il utilise intelligemment la barrière pour coincer un razeteur, C) Il essaie souvent de sauter par-dessus la barrière, D) Il reste au centre de l'arène")</f>
        <v>A) Il a peur de la barrière, B) Il utilise intelligemment la barrière pour coincer un razeteur, C) Il essaie souvent de sauter par-dessus la barrière, D) Il reste au centre de l'arène</v>
      </c>
      <c r="J84" s="5" t="str">
        <f>IFERROR(__xludf.DUMMYFUNCTION("GOOGLETRANSLATE(D84, ""en"", ""fr"")"),"B) Il utilise intelligemment la barrière pour coincer un razeteur")</f>
        <v>B) Il utilise intelligemment la barrière pour coincer un razeteur</v>
      </c>
      <c r="K84" s="5" t="str">
        <f>IFERROR(__xludf.DUMMYFUNCTION("GOOGLETRANSLATE(E84, ""en"", ""fr"")"),"Un taureau intelligent apprend à utiliser la géographie de l'arène, coinçant l'homme contre le mur pour l'empêcher de s'échapper ou de prendre un avantage.")</f>
        <v>Un taureau intelligent apprend à utiliser la géographie de l'arène, coinçant l'homme contre le mur pour l'empêcher de s'échapper ou de prendre un avantage.</v>
      </c>
    </row>
    <row r="85" ht="22.5" customHeight="1">
      <c r="A85" s="4">
        <v>84.0</v>
      </c>
      <c r="B85" s="5" t="s">
        <v>1985</v>
      </c>
      <c r="C85" s="5" t="s">
        <v>1816</v>
      </c>
      <c r="D85" s="5" t="s">
        <v>1817</v>
      </c>
      <c r="E85" s="5" t="s">
        <v>1986</v>
      </c>
      <c r="G85" s="5" t="str">
        <f>IFERROR(__xludf.DUMMYFUNCTION("GOOGLETRANSLATE(A85, ""en"", ""fr"")"),"84")</f>
        <v>84</v>
      </c>
      <c r="H85" s="5" t="str">
        <f>IFERROR(__xludf.DUMMYFUNCTION("GOOGLETRANSLATE(B85, ""en"", ""fr"")"),"Quelle est la principale raison pour laquelle les razeteurs doivent être extrêmement agiles et athlétiques ?")</f>
        <v>Quelle est la principale raison pour laquelle les razeteurs doivent être extrêmement agiles et athlétiques ?</v>
      </c>
      <c r="I85" s="5" t="str">
        <f>IFERROR(__xludf.DUMMYFUNCTION("GOOGLETRANSLATE(C85, ""en"", ""fr"")"),"A) Réaliser le « raset » explosif et sauter par-dessus la barrière pour s'échapper, B) Être capable de soulever des objets lourds, C) Courir plus vite que ses coéquipiers, D) Être capable de combattre le taureau")</f>
        <v>A) Réaliser le « raset » explosif et sauter par-dessus la barrière pour s'échapper, B) Être capable de soulever des objets lourds, C) Courir plus vite que ses coéquipiers, D) Être capable de combattre le taureau</v>
      </c>
      <c r="J85" s="5" t="str">
        <f>IFERROR(__xludf.DUMMYFUNCTION("GOOGLETRANSLATE(D85, ""en"", ""fr"")"),"A) Effectuer le ""raset"" explosif et sauter par-dessus la barrière pour s'échapper")</f>
        <v>A) Effectuer le "raset" explosif et sauter par-dessus la barrière pour s'échapper</v>
      </c>
      <c r="K85" s="5" t="str">
        <f>IFERROR(__xludf.DUMMYFUNCTION("GOOGLETRANSLATE(E85, ""en"", ""fr"")"),"Ce sport exige le physique d'un sprinter et d'un gymnaste, ce qui en fait une épreuve d'athlétisme pur.")</f>
        <v>Ce sport exige le physique d'un sprinter et d'un gymnaste, ce qui en fait une épreuve d'athlétisme pur.</v>
      </c>
    </row>
    <row r="86" ht="22.5" customHeight="1">
      <c r="A86" s="4">
        <v>85.0</v>
      </c>
      <c r="B86" s="5" t="s">
        <v>1987</v>
      </c>
      <c r="C86" s="5" t="s">
        <v>1988</v>
      </c>
      <c r="D86" s="5" t="s">
        <v>1989</v>
      </c>
      <c r="E86" s="5" t="s">
        <v>1990</v>
      </c>
      <c r="G86" s="5" t="str">
        <f>IFERROR(__xludf.DUMMYFUNCTION("GOOGLETRANSLATE(A86, ""en"", ""fr"")"),"85")</f>
        <v>85</v>
      </c>
      <c r="H86" s="5" t="str">
        <f>IFERROR(__xludf.DUMMYFUNCTION("GOOGLETRANSLATE(B86, ""en"", ""fr"")"),"Qu'est-ce que la « Coupe des manadiers » (Breeders' Cup) ?")</f>
        <v>Qu'est-ce que la « Coupe des manadiers » (Breeders' Cup) ?</v>
      </c>
      <c r="I86" s="5" t="str">
        <f>IFERROR(__xludf.DUMMYFUNCTION("GOOGLETRANSLATE(C86, ""en"", ""fr"")"),"A) Une course pour les éleveurs, B) Une compétition où les éleveurs eux-mêmes s'affrontent, C) Un tournoi prestigieux où les troupeaux s'affrontent, D) Une course de chevaux")</f>
        <v>A) Une course pour les éleveurs, B) Une compétition où les éleveurs eux-mêmes s'affrontent, C) Un tournoi prestigieux où les troupeaux s'affrontent, D) Une course de chevaux</v>
      </c>
      <c r="J86" s="5" t="str">
        <f>IFERROR(__xludf.DUMMYFUNCTION("GOOGLETRANSLATE(D86, ""en"", ""fr"")"),"C) Un tournoi prestigieux où les troupeaux (manades) s'affrontent.")</f>
        <v>C) Un tournoi prestigieux où les troupeaux (manades) s'affrontent.</v>
      </c>
      <c r="K86" s="5" t="str">
        <f>IFERROR(__xludf.DUMMYFUNCTION("GOOGLETRANSLATE(E86, ""en"", ""fr"")"),"Il s'agit d'une compétition spéciale où la fierté des différents élevages est en jeu, mettant en valeur la qualité de leurs taureaux.")</f>
        <v>Il s'agit d'une compétition spéciale où la fierté des différents élevages est en jeu, mettant en valeur la qualité de leurs taureaux.</v>
      </c>
    </row>
    <row r="87" ht="22.5" customHeight="1">
      <c r="A87" s="4">
        <v>86.0</v>
      </c>
      <c r="B87" s="5" t="s">
        <v>1991</v>
      </c>
      <c r="C87" s="5" t="s">
        <v>1992</v>
      </c>
      <c r="D87" s="5" t="s">
        <v>1993</v>
      </c>
      <c r="E87" s="5" t="s">
        <v>1994</v>
      </c>
      <c r="G87" s="5" t="str">
        <f>IFERROR(__xludf.DUMMYFUNCTION("GOOGLETRANSLATE(A87, ""en"", ""fr"")"),"86")</f>
        <v>86</v>
      </c>
      <c r="H87" s="5" t="str">
        <f>IFERROR(__xludf.DUMMYFUNCTION("GOOGLETRANSLATE(B87, ""en"", ""fr"")"),"Quelle est la principale différence entre l'abrivado et le bandido ?")</f>
        <v>Quelle est la principale différence entre l'abrivado et le bandido ?</v>
      </c>
      <c r="I87" s="5" t="str">
        <f>IFERROR(__xludf.DUMMYFUNCTION("GOOGLETRANSLATE(C87, ""en"", ""fr"")"),"A) Il n'y a pas de différence. B) L'abrivado est la course des taureaux vers l'arène, tandis que le bandido est la course hors de l'arène. C) L'abrivado est pour les jeunes taureaux, le bandido pour les vieux. D) L'abrivado se fait à cheval, le bandido à "&amp;"pied.")</f>
        <v>A) Il n'y a pas de différence. B) L'abrivado est la course des taureaux vers l'arène, tandis que le bandido est la course hors de l'arène. C) L'abrivado est pour les jeunes taureaux, le bandido pour les vieux. D) L'abrivado se fait à cheval, le bandido à pied.</v>
      </c>
      <c r="J87" s="5" t="str">
        <f>IFERROR(__xludf.DUMMYFUNCTION("GOOGLETRANSLATE(D87, ""en"", ""fr"")"),"B) L'abrivado désigne la course des taureaux vers l'arène, tandis que le bandido désigne la course depuis l'arène.")</f>
        <v>B) L'abrivado désigne la course des taureaux vers l'arène, tandis que le bandido désigne la course depuis l'arène.</v>
      </c>
      <c r="K87" s="5" t="str">
        <f>IFERROR(__xludf.DUMMYFUNCTION("GOOGLETRANSLATE(E87, ""en"", ""fr"")"),"Le bandido désigne le retour des taureaux au pâturage après la course et est souvent plus chaotique.")</f>
        <v>Le bandido désigne le retour des taureaux au pâturage après la course et est souvent plus chaotique.</v>
      </c>
    </row>
    <row r="88" ht="22.5" customHeight="1">
      <c r="A88" s="4">
        <v>87.0</v>
      </c>
      <c r="B88" s="5" t="s">
        <v>1957</v>
      </c>
      <c r="C88" s="5" t="s">
        <v>1958</v>
      </c>
      <c r="D88" s="5" t="s">
        <v>1959</v>
      </c>
      <c r="E88" s="5" t="s">
        <v>1960</v>
      </c>
      <c r="G88" s="5" t="str">
        <f>IFERROR(__xludf.DUMMYFUNCTION("GOOGLETRANSLATE(A88, ""en"", ""fr"")"),"87")</f>
        <v>87</v>
      </c>
      <c r="H88" s="5" t="str">
        <f>IFERROR(__xludf.DUMMYFUNCTION("GOOGLETRANSLATE(B88, ""en"", ""fr"")"),"Un razeteur choisit un attribut, mais on découvre qu'il a utilisé un crochet à deux crochets au lieu d'un. Quelle est la règle ?")</f>
        <v>Un razeteur choisit un attribut, mais on découvre qu'il a utilisé un crochet à deux crochets au lieu d'un. Quelle est la règle ?</v>
      </c>
      <c r="I88" s="5" t="str">
        <f>IFERROR(__xludf.DUMMYFUNCTION("GOOGLETRANSLATE(C88, ""en"", ""fr"")"),"A) Le score est valide, B) Le score est annulé et le joueur est disqualifié pour utilisation de matériel non conforme, C) Le score est divisé par deux, D) Un avertissement est donné")</f>
        <v>A) Le score est valide, B) Le score est annulé et le joueur est disqualifié pour utilisation de matériel non conforme, C) Le score est divisé par deux, D) Un avertissement est donné</v>
      </c>
      <c r="J88" s="5" t="str">
        <f>IFERROR(__xludf.DUMMYFUNCTION("GOOGLETRANSLATE(D88, ""en"", ""fr"")"),"B) Le score est annulé et le razeteur est disqualifié pour utilisation d'équipement illégal.")</f>
        <v>B) Le score est annulé et le razeteur est disqualifié pour utilisation d'équipement illégal.</v>
      </c>
      <c r="K88" s="5" t="str">
        <f>IFERROR(__xludf.DUMMYFUNCTION("GOOGLETRANSLATE(E88, ""en"", ""fr"")"),"Les dimensions et le modèle du crochet sont strictement réglementés. L'utilisation d'un ouvrage non conforme constitue une faute grave.")</f>
        <v>Les dimensions et le modèle du crochet sont strictement réglementés. L'utilisation d'un ouvrage non conforme constitue une faute grave.</v>
      </c>
    </row>
    <row r="89" ht="22.5" customHeight="1">
      <c r="A89" s="4">
        <v>88.0</v>
      </c>
      <c r="B89" s="5" t="s">
        <v>1995</v>
      </c>
      <c r="C89" s="5" t="s">
        <v>1855</v>
      </c>
      <c r="D89" s="5" t="s">
        <v>1856</v>
      </c>
      <c r="E89" s="5" t="s">
        <v>1857</v>
      </c>
      <c r="G89" s="5" t="str">
        <f>IFERROR(__xludf.DUMMYFUNCTION("GOOGLETRANSLATE(A89, ""en"", ""fr"")"),"88")</f>
        <v>88</v>
      </c>
      <c r="H89" s="5" t="str">
        <f>IFERROR(__xludf.DUMMYFUNCTION("GOOGLETRANSLATE(B89, ""en"", ""fr"")"),"Quelle est la principale caractéristique du cheval de Camargue ?")</f>
        <v>Quelle est la principale caractéristique du cheval de Camargue ?</v>
      </c>
      <c r="I89" s="5" t="str">
        <f>IFERROR(__xludf.DUMMYFUNCTION("GOOGLETRANSLATE(C89, ""en"", ""fr"")"),"A) Il est très grand et fort, B) C'est un petit cheval blanc, robuste et agile, adapté aux zones humides, C) C'est un cheval de course rapide, comme un pur-sang, D) C'est un cheval de trait")</f>
        <v>A) Il est très grand et fort, B) C'est un petit cheval blanc, robuste et agile, adapté aux zones humides, C) C'est un cheval de course rapide, comme un pur-sang, D) C'est un cheval de trait</v>
      </c>
      <c r="J89" s="5" t="str">
        <f>IFERROR(__xludf.DUMMYFUNCTION("GOOGLETRANSLATE(D89, ""en"", ""fr"")"),"B) C'est un petit cheval blanc, robuste et agile, adapté aux zones humides.")</f>
        <v>B) C'est un petit cheval blanc, robuste et agile, adapté aux zones humides.</v>
      </c>
      <c r="K89" s="5" t="str">
        <f>IFERROR(__xludf.DUMMYFUNCTION("GOOGLETRANSLATE(E89, ""en"", ""fr"")"),"Les célèbres chevaux blancs de Camargue constituent une race unique et ancienne, parfaitement adaptée à son environnement et au travail des gardians.")</f>
        <v>Les célèbres chevaux blancs de Camargue constituent une race unique et ancienne, parfaitement adaptée à son environnement et au travail des gardians.</v>
      </c>
    </row>
    <row r="90" ht="22.5" customHeight="1">
      <c r="A90" s="4">
        <v>89.0</v>
      </c>
      <c r="B90" s="5" t="s">
        <v>1996</v>
      </c>
      <c r="C90" s="5" t="s">
        <v>1997</v>
      </c>
      <c r="D90" s="5" t="s">
        <v>1998</v>
      </c>
      <c r="E90" s="5" t="s">
        <v>1999</v>
      </c>
      <c r="G90" s="5" t="str">
        <f>IFERROR(__xludf.DUMMYFUNCTION("GOOGLETRANSLATE(A90, ""en"", ""fr"")"),"89")</f>
        <v>89</v>
      </c>
      <c r="H90" s="5" t="str">
        <f>IFERROR(__xludf.DUMMYFUNCTION("GOOGLETRANSLATE(B90, ""en"", ""fr"")"),"On loue le taureau pour sa « générosité ». Qu'est-ce que cela signifie ?")</f>
        <v>On loue le taureau pour sa « générosité ». Qu'est-ce que cela signifie ?</v>
      </c>
      <c r="I90" s="5" t="str">
        <f>IFERROR(__xludf.DUMMYFUNCTION("GOOGLETRANSLATE(C90, ""en"", ""fr"")"),"A) C'est un très gros taureau, B) Il charge facilement et participe activement au jeu, C) Il n'attaque pas les razeteurs, D) Il abandonne facilement ses attributs")</f>
        <v>A) C'est un très gros taureau, B) Il charge facilement et participe activement au jeu, C) Il n'attaque pas les razeteurs, D) Il abandonne facilement ses attributs</v>
      </c>
      <c r="J90" s="5" t="str">
        <f>IFERROR(__xludf.DUMMYFUNCTION("GOOGLETRANSLATE(D90, ""en"", ""fr"")"),"B) Il se recharge facilement et participe activement au jeu")</f>
        <v>B) Il se recharge facilement et participe activement au jeu</v>
      </c>
      <c r="K90" s="5" t="str">
        <f>IFERROR(__xludf.DUMMYFUNCTION("GOOGLETRANSLATE(E90, ""en"", ""fr"")"),"Un taureau « généreux » est celui qui offre un grand spectacle en s'engageant honnêtement et courageusement avec les arpenteurs.")</f>
        <v>Un taureau « généreux » est celui qui offre un grand spectacle en s'engageant honnêtement et courageusement avec les arpenteurs.</v>
      </c>
    </row>
    <row r="91" ht="22.5" customHeight="1">
      <c r="A91" s="4">
        <v>90.0</v>
      </c>
      <c r="B91" s="5" t="s">
        <v>1929</v>
      </c>
      <c r="C91" s="5" t="s">
        <v>1930</v>
      </c>
      <c r="D91" s="5" t="s">
        <v>1931</v>
      </c>
      <c r="E91" s="5" t="s">
        <v>1932</v>
      </c>
      <c r="G91" s="5" t="str">
        <f>IFERROR(__xludf.DUMMYFUNCTION("GOOGLETRANSLATE(A91, ""en"", ""fr"")"),"90")</f>
        <v>90</v>
      </c>
      <c r="H91" s="5" t="str">
        <f>IFERROR(__xludf.DUMMYFUNCTION("GOOGLETRANSLATE(B91, ""en"", ""fr"")"),"Quelle est la principale raison pour laquelle un razeteur doit avoir une excellente condition cardiovasculaire ?")</f>
        <v>Quelle est la principale raison pour laquelle un razeteur doit avoir une excellente condition cardiovasculaire ?</v>
      </c>
      <c r="I91" s="5" t="str">
        <f>IFERROR(__xludf.DUMMYFUNCTION("GOOGLETRANSLATE(C91, ""en"", ""fr"")"),"A) Être capable de courir à pied, B) Ce sport exige des sprints explosifs répétés et des sauts acrobatiques pendant 15 minutes, C) Être capable de retenir sa respiration longtemps, D) Ce n'est pas important")</f>
        <v>A) Être capable de courir à pied, B) Ce sport exige des sprints explosifs répétés et des sauts acrobatiques pendant 15 minutes, C) Être capable de retenir sa respiration longtemps, D) Ce n'est pas important</v>
      </c>
      <c r="J91" s="5" t="str">
        <f>IFERROR(__xludf.DUMMYFUNCTION("GOOGLETRANSLATE(D91, ""en"", ""fr"")"),"B) Ce sport exige des sprints explosifs répétés et des sauts acrobatiques pendant 15 minutes.")</f>
        <v>B) Ce sport exige des sprints explosifs répétés et des sauts acrobatiques pendant 15 minutes.</v>
      </c>
      <c r="K91" s="5" t="str">
        <f>IFERROR(__xludf.DUMMYFUNCTION("GOOGLETRANSLATE(E91, ""en"", ""fr"")"),"Les exigences physiques de ce sport sont extrêmement élevées, nécessitant l'endurance d'un athlète d'athlétisme.")</f>
        <v>Les exigences physiques de ce sport sont extrêmement élevées, nécessitant l'endurance d'un athlète d'athlétisme.</v>
      </c>
    </row>
    <row r="92" ht="22.5" customHeight="1">
      <c r="A92" s="4">
        <v>91.0</v>
      </c>
      <c r="B92" s="5" t="s">
        <v>1739</v>
      </c>
      <c r="C92" s="5" t="s">
        <v>1740</v>
      </c>
      <c r="D92" s="5" t="s">
        <v>1741</v>
      </c>
      <c r="E92" s="5" t="s">
        <v>1742</v>
      </c>
      <c r="G92" s="5" t="str">
        <f>IFERROR(__xludf.DUMMYFUNCTION("GOOGLETRANSLATE(A92, ""en"", ""fr"")"),"91")</f>
        <v>91</v>
      </c>
      <c r="H92" s="5" t="str">
        <f>IFERROR(__xludf.DUMMYFUNCTION("GOOGLETRANSLATE(B92, ""en"", ""fr"")"),"Quelle est la décision rendue si un taureau est blessé lors d'une course légale ?")</f>
        <v>Quelle est la décision rendue si un taureau est blessé lors d'une course légale ?</v>
      </c>
      <c r="I92" s="5" t="str">
        <f>IFERROR(__xludf.DUMMYFUNCTION("GOOGLETRANSLATE(C92, ""en"", ""fr"")"),"A) Le taureau est pénalisé, B) Le razeteur remporte automatiquement le point, C) La course est interrompue pour soins médicaux ; aucun point n'est attribué, D) Le razeteur est disqualifié")</f>
        <v>A) Le taureau est pénalisé, B) Le razeteur remporte automatiquement le point, C) La course est interrompue pour soins médicaux ; aucun point n'est attribué, D) Le razeteur est disqualifié</v>
      </c>
      <c r="J92" s="5" t="str">
        <f>IFERROR(__xludf.DUMMYFUNCTION("GOOGLETRANSLATE(D92, ""en"", ""fr"")"),"C) La course est interrompue pour soins médicaux ; aucun point n'est attribué.")</f>
        <v>C) La course est interrompue pour soins médicaux ; aucun point n'est attribué.</v>
      </c>
      <c r="K92" s="5" t="str">
        <f>IFERROR(__xludf.DUMMYFUNCTION("GOOGLETRANSLATE(E92, ""en"", ""fr"")"),"Le risque de blessure est inhérent à ce sport. Si un razeteur se blesse, la course est arrêtée par mesure de sécurité, mais aucun score n'est attribué.")</f>
        <v>Le risque de blessure est inhérent à ce sport. Si un razeteur se blesse, la course est arrêtée par mesure de sécurité, mais aucun score n'est attribué.</v>
      </c>
    </row>
    <row r="93" ht="22.5" customHeight="1">
      <c r="A93" s="4">
        <v>92.0</v>
      </c>
      <c r="B93" s="5" t="s">
        <v>1763</v>
      </c>
      <c r="C93" s="5" t="s">
        <v>1764</v>
      </c>
      <c r="D93" s="5" t="s">
        <v>1765</v>
      </c>
      <c r="E93" s="5" t="s">
        <v>1766</v>
      </c>
      <c r="G93" s="5" t="str">
        <f>IFERROR(__xludf.DUMMYFUNCTION("GOOGLETRANSLATE(A93, ""en"", ""fr"")"),"92")</f>
        <v>92</v>
      </c>
      <c r="H93" s="5" t="str">
        <f>IFERROR(__xludf.DUMMYFUNCTION("GOOGLETRANSLATE(B93, ""en"", ""fr"")"),"Un razeteur est sanctionné pour un « refus de raset ». Qu'est-ce que cela signifie ?")</f>
        <v>Un razeteur est sanctionné pour un « refus de raset ». Qu'est-ce que cela signifie ?</v>
      </c>
      <c r="I93" s="5" t="str">
        <f>IFERROR(__xludf.DUMMYFUNCTION("GOOGLETRANSLATE(C93, ""en"", ""fr"")"),"A) Ils ont refusé d'entrer dans l'arène. B) Ils manifestent de la peur et n'essaient pas de charger le taureau. C) Ils ont refusé d'accepter un prix. D) Ils ont refusé de porter l'uniforme blanc.")</f>
        <v>A) Ils ont refusé d'entrer dans l'arène. B) Ils manifestent de la peur et n'essaient pas de charger le taureau. C) Ils ont refusé d'accepter un prix. D) Ils ont refusé de porter l'uniforme blanc.</v>
      </c>
      <c r="J93" s="5" t="str">
        <f>IFERROR(__xludf.DUMMYFUNCTION("GOOGLETRANSLATE(D93, ""en"", ""fr"")"),"B) Ils manifestent de la peur et n'essaient pas de charger le taureau")</f>
        <v>B) Ils manifestent de la peur et n'essaient pas de charger le taureau</v>
      </c>
      <c r="K93" s="5" t="str">
        <f>IFERROR(__xludf.DUMMYFUNCTION("GOOGLETRANSLATE(E93, ""en"", ""fr"")"),"On attend d'un arpenteur qu'il fasse preuve de courage. S'il refuse systématiquement d'affronter le taureau, le président peut le sanctionner.")</f>
        <v>On attend d'un arpenteur qu'il fasse preuve de courage. S'il refuse systématiquement d'affronter le taureau, le président peut le sanctionner.</v>
      </c>
    </row>
    <row r="94" ht="22.5" customHeight="1">
      <c r="A94" s="4">
        <v>93.0</v>
      </c>
      <c r="B94" s="5" t="s">
        <v>1862</v>
      </c>
      <c r="C94" s="5" t="s">
        <v>1863</v>
      </c>
      <c r="D94" s="5" t="s">
        <v>1864</v>
      </c>
      <c r="E94" s="5" t="s">
        <v>1865</v>
      </c>
      <c r="G94" s="5" t="str">
        <f>IFERROR(__xludf.DUMMYFUNCTION("GOOGLETRANSLATE(A94, ""en"", ""fr"")"),"93")</f>
        <v>93</v>
      </c>
      <c r="H94" s="5" t="str">
        <f>IFERROR(__xludf.DUMMYFUNCTION("GOOGLETRANSLATE(B94, ""en"", ""fr"")"),"On dit qu'un taureau a « vu » un razeteur. Qu'est-ce que cela signifie ?")</f>
        <v>On dit qu'un taureau a « vu » un razeteur. Qu'est-ce que cela signifie ?</v>
      </c>
      <c r="I94" s="5" t="str">
        <f>IFERROR(__xludf.DUMMYFUNCTION("GOOGLETRANSLATE(C94, ""en"", ""fr"")"),"A) Le taureau a une bonne vue. B) Le taureau a repéré un taureau en particulier qui s'apprête à s'élancer et se concentre sur lui. C) Le taureau a peur. D) Le taureau est prêt à quitter l'arène.")</f>
        <v>A) Le taureau a une bonne vue. B) Le taureau a repéré un taureau en particulier qui s'apprête à s'élancer et se concentre sur lui. C) Le taureau a peur. D) Le taureau est prêt à quitter l'arène.</v>
      </c>
      <c r="J94" s="5" t="str">
        <f>IFERROR(__xludf.DUMMYFUNCTION("GOOGLETRANSLATE(D94, ""en"", ""fr"")"),"B) Le taureau a identifié et se concentre sur un razeteur spécifique qui se prépare à courir")</f>
        <v>B) Le taureau a identifié et se concentre sur un razeteur spécifique qui se prépare à courir</v>
      </c>
      <c r="K94" s="5" t="str">
        <f>IFERROR(__xludf.DUMMYFUNCTION("GOOGLETRANSLATE(E94, ""en"", ""fr"")"),"C’est un moment crucial où le taureau concentre toute son attention sur sa cible, préparant ainsi la charge pour le raset.")</f>
        <v>C’est un moment crucial où le taureau concentre toute son attention sur sa cible, préparant ainsi la charge pour le raset.</v>
      </c>
    </row>
    <row r="95" ht="22.5" customHeight="1">
      <c r="A95" s="4">
        <v>94.0</v>
      </c>
      <c r="B95" s="5" t="s">
        <v>1866</v>
      </c>
      <c r="C95" s="5" t="s">
        <v>1867</v>
      </c>
      <c r="D95" s="5" t="s">
        <v>1868</v>
      </c>
      <c r="E95" s="5" t="s">
        <v>1869</v>
      </c>
      <c r="G95" s="5" t="str">
        <f>IFERROR(__xludf.DUMMYFUNCTION("GOOGLETRANSLATE(A95, ""en"", ""fr"")"),"94")</f>
        <v>94</v>
      </c>
      <c r="H95" s="5" t="str">
        <f>IFERROR(__xludf.DUMMYFUNCTION("GOOGLETRANSLATE(B95, ""en"", ""fr"")"),"Quelle est la sanction infligée à un joueur de tournoi qui gêne illégalement le taureau ?")</f>
        <v>Quelle est la sanction infligée à un joueur de tournoi qui gêne illégalement le taureau ?</v>
      </c>
      <c r="I95" s="5" t="str">
        <f>IFERROR(__xludf.DUMMYFUNCTION("GOOGLETRANSLATE(C95, ""en"", ""fr"")"),"A) Aucune pénalité n'est infligée. B) Le tourteur est averti ou pénalisé, et tout point marqué est annulé. C) Le razeteur est pénalisé. D) Le taureau bénéficie d'un repos.")</f>
        <v>A) Aucune pénalité n'est infligée. B) Le tourteur est averti ou pénalisé, et tout point marqué est annulé. C) Le razeteur est pénalisé. D) Le taureau bénéficie d'un repos.</v>
      </c>
      <c r="J95" s="5" t="str">
        <f>IFERROR(__xludf.DUMMYFUNCTION("GOOGLETRANSLATE(D95, ""en"", ""fr"")"),"B) Le joueur participant au tournoi est averti ou pénalisé, et tout point marqué est annulé.")</f>
        <v>B) Le joueur participant au tournoi est averti ou pénalisé, et tout point marqué est annulé.</v>
      </c>
      <c r="K95" s="5" t="str">
        <f>IFERROR(__xludf.DUMMYFUNCTION("GOOGLETRANSLATE(E95, ""en"", ""fr"")"),"Les joueurs de tournoi peuvent seulement positionner le taureau, sans intervenir physiquement sur lui. Toute obstruction illégale constitue une faute d'équipe.")</f>
        <v>Les joueurs de tournoi peuvent seulement positionner le taureau, sans intervenir physiquement sur lui. Toute obstruction illégale constitue une faute d'équipe.</v>
      </c>
    </row>
    <row r="96" ht="22.5" customHeight="1">
      <c r="A96" s="4">
        <v>95.0</v>
      </c>
      <c r="B96" s="5" t="s">
        <v>1917</v>
      </c>
      <c r="C96" s="5" t="s">
        <v>1918</v>
      </c>
      <c r="D96" s="5" t="s">
        <v>1919</v>
      </c>
      <c r="E96" s="5" t="s">
        <v>1920</v>
      </c>
      <c r="G96" s="5" t="str">
        <f>IFERROR(__xludf.DUMMYFUNCTION("GOOGLETRANSLATE(A96, ""en"", ""fr"")"),"95")</f>
        <v>95</v>
      </c>
      <c r="H96" s="5" t="str">
        <f>IFERROR(__xludf.DUMMYFUNCTION("GOOGLETRANSLATE(B96, ""en"", ""fr"")"),"Un razeteur est sanctionné pour un « coup de barrière ». Qu'a-t-il fait ?")</f>
        <v>Un razeteur est sanctionné pour un « coup de barrière ». Qu'a-t-il fait ?</v>
      </c>
      <c r="I96" s="5" t="str">
        <f>IFERROR(__xludf.DUMMYFUNCTION("GOOGLETRANSLATE(C96, ""en"", ""fr"")"),"A) Ils ont heurté la barrière avec leur crochet, B) Ils ont été heurtés par le taureau contre la barrière, C) Ils ont sauté sur la barrière de manière incorrecte, D) Ils ont refusé de sauter la barrière")</f>
        <v>A) Ils ont heurté la barrière avec leur crochet, B) Ils ont été heurtés par le taureau contre la barrière, C) Ils ont sauté sur la barrière de manière incorrecte, D) Ils ont refusé de sauter la barrière</v>
      </c>
      <c r="J96" s="5" t="str">
        <f>IFERROR(__xludf.DUMMYFUNCTION("GOOGLETRANSLATE(D96, ""en"", ""fr"")"),"A) Ils ont heurté la barrière avec leur crochet")</f>
        <v>A) Ils ont heurté la barrière avec leur crochet</v>
      </c>
      <c r="K96" s="5" t="str">
        <f>IFERROR(__xludf.DUMMYFUNCTION("GOOGLETRANSLATE(E96, ""en"", ""fr"")"),"Un razeteur n'est pas autorisé à toucher la barrière avec son crochet pendant la course. Son attention doit être entièrement portée sur le taureau.")</f>
        <v>Un razeteur n'est pas autorisé à toucher la barrière avec son crochet pendant la course. Son attention doit être entièrement portée sur le taureau.</v>
      </c>
    </row>
    <row r="97" ht="22.5" customHeight="1">
      <c r="A97" s="4">
        <v>96.0</v>
      </c>
      <c r="B97" s="5" t="s">
        <v>1921</v>
      </c>
      <c r="C97" s="5" t="s">
        <v>1922</v>
      </c>
      <c r="D97" s="5" t="s">
        <v>236</v>
      </c>
      <c r="E97" s="5" t="s">
        <v>1923</v>
      </c>
      <c r="G97" s="5" t="str">
        <f>IFERROR(__xludf.DUMMYFUNCTION("GOOGLETRANSLATE(A97, ""en"", ""fr"")"),"96")</f>
        <v>96</v>
      </c>
      <c r="H97" s="5" t="str">
        <f>IFERROR(__xludf.DUMMYFUNCTION("GOOGLETRANSLATE(B97, ""en"", ""fr"")"),"Un taureau est retiré de l'arène avant la fin de ses 15 minutes de compétition. Quelle en est la raison la plus probable ?")</f>
        <v>Un taureau est retiré de l'arène avant la fin de ses 15 minutes de compétition. Quelle en est la raison la plus probable ?</v>
      </c>
      <c r="I97" s="5" t="str">
        <f>IFERROR(__xludf.DUMMYFUNCTION("GOOGLETRANSLATE(C97, ""en"", ""fr"")"),"A) Il a perdu toutes ses capacités, B) Il présente des signes de blessure ou de fatigue excessive, C) Il n'est pas assez agressif, D) B et C")</f>
        <v>A) Il a perdu toutes ses capacités, B) Il présente des signes de blessure ou de fatigue excessive, C) Il n'est pas assez agressif, D) B et C</v>
      </c>
      <c r="J97" s="5" t="str">
        <f>IFERROR(__xludf.DUMMYFUNCTION("GOOGLETRANSLATE(D97, ""en"", ""fr"")"),"D) B et C")</f>
        <v>D) B et C</v>
      </c>
      <c r="K97" s="5" t="str">
        <f>IFERROR(__xludf.DUMMYFUNCTION("GOOGLETRANSLATE(E97, ""en"", ""fr"")"),"La vie d'un taureau peut être écourtée pour son propre bien-être s'il est blessé, ou s'il ne participe pas au combat et ne livre pas une compétition satisfaisante.")</f>
        <v>La vie d'un taureau peut être écourtée pour son propre bien-être s'il est blessé, ou s'il ne participe pas au combat et ne livre pas une compétition satisfaisante.</v>
      </c>
    </row>
    <row r="98" ht="22.5" customHeight="1">
      <c r="A98" s="4">
        <v>97.0</v>
      </c>
      <c r="B98" s="5" t="s">
        <v>1890</v>
      </c>
      <c r="C98" s="5" t="s">
        <v>1891</v>
      </c>
      <c r="D98" s="5" t="s">
        <v>1892</v>
      </c>
      <c r="E98" s="5" t="s">
        <v>1893</v>
      </c>
      <c r="G98" s="5" t="str">
        <f>IFERROR(__xludf.DUMMYFUNCTION("GOOGLETRANSLATE(A98, ""en"", ""fr"")"),"97")</f>
        <v>97</v>
      </c>
      <c r="H98" s="5" t="str">
        <f>IFERROR(__xludf.DUMMYFUNCTION("GOOGLETRANSLATE(B98, ""en"", ""fr"")"),"Quelle est la décision rendue si un arracheur saisit la corne du taureau de sa main libre ?")</f>
        <v>Quelle est la décision rendue si un arracheur saisit la corne du taureau de sa main libre ?</v>
      </c>
      <c r="I98" s="5" t="str">
        <f>IFERROR(__xludf.DUMMYFUNCTION("GOOGLETRANSLATE(C98, ""en"", ""fr"")"),"A) C'est une manœuvre légale pour rétablir l'équilibre, B) C'est une faute grave et le razeteur est pénalisé, C) C'est autorisé si le taureau est agressif, D) Le point est rejoué")</f>
        <v>A) C'est une manœuvre légale pour rétablir l'équilibre, B) C'est une faute grave et le razeteur est pénalisé, C) C'est autorisé si le taureau est agressif, D) Le point est rejoué</v>
      </c>
      <c r="J98" s="5" t="str">
        <f>IFERROR(__xludf.DUMMYFUNCTION("GOOGLETRANSLATE(D98, ""en"", ""fr"")"),"B) C'est une faute grave, et le razéteur est sanctionné.")</f>
        <v>B) C'est une faute grave, et le razéteur est sanctionné.</v>
      </c>
      <c r="K98" s="5" t="str">
        <f>IFERROR(__xludf.DUMMYFUNCTION("GOOGLETRANSLATE(E98, ""en"", ""fr"")"),"Il est strictement interdit à un razeteur de toucher le taureau avec quelque partie que ce soit de son corps ou avec sa main libre.")</f>
        <v>Il est strictement interdit à un razeteur de toucher le taureau avec quelque partie que ce soit de son corps ou avec sa main libre.</v>
      </c>
    </row>
    <row r="99" ht="22.5" customHeight="1">
      <c r="A99" s="4">
        <v>98.0</v>
      </c>
      <c r="B99" s="5" t="s">
        <v>2000</v>
      </c>
      <c r="C99" s="5" t="s">
        <v>1910</v>
      </c>
      <c r="D99" s="5" t="s">
        <v>1911</v>
      </c>
      <c r="E99" s="5" t="s">
        <v>1912</v>
      </c>
      <c r="G99" s="5" t="str">
        <f>IFERROR(__xludf.DUMMYFUNCTION("GOOGLETRANSLATE(A99, ""en"", ""fr"")"),"98")</f>
        <v>98</v>
      </c>
      <c r="H99" s="5" t="str">
        <f>IFERROR(__xludf.DUMMYFUNCTION("GOOGLETRANSLATE(B99, ""en"", ""fr"")"),"Un razeteur prend la cocarde, mais l'arbitre déclare que le raset était « boulevardié ». Que signifie cette faute ?")</f>
        <v>Un razeteur prend la cocarde, mais l'arbitre déclare que le raset était « boulevardié ». Que signifie cette faute ?</v>
      </c>
      <c r="I99" s="5" t="str">
        <f>IFERROR(__xludf.DUMMYFUNCTION("GOOGLETRANSLATE(C99,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99" s="5" t="str">
        <f>IFERROR(__xludf.DUMMYFUNCTION("GOOGLETRANSLATE(D99, ""en"", ""fr"")"),"A) La piste était trop droite et non pas une courbe appropriée.")</f>
        <v>A) La piste était trop droite et non pas une courbe appropriée.</v>
      </c>
      <c r="K99" s="5" t="str">
        <f>IFERROR(__xludf.DUMMYFUNCTION("GOOGLETRANSLATE(E99,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100" ht="22.5" customHeight="1">
      <c r="A100" s="4">
        <v>99.0</v>
      </c>
      <c r="B100" s="5" t="s">
        <v>2001</v>
      </c>
      <c r="C100" s="5" t="s">
        <v>1942</v>
      </c>
      <c r="D100" s="5" t="s">
        <v>1943</v>
      </c>
      <c r="E100" s="5" t="s">
        <v>1944</v>
      </c>
      <c r="G100" s="5" t="str">
        <f>IFERROR(__xludf.DUMMYFUNCTION("GOOGLETRANSLATE(A100, ""en"", ""fr"")"),"99")</f>
        <v>99</v>
      </c>
      <c r="H100" s="5" t="str">
        <f>IFERROR(__xludf.DUMMYFUNCTION("GOOGLETRANSLATE(B100, ""en"", ""fr"")"),"Quelle est la principale raison pour laquelle les pantalons blancs des razéteurs sont si moulants ?")</f>
        <v>Quelle est la principale raison pour laquelle les pantalons blancs des razéteurs sont si moulants ?</v>
      </c>
      <c r="I100" s="5" t="str">
        <f>IFERROR(__xludf.DUMMYFUNCTION("GOOGLETRANSLATE(C100, ""en"", ""fr"")"),"A) C'est une mode moderne, B) Pour éviter que la corne du taureau ne se prenne dans le tissu, C) Pour mettre en valeur les muscles du taureau, D) Pour améliorer l'aérodynamisme")</f>
        <v>A) C'est une mode moderne, B) Pour éviter que la corne du taureau ne se prenne dans le tissu, C) Pour mettre en valeur les muscles du taureau, D) Pour améliorer l'aérodynamisme</v>
      </c>
      <c r="J100" s="5" t="str">
        <f>IFERROR(__xludf.DUMMYFUNCTION("GOOGLETRANSLATE(D100, ""en"", ""fr"")"),"B) Pour éviter que la corne du taureau ne se prenne dans les tissus lâches")</f>
        <v>B) Pour éviter que la corne du taureau ne se prenne dans les tissus lâches</v>
      </c>
      <c r="K100" s="5" t="str">
        <f>IFERROR(__xludf.DUMMYFUNCTION("GOOGLETRANSLATE(E100, ""en"", ""fr"")"),"Il s'agit d'un élément de sécurité essentiel de l'uniforme, minimisant le risque qu'un klaxon se prenne dans les vêtements.")</f>
        <v>Il s'agit d'un élément de sécurité essentiel de l'uniforme, minimisant le risque qu'un klaxon se prenne dans les vêtements.</v>
      </c>
    </row>
    <row r="101" ht="22.5" customHeight="1">
      <c r="A101" s="4">
        <v>100.0</v>
      </c>
      <c r="B101" s="5" t="s">
        <v>1945</v>
      </c>
      <c r="C101" s="5" t="s">
        <v>1946</v>
      </c>
      <c r="D101" s="5" t="s">
        <v>1947</v>
      </c>
      <c r="E101" s="5" t="s">
        <v>1948</v>
      </c>
      <c r="G101" s="5" t="str">
        <f>IFERROR(__xludf.DUMMYFUNCTION("GOOGLETRANSLATE(A101, ""en"", ""fr"")"),"100")</f>
        <v>100</v>
      </c>
      <c r="H101" s="5" t="str">
        <f>IFERROR(__xludf.DUMMYFUNCTION("GOOGLETRANSLATE(B101, ""en"", ""fr"")"),"Un razeteur réussit à extraire la dernière corde (fielle) d'une corne de taureau. Que se passe-t-il ensuite ?")</f>
        <v>Un razeteur réussit à extraire la dernière corde (fielle) d'une corne de taureau. Que se passe-t-il ensuite ?</v>
      </c>
      <c r="I101" s="5" t="str">
        <f>IFERROR(__xludf.DUMMYFUNCTION("GOOGLETRANSLATE(C101, ""en"", ""fr"")"),"A) Le taureau est immédiatement remis dans l'arène, même si ses 15 minutes ne sont pas écoulées. B) De nouveaux attributs sont attribués au taureau. C) Le dresseur remporte la course. D) Le taureau bénéficie d'un repos.")</f>
        <v>A) Le taureau est immédiatement remis dans l'arène, même si ses 15 minutes ne sont pas écoulées. B) De nouveaux attributs sont attribués au taureau. C) Le dresseur remporte la course. D) Le taureau bénéficie d'un repos.</v>
      </c>
      <c r="J101" s="5" t="str">
        <f>IFERROR(__xludf.DUMMYFUNCTION("GOOGLETRANSLATE(D101, ""en"", ""fr"")"),"A) Le taureau est immédiatement remis dans l'arène, même si ses 15 minutes ne sont pas écoulées.")</f>
        <v>A) Le taureau est immédiatement remis dans l'arène, même si ses 15 minutes ne sont pas écoulées.</v>
      </c>
      <c r="K101" s="5" t="str">
        <f>IFERROR(__xludf.DUMMYFUNCTION("GOOGLETRANSLATE(E101, ""en"", ""fr"")"),"Le « travail » du taureau est terminé une fois que tous ses attributs ont été prélevés. On lui rend hommage en musique et on le ramène à son enclos.")</f>
        <v>Le « travail » du taureau est terminé une fois que tous ses attributs ont été prélevés. On lui rend hommage en musique et on le ramène à son enclos.</v>
      </c>
    </row>
    <row r="102" ht="22.5" customHeight="1">
      <c r="A102" s="4">
        <v>101.0</v>
      </c>
      <c r="B102" s="5" t="s">
        <v>1878</v>
      </c>
      <c r="C102" s="5" t="s">
        <v>1879</v>
      </c>
      <c r="D102" s="5" t="s">
        <v>1880</v>
      </c>
      <c r="E102" s="5" t="s">
        <v>1881</v>
      </c>
      <c r="G102" s="5" t="str">
        <f>IFERROR(__xludf.DUMMYFUNCTION("GOOGLETRANSLATE(A102, ""en"", ""fr"")"),"101")</f>
        <v>101</v>
      </c>
      <c r="H102" s="5" t="str">
        <f>IFERROR(__xludf.DUMMYFUNCTION("GOOGLETRANSLATE(B102, ""en"", ""fr"")"),"Un racleur est surpris à utiliser un crochet plus long que la longueur réglementaire. Quelle est la sanction ?")</f>
        <v>Un racleur est surpris à utiliser un crochet plus long que la longueur réglementaire. Quelle est la sanction ?</v>
      </c>
      <c r="I102" s="5" t="str">
        <f>IFERROR(__xludf.DUMMYFUNCTION("GOOGLETRANSLATE(C102, ""en"", ""fr"")"),"A) Un avertissement est donné, B) Le razeteur est disqualifié de la course, C) Le crochet est confisqué, D) Le razeteur peut continuer mais marque la moitié des points")</f>
        <v>A) Un avertissement est donné, B) Le razeteur est disqualifié de la course, C) Le crochet est confisqué, D) Le razeteur peut continuer mais marque la moitié des points</v>
      </c>
      <c r="J102" s="5" t="str">
        <f>IFERROR(__xludf.DUMMYFUNCTION("GOOGLETRANSLATE(D102, ""en"", ""fr"")"),"B) Le razeteur est disqualifié de la course")</f>
        <v>B) Le razeteur est disqualifié de la course</v>
      </c>
      <c r="K102" s="5" t="str">
        <f>IFERROR(__xludf.DUMMYFUNCTION("GOOGLETRANSLATE(E102, ""en"", ""fr"")"),"L'utilisation d'équipements non conformes à la réglementation, conférant un avantage indu, constitue une faute grave.")</f>
        <v>L'utilisation d'équipements non conformes à la réglementation, conférant un avantage indu, constitue une faute grave.</v>
      </c>
    </row>
    <row r="103" ht="22.5" customHeight="1">
      <c r="A103" s="4">
        <v>102.0</v>
      </c>
      <c r="B103" s="5" t="s">
        <v>1882</v>
      </c>
      <c r="C103" s="5" t="s">
        <v>1883</v>
      </c>
      <c r="D103" s="5" t="s">
        <v>2002</v>
      </c>
      <c r="E103" s="5" t="s">
        <v>1885</v>
      </c>
      <c r="G103" s="5" t="str">
        <f>IFERROR(__xludf.DUMMYFUNCTION("GOOGLETRANSLATE(A103, ""en"", ""fr"")"),"102")</f>
        <v>102</v>
      </c>
      <c r="H103" s="5" t="str">
        <f>IFERROR(__xludf.DUMMYFUNCTION("GOOGLETRANSLATE(B103, ""en"", ""fr"")"),"À quoi servent les lignes blanches peintes sur la piste de l'arène ?")</f>
        <v>À quoi servent les lignes blanches peintes sur la piste de l'arène ?</v>
      </c>
      <c r="I103" s="5" t="str">
        <f>IFERROR(__xludf.DUMMYFUNCTION("GOOGLETRANSLATE(C103, ""en"", ""fr"")"),"A) Elles servent à la décoration, B) Elles aident les dresseurs à évaluer la distance et la position par rapport au taureau, C) Elles délimitent le périmètre du taureau, D) Ce sont des lignes de service")</f>
        <v>A) Elles servent à la décoration, B) Elles aident les dresseurs à évaluer la distance et la position par rapport au taureau, C) Elles délimitent le périmètre du taureau, D) Ce sont des lignes de service</v>
      </c>
      <c r="J103" s="5" t="str">
        <f>IFERROR(__xludf.DUMMYFUNCTION("GOOGLETRANSLATE(D103, ""en"", ""fr"")"),"B) Ils aident le razeteur à évaluer leur distance et leur position par rapport au taureau.")</f>
        <v>B) Ils aident le razeteur à évaluer leur distance et leur position par rapport au taureau.</v>
      </c>
      <c r="K103" s="5" t="str">
        <f>IFERROR(__xludf.DUMMYFUNCTION("GOOGLETRANSLATE(E103, ""en"", ""fr"")"),"Ces lignes servent de repère visuel aux razeteurs pour les aider à synchroniser leur course et leur saut vers la barrière.")</f>
        <v>Ces lignes servent de repère visuel aux razeteurs pour les aider à synchroniser leur course et leur saut vers la barrière.</v>
      </c>
    </row>
    <row r="104" ht="22.5" customHeight="1">
      <c r="A104" s="4">
        <v>103.0</v>
      </c>
      <c r="B104" s="5" t="s">
        <v>1886</v>
      </c>
      <c r="C104" s="5" t="s">
        <v>1887</v>
      </c>
      <c r="D104" s="5" t="s">
        <v>1888</v>
      </c>
      <c r="E104" s="5" t="s">
        <v>1889</v>
      </c>
      <c r="G104" s="5" t="str">
        <f>IFERROR(__xludf.DUMMYFUNCTION("GOOGLETRANSLATE(A104, ""en"", ""fr"")"),"103")</f>
        <v>103</v>
      </c>
      <c r="H104" s="5" t="str">
        <f>IFERROR(__xludf.DUMMYFUNCTION("GOOGLETRANSLATE(B104, ""en"", ""fr"")"),"Un taureau a la réputation d'être un « sauteur ». Qu'est-ce que cela signifie ?")</f>
        <v>Un taureau a la réputation d'être un « sauteur ». Qu'est-ce que cela signifie ?</v>
      </c>
      <c r="I104" s="5" t="str">
        <f>IFERROR(__xludf.DUMMYFUNCTION("GOOGLETRANSLATE(C104, ""en"", ""fr"")"),"A) Il est très énergique, B) Il a l'habitude de sauter la barrière à la poursuite des razeteurs, C) Il saute par-dessus les razeteurs, D) C'est un jeune taureau")</f>
        <v>A) Il est très énergique, B) Il a l'habitude de sauter la barrière à la poursuite des razeteurs, C) Il saute par-dessus les razeteurs, D) C'est un jeune taureau</v>
      </c>
      <c r="J104" s="5" t="str">
        <f>IFERROR(__xludf.DUMMYFUNCTION("GOOGLETRANSLATE(D104, ""en"", ""fr"")"),"B) Elle a la fâcheuse habitude de franchir la barrière à la poursuite des razeteurs")</f>
        <v>B) Elle a la fâcheuse habitude de franchir la barrière à la poursuite des razeteurs</v>
      </c>
      <c r="K104" s="5" t="str">
        <f>IFERROR(__xludf.DUMMYFUNCTION("GOOGLETRANSLATE(E104, ""en"", ""fr"")"),"C'est une caractéristique qui rend le taureau à la fois dangereux et extrêmement spectaculaire, et qui le rend très populaire auprès du public.")</f>
        <v>C'est une caractéristique qui rend le taureau à la fois dangereux et extrêmement spectaculaire, et qui le rend très populaire auprès du public.</v>
      </c>
    </row>
    <row r="105" ht="22.5" customHeight="1">
      <c r="A105" s="4">
        <v>104.0</v>
      </c>
      <c r="B105" s="5" t="s">
        <v>1890</v>
      </c>
      <c r="C105" s="5" t="s">
        <v>1891</v>
      </c>
      <c r="D105" s="5" t="s">
        <v>1892</v>
      </c>
      <c r="E105" s="5" t="s">
        <v>1893</v>
      </c>
      <c r="G105" s="5" t="str">
        <f>IFERROR(__xludf.DUMMYFUNCTION("GOOGLETRANSLATE(A105, ""en"", ""fr"")"),"104")</f>
        <v>104</v>
      </c>
      <c r="H105" s="5" t="str">
        <f>IFERROR(__xludf.DUMMYFUNCTION("GOOGLETRANSLATE(B105, ""en"", ""fr"")"),"Quelle est la décision rendue si un arracheur saisit la corne du taureau de sa main libre ?")</f>
        <v>Quelle est la décision rendue si un arracheur saisit la corne du taureau de sa main libre ?</v>
      </c>
      <c r="I105" s="5" t="str">
        <f>IFERROR(__xludf.DUMMYFUNCTION("GOOGLETRANSLATE(C105, ""en"", ""fr"")"),"A) C'est une manœuvre légale pour rétablir l'équilibre, B) C'est une faute grave et le razeteur est pénalisé, C) C'est autorisé si le taureau est agressif, D) Le point est rejoué")</f>
        <v>A) C'est une manœuvre légale pour rétablir l'équilibre, B) C'est une faute grave et le razeteur est pénalisé, C) C'est autorisé si le taureau est agressif, D) Le point est rejoué</v>
      </c>
      <c r="J105" s="5" t="str">
        <f>IFERROR(__xludf.DUMMYFUNCTION("GOOGLETRANSLATE(D105, ""en"", ""fr"")"),"B) C'est une faute grave, et le razéteur est sanctionné.")</f>
        <v>B) C'est une faute grave, et le razéteur est sanctionné.</v>
      </c>
      <c r="K105" s="5" t="str">
        <f>IFERROR(__xludf.DUMMYFUNCTION("GOOGLETRANSLATE(E105, ""en"", ""fr"")"),"Il est strictement interdit à un razeteur de toucher le taureau avec quelque partie que ce soit de son corps ou avec sa main libre.")</f>
        <v>Il est strictement interdit à un razeteur de toucher le taureau avec quelque partie que ce soit de son corps ou avec sa main libre.</v>
      </c>
    </row>
    <row r="106" ht="22.5" customHeight="1">
      <c r="A106" s="4">
        <v>105.0</v>
      </c>
      <c r="B106" s="5" t="s">
        <v>1894</v>
      </c>
      <c r="C106" s="5" t="s">
        <v>1895</v>
      </c>
      <c r="D106" s="5" t="s">
        <v>1896</v>
      </c>
      <c r="E106" s="5" t="s">
        <v>1897</v>
      </c>
      <c r="G106" s="5" t="str">
        <f>IFERROR(__xludf.DUMMYFUNCTION("GOOGLETRANSLATE(A106, ""en"", ""fr"")"),"105")</f>
        <v>105</v>
      </c>
      <c r="H106" s="5" t="str">
        <f>IFERROR(__xludf.DUMMYFUNCTION("GOOGLETRANSLATE(B106, ""en"", ""fr"")"),"Quel est le rôle principal du « délégué de la FFCC » (Federation Delegate) lors d'une course ?")</f>
        <v>Quel est le rôle principal du « délégué de la FFCC » (Federation Delegate) lors d'une course ?</v>
      </c>
      <c r="I106" s="5" t="str">
        <f>IFERROR(__xludf.DUMMYFUNCTION("GOOGLETRANSLATE(C106, ""en"", ""fr"")"),"A) Être l'arbitre principal, B) Être le représentant officiel de la fédération, veillant au respect des règles et procédures, C) Être le marqueur, D) Être l'organisateur de l'événement")</f>
        <v>A) Être l'arbitre principal, B) Être le représentant officiel de la fédération, veillant au respect des règles et procédures, C) Être le marqueur, D) Être l'organisateur de l'événement</v>
      </c>
      <c r="J106" s="5" t="str">
        <f>IFERROR(__xludf.DUMMYFUNCTION("GOOGLETRANSLATE(D106, ""en"", ""fr"")"),"B) Être le représentant officiel de la fédération, en veillant à ce que toutes les règles et procédures soient correctement respectées.")</f>
        <v>B) Être le représentant officiel de la fédération, en veillant à ce que toutes les règles et procédures soient correctement respectées.</v>
      </c>
      <c r="K106" s="5" t="str">
        <f>IFERROR(__xludf.DUMMYFUNCTION("GOOGLETRANSLATE(E106, ""en"", ""fr"")"),"Le délégué est la plus haute autorité de l'instance dirigeante, présente pour superviser l'ensemble de l'événement.")</f>
        <v>Le délégué est la plus haute autorité de l'instance dirigeante, présente pour superviser l'ensemble de l'événement.</v>
      </c>
    </row>
    <row r="107" ht="22.5" customHeight="1">
      <c r="A107" s="4">
        <v>106.0</v>
      </c>
      <c r="B107" s="5" t="s">
        <v>1898</v>
      </c>
      <c r="C107" s="5" t="s">
        <v>1899</v>
      </c>
      <c r="D107" s="5" t="s">
        <v>1900</v>
      </c>
      <c r="E107" s="5" t="s">
        <v>1901</v>
      </c>
      <c r="G107" s="5" t="str">
        <f>IFERROR(__xludf.DUMMYFUNCTION("GOOGLETRANSLATE(A107, ""en"", ""fr"")"),"106")</f>
        <v>106</v>
      </c>
      <c r="H107" s="5" t="str">
        <f>IFERROR(__xludf.DUMMYFUNCTION("GOOGLETRANSLATE(B107, ""en"", ""fr"")"),"Un taureau est appelé « cocardier difficile ». Qu'est-ce que cela signifie ?")</f>
        <v>Un taureau est appelé « cocardier difficile ». Qu'est-ce que cela signifie ?</v>
      </c>
      <c r="I107" s="5" t="str">
        <f>IFERROR(__xludf.DUMMYFUNCTION("GOOGLETRANSLATE(C107, ""en"", ""fr"")"),"A) Le taureau est très agressif. B) Le taureau est très intelligent et difficile à tromper, ce qui rend difficile la mémorisation de ses caractéristiques. C) Le taureau est vieux. D) Le taureau refuse de charger.")</f>
        <v>A) Le taureau est très agressif. B) Le taureau est très intelligent et difficile à tromper, ce qui rend difficile la mémorisation de ses caractéristiques. C) Le taureau est vieux. D) Le taureau refuse de charger.</v>
      </c>
      <c r="J107" s="5" t="str">
        <f>IFERROR(__xludf.DUMMYFUNCTION("GOOGLETRANSLATE(D107, ""en"", ""fr"")"),"B) Le taureau est très intelligent et difficile à tromper, ce qui rend difficile la prise de ses attributs")</f>
        <v>B) Le taureau est très intelligent et difficile à tromper, ce qui rend difficile la prise de ses attributs</v>
      </c>
      <c r="K107" s="5" t="str">
        <f>IFERROR(__xludf.DUMMYFUNCTION("GOOGLETRANSLATE(E107, ""en"", ""fr"")"),"Un taureau « difficile » est un taureau intelligent qui défend bien ses atouts, offrant un défi plus grand et un spectacle plus impressionnant.")</f>
        <v>Un taureau « difficile » est un taureau intelligent qui défend bien ses atouts, offrant un défi plus grand et un spectacle plus impressionnant.</v>
      </c>
    </row>
    <row r="108" ht="22.5" customHeight="1">
      <c r="A108" s="4">
        <v>107.0</v>
      </c>
      <c r="B108" s="5" t="s">
        <v>1902</v>
      </c>
      <c r="C108" s="5" t="s">
        <v>1903</v>
      </c>
      <c r="D108" s="5" t="s">
        <v>433</v>
      </c>
      <c r="E108" s="5" t="s">
        <v>1904</v>
      </c>
      <c r="G108" s="5" t="str">
        <f>IFERROR(__xludf.DUMMYFUNCTION("GOOGLETRANSLATE(A108, ""en"", ""fr"")"),"107")</f>
        <v>107</v>
      </c>
      <c r="H108" s="5" t="str">
        <f>IFERROR(__xludf.DUMMYFUNCTION("GOOGLETRANSLATE(B108, ""en"", ""fr"")"),"Quel est le rôle de la barrière en bois peinte en rouge (barricade) ?")</f>
        <v>Quel est le rôle de la barrière en bois peinte en rouge (barricade) ?</v>
      </c>
      <c r="I108" s="5" t="str">
        <f>IFERROR(__xludf.DUMMYFUNCTION("GOOGLETRANSLATE(C108, ""en"", ""fr"")"),"A) Pour maintenir le taureau dans l'arène, B) Pour servir de refuge aux organisateurs, C) Pour séparer les organisateurs de la foule, D) Toutes les réponses ci-dessus")</f>
        <v>A) Pour maintenir le taureau dans l'arène, B) Pour servir de refuge aux organisateurs, C) Pour séparer les organisateurs de la foule, D) Toutes les réponses ci-dessus</v>
      </c>
      <c r="J108" s="5" t="str">
        <f>IFERROR(__xludf.DUMMYFUNCTION("GOOGLETRANSLATE(D108, ""en"", ""fr"")"),"D) Toutes les réponses ci-dessus")</f>
        <v>D) Toutes les réponses ci-dessus</v>
      </c>
      <c r="K108" s="5" t="str">
        <f>IFERROR(__xludf.DUMMYFUNCTION("GOOGLETRANSLATE(E108, ""en"", ""fr"")"),"La barrière remplit toutes ces fonctions : elle contient l'action, sert de voie d'évacuation pour les hommes et protège les spectateurs.")</f>
        <v>La barrière remplit toutes ces fonctions : elle contient l'action, sert de voie d'évacuation pour les hommes et protège les spectateurs.</v>
      </c>
    </row>
    <row r="109" ht="22.5" customHeight="1">
      <c r="A109" s="4">
        <v>108.0</v>
      </c>
      <c r="B109" s="5" t="s">
        <v>1905</v>
      </c>
      <c r="C109" s="5" t="s">
        <v>1906</v>
      </c>
      <c r="D109" s="5" t="s">
        <v>1907</v>
      </c>
      <c r="E109" s="5" t="s">
        <v>1908</v>
      </c>
      <c r="G109" s="5" t="str">
        <f>IFERROR(__xludf.DUMMYFUNCTION("GOOGLETRANSLATE(A109, ""en"", ""fr"")"),"108")</f>
        <v>108</v>
      </c>
      <c r="H109" s="5" t="str">
        <f>IFERROR(__xludf.DUMMYFUNCTION("GOOGLETRANSLATE(B109, ""en"", ""fr"")"),"Quel est le nombre maximal de razeteurs pouvant se trouver simultanément dans le « passage des razeteurs » (l'espace entre les deux barrières) ?")</f>
        <v>Quel est le nombre maximal de razeteurs pouvant se trouver simultanément dans le « passage des razeteurs » (l'espace entre les deux barrières) ?</v>
      </c>
      <c r="I109" s="5" t="str">
        <f>IFERROR(__xludf.DUMMYFUNCTION("GOOGLETRANSLATE(C109, ""en"", ""fr"")"),"A) Un, B) Deux, C) Il n'y a pas de limite, D) Ce n'est pas autorisé")</f>
        <v>A) Un, B) Deux, C) Il n'y a pas de limite, D) Ce n'est pas autorisé</v>
      </c>
      <c r="J109" s="5" t="str">
        <f>IFERROR(__xludf.DUMMYFUNCTION("GOOGLETRANSLATE(D109, ""en"", ""fr"")"),"A) Un")</f>
        <v>A) Un</v>
      </c>
      <c r="K109" s="5" t="str">
        <f>IFERROR(__xludf.DUMMYFUNCTION("GOOGLETRANSLATE(E109, ""en"", ""fr"")"),"Pour des raisons de sécurité, un seul razeteur est autorisé à la fois dans ce couloir étroit.")</f>
        <v>Pour des raisons de sécurité, un seul razeteur est autorisé à la fois dans ce couloir étroit.</v>
      </c>
    </row>
    <row r="110" ht="22.5" customHeight="1">
      <c r="A110" s="4">
        <v>109.0</v>
      </c>
      <c r="B110" s="5" t="s">
        <v>2000</v>
      </c>
      <c r="C110" s="5" t="s">
        <v>1910</v>
      </c>
      <c r="D110" s="5" t="s">
        <v>1911</v>
      </c>
      <c r="E110" s="5" t="s">
        <v>1912</v>
      </c>
      <c r="G110" s="5" t="str">
        <f>IFERROR(__xludf.DUMMYFUNCTION("GOOGLETRANSLATE(A110, ""en"", ""fr"")"),"109")</f>
        <v>109</v>
      </c>
      <c r="H110" s="5" t="str">
        <f>IFERROR(__xludf.DUMMYFUNCTION("GOOGLETRANSLATE(B110, ""en"", ""fr"")"),"Un razeteur prend la cocarde, mais l'arbitre déclare que le raset était « boulevardié ». Que signifie cette faute ?")</f>
        <v>Un razeteur prend la cocarde, mais l'arbitre déclare que le raset était « boulevardié ». Que signifie cette faute ?</v>
      </c>
      <c r="I110" s="5" t="str">
        <f>IFERROR(__xludf.DUMMYFUNCTION("GOOGLETRANSLATE(C110,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110" s="5" t="str">
        <f>IFERROR(__xludf.DUMMYFUNCTION("GOOGLETRANSLATE(D110, ""en"", ""fr"")"),"A) La piste était trop droite et non pas une courbe appropriée.")</f>
        <v>A) La piste était trop droite et non pas une courbe appropriée.</v>
      </c>
      <c r="K110" s="5" t="str">
        <f>IFERROR(__xludf.DUMMYFUNCTION("GOOGLETRANSLATE(E110,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111" ht="22.5" customHeight="1">
      <c r="A111" s="4">
        <v>110.0</v>
      </c>
      <c r="B111" s="5" t="s">
        <v>1913</v>
      </c>
      <c r="C111" s="5" t="s">
        <v>1914</v>
      </c>
      <c r="D111" s="5" t="s">
        <v>1915</v>
      </c>
      <c r="E111" s="5" t="s">
        <v>1916</v>
      </c>
      <c r="G111" s="5" t="str">
        <f>IFERROR(__xludf.DUMMYFUNCTION("GOOGLETRANSLATE(A111, ""en"", ""fr"")"),"110")</f>
        <v>110</v>
      </c>
      <c r="H111" s="5" t="str">
        <f>IFERROR(__xludf.DUMMYFUNCTION("GOOGLETRANSLATE(B111, ""en"", ""fr"")"),"Le Course Camarguaise est avant tout un sport qui célèbre la relation entre quels trois éléments ?")</f>
        <v>Le Course Camarguaise est avant tout un sport qui célèbre la relation entre quels trois éléments ?</v>
      </c>
      <c r="I111" s="5" t="str">
        <f>IFERROR(__xludf.DUMMYFUNCTION("GOOGLETRANSLATE(C111, ""en"", ""fr"")"),"A) L'homme, le cheval et la mer, B) Le taureau, le cheval et le gardien, C) Le taureau, le razeteur et le paysage unique de la Camargue, D) Le razeteur, l'arbitre et la foule")</f>
        <v>A) L'homme, le cheval et la mer, B) Le taureau, le cheval et le gardien, C) Le taureau, le razeteur et le paysage unique de la Camargue, D) Le razeteur, l'arbitre et la foule</v>
      </c>
      <c r="J111" s="5" t="str">
        <f>IFERROR(__xludf.DUMMYFUNCTION("GOOGLETRANSLATE(D111, ""en"", ""fr"")"),"C) Le taureau, le razeteur et le paysage unique de la Camargue")</f>
        <v>C) Le taureau, le razeteur et le paysage unique de la Camargue</v>
      </c>
      <c r="K111" s="5" t="str">
        <f>IFERROR(__xludf.DUMMYFUNCTION("GOOGLETRANSLATE(E111, ""en"", ""fr"")"),"Ce sport est l'expression du lien culturel profond qui unit les hommes, les animaux et l'environnement spécifique de la Camargue.")</f>
        <v>Ce sport est l'expression du lien culturel profond qui unit les hommes, les animaux et l'environnement spécifique de la Camargue.</v>
      </c>
    </row>
    <row r="112" ht="22.5" customHeight="1">
      <c r="A112" s="4">
        <v>111.0</v>
      </c>
      <c r="B112" s="5" t="s">
        <v>1987</v>
      </c>
      <c r="C112" s="5" t="s">
        <v>1988</v>
      </c>
      <c r="D112" s="5" t="s">
        <v>1989</v>
      </c>
      <c r="E112" s="5" t="s">
        <v>1990</v>
      </c>
      <c r="G112" s="5" t="str">
        <f>IFERROR(__xludf.DUMMYFUNCTION("GOOGLETRANSLATE(A112, ""en"", ""fr"")"),"111")</f>
        <v>111</v>
      </c>
      <c r="H112" s="5" t="str">
        <f>IFERROR(__xludf.DUMMYFUNCTION("GOOGLETRANSLATE(B112, ""en"", ""fr"")"),"Qu'est-ce que la « Coupe des manadiers » (Breeders' Cup) ?")</f>
        <v>Qu'est-ce que la « Coupe des manadiers » (Breeders' Cup) ?</v>
      </c>
      <c r="I112" s="5" t="str">
        <f>IFERROR(__xludf.DUMMYFUNCTION("GOOGLETRANSLATE(C112, ""en"", ""fr"")"),"A) Une course pour les éleveurs, B) Une compétition où les éleveurs eux-mêmes s'affrontent, C) Un tournoi prestigieux où les troupeaux s'affrontent, D) Une course de chevaux")</f>
        <v>A) Une course pour les éleveurs, B) Une compétition où les éleveurs eux-mêmes s'affrontent, C) Un tournoi prestigieux où les troupeaux s'affrontent, D) Une course de chevaux</v>
      </c>
      <c r="J112" s="5" t="str">
        <f>IFERROR(__xludf.DUMMYFUNCTION("GOOGLETRANSLATE(D112, ""en"", ""fr"")"),"C) Un tournoi prestigieux où les troupeaux (manades) s'affrontent.")</f>
        <v>C) Un tournoi prestigieux où les troupeaux (manades) s'affrontent.</v>
      </c>
      <c r="K112" s="5" t="str">
        <f>IFERROR(__xludf.DUMMYFUNCTION("GOOGLETRANSLATE(E112, ""en"", ""fr"")"),"Il s'agit d'une compétition spéciale où la fierté des différents élevages est en jeu, mettant en valeur la qualité de leurs taureaux.")</f>
        <v>Il s'agit d'une compétition spéciale où la fierté des différents élevages est en jeu, mettant en valeur la qualité de leurs taureaux.</v>
      </c>
    </row>
    <row r="113" ht="22.5" customHeight="1">
      <c r="A113" s="4">
        <v>112.0</v>
      </c>
      <c r="B113" s="5" t="s">
        <v>2003</v>
      </c>
      <c r="C113" s="5" t="s">
        <v>2004</v>
      </c>
      <c r="D113" s="5" t="s">
        <v>2005</v>
      </c>
      <c r="E113" s="5" t="s">
        <v>2006</v>
      </c>
      <c r="G113" s="5" t="str">
        <f>IFERROR(__xludf.DUMMYFUNCTION("GOOGLETRANSLATE(A113, ""en"", ""fr"")"),"112")</f>
        <v>112</v>
      </c>
      <c r="H113" s="5" t="str">
        <f>IFERROR(__xludf.DUMMYFUNCTION("GOOGLETRANSLATE(B113, ""en"", ""fr"")"),"Qu'est-ce qu'un ""raset de face"" ?")</f>
        <v>Qu'est-ce qu'un "raset de face" ?</v>
      </c>
      <c r="I113" s="5" t="str">
        <f>IFERROR(__xludf.DUMMYFUNCTION("GOOGLETRANSLATE(C113, ""en"", ""fr"")"),"A) Une faute, B) Un raset effectué de côté, C) Une approche frontale dangereuse du taureau, D) Le raset final du match")</f>
        <v>A) Une faute, B) Un raset effectué de côté, C) Une approche frontale dangereuse du taureau, D) Le raset final du match</v>
      </c>
      <c r="J113" s="5" t="str">
        <f>IFERROR(__xludf.DUMMYFUNCTION("GOOGLETRANSLATE(D113, ""en"", ""fr"")"),"C) Une approche dangereuse et frontale du taureau")</f>
        <v>C) Une approche dangereuse et frontale du taureau</v>
      </c>
      <c r="K113" s="5" t="str">
        <f>IFERROR(__xludf.DUMMYFUNCTION("GOOGLETRANSLATE(E113, ""en"", ""fr"")"),"Il s'agit d'une manœuvre particulièrement courageuse mais risquée où le razeteur fonce droit sur le taureau de face.")</f>
        <v>Il s'agit d'une manœuvre particulièrement courageuse mais risquée où le razeteur fonce droit sur le taureau de face.</v>
      </c>
    </row>
    <row r="114" ht="22.5" customHeight="1">
      <c r="A114" s="4">
        <v>113.0</v>
      </c>
      <c r="B114" s="5" t="s">
        <v>1996</v>
      </c>
      <c r="C114" s="5" t="s">
        <v>1997</v>
      </c>
      <c r="D114" s="5" t="s">
        <v>1998</v>
      </c>
      <c r="E114" s="5" t="s">
        <v>1999</v>
      </c>
      <c r="G114" s="5" t="str">
        <f>IFERROR(__xludf.DUMMYFUNCTION("GOOGLETRANSLATE(A114, ""en"", ""fr"")"),"113")</f>
        <v>113</v>
      </c>
      <c r="H114" s="5" t="str">
        <f>IFERROR(__xludf.DUMMYFUNCTION("GOOGLETRANSLATE(B114, ""en"", ""fr"")"),"On loue le taureau pour sa « générosité ». Qu'est-ce que cela signifie ?")</f>
        <v>On loue le taureau pour sa « générosité ». Qu'est-ce que cela signifie ?</v>
      </c>
      <c r="I114" s="5" t="str">
        <f>IFERROR(__xludf.DUMMYFUNCTION("GOOGLETRANSLATE(C114, ""en"", ""fr"")"),"A) C'est un très gros taureau, B) Il charge facilement et participe activement au jeu, C) Il n'attaque pas les razeteurs, D) Il abandonne facilement ses attributs")</f>
        <v>A) C'est un très gros taureau, B) Il charge facilement et participe activement au jeu, C) Il n'attaque pas les razeteurs, D) Il abandonne facilement ses attributs</v>
      </c>
      <c r="J114" s="5" t="str">
        <f>IFERROR(__xludf.DUMMYFUNCTION("GOOGLETRANSLATE(D114, ""en"", ""fr"")"),"B) Il se recharge facilement et participe activement au jeu")</f>
        <v>B) Il se recharge facilement et participe activement au jeu</v>
      </c>
      <c r="K114" s="5" t="str">
        <f>IFERROR(__xludf.DUMMYFUNCTION("GOOGLETRANSLATE(E114, ""en"", ""fr"")"),"Un taureau « généreux » est celui qui offre un grand spectacle en s'engageant honnêtement et courageusement avec les arpenteurs.")</f>
        <v>Un taureau « généreux » est celui qui offre un grand spectacle en s'engageant honnêtement et courageusement avec les arpenteurs.</v>
      </c>
    </row>
    <row r="115" ht="22.5" customHeight="1">
      <c r="A115" s="4">
        <v>114.0</v>
      </c>
      <c r="B115" s="5" t="s">
        <v>2007</v>
      </c>
      <c r="C115" s="5" t="s">
        <v>1816</v>
      </c>
      <c r="D115" s="5" t="s">
        <v>1817</v>
      </c>
      <c r="E115" s="5" t="s">
        <v>1986</v>
      </c>
      <c r="G115" s="5" t="str">
        <f>IFERROR(__xludf.DUMMYFUNCTION("GOOGLETRANSLATE(A115, ""en"", ""fr"")"),"114")</f>
        <v>114</v>
      </c>
      <c r="H115" s="5" t="str">
        <f>IFERROR(__xludf.DUMMYFUNCTION("GOOGLETRANSLATE(B115, ""en"", ""fr"")"),"Quelle est la principale raison pour laquelle un razeteur doit être extrêmement agile et athlétique ?")</f>
        <v>Quelle est la principale raison pour laquelle un razeteur doit être extrêmement agile et athlétique ?</v>
      </c>
      <c r="I115" s="5" t="str">
        <f>IFERROR(__xludf.DUMMYFUNCTION("GOOGLETRANSLATE(C115, ""en"", ""fr"")"),"A) Réaliser le « raset » explosif et sauter par-dessus la barrière pour s'échapper, B) Être capable de soulever des objets lourds, C) Courir plus vite que ses coéquipiers, D) Être capable de combattre le taureau")</f>
        <v>A) Réaliser le « raset » explosif et sauter par-dessus la barrière pour s'échapper, B) Être capable de soulever des objets lourds, C) Courir plus vite que ses coéquipiers, D) Être capable de combattre le taureau</v>
      </c>
      <c r="J115" s="5" t="str">
        <f>IFERROR(__xludf.DUMMYFUNCTION("GOOGLETRANSLATE(D115, ""en"", ""fr"")"),"A) Effectuer le ""raset"" explosif et sauter par-dessus la barrière pour s'échapper")</f>
        <v>A) Effectuer le "raset" explosif et sauter par-dessus la barrière pour s'échapper</v>
      </c>
      <c r="K115" s="5" t="str">
        <f>IFERROR(__xludf.DUMMYFUNCTION("GOOGLETRANSLATE(E115, ""en"", ""fr"")"),"Ce sport exige le physique d'un sprinter et d'un gymnaste, ce qui en fait une épreuve d'athlétisme pur.")</f>
        <v>Ce sport exige le physique d'un sprinter et d'un gymnaste, ce qui en fait une épreuve d'athlétisme pur.</v>
      </c>
    </row>
    <row r="116" ht="22.5" customHeight="1">
      <c r="A116" s="4">
        <v>115.0</v>
      </c>
      <c r="B116" s="5" t="s">
        <v>1862</v>
      </c>
      <c r="C116" s="5" t="s">
        <v>1863</v>
      </c>
      <c r="D116" s="5" t="s">
        <v>1864</v>
      </c>
      <c r="E116" s="5" t="s">
        <v>1865</v>
      </c>
      <c r="G116" s="5" t="str">
        <f>IFERROR(__xludf.DUMMYFUNCTION("GOOGLETRANSLATE(A116, ""en"", ""fr"")"),"115")</f>
        <v>115</v>
      </c>
      <c r="H116" s="5" t="str">
        <f>IFERROR(__xludf.DUMMYFUNCTION("GOOGLETRANSLATE(B116, ""en"", ""fr"")"),"On dit qu'un taureau a « vu » un razeteur. Qu'est-ce que cela signifie ?")</f>
        <v>On dit qu'un taureau a « vu » un razeteur. Qu'est-ce que cela signifie ?</v>
      </c>
      <c r="I116" s="5" t="str">
        <f>IFERROR(__xludf.DUMMYFUNCTION("GOOGLETRANSLATE(C116, ""en"", ""fr"")"),"A) Le taureau a une bonne vue. B) Le taureau a repéré un taureau en particulier qui s'apprête à s'élancer et se concentre sur lui. C) Le taureau a peur. D) Le taureau est prêt à quitter l'arène.")</f>
        <v>A) Le taureau a une bonne vue. B) Le taureau a repéré un taureau en particulier qui s'apprête à s'élancer et se concentre sur lui. C) Le taureau a peur. D) Le taureau est prêt à quitter l'arène.</v>
      </c>
      <c r="J116" s="5" t="str">
        <f>IFERROR(__xludf.DUMMYFUNCTION("GOOGLETRANSLATE(D116, ""en"", ""fr"")"),"B) Le taureau a identifié et se concentre sur un razeteur spécifique qui se prépare à courir")</f>
        <v>B) Le taureau a identifié et se concentre sur un razeteur spécifique qui se prépare à courir</v>
      </c>
      <c r="K116" s="5" t="str">
        <f>IFERROR(__xludf.DUMMYFUNCTION("GOOGLETRANSLATE(E116, ""en"", ""fr"")"),"C’est un moment crucial où le taureau concentre toute son attention sur sa cible, préparant ainsi la charge pour le raset.")</f>
        <v>C’est un moment crucial où le taureau concentre toute son attention sur sa cible, préparant ainsi la charge pour le raset.</v>
      </c>
    </row>
    <row r="117" ht="22.5" customHeight="1">
      <c r="A117" s="4">
        <v>116.0</v>
      </c>
      <c r="B117" s="5" t="s">
        <v>1866</v>
      </c>
      <c r="C117" s="5" t="s">
        <v>1867</v>
      </c>
      <c r="D117" s="5" t="s">
        <v>1868</v>
      </c>
      <c r="E117" s="5" t="s">
        <v>1869</v>
      </c>
      <c r="G117" s="5" t="str">
        <f>IFERROR(__xludf.DUMMYFUNCTION("GOOGLETRANSLATE(A117, ""en"", ""fr"")"),"116")</f>
        <v>116</v>
      </c>
      <c r="H117" s="5" t="str">
        <f>IFERROR(__xludf.DUMMYFUNCTION("GOOGLETRANSLATE(B117, ""en"", ""fr"")"),"Quelle est la sanction infligée à un joueur de tournoi qui gêne illégalement le taureau ?")</f>
        <v>Quelle est la sanction infligée à un joueur de tournoi qui gêne illégalement le taureau ?</v>
      </c>
      <c r="I117" s="5" t="str">
        <f>IFERROR(__xludf.DUMMYFUNCTION("GOOGLETRANSLATE(C117, ""en"", ""fr"")"),"A) Aucune pénalité n'est infligée. B) Le tourteur est averti ou pénalisé, et tout point marqué est annulé. C) Le razeteur est pénalisé. D) Le taureau bénéficie d'un repos.")</f>
        <v>A) Aucune pénalité n'est infligée. B) Le tourteur est averti ou pénalisé, et tout point marqué est annulé. C) Le razeteur est pénalisé. D) Le taureau bénéficie d'un repos.</v>
      </c>
      <c r="J117" s="5" t="str">
        <f>IFERROR(__xludf.DUMMYFUNCTION("GOOGLETRANSLATE(D117, ""en"", ""fr"")"),"B) Le joueur participant au tournoi est averti ou pénalisé, et tout point marqué est annulé.")</f>
        <v>B) Le joueur participant au tournoi est averti ou pénalisé, et tout point marqué est annulé.</v>
      </c>
      <c r="K117" s="5" t="str">
        <f>IFERROR(__xludf.DUMMYFUNCTION("GOOGLETRANSLATE(E117, ""en"", ""fr"")"),"Les joueurs de tournoi peuvent seulement positionner le taureau, sans intervenir physiquement sur lui. Toute obstruction illégale constitue une faute d'équipe.")</f>
        <v>Les joueurs de tournoi peuvent seulement positionner le taureau, sans intervenir physiquement sur lui. Toute obstruction illégale constitue une faute d'équipe.</v>
      </c>
    </row>
    <row r="118" ht="22.5" customHeight="1">
      <c r="A118" s="4">
        <v>117.0</v>
      </c>
      <c r="B118" s="5" t="s">
        <v>1921</v>
      </c>
      <c r="C118" s="5" t="s">
        <v>1922</v>
      </c>
      <c r="D118" s="5" t="s">
        <v>236</v>
      </c>
      <c r="E118" s="5" t="s">
        <v>1923</v>
      </c>
      <c r="G118" s="5" t="str">
        <f>IFERROR(__xludf.DUMMYFUNCTION("GOOGLETRANSLATE(A118, ""en"", ""fr"")"),"117")</f>
        <v>117</v>
      </c>
      <c r="H118" s="5" t="str">
        <f>IFERROR(__xludf.DUMMYFUNCTION("GOOGLETRANSLATE(B118, ""en"", ""fr"")"),"Un taureau est retiré de l'arène avant la fin de ses 15 minutes de compétition. Quelle en est la raison la plus probable ?")</f>
        <v>Un taureau est retiré de l'arène avant la fin de ses 15 minutes de compétition. Quelle en est la raison la plus probable ?</v>
      </c>
      <c r="I118" s="5" t="str">
        <f>IFERROR(__xludf.DUMMYFUNCTION("GOOGLETRANSLATE(C118, ""en"", ""fr"")"),"A) Il a perdu toutes ses capacités, B) Il présente des signes de blessure ou de fatigue excessive, C) Il n'est pas assez agressif, D) B et C")</f>
        <v>A) Il a perdu toutes ses capacités, B) Il présente des signes de blessure ou de fatigue excessive, C) Il n'est pas assez agressif, D) B et C</v>
      </c>
      <c r="J118" s="5" t="str">
        <f>IFERROR(__xludf.DUMMYFUNCTION("GOOGLETRANSLATE(D118, ""en"", ""fr"")"),"D) B et C")</f>
        <v>D) B et C</v>
      </c>
      <c r="K118" s="5" t="str">
        <f>IFERROR(__xludf.DUMMYFUNCTION("GOOGLETRANSLATE(E118, ""en"", ""fr"")"),"La vie d'un taureau peut être écourtée pour son propre bien-être s'il est blessé, ou s'il ne participe pas au combat et ne livre pas une compétition satisfaisante.")</f>
        <v>La vie d'un taureau peut être écourtée pour son propre bien-être s'il est blessé, ou s'il ne participe pas au combat et ne livre pas une compétition satisfaisante.</v>
      </c>
    </row>
    <row r="119" ht="22.5" customHeight="1">
      <c r="A119" s="4">
        <v>118.0</v>
      </c>
      <c r="B119" s="5" t="s">
        <v>2000</v>
      </c>
      <c r="C119" s="5" t="s">
        <v>1910</v>
      </c>
      <c r="D119" s="5" t="s">
        <v>1911</v>
      </c>
      <c r="E119" s="5" t="s">
        <v>1912</v>
      </c>
      <c r="G119" s="5" t="str">
        <f>IFERROR(__xludf.DUMMYFUNCTION("GOOGLETRANSLATE(A119, ""en"", ""fr"")"),"118")</f>
        <v>118</v>
      </c>
      <c r="H119" s="5" t="str">
        <f>IFERROR(__xludf.DUMMYFUNCTION("GOOGLETRANSLATE(B119, ""en"", ""fr"")"),"Un razeteur prend la cocarde, mais l'arbitre déclare que le raset était « boulevardié ». Que signifie cette faute ?")</f>
        <v>Un razeteur prend la cocarde, mais l'arbitre déclare que le raset était « boulevardié ». Que signifie cette faute ?</v>
      </c>
      <c r="I119" s="5" t="str">
        <f>IFERROR(__xludf.DUMMYFUNCTION("GOOGLETRANSLATE(C119,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119" s="5" t="str">
        <f>IFERROR(__xludf.DUMMYFUNCTION("GOOGLETRANSLATE(D119, ""en"", ""fr"")"),"A) La piste était trop droite et non pas une courbe appropriée.")</f>
        <v>A) La piste était trop droite et non pas une courbe appropriée.</v>
      </c>
      <c r="K119" s="5" t="str">
        <f>IFERROR(__xludf.DUMMYFUNCTION("GOOGLETRANSLATE(E119,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120" ht="22.5" customHeight="1">
      <c r="A120" s="4">
        <v>119.0</v>
      </c>
      <c r="B120" s="5" t="s">
        <v>2001</v>
      </c>
      <c r="C120" s="5" t="s">
        <v>1942</v>
      </c>
      <c r="D120" s="5" t="s">
        <v>1943</v>
      </c>
      <c r="E120" s="5" t="s">
        <v>1944</v>
      </c>
      <c r="G120" s="5" t="str">
        <f>IFERROR(__xludf.DUMMYFUNCTION("GOOGLETRANSLATE(A120, ""en"", ""fr"")"),"119")</f>
        <v>119</v>
      </c>
      <c r="H120" s="5" t="str">
        <f>IFERROR(__xludf.DUMMYFUNCTION("GOOGLETRANSLATE(B120, ""en"", ""fr"")"),"Quelle est la principale raison pour laquelle les pantalons blancs des razéteurs sont si moulants ?")</f>
        <v>Quelle est la principale raison pour laquelle les pantalons blancs des razéteurs sont si moulants ?</v>
      </c>
      <c r="I120" s="5" t="str">
        <f>IFERROR(__xludf.DUMMYFUNCTION("GOOGLETRANSLATE(C120, ""en"", ""fr"")"),"A) C'est une mode moderne, B) Pour éviter que la corne du taureau ne se prenne dans le tissu, C) Pour mettre en valeur les muscles du taureau, D) Pour améliorer l'aérodynamisme")</f>
        <v>A) C'est une mode moderne, B) Pour éviter que la corne du taureau ne se prenne dans le tissu, C) Pour mettre en valeur les muscles du taureau, D) Pour améliorer l'aérodynamisme</v>
      </c>
      <c r="J120" s="5" t="str">
        <f>IFERROR(__xludf.DUMMYFUNCTION("GOOGLETRANSLATE(D120, ""en"", ""fr"")"),"B) Pour éviter que la corne du taureau ne se prenne dans les tissus lâches")</f>
        <v>B) Pour éviter que la corne du taureau ne se prenne dans les tissus lâches</v>
      </c>
      <c r="K120" s="5" t="str">
        <f>IFERROR(__xludf.DUMMYFUNCTION("GOOGLETRANSLATE(E120, ""en"", ""fr"")"),"Il s'agit d'un élément de sécurité essentiel de l'uniforme, minimisant le risque qu'un klaxon se prenne dans les vêtements.")</f>
        <v>Il s'agit d'un élément de sécurité essentiel de l'uniforme, minimisant le risque qu'un klaxon se prenne dans les vêtements.</v>
      </c>
    </row>
    <row r="121" ht="22.5" customHeight="1">
      <c r="A121" s="4">
        <v>120.0</v>
      </c>
      <c r="B121" s="5" t="s">
        <v>1945</v>
      </c>
      <c r="C121" s="5" t="s">
        <v>1946</v>
      </c>
      <c r="D121" s="5" t="s">
        <v>1947</v>
      </c>
      <c r="E121" s="5" t="s">
        <v>1948</v>
      </c>
      <c r="G121" s="5" t="str">
        <f>IFERROR(__xludf.DUMMYFUNCTION("GOOGLETRANSLATE(A121, ""en"", ""fr"")"),"120")</f>
        <v>120</v>
      </c>
      <c r="H121" s="5" t="str">
        <f>IFERROR(__xludf.DUMMYFUNCTION("GOOGLETRANSLATE(B121, ""en"", ""fr"")"),"Un razeteur réussit à extraire la dernière corde (fielle) d'une corne de taureau. Que se passe-t-il ensuite ?")</f>
        <v>Un razeteur réussit à extraire la dernière corde (fielle) d'une corne de taureau. Que se passe-t-il ensuite ?</v>
      </c>
      <c r="I121" s="5" t="str">
        <f>IFERROR(__xludf.DUMMYFUNCTION("GOOGLETRANSLATE(C121, ""en"", ""fr"")"),"A) Le taureau est immédiatement remis dans l'arène, même si ses 15 minutes ne sont pas écoulées. B) De nouveaux attributs sont attribués au taureau. C) Le dresseur remporte la course. D) Le taureau bénéficie d'un repos.")</f>
        <v>A) Le taureau est immédiatement remis dans l'arène, même si ses 15 minutes ne sont pas écoulées. B) De nouveaux attributs sont attribués au taureau. C) Le dresseur remporte la course. D) Le taureau bénéficie d'un repos.</v>
      </c>
      <c r="J121" s="5" t="str">
        <f>IFERROR(__xludf.DUMMYFUNCTION("GOOGLETRANSLATE(D121, ""en"", ""fr"")"),"A) Le taureau est immédiatement remis dans l'arène, même si ses 15 minutes ne sont pas écoulées.")</f>
        <v>A) Le taureau est immédiatement remis dans l'arène, même si ses 15 minutes ne sont pas écoulées.</v>
      </c>
      <c r="K121" s="5" t="str">
        <f>IFERROR(__xludf.DUMMYFUNCTION("GOOGLETRANSLATE(E121, ""en"", ""fr"")"),"Le « travail » du taureau est terminé une fois que tous ses attributs ont été prélevés. On lui rend hommage en musique et on le ramène à son enclos.")</f>
        <v>Le « travail » du taureau est terminé une fois que tous ses attributs ont été prélevés. On lui rend hommage en musique et on le ramène à son enclos.</v>
      </c>
    </row>
    <row r="122" ht="22.5" customHeight="1">
      <c r="A122" s="4">
        <v>121.0</v>
      </c>
      <c r="B122" s="5" t="s">
        <v>1878</v>
      </c>
      <c r="C122" s="5" t="s">
        <v>1879</v>
      </c>
      <c r="D122" s="5" t="s">
        <v>1880</v>
      </c>
      <c r="E122" s="5" t="s">
        <v>1881</v>
      </c>
      <c r="G122" s="5" t="str">
        <f>IFERROR(__xludf.DUMMYFUNCTION("GOOGLETRANSLATE(A122, ""en"", ""fr"")"),"121")</f>
        <v>121</v>
      </c>
      <c r="H122" s="5" t="str">
        <f>IFERROR(__xludf.DUMMYFUNCTION("GOOGLETRANSLATE(B122, ""en"", ""fr"")"),"Un racleur est surpris à utiliser un crochet plus long que la longueur réglementaire. Quelle est la sanction ?")</f>
        <v>Un racleur est surpris à utiliser un crochet plus long que la longueur réglementaire. Quelle est la sanction ?</v>
      </c>
      <c r="I122" s="5" t="str">
        <f>IFERROR(__xludf.DUMMYFUNCTION("GOOGLETRANSLATE(C122, ""en"", ""fr"")"),"A) Un avertissement est donné, B) Le razeteur est disqualifié de la course, C) Le crochet est confisqué, D) Le razeteur peut continuer mais marque la moitié des points")</f>
        <v>A) Un avertissement est donné, B) Le razeteur est disqualifié de la course, C) Le crochet est confisqué, D) Le razeteur peut continuer mais marque la moitié des points</v>
      </c>
      <c r="J122" s="5" t="str">
        <f>IFERROR(__xludf.DUMMYFUNCTION("GOOGLETRANSLATE(D122, ""en"", ""fr"")"),"B) Le razeteur est disqualifié de la course")</f>
        <v>B) Le razeteur est disqualifié de la course</v>
      </c>
      <c r="K122" s="5" t="str">
        <f>IFERROR(__xludf.DUMMYFUNCTION("GOOGLETRANSLATE(E122, ""en"", ""fr"")"),"L'utilisation d'équipements non conformes à la réglementation, conférant un avantage indu, constitue une faute grave.")</f>
        <v>L'utilisation d'équipements non conformes à la réglementation, conférant un avantage indu, constitue une faute grave.</v>
      </c>
    </row>
    <row r="123" ht="22.5" customHeight="1">
      <c r="A123" s="4">
        <v>122.0</v>
      </c>
      <c r="B123" s="5" t="s">
        <v>1882</v>
      </c>
      <c r="C123" s="5" t="s">
        <v>1883</v>
      </c>
      <c r="D123" s="5" t="s">
        <v>2002</v>
      </c>
      <c r="E123" s="5" t="s">
        <v>1885</v>
      </c>
      <c r="G123" s="5" t="str">
        <f>IFERROR(__xludf.DUMMYFUNCTION("GOOGLETRANSLATE(A123, ""en"", ""fr"")"),"122")</f>
        <v>122</v>
      </c>
      <c r="H123" s="5" t="str">
        <f>IFERROR(__xludf.DUMMYFUNCTION("GOOGLETRANSLATE(B123, ""en"", ""fr"")"),"À quoi servent les lignes blanches peintes sur la piste de l'arène ?")</f>
        <v>À quoi servent les lignes blanches peintes sur la piste de l'arène ?</v>
      </c>
      <c r="I123" s="5" t="str">
        <f>IFERROR(__xludf.DUMMYFUNCTION("GOOGLETRANSLATE(C123, ""en"", ""fr"")"),"A) Elles servent à la décoration, B) Elles aident les dresseurs à évaluer la distance et la position par rapport au taureau, C) Elles délimitent le périmètre du taureau, D) Ce sont des lignes de service")</f>
        <v>A) Elles servent à la décoration, B) Elles aident les dresseurs à évaluer la distance et la position par rapport au taureau, C) Elles délimitent le périmètre du taureau, D) Ce sont des lignes de service</v>
      </c>
      <c r="J123" s="5" t="str">
        <f>IFERROR(__xludf.DUMMYFUNCTION("GOOGLETRANSLATE(D123, ""en"", ""fr"")"),"B) Ils aident le razeteur à évaluer leur distance et leur position par rapport au taureau.")</f>
        <v>B) Ils aident le razeteur à évaluer leur distance et leur position par rapport au taureau.</v>
      </c>
      <c r="K123" s="5" t="str">
        <f>IFERROR(__xludf.DUMMYFUNCTION("GOOGLETRANSLATE(E123, ""en"", ""fr"")"),"Ces lignes servent de repère visuel aux razeteurs pour les aider à synchroniser leur course et leur saut vers la barrière.")</f>
        <v>Ces lignes servent de repère visuel aux razeteurs pour les aider à synchroniser leur course et leur saut vers la barrière.</v>
      </c>
    </row>
    <row r="124" ht="22.5" customHeight="1">
      <c r="A124" s="4">
        <v>123.0</v>
      </c>
      <c r="B124" s="5" t="s">
        <v>1886</v>
      </c>
      <c r="C124" s="5" t="s">
        <v>1887</v>
      </c>
      <c r="D124" s="5" t="s">
        <v>1888</v>
      </c>
      <c r="E124" s="5" t="s">
        <v>1889</v>
      </c>
      <c r="G124" s="5" t="str">
        <f>IFERROR(__xludf.DUMMYFUNCTION("GOOGLETRANSLATE(A124, ""en"", ""fr"")"),"123")</f>
        <v>123</v>
      </c>
      <c r="H124" s="5" t="str">
        <f>IFERROR(__xludf.DUMMYFUNCTION("GOOGLETRANSLATE(B124, ""en"", ""fr"")"),"Un taureau a la réputation d'être un « sauteur ». Qu'est-ce que cela signifie ?")</f>
        <v>Un taureau a la réputation d'être un « sauteur ». Qu'est-ce que cela signifie ?</v>
      </c>
      <c r="I124" s="5" t="str">
        <f>IFERROR(__xludf.DUMMYFUNCTION("GOOGLETRANSLATE(C124, ""en"", ""fr"")"),"A) Il est très énergique, B) Il a l'habitude de sauter la barrière à la poursuite des razeteurs, C) Il saute par-dessus les razeteurs, D) C'est un jeune taureau")</f>
        <v>A) Il est très énergique, B) Il a l'habitude de sauter la barrière à la poursuite des razeteurs, C) Il saute par-dessus les razeteurs, D) C'est un jeune taureau</v>
      </c>
      <c r="J124" s="5" t="str">
        <f>IFERROR(__xludf.DUMMYFUNCTION("GOOGLETRANSLATE(D124, ""en"", ""fr"")"),"B) Elle a la fâcheuse habitude de franchir la barrière à la poursuite des razeteurs")</f>
        <v>B) Elle a la fâcheuse habitude de franchir la barrière à la poursuite des razeteurs</v>
      </c>
      <c r="K124" s="5" t="str">
        <f>IFERROR(__xludf.DUMMYFUNCTION("GOOGLETRANSLATE(E124, ""en"", ""fr"")"),"C'est une caractéristique qui rend le taureau à la fois dangereux et extrêmement spectaculaire, et qui le rend très populaire auprès du public.")</f>
        <v>C'est une caractéristique qui rend le taureau à la fois dangereux et extrêmement spectaculaire, et qui le rend très populaire auprès du public.</v>
      </c>
    </row>
    <row r="125" ht="22.5" customHeight="1">
      <c r="A125" s="4">
        <v>124.0</v>
      </c>
      <c r="B125" s="5" t="s">
        <v>1890</v>
      </c>
      <c r="C125" s="5" t="s">
        <v>1891</v>
      </c>
      <c r="D125" s="5" t="s">
        <v>1892</v>
      </c>
      <c r="E125" s="5" t="s">
        <v>1893</v>
      </c>
      <c r="G125" s="5" t="str">
        <f>IFERROR(__xludf.DUMMYFUNCTION("GOOGLETRANSLATE(A125, ""en"", ""fr"")"),"124")</f>
        <v>124</v>
      </c>
      <c r="H125" s="5" t="str">
        <f>IFERROR(__xludf.DUMMYFUNCTION("GOOGLETRANSLATE(B125, ""en"", ""fr"")"),"Quelle est la décision rendue si un arracheur saisit la corne du taureau de sa main libre ?")</f>
        <v>Quelle est la décision rendue si un arracheur saisit la corne du taureau de sa main libre ?</v>
      </c>
      <c r="I125" s="5" t="str">
        <f>IFERROR(__xludf.DUMMYFUNCTION("GOOGLETRANSLATE(C125, ""en"", ""fr"")"),"A) C'est une manœuvre légale pour rétablir l'équilibre, B) C'est une faute grave et le razeteur est pénalisé, C) C'est autorisé si le taureau est agressif, D) Le point est rejoué")</f>
        <v>A) C'est une manœuvre légale pour rétablir l'équilibre, B) C'est une faute grave et le razeteur est pénalisé, C) C'est autorisé si le taureau est agressif, D) Le point est rejoué</v>
      </c>
      <c r="J125" s="5" t="str">
        <f>IFERROR(__xludf.DUMMYFUNCTION("GOOGLETRANSLATE(D125, ""en"", ""fr"")"),"B) C'est une faute grave, et le razéteur est sanctionné.")</f>
        <v>B) C'est une faute grave, et le razéteur est sanctionné.</v>
      </c>
      <c r="K125" s="5" t="str">
        <f>IFERROR(__xludf.DUMMYFUNCTION("GOOGLETRANSLATE(E125, ""en"", ""fr"")"),"Il est strictement interdit à un razeteur de toucher le taureau avec quelque partie que ce soit de son corps ou avec sa main libre.")</f>
        <v>Il est strictement interdit à un razeteur de toucher le taureau avec quelque partie que ce soit de son corps ou avec sa main libre.</v>
      </c>
    </row>
    <row r="126" ht="22.5" customHeight="1">
      <c r="A126" s="4">
        <v>125.0</v>
      </c>
      <c r="B126" s="5" t="s">
        <v>1894</v>
      </c>
      <c r="C126" s="5" t="s">
        <v>1895</v>
      </c>
      <c r="D126" s="5" t="s">
        <v>1896</v>
      </c>
      <c r="E126" s="5" t="s">
        <v>1897</v>
      </c>
      <c r="G126" s="5" t="str">
        <f>IFERROR(__xludf.DUMMYFUNCTION("GOOGLETRANSLATE(A126, ""en"", ""fr"")"),"125")</f>
        <v>125</v>
      </c>
      <c r="H126" s="5" t="str">
        <f>IFERROR(__xludf.DUMMYFUNCTION("GOOGLETRANSLATE(B126, ""en"", ""fr"")"),"Quel est le rôle principal du « délégué de la FFCC » (Federation Delegate) lors d'une course ?")</f>
        <v>Quel est le rôle principal du « délégué de la FFCC » (Federation Delegate) lors d'une course ?</v>
      </c>
      <c r="I126" s="5" t="str">
        <f>IFERROR(__xludf.DUMMYFUNCTION("GOOGLETRANSLATE(C126, ""en"", ""fr"")"),"A) Être l'arbitre principal, B) Être le représentant officiel de la fédération, veillant au respect des règles et procédures, C) Être le marqueur, D) Être l'organisateur de l'événement")</f>
        <v>A) Être l'arbitre principal, B) Être le représentant officiel de la fédération, veillant au respect des règles et procédures, C) Être le marqueur, D) Être l'organisateur de l'événement</v>
      </c>
      <c r="J126" s="5" t="str">
        <f>IFERROR(__xludf.DUMMYFUNCTION("GOOGLETRANSLATE(D126, ""en"", ""fr"")"),"B) Être le représentant officiel de la fédération, en veillant à ce que toutes les règles et procédures soient correctement respectées.")</f>
        <v>B) Être le représentant officiel de la fédération, en veillant à ce que toutes les règles et procédures soient correctement respectées.</v>
      </c>
      <c r="K126" s="5" t="str">
        <f>IFERROR(__xludf.DUMMYFUNCTION("GOOGLETRANSLATE(E126, ""en"", ""fr"")"),"Le délégué est la plus haute autorité de l'instance dirigeante, présente pour superviser l'ensemble de l'événement.")</f>
        <v>Le délégué est la plus haute autorité de l'instance dirigeante, présente pour superviser l'ensemble de l'événement.</v>
      </c>
    </row>
    <row r="127" ht="22.5" customHeight="1">
      <c r="A127" s="4">
        <v>126.0</v>
      </c>
      <c r="B127" s="5" t="s">
        <v>1898</v>
      </c>
      <c r="C127" s="5" t="s">
        <v>1899</v>
      </c>
      <c r="D127" s="5" t="s">
        <v>1900</v>
      </c>
      <c r="E127" s="5" t="s">
        <v>1901</v>
      </c>
      <c r="G127" s="5" t="str">
        <f>IFERROR(__xludf.DUMMYFUNCTION("GOOGLETRANSLATE(A127, ""en"", ""fr"")"),"126")</f>
        <v>126</v>
      </c>
      <c r="H127" s="5" t="str">
        <f>IFERROR(__xludf.DUMMYFUNCTION("GOOGLETRANSLATE(B127, ""en"", ""fr"")"),"Un taureau est appelé « cocardier difficile ». Qu'est-ce que cela signifie ?")</f>
        <v>Un taureau est appelé « cocardier difficile ». Qu'est-ce que cela signifie ?</v>
      </c>
      <c r="I127" s="5" t="str">
        <f>IFERROR(__xludf.DUMMYFUNCTION("GOOGLETRANSLATE(C127, ""en"", ""fr"")"),"A) Le taureau est très agressif. B) Le taureau est très intelligent et difficile à tromper, ce qui rend difficile la mémorisation de ses caractéristiques. C) Le taureau est vieux. D) Le taureau refuse de charger.")</f>
        <v>A) Le taureau est très agressif. B) Le taureau est très intelligent et difficile à tromper, ce qui rend difficile la mémorisation de ses caractéristiques. C) Le taureau est vieux. D) Le taureau refuse de charger.</v>
      </c>
      <c r="J127" s="5" t="str">
        <f>IFERROR(__xludf.DUMMYFUNCTION("GOOGLETRANSLATE(D127, ""en"", ""fr"")"),"B) Le taureau est très intelligent et difficile à tromper, ce qui rend difficile la prise de ses attributs")</f>
        <v>B) Le taureau est très intelligent et difficile à tromper, ce qui rend difficile la prise de ses attributs</v>
      </c>
      <c r="K127" s="5" t="str">
        <f>IFERROR(__xludf.DUMMYFUNCTION("GOOGLETRANSLATE(E127, ""en"", ""fr"")"),"Un taureau « difficile » est un taureau intelligent qui défend bien ses atouts, offrant un défi plus grand et un spectacle plus impressionnant.")</f>
        <v>Un taureau « difficile » est un taureau intelligent qui défend bien ses atouts, offrant un défi plus grand et un spectacle plus impressionnant.</v>
      </c>
    </row>
    <row r="128" ht="22.5" customHeight="1">
      <c r="A128" s="4">
        <v>127.0</v>
      </c>
      <c r="B128" s="5" t="s">
        <v>1902</v>
      </c>
      <c r="C128" s="5" t="s">
        <v>1903</v>
      </c>
      <c r="D128" s="5" t="s">
        <v>433</v>
      </c>
      <c r="E128" s="5" t="s">
        <v>1904</v>
      </c>
      <c r="G128" s="5" t="str">
        <f>IFERROR(__xludf.DUMMYFUNCTION("GOOGLETRANSLATE(A128, ""en"", ""fr"")"),"127")</f>
        <v>127</v>
      </c>
      <c r="H128" s="5" t="str">
        <f>IFERROR(__xludf.DUMMYFUNCTION("GOOGLETRANSLATE(B128, ""en"", ""fr"")"),"Quel est le rôle de la barrière en bois peinte en rouge (barricade) ?")</f>
        <v>Quel est le rôle de la barrière en bois peinte en rouge (barricade) ?</v>
      </c>
      <c r="I128" s="5" t="str">
        <f>IFERROR(__xludf.DUMMYFUNCTION("GOOGLETRANSLATE(C128, ""en"", ""fr"")"),"A) Pour maintenir le taureau dans l'arène, B) Pour servir de refuge aux organisateurs, C) Pour séparer les organisateurs de la foule, D) Toutes les réponses ci-dessus")</f>
        <v>A) Pour maintenir le taureau dans l'arène, B) Pour servir de refuge aux organisateurs, C) Pour séparer les organisateurs de la foule, D) Toutes les réponses ci-dessus</v>
      </c>
      <c r="J128" s="5" t="str">
        <f>IFERROR(__xludf.DUMMYFUNCTION("GOOGLETRANSLATE(D128, ""en"", ""fr"")"),"D) Toutes les réponses ci-dessus")</f>
        <v>D) Toutes les réponses ci-dessus</v>
      </c>
      <c r="K128" s="5" t="str">
        <f>IFERROR(__xludf.DUMMYFUNCTION("GOOGLETRANSLATE(E128, ""en"", ""fr"")"),"La barrière remplit toutes ces fonctions : elle contient l'action, sert de voie d'évacuation pour les hommes et protège les spectateurs.")</f>
        <v>La barrière remplit toutes ces fonctions : elle contient l'action, sert de voie d'évacuation pour les hommes et protège les spectateurs.</v>
      </c>
    </row>
    <row r="129" ht="22.5" customHeight="1">
      <c r="A129" s="4">
        <v>128.0</v>
      </c>
      <c r="B129" s="5" t="s">
        <v>1905</v>
      </c>
      <c r="C129" s="5" t="s">
        <v>1906</v>
      </c>
      <c r="D129" s="5" t="s">
        <v>1907</v>
      </c>
      <c r="E129" s="5" t="s">
        <v>1908</v>
      </c>
      <c r="G129" s="5" t="str">
        <f>IFERROR(__xludf.DUMMYFUNCTION("GOOGLETRANSLATE(A129, ""en"", ""fr"")"),"128")</f>
        <v>128</v>
      </c>
      <c r="H129" s="5" t="str">
        <f>IFERROR(__xludf.DUMMYFUNCTION("GOOGLETRANSLATE(B129, ""en"", ""fr"")"),"Quel est le nombre maximal de razeteurs pouvant se trouver simultanément dans le « passage des razeteurs » (l'espace entre les deux barrières) ?")</f>
        <v>Quel est le nombre maximal de razeteurs pouvant se trouver simultanément dans le « passage des razeteurs » (l'espace entre les deux barrières) ?</v>
      </c>
      <c r="I129" s="5" t="str">
        <f>IFERROR(__xludf.DUMMYFUNCTION("GOOGLETRANSLATE(C129, ""en"", ""fr"")"),"A) Un, B) Deux, C) Il n'y a pas de limite, D) Ce n'est pas autorisé")</f>
        <v>A) Un, B) Deux, C) Il n'y a pas de limite, D) Ce n'est pas autorisé</v>
      </c>
      <c r="J129" s="5" t="str">
        <f>IFERROR(__xludf.DUMMYFUNCTION("GOOGLETRANSLATE(D129, ""en"", ""fr"")"),"A) Un")</f>
        <v>A) Un</v>
      </c>
      <c r="K129" s="5" t="str">
        <f>IFERROR(__xludf.DUMMYFUNCTION("GOOGLETRANSLATE(E129, ""en"", ""fr"")"),"Pour des raisons de sécurité, un seul razeteur est autorisé à la fois dans ce couloir étroit.")</f>
        <v>Pour des raisons de sécurité, un seul razeteur est autorisé à la fois dans ce couloir étroit.</v>
      </c>
    </row>
    <row r="130" ht="22.5" customHeight="1">
      <c r="A130" s="4">
        <v>129.0</v>
      </c>
      <c r="B130" s="5" t="s">
        <v>2000</v>
      </c>
      <c r="C130" s="5" t="s">
        <v>1910</v>
      </c>
      <c r="D130" s="5" t="s">
        <v>1911</v>
      </c>
      <c r="E130" s="5" t="s">
        <v>1912</v>
      </c>
      <c r="G130" s="5" t="str">
        <f>IFERROR(__xludf.DUMMYFUNCTION("GOOGLETRANSLATE(A130, ""en"", ""fr"")"),"129")</f>
        <v>129</v>
      </c>
      <c r="H130" s="5" t="str">
        <f>IFERROR(__xludf.DUMMYFUNCTION("GOOGLETRANSLATE(B130, ""en"", ""fr"")"),"Un razeteur prend la cocarde, mais l'arbitre déclare que le raset était « boulevardié ». Que signifie cette faute ?")</f>
        <v>Un razeteur prend la cocarde, mais l'arbitre déclare que le raset était « boulevardié ». Que signifie cette faute ?</v>
      </c>
      <c r="I130" s="5" t="str">
        <f>IFERROR(__xludf.DUMMYFUNCTION("GOOGLETRANSLATE(C130,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130" s="5" t="str">
        <f>IFERROR(__xludf.DUMMYFUNCTION("GOOGLETRANSLATE(D130, ""en"", ""fr"")"),"A) La piste était trop droite et non pas une courbe appropriée.")</f>
        <v>A) La piste était trop droite et non pas une courbe appropriée.</v>
      </c>
      <c r="K130" s="5" t="str">
        <f>IFERROR(__xludf.DUMMYFUNCTION("GOOGLETRANSLATE(E130,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131" ht="22.5" customHeight="1">
      <c r="A131" s="4">
        <v>130.0</v>
      </c>
      <c r="B131" s="5" t="s">
        <v>1913</v>
      </c>
      <c r="C131" s="5" t="s">
        <v>1914</v>
      </c>
      <c r="D131" s="5" t="s">
        <v>1915</v>
      </c>
      <c r="E131" s="5" t="s">
        <v>1916</v>
      </c>
      <c r="G131" s="5" t="str">
        <f>IFERROR(__xludf.DUMMYFUNCTION("GOOGLETRANSLATE(A131, ""en"", ""fr"")"),"130")</f>
        <v>130</v>
      </c>
      <c r="H131" s="5" t="str">
        <f>IFERROR(__xludf.DUMMYFUNCTION("GOOGLETRANSLATE(B131, ""en"", ""fr"")"),"Le Course Camarguaise est avant tout un sport qui célèbre la relation entre quels trois éléments ?")</f>
        <v>Le Course Camarguaise est avant tout un sport qui célèbre la relation entre quels trois éléments ?</v>
      </c>
      <c r="I131" s="5" t="str">
        <f>IFERROR(__xludf.DUMMYFUNCTION("GOOGLETRANSLATE(C131, ""en"", ""fr"")"),"A) L'homme, le cheval et la mer, B) Le taureau, le cheval et le gardien, C) Le taureau, le razeteur et le paysage unique de la Camargue, D) Le razeteur, l'arbitre et la foule")</f>
        <v>A) L'homme, le cheval et la mer, B) Le taureau, le cheval et le gardien, C) Le taureau, le razeteur et le paysage unique de la Camargue, D) Le razeteur, l'arbitre et la foule</v>
      </c>
      <c r="J131" s="5" t="str">
        <f>IFERROR(__xludf.DUMMYFUNCTION("GOOGLETRANSLATE(D131, ""en"", ""fr"")"),"C) Le taureau, le razeteur et le paysage unique de la Camargue")</f>
        <v>C) Le taureau, le razeteur et le paysage unique de la Camargue</v>
      </c>
      <c r="K131" s="5" t="str">
        <f>IFERROR(__xludf.DUMMYFUNCTION("GOOGLETRANSLATE(E131, ""en"", ""fr"")"),"Ce sport est l'expression du lien culturel profond qui unit les hommes, les animaux et l'environnement spécifique de la Camargue.")</f>
        <v>Ce sport est l'expression du lien culturel profond qui unit les hommes, les animaux et l'environnement spécifique de la Camargue.</v>
      </c>
    </row>
    <row r="132" ht="22.5" customHeight="1">
      <c r="A132" s="4">
        <v>131.0</v>
      </c>
      <c r="B132" s="5" t="s">
        <v>1987</v>
      </c>
      <c r="C132" s="5" t="s">
        <v>1988</v>
      </c>
      <c r="D132" s="5" t="s">
        <v>1989</v>
      </c>
      <c r="E132" s="5" t="s">
        <v>1990</v>
      </c>
      <c r="G132" s="5" t="str">
        <f>IFERROR(__xludf.DUMMYFUNCTION("GOOGLETRANSLATE(A132, ""en"", ""fr"")"),"131")</f>
        <v>131</v>
      </c>
      <c r="H132" s="5" t="str">
        <f>IFERROR(__xludf.DUMMYFUNCTION("GOOGLETRANSLATE(B132, ""en"", ""fr"")"),"Qu'est-ce que la « Coupe des manadiers » (Breeders' Cup) ?")</f>
        <v>Qu'est-ce que la « Coupe des manadiers » (Breeders' Cup) ?</v>
      </c>
      <c r="I132" s="5" t="str">
        <f>IFERROR(__xludf.DUMMYFUNCTION("GOOGLETRANSLATE(C132, ""en"", ""fr"")"),"A) Une course pour les éleveurs, B) Une compétition où les éleveurs eux-mêmes s'affrontent, C) Un tournoi prestigieux où les troupeaux s'affrontent, D) Une course de chevaux")</f>
        <v>A) Une course pour les éleveurs, B) Une compétition où les éleveurs eux-mêmes s'affrontent, C) Un tournoi prestigieux où les troupeaux s'affrontent, D) Une course de chevaux</v>
      </c>
      <c r="J132" s="5" t="str">
        <f>IFERROR(__xludf.DUMMYFUNCTION("GOOGLETRANSLATE(D132, ""en"", ""fr"")"),"C) Un tournoi prestigieux où les troupeaux (manades) s'affrontent.")</f>
        <v>C) Un tournoi prestigieux où les troupeaux (manades) s'affrontent.</v>
      </c>
      <c r="K132" s="5" t="str">
        <f>IFERROR(__xludf.DUMMYFUNCTION("GOOGLETRANSLATE(E132, ""en"", ""fr"")"),"Il s'agit d'une compétition spéciale où la fierté des différents élevages est en jeu, mettant en valeur la qualité de leurs taureaux.")</f>
        <v>Il s'agit d'une compétition spéciale où la fierté des différents élevages est en jeu, mettant en valeur la qualité de leurs taureaux.</v>
      </c>
    </row>
    <row r="133" ht="22.5" customHeight="1">
      <c r="A133" s="4">
        <v>132.0</v>
      </c>
      <c r="B133" s="5" t="s">
        <v>2003</v>
      </c>
      <c r="C133" s="5" t="s">
        <v>2004</v>
      </c>
      <c r="D133" s="5" t="s">
        <v>2005</v>
      </c>
      <c r="E133" s="5" t="s">
        <v>2006</v>
      </c>
      <c r="G133" s="5" t="str">
        <f>IFERROR(__xludf.DUMMYFUNCTION("GOOGLETRANSLATE(A133, ""en"", ""fr"")"),"132")</f>
        <v>132</v>
      </c>
      <c r="H133" s="5" t="str">
        <f>IFERROR(__xludf.DUMMYFUNCTION("GOOGLETRANSLATE(B133, ""en"", ""fr"")"),"Qu'est-ce qu'un ""raset de face"" ?")</f>
        <v>Qu'est-ce qu'un "raset de face" ?</v>
      </c>
      <c r="I133" s="5" t="str">
        <f>IFERROR(__xludf.DUMMYFUNCTION("GOOGLETRANSLATE(C133, ""en"", ""fr"")"),"A) Une faute, B) Un raset effectué de côté, C) Une approche frontale dangereuse du taureau, D) Le raset final du match")</f>
        <v>A) Une faute, B) Un raset effectué de côté, C) Une approche frontale dangereuse du taureau, D) Le raset final du match</v>
      </c>
      <c r="J133" s="5" t="str">
        <f>IFERROR(__xludf.DUMMYFUNCTION("GOOGLETRANSLATE(D133, ""en"", ""fr"")"),"C) Une approche dangereuse et frontale du taureau")</f>
        <v>C) Une approche dangereuse et frontale du taureau</v>
      </c>
      <c r="K133" s="5" t="str">
        <f>IFERROR(__xludf.DUMMYFUNCTION("GOOGLETRANSLATE(E133, ""en"", ""fr"")"),"Il s'agit d'une manœuvre particulièrement courageuse mais risquée où le razeteur fonce droit sur le taureau de face.")</f>
        <v>Il s'agit d'une manœuvre particulièrement courageuse mais risquée où le razeteur fonce droit sur le taureau de face.</v>
      </c>
    </row>
    <row r="134" ht="22.5" customHeight="1">
      <c r="A134" s="4">
        <v>133.0</v>
      </c>
      <c r="B134" s="5" t="s">
        <v>1996</v>
      </c>
      <c r="C134" s="5" t="s">
        <v>1997</v>
      </c>
      <c r="D134" s="5" t="s">
        <v>1998</v>
      </c>
      <c r="E134" s="5" t="s">
        <v>1999</v>
      </c>
      <c r="G134" s="5" t="str">
        <f>IFERROR(__xludf.DUMMYFUNCTION("GOOGLETRANSLATE(A134, ""en"", ""fr"")"),"133")</f>
        <v>133</v>
      </c>
      <c r="H134" s="5" t="str">
        <f>IFERROR(__xludf.DUMMYFUNCTION("GOOGLETRANSLATE(B134, ""en"", ""fr"")"),"On loue le taureau pour sa « générosité ». Qu'est-ce que cela signifie ?")</f>
        <v>On loue le taureau pour sa « générosité ». Qu'est-ce que cela signifie ?</v>
      </c>
      <c r="I134" s="5" t="str">
        <f>IFERROR(__xludf.DUMMYFUNCTION("GOOGLETRANSLATE(C134, ""en"", ""fr"")"),"A) C'est un très gros taureau, B) Il charge facilement et participe activement au jeu, C) Il n'attaque pas les razeteurs, D) Il abandonne facilement ses attributs")</f>
        <v>A) C'est un très gros taureau, B) Il charge facilement et participe activement au jeu, C) Il n'attaque pas les razeteurs, D) Il abandonne facilement ses attributs</v>
      </c>
      <c r="J134" s="5" t="str">
        <f>IFERROR(__xludf.DUMMYFUNCTION("GOOGLETRANSLATE(D134, ""en"", ""fr"")"),"B) Il se recharge facilement et participe activement au jeu")</f>
        <v>B) Il se recharge facilement et participe activement au jeu</v>
      </c>
      <c r="K134" s="5" t="str">
        <f>IFERROR(__xludf.DUMMYFUNCTION("GOOGLETRANSLATE(E134, ""en"", ""fr"")"),"Un taureau « généreux » est celui qui offre un grand spectacle en s'engageant honnêtement et courageusement avec les arpenteurs.")</f>
        <v>Un taureau « généreux » est celui qui offre un grand spectacle en s'engageant honnêtement et courageusement avec les arpenteurs.</v>
      </c>
    </row>
    <row r="135" ht="22.5" customHeight="1">
      <c r="A135" s="4">
        <v>134.0</v>
      </c>
      <c r="B135" s="5" t="s">
        <v>1862</v>
      </c>
      <c r="C135" s="5" t="s">
        <v>1863</v>
      </c>
      <c r="D135" s="5" t="s">
        <v>1864</v>
      </c>
      <c r="E135" s="5" t="s">
        <v>1865</v>
      </c>
      <c r="G135" s="5" t="str">
        <f>IFERROR(__xludf.DUMMYFUNCTION("GOOGLETRANSLATE(A135, ""en"", ""fr"")"),"134")</f>
        <v>134</v>
      </c>
      <c r="H135" s="5" t="str">
        <f>IFERROR(__xludf.DUMMYFUNCTION("GOOGLETRANSLATE(B135, ""en"", ""fr"")"),"On dit qu'un taureau a « vu » un razeteur. Qu'est-ce que cela signifie ?")</f>
        <v>On dit qu'un taureau a « vu » un razeteur. Qu'est-ce que cela signifie ?</v>
      </c>
      <c r="I135" s="5" t="str">
        <f>IFERROR(__xludf.DUMMYFUNCTION("GOOGLETRANSLATE(C135, ""en"", ""fr"")"),"A) Le taureau a une bonne vue. B) Le taureau a repéré un taureau en particulier qui s'apprête à s'élancer et se concentre sur lui. C) Le taureau a peur. D) Le taureau est prêt à quitter l'arène.")</f>
        <v>A) Le taureau a une bonne vue. B) Le taureau a repéré un taureau en particulier qui s'apprête à s'élancer et se concentre sur lui. C) Le taureau a peur. D) Le taureau est prêt à quitter l'arène.</v>
      </c>
      <c r="J135" s="5" t="str">
        <f>IFERROR(__xludf.DUMMYFUNCTION("GOOGLETRANSLATE(D135, ""en"", ""fr"")"),"B) Le taureau a identifié et se concentre sur un razeteur spécifique qui se prépare à courir")</f>
        <v>B) Le taureau a identifié et se concentre sur un razeteur spécifique qui se prépare à courir</v>
      </c>
      <c r="K135" s="5" t="str">
        <f>IFERROR(__xludf.DUMMYFUNCTION("GOOGLETRANSLATE(E135, ""en"", ""fr"")"),"C’est un moment crucial où le taureau concentre toute son attention sur sa cible, préparant ainsi la charge pour le raset.")</f>
        <v>C’est un moment crucial où le taureau concentre toute son attention sur sa cible, préparant ainsi la charge pour le raset.</v>
      </c>
    </row>
    <row r="136" ht="22.5" customHeight="1">
      <c r="A136" s="4">
        <v>135.0</v>
      </c>
      <c r="B136" s="5" t="s">
        <v>1866</v>
      </c>
      <c r="C136" s="5" t="s">
        <v>1867</v>
      </c>
      <c r="D136" s="5" t="s">
        <v>1868</v>
      </c>
      <c r="E136" s="5" t="s">
        <v>1869</v>
      </c>
      <c r="G136" s="5" t="str">
        <f>IFERROR(__xludf.DUMMYFUNCTION("GOOGLETRANSLATE(A136, ""en"", ""fr"")"),"135")</f>
        <v>135</v>
      </c>
      <c r="H136" s="5" t="str">
        <f>IFERROR(__xludf.DUMMYFUNCTION("GOOGLETRANSLATE(B136, ""en"", ""fr"")"),"Quelle est la sanction infligée à un joueur de tournoi qui gêne illégalement le taureau ?")</f>
        <v>Quelle est la sanction infligée à un joueur de tournoi qui gêne illégalement le taureau ?</v>
      </c>
      <c r="I136" s="5" t="str">
        <f>IFERROR(__xludf.DUMMYFUNCTION("GOOGLETRANSLATE(C136, ""en"", ""fr"")"),"A) Aucune pénalité n'est infligée. B) Le tourteur est averti ou pénalisé, et tout point marqué est annulé. C) Le razeteur est pénalisé. D) Le taureau bénéficie d'un repos.")</f>
        <v>A) Aucune pénalité n'est infligée. B) Le tourteur est averti ou pénalisé, et tout point marqué est annulé. C) Le razeteur est pénalisé. D) Le taureau bénéficie d'un repos.</v>
      </c>
      <c r="J136" s="5" t="str">
        <f>IFERROR(__xludf.DUMMYFUNCTION("GOOGLETRANSLATE(D136, ""en"", ""fr"")"),"B) Le joueur participant au tournoi est averti ou pénalisé, et tout point marqué est annulé.")</f>
        <v>B) Le joueur participant au tournoi est averti ou pénalisé, et tout point marqué est annulé.</v>
      </c>
      <c r="K136" s="5" t="str">
        <f>IFERROR(__xludf.DUMMYFUNCTION("GOOGLETRANSLATE(E136, ""en"", ""fr"")"),"Les joueurs de tournoi peuvent seulement positionner le taureau, sans intervenir physiquement sur lui. Toute obstruction illégale constitue une faute d'équipe.")</f>
        <v>Les joueurs de tournoi peuvent seulement positionner le taureau, sans intervenir physiquement sur lui. Toute obstruction illégale constitue une faute d'équipe.</v>
      </c>
    </row>
    <row r="137" ht="22.5" customHeight="1">
      <c r="A137" s="4">
        <v>136.0</v>
      </c>
      <c r="B137" s="5" t="s">
        <v>1921</v>
      </c>
      <c r="C137" s="5" t="s">
        <v>1922</v>
      </c>
      <c r="D137" s="5" t="s">
        <v>236</v>
      </c>
      <c r="E137" s="5" t="s">
        <v>1923</v>
      </c>
      <c r="G137" s="5" t="str">
        <f>IFERROR(__xludf.DUMMYFUNCTION("GOOGLETRANSLATE(A137, ""en"", ""fr"")"),"136")</f>
        <v>136</v>
      </c>
      <c r="H137" s="5" t="str">
        <f>IFERROR(__xludf.DUMMYFUNCTION("GOOGLETRANSLATE(B137, ""en"", ""fr"")"),"Un taureau est retiré de l'arène avant la fin de ses 15 minutes de compétition. Quelle en est la raison la plus probable ?")</f>
        <v>Un taureau est retiré de l'arène avant la fin de ses 15 minutes de compétition. Quelle en est la raison la plus probable ?</v>
      </c>
      <c r="I137" s="5" t="str">
        <f>IFERROR(__xludf.DUMMYFUNCTION("GOOGLETRANSLATE(C137, ""en"", ""fr"")"),"A) Il a perdu toutes ses capacités, B) Il présente des signes de blessure ou de fatigue excessive, C) Il n'est pas assez agressif, D) B et C")</f>
        <v>A) Il a perdu toutes ses capacités, B) Il présente des signes de blessure ou de fatigue excessive, C) Il n'est pas assez agressif, D) B et C</v>
      </c>
      <c r="J137" s="5" t="str">
        <f>IFERROR(__xludf.DUMMYFUNCTION("GOOGLETRANSLATE(D137, ""en"", ""fr"")"),"D) B et C")</f>
        <v>D) B et C</v>
      </c>
      <c r="K137" s="5" t="str">
        <f>IFERROR(__xludf.DUMMYFUNCTION("GOOGLETRANSLATE(E137, ""en"", ""fr"")"),"La vie d'un taureau peut être écourtée pour son propre bien-être s'il est blessé, ou s'il ne participe pas au combat et ne livre pas une compétition satisfaisante.")</f>
        <v>La vie d'un taureau peut être écourtée pour son propre bien-être s'il est blessé, ou s'il ne participe pas au combat et ne livre pas une compétition satisfaisante.</v>
      </c>
    </row>
    <row r="138" ht="22.5" customHeight="1">
      <c r="A138" s="4">
        <v>137.0</v>
      </c>
      <c r="B138" s="5" t="s">
        <v>2000</v>
      </c>
      <c r="C138" s="5" t="s">
        <v>1910</v>
      </c>
      <c r="D138" s="5" t="s">
        <v>1911</v>
      </c>
      <c r="E138" s="5" t="s">
        <v>1912</v>
      </c>
      <c r="G138" s="5" t="str">
        <f>IFERROR(__xludf.DUMMYFUNCTION("GOOGLETRANSLATE(A138, ""en"", ""fr"")"),"137")</f>
        <v>137</v>
      </c>
      <c r="H138" s="5" t="str">
        <f>IFERROR(__xludf.DUMMYFUNCTION("GOOGLETRANSLATE(B138, ""en"", ""fr"")"),"Un razeteur prend la cocarde, mais l'arbitre déclare que le raset était « boulevardié ». Que signifie cette faute ?")</f>
        <v>Un razeteur prend la cocarde, mais l'arbitre déclare que le raset était « boulevardié ». Que signifie cette faute ?</v>
      </c>
      <c r="I138" s="5" t="str">
        <f>IFERROR(__xludf.DUMMYFUNCTION("GOOGLETRANSLATE(C138,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138" s="5" t="str">
        <f>IFERROR(__xludf.DUMMYFUNCTION("GOOGLETRANSLATE(D138, ""en"", ""fr"")"),"A) La piste était trop droite et non pas une courbe appropriée.")</f>
        <v>A) La piste était trop droite et non pas une courbe appropriée.</v>
      </c>
      <c r="K138" s="5" t="str">
        <f>IFERROR(__xludf.DUMMYFUNCTION("GOOGLETRANSLATE(E138,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139" ht="22.5" customHeight="1">
      <c r="A139" s="4">
        <v>138.0</v>
      </c>
      <c r="B139" s="5" t="s">
        <v>2001</v>
      </c>
      <c r="C139" s="5" t="s">
        <v>1942</v>
      </c>
      <c r="D139" s="5" t="s">
        <v>1943</v>
      </c>
      <c r="E139" s="5" t="s">
        <v>1944</v>
      </c>
      <c r="G139" s="5" t="str">
        <f>IFERROR(__xludf.DUMMYFUNCTION("GOOGLETRANSLATE(A139, ""en"", ""fr"")"),"138")</f>
        <v>138</v>
      </c>
      <c r="H139" s="5" t="str">
        <f>IFERROR(__xludf.DUMMYFUNCTION("GOOGLETRANSLATE(B139, ""en"", ""fr"")"),"Quelle est la principale raison pour laquelle les pantalons blancs des razéteurs sont si moulants ?")</f>
        <v>Quelle est la principale raison pour laquelle les pantalons blancs des razéteurs sont si moulants ?</v>
      </c>
      <c r="I139" s="5" t="str">
        <f>IFERROR(__xludf.DUMMYFUNCTION("GOOGLETRANSLATE(C139, ""en"", ""fr"")"),"A) C'est une mode moderne, B) Pour éviter que la corne du taureau ne se prenne dans le tissu, C) Pour mettre en valeur les muscles du taureau, D) Pour améliorer l'aérodynamisme")</f>
        <v>A) C'est une mode moderne, B) Pour éviter que la corne du taureau ne se prenne dans le tissu, C) Pour mettre en valeur les muscles du taureau, D) Pour améliorer l'aérodynamisme</v>
      </c>
      <c r="J139" s="5" t="str">
        <f>IFERROR(__xludf.DUMMYFUNCTION("GOOGLETRANSLATE(D139, ""en"", ""fr"")"),"B) Pour éviter que la corne du taureau ne se prenne dans les tissus lâches")</f>
        <v>B) Pour éviter que la corne du taureau ne se prenne dans les tissus lâches</v>
      </c>
      <c r="K139" s="5" t="str">
        <f>IFERROR(__xludf.DUMMYFUNCTION("GOOGLETRANSLATE(E139, ""en"", ""fr"")"),"Il s'agit d'un élément de sécurité essentiel de l'uniforme, minimisant le risque qu'un klaxon se prenne dans les vêtements.")</f>
        <v>Il s'agit d'un élément de sécurité essentiel de l'uniforme, minimisant le risque qu'un klaxon se prenne dans les vêtements.</v>
      </c>
    </row>
    <row r="140" ht="22.5" customHeight="1">
      <c r="A140" s="4">
        <v>139.0</v>
      </c>
      <c r="B140" s="5" t="s">
        <v>1945</v>
      </c>
      <c r="C140" s="5" t="s">
        <v>1946</v>
      </c>
      <c r="D140" s="5" t="s">
        <v>1947</v>
      </c>
      <c r="E140" s="5" t="s">
        <v>1948</v>
      </c>
      <c r="G140" s="5" t="str">
        <f>IFERROR(__xludf.DUMMYFUNCTION("GOOGLETRANSLATE(A140, ""en"", ""fr"")"),"139")</f>
        <v>139</v>
      </c>
      <c r="H140" s="5" t="str">
        <f>IFERROR(__xludf.DUMMYFUNCTION("GOOGLETRANSLATE(B140, ""en"", ""fr"")"),"Un razeteur réussit à extraire la dernière corde (fielle) d'une corne de taureau. Que se passe-t-il ensuite ?")</f>
        <v>Un razeteur réussit à extraire la dernière corde (fielle) d'une corne de taureau. Que se passe-t-il ensuite ?</v>
      </c>
      <c r="I140" s="5" t="str">
        <f>IFERROR(__xludf.DUMMYFUNCTION("GOOGLETRANSLATE(C140, ""en"", ""fr"")"),"A) Le taureau est immédiatement remis dans l'arène, même si ses 15 minutes ne sont pas écoulées. B) De nouveaux attributs sont attribués au taureau. C) Le dresseur remporte la course. D) Le taureau bénéficie d'un repos.")</f>
        <v>A) Le taureau est immédiatement remis dans l'arène, même si ses 15 minutes ne sont pas écoulées. B) De nouveaux attributs sont attribués au taureau. C) Le dresseur remporte la course. D) Le taureau bénéficie d'un repos.</v>
      </c>
      <c r="J140" s="5" t="str">
        <f>IFERROR(__xludf.DUMMYFUNCTION("GOOGLETRANSLATE(D140, ""en"", ""fr"")"),"A) Le taureau est immédiatement remis dans l'arène, même si ses 15 minutes ne sont pas écoulées.")</f>
        <v>A) Le taureau est immédiatement remis dans l'arène, même si ses 15 minutes ne sont pas écoulées.</v>
      </c>
      <c r="K140" s="5" t="str">
        <f>IFERROR(__xludf.DUMMYFUNCTION("GOOGLETRANSLATE(E140, ""en"", ""fr"")"),"Le « travail » du taureau est terminé une fois que tous ses attributs ont été prélevés. On lui rend hommage en musique et on le ramène à son enclos.")</f>
        <v>Le « travail » du taureau est terminé une fois que tous ses attributs ont été prélevés. On lui rend hommage en musique et on le ramène à son enclos.</v>
      </c>
    </row>
    <row r="141" ht="22.5" customHeight="1">
      <c r="A141" s="4">
        <v>140.0</v>
      </c>
      <c r="B141" s="5" t="s">
        <v>1878</v>
      </c>
      <c r="C141" s="5" t="s">
        <v>1879</v>
      </c>
      <c r="D141" s="5" t="s">
        <v>1880</v>
      </c>
      <c r="E141" s="5" t="s">
        <v>1881</v>
      </c>
      <c r="G141" s="5" t="str">
        <f>IFERROR(__xludf.DUMMYFUNCTION("GOOGLETRANSLATE(A141, ""en"", ""fr"")"),"140")</f>
        <v>140</v>
      </c>
      <c r="H141" s="5" t="str">
        <f>IFERROR(__xludf.DUMMYFUNCTION("GOOGLETRANSLATE(B141, ""en"", ""fr"")"),"Un racleur est surpris à utiliser un crochet plus long que la longueur réglementaire. Quelle est la sanction ?")</f>
        <v>Un racleur est surpris à utiliser un crochet plus long que la longueur réglementaire. Quelle est la sanction ?</v>
      </c>
      <c r="I141" s="5" t="str">
        <f>IFERROR(__xludf.DUMMYFUNCTION("GOOGLETRANSLATE(C141, ""en"", ""fr"")"),"A) Un avertissement est donné, B) Le razeteur est disqualifié de la course, C) Le crochet est confisqué, D) Le razeteur peut continuer mais marque la moitié des points")</f>
        <v>A) Un avertissement est donné, B) Le razeteur est disqualifié de la course, C) Le crochet est confisqué, D) Le razeteur peut continuer mais marque la moitié des points</v>
      </c>
      <c r="J141" s="5" t="str">
        <f>IFERROR(__xludf.DUMMYFUNCTION("GOOGLETRANSLATE(D141, ""en"", ""fr"")"),"B) Le razeteur est disqualifié de la course")</f>
        <v>B) Le razeteur est disqualifié de la course</v>
      </c>
      <c r="K141" s="5" t="str">
        <f>IFERROR(__xludf.DUMMYFUNCTION("GOOGLETRANSLATE(E141, ""en"", ""fr"")"),"L'utilisation d'équipements non conformes à la réglementation, conférant un avantage indu, constitue une faute grave.")</f>
        <v>L'utilisation d'équipements non conformes à la réglementation, conférant un avantage indu, constitue une faute grave.</v>
      </c>
    </row>
    <row r="142" ht="22.5" customHeight="1">
      <c r="A142" s="4">
        <v>141.0</v>
      </c>
      <c r="B142" s="5" t="s">
        <v>1882</v>
      </c>
      <c r="C142" s="5" t="s">
        <v>1883</v>
      </c>
      <c r="D142" s="5" t="s">
        <v>2002</v>
      </c>
      <c r="E142" s="5" t="s">
        <v>1885</v>
      </c>
      <c r="G142" s="5" t="str">
        <f>IFERROR(__xludf.DUMMYFUNCTION("GOOGLETRANSLATE(A142, ""en"", ""fr"")"),"141")</f>
        <v>141</v>
      </c>
      <c r="H142" s="5" t="str">
        <f>IFERROR(__xludf.DUMMYFUNCTION("GOOGLETRANSLATE(B142, ""en"", ""fr"")"),"À quoi servent les lignes blanches peintes sur la piste de l'arène ?")</f>
        <v>À quoi servent les lignes blanches peintes sur la piste de l'arène ?</v>
      </c>
      <c r="I142" s="5" t="str">
        <f>IFERROR(__xludf.DUMMYFUNCTION("GOOGLETRANSLATE(C142, ""en"", ""fr"")"),"A) Elles servent à la décoration, B) Elles aident les dresseurs à évaluer la distance et la position par rapport au taureau, C) Elles délimitent le périmètre du taureau, D) Ce sont des lignes de service")</f>
        <v>A) Elles servent à la décoration, B) Elles aident les dresseurs à évaluer la distance et la position par rapport au taureau, C) Elles délimitent le périmètre du taureau, D) Ce sont des lignes de service</v>
      </c>
      <c r="J142" s="5" t="str">
        <f>IFERROR(__xludf.DUMMYFUNCTION("GOOGLETRANSLATE(D142, ""en"", ""fr"")"),"B) Ils aident le razeteur à évaluer leur distance et leur position par rapport au taureau.")</f>
        <v>B) Ils aident le razeteur à évaluer leur distance et leur position par rapport au taureau.</v>
      </c>
      <c r="K142" s="5" t="str">
        <f>IFERROR(__xludf.DUMMYFUNCTION("GOOGLETRANSLATE(E142, ""en"", ""fr"")"),"Ces lignes servent de repère visuel aux razeteurs pour les aider à synchroniser leur course et leur saut vers la barrière.")</f>
        <v>Ces lignes servent de repère visuel aux razeteurs pour les aider à synchroniser leur course et leur saut vers la barrière.</v>
      </c>
    </row>
    <row r="143" ht="22.5" customHeight="1">
      <c r="A143" s="4">
        <v>142.0</v>
      </c>
      <c r="B143" s="5" t="s">
        <v>1886</v>
      </c>
      <c r="C143" s="5" t="s">
        <v>1887</v>
      </c>
      <c r="D143" s="5" t="s">
        <v>1888</v>
      </c>
      <c r="E143" s="5" t="s">
        <v>1889</v>
      </c>
      <c r="G143" s="5" t="str">
        <f>IFERROR(__xludf.DUMMYFUNCTION("GOOGLETRANSLATE(A143, ""en"", ""fr"")"),"142")</f>
        <v>142</v>
      </c>
      <c r="H143" s="5" t="str">
        <f>IFERROR(__xludf.DUMMYFUNCTION("GOOGLETRANSLATE(B143, ""en"", ""fr"")"),"Un taureau a la réputation d'être un « sauteur ». Qu'est-ce que cela signifie ?")</f>
        <v>Un taureau a la réputation d'être un « sauteur ». Qu'est-ce que cela signifie ?</v>
      </c>
      <c r="I143" s="5" t="str">
        <f>IFERROR(__xludf.DUMMYFUNCTION("GOOGLETRANSLATE(C143, ""en"", ""fr"")"),"A) Il est très énergique, B) Il a l'habitude de sauter la barrière à la poursuite des razeteurs, C) Il saute par-dessus les razeteurs, D) C'est un jeune taureau")</f>
        <v>A) Il est très énergique, B) Il a l'habitude de sauter la barrière à la poursuite des razeteurs, C) Il saute par-dessus les razeteurs, D) C'est un jeune taureau</v>
      </c>
      <c r="J143" s="5" t="str">
        <f>IFERROR(__xludf.DUMMYFUNCTION("GOOGLETRANSLATE(D143, ""en"", ""fr"")"),"B) Elle a la fâcheuse habitude de franchir la barrière à la poursuite des razeteurs")</f>
        <v>B) Elle a la fâcheuse habitude de franchir la barrière à la poursuite des razeteurs</v>
      </c>
      <c r="K143" s="5" t="str">
        <f>IFERROR(__xludf.DUMMYFUNCTION("GOOGLETRANSLATE(E143, ""en"", ""fr"")"),"C'est une caractéristique qui rend le taureau à la fois dangereux et extrêmement spectaculaire, et qui le rend très populaire auprès du public.")</f>
        <v>C'est une caractéristique qui rend le taureau à la fois dangereux et extrêmement spectaculaire, et qui le rend très populaire auprès du public.</v>
      </c>
    </row>
    <row r="144" ht="22.5" customHeight="1">
      <c r="A144" s="4">
        <v>143.0</v>
      </c>
      <c r="B144" s="5" t="s">
        <v>1890</v>
      </c>
      <c r="C144" s="5" t="s">
        <v>1891</v>
      </c>
      <c r="D144" s="5" t="s">
        <v>1892</v>
      </c>
      <c r="E144" s="5" t="s">
        <v>1893</v>
      </c>
      <c r="G144" s="5" t="str">
        <f>IFERROR(__xludf.DUMMYFUNCTION("GOOGLETRANSLATE(A144, ""en"", ""fr"")"),"143")</f>
        <v>143</v>
      </c>
      <c r="H144" s="5" t="str">
        <f>IFERROR(__xludf.DUMMYFUNCTION("GOOGLETRANSLATE(B144, ""en"", ""fr"")"),"Quelle est la décision rendue si un arracheur saisit la corne du taureau de sa main libre ?")</f>
        <v>Quelle est la décision rendue si un arracheur saisit la corne du taureau de sa main libre ?</v>
      </c>
      <c r="I144" s="5" t="str">
        <f>IFERROR(__xludf.DUMMYFUNCTION("GOOGLETRANSLATE(C144, ""en"", ""fr"")"),"A) C'est une manœuvre légale pour rétablir l'équilibre, B) C'est une faute grave et le razeteur est pénalisé, C) C'est autorisé si le taureau est agressif, D) Le point est rejoué")</f>
        <v>A) C'est une manœuvre légale pour rétablir l'équilibre, B) C'est une faute grave et le razeteur est pénalisé, C) C'est autorisé si le taureau est agressif, D) Le point est rejoué</v>
      </c>
      <c r="J144" s="5" t="str">
        <f>IFERROR(__xludf.DUMMYFUNCTION("GOOGLETRANSLATE(D144, ""en"", ""fr"")"),"B) C'est une faute grave, et le razéteur est sanctionné.")</f>
        <v>B) C'est une faute grave, et le razéteur est sanctionné.</v>
      </c>
      <c r="K144" s="5" t="str">
        <f>IFERROR(__xludf.DUMMYFUNCTION("GOOGLETRANSLATE(E144, ""en"", ""fr"")"),"Il est strictement interdit à un razeteur de toucher le taureau avec quelque partie que ce soit de son corps ou avec sa main libre.")</f>
        <v>Il est strictement interdit à un razeteur de toucher le taureau avec quelque partie que ce soit de son corps ou avec sa main libre.</v>
      </c>
    </row>
    <row r="145" ht="22.5" customHeight="1">
      <c r="A145" s="4">
        <v>144.0</v>
      </c>
      <c r="B145" s="5" t="s">
        <v>1894</v>
      </c>
      <c r="C145" s="5" t="s">
        <v>1895</v>
      </c>
      <c r="D145" s="5" t="s">
        <v>1896</v>
      </c>
      <c r="E145" s="5" t="s">
        <v>1897</v>
      </c>
      <c r="G145" s="5" t="str">
        <f>IFERROR(__xludf.DUMMYFUNCTION("GOOGLETRANSLATE(A145, ""en"", ""fr"")"),"144")</f>
        <v>144</v>
      </c>
      <c r="H145" s="5" t="str">
        <f>IFERROR(__xludf.DUMMYFUNCTION("GOOGLETRANSLATE(B145, ""en"", ""fr"")"),"Quel est le rôle principal du « délégué de la FFCC » (Federation Delegate) lors d'une course ?")</f>
        <v>Quel est le rôle principal du « délégué de la FFCC » (Federation Delegate) lors d'une course ?</v>
      </c>
      <c r="I145" s="5" t="str">
        <f>IFERROR(__xludf.DUMMYFUNCTION("GOOGLETRANSLATE(C145, ""en"", ""fr"")"),"A) Être l'arbitre principal, B) Être le représentant officiel de la fédération, veillant au respect des règles et procédures, C) Être le marqueur, D) Être l'organisateur de l'événement")</f>
        <v>A) Être l'arbitre principal, B) Être le représentant officiel de la fédération, veillant au respect des règles et procédures, C) Être le marqueur, D) Être l'organisateur de l'événement</v>
      </c>
      <c r="J145" s="5" t="str">
        <f>IFERROR(__xludf.DUMMYFUNCTION("GOOGLETRANSLATE(D145, ""en"", ""fr"")"),"B) Être le représentant officiel de la fédération, en veillant à ce que toutes les règles et procédures soient correctement respectées.")</f>
        <v>B) Être le représentant officiel de la fédération, en veillant à ce que toutes les règles et procédures soient correctement respectées.</v>
      </c>
      <c r="K145" s="5" t="str">
        <f>IFERROR(__xludf.DUMMYFUNCTION("GOOGLETRANSLATE(E145, ""en"", ""fr"")"),"Le délégué est la plus haute autorité de l'instance dirigeante, présente pour superviser l'ensemble de l'événement.")</f>
        <v>Le délégué est la plus haute autorité de l'instance dirigeante, présente pour superviser l'ensemble de l'événement.</v>
      </c>
    </row>
    <row r="146" ht="22.5" customHeight="1">
      <c r="A146" s="4">
        <v>145.0</v>
      </c>
      <c r="B146" s="5" t="s">
        <v>1898</v>
      </c>
      <c r="C146" s="5" t="s">
        <v>1899</v>
      </c>
      <c r="D146" s="5" t="s">
        <v>1900</v>
      </c>
      <c r="E146" s="5" t="s">
        <v>1901</v>
      </c>
      <c r="G146" s="5" t="str">
        <f>IFERROR(__xludf.DUMMYFUNCTION("GOOGLETRANSLATE(A146, ""en"", ""fr"")"),"145")</f>
        <v>145</v>
      </c>
      <c r="H146" s="5" t="str">
        <f>IFERROR(__xludf.DUMMYFUNCTION("GOOGLETRANSLATE(B146, ""en"", ""fr"")"),"Un taureau est appelé « cocardier difficile ». Qu'est-ce que cela signifie ?")</f>
        <v>Un taureau est appelé « cocardier difficile ». Qu'est-ce que cela signifie ?</v>
      </c>
      <c r="I146" s="5" t="str">
        <f>IFERROR(__xludf.DUMMYFUNCTION("GOOGLETRANSLATE(C146, ""en"", ""fr"")"),"A) Le taureau est très agressif. B) Le taureau est très intelligent et difficile à tromper, ce qui rend difficile la mémorisation de ses caractéristiques. C) Le taureau est vieux. D) Le taureau refuse de charger.")</f>
        <v>A) Le taureau est très agressif. B) Le taureau est très intelligent et difficile à tromper, ce qui rend difficile la mémorisation de ses caractéristiques. C) Le taureau est vieux. D) Le taureau refuse de charger.</v>
      </c>
      <c r="J146" s="5" t="str">
        <f>IFERROR(__xludf.DUMMYFUNCTION("GOOGLETRANSLATE(D146, ""en"", ""fr"")"),"B) Le taureau est très intelligent et difficile à tromper, ce qui rend difficile la prise de ses attributs")</f>
        <v>B) Le taureau est très intelligent et difficile à tromper, ce qui rend difficile la prise de ses attributs</v>
      </c>
      <c r="K146" s="5" t="str">
        <f>IFERROR(__xludf.DUMMYFUNCTION("GOOGLETRANSLATE(E146, ""en"", ""fr"")"),"Un taureau « difficile » est un taureau intelligent qui défend bien ses atouts, offrant un défi plus grand et un spectacle plus impressionnant.")</f>
        <v>Un taureau « difficile » est un taureau intelligent qui défend bien ses atouts, offrant un défi plus grand et un spectacle plus impressionnant.</v>
      </c>
    </row>
    <row r="147" ht="22.5" customHeight="1">
      <c r="A147" s="4">
        <v>146.0</v>
      </c>
      <c r="B147" s="5" t="s">
        <v>1902</v>
      </c>
      <c r="C147" s="5" t="s">
        <v>1903</v>
      </c>
      <c r="D147" s="5" t="s">
        <v>433</v>
      </c>
      <c r="E147" s="5" t="s">
        <v>1904</v>
      </c>
      <c r="G147" s="5" t="str">
        <f>IFERROR(__xludf.DUMMYFUNCTION("GOOGLETRANSLATE(A147, ""en"", ""fr"")"),"146")</f>
        <v>146</v>
      </c>
      <c r="H147" s="5" t="str">
        <f>IFERROR(__xludf.DUMMYFUNCTION("GOOGLETRANSLATE(B147, ""en"", ""fr"")"),"Quel est le rôle de la barrière en bois peinte en rouge (barricade) ?")</f>
        <v>Quel est le rôle de la barrière en bois peinte en rouge (barricade) ?</v>
      </c>
      <c r="I147" s="5" t="str">
        <f>IFERROR(__xludf.DUMMYFUNCTION("GOOGLETRANSLATE(C147, ""en"", ""fr"")"),"A) Pour maintenir le taureau dans l'arène, B) Pour servir de refuge aux organisateurs, C) Pour séparer les organisateurs de la foule, D) Toutes les réponses ci-dessus")</f>
        <v>A) Pour maintenir le taureau dans l'arène, B) Pour servir de refuge aux organisateurs, C) Pour séparer les organisateurs de la foule, D) Toutes les réponses ci-dessus</v>
      </c>
      <c r="J147" s="5" t="str">
        <f>IFERROR(__xludf.DUMMYFUNCTION("GOOGLETRANSLATE(D147, ""en"", ""fr"")"),"D) Toutes les réponses ci-dessus")</f>
        <v>D) Toutes les réponses ci-dessus</v>
      </c>
      <c r="K147" s="5" t="str">
        <f>IFERROR(__xludf.DUMMYFUNCTION("GOOGLETRANSLATE(E147, ""en"", ""fr"")"),"La barrière remplit toutes ces fonctions : elle contient l'action, sert de voie d'évacuation pour les hommes et protège les spectateurs.")</f>
        <v>La barrière remplit toutes ces fonctions : elle contient l'action, sert de voie d'évacuation pour les hommes et protège les spectateurs.</v>
      </c>
    </row>
    <row r="148" ht="22.5" customHeight="1">
      <c r="A148" s="4">
        <v>147.0</v>
      </c>
      <c r="B148" s="5" t="s">
        <v>1905</v>
      </c>
      <c r="C148" s="5" t="s">
        <v>1906</v>
      </c>
      <c r="D148" s="5" t="s">
        <v>1907</v>
      </c>
      <c r="E148" s="5" t="s">
        <v>1908</v>
      </c>
      <c r="G148" s="5" t="str">
        <f>IFERROR(__xludf.DUMMYFUNCTION("GOOGLETRANSLATE(A148, ""en"", ""fr"")"),"147")</f>
        <v>147</v>
      </c>
      <c r="H148" s="5" t="str">
        <f>IFERROR(__xludf.DUMMYFUNCTION("GOOGLETRANSLATE(B148, ""en"", ""fr"")"),"Quel est le nombre maximal de razeteurs pouvant se trouver simultanément dans le « passage des razeteurs » (l'espace entre les deux barrières) ?")</f>
        <v>Quel est le nombre maximal de razeteurs pouvant se trouver simultanément dans le « passage des razeteurs » (l'espace entre les deux barrières) ?</v>
      </c>
      <c r="I148" s="5" t="str">
        <f>IFERROR(__xludf.DUMMYFUNCTION("GOOGLETRANSLATE(C148, ""en"", ""fr"")"),"A) Un, B) Deux, C) Il n'y a pas de limite, D) Ce n'est pas autorisé")</f>
        <v>A) Un, B) Deux, C) Il n'y a pas de limite, D) Ce n'est pas autorisé</v>
      </c>
      <c r="J148" s="5" t="str">
        <f>IFERROR(__xludf.DUMMYFUNCTION("GOOGLETRANSLATE(D148, ""en"", ""fr"")"),"A) Un")</f>
        <v>A) Un</v>
      </c>
      <c r="K148" s="5" t="str">
        <f>IFERROR(__xludf.DUMMYFUNCTION("GOOGLETRANSLATE(E148, ""en"", ""fr"")"),"Pour des raisons de sécurité, un seul razeteur est autorisé à la fois dans ce couloir étroit.")</f>
        <v>Pour des raisons de sécurité, un seul razeteur est autorisé à la fois dans ce couloir étroit.</v>
      </c>
    </row>
    <row r="149" ht="22.5" customHeight="1">
      <c r="A149" s="4">
        <v>148.0</v>
      </c>
      <c r="B149" s="5" t="s">
        <v>2000</v>
      </c>
      <c r="C149" s="5" t="s">
        <v>1910</v>
      </c>
      <c r="D149" s="5" t="s">
        <v>1911</v>
      </c>
      <c r="E149" s="5" t="s">
        <v>1912</v>
      </c>
      <c r="G149" s="5" t="str">
        <f>IFERROR(__xludf.DUMMYFUNCTION("GOOGLETRANSLATE(A149, ""en"", ""fr"")"),"148")</f>
        <v>148</v>
      </c>
      <c r="H149" s="5" t="str">
        <f>IFERROR(__xludf.DUMMYFUNCTION("GOOGLETRANSLATE(B149, ""en"", ""fr"")"),"Un razeteur prend la cocarde, mais l'arbitre déclare que le raset était « boulevardié ». Que signifie cette faute ?")</f>
        <v>Un razeteur prend la cocarde, mais l'arbitre déclare que le raset était « boulevardié ». Que signifie cette faute ?</v>
      </c>
      <c r="I149" s="5" t="str">
        <f>IFERROR(__xludf.DUMMYFUNCTION("GOOGLETRANSLATE(C149, ""en"", ""fr"")"),"A) La course était trop droite et ne formait pas une courbe correcte. B) Le lanceur a couru hors de l'arène. C) La course était trop lente. D) La course était trop rapide.")</f>
        <v>A) La course était trop droite et ne formait pas une courbe correcte. B) Le lanceur a couru hors de l'arène. C) La course était trop lente. D) La course était trop rapide.</v>
      </c>
      <c r="J149" s="5" t="str">
        <f>IFERROR(__xludf.DUMMYFUNCTION("GOOGLETRANSLATE(D149, ""en"", ""fr"")"),"A) La piste était trop droite et non pas une courbe appropriée.")</f>
        <v>A) La piste était trop droite et non pas une courbe appropriée.</v>
      </c>
      <c r="K149" s="5" t="str">
        <f>IFERROR(__xludf.DUMMYFUNCTION("GOOGLETRANSLATE(E149, ""en"", ""fr"")"),"Un tracé légal doit comporter une courbe distincte. Un tracé en ligne droite constitue un raccourci illégal et les points marqués sont annulés.")</f>
        <v>Un tracé légal doit comporter une courbe distincte. Un tracé en ligne droite constitue un raccourci illégal et les points marqués sont annulés.</v>
      </c>
    </row>
    <row r="150" ht="22.5" customHeight="1">
      <c r="A150" s="4">
        <v>149.0</v>
      </c>
      <c r="B150" s="5" t="s">
        <v>1913</v>
      </c>
      <c r="C150" s="5" t="s">
        <v>1914</v>
      </c>
      <c r="D150" s="5" t="s">
        <v>1915</v>
      </c>
      <c r="E150" s="5" t="s">
        <v>1916</v>
      </c>
      <c r="G150" s="5" t="str">
        <f>IFERROR(__xludf.DUMMYFUNCTION("GOOGLETRANSLATE(A150, ""en"", ""fr"")"),"149")</f>
        <v>149</v>
      </c>
      <c r="H150" s="5" t="str">
        <f>IFERROR(__xludf.DUMMYFUNCTION("GOOGLETRANSLATE(B150, ""en"", ""fr"")"),"Le Course Camarguaise est avant tout un sport qui célèbre la relation entre quels trois éléments ?")</f>
        <v>Le Course Camarguaise est avant tout un sport qui célèbre la relation entre quels trois éléments ?</v>
      </c>
      <c r="I150" s="5" t="str">
        <f>IFERROR(__xludf.DUMMYFUNCTION("GOOGLETRANSLATE(C150, ""en"", ""fr"")"),"A) L'homme, le cheval et la mer, B) Le taureau, le cheval et le gardien, C) Le taureau, le razeteur et le paysage unique de la Camargue, D) Le razeteur, l'arbitre et la foule")</f>
        <v>A) L'homme, le cheval et la mer, B) Le taureau, le cheval et le gardien, C) Le taureau, le razeteur et le paysage unique de la Camargue, D) Le razeteur, l'arbitre et la foule</v>
      </c>
      <c r="J150" s="5" t="str">
        <f>IFERROR(__xludf.DUMMYFUNCTION("GOOGLETRANSLATE(D150, ""en"", ""fr"")"),"C) Le taureau, le razeteur et le paysage unique de la Camargue")</f>
        <v>C) Le taureau, le razeteur et le paysage unique de la Camargue</v>
      </c>
      <c r="K150" s="5" t="str">
        <f>IFERROR(__xludf.DUMMYFUNCTION("GOOGLETRANSLATE(E150, ""en"", ""fr"")"),"Ce sport est l'expression du lien culturel profond qui unit les hommes, les animaux et l'environnement spécifique de la Camargue.")</f>
        <v>Ce sport est l'expression du lien culturel profond qui unit les hommes, les animaux et l'environnement spécifique de la Camargue.</v>
      </c>
    </row>
    <row r="151" ht="22.5" customHeight="1">
      <c r="A151" s="4">
        <v>150.0</v>
      </c>
      <c r="B151" s="5" t="s">
        <v>1945</v>
      </c>
      <c r="C151" s="5" t="s">
        <v>1946</v>
      </c>
      <c r="D151" s="5" t="s">
        <v>1947</v>
      </c>
      <c r="E151" s="5" t="s">
        <v>1948</v>
      </c>
      <c r="G151" s="5" t="str">
        <f>IFERROR(__xludf.DUMMYFUNCTION("GOOGLETRANSLATE(A151, ""en"", ""fr"")"),"150")</f>
        <v>150</v>
      </c>
      <c r="H151" s="5" t="str">
        <f>IFERROR(__xludf.DUMMYFUNCTION("GOOGLETRANSLATE(B151, ""en"", ""fr"")"),"Un razeteur réussit à extraire la dernière corde (fielle) d'une corne de taureau. Que se passe-t-il ensuite ?")</f>
        <v>Un razeteur réussit à extraire la dernière corde (fielle) d'une corne de taureau. Que se passe-t-il ensuite ?</v>
      </c>
      <c r="I151" s="5" t="str">
        <f>IFERROR(__xludf.DUMMYFUNCTION("GOOGLETRANSLATE(C151, ""en"", ""fr"")"),"A) Le taureau est immédiatement remis dans l'arène, même si ses 15 minutes ne sont pas écoulées. B) De nouveaux attributs sont attribués au taureau. C) Le dresseur remporte la course. D) Le taureau bénéficie d'un repos.")</f>
        <v>A) Le taureau est immédiatement remis dans l'arène, même si ses 15 minutes ne sont pas écoulées. B) De nouveaux attributs sont attribués au taureau. C) Le dresseur remporte la course. D) Le taureau bénéficie d'un repos.</v>
      </c>
      <c r="J151" s="5" t="str">
        <f>IFERROR(__xludf.DUMMYFUNCTION("GOOGLETRANSLATE(D151, ""en"", ""fr"")"),"A) Le taureau est immédiatement remis dans l'arène, même si ses 15 minutes ne sont pas écoulées.")</f>
        <v>A) Le taureau est immédiatement remis dans l'arène, même si ses 15 minutes ne sont pas écoulées.</v>
      </c>
      <c r="K151" s="5" t="str">
        <f>IFERROR(__xludf.DUMMYFUNCTION("GOOGLETRANSLATE(E151, ""en"", ""fr"")"),"Le « travail » du taureau est terminé une fois que tous ses attributs ont été prélevés. On lui rend hommage en musique et on le ramène à son enclos.")</f>
        <v>Le « travail » du taureau est terminé une fois que tous ses attributs ont été prélevés. On lui rend hommage en musique et on le ramène à son enclos.</v>
      </c>
    </row>
  </sheetData>
  <drawing r:id="rId1"/>
  <tableParts count="2">
    <tablePart r:id="rId4"/>
    <tablePart r:id="rId5"/>
  </tableParts>
</worksheet>
</file>